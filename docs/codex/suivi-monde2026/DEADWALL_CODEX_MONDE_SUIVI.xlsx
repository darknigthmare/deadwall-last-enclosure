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0fd10541c964f0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cueil" sheetId="1" r:id="R3924a90b6cf8485d"/>
    <x:sheet xmlns:r="http://schemas.openxmlformats.org/officeDocument/2006/relationships" name="Catalogue existant" sheetId="2" r:id="R1db452f5cdfd4289"/>
    <x:sheet xmlns:r="http://schemas.openxmlformats.org/officeDocument/2006/relationships" name="Extension typologies" sheetId="3" r:id="Rbff9c04f35cb45c1"/>
    <x:sheet xmlns:r="http://schemas.openxmlformats.org/officeDocument/2006/relationships" name="Variantes à concevoir" sheetId="4" r:id="R255eb238b4d94800"/>
    <x:sheet xmlns:r="http://schemas.openxmlformats.org/officeDocument/2006/relationships" name="Chantiers" sheetId="5" r:id="R615d122ca72c47f5"/>
    <x:sheet xmlns:r="http://schemas.openxmlformats.org/officeDocument/2006/relationships" name="Règles seed" sheetId="6" r:id="R2bb847da10f74d40"/>
    <x:sheet xmlns:r="http://schemas.openxmlformats.org/officeDocument/2006/relationships" name="Familles existantes" sheetId="7" r:id="Rb7e5e66681ad4cc4"/>
    <x:sheet xmlns:r="http://schemas.openxmlformats.org/officeDocument/2006/relationships" name="Références" sheetId="8" r:id="Rcdfe32a245fc426d"/>
    <x:sheet xmlns:r="http://schemas.openxmlformats.org/officeDocument/2006/relationships" name="Publication" sheetId="9" r:id="R6b1de5b140d3413f"/>
    <x:sheet xmlns:r="http://schemas.openxmlformats.org/officeDocument/2006/relationships" name="Légende" sheetId="10" r:id="Rb308df12925246eb"/>
    <x:sheet xmlns:r="http://schemas.openxmlformats.org/officeDocument/2006/relationships" name="Références métriques" sheetId="11" r:id="R0185a71714ac4671"/>
    <x:sheet xmlns:r="http://schemas.openxmlformats.org/officeDocument/2006/relationships" name="Avancement par type" sheetId="12" r:id="R66725b00d0974351"/>
    <x:sheet xmlns:r="http://schemas.openxmlformats.org/officeDocument/2006/relationships" name="Inspection" sheetId="13" r:id="R41d4086471854944"/>
    <x:sheet xmlns:r="http://schemas.openxmlformats.org/officeDocument/2006/relationships" name="Campagne G11" sheetId="14" r:id="Rd702c213e7e9459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30">
    <x:font>
      <x:sz val="11"/>
      <x:name val="Carlito"/>
    </x:font>
    <x:font>
      <x:b/>
      <x:sz val="17"/>
      <x:color rgb="FFFFFFFF"/>
      <x:name val="Carlito"/>
    </x:font>
    <x:font>
      <x:sz val="10"/>
      <x:color rgb="FF52665F"/>
      <x:name val="Carlito"/>
    </x:font>
    <x:font>
      <x:sz val="10"/>
      <x:color rgb="FF183B32"/>
      <x:name val="Carlito"/>
    </x:font>
    <x:font>
      <x:b/>
      <x:sz val="10"/>
      <x:color rgb="FFFFFFFF"/>
      <x:name val="Carlito"/>
    </x:font>
    <x:font>
      <x:sz val="11"/>
      <x:color rgb="FF183B32"/>
      <x:name val="Carlito"/>
    </x:font>
    <x:font>
      <x:b/>
      <x:sz val="22"/>
      <x:color rgb="FFFFFFFF"/>
      <x:name val="Carlito"/>
    </x:font>
    <x:font>
      <x:sz val="11"/>
      <x:color rgb="FF52665F"/>
      <x:name val="Carlito"/>
    </x:font>
    <x:font>
      <x:b/>
      <x:sz val="28"/>
      <x:color rgb="FF183B32"/>
      <x:name val="Carlito"/>
    </x:font>
    <x:font>
      <x:b/>
      <x:sz val="12"/>
      <x:color rgb="FF6F4A00"/>
      <x:name val="Carlito"/>
    </x:font>
    <x:font>
      <x:b/>
      <x:sz val="16"/>
      <x:color rgb="FF183B32"/>
      <x:name val="Carlito"/>
    </x:font>
    <x:font>
      <x:b/>
      <x:sz val="11"/>
      <x:color rgb="FFFFFFFF"/>
      <x:name val="Carlito"/>
    </x:font>
    <x:font>
      <x:b/>
      <x:sz val="10"/>
      <x:color rgb="FF243C34"/>
      <x:name val="Aptos"/>
    </x:font>
    <x:font>
      <x:sz val="10"/>
      <x:color rgb="FF243C34"/>
      <x:name val="Aptos"/>
    </x:font>
    <x:font>
      <x:b/>
      <x:sz val="19"/>
      <x:color rgb="FFFFFFFF"/>
      <x:name val="Aptos"/>
    </x:font>
    <x:font>
      <x:sz val="11"/>
      <x:color rgb="FF335848"/>
      <x:name val="Aptos"/>
    </x:font>
    <x:font>
      <x:b/>
      <x:sz val="9"/>
      <x:color rgb="FF335848"/>
      <x:name val="Aptos"/>
    </x:font>
    <x:font>
      <x:b/>
      <x:sz val="24"/>
      <x:color rgb="FF285947"/>
      <x:name val="Aptos"/>
    </x:font>
    <x:font>
      <x:b/>
      <x:sz val="11"/>
      <x:color rgb="FF70511F"/>
      <x:name val="Aptos"/>
    </x:font>
    <x:font>
      <x:b/>
      <x:sz val="10"/>
      <x:color rgb="FFFFFFFF"/>
      <x:name val="Aptos"/>
    </x:font>
    <x:font>
      <x:b/>
      <x:sz val="16"/>
      <x:color rgb="FFFFFFFF"/>
      <x:name val="Carlito"/>
    </x:font>
    <x:font>
      <x:sz val="10"/>
      <x:color rgb="FF243C34"/>
      <x:name val="Carlito"/>
    </x:font>
    <x:font>
      <x:b/>
      <x:sz val="14"/>
      <x:color rgb="FF285947"/>
      <x:name val="Aptos"/>
    </x:font>
    <x:font>
      <x:sz val="10"/>
      <x:color rgb="FF243E37"/>
      <x:name val="Arial"/>
    </x:font>
    <x:font>
      <x:b/>
      <x:sz val="16"/>
      <x:color rgb="FFFFFFFF"/>
      <x:name val="Arial"/>
    </x:font>
    <x:font>
      <x:b/>
      <x:sz val="10"/>
      <x:color rgb="FFFFFFFF"/>
      <x:name val="Arial"/>
    </x:font>
    <x:font>
      <x:b/>
      <x:sz val="10"/>
      <x:color rgb="FF245544"/>
      <x:name val="Arial"/>
    </x:font>
    <x:font>
      <x:b/>
      <x:sz val="11"/>
      <x:color rgb="FFFFFFFF"/>
      <x:name val="Arial"/>
    </x:font>
    <x:font>
      <x:sz val="10"/>
      <x:color rgb="FF245544"/>
      <x:name val="Arial"/>
    </x:font>
    <x:font>
      <x:b/>
      <x:sz val="10"/>
      <x:color rgb="FF243E37"/>
      <x:name val="Arial"/>
    </x:font>
  </x:fonts>
  <x:fills count="42">
    <x:fill>
      <x:patternFill patternType="none"/>
    </x:fill>
    <x:fill>
      <x:patternFill patternType="gray125"/>
    </x:fill>
    <x:fill>
      <x:patternFill patternType="solid">
        <x:fgColor rgb="FF183B32"/>
      </x:patternFill>
    </x:fill>
    <x:fill>
      <x:patternFill patternType="solid">
        <x:fgColor rgb="FFEAF1ED"/>
      </x:patternFill>
    </x:fill>
    <x:fill>
      <x:patternFill patternType="solid">
        <x:fgColor rgb="FF2F6759"/>
      </x:patternFill>
    </x:fill>
    <x:fill>
      <x:patternFill patternType="solid">
        <x:fgColor rgb="FFFFF1CF"/>
      </x:patternFill>
    </x:fill>
    <x:fill>
      <x:patternFill patternType="solid">
        <x:fgColor rgb="FFFFFFFF"/>
      </x:patternFill>
    </x:fill>
    <x:fill>
      <x:patternFill patternType="solid">
        <x:fgColor rgb="FF264F43"/>
      </x:patternFill>
    </x:fill>
    <x:fill>
      <x:patternFill patternType="solid">
        <x:fgColor rgb="FFE7EFEA"/>
      </x:patternFill>
    </x:fill>
    <x:fill>
      <x:patternFill patternType="solid">
        <x:fgColor rgb="FFF3F7F4"/>
      </x:patternFill>
    </x:fill>
    <x:fill>
      <x:patternFill patternType="solid">
        <x:fgColor rgb="FFFFF2D9"/>
      </x:patternFill>
    </x:fill>
    <x:fill>
      <x:patternFill patternType="solid">
        <x:fgColor rgb="FFF0F5F2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  <x:fill>
      <x:patternFill patternType="solid">
        <x:fgColor rgb="FF254E43"/>
      </x:patternFill>
    </x:fill>
    <x:fill>
      <x:patternFill patternType="solid">
        <x:fgColor rgb="FFE8F0EB"/>
      </x:patternFill>
    </x:fill>
    <x:fill>
      <x:patternFill patternType="solid">
        <x:fgColor rgb="FFF5F8F6"/>
      </x:patternFill>
    </x:fill>
    <x:fill>
      <x:patternFill patternType="solid">
        <x:fgColor rgb="FFDCECE3"/>
      </x:patternFill>
    </x:fill>
    <x:fill>
      <x:patternFill patternType="solid">
        <x:fgColor rgb="FFFFF0CC"/>
      </x:patternFill>
    </x:fill>
  </x:fills>
  <x:borders count="2">
    <x:border/>
    <x:border/>
  </x:borders>
  <x:cellStyleXfs count="1">
    <x:xf numFmtId="0" fontId="0" fillId="0" borderId="0"/>
  </x:cellStyleXfs>
  <x:cellXfs count="22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0" fontId="0" fillId="4" borderId="1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/>
    <x:xf numFmtId="0" fontId="6" fillId="2" borderId="1" xfId="0" applyNumberFormat="1" applyFont="1" applyFill="1" applyBorder="1"/>
    <x:xf numFmtId="0" fontId="6" fillId="2" borderId="1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/>
    <x:xf numFmtId="0" fontId="7" fillId="3" borderId="0" xfId="0" applyNumberFormat="1" applyFont="1" applyFill="1" applyBorder="1"/>
    <x:xf numFmtId="0" fontId="5" fillId="3" borderId="1" xfId="0" applyNumberFormat="1" applyFont="1" applyFill="1" applyBorder="1"/>
    <x:xf numFmtId="0" fontId="7" fillId="3" borderId="1" xfId="0" applyNumberFormat="1" applyFont="1" applyFill="1" applyBorder="1"/>
    <x:xf numFmtId="0" fontId="5" fillId="4" borderId="0" xfId="0" applyNumberFormat="1" applyFont="1" applyFill="1" applyBorder="1"/>
    <x:xf numFmtId="0" fontId="4" fillId="4" borderId="0" xfId="0" applyNumberFormat="1" applyFont="1" applyFill="1" applyBorder="1" applyAlignment="1">
      <x:alignment horizontal="center" wrapText="1"/>
    </x:xf>
    <x:xf numFmtId="0" fontId="5" fillId="4" borderId="1" xfId="0" applyNumberFormat="1" applyFont="1" applyFill="1" applyBorder="1"/>
    <x:xf numFmtId="0" fontId="4" fillId="4" borderId="1" xfId="0" applyNumberFormat="1" applyFont="1" applyFill="1" applyBorder="1" applyAlignment="1">
      <x:alignment horizontal="center" wrapText="1"/>
    </x:xf>
    <x:xf numFmtId="0" fontId="8" fillId="3" borderId="0" xfId="0" applyNumberFormat="1" applyFont="1" applyFill="1" applyBorder="1"/>
    <x:xf numFmtId="0" fontId="8" fillId="3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 applyAlignment="1">
      <x:alignment horizontal="center" vertical="center"/>
    </x:xf>
    <x:xf numFmtId="0" fontId="8" fillId="3" borderId="1" xfId="0" applyNumberFormat="1" applyFont="1" applyFill="1" applyBorder="1"/>
    <x:xf numFmtId="0" fontId="8" fillId="3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 applyAlignment="1">
      <x:alignment horizontal="center" vertical="center"/>
    </x:xf>
    <x:xf numFmtId="0" fontId="5" fillId="5" borderId="0" xfId="0" applyNumberFormat="1" applyFont="1" applyFill="1" applyBorder="1"/>
    <x:xf numFmtId="0" fontId="9" fillId="5" borderId="0" xfId="0" applyNumberFormat="1" applyFont="1" applyFill="1" applyBorder="1"/>
    <x:xf numFmtId="0" fontId="9" fillId="5" borderId="0" xfId="0" applyNumberFormat="1" applyFont="1" applyFill="1" applyBorder="1" applyAlignment="1">
      <x:alignment wrapText="1"/>
    </x:xf>
    <x:xf numFmtId="0" fontId="9" fillId="5" borderId="0" xfId="0" applyNumberFormat="1" applyFont="1" applyFill="1" applyBorder="1" applyAlignment="1">
      <x:alignment vertical="center" wrapText="1"/>
    </x:xf>
    <x:xf numFmtId="0" fontId="5" fillId="5" borderId="1" xfId="0" applyNumberFormat="1" applyFont="1" applyFill="1" applyBorder="1"/>
    <x:xf numFmtId="0" fontId="9" fillId="5" borderId="1" xfId="0" applyNumberFormat="1" applyFont="1" applyFill="1" applyBorder="1"/>
    <x:xf numFmtId="0" fontId="9" fillId="5" borderId="1" xfId="0" applyNumberFormat="1" applyFont="1" applyFill="1" applyBorder="1" applyAlignment="1">
      <x:alignment wrapText="1"/>
    </x:xf>
    <x:xf numFmtId="0" fontId="9" fillId="5" borderId="1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wrapText="1"/>
    </x:xf>
    <x:xf numFmtId="0" fontId="5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1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top" wrapText="1"/>
    </x:xf>
    <x:xf numFmtId="0" fontId="5" fillId="3" borderId="1" xfId="0" applyNumberFormat="1" applyFont="1" applyFill="1" applyBorder="1" applyAlignment="1">
      <x:alignment wrapText="1"/>
    </x:xf>
    <x:xf numFmtId="0" fontId="5" fillId="3" borderId="1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6" fillId="6" borderId="0" xfId="0" applyNumberFormat="1" applyFont="1" applyFill="1" applyBorder="1" applyAlignment="1">
      <x:alignment vertical="center"/>
    </x:xf>
    <x:xf numFmtId="0" fontId="7" fillId="6" borderId="0" xfId="0" applyNumberFormat="1" applyFont="1" applyFill="1" applyBorder="1"/>
    <x:xf numFmtId="0" fontId="5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 wrapText="1"/>
    </x:xf>
    <x:xf numFmtId="0" fontId="8" fillId="6" borderId="0" xfId="0" applyNumberFormat="1" applyFont="1" applyFill="1" applyBorder="1" applyAlignment="1">
      <x:alignment horizontal="center" vertical="center"/>
    </x:xf>
    <x:xf numFmtId="0" fontId="9" fillId="6" borderId="0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10" fillId="6" borderId="0" xfId="0" applyNumberFormat="1" applyFont="1" applyFill="1" applyBorder="1" applyAlignment="1">
      <x:alignment wrapText="1"/>
    </x:xf>
    <x:xf numFmtId="0" fontId="11" fillId="6" borderId="0" xfId="0" applyNumberFormat="1" applyFont="1" applyFill="1" applyBorder="1"/>
    <x:xf numFmtId="0" fontId="5" fillId="6" borderId="0" xfId="0" applyNumberFormat="1" applyFont="1" applyFill="1" applyBorder="1" applyAlignment="1">
      <x:alignment vertical="top" wrapText="1"/>
    </x:xf>
    <x:xf numFmtId="0" fontId="7" fillId="6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 applyAlignment="1">
      <x:alignment vertical="center"/>
    </x:xf>
    <x:xf numFmtId="0" fontId="13" fillId="6" borderId="0" xfId="0" applyNumberFormat="1" applyFont="1" applyFill="1" applyBorder="1"/>
    <x:xf numFmtId="0" fontId="12" fillId="6" borderId="0" xfId="0" applyNumberFormat="1" applyFont="1" applyFill="1" applyBorder="1" applyAlignment="1">
      <x:alignment horizontal="center" wrapText="1"/>
    </x:xf>
    <x:xf numFmtId="0" fontId="12" fillId="6" borderId="0" xfId="0" applyNumberFormat="1" applyFont="1" applyFill="1" applyBorder="1" applyAlignment="1">
      <x:alignment horizontal="center" vertical="center"/>
    </x:xf>
    <x:xf numFmtId="0" fontId="12" fillId="6" borderId="0" xfId="0" applyNumberFormat="1" applyFont="1" applyFill="1" applyBorder="1" applyAlignment="1">
      <x:alignment vertical="center" wrapText="1"/>
    </x:xf>
    <x:xf numFmtId="0" fontId="12" fillId="6" borderId="0" xfId="0" applyNumberFormat="1" applyFont="1" applyFill="1" applyBorder="1"/>
    <x:xf numFmtId="0" fontId="13" fillId="6" borderId="0" xfId="0" applyNumberFormat="1" applyFont="1" applyFill="1" applyBorder="1" applyAlignment="1">
      <x:alignment wrapText="1"/>
    </x:xf>
    <x:xf numFmtId="0" fontId="12" fillId="6" borderId="0" xfId="0" applyNumberFormat="1" applyFont="1" applyFill="1" applyBorder="1" applyAlignment="1">
      <x:alignment wrapText="1"/>
    </x:xf>
    <x:xf numFmtId="0" fontId="13" fillId="6" borderId="0" xfId="0" applyNumberFormat="1" applyFont="1" applyFill="1" applyBorder="1" applyAlignment="1">
      <x:alignment vertical="top" wrapText="1"/>
    </x:xf>
    <x:xf numFmtId="0" fontId="13" fillId="6" borderId="0" xfId="0" applyNumberFormat="1" applyFont="1" applyFill="1" applyBorder="1" applyAlignment="1">
      <x:alignment vertical="center" wrapText="1"/>
    </x:xf>
    <x:xf numFmtId="0" fontId="13" fillId="6" borderId="0" xfId="0" applyNumberFormat="1" applyFont="1" applyFill="1" applyBorder="1" applyAlignment="1">
      <x:alignment vertical="center"/>
    </x:xf>
    <x:xf numFmtId="0" fontId="12" fillId="6" borderId="0" xfId="0" applyNumberFormat="1" applyFont="1" applyFill="1" applyBorder="1" applyAlignment="1">
      <x:alignment horizontal="center" vertical="center" wrapText="1"/>
    </x:xf>
    <x:xf numFmtId="0" fontId="12" fillId="7" borderId="0" xfId="0" applyNumberFormat="1" applyFont="1" applyFill="1" applyBorder="1" applyAlignment="1">
      <x:alignment vertical="center"/>
    </x:xf>
    <x:xf numFmtId="0" fontId="14" fillId="7" borderId="0" xfId="0" applyNumberFormat="1" applyFont="1" applyFill="1" applyBorder="1" applyAlignment="1">
      <x:alignment vertical="center"/>
    </x:xf>
    <x:xf numFmtId="0" fontId="13" fillId="8" borderId="0" xfId="0" applyNumberFormat="1" applyFont="1" applyFill="1" applyBorder="1" applyAlignment="1">
      <x:alignment vertical="center"/>
    </x:xf>
    <x:xf numFmtId="0" fontId="15" fillId="8" borderId="0" xfId="0" applyNumberFormat="1" applyFont="1" applyFill="1" applyBorder="1" applyAlignment="1">
      <x:alignment vertical="center"/>
    </x:xf>
    <x:xf numFmtId="0" fontId="12" fillId="8" borderId="0" xfId="0" applyNumberFormat="1" applyFont="1" applyFill="1" applyBorder="1" applyAlignment="1">
      <x:alignment horizontal="center" vertical="center" wrapText="1"/>
    </x:xf>
    <x:xf numFmtId="0" fontId="16" fillId="8" borderId="0" xfId="0" applyNumberFormat="1" applyFont="1" applyFill="1" applyBorder="1" applyAlignment="1">
      <x:alignment horizontal="center" vertical="center" wrapText="1"/>
    </x:xf>
    <x:xf numFmtId="0" fontId="12" fillId="9" borderId="0" xfId="0" applyNumberFormat="1" applyFont="1" applyFill="1" applyBorder="1" applyAlignment="1">
      <x:alignment horizontal="center" vertical="center"/>
    </x:xf>
    <x:xf numFmtId="0" fontId="17" fillId="9" borderId="0" xfId="0" applyNumberFormat="1" applyFont="1" applyFill="1" applyBorder="1" applyAlignment="1">
      <x:alignment horizontal="center" vertical="center"/>
    </x:xf>
    <x:xf numFmtId="0" fontId="12" fillId="10" borderId="0" xfId="0" applyNumberFormat="1" applyFont="1" applyFill="1" applyBorder="1" applyAlignment="1">
      <x:alignment vertical="center" wrapText="1"/>
    </x:xf>
    <x:xf numFmtId="0" fontId="18" fillId="10" borderId="0" xfId="0" applyNumberFormat="1" applyFont="1" applyFill="1" applyBorder="1" applyAlignment="1">
      <x:alignment vertical="center" wrapText="1"/>
    </x:xf>
    <x:xf numFmtId="0" fontId="13" fillId="7" borderId="0" xfId="0" applyNumberFormat="1" applyFont="1" applyFill="1" applyBorder="1" applyAlignment="1">
      <x:alignment vertical="center"/>
    </x:xf>
    <x:xf numFmtId="0" fontId="19" fillId="7" borderId="0" xfId="0" applyNumberFormat="1" applyFont="1" applyFill="1" applyBorder="1" applyAlignment="1">
      <x:alignment vertical="center"/>
    </x:xf>
    <x:xf numFmtId="0" fontId="13" fillId="11" borderId="0" xfId="0" applyNumberFormat="1" applyFont="1" applyFill="1" applyBorder="1" applyAlignment="1">
      <x:alignment vertical="center" wrapText="1"/>
    </x:xf>
    <x:xf numFmtId="0" fontId="12" fillId="11" borderId="0" xfId="0" applyNumberFormat="1" applyFont="1" applyFill="1" applyBorder="1" applyAlignment="1">
      <x:alignment vertical="center" wrapText="1"/>
    </x:xf>
    <x:xf numFmtId="0" fontId="13" fillId="11" borderId="0" xfId="0" applyNumberFormat="1" applyFont="1" applyFill="1" applyBorder="1" applyAlignment="1">
      <x:alignment vertical="center"/>
    </x:xf>
    <x:xf numFmtId="0" fontId="13" fillId="9" borderId="0" xfId="0" applyNumberFormat="1" applyFont="1" applyFill="1" applyBorder="1" applyAlignment="1">
      <x:alignment vertical="center" wrapText="1"/>
    </x:xf>
    <x:xf numFmtId="0" fontId="13" fillId="9" borderId="0" xfId="0" applyNumberFormat="1" applyFont="1" applyFill="1" applyBorder="1" applyAlignment="1">
      <x:alignment vertical="center"/>
    </x:xf>
    <x:xf numFmtId="0" fontId="15" fillId="9" borderId="0" xfId="0" applyNumberFormat="1" applyFont="1" applyFill="1" applyBorder="1" applyAlignment="1">
      <x:alignment vertical="center" wrapText="1"/>
    </x:xf>
    <x:xf numFmtId="0" fontId="15" fillId="9" borderId="0" xfId="0" applyNumberFormat="1" applyFont="1" applyFill="1" applyBorder="1" applyAlignment="1">
      <x:alignment vertical="center"/>
    </x:xf>
    <x:xf numFmtId="0" fontId="4" fillId="7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2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11" fillId="7" borderId="0" xfId="0" applyNumberFormat="1" applyFont="1" applyFill="1" applyBorder="1"/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horizontal="center" vertical="center" wrapText="1"/>
    </x:xf>
    <x:xf numFmtId="0" fontId="22" fillId="11" borderId="0" xfId="0" applyNumberFormat="1" applyFont="1" applyFill="1" applyBorder="1" applyAlignment="1">
      <x:alignment vertical="center"/>
    </x:xf>
    <x:xf numFmtId="0" fontId="22" fillId="6" borderId="0" xfId="0" applyNumberFormat="1" applyFont="1" applyFill="1" applyBorder="1" applyAlignment="1">
      <x:alignment vertical="center"/>
    </x:xf>
    <x:xf numFmtId="0" fontId="22" fillId="11" borderId="0" xfId="0" applyNumberFormat="1" applyFont="1" applyFill="1" applyBorder="1" applyAlignment="1">
      <x:alignment horizontal="center" vertical="center"/>
    </x:xf>
    <x:xf numFmtId="0" fontId="22" fillId="6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 applyAlignment="1">
      <x:alignment vertical="top" wrapText="1"/>
    </x:xf>
    <x:xf numFmtId="0" fontId="23" fillId="0" borderId="0" xfId="0" applyNumberFormat="1" applyFont="1" applyFill="1" applyBorder="1"/>
    <x:xf numFmtId="0" fontId="23" fillId="0" borderId="0" xfId="0" applyNumberFormat="1" applyFont="1" applyFill="1" applyBorder="1" applyAlignment="1">
      <x:alignment vertical="center"/>
    </x:xf>
    <x:xf numFmtId="0" fontId="23" fillId="12" borderId="0" xfId="0" applyNumberFormat="1" applyFont="1" applyFill="1" applyBorder="1" applyAlignment="1">
      <x:alignment vertical="center"/>
    </x:xf>
    <x:xf numFmtId="0" fontId="24" fillId="12" borderId="0" xfId="0" applyNumberFormat="1" applyFont="1" applyFill="1" applyBorder="1" applyAlignment="1">
      <x:alignment vertical="center"/>
    </x:xf>
    <x:xf numFmtId="0" fontId="23" fillId="13" borderId="0" xfId="0" applyNumberFormat="1" applyFont="1" applyFill="1" applyBorder="1" applyAlignment="1">
      <x:alignment vertical="center"/>
    </x:xf>
    <x:xf numFmtId="0" fontId="25" fillId="12" borderId="0" xfId="0" applyNumberFormat="1" applyFont="1" applyFill="1" applyBorder="1" applyAlignment="1">
      <x:alignment vertical="center"/>
    </x:xf>
    <x:xf numFmtId="0" fontId="25" fillId="12" borderId="0" xfId="0" applyNumberFormat="1" applyFont="1" applyFill="1" applyBorder="1" applyAlignment="1">
      <x:alignment vertical="center" wrapText="1"/>
    </x:xf>
    <x:xf numFmtId="0" fontId="23" fillId="14" borderId="0" xfId="0" applyNumberFormat="1" applyFont="1" applyFill="1" applyBorder="1" applyAlignment="1">
      <x:alignment vertical="center"/>
    </x:xf>
    <x:xf numFmtId="0" fontId="23" fillId="14" borderId="0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/>
    <x:xf numFmtId="0" fontId="26" fillId="15" borderId="0" xfId="0" applyNumberFormat="1" applyFont="1" applyFill="1" applyBorder="1"/>
    <x:xf numFmtId="200" fontId="23" fillId="14" borderId="0" xfId="0" applyNumberFormat="1" applyFont="1" applyFill="1" applyBorder="1" applyAlignment="1">
      <x:alignment vertical="center"/>
    </x:xf>
    <x:xf numFmtId="200" fontId="26" fillId="15" borderId="0" xfId="0" applyNumberFormat="1" applyFont="1" applyFill="1" applyBorder="1"/>
    <x:xf numFmtId="0" fontId="23" fillId="0" borderId="0" xfId="0" applyNumberFormat="1" applyFont="1" applyFill="1" applyBorder="1" applyAlignment="1">
      <x:alignment wrapText="1"/>
    </x:xf>
    <x:xf numFmtId="0" fontId="23" fillId="0" borderId="0" xfId="0" applyNumberFormat="1" applyFont="1" applyFill="1" applyBorder="1" applyAlignment="1">
      <x:alignment vertical="center" wrapText="1"/>
    </x:xf>
    <x:xf numFmtId="0" fontId="23" fillId="12" borderId="0" xfId="0" applyNumberFormat="1" applyFont="1" applyFill="1" applyBorder="1" applyAlignment="1">
      <x:alignment vertical="center" wrapText="1"/>
    </x:xf>
    <x:xf numFmtId="0" fontId="27" fillId="12" borderId="0" xfId="0" applyNumberFormat="1" applyFont="1" applyFill="1" applyBorder="1" applyAlignment="1">
      <x:alignment vertical="center" wrapText="1"/>
    </x:xf>
    <x:xf numFmtId="0" fontId="23" fillId="16" borderId="0" xfId="0" applyNumberFormat="1" applyFont="1" applyFill="1" applyBorder="1" applyAlignment="1">
      <x:alignment vertical="center" wrapText="1"/>
    </x:xf>
    <x:xf numFmtId="0" fontId="28" fillId="0" borderId="0" xfId="0" applyNumberFormat="1" applyFont="1" applyFill="1" applyBorder="1" applyAlignment="1">
      <x:alignment vertical="center" wrapText="1"/>
    </x:xf>
    <x:xf numFmtId="0" fontId="29" fillId="12" borderId="0" xfId="0" applyNumberFormat="1" applyFont="1" applyFill="1" applyBorder="1" applyAlignment="1">
      <x:alignment vertical="center"/>
    </x:xf>
    <x:xf numFmtId="0" fontId="29" fillId="12" borderId="0" xfId="0" applyNumberFormat="1" applyFont="1" applyFill="1" applyBorder="1" applyAlignment="1">
      <x:alignment vertical="center" wrapText="1"/>
    </x:xf>
    <x:xf numFmtId="0" fontId="29" fillId="17" borderId="0" xfId="0" applyNumberFormat="1" applyFont="1" applyFill="1" applyBorder="1" applyAlignment="1">
      <x:alignment vertical="center"/>
    </x:xf>
    <x:xf numFmtId="0" fontId="24" fillId="17" borderId="0" xfId="0" applyNumberFormat="1" applyFont="1" applyFill="1" applyBorder="1" applyAlignment="1">
      <x:alignment vertical="center"/>
    </x:xf>
    <x:xf numFmtId="0" fontId="23" fillId="18" borderId="0" xfId="0" applyNumberFormat="1" applyFont="1" applyFill="1" applyBorder="1" applyAlignment="1">
      <x:alignment vertical="center"/>
    </x:xf>
    <x:xf numFmtId="0" fontId="29" fillId="17" borderId="0" xfId="0" applyNumberFormat="1" applyFont="1" applyFill="1" applyBorder="1" applyAlignment="1">
      <x:alignment vertical="center" wrapText="1"/>
    </x:xf>
    <x:xf numFmtId="0" fontId="25" fillId="17" borderId="0" xfId="0" applyNumberFormat="1" applyFont="1" applyFill="1" applyBorder="1" applyAlignment="1">
      <x:alignment vertical="center" wrapText="1"/>
    </x:xf>
    <x:xf numFmtId="0" fontId="23" fillId="19" borderId="0" xfId="0" applyNumberFormat="1" applyFont="1" applyFill="1" applyBorder="1" applyAlignment="1">
      <x:alignment vertical="center"/>
    </x:xf>
    <x:xf numFmtId="0" fontId="23" fillId="19" borderId="0" xfId="0" applyNumberFormat="1" applyFont="1" applyFill="1" applyBorder="1" applyAlignment="1">
      <x:alignment vertical="center" wrapText="1"/>
    </x:xf>
    <x:xf numFmtId="0" fontId="26" fillId="20" borderId="0" xfId="0" applyNumberFormat="1" applyFont="1" applyFill="1" applyBorder="1"/>
    <x:xf numFmtId="200" fontId="23" fillId="19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/>
    <x:xf numFmtId="200" fontId="26" fillId="20" borderId="0" xfId="0" applyNumberFormat="1" applyFont="1" applyFill="1" applyBorder="1"/>
    <x:xf numFmtId="0" fontId="23" fillId="17" borderId="0" xfId="0" applyNumberFormat="1" applyFont="1" applyFill="1" applyBorder="1" applyAlignment="1">
      <x:alignment vertical="center" wrapText="1"/>
    </x:xf>
    <x:xf numFmtId="0" fontId="27" fillId="17" borderId="0" xfId="0" applyNumberFormat="1" applyFont="1" applyFill="1" applyBorder="1" applyAlignment="1">
      <x:alignment vertical="center" wrapText="1"/>
    </x:xf>
    <x:xf numFmtId="0" fontId="23" fillId="21" borderId="0" xfId="0" applyNumberFormat="1" applyFont="1" applyFill="1" applyBorder="1" applyAlignment="1">
      <x:alignment vertical="center" wrapText="1"/>
    </x:xf>
    <x:xf numFmtId="0" fontId="29" fillId="22" borderId="0" xfId="0" applyNumberFormat="1" applyFont="1" applyFill="1" applyBorder="1" applyAlignment="1">
      <x:alignment vertical="center"/>
    </x:xf>
    <x:xf numFmtId="0" fontId="24" fillId="22" borderId="0" xfId="0" applyNumberFormat="1" applyFont="1" applyFill="1" applyBorder="1" applyAlignment="1">
      <x:alignment vertical="center"/>
    </x:xf>
    <x:xf numFmtId="0" fontId="23" fillId="23" borderId="0" xfId="0" applyNumberFormat="1" applyFont="1" applyFill="1" applyBorder="1" applyAlignment="1">
      <x:alignment vertical="center"/>
    </x:xf>
    <x:xf numFmtId="0" fontId="29" fillId="22" borderId="0" xfId="0" applyNumberFormat="1" applyFont="1" applyFill="1" applyBorder="1" applyAlignment="1">
      <x:alignment vertical="center" wrapText="1"/>
    </x:xf>
    <x:xf numFmtId="0" fontId="25" fillId="22" borderId="0" xfId="0" applyNumberFormat="1" applyFont="1" applyFill="1" applyBorder="1" applyAlignment="1">
      <x:alignment vertical="center" wrapText="1"/>
    </x:xf>
    <x:xf numFmtId="0" fontId="23" fillId="24" borderId="0" xfId="0" applyNumberFormat="1" applyFont="1" applyFill="1" applyBorder="1" applyAlignment="1">
      <x:alignment vertical="center"/>
    </x:xf>
    <x:xf numFmtId="0" fontId="23" fillId="24" borderId="0" xfId="0" applyNumberFormat="1" applyFont="1" applyFill="1" applyBorder="1" applyAlignment="1">
      <x:alignment vertical="center" wrapText="1"/>
    </x:xf>
    <x:xf numFmtId="0" fontId="26" fillId="25" borderId="0" xfId="0" applyNumberFormat="1" applyFont="1" applyFill="1" applyBorder="1"/>
    <x:xf numFmtId="200" fontId="23" fillId="24" borderId="0" xfId="0" applyNumberFormat="1" applyFont="1" applyFill="1" applyBorder="1" applyAlignment="1">
      <x:alignment vertical="center"/>
    </x:xf>
    <x:xf numFmtId="0" fontId="0" fillId="25" borderId="0" xfId="0" applyNumberFormat="1" applyFont="1" applyFill="1" applyBorder="1"/>
    <x:xf numFmtId="200" fontId="26" fillId="25" borderId="0" xfId="0" applyNumberFormat="1" applyFont="1" applyFill="1" applyBorder="1"/>
    <x:xf numFmtId="0" fontId="23" fillId="22" borderId="0" xfId="0" applyNumberFormat="1" applyFont="1" applyFill="1" applyBorder="1" applyAlignment="1">
      <x:alignment vertical="center" wrapText="1"/>
    </x:xf>
    <x:xf numFmtId="0" fontId="27" fillId="22" borderId="0" xfId="0" applyNumberFormat="1" applyFont="1" applyFill="1" applyBorder="1" applyAlignment="1">
      <x:alignment vertical="center" wrapText="1"/>
    </x:xf>
    <x:xf numFmtId="0" fontId="23" fillId="26" borderId="0" xfId="0" applyNumberFormat="1" applyFont="1" applyFill="1" applyBorder="1" applyAlignment="1">
      <x:alignment vertical="center" wrapText="1"/>
    </x:xf>
    <x:xf numFmtId="0" fontId="29" fillId="27" borderId="0" xfId="0" applyNumberFormat="1" applyFont="1" applyFill="1" applyBorder="1" applyAlignment="1">
      <x:alignment vertical="center"/>
    </x:xf>
    <x:xf numFmtId="0" fontId="24" fillId="27" borderId="0" xfId="0" applyNumberFormat="1" applyFont="1" applyFill="1" applyBorder="1" applyAlignment="1">
      <x:alignment vertical="center"/>
    </x:xf>
    <x:xf numFmtId="0" fontId="23" fillId="28" borderId="0" xfId="0" applyNumberFormat="1" applyFont="1" applyFill="1" applyBorder="1" applyAlignment="1">
      <x:alignment vertical="center"/>
    </x:xf>
    <x:xf numFmtId="0" fontId="29" fillId="27" borderId="0" xfId="0" applyNumberFormat="1" applyFont="1" applyFill="1" applyBorder="1" applyAlignment="1">
      <x:alignment vertical="center" wrapText="1"/>
    </x:xf>
    <x:xf numFmtId="0" fontId="25" fillId="27" borderId="0" xfId="0" applyNumberFormat="1" applyFont="1" applyFill="1" applyBorder="1" applyAlignment="1">
      <x:alignment vertical="center" wrapText="1"/>
    </x:xf>
    <x:xf numFmtId="0" fontId="23" fillId="29" borderId="0" xfId="0" applyNumberFormat="1" applyFont="1" applyFill="1" applyBorder="1" applyAlignment="1">
      <x:alignment vertical="center"/>
    </x:xf>
    <x:xf numFmtId="0" fontId="23" fillId="29" borderId="0" xfId="0" applyNumberFormat="1" applyFont="1" applyFill="1" applyBorder="1" applyAlignment="1">
      <x:alignment vertical="center" wrapText="1"/>
    </x:xf>
    <x:xf numFmtId="0" fontId="26" fillId="30" borderId="0" xfId="0" applyNumberFormat="1" applyFont="1" applyFill="1" applyBorder="1"/>
    <x:xf numFmtId="200" fontId="23" fillId="29" borderId="0" xfId="0" applyNumberFormat="1" applyFont="1" applyFill="1" applyBorder="1" applyAlignment="1">
      <x:alignment vertical="center"/>
    </x:xf>
    <x:xf numFmtId="0" fontId="0" fillId="30" borderId="0" xfId="0" applyNumberFormat="1" applyFont="1" applyFill="1" applyBorder="1"/>
    <x:xf numFmtId="200" fontId="26" fillId="30" borderId="0" xfId="0" applyNumberFormat="1" applyFont="1" applyFill="1" applyBorder="1"/>
    <x:xf numFmtId="0" fontId="23" fillId="27" borderId="0" xfId="0" applyNumberFormat="1" applyFont="1" applyFill="1" applyBorder="1" applyAlignment="1">
      <x:alignment vertical="center" wrapText="1"/>
    </x:xf>
    <x:xf numFmtId="0" fontId="27" fillId="27" borderId="0" xfId="0" applyNumberFormat="1" applyFont="1" applyFill="1" applyBorder="1" applyAlignment="1">
      <x:alignment vertical="center" wrapText="1"/>
    </x:xf>
    <x:xf numFmtId="0" fontId="23" fillId="31" borderId="0" xfId="0" applyNumberFormat="1" applyFont="1" applyFill="1" applyBorder="1" applyAlignment="1">
      <x:alignment vertical="center" wrapText="1"/>
    </x:xf>
    <x:xf numFmtId="0" fontId="29" fillId="32" borderId="0" xfId="0" applyNumberFormat="1" applyFont="1" applyFill="1" applyBorder="1" applyAlignment="1">
      <x:alignment vertical="center"/>
    </x:xf>
    <x:xf numFmtId="0" fontId="24" fillId="32" borderId="0" xfId="0" applyNumberFormat="1" applyFont="1" applyFill="1" applyBorder="1" applyAlignment="1">
      <x:alignment vertical="center"/>
    </x:xf>
    <x:xf numFmtId="0" fontId="23" fillId="33" borderId="0" xfId="0" applyNumberFormat="1" applyFont="1" applyFill="1" applyBorder="1" applyAlignment="1">
      <x:alignment vertical="center"/>
    </x:xf>
    <x:xf numFmtId="0" fontId="29" fillId="32" borderId="0" xfId="0" applyNumberFormat="1" applyFont="1" applyFill="1" applyBorder="1" applyAlignment="1">
      <x:alignment vertical="center" wrapText="1"/>
    </x:xf>
    <x:xf numFmtId="0" fontId="25" fillId="32" borderId="0" xfId="0" applyNumberFormat="1" applyFont="1" applyFill="1" applyBorder="1" applyAlignment="1">
      <x:alignment vertical="center" wrapText="1"/>
    </x:xf>
    <x:xf numFmtId="0" fontId="23" fillId="34" borderId="0" xfId="0" applyNumberFormat="1" applyFont="1" applyFill="1" applyBorder="1" applyAlignment="1">
      <x:alignment vertical="center"/>
    </x:xf>
    <x:xf numFmtId="0" fontId="23" fillId="34" borderId="0" xfId="0" applyNumberFormat="1" applyFont="1" applyFill="1" applyBorder="1" applyAlignment="1">
      <x:alignment vertical="center" wrapText="1"/>
    </x:xf>
    <x:xf numFmtId="0" fontId="26" fillId="35" borderId="0" xfId="0" applyNumberFormat="1" applyFont="1" applyFill="1" applyBorder="1"/>
    <x:xf numFmtId="200" fontId="23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200" fontId="26" fillId="35" borderId="0" xfId="0" applyNumberFormat="1" applyFont="1" applyFill="1" applyBorder="1"/>
    <x:xf numFmtId="0" fontId="23" fillId="32" borderId="0" xfId="0" applyNumberFormat="1" applyFont="1" applyFill="1" applyBorder="1" applyAlignment="1">
      <x:alignment vertical="center" wrapText="1"/>
    </x:xf>
    <x:xf numFmtId="0" fontId="27" fillId="32" borderId="0" xfId="0" applyNumberFormat="1" applyFont="1" applyFill="1" applyBorder="1" applyAlignment="1">
      <x:alignment vertical="center" wrapText="1"/>
    </x:xf>
    <x:xf numFmtId="0" fontId="23" fillId="36" borderId="0" xfId="0" applyNumberFormat="1" applyFont="1" applyFill="1" applyBorder="1" applyAlignment="1">
      <x:alignment vertical="center" wrapText="1"/>
    </x:xf>
    <x:xf numFmtId="0" fontId="29" fillId="37" borderId="0" xfId="0" applyNumberFormat="1" applyFont="1" applyFill="1" applyBorder="1" applyAlignment="1">
      <x:alignment vertical="center"/>
    </x:xf>
    <x:xf numFmtId="0" fontId="24" fillId="37" borderId="0" xfId="0" applyNumberFormat="1" applyFont="1" applyFill="1" applyBorder="1" applyAlignment="1">
      <x:alignment vertical="center"/>
    </x:xf>
    <x:xf numFmtId="0" fontId="23" fillId="38" borderId="0" xfId="0" applyNumberFormat="1" applyFont="1" applyFill="1" applyBorder="1" applyAlignment="1">
      <x:alignment vertical="center"/>
    </x:xf>
    <x:xf numFmtId="0" fontId="29" fillId="37" borderId="0" xfId="0" applyNumberFormat="1" applyFont="1" applyFill="1" applyBorder="1" applyAlignment="1">
      <x:alignment vertical="center" wrapText="1"/>
    </x:xf>
    <x:xf numFmtId="0" fontId="25" fillId="37" borderId="0" xfId="0" applyNumberFormat="1" applyFont="1" applyFill="1" applyBorder="1" applyAlignment="1">
      <x:alignment vertical="center" wrapText="1"/>
    </x:xf>
    <x:xf numFmtId="0" fontId="23" fillId="39" borderId="0" xfId="0" applyNumberFormat="1" applyFont="1" applyFill="1" applyBorder="1" applyAlignment="1">
      <x:alignment vertical="center"/>
    </x:xf>
    <x:xf numFmtId="0" fontId="23" fillId="39" borderId="0" xfId="0" applyNumberFormat="1" applyFont="1" applyFill="1" applyBorder="1" applyAlignment="1">
      <x:alignment vertical="center" wrapText="1"/>
    </x:xf>
    <x:xf numFmtId="0" fontId="26" fillId="40" borderId="0" xfId="0" applyNumberFormat="1" applyFont="1" applyFill="1" applyBorder="1"/>
    <x:xf numFmtId="200" fontId="23" fillId="39" borderId="0" xfId="0" applyNumberFormat="1" applyFont="1" applyFill="1" applyBorder="1" applyAlignment="1">
      <x:alignment vertical="center"/>
    </x:xf>
    <x:xf numFmtId="0" fontId="0" fillId="40" borderId="0" xfId="0" applyNumberFormat="1" applyFont="1" applyFill="1" applyBorder="1"/>
    <x:xf numFmtId="200" fontId="26" fillId="40" borderId="0" xfId="0" applyNumberFormat="1" applyFont="1" applyFill="1" applyBorder="1"/>
    <x:xf numFmtId="0" fontId="23" fillId="37" borderId="0" xfId="0" applyNumberFormat="1" applyFont="1" applyFill="1" applyBorder="1" applyAlignment="1">
      <x:alignment vertical="center" wrapText="1"/>
    </x:xf>
    <x:xf numFmtId="0" fontId="27" fillId="37" borderId="0" xfId="0" applyNumberFormat="1" applyFont="1" applyFill="1" applyBorder="1" applyAlignment="1">
      <x:alignment vertical="center" wrapText="1"/>
    </x:xf>
    <x:xf numFmtId="0" fontId="23" fillId="41" borderId="0" xfId="0" applyNumberFormat="1" applyFont="1" applyFill="1" applyBorder="1" applyAlignment="1">
      <x:alignment vertical="center" wrapText="1"/>
    </x:xf>
    <x:xf numFmtId="0" fontId="23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3" fillId="39" borderId="0" xfId="0" applyNumberFormat="1" applyFont="1" applyFill="1" applyBorder="1" applyAlignment="1">
      <x:alignment vertical="center" wrapText="1"/>
    </x:xf>
    <x:xf numFmtId="201" fontId="23" fillId="39" borderId="0" xfId="0" applyNumberFormat="1" applyFont="1" applyFill="1" applyBorder="1" applyAlignment="1">
      <x:alignment horizontal="center" vertical="center" wrapText="1"/>
    </x:xf>
    <x:xf numFmtId="0" fontId="23" fillId="39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1">
    <x:dxf>
      <x:fill>
        <x:patternFill>
          <x:bgColor rgb="FFD9EAD3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4CCCC"/>
        </x:patternFill>
      </x:fill>
    </x:dxf>
    <x:dxf>
      <x:font>
        <x:color rgb="FF1D5A43"/>
      </x:font>
      <x:fill>
        <x:patternFill>
          <x:bgColor rgb="FFDDEEE5"/>
        </x:patternFill>
      </x:fill>
    </x:dxf>
    <x:dxf>
      <x:font>
        <x:color rgb="FF76531F"/>
      </x:font>
      <x:fill>
        <x:patternFill>
          <x:bgColor rgb="FFFFF0CF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>
          <x:bgColor rgb="FFFFF0CC"/>
        </x:patternFill>
      </x:fill>
    </x:dxf>
    <x:dxf>
      <x:font>
        <x:b/>
        <x:color rgb="FF245544"/>
      </x:font>
      <x:fill>
        <x:patternFill>
          <x:bgColor rgb="FFDCECE3"/>
        </x:patternFill>
      </x:fill>
    </x:dxf>
    <x:dxf>
      <x:font>
        <x:color rgb="FF805319"/>
      </x:font>
      <x:fill>
        <x:patternFill patternType="solid">
          <x:bgColor rgb="FFFFF0CC"/>
        </x:patternFill>
      </x:fill>
    </x:dxf>
    <x:dxf>
      <x:font>
        <x:b/>
        <x:color rgb="FF245544"/>
      </x:font>
      <x:fill>
        <x:patternFill patternType="solid">
          <x:bgColor rgb="FFDCECE3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89c082f49a646c2" /><Relationship Type="http://schemas.openxmlformats.org/officeDocument/2006/relationships/theme" Target="/xl/theme/theme1.xml" Id="Rae7f00196dc44486" /><Relationship Type="http://schemas.openxmlformats.org/officeDocument/2006/relationships/sharedStrings" Target="/xl/sharedStrings.xml" Id="Rb4ee340671104cac" /><Relationship Type="http://schemas.openxmlformats.org/officeDocument/2006/relationships/worksheet" Target="/xl/worksheets/sheet1.xml" Id="R3924a90b6cf8485d" /><Relationship Type="http://schemas.openxmlformats.org/officeDocument/2006/relationships/worksheet" Target="/xl/worksheets/sheet2.xml" Id="R1db452f5cdfd4289" /><Relationship Type="http://schemas.openxmlformats.org/officeDocument/2006/relationships/worksheet" Target="/xl/worksheets/sheet3.xml" Id="Rbff9c04f35cb45c1" /><Relationship Type="http://schemas.openxmlformats.org/officeDocument/2006/relationships/worksheet" Target="/xl/worksheets/sheet4.xml" Id="R255eb238b4d94800" /><Relationship Type="http://schemas.openxmlformats.org/officeDocument/2006/relationships/worksheet" Target="/xl/worksheets/sheet5.xml" Id="R615d122ca72c47f5" /><Relationship Type="http://schemas.openxmlformats.org/officeDocument/2006/relationships/worksheet" Target="/xl/worksheets/sheet6.xml" Id="R2bb847da10f74d40" /><Relationship Type="http://schemas.openxmlformats.org/officeDocument/2006/relationships/worksheet" Target="/xl/worksheets/sheet7.xml" Id="Rb7e5e66681ad4cc4" /><Relationship Type="http://schemas.openxmlformats.org/officeDocument/2006/relationships/worksheet" Target="/xl/worksheets/sheet8.xml" Id="Rcdfe32a245fc426d" /><Relationship Type="http://schemas.openxmlformats.org/officeDocument/2006/relationships/worksheet" Target="/xl/worksheets/sheet9.xml" Id="R6b1de5b140d3413f" /><Relationship Type="http://schemas.openxmlformats.org/officeDocument/2006/relationships/worksheet" Target="/xl/worksheets/sheet10.xml" Id="Rb308df12925246eb" /><Relationship Type="http://schemas.openxmlformats.org/officeDocument/2006/relationships/worksheet" Target="/xl/worksheets/sheet11.xml" Id="R0185a71714ac4671" /><Relationship Type="http://schemas.openxmlformats.org/officeDocument/2006/relationships/worksheet" Target="/xl/worksheets/sheet12.xml" Id="R66725b00d0974351" /><Relationship Type="http://schemas.openxmlformats.org/officeDocument/2006/relationships/worksheet" Target="/xl/worksheets/sheet13.xml" Id="R41d4086471854944" /><Relationship Type="http://schemas.openxmlformats.org/officeDocument/2006/relationships/worksheet" Target="/xl/worksheets/sheet14.xml" Id="Rd702c213e7e94595" /></Relationships>
</file>

<file path=xl/tables/table1.xml><?xml version="1.0" encoding="utf-8"?>
<x:table xmlns:x="http://schemas.openxmlformats.org/spreadsheetml/2006/main" id="1" name="T1" displayName="T1" ref="A5:K4005" headerRowCount="1" totalsRowCount="0" totalsRowShown="0">
  <x:tableColumns count="11">
    <x:tableColumn id="1" name="ID"/>
    <x:tableColumn id="2" name="Parent"/>
    <x:tableColumn id="3" name="Origine"/>
    <x:tableColumn id="4" name="Famille"/>
    <x:tableColumn id="5" name="Programme"/>
    <x:tableColumn id="6" name="Génération"/>
    <x:tableColumn id="7" name="Espaces source"/>
    <x:tableColumn id="8" name="Références objets"/>
    <x:tableColumn id="9" name="Qualification en jeu"/>
    <x:tableColumn id="10" name="Source GitHub"/>
    <x:tableColumn id="11" name="Dimensions et porté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2" displayName="T2" ref="A5:L85" headerRowCount="1" totalsRowCount="0" totalsRowShown="0">
  <x:tableColumns count="12">
    <x:tableColumn id="1" name="ID typologie"/>
    <x:tableColumn id="2" name="Domaine"/>
    <x:tableColumn id="3" name="Typologie"/>
    <x:tableColumn id="4" name="Variantes demandées"/>
    <x:tableColumn id="5" name="Statut conception"/>
    <x:tableColumn id="6" name="Espaces à détailler"/>
    <x:tableColumn id="7" name="Réseaux à raccorder"/>
    <x:tableColumn id="8" name="Règle d’implantation"/>
    <x:tableColumn id="9" name="Dimensions réelles"/>
    <x:tableColumn id="10" name="Plan de référence"/>
    <x:tableColumn id="11" name="Intégration"/>
    <x:tableColumn id="12" name="Variantes suivi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3" displayName="T3" ref="A5:K4005" headerRowCount="1" totalsRowCount="0" totalsRowShown="0">
  <x:tableColumns count="11">
    <x:tableColumn id="1" name="ID cible"/>
    <x:tableColumn id="2" name="Typologie ID"/>
    <x:tableColumn id="3" name="Domaine"/>
    <x:tableColumn id="4" name="Typologie"/>
    <x:tableColumn id="5" name="N° variante"/>
    <x:tableColumn id="6" name="Statut"/>
    <x:tableColumn id="7" name="Architecture"/>
    <x:tableColumn id="8" name="Dimensions (m)"/>
    <x:tableColumn id="9" name="Poids de spawn"/>
    <x:tableColumn id="10" name="Jouable validé"/>
    <x:tableColumn id="11" name="Limit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4" displayName="T4" ref="A5:J805" headerRowCount="1" totalsRowCount="0" totalsRowShown="0">
  <x:tableColumns count="10">
    <x:tableColumn id="1" name="ID tâche"/>
    <x:tableColumn id="2" name="Typologie ID"/>
    <x:tableColumn id="3" name="Domaine"/>
    <x:tableColumn id="4" name="Typologie"/>
    <x:tableColumn id="5" name="Livrable"/>
    <x:tableColumn id="6" name="Priorité"/>
    <x:tableColumn id="7" name="Statut"/>
    <x:tableColumn id="8" name="Responsable"/>
    <x:tableColumn id="9" name="Critère de réception"/>
    <x:tableColumn id="10" name="Preuve / commi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T5" displayName="T5" ref="A5:E35" headerRowCount="1" totalsRowCount="0" totalsRowShown="0">
  <x:tableColumns count="5">
    <x:tableColumn id="1" name="ID"/>
    <x:tableColumn id="2" name="Domaine"/>
    <x:tableColumn id="3" name="Règle"/>
    <x:tableColumn id="4" name="Preuve attendue"/>
    <x:tableColumn id="5" name="Priorité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6" displayName="T6" ref="A5:D38" headerRowCount="1" totalsRowCount="0" totalsRowShown="0">
  <x:tableColumns count="4">
    <x:tableColumn id="1" name="Famille"/>
    <x:tableColumn id="2" name="Programmes"/>
    <x:tableColumn id="3" name="Parents"/>
    <x:tableColumn id="4" name="Compositions hérité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T7" displayName="T7" ref="A5:E13" headerRowCount="1" totalsRowCount="0" totalsRowShown="0">
  <x:tableColumns count="5">
    <x:tableColumn id="1" name="ID"/>
    <x:tableColumn id="2" name="Objet"/>
    <x:tableColumn id="3" name="Révision / fichier"/>
    <x:tableColumn id="4" name="URL"/>
    <x:tableColumn id="5" name="Porté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T8" displayName="T8" ref="A5:E13" headerRowCount="1" totalsRowCount="0" totalsRowShown="0">
  <x:tableColumns count="5">
    <x:tableColumn id="1" name="Contrôle"/>
    <x:tableColumn id="2" name="Valeur"/>
    <x:tableColumn id="3" name="Champ"/>
    <x:tableColumn id="4" name="Détail"/>
    <x:tableColumn id="5" name="État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T9" displayName="T9" ref="A5:B24" headerRowCount="1" totalsRowCount="0" totalsRowShown="0">
  <x:tableColumns count="2">
    <x:tableColumn id="1" name="Statut / convention"/>
    <x:tableColumn id="2" name="Signification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SourcesMetriques2026" displayName="SourcesMetriques2026" ref="A5:E12" headerRowCount="1" totalsRowCount="0" totalsRowShown="0">
  <x:tableColumns count="5">
    <x:tableColumn id="1" name="ID source"/>
    <x:tableColumn id="2" name="Référence"/>
    <x:tableColumn id="3" name="URL primaire"/>
    <x:tableColumn id="4" name="Consultation"/>
    <x:tableColumn id="5" name="Portée / limite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AvancementTypologies2026" displayName="AvancementTypologies2026" ref="A5:N85" headerRowCount="1" totalsRowCount="0" totalsRowShown="0">
  <x:tableColumns count="14">
    <x:tableColumn id="1" name="ID typologie"/>
    <x:tableColumn id="2" name="Typologie"/>
    <x:tableColumn id="3" name="Dimensions"/>
    <x:tableColumn id="4" name="Architecture"/>
    <x:tableColumn id="5" name="Seed"/>
    <x:tableColumn id="6" name="Objets"/>
    <x:tableColumn id="7" name="Butin"/>
    <x:tableColumn id="8" name="Rencontres"/>
    <x:tableColumn id="9" name="Services"/>
    <x:tableColumn id="10" name="Graphismes"/>
    <x:tableColumn id="11" name="Sauvegarde"/>
    <x:tableColumn id="12" name="QA"/>
    <x:tableColumn id="13" name="Validées"/>
    <x:tableColumn id="14" name="Restantes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InspectionPhysique2026" displayName="InspectionPhysique2026" ref="A5:L85" headerRowCount="1" totalsRowCount="0" totalsRowShown="0">
  <x:tableColumns count="12">
    <x:tableColumn id="1" name="ID typologie"/>
    <x:tableColumn id="2" name="Typologie"/>
    <x:tableColumn id="3" name="Plans inspectés"/>
    <x:tableColumn id="4" name="Pièces"/>
    <x:tableColumn id="5" name="Pièces meublées"/>
    <x:tableColumn id="6" name="Objets posés"/>
    <x:tableColumn id="7" name="Poses refusées"/>
    <x:tableColumn id="8" name="Segments de mur"/>
    <x:tableColumn id="9" name="Transitions"/>
    <x:tableColumn id="10" name="Niveaux cumulés"/>
    <x:tableColumn id="11" name="Contrôles réussis"/>
    <x:tableColumn id="12" name="Jouables en campagn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CampagneG11205" displayName="CampagneG11205" ref="A5:L205" headerRowCount="1" totalsRowCount="0" totalsRowShown="0">
  <x:tableColumns count="12">
    <x:tableColumn id="1" name="ID plan auteur"/>
    <x:tableColumn id="2" name="Typologie"/>
    <x:tableColumn id="3" name="Variante"/>
    <x:tableColumn id="4" name="Alias G11"/>
    <x:tableColumn id="5" name="Éligible G11"/>
    <x:tableColumn id="6" name="Plan"/>
    <x:tableColumn id="7" name="Objets"/>
    <x:tableColumn id="8" name="Butin fini"/>
    <x:tableColumn id="9" name="Portes"/>
    <x:tableColumn id="10" name="Instances témoins"/>
    <x:tableColumn id="11" name="Graines témoins"/>
    <x:tableColumn id="12" name="Preuve par variant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2089eeab20c49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446aab44eb4ea6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932ee40db40471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2caf5ac4d8ab4e5e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f215eb8352142d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8d0b139d9acd45a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ea24f75a9d5045a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6faaf5d8236d4249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a2ddfdcff8d54b80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fcc9a18171684846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420aaaa14fcb45fa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49ce7f760be44d85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3.xml" Id="R4b50238a4f7a4062" /></Relationships>
</file>

<file path=xl/worksheets/sheet1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24" customHeight="1">
      <x:c r="A1" s="94" t="str">
        <x:v>DEADWALL  /  CODEX MONDE — SUIVI DE PRODUCTION</x:v>
      </x:c>
      <x:c r="B1" s="94"/>
      <x:c r="C1" s="94"/>
      <x:c r="D1" s="94"/>
      <x:c r="E1" s="94"/>
      <x:c r="F1" s="94"/>
      <x:c r="G1" s="94"/>
      <x:c r="H1" s="94"/>
      <x:c r="I1" s="94"/>
      <x:c r="J1" s="94"/>
      <x:c r="K1" s="94"/>
      <x:c r="L1" s="94"/>
    </x:row>
    <x:row r="2" ht="24" customHeight="1">
      <x:c r="A2" s="94"/>
      <x:c r="B2" s="94"/>
      <x:c r="C2" s="94"/>
      <x:c r="D2" s="94"/>
      <x:c r="E2" s="94"/>
      <x:c r="F2" s="94"/>
      <x:c r="G2" s="94"/>
      <x:c r="H2" s="94"/>
      <x:c r="I2" s="94"/>
      <x:c r="J2" s="94"/>
      <x:c r="K2" s="94"/>
      <x:c r="L2" s="94"/>
    </x:row>
    <x:row r="3" ht="24" customHeight="1">
      <x:c r="A3" s="96" t="str">
        <x:v>DEADWALL 1.72 · 4 000 plans équipés · 200 modèles G11 éligibles</x:v>
      </x:c>
      <x:c r="B3" s="96"/>
      <x:c r="C3" s="96"/>
      <x:c r="D3" s="96"/>
      <x:c r="E3" s="96"/>
      <x:c r="F3" s="96"/>
      <x:c r="G3" s="96"/>
      <x:c r="H3" s="96"/>
      <x:c r="I3" s="96"/>
      <x:c r="J3" s="96"/>
      <x:c r="K3" s="96"/>
      <x:c r="L3" s="96"/>
    </x:row>
    <x:row r="4" ht="24" customHeight="1">
      <x:c r="A4" s="91"/>
      <x:c r="B4" s="91"/>
      <x:c r="C4" s="91"/>
      <x:c r="D4" s="91"/>
      <x:c r="E4" s="91"/>
      <x:c r="F4" s="91"/>
      <x:c r="G4" s="91"/>
      <x:c r="H4" s="91"/>
      <x:c r="I4" s="91"/>
      <x:c r="J4" s="91"/>
      <x:c r="K4" s="91"/>
      <x:c r="L4" s="91"/>
    </x:row>
    <x:row r="5" ht="24" customHeight="1">
      <x:c r="A5" s="98" t="str">
        <x:v>PROGRAMMES EXISTANTS</x:v>
      </x:c>
      <x:c r="B5" s="98"/>
      <x:c r="C5" s="98"/>
      <x:c r="D5" s="98" t="str">
        <x:v>PARENTS SOURCES</x:v>
      </x:c>
      <x:c r="E5" s="98"/>
      <x:c r="F5" s="98"/>
      <x:c r="G5" s="98" t="str">
        <x:v>TYPOLOGIES CIBLES</x:v>
      </x:c>
      <x:c r="H5" s="98"/>
      <x:c r="I5" s="98"/>
      <x:c r="J5" s="98" t="str">
        <x:v>VARIANTES CIBLES</x:v>
      </x:c>
      <x:c r="K5" s="98"/>
      <x:c r="L5" s="98"/>
    </x:row>
    <x:row r="6" ht="24" customHeight="1">
      <x:c r="A6" s="100" t="n">
        <x:f>COUNTA('Catalogue existant'!A6:A4005)</x:f>
        <x:v>4000</x:v>
      </x:c>
      <x:c r="B6" s="100"/>
      <x:c r="C6" s="100"/>
      <x:c r="D6" s="100" t="n">
        <x:f>COUNTIF('Catalogue existant'!C6:C4005,"Parent historique")+COUNTIF('Catalogue existant'!C6:C4005,"Parent indépendant 1.58")</x:f>
        <x:v>2000</x:v>
      </x:c>
      <x:c r="E6" s="100"/>
      <x:c r="F6" s="100"/>
      <x:c r="G6" s="100" t="n">
        <x:f>COUNTA('Extension typologies'!A6:A85)</x:f>
        <x:v>80</x:v>
      </x:c>
      <x:c r="H6" s="100"/>
      <x:c r="I6" s="100"/>
      <x:c r="J6" s="100" t="n">
        <x:f>COUNTA('Variantes à concevoir'!A6:A4005)</x:f>
        <x:v>4000</x:v>
      </x:c>
      <x:c r="K6" s="100"/>
      <x:c r="L6" s="100"/>
    </x:row>
    <x:row r="7" ht="24" customHeight="1">
      <x:c r="A7" s="100"/>
      <x:c r="B7" s="100"/>
      <x:c r="C7" s="100"/>
      <x:c r="D7" s="100"/>
      <x:c r="E7" s="100"/>
      <x:c r="F7" s="100"/>
      <x:c r="G7" s="100"/>
      <x:c r="H7" s="100"/>
      <x:c r="I7" s="100"/>
      <x:c r="J7" s="100"/>
      <x:c r="K7" s="100"/>
      <x:c r="L7" s="100"/>
    </x:row>
    <x:row r="8" ht="24" customHeight="1">
      <x:c r="A8" s="91"/>
      <x:c r="B8" s="91"/>
      <x:c r="C8" s="91"/>
      <x:c r="D8" s="91"/>
      <x:c r="E8" s="91"/>
      <x:c r="F8" s="91"/>
      <x:c r="G8" s="91"/>
      <x:c r="H8" s="91"/>
      <x:c r="I8" s="91"/>
      <x:c r="J8" s="91"/>
      <x:c r="K8" s="91"/>
      <x:c r="L8" s="91"/>
    </x:row>
    <x:row r="9" ht="24" customHeight="1">
      <x:c r="A9" s="102" t="str">
        <x:v>Suivi de la PR #19. Conception, contrôles et intégration en campagne gardent des statuts distincts.</x:v>
      </x:c>
      <x:c r="B9" s="102"/>
      <x:c r="C9" s="102"/>
      <x:c r="D9" s="102"/>
      <x:c r="E9" s="102"/>
      <x:c r="F9" s="102"/>
      <x:c r="G9" s="102"/>
      <x:c r="H9" s="102"/>
      <x:c r="I9" s="102"/>
      <x:c r="J9" s="102"/>
      <x:c r="K9" s="102"/>
      <x:c r="L9" s="102"/>
    </x:row>
    <x:row r="10" ht="24" customHeight="1">
      <x:c r="A10" s="102"/>
      <x:c r="B10" s="102"/>
      <x:c r="C10" s="102"/>
      <x:c r="D10" s="102"/>
      <x:c r="E10" s="102"/>
      <x:c r="F10" s="102"/>
      <x:c r="G10" s="102"/>
      <x:c r="H10" s="102"/>
      <x:c r="I10" s="102"/>
      <x:c r="J10" s="102"/>
      <x:c r="K10" s="102"/>
      <x:c r="L10" s="102"/>
    </x:row>
    <x:row r="11" ht="24" customHeight="1">
      <x:c r="A11" s="91"/>
      <x:c r="B11" s="91"/>
      <x:c r="C11" s="91"/>
      <x:c r="D11" s="91"/>
      <x:c r="E11" s="91"/>
      <x:c r="F11" s="91"/>
      <x:c r="G11" s="91"/>
      <x:c r="H11" s="91"/>
      <x:c r="I11" s="91"/>
      <x:c r="J11" s="91"/>
      <x:c r="K11" s="91"/>
      <x:c r="L11" s="91"/>
    </x:row>
    <x:row r="12" ht="24" customHeight="1">
      <x:c r="A12" s="104" t="str">
        <x:v>PÉRIMÈTRE ET CONTRÔLES</x:v>
      </x:c>
      <x:c r="B12" s="104"/>
      <x:c r="C12" s="104" t="str">
        <x:v>NOMBRE</x:v>
      </x:c>
      <x:c r="D12" s="104" t="str">
        <x:v>PORTÉE</x:v>
      </x:c>
      <x:c r="E12" s="104"/>
      <x:c r="F12" s="91"/>
      <x:c r="G12" s="104" t="str">
        <x:v>TÂCHES ET AVANCEMENT AUTEUR</x:v>
      </x:c>
      <x:c r="H12" s="104"/>
      <x:c r="I12" s="104"/>
      <x:c r="J12" s="104"/>
      <x:c r="K12" s="104"/>
      <x:c r="L12" s="104"/>
    </x:row>
    <x:row r="13" ht="34" customHeight="1">
      <x:c r="A13" s="105" t="str">
        <x:v>Espaces sources</x:v>
      </x:c>
      <x:c r="B13" s="105"/>
      <x:c r="C13" s="119" t="n">
        <x:v>12060</x:v>
      </x:c>
      <x:c r="D13" s="105" t="str">
        <x:v>Inventaire JSON intégral</x:v>
      </x:c>
      <x:c r="E13" s="105"/>
      <x:c r="F13" s="91"/>
      <x:c r="G13" s="107" t="str">
        <x:v>À faire</x:v>
      </x:c>
      <x:c r="H13" s="107"/>
      <x:c r="I13" s="107"/>
      <x:c r="J13" s="107"/>
      <x:c r="K13" s="122" t="n">
        <x:f>COUNTIF(Chantiers!G6:G805,"À faire")</x:f>
        <x:v>392</x:v>
      </x:c>
      <x:c r="L13" s="122"/>
    </x:row>
    <x:row r="14" ht="34" customHeight="1">
      <x:c r="A14" s="90" t="str">
        <x:v>Objets / emplacements</x:v>
      </x:c>
      <x:c r="B14" s="90"/>
      <x:c r="C14" s="92" t="n">
        <x:v>13539</x:v>
      </x:c>
      <x:c r="D14" s="90" t="str">
        <x:v>Références auteur du catalogue</x:v>
      </x:c>
      <x:c r="E14" s="90"/>
      <x:c r="F14" s="91"/>
      <x:c r="G14" s="91" t="str">
        <x:v>En cours</x:v>
      </x:c>
      <x:c r="H14" s="91"/>
      <x:c r="I14" s="91"/>
      <x:c r="J14" s="91"/>
      <x:c r="K14" s="123" t="n">
        <x:f>COUNTIF(Chantiers!G6:G805,"En cours")</x:f>
        <x:v>405</x:v>
      </x:c>
      <x:c r="L14" s="123"/>
    </x:row>
    <x:row r="15" ht="34" customHeight="1">
      <x:c r="A15" s="105" t="str">
        <x:v>Tâches de l’extension</x:v>
      </x:c>
      <x:c r="B15" s="105"/>
      <x:c r="C15" s="119" t="n">
        <x:f>COUNTA(Chantiers!A6:A805)</x:f>
        <x:v>800</x:v>
      </x:c>
      <x:c r="D15" s="105" t="str">
        <x:v>10 étapes par typologie</x:v>
      </x:c>
      <x:c r="E15" s="105"/>
      <x:c r="F15" s="91"/>
      <x:c r="G15" s="107" t="str">
        <x:v>Validé</x:v>
      </x:c>
      <x:c r="H15" s="107"/>
      <x:c r="I15" s="107"/>
      <x:c r="J15" s="107"/>
      <x:c r="K15" s="122" t="n">
        <x:f>COUNTIF(Chantiers!G6:G805,"Validé")</x:f>
        <x:v>3</x:v>
      </x:c>
      <x:c r="L15" s="122"/>
    </x:row>
    <x:row r="16" ht="34" customHeight="1">
      <x:c r="A16" s="90" t="str">
        <x:v>Tâches validées</x:v>
      </x:c>
      <x:c r="B16" s="90"/>
      <x:c r="C16" s="92" t="n">
        <x:f>COUNTIF(Chantiers!G6:G805,"Validé")</x:f>
        <x:v>3</x:v>
      </x:c>
      <x:c r="D16" s="90" t="str">
        <x:v>Critères propres à chaque tâche</x:v>
      </x:c>
      <x:c r="E16" s="90"/>
      <x:c r="F16" s="91"/>
      <x:c r="G16" s="91" t="str">
        <x:v>Gabarits / plans documentés</x:v>
      </x:c>
      <x:c r="H16" s="91"/>
      <x:c r="I16" s="91"/>
      <x:c r="J16" s="91"/>
      <x:c r="K16" s="123" t="n">
        <x:f>COUNTA('Variantes à concevoir'!A6:A4005)-COUNTIF('Variantes à concevoir'!F6:F4005,"À concevoir")</x:f>
        <x:v>4000</x:v>
      </x:c>
      <x:c r="L16" s="123"/>
    </x:row>
    <x:row r="17" ht="34" customHeight="1">
      <x:c r="A17" s="105" t="str">
        <x:v>Validations sans preuve</x:v>
      </x:c>
      <x:c r="B17" s="105"/>
      <x:c r="C17" s="119" t="n">
        <x:f>SUMPRODUCT((Chantiers!G6:G805="Validé")*(Chantiers!J6:J805=""))</x:f>
        <x:v>0</x:v>
      </x:c>
      <x:c r="D17" s="105" t="str">
        <x:v>Doit rester à zéro</x:v>
      </x:c>
      <x:c r="E17" s="105"/>
      <x:c r="F17" s="91"/>
      <x:c r="G17" s="107" t="str">
        <x:v>Variantes à concevoir</x:v>
      </x:c>
      <x:c r="H17" s="107"/>
      <x:c r="I17" s="107"/>
      <x:c r="J17" s="107"/>
      <x:c r="K17" s="122" t="n">
        <x:f>COUNTIF('Variantes à concevoir'!F6:F4005,"À concevoir")</x:f>
        <x:v>0</x:v>
      </x:c>
      <x:c r="L17" s="122"/>
    </x:row>
    <x:row r="18" ht="34" customHeight="1">
      <x:c r="A18" s="90" t="str">
        <x:v>Variantes d’inspection promues</x:v>
      </x:c>
      <x:c r="B18" s="90"/>
      <x:c r="C18" s="92" t="n">
        <x:f>COUNTIF('Variantes à concevoir'!J6:J4005,"Oui")</x:f>
        <x:v>0</x:v>
      </x:c>
      <x:c r="D18" s="90" t="str">
        <x:v>Éligibilité et témoins G11 dans leur feuille distincte</x:v>
      </x:c>
      <x:c r="E18" s="90"/>
      <x:c r="F18" s="91"/>
      <x:c r="G18" s="91" t="str">
        <x:v>Promotions globalement validées</x:v>
      </x:c>
      <x:c r="H18" s="91"/>
      <x:c r="I18" s="91"/>
      <x:c r="J18" s="91"/>
      <x:c r="K18" s="123" t="n">
        <x:f>C18</x:f>
        <x:v>0</x:v>
      </x:c>
      <x:c r="L18" s="123"/>
    </x:row>
    <x:row r="19" ht="24" customHeight="1">
      <x:c r="A19" s="91"/>
      <x:c r="B19" s="91"/>
      <x:c r="C19" s="91"/>
      <x:c r="D19" s="91"/>
      <x:c r="E19" s="91"/>
      <x:c r="F19" s="91"/>
      <x:c r="G19" s="91"/>
      <x:c r="H19" s="91"/>
      <x:c r="I19" s="91"/>
      <x:c r="J19" s="91"/>
      <x:c r="K19" s="91"/>
      <x:c r="L19" s="91"/>
    </x:row>
    <x:row r="20" ht="24" customHeight="1">
      <x:c r="A20" s="91"/>
      <x:c r="B20" s="91"/>
      <x:c r="C20" s="91"/>
      <x:c r="D20" s="91"/>
      <x:c r="E20" s="91"/>
      <x:c r="F20" s="91"/>
      <x:c r="G20" s="91"/>
      <x:c r="H20" s="91"/>
      <x:c r="I20" s="91"/>
      <x:c r="J20" s="91"/>
      <x:c r="K20" s="91"/>
      <x:c r="L20" s="91"/>
    </x:row>
    <x:row r="21" ht="24" customHeight="1">
      <x:c r="A21" s="104" t="str">
        <x:v>CE QUI A ÉTÉ REPRIS ET CE QUI RESTE OUVERT</x:v>
      </x:c>
      <x:c r="B21" s="104"/>
      <x:c r="C21" s="104"/>
      <x:c r="D21" s="104"/>
      <x:c r="E21" s="104"/>
      <x:c r="F21" s="104"/>
      <x:c r="G21" s="104"/>
      <x:c r="H21" s="104"/>
      <x:c r="I21" s="104"/>
      <x:c r="J21" s="104"/>
      <x:c r="K21" s="104"/>
      <x:c r="L21" s="104"/>
    </x:row>
    <x:row r="22" ht="24" customHeight="1">
      <x:c r="A22" s="81"/>
      <x:c r="B22" s="81"/>
      <x:c r="C22" s="81"/>
      <x:c r="D22" s="81"/>
      <x:c r="E22" s="91"/>
      <x:c r="F22" s="91"/>
      <x:c r="G22" s="91"/>
      <x:c r="H22" s="91"/>
      <x:c r="I22" s="91"/>
      <x:c r="J22" s="91"/>
      <x:c r="K22" s="91"/>
      <x:c r="L22" s="91"/>
    </x:row>
    <x:row r="23" ht="24" customHeight="1">
      <x:c r="A23" s="110" t="str">
        <x:v>80 typologies, 4 000 objectifs et 800 tâches. 3 validations métriques conservées, 405 tâches en cours, 392 à faire.</x:v>
      </x:c>
      <x:c r="B23" s="110"/>
      <x:c r="C23" s="110"/>
      <x:c r="D23" s="110"/>
      <x:c r="E23" s="110"/>
      <x:c r="F23" s="110"/>
      <x:c r="G23" s="110"/>
      <x:c r="H23" s="110"/>
      <x:c r="I23" s="110"/>
      <x:c r="J23" s="110"/>
      <x:c r="K23" s="110"/>
      <x:c r="L23" s="110"/>
    </x:row>
    <x:row r="24" ht="24" customHeight="1">
      <x:c r="A24" s="110"/>
      <x:c r="B24" s="110"/>
      <x:c r="C24" s="110"/>
      <x:c r="D24" s="110"/>
      <x:c r="E24" s="110"/>
      <x:c r="F24" s="110"/>
      <x:c r="G24" s="110"/>
      <x:c r="H24" s="110"/>
      <x:c r="I24" s="110"/>
      <x:c r="J24" s="110"/>
      <x:c r="K24" s="110"/>
      <x:c r="L24" s="110"/>
    </x:row>
    <x:row r="25" ht="24" customHeight="1">
      <x:c r="A25" s="90"/>
      <x:c r="B25" s="90"/>
      <x:c r="C25" s="90"/>
      <x:c r="D25" s="90"/>
      <x:c r="E25" s="91"/>
      <x:c r="F25" s="91"/>
      <x:c r="G25" s="91"/>
      <x:c r="H25" s="91"/>
      <x:c r="I25" s="91"/>
      <x:c r="J25" s="91"/>
      <x:c r="K25" s="91"/>
      <x:c r="L25" s="91"/>
    </x:row>
    <x:row r="26" ht="24" customHeight="1">
      <x:c r="A26" s="110" t="str">
        <x:v>588 378 équipements demandés et posés, sans refus. 200 adaptations G11 sont éligibles ; leurs 63 instances observées sur 8 graines sont suivies séparément des inspections.</x:v>
      </x:c>
      <x:c r="B26" s="110"/>
      <x:c r="C26" s="110"/>
      <x:c r="D26" s="110"/>
      <x:c r="E26" s="110"/>
      <x:c r="F26" s="110"/>
      <x:c r="G26" s="110"/>
      <x:c r="H26" s="110"/>
      <x:c r="I26" s="110"/>
      <x:c r="J26" s="110"/>
      <x:c r="K26" s="110"/>
      <x:c r="L26" s="110"/>
    </x:row>
    <x:row r="27" ht="24" customHeight="1">
      <x:c r="A27" s="110"/>
      <x:c r="B27" s="110"/>
      <x:c r="C27" s="110"/>
      <x:c r="D27" s="110"/>
      <x:c r="E27" s="110"/>
      <x:c r="F27" s="110"/>
      <x:c r="G27" s="110"/>
      <x:c r="H27" s="110"/>
      <x:c r="I27" s="110"/>
      <x:c r="J27" s="110"/>
      <x:c r="K27" s="110"/>
      <x:c r="L27" s="110"/>
    </x:row>
    <x:row r="28" ht="24" customHeight="1">
      <x:c r="A28" s="91"/>
      <x:c r="B28" s="91"/>
      <x:c r="C28" s="91"/>
      <x:c r="D28" s="91"/>
      <x:c r="E28" s="91"/>
      <x:c r="F28" s="91"/>
      <x:c r="G28" s="91"/>
      <x:c r="H28" s="91"/>
      <x:c r="I28" s="91"/>
      <x:c r="J28" s="91"/>
      <x:c r="K28" s="91"/>
      <x:c r="L28" s="91"/>
    </x:row>
    <x:row r="29" ht="24" customHeight="1">
      <x:c r="A29" s="110" t="str">
        <x:v>Seed et butin avancent pour T045–T048 sans validation globale. Rencontres, services, interactions, art définitif et parcours complets gardent leurs réceptions distinctes.</x:v>
      </x:c>
      <x:c r="B29" s="110"/>
      <x:c r="C29" s="110"/>
      <x:c r="D29" s="110"/>
      <x:c r="E29" s="110"/>
      <x:c r="F29" s="110"/>
      <x:c r="G29" s="110"/>
      <x:c r="H29" s="110"/>
      <x:c r="I29" s="110"/>
      <x:c r="J29" s="110"/>
      <x:c r="K29" s="110"/>
      <x:c r="L29" s="110"/>
    </x:row>
    <x:row r="30" ht="24" customHeight="1">
      <x:c r="A30" s="110"/>
      <x:c r="B30" s="110"/>
      <x:c r="C30" s="110"/>
      <x:c r="D30" s="110"/>
      <x:c r="E30" s="110"/>
      <x:c r="F30" s="110"/>
      <x:c r="G30" s="110"/>
      <x:c r="H30" s="110"/>
      <x:c r="I30" s="110"/>
      <x:c r="J30" s="110"/>
      <x:c r="K30" s="110"/>
      <x:c r="L30" s="110"/>
    </x:row>
    <x:row r="31" ht="24" customHeight="1">
      <x:c r="A31" s="90"/>
      <x:c r="B31" s="90"/>
      <x:c r="C31" s="90"/>
      <x:c r="D31" s="90"/>
      <x:c r="E31" s="90"/>
      <x:c r="F31" s="90"/>
      <x:c r="G31" s="90"/>
      <x:c r="H31" s="90"/>
      <x:c r="I31" s="90"/>
      <x:c r="J31" s="90"/>
      <x:c r="K31" s="90"/>
      <x:c r="L31" s="90"/>
    </x:row>
    <x:row r="32" ht="24" customHeight="1">
      <x:c r="A32" s="110" t="str">
        <x:v>Cotes publiées et choix de composition auteur restent distingués. Les 200 modèles ne garantissent aucun site par graine ; admission bornée à 8 sites, 2 par type.</x:v>
      </x:c>
      <x:c r="B32" s="110"/>
      <x:c r="C32" s="110"/>
      <x:c r="D32" s="110"/>
      <x:c r="E32" s="110"/>
      <x:c r="F32" s="110"/>
      <x:c r="G32" s="110"/>
      <x:c r="H32" s="110"/>
      <x:c r="I32" s="110"/>
      <x:c r="J32" s="110"/>
      <x:c r="K32" s="110"/>
      <x:c r="L32" s="110"/>
    </x:row>
    <x:row r="33" ht="24" customHeight="1">
      <x:c r="A33" s="110"/>
      <x:c r="B33" s="110"/>
      <x:c r="C33" s="110"/>
      <x:c r="D33" s="110"/>
      <x:c r="E33" s="110"/>
      <x:c r="F33" s="110"/>
      <x:c r="G33" s="110"/>
      <x:c r="H33" s="110"/>
      <x:c r="I33" s="110"/>
      <x:c r="J33" s="110"/>
      <x:c r="K33" s="110"/>
      <x:c r="L33" s="110"/>
    </x:row>
    <x:row r="34" ht="24" customHeight="1">
      <x:c r="A34" s="91"/>
      <x:c r="B34" s="91"/>
      <x:c r="C34" s="91"/>
      <x:c r="D34" s="91"/>
      <x:c r="E34" s="91"/>
      <x:c r="F34" s="91"/>
      <x:c r="G34" s="91"/>
      <x:c r="H34" s="91"/>
      <x:c r="I34" s="91"/>
      <x:c r="J34" s="91"/>
      <x:c r="K34" s="91"/>
      <x:c r="L34" s="91"/>
    </x:row>
  </x:sheetData>
  <x:mergeCells>
    <x:mergeCell ref="A1:L2"/>
    <x:mergeCell ref="A3:L3"/>
    <x:mergeCell ref="A5:C5"/>
    <x:mergeCell ref="D5:F5"/>
    <x:mergeCell ref="G5:I5"/>
    <x:mergeCell ref="J5:L5"/>
    <x:mergeCell ref="A6:C7"/>
    <x:mergeCell ref="D6:F7"/>
    <x:mergeCell ref="G6:I7"/>
    <x:mergeCell ref="J6:L7"/>
    <x:mergeCell ref="A9:L10"/>
    <x:mergeCell ref="A12:B12"/>
    <x:mergeCell ref="D12:E12"/>
    <x:mergeCell ref="A13:B13"/>
    <x:mergeCell ref="D13:E13"/>
    <x:mergeCell ref="A14:B14"/>
    <x:mergeCell ref="D14:E14"/>
    <x:mergeCell ref="A15:B15"/>
    <x:mergeCell ref="D15:E15"/>
    <x:mergeCell ref="A16:B16"/>
    <x:mergeCell ref="D16:E16"/>
    <x:mergeCell ref="A17:B17"/>
    <x:mergeCell ref="D17:E17"/>
    <x:mergeCell ref="A18:B18"/>
    <x:mergeCell ref="D18:E18"/>
    <x:mergeCell ref="G12:J12"/>
    <x:mergeCell ref="G13:J13"/>
    <x:mergeCell ref="K13:L13"/>
    <x:mergeCell ref="G14:J14"/>
    <x:mergeCell ref="K14:L14"/>
    <x:mergeCell ref="G15:J15"/>
    <x:mergeCell ref="K15:L15"/>
    <x:mergeCell ref="G16:J16"/>
    <x:mergeCell ref="K16:L16"/>
    <x:mergeCell ref="G17:J17"/>
    <x:mergeCell ref="K17:L17"/>
    <x:mergeCell ref="G18:J18"/>
    <x:mergeCell ref="K18:L18"/>
    <x:mergeCell ref="A21:L21"/>
    <x:mergeCell ref="A23:L24"/>
    <x:mergeCell ref="A26:L27"/>
    <x:mergeCell ref="A29:L30"/>
    <x:mergeCell ref="A32:L33"/>
  </x:mergeCells>
  <x:conditionalFormatting sqref="C17:C17">
    <x:cfRule type="cellIs" dxfId="2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6" hidden="0" customWidth="1"/>
    <x:col min="3" max="3" width="25" hidden="0" customWidth="1"/>
    <x:col min="4" max="4" width="30" hidden="0" customWidth="1"/>
    <x:col min="5" max="5" width="45" hidden="0" customWidth="1"/>
    <x:col min="6" max="6" width="16" hidden="0" customWidth="1"/>
    <x:col min="7" max="7" width="18" hidden="0" customWidth="1"/>
    <x:col min="8" max="8" width="20" hidden="0" customWidth="1"/>
    <x:col min="9" max="9" width="26" hidden="0" customWidth="1"/>
    <x:col min="10" max="10" width="42" hidden="0" customWidth="1"/>
    <x:col min="11" max="11" width="70" hidden="0" customWidth="1"/>
  </x:cols>
  <x:sheetData>
    <x:row r="1" ht="32" customHeight="1">
      <x:c r="A1" s="3" t="str">
        <x:v>01  /  CATALOGUE EXISTANT — 4 000 PROGRAMMES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0" customHeight="1">
      <x:c r="A2" s="9" t="str">
        <x:v>Extraction du catalogue au commit 6c6fbb6cf563bea6c89ade99c65f18c438481532. Les statuts indiquent la présence des sources, pas une validation exhaustive de chaque lieu dans une partie.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</x:row>
    <x:row r="5" ht="34" customHeight="1">
      <x:c r="A5" s="112" t="str">
        <x:v>ID</x:v>
      </x:c>
      <x:c r="B5" s="112" t="str">
        <x:v>Parent</x:v>
      </x:c>
      <x:c r="C5" s="112" t="str">
        <x:v>Origine</x:v>
      </x:c>
      <x:c r="D5" s="112" t="str">
        <x:v>Famille</x:v>
      </x:c>
      <x:c r="E5" s="112" t="str">
        <x:v>Programme</x:v>
      </x:c>
      <x:c r="F5" s="112" t="str">
        <x:v>Génération</x:v>
      </x:c>
      <x:c r="G5" s="112" t="str">
        <x:v>Espaces source</x:v>
      </x:c>
      <x:c r="H5" s="112" t="str">
        <x:v>Références objets</x:v>
      </x:c>
      <x:c r="I5" s="112" t="str">
        <x:v>Qualification en jeu</x:v>
      </x:c>
      <x:c r="J5" s="112" t="str">
        <x:v>Source GitHub</x:v>
      </x:c>
      <x:c r="K5" s="112" t="str">
        <x:v>Dimensions et portée</x:v>
      </x:c>
    </x:row>
    <x:row r="6" ht="34" customHeight="1">
      <x:c r="A6" s="16" t="str">
        <x:v>DW-0001</x:v>
      </x:c>
      <x:c r="B6" s="16" t="str">
        <x:v>DW-0001</x:v>
      </x:c>
      <x:c r="C6" s="16" t="str">
        <x:v>Parent historique</x:v>
      </x:c>
      <x:c r="D6" s="16" t="str">
        <x:v>Habitat individuel</x:v>
      </x:c>
      <x:c r="E6" s="16" t="str">
        <x:v>Maison de lotissement</x:v>
      </x:c>
      <x:c r="F6" s="16" t="n">
        <x:v>8</x:v>
      </x:c>
      <x:c r="G6" s="16" t="n">
        <x:v>5</x:v>
      </x:c>
      <x:c r="H6" s="16" t="n">
        <x:v>15</x:v>
      </x:c>
      <x:c r="I6" s="16" t="str">
        <x:v>À qualifier par lieu</x:v>
      </x:c>
      <x:c r="J6" s="16" t="str">
        <x:v>https://github.com/darknigthmare/deadwall-last-enclosure/blob/1b3b9c5ba232734b1bda3453b4e20a0481bcdd74/codex-3000/originaux/DEADWALL_CODEX_1.22/fiches/DW-0001.md</x:v>
      </x:c>
      <x:c r="K6" s="16" t="str">
        <x:v>Source min 12,10 m ; max 28,24 m ; modèle 26 × 22 m ; niveaux 0. Détails dans catalogue-existant.json.</x:v>
      </x:c>
    </x:row>
    <x:row r="7" ht="34" customHeight="1">
      <x:c r="A7" s="16" t="str">
        <x:v>DW-0002</x:v>
      </x:c>
      <x:c r="B7" s="16" t="str">
        <x:v>DW-0002</x:v>
      </x:c>
      <x:c r="C7" s="16" t="str">
        <x:v>Parent historique</x:v>
      </x:c>
      <x:c r="D7" s="16" t="str">
        <x:v>Habitat individuel</x:v>
      </x:c>
      <x:c r="E7" s="16" t="str">
        <x:v>Maison mitoyenne étroite</x:v>
      </x:c>
      <x:c r="F7" s="16" t="n">
        <x:v>8</x:v>
      </x:c>
      <x:c r="G7" s="16" t="n">
        <x:v>4</x:v>
      </x:c>
      <x:c r="H7" s="16" t="n">
        <x:v>12</x:v>
      </x:c>
      <x:c r="I7" s="16" t="str">
        <x:v>À qualifier par lieu</x:v>
      </x:c>
      <x:c r="J7" s="16" t="str">
        <x:v>https://github.com/darknigthmare/deadwall-last-enclosure/blob/1b3b9c5ba232734b1bda3453b4e20a0481bcdd74/codex-3000/originaux/DEADWALL_CODEX_1.22/fiches/DW-0002.md</x:v>
      </x:c>
      <x:c r="K7" s="16" t="str">
        <x:v>Source min 12,10 m ; max 28,24 m ; modèle 25 × 18 m ; niveaux 0. Détails dans catalogue-existant.json.</x:v>
      </x:c>
    </x:row>
    <x:row r="8" ht="34" customHeight="1">
      <x:c r="A8" s="16" t="str">
        <x:v>DW-0003</x:v>
      </x:c>
      <x:c r="B8" s="16" t="str">
        <x:v>DW-0003</x:v>
      </x:c>
      <x:c r="C8" s="16" t="str">
        <x:v>Parent historique</x:v>
      </x:c>
      <x:c r="D8" s="16" t="str">
        <x:v>Habitat individuel</x:v>
      </x:c>
      <x:c r="E8" s="16" t="str">
        <x:v>Maison à étage avec balcon</x:v>
      </x:c>
      <x:c r="F8" s="16" t="n">
        <x:v>8</x:v>
      </x:c>
      <x:c r="G8" s="16" t="n">
        <x:v>5</x:v>
      </x:c>
      <x:c r="H8" s="16" t="n">
        <x:v>13</x:v>
      </x:c>
      <x:c r="I8" s="16" t="str">
        <x:v>À qualifier par lieu</x:v>
      </x:c>
      <x:c r="J8" s="16" t="str">
        <x:v>https://github.com/darknigthmare/deadwall-last-enclosure/blob/1b3b9c5ba232734b1bda3453b4e20a0481bcdd74/codex-3000/originaux/DEADWALL_CODEX_1.22/fiches/DW-0003.md</x:v>
      </x:c>
      <x:c r="K8" s="16" t="str">
        <x:v>Source min 12,10 m ; max 28,24 m ; modèle 26 × 22 m ; niveaux 0, 1. Détails dans catalogue-existant.json.</x:v>
      </x:c>
    </x:row>
    <x:row r="9" ht="34" customHeight="1">
      <x:c r="A9" s="16" t="str">
        <x:v>DW-0004</x:v>
      </x:c>
      <x:c r="B9" s="16" t="str">
        <x:v>DW-0004</x:v>
      </x:c>
      <x:c r="C9" s="16" t="str">
        <x:v>Parent historique</x:v>
      </x:c>
      <x:c r="D9" s="16" t="str">
        <x:v>Habitat individuel</x:v>
      </x:c>
      <x:c r="E9" s="16" t="str">
        <x:v>Maison sur sous-sol</x:v>
      </x:c>
      <x:c r="F9" s="16" t="n">
        <x:v>8</x:v>
      </x:c>
      <x:c r="G9" s="16" t="n">
        <x:v>5</x:v>
      </x:c>
      <x:c r="H9" s="16" t="n">
        <x:v>15</x:v>
      </x:c>
      <x:c r="I9" s="16" t="str">
        <x:v>À qualifier par lieu</x:v>
      </x:c>
      <x:c r="J9" s="16" t="str">
        <x:v>https://github.com/darknigthmare/deadwall-last-enclosure/blob/1b3b9c5ba232734b1bda3453b4e20a0481bcdd74/codex-3000/originaux/DEADWALL_CODEX_1.22/fiches/DW-0004.md</x:v>
      </x:c>
      <x:c r="K9" s="16" t="str">
        <x:v>Source min 12,10 m ; max 28,24 m ; modèle 26 × 22 m ; niveaux -1, 0. Détails dans catalogue-existant.json.</x:v>
      </x:c>
    </x:row>
    <x:row r="10" ht="34" customHeight="1">
      <x:c r="A10" s="16" t="str">
        <x:v>DW-0005</x:v>
      </x:c>
      <x:c r="B10" s="16" t="str">
        <x:v>DW-0005</x:v>
      </x:c>
      <x:c r="C10" s="16" t="str">
        <x:v>Parent historique</x:v>
      </x:c>
      <x:c r="D10" s="16" t="str">
        <x:v>Habitat individuel</x:v>
      </x:c>
      <x:c r="E10" s="16" t="str">
        <x:v>Pavillon à patio</x:v>
      </x:c>
      <x:c r="F10" s="16" t="n">
        <x:v>8</x:v>
      </x:c>
      <x:c r="G10" s="16" t="n">
        <x:v>5</x:v>
      </x:c>
      <x:c r="H10" s="16" t="n">
        <x:v>13</x:v>
      </x:c>
      <x:c r="I10" s="16" t="str">
        <x:v>À qualifier par lieu</x:v>
      </x:c>
      <x:c r="J10" s="16" t="str">
        <x:v>https://github.com/darknigthmare/deadwall-last-enclosure/blob/1b3b9c5ba232734b1bda3453b4e20a0481bcdd74/codex-3000/originaux/DEADWALL_CODEX_1.22/fiches/DW-0005.md</x:v>
      </x:c>
      <x:c r="K10" s="16" t="str">
        <x:v>Source min 12,10 m ; max 28,24 m ; modèle 26 × 22 m ; niveaux 0. Détails dans catalogue-existant.json.</x:v>
      </x:c>
    </x:row>
    <x:row r="11" ht="34" customHeight="1">
      <x:c r="A11" s="16" t="str">
        <x:v>DW-0006</x:v>
      </x:c>
      <x:c r="B11" s="16" t="str">
        <x:v>DW-0006</x:v>
      </x:c>
      <x:c r="C11" s="16" t="str">
        <x:v>Parent historique</x:v>
      </x:c>
      <x:c r="D11" s="16" t="str">
        <x:v>Habitat individuel</x:v>
      </x:c>
      <x:c r="E11" s="16" t="str">
        <x:v>Maison rurale en pierre</x:v>
      </x:c>
      <x:c r="F11" s="16" t="n">
        <x:v>8</x:v>
      </x:c>
      <x:c r="G11" s="16" t="n">
        <x:v>5</x:v>
      </x:c>
      <x:c r="H11" s="16" t="n">
        <x:v>15</x:v>
      </x:c>
      <x:c r="I11" s="16" t="str">
        <x:v>À qualifier par lieu</x:v>
      </x:c>
      <x:c r="J11" s="16" t="str">
        <x:v>https://github.com/darknigthmare/deadwall-last-enclosure/blob/1b3b9c5ba232734b1bda3453b4e20a0481bcdd74/codex-3000/originaux/DEADWALL_CODEX_1.22/fiches/DW-0006.md</x:v>
      </x:c>
      <x:c r="K11" s="16" t="str">
        <x:v>Source min 12,10 m ; max 28,24 m ; modèle 26 × 22 m ; niveaux 0. Détails dans catalogue-existant.json.</x:v>
      </x:c>
    </x:row>
    <x:row r="12" ht="34" customHeight="1">
      <x:c r="A12" s="16" t="str">
        <x:v>DW-0007</x:v>
      </x:c>
      <x:c r="B12" s="16" t="str">
        <x:v>DW-0007</x:v>
      </x:c>
      <x:c r="C12" s="16" t="str">
        <x:v>Parent historique</x:v>
      </x:c>
      <x:c r="D12" s="16" t="str">
        <x:v>Habitat individuel</x:v>
      </x:c>
      <x:c r="E12" s="16" t="str">
        <x:v>Longère habitée</x:v>
      </x:c>
      <x:c r="F12" s="16" t="n">
        <x:v>8</x:v>
      </x:c>
      <x:c r="G12" s="16" t="n">
        <x:v>4</x:v>
      </x:c>
      <x:c r="H12" s="16" t="n">
        <x:v>12</x:v>
      </x:c>
      <x:c r="I12" s="16" t="str">
        <x:v>À qualifier par lieu</x:v>
      </x:c>
      <x:c r="J12" s="16" t="str">
        <x:v>https://github.com/darknigthmare/deadwall-last-enclosure/blob/1b3b9c5ba232734b1bda3453b4e20a0481bcdd74/codex-3000/originaux/DEADWALL_CODEX_1.22/fiches/DW-0007.md</x:v>
      </x:c>
      <x:c r="K12" s="16" t="str">
        <x:v>Source min 12,10 m ; max 28,24 m ; modèle 25 × 18 m ; niveaux 0. Détails dans catalogue-existant.json.</x:v>
      </x:c>
    </x:row>
    <x:row r="13" ht="34" customHeight="1">
      <x:c r="A13" s="16" t="str">
        <x:v>DW-0008</x:v>
      </x:c>
      <x:c r="B13" s="16" t="str">
        <x:v>DW-0008</x:v>
      </x:c>
      <x:c r="C13" s="16" t="str">
        <x:v>Parent historique</x:v>
      </x:c>
      <x:c r="D13" s="16" t="str">
        <x:v>Habitat individuel</x:v>
      </x:c>
      <x:c r="E13" s="16" t="str">
        <x:v>Maison de gardien</x:v>
      </x:c>
      <x:c r="F13" s="16" t="n">
        <x:v>8</x:v>
      </x:c>
      <x:c r="G13" s="16" t="n">
        <x:v>4</x:v>
      </x:c>
      <x:c r="H13" s="16" t="n">
        <x:v>12</x:v>
      </x:c>
      <x:c r="I13" s="16" t="str">
        <x:v>À qualifier par lieu</x:v>
      </x:c>
      <x:c r="J13" s="16" t="str">
        <x:v>https://github.com/darknigthmare/deadwall-last-enclosure/blob/1b3b9c5ba232734b1bda3453b4e20a0481bcdd74/codex-3000/originaux/DEADWALL_CODEX_1.22/fiches/DW-0008.md</x:v>
      </x:c>
      <x:c r="K13" s="16" t="str">
        <x:v>Source min 12,10 m ; max 28,24 m ; modèle 25 × 18 m ; niveaux 0. Détails dans catalogue-existant.json.</x:v>
      </x:c>
    </x:row>
    <x:row r="14" ht="34" customHeight="1">
      <x:c r="A14" s="16" t="str">
        <x:v>DW-0009</x:v>
      </x:c>
      <x:c r="B14" s="16" t="str">
        <x:v>DW-0009</x:v>
      </x:c>
      <x:c r="C14" s="16" t="str">
        <x:v>Parent historique</x:v>
      </x:c>
      <x:c r="D14" s="16" t="str">
        <x:v>Habitat individuel</x:v>
      </x:c>
      <x:c r="E14" s="16" t="str">
        <x:v>Villa avec piscine</x:v>
      </x:c>
      <x:c r="F14" s="16" t="n">
        <x:v>8</x:v>
      </x:c>
      <x:c r="G14" s="16" t="n">
        <x:v>5</x:v>
      </x:c>
      <x:c r="H14" s="16" t="n">
        <x:v>15</x:v>
      </x:c>
      <x:c r="I14" s="16" t="str">
        <x:v>À qualifier par lieu</x:v>
      </x:c>
      <x:c r="J14" s="16" t="str">
        <x:v>https://github.com/darknigthmare/deadwall-last-enclosure/blob/1b3b9c5ba232734b1bda3453b4e20a0481bcdd74/codex-3000/originaux/DEADWALL_CODEX_1.22/fiches/DW-0009.md</x:v>
      </x:c>
      <x:c r="K14" s="16" t="str">
        <x:v>Source min 12,10 m ; max 28,24 m ; modèle 26 × 22 m ; niveaux 0. Détails dans catalogue-existant.json.</x:v>
      </x:c>
    </x:row>
    <x:row r="15" ht="34" customHeight="1">
      <x:c r="A15" s="16" t="str">
        <x:v>DW-0010</x:v>
      </x:c>
      <x:c r="B15" s="16" t="str">
        <x:v>DW-0010</x:v>
      </x:c>
      <x:c r="C15" s="16" t="str">
        <x:v>Parent historique</x:v>
      </x:c>
      <x:c r="D15" s="16" t="str">
        <x:v>Habitat individuel</x:v>
      </x:c>
      <x:c r="E15" s="16" t="str">
        <x:v>Chalet forestier</x:v>
      </x:c>
      <x:c r="F15" s="16" t="n">
        <x:v>8</x:v>
      </x:c>
      <x:c r="G15" s="16" t="n">
        <x:v>4</x:v>
      </x:c>
      <x:c r="H15" s="16" t="n">
        <x:v>12</x:v>
      </x:c>
      <x:c r="I15" s="16" t="str">
        <x:v>À qualifier par lieu</x:v>
      </x:c>
      <x:c r="J15" s="16" t="str">
        <x:v>https://github.com/darknigthmare/deadwall-last-enclosure/blob/1b3b9c5ba232734b1bda3453b4e20a0481bcdd74/codex-3000/originaux/DEADWALL_CODEX_1.22/fiches/DW-0010.md</x:v>
      </x:c>
      <x:c r="K15" s="16" t="str">
        <x:v>Source min 12,10 m ; max 28,24 m ; modèle 25 × 18 m ; niveaux 0. Détails dans catalogue-existant.json.</x:v>
      </x:c>
    </x:row>
    <x:row r="16" ht="34" customHeight="1">
      <x:c r="A16" s="16" t="str">
        <x:v>DW-0011</x:v>
      </x:c>
      <x:c r="B16" s="16" t="str">
        <x:v>DW-0011</x:v>
      </x:c>
      <x:c r="C16" s="16" t="str">
        <x:v>Parent historique</x:v>
      </x:c>
      <x:c r="D16" s="16" t="str">
        <x:v>Habitat individuel</x:v>
      </x:c>
      <x:c r="E16" s="16" t="str">
        <x:v>Cabane de pêcheur</x:v>
      </x:c>
      <x:c r="F16" s="16" t="n">
        <x:v>8</x:v>
      </x:c>
      <x:c r="G16" s="16" t="n">
        <x:v>4</x:v>
      </x:c>
      <x:c r="H16" s="16" t="n">
        <x:v>12</x:v>
      </x:c>
      <x:c r="I16" s="16" t="str">
        <x:v>À qualifier par lieu</x:v>
      </x:c>
      <x:c r="J16" s="16" t="str">
        <x:v>https://github.com/darknigthmare/deadwall-last-enclosure/blob/1b3b9c5ba232734b1bda3453b4e20a0481bcdd74/codex-3000/originaux/DEADWALL_CODEX_1.22/fiches/DW-0011.md</x:v>
      </x:c>
      <x:c r="K16" s="16" t="str">
        <x:v>Source min 12,10 m ; max 28,24 m ; modèle 25 × 18 m ; niveaux 0. Détails dans catalogue-existant.json.</x:v>
      </x:c>
    </x:row>
    <x:row r="17" ht="34" customHeight="1">
      <x:c r="A17" s="16" t="str">
        <x:v>DW-0012</x:v>
      </x:c>
      <x:c r="B17" s="16" t="str">
        <x:v>DW-0012</x:v>
      </x:c>
      <x:c r="C17" s="16" t="str">
        <x:v>Parent historique</x:v>
      </x:c>
      <x:c r="D17" s="16" t="str">
        <x:v>Habitat individuel</x:v>
      </x:c>
      <x:c r="E17" s="16" t="str">
        <x:v>Maison mobile en parc</x:v>
      </x:c>
      <x:c r="F17" s="16" t="n">
        <x:v>8</x:v>
      </x:c>
      <x:c r="G17" s="16" t="n">
        <x:v>5</x:v>
      </x:c>
      <x:c r="H17" s="16" t="n">
        <x:v>15</x:v>
      </x:c>
      <x:c r="I17" s="16" t="str">
        <x:v>À qualifier par lieu</x:v>
      </x:c>
      <x:c r="J17" s="16" t="str">
        <x:v>https://github.com/darknigthmare/deadwall-last-enclosure/blob/1b3b9c5ba232734b1bda3453b4e20a0481bcdd74/codex-3000/originaux/DEADWALL_CODEX_1.22/fiches/DW-0012.md</x:v>
      </x:c>
      <x:c r="K17" s="16" t="str">
        <x:v>Source min 12,10 m ; max 28,24 m ; modèle 26 × 22 m ; niveaux 0. Détails dans catalogue-existant.json.</x:v>
      </x:c>
    </x:row>
    <x:row r="18" ht="34" customHeight="1">
      <x:c r="A18" s="16" t="str">
        <x:v>DW-0013</x:v>
      </x:c>
      <x:c r="B18" s="16" t="str">
        <x:v>DW-0013</x:v>
      </x:c>
      <x:c r="C18" s="16" t="str">
        <x:v>Parent historique</x:v>
      </x:c>
      <x:c r="D18" s="16" t="str">
        <x:v>Habitat individuel</x:v>
      </x:c>
      <x:c r="E18" s="16" t="str">
        <x:v>Duplex au-dessus d'une boutique</x:v>
      </x:c>
      <x:c r="F18" s="16" t="n">
        <x:v>8</x:v>
      </x:c>
      <x:c r="G18" s="16" t="n">
        <x:v>4</x:v>
      </x:c>
      <x:c r="H18" s="16" t="n">
        <x:v>12</x:v>
      </x:c>
      <x:c r="I18" s="16" t="str">
        <x:v>À qualifier par lieu</x:v>
      </x:c>
      <x:c r="J18" s="16" t="str">
        <x:v>https://github.com/darknigthmare/deadwall-last-enclosure/blob/1b3b9c5ba232734b1bda3453b4e20a0481bcdd74/codex-3000/originaux/DEADWALL_CODEX_1.22/fiches/DW-0013.md</x:v>
      </x:c>
      <x:c r="K18" s="16" t="str">
        <x:v>Source min 12,10 m ; max 28,24 m ; modèle 25 × 18 m ; niveaux 0, 1. Détails dans catalogue-existant.json.</x:v>
      </x:c>
    </x:row>
    <x:row r="19" ht="34" customHeight="1">
      <x:c r="A19" s="16" t="str">
        <x:v>DW-0014</x:v>
      </x:c>
      <x:c r="B19" s="16" t="str">
        <x:v>DW-0014</x:v>
      </x:c>
      <x:c r="C19" s="16" t="str">
        <x:v>Parent historique</x:v>
      </x:c>
      <x:c r="D19" s="16" t="str">
        <x:v>Habitat individuel</x:v>
      </x:c>
      <x:c r="E19" s="16" t="str">
        <x:v>Maison d'angle commerçante</x:v>
      </x:c>
      <x:c r="F19" s="16" t="n">
        <x:v>8</x:v>
      </x:c>
      <x:c r="G19" s="16" t="n">
        <x:v>4</x:v>
      </x:c>
      <x:c r="H19" s="16" t="n">
        <x:v>12</x:v>
      </x:c>
      <x:c r="I19" s="16" t="str">
        <x:v>À qualifier par lieu</x:v>
      </x:c>
      <x:c r="J19" s="16" t="str">
        <x:v>https://github.com/darknigthmare/deadwall-last-enclosure/blob/1b3b9c5ba232734b1bda3453b4e20a0481bcdd74/codex-3000/originaux/DEADWALL_CODEX_1.22/fiches/DW-0014.md</x:v>
      </x:c>
      <x:c r="K19" s="16" t="str">
        <x:v>Source min 12,10 m ; max 28,24 m ; modèle 25 × 18 m ; niveaux 0. Détails dans catalogue-existant.json.</x:v>
      </x:c>
    </x:row>
    <x:row r="20" ht="34" customHeight="1">
      <x:c r="A20" s="16" t="str">
        <x:v>DW-0015</x:v>
      </x:c>
      <x:c r="B20" s="16" t="str">
        <x:v>DW-0015</x:v>
      </x:c>
      <x:c r="C20" s="16" t="str">
        <x:v>Parent historique</x:v>
      </x:c>
      <x:c r="D20" s="16" t="str">
        <x:v>Habitat individuel</x:v>
      </x:c>
      <x:c r="E20" s="16" t="str">
        <x:v>Maison en autoconstruction</x:v>
      </x:c>
      <x:c r="F20" s="16" t="n">
        <x:v>8</x:v>
      </x:c>
      <x:c r="G20" s="16" t="n">
        <x:v>4</x:v>
      </x:c>
      <x:c r="H20" s="16" t="n">
        <x:v>12</x:v>
      </x:c>
      <x:c r="I20" s="16" t="str">
        <x:v>À qualifier par lieu</x:v>
      </x:c>
      <x:c r="J20" s="16" t="str">
        <x:v>https://github.com/darknigthmare/deadwall-last-enclosure/blob/1b3b9c5ba232734b1bda3453b4e20a0481bcdd74/codex-3000/originaux/DEADWALL_CODEX_1.22/fiches/DW-0015.md</x:v>
      </x:c>
      <x:c r="K20" s="16" t="str">
        <x:v>Source min 12,10 m ; max 28,24 m ; modèle 25 × 18 m ; niveaux 0. Détails dans catalogue-existant.json.</x:v>
      </x:c>
    </x:row>
    <x:row r="21" ht="34" customHeight="1">
      <x:c r="A21" s="16" t="str">
        <x:v>DW-0016</x:v>
      </x:c>
      <x:c r="B21" s="16" t="str">
        <x:v>DW-0016</x:v>
      </x:c>
      <x:c r="C21" s="16" t="str">
        <x:v>Parent historique</x:v>
      </x:c>
      <x:c r="D21" s="16" t="str">
        <x:v>Habitat individuel</x:v>
      </x:c>
      <x:c r="E21" s="16" t="str">
        <x:v>Maison en gradins</x:v>
      </x:c>
      <x:c r="F21" s="16" t="n">
        <x:v>8</x:v>
      </x:c>
      <x:c r="G21" s="16" t="n">
        <x:v>4</x:v>
      </x:c>
      <x:c r="H21" s="16" t="n">
        <x:v>12</x:v>
      </x:c>
      <x:c r="I21" s="16" t="str">
        <x:v>À qualifier par lieu</x:v>
      </x:c>
      <x:c r="J21" s="16" t="str">
        <x:v>https://github.com/darknigthmare/deadwall-last-enclosure/blob/1b3b9c5ba232734b1bda3453b4e20a0481bcdd74/codex-3000/originaux/DEADWALL_CODEX_1.22/fiches/DW-0016.md</x:v>
      </x:c>
      <x:c r="K21" s="16" t="str">
        <x:v>Source min 12,10 m ; max 28,24 m ; modèle 25 × 18 m ; niveaux 0, 1, 2. Détails dans catalogue-existant.json.</x:v>
      </x:c>
    </x:row>
    <x:row r="22" ht="34" customHeight="1">
      <x:c r="A22" s="16" t="str">
        <x:v>DW-0017</x:v>
      </x:c>
      <x:c r="B22" s="16" t="str">
        <x:v>DW-0017</x:v>
      </x:c>
      <x:c r="C22" s="16" t="str">
        <x:v>Parent historique</x:v>
      </x:c>
      <x:c r="D22" s="16" t="str">
        <x:v>Habitat individuel</x:v>
      </x:c>
      <x:c r="E22" s="16" t="str">
        <x:v>Maison familiale adaptée</x:v>
      </x:c>
      <x:c r="F22" s="16" t="n">
        <x:v>8</x:v>
      </x:c>
      <x:c r="G22" s="16" t="n">
        <x:v>4</x:v>
      </x:c>
      <x:c r="H22" s="16" t="n">
        <x:v>10</x:v>
      </x:c>
      <x:c r="I22" s="16" t="str">
        <x:v>À qualifier par lieu</x:v>
      </x:c>
      <x:c r="J22" s="16" t="str">
        <x:v>https://github.com/darknigthmare/deadwall-last-enclosure/blob/1b3b9c5ba232734b1bda3453b4e20a0481bcdd74/codex-3000/originaux/DEADWALL_CODEX_1.22/fiches/DW-0017.md</x:v>
      </x:c>
      <x:c r="K22" s="16" t="str">
        <x:v>Source min 12,10 m ; max 28,24 m ; modèle 25 × 18 m ; niveaux 0. Détails dans catalogue-existant.json.</x:v>
      </x:c>
    </x:row>
    <x:row r="23" ht="34" customHeight="1">
      <x:c r="A23" s="16" t="str">
        <x:v>DW-0018</x:v>
      </x:c>
      <x:c r="B23" s="16" t="str">
        <x:v>DW-0018</x:v>
      </x:c>
      <x:c r="C23" s="16" t="str">
        <x:v>Parent historique</x:v>
      </x:c>
      <x:c r="D23" s="16" t="str">
        <x:v>Habitat individuel</x:v>
      </x:c>
      <x:c r="E23" s="16" t="str">
        <x:v>Ancien presbytère</x:v>
      </x:c>
      <x:c r="F23" s="16" t="n">
        <x:v>8</x:v>
      </x:c>
      <x:c r="G23" s="16" t="n">
        <x:v>5</x:v>
      </x:c>
      <x:c r="H23" s="16" t="n">
        <x:v>15</x:v>
      </x:c>
      <x:c r="I23" s="16" t="str">
        <x:v>À qualifier par lieu</x:v>
      </x:c>
      <x:c r="J23" s="16" t="str">
        <x:v>https://github.com/darknigthmare/deadwall-last-enclosure/blob/1b3b9c5ba232734b1bda3453b4e20a0481bcdd74/codex-3000/originaux/DEADWALL_CODEX_1.22/fiches/DW-0018.md</x:v>
      </x:c>
      <x:c r="K23" s="16" t="str">
        <x:v>Source min 12,10 m ; max 28,24 m ; modèle 26 × 22 m ; niveaux 0. Détails dans catalogue-existant.json.</x:v>
      </x:c>
    </x:row>
    <x:row r="24" ht="34" customHeight="1">
      <x:c r="A24" s="16" t="str">
        <x:v>DW-0019</x:v>
      </x:c>
      <x:c r="B24" s="16" t="str">
        <x:v>DW-0019</x:v>
      </x:c>
      <x:c r="C24" s="16" t="str">
        <x:v>Parent historique</x:v>
      </x:c>
      <x:c r="D24" s="16" t="str">
        <x:v>Habitat individuel</x:v>
      </x:c>
      <x:c r="E24" s="16" t="str">
        <x:v>Maison d'éclusier</x:v>
      </x:c>
      <x:c r="F24" s="16" t="n">
        <x:v>8</x:v>
      </x:c>
      <x:c r="G24" s="16" t="n">
        <x:v>4</x:v>
      </x:c>
      <x:c r="H24" s="16" t="n">
        <x:v>12</x:v>
      </x:c>
      <x:c r="I24" s="16" t="str">
        <x:v>À qualifier par lieu</x:v>
      </x:c>
      <x:c r="J24" s="16" t="str">
        <x:v>https://github.com/darknigthmare/deadwall-last-enclosure/blob/1b3b9c5ba232734b1bda3453b4e20a0481bcdd74/codex-3000/originaux/DEADWALL_CODEX_1.22/fiches/DW-0019.md</x:v>
      </x:c>
      <x:c r="K24" s="16" t="str">
        <x:v>Source min 12,10 m ; max 28,24 m ; modèle 25 × 18 m ; niveaux 0. Détails dans catalogue-existant.json.</x:v>
      </x:c>
    </x:row>
    <x:row r="25" ht="34" customHeight="1">
      <x:c r="A25" s="16" t="str">
        <x:v>DW-0020</x:v>
      </x:c>
      <x:c r="B25" s="16" t="str">
        <x:v>DW-0020</x:v>
      </x:c>
      <x:c r="C25" s="16" t="str">
        <x:v>Parent historique</x:v>
      </x:c>
      <x:c r="D25" s="16" t="str">
        <x:v>Habitat individuel</x:v>
      </x:c>
      <x:c r="E25" s="16" t="str">
        <x:v>Ferme reconvertie en habitation</x:v>
      </x:c>
      <x:c r="F25" s="16" t="n">
        <x:v>8</x:v>
      </x:c>
      <x:c r="G25" s="16" t="n">
        <x:v>4</x:v>
      </x:c>
      <x:c r="H25" s="16" t="n">
        <x:v>12</x:v>
      </x:c>
      <x:c r="I25" s="16" t="str">
        <x:v>À qualifier par lieu</x:v>
      </x:c>
      <x:c r="J25" s="16" t="str">
        <x:v>https://github.com/darknigthmare/deadwall-last-enclosure/blob/1b3b9c5ba232734b1bda3453b4e20a0481bcdd74/codex-3000/originaux/DEADWALL_CODEX_1.22/fiches/DW-0020.md</x:v>
      </x:c>
      <x:c r="K25" s="16" t="str">
        <x:v>Source min 12,10 m ; max 28,24 m ; modèle 25 × 18 m ; niveaux 0. Détails dans catalogue-existant.json.</x:v>
      </x:c>
    </x:row>
    <x:row r="26" ht="34" customHeight="1">
      <x:c r="A26" s="16" t="str">
        <x:v>DW-0021</x:v>
      </x:c>
      <x:c r="B26" s="16" t="str">
        <x:v>DW-0021</x:v>
      </x:c>
      <x:c r="C26" s="16" t="str">
        <x:v>Parent historique</x:v>
      </x:c>
      <x:c r="D26" s="16" t="str">
        <x:v>Habitat collectif</x:v>
      </x:c>
      <x:c r="E26" s="16" t="str">
        <x:v>Immeuble de trois étages</x:v>
      </x:c>
      <x:c r="F26" s="16" t="n">
        <x:v>8</x:v>
      </x:c>
      <x:c r="G26" s="16" t="n">
        <x:v>5</x:v>
      </x:c>
      <x:c r="H26" s="16" t="n">
        <x:v>13</x:v>
      </x:c>
      <x:c r="I26" s="16" t="str">
        <x:v>À qualifier par lieu</x:v>
      </x:c>
      <x:c r="J26" s="16" t="str">
        <x:v>https://github.com/darknigthmare/deadwall-last-enclosure/blob/1b3b9c5ba232734b1bda3453b4e20a0481bcdd74/codex-3000/originaux/DEADWALL_CODEX_1.22/fiches/DW-0021.md</x:v>
      </x:c>
      <x:c r="K26" s="16" t="str">
        <x:v>Source min 25,18 m ; max 85,60 m ; modèle 26 × 22 m ; niveaux 0, 1, 2. Détails dans catalogue-existant.json.</x:v>
      </x:c>
    </x:row>
    <x:row r="27" ht="34" customHeight="1">
      <x:c r="A27" s="16" t="str">
        <x:v>DW-0022</x:v>
      </x:c>
      <x:c r="B27" s="16" t="str">
        <x:v>DW-0022</x:v>
      </x:c>
      <x:c r="C27" s="16" t="str">
        <x:v>Parent historique</x:v>
      </x:c>
      <x:c r="D27" s="16" t="str">
        <x:v>Habitat collectif</x:v>
      </x:c>
      <x:c r="E27" s="16" t="str">
        <x:v>Barre résidentielle</x:v>
      </x:c>
      <x:c r="F27" s="16" t="n">
        <x:v>8</x:v>
      </x:c>
      <x:c r="G27" s="16" t="n">
        <x:v>4</x:v>
      </x:c>
      <x:c r="H27" s="16" t="n">
        <x:v>10</x:v>
      </x:c>
      <x:c r="I27" s="16" t="str">
        <x:v>À qualifier par lieu</x:v>
      </x:c>
      <x:c r="J27" s="16" t="str">
        <x:v>https://github.com/darknigthmare/deadwall-last-enclosure/blob/1b3b9c5ba232734b1bda3453b4e20a0481bcdd74/codex-3000/originaux/DEADWALL_CODEX_1.22/fiches/DW-0022.md</x:v>
      </x:c>
      <x:c r="K27" s="16" t="str">
        <x:v>Source min 25,18 m ; max 85,60 m ; modèle 25 × 18 m ; niveaux 0, 1, 2. Détails dans catalogue-existant.json.</x:v>
      </x:c>
    </x:row>
    <x:row r="28" ht="34" customHeight="1">
      <x:c r="A28" s="16" t="str">
        <x:v>DW-0023</x:v>
      </x:c>
      <x:c r="B28" s="16" t="str">
        <x:v>DW-0023</x:v>
      </x:c>
      <x:c r="C28" s="16" t="str">
        <x:v>Parent historique</x:v>
      </x:c>
      <x:c r="D28" s="16" t="str">
        <x:v>Habitat collectif</x:v>
      </x:c>
      <x:c r="E28" s="16" t="str">
        <x:v>Tour résidentielle</x:v>
      </x:c>
      <x:c r="F28" s="16" t="n">
        <x:v>8</x:v>
      </x:c>
      <x:c r="G28" s="16" t="n">
        <x:v>5</x:v>
      </x:c>
      <x:c r="H28" s="16" t="n">
        <x:v>13</x:v>
      </x:c>
      <x:c r="I28" s="16" t="str">
        <x:v>À qualifier par lieu</x:v>
      </x:c>
      <x:c r="J28" s="16" t="str">
        <x:v>https://github.com/darknigthmare/deadwall-last-enclosure/blob/1b3b9c5ba232734b1bda3453b4e20a0481bcdd74/codex-3000/originaux/DEADWALL_CODEX_1.22/fiches/DW-0023.md</x:v>
      </x:c>
      <x:c r="K28" s="16" t="str">
        <x:v>Source min 25,18 m ; max 85,60 m ; modèle 26 × 22 m ; niveaux 0, 1, 2. Détails dans catalogue-existant.json.</x:v>
      </x:c>
    </x:row>
    <x:row r="29" ht="34" customHeight="1">
      <x:c r="A29" s="16" t="str">
        <x:v>DW-0024</x:v>
      </x:c>
      <x:c r="B29" s="16" t="str">
        <x:v>DW-0024</x:v>
      </x:c>
      <x:c r="C29" s="16" t="str">
        <x:v>Parent historique</x:v>
      </x:c>
      <x:c r="D29" s="16" t="str">
        <x:v>Habitat collectif</x:v>
      </x:c>
      <x:c r="E29" s="16" t="str">
        <x:v>Résidence à cour intérieure</x:v>
      </x:c>
      <x:c r="F29" s="16" t="n">
        <x:v>8</x:v>
      </x:c>
      <x:c r="G29" s="16" t="n">
        <x:v>5</x:v>
      </x:c>
      <x:c r="H29" s="16" t="n">
        <x:v>15</x:v>
      </x:c>
      <x:c r="I29" s="16" t="str">
        <x:v>À qualifier par lieu</x:v>
      </x:c>
      <x:c r="J29" s="16" t="str">
        <x:v>https://github.com/darknigthmare/deadwall-last-enclosure/blob/1b3b9c5ba232734b1bda3453b4e20a0481bcdd74/codex-3000/originaux/DEADWALL_CODEX_1.22/fiches/DW-0024.md</x:v>
      </x:c>
      <x:c r="K29" s="16" t="str">
        <x:v>Source min 25,18 m ; max 85,60 m ; modèle 26 × 22 m ; niveaux 0, 1, 2. Détails dans catalogue-existant.json.</x:v>
      </x:c>
    </x:row>
    <x:row r="30" ht="34" customHeight="1">
      <x:c r="A30" s="16" t="str">
        <x:v>DW-0025</x:v>
      </x:c>
      <x:c r="B30" s="16" t="str">
        <x:v>DW-0025</x:v>
      </x:c>
      <x:c r="C30" s="16" t="str">
        <x:v>Parent historique</x:v>
      </x:c>
      <x:c r="D30" s="16" t="str">
        <x:v>Habitat collectif</x:v>
      </x:c>
      <x:c r="E30" s="16" t="str">
        <x:v>Résidence étudiante</x:v>
      </x:c>
      <x:c r="F30" s="16" t="n">
        <x:v>8</x:v>
      </x:c>
      <x:c r="G30" s="16" t="n">
        <x:v>5</x:v>
      </x:c>
      <x:c r="H30" s="16" t="n">
        <x:v>15</x:v>
      </x:c>
      <x:c r="I30" s="16" t="str">
        <x:v>À qualifier par lieu</x:v>
      </x:c>
      <x:c r="J30" s="16" t="str">
        <x:v>https://github.com/darknigthmare/deadwall-last-enclosure/blob/1b3b9c5ba232734b1bda3453b4e20a0481bcdd74/codex-3000/originaux/DEADWALL_CODEX_1.22/fiches/DW-0025.md</x:v>
      </x:c>
      <x:c r="K30" s="16" t="str">
        <x:v>Source min 25,18 m ; max 85,60 m ; modèle 26 × 22 m ; niveaux 0, 1, 2. Détails dans catalogue-existant.json.</x:v>
      </x:c>
    </x:row>
    <x:row r="31" ht="34" customHeight="1">
      <x:c r="A31" s="16" t="str">
        <x:v>DW-0026</x:v>
      </x:c>
      <x:c r="B31" s="16" t="str">
        <x:v>DW-0026</x:v>
      </x:c>
      <x:c r="C31" s="16" t="str">
        <x:v>Parent historique</x:v>
      </x:c>
      <x:c r="D31" s="16" t="str">
        <x:v>Habitat collectif</x:v>
      </x:c>
      <x:c r="E31" s="16" t="str">
        <x:v>Foyer de travailleurs</x:v>
      </x:c>
      <x:c r="F31" s="16" t="n">
        <x:v>8</x:v>
      </x:c>
      <x:c r="G31" s="16" t="n">
        <x:v>5</x:v>
      </x:c>
      <x:c r="H31" s="16" t="n">
        <x:v>15</x:v>
      </x:c>
      <x:c r="I31" s="16" t="str">
        <x:v>À qualifier par lieu</x:v>
      </x:c>
      <x:c r="J31" s="16" t="str">
        <x:v>https://github.com/darknigthmare/deadwall-last-enclosure/blob/1b3b9c5ba232734b1bda3453b4e20a0481bcdd74/codex-3000/originaux/DEADWALL_CODEX_1.22/fiches/DW-0026.md</x:v>
      </x:c>
      <x:c r="K31" s="16" t="str">
        <x:v>Source min 25,18 m ; max 85,60 m ; modèle 26 × 22 m ; niveaux 0, 1, 2. Détails dans catalogue-existant.json.</x:v>
      </x:c>
    </x:row>
    <x:row r="32" ht="34" customHeight="1">
      <x:c r="A32" s="16" t="str">
        <x:v>DW-0027</x:v>
      </x:c>
      <x:c r="B32" s="16" t="str">
        <x:v>DW-0027</x:v>
      </x:c>
      <x:c r="C32" s="16" t="str">
        <x:v>Parent historique</x:v>
      </x:c>
      <x:c r="D32" s="16" t="str">
        <x:v>Habitat collectif</x:v>
      </x:c>
      <x:c r="E32" s="16" t="str">
        <x:v>Résidence seniors</x:v>
      </x:c>
      <x:c r="F32" s="16" t="n">
        <x:v>8</x:v>
      </x:c>
      <x:c r="G32" s="16" t="n">
        <x:v>5</x:v>
      </x:c>
      <x:c r="H32" s="16" t="n">
        <x:v>15</x:v>
      </x:c>
      <x:c r="I32" s="16" t="str">
        <x:v>À qualifier par lieu</x:v>
      </x:c>
      <x:c r="J32" s="16" t="str">
        <x:v>https://github.com/darknigthmare/deadwall-last-enclosure/blob/1b3b9c5ba232734b1bda3453b4e20a0481bcdd74/codex-3000/originaux/DEADWALL_CODEX_1.22/fiches/DW-0027.md</x:v>
      </x:c>
      <x:c r="K32" s="16" t="str">
        <x:v>Source min 25,18 m ; max 85,60 m ; modèle 26 × 22 m ; niveaux 0, 1, 2. Détails dans catalogue-existant.json.</x:v>
      </x:c>
    </x:row>
    <x:row r="33" ht="34" customHeight="1">
      <x:c r="A33" s="16" t="str">
        <x:v>DW-0028</x:v>
      </x:c>
      <x:c r="B33" s="16" t="str">
        <x:v>DW-0028</x:v>
      </x:c>
      <x:c r="C33" s="16" t="str">
        <x:v>Parent historique</x:v>
      </x:c>
      <x:c r="D33" s="16" t="str">
        <x:v>Habitat collectif</x:v>
      </x:c>
      <x:c r="E33" s="16" t="str">
        <x:v>Habitat coopératif</x:v>
      </x:c>
      <x:c r="F33" s="16" t="n">
        <x:v>8</x:v>
      </x:c>
      <x:c r="G33" s="16" t="n">
        <x:v>5</x:v>
      </x:c>
      <x:c r="H33" s="16" t="n">
        <x:v>15</x:v>
      </x:c>
      <x:c r="I33" s="16" t="str">
        <x:v>À qualifier par lieu</x:v>
      </x:c>
      <x:c r="J33" s="16" t="str">
        <x:v>https://github.com/darknigthmare/deadwall-last-enclosure/blob/1b3b9c5ba232734b1bda3453b4e20a0481bcdd74/codex-3000/originaux/DEADWALL_CODEX_1.22/fiches/DW-0028.md</x:v>
      </x:c>
      <x:c r="K33" s="16" t="str">
        <x:v>Source min 25,18 m ; max 85,60 m ; modèle 26 × 22 m ; niveaux 0, 1, 2. Détails dans catalogue-existant.json.</x:v>
      </x:c>
    </x:row>
    <x:row r="34" ht="34" customHeight="1">
      <x:c r="A34" s="16" t="str">
        <x:v>DW-0029</x:v>
      </x:c>
      <x:c r="B34" s="16" t="str">
        <x:v>DW-0029</x:v>
      </x:c>
      <x:c r="C34" s="16" t="str">
        <x:v>Parent historique</x:v>
      </x:c>
      <x:c r="D34" s="16" t="str">
        <x:v>Habitat collectif</x:v>
      </x:c>
      <x:c r="E34" s="16" t="str">
        <x:v>Immeuble avec commerces</x:v>
      </x:c>
      <x:c r="F34" s="16" t="n">
        <x:v>8</x:v>
      </x:c>
      <x:c r="G34" s="16" t="n">
        <x:v>4</x:v>
      </x:c>
      <x:c r="H34" s="16" t="n">
        <x:v>12</x:v>
      </x:c>
      <x:c r="I34" s="16" t="str">
        <x:v>À qualifier par lieu</x:v>
      </x:c>
      <x:c r="J34" s="16" t="str">
        <x:v>https://github.com/darknigthmare/deadwall-last-enclosure/blob/1b3b9c5ba232734b1bda3453b4e20a0481bcdd74/codex-3000/originaux/DEADWALL_CODEX_1.22/fiches/DW-0029.md</x:v>
      </x:c>
      <x:c r="K34" s="16" t="str">
        <x:v>Source min 25,18 m ; max 85,60 m ; modèle 25 × 18 m ; niveaux 0, 1, 2. Détails dans catalogue-existant.json.</x:v>
      </x:c>
    </x:row>
    <x:row r="35" ht="34" customHeight="1">
      <x:c r="A35" s="16" t="str">
        <x:v>DW-0030</x:v>
      </x:c>
      <x:c r="B35" s="16" t="str">
        <x:v>DW-0030</x:v>
      </x:c>
      <x:c r="C35" s="16" t="str">
        <x:v>Parent historique</x:v>
      </x:c>
      <x:c r="D35" s="16" t="str">
        <x:v>Habitat collectif</x:v>
      </x:c>
      <x:c r="E35" s="16" t="str">
        <x:v>Résidence à passerelles</x:v>
      </x:c>
      <x:c r="F35" s="16" t="n">
        <x:v>8</x:v>
      </x:c>
      <x:c r="G35" s="16" t="n">
        <x:v>4</x:v>
      </x:c>
      <x:c r="H35" s="16" t="n">
        <x:v>10</x:v>
      </x:c>
      <x:c r="I35" s="16" t="str">
        <x:v>À qualifier par lieu</x:v>
      </x:c>
      <x:c r="J35" s="16" t="str">
        <x:v>https://github.com/darknigthmare/deadwall-last-enclosure/blob/1b3b9c5ba232734b1bda3453b4e20a0481bcdd74/codex-3000/originaux/DEADWALL_CODEX_1.22/fiches/DW-0030.md</x:v>
      </x:c>
      <x:c r="K35" s="16" t="str">
        <x:v>Source min 25,18 m ; max 85,60 m ; modèle 25 × 18 m ; niveaux 0, 1, 2. Détails dans catalogue-existant.json.</x:v>
      </x:c>
    </x:row>
    <x:row r="36">
      <x:c r="A36" t="str">
        <x:v>DW-0031</x:v>
      </x:c>
      <x:c r="B36" t="str">
        <x:v>DW-0031</x:v>
      </x:c>
      <x:c r="C36" t="str">
        <x:v>Parent historique</x:v>
      </x:c>
      <x:c r="D36" t="str">
        <x:v>Habitat collectif</x:v>
      </x:c>
      <x:c r="E36" t="str">
        <x:v>Lofts industriels</x:v>
      </x:c>
      <x:c r="F36" t="n">
        <x:v>8</x:v>
      </x:c>
      <x:c r="G36" t="n">
        <x:v>5</x:v>
      </x:c>
      <x:c r="H36" t="n">
        <x:v>13</x:v>
      </x:c>
      <x:c r="I36" t="str">
        <x:v>À qualifier par lieu</x:v>
      </x:c>
      <x:c r="J36" t="str">
        <x:v>https://github.com/darknigthmare/deadwall-last-enclosure/blob/1b3b9c5ba232734b1bda3453b4e20a0481bcdd74/codex-3000/originaux/DEADWALL_CODEX_1.22/fiches/DW-0031.md</x:v>
      </x:c>
      <x:c r="K36" t="str">
        <x:v>Source min 25,18 m ; max 85,60 m ; modèle 26 × 22 m ; niveaux 0, 1, 2. Détails dans catalogue-existant.json.</x:v>
      </x:c>
    </x:row>
    <x:row r="37">
      <x:c r="A37" t="str">
        <x:v>DW-0032</x:v>
      </x:c>
      <x:c r="B37" t="str">
        <x:v>DW-0032</x:v>
      </x:c>
      <x:c r="C37" t="str">
        <x:v>Parent historique</x:v>
      </x:c>
      <x:c r="D37" t="str">
        <x:v>Habitat collectif</x:v>
      </x:c>
      <x:c r="E37" t="str">
        <x:v>Caserne reconvertie en logements</x:v>
      </x:c>
      <x:c r="F37" t="n">
        <x:v>8</x:v>
      </x:c>
      <x:c r="G37" t="n">
        <x:v>5</x:v>
      </x:c>
      <x:c r="H37" t="n">
        <x:v>13</x:v>
      </x:c>
      <x:c r="I37" t="str">
        <x:v>À qualifier par lieu</x:v>
      </x:c>
      <x:c r="J37" t="str">
        <x:v>https://github.com/darknigthmare/deadwall-last-enclosure/blob/1b3b9c5ba232734b1bda3453b4e20a0481bcdd74/codex-3000/originaux/DEADWALL_CODEX_1.22/fiches/DW-0032.md</x:v>
      </x:c>
      <x:c r="K37" t="str">
        <x:v>Source min 25,18 m ; max 85,60 m ; modèle 26 × 22 m ; niveaux 0, 1, 2. Détails dans catalogue-existant.json.</x:v>
      </x:c>
    </x:row>
    <x:row r="38">
      <x:c r="A38" t="str">
        <x:v>DW-0033</x:v>
      </x:c>
      <x:c r="B38" t="str">
        <x:v>DW-0033</x:v>
      </x:c>
      <x:c r="C38" t="str">
        <x:v>Parent historique</x:v>
      </x:c>
      <x:c r="D38" t="str">
        <x:v>Habitat collectif</x:v>
      </x:c>
      <x:c r="E38" t="str">
        <x:v>Résidence de tourisme</x:v>
      </x:c>
      <x:c r="F38" t="n">
        <x:v>8</x:v>
      </x:c>
      <x:c r="G38" t="n">
        <x:v>4</x:v>
      </x:c>
      <x:c r="H38" t="n">
        <x:v>12</x:v>
      </x:c>
      <x:c r="I38" t="str">
        <x:v>À qualifier par lieu</x:v>
      </x:c>
      <x:c r="J38" t="str">
        <x:v>https://github.com/darknigthmare/deadwall-last-enclosure/blob/1b3b9c5ba232734b1bda3453b4e20a0481bcdd74/codex-3000/originaux/DEADWALL_CODEX_1.22/fiches/DW-0033.md</x:v>
      </x:c>
      <x:c r="K38" t="str">
        <x:v>Source min 25,18 m ; max 85,60 m ; modèle 25 × 18 m ; niveaux 0, 1, 2. Détails dans catalogue-existant.json.</x:v>
      </x:c>
    </x:row>
    <x:row r="39">
      <x:c r="A39" t="str">
        <x:v>DW-0034</x:v>
      </x:c>
      <x:c r="B39" t="str">
        <x:v>DW-0034</x:v>
      </x:c>
      <x:c r="C39" t="str">
        <x:v>Parent historique</x:v>
      </x:c>
      <x:c r="D39" t="str">
        <x:v>Habitat collectif</x:v>
      </x:c>
      <x:c r="E39" t="str">
        <x:v>Immeuble à coursive extérieure</x:v>
      </x:c>
      <x:c r="F39" t="n">
        <x:v>8</x:v>
      </x:c>
      <x:c r="G39" t="n">
        <x:v>4</x:v>
      </x:c>
      <x:c r="H39" t="n">
        <x:v>8</x:v>
      </x:c>
      <x:c r="I39" t="str">
        <x:v>À qualifier par lieu</x:v>
      </x:c>
      <x:c r="J39" t="str">
        <x:v>https://github.com/darknigthmare/deadwall-last-enclosure/blob/1b3b9c5ba232734b1bda3453b4e20a0481bcdd74/codex-3000/originaux/DEADWALL_CODEX_1.22/fiches/DW-0034.md</x:v>
      </x:c>
      <x:c r="K39" t="str">
        <x:v>Source min 25,18 m ; max 85,60 m ; modèle 25 × 18 m ; niveaux 0, 1, 2. Détails dans catalogue-existant.json.</x:v>
      </x:c>
    </x:row>
    <x:row r="40">
      <x:c r="A40" t="str">
        <x:v>DW-0035</x:v>
      </x:c>
      <x:c r="B40" t="str">
        <x:v>DW-0035</x:v>
      </x:c>
      <x:c r="C40" t="str">
        <x:v>Parent historique</x:v>
      </x:c>
      <x:c r="D40" t="str">
        <x:v>Habitat collectif</x:v>
      </x:c>
      <x:c r="E40" t="str">
        <x:v>Habitat en terrasses</x:v>
      </x:c>
      <x:c r="F40" t="n">
        <x:v>8</x:v>
      </x:c>
      <x:c r="G40" t="n">
        <x:v>4</x:v>
      </x:c>
      <x:c r="H40" t="n">
        <x:v>10</x:v>
      </x:c>
      <x:c r="I40" t="str">
        <x:v>À qualifier par lieu</x:v>
      </x:c>
      <x:c r="J40" t="str">
        <x:v>https://github.com/darknigthmare/deadwall-last-enclosure/blob/1b3b9c5ba232734b1bda3453b4e20a0481bcdd74/codex-3000/originaux/DEADWALL_CODEX_1.22/fiches/DW-0035.md</x:v>
      </x:c>
      <x:c r="K40" t="str">
        <x:v>Source min 25,18 m ; max 85,60 m ; modèle 25 × 18 m ; niveaux 0, 1, 2. Détails dans catalogue-existant.json.</x:v>
      </x:c>
    </x:row>
    <x:row r="41">
      <x:c r="A41" t="str">
        <x:v>DW-0036</x:v>
      </x:c>
      <x:c r="B41" t="str">
        <x:v>DW-0036</x:v>
      </x:c>
      <x:c r="C41" t="str">
        <x:v>Parent historique</x:v>
      </x:c>
      <x:c r="D41" t="str">
        <x:v>Habitat collectif</x:v>
      </x:c>
      <x:c r="E41" t="str">
        <x:v>Résidence sur parking souterrain</x:v>
      </x:c>
      <x:c r="F41" t="n">
        <x:v>8</x:v>
      </x:c>
      <x:c r="G41" t="n">
        <x:v>5</x:v>
      </x:c>
      <x:c r="H41" t="n">
        <x:v>13</x:v>
      </x:c>
      <x:c r="I41" t="str">
        <x:v>À qualifier par lieu</x:v>
      </x:c>
      <x:c r="J41" t="str">
        <x:v>https://github.com/darknigthmare/deadwall-last-enclosure/blob/1b3b9c5ba232734b1bda3453b4e20a0481bcdd74/codex-3000/originaux/DEADWALL_CODEX_1.22/fiches/DW-0036.md</x:v>
      </x:c>
      <x:c r="K41" t="str">
        <x:v>Source min 25,18 m ; max 85,60 m ; modèle 26 × 22 m ; niveaux -1, 0. Détails dans catalogue-existant.json.</x:v>
      </x:c>
    </x:row>
    <x:row r="42">
      <x:c r="A42" t="str">
        <x:v>DW-0037</x:v>
      </x:c>
      <x:c r="B42" t="str">
        <x:v>DW-0037</x:v>
      </x:c>
      <x:c r="C42" t="str">
        <x:v>Parent historique</x:v>
      </x:c>
      <x:c r="D42" t="str">
        <x:v>Habitat collectif</x:v>
      </x:c>
      <x:c r="E42" t="str">
        <x:v>Foyer parental</x:v>
      </x:c>
      <x:c r="F42" t="n">
        <x:v>8</x:v>
      </x:c>
      <x:c r="G42" t="n">
        <x:v>5</x:v>
      </x:c>
      <x:c r="H42" t="n">
        <x:v>15</x:v>
      </x:c>
      <x:c r="I42" t="str">
        <x:v>À qualifier par lieu</x:v>
      </x:c>
      <x:c r="J42" t="str">
        <x:v>https://github.com/darknigthmare/deadwall-last-enclosure/blob/1b3b9c5ba232734b1bda3453b4e20a0481bcdd74/codex-3000/originaux/DEADWALL_CODEX_1.22/fiches/DW-0037.md</x:v>
      </x:c>
      <x:c r="K42" t="str">
        <x:v>Source min 25,18 m ; max 85,60 m ; modèle 26 × 22 m ; niveaux 0, 1, 2. Détails dans catalogue-existant.json.</x:v>
      </x:c>
    </x:row>
    <x:row r="43">
      <x:c r="A43" t="str">
        <x:v>DW-0038</x:v>
      </x:c>
      <x:c r="B43" t="str">
        <x:v>DW-0038</x:v>
      </x:c>
      <x:c r="C43" t="str">
        <x:v>Parent historique</x:v>
      </x:c>
      <x:c r="D43" t="str">
        <x:v>Habitat collectif</x:v>
      </x:c>
      <x:c r="E43" t="str">
        <x:v>Internat résidentiel</x:v>
      </x:c>
      <x:c r="F43" t="n">
        <x:v>8</x:v>
      </x:c>
      <x:c r="G43" t="n">
        <x:v>4</x:v>
      </x:c>
      <x:c r="H43" t="n">
        <x:v>12</x:v>
      </x:c>
      <x:c r="I43" t="str">
        <x:v>À qualifier par lieu</x:v>
      </x:c>
      <x:c r="J43" t="str">
        <x:v>https://github.com/darknigthmare/deadwall-last-enclosure/blob/1b3b9c5ba232734b1bda3453b4e20a0481bcdd74/codex-3000/originaux/DEADWALL_CODEX_1.22/fiches/DW-0038.md</x:v>
      </x:c>
      <x:c r="K43" t="str">
        <x:v>Source min 25,18 m ; max 85,60 m ; modèle 25 × 18 m ; niveaux 0, 1, 2. Détails dans catalogue-existant.json.</x:v>
      </x:c>
    </x:row>
    <x:row r="44">
      <x:c r="A44" t="str">
        <x:v>DW-0039</x:v>
      </x:c>
      <x:c r="B44" t="str">
        <x:v>DW-0039</x:v>
      </x:c>
      <x:c r="C44" t="str">
        <x:v>Parent historique</x:v>
      </x:c>
      <x:c r="D44" t="str">
        <x:v>Habitat collectif</x:v>
      </x:c>
      <x:c r="E44" t="str">
        <x:v>Résidence médicale légère</x:v>
      </x:c>
      <x:c r="F44" t="n">
        <x:v>8</x:v>
      </x:c>
      <x:c r="G44" t="n">
        <x:v>4</x:v>
      </x:c>
      <x:c r="H44" t="n">
        <x:v>12</x:v>
      </x:c>
      <x:c r="I44" t="str">
        <x:v>À qualifier par lieu</x:v>
      </x:c>
      <x:c r="J44" t="str">
        <x:v>https://github.com/darknigthmare/deadwall-last-enclosure/blob/1b3b9c5ba232734b1bda3453b4e20a0481bcdd74/codex-3000/originaux/DEADWALL_CODEX_1.22/fiches/DW-0039.md</x:v>
      </x:c>
      <x:c r="K44" t="str">
        <x:v>Source min 25,18 m ; max 85,60 m ; modèle 25 × 18 m ; niveaux 0, 1, 2. Détails dans catalogue-existant.json.</x:v>
      </x:c>
    </x:row>
    <x:row r="45">
      <x:c r="A45" t="str">
        <x:v>DW-0040</x:v>
      </x:c>
      <x:c r="B45" t="str">
        <x:v>DW-0040</x:v>
      </x:c>
      <x:c r="C45" t="str">
        <x:v>Parent historique</x:v>
      </x:c>
      <x:c r="D45" t="str">
        <x:v>Habitat collectif</x:v>
      </x:c>
      <x:c r="E45" t="str">
        <x:v>Îlot mixte dense</x:v>
      </x:c>
      <x:c r="F45" t="n">
        <x:v>8</x:v>
      </x:c>
      <x:c r="G45" t="n">
        <x:v>5</x:v>
      </x:c>
      <x:c r="H45" t="n">
        <x:v>15</x:v>
      </x:c>
      <x:c r="I45" t="str">
        <x:v>À qualifier par lieu</x:v>
      </x:c>
      <x:c r="J45" t="str">
        <x:v>https://github.com/darknigthmare/deadwall-last-enclosure/blob/1b3b9c5ba232734b1bda3453b4e20a0481bcdd74/codex-3000/originaux/DEADWALL_CODEX_1.22/fiches/DW-0040.md</x:v>
      </x:c>
      <x:c r="K45" t="str">
        <x:v>Source min 25,18 m ; max 85,60 m ; modèle 26 × 22 m ; niveaux 0, 1, 2. Détails dans catalogue-existant.json.</x:v>
      </x:c>
    </x:row>
    <x:row r="46">
      <x:c r="A46" t="str">
        <x:v>DW-0041</x:v>
      </x:c>
      <x:c r="B46" t="str">
        <x:v>DW-0041</x:v>
      </x:c>
      <x:c r="C46" t="str">
        <x:v>Parent historique</x:v>
      </x:c>
      <x:c r="D46" t="str">
        <x:v>Commerces non alimentaires</x:v>
      </x:c>
      <x:c r="E46" t="str">
        <x:v>Centre commercial régional</x:v>
      </x:c>
      <x:c r="F46" t="n">
        <x:v>8</x:v>
      </x:c>
      <x:c r="G46" t="n">
        <x:v>7</x:v>
      </x:c>
      <x:c r="H46" t="n">
        <x:v>17</x:v>
      </x:c>
      <x:c r="I46" t="str">
        <x:v>À qualifier par lieu</x:v>
      </x:c>
      <x:c r="J46" t="str">
        <x:v>https://github.com/darknigthmare/deadwall-last-enclosure/blob/1b3b9c5ba232734b1bda3453b4e20a0481bcdd74/codex-3000/originaux/DEADWALL_CODEX_1.22/fiches/DW-0041.md</x:v>
      </x:c>
      <x:c r="K46" t="str">
        <x:v>Source min 25,20 m ; max 180,120 m ; modèle 29 × 29 m ; niveaux 0, 1. Détails dans catalogue-existant.json.</x:v>
      </x:c>
    </x:row>
    <x:row r="47">
      <x:c r="A47" t="str">
        <x:v>DW-0042</x:v>
      </x:c>
      <x:c r="B47" t="str">
        <x:v>DW-0042</x:v>
      </x:c>
      <x:c r="C47" t="str">
        <x:v>Parent historique</x:v>
      </x:c>
      <x:c r="D47" t="str">
        <x:v>Commerces non alimentaires</x:v>
      </x:c>
      <x:c r="E47" t="str">
        <x:v>Galerie marchande de quartier</x:v>
      </x:c>
      <x:c r="F47" t="n">
        <x:v>8</x:v>
      </x:c>
      <x:c r="G47" t="n">
        <x:v>4</x:v>
      </x:c>
      <x:c r="H47" t="n">
        <x:v>10</x:v>
      </x:c>
      <x:c r="I47" t="str">
        <x:v>À qualifier par lieu</x:v>
      </x:c>
      <x:c r="J47" t="str">
        <x:v>https://github.com/darknigthmare/deadwall-last-enclosure/blob/1b3b9c5ba232734b1bda3453b4e20a0481bcdd74/codex-3000/originaux/DEADWALL_CODEX_1.22/fiches/DW-0042.md</x:v>
      </x:c>
      <x:c r="K47" t="str">
        <x:v>Source min 25,20 m ; max 180,120 m ; modèle 25 × 20 m ; niveaux 0. Détails dans catalogue-existant.json.</x:v>
      </x:c>
    </x:row>
    <x:row r="48">
      <x:c r="A48" t="str">
        <x:v>DW-0043</x:v>
      </x:c>
      <x:c r="B48" t="str">
        <x:v>DW-0043</x:v>
      </x:c>
      <x:c r="C48" t="str">
        <x:v>Parent historique</x:v>
      </x:c>
      <x:c r="D48" t="str">
        <x:v>Commerces non alimentaires</x:v>
      </x:c>
      <x:c r="E48" t="str">
        <x:v>Parc commercial ouvert</x:v>
      </x:c>
      <x:c r="F48" t="n">
        <x:v>8</x:v>
      </x:c>
      <x:c r="G48" t="n">
        <x:v>4</x:v>
      </x:c>
      <x:c r="H48" t="n">
        <x:v>12</x:v>
      </x:c>
      <x:c r="I48" t="str">
        <x:v>À qualifier par lieu</x:v>
      </x:c>
      <x:c r="J48" t="str">
        <x:v>https://github.com/darknigthmare/deadwall-last-enclosure/blob/1b3b9c5ba232734b1bda3453b4e20a0481bcdd74/codex-3000/originaux/DEADWALL_CODEX_1.22/fiches/DW-0043.md</x:v>
      </x:c>
      <x:c r="K48" t="str">
        <x:v>Source min 25,20 m ; max 180,120 m ; modèle 25 × 20 m ; niveaux 0. Détails dans catalogue-existant.json.</x:v>
      </x:c>
    </x:row>
    <x:row r="49">
      <x:c r="A49" t="str">
        <x:v>DW-0044</x:v>
      </x:c>
      <x:c r="B49" t="str">
        <x:v>DW-0044</x:v>
      </x:c>
      <x:c r="C49" t="str">
        <x:v>Parent historique</x:v>
      </x:c>
      <x:c r="D49" t="str">
        <x:v>Commerces non alimentaires</x:v>
      </x:c>
      <x:c r="E49" t="str">
        <x:v>Grand magasin à étages</x:v>
      </x:c>
      <x:c r="F49" t="n">
        <x:v>8</x:v>
      </x:c>
      <x:c r="G49" t="n">
        <x:v>5</x:v>
      </x:c>
      <x:c r="H49" t="n">
        <x:v>15</x:v>
      </x:c>
      <x:c r="I49" t="str">
        <x:v>À qualifier par lieu</x:v>
      </x:c>
      <x:c r="J49" t="str">
        <x:v>https://github.com/darknigthmare/deadwall-last-enclosure/blob/1b3b9c5ba232734b1bda3453b4e20a0481bcdd74/codex-3000/originaux/DEADWALL_CODEX_1.22/fiches/DW-0044.md</x:v>
      </x:c>
      <x:c r="K49" t="str">
        <x:v>Source min 25,20 m ; max 180,120 m ; modèle 26 × 22 m ; niveaux 0, 1, 2. Détails dans catalogue-existant.json.</x:v>
      </x:c>
    </x:row>
    <x:row r="50">
      <x:c r="A50" t="str">
        <x:v>DW-0045</x:v>
      </x:c>
      <x:c r="B50" t="str">
        <x:v>DW-0045</x:v>
      </x:c>
      <x:c r="C50" t="str">
        <x:v>Parent historique</x:v>
      </x:c>
      <x:c r="D50" t="str">
        <x:v>Commerces non alimentaires</x:v>
      </x:c>
      <x:c r="E50" t="str">
        <x:v>Magasin de bricolage</x:v>
      </x:c>
      <x:c r="F50" t="n">
        <x:v>8</x:v>
      </x:c>
      <x:c r="G50" t="n">
        <x:v>5</x:v>
      </x:c>
      <x:c r="H50" t="n">
        <x:v>15</x:v>
      </x:c>
      <x:c r="I50" t="str">
        <x:v>À qualifier par lieu</x:v>
      </x:c>
      <x:c r="J50" t="str">
        <x:v>https://github.com/darknigthmare/deadwall-last-enclosure/blob/1b3b9c5ba232734b1bda3453b4e20a0481bcdd74/codex-3000/originaux/DEADWALL_CODEX_1.22/fiches/DW-0045.md</x:v>
      </x:c>
      <x:c r="K50" t="str">
        <x:v>Source min 25,20 m ; max 180,120 m ; modèle 26 × 22 m ; niveaux 0. Détails dans catalogue-existant.json.</x:v>
      </x:c>
    </x:row>
    <x:row r="51">
      <x:c r="A51" t="str">
        <x:v>DW-0046</x:v>
      </x:c>
      <x:c r="B51" t="str">
        <x:v>DW-0046</x:v>
      </x:c>
      <x:c r="C51" t="str">
        <x:v>Parent historique</x:v>
      </x:c>
      <x:c r="D51" t="str">
        <x:v>Commerces non alimentaires</x:v>
      </x:c>
      <x:c r="E51" t="str">
        <x:v>Jardinerie</x:v>
      </x:c>
      <x:c r="F51" t="n">
        <x:v>8</x:v>
      </x:c>
      <x:c r="G51" t="n">
        <x:v>5</x:v>
      </x:c>
      <x:c r="H51" t="n">
        <x:v>15</x:v>
      </x:c>
      <x:c r="I51" t="str">
        <x:v>À qualifier par lieu</x:v>
      </x:c>
      <x:c r="J51" t="str">
        <x:v>https://github.com/darknigthmare/deadwall-last-enclosure/blob/1b3b9c5ba232734b1bda3453b4e20a0481bcdd74/codex-3000/originaux/DEADWALL_CODEX_1.22/fiches/DW-0046.md</x:v>
      </x:c>
      <x:c r="K51" t="str">
        <x:v>Source min 25,20 m ; max 180,120 m ; modèle 26 × 22 m ; niveaux 0. Détails dans catalogue-existant.json.</x:v>
      </x:c>
    </x:row>
    <x:row r="52">
      <x:c r="A52" t="str">
        <x:v>DW-0047</x:v>
      </x:c>
      <x:c r="B52" t="str">
        <x:v>DW-0047</x:v>
      </x:c>
      <x:c r="C52" t="str">
        <x:v>Parent historique</x:v>
      </x:c>
      <x:c r="D52" t="str">
        <x:v>Commerces non alimentaires</x:v>
      </x:c>
      <x:c r="E52" t="str">
        <x:v>Magasin d'ameublement</x:v>
      </x:c>
      <x:c r="F52" t="n">
        <x:v>8</x:v>
      </x:c>
      <x:c r="G52" t="n">
        <x:v>5</x:v>
      </x:c>
      <x:c r="H52" t="n">
        <x:v>15</x:v>
      </x:c>
      <x:c r="I52" t="str">
        <x:v>À qualifier par lieu</x:v>
      </x:c>
      <x:c r="J52" t="str">
        <x:v>https://github.com/darknigthmare/deadwall-last-enclosure/blob/1b3b9c5ba232734b1bda3453b4e20a0481bcdd74/codex-3000/originaux/DEADWALL_CODEX_1.22/fiches/DW-0047.md</x:v>
      </x:c>
      <x:c r="K52" t="str">
        <x:v>Source min 25,20 m ; max 180,120 m ; modèle 26 × 22 m ; niveaux 0. Détails dans catalogue-existant.json.</x:v>
      </x:c>
    </x:row>
    <x:row r="53">
      <x:c r="A53" t="str">
        <x:v>DW-0048</x:v>
      </x:c>
      <x:c r="B53" t="str">
        <x:v>DW-0048</x:v>
      </x:c>
      <x:c r="C53" t="str">
        <x:v>Parent historique</x:v>
      </x:c>
      <x:c r="D53" t="str">
        <x:v>Commerces non alimentaires</x:v>
      </x:c>
      <x:c r="E53" t="str">
        <x:v>Magasin d'électroménager</x:v>
      </x:c>
      <x:c r="F53" t="n">
        <x:v>8</x:v>
      </x:c>
      <x:c r="G53" t="n">
        <x:v>4</x:v>
      </x:c>
      <x:c r="H53" t="n">
        <x:v>12</x:v>
      </x:c>
      <x:c r="I53" t="str">
        <x:v>À qualifier par lieu</x:v>
      </x:c>
      <x:c r="J53" t="str">
        <x:v>https://github.com/darknigthmare/deadwall-last-enclosure/blob/1b3b9c5ba232734b1bda3453b4e20a0481bcdd74/codex-3000/originaux/DEADWALL_CODEX_1.22/fiches/DW-0048.md</x:v>
      </x:c>
      <x:c r="K53" t="str">
        <x:v>Source min 25,20 m ; max 180,120 m ; modèle 25 × 20 m ; niveaux 0. Détails dans catalogue-existant.json.</x:v>
      </x:c>
    </x:row>
    <x:row r="54">
      <x:c r="A54" t="str">
        <x:v>DW-0049</x:v>
      </x:c>
      <x:c r="B54" t="str">
        <x:v>DW-0049</x:v>
      </x:c>
      <x:c r="C54" t="str">
        <x:v>Parent historique</x:v>
      </x:c>
      <x:c r="D54" t="str">
        <x:v>Commerces non alimentaires</x:v>
      </x:c>
      <x:c r="E54" t="str">
        <x:v>Librairie indépendante</x:v>
      </x:c>
      <x:c r="F54" t="n">
        <x:v>8</x:v>
      </x:c>
      <x:c r="G54" t="n">
        <x:v>4</x:v>
      </x:c>
      <x:c r="H54" t="n">
        <x:v>12</x:v>
      </x:c>
      <x:c r="I54" t="str">
        <x:v>À qualifier par lieu</x:v>
      </x:c>
      <x:c r="J54" t="str">
        <x:v>https://github.com/darknigthmare/deadwall-last-enclosure/blob/1b3b9c5ba232734b1bda3453b4e20a0481bcdd74/codex-3000/originaux/DEADWALL_CODEX_1.22/fiches/DW-0049.md</x:v>
      </x:c>
      <x:c r="K54" t="str">
        <x:v>Source min 25,20 m ; max 180,120 m ; modèle 25 × 20 m ; niveaux 0. Détails dans catalogue-existant.json.</x:v>
      </x:c>
    </x:row>
    <x:row r="55">
      <x:c r="A55" t="str">
        <x:v>DW-0050</x:v>
      </x:c>
      <x:c r="B55" t="str">
        <x:v>DW-0050</x:v>
      </x:c>
      <x:c r="C55" t="str">
        <x:v>Parent historique</x:v>
      </x:c>
      <x:c r="D55" t="str">
        <x:v>Commerces non alimentaires</x:v>
      </x:c>
      <x:c r="E55" t="str">
        <x:v>Papeterie de gros</x:v>
      </x:c>
      <x:c r="F55" t="n">
        <x:v>8</x:v>
      </x:c>
      <x:c r="G55" t="n">
        <x:v>4</x:v>
      </x:c>
      <x:c r="H55" t="n">
        <x:v>12</x:v>
      </x:c>
      <x:c r="I55" t="str">
        <x:v>À qualifier par lieu</x:v>
      </x:c>
      <x:c r="J55" t="str">
        <x:v>https://github.com/darknigthmare/deadwall-last-enclosure/blob/1b3b9c5ba232734b1bda3453b4e20a0481bcdd74/codex-3000/originaux/DEADWALL_CODEX_1.22/fiches/DW-0050.md</x:v>
      </x:c>
      <x:c r="K55" t="str">
        <x:v>Source min 25,20 m ; max 180,120 m ; modèle 25 × 20 m ; niveaux 0. Détails dans catalogue-existant.json.</x:v>
      </x:c>
    </x:row>
    <x:row r="56">
      <x:c r="A56" t="str">
        <x:v>DW-0051</x:v>
      </x:c>
      <x:c r="B56" t="str">
        <x:v>DW-0051</x:v>
      </x:c>
      <x:c r="C56" t="str">
        <x:v>Parent historique</x:v>
      </x:c>
      <x:c r="D56" t="str">
        <x:v>Commerces non alimentaires</x:v>
      </x:c>
      <x:c r="E56" t="str">
        <x:v>Magasin de vêtements</x:v>
      </x:c>
      <x:c r="F56" t="n">
        <x:v>8</x:v>
      </x:c>
      <x:c r="G56" t="n">
        <x:v>4</x:v>
      </x:c>
      <x:c r="H56" t="n">
        <x:v>12</x:v>
      </x:c>
      <x:c r="I56" t="str">
        <x:v>À qualifier par lieu</x:v>
      </x:c>
      <x:c r="J56" t="str">
        <x:v>https://github.com/darknigthmare/deadwall-last-enclosure/blob/1b3b9c5ba232734b1bda3453b4e20a0481bcdd74/codex-3000/originaux/DEADWALL_CODEX_1.22/fiches/DW-0051.md</x:v>
      </x:c>
      <x:c r="K56" t="str">
        <x:v>Source min 25,20 m ; max 180,120 m ; modèle 25 × 20 m ; niveaux 0. Détails dans catalogue-existant.json.</x:v>
      </x:c>
    </x:row>
    <x:row r="57">
      <x:c r="A57" t="str">
        <x:v>DW-0052</x:v>
      </x:c>
      <x:c r="B57" t="str">
        <x:v>DW-0052</x:v>
      </x:c>
      <x:c r="C57" t="str">
        <x:v>Parent historique</x:v>
      </x:c>
      <x:c r="D57" t="str">
        <x:v>Commerces non alimentaires</x:v>
      </x:c>
      <x:c r="E57" t="str">
        <x:v>Magasin de sport</x:v>
      </x:c>
      <x:c r="F57" t="n">
        <x:v>8</x:v>
      </x:c>
      <x:c r="G57" t="n">
        <x:v>4</x:v>
      </x:c>
      <x:c r="H57" t="n">
        <x:v>12</x:v>
      </x:c>
      <x:c r="I57" t="str">
        <x:v>À qualifier par lieu</x:v>
      </x:c>
      <x:c r="J57" t="str">
        <x:v>https://github.com/darknigthmare/deadwall-last-enclosure/blob/1b3b9c5ba232734b1bda3453b4e20a0481bcdd74/codex-3000/originaux/DEADWALL_CODEX_1.22/fiches/DW-0052.md</x:v>
      </x:c>
      <x:c r="K57" t="str">
        <x:v>Source min 25,20 m ; max 180,120 m ; modèle 25 × 20 m ; niveaux 0. Détails dans catalogue-existant.json.</x:v>
      </x:c>
    </x:row>
    <x:row r="58">
      <x:c r="A58" t="str">
        <x:v>DW-0053</x:v>
      </x:c>
      <x:c r="B58" t="str">
        <x:v>DW-0053</x:v>
      </x:c>
      <x:c r="C58" t="str">
        <x:v>Parent historique</x:v>
      </x:c>
      <x:c r="D58" t="str">
        <x:v>Commerces non alimentaires</x:v>
      </x:c>
      <x:c r="E58" t="str">
        <x:v>Pharmacie commerciale</x:v>
      </x:c>
      <x:c r="F58" t="n">
        <x:v>8</x:v>
      </x:c>
      <x:c r="G58" t="n">
        <x:v>4</x:v>
      </x:c>
      <x:c r="H58" t="n">
        <x:v>12</x:v>
      </x:c>
      <x:c r="I58" t="str">
        <x:v>À qualifier par lieu</x:v>
      </x:c>
      <x:c r="J58" t="str">
        <x:v>https://github.com/darknigthmare/deadwall-last-enclosure/blob/1b3b9c5ba232734b1bda3453b4e20a0481bcdd74/codex-3000/originaux/DEADWALL_CODEX_1.22/fiches/DW-0053.md</x:v>
      </x:c>
      <x:c r="K58" t="str">
        <x:v>Source min 25,20 m ; max 180,120 m ; modèle 25 × 20 m ; niveaux 0. Détails dans catalogue-existant.json.</x:v>
      </x:c>
    </x:row>
    <x:row r="59">
      <x:c r="A59" t="str">
        <x:v>DW-0054</x:v>
      </x:c>
      <x:c r="B59" t="str">
        <x:v>DW-0054</x:v>
      </x:c>
      <x:c r="C59" t="str">
        <x:v>Parent historique</x:v>
      </x:c>
      <x:c r="D59" t="str">
        <x:v>Commerces non alimentaires</x:v>
      </x:c>
      <x:c r="E59" t="str">
        <x:v>Animalerie</x:v>
      </x:c>
      <x:c r="F59" t="n">
        <x:v>8</x:v>
      </x:c>
      <x:c r="G59" t="n">
        <x:v>4</x:v>
      </x:c>
      <x:c r="H59" t="n">
        <x:v>12</x:v>
      </x:c>
      <x:c r="I59" t="str">
        <x:v>À qualifier par lieu</x:v>
      </x:c>
      <x:c r="J59" t="str">
        <x:v>https://github.com/darknigthmare/deadwall-last-enclosure/blob/1b3b9c5ba232734b1bda3453b4e20a0481bcdd74/codex-3000/originaux/DEADWALL_CODEX_1.22/fiches/DW-0054.md</x:v>
      </x:c>
      <x:c r="K59" t="str">
        <x:v>Source min 25,20 m ; max 180,120 m ; modèle 25 × 20 m ; niveaux 0. Détails dans catalogue-existant.json.</x:v>
      </x:c>
    </x:row>
    <x:row r="60">
      <x:c r="A60" t="str">
        <x:v>DW-0055</x:v>
      </x:c>
      <x:c r="B60" t="str">
        <x:v>DW-0055</x:v>
      </x:c>
      <x:c r="C60" t="str">
        <x:v>Parent historique</x:v>
      </x:c>
      <x:c r="D60" t="str">
        <x:v>Commerces non alimentaires</x:v>
      </x:c>
      <x:c r="E60" t="str">
        <x:v>Boutique informatique</x:v>
      </x:c>
      <x:c r="F60" t="n">
        <x:v>8</x:v>
      </x:c>
      <x:c r="G60" t="n">
        <x:v>4</x:v>
      </x:c>
      <x:c r="H60" t="n">
        <x:v>12</x:v>
      </x:c>
      <x:c r="I60" t="str">
        <x:v>À qualifier par lieu</x:v>
      </x:c>
      <x:c r="J60" t="str">
        <x:v>https://github.com/darknigthmare/deadwall-last-enclosure/blob/1b3b9c5ba232734b1bda3453b4e20a0481bcdd74/codex-3000/originaux/DEADWALL_CODEX_1.22/fiches/DW-0055.md</x:v>
      </x:c>
      <x:c r="K60" t="str">
        <x:v>Source min 25,20 m ; max 180,120 m ; modèle 25 × 20 m ; niveaux 0. Détails dans catalogue-existant.json.</x:v>
      </x:c>
    </x:row>
    <x:row r="61">
      <x:c r="A61" t="str">
        <x:v>DW-0056</x:v>
      </x:c>
      <x:c r="B61" t="str">
        <x:v>DW-0056</x:v>
      </x:c>
      <x:c r="C61" t="str">
        <x:v>Parent historique</x:v>
      </x:c>
      <x:c r="D61" t="str">
        <x:v>Commerces non alimentaires</x:v>
      </x:c>
      <x:c r="E61" t="str">
        <x:v>Quincaillerie ancienne</x:v>
      </x:c>
      <x:c r="F61" t="n">
        <x:v>8</x:v>
      </x:c>
      <x:c r="G61" t="n">
        <x:v>4</x:v>
      </x:c>
      <x:c r="H61" t="n">
        <x:v>12</x:v>
      </x:c>
      <x:c r="I61" t="str">
        <x:v>À qualifier par lieu</x:v>
      </x:c>
      <x:c r="J61" t="str">
        <x:v>https://github.com/darknigthmare/deadwall-last-enclosure/blob/1b3b9c5ba232734b1bda3453b4e20a0481bcdd74/codex-3000/originaux/DEADWALL_CODEX_1.22/fiches/DW-0056.md</x:v>
      </x:c>
      <x:c r="K61" t="str">
        <x:v>Source min 25,20 m ; max 180,120 m ; modèle 25 × 20 m ; niveaux 0. Détails dans catalogue-existant.json.</x:v>
      </x:c>
    </x:row>
    <x:row r="62">
      <x:c r="A62" t="str">
        <x:v>DW-0057</x:v>
      </x:c>
      <x:c r="B62" t="str">
        <x:v>DW-0057</x:v>
      </x:c>
      <x:c r="C62" t="str">
        <x:v>Parent historique</x:v>
      </x:c>
      <x:c r="D62" t="str">
        <x:v>Commerces non alimentaires</x:v>
      </x:c>
      <x:c r="E62" t="str">
        <x:v>Magasin de déstockage</x:v>
      </x:c>
      <x:c r="F62" t="n">
        <x:v>8</x:v>
      </x:c>
      <x:c r="G62" t="n">
        <x:v>4</x:v>
      </x:c>
      <x:c r="H62" t="n">
        <x:v>12</x:v>
      </x:c>
      <x:c r="I62" t="str">
        <x:v>À qualifier par lieu</x:v>
      </x:c>
      <x:c r="J62" t="str">
        <x:v>https://github.com/darknigthmare/deadwall-last-enclosure/blob/1b3b9c5ba232734b1bda3453b4e20a0481bcdd74/codex-3000/originaux/DEADWALL_CODEX_1.22/fiches/DW-0057.md</x:v>
      </x:c>
      <x:c r="K62" t="str">
        <x:v>Source min 25,20 m ; max 180,120 m ; modèle 25 × 20 m ; niveaux 0. Détails dans catalogue-existant.json.</x:v>
      </x:c>
    </x:row>
    <x:row r="63">
      <x:c r="A63" t="str">
        <x:v>DW-0058</x:v>
      </x:c>
      <x:c r="B63" t="str">
        <x:v>DW-0058</x:v>
      </x:c>
      <x:c r="C63" t="str">
        <x:v>Parent historique</x:v>
      </x:c>
      <x:c r="D63" t="str">
        <x:v>Commerces non alimentaires</x:v>
      </x:c>
      <x:c r="E63" t="str">
        <x:v>Marché couvert</x:v>
      </x:c>
      <x:c r="F63" t="n">
        <x:v>8</x:v>
      </x:c>
      <x:c r="G63" t="n">
        <x:v>5</x:v>
      </x:c>
      <x:c r="H63" t="n">
        <x:v>13</x:v>
      </x:c>
      <x:c r="I63" t="str">
        <x:v>À qualifier par lieu</x:v>
      </x:c>
      <x:c r="J63" t="str">
        <x:v>https://github.com/darknigthmare/deadwall-last-enclosure/blob/1b3b9c5ba232734b1bda3453b4e20a0481bcdd74/codex-3000/originaux/DEADWALL_CODEX_1.22/fiches/DW-0058.md</x:v>
      </x:c>
      <x:c r="K63" t="str">
        <x:v>Source min 25,20 m ; max 180,120 m ; modèle 26 × 22 m ; niveaux 0. Détails dans catalogue-existant.json.</x:v>
      </x:c>
    </x:row>
    <x:row r="64">
      <x:c r="A64" t="str">
        <x:v>DW-0059</x:v>
      </x:c>
      <x:c r="B64" t="str">
        <x:v>DW-0059</x:v>
      </x:c>
      <x:c r="C64" t="str">
        <x:v>Parent historique</x:v>
      </x:c>
      <x:c r="D64" t="str">
        <x:v>Commerces non alimentaires</x:v>
      </x:c>
      <x:c r="E64" t="str">
        <x:v>Négoce de matériaux</x:v>
      </x:c>
      <x:c r="F64" t="n">
        <x:v>8</x:v>
      </x:c>
      <x:c r="G64" t="n">
        <x:v>4</x:v>
      </x:c>
      <x:c r="H64" t="n">
        <x:v>12</x:v>
      </x:c>
      <x:c r="I64" t="str">
        <x:v>À qualifier par lieu</x:v>
      </x:c>
      <x:c r="J64" t="str">
        <x:v>https://github.com/darknigthmare/deadwall-last-enclosure/blob/1b3b9c5ba232734b1bda3453b4e20a0481bcdd74/codex-3000/originaux/DEADWALL_CODEX_1.22/fiches/DW-0059.md</x:v>
      </x:c>
      <x:c r="K64" t="str">
        <x:v>Source min 25,20 m ; max 180,120 m ; modèle 25 × 20 m ; niveaux 0. Détails dans catalogue-existant.json.</x:v>
      </x:c>
    </x:row>
    <x:row r="65">
      <x:c r="A65" t="str">
        <x:v>DW-0060</x:v>
      </x:c>
      <x:c r="B65" t="str">
        <x:v>DW-0060</x:v>
      </x:c>
      <x:c r="C65" t="str">
        <x:v>Parent historique</x:v>
      </x:c>
      <x:c r="D65" t="str">
        <x:v>Commerces non alimentaires</x:v>
      </x:c>
      <x:c r="E65" t="str">
        <x:v>Galerie semi-abandonnée</x:v>
      </x:c>
      <x:c r="F65" t="n">
        <x:v>8</x:v>
      </x:c>
      <x:c r="G65" t="n">
        <x:v>4</x:v>
      </x:c>
      <x:c r="H65" t="n">
        <x:v>10</x:v>
      </x:c>
      <x:c r="I65" t="str">
        <x:v>À qualifier par lieu</x:v>
      </x:c>
      <x:c r="J65" t="str">
        <x:v>https://github.com/darknigthmare/deadwall-last-enclosure/blob/1b3b9c5ba232734b1bda3453b4e20a0481bcdd74/codex-3000/originaux/DEADWALL_CODEX_1.22/fiches/DW-0060.md</x:v>
      </x:c>
      <x:c r="K65" t="str">
        <x:v>Source min 25,20 m ; max 180,120 m ; modèle 25 × 20 m ; niveaux 0. Détails dans catalogue-existant.json.</x:v>
      </x:c>
    </x:row>
    <x:row r="66">
      <x:c r="A66" t="str">
        <x:v>DW-0061</x:v>
      </x:c>
      <x:c r="B66" t="str">
        <x:v>DW-0061</x:v>
      </x:c>
      <x:c r="C66" t="str">
        <x:v>Parent historique</x:v>
      </x:c>
      <x:c r="D66" t="str">
        <x:v>Alimentation et restauration</x:v>
      </x:c>
      <x:c r="E66" t="str">
        <x:v>Supérette de quartier</x:v>
      </x:c>
      <x:c r="F66" t="n">
        <x:v>8</x:v>
      </x:c>
      <x:c r="G66" t="n">
        <x:v>4</x:v>
      </x:c>
      <x:c r="H66" t="n">
        <x:v>12</x:v>
      </x:c>
      <x:c r="I66" t="str">
        <x:v>À qualifier par lieu</x:v>
      </x:c>
      <x:c r="J66" t="str">
        <x:v>https://github.com/darknigthmare/deadwall-last-enclosure/blob/1b3b9c5ba232734b1bda3453b4e20a0481bcdd74/codex-3000/originaux/DEADWALL_CODEX_1.22/fiches/DW-0061.md</x:v>
      </x:c>
      <x:c r="K66" t="str">
        <x:v>Source min 18,14 m ; max 90,60 m ; modèle 25 × 18 m ; niveaux 0. Détails dans catalogue-existant.json.</x:v>
      </x:c>
    </x:row>
    <x:row r="67">
      <x:c r="A67" t="str">
        <x:v>DW-0062</x:v>
      </x:c>
      <x:c r="B67" t="str">
        <x:v>DW-0062</x:v>
      </x:c>
      <x:c r="C67" t="str">
        <x:v>Parent historique</x:v>
      </x:c>
      <x:c r="D67" t="str">
        <x:v>Alimentation et restauration</x:v>
      </x:c>
      <x:c r="E67" t="str">
        <x:v>Supermarché avec quai</x:v>
      </x:c>
      <x:c r="F67" t="n">
        <x:v>8</x:v>
      </x:c>
      <x:c r="G67" t="n">
        <x:v>5</x:v>
      </x:c>
      <x:c r="H67" t="n">
        <x:v>15</x:v>
      </x:c>
      <x:c r="I67" t="str">
        <x:v>À qualifier par lieu</x:v>
      </x:c>
      <x:c r="J67" t="str">
        <x:v>https://github.com/darknigthmare/deadwall-last-enclosure/blob/1b3b9c5ba232734b1bda3453b4e20a0481bcdd74/codex-3000/originaux/DEADWALL_CODEX_1.22/fiches/DW-0062.md</x:v>
      </x:c>
      <x:c r="K67" t="str">
        <x:v>Source min 18,14 m ; max 90,60 m ; modèle 26 × 22 m ; niveaux 0. Détails dans catalogue-existant.json.</x:v>
      </x:c>
    </x:row>
    <x:row r="68">
      <x:c r="A68" t="str">
        <x:v>DW-0063</x:v>
      </x:c>
      <x:c r="B68" t="str">
        <x:v>DW-0063</x:v>
      </x:c>
      <x:c r="C68" t="str">
        <x:v>Parent historique</x:v>
      </x:c>
      <x:c r="D68" t="str">
        <x:v>Alimentation et restauration</x:v>
      </x:c>
      <x:c r="E68" t="str">
        <x:v>Hypermarché périphérique</x:v>
      </x:c>
      <x:c r="F68" t="n">
        <x:v>8</x:v>
      </x:c>
      <x:c r="G68" t="n">
        <x:v>5</x:v>
      </x:c>
      <x:c r="H68" t="n">
        <x:v>13</x:v>
      </x:c>
      <x:c r="I68" t="str">
        <x:v>À qualifier par lieu</x:v>
      </x:c>
      <x:c r="J68" t="str">
        <x:v>https://github.com/darknigthmare/deadwall-last-enclosure/blob/1b3b9c5ba232734b1bda3453b4e20a0481bcdd74/codex-3000/originaux/DEADWALL_CODEX_1.22/fiches/DW-0063.md</x:v>
      </x:c>
      <x:c r="K68" t="str">
        <x:v>Source min 18,14 m ; max 90,60 m ; modèle 26 × 22 m ; niveaux 0. Détails dans catalogue-existant.json.</x:v>
      </x:c>
    </x:row>
    <x:row r="69">
      <x:c r="A69" t="str">
        <x:v>DW-0064</x:v>
      </x:c>
      <x:c r="B69" t="str">
        <x:v>DW-0064</x:v>
      </x:c>
      <x:c r="C69" t="str">
        <x:v>Parent historique</x:v>
      </x:c>
      <x:c r="D69" t="str">
        <x:v>Alimentation et restauration</x:v>
      </x:c>
      <x:c r="E69" t="str">
        <x:v>Épicerie rurale</x:v>
      </x:c>
      <x:c r="F69" t="n">
        <x:v>8</x:v>
      </x:c>
      <x:c r="G69" t="n">
        <x:v>4</x:v>
      </x:c>
      <x:c r="H69" t="n">
        <x:v>12</x:v>
      </x:c>
      <x:c r="I69" t="str">
        <x:v>À qualifier par lieu</x:v>
      </x:c>
      <x:c r="J69" t="str">
        <x:v>https://github.com/darknigthmare/deadwall-last-enclosure/blob/1b3b9c5ba232734b1bda3453b4e20a0481bcdd74/codex-3000/originaux/DEADWALL_CODEX_1.22/fiches/DW-0064.md</x:v>
      </x:c>
      <x:c r="K69" t="str">
        <x:v>Source min 18,14 m ; max 90,60 m ; modèle 25 × 18 m ; niveaux 0. Détails dans catalogue-existant.json.</x:v>
      </x:c>
    </x:row>
    <x:row r="70">
      <x:c r="A70" t="str">
        <x:v>DW-0065</x:v>
      </x:c>
      <x:c r="B70" t="str">
        <x:v>DW-0065</x:v>
      </x:c>
      <x:c r="C70" t="str">
        <x:v>Parent historique</x:v>
      </x:c>
      <x:c r="D70" t="str">
        <x:v>Alimentation et restauration</x:v>
      </x:c>
      <x:c r="E70" t="str">
        <x:v>Boulangerie artisanale</x:v>
      </x:c>
      <x:c r="F70" t="n">
        <x:v>8</x:v>
      </x:c>
      <x:c r="G70" t="n">
        <x:v>4</x:v>
      </x:c>
      <x:c r="H70" t="n">
        <x:v>12</x:v>
      </x:c>
      <x:c r="I70" t="str">
        <x:v>À qualifier par lieu</x:v>
      </x:c>
      <x:c r="J70" t="str">
        <x:v>https://github.com/darknigthmare/deadwall-last-enclosure/blob/1b3b9c5ba232734b1bda3453b4e20a0481bcdd74/codex-3000/originaux/DEADWALL_CODEX_1.22/fiches/DW-0065.md</x:v>
      </x:c>
      <x:c r="K70" t="str">
        <x:v>Source min 18,14 m ; max 90,60 m ; modèle 25 × 18 m ; niveaux 0. Détails dans catalogue-existant.json.</x:v>
      </x:c>
    </x:row>
    <x:row r="71">
      <x:c r="A71" t="str">
        <x:v>DW-0066</x:v>
      </x:c>
      <x:c r="B71" t="str">
        <x:v>DW-0066</x:v>
      </x:c>
      <x:c r="C71" t="str">
        <x:v>Parent historique</x:v>
      </x:c>
      <x:c r="D71" t="str">
        <x:v>Alimentation et restauration</x:v>
      </x:c>
      <x:c r="E71" t="str">
        <x:v>Boucherie</x:v>
      </x:c>
      <x:c r="F71" t="n">
        <x:v>8</x:v>
      </x:c>
      <x:c r="G71" t="n">
        <x:v>4</x:v>
      </x:c>
      <x:c r="H71" t="n">
        <x:v>12</x:v>
      </x:c>
      <x:c r="I71" t="str">
        <x:v>À qualifier par lieu</x:v>
      </x:c>
      <x:c r="J71" t="str">
        <x:v>https://github.com/darknigthmare/deadwall-last-enclosure/blob/1b3b9c5ba232734b1bda3453b4e20a0481bcdd74/codex-3000/originaux/DEADWALL_CODEX_1.22/fiches/DW-0066.md</x:v>
      </x:c>
      <x:c r="K71" t="str">
        <x:v>Source min 18,14 m ; max 90,60 m ; modèle 25 × 18 m ; niveaux 0. Détails dans catalogue-existant.json.</x:v>
      </x:c>
    </x:row>
    <x:row r="72">
      <x:c r="A72" t="str">
        <x:v>DW-0067</x:v>
      </x:c>
      <x:c r="B72" t="str">
        <x:v>DW-0067</x:v>
      </x:c>
      <x:c r="C72" t="str">
        <x:v>Parent historique</x:v>
      </x:c>
      <x:c r="D72" t="str">
        <x:v>Alimentation et restauration</x:v>
      </x:c>
      <x:c r="E72" t="str">
        <x:v>Poissonnerie</x:v>
      </x:c>
      <x:c r="F72" t="n">
        <x:v>8</x:v>
      </x:c>
      <x:c r="G72" t="n">
        <x:v>4</x:v>
      </x:c>
      <x:c r="H72" t="n">
        <x:v>12</x:v>
      </x:c>
      <x:c r="I72" t="str">
        <x:v>À qualifier par lieu</x:v>
      </x:c>
      <x:c r="J72" t="str">
        <x:v>https://github.com/darknigthmare/deadwall-last-enclosure/blob/1b3b9c5ba232734b1bda3453b4e20a0481bcdd74/codex-3000/originaux/DEADWALL_CODEX_1.22/fiches/DW-0067.md</x:v>
      </x:c>
      <x:c r="K72" t="str">
        <x:v>Source min 18,14 m ; max 90,60 m ; modèle 25 × 18 m ; niveaux 0. Détails dans catalogue-existant.json.</x:v>
      </x:c>
    </x:row>
    <x:row r="73">
      <x:c r="A73" t="str">
        <x:v>DW-0068</x:v>
      </x:c>
      <x:c r="B73" t="str">
        <x:v>DW-0068</x:v>
      </x:c>
      <x:c r="C73" t="str">
        <x:v>Parent historique</x:v>
      </x:c>
      <x:c r="D73" t="str">
        <x:v>Alimentation et restauration</x:v>
      </x:c>
      <x:c r="E73" t="str">
        <x:v>Primeur</x:v>
      </x:c>
      <x:c r="F73" t="n">
        <x:v>8</x:v>
      </x:c>
      <x:c r="G73" t="n">
        <x:v>4</x:v>
      </x:c>
      <x:c r="H73" t="n">
        <x:v>12</x:v>
      </x:c>
      <x:c r="I73" t="str">
        <x:v>À qualifier par lieu</x:v>
      </x:c>
      <x:c r="J73" t="str">
        <x:v>https://github.com/darknigthmare/deadwall-last-enclosure/blob/1b3b9c5ba232734b1bda3453b4e20a0481bcdd74/codex-3000/originaux/DEADWALL_CODEX_1.22/fiches/DW-0068.md</x:v>
      </x:c>
      <x:c r="K73" t="str">
        <x:v>Source min 18,14 m ; max 90,60 m ; modèle 25 × 18 m ; niveaux 0. Détails dans catalogue-existant.json.</x:v>
      </x:c>
    </x:row>
    <x:row r="74">
      <x:c r="A74" t="str">
        <x:v>DW-0069</x:v>
      </x:c>
      <x:c r="B74" t="str">
        <x:v>DW-0069</x:v>
      </x:c>
      <x:c r="C74" t="str">
        <x:v>Parent historique</x:v>
      </x:c>
      <x:c r="D74" t="str">
        <x:v>Alimentation et restauration</x:v>
      </x:c>
      <x:c r="E74" t="str">
        <x:v>Restaurant routier</x:v>
      </x:c>
      <x:c r="F74" t="n">
        <x:v>8</x:v>
      </x:c>
      <x:c r="G74" t="n">
        <x:v>5</x:v>
      </x:c>
      <x:c r="H74" t="n">
        <x:v>15</x:v>
      </x:c>
      <x:c r="I74" t="str">
        <x:v>À qualifier par lieu</x:v>
      </x:c>
      <x:c r="J74" t="str">
        <x:v>https://github.com/darknigthmare/deadwall-last-enclosure/blob/1b3b9c5ba232734b1bda3453b4e20a0481bcdd74/codex-3000/originaux/DEADWALL_CODEX_1.22/fiches/DW-0069.md</x:v>
      </x:c>
      <x:c r="K74" t="str">
        <x:v>Source min 18,14 m ; max 90,60 m ; modèle 26 × 22 m ; niveaux 0. Détails dans catalogue-existant.json.</x:v>
      </x:c>
    </x:row>
    <x:row r="75">
      <x:c r="A75" t="str">
        <x:v>DW-0070</x:v>
      </x:c>
      <x:c r="B75" t="str">
        <x:v>DW-0070</x:v>
      </x:c>
      <x:c r="C75" t="str">
        <x:v>Parent historique</x:v>
      </x:c>
      <x:c r="D75" t="str">
        <x:v>Alimentation et restauration</x:v>
      </x:c>
      <x:c r="E75" t="str">
        <x:v>Restaurant de centre-ville</x:v>
      </x:c>
      <x:c r="F75" t="n">
        <x:v>8</x:v>
      </x:c>
      <x:c r="G75" t="n">
        <x:v>5</x:v>
      </x:c>
      <x:c r="H75" t="n">
        <x:v>15</x:v>
      </x:c>
      <x:c r="I75" t="str">
        <x:v>À qualifier par lieu</x:v>
      </x:c>
      <x:c r="J75" t="str">
        <x:v>https://github.com/darknigthmare/deadwall-last-enclosure/blob/1b3b9c5ba232734b1bda3453b4e20a0481bcdd74/codex-3000/originaux/DEADWALL_CODEX_1.22/fiches/DW-0070.md</x:v>
      </x:c>
      <x:c r="K75" t="str">
        <x:v>Source min 18,14 m ; max 90,60 m ; modèle 26 × 22 m ; niveaux 0. Détails dans catalogue-existant.json.</x:v>
      </x:c>
    </x:row>
    <x:row r="76">
      <x:c r="A76" t="str">
        <x:v>DW-0071</x:v>
      </x:c>
      <x:c r="B76" t="str">
        <x:v>DW-0071</x:v>
      </x:c>
      <x:c r="C76" t="str">
        <x:v>Parent historique</x:v>
      </x:c>
      <x:c r="D76" t="str">
        <x:v>Alimentation et restauration</x:v>
      </x:c>
      <x:c r="E76" t="str">
        <x:v>Restauration rapide avec drive</x:v>
      </x:c>
      <x:c r="F76" t="n">
        <x:v>8</x:v>
      </x:c>
      <x:c r="G76" t="n">
        <x:v>5</x:v>
      </x:c>
      <x:c r="H76" t="n">
        <x:v>15</x:v>
      </x:c>
      <x:c r="I76" t="str">
        <x:v>À qualifier par lieu</x:v>
      </x:c>
      <x:c r="J76" t="str">
        <x:v>https://github.com/darknigthmare/deadwall-last-enclosure/blob/1b3b9c5ba232734b1bda3453b4e20a0481bcdd74/codex-3000/originaux/DEADWALL_CODEX_1.22/fiches/DW-0071.md</x:v>
      </x:c>
      <x:c r="K76" t="str">
        <x:v>Source min 18,14 m ; max 90,60 m ; modèle 26 × 22 m ; niveaux 0. Détails dans catalogue-existant.json.</x:v>
      </x:c>
    </x:row>
    <x:row r="77">
      <x:c r="A77" t="str">
        <x:v>DW-0072</x:v>
      </x:c>
      <x:c r="B77" t="str">
        <x:v>DW-0072</x:v>
      </x:c>
      <x:c r="C77" t="str">
        <x:v>Parent historique</x:v>
      </x:c>
      <x:c r="D77" t="str">
        <x:v>Alimentation et restauration</x:v>
      </x:c>
      <x:c r="E77" t="str">
        <x:v>Cafétéria industrielle</x:v>
      </x:c>
      <x:c r="F77" t="n">
        <x:v>8</x:v>
      </x:c>
      <x:c r="G77" t="n">
        <x:v>4</x:v>
      </x:c>
      <x:c r="H77" t="n">
        <x:v>12</x:v>
      </x:c>
      <x:c r="I77" t="str">
        <x:v>À qualifier par lieu</x:v>
      </x:c>
      <x:c r="J77" t="str">
        <x:v>https://github.com/darknigthmare/deadwall-last-enclosure/blob/1b3b9c5ba232734b1bda3453b4e20a0481bcdd74/codex-3000/originaux/DEADWALL_CODEX_1.22/fiches/DW-0072.md</x:v>
      </x:c>
      <x:c r="K77" t="str">
        <x:v>Source min 18,14 m ; max 90,60 m ; modèle 25 × 18 m ; niveaux 0. Détails dans catalogue-existant.json.</x:v>
      </x:c>
    </x:row>
    <x:row r="78">
      <x:c r="A78" t="str">
        <x:v>DW-0073</x:v>
      </x:c>
      <x:c r="B78" t="str">
        <x:v>DW-0073</x:v>
      </x:c>
      <x:c r="C78" t="str">
        <x:v>Parent historique</x:v>
      </x:c>
      <x:c r="D78" t="str">
        <x:v>Alimentation et restauration</x:v>
      </x:c>
      <x:c r="E78" t="str">
        <x:v>Cuisine centrale</x:v>
      </x:c>
      <x:c r="F78" t="n">
        <x:v>8</x:v>
      </x:c>
      <x:c r="G78" t="n">
        <x:v>5</x:v>
      </x:c>
      <x:c r="H78" t="n">
        <x:v>15</x:v>
      </x:c>
      <x:c r="I78" t="str">
        <x:v>À qualifier par lieu</x:v>
      </x:c>
      <x:c r="J78" t="str">
        <x:v>https://github.com/darknigthmare/deadwall-last-enclosure/blob/1b3b9c5ba232734b1bda3453b4e20a0481bcdd74/codex-3000/originaux/DEADWALL_CODEX_1.22/fiches/DW-0073.md</x:v>
      </x:c>
      <x:c r="K78" t="str">
        <x:v>Source min 18,14 m ; max 90,60 m ; modèle 26 × 22 m ; niveaux 0. Détails dans catalogue-existant.json.</x:v>
      </x:c>
    </x:row>
    <x:row r="79">
      <x:c r="A79" t="str">
        <x:v>DW-0074</x:v>
      </x:c>
      <x:c r="B79" t="str">
        <x:v>DW-0074</x:v>
      </x:c>
      <x:c r="C79" t="str">
        <x:v>Parent historique</x:v>
      </x:c>
      <x:c r="D79" t="str">
        <x:v>Alimentation et restauration</x:v>
      </x:c>
      <x:c r="E79" t="str">
        <x:v>Dépôt alimentaire associatif</x:v>
      </x:c>
      <x:c r="F79" t="n">
        <x:v>8</x:v>
      </x:c>
      <x:c r="G79" t="n">
        <x:v>5</x:v>
      </x:c>
      <x:c r="H79" t="n">
        <x:v>15</x:v>
      </x:c>
      <x:c r="I79" t="str">
        <x:v>À qualifier par lieu</x:v>
      </x:c>
      <x:c r="J79" t="str">
        <x:v>https://github.com/darknigthmare/deadwall-last-enclosure/blob/1b3b9c5ba232734b1bda3453b4e20a0481bcdd74/codex-3000/originaux/DEADWALL_CODEX_1.22/fiches/DW-0074.md</x:v>
      </x:c>
      <x:c r="K79" t="str">
        <x:v>Source min 18,14 m ; max 90,60 m ; modèle 26 × 22 m ; niveaux 0. Détails dans catalogue-existant.json.</x:v>
      </x:c>
    </x:row>
    <x:row r="80">
      <x:c r="A80" t="str">
        <x:v>DW-0075</x:v>
      </x:c>
      <x:c r="B80" t="str">
        <x:v>DW-0075</x:v>
      </x:c>
      <x:c r="C80" t="str">
        <x:v>Parent historique</x:v>
      </x:c>
      <x:c r="D80" t="str">
        <x:v>Alimentation et restauration</x:v>
      </x:c>
      <x:c r="E80" t="str">
        <x:v>Grossiste fruits et légumes</x:v>
      </x:c>
      <x:c r="F80" t="n">
        <x:v>8</x:v>
      </x:c>
      <x:c r="G80" t="n">
        <x:v>4</x:v>
      </x:c>
      <x:c r="H80" t="n">
        <x:v>12</x:v>
      </x:c>
      <x:c r="I80" t="str">
        <x:v>À qualifier par lieu</x:v>
      </x:c>
      <x:c r="J80" t="str">
        <x:v>https://github.com/darknigthmare/deadwall-last-enclosure/blob/1b3b9c5ba232734b1bda3453b4e20a0481bcdd74/codex-3000/originaux/DEADWALL_CODEX_1.22/fiches/DW-0075.md</x:v>
      </x:c>
      <x:c r="K80" t="str">
        <x:v>Source min 18,14 m ; max 90,60 m ; modèle 25 × 18 m ; niveaux 0. Détails dans catalogue-existant.json.</x:v>
      </x:c>
    </x:row>
    <x:row r="81">
      <x:c r="A81" t="str">
        <x:v>DW-0076</x:v>
      </x:c>
      <x:c r="B81" t="str">
        <x:v>DW-0076</x:v>
      </x:c>
      <x:c r="C81" t="str">
        <x:v>Parent historique</x:v>
      </x:c>
      <x:c r="D81" t="str">
        <x:v>Alimentation et restauration</x:v>
      </x:c>
      <x:c r="E81" t="str">
        <x:v>Entrepôt frigorifique</x:v>
      </x:c>
      <x:c r="F81" t="n">
        <x:v>8</x:v>
      </x:c>
      <x:c r="G81" t="n">
        <x:v>4</x:v>
      </x:c>
      <x:c r="H81" t="n">
        <x:v>12</x:v>
      </x:c>
      <x:c r="I81" t="str">
        <x:v>À qualifier par lieu</x:v>
      </x:c>
      <x:c r="J81" t="str">
        <x:v>https://github.com/darknigthmare/deadwall-last-enclosure/blob/1b3b9c5ba232734b1bda3453b4e20a0481bcdd74/codex-3000/originaux/DEADWALL_CODEX_1.22/fiches/DW-0076.md</x:v>
      </x:c>
      <x:c r="K81" t="str">
        <x:v>Source min 18,14 m ; max 90,60 m ; modèle 25 × 18 m ; niveaux 0. Détails dans catalogue-existant.json.</x:v>
      </x:c>
    </x:row>
    <x:row r="82">
      <x:c r="A82" t="str">
        <x:v>DW-0077</x:v>
      </x:c>
      <x:c r="B82" t="str">
        <x:v>DW-0077</x:v>
      </x:c>
      <x:c r="C82" t="str">
        <x:v>Parent historique</x:v>
      </x:c>
      <x:c r="D82" t="str">
        <x:v>Alimentation et restauration</x:v>
      </x:c>
      <x:c r="E82" t="str">
        <x:v>Atelier de conserves</x:v>
      </x:c>
      <x:c r="F82" t="n">
        <x:v>8</x:v>
      </x:c>
      <x:c r="G82" t="n">
        <x:v>5</x:v>
      </x:c>
      <x:c r="H82" t="n">
        <x:v>15</x:v>
      </x:c>
      <x:c r="I82" t="str">
        <x:v>À qualifier par lieu</x:v>
      </x:c>
      <x:c r="J82" t="str">
        <x:v>https://github.com/darknigthmare/deadwall-last-enclosure/blob/1b3b9c5ba232734b1bda3453b4e20a0481bcdd74/codex-3000/originaux/DEADWALL_CODEX_1.22/fiches/DW-0077.md</x:v>
      </x:c>
      <x:c r="K82" t="str">
        <x:v>Source min 18,14 m ; max 90,60 m ; modèle 26 × 22 m ; niveaux 0. Détails dans catalogue-existant.json.</x:v>
      </x:c>
    </x:row>
    <x:row r="83">
      <x:c r="A83" t="str">
        <x:v>DW-0078</x:v>
      </x:c>
      <x:c r="B83" t="str">
        <x:v>DW-0078</x:v>
      </x:c>
      <x:c r="C83" t="str">
        <x:v>Parent historique</x:v>
      </x:c>
      <x:c r="D83" t="str">
        <x:v>Alimentation et restauration</x:v>
      </x:c>
      <x:c r="E83" t="str">
        <x:v>Cantine scolaire</x:v>
      </x:c>
      <x:c r="F83" t="n">
        <x:v>8</x:v>
      </x:c>
      <x:c r="G83" t="n">
        <x:v>4</x:v>
      </x:c>
      <x:c r="H83" t="n">
        <x:v>12</x:v>
      </x:c>
      <x:c r="I83" t="str">
        <x:v>À qualifier par lieu</x:v>
      </x:c>
      <x:c r="J83" t="str">
        <x:v>https://github.com/darknigthmare/deadwall-last-enclosure/blob/1b3b9c5ba232734b1bda3453b4e20a0481bcdd74/codex-3000/originaux/DEADWALL_CODEX_1.22/fiches/DW-0078.md</x:v>
      </x:c>
      <x:c r="K83" t="str">
        <x:v>Source min 18,14 m ; max 90,60 m ; modèle 25 × 18 m ; niveaux 0. Détails dans catalogue-existant.json.</x:v>
      </x:c>
    </x:row>
    <x:row r="84">
      <x:c r="A84" t="str">
        <x:v>DW-0079</x:v>
      </x:c>
      <x:c r="B84" t="str">
        <x:v>DW-0079</x:v>
      </x:c>
      <x:c r="C84" t="str">
        <x:v>Parent historique</x:v>
      </x:c>
      <x:c r="D84" t="str">
        <x:v>Alimentation et restauration</x:v>
      </x:c>
      <x:c r="E84" t="str">
        <x:v>Kiosque de parc</x:v>
      </x:c>
      <x:c r="F84" t="n">
        <x:v>8</x:v>
      </x:c>
      <x:c r="G84" t="n">
        <x:v>4</x:v>
      </x:c>
      <x:c r="H84" t="n">
        <x:v>12</x:v>
      </x:c>
      <x:c r="I84" t="str">
        <x:v>À qualifier par lieu</x:v>
      </x:c>
      <x:c r="J84" t="str">
        <x:v>https://github.com/darknigthmare/deadwall-last-enclosure/blob/1b3b9c5ba232734b1bda3453b4e20a0481bcdd74/codex-3000/originaux/DEADWALL_CODEX_1.22/fiches/DW-0079.md</x:v>
      </x:c>
      <x:c r="K84" t="str">
        <x:v>Source min 18,14 m ; max 90,60 m ; modèle 25 × 18 m ; niveaux 0. Détails dans catalogue-existant.json.</x:v>
      </x:c>
    </x:row>
    <x:row r="85">
      <x:c r="A85" t="str">
        <x:v>DW-0080</x:v>
      </x:c>
      <x:c r="B85" t="str">
        <x:v>DW-0080</x:v>
      </x:c>
      <x:c r="C85" t="str">
        <x:v>Parent historique</x:v>
      </x:c>
      <x:c r="D85" t="str">
        <x:v>Alimentation et restauration</x:v>
      </x:c>
      <x:c r="E85" t="str">
        <x:v>Marché de plein air</x:v>
      </x:c>
      <x:c r="F85" t="n">
        <x:v>8</x:v>
      </x:c>
      <x:c r="G85" t="n">
        <x:v>4</x:v>
      </x:c>
      <x:c r="H85" t="n">
        <x:v>10</x:v>
      </x:c>
      <x:c r="I85" t="str">
        <x:v>À qualifier par lieu</x:v>
      </x:c>
      <x:c r="J85" t="str">
        <x:v>https://github.com/darknigthmare/deadwall-last-enclosure/blob/1b3b9c5ba232734b1bda3453b4e20a0481bcdd74/codex-3000/originaux/DEADWALL_CODEX_1.22/fiches/DW-0080.md</x:v>
      </x:c>
      <x:c r="K85" t="str">
        <x:v>Source min 18,14 m ; max 90,60 m ; modèle 25 × 18 m ; niveaux 0. Détails dans catalogue-existant.json.</x:v>
      </x:c>
    </x:row>
    <x:row r="86">
      <x:c r="A86" t="str">
        <x:v>DW-0081</x:v>
      </x:c>
      <x:c r="B86" t="str">
        <x:v>DW-0081</x:v>
      </x:c>
      <x:c r="C86" t="str">
        <x:v>Parent historique</x:v>
      </x:c>
      <x:c r="D86" t="str">
        <x:v>Services et petits ateliers</x:v>
      </x:c>
      <x:c r="E86" t="str">
        <x:v>Banque de quartier</x:v>
      </x:c>
      <x:c r="F86" t="n">
        <x:v>8</x:v>
      </x:c>
      <x:c r="G86" t="n">
        <x:v>4</x:v>
      </x:c>
      <x:c r="H86" t="n">
        <x:v>12</x:v>
      </x:c>
      <x:c r="I86" t="str">
        <x:v>À qualifier par lieu</x:v>
      </x:c>
      <x:c r="J86" t="str">
        <x:v>https://github.com/darknigthmare/deadwall-last-enclosure/blob/1b3b9c5ba232734b1bda3453b4e20a0481bcdd74/codex-3000/originaux/DEADWALL_CODEX_1.22/fiches/DW-0081.md</x:v>
      </x:c>
      <x:c r="K86" t="str">
        <x:v>Source min 12,10 m ; max 40,26 m ; modèle 25 × 18 m ; niveaux 0. Détails dans catalogue-existant.json.</x:v>
      </x:c>
    </x:row>
    <x:row r="87">
      <x:c r="A87" t="str">
        <x:v>DW-0082</x:v>
      </x:c>
      <x:c r="B87" t="str">
        <x:v>DW-0082</x:v>
      </x:c>
      <x:c r="C87" t="str">
        <x:v>Parent historique</x:v>
      </x:c>
      <x:c r="D87" t="str">
        <x:v>Services et petits ateliers</x:v>
      </x:c>
      <x:c r="E87" t="str">
        <x:v>Bureau postal</x:v>
      </x:c>
      <x:c r="F87" t="n">
        <x:v>8</x:v>
      </x:c>
      <x:c r="G87" t="n">
        <x:v>4</x:v>
      </x:c>
      <x:c r="H87" t="n">
        <x:v>12</x:v>
      </x:c>
      <x:c r="I87" t="str">
        <x:v>À qualifier par lieu</x:v>
      </x:c>
      <x:c r="J87" t="str">
        <x:v>https://github.com/darknigthmare/deadwall-last-enclosure/blob/1b3b9c5ba232734b1bda3453b4e20a0481bcdd74/codex-3000/originaux/DEADWALL_CODEX_1.22/fiches/DW-0082.md</x:v>
      </x:c>
      <x:c r="K87" t="str">
        <x:v>Source min 12,10 m ; max 40,26 m ; modèle 25 × 18 m ; niveaux 0. Détails dans catalogue-existant.json.</x:v>
      </x:c>
    </x:row>
    <x:row r="88">
      <x:c r="A88" t="str">
        <x:v>DW-0083</x:v>
      </x:c>
      <x:c r="B88" t="str">
        <x:v>DW-0083</x:v>
      </x:c>
      <x:c r="C88" t="str">
        <x:v>Parent historique</x:v>
      </x:c>
      <x:c r="D88" t="str">
        <x:v>Services et petits ateliers</x:v>
      </x:c>
      <x:c r="E88" t="str">
        <x:v>Agence d'intérim</x:v>
      </x:c>
      <x:c r="F88" t="n">
        <x:v>8</x:v>
      </x:c>
      <x:c r="G88" t="n">
        <x:v>4</x:v>
      </x:c>
      <x:c r="H88" t="n">
        <x:v>12</x:v>
      </x:c>
      <x:c r="I88" t="str">
        <x:v>À qualifier par lieu</x:v>
      </x:c>
      <x:c r="J88" t="str">
        <x:v>https://github.com/darknigthmare/deadwall-last-enclosure/blob/1b3b9c5ba232734b1bda3453b4e20a0481bcdd74/codex-3000/originaux/DEADWALL_CODEX_1.22/fiches/DW-0083.md</x:v>
      </x:c>
      <x:c r="K88" t="str">
        <x:v>Source min 12,10 m ; max 40,26 m ; modèle 25 × 18 m ; niveaux 0. Détails dans catalogue-existant.json.</x:v>
      </x:c>
    </x:row>
    <x:row r="89">
      <x:c r="A89" t="str">
        <x:v>DW-0084</x:v>
      </x:c>
      <x:c r="B89" t="str">
        <x:v>DW-0084</x:v>
      </x:c>
      <x:c r="C89" t="str">
        <x:v>Parent historique</x:v>
      </x:c>
      <x:c r="D89" t="str">
        <x:v>Services et petits ateliers</x:v>
      </x:c>
      <x:c r="E89" t="str">
        <x:v>Salon de coiffure</x:v>
      </x:c>
      <x:c r="F89" t="n">
        <x:v>8</x:v>
      </x:c>
      <x:c r="G89" t="n">
        <x:v>4</x:v>
      </x:c>
      <x:c r="H89" t="n">
        <x:v>12</x:v>
      </x:c>
      <x:c r="I89" t="str">
        <x:v>À qualifier par lieu</x:v>
      </x:c>
      <x:c r="J89" t="str">
        <x:v>https://github.com/darknigthmare/deadwall-last-enclosure/blob/1b3b9c5ba232734b1bda3453b4e20a0481bcdd74/codex-3000/originaux/DEADWALL_CODEX_1.22/fiches/DW-0084.md</x:v>
      </x:c>
      <x:c r="K89" t="str">
        <x:v>Source min 12,10 m ; max 40,26 m ; modèle 25 × 18 m ; niveaux 0. Détails dans catalogue-existant.json.</x:v>
      </x:c>
    </x:row>
    <x:row r="90">
      <x:c r="A90" t="str">
        <x:v>DW-0085</x:v>
      </x:c>
      <x:c r="B90" t="str">
        <x:v>DW-0085</x:v>
      </x:c>
      <x:c r="C90" t="str">
        <x:v>Parent historique</x:v>
      </x:c>
      <x:c r="D90" t="str">
        <x:v>Services et petits ateliers</x:v>
      </x:c>
      <x:c r="E90" t="str">
        <x:v>Laverie automatique</x:v>
      </x:c>
      <x:c r="F90" t="n">
        <x:v>8</x:v>
      </x:c>
      <x:c r="G90" t="n">
        <x:v>4</x:v>
      </x:c>
      <x:c r="H90" t="n">
        <x:v>12</x:v>
      </x:c>
      <x:c r="I90" t="str">
        <x:v>À qualifier par lieu</x:v>
      </x:c>
      <x:c r="J90" t="str">
        <x:v>https://github.com/darknigthmare/deadwall-last-enclosure/blob/1b3b9c5ba232734b1bda3453b4e20a0481bcdd74/codex-3000/originaux/DEADWALL_CODEX_1.22/fiches/DW-0085.md</x:v>
      </x:c>
      <x:c r="K90" t="str">
        <x:v>Source min 12,10 m ; max 40,26 m ; modèle 25 × 18 m ; niveaux 0. Détails dans catalogue-existant.json.</x:v>
      </x:c>
    </x:row>
    <x:row r="91">
      <x:c r="A91" t="str">
        <x:v>DW-0086</x:v>
      </x:c>
      <x:c r="B91" t="str">
        <x:v>DW-0086</x:v>
      </x:c>
      <x:c r="C91" t="str">
        <x:v>Parent historique</x:v>
      </x:c>
      <x:c r="D91" t="str">
        <x:v>Services et petits ateliers</x:v>
      </x:c>
      <x:c r="E91" t="str">
        <x:v>Pressing</x:v>
      </x:c>
      <x:c r="F91" t="n">
        <x:v>8</x:v>
      </x:c>
      <x:c r="G91" t="n">
        <x:v>4</x:v>
      </x:c>
      <x:c r="H91" t="n">
        <x:v>10</x:v>
      </x:c>
      <x:c r="I91" t="str">
        <x:v>À qualifier par lieu</x:v>
      </x:c>
      <x:c r="J91" t="str">
        <x:v>https://github.com/darknigthmare/deadwall-last-enclosure/blob/1b3b9c5ba232734b1bda3453b4e20a0481bcdd74/codex-3000/originaux/DEADWALL_CODEX_1.22/fiches/DW-0086.md</x:v>
      </x:c>
      <x:c r="K91" t="str">
        <x:v>Source min 12,10 m ; max 40,26 m ; modèle 25 × 18 m ; niveaux 0. Détails dans catalogue-existant.json.</x:v>
      </x:c>
    </x:row>
    <x:row r="92">
      <x:c r="A92" t="str">
        <x:v>DW-0087</x:v>
      </x:c>
      <x:c r="B92" t="str">
        <x:v>DW-0087</x:v>
      </x:c>
      <x:c r="C92" t="str">
        <x:v>Parent historique</x:v>
      </x:c>
      <x:c r="D92" t="str">
        <x:v>Services et petits ateliers</x:v>
      </x:c>
      <x:c r="E92" t="str">
        <x:v>Cordonnerie</x:v>
      </x:c>
      <x:c r="F92" t="n">
        <x:v>8</x:v>
      </x:c>
      <x:c r="G92" t="n">
        <x:v>3</x:v>
      </x:c>
      <x:c r="H92" t="n">
        <x:v>9</x:v>
      </x:c>
      <x:c r="I92" t="str">
        <x:v>À qualifier par lieu</x:v>
      </x:c>
      <x:c r="J92" t="str">
        <x:v>https://github.com/darknigthmare/deadwall-last-enclosure/blob/1b3b9c5ba232734b1bda3453b4e20a0481bcdd74/codex-3000/originaux/DEADWALL_CODEX_1.22/fiches/DW-0087.md</x:v>
      </x:c>
      <x:c r="K92" t="str">
        <x:v>Source min 12,10 m ; max 40,26 m ; modèle 24 × 18 m ; niveaux 0. Détails dans catalogue-existant.json.</x:v>
      </x:c>
    </x:row>
    <x:row r="93">
      <x:c r="A93" t="str">
        <x:v>DW-0088</x:v>
      </x:c>
      <x:c r="B93" t="str">
        <x:v>DW-0088</x:v>
      </x:c>
      <x:c r="C93" t="str">
        <x:v>Parent historique</x:v>
      </x:c>
      <x:c r="D93" t="str">
        <x:v>Services et petits ateliers</x:v>
      </x:c>
      <x:c r="E93" t="str">
        <x:v>Centre de reprographie</x:v>
      </x:c>
      <x:c r="F93" t="n">
        <x:v>8</x:v>
      </x:c>
      <x:c r="G93" t="n">
        <x:v>4</x:v>
      </x:c>
      <x:c r="H93" t="n">
        <x:v>12</x:v>
      </x:c>
      <x:c r="I93" t="str">
        <x:v>À qualifier par lieu</x:v>
      </x:c>
      <x:c r="J93" t="str">
        <x:v>https://github.com/darknigthmare/deadwall-last-enclosure/blob/1b3b9c5ba232734b1bda3453b4e20a0481bcdd74/codex-3000/originaux/DEADWALL_CODEX_1.22/fiches/DW-0088.md</x:v>
      </x:c>
      <x:c r="K93" t="str">
        <x:v>Source min 12,10 m ; max 40,26 m ; modèle 25 × 18 m ; niveaux 0. Détails dans catalogue-existant.json.</x:v>
      </x:c>
    </x:row>
    <x:row r="94">
      <x:c r="A94" t="str">
        <x:v>DW-0089</x:v>
      </x:c>
      <x:c r="B94" t="str">
        <x:v>DW-0089</x:v>
      </x:c>
      <x:c r="C94" t="str">
        <x:v>Parent historique</x:v>
      </x:c>
      <x:c r="D94" t="str">
        <x:v>Services et petits ateliers</x:v>
      </x:c>
      <x:c r="E94" t="str">
        <x:v>Agence immobilière</x:v>
      </x:c>
      <x:c r="F94" t="n">
        <x:v>8</x:v>
      </x:c>
      <x:c r="G94" t="n">
        <x:v>4</x:v>
      </x:c>
      <x:c r="H94" t="n">
        <x:v>12</x:v>
      </x:c>
      <x:c r="I94" t="str">
        <x:v>À qualifier par lieu</x:v>
      </x:c>
      <x:c r="J94" t="str">
        <x:v>https://github.com/darknigthmare/deadwall-last-enclosure/blob/1b3b9c5ba232734b1bda3453b4e20a0481bcdd74/codex-3000/originaux/DEADWALL_CODEX_1.22/fiches/DW-0089.md</x:v>
      </x:c>
      <x:c r="K94" t="str">
        <x:v>Source min 12,10 m ; max 40,26 m ; modèle 25 × 18 m ; niveaux 0. Détails dans catalogue-existant.json.</x:v>
      </x:c>
    </x:row>
    <x:row r="95">
      <x:c r="A95" t="str">
        <x:v>DW-0090</x:v>
      </x:c>
      <x:c r="B95" t="str">
        <x:v>DW-0090</x:v>
      </x:c>
      <x:c r="C95" t="str">
        <x:v>Parent historique</x:v>
      </x:c>
      <x:c r="D95" t="str">
        <x:v>Services et petits ateliers</x:v>
      </x:c>
      <x:c r="E95" t="str">
        <x:v>Cabinet comptable</x:v>
      </x:c>
      <x:c r="F95" t="n">
        <x:v>8</x:v>
      </x:c>
      <x:c r="G95" t="n">
        <x:v>4</x:v>
      </x:c>
      <x:c r="H95" t="n">
        <x:v>12</x:v>
      </x:c>
      <x:c r="I95" t="str">
        <x:v>À qualifier par lieu</x:v>
      </x:c>
      <x:c r="J95" t="str">
        <x:v>https://github.com/darknigthmare/deadwall-last-enclosure/blob/1b3b9c5ba232734b1bda3453b4e20a0481bcdd74/codex-3000/originaux/DEADWALL_CODEX_1.22/fiches/DW-0090.md</x:v>
      </x:c>
      <x:c r="K95" t="str">
        <x:v>Source min 12,10 m ; max 40,26 m ; modèle 25 × 18 m ; niveaux 0. Détails dans catalogue-existant.json.</x:v>
      </x:c>
    </x:row>
    <x:row r="96">
      <x:c r="A96" t="str">
        <x:v>DW-0091</x:v>
      </x:c>
      <x:c r="B96" t="str">
        <x:v>DW-0091</x:v>
      </x:c>
      <x:c r="C96" t="str">
        <x:v>Parent historique</x:v>
      </x:c>
      <x:c r="D96" t="str">
        <x:v>Services et petits ateliers</x:v>
      </x:c>
      <x:c r="E96" t="str">
        <x:v>Étude notariale</x:v>
      </x:c>
      <x:c r="F96" t="n">
        <x:v>8</x:v>
      </x:c>
      <x:c r="G96" t="n">
        <x:v>4</x:v>
      </x:c>
      <x:c r="H96" t="n">
        <x:v>12</x:v>
      </x:c>
      <x:c r="I96" t="str">
        <x:v>À qualifier par lieu</x:v>
      </x:c>
      <x:c r="J96" t="str">
        <x:v>https://github.com/darknigthmare/deadwall-last-enclosure/blob/1b3b9c5ba232734b1bda3453b4e20a0481bcdd74/codex-3000/originaux/DEADWALL_CODEX_1.22/fiches/DW-0091.md</x:v>
      </x:c>
      <x:c r="K96" t="str">
        <x:v>Source min 12,10 m ; max 40,26 m ; modèle 25 × 18 m ; niveaux 0. Détails dans catalogue-existant.json.</x:v>
      </x:c>
    </x:row>
    <x:row r="97">
      <x:c r="A97" t="str">
        <x:v>DW-0092</x:v>
      </x:c>
      <x:c r="B97" t="str">
        <x:v>DW-0092</x:v>
      </x:c>
      <x:c r="C97" t="str">
        <x:v>Parent historique</x:v>
      </x:c>
      <x:c r="D97" t="str">
        <x:v>Services et petits ateliers</x:v>
      </x:c>
      <x:c r="E97" t="str">
        <x:v>Atelier électronique</x:v>
      </x:c>
      <x:c r="F97" t="n">
        <x:v>8</x:v>
      </x:c>
      <x:c r="G97" t="n">
        <x:v>4</x:v>
      </x:c>
      <x:c r="H97" t="n">
        <x:v>12</x:v>
      </x:c>
      <x:c r="I97" t="str">
        <x:v>À qualifier par lieu</x:v>
      </x:c>
      <x:c r="J97" t="str">
        <x:v>https://github.com/darknigthmare/deadwall-last-enclosure/blob/1b3b9c5ba232734b1bda3453b4e20a0481bcdd74/codex-3000/originaux/DEADWALL_CODEX_1.22/fiches/DW-0092.md</x:v>
      </x:c>
      <x:c r="K97" t="str">
        <x:v>Source min 12,10 m ; max 40,26 m ; modèle 25 × 18 m ; niveaux 0. Détails dans catalogue-existant.json.</x:v>
      </x:c>
    </x:row>
    <x:row r="98">
      <x:c r="A98" t="str">
        <x:v>DW-0093</x:v>
      </x:c>
      <x:c r="B98" t="str">
        <x:v>DW-0093</x:v>
      </x:c>
      <x:c r="C98" t="str">
        <x:v>Parent historique</x:v>
      </x:c>
      <x:c r="D98" t="str">
        <x:v>Services et petits ateliers</x:v>
      </x:c>
      <x:c r="E98" t="str">
        <x:v>Entreprise de plomberie</x:v>
      </x:c>
      <x:c r="F98" t="n">
        <x:v>8</x:v>
      </x:c>
      <x:c r="G98" t="n">
        <x:v>4</x:v>
      </x:c>
      <x:c r="H98" t="n">
        <x:v>12</x:v>
      </x:c>
      <x:c r="I98" t="str">
        <x:v>À qualifier par lieu</x:v>
      </x:c>
      <x:c r="J98" t="str">
        <x:v>https://github.com/darknigthmare/deadwall-last-enclosure/blob/1b3b9c5ba232734b1bda3453b4e20a0481bcdd74/codex-3000/originaux/DEADWALL_CODEX_1.22/fiches/DW-0093.md</x:v>
      </x:c>
      <x:c r="K98" t="str">
        <x:v>Source min 12,10 m ; max 40,26 m ; modèle 25 × 18 m ; niveaux 0. Détails dans catalogue-existant.json.</x:v>
      </x:c>
    </x:row>
    <x:row r="99">
      <x:c r="A99" t="str">
        <x:v>DW-0094</x:v>
      </x:c>
      <x:c r="B99" t="str">
        <x:v>DW-0094</x:v>
      </x:c>
      <x:c r="C99" t="str">
        <x:v>Parent historique</x:v>
      </x:c>
      <x:c r="D99" t="str">
        <x:v>Services et petits ateliers</x:v>
      </x:c>
      <x:c r="E99" t="str">
        <x:v>Entreprise d'électricité</x:v>
      </x:c>
      <x:c r="F99" t="n">
        <x:v>8</x:v>
      </x:c>
      <x:c r="G99" t="n">
        <x:v>4</x:v>
      </x:c>
      <x:c r="H99" t="n">
        <x:v>12</x:v>
      </x:c>
      <x:c r="I99" t="str">
        <x:v>À qualifier par lieu</x:v>
      </x:c>
      <x:c r="J99" t="str">
        <x:v>https://github.com/darknigthmare/deadwall-last-enclosure/blob/1b3b9c5ba232734b1bda3453b4e20a0481bcdd74/codex-3000/originaux/DEADWALL_CODEX_1.22/fiches/DW-0094.md</x:v>
      </x:c>
      <x:c r="K99" t="str">
        <x:v>Source min 12,10 m ; max 40,26 m ; modèle 25 × 18 m ; niveaux 0. Détails dans catalogue-existant.json.</x:v>
      </x:c>
    </x:row>
    <x:row r="100">
      <x:c r="A100" t="str">
        <x:v>DW-0095</x:v>
      </x:c>
      <x:c r="B100" t="str">
        <x:v>DW-0095</x:v>
      </x:c>
      <x:c r="C100" t="str">
        <x:v>Parent historique</x:v>
      </x:c>
      <x:c r="D100" t="str">
        <x:v>Services et petits ateliers</x:v>
      </x:c>
      <x:c r="E100" t="str">
        <x:v>Serrurerie</x:v>
      </x:c>
      <x:c r="F100" t="n">
        <x:v>8</x:v>
      </x:c>
      <x:c r="G100" t="n">
        <x:v>4</x:v>
      </x:c>
      <x:c r="H100" t="n">
        <x:v>12</x:v>
      </x:c>
      <x:c r="I100" t="str">
        <x:v>À qualifier par lieu</x:v>
      </x:c>
      <x:c r="J100" t="str">
        <x:v>https://github.com/darknigthmare/deadwall-last-enclosure/blob/1b3b9c5ba232734b1bda3453b4e20a0481bcdd74/codex-3000/originaux/DEADWALL_CODEX_1.22/fiches/DW-0095.md</x:v>
      </x:c>
      <x:c r="K100" t="str">
        <x:v>Source min 12,10 m ; max 40,26 m ; modèle 25 × 18 m ; niveaux 0. Détails dans catalogue-existant.json.</x:v>
      </x:c>
    </x:row>
    <x:row r="101">
      <x:c r="A101" t="str">
        <x:v>DW-0096</x:v>
      </x:c>
      <x:c r="B101" t="str">
        <x:v>DW-0096</x:v>
      </x:c>
      <x:c r="C101" t="str">
        <x:v>Parent historique</x:v>
      </x:c>
      <x:c r="D101" t="str">
        <x:v>Services et petits ateliers</x:v>
      </x:c>
      <x:c r="E101" t="str">
        <x:v>Service funéraire</x:v>
      </x:c>
      <x:c r="F101" t="n">
        <x:v>8</x:v>
      </x:c>
      <x:c r="G101" t="n">
        <x:v>4</x:v>
      </x:c>
      <x:c r="H101" t="n">
        <x:v>12</x:v>
      </x:c>
      <x:c r="I101" t="str">
        <x:v>À qualifier par lieu</x:v>
      </x:c>
      <x:c r="J101" t="str">
        <x:v>https://github.com/darknigthmare/deadwall-last-enclosure/blob/1b3b9c5ba232734b1bda3453b4e20a0481bcdd74/codex-3000/originaux/DEADWALL_CODEX_1.22/fiches/DW-0096.md</x:v>
      </x:c>
      <x:c r="K101" t="str">
        <x:v>Source min 12,10 m ; max 40,26 m ; modèle 25 × 18 m ; niveaux 0. Détails dans catalogue-existant.json.</x:v>
      </x:c>
    </x:row>
    <x:row r="102">
      <x:c r="A102" t="str">
        <x:v>DW-0097</x:v>
      </x:c>
      <x:c r="B102" t="str">
        <x:v>DW-0097</x:v>
      </x:c>
      <x:c r="C102" t="str">
        <x:v>Parent historique</x:v>
      </x:c>
      <x:c r="D102" t="str">
        <x:v>Services et petits ateliers</x:v>
      </x:c>
      <x:c r="E102" t="str">
        <x:v>Clinique vétérinaire</x:v>
      </x:c>
      <x:c r="F102" t="n">
        <x:v>8</x:v>
      </x:c>
      <x:c r="G102" t="n">
        <x:v>4</x:v>
      </x:c>
      <x:c r="H102" t="n">
        <x:v>12</x:v>
      </x:c>
      <x:c r="I102" t="str">
        <x:v>À qualifier par lieu</x:v>
      </x:c>
      <x:c r="J102" t="str">
        <x:v>https://github.com/darknigthmare/deadwall-last-enclosure/blob/1b3b9c5ba232734b1bda3453b4e20a0481bcdd74/codex-3000/originaux/DEADWALL_CODEX_1.22/fiches/DW-0097.md</x:v>
      </x:c>
      <x:c r="K102" t="str">
        <x:v>Source min 12,10 m ; max 40,26 m ; modèle 25 × 18 m ; niveaux 0. Détails dans catalogue-existant.json.</x:v>
      </x:c>
    </x:row>
    <x:row r="103">
      <x:c r="A103" t="str">
        <x:v>DW-0098</x:v>
      </x:c>
      <x:c r="B103" t="str">
        <x:v>DW-0098</x:v>
      </x:c>
      <x:c r="C103" t="str">
        <x:v>Parent historique</x:v>
      </x:c>
      <x:c r="D103" t="str">
        <x:v>Services et petits ateliers</x:v>
      </x:c>
      <x:c r="E103" t="str">
        <x:v>Salon de toilettage animalier</x:v>
      </x:c>
      <x:c r="F103" t="n">
        <x:v>8</x:v>
      </x:c>
      <x:c r="G103" t="n">
        <x:v>4</x:v>
      </x:c>
      <x:c r="H103" t="n">
        <x:v>12</x:v>
      </x:c>
      <x:c r="I103" t="str">
        <x:v>À qualifier par lieu</x:v>
      </x:c>
      <x:c r="J103" t="str">
        <x:v>https://github.com/darknigthmare/deadwall-last-enclosure/blob/1b3b9c5ba232734b1bda3453b4e20a0481bcdd74/codex-3000/originaux/DEADWALL_CODEX_1.22/fiches/DW-0098.md</x:v>
      </x:c>
      <x:c r="K103" t="str">
        <x:v>Source min 12,10 m ; max 40,26 m ; modèle 25 × 18 m ; niveaux 0. Détails dans catalogue-existant.json.</x:v>
      </x:c>
    </x:row>
    <x:row r="104">
      <x:c r="A104" t="str">
        <x:v>DW-0099</x:v>
      </x:c>
      <x:c r="B104" t="str">
        <x:v>DW-0099</x:v>
      </x:c>
      <x:c r="C104" t="str">
        <x:v>Parent historique</x:v>
      </x:c>
      <x:c r="D104" t="str">
        <x:v>Services et petits ateliers</x:v>
      </x:c>
      <x:c r="E104" t="str">
        <x:v>Centre téléphonique</x:v>
      </x:c>
      <x:c r="F104" t="n">
        <x:v>8</x:v>
      </x:c>
      <x:c r="G104" t="n">
        <x:v>4</x:v>
      </x:c>
      <x:c r="H104" t="n">
        <x:v>12</x:v>
      </x:c>
      <x:c r="I104" t="str">
        <x:v>À qualifier par lieu</x:v>
      </x:c>
      <x:c r="J104" t="str">
        <x:v>https://github.com/darknigthmare/deadwall-last-enclosure/blob/1b3b9c5ba232734b1bda3453b4e20a0481bcdd74/codex-3000/originaux/DEADWALL_CODEX_1.22/fiches/DW-0099.md</x:v>
      </x:c>
      <x:c r="K104" t="str">
        <x:v>Source min 12,10 m ; max 40,26 m ; modèle 25 × 18 m ; niveaux 0. Détails dans catalogue-existant.json.</x:v>
      </x:c>
    </x:row>
    <x:row r="105">
      <x:c r="A105" t="str">
        <x:v>DW-0100</x:v>
      </x:c>
      <x:c r="B105" t="str">
        <x:v>DW-0100</x:v>
      </x:c>
      <x:c r="C105" t="str">
        <x:v>Parent historique</x:v>
      </x:c>
      <x:c r="D105" t="str">
        <x:v>Services et petits ateliers</x:v>
      </x:c>
      <x:c r="E105" t="str">
        <x:v>Bureau d'ingénierie</x:v>
      </x:c>
      <x:c r="F105" t="n">
        <x:v>8</x:v>
      </x:c>
      <x:c r="G105" t="n">
        <x:v>4</x:v>
      </x:c>
      <x:c r="H105" t="n">
        <x:v>12</x:v>
      </x:c>
      <x:c r="I105" t="str">
        <x:v>À qualifier par lieu</x:v>
      </x:c>
      <x:c r="J105" t="str">
        <x:v>https://github.com/darknigthmare/deadwall-last-enclosure/blob/1b3b9c5ba232734b1bda3453b4e20a0481bcdd74/codex-3000/originaux/DEADWALL_CODEX_1.22/fiches/DW-0100.md</x:v>
      </x:c>
      <x:c r="K105" t="str">
        <x:v>Source min 12,10 m ; max 40,26 m ; modèle 25 × 18 m ; niveaux 0. Détails dans catalogue-existant.json.</x:v>
      </x:c>
    </x:row>
    <x:row r="106">
      <x:c r="A106" t="str">
        <x:v>DW-0101</x:v>
      </x:c>
      <x:c r="B106" t="str">
        <x:v>DW-0101</x:v>
      </x:c>
      <x:c r="C106" t="str">
        <x:v>Parent historique</x:v>
      </x:c>
      <x:c r="D106" t="str">
        <x:v>Hôtellerie et hébergement</x:v>
      </x:c>
      <x:c r="E106" t="str">
        <x:v>Hôtel de centre-ville</x:v>
      </x:c>
      <x:c r="F106" t="n">
        <x:v>8</x:v>
      </x:c>
      <x:c r="G106" t="n">
        <x:v>5</x:v>
      </x:c>
      <x:c r="H106" t="n">
        <x:v>15</x:v>
      </x:c>
      <x:c r="I106" t="str">
        <x:v>À qualifier par lieu</x:v>
      </x:c>
      <x:c r="J106" t="str">
        <x:v>https://github.com/darknigthmare/deadwall-last-enclosure/blob/1b3b9c5ba232734b1bda3453b4e20a0481bcdd74/codex-3000/originaux/DEADWALL_CODEX_1.22/fiches/DW-0101.md</x:v>
      </x:c>
      <x:c r="K106" t="str">
        <x:v>Source min 26,18 m ; max 100,65 m ; modèle 26 × 22 m ; niveaux 0, 1, 2. Détails dans catalogue-existant.json.</x:v>
      </x:c>
    </x:row>
    <x:row r="107">
      <x:c r="A107" t="str">
        <x:v>DW-0102</x:v>
      </x:c>
      <x:c r="B107" t="str">
        <x:v>DW-0102</x:v>
      </x:c>
      <x:c r="C107" t="str">
        <x:v>Parent historique</x:v>
      </x:c>
      <x:c r="D107" t="str">
        <x:v>Hôtellerie et hébergement</x:v>
      </x:c>
      <x:c r="E107" t="str">
        <x:v>Hôtel routier à coursive</x:v>
      </x:c>
      <x:c r="F107" t="n">
        <x:v>8</x:v>
      </x:c>
      <x:c r="G107" t="n">
        <x:v>5</x:v>
      </x:c>
      <x:c r="H107" t="n">
        <x:v>13</x:v>
      </x:c>
      <x:c r="I107" t="str">
        <x:v>À qualifier par lieu</x:v>
      </x:c>
      <x:c r="J107" t="str">
        <x:v>https://github.com/darknigthmare/deadwall-last-enclosure/blob/1b3b9c5ba232734b1bda3453b4e20a0481bcdd74/codex-3000/originaux/DEADWALL_CODEX_1.22/fiches/DW-0102.md</x:v>
      </x:c>
      <x:c r="K107" t="str">
        <x:v>Source min 26,18 m ; max 100,65 m ; modèle 26 × 22 m ; niveaux 0, 1, 2. Détails dans catalogue-existant.json.</x:v>
      </x:c>
    </x:row>
    <x:row r="108">
      <x:c r="A108" t="str">
        <x:v>DW-0103</x:v>
      </x:c>
      <x:c r="B108" t="str">
        <x:v>DW-0103</x:v>
      </x:c>
      <x:c r="C108" t="str">
        <x:v>Parent historique</x:v>
      </x:c>
      <x:c r="D108" t="str">
        <x:v>Hôtellerie et hébergement</x:v>
      </x:c>
      <x:c r="E108" t="str">
        <x:v>Grand hôtel de congrès</x:v>
      </x:c>
      <x:c r="F108" t="n">
        <x:v>8</x:v>
      </x:c>
      <x:c r="G108" t="n">
        <x:v>5</x:v>
      </x:c>
      <x:c r="H108" t="n">
        <x:v>15</x:v>
      </x:c>
      <x:c r="I108" t="str">
        <x:v>À qualifier par lieu</x:v>
      </x:c>
      <x:c r="J108" t="str">
        <x:v>https://github.com/darknigthmare/deadwall-last-enclosure/blob/1b3b9c5ba232734b1bda3453b4e20a0481bcdd74/codex-3000/originaux/DEADWALL_CODEX_1.22/fiches/DW-0103.md</x:v>
      </x:c>
      <x:c r="K108" t="str">
        <x:v>Source min 26,18 m ; max 100,65 m ; modèle 26 × 22 m ; niveaux 0, 1, 2. Détails dans catalogue-existant.json.</x:v>
      </x:c>
    </x:row>
    <x:row r="109">
      <x:c r="A109" t="str">
        <x:v>DW-0104</x:v>
      </x:c>
      <x:c r="B109" t="str">
        <x:v>DW-0104</x:v>
      </x:c>
      <x:c r="C109" t="str">
        <x:v>Parent historique</x:v>
      </x:c>
      <x:c r="D109" t="str">
        <x:v>Hôtellerie et hébergement</x:v>
      </x:c>
      <x:c r="E109" t="str">
        <x:v>Auberge de village</x:v>
      </x:c>
      <x:c r="F109" t="n">
        <x:v>8</x:v>
      </x:c>
      <x:c r="G109" t="n">
        <x:v>4</x:v>
      </x:c>
      <x:c r="H109" t="n">
        <x:v>12</x:v>
      </x:c>
      <x:c r="I109" t="str">
        <x:v>À qualifier par lieu</x:v>
      </x:c>
      <x:c r="J109" t="str">
        <x:v>https://github.com/darknigthmare/deadwall-last-enclosure/blob/1b3b9c5ba232734b1bda3453b4e20a0481bcdd74/codex-3000/originaux/DEADWALL_CODEX_1.22/fiches/DW-0104.md</x:v>
      </x:c>
      <x:c r="K109" t="str">
        <x:v>Source min 26,18 m ; max 100,65 m ; modèle 26 × 18 m ; niveaux 0, 1. Détails dans catalogue-existant.json.</x:v>
      </x:c>
    </x:row>
    <x:row r="110">
      <x:c r="A110" t="str">
        <x:v>DW-0105</x:v>
      </x:c>
      <x:c r="B110" t="str">
        <x:v>DW-0105</x:v>
      </x:c>
      <x:c r="C110" t="str">
        <x:v>Parent historique</x:v>
      </x:c>
      <x:c r="D110" t="str">
        <x:v>Hôtellerie et hébergement</x:v>
      </x:c>
      <x:c r="E110" t="str">
        <x:v>Gîte collectif</x:v>
      </x:c>
      <x:c r="F110" t="n">
        <x:v>8</x:v>
      </x:c>
      <x:c r="G110" t="n">
        <x:v>4</x:v>
      </x:c>
      <x:c r="H110" t="n">
        <x:v>12</x:v>
      </x:c>
      <x:c r="I110" t="str">
        <x:v>À qualifier par lieu</x:v>
      </x:c>
      <x:c r="J110" t="str">
        <x:v>https://github.com/darknigthmare/deadwall-last-enclosure/blob/1b3b9c5ba232734b1bda3453b4e20a0481bcdd74/codex-3000/originaux/DEADWALL_CODEX_1.22/fiches/DW-0105.md</x:v>
      </x:c>
      <x:c r="K110" t="str">
        <x:v>Source min 26,18 m ; max 100,65 m ; modèle 26 × 18 m ; niveaux 0. Détails dans catalogue-existant.json.</x:v>
      </x:c>
    </x:row>
    <x:row r="111">
      <x:c r="A111" t="str">
        <x:v>DW-0106</x:v>
      </x:c>
      <x:c r="B111" t="str">
        <x:v>DW-0106</x:v>
      </x:c>
      <x:c r="C111" t="str">
        <x:v>Parent historique</x:v>
      </x:c>
      <x:c r="D111" t="str">
        <x:v>Hôtellerie et hébergement</x:v>
      </x:c>
      <x:c r="E111" t="str">
        <x:v>Auberge de jeunesse</x:v>
      </x:c>
      <x:c r="F111" t="n">
        <x:v>8</x:v>
      </x:c>
      <x:c r="G111" t="n">
        <x:v>4</x:v>
      </x:c>
      <x:c r="H111" t="n">
        <x:v>12</x:v>
      </x:c>
      <x:c r="I111" t="str">
        <x:v>À qualifier par lieu</x:v>
      </x:c>
      <x:c r="J111" t="str">
        <x:v>https://github.com/darknigthmare/deadwall-last-enclosure/blob/1b3b9c5ba232734b1bda3453b4e20a0481bcdd74/codex-3000/originaux/DEADWALL_CODEX_1.22/fiches/DW-0106.md</x:v>
      </x:c>
      <x:c r="K111" t="str">
        <x:v>Source min 26,18 m ; max 100,65 m ; modèle 26 × 18 m ; niveaux 0. Détails dans catalogue-existant.json.</x:v>
      </x:c>
    </x:row>
    <x:row r="112">
      <x:c r="A112" t="str">
        <x:v>DW-0107</x:v>
      </x:c>
      <x:c r="B112" t="str">
        <x:v>DW-0107</x:v>
      </x:c>
      <x:c r="C112" t="str">
        <x:v>Parent historique</x:v>
      </x:c>
      <x:c r="D112" t="str">
        <x:v>Hôtellerie et hébergement</x:v>
      </x:c>
      <x:c r="E112" t="str">
        <x:v>Maison d'hôtes</x:v>
      </x:c>
      <x:c r="F112" t="n">
        <x:v>8</x:v>
      </x:c>
      <x:c r="G112" t="n">
        <x:v>4</x:v>
      </x:c>
      <x:c r="H112" t="n">
        <x:v>12</x:v>
      </x:c>
      <x:c r="I112" t="str">
        <x:v>À qualifier par lieu</x:v>
      </x:c>
      <x:c r="J112" t="str">
        <x:v>https://github.com/darknigthmare/deadwall-last-enclosure/blob/1b3b9c5ba232734b1bda3453b4e20a0481bcdd74/codex-3000/originaux/DEADWALL_CODEX_1.22/fiches/DW-0107.md</x:v>
      </x:c>
      <x:c r="K112" t="str">
        <x:v>Source min 26,18 m ; max 100,65 m ; modèle 26 × 18 m ; niveaux 0. Détails dans catalogue-existant.json.</x:v>
      </x:c>
    </x:row>
    <x:row r="113">
      <x:c r="A113" t="str">
        <x:v>DW-0108</x:v>
      </x:c>
      <x:c r="B113" t="str">
        <x:v>DW-0108</x:v>
      </x:c>
      <x:c r="C113" t="str">
        <x:v>Parent historique</x:v>
      </x:c>
      <x:c r="D113" t="str">
        <x:v>Hôtellerie et hébergement</x:v>
      </x:c>
      <x:c r="E113" t="str">
        <x:v>Camping organisé</x:v>
      </x:c>
      <x:c r="F113" t="n">
        <x:v>8</x:v>
      </x:c>
      <x:c r="G113" t="n">
        <x:v>4</x:v>
      </x:c>
      <x:c r="H113" t="n">
        <x:v>12</x:v>
      </x:c>
      <x:c r="I113" t="str">
        <x:v>À qualifier par lieu</x:v>
      </x:c>
      <x:c r="J113" t="str">
        <x:v>https://github.com/darknigthmare/deadwall-last-enclosure/blob/1b3b9c5ba232734b1bda3453b4e20a0481bcdd74/codex-3000/originaux/DEADWALL_CODEX_1.22/fiches/DW-0108.md</x:v>
      </x:c>
      <x:c r="K113" t="str">
        <x:v>Source min 26,18 m ; max 100,65 m ; modèle 26 × 18 m ; niveaux 0. Détails dans catalogue-existant.json.</x:v>
      </x:c>
    </x:row>
    <x:row r="114">
      <x:c r="A114" t="str">
        <x:v>DW-0109</x:v>
      </x:c>
      <x:c r="B114" t="str">
        <x:v>DW-0109</x:v>
      </x:c>
      <x:c r="C114" t="str">
        <x:v>Parent historique</x:v>
      </x:c>
      <x:c r="D114" t="str">
        <x:v>Hôtellerie et hébergement</x:v>
      </x:c>
      <x:c r="E114" t="str">
        <x:v>Camping à la ferme</x:v>
      </x:c>
      <x:c r="F114" t="n">
        <x:v>8</x:v>
      </x:c>
      <x:c r="G114" t="n">
        <x:v>4</x:v>
      </x:c>
      <x:c r="H114" t="n">
        <x:v>12</x:v>
      </x:c>
      <x:c r="I114" t="str">
        <x:v>À qualifier par lieu</x:v>
      </x:c>
      <x:c r="J114" t="str">
        <x:v>https://github.com/darknigthmare/deadwall-last-enclosure/blob/1b3b9c5ba232734b1bda3453b4e20a0481bcdd74/codex-3000/originaux/DEADWALL_CODEX_1.22/fiches/DW-0109.md</x:v>
      </x:c>
      <x:c r="K114" t="str">
        <x:v>Source min 26,18 m ; max 100,65 m ; modèle 26 × 18 m ; niveaux 0. Détails dans catalogue-existant.json.</x:v>
      </x:c>
    </x:row>
    <x:row r="115">
      <x:c r="A115" t="str">
        <x:v>DW-0110</x:v>
      </x:c>
      <x:c r="B115" t="str">
        <x:v>DW-0110</x:v>
      </x:c>
      <x:c r="C115" t="str">
        <x:v>Parent historique</x:v>
      </x:c>
      <x:c r="D115" t="str">
        <x:v>Hôtellerie et hébergement</x:v>
      </x:c>
      <x:c r="E115" t="str">
        <x:v>Village de vacances</x:v>
      </x:c>
      <x:c r="F115" t="n">
        <x:v>8</x:v>
      </x:c>
      <x:c r="G115" t="n">
        <x:v>4</x:v>
      </x:c>
      <x:c r="H115" t="n">
        <x:v>12</x:v>
      </x:c>
      <x:c r="I115" t="str">
        <x:v>À qualifier par lieu</x:v>
      </x:c>
      <x:c r="J115" t="str">
        <x:v>https://github.com/darknigthmare/deadwall-last-enclosure/blob/1b3b9c5ba232734b1bda3453b4e20a0481bcdd74/codex-3000/originaux/DEADWALL_CODEX_1.22/fiches/DW-0110.md</x:v>
      </x:c>
      <x:c r="K115" t="str">
        <x:v>Source min 26,18 m ; max 100,65 m ; modèle 26 × 18 m ; niveaux 0. Détails dans catalogue-existant.json.</x:v>
      </x:c>
    </x:row>
    <x:row r="116">
      <x:c r="A116" t="str">
        <x:v>DW-0111</x:v>
      </x:c>
      <x:c r="B116" t="str">
        <x:v>DW-0111</x:v>
      </x:c>
      <x:c r="C116" t="str">
        <x:v>Parent historique</x:v>
      </x:c>
      <x:c r="D116" t="str">
        <x:v>Hôtellerie et hébergement</x:v>
      </x:c>
      <x:c r="E116" t="str">
        <x:v>Centre de séminaire</x:v>
      </x:c>
      <x:c r="F116" t="n">
        <x:v>8</x:v>
      </x:c>
      <x:c r="G116" t="n">
        <x:v>4</x:v>
      </x:c>
      <x:c r="H116" t="n">
        <x:v>12</x:v>
      </x:c>
      <x:c r="I116" t="str">
        <x:v>À qualifier par lieu</x:v>
      </x:c>
      <x:c r="J116" t="str">
        <x:v>https://github.com/darknigthmare/deadwall-last-enclosure/blob/1b3b9c5ba232734b1bda3453b4e20a0481bcdd74/codex-3000/originaux/DEADWALL_CODEX_1.22/fiches/DW-0111.md</x:v>
      </x:c>
      <x:c r="K116" t="str">
        <x:v>Source min 26,18 m ; max 100,65 m ; modèle 26 × 18 m ; niveaux 0. Détails dans catalogue-existant.json.</x:v>
      </x:c>
    </x:row>
    <x:row r="117">
      <x:c r="A117" t="str">
        <x:v>DW-0112</x:v>
      </x:c>
      <x:c r="B117" t="str">
        <x:v>DW-0112</x:v>
      </x:c>
      <x:c r="C117" t="str">
        <x:v>Parent historique</x:v>
      </x:c>
      <x:c r="D117" t="str">
        <x:v>Hôtellerie et hébergement</x:v>
      </x:c>
      <x:c r="E117" t="str">
        <x:v>Refuge de montagne</x:v>
      </x:c>
      <x:c r="F117" t="n">
        <x:v>8</x:v>
      </x:c>
      <x:c r="G117" t="n">
        <x:v>4</x:v>
      </x:c>
      <x:c r="H117" t="n">
        <x:v>12</x:v>
      </x:c>
      <x:c r="I117" t="str">
        <x:v>À qualifier par lieu</x:v>
      </x:c>
      <x:c r="J117" t="str">
        <x:v>https://github.com/darknigthmare/deadwall-last-enclosure/blob/1b3b9c5ba232734b1bda3453b4e20a0481bcdd74/codex-3000/originaux/DEADWALL_CODEX_1.22/fiches/DW-0112.md</x:v>
      </x:c>
      <x:c r="K117" t="str">
        <x:v>Source min 26,18 m ; max 100,65 m ; modèle 26 × 18 m ; niveaux 0. Détails dans catalogue-existant.json.</x:v>
      </x:c>
    </x:row>
    <x:row r="118">
      <x:c r="A118" t="str">
        <x:v>DW-0113</x:v>
      </x:c>
      <x:c r="B118" t="str">
        <x:v>DW-0113</x:v>
      </x:c>
      <x:c r="C118" t="str">
        <x:v>Parent historique</x:v>
      </x:c>
      <x:c r="D118" t="str">
        <x:v>Hôtellerie et hébergement</x:v>
      </x:c>
      <x:c r="E118" t="str">
        <x:v>Relais équestre</x:v>
      </x:c>
      <x:c r="F118" t="n">
        <x:v>8</x:v>
      </x:c>
      <x:c r="G118" t="n">
        <x:v>4</x:v>
      </x:c>
      <x:c r="H118" t="n">
        <x:v>12</x:v>
      </x:c>
      <x:c r="I118" t="str">
        <x:v>À qualifier par lieu</x:v>
      </x:c>
      <x:c r="J118" t="str">
        <x:v>https://github.com/darknigthmare/deadwall-last-enclosure/blob/1b3b9c5ba232734b1bda3453b4e20a0481bcdd74/codex-3000/originaux/DEADWALL_CODEX_1.22/fiches/DW-0113.md</x:v>
      </x:c>
      <x:c r="K118" t="str">
        <x:v>Source min 26,18 m ; max 100,65 m ; modèle 26 × 18 m ; niveaux 0. Détails dans catalogue-existant.json.</x:v>
      </x:c>
    </x:row>
    <x:row r="119">
      <x:c r="A119" t="str">
        <x:v>DW-0114</x:v>
      </x:c>
      <x:c r="B119" t="str">
        <x:v>DW-0114</x:v>
      </x:c>
      <x:c r="C119" t="str">
        <x:v>Parent historique</x:v>
      </x:c>
      <x:c r="D119" t="str">
        <x:v>Hôtellerie et hébergement</x:v>
      </x:c>
      <x:c r="E119" t="str">
        <x:v>Hôtel thermal</x:v>
      </x:c>
      <x:c r="F119" t="n">
        <x:v>8</x:v>
      </x:c>
      <x:c r="G119" t="n">
        <x:v>5</x:v>
      </x:c>
      <x:c r="H119" t="n">
        <x:v>15</x:v>
      </x:c>
      <x:c r="I119" t="str">
        <x:v>À qualifier par lieu</x:v>
      </x:c>
      <x:c r="J119" t="str">
        <x:v>https://github.com/darknigthmare/deadwall-last-enclosure/blob/1b3b9c5ba232734b1bda3453b4e20a0481bcdd74/codex-3000/originaux/DEADWALL_CODEX_1.22/fiches/DW-0114.md</x:v>
      </x:c>
      <x:c r="K119" t="str">
        <x:v>Source min 26,18 m ; max 100,65 m ; modèle 26 × 22 m ; niveaux 0, 1, 2. Détails dans catalogue-existant.json.</x:v>
      </x:c>
    </x:row>
    <x:row r="120">
      <x:c r="A120" t="str">
        <x:v>DW-0115</x:v>
      </x:c>
      <x:c r="B120" t="str">
        <x:v>DW-0115</x:v>
      </x:c>
      <x:c r="C120" t="str">
        <x:v>Parent historique</x:v>
      </x:c>
      <x:c r="D120" t="str">
        <x:v>Hôtellerie et hébergement</x:v>
      </x:c>
      <x:c r="E120" t="str">
        <x:v>Hôtel d'aéroport</x:v>
      </x:c>
      <x:c r="F120" t="n">
        <x:v>8</x:v>
      </x:c>
      <x:c r="G120" t="n">
        <x:v>4</x:v>
      </x:c>
      <x:c r="H120" t="n">
        <x:v>12</x:v>
      </x:c>
      <x:c r="I120" t="str">
        <x:v>À qualifier par lieu</x:v>
      </x:c>
      <x:c r="J120" t="str">
        <x:v>https://github.com/darknigthmare/deadwall-last-enclosure/blob/1b3b9c5ba232734b1bda3453b4e20a0481bcdd74/codex-3000/originaux/DEADWALL_CODEX_1.22/fiches/DW-0115.md</x:v>
      </x:c>
      <x:c r="K120" t="str">
        <x:v>Source min 26,18 m ; max 100,65 m ; modèle 26 × 18 m ; niveaux 0, 1, 2. Détails dans catalogue-existant.json.</x:v>
      </x:c>
    </x:row>
    <x:row r="121">
      <x:c r="A121" t="str">
        <x:v>DW-0116</x:v>
      </x:c>
      <x:c r="B121" t="str">
        <x:v>DW-0116</x:v>
      </x:c>
      <x:c r="C121" t="str">
        <x:v>Parent historique</x:v>
      </x:c>
      <x:c r="D121" t="str">
        <x:v>Hôtellerie et hébergement</x:v>
      </x:c>
      <x:c r="E121" t="str">
        <x:v>Hôtel capsule</x:v>
      </x:c>
      <x:c r="F121" t="n">
        <x:v>8</x:v>
      </x:c>
      <x:c r="G121" t="n">
        <x:v>4</x:v>
      </x:c>
      <x:c r="H121" t="n">
        <x:v>12</x:v>
      </x:c>
      <x:c r="I121" t="str">
        <x:v>À qualifier par lieu</x:v>
      </x:c>
      <x:c r="J121" t="str">
        <x:v>https://github.com/darknigthmare/deadwall-last-enclosure/blob/1b3b9c5ba232734b1bda3453b4e20a0481bcdd74/codex-3000/originaux/DEADWALL_CODEX_1.22/fiches/DW-0116.md</x:v>
      </x:c>
      <x:c r="K121" t="str">
        <x:v>Source min 26,18 m ; max 100,65 m ; modèle 26 × 18 m ; niveaux 0, 1, 2. Détails dans catalogue-existant.json.</x:v>
      </x:c>
    </x:row>
    <x:row r="122">
      <x:c r="A122" t="str">
        <x:v>DW-0117</x:v>
      </x:c>
      <x:c r="B122" t="str">
        <x:v>DW-0117</x:v>
      </x:c>
      <x:c r="C122" t="str">
        <x:v>Parent historique</x:v>
      </x:c>
      <x:c r="D122" t="str">
        <x:v>Hôtellerie et hébergement</x:v>
      </x:c>
      <x:c r="E122" t="str">
        <x:v>Résidence saisonnière</x:v>
      </x:c>
      <x:c r="F122" t="n">
        <x:v>8</x:v>
      </x:c>
      <x:c r="G122" t="n">
        <x:v>4</x:v>
      </x:c>
      <x:c r="H122" t="n">
        <x:v>12</x:v>
      </x:c>
      <x:c r="I122" t="str">
        <x:v>À qualifier par lieu</x:v>
      </x:c>
      <x:c r="J122" t="str">
        <x:v>https://github.com/darknigthmare/deadwall-last-enclosure/blob/1b3b9c5ba232734b1bda3453b4e20a0481bcdd74/codex-3000/originaux/DEADWALL_CODEX_1.22/fiches/DW-0117.md</x:v>
      </x:c>
      <x:c r="K122" t="str">
        <x:v>Source min 26,18 m ; max 100,65 m ; modèle 26 × 18 m ; niveaux 0. Détails dans catalogue-existant.json.</x:v>
      </x:c>
    </x:row>
    <x:row r="123">
      <x:c r="A123" t="str">
        <x:v>DW-0118</x:v>
      </x:c>
      <x:c r="B123" t="str">
        <x:v>DW-0118</x:v>
      </x:c>
      <x:c r="C123" t="str">
        <x:v>Parent historique</x:v>
      </x:c>
      <x:c r="D123" t="str">
        <x:v>Hôtellerie et hébergement</x:v>
      </x:c>
      <x:c r="E123" t="str">
        <x:v>Ferme-auberge</x:v>
      </x:c>
      <x:c r="F123" t="n">
        <x:v>8</x:v>
      </x:c>
      <x:c r="G123" t="n">
        <x:v>5</x:v>
      </x:c>
      <x:c r="H123" t="n">
        <x:v>15</x:v>
      </x:c>
      <x:c r="I123" t="str">
        <x:v>À qualifier par lieu</x:v>
      </x:c>
      <x:c r="J123" t="str">
        <x:v>https://github.com/darknigthmare/deadwall-last-enclosure/blob/1b3b9c5ba232734b1bda3453b4e20a0481bcdd74/codex-3000/originaux/DEADWALL_CODEX_1.22/fiches/DW-0118.md</x:v>
      </x:c>
      <x:c r="K123" t="str">
        <x:v>Source min 26,18 m ; max 100,65 m ; modèle 26 × 22 m ; niveaux 0. Détails dans catalogue-existant.json.</x:v>
      </x:c>
    </x:row>
    <x:row r="124">
      <x:c r="A124" t="str">
        <x:v>DW-0119</x:v>
      </x:c>
      <x:c r="B124" t="str">
        <x:v>DW-0119</x:v>
      </x:c>
      <x:c r="C124" t="str">
        <x:v>Parent historique</x:v>
      </x:c>
      <x:c r="D124" t="str">
        <x:v>Hôtellerie et hébergement</x:v>
      </x:c>
      <x:c r="E124" t="str">
        <x:v>Manoir de réception</x:v>
      </x:c>
      <x:c r="F124" t="n">
        <x:v>8</x:v>
      </x:c>
      <x:c r="G124" t="n">
        <x:v>5</x:v>
      </x:c>
      <x:c r="H124" t="n">
        <x:v>15</x:v>
      </x:c>
      <x:c r="I124" t="str">
        <x:v>À qualifier par lieu</x:v>
      </x:c>
      <x:c r="J124" t="str">
        <x:v>https://github.com/darknigthmare/deadwall-last-enclosure/blob/1b3b9c5ba232734b1bda3453b4e20a0481bcdd74/codex-3000/originaux/DEADWALL_CODEX_1.22/fiches/DW-0119.md</x:v>
      </x:c>
      <x:c r="K124" t="str">
        <x:v>Source min 26,18 m ; max 100,65 m ; modèle 26 × 22 m ; niveaux 0, 1. Détails dans catalogue-existant.json.</x:v>
      </x:c>
    </x:row>
    <x:row r="125">
      <x:c r="A125" t="str">
        <x:v>DW-0120</x:v>
      </x:c>
      <x:c r="B125" t="str">
        <x:v>DW-0120</x:v>
      </x:c>
      <x:c r="C125" t="str">
        <x:v>Parent historique</x:v>
      </x:c>
      <x:c r="D125" t="str">
        <x:v>Hôtellerie et hébergement</x:v>
      </x:c>
      <x:c r="E125" t="str">
        <x:v>Centre de vacances fermé</x:v>
      </x:c>
      <x:c r="F125" t="n">
        <x:v>8</x:v>
      </x:c>
      <x:c r="G125" t="n">
        <x:v>5</x:v>
      </x:c>
      <x:c r="H125" t="n">
        <x:v>15</x:v>
      </x:c>
      <x:c r="I125" t="str">
        <x:v>À qualifier par lieu</x:v>
      </x:c>
      <x:c r="J125" t="str">
        <x:v>https://github.com/darknigthmare/deadwall-last-enclosure/blob/1b3b9c5ba232734b1bda3453b4e20a0481bcdd74/codex-3000/originaux/DEADWALL_CODEX_1.22/fiches/DW-0120.md</x:v>
      </x:c>
      <x:c r="K125" t="str">
        <x:v>Source min 26,18 m ; max 100,65 m ; modèle 26 × 22 m ; niveaux 0. Détails dans catalogue-existant.json.</x:v>
      </x:c>
    </x:row>
    <x:row r="126">
      <x:c r="A126" t="str">
        <x:v>DW-0121</x:v>
      </x:c>
      <x:c r="B126" t="str">
        <x:v>DW-0121</x:v>
      </x:c>
      <x:c r="C126" t="str">
        <x:v>Parent historique</x:v>
      </x:c>
      <x:c r="D126" t="str">
        <x:v>Santé</x:v>
      </x:c>
      <x:c r="E126" t="str">
        <x:v>Cabinet médical</x:v>
      </x:c>
      <x:c r="F126" t="n">
        <x:v>8</x:v>
      </x:c>
      <x:c r="G126" t="n">
        <x:v>4</x:v>
      </x:c>
      <x:c r="H126" t="n">
        <x:v>12</x:v>
      </x:c>
      <x:c r="I126" t="str">
        <x:v>À qualifier par lieu</x:v>
      </x:c>
      <x:c r="J126" t="str">
        <x:v>https://github.com/darknigthmare/deadwall-last-enclosure/blob/1b3b9c5ba232734b1bda3453b4e20a0481bcdd74/codex-3000/originaux/DEADWALL_CODEX_1.22/fiches/DW-0121.md</x:v>
      </x:c>
      <x:c r="K126" t="str">
        <x:v>Source min 20,16 m ; max 150,100 m ; modèle 25 × 18 m ; niveaux 0. Détails dans catalogue-existant.json.</x:v>
      </x:c>
    </x:row>
    <x:row r="127">
      <x:c r="A127" t="str">
        <x:v>DW-0122</x:v>
      </x:c>
      <x:c r="B127" t="str">
        <x:v>DW-0122</x:v>
      </x:c>
      <x:c r="C127" t="str">
        <x:v>Parent historique</x:v>
      </x:c>
      <x:c r="D127" t="str">
        <x:v>Santé</x:v>
      </x:c>
      <x:c r="E127" t="str">
        <x:v>Maison de santé</x:v>
      </x:c>
      <x:c r="F127" t="n">
        <x:v>8</x:v>
      </x:c>
      <x:c r="G127" t="n">
        <x:v>5</x:v>
      </x:c>
      <x:c r="H127" t="n">
        <x:v>15</x:v>
      </x:c>
      <x:c r="I127" t="str">
        <x:v>À qualifier par lieu</x:v>
      </x:c>
      <x:c r="J127" t="str">
        <x:v>https://github.com/darknigthmare/deadwall-last-enclosure/blob/1b3b9c5ba232734b1bda3453b4e20a0481bcdd74/codex-3000/originaux/DEADWALL_CODEX_1.22/fiches/DW-0122.md</x:v>
      </x:c>
      <x:c r="K127" t="str">
        <x:v>Source min 20,16 m ; max 150,100 m ; modèle 26 × 22 m ; niveaux 0. Détails dans catalogue-existant.json.</x:v>
      </x:c>
    </x:row>
    <x:row r="128">
      <x:c r="A128" t="str">
        <x:v>DW-0123</x:v>
      </x:c>
      <x:c r="B128" t="str">
        <x:v>DW-0123</x:v>
      </x:c>
      <x:c r="C128" t="str">
        <x:v>Parent historique</x:v>
      </x:c>
      <x:c r="D128" t="str">
        <x:v>Santé</x:v>
      </x:c>
      <x:c r="E128" t="str">
        <x:v>Dispensaire rural</x:v>
      </x:c>
      <x:c r="F128" t="n">
        <x:v>8</x:v>
      </x:c>
      <x:c r="G128" t="n">
        <x:v>4</x:v>
      </x:c>
      <x:c r="H128" t="n">
        <x:v>12</x:v>
      </x:c>
      <x:c r="I128" t="str">
        <x:v>À qualifier par lieu</x:v>
      </x:c>
      <x:c r="J128" t="str">
        <x:v>https://github.com/darknigthmare/deadwall-last-enclosure/blob/1b3b9c5ba232734b1bda3453b4e20a0481bcdd74/codex-3000/originaux/DEADWALL_CODEX_1.22/fiches/DW-0123.md</x:v>
      </x:c>
      <x:c r="K128" t="str">
        <x:v>Source min 20,16 m ; max 150,100 m ; modèle 25 × 18 m ; niveaux 0. Détails dans catalogue-existant.json.</x:v>
      </x:c>
    </x:row>
    <x:row r="129">
      <x:c r="A129" t="str">
        <x:v>DW-0124</x:v>
      </x:c>
      <x:c r="B129" t="str">
        <x:v>DW-0124</x:v>
      </x:c>
      <x:c r="C129" t="str">
        <x:v>Parent historique</x:v>
      </x:c>
      <x:c r="D129" t="str">
        <x:v>Santé</x:v>
      </x:c>
      <x:c r="E129" t="str">
        <x:v>Centre de radiologie</x:v>
      </x:c>
      <x:c r="F129" t="n">
        <x:v>8</x:v>
      </x:c>
      <x:c r="G129" t="n">
        <x:v>4</x:v>
      </x:c>
      <x:c r="H129" t="n">
        <x:v>12</x:v>
      </x:c>
      <x:c r="I129" t="str">
        <x:v>À qualifier par lieu</x:v>
      </x:c>
      <x:c r="J129" t="str">
        <x:v>https://github.com/darknigthmare/deadwall-last-enclosure/blob/1b3b9c5ba232734b1bda3453b4e20a0481bcdd74/codex-3000/originaux/DEADWALL_CODEX_1.22/fiches/DW-0124.md</x:v>
      </x:c>
      <x:c r="K129" t="str">
        <x:v>Source min 20,16 m ; max 150,100 m ; modèle 25 × 18 m ; niveaux 0. Détails dans catalogue-existant.json.</x:v>
      </x:c>
    </x:row>
    <x:row r="130">
      <x:c r="A130" t="str">
        <x:v>DW-0125</x:v>
      </x:c>
      <x:c r="B130" t="str">
        <x:v>DW-0125</x:v>
      </x:c>
      <x:c r="C130" t="str">
        <x:v>Parent historique</x:v>
      </x:c>
      <x:c r="D130" t="str">
        <x:v>Santé</x:v>
      </x:c>
      <x:c r="E130" t="str">
        <x:v>Laboratoire d'analyses</x:v>
      </x:c>
      <x:c r="F130" t="n">
        <x:v>8</x:v>
      </x:c>
      <x:c r="G130" t="n">
        <x:v>4</x:v>
      </x:c>
      <x:c r="H130" t="n">
        <x:v>12</x:v>
      </x:c>
      <x:c r="I130" t="str">
        <x:v>À qualifier par lieu</x:v>
      </x:c>
      <x:c r="J130" t="str">
        <x:v>https://github.com/darknigthmare/deadwall-last-enclosure/blob/1b3b9c5ba232734b1bda3453b4e20a0481bcdd74/codex-3000/originaux/DEADWALL_CODEX_1.22/fiches/DW-0125.md</x:v>
      </x:c>
      <x:c r="K130" t="str">
        <x:v>Source min 20,16 m ; max 150,100 m ; modèle 25 × 18 m ; niveaux 0. Détails dans catalogue-existant.json.</x:v>
      </x:c>
    </x:row>
    <x:row r="131">
      <x:c r="A131" t="str">
        <x:v>DW-0126</x:v>
      </x:c>
      <x:c r="B131" t="str">
        <x:v>DW-0126</x:v>
      </x:c>
      <x:c r="C131" t="str">
        <x:v>Parent historique</x:v>
      </x:c>
      <x:c r="D131" t="str">
        <x:v>Santé</x:v>
      </x:c>
      <x:c r="E131" t="str">
        <x:v>Cabinet dentaire</x:v>
      </x:c>
      <x:c r="F131" t="n">
        <x:v>8</x:v>
      </x:c>
      <x:c r="G131" t="n">
        <x:v>4</x:v>
      </x:c>
      <x:c r="H131" t="n">
        <x:v>12</x:v>
      </x:c>
      <x:c r="I131" t="str">
        <x:v>À qualifier par lieu</x:v>
      </x:c>
      <x:c r="J131" t="str">
        <x:v>https://github.com/darknigthmare/deadwall-last-enclosure/blob/1b3b9c5ba232734b1bda3453b4e20a0481bcdd74/codex-3000/originaux/DEADWALL_CODEX_1.22/fiches/DW-0126.md</x:v>
      </x:c>
      <x:c r="K131" t="str">
        <x:v>Source min 20,16 m ; max 150,100 m ; modèle 25 × 18 m ; niveaux 0. Détails dans catalogue-existant.json.</x:v>
      </x:c>
    </x:row>
    <x:row r="132">
      <x:c r="A132" t="str">
        <x:v>DW-0127</x:v>
      </x:c>
      <x:c r="B132" t="str">
        <x:v>DW-0127</x:v>
      </x:c>
      <x:c r="C132" t="str">
        <x:v>Parent historique</x:v>
      </x:c>
      <x:c r="D132" t="str">
        <x:v>Santé</x:v>
      </x:c>
      <x:c r="E132" t="str">
        <x:v>Centre de rééducation</x:v>
      </x:c>
      <x:c r="F132" t="n">
        <x:v>8</x:v>
      </x:c>
      <x:c r="G132" t="n">
        <x:v>4</x:v>
      </x:c>
      <x:c r="H132" t="n">
        <x:v>12</x:v>
      </x:c>
      <x:c r="I132" t="str">
        <x:v>À qualifier par lieu</x:v>
      </x:c>
      <x:c r="J132" t="str">
        <x:v>https://github.com/darknigthmare/deadwall-last-enclosure/blob/1b3b9c5ba232734b1bda3453b4e20a0481bcdd74/codex-3000/originaux/DEADWALL_CODEX_1.22/fiches/DW-0127.md</x:v>
      </x:c>
      <x:c r="K132" t="str">
        <x:v>Source min 20,16 m ; max 150,100 m ; modèle 25 × 18 m ; niveaux 0. Détails dans catalogue-existant.json.</x:v>
      </x:c>
    </x:row>
    <x:row r="133">
      <x:c r="A133" t="str">
        <x:v>DW-0128</x:v>
      </x:c>
      <x:c r="B133" t="str">
        <x:v>DW-0128</x:v>
      </x:c>
      <x:c r="C133" t="str">
        <x:v>Parent historique</x:v>
      </x:c>
      <x:c r="D133" t="str">
        <x:v>Santé</x:v>
      </x:c>
      <x:c r="E133" t="str">
        <x:v>Centre de dialyse</x:v>
      </x:c>
      <x:c r="F133" t="n">
        <x:v>8</x:v>
      </x:c>
      <x:c r="G133" t="n">
        <x:v>4</x:v>
      </x:c>
      <x:c r="H133" t="n">
        <x:v>12</x:v>
      </x:c>
      <x:c r="I133" t="str">
        <x:v>À qualifier par lieu</x:v>
      </x:c>
      <x:c r="J133" t="str">
        <x:v>https://github.com/darknigthmare/deadwall-last-enclosure/blob/1b3b9c5ba232734b1bda3453b4e20a0481bcdd74/codex-3000/originaux/DEADWALL_CODEX_1.22/fiches/DW-0128.md</x:v>
      </x:c>
      <x:c r="K133" t="str">
        <x:v>Source min 20,16 m ; max 150,100 m ; modèle 25 × 18 m ; niveaux 0. Détails dans catalogue-existant.json.</x:v>
      </x:c>
    </x:row>
    <x:row r="134">
      <x:c r="A134" t="str">
        <x:v>DW-0129</x:v>
      </x:c>
      <x:c r="B134" t="str">
        <x:v>DW-0129</x:v>
      </x:c>
      <x:c r="C134" t="str">
        <x:v>Parent historique</x:v>
      </x:c>
      <x:c r="D134" t="str">
        <x:v>Santé</x:v>
      </x:c>
      <x:c r="E134" t="str">
        <x:v>Centre de transfusion</x:v>
      </x:c>
      <x:c r="F134" t="n">
        <x:v>8</x:v>
      </x:c>
      <x:c r="G134" t="n">
        <x:v>4</x:v>
      </x:c>
      <x:c r="H134" t="n">
        <x:v>12</x:v>
      </x:c>
      <x:c r="I134" t="str">
        <x:v>À qualifier par lieu</x:v>
      </x:c>
      <x:c r="J134" t="str">
        <x:v>https://github.com/darknigthmare/deadwall-last-enclosure/blob/1b3b9c5ba232734b1bda3453b4e20a0481bcdd74/codex-3000/originaux/DEADWALL_CODEX_1.22/fiches/DW-0129.md</x:v>
      </x:c>
      <x:c r="K134" t="str">
        <x:v>Source min 20,16 m ; max 150,100 m ; modèle 25 × 18 m ; niveaux 0. Détails dans catalogue-existant.json.</x:v>
      </x:c>
    </x:row>
    <x:row r="135">
      <x:c r="A135" t="str">
        <x:v>DW-0130</x:v>
      </x:c>
      <x:c r="B135" t="str">
        <x:v>DW-0130</x:v>
      </x:c>
      <x:c r="C135" t="str">
        <x:v>Parent historique</x:v>
      </x:c>
      <x:c r="D135" t="str">
        <x:v>Santé</x:v>
      </x:c>
      <x:c r="E135" t="str">
        <x:v>Urgences hospitalières</x:v>
      </x:c>
      <x:c r="F135" t="n">
        <x:v>8</x:v>
      </x:c>
      <x:c r="G135" t="n">
        <x:v>5</x:v>
      </x:c>
      <x:c r="H135" t="n">
        <x:v>15</x:v>
      </x:c>
      <x:c r="I135" t="str">
        <x:v>À qualifier par lieu</x:v>
      </x:c>
      <x:c r="J135" t="str">
        <x:v>https://github.com/darknigthmare/deadwall-last-enclosure/blob/1b3b9c5ba232734b1bda3453b4e20a0481bcdd74/codex-3000/originaux/DEADWALL_CODEX_1.22/fiches/DW-0130.md</x:v>
      </x:c>
      <x:c r="K135" t="str">
        <x:v>Source min 20,16 m ; max 150,100 m ; modèle 26 × 22 m ; niveaux 0. Détails dans catalogue-existant.json.</x:v>
      </x:c>
    </x:row>
    <x:row r="136">
      <x:c r="A136" t="str">
        <x:v>DW-0131</x:v>
      </x:c>
      <x:c r="B136" t="str">
        <x:v>DW-0131</x:v>
      </x:c>
      <x:c r="C136" t="str">
        <x:v>Parent historique</x:v>
      </x:c>
      <x:c r="D136" t="str">
        <x:v>Santé</x:v>
      </x:c>
      <x:c r="E136" t="str">
        <x:v>Hôpital général</x:v>
      </x:c>
      <x:c r="F136" t="n">
        <x:v>8</x:v>
      </x:c>
      <x:c r="G136" t="n">
        <x:v>5</x:v>
      </x:c>
      <x:c r="H136" t="n">
        <x:v>15</x:v>
      </x:c>
      <x:c r="I136" t="str">
        <x:v>À qualifier par lieu</x:v>
      </x:c>
      <x:c r="J136" t="str">
        <x:v>https://github.com/darknigthmare/deadwall-last-enclosure/blob/1b3b9c5ba232734b1bda3453b4e20a0481bcdd74/codex-3000/originaux/DEADWALL_CODEX_1.22/fiches/DW-0131.md</x:v>
      </x:c>
      <x:c r="K136" t="str">
        <x:v>Source min 20,16 m ; max 150,100 m ; modèle 26 × 22 m ; niveaux 0. Détails dans catalogue-existant.json.</x:v>
      </x:c>
    </x:row>
    <x:row r="137">
      <x:c r="A137" t="str">
        <x:v>DW-0132</x:v>
      </x:c>
      <x:c r="B137" t="str">
        <x:v>DW-0132</x:v>
      </x:c>
      <x:c r="C137" t="str">
        <x:v>Parent historique</x:v>
      </x:c>
      <x:c r="D137" t="str">
        <x:v>Santé</x:v>
      </x:c>
      <x:c r="E137" t="str">
        <x:v>Clinique chirurgicale</x:v>
      </x:c>
      <x:c r="F137" t="n">
        <x:v>8</x:v>
      </x:c>
      <x:c r="G137" t="n">
        <x:v>5</x:v>
      </x:c>
      <x:c r="H137" t="n">
        <x:v>15</x:v>
      </x:c>
      <x:c r="I137" t="str">
        <x:v>À qualifier par lieu</x:v>
      </x:c>
      <x:c r="J137" t="str">
        <x:v>https://github.com/darknigthmare/deadwall-last-enclosure/blob/1b3b9c5ba232734b1bda3453b4e20a0481bcdd74/codex-3000/originaux/DEADWALL_CODEX_1.22/fiches/DW-0132.md</x:v>
      </x:c>
      <x:c r="K137" t="str">
        <x:v>Source min 20,16 m ; max 150,100 m ; modèle 26 × 22 m ; niveaux 0. Détails dans catalogue-existant.json.</x:v>
      </x:c>
    </x:row>
    <x:row r="138">
      <x:c r="A138" t="str">
        <x:v>DW-0133</x:v>
      </x:c>
      <x:c r="B138" t="str">
        <x:v>DW-0133</x:v>
      </x:c>
      <x:c r="C138" t="str">
        <x:v>Parent historique</x:v>
      </x:c>
      <x:c r="D138" t="str">
        <x:v>Santé</x:v>
      </x:c>
      <x:c r="E138" t="str">
        <x:v>Maternité</x:v>
      </x:c>
      <x:c r="F138" t="n">
        <x:v>8</x:v>
      </x:c>
      <x:c r="G138" t="n">
        <x:v>4</x:v>
      </x:c>
      <x:c r="H138" t="n">
        <x:v>12</x:v>
      </x:c>
      <x:c r="I138" t="str">
        <x:v>À qualifier par lieu</x:v>
      </x:c>
      <x:c r="J138" t="str">
        <x:v>https://github.com/darknigthmare/deadwall-last-enclosure/blob/1b3b9c5ba232734b1bda3453b4e20a0481bcdd74/codex-3000/originaux/DEADWALL_CODEX_1.22/fiches/DW-0133.md</x:v>
      </x:c>
      <x:c r="K138" t="str">
        <x:v>Source min 20,16 m ; max 150,100 m ; modèle 25 × 18 m ; niveaux 0. Détails dans catalogue-existant.json.</x:v>
      </x:c>
    </x:row>
    <x:row r="139">
      <x:c r="A139" t="str">
        <x:v>DW-0134</x:v>
      </x:c>
      <x:c r="B139" t="str">
        <x:v>DW-0134</x:v>
      </x:c>
      <x:c r="C139" t="str">
        <x:v>Parent historique</x:v>
      </x:c>
      <x:c r="D139" t="str">
        <x:v>Santé</x:v>
      </x:c>
      <x:c r="E139" t="str">
        <x:v>Hôpital pédiatrique</x:v>
      </x:c>
      <x:c r="F139" t="n">
        <x:v>8</x:v>
      </x:c>
      <x:c r="G139" t="n">
        <x:v>4</x:v>
      </x:c>
      <x:c r="H139" t="n">
        <x:v>12</x:v>
      </x:c>
      <x:c r="I139" t="str">
        <x:v>À qualifier par lieu</x:v>
      </x:c>
      <x:c r="J139" t="str">
        <x:v>https://github.com/darknigthmare/deadwall-last-enclosure/blob/1b3b9c5ba232734b1bda3453b4e20a0481bcdd74/codex-3000/originaux/DEADWALL_CODEX_1.22/fiches/DW-0134.md</x:v>
      </x:c>
      <x:c r="K139" t="str">
        <x:v>Source min 20,16 m ; max 150,100 m ; modèle 25 × 18 m ; niveaux 0. Détails dans catalogue-existant.json.</x:v>
      </x:c>
    </x:row>
    <x:row r="140">
      <x:c r="A140" t="str">
        <x:v>DW-0135</x:v>
      </x:c>
      <x:c r="B140" t="str">
        <x:v>DW-0135</x:v>
      </x:c>
      <x:c r="C140" t="str">
        <x:v>Parent historique</x:v>
      </x:c>
      <x:c r="D140" t="str">
        <x:v>Santé</x:v>
      </x:c>
      <x:c r="E140" t="str">
        <x:v>Établissement gériatrique</x:v>
      </x:c>
      <x:c r="F140" t="n">
        <x:v>8</x:v>
      </x:c>
      <x:c r="G140" t="n">
        <x:v>5</x:v>
      </x:c>
      <x:c r="H140" t="n">
        <x:v>15</x:v>
      </x:c>
      <x:c r="I140" t="str">
        <x:v>À qualifier par lieu</x:v>
      </x:c>
      <x:c r="J140" t="str">
        <x:v>https://github.com/darknigthmare/deadwall-last-enclosure/blob/1b3b9c5ba232734b1bda3453b4e20a0481bcdd74/codex-3000/originaux/DEADWALL_CODEX_1.22/fiches/DW-0135.md</x:v>
      </x:c>
      <x:c r="K140" t="str">
        <x:v>Source min 20,16 m ; max 150,100 m ; modèle 26 × 22 m ; niveaux 0. Détails dans catalogue-existant.json.</x:v>
      </x:c>
    </x:row>
    <x:row r="141">
      <x:c r="A141" t="str">
        <x:v>DW-0136</x:v>
      </x:c>
      <x:c r="B141" t="str">
        <x:v>DW-0136</x:v>
      </x:c>
      <x:c r="C141" t="str">
        <x:v>Parent historique</x:v>
      </x:c>
      <x:c r="D141" t="str">
        <x:v>Santé</x:v>
      </x:c>
      <x:c r="E141" t="str">
        <x:v>Centre de soins psychiatriques</x:v>
      </x:c>
      <x:c r="F141" t="n">
        <x:v>8</x:v>
      </x:c>
      <x:c r="G141" t="n">
        <x:v>5</x:v>
      </x:c>
      <x:c r="H141" t="n">
        <x:v>15</x:v>
      </x:c>
      <x:c r="I141" t="str">
        <x:v>À qualifier par lieu</x:v>
      </x:c>
      <x:c r="J141" t="str">
        <x:v>https://github.com/darknigthmare/deadwall-last-enclosure/blob/1b3b9c5ba232734b1bda3453b4e20a0481bcdd74/codex-3000/originaux/DEADWALL_CODEX_1.22/fiches/DW-0136.md</x:v>
      </x:c>
      <x:c r="K141" t="str">
        <x:v>Source min 20,16 m ; max 150,100 m ; modèle 26 × 22 m ; niveaux 0. Détails dans catalogue-existant.json.</x:v>
      </x:c>
    </x:row>
    <x:row r="142">
      <x:c r="A142" t="str">
        <x:v>DW-0137</x:v>
      </x:c>
      <x:c r="B142" t="str">
        <x:v>DW-0137</x:v>
      </x:c>
      <x:c r="C142" t="str">
        <x:v>Parent historique</x:v>
      </x:c>
      <x:c r="D142" t="str">
        <x:v>Santé</x:v>
      </x:c>
      <x:c r="E142" t="str">
        <x:v>Maison de convalescence</x:v>
      </x:c>
      <x:c r="F142" t="n">
        <x:v>8</x:v>
      </x:c>
      <x:c r="G142" t="n">
        <x:v>4</x:v>
      </x:c>
      <x:c r="H142" t="n">
        <x:v>12</x:v>
      </x:c>
      <x:c r="I142" t="str">
        <x:v>À qualifier par lieu</x:v>
      </x:c>
      <x:c r="J142" t="str">
        <x:v>https://github.com/darknigthmare/deadwall-last-enclosure/blob/1b3b9c5ba232734b1bda3453b4e20a0481bcdd74/codex-3000/originaux/DEADWALL_CODEX_1.22/fiches/DW-0137.md</x:v>
      </x:c>
      <x:c r="K142" t="str">
        <x:v>Source min 20,16 m ; max 150,100 m ; modèle 25 × 18 m ; niveaux 0. Détails dans catalogue-existant.json.</x:v>
      </x:c>
    </x:row>
    <x:row r="143">
      <x:c r="A143" t="str">
        <x:v>DW-0138</x:v>
      </x:c>
      <x:c r="B143" t="str">
        <x:v>DW-0138</x:v>
      </x:c>
      <x:c r="C143" t="str">
        <x:v>Parent historique</x:v>
      </x:c>
      <x:c r="D143" t="str">
        <x:v>Santé</x:v>
      </x:c>
      <x:c r="E143" t="str">
        <x:v>Hôpital de campagne</x:v>
      </x:c>
      <x:c r="F143" t="n">
        <x:v>8</x:v>
      </x:c>
      <x:c r="G143" t="n">
        <x:v>5</x:v>
      </x:c>
      <x:c r="H143" t="n">
        <x:v>15</x:v>
      </x:c>
      <x:c r="I143" t="str">
        <x:v>À qualifier par lieu</x:v>
      </x:c>
      <x:c r="J143" t="str">
        <x:v>https://github.com/darknigthmare/deadwall-last-enclosure/blob/1b3b9c5ba232734b1bda3453b4e20a0481bcdd74/codex-3000/originaux/DEADWALL_CODEX_1.22/fiches/DW-0138.md</x:v>
      </x:c>
      <x:c r="K143" t="str">
        <x:v>Source min 20,16 m ; max 150,100 m ; modèle 26 × 22 m ; niveaux 0. Détails dans catalogue-existant.json.</x:v>
      </x:c>
    </x:row>
    <x:row r="144">
      <x:c r="A144" t="str">
        <x:v>DW-0139</x:v>
      </x:c>
      <x:c r="B144" t="str">
        <x:v>DW-0139</x:v>
      </x:c>
      <x:c r="C144" t="str">
        <x:v>Parent historique</x:v>
      </x:c>
      <x:c r="D144" t="str">
        <x:v>Santé</x:v>
      </x:c>
      <x:c r="E144" t="str">
        <x:v>Centre ambulancier</x:v>
      </x:c>
      <x:c r="F144" t="n">
        <x:v>8</x:v>
      </x:c>
      <x:c r="G144" t="n">
        <x:v>4</x:v>
      </x:c>
      <x:c r="H144" t="n">
        <x:v>12</x:v>
      </x:c>
      <x:c r="I144" t="str">
        <x:v>À qualifier par lieu</x:v>
      </x:c>
      <x:c r="J144" t="str">
        <x:v>https://github.com/darknigthmare/deadwall-last-enclosure/blob/1b3b9c5ba232734b1bda3453b4e20a0481bcdd74/codex-3000/originaux/DEADWALL_CODEX_1.22/fiches/DW-0139.md</x:v>
      </x:c>
      <x:c r="K144" t="str">
        <x:v>Source min 20,16 m ; max 150,100 m ; modèle 25 × 18 m ; niveaux 0. Détails dans catalogue-existant.json.</x:v>
      </x:c>
    </x:row>
    <x:row r="145">
      <x:c r="A145" t="str">
        <x:v>DW-0140</x:v>
      </x:c>
      <x:c r="B145" t="str">
        <x:v>DW-0140</x:v>
      </x:c>
      <x:c r="C145" t="str">
        <x:v>Parent historique</x:v>
      </x:c>
      <x:c r="D145" t="str">
        <x:v>Santé</x:v>
      </x:c>
      <x:c r="E145" t="str">
        <x:v>Ancien sanatorium</x:v>
      </x:c>
      <x:c r="F145" t="n">
        <x:v>8</x:v>
      </x:c>
      <x:c r="G145" t="n">
        <x:v>5</x:v>
      </x:c>
      <x:c r="H145" t="n">
        <x:v>13</x:v>
      </x:c>
      <x:c r="I145" t="str">
        <x:v>À qualifier par lieu</x:v>
      </x:c>
      <x:c r="J145" t="str">
        <x:v>https://github.com/darknigthmare/deadwall-last-enclosure/blob/1b3b9c5ba232734b1bda3453b4e20a0481bcdd74/codex-3000/originaux/DEADWALL_CODEX_1.22/fiches/DW-0140.md</x:v>
      </x:c>
      <x:c r="K145" t="str">
        <x:v>Source min 20,16 m ; max 150,100 m ; modèle 26 × 22 m ; niveaux 0. Détails dans catalogue-existant.json.</x:v>
      </x:c>
    </x:row>
    <x:row r="146">
      <x:c r="A146" t="str">
        <x:v>DW-0141</x:v>
      </x:c>
      <x:c r="B146" t="str">
        <x:v>DW-0141</x:v>
      </x:c>
      <x:c r="C146" t="str">
        <x:v>Parent historique</x:v>
      </x:c>
      <x:c r="D146" t="str">
        <x:v>Éducation et connaissance</x:v>
      </x:c>
      <x:c r="E146" t="str">
        <x:v>École maternelle</x:v>
      </x:c>
      <x:c r="F146" t="n">
        <x:v>8</x:v>
      </x:c>
      <x:c r="G146" t="n">
        <x:v>5</x:v>
      </x:c>
      <x:c r="H146" t="n">
        <x:v>15</x:v>
      </x:c>
      <x:c r="I146" t="str">
        <x:v>À qualifier par lieu</x:v>
      </x:c>
      <x:c r="J146" t="str">
        <x:v>https://github.com/darknigthmare/deadwall-last-enclosure/blob/1b3b9c5ba232734b1bda3453b4e20a0481bcdd74/codex-3000/originaux/DEADWALL_CODEX_1.22/fiches/DW-0141.md</x:v>
      </x:c>
      <x:c r="K146" t="str">
        <x:v>Source min 28,20 m ; max 160,110 m ; modèle 28 × 22 m ; niveaux 0. Détails dans catalogue-existant.json.</x:v>
      </x:c>
    </x:row>
    <x:row r="147">
      <x:c r="A147" t="str">
        <x:v>DW-0142</x:v>
      </x:c>
      <x:c r="B147" t="str">
        <x:v>DW-0142</x:v>
      </x:c>
      <x:c r="C147" t="str">
        <x:v>Parent historique</x:v>
      </x:c>
      <x:c r="D147" t="str">
        <x:v>Éducation et connaissance</x:v>
      </x:c>
      <x:c r="E147" t="str">
        <x:v>École primaire</x:v>
      </x:c>
      <x:c r="F147" t="n">
        <x:v>8</x:v>
      </x:c>
      <x:c r="G147" t="n">
        <x:v>5</x:v>
      </x:c>
      <x:c r="H147" t="n">
        <x:v>15</x:v>
      </x:c>
      <x:c r="I147" t="str">
        <x:v>À qualifier par lieu</x:v>
      </x:c>
      <x:c r="J147" t="str">
        <x:v>https://github.com/darknigthmare/deadwall-last-enclosure/blob/1b3b9c5ba232734b1bda3453b4e20a0481bcdd74/codex-3000/originaux/DEADWALL_CODEX_1.22/fiches/DW-0142.md</x:v>
      </x:c>
      <x:c r="K147" t="str">
        <x:v>Source min 28,20 m ; max 160,110 m ; modèle 28 × 22 m ; niveaux 0, 1. Détails dans catalogue-existant.json.</x:v>
      </x:c>
    </x:row>
    <x:row r="148">
      <x:c r="A148" t="str">
        <x:v>DW-0143</x:v>
      </x:c>
      <x:c r="B148" t="str">
        <x:v>DW-0143</x:v>
      </x:c>
      <x:c r="C148" t="str">
        <x:v>Parent historique</x:v>
      </x:c>
      <x:c r="D148" t="str">
        <x:v>Éducation et connaissance</x:v>
      </x:c>
      <x:c r="E148" t="str">
        <x:v>Collège</x:v>
      </x:c>
      <x:c r="F148" t="n">
        <x:v>8</x:v>
      </x:c>
      <x:c r="G148" t="n">
        <x:v>5</x:v>
      </x:c>
      <x:c r="H148" t="n">
        <x:v>15</x:v>
      </x:c>
      <x:c r="I148" t="str">
        <x:v>À qualifier par lieu</x:v>
      </x:c>
      <x:c r="J148" t="str">
        <x:v>https://github.com/darknigthmare/deadwall-last-enclosure/blob/1b3b9c5ba232734b1bda3453b4e20a0481bcdd74/codex-3000/originaux/DEADWALL_CODEX_1.22/fiches/DW-0143.md</x:v>
      </x:c>
      <x:c r="K148" t="str">
        <x:v>Source min 28,20 m ; max 160,110 m ; modèle 28 × 22 m ; niveaux 0. Détails dans catalogue-existant.json.</x:v>
      </x:c>
    </x:row>
    <x:row r="149">
      <x:c r="A149" t="str">
        <x:v>DW-0144</x:v>
      </x:c>
      <x:c r="B149" t="str">
        <x:v>DW-0144</x:v>
      </x:c>
      <x:c r="C149" t="str">
        <x:v>Parent historique</x:v>
      </x:c>
      <x:c r="D149" t="str">
        <x:v>Éducation et connaissance</x:v>
      </x:c>
      <x:c r="E149" t="str">
        <x:v>Lycée général</x:v>
      </x:c>
      <x:c r="F149" t="n">
        <x:v>8</x:v>
      </x:c>
      <x:c r="G149" t="n">
        <x:v>5</x:v>
      </x:c>
      <x:c r="H149" t="n">
        <x:v>15</x:v>
      </x:c>
      <x:c r="I149" t="str">
        <x:v>À qualifier par lieu</x:v>
      </x:c>
      <x:c r="J149" t="str">
        <x:v>https://github.com/darknigthmare/deadwall-last-enclosure/blob/1b3b9c5ba232734b1bda3453b4e20a0481bcdd74/codex-3000/originaux/DEADWALL_CODEX_1.22/fiches/DW-0144.md</x:v>
      </x:c>
      <x:c r="K149" t="str">
        <x:v>Source min 28,20 m ; max 160,110 m ; modèle 28 × 22 m ; niveaux 0. Détails dans catalogue-existant.json.</x:v>
      </x:c>
    </x:row>
    <x:row r="150">
      <x:c r="A150" t="str">
        <x:v>DW-0145</x:v>
      </x:c>
      <x:c r="B150" t="str">
        <x:v>DW-0145</x:v>
      </x:c>
      <x:c r="C150" t="str">
        <x:v>Parent historique</x:v>
      </x:c>
      <x:c r="D150" t="str">
        <x:v>Éducation et connaissance</x:v>
      </x:c>
      <x:c r="E150" t="str">
        <x:v>Lycée professionnel</x:v>
      </x:c>
      <x:c r="F150" t="n">
        <x:v>8</x:v>
      </x:c>
      <x:c r="G150" t="n">
        <x:v>5</x:v>
      </x:c>
      <x:c r="H150" t="n">
        <x:v>15</x:v>
      </x:c>
      <x:c r="I150" t="str">
        <x:v>À qualifier par lieu</x:v>
      </x:c>
      <x:c r="J150" t="str">
        <x:v>https://github.com/darknigthmare/deadwall-last-enclosure/blob/1b3b9c5ba232734b1bda3453b4e20a0481bcdd74/codex-3000/originaux/DEADWALL_CODEX_1.22/fiches/DW-0145.md</x:v>
      </x:c>
      <x:c r="K150" t="str">
        <x:v>Source min 28,20 m ; max 160,110 m ; modèle 28 × 22 m ; niveaux 0. Détails dans catalogue-existant.json.</x:v>
      </x:c>
    </x:row>
    <x:row r="151">
      <x:c r="A151" t="str">
        <x:v>DW-0146</x:v>
      </x:c>
      <x:c r="B151" t="str">
        <x:v>DW-0146</x:v>
      </x:c>
      <x:c r="C151" t="str">
        <x:v>Parent historique</x:v>
      </x:c>
      <x:c r="D151" t="str">
        <x:v>Éducation et connaissance</x:v>
      </x:c>
      <x:c r="E151" t="str">
        <x:v>Campus universitaire</x:v>
      </x:c>
      <x:c r="F151" t="n">
        <x:v>8</x:v>
      </x:c>
      <x:c r="G151" t="n">
        <x:v>4</x:v>
      </x:c>
      <x:c r="H151" t="n">
        <x:v>12</x:v>
      </x:c>
      <x:c r="I151" t="str">
        <x:v>À qualifier par lieu</x:v>
      </x:c>
      <x:c r="J151" t="str">
        <x:v>https://github.com/darknigthmare/deadwall-last-enclosure/blob/1b3b9c5ba232734b1bda3453b4e20a0481bcdd74/codex-3000/originaux/DEADWALL_CODEX_1.22/fiches/DW-0146.md</x:v>
      </x:c>
      <x:c r="K151" t="str">
        <x:v>Source min 28,20 m ; max 160,110 m ; modèle 28 × 20 m ; niveaux 0. Détails dans catalogue-existant.json.</x:v>
      </x:c>
    </x:row>
    <x:row r="152">
      <x:c r="A152" t="str">
        <x:v>DW-0147</x:v>
      </x:c>
      <x:c r="B152" t="str">
        <x:v>DW-0147</x:v>
      </x:c>
      <x:c r="C152" t="str">
        <x:v>Parent historique</x:v>
      </x:c>
      <x:c r="D152" t="str">
        <x:v>Éducation et connaissance</x:v>
      </x:c>
      <x:c r="E152" t="str">
        <x:v>École d'art</x:v>
      </x:c>
      <x:c r="F152" t="n">
        <x:v>8</x:v>
      </x:c>
      <x:c r="G152" t="n">
        <x:v>4</x:v>
      </x:c>
      <x:c r="H152" t="n">
        <x:v>12</x:v>
      </x:c>
      <x:c r="I152" t="str">
        <x:v>À qualifier par lieu</x:v>
      </x:c>
      <x:c r="J152" t="str">
        <x:v>https://github.com/darknigthmare/deadwall-last-enclosure/blob/1b3b9c5ba232734b1bda3453b4e20a0481bcdd74/codex-3000/originaux/DEADWALL_CODEX_1.22/fiches/DW-0147.md</x:v>
      </x:c>
      <x:c r="K152" t="str">
        <x:v>Source min 28,20 m ; max 160,110 m ; modèle 28 × 20 m ; niveaux 0. Détails dans catalogue-existant.json.</x:v>
      </x:c>
    </x:row>
    <x:row r="153">
      <x:c r="A153" t="str">
        <x:v>DW-0148</x:v>
      </x:c>
      <x:c r="B153" t="str">
        <x:v>DW-0148</x:v>
      </x:c>
      <x:c r="C153" t="str">
        <x:v>Parent historique</x:v>
      </x:c>
      <x:c r="D153" t="str">
        <x:v>Éducation et connaissance</x:v>
      </x:c>
      <x:c r="E153" t="str">
        <x:v>Conservatoire</x:v>
      </x:c>
      <x:c r="F153" t="n">
        <x:v>8</x:v>
      </x:c>
      <x:c r="G153" t="n">
        <x:v>4</x:v>
      </x:c>
      <x:c r="H153" t="n">
        <x:v>12</x:v>
      </x:c>
      <x:c r="I153" t="str">
        <x:v>À qualifier par lieu</x:v>
      </x:c>
      <x:c r="J153" t="str">
        <x:v>https://github.com/darknigthmare/deadwall-last-enclosure/blob/1b3b9c5ba232734b1bda3453b4e20a0481bcdd74/codex-3000/originaux/DEADWALL_CODEX_1.22/fiches/DW-0148.md</x:v>
      </x:c>
      <x:c r="K153" t="str">
        <x:v>Source min 28,20 m ; max 160,110 m ; modèle 28 × 20 m ; niveaux 0. Détails dans catalogue-existant.json.</x:v>
      </x:c>
    </x:row>
    <x:row r="154">
      <x:c r="A154" t="str">
        <x:v>DW-0149</x:v>
      </x:c>
      <x:c r="B154" t="str">
        <x:v>DW-0149</x:v>
      </x:c>
      <x:c r="C154" t="str">
        <x:v>Parent historique</x:v>
      </x:c>
      <x:c r="D154" t="str">
        <x:v>Éducation et connaissance</x:v>
      </x:c>
      <x:c r="E154" t="str">
        <x:v>École de danse</x:v>
      </x:c>
      <x:c r="F154" t="n">
        <x:v>8</x:v>
      </x:c>
      <x:c r="G154" t="n">
        <x:v>4</x:v>
      </x:c>
      <x:c r="H154" t="n">
        <x:v>12</x:v>
      </x:c>
      <x:c r="I154" t="str">
        <x:v>À qualifier par lieu</x:v>
      </x:c>
      <x:c r="J154" t="str">
        <x:v>https://github.com/darknigthmare/deadwall-last-enclosure/blob/1b3b9c5ba232734b1bda3453b4e20a0481bcdd74/codex-3000/originaux/DEADWALL_CODEX_1.22/fiches/DW-0149.md</x:v>
      </x:c>
      <x:c r="K154" t="str">
        <x:v>Source min 28,20 m ; max 160,110 m ; modèle 28 × 20 m ; niveaux 0. Détails dans catalogue-existant.json.</x:v>
      </x:c>
    </x:row>
    <x:row r="155">
      <x:c r="A155" t="str">
        <x:v>DW-0150</x:v>
      </x:c>
      <x:c r="B155" t="str">
        <x:v>DW-0150</x:v>
      </x:c>
      <x:c r="C155" t="str">
        <x:v>Parent historique</x:v>
      </x:c>
      <x:c r="D155" t="str">
        <x:v>Éducation et connaissance</x:v>
      </x:c>
      <x:c r="E155" t="str">
        <x:v>École de cuisine</x:v>
      </x:c>
      <x:c r="F155" t="n">
        <x:v>8</x:v>
      </x:c>
      <x:c r="G155" t="n">
        <x:v>4</x:v>
      </x:c>
      <x:c r="H155" t="n">
        <x:v>12</x:v>
      </x:c>
      <x:c r="I155" t="str">
        <x:v>À qualifier par lieu</x:v>
      </x:c>
      <x:c r="J155" t="str">
        <x:v>https://github.com/darknigthmare/deadwall-last-enclosure/blob/1b3b9c5ba232734b1bda3453b4e20a0481bcdd74/codex-3000/originaux/DEADWALL_CODEX_1.22/fiches/DW-0150.md</x:v>
      </x:c>
      <x:c r="K155" t="str">
        <x:v>Source min 28,20 m ; max 160,110 m ; modèle 28 × 20 m ; niveaux 0. Détails dans catalogue-existant.json.</x:v>
      </x:c>
    </x:row>
    <x:row r="156">
      <x:c r="A156" t="str">
        <x:v>DW-0151</x:v>
      </x:c>
      <x:c r="B156" t="str">
        <x:v>DW-0151</x:v>
      </x:c>
      <x:c r="C156" t="str">
        <x:v>Parent historique</x:v>
      </x:c>
      <x:c r="D156" t="str">
        <x:v>Éducation et connaissance</x:v>
      </x:c>
      <x:c r="E156" t="str">
        <x:v>Centre d'apprentissage mécanique</x:v>
      </x:c>
      <x:c r="F156" t="n">
        <x:v>8</x:v>
      </x:c>
      <x:c r="G156" t="n">
        <x:v>4</x:v>
      </x:c>
      <x:c r="H156" t="n">
        <x:v>12</x:v>
      </x:c>
      <x:c r="I156" t="str">
        <x:v>À qualifier par lieu</x:v>
      </x:c>
      <x:c r="J156" t="str">
        <x:v>https://github.com/darknigthmare/deadwall-last-enclosure/blob/1b3b9c5ba232734b1bda3453b4e20a0481bcdd74/codex-3000/originaux/DEADWALL_CODEX_1.22/fiches/DW-0151.md</x:v>
      </x:c>
      <x:c r="K156" t="str">
        <x:v>Source min 28,20 m ; max 160,110 m ; modèle 28 × 20 m ; niveaux 0. Détails dans catalogue-existant.json.</x:v>
      </x:c>
    </x:row>
    <x:row r="157">
      <x:c r="A157" t="str">
        <x:v>DW-0152</x:v>
      </x:c>
      <x:c r="B157" t="str">
        <x:v>DW-0152</x:v>
      </x:c>
      <x:c r="C157" t="str">
        <x:v>Parent historique</x:v>
      </x:c>
      <x:c r="D157" t="str">
        <x:v>Éducation et connaissance</x:v>
      </x:c>
      <x:c r="E157" t="str">
        <x:v>Centre de formation agricole</x:v>
      </x:c>
      <x:c r="F157" t="n">
        <x:v>8</x:v>
      </x:c>
      <x:c r="G157" t="n">
        <x:v>4</x:v>
      </x:c>
      <x:c r="H157" t="n">
        <x:v>12</x:v>
      </x:c>
      <x:c r="I157" t="str">
        <x:v>À qualifier par lieu</x:v>
      </x:c>
      <x:c r="J157" t="str">
        <x:v>https://github.com/darknigthmare/deadwall-last-enclosure/blob/1b3b9c5ba232734b1bda3453b4e20a0481bcdd74/codex-3000/originaux/DEADWALL_CODEX_1.22/fiches/DW-0152.md</x:v>
      </x:c>
      <x:c r="K157" t="str">
        <x:v>Source min 28,20 m ; max 160,110 m ; modèle 28 × 20 m ; niveaux 0. Détails dans catalogue-existant.json.</x:v>
      </x:c>
    </x:row>
    <x:row r="158">
      <x:c r="A158" t="str">
        <x:v>DW-0153</x:v>
      </x:c>
      <x:c r="B158" t="str">
        <x:v>DW-0153</x:v>
      </x:c>
      <x:c r="C158" t="str">
        <x:v>Parent historique</x:v>
      </x:c>
      <x:c r="D158" t="str">
        <x:v>Éducation et connaissance</x:v>
      </x:c>
      <x:c r="E158" t="str">
        <x:v>Bibliothèque municipale</x:v>
      </x:c>
      <x:c r="F158" t="n">
        <x:v>8</x:v>
      </x:c>
      <x:c r="G158" t="n">
        <x:v>4</x:v>
      </x:c>
      <x:c r="H158" t="n">
        <x:v>12</x:v>
      </x:c>
      <x:c r="I158" t="str">
        <x:v>À qualifier par lieu</x:v>
      </x:c>
      <x:c r="J158" t="str">
        <x:v>https://github.com/darknigthmare/deadwall-last-enclosure/blob/1b3b9c5ba232734b1bda3453b4e20a0481bcdd74/codex-3000/originaux/DEADWALL_CODEX_1.22/fiches/DW-0153.md</x:v>
      </x:c>
      <x:c r="K158" t="str">
        <x:v>Source min 28,20 m ; max 160,110 m ; modèle 28 × 20 m ; niveaux 0, 1. Détails dans catalogue-existant.json.</x:v>
      </x:c>
    </x:row>
    <x:row r="159">
      <x:c r="A159" t="str">
        <x:v>DW-0154</x:v>
      </x:c>
      <x:c r="B159" t="str">
        <x:v>DW-0154</x:v>
      </x:c>
      <x:c r="C159" t="str">
        <x:v>Parent historique</x:v>
      </x:c>
      <x:c r="D159" t="str">
        <x:v>Éducation et connaissance</x:v>
      </x:c>
      <x:c r="E159" t="str">
        <x:v>Médiathèque</x:v>
      </x:c>
      <x:c r="F159" t="n">
        <x:v>8</x:v>
      </x:c>
      <x:c r="G159" t="n">
        <x:v>4</x:v>
      </x:c>
      <x:c r="H159" t="n">
        <x:v>12</x:v>
      </x:c>
      <x:c r="I159" t="str">
        <x:v>À qualifier par lieu</x:v>
      </x:c>
      <x:c r="J159" t="str">
        <x:v>https://github.com/darknigthmare/deadwall-last-enclosure/blob/1b3b9c5ba232734b1bda3453b4e20a0481bcdd74/codex-3000/originaux/DEADWALL_CODEX_1.22/fiches/DW-0154.md</x:v>
      </x:c>
      <x:c r="K159" t="str">
        <x:v>Source min 28,20 m ; max 160,110 m ; modèle 28 × 20 m ; niveaux 0. Détails dans catalogue-existant.json.</x:v>
      </x:c>
    </x:row>
    <x:row r="160">
      <x:c r="A160" t="str">
        <x:v>DW-0155</x:v>
      </x:c>
      <x:c r="B160" t="str">
        <x:v>DW-0155</x:v>
      </x:c>
      <x:c r="C160" t="str">
        <x:v>Parent historique</x:v>
      </x:c>
      <x:c r="D160" t="str">
        <x:v>Éducation et connaissance</x:v>
      </x:c>
      <x:c r="E160" t="str">
        <x:v>Centre de recherche</x:v>
      </x:c>
      <x:c r="F160" t="n">
        <x:v>8</x:v>
      </x:c>
      <x:c r="G160" t="n">
        <x:v>4</x:v>
      </x:c>
      <x:c r="H160" t="n">
        <x:v>12</x:v>
      </x:c>
      <x:c r="I160" t="str">
        <x:v>À qualifier par lieu</x:v>
      </x:c>
      <x:c r="J160" t="str">
        <x:v>https://github.com/darknigthmare/deadwall-last-enclosure/blob/1b3b9c5ba232734b1bda3453b4e20a0481bcdd74/codex-3000/originaux/DEADWALL_CODEX_1.22/fiches/DW-0155.md</x:v>
      </x:c>
      <x:c r="K160" t="str">
        <x:v>Source min 28,20 m ; max 160,110 m ; modèle 28 × 20 m ; niveaux 0. Détails dans catalogue-existant.json.</x:v>
      </x:c>
    </x:row>
    <x:row r="161">
      <x:c r="A161" t="str">
        <x:v>DW-0156</x:v>
      </x:c>
      <x:c r="B161" t="str">
        <x:v>DW-0156</x:v>
      </x:c>
      <x:c r="C161" t="str">
        <x:v>Parent historique</x:v>
      </x:c>
      <x:c r="D161" t="str">
        <x:v>Éducation et connaissance</x:v>
      </x:c>
      <x:c r="E161" t="str">
        <x:v>Observatoire pédagogique</x:v>
      </x:c>
      <x:c r="F161" t="n">
        <x:v>8</x:v>
      </x:c>
      <x:c r="G161" t="n">
        <x:v>4</x:v>
      </x:c>
      <x:c r="H161" t="n">
        <x:v>12</x:v>
      </x:c>
      <x:c r="I161" t="str">
        <x:v>À qualifier par lieu</x:v>
      </x:c>
      <x:c r="J161" t="str">
        <x:v>https://github.com/darknigthmare/deadwall-last-enclosure/blob/1b3b9c5ba232734b1bda3453b4e20a0481bcdd74/codex-3000/originaux/DEADWALL_CODEX_1.22/fiches/DW-0156.md</x:v>
      </x:c>
      <x:c r="K161" t="str">
        <x:v>Source min 28,20 m ; max 160,110 m ; modèle 28 × 20 m ; niveaux 0. Détails dans catalogue-existant.json.</x:v>
      </x:c>
    </x:row>
    <x:row r="162">
      <x:c r="A162" t="str">
        <x:v>DW-0157</x:v>
      </x:c>
      <x:c r="B162" t="str">
        <x:v>DW-0157</x:v>
      </x:c>
      <x:c r="C162" t="str">
        <x:v>Parent historique</x:v>
      </x:c>
      <x:c r="D162" t="str">
        <x:v>Éducation et connaissance</x:v>
      </x:c>
      <x:c r="E162" t="str">
        <x:v>Planétarium</x:v>
      </x:c>
      <x:c r="F162" t="n">
        <x:v>8</x:v>
      </x:c>
      <x:c r="G162" t="n">
        <x:v>4</x:v>
      </x:c>
      <x:c r="H162" t="n">
        <x:v>12</x:v>
      </x:c>
      <x:c r="I162" t="str">
        <x:v>À qualifier par lieu</x:v>
      </x:c>
      <x:c r="J162" t="str">
        <x:v>https://github.com/darknigthmare/deadwall-last-enclosure/blob/1b3b9c5ba232734b1bda3453b4e20a0481bcdd74/codex-3000/originaux/DEADWALL_CODEX_1.22/fiches/DW-0157.md</x:v>
      </x:c>
      <x:c r="K162" t="str">
        <x:v>Source min 28,20 m ; max 160,110 m ; modèle 28 × 20 m ; niveaux 0. Détails dans catalogue-existant.json.</x:v>
      </x:c>
    </x:row>
    <x:row r="163">
      <x:c r="A163" t="str">
        <x:v>DW-0158</x:v>
      </x:c>
      <x:c r="B163" t="str">
        <x:v>DW-0158</x:v>
      </x:c>
      <x:c r="C163" t="str">
        <x:v>Parent historique</x:v>
      </x:c>
      <x:c r="D163" t="str">
        <x:v>Éducation et connaissance</x:v>
      </x:c>
      <x:c r="E163" t="str">
        <x:v>Archives universitaires</x:v>
      </x:c>
      <x:c r="F163" t="n">
        <x:v>8</x:v>
      </x:c>
      <x:c r="G163" t="n">
        <x:v>4</x:v>
      </x:c>
      <x:c r="H163" t="n">
        <x:v>12</x:v>
      </x:c>
      <x:c r="I163" t="str">
        <x:v>À qualifier par lieu</x:v>
      </x:c>
      <x:c r="J163" t="str">
        <x:v>https://github.com/darknigthmare/deadwall-last-enclosure/blob/1b3b9c5ba232734b1bda3453b4e20a0481bcdd74/codex-3000/originaux/DEADWALL_CODEX_1.22/fiches/DW-0158.md</x:v>
      </x:c>
      <x:c r="K163" t="str">
        <x:v>Source min 28,20 m ; max 160,110 m ; modèle 28 × 20 m ; niveaux 0. Détails dans catalogue-existant.json.</x:v>
      </x:c>
    </x:row>
    <x:row r="164">
      <x:c r="A164" t="str">
        <x:v>DW-0159</x:v>
      </x:c>
      <x:c r="B164" t="str">
        <x:v>DW-0159</x:v>
      </x:c>
      <x:c r="C164" t="str">
        <x:v>Parent historique</x:v>
      </x:c>
      <x:c r="D164" t="str">
        <x:v>Éducation et connaissance</x:v>
      </x:c>
      <x:c r="E164" t="str">
        <x:v>Centre aéré</x:v>
      </x:c>
      <x:c r="F164" t="n">
        <x:v>8</x:v>
      </x:c>
      <x:c r="G164" t="n">
        <x:v>4</x:v>
      </x:c>
      <x:c r="H164" t="n">
        <x:v>12</x:v>
      </x:c>
      <x:c r="I164" t="str">
        <x:v>À qualifier par lieu</x:v>
      </x:c>
      <x:c r="J164" t="str">
        <x:v>https://github.com/darknigthmare/deadwall-last-enclosure/blob/1b3b9c5ba232734b1bda3453b4e20a0481bcdd74/codex-3000/originaux/DEADWALL_CODEX_1.22/fiches/DW-0159.md</x:v>
      </x:c>
      <x:c r="K164" t="str">
        <x:v>Source min 28,20 m ; max 160,110 m ; modèle 28 × 20 m ; niveaux 0. Détails dans catalogue-existant.json.</x:v>
      </x:c>
    </x:row>
    <x:row r="165">
      <x:c r="A165" t="str">
        <x:v>DW-0160</x:v>
      </x:c>
      <x:c r="B165" t="str">
        <x:v>DW-0160</x:v>
      </x:c>
      <x:c r="C165" t="str">
        <x:v>Parent historique</x:v>
      </x:c>
      <x:c r="D165" t="str">
        <x:v>Éducation et connaissance</x:v>
      </x:c>
      <x:c r="E165" t="str">
        <x:v>École réutilisée par une association</x:v>
      </x:c>
      <x:c r="F165" t="n">
        <x:v>8</x:v>
      </x:c>
      <x:c r="G165" t="n">
        <x:v>4</x:v>
      </x:c>
      <x:c r="H165" t="n">
        <x:v>12</x:v>
      </x:c>
      <x:c r="I165" t="str">
        <x:v>À qualifier par lieu</x:v>
      </x:c>
      <x:c r="J165" t="str">
        <x:v>https://github.com/darknigthmare/deadwall-last-enclosure/blob/1b3b9c5ba232734b1bda3453b4e20a0481bcdd74/codex-3000/originaux/DEADWALL_CODEX_1.22/fiches/DW-0160.md</x:v>
      </x:c>
      <x:c r="K165" t="str">
        <x:v>Source min 28,20 m ; max 160,110 m ; modèle 28 × 20 m ; niveaux 0. Détails dans catalogue-existant.json.</x:v>
      </x:c>
    </x:row>
    <x:row r="166">
      <x:c r="A166" t="str">
        <x:v>DW-0161</x:v>
      </x:c>
      <x:c r="B166" t="str">
        <x:v>DW-0161</x:v>
      </x:c>
      <x:c r="C166" t="str">
        <x:v>Parent historique</x:v>
      </x:c>
      <x:c r="D166" t="str">
        <x:v>Administration et communauté</x:v>
      </x:c>
      <x:c r="E166" t="str">
        <x:v>Mairie</x:v>
      </x:c>
      <x:c r="F166" t="n">
        <x:v>8</x:v>
      </x:c>
      <x:c r="G166" t="n">
        <x:v>4</x:v>
      </x:c>
      <x:c r="H166" t="n">
        <x:v>12</x:v>
      </x:c>
      <x:c r="I166" t="str">
        <x:v>À qualifier par lieu</x:v>
      </x:c>
      <x:c r="J166" t="str">
        <x:v>https://github.com/darknigthmare/deadwall-last-enclosure/blob/1b3b9c5ba232734b1bda3453b4e20a0481bcdd74/codex-3000/originaux/DEADWALL_CODEX_1.22/fiches/DW-0161.md</x:v>
      </x:c>
      <x:c r="K166" t="str">
        <x:v>Source min 25,20 m ; max 120,80 m ; modèle 25 × 20 m ; niveaux 0, 1. Détails dans catalogue-existant.json.</x:v>
      </x:c>
    </x:row>
    <x:row r="167">
      <x:c r="A167" t="str">
        <x:v>DW-0162</x:v>
      </x:c>
      <x:c r="B167" t="str">
        <x:v>DW-0162</x:v>
      </x:c>
      <x:c r="C167" t="str">
        <x:v>Parent historique</x:v>
      </x:c>
      <x:c r="D167" t="str">
        <x:v>Administration et communauté</x:v>
      </x:c>
      <x:c r="E167" t="str">
        <x:v>Hôtel de ville métropolitain</x:v>
      </x:c>
      <x:c r="F167" t="n">
        <x:v>8</x:v>
      </x:c>
      <x:c r="G167" t="n">
        <x:v>4</x:v>
      </x:c>
      <x:c r="H167" t="n">
        <x:v>12</x:v>
      </x:c>
      <x:c r="I167" t="str">
        <x:v>À qualifier par lieu</x:v>
      </x:c>
      <x:c r="J167" t="str">
        <x:v>https://github.com/darknigthmare/deadwall-last-enclosure/blob/1b3b9c5ba232734b1bda3453b4e20a0481bcdd74/codex-3000/originaux/DEADWALL_CODEX_1.22/fiches/DW-0162.md</x:v>
      </x:c>
      <x:c r="K167" t="str">
        <x:v>Source min 25,20 m ; max 120,80 m ; modèle 25 × 20 m ; niveaux 0, 1, 2. Détails dans catalogue-existant.json.</x:v>
      </x:c>
    </x:row>
    <x:row r="168">
      <x:c r="A168" t="str">
        <x:v>DW-0163</x:v>
      </x:c>
      <x:c r="B168" t="str">
        <x:v>DW-0163</x:v>
      </x:c>
      <x:c r="C168" t="str">
        <x:v>Parent historique</x:v>
      </x:c>
      <x:c r="D168" t="str">
        <x:v>Administration et communauté</x:v>
      </x:c>
      <x:c r="E168" t="str">
        <x:v>Annexe administrative</x:v>
      </x:c>
      <x:c r="F168" t="n">
        <x:v>8</x:v>
      </x:c>
      <x:c r="G168" t="n">
        <x:v>4</x:v>
      </x:c>
      <x:c r="H168" t="n">
        <x:v>12</x:v>
      </x:c>
      <x:c r="I168" t="str">
        <x:v>À qualifier par lieu</x:v>
      </x:c>
      <x:c r="J168" t="str">
        <x:v>https://github.com/darknigthmare/deadwall-last-enclosure/blob/1b3b9c5ba232734b1bda3453b4e20a0481bcdd74/codex-3000/originaux/DEADWALL_CODEX_1.22/fiches/DW-0163.md</x:v>
      </x:c>
      <x:c r="K168" t="str">
        <x:v>Source min 25,20 m ; max 120,80 m ; modèle 25 × 20 m ; niveaux 0. Détails dans catalogue-existant.json.</x:v>
      </x:c>
    </x:row>
    <x:row r="169">
      <x:c r="A169" t="str">
        <x:v>DW-0164</x:v>
      </x:c>
      <x:c r="B169" t="str">
        <x:v>DW-0164</x:v>
      </x:c>
      <x:c r="C169" t="str">
        <x:v>Parent historique</x:v>
      </x:c>
      <x:c r="D169" t="str">
        <x:v>Administration et communauté</x:v>
      </x:c>
      <x:c r="E169" t="str">
        <x:v>Tribunal</x:v>
      </x:c>
      <x:c r="F169" t="n">
        <x:v>8</x:v>
      </x:c>
      <x:c r="G169" t="n">
        <x:v>4</x:v>
      </x:c>
      <x:c r="H169" t="n">
        <x:v>12</x:v>
      </x:c>
      <x:c r="I169" t="str">
        <x:v>À qualifier par lieu</x:v>
      </x:c>
      <x:c r="J169" t="str">
        <x:v>https://github.com/darknigthmare/deadwall-last-enclosure/blob/1b3b9c5ba232734b1bda3453b4e20a0481bcdd74/codex-3000/originaux/DEADWALL_CODEX_1.22/fiches/DW-0164.md</x:v>
      </x:c>
      <x:c r="K169" t="str">
        <x:v>Source min 25,20 m ; max 120,80 m ; modèle 25 × 20 m ; niveaux 0. Détails dans catalogue-existant.json.</x:v>
      </x:c>
    </x:row>
    <x:row r="170">
      <x:c r="A170" t="str">
        <x:v>DW-0165</x:v>
      </x:c>
      <x:c r="B170" t="str">
        <x:v>DW-0165</x:v>
      </x:c>
      <x:c r="C170" t="str">
        <x:v>Parent historique</x:v>
      </x:c>
      <x:c r="D170" t="str">
        <x:v>Administration et communauté</x:v>
      </x:c>
      <x:c r="E170" t="str">
        <x:v>Maison de justice</x:v>
      </x:c>
      <x:c r="F170" t="n">
        <x:v>8</x:v>
      </x:c>
      <x:c r="G170" t="n">
        <x:v>4</x:v>
      </x:c>
      <x:c r="H170" t="n">
        <x:v>12</x:v>
      </x:c>
      <x:c r="I170" t="str">
        <x:v>À qualifier par lieu</x:v>
      </x:c>
      <x:c r="J170" t="str">
        <x:v>https://github.com/darknigthmare/deadwall-last-enclosure/blob/1b3b9c5ba232734b1bda3453b4e20a0481bcdd74/codex-3000/originaux/DEADWALL_CODEX_1.22/fiches/DW-0165.md</x:v>
      </x:c>
      <x:c r="K170" t="str">
        <x:v>Source min 25,20 m ; max 120,80 m ; modèle 25 × 20 m ; niveaux 0. Détails dans catalogue-existant.json.</x:v>
      </x:c>
    </x:row>
    <x:row r="171">
      <x:c r="A171" t="str">
        <x:v>DW-0166</x:v>
      </x:c>
      <x:c r="B171" t="str">
        <x:v>DW-0166</x:v>
      </x:c>
      <x:c r="C171" t="str">
        <x:v>Parent historique</x:v>
      </x:c>
      <x:c r="D171" t="str">
        <x:v>Administration et communauté</x:v>
      </x:c>
      <x:c r="E171" t="str">
        <x:v>Centre fiscal</x:v>
      </x:c>
      <x:c r="F171" t="n">
        <x:v>8</x:v>
      </x:c>
      <x:c r="G171" t="n">
        <x:v>4</x:v>
      </x:c>
      <x:c r="H171" t="n">
        <x:v>12</x:v>
      </x:c>
      <x:c r="I171" t="str">
        <x:v>À qualifier par lieu</x:v>
      </x:c>
      <x:c r="J171" t="str">
        <x:v>https://github.com/darknigthmare/deadwall-last-enclosure/blob/1b3b9c5ba232734b1bda3453b4e20a0481bcdd74/codex-3000/originaux/DEADWALL_CODEX_1.22/fiches/DW-0166.md</x:v>
      </x:c>
      <x:c r="K171" t="str">
        <x:v>Source min 25,20 m ; max 120,80 m ; modèle 25 × 20 m ; niveaux 0. Détails dans catalogue-existant.json.</x:v>
      </x:c>
    </x:row>
    <x:row r="172">
      <x:c r="A172" t="str">
        <x:v>DW-0167</x:v>
      </x:c>
      <x:c r="B172" t="str">
        <x:v>DW-0167</x:v>
      </x:c>
      <x:c r="C172" t="str">
        <x:v>Parent historique</x:v>
      </x:c>
      <x:c r="D172" t="str">
        <x:v>Administration et communauté</x:v>
      </x:c>
      <x:c r="E172" t="str">
        <x:v>Maison associative</x:v>
      </x:c>
      <x:c r="F172" t="n">
        <x:v>8</x:v>
      </x:c>
      <x:c r="G172" t="n">
        <x:v>4</x:v>
      </x:c>
      <x:c r="H172" t="n">
        <x:v>12</x:v>
      </x:c>
      <x:c r="I172" t="str">
        <x:v>À qualifier par lieu</x:v>
      </x:c>
      <x:c r="J172" t="str">
        <x:v>https://github.com/darknigthmare/deadwall-last-enclosure/blob/1b3b9c5ba232734b1bda3453b4e20a0481bcdd74/codex-3000/originaux/DEADWALL_CODEX_1.22/fiches/DW-0167.md</x:v>
      </x:c>
      <x:c r="K172" t="str">
        <x:v>Source min 25,20 m ; max 120,80 m ; modèle 25 × 20 m ; niveaux 0. Détails dans catalogue-existant.json.</x:v>
      </x:c>
    </x:row>
    <x:row r="173">
      <x:c r="A173" t="str">
        <x:v>DW-0168</x:v>
      </x:c>
      <x:c r="B173" t="str">
        <x:v>DW-0168</x:v>
      </x:c>
      <x:c r="C173" t="str">
        <x:v>Parent historique</x:v>
      </x:c>
      <x:c r="D173" t="str">
        <x:v>Administration et communauté</x:v>
      </x:c>
      <x:c r="E173" t="str">
        <x:v>Salle des fêtes</x:v>
      </x:c>
      <x:c r="F173" t="n">
        <x:v>8</x:v>
      </x:c>
      <x:c r="G173" t="n">
        <x:v>4</x:v>
      </x:c>
      <x:c r="H173" t="n">
        <x:v>12</x:v>
      </x:c>
      <x:c r="I173" t="str">
        <x:v>À qualifier par lieu</x:v>
      </x:c>
      <x:c r="J173" t="str">
        <x:v>https://github.com/darknigthmare/deadwall-last-enclosure/blob/1b3b9c5ba232734b1bda3453b4e20a0481bcdd74/codex-3000/originaux/DEADWALL_CODEX_1.22/fiches/DW-0168.md</x:v>
      </x:c>
      <x:c r="K173" t="str">
        <x:v>Source min 25,20 m ; max 120,80 m ; modèle 25 × 20 m ; niveaux 0. Détails dans catalogue-existant.json.</x:v>
      </x:c>
    </x:row>
    <x:row r="174">
      <x:c r="A174" t="str">
        <x:v>DW-0169</x:v>
      </x:c>
      <x:c r="B174" t="str">
        <x:v>DW-0169</x:v>
      </x:c>
      <x:c r="C174" t="str">
        <x:v>Parent historique</x:v>
      </x:c>
      <x:c r="D174" t="str">
        <x:v>Administration et communauté</x:v>
      </x:c>
      <x:c r="E174" t="str">
        <x:v>Centre social</x:v>
      </x:c>
      <x:c r="F174" t="n">
        <x:v>8</x:v>
      </x:c>
      <x:c r="G174" t="n">
        <x:v>4</x:v>
      </x:c>
      <x:c r="H174" t="n">
        <x:v>12</x:v>
      </x:c>
      <x:c r="I174" t="str">
        <x:v>À qualifier par lieu</x:v>
      </x:c>
      <x:c r="J174" t="str">
        <x:v>https://github.com/darknigthmare/deadwall-last-enclosure/blob/1b3b9c5ba232734b1bda3453b4e20a0481bcdd74/codex-3000/originaux/DEADWALL_CODEX_1.22/fiches/DW-0169.md</x:v>
      </x:c>
      <x:c r="K174" t="str">
        <x:v>Source min 25,20 m ; max 120,80 m ; modèle 25 × 20 m ; niveaux 0. Détails dans catalogue-existant.json.</x:v>
      </x:c>
    </x:row>
    <x:row r="175">
      <x:c r="A175" t="str">
        <x:v>DW-0170</x:v>
      </x:c>
      <x:c r="B175" t="str">
        <x:v>DW-0170</x:v>
      </x:c>
      <x:c r="C175" t="str">
        <x:v>Parent historique</x:v>
      </x:c>
      <x:c r="D175" t="str">
        <x:v>Administration et communauté</x:v>
      </x:c>
      <x:c r="E175" t="str">
        <x:v>Office du tourisme</x:v>
      </x:c>
      <x:c r="F175" t="n">
        <x:v>8</x:v>
      </x:c>
      <x:c r="G175" t="n">
        <x:v>4</x:v>
      </x:c>
      <x:c r="H175" t="n">
        <x:v>12</x:v>
      </x:c>
      <x:c r="I175" t="str">
        <x:v>À qualifier par lieu</x:v>
      </x:c>
      <x:c r="J175" t="str">
        <x:v>https://github.com/darknigthmare/deadwall-last-enclosure/blob/1b3b9c5ba232734b1bda3453b4e20a0481bcdd74/codex-3000/originaux/DEADWALL_CODEX_1.22/fiches/DW-0170.md</x:v>
      </x:c>
      <x:c r="K175" t="str">
        <x:v>Source min 25,20 m ; max 120,80 m ; modèle 25 × 20 m ; niveaux 0. Détails dans catalogue-existant.json.</x:v>
      </x:c>
    </x:row>
    <x:row r="176">
      <x:c r="A176" t="str">
        <x:v>DW-0171</x:v>
      </x:c>
      <x:c r="B176" t="str">
        <x:v>DW-0171</x:v>
      </x:c>
      <x:c r="C176" t="str">
        <x:v>Parent historique</x:v>
      </x:c>
      <x:c r="D176" t="str">
        <x:v>Administration et communauté</x:v>
      </x:c>
      <x:c r="E176" t="str">
        <x:v>Bourse du travail</x:v>
      </x:c>
      <x:c r="F176" t="n">
        <x:v>8</x:v>
      </x:c>
      <x:c r="G176" t="n">
        <x:v>4</x:v>
      </x:c>
      <x:c r="H176" t="n">
        <x:v>12</x:v>
      </x:c>
      <x:c r="I176" t="str">
        <x:v>À qualifier par lieu</x:v>
      </x:c>
      <x:c r="J176" t="str">
        <x:v>https://github.com/darknigthmare/deadwall-last-enclosure/blob/1b3b9c5ba232734b1bda3453b4e20a0481bcdd74/codex-3000/originaux/DEADWALL_CODEX_1.22/fiches/DW-0171.md</x:v>
      </x:c>
      <x:c r="K176" t="str">
        <x:v>Source min 25,20 m ; max 120,80 m ; modèle 25 × 20 m ; niveaux 0. Détails dans catalogue-existant.json.</x:v>
      </x:c>
    </x:row>
    <x:row r="177">
      <x:c r="A177" t="str">
        <x:v>DW-0172</x:v>
      </x:c>
      <x:c r="B177" t="str">
        <x:v>DW-0172</x:v>
      </x:c>
      <x:c r="C177" t="str">
        <x:v>Parent historique</x:v>
      </x:c>
      <x:c r="D177" t="str">
        <x:v>Administration et communauté</x:v>
      </x:c>
      <x:c r="E177" t="str">
        <x:v>Maison de quartier</x:v>
      </x:c>
      <x:c r="F177" t="n">
        <x:v>8</x:v>
      </x:c>
      <x:c r="G177" t="n">
        <x:v>4</x:v>
      </x:c>
      <x:c r="H177" t="n">
        <x:v>12</x:v>
      </x:c>
      <x:c r="I177" t="str">
        <x:v>À qualifier par lieu</x:v>
      </x:c>
      <x:c r="J177" t="str">
        <x:v>https://github.com/darknigthmare/deadwall-last-enclosure/blob/1b3b9c5ba232734b1bda3453b4e20a0481bcdd74/codex-3000/originaux/DEADWALL_CODEX_1.22/fiches/DW-0172.md</x:v>
      </x:c>
      <x:c r="K177" t="str">
        <x:v>Source min 25,20 m ; max 120,80 m ; modèle 25 × 20 m ; niveaux 0. Détails dans catalogue-existant.json.</x:v>
      </x:c>
    </x:row>
    <x:row r="178">
      <x:c r="A178" t="str">
        <x:v>DW-0173</x:v>
      </x:c>
      <x:c r="B178" t="str">
        <x:v>DW-0173</x:v>
      </x:c>
      <x:c r="C178" t="str">
        <x:v>Parent historique</x:v>
      </x:c>
      <x:c r="D178" t="str">
        <x:v>Administration et communauté</x:v>
      </x:c>
      <x:c r="E178" t="str">
        <x:v>Dépôt de mobilier électoral</x:v>
      </x:c>
      <x:c r="F178" t="n">
        <x:v>8</x:v>
      </x:c>
      <x:c r="G178" t="n">
        <x:v>4</x:v>
      </x:c>
      <x:c r="H178" t="n">
        <x:v>12</x:v>
      </x:c>
      <x:c r="I178" t="str">
        <x:v>À qualifier par lieu</x:v>
      </x:c>
      <x:c r="J178" t="str">
        <x:v>https://github.com/darknigthmare/deadwall-last-enclosure/blob/1b3b9c5ba232734b1bda3453b4e20a0481bcdd74/codex-3000/originaux/DEADWALL_CODEX_1.22/fiches/DW-0173.md</x:v>
      </x:c>
      <x:c r="K178" t="str">
        <x:v>Source min 25,20 m ; max 120,80 m ; modèle 25 × 20 m ; niveaux 0. Détails dans catalogue-existant.json.</x:v>
      </x:c>
    </x:row>
    <x:row r="179">
      <x:c r="A179" t="str">
        <x:v>DW-0174</x:v>
      </x:c>
      <x:c r="B179" t="str">
        <x:v>DW-0174</x:v>
      </x:c>
      <x:c r="C179" t="str">
        <x:v>Parent historique</x:v>
      </x:c>
      <x:c r="D179" t="str">
        <x:v>Administration et communauté</x:v>
      </x:c>
      <x:c r="E179" t="str">
        <x:v>Atelier municipal</x:v>
      </x:c>
      <x:c r="F179" t="n">
        <x:v>8</x:v>
      </x:c>
      <x:c r="G179" t="n">
        <x:v>5</x:v>
      </x:c>
      <x:c r="H179" t="n">
        <x:v>15</x:v>
      </x:c>
      <x:c r="I179" t="str">
        <x:v>À qualifier par lieu</x:v>
      </x:c>
      <x:c r="J179" t="str">
        <x:v>https://github.com/darknigthmare/deadwall-last-enclosure/blob/1b3b9c5ba232734b1bda3453b4e20a0481bcdd74/codex-3000/originaux/DEADWALL_CODEX_1.22/fiches/DW-0174.md</x:v>
      </x:c>
      <x:c r="K179" t="str">
        <x:v>Source min 25,20 m ; max 120,80 m ; modèle 26 × 22 m ; niveaux 0. Détails dans catalogue-existant.json.</x:v>
      </x:c>
    </x:row>
    <x:row r="180">
      <x:c r="A180" t="str">
        <x:v>DW-0175</x:v>
      </x:c>
      <x:c r="B180" t="str">
        <x:v>DW-0175</x:v>
      </x:c>
      <x:c r="C180" t="str">
        <x:v>Parent historique</x:v>
      </x:c>
      <x:c r="D180" t="str">
        <x:v>Administration et communauté</x:v>
      </x:c>
      <x:c r="E180" t="str">
        <x:v>Dépôt de voirie</x:v>
      </x:c>
      <x:c r="F180" t="n">
        <x:v>8</x:v>
      </x:c>
      <x:c r="G180" t="n">
        <x:v>4</x:v>
      </x:c>
      <x:c r="H180" t="n">
        <x:v>12</x:v>
      </x:c>
      <x:c r="I180" t="str">
        <x:v>À qualifier par lieu</x:v>
      </x:c>
      <x:c r="J180" t="str">
        <x:v>https://github.com/darknigthmare/deadwall-last-enclosure/blob/1b3b9c5ba232734b1bda3453b4e20a0481bcdd74/codex-3000/originaux/DEADWALL_CODEX_1.22/fiches/DW-0175.md</x:v>
      </x:c>
      <x:c r="K180" t="str">
        <x:v>Source min 25,20 m ; max 120,80 m ; modèle 25 × 20 m ; niveaux 0. Détails dans catalogue-existant.json.</x:v>
      </x:c>
    </x:row>
    <x:row r="181">
      <x:c r="A181" t="str">
        <x:v>DW-0176</x:v>
      </x:c>
      <x:c r="B181" t="str">
        <x:v>DW-0176</x:v>
      </x:c>
      <x:c r="C181" t="str">
        <x:v>Parent historique</x:v>
      </x:c>
      <x:c r="D181" t="str">
        <x:v>Administration et communauté</x:v>
      </x:c>
      <x:c r="E181" t="str">
        <x:v>Maison du parc naturel</x:v>
      </x:c>
      <x:c r="F181" t="n">
        <x:v>8</x:v>
      </x:c>
      <x:c r="G181" t="n">
        <x:v>4</x:v>
      </x:c>
      <x:c r="H181" t="n">
        <x:v>12</x:v>
      </x:c>
      <x:c r="I181" t="str">
        <x:v>À qualifier par lieu</x:v>
      </x:c>
      <x:c r="J181" t="str">
        <x:v>https://github.com/darknigthmare/deadwall-last-enclosure/blob/1b3b9c5ba232734b1bda3453b4e20a0481bcdd74/codex-3000/originaux/DEADWALL_CODEX_1.22/fiches/DW-0176.md</x:v>
      </x:c>
      <x:c r="K181" t="str">
        <x:v>Source min 25,20 m ; max 120,80 m ; modèle 25 × 20 m ; niveaux 0. Détails dans catalogue-existant.json.</x:v>
      </x:c>
    </x:row>
    <x:row r="182">
      <x:c r="A182" t="str">
        <x:v>DW-0177</x:v>
      </x:c>
      <x:c r="B182" t="str">
        <x:v>DW-0177</x:v>
      </x:c>
      <x:c r="C182" t="str">
        <x:v>Parent historique</x:v>
      </x:c>
      <x:c r="D182" t="str">
        <x:v>Administration et communauté</x:v>
      </x:c>
      <x:c r="E182" t="str">
        <x:v>Centre d'information routière</x:v>
      </x:c>
      <x:c r="F182" t="n">
        <x:v>8</x:v>
      </x:c>
      <x:c r="G182" t="n">
        <x:v>4</x:v>
      </x:c>
      <x:c r="H182" t="n">
        <x:v>12</x:v>
      </x:c>
      <x:c r="I182" t="str">
        <x:v>À qualifier par lieu</x:v>
      </x:c>
      <x:c r="J182" t="str">
        <x:v>https://github.com/darknigthmare/deadwall-last-enclosure/blob/1b3b9c5ba232734b1bda3453b4e20a0481bcdd74/codex-3000/originaux/DEADWALL_CODEX_1.22/fiches/DW-0177.md</x:v>
      </x:c>
      <x:c r="K182" t="str">
        <x:v>Source min 25,20 m ; max 120,80 m ; modèle 25 × 20 m ; niveaux 0. Détails dans catalogue-existant.json.</x:v>
      </x:c>
    </x:row>
    <x:row r="183">
      <x:c r="A183" t="str">
        <x:v>DW-0178</x:v>
      </x:c>
      <x:c r="B183" t="str">
        <x:v>DW-0178</x:v>
      </x:c>
      <x:c r="C183" t="str">
        <x:v>Parent historique</x:v>
      </x:c>
      <x:c r="D183" t="str">
        <x:v>Administration et communauté</x:v>
      </x:c>
      <x:c r="E183" t="str">
        <x:v>Maison des archives</x:v>
      </x:c>
      <x:c r="F183" t="n">
        <x:v>8</x:v>
      </x:c>
      <x:c r="G183" t="n">
        <x:v>4</x:v>
      </x:c>
      <x:c r="H183" t="n">
        <x:v>12</x:v>
      </x:c>
      <x:c r="I183" t="str">
        <x:v>À qualifier par lieu</x:v>
      </x:c>
      <x:c r="J183" t="str">
        <x:v>https://github.com/darknigthmare/deadwall-last-enclosure/blob/1b3b9c5ba232734b1bda3453b4e20a0481bcdd74/codex-3000/originaux/DEADWALL_CODEX_1.22/fiches/DW-0178.md</x:v>
      </x:c>
      <x:c r="K183" t="str">
        <x:v>Source min 25,20 m ; max 120,80 m ; modèle 25 × 20 m ; niveaux 0. Détails dans catalogue-existant.json.</x:v>
      </x:c>
    </x:row>
    <x:row r="184">
      <x:c r="A184" t="str">
        <x:v>DW-0179</x:v>
      </x:c>
      <x:c r="B184" t="str">
        <x:v>DW-0179</x:v>
      </x:c>
      <x:c r="C184" t="str">
        <x:v>Parent historique</x:v>
      </x:c>
      <x:c r="D184" t="str">
        <x:v>Administration et communauté</x:v>
      </x:c>
      <x:c r="E184" t="str">
        <x:v>Église paroissiale</x:v>
      </x:c>
      <x:c r="F184" t="n">
        <x:v>8</x:v>
      </x:c>
      <x:c r="G184" t="n">
        <x:v>4</x:v>
      </x:c>
      <x:c r="H184" t="n">
        <x:v>12</x:v>
      </x:c>
      <x:c r="I184" t="str">
        <x:v>À qualifier par lieu</x:v>
      </x:c>
      <x:c r="J184" t="str">
        <x:v>https://github.com/darknigthmare/deadwall-last-enclosure/blob/1b3b9c5ba232734b1bda3453b4e20a0481bcdd74/codex-3000/originaux/DEADWALL_CODEX_1.22/fiches/DW-0179.md</x:v>
      </x:c>
      <x:c r="K184" t="str">
        <x:v>Source min 25,20 m ; max 120,80 m ; modèle 25 × 20 m ; niveaux 0. Détails dans catalogue-existant.json.</x:v>
      </x:c>
    </x:row>
    <x:row r="185">
      <x:c r="A185" t="str">
        <x:v>DW-0180</x:v>
      </x:c>
      <x:c r="B185" t="str">
        <x:v>DW-0180</x:v>
      </x:c>
      <x:c r="C185" t="str">
        <x:v>Parent historique</x:v>
      </x:c>
      <x:c r="D185" t="str">
        <x:v>Administration et communauté</x:v>
      </x:c>
      <x:c r="E185" t="str">
        <x:v>Temple communautaire</x:v>
      </x:c>
      <x:c r="F185" t="n">
        <x:v>8</x:v>
      </x:c>
      <x:c r="G185" t="n">
        <x:v>4</x:v>
      </x:c>
      <x:c r="H185" t="n">
        <x:v>12</x:v>
      </x:c>
      <x:c r="I185" t="str">
        <x:v>À qualifier par lieu</x:v>
      </x:c>
      <x:c r="J185" t="str">
        <x:v>https://github.com/darknigthmare/deadwall-last-enclosure/blob/1b3b9c5ba232734b1bda3453b4e20a0481bcdd74/codex-3000/originaux/DEADWALL_CODEX_1.22/fiches/DW-0180.md</x:v>
      </x:c>
      <x:c r="K185" t="str">
        <x:v>Source min 25,20 m ; max 120,80 m ; modèle 25 × 20 m ; niveaux 0. Détails dans catalogue-existant.json.</x:v>
      </x:c>
    </x:row>
    <x:row r="186">
      <x:c r="A186" t="str">
        <x:v>DW-0181</x:v>
      </x:c>
      <x:c r="B186" t="str">
        <x:v>DW-0181</x:v>
      </x:c>
      <x:c r="C186" t="str">
        <x:v>Parent historique</x:v>
      </x:c>
      <x:c r="D186" t="str">
        <x:v>Secours et protection civile</x:v>
      </x:c>
      <x:c r="E186" t="str">
        <x:v>Caserne de pompiers</x:v>
      </x:c>
      <x:c r="F186" t="n">
        <x:v>8</x:v>
      </x:c>
      <x:c r="G186" t="n">
        <x:v>5</x:v>
      </x:c>
      <x:c r="H186" t="n">
        <x:v>15</x:v>
      </x:c>
      <x:c r="I186" t="str">
        <x:v>À qualifier par lieu</x:v>
      </x:c>
      <x:c r="J186" t="str">
        <x:v>https://github.com/darknigthmare/deadwall-last-enclosure/blob/1b3b9c5ba232734b1bda3453b4e20a0481bcdd74/codex-3000/originaux/DEADWALL_CODEX_1.22/fiches/DW-0181.md</x:v>
      </x:c>
      <x:c r="K186" t="str">
        <x:v>Source min 24,18 m ; max 85,65 m ; modèle 26 × 22 m ; niveaux 0, 1. Détails dans catalogue-existant.json.</x:v>
      </x:c>
    </x:row>
    <x:row r="187">
      <x:c r="A187" t="str">
        <x:v>DW-0182</x:v>
      </x:c>
      <x:c r="B187" t="str">
        <x:v>DW-0182</x:v>
      </x:c>
      <x:c r="C187" t="str">
        <x:v>Parent historique</x:v>
      </x:c>
      <x:c r="D187" t="str">
        <x:v>Secours et protection civile</x:v>
      </x:c>
      <x:c r="E187" t="str">
        <x:v>Centre de secours rural</x:v>
      </x:c>
      <x:c r="F187" t="n">
        <x:v>8</x:v>
      </x:c>
      <x:c r="G187" t="n">
        <x:v>4</x:v>
      </x:c>
      <x:c r="H187" t="n">
        <x:v>12</x:v>
      </x:c>
      <x:c r="I187" t="str">
        <x:v>À qualifier par lieu</x:v>
      </x:c>
      <x:c r="J187" t="str">
        <x:v>https://github.com/darknigthmare/deadwall-last-enclosure/blob/1b3b9c5ba232734b1bda3453b4e20a0481bcdd74/codex-3000/originaux/DEADWALL_CODEX_1.22/fiches/DW-0182.md</x:v>
      </x:c>
      <x:c r="K187" t="str">
        <x:v>Source min 24,18 m ; max 85,65 m ; modèle 25 × 18 m ; niveaux 0. Détails dans catalogue-existant.json.</x:v>
      </x:c>
    </x:row>
    <x:row r="188">
      <x:c r="A188" t="str">
        <x:v>DW-0183</x:v>
      </x:c>
      <x:c r="B188" t="str">
        <x:v>DW-0183</x:v>
      </x:c>
      <x:c r="C188" t="str">
        <x:v>Parent historique</x:v>
      </x:c>
      <x:c r="D188" t="str">
        <x:v>Secours et protection civile</x:v>
      </x:c>
      <x:c r="E188" t="str">
        <x:v>Commissariat de quartier</x:v>
      </x:c>
      <x:c r="F188" t="n">
        <x:v>8</x:v>
      </x:c>
      <x:c r="G188" t="n">
        <x:v>4</x:v>
      </x:c>
      <x:c r="H188" t="n">
        <x:v>12</x:v>
      </x:c>
      <x:c r="I188" t="str">
        <x:v>À qualifier par lieu</x:v>
      </x:c>
      <x:c r="J188" t="str">
        <x:v>https://github.com/darknigthmare/deadwall-last-enclosure/blob/1b3b9c5ba232734b1bda3453b4e20a0481bcdd74/codex-3000/originaux/DEADWALL_CODEX_1.22/fiches/DW-0183.md</x:v>
      </x:c>
      <x:c r="K188" t="str">
        <x:v>Source min 24,18 m ; max 85,65 m ; modèle 25 × 18 m ; niveaux 0. Détails dans catalogue-existant.json.</x:v>
      </x:c>
    </x:row>
    <x:row r="189">
      <x:c r="A189" t="str">
        <x:v>DW-0184</x:v>
      </x:c>
      <x:c r="B189" t="str">
        <x:v>DW-0184</x:v>
      </x:c>
      <x:c r="C189" t="str">
        <x:v>Parent historique</x:v>
      </x:c>
      <x:c r="D189" t="str">
        <x:v>Secours et protection civile</x:v>
      </x:c>
      <x:c r="E189" t="str">
        <x:v>Poste de police rurale</x:v>
      </x:c>
      <x:c r="F189" t="n">
        <x:v>8</x:v>
      </x:c>
      <x:c r="G189" t="n">
        <x:v>4</x:v>
      </x:c>
      <x:c r="H189" t="n">
        <x:v>12</x:v>
      </x:c>
      <x:c r="I189" t="str">
        <x:v>À qualifier par lieu</x:v>
      </x:c>
      <x:c r="J189" t="str">
        <x:v>https://github.com/darknigthmare/deadwall-last-enclosure/blob/1b3b9c5ba232734b1bda3453b4e20a0481bcdd74/codex-3000/originaux/DEADWALL_CODEX_1.22/fiches/DW-0184.md</x:v>
      </x:c>
      <x:c r="K189" t="str">
        <x:v>Source min 24,18 m ; max 85,65 m ; modèle 25 × 18 m ; niveaux 0. Détails dans catalogue-existant.json.</x:v>
      </x:c>
    </x:row>
    <x:row r="190">
      <x:c r="A190" t="str">
        <x:v>DW-0185</x:v>
      </x:c>
      <x:c r="B190" t="str">
        <x:v>DW-0185</x:v>
      </x:c>
      <x:c r="C190" t="str">
        <x:v>Parent historique</x:v>
      </x:c>
      <x:c r="D190" t="str">
        <x:v>Secours et protection civile</x:v>
      </x:c>
      <x:c r="E190" t="str">
        <x:v>Poste de surveillance de plage</x:v>
      </x:c>
      <x:c r="F190" t="n">
        <x:v>8</x:v>
      </x:c>
      <x:c r="G190" t="n">
        <x:v>4</x:v>
      </x:c>
      <x:c r="H190" t="n">
        <x:v>12</x:v>
      </x:c>
      <x:c r="I190" t="str">
        <x:v>À qualifier par lieu</x:v>
      </x:c>
      <x:c r="J190" t="str">
        <x:v>https://github.com/darknigthmare/deadwall-last-enclosure/blob/1b3b9c5ba232734b1bda3453b4e20a0481bcdd74/codex-3000/originaux/DEADWALL_CODEX_1.22/fiches/DW-0185.md</x:v>
      </x:c>
      <x:c r="K190" t="str">
        <x:v>Source min 24,18 m ; max 85,65 m ; modèle 25 × 18 m ; niveaux 0. Détails dans catalogue-existant.json.</x:v>
      </x:c>
    </x:row>
    <x:row r="191">
      <x:c r="A191" t="str">
        <x:v>DW-0186</x:v>
      </x:c>
      <x:c r="B191" t="str">
        <x:v>DW-0186</x:v>
      </x:c>
      <x:c r="C191" t="str">
        <x:v>Parent historique</x:v>
      </x:c>
      <x:c r="D191" t="str">
        <x:v>Secours et protection civile</x:v>
      </x:c>
      <x:c r="E191" t="str">
        <x:v>Base de sauvetage côtier</x:v>
      </x:c>
      <x:c r="F191" t="n">
        <x:v>8</x:v>
      </x:c>
      <x:c r="G191" t="n">
        <x:v>4</x:v>
      </x:c>
      <x:c r="H191" t="n">
        <x:v>12</x:v>
      </x:c>
      <x:c r="I191" t="str">
        <x:v>À qualifier par lieu</x:v>
      </x:c>
      <x:c r="J191" t="str">
        <x:v>https://github.com/darknigthmare/deadwall-last-enclosure/blob/1b3b9c5ba232734b1bda3453b4e20a0481bcdd74/codex-3000/originaux/DEADWALL_CODEX_1.22/fiches/DW-0186.md</x:v>
      </x:c>
      <x:c r="K191" t="str">
        <x:v>Source min 24,18 m ; max 85,65 m ; modèle 25 × 18 m ; niveaux 0, 1, 2. Détails dans catalogue-existant.json.</x:v>
      </x:c>
    </x:row>
    <x:row r="192">
      <x:c r="A192" t="str">
        <x:v>DW-0187</x:v>
      </x:c>
      <x:c r="B192" t="str">
        <x:v>DW-0187</x:v>
      </x:c>
      <x:c r="C192" t="str">
        <x:v>Parent historique</x:v>
      </x:c>
      <x:c r="D192" t="str">
        <x:v>Secours et protection civile</x:v>
      </x:c>
      <x:c r="E192" t="str">
        <x:v>Centre de protection civile</x:v>
      </x:c>
      <x:c r="F192" t="n">
        <x:v>8</x:v>
      </x:c>
      <x:c r="G192" t="n">
        <x:v>4</x:v>
      </x:c>
      <x:c r="H192" t="n">
        <x:v>12</x:v>
      </x:c>
      <x:c r="I192" t="str">
        <x:v>À qualifier par lieu</x:v>
      </x:c>
      <x:c r="J192" t="str">
        <x:v>https://github.com/darknigthmare/deadwall-last-enclosure/blob/1b3b9c5ba232734b1bda3453b4e20a0481bcdd74/codex-3000/originaux/DEADWALL_CODEX_1.22/fiches/DW-0187.md</x:v>
      </x:c>
      <x:c r="K192" t="str">
        <x:v>Source min 24,18 m ; max 85,65 m ; modèle 25 × 18 m ; niveaux 0. Détails dans catalogue-existant.json.</x:v>
      </x:c>
    </x:row>
    <x:row r="193">
      <x:c r="A193" t="str">
        <x:v>DW-0188</x:v>
      </x:c>
      <x:c r="B193" t="str">
        <x:v>DW-0188</x:v>
      </x:c>
      <x:c r="C193" t="str">
        <x:v>Parent historique</x:v>
      </x:c>
      <x:c r="D193" t="str">
        <x:v>Secours et protection civile</x:v>
      </x:c>
      <x:c r="E193" t="str">
        <x:v>Poste médical de stade</x:v>
      </x:c>
      <x:c r="F193" t="n">
        <x:v>8</x:v>
      </x:c>
      <x:c r="G193" t="n">
        <x:v>4</x:v>
      </x:c>
      <x:c r="H193" t="n">
        <x:v>12</x:v>
      </x:c>
      <x:c r="I193" t="str">
        <x:v>À qualifier par lieu</x:v>
      </x:c>
      <x:c r="J193" t="str">
        <x:v>https://github.com/darknigthmare/deadwall-last-enclosure/blob/1b3b9c5ba232734b1bda3453b4e20a0481bcdd74/codex-3000/originaux/DEADWALL_CODEX_1.22/fiches/DW-0188.md</x:v>
      </x:c>
      <x:c r="K193" t="str">
        <x:v>Source min 24,18 m ; max 85,65 m ; modèle 25 × 18 m ; niveaux 0. Détails dans catalogue-existant.json.</x:v>
      </x:c>
    </x:row>
    <x:row r="194">
      <x:c r="A194" t="str">
        <x:v>DW-0189</x:v>
      </x:c>
      <x:c r="B194" t="str">
        <x:v>DW-0189</x:v>
      </x:c>
      <x:c r="C194" t="str">
        <x:v>Parent historique</x:v>
      </x:c>
      <x:c r="D194" t="str">
        <x:v>Secours et protection civile</x:v>
      </x:c>
      <x:c r="E194" t="str">
        <x:v>Refuge d'urgence communal</x:v>
      </x:c>
      <x:c r="F194" t="n">
        <x:v>8</x:v>
      </x:c>
      <x:c r="G194" t="n">
        <x:v>5</x:v>
      </x:c>
      <x:c r="H194" t="n">
        <x:v>15</x:v>
      </x:c>
      <x:c r="I194" t="str">
        <x:v>À qualifier par lieu</x:v>
      </x:c>
      <x:c r="J194" t="str">
        <x:v>https://github.com/darknigthmare/deadwall-last-enclosure/blob/1b3b9c5ba232734b1bda3453b4e20a0481bcdd74/codex-3000/originaux/DEADWALL_CODEX_1.22/fiches/DW-0189.md</x:v>
      </x:c>
      <x:c r="K194" t="str">
        <x:v>Source min 24,18 m ; max 85,65 m ; modèle 26 × 22 m ; niveaux 0. Détails dans catalogue-existant.json.</x:v>
      </x:c>
    </x:row>
    <x:row r="195">
      <x:c r="A195" t="str">
        <x:v>DW-0190</x:v>
      </x:c>
      <x:c r="B195" t="str">
        <x:v>DW-0190</x:v>
      </x:c>
      <x:c r="C195" t="str">
        <x:v>Parent historique</x:v>
      </x:c>
      <x:c r="D195" t="str">
        <x:v>Secours et protection civile</x:v>
      </x:c>
      <x:c r="E195" t="str">
        <x:v>Centre d'hébergement de crise</x:v>
      </x:c>
      <x:c r="F195" t="n">
        <x:v>8</x:v>
      </x:c>
      <x:c r="G195" t="n">
        <x:v>4</x:v>
      </x:c>
      <x:c r="H195" t="n">
        <x:v>12</x:v>
      </x:c>
      <x:c r="I195" t="str">
        <x:v>À qualifier par lieu</x:v>
      </x:c>
      <x:c r="J195" t="str">
        <x:v>https://github.com/darknigthmare/deadwall-last-enclosure/blob/1b3b9c5ba232734b1bda3453b4e20a0481bcdd74/codex-3000/originaux/DEADWALL_CODEX_1.22/fiches/DW-0190.md</x:v>
      </x:c>
      <x:c r="K195" t="str">
        <x:v>Source min 24,18 m ; max 85,65 m ; modèle 25 × 18 m ; niveaux 0. Détails dans catalogue-existant.json.</x:v>
      </x:c>
    </x:row>
    <x:row r="196">
      <x:c r="A196" t="str">
        <x:v>DW-0191</x:v>
      </x:c>
      <x:c r="B196" t="str">
        <x:v>DW-0191</x:v>
      </x:c>
      <x:c r="C196" t="str">
        <x:v>Parent historique</x:v>
      </x:c>
      <x:c r="D196" t="str">
        <x:v>Secours et protection civile</x:v>
      </x:c>
      <x:c r="E196" t="str">
        <x:v>Dépôt de secours</x:v>
      </x:c>
      <x:c r="F196" t="n">
        <x:v>8</x:v>
      </x:c>
      <x:c r="G196" t="n">
        <x:v>4</x:v>
      </x:c>
      <x:c r="H196" t="n">
        <x:v>12</x:v>
      </x:c>
      <x:c r="I196" t="str">
        <x:v>À qualifier par lieu</x:v>
      </x:c>
      <x:c r="J196" t="str">
        <x:v>https://github.com/darknigthmare/deadwall-last-enclosure/blob/1b3b9c5ba232734b1bda3453b4e20a0481bcdd74/codex-3000/originaux/DEADWALL_CODEX_1.22/fiches/DW-0191.md</x:v>
      </x:c>
      <x:c r="K196" t="str">
        <x:v>Source min 24,18 m ; max 85,65 m ; modèle 25 × 18 m ; niveaux 0. Détails dans catalogue-existant.json.</x:v>
      </x:c>
    </x:row>
    <x:row r="197">
      <x:c r="A197" t="str">
        <x:v>DW-0192</x:v>
      </x:c>
      <x:c r="B197" t="str">
        <x:v>DW-0192</x:v>
      </x:c>
      <x:c r="C197" t="str">
        <x:v>Parent historique</x:v>
      </x:c>
      <x:c r="D197" t="str">
        <x:v>Secours et protection civile</x:v>
      </x:c>
      <x:c r="E197" t="str">
        <x:v>Atelier d'ambulances</x:v>
      </x:c>
      <x:c r="F197" t="n">
        <x:v>8</x:v>
      </x:c>
      <x:c r="G197" t="n">
        <x:v>4</x:v>
      </x:c>
      <x:c r="H197" t="n">
        <x:v>12</x:v>
      </x:c>
      <x:c r="I197" t="str">
        <x:v>À qualifier par lieu</x:v>
      </x:c>
      <x:c r="J197" t="str">
        <x:v>https://github.com/darknigthmare/deadwall-last-enclosure/blob/1b3b9c5ba232734b1bda3453b4e20a0481bcdd74/codex-3000/originaux/DEADWALL_CODEX_1.22/fiches/DW-0192.md</x:v>
      </x:c>
      <x:c r="K197" t="str">
        <x:v>Source min 24,18 m ; max 85,65 m ; modèle 25 × 18 m ; niveaux 0. Détails dans catalogue-existant.json.</x:v>
      </x:c>
    </x:row>
    <x:row r="198">
      <x:c r="A198" t="str">
        <x:v>DW-0193</x:v>
      </x:c>
      <x:c r="B198" t="str">
        <x:v>DW-0193</x:v>
      </x:c>
      <x:c r="C198" t="str">
        <x:v>Parent historique</x:v>
      </x:c>
      <x:c r="D198" t="str">
        <x:v>Secours et protection civile</x:v>
      </x:c>
      <x:c r="E198" t="str">
        <x:v>Centre de gestion de crise</x:v>
      </x:c>
      <x:c r="F198" t="n">
        <x:v>8</x:v>
      </x:c>
      <x:c r="G198" t="n">
        <x:v>4</x:v>
      </x:c>
      <x:c r="H198" t="n">
        <x:v>12</x:v>
      </x:c>
      <x:c r="I198" t="str">
        <x:v>À qualifier par lieu</x:v>
      </x:c>
      <x:c r="J198" t="str">
        <x:v>https://github.com/darknigthmare/deadwall-last-enclosure/blob/1b3b9c5ba232734b1bda3453b4e20a0481bcdd74/codex-3000/originaux/DEADWALL_CODEX_1.22/fiches/DW-0193.md</x:v>
      </x:c>
      <x:c r="K198" t="str">
        <x:v>Source min 24,18 m ; max 85,65 m ; modèle 25 × 18 m ; niveaux 0. Détails dans catalogue-existant.json.</x:v>
      </x:c>
    </x:row>
    <x:row r="199">
      <x:c r="A199" t="str">
        <x:v>DW-0194</x:v>
      </x:c>
      <x:c r="B199" t="str">
        <x:v>DW-0194</x:v>
      </x:c>
      <x:c r="C199" t="str">
        <x:v>Parent historique</x:v>
      </x:c>
      <x:c r="D199" t="str">
        <x:v>Secours et protection civile</x:v>
      </x:c>
      <x:c r="E199" t="str">
        <x:v>Poste de secours autoroutier</x:v>
      </x:c>
      <x:c r="F199" t="n">
        <x:v>8</x:v>
      </x:c>
      <x:c r="G199" t="n">
        <x:v>4</x:v>
      </x:c>
      <x:c r="H199" t="n">
        <x:v>12</x:v>
      </x:c>
      <x:c r="I199" t="str">
        <x:v>À qualifier par lieu</x:v>
      </x:c>
      <x:c r="J199" t="str">
        <x:v>https://github.com/darknigthmare/deadwall-last-enclosure/blob/1b3b9c5ba232734b1bda3453b4e20a0481bcdd74/codex-3000/originaux/DEADWALL_CODEX_1.22/fiches/DW-0194.md</x:v>
      </x:c>
      <x:c r="K199" t="str">
        <x:v>Source min 24,18 m ; max 85,65 m ; modèle 25 × 18 m ; niveaux 0. Détails dans catalogue-existant.json.</x:v>
      </x:c>
    </x:row>
    <x:row r="200">
      <x:c r="A200" t="str">
        <x:v>DW-0195</x:v>
      </x:c>
      <x:c r="B200" t="str">
        <x:v>DW-0195</x:v>
      </x:c>
      <x:c r="C200" t="str">
        <x:v>Parent historique</x:v>
      </x:c>
      <x:c r="D200" t="str">
        <x:v>Secours et protection civile</x:v>
      </x:c>
      <x:c r="E200" t="str">
        <x:v>Tour de guet forestière</x:v>
      </x:c>
      <x:c r="F200" t="n">
        <x:v>8</x:v>
      </x:c>
      <x:c r="G200" t="n">
        <x:v>4</x:v>
      </x:c>
      <x:c r="H200" t="n">
        <x:v>10</x:v>
      </x:c>
      <x:c r="I200" t="str">
        <x:v>À qualifier par lieu</x:v>
      </x:c>
      <x:c r="J200" t="str">
        <x:v>https://github.com/darknigthmare/deadwall-last-enclosure/blob/1b3b9c5ba232734b1bda3453b4e20a0481bcdd74/codex-3000/originaux/DEADWALL_CODEX_1.22/fiches/DW-0195.md</x:v>
      </x:c>
      <x:c r="K200" t="str">
        <x:v>Source min 24,18 m ; max 85,65 m ; modèle 25 × 18 m ; niveaux 0. Détails dans catalogue-existant.json.</x:v>
      </x:c>
    </x:row>
    <x:row r="201">
      <x:c r="A201" t="str">
        <x:v>DW-0196</x:v>
      </x:c>
      <x:c r="B201" t="str">
        <x:v>DW-0196</x:v>
      </x:c>
      <x:c r="C201" t="str">
        <x:v>Parent historique</x:v>
      </x:c>
      <x:c r="D201" t="str">
        <x:v>Secours et protection civile</x:v>
      </x:c>
      <x:c r="E201" t="str">
        <x:v>Centre de gardes forestiers</x:v>
      </x:c>
      <x:c r="F201" t="n">
        <x:v>8</x:v>
      </x:c>
      <x:c r="G201" t="n">
        <x:v>4</x:v>
      </x:c>
      <x:c r="H201" t="n">
        <x:v>12</x:v>
      </x:c>
      <x:c r="I201" t="str">
        <x:v>À qualifier par lieu</x:v>
      </x:c>
      <x:c r="J201" t="str">
        <x:v>https://github.com/darknigthmare/deadwall-last-enclosure/blob/1b3b9c5ba232734b1bda3453b4e20a0481bcdd74/codex-3000/originaux/DEADWALL_CODEX_1.22/fiches/DW-0196.md</x:v>
      </x:c>
      <x:c r="K201" t="str">
        <x:v>Source min 24,18 m ; max 85,65 m ; modèle 25 × 18 m ; niveaux 0. Détails dans catalogue-existant.json.</x:v>
      </x:c>
    </x:row>
    <x:row r="202">
      <x:c r="A202" t="str">
        <x:v>DW-0197</x:v>
      </x:c>
      <x:c r="B202" t="str">
        <x:v>DW-0197</x:v>
      </x:c>
      <x:c r="C202" t="str">
        <x:v>Parent historique</x:v>
      </x:c>
      <x:c r="D202" t="str">
        <x:v>Secours et protection civile</x:v>
      </x:c>
      <x:c r="E202" t="str">
        <x:v>Chenil de secours</x:v>
      </x:c>
      <x:c r="F202" t="n">
        <x:v>8</x:v>
      </x:c>
      <x:c r="G202" t="n">
        <x:v>4</x:v>
      </x:c>
      <x:c r="H202" t="n">
        <x:v>12</x:v>
      </x:c>
      <x:c r="I202" t="str">
        <x:v>À qualifier par lieu</x:v>
      </x:c>
      <x:c r="J202" t="str">
        <x:v>https://github.com/darknigthmare/deadwall-last-enclosure/blob/1b3b9c5ba232734b1bda3453b4e20a0481bcdd74/codex-3000/originaux/DEADWALL_CODEX_1.22/fiches/DW-0197.md</x:v>
      </x:c>
      <x:c r="K202" t="str">
        <x:v>Source min 24,18 m ; max 85,65 m ; modèle 25 × 18 m ; niveaux 0. Détails dans catalogue-existant.json.</x:v>
      </x:c>
    </x:row>
    <x:row r="203">
      <x:c r="A203" t="str">
        <x:v>DW-0198</x:v>
      </x:c>
      <x:c r="B203" t="str">
        <x:v>DW-0198</x:v>
      </x:c>
      <x:c r="C203" t="str">
        <x:v>Parent historique</x:v>
      </x:c>
      <x:c r="D203" t="str">
        <x:v>Secours et protection civile</x:v>
      </x:c>
      <x:c r="E203" t="str">
        <x:v>Poste de secours de montagne</x:v>
      </x:c>
      <x:c r="F203" t="n">
        <x:v>8</x:v>
      </x:c>
      <x:c r="G203" t="n">
        <x:v>4</x:v>
      </x:c>
      <x:c r="H203" t="n">
        <x:v>12</x:v>
      </x:c>
      <x:c r="I203" t="str">
        <x:v>À qualifier par lieu</x:v>
      </x:c>
      <x:c r="J203" t="str">
        <x:v>https://github.com/darknigthmare/deadwall-last-enclosure/blob/1b3b9c5ba232734b1bda3453b4e20a0481bcdd74/codex-3000/originaux/DEADWALL_CODEX_1.22/fiches/DW-0198.md</x:v>
      </x:c>
      <x:c r="K203" t="str">
        <x:v>Source min 24,18 m ; max 85,65 m ; modèle 25 × 18 m ; niveaux 0. Détails dans catalogue-existant.json.</x:v>
      </x:c>
    </x:row>
    <x:row r="204">
      <x:c r="A204" t="str">
        <x:v>DW-0199</x:v>
      </x:c>
      <x:c r="B204" t="str">
        <x:v>DW-0199</x:v>
      </x:c>
      <x:c r="C204" t="str">
        <x:v>Parent historique</x:v>
      </x:c>
      <x:c r="D204" t="str">
        <x:v>Secours et protection civile</x:v>
      </x:c>
      <x:c r="E204" t="str">
        <x:v>Plateforme de secours aérien</x:v>
      </x:c>
      <x:c r="F204" t="n">
        <x:v>8</x:v>
      </x:c>
      <x:c r="G204" t="n">
        <x:v>4</x:v>
      </x:c>
      <x:c r="H204" t="n">
        <x:v>12</x:v>
      </x:c>
      <x:c r="I204" t="str">
        <x:v>À qualifier par lieu</x:v>
      </x:c>
      <x:c r="J204" t="str">
        <x:v>https://github.com/darknigthmare/deadwall-last-enclosure/blob/1b3b9c5ba232734b1bda3453b4e20a0481bcdd74/codex-3000/originaux/DEADWALL_CODEX_1.22/fiches/DW-0199.md</x:v>
      </x:c>
      <x:c r="K204" t="str">
        <x:v>Source min 24,18 m ; max 85,65 m ; modèle 25 × 18 m ; niveaux 0. Détails dans catalogue-existant.json.</x:v>
      </x:c>
    </x:row>
    <x:row r="205">
      <x:c r="A205" t="str">
        <x:v>DW-0200</x:v>
      </x:c>
      <x:c r="B205" t="str">
        <x:v>DW-0200</x:v>
      </x:c>
      <x:c r="C205" t="str">
        <x:v>Parent historique</x:v>
      </x:c>
      <x:c r="D205" t="str">
        <x:v>Secours et protection civile</x:v>
      </x:c>
      <x:c r="E205" t="str">
        <x:v>Point de distribution d'eau d'urgence</x:v>
      </x:c>
      <x:c r="F205" t="n">
        <x:v>8</x:v>
      </x:c>
      <x:c r="G205" t="n">
        <x:v>4</x:v>
      </x:c>
      <x:c r="H205" t="n">
        <x:v>12</x:v>
      </x:c>
      <x:c r="I205" t="str">
        <x:v>À qualifier par lieu</x:v>
      </x:c>
      <x:c r="J205" t="str">
        <x:v>https://github.com/darknigthmare/deadwall-last-enclosure/blob/1b3b9c5ba232734b1bda3453b4e20a0481bcdd74/codex-3000/originaux/DEADWALL_CODEX_1.22/fiches/DW-0200.md</x:v>
      </x:c>
      <x:c r="K205" t="str">
        <x:v>Source min 24,18 m ; max 85,65 m ; modèle 25 × 18 m ; niveaux 0. Détails dans catalogue-existant.json.</x:v>
      </x:c>
    </x:row>
    <x:row r="206">
      <x:c r="A206" t="str">
        <x:v>DW-0201</x:v>
      </x:c>
      <x:c r="B206" t="str">
        <x:v>DW-0201</x:v>
      </x:c>
      <x:c r="C206" t="str">
        <x:v>Parent historique</x:v>
      </x:c>
      <x:c r="D206" t="str">
        <x:v>Abris et souterrains</x:v>
      </x:c>
      <x:c r="E206" t="str">
        <x:v>Abri communal souterrain</x:v>
      </x:c>
      <x:c r="F206" t="n">
        <x:v>8</x:v>
      </x:c>
      <x:c r="G206" t="n">
        <x:v>5</x:v>
      </x:c>
      <x:c r="H206" t="n">
        <x:v>13</x:v>
      </x:c>
      <x:c r="I206" t="str">
        <x:v>À qualifier par lieu</x:v>
      </x:c>
      <x:c r="J206" t="str">
        <x:v>https://github.com/darknigthmare/deadwall-last-enclosure/blob/1b3b9c5ba232734b1bda3453b4e20a0481bcdd74/codex-3000/originaux/DEADWALL_CODEX_1.22/fiches/DW-0201.md</x:v>
      </x:c>
      <x:c r="K206" t="str">
        <x:v>Source min 16,12 m ; max 95,70 m ; modèle 26 × 22 m ; niveaux -1, 0. Détails dans catalogue-existant.json.</x:v>
      </x:c>
    </x:row>
    <x:row r="207">
      <x:c r="A207" t="str">
        <x:v>DW-0202</x:v>
      </x:c>
      <x:c r="B207" t="str">
        <x:v>DW-0202</x:v>
      </x:c>
      <x:c r="C207" t="str">
        <x:v>Parent historique</x:v>
      </x:c>
      <x:c r="D207" t="str">
        <x:v>Abris et souterrains</x:v>
      </x:c>
      <x:c r="E207" t="str">
        <x:v>Abri domestique</x:v>
      </x:c>
      <x:c r="F207" t="n">
        <x:v>8</x:v>
      </x:c>
      <x:c r="G207" t="n">
        <x:v>4</x:v>
      </x:c>
      <x:c r="H207" t="n">
        <x:v>10</x:v>
      </x:c>
      <x:c r="I207" t="str">
        <x:v>À qualifier par lieu</x:v>
      </x:c>
      <x:c r="J207" t="str">
        <x:v>https://github.com/darknigthmare/deadwall-last-enclosure/blob/1b3b9c5ba232734b1bda3453b4e20a0481bcdd74/codex-3000/originaux/DEADWALL_CODEX_1.22/fiches/DW-0202.md</x:v>
      </x:c>
      <x:c r="K207" t="str">
        <x:v>Source min 16,12 m ; max 95,70 m ; modèle 25 × 18 m ; niveaux 0. Détails dans catalogue-existant.json.</x:v>
      </x:c>
    </x:row>
    <x:row r="208">
      <x:c r="A208" t="str">
        <x:v>DW-0203</x:v>
      </x:c>
      <x:c r="B208" t="str">
        <x:v>DW-0203</x:v>
      </x:c>
      <x:c r="C208" t="str">
        <x:v>Parent historique</x:v>
      </x:c>
      <x:c r="D208" t="str">
        <x:v>Abris et souterrains</x:v>
      </x:c>
      <x:c r="E208" t="str">
        <x:v>Bunker de commandement fictif</x:v>
      </x:c>
      <x:c r="F208" t="n">
        <x:v>8</x:v>
      </x:c>
      <x:c r="G208" t="n">
        <x:v>5</x:v>
      </x:c>
      <x:c r="H208" t="n">
        <x:v>15</x:v>
      </x:c>
      <x:c r="I208" t="str">
        <x:v>À qualifier par lieu</x:v>
      </x:c>
      <x:c r="J208" t="str">
        <x:v>https://github.com/darknigthmare/deadwall-last-enclosure/blob/1b3b9c5ba232734b1bda3453b4e20a0481bcdd74/codex-3000/originaux/DEADWALL_CODEX_1.22/fiches/DW-0203.md</x:v>
      </x:c>
      <x:c r="K208" t="str">
        <x:v>Source min 16,12 m ; max 95,70 m ; modèle 26 × 22 m ; niveaux -1, 0. Détails dans catalogue-existant.json.</x:v>
      </x:c>
    </x:row>
    <x:row r="209">
      <x:c r="A209" t="str">
        <x:v>DW-0204</x:v>
      </x:c>
      <x:c r="B209" t="str">
        <x:v>DW-0204</x:v>
      </x:c>
      <x:c r="C209" t="str">
        <x:v>Parent historique</x:v>
      </x:c>
      <x:c r="D209" t="str">
        <x:v>Abris et souterrains</x:v>
      </x:c>
      <x:c r="E209" t="str">
        <x:v>Dépôt enterré fictif</x:v>
      </x:c>
      <x:c r="F209" t="n">
        <x:v>8</x:v>
      </x:c>
      <x:c r="G209" t="n">
        <x:v>4</x:v>
      </x:c>
      <x:c r="H209" t="n">
        <x:v>10</x:v>
      </x:c>
      <x:c r="I209" t="str">
        <x:v>À qualifier par lieu</x:v>
      </x:c>
      <x:c r="J209" t="str">
        <x:v>https://github.com/darknigthmare/deadwall-last-enclosure/blob/1b3b9c5ba232734b1bda3453b4e20a0481bcdd74/codex-3000/originaux/DEADWALL_CODEX_1.22/fiches/DW-0204.md</x:v>
      </x:c>
      <x:c r="K209" t="str">
        <x:v>Source min 16,12 m ; max 95,70 m ; modèle 25 × 18 m ; niveaux -1, 0. Détails dans catalogue-existant.json.</x:v>
      </x:c>
    </x:row>
    <x:row r="210">
      <x:c r="A210" t="str">
        <x:v>DW-0205</x:v>
      </x:c>
      <x:c r="B210" t="str">
        <x:v>DW-0205</x:v>
      </x:c>
      <x:c r="C210" t="str">
        <x:v>Parent historique</x:v>
      </x:c>
      <x:c r="D210" t="str">
        <x:v>Abris et souterrains</x:v>
      </x:c>
      <x:c r="E210" t="str">
        <x:v>Abri ferroviaire ancien</x:v>
      </x:c>
      <x:c r="F210" t="n">
        <x:v>8</x:v>
      </x:c>
      <x:c r="G210" t="n">
        <x:v>4</x:v>
      </x:c>
      <x:c r="H210" t="n">
        <x:v>8</x:v>
      </x:c>
      <x:c r="I210" t="str">
        <x:v>À qualifier par lieu</x:v>
      </x:c>
      <x:c r="J210" t="str">
        <x:v>https://github.com/darknigthmare/deadwall-last-enclosure/blob/1b3b9c5ba232734b1bda3453b4e20a0481bcdd74/codex-3000/originaux/DEADWALL_CODEX_1.22/fiches/DW-0205.md</x:v>
      </x:c>
      <x:c r="K210" t="str">
        <x:v>Source min 16,12 m ; max 95,70 m ; modèle 25 × 18 m ; niveaux 0. Détails dans catalogue-existant.json.</x:v>
      </x:c>
    </x:row>
    <x:row r="211">
      <x:c r="A211" t="str">
        <x:v>DW-0206</x:v>
      </x:c>
      <x:c r="B211" t="str">
        <x:v>DW-0206</x:v>
      </x:c>
      <x:c r="C211" t="str">
        <x:v>Parent historique</x:v>
      </x:c>
      <x:c r="D211" t="str">
        <x:v>Abris et souterrains</x:v>
      </x:c>
      <x:c r="E211" t="str">
        <x:v>Ancien fort</x:v>
      </x:c>
      <x:c r="F211" t="n">
        <x:v>8</x:v>
      </x:c>
      <x:c r="G211" t="n">
        <x:v>4</x:v>
      </x:c>
      <x:c r="H211" t="n">
        <x:v>10</x:v>
      </x:c>
      <x:c r="I211" t="str">
        <x:v>À qualifier par lieu</x:v>
      </x:c>
      <x:c r="J211" t="str">
        <x:v>https://github.com/darknigthmare/deadwall-last-enclosure/blob/1b3b9c5ba232734b1bda3453b4e20a0481bcdd74/codex-3000/originaux/DEADWALL_CODEX_1.22/fiches/DW-0206.md</x:v>
      </x:c>
      <x:c r="K211" t="str">
        <x:v>Source min 16,12 m ; max 95,70 m ; modèle 25 × 18 m ; niveaux 0. Détails dans catalogue-existant.json.</x:v>
      </x:c>
    </x:row>
    <x:row r="212">
      <x:c r="A212" t="str">
        <x:v>DW-0207</x:v>
      </x:c>
      <x:c r="B212" t="str">
        <x:v>DW-0207</x:v>
      </x:c>
      <x:c r="C212" t="str">
        <x:v>Parent historique</x:v>
      </x:c>
      <x:c r="D212" t="str">
        <x:v>Abris et souterrains</x:v>
      </x:c>
      <x:c r="E212" t="str">
        <x:v>Batterie côtière désaffectée</x:v>
      </x:c>
      <x:c r="F212" t="n">
        <x:v>8</x:v>
      </x:c>
      <x:c r="G212" t="n">
        <x:v>4</x:v>
      </x:c>
      <x:c r="H212" t="n">
        <x:v>10</x:v>
      </x:c>
      <x:c r="I212" t="str">
        <x:v>À qualifier par lieu</x:v>
      </x:c>
      <x:c r="J212" t="str">
        <x:v>https://github.com/darknigthmare/deadwall-last-enclosure/blob/1b3b9c5ba232734b1bda3453b4e20a0481bcdd74/codex-3000/originaux/DEADWALL_CODEX_1.22/fiches/DW-0207.md</x:v>
      </x:c>
      <x:c r="K212" t="str">
        <x:v>Source min 16,12 m ; max 95,70 m ; modèle 25 × 18 m ; niveaux 0. Détails dans catalogue-existant.json.</x:v>
      </x:c>
    </x:row>
    <x:row r="213">
      <x:c r="A213" t="str">
        <x:v>DW-0208</x:v>
      </x:c>
      <x:c r="B213" t="str">
        <x:v>DW-0208</x:v>
      </x:c>
      <x:c r="C213" t="str">
        <x:v>Parent historique</x:v>
      </x:c>
      <x:c r="D213" t="str">
        <x:v>Abris et souterrains</x:v>
      </x:c>
      <x:c r="E213" t="str">
        <x:v>Blockhaus de carrefour</x:v>
      </x:c>
      <x:c r="F213" t="n">
        <x:v>8</x:v>
      </x:c>
      <x:c r="G213" t="n">
        <x:v>3</x:v>
      </x:c>
      <x:c r="H213" t="n">
        <x:v>9</x:v>
      </x:c>
      <x:c r="I213" t="str">
        <x:v>À qualifier par lieu</x:v>
      </x:c>
      <x:c r="J213" t="str">
        <x:v>https://github.com/darknigthmare/deadwall-last-enclosure/blob/1b3b9c5ba232734b1bda3453b4e20a0481bcdd74/codex-3000/originaux/DEADWALL_CODEX_1.22/fiches/DW-0208.md</x:v>
      </x:c>
      <x:c r="K213" t="str">
        <x:v>Source min 16,12 m ; max 95,70 m ; modèle 24 × 18 m ; niveaux 0. Détails dans catalogue-existant.json.</x:v>
      </x:c>
    </x:row>
    <x:row r="214">
      <x:c r="A214" t="str">
        <x:v>DW-0209</x:v>
      </x:c>
      <x:c r="B214" t="str">
        <x:v>DW-0209</x:v>
      </x:c>
      <x:c r="C214" t="str">
        <x:v>Parent historique</x:v>
      </x:c>
      <x:c r="D214" t="str">
        <x:v>Abris et souterrains</x:v>
      </x:c>
      <x:c r="E214" t="str">
        <x:v>Abri de mineurs</x:v>
      </x:c>
      <x:c r="F214" t="n">
        <x:v>8</x:v>
      </x:c>
      <x:c r="G214" t="n">
        <x:v>4</x:v>
      </x:c>
      <x:c r="H214" t="n">
        <x:v>12</x:v>
      </x:c>
      <x:c r="I214" t="str">
        <x:v>À qualifier par lieu</x:v>
      </x:c>
      <x:c r="J214" t="str">
        <x:v>https://github.com/darknigthmare/deadwall-last-enclosure/blob/1b3b9c5ba232734b1bda3453b4e20a0481bcdd74/codex-3000/originaux/DEADWALL_CODEX_1.22/fiches/DW-0209.md</x:v>
      </x:c>
      <x:c r="K214" t="str">
        <x:v>Source min 16,12 m ; max 95,70 m ; modèle 25 × 18 m ; niveaux -1, 0. Détails dans catalogue-existant.json.</x:v>
      </x:c>
    </x:row>
    <x:row r="215">
      <x:c r="A215" t="str">
        <x:v>DW-0210</x:v>
      </x:c>
      <x:c r="B215" t="str">
        <x:v>DW-0210</x:v>
      </x:c>
      <x:c r="C215" t="str">
        <x:v>Parent historique</x:v>
      </x:c>
      <x:c r="D215" t="str">
        <x:v>Abris et souterrains</x:v>
      </x:c>
      <x:c r="E215" t="str">
        <x:v>Refuge de tunnel</x:v>
      </x:c>
      <x:c r="F215" t="n">
        <x:v>8</x:v>
      </x:c>
      <x:c r="G215" t="n">
        <x:v>3</x:v>
      </x:c>
      <x:c r="H215" t="n">
        <x:v>9</x:v>
      </x:c>
      <x:c r="I215" t="str">
        <x:v>À qualifier par lieu</x:v>
      </x:c>
      <x:c r="J215" t="str">
        <x:v>https://github.com/darknigthmare/deadwall-last-enclosure/blob/1b3b9c5ba232734b1bda3453b4e20a0481bcdd74/codex-3000/originaux/DEADWALL_CODEX_1.22/fiches/DW-0210.md</x:v>
      </x:c>
      <x:c r="K215" t="str">
        <x:v>Source min 16,12 m ; max 95,70 m ; modèle 24 × 18 m ; niveaux 0. Détails dans catalogue-existant.json.</x:v>
      </x:c>
    </x:row>
    <x:row r="216">
      <x:c r="A216" t="str">
        <x:v>DW-0211</x:v>
      </x:c>
      <x:c r="B216" t="str">
        <x:v>DW-0211</x:v>
      </x:c>
      <x:c r="C216" t="str">
        <x:v>Parent historique</x:v>
      </x:c>
      <x:c r="D216" t="str">
        <x:v>Abris et souterrains</x:v>
      </x:c>
      <x:c r="E216" t="str">
        <x:v>Centre radio enterré fictif</x:v>
      </x:c>
      <x:c r="F216" t="n">
        <x:v>8</x:v>
      </x:c>
      <x:c r="G216" t="n">
        <x:v>4</x:v>
      </x:c>
      <x:c r="H216" t="n">
        <x:v>12</x:v>
      </x:c>
      <x:c r="I216" t="str">
        <x:v>À qualifier par lieu</x:v>
      </x:c>
      <x:c r="J216" t="str">
        <x:v>https://github.com/darknigthmare/deadwall-last-enclosure/blob/1b3b9c5ba232734b1bda3453b4e20a0481bcdd74/codex-3000/originaux/DEADWALL_CODEX_1.22/fiches/DW-0211.md</x:v>
      </x:c>
      <x:c r="K216" t="str">
        <x:v>Source min 16,12 m ; max 95,70 m ; modèle 25 × 18 m ; niveaux -1, 0. Détails dans catalogue-existant.json.</x:v>
      </x:c>
    </x:row>
    <x:row r="217">
      <x:c r="A217" t="str">
        <x:v>DW-0212</x:v>
      </x:c>
      <x:c r="B217" t="str">
        <x:v>DW-0212</x:v>
      </x:c>
      <x:c r="C217" t="str">
        <x:v>Parent historique</x:v>
      </x:c>
      <x:c r="D217" t="str">
        <x:v>Abris et souterrains</x:v>
      </x:c>
      <x:c r="E217" t="str">
        <x:v>Caserne isolée désaffectée</x:v>
      </x:c>
      <x:c r="F217" t="n">
        <x:v>8</x:v>
      </x:c>
      <x:c r="G217" t="n">
        <x:v>4</x:v>
      </x:c>
      <x:c r="H217" t="n">
        <x:v>12</x:v>
      </x:c>
      <x:c r="I217" t="str">
        <x:v>À qualifier par lieu</x:v>
      </x:c>
      <x:c r="J217" t="str">
        <x:v>https://github.com/darknigthmare/deadwall-last-enclosure/blob/1b3b9c5ba232734b1bda3453b4e20a0481bcdd74/codex-3000/originaux/DEADWALL_CODEX_1.22/fiches/DW-0212.md</x:v>
      </x:c>
      <x:c r="K217" t="str">
        <x:v>Source min 16,12 m ; max 95,70 m ; modèle 25 × 18 m ; niveaux 0. Détails dans catalogue-existant.json.</x:v>
      </x:c>
    </x:row>
    <x:row r="218">
      <x:c r="A218" t="str">
        <x:v>DW-0213</x:v>
      </x:c>
      <x:c r="B218" t="str">
        <x:v>DW-0213</x:v>
      </x:c>
      <x:c r="C218" t="str">
        <x:v>Parent historique</x:v>
      </x:c>
      <x:c r="D218" t="str">
        <x:v>Abris et souterrains</x:v>
      </x:c>
      <x:c r="E218" t="str">
        <x:v>Camp d'entraînement abandonné</x:v>
      </x:c>
      <x:c r="F218" t="n">
        <x:v>8</x:v>
      </x:c>
      <x:c r="G218" t="n">
        <x:v>4</x:v>
      </x:c>
      <x:c r="H218" t="n">
        <x:v>12</x:v>
      </x:c>
      <x:c r="I218" t="str">
        <x:v>À qualifier par lieu</x:v>
      </x:c>
      <x:c r="J218" t="str">
        <x:v>https://github.com/darknigthmare/deadwall-last-enclosure/blob/1b3b9c5ba232734b1bda3453b4e20a0481bcdd74/codex-3000/originaux/DEADWALL_CODEX_1.22/fiches/DW-0213.md</x:v>
      </x:c>
      <x:c r="K218" t="str">
        <x:v>Source min 16,12 m ; max 95,70 m ; modèle 25 × 18 m ; niveaux 0. Détails dans catalogue-existant.json.</x:v>
      </x:c>
    </x:row>
    <x:row r="219">
      <x:c r="A219" t="str">
        <x:v>DW-0214</x:v>
      </x:c>
      <x:c r="B219" t="str">
        <x:v>DW-0214</x:v>
      </x:c>
      <x:c r="C219" t="str">
        <x:v>Parent historique</x:v>
      </x:c>
      <x:c r="D219" t="str">
        <x:v>Abris et souterrains</x:v>
      </x:c>
      <x:c r="E219" t="str">
        <x:v>Dépôt de surplus civil</x:v>
      </x:c>
      <x:c r="F219" t="n">
        <x:v>8</x:v>
      </x:c>
      <x:c r="G219" t="n">
        <x:v>4</x:v>
      </x:c>
      <x:c r="H219" t="n">
        <x:v>12</x:v>
      </x:c>
      <x:c r="I219" t="str">
        <x:v>À qualifier par lieu</x:v>
      </x:c>
      <x:c r="J219" t="str">
        <x:v>https://github.com/darknigthmare/deadwall-last-enclosure/blob/1b3b9c5ba232734b1bda3453b4e20a0481bcdd74/codex-3000/originaux/DEADWALL_CODEX_1.22/fiches/DW-0214.md</x:v>
      </x:c>
      <x:c r="K219" t="str">
        <x:v>Source min 16,12 m ; max 95,70 m ; modèle 25 × 18 m ; niveaux 0. Détails dans catalogue-existant.json.</x:v>
      </x:c>
    </x:row>
    <x:row r="220">
      <x:c r="A220" t="str">
        <x:v>DW-0215</x:v>
      </x:c>
      <x:c r="B220" t="str">
        <x:v>DW-0215</x:v>
      </x:c>
      <x:c r="C220" t="str">
        <x:v>Parent historique</x:v>
      </x:c>
      <x:c r="D220" t="str">
        <x:v>Abris et souterrains</x:v>
      </x:c>
      <x:c r="E220" t="str">
        <x:v>Ancien poste frontière</x:v>
      </x:c>
      <x:c r="F220" t="n">
        <x:v>8</x:v>
      </x:c>
      <x:c r="G220" t="n">
        <x:v>4</x:v>
      </x:c>
      <x:c r="H220" t="n">
        <x:v>12</x:v>
      </x:c>
      <x:c r="I220" t="str">
        <x:v>À qualifier par lieu</x:v>
      </x:c>
      <x:c r="J220" t="str">
        <x:v>https://github.com/darknigthmare/deadwall-last-enclosure/blob/1b3b9c5ba232734b1bda3453b4e20a0481bcdd74/codex-3000/originaux/DEADWALL_CODEX_1.22/fiches/DW-0215.md</x:v>
      </x:c>
      <x:c r="K220" t="str">
        <x:v>Source min 16,12 m ; max 95,70 m ; modèle 25 × 18 m ; niveaux 0. Détails dans catalogue-existant.json.</x:v>
      </x:c>
    </x:row>
    <x:row r="221">
      <x:c r="A221" t="str">
        <x:v>DW-0216</x:v>
      </x:c>
      <x:c r="B221" t="str">
        <x:v>DW-0216</x:v>
      </x:c>
      <x:c r="C221" t="str">
        <x:v>Parent historique</x:v>
      </x:c>
      <x:c r="D221" t="str">
        <x:v>Abris et souterrains</x:v>
      </x:c>
      <x:c r="E221" t="str">
        <x:v>Maison de garde d'un fort</x:v>
      </x:c>
      <x:c r="F221" t="n">
        <x:v>8</x:v>
      </x:c>
      <x:c r="G221" t="n">
        <x:v>4</x:v>
      </x:c>
      <x:c r="H221" t="n">
        <x:v>12</x:v>
      </x:c>
      <x:c r="I221" t="str">
        <x:v>À qualifier par lieu</x:v>
      </x:c>
      <x:c r="J221" t="str">
        <x:v>https://github.com/darknigthmare/deadwall-last-enclosure/blob/1b3b9c5ba232734b1bda3453b4e20a0481bcdd74/codex-3000/originaux/DEADWALL_CODEX_1.22/fiches/DW-0216.md</x:v>
      </x:c>
      <x:c r="K221" t="str">
        <x:v>Source min 16,12 m ; max 95,70 m ; modèle 25 × 18 m ; niveaux 0. Détails dans catalogue-existant.json.</x:v>
      </x:c>
    </x:row>
    <x:row r="222">
      <x:c r="A222" t="str">
        <x:v>DW-0217</x:v>
      </x:c>
      <x:c r="B222" t="str">
        <x:v>DW-0217</x:v>
      </x:c>
      <x:c r="C222" t="str">
        <x:v>Parent historique</x:v>
      </x:c>
      <x:c r="D222" t="str">
        <x:v>Abris et souterrains</x:v>
      </x:c>
      <x:c r="E222" t="str">
        <x:v>Abri d'un poste électrique</x:v>
      </x:c>
      <x:c r="F222" t="n">
        <x:v>8</x:v>
      </x:c>
      <x:c r="G222" t="n">
        <x:v>4</x:v>
      </x:c>
      <x:c r="H222" t="n">
        <x:v>12</x:v>
      </x:c>
      <x:c r="I222" t="str">
        <x:v>À qualifier par lieu</x:v>
      </x:c>
      <x:c r="J222" t="str">
        <x:v>https://github.com/darknigthmare/deadwall-last-enclosure/blob/1b3b9c5ba232734b1bda3453b4e20a0481bcdd74/codex-3000/originaux/DEADWALL_CODEX_1.22/fiches/DW-0217.md</x:v>
      </x:c>
      <x:c r="K222" t="str">
        <x:v>Source min 16,12 m ; max 95,70 m ; modèle 25 × 18 m ; niveaux 0. Détails dans catalogue-existant.json.</x:v>
      </x:c>
    </x:row>
    <x:row r="223">
      <x:c r="A223" t="str">
        <x:v>DW-0218</x:v>
      </x:c>
      <x:c r="B223" t="str">
        <x:v>DW-0218</x:v>
      </x:c>
      <x:c r="C223" t="str">
        <x:v>Parent historique</x:v>
      </x:c>
      <x:c r="D223" t="str">
        <x:v>Abris et souterrains</x:v>
      </x:c>
      <x:c r="E223" t="str">
        <x:v>Galerie technique abandonnée</x:v>
      </x:c>
      <x:c r="F223" t="n">
        <x:v>8</x:v>
      </x:c>
      <x:c r="G223" t="n">
        <x:v>4</x:v>
      </x:c>
      <x:c r="H223" t="n">
        <x:v>12</x:v>
      </x:c>
      <x:c r="I223" t="str">
        <x:v>À qualifier par lieu</x:v>
      </x:c>
      <x:c r="J223" t="str">
        <x:v>https://github.com/darknigthmare/deadwall-last-enclosure/blob/1b3b9c5ba232734b1bda3453b4e20a0481bcdd74/codex-3000/originaux/DEADWALL_CODEX_1.22/fiches/DW-0218.md</x:v>
      </x:c>
      <x:c r="K223" t="str">
        <x:v>Source min 16,12 m ; max 95,70 m ; modèle 25 × 18 m ; niveaux 0. Détails dans catalogue-existant.json.</x:v>
      </x:c>
    </x:row>
    <x:row r="224">
      <x:c r="A224" t="str">
        <x:v>DW-0219</x:v>
      </x:c>
      <x:c r="B224" t="str">
        <x:v>DW-0219</x:v>
      </x:c>
      <x:c r="C224" t="str">
        <x:v>Parent historique</x:v>
      </x:c>
      <x:c r="D224" t="str">
        <x:v>Abris et souterrains</x:v>
      </x:c>
      <x:c r="E224" t="str">
        <x:v>Souterrain de château</x:v>
      </x:c>
      <x:c r="F224" t="n">
        <x:v>8</x:v>
      </x:c>
      <x:c r="G224" t="n">
        <x:v>4</x:v>
      </x:c>
      <x:c r="H224" t="n">
        <x:v>8</x:v>
      </x:c>
      <x:c r="I224" t="str">
        <x:v>À qualifier par lieu</x:v>
      </x:c>
      <x:c r="J224" t="str">
        <x:v>https://github.com/darknigthmare/deadwall-last-enclosure/blob/1b3b9c5ba232734b1bda3453b4e20a0481bcdd74/codex-3000/originaux/DEADWALL_CODEX_1.22/fiches/DW-0219.md</x:v>
      </x:c>
      <x:c r="K224" t="str">
        <x:v>Source min 16,12 m ; max 95,70 m ; modèle 25 × 18 m ; niveaux -1, 0. Détails dans catalogue-existant.json.</x:v>
      </x:c>
    </x:row>
    <x:row r="225">
      <x:c r="A225" t="str">
        <x:v>DW-0220</x:v>
      </x:c>
      <x:c r="B225" t="str">
        <x:v>DW-0220</x:v>
      </x:c>
      <x:c r="C225" t="str">
        <x:v>Parent historique</x:v>
      </x:c>
      <x:c r="D225" t="str">
        <x:v>Abris et souterrains</x:v>
      </x:c>
      <x:c r="E225" t="str">
        <x:v>Complexe privé de survie</x:v>
      </x:c>
      <x:c r="F225" t="n">
        <x:v>8</x:v>
      </x:c>
      <x:c r="G225" t="n">
        <x:v>5</x:v>
      </x:c>
      <x:c r="H225" t="n">
        <x:v>15</x:v>
      </x:c>
      <x:c r="I225" t="str">
        <x:v>À qualifier par lieu</x:v>
      </x:c>
      <x:c r="J225" t="str">
        <x:v>https://github.com/darknigthmare/deadwall-last-enclosure/blob/1b3b9c5ba232734b1bda3453b4e20a0481bcdd74/codex-3000/originaux/DEADWALL_CODEX_1.22/fiches/DW-0220.md</x:v>
      </x:c>
      <x:c r="K225" t="str">
        <x:v>Source min 16,12 m ; max 95,70 m ; modèle 26 × 22 m ; niveaux 0. Détails dans catalogue-existant.json.</x:v>
      </x:c>
    </x:row>
    <x:row r="226">
      <x:c r="A226" t="str">
        <x:v>DW-0221</x:v>
      </x:c>
      <x:c r="B226" t="str">
        <x:v>DW-0221</x:v>
      </x:c>
      <x:c r="C226" t="str">
        <x:v>Parent historique</x:v>
      </x:c>
      <x:c r="D226" t="str">
        <x:v>Entrepôts et réserves</x:v>
      </x:c>
      <x:c r="E226" t="str">
        <x:v>Entrepôt de messagerie</x:v>
      </x:c>
      <x:c r="F226" t="n">
        <x:v>8</x:v>
      </x:c>
      <x:c r="G226" t="n">
        <x:v>4</x:v>
      </x:c>
      <x:c r="H226" t="n">
        <x:v>12</x:v>
      </x:c>
      <x:c r="I226" t="str">
        <x:v>À qualifier par lieu</x:v>
      </x:c>
      <x:c r="J226" t="str">
        <x:v>https://github.com/darknigthmare/deadwall-last-enclosure/blob/1b3b9c5ba232734b1bda3453b4e20a0481bcdd74/codex-3000/originaux/DEADWALL_CODEX_1.22/fiches/DW-0221.md</x:v>
      </x:c>
      <x:c r="K226" t="str">
        <x:v>Source min 35,24 m ; max 200,125 m ; modèle 35 × 24 m ; niveaux 0. Détails dans catalogue-existant.json.</x:v>
      </x:c>
    </x:row>
    <x:row r="227">
      <x:c r="A227" t="str">
        <x:v>DW-0222</x:v>
      </x:c>
      <x:c r="B227" t="str">
        <x:v>DW-0222</x:v>
      </x:c>
      <x:c r="C227" t="str">
        <x:v>Parent historique</x:v>
      </x:c>
      <x:c r="D227" t="str">
        <x:v>Entrepôts et réserves</x:v>
      </x:c>
      <x:c r="E227" t="str">
        <x:v>Plateforme logistique</x:v>
      </x:c>
      <x:c r="F227" t="n">
        <x:v>8</x:v>
      </x:c>
      <x:c r="G227" t="n">
        <x:v>4</x:v>
      </x:c>
      <x:c r="H227" t="n">
        <x:v>12</x:v>
      </x:c>
      <x:c r="I227" t="str">
        <x:v>À qualifier par lieu</x:v>
      </x:c>
      <x:c r="J227" t="str">
        <x:v>https://github.com/darknigthmare/deadwall-last-enclosure/blob/1b3b9c5ba232734b1bda3453b4e20a0481bcdd74/codex-3000/originaux/DEADWALL_CODEX_1.22/fiches/DW-0222.md</x:v>
      </x:c>
      <x:c r="K227" t="str">
        <x:v>Source min 35,24 m ; max 200,125 m ; modèle 35 × 24 m ; niveaux 0. Détails dans catalogue-existant.json.</x:v>
      </x:c>
    </x:row>
    <x:row r="228">
      <x:c r="A228" t="str">
        <x:v>DW-0223</x:v>
      </x:c>
      <x:c r="B228" t="str">
        <x:v>DW-0223</x:v>
      </x:c>
      <x:c r="C228" t="str">
        <x:v>Parent historique</x:v>
      </x:c>
      <x:c r="D228" t="str">
        <x:v>Entrepôts et réserves</x:v>
      </x:c>
      <x:c r="E228" t="str">
        <x:v>Dépôt de meubles</x:v>
      </x:c>
      <x:c r="F228" t="n">
        <x:v>8</x:v>
      </x:c>
      <x:c r="G228" t="n">
        <x:v>4</x:v>
      </x:c>
      <x:c r="H228" t="n">
        <x:v>12</x:v>
      </x:c>
      <x:c r="I228" t="str">
        <x:v>À qualifier par lieu</x:v>
      </x:c>
      <x:c r="J228" t="str">
        <x:v>https://github.com/darknigthmare/deadwall-last-enclosure/blob/1b3b9c5ba232734b1bda3453b4e20a0481bcdd74/codex-3000/originaux/DEADWALL_CODEX_1.22/fiches/DW-0223.md</x:v>
      </x:c>
      <x:c r="K228" t="str">
        <x:v>Source min 35,24 m ; max 200,125 m ; modèle 35 × 24 m ; niveaux 0. Détails dans catalogue-existant.json.</x:v>
      </x:c>
    </x:row>
    <x:row r="229">
      <x:c r="A229" t="str">
        <x:v>DW-0224</x:v>
      </x:c>
      <x:c r="B229" t="str">
        <x:v>DW-0224</x:v>
      </x:c>
      <x:c r="C229" t="str">
        <x:v>Parent historique</x:v>
      </x:c>
      <x:c r="D229" t="str">
        <x:v>Entrepôts et réserves</x:v>
      </x:c>
      <x:c r="E229" t="str">
        <x:v>Garde-meubles</x:v>
      </x:c>
      <x:c r="F229" t="n">
        <x:v>8</x:v>
      </x:c>
      <x:c r="G229" t="n">
        <x:v>4</x:v>
      </x:c>
      <x:c r="H229" t="n">
        <x:v>10</x:v>
      </x:c>
      <x:c r="I229" t="str">
        <x:v>À qualifier par lieu</x:v>
      </x:c>
      <x:c r="J229" t="str">
        <x:v>https://github.com/darknigthmare/deadwall-last-enclosure/blob/1b3b9c5ba232734b1bda3453b4e20a0481bcdd74/codex-3000/originaux/DEADWALL_CODEX_1.22/fiches/DW-0224.md</x:v>
      </x:c>
      <x:c r="K229" t="str">
        <x:v>Source min 35,24 m ; max 200,125 m ; modèle 35 × 24 m ; niveaux 0. Détails dans catalogue-existant.json.</x:v>
      </x:c>
    </x:row>
    <x:row r="230">
      <x:c r="A230" t="str">
        <x:v>DW-0225</x:v>
      </x:c>
      <x:c r="B230" t="str">
        <x:v>DW-0225</x:v>
      </x:c>
      <x:c r="C230" t="str">
        <x:v>Parent historique</x:v>
      </x:c>
      <x:c r="D230" t="str">
        <x:v>Entrepôts et réserves</x:v>
      </x:c>
      <x:c r="E230" t="str">
        <x:v>Self-stockage extérieur</x:v>
      </x:c>
      <x:c r="F230" t="n">
        <x:v>8</x:v>
      </x:c>
      <x:c r="G230" t="n">
        <x:v>4</x:v>
      </x:c>
      <x:c r="H230" t="n">
        <x:v>12</x:v>
      </x:c>
      <x:c r="I230" t="str">
        <x:v>À qualifier par lieu</x:v>
      </x:c>
      <x:c r="J230" t="str">
        <x:v>https://github.com/darknigthmare/deadwall-last-enclosure/blob/1b3b9c5ba232734b1bda3453b4e20a0481bcdd74/codex-3000/originaux/DEADWALL_CODEX_1.22/fiches/DW-0225.md</x:v>
      </x:c>
      <x:c r="K230" t="str">
        <x:v>Source min 35,24 m ; max 200,125 m ; modèle 35 × 24 m ; niveaux 0. Détails dans catalogue-existant.json.</x:v>
      </x:c>
    </x:row>
    <x:row r="231">
      <x:c r="A231" t="str">
        <x:v>DW-0226</x:v>
      </x:c>
      <x:c r="B231" t="str">
        <x:v>DW-0226</x:v>
      </x:c>
      <x:c r="C231" t="str">
        <x:v>Parent historique</x:v>
      </x:c>
      <x:c r="D231" t="str">
        <x:v>Entrepôts et réserves</x:v>
      </x:c>
      <x:c r="E231" t="str">
        <x:v>Hangar agricole de stockage</x:v>
      </x:c>
      <x:c r="F231" t="n">
        <x:v>8</x:v>
      </x:c>
      <x:c r="G231" t="n">
        <x:v>4</x:v>
      </x:c>
      <x:c r="H231" t="n">
        <x:v>12</x:v>
      </x:c>
      <x:c r="I231" t="str">
        <x:v>À qualifier par lieu</x:v>
      </x:c>
      <x:c r="J231" t="str">
        <x:v>https://github.com/darknigthmare/deadwall-last-enclosure/blob/1b3b9c5ba232734b1bda3453b4e20a0481bcdd74/codex-3000/originaux/DEADWALL_CODEX_1.22/fiches/DW-0226.md</x:v>
      </x:c>
      <x:c r="K231" t="str">
        <x:v>Source min 35,24 m ; max 200,125 m ; modèle 35 × 24 m ; niveaux 0. Détails dans catalogue-existant.json.</x:v>
      </x:c>
    </x:row>
    <x:row r="232">
      <x:c r="A232" t="str">
        <x:v>DW-0227</x:v>
      </x:c>
      <x:c r="B232" t="str">
        <x:v>DW-0227</x:v>
      </x:c>
      <x:c r="C232" t="str">
        <x:v>Parent historique</x:v>
      </x:c>
      <x:c r="D232" t="str">
        <x:v>Entrepôts et réserves</x:v>
      </x:c>
      <x:c r="E232" t="str">
        <x:v>Dépôt de boissons</x:v>
      </x:c>
      <x:c r="F232" t="n">
        <x:v>8</x:v>
      </x:c>
      <x:c r="G232" t="n">
        <x:v>4</x:v>
      </x:c>
      <x:c r="H232" t="n">
        <x:v>12</x:v>
      </x:c>
      <x:c r="I232" t="str">
        <x:v>À qualifier par lieu</x:v>
      </x:c>
      <x:c r="J232" t="str">
        <x:v>https://github.com/darknigthmare/deadwall-last-enclosure/blob/1b3b9c5ba232734b1bda3453b4e20a0481bcdd74/codex-3000/originaux/DEADWALL_CODEX_1.22/fiches/DW-0227.md</x:v>
      </x:c>
      <x:c r="K232" t="str">
        <x:v>Source min 35,24 m ; max 200,125 m ; modèle 35 × 24 m ; niveaux 0. Détails dans catalogue-existant.json.</x:v>
      </x:c>
    </x:row>
    <x:row r="233">
      <x:c r="A233" t="str">
        <x:v>DW-0228</x:v>
      </x:c>
      <x:c r="B233" t="str">
        <x:v>DW-0228</x:v>
      </x:c>
      <x:c r="C233" t="str">
        <x:v>Parent historique</x:v>
      </x:c>
      <x:c r="D233" t="str">
        <x:v>Entrepôts et réserves</x:v>
      </x:c>
      <x:c r="E233" t="str">
        <x:v>Stockage textile</x:v>
      </x:c>
      <x:c r="F233" t="n">
        <x:v>8</x:v>
      </x:c>
      <x:c r="G233" t="n">
        <x:v>4</x:v>
      </x:c>
      <x:c r="H233" t="n">
        <x:v>12</x:v>
      </x:c>
      <x:c r="I233" t="str">
        <x:v>À qualifier par lieu</x:v>
      </x:c>
      <x:c r="J233" t="str">
        <x:v>https://github.com/darknigthmare/deadwall-last-enclosure/blob/1b3b9c5ba232734b1bda3453b4e20a0481bcdd74/codex-3000/originaux/DEADWALL_CODEX_1.22/fiches/DW-0228.md</x:v>
      </x:c>
      <x:c r="K233" t="str">
        <x:v>Source min 35,24 m ; max 200,125 m ; modèle 35 × 24 m ; niveaux 0. Détails dans catalogue-existant.json.</x:v>
      </x:c>
    </x:row>
    <x:row r="234">
      <x:c r="A234" t="str">
        <x:v>DW-0229</x:v>
      </x:c>
      <x:c r="B234" t="str">
        <x:v>DW-0229</x:v>
      </x:c>
      <x:c r="C234" t="str">
        <x:v>Parent historique</x:v>
      </x:c>
      <x:c r="D234" t="str">
        <x:v>Entrepôts et réserves</x:v>
      </x:c>
      <x:c r="E234" t="str">
        <x:v>Magasin de pièces automobiles</x:v>
      </x:c>
      <x:c r="F234" t="n">
        <x:v>8</x:v>
      </x:c>
      <x:c r="G234" t="n">
        <x:v>4</x:v>
      </x:c>
      <x:c r="H234" t="n">
        <x:v>12</x:v>
      </x:c>
      <x:c r="I234" t="str">
        <x:v>À qualifier par lieu</x:v>
      </x:c>
      <x:c r="J234" t="str">
        <x:v>https://github.com/darknigthmare/deadwall-last-enclosure/blob/1b3b9c5ba232734b1bda3453b4e20a0481bcdd74/codex-3000/originaux/DEADWALL_CODEX_1.22/fiches/DW-0229.md</x:v>
      </x:c>
      <x:c r="K234" t="str">
        <x:v>Source min 35,24 m ; max 200,125 m ; modèle 35 × 24 m ; niveaux 0. Détails dans catalogue-existant.json.</x:v>
      </x:c>
    </x:row>
    <x:row r="235">
      <x:c r="A235" t="str">
        <x:v>DW-0230</x:v>
      </x:c>
      <x:c r="B235" t="str">
        <x:v>DW-0230</x:v>
      </x:c>
      <x:c r="C235" t="str">
        <x:v>Parent historique</x:v>
      </x:c>
      <x:c r="D235" t="str">
        <x:v>Entrepôts et réserves</x:v>
      </x:c>
      <x:c r="E235" t="str">
        <x:v>Entrepôt de matériaux longs</x:v>
      </x:c>
      <x:c r="F235" t="n">
        <x:v>8</x:v>
      </x:c>
      <x:c r="G235" t="n">
        <x:v>4</x:v>
      </x:c>
      <x:c r="H235" t="n">
        <x:v>12</x:v>
      </x:c>
      <x:c r="I235" t="str">
        <x:v>À qualifier par lieu</x:v>
      </x:c>
      <x:c r="J235" t="str">
        <x:v>https://github.com/darknigthmare/deadwall-last-enclosure/blob/1b3b9c5ba232734b1bda3453b4e20a0481bcdd74/codex-3000/originaux/DEADWALL_CODEX_1.22/fiches/DW-0230.md</x:v>
      </x:c>
      <x:c r="K235" t="str">
        <x:v>Source min 35,24 m ; max 200,125 m ; modèle 35 × 24 m ; niveaux 0. Détails dans catalogue-existant.json.</x:v>
      </x:c>
    </x:row>
    <x:row r="236">
      <x:c r="A236" t="str">
        <x:v>DW-0231</x:v>
      </x:c>
      <x:c r="B236" t="str">
        <x:v>DW-0231</x:v>
      </x:c>
      <x:c r="C236" t="str">
        <x:v>Parent historique</x:v>
      </x:c>
      <x:c r="D236" t="str">
        <x:v>Entrepôts et réserves</x:v>
      </x:c>
      <x:c r="E236" t="str">
        <x:v>Dépôt de carrelage</x:v>
      </x:c>
      <x:c r="F236" t="n">
        <x:v>8</x:v>
      </x:c>
      <x:c r="G236" t="n">
        <x:v>4</x:v>
      </x:c>
      <x:c r="H236" t="n">
        <x:v>12</x:v>
      </x:c>
      <x:c r="I236" t="str">
        <x:v>À qualifier par lieu</x:v>
      </x:c>
      <x:c r="J236" t="str">
        <x:v>https://github.com/darknigthmare/deadwall-last-enclosure/blob/1b3b9c5ba232734b1bda3453b4e20a0481bcdd74/codex-3000/originaux/DEADWALL_CODEX_1.22/fiches/DW-0231.md</x:v>
      </x:c>
      <x:c r="K236" t="str">
        <x:v>Source min 35,24 m ; max 200,125 m ; modèle 35 × 24 m ; niveaux 0. Détails dans catalogue-existant.json.</x:v>
      </x:c>
    </x:row>
    <x:row r="237">
      <x:c r="A237" t="str">
        <x:v>DW-0232</x:v>
      </x:c>
      <x:c r="B237" t="str">
        <x:v>DW-0232</x:v>
      </x:c>
      <x:c r="C237" t="str">
        <x:v>Parent historique</x:v>
      </x:c>
      <x:c r="D237" t="str">
        <x:v>Entrepôts et réserves</x:v>
      </x:c>
      <x:c r="E237" t="str">
        <x:v>Centre de déménagement</x:v>
      </x:c>
      <x:c r="F237" t="n">
        <x:v>8</x:v>
      </x:c>
      <x:c r="G237" t="n">
        <x:v>4</x:v>
      </x:c>
      <x:c r="H237" t="n">
        <x:v>12</x:v>
      </x:c>
      <x:c r="I237" t="str">
        <x:v>À qualifier par lieu</x:v>
      </x:c>
      <x:c r="J237" t="str">
        <x:v>https://github.com/darknigthmare/deadwall-last-enclosure/blob/1b3b9c5ba232734b1bda3453b4e20a0481bcdd74/codex-3000/originaux/DEADWALL_CODEX_1.22/fiches/DW-0232.md</x:v>
      </x:c>
      <x:c r="K237" t="str">
        <x:v>Source min 35,24 m ; max 200,125 m ; modèle 35 × 24 m ; niveaux 0. Détails dans catalogue-existant.json.</x:v>
      </x:c>
    </x:row>
    <x:row r="238">
      <x:c r="A238" t="str">
        <x:v>DW-0233</x:v>
      </x:c>
      <x:c r="B238" t="str">
        <x:v>DW-0233</x:v>
      </x:c>
      <x:c r="C238" t="str">
        <x:v>Parent historique</x:v>
      </x:c>
      <x:c r="D238" t="str">
        <x:v>Entrepôts et réserves</x:v>
      </x:c>
      <x:c r="E238" t="str">
        <x:v>Dépôt scénique</x:v>
      </x:c>
      <x:c r="F238" t="n">
        <x:v>8</x:v>
      </x:c>
      <x:c r="G238" t="n">
        <x:v>5</x:v>
      </x:c>
      <x:c r="H238" t="n">
        <x:v>15</x:v>
      </x:c>
      <x:c r="I238" t="str">
        <x:v>À qualifier par lieu</x:v>
      </x:c>
      <x:c r="J238" t="str">
        <x:v>https://github.com/darknigthmare/deadwall-last-enclosure/blob/1b3b9c5ba232734b1bda3453b4e20a0481bcdd74/codex-3000/originaux/DEADWALL_CODEX_1.22/fiches/DW-0233.md</x:v>
      </x:c>
      <x:c r="K238" t="str">
        <x:v>Source min 35,24 m ; max 200,125 m ; modèle 35 × 24 m ; niveaux 0. Détails dans catalogue-existant.json.</x:v>
      </x:c>
    </x:row>
    <x:row r="239">
      <x:c r="A239" t="str">
        <x:v>DW-0234</x:v>
      </x:c>
      <x:c r="B239" t="str">
        <x:v>DW-0234</x:v>
      </x:c>
      <x:c r="C239" t="str">
        <x:v>Parent historique</x:v>
      </x:c>
      <x:c r="D239" t="str">
        <x:v>Entrepôts et réserves</x:v>
      </x:c>
      <x:c r="E239" t="str">
        <x:v>Réserve muséale</x:v>
      </x:c>
      <x:c r="F239" t="n">
        <x:v>8</x:v>
      </x:c>
      <x:c r="G239" t="n">
        <x:v>4</x:v>
      </x:c>
      <x:c r="H239" t="n">
        <x:v>12</x:v>
      </x:c>
      <x:c r="I239" t="str">
        <x:v>À qualifier par lieu</x:v>
      </x:c>
      <x:c r="J239" t="str">
        <x:v>https://github.com/darknigthmare/deadwall-last-enclosure/blob/1b3b9c5ba232734b1bda3453b4e20a0481bcdd74/codex-3000/originaux/DEADWALL_CODEX_1.22/fiches/DW-0234.md</x:v>
      </x:c>
      <x:c r="K239" t="str">
        <x:v>Source min 35,24 m ; max 200,125 m ; modèle 35 × 24 m ; niveaux 0. Détails dans catalogue-existant.json.</x:v>
      </x:c>
    </x:row>
    <x:row r="240">
      <x:c r="A240" t="str">
        <x:v>DW-0235</x:v>
      </x:c>
      <x:c r="B240" t="str">
        <x:v>DW-0235</x:v>
      </x:c>
      <x:c r="C240" t="str">
        <x:v>Parent historique</x:v>
      </x:c>
      <x:c r="D240" t="str">
        <x:v>Entrepôts et réserves</x:v>
      </x:c>
      <x:c r="E240" t="str">
        <x:v>Réserve hospitalière</x:v>
      </x:c>
      <x:c r="F240" t="n">
        <x:v>8</x:v>
      </x:c>
      <x:c r="G240" t="n">
        <x:v>4</x:v>
      </x:c>
      <x:c r="H240" t="n">
        <x:v>12</x:v>
      </x:c>
      <x:c r="I240" t="str">
        <x:v>À qualifier par lieu</x:v>
      </x:c>
      <x:c r="J240" t="str">
        <x:v>https://github.com/darknigthmare/deadwall-last-enclosure/blob/1b3b9c5ba232734b1bda3453b4e20a0481bcdd74/codex-3000/originaux/DEADWALL_CODEX_1.22/fiches/DW-0235.md</x:v>
      </x:c>
      <x:c r="K240" t="str">
        <x:v>Source min 35,24 m ; max 200,125 m ; modèle 35 × 24 m ; niveaux 0. Détails dans catalogue-existant.json.</x:v>
      </x:c>
    </x:row>
    <x:row r="241">
      <x:c r="A241" t="str">
        <x:v>DW-0236</x:v>
      </x:c>
      <x:c r="B241" t="str">
        <x:v>DW-0236</x:v>
      </x:c>
      <x:c r="C241" t="str">
        <x:v>Parent historique</x:v>
      </x:c>
      <x:c r="D241" t="str">
        <x:v>Entrepôts et réserves</x:v>
      </x:c>
      <x:c r="E241" t="str">
        <x:v>Dépôt de mobilier communal</x:v>
      </x:c>
      <x:c r="F241" t="n">
        <x:v>8</x:v>
      </x:c>
      <x:c r="G241" t="n">
        <x:v>4</x:v>
      </x:c>
      <x:c r="H241" t="n">
        <x:v>12</x:v>
      </x:c>
      <x:c r="I241" t="str">
        <x:v>À qualifier par lieu</x:v>
      </x:c>
      <x:c r="J241" t="str">
        <x:v>https://github.com/darknigthmare/deadwall-last-enclosure/blob/1b3b9c5ba232734b1bda3453b4e20a0481bcdd74/codex-3000/originaux/DEADWALL_CODEX_1.22/fiches/DW-0236.md</x:v>
      </x:c>
      <x:c r="K241" t="str">
        <x:v>Source min 35,24 m ; max 200,125 m ; modèle 35 × 24 m ; niveaux 0. Détails dans catalogue-existant.json.</x:v>
      </x:c>
    </x:row>
    <x:row r="242">
      <x:c r="A242" t="str">
        <x:v>DW-0237</x:v>
      </x:c>
      <x:c r="B242" t="str">
        <x:v>DW-0237</x:v>
      </x:c>
      <x:c r="C242" t="str">
        <x:v>Parent historique</x:v>
      </x:c>
      <x:c r="D242" t="str">
        <x:v>Entrepôts et réserves</x:v>
      </x:c>
      <x:c r="E242" t="str">
        <x:v>Recyclerie</x:v>
      </x:c>
      <x:c r="F242" t="n">
        <x:v>8</x:v>
      </x:c>
      <x:c r="G242" t="n">
        <x:v>5</x:v>
      </x:c>
      <x:c r="H242" t="n">
        <x:v>15</x:v>
      </x:c>
      <x:c r="I242" t="str">
        <x:v>À qualifier par lieu</x:v>
      </x:c>
      <x:c r="J242" t="str">
        <x:v>https://github.com/darknigthmare/deadwall-last-enclosure/blob/1b3b9c5ba232734b1bda3453b4e20a0481bcdd74/codex-3000/originaux/DEADWALL_CODEX_1.22/fiches/DW-0237.md</x:v>
      </x:c>
      <x:c r="K242" t="str">
        <x:v>Source min 35,24 m ; max 200,125 m ; modèle 35 × 24 m ; niveaux 0. Détails dans catalogue-existant.json.</x:v>
      </x:c>
    </x:row>
    <x:row r="243">
      <x:c r="A243" t="str">
        <x:v>DW-0238</x:v>
      </x:c>
      <x:c r="B243" t="str">
        <x:v>DW-0238</x:v>
      </x:c>
      <x:c r="C243" t="str">
        <x:v>Parent historique</x:v>
      </x:c>
      <x:c r="D243" t="str">
        <x:v>Entrepôts et réserves</x:v>
      </x:c>
      <x:c r="E243" t="str">
        <x:v>Dépôt de colis automatisé</x:v>
      </x:c>
      <x:c r="F243" t="n">
        <x:v>8</x:v>
      </x:c>
      <x:c r="G243" t="n">
        <x:v>4</x:v>
      </x:c>
      <x:c r="H243" t="n">
        <x:v>12</x:v>
      </x:c>
      <x:c r="I243" t="str">
        <x:v>À qualifier par lieu</x:v>
      </x:c>
      <x:c r="J243" t="str">
        <x:v>https://github.com/darknigthmare/deadwall-last-enclosure/blob/1b3b9c5ba232734b1bda3453b4e20a0481bcdd74/codex-3000/originaux/DEADWALL_CODEX_1.22/fiches/DW-0238.md</x:v>
      </x:c>
      <x:c r="K243" t="str">
        <x:v>Source min 35,24 m ; max 200,125 m ; modèle 35 × 24 m ; niveaux 0. Détails dans catalogue-existant.json.</x:v>
      </x:c>
    </x:row>
    <x:row r="244">
      <x:c r="A244" t="str">
        <x:v>DW-0239</x:v>
      </x:c>
      <x:c r="B244" t="str">
        <x:v>DW-0239</x:v>
      </x:c>
      <x:c r="C244" t="str">
        <x:v>Parent historique</x:v>
      </x:c>
      <x:c r="D244" t="str">
        <x:v>Entrepôts et réserves</x:v>
      </x:c>
      <x:c r="E244" t="str">
        <x:v>Entrepôt portuaire</x:v>
      </x:c>
      <x:c r="F244" t="n">
        <x:v>8</x:v>
      </x:c>
      <x:c r="G244" t="n">
        <x:v>4</x:v>
      </x:c>
      <x:c r="H244" t="n">
        <x:v>12</x:v>
      </x:c>
      <x:c r="I244" t="str">
        <x:v>À qualifier par lieu</x:v>
      </x:c>
      <x:c r="J244" t="str">
        <x:v>https://github.com/darknigthmare/deadwall-last-enclosure/blob/1b3b9c5ba232734b1bda3453b4e20a0481bcdd74/codex-3000/originaux/DEADWALL_CODEX_1.22/fiches/DW-0239.md</x:v>
      </x:c>
      <x:c r="K244" t="str">
        <x:v>Source min 35,24 m ; max 200,125 m ; modèle 35 × 24 m ; niveaux 0. Détails dans catalogue-existant.json.</x:v>
      </x:c>
    </x:row>
    <x:row r="245">
      <x:c r="A245" t="str">
        <x:v>DW-0240</x:v>
      </x:c>
      <x:c r="B245" t="str">
        <x:v>DW-0240</x:v>
      </x:c>
      <x:c r="C245" t="str">
        <x:v>Parent historique</x:v>
      </x:c>
      <x:c r="D245" t="str">
        <x:v>Entrepôts et réserves</x:v>
      </x:c>
      <x:c r="E245" t="str">
        <x:v>Dépôt de chantier temporaire</x:v>
      </x:c>
      <x:c r="F245" t="n">
        <x:v>8</x:v>
      </x:c>
      <x:c r="G245" t="n">
        <x:v>4</x:v>
      </x:c>
      <x:c r="H245" t="n">
        <x:v>12</x:v>
      </x:c>
      <x:c r="I245" t="str">
        <x:v>À qualifier par lieu</x:v>
      </x:c>
      <x:c r="J245" t="str">
        <x:v>https://github.com/darknigthmare/deadwall-last-enclosure/blob/1b3b9c5ba232734b1bda3453b4e20a0481bcdd74/codex-3000/originaux/DEADWALL_CODEX_1.22/fiches/DW-0240.md</x:v>
      </x:c>
      <x:c r="K245" t="str">
        <x:v>Source min 35,24 m ; max 200,125 m ; modèle 35 × 24 m ; niveaux 0. Détails dans catalogue-existant.json.</x:v>
      </x:c>
    </x:row>
    <x:row r="246">
      <x:c r="A246" t="str">
        <x:v>DW-0241</x:v>
      </x:c>
      <x:c r="B246" t="str">
        <x:v>DW-0241</x:v>
      </x:c>
      <x:c r="C246" t="str">
        <x:v>Parent historique</x:v>
      </x:c>
      <x:c r="D246" t="str">
        <x:v>Automobile et carburant</x:v>
      </x:c>
      <x:c r="E246" t="str">
        <x:v>Garage automobile indépendant</x:v>
      </x:c>
      <x:c r="F246" t="n">
        <x:v>8</x:v>
      </x:c>
      <x:c r="G246" t="n">
        <x:v>4</x:v>
      </x:c>
      <x:c r="H246" t="n">
        <x:v>12</x:v>
      </x:c>
      <x:c r="I246" t="str">
        <x:v>À qualifier par lieu</x:v>
      </x:c>
      <x:c r="J246" t="str">
        <x:v>https://github.com/darknigthmare/deadwall-last-enclosure/blob/1b3b9c5ba232734b1bda3453b4e20a0481bcdd74/codex-3000/originaux/DEADWALL_CODEX_1.22/fiches/DW-0241.md</x:v>
      </x:c>
      <x:c r="K246" t="str">
        <x:v>Source min 22,18 m ; max 100,85 m ; modèle 25 × 18 m ; niveaux 0. Détails dans catalogue-existant.json.</x:v>
      </x:c>
    </x:row>
    <x:row r="247">
      <x:c r="A247" t="str">
        <x:v>DW-0242</x:v>
      </x:c>
      <x:c r="B247" t="str">
        <x:v>DW-0242</x:v>
      </x:c>
      <x:c r="C247" t="str">
        <x:v>Parent historique</x:v>
      </x:c>
      <x:c r="D247" t="str">
        <x:v>Automobile et carburant</x:v>
      </x:c>
      <x:c r="E247" t="str">
        <x:v>Concession automobile</x:v>
      </x:c>
      <x:c r="F247" t="n">
        <x:v>8</x:v>
      </x:c>
      <x:c r="G247" t="n">
        <x:v>4</x:v>
      </x:c>
      <x:c r="H247" t="n">
        <x:v>12</x:v>
      </x:c>
      <x:c r="I247" t="str">
        <x:v>À qualifier par lieu</x:v>
      </x:c>
      <x:c r="J247" t="str">
        <x:v>https://github.com/darknigthmare/deadwall-last-enclosure/blob/1b3b9c5ba232734b1bda3453b4e20a0481bcdd74/codex-3000/originaux/DEADWALL_CODEX_1.22/fiches/DW-0242.md</x:v>
      </x:c>
      <x:c r="K247" t="str">
        <x:v>Source min 22,18 m ; max 100,85 m ; modèle 25 × 18 m ; niveaux 0. Détails dans catalogue-existant.json.</x:v>
      </x:c>
    </x:row>
    <x:row r="248">
      <x:c r="A248" t="str">
        <x:v>DW-0243</x:v>
      </x:c>
      <x:c r="B248" t="str">
        <x:v>DW-0243</x:v>
      </x:c>
      <x:c r="C248" t="str">
        <x:v>Parent historique</x:v>
      </x:c>
      <x:c r="D248" t="str">
        <x:v>Automobile et carburant</x:v>
      </x:c>
      <x:c r="E248" t="str">
        <x:v>Carrosserie</x:v>
      </x:c>
      <x:c r="F248" t="n">
        <x:v>8</x:v>
      </x:c>
      <x:c r="G248" t="n">
        <x:v>4</x:v>
      </x:c>
      <x:c r="H248" t="n">
        <x:v>12</x:v>
      </x:c>
      <x:c r="I248" t="str">
        <x:v>À qualifier par lieu</x:v>
      </x:c>
      <x:c r="J248" t="str">
        <x:v>https://github.com/darknigthmare/deadwall-last-enclosure/blob/1b3b9c5ba232734b1bda3453b4e20a0481bcdd74/codex-3000/originaux/DEADWALL_CODEX_1.22/fiches/DW-0243.md</x:v>
      </x:c>
      <x:c r="K248" t="str">
        <x:v>Source min 22,18 m ; max 100,85 m ; modèle 25 × 18 m ; niveaux 0. Détails dans catalogue-existant.json.</x:v>
      </x:c>
    </x:row>
    <x:row r="249">
      <x:c r="A249" t="str">
        <x:v>DW-0244</x:v>
      </x:c>
      <x:c r="B249" t="str">
        <x:v>DW-0244</x:v>
      </x:c>
      <x:c r="C249" t="str">
        <x:v>Parent historique</x:v>
      </x:c>
      <x:c r="D249" t="str">
        <x:v>Automobile et carburant</x:v>
      </x:c>
      <x:c r="E249" t="str">
        <x:v>Atelier de pneumatiques</x:v>
      </x:c>
      <x:c r="F249" t="n">
        <x:v>8</x:v>
      </x:c>
      <x:c r="G249" t="n">
        <x:v>4</x:v>
      </x:c>
      <x:c r="H249" t="n">
        <x:v>12</x:v>
      </x:c>
      <x:c r="I249" t="str">
        <x:v>À qualifier par lieu</x:v>
      </x:c>
      <x:c r="J249" t="str">
        <x:v>https://github.com/darknigthmare/deadwall-last-enclosure/blob/1b3b9c5ba232734b1bda3453b4e20a0481bcdd74/codex-3000/originaux/DEADWALL_CODEX_1.22/fiches/DW-0244.md</x:v>
      </x:c>
      <x:c r="K249" t="str">
        <x:v>Source min 22,18 m ; max 100,85 m ; modèle 25 × 18 m ; niveaux 0. Détails dans catalogue-existant.json.</x:v>
      </x:c>
    </x:row>
    <x:row r="250">
      <x:c r="A250" t="str">
        <x:v>DW-0245</x:v>
      </x:c>
      <x:c r="B250" t="str">
        <x:v>DW-0245</x:v>
      </x:c>
      <x:c r="C250" t="str">
        <x:v>Parent historique</x:v>
      </x:c>
      <x:c r="D250" t="str">
        <x:v>Automobile et carburant</x:v>
      </x:c>
      <x:c r="E250" t="str">
        <x:v>Station de contrôle technique</x:v>
      </x:c>
      <x:c r="F250" t="n">
        <x:v>8</x:v>
      </x:c>
      <x:c r="G250" t="n">
        <x:v>4</x:v>
      </x:c>
      <x:c r="H250" t="n">
        <x:v>12</x:v>
      </x:c>
      <x:c r="I250" t="str">
        <x:v>À qualifier par lieu</x:v>
      </x:c>
      <x:c r="J250" t="str">
        <x:v>https://github.com/darknigthmare/deadwall-last-enclosure/blob/1b3b9c5ba232734b1bda3453b4e20a0481bcdd74/codex-3000/originaux/DEADWALL_CODEX_1.22/fiches/DW-0245.md</x:v>
      </x:c>
      <x:c r="K250" t="str">
        <x:v>Source min 22,18 m ; max 100,85 m ; modèle 25 × 18 m ; niveaux 0. Détails dans catalogue-existant.json.</x:v>
      </x:c>
    </x:row>
    <x:row r="251">
      <x:c r="A251" t="str">
        <x:v>DW-0246</x:v>
      </x:c>
      <x:c r="B251" t="str">
        <x:v>DW-0246</x:v>
      </x:c>
      <x:c r="C251" t="str">
        <x:v>Parent historique</x:v>
      </x:c>
      <x:c r="D251" t="str">
        <x:v>Automobile et carburant</x:v>
      </x:c>
      <x:c r="E251" t="str">
        <x:v>Lavage automobile</x:v>
      </x:c>
      <x:c r="F251" t="n">
        <x:v>8</x:v>
      </x:c>
      <x:c r="G251" t="n">
        <x:v>4</x:v>
      </x:c>
      <x:c r="H251" t="n">
        <x:v>12</x:v>
      </x:c>
      <x:c r="I251" t="str">
        <x:v>À qualifier par lieu</x:v>
      </x:c>
      <x:c r="J251" t="str">
        <x:v>https://github.com/darknigthmare/deadwall-last-enclosure/blob/1b3b9c5ba232734b1bda3453b4e20a0481bcdd74/codex-3000/originaux/DEADWALL_CODEX_1.22/fiches/DW-0246.md</x:v>
      </x:c>
      <x:c r="K251" t="str">
        <x:v>Source min 22,18 m ; max 100,85 m ; modèle 25 × 18 m ; niveaux 0. Détails dans catalogue-existant.json.</x:v>
      </x:c>
    </x:row>
    <x:row r="252">
      <x:c r="A252" t="str">
        <x:v>DW-0247</x:v>
      </x:c>
      <x:c r="B252" t="str">
        <x:v>DW-0247</x:v>
      </x:c>
      <x:c r="C252" t="str">
        <x:v>Parent historique</x:v>
      </x:c>
      <x:c r="D252" t="str">
        <x:v>Automobile et carburant</x:v>
      </x:c>
      <x:c r="E252" t="str">
        <x:v>Station-service de village</x:v>
      </x:c>
      <x:c r="F252" t="n">
        <x:v>8</x:v>
      </x:c>
      <x:c r="G252" t="n">
        <x:v>4</x:v>
      </x:c>
      <x:c r="H252" t="n">
        <x:v>12</x:v>
      </x:c>
      <x:c r="I252" t="str">
        <x:v>À qualifier par lieu</x:v>
      </x:c>
      <x:c r="J252" t="str">
        <x:v>https://github.com/darknigthmare/deadwall-last-enclosure/blob/1b3b9c5ba232734b1bda3453b4e20a0481bcdd74/codex-3000/originaux/DEADWALL_CODEX_1.22/fiches/DW-0247.md</x:v>
      </x:c>
      <x:c r="K252" t="str">
        <x:v>Source min 22,18 m ; max 100,85 m ; modèle 25 × 18 m ; niveaux 0. Détails dans catalogue-existant.json.</x:v>
      </x:c>
    </x:row>
    <x:row r="253">
      <x:c r="A253" t="str">
        <x:v>DW-0248</x:v>
      </x:c>
      <x:c r="B253" t="str">
        <x:v>DW-0248</x:v>
      </x:c>
      <x:c r="C253" t="str">
        <x:v>Parent historique</x:v>
      </x:c>
      <x:c r="D253" t="str">
        <x:v>Automobile et carburant</x:v>
      </x:c>
      <x:c r="E253" t="str">
        <x:v>Station autoroutière</x:v>
      </x:c>
      <x:c r="F253" t="n">
        <x:v>8</x:v>
      </x:c>
      <x:c r="G253" t="n">
        <x:v>5</x:v>
      </x:c>
      <x:c r="H253" t="n">
        <x:v>15</x:v>
      </x:c>
      <x:c r="I253" t="str">
        <x:v>À qualifier par lieu</x:v>
      </x:c>
      <x:c r="J253" t="str">
        <x:v>https://github.com/darknigthmare/deadwall-last-enclosure/blob/1b3b9c5ba232734b1bda3453b4e20a0481bcdd74/codex-3000/originaux/DEADWALL_CODEX_1.22/fiches/DW-0248.md</x:v>
      </x:c>
      <x:c r="K253" t="str">
        <x:v>Source min 22,18 m ; max 100,85 m ; modèle 26 × 22 m ; niveaux 0. Détails dans catalogue-existant.json.</x:v>
      </x:c>
    </x:row>
    <x:row r="254">
      <x:c r="A254" t="str">
        <x:v>DW-0249</x:v>
      </x:c>
      <x:c r="B254" t="str">
        <x:v>DW-0249</x:v>
      </x:c>
      <x:c r="C254" t="str">
        <x:v>Parent historique</x:v>
      </x:c>
      <x:c r="D254" t="str">
        <x:v>Automobile et carburant</x:v>
      </x:c>
      <x:c r="E254" t="str">
        <x:v>Station urbaine compacte</x:v>
      </x:c>
      <x:c r="F254" t="n">
        <x:v>8</x:v>
      </x:c>
      <x:c r="G254" t="n">
        <x:v>4</x:v>
      </x:c>
      <x:c r="H254" t="n">
        <x:v>12</x:v>
      </x:c>
      <x:c r="I254" t="str">
        <x:v>À qualifier par lieu</x:v>
      </x:c>
      <x:c r="J254" t="str">
        <x:v>https://github.com/darknigthmare/deadwall-last-enclosure/blob/1b3b9c5ba232734b1bda3453b4e20a0481bcdd74/codex-3000/originaux/DEADWALL_CODEX_1.22/fiches/DW-0249.md</x:v>
      </x:c>
      <x:c r="K254" t="str">
        <x:v>Source min 22,18 m ; max 100,85 m ; modèle 25 × 18 m ; niveaux 0. Détails dans catalogue-existant.json.</x:v>
      </x:c>
    </x:row>
    <x:row r="255">
      <x:c r="A255" t="str">
        <x:v>DW-0250</x:v>
      </x:c>
      <x:c r="B255" t="str">
        <x:v>DW-0250</x:v>
      </x:c>
      <x:c r="C255" t="str">
        <x:v>Parent historique</x:v>
      </x:c>
      <x:c r="D255" t="str">
        <x:v>Automobile et carburant</x:v>
      </x:c>
      <x:c r="E255" t="str">
        <x:v>Dépôt civil de carburant</x:v>
      </x:c>
      <x:c r="F255" t="n">
        <x:v>8</x:v>
      </x:c>
      <x:c r="G255" t="n">
        <x:v>4</x:v>
      </x:c>
      <x:c r="H255" t="n">
        <x:v>12</x:v>
      </x:c>
      <x:c r="I255" t="str">
        <x:v>À qualifier par lieu</x:v>
      </x:c>
      <x:c r="J255" t="str">
        <x:v>https://github.com/darknigthmare/deadwall-last-enclosure/blob/1b3b9c5ba232734b1bda3453b4e20a0481bcdd74/codex-3000/originaux/DEADWALL_CODEX_1.22/fiches/DW-0250.md</x:v>
      </x:c>
      <x:c r="K255" t="str">
        <x:v>Source min 22,18 m ; max 100,85 m ; modèle 25 × 18 m ; niveaux 0. Détails dans catalogue-existant.json.</x:v>
      </x:c>
    </x:row>
    <x:row r="256">
      <x:c r="A256" t="str">
        <x:v>DW-0251</x:v>
      </x:c>
      <x:c r="B256" t="str">
        <x:v>DW-0251</x:v>
      </x:c>
      <x:c r="C256" t="str">
        <x:v>Parent historique</x:v>
      </x:c>
      <x:c r="D256" t="str">
        <x:v>Automobile et carburant</x:v>
      </x:c>
      <x:c r="E256" t="str">
        <x:v>Casse automobile</x:v>
      </x:c>
      <x:c r="F256" t="n">
        <x:v>8</x:v>
      </x:c>
      <x:c r="G256" t="n">
        <x:v>5</x:v>
      </x:c>
      <x:c r="H256" t="n">
        <x:v>15</x:v>
      </x:c>
      <x:c r="I256" t="str">
        <x:v>À qualifier par lieu</x:v>
      </x:c>
      <x:c r="J256" t="str">
        <x:v>https://github.com/darknigthmare/deadwall-last-enclosure/blob/1b3b9c5ba232734b1bda3453b4e20a0481bcdd74/codex-3000/originaux/DEADWALL_CODEX_1.22/fiches/DW-0251.md</x:v>
      </x:c>
      <x:c r="K256" t="str">
        <x:v>Source min 22,18 m ; max 100,85 m ; modèle 26 × 22 m ; niveaux 0. Détails dans catalogue-existant.json.</x:v>
      </x:c>
    </x:row>
    <x:row r="257">
      <x:c r="A257" t="str">
        <x:v>DW-0252</x:v>
      </x:c>
      <x:c r="B257" t="str">
        <x:v>DW-0252</x:v>
      </x:c>
      <x:c r="C257" t="str">
        <x:v>Parent historique</x:v>
      </x:c>
      <x:c r="D257" t="str">
        <x:v>Automobile et carburant</x:v>
      </x:c>
      <x:c r="E257" t="str">
        <x:v>Dépanneur routier</x:v>
      </x:c>
      <x:c r="F257" t="n">
        <x:v>8</x:v>
      </x:c>
      <x:c r="G257" t="n">
        <x:v>4</x:v>
      </x:c>
      <x:c r="H257" t="n">
        <x:v>12</x:v>
      </x:c>
      <x:c r="I257" t="str">
        <x:v>À qualifier par lieu</x:v>
      </x:c>
      <x:c r="J257" t="str">
        <x:v>https://github.com/darknigthmare/deadwall-last-enclosure/blob/1b3b9c5ba232734b1bda3453b4e20a0481bcdd74/codex-3000/originaux/DEADWALL_CODEX_1.22/fiches/DW-0252.md</x:v>
      </x:c>
      <x:c r="K257" t="str">
        <x:v>Source min 22,18 m ; max 100,85 m ; modèle 25 × 18 m ; niveaux 0. Détails dans catalogue-existant.json.</x:v>
      </x:c>
    </x:row>
    <x:row r="258">
      <x:c r="A258" t="str">
        <x:v>DW-0253</x:v>
      </x:c>
      <x:c r="B258" t="str">
        <x:v>DW-0253</x:v>
      </x:c>
      <x:c r="C258" t="str">
        <x:v>Parent historique</x:v>
      </x:c>
      <x:c r="D258" t="str">
        <x:v>Automobile et carburant</x:v>
      </x:c>
      <x:c r="E258" t="str">
        <x:v>Location de véhicules</x:v>
      </x:c>
      <x:c r="F258" t="n">
        <x:v>8</x:v>
      </x:c>
      <x:c r="G258" t="n">
        <x:v>4</x:v>
      </x:c>
      <x:c r="H258" t="n">
        <x:v>12</x:v>
      </x:c>
      <x:c r="I258" t="str">
        <x:v>À qualifier par lieu</x:v>
      </x:c>
      <x:c r="J258" t="str">
        <x:v>https://github.com/darknigthmare/deadwall-last-enclosure/blob/1b3b9c5ba232734b1bda3453b4e20a0481bcdd74/codex-3000/originaux/DEADWALL_CODEX_1.22/fiches/DW-0253.md</x:v>
      </x:c>
      <x:c r="K258" t="str">
        <x:v>Source min 22,18 m ; max 100,85 m ; modèle 25 × 18 m ; niveaux 0. Détails dans catalogue-existant.json.</x:v>
      </x:c>
    </x:row>
    <x:row r="259">
      <x:c r="A259" t="str">
        <x:v>DW-0254</x:v>
      </x:c>
      <x:c r="B259" t="str">
        <x:v>DW-0254</x:v>
      </x:c>
      <x:c r="C259" t="str">
        <x:v>Parent historique</x:v>
      </x:c>
      <x:c r="D259" t="str">
        <x:v>Automobile et carburant</x:v>
      </x:c>
      <x:c r="E259" t="str">
        <x:v>Atelier de motos</x:v>
      </x:c>
      <x:c r="F259" t="n">
        <x:v>8</x:v>
      </x:c>
      <x:c r="G259" t="n">
        <x:v>4</x:v>
      </x:c>
      <x:c r="H259" t="n">
        <x:v>12</x:v>
      </x:c>
      <x:c r="I259" t="str">
        <x:v>À qualifier par lieu</x:v>
      </x:c>
      <x:c r="J259" t="str">
        <x:v>https://github.com/darknigthmare/deadwall-last-enclosure/blob/1b3b9c5ba232734b1bda3453b4e20a0481bcdd74/codex-3000/originaux/DEADWALL_CODEX_1.22/fiches/DW-0254.md</x:v>
      </x:c>
      <x:c r="K259" t="str">
        <x:v>Source min 22,18 m ; max 100,85 m ; modèle 25 × 18 m ; niveaux 0. Détails dans catalogue-existant.json.</x:v>
      </x:c>
    </x:row>
    <x:row r="260">
      <x:c r="A260" t="str">
        <x:v>DW-0255</x:v>
      </x:c>
      <x:c r="B260" t="str">
        <x:v>DW-0255</x:v>
      </x:c>
      <x:c r="C260" t="str">
        <x:v>Parent historique</x:v>
      </x:c>
      <x:c r="D260" t="str">
        <x:v>Automobile et carburant</x:v>
      </x:c>
      <x:c r="E260" t="str">
        <x:v>Garage poids lourds</x:v>
      </x:c>
      <x:c r="F260" t="n">
        <x:v>8</x:v>
      </x:c>
      <x:c r="G260" t="n">
        <x:v>4</x:v>
      </x:c>
      <x:c r="H260" t="n">
        <x:v>12</x:v>
      </x:c>
      <x:c r="I260" t="str">
        <x:v>À qualifier par lieu</x:v>
      </x:c>
      <x:c r="J260" t="str">
        <x:v>https://github.com/darknigthmare/deadwall-last-enclosure/blob/1b3b9c5ba232734b1bda3453b4e20a0481bcdd74/codex-3000/originaux/DEADWALL_CODEX_1.22/fiches/DW-0255.md</x:v>
      </x:c>
      <x:c r="K260" t="str">
        <x:v>Source min 22,18 m ; max 100,85 m ; modèle 25 × 18 m ; niveaux 0. Détails dans catalogue-existant.json.</x:v>
      </x:c>
    </x:row>
    <x:row r="261">
      <x:c r="A261" t="str">
        <x:v>DW-0256</x:v>
      </x:c>
      <x:c r="B261" t="str">
        <x:v>DW-0256</x:v>
      </x:c>
      <x:c r="C261" t="str">
        <x:v>Parent historique</x:v>
      </x:c>
      <x:c r="D261" t="str">
        <x:v>Automobile et carburant</x:v>
      </x:c>
      <x:c r="E261" t="str">
        <x:v>Dépôt de bus</x:v>
      </x:c>
      <x:c r="F261" t="n">
        <x:v>8</x:v>
      </x:c>
      <x:c r="G261" t="n">
        <x:v>4</x:v>
      </x:c>
      <x:c r="H261" t="n">
        <x:v>12</x:v>
      </x:c>
      <x:c r="I261" t="str">
        <x:v>À qualifier par lieu</x:v>
      </x:c>
      <x:c r="J261" t="str">
        <x:v>https://github.com/darknigthmare/deadwall-last-enclosure/blob/1b3b9c5ba232734b1bda3453b4e20a0481bcdd74/codex-3000/originaux/DEADWALL_CODEX_1.22/fiches/DW-0256.md</x:v>
      </x:c>
      <x:c r="K261" t="str">
        <x:v>Source min 22,18 m ; max 100,85 m ; modèle 25 × 18 m ; niveaux 0. Détails dans catalogue-existant.json.</x:v>
      </x:c>
    </x:row>
    <x:row r="262">
      <x:c r="A262" t="str">
        <x:v>DW-0257</x:v>
      </x:c>
      <x:c r="B262" t="str">
        <x:v>DW-0257</x:v>
      </x:c>
      <x:c r="C262" t="str">
        <x:v>Parent historique</x:v>
      </x:c>
      <x:c r="D262" t="str">
        <x:v>Automobile et carburant</x:v>
      </x:c>
      <x:c r="E262" t="str">
        <x:v>Parking à étages</x:v>
      </x:c>
      <x:c r="F262" t="n">
        <x:v>8</x:v>
      </x:c>
      <x:c r="G262" t="n">
        <x:v>4</x:v>
      </x:c>
      <x:c r="H262" t="n">
        <x:v>10</x:v>
      </x:c>
      <x:c r="I262" t="str">
        <x:v>À qualifier par lieu</x:v>
      </x:c>
      <x:c r="J262" t="str">
        <x:v>https://github.com/darknigthmare/deadwall-last-enclosure/blob/1b3b9c5ba232734b1bda3453b4e20a0481bcdd74/codex-3000/originaux/DEADWALL_CODEX_1.22/fiches/DW-0257.md</x:v>
      </x:c>
      <x:c r="K262" t="str">
        <x:v>Source min 22,18 m ; max 100,85 m ; modèle 25 × 18 m ; niveaux 0, 1, 2. Détails dans catalogue-existant.json.</x:v>
      </x:c>
    </x:row>
    <x:row r="263">
      <x:c r="A263" t="str">
        <x:v>DW-0258</x:v>
      </x:c>
      <x:c r="B263" t="str">
        <x:v>DW-0258</x:v>
      </x:c>
      <x:c r="C263" t="str">
        <x:v>Parent historique</x:v>
      </x:c>
      <x:c r="D263" t="str">
        <x:v>Automobile et carburant</x:v>
      </x:c>
      <x:c r="E263" t="str">
        <x:v>Parking de supermarché</x:v>
      </x:c>
      <x:c r="F263" t="n">
        <x:v>8</x:v>
      </x:c>
      <x:c r="G263" t="n">
        <x:v>4</x:v>
      </x:c>
      <x:c r="H263" t="n">
        <x:v>10</x:v>
      </x:c>
      <x:c r="I263" t="str">
        <x:v>À qualifier par lieu</x:v>
      </x:c>
      <x:c r="J263" t="str">
        <x:v>https://github.com/darknigthmare/deadwall-last-enclosure/blob/1b3b9c5ba232734b1bda3453b4e20a0481bcdd74/codex-3000/originaux/DEADWALL_CODEX_1.22/fiches/DW-0258.md</x:v>
      </x:c>
      <x:c r="K263" t="str">
        <x:v>Source min 22,18 m ; max 100,85 m ; modèle 25 × 18 m ; niveaux 0. Détails dans catalogue-existant.json.</x:v>
      </x:c>
    </x:row>
    <x:row r="264">
      <x:c r="A264" t="str">
        <x:v>DW-0259</x:v>
      </x:c>
      <x:c r="B264" t="str">
        <x:v>DW-0259</x:v>
      </x:c>
      <x:c r="C264" t="str">
        <x:v>Parent historique</x:v>
      </x:c>
      <x:c r="D264" t="str">
        <x:v>Automobile et carburant</x:v>
      </x:c>
      <x:c r="E264" t="str">
        <x:v>Parking improvisé de terrain vague</x:v>
      </x:c>
      <x:c r="F264" t="n">
        <x:v>8</x:v>
      </x:c>
      <x:c r="G264" t="n">
        <x:v>3</x:v>
      </x:c>
      <x:c r="H264" t="n">
        <x:v>9</x:v>
      </x:c>
      <x:c r="I264" t="str">
        <x:v>À qualifier par lieu</x:v>
      </x:c>
      <x:c r="J264" t="str">
        <x:v>https://github.com/darknigthmare/deadwall-last-enclosure/blob/1b3b9c5ba232734b1bda3453b4e20a0481bcdd74/codex-3000/originaux/DEADWALL_CODEX_1.22/fiches/DW-0259.md</x:v>
      </x:c>
      <x:c r="K264" t="str">
        <x:v>Source min 22,18 m ; max 100,85 m ; modèle 24 × 18 m ; niveaux 0. Détails dans catalogue-existant.json.</x:v>
      </x:c>
    </x:row>
    <x:row r="265">
      <x:c r="A265" t="str">
        <x:v>DW-0260</x:v>
      </x:c>
      <x:c r="B265" t="str">
        <x:v>DW-0260</x:v>
      </x:c>
      <x:c r="C265" t="str">
        <x:v>Parent historique</x:v>
      </x:c>
      <x:c r="D265" t="str">
        <x:v>Automobile et carburant</x:v>
      </x:c>
      <x:c r="E265" t="str">
        <x:v>Garage de collection</x:v>
      </x:c>
      <x:c r="F265" t="n">
        <x:v>8</x:v>
      </x:c>
      <x:c r="G265" t="n">
        <x:v>4</x:v>
      </x:c>
      <x:c r="H265" t="n">
        <x:v>12</x:v>
      </x:c>
      <x:c r="I265" t="str">
        <x:v>À qualifier par lieu</x:v>
      </x:c>
      <x:c r="J265" t="str">
        <x:v>https://github.com/darknigthmare/deadwall-last-enclosure/blob/1b3b9c5ba232734b1bda3453b4e20a0481bcdd74/codex-3000/originaux/DEADWALL_CODEX_1.22/fiches/DW-0260.md</x:v>
      </x:c>
      <x:c r="K265" t="str">
        <x:v>Source min 22,18 m ; max 100,85 m ; modèle 25 × 18 m ; niveaux 0. Détails dans catalogue-existant.json.</x:v>
      </x:c>
    </x:row>
    <x:row r="266">
      <x:c r="A266" t="str">
        <x:v>DW-0261</x:v>
      </x:c>
      <x:c r="B266" t="str">
        <x:v>DW-0261</x:v>
      </x:c>
      <x:c r="C266" t="str">
        <x:v>Parent historique</x:v>
      </x:c>
      <x:c r="D266" t="str">
        <x:v>Routes et ouvrages</x:v>
      </x:c>
      <x:c r="E266" t="str">
        <x:v>Carrefour de village</x:v>
      </x:c>
      <x:c r="F266" t="n">
        <x:v>10</x:v>
      </x:c>
      <x:c r="G266" t="n">
        <x:v>4</x:v>
      </x:c>
      <x:c r="H266" t="n">
        <x:v>12</x:v>
      </x:c>
      <x:c r="I266" t="str">
        <x:v>À qualifier par lieu</x:v>
      </x:c>
      <x:c r="J266" t="str">
        <x:v>https://github.com/darknigthmare/deadwall-last-enclosure/blob/1b3b9c5ba232734b1bda3453b4e20a0481bcdd74/codex-3000/originaux/DEADWALL_CODEX_1.22/fiches/DW-0261.md</x:v>
      </x:c>
      <x:c r="K266" t="str">
        <x:v>Source min 100,25 m ; max 1200,180 m ; modèle 100 × 25 m ; niveaux 0. Détails dans catalogue-existant.json.</x:v>
      </x:c>
    </x:row>
    <x:row r="267">
      <x:c r="A267" t="str">
        <x:v>DW-0262</x:v>
      </x:c>
      <x:c r="B267" t="str">
        <x:v>DW-0262</x:v>
      </x:c>
      <x:c r="C267" t="str">
        <x:v>Parent historique</x:v>
      </x:c>
      <x:c r="D267" t="str">
        <x:v>Routes et ouvrages</x:v>
      </x:c>
      <x:c r="E267" t="str">
        <x:v>Rond-point périphérique</x:v>
      </x:c>
      <x:c r="F267" t="n">
        <x:v>10</x:v>
      </x:c>
      <x:c r="G267" t="n">
        <x:v>4</x:v>
      </x:c>
      <x:c r="H267" t="n">
        <x:v>12</x:v>
      </x:c>
      <x:c r="I267" t="str">
        <x:v>À qualifier par lieu</x:v>
      </x:c>
      <x:c r="J267" t="str">
        <x:v>https://github.com/darknigthmare/deadwall-last-enclosure/blob/1b3b9c5ba232734b1bda3453b4e20a0481bcdd74/codex-3000/originaux/DEADWALL_CODEX_1.22/fiches/DW-0262.md</x:v>
      </x:c>
      <x:c r="K267" t="str">
        <x:v>Source min 100,25 m ; max 1200,180 m ; modèle 100 × 25 m ; niveaux 0. Détails dans catalogue-existant.json.</x:v>
      </x:c>
    </x:row>
    <x:row r="268">
      <x:c r="A268" t="str">
        <x:v>DW-0263</x:v>
      </x:c>
      <x:c r="B268" t="str">
        <x:v>DW-0263</x:v>
      </x:c>
      <x:c r="C268" t="str">
        <x:v>Parent historique</x:v>
      </x:c>
      <x:c r="D268" t="str">
        <x:v>Routes et ouvrages</x:v>
      </x:c>
      <x:c r="E268" t="str">
        <x:v>Aire de repos forestière</x:v>
      </x:c>
      <x:c r="F268" t="n">
        <x:v>10</x:v>
      </x:c>
      <x:c r="G268" t="n">
        <x:v>4</x:v>
      </x:c>
      <x:c r="H268" t="n">
        <x:v>12</x:v>
      </x:c>
      <x:c r="I268" t="str">
        <x:v>À qualifier par lieu</x:v>
      </x:c>
      <x:c r="J268" t="str">
        <x:v>https://github.com/darknigthmare/deadwall-last-enclosure/blob/1b3b9c5ba232734b1bda3453b4e20a0481bcdd74/codex-3000/originaux/DEADWALL_CODEX_1.22/fiches/DW-0263.md</x:v>
      </x:c>
      <x:c r="K268" t="str">
        <x:v>Source min 100,25 m ; max 1200,180 m ; modèle 100 × 25 m ; niveaux 0. Détails dans catalogue-existant.json.</x:v>
      </x:c>
    </x:row>
    <x:row r="269">
      <x:c r="A269" t="str">
        <x:v>DW-0264</x:v>
      </x:c>
      <x:c r="B269" t="str">
        <x:v>DW-0264</x:v>
      </x:c>
      <x:c r="C269" t="str">
        <x:v>Parent historique</x:v>
      </x:c>
      <x:c r="D269" t="str">
        <x:v>Routes et ouvrages</x:v>
      </x:c>
      <x:c r="E269" t="str">
        <x:v>Aire de service de plaine</x:v>
      </x:c>
      <x:c r="F269" t="n">
        <x:v>10</x:v>
      </x:c>
      <x:c r="G269" t="n">
        <x:v>4</x:v>
      </x:c>
      <x:c r="H269" t="n">
        <x:v>12</x:v>
      </x:c>
      <x:c r="I269" t="str">
        <x:v>À qualifier par lieu</x:v>
      </x:c>
      <x:c r="J269" t="str">
        <x:v>https://github.com/darknigthmare/deadwall-last-enclosure/blob/1b3b9c5ba232734b1bda3453b4e20a0481bcdd74/codex-3000/originaux/DEADWALL_CODEX_1.22/fiches/DW-0264.md</x:v>
      </x:c>
      <x:c r="K269" t="str">
        <x:v>Source min 100,25 m ; max 1200,180 m ; modèle 100 × 25 m ; niveaux 0. Détails dans catalogue-existant.json.</x:v>
      </x:c>
    </x:row>
    <x:row r="270">
      <x:c r="A270" t="str">
        <x:v>DW-0265</x:v>
      </x:c>
      <x:c r="B270" t="str">
        <x:v>DW-0265</x:v>
      </x:c>
      <x:c r="C270" t="str">
        <x:v>Parent historique</x:v>
      </x:c>
      <x:c r="D270" t="str">
        <x:v>Routes et ouvrages</x:v>
      </x:c>
      <x:c r="E270" t="str">
        <x:v>Pont routier</x:v>
      </x:c>
      <x:c r="F270" t="n">
        <x:v>10</x:v>
      </x:c>
      <x:c r="G270" t="n">
        <x:v>4</x:v>
      </x:c>
      <x:c r="H270" t="n">
        <x:v>12</x:v>
      </x:c>
      <x:c r="I270" t="str">
        <x:v>À qualifier par lieu</x:v>
      </x:c>
      <x:c r="J270" t="str">
        <x:v>https://github.com/darknigthmare/deadwall-last-enclosure/blob/1b3b9c5ba232734b1bda3453b4e20a0481bcdd74/codex-3000/originaux/DEADWALL_CODEX_1.22/fiches/DW-0265.md</x:v>
      </x:c>
      <x:c r="K270" t="str">
        <x:v>Source min 100,25 m ; max 1200,180 m ; modèle 100 × 25 m ; niveaux 0. Détails dans catalogue-existant.json.</x:v>
      </x:c>
    </x:row>
    <x:row r="271">
      <x:c r="A271" t="str">
        <x:v>DW-0266</x:v>
      </x:c>
      <x:c r="B271" t="str">
        <x:v>DW-0266</x:v>
      </x:c>
      <x:c r="C271" t="str">
        <x:v>Parent historique</x:v>
      </x:c>
      <x:c r="D271" t="str">
        <x:v>Routes et ouvrages</x:v>
      </x:c>
      <x:c r="E271" t="str">
        <x:v>Viaduc</x:v>
      </x:c>
      <x:c r="F271" t="n">
        <x:v>10</x:v>
      </x:c>
      <x:c r="G271" t="n">
        <x:v>4</x:v>
      </x:c>
      <x:c r="H271" t="n">
        <x:v>12</x:v>
      </x:c>
      <x:c r="I271" t="str">
        <x:v>À qualifier par lieu</x:v>
      </x:c>
      <x:c r="J271" t="str">
        <x:v>https://github.com/darknigthmare/deadwall-last-enclosure/blob/1b3b9c5ba232734b1bda3453b4e20a0481bcdd74/codex-3000/originaux/DEADWALL_CODEX_1.22/fiches/DW-0266.md</x:v>
      </x:c>
      <x:c r="K271" t="str">
        <x:v>Source min 100,25 m ; max 1200,180 m ; modèle 100 × 25 m ; niveaux 0. Détails dans catalogue-existant.json.</x:v>
      </x:c>
    </x:row>
    <x:row r="272">
      <x:c r="A272" t="str">
        <x:v>DW-0267</x:v>
      </x:c>
      <x:c r="B272" t="str">
        <x:v>DW-0267</x:v>
      </x:c>
      <x:c r="C272" t="str">
        <x:v>Parent historique</x:v>
      </x:c>
      <x:c r="D272" t="str">
        <x:v>Routes et ouvrages</x:v>
      </x:c>
      <x:c r="E272" t="str">
        <x:v>Tunnel routier</x:v>
      </x:c>
      <x:c r="F272" t="n">
        <x:v>10</x:v>
      </x:c>
      <x:c r="G272" t="n">
        <x:v>4</x:v>
      </x:c>
      <x:c r="H272" t="n">
        <x:v>12</x:v>
      </x:c>
      <x:c r="I272" t="str">
        <x:v>À qualifier par lieu</x:v>
      </x:c>
      <x:c r="J272" t="str">
        <x:v>https://github.com/darknigthmare/deadwall-last-enclosure/blob/1b3b9c5ba232734b1bda3453b4e20a0481bcdd74/codex-3000/originaux/DEADWALL_CODEX_1.22/fiches/DW-0267.md</x:v>
      </x:c>
      <x:c r="K272" t="str">
        <x:v>Source min 100,25 m ; max 1200,180 m ; modèle 100 × 25 m ; niveaux 0. Détails dans catalogue-existant.json.</x:v>
      </x:c>
    </x:row>
    <x:row r="273">
      <x:c r="A273" t="str">
        <x:v>DW-0268</x:v>
      </x:c>
      <x:c r="B273" t="str">
        <x:v>DW-0268</x:v>
      </x:c>
      <x:c r="C273" t="str">
        <x:v>Parent historique</x:v>
      </x:c>
      <x:c r="D273" t="str">
        <x:v>Routes et ouvrages</x:v>
      </x:c>
      <x:c r="E273" t="str">
        <x:v>Passage inférieur</x:v>
      </x:c>
      <x:c r="F273" t="n">
        <x:v>10</x:v>
      </x:c>
      <x:c r="G273" t="n">
        <x:v>4</x:v>
      </x:c>
      <x:c r="H273" t="n">
        <x:v>10</x:v>
      </x:c>
      <x:c r="I273" t="str">
        <x:v>À qualifier par lieu</x:v>
      </x:c>
      <x:c r="J273" t="str">
        <x:v>https://github.com/darknigthmare/deadwall-last-enclosure/blob/1b3b9c5ba232734b1bda3453b4e20a0481bcdd74/codex-3000/originaux/DEADWALL_CODEX_1.22/fiches/DW-0268.md</x:v>
      </x:c>
      <x:c r="K273" t="str">
        <x:v>Source min 100,25 m ; max 1200,180 m ; modèle 100 × 25 m ; niveaux 0. Détails dans catalogue-existant.json.</x:v>
      </x:c>
    </x:row>
    <x:row r="274">
      <x:c r="A274" t="str">
        <x:v>DW-0269</x:v>
      </x:c>
      <x:c r="B274" t="str">
        <x:v>DW-0269</x:v>
      </x:c>
      <x:c r="C274" t="str">
        <x:v>Parent historique</x:v>
      </x:c>
      <x:c r="D274" t="str">
        <x:v>Routes et ouvrages</x:v>
      </x:c>
      <x:c r="E274" t="str">
        <x:v>Échangeur autoroutier</x:v>
      </x:c>
      <x:c r="F274" t="n">
        <x:v>10</x:v>
      </x:c>
      <x:c r="G274" t="n">
        <x:v>4</x:v>
      </x:c>
      <x:c r="H274" t="n">
        <x:v>12</x:v>
      </x:c>
      <x:c r="I274" t="str">
        <x:v>À qualifier par lieu</x:v>
      </x:c>
      <x:c r="J274" t="str">
        <x:v>https://github.com/darknigthmare/deadwall-last-enclosure/blob/1b3b9c5ba232734b1bda3453b4e20a0481bcdd74/codex-3000/originaux/DEADWALL_CODEX_1.22/fiches/DW-0269.md</x:v>
      </x:c>
      <x:c r="K274" t="str">
        <x:v>Source min 100,25 m ; max 1200,180 m ; modèle 100 × 25 m ; niveaux 0. Détails dans catalogue-existant.json.</x:v>
      </x:c>
    </x:row>
    <x:row r="275">
      <x:c r="A275" t="str">
        <x:v>DW-0270</x:v>
      </x:c>
      <x:c r="B275" t="str">
        <x:v>DW-0270</x:v>
      </x:c>
      <x:c r="C275" t="str">
        <x:v>Parent historique</x:v>
      </x:c>
      <x:c r="D275" t="str">
        <x:v>Routes et ouvrages</x:v>
      </x:c>
      <x:c r="E275" t="str">
        <x:v>Péage abandonné</x:v>
      </x:c>
      <x:c r="F275" t="n">
        <x:v>10</x:v>
      </x:c>
      <x:c r="G275" t="n">
        <x:v>4</x:v>
      </x:c>
      <x:c r="H275" t="n">
        <x:v>12</x:v>
      </x:c>
      <x:c r="I275" t="str">
        <x:v>À qualifier par lieu</x:v>
      </x:c>
      <x:c r="J275" t="str">
        <x:v>https://github.com/darknigthmare/deadwall-last-enclosure/blob/1b3b9c5ba232734b1bda3453b4e20a0481bcdd74/codex-3000/originaux/DEADWALL_CODEX_1.22/fiches/DW-0270.md</x:v>
      </x:c>
      <x:c r="K275" t="str">
        <x:v>Source min 100,25 m ; max 1200,180 m ; modèle 100 × 25 m ; niveaux 0. Détails dans catalogue-existant.json.</x:v>
      </x:c>
    </x:row>
    <x:row r="276">
      <x:c r="A276" t="str">
        <x:v>DW-0271</x:v>
      </x:c>
      <x:c r="B276" t="str">
        <x:v>DW-0271</x:v>
      </x:c>
      <x:c r="C276" t="str">
        <x:v>Parent historique</x:v>
      </x:c>
      <x:c r="D276" t="str">
        <x:v>Routes et ouvrages</x:v>
      </x:c>
      <x:c r="E276" t="str">
        <x:v>Poste d'entretien routier</x:v>
      </x:c>
      <x:c r="F276" t="n">
        <x:v>10</x:v>
      </x:c>
      <x:c r="G276" t="n">
        <x:v>4</x:v>
      </x:c>
      <x:c r="H276" t="n">
        <x:v>12</x:v>
      </x:c>
      <x:c r="I276" t="str">
        <x:v>À qualifier par lieu</x:v>
      </x:c>
      <x:c r="J276" t="str">
        <x:v>https://github.com/darknigthmare/deadwall-last-enclosure/blob/1b3b9c5ba232734b1bda3453b4e20a0481bcdd74/codex-3000/originaux/DEADWALL_CODEX_1.22/fiches/DW-0271.md</x:v>
      </x:c>
      <x:c r="K276" t="str">
        <x:v>Source min 100,25 m ; max 1200,180 m ; modèle 100 × 25 m ; niveaux 0. Détails dans catalogue-existant.json.</x:v>
      </x:c>
    </x:row>
    <x:row r="277">
      <x:c r="A277" t="str">
        <x:v>DW-0272</x:v>
      </x:c>
      <x:c r="B277" t="str">
        <x:v>DW-0272</x:v>
      </x:c>
      <x:c r="C277" t="str">
        <x:v>Parent historique</x:v>
      </x:c>
      <x:c r="D277" t="str">
        <x:v>Routes et ouvrages</x:v>
      </x:c>
      <x:c r="E277" t="str">
        <x:v>Déviation de travaux</x:v>
      </x:c>
      <x:c r="F277" t="n">
        <x:v>10</x:v>
      </x:c>
      <x:c r="G277" t="n">
        <x:v>3</x:v>
      </x:c>
      <x:c r="H277" t="n">
        <x:v>9</x:v>
      </x:c>
      <x:c r="I277" t="str">
        <x:v>À qualifier par lieu</x:v>
      </x:c>
      <x:c r="J277" t="str">
        <x:v>https://github.com/darknigthmare/deadwall-last-enclosure/blob/1b3b9c5ba232734b1bda3453b4e20a0481bcdd74/codex-3000/originaux/DEADWALL_CODEX_1.22/fiches/DW-0272.md</x:v>
      </x:c>
      <x:c r="K277" t="str">
        <x:v>Source min 100,25 m ; max 1200,180 m ; modèle 100 × 25 m ; niveaux 0. Détails dans catalogue-existant.json.</x:v>
      </x:c>
    </x:row>
    <x:row r="278">
      <x:c r="A278" t="str">
        <x:v>DW-0273</x:v>
      </x:c>
      <x:c r="B278" t="str">
        <x:v>DW-0273</x:v>
      </x:c>
      <x:c r="C278" t="str">
        <x:v>Parent historique</x:v>
      </x:c>
      <x:c r="D278" t="str">
        <x:v>Routes et ouvrages</x:v>
      </x:c>
      <x:c r="E278" t="str">
        <x:v>Route effondrée</x:v>
      </x:c>
      <x:c r="F278" t="n">
        <x:v>10</x:v>
      </x:c>
      <x:c r="G278" t="n">
        <x:v>4</x:v>
      </x:c>
      <x:c r="H278" t="n">
        <x:v>10</x:v>
      </x:c>
      <x:c r="I278" t="str">
        <x:v>À qualifier par lieu</x:v>
      </x:c>
      <x:c r="J278" t="str">
        <x:v>https://github.com/darknigthmare/deadwall-last-enclosure/blob/1b3b9c5ba232734b1bda3453b4e20a0481bcdd74/codex-3000/originaux/DEADWALL_CODEX_1.22/fiches/DW-0273.md</x:v>
      </x:c>
      <x:c r="K278" t="str">
        <x:v>Source min 100,25 m ; max 1200,180 m ; modèle 100 × 25 m ; niveaux 0. Détails dans catalogue-existant.json.</x:v>
      </x:c>
    </x:row>
    <x:row r="279">
      <x:c r="A279" t="str">
        <x:v>DW-0274</x:v>
      </x:c>
      <x:c r="B279" t="str">
        <x:v>DW-0274</x:v>
      </x:c>
      <x:c r="C279" t="str">
        <x:v>Parent historique</x:v>
      </x:c>
      <x:c r="D279" t="str">
        <x:v>Routes et ouvrages</x:v>
      </x:c>
      <x:c r="E279" t="str">
        <x:v>Passage à gué</x:v>
      </x:c>
      <x:c r="F279" t="n">
        <x:v>10</x:v>
      </x:c>
      <x:c r="G279" t="n">
        <x:v>4</x:v>
      </x:c>
      <x:c r="H279" t="n">
        <x:v>12</x:v>
      </x:c>
      <x:c r="I279" t="str">
        <x:v>À qualifier par lieu</x:v>
      </x:c>
      <x:c r="J279" t="str">
        <x:v>https://github.com/darknigthmare/deadwall-last-enclosure/blob/1b3b9c5ba232734b1bda3453b4e20a0481bcdd74/codex-3000/originaux/DEADWALL_CODEX_1.22/fiches/DW-0274.md</x:v>
      </x:c>
      <x:c r="K279" t="str">
        <x:v>Source min 100,25 m ; max 1200,180 m ; modèle 100 × 25 m ; niveaux 0. Détails dans catalogue-existant.json.</x:v>
      </x:c>
    </x:row>
    <x:row r="280">
      <x:c r="A280" t="str">
        <x:v>DW-0275</x:v>
      </x:c>
      <x:c r="B280" t="str">
        <x:v>DW-0275</x:v>
      </x:c>
      <x:c r="C280" t="str">
        <x:v>Parent historique</x:v>
      </x:c>
      <x:c r="D280" t="str">
        <x:v>Routes et ouvrages</x:v>
      </x:c>
      <x:c r="E280" t="str">
        <x:v>Route agricole</x:v>
      </x:c>
      <x:c r="F280" t="n">
        <x:v>10</x:v>
      </x:c>
      <x:c r="G280" t="n">
        <x:v>4</x:v>
      </x:c>
      <x:c r="H280" t="n">
        <x:v>12</x:v>
      </x:c>
      <x:c r="I280" t="str">
        <x:v>À qualifier par lieu</x:v>
      </x:c>
      <x:c r="J280" t="str">
        <x:v>https://github.com/darknigthmare/deadwall-last-enclosure/blob/1b3b9c5ba232734b1bda3453b4e20a0481bcdd74/codex-3000/originaux/DEADWALL_CODEX_1.22/fiches/DW-0275.md</x:v>
      </x:c>
      <x:c r="K280" t="str">
        <x:v>Source min 100,25 m ; max 1200,180 m ; modèle 100 × 25 m ; niveaux 0. Détails dans catalogue-existant.json.</x:v>
      </x:c>
    </x:row>
    <x:row r="281">
      <x:c r="A281" t="str">
        <x:v>DW-0276</x:v>
      </x:c>
      <x:c r="B281" t="str">
        <x:v>DW-0276</x:v>
      </x:c>
      <x:c r="C281" t="str">
        <x:v>Parent historique</x:v>
      </x:c>
      <x:c r="D281" t="str">
        <x:v>Routes et ouvrages</x:v>
      </x:c>
      <x:c r="E281" t="str">
        <x:v>Piste forestière</x:v>
      </x:c>
      <x:c r="F281" t="n">
        <x:v>10</x:v>
      </x:c>
      <x:c r="G281" t="n">
        <x:v>4</x:v>
      </x:c>
      <x:c r="H281" t="n">
        <x:v>12</x:v>
      </x:c>
      <x:c r="I281" t="str">
        <x:v>À qualifier par lieu</x:v>
      </x:c>
      <x:c r="J281" t="str">
        <x:v>https://github.com/darknigthmare/deadwall-last-enclosure/blob/1b3b9c5ba232734b1bda3453b4e20a0481bcdd74/codex-3000/originaux/DEADWALL_CODEX_1.22/fiches/DW-0276.md</x:v>
      </x:c>
      <x:c r="K281" t="str">
        <x:v>Source min 100,25 m ; max 1200,180 m ; modèle 100 × 25 m ; niveaux 0. Détails dans catalogue-existant.json.</x:v>
      </x:c>
    </x:row>
    <x:row r="282">
      <x:c r="A282" t="str">
        <x:v>DW-0277</x:v>
      </x:c>
      <x:c r="B282" t="str">
        <x:v>DW-0277</x:v>
      </x:c>
      <x:c r="C282" t="str">
        <x:v>Parent historique</x:v>
      </x:c>
      <x:c r="D282" t="str">
        <x:v>Routes et ouvrages</x:v>
      </x:c>
      <x:c r="E282" t="str">
        <x:v>Rue commerçante</x:v>
      </x:c>
      <x:c r="F282" t="n">
        <x:v>10</x:v>
      </x:c>
      <x:c r="G282" t="n">
        <x:v>4</x:v>
      </x:c>
      <x:c r="H282" t="n">
        <x:v>12</x:v>
      </x:c>
      <x:c r="I282" t="str">
        <x:v>À qualifier par lieu</x:v>
      </x:c>
      <x:c r="J282" t="str">
        <x:v>https://github.com/darknigthmare/deadwall-last-enclosure/blob/1b3b9c5ba232734b1bda3453b4e20a0481bcdd74/codex-3000/originaux/DEADWALL_CODEX_1.22/fiches/DW-0277.md</x:v>
      </x:c>
      <x:c r="K282" t="str">
        <x:v>Source min 100,25 m ; max 1200,180 m ; modèle 100 × 25 m ; niveaux 0. Détails dans catalogue-existant.json.</x:v>
      </x:c>
    </x:row>
    <x:row r="283">
      <x:c r="A283" t="str">
        <x:v>DW-0278</x:v>
      </x:c>
      <x:c r="B283" t="str">
        <x:v>DW-0278</x:v>
      </x:c>
      <x:c r="C283" t="str">
        <x:v>Parent historique</x:v>
      </x:c>
      <x:c r="D283" t="str">
        <x:v>Routes et ouvrages</x:v>
      </x:c>
      <x:c r="E283" t="str">
        <x:v>Ruelle de service</x:v>
      </x:c>
      <x:c r="F283" t="n">
        <x:v>10</x:v>
      </x:c>
      <x:c r="G283" t="n">
        <x:v>3</x:v>
      </x:c>
      <x:c r="H283" t="n">
        <x:v>9</x:v>
      </x:c>
      <x:c r="I283" t="str">
        <x:v>À qualifier par lieu</x:v>
      </x:c>
      <x:c r="J283" t="str">
        <x:v>https://github.com/darknigthmare/deadwall-last-enclosure/blob/1b3b9c5ba232734b1bda3453b4e20a0481bcdd74/codex-3000/originaux/DEADWALL_CODEX_1.22/fiches/DW-0278.md</x:v>
      </x:c>
      <x:c r="K283" t="str">
        <x:v>Source min 100,25 m ; max 1200,180 m ; modèle 100 × 25 m ; niveaux 0. Détails dans catalogue-existant.json.</x:v>
      </x:c>
    </x:row>
    <x:row r="284">
      <x:c r="A284" t="str">
        <x:v>DW-0279</x:v>
      </x:c>
      <x:c r="B284" t="str">
        <x:v>DW-0279</x:v>
      </x:c>
      <x:c r="C284" t="str">
        <x:v>Parent historique</x:v>
      </x:c>
      <x:c r="D284" t="str">
        <x:v>Routes et ouvrages</x:v>
      </x:c>
      <x:c r="E284" t="str">
        <x:v>Boulevard urbain</x:v>
      </x:c>
      <x:c r="F284" t="n">
        <x:v>10</x:v>
      </x:c>
      <x:c r="G284" t="n">
        <x:v>4</x:v>
      </x:c>
      <x:c r="H284" t="n">
        <x:v>10</x:v>
      </x:c>
      <x:c r="I284" t="str">
        <x:v>À qualifier par lieu</x:v>
      </x:c>
      <x:c r="J284" t="str">
        <x:v>https://github.com/darknigthmare/deadwall-last-enclosure/blob/1b3b9c5ba232734b1bda3453b4e20a0481bcdd74/codex-3000/originaux/DEADWALL_CODEX_1.22/fiches/DW-0279.md</x:v>
      </x:c>
      <x:c r="K284" t="str">
        <x:v>Source min 100,25 m ; max 1200,180 m ; modèle 100 × 25 m ; niveaux 0. Détails dans catalogue-existant.json.</x:v>
      </x:c>
    </x:row>
    <x:row r="285">
      <x:c r="A285" t="str">
        <x:v>DW-0280</x:v>
      </x:c>
      <x:c r="B285" t="str">
        <x:v>DW-0280</x:v>
      </x:c>
      <x:c r="C285" t="str">
        <x:v>Parent historique</x:v>
      </x:c>
      <x:c r="D285" t="str">
        <x:v>Routes et ouvrages</x:v>
      </x:c>
      <x:c r="E285" t="str">
        <x:v>Impasse résidentielle</x:v>
      </x:c>
      <x:c r="F285" t="n">
        <x:v>10</x:v>
      </x:c>
      <x:c r="G285" t="n">
        <x:v>4</x:v>
      </x:c>
      <x:c r="H285" t="n">
        <x:v>12</x:v>
      </x:c>
      <x:c r="I285" t="str">
        <x:v>À qualifier par lieu</x:v>
      </x:c>
      <x:c r="J285" t="str">
        <x:v>https://github.com/darknigthmare/deadwall-last-enclosure/blob/1b3b9c5ba232734b1bda3453b4e20a0481bcdd74/codex-3000/originaux/DEADWALL_CODEX_1.22/fiches/DW-0280.md</x:v>
      </x:c>
      <x:c r="K285" t="str">
        <x:v>Source min 100,25 m ; max 1200,180 m ; modèle 100 × 25 m ; niveaux 0. Détails dans catalogue-existant.json.</x:v>
      </x:c>
    </x:row>
    <x:row r="286">
      <x:c r="A286" t="str">
        <x:v>DW-0281</x:v>
      </x:c>
      <x:c r="B286" t="str">
        <x:v>DW-0281</x:v>
      </x:c>
      <x:c r="C286" t="str">
        <x:v>Parent historique</x:v>
      </x:c>
      <x:c r="D286" t="str">
        <x:v>Ferroviaire et transports collectifs</x:v>
      </x:c>
      <x:c r="E286" t="str">
        <x:v>Gare de village</x:v>
      </x:c>
      <x:c r="F286" t="n">
        <x:v>10</x:v>
      </x:c>
      <x:c r="G286" t="n">
        <x:v>4</x:v>
      </x:c>
      <x:c r="H286" t="n">
        <x:v>12</x:v>
      </x:c>
      <x:c r="I286" t="str">
        <x:v>À qualifier par lieu</x:v>
      </x:c>
      <x:c r="J286" t="str">
        <x:v>https://github.com/darknigthmare/deadwall-last-enclosure/blob/1b3b9c5ba232734b1bda3453b4e20a0481bcdd74/codex-3000/originaux/DEADWALL_CODEX_1.22/fiches/DW-0281.md</x:v>
      </x:c>
      <x:c r="K286" t="str">
        <x:v>Source min 60,25 m ; max 600,160 m ; modèle 60 × 25 m ; niveaux 0. Détails dans catalogue-existant.json.</x:v>
      </x:c>
    </x:row>
    <x:row r="287">
      <x:c r="A287" t="str">
        <x:v>DW-0282</x:v>
      </x:c>
      <x:c r="B287" t="str">
        <x:v>DW-0282</x:v>
      </x:c>
      <x:c r="C287" t="str">
        <x:v>Parent historique</x:v>
      </x:c>
      <x:c r="D287" t="str">
        <x:v>Ferroviaire et transports collectifs</x:v>
      </x:c>
      <x:c r="E287" t="str">
        <x:v>Gare urbaine</x:v>
      </x:c>
      <x:c r="F287" t="n">
        <x:v>10</x:v>
      </x:c>
      <x:c r="G287" t="n">
        <x:v>4</x:v>
      </x:c>
      <x:c r="H287" t="n">
        <x:v>10</x:v>
      </x:c>
      <x:c r="I287" t="str">
        <x:v>À qualifier par lieu</x:v>
      </x:c>
      <x:c r="J287" t="str">
        <x:v>https://github.com/darknigthmare/deadwall-last-enclosure/blob/1b3b9c5ba232734b1bda3453b4e20a0481bcdd74/codex-3000/originaux/DEADWALL_CODEX_1.22/fiches/DW-0282.md</x:v>
      </x:c>
      <x:c r="K287" t="str">
        <x:v>Source min 60,25 m ; max 600,160 m ; modèle 60 × 25 m ; niveaux 0. Détails dans catalogue-existant.json.</x:v>
      </x:c>
    </x:row>
    <x:row r="288">
      <x:c r="A288" t="str">
        <x:v>DW-0283</x:v>
      </x:c>
      <x:c r="B288" t="str">
        <x:v>DW-0283</x:v>
      </x:c>
      <x:c r="C288" t="str">
        <x:v>Parent historique</x:v>
      </x:c>
      <x:c r="D288" t="str">
        <x:v>Ferroviaire et transports collectifs</x:v>
      </x:c>
      <x:c r="E288" t="str">
        <x:v>Gare terminus</x:v>
      </x:c>
      <x:c r="F288" t="n">
        <x:v>10</x:v>
      </x:c>
      <x:c r="G288" t="n">
        <x:v>4</x:v>
      </x:c>
      <x:c r="H288" t="n">
        <x:v>12</x:v>
      </x:c>
      <x:c r="I288" t="str">
        <x:v>À qualifier par lieu</x:v>
      </x:c>
      <x:c r="J288" t="str">
        <x:v>https://github.com/darknigthmare/deadwall-last-enclosure/blob/1b3b9c5ba232734b1bda3453b4e20a0481bcdd74/codex-3000/originaux/DEADWALL_CODEX_1.22/fiches/DW-0283.md</x:v>
      </x:c>
      <x:c r="K288" t="str">
        <x:v>Source min 60,25 m ; max 600,160 m ; modèle 60 × 25 m ; niveaux 0. Détails dans catalogue-existant.json.</x:v>
      </x:c>
    </x:row>
    <x:row r="289">
      <x:c r="A289" t="str">
        <x:v>DW-0284</x:v>
      </x:c>
      <x:c r="B289" t="str">
        <x:v>DW-0284</x:v>
      </x:c>
      <x:c r="C289" t="str">
        <x:v>Parent historique</x:v>
      </x:c>
      <x:c r="D289" t="str">
        <x:v>Ferroviaire et transports collectifs</x:v>
      </x:c>
      <x:c r="E289" t="str">
        <x:v>Gare de marchandises</x:v>
      </x:c>
      <x:c r="F289" t="n">
        <x:v>10</x:v>
      </x:c>
      <x:c r="G289" t="n">
        <x:v>4</x:v>
      </x:c>
      <x:c r="H289" t="n">
        <x:v>12</x:v>
      </x:c>
      <x:c r="I289" t="str">
        <x:v>À qualifier par lieu</x:v>
      </x:c>
      <x:c r="J289" t="str">
        <x:v>https://github.com/darknigthmare/deadwall-last-enclosure/blob/1b3b9c5ba232734b1bda3453b4e20a0481bcdd74/codex-3000/originaux/DEADWALL_CODEX_1.22/fiches/DW-0284.md</x:v>
      </x:c>
      <x:c r="K289" t="str">
        <x:v>Source min 60,25 m ; max 600,160 m ; modèle 60 × 25 m ; niveaux 0. Détails dans catalogue-existant.json.</x:v>
      </x:c>
    </x:row>
    <x:row r="290">
      <x:c r="A290" t="str">
        <x:v>DW-0285</x:v>
      </x:c>
      <x:c r="B290" t="str">
        <x:v>DW-0285</x:v>
      </x:c>
      <x:c r="C290" t="str">
        <x:v>Parent historique</x:v>
      </x:c>
      <x:c r="D290" t="str">
        <x:v>Ferroviaire et transports collectifs</x:v>
      </x:c>
      <x:c r="E290" t="str">
        <x:v>Triage ferroviaire</x:v>
      </x:c>
      <x:c r="F290" t="n">
        <x:v>10</x:v>
      </x:c>
      <x:c r="G290" t="n">
        <x:v>4</x:v>
      </x:c>
      <x:c r="H290" t="n">
        <x:v>12</x:v>
      </x:c>
      <x:c r="I290" t="str">
        <x:v>À qualifier par lieu</x:v>
      </x:c>
      <x:c r="J290" t="str">
        <x:v>https://github.com/darknigthmare/deadwall-last-enclosure/blob/1b3b9c5ba232734b1bda3453b4e20a0481bcdd74/codex-3000/originaux/DEADWALL_CODEX_1.22/fiches/DW-0285.md</x:v>
      </x:c>
      <x:c r="K290" t="str">
        <x:v>Source min 60,25 m ; max 600,160 m ; modèle 60 × 25 m ; niveaux 0. Détails dans catalogue-existant.json.</x:v>
      </x:c>
    </x:row>
    <x:row r="291">
      <x:c r="A291" t="str">
        <x:v>DW-0286</x:v>
      </x:c>
      <x:c r="B291" t="str">
        <x:v>DW-0286</x:v>
      </x:c>
      <x:c r="C291" t="str">
        <x:v>Parent historique</x:v>
      </x:c>
      <x:c r="D291" t="str">
        <x:v>Ferroviaire et transports collectifs</x:v>
      </x:c>
      <x:c r="E291" t="str">
        <x:v>Dépôt de locomotives</x:v>
      </x:c>
      <x:c r="F291" t="n">
        <x:v>10</x:v>
      </x:c>
      <x:c r="G291" t="n">
        <x:v>4</x:v>
      </x:c>
      <x:c r="H291" t="n">
        <x:v>12</x:v>
      </x:c>
      <x:c r="I291" t="str">
        <x:v>À qualifier par lieu</x:v>
      </x:c>
      <x:c r="J291" t="str">
        <x:v>https://github.com/darknigthmare/deadwall-last-enclosure/blob/1b3b9c5ba232734b1bda3453b4e20a0481bcdd74/codex-3000/originaux/DEADWALL_CODEX_1.22/fiches/DW-0286.md</x:v>
      </x:c>
      <x:c r="K291" t="str">
        <x:v>Source min 60,25 m ; max 600,160 m ; modèle 60 × 25 m ; niveaux 0. Détails dans catalogue-existant.json.</x:v>
      </x:c>
    </x:row>
    <x:row r="292">
      <x:c r="A292" t="str">
        <x:v>DW-0287</x:v>
      </x:c>
      <x:c r="B292" t="str">
        <x:v>DW-0287</x:v>
      </x:c>
      <x:c r="C292" t="str">
        <x:v>Parent historique</x:v>
      </x:c>
      <x:c r="D292" t="str">
        <x:v>Ferroviaire et transports collectifs</x:v>
      </x:c>
      <x:c r="E292" t="str">
        <x:v>Rotonde ancienne</x:v>
      </x:c>
      <x:c r="F292" t="n">
        <x:v>10</x:v>
      </x:c>
      <x:c r="G292" t="n">
        <x:v>3</x:v>
      </x:c>
      <x:c r="H292" t="n">
        <x:v>9</x:v>
      </x:c>
      <x:c r="I292" t="str">
        <x:v>À qualifier par lieu</x:v>
      </x:c>
      <x:c r="J292" t="str">
        <x:v>https://github.com/darknigthmare/deadwall-last-enclosure/blob/1b3b9c5ba232734b1bda3453b4e20a0481bcdd74/codex-3000/originaux/DEADWALL_CODEX_1.22/fiches/DW-0287.md</x:v>
      </x:c>
      <x:c r="K292" t="str">
        <x:v>Source min 60,25 m ; max 600,160 m ; modèle 60 × 25 m ; niveaux 0. Détails dans catalogue-existant.json.</x:v>
      </x:c>
    </x:row>
    <x:row r="293">
      <x:c r="A293" t="str">
        <x:v>DW-0288</x:v>
      </x:c>
      <x:c r="B293" t="str">
        <x:v>DW-0288</x:v>
      </x:c>
      <x:c r="C293" t="str">
        <x:v>Parent historique</x:v>
      </x:c>
      <x:c r="D293" t="str">
        <x:v>Ferroviaire et transports collectifs</x:v>
      </x:c>
      <x:c r="E293" t="str">
        <x:v>Atelier de wagons</x:v>
      </x:c>
      <x:c r="F293" t="n">
        <x:v>10</x:v>
      </x:c>
      <x:c r="G293" t="n">
        <x:v>4</x:v>
      </x:c>
      <x:c r="H293" t="n">
        <x:v>12</x:v>
      </x:c>
      <x:c r="I293" t="str">
        <x:v>À qualifier par lieu</x:v>
      </x:c>
      <x:c r="J293" t="str">
        <x:v>https://github.com/darknigthmare/deadwall-last-enclosure/blob/1b3b9c5ba232734b1bda3453b4e20a0481bcdd74/codex-3000/originaux/DEADWALL_CODEX_1.22/fiches/DW-0288.md</x:v>
      </x:c>
      <x:c r="K293" t="str">
        <x:v>Source min 60,25 m ; max 600,160 m ; modèle 60 × 25 m ; niveaux 0. Détails dans catalogue-existant.json.</x:v>
      </x:c>
    </x:row>
    <x:row r="294">
      <x:c r="A294" t="str">
        <x:v>DW-0289</x:v>
      </x:c>
      <x:c r="B294" t="str">
        <x:v>DW-0289</x:v>
      </x:c>
      <x:c r="C294" t="str">
        <x:v>Parent historique</x:v>
      </x:c>
      <x:c r="D294" t="str">
        <x:v>Ferroviaire et transports collectifs</x:v>
      </x:c>
      <x:c r="E294" t="str">
        <x:v>Halle fret désaffectée</x:v>
      </x:c>
      <x:c r="F294" t="n">
        <x:v>10</x:v>
      </x:c>
      <x:c r="G294" t="n">
        <x:v>4</x:v>
      </x:c>
      <x:c r="H294" t="n">
        <x:v>10</x:v>
      </x:c>
      <x:c r="I294" t="str">
        <x:v>À qualifier par lieu</x:v>
      </x:c>
      <x:c r="J294" t="str">
        <x:v>https://github.com/darknigthmare/deadwall-last-enclosure/blob/1b3b9c5ba232734b1bda3453b4e20a0481bcdd74/codex-3000/originaux/DEADWALL_CODEX_1.22/fiches/DW-0289.md</x:v>
      </x:c>
      <x:c r="K294" t="str">
        <x:v>Source min 60,25 m ; max 600,160 m ; modèle 60 × 25 m ; niveaux 0. Détails dans catalogue-existant.json.</x:v>
      </x:c>
    </x:row>
    <x:row r="295">
      <x:c r="A295" t="str">
        <x:v>DW-0290</x:v>
      </x:c>
      <x:c r="B295" t="str">
        <x:v>DW-0290</x:v>
      </x:c>
      <x:c r="C295" t="str">
        <x:v>Parent historique</x:v>
      </x:c>
      <x:c r="D295" t="str">
        <x:v>Ferroviaire et transports collectifs</x:v>
      </x:c>
      <x:c r="E295" t="str">
        <x:v>Poste d'aiguillage</x:v>
      </x:c>
      <x:c r="F295" t="n">
        <x:v>10</x:v>
      </x:c>
      <x:c r="G295" t="n">
        <x:v>3</x:v>
      </x:c>
      <x:c r="H295" t="n">
        <x:v>9</x:v>
      </x:c>
      <x:c r="I295" t="str">
        <x:v>À qualifier par lieu</x:v>
      </x:c>
      <x:c r="J295" t="str">
        <x:v>https://github.com/darknigthmare/deadwall-last-enclosure/blob/1b3b9c5ba232734b1bda3453b4e20a0481bcdd74/codex-3000/originaux/DEADWALL_CODEX_1.22/fiches/DW-0290.md</x:v>
      </x:c>
      <x:c r="K295" t="str">
        <x:v>Source min 60,25 m ; max 600,160 m ; modèle 60 × 25 m ; niveaux 0. Détails dans catalogue-existant.json.</x:v>
      </x:c>
    </x:row>
    <x:row r="296">
      <x:c r="A296" t="str">
        <x:v>DW-0291</x:v>
      </x:c>
      <x:c r="B296" t="str">
        <x:v>DW-0291</x:v>
      </x:c>
      <x:c r="C296" t="str">
        <x:v>Parent historique</x:v>
      </x:c>
      <x:c r="D296" t="str">
        <x:v>Ferroviaire et transports collectifs</x:v>
      </x:c>
      <x:c r="E296" t="str">
        <x:v>Maison de passage à niveau</x:v>
      </x:c>
      <x:c r="F296" t="n">
        <x:v>10</x:v>
      </x:c>
      <x:c r="G296" t="n">
        <x:v>4</x:v>
      </x:c>
      <x:c r="H296" t="n">
        <x:v>12</x:v>
      </x:c>
      <x:c r="I296" t="str">
        <x:v>À qualifier par lieu</x:v>
      </x:c>
      <x:c r="J296" t="str">
        <x:v>https://github.com/darknigthmare/deadwall-last-enclosure/blob/1b3b9c5ba232734b1bda3453b4e20a0481bcdd74/codex-3000/originaux/DEADWALL_CODEX_1.22/fiches/DW-0291.md</x:v>
      </x:c>
      <x:c r="K296" t="str">
        <x:v>Source min 60,25 m ; max 600,160 m ; modèle 60 × 25 m ; niveaux 0. Détails dans catalogue-existant.json.</x:v>
      </x:c>
    </x:row>
    <x:row r="297">
      <x:c r="A297" t="str">
        <x:v>DW-0292</x:v>
      </x:c>
      <x:c r="B297" t="str">
        <x:v>DW-0292</x:v>
      </x:c>
      <x:c r="C297" t="str">
        <x:v>Parent historique</x:v>
      </x:c>
      <x:c r="D297" t="str">
        <x:v>Ferroviaire et transports collectifs</x:v>
      </x:c>
      <x:c r="E297" t="str">
        <x:v>Passage ferroviaire supérieur</x:v>
      </x:c>
      <x:c r="F297" t="n">
        <x:v>10</x:v>
      </x:c>
      <x:c r="G297" t="n">
        <x:v>4</x:v>
      </x:c>
      <x:c r="H297" t="n">
        <x:v>12</x:v>
      </x:c>
      <x:c r="I297" t="str">
        <x:v>À qualifier par lieu</x:v>
      </x:c>
      <x:c r="J297" t="str">
        <x:v>https://github.com/darknigthmare/deadwall-last-enclosure/blob/1b3b9c5ba232734b1bda3453b4e20a0481bcdd74/codex-3000/originaux/DEADWALL_CODEX_1.22/fiches/DW-0292.md</x:v>
      </x:c>
      <x:c r="K297" t="str">
        <x:v>Source min 60,25 m ; max 600,160 m ; modèle 60 × 25 m ; niveaux 0. Détails dans catalogue-existant.json.</x:v>
      </x:c>
    </x:row>
    <x:row r="298">
      <x:c r="A298" t="str">
        <x:v>DW-0293</x:v>
      </x:c>
      <x:c r="B298" t="str">
        <x:v>DW-0293</x:v>
      </x:c>
      <x:c r="C298" t="str">
        <x:v>Parent historique</x:v>
      </x:c>
      <x:c r="D298" t="str">
        <x:v>Ferroviaire et transports collectifs</x:v>
      </x:c>
      <x:c r="E298" t="str">
        <x:v>Tunnel ferroviaire</x:v>
      </x:c>
      <x:c r="F298" t="n">
        <x:v>10</x:v>
      </x:c>
      <x:c r="G298" t="n">
        <x:v>4</x:v>
      </x:c>
      <x:c r="H298" t="n">
        <x:v>10</x:v>
      </x:c>
      <x:c r="I298" t="str">
        <x:v>À qualifier par lieu</x:v>
      </x:c>
      <x:c r="J298" t="str">
        <x:v>https://github.com/darknigthmare/deadwall-last-enclosure/blob/1b3b9c5ba232734b1bda3453b4e20a0481bcdd74/codex-3000/originaux/DEADWALL_CODEX_1.22/fiches/DW-0293.md</x:v>
      </x:c>
      <x:c r="K298" t="str">
        <x:v>Source min 60,25 m ; max 600,160 m ; modèle 60 × 25 m ; niveaux 0. Détails dans catalogue-existant.json.</x:v>
      </x:c>
    </x:row>
    <x:row r="299">
      <x:c r="A299" t="str">
        <x:v>DW-0294</x:v>
      </x:c>
      <x:c r="B299" t="str">
        <x:v>DW-0294</x:v>
      </x:c>
      <x:c r="C299" t="str">
        <x:v>Parent historique</x:v>
      </x:c>
      <x:c r="D299" t="str">
        <x:v>Ferroviaire et transports collectifs</x:v>
      </x:c>
      <x:c r="E299" t="str">
        <x:v>Station de métro</x:v>
      </x:c>
      <x:c r="F299" t="n">
        <x:v>10</x:v>
      </x:c>
      <x:c r="G299" t="n">
        <x:v>4</x:v>
      </x:c>
      <x:c r="H299" t="n">
        <x:v>10</x:v>
      </x:c>
      <x:c r="I299" t="str">
        <x:v>À qualifier par lieu</x:v>
      </x:c>
      <x:c r="J299" t="str">
        <x:v>https://github.com/darknigthmare/deadwall-last-enclosure/blob/1b3b9c5ba232734b1bda3453b4e20a0481bcdd74/codex-3000/originaux/DEADWALL_CODEX_1.22/fiches/DW-0294.md</x:v>
      </x:c>
      <x:c r="K299" t="str">
        <x:v>Source min 60,25 m ; max 600,160 m ; modèle 60 × 25 m ; niveaux 0. Détails dans catalogue-existant.json.</x:v>
      </x:c>
    </x:row>
    <x:row r="300">
      <x:c r="A300" t="str">
        <x:v>DW-0295</x:v>
      </x:c>
      <x:c r="B300" t="str">
        <x:v>DW-0295</x:v>
      </x:c>
      <x:c r="C300" t="str">
        <x:v>Parent historique</x:v>
      </x:c>
      <x:c r="D300" t="str">
        <x:v>Ferroviaire et transports collectifs</x:v>
      </x:c>
      <x:c r="E300" t="str">
        <x:v>Dépôt de tramway</x:v>
      </x:c>
      <x:c r="F300" t="n">
        <x:v>10</x:v>
      </x:c>
      <x:c r="G300" t="n">
        <x:v>4</x:v>
      </x:c>
      <x:c r="H300" t="n">
        <x:v>12</x:v>
      </x:c>
      <x:c r="I300" t="str">
        <x:v>À qualifier par lieu</x:v>
      </x:c>
      <x:c r="J300" t="str">
        <x:v>https://github.com/darknigthmare/deadwall-last-enclosure/blob/1b3b9c5ba232734b1bda3453b4e20a0481bcdd74/codex-3000/originaux/DEADWALL_CODEX_1.22/fiches/DW-0295.md</x:v>
      </x:c>
      <x:c r="K300" t="str">
        <x:v>Source min 60,25 m ; max 600,160 m ; modèle 60 × 25 m ; niveaux 0. Détails dans catalogue-existant.json.</x:v>
      </x:c>
    </x:row>
    <x:row r="301">
      <x:c r="A301" t="str">
        <x:v>DW-0296</x:v>
      </x:c>
      <x:c r="B301" t="str">
        <x:v>DW-0296</x:v>
      </x:c>
      <x:c r="C301" t="str">
        <x:v>Parent historique</x:v>
      </x:c>
      <x:c r="D301" t="str">
        <x:v>Ferroviaire et transports collectifs</x:v>
      </x:c>
      <x:c r="E301" t="str">
        <x:v>Arrêt de tramway</x:v>
      </x:c>
      <x:c r="F301" t="n">
        <x:v>10</x:v>
      </x:c>
      <x:c r="G301" t="n">
        <x:v>4</x:v>
      </x:c>
      <x:c r="H301" t="n">
        <x:v>12</x:v>
      </x:c>
      <x:c r="I301" t="str">
        <x:v>À qualifier par lieu</x:v>
      </x:c>
      <x:c r="J301" t="str">
        <x:v>https://github.com/darknigthmare/deadwall-last-enclosure/blob/1b3b9c5ba232734b1bda3453b4e20a0481bcdd74/codex-3000/originaux/DEADWALL_CODEX_1.22/fiches/DW-0296.md</x:v>
      </x:c>
      <x:c r="K301" t="str">
        <x:v>Source min 60,25 m ; max 600,160 m ; modèle 60 × 25 m ; niveaux 0. Détails dans catalogue-existant.json.</x:v>
      </x:c>
    </x:row>
    <x:row r="302">
      <x:c r="A302" t="str">
        <x:v>DW-0297</x:v>
      </x:c>
      <x:c r="B302" t="str">
        <x:v>DW-0297</x:v>
      </x:c>
      <x:c r="C302" t="str">
        <x:v>Parent historique</x:v>
      </x:c>
      <x:c r="D302" t="str">
        <x:v>Ferroviaire et transports collectifs</x:v>
      </x:c>
      <x:c r="E302" t="str">
        <x:v>Terminal intermodal</x:v>
      </x:c>
      <x:c r="F302" t="n">
        <x:v>10</x:v>
      </x:c>
      <x:c r="G302" t="n">
        <x:v>4</x:v>
      </x:c>
      <x:c r="H302" t="n">
        <x:v>12</x:v>
      </x:c>
      <x:c r="I302" t="str">
        <x:v>À qualifier par lieu</x:v>
      </x:c>
      <x:c r="J302" t="str">
        <x:v>https://github.com/darknigthmare/deadwall-last-enclosure/blob/1b3b9c5ba232734b1bda3453b4e20a0481bcdd74/codex-3000/originaux/DEADWALL_CODEX_1.22/fiches/DW-0297.md</x:v>
      </x:c>
      <x:c r="K302" t="str">
        <x:v>Source min 60,25 m ; max 600,160 m ; modèle 60 × 25 m ; niveaux 0. Détails dans catalogue-existant.json.</x:v>
      </x:c>
    </x:row>
    <x:row r="303">
      <x:c r="A303" t="str">
        <x:v>DW-0298</x:v>
      </x:c>
      <x:c r="B303" t="str">
        <x:v>DW-0298</x:v>
      </x:c>
      <x:c r="C303" t="str">
        <x:v>Parent historique</x:v>
      </x:c>
      <x:c r="D303" t="str">
        <x:v>Ferroviaire et transports collectifs</x:v>
      </x:c>
      <x:c r="E303" t="str">
        <x:v>Dépôt d'entretien des voies</x:v>
      </x:c>
      <x:c r="F303" t="n">
        <x:v>10</x:v>
      </x:c>
      <x:c r="G303" t="n">
        <x:v>4</x:v>
      </x:c>
      <x:c r="H303" t="n">
        <x:v>12</x:v>
      </x:c>
      <x:c r="I303" t="str">
        <x:v>À qualifier par lieu</x:v>
      </x:c>
      <x:c r="J303" t="str">
        <x:v>https://github.com/darknigthmare/deadwall-last-enclosure/blob/1b3b9c5ba232734b1bda3453b4e20a0481bcdd74/codex-3000/originaux/DEADWALL_CODEX_1.22/fiches/DW-0298.md</x:v>
      </x:c>
      <x:c r="K303" t="str">
        <x:v>Source min 60,25 m ; max 600,160 m ; modèle 60 × 25 m ; niveaux 0. Détails dans catalogue-existant.json.</x:v>
      </x:c>
    </x:row>
    <x:row r="304">
      <x:c r="A304" t="str">
        <x:v>DW-0299</x:v>
      </x:c>
      <x:c r="B304" t="str">
        <x:v>DW-0299</x:v>
      </x:c>
      <x:c r="C304" t="str">
        <x:v>Parent historique</x:v>
      </x:c>
      <x:c r="D304" t="str">
        <x:v>Ferroviaire et transports collectifs</x:v>
      </x:c>
      <x:c r="E304" t="str">
        <x:v>Wagons-hébergement abandonnés</x:v>
      </x:c>
      <x:c r="F304" t="n">
        <x:v>10</x:v>
      </x:c>
      <x:c r="G304" t="n">
        <x:v>3</x:v>
      </x:c>
      <x:c r="H304" t="n">
        <x:v>9</x:v>
      </x:c>
      <x:c r="I304" t="str">
        <x:v>À qualifier par lieu</x:v>
      </x:c>
      <x:c r="J304" t="str">
        <x:v>https://github.com/darknigthmare/deadwall-last-enclosure/blob/1b3b9c5ba232734b1bda3453b4e20a0481bcdd74/codex-3000/originaux/DEADWALL_CODEX_1.22/fiches/DW-0299.md</x:v>
      </x:c>
      <x:c r="K304" t="str">
        <x:v>Source min 60,25 m ; max 600,160 m ; modèle 60 × 25 m ; niveaux 0. Détails dans catalogue-existant.json.</x:v>
      </x:c>
    </x:row>
    <x:row r="305">
      <x:c r="A305" t="str">
        <x:v>DW-0300</x:v>
      </x:c>
      <x:c r="B305" t="str">
        <x:v>DW-0300</x:v>
      </x:c>
      <x:c r="C305" t="str">
        <x:v>Parent historique</x:v>
      </x:c>
      <x:c r="D305" t="str">
        <x:v>Ferroviaire et transports collectifs</x:v>
      </x:c>
      <x:c r="E305" t="str">
        <x:v>Voie verte sur ancienne ligne</x:v>
      </x:c>
      <x:c r="F305" t="n">
        <x:v>10</x:v>
      </x:c>
      <x:c r="G305" t="n">
        <x:v>4</x:v>
      </x:c>
      <x:c r="H305" t="n">
        <x:v>12</x:v>
      </x:c>
      <x:c r="I305" t="str">
        <x:v>À qualifier par lieu</x:v>
      </x:c>
      <x:c r="J305" t="str">
        <x:v>https://github.com/darknigthmare/deadwall-last-enclosure/blob/1b3b9c5ba232734b1bda3453b4e20a0481bcdd74/codex-3000/originaux/DEADWALL_CODEX_1.22/fiches/DW-0300.md</x:v>
      </x:c>
      <x:c r="K305" t="str">
        <x:v>Source min 60,25 m ; max 600,160 m ; modèle 60 × 25 m ; niveaux 0. Détails dans catalogue-existant.json.</x:v>
      </x:c>
    </x:row>
    <x:row r="306">
      <x:c r="A306" t="str">
        <x:v>DW-0301</x:v>
      </x:c>
      <x:c r="B306" t="str">
        <x:v>DW-0301</x:v>
      </x:c>
      <x:c r="C306" t="str">
        <x:v>Parent historique</x:v>
      </x:c>
      <x:c r="D306" t="str">
        <x:v>Industrie et production</x:v>
      </x:c>
      <x:c r="E306" t="str">
        <x:v>Atelier de métallurgie</x:v>
      </x:c>
      <x:c r="F306" t="n">
        <x:v>8</x:v>
      </x:c>
      <x:c r="G306" t="n">
        <x:v>4</x:v>
      </x:c>
      <x:c r="H306" t="n">
        <x:v>12</x:v>
      </x:c>
      <x:c r="I306" t="str">
        <x:v>À qualifier par lieu</x:v>
      </x:c>
      <x:c r="J306" t="str">
        <x:v>https://github.com/darknigthmare/deadwall-last-enclosure/blob/1b3b9c5ba232734b1bda3453b4e20a0481bcdd74/codex-3000/originaux/DEADWALL_CODEX_1.22/fiches/DW-0301.md</x:v>
      </x:c>
      <x:c r="K306" t="str">
        <x:v>Source min 45,30 m ; max 240,170 m ; modèle 45 × 30 m ; niveaux 0. Détails dans catalogue-existant.json.</x:v>
      </x:c>
    </x:row>
    <x:row r="307">
      <x:c r="A307" t="str">
        <x:v>DW-0302</x:v>
      </x:c>
      <x:c r="B307" t="str">
        <x:v>DW-0302</x:v>
      </x:c>
      <x:c r="C307" t="str">
        <x:v>Parent historique</x:v>
      </x:c>
      <x:c r="D307" t="str">
        <x:v>Industrie et production</x:v>
      </x:c>
      <x:c r="E307" t="str">
        <x:v>Fonderie abandonnée</x:v>
      </x:c>
      <x:c r="F307" t="n">
        <x:v>8</x:v>
      </x:c>
      <x:c r="G307" t="n">
        <x:v>4</x:v>
      </x:c>
      <x:c r="H307" t="n">
        <x:v>12</x:v>
      </x:c>
      <x:c r="I307" t="str">
        <x:v>À qualifier par lieu</x:v>
      </x:c>
      <x:c r="J307" t="str">
        <x:v>https://github.com/darknigthmare/deadwall-last-enclosure/blob/1b3b9c5ba232734b1bda3453b4e20a0481bcdd74/codex-3000/originaux/DEADWALL_CODEX_1.22/fiches/DW-0302.md</x:v>
      </x:c>
      <x:c r="K307" t="str">
        <x:v>Source min 45,30 m ; max 240,170 m ; modèle 45 × 30 m ; niveaux 0. Détails dans catalogue-existant.json.</x:v>
      </x:c>
    </x:row>
    <x:row r="308">
      <x:c r="A308" t="str">
        <x:v>DW-0303</x:v>
      </x:c>
      <x:c r="B308" t="str">
        <x:v>DW-0303</x:v>
      </x:c>
      <x:c r="C308" t="str">
        <x:v>Parent historique</x:v>
      </x:c>
      <x:c r="D308" t="str">
        <x:v>Industrie et production</x:v>
      </x:c>
      <x:c r="E308" t="str">
        <x:v>Usine textile</x:v>
      </x:c>
      <x:c r="F308" t="n">
        <x:v>8</x:v>
      </x:c>
      <x:c r="G308" t="n">
        <x:v>4</x:v>
      </x:c>
      <x:c r="H308" t="n">
        <x:v>12</x:v>
      </x:c>
      <x:c r="I308" t="str">
        <x:v>À qualifier par lieu</x:v>
      </x:c>
      <x:c r="J308" t="str">
        <x:v>https://github.com/darknigthmare/deadwall-last-enclosure/blob/1b3b9c5ba232734b1bda3453b4e20a0481bcdd74/codex-3000/originaux/DEADWALL_CODEX_1.22/fiches/DW-0303.md</x:v>
      </x:c>
      <x:c r="K308" t="str">
        <x:v>Source min 45,30 m ; max 240,170 m ; modèle 45 × 30 m ; niveaux 0. Détails dans catalogue-existant.json.</x:v>
      </x:c>
    </x:row>
    <x:row r="309">
      <x:c r="A309" t="str">
        <x:v>DW-0304</x:v>
      </x:c>
      <x:c r="B309" t="str">
        <x:v>DW-0304</x:v>
      </x:c>
      <x:c r="C309" t="str">
        <x:v>Parent historique</x:v>
      </x:c>
      <x:c r="D309" t="str">
        <x:v>Industrie et production</x:v>
      </x:c>
      <x:c r="E309" t="str">
        <x:v>Usine d'emballages</x:v>
      </x:c>
      <x:c r="F309" t="n">
        <x:v>8</x:v>
      </x:c>
      <x:c r="G309" t="n">
        <x:v>4</x:v>
      </x:c>
      <x:c r="H309" t="n">
        <x:v>12</x:v>
      </x:c>
      <x:c r="I309" t="str">
        <x:v>À qualifier par lieu</x:v>
      </x:c>
      <x:c r="J309" t="str">
        <x:v>https://github.com/darknigthmare/deadwall-last-enclosure/blob/1b3b9c5ba232734b1bda3453b4e20a0481bcdd74/codex-3000/originaux/DEADWALL_CODEX_1.22/fiches/DW-0304.md</x:v>
      </x:c>
      <x:c r="K309" t="str">
        <x:v>Source min 45,30 m ; max 240,170 m ; modèle 45 × 30 m ; niveaux 0. Détails dans catalogue-existant.json.</x:v>
      </x:c>
    </x:row>
    <x:row r="310">
      <x:c r="A310" t="str">
        <x:v>DW-0305</x:v>
      </x:c>
      <x:c r="B310" t="str">
        <x:v>DW-0305</x:v>
      </x:c>
      <x:c r="C310" t="str">
        <x:v>Parent historique</x:v>
      </x:c>
      <x:c r="D310" t="str">
        <x:v>Industrie et production</x:v>
      </x:c>
      <x:c r="E310" t="str">
        <x:v>Imprimerie industrielle</x:v>
      </x:c>
      <x:c r="F310" t="n">
        <x:v>8</x:v>
      </x:c>
      <x:c r="G310" t="n">
        <x:v>4</x:v>
      </x:c>
      <x:c r="H310" t="n">
        <x:v>12</x:v>
      </x:c>
      <x:c r="I310" t="str">
        <x:v>À qualifier par lieu</x:v>
      </x:c>
      <x:c r="J310" t="str">
        <x:v>https://github.com/darknigthmare/deadwall-last-enclosure/blob/1b3b9c5ba232734b1bda3453b4e20a0481bcdd74/codex-3000/originaux/DEADWALL_CODEX_1.22/fiches/DW-0305.md</x:v>
      </x:c>
      <x:c r="K310" t="str">
        <x:v>Source min 45,30 m ; max 240,170 m ; modèle 45 × 30 m ; niveaux 0. Détails dans catalogue-existant.json.</x:v>
      </x:c>
    </x:row>
    <x:row r="311">
      <x:c r="A311" t="str">
        <x:v>DW-0306</x:v>
      </x:c>
      <x:c r="B311" t="str">
        <x:v>DW-0306</x:v>
      </x:c>
      <x:c r="C311" t="str">
        <x:v>Parent historique</x:v>
      </x:c>
      <x:c r="D311" t="str">
        <x:v>Industrie et production</x:v>
      </x:c>
      <x:c r="E311" t="str">
        <x:v>Atelier de menuiserie</x:v>
      </x:c>
      <x:c r="F311" t="n">
        <x:v>8</x:v>
      </x:c>
      <x:c r="G311" t="n">
        <x:v>4</x:v>
      </x:c>
      <x:c r="H311" t="n">
        <x:v>12</x:v>
      </x:c>
      <x:c r="I311" t="str">
        <x:v>À qualifier par lieu</x:v>
      </x:c>
      <x:c r="J311" t="str">
        <x:v>https://github.com/darknigthmare/deadwall-last-enclosure/blob/1b3b9c5ba232734b1bda3453b4e20a0481bcdd74/codex-3000/originaux/DEADWALL_CODEX_1.22/fiches/DW-0306.md</x:v>
      </x:c>
      <x:c r="K311" t="str">
        <x:v>Source min 45,30 m ; max 240,170 m ; modèle 45 × 30 m ; niveaux 0. Détails dans catalogue-existant.json.</x:v>
      </x:c>
    </x:row>
    <x:row r="312">
      <x:c r="A312" t="str">
        <x:v>DW-0307</x:v>
      </x:c>
      <x:c r="B312" t="str">
        <x:v>DW-0307</x:v>
      </x:c>
      <x:c r="C312" t="str">
        <x:v>Parent historique</x:v>
      </x:c>
      <x:c r="D312" t="str">
        <x:v>Industrie et production</x:v>
      </x:c>
      <x:c r="E312" t="str">
        <x:v>Usine de meubles</x:v>
      </x:c>
      <x:c r="F312" t="n">
        <x:v>8</x:v>
      </x:c>
      <x:c r="G312" t="n">
        <x:v>4</x:v>
      </x:c>
      <x:c r="H312" t="n">
        <x:v>12</x:v>
      </x:c>
      <x:c r="I312" t="str">
        <x:v>À qualifier par lieu</x:v>
      </x:c>
      <x:c r="J312" t="str">
        <x:v>https://github.com/darknigthmare/deadwall-last-enclosure/blob/1b3b9c5ba232734b1bda3453b4e20a0481bcdd74/codex-3000/originaux/DEADWALL_CODEX_1.22/fiches/DW-0307.md</x:v>
      </x:c>
      <x:c r="K312" t="str">
        <x:v>Source min 45,30 m ; max 240,170 m ; modèle 45 × 30 m ; niveaux 0. Détails dans catalogue-existant.json.</x:v>
      </x:c>
    </x:row>
    <x:row r="313">
      <x:c r="A313" t="str">
        <x:v>DW-0308</x:v>
      </x:c>
      <x:c r="B313" t="str">
        <x:v>DW-0308</x:v>
      </x:c>
      <x:c r="C313" t="str">
        <x:v>Parent historique</x:v>
      </x:c>
      <x:c r="D313" t="str">
        <x:v>Industrie et production</x:v>
      </x:c>
      <x:c r="E313" t="str">
        <x:v>Fabrique de céramique</x:v>
      </x:c>
      <x:c r="F313" t="n">
        <x:v>8</x:v>
      </x:c>
      <x:c r="G313" t="n">
        <x:v>4</x:v>
      </x:c>
      <x:c r="H313" t="n">
        <x:v>12</x:v>
      </x:c>
      <x:c r="I313" t="str">
        <x:v>À qualifier par lieu</x:v>
      </x:c>
      <x:c r="J313" t="str">
        <x:v>https://github.com/darknigthmare/deadwall-last-enclosure/blob/1b3b9c5ba232734b1bda3453b4e20a0481bcdd74/codex-3000/originaux/DEADWALL_CODEX_1.22/fiches/DW-0308.md</x:v>
      </x:c>
      <x:c r="K313" t="str">
        <x:v>Source min 45,30 m ; max 240,170 m ; modèle 45 × 30 m ; niveaux 0. Détails dans catalogue-existant.json.</x:v>
      </x:c>
    </x:row>
    <x:row r="314">
      <x:c r="A314" t="str">
        <x:v>DW-0309</x:v>
      </x:c>
      <x:c r="B314" t="str">
        <x:v>DW-0309</x:v>
      </x:c>
      <x:c r="C314" t="str">
        <x:v>Parent historique</x:v>
      </x:c>
      <x:c r="D314" t="str">
        <x:v>Industrie et production</x:v>
      </x:c>
      <x:c r="E314" t="str">
        <x:v>Verrerie désaffectée</x:v>
      </x:c>
      <x:c r="F314" t="n">
        <x:v>8</x:v>
      </x:c>
      <x:c r="G314" t="n">
        <x:v>4</x:v>
      </x:c>
      <x:c r="H314" t="n">
        <x:v>12</x:v>
      </x:c>
      <x:c r="I314" t="str">
        <x:v>À qualifier par lieu</x:v>
      </x:c>
      <x:c r="J314" t="str">
        <x:v>https://github.com/darknigthmare/deadwall-last-enclosure/blob/1b3b9c5ba232734b1bda3453b4e20a0481bcdd74/codex-3000/originaux/DEADWALL_CODEX_1.22/fiches/DW-0309.md</x:v>
      </x:c>
      <x:c r="K314" t="str">
        <x:v>Source min 45,30 m ; max 240,170 m ; modèle 45 × 30 m ; niveaux 0. Détails dans catalogue-existant.json.</x:v>
      </x:c>
    </x:row>
    <x:row r="315">
      <x:c r="A315" t="str">
        <x:v>DW-0310</x:v>
      </x:c>
      <x:c r="B315" t="str">
        <x:v>DW-0310</x:v>
      </x:c>
      <x:c r="C315" t="str">
        <x:v>Parent historique</x:v>
      </x:c>
      <x:c r="D315" t="str">
        <x:v>Industrie et production</x:v>
      </x:c>
      <x:c r="E315" t="str">
        <x:v>Usine de préfabrication</x:v>
      </x:c>
      <x:c r="F315" t="n">
        <x:v>8</x:v>
      </x:c>
      <x:c r="G315" t="n">
        <x:v>4</x:v>
      </x:c>
      <x:c r="H315" t="n">
        <x:v>12</x:v>
      </x:c>
      <x:c r="I315" t="str">
        <x:v>À qualifier par lieu</x:v>
      </x:c>
      <x:c r="J315" t="str">
        <x:v>https://github.com/darknigthmare/deadwall-last-enclosure/blob/1b3b9c5ba232734b1bda3453b4e20a0481bcdd74/codex-3000/originaux/DEADWALL_CODEX_1.22/fiches/DW-0310.md</x:v>
      </x:c>
      <x:c r="K315" t="str">
        <x:v>Source min 45,30 m ; max 240,170 m ; modèle 45 × 30 m ; niveaux 0. Détails dans catalogue-existant.json.</x:v>
      </x:c>
    </x:row>
    <x:row r="316">
      <x:c r="A316" t="str">
        <x:v>DW-0311</x:v>
      </x:c>
      <x:c r="B316" t="str">
        <x:v>DW-0311</x:v>
      </x:c>
      <x:c r="C316" t="str">
        <x:v>Parent historique</x:v>
      </x:c>
      <x:c r="D316" t="str">
        <x:v>Industrie et production</x:v>
      </x:c>
      <x:c r="E316" t="str">
        <x:v>Atelier de plasturgie</x:v>
      </x:c>
      <x:c r="F316" t="n">
        <x:v>8</x:v>
      </x:c>
      <x:c r="G316" t="n">
        <x:v>4</x:v>
      </x:c>
      <x:c r="H316" t="n">
        <x:v>12</x:v>
      </x:c>
      <x:c r="I316" t="str">
        <x:v>À qualifier par lieu</x:v>
      </x:c>
      <x:c r="J316" t="str">
        <x:v>https://github.com/darknigthmare/deadwall-last-enclosure/blob/1b3b9c5ba232734b1bda3453b4e20a0481bcdd74/codex-3000/originaux/DEADWALL_CODEX_1.22/fiches/DW-0311.md</x:v>
      </x:c>
      <x:c r="K316" t="str">
        <x:v>Source min 45,30 m ; max 240,170 m ; modèle 45 × 30 m ; niveaux 0. Détails dans catalogue-existant.json.</x:v>
      </x:c>
    </x:row>
    <x:row r="317">
      <x:c r="A317" t="str">
        <x:v>DW-0312</x:v>
      </x:c>
      <x:c r="B317" t="str">
        <x:v>DW-0312</x:v>
      </x:c>
      <x:c r="C317" t="str">
        <x:v>Parent historique</x:v>
      </x:c>
      <x:c r="D317" t="str">
        <x:v>Industrie et production</x:v>
      </x:c>
      <x:c r="E317" t="str">
        <x:v>Fabrique de produits ménagers</x:v>
      </x:c>
      <x:c r="F317" t="n">
        <x:v>8</x:v>
      </x:c>
      <x:c r="G317" t="n">
        <x:v>4</x:v>
      </x:c>
      <x:c r="H317" t="n">
        <x:v>12</x:v>
      </x:c>
      <x:c r="I317" t="str">
        <x:v>À qualifier par lieu</x:v>
      </x:c>
      <x:c r="J317" t="str">
        <x:v>https://github.com/darknigthmare/deadwall-last-enclosure/blob/1b3b9c5ba232734b1bda3453b4e20a0481bcdd74/codex-3000/originaux/DEADWALL_CODEX_1.22/fiches/DW-0312.md</x:v>
      </x:c>
      <x:c r="K317" t="str">
        <x:v>Source min 45,30 m ; max 240,170 m ; modèle 45 × 30 m ; niveaux 0. Détails dans catalogue-existant.json.</x:v>
      </x:c>
    </x:row>
    <x:row r="318">
      <x:c r="A318" t="str">
        <x:v>DW-0313</x:v>
      </x:c>
      <x:c r="B318" t="str">
        <x:v>DW-0313</x:v>
      </x:c>
      <x:c r="C318" t="str">
        <x:v>Parent historique</x:v>
      </x:c>
      <x:c r="D318" t="str">
        <x:v>Industrie et production</x:v>
      </x:c>
      <x:c r="E318" t="str">
        <x:v>Atelier de batteries</x:v>
      </x:c>
      <x:c r="F318" t="n">
        <x:v>8</x:v>
      </x:c>
      <x:c r="G318" t="n">
        <x:v>4</x:v>
      </x:c>
      <x:c r="H318" t="n">
        <x:v>12</x:v>
      </x:c>
      <x:c r="I318" t="str">
        <x:v>À qualifier par lieu</x:v>
      </x:c>
      <x:c r="J318" t="str">
        <x:v>https://github.com/darknigthmare/deadwall-last-enclosure/blob/1b3b9c5ba232734b1bda3453b4e20a0481bcdd74/codex-3000/originaux/DEADWALL_CODEX_1.22/fiches/DW-0313.md</x:v>
      </x:c>
      <x:c r="K318" t="str">
        <x:v>Source min 45,30 m ; max 240,170 m ; modèle 45 × 30 m ; niveaux 0. Détails dans catalogue-existant.json.</x:v>
      </x:c>
    </x:row>
    <x:row r="319">
      <x:c r="A319" t="str">
        <x:v>DW-0314</x:v>
      </x:c>
      <x:c r="B319" t="str">
        <x:v>DW-0314</x:v>
      </x:c>
      <x:c r="C319" t="str">
        <x:v>Parent historique</x:v>
      </x:c>
      <x:c r="D319" t="str">
        <x:v>Industrie et production</x:v>
      </x:c>
      <x:c r="E319" t="str">
        <x:v>Usine de machines agricoles</x:v>
      </x:c>
      <x:c r="F319" t="n">
        <x:v>8</x:v>
      </x:c>
      <x:c r="G319" t="n">
        <x:v>4</x:v>
      </x:c>
      <x:c r="H319" t="n">
        <x:v>12</x:v>
      </x:c>
      <x:c r="I319" t="str">
        <x:v>À qualifier par lieu</x:v>
      </x:c>
      <x:c r="J319" t="str">
        <x:v>https://github.com/darknigthmare/deadwall-last-enclosure/blob/1b3b9c5ba232734b1bda3453b4e20a0481bcdd74/codex-3000/originaux/DEADWALL_CODEX_1.22/fiches/DW-0314.md</x:v>
      </x:c>
      <x:c r="K319" t="str">
        <x:v>Source min 45,30 m ; max 240,170 m ; modèle 45 × 30 m ; niveaux 0. Détails dans catalogue-existant.json.</x:v>
      </x:c>
    </x:row>
    <x:row r="320">
      <x:c r="A320" t="str">
        <x:v>DW-0315</x:v>
      </x:c>
      <x:c r="B320" t="str">
        <x:v>DW-0315</x:v>
      </x:c>
      <x:c r="C320" t="str">
        <x:v>Parent historique</x:v>
      </x:c>
      <x:c r="D320" t="str">
        <x:v>Industrie et production</x:v>
      </x:c>
      <x:c r="E320" t="str">
        <x:v>Atelier de réparation industrielle</x:v>
      </x:c>
      <x:c r="F320" t="n">
        <x:v>8</x:v>
      </x:c>
      <x:c r="G320" t="n">
        <x:v>4</x:v>
      </x:c>
      <x:c r="H320" t="n">
        <x:v>12</x:v>
      </x:c>
      <x:c r="I320" t="str">
        <x:v>À qualifier par lieu</x:v>
      </x:c>
      <x:c r="J320" t="str">
        <x:v>https://github.com/darknigthmare/deadwall-last-enclosure/blob/1b3b9c5ba232734b1bda3453b4e20a0481bcdd74/codex-3000/originaux/DEADWALL_CODEX_1.22/fiches/DW-0315.md</x:v>
      </x:c>
      <x:c r="K320" t="str">
        <x:v>Source min 45,30 m ; max 240,170 m ; modèle 45 × 30 m ; niveaux 0. Détails dans catalogue-existant.json.</x:v>
      </x:c>
    </x:row>
    <x:row r="321">
      <x:c r="A321" t="str">
        <x:v>DW-0316</x:v>
      </x:c>
      <x:c r="B321" t="str">
        <x:v>DW-0316</x:v>
      </x:c>
      <x:c r="C321" t="str">
        <x:v>Parent historique</x:v>
      </x:c>
      <x:c r="D321" t="str">
        <x:v>Industrie et production</x:v>
      </x:c>
      <x:c r="E321" t="str">
        <x:v>Usine agroalimentaire sèche</x:v>
      </x:c>
      <x:c r="F321" t="n">
        <x:v>8</x:v>
      </x:c>
      <x:c r="G321" t="n">
        <x:v>4</x:v>
      </x:c>
      <x:c r="H321" t="n">
        <x:v>12</x:v>
      </x:c>
      <x:c r="I321" t="str">
        <x:v>À qualifier par lieu</x:v>
      </x:c>
      <x:c r="J321" t="str">
        <x:v>https://github.com/darknigthmare/deadwall-last-enclosure/blob/1b3b9c5ba232734b1bda3453b4e20a0481bcdd74/codex-3000/originaux/DEADWALL_CODEX_1.22/fiches/DW-0316.md</x:v>
      </x:c>
      <x:c r="K321" t="str">
        <x:v>Source min 45,30 m ; max 240,170 m ; modèle 45 × 30 m ; niveaux 0. Détails dans catalogue-existant.json.</x:v>
      </x:c>
    </x:row>
    <x:row r="322">
      <x:c r="A322" t="str">
        <x:v>DW-0317</x:v>
      </x:c>
      <x:c r="B322" t="str">
        <x:v>DW-0317</x:v>
      </x:c>
      <x:c r="C322" t="str">
        <x:v>Parent historique</x:v>
      </x:c>
      <x:c r="D322" t="str">
        <x:v>Industrie et production</x:v>
      </x:c>
      <x:c r="E322" t="str">
        <x:v>Brasserie désaffectée</x:v>
      </x:c>
      <x:c r="F322" t="n">
        <x:v>8</x:v>
      </x:c>
      <x:c r="G322" t="n">
        <x:v>4</x:v>
      </x:c>
      <x:c r="H322" t="n">
        <x:v>12</x:v>
      </x:c>
      <x:c r="I322" t="str">
        <x:v>À qualifier par lieu</x:v>
      </x:c>
      <x:c r="J322" t="str">
        <x:v>https://github.com/darknigthmare/deadwall-last-enclosure/blob/1b3b9c5ba232734b1bda3453b4e20a0481bcdd74/codex-3000/originaux/DEADWALL_CODEX_1.22/fiches/DW-0317.md</x:v>
      </x:c>
      <x:c r="K322" t="str">
        <x:v>Source min 45,30 m ; max 240,170 m ; modèle 45 × 30 m ; niveaux 0. Détails dans catalogue-existant.json.</x:v>
      </x:c>
    </x:row>
    <x:row r="323">
      <x:c r="A323" t="str">
        <x:v>DW-0318</x:v>
      </x:c>
      <x:c r="B323" t="str">
        <x:v>DW-0318</x:v>
      </x:c>
      <x:c r="C323" t="str">
        <x:v>Parent historique</x:v>
      </x:c>
      <x:c r="D323" t="str">
        <x:v>Industrie et production</x:v>
      </x:c>
      <x:c r="E323" t="str">
        <x:v>Laiterie</x:v>
      </x:c>
      <x:c r="F323" t="n">
        <x:v>8</x:v>
      </x:c>
      <x:c r="G323" t="n">
        <x:v>4</x:v>
      </x:c>
      <x:c r="H323" t="n">
        <x:v>12</x:v>
      </x:c>
      <x:c r="I323" t="str">
        <x:v>À qualifier par lieu</x:v>
      </x:c>
      <x:c r="J323" t="str">
        <x:v>https://github.com/darknigthmare/deadwall-last-enclosure/blob/1b3b9c5ba232734b1bda3453b4e20a0481bcdd74/codex-3000/originaux/DEADWALL_CODEX_1.22/fiches/DW-0318.md</x:v>
      </x:c>
      <x:c r="K323" t="str">
        <x:v>Source min 45,30 m ; max 240,170 m ; modèle 45 × 30 m ; niveaux 0. Détails dans catalogue-existant.json.</x:v>
      </x:c>
    </x:row>
    <x:row r="324">
      <x:c r="A324" t="str">
        <x:v>DW-0319</x:v>
      </x:c>
      <x:c r="B324" t="str">
        <x:v>DW-0319</x:v>
      </x:c>
      <x:c r="C324" t="str">
        <x:v>Parent historique</x:v>
      </x:c>
      <x:c r="D324" t="str">
        <x:v>Industrie et production</x:v>
      </x:c>
      <x:c r="E324" t="str">
        <x:v>Tannerie abandonnée</x:v>
      </x:c>
      <x:c r="F324" t="n">
        <x:v>8</x:v>
      </x:c>
      <x:c r="G324" t="n">
        <x:v>4</x:v>
      </x:c>
      <x:c r="H324" t="n">
        <x:v>12</x:v>
      </x:c>
      <x:c r="I324" t="str">
        <x:v>À qualifier par lieu</x:v>
      </x:c>
      <x:c r="J324" t="str">
        <x:v>https://github.com/darknigthmare/deadwall-last-enclosure/blob/1b3b9c5ba232734b1bda3453b4e20a0481bcdd74/codex-3000/originaux/DEADWALL_CODEX_1.22/fiches/DW-0319.md</x:v>
      </x:c>
      <x:c r="K324" t="str">
        <x:v>Source min 45,30 m ; max 240,170 m ; modèle 45 × 30 m ; niveaux 0. Détails dans catalogue-existant.json.</x:v>
      </x:c>
    </x:row>
    <x:row r="325">
      <x:c r="A325" t="str">
        <x:v>DW-0320</x:v>
      </x:c>
      <x:c r="B325" t="str">
        <x:v>DW-0320</x:v>
      </x:c>
      <x:c r="C325" t="str">
        <x:v>Parent historique</x:v>
      </x:c>
      <x:c r="D325" t="str">
        <x:v>Industrie et production</x:v>
      </x:c>
      <x:c r="E325" t="str">
        <x:v>Zone artisanale mixte</x:v>
      </x:c>
      <x:c r="F325" t="n">
        <x:v>8</x:v>
      </x:c>
      <x:c r="G325" t="n">
        <x:v>4</x:v>
      </x:c>
      <x:c r="H325" t="n">
        <x:v>12</x:v>
      </x:c>
      <x:c r="I325" t="str">
        <x:v>À qualifier par lieu</x:v>
      </x:c>
      <x:c r="J325" t="str">
        <x:v>https://github.com/darknigthmare/deadwall-last-enclosure/blob/1b3b9c5ba232734b1bda3453b4e20a0481bcdd74/codex-3000/originaux/DEADWALL_CODEX_1.22/fiches/DW-0320.md</x:v>
      </x:c>
      <x:c r="K325" t="str">
        <x:v>Source min 45,30 m ; max 240,170 m ; modèle 45 × 30 m ; niveaux 0. Détails dans catalogue-existant.json.</x:v>
      </x:c>
    </x:row>
    <x:row r="326">
      <x:c r="A326" t="str">
        <x:v>DW-0321</x:v>
      </x:c>
      <x:c r="B326" t="str">
        <x:v>DW-0321</x:v>
      </x:c>
      <x:c r="C326" t="str">
        <x:v>Parent historique</x:v>
      </x:c>
      <x:c r="D326" t="str">
        <x:v>Énergie et communication</x:v>
      </x:c>
      <x:c r="E326" t="str">
        <x:v>Poste électrique de quartier</x:v>
      </x:c>
      <x:c r="F326" t="n">
        <x:v>8</x:v>
      </x:c>
      <x:c r="G326" t="n">
        <x:v>4</x:v>
      </x:c>
      <x:c r="H326" t="n">
        <x:v>12</x:v>
      </x:c>
      <x:c r="I326" t="str">
        <x:v>À qualifier par lieu</x:v>
      </x:c>
      <x:c r="J326" t="str">
        <x:v>https://github.com/darknigthmare/deadwall-last-enclosure/blob/1b3b9c5ba232734b1bda3453b4e20a0481bcdd74/codex-3000/originaux/DEADWALL_CODEX_1.22/fiches/DW-0321.md</x:v>
      </x:c>
      <x:c r="K326" t="str">
        <x:v>Source min 24,18 m ; max 260,180 m ; modèle 25 × 18 m ; niveaux 0. Détails dans catalogue-existant.json.</x:v>
      </x:c>
    </x:row>
    <x:row r="327">
      <x:c r="A327" t="str">
        <x:v>DW-0322</x:v>
      </x:c>
      <x:c r="B327" t="str">
        <x:v>DW-0322</x:v>
      </x:c>
      <x:c r="C327" t="str">
        <x:v>Parent historique</x:v>
      </x:c>
      <x:c r="D327" t="str">
        <x:v>Énergie et communication</x:v>
      </x:c>
      <x:c r="E327" t="str">
        <x:v>Sous-station industrielle</x:v>
      </x:c>
      <x:c r="F327" t="n">
        <x:v>8</x:v>
      </x:c>
      <x:c r="G327" t="n">
        <x:v>4</x:v>
      </x:c>
      <x:c r="H327" t="n">
        <x:v>12</x:v>
      </x:c>
      <x:c r="I327" t="str">
        <x:v>À qualifier par lieu</x:v>
      </x:c>
      <x:c r="J327" t="str">
        <x:v>https://github.com/darknigthmare/deadwall-last-enclosure/blob/1b3b9c5ba232734b1bda3453b4e20a0481bcdd74/codex-3000/originaux/DEADWALL_CODEX_1.22/fiches/DW-0322.md</x:v>
      </x:c>
      <x:c r="K327" t="str">
        <x:v>Source min 24,18 m ; max 260,180 m ; modèle 25 × 18 m ; niveaux 0. Détails dans catalogue-existant.json.</x:v>
      </x:c>
    </x:row>
    <x:row r="328">
      <x:c r="A328" t="str">
        <x:v>DW-0323</x:v>
      </x:c>
      <x:c r="B328" t="str">
        <x:v>DW-0323</x:v>
      </x:c>
      <x:c r="C328" t="str">
        <x:v>Parent historique</x:v>
      </x:c>
      <x:c r="D328" t="str">
        <x:v>Énergie et communication</x:v>
      </x:c>
      <x:c r="E328" t="str">
        <x:v>Centrale thermique fictive</x:v>
      </x:c>
      <x:c r="F328" t="n">
        <x:v>8</x:v>
      </x:c>
      <x:c r="G328" t="n">
        <x:v>4</x:v>
      </x:c>
      <x:c r="H328" t="n">
        <x:v>12</x:v>
      </x:c>
      <x:c r="I328" t="str">
        <x:v>À qualifier par lieu</x:v>
      </x:c>
      <x:c r="J328" t="str">
        <x:v>https://github.com/darknigthmare/deadwall-last-enclosure/blob/1b3b9c5ba232734b1bda3453b4e20a0481bcdd74/codex-3000/originaux/DEADWALL_CODEX_1.22/fiches/DW-0323.md</x:v>
      </x:c>
      <x:c r="K328" t="str">
        <x:v>Source min 24,18 m ; max 260,180 m ; modèle 25 × 18 m ; niveaux 0. Détails dans catalogue-existant.json.</x:v>
      </x:c>
    </x:row>
    <x:row r="329">
      <x:c r="A329" t="str">
        <x:v>DW-0324</x:v>
      </x:c>
      <x:c r="B329" t="str">
        <x:v>DW-0324</x:v>
      </x:c>
      <x:c r="C329" t="str">
        <x:v>Parent historique</x:v>
      </x:c>
      <x:c r="D329" t="str">
        <x:v>Énergie et communication</x:v>
      </x:c>
      <x:c r="E329" t="str">
        <x:v>Centrale hydroélectrique</x:v>
      </x:c>
      <x:c r="F329" t="n">
        <x:v>8</x:v>
      </x:c>
      <x:c r="G329" t="n">
        <x:v>4</x:v>
      </x:c>
      <x:c r="H329" t="n">
        <x:v>12</x:v>
      </x:c>
      <x:c r="I329" t="str">
        <x:v>À qualifier par lieu</x:v>
      </x:c>
      <x:c r="J329" t="str">
        <x:v>https://github.com/darknigthmare/deadwall-last-enclosure/blob/1b3b9c5ba232734b1bda3453b4e20a0481bcdd74/codex-3000/originaux/DEADWALL_CODEX_1.22/fiches/DW-0324.md</x:v>
      </x:c>
      <x:c r="K329" t="str">
        <x:v>Source min 24,18 m ; max 260,180 m ; modèle 25 × 18 m ; niveaux 0. Détails dans catalogue-existant.json.</x:v>
      </x:c>
    </x:row>
    <x:row r="330">
      <x:c r="A330" t="str">
        <x:v>DW-0325</x:v>
      </x:c>
      <x:c r="B330" t="str">
        <x:v>DW-0325</x:v>
      </x:c>
      <x:c r="C330" t="str">
        <x:v>Parent historique</x:v>
      </x:c>
      <x:c r="D330" t="str">
        <x:v>Énergie et communication</x:v>
      </x:c>
      <x:c r="E330" t="str">
        <x:v>Petit barrage de retenue</x:v>
      </x:c>
      <x:c r="F330" t="n">
        <x:v>8</x:v>
      </x:c>
      <x:c r="G330" t="n">
        <x:v>4</x:v>
      </x:c>
      <x:c r="H330" t="n">
        <x:v>12</x:v>
      </x:c>
      <x:c r="I330" t="str">
        <x:v>À qualifier par lieu</x:v>
      </x:c>
      <x:c r="J330" t="str">
        <x:v>https://github.com/darknigthmare/deadwall-last-enclosure/blob/1b3b9c5ba232734b1bda3453b4e20a0481bcdd74/codex-3000/originaux/DEADWALL_CODEX_1.22/fiches/DW-0325.md</x:v>
      </x:c>
      <x:c r="K330" t="str">
        <x:v>Source min 24,18 m ; max 260,180 m ; modèle 25 × 18 m ; niveaux 0. Détails dans catalogue-existant.json.</x:v>
      </x:c>
    </x:row>
    <x:row r="331">
      <x:c r="A331" t="str">
        <x:v>DW-0326</x:v>
      </x:c>
      <x:c r="B331" t="str">
        <x:v>DW-0326</x:v>
      </x:c>
      <x:c r="C331" t="str">
        <x:v>Parent historique</x:v>
      </x:c>
      <x:c r="D331" t="str">
        <x:v>Énergie et communication</x:v>
      </x:c>
      <x:c r="E331" t="str">
        <x:v>Ferme solaire</x:v>
      </x:c>
      <x:c r="F331" t="n">
        <x:v>8</x:v>
      </x:c>
      <x:c r="G331" t="n">
        <x:v>4</x:v>
      </x:c>
      <x:c r="H331" t="n">
        <x:v>12</x:v>
      </x:c>
      <x:c r="I331" t="str">
        <x:v>À qualifier par lieu</x:v>
      </x:c>
      <x:c r="J331" t="str">
        <x:v>https://github.com/darknigthmare/deadwall-last-enclosure/blob/1b3b9c5ba232734b1bda3453b4e20a0481bcdd74/codex-3000/originaux/DEADWALL_CODEX_1.22/fiches/DW-0326.md</x:v>
      </x:c>
      <x:c r="K331" t="str">
        <x:v>Source min 24,18 m ; max 260,180 m ; modèle 25 × 18 m ; niveaux 0. Détails dans catalogue-existant.json.</x:v>
      </x:c>
    </x:row>
    <x:row r="332">
      <x:c r="A332" t="str">
        <x:v>DW-0327</x:v>
      </x:c>
      <x:c r="B332" t="str">
        <x:v>DW-0327</x:v>
      </x:c>
      <x:c r="C332" t="str">
        <x:v>Parent historique</x:v>
      </x:c>
      <x:c r="D332" t="str">
        <x:v>Énergie et communication</x:v>
      </x:c>
      <x:c r="E332" t="str">
        <x:v>Parc éolien</x:v>
      </x:c>
      <x:c r="F332" t="n">
        <x:v>8</x:v>
      </x:c>
      <x:c r="G332" t="n">
        <x:v>4</x:v>
      </x:c>
      <x:c r="H332" t="n">
        <x:v>12</x:v>
      </x:c>
      <x:c r="I332" t="str">
        <x:v>À qualifier par lieu</x:v>
      </x:c>
      <x:c r="J332" t="str">
        <x:v>https://github.com/darknigthmare/deadwall-last-enclosure/blob/1b3b9c5ba232734b1bda3453b4e20a0481bcdd74/codex-3000/originaux/DEADWALL_CODEX_1.22/fiches/DW-0327.md</x:v>
      </x:c>
      <x:c r="K332" t="str">
        <x:v>Source min 24,18 m ; max 260,180 m ; modèle 25 × 18 m ; niveaux 0. Détails dans catalogue-existant.json.</x:v>
      </x:c>
    </x:row>
    <x:row r="333">
      <x:c r="A333" t="str">
        <x:v>DW-0328</x:v>
      </x:c>
      <x:c r="B333" t="str">
        <x:v>DW-0328</x:v>
      </x:c>
      <x:c r="C333" t="str">
        <x:v>Parent historique</x:v>
      </x:c>
      <x:c r="D333" t="str">
        <x:v>Énergie et communication</x:v>
      </x:c>
      <x:c r="E333" t="str">
        <x:v>Chaufferie urbaine</x:v>
      </x:c>
      <x:c r="F333" t="n">
        <x:v>8</x:v>
      </x:c>
      <x:c r="G333" t="n">
        <x:v>4</x:v>
      </x:c>
      <x:c r="H333" t="n">
        <x:v>12</x:v>
      </x:c>
      <x:c r="I333" t="str">
        <x:v>À qualifier par lieu</x:v>
      </x:c>
      <x:c r="J333" t="str">
        <x:v>https://github.com/darknigthmare/deadwall-last-enclosure/blob/1b3b9c5ba232734b1bda3453b4e20a0481bcdd74/codex-3000/originaux/DEADWALL_CODEX_1.22/fiches/DW-0328.md</x:v>
      </x:c>
      <x:c r="K333" t="str">
        <x:v>Source min 24,18 m ; max 260,180 m ; modèle 25 × 18 m ; niveaux 0. Détails dans catalogue-existant.json.</x:v>
      </x:c>
    </x:row>
    <x:row r="334">
      <x:c r="A334" t="str">
        <x:v>DW-0329</x:v>
      </x:c>
      <x:c r="B334" t="str">
        <x:v>DW-0329</x:v>
      </x:c>
      <x:c r="C334" t="str">
        <x:v>Parent historique</x:v>
      </x:c>
      <x:c r="D334" t="str">
        <x:v>Énergie et communication</x:v>
      </x:c>
      <x:c r="E334" t="str">
        <x:v>Chaufferie biomasse</x:v>
      </x:c>
      <x:c r="F334" t="n">
        <x:v>8</x:v>
      </x:c>
      <x:c r="G334" t="n">
        <x:v>4</x:v>
      </x:c>
      <x:c r="H334" t="n">
        <x:v>12</x:v>
      </x:c>
      <x:c r="I334" t="str">
        <x:v>À qualifier par lieu</x:v>
      </x:c>
      <x:c r="J334" t="str">
        <x:v>https://github.com/darknigthmare/deadwall-last-enclosure/blob/1b3b9c5ba232734b1bda3453b4e20a0481bcdd74/codex-3000/originaux/DEADWALL_CODEX_1.22/fiches/DW-0329.md</x:v>
      </x:c>
      <x:c r="K334" t="str">
        <x:v>Source min 24,18 m ; max 260,180 m ; modèle 25 × 18 m ; niveaux 0. Détails dans catalogue-existant.json.</x:v>
      </x:c>
    </x:row>
    <x:row r="335">
      <x:c r="A335" t="str">
        <x:v>DW-0330</x:v>
      </x:c>
      <x:c r="B335" t="str">
        <x:v>DW-0330</x:v>
      </x:c>
      <x:c r="C335" t="str">
        <x:v>Parent historique</x:v>
      </x:c>
      <x:c r="D335" t="str">
        <x:v>Énergie et communication</x:v>
      </x:c>
      <x:c r="E335" t="str">
        <x:v>Station de cogénération</x:v>
      </x:c>
      <x:c r="F335" t="n">
        <x:v>8</x:v>
      </x:c>
      <x:c r="G335" t="n">
        <x:v>4</x:v>
      </x:c>
      <x:c r="H335" t="n">
        <x:v>12</x:v>
      </x:c>
      <x:c r="I335" t="str">
        <x:v>À qualifier par lieu</x:v>
      </x:c>
      <x:c r="J335" t="str">
        <x:v>https://github.com/darknigthmare/deadwall-last-enclosure/blob/1b3b9c5ba232734b1bda3453b4e20a0481bcdd74/codex-3000/originaux/DEADWALL_CODEX_1.22/fiches/DW-0330.md</x:v>
      </x:c>
      <x:c r="K335" t="str">
        <x:v>Source min 24,18 m ; max 260,180 m ; modèle 25 × 18 m ; niveaux 0. Détails dans catalogue-existant.json.</x:v>
      </x:c>
    </x:row>
    <x:row r="336">
      <x:c r="A336" t="str">
        <x:v>DW-0331</x:v>
      </x:c>
      <x:c r="B336" t="str">
        <x:v>DW-0331</x:v>
      </x:c>
      <x:c r="C336" t="str">
        <x:v>Parent historique</x:v>
      </x:c>
      <x:c r="D336" t="str">
        <x:v>Énergie et communication</x:v>
      </x:c>
      <x:c r="E336" t="str">
        <x:v>Local groupe électrogène</x:v>
      </x:c>
      <x:c r="F336" t="n">
        <x:v>8</x:v>
      </x:c>
      <x:c r="G336" t="n">
        <x:v>4</x:v>
      </x:c>
      <x:c r="H336" t="n">
        <x:v>12</x:v>
      </x:c>
      <x:c r="I336" t="str">
        <x:v>À qualifier par lieu</x:v>
      </x:c>
      <x:c r="J336" t="str">
        <x:v>https://github.com/darknigthmare/deadwall-last-enclosure/blob/1b3b9c5ba232734b1bda3453b4e20a0481bcdd74/codex-3000/originaux/DEADWALL_CODEX_1.22/fiches/DW-0331.md</x:v>
      </x:c>
      <x:c r="K336" t="str">
        <x:v>Source min 24,18 m ; max 260,180 m ; modèle 25 × 18 m ; niveaux 0. Détails dans catalogue-existant.json.</x:v>
      </x:c>
    </x:row>
    <x:row r="337">
      <x:c r="A337" t="str">
        <x:v>DW-0332</x:v>
      </x:c>
      <x:c r="B337" t="str">
        <x:v>DW-0332</x:v>
      </x:c>
      <x:c r="C337" t="str">
        <x:v>Parent historique</x:v>
      </x:c>
      <x:c r="D337" t="str">
        <x:v>Énergie et communication</x:v>
      </x:c>
      <x:c r="E337" t="str">
        <x:v>Réserve civile de batteries</x:v>
      </x:c>
      <x:c r="F337" t="n">
        <x:v>8</x:v>
      </x:c>
      <x:c r="G337" t="n">
        <x:v>4</x:v>
      </x:c>
      <x:c r="H337" t="n">
        <x:v>12</x:v>
      </x:c>
      <x:c r="I337" t="str">
        <x:v>À qualifier par lieu</x:v>
      </x:c>
      <x:c r="J337" t="str">
        <x:v>https://github.com/darknigthmare/deadwall-last-enclosure/blob/1b3b9c5ba232734b1bda3453b4e20a0481bcdd74/codex-3000/originaux/DEADWALL_CODEX_1.22/fiches/DW-0332.md</x:v>
      </x:c>
      <x:c r="K337" t="str">
        <x:v>Source min 24,18 m ; max 260,180 m ; modèle 25 × 18 m ; niveaux 0. Détails dans catalogue-existant.json.</x:v>
      </x:c>
    </x:row>
    <x:row r="338">
      <x:c r="A338" t="str">
        <x:v>DW-0333</x:v>
      </x:c>
      <x:c r="B338" t="str">
        <x:v>DW-0333</x:v>
      </x:c>
      <x:c r="C338" t="str">
        <x:v>Parent historique</x:v>
      </x:c>
      <x:c r="D338" t="str">
        <x:v>Énergie et communication</x:v>
      </x:c>
      <x:c r="E338" t="str">
        <x:v>Tour de télécommunication</x:v>
      </x:c>
      <x:c r="F338" t="n">
        <x:v>8</x:v>
      </x:c>
      <x:c r="G338" t="n">
        <x:v>3</x:v>
      </x:c>
      <x:c r="H338" t="n">
        <x:v>9</x:v>
      </x:c>
      <x:c r="I338" t="str">
        <x:v>À qualifier par lieu</x:v>
      </x:c>
      <x:c r="J338" t="str">
        <x:v>https://github.com/darknigthmare/deadwall-last-enclosure/blob/1b3b9c5ba232734b1bda3453b4e20a0481bcdd74/codex-3000/originaux/DEADWALL_CODEX_1.22/fiches/DW-0333.md</x:v>
      </x:c>
      <x:c r="K338" t="str">
        <x:v>Source min 24,18 m ; max 260,180 m ; modèle 24 × 18 m ; niveaux 0. Détails dans catalogue-existant.json.</x:v>
      </x:c>
    </x:row>
    <x:row r="339">
      <x:c r="A339" t="str">
        <x:v>DW-0334</x:v>
      </x:c>
      <x:c r="B339" t="str">
        <x:v>DW-0334</x:v>
      </x:c>
      <x:c r="C339" t="str">
        <x:v>Parent historique</x:v>
      </x:c>
      <x:c r="D339" t="str">
        <x:v>Énergie et communication</x:v>
      </x:c>
      <x:c r="E339" t="str">
        <x:v>Relais radio rural</x:v>
      </x:c>
      <x:c r="F339" t="n">
        <x:v>8</x:v>
      </x:c>
      <x:c r="G339" t="n">
        <x:v>4</x:v>
      </x:c>
      <x:c r="H339" t="n">
        <x:v>12</x:v>
      </x:c>
      <x:c r="I339" t="str">
        <x:v>À qualifier par lieu</x:v>
      </x:c>
      <x:c r="J339" t="str">
        <x:v>https://github.com/darknigthmare/deadwall-last-enclosure/blob/1b3b9c5ba232734b1bda3453b4e20a0481bcdd74/codex-3000/originaux/DEADWALL_CODEX_1.22/fiches/DW-0334.md</x:v>
      </x:c>
      <x:c r="K339" t="str">
        <x:v>Source min 24,18 m ; max 260,180 m ; modèle 25 × 18 m ; niveaux 0. Détails dans catalogue-existant.json.</x:v>
      </x:c>
    </x:row>
    <x:row r="340">
      <x:c r="A340" t="str">
        <x:v>DW-0335</x:v>
      </x:c>
      <x:c r="B340" t="str">
        <x:v>DW-0335</x:v>
      </x:c>
      <x:c r="C340" t="str">
        <x:v>Parent historique</x:v>
      </x:c>
      <x:c r="D340" t="str">
        <x:v>Énergie et communication</x:v>
      </x:c>
      <x:c r="E340" t="str">
        <x:v>Central téléphonique</x:v>
      </x:c>
      <x:c r="F340" t="n">
        <x:v>8</x:v>
      </x:c>
      <x:c r="G340" t="n">
        <x:v>4</x:v>
      </x:c>
      <x:c r="H340" t="n">
        <x:v>12</x:v>
      </x:c>
      <x:c r="I340" t="str">
        <x:v>À qualifier par lieu</x:v>
      </x:c>
      <x:c r="J340" t="str">
        <x:v>https://github.com/darknigthmare/deadwall-last-enclosure/blob/1b3b9c5ba232734b1bda3453b4e20a0481bcdd74/codex-3000/originaux/DEADWALL_CODEX_1.22/fiches/DW-0335.md</x:v>
      </x:c>
      <x:c r="K340" t="str">
        <x:v>Source min 24,18 m ; max 260,180 m ; modèle 25 × 18 m ; niveaux 0. Détails dans catalogue-existant.json.</x:v>
      </x:c>
    </x:row>
    <x:row r="341">
      <x:c r="A341" t="str">
        <x:v>DW-0336</x:v>
      </x:c>
      <x:c r="B341" t="str">
        <x:v>DW-0336</x:v>
      </x:c>
      <x:c r="C341" t="str">
        <x:v>Parent historique</x:v>
      </x:c>
      <x:c r="D341" t="str">
        <x:v>Énergie et communication</x:v>
      </x:c>
      <x:c r="E341" t="str">
        <x:v>Centre de données</x:v>
      </x:c>
      <x:c r="F341" t="n">
        <x:v>8</x:v>
      </x:c>
      <x:c r="G341" t="n">
        <x:v>4</x:v>
      </x:c>
      <x:c r="H341" t="n">
        <x:v>12</x:v>
      </x:c>
      <x:c r="I341" t="str">
        <x:v>À qualifier par lieu</x:v>
      </x:c>
      <x:c r="J341" t="str">
        <x:v>https://github.com/darknigthmare/deadwall-last-enclosure/blob/1b3b9c5ba232734b1bda3453b4e20a0481bcdd74/codex-3000/originaux/DEADWALL_CODEX_1.22/fiches/DW-0336.md</x:v>
      </x:c>
      <x:c r="K341" t="str">
        <x:v>Source min 24,18 m ; max 260,180 m ; modèle 25 × 18 m ; niveaux 0. Détails dans catalogue-existant.json.</x:v>
      </x:c>
    </x:row>
    <x:row r="342">
      <x:c r="A342" t="str">
        <x:v>DW-0337</x:v>
      </x:c>
      <x:c r="B342" t="str">
        <x:v>DW-0337</x:v>
      </x:c>
      <x:c r="C342" t="str">
        <x:v>Parent historique</x:v>
      </x:c>
      <x:c r="D342" t="str">
        <x:v>Énergie et communication</x:v>
      </x:c>
      <x:c r="E342" t="str">
        <x:v>Station satellite fictive</x:v>
      </x:c>
      <x:c r="F342" t="n">
        <x:v>8</x:v>
      </x:c>
      <x:c r="G342" t="n">
        <x:v>4</x:v>
      </x:c>
      <x:c r="H342" t="n">
        <x:v>12</x:v>
      </x:c>
      <x:c r="I342" t="str">
        <x:v>À qualifier par lieu</x:v>
      </x:c>
      <x:c r="J342" t="str">
        <x:v>https://github.com/darknigthmare/deadwall-last-enclosure/blob/1b3b9c5ba232734b1bda3453b4e20a0481bcdd74/codex-3000/originaux/DEADWALL_CODEX_1.22/fiches/DW-0337.md</x:v>
      </x:c>
      <x:c r="K342" t="str">
        <x:v>Source min 24,18 m ; max 260,180 m ; modèle 25 × 18 m ; niveaux 0. Détails dans catalogue-existant.json.</x:v>
      </x:c>
    </x:row>
    <x:row r="343">
      <x:c r="A343" t="str">
        <x:v>DW-0338</x:v>
      </x:c>
      <x:c r="B343" t="str">
        <x:v>DW-0338</x:v>
      </x:c>
      <x:c r="C343" t="str">
        <x:v>Parent historique</x:v>
      </x:c>
      <x:c r="D343" t="str">
        <x:v>Énergie et communication</x:v>
      </x:c>
      <x:c r="E343" t="str">
        <x:v>Dépôt technique d'éclairage</x:v>
      </x:c>
      <x:c r="F343" t="n">
        <x:v>8</x:v>
      </x:c>
      <x:c r="G343" t="n">
        <x:v>4</x:v>
      </x:c>
      <x:c r="H343" t="n">
        <x:v>12</x:v>
      </x:c>
      <x:c r="I343" t="str">
        <x:v>À qualifier par lieu</x:v>
      </x:c>
      <x:c r="J343" t="str">
        <x:v>https://github.com/darknigthmare/deadwall-last-enclosure/blob/1b3b9c5ba232734b1bda3453b4e20a0481bcdd74/codex-3000/originaux/DEADWALL_CODEX_1.22/fiches/DW-0338.md</x:v>
      </x:c>
      <x:c r="K343" t="str">
        <x:v>Source min 24,18 m ; max 260,180 m ; modèle 25 × 18 m ; niveaux 0. Détails dans catalogue-existant.json.</x:v>
      </x:c>
    </x:row>
    <x:row r="344">
      <x:c r="A344" t="str">
        <x:v>DW-0339</x:v>
      </x:c>
      <x:c r="B344" t="str">
        <x:v>DW-0339</x:v>
      </x:c>
      <x:c r="C344" t="str">
        <x:v>Parent historique</x:v>
      </x:c>
      <x:c r="D344" t="str">
        <x:v>Énergie et communication</x:v>
      </x:c>
      <x:c r="E344" t="str">
        <x:v>Usine à gaz désaffectée</x:v>
      </x:c>
      <x:c r="F344" t="n">
        <x:v>8</x:v>
      </x:c>
      <x:c r="G344" t="n">
        <x:v>4</x:v>
      </x:c>
      <x:c r="H344" t="n">
        <x:v>12</x:v>
      </x:c>
      <x:c r="I344" t="str">
        <x:v>À qualifier par lieu</x:v>
      </x:c>
      <x:c r="J344" t="str">
        <x:v>https://github.com/darknigthmare/deadwall-last-enclosure/blob/1b3b9c5ba232734b1bda3453b4e20a0481bcdd74/codex-3000/originaux/DEADWALL_CODEX_1.22/fiches/DW-0339.md</x:v>
      </x:c>
      <x:c r="K344" t="str">
        <x:v>Source min 24,18 m ; max 260,180 m ; modèle 25 × 18 m ; niveaux 0. Détails dans catalogue-existant.json.</x:v>
      </x:c>
    </x:row>
    <x:row r="345">
      <x:c r="A345" t="str">
        <x:v>DW-0340</x:v>
      </x:c>
      <x:c r="B345" t="str">
        <x:v>DW-0340</x:v>
      </x:c>
      <x:c r="C345" t="str">
        <x:v>Parent historique</x:v>
      </x:c>
      <x:c r="D345" t="str">
        <x:v>Énergie et communication</x:v>
      </x:c>
      <x:c r="E345" t="str">
        <x:v>Station de recharge routière</x:v>
      </x:c>
      <x:c r="F345" t="n">
        <x:v>8</x:v>
      </x:c>
      <x:c r="G345" t="n">
        <x:v>4</x:v>
      </x:c>
      <x:c r="H345" t="n">
        <x:v>12</x:v>
      </x:c>
      <x:c r="I345" t="str">
        <x:v>À qualifier par lieu</x:v>
      </x:c>
      <x:c r="J345" t="str">
        <x:v>https://github.com/darknigthmare/deadwall-last-enclosure/blob/1b3b9c5ba232734b1bda3453b4e20a0481bcdd74/codex-3000/originaux/DEADWALL_CODEX_1.22/fiches/DW-0340.md</x:v>
      </x:c>
      <x:c r="K345" t="str">
        <x:v>Source min 24,18 m ; max 260,180 m ; modèle 25 × 18 m ; niveaux 0. Détails dans catalogue-existant.json.</x:v>
      </x:c>
    </x:row>
    <x:row r="346">
      <x:c r="A346" t="str">
        <x:v>DW-0341</x:v>
      </x:c>
      <x:c r="B346" t="str">
        <x:v>DW-0341</x:v>
      </x:c>
      <x:c r="C346" t="str">
        <x:v>Parent historique</x:v>
      </x:c>
      <x:c r="D346" t="str">
        <x:v>Eau et réseaux</x:v>
      </x:c>
      <x:c r="E346" t="str">
        <x:v>Château d'eau</x:v>
      </x:c>
      <x:c r="F346" t="n">
        <x:v>10</x:v>
      </x:c>
      <x:c r="G346" t="n">
        <x:v>4</x:v>
      </x:c>
      <x:c r="H346" t="n">
        <x:v>10</x:v>
      </x:c>
      <x:c r="I346" t="str">
        <x:v>À qualifier par lieu</x:v>
      </x:c>
      <x:c r="J346" t="str">
        <x:v>https://github.com/darknigthmare/deadwall-last-enclosure/blob/1b3b9c5ba232734b1bda3453b4e20a0481bcdd74/codex-3000/originaux/DEADWALL_CODEX_1.22/fiches/DW-0341.md</x:v>
      </x:c>
      <x:c r="K346" t="str">
        <x:v>Source min 30,20 m ; max 240,180 m ; modèle 30 × 20 m ; niveaux 0. Détails dans catalogue-existant.json.</x:v>
      </x:c>
    </x:row>
    <x:row r="347">
      <x:c r="A347" t="str">
        <x:v>DW-0342</x:v>
      </x:c>
      <x:c r="B347" t="str">
        <x:v>DW-0342</x:v>
      </x:c>
      <x:c r="C347" t="str">
        <x:v>Parent historique</x:v>
      </x:c>
      <x:c r="D347" t="str">
        <x:v>Eau et réseaux</x:v>
      </x:c>
      <x:c r="E347" t="str">
        <x:v>Station de pompage</x:v>
      </x:c>
      <x:c r="F347" t="n">
        <x:v>10</x:v>
      </x:c>
      <x:c r="G347" t="n">
        <x:v>4</x:v>
      </x:c>
      <x:c r="H347" t="n">
        <x:v>12</x:v>
      </x:c>
      <x:c r="I347" t="str">
        <x:v>À qualifier par lieu</x:v>
      </x:c>
      <x:c r="J347" t="str">
        <x:v>https://github.com/darknigthmare/deadwall-last-enclosure/blob/1b3b9c5ba232734b1bda3453b4e20a0481bcdd74/codex-3000/originaux/DEADWALL_CODEX_1.22/fiches/DW-0342.md</x:v>
      </x:c>
      <x:c r="K347" t="str">
        <x:v>Source min 30,20 m ; max 240,180 m ; modèle 30 × 20 m ; niveaux 0. Détails dans catalogue-existant.json.</x:v>
      </x:c>
    </x:row>
    <x:row r="348">
      <x:c r="A348" t="str">
        <x:v>DW-0343</x:v>
      </x:c>
      <x:c r="B348" t="str">
        <x:v>DW-0343</x:v>
      </x:c>
      <x:c r="C348" t="str">
        <x:v>Parent historique</x:v>
      </x:c>
      <x:c r="D348" t="str">
        <x:v>Eau et réseaux</x:v>
      </x:c>
      <x:c r="E348" t="str">
        <x:v>Usine de traitement d'eau</x:v>
      </x:c>
      <x:c r="F348" t="n">
        <x:v>10</x:v>
      </x:c>
      <x:c r="G348" t="n">
        <x:v>4</x:v>
      </x:c>
      <x:c r="H348" t="n">
        <x:v>12</x:v>
      </x:c>
      <x:c r="I348" t="str">
        <x:v>À qualifier par lieu</x:v>
      </x:c>
      <x:c r="J348" t="str">
        <x:v>https://github.com/darknigthmare/deadwall-last-enclosure/blob/1b3b9c5ba232734b1bda3453b4e20a0481bcdd74/codex-3000/originaux/DEADWALL_CODEX_1.22/fiches/DW-0343.md</x:v>
      </x:c>
      <x:c r="K348" t="str">
        <x:v>Source min 30,20 m ; max 240,180 m ; modèle 30 × 20 m ; niveaux 0. Détails dans catalogue-existant.json.</x:v>
      </x:c>
    </x:row>
    <x:row r="349">
      <x:c r="A349" t="str">
        <x:v>DW-0344</x:v>
      </x:c>
      <x:c r="B349" t="str">
        <x:v>DW-0344</x:v>
      </x:c>
      <x:c r="C349" t="str">
        <x:v>Parent historique</x:v>
      </x:c>
      <x:c r="D349" t="str">
        <x:v>Eau et réseaux</x:v>
      </x:c>
      <x:c r="E349" t="str">
        <x:v>Station d'épuration</x:v>
      </x:c>
      <x:c r="F349" t="n">
        <x:v>10</x:v>
      </x:c>
      <x:c r="G349" t="n">
        <x:v>4</x:v>
      </x:c>
      <x:c r="H349" t="n">
        <x:v>12</x:v>
      </x:c>
      <x:c r="I349" t="str">
        <x:v>À qualifier par lieu</x:v>
      </x:c>
      <x:c r="J349" t="str">
        <x:v>https://github.com/darknigthmare/deadwall-last-enclosure/blob/1b3b9c5ba232734b1bda3453b4e20a0481bcdd74/codex-3000/originaux/DEADWALL_CODEX_1.22/fiches/DW-0344.md</x:v>
      </x:c>
      <x:c r="K349" t="str">
        <x:v>Source min 30,20 m ; max 240,180 m ; modèle 30 × 20 m ; niveaux 0. Détails dans catalogue-existant.json.</x:v>
      </x:c>
    </x:row>
    <x:row r="350">
      <x:c r="A350" t="str">
        <x:v>DW-0345</x:v>
      </x:c>
      <x:c r="B350" t="str">
        <x:v>DW-0345</x:v>
      </x:c>
      <x:c r="C350" t="str">
        <x:v>Parent historique</x:v>
      </x:c>
      <x:c r="D350" t="str">
        <x:v>Eau et réseaux</x:v>
      </x:c>
      <x:c r="E350" t="str">
        <x:v>Bassin d'orage</x:v>
      </x:c>
      <x:c r="F350" t="n">
        <x:v>10</x:v>
      </x:c>
      <x:c r="G350" t="n">
        <x:v>4</x:v>
      </x:c>
      <x:c r="H350" t="n">
        <x:v>12</x:v>
      </x:c>
      <x:c r="I350" t="str">
        <x:v>À qualifier par lieu</x:v>
      </x:c>
      <x:c r="J350" t="str">
        <x:v>https://github.com/darknigthmare/deadwall-last-enclosure/blob/1b3b9c5ba232734b1bda3453b4e20a0481bcdd74/codex-3000/originaux/DEADWALL_CODEX_1.22/fiches/DW-0345.md</x:v>
      </x:c>
      <x:c r="K350" t="str">
        <x:v>Source min 30,20 m ; max 240,180 m ; modèle 30 × 20 m ; niveaux 0. Détails dans catalogue-existant.json.</x:v>
      </x:c>
    </x:row>
    <x:row r="351">
      <x:c r="A351" t="str">
        <x:v>DW-0346</x:v>
      </x:c>
      <x:c r="B351" t="str">
        <x:v>DW-0346</x:v>
      </x:c>
      <x:c r="C351" t="str">
        <x:v>Parent historique</x:v>
      </x:c>
      <x:c r="D351" t="str">
        <x:v>Eau et réseaux</x:v>
      </x:c>
      <x:c r="E351" t="str">
        <x:v>Réservoir enterré</x:v>
      </x:c>
      <x:c r="F351" t="n">
        <x:v>10</x:v>
      </x:c>
      <x:c r="G351" t="n">
        <x:v>3</x:v>
      </x:c>
      <x:c r="H351" t="n">
        <x:v>9</x:v>
      </x:c>
      <x:c r="I351" t="str">
        <x:v>À qualifier par lieu</x:v>
      </x:c>
      <x:c r="J351" t="str">
        <x:v>https://github.com/darknigthmare/deadwall-last-enclosure/blob/1b3b9c5ba232734b1bda3453b4e20a0481bcdd74/codex-3000/originaux/DEADWALL_CODEX_1.22/fiches/DW-0346.md</x:v>
      </x:c>
      <x:c r="K351" t="str">
        <x:v>Source min 30,20 m ; max 240,180 m ; modèle 30 × 20 m ; niveaux -1, 0. Détails dans catalogue-existant.json.</x:v>
      </x:c>
    </x:row>
    <x:row r="352">
      <x:c r="A352" t="str">
        <x:v>DW-0347</x:v>
      </x:c>
      <x:c r="B352" t="str">
        <x:v>DW-0347</x:v>
      </x:c>
      <x:c r="C352" t="str">
        <x:v>Parent historique</x:v>
      </x:c>
      <x:c r="D352" t="str">
        <x:v>Eau et réseaux</x:v>
      </x:c>
      <x:c r="E352" t="str">
        <x:v>Canal avec écluse</x:v>
      </x:c>
      <x:c r="F352" t="n">
        <x:v>10</x:v>
      </x:c>
      <x:c r="G352" t="n">
        <x:v>4</x:v>
      </x:c>
      <x:c r="H352" t="n">
        <x:v>12</x:v>
      </x:c>
      <x:c r="I352" t="str">
        <x:v>À qualifier par lieu</x:v>
      </x:c>
      <x:c r="J352" t="str">
        <x:v>https://github.com/darknigthmare/deadwall-last-enclosure/blob/1b3b9c5ba232734b1bda3453b4e20a0481bcdd74/codex-3000/originaux/DEADWALL_CODEX_1.22/fiches/DW-0347.md</x:v>
      </x:c>
      <x:c r="K352" t="str">
        <x:v>Source min 30,20 m ; max 240,180 m ; modèle 30 × 20 m ; niveaux 0. Détails dans catalogue-existant.json.</x:v>
      </x:c>
    </x:row>
    <x:row r="353">
      <x:c r="A353" t="str">
        <x:v>DW-0348</x:v>
      </x:c>
      <x:c r="B353" t="str">
        <x:v>DW-0348</x:v>
      </x:c>
      <x:c r="C353" t="str">
        <x:v>Parent historique</x:v>
      </x:c>
      <x:c r="D353" t="str">
        <x:v>Eau et réseaux</x:v>
      </x:c>
      <x:c r="E353" t="str">
        <x:v>Aqueduc ancien</x:v>
      </x:c>
      <x:c r="F353" t="n">
        <x:v>10</x:v>
      </x:c>
      <x:c r="G353" t="n">
        <x:v>4</x:v>
      </x:c>
      <x:c r="H353" t="n">
        <x:v>12</x:v>
      </x:c>
      <x:c r="I353" t="str">
        <x:v>À qualifier par lieu</x:v>
      </x:c>
      <x:c r="J353" t="str">
        <x:v>https://github.com/darknigthmare/deadwall-last-enclosure/blob/1b3b9c5ba232734b1bda3453b4e20a0481bcdd74/codex-3000/originaux/DEADWALL_CODEX_1.22/fiches/DW-0348.md</x:v>
      </x:c>
      <x:c r="K353" t="str">
        <x:v>Source min 30,20 m ; max 240,180 m ; modèle 30 × 20 m ; niveaux 0. Détails dans catalogue-existant.json.</x:v>
      </x:c>
    </x:row>
    <x:row r="354">
      <x:c r="A354" t="str">
        <x:v>DW-0349</x:v>
      </x:c>
      <x:c r="B354" t="str">
        <x:v>DW-0349</x:v>
      </x:c>
      <x:c r="C354" t="str">
        <x:v>Parent historique</x:v>
      </x:c>
      <x:c r="D354" t="str">
        <x:v>Eau et réseaux</x:v>
      </x:c>
      <x:c r="E354" t="str">
        <x:v>Collecteur visitable fictif</x:v>
      </x:c>
      <x:c r="F354" t="n">
        <x:v>10</x:v>
      </x:c>
      <x:c r="G354" t="n">
        <x:v>4</x:v>
      </x:c>
      <x:c r="H354" t="n">
        <x:v>10</x:v>
      </x:c>
      <x:c r="I354" t="str">
        <x:v>À qualifier par lieu</x:v>
      </x:c>
      <x:c r="J354" t="str">
        <x:v>https://github.com/darknigthmare/deadwall-last-enclosure/blob/1b3b9c5ba232734b1bda3453b4e20a0481bcdd74/codex-3000/originaux/DEADWALL_CODEX_1.22/fiches/DW-0349.md</x:v>
      </x:c>
      <x:c r="K354" t="str">
        <x:v>Source min 30,20 m ; max 240,180 m ; modèle 30 × 20 m ; niveaux 0. Détails dans catalogue-existant.json.</x:v>
      </x:c>
    </x:row>
    <x:row r="355">
      <x:c r="A355" t="str">
        <x:v>DW-0350</x:v>
      </x:c>
      <x:c r="B355" t="str">
        <x:v>DW-0350</x:v>
      </x:c>
      <x:c r="C355" t="str">
        <x:v>Parent historique</x:v>
      </x:c>
      <x:c r="D355" t="str">
        <x:v>Eau et réseaux</x:v>
      </x:c>
      <x:c r="E355" t="str">
        <x:v>Local d'égout de quartier</x:v>
      </x:c>
      <x:c r="F355" t="n">
        <x:v>10</x:v>
      </x:c>
      <x:c r="G355" t="n">
        <x:v>3</x:v>
      </x:c>
      <x:c r="H355" t="n">
        <x:v>7</x:v>
      </x:c>
      <x:c r="I355" t="str">
        <x:v>À qualifier par lieu</x:v>
      </x:c>
      <x:c r="J355" t="str">
        <x:v>https://github.com/darknigthmare/deadwall-last-enclosure/blob/1b3b9c5ba232734b1bda3453b4e20a0481bcdd74/codex-3000/originaux/DEADWALL_CODEX_1.22/fiches/DW-0350.md</x:v>
      </x:c>
      <x:c r="K355" t="str">
        <x:v>Source min 30,20 m ; max 240,180 m ; modèle 30 × 20 m ; niveaux 0. Détails dans catalogue-existant.json.</x:v>
      </x:c>
    </x:row>
    <x:row r="356">
      <x:c r="A356" t="str">
        <x:v>DW-0351</x:v>
      </x:c>
      <x:c r="B356" t="str">
        <x:v>DW-0351</x:v>
      </x:c>
      <x:c r="C356" t="str">
        <x:v>Parent historique</x:v>
      </x:c>
      <x:c r="D356" t="str">
        <x:v>Eau et réseaux</x:v>
      </x:c>
      <x:c r="E356" t="str">
        <x:v>Lavoir ancien</x:v>
      </x:c>
      <x:c r="F356" t="n">
        <x:v>10</x:v>
      </x:c>
      <x:c r="G356" t="n">
        <x:v>4</x:v>
      </x:c>
      <x:c r="H356" t="n">
        <x:v>12</x:v>
      </x:c>
      <x:c r="I356" t="str">
        <x:v>À qualifier par lieu</x:v>
      </x:c>
      <x:c r="J356" t="str">
        <x:v>https://github.com/darknigthmare/deadwall-last-enclosure/blob/1b3b9c5ba232734b1bda3453b4e20a0481bcdd74/codex-3000/originaux/DEADWALL_CODEX_1.22/fiches/DW-0351.md</x:v>
      </x:c>
      <x:c r="K356" t="str">
        <x:v>Source min 30,20 m ; max 240,180 m ; modèle 30 × 20 m ; niveaux 0. Détails dans catalogue-existant.json.</x:v>
      </x:c>
    </x:row>
    <x:row r="357">
      <x:c r="A357" t="str">
        <x:v>DW-0352</x:v>
      </x:c>
      <x:c r="B357" t="str">
        <x:v>DW-0352</x:v>
      </x:c>
      <x:c r="C357" t="str">
        <x:v>Parent historique</x:v>
      </x:c>
      <x:c r="D357" t="str">
        <x:v>Eau et réseaux</x:v>
      </x:c>
      <x:c r="E357" t="str">
        <x:v>Fontaine de village</x:v>
      </x:c>
      <x:c r="F357" t="n">
        <x:v>10</x:v>
      </x:c>
      <x:c r="G357" t="n">
        <x:v>3</x:v>
      </x:c>
      <x:c r="H357" t="n">
        <x:v>9</x:v>
      </x:c>
      <x:c r="I357" t="str">
        <x:v>À qualifier par lieu</x:v>
      </x:c>
      <x:c r="J357" t="str">
        <x:v>https://github.com/darknigthmare/deadwall-last-enclosure/blob/1b3b9c5ba232734b1bda3453b4e20a0481bcdd74/codex-3000/originaux/DEADWALL_CODEX_1.22/fiches/DW-0352.md</x:v>
      </x:c>
      <x:c r="K357" t="str">
        <x:v>Source min 30,20 m ; max 240,180 m ; modèle 30 × 20 m ; niveaux 0. Détails dans catalogue-existant.json.</x:v>
      </x:c>
    </x:row>
    <x:row r="358">
      <x:c r="A358" t="str">
        <x:v>DW-0353</x:v>
      </x:c>
      <x:c r="B358" t="str">
        <x:v>DW-0353</x:v>
      </x:c>
      <x:c r="C358" t="str">
        <x:v>Parent historique</x:v>
      </x:c>
      <x:c r="D358" t="str">
        <x:v>Eau et réseaux</x:v>
      </x:c>
      <x:c r="E358" t="str">
        <x:v>Puits agricole</x:v>
      </x:c>
      <x:c r="F358" t="n">
        <x:v>10</x:v>
      </x:c>
      <x:c r="G358" t="n">
        <x:v>4</x:v>
      </x:c>
      <x:c r="H358" t="n">
        <x:v>12</x:v>
      </x:c>
      <x:c r="I358" t="str">
        <x:v>À qualifier par lieu</x:v>
      </x:c>
      <x:c r="J358" t="str">
        <x:v>https://github.com/darknigthmare/deadwall-last-enclosure/blob/1b3b9c5ba232734b1bda3453b4e20a0481bcdd74/codex-3000/originaux/DEADWALL_CODEX_1.22/fiches/DW-0353.md</x:v>
      </x:c>
      <x:c r="K358" t="str">
        <x:v>Source min 30,20 m ; max 240,180 m ; modèle 30 × 20 m ; niveaux 0. Détails dans catalogue-existant.json.</x:v>
      </x:c>
    </x:row>
    <x:row r="359">
      <x:c r="A359" t="str">
        <x:v>DW-0354</x:v>
      </x:c>
      <x:c r="B359" t="str">
        <x:v>DW-0354</x:v>
      </x:c>
      <x:c r="C359" t="str">
        <x:v>Parent historique</x:v>
      </x:c>
      <x:c r="D359" t="str">
        <x:v>Eau et réseaux</x:v>
      </x:c>
      <x:c r="E359" t="str">
        <x:v>Station d'irrigation</x:v>
      </x:c>
      <x:c r="F359" t="n">
        <x:v>10</x:v>
      </x:c>
      <x:c r="G359" t="n">
        <x:v>4</x:v>
      </x:c>
      <x:c r="H359" t="n">
        <x:v>12</x:v>
      </x:c>
      <x:c r="I359" t="str">
        <x:v>À qualifier par lieu</x:v>
      </x:c>
      <x:c r="J359" t="str">
        <x:v>https://github.com/darknigthmare/deadwall-last-enclosure/blob/1b3b9c5ba232734b1bda3453b4e20a0481bcdd74/codex-3000/originaux/DEADWALL_CODEX_1.22/fiches/DW-0354.md</x:v>
      </x:c>
      <x:c r="K359" t="str">
        <x:v>Source min 30,20 m ; max 240,180 m ; modèle 30 × 20 m ; niveaux 0. Détails dans catalogue-existant.json.</x:v>
      </x:c>
    </x:row>
    <x:row r="360">
      <x:c r="A360" t="str">
        <x:v>DW-0355</x:v>
      </x:c>
      <x:c r="B360" t="str">
        <x:v>DW-0355</x:v>
      </x:c>
      <x:c r="C360" t="str">
        <x:v>Parent historique</x:v>
      </x:c>
      <x:c r="D360" t="str">
        <x:v>Eau et réseaux</x:v>
      </x:c>
      <x:c r="E360" t="str">
        <x:v>Barrage de petite rivière</x:v>
      </x:c>
      <x:c r="F360" t="n">
        <x:v>10</x:v>
      </x:c>
      <x:c r="G360" t="n">
        <x:v>4</x:v>
      </x:c>
      <x:c r="H360" t="n">
        <x:v>12</x:v>
      </x:c>
      <x:c r="I360" t="str">
        <x:v>À qualifier par lieu</x:v>
      </x:c>
      <x:c r="J360" t="str">
        <x:v>https://github.com/darknigthmare/deadwall-last-enclosure/blob/1b3b9c5ba232734b1bda3453b4e20a0481bcdd74/codex-3000/originaux/DEADWALL_CODEX_1.22/fiches/DW-0355.md</x:v>
      </x:c>
      <x:c r="K360" t="str">
        <x:v>Source min 30,20 m ; max 240,180 m ; modèle 30 × 20 m ; niveaux 0. Détails dans catalogue-existant.json.</x:v>
      </x:c>
    </x:row>
    <x:row r="361">
      <x:c r="A361" t="str">
        <x:v>DW-0356</x:v>
      </x:c>
      <x:c r="B361" t="str">
        <x:v>DW-0356</x:v>
      </x:c>
      <x:c r="C361" t="str">
        <x:v>Parent historique</x:v>
      </x:c>
      <x:c r="D361" t="str">
        <x:v>Eau et réseaux</x:v>
      </x:c>
      <x:c r="E361" t="str">
        <x:v>Digue côtière</x:v>
      </x:c>
      <x:c r="F361" t="n">
        <x:v>10</x:v>
      </x:c>
      <x:c r="G361" t="n">
        <x:v>3</x:v>
      </x:c>
      <x:c r="H361" t="n">
        <x:v>7</x:v>
      </x:c>
      <x:c r="I361" t="str">
        <x:v>À qualifier par lieu</x:v>
      </x:c>
      <x:c r="J361" t="str">
        <x:v>https://github.com/darknigthmare/deadwall-last-enclosure/blob/1b3b9c5ba232734b1bda3453b4e20a0481bcdd74/codex-3000/originaux/DEADWALL_CODEX_1.22/fiches/DW-0356.md</x:v>
      </x:c>
      <x:c r="K361" t="str">
        <x:v>Source min 30,20 m ; max 240,180 m ; modèle 30 × 20 m ; niveaux 0. Détails dans catalogue-existant.json.</x:v>
      </x:c>
    </x:row>
    <x:row r="362">
      <x:c r="A362" t="str">
        <x:v>DW-0357</x:v>
      </x:c>
      <x:c r="B362" t="str">
        <x:v>DW-0357</x:v>
      </x:c>
      <x:c r="C362" t="str">
        <x:v>Parent historique</x:v>
      </x:c>
      <x:c r="D362" t="str">
        <x:v>Eau et réseaux</x:v>
      </x:c>
      <x:c r="E362" t="str">
        <x:v>Portes anti-crue fictives</x:v>
      </x:c>
      <x:c r="F362" t="n">
        <x:v>10</x:v>
      </x:c>
      <x:c r="G362" t="n">
        <x:v>3</x:v>
      </x:c>
      <x:c r="H362" t="n">
        <x:v>7</x:v>
      </x:c>
      <x:c r="I362" t="str">
        <x:v>À qualifier par lieu</x:v>
      </x:c>
      <x:c r="J362" t="str">
        <x:v>https://github.com/darknigthmare/deadwall-last-enclosure/blob/1b3b9c5ba232734b1bda3453b4e20a0481bcdd74/codex-3000/originaux/DEADWALL_CODEX_1.22/fiches/DW-0357.md</x:v>
      </x:c>
      <x:c r="K362" t="str">
        <x:v>Source min 30,20 m ; max 240,180 m ; modèle 30 × 20 m ; niveaux 0. Détails dans catalogue-existant.json.</x:v>
      </x:c>
    </x:row>
    <x:row r="363">
      <x:c r="A363" t="str">
        <x:v>DW-0358</x:v>
      </x:c>
      <x:c r="B363" t="str">
        <x:v>DW-0358</x:v>
      </x:c>
      <x:c r="C363" t="str">
        <x:v>Parent historique</x:v>
      </x:c>
      <x:c r="D363" t="str">
        <x:v>Eau et réseaux</x:v>
      </x:c>
      <x:c r="E363" t="str">
        <x:v>Dépôt de citernes</x:v>
      </x:c>
      <x:c r="F363" t="n">
        <x:v>10</x:v>
      </x:c>
      <x:c r="G363" t="n">
        <x:v>4</x:v>
      </x:c>
      <x:c r="H363" t="n">
        <x:v>12</x:v>
      </x:c>
      <x:c r="I363" t="str">
        <x:v>À qualifier par lieu</x:v>
      </x:c>
      <x:c r="J363" t="str">
        <x:v>https://github.com/darknigthmare/deadwall-last-enclosure/blob/1b3b9c5ba232734b1bda3453b4e20a0481bcdd74/codex-3000/originaux/DEADWALL_CODEX_1.22/fiches/DW-0358.md</x:v>
      </x:c>
      <x:c r="K363" t="str">
        <x:v>Source min 30,20 m ; max 240,180 m ; modèle 30 × 20 m ; niveaux 0. Détails dans catalogue-existant.json.</x:v>
      </x:c>
    </x:row>
    <x:row r="364">
      <x:c r="A364" t="str">
        <x:v>DW-0359</x:v>
      </x:c>
      <x:c r="B364" t="str">
        <x:v>DW-0359</x:v>
      </x:c>
      <x:c r="C364" t="str">
        <x:v>Parent historique</x:v>
      </x:c>
      <x:c r="D364" t="str">
        <x:v>Eau et réseaux</x:v>
      </x:c>
      <x:c r="E364" t="str">
        <x:v>Captage forestier</x:v>
      </x:c>
      <x:c r="F364" t="n">
        <x:v>10</x:v>
      </x:c>
      <x:c r="G364" t="n">
        <x:v>3</x:v>
      </x:c>
      <x:c r="H364" t="n">
        <x:v>9</x:v>
      </x:c>
      <x:c r="I364" t="str">
        <x:v>À qualifier par lieu</x:v>
      </x:c>
      <x:c r="J364" t="str">
        <x:v>https://github.com/darknigthmare/deadwall-last-enclosure/blob/1b3b9c5ba232734b1bda3453b4e20a0481bcdd74/codex-3000/originaux/DEADWALL_CODEX_1.22/fiches/DW-0359.md</x:v>
      </x:c>
      <x:c r="K364" t="str">
        <x:v>Source min 30,20 m ; max 240,180 m ; modèle 30 × 20 m ; niveaux 0. Détails dans catalogue-existant.json.</x:v>
      </x:c>
    </x:row>
    <x:row r="365">
      <x:c r="A365" t="str">
        <x:v>DW-0360</x:v>
      </x:c>
      <x:c r="B365" t="str">
        <x:v>DW-0360</x:v>
      </x:c>
      <x:c r="C365" t="str">
        <x:v>Parent historique</x:v>
      </x:c>
      <x:c r="D365" t="str">
        <x:v>Eau et réseaux</x:v>
      </x:c>
      <x:c r="E365" t="str">
        <x:v>Réseau de bassins abandonné</x:v>
      </x:c>
      <x:c r="F365" t="n">
        <x:v>10</x:v>
      </x:c>
      <x:c r="G365" t="n">
        <x:v>4</x:v>
      </x:c>
      <x:c r="H365" t="n">
        <x:v>12</x:v>
      </x:c>
      <x:c r="I365" t="str">
        <x:v>À qualifier par lieu</x:v>
      </x:c>
      <x:c r="J365" t="str">
        <x:v>https://github.com/darknigthmare/deadwall-last-enclosure/blob/1b3b9c5ba232734b1bda3453b4e20a0481bcdd74/codex-3000/originaux/DEADWALL_CODEX_1.22/fiches/DW-0360.md</x:v>
      </x:c>
      <x:c r="K365" t="str">
        <x:v>Source min 30,20 m ; max 240,180 m ; modèle 30 × 20 m ; niveaux 0. Détails dans catalogue-existant.json.</x:v>
      </x:c>
    </x:row>
    <x:row r="366">
      <x:c r="A366" t="str">
        <x:v>DW-0361</x:v>
      </x:c>
      <x:c r="B366" t="str">
        <x:v>DW-0361</x:v>
      </x:c>
      <x:c r="C366" t="str">
        <x:v>Parent historique</x:v>
      </x:c>
      <x:c r="D366" t="str">
        <x:v>Agriculture</x:v>
      </x:c>
      <x:c r="E366" t="str">
        <x:v>Ferme céréalière</x:v>
      </x:c>
      <x:c r="F366" t="n">
        <x:v>8</x:v>
      </x:c>
      <x:c r="G366" t="n">
        <x:v>5</x:v>
      </x:c>
      <x:c r="H366" t="n">
        <x:v>15</x:v>
      </x:c>
      <x:c r="I366" t="str">
        <x:v>À qualifier par lieu</x:v>
      </x:c>
      <x:c r="J366" t="str">
        <x:v>https://github.com/darknigthmare/deadwall-last-enclosure/blob/1b3b9c5ba232734b1bda3453b4e20a0481bcdd74/codex-3000/originaux/DEADWALL_CODEX_1.22/fiches/DW-0361.md</x:v>
      </x:c>
      <x:c r="K366" t="str">
        <x:v>Source min 90,60 m ; max 700,450 m ; modèle 78 × 60 m ; niveaux 0. Détails dans catalogue-existant.json.</x:v>
      </x:c>
    </x:row>
    <x:row r="367">
      <x:c r="A367" t="str">
        <x:v>DW-0362</x:v>
      </x:c>
      <x:c r="B367" t="str">
        <x:v>DW-0362</x:v>
      </x:c>
      <x:c r="C367" t="str">
        <x:v>Parent historique</x:v>
      </x:c>
      <x:c r="D367" t="str">
        <x:v>Agriculture</x:v>
      </x:c>
      <x:c r="E367" t="str">
        <x:v>Ferme bovine</x:v>
      </x:c>
      <x:c r="F367" t="n">
        <x:v>8</x:v>
      </x:c>
      <x:c r="G367" t="n">
        <x:v>5</x:v>
      </x:c>
      <x:c r="H367" t="n">
        <x:v>15</x:v>
      </x:c>
      <x:c r="I367" t="str">
        <x:v>À qualifier par lieu</x:v>
      </x:c>
      <x:c r="J367" t="str">
        <x:v>https://github.com/darknigthmare/deadwall-last-enclosure/blob/1b3b9c5ba232734b1bda3453b4e20a0481bcdd74/codex-3000/originaux/DEADWALL_CODEX_1.22/fiches/DW-0362.md</x:v>
      </x:c>
      <x:c r="K367" t="str">
        <x:v>Source min 90,60 m ; max 700,450 m ; modèle 78 × 60 m ; niveaux 0. Détails dans catalogue-existant.json.</x:v>
      </x:c>
    </x:row>
    <x:row r="368">
      <x:c r="A368" t="str">
        <x:v>DW-0363</x:v>
      </x:c>
      <x:c r="B368" t="str">
        <x:v>DW-0363</x:v>
      </x:c>
      <x:c r="C368" t="str">
        <x:v>Parent historique</x:v>
      </x:c>
      <x:c r="D368" t="str">
        <x:v>Agriculture</x:v>
      </x:c>
      <x:c r="E368" t="str">
        <x:v>Bergerie</x:v>
      </x:c>
      <x:c r="F368" t="n">
        <x:v>8</x:v>
      </x:c>
      <x:c r="G368" t="n">
        <x:v>4</x:v>
      </x:c>
      <x:c r="H368" t="n">
        <x:v>12</x:v>
      </x:c>
      <x:c r="I368" t="str">
        <x:v>À qualifier par lieu</x:v>
      </x:c>
      <x:c r="J368" t="str">
        <x:v>https://github.com/darknigthmare/deadwall-last-enclosure/blob/1b3b9c5ba232734b1bda3453b4e20a0481bcdd74/codex-3000/originaux/DEADWALL_CODEX_1.22/fiches/DW-0363.md</x:v>
      </x:c>
      <x:c r="K368" t="str">
        <x:v>Source min 90,60 m ; max 700,450 m ; modèle 78 × 60 m ; niveaux 0. Détails dans catalogue-existant.json.</x:v>
      </x:c>
    </x:row>
    <x:row r="369">
      <x:c r="A369" t="str">
        <x:v>DW-0364</x:v>
      </x:c>
      <x:c r="B369" t="str">
        <x:v>DW-0364</x:v>
      </x:c>
      <x:c r="C369" t="str">
        <x:v>Parent historique</x:v>
      </x:c>
      <x:c r="D369" t="str">
        <x:v>Agriculture</x:v>
      </x:c>
      <x:c r="E369" t="str">
        <x:v>Élevage avicole</x:v>
      </x:c>
      <x:c r="F369" t="n">
        <x:v>8</x:v>
      </x:c>
      <x:c r="G369" t="n">
        <x:v>4</x:v>
      </x:c>
      <x:c r="H369" t="n">
        <x:v>12</x:v>
      </x:c>
      <x:c r="I369" t="str">
        <x:v>À qualifier par lieu</x:v>
      </x:c>
      <x:c r="J369" t="str">
        <x:v>https://github.com/darknigthmare/deadwall-last-enclosure/blob/1b3b9c5ba232734b1bda3453b4e20a0481bcdd74/codex-3000/originaux/DEADWALL_CODEX_1.22/fiches/DW-0364.md</x:v>
      </x:c>
      <x:c r="K369" t="str">
        <x:v>Source min 90,60 m ; max 700,450 m ; modèle 78 × 60 m ; niveaux 0. Détails dans catalogue-existant.json.</x:v>
      </x:c>
    </x:row>
    <x:row r="370">
      <x:c r="A370" t="str">
        <x:v>DW-0365</x:v>
      </x:c>
      <x:c r="B370" t="str">
        <x:v>DW-0365</x:v>
      </x:c>
      <x:c r="C370" t="str">
        <x:v>Parent historique</x:v>
      </x:c>
      <x:c r="D370" t="str">
        <x:v>Agriculture</x:v>
      </x:c>
      <x:c r="E370" t="str">
        <x:v>Porcherie désaffectée</x:v>
      </x:c>
      <x:c r="F370" t="n">
        <x:v>8</x:v>
      </x:c>
      <x:c r="G370" t="n">
        <x:v>4</x:v>
      </x:c>
      <x:c r="H370" t="n">
        <x:v>12</x:v>
      </x:c>
      <x:c r="I370" t="str">
        <x:v>À qualifier par lieu</x:v>
      </x:c>
      <x:c r="J370" t="str">
        <x:v>https://github.com/darknigthmare/deadwall-last-enclosure/blob/1b3b9c5ba232734b1bda3453b4e20a0481bcdd74/codex-3000/originaux/DEADWALL_CODEX_1.22/fiches/DW-0365.md</x:v>
      </x:c>
      <x:c r="K370" t="str">
        <x:v>Source min 90,60 m ; max 700,450 m ; modèle 78 × 60 m ; niveaux 0. Détails dans catalogue-existant.json.</x:v>
      </x:c>
    </x:row>
    <x:row r="371">
      <x:c r="A371" t="str">
        <x:v>DW-0366</x:v>
      </x:c>
      <x:c r="B371" t="str">
        <x:v>DW-0366</x:v>
      </x:c>
      <x:c r="C371" t="str">
        <x:v>Parent historique</x:v>
      </x:c>
      <x:c r="D371" t="str">
        <x:v>Agriculture</x:v>
      </x:c>
      <x:c r="E371" t="str">
        <x:v>Ferme laitière</x:v>
      </x:c>
      <x:c r="F371" t="n">
        <x:v>8</x:v>
      </x:c>
      <x:c r="G371" t="n">
        <x:v>4</x:v>
      </x:c>
      <x:c r="H371" t="n">
        <x:v>12</x:v>
      </x:c>
      <x:c r="I371" t="str">
        <x:v>À qualifier par lieu</x:v>
      </x:c>
      <x:c r="J371" t="str">
        <x:v>https://github.com/darknigthmare/deadwall-last-enclosure/blob/1b3b9c5ba232734b1bda3453b4e20a0481bcdd74/codex-3000/originaux/DEADWALL_CODEX_1.22/fiches/DW-0366.md</x:v>
      </x:c>
      <x:c r="K371" t="str">
        <x:v>Source min 90,60 m ; max 700,450 m ; modèle 78 × 60 m ; niveaux 0. Détails dans catalogue-existant.json.</x:v>
      </x:c>
    </x:row>
    <x:row r="372">
      <x:c r="A372" t="str">
        <x:v>DW-0367</x:v>
      </x:c>
      <x:c r="B372" t="str">
        <x:v>DW-0367</x:v>
      </x:c>
      <x:c r="C372" t="str">
        <x:v>Parent historique</x:v>
      </x:c>
      <x:c r="D372" t="str">
        <x:v>Agriculture</x:v>
      </x:c>
      <x:c r="E372" t="str">
        <x:v>Exploitation maraîchère</x:v>
      </x:c>
      <x:c r="F372" t="n">
        <x:v>8</x:v>
      </x:c>
      <x:c r="G372" t="n">
        <x:v>4</x:v>
      </x:c>
      <x:c r="H372" t="n">
        <x:v>12</x:v>
      </x:c>
      <x:c r="I372" t="str">
        <x:v>À qualifier par lieu</x:v>
      </x:c>
      <x:c r="J372" t="str">
        <x:v>https://github.com/darknigthmare/deadwall-last-enclosure/blob/1b3b9c5ba232734b1bda3453b4e20a0481bcdd74/codex-3000/originaux/DEADWALL_CODEX_1.22/fiches/DW-0367.md</x:v>
      </x:c>
      <x:c r="K372" t="str">
        <x:v>Source min 90,60 m ; max 700,450 m ; modèle 78 × 60 m ; niveaux 0. Détails dans catalogue-existant.json.</x:v>
      </x:c>
    </x:row>
    <x:row r="373">
      <x:c r="A373" t="str">
        <x:v>DW-0368</x:v>
      </x:c>
      <x:c r="B373" t="str">
        <x:v>DW-0368</x:v>
      </x:c>
      <x:c r="C373" t="str">
        <x:v>Parent historique</x:v>
      </x:c>
      <x:c r="D373" t="str">
        <x:v>Agriculture</x:v>
      </x:c>
      <x:c r="E373" t="str">
        <x:v>Serres horticoles</x:v>
      </x:c>
      <x:c r="F373" t="n">
        <x:v>8</x:v>
      </x:c>
      <x:c r="G373" t="n">
        <x:v>4</x:v>
      </x:c>
      <x:c r="H373" t="n">
        <x:v>12</x:v>
      </x:c>
      <x:c r="I373" t="str">
        <x:v>À qualifier par lieu</x:v>
      </x:c>
      <x:c r="J373" t="str">
        <x:v>https://github.com/darknigthmare/deadwall-last-enclosure/blob/1b3b9c5ba232734b1bda3453b4e20a0481bcdd74/codex-3000/originaux/DEADWALL_CODEX_1.22/fiches/DW-0368.md</x:v>
      </x:c>
      <x:c r="K373" t="str">
        <x:v>Source min 90,60 m ; max 700,450 m ; modèle 78 × 60 m ; niveaux 0. Détails dans catalogue-existant.json.</x:v>
      </x:c>
    </x:row>
    <x:row r="374">
      <x:c r="A374" t="str">
        <x:v>DW-0369</x:v>
      </x:c>
      <x:c r="B374" t="str">
        <x:v>DW-0369</x:v>
      </x:c>
      <x:c r="C374" t="str">
        <x:v>Parent historique</x:v>
      </x:c>
      <x:c r="D374" t="str">
        <x:v>Agriculture</x:v>
      </x:c>
      <x:c r="E374" t="str">
        <x:v>Verger</x:v>
      </x:c>
      <x:c r="F374" t="n">
        <x:v>8</x:v>
      </x:c>
      <x:c r="G374" t="n">
        <x:v>4</x:v>
      </x:c>
      <x:c r="H374" t="n">
        <x:v>12</x:v>
      </x:c>
      <x:c r="I374" t="str">
        <x:v>À qualifier par lieu</x:v>
      </x:c>
      <x:c r="J374" t="str">
        <x:v>https://github.com/darknigthmare/deadwall-last-enclosure/blob/1b3b9c5ba232734b1bda3453b4e20a0481bcdd74/codex-3000/originaux/DEADWALL_CODEX_1.22/fiches/DW-0369.md</x:v>
      </x:c>
      <x:c r="K374" t="str">
        <x:v>Source min 90,60 m ; max 700,450 m ; modèle 78 × 60 m ; niveaux 0. Détails dans catalogue-existant.json.</x:v>
      </x:c>
    </x:row>
    <x:row r="375">
      <x:c r="A375" t="str">
        <x:v>DW-0370</x:v>
      </x:c>
      <x:c r="B375" t="str">
        <x:v>DW-0370</x:v>
      </x:c>
      <x:c r="C375" t="str">
        <x:v>Parent historique</x:v>
      </x:c>
      <x:c r="D375" t="str">
        <x:v>Agriculture</x:v>
      </x:c>
      <x:c r="E375" t="str">
        <x:v>Vignoble fictif</x:v>
      </x:c>
      <x:c r="F375" t="n">
        <x:v>8</x:v>
      </x:c>
      <x:c r="G375" t="n">
        <x:v>4</x:v>
      </x:c>
      <x:c r="H375" t="n">
        <x:v>12</x:v>
      </x:c>
      <x:c r="I375" t="str">
        <x:v>À qualifier par lieu</x:v>
      </x:c>
      <x:c r="J375" t="str">
        <x:v>https://github.com/darknigthmare/deadwall-last-enclosure/blob/1b3b9c5ba232734b1bda3453b4e20a0481bcdd74/codex-3000/originaux/DEADWALL_CODEX_1.22/fiches/DW-0370.md</x:v>
      </x:c>
      <x:c r="K375" t="str">
        <x:v>Source min 90,60 m ; max 700,450 m ; modèle 78 × 60 m ; niveaux 0. Détails dans catalogue-existant.json.</x:v>
      </x:c>
    </x:row>
    <x:row r="376">
      <x:c r="A376" t="str">
        <x:v>DW-0371</x:v>
      </x:c>
      <x:c r="B376" t="str">
        <x:v>DW-0371</x:v>
      </x:c>
      <x:c r="C376" t="str">
        <x:v>Parent historique</x:v>
      </x:c>
      <x:c r="D376" t="str">
        <x:v>Agriculture</x:v>
      </x:c>
      <x:c r="E376" t="str">
        <x:v>Oliveraie</x:v>
      </x:c>
      <x:c r="F376" t="n">
        <x:v>8</x:v>
      </x:c>
      <x:c r="G376" t="n">
        <x:v>4</x:v>
      </x:c>
      <x:c r="H376" t="n">
        <x:v>12</x:v>
      </x:c>
      <x:c r="I376" t="str">
        <x:v>À qualifier par lieu</x:v>
      </x:c>
      <x:c r="J376" t="str">
        <x:v>https://github.com/darknigthmare/deadwall-last-enclosure/blob/1b3b9c5ba232734b1bda3453b4e20a0481bcdd74/codex-3000/originaux/DEADWALL_CODEX_1.22/fiches/DW-0371.md</x:v>
      </x:c>
      <x:c r="K376" t="str">
        <x:v>Source min 90,60 m ; max 700,450 m ; modèle 78 × 60 m ; niveaux 0. Détails dans catalogue-existant.json.</x:v>
      </x:c>
    </x:row>
    <x:row r="377">
      <x:c r="A377" t="str">
        <x:v>DW-0372</x:v>
      </x:c>
      <x:c r="B377" t="str">
        <x:v>DW-0372</x:v>
      </x:c>
      <x:c r="C377" t="str">
        <x:v>Parent historique</x:v>
      </x:c>
      <x:c r="D377" t="str">
        <x:v>Agriculture</x:v>
      </x:c>
      <x:c r="E377" t="str">
        <x:v>Ferme apicole</x:v>
      </x:c>
      <x:c r="F377" t="n">
        <x:v>8</x:v>
      </x:c>
      <x:c r="G377" t="n">
        <x:v>4</x:v>
      </x:c>
      <x:c r="H377" t="n">
        <x:v>12</x:v>
      </x:c>
      <x:c r="I377" t="str">
        <x:v>À qualifier par lieu</x:v>
      </x:c>
      <x:c r="J377" t="str">
        <x:v>https://github.com/darknigthmare/deadwall-last-enclosure/blob/1b3b9c5ba232734b1bda3453b4e20a0481bcdd74/codex-3000/originaux/DEADWALL_CODEX_1.22/fiches/DW-0372.md</x:v>
      </x:c>
      <x:c r="K377" t="str">
        <x:v>Source min 90,60 m ; max 700,450 m ; modèle 78 × 60 m ; niveaux 0. Détails dans catalogue-existant.json.</x:v>
      </x:c>
    </x:row>
    <x:row r="378">
      <x:c r="A378" t="str">
        <x:v>DW-0373</x:v>
      </x:c>
      <x:c r="B378" t="str">
        <x:v>DW-0373</x:v>
      </x:c>
      <x:c r="C378" t="str">
        <x:v>Parent historique</x:v>
      </x:c>
      <x:c r="D378" t="str">
        <x:v>Agriculture</x:v>
      </x:c>
      <x:c r="E378" t="str">
        <x:v>Centre équestre</x:v>
      </x:c>
      <x:c r="F378" t="n">
        <x:v>8</x:v>
      </x:c>
      <x:c r="G378" t="n">
        <x:v>5</x:v>
      </x:c>
      <x:c r="H378" t="n">
        <x:v>15</x:v>
      </x:c>
      <x:c r="I378" t="str">
        <x:v>À qualifier par lieu</x:v>
      </x:c>
      <x:c r="J378" t="str">
        <x:v>https://github.com/darknigthmare/deadwall-last-enclosure/blob/1b3b9c5ba232734b1bda3453b4e20a0481bcdd74/codex-3000/originaux/DEADWALL_CODEX_1.22/fiches/DW-0373.md</x:v>
      </x:c>
      <x:c r="K378" t="str">
        <x:v>Source min 90,60 m ; max 700,450 m ; modèle 78 × 60 m ; niveaux 0. Détails dans catalogue-existant.json.</x:v>
      </x:c>
    </x:row>
    <x:row r="379">
      <x:c r="A379" t="str">
        <x:v>DW-0374</x:v>
      </x:c>
      <x:c r="B379" t="str">
        <x:v>DW-0374</x:v>
      </x:c>
      <x:c r="C379" t="str">
        <x:v>Parent historique</x:v>
      </x:c>
      <x:c r="D379" t="str">
        <x:v>Agriculture</x:v>
      </x:c>
      <x:c r="E379" t="str">
        <x:v>Ferme pédagogique</x:v>
      </x:c>
      <x:c r="F379" t="n">
        <x:v>8</x:v>
      </x:c>
      <x:c r="G379" t="n">
        <x:v>4</x:v>
      </x:c>
      <x:c r="H379" t="n">
        <x:v>12</x:v>
      </x:c>
      <x:c r="I379" t="str">
        <x:v>À qualifier par lieu</x:v>
      </x:c>
      <x:c r="J379" t="str">
        <x:v>https://github.com/darknigthmare/deadwall-last-enclosure/blob/1b3b9c5ba232734b1bda3453b4e20a0481bcdd74/codex-3000/originaux/DEADWALL_CODEX_1.22/fiches/DW-0374.md</x:v>
      </x:c>
      <x:c r="K379" t="str">
        <x:v>Source min 90,60 m ; max 700,450 m ; modèle 78 × 60 m ; niveaux 0. Détails dans catalogue-existant.json.</x:v>
      </x:c>
    </x:row>
    <x:row r="380">
      <x:c r="A380" t="str">
        <x:v>DW-0375</x:v>
      </x:c>
      <x:c r="B380" t="str">
        <x:v>DW-0375</x:v>
      </x:c>
      <x:c r="C380" t="str">
        <x:v>Parent historique</x:v>
      </x:c>
      <x:c r="D380" t="str">
        <x:v>Agriculture</x:v>
      </x:c>
      <x:c r="E380" t="str">
        <x:v>Coopérative agricole</x:v>
      </x:c>
      <x:c r="F380" t="n">
        <x:v>8</x:v>
      </x:c>
      <x:c r="G380" t="n">
        <x:v>4</x:v>
      </x:c>
      <x:c r="H380" t="n">
        <x:v>12</x:v>
      </x:c>
      <x:c r="I380" t="str">
        <x:v>À qualifier par lieu</x:v>
      </x:c>
      <x:c r="J380" t="str">
        <x:v>https://github.com/darknigthmare/deadwall-last-enclosure/blob/1b3b9c5ba232734b1bda3453b4e20a0481bcdd74/codex-3000/originaux/DEADWALL_CODEX_1.22/fiches/DW-0375.md</x:v>
      </x:c>
      <x:c r="K380" t="str">
        <x:v>Source min 90,60 m ; max 700,450 m ; modèle 78 × 60 m ; niveaux 0. Détails dans catalogue-existant.json.</x:v>
      </x:c>
    </x:row>
    <x:row r="381">
      <x:c r="A381" t="str">
        <x:v>DW-0376</x:v>
      </x:c>
      <x:c r="B381" t="str">
        <x:v>DW-0376</x:v>
      </x:c>
      <x:c r="C381" t="str">
        <x:v>Parent historique</x:v>
      </x:c>
      <x:c r="D381" t="str">
        <x:v>Agriculture</x:v>
      </x:c>
      <x:c r="E381" t="str">
        <x:v>Silo à grains</x:v>
      </x:c>
      <x:c r="F381" t="n">
        <x:v>8</x:v>
      </x:c>
      <x:c r="G381" t="n">
        <x:v>4</x:v>
      </x:c>
      <x:c r="H381" t="n">
        <x:v>12</x:v>
      </x:c>
      <x:c r="I381" t="str">
        <x:v>À qualifier par lieu</x:v>
      </x:c>
      <x:c r="J381" t="str">
        <x:v>https://github.com/darknigthmare/deadwall-last-enclosure/blob/1b3b9c5ba232734b1bda3453b4e20a0481bcdd74/codex-3000/originaux/DEADWALL_CODEX_1.22/fiches/DW-0376.md</x:v>
      </x:c>
      <x:c r="K381" t="str">
        <x:v>Source min 90,60 m ; max 700,450 m ; modèle 78 × 60 m ; niveaux 0. Détails dans catalogue-existant.json.</x:v>
      </x:c>
    </x:row>
    <x:row r="382">
      <x:c r="A382" t="str">
        <x:v>DW-0377</x:v>
      </x:c>
      <x:c r="B382" t="str">
        <x:v>DW-0377</x:v>
      </x:c>
      <x:c r="C382" t="str">
        <x:v>Parent historique</x:v>
      </x:c>
      <x:c r="D382" t="str">
        <x:v>Agriculture</x:v>
      </x:c>
      <x:c r="E382" t="str">
        <x:v>Dépôt d'amendements agricoles</x:v>
      </x:c>
      <x:c r="F382" t="n">
        <x:v>8</x:v>
      </x:c>
      <x:c r="G382" t="n">
        <x:v>4</x:v>
      </x:c>
      <x:c r="H382" t="n">
        <x:v>12</x:v>
      </x:c>
      <x:c r="I382" t="str">
        <x:v>À qualifier par lieu</x:v>
      </x:c>
      <x:c r="J382" t="str">
        <x:v>https://github.com/darknigthmare/deadwall-last-enclosure/blob/1b3b9c5ba232734b1bda3453b4e20a0481bcdd74/codex-3000/originaux/DEADWALL_CODEX_1.22/fiches/DW-0377.md</x:v>
      </x:c>
      <x:c r="K382" t="str">
        <x:v>Source min 90,60 m ; max 700,450 m ; modèle 78 × 60 m ; niveaux 0. Détails dans catalogue-existant.json.</x:v>
      </x:c>
    </x:row>
    <x:row r="383">
      <x:c r="A383" t="str">
        <x:v>DW-0378</x:v>
      </x:c>
      <x:c r="B383" t="str">
        <x:v>DW-0378</x:v>
      </x:c>
      <x:c r="C383" t="str">
        <x:v>Parent historique</x:v>
      </x:c>
      <x:c r="D383" t="str">
        <x:v>Agriculture</x:v>
      </x:c>
      <x:c r="E383" t="str">
        <x:v>Champ abandonné en friche</x:v>
      </x:c>
      <x:c r="F383" t="n">
        <x:v>8</x:v>
      </x:c>
      <x:c r="G383" t="n">
        <x:v>4</x:v>
      </x:c>
      <x:c r="H383" t="n">
        <x:v>12</x:v>
      </x:c>
      <x:c r="I383" t="str">
        <x:v>À qualifier par lieu</x:v>
      </x:c>
      <x:c r="J383" t="str">
        <x:v>https://github.com/darknigthmare/deadwall-last-enclosure/blob/1b3b9c5ba232734b1bda3453b4e20a0481bcdd74/codex-3000/originaux/DEADWALL_CODEX_1.22/fiches/DW-0378.md</x:v>
      </x:c>
      <x:c r="K383" t="str">
        <x:v>Source min 90,60 m ; max 700,450 m ; modèle 78 × 60 m ; niveaux 0. Détails dans catalogue-existant.json.</x:v>
      </x:c>
    </x:row>
    <x:row r="384">
      <x:c r="A384" t="str">
        <x:v>DW-0379</x:v>
      </x:c>
      <x:c r="B384" t="str">
        <x:v>DW-0379</x:v>
      </x:c>
      <x:c r="C384" t="str">
        <x:v>Parent historique</x:v>
      </x:c>
      <x:c r="D384" t="str">
        <x:v>Agriculture</x:v>
      </x:c>
      <x:c r="E384" t="str">
        <x:v>Jardins familiaux</x:v>
      </x:c>
      <x:c r="F384" t="n">
        <x:v>8</x:v>
      </x:c>
      <x:c r="G384" t="n">
        <x:v>4</x:v>
      </x:c>
      <x:c r="H384" t="n">
        <x:v>10</x:v>
      </x:c>
      <x:c r="I384" t="str">
        <x:v>À qualifier par lieu</x:v>
      </x:c>
      <x:c r="J384" t="str">
        <x:v>https://github.com/darknigthmare/deadwall-last-enclosure/blob/1b3b9c5ba232734b1bda3453b4e20a0481bcdd74/codex-3000/originaux/DEADWALL_CODEX_1.22/fiches/DW-0379.md</x:v>
      </x:c>
      <x:c r="K384" t="str">
        <x:v>Source min 90,60 m ; max 700,450 m ; modèle 78 × 60 m ; niveaux 0. Détails dans catalogue-existant.json.</x:v>
      </x:c>
    </x:row>
    <x:row r="385">
      <x:c r="A385" t="str">
        <x:v>DW-0380</x:v>
      </x:c>
      <x:c r="B385" t="str">
        <x:v>DW-0380</x:v>
      </x:c>
      <x:c r="C385" t="str">
        <x:v>Parent historique</x:v>
      </x:c>
      <x:c r="D385" t="str">
        <x:v>Agriculture</x:v>
      </x:c>
      <x:c r="E385" t="str">
        <x:v>Ferme expérimentale</x:v>
      </x:c>
      <x:c r="F385" t="n">
        <x:v>8</x:v>
      </x:c>
      <x:c r="G385" t="n">
        <x:v>4</x:v>
      </x:c>
      <x:c r="H385" t="n">
        <x:v>12</x:v>
      </x:c>
      <x:c r="I385" t="str">
        <x:v>À qualifier par lieu</x:v>
      </x:c>
      <x:c r="J385" t="str">
        <x:v>https://github.com/darknigthmare/deadwall-last-enclosure/blob/1b3b9c5ba232734b1bda3453b4e20a0481bcdd74/codex-3000/originaux/DEADWALL_CODEX_1.22/fiches/DW-0380.md</x:v>
      </x:c>
      <x:c r="K385" t="str">
        <x:v>Source min 90,60 m ; max 700,450 m ; modèle 78 × 60 m ; niveaux 0. Détails dans catalogue-existant.json.</x:v>
      </x:c>
    </x:row>
    <x:row r="386">
      <x:c r="A386" t="str">
        <x:v>DW-0381</x:v>
      </x:c>
      <x:c r="B386" t="str">
        <x:v>DW-0381</x:v>
      </x:c>
      <x:c r="C386" t="str">
        <x:v>Parent historique</x:v>
      </x:c>
      <x:c r="D386" t="str">
        <x:v>Forêts et filière bois</x:v>
      </x:c>
      <x:c r="E386" t="str">
        <x:v>Scierie de vallée</x:v>
      </x:c>
      <x:c r="F386" t="n">
        <x:v>8</x:v>
      </x:c>
      <x:c r="G386" t="n">
        <x:v>5</x:v>
      </x:c>
      <x:c r="H386" t="n">
        <x:v>15</x:v>
      </x:c>
      <x:c r="I386" t="str">
        <x:v>À qualifier par lieu</x:v>
      </x:c>
      <x:c r="J386" t="str">
        <x:v>https://github.com/darknigthmare/deadwall-last-enclosure/blob/1b3b9c5ba232734b1bda3453b4e20a0481bcdd74/codex-3000/originaux/DEADWALL_CODEX_1.22/fiches/DW-0381.md</x:v>
      </x:c>
      <x:c r="K386" t="str">
        <x:v>Source min 90,70 m ; max 900,700 m ; modèle 78 × 70 m ; niveaux 0. Détails dans catalogue-existant.json.</x:v>
      </x:c>
    </x:row>
    <x:row r="387">
      <x:c r="A387" t="str">
        <x:v>DW-0382</x:v>
      </x:c>
      <x:c r="B387" t="str">
        <x:v>DW-0382</x:v>
      </x:c>
      <x:c r="C387" t="str">
        <x:v>Parent historique</x:v>
      </x:c>
      <x:c r="D387" t="str">
        <x:v>Forêts et filière bois</x:v>
      </x:c>
      <x:c r="E387" t="str">
        <x:v>Petite scierie artisanale</x:v>
      </x:c>
      <x:c r="F387" t="n">
        <x:v>8</x:v>
      </x:c>
      <x:c r="G387" t="n">
        <x:v>4</x:v>
      </x:c>
      <x:c r="H387" t="n">
        <x:v>12</x:v>
      </x:c>
      <x:c r="I387" t="str">
        <x:v>À qualifier par lieu</x:v>
      </x:c>
      <x:c r="J387" t="str">
        <x:v>https://github.com/darknigthmare/deadwall-last-enclosure/blob/1b3b9c5ba232734b1bda3453b4e20a0481bcdd74/codex-3000/originaux/DEADWALL_CODEX_1.22/fiches/DW-0382.md</x:v>
      </x:c>
      <x:c r="K387" t="str">
        <x:v>Source min 90,70 m ; max 900,700 m ; modèle 78 × 70 m ; niveaux 0. Détails dans catalogue-existant.json.</x:v>
      </x:c>
    </x:row>
    <x:row r="388">
      <x:c r="A388" t="str">
        <x:v>DW-0383</x:v>
      </x:c>
      <x:c r="B388" t="str">
        <x:v>DW-0383</x:v>
      </x:c>
      <x:c r="C388" t="str">
        <x:v>Parent historique</x:v>
      </x:c>
      <x:c r="D388" t="str">
        <x:v>Forêts et filière bois</x:v>
      </x:c>
      <x:c r="E388" t="str">
        <x:v>Dépôt de grumes</x:v>
      </x:c>
      <x:c r="F388" t="n">
        <x:v>8</x:v>
      </x:c>
      <x:c r="G388" t="n">
        <x:v>3</x:v>
      </x:c>
      <x:c r="H388" t="n">
        <x:v>9</x:v>
      </x:c>
      <x:c r="I388" t="str">
        <x:v>À qualifier par lieu</x:v>
      </x:c>
      <x:c r="J388" t="str">
        <x:v>https://github.com/darknigthmare/deadwall-last-enclosure/blob/1b3b9c5ba232734b1bda3453b4e20a0481bcdd74/codex-3000/originaux/DEADWALL_CODEX_1.22/fiches/DW-0383.md</x:v>
      </x:c>
      <x:c r="K388" t="str">
        <x:v>Source min 90,70 m ; max 900,700 m ; modèle 78 × 70 m ; niveaux 0. Détails dans catalogue-existant.json.</x:v>
      </x:c>
    </x:row>
    <x:row r="389">
      <x:c r="A389" t="str">
        <x:v>DW-0384</x:v>
      </x:c>
      <x:c r="B389" t="str">
        <x:v>DW-0384</x:v>
      </x:c>
      <x:c r="C389" t="str">
        <x:v>Parent historique</x:v>
      </x:c>
      <x:c r="D389" t="str">
        <x:v>Forêts et filière bois</x:v>
      </x:c>
      <x:c r="E389" t="str">
        <x:v>Séchoir à bois</x:v>
      </x:c>
      <x:c r="F389" t="n">
        <x:v>8</x:v>
      </x:c>
      <x:c r="G389" t="n">
        <x:v>3</x:v>
      </x:c>
      <x:c r="H389" t="n">
        <x:v>9</x:v>
      </x:c>
      <x:c r="I389" t="str">
        <x:v>À qualifier par lieu</x:v>
      </x:c>
      <x:c r="J389" t="str">
        <x:v>https://github.com/darknigthmare/deadwall-last-enclosure/blob/1b3b9c5ba232734b1bda3453b4e20a0481bcdd74/codex-3000/originaux/DEADWALL_CODEX_1.22/fiches/DW-0384.md</x:v>
      </x:c>
      <x:c r="K389" t="str">
        <x:v>Source min 90,70 m ; max 900,700 m ; modèle 78 × 70 m ; niveaux 0. Détails dans catalogue-existant.json.</x:v>
      </x:c>
    </x:row>
    <x:row r="390">
      <x:c r="A390" t="str">
        <x:v>DW-0385</x:v>
      </x:c>
      <x:c r="B390" t="str">
        <x:v>DW-0385</x:v>
      </x:c>
      <x:c r="C390" t="str">
        <x:v>Parent historique</x:v>
      </x:c>
      <x:c r="D390" t="str">
        <x:v>Forêts et filière bois</x:v>
      </x:c>
      <x:c r="E390" t="str">
        <x:v>Atelier de charbon patrimonial</x:v>
      </x:c>
      <x:c r="F390" t="n">
        <x:v>8</x:v>
      </x:c>
      <x:c r="G390" t="n">
        <x:v>4</x:v>
      </x:c>
      <x:c r="H390" t="n">
        <x:v>12</x:v>
      </x:c>
      <x:c r="I390" t="str">
        <x:v>À qualifier par lieu</x:v>
      </x:c>
      <x:c r="J390" t="str">
        <x:v>https://github.com/darknigthmare/deadwall-last-enclosure/blob/1b3b9c5ba232734b1bda3453b4e20a0481bcdd74/codex-3000/originaux/DEADWALL_CODEX_1.22/fiches/DW-0385.md</x:v>
      </x:c>
      <x:c r="K390" t="str">
        <x:v>Source min 90,70 m ; max 900,700 m ; modèle 78 × 70 m ; niveaux 0. Détails dans catalogue-existant.json.</x:v>
      </x:c>
    </x:row>
    <x:row r="391">
      <x:c r="A391" t="str">
        <x:v>DW-0386</x:v>
      </x:c>
      <x:c r="B391" t="str">
        <x:v>DW-0386</x:v>
      </x:c>
      <x:c r="C391" t="str">
        <x:v>Parent historique</x:v>
      </x:c>
      <x:c r="D391" t="str">
        <x:v>Forêts et filière bois</x:v>
      </x:c>
      <x:c r="E391" t="str">
        <x:v>Maison forestière</x:v>
      </x:c>
      <x:c r="F391" t="n">
        <x:v>8</x:v>
      </x:c>
      <x:c r="G391" t="n">
        <x:v>4</x:v>
      </x:c>
      <x:c r="H391" t="n">
        <x:v>12</x:v>
      </x:c>
      <x:c r="I391" t="str">
        <x:v>À qualifier par lieu</x:v>
      </x:c>
      <x:c r="J391" t="str">
        <x:v>https://github.com/darknigthmare/deadwall-last-enclosure/blob/1b3b9c5ba232734b1bda3453b4e20a0481bcdd74/codex-3000/originaux/DEADWALL_CODEX_1.22/fiches/DW-0386.md</x:v>
      </x:c>
      <x:c r="K391" t="str">
        <x:v>Source min 90,70 m ; max 900,700 m ; modèle 78 × 70 m ; niveaux 0. Détails dans catalogue-existant.json.</x:v>
      </x:c>
    </x:row>
    <x:row r="392">
      <x:c r="A392" t="str">
        <x:v>DW-0387</x:v>
      </x:c>
      <x:c r="B392" t="str">
        <x:v>DW-0387</x:v>
      </x:c>
      <x:c r="C392" t="str">
        <x:v>Parent historique</x:v>
      </x:c>
      <x:c r="D392" t="str">
        <x:v>Forêts et filière bois</x:v>
      </x:c>
      <x:c r="E392" t="str">
        <x:v>Camp de bûcherons</x:v>
      </x:c>
      <x:c r="F392" t="n">
        <x:v>8</x:v>
      </x:c>
      <x:c r="G392" t="n">
        <x:v>4</x:v>
      </x:c>
      <x:c r="H392" t="n">
        <x:v>12</x:v>
      </x:c>
      <x:c r="I392" t="str">
        <x:v>À qualifier par lieu</x:v>
      </x:c>
      <x:c r="J392" t="str">
        <x:v>https://github.com/darknigthmare/deadwall-last-enclosure/blob/1b3b9c5ba232734b1bda3453b4e20a0481bcdd74/codex-3000/originaux/DEADWALL_CODEX_1.22/fiches/DW-0387.md</x:v>
      </x:c>
      <x:c r="K392" t="str">
        <x:v>Source min 90,70 m ; max 900,700 m ; modèle 78 × 70 m ; niveaux 0. Détails dans catalogue-existant.json.</x:v>
      </x:c>
    </x:row>
    <x:row r="393">
      <x:c r="A393" t="str">
        <x:v>DW-0388</x:v>
      </x:c>
      <x:c r="B393" t="str">
        <x:v>DW-0388</x:v>
      </x:c>
      <x:c r="C393" t="str">
        <x:v>Parent historique</x:v>
      </x:c>
      <x:c r="D393" t="str">
        <x:v>Forêts et filière bois</x:v>
      </x:c>
      <x:c r="E393" t="str">
        <x:v>Cabane d'observation</x:v>
      </x:c>
      <x:c r="F393" t="n">
        <x:v>8</x:v>
      </x:c>
      <x:c r="G393" t="n">
        <x:v>3</x:v>
      </x:c>
      <x:c r="H393" t="n">
        <x:v>9</x:v>
      </x:c>
      <x:c r="I393" t="str">
        <x:v>À qualifier par lieu</x:v>
      </x:c>
      <x:c r="J393" t="str">
        <x:v>https://github.com/darknigthmare/deadwall-last-enclosure/blob/1b3b9c5ba232734b1bda3453b4e20a0481bcdd74/codex-3000/originaux/DEADWALL_CODEX_1.22/fiches/DW-0388.md</x:v>
      </x:c>
      <x:c r="K393" t="str">
        <x:v>Source min 90,70 m ; max 900,700 m ; modèle 78 × 70 m ; niveaux 0. Détails dans catalogue-existant.json.</x:v>
      </x:c>
    </x:row>
    <x:row r="394">
      <x:c r="A394" t="str">
        <x:v>DW-0389</x:v>
      </x:c>
      <x:c r="B394" t="str">
        <x:v>DW-0389</x:v>
      </x:c>
      <x:c r="C394" t="str">
        <x:v>Parent historique</x:v>
      </x:c>
      <x:c r="D394" t="str">
        <x:v>Forêts et filière bois</x:v>
      </x:c>
      <x:c r="E394" t="str">
        <x:v>Tour d'observation naturaliste</x:v>
      </x:c>
      <x:c r="F394" t="n">
        <x:v>8</x:v>
      </x:c>
      <x:c r="G394" t="n">
        <x:v>3</x:v>
      </x:c>
      <x:c r="H394" t="n">
        <x:v>7</x:v>
      </x:c>
      <x:c r="I394" t="str">
        <x:v>À qualifier par lieu</x:v>
      </x:c>
      <x:c r="J394" t="str">
        <x:v>https://github.com/darknigthmare/deadwall-last-enclosure/blob/1b3b9c5ba232734b1bda3453b4e20a0481bcdd74/codex-3000/originaux/DEADWALL_CODEX_1.22/fiches/DW-0389.md</x:v>
      </x:c>
      <x:c r="K394" t="str">
        <x:v>Source min 90,70 m ; max 900,700 m ; modèle 78 × 70 m ; niveaux 0. Détails dans catalogue-existant.json.</x:v>
      </x:c>
    </x:row>
    <x:row r="395">
      <x:c r="A395" t="str">
        <x:v>DW-0390</x:v>
      </x:c>
      <x:c r="B395" t="str">
        <x:v>DW-0390</x:v>
      </x:c>
      <x:c r="C395" t="str">
        <x:v>Parent historique</x:v>
      </x:c>
      <x:c r="D395" t="str">
        <x:v>Forêts et filière bois</x:v>
      </x:c>
      <x:c r="E395" t="str">
        <x:v>Pépinière forestière</x:v>
      </x:c>
      <x:c r="F395" t="n">
        <x:v>8</x:v>
      </x:c>
      <x:c r="G395" t="n">
        <x:v>4</x:v>
      </x:c>
      <x:c r="H395" t="n">
        <x:v>12</x:v>
      </x:c>
      <x:c r="I395" t="str">
        <x:v>À qualifier par lieu</x:v>
      </x:c>
      <x:c r="J395" t="str">
        <x:v>https://github.com/darknigthmare/deadwall-last-enclosure/blob/1b3b9c5ba232734b1bda3453b4e20a0481bcdd74/codex-3000/originaux/DEADWALL_CODEX_1.22/fiches/DW-0390.md</x:v>
      </x:c>
      <x:c r="K395" t="str">
        <x:v>Source min 90,70 m ; max 900,700 m ; modèle 78 × 70 m ; niveaux 0. Détails dans catalogue-existant.json.</x:v>
      </x:c>
    </x:row>
    <x:row r="396">
      <x:c r="A396" t="str">
        <x:v>DW-0391</x:v>
      </x:c>
      <x:c r="B396" t="str">
        <x:v>DW-0391</x:v>
      </x:c>
      <x:c r="C396" t="str">
        <x:v>Parent historique</x:v>
      </x:c>
      <x:c r="D396" t="str">
        <x:v>Forêts et filière bois</x:v>
      </x:c>
      <x:c r="E396" t="str">
        <x:v>Clairière de coupe</x:v>
      </x:c>
      <x:c r="F396" t="n">
        <x:v>8</x:v>
      </x:c>
      <x:c r="G396" t="n">
        <x:v>4</x:v>
      </x:c>
      <x:c r="H396" t="n">
        <x:v>12</x:v>
      </x:c>
      <x:c r="I396" t="str">
        <x:v>À qualifier par lieu</x:v>
      </x:c>
      <x:c r="J396" t="str">
        <x:v>https://github.com/darknigthmare/deadwall-last-enclosure/blob/1b3b9c5ba232734b1bda3453b4e20a0481bcdd74/codex-3000/originaux/DEADWALL_CODEX_1.22/fiches/DW-0391.md</x:v>
      </x:c>
      <x:c r="K396" t="str">
        <x:v>Source min 90,70 m ; max 900,700 m ; modèle 78 × 70 m ; niveaux 0. Détails dans catalogue-existant.json.</x:v>
      </x:c>
    </x:row>
    <x:row r="397">
      <x:c r="A397" t="str">
        <x:v>DW-0392</x:v>
      </x:c>
      <x:c r="B397" t="str">
        <x:v>DW-0392</x:v>
      </x:c>
      <x:c r="C397" t="str">
        <x:v>Parent historique</x:v>
      </x:c>
      <x:c r="D397" t="str">
        <x:v>Forêts et filière bois</x:v>
      </x:c>
      <x:c r="E397" t="str">
        <x:v>Forêt ancienne</x:v>
      </x:c>
      <x:c r="F397" t="n">
        <x:v>8</x:v>
      </x:c>
      <x:c r="G397" t="n">
        <x:v>4</x:v>
      </x:c>
      <x:c r="H397" t="n">
        <x:v>12</x:v>
      </x:c>
      <x:c r="I397" t="str">
        <x:v>À qualifier par lieu</x:v>
      </x:c>
      <x:c r="J397" t="str">
        <x:v>https://github.com/darknigthmare/deadwall-last-enclosure/blob/1b3b9c5ba232734b1bda3453b4e20a0481bcdd74/codex-3000/originaux/DEADWALL_CODEX_1.22/fiches/DW-0392.md</x:v>
      </x:c>
      <x:c r="K397" t="str">
        <x:v>Source min 90,70 m ; max 900,700 m ; modèle 78 × 70 m ; niveaux 0. Détails dans catalogue-existant.json.</x:v>
      </x:c>
    </x:row>
    <x:row r="398">
      <x:c r="A398" t="str">
        <x:v>DW-0393</x:v>
      </x:c>
      <x:c r="B398" t="str">
        <x:v>DW-0393</x:v>
      </x:c>
      <x:c r="C398" t="str">
        <x:v>Parent historique</x:v>
      </x:c>
      <x:c r="D398" t="str">
        <x:v>Forêts et filière bois</x:v>
      </x:c>
      <x:c r="E398" t="str">
        <x:v>Plantation de conifères</x:v>
      </x:c>
      <x:c r="F398" t="n">
        <x:v>8</x:v>
      </x:c>
      <x:c r="G398" t="n">
        <x:v>4</x:v>
      </x:c>
      <x:c r="H398" t="n">
        <x:v>12</x:v>
      </x:c>
      <x:c r="I398" t="str">
        <x:v>À qualifier par lieu</x:v>
      </x:c>
      <x:c r="J398" t="str">
        <x:v>https://github.com/darknigthmare/deadwall-last-enclosure/blob/1b3b9c5ba232734b1bda3453b4e20a0481bcdd74/codex-3000/originaux/DEADWALL_CODEX_1.22/fiches/DW-0393.md</x:v>
      </x:c>
      <x:c r="K398" t="str">
        <x:v>Source min 90,70 m ; max 900,700 m ; modèle 78 × 70 m ; niveaux 0. Détails dans catalogue-existant.json.</x:v>
      </x:c>
    </x:row>
    <x:row r="399">
      <x:c r="A399" t="str">
        <x:v>DW-0394</x:v>
      </x:c>
      <x:c r="B399" t="str">
        <x:v>DW-0394</x:v>
      </x:c>
      <x:c r="C399" t="str">
        <x:v>Parent historique</x:v>
      </x:c>
      <x:c r="D399" t="str">
        <x:v>Forêts et filière bois</x:v>
      </x:c>
      <x:c r="E399" t="str">
        <x:v>Bois riverain</x:v>
      </x:c>
      <x:c r="F399" t="n">
        <x:v>8</x:v>
      </x:c>
      <x:c r="G399" t="n">
        <x:v>4</x:v>
      </x:c>
      <x:c r="H399" t="n">
        <x:v>10</x:v>
      </x:c>
      <x:c r="I399" t="str">
        <x:v>À qualifier par lieu</x:v>
      </x:c>
      <x:c r="J399" t="str">
        <x:v>https://github.com/darknigthmare/deadwall-last-enclosure/blob/1b3b9c5ba232734b1bda3453b4e20a0481bcdd74/codex-3000/originaux/DEADWALL_CODEX_1.22/fiches/DW-0394.md</x:v>
      </x:c>
      <x:c r="K399" t="str">
        <x:v>Source min 90,70 m ; max 900,700 m ; modèle 78 × 70 m ; niveaux 0. Détails dans catalogue-existant.json.</x:v>
      </x:c>
    </x:row>
    <x:row r="400">
      <x:c r="A400" t="str">
        <x:v>DW-0395</x:v>
      </x:c>
      <x:c r="B400" t="str">
        <x:v>DW-0395</x:v>
      </x:c>
      <x:c r="C400" t="str">
        <x:v>Parent historique</x:v>
      </x:c>
      <x:c r="D400" t="str">
        <x:v>Forêts et filière bois</x:v>
      </x:c>
      <x:c r="E400" t="str">
        <x:v>Bois brûlé</x:v>
      </x:c>
      <x:c r="F400" t="n">
        <x:v>8</x:v>
      </x:c>
      <x:c r="G400" t="n">
        <x:v>4</x:v>
      </x:c>
      <x:c r="H400" t="n">
        <x:v>12</x:v>
      </x:c>
      <x:c r="I400" t="str">
        <x:v>À qualifier par lieu</x:v>
      </x:c>
      <x:c r="J400" t="str">
        <x:v>https://github.com/darknigthmare/deadwall-last-enclosure/blob/1b3b9c5ba232734b1bda3453b4e20a0481bcdd74/codex-3000/originaux/DEADWALL_CODEX_1.22/fiches/DW-0395.md</x:v>
      </x:c>
      <x:c r="K400" t="str">
        <x:v>Source min 90,70 m ; max 900,700 m ; modèle 78 × 70 m ; niveaux 0. Détails dans catalogue-existant.json.</x:v>
      </x:c>
    </x:row>
    <x:row r="401">
      <x:c r="A401" t="str">
        <x:v>DW-0396</x:v>
      </x:c>
      <x:c r="B401" t="str">
        <x:v>DW-0396</x:v>
      </x:c>
      <x:c r="C401" t="str">
        <x:v>Parent historique</x:v>
      </x:c>
      <x:c r="D401" t="str">
        <x:v>Forêts et filière bois</x:v>
      </x:c>
      <x:c r="E401" t="str">
        <x:v>Bois de tempête</x:v>
      </x:c>
      <x:c r="F401" t="n">
        <x:v>8</x:v>
      </x:c>
      <x:c r="G401" t="n">
        <x:v>3</x:v>
      </x:c>
      <x:c r="H401" t="n">
        <x:v>7</x:v>
      </x:c>
      <x:c r="I401" t="str">
        <x:v>À qualifier par lieu</x:v>
      </x:c>
      <x:c r="J401" t="str">
        <x:v>https://github.com/darknigthmare/deadwall-last-enclosure/blob/1b3b9c5ba232734b1bda3453b4e20a0481bcdd74/codex-3000/originaux/DEADWALL_CODEX_1.22/fiches/DW-0396.md</x:v>
      </x:c>
      <x:c r="K401" t="str">
        <x:v>Source min 90,70 m ; max 900,700 m ; modèle 78 × 70 m ; niveaux 0. Détails dans catalogue-existant.json.</x:v>
      </x:c>
    </x:row>
    <x:row r="402">
      <x:c r="A402" t="str">
        <x:v>DW-0397</x:v>
      </x:c>
      <x:c r="B402" t="str">
        <x:v>DW-0397</x:v>
      </x:c>
      <x:c r="C402" t="str">
        <x:v>Parent historique</x:v>
      </x:c>
      <x:c r="D402" t="str">
        <x:v>Forêts et filière bois</x:v>
      </x:c>
      <x:c r="E402" t="str">
        <x:v>Zone de débardage</x:v>
      </x:c>
      <x:c r="F402" t="n">
        <x:v>8</x:v>
      </x:c>
      <x:c r="G402" t="n">
        <x:v>4</x:v>
      </x:c>
      <x:c r="H402" t="n">
        <x:v>10</x:v>
      </x:c>
      <x:c r="I402" t="str">
        <x:v>À qualifier par lieu</x:v>
      </x:c>
      <x:c r="J402" t="str">
        <x:v>https://github.com/darknigthmare/deadwall-last-enclosure/blob/1b3b9c5ba232734b1bda3453b4e20a0481bcdd74/codex-3000/originaux/DEADWALL_CODEX_1.22/fiches/DW-0397.md</x:v>
      </x:c>
      <x:c r="K402" t="str">
        <x:v>Source min 90,70 m ; max 900,700 m ; modèle 78 × 70 m ; niveaux 0. Détails dans catalogue-existant.json.</x:v>
      </x:c>
    </x:row>
    <x:row r="403">
      <x:c r="A403" t="str">
        <x:v>DW-0398</x:v>
      </x:c>
      <x:c r="B403" t="str">
        <x:v>DW-0398</x:v>
      </x:c>
      <x:c r="C403" t="str">
        <x:v>Parent historique</x:v>
      </x:c>
      <x:c r="D403" t="str">
        <x:v>Forêts et filière bois</x:v>
      </x:c>
      <x:c r="E403" t="str">
        <x:v>Atelier de palettes</x:v>
      </x:c>
      <x:c r="F403" t="n">
        <x:v>8</x:v>
      </x:c>
      <x:c r="G403" t="n">
        <x:v>4</x:v>
      </x:c>
      <x:c r="H403" t="n">
        <x:v>12</x:v>
      </x:c>
      <x:c r="I403" t="str">
        <x:v>À qualifier par lieu</x:v>
      </x:c>
      <x:c r="J403" t="str">
        <x:v>https://github.com/darknigthmare/deadwall-last-enclosure/blob/1b3b9c5ba232734b1bda3453b4e20a0481bcdd74/codex-3000/originaux/DEADWALL_CODEX_1.22/fiches/DW-0398.md</x:v>
      </x:c>
      <x:c r="K403" t="str">
        <x:v>Source min 90,70 m ; max 900,700 m ; modèle 78 × 70 m ; niveaux 0. Détails dans catalogue-existant.json.</x:v>
      </x:c>
    </x:row>
    <x:row r="404">
      <x:c r="A404" t="str">
        <x:v>DW-0399</x:v>
      </x:c>
      <x:c r="B404" t="str">
        <x:v>DW-0399</x:v>
      </x:c>
      <x:c r="C404" t="str">
        <x:v>Parent historique</x:v>
      </x:c>
      <x:c r="D404" t="str">
        <x:v>Forêts et filière bois</x:v>
      </x:c>
      <x:c r="E404" t="str">
        <x:v>Dépôt de bois de chauffage</x:v>
      </x:c>
      <x:c r="F404" t="n">
        <x:v>8</x:v>
      </x:c>
      <x:c r="G404" t="n">
        <x:v>4</x:v>
      </x:c>
      <x:c r="H404" t="n">
        <x:v>12</x:v>
      </x:c>
      <x:c r="I404" t="str">
        <x:v>À qualifier par lieu</x:v>
      </x:c>
      <x:c r="J404" t="str">
        <x:v>https://github.com/darknigthmare/deadwall-last-enclosure/blob/1b3b9c5ba232734b1bda3453b4e20a0481bcdd74/codex-3000/originaux/DEADWALL_CODEX_1.22/fiches/DW-0399.md</x:v>
      </x:c>
      <x:c r="K404" t="str">
        <x:v>Source min 90,70 m ; max 900,700 m ; modèle 78 × 70 m ; niveaux 0. Détails dans catalogue-existant.json.</x:v>
      </x:c>
    </x:row>
    <x:row r="405">
      <x:c r="A405" t="str">
        <x:v>DW-0400</x:v>
      </x:c>
      <x:c r="B405" t="str">
        <x:v>DW-0400</x:v>
      </x:c>
      <x:c r="C405" t="str">
        <x:v>Parent historique</x:v>
      </x:c>
      <x:c r="D405" t="str">
        <x:v>Forêts et filière bois</x:v>
      </x:c>
      <x:c r="E405" t="str">
        <x:v>Arboretum</x:v>
      </x:c>
      <x:c r="F405" t="n">
        <x:v>8</x:v>
      </x:c>
      <x:c r="G405" t="n">
        <x:v>4</x:v>
      </x:c>
      <x:c r="H405" t="n">
        <x:v>12</x:v>
      </x:c>
      <x:c r="I405" t="str">
        <x:v>À qualifier par lieu</x:v>
      </x:c>
      <x:c r="J405" t="str">
        <x:v>https://github.com/darknigthmare/deadwall-last-enclosure/blob/1b3b9c5ba232734b1bda3453b4e20a0481bcdd74/codex-3000/originaux/DEADWALL_CODEX_1.22/fiches/DW-0400.md</x:v>
      </x:c>
      <x:c r="K405" t="str">
        <x:v>Source min 90,70 m ; max 900,700 m ; modèle 78 × 70 m ; niveaux 0. Détails dans catalogue-existant.json.</x:v>
      </x:c>
    </x:row>
    <x:row r="406">
      <x:c r="A406" t="str">
        <x:v>DW-0401</x:v>
      </x:c>
      <x:c r="B406" t="str">
        <x:v>DW-0401</x:v>
      </x:c>
      <x:c r="C406" t="str">
        <x:v>Parent historique</x:v>
      </x:c>
      <x:c r="D406" t="str">
        <x:v>Mines et matériaux</x:v>
      </x:c>
      <x:c r="E406" t="str">
        <x:v>Mine à galerie</x:v>
      </x:c>
      <x:c r="F406" t="n">
        <x:v>8</x:v>
      </x:c>
      <x:c r="G406" t="n">
        <x:v>5</x:v>
      </x:c>
      <x:c r="H406" t="n">
        <x:v>15</x:v>
      </x:c>
      <x:c r="I406" t="str">
        <x:v>À qualifier par lieu</x:v>
      </x:c>
      <x:c r="J406" t="str">
        <x:v>https://github.com/darknigthmare/deadwall-last-enclosure/blob/1b3b9c5ba232734b1bda3453b4e20a0481bcdd74/codex-3000/originaux/DEADWALL_CODEX_1.22/fiches/DW-0401.md</x:v>
      </x:c>
      <x:c r="K406" t="str">
        <x:v>Source min 75,45 m ; max 800,500 m ; modèle 75 × 45 m ; niveaux -1, 0. Détails dans catalogue-existant.json.</x:v>
      </x:c>
    </x:row>
    <x:row r="407">
      <x:c r="A407" t="str">
        <x:v>DW-0402</x:v>
      </x:c>
      <x:c r="B407" t="str">
        <x:v>DW-0402</x:v>
      </x:c>
      <x:c r="C407" t="str">
        <x:v>Parent historique</x:v>
      </x:c>
      <x:c r="D407" t="str">
        <x:v>Mines et matériaux</x:v>
      </x:c>
      <x:c r="E407" t="str">
        <x:v>Mine à ciel ouvert</x:v>
      </x:c>
      <x:c r="F407" t="n">
        <x:v>8</x:v>
      </x:c>
      <x:c r="G407" t="n">
        <x:v>4</x:v>
      </x:c>
      <x:c r="H407" t="n">
        <x:v>12</x:v>
      </x:c>
      <x:c r="I407" t="str">
        <x:v>À qualifier par lieu</x:v>
      </x:c>
      <x:c r="J407" t="str">
        <x:v>https://github.com/darknigthmare/deadwall-last-enclosure/blob/1b3b9c5ba232734b1bda3453b4e20a0481bcdd74/codex-3000/originaux/DEADWALL_CODEX_1.22/fiches/DW-0402.md</x:v>
      </x:c>
      <x:c r="K407" t="str">
        <x:v>Source min 75,45 m ; max 800,500 m ; modèle 75 × 45 m ; niveaux 0. Détails dans catalogue-existant.json.</x:v>
      </x:c>
    </x:row>
    <x:row r="408">
      <x:c r="A408" t="str">
        <x:v>DW-0403</x:v>
      </x:c>
      <x:c r="B408" t="str">
        <x:v>DW-0403</x:v>
      </x:c>
      <x:c r="C408" t="str">
        <x:v>Parent historique</x:v>
      </x:c>
      <x:c r="D408" t="str">
        <x:v>Mines et matériaux</x:v>
      </x:c>
      <x:c r="E408" t="str">
        <x:v>Carrière de pierre</x:v>
      </x:c>
      <x:c r="F408" t="n">
        <x:v>8</x:v>
      </x:c>
      <x:c r="G408" t="n">
        <x:v>4</x:v>
      </x:c>
      <x:c r="H408" t="n">
        <x:v>12</x:v>
      </x:c>
      <x:c r="I408" t="str">
        <x:v>À qualifier par lieu</x:v>
      </x:c>
      <x:c r="J408" t="str">
        <x:v>https://github.com/darknigthmare/deadwall-last-enclosure/blob/1b3b9c5ba232734b1bda3453b4e20a0481bcdd74/codex-3000/originaux/DEADWALL_CODEX_1.22/fiches/DW-0403.md</x:v>
      </x:c>
      <x:c r="K408" t="str">
        <x:v>Source min 75,45 m ; max 800,500 m ; modèle 75 × 45 m ; niveaux 0. Détails dans catalogue-existant.json.</x:v>
      </x:c>
    </x:row>
    <x:row r="409">
      <x:c r="A409" t="str">
        <x:v>DW-0404</x:v>
      </x:c>
      <x:c r="B409" t="str">
        <x:v>DW-0404</x:v>
      </x:c>
      <x:c r="C409" t="str">
        <x:v>Parent historique</x:v>
      </x:c>
      <x:c r="D409" t="str">
        <x:v>Mines et matériaux</x:v>
      </x:c>
      <x:c r="E409" t="str">
        <x:v>Carrière de granulats</x:v>
      </x:c>
      <x:c r="F409" t="n">
        <x:v>8</x:v>
      </x:c>
      <x:c r="G409" t="n">
        <x:v>4</x:v>
      </x:c>
      <x:c r="H409" t="n">
        <x:v>12</x:v>
      </x:c>
      <x:c r="I409" t="str">
        <x:v>À qualifier par lieu</x:v>
      </x:c>
      <x:c r="J409" t="str">
        <x:v>https://github.com/darknigthmare/deadwall-last-enclosure/blob/1b3b9c5ba232734b1bda3453b4e20a0481bcdd74/codex-3000/originaux/DEADWALL_CODEX_1.22/fiches/DW-0404.md</x:v>
      </x:c>
      <x:c r="K409" t="str">
        <x:v>Source min 75,45 m ; max 800,500 m ; modèle 75 × 45 m ; niveaux 0. Détails dans catalogue-existant.json.</x:v>
      </x:c>
    </x:row>
    <x:row r="410">
      <x:c r="A410" t="str">
        <x:v>DW-0405</x:v>
      </x:c>
      <x:c r="B410" t="str">
        <x:v>DW-0405</x:v>
      </x:c>
      <x:c r="C410" t="str">
        <x:v>Parent historique</x:v>
      </x:c>
      <x:c r="D410" t="str">
        <x:v>Mines et matériaux</x:v>
      </x:c>
      <x:c r="E410" t="str">
        <x:v>Sablière</x:v>
      </x:c>
      <x:c r="F410" t="n">
        <x:v>8</x:v>
      </x:c>
      <x:c r="G410" t="n">
        <x:v>4</x:v>
      </x:c>
      <x:c r="H410" t="n">
        <x:v>12</x:v>
      </x:c>
      <x:c r="I410" t="str">
        <x:v>À qualifier par lieu</x:v>
      </x:c>
      <x:c r="J410" t="str">
        <x:v>https://github.com/darknigthmare/deadwall-last-enclosure/blob/1b3b9c5ba232734b1bda3453b4e20a0481bcdd74/codex-3000/originaux/DEADWALL_CODEX_1.22/fiches/DW-0405.md</x:v>
      </x:c>
      <x:c r="K410" t="str">
        <x:v>Source min 75,45 m ; max 800,500 m ; modèle 75 × 45 m ; niveaux 0. Détails dans catalogue-existant.json.</x:v>
      </x:c>
    </x:row>
    <x:row r="411">
      <x:c r="A411" t="str">
        <x:v>DW-0406</x:v>
      </x:c>
      <x:c r="B411" t="str">
        <x:v>DW-0406</x:v>
      </x:c>
      <x:c r="C411" t="str">
        <x:v>Parent historique</x:v>
      </x:c>
      <x:c r="D411" t="str">
        <x:v>Mines et matériaux</x:v>
      </x:c>
      <x:c r="E411" t="str">
        <x:v>Gravière</x:v>
      </x:c>
      <x:c r="F411" t="n">
        <x:v>8</x:v>
      </x:c>
      <x:c r="G411" t="n">
        <x:v>4</x:v>
      </x:c>
      <x:c r="H411" t="n">
        <x:v>12</x:v>
      </x:c>
      <x:c r="I411" t="str">
        <x:v>À qualifier par lieu</x:v>
      </x:c>
      <x:c r="J411" t="str">
        <x:v>https://github.com/darknigthmare/deadwall-last-enclosure/blob/1b3b9c5ba232734b1bda3453b4e20a0481bcdd74/codex-3000/originaux/DEADWALL_CODEX_1.22/fiches/DW-0406.md</x:v>
      </x:c>
      <x:c r="K411" t="str">
        <x:v>Source min 75,45 m ; max 800,500 m ; modèle 75 × 45 m ; niveaux 0. Détails dans catalogue-existant.json.</x:v>
      </x:c>
    </x:row>
    <x:row r="412">
      <x:c r="A412" t="str">
        <x:v>DW-0407</x:v>
      </x:c>
      <x:c r="B412" t="str">
        <x:v>DW-0407</x:v>
      </x:c>
      <x:c r="C412" t="str">
        <x:v>Parent historique</x:v>
      </x:c>
      <x:c r="D412" t="str">
        <x:v>Mines et matériaux</x:v>
      </x:c>
      <x:c r="E412" t="str">
        <x:v>Mine désaffectée inondée</x:v>
      </x:c>
      <x:c r="F412" t="n">
        <x:v>8</x:v>
      </x:c>
      <x:c r="G412" t="n">
        <x:v>4</x:v>
      </x:c>
      <x:c r="H412" t="n">
        <x:v>12</x:v>
      </x:c>
      <x:c r="I412" t="str">
        <x:v>À qualifier par lieu</x:v>
      </x:c>
      <x:c r="J412" t="str">
        <x:v>https://github.com/darknigthmare/deadwall-last-enclosure/blob/1b3b9c5ba232734b1bda3453b4e20a0481bcdd74/codex-3000/originaux/DEADWALL_CODEX_1.22/fiches/DW-0407.md</x:v>
      </x:c>
      <x:c r="K412" t="str">
        <x:v>Source min 75,45 m ; max 800,500 m ; modèle 75 × 45 m ; niveaux -1, 0. Détails dans catalogue-existant.json.</x:v>
      </x:c>
    </x:row>
    <x:row r="413">
      <x:c r="A413" t="str">
        <x:v>DW-0408</x:v>
      </x:c>
      <x:c r="B413" t="str">
        <x:v>DW-0408</x:v>
      </x:c>
      <x:c r="C413" t="str">
        <x:v>Parent historique</x:v>
      </x:c>
      <x:c r="D413" t="str">
        <x:v>Mines et matériaux</x:v>
      </x:c>
      <x:c r="E413" t="str">
        <x:v>Puits de mine ancien</x:v>
      </x:c>
      <x:c r="F413" t="n">
        <x:v>8</x:v>
      </x:c>
      <x:c r="G413" t="n">
        <x:v>4</x:v>
      </x:c>
      <x:c r="H413" t="n">
        <x:v>12</x:v>
      </x:c>
      <x:c r="I413" t="str">
        <x:v>À qualifier par lieu</x:v>
      </x:c>
      <x:c r="J413" t="str">
        <x:v>https://github.com/darknigthmare/deadwall-last-enclosure/blob/1b3b9c5ba232734b1bda3453b4e20a0481bcdd74/codex-3000/originaux/DEADWALL_CODEX_1.22/fiches/DW-0408.md</x:v>
      </x:c>
      <x:c r="K413" t="str">
        <x:v>Source min 75,45 m ; max 800,500 m ; modèle 75 × 45 m ; niveaux -1, 0. Détails dans catalogue-existant.json.</x:v>
      </x:c>
    </x:row>
    <x:row r="414">
      <x:c r="A414" t="str">
        <x:v>DW-0409</x:v>
      </x:c>
      <x:c r="B414" t="str">
        <x:v>DW-0409</x:v>
      </x:c>
      <x:c r="C414" t="str">
        <x:v>Parent historique</x:v>
      </x:c>
      <x:c r="D414" t="str">
        <x:v>Mines et matériaux</x:v>
      </x:c>
      <x:c r="E414" t="str">
        <x:v>Mine de sel fictive</x:v>
      </x:c>
      <x:c r="F414" t="n">
        <x:v>8</x:v>
      </x:c>
      <x:c r="G414" t="n">
        <x:v>4</x:v>
      </x:c>
      <x:c r="H414" t="n">
        <x:v>12</x:v>
      </x:c>
      <x:c r="I414" t="str">
        <x:v>À qualifier par lieu</x:v>
      </x:c>
      <x:c r="J414" t="str">
        <x:v>https://github.com/darknigthmare/deadwall-last-enclosure/blob/1b3b9c5ba232734b1bda3453b4e20a0481bcdd74/codex-3000/originaux/DEADWALL_CODEX_1.22/fiches/DW-0409.md</x:v>
      </x:c>
      <x:c r="K414" t="str">
        <x:v>Source min 75,45 m ; max 800,500 m ; modèle 75 × 45 m ; niveaux -1, 0. Détails dans catalogue-existant.json.</x:v>
      </x:c>
    </x:row>
    <x:row r="415">
      <x:c r="A415" t="str">
        <x:v>DW-0410</x:v>
      </x:c>
      <x:c r="B415" t="str">
        <x:v>DW-0410</x:v>
      </x:c>
      <x:c r="C415" t="str">
        <x:v>Parent historique</x:v>
      </x:c>
      <x:c r="D415" t="str">
        <x:v>Mines et matériaux</x:v>
      </x:c>
      <x:c r="E415" t="str">
        <x:v>Mine de charbon historique</x:v>
      </x:c>
      <x:c r="F415" t="n">
        <x:v>8</x:v>
      </x:c>
      <x:c r="G415" t="n">
        <x:v>4</x:v>
      </x:c>
      <x:c r="H415" t="n">
        <x:v>12</x:v>
      </x:c>
      <x:c r="I415" t="str">
        <x:v>À qualifier par lieu</x:v>
      </x:c>
      <x:c r="J415" t="str">
        <x:v>https://github.com/darknigthmare/deadwall-last-enclosure/blob/1b3b9c5ba232734b1bda3453b4e20a0481bcdd74/codex-3000/originaux/DEADWALL_CODEX_1.22/fiches/DW-0410.md</x:v>
      </x:c>
      <x:c r="K415" t="str">
        <x:v>Source min 75,45 m ; max 800,500 m ; modèle 75 × 45 m ; niveaux -1, 0. Détails dans catalogue-existant.json.</x:v>
      </x:c>
    </x:row>
    <x:row r="416">
      <x:c r="A416" t="str">
        <x:v>DW-0411</x:v>
      </x:c>
      <x:c r="B416" t="str">
        <x:v>DW-0411</x:v>
      </x:c>
      <x:c r="C416" t="str">
        <x:v>Parent historique</x:v>
      </x:c>
      <x:c r="D416" t="str">
        <x:v>Mines et matériaux</x:v>
      </x:c>
      <x:c r="E416" t="str">
        <x:v>Galerie de prospection</x:v>
      </x:c>
      <x:c r="F416" t="n">
        <x:v>8</x:v>
      </x:c>
      <x:c r="G416" t="n">
        <x:v>3</x:v>
      </x:c>
      <x:c r="H416" t="n">
        <x:v>9</x:v>
      </x:c>
      <x:c r="I416" t="str">
        <x:v>À qualifier par lieu</x:v>
      </x:c>
      <x:c r="J416" t="str">
        <x:v>https://github.com/darknigthmare/deadwall-last-enclosure/blob/1b3b9c5ba232734b1bda3453b4e20a0481bcdd74/codex-3000/originaux/DEADWALL_CODEX_1.22/fiches/DW-0411.md</x:v>
      </x:c>
      <x:c r="K416" t="str">
        <x:v>Source min 75,45 m ; max 800,500 m ; modèle 75 × 45 m ; niveaux 0. Détails dans catalogue-existant.json.</x:v>
      </x:c>
    </x:row>
    <x:row r="417">
      <x:c r="A417" t="str">
        <x:v>DW-0412</x:v>
      </x:c>
      <x:c r="B417" t="str">
        <x:v>DW-0412</x:v>
      </x:c>
      <x:c r="C417" t="str">
        <x:v>Parent historique</x:v>
      </x:c>
      <x:c r="D417" t="str">
        <x:v>Mines et matériaux</x:v>
      </x:c>
      <x:c r="E417" t="str">
        <x:v>Centre de concassage</x:v>
      </x:c>
      <x:c r="F417" t="n">
        <x:v>8</x:v>
      </x:c>
      <x:c r="G417" t="n">
        <x:v>4</x:v>
      </x:c>
      <x:c r="H417" t="n">
        <x:v>12</x:v>
      </x:c>
      <x:c r="I417" t="str">
        <x:v>À qualifier par lieu</x:v>
      </x:c>
      <x:c r="J417" t="str">
        <x:v>https://github.com/darknigthmare/deadwall-last-enclosure/blob/1b3b9c5ba232734b1bda3453b4e20a0481bcdd74/codex-3000/originaux/DEADWALL_CODEX_1.22/fiches/DW-0412.md</x:v>
      </x:c>
      <x:c r="K417" t="str">
        <x:v>Source min 75,45 m ; max 800,500 m ; modèle 75 × 45 m ; niveaux 0. Détails dans catalogue-existant.json.</x:v>
      </x:c>
    </x:row>
    <x:row r="418">
      <x:c r="A418" t="str">
        <x:v>DW-0413</x:v>
      </x:c>
      <x:c r="B418" t="str">
        <x:v>DW-0413</x:v>
      </x:c>
      <x:c r="C418" t="str">
        <x:v>Parent historique</x:v>
      </x:c>
      <x:c r="D418" t="str">
        <x:v>Mines et matériaux</x:v>
      </x:c>
      <x:c r="E418" t="str">
        <x:v>Atelier de tailleur de pierre</x:v>
      </x:c>
      <x:c r="F418" t="n">
        <x:v>8</x:v>
      </x:c>
      <x:c r="G418" t="n">
        <x:v>4</x:v>
      </x:c>
      <x:c r="H418" t="n">
        <x:v>12</x:v>
      </x:c>
      <x:c r="I418" t="str">
        <x:v>À qualifier par lieu</x:v>
      </x:c>
      <x:c r="J418" t="str">
        <x:v>https://github.com/darknigthmare/deadwall-last-enclosure/blob/1b3b9c5ba232734b1bda3453b4e20a0481bcdd74/codex-3000/originaux/DEADWALL_CODEX_1.22/fiches/DW-0413.md</x:v>
      </x:c>
      <x:c r="K418" t="str">
        <x:v>Source min 75,45 m ; max 800,500 m ; modèle 75 × 45 m ; niveaux 0. Détails dans catalogue-existant.json.</x:v>
      </x:c>
    </x:row>
    <x:row r="419">
      <x:c r="A419" t="str">
        <x:v>DW-0414</x:v>
      </x:c>
      <x:c r="B419" t="str">
        <x:v>DW-0414</x:v>
      </x:c>
      <x:c r="C419" t="str">
        <x:v>Parent historique</x:v>
      </x:c>
      <x:c r="D419" t="str">
        <x:v>Mines et matériaux</x:v>
      </x:c>
      <x:c r="E419" t="str">
        <x:v>Négoce de roches décoratives</x:v>
      </x:c>
      <x:c r="F419" t="n">
        <x:v>8</x:v>
      </x:c>
      <x:c r="G419" t="n">
        <x:v>4</x:v>
      </x:c>
      <x:c r="H419" t="n">
        <x:v>12</x:v>
      </x:c>
      <x:c r="I419" t="str">
        <x:v>À qualifier par lieu</x:v>
      </x:c>
      <x:c r="J419" t="str">
        <x:v>https://github.com/darknigthmare/deadwall-last-enclosure/blob/1b3b9c5ba232734b1bda3453b4e20a0481bcdd74/codex-3000/originaux/DEADWALL_CODEX_1.22/fiches/DW-0414.md</x:v>
      </x:c>
      <x:c r="K419" t="str">
        <x:v>Source min 75,45 m ; max 800,500 m ; modèle 75 × 45 m ; niveaux 0. Détails dans catalogue-existant.json.</x:v>
      </x:c>
    </x:row>
    <x:row r="420">
      <x:c r="A420" t="str">
        <x:v>DW-0415</x:v>
      </x:c>
      <x:c r="B420" t="str">
        <x:v>DW-0415</x:v>
      </x:c>
      <x:c r="C420" t="str">
        <x:v>Parent historique</x:v>
      </x:c>
      <x:c r="D420" t="str">
        <x:v>Mines et matériaux</x:v>
      </x:c>
      <x:c r="E420" t="str">
        <x:v>Ancienne briqueterie</x:v>
      </x:c>
      <x:c r="F420" t="n">
        <x:v>8</x:v>
      </x:c>
      <x:c r="G420" t="n">
        <x:v>4</x:v>
      </x:c>
      <x:c r="H420" t="n">
        <x:v>12</x:v>
      </x:c>
      <x:c r="I420" t="str">
        <x:v>À qualifier par lieu</x:v>
      </x:c>
      <x:c r="J420" t="str">
        <x:v>https://github.com/darknigthmare/deadwall-last-enclosure/blob/1b3b9c5ba232734b1bda3453b4e20a0481bcdd74/codex-3000/originaux/DEADWALL_CODEX_1.22/fiches/DW-0415.md</x:v>
      </x:c>
      <x:c r="K420" t="str">
        <x:v>Source min 75,45 m ; max 800,500 m ; modèle 75 × 45 m ; niveaux 0. Détails dans catalogue-existant.json.</x:v>
      </x:c>
    </x:row>
    <x:row r="421">
      <x:c r="A421" t="str">
        <x:v>DW-0416</x:v>
      </x:c>
      <x:c r="B421" t="str">
        <x:v>DW-0416</x:v>
      </x:c>
      <x:c r="C421" t="str">
        <x:v>Parent historique</x:v>
      </x:c>
      <x:c r="D421" t="str">
        <x:v>Mines et matériaux</x:v>
      </x:c>
      <x:c r="E421" t="str">
        <x:v>Four à chaux patrimonial</x:v>
      </x:c>
      <x:c r="F421" t="n">
        <x:v>8</x:v>
      </x:c>
      <x:c r="G421" t="n">
        <x:v>4</x:v>
      </x:c>
      <x:c r="H421" t="n">
        <x:v>12</x:v>
      </x:c>
      <x:c r="I421" t="str">
        <x:v>À qualifier par lieu</x:v>
      </x:c>
      <x:c r="J421" t="str">
        <x:v>https://github.com/darknigthmare/deadwall-last-enclosure/blob/1b3b9c5ba232734b1bda3453b4e20a0481bcdd74/codex-3000/originaux/DEADWALL_CODEX_1.22/fiches/DW-0416.md</x:v>
      </x:c>
      <x:c r="K421" t="str">
        <x:v>Source min 75,45 m ; max 800,500 m ; modèle 75 × 45 m ; niveaux 0. Détails dans catalogue-existant.json.</x:v>
      </x:c>
    </x:row>
    <x:row r="422">
      <x:c r="A422" t="str">
        <x:v>DW-0417</x:v>
      </x:c>
      <x:c r="B422" t="str">
        <x:v>DW-0417</x:v>
      </x:c>
      <x:c r="C422" t="str">
        <x:v>Parent historique</x:v>
      </x:c>
      <x:c r="D422" t="str">
        <x:v>Mines et matériaux</x:v>
      </x:c>
      <x:c r="E422" t="str">
        <x:v>Champ de terrils</x:v>
      </x:c>
      <x:c r="F422" t="n">
        <x:v>8</x:v>
      </x:c>
      <x:c r="G422" t="n">
        <x:v>4</x:v>
      </x:c>
      <x:c r="H422" t="n">
        <x:v>12</x:v>
      </x:c>
      <x:c r="I422" t="str">
        <x:v>À qualifier par lieu</x:v>
      </x:c>
      <x:c r="J422" t="str">
        <x:v>https://github.com/darknigthmare/deadwall-last-enclosure/blob/1b3b9c5ba232734b1bda3453b4e20a0481bcdd74/codex-3000/originaux/DEADWALL_CODEX_1.22/fiches/DW-0417.md</x:v>
      </x:c>
      <x:c r="K422" t="str">
        <x:v>Source min 75,45 m ; max 800,500 m ; modèle 75 × 45 m ; niveaux 0. Détails dans catalogue-existant.json.</x:v>
      </x:c>
    </x:row>
    <x:row r="423">
      <x:c r="A423" t="str">
        <x:v>DW-0418</x:v>
      </x:c>
      <x:c r="B423" t="str">
        <x:v>DW-0418</x:v>
      </x:c>
      <x:c r="C423" t="str">
        <x:v>Parent historique</x:v>
      </x:c>
      <x:c r="D423" t="str">
        <x:v>Mines et matériaux</x:v>
      </x:c>
      <x:c r="E423" t="str">
        <x:v>Base géologique</x:v>
      </x:c>
      <x:c r="F423" t="n">
        <x:v>8</x:v>
      </x:c>
      <x:c r="G423" t="n">
        <x:v>4</x:v>
      </x:c>
      <x:c r="H423" t="n">
        <x:v>12</x:v>
      </x:c>
      <x:c r="I423" t="str">
        <x:v>À qualifier par lieu</x:v>
      </x:c>
      <x:c r="J423" t="str">
        <x:v>https://github.com/darknigthmare/deadwall-last-enclosure/blob/1b3b9c5ba232734b1bda3453b4e20a0481bcdd74/codex-3000/originaux/DEADWALL_CODEX_1.22/fiches/DW-0418.md</x:v>
      </x:c>
      <x:c r="K423" t="str">
        <x:v>Source min 75,45 m ; max 800,500 m ; modèle 75 × 45 m ; niveaux 0. Détails dans catalogue-existant.json.</x:v>
      </x:c>
    </x:row>
    <x:row r="424">
      <x:c r="A424" t="str">
        <x:v>DW-0419</x:v>
      </x:c>
      <x:c r="B424" t="str">
        <x:v>DW-0419</x:v>
      </x:c>
      <x:c r="C424" t="str">
        <x:v>Parent historique</x:v>
      </x:c>
      <x:c r="D424" t="str">
        <x:v>Mines et matériaux</x:v>
      </x:c>
      <x:c r="E424" t="str">
        <x:v>Tunnel minier réaffecté</x:v>
      </x:c>
      <x:c r="F424" t="n">
        <x:v>8</x:v>
      </x:c>
      <x:c r="G424" t="n">
        <x:v>4</x:v>
      </x:c>
      <x:c r="H424" t="n">
        <x:v>12</x:v>
      </x:c>
      <x:c r="I424" t="str">
        <x:v>À qualifier par lieu</x:v>
      </x:c>
      <x:c r="J424" t="str">
        <x:v>https://github.com/darknigthmare/deadwall-last-enclosure/blob/1b3b9c5ba232734b1bda3453b4e20a0481bcdd74/codex-3000/originaux/DEADWALL_CODEX_1.22/fiches/DW-0419.md</x:v>
      </x:c>
      <x:c r="K424" t="str">
        <x:v>Source min 75,45 m ; max 800,500 m ; modèle 75 × 45 m ; niveaux 0. Détails dans catalogue-existant.json.</x:v>
      </x:c>
    </x:row>
    <x:row r="425">
      <x:c r="A425" t="str">
        <x:v>DW-0420</x:v>
      </x:c>
      <x:c r="B425" t="str">
        <x:v>DW-0420</x:v>
      </x:c>
      <x:c r="C425" t="str">
        <x:v>Parent historique</x:v>
      </x:c>
      <x:c r="D425" t="str">
        <x:v>Mines et matériaux</x:v>
      </x:c>
      <x:c r="E425" t="str">
        <x:v>Village minier fantôme</x:v>
      </x:c>
      <x:c r="F425" t="n">
        <x:v>8</x:v>
      </x:c>
      <x:c r="G425" t="n">
        <x:v>5</x:v>
      </x:c>
      <x:c r="H425" t="n">
        <x:v>15</x:v>
      </x:c>
      <x:c r="I425" t="str">
        <x:v>À qualifier par lieu</x:v>
      </x:c>
      <x:c r="J425" t="str">
        <x:v>https://github.com/darknigthmare/deadwall-last-enclosure/blob/1b3b9c5ba232734b1bda3453b4e20a0481bcdd74/codex-3000/originaux/DEADWALL_CODEX_1.22/fiches/DW-0420.md</x:v>
      </x:c>
      <x:c r="K425" t="str">
        <x:v>Source min 75,45 m ; max 800,500 m ; modèle 75 × 45 m ; niveaux 0. Détails dans catalogue-existant.json.</x:v>
      </x:c>
    </x:row>
    <x:row r="426">
      <x:c r="A426" t="str">
        <x:v>DW-0421</x:v>
      </x:c>
      <x:c r="B426" t="str">
        <x:v>DW-0421</x:v>
      </x:c>
      <x:c r="C426" t="str">
        <x:v>Parent historique</x:v>
      </x:c>
      <x:c r="D426" t="str">
        <x:v>Ports et activités nautiques</x:v>
      </x:c>
      <x:c r="E426" t="str">
        <x:v>Port de pêche</x:v>
      </x:c>
      <x:c r="F426" t="n">
        <x:v>10</x:v>
      </x:c>
      <x:c r="G426" t="n">
        <x:v>4</x:v>
      </x:c>
      <x:c r="H426" t="n">
        <x:v>12</x:v>
      </x:c>
      <x:c r="I426" t="str">
        <x:v>À qualifier par lieu</x:v>
      </x:c>
      <x:c r="J426" t="str">
        <x:v>https://github.com/darknigthmare/deadwall-last-enclosure/blob/1b3b9c5ba232734b1bda3453b4e20a0481bcdd74/codex-3000/originaux/DEADWALL_CODEX_1.22/fiches/DW-0421.md</x:v>
      </x:c>
      <x:c r="K426" t="str">
        <x:v>Source min 80,55 m ; max 700,350 m ; modèle 80 × 55 m ; niveaux 0. Détails dans catalogue-existant.json.</x:v>
      </x:c>
    </x:row>
    <x:row r="427">
      <x:c r="A427" t="str">
        <x:v>DW-0422</x:v>
      </x:c>
      <x:c r="B427" t="str">
        <x:v>DW-0422</x:v>
      </x:c>
      <x:c r="C427" t="str">
        <x:v>Parent historique</x:v>
      </x:c>
      <x:c r="D427" t="str">
        <x:v>Ports et activités nautiques</x:v>
      </x:c>
      <x:c r="E427" t="str">
        <x:v>Port de plaisance</x:v>
      </x:c>
      <x:c r="F427" t="n">
        <x:v>10</x:v>
      </x:c>
      <x:c r="G427" t="n">
        <x:v>4</x:v>
      </x:c>
      <x:c r="H427" t="n">
        <x:v>12</x:v>
      </x:c>
      <x:c r="I427" t="str">
        <x:v>À qualifier par lieu</x:v>
      </x:c>
      <x:c r="J427" t="str">
        <x:v>https://github.com/darknigthmare/deadwall-last-enclosure/blob/1b3b9c5ba232734b1bda3453b4e20a0481bcdd74/codex-3000/originaux/DEADWALL_CODEX_1.22/fiches/DW-0422.md</x:v>
      </x:c>
      <x:c r="K427" t="str">
        <x:v>Source min 80,55 m ; max 700,350 m ; modèle 80 × 55 m ; niveaux 0. Détails dans catalogue-existant.json.</x:v>
      </x:c>
    </x:row>
    <x:row r="428">
      <x:c r="A428" t="str">
        <x:v>DW-0423</x:v>
      </x:c>
      <x:c r="B428" t="str">
        <x:v>DW-0423</x:v>
      </x:c>
      <x:c r="C428" t="str">
        <x:v>Parent historique</x:v>
      </x:c>
      <x:c r="D428" t="str">
        <x:v>Ports et activités nautiques</x:v>
      </x:c>
      <x:c r="E428" t="str">
        <x:v>Port de commerce</x:v>
      </x:c>
      <x:c r="F428" t="n">
        <x:v>10</x:v>
      </x:c>
      <x:c r="G428" t="n">
        <x:v>4</x:v>
      </x:c>
      <x:c r="H428" t="n">
        <x:v>12</x:v>
      </x:c>
      <x:c r="I428" t="str">
        <x:v>À qualifier par lieu</x:v>
      </x:c>
      <x:c r="J428" t="str">
        <x:v>https://github.com/darknigthmare/deadwall-last-enclosure/blob/1b3b9c5ba232734b1bda3453b4e20a0481bcdd74/codex-3000/originaux/DEADWALL_CODEX_1.22/fiches/DW-0423.md</x:v>
      </x:c>
      <x:c r="K428" t="str">
        <x:v>Source min 80,55 m ; max 700,350 m ; modèle 80 × 55 m ; niveaux 0. Détails dans catalogue-existant.json.</x:v>
      </x:c>
    </x:row>
    <x:row r="429">
      <x:c r="A429" t="str">
        <x:v>DW-0424</x:v>
      </x:c>
      <x:c r="B429" t="str">
        <x:v>DW-0424</x:v>
      </x:c>
      <x:c r="C429" t="str">
        <x:v>Parent historique</x:v>
      </x:c>
      <x:c r="D429" t="str">
        <x:v>Ports et activités nautiques</x:v>
      </x:c>
      <x:c r="E429" t="str">
        <x:v>Terminal ferry</x:v>
      </x:c>
      <x:c r="F429" t="n">
        <x:v>10</x:v>
      </x:c>
      <x:c r="G429" t="n">
        <x:v>4</x:v>
      </x:c>
      <x:c r="H429" t="n">
        <x:v>10</x:v>
      </x:c>
      <x:c r="I429" t="str">
        <x:v>À qualifier par lieu</x:v>
      </x:c>
      <x:c r="J429" t="str">
        <x:v>https://github.com/darknigthmare/deadwall-last-enclosure/blob/1b3b9c5ba232734b1bda3453b4e20a0481bcdd74/codex-3000/originaux/DEADWALL_CODEX_1.22/fiches/DW-0424.md</x:v>
      </x:c>
      <x:c r="K429" t="str">
        <x:v>Source min 80,55 m ; max 700,350 m ; modèle 80 × 55 m ; niveaux 0. Détails dans catalogue-existant.json.</x:v>
      </x:c>
    </x:row>
    <x:row r="430">
      <x:c r="A430" t="str">
        <x:v>DW-0425</x:v>
      </x:c>
      <x:c r="B430" t="str">
        <x:v>DW-0425</x:v>
      </x:c>
      <x:c r="C430" t="str">
        <x:v>Parent historique</x:v>
      </x:c>
      <x:c r="D430" t="str">
        <x:v>Ports et activités nautiques</x:v>
      </x:c>
      <x:c r="E430" t="str">
        <x:v>Chantier naval</x:v>
      </x:c>
      <x:c r="F430" t="n">
        <x:v>10</x:v>
      </x:c>
      <x:c r="G430" t="n">
        <x:v>4</x:v>
      </x:c>
      <x:c r="H430" t="n">
        <x:v>12</x:v>
      </x:c>
      <x:c r="I430" t="str">
        <x:v>À qualifier par lieu</x:v>
      </x:c>
      <x:c r="J430" t="str">
        <x:v>https://github.com/darknigthmare/deadwall-last-enclosure/blob/1b3b9c5ba232734b1bda3453b4e20a0481bcdd74/codex-3000/originaux/DEADWALL_CODEX_1.22/fiches/DW-0425.md</x:v>
      </x:c>
      <x:c r="K430" t="str">
        <x:v>Source min 80,55 m ; max 700,350 m ; modèle 80 × 55 m ; niveaux 0. Détails dans catalogue-existant.json.</x:v>
      </x:c>
    </x:row>
    <x:row r="431">
      <x:c r="A431" t="str">
        <x:v>DW-0426</x:v>
      </x:c>
      <x:c r="B431" t="str">
        <x:v>DW-0426</x:v>
      </x:c>
      <x:c r="C431" t="str">
        <x:v>Parent historique</x:v>
      </x:c>
      <x:c r="D431" t="str">
        <x:v>Ports et activités nautiques</x:v>
      </x:c>
      <x:c r="E431" t="str">
        <x:v>Atelier de réparation nautique</x:v>
      </x:c>
      <x:c r="F431" t="n">
        <x:v>10</x:v>
      </x:c>
      <x:c r="G431" t="n">
        <x:v>4</x:v>
      </x:c>
      <x:c r="H431" t="n">
        <x:v>10</x:v>
      </x:c>
      <x:c r="I431" t="str">
        <x:v>À qualifier par lieu</x:v>
      </x:c>
      <x:c r="J431" t="str">
        <x:v>https://github.com/darknigthmare/deadwall-last-enclosure/blob/1b3b9c5ba232734b1bda3453b4e20a0481bcdd74/codex-3000/originaux/DEADWALL_CODEX_1.22/fiches/DW-0426.md</x:v>
      </x:c>
      <x:c r="K431" t="str">
        <x:v>Source min 80,55 m ; max 700,350 m ; modèle 80 × 55 m ; niveaux 0. Détails dans catalogue-existant.json.</x:v>
      </x:c>
    </x:row>
    <x:row r="432">
      <x:c r="A432" t="str">
        <x:v>DW-0427</x:v>
      </x:c>
      <x:c r="B432" t="str">
        <x:v>DW-0427</x:v>
      </x:c>
      <x:c r="C432" t="str">
        <x:v>Parent historique</x:v>
      </x:c>
      <x:c r="D432" t="str">
        <x:v>Ports et activités nautiques</x:v>
      </x:c>
      <x:c r="E432" t="str">
        <x:v>Capitainerie</x:v>
      </x:c>
      <x:c r="F432" t="n">
        <x:v>10</x:v>
      </x:c>
      <x:c r="G432" t="n">
        <x:v>4</x:v>
      </x:c>
      <x:c r="H432" t="n">
        <x:v>12</x:v>
      </x:c>
      <x:c r="I432" t="str">
        <x:v>À qualifier par lieu</x:v>
      </x:c>
      <x:c r="J432" t="str">
        <x:v>https://github.com/darknigthmare/deadwall-last-enclosure/blob/1b3b9c5ba232734b1bda3453b4e20a0481bcdd74/codex-3000/originaux/DEADWALL_CODEX_1.22/fiches/DW-0427.md</x:v>
      </x:c>
      <x:c r="K432" t="str">
        <x:v>Source min 80,55 m ; max 700,350 m ; modèle 80 × 55 m ; niveaux 0. Détails dans catalogue-existant.json.</x:v>
      </x:c>
    </x:row>
    <x:row r="433">
      <x:c r="A433" t="str">
        <x:v>DW-0428</x:v>
      </x:c>
      <x:c r="B433" t="str">
        <x:v>DW-0428</x:v>
      </x:c>
      <x:c r="C433" t="str">
        <x:v>Parent historique</x:v>
      </x:c>
      <x:c r="D433" t="str">
        <x:v>Ports et activités nautiques</x:v>
      </x:c>
      <x:c r="E433" t="str">
        <x:v>Hangar à bateaux</x:v>
      </x:c>
      <x:c r="F433" t="n">
        <x:v>10</x:v>
      </x:c>
      <x:c r="G433" t="n">
        <x:v>4</x:v>
      </x:c>
      <x:c r="H433" t="n">
        <x:v>12</x:v>
      </x:c>
      <x:c r="I433" t="str">
        <x:v>À qualifier par lieu</x:v>
      </x:c>
      <x:c r="J433" t="str">
        <x:v>https://github.com/darknigthmare/deadwall-last-enclosure/blob/1b3b9c5ba232734b1bda3453b4e20a0481bcdd74/codex-3000/originaux/DEADWALL_CODEX_1.22/fiches/DW-0428.md</x:v>
      </x:c>
      <x:c r="K433" t="str">
        <x:v>Source min 80,55 m ; max 700,350 m ; modèle 80 × 55 m ; niveaux 0. Détails dans catalogue-existant.json.</x:v>
      </x:c>
    </x:row>
    <x:row r="434">
      <x:c r="A434" t="str">
        <x:v>DW-0429</x:v>
      </x:c>
      <x:c r="B434" t="str">
        <x:v>DW-0429</x:v>
      </x:c>
      <x:c r="C434" t="str">
        <x:v>Parent historique</x:v>
      </x:c>
      <x:c r="D434" t="str">
        <x:v>Ports et activités nautiques</x:v>
      </x:c>
      <x:c r="E434" t="str">
        <x:v>Écluse portuaire</x:v>
      </x:c>
      <x:c r="F434" t="n">
        <x:v>10</x:v>
      </x:c>
      <x:c r="G434" t="n">
        <x:v>4</x:v>
      </x:c>
      <x:c r="H434" t="n">
        <x:v>10</x:v>
      </x:c>
      <x:c r="I434" t="str">
        <x:v>À qualifier par lieu</x:v>
      </x:c>
      <x:c r="J434" t="str">
        <x:v>https://github.com/darknigthmare/deadwall-last-enclosure/blob/1b3b9c5ba232734b1bda3453b4e20a0481bcdd74/codex-3000/originaux/DEADWALL_CODEX_1.22/fiches/DW-0429.md</x:v>
      </x:c>
      <x:c r="K434" t="str">
        <x:v>Source min 80,55 m ; max 700,350 m ; modèle 80 × 55 m ; niveaux 0. Détails dans catalogue-existant.json.</x:v>
      </x:c>
    </x:row>
    <x:row r="435">
      <x:c r="A435" t="str">
        <x:v>DW-0430</x:v>
      </x:c>
      <x:c r="B435" t="str">
        <x:v>DW-0430</x:v>
      </x:c>
      <x:c r="C435" t="str">
        <x:v>Parent historique</x:v>
      </x:c>
      <x:c r="D435" t="str">
        <x:v>Ports et activités nautiques</x:v>
      </x:c>
      <x:c r="E435" t="str">
        <x:v>Dépôt de conteneurs</x:v>
      </x:c>
      <x:c r="F435" t="n">
        <x:v>10</x:v>
      </x:c>
      <x:c r="G435" t="n">
        <x:v>4</x:v>
      </x:c>
      <x:c r="H435" t="n">
        <x:v>10</x:v>
      </x:c>
      <x:c r="I435" t="str">
        <x:v>À qualifier par lieu</x:v>
      </x:c>
      <x:c r="J435" t="str">
        <x:v>https://github.com/darknigthmare/deadwall-last-enclosure/blob/1b3b9c5ba232734b1bda3453b4e20a0481bcdd74/codex-3000/originaux/DEADWALL_CODEX_1.22/fiches/DW-0430.md</x:v>
      </x:c>
      <x:c r="K435" t="str">
        <x:v>Source min 80,55 m ; max 700,350 m ; modèle 80 × 55 m ; niveaux 0. Détails dans catalogue-existant.json.</x:v>
      </x:c>
    </x:row>
    <x:row r="436">
      <x:c r="A436" t="str">
        <x:v>DW-0431</x:v>
      </x:c>
      <x:c r="B436" t="str">
        <x:v>DW-0431</x:v>
      </x:c>
      <x:c r="C436" t="str">
        <x:v>Parent historique</x:v>
      </x:c>
      <x:c r="D436" t="str">
        <x:v>Ports et activités nautiques</x:v>
      </x:c>
      <x:c r="E436" t="str">
        <x:v>Entrepôt douanier fictif</x:v>
      </x:c>
      <x:c r="F436" t="n">
        <x:v>10</x:v>
      </x:c>
      <x:c r="G436" t="n">
        <x:v>4</x:v>
      </x:c>
      <x:c r="H436" t="n">
        <x:v>12</x:v>
      </x:c>
      <x:c r="I436" t="str">
        <x:v>À qualifier par lieu</x:v>
      </x:c>
      <x:c r="J436" t="str">
        <x:v>https://github.com/darknigthmare/deadwall-last-enclosure/blob/1b3b9c5ba232734b1bda3453b4e20a0481bcdd74/codex-3000/originaux/DEADWALL_CODEX_1.22/fiches/DW-0431.md</x:v>
      </x:c>
      <x:c r="K436" t="str">
        <x:v>Source min 80,55 m ; max 700,350 m ; modèle 80 × 55 m ; niveaux 0. Détails dans catalogue-existant.json.</x:v>
      </x:c>
    </x:row>
    <x:row r="437">
      <x:c r="A437" t="str">
        <x:v>DW-0432</x:v>
      </x:c>
      <x:c r="B437" t="str">
        <x:v>DW-0432</x:v>
      </x:c>
      <x:c r="C437" t="str">
        <x:v>Parent historique</x:v>
      </x:c>
      <x:c r="D437" t="str">
        <x:v>Ports et activités nautiques</x:v>
      </x:c>
      <x:c r="E437" t="str">
        <x:v>Gare fluviale</x:v>
      </x:c>
      <x:c r="F437" t="n">
        <x:v>10</x:v>
      </x:c>
      <x:c r="G437" t="n">
        <x:v>4</x:v>
      </x:c>
      <x:c r="H437" t="n">
        <x:v>12</x:v>
      </x:c>
      <x:c r="I437" t="str">
        <x:v>À qualifier par lieu</x:v>
      </x:c>
      <x:c r="J437" t="str">
        <x:v>https://github.com/darknigthmare/deadwall-last-enclosure/blob/1b3b9c5ba232734b1bda3453b4e20a0481bcdd74/codex-3000/originaux/DEADWALL_CODEX_1.22/fiches/DW-0432.md</x:v>
      </x:c>
      <x:c r="K437" t="str">
        <x:v>Source min 80,55 m ; max 700,350 m ; modèle 80 × 55 m ; niveaux 0. Détails dans catalogue-existant.json.</x:v>
      </x:c>
    </x:row>
    <x:row r="438">
      <x:c r="A438" t="str">
        <x:v>DW-0433</x:v>
      </x:c>
      <x:c r="B438" t="str">
        <x:v>DW-0433</x:v>
      </x:c>
      <x:c r="C438" t="str">
        <x:v>Parent historique</x:v>
      </x:c>
      <x:c r="D438" t="str">
        <x:v>Ports et activités nautiques</x:v>
      </x:c>
      <x:c r="E438" t="str">
        <x:v>Petit embarcadère</x:v>
      </x:c>
      <x:c r="F438" t="n">
        <x:v>10</x:v>
      </x:c>
      <x:c r="G438" t="n">
        <x:v>4</x:v>
      </x:c>
      <x:c r="H438" t="n">
        <x:v>12</x:v>
      </x:c>
      <x:c r="I438" t="str">
        <x:v>À qualifier par lieu</x:v>
      </x:c>
      <x:c r="J438" t="str">
        <x:v>https://github.com/darknigthmare/deadwall-last-enclosure/blob/1b3b9c5ba232734b1bda3453b4e20a0481bcdd74/codex-3000/originaux/DEADWALL_CODEX_1.22/fiches/DW-0433.md</x:v>
      </x:c>
      <x:c r="K438" t="str">
        <x:v>Source min 80,55 m ; max 700,350 m ; modèle 80 × 55 m ; niveaux 0. Détails dans catalogue-existant.json.</x:v>
      </x:c>
    </x:row>
    <x:row r="439">
      <x:c r="A439" t="str">
        <x:v>DW-0434</x:v>
      </x:c>
      <x:c r="B439" t="str">
        <x:v>DW-0434</x:v>
      </x:c>
      <x:c r="C439" t="str">
        <x:v>Parent historique</x:v>
      </x:c>
      <x:c r="D439" t="str">
        <x:v>Ports et activités nautiques</x:v>
      </x:c>
      <x:c r="E439" t="str">
        <x:v>Base nautique de loisirs</x:v>
      </x:c>
      <x:c r="F439" t="n">
        <x:v>10</x:v>
      </x:c>
      <x:c r="G439" t="n">
        <x:v>4</x:v>
      </x:c>
      <x:c r="H439" t="n">
        <x:v>12</x:v>
      </x:c>
      <x:c r="I439" t="str">
        <x:v>À qualifier par lieu</x:v>
      </x:c>
      <x:c r="J439" t="str">
        <x:v>https://github.com/darknigthmare/deadwall-last-enclosure/blob/1b3b9c5ba232734b1bda3453b4e20a0481bcdd74/codex-3000/originaux/DEADWALL_CODEX_1.22/fiches/DW-0434.md</x:v>
      </x:c>
      <x:c r="K439" t="str">
        <x:v>Source min 80,55 m ; max 700,350 m ; modèle 80 × 55 m ; niveaux 0. Détails dans catalogue-existant.json.</x:v>
      </x:c>
    </x:row>
    <x:row r="440">
      <x:c r="A440" t="str">
        <x:v>DW-0435</x:v>
      </x:c>
      <x:c r="B440" t="str">
        <x:v>DW-0435</x:v>
      </x:c>
      <x:c r="C440" t="str">
        <x:v>Parent historique</x:v>
      </x:c>
      <x:c r="D440" t="str">
        <x:v>Ports et activités nautiques</x:v>
      </x:c>
      <x:c r="E440" t="str">
        <x:v>Bateau-restaurant amarré</x:v>
      </x:c>
      <x:c r="F440" t="n">
        <x:v>10</x:v>
      </x:c>
      <x:c r="G440" t="n">
        <x:v>4</x:v>
      </x:c>
      <x:c r="H440" t="n">
        <x:v>10</x:v>
      </x:c>
      <x:c r="I440" t="str">
        <x:v>À qualifier par lieu</x:v>
      </x:c>
      <x:c r="J440" t="str">
        <x:v>https://github.com/darknigthmare/deadwall-last-enclosure/blob/1b3b9c5ba232734b1bda3453b4e20a0481bcdd74/codex-3000/originaux/DEADWALL_CODEX_1.22/fiches/DW-0435.md</x:v>
      </x:c>
      <x:c r="K440" t="str">
        <x:v>Source min 80,55 m ; max 700,350 m ; modèle 80 × 55 m ; niveaux 0. Détails dans catalogue-existant.json.</x:v>
      </x:c>
    </x:row>
    <x:row r="441">
      <x:c r="A441" t="str">
        <x:v>DW-0436</x:v>
      </x:c>
      <x:c r="B441" t="str">
        <x:v>DW-0436</x:v>
      </x:c>
      <x:c r="C441" t="str">
        <x:v>Parent historique</x:v>
      </x:c>
      <x:c r="D441" t="str">
        <x:v>Ports et activités nautiques</x:v>
      </x:c>
      <x:c r="E441" t="str">
        <x:v>Phare côtier</x:v>
      </x:c>
      <x:c r="F441" t="n">
        <x:v>10</x:v>
      </x:c>
      <x:c r="G441" t="n">
        <x:v>4</x:v>
      </x:c>
      <x:c r="H441" t="n">
        <x:v>10</x:v>
      </x:c>
      <x:c r="I441" t="str">
        <x:v>À qualifier par lieu</x:v>
      </x:c>
      <x:c r="J441" t="str">
        <x:v>https://github.com/darknigthmare/deadwall-last-enclosure/blob/1b3b9c5ba232734b1bda3453b4e20a0481bcdd74/codex-3000/originaux/DEADWALL_CODEX_1.22/fiches/DW-0436.md</x:v>
      </x:c>
      <x:c r="K441" t="str">
        <x:v>Source min 80,55 m ; max 700,350 m ; modèle 80 × 55 m ; niveaux 0. Détails dans catalogue-existant.json.</x:v>
      </x:c>
    </x:row>
    <x:row r="442">
      <x:c r="A442" t="str">
        <x:v>DW-0437</x:v>
      </x:c>
      <x:c r="B442" t="str">
        <x:v>DW-0437</x:v>
      </x:c>
      <x:c r="C442" t="str">
        <x:v>Parent historique</x:v>
      </x:c>
      <x:c r="D442" t="str">
        <x:v>Ports et activités nautiques</x:v>
      </x:c>
      <x:c r="E442" t="str">
        <x:v>Dépôt de dragage abandonné</x:v>
      </x:c>
      <x:c r="F442" t="n">
        <x:v>10</x:v>
      </x:c>
      <x:c r="G442" t="n">
        <x:v>4</x:v>
      </x:c>
      <x:c r="H442" t="n">
        <x:v>12</x:v>
      </x:c>
      <x:c r="I442" t="str">
        <x:v>À qualifier par lieu</x:v>
      </x:c>
      <x:c r="J442" t="str">
        <x:v>https://github.com/darknigthmare/deadwall-last-enclosure/blob/1b3b9c5ba232734b1bda3453b4e20a0481bcdd74/codex-3000/originaux/DEADWALL_CODEX_1.22/fiches/DW-0437.md</x:v>
      </x:c>
      <x:c r="K442" t="str">
        <x:v>Source min 80,55 m ; max 700,350 m ; modèle 80 × 55 m ; niveaux 0. Détails dans catalogue-existant.json.</x:v>
      </x:c>
    </x:row>
    <x:row r="443">
      <x:c r="A443" t="str">
        <x:v>DW-0438</x:v>
      </x:c>
      <x:c r="B443" t="str">
        <x:v>DW-0438</x:v>
      </x:c>
      <x:c r="C443" t="str">
        <x:v>Parent historique</x:v>
      </x:c>
      <x:c r="D443" t="str">
        <x:v>Ports et activités nautiques</x:v>
      </x:c>
      <x:c r="E443" t="str">
        <x:v>Port sec intérieur</x:v>
      </x:c>
      <x:c r="F443" t="n">
        <x:v>10</x:v>
      </x:c>
      <x:c r="G443" t="n">
        <x:v>4</x:v>
      </x:c>
      <x:c r="H443" t="n">
        <x:v>12</x:v>
      </x:c>
      <x:c r="I443" t="str">
        <x:v>À qualifier par lieu</x:v>
      </x:c>
      <x:c r="J443" t="str">
        <x:v>https://github.com/darknigthmare/deadwall-last-enclosure/blob/1b3b9c5ba232734b1bda3453b4e20a0481bcdd74/codex-3000/originaux/DEADWALL_CODEX_1.22/fiches/DW-0438.md</x:v>
      </x:c>
      <x:c r="K443" t="str">
        <x:v>Source min 80,55 m ; max 700,350 m ; modèle 80 × 55 m ; niveaux 0. Détails dans catalogue-existant.json.</x:v>
      </x:c>
    </x:row>
    <x:row r="444">
      <x:c r="A444" t="str">
        <x:v>DW-0439</x:v>
      </x:c>
      <x:c r="B444" t="str">
        <x:v>DW-0439</x:v>
      </x:c>
      <x:c r="C444" t="str">
        <x:v>Parent historique</x:v>
      </x:c>
      <x:c r="D444" t="str">
        <x:v>Ports et activités nautiques</x:v>
      </x:c>
      <x:c r="E444" t="str">
        <x:v>Marina sinistrée</x:v>
      </x:c>
      <x:c r="F444" t="n">
        <x:v>10</x:v>
      </x:c>
      <x:c r="G444" t="n">
        <x:v>4</x:v>
      </x:c>
      <x:c r="H444" t="n">
        <x:v>12</x:v>
      </x:c>
      <x:c r="I444" t="str">
        <x:v>À qualifier par lieu</x:v>
      </x:c>
      <x:c r="J444" t="str">
        <x:v>https://github.com/darknigthmare/deadwall-last-enclosure/blob/1b3b9c5ba232734b1bda3453b4e20a0481bcdd74/codex-3000/originaux/DEADWALL_CODEX_1.22/fiches/DW-0439.md</x:v>
      </x:c>
      <x:c r="K444" t="str">
        <x:v>Source min 80,55 m ; max 700,350 m ; modèle 80 × 55 m ; niveaux 0. Détails dans catalogue-existant.json.</x:v>
      </x:c>
    </x:row>
    <x:row r="445">
      <x:c r="A445" t="str">
        <x:v>DW-0440</x:v>
      </x:c>
      <x:c r="B445" t="str">
        <x:v>DW-0440</x:v>
      </x:c>
      <x:c r="C445" t="str">
        <x:v>Parent historique</x:v>
      </x:c>
      <x:c r="D445" t="str">
        <x:v>Ports et activités nautiques</x:v>
      </x:c>
      <x:c r="E445" t="str">
        <x:v>Hameau lacustre</x:v>
      </x:c>
      <x:c r="F445" t="n">
        <x:v>10</x:v>
      </x:c>
      <x:c r="G445" t="n">
        <x:v>4</x:v>
      </x:c>
      <x:c r="H445" t="n">
        <x:v>12</x:v>
      </x:c>
      <x:c r="I445" t="str">
        <x:v>À qualifier par lieu</x:v>
      </x:c>
      <x:c r="J445" t="str">
        <x:v>https://github.com/darknigthmare/deadwall-last-enclosure/blob/1b3b9c5ba232734b1bda3453b4e20a0481bcdd74/codex-3000/originaux/DEADWALL_CODEX_1.22/fiches/DW-0440.md</x:v>
      </x:c>
      <x:c r="K445" t="str">
        <x:v>Source min 80,55 m ; max 700,350 m ; modèle 80 × 55 m ; niveaux 0. Détails dans catalogue-existant.json.</x:v>
      </x:c>
    </x:row>
    <x:row r="446">
      <x:c r="A446" t="str">
        <x:v>DW-0441</x:v>
      </x:c>
      <x:c r="B446" t="str">
        <x:v>DW-0441</x:v>
      </x:c>
      <x:c r="C446" t="str">
        <x:v>Parent historique</x:v>
      </x:c>
      <x:c r="D446" t="str">
        <x:v>Loisirs et culture</x:v>
      </x:c>
      <x:c r="E446" t="str">
        <x:v>Parc urbain</x:v>
      </x:c>
      <x:c r="F446" t="n">
        <x:v>8</x:v>
      </x:c>
      <x:c r="G446" t="n">
        <x:v>4</x:v>
      </x:c>
      <x:c r="H446" t="n">
        <x:v>10</x:v>
      </x:c>
      <x:c r="I446" t="str">
        <x:v>À qualifier par lieu</x:v>
      </x:c>
      <x:c r="J446" t="str">
        <x:v>https://github.com/darknigthmare/deadwall-last-enclosure/blob/1b3b9c5ba232734b1bda3453b4e20a0481bcdd74/codex-3000/originaux/DEADWALL_CODEX_1.22/fiches/DW-0441.md</x:v>
      </x:c>
      <x:c r="K446" t="str">
        <x:v>Source min 40,28 m ; max 300,200 m ; modèle 40 × 28 m ; niveaux 0. Détails dans catalogue-existant.json.</x:v>
      </x:c>
    </x:row>
    <x:row r="447">
      <x:c r="A447" t="str">
        <x:v>DW-0442</x:v>
      </x:c>
      <x:c r="B447" t="str">
        <x:v>DW-0442</x:v>
      </x:c>
      <x:c r="C447" t="str">
        <x:v>Parent historique</x:v>
      </x:c>
      <x:c r="D447" t="str">
        <x:v>Loisirs et culture</x:v>
      </x:c>
      <x:c r="E447" t="str">
        <x:v>Terrain de football</x:v>
      </x:c>
      <x:c r="F447" t="n">
        <x:v>8</x:v>
      </x:c>
      <x:c r="G447" t="n">
        <x:v>4</x:v>
      </x:c>
      <x:c r="H447" t="n">
        <x:v>12</x:v>
      </x:c>
      <x:c r="I447" t="str">
        <x:v>À qualifier par lieu</x:v>
      </x:c>
      <x:c r="J447" t="str">
        <x:v>https://github.com/darknigthmare/deadwall-last-enclosure/blob/1b3b9c5ba232734b1bda3453b4e20a0481bcdd74/codex-3000/originaux/DEADWALL_CODEX_1.22/fiches/DW-0442.md</x:v>
      </x:c>
      <x:c r="K447" t="str">
        <x:v>Source min 40,28 m ; max 300,200 m ; modèle 40 × 28 m ; niveaux 0. Détails dans catalogue-existant.json.</x:v>
      </x:c>
    </x:row>
    <x:row r="448">
      <x:c r="A448" t="str">
        <x:v>DW-0443</x:v>
      </x:c>
      <x:c r="B448" t="str">
        <x:v>DW-0443</x:v>
      </x:c>
      <x:c r="C448" t="str">
        <x:v>Parent historique</x:v>
      </x:c>
      <x:c r="D448" t="str">
        <x:v>Loisirs et culture</x:v>
      </x:c>
      <x:c r="E448" t="str">
        <x:v>Stade municipal</x:v>
      </x:c>
      <x:c r="F448" t="n">
        <x:v>8</x:v>
      </x:c>
      <x:c r="G448" t="n">
        <x:v>4</x:v>
      </x:c>
      <x:c r="H448" t="n">
        <x:v>10</x:v>
      </x:c>
      <x:c r="I448" t="str">
        <x:v>À qualifier par lieu</x:v>
      </x:c>
      <x:c r="J448" t="str">
        <x:v>https://github.com/darknigthmare/deadwall-last-enclosure/blob/1b3b9c5ba232734b1bda3453b4e20a0481bcdd74/codex-3000/originaux/DEADWALL_CODEX_1.22/fiches/DW-0443.md</x:v>
      </x:c>
      <x:c r="K448" t="str">
        <x:v>Source min 40,28 m ; max 300,200 m ; modèle 40 × 28 m ; niveaux 0. Détails dans catalogue-existant.json.</x:v>
      </x:c>
    </x:row>
    <x:row r="449">
      <x:c r="A449" t="str">
        <x:v>DW-0444</x:v>
      </x:c>
      <x:c r="B449" t="str">
        <x:v>DW-0444</x:v>
      </x:c>
      <x:c r="C449" t="str">
        <x:v>Parent historique</x:v>
      </x:c>
      <x:c r="D449" t="str">
        <x:v>Loisirs et culture</x:v>
      </x:c>
      <x:c r="E449" t="str">
        <x:v>Gymnase</x:v>
      </x:c>
      <x:c r="F449" t="n">
        <x:v>8</x:v>
      </x:c>
      <x:c r="G449" t="n">
        <x:v>4</x:v>
      </x:c>
      <x:c r="H449" t="n">
        <x:v>12</x:v>
      </x:c>
      <x:c r="I449" t="str">
        <x:v>À qualifier par lieu</x:v>
      </x:c>
      <x:c r="J449" t="str">
        <x:v>https://github.com/darknigthmare/deadwall-last-enclosure/blob/1b3b9c5ba232734b1bda3453b4e20a0481bcdd74/codex-3000/originaux/DEADWALL_CODEX_1.22/fiches/DW-0444.md</x:v>
      </x:c>
      <x:c r="K449" t="str">
        <x:v>Source min 40,28 m ; max 300,200 m ; modèle 40 × 28 m ; niveaux 0. Détails dans catalogue-existant.json.</x:v>
      </x:c>
    </x:row>
    <x:row r="450">
      <x:c r="A450" t="str">
        <x:v>DW-0445</x:v>
      </x:c>
      <x:c r="B450" t="str">
        <x:v>DW-0445</x:v>
      </x:c>
      <x:c r="C450" t="str">
        <x:v>Parent historique</x:v>
      </x:c>
      <x:c r="D450" t="str">
        <x:v>Loisirs et culture</x:v>
      </x:c>
      <x:c r="E450" t="str">
        <x:v>Piscine municipale</x:v>
      </x:c>
      <x:c r="F450" t="n">
        <x:v>8</x:v>
      </x:c>
      <x:c r="G450" t="n">
        <x:v>5</x:v>
      </x:c>
      <x:c r="H450" t="n">
        <x:v>15</x:v>
      </x:c>
      <x:c r="I450" t="str">
        <x:v>À qualifier par lieu</x:v>
      </x:c>
      <x:c r="J450" t="str">
        <x:v>https://github.com/darknigthmare/deadwall-last-enclosure/blob/1b3b9c5ba232734b1bda3453b4e20a0481bcdd74/codex-3000/originaux/DEADWALL_CODEX_1.22/fiches/DW-0445.md</x:v>
      </x:c>
      <x:c r="K450" t="str">
        <x:v>Source min 40,28 m ; max 300,200 m ; modèle 40 × 28 m ; niveaux 0. Détails dans catalogue-existant.json.</x:v>
      </x:c>
    </x:row>
    <x:row r="451">
      <x:c r="A451" t="str">
        <x:v>DW-0446</x:v>
      </x:c>
      <x:c r="B451" t="str">
        <x:v>DW-0446</x:v>
      </x:c>
      <x:c r="C451" t="str">
        <x:v>Parent historique</x:v>
      </x:c>
      <x:c r="D451" t="str">
        <x:v>Loisirs et culture</x:v>
      </x:c>
      <x:c r="E451" t="str">
        <x:v>Cinéma multiplexe</x:v>
      </x:c>
      <x:c r="F451" t="n">
        <x:v>8</x:v>
      </x:c>
      <x:c r="G451" t="n">
        <x:v>5</x:v>
      </x:c>
      <x:c r="H451" t="n">
        <x:v>15</x:v>
      </x:c>
      <x:c r="I451" t="str">
        <x:v>À qualifier par lieu</x:v>
      </x:c>
      <x:c r="J451" t="str">
        <x:v>https://github.com/darknigthmare/deadwall-last-enclosure/blob/1b3b9c5ba232734b1bda3453b4e20a0481bcdd74/codex-3000/originaux/DEADWALL_CODEX_1.22/fiches/DW-0446.md</x:v>
      </x:c>
      <x:c r="K451" t="str">
        <x:v>Source min 40,28 m ; max 300,200 m ; modèle 40 × 28 m ; niveaux 0. Détails dans catalogue-existant.json.</x:v>
      </x:c>
    </x:row>
    <x:row r="452">
      <x:c r="A452" t="str">
        <x:v>DW-0447</x:v>
      </x:c>
      <x:c r="B452" t="str">
        <x:v>DW-0447</x:v>
      </x:c>
      <x:c r="C452" t="str">
        <x:v>Parent historique</x:v>
      </x:c>
      <x:c r="D452" t="str">
        <x:v>Loisirs et culture</x:v>
      </x:c>
      <x:c r="E452" t="str">
        <x:v>Cinéma de quartier</x:v>
      </x:c>
      <x:c r="F452" t="n">
        <x:v>8</x:v>
      </x:c>
      <x:c r="G452" t="n">
        <x:v>4</x:v>
      </x:c>
      <x:c r="H452" t="n">
        <x:v>12</x:v>
      </x:c>
      <x:c r="I452" t="str">
        <x:v>À qualifier par lieu</x:v>
      </x:c>
      <x:c r="J452" t="str">
        <x:v>https://github.com/darknigthmare/deadwall-last-enclosure/blob/1b3b9c5ba232734b1bda3453b4e20a0481bcdd74/codex-3000/originaux/DEADWALL_CODEX_1.22/fiches/DW-0447.md</x:v>
      </x:c>
      <x:c r="K452" t="str">
        <x:v>Source min 40,28 m ; max 300,200 m ; modèle 40 × 28 m ; niveaux 0. Détails dans catalogue-existant.json.</x:v>
      </x:c>
    </x:row>
    <x:row r="453">
      <x:c r="A453" t="str">
        <x:v>DW-0448</x:v>
      </x:c>
      <x:c r="B453" t="str">
        <x:v>DW-0448</x:v>
      </x:c>
      <x:c r="C453" t="str">
        <x:v>Parent historique</x:v>
      </x:c>
      <x:c r="D453" t="str">
        <x:v>Loisirs et culture</x:v>
      </x:c>
      <x:c r="E453" t="str">
        <x:v>Théâtre</x:v>
      </x:c>
      <x:c r="F453" t="n">
        <x:v>8</x:v>
      </x:c>
      <x:c r="G453" t="n">
        <x:v>5</x:v>
      </x:c>
      <x:c r="H453" t="n">
        <x:v>15</x:v>
      </x:c>
      <x:c r="I453" t="str">
        <x:v>À qualifier par lieu</x:v>
      </x:c>
      <x:c r="J453" t="str">
        <x:v>https://github.com/darknigthmare/deadwall-last-enclosure/blob/1b3b9c5ba232734b1bda3453b4e20a0481bcdd74/codex-3000/originaux/DEADWALL_CODEX_1.22/fiches/DW-0448.md</x:v>
      </x:c>
      <x:c r="K453" t="str">
        <x:v>Source min 40,28 m ; max 300,200 m ; modèle 40 × 28 m ; niveaux 0. Détails dans catalogue-existant.json.</x:v>
      </x:c>
    </x:row>
    <x:row r="454">
      <x:c r="A454" t="str">
        <x:v>DW-0449</x:v>
      </x:c>
      <x:c r="B454" t="str">
        <x:v>DW-0449</x:v>
      </x:c>
      <x:c r="C454" t="str">
        <x:v>Parent historique</x:v>
      </x:c>
      <x:c r="D454" t="str">
        <x:v>Loisirs et culture</x:v>
      </x:c>
      <x:c r="E454" t="str">
        <x:v>Salle de concert</x:v>
      </x:c>
      <x:c r="F454" t="n">
        <x:v>8</x:v>
      </x:c>
      <x:c r="G454" t="n">
        <x:v>5</x:v>
      </x:c>
      <x:c r="H454" t="n">
        <x:v>15</x:v>
      </x:c>
      <x:c r="I454" t="str">
        <x:v>À qualifier par lieu</x:v>
      </x:c>
      <x:c r="J454" t="str">
        <x:v>https://github.com/darknigthmare/deadwall-last-enclosure/blob/1b3b9c5ba232734b1bda3453b4e20a0481bcdd74/codex-3000/originaux/DEADWALL_CODEX_1.22/fiches/DW-0449.md</x:v>
      </x:c>
      <x:c r="K454" t="str">
        <x:v>Source min 40,28 m ; max 300,200 m ; modèle 40 × 28 m ; niveaux 0. Détails dans catalogue-existant.json.</x:v>
      </x:c>
    </x:row>
    <x:row r="455">
      <x:c r="A455" t="str">
        <x:v>DW-0450</x:v>
      </x:c>
      <x:c r="B455" t="str">
        <x:v>DW-0450</x:v>
      </x:c>
      <x:c r="C455" t="str">
        <x:v>Parent historique</x:v>
      </x:c>
      <x:c r="D455" t="str">
        <x:v>Loisirs et culture</x:v>
      </x:c>
      <x:c r="E455" t="str">
        <x:v>Musée local</x:v>
      </x:c>
      <x:c r="F455" t="n">
        <x:v>8</x:v>
      </x:c>
      <x:c r="G455" t="n">
        <x:v>4</x:v>
      </x:c>
      <x:c r="H455" t="n">
        <x:v>12</x:v>
      </x:c>
      <x:c r="I455" t="str">
        <x:v>À qualifier par lieu</x:v>
      </x:c>
      <x:c r="J455" t="str">
        <x:v>https://github.com/darknigthmare/deadwall-last-enclosure/blob/1b3b9c5ba232734b1bda3453b4e20a0481bcdd74/codex-3000/originaux/DEADWALL_CODEX_1.22/fiches/DW-0450.md</x:v>
      </x:c>
      <x:c r="K455" t="str">
        <x:v>Source min 40,28 m ; max 300,200 m ; modèle 40 × 28 m ; niveaux 0. Détails dans catalogue-existant.json.</x:v>
      </x:c>
    </x:row>
    <x:row r="456">
      <x:c r="A456" t="str">
        <x:v>DW-0451</x:v>
      </x:c>
      <x:c r="B456" t="str">
        <x:v>DW-0451</x:v>
      </x:c>
      <x:c r="C456" t="str">
        <x:v>Parent historique</x:v>
      </x:c>
      <x:c r="D456" t="str">
        <x:v>Loisirs et culture</x:v>
      </x:c>
      <x:c r="E456" t="str">
        <x:v>Musée industriel</x:v>
      </x:c>
      <x:c r="F456" t="n">
        <x:v>8</x:v>
      </x:c>
      <x:c r="G456" t="n">
        <x:v>4</x:v>
      </x:c>
      <x:c r="H456" t="n">
        <x:v>10</x:v>
      </x:c>
      <x:c r="I456" t="str">
        <x:v>À qualifier par lieu</x:v>
      </x:c>
      <x:c r="J456" t="str">
        <x:v>https://github.com/darknigthmare/deadwall-last-enclosure/blob/1b3b9c5ba232734b1bda3453b4e20a0481bcdd74/codex-3000/originaux/DEADWALL_CODEX_1.22/fiches/DW-0451.md</x:v>
      </x:c>
      <x:c r="K456" t="str">
        <x:v>Source min 40,28 m ; max 300,200 m ; modèle 40 × 28 m ; niveaux 0. Détails dans catalogue-existant.json.</x:v>
      </x:c>
    </x:row>
    <x:row r="457">
      <x:c r="A457" t="str">
        <x:v>DW-0452</x:v>
      </x:c>
      <x:c r="B457" t="str">
        <x:v>DW-0452</x:v>
      </x:c>
      <x:c r="C457" t="str">
        <x:v>Parent historique</x:v>
      </x:c>
      <x:c r="D457" t="str">
        <x:v>Loisirs et culture</x:v>
      </x:c>
      <x:c r="E457" t="str">
        <x:v>Parc d'attractions abandonné</x:v>
      </x:c>
      <x:c r="F457" t="n">
        <x:v>8</x:v>
      </x:c>
      <x:c r="G457" t="n">
        <x:v>4</x:v>
      </x:c>
      <x:c r="H457" t="n">
        <x:v>10</x:v>
      </x:c>
      <x:c r="I457" t="str">
        <x:v>À qualifier par lieu</x:v>
      </x:c>
      <x:c r="J457" t="str">
        <x:v>https://github.com/darknigthmare/deadwall-last-enclosure/blob/1b3b9c5ba232734b1bda3453b4e20a0481bcdd74/codex-3000/originaux/DEADWALL_CODEX_1.22/fiches/DW-0452.md</x:v>
      </x:c>
      <x:c r="K457" t="str">
        <x:v>Source min 40,28 m ; max 300,200 m ; modèle 40 × 28 m ; niveaux 0. Détails dans catalogue-existant.json.</x:v>
      </x:c>
    </x:row>
    <x:row r="458">
      <x:c r="A458" t="str">
        <x:v>DW-0453</x:v>
      </x:c>
      <x:c r="B458" t="str">
        <x:v>DW-0453</x:v>
      </x:c>
      <x:c r="C458" t="str">
        <x:v>Parent historique</x:v>
      </x:c>
      <x:c r="D458" t="str">
        <x:v>Loisirs et culture</x:v>
      </x:c>
      <x:c r="E458" t="str">
        <x:v>Fête foraine démontée</x:v>
      </x:c>
      <x:c r="F458" t="n">
        <x:v>8</x:v>
      </x:c>
      <x:c r="G458" t="n">
        <x:v>4</x:v>
      </x:c>
      <x:c r="H458" t="n">
        <x:v>12</x:v>
      </x:c>
      <x:c r="I458" t="str">
        <x:v>À qualifier par lieu</x:v>
      </x:c>
      <x:c r="J458" t="str">
        <x:v>https://github.com/darknigthmare/deadwall-last-enclosure/blob/1b3b9c5ba232734b1bda3453b4e20a0481bcdd74/codex-3000/originaux/DEADWALL_CODEX_1.22/fiches/DW-0453.md</x:v>
      </x:c>
      <x:c r="K458" t="str">
        <x:v>Source min 40,28 m ; max 300,200 m ; modèle 40 × 28 m ; niveaux 0. Détails dans catalogue-existant.json.</x:v>
      </x:c>
    </x:row>
    <x:row r="459">
      <x:c r="A459" t="str">
        <x:v>DW-0454</x:v>
      </x:c>
      <x:c r="B459" t="str">
        <x:v>DW-0454</x:v>
      </x:c>
      <x:c r="C459" t="str">
        <x:v>Parent historique</x:v>
      </x:c>
      <x:c r="D459" t="str">
        <x:v>Loisirs et culture</x:v>
      </x:c>
      <x:c r="E459" t="str">
        <x:v>Campement de clairière</x:v>
      </x:c>
      <x:c r="F459" t="n">
        <x:v>8</x:v>
      </x:c>
      <x:c r="G459" t="n">
        <x:v>4</x:v>
      </x:c>
      <x:c r="H459" t="n">
        <x:v>12</x:v>
      </x:c>
      <x:c r="I459" t="str">
        <x:v>À qualifier par lieu</x:v>
      </x:c>
      <x:c r="J459" t="str">
        <x:v>https://github.com/darknigthmare/deadwall-last-enclosure/blob/1b3b9c5ba232734b1bda3453b4e20a0481bcdd74/codex-3000/originaux/DEADWALL_CODEX_1.22/fiches/DW-0454.md</x:v>
      </x:c>
      <x:c r="K459" t="str">
        <x:v>Source min 40,28 m ; max 300,200 m ; modèle 40 × 28 m ; niveaux 0. Détails dans catalogue-existant.json.</x:v>
      </x:c>
    </x:row>
    <x:row r="460">
      <x:c r="A460" t="str">
        <x:v>DW-0455</x:v>
      </x:c>
      <x:c r="B460" t="str">
        <x:v>DW-0455</x:v>
      </x:c>
      <x:c r="C460" t="str">
        <x:v>Parent historique</x:v>
      </x:c>
      <x:c r="D460" t="str">
        <x:v>Loisirs et culture</x:v>
      </x:c>
      <x:c r="E460" t="str">
        <x:v>Base de scoutisme</x:v>
      </x:c>
      <x:c r="F460" t="n">
        <x:v>8</x:v>
      </x:c>
      <x:c r="G460" t="n">
        <x:v>4</x:v>
      </x:c>
      <x:c r="H460" t="n">
        <x:v>12</x:v>
      </x:c>
      <x:c r="I460" t="str">
        <x:v>À qualifier par lieu</x:v>
      </x:c>
      <x:c r="J460" t="str">
        <x:v>https://github.com/darknigthmare/deadwall-last-enclosure/blob/1b3b9c5ba232734b1bda3453b4e20a0481bcdd74/codex-3000/originaux/DEADWALL_CODEX_1.22/fiches/DW-0455.md</x:v>
      </x:c>
      <x:c r="K460" t="str">
        <x:v>Source min 40,28 m ; max 300,200 m ; modèle 40 × 28 m ; niveaux 0. Détails dans catalogue-existant.json.</x:v>
      </x:c>
    </x:row>
    <x:row r="461">
      <x:c r="A461" t="str">
        <x:v>DW-0456</x:v>
      </x:c>
      <x:c r="B461" t="str">
        <x:v>DW-0456</x:v>
      </x:c>
      <x:c r="C461" t="str">
        <x:v>Parent historique</x:v>
      </x:c>
      <x:c r="D461" t="str">
        <x:v>Loisirs et culture</x:v>
      </x:c>
      <x:c r="E461" t="str">
        <x:v>Club de tennis</x:v>
      </x:c>
      <x:c r="F461" t="n">
        <x:v>8</x:v>
      </x:c>
      <x:c r="G461" t="n">
        <x:v>4</x:v>
      </x:c>
      <x:c r="H461" t="n">
        <x:v>12</x:v>
      </x:c>
      <x:c r="I461" t="str">
        <x:v>À qualifier par lieu</x:v>
      </x:c>
      <x:c r="J461" t="str">
        <x:v>https://github.com/darknigthmare/deadwall-last-enclosure/blob/1b3b9c5ba232734b1bda3453b4e20a0481bcdd74/codex-3000/originaux/DEADWALL_CODEX_1.22/fiches/DW-0456.md</x:v>
      </x:c>
      <x:c r="K461" t="str">
        <x:v>Source min 40,28 m ; max 300,200 m ; modèle 40 × 28 m ; niveaux 0. Détails dans catalogue-existant.json.</x:v>
      </x:c>
    </x:row>
    <x:row r="462">
      <x:c r="A462" t="str">
        <x:v>DW-0457</x:v>
      </x:c>
      <x:c r="B462" t="str">
        <x:v>DW-0457</x:v>
      </x:c>
      <x:c r="C462" t="str">
        <x:v>Parent historique</x:v>
      </x:c>
      <x:c r="D462" t="str">
        <x:v>Loisirs et culture</x:v>
      </x:c>
      <x:c r="E462" t="str">
        <x:v>Bowling</x:v>
      </x:c>
      <x:c r="F462" t="n">
        <x:v>8</x:v>
      </x:c>
      <x:c r="G462" t="n">
        <x:v>4</x:v>
      </x:c>
      <x:c r="H462" t="n">
        <x:v>12</x:v>
      </x:c>
      <x:c r="I462" t="str">
        <x:v>À qualifier par lieu</x:v>
      </x:c>
      <x:c r="J462" t="str">
        <x:v>https://github.com/darknigthmare/deadwall-last-enclosure/blob/1b3b9c5ba232734b1bda3453b4e20a0481bcdd74/codex-3000/originaux/DEADWALL_CODEX_1.22/fiches/DW-0457.md</x:v>
      </x:c>
      <x:c r="K462" t="str">
        <x:v>Source min 40,28 m ; max 300,200 m ; modèle 40 × 28 m ; niveaux 0. Détails dans catalogue-existant.json.</x:v>
      </x:c>
    </x:row>
    <x:row r="463">
      <x:c r="A463" t="str">
        <x:v>DW-0458</x:v>
      </x:c>
      <x:c r="B463" t="str">
        <x:v>DW-0458</x:v>
      </x:c>
      <x:c r="C463" t="str">
        <x:v>Parent historique</x:v>
      </x:c>
      <x:c r="D463" t="str">
        <x:v>Loisirs et culture</x:v>
      </x:c>
      <x:c r="E463" t="str">
        <x:v>Salle d'arcade</x:v>
      </x:c>
      <x:c r="F463" t="n">
        <x:v>8</x:v>
      </x:c>
      <x:c r="G463" t="n">
        <x:v>4</x:v>
      </x:c>
      <x:c r="H463" t="n">
        <x:v>12</x:v>
      </x:c>
      <x:c r="I463" t="str">
        <x:v>À qualifier par lieu</x:v>
      </x:c>
      <x:c r="J463" t="str">
        <x:v>https://github.com/darknigthmare/deadwall-last-enclosure/blob/1b3b9c5ba232734b1bda3453b4e20a0481bcdd74/codex-3000/originaux/DEADWALL_CODEX_1.22/fiches/DW-0458.md</x:v>
      </x:c>
      <x:c r="K463" t="str">
        <x:v>Source min 40,28 m ; max 300,200 m ; modèle 40 × 28 m ; niveaux 0. Détails dans catalogue-existant.json.</x:v>
      </x:c>
    </x:row>
    <x:row r="464">
      <x:c r="A464" t="str">
        <x:v>DW-0459</x:v>
      </x:c>
      <x:c r="B464" t="str">
        <x:v>DW-0459</x:v>
      </x:c>
      <x:c r="C464" t="str">
        <x:v>Parent historique</x:v>
      </x:c>
      <x:c r="D464" t="str">
        <x:v>Loisirs et culture</x:v>
      </x:c>
      <x:c r="E464" t="str">
        <x:v>Jardin botanique</x:v>
      </x:c>
      <x:c r="F464" t="n">
        <x:v>8</x:v>
      </x:c>
      <x:c r="G464" t="n">
        <x:v>4</x:v>
      </x:c>
      <x:c r="H464" t="n">
        <x:v>12</x:v>
      </x:c>
      <x:c r="I464" t="str">
        <x:v>À qualifier par lieu</x:v>
      </x:c>
      <x:c r="J464" t="str">
        <x:v>https://github.com/darknigthmare/deadwall-last-enclosure/blob/1b3b9c5ba232734b1bda3453b4e20a0481bcdd74/codex-3000/originaux/DEADWALL_CODEX_1.22/fiches/DW-0459.md</x:v>
      </x:c>
      <x:c r="K464" t="str">
        <x:v>Source min 40,28 m ; max 300,200 m ; modèle 40 × 28 m ; niveaux 0. Détails dans catalogue-existant.json.</x:v>
      </x:c>
    </x:row>
    <x:row r="465">
      <x:c r="A465" t="str">
        <x:v>DW-0460</x:v>
      </x:c>
      <x:c r="B465" t="str">
        <x:v>DW-0460</x:v>
      </x:c>
      <x:c r="C465" t="str">
        <x:v>Parent historique</x:v>
      </x:c>
      <x:c r="D465" t="str">
        <x:v>Loisirs et culture</x:v>
      </x:c>
      <x:c r="E465" t="str">
        <x:v>Cimetière paysager</x:v>
      </x:c>
      <x:c r="F465" t="n">
        <x:v>8</x:v>
      </x:c>
      <x:c r="G465" t="n">
        <x:v>4</x:v>
      </x:c>
      <x:c r="H465" t="n">
        <x:v>10</x:v>
      </x:c>
      <x:c r="I465" t="str">
        <x:v>À qualifier par lieu</x:v>
      </x:c>
      <x:c r="J465" t="str">
        <x:v>https://github.com/darknigthmare/deadwall-last-enclosure/blob/1b3b9c5ba232734b1bda3453b4e20a0481bcdd74/codex-3000/originaux/DEADWALL_CODEX_1.22/fiches/DW-0460.md</x:v>
      </x:c>
      <x:c r="K465" t="str">
        <x:v>Source min 40,28 m ; max 300,200 m ; modèle 40 × 28 m ; niveaux 0. Détails dans catalogue-existant.json.</x:v>
      </x:c>
    </x:row>
    <x:row r="466">
      <x:c r="A466" t="str">
        <x:v>DW-0461</x:v>
      </x:c>
      <x:c r="B466" t="str">
        <x:v>DW-0461</x:v>
      </x:c>
      <x:c r="C466" t="str">
        <x:v>Parent historique</x:v>
      </x:c>
      <x:c r="D466" t="str">
        <x:v>Quartiers et agglomérations</x:v>
      </x:c>
      <x:c r="E466" t="str">
        <x:v>Village-rue</x:v>
      </x:c>
      <x:c r="F466" t="n">
        <x:v>10</x:v>
      </x:c>
      <x:c r="G466" t="n">
        <x:v>5</x:v>
      </x:c>
      <x:c r="H466" t="n">
        <x:v>15</x:v>
      </x:c>
      <x:c r="I466" t="str">
        <x:v>À qualifier par lieu</x:v>
      </x:c>
      <x:c r="J466" t="str">
        <x:v>https://github.com/darknigthmare/deadwall-last-enclosure/blob/1b3b9c5ba232734b1bda3453b4e20a0481bcdd74/codex-3000/originaux/DEADWALL_CODEX_1.22/fiches/DW-0461.md</x:v>
      </x:c>
      <x:c r="K466" t="str">
        <x:v>Source min 250,200 m ; max 1200,900 m ; modèle 250 × 200 m ; niveaux 0. Détails dans catalogue-existant.json.</x:v>
      </x:c>
    </x:row>
    <x:row r="467">
      <x:c r="A467" t="str">
        <x:v>DW-0462</x:v>
      </x:c>
      <x:c r="B467" t="str">
        <x:v>DW-0462</x:v>
      </x:c>
      <x:c r="C467" t="str">
        <x:v>Parent historique</x:v>
      </x:c>
      <x:c r="D467" t="str">
        <x:v>Quartiers et agglomérations</x:v>
      </x:c>
      <x:c r="E467" t="str">
        <x:v>Village autour d'une place</x:v>
      </x:c>
      <x:c r="F467" t="n">
        <x:v>10</x:v>
      </x:c>
      <x:c r="G467" t="n">
        <x:v>5</x:v>
      </x:c>
      <x:c r="H467" t="n">
        <x:v>15</x:v>
      </x:c>
      <x:c r="I467" t="str">
        <x:v>À qualifier par lieu</x:v>
      </x:c>
      <x:c r="J467" t="str">
        <x:v>https://github.com/darknigthmare/deadwall-last-enclosure/blob/1b3b9c5ba232734b1bda3453b4e20a0481bcdd74/codex-3000/originaux/DEADWALL_CODEX_1.22/fiches/DW-0462.md</x:v>
      </x:c>
      <x:c r="K467" t="str">
        <x:v>Source min 250,200 m ; max 1200,900 m ; modèle 250 × 200 m ; niveaux 0. Détails dans catalogue-existant.json.</x:v>
      </x:c>
    </x:row>
    <x:row r="468">
      <x:c r="A468" t="str">
        <x:v>DW-0463</x:v>
      </x:c>
      <x:c r="B468" t="str">
        <x:v>DW-0463</x:v>
      </x:c>
      <x:c r="C468" t="str">
        <x:v>Parent historique</x:v>
      </x:c>
      <x:c r="D468" t="str">
        <x:v>Quartiers et agglomérations</x:v>
      </x:c>
      <x:c r="E468" t="str">
        <x:v>Village agricole dispersé</x:v>
      </x:c>
      <x:c r="F468" t="n">
        <x:v>10</x:v>
      </x:c>
      <x:c r="G468" t="n">
        <x:v>4</x:v>
      </x:c>
      <x:c r="H468" t="n">
        <x:v>12</x:v>
      </x:c>
      <x:c r="I468" t="str">
        <x:v>À qualifier par lieu</x:v>
      </x:c>
      <x:c r="J468" t="str">
        <x:v>https://github.com/darknigthmare/deadwall-last-enclosure/blob/1b3b9c5ba232734b1bda3453b4e20a0481bcdd74/codex-3000/originaux/DEADWALL_CODEX_1.22/fiches/DW-0463.md</x:v>
      </x:c>
      <x:c r="K468" t="str">
        <x:v>Source min 250,200 m ; max 1200,900 m ; modèle 250 × 200 m ; niveaux 0. Détails dans catalogue-existant.json.</x:v>
      </x:c>
    </x:row>
    <x:row r="469">
      <x:c r="A469" t="str">
        <x:v>DW-0464</x:v>
      </x:c>
      <x:c r="B469" t="str">
        <x:v>DW-0464</x:v>
      </x:c>
      <x:c r="C469" t="str">
        <x:v>Parent historique</x:v>
      </x:c>
      <x:c r="D469" t="str">
        <x:v>Quartiers et agglomérations</x:v>
      </x:c>
      <x:c r="E469" t="str">
        <x:v>Village perché</x:v>
      </x:c>
      <x:c r="F469" t="n">
        <x:v>10</x:v>
      </x:c>
      <x:c r="G469" t="n">
        <x:v>4</x:v>
      </x:c>
      <x:c r="H469" t="n">
        <x:v>10</x:v>
      </x:c>
      <x:c r="I469" t="str">
        <x:v>À qualifier par lieu</x:v>
      </x:c>
      <x:c r="J469" t="str">
        <x:v>https://github.com/darknigthmare/deadwall-last-enclosure/blob/1b3b9c5ba232734b1bda3453b4e20a0481bcdd74/codex-3000/originaux/DEADWALL_CODEX_1.22/fiches/DW-0464.md</x:v>
      </x:c>
      <x:c r="K469" t="str">
        <x:v>Source min 250,200 m ; max 1200,900 m ; modèle 250 × 200 m ; niveaux 0. Détails dans catalogue-existant.json.</x:v>
      </x:c>
    </x:row>
    <x:row r="470">
      <x:c r="A470" t="str">
        <x:v>DW-0465</x:v>
      </x:c>
      <x:c r="B470" t="str">
        <x:v>DW-0465</x:v>
      </x:c>
      <x:c r="C470" t="str">
        <x:v>Parent historique</x:v>
      </x:c>
      <x:c r="D470" t="str">
        <x:v>Quartiers et agglomérations</x:v>
      </x:c>
      <x:c r="E470" t="str">
        <x:v>Village forestier</x:v>
      </x:c>
      <x:c r="F470" t="n">
        <x:v>10</x:v>
      </x:c>
      <x:c r="G470" t="n">
        <x:v>4</x:v>
      </x:c>
      <x:c r="H470" t="n">
        <x:v>12</x:v>
      </x:c>
      <x:c r="I470" t="str">
        <x:v>À qualifier par lieu</x:v>
      </x:c>
      <x:c r="J470" t="str">
        <x:v>https://github.com/darknigthmare/deadwall-last-enclosure/blob/1b3b9c5ba232734b1bda3453b4e20a0481bcdd74/codex-3000/originaux/DEADWALL_CODEX_1.22/fiches/DW-0465.md</x:v>
      </x:c>
      <x:c r="K470" t="str">
        <x:v>Source min 250,200 m ; max 1200,900 m ; modèle 250 × 200 m ; niveaux 0. Détails dans catalogue-existant.json.</x:v>
      </x:c>
    </x:row>
    <x:row r="471">
      <x:c r="A471" t="str">
        <x:v>DW-0466</x:v>
      </x:c>
      <x:c r="B471" t="str">
        <x:v>DW-0466</x:v>
      </x:c>
      <x:c r="C471" t="str">
        <x:v>Parent historique</x:v>
      </x:c>
      <x:c r="D471" t="str">
        <x:v>Quartiers et agglomérations</x:v>
      </x:c>
      <x:c r="E471" t="str">
        <x:v>Village minier reconverti</x:v>
      </x:c>
      <x:c r="F471" t="n">
        <x:v>10</x:v>
      </x:c>
      <x:c r="G471" t="n">
        <x:v>4</x:v>
      </x:c>
      <x:c r="H471" t="n">
        <x:v>12</x:v>
      </x:c>
      <x:c r="I471" t="str">
        <x:v>À qualifier par lieu</x:v>
      </x:c>
      <x:c r="J471" t="str">
        <x:v>https://github.com/darknigthmare/deadwall-last-enclosure/blob/1b3b9c5ba232734b1bda3453b4e20a0481bcdd74/codex-3000/originaux/DEADWALL_CODEX_1.22/fiches/DW-0466.md</x:v>
      </x:c>
      <x:c r="K471" t="str">
        <x:v>Source min 250,200 m ; max 1200,900 m ; modèle 250 × 200 m ; niveaux 0. Détails dans catalogue-existant.json.</x:v>
      </x:c>
    </x:row>
    <x:row r="472">
      <x:c r="A472" t="str">
        <x:v>DW-0467</x:v>
      </x:c>
      <x:c r="B472" t="str">
        <x:v>DW-0467</x:v>
      </x:c>
      <x:c r="C472" t="str">
        <x:v>Parent historique</x:v>
      </x:c>
      <x:c r="D472" t="str">
        <x:v>Quartiers et agglomérations</x:v>
      </x:c>
      <x:c r="E472" t="str">
        <x:v>Village côtier</x:v>
      </x:c>
      <x:c r="F472" t="n">
        <x:v>10</x:v>
      </x:c>
      <x:c r="G472" t="n">
        <x:v>4</x:v>
      </x:c>
      <x:c r="H472" t="n">
        <x:v>12</x:v>
      </x:c>
      <x:c r="I472" t="str">
        <x:v>À qualifier par lieu</x:v>
      </x:c>
      <x:c r="J472" t="str">
        <x:v>https://github.com/darknigthmare/deadwall-last-enclosure/blob/1b3b9c5ba232734b1bda3453b4e20a0481bcdd74/codex-3000/originaux/DEADWALL_CODEX_1.22/fiches/DW-0467.md</x:v>
      </x:c>
      <x:c r="K472" t="str">
        <x:v>Source min 250,200 m ; max 1200,900 m ; modèle 250 × 200 m ; niveaux 0. Détails dans catalogue-existant.json.</x:v>
      </x:c>
    </x:row>
    <x:row r="473">
      <x:c r="A473" t="str">
        <x:v>DW-0468</x:v>
      </x:c>
      <x:c r="B473" t="str">
        <x:v>DW-0468</x:v>
      </x:c>
      <x:c r="C473" t="str">
        <x:v>Parent historique</x:v>
      </x:c>
      <x:c r="D473" t="str">
        <x:v>Quartiers et agglomérations</x:v>
      </x:c>
      <x:c r="E473" t="str">
        <x:v>Bourg ferroviaire</x:v>
      </x:c>
      <x:c r="F473" t="n">
        <x:v>10</x:v>
      </x:c>
      <x:c r="G473" t="n">
        <x:v>4</x:v>
      </x:c>
      <x:c r="H473" t="n">
        <x:v>12</x:v>
      </x:c>
      <x:c r="I473" t="str">
        <x:v>À qualifier par lieu</x:v>
      </x:c>
      <x:c r="J473" t="str">
        <x:v>https://github.com/darknigthmare/deadwall-last-enclosure/blob/1b3b9c5ba232734b1bda3453b4e20a0481bcdd74/codex-3000/originaux/DEADWALL_CODEX_1.22/fiches/DW-0468.md</x:v>
      </x:c>
      <x:c r="K473" t="str">
        <x:v>Source min 250,200 m ; max 1200,900 m ; modèle 250 × 200 m ; niveaux 0. Détails dans catalogue-existant.json.</x:v>
      </x:c>
    </x:row>
    <x:row r="474">
      <x:c r="A474" t="str">
        <x:v>DW-0469</x:v>
      </x:c>
      <x:c r="B474" t="str">
        <x:v>DW-0469</x:v>
      </x:c>
      <x:c r="C474" t="str">
        <x:v>Parent historique</x:v>
      </x:c>
      <x:c r="D474" t="str">
        <x:v>Quartiers et agglomérations</x:v>
      </x:c>
      <x:c r="E474" t="str">
        <x:v>Bourg de carrefour</x:v>
      </x:c>
      <x:c r="F474" t="n">
        <x:v>10</x:v>
      </x:c>
      <x:c r="G474" t="n">
        <x:v>4</x:v>
      </x:c>
      <x:c r="H474" t="n">
        <x:v>12</x:v>
      </x:c>
      <x:c r="I474" t="str">
        <x:v>À qualifier par lieu</x:v>
      </x:c>
      <x:c r="J474" t="str">
        <x:v>https://github.com/darknigthmare/deadwall-last-enclosure/blob/1b3b9c5ba232734b1bda3453b4e20a0481bcdd74/codex-3000/originaux/DEADWALL_CODEX_1.22/fiches/DW-0469.md</x:v>
      </x:c>
      <x:c r="K474" t="str">
        <x:v>Source min 250,200 m ; max 1200,900 m ; modèle 250 × 200 m ; niveaux 0. Détails dans catalogue-existant.json.</x:v>
      </x:c>
    </x:row>
    <x:row r="475">
      <x:c r="A475" t="str">
        <x:v>DW-0470</x:v>
      </x:c>
      <x:c r="B475" t="str">
        <x:v>DW-0470</x:v>
      </x:c>
      <x:c r="C475" t="str">
        <x:v>Parent historique</x:v>
      </x:c>
      <x:c r="D475" t="str">
        <x:v>Quartiers et agglomérations</x:v>
      </x:c>
      <x:c r="E475" t="str">
        <x:v>Hameau de montagne</x:v>
      </x:c>
      <x:c r="F475" t="n">
        <x:v>10</x:v>
      </x:c>
      <x:c r="G475" t="n">
        <x:v>4</x:v>
      </x:c>
      <x:c r="H475" t="n">
        <x:v>12</x:v>
      </x:c>
      <x:c r="I475" t="str">
        <x:v>À qualifier par lieu</x:v>
      </x:c>
      <x:c r="J475" t="str">
        <x:v>https://github.com/darknigthmare/deadwall-last-enclosure/blob/1b3b9c5ba232734b1bda3453b4e20a0481bcdd74/codex-3000/originaux/DEADWALL_CODEX_1.22/fiches/DW-0470.md</x:v>
      </x:c>
      <x:c r="K475" t="str">
        <x:v>Source min 250,200 m ; max 1200,900 m ; modèle 250 × 200 m ; niveaux 0. Détails dans catalogue-existant.json.</x:v>
      </x:c>
    </x:row>
    <x:row r="476">
      <x:c r="A476" t="str">
        <x:v>DW-0471</x:v>
      </x:c>
      <x:c r="B476" t="str">
        <x:v>DW-0471</x:v>
      </x:c>
      <x:c r="C476" t="str">
        <x:v>Parent historique</x:v>
      </x:c>
      <x:c r="D476" t="str">
        <x:v>Quartiers et agglomérations</x:v>
      </x:c>
      <x:c r="E476" t="str">
        <x:v>Lotissement périurbain</x:v>
      </x:c>
      <x:c r="F476" t="n">
        <x:v>10</x:v>
      </x:c>
      <x:c r="G476" t="n">
        <x:v>4</x:v>
      </x:c>
      <x:c r="H476" t="n">
        <x:v>12</x:v>
      </x:c>
      <x:c r="I476" t="str">
        <x:v>À qualifier par lieu</x:v>
      </x:c>
      <x:c r="J476" t="str">
        <x:v>https://github.com/darknigthmare/deadwall-last-enclosure/blob/1b3b9c5ba232734b1bda3453b4e20a0481bcdd74/codex-3000/originaux/DEADWALL_CODEX_1.22/fiches/DW-0471.md</x:v>
      </x:c>
      <x:c r="K476" t="str">
        <x:v>Source min 250,200 m ; max 1200,900 m ; modèle 250 × 200 m ; niveaux 0. Détails dans catalogue-existant.json.</x:v>
      </x:c>
    </x:row>
    <x:row r="477">
      <x:c r="A477" t="str">
        <x:v>DW-0472</x:v>
      </x:c>
      <x:c r="B477" t="str">
        <x:v>DW-0472</x:v>
      </x:c>
      <x:c r="C477" t="str">
        <x:v>Parent historique</x:v>
      </x:c>
      <x:c r="D477" t="str">
        <x:v>Quartiers et agglomérations</x:v>
      </x:c>
      <x:c r="E477" t="str">
        <x:v>Quartier pavillonnaire ancien</x:v>
      </x:c>
      <x:c r="F477" t="n">
        <x:v>10</x:v>
      </x:c>
      <x:c r="G477" t="n">
        <x:v>4</x:v>
      </x:c>
      <x:c r="H477" t="n">
        <x:v>12</x:v>
      </x:c>
      <x:c r="I477" t="str">
        <x:v>À qualifier par lieu</x:v>
      </x:c>
      <x:c r="J477" t="str">
        <x:v>https://github.com/darknigthmare/deadwall-last-enclosure/blob/1b3b9c5ba232734b1bda3453b4e20a0481bcdd74/codex-3000/originaux/DEADWALL_CODEX_1.22/fiches/DW-0472.md</x:v>
      </x:c>
      <x:c r="K477" t="str">
        <x:v>Source min 250,200 m ; max 1200,900 m ; modèle 250 × 200 m ; niveaux 0. Détails dans catalogue-existant.json.</x:v>
      </x:c>
    </x:row>
    <x:row r="478">
      <x:c r="A478" t="str">
        <x:v>DW-0473</x:v>
      </x:c>
      <x:c r="B478" t="str">
        <x:v>DW-0473</x:v>
      </x:c>
      <x:c r="C478" t="str">
        <x:v>Parent historique</x:v>
      </x:c>
      <x:c r="D478" t="str">
        <x:v>Quartiers et agglomérations</x:v>
      </x:c>
      <x:c r="E478" t="str">
        <x:v>Centre-ville dense</x:v>
      </x:c>
      <x:c r="F478" t="n">
        <x:v>10</x:v>
      </x:c>
      <x:c r="G478" t="n">
        <x:v>5</x:v>
      </x:c>
      <x:c r="H478" t="n">
        <x:v>15</x:v>
      </x:c>
      <x:c r="I478" t="str">
        <x:v>À qualifier par lieu</x:v>
      </x:c>
      <x:c r="J478" t="str">
        <x:v>https://github.com/darknigthmare/deadwall-last-enclosure/blob/1b3b9c5ba232734b1bda3453b4e20a0481bcdd74/codex-3000/originaux/DEADWALL_CODEX_1.22/fiches/DW-0473.md</x:v>
      </x:c>
      <x:c r="K478" t="str">
        <x:v>Source min 250,200 m ; max 1200,900 m ; modèle 250 × 200 m ; niveaux 0. Détails dans catalogue-existant.json.</x:v>
      </x:c>
    </x:row>
    <x:row r="479">
      <x:c r="A479" t="str">
        <x:v>DW-0474</x:v>
      </x:c>
      <x:c r="B479" t="str">
        <x:v>DW-0474</x:v>
      </x:c>
      <x:c r="C479" t="str">
        <x:v>Parent historique</x:v>
      </x:c>
      <x:c r="D479" t="str">
        <x:v>Quartiers et agglomérations</x:v>
      </x:c>
      <x:c r="E479" t="str">
        <x:v>Faubourg industriel</x:v>
      </x:c>
      <x:c r="F479" t="n">
        <x:v>10</x:v>
      </x:c>
      <x:c r="G479" t="n">
        <x:v>4</x:v>
      </x:c>
      <x:c r="H479" t="n">
        <x:v>12</x:v>
      </x:c>
      <x:c r="I479" t="str">
        <x:v>À qualifier par lieu</x:v>
      </x:c>
      <x:c r="J479" t="str">
        <x:v>https://github.com/darknigthmare/deadwall-last-enclosure/blob/1b3b9c5ba232734b1bda3453b4e20a0481bcdd74/codex-3000/originaux/DEADWALL_CODEX_1.22/fiches/DW-0474.md</x:v>
      </x:c>
      <x:c r="K479" t="str">
        <x:v>Source min 250,200 m ; max 1200,900 m ; modèle 250 × 200 m ; niveaux 0. Détails dans catalogue-existant.json.</x:v>
      </x:c>
    </x:row>
    <x:row r="480">
      <x:c r="A480" t="str">
        <x:v>DW-0475</x:v>
      </x:c>
      <x:c r="B480" t="str">
        <x:v>DW-0475</x:v>
      </x:c>
      <x:c r="C480" t="str">
        <x:v>Parent historique</x:v>
      </x:c>
      <x:c r="D480" t="str">
        <x:v>Quartiers et agglomérations</x:v>
      </x:c>
      <x:c r="E480" t="str">
        <x:v>Quartier portuaire habité</x:v>
      </x:c>
      <x:c r="F480" t="n">
        <x:v>10</x:v>
      </x:c>
      <x:c r="G480" t="n">
        <x:v>4</x:v>
      </x:c>
      <x:c r="H480" t="n">
        <x:v>12</x:v>
      </x:c>
      <x:c r="I480" t="str">
        <x:v>À qualifier par lieu</x:v>
      </x:c>
      <x:c r="J480" t="str">
        <x:v>https://github.com/darknigthmare/deadwall-last-enclosure/blob/1b3b9c5ba232734b1bda3453b4e20a0481bcdd74/codex-3000/originaux/DEADWALL_CODEX_1.22/fiches/DW-0475.md</x:v>
      </x:c>
      <x:c r="K480" t="str">
        <x:v>Source min 250,200 m ; max 1200,900 m ; modèle 250 × 200 m ; niveaux 0. Détails dans catalogue-existant.json.</x:v>
      </x:c>
    </x:row>
    <x:row r="481">
      <x:c r="A481" t="str">
        <x:v>DW-0476</x:v>
      </x:c>
      <x:c r="B481" t="str">
        <x:v>DW-0476</x:v>
      </x:c>
      <x:c r="C481" t="str">
        <x:v>Parent historique</x:v>
      </x:c>
      <x:c r="D481" t="str">
        <x:v>Quartiers et agglomérations</x:v>
      </x:c>
      <x:c r="E481" t="str">
        <x:v>Quartier hospitalier</x:v>
      </x:c>
      <x:c r="F481" t="n">
        <x:v>10</x:v>
      </x:c>
      <x:c r="G481" t="n">
        <x:v>4</x:v>
      </x:c>
      <x:c r="H481" t="n">
        <x:v>12</x:v>
      </x:c>
      <x:c r="I481" t="str">
        <x:v>À qualifier par lieu</x:v>
      </x:c>
      <x:c r="J481" t="str">
        <x:v>https://github.com/darknigthmare/deadwall-last-enclosure/blob/1b3b9c5ba232734b1bda3453b4e20a0481bcdd74/codex-3000/originaux/DEADWALL_CODEX_1.22/fiches/DW-0476.md</x:v>
      </x:c>
      <x:c r="K481" t="str">
        <x:v>Source min 250,200 m ; max 1200,900 m ; modèle 250 × 200 m ; niveaux 0. Détails dans catalogue-existant.json.</x:v>
      </x:c>
    </x:row>
    <x:row r="482">
      <x:c r="A482" t="str">
        <x:v>DW-0477</x:v>
      </x:c>
      <x:c r="B482" t="str">
        <x:v>DW-0477</x:v>
      </x:c>
      <x:c r="C482" t="str">
        <x:v>Parent historique</x:v>
      </x:c>
      <x:c r="D482" t="str">
        <x:v>Quartiers et agglomérations</x:v>
      </x:c>
      <x:c r="E482" t="str">
        <x:v>Quartier universitaire</x:v>
      </x:c>
      <x:c r="F482" t="n">
        <x:v>10</x:v>
      </x:c>
      <x:c r="G482" t="n">
        <x:v>4</x:v>
      </x:c>
      <x:c r="H482" t="n">
        <x:v>12</x:v>
      </x:c>
      <x:c r="I482" t="str">
        <x:v>À qualifier par lieu</x:v>
      </x:c>
      <x:c r="J482" t="str">
        <x:v>https://github.com/darknigthmare/deadwall-last-enclosure/blob/1b3b9c5ba232734b1bda3453b4e20a0481bcdd74/codex-3000/originaux/DEADWALL_CODEX_1.22/fiches/DW-0477.md</x:v>
      </x:c>
      <x:c r="K482" t="str">
        <x:v>Source min 250,200 m ; max 1200,900 m ; modèle 250 × 200 m ; niveaux 0. Détails dans catalogue-existant.json.</x:v>
      </x:c>
    </x:row>
    <x:row r="483">
      <x:c r="A483" t="str">
        <x:v>DW-0478</x:v>
      </x:c>
      <x:c r="B483" t="str">
        <x:v>DW-0478</x:v>
      </x:c>
      <x:c r="C483" t="str">
        <x:v>Parent historique</x:v>
      </x:c>
      <x:c r="D483" t="str">
        <x:v>Quartiers et agglomérations</x:v>
      </x:c>
      <x:c r="E483" t="str">
        <x:v>Cité-jardin</x:v>
      </x:c>
      <x:c r="F483" t="n">
        <x:v>10</x:v>
      </x:c>
      <x:c r="G483" t="n">
        <x:v>4</x:v>
      </x:c>
      <x:c r="H483" t="n">
        <x:v>12</x:v>
      </x:c>
      <x:c r="I483" t="str">
        <x:v>À qualifier par lieu</x:v>
      </x:c>
      <x:c r="J483" t="str">
        <x:v>https://github.com/darknigthmare/deadwall-last-enclosure/blob/1b3b9c5ba232734b1bda3453b4e20a0481bcdd74/codex-3000/originaux/DEADWALL_CODEX_1.22/fiches/DW-0478.md</x:v>
      </x:c>
      <x:c r="K483" t="str">
        <x:v>Source min 250,200 m ; max 1200,900 m ; modèle 250 × 200 m ; niveaux 0. Détails dans catalogue-existant.json.</x:v>
      </x:c>
    </x:row>
    <x:row r="484">
      <x:c r="A484" t="str">
        <x:v>DW-0479</x:v>
      </x:c>
      <x:c r="B484" t="str">
        <x:v>DW-0479</x:v>
      </x:c>
      <x:c r="C484" t="str">
        <x:v>Parent historique</x:v>
      </x:c>
      <x:c r="D484" t="str">
        <x:v>Quartiers et agglomérations</x:v>
      </x:c>
      <x:c r="E484" t="str">
        <x:v>Ville nouvelle en chantier</x:v>
      </x:c>
      <x:c r="F484" t="n">
        <x:v>10</x:v>
      </x:c>
      <x:c r="G484" t="n">
        <x:v>4</x:v>
      </x:c>
      <x:c r="H484" t="n">
        <x:v>12</x:v>
      </x:c>
      <x:c r="I484" t="str">
        <x:v>À qualifier par lieu</x:v>
      </x:c>
      <x:c r="J484" t="str">
        <x:v>https://github.com/darknigthmare/deadwall-last-enclosure/blob/1b3b9c5ba232734b1bda3453b4e20a0481bcdd74/codex-3000/originaux/DEADWALL_CODEX_1.22/fiches/DW-0479.md</x:v>
      </x:c>
      <x:c r="K484" t="str">
        <x:v>Source min 250,200 m ; max 1200,900 m ; modèle 250 × 200 m ; niveaux 0. Détails dans catalogue-existant.json.</x:v>
      </x:c>
    </x:row>
    <x:row r="485">
      <x:c r="A485" t="str">
        <x:v>DW-0480</x:v>
      </x:c>
      <x:c r="B485" t="str">
        <x:v>DW-0480</x:v>
      </x:c>
      <x:c r="C485" t="str">
        <x:v>Parent historique</x:v>
      </x:c>
      <x:c r="D485" t="str">
        <x:v>Quartiers et agglomérations</x:v>
      </x:c>
      <x:c r="E485" t="str">
        <x:v>Petite ville évacuée</x:v>
      </x:c>
      <x:c r="F485" t="n">
        <x:v>10</x:v>
      </x:c>
      <x:c r="G485" t="n">
        <x:v>4</x:v>
      </x:c>
      <x:c r="H485" t="n">
        <x:v>12</x:v>
      </x:c>
      <x:c r="I485" t="str">
        <x:v>À qualifier par lieu</x:v>
      </x:c>
      <x:c r="J485" t="str">
        <x:v>https://github.com/darknigthmare/deadwall-last-enclosure/blob/1b3b9c5ba232734b1bda3453b4e20a0481bcdd74/codex-3000/originaux/DEADWALL_CODEX_1.22/fiches/DW-0480.md</x:v>
      </x:c>
      <x:c r="K485" t="str">
        <x:v>Source min 250,200 m ; max 1200,900 m ; modèle 250 × 200 m ; niveaux 0. Détails dans catalogue-existant.json.</x:v>
      </x:c>
    </x:row>
    <x:row r="486">
      <x:c r="A486" t="str">
        <x:v>DW-0481</x:v>
      </x:c>
      <x:c r="B486" t="str">
        <x:v>DW-0481</x:v>
      </x:c>
      <x:c r="C486" t="str">
        <x:v>Parent historique</x:v>
      </x:c>
      <x:c r="D486" t="str">
        <x:v>Ruines et lieux dégradés visitables</x:v>
      </x:c>
      <x:c r="E486" t="str">
        <x:v>Maison effondrée visitable</x:v>
      </x:c>
      <x:c r="F486" t="n">
        <x:v>8</x:v>
      </x:c>
      <x:c r="G486" t="n">
        <x:v>4</x:v>
      </x:c>
      <x:c r="H486" t="n">
        <x:v>12</x:v>
      </x:c>
      <x:c r="I486" t="str">
        <x:v>À qualifier par lieu</x:v>
      </x:c>
      <x:c r="J486" t="str">
        <x:v>https://github.com/darknigthmare/deadwall-last-enclosure/blob/1b3b9c5ba232734b1bda3453b4e20a0481bcdd74/codex-3000/originaux/DEADWALL_CODEX_1.22/fiches/DW-0481.md</x:v>
      </x:c>
      <x:c r="K486" t="str">
        <x:v>Source min 20,16 m ; max 180,120 m ; modèle 25 × 18 m ; niveaux 0. Détails dans catalogue-existant.json.</x:v>
      </x:c>
    </x:row>
    <x:row r="487">
      <x:c r="A487" t="str">
        <x:v>DW-0482</x:v>
      </x:c>
      <x:c r="B487" t="str">
        <x:v>DW-0482</x:v>
      </x:c>
      <x:c r="C487" t="str">
        <x:v>Parent historique</x:v>
      </x:c>
      <x:c r="D487" t="str">
        <x:v>Ruines et lieux dégradés visitables</x:v>
      </x:c>
      <x:c r="E487" t="str">
        <x:v>Maison incendiée</x:v>
      </x:c>
      <x:c r="F487" t="n">
        <x:v>8</x:v>
      </x:c>
      <x:c r="G487" t="n">
        <x:v>4</x:v>
      </x:c>
      <x:c r="H487" t="n">
        <x:v>12</x:v>
      </x:c>
      <x:c r="I487" t="str">
        <x:v>À qualifier par lieu</x:v>
      </x:c>
      <x:c r="J487" t="str">
        <x:v>https://github.com/darknigthmare/deadwall-last-enclosure/blob/1b3b9c5ba232734b1bda3453b4e20a0481bcdd74/codex-3000/originaux/DEADWALL_CODEX_1.22/fiches/DW-0482.md</x:v>
      </x:c>
      <x:c r="K487" t="str">
        <x:v>Source min 20,16 m ; max 180,120 m ; modèle 25 × 18 m ; niveaux 0. Détails dans catalogue-existant.json.</x:v>
      </x:c>
    </x:row>
    <x:row r="488">
      <x:c r="A488" t="str">
        <x:v>DW-0483</x:v>
      </x:c>
      <x:c r="B488" t="str">
        <x:v>DW-0483</x:v>
      </x:c>
      <x:c r="C488" t="str">
        <x:v>Parent historique</x:v>
      </x:c>
      <x:c r="D488" t="str">
        <x:v>Ruines et lieux dégradés visitables</x:v>
      </x:c>
      <x:c r="E488" t="str">
        <x:v>Immeuble partiellement effondré</x:v>
      </x:c>
      <x:c r="F488" t="n">
        <x:v>8</x:v>
      </x:c>
      <x:c r="G488" t="n">
        <x:v>4</x:v>
      </x:c>
      <x:c r="H488" t="n">
        <x:v>12</x:v>
      </x:c>
      <x:c r="I488" t="str">
        <x:v>À qualifier par lieu</x:v>
      </x:c>
      <x:c r="J488" t="str">
        <x:v>https://github.com/darknigthmare/deadwall-last-enclosure/blob/1b3b9c5ba232734b1bda3453b4e20a0481bcdd74/codex-3000/originaux/DEADWALL_CODEX_1.22/fiches/DW-0483.md</x:v>
      </x:c>
      <x:c r="K488" t="str">
        <x:v>Source min 20,16 m ; max 180,120 m ; modèle 25 × 18 m ; niveaux 0, 1. Détails dans catalogue-existant.json.</x:v>
      </x:c>
    </x:row>
    <x:row r="489">
      <x:c r="A489" t="str">
        <x:v>DW-0484</x:v>
      </x:c>
      <x:c r="B489" t="str">
        <x:v>DW-0484</x:v>
      </x:c>
      <x:c r="C489" t="str">
        <x:v>Parent historique</x:v>
      </x:c>
      <x:c r="D489" t="str">
        <x:v>Ruines et lieux dégradés visitables</x:v>
      </x:c>
      <x:c r="E489" t="str">
        <x:v>Hôtel abandonné visitable</x:v>
      </x:c>
      <x:c r="F489" t="n">
        <x:v>8</x:v>
      </x:c>
      <x:c r="G489" t="n">
        <x:v>5</x:v>
      </x:c>
      <x:c r="H489" t="n">
        <x:v>13</x:v>
      </x:c>
      <x:c r="I489" t="str">
        <x:v>À qualifier par lieu</x:v>
      </x:c>
      <x:c r="J489" t="str">
        <x:v>https://github.com/darknigthmare/deadwall-last-enclosure/blob/1b3b9c5ba232734b1bda3453b4e20a0481bcdd74/codex-3000/originaux/DEADWALL_CODEX_1.22/fiches/DW-0484.md</x:v>
      </x:c>
      <x:c r="K489" t="str">
        <x:v>Source min 20,16 m ; max 180,120 m ; modèle 26 × 22 m ; niveaux 0, 1, 2. Détails dans catalogue-existant.json.</x:v>
      </x:c>
    </x:row>
    <x:row r="490">
      <x:c r="A490" t="str">
        <x:v>DW-0485</x:v>
      </x:c>
      <x:c r="B490" t="str">
        <x:v>DW-0485</x:v>
      </x:c>
      <x:c r="C490" t="str">
        <x:v>Parent historique</x:v>
      </x:c>
      <x:c r="D490" t="str">
        <x:v>Ruines et lieux dégradés visitables</x:v>
      </x:c>
      <x:c r="E490" t="str">
        <x:v>Centre commercial pillé</x:v>
      </x:c>
      <x:c r="F490" t="n">
        <x:v>8</x:v>
      </x:c>
      <x:c r="G490" t="n">
        <x:v>5</x:v>
      </x:c>
      <x:c r="H490" t="n">
        <x:v>13</x:v>
      </x:c>
      <x:c r="I490" t="str">
        <x:v>À qualifier par lieu</x:v>
      </x:c>
      <x:c r="J490" t="str">
        <x:v>https://github.com/darknigthmare/deadwall-last-enclosure/blob/1b3b9c5ba232734b1bda3453b4e20a0481bcdd74/codex-3000/originaux/DEADWALL_CODEX_1.22/fiches/DW-0485.md</x:v>
      </x:c>
      <x:c r="K490" t="str">
        <x:v>Source min 20,16 m ; max 180,120 m ; modèle 26 × 22 m ; niveaux 0. Détails dans catalogue-existant.json.</x:v>
      </x:c>
    </x:row>
    <x:row r="491">
      <x:c r="A491" t="str">
        <x:v>DW-0486</x:v>
      </x:c>
      <x:c r="B491" t="str">
        <x:v>DW-0486</x:v>
      </x:c>
      <x:c r="C491" t="str">
        <x:v>Parent historique</x:v>
      </x:c>
      <x:c r="D491" t="str">
        <x:v>Ruines et lieux dégradés visitables</x:v>
      </x:c>
      <x:c r="E491" t="str">
        <x:v>Supermarché sinistré</x:v>
      </x:c>
      <x:c r="F491" t="n">
        <x:v>8</x:v>
      </x:c>
      <x:c r="G491" t="n">
        <x:v>4</x:v>
      </x:c>
      <x:c r="H491" t="n">
        <x:v>12</x:v>
      </x:c>
      <x:c r="I491" t="str">
        <x:v>À qualifier par lieu</x:v>
      </x:c>
      <x:c r="J491" t="str">
        <x:v>https://github.com/darknigthmare/deadwall-last-enclosure/blob/1b3b9c5ba232734b1bda3453b4e20a0481bcdd74/codex-3000/originaux/DEADWALL_CODEX_1.22/fiches/DW-0486.md</x:v>
      </x:c>
      <x:c r="K491" t="str">
        <x:v>Source min 20,16 m ; max 180,120 m ; modèle 25 × 18 m ; niveaux 0. Détails dans catalogue-existant.json.</x:v>
      </x:c>
    </x:row>
    <x:row r="492">
      <x:c r="A492" t="str">
        <x:v>DW-0487</x:v>
      </x:c>
      <x:c r="B492" t="str">
        <x:v>DW-0487</x:v>
      </x:c>
      <x:c r="C492" t="str">
        <x:v>Parent historique</x:v>
      </x:c>
      <x:c r="D492" t="str">
        <x:v>Ruines et lieux dégradés visitables</x:v>
      </x:c>
      <x:c r="E492" t="str">
        <x:v>Garage éventré</x:v>
      </x:c>
      <x:c r="F492" t="n">
        <x:v>8</x:v>
      </x:c>
      <x:c r="G492" t="n">
        <x:v>4</x:v>
      </x:c>
      <x:c r="H492" t="n">
        <x:v>12</x:v>
      </x:c>
      <x:c r="I492" t="str">
        <x:v>À qualifier par lieu</x:v>
      </x:c>
      <x:c r="J492" t="str">
        <x:v>https://github.com/darknigthmare/deadwall-last-enclosure/blob/1b3b9c5ba232734b1bda3453b4e20a0481bcdd74/codex-3000/originaux/DEADWALL_CODEX_1.22/fiches/DW-0487.md</x:v>
      </x:c>
      <x:c r="K492" t="str">
        <x:v>Source min 20,16 m ; max 180,120 m ; modèle 25 × 18 m ; niveaux 0. Détails dans catalogue-existant.json.</x:v>
      </x:c>
    </x:row>
    <x:row r="493">
      <x:c r="A493" t="str">
        <x:v>DW-0488</x:v>
      </x:c>
      <x:c r="B493" t="str">
        <x:v>DW-0488</x:v>
      </x:c>
      <x:c r="C493" t="str">
        <x:v>Parent historique</x:v>
      </x:c>
      <x:c r="D493" t="str">
        <x:v>Ruines et lieux dégradés visitables</x:v>
      </x:c>
      <x:c r="E493" t="str">
        <x:v>Entrepôt à toit percé</x:v>
      </x:c>
      <x:c r="F493" t="n">
        <x:v>8</x:v>
      </x:c>
      <x:c r="G493" t="n">
        <x:v>4</x:v>
      </x:c>
      <x:c r="H493" t="n">
        <x:v>10</x:v>
      </x:c>
      <x:c r="I493" t="str">
        <x:v>À qualifier par lieu</x:v>
      </x:c>
      <x:c r="J493" t="str">
        <x:v>https://github.com/darknigthmare/deadwall-last-enclosure/blob/1b3b9c5ba232734b1bda3453b4e20a0481bcdd74/codex-3000/originaux/DEADWALL_CODEX_1.22/fiches/DW-0488.md</x:v>
      </x:c>
      <x:c r="K493" t="str">
        <x:v>Source min 20,16 m ; max 180,120 m ; modèle 25 × 18 m ; niveaux 0. Détails dans catalogue-existant.json.</x:v>
      </x:c>
    </x:row>
    <x:row r="494">
      <x:c r="A494" t="str">
        <x:v>DW-0489</x:v>
      </x:c>
      <x:c r="B494" t="str">
        <x:v>DW-0489</x:v>
      </x:c>
      <x:c r="C494" t="str">
        <x:v>Parent historique</x:v>
      </x:c>
      <x:c r="D494" t="str">
        <x:v>Ruines et lieux dégradés visitables</x:v>
      </x:c>
      <x:c r="E494" t="str">
        <x:v>Usine en friche</x:v>
      </x:c>
      <x:c r="F494" t="n">
        <x:v>8</x:v>
      </x:c>
      <x:c r="G494" t="n">
        <x:v>4</x:v>
      </x:c>
      <x:c r="H494" t="n">
        <x:v>12</x:v>
      </x:c>
      <x:c r="I494" t="str">
        <x:v>À qualifier par lieu</x:v>
      </x:c>
      <x:c r="J494" t="str">
        <x:v>https://github.com/darknigthmare/deadwall-last-enclosure/blob/1b3b9c5ba232734b1bda3453b4e20a0481bcdd74/codex-3000/originaux/DEADWALL_CODEX_1.22/fiches/DW-0489.md</x:v>
      </x:c>
      <x:c r="K494" t="str">
        <x:v>Source min 20,16 m ; max 180,120 m ; modèle 25 × 18 m ; niveaux 0. Détails dans catalogue-existant.json.</x:v>
      </x:c>
    </x:row>
    <x:row r="495">
      <x:c r="A495" t="str">
        <x:v>DW-0490</x:v>
      </x:c>
      <x:c r="B495" t="str">
        <x:v>DW-0490</x:v>
      </x:c>
      <x:c r="C495" t="str">
        <x:v>Parent historique</x:v>
      </x:c>
      <x:c r="D495" t="str">
        <x:v>Ruines et lieux dégradés visitables</x:v>
      </x:c>
      <x:c r="E495" t="str">
        <x:v>École endommagée</x:v>
      </x:c>
      <x:c r="F495" t="n">
        <x:v>8</x:v>
      </x:c>
      <x:c r="G495" t="n">
        <x:v>4</x:v>
      </x:c>
      <x:c r="H495" t="n">
        <x:v>12</x:v>
      </x:c>
      <x:c r="I495" t="str">
        <x:v>À qualifier par lieu</x:v>
      </x:c>
      <x:c r="J495" t="str">
        <x:v>https://github.com/darknigthmare/deadwall-last-enclosure/blob/1b3b9c5ba232734b1bda3453b4e20a0481bcdd74/codex-3000/originaux/DEADWALL_CODEX_1.22/fiches/DW-0490.md</x:v>
      </x:c>
      <x:c r="K495" t="str">
        <x:v>Source min 20,16 m ; max 180,120 m ; modèle 25 × 18 m ; niveaux 0. Détails dans catalogue-existant.json.</x:v>
      </x:c>
    </x:row>
    <x:row r="496">
      <x:c r="A496" t="str">
        <x:v>DW-0491</x:v>
      </x:c>
      <x:c r="B496" t="str">
        <x:v>DW-0491</x:v>
      </x:c>
      <x:c r="C496" t="str">
        <x:v>Parent historique</x:v>
      </x:c>
      <x:c r="D496" t="str">
        <x:v>Ruines et lieux dégradés visitables</x:v>
      </x:c>
      <x:c r="E496" t="str">
        <x:v>Hôpital évacué</x:v>
      </x:c>
      <x:c r="F496" t="n">
        <x:v>8</x:v>
      </x:c>
      <x:c r="G496" t="n">
        <x:v>4</x:v>
      </x:c>
      <x:c r="H496" t="n">
        <x:v>12</x:v>
      </x:c>
      <x:c r="I496" t="str">
        <x:v>À qualifier par lieu</x:v>
      </x:c>
      <x:c r="J496" t="str">
        <x:v>https://github.com/darknigthmare/deadwall-last-enclosure/blob/1b3b9c5ba232734b1bda3453b4e20a0481bcdd74/codex-3000/originaux/DEADWALL_CODEX_1.22/fiches/DW-0491.md</x:v>
      </x:c>
      <x:c r="K496" t="str">
        <x:v>Source min 20,16 m ; max 180,120 m ; modèle 25 × 18 m ; niveaux 0. Détails dans catalogue-existant.json.</x:v>
      </x:c>
    </x:row>
    <x:row r="497">
      <x:c r="A497" t="str">
        <x:v>DW-0492</x:v>
      </x:c>
      <x:c r="B497" t="str">
        <x:v>DW-0492</x:v>
      </x:c>
      <x:c r="C497" t="str">
        <x:v>Parent historique</x:v>
      </x:c>
      <x:c r="D497" t="str">
        <x:v>Ruines et lieux dégradés visitables</x:v>
      </x:c>
      <x:c r="E497" t="str">
        <x:v>Église en ruine</x:v>
      </x:c>
      <x:c r="F497" t="n">
        <x:v>8</x:v>
      </x:c>
      <x:c r="G497" t="n">
        <x:v>4</x:v>
      </x:c>
      <x:c r="H497" t="n">
        <x:v>12</x:v>
      </x:c>
      <x:c r="I497" t="str">
        <x:v>À qualifier par lieu</x:v>
      </x:c>
      <x:c r="J497" t="str">
        <x:v>https://github.com/darknigthmare/deadwall-last-enclosure/blob/1b3b9c5ba232734b1bda3453b4e20a0481bcdd74/codex-3000/originaux/DEADWALL_CODEX_1.22/fiches/DW-0492.md</x:v>
      </x:c>
      <x:c r="K497" t="str">
        <x:v>Source min 20,16 m ; max 180,120 m ; modèle 25 × 18 m ; niveaux 0. Détails dans catalogue-existant.json.</x:v>
      </x:c>
    </x:row>
    <x:row r="498">
      <x:c r="A498" t="str">
        <x:v>DW-0493</x:v>
      </x:c>
      <x:c r="B498" t="str">
        <x:v>DW-0493</x:v>
      </x:c>
      <x:c r="C498" t="str">
        <x:v>Parent historique</x:v>
      </x:c>
      <x:c r="D498" t="str">
        <x:v>Ruines et lieux dégradés visitables</x:v>
      </x:c>
      <x:c r="E498" t="str">
        <x:v>Fort envahi par la végétation</x:v>
      </x:c>
      <x:c r="F498" t="n">
        <x:v>8</x:v>
      </x:c>
      <x:c r="G498" t="n">
        <x:v>4</x:v>
      </x:c>
      <x:c r="H498" t="n">
        <x:v>10</x:v>
      </x:c>
      <x:c r="I498" t="str">
        <x:v>À qualifier par lieu</x:v>
      </x:c>
      <x:c r="J498" t="str">
        <x:v>https://github.com/darknigthmare/deadwall-last-enclosure/blob/1b3b9c5ba232734b1bda3453b4e20a0481bcdd74/codex-3000/originaux/DEADWALL_CODEX_1.22/fiches/DW-0493.md</x:v>
      </x:c>
      <x:c r="K498" t="str">
        <x:v>Source min 20,16 m ; max 180,120 m ; modèle 25 × 18 m ; niveaux 0. Détails dans catalogue-existant.json.</x:v>
      </x:c>
    </x:row>
    <x:row r="499">
      <x:c r="A499" t="str">
        <x:v>DW-0494</x:v>
      </x:c>
      <x:c r="B499" t="str">
        <x:v>DW-0494</x:v>
      </x:c>
      <x:c r="C499" t="str">
        <x:v>Parent historique</x:v>
      </x:c>
      <x:c r="D499" t="str">
        <x:v>Ruines et lieux dégradés visitables</x:v>
      </x:c>
      <x:c r="E499" t="str">
        <x:v>Station-service brûlée</x:v>
      </x:c>
      <x:c r="F499" t="n">
        <x:v>8</x:v>
      </x:c>
      <x:c r="G499" t="n">
        <x:v>4</x:v>
      </x:c>
      <x:c r="H499" t="n">
        <x:v>12</x:v>
      </x:c>
      <x:c r="I499" t="str">
        <x:v>À qualifier par lieu</x:v>
      </x:c>
      <x:c r="J499" t="str">
        <x:v>https://github.com/darknigthmare/deadwall-last-enclosure/blob/1b3b9c5ba232734b1bda3453b4e20a0481bcdd74/codex-3000/originaux/DEADWALL_CODEX_1.22/fiches/DW-0494.md</x:v>
      </x:c>
      <x:c r="K499" t="str">
        <x:v>Source min 20,16 m ; max 180,120 m ; modèle 25 × 18 m ; niveaux 0. Détails dans catalogue-existant.json.</x:v>
      </x:c>
    </x:row>
    <x:row r="500">
      <x:c r="A500" t="str">
        <x:v>DW-0495</x:v>
      </x:c>
      <x:c r="B500" t="str">
        <x:v>DW-0495</x:v>
      </x:c>
      <x:c r="C500" t="str">
        <x:v>Parent historique</x:v>
      </x:c>
      <x:c r="D500" t="str">
        <x:v>Ruines et lieux dégradés visitables</x:v>
      </x:c>
      <x:c r="E500" t="str">
        <x:v>Pont rompu</x:v>
      </x:c>
      <x:c r="F500" t="n">
        <x:v>8</x:v>
      </x:c>
      <x:c r="G500" t="n">
        <x:v>4</x:v>
      </x:c>
      <x:c r="H500" t="n">
        <x:v>12</x:v>
      </x:c>
      <x:c r="I500" t="str">
        <x:v>À qualifier par lieu</x:v>
      </x:c>
      <x:c r="J500" t="str">
        <x:v>https://github.com/darknigthmare/deadwall-last-enclosure/blob/1b3b9c5ba232734b1bda3453b4e20a0481bcdd74/codex-3000/originaux/DEADWALL_CODEX_1.22/fiches/DW-0495.md</x:v>
      </x:c>
      <x:c r="K500" t="str">
        <x:v>Source min 20,16 m ; max 180,120 m ; modèle 25 × 18 m ; niveaux 0. Détails dans catalogue-existant.json.</x:v>
      </x:c>
    </x:row>
    <x:row r="501">
      <x:c r="A501" t="str">
        <x:v>DW-0496</x:v>
      </x:c>
      <x:c r="B501" t="str">
        <x:v>DW-0496</x:v>
      </x:c>
      <x:c r="C501" t="str">
        <x:v>Parent historique</x:v>
      </x:c>
      <x:c r="D501" t="str">
        <x:v>Ruines et lieux dégradés visitables</x:v>
      </x:c>
      <x:c r="E501" t="str">
        <x:v>Tunnel obstrué</x:v>
      </x:c>
      <x:c r="F501" t="n">
        <x:v>8</x:v>
      </x:c>
      <x:c r="G501" t="n">
        <x:v>4</x:v>
      </x:c>
      <x:c r="H501" t="n">
        <x:v>12</x:v>
      </x:c>
      <x:c r="I501" t="str">
        <x:v>À qualifier par lieu</x:v>
      </x:c>
      <x:c r="J501" t="str">
        <x:v>https://github.com/darknigthmare/deadwall-last-enclosure/blob/1b3b9c5ba232734b1bda3453b4e20a0481bcdd74/codex-3000/originaux/DEADWALL_CODEX_1.22/fiches/DW-0496.md</x:v>
      </x:c>
      <x:c r="K501" t="str">
        <x:v>Source min 20,16 m ; max 180,120 m ; modèle 25 × 18 m ; niveaux 0. Détails dans catalogue-existant.json.</x:v>
      </x:c>
    </x:row>
    <x:row r="502">
      <x:c r="A502" t="str">
        <x:v>DW-0497</x:v>
      </x:c>
      <x:c r="B502" t="str">
        <x:v>DW-0497</x:v>
      </x:c>
      <x:c r="C502" t="str">
        <x:v>Parent historique</x:v>
      </x:c>
      <x:c r="D502" t="str">
        <x:v>Ruines et lieux dégradés visitables</x:v>
      </x:c>
      <x:c r="E502" t="str">
        <x:v>Mine abandonnée visitable</x:v>
      </x:c>
      <x:c r="F502" t="n">
        <x:v>8</x:v>
      </x:c>
      <x:c r="G502" t="n">
        <x:v>4</x:v>
      </x:c>
      <x:c r="H502" t="n">
        <x:v>10</x:v>
      </x:c>
      <x:c r="I502" t="str">
        <x:v>À qualifier par lieu</x:v>
      </x:c>
      <x:c r="J502" t="str">
        <x:v>https://github.com/darknigthmare/deadwall-last-enclosure/blob/1b3b9c5ba232734b1bda3453b4e20a0481bcdd74/codex-3000/originaux/DEADWALL_CODEX_1.22/fiches/DW-0497.md</x:v>
      </x:c>
      <x:c r="K502" t="str">
        <x:v>Source min 20,16 m ; max 180,120 m ; modèle 25 × 18 m ; niveaux -1, 0. Détails dans catalogue-existant.json.</x:v>
      </x:c>
    </x:row>
    <x:row r="503">
      <x:c r="A503" t="str">
        <x:v>DW-0498</x:v>
      </x:c>
      <x:c r="B503" t="str">
        <x:v>DW-0498</x:v>
      </x:c>
      <x:c r="C503" t="str">
        <x:v>Parent historique</x:v>
      </x:c>
      <x:c r="D503" t="str">
        <x:v>Ruines et lieux dégradés visitables</x:v>
      </x:c>
      <x:c r="E503" t="str">
        <x:v>Motel gagné par la forêt</x:v>
      </x:c>
      <x:c r="F503" t="n">
        <x:v>8</x:v>
      </x:c>
      <x:c r="G503" t="n">
        <x:v>4</x:v>
      </x:c>
      <x:c r="H503" t="n">
        <x:v>10</x:v>
      </x:c>
      <x:c r="I503" t="str">
        <x:v>À qualifier par lieu</x:v>
      </x:c>
      <x:c r="J503" t="str">
        <x:v>https://github.com/darknigthmare/deadwall-last-enclosure/blob/1b3b9c5ba232734b1bda3453b4e20a0481bcdd74/codex-3000/originaux/DEADWALL_CODEX_1.22/fiches/DW-0498.md</x:v>
      </x:c>
      <x:c r="K503" t="str">
        <x:v>Source min 20,16 m ; max 180,120 m ; modèle 25 × 18 m ; niveaux 0, 1. Détails dans catalogue-existant.json.</x:v>
      </x:c>
    </x:row>
    <x:row r="504">
      <x:c r="A504" t="str">
        <x:v>DW-0499</x:v>
      </x:c>
      <x:c r="B504" t="str">
        <x:v>DW-0499</x:v>
      </x:c>
      <x:c r="C504" t="str">
        <x:v>Parent historique</x:v>
      </x:c>
      <x:c r="D504" t="str">
        <x:v>Ruines et lieux dégradés visitables</x:v>
      </x:c>
      <x:c r="E504" t="str">
        <x:v>Village ruiné visitable</x:v>
      </x:c>
      <x:c r="F504" t="n">
        <x:v>8</x:v>
      </x:c>
      <x:c r="G504" t="n">
        <x:v>5</x:v>
      </x:c>
      <x:c r="H504" t="n">
        <x:v>15</x:v>
      </x:c>
      <x:c r="I504" t="str">
        <x:v>À qualifier par lieu</x:v>
      </x:c>
      <x:c r="J504" t="str">
        <x:v>https://github.com/darknigthmare/deadwall-last-enclosure/blob/1b3b9c5ba232734b1bda3453b4e20a0481bcdd74/codex-3000/originaux/DEADWALL_CODEX_1.22/fiches/DW-0499.md</x:v>
      </x:c>
      <x:c r="K504" t="str">
        <x:v>Source min 20,16 m ; max 180,120 m ; modèle 26 × 22 m ; niveaux 0. Détails dans catalogue-existant.json.</x:v>
      </x:c>
    </x:row>
    <x:row r="505">
      <x:c r="A505" t="str">
        <x:v>DW-0500</x:v>
      </x:c>
      <x:c r="B505" t="str">
        <x:v>DW-0500</x:v>
      </x:c>
      <x:c r="C505" t="str">
        <x:v>Parent historique</x:v>
      </x:c>
      <x:c r="D505" t="str">
        <x:v>Ruines et lieux dégradés visitables</x:v>
      </x:c>
      <x:c r="E505" t="str">
        <x:v>Bunker civil dégradé</x:v>
      </x:c>
      <x:c r="F505" t="n">
        <x:v>8</x:v>
      </x:c>
      <x:c r="G505" t="n">
        <x:v>5</x:v>
      </x:c>
      <x:c r="H505" t="n">
        <x:v>13</x:v>
      </x:c>
      <x:c r="I505" t="str">
        <x:v>À qualifier par lieu</x:v>
      </x:c>
      <x:c r="J505" t="str">
        <x:v>https://github.com/darknigthmare/deadwall-last-enclosure/blob/1b3b9c5ba232734b1bda3453b4e20a0481bcdd74/codex-3000/originaux/DEADWALL_CODEX_1.22/fiches/DW-0500.md</x:v>
      </x:c>
      <x:c r="K505" t="str">
        <x:v>Source min 20,16 m ; max 180,120 m ; modèle 26 × 22 m ; niveaux -1, 0. Détails dans catalogue-existant.json.</x:v>
      </x:c>
    </x:row>
    <x:row r="506">
      <x:c r="A506" t="str">
        <x:v>DW-0501</x:v>
      </x:c>
      <x:c r="B506" t="str">
        <x:v>DW-0501</x:v>
      </x:c>
      <x:c r="C506" t="str">
        <x:v>Parent historique</x:v>
      </x:c>
      <x:c r="D506" t="str">
        <x:v>habitat</x:v>
      </x:c>
      <x:c r="E506" t="str">
        <x:v>Maison de lotissement — variante 01</x:v>
      </x:c>
      <x:c r="F506" t="n">
        <x:v>8</x:v>
      </x:c>
      <x:c r="G506" t="n">
        <x:v>5</x:v>
      </x:c>
      <x:c r="H506" t="n">
        <x:v>0</x:v>
      </x:c>
      <x:c r="I506" t="str">
        <x:v>À qualifier par lieu</x:v>
      </x:c>
      <x:c r="J506" t="str">
        <x:v>https://github.com/darknigthmare/deadwall-last-enclosure/blob/1b3b9c5ba232734b1bda3453b4e20a0481bcdd74/codex-3000/originaux/DEADWALL_CODEX_SUPPLEMENT_1.23/FICHES_501_1000/DW-0501.md</x:v>
      </x:c>
      <x:c r="K506" t="str">
        <x:v>Source min 10,9 m ; max 10,9 m ; modèle 26 × 22 m ; niveaux 0, 1. Détails dans catalogue-existant.json.</x:v>
      </x:c>
    </x:row>
    <x:row r="507">
      <x:c r="A507" t="str">
        <x:v>DW-0502</x:v>
      </x:c>
      <x:c r="B507" t="str">
        <x:v>DW-0502</x:v>
      </x:c>
      <x:c r="C507" t="str">
        <x:v>Parent historique</x:v>
      </x:c>
      <x:c r="D507" t="str">
        <x:v>habitat</x:v>
      </x:c>
      <x:c r="E507" t="str">
        <x:v>Maison mitoyenne — variante 01</x:v>
      </x:c>
      <x:c r="F507" t="n">
        <x:v>8</x:v>
      </x:c>
      <x:c r="G507" t="n">
        <x:v>5</x:v>
      </x:c>
      <x:c r="H507" t="n">
        <x:v>0</x:v>
      </x:c>
      <x:c r="I507" t="str">
        <x:v>À qualifier par lieu</x:v>
      </x:c>
      <x:c r="J507" t="str">
        <x:v>https://github.com/darknigthmare/deadwall-last-enclosure/blob/1b3b9c5ba232734b1bda3453b4e20a0481bcdd74/codex-3000/originaux/DEADWALL_CODEX_SUPPLEMENT_1.23/FICHES_501_1000/DW-0502.md</x:v>
      </x:c>
      <x:c r="K507" t="str">
        <x:v>Source min 21,26 m ; max 21,26 m ; modèle 26 × 26 m ; niveaux 0. Détails dans catalogue-existant.json.</x:v>
      </x:c>
    </x:row>
    <x:row r="508">
      <x:c r="A508" t="str">
        <x:v>DW-0503</x:v>
      </x:c>
      <x:c r="B508" t="str">
        <x:v>DW-0503</x:v>
      </x:c>
      <x:c r="C508" t="str">
        <x:v>Parent historique</x:v>
      </x:c>
      <x:c r="D508" t="str">
        <x:v>habitat</x:v>
      </x:c>
      <x:c r="E508" t="str">
        <x:v>Villa isolée — variante 01</x:v>
      </x:c>
      <x:c r="F508" t="n">
        <x:v>8</x:v>
      </x:c>
      <x:c r="G508" t="n">
        <x:v>7</x:v>
      </x:c>
      <x:c r="H508" t="n">
        <x:v>0</x:v>
      </x:c>
      <x:c r="I508" t="str">
        <x:v>À qualifier par lieu</x:v>
      </x:c>
      <x:c r="J508" t="str">
        <x:v>https://github.com/darknigthmare/deadwall-last-enclosure/blob/1b3b9c5ba232734b1bda3453b4e20a0481bcdd74/codex-3000/originaux/DEADWALL_CODEX_SUPPLEMENT_1.23/FICHES_501_1000/DW-0503.md</x:v>
      </x:c>
      <x:c r="K508" t="str">
        <x:v>Source min 32,43 m ; max 32,43 m ; modèle 32 × 43 m ; niveaux 0. Détails dans catalogue-existant.json.</x:v>
      </x:c>
    </x:row>
    <x:row r="509">
      <x:c r="A509" t="str">
        <x:v>DW-0504</x:v>
      </x:c>
      <x:c r="B509" t="str">
        <x:v>DW-0504</x:v>
      </x:c>
      <x:c r="C509" t="str">
        <x:v>Parent historique</x:v>
      </x:c>
      <x:c r="D509" t="str">
        <x:v>habitat</x:v>
      </x:c>
      <x:c r="E509" t="str">
        <x:v>Ferme familiale — variante 01</x:v>
      </x:c>
      <x:c r="F509" t="n">
        <x:v>8</x:v>
      </x:c>
      <x:c r="G509" t="n">
        <x:v>6</x:v>
      </x:c>
      <x:c r="H509" t="n">
        <x:v>0</x:v>
      </x:c>
      <x:c r="I509" t="str">
        <x:v>À qualifier par lieu</x:v>
      </x:c>
      <x:c r="J509" t="str">
        <x:v>https://github.com/darknigthmare/deadwall-last-enclosure/blob/1b3b9c5ba232734b1bda3453b4e20a0481bcdd74/codex-3000/originaux/DEADWALL_CODEX_SUPPLEMENT_1.23/FICHES_501_1000/DW-0504.md</x:v>
      </x:c>
      <x:c r="K509" t="str">
        <x:v>Source min 43,60 m ; max 43,60 m ; modèle 43 × 60 m ; niveaux 0. Détails dans catalogue-existant.json.</x:v>
      </x:c>
    </x:row>
    <x:row r="510">
      <x:c r="A510" t="str">
        <x:v>DW-0505</x:v>
      </x:c>
      <x:c r="B510" t="str">
        <x:v>DW-0505</x:v>
      </x:c>
      <x:c r="C510" t="str">
        <x:v>Parent historique</x:v>
      </x:c>
      <x:c r="D510" t="str">
        <x:v>habitat</x:v>
      </x:c>
      <x:c r="E510" t="str">
        <x:v>Immeuble résidentiel — variante 01</x:v>
      </x:c>
      <x:c r="F510" t="n">
        <x:v>8</x:v>
      </x:c>
      <x:c r="G510" t="n">
        <x:v>5</x:v>
      </x:c>
      <x:c r="H510" t="n">
        <x:v>0</x:v>
      </x:c>
      <x:c r="I510" t="str">
        <x:v>À qualifier par lieu</x:v>
      </x:c>
      <x:c r="J510" t="str">
        <x:v>https://github.com/darknigthmare/deadwall-last-enclosure/blob/1b3b9c5ba232734b1bda3453b4e20a0481bcdd74/codex-3000/originaux/DEADWALL_CODEX_SUPPLEMENT_1.23/FICHES_501_1000/DW-0505.md</x:v>
      </x:c>
      <x:c r="K510" t="str">
        <x:v>Source min 54,23 m ; max 54,23 m ; modèle 54 × 23 m ; niveaux 0, 1, 2. Détails dans catalogue-existant.json.</x:v>
      </x:c>
    </x:row>
    <x:row r="511">
      <x:c r="A511" t="str">
        <x:v>DW-0506</x:v>
      </x:c>
      <x:c r="B511" t="str">
        <x:v>DW-0506</x:v>
      </x:c>
      <x:c r="C511" t="str">
        <x:v>Parent historique</x:v>
      </x:c>
      <x:c r="D511" t="str">
        <x:v>habitat</x:v>
      </x:c>
      <x:c r="E511" t="str">
        <x:v>Barre de logements — variante 01</x:v>
      </x:c>
      <x:c r="F511" t="n">
        <x:v>8</x:v>
      </x:c>
      <x:c r="G511" t="n">
        <x:v>5</x:v>
      </x:c>
      <x:c r="H511" t="n">
        <x:v>0</x:v>
      </x:c>
      <x:c r="I511" t="str">
        <x:v>À qualifier par lieu</x:v>
      </x:c>
      <x:c r="J511" t="str">
        <x:v>https://github.com/darknigthmare/deadwall-last-enclosure/blob/1b3b9c5ba232734b1bda3453b4e20a0481bcdd74/codex-3000/originaux/DEADWALL_CODEX_SUPPLEMENT_1.23/FICHES_501_1000/DW-0506.md</x:v>
      </x:c>
      <x:c r="K511" t="str">
        <x:v>Source min 65,40 m ; max 65,40 m ; modèle 65 × 40 m ; niveaux 0, 1, 2. Détails dans catalogue-existant.json.</x:v>
      </x:c>
    </x:row>
    <x:row r="512">
      <x:c r="A512" t="str">
        <x:v>DW-0507</x:v>
      </x:c>
      <x:c r="B512" t="str">
        <x:v>DW-0507</x:v>
      </x:c>
      <x:c r="C512" t="str">
        <x:v>Parent historique</x:v>
      </x:c>
      <x:c r="D512" t="str">
        <x:v>habitat</x:v>
      </x:c>
      <x:c r="E512" t="str">
        <x:v>Résidence senior — variante 01</x:v>
      </x:c>
      <x:c r="F512" t="n">
        <x:v>8</x:v>
      </x:c>
      <x:c r="G512" t="n">
        <x:v>5</x:v>
      </x:c>
      <x:c r="H512" t="n">
        <x:v>0</x:v>
      </x:c>
      <x:c r="I512" t="str">
        <x:v>À qualifier par lieu</x:v>
      </x:c>
      <x:c r="J512" t="str">
        <x:v>https://github.com/darknigthmare/deadwall-last-enclosure/blob/1b3b9c5ba232734b1bda3453b4e20a0481bcdd74/codex-3000/originaux/DEADWALL_CODEX_SUPPLEMENT_1.23/FICHES_501_1000/DW-0507.md</x:v>
      </x:c>
      <x:c r="K512" t="str">
        <x:v>Source min 76,57 m ; max 76,57 m ; modèle 76 × 57 m ; niveaux 0, 1. Détails dans catalogue-existant.json.</x:v>
      </x:c>
    </x:row>
    <x:row r="513">
      <x:c r="A513" t="str">
        <x:v>DW-0508</x:v>
      </x:c>
      <x:c r="B513" t="str">
        <x:v>DW-0508</x:v>
      </x:c>
      <x:c r="C513" t="str">
        <x:v>Parent historique</x:v>
      </x:c>
      <x:c r="D513" t="str">
        <x:v>habitat</x:v>
      </x:c>
      <x:c r="E513" t="str">
        <x:v>Maison avec sous-sol — variante 01</x:v>
      </x:c>
      <x:c r="F513" t="n">
        <x:v>8</x:v>
      </x:c>
      <x:c r="G513" t="n">
        <x:v>5</x:v>
      </x:c>
      <x:c r="H513" t="n">
        <x:v>0</x:v>
      </x:c>
      <x:c r="I513" t="str">
        <x:v>À qualifier par lieu</x:v>
      </x:c>
      <x:c r="J513" t="str">
        <x:v>https://github.com/darknigthmare/deadwall-last-enclosure/blob/1b3b9c5ba232734b1bda3453b4e20a0481bcdd74/codex-3000/originaux/DEADWALL_CODEX_SUPPLEMENT_1.23/FICHES_501_1000/DW-0508.md</x:v>
      </x:c>
      <x:c r="K513" t="str">
        <x:v>Source min 15,20 m ; max 15,20 m ; modèle 26 × 22 m ; niveaux 0. Détails dans catalogue-existant.json.</x:v>
      </x:c>
    </x:row>
    <x:row r="514">
      <x:c r="A514" t="str">
        <x:v>DW-0509</x:v>
      </x:c>
      <x:c r="B514" t="str">
        <x:v>DW-0509</x:v>
      </x:c>
      <x:c r="C514" t="str">
        <x:v>Parent historique</x:v>
      </x:c>
      <x:c r="D514" t="str">
        <x:v>commerce</x:v>
      </x:c>
      <x:c r="E514" t="str">
        <x:v>Supérette — variante 01</x:v>
      </x:c>
      <x:c r="F514" t="n">
        <x:v>8</x:v>
      </x:c>
      <x:c r="G514" t="n">
        <x:v>5</x:v>
      </x:c>
      <x:c r="H514" t="n">
        <x:v>0</x:v>
      </x:c>
      <x:c r="I514" t="str">
        <x:v>À qualifier par lieu</x:v>
      </x:c>
      <x:c r="J514" t="str">
        <x:v>https://github.com/darknigthmare/deadwall-last-enclosure/blob/1b3b9c5ba232734b1bda3453b4e20a0481bcdd74/codex-3000/originaux/DEADWALL_CODEX_SUPPLEMENT_1.23/FICHES_501_1000/DW-0509.md</x:v>
      </x:c>
      <x:c r="K514" t="str">
        <x:v>Source min 26,37 m ; max 26,37 m ; modèle 26 × 37 m ; niveaux 0, 1. Détails dans catalogue-existant.json.</x:v>
      </x:c>
    </x:row>
    <x:row r="515">
      <x:c r="A515" t="str">
        <x:v>DW-0510</x:v>
      </x:c>
      <x:c r="B515" t="str">
        <x:v>DW-0510</x:v>
      </x:c>
      <x:c r="C515" t="str">
        <x:v>Parent historique</x:v>
      </x:c>
      <x:c r="D515" t="str">
        <x:v>commerce</x:v>
      </x:c>
      <x:c r="E515" t="str">
        <x:v>Centre commercial — variante 01</x:v>
      </x:c>
      <x:c r="F515" t="n">
        <x:v>8</x:v>
      </x:c>
      <x:c r="G515" t="n">
        <x:v>6</x:v>
      </x:c>
      <x:c r="H515" t="n">
        <x:v>0</x:v>
      </x:c>
      <x:c r="I515" t="str">
        <x:v>À qualifier par lieu</x:v>
      </x:c>
      <x:c r="J515" t="str">
        <x:v>https://github.com/darknigthmare/deadwall-last-enclosure/blob/1b3b9c5ba232734b1bda3453b4e20a0481bcdd74/codex-3000/originaux/DEADWALL_CODEX_SUPPLEMENT_1.23/FICHES_501_1000/DW-0510.md</x:v>
      </x:c>
      <x:c r="K515" t="str">
        <x:v>Source min 37,54 m ; max 37,54 m ; modèle 37 × 54 m ; niveaux 0. Détails dans catalogue-existant.json.</x:v>
      </x:c>
    </x:row>
    <x:row r="516">
      <x:c r="A516" t="str">
        <x:v>DW-0511</x:v>
      </x:c>
      <x:c r="B516" t="str">
        <x:v>DW-0511</x:v>
      </x:c>
      <x:c r="C516" t="str">
        <x:v>Parent historique</x:v>
      </x:c>
      <x:c r="D516" t="str">
        <x:v>commerce</x:v>
      </x:c>
      <x:c r="E516" t="str">
        <x:v>Supermarché — variante 01</x:v>
      </x:c>
      <x:c r="F516" t="n">
        <x:v>8</x:v>
      </x:c>
      <x:c r="G516" t="n">
        <x:v>7</x:v>
      </x:c>
      <x:c r="H516" t="n">
        <x:v>0</x:v>
      </x:c>
      <x:c r="I516" t="str">
        <x:v>À qualifier par lieu</x:v>
      </x:c>
      <x:c r="J516" t="str">
        <x:v>https://github.com/darknigthmare/deadwall-last-enclosure/blob/1b3b9c5ba232734b1bda3453b4e20a0481bcdd74/codex-3000/originaux/DEADWALL_CODEX_SUPPLEMENT_1.23/FICHES_501_1000/DW-0511.md</x:v>
      </x:c>
      <x:c r="K516" t="str">
        <x:v>Source min 48,17 m ; max 48,17 m ; modèle 48 × 29 m ; niveaux 0. Détails dans catalogue-existant.json.</x:v>
      </x:c>
    </x:row>
    <x:row r="517">
      <x:c r="A517" t="str">
        <x:v>DW-0512</x:v>
      </x:c>
      <x:c r="B517" t="str">
        <x:v>DW-0512</x:v>
      </x:c>
      <x:c r="C517" t="str">
        <x:v>Parent historique</x:v>
      </x:c>
      <x:c r="D517" t="str">
        <x:v>commerce</x:v>
      </x:c>
      <x:c r="E517" t="str">
        <x:v>Magasin de bricolage — variante 01</x:v>
      </x:c>
      <x:c r="F517" t="n">
        <x:v>8</x:v>
      </x:c>
      <x:c r="G517" t="n">
        <x:v>5</x:v>
      </x:c>
      <x:c r="H517" t="n">
        <x:v>0</x:v>
      </x:c>
      <x:c r="I517" t="str">
        <x:v>À qualifier par lieu</x:v>
      </x:c>
      <x:c r="J517" t="str">
        <x:v>https://github.com/darknigthmare/deadwall-last-enclosure/blob/1b3b9c5ba232734b1bda3453b4e20a0481bcdd74/codex-3000/originaux/DEADWALL_CODEX_SUPPLEMENT_1.23/FICHES_501_1000/DW-0512.md</x:v>
      </x:c>
      <x:c r="K517" t="str">
        <x:v>Source min 59,34 m ; max 59,34 m ; modèle 59 × 34 m ; niveaux 0. Détails dans catalogue-existant.json.</x:v>
      </x:c>
    </x:row>
    <x:row r="518">
      <x:c r="A518" t="str">
        <x:v>DW-0513</x:v>
      </x:c>
      <x:c r="B518" t="str">
        <x:v>DW-0513</x:v>
      </x:c>
      <x:c r="C518" t="str">
        <x:v>Parent historique</x:v>
      </x:c>
      <x:c r="D518" t="str">
        <x:v>commerce</x:v>
      </x:c>
      <x:c r="E518" t="str">
        <x:v>Pharmacie — variante 01</x:v>
      </x:c>
      <x:c r="F518" t="n">
        <x:v>8</x:v>
      </x:c>
      <x:c r="G518" t="n">
        <x:v>4</x:v>
      </x:c>
      <x:c r="H518" t="n">
        <x:v>0</x:v>
      </x:c>
      <x:c r="I518" t="str">
        <x:v>À qualifier par lieu</x:v>
      </x:c>
      <x:c r="J518" t="str">
        <x:v>https://github.com/darknigthmare/deadwall-last-enclosure/blob/1b3b9c5ba232734b1bda3453b4e20a0481bcdd74/codex-3000/originaux/DEADWALL_CODEX_SUPPLEMENT_1.23/FICHES_501_1000/DW-0513.md</x:v>
      </x:c>
      <x:c r="K518" t="str">
        <x:v>Source min 70,51 m ; max 70,51 m ; modèle 70 × 51 m ; niveaux 0, 1. Détails dans catalogue-existant.json.</x:v>
      </x:c>
    </x:row>
    <x:row r="519">
      <x:c r="A519" t="str">
        <x:v>DW-0514</x:v>
      </x:c>
      <x:c r="B519" t="str">
        <x:v>DW-0514</x:v>
      </x:c>
      <x:c r="C519" t="str">
        <x:v>Parent historique</x:v>
      </x:c>
      <x:c r="D519" t="str">
        <x:v>commerce</x:v>
      </x:c>
      <x:c r="E519" t="str">
        <x:v>Station-service — variante 01</x:v>
      </x:c>
      <x:c r="F519" t="n">
        <x:v>8</x:v>
      </x:c>
      <x:c r="G519" t="n">
        <x:v>5</x:v>
      </x:c>
      <x:c r="H519" t="n">
        <x:v>0</x:v>
      </x:c>
      <x:c r="I519" t="str">
        <x:v>À qualifier par lieu</x:v>
      </x:c>
      <x:c r="J519" t="str">
        <x:v>https://github.com/darknigthmare/deadwall-last-enclosure/blob/1b3b9c5ba232734b1bda3453b4e20a0481bcdd74/codex-3000/originaux/DEADWALL_CODEX_SUPPLEMENT_1.23/FICHES_501_1000/DW-0514.md</x:v>
      </x:c>
      <x:c r="K519" t="str">
        <x:v>Source min 81,14 m ; max 81,14 m ; modèle 78 × 22 m ; niveaux 0. Détails dans catalogue-existant.json.</x:v>
      </x:c>
    </x:row>
    <x:row r="520">
      <x:c r="A520" t="str">
        <x:v>DW-0515</x:v>
      </x:c>
      <x:c r="B520" t="str">
        <x:v>DW-0515</x:v>
      </x:c>
      <x:c r="C520" t="str">
        <x:v>Parent historique</x:v>
      </x:c>
      <x:c r="D520" t="str">
        <x:v>commerce</x:v>
      </x:c>
      <x:c r="E520" t="str">
        <x:v>Restaurant routier — variante 01</x:v>
      </x:c>
      <x:c r="F520" t="n">
        <x:v>8</x:v>
      </x:c>
      <x:c r="G520" t="n">
        <x:v>5</x:v>
      </x:c>
      <x:c r="H520" t="n">
        <x:v>0</x:v>
      </x:c>
      <x:c r="I520" t="str">
        <x:v>À qualifier par lieu</x:v>
      </x:c>
      <x:c r="J520" t="str">
        <x:v>https://github.com/darknigthmare/deadwall-last-enclosure/blob/1b3b9c5ba232734b1bda3453b4e20a0481bcdd74/codex-3000/originaux/DEADWALL_CODEX_SUPPLEMENT_1.23/FICHES_501_1000/DW-0515.md</x:v>
      </x:c>
      <x:c r="K520" t="str">
        <x:v>Source min 20,31 m ; max 20,31 m ; modèle 26 × 31 m ; niveaux 0. Détails dans catalogue-existant.json.</x:v>
      </x:c>
    </x:row>
    <x:row r="521">
      <x:c r="A521" t="str">
        <x:v>DW-0516</x:v>
      </x:c>
      <x:c r="B521" t="str">
        <x:v>DW-0516</x:v>
      </x:c>
      <x:c r="C521" t="str">
        <x:v>Parent historique</x:v>
      </x:c>
      <x:c r="D521" t="str">
        <x:v>commerce</x:v>
      </x:c>
      <x:c r="E521" t="str">
        <x:v>Hôtel — variante 01</x:v>
      </x:c>
      <x:c r="F521" t="n">
        <x:v>8</x:v>
      </x:c>
      <x:c r="G521" t="n">
        <x:v>6</x:v>
      </x:c>
      <x:c r="H521" t="n">
        <x:v>0</x:v>
      </x:c>
      <x:c r="I521" t="str">
        <x:v>À qualifier par lieu</x:v>
      </x:c>
      <x:c r="J521" t="str">
        <x:v>https://github.com/darknigthmare/deadwall-last-enclosure/blob/1b3b9c5ba232734b1bda3453b4e20a0481bcdd74/codex-3000/originaux/DEADWALL_CODEX_SUPPLEMENT_1.23/FICHES_501_1000/DW-0516.md</x:v>
      </x:c>
      <x:c r="K521" t="str">
        <x:v>Source min 31,48 m ; max 31,48 m ; modèle 31 × 48 m ; niveaux 0. Détails dans catalogue-existant.json.</x:v>
      </x:c>
    </x:row>
    <x:row r="522">
      <x:c r="A522" t="str">
        <x:v>DW-0517</x:v>
      </x:c>
      <x:c r="B522" t="str">
        <x:v>DW-0517</x:v>
      </x:c>
      <x:c r="C522" t="str">
        <x:v>Parent historique</x:v>
      </x:c>
      <x:c r="D522" t="str">
        <x:v>industrie</x:v>
      </x:c>
      <x:c r="E522" t="str">
        <x:v>Scierie — variante 01</x:v>
      </x:c>
      <x:c r="F522" t="n">
        <x:v>8</x:v>
      </x:c>
      <x:c r="G522" t="n">
        <x:v>5</x:v>
      </x:c>
      <x:c r="H522" t="n">
        <x:v>0</x:v>
      </x:c>
      <x:c r="I522" t="str">
        <x:v>À qualifier par lieu</x:v>
      </x:c>
      <x:c r="J522" t="str">
        <x:v>https://github.com/darknigthmare/deadwall-last-enclosure/blob/1b3b9c5ba232734b1bda3453b4e20a0481bcdd74/codex-3000/originaux/DEADWALL_CODEX_SUPPLEMENT_1.23/FICHES_501_1000/DW-0517.md</x:v>
      </x:c>
      <x:c r="K522" t="str">
        <x:v>Source min 42,11 m ; max 42,11 m ; modèle 42 × 22 m ; niveaux 0. Détails dans catalogue-existant.json.</x:v>
      </x:c>
    </x:row>
    <x:row r="523">
      <x:c r="A523" t="str">
        <x:v>DW-0518</x:v>
      </x:c>
      <x:c r="B523" t="str">
        <x:v>DW-0518</x:v>
      </x:c>
      <x:c r="C523" t="str">
        <x:v>Parent historique</x:v>
      </x:c>
      <x:c r="D523" t="str">
        <x:v>industrie</x:v>
      </x:c>
      <x:c r="E523" t="str">
        <x:v>Garage automobile — variante 01</x:v>
      </x:c>
      <x:c r="F523" t="n">
        <x:v>8</x:v>
      </x:c>
      <x:c r="G523" t="n">
        <x:v>5</x:v>
      </x:c>
      <x:c r="H523" t="n">
        <x:v>0</x:v>
      </x:c>
      <x:c r="I523" t="str">
        <x:v>À qualifier par lieu</x:v>
      </x:c>
      <x:c r="J523" t="str">
        <x:v>https://github.com/darknigthmare/deadwall-last-enclosure/blob/1b3b9c5ba232734b1bda3453b4e20a0481bcdd74/codex-3000/originaux/DEADWALL_CODEX_SUPPLEMENT_1.23/FICHES_501_1000/DW-0518.md</x:v>
      </x:c>
      <x:c r="K523" t="str">
        <x:v>Source min 53,28 m ; max 53,28 m ; modèle 53 × 28 m ; niveaux 0. Détails dans catalogue-existant.json.</x:v>
      </x:c>
    </x:row>
    <x:row r="524">
      <x:c r="A524" t="str">
        <x:v>DW-0519</x:v>
      </x:c>
      <x:c r="B524" t="str">
        <x:v>DW-0519</x:v>
      </x:c>
      <x:c r="C524" t="str">
        <x:v>Parent historique</x:v>
      </x:c>
      <x:c r="D524" t="str">
        <x:v>industrie</x:v>
      </x:c>
      <x:c r="E524" t="str">
        <x:v>Entrepôt logistique — variante 01</x:v>
      </x:c>
      <x:c r="F524" t="n">
        <x:v>8</x:v>
      </x:c>
      <x:c r="G524" t="n">
        <x:v>5</x:v>
      </x:c>
      <x:c r="H524" t="n">
        <x:v>0</x:v>
      </x:c>
      <x:c r="I524" t="str">
        <x:v>À qualifier par lieu</x:v>
      </x:c>
      <x:c r="J524" t="str">
        <x:v>https://github.com/darknigthmare/deadwall-last-enclosure/blob/1b3b9c5ba232734b1bda3453b4e20a0481bcdd74/codex-3000/originaux/DEADWALL_CODEX_SUPPLEMENT_1.23/FICHES_501_1000/DW-0519.md</x:v>
      </x:c>
      <x:c r="K524" t="str">
        <x:v>Source min 64,45 m ; max 64,45 m ; modèle 64 × 45 m ; niveaux 0. Détails dans catalogue-existant.json.</x:v>
      </x:c>
    </x:row>
    <x:row r="525">
      <x:c r="A525" t="str">
        <x:v>DW-0520</x:v>
      </x:c>
      <x:c r="B525" t="str">
        <x:v>DW-0520</x:v>
      </x:c>
      <x:c r="C525" t="str">
        <x:v>Parent historique</x:v>
      </x:c>
      <x:c r="D525" t="str">
        <x:v>industrie</x:v>
      </x:c>
      <x:c r="E525" t="str">
        <x:v>Petite usine — variante 01</x:v>
      </x:c>
      <x:c r="F525" t="n">
        <x:v>8</x:v>
      </x:c>
      <x:c r="G525" t="n">
        <x:v>5</x:v>
      </x:c>
      <x:c r="H525" t="n">
        <x:v>0</x:v>
      </x:c>
      <x:c r="I525" t="str">
        <x:v>À qualifier par lieu</x:v>
      </x:c>
      <x:c r="J525" t="str">
        <x:v>https://github.com/darknigthmare/deadwall-last-enclosure/blob/1b3b9c5ba232734b1bda3453b4e20a0481bcdd74/codex-3000/originaux/DEADWALL_CODEX_SUPPLEMENT_1.23/FICHES_501_1000/DW-0520.md</x:v>
      </x:c>
      <x:c r="K525" t="str">
        <x:v>Source min 75,62 m ; max 75,62 m ; modèle 75 × 62 m ; niveaux 0. Détails dans catalogue-existant.json.</x:v>
      </x:c>
    </x:row>
    <x:row r="526">
      <x:c r="A526" t="str">
        <x:v>DW-0521</x:v>
      </x:c>
      <x:c r="B526" t="str">
        <x:v>DW-0521</x:v>
      </x:c>
      <x:c r="C526" t="str">
        <x:v>Parent historique</x:v>
      </x:c>
      <x:c r="D526" t="str">
        <x:v>industrie</x:v>
      </x:c>
      <x:c r="E526" t="str">
        <x:v>Carrière — variante 01</x:v>
      </x:c>
      <x:c r="F526" t="n">
        <x:v>8</x:v>
      </x:c>
      <x:c r="G526" t="n">
        <x:v>5</x:v>
      </x:c>
      <x:c r="H526" t="n">
        <x:v>0</x:v>
      </x:c>
      <x:c r="I526" t="str">
        <x:v>À qualifier par lieu</x:v>
      </x:c>
      <x:c r="J526" t="str">
        <x:v>https://github.com/darknigthmare/deadwall-last-enclosure/blob/1b3b9c5ba232734b1bda3453b4e20a0481bcdd74/codex-3000/originaux/DEADWALL_CODEX_SUPPLEMENT_1.23/FICHES_501_1000/DW-0521.md</x:v>
      </x:c>
      <x:c r="K526" t="str">
        <x:v>Source min 14,25 m ; max 14,25 m ; modèle 26 × 25 m ; niveaux 0. Détails dans catalogue-existant.json.</x:v>
      </x:c>
    </x:row>
    <x:row r="527">
      <x:c r="A527" t="str">
        <x:v>DW-0522</x:v>
      </x:c>
      <x:c r="B527" t="str">
        <x:v>DW-0522</x:v>
      </x:c>
      <x:c r="C527" t="str">
        <x:v>Parent historique</x:v>
      </x:c>
      <x:c r="D527" t="str">
        <x:v>industrie</x:v>
      </x:c>
      <x:c r="E527" t="str">
        <x:v>Mine — variante 01</x:v>
      </x:c>
      <x:c r="F527" t="n">
        <x:v>8</x:v>
      </x:c>
      <x:c r="G527" t="n">
        <x:v>6</x:v>
      </x:c>
      <x:c r="H527" t="n">
        <x:v>0</x:v>
      </x:c>
      <x:c r="I527" t="str">
        <x:v>À qualifier par lieu</x:v>
      </x:c>
      <x:c r="J527" t="str">
        <x:v>https://github.com/darknigthmare/deadwall-last-enclosure/blob/1b3b9c5ba232734b1bda3453b4e20a0481bcdd74/codex-3000/originaux/DEADWALL_CODEX_SUPPLEMENT_1.23/FICHES_501_1000/DW-0522.md</x:v>
      </x:c>
      <x:c r="K527" t="str">
        <x:v>Source min 25,42 m ; max 25,42 m ; modèle 28 × 42 m ; niveaux 0. Détails dans catalogue-existant.json.</x:v>
      </x:c>
    </x:row>
    <x:row r="528">
      <x:c r="A528" t="str">
        <x:v>DW-0523</x:v>
      </x:c>
      <x:c r="B528" t="str">
        <x:v>DW-0523</x:v>
      </x:c>
      <x:c r="C528" t="str">
        <x:v>Parent historique</x:v>
      </x:c>
      <x:c r="D528" t="str">
        <x:v>industrie</x:v>
      </x:c>
      <x:c r="E528" t="str">
        <x:v>Centrale locale — variante 01</x:v>
      </x:c>
      <x:c r="F528" t="n">
        <x:v>8</x:v>
      </x:c>
      <x:c r="G528" t="n">
        <x:v>5</x:v>
      </x:c>
      <x:c r="H528" t="n">
        <x:v>0</x:v>
      </x:c>
      <x:c r="I528" t="str">
        <x:v>À qualifier par lieu</x:v>
      </x:c>
      <x:c r="J528" t="str">
        <x:v>https://github.com/darknigthmare/deadwall-last-enclosure/blob/1b3b9c5ba232734b1bda3453b4e20a0481bcdd74/codex-3000/originaux/DEADWALL_CODEX_SUPPLEMENT_1.23/FICHES_501_1000/DW-0523.md</x:v>
      </x:c>
      <x:c r="K528" t="str">
        <x:v>Source min 36,59 m ; max 36,59 m ; modèle 36 × 59 m ; niveaux 0. Détails dans catalogue-existant.json.</x:v>
      </x:c>
    </x:row>
    <x:row r="529">
      <x:c r="A529" t="str">
        <x:v>DW-0524</x:v>
      </x:c>
      <x:c r="B529" t="str">
        <x:v>DW-0524</x:v>
      </x:c>
      <x:c r="C529" t="str">
        <x:v>Parent historique</x:v>
      </x:c>
      <x:c r="D529" t="str">
        <x:v>industrie</x:v>
      </x:c>
      <x:c r="E529" t="str">
        <x:v>Station de pompage — variante 01</x:v>
      </x:c>
      <x:c r="F529" t="n">
        <x:v>8</x:v>
      </x:c>
      <x:c r="G529" t="n">
        <x:v>5</x:v>
      </x:c>
      <x:c r="H529" t="n">
        <x:v>0</x:v>
      </x:c>
      <x:c r="I529" t="str">
        <x:v>À qualifier par lieu</x:v>
      </x:c>
      <x:c r="J529" t="str">
        <x:v>https://github.com/darknigthmare/deadwall-last-enclosure/blob/1b3b9c5ba232734b1bda3453b4e20a0481bcdd74/codex-3000/originaux/DEADWALL_CODEX_SUPPLEMENT_1.23/FICHES_501_1000/DW-0524.md</x:v>
      </x:c>
      <x:c r="K529" t="str">
        <x:v>Source min 47,22 m ; max 47,22 m ; modèle 47 × 22 m ; niveaux 0. Détails dans catalogue-existant.json.</x:v>
      </x:c>
    </x:row>
    <x:row r="530">
      <x:c r="A530" t="str">
        <x:v>DW-0525</x:v>
      </x:c>
      <x:c r="B530" t="str">
        <x:v>DW-0525</x:v>
      </x:c>
      <x:c r="C530" t="str">
        <x:v>Parent historique</x:v>
      </x:c>
      <x:c r="D530" t="str">
        <x:v>public</x:v>
      </x:c>
      <x:c r="E530" t="str">
        <x:v>École — variante 01</x:v>
      </x:c>
      <x:c r="F530" t="n">
        <x:v>8</x:v>
      </x:c>
      <x:c r="G530" t="n">
        <x:v>5</x:v>
      </x:c>
      <x:c r="H530" t="n">
        <x:v>0</x:v>
      </x:c>
      <x:c r="I530" t="str">
        <x:v>À qualifier par lieu</x:v>
      </x:c>
      <x:c r="J530" t="str">
        <x:v>https://github.com/darknigthmare/deadwall-last-enclosure/blob/1b3b9c5ba232734b1bda3453b4e20a0481bcdd74/codex-3000/originaux/DEADWALL_CODEX_SUPPLEMENT_1.23/FICHES_501_1000/DW-0525.md</x:v>
      </x:c>
      <x:c r="K530" t="str">
        <x:v>Source min 58,39 m ; max 58,39 m ; modèle 58 × 39 m ; niveaux 0, 1. Détails dans catalogue-existant.json.</x:v>
      </x:c>
    </x:row>
    <x:row r="531">
      <x:c r="A531" t="str">
        <x:v>DW-0526</x:v>
      </x:c>
      <x:c r="B531" t="str">
        <x:v>DW-0526</x:v>
      </x:c>
      <x:c r="C531" t="str">
        <x:v>Parent historique</x:v>
      </x:c>
      <x:c r="D531" t="str">
        <x:v>public</x:v>
      </x:c>
      <x:c r="E531" t="str">
        <x:v>Mairie — variante 01</x:v>
      </x:c>
      <x:c r="F531" t="n">
        <x:v>8</x:v>
      </x:c>
      <x:c r="G531" t="n">
        <x:v>5</x:v>
      </x:c>
      <x:c r="H531" t="n">
        <x:v>0</x:v>
      </x:c>
      <x:c r="I531" t="str">
        <x:v>À qualifier par lieu</x:v>
      </x:c>
      <x:c r="J531" t="str">
        <x:v>https://github.com/darknigthmare/deadwall-last-enclosure/blob/1b3b9c5ba232734b1bda3453b4e20a0481bcdd74/codex-3000/originaux/DEADWALL_CODEX_SUPPLEMENT_1.23/FICHES_501_1000/DW-0526.md</x:v>
      </x:c>
      <x:c r="K531" t="str">
        <x:v>Source min 69,56 m ; max 69,56 m ; modèle 69 × 56 m ; niveaux 0. Détails dans catalogue-existant.json.</x:v>
      </x:c>
    </x:row>
    <x:row r="532">
      <x:c r="A532" t="str">
        <x:v>DW-0527</x:v>
      </x:c>
      <x:c r="B532" t="str">
        <x:v>DW-0527</x:v>
      </x:c>
      <x:c r="C532" t="str">
        <x:v>Parent historique</x:v>
      </x:c>
      <x:c r="D532" t="str">
        <x:v>public</x:v>
      </x:c>
      <x:c r="E532" t="str">
        <x:v>Clinique — variante 01</x:v>
      </x:c>
      <x:c r="F532" t="n">
        <x:v>8</x:v>
      </x:c>
      <x:c r="G532" t="n">
        <x:v>6</x:v>
      </x:c>
      <x:c r="H532" t="n">
        <x:v>0</x:v>
      </x:c>
      <x:c r="I532" t="str">
        <x:v>À qualifier par lieu</x:v>
      </x:c>
      <x:c r="J532" t="str">
        <x:v>https://github.com/darknigthmare/deadwall-last-enclosure/blob/1b3b9c5ba232734b1bda3453b4e20a0481bcdd74/codex-3000/originaux/DEADWALL_CODEX_SUPPLEMENT_1.23/FICHES_501_1000/DW-0527.md</x:v>
      </x:c>
      <x:c r="K532" t="str">
        <x:v>Source min 80,19 m ; max 80,19 m ; modèle 78 × 22 m ; niveaux 0. Détails dans catalogue-existant.json.</x:v>
      </x:c>
    </x:row>
    <x:row r="533">
      <x:c r="A533" t="str">
        <x:v>DW-0528</x:v>
      </x:c>
      <x:c r="B533" t="str">
        <x:v>DW-0528</x:v>
      </x:c>
      <x:c r="C533" t="str">
        <x:v>Parent historique</x:v>
      </x:c>
      <x:c r="D533" t="str">
        <x:v>public</x:v>
      </x:c>
      <x:c r="E533" t="str">
        <x:v>Caserne de pompiers — variante 01</x:v>
      </x:c>
      <x:c r="F533" t="n">
        <x:v>8</x:v>
      </x:c>
      <x:c r="G533" t="n">
        <x:v>6</x:v>
      </x:c>
      <x:c r="H533" t="n">
        <x:v>0</x:v>
      </x:c>
      <x:c r="I533" t="str">
        <x:v>À qualifier par lieu</x:v>
      </x:c>
      <x:c r="J533" t="str">
        <x:v>https://github.com/darknigthmare/deadwall-last-enclosure/blob/1b3b9c5ba232734b1bda3453b4e20a0481bcdd74/codex-3000/originaux/DEADWALL_CODEX_SUPPLEMENT_1.23/FICHES_501_1000/DW-0528.md</x:v>
      </x:c>
      <x:c r="K533" t="str">
        <x:v>Source min 19,36 m ; max 19,36 m ; modèle 28 × 36 m ; niveaux 0. Détails dans catalogue-existant.json.</x:v>
      </x:c>
    </x:row>
    <x:row r="534">
      <x:c r="A534" t="str">
        <x:v>DW-0529</x:v>
      </x:c>
      <x:c r="B534" t="str">
        <x:v>DW-0529</x:v>
      </x:c>
      <x:c r="C534" t="str">
        <x:v>Parent historique</x:v>
      </x:c>
      <x:c r="D534" t="str">
        <x:v>public</x:v>
      </x:c>
      <x:c r="E534" t="str">
        <x:v>Poste de police — variante 01</x:v>
      </x:c>
      <x:c r="F534" t="n">
        <x:v>8</x:v>
      </x:c>
      <x:c r="G534" t="n">
        <x:v>5</x:v>
      </x:c>
      <x:c r="H534" t="n">
        <x:v>0</x:v>
      </x:c>
      <x:c r="I534" t="str">
        <x:v>À qualifier par lieu</x:v>
      </x:c>
      <x:c r="J534" t="str">
        <x:v>https://github.com/darknigthmare/deadwall-last-enclosure/blob/1b3b9c5ba232734b1bda3453b4e20a0481bcdd74/codex-3000/originaux/DEADWALL_CODEX_SUPPLEMENT_1.23/FICHES_501_1000/DW-0529.md</x:v>
      </x:c>
      <x:c r="K534" t="str">
        <x:v>Source min 30,53 m ; max 30,53 m ; modèle 30 × 53 m ; niveaux 0, 1. Détails dans catalogue-existant.json.</x:v>
      </x:c>
    </x:row>
    <x:row r="535">
      <x:c r="A535" t="str">
        <x:v>DW-0530</x:v>
      </x:c>
      <x:c r="B535" t="str">
        <x:v>DW-0530</x:v>
      </x:c>
      <x:c r="C535" t="str">
        <x:v>Parent historique</x:v>
      </x:c>
      <x:c r="D535" t="str">
        <x:v>public</x:v>
      </x:c>
      <x:c r="E535" t="str">
        <x:v>Bibliothèque — variante 01</x:v>
      </x:c>
      <x:c r="F535" t="n">
        <x:v>8</x:v>
      </x:c>
      <x:c r="G535" t="n">
        <x:v>5</x:v>
      </x:c>
      <x:c r="H535" t="n">
        <x:v>0</x:v>
      </x:c>
      <x:c r="I535" t="str">
        <x:v>À qualifier par lieu</x:v>
      </x:c>
      <x:c r="J535" t="str">
        <x:v>https://github.com/darknigthmare/deadwall-last-enclosure/blob/1b3b9c5ba232734b1bda3453b4e20a0481bcdd74/codex-3000/originaux/DEADWALL_CODEX_SUPPLEMENT_1.23/FICHES_501_1000/DW-0530.md</x:v>
      </x:c>
      <x:c r="K535" t="str">
        <x:v>Source min 41,16 m ; max 41,16 m ; modèle 41 × 22 m ; niveaux 0. Détails dans catalogue-existant.json.</x:v>
      </x:c>
    </x:row>
    <x:row r="536">
      <x:c r="A536" t="str">
        <x:v>DW-0531</x:v>
      </x:c>
      <x:c r="B536" t="str">
        <x:v>DW-0531</x:v>
      </x:c>
      <x:c r="C536" t="str">
        <x:v>Parent historique</x:v>
      </x:c>
      <x:c r="D536" t="str">
        <x:v>public</x:v>
      </x:c>
      <x:c r="E536" t="str">
        <x:v>Salle des fêtes — variante 01</x:v>
      </x:c>
      <x:c r="F536" t="n">
        <x:v>8</x:v>
      </x:c>
      <x:c r="G536" t="n">
        <x:v>5</x:v>
      </x:c>
      <x:c r="H536" t="n">
        <x:v>0</x:v>
      </x:c>
      <x:c r="I536" t="str">
        <x:v>À qualifier par lieu</x:v>
      </x:c>
      <x:c r="J536" t="str">
        <x:v>https://github.com/darknigthmare/deadwall-last-enclosure/blob/1b3b9c5ba232734b1bda3453b4e20a0481bcdd74/codex-3000/originaux/DEADWALL_CODEX_SUPPLEMENT_1.23/FICHES_501_1000/DW-0531.md</x:v>
      </x:c>
      <x:c r="K536" t="str">
        <x:v>Source min 52,33 m ; max 52,33 m ; modèle 52 × 33 m ; niveaux 0. Détails dans catalogue-existant.json.</x:v>
      </x:c>
    </x:row>
    <x:row r="537">
      <x:c r="A537" t="str">
        <x:v>DW-0532</x:v>
      </x:c>
      <x:c r="B537" t="str">
        <x:v>DW-0532</x:v>
      </x:c>
      <x:c r="C537" t="str">
        <x:v>Parent historique</x:v>
      </x:c>
      <x:c r="D537" t="str">
        <x:v>public</x:v>
      </x:c>
      <x:c r="E537" t="str">
        <x:v>Église et presbytère — variante 01</x:v>
      </x:c>
      <x:c r="F537" t="n">
        <x:v>8</x:v>
      </x:c>
      <x:c r="G537" t="n">
        <x:v>5</x:v>
      </x:c>
      <x:c r="H537" t="n">
        <x:v>0</x:v>
      </x:c>
      <x:c r="I537" t="str">
        <x:v>À qualifier par lieu</x:v>
      </x:c>
      <x:c r="J537" t="str">
        <x:v>https://github.com/darknigthmare/deadwall-last-enclosure/blob/1b3b9c5ba232734b1bda3453b4e20a0481bcdd74/codex-3000/originaux/DEADWALL_CODEX_SUPPLEMENT_1.23/FICHES_501_1000/DW-0532.md</x:v>
      </x:c>
      <x:c r="K537" t="str">
        <x:v>Source min 63,50 m ; max 63,50 m ; modèle 63 × 50 m ; niveaux 0. Détails dans catalogue-existant.json.</x:v>
      </x:c>
    </x:row>
    <x:row r="538">
      <x:c r="A538" t="str">
        <x:v>DW-0533</x:v>
      </x:c>
      <x:c r="B538" t="str">
        <x:v>DW-0533</x:v>
      </x:c>
      <x:c r="C538" t="str">
        <x:v>Parent historique</x:v>
      </x:c>
      <x:c r="D538" t="str">
        <x:v>rural</x:v>
      </x:c>
      <x:c r="E538" t="str">
        <x:v>Hameau agricole — variante 01</x:v>
      </x:c>
      <x:c r="F538" t="n">
        <x:v>8</x:v>
      </x:c>
      <x:c r="G538" t="n">
        <x:v>6</x:v>
      </x:c>
      <x:c r="H538" t="n">
        <x:v>0</x:v>
      </x:c>
      <x:c r="I538" t="str">
        <x:v>À qualifier par lieu</x:v>
      </x:c>
      <x:c r="J538" t="str">
        <x:v>https://github.com/darknigthmare/deadwall-last-enclosure/blob/1b3b9c5ba232734b1bda3453b4e20a0481bcdd74/codex-3000/originaux/DEADWALL_CODEX_SUPPLEMENT_1.23/FICHES_501_1000/DW-0533.md</x:v>
      </x:c>
      <x:c r="K538" t="str">
        <x:v>Source min 74,13 m ; max 74,13 m ; modèle 74 × 22 m ; niveaux 0. Détails dans catalogue-existant.json.</x:v>
      </x:c>
    </x:row>
    <x:row r="539">
      <x:c r="A539" t="str">
        <x:v>DW-0534</x:v>
      </x:c>
      <x:c r="B539" t="str">
        <x:v>DW-0534</x:v>
      </x:c>
      <x:c r="C539" t="str">
        <x:v>Parent historique</x:v>
      </x:c>
      <x:c r="D539" t="str">
        <x:v>rural</x:v>
      </x:c>
      <x:c r="E539" t="str">
        <x:v>Cabane forestière — variante 01</x:v>
      </x:c>
      <x:c r="F539" t="n">
        <x:v>8</x:v>
      </x:c>
      <x:c r="G539" t="n">
        <x:v>4</x:v>
      </x:c>
      <x:c r="H539" t="n">
        <x:v>0</x:v>
      </x:c>
      <x:c r="I539" t="str">
        <x:v>À qualifier par lieu</x:v>
      </x:c>
      <x:c r="J539" t="str">
        <x:v>https://github.com/darknigthmare/deadwall-last-enclosure/blob/1b3b9c5ba232734b1bda3453b4e20a0481bcdd74/codex-3000/originaux/DEADWALL_CODEX_SUPPLEMENT_1.23/FICHES_501_1000/DW-0534.md</x:v>
      </x:c>
      <x:c r="K539" t="str">
        <x:v>Source min 13,30 m ; max 13,30 m ; modèle 25 × 30 m ; niveaux 0. Détails dans catalogue-existant.json.</x:v>
      </x:c>
    </x:row>
    <x:row r="540">
      <x:c r="A540" t="str">
        <x:v>DW-0535</x:v>
      </x:c>
      <x:c r="B540" t="str">
        <x:v>DW-0535</x:v>
      </x:c>
      <x:c r="C540" t="str">
        <x:v>Parent historique</x:v>
      </x:c>
      <x:c r="D540" t="str">
        <x:v>rural</x:v>
      </x:c>
      <x:c r="E540" t="str">
        <x:v>Dépôt forestier — variante 01</x:v>
      </x:c>
      <x:c r="F540" t="n">
        <x:v>8</x:v>
      </x:c>
      <x:c r="G540" t="n">
        <x:v>5</x:v>
      </x:c>
      <x:c r="H540" t="n">
        <x:v>0</x:v>
      </x:c>
      <x:c r="I540" t="str">
        <x:v>À qualifier par lieu</x:v>
      </x:c>
      <x:c r="J540" t="str">
        <x:v>https://github.com/darknigthmare/deadwall-last-enclosure/blob/1b3b9c5ba232734b1bda3453b4e20a0481bcdd74/codex-3000/originaux/DEADWALL_CODEX_SUPPLEMENT_1.23/FICHES_501_1000/DW-0535.md</x:v>
      </x:c>
      <x:c r="K540" t="str">
        <x:v>Source min 24,47 m ; max 24,47 m ; modèle 26 × 47 m ; niveaux 0. Détails dans catalogue-existant.json.</x:v>
      </x:c>
    </x:row>
    <x:row r="541">
      <x:c r="A541" t="str">
        <x:v>DW-0536</x:v>
      </x:c>
      <x:c r="B541" t="str">
        <x:v>DW-0536</x:v>
      </x:c>
      <x:c r="C541" t="str">
        <x:v>Parent historique</x:v>
      </x:c>
      <x:c r="D541" t="str">
        <x:v>rural</x:v>
      </x:c>
      <x:c r="E541" t="str">
        <x:v>Ferme céréalière — variante 01</x:v>
      </x:c>
      <x:c r="F541" t="n">
        <x:v>8</x:v>
      </x:c>
      <x:c r="G541" t="n">
        <x:v>5</x:v>
      </x:c>
      <x:c r="H541" t="n">
        <x:v>0</x:v>
      </x:c>
      <x:c r="I541" t="str">
        <x:v>À qualifier par lieu</x:v>
      </x:c>
      <x:c r="J541" t="str">
        <x:v>https://github.com/darknigthmare/deadwall-last-enclosure/blob/1b3b9c5ba232734b1bda3453b4e20a0481bcdd74/codex-3000/originaux/DEADWALL_CODEX_SUPPLEMENT_1.23/FICHES_501_1000/DW-0536.md</x:v>
      </x:c>
      <x:c r="K541" t="str">
        <x:v>Source min 35,10 m ; max 35,10 m ; modèle 35 × 22 m ; niveaux 0. Détails dans catalogue-existant.json.</x:v>
      </x:c>
    </x:row>
    <x:row r="542">
      <x:c r="A542" t="str">
        <x:v>DW-0537</x:v>
      </x:c>
      <x:c r="B542" t="str">
        <x:v>DW-0537</x:v>
      </x:c>
      <x:c r="C542" t="str">
        <x:v>Parent historique</x:v>
      </x:c>
      <x:c r="D542" t="str">
        <x:v>rural</x:v>
      </x:c>
      <x:c r="E542" t="str">
        <x:v>Ferme d'élevage — variante 01</x:v>
      </x:c>
      <x:c r="F542" t="n">
        <x:v>8</x:v>
      </x:c>
      <x:c r="G542" t="n">
        <x:v>5</x:v>
      </x:c>
      <x:c r="H542" t="n">
        <x:v>0</x:v>
      </x:c>
      <x:c r="I542" t="str">
        <x:v>À qualifier par lieu</x:v>
      </x:c>
      <x:c r="J542" t="str">
        <x:v>https://github.com/darknigthmare/deadwall-last-enclosure/blob/1b3b9c5ba232734b1bda3453b4e20a0481bcdd74/codex-3000/originaux/DEADWALL_CODEX_SUPPLEMENT_1.23/FICHES_501_1000/DW-0537.md</x:v>
      </x:c>
      <x:c r="K542" t="str">
        <x:v>Source min 46,27 m ; max 46,27 m ; modèle 46 × 27 m ; niveaux 0. Détails dans catalogue-existant.json.</x:v>
      </x:c>
    </x:row>
    <x:row r="543">
      <x:c r="A543" t="str">
        <x:v>DW-0538</x:v>
      </x:c>
      <x:c r="B543" t="str">
        <x:v>DW-0538</x:v>
      </x:c>
      <x:c r="C543" t="str">
        <x:v>Parent historique</x:v>
      </x:c>
      <x:c r="D543" t="str">
        <x:v>rural</x:v>
      </x:c>
      <x:c r="E543" t="str">
        <x:v>Relais de chasse — variante 01</x:v>
      </x:c>
      <x:c r="F543" t="n">
        <x:v>8</x:v>
      </x:c>
      <x:c r="G543" t="n">
        <x:v>4</x:v>
      </x:c>
      <x:c r="H543" t="n">
        <x:v>0</x:v>
      </x:c>
      <x:c r="I543" t="str">
        <x:v>À qualifier par lieu</x:v>
      </x:c>
      <x:c r="J543" t="str">
        <x:v>https://github.com/darknigthmare/deadwall-last-enclosure/blob/1b3b9c5ba232734b1bda3453b4e20a0481bcdd74/codex-3000/originaux/DEADWALL_CODEX_SUPPLEMENT_1.23/FICHES_501_1000/DW-0538.md</x:v>
      </x:c>
      <x:c r="K543" t="str">
        <x:v>Source min 57,44 m ; max 57,44 m ; modèle 57 × 44 m ; niveaux 0. Détails dans catalogue-existant.json.</x:v>
      </x:c>
    </x:row>
    <x:row r="544">
      <x:c r="A544" t="str">
        <x:v>DW-0539</x:v>
      </x:c>
      <x:c r="B544" t="str">
        <x:v>DW-0539</x:v>
      </x:c>
      <x:c r="C544" t="str">
        <x:v>Parent historique</x:v>
      </x:c>
      <x:c r="D544" t="str">
        <x:v>rural</x:v>
      </x:c>
      <x:c r="E544" t="str">
        <x:v>Moulin rural — variante 01</x:v>
      </x:c>
      <x:c r="F544" t="n">
        <x:v>8</x:v>
      </x:c>
      <x:c r="G544" t="n">
        <x:v>4</x:v>
      </x:c>
      <x:c r="H544" t="n">
        <x:v>0</x:v>
      </x:c>
      <x:c r="I544" t="str">
        <x:v>À qualifier par lieu</x:v>
      </x:c>
      <x:c r="J544" t="str">
        <x:v>https://github.com/darknigthmare/deadwall-last-enclosure/blob/1b3b9c5ba232734b1bda3453b4e20a0481bcdd74/codex-3000/originaux/DEADWALL_CODEX_SUPPLEMENT_1.23/FICHES_501_1000/DW-0539.md</x:v>
      </x:c>
      <x:c r="K544" t="str">
        <x:v>Source min 68,61 m ; max 68,61 m ; modèle 68 × 61 m ; niveaux 0. Détails dans catalogue-existant.json.</x:v>
      </x:c>
    </x:row>
    <x:row r="545">
      <x:c r="A545" t="str">
        <x:v>DW-0540</x:v>
      </x:c>
      <x:c r="B545" t="str">
        <x:v>DW-0540</x:v>
      </x:c>
      <x:c r="C545" t="str">
        <x:v>Parent historique</x:v>
      </x:c>
      <x:c r="D545" t="str">
        <x:v>rural</x:v>
      </x:c>
      <x:c r="E545" t="str">
        <x:v>Serres maraîchères — variante 01</x:v>
      </x:c>
      <x:c r="F545" t="n">
        <x:v>8</x:v>
      </x:c>
      <x:c r="G545" t="n">
        <x:v>5</x:v>
      </x:c>
      <x:c r="H545" t="n">
        <x:v>0</x:v>
      </x:c>
      <x:c r="I545" t="str">
        <x:v>À qualifier par lieu</x:v>
      </x:c>
      <x:c r="J545" t="str">
        <x:v>https://github.com/darknigthmare/deadwall-last-enclosure/blob/1b3b9c5ba232734b1bda3453b4e20a0481bcdd74/codex-3000/originaux/DEADWALL_CODEX_SUPPLEMENT_1.23/FICHES_501_1000/DW-0540.md</x:v>
      </x:c>
      <x:c r="K545" t="str">
        <x:v>Source min 79,24 m ; max 79,24 m ; modèle 78 × 24 m ; niveaux 0. Détails dans catalogue-existant.json.</x:v>
      </x:c>
    </x:row>
    <x:row r="546">
      <x:c r="A546" t="str">
        <x:v>DW-0541</x:v>
      </x:c>
      <x:c r="B546" t="str">
        <x:v>DW-0541</x:v>
      </x:c>
      <x:c r="C546" t="str">
        <x:v>Parent historique</x:v>
      </x:c>
      <x:c r="D546" t="str">
        <x:v>militaire</x:v>
      </x:c>
      <x:c r="E546" t="str">
        <x:v>Bunker de défense civile — variante 01</x:v>
      </x:c>
      <x:c r="F546" t="n">
        <x:v>8</x:v>
      </x:c>
      <x:c r="G546" t="n">
        <x:v>6</x:v>
      </x:c>
      <x:c r="H546" t="n">
        <x:v>0</x:v>
      </x:c>
      <x:c r="I546" t="str">
        <x:v>À qualifier par lieu</x:v>
      </x:c>
      <x:c r="J546" t="str">
        <x:v>https://github.com/darknigthmare/deadwall-last-enclosure/blob/1b3b9c5ba232734b1bda3453b4e20a0481bcdd74/codex-3000/originaux/DEADWALL_CODEX_SUPPLEMENT_1.23/FICHES_501_1000/DW-0541.md</x:v>
      </x:c>
      <x:c r="K546" t="str">
        <x:v>Source min 18,41 m ; max 18,41 m ; modèle 28 × 41 m ; niveaux 0, 1. Détails dans catalogue-existant.json.</x:v>
      </x:c>
    </x:row>
    <x:row r="547">
      <x:c r="A547" t="str">
        <x:v>DW-0542</x:v>
      </x:c>
      <x:c r="B547" t="str">
        <x:v>DW-0542</x:v>
      </x:c>
      <x:c r="C547" t="str">
        <x:v>Parent historique</x:v>
      </x:c>
      <x:c r="D547" t="str">
        <x:v>militaire</x:v>
      </x:c>
      <x:c r="E547" t="str">
        <x:v>Dépôt militaire — variante 01</x:v>
      </x:c>
      <x:c r="F547" t="n">
        <x:v>8</x:v>
      </x:c>
      <x:c r="G547" t="n">
        <x:v>5</x:v>
      </x:c>
      <x:c r="H547" t="n">
        <x:v>0</x:v>
      </x:c>
      <x:c r="I547" t="str">
        <x:v>À qualifier par lieu</x:v>
      </x:c>
      <x:c r="J547" t="str">
        <x:v>https://github.com/darknigthmare/deadwall-last-enclosure/blob/1b3b9c5ba232734b1bda3453b4e20a0481bcdd74/codex-3000/originaux/DEADWALL_CODEX_SUPPLEMENT_1.23/FICHES_501_1000/DW-0542.md</x:v>
      </x:c>
      <x:c r="K547" t="str">
        <x:v>Source min 29,58 m ; max 29,58 m ; modèle 29 × 58 m ; niveaux 0. Détails dans catalogue-existant.json.</x:v>
      </x:c>
    </x:row>
    <x:row r="548">
      <x:c r="A548" t="str">
        <x:v>DW-0543</x:v>
      </x:c>
      <x:c r="B548" t="str">
        <x:v>DW-0543</x:v>
      </x:c>
      <x:c r="C548" t="str">
        <x:v>Parent historique</x:v>
      </x:c>
      <x:c r="D548" t="str">
        <x:v>militaire</x:v>
      </x:c>
      <x:c r="E548" t="str">
        <x:v>Poste de contrôle — variante 01</x:v>
      </x:c>
      <x:c r="F548" t="n">
        <x:v>8</x:v>
      </x:c>
      <x:c r="G548" t="n">
        <x:v>5</x:v>
      </x:c>
      <x:c r="H548" t="n">
        <x:v>0</x:v>
      </x:c>
      <x:c r="I548" t="str">
        <x:v>À qualifier par lieu</x:v>
      </x:c>
      <x:c r="J548" t="str">
        <x:v>https://github.com/darknigthmare/deadwall-last-enclosure/blob/1b3b9c5ba232734b1bda3453b4e20a0481bcdd74/codex-3000/originaux/DEADWALL_CODEX_SUPPLEMENT_1.23/FICHES_501_1000/DW-0543.md</x:v>
      </x:c>
      <x:c r="K548" t="str">
        <x:v>Source min 40,21 m ; max 40,21 m ; modèle 40 × 22 m ; niveaux 0. Détails dans catalogue-existant.json.</x:v>
      </x:c>
    </x:row>
    <x:row r="549">
      <x:c r="A549" t="str">
        <x:v>DW-0544</x:v>
      </x:c>
      <x:c r="B549" t="str">
        <x:v>DW-0544</x:v>
      </x:c>
      <x:c r="C549" t="str">
        <x:v>Parent historique</x:v>
      </x:c>
      <x:c r="D549" t="str">
        <x:v>militaire</x:v>
      </x:c>
      <x:c r="E549" t="str">
        <x:v>Camp retranché abandonné — variante 01</x:v>
      </x:c>
      <x:c r="F549" t="n">
        <x:v>8</x:v>
      </x:c>
      <x:c r="G549" t="n">
        <x:v>5</x:v>
      </x:c>
      <x:c r="H549" t="n">
        <x:v>0</x:v>
      </x:c>
      <x:c r="I549" t="str">
        <x:v>À qualifier par lieu</x:v>
      </x:c>
      <x:c r="J549" t="str">
        <x:v>https://github.com/darknigthmare/deadwall-last-enclosure/blob/1b3b9c5ba232734b1bda3453b4e20a0481bcdd74/codex-3000/originaux/DEADWALL_CODEX_SUPPLEMENT_1.23/FICHES_501_1000/DW-0544.md</x:v>
      </x:c>
      <x:c r="K549" t="str">
        <x:v>Source min 51,38 m ; max 51,38 m ; modèle 51 × 38 m ; niveaux 0. Détails dans catalogue-existant.json.</x:v>
      </x:c>
    </x:row>
    <x:row r="550">
      <x:c r="A550" t="str">
        <x:v>DW-0545</x:v>
      </x:c>
      <x:c r="B550" t="str">
        <x:v>DW-0545</x:v>
      </x:c>
      <x:c r="C550" t="str">
        <x:v>Parent historique</x:v>
      </x:c>
      <x:c r="D550" t="str">
        <x:v>militaire</x:v>
      </x:c>
      <x:c r="E550" t="str">
        <x:v>Abri ferroviaire — variante 01</x:v>
      </x:c>
      <x:c r="F550" t="n">
        <x:v>8</x:v>
      </x:c>
      <x:c r="G550" t="n">
        <x:v>4</x:v>
      </x:c>
      <x:c r="H550" t="n">
        <x:v>0</x:v>
      </x:c>
      <x:c r="I550" t="str">
        <x:v>À qualifier par lieu</x:v>
      </x:c>
      <x:c r="J550" t="str">
        <x:v>https://github.com/darknigthmare/deadwall-last-enclosure/blob/1b3b9c5ba232734b1bda3453b4e20a0481bcdd74/codex-3000/originaux/DEADWALL_CODEX_SUPPLEMENT_1.23/FICHES_501_1000/DW-0545.md</x:v>
      </x:c>
      <x:c r="K550" t="str">
        <x:v>Source min 62,55 m ; max 62,55 m ; modèle 62 × 55 m ; niveaux 0. Détails dans catalogue-existant.json.</x:v>
      </x:c>
    </x:row>
    <x:row r="551">
      <x:c r="A551" t="str">
        <x:v>DW-0546</x:v>
      </x:c>
      <x:c r="B551" t="str">
        <x:v>DW-0546</x:v>
      </x:c>
      <x:c r="C551" t="str">
        <x:v>Parent historique</x:v>
      </x:c>
      <x:c r="D551" t="str">
        <x:v>militaire</x:v>
      </x:c>
      <x:c r="E551" t="str">
        <x:v>Site radar — variante 01</x:v>
      </x:c>
      <x:c r="F551" t="n">
        <x:v>8</x:v>
      </x:c>
      <x:c r="G551" t="n">
        <x:v>5</x:v>
      </x:c>
      <x:c r="H551" t="n">
        <x:v>0</x:v>
      </x:c>
      <x:c r="I551" t="str">
        <x:v>À qualifier par lieu</x:v>
      </x:c>
      <x:c r="J551" t="str">
        <x:v>https://github.com/darknigthmare/deadwall-last-enclosure/blob/1b3b9c5ba232734b1bda3453b4e20a0481bcdd74/codex-3000/originaux/DEADWALL_CODEX_SUPPLEMENT_1.23/FICHES_501_1000/DW-0546.md</x:v>
      </x:c>
      <x:c r="K551" t="str">
        <x:v>Source min 73,18 m ; max 73,18 m ; modèle 73 × 22 m ; niveaux 0. Détails dans catalogue-existant.json.</x:v>
      </x:c>
    </x:row>
    <x:row r="552">
      <x:c r="A552" t="str">
        <x:v>DW-0547</x:v>
      </x:c>
      <x:c r="B552" t="str">
        <x:v>DW-0547</x:v>
      </x:c>
      <x:c r="C552" t="str">
        <x:v>Parent historique</x:v>
      </x:c>
      <x:c r="D552" t="str">
        <x:v>militaire</x:v>
      </x:c>
      <x:c r="E552" t="str">
        <x:v>Batterie côtière — variante 01</x:v>
      </x:c>
      <x:c r="F552" t="n">
        <x:v>8</x:v>
      </x:c>
      <x:c r="G552" t="n">
        <x:v>4</x:v>
      </x:c>
      <x:c r="H552" t="n">
        <x:v>0</x:v>
      </x:c>
      <x:c r="I552" t="str">
        <x:v>À qualifier par lieu</x:v>
      </x:c>
      <x:c r="J552" t="str">
        <x:v>https://github.com/darknigthmare/deadwall-last-enclosure/blob/1b3b9c5ba232734b1bda3453b4e20a0481bcdd74/codex-3000/originaux/DEADWALL_CODEX_SUPPLEMENT_1.23/FICHES_501_1000/DW-0547.md</x:v>
      </x:c>
      <x:c r="K552" t="str">
        <x:v>Source min 12,35 m ; max 12,35 m ; modèle 25 × 35 m ; niveaux 0. Détails dans catalogue-existant.json.</x:v>
      </x:c>
    </x:row>
    <x:row r="553">
      <x:c r="A553" t="str">
        <x:v>DW-0548</x:v>
      </x:c>
      <x:c r="B553" t="str">
        <x:v>DW-0548</x:v>
      </x:c>
      <x:c r="C553" t="str">
        <x:v>Parent historique</x:v>
      </x:c>
      <x:c r="D553" t="str">
        <x:v>militaire</x:v>
      </x:c>
      <x:c r="E553" t="str">
        <x:v>Dépôt carburant sécurisé — variante 01</x:v>
      </x:c>
      <x:c r="F553" t="n">
        <x:v>8</x:v>
      </x:c>
      <x:c r="G553" t="n">
        <x:v>5</x:v>
      </x:c>
      <x:c r="H553" t="n">
        <x:v>0</x:v>
      </x:c>
      <x:c r="I553" t="str">
        <x:v>À qualifier par lieu</x:v>
      </x:c>
      <x:c r="J553" t="str">
        <x:v>https://github.com/darknigthmare/deadwall-last-enclosure/blob/1b3b9c5ba232734b1bda3453b4e20a0481bcdd74/codex-3000/originaux/DEADWALL_CODEX_SUPPLEMENT_1.23/FICHES_501_1000/DW-0548.md</x:v>
      </x:c>
      <x:c r="K553" t="str">
        <x:v>Source min 23,52 m ; max 23,52 m ; modèle 26 × 52 m ; niveaux 0. Détails dans catalogue-existant.json.</x:v>
      </x:c>
    </x:row>
    <x:row r="554">
      <x:c r="A554" t="str">
        <x:v>DW-0549</x:v>
      </x:c>
      <x:c r="B554" t="str">
        <x:v>DW-0549</x:v>
      </x:c>
      <x:c r="C554" t="str">
        <x:v>Parent historique</x:v>
      </x:c>
      <x:c r="D554" t="str">
        <x:v>transport</x:v>
      </x:c>
      <x:c r="E554" t="str">
        <x:v>Gare routière — variante 01</x:v>
      </x:c>
      <x:c r="F554" t="n">
        <x:v>8</x:v>
      </x:c>
      <x:c r="G554" t="n">
        <x:v>5</x:v>
      </x:c>
      <x:c r="H554" t="n">
        <x:v>0</x:v>
      </x:c>
      <x:c r="I554" t="str">
        <x:v>À qualifier par lieu</x:v>
      </x:c>
      <x:c r="J554" t="str">
        <x:v>https://github.com/darknigthmare/deadwall-last-enclosure/blob/1b3b9c5ba232734b1bda3453b4e20a0481bcdd74/codex-3000/originaux/DEADWALL_CODEX_SUPPLEMENT_1.23/FICHES_501_1000/DW-0549.md</x:v>
      </x:c>
      <x:c r="K554" t="str">
        <x:v>Source min 34,15 m ; max 34,15 m ; modèle 34 × 22 m ; niveaux 0. Détails dans catalogue-existant.json.</x:v>
      </x:c>
    </x:row>
    <x:row r="555">
      <x:c r="A555" t="str">
        <x:v>DW-0550</x:v>
      </x:c>
      <x:c r="B555" t="str">
        <x:v>DW-0550</x:v>
      </x:c>
      <x:c r="C555" t="str">
        <x:v>Parent historique</x:v>
      </x:c>
      <x:c r="D555" t="str">
        <x:v>transport</x:v>
      </x:c>
      <x:c r="E555" t="str">
        <x:v>Dépôt de bus — variante 01</x:v>
      </x:c>
      <x:c r="F555" t="n">
        <x:v>8</x:v>
      </x:c>
      <x:c r="G555" t="n">
        <x:v>5</x:v>
      </x:c>
      <x:c r="H555" t="n">
        <x:v>0</x:v>
      </x:c>
      <x:c r="I555" t="str">
        <x:v>À qualifier par lieu</x:v>
      </x:c>
      <x:c r="J555" t="str">
        <x:v>https://github.com/darknigthmare/deadwall-last-enclosure/blob/1b3b9c5ba232734b1bda3453b4e20a0481bcdd74/codex-3000/originaux/DEADWALL_CODEX_SUPPLEMENT_1.23/FICHES_501_1000/DW-0550.md</x:v>
      </x:c>
      <x:c r="K555" t="str">
        <x:v>Source min 45,32 m ; max 45,32 m ; modèle 45 × 32 m ; niveaux 0. Détails dans catalogue-existant.json.</x:v>
      </x:c>
    </x:row>
    <x:row r="556">
      <x:c r="A556" t="str">
        <x:v>DW-0551</x:v>
      </x:c>
      <x:c r="B556" t="str">
        <x:v>DW-0551</x:v>
      </x:c>
      <x:c r="C556" t="str">
        <x:v>Parent historique</x:v>
      </x:c>
      <x:c r="D556" t="str">
        <x:v>transport</x:v>
      </x:c>
      <x:c r="E556" t="str">
        <x:v>Gare ferroviaire — variante 01</x:v>
      </x:c>
      <x:c r="F556" t="n">
        <x:v>8</x:v>
      </x:c>
      <x:c r="G556" t="n">
        <x:v>5</x:v>
      </x:c>
      <x:c r="H556" t="n">
        <x:v>0</x:v>
      </x:c>
      <x:c r="I556" t="str">
        <x:v>À qualifier par lieu</x:v>
      </x:c>
      <x:c r="J556" t="str">
        <x:v>https://github.com/darknigthmare/deadwall-last-enclosure/blob/1b3b9c5ba232734b1bda3453b4e20a0481bcdd74/codex-3000/originaux/DEADWALL_CODEX_SUPPLEMENT_1.23/FICHES_501_1000/DW-0551.md</x:v>
      </x:c>
      <x:c r="K556" t="str">
        <x:v>Source min 56,49 m ; max 56,49 m ; modèle 56 × 49 m ; niveaux 0. Détails dans catalogue-existant.json.</x:v>
      </x:c>
    </x:row>
    <x:row r="557">
      <x:c r="A557" t="str">
        <x:v>DW-0552</x:v>
      </x:c>
      <x:c r="B557" t="str">
        <x:v>DW-0552</x:v>
      </x:c>
      <x:c r="C557" t="str">
        <x:v>Parent historique</x:v>
      </x:c>
      <x:c r="D557" t="str">
        <x:v>transport</x:v>
      </x:c>
      <x:c r="E557" t="str">
        <x:v>Aire d'autoroute — variante 01</x:v>
      </x:c>
      <x:c r="F557" t="n">
        <x:v>8</x:v>
      </x:c>
      <x:c r="G557" t="n">
        <x:v>5</x:v>
      </x:c>
      <x:c r="H557" t="n">
        <x:v>0</x:v>
      </x:c>
      <x:c r="I557" t="str">
        <x:v>À qualifier par lieu</x:v>
      </x:c>
      <x:c r="J557" t="str">
        <x:v>https://github.com/darknigthmare/deadwall-last-enclosure/blob/1b3b9c5ba232734b1bda3453b4e20a0481bcdd74/codex-3000/originaux/DEADWALL_CODEX_SUPPLEMENT_1.23/FICHES_501_1000/DW-0552.md</x:v>
      </x:c>
      <x:c r="K557" t="str">
        <x:v>Source min 67,12 m ; max 67,12 m ; modèle 67 × 22 m ; niveaux 0. Détails dans catalogue-existant.json.</x:v>
      </x:c>
    </x:row>
    <x:row r="558">
      <x:c r="A558" t="str">
        <x:v>DW-0553</x:v>
      </x:c>
      <x:c r="B558" t="str">
        <x:v>DW-0553</x:v>
      </x:c>
      <x:c r="C558" t="str">
        <x:v>Parent historique</x:v>
      </x:c>
      <x:c r="D558" t="str">
        <x:v>transport</x:v>
      </x:c>
      <x:c r="E558" t="str">
        <x:v>Parking silo — variante 01</x:v>
      </x:c>
      <x:c r="F558" t="n">
        <x:v>8</x:v>
      </x:c>
      <x:c r="G558" t="n">
        <x:v>4</x:v>
      </x:c>
      <x:c r="H558" t="n">
        <x:v>0</x:v>
      </x:c>
      <x:c r="I558" t="str">
        <x:v>À qualifier par lieu</x:v>
      </x:c>
      <x:c r="J558" t="str">
        <x:v>https://github.com/darknigthmare/deadwall-last-enclosure/blob/1b3b9c5ba232734b1bda3453b4e20a0481bcdd74/codex-3000/originaux/DEADWALL_CODEX_SUPPLEMENT_1.23/FICHES_501_1000/DW-0553.md</x:v>
      </x:c>
      <x:c r="K558" t="str">
        <x:v>Source min 78,29 m ; max 78,29 m ; modèle 78 × 29 m ; niveaux 0. Détails dans catalogue-existant.json.</x:v>
      </x:c>
    </x:row>
    <x:row r="559">
      <x:c r="A559" t="str">
        <x:v>DW-0554</x:v>
      </x:c>
      <x:c r="B559" t="str">
        <x:v>DW-0554</x:v>
      </x:c>
      <x:c r="C559" t="str">
        <x:v>Parent historique</x:v>
      </x:c>
      <x:c r="D559" t="str">
        <x:v>transport</x:v>
      </x:c>
      <x:c r="E559" t="str">
        <x:v>Terminal poids lourds — variante 01</x:v>
      </x:c>
      <x:c r="F559" t="n">
        <x:v>8</x:v>
      </x:c>
      <x:c r="G559" t="n">
        <x:v>5</x:v>
      </x:c>
      <x:c r="H559" t="n">
        <x:v>0</x:v>
      </x:c>
      <x:c r="I559" t="str">
        <x:v>À qualifier par lieu</x:v>
      </x:c>
      <x:c r="J559" t="str">
        <x:v>https://github.com/darknigthmare/deadwall-last-enclosure/blob/1b3b9c5ba232734b1bda3453b4e20a0481bcdd74/codex-3000/originaux/DEADWALL_CODEX_SUPPLEMENT_1.23/FICHES_501_1000/DW-0554.md</x:v>
      </x:c>
      <x:c r="K559" t="str">
        <x:v>Source min 17,46 m ; max 17,46 m ; modèle 26 × 46 m ; niveaux 0. Détails dans catalogue-existant.json.</x:v>
      </x:c>
    </x:row>
    <x:row r="560">
      <x:c r="A560" t="str">
        <x:v>DW-0555</x:v>
      </x:c>
      <x:c r="B560" t="str">
        <x:v>DW-0555</x:v>
      </x:c>
      <x:c r="C560" t="str">
        <x:v>Parent historique</x:v>
      </x:c>
      <x:c r="D560" t="str">
        <x:v>transport</x:v>
      </x:c>
      <x:c r="E560" t="str">
        <x:v>Port de plaisance — variante 01</x:v>
      </x:c>
      <x:c r="F560" t="n">
        <x:v>8</x:v>
      </x:c>
      <x:c r="G560" t="n">
        <x:v>5</x:v>
      </x:c>
      <x:c r="H560" t="n">
        <x:v>0</x:v>
      </x:c>
      <x:c r="I560" t="str">
        <x:v>À qualifier par lieu</x:v>
      </x:c>
      <x:c r="J560" t="str">
        <x:v>https://github.com/darknigthmare/deadwall-last-enclosure/blob/1b3b9c5ba232734b1bda3453b4e20a0481bcdd74/codex-3000/originaux/DEADWALL_CODEX_SUPPLEMENT_1.23/FICHES_501_1000/DW-0555.md</x:v>
      </x:c>
      <x:c r="K560" t="str">
        <x:v>Source min 28,9 m ; max 28,9 m ; modèle 28 × 22 m ; niveaux 0. Détails dans catalogue-existant.json.</x:v>
      </x:c>
    </x:row>
    <x:row r="561">
      <x:c r="A561" t="str">
        <x:v>DW-0556</x:v>
      </x:c>
      <x:c r="B561" t="str">
        <x:v>DW-0556</x:v>
      </x:c>
      <x:c r="C561" t="str">
        <x:v>Parent historique</x:v>
      </x:c>
      <x:c r="D561" t="str">
        <x:v>transport</x:v>
      </x:c>
      <x:c r="E561" t="str">
        <x:v>Petit aérodrome — variante 01</x:v>
      </x:c>
      <x:c r="F561" t="n">
        <x:v>8</x:v>
      </x:c>
      <x:c r="G561" t="n">
        <x:v>5</x:v>
      </x:c>
      <x:c r="H561" t="n">
        <x:v>0</x:v>
      </x:c>
      <x:c r="I561" t="str">
        <x:v>À qualifier par lieu</x:v>
      </x:c>
      <x:c r="J561" t="str">
        <x:v>https://github.com/darknigthmare/deadwall-last-enclosure/blob/1b3b9c5ba232734b1bda3453b4e20a0481bcdd74/codex-3000/originaux/DEADWALL_CODEX_SUPPLEMENT_1.23/FICHES_501_1000/DW-0556.md</x:v>
      </x:c>
      <x:c r="K561" t="str">
        <x:v>Source min 39,26 m ; max 39,26 m ; modèle 39 × 26 m ; niveaux 0. Détails dans catalogue-existant.json.</x:v>
      </x:c>
    </x:row>
    <x:row r="562">
      <x:c r="A562" t="str">
        <x:v>DW-0557</x:v>
      </x:c>
      <x:c r="B562" t="str">
        <x:v>DW-0557</x:v>
      </x:c>
      <x:c r="C562" t="str">
        <x:v>Parent historique</x:v>
      </x:c>
      <x:c r="D562" t="str">
        <x:v>ruines</x:v>
      </x:c>
      <x:c r="E562" t="str">
        <x:v>Maison incendiée — variante 01</x:v>
      </x:c>
      <x:c r="F562" t="n">
        <x:v>8</x:v>
      </x:c>
      <x:c r="G562" t="n">
        <x:v>3</x:v>
      </x:c>
      <x:c r="H562" t="n">
        <x:v>0</x:v>
      </x:c>
      <x:c r="I562" t="str">
        <x:v>À qualifier par lieu</x:v>
      </x:c>
      <x:c r="J562" t="str">
        <x:v>https://github.com/darknigthmare/deadwall-last-enclosure/blob/1b3b9c5ba232734b1bda3453b4e20a0481bcdd74/codex-3000/originaux/DEADWALL_CODEX_SUPPLEMENT_1.23/FICHES_501_1000/DW-0557.md</x:v>
      </x:c>
      <x:c r="K562" t="str">
        <x:v>Source min 50,43 m ; max 50,43 m ; modèle 50 × 43 m ; niveaux 0, 1. Détails dans catalogue-existant.json.</x:v>
      </x:c>
    </x:row>
    <x:row r="563">
      <x:c r="A563" t="str">
        <x:v>DW-0558</x:v>
      </x:c>
      <x:c r="B563" t="str">
        <x:v>DW-0558</x:v>
      </x:c>
      <x:c r="C563" t="str">
        <x:v>Parent historique</x:v>
      </x:c>
      <x:c r="D563" t="str">
        <x:v>ruines</x:v>
      </x:c>
      <x:c r="E563" t="str">
        <x:v>Immeuble éventré — variante 01</x:v>
      </x:c>
      <x:c r="F563" t="n">
        <x:v>8</x:v>
      </x:c>
      <x:c r="G563" t="n">
        <x:v>4</x:v>
      </x:c>
      <x:c r="H563" t="n">
        <x:v>0</x:v>
      </x:c>
      <x:c r="I563" t="str">
        <x:v>À qualifier par lieu</x:v>
      </x:c>
      <x:c r="J563" t="str">
        <x:v>https://github.com/darknigthmare/deadwall-last-enclosure/blob/1b3b9c5ba232734b1bda3453b4e20a0481bcdd74/codex-3000/originaux/DEADWALL_CODEX_SUPPLEMENT_1.23/FICHES_501_1000/DW-0558.md</x:v>
      </x:c>
      <x:c r="K563" t="str">
        <x:v>Source min 61,60 m ; max 61,60 m ; modèle 61 × 60 m ; niveaux 0, 1. Détails dans catalogue-existant.json.</x:v>
      </x:c>
    </x:row>
    <x:row r="564">
      <x:c r="A564" t="str">
        <x:v>DW-0559</x:v>
      </x:c>
      <x:c r="B564" t="str">
        <x:v>DW-0559</x:v>
      </x:c>
      <x:c r="C564" t="str">
        <x:v>Parent historique</x:v>
      </x:c>
      <x:c r="D564" t="str">
        <x:v>ruines</x:v>
      </x:c>
      <x:c r="E564" t="str">
        <x:v>Commerce pillé — variante 01</x:v>
      </x:c>
      <x:c r="F564" t="n">
        <x:v>8</x:v>
      </x:c>
      <x:c r="G564" t="n">
        <x:v>4</x:v>
      </x:c>
      <x:c r="H564" t="n">
        <x:v>0</x:v>
      </x:c>
      <x:c r="I564" t="str">
        <x:v>À qualifier par lieu</x:v>
      </x:c>
      <x:c r="J564" t="str">
        <x:v>https://github.com/darknigthmare/deadwall-last-enclosure/blob/1b3b9c5ba232734b1bda3453b4e20a0481bcdd74/codex-3000/originaux/DEADWALL_CODEX_SUPPLEMENT_1.23/FICHES_501_1000/DW-0559.md</x:v>
      </x:c>
      <x:c r="K564" t="str">
        <x:v>Source min 72,23 m ; max 72,23 m ; modèle 72 × 23 m ; niveaux 0. Détails dans catalogue-existant.json.</x:v>
      </x:c>
    </x:row>
    <x:row r="565">
      <x:c r="A565" t="str">
        <x:v>DW-0560</x:v>
      </x:c>
      <x:c r="B565" t="str">
        <x:v>DW-0560</x:v>
      </x:c>
      <x:c r="C565" t="str">
        <x:v>Parent historique</x:v>
      </x:c>
      <x:c r="D565" t="str">
        <x:v>ruines</x:v>
      </x:c>
      <x:c r="E565" t="str">
        <x:v>Usine sinistrée — variante 01</x:v>
      </x:c>
      <x:c r="F565" t="n">
        <x:v>8</x:v>
      </x:c>
      <x:c r="G565" t="n">
        <x:v>4</x:v>
      </x:c>
      <x:c r="H565" t="n">
        <x:v>0</x:v>
      </x:c>
      <x:c r="I565" t="str">
        <x:v>À qualifier par lieu</x:v>
      </x:c>
      <x:c r="J565" t="str">
        <x:v>https://github.com/darknigthmare/deadwall-last-enclosure/blob/1b3b9c5ba232734b1bda3453b4e20a0481bcdd74/codex-3000/originaux/DEADWALL_CODEX_SUPPLEMENT_1.23/FICHES_501_1000/DW-0560.md</x:v>
      </x:c>
      <x:c r="K565" t="str">
        <x:v>Source min 11,40 m ; max 11,40 m ; modèle 25 × 40 m ; niveaux 0. Détails dans catalogue-existant.json.</x:v>
      </x:c>
    </x:row>
    <x:row r="566">
      <x:c r="A566" t="str">
        <x:v>DW-0561</x:v>
      </x:c>
      <x:c r="B566" t="str">
        <x:v>DW-0561</x:v>
      </x:c>
      <x:c r="C566" t="str">
        <x:v>Parent historique</x:v>
      </x:c>
      <x:c r="D566" t="str">
        <x:v>ruines</x:v>
      </x:c>
      <x:c r="E566" t="str">
        <x:v>Hôtel abandonné — variante 01</x:v>
      </x:c>
      <x:c r="F566" t="n">
        <x:v>8</x:v>
      </x:c>
      <x:c r="G566" t="n">
        <x:v>5</x:v>
      </x:c>
      <x:c r="H566" t="n">
        <x:v>0</x:v>
      </x:c>
      <x:c r="I566" t="str">
        <x:v>À qualifier par lieu</x:v>
      </x:c>
      <x:c r="J566" t="str">
        <x:v>https://github.com/darknigthmare/deadwall-last-enclosure/blob/1b3b9c5ba232734b1bda3453b4e20a0481bcdd74/codex-3000/originaux/DEADWALL_CODEX_SUPPLEMENT_1.23/FICHES_501_1000/DW-0561.md</x:v>
      </x:c>
      <x:c r="K566" t="str">
        <x:v>Source min 22,57 m ; max 22,57 m ; modèle 26 × 57 m ; niveaux 0, 1. Détails dans catalogue-existant.json.</x:v>
      </x:c>
    </x:row>
    <x:row r="567">
      <x:c r="A567" t="str">
        <x:v>DW-0562</x:v>
      </x:c>
      <x:c r="B567" t="str">
        <x:v>DW-0562</x:v>
      </x:c>
      <x:c r="C567" t="str">
        <x:v>Parent historique</x:v>
      </x:c>
      <x:c r="D567" t="str">
        <x:v>ruines</x:v>
      </x:c>
      <x:c r="E567" t="str">
        <x:v>Lotissement ravagé — variante 01</x:v>
      </x:c>
      <x:c r="F567" t="n">
        <x:v>8</x:v>
      </x:c>
      <x:c r="G567" t="n">
        <x:v>4</x:v>
      </x:c>
      <x:c r="H567" t="n">
        <x:v>0</x:v>
      </x:c>
      <x:c r="I567" t="str">
        <x:v>À qualifier par lieu</x:v>
      </x:c>
      <x:c r="J567" t="str">
        <x:v>https://github.com/darknigthmare/deadwall-last-enclosure/blob/1b3b9c5ba232734b1bda3453b4e20a0481bcdd74/codex-3000/originaux/DEADWALL_CODEX_SUPPLEMENT_1.23/FICHES_501_1000/DW-0562.md</x:v>
      </x:c>
      <x:c r="K567" t="str">
        <x:v>Source min 33,20 m ; max 33,20 m ; modèle 33 × 20 m ; niveaux 0. Détails dans catalogue-existant.json.</x:v>
      </x:c>
    </x:row>
    <x:row r="568">
      <x:c r="A568" t="str">
        <x:v>DW-0563</x:v>
      </x:c>
      <x:c r="B568" t="str">
        <x:v>DW-0563</x:v>
      </x:c>
      <x:c r="C568" t="str">
        <x:v>Parent historique</x:v>
      </x:c>
      <x:c r="D568" t="str">
        <x:v>ruines</x:v>
      </x:c>
      <x:c r="E568" t="str">
        <x:v>Village déserté — variante 01</x:v>
      </x:c>
      <x:c r="F568" t="n">
        <x:v>8</x:v>
      </x:c>
      <x:c r="G568" t="n">
        <x:v>5</x:v>
      </x:c>
      <x:c r="H568" t="n">
        <x:v>0</x:v>
      </x:c>
      <x:c r="I568" t="str">
        <x:v>À qualifier par lieu</x:v>
      </x:c>
      <x:c r="J568" t="str">
        <x:v>https://github.com/darknigthmare/deadwall-last-enclosure/blob/1b3b9c5ba232734b1bda3453b4e20a0481bcdd74/codex-3000/originaux/DEADWALL_CODEX_SUPPLEMENT_1.23/FICHES_501_1000/DW-0563.md</x:v>
      </x:c>
      <x:c r="K568" t="str">
        <x:v>Source min 44,37 m ; max 44,37 m ; modèle 44 × 37 m ; niveaux 0. Détails dans catalogue-existant.json.</x:v>
      </x:c>
    </x:row>
    <x:row r="569">
      <x:c r="A569" t="str">
        <x:v>DW-0564</x:v>
      </x:c>
      <x:c r="B569" t="str">
        <x:v>DW-0564</x:v>
      </x:c>
      <x:c r="C569" t="str">
        <x:v>Parent historique</x:v>
      </x:c>
      <x:c r="D569" t="str">
        <x:v>ruines</x:v>
      </x:c>
      <x:c r="E569" t="str">
        <x:v>Centre commercial effondré — variante 01</x:v>
      </x:c>
      <x:c r="F569" t="n">
        <x:v>8</x:v>
      </x:c>
      <x:c r="G569" t="n">
        <x:v>5</x:v>
      </x:c>
      <x:c r="H569" t="n">
        <x:v>0</x:v>
      </x:c>
      <x:c r="I569" t="str">
        <x:v>À qualifier par lieu</x:v>
      </x:c>
      <x:c r="J569" t="str">
        <x:v>https://github.com/darknigthmare/deadwall-last-enclosure/blob/1b3b9c5ba232734b1bda3453b4e20a0481bcdd74/codex-3000/originaux/DEADWALL_CODEX_SUPPLEMENT_1.23/FICHES_501_1000/DW-0564.md</x:v>
      </x:c>
      <x:c r="K569" t="str">
        <x:v>Source min 55,54 m ; max 55,54 m ; modèle 55 × 54 m ; niveaux 0. Détails dans catalogue-existant.json.</x:v>
      </x:c>
    </x:row>
    <x:row r="570">
      <x:c r="A570" t="str">
        <x:v>DW-0565</x:v>
      </x:c>
      <x:c r="B570" t="str">
        <x:v>DW-0565</x:v>
      </x:c>
      <x:c r="C570" t="str">
        <x:v>Parent historique</x:v>
      </x:c>
      <x:c r="D570" t="str">
        <x:v>habitat</x:v>
      </x:c>
      <x:c r="E570" t="str">
        <x:v>Maison de lotissement — variante 02</x:v>
      </x:c>
      <x:c r="F570" t="n">
        <x:v>8</x:v>
      </x:c>
      <x:c r="G570" t="n">
        <x:v>5</x:v>
      </x:c>
      <x:c r="H570" t="n">
        <x:v>0</x:v>
      </x:c>
      <x:c r="I570" t="str">
        <x:v>À qualifier par lieu</x:v>
      </x:c>
      <x:c r="J570" t="str">
        <x:v>https://github.com/darknigthmare/deadwall-last-enclosure/blob/1b3b9c5ba232734b1bda3453b4e20a0481bcdd74/codex-3000/originaux/DEADWALL_CODEX_SUPPLEMENT_1.23/FICHES_501_1000/DW-0565.md</x:v>
      </x:c>
      <x:c r="K570" t="str">
        <x:v>Source min 66,17 m ; max 66,17 m ; modèle 66 × 22 m ; niveaux 0, 1. Détails dans catalogue-existant.json.</x:v>
      </x:c>
    </x:row>
    <x:row r="571">
      <x:c r="A571" t="str">
        <x:v>DW-0566</x:v>
      </x:c>
      <x:c r="B571" t="str">
        <x:v>DW-0566</x:v>
      </x:c>
      <x:c r="C571" t="str">
        <x:v>Parent historique</x:v>
      </x:c>
      <x:c r="D571" t="str">
        <x:v>habitat</x:v>
      </x:c>
      <x:c r="E571" t="str">
        <x:v>Maison mitoyenne — variante 02</x:v>
      </x:c>
      <x:c r="F571" t="n">
        <x:v>8</x:v>
      </x:c>
      <x:c r="G571" t="n">
        <x:v>5</x:v>
      </x:c>
      <x:c r="H571" t="n">
        <x:v>0</x:v>
      </x:c>
      <x:c r="I571" t="str">
        <x:v>À qualifier par lieu</x:v>
      </x:c>
      <x:c r="J571" t="str">
        <x:v>https://github.com/darknigthmare/deadwall-last-enclosure/blob/1b3b9c5ba232734b1bda3453b4e20a0481bcdd74/codex-3000/originaux/DEADWALL_CODEX_SUPPLEMENT_1.23/FICHES_501_1000/DW-0566.md</x:v>
      </x:c>
      <x:c r="K571" t="str">
        <x:v>Source min 77,34 m ; max 77,34 m ; modèle 77 × 34 m ; niveaux 0. Détails dans catalogue-existant.json.</x:v>
      </x:c>
    </x:row>
    <x:row r="572">
      <x:c r="A572" t="str">
        <x:v>DW-0567</x:v>
      </x:c>
      <x:c r="B572" t="str">
        <x:v>DW-0567</x:v>
      </x:c>
      <x:c r="C572" t="str">
        <x:v>Parent historique</x:v>
      </x:c>
      <x:c r="D572" t="str">
        <x:v>habitat</x:v>
      </x:c>
      <x:c r="E572" t="str">
        <x:v>Villa isolée — variante 02</x:v>
      </x:c>
      <x:c r="F572" t="n">
        <x:v>8</x:v>
      </x:c>
      <x:c r="G572" t="n">
        <x:v>7</x:v>
      </x:c>
      <x:c r="H572" t="n">
        <x:v>0</x:v>
      </x:c>
      <x:c r="I572" t="str">
        <x:v>À qualifier par lieu</x:v>
      </x:c>
      <x:c r="J572" t="str">
        <x:v>https://github.com/darknigthmare/deadwall-last-enclosure/blob/1b3b9c5ba232734b1bda3453b4e20a0481bcdd74/codex-3000/originaux/DEADWALL_CODEX_SUPPLEMENT_1.23/FICHES_501_1000/DW-0567.md</x:v>
      </x:c>
      <x:c r="K572" t="str">
        <x:v>Source min 16,51 m ; max 16,51 m ; modèle 29 × 51 m ; niveaux 0. Détails dans catalogue-existant.json.</x:v>
      </x:c>
    </x:row>
    <x:row r="573">
      <x:c r="A573" t="str">
        <x:v>DW-0568</x:v>
      </x:c>
      <x:c r="B573" t="str">
        <x:v>DW-0568</x:v>
      </x:c>
      <x:c r="C573" t="str">
        <x:v>Parent historique</x:v>
      </x:c>
      <x:c r="D573" t="str">
        <x:v>habitat</x:v>
      </x:c>
      <x:c r="E573" t="str">
        <x:v>Ferme familiale — variante 02</x:v>
      </x:c>
      <x:c r="F573" t="n">
        <x:v>8</x:v>
      </x:c>
      <x:c r="G573" t="n">
        <x:v>6</x:v>
      </x:c>
      <x:c r="H573" t="n">
        <x:v>0</x:v>
      </x:c>
      <x:c r="I573" t="str">
        <x:v>À qualifier par lieu</x:v>
      </x:c>
      <x:c r="J573" t="str">
        <x:v>https://github.com/darknigthmare/deadwall-last-enclosure/blob/1b3b9c5ba232734b1bda3453b4e20a0481bcdd74/codex-3000/originaux/DEADWALL_CODEX_SUPPLEMENT_1.23/FICHES_501_1000/DW-0568.md</x:v>
      </x:c>
      <x:c r="K573" t="str">
        <x:v>Source min 27,14 m ; max 27,14 m ; modèle 28 × 22 m ; niveaux 0. Détails dans catalogue-existant.json.</x:v>
      </x:c>
    </x:row>
    <x:row r="574">
      <x:c r="A574" t="str">
        <x:v>DW-0569</x:v>
      </x:c>
      <x:c r="B574" t="str">
        <x:v>DW-0569</x:v>
      </x:c>
      <x:c r="C574" t="str">
        <x:v>Parent historique</x:v>
      </x:c>
      <x:c r="D574" t="str">
        <x:v>habitat</x:v>
      </x:c>
      <x:c r="E574" t="str">
        <x:v>Immeuble résidentiel — variante 02</x:v>
      </x:c>
      <x:c r="F574" t="n">
        <x:v>8</x:v>
      </x:c>
      <x:c r="G574" t="n">
        <x:v>5</x:v>
      </x:c>
      <x:c r="H574" t="n">
        <x:v>0</x:v>
      </x:c>
      <x:c r="I574" t="str">
        <x:v>À qualifier par lieu</x:v>
      </x:c>
      <x:c r="J574" t="str">
        <x:v>https://github.com/darknigthmare/deadwall-last-enclosure/blob/1b3b9c5ba232734b1bda3453b4e20a0481bcdd74/codex-3000/originaux/DEADWALL_CODEX_SUPPLEMENT_1.23/FICHES_501_1000/DW-0569.md</x:v>
      </x:c>
      <x:c r="K574" t="str">
        <x:v>Source min 38,31 m ; max 38,31 m ; modèle 38 × 31 m ; niveaux 0, 1, 2. Détails dans catalogue-existant.json.</x:v>
      </x:c>
    </x:row>
    <x:row r="575">
      <x:c r="A575" t="str">
        <x:v>DW-0570</x:v>
      </x:c>
      <x:c r="B575" t="str">
        <x:v>DW-0570</x:v>
      </x:c>
      <x:c r="C575" t="str">
        <x:v>Parent historique</x:v>
      </x:c>
      <x:c r="D575" t="str">
        <x:v>habitat</x:v>
      </x:c>
      <x:c r="E575" t="str">
        <x:v>Barre de logements — variante 02</x:v>
      </x:c>
      <x:c r="F575" t="n">
        <x:v>8</x:v>
      </x:c>
      <x:c r="G575" t="n">
        <x:v>5</x:v>
      </x:c>
      <x:c r="H575" t="n">
        <x:v>0</x:v>
      </x:c>
      <x:c r="I575" t="str">
        <x:v>À qualifier par lieu</x:v>
      </x:c>
      <x:c r="J575" t="str">
        <x:v>https://github.com/darknigthmare/deadwall-last-enclosure/blob/1b3b9c5ba232734b1bda3453b4e20a0481bcdd74/codex-3000/originaux/DEADWALL_CODEX_SUPPLEMENT_1.23/FICHES_501_1000/DW-0570.md</x:v>
      </x:c>
      <x:c r="K575" t="str">
        <x:v>Source min 49,48 m ; max 49,48 m ; modèle 49 × 48 m ; niveaux 0, 1. Détails dans catalogue-existant.json.</x:v>
      </x:c>
    </x:row>
    <x:row r="576">
      <x:c r="A576" t="str">
        <x:v>DW-0571</x:v>
      </x:c>
      <x:c r="B576" t="str">
        <x:v>DW-0571</x:v>
      </x:c>
      <x:c r="C576" t="str">
        <x:v>Parent historique</x:v>
      </x:c>
      <x:c r="D576" t="str">
        <x:v>habitat</x:v>
      </x:c>
      <x:c r="E576" t="str">
        <x:v>Résidence senior — variante 02</x:v>
      </x:c>
      <x:c r="F576" t="n">
        <x:v>8</x:v>
      </x:c>
      <x:c r="G576" t="n">
        <x:v>5</x:v>
      </x:c>
      <x:c r="H576" t="n">
        <x:v>0</x:v>
      </x:c>
      <x:c r="I576" t="str">
        <x:v>À qualifier par lieu</x:v>
      </x:c>
      <x:c r="J576" t="str">
        <x:v>https://github.com/darknigthmare/deadwall-last-enclosure/blob/1b3b9c5ba232734b1bda3453b4e20a0481bcdd74/codex-3000/originaux/DEADWALL_CODEX_SUPPLEMENT_1.23/FICHES_501_1000/DW-0571.md</x:v>
      </x:c>
      <x:c r="K576" t="str">
        <x:v>Source min 60,11 m ; max 60,11 m ; modèle 60 × 22 m ; niveaux 0, 1, 2. Détails dans catalogue-existant.json.</x:v>
      </x:c>
    </x:row>
    <x:row r="577">
      <x:c r="A577" t="str">
        <x:v>DW-0572</x:v>
      </x:c>
      <x:c r="B577" t="str">
        <x:v>DW-0572</x:v>
      </x:c>
      <x:c r="C577" t="str">
        <x:v>Parent historique</x:v>
      </x:c>
      <x:c r="D577" t="str">
        <x:v>habitat</x:v>
      </x:c>
      <x:c r="E577" t="str">
        <x:v>Maison avec sous-sol — variante 02</x:v>
      </x:c>
      <x:c r="F577" t="n">
        <x:v>8</x:v>
      </x:c>
      <x:c r="G577" t="n">
        <x:v>5</x:v>
      </x:c>
      <x:c r="H577" t="n">
        <x:v>0</x:v>
      </x:c>
      <x:c r="I577" t="str">
        <x:v>À qualifier par lieu</x:v>
      </x:c>
      <x:c r="J577" t="str">
        <x:v>https://github.com/darknigthmare/deadwall-last-enclosure/blob/1b3b9c5ba232734b1bda3453b4e20a0481bcdd74/codex-3000/originaux/DEADWALL_CODEX_SUPPLEMENT_1.23/FICHES_501_1000/DW-0572.md</x:v>
      </x:c>
      <x:c r="K577" t="str">
        <x:v>Source min 71,28 m ; max 71,28 m ; modèle 71 × 28 m ; niveaux 0. Détails dans catalogue-existant.json.</x:v>
      </x:c>
    </x:row>
    <x:row r="578">
      <x:c r="A578" t="str">
        <x:v>DW-0573</x:v>
      </x:c>
      <x:c r="B578" t="str">
        <x:v>DW-0573</x:v>
      </x:c>
      <x:c r="C578" t="str">
        <x:v>Parent historique</x:v>
      </x:c>
      <x:c r="D578" t="str">
        <x:v>commerce</x:v>
      </x:c>
      <x:c r="E578" t="str">
        <x:v>Supérette — variante 02</x:v>
      </x:c>
      <x:c r="F578" t="n">
        <x:v>8</x:v>
      </x:c>
      <x:c r="G578" t="n">
        <x:v>5</x:v>
      </x:c>
      <x:c r="H578" t="n">
        <x:v>0</x:v>
      </x:c>
      <x:c r="I578" t="str">
        <x:v>À qualifier par lieu</x:v>
      </x:c>
      <x:c r="J578" t="str">
        <x:v>https://github.com/darknigthmare/deadwall-last-enclosure/blob/1b3b9c5ba232734b1bda3453b4e20a0481bcdd74/codex-3000/originaux/DEADWALL_CODEX_SUPPLEMENT_1.23/FICHES_501_1000/DW-0573.md</x:v>
      </x:c>
      <x:c r="K578" t="str">
        <x:v>Source min 10,45 m ; max 10,45 m ; modèle 26 × 45 m ; niveaux 0, 1. Détails dans catalogue-existant.json.</x:v>
      </x:c>
    </x:row>
    <x:row r="579">
      <x:c r="A579" t="str">
        <x:v>DW-0574</x:v>
      </x:c>
      <x:c r="B579" t="str">
        <x:v>DW-0574</x:v>
      </x:c>
      <x:c r="C579" t="str">
        <x:v>Parent historique</x:v>
      </x:c>
      <x:c r="D579" t="str">
        <x:v>commerce</x:v>
      </x:c>
      <x:c r="E579" t="str">
        <x:v>Centre commercial — variante 02</x:v>
      </x:c>
      <x:c r="F579" t="n">
        <x:v>8</x:v>
      </x:c>
      <x:c r="G579" t="n">
        <x:v>6</x:v>
      </x:c>
      <x:c r="H579" t="n">
        <x:v>0</x:v>
      </x:c>
      <x:c r="I579" t="str">
        <x:v>À qualifier par lieu</x:v>
      </x:c>
      <x:c r="J579" t="str">
        <x:v>https://github.com/darknigthmare/deadwall-last-enclosure/blob/1b3b9c5ba232734b1bda3453b4e20a0481bcdd74/codex-3000/originaux/DEADWALL_CODEX_SUPPLEMENT_1.23/FICHES_501_1000/DW-0574.md</x:v>
      </x:c>
      <x:c r="K579" t="str">
        <x:v>Source min 21,62 m ; max 21,62 m ; modèle 28 × 62 m ; niveaux 0. Détails dans catalogue-existant.json.</x:v>
      </x:c>
    </x:row>
    <x:row r="580">
      <x:c r="A580" t="str">
        <x:v>DW-0575</x:v>
      </x:c>
      <x:c r="B580" t="str">
        <x:v>DW-0575</x:v>
      </x:c>
      <x:c r="C580" t="str">
        <x:v>Parent historique</x:v>
      </x:c>
      <x:c r="D580" t="str">
        <x:v>commerce</x:v>
      </x:c>
      <x:c r="E580" t="str">
        <x:v>Supermarché — variante 02</x:v>
      </x:c>
      <x:c r="F580" t="n">
        <x:v>8</x:v>
      </x:c>
      <x:c r="G580" t="n">
        <x:v>7</x:v>
      </x:c>
      <x:c r="H580" t="n">
        <x:v>0</x:v>
      </x:c>
      <x:c r="I580" t="str">
        <x:v>À qualifier par lieu</x:v>
      </x:c>
      <x:c r="J580" t="str">
        <x:v>https://github.com/darknigthmare/deadwall-last-enclosure/blob/1b3b9c5ba232734b1bda3453b4e20a0481bcdd74/codex-3000/originaux/DEADWALL_CODEX_SUPPLEMENT_1.23/FICHES_501_1000/DW-0575.md</x:v>
      </x:c>
      <x:c r="K580" t="str">
        <x:v>Source min 32,25 m ; max 32,25 m ; modèle 32 × 29 m ; niveaux 0. Détails dans catalogue-existant.json.</x:v>
      </x:c>
    </x:row>
    <x:row r="581">
      <x:c r="A581" t="str">
        <x:v>DW-0576</x:v>
      </x:c>
      <x:c r="B581" t="str">
        <x:v>DW-0576</x:v>
      </x:c>
      <x:c r="C581" t="str">
        <x:v>Parent historique</x:v>
      </x:c>
      <x:c r="D581" t="str">
        <x:v>commerce</x:v>
      </x:c>
      <x:c r="E581" t="str">
        <x:v>Magasin de bricolage — variante 02</x:v>
      </x:c>
      <x:c r="F581" t="n">
        <x:v>8</x:v>
      </x:c>
      <x:c r="G581" t="n">
        <x:v>5</x:v>
      </x:c>
      <x:c r="H581" t="n">
        <x:v>0</x:v>
      </x:c>
      <x:c r="I581" t="str">
        <x:v>À qualifier par lieu</x:v>
      </x:c>
      <x:c r="J581" t="str">
        <x:v>https://github.com/darknigthmare/deadwall-last-enclosure/blob/1b3b9c5ba232734b1bda3453b4e20a0481bcdd74/codex-3000/originaux/DEADWALL_CODEX_SUPPLEMENT_1.23/FICHES_501_1000/DW-0576.md</x:v>
      </x:c>
      <x:c r="K581" t="str">
        <x:v>Source min 43,42 m ; max 43,42 m ; modèle 43 × 42 m ; niveaux 0. Détails dans catalogue-existant.json.</x:v>
      </x:c>
    </x:row>
    <x:row r="582">
      <x:c r="A582" t="str">
        <x:v>DW-0577</x:v>
      </x:c>
      <x:c r="B582" t="str">
        <x:v>DW-0577</x:v>
      </x:c>
      <x:c r="C582" t="str">
        <x:v>Parent historique</x:v>
      </x:c>
      <x:c r="D582" t="str">
        <x:v>commerce</x:v>
      </x:c>
      <x:c r="E582" t="str">
        <x:v>Pharmacie — variante 02</x:v>
      </x:c>
      <x:c r="F582" t="n">
        <x:v>8</x:v>
      </x:c>
      <x:c r="G582" t="n">
        <x:v>4</x:v>
      </x:c>
      <x:c r="H582" t="n">
        <x:v>0</x:v>
      </x:c>
      <x:c r="I582" t="str">
        <x:v>À qualifier par lieu</x:v>
      </x:c>
      <x:c r="J582" t="str">
        <x:v>https://github.com/darknigthmare/deadwall-last-enclosure/blob/1b3b9c5ba232734b1bda3453b4e20a0481bcdd74/codex-3000/originaux/DEADWALL_CODEX_SUPPLEMENT_1.23/FICHES_501_1000/DW-0577.md</x:v>
      </x:c>
      <x:c r="K582" t="str">
        <x:v>Source min 54,59 m ; max 54,59 m ; modèle 54 × 59 m ; niveaux 0, 1. Détails dans catalogue-existant.json.</x:v>
      </x:c>
    </x:row>
    <x:row r="583">
      <x:c r="A583" t="str">
        <x:v>DW-0578</x:v>
      </x:c>
      <x:c r="B583" t="str">
        <x:v>DW-0578</x:v>
      </x:c>
      <x:c r="C583" t="str">
        <x:v>Parent historique</x:v>
      </x:c>
      <x:c r="D583" t="str">
        <x:v>commerce</x:v>
      </x:c>
      <x:c r="E583" t="str">
        <x:v>Station-service — variante 02</x:v>
      </x:c>
      <x:c r="F583" t="n">
        <x:v>8</x:v>
      </x:c>
      <x:c r="G583" t="n">
        <x:v>5</x:v>
      </x:c>
      <x:c r="H583" t="n">
        <x:v>0</x:v>
      </x:c>
      <x:c r="I583" t="str">
        <x:v>À qualifier par lieu</x:v>
      </x:c>
      <x:c r="J583" t="str">
        <x:v>https://github.com/darknigthmare/deadwall-last-enclosure/blob/1b3b9c5ba232734b1bda3453b4e20a0481bcdd74/codex-3000/originaux/DEADWALL_CODEX_SUPPLEMENT_1.23/FICHES_501_1000/DW-0578.md</x:v>
      </x:c>
      <x:c r="K583" t="str">
        <x:v>Source min 65,22 m ; max 65,22 m ; modèle 65 × 22 m ; niveaux 0. Détails dans catalogue-existant.json.</x:v>
      </x:c>
    </x:row>
    <x:row r="584">
      <x:c r="A584" t="str">
        <x:v>DW-0579</x:v>
      </x:c>
      <x:c r="B584" t="str">
        <x:v>DW-0579</x:v>
      </x:c>
      <x:c r="C584" t="str">
        <x:v>Parent historique</x:v>
      </x:c>
      <x:c r="D584" t="str">
        <x:v>commerce</x:v>
      </x:c>
      <x:c r="E584" t="str">
        <x:v>Restaurant routier — variante 02</x:v>
      </x:c>
      <x:c r="F584" t="n">
        <x:v>8</x:v>
      </x:c>
      <x:c r="G584" t="n">
        <x:v>5</x:v>
      </x:c>
      <x:c r="H584" t="n">
        <x:v>0</x:v>
      </x:c>
      <x:c r="I584" t="str">
        <x:v>À qualifier par lieu</x:v>
      </x:c>
      <x:c r="J584" t="str">
        <x:v>https://github.com/darknigthmare/deadwall-last-enclosure/blob/1b3b9c5ba232734b1bda3453b4e20a0481bcdd74/codex-3000/originaux/DEADWALL_CODEX_SUPPLEMENT_1.23/FICHES_501_1000/DW-0579.md</x:v>
      </x:c>
      <x:c r="K584" t="str">
        <x:v>Source min 76,39 m ; max 76,39 m ; modèle 76 × 39 m ; niveaux 0. Détails dans catalogue-existant.json.</x:v>
      </x:c>
    </x:row>
    <x:row r="585">
      <x:c r="A585" t="str">
        <x:v>DW-0580</x:v>
      </x:c>
      <x:c r="B585" t="str">
        <x:v>DW-0580</x:v>
      </x:c>
      <x:c r="C585" t="str">
        <x:v>Parent historique</x:v>
      </x:c>
      <x:c r="D585" t="str">
        <x:v>commerce</x:v>
      </x:c>
      <x:c r="E585" t="str">
        <x:v>Hôtel — variante 02</x:v>
      </x:c>
      <x:c r="F585" t="n">
        <x:v>8</x:v>
      </x:c>
      <x:c r="G585" t="n">
        <x:v>6</x:v>
      </x:c>
      <x:c r="H585" t="n">
        <x:v>0</x:v>
      </x:c>
      <x:c r="I585" t="str">
        <x:v>À qualifier par lieu</x:v>
      </x:c>
      <x:c r="J585" t="str">
        <x:v>https://github.com/darknigthmare/deadwall-last-enclosure/blob/1b3b9c5ba232734b1bda3453b4e20a0481bcdd74/codex-3000/originaux/DEADWALL_CODEX_SUPPLEMENT_1.23/FICHES_501_1000/DW-0580.md</x:v>
      </x:c>
      <x:c r="K585" t="str">
        <x:v>Source min 15,56 m ; max 15,56 m ; modèle 28 × 56 m ; niveaux 0. Détails dans catalogue-existant.json.</x:v>
      </x:c>
    </x:row>
    <x:row r="586">
      <x:c r="A586" t="str">
        <x:v>DW-0581</x:v>
      </x:c>
      <x:c r="B586" t="str">
        <x:v>DW-0581</x:v>
      </x:c>
      <x:c r="C586" t="str">
        <x:v>Parent historique</x:v>
      </x:c>
      <x:c r="D586" t="str">
        <x:v>industrie</x:v>
      </x:c>
      <x:c r="E586" t="str">
        <x:v>Scierie — variante 02</x:v>
      </x:c>
      <x:c r="F586" t="n">
        <x:v>8</x:v>
      </x:c>
      <x:c r="G586" t="n">
        <x:v>5</x:v>
      </x:c>
      <x:c r="H586" t="n">
        <x:v>0</x:v>
      </x:c>
      <x:c r="I586" t="str">
        <x:v>À qualifier par lieu</x:v>
      </x:c>
      <x:c r="J586" t="str">
        <x:v>https://github.com/darknigthmare/deadwall-last-enclosure/blob/1b3b9c5ba232734b1bda3453b4e20a0481bcdd74/codex-3000/originaux/DEADWALL_CODEX_SUPPLEMENT_1.23/FICHES_501_1000/DW-0581.md</x:v>
      </x:c>
      <x:c r="K586" t="str">
        <x:v>Source min 26,19 m ; max 26,19 m ; modèle 26 × 22 m ; niveaux 0. Détails dans catalogue-existant.json.</x:v>
      </x:c>
    </x:row>
    <x:row r="587">
      <x:c r="A587" t="str">
        <x:v>DW-0582</x:v>
      </x:c>
      <x:c r="B587" t="str">
        <x:v>DW-0582</x:v>
      </x:c>
      <x:c r="C587" t="str">
        <x:v>Parent historique</x:v>
      </x:c>
      <x:c r="D587" t="str">
        <x:v>industrie</x:v>
      </x:c>
      <x:c r="E587" t="str">
        <x:v>Garage automobile — variante 02</x:v>
      </x:c>
      <x:c r="F587" t="n">
        <x:v>8</x:v>
      </x:c>
      <x:c r="G587" t="n">
        <x:v>5</x:v>
      </x:c>
      <x:c r="H587" t="n">
        <x:v>0</x:v>
      </x:c>
      <x:c r="I587" t="str">
        <x:v>À qualifier par lieu</x:v>
      </x:c>
      <x:c r="J587" t="str">
        <x:v>https://github.com/darknigthmare/deadwall-last-enclosure/blob/1b3b9c5ba232734b1bda3453b4e20a0481bcdd74/codex-3000/originaux/DEADWALL_CODEX_SUPPLEMENT_1.23/FICHES_501_1000/DW-0582.md</x:v>
      </x:c>
      <x:c r="K587" t="str">
        <x:v>Source min 37,36 m ; max 37,36 m ; modèle 37 × 36 m ; niveaux 0. Détails dans catalogue-existant.json.</x:v>
      </x:c>
    </x:row>
    <x:row r="588">
      <x:c r="A588" t="str">
        <x:v>DW-0583</x:v>
      </x:c>
      <x:c r="B588" t="str">
        <x:v>DW-0583</x:v>
      </x:c>
      <x:c r="C588" t="str">
        <x:v>Parent historique</x:v>
      </x:c>
      <x:c r="D588" t="str">
        <x:v>industrie</x:v>
      </x:c>
      <x:c r="E588" t="str">
        <x:v>Entrepôt logistique — variante 02</x:v>
      </x:c>
      <x:c r="F588" t="n">
        <x:v>8</x:v>
      </x:c>
      <x:c r="G588" t="n">
        <x:v>5</x:v>
      </x:c>
      <x:c r="H588" t="n">
        <x:v>0</x:v>
      </x:c>
      <x:c r="I588" t="str">
        <x:v>À qualifier par lieu</x:v>
      </x:c>
      <x:c r="J588" t="str">
        <x:v>https://github.com/darknigthmare/deadwall-last-enclosure/blob/1b3b9c5ba232734b1bda3453b4e20a0481bcdd74/codex-3000/originaux/DEADWALL_CODEX_SUPPLEMENT_1.23/FICHES_501_1000/DW-0583.md</x:v>
      </x:c>
      <x:c r="K588" t="str">
        <x:v>Source min 48,53 m ; max 48,53 m ; modèle 48 × 53 m ; niveaux 0. Détails dans catalogue-existant.json.</x:v>
      </x:c>
    </x:row>
    <x:row r="589">
      <x:c r="A589" t="str">
        <x:v>DW-0584</x:v>
      </x:c>
      <x:c r="B589" t="str">
        <x:v>DW-0584</x:v>
      </x:c>
      <x:c r="C589" t="str">
        <x:v>Parent historique</x:v>
      </x:c>
      <x:c r="D589" t="str">
        <x:v>industrie</x:v>
      </x:c>
      <x:c r="E589" t="str">
        <x:v>Petite usine — variante 02</x:v>
      </x:c>
      <x:c r="F589" t="n">
        <x:v>8</x:v>
      </x:c>
      <x:c r="G589" t="n">
        <x:v>5</x:v>
      </x:c>
      <x:c r="H589" t="n">
        <x:v>0</x:v>
      </x:c>
      <x:c r="I589" t="str">
        <x:v>À qualifier par lieu</x:v>
      </x:c>
      <x:c r="J589" t="str">
        <x:v>https://github.com/darknigthmare/deadwall-last-enclosure/blob/1b3b9c5ba232734b1bda3453b4e20a0481bcdd74/codex-3000/originaux/DEADWALL_CODEX_SUPPLEMENT_1.23/FICHES_501_1000/DW-0584.md</x:v>
      </x:c>
      <x:c r="K589" t="str">
        <x:v>Source min 59,16 m ; max 59,16 m ; modèle 59 × 22 m ; niveaux 0. Détails dans catalogue-existant.json.</x:v>
      </x:c>
    </x:row>
    <x:row r="590">
      <x:c r="A590" t="str">
        <x:v>DW-0585</x:v>
      </x:c>
      <x:c r="B590" t="str">
        <x:v>DW-0585</x:v>
      </x:c>
      <x:c r="C590" t="str">
        <x:v>Parent historique</x:v>
      </x:c>
      <x:c r="D590" t="str">
        <x:v>industrie</x:v>
      </x:c>
      <x:c r="E590" t="str">
        <x:v>Carrière — variante 02</x:v>
      </x:c>
      <x:c r="F590" t="n">
        <x:v>8</x:v>
      </x:c>
      <x:c r="G590" t="n">
        <x:v>5</x:v>
      </x:c>
      <x:c r="H590" t="n">
        <x:v>0</x:v>
      </x:c>
      <x:c r="I590" t="str">
        <x:v>À qualifier par lieu</x:v>
      </x:c>
      <x:c r="J590" t="str">
        <x:v>https://github.com/darknigthmare/deadwall-last-enclosure/blob/1b3b9c5ba232734b1bda3453b4e20a0481bcdd74/codex-3000/originaux/DEADWALL_CODEX_SUPPLEMENT_1.23/FICHES_501_1000/DW-0585.md</x:v>
      </x:c>
      <x:c r="K590" t="str">
        <x:v>Source min 70,33 m ; max 70,33 m ; modèle 70 × 33 m ; niveaux 0. Détails dans catalogue-existant.json.</x:v>
      </x:c>
    </x:row>
    <x:row r="591">
      <x:c r="A591" t="str">
        <x:v>DW-0586</x:v>
      </x:c>
      <x:c r="B591" t="str">
        <x:v>DW-0586</x:v>
      </x:c>
      <x:c r="C591" t="str">
        <x:v>Parent historique</x:v>
      </x:c>
      <x:c r="D591" t="str">
        <x:v>industrie</x:v>
      </x:c>
      <x:c r="E591" t="str">
        <x:v>Mine — variante 02</x:v>
      </x:c>
      <x:c r="F591" t="n">
        <x:v>8</x:v>
      </x:c>
      <x:c r="G591" t="n">
        <x:v>6</x:v>
      </x:c>
      <x:c r="H591" t="n">
        <x:v>0</x:v>
      </x:c>
      <x:c r="I591" t="str">
        <x:v>À qualifier par lieu</x:v>
      </x:c>
      <x:c r="J591" t="str">
        <x:v>https://github.com/darknigthmare/deadwall-last-enclosure/blob/1b3b9c5ba232734b1bda3453b4e20a0481bcdd74/codex-3000/originaux/DEADWALL_CODEX_SUPPLEMENT_1.23/FICHES_501_1000/DW-0586.md</x:v>
      </x:c>
      <x:c r="K591" t="str">
        <x:v>Source min 81,50 m ; max 81,50 m ; modèle 78 × 50 m ; niveaux 0. Détails dans catalogue-existant.json.</x:v>
      </x:c>
    </x:row>
    <x:row r="592">
      <x:c r="A592" t="str">
        <x:v>DW-0587</x:v>
      </x:c>
      <x:c r="B592" t="str">
        <x:v>DW-0587</x:v>
      </x:c>
      <x:c r="C592" t="str">
        <x:v>Parent historique</x:v>
      </x:c>
      <x:c r="D592" t="str">
        <x:v>industrie</x:v>
      </x:c>
      <x:c r="E592" t="str">
        <x:v>Centrale locale — variante 02</x:v>
      </x:c>
      <x:c r="F592" t="n">
        <x:v>8</x:v>
      </x:c>
      <x:c r="G592" t="n">
        <x:v>5</x:v>
      </x:c>
      <x:c r="H592" t="n">
        <x:v>0</x:v>
      </x:c>
      <x:c r="I592" t="str">
        <x:v>À qualifier par lieu</x:v>
      </x:c>
      <x:c r="J592" t="str">
        <x:v>https://github.com/darknigthmare/deadwall-last-enclosure/blob/1b3b9c5ba232734b1bda3453b4e20a0481bcdd74/codex-3000/originaux/DEADWALL_CODEX_SUPPLEMENT_1.23/FICHES_501_1000/DW-0587.md</x:v>
      </x:c>
      <x:c r="K592" t="str">
        <x:v>Source min 20,13 m ; max 20,13 m ; modèle 26 × 22 m ; niveaux 0. Détails dans catalogue-existant.json.</x:v>
      </x:c>
    </x:row>
    <x:row r="593">
      <x:c r="A593" t="str">
        <x:v>DW-0588</x:v>
      </x:c>
      <x:c r="B593" t="str">
        <x:v>DW-0588</x:v>
      </x:c>
      <x:c r="C593" t="str">
        <x:v>Parent historique</x:v>
      </x:c>
      <x:c r="D593" t="str">
        <x:v>industrie</x:v>
      </x:c>
      <x:c r="E593" t="str">
        <x:v>Station de pompage — variante 02</x:v>
      </x:c>
      <x:c r="F593" t="n">
        <x:v>8</x:v>
      </x:c>
      <x:c r="G593" t="n">
        <x:v>5</x:v>
      </x:c>
      <x:c r="H593" t="n">
        <x:v>0</x:v>
      </x:c>
      <x:c r="I593" t="str">
        <x:v>À qualifier par lieu</x:v>
      </x:c>
      <x:c r="J593" t="str">
        <x:v>https://github.com/darknigthmare/deadwall-last-enclosure/blob/1b3b9c5ba232734b1bda3453b4e20a0481bcdd74/codex-3000/originaux/DEADWALL_CODEX_SUPPLEMENT_1.23/FICHES_501_1000/DW-0588.md</x:v>
      </x:c>
      <x:c r="K593" t="str">
        <x:v>Source min 31,30 m ; max 31,30 m ; modèle 31 × 30 m ; niveaux 0. Détails dans catalogue-existant.json.</x:v>
      </x:c>
    </x:row>
    <x:row r="594">
      <x:c r="A594" t="str">
        <x:v>DW-0589</x:v>
      </x:c>
      <x:c r="B594" t="str">
        <x:v>DW-0589</x:v>
      </x:c>
      <x:c r="C594" t="str">
        <x:v>Parent historique</x:v>
      </x:c>
      <x:c r="D594" t="str">
        <x:v>public</x:v>
      </x:c>
      <x:c r="E594" t="str">
        <x:v>École — variante 02</x:v>
      </x:c>
      <x:c r="F594" t="n">
        <x:v>8</x:v>
      </x:c>
      <x:c r="G594" t="n">
        <x:v>5</x:v>
      </x:c>
      <x:c r="H594" t="n">
        <x:v>0</x:v>
      </x:c>
      <x:c r="I594" t="str">
        <x:v>À qualifier par lieu</x:v>
      </x:c>
      <x:c r="J594" t="str">
        <x:v>https://github.com/darknigthmare/deadwall-last-enclosure/blob/1b3b9c5ba232734b1bda3453b4e20a0481bcdd74/codex-3000/originaux/DEADWALL_CODEX_SUPPLEMENT_1.23/FICHES_501_1000/DW-0589.md</x:v>
      </x:c>
      <x:c r="K594" t="str">
        <x:v>Source min 42,47 m ; max 42,47 m ; modèle 42 × 47 m ; niveaux 0, 1. Détails dans catalogue-existant.json.</x:v>
      </x:c>
    </x:row>
    <x:row r="595">
      <x:c r="A595" t="str">
        <x:v>DW-0590</x:v>
      </x:c>
      <x:c r="B595" t="str">
        <x:v>DW-0590</x:v>
      </x:c>
      <x:c r="C595" t="str">
        <x:v>Parent historique</x:v>
      </x:c>
      <x:c r="D595" t="str">
        <x:v>public</x:v>
      </x:c>
      <x:c r="E595" t="str">
        <x:v>Mairie — variante 02</x:v>
      </x:c>
      <x:c r="F595" t="n">
        <x:v>8</x:v>
      </x:c>
      <x:c r="G595" t="n">
        <x:v>5</x:v>
      </x:c>
      <x:c r="H595" t="n">
        <x:v>0</x:v>
      </x:c>
      <x:c r="I595" t="str">
        <x:v>À qualifier par lieu</x:v>
      </x:c>
      <x:c r="J595" t="str">
        <x:v>https://github.com/darknigthmare/deadwall-last-enclosure/blob/1b3b9c5ba232734b1bda3453b4e20a0481bcdd74/codex-3000/originaux/DEADWALL_CODEX_SUPPLEMENT_1.23/FICHES_501_1000/DW-0590.md</x:v>
      </x:c>
      <x:c r="K595" t="str">
        <x:v>Source min 53,10 m ; max 53,10 m ; modèle 53 × 22 m ; niveaux 0. Détails dans catalogue-existant.json.</x:v>
      </x:c>
    </x:row>
    <x:row r="596">
      <x:c r="A596" t="str">
        <x:v>DW-0591</x:v>
      </x:c>
      <x:c r="B596" t="str">
        <x:v>DW-0591</x:v>
      </x:c>
      <x:c r="C596" t="str">
        <x:v>Parent historique</x:v>
      </x:c>
      <x:c r="D596" t="str">
        <x:v>public</x:v>
      </x:c>
      <x:c r="E596" t="str">
        <x:v>Clinique — variante 02</x:v>
      </x:c>
      <x:c r="F596" t="n">
        <x:v>8</x:v>
      </x:c>
      <x:c r="G596" t="n">
        <x:v>6</x:v>
      </x:c>
      <x:c r="H596" t="n">
        <x:v>0</x:v>
      </x:c>
      <x:c r="I596" t="str">
        <x:v>À qualifier par lieu</x:v>
      </x:c>
      <x:c r="J596" t="str">
        <x:v>https://github.com/darknigthmare/deadwall-last-enclosure/blob/1b3b9c5ba232734b1bda3453b4e20a0481bcdd74/codex-3000/originaux/DEADWALL_CODEX_SUPPLEMENT_1.23/FICHES_501_1000/DW-0591.md</x:v>
      </x:c>
      <x:c r="K596" t="str">
        <x:v>Source min 64,27 m ; max 64,27 m ; modèle 64 × 27 m ; niveaux 0. Détails dans catalogue-existant.json.</x:v>
      </x:c>
    </x:row>
    <x:row r="597">
      <x:c r="A597" t="str">
        <x:v>DW-0592</x:v>
      </x:c>
      <x:c r="B597" t="str">
        <x:v>DW-0592</x:v>
      </x:c>
      <x:c r="C597" t="str">
        <x:v>Parent historique</x:v>
      </x:c>
      <x:c r="D597" t="str">
        <x:v>public</x:v>
      </x:c>
      <x:c r="E597" t="str">
        <x:v>Caserne de pompiers — variante 02</x:v>
      </x:c>
      <x:c r="F597" t="n">
        <x:v>8</x:v>
      </x:c>
      <x:c r="G597" t="n">
        <x:v>6</x:v>
      </x:c>
      <x:c r="H597" t="n">
        <x:v>0</x:v>
      </x:c>
      <x:c r="I597" t="str">
        <x:v>À qualifier par lieu</x:v>
      </x:c>
      <x:c r="J597" t="str">
        <x:v>https://github.com/darknigthmare/deadwall-last-enclosure/blob/1b3b9c5ba232734b1bda3453b4e20a0481bcdd74/codex-3000/originaux/DEADWALL_CODEX_SUPPLEMENT_1.23/FICHES_501_1000/DW-0592.md</x:v>
      </x:c>
      <x:c r="K597" t="str">
        <x:v>Source min 75,44 m ; max 75,44 m ; modèle 75 × 44 m ; niveaux 0. Détails dans catalogue-existant.json.</x:v>
      </x:c>
    </x:row>
    <x:row r="598">
      <x:c r="A598" t="str">
        <x:v>DW-0593</x:v>
      </x:c>
      <x:c r="B598" t="str">
        <x:v>DW-0593</x:v>
      </x:c>
      <x:c r="C598" t="str">
        <x:v>Parent historique</x:v>
      </x:c>
      <x:c r="D598" t="str">
        <x:v>public</x:v>
      </x:c>
      <x:c r="E598" t="str">
        <x:v>Poste de police — variante 02</x:v>
      </x:c>
      <x:c r="F598" t="n">
        <x:v>8</x:v>
      </x:c>
      <x:c r="G598" t="n">
        <x:v>5</x:v>
      </x:c>
      <x:c r="H598" t="n">
        <x:v>0</x:v>
      </x:c>
      <x:c r="I598" t="str">
        <x:v>À qualifier par lieu</x:v>
      </x:c>
      <x:c r="J598" t="str">
        <x:v>https://github.com/darknigthmare/deadwall-last-enclosure/blob/1b3b9c5ba232734b1bda3453b4e20a0481bcdd74/codex-3000/originaux/DEADWALL_CODEX_SUPPLEMENT_1.23/FICHES_501_1000/DW-0593.md</x:v>
      </x:c>
      <x:c r="K598" t="str">
        <x:v>Source min 14,61 m ; max 14,61 m ; modèle 26 × 61 m ; niveaux 0, 1. Détails dans catalogue-existant.json.</x:v>
      </x:c>
    </x:row>
    <x:row r="599">
      <x:c r="A599" t="str">
        <x:v>DW-0594</x:v>
      </x:c>
      <x:c r="B599" t="str">
        <x:v>DW-0594</x:v>
      </x:c>
      <x:c r="C599" t="str">
        <x:v>Parent historique</x:v>
      </x:c>
      <x:c r="D599" t="str">
        <x:v>public</x:v>
      </x:c>
      <x:c r="E599" t="str">
        <x:v>Bibliothèque — variante 02</x:v>
      </x:c>
      <x:c r="F599" t="n">
        <x:v>8</x:v>
      </x:c>
      <x:c r="G599" t="n">
        <x:v>5</x:v>
      </x:c>
      <x:c r="H599" t="n">
        <x:v>0</x:v>
      </x:c>
      <x:c r="I599" t="str">
        <x:v>À qualifier par lieu</x:v>
      </x:c>
      <x:c r="J599" t="str">
        <x:v>https://github.com/darknigthmare/deadwall-last-enclosure/blob/1b3b9c5ba232734b1bda3453b4e20a0481bcdd74/codex-3000/originaux/DEADWALL_CODEX_SUPPLEMENT_1.23/FICHES_501_1000/DW-0594.md</x:v>
      </x:c>
      <x:c r="K599" t="str">
        <x:v>Source min 25,24 m ; max 25,24 m ; modèle 26 × 24 m ; niveaux 0. Détails dans catalogue-existant.json.</x:v>
      </x:c>
    </x:row>
    <x:row r="600">
      <x:c r="A600" t="str">
        <x:v>DW-0595</x:v>
      </x:c>
      <x:c r="B600" t="str">
        <x:v>DW-0595</x:v>
      </x:c>
      <x:c r="C600" t="str">
        <x:v>Parent historique</x:v>
      </x:c>
      <x:c r="D600" t="str">
        <x:v>public</x:v>
      </x:c>
      <x:c r="E600" t="str">
        <x:v>Salle des fêtes — variante 02</x:v>
      </x:c>
      <x:c r="F600" t="n">
        <x:v>8</x:v>
      </x:c>
      <x:c r="G600" t="n">
        <x:v>5</x:v>
      </x:c>
      <x:c r="H600" t="n">
        <x:v>0</x:v>
      </x:c>
      <x:c r="I600" t="str">
        <x:v>À qualifier par lieu</x:v>
      </x:c>
      <x:c r="J600" t="str">
        <x:v>https://github.com/darknigthmare/deadwall-last-enclosure/blob/1b3b9c5ba232734b1bda3453b4e20a0481bcdd74/codex-3000/originaux/DEADWALL_CODEX_SUPPLEMENT_1.23/FICHES_501_1000/DW-0595.md</x:v>
      </x:c>
      <x:c r="K600" t="str">
        <x:v>Source min 36,41 m ; max 36,41 m ; modèle 36 × 41 m ; niveaux 0. Détails dans catalogue-existant.json.</x:v>
      </x:c>
    </x:row>
    <x:row r="601">
      <x:c r="A601" t="str">
        <x:v>DW-0596</x:v>
      </x:c>
      <x:c r="B601" t="str">
        <x:v>DW-0596</x:v>
      </x:c>
      <x:c r="C601" t="str">
        <x:v>Parent historique</x:v>
      </x:c>
      <x:c r="D601" t="str">
        <x:v>public</x:v>
      </x:c>
      <x:c r="E601" t="str">
        <x:v>Église et presbytère — variante 02</x:v>
      </x:c>
      <x:c r="F601" t="n">
        <x:v>8</x:v>
      </x:c>
      <x:c r="G601" t="n">
        <x:v>5</x:v>
      </x:c>
      <x:c r="H601" t="n">
        <x:v>0</x:v>
      </x:c>
      <x:c r="I601" t="str">
        <x:v>À qualifier par lieu</x:v>
      </x:c>
      <x:c r="J601" t="str">
        <x:v>https://github.com/darknigthmare/deadwall-last-enclosure/blob/1b3b9c5ba232734b1bda3453b4e20a0481bcdd74/codex-3000/originaux/DEADWALL_CODEX_SUPPLEMENT_1.23/FICHES_501_1000/DW-0596.md</x:v>
      </x:c>
      <x:c r="K601" t="str">
        <x:v>Source min 47,58 m ; max 47,58 m ; modèle 47 × 58 m ; niveaux 0. Détails dans catalogue-existant.json.</x:v>
      </x:c>
    </x:row>
    <x:row r="602">
      <x:c r="A602" t="str">
        <x:v>DW-0597</x:v>
      </x:c>
      <x:c r="B602" t="str">
        <x:v>DW-0597</x:v>
      </x:c>
      <x:c r="C602" t="str">
        <x:v>Parent historique</x:v>
      </x:c>
      <x:c r="D602" t="str">
        <x:v>rural</x:v>
      </x:c>
      <x:c r="E602" t="str">
        <x:v>Hameau agricole — variante 02</x:v>
      </x:c>
      <x:c r="F602" t="n">
        <x:v>8</x:v>
      </x:c>
      <x:c r="G602" t="n">
        <x:v>6</x:v>
      </x:c>
      <x:c r="H602" t="n">
        <x:v>0</x:v>
      </x:c>
      <x:c r="I602" t="str">
        <x:v>À qualifier par lieu</x:v>
      </x:c>
      <x:c r="J602" t="str">
        <x:v>https://github.com/darknigthmare/deadwall-last-enclosure/blob/1b3b9c5ba232734b1bda3453b4e20a0481bcdd74/codex-3000/originaux/DEADWALL_CODEX_SUPPLEMENT_1.23/FICHES_501_1000/DW-0597.md</x:v>
      </x:c>
      <x:c r="K602" t="str">
        <x:v>Source min 58,21 m ; max 58,21 m ; modèle 58 × 22 m ; niveaux 0. Détails dans catalogue-existant.json.</x:v>
      </x:c>
    </x:row>
    <x:row r="603">
      <x:c r="A603" t="str">
        <x:v>DW-0598</x:v>
      </x:c>
      <x:c r="B603" t="str">
        <x:v>DW-0598</x:v>
      </x:c>
      <x:c r="C603" t="str">
        <x:v>Parent historique</x:v>
      </x:c>
      <x:c r="D603" t="str">
        <x:v>rural</x:v>
      </x:c>
      <x:c r="E603" t="str">
        <x:v>Cabane forestière — variante 02</x:v>
      </x:c>
      <x:c r="F603" t="n">
        <x:v>8</x:v>
      </x:c>
      <x:c r="G603" t="n">
        <x:v>4</x:v>
      </x:c>
      <x:c r="H603" t="n">
        <x:v>0</x:v>
      </x:c>
      <x:c r="I603" t="str">
        <x:v>À qualifier par lieu</x:v>
      </x:c>
      <x:c r="J603" t="str">
        <x:v>https://github.com/darknigthmare/deadwall-last-enclosure/blob/1b3b9c5ba232734b1bda3453b4e20a0481bcdd74/codex-3000/originaux/DEADWALL_CODEX_SUPPLEMENT_1.23/FICHES_501_1000/DW-0598.md</x:v>
      </x:c>
      <x:c r="K603" t="str">
        <x:v>Source min 69,38 m ; max 69,38 m ; modèle 69 × 38 m ; niveaux 0. Détails dans catalogue-existant.json.</x:v>
      </x:c>
    </x:row>
    <x:row r="604">
      <x:c r="A604" t="str">
        <x:v>DW-0599</x:v>
      </x:c>
      <x:c r="B604" t="str">
        <x:v>DW-0599</x:v>
      </x:c>
      <x:c r="C604" t="str">
        <x:v>Parent historique</x:v>
      </x:c>
      <x:c r="D604" t="str">
        <x:v>rural</x:v>
      </x:c>
      <x:c r="E604" t="str">
        <x:v>Dépôt forestier — variante 02</x:v>
      </x:c>
      <x:c r="F604" t="n">
        <x:v>8</x:v>
      </x:c>
      <x:c r="G604" t="n">
        <x:v>5</x:v>
      </x:c>
      <x:c r="H604" t="n">
        <x:v>0</x:v>
      </x:c>
      <x:c r="I604" t="str">
        <x:v>À qualifier par lieu</x:v>
      </x:c>
      <x:c r="J604" t="str">
        <x:v>https://github.com/darknigthmare/deadwall-last-enclosure/blob/1b3b9c5ba232734b1bda3453b4e20a0481bcdd74/codex-3000/originaux/DEADWALL_CODEX_SUPPLEMENT_1.23/FICHES_501_1000/DW-0599.md</x:v>
      </x:c>
      <x:c r="K604" t="str">
        <x:v>Source min 80,55 m ; max 80,55 m ; modèle 78 × 55 m ; niveaux 0. Détails dans catalogue-existant.json.</x:v>
      </x:c>
    </x:row>
    <x:row r="605">
      <x:c r="A605" t="str">
        <x:v>DW-0600</x:v>
      </x:c>
      <x:c r="B605" t="str">
        <x:v>DW-0600</x:v>
      </x:c>
      <x:c r="C605" t="str">
        <x:v>Parent historique</x:v>
      </x:c>
      <x:c r="D605" t="str">
        <x:v>rural</x:v>
      </x:c>
      <x:c r="E605" t="str">
        <x:v>Ferme céréalière — variante 02</x:v>
      </x:c>
      <x:c r="F605" t="n">
        <x:v>8</x:v>
      </x:c>
      <x:c r="G605" t="n">
        <x:v>5</x:v>
      </x:c>
      <x:c r="H605" t="n">
        <x:v>0</x:v>
      </x:c>
      <x:c r="I605" t="str">
        <x:v>À qualifier par lieu</x:v>
      </x:c>
      <x:c r="J605" t="str">
        <x:v>https://github.com/darknigthmare/deadwall-last-enclosure/blob/1b3b9c5ba232734b1bda3453b4e20a0481bcdd74/codex-3000/originaux/DEADWALL_CODEX_SUPPLEMENT_1.23/FICHES_501_1000/DW-0600.md</x:v>
      </x:c>
      <x:c r="K605" t="str">
        <x:v>Source min 19,18 m ; max 19,18 m ; modèle 26 × 22 m ; niveaux 0. Détails dans catalogue-existant.json.</x:v>
      </x:c>
    </x:row>
    <x:row r="606">
      <x:c r="A606" t="str">
        <x:v>DW-0601</x:v>
      </x:c>
      <x:c r="B606" t="str">
        <x:v>DW-0601</x:v>
      </x:c>
      <x:c r="C606" t="str">
        <x:v>Parent historique</x:v>
      </x:c>
      <x:c r="D606" t="str">
        <x:v>rural</x:v>
      </x:c>
      <x:c r="E606" t="str">
        <x:v>Ferme d'élevage — variante 02</x:v>
      </x:c>
      <x:c r="F606" t="n">
        <x:v>8</x:v>
      </x:c>
      <x:c r="G606" t="n">
        <x:v>5</x:v>
      </x:c>
      <x:c r="H606" t="n">
        <x:v>0</x:v>
      </x:c>
      <x:c r="I606" t="str">
        <x:v>À qualifier par lieu</x:v>
      </x:c>
      <x:c r="J606" t="str">
        <x:v>https://github.com/darknigthmare/deadwall-last-enclosure/blob/1b3b9c5ba232734b1bda3453b4e20a0481bcdd74/codex-3000/originaux/DEADWALL_CODEX_SUPPLEMENT_1.23/FICHES_501_1000/DW-0601.md</x:v>
      </x:c>
      <x:c r="K606" t="str">
        <x:v>Source min 30,35 m ; max 30,35 m ; modèle 30 × 35 m ; niveaux 0. Détails dans catalogue-existant.json.</x:v>
      </x:c>
    </x:row>
    <x:row r="607">
      <x:c r="A607" t="str">
        <x:v>DW-0602</x:v>
      </x:c>
      <x:c r="B607" t="str">
        <x:v>DW-0602</x:v>
      </x:c>
      <x:c r="C607" t="str">
        <x:v>Parent historique</x:v>
      </x:c>
      <x:c r="D607" t="str">
        <x:v>rural</x:v>
      </x:c>
      <x:c r="E607" t="str">
        <x:v>Relais de chasse — variante 02</x:v>
      </x:c>
      <x:c r="F607" t="n">
        <x:v>8</x:v>
      </x:c>
      <x:c r="G607" t="n">
        <x:v>4</x:v>
      </x:c>
      <x:c r="H607" t="n">
        <x:v>0</x:v>
      </x:c>
      <x:c r="I607" t="str">
        <x:v>À qualifier par lieu</x:v>
      </x:c>
      <x:c r="J607" t="str">
        <x:v>https://github.com/darknigthmare/deadwall-last-enclosure/blob/1b3b9c5ba232734b1bda3453b4e20a0481bcdd74/codex-3000/originaux/DEADWALL_CODEX_SUPPLEMENT_1.23/FICHES_501_1000/DW-0602.md</x:v>
      </x:c>
      <x:c r="K607" t="str">
        <x:v>Source min 41,52 m ; max 41,52 m ; modèle 41 × 52 m ; niveaux 0. Détails dans catalogue-existant.json.</x:v>
      </x:c>
    </x:row>
    <x:row r="608">
      <x:c r="A608" t="str">
        <x:v>DW-0603</x:v>
      </x:c>
      <x:c r="B608" t="str">
        <x:v>DW-0603</x:v>
      </x:c>
      <x:c r="C608" t="str">
        <x:v>Parent historique</x:v>
      </x:c>
      <x:c r="D608" t="str">
        <x:v>rural</x:v>
      </x:c>
      <x:c r="E608" t="str">
        <x:v>Moulin rural — variante 02</x:v>
      </x:c>
      <x:c r="F608" t="n">
        <x:v>8</x:v>
      </x:c>
      <x:c r="G608" t="n">
        <x:v>4</x:v>
      </x:c>
      <x:c r="H608" t="n">
        <x:v>0</x:v>
      </x:c>
      <x:c r="I608" t="str">
        <x:v>À qualifier par lieu</x:v>
      </x:c>
      <x:c r="J608" t="str">
        <x:v>https://github.com/darknigthmare/deadwall-last-enclosure/blob/1b3b9c5ba232734b1bda3453b4e20a0481bcdd74/codex-3000/originaux/DEADWALL_CODEX_SUPPLEMENT_1.23/FICHES_501_1000/DW-0603.md</x:v>
      </x:c>
      <x:c r="K608" t="str">
        <x:v>Source min 52,15 m ; max 52,15 m ; modèle 52 × 18 m ; niveaux 0. Détails dans catalogue-existant.json.</x:v>
      </x:c>
    </x:row>
    <x:row r="609">
      <x:c r="A609" t="str">
        <x:v>DW-0604</x:v>
      </x:c>
      <x:c r="B609" t="str">
        <x:v>DW-0604</x:v>
      </x:c>
      <x:c r="C609" t="str">
        <x:v>Parent historique</x:v>
      </x:c>
      <x:c r="D609" t="str">
        <x:v>rural</x:v>
      </x:c>
      <x:c r="E609" t="str">
        <x:v>Serres maraîchères — variante 02</x:v>
      </x:c>
      <x:c r="F609" t="n">
        <x:v>8</x:v>
      </x:c>
      <x:c r="G609" t="n">
        <x:v>5</x:v>
      </x:c>
      <x:c r="H609" t="n">
        <x:v>0</x:v>
      </x:c>
      <x:c r="I609" t="str">
        <x:v>À qualifier par lieu</x:v>
      </x:c>
      <x:c r="J609" t="str">
        <x:v>https://github.com/darknigthmare/deadwall-last-enclosure/blob/1b3b9c5ba232734b1bda3453b4e20a0481bcdd74/codex-3000/originaux/DEADWALL_CODEX_SUPPLEMENT_1.23/FICHES_501_1000/DW-0604.md</x:v>
      </x:c>
      <x:c r="K609" t="str">
        <x:v>Source min 63,32 m ; max 63,32 m ; modèle 63 × 32 m ; niveaux 0. Détails dans catalogue-existant.json.</x:v>
      </x:c>
    </x:row>
    <x:row r="610">
      <x:c r="A610" t="str">
        <x:v>DW-0605</x:v>
      </x:c>
      <x:c r="B610" t="str">
        <x:v>DW-0605</x:v>
      </x:c>
      <x:c r="C610" t="str">
        <x:v>Parent historique</x:v>
      </x:c>
      <x:c r="D610" t="str">
        <x:v>militaire</x:v>
      </x:c>
      <x:c r="E610" t="str">
        <x:v>Bunker de défense civile — variante 02</x:v>
      </x:c>
      <x:c r="F610" t="n">
        <x:v>8</x:v>
      </x:c>
      <x:c r="G610" t="n">
        <x:v>6</x:v>
      </x:c>
      <x:c r="H610" t="n">
        <x:v>0</x:v>
      </x:c>
      <x:c r="I610" t="str">
        <x:v>À qualifier par lieu</x:v>
      </x:c>
      <x:c r="J610" t="str">
        <x:v>https://github.com/darknigthmare/deadwall-last-enclosure/blob/1b3b9c5ba232734b1bda3453b4e20a0481bcdd74/codex-3000/originaux/DEADWALL_CODEX_SUPPLEMENT_1.23/FICHES_501_1000/DW-0605.md</x:v>
      </x:c>
      <x:c r="K610" t="str">
        <x:v>Source min 74,49 m ; max 74,49 m ; modèle 74 × 49 m ; niveaux 0, 1. Détails dans catalogue-existant.json.</x:v>
      </x:c>
    </x:row>
    <x:row r="611">
      <x:c r="A611" t="str">
        <x:v>DW-0606</x:v>
      </x:c>
      <x:c r="B611" t="str">
        <x:v>DW-0606</x:v>
      </x:c>
      <x:c r="C611" t="str">
        <x:v>Parent historique</x:v>
      </x:c>
      <x:c r="D611" t="str">
        <x:v>militaire</x:v>
      </x:c>
      <x:c r="E611" t="str">
        <x:v>Dépôt militaire — variante 02</x:v>
      </x:c>
      <x:c r="F611" t="n">
        <x:v>8</x:v>
      </x:c>
      <x:c r="G611" t="n">
        <x:v>5</x:v>
      </x:c>
      <x:c r="H611" t="n">
        <x:v>0</x:v>
      </x:c>
      <x:c r="I611" t="str">
        <x:v>À qualifier par lieu</x:v>
      </x:c>
      <x:c r="J611" t="str">
        <x:v>https://github.com/darknigthmare/deadwall-last-enclosure/blob/1b3b9c5ba232734b1bda3453b4e20a0481bcdd74/codex-3000/originaux/DEADWALL_CODEX_SUPPLEMENT_1.23/FICHES_501_1000/DW-0606.md</x:v>
      </x:c>
      <x:c r="K611" t="str">
        <x:v>Source min 13,12 m ; max 13,12 m ; modèle 26 × 22 m ; niveaux 0. Détails dans catalogue-existant.json.</x:v>
      </x:c>
    </x:row>
    <x:row r="612">
      <x:c r="A612" t="str">
        <x:v>DW-0607</x:v>
      </x:c>
      <x:c r="B612" t="str">
        <x:v>DW-0607</x:v>
      </x:c>
      <x:c r="C612" t="str">
        <x:v>Parent historique</x:v>
      </x:c>
      <x:c r="D612" t="str">
        <x:v>militaire</x:v>
      </x:c>
      <x:c r="E612" t="str">
        <x:v>Poste de contrôle — variante 02</x:v>
      </x:c>
      <x:c r="F612" t="n">
        <x:v>8</x:v>
      </x:c>
      <x:c r="G612" t="n">
        <x:v>5</x:v>
      </x:c>
      <x:c r="H612" t="n">
        <x:v>0</x:v>
      </x:c>
      <x:c r="I612" t="str">
        <x:v>À qualifier par lieu</x:v>
      </x:c>
      <x:c r="J612" t="str">
        <x:v>https://github.com/darknigthmare/deadwall-last-enclosure/blob/1b3b9c5ba232734b1bda3453b4e20a0481bcdd74/codex-3000/originaux/DEADWALL_CODEX_SUPPLEMENT_1.23/FICHES_501_1000/DW-0607.md</x:v>
      </x:c>
      <x:c r="K612" t="str">
        <x:v>Source min 24,29 m ; max 24,29 m ; modèle 26 × 29 m ; niveaux 0. Détails dans catalogue-existant.json.</x:v>
      </x:c>
    </x:row>
    <x:row r="613">
      <x:c r="A613" t="str">
        <x:v>DW-0608</x:v>
      </x:c>
      <x:c r="B613" t="str">
        <x:v>DW-0608</x:v>
      </x:c>
      <x:c r="C613" t="str">
        <x:v>Parent historique</x:v>
      </x:c>
      <x:c r="D613" t="str">
        <x:v>militaire</x:v>
      </x:c>
      <x:c r="E613" t="str">
        <x:v>Camp retranché abandonné — variante 02</x:v>
      </x:c>
      <x:c r="F613" t="n">
        <x:v>8</x:v>
      </x:c>
      <x:c r="G613" t="n">
        <x:v>5</x:v>
      </x:c>
      <x:c r="H613" t="n">
        <x:v>0</x:v>
      </x:c>
      <x:c r="I613" t="str">
        <x:v>À qualifier par lieu</x:v>
      </x:c>
      <x:c r="J613" t="str">
        <x:v>https://github.com/darknigthmare/deadwall-last-enclosure/blob/1b3b9c5ba232734b1bda3453b4e20a0481bcdd74/codex-3000/originaux/DEADWALL_CODEX_SUPPLEMENT_1.23/FICHES_501_1000/DW-0608.md</x:v>
      </x:c>
      <x:c r="K613" t="str">
        <x:v>Source min 35,46 m ; max 35,46 m ; modèle 35 × 46 m ; niveaux 0. Détails dans catalogue-existant.json.</x:v>
      </x:c>
    </x:row>
    <x:row r="614">
      <x:c r="A614" t="str">
        <x:v>DW-0609</x:v>
      </x:c>
      <x:c r="B614" t="str">
        <x:v>DW-0609</x:v>
      </x:c>
      <x:c r="C614" t="str">
        <x:v>Parent historique</x:v>
      </x:c>
      <x:c r="D614" t="str">
        <x:v>militaire</x:v>
      </x:c>
      <x:c r="E614" t="str">
        <x:v>Abri ferroviaire — variante 02</x:v>
      </x:c>
      <x:c r="F614" t="n">
        <x:v>8</x:v>
      </x:c>
      <x:c r="G614" t="n">
        <x:v>4</x:v>
      </x:c>
      <x:c r="H614" t="n">
        <x:v>0</x:v>
      </x:c>
      <x:c r="I614" t="str">
        <x:v>À qualifier par lieu</x:v>
      </x:c>
      <x:c r="J614" t="str">
        <x:v>https://github.com/darknigthmare/deadwall-last-enclosure/blob/1b3b9c5ba232734b1bda3453b4e20a0481bcdd74/codex-3000/originaux/DEADWALL_CODEX_SUPPLEMENT_1.23/FICHES_501_1000/DW-0609.md</x:v>
      </x:c>
      <x:c r="K614" t="str">
        <x:v>Source min 46,9 m ; max 46,9 m ; modèle 46 × 18 m ; niveaux 0. Détails dans catalogue-existant.json.</x:v>
      </x:c>
    </x:row>
    <x:row r="615">
      <x:c r="A615" t="str">
        <x:v>DW-0610</x:v>
      </x:c>
      <x:c r="B615" t="str">
        <x:v>DW-0610</x:v>
      </x:c>
      <x:c r="C615" t="str">
        <x:v>Parent historique</x:v>
      </x:c>
      <x:c r="D615" t="str">
        <x:v>militaire</x:v>
      </x:c>
      <x:c r="E615" t="str">
        <x:v>Site radar — variante 02</x:v>
      </x:c>
      <x:c r="F615" t="n">
        <x:v>8</x:v>
      </x:c>
      <x:c r="G615" t="n">
        <x:v>5</x:v>
      </x:c>
      <x:c r="H615" t="n">
        <x:v>0</x:v>
      </x:c>
      <x:c r="I615" t="str">
        <x:v>À qualifier par lieu</x:v>
      </x:c>
      <x:c r="J615" t="str">
        <x:v>https://github.com/darknigthmare/deadwall-last-enclosure/blob/1b3b9c5ba232734b1bda3453b4e20a0481bcdd74/codex-3000/originaux/DEADWALL_CODEX_SUPPLEMENT_1.23/FICHES_501_1000/DW-0610.md</x:v>
      </x:c>
      <x:c r="K615" t="str">
        <x:v>Source min 57,26 m ; max 57,26 m ; modèle 57 × 26 m ; niveaux 0. Détails dans catalogue-existant.json.</x:v>
      </x:c>
    </x:row>
    <x:row r="616">
      <x:c r="A616" t="str">
        <x:v>DW-0611</x:v>
      </x:c>
      <x:c r="B616" t="str">
        <x:v>DW-0611</x:v>
      </x:c>
      <x:c r="C616" t="str">
        <x:v>Parent historique</x:v>
      </x:c>
      <x:c r="D616" t="str">
        <x:v>militaire</x:v>
      </x:c>
      <x:c r="E616" t="str">
        <x:v>Batterie côtière — variante 02</x:v>
      </x:c>
      <x:c r="F616" t="n">
        <x:v>8</x:v>
      </x:c>
      <x:c r="G616" t="n">
        <x:v>4</x:v>
      </x:c>
      <x:c r="H616" t="n">
        <x:v>0</x:v>
      </x:c>
      <x:c r="I616" t="str">
        <x:v>À qualifier par lieu</x:v>
      </x:c>
      <x:c r="J616" t="str">
        <x:v>https://github.com/darknigthmare/deadwall-last-enclosure/blob/1b3b9c5ba232734b1bda3453b4e20a0481bcdd74/codex-3000/originaux/DEADWALL_CODEX_SUPPLEMENT_1.23/FICHES_501_1000/DW-0611.md</x:v>
      </x:c>
      <x:c r="K616" t="str">
        <x:v>Source min 68,43 m ; max 68,43 m ; modèle 68 × 43 m ; niveaux 0. Détails dans catalogue-existant.json.</x:v>
      </x:c>
    </x:row>
    <x:row r="617">
      <x:c r="A617" t="str">
        <x:v>DW-0612</x:v>
      </x:c>
      <x:c r="B617" t="str">
        <x:v>DW-0612</x:v>
      </x:c>
      <x:c r="C617" t="str">
        <x:v>Parent historique</x:v>
      </x:c>
      <x:c r="D617" t="str">
        <x:v>militaire</x:v>
      </x:c>
      <x:c r="E617" t="str">
        <x:v>Dépôt carburant sécurisé — variante 02</x:v>
      </x:c>
      <x:c r="F617" t="n">
        <x:v>8</x:v>
      </x:c>
      <x:c r="G617" t="n">
        <x:v>5</x:v>
      </x:c>
      <x:c r="H617" t="n">
        <x:v>0</x:v>
      </x:c>
      <x:c r="I617" t="str">
        <x:v>À qualifier par lieu</x:v>
      </x:c>
      <x:c r="J617" t="str">
        <x:v>https://github.com/darknigthmare/deadwall-last-enclosure/blob/1b3b9c5ba232734b1bda3453b4e20a0481bcdd74/codex-3000/originaux/DEADWALL_CODEX_SUPPLEMENT_1.23/FICHES_501_1000/DW-0612.md</x:v>
      </x:c>
      <x:c r="K617" t="str">
        <x:v>Source min 79,60 m ; max 79,60 m ; modèle 78 × 60 m ; niveaux 0. Détails dans catalogue-existant.json.</x:v>
      </x:c>
    </x:row>
    <x:row r="618">
      <x:c r="A618" t="str">
        <x:v>DW-0613</x:v>
      </x:c>
      <x:c r="B618" t="str">
        <x:v>DW-0613</x:v>
      </x:c>
      <x:c r="C618" t="str">
        <x:v>Parent historique</x:v>
      </x:c>
      <x:c r="D618" t="str">
        <x:v>transport</x:v>
      </x:c>
      <x:c r="E618" t="str">
        <x:v>Gare routière — variante 02</x:v>
      </x:c>
      <x:c r="F618" t="n">
        <x:v>8</x:v>
      </x:c>
      <x:c r="G618" t="n">
        <x:v>5</x:v>
      </x:c>
      <x:c r="H618" t="n">
        <x:v>0</x:v>
      </x:c>
      <x:c r="I618" t="str">
        <x:v>À qualifier par lieu</x:v>
      </x:c>
      <x:c r="J618" t="str">
        <x:v>https://github.com/darknigthmare/deadwall-last-enclosure/blob/1b3b9c5ba232734b1bda3453b4e20a0481bcdd74/codex-3000/originaux/DEADWALL_CODEX_SUPPLEMENT_1.23/FICHES_501_1000/DW-0613.md</x:v>
      </x:c>
      <x:c r="K618" t="str">
        <x:v>Source min 18,23 m ; max 18,23 m ; modèle 26 × 23 m ; niveaux 0. Détails dans catalogue-existant.json.</x:v>
      </x:c>
    </x:row>
    <x:row r="619">
      <x:c r="A619" t="str">
        <x:v>DW-0614</x:v>
      </x:c>
      <x:c r="B619" t="str">
        <x:v>DW-0614</x:v>
      </x:c>
      <x:c r="C619" t="str">
        <x:v>Parent historique</x:v>
      </x:c>
      <x:c r="D619" t="str">
        <x:v>transport</x:v>
      </x:c>
      <x:c r="E619" t="str">
        <x:v>Dépôt de bus — variante 02</x:v>
      </x:c>
      <x:c r="F619" t="n">
        <x:v>8</x:v>
      </x:c>
      <x:c r="G619" t="n">
        <x:v>5</x:v>
      </x:c>
      <x:c r="H619" t="n">
        <x:v>0</x:v>
      </x:c>
      <x:c r="I619" t="str">
        <x:v>À qualifier par lieu</x:v>
      </x:c>
      <x:c r="J619" t="str">
        <x:v>https://github.com/darknigthmare/deadwall-last-enclosure/blob/1b3b9c5ba232734b1bda3453b4e20a0481bcdd74/codex-3000/originaux/DEADWALL_CODEX_SUPPLEMENT_1.23/FICHES_501_1000/DW-0614.md</x:v>
      </x:c>
      <x:c r="K619" t="str">
        <x:v>Source min 29,40 m ; max 29,40 m ; modèle 29 × 40 m ; niveaux 0. Détails dans catalogue-existant.json.</x:v>
      </x:c>
    </x:row>
    <x:row r="620">
      <x:c r="A620" t="str">
        <x:v>DW-0615</x:v>
      </x:c>
      <x:c r="B620" t="str">
        <x:v>DW-0615</x:v>
      </x:c>
      <x:c r="C620" t="str">
        <x:v>Parent historique</x:v>
      </x:c>
      <x:c r="D620" t="str">
        <x:v>transport</x:v>
      </x:c>
      <x:c r="E620" t="str">
        <x:v>Gare ferroviaire — variante 02</x:v>
      </x:c>
      <x:c r="F620" t="n">
        <x:v>8</x:v>
      </x:c>
      <x:c r="G620" t="n">
        <x:v>5</x:v>
      </x:c>
      <x:c r="H620" t="n">
        <x:v>0</x:v>
      </x:c>
      <x:c r="I620" t="str">
        <x:v>À qualifier par lieu</x:v>
      </x:c>
      <x:c r="J620" t="str">
        <x:v>https://github.com/darknigthmare/deadwall-last-enclosure/blob/1b3b9c5ba232734b1bda3453b4e20a0481bcdd74/codex-3000/originaux/DEADWALL_CODEX_SUPPLEMENT_1.23/FICHES_501_1000/DW-0615.md</x:v>
      </x:c>
      <x:c r="K620" t="str">
        <x:v>Source min 40,57 m ; max 40,57 m ; modèle 40 × 57 m ; niveaux 0. Détails dans catalogue-existant.json.</x:v>
      </x:c>
    </x:row>
    <x:row r="621">
      <x:c r="A621" t="str">
        <x:v>DW-0616</x:v>
      </x:c>
      <x:c r="B621" t="str">
        <x:v>DW-0616</x:v>
      </x:c>
      <x:c r="C621" t="str">
        <x:v>Parent historique</x:v>
      </x:c>
      <x:c r="D621" t="str">
        <x:v>transport</x:v>
      </x:c>
      <x:c r="E621" t="str">
        <x:v>Aire d'autoroute — variante 02</x:v>
      </x:c>
      <x:c r="F621" t="n">
        <x:v>8</x:v>
      </x:c>
      <x:c r="G621" t="n">
        <x:v>5</x:v>
      </x:c>
      <x:c r="H621" t="n">
        <x:v>0</x:v>
      </x:c>
      <x:c r="I621" t="str">
        <x:v>À qualifier par lieu</x:v>
      </x:c>
      <x:c r="J621" t="str">
        <x:v>https://github.com/darknigthmare/deadwall-last-enclosure/blob/1b3b9c5ba232734b1bda3453b4e20a0481bcdd74/codex-3000/originaux/DEADWALL_CODEX_SUPPLEMENT_1.23/FICHES_501_1000/DW-0616.md</x:v>
      </x:c>
      <x:c r="K621" t="str">
        <x:v>Source min 51,20 m ; max 51,20 m ; modèle 51 × 22 m ; niveaux 0. Détails dans catalogue-existant.json.</x:v>
      </x:c>
    </x:row>
    <x:row r="622">
      <x:c r="A622" t="str">
        <x:v>DW-0617</x:v>
      </x:c>
      <x:c r="B622" t="str">
        <x:v>DW-0617</x:v>
      </x:c>
      <x:c r="C622" t="str">
        <x:v>Parent historique</x:v>
      </x:c>
      <x:c r="D622" t="str">
        <x:v>transport</x:v>
      </x:c>
      <x:c r="E622" t="str">
        <x:v>Parking silo — variante 02</x:v>
      </x:c>
      <x:c r="F622" t="n">
        <x:v>8</x:v>
      </x:c>
      <x:c r="G622" t="n">
        <x:v>4</x:v>
      </x:c>
      <x:c r="H622" t="n">
        <x:v>0</x:v>
      </x:c>
      <x:c r="I622" t="str">
        <x:v>À qualifier par lieu</x:v>
      </x:c>
      <x:c r="J622" t="str">
        <x:v>https://github.com/darknigthmare/deadwall-last-enclosure/blob/1b3b9c5ba232734b1bda3453b4e20a0481bcdd74/codex-3000/originaux/DEADWALL_CODEX_SUPPLEMENT_1.23/FICHES_501_1000/DW-0617.md</x:v>
      </x:c>
      <x:c r="K622" t="str">
        <x:v>Source min 62,37 m ; max 62,37 m ; modèle 62 × 37 m ; niveaux 0. Détails dans catalogue-existant.json.</x:v>
      </x:c>
    </x:row>
    <x:row r="623">
      <x:c r="A623" t="str">
        <x:v>DW-0618</x:v>
      </x:c>
      <x:c r="B623" t="str">
        <x:v>DW-0618</x:v>
      </x:c>
      <x:c r="C623" t="str">
        <x:v>Parent historique</x:v>
      </x:c>
      <x:c r="D623" t="str">
        <x:v>transport</x:v>
      </x:c>
      <x:c r="E623" t="str">
        <x:v>Terminal poids lourds — variante 02</x:v>
      </x:c>
      <x:c r="F623" t="n">
        <x:v>8</x:v>
      </x:c>
      <x:c r="G623" t="n">
        <x:v>5</x:v>
      </x:c>
      <x:c r="H623" t="n">
        <x:v>0</x:v>
      </x:c>
      <x:c r="I623" t="str">
        <x:v>À qualifier par lieu</x:v>
      </x:c>
      <x:c r="J623" t="str">
        <x:v>https://github.com/darknigthmare/deadwall-last-enclosure/blob/1b3b9c5ba232734b1bda3453b4e20a0481bcdd74/codex-3000/originaux/DEADWALL_CODEX_SUPPLEMENT_1.23/FICHES_501_1000/DW-0618.md</x:v>
      </x:c>
      <x:c r="K623" t="str">
        <x:v>Source min 73,54 m ; max 73,54 m ; modèle 73 × 54 m ; niveaux 0. Détails dans catalogue-existant.json.</x:v>
      </x:c>
    </x:row>
    <x:row r="624">
      <x:c r="A624" t="str">
        <x:v>DW-0619</x:v>
      </x:c>
      <x:c r="B624" t="str">
        <x:v>DW-0619</x:v>
      </x:c>
      <x:c r="C624" t="str">
        <x:v>Parent historique</x:v>
      </x:c>
      <x:c r="D624" t="str">
        <x:v>transport</x:v>
      </x:c>
      <x:c r="E624" t="str">
        <x:v>Port de plaisance — variante 02</x:v>
      </x:c>
      <x:c r="F624" t="n">
        <x:v>8</x:v>
      </x:c>
      <x:c r="G624" t="n">
        <x:v>5</x:v>
      </x:c>
      <x:c r="H624" t="n">
        <x:v>0</x:v>
      </x:c>
      <x:c r="I624" t="str">
        <x:v>À qualifier par lieu</x:v>
      </x:c>
      <x:c r="J624" t="str">
        <x:v>https://github.com/darknigthmare/deadwall-last-enclosure/blob/1b3b9c5ba232734b1bda3453b4e20a0481bcdd74/codex-3000/originaux/DEADWALL_CODEX_SUPPLEMENT_1.23/FICHES_501_1000/DW-0619.md</x:v>
      </x:c>
      <x:c r="K624" t="str">
        <x:v>Source min 12,17 m ; max 12,17 m ; modèle 26 × 22 m ; niveaux 0. Détails dans catalogue-existant.json.</x:v>
      </x:c>
    </x:row>
    <x:row r="625">
      <x:c r="A625" t="str">
        <x:v>DW-0620</x:v>
      </x:c>
      <x:c r="B625" t="str">
        <x:v>DW-0620</x:v>
      </x:c>
      <x:c r="C625" t="str">
        <x:v>Parent historique</x:v>
      </x:c>
      <x:c r="D625" t="str">
        <x:v>transport</x:v>
      </x:c>
      <x:c r="E625" t="str">
        <x:v>Petit aérodrome — variante 02</x:v>
      </x:c>
      <x:c r="F625" t="n">
        <x:v>8</x:v>
      </x:c>
      <x:c r="G625" t="n">
        <x:v>5</x:v>
      </x:c>
      <x:c r="H625" t="n">
        <x:v>0</x:v>
      </x:c>
      <x:c r="I625" t="str">
        <x:v>À qualifier par lieu</x:v>
      </x:c>
      <x:c r="J625" t="str">
        <x:v>https://github.com/darknigthmare/deadwall-last-enclosure/blob/1b3b9c5ba232734b1bda3453b4e20a0481bcdd74/codex-3000/originaux/DEADWALL_CODEX_SUPPLEMENT_1.23/FICHES_501_1000/DW-0620.md</x:v>
      </x:c>
      <x:c r="K625" t="str">
        <x:v>Source min 23,34 m ; max 23,34 m ; modèle 26 × 34 m ; niveaux 0. Détails dans catalogue-existant.json.</x:v>
      </x:c>
    </x:row>
    <x:row r="626">
      <x:c r="A626" t="str">
        <x:v>DW-0621</x:v>
      </x:c>
      <x:c r="B626" t="str">
        <x:v>DW-0621</x:v>
      </x:c>
      <x:c r="C626" t="str">
        <x:v>Parent historique</x:v>
      </x:c>
      <x:c r="D626" t="str">
        <x:v>ruines</x:v>
      </x:c>
      <x:c r="E626" t="str">
        <x:v>Maison incendiée — variante 02</x:v>
      </x:c>
      <x:c r="F626" t="n">
        <x:v>8</x:v>
      </x:c>
      <x:c r="G626" t="n">
        <x:v>3</x:v>
      </x:c>
      <x:c r="H626" t="n">
        <x:v>0</x:v>
      </x:c>
      <x:c r="I626" t="str">
        <x:v>À qualifier par lieu</x:v>
      </x:c>
      <x:c r="J626" t="str">
        <x:v>https://github.com/darknigthmare/deadwall-last-enclosure/blob/1b3b9c5ba232734b1bda3453b4e20a0481bcdd74/codex-3000/originaux/DEADWALL_CODEX_SUPPLEMENT_1.23/FICHES_501_1000/DW-0621.md</x:v>
      </x:c>
      <x:c r="K626" t="str">
        <x:v>Source min 34,51 m ; max 34,51 m ; modèle 34 × 51 m ; niveaux 0, 1. Détails dans catalogue-existant.json.</x:v>
      </x:c>
    </x:row>
    <x:row r="627">
      <x:c r="A627" t="str">
        <x:v>DW-0622</x:v>
      </x:c>
      <x:c r="B627" t="str">
        <x:v>DW-0622</x:v>
      </x:c>
      <x:c r="C627" t="str">
        <x:v>Parent historique</x:v>
      </x:c>
      <x:c r="D627" t="str">
        <x:v>ruines</x:v>
      </x:c>
      <x:c r="E627" t="str">
        <x:v>Immeuble éventré — variante 02</x:v>
      </x:c>
      <x:c r="F627" t="n">
        <x:v>8</x:v>
      </x:c>
      <x:c r="G627" t="n">
        <x:v>4</x:v>
      </x:c>
      <x:c r="H627" t="n">
        <x:v>0</x:v>
      </x:c>
      <x:c r="I627" t="str">
        <x:v>À qualifier par lieu</x:v>
      </x:c>
      <x:c r="J627" t="str">
        <x:v>https://github.com/darknigthmare/deadwall-last-enclosure/blob/1b3b9c5ba232734b1bda3453b4e20a0481bcdd74/codex-3000/originaux/DEADWALL_CODEX_SUPPLEMENT_1.23/FICHES_501_1000/DW-0622.md</x:v>
      </x:c>
      <x:c r="K627" t="str">
        <x:v>Source min 45,14 m ; max 45,14 m ; modèle 45 × 18 m ; niveaux 0, 1, 2. Détails dans catalogue-existant.json.</x:v>
      </x:c>
    </x:row>
    <x:row r="628">
      <x:c r="A628" t="str">
        <x:v>DW-0623</x:v>
      </x:c>
      <x:c r="B628" t="str">
        <x:v>DW-0623</x:v>
      </x:c>
      <x:c r="C628" t="str">
        <x:v>Parent historique</x:v>
      </x:c>
      <x:c r="D628" t="str">
        <x:v>ruines</x:v>
      </x:c>
      <x:c r="E628" t="str">
        <x:v>Commerce pillé — variante 02</x:v>
      </x:c>
      <x:c r="F628" t="n">
        <x:v>8</x:v>
      </x:c>
      <x:c r="G628" t="n">
        <x:v>4</x:v>
      </x:c>
      <x:c r="H628" t="n">
        <x:v>0</x:v>
      </x:c>
      <x:c r="I628" t="str">
        <x:v>À qualifier par lieu</x:v>
      </x:c>
      <x:c r="J628" t="str">
        <x:v>https://github.com/darknigthmare/deadwall-last-enclosure/blob/1b3b9c5ba232734b1bda3453b4e20a0481bcdd74/codex-3000/originaux/DEADWALL_CODEX_SUPPLEMENT_1.23/FICHES_501_1000/DW-0623.md</x:v>
      </x:c>
      <x:c r="K628" t="str">
        <x:v>Source min 56,31 m ; max 56,31 m ; modèle 56 × 31 m ; niveaux 0. Détails dans catalogue-existant.json.</x:v>
      </x:c>
    </x:row>
    <x:row r="629">
      <x:c r="A629" t="str">
        <x:v>DW-0624</x:v>
      </x:c>
      <x:c r="B629" t="str">
        <x:v>DW-0624</x:v>
      </x:c>
      <x:c r="C629" t="str">
        <x:v>Parent historique</x:v>
      </x:c>
      <x:c r="D629" t="str">
        <x:v>ruines</x:v>
      </x:c>
      <x:c r="E629" t="str">
        <x:v>Usine sinistrée — variante 02</x:v>
      </x:c>
      <x:c r="F629" t="n">
        <x:v>8</x:v>
      </x:c>
      <x:c r="G629" t="n">
        <x:v>4</x:v>
      </x:c>
      <x:c r="H629" t="n">
        <x:v>0</x:v>
      </x:c>
      <x:c r="I629" t="str">
        <x:v>À qualifier par lieu</x:v>
      </x:c>
      <x:c r="J629" t="str">
        <x:v>https://github.com/darknigthmare/deadwall-last-enclosure/blob/1b3b9c5ba232734b1bda3453b4e20a0481bcdd74/codex-3000/originaux/DEADWALL_CODEX_SUPPLEMENT_1.23/FICHES_501_1000/DW-0624.md</x:v>
      </x:c>
      <x:c r="K629" t="str">
        <x:v>Source min 67,48 m ; max 67,48 m ; modèle 67 × 48 m ; niveaux 0. Détails dans catalogue-existant.json.</x:v>
      </x:c>
    </x:row>
    <x:row r="630">
      <x:c r="A630" t="str">
        <x:v>DW-0625</x:v>
      </x:c>
      <x:c r="B630" t="str">
        <x:v>DW-0625</x:v>
      </x:c>
      <x:c r="C630" t="str">
        <x:v>Parent historique</x:v>
      </x:c>
      <x:c r="D630" t="str">
        <x:v>ruines</x:v>
      </x:c>
      <x:c r="E630" t="str">
        <x:v>Hôtel abandonné — variante 02</x:v>
      </x:c>
      <x:c r="F630" t="n">
        <x:v>8</x:v>
      </x:c>
      <x:c r="G630" t="n">
        <x:v>5</x:v>
      </x:c>
      <x:c r="H630" t="n">
        <x:v>0</x:v>
      </x:c>
      <x:c r="I630" t="str">
        <x:v>À qualifier par lieu</x:v>
      </x:c>
      <x:c r="J630" t="str">
        <x:v>https://github.com/darknigthmare/deadwall-last-enclosure/blob/1b3b9c5ba232734b1bda3453b4e20a0481bcdd74/codex-3000/originaux/DEADWALL_CODEX_SUPPLEMENT_1.23/FICHES_501_1000/DW-0625.md</x:v>
      </x:c>
      <x:c r="K630" t="str">
        <x:v>Source min 78,11 m ; max 78,11 m ; modèle 78 × 22 m ; niveaux 0, 1. Détails dans catalogue-existant.json.</x:v>
      </x:c>
    </x:row>
    <x:row r="631">
      <x:c r="A631" t="str">
        <x:v>DW-0626</x:v>
      </x:c>
      <x:c r="B631" t="str">
        <x:v>DW-0626</x:v>
      </x:c>
      <x:c r="C631" t="str">
        <x:v>Parent historique</x:v>
      </x:c>
      <x:c r="D631" t="str">
        <x:v>ruines</x:v>
      </x:c>
      <x:c r="E631" t="str">
        <x:v>Lotissement ravagé — variante 02</x:v>
      </x:c>
      <x:c r="F631" t="n">
        <x:v>8</x:v>
      </x:c>
      <x:c r="G631" t="n">
        <x:v>4</x:v>
      </x:c>
      <x:c r="H631" t="n">
        <x:v>0</x:v>
      </x:c>
      <x:c r="I631" t="str">
        <x:v>À qualifier par lieu</x:v>
      </x:c>
      <x:c r="J631" t="str">
        <x:v>https://github.com/darknigthmare/deadwall-last-enclosure/blob/1b3b9c5ba232734b1bda3453b4e20a0481bcdd74/codex-3000/originaux/DEADWALL_CODEX_SUPPLEMENT_1.23/FICHES_501_1000/DW-0626.md</x:v>
      </x:c>
      <x:c r="K631" t="str">
        <x:v>Source min 17,28 m ; max 17,28 m ; modèle 25 × 28 m ; niveaux 0. Détails dans catalogue-existant.json.</x:v>
      </x:c>
    </x:row>
    <x:row r="632">
      <x:c r="A632" t="str">
        <x:v>DW-0627</x:v>
      </x:c>
      <x:c r="B632" t="str">
        <x:v>DW-0627</x:v>
      </x:c>
      <x:c r="C632" t="str">
        <x:v>Parent historique</x:v>
      </x:c>
      <x:c r="D632" t="str">
        <x:v>ruines</x:v>
      </x:c>
      <x:c r="E632" t="str">
        <x:v>Village déserté — variante 02</x:v>
      </x:c>
      <x:c r="F632" t="n">
        <x:v>8</x:v>
      </x:c>
      <x:c r="G632" t="n">
        <x:v>5</x:v>
      </x:c>
      <x:c r="H632" t="n">
        <x:v>0</x:v>
      </x:c>
      <x:c r="I632" t="str">
        <x:v>À qualifier par lieu</x:v>
      </x:c>
      <x:c r="J632" t="str">
        <x:v>https://github.com/darknigthmare/deadwall-last-enclosure/blob/1b3b9c5ba232734b1bda3453b4e20a0481bcdd74/codex-3000/originaux/DEADWALL_CODEX_SUPPLEMENT_1.23/FICHES_501_1000/DW-0627.md</x:v>
      </x:c>
      <x:c r="K632" t="str">
        <x:v>Source min 28,45 m ; max 28,45 m ; modèle 28 × 45 m ; niveaux 0. Détails dans catalogue-existant.json.</x:v>
      </x:c>
    </x:row>
    <x:row r="633">
      <x:c r="A633" t="str">
        <x:v>DW-0628</x:v>
      </x:c>
      <x:c r="B633" t="str">
        <x:v>DW-0628</x:v>
      </x:c>
      <x:c r="C633" t="str">
        <x:v>Parent historique</x:v>
      </x:c>
      <x:c r="D633" t="str">
        <x:v>ruines</x:v>
      </x:c>
      <x:c r="E633" t="str">
        <x:v>Centre commercial effondré — variante 02</x:v>
      </x:c>
      <x:c r="F633" t="n">
        <x:v>8</x:v>
      </x:c>
      <x:c r="G633" t="n">
        <x:v>5</x:v>
      </x:c>
      <x:c r="H633" t="n">
        <x:v>0</x:v>
      </x:c>
      <x:c r="I633" t="str">
        <x:v>À qualifier par lieu</x:v>
      </x:c>
      <x:c r="J633" t="str">
        <x:v>https://github.com/darknigthmare/deadwall-last-enclosure/blob/1b3b9c5ba232734b1bda3453b4e20a0481bcdd74/codex-3000/originaux/DEADWALL_CODEX_SUPPLEMENT_1.23/FICHES_501_1000/DW-0628.md</x:v>
      </x:c>
      <x:c r="K633" t="str">
        <x:v>Source min 39,62 m ; max 39,62 m ; modèle 39 × 62 m ; niveaux 0. Détails dans catalogue-existant.json.</x:v>
      </x:c>
    </x:row>
    <x:row r="634">
      <x:c r="A634" t="str">
        <x:v>DW-0629</x:v>
      </x:c>
      <x:c r="B634" t="str">
        <x:v>DW-0629</x:v>
      </x:c>
      <x:c r="C634" t="str">
        <x:v>Parent historique</x:v>
      </x:c>
      <x:c r="D634" t="str">
        <x:v>habitat</x:v>
      </x:c>
      <x:c r="E634" t="str">
        <x:v>Maison de lotissement — variante 03</x:v>
      </x:c>
      <x:c r="F634" t="n">
        <x:v>8</x:v>
      </x:c>
      <x:c r="G634" t="n">
        <x:v>5</x:v>
      </x:c>
      <x:c r="H634" t="n">
        <x:v>0</x:v>
      </x:c>
      <x:c r="I634" t="str">
        <x:v>À qualifier par lieu</x:v>
      </x:c>
      <x:c r="J634" t="str">
        <x:v>https://github.com/darknigthmare/deadwall-last-enclosure/blob/1b3b9c5ba232734b1bda3453b4e20a0481bcdd74/codex-3000/originaux/DEADWALL_CODEX_SUPPLEMENT_1.23/FICHES_501_1000/DW-0629.md</x:v>
      </x:c>
      <x:c r="K634" t="str">
        <x:v>Source min 50,25 m ; max 50,25 m ; modèle 50 × 25 m ; niveaux 0, 1. Détails dans catalogue-existant.json.</x:v>
      </x:c>
    </x:row>
    <x:row r="635">
      <x:c r="A635" t="str">
        <x:v>DW-0630</x:v>
      </x:c>
      <x:c r="B635" t="str">
        <x:v>DW-0630</x:v>
      </x:c>
      <x:c r="C635" t="str">
        <x:v>Parent historique</x:v>
      </x:c>
      <x:c r="D635" t="str">
        <x:v>habitat</x:v>
      </x:c>
      <x:c r="E635" t="str">
        <x:v>Maison mitoyenne — variante 03</x:v>
      </x:c>
      <x:c r="F635" t="n">
        <x:v>8</x:v>
      </x:c>
      <x:c r="G635" t="n">
        <x:v>5</x:v>
      </x:c>
      <x:c r="H635" t="n">
        <x:v>0</x:v>
      </x:c>
      <x:c r="I635" t="str">
        <x:v>À qualifier par lieu</x:v>
      </x:c>
      <x:c r="J635" t="str">
        <x:v>https://github.com/darknigthmare/deadwall-last-enclosure/blob/1b3b9c5ba232734b1bda3453b4e20a0481bcdd74/codex-3000/originaux/DEADWALL_CODEX_SUPPLEMENT_1.23/FICHES_501_1000/DW-0630.md</x:v>
      </x:c>
      <x:c r="K635" t="str">
        <x:v>Source min 61,42 m ; max 61,42 m ; modèle 61 × 42 m ; niveaux 0. Détails dans catalogue-existant.json.</x:v>
      </x:c>
    </x:row>
    <x:row r="636">
      <x:c r="A636" t="str">
        <x:v>DW-0631</x:v>
      </x:c>
      <x:c r="B636" t="str">
        <x:v>DW-0631</x:v>
      </x:c>
      <x:c r="C636" t="str">
        <x:v>Parent historique</x:v>
      </x:c>
      <x:c r="D636" t="str">
        <x:v>habitat</x:v>
      </x:c>
      <x:c r="E636" t="str">
        <x:v>Villa isolée — variante 03</x:v>
      </x:c>
      <x:c r="F636" t="n">
        <x:v>8</x:v>
      </x:c>
      <x:c r="G636" t="n">
        <x:v>7</x:v>
      </x:c>
      <x:c r="H636" t="n">
        <x:v>0</x:v>
      </x:c>
      <x:c r="I636" t="str">
        <x:v>À qualifier par lieu</x:v>
      </x:c>
      <x:c r="J636" t="str">
        <x:v>https://github.com/darknigthmare/deadwall-last-enclosure/blob/1b3b9c5ba232734b1bda3453b4e20a0481bcdd74/codex-3000/originaux/DEADWALL_CODEX_SUPPLEMENT_1.23/FICHES_501_1000/DW-0631.md</x:v>
      </x:c>
      <x:c r="K636" t="str">
        <x:v>Source min 72,59 m ; max 72,59 m ; modèle 72 × 59 m ; niveaux 0. Détails dans catalogue-existant.json.</x:v>
      </x:c>
    </x:row>
    <x:row r="637">
      <x:c r="A637" t="str">
        <x:v>DW-0632</x:v>
      </x:c>
      <x:c r="B637" t="str">
        <x:v>DW-0632</x:v>
      </x:c>
      <x:c r="C637" t="str">
        <x:v>Parent historique</x:v>
      </x:c>
      <x:c r="D637" t="str">
        <x:v>habitat</x:v>
      </x:c>
      <x:c r="E637" t="str">
        <x:v>Ferme familiale — variante 03</x:v>
      </x:c>
      <x:c r="F637" t="n">
        <x:v>8</x:v>
      </x:c>
      <x:c r="G637" t="n">
        <x:v>6</x:v>
      </x:c>
      <x:c r="H637" t="n">
        <x:v>0</x:v>
      </x:c>
      <x:c r="I637" t="str">
        <x:v>À qualifier par lieu</x:v>
      </x:c>
      <x:c r="J637" t="str">
        <x:v>https://github.com/darknigthmare/deadwall-last-enclosure/blob/1b3b9c5ba232734b1bda3453b4e20a0481bcdd74/codex-3000/originaux/DEADWALL_CODEX_SUPPLEMENT_1.23/FICHES_501_1000/DW-0632.md</x:v>
      </x:c>
      <x:c r="K637" t="str">
        <x:v>Source min 11,22 m ; max 11,22 m ; modèle 28 × 22 m ; niveaux 0. Détails dans catalogue-existant.json.</x:v>
      </x:c>
    </x:row>
    <x:row r="638">
      <x:c r="A638" t="str">
        <x:v>DW-0633</x:v>
      </x:c>
      <x:c r="B638" t="str">
        <x:v>DW-0633</x:v>
      </x:c>
      <x:c r="C638" t="str">
        <x:v>Parent historique</x:v>
      </x:c>
      <x:c r="D638" t="str">
        <x:v>habitat</x:v>
      </x:c>
      <x:c r="E638" t="str">
        <x:v>Immeuble résidentiel — variante 03</x:v>
      </x:c>
      <x:c r="F638" t="n">
        <x:v>8</x:v>
      </x:c>
      <x:c r="G638" t="n">
        <x:v>5</x:v>
      </x:c>
      <x:c r="H638" t="n">
        <x:v>0</x:v>
      </x:c>
      <x:c r="I638" t="str">
        <x:v>À qualifier par lieu</x:v>
      </x:c>
      <x:c r="J638" t="str">
        <x:v>https://github.com/darknigthmare/deadwall-last-enclosure/blob/1b3b9c5ba232734b1bda3453b4e20a0481bcdd74/codex-3000/originaux/DEADWALL_CODEX_SUPPLEMENT_1.23/FICHES_501_1000/DW-0633.md</x:v>
      </x:c>
      <x:c r="K638" t="str">
        <x:v>Source min 22,39 m ; max 22,39 m ; modèle 26 × 39 m ; niveaux 0, 1. Détails dans catalogue-existant.json.</x:v>
      </x:c>
    </x:row>
    <x:row r="639">
      <x:c r="A639" t="str">
        <x:v>DW-0634</x:v>
      </x:c>
      <x:c r="B639" t="str">
        <x:v>DW-0634</x:v>
      </x:c>
      <x:c r="C639" t="str">
        <x:v>Parent historique</x:v>
      </x:c>
      <x:c r="D639" t="str">
        <x:v>habitat</x:v>
      </x:c>
      <x:c r="E639" t="str">
        <x:v>Barre de logements — variante 03</x:v>
      </x:c>
      <x:c r="F639" t="n">
        <x:v>8</x:v>
      </x:c>
      <x:c r="G639" t="n">
        <x:v>5</x:v>
      </x:c>
      <x:c r="H639" t="n">
        <x:v>0</x:v>
      </x:c>
      <x:c r="I639" t="str">
        <x:v>À qualifier par lieu</x:v>
      </x:c>
      <x:c r="J639" t="str">
        <x:v>https://github.com/darknigthmare/deadwall-last-enclosure/blob/1b3b9c5ba232734b1bda3453b4e20a0481bcdd74/codex-3000/originaux/DEADWALL_CODEX_SUPPLEMENT_1.23/FICHES_501_1000/DW-0634.md</x:v>
      </x:c>
      <x:c r="K639" t="str">
        <x:v>Source min 33,56 m ; max 33,56 m ; modèle 33 × 56 m ; niveaux 0, 1, 2. Détails dans catalogue-existant.json.</x:v>
      </x:c>
    </x:row>
    <x:row r="640">
      <x:c r="A640" t="str">
        <x:v>DW-0635</x:v>
      </x:c>
      <x:c r="B640" t="str">
        <x:v>DW-0635</x:v>
      </x:c>
      <x:c r="C640" t="str">
        <x:v>Parent historique</x:v>
      </x:c>
      <x:c r="D640" t="str">
        <x:v>habitat</x:v>
      </x:c>
      <x:c r="E640" t="str">
        <x:v>Résidence senior — variante 03</x:v>
      </x:c>
      <x:c r="F640" t="n">
        <x:v>8</x:v>
      </x:c>
      <x:c r="G640" t="n">
        <x:v>5</x:v>
      </x:c>
      <x:c r="H640" t="n">
        <x:v>0</x:v>
      </x:c>
      <x:c r="I640" t="str">
        <x:v>À qualifier par lieu</x:v>
      </x:c>
      <x:c r="J640" t="str">
        <x:v>https://github.com/darknigthmare/deadwall-last-enclosure/blob/1b3b9c5ba232734b1bda3453b4e20a0481bcdd74/codex-3000/originaux/DEADWALL_CODEX_SUPPLEMENT_1.23/FICHES_501_1000/DW-0635.md</x:v>
      </x:c>
      <x:c r="K640" t="str">
        <x:v>Source min 44,19 m ; max 44,19 m ; modèle 44 × 22 m ; niveaux 0, 1, 2. Détails dans catalogue-existant.json.</x:v>
      </x:c>
    </x:row>
    <x:row r="641">
      <x:c r="A641" t="str">
        <x:v>DW-0636</x:v>
      </x:c>
      <x:c r="B641" t="str">
        <x:v>DW-0636</x:v>
      </x:c>
      <x:c r="C641" t="str">
        <x:v>Parent historique</x:v>
      </x:c>
      <x:c r="D641" t="str">
        <x:v>habitat</x:v>
      </x:c>
      <x:c r="E641" t="str">
        <x:v>Maison avec sous-sol — variante 03</x:v>
      </x:c>
      <x:c r="F641" t="n">
        <x:v>8</x:v>
      </x:c>
      <x:c r="G641" t="n">
        <x:v>5</x:v>
      </x:c>
      <x:c r="H641" t="n">
        <x:v>0</x:v>
      </x:c>
      <x:c r="I641" t="str">
        <x:v>À qualifier par lieu</x:v>
      </x:c>
      <x:c r="J641" t="str">
        <x:v>https://github.com/darknigthmare/deadwall-last-enclosure/blob/1b3b9c5ba232734b1bda3453b4e20a0481bcdd74/codex-3000/originaux/DEADWALL_CODEX_SUPPLEMENT_1.23/FICHES_501_1000/DW-0636.md</x:v>
      </x:c>
      <x:c r="K641" t="str">
        <x:v>Source min 55,36 m ; max 55,36 m ; modèle 55 × 36 m ; niveaux 0. Détails dans catalogue-existant.json.</x:v>
      </x:c>
    </x:row>
    <x:row r="642">
      <x:c r="A642" t="str">
        <x:v>DW-0637</x:v>
      </x:c>
      <x:c r="B642" t="str">
        <x:v>DW-0637</x:v>
      </x:c>
      <x:c r="C642" t="str">
        <x:v>Parent historique</x:v>
      </x:c>
      <x:c r="D642" t="str">
        <x:v>commerce</x:v>
      </x:c>
      <x:c r="E642" t="str">
        <x:v>Supérette — variante 03</x:v>
      </x:c>
      <x:c r="F642" t="n">
        <x:v>8</x:v>
      </x:c>
      <x:c r="G642" t="n">
        <x:v>5</x:v>
      </x:c>
      <x:c r="H642" t="n">
        <x:v>0</x:v>
      </x:c>
      <x:c r="I642" t="str">
        <x:v>À qualifier par lieu</x:v>
      </x:c>
      <x:c r="J642" t="str">
        <x:v>https://github.com/darknigthmare/deadwall-last-enclosure/blob/1b3b9c5ba232734b1bda3453b4e20a0481bcdd74/codex-3000/originaux/DEADWALL_CODEX_SUPPLEMENT_1.23/FICHES_501_1000/DW-0637.md</x:v>
      </x:c>
      <x:c r="K642" t="str">
        <x:v>Source min 66,53 m ; max 66,53 m ; modèle 66 × 53 m ; niveaux 0, 1. Détails dans catalogue-existant.json.</x:v>
      </x:c>
    </x:row>
    <x:row r="643">
      <x:c r="A643" t="str">
        <x:v>DW-0638</x:v>
      </x:c>
      <x:c r="B643" t="str">
        <x:v>DW-0638</x:v>
      </x:c>
      <x:c r="C643" t="str">
        <x:v>Parent historique</x:v>
      </x:c>
      <x:c r="D643" t="str">
        <x:v>commerce</x:v>
      </x:c>
      <x:c r="E643" t="str">
        <x:v>Centre commercial — variante 03</x:v>
      </x:c>
      <x:c r="F643" t="n">
        <x:v>8</x:v>
      </x:c>
      <x:c r="G643" t="n">
        <x:v>6</x:v>
      </x:c>
      <x:c r="H643" t="n">
        <x:v>0</x:v>
      </x:c>
      <x:c r="I643" t="str">
        <x:v>À qualifier par lieu</x:v>
      </x:c>
      <x:c r="J643" t="str">
        <x:v>https://github.com/darknigthmare/deadwall-last-enclosure/blob/1b3b9c5ba232734b1bda3453b4e20a0481bcdd74/codex-3000/originaux/DEADWALL_CODEX_SUPPLEMENT_1.23/FICHES_501_1000/DW-0638.md</x:v>
      </x:c>
      <x:c r="K643" t="str">
        <x:v>Source min 77,16 m ; max 77,16 m ; modèle 77 × 22 m ; niveaux 0. Détails dans catalogue-existant.json.</x:v>
      </x:c>
    </x:row>
    <x:row r="644">
      <x:c r="A644" t="str">
        <x:v>DW-0639</x:v>
      </x:c>
      <x:c r="B644" t="str">
        <x:v>DW-0639</x:v>
      </x:c>
      <x:c r="C644" t="str">
        <x:v>Parent historique</x:v>
      </x:c>
      <x:c r="D644" t="str">
        <x:v>commerce</x:v>
      </x:c>
      <x:c r="E644" t="str">
        <x:v>Supermarché — variante 03</x:v>
      </x:c>
      <x:c r="F644" t="n">
        <x:v>8</x:v>
      </x:c>
      <x:c r="G644" t="n">
        <x:v>7</x:v>
      </x:c>
      <x:c r="H644" t="n">
        <x:v>0</x:v>
      </x:c>
      <x:c r="I644" t="str">
        <x:v>À qualifier par lieu</x:v>
      </x:c>
      <x:c r="J644" t="str">
        <x:v>https://github.com/darknigthmare/deadwall-last-enclosure/blob/1b3b9c5ba232734b1bda3453b4e20a0481bcdd74/codex-3000/originaux/DEADWALL_CODEX_SUPPLEMENT_1.23/FICHES_501_1000/DW-0639.md</x:v>
      </x:c>
      <x:c r="K644" t="str">
        <x:v>Source min 16,33 m ; max 16,33 m ; modèle 29 × 33 m ; niveaux 0. Détails dans catalogue-existant.json.</x:v>
      </x:c>
    </x:row>
    <x:row r="645">
      <x:c r="A645" t="str">
        <x:v>DW-0640</x:v>
      </x:c>
      <x:c r="B645" t="str">
        <x:v>DW-0640</x:v>
      </x:c>
      <x:c r="C645" t="str">
        <x:v>Parent historique</x:v>
      </x:c>
      <x:c r="D645" t="str">
        <x:v>commerce</x:v>
      </x:c>
      <x:c r="E645" t="str">
        <x:v>Magasin de bricolage — variante 03</x:v>
      </x:c>
      <x:c r="F645" t="n">
        <x:v>8</x:v>
      </x:c>
      <x:c r="G645" t="n">
        <x:v>5</x:v>
      </x:c>
      <x:c r="H645" t="n">
        <x:v>0</x:v>
      </x:c>
      <x:c r="I645" t="str">
        <x:v>À qualifier par lieu</x:v>
      </x:c>
      <x:c r="J645" t="str">
        <x:v>https://github.com/darknigthmare/deadwall-last-enclosure/blob/1b3b9c5ba232734b1bda3453b4e20a0481bcdd74/codex-3000/originaux/DEADWALL_CODEX_SUPPLEMENT_1.23/FICHES_501_1000/DW-0640.md</x:v>
      </x:c>
      <x:c r="K645" t="str">
        <x:v>Source min 27,50 m ; max 27,50 m ; modèle 27 × 50 m ; niveaux 0. Détails dans catalogue-existant.json.</x:v>
      </x:c>
    </x:row>
    <x:row r="646">
      <x:c r="A646" t="str">
        <x:v>DW-0641</x:v>
      </x:c>
      <x:c r="B646" t="str">
        <x:v>DW-0641</x:v>
      </x:c>
      <x:c r="C646" t="str">
        <x:v>Parent historique</x:v>
      </x:c>
      <x:c r="D646" t="str">
        <x:v>commerce</x:v>
      </x:c>
      <x:c r="E646" t="str">
        <x:v>Pharmacie — variante 03</x:v>
      </x:c>
      <x:c r="F646" t="n">
        <x:v>8</x:v>
      </x:c>
      <x:c r="G646" t="n">
        <x:v>4</x:v>
      </x:c>
      <x:c r="H646" t="n">
        <x:v>0</x:v>
      </x:c>
      <x:c r="I646" t="str">
        <x:v>À qualifier par lieu</x:v>
      </x:c>
      <x:c r="J646" t="str">
        <x:v>https://github.com/darknigthmare/deadwall-last-enclosure/blob/1b3b9c5ba232734b1bda3453b4e20a0481bcdd74/codex-3000/originaux/DEADWALL_CODEX_SUPPLEMENT_1.23/FICHES_501_1000/DW-0641.md</x:v>
      </x:c>
      <x:c r="K646" t="str">
        <x:v>Source min 38,13 m ; max 38,13 m ; modèle 38 × 18 m ; niveaux 0, 1. Détails dans catalogue-existant.json.</x:v>
      </x:c>
    </x:row>
    <x:row r="647">
      <x:c r="A647" t="str">
        <x:v>DW-0642</x:v>
      </x:c>
      <x:c r="B647" t="str">
        <x:v>DW-0642</x:v>
      </x:c>
      <x:c r="C647" t="str">
        <x:v>Parent historique</x:v>
      </x:c>
      <x:c r="D647" t="str">
        <x:v>commerce</x:v>
      </x:c>
      <x:c r="E647" t="str">
        <x:v>Station-service — variante 03</x:v>
      </x:c>
      <x:c r="F647" t="n">
        <x:v>8</x:v>
      </x:c>
      <x:c r="G647" t="n">
        <x:v>5</x:v>
      </x:c>
      <x:c r="H647" t="n">
        <x:v>0</x:v>
      </x:c>
      <x:c r="I647" t="str">
        <x:v>À qualifier par lieu</x:v>
      </x:c>
      <x:c r="J647" t="str">
        <x:v>https://github.com/darknigthmare/deadwall-last-enclosure/blob/1b3b9c5ba232734b1bda3453b4e20a0481bcdd74/codex-3000/originaux/DEADWALL_CODEX_SUPPLEMENT_1.23/FICHES_501_1000/DW-0642.md</x:v>
      </x:c>
      <x:c r="K647" t="str">
        <x:v>Source min 49,30 m ; max 49,30 m ; modèle 49 × 30 m ; niveaux 0. Détails dans catalogue-existant.json.</x:v>
      </x:c>
    </x:row>
    <x:row r="648">
      <x:c r="A648" t="str">
        <x:v>DW-0643</x:v>
      </x:c>
      <x:c r="B648" t="str">
        <x:v>DW-0643</x:v>
      </x:c>
      <x:c r="C648" t="str">
        <x:v>Parent historique</x:v>
      </x:c>
      <x:c r="D648" t="str">
        <x:v>commerce</x:v>
      </x:c>
      <x:c r="E648" t="str">
        <x:v>Restaurant routier — variante 03</x:v>
      </x:c>
      <x:c r="F648" t="n">
        <x:v>8</x:v>
      </x:c>
      <x:c r="G648" t="n">
        <x:v>5</x:v>
      </x:c>
      <x:c r="H648" t="n">
        <x:v>0</x:v>
      </x:c>
      <x:c r="I648" t="str">
        <x:v>À qualifier par lieu</x:v>
      </x:c>
      <x:c r="J648" t="str">
        <x:v>https://github.com/darknigthmare/deadwall-last-enclosure/blob/1b3b9c5ba232734b1bda3453b4e20a0481bcdd74/codex-3000/originaux/DEADWALL_CODEX_SUPPLEMENT_1.23/FICHES_501_1000/DW-0643.md</x:v>
      </x:c>
      <x:c r="K648" t="str">
        <x:v>Source min 60,47 m ; max 60,47 m ; modèle 60 × 47 m ; niveaux 0. Détails dans catalogue-existant.json.</x:v>
      </x:c>
    </x:row>
    <x:row r="649">
      <x:c r="A649" t="str">
        <x:v>DW-0644</x:v>
      </x:c>
      <x:c r="B649" t="str">
        <x:v>DW-0644</x:v>
      </x:c>
      <x:c r="C649" t="str">
        <x:v>Parent historique</x:v>
      </x:c>
      <x:c r="D649" t="str">
        <x:v>commerce</x:v>
      </x:c>
      <x:c r="E649" t="str">
        <x:v>Hôtel — variante 03</x:v>
      </x:c>
      <x:c r="F649" t="n">
        <x:v>8</x:v>
      </x:c>
      <x:c r="G649" t="n">
        <x:v>6</x:v>
      </x:c>
      <x:c r="H649" t="n">
        <x:v>0</x:v>
      </x:c>
      <x:c r="I649" t="str">
        <x:v>À qualifier par lieu</x:v>
      </x:c>
      <x:c r="J649" t="str">
        <x:v>https://github.com/darknigthmare/deadwall-last-enclosure/blob/1b3b9c5ba232734b1bda3453b4e20a0481bcdd74/codex-3000/originaux/DEADWALL_CODEX_SUPPLEMENT_1.23/FICHES_501_1000/DW-0644.md</x:v>
      </x:c>
      <x:c r="K649" t="str">
        <x:v>Source min 71,10 m ; max 71,10 m ; modèle 71 × 22 m ; niveaux 0. Détails dans catalogue-existant.json.</x:v>
      </x:c>
    </x:row>
    <x:row r="650">
      <x:c r="A650" t="str">
        <x:v>DW-0645</x:v>
      </x:c>
      <x:c r="B650" t="str">
        <x:v>DW-0645</x:v>
      </x:c>
      <x:c r="C650" t="str">
        <x:v>Parent historique</x:v>
      </x:c>
      <x:c r="D650" t="str">
        <x:v>industrie</x:v>
      </x:c>
      <x:c r="E650" t="str">
        <x:v>Scierie — variante 03</x:v>
      </x:c>
      <x:c r="F650" t="n">
        <x:v>8</x:v>
      </x:c>
      <x:c r="G650" t="n">
        <x:v>5</x:v>
      </x:c>
      <x:c r="H650" t="n">
        <x:v>0</x:v>
      </x:c>
      <x:c r="I650" t="str">
        <x:v>À qualifier par lieu</x:v>
      </x:c>
      <x:c r="J650" t="str">
        <x:v>https://github.com/darknigthmare/deadwall-last-enclosure/blob/1b3b9c5ba232734b1bda3453b4e20a0481bcdd74/codex-3000/originaux/DEADWALL_CODEX_SUPPLEMENT_1.23/FICHES_501_1000/DW-0645.md</x:v>
      </x:c>
      <x:c r="K650" t="str">
        <x:v>Source min 10,27 m ; max 10,27 m ; modèle 26 × 27 m ; niveaux 0. Détails dans catalogue-existant.json.</x:v>
      </x:c>
    </x:row>
    <x:row r="651">
      <x:c r="A651" t="str">
        <x:v>DW-0646</x:v>
      </x:c>
      <x:c r="B651" t="str">
        <x:v>DW-0646</x:v>
      </x:c>
      <x:c r="C651" t="str">
        <x:v>Parent historique</x:v>
      </x:c>
      <x:c r="D651" t="str">
        <x:v>industrie</x:v>
      </x:c>
      <x:c r="E651" t="str">
        <x:v>Garage automobile — variante 03</x:v>
      </x:c>
      <x:c r="F651" t="n">
        <x:v>8</x:v>
      </x:c>
      <x:c r="G651" t="n">
        <x:v>5</x:v>
      </x:c>
      <x:c r="H651" t="n">
        <x:v>0</x:v>
      </x:c>
      <x:c r="I651" t="str">
        <x:v>À qualifier par lieu</x:v>
      </x:c>
      <x:c r="J651" t="str">
        <x:v>https://github.com/darknigthmare/deadwall-last-enclosure/blob/1b3b9c5ba232734b1bda3453b4e20a0481bcdd74/codex-3000/originaux/DEADWALL_CODEX_SUPPLEMENT_1.23/FICHES_501_1000/DW-0646.md</x:v>
      </x:c>
      <x:c r="K651" t="str">
        <x:v>Source min 21,44 m ; max 21,44 m ; modèle 26 × 44 m ; niveaux 0. Détails dans catalogue-existant.json.</x:v>
      </x:c>
    </x:row>
    <x:row r="652">
      <x:c r="A652" t="str">
        <x:v>DW-0647</x:v>
      </x:c>
      <x:c r="B652" t="str">
        <x:v>DW-0647</x:v>
      </x:c>
      <x:c r="C652" t="str">
        <x:v>Parent historique</x:v>
      </x:c>
      <x:c r="D652" t="str">
        <x:v>industrie</x:v>
      </x:c>
      <x:c r="E652" t="str">
        <x:v>Entrepôt logistique — variante 03</x:v>
      </x:c>
      <x:c r="F652" t="n">
        <x:v>8</x:v>
      </x:c>
      <x:c r="G652" t="n">
        <x:v>5</x:v>
      </x:c>
      <x:c r="H652" t="n">
        <x:v>0</x:v>
      </x:c>
      <x:c r="I652" t="str">
        <x:v>À qualifier par lieu</x:v>
      </x:c>
      <x:c r="J652" t="str">
        <x:v>https://github.com/darknigthmare/deadwall-last-enclosure/blob/1b3b9c5ba232734b1bda3453b4e20a0481bcdd74/codex-3000/originaux/DEADWALL_CODEX_SUPPLEMENT_1.23/FICHES_501_1000/DW-0647.md</x:v>
      </x:c>
      <x:c r="K652" t="str">
        <x:v>Source min 32,61 m ; max 32,61 m ; modèle 32 × 61 m ; niveaux 0. Détails dans catalogue-existant.json.</x:v>
      </x:c>
    </x:row>
    <x:row r="653">
      <x:c r="A653" t="str">
        <x:v>DW-0648</x:v>
      </x:c>
      <x:c r="B653" t="str">
        <x:v>DW-0648</x:v>
      </x:c>
      <x:c r="C653" t="str">
        <x:v>Parent historique</x:v>
      </x:c>
      <x:c r="D653" t="str">
        <x:v>industrie</x:v>
      </x:c>
      <x:c r="E653" t="str">
        <x:v>Petite usine — variante 03</x:v>
      </x:c>
      <x:c r="F653" t="n">
        <x:v>8</x:v>
      </x:c>
      <x:c r="G653" t="n">
        <x:v>5</x:v>
      </x:c>
      <x:c r="H653" t="n">
        <x:v>0</x:v>
      </x:c>
      <x:c r="I653" t="str">
        <x:v>À qualifier par lieu</x:v>
      </x:c>
      <x:c r="J653" t="str">
        <x:v>https://github.com/darknigthmare/deadwall-last-enclosure/blob/1b3b9c5ba232734b1bda3453b4e20a0481bcdd74/codex-3000/originaux/DEADWALL_CODEX_SUPPLEMENT_1.23/FICHES_501_1000/DW-0648.md</x:v>
      </x:c>
      <x:c r="K653" t="str">
        <x:v>Source min 43,24 m ; max 43,24 m ; modèle 43 × 24 m ; niveaux 0. Détails dans catalogue-existant.json.</x:v>
      </x:c>
    </x:row>
    <x:row r="654">
      <x:c r="A654" t="str">
        <x:v>DW-0649</x:v>
      </x:c>
      <x:c r="B654" t="str">
        <x:v>DW-0649</x:v>
      </x:c>
      <x:c r="C654" t="str">
        <x:v>Parent historique</x:v>
      </x:c>
      <x:c r="D654" t="str">
        <x:v>industrie</x:v>
      </x:c>
      <x:c r="E654" t="str">
        <x:v>Carrière — variante 03</x:v>
      </x:c>
      <x:c r="F654" t="n">
        <x:v>8</x:v>
      </x:c>
      <x:c r="G654" t="n">
        <x:v>5</x:v>
      </x:c>
      <x:c r="H654" t="n">
        <x:v>0</x:v>
      </x:c>
      <x:c r="I654" t="str">
        <x:v>À qualifier par lieu</x:v>
      </x:c>
      <x:c r="J654" t="str">
        <x:v>https://github.com/darknigthmare/deadwall-last-enclosure/blob/1b3b9c5ba232734b1bda3453b4e20a0481bcdd74/codex-3000/originaux/DEADWALL_CODEX_SUPPLEMENT_1.23/FICHES_501_1000/DW-0649.md</x:v>
      </x:c>
      <x:c r="K654" t="str">
        <x:v>Source min 54,41 m ; max 54,41 m ; modèle 54 × 41 m ; niveaux 0. Détails dans catalogue-existant.json.</x:v>
      </x:c>
    </x:row>
    <x:row r="655">
      <x:c r="A655" t="str">
        <x:v>DW-0650</x:v>
      </x:c>
      <x:c r="B655" t="str">
        <x:v>DW-0650</x:v>
      </x:c>
      <x:c r="C655" t="str">
        <x:v>Parent historique</x:v>
      </x:c>
      <x:c r="D655" t="str">
        <x:v>industrie</x:v>
      </x:c>
      <x:c r="E655" t="str">
        <x:v>Mine — variante 03</x:v>
      </x:c>
      <x:c r="F655" t="n">
        <x:v>8</x:v>
      </x:c>
      <x:c r="G655" t="n">
        <x:v>6</x:v>
      </x:c>
      <x:c r="H655" t="n">
        <x:v>0</x:v>
      </x:c>
      <x:c r="I655" t="str">
        <x:v>À qualifier par lieu</x:v>
      </x:c>
      <x:c r="J655" t="str">
        <x:v>https://github.com/darknigthmare/deadwall-last-enclosure/blob/1b3b9c5ba232734b1bda3453b4e20a0481bcdd74/codex-3000/originaux/DEADWALL_CODEX_SUPPLEMENT_1.23/FICHES_501_1000/DW-0650.md</x:v>
      </x:c>
      <x:c r="K655" t="str">
        <x:v>Source min 65,58 m ; max 65,58 m ; modèle 65 × 58 m ; niveaux 0. Détails dans catalogue-existant.json.</x:v>
      </x:c>
    </x:row>
    <x:row r="656">
      <x:c r="A656" t="str">
        <x:v>DW-0651</x:v>
      </x:c>
      <x:c r="B656" t="str">
        <x:v>DW-0651</x:v>
      </x:c>
      <x:c r="C656" t="str">
        <x:v>Parent historique</x:v>
      </x:c>
      <x:c r="D656" t="str">
        <x:v>industrie</x:v>
      </x:c>
      <x:c r="E656" t="str">
        <x:v>Centrale locale — variante 03</x:v>
      </x:c>
      <x:c r="F656" t="n">
        <x:v>8</x:v>
      </x:c>
      <x:c r="G656" t="n">
        <x:v>5</x:v>
      </x:c>
      <x:c r="H656" t="n">
        <x:v>0</x:v>
      </x:c>
      <x:c r="I656" t="str">
        <x:v>À qualifier par lieu</x:v>
      </x:c>
      <x:c r="J656" t="str">
        <x:v>https://github.com/darknigthmare/deadwall-last-enclosure/blob/1b3b9c5ba232734b1bda3453b4e20a0481bcdd74/codex-3000/originaux/DEADWALL_CODEX_SUPPLEMENT_1.23/FICHES_501_1000/DW-0651.md</x:v>
      </x:c>
      <x:c r="K656" t="str">
        <x:v>Source min 76,21 m ; max 76,21 m ; modèle 76 × 22 m ; niveaux 0. Détails dans catalogue-existant.json.</x:v>
      </x:c>
    </x:row>
    <x:row r="657">
      <x:c r="A657" t="str">
        <x:v>DW-0652</x:v>
      </x:c>
      <x:c r="B657" t="str">
        <x:v>DW-0652</x:v>
      </x:c>
      <x:c r="C657" t="str">
        <x:v>Parent historique</x:v>
      </x:c>
      <x:c r="D657" t="str">
        <x:v>industrie</x:v>
      </x:c>
      <x:c r="E657" t="str">
        <x:v>Station de pompage — variante 03</x:v>
      </x:c>
      <x:c r="F657" t="n">
        <x:v>8</x:v>
      </x:c>
      <x:c r="G657" t="n">
        <x:v>5</x:v>
      </x:c>
      <x:c r="H657" t="n">
        <x:v>0</x:v>
      </x:c>
      <x:c r="I657" t="str">
        <x:v>À qualifier par lieu</x:v>
      </x:c>
      <x:c r="J657" t="str">
        <x:v>https://github.com/darknigthmare/deadwall-last-enclosure/blob/1b3b9c5ba232734b1bda3453b4e20a0481bcdd74/codex-3000/originaux/DEADWALL_CODEX_SUPPLEMENT_1.23/FICHES_501_1000/DW-0652.md</x:v>
      </x:c>
      <x:c r="K657" t="str">
        <x:v>Source min 15,38 m ; max 15,38 m ; modèle 26 × 38 m ; niveaux 0. Détails dans catalogue-existant.json.</x:v>
      </x:c>
    </x:row>
    <x:row r="658">
      <x:c r="A658" t="str">
        <x:v>DW-0653</x:v>
      </x:c>
      <x:c r="B658" t="str">
        <x:v>DW-0653</x:v>
      </x:c>
      <x:c r="C658" t="str">
        <x:v>Parent historique</x:v>
      </x:c>
      <x:c r="D658" t="str">
        <x:v>public</x:v>
      </x:c>
      <x:c r="E658" t="str">
        <x:v>École — variante 03</x:v>
      </x:c>
      <x:c r="F658" t="n">
        <x:v>8</x:v>
      </x:c>
      <x:c r="G658" t="n">
        <x:v>5</x:v>
      </x:c>
      <x:c r="H658" t="n">
        <x:v>0</x:v>
      </x:c>
      <x:c r="I658" t="str">
        <x:v>À qualifier par lieu</x:v>
      </x:c>
      <x:c r="J658" t="str">
        <x:v>https://github.com/darknigthmare/deadwall-last-enclosure/blob/1b3b9c5ba232734b1bda3453b4e20a0481bcdd74/codex-3000/originaux/DEADWALL_CODEX_SUPPLEMENT_1.23/FICHES_501_1000/DW-0653.md</x:v>
      </x:c>
      <x:c r="K658" t="str">
        <x:v>Source min 26,55 m ; max 26,55 m ; modèle 26 × 55 m ; niveaux 0, 1. Détails dans catalogue-existant.json.</x:v>
      </x:c>
    </x:row>
    <x:row r="659">
      <x:c r="A659" t="str">
        <x:v>DW-0654</x:v>
      </x:c>
      <x:c r="B659" t="str">
        <x:v>DW-0654</x:v>
      </x:c>
      <x:c r="C659" t="str">
        <x:v>Parent historique</x:v>
      </x:c>
      <x:c r="D659" t="str">
        <x:v>public</x:v>
      </x:c>
      <x:c r="E659" t="str">
        <x:v>Mairie — variante 03</x:v>
      </x:c>
      <x:c r="F659" t="n">
        <x:v>8</x:v>
      </x:c>
      <x:c r="G659" t="n">
        <x:v>5</x:v>
      </x:c>
      <x:c r="H659" t="n">
        <x:v>0</x:v>
      </x:c>
      <x:c r="I659" t="str">
        <x:v>À qualifier par lieu</x:v>
      </x:c>
      <x:c r="J659" t="str">
        <x:v>https://github.com/darknigthmare/deadwall-last-enclosure/blob/1b3b9c5ba232734b1bda3453b4e20a0481bcdd74/codex-3000/originaux/DEADWALL_CODEX_SUPPLEMENT_1.23/FICHES_501_1000/DW-0654.md</x:v>
      </x:c>
      <x:c r="K659" t="str">
        <x:v>Source min 37,18 m ; max 37,18 m ; modèle 37 × 22 m ; niveaux 0. Détails dans catalogue-existant.json.</x:v>
      </x:c>
    </x:row>
    <x:row r="660">
      <x:c r="A660" t="str">
        <x:v>DW-0655</x:v>
      </x:c>
      <x:c r="B660" t="str">
        <x:v>DW-0655</x:v>
      </x:c>
      <x:c r="C660" t="str">
        <x:v>Parent historique</x:v>
      </x:c>
      <x:c r="D660" t="str">
        <x:v>public</x:v>
      </x:c>
      <x:c r="E660" t="str">
        <x:v>Clinique — variante 03</x:v>
      </x:c>
      <x:c r="F660" t="n">
        <x:v>8</x:v>
      </x:c>
      <x:c r="G660" t="n">
        <x:v>6</x:v>
      </x:c>
      <x:c r="H660" t="n">
        <x:v>0</x:v>
      </x:c>
      <x:c r="I660" t="str">
        <x:v>À qualifier par lieu</x:v>
      </x:c>
      <x:c r="J660" t="str">
        <x:v>https://github.com/darknigthmare/deadwall-last-enclosure/blob/1b3b9c5ba232734b1bda3453b4e20a0481bcdd74/codex-3000/originaux/DEADWALL_CODEX_SUPPLEMENT_1.23/FICHES_501_1000/DW-0655.md</x:v>
      </x:c>
      <x:c r="K660" t="str">
        <x:v>Source min 48,35 m ; max 48,35 m ; modèle 48 × 35 m ; niveaux 0. Détails dans catalogue-existant.json.</x:v>
      </x:c>
    </x:row>
    <x:row r="661">
      <x:c r="A661" t="str">
        <x:v>DW-0656</x:v>
      </x:c>
      <x:c r="B661" t="str">
        <x:v>DW-0656</x:v>
      </x:c>
      <x:c r="C661" t="str">
        <x:v>Parent historique</x:v>
      </x:c>
      <x:c r="D661" t="str">
        <x:v>public</x:v>
      </x:c>
      <x:c r="E661" t="str">
        <x:v>Caserne de pompiers — variante 03</x:v>
      </x:c>
      <x:c r="F661" t="n">
        <x:v>8</x:v>
      </x:c>
      <x:c r="G661" t="n">
        <x:v>6</x:v>
      </x:c>
      <x:c r="H661" t="n">
        <x:v>0</x:v>
      </x:c>
      <x:c r="I661" t="str">
        <x:v>À qualifier par lieu</x:v>
      </x:c>
      <x:c r="J661" t="str">
        <x:v>https://github.com/darknigthmare/deadwall-last-enclosure/blob/1b3b9c5ba232734b1bda3453b4e20a0481bcdd74/codex-3000/originaux/DEADWALL_CODEX_SUPPLEMENT_1.23/FICHES_501_1000/DW-0656.md</x:v>
      </x:c>
      <x:c r="K661" t="str">
        <x:v>Source min 59,52 m ; max 59,52 m ; modèle 59 × 52 m ; niveaux 0. Détails dans catalogue-existant.json.</x:v>
      </x:c>
    </x:row>
    <x:row r="662">
      <x:c r="A662" t="str">
        <x:v>DW-0657</x:v>
      </x:c>
      <x:c r="B662" t="str">
        <x:v>DW-0657</x:v>
      </x:c>
      <x:c r="C662" t="str">
        <x:v>Parent historique</x:v>
      </x:c>
      <x:c r="D662" t="str">
        <x:v>public</x:v>
      </x:c>
      <x:c r="E662" t="str">
        <x:v>Poste de police — variante 03</x:v>
      </x:c>
      <x:c r="F662" t="n">
        <x:v>8</x:v>
      </x:c>
      <x:c r="G662" t="n">
        <x:v>5</x:v>
      </x:c>
      <x:c r="H662" t="n">
        <x:v>0</x:v>
      </x:c>
      <x:c r="I662" t="str">
        <x:v>À qualifier par lieu</x:v>
      </x:c>
      <x:c r="J662" t="str">
        <x:v>https://github.com/darknigthmare/deadwall-last-enclosure/blob/1b3b9c5ba232734b1bda3453b4e20a0481bcdd74/codex-3000/originaux/DEADWALL_CODEX_SUPPLEMENT_1.23/FICHES_501_1000/DW-0657.md</x:v>
      </x:c>
      <x:c r="K662" t="str">
        <x:v>Source min 70,15 m ; max 70,15 m ; modèle 70 × 22 m ; niveaux 0, 1. Détails dans catalogue-existant.json.</x:v>
      </x:c>
    </x:row>
    <x:row r="663">
      <x:c r="A663" t="str">
        <x:v>DW-0658</x:v>
      </x:c>
      <x:c r="B663" t="str">
        <x:v>DW-0658</x:v>
      </x:c>
      <x:c r="C663" t="str">
        <x:v>Parent historique</x:v>
      </x:c>
      <x:c r="D663" t="str">
        <x:v>public</x:v>
      </x:c>
      <x:c r="E663" t="str">
        <x:v>Bibliothèque — variante 03</x:v>
      </x:c>
      <x:c r="F663" t="n">
        <x:v>8</x:v>
      </x:c>
      <x:c r="G663" t="n">
        <x:v>5</x:v>
      </x:c>
      <x:c r="H663" t="n">
        <x:v>0</x:v>
      </x:c>
      <x:c r="I663" t="str">
        <x:v>À qualifier par lieu</x:v>
      </x:c>
      <x:c r="J663" t="str">
        <x:v>https://github.com/darknigthmare/deadwall-last-enclosure/blob/1b3b9c5ba232734b1bda3453b4e20a0481bcdd74/codex-3000/originaux/DEADWALL_CODEX_SUPPLEMENT_1.23/FICHES_501_1000/DW-0658.md</x:v>
      </x:c>
      <x:c r="K663" t="str">
        <x:v>Source min 81,32 m ; max 81,32 m ; modèle 78 × 32 m ; niveaux 0. Détails dans catalogue-existant.json.</x:v>
      </x:c>
    </x:row>
    <x:row r="664">
      <x:c r="A664" t="str">
        <x:v>DW-0659</x:v>
      </x:c>
      <x:c r="B664" t="str">
        <x:v>DW-0659</x:v>
      </x:c>
      <x:c r="C664" t="str">
        <x:v>Parent historique</x:v>
      </x:c>
      <x:c r="D664" t="str">
        <x:v>public</x:v>
      </x:c>
      <x:c r="E664" t="str">
        <x:v>Salle des fêtes — variante 03</x:v>
      </x:c>
      <x:c r="F664" t="n">
        <x:v>8</x:v>
      </x:c>
      <x:c r="G664" t="n">
        <x:v>5</x:v>
      </x:c>
      <x:c r="H664" t="n">
        <x:v>0</x:v>
      </x:c>
      <x:c r="I664" t="str">
        <x:v>À qualifier par lieu</x:v>
      </x:c>
      <x:c r="J664" t="str">
        <x:v>https://github.com/darknigthmare/deadwall-last-enclosure/blob/1b3b9c5ba232734b1bda3453b4e20a0481bcdd74/codex-3000/originaux/DEADWALL_CODEX_SUPPLEMENT_1.23/FICHES_501_1000/DW-0659.md</x:v>
      </x:c>
      <x:c r="K664" t="str">
        <x:v>Source min 20,49 m ; max 20,49 m ; modèle 26 × 49 m ; niveaux 0. Détails dans catalogue-existant.json.</x:v>
      </x:c>
    </x:row>
    <x:row r="665">
      <x:c r="A665" t="str">
        <x:v>DW-0660</x:v>
      </x:c>
      <x:c r="B665" t="str">
        <x:v>DW-0660</x:v>
      </x:c>
      <x:c r="C665" t="str">
        <x:v>Parent historique</x:v>
      </x:c>
      <x:c r="D665" t="str">
        <x:v>public</x:v>
      </x:c>
      <x:c r="E665" t="str">
        <x:v>Église et presbytère — variante 03</x:v>
      </x:c>
      <x:c r="F665" t="n">
        <x:v>8</x:v>
      </x:c>
      <x:c r="G665" t="n">
        <x:v>5</x:v>
      </x:c>
      <x:c r="H665" t="n">
        <x:v>0</x:v>
      </x:c>
      <x:c r="I665" t="str">
        <x:v>À qualifier par lieu</x:v>
      </x:c>
      <x:c r="J665" t="str">
        <x:v>https://github.com/darknigthmare/deadwall-last-enclosure/blob/1b3b9c5ba232734b1bda3453b4e20a0481bcdd74/codex-3000/originaux/DEADWALL_CODEX_SUPPLEMENT_1.23/FICHES_501_1000/DW-0660.md</x:v>
      </x:c>
      <x:c r="K665" t="str">
        <x:v>Source min 31,12 m ; max 31,12 m ; modèle 31 × 22 m ; niveaux 0. Détails dans catalogue-existant.json.</x:v>
      </x:c>
    </x:row>
    <x:row r="666">
      <x:c r="A666" t="str">
        <x:v>DW-0661</x:v>
      </x:c>
      <x:c r="B666" t="str">
        <x:v>DW-0661</x:v>
      </x:c>
      <x:c r="C666" t="str">
        <x:v>Parent historique</x:v>
      </x:c>
      <x:c r="D666" t="str">
        <x:v>rural</x:v>
      </x:c>
      <x:c r="E666" t="str">
        <x:v>Hameau agricole — variante 03</x:v>
      </x:c>
      <x:c r="F666" t="n">
        <x:v>8</x:v>
      </x:c>
      <x:c r="G666" t="n">
        <x:v>6</x:v>
      </x:c>
      <x:c r="H666" t="n">
        <x:v>0</x:v>
      </x:c>
      <x:c r="I666" t="str">
        <x:v>À qualifier par lieu</x:v>
      </x:c>
      <x:c r="J666" t="str">
        <x:v>https://github.com/darknigthmare/deadwall-last-enclosure/blob/1b3b9c5ba232734b1bda3453b4e20a0481bcdd74/codex-3000/originaux/DEADWALL_CODEX_SUPPLEMENT_1.23/FICHES_501_1000/DW-0661.md</x:v>
      </x:c>
      <x:c r="K666" t="str">
        <x:v>Source min 42,29 m ; max 42,29 m ; modèle 42 × 29 m ; niveaux 0. Détails dans catalogue-existant.json.</x:v>
      </x:c>
    </x:row>
    <x:row r="667">
      <x:c r="A667" t="str">
        <x:v>DW-0662</x:v>
      </x:c>
      <x:c r="B667" t="str">
        <x:v>DW-0662</x:v>
      </x:c>
      <x:c r="C667" t="str">
        <x:v>Parent historique</x:v>
      </x:c>
      <x:c r="D667" t="str">
        <x:v>rural</x:v>
      </x:c>
      <x:c r="E667" t="str">
        <x:v>Cabane forestière — variante 03</x:v>
      </x:c>
      <x:c r="F667" t="n">
        <x:v>8</x:v>
      </x:c>
      <x:c r="G667" t="n">
        <x:v>4</x:v>
      </x:c>
      <x:c r="H667" t="n">
        <x:v>0</x:v>
      </x:c>
      <x:c r="I667" t="str">
        <x:v>À qualifier par lieu</x:v>
      </x:c>
      <x:c r="J667" t="str">
        <x:v>https://github.com/darknigthmare/deadwall-last-enclosure/blob/1b3b9c5ba232734b1bda3453b4e20a0481bcdd74/codex-3000/originaux/DEADWALL_CODEX_SUPPLEMENT_1.23/FICHES_501_1000/DW-0662.md</x:v>
      </x:c>
      <x:c r="K667" t="str">
        <x:v>Source min 53,46 m ; max 53,46 m ; modèle 53 × 46 m ; niveaux 0. Détails dans catalogue-existant.json.</x:v>
      </x:c>
    </x:row>
    <x:row r="668">
      <x:c r="A668" t="str">
        <x:v>DW-0663</x:v>
      </x:c>
      <x:c r="B668" t="str">
        <x:v>DW-0663</x:v>
      </x:c>
      <x:c r="C668" t="str">
        <x:v>Parent historique</x:v>
      </x:c>
      <x:c r="D668" t="str">
        <x:v>rural</x:v>
      </x:c>
      <x:c r="E668" t="str">
        <x:v>Dépôt forestier — variante 03</x:v>
      </x:c>
      <x:c r="F668" t="n">
        <x:v>8</x:v>
      </x:c>
      <x:c r="G668" t="n">
        <x:v>5</x:v>
      </x:c>
      <x:c r="H668" t="n">
        <x:v>0</x:v>
      </x:c>
      <x:c r="I668" t="str">
        <x:v>À qualifier par lieu</x:v>
      </x:c>
      <x:c r="J668" t="str">
        <x:v>https://github.com/darknigthmare/deadwall-last-enclosure/blob/1b3b9c5ba232734b1bda3453b4e20a0481bcdd74/codex-3000/originaux/DEADWALL_CODEX_SUPPLEMENT_1.23/FICHES_501_1000/DW-0663.md</x:v>
      </x:c>
      <x:c r="K668" t="str">
        <x:v>Source min 64,9 m ; max 64,9 m ; modèle 64 × 22 m ; niveaux 0. Détails dans catalogue-existant.json.</x:v>
      </x:c>
    </x:row>
    <x:row r="669">
      <x:c r="A669" t="str">
        <x:v>DW-0664</x:v>
      </x:c>
      <x:c r="B669" t="str">
        <x:v>DW-0664</x:v>
      </x:c>
      <x:c r="C669" t="str">
        <x:v>Parent historique</x:v>
      </x:c>
      <x:c r="D669" t="str">
        <x:v>rural</x:v>
      </x:c>
      <x:c r="E669" t="str">
        <x:v>Ferme céréalière — variante 03</x:v>
      </x:c>
      <x:c r="F669" t="n">
        <x:v>8</x:v>
      </x:c>
      <x:c r="G669" t="n">
        <x:v>5</x:v>
      </x:c>
      <x:c r="H669" t="n">
        <x:v>0</x:v>
      </x:c>
      <x:c r="I669" t="str">
        <x:v>À qualifier par lieu</x:v>
      </x:c>
      <x:c r="J669" t="str">
        <x:v>https://github.com/darknigthmare/deadwall-last-enclosure/blob/1b3b9c5ba232734b1bda3453b4e20a0481bcdd74/codex-3000/originaux/DEADWALL_CODEX_SUPPLEMENT_1.23/FICHES_501_1000/DW-0664.md</x:v>
      </x:c>
      <x:c r="K669" t="str">
        <x:v>Source min 75,26 m ; max 75,26 m ; modèle 75 × 26 m ; niveaux 0. Détails dans catalogue-existant.json.</x:v>
      </x:c>
    </x:row>
    <x:row r="670">
      <x:c r="A670" t="str">
        <x:v>DW-0665</x:v>
      </x:c>
      <x:c r="B670" t="str">
        <x:v>DW-0665</x:v>
      </x:c>
      <x:c r="C670" t="str">
        <x:v>Parent historique</x:v>
      </x:c>
      <x:c r="D670" t="str">
        <x:v>rural</x:v>
      </x:c>
      <x:c r="E670" t="str">
        <x:v>Ferme d'élevage — variante 03</x:v>
      </x:c>
      <x:c r="F670" t="n">
        <x:v>8</x:v>
      </x:c>
      <x:c r="G670" t="n">
        <x:v>5</x:v>
      </x:c>
      <x:c r="H670" t="n">
        <x:v>0</x:v>
      </x:c>
      <x:c r="I670" t="str">
        <x:v>À qualifier par lieu</x:v>
      </x:c>
      <x:c r="J670" t="str">
        <x:v>https://github.com/darknigthmare/deadwall-last-enclosure/blob/1b3b9c5ba232734b1bda3453b4e20a0481bcdd74/codex-3000/originaux/DEADWALL_CODEX_SUPPLEMENT_1.23/FICHES_501_1000/DW-0665.md</x:v>
      </x:c>
      <x:c r="K670" t="str">
        <x:v>Source min 14,43 m ; max 14,43 m ; modèle 26 × 43 m ; niveaux 0. Détails dans catalogue-existant.json.</x:v>
      </x:c>
    </x:row>
    <x:row r="671">
      <x:c r="A671" t="str">
        <x:v>DW-0666</x:v>
      </x:c>
      <x:c r="B671" t="str">
        <x:v>DW-0666</x:v>
      </x:c>
      <x:c r="C671" t="str">
        <x:v>Parent historique</x:v>
      </x:c>
      <x:c r="D671" t="str">
        <x:v>rural</x:v>
      </x:c>
      <x:c r="E671" t="str">
        <x:v>Relais de chasse — variante 03</x:v>
      </x:c>
      <x:c r="F671" t="n">
        <x:v>8</x:v>
      </x:c>
      <x:c r="G671" t="n">
        <x:v>4</x:v>
      </x:c>
      <x:c r="H671" t="n">
        <x:v>0</x:v>
      </x:c>
      <x:c r="I671" t="str">
        <x:v>À qualifier par lieu</x:v>
      </x:c>
      <x:c r="J671" t="str">
        <x:v>https://github.com/darknigthmare/deadwall-last-enclosure/blob/1b3b9c5ba232734b1bda3453b4e20a0481bcdd74/codex-3000/originaux/DEADWALL_CODEX_SUPPLEMENT_1.23/FICHES_501_1000/DW-0666.md</x:v>
      </x:c>
      <x:c r="K671" t="str">
        <x:v>Source min 25,60 m ; max 25,60 m ; modèle 25 × 60 m ; niveaux 0. Détails dans catalogue-existant.json.</x:v>
      </x:c>
    </x:row>
    <x:row r="672">
      <x:c r="A672" t="str">
        <x:v>DW-0667</x:v>
      </x:c>
      <x:c r="B672" t="str">
        <x:v>DW-0667</x:v>
      </x:c>
      <x:c r="C672" t="str">
        <x:v>Parent historique</x:v>
      </x:c>
      <x:c r="D672" t="str">
        <x:v>rural</x:v>
      </x:c>
      <x:c r="E672" t="str">
        <x:v>Moulin rural — variante 03</x:v>
      </x:c>
      <x:c r="F672" t="n">
        <x:v>8</x:v>
      </x:c>
      <x:c r="G672" t="n">
        <x:v>4</x:v>
      </x:c>
      <x:c r="H672" t="n">
        <x:v>0</x:v>
      </x:c>
      <x:c r="I672" t="str">
        <x:v>À qualifier par lieu</x:v>
      </x:c>
      <x:c r="J672" t="str">
        <x:v>https://github.com/darknigthmare/deadwall-last-enclosure/blob/1b3b9c5ba232734b1bda3453b4e20a0481bcdd74/codex-3000/originaux/DEADWALL_CODEX_SUPPLEMENT_1.23/FICHES_501_1000/DW-0667.md</x:v>
      </x:c>
      <x:c r="K672" t="str">
        <x:v>Source min 36,23 m ; max 36,23 m ; modèle 36 × 23 m ; niveaux 0. Détails dans catalogue-existant.json.</x:v>
      </x:c>
    </x:row>
    <x:row r="673">
      <x:c r="A673" t="str">
        <x:v>DW-0668</x:v>
      </x:c>
      <x:c r="B673" t="str">
        <x:v>DW-0668</x:v>
      </x:c>
      <x:c r="C673" t="str">
        <x:v>Parent historique</x:v>
      </x:c>
      <x:c r="D673" t="str">
        <x:v>rural</x:v>
      </x:c>
      <x:c r="E673" t="str">
        <x:v>Serres maraîchères — variante 03</x:v>
      </x:c>
      <x:c r="F673" t="n">
        <x:v>8</x:v>
      </x:c>
      <x:c r="G673" t="n">
        <x:v>5</x:v>
      </x:c>
      <x:c r="H673" t="n">
        <x:v>0</x:v>
      </x:c>
      <x:c r="I673" t="str">
        <x:v>À qualifier par lieu</x:v>
      </x:c>
      <x:c r="J673" t="str">
        <x:v>https://github.com/darknigthmare/deadwall-last-enclosure/blob/1b3b9c5ba232734b1bda3453b4e20a0481bcdd74/codex-3000/originaux/DEADWALL_CODEX_SUPPLEMENT_1.23/FICHES_501_1000/DW-0668.md</x:v>
      </x:c>
      <x:c r="K673" t="str">
        <x:v>Source min 47,40 m ; max 47,40 m ; modèle 47 × 40 m ; niveaux 0. Détails dans catalogue-existant.json.</x:v>
      </x:c>
    </x:row>
    <x:row r="674">
      <x:c r="A674" t="str">
        <x:v>DW-0669</x:v>
      </x:c>
      <x:c r="B674" t="str">
        <x:v>DW-0669</x:v>
      </x:c>
      <x:c r="C674" t="str">
        <x:v>Parent historique</x:v>
      </x:c>
      <x:c r="D674" t="str">
        <x:v>militaire</x:v>
      </x:c>
      <x:c r="E674" t="str">
        <x:v>Bunker de défense civile — variante 03</x:v>
      </x:c>
      <x:c r="F674" t="n">
        <x:v>8</x:v>
      </x:c>
      <x:c r="G674" t="n">
        <x:v>6</x:v>
      </x:c>
      <x:c r="H674" t="n">
        <x:v>0</x:v>
      </x:c>
      <x:c r="I674" t="str">
        <x:v>À qualifier par lieu</x:v>
      </x:c>
      <x:c r="J674" t="str">
        <x:v>https://github.com/darknigthmare/deadwall-last-enclosure/blob/1b3b9c5ba232734b1bda3453b4e20a0481bcdd74/codex-3000/originaux/DEADWALL_CODEX_SUPPLEMENT_1.23/FICHES_501_1000/DW-0669.md</x:v>
      </x:c>
      <x:c r="K674" t="str">
        <x:v>Source min 58,57 m ; max 58,57 m ; modèle 58 × 57 m ; niveaux 0, 1. Détails dans catalogue-existant.json.</x:v>
      </x:c>
    </x:row>
    <x:row r="675">
      <x:c r="A675" t="str">
        <x:v>DW-0670</x:v>
      </x:c>
      <x:c r="B675" t="str">
        <x:v>DW-0670</x:v>
      </x:c>
      <x:c r="C675" t="str">
        <x:v>Parent historique</x:v>
      </x:c>
      <x:c r="D675" t="str">
        <x:v>militaire</x:v>
      </x:c>
      <x:c r="E675" t="str">
        <x:v>Dépôt militaire — variante 03</x:v>
      </x:c>
      <x:c r="F675" t="n">
        <x:v>8</x:v>
      </x:c>
      <x:c r="G675" t="n">
        <x:v>5</x:v>
      </x:c>
      <x:c r="H675" t="n">
        <x:v>0</x:v>
      </x:c>
      <x:c r="I675" t="str">
        <x:v>À qualifier par lieu</x:v>
      </x:c>
      <x:c r="J675" t="str">
        <x:v>https://github.com/darknigthmare/deadwall-last-enclosure/blob/1b3b9c5ba232734b1bda3453b4e20a0481bcdd74/codex-3000/originaux/DEADWALL_CODEX_SUPPLEMENT_1.23/FICHES_501_1000/DW-0670.md</x:v>
      </x:c>
      <x:c r="K675" t="str">
        <x:v>Source min 69,20 m ; max 69,20 m ; modèle 69 × 22 m ; niveaux 0. Détails dans catalogue-existant.json.</x:v>
      </x:c>
    </x:row>
    <x:row r="676">
      <x:c r="A676" t="str">
        <x:v>DW-0671</x:v>
      </x:c>
      <x:c r="B676" t="str">
        <x:v>DW-0671</x:v>
      </x:c>
      <x:c r="C676" t="str">
        <x:v>Parent historique</x:v>
      </x:c>
      <x:c r="D676" t="str">
        <x:v>militaire</x:v>
      </x:c>
      <x:c r="E676" t="str">
        <x:v>Poste de contrôle — variante 03</x:v>
      </x:c>
      <x:c r="F676" t="n">
        <x:v>8</x:v>
      </x:c>
      <x:c r="G676" t="n">
        <x:v>5</x:v>
      </x:c>
      <x:c r="H676" t="n">
        <x:v>0</x:v>
      </x:c>
      <x:c r="I676" t="str">
        <x:v>À qualifier par lieu</x:v>
      </x:c>
      <x:c r="J676" t="str">
        <x:v>https://github.com/darknigthmare/deadwall-last-enclosure/blob/1b3b9c5ba232734b1bda3453b4e20a0481bcdd74/codex-3000/originaux/DEADWALL_CODEX_SUPPLEMENT_1.23/FICHES_501_1000/DW-0671.md</x:v>
      </x:c>
      <x:c r="K676" t="str">
        <x:v>Source min 80,37 m ; max 80,37 m ; modèle 78 × 37 m ; niveaux 0. Détails dans catalogue-existant.json.</x:v>
      </x:c>
    </x:row>
    <x:row r="677">
      <x:c r="A677" t="str">
        <x:v>DW-0672</x:v>
      </x:c>
      <x:c r="B677" t="str">
        <x:v>DW-0672</x:v>
      </x:c>
      <x:c r="C677" t="str">
        <x:v>Parent historique</x:v>
      </x:c>
      <x:c r="D677" t="str">
        <x:v>militaire</x:v>
      </x:c>
      <x:c r="E677" t="str">
        <x:v>Camp retranché abandonné — variante 03</x:v>
      </x:c>
      <x:c r="F677" t="n">
        <x:v>8</x:v>
      </x:c>
      <x:c r="G677" t="n">
        <x:v>5</x:v>
      </x:c>
      <x:c r="H677" t="n">
        <x:v>0</x:v>
      </x:c>
      <x:c r="I677" t="str">
        <x:v>À qualifier par lieu</x:v>
      </x:c>
      <x:c r="J677" t="str">
        <x:v>https://github.com/darknigthmare/deadwall-last-enclosure/blob/1b3b9c5ba232734b1bda3453b4e20a0481bcdd74/codex-3000/originaux/DEADWALL_CODEX_SUPPLEMENT_1.23/FICHES_501_1000/DW-0672.md</x:v>
      </x:c>
      <x:c r="K677" t="str">
        <x:v>Source min 19,54 m ; max 19,54 m ; modèle 26 × 54 m ; niveaux 0. Détails dans catalogue-existant.json.</x:v>
      </x:c>
    </x:row>
    <x:row r="678">
      <x:c r="A678" t="str">
        <x:v>DW-0673</x:v>
      </x:c>
      <x:c r="B678" t="str">
        <x:v>DW-0673</x:v>
      </x:c>
      <x:c r="C678" t="str">
        <x:v>Parent historique</x:v>
      </x:c>
      <x:c r="D678" t="str">
        <x:v>militaire</x:v>
      </x:c>
      <x:c r="E678" t="str">
        <x:v>Abri ferroviaire — variante 03</x:v>
      </x:c>
      <x:c r="F678" t="n">
        <x:v>8</x:v>
      </x:c>
      <x:c r="G678" t="n">
        <x:v>4</x:v>
      </x:c>
      <x:c r="H678" t="n">
        <x:v>0</x:v>
      </x:c>
      <x:c r="I678" t="str">
        <x:v>À qualifier par lieu</x:v>
      </x:c>
      <x:c r="J678" t="str">
        <x:v>https://github.com/darknigthmare/deadwall-last-enclosure/blob/1b3b9c5ba232734b1bda3453b4e20a0481bcdd74/codex-3000/originaux/DEADWALL_CODEX_SUPPLEMENT_1.23/FICHES_501_1000/DW-0673.md</x:v>
      </x:c>
      <x:c r="K678" t="str">
        <x:v>Source min 30,17 m ; max 30,17 m ; modèle 30 × 18 m ; niveaux 0. Détails dans catalogue-existant.json.</x:v>
      </x:c>
    </x:row>
    <x:row r="679">
      <x:c r="A679" t="str">
        <x:v>DW-0674</x:v>
      </x:c>
      <x:c r="B679" t="str">
        <x:v>DW-0674</x:v>
      </x:c>
      <x:c r="C679" t="str">
        <x:v>Parent historique</x:v>
      </x:c>
      <x:c r="D679" t="str">
        <x:v>militaire</x:v>
      </x:c>
      <x:c r="E679" t="str">
        <x:v>Site radar — variante 03</x:v>
      </x:c>
      <x:c r="F679" t="n">
        <x:v>8</x:v>
      </x:c>
      <x:c r="G679" t="n">
        <x:v>5</x:v>
      </x:c>
      <x:c r="H679" t="n">
        <x:v>0</x:v>
      </x:c>
      <x:c r="I679" t="str">
        <x:v>À qualifier par lieu</x:v>
      </x:c>
      <x:c r="J679" t="str">
        <x:v>https://github.com/darknigthmare/deadwall-last-enclosure/blob/1b3b9c5ba232734b1bda3453b4e20a0481bcdd74/codex-3000/originaux/DEADWALL_CODEX_SUPPLEMENT_1.23/FICHES_501_1000/DW-0674.md</x:v>
      </x:c>
      <x:c r="K679" t="str">
        <x:v>Source min 41,34 m ; max 41,34 m ; modèle 41 × 34 m ; niveaux 0. Détails dans catalogue-existant.json.</x:v>
      </x:c>
    </x:row>
    <x:row r="680">
      <x:c r="A680" t="str">
        <x:v>DW-0675</x:v>
      </x:c>
      <x:c r="B680" t="str">
        <x:v>DW-0675</x:v>
      </x:c>
      <x:c r="C680" t="str">
        <x:v>Parent historique</x:v>
      </x:c>
      <x:c r="D680" t="str">
        <x:v>militaire</x:v>
      </x:c>
      <x:c r="E680" t="str">
        <x:v>Batterie côtière — variante 03</x:v>
      </x:c>
      <x:c r="F680" t="n">
        <x:v>8</x:v>
      </x:c>
      <x:c r="G680" t="n">
        <x:v>4</x:v>
      </x:c>
      <x:c r="H680" t="n">
        <x:v>0</x:v>
      </x:c>
      <x:c r="I680" t="str">
        <x:v>À qualifier par lieu</x:v>
      </x:c>
      <x:c r="J680" t="str">
        <x:v>https://github.com/darknigthmare/deadwall-last-enclosure/blob/1b3b9c5ba232734b1bda3453b4e20a0481bcdd74/codex-3000/originaux/DEADWALL_CODEX_SUPPLEMENT_1.23/FICHES_501_1000/DW-0675.md</x:v>
      </x:c>
      <x:c r="K680" t="str">
        <x:v>Source min 52,51 m ; max 52,51 m ; modèle 52 × 51 m ; niveaux 0. Détails dans catalogue-existant.json.</x:v>
      </x:c>
    </x:row>
    <x:row r="681">
      <x:c r="A681" t="str">
        <x:v>DW-0676</x:v>
      </x:c>
      <x:c r="B681" t="str">
        <x:v>DW-0676</x:v>
      </x:c>
      <x:c r="C681" t="str">
        <x:v>Parent historique</x:v>
      </x:c>
      <x:c r="D681" t="str">
        <x:v>militaire</x:v>
      </x:c>
      <x:c r="E681" t="str">
        <x:v>Dépôt carburant sécurisé — variante 03</x:v>
      </x:c>
      <x:c r="F681" t="n">
        <x:v>8</x:v>
      </x:c>
      <x:c r="G681" t="n">
        <x:v>5</x:v>
      </x:c>
      <x:c r="H681" t="n">
        <x:v>0</x:v>
      </x:c>
      <x:c r="I681" t="str">
        <x:v>À qualifier par lieu</x:v>
      </x:c>
      <x:c r="J681" t="str">
        <x:v>https://github.com/darknigthmare/deadwall-last-enclosure/blob/1b3b9c5ba232734b1bda3453b4e20a0481bcdd74/codex-3000/originaux/DEADWALL_CODEX_SUPPLEMENT_1.23/FICHES_501_1000/DW-0676.md</x:v>
      </x:c>
      <x:c r="K681" t="str">
        <x:v>Source min 63,14 m ; max 63,14 m ; modèle 63 × 22 m ; niveaux 0. Détails dans catalogue-existant.json.</x:v>
      </x:c>
    </x:row>
    <x:row r="682">
      <x:c r="A682" t="str">
        <x:v>DW-0677</x:v>
      </x:c>
      <x:c r="B682" t="str">
        <x:v>DW-0677</x:v>
      </x:c>
      <x:c r="C682" t="str">
        <x:v>Parent historique</x:v>
      </x:c>
      <x:c r="D682" t="str">
        <x:v>transport</x:v>
      </x:c>
      <x:c r="E682" t="str">
        <x:v>Gare routière — variante 03</x:v>
      </x:c>
      <x:c r="F682" t="n">
        <x:v>8</x:v>
      </x:c>
      <x:c r="G682" t="n">
        <x:v>5</x:v>
      </x:c>
      <x:c r="H682" t="n">
        <x:v>0</x:v>
      </x:c>
      <x:c r="I682" t="str">
        <x:v>À qualifier par lieu</x:v>
      </x:c>
      <x:c r="J682" t="str">
        <x:v>https://github.com/darknigthmare/deadwall-last-enclosure/blob/1b3b9c5ba232734b1bda3453b4e20a0481bcdd74/codex-3000/originaux/DEADWALL_CODEX_SUPPLEMENT_1.23/FICHES_501_1000/DW-0677.md</x:v>
      </x:c>
      <x:c r="K682" t="str">
        <x:v>Source min 74,31 m ; max 74,31 m ; modèle 74 × 31 m ; niveaux 0. Détails dans catalogue-existant.json.</x:v>
      </x:c>
    </x:row>
    <x:row r="683">
      <x:c r="A683" t="str">
        <x:v>DW-0678</x:v>
      </x:c>
      <x:c r="B683" t="str">
        <x:v>DW-0678</x:v>
      </x:c>
      <x:c r="C683" t="str">
        <x:v>Parent historique</x:v>
      </x:c>
      <x:c r="D683" t="str">
        <x:v>transport</x:v>
      </x:c>
      <x:c r="E683" t="str">
        <x:v>Dépôt de bus — variante 03</x:v>
      </x:c>
      <x:c r="F683" t="n">
        <x:v>8</x:v>
      </x:c>
      <x:c r="G683" t="n">
        <x:v>5</x:v>
      </x:c>
      <x:c r="H683" t="n">
        <x:v>0</x:v>
      </x:c>
      <x:c r="I683" t="str">
        <x:v>À qualifier par lieu</x:v>
      </x:c>
      <x:c r="J683" t="str">
        <x:v>https://github.com/darknigthmare/deadwall-last-enclosure/blob/1b3b9c5ba232734b1bda3453b4e20a0481bcdd74/codex-3000/originaux/DEADWALL_CODEX_SUPPLEMENT_1.23/FICHES_501_1000/DW-0678.md</x:v>
      </x:c>
      <x:c r="K683" t="str">
        <x:v>Source min 13,48 m ; max 13,48 m ; modèle 26 × 48 m ; niveaux 0. Détails dans catalogue-existant.json.</x:v>
      </x:c>
    </x:row>
    <x:row r="684">
      <x:c r="A684" t="str">
        <x:v>DW-0679</x:v>
      </x:c>
      <x:c r="B684" t="str">
        <x:v>DW-0679</x:v>
      </x:c>
      <x:c r="C684" t="str">
        <x:v>Parent historique</x:v>
      </x:c>
      <x:c r="D684" t="str">
        <x:v>transport</x:v>
      </x:c>
      <x:c r="E684" t="str">
        <x:v>Gare ferroviaire — variante 03</x:v>
      </x:c>
      <x:c r="F684" t="n">
        <x:v>8</x:v>
      </x:c>
      <x:c r="G684" t="n">
        <x:v>5</x:v>
      </x:c>
      <x:c r="H684" t="n">
        <x:v>0</x:v>
      </x:c>
      <x:c r="I684" t="str">
        <x:v>À qualifier par lieu</x:v>
      </x:c>
      <x:c r="J684" t="str">
        <x:v>https://github.com/darknigthmare/deadwall-last-enclosure/blob/1b3b9c5ba232734b1bda3453b4e20a0481bcdd74/codex-3000/originaux/DEADWALL_CODEX_SUPPLEMENT_1.23/FICHES_501_1000/DW-0679.md</x:v>
      </x:c>
      <x:c r="K684" t="str">
        <x:v>Source min 24,11 m ; max 24,11 m ; modèle 26 × 22 m ; niveaux 0. Détails dans catalogue-existant.json.</x:v>
      </x:c>
    </x:row>
    <x:row r="685">
      <x:c r="A685" t="str">
        <x:v>DW-0680</x:v>
      </x:c>
      <x:c r="B685" t="str">
        <x:v>DW-0680</x:v>
      </x:c>
      <x:c r="C685" t="str">
        <x:v>Parent historique</x:v>
      </x:c>
      <x:c r="D685" t="str">
        <x:v>transport</x:v>
      </x:c>
      <x:c r="E685" t="str">
        <x:v>Aire d'autoroute — variante 03</x:v>
      </x:c>
      <x:c r="F685" t="n">
        <x:v>8</x:v>
      </x:c>
      <x:c r="G685" t="n">
        <x:v>5</x:v>
      </x:c>
      <x:c r="H685" t="n">
        <x:v>0</x:v>
      </x:c>
      <x:c r="I685" t="str">
        <x:v>À qualifier par lieu</x:v>
      </x:c>
      <x:c r="J685" t="str">
        <x:v>https://github.com/darknigthmare/deadwall-last-enclosure/blob/1b3b9c5ba232734b1bda3453b4e20a0481bcdd74/codex-3000/originaux/DEADWALL_CODEX_SUPPLEMENT_1.23/FICHES_501_1000/DW-0680.md</x:v>
      </x:c>
      <x:c r="K685" t="str">
        <x:v>Source min 35,28 m ; max 35,28 m ; modèle 35 × 28 m ; niveaux 0. Détails dans catalogue-existant.json.</x:v>
      </x:c>
    </x:row>
    <x:row r="686">
      <x:c r="A686" t="str">
        <x:v>DW-0681</x:v>
      </x:c>
      <x:c r="B686" t="str">
        <x:v>DW-0681</x:v>
      </x:c>
      <x:c r="C686" t="str">
        <x:v>Parent historique</x:v>
      </x:c>
      <x:c r="D686" t="str">
        <x:v>transport</x:v>
      </x:c>
      <x:c r="E686" t="str">
        <x:v>Parking silo — variante 03</x:v>
      </x:c>
      <x:c r="F686" t="n">
        <x:v>8</x:v>
      </x:c>
      <x:c r="G686" t="n">
        <x:v>4</x:v>
      </x:c>
      <x:c r="H686" t="n">
        <x:v>0</x:v>
      </x:c>
      <x:c r="I686" t="str">
        <x:v>À qualifier par lieu</x:v>
      </x:c>
      <x:c r="J686" t="str">
        <x:v>https://github.com/darknigthmare/deadwall-last-enclosure/blob/1b3b9c5ba232734b1bda3453b4e20a0481bcdd74/codex-3000/originaux/DEADWALL_CODEX_SUPPLEMENT_1.23/FICHES_501_1000/DW-0681.md</x:v>
      </x:c>
      <x:c r="K686" t="str">
        <x:v>Source min 46,45 m ; max 46,45 m ; modèle 46 × 45 m ; niveaux 0. Détails dans catalogue-existant.json.</x:v>
      </x:c>
    </x:row>
    <x:row r="687">
      <x:c r="A687" t="str">
        <x:v>DW-0682</x:v>
      </x:c>
      <x:c r="B687" t="str">
        <x:v>DW-0682</x:v>
      </x:c>
      <x:c r="C687" t="str">
        <x:v>Parent historique</x:v>
      </x:c>
      <x:c r="D687" t="str">
        <x:v>transport</x:v>
      </x:c>
      <x:c r="E687" t="str">
        <x:v>Terminal poids lourds — variante 03</x:v>
      </x:c>
      <x:c r="F687" t="n">
        <x:v>8</x:v>
      </x:c>
      <x:c r="G687" t="n">
        <x:v>5</x:v>
      </x:c>
      <x:c r="H687" t="n">
        <x:v>0</x:v>
      </x:c>
      <x:c r="I687" t="str">
        <x:v>À qualifier par lieu</x:v>
      </x:c>
      <x:c r="J687" t="str">
        <x:v>https://github.com/darknigthmare/deadwall-last-enclosure/blob/1b3b9c5ba232734b1bda3453b4e20a0481bcdd74/codex-3000/originaux/DEADWALL_CODEX_SUPPLEMENT_1.23/FICHES_501_1000/DW-0682.md</x:v>
      </x:c>
      <x:c r="K687" t="str">
        <x:v>Source min 57,62 m ; max 57,62 m ; modèle 57 × 62 m ; niveaux 0. Détails dans catalogue-existant.json.</x:v>
      </x:c>
    </x:row>
    <x:row r="688">
      <x:c r="A688" t="str">
        <x:v>DW-0683</x:v>
      </x:c>
      <x:c r="B688" t="str">
        <x:v>DW-0683</x:v>
      </x:c>
      <x:c r="C688" t="str">
        <x:v>Parent historique</x:v>
      </x:c>
      <x:c r="D688" t="str">
        <x:v>transport</x:v>
      </x:c>
      <x:c r="E688" t="str">
        <x:v>Port de plaisance — variante 03</x:v>
      </x:c>
      <x:c r="F688" t="n">
        <x:v>8</x:v>
      </x:c>
      <x:c r="G688" t="n">
        <x:v>5</x:v>
      </x:c>
      <x:c r="H688" t="n">
        <x:v>0</x:v>
      </x:c>
      <x:c r="I688" t="str">
        <x:v>À qualifier par lieu</x:v>
      </x:c>
      <x:c r="J688" t="str">
        <x:v>https://github.com/darknigthmare/deadwall-last-enclosure/blob/1b3b9c5ba232734b1bda3453b4e20a0481bcdd74/codex-3000/originaux/DEADWALL_CODEX_SUPPLEMENT_1.23/FICHES_501_1000/DW-0683.md</x:v>
      </x:c>
      <x:c r="K688" t="str">
        <x:v>Source min 68,25 m ; max 68,25 m ; modèle 68 × 25 m ; niveaux 0. Détails dans catalogue-existant.json.</x:v>
      </x:c>
    </x:row>
    <x:row r="689">
      <x:c r="A689" t="str">
        <x:v>DW-0684</x:v>
      </x:c>
      <x:c r="B689" t="str">
        <x:v>DW-0684</x:v>
      </x:c>
      <x:c r="C689" t="str">
        <x:v>Parent historique</x:v>
      </x:c>
      <x:c r="D689" t="str">
        <x:v>transport</x:v>
      </x:c>
      <x:c r="E689" t="str">
        <x:v>Petit aérodrome — variante 03</x:v>
      </x:c>
      <x:c r="F689" t="n">
        <x:v>8</x:v>
      </x:c>
      <x:c r="G689" t="n">
        <x:v>5</x:v>
      </x:c>
      <x:c r="H689" t="n">
        <x:v>0</x:v>
      </x:c>
      <x:c r="I689" t="str">
        <x:v>À qualifier par lieu</x:v>
      </x:c>
      <x:c r="J689" t="str">
        <x:v>https://github.com/darknigthmare/deadwall-last-enclosure/blob/1b3b9c5ba232734b1bda3453b4e20a0481bcdd74/codex-3000/originaux/DEADWALL_CODEX_SUPPLEMENT_1.23/FICHES_501_1000/DW-0684.md</x:v>
      </x:c>
      <x:c r="K689" t="str">
        <x:v>Source min 79,42 m ; max 79,42 m ; modèle 78 × 42 m ; niveaux 0. Détails dans catalogue-existant.json.</x:v>
      </x:c>
    </x:row>
    <x:row r="690">
      <x:c r="A690" t="str">
        <x:v>DW-0685</x:v>
      </x:c>
      <x:c r="B690" t="str">
        <x:v>DW-0685</x:v>
      </x:c>
      <x:c r="C690" t="str">
        <x:v>Parent historique</x:v>
      </x:c>
      <x:c r="D690" t="str">
        <x:v>ruines</x:v>
      </x:c>
      <x:c r="E690" t="str">
        <x:v>Maison incendiée — variante 03</x:v>
      </x:c>
      <x:c r="F690" t="n">
        <x:v>8</x:v>
      </x:c>
      <x:c r="G690" t="n">
        <x:v>3</x:v>
      </x:c>
      <x:c r="H690" t="n">
        <x:v>0</x:v>
      </x:c>
      <x:c r="I690" t="str">
        <x:v>À qualifier par lieu</x:v>
      </x:c>
      <x:c r="J690" t="str">
        <x:v>https://github.com/darknigthmare/deadwall-last-enclosure/blob/1b3b9c5ba232734b1bda3453b4e20a0481bcdd74/codex-3000/originaux/DEADWALL_CODEX_SUPPLEMENT_1.23/FICHES_501_1000/DW-0685.md</x:v>
      </x:c>
      <x:c r="K690" t="str">
        <x:v>Source min 18,59 m ; max 18,59 m ; modèle 24 × 59 m ; niveaux 0, 1. Détails dans catalogue-existant.json.</x:v>
      </x:c>
    </x:row>
    <x:row r="691">
      <x:c r="A691" t="str">
        <x:v>DW-0686</x:v>
      </x:c>
      <x:c r="B691" t="str">
        <x:v>DW-0686</x:v>
      </x:c>
      <x:c r="C691" t="str">
        <x:v>Parent historique</x:v>
      </x:c>
      <x:c r="D691" t="str">
        <x:v>ruines</x:v>
      </x:c>
      <x:c r="E691" t="str">
        <x:v>Immeuble éventré — variante 03</x:v>
      </x:c>
      <x:c r="F691" t="n">
        <x:v>8</x:v>
      </x:c>
      <x:c r="G691" t="n">
        <x:v>4</x:v>
      </x:c>
      <x:c r="H691" t="n">
        <x:v>0</x:v>
      </x:c>
      <x:c r="I691" t="str">
        <x:v>À qualifier par lieu</x:v>
      </x:c>
      <x:c r="J691" t="str">
        <x:v>https://github.com/darknigthmare/deadwall-last-enclosure/blob/1b3b9c5ba232734b1bda3453b4e20a0481bcdd74/codex-3000/originaux/DEADWALL_CODEX_SUPPLEMENT_1.23/FICHES_501_1000/DW-0686.md</x:v>
      </x:c>
      <x:c r="K691" t="str">
        <x:v>Source min 29,22 m ; max 29,22 m ; modèle 29 × 22 m ; niveaux 0, 1, 2. Détails dans catalogue-existant.json.</x:v>
      </x:c>
    </x:row>
    <x:row r="692">
      <x:c r="A692" t="str">
        <x:v>DW-0687</x:v>
      </x:c>
      <x:c r="B692" t="str">
        <x:v>DW-0687</x:v>
      </x:c>
      <x:c r="C692" t="str">
        <x:v>Parent historique</x:v>
      </x:c>
      <x:c r="D692" t="str">
        <x:v>ruines</x:v>
      </x:c>
      <x:c r="E692" t="str">
        <x:v>Commerce pillé — variante 03</x:v>
      </x:c>
      <x:c r="F692" t="n">
        <x:v>8</x:v>
      </x:c>
      <x:c r="G692" t="n">
        <x:v>4</x:v>
      </x:c>
      <x:c r="H692" t="n">
        <x:v>0</x:v>
      </x:c>
      <x:c r="I692" t="str">
        <x:v>À qualifier par lieu</x:v>
      </x:c>
      <x:c r="J692" t="str">
        <x:v>https://github.com/darknigthmare/deadwall-last-enclosure/blob/1b3b9c5ba232734b1bda3453b4e20a0481bcdd74/codex-3000/originaux/DEADWALL_CODEX_SUPPLEMENT_1.23/FICHES_501_1000/DW-0687.md</x:v>
      </x:c>
      <x:c r="K692" t="str">
        <x:v>Source min 40,39 m ; max 40,39 m ; modèle 40 × 39 m ; niveaux 0. Détails dans catalogue-existant.json.</x:v>
      </x:c>
    </x:row>
    <x:row r="693">
      <x:c r="A693" t="str">
        <x:v>DW-0688</x:v>
      </x:c>
      <x:c r="B693" t="str">
        <x:v>DW-0688</x:v>
      </x:c>
      <x:c r="C693" t="str">
        <x:v>Parent historique</x:v>
      </x:c>
      <x:c r="D693" t="str">
        <x:v>ruines</x:v>
      </x:c>
      <x:c r="E693" t="str">
        <x:v>Usine sinistrée — variante 03</x:v>
      </x:c>
      <x:c r="F693" t="n">
        <x:v>8</x:v>
      </x:c>
      <x:c r="G693" t="n">
        <x:v>4</x:v>
      </x:c>
      <x:c r="H693" t="n">
        <x:v>0</x:v>
      </x:c>
      <x:c r="I693" t="str">
        <x:v>À qualifier par lieu</x:v>
      </x:c>
      <x:c r="J693" t="str">
        <x:v>https://github.com/darknigthmare/deadwall-last-enclosure/blob/1b3b9c5ba232734b1bda3453b4e20a0481bcdd74/codex-3000/originaux/DEADWALL_CODEX_SUPPLEMENT_1.23/FICHES_501_1000/DW-0688.md</x:v>
      </x:c>
      <x:c r="K693" t="str">
        <x:v>Source min 51,56 m ; max 51,56 m ; modèle 51 × 56 m ; niveaux 0. Détails dans catalogue-existant.json.</x:v>
      </x:c>
    </x:row>
    <x:row r="694">
      <x:c r="A694" t="str">
        <x:v>DW-0689</x:v>
      </x:c>
      <x:c r="B694" t="str">
        <x:v>DW-0689</x:v>
      </x:c>
      <x:c r="C694" t="str">
        <x:v>Parent historique</x:v>
      </x:c>
      <x:c r="D694" t="str">
        <x:v>ruines</x:v>
      </x:c>
      <x:c r="E694" t="str">
        <x:v>Hôtel abandonné — variante 03</x:v>
      </x:c>
      <x:c r="F694" t="n">
        <x:v>8</x:v>
      </x:c>
      <x:c r="G694" t="n">
        <x:v>5</x:v>
      </x:c>
      <x:c r="H694" t="n">
        <x:v>0</x:v>
      </x:c>
      <x:c r="I694" t="str">
        <x:v>À qualifier par lieu</x:v>
      </x:c>
      <x:c r="J694" t="str">
        <x:v>https://github.com/darknigthmare/deadwall-last-enclosure/blob/1b3b9c5ba232734b1bda3453b4e20a0481bcdd74/codex-3000/originaux/DEADWALL_CODEX_SUPPLEMENT_1.23/FICHES_501_1000/DW-0689.md</x:v>
      </x:c>
      <x:c r="K694" t="str">
        <x:v>Source min 62,19 m ; max 62,19 m ; modèle 62 × 22 m ; niveaux 0, 1. Détails dans catalogue-existant.json.</x:v>
      </x:c>
    </x:row>
    <x:row r="695">
      <x:c r="A695" t="str">
        <x:v>DW-0690</x:v>
      </x:c>
      <x:c r="B695" t="str">
        <x:v>DW-0690</x:v>
      </x:c>
      <x:c r="C695" t="str">
        <x:v>Parent historique</x:v>
      </x:c>
      <x:c r="D695" t="str">
        <x:v>ruines</x:v>
      </x:c>
      <x:c r="E695" t="str">
        <x:v>Lotissement ravagé — variante 03</x:v>
      </x:c>
      <x:c r="F695" t="n">
        <x:v>8</x:v>
      </x:c>
      <x:c r="G695" t="n">
        <x:v>4</x:v>
      </x:c>
      <x:c r="H695" t="n">
        <x:v>0</x:v>
      </x:c>
      <x:c r="I695" t="str">
        <x:v>À qualifier par lieu</x:v>
      </x:c>
      <x:c r="J695" t="str">
        <x:v>https://github.com/darknigthmare/deadwall-last-enclosure/blob/1b3b9c5ba232734b1bda3453b4e20a0481bcdd74/codex-3000/originaux/DEADWALL_CODEX_SUPPLEMENT_1.23/FICHES_501_1000/DW-0690.md</x:v>
      </x:c>
      <x:c r="K695" t="str">
        <x:v>Source min 73,36 m ; max 73,36 m ; modèle 73 × 36 m ; niveaux 0. Détails dans catalogue-existant.json.</x:v>
      </x:c>
    </x:row>
    <x:row r="696">
      <x:c r="A696" t="str">
        <x:v>DW-0691</x:v>
      </x:c>
      <x:c r="B696" t="str">
        <x:v>DW-0691</x:v>
      </x:c>
      <x:c r="C696" t="str">
        <x:v>Parent historique</x:v>
      </x:c>
      <x:c r="D696" t="str">
        <x:v>ruines</x:v>
      </x:c>
      <x:c r="E696" t="str">
        <x:v>Village déserté — variante 03</x:v>
      </x:c>
      <x:c r="F696" t="n">
        <x:v>8</x:v>
      </x:c>
      <x:c r="G696" t="n">
        <x:v>5</x:v>
      </x:c>
      <x:c r="H696" t="n">
        <x:v>0</x:v>
      </x:c>
      <x:c r="I696" t="str">
        <x:v>À qualifier par lieu</x:v>
      </x:c>
      <x:c r="J696" t="str">
        <x:v>https://github.com/darknigthmare/deadwall-last-enclosure/blob/1b3b9c5ba232734b1bda3453b4e20a0481bcdd74/codex-3000/originaux/DEADWALL_CODEX_SUPPLEMENT_1.23/FICHES_501_1000/DW-0691.md</x:v>
      </x:c>
      <x:c r="K696" t="str">
        <x:v>Source min 12,53 m ; max 12,53 m ; modèle 26 × 53 m ; niveaux 0. Détails dans catalogue-existant.json.</x:v>
      </x:c>
    </x:row>
    <x:row r="697">
      <x:c r="A697" t="str">
        <x:v>DW-0692</x:v>
      </x:c>
      <x:c r="B697" t="str">
        <x:v>DW-0692</x:v>
      </x:c>
      <x:c r="C697" t="str">
        <x:v>Parent historique</x:v>
      </x:c>
      <x:c r="D697" t="str">
        <x:v>ruines</x:v>
      </x:c>
      <x:c r="E697" t="str">
        <x:v>Centre commercial effondré — variante 03</x:v>
      </x:c>
      <x:c r="F697" t="n">
        <x:v>8</x:v>
      </x:c>
      <x:c r="G697" t="n">
        <x:v>5</x:v>
      </x:c>
      <x:c r="H697" t="n">
        <x:v>0</x:v>
      </x:c>
      <x:c r="I697" t="str">
        <x:v>À qualifier par lieu</x:v>
      </x:c>
      <x:c r="J697" t="str">
        <x:v>https://github.com/darknigthmare/deadwall-last-enclosure/blob/1b3b9c5ba232734b1bda3453b4e20a0481bcdd74/codex-3000/originaux/DEADWALL_CODEX_SUPPLEMENT_1.23/FICHES_501_1000/DW-0692.md</x:v>
      </x:c>
      <x:c r="K697" t="str">
        <x:v>Source min 23,16 m ; max 23,16 m ; modèle 26 × 22 m ; niveaux 0. Détails dans catalogue-existant.json.</x:v>
      </x:c>
    </x:row>
    <x:row r="698">
      <x:c r="A698" t="str">
        <x:v>DW-0693</x:v>
      </x:c>
      <x:c r="B698" t="str">
        <x:v>DW-0693</x:v>
      </x:c>
      <x:c r="C698" t="str">
        <x:v>Parent historique</x:v>
      </x:c>
      <x:c r="D698" t="str">
        <x:v>habitat</x:v>
      </x:c>
      <x:c r="E698" t="str">
        <x:v>Maison de lotissement — variante 04</x:v>
      </x:c>
      <x:c r="F698" t="n">
        <x:v>8</x:v>
      </x:c>
      <x:c r="G698" t="n">
        <x:v>5</x:v>
      </x:c>
      <x:c r="H698" t="n">
        <x:v>0</x:v>
      </x:c>
      <x:c r="I698" t="str">
        <x:v>À qualifier par lieu</x:v>
      </x:c>
      <x:c r="J698" t="str">
        <x:v>https://github.com/darknigthmare/deadwall-last-enclosure/blob/1b3b9c5ba232734b1bda3453b4e20a0481bcdd74/codex-3000/originaux/DEADWALL_CODEX_SUPPLEMENT_1.23/FICHES_501_1000/DW-0693.md</x:v>
      </x:c>
      <x:c r="K698" t="str">
        <x:v>Source min 34,33 m ; max 34,33 m ; modèle 34 × 33 m ; niveaux 0, 1. Détails dans catalogue-existant.json.</x:v>
      </x:c>
    </x:row>
    <x:row r="699">
      <x:c r="A699" t="str">
        <x:v>DW-0694</x:v>
      </x:c>
      <x:c r="B699" t="str">
        <x:v>DW-0694</x:v>
      </x:c>
      <x:c r="C699" t="str">
        <x:v>Parent historique</x:v>
      </x:c>
      <x:c r="D699" t="str">
        <x:v>habitat</x:v>
      </x:c>
      <x:c r="E699" t="str">
        <x:v>Maison mitoyenne — variante 04</x:v>
      </x:c>
      <x:c r="F699" t="n">
        <x:v>8</x:v>
      </x:c>
      <x:c r="G699" t="n">
        <x:v>5</x:v>
      </x:c>
      <x:c r="H699" t="n">
        <x:v>0</x:v>
      </x:c>
      <x:c r="I699" t="str">
        <x:v>À qualifier par lieu</x:v>
      </x:c>
      <x:c r="J699" t="str">
        <x:v>https://github.com/darknigthmare/deadwall-last-enclosure/blob/1b3b9c5ba232734b1bda3453b4e20a0481bcdd74/codex-3000/originaux/DEADWALL_CODEX_SUPPLEMENT_1.23/FICHES_501_1000/DW-0694.md</x:v>
      </x:c>
      <x:c r="K699" t="str">
        <x:v>Source min 45,50 m ; max 45,50 m ; modèle 45 × 50 m ; niveaux 0. Détails dans catalogue-existant.json.</x:v>
      </x:c>
    </x:row>
    <x:row r="700">
      <x:c r="A700" t="str">
        <x:v>DW-0695</x:v>
      </x:c>
      <x:c r="B700" t="str">
        <x:v>DW-0695</x:v>
      </x:c>
      <x:c r="C700" t="str">
        <x:v>Parent historique</x:v>
      </x:c>
      <x:c r="D700" t="str">
        <x:v>habitat</x:v>
      </x:c>
      <x:c r="E700" t="str">
        <x:v>Villa isolée — variante 04</x:v>
      </x:c>
      <x:c r="F700" t="n">
        <x:v>8</x:v>
      </x:c>
      <x:c r="G700" t="n">
        <x:v>7</x:v>
      </x:c>
      <x:c r="H700" t="n">
        <x:v>0</x:v>
      </x:c>
      <x:c r="I700" t="str">
        <x:v>À qualifier par lieu</x:v>
      </x:c>
      <x:c r="J700" t="str">
        <x:v>https://github.com/darknigthmare/deadwall-last-enclosure/blob/1b3b9c5ba232734b1bda3453b4e20a0481bcdd74/codex-3000/originaux/DEADWALL_CODEX_SUPPLEMENT_1.23/FICHES_501_1000/DW-0695.md</x:v>
      </x:c>
      <x:c r="K700" t="str">
        <x:v>Source min 56,13 m ; max 56,13 m ; modèle 56 × 29 m ; niveaux 0. Détails dans catalogue-existant.json.</x:v>
      </x:c>
    </x:row>
    <x:row r="701">
      <x:c r="A701" t="str">
        <x:v>DW-0696</x:v>
      </x:c>
      <x:c r="B701" t="str">
        <x:v>DW-0696</x:v>
      </x:c>
      <x:c r="C701" t="str">
        <x:v>Parent historique</x:v>
      </x:c>
      <x:c r="D701" t="str">
        <x:v>habitat</x:v>
      </x:c>
      <x:c r="E701" t="str">
        <x:v>Ferme familiale — variante 04</x:v>
      </x:c>
      <x:c r="F701" t="n">
        <x:v>8</x:v>
      </x:c>
      <x:c r="G701" t="n">
        <x:v>6</x:v>
      </x:c>
      <x:c r="H701" t="n">
        <x:v>0</x:v>
      </x:c>
      <x:c r="I701" t="str">
        <x:v>À qualifier par lieu</x:v>
      </x:c>
      <x:c r="J701" t="str">
        <x:v>https://github.com/darknigthmare/deadwall-last-enclosure/blob/1b3b9c5ba232734b1bda3453b4e20a0481bcdd74/codex-3000/originaux/DEADWALL_CODEX_SUPPLEMENT_1.23/FICHES_501_1000/DW-0696.md</x:v>
      </x:c>
      <x:c r="K701" t="str">
        <x:v>Source min 67,30 m ; max 67,30 m ; modèle 67 × 30 m ; niveaux 0. Détails dans catalogue-existant.json.</x:v>
      </x:c>
    </x:row>
    <x:row r="702">
      <x:c r="A702" t="str">
        <x:v>DW-0697</x:v>
      </x:c>
      <x:c r="B702" t="str">
        <x:v>DW-0697</x:v>
      </x:c>
      <x:c r="C702" t="str">
        <x:v>Parent historique</x:v>
      </x:c>
      <x:c r="D702" t="str">
        <x:v>habitat</x:v>
      </x:c>
      <x:c r="E702" t="str">
        <x:v>Immeuble résidentiel — variante 04</x:v>
      </x:c>
      <x:c r="F702" t="n">
        <x:v>8</x:v>
      </x:c>
      <x:c r="G702" t="n">
        <x:v>5</x:v>
      </x:c>
      <x:c r="H702" t="n">
        <x:v>0</x:v>
      </x:c>
      <x:c r="I702" t="str">
        <x:v>À qualifier par lieu</x:v>
      </x:c>
      <x:c r="J702" t="str">
        <x:v>https://github.com/darknigthmare/deadwall-last-enclosure/blob/1b3b9c5ba232734b1bda3453b4e20a0481bcdd74/codex-3000/originaux/DEADWALL_CODEX_SUPPLEMENT_1.23/FICHES_501_1000/DW-0697.md</x:v>
      </x:c>
      <x:c r="K702" t="str">
        <x:v>Source min 78,47 m ; max 78,47 m ; modèle 78 × 47 m ; niveaux 0, 1, 2. Détails dans catalogue-existant.json.</x:v>
      </x:c>
    </x:row>
    <x:row r="703">
      <x:c r="A703" t="str">
        <x:v>DW-0698</x:v>
      </x:c>
      <x:c r="B703" t="str">
        <x:v>DW-0698</x:v>
      </x:c>
      <x:c r="C703" t="str">
        <x:v>Parent historique</x:v>
      </x:c>
      <x:c r="D703" t="str">
        <x:v>habitat</x:v>
      </x:c>
      <x:c r="E703" t="str">
        <x:v>Barre de logements — variante 04</x:v>
      </x:c>
      <x:c r="F703" t="n">
        <x:v>8</x:v>
      </x:c>
      <x:c r="G703" t="n">
        <x:v>5</x:v>
      </x:c>
      <x:c r="H703" t="n">
        <x:v>0</x:v>
      </x:c>
      <x:c r="I703" t="str">
        <x:v>À qualifier par lieu</x:v>
      </x:c>
      <x:c r="J703" t="str">
        <x:v>https://github.com/darknigthmare/deadwall-last-enclosure/blob/1b3b9c5ba232734b1bda3453b4e20a0481bcdd74/codex-3000/originaux/DEADWALL_CODEX_SUPPLEMENT_1.23/FICHES_501_1000/DW-0698.md</x:v>
      </x:c>
      <x:c r="K703" t="str">
        <x:v>Source min 17,10 m ; max 17,10 m ; modèle 26 × 22 m ; niveaux 0, 1, 2. Détails dans catalogue-existant.json.</x:v>
      </x:c>
    </x:row>
    <x:row r="704">
      <x:c r="A704" t="str">
        <x:v>DW-0699</x:v>
      </x:c>
      <x:c r="B704" t="str">
        <x:v>DW-0699</x:v>
      </x:c>
      <x:c r="C704" t="str">
        <x:v>Parent historique</x:v>
      </x:c>
      <x:c r="D704" t="str">
        <x:v>habitat</x:v>
      </x:c>
      <x:c r="E704" t="str">
        <x:v>Résidence senior — variante 04</x:v>
      </x:c>
      <x:c r="F704" t="n">
        <x:v>8</x:v>
      </x:c>
      <x:c r="G704" t="n">
        <x:v>5</x:v>
      </x:c>
      <x:c r="H704" t="n">
        <x:v>0</x:v>
      </x:c>
      <x:c r="I704" t="str">
        <x:v>À qualifier par lieu</x:v>
      </x:c>
      <x:c r="J704" t="str">
        <x:v>https://github.com/darknigthmare/deadwall-last-enclosure/blob/1b3b9c5ba232734b1bda3453b4e20a0481bcdd74/codex-3000/originaux/DEADWALL_CODEX_SUPPLEMENT_1.23/FICHES_501_1000/DW-0699.md</x:v>
      </x:c>
      <x:c r="K704" t="str">
        <x:v>Source min 28,27 m ; max 28,27 m ; modèle 28 × 27 m ; niveaux 0, 1. Détails dans catalogue-existant.json.</x:v>
      </x:c>
    </x:row>
    <x:row r="705">
      <x:c r="A705" t="str">
        <x:v>DW-0700</x:v>
      </x:c>
      <x:c r="B705" t="str">
        <x:v>DW-0700</x:v>
      </x:c>
      <x:c r="C705" t="str">
        <x:v>Parent historique</x:v>
      </x:c>
      <x:c r="D705" t="str">
        <x:v>habitat</x:v>
      </x:c>
      <x:c r="E705" t="str">
        <x:v>Maison avec sous-sol — variante 04</x:v>
      </x:c>
      <x:c r="F705" t="n">
        <x:v>8</x:v>
      </x:c>
      <x:c r="G705" t="n">
        <x:v>5</x:v>
      </x:c>
      <x:c r="H705" t="n">
        <x:v>0</x:v>
      </x:c>
      <x:c r="I705" t="str">
        <x:v>À qualifier par lieu</x:v>
      </x:c>
      <x:c r="J705" t="str">
        <x:v>https://github.com/darknigthmare/deadwall-last-enclosure/blob/1b3b9c5ba232734b1bda3453b4e20a0481bcdd74/codex-3000/originaux/DEADWALL_CODEX_SUPPLEMENT_1.23/FICHES_501_1000/DW-0700.md</x:v>
      </x:c>
      <x:c r="K705" t="str">
        <x:v>Source min 39,44 m ; max 39,44 m ; modèle 39 × 44 m ; niveaux 0. Détails dans catalogue-existant.json.</x:v>
      </x:c>
    </x:row>
    <x:row r="706">
      <x:c r="A706" t="str">
        <x:v>DW-0701</x:v>
      </x:c>
      <x:c r="B706" t="str">
        <x:v>DW-0701</x:v>
      </x:c>
      <x:c r="C706" t="str">
        <x:v>Parent historique</x:v>
      </x:c>
      <x:c r="D706" t="str">
        <x:v>commerce</x:v>
      </x:c>
      <x:c r="E706" t="str">
        <x:v>Supérette — variante 04</x:v>
      </x:c>
      <x:c r="F706" t="n">
        <x:v>8</x:v>
      </x:c>
      <x:c r="G706" t="n">
        <x:v>5</x:v>
      </x:c>
      <x:c r="H706" t="n">
        <x:v>0</x:v>
      </x:c>
      <x:c r="I706" t="str">
        <x:v>À qualifier par lieu</x:v>
      </x:c>
      <x:c r="J706" t="str">
        <x:v>https://github.com/darknigthmare/deadwall-last-enclosure/blob/1b3b9c5ba232734b1bda3453b4e20a0481bcdd74/codex-3000/originaux/DEADWALL_CODEX_SUPPLEMENT_1.23/FICHES_501_1000/DW-0701.md</x:v>
      </x:c>
      <x:c r="K706" t="str">
        <x:v>Source min 50,61 m ; max 50,61 m ; modèle 50 × 61 m ; niveaux 0, 1. Détails dans catalogue-existant.json.</x:v>
      </x:c>
    </x:row>
    <x:row r="707">
      <x:c r="A707" t="str">
        <x:v>DW-0702</x:v>
      </x:c>
      <x:c r="B707" t="str">
        <x:v>DW-0702</x:v>
      </x:c>
      <x:c r="C707" t="str">
        <x:v>Parent historique</x:v>
      </x:c>
      <x:c r="D707" t="str">
        <x:v>commerce</x:v>
      </x:c>
      <x:c r="E707" t="str">
        <x:v>Centre commercial — variante 04</x:v>
      </x:c>
      <x:c r="F707" t="n">
        <x:v>8</x:v>
      </x:c>
      <x:c r="G707" t="n">
        <x:v>6</x:v>
      </x:c>
      <x:c r="H707" t="n">
        <x:v>0</x:v>
      </x:c>
      <x:c r="I707" t="str">
        <x:v>À qualifier par lieu</x:v>
      </x:c>
      <x:c r="J707" t="str">
        <x:v>https://github.com/darknigthmare/deadwall-last-enclosure/blob/1b3b9c5ba232734b1bda3453b4e20a0481bcdd74/codex-3000/originaux/DEADWALL_CODEX_SUPPLEMENT_1.23/FICHES_501_1000/DW-0702.md</x:v>
      </x:c>
      <x:c r="K707" t="str">
        <x:v>Source min 61,24 m ; max 61,24 m ; modèle 61 × 24 m ; niveaux 0. Détails dans catalogue-existant.json.</x:v>
      </x:c>
    </x:row>
    <x:row r="708">
      <x:c r="A708" t="str">
        <x:v>DW-0703</x:v>
      </x:c>
      <x:c r="B708" t="str">
        <x:v>DW-0703</x:v>
      </x:c>
      <x:c r="C708" t="str">
        <x:v>Parent historique</x:v>
      </x:c>
      <x:c r="D708" t="str">
        <x:v>commerce</x:v>
      </x:c>
      <x:c r="E708" t="str">
        <x:v>Supermarché — variante 04</x:v>
      </x:c>
      <x:c r="F708" t="n">
        <x:v>8</x:v>
      </x:c>
      <x:c r="G708" t="n">
        <x:v>7</x:v>
      </x:c>
      <x:c r="H708" t="n">
        <x:v>0</x:v>
      </x:c>
      <x:c r="I708" t="str">
        <x:v>À qualifier par lieu</x:v>
      </x:c>
      <x:c r="J708" t="str">
        <x:v>https://github.com/darknigthmare/deadwall-last-enclosure/blob/1b3b9c5ba232734b1bda3453b4e20a0481bcdd74/codex-3000/originaux/DEADWALL_CODEX_SUPPLEMENT_1.23/FICHES_501_1000/DW-0703.md</x:v>
      </x:c>
      <x:c r="K708" t="str">
        <x:v>Source min 72,41 m ; max 72,41 m ; modèle 72 × 41 m ; niveaux 0. Détails dans catalogue-existant.json.</x:v>
      </x:c>
    </x:row>
    <x:row r="709">
      <x:c r="A709" t="str">
        <x:v>DW-0704</x:v>
      </x:c>
      <x:c r="B709" t="str">
        <x:v>DW-0704</x:v>
      </x:c>
      <x:c r="C709" t="str">
        <x:v>Parent historique</x:v>
      </x:c>
      <x:c r="D709" t="str">
        <x:v>commerce</x:v>
      </x:c>
      <x:c r="E709" t="str">
        <x:v>Magasin de bricolage — variante 04</x:v>
      </x:c>
      <x:c r="F709" t="n">
        <x:v>8</x:v>
      </x:c>
      <x:c r="G709" t="n">
        <x:v>5</x:v>
      </x:c>
      <x:c r="H709" t="n">
        <x:v>0</x:v>
      </x:c>
      <x:c r="I709" t="str">
        <x:v>À qualifier par lieu</x:v>
      </x:c>
      <x:c r="J709" t="str">
        <x:v>https://github.com/darknigthmare/deadwall-last-enclosure/blob/1b3b9c5ba232734b1bda3453b4e20a0481bcdd74/codex-3000/originaux/DEADWALL_CODEX_SUPPLEMENT_1.23/FICHES_501_1000/DW-0704.md</x:v>
      </x:c>
      <x:c r="K709" t="str">
        <x:v>Source min 11,58 m ; max 11,58 m ; modèle 26 × 58 m ; niveaux 0. Détails dans catalogue-existant.json.</x:v>
      </x:c>
    </x:row>
    <x:row r="710">
      <x:c r="A710" t="str">
        <x:v>DW-0705</x:v>
      </x:c>
      <x:c r="B710" t="str">
        <x:v>DW-0705</x:v>
      </x:c>
      <x:c r="C710" t="str">
        <x:v>Parent historique</x:v>
      </x:c>
      <x:c r="D710" t="str">
        <x:v>commerce</x:v>
      </x:c>
      <x:c r="E710" t="str">
        <x:v>Pharmacie — variante 04</x:v>
      </x:c>
      <x:c r="F710" t="n">
        <x:v>8</x:v>
      </x:c>
      <x:c r="G710" t="n">
        <x:v>4</x:v>
      </x:c>
      <x:c r="H710" t="n">
        <x:v>0</x:v>
      </x:c>
      <x:c r="I710" t="str">
        <x:v>À qualifier par lieu</x:v>
      </x:c>
      <x:c r="J710" t="str">
        <x:v>https://github.com/darknigthmare/deadwall-last-enclosure/blob/1b3b9c5ba232734b1bda3453b4e20a0481bcdd74/codex-3000/originaux/DEADWALL_CODEX_SUPPLEMENT_1.23/FICHES_501_1000/DW-0705.md</x:v>
      </x:c>
      <x:c r="K710" t="str">
        <x:v>Source min 22,21 m ; max 22,21 m ; modèle 25 × 21 m ; niveaux 0, 1. Détails dans catalogue-existant.json.</x:v>
      </x:c>
    </x:row>
    <x:row r="711">
      <x:c r="A711" t="str">
        <x:v>DW-0706</x:v>
      </x:c>
      <x:c r="B711" t="str">
        <x:v>DW-0706</x:v>
      </x:c>
      <x:c r="C711" t="str">
        <x:v>Parent historique</x:v>
      </x:c>
      <x:c r="D711" t="str">
        <x:v>commerce</x:v>
      </x:c>
      <x:c r="E711" t="str">
        <x:v>Station-service — variante 04</x:v>
      </x:c>
      <x:c r="F711" t="n">
        <x:v>8</x:v>
      </x:c>
      <x:c r="G711" t="n">
        <x:v>5</x:v>
      </x:c>
      <x:c r="H711" t="n">
        <x:v>0</x:v>
      </x:c>
      <x:c r="I711" t="str">
        <x:v>À qualifier par lieu</x:v>
      </x:c>
      <x:c r="J711" t="str">
        <x:v>https://github.com/darknigthmare/deadwall-last-enclosure/blob/1b3b9c5ba232734b1bda3453b4e20a0481bcdd74/codex-3000/originaux/DEADWALL_CODEX_SUPPLEMENT_1.23/FICHES_501_1000/DW-0706.md</x:v>
      </x:c>
      <x:c r="K711" t="str">
        <x:v>Source min 33,38 m ; max 33,38 m ; modèle 33 × 38 m ; niveaux 0. Détails dans catalogue-existant.json.</x:v>
      </x:c>
    </x:row>
    <x:row r="712">
      <x:c r="A712" t="str">
        <x:v>DW-0707</x:v>
      </x:c>
      <x:c r="B712" t="str">
        <x:v>DW-0707</x:v>
      </x:c>
      <x:c r="C712" t="str">
        <x:v>Parent historique</x:v>
      </x:c>
      <x:c r="D712" t="str">
        <x:v>commerce</x:v>
      </x:c>
      <x:c r="E712" t="str">
        <x:v>Restaurant routier — variante 04</x:v>
      </x:c>
      <x:c r="F712" t="n">
        <x:v>8</x:v>
      </x:c>
      <x:c r="G712" t="n">
        <x:v>5</x:v>
      </x:c>
      <x:c r="H712" t="n">
        <x:v>0</x:v>
      </x:c>
      <x:c r="I712" t="str">
        <x:v>À qualifier par lieu</x:v>
      </x:c>
      <x:c r="J712" t="str">
        <x:v>https://github.com/darknigthmare/deadwall-last-enclosure/blob/1b3b9c5ba232734b1bda3453b4e20a0481bcdd74/codex-3000/originaux/DEADWALL_CODEX_SUPPLEMENT_1.23/FICHES_501_1000/DW-0707.md</x:v>
      </x:c>
      <x:c r="K712" t="str">
        <x:v>Source min 44,55 m ; max 44,55 m ; modèle 44 × 55 m ; niveaux 0. Détails dans catalogue-existant.json.</x:v>
      </x:c>
    </x:row>
    <x:row r="713">
      <x:c r="A713" t="str">
        <x:v>DW-0708</x:v>
      </x:c>
      <x:c r="B713" t="str">
        <x:v>DW-0708</x:v>
      </x:c>
      <x:c r="C713" t="str">
        <x:v>Parent historique</x:v>
      </x:c>
      <x:c r="D713" t="str">
        <x:v>commerce</x:v>
      </x:c>
      <x:c r="E713" t="str">
        <x:v>Hôtel — variante 04</x:v>
      </x:c>
      <x:c r="F713" t="n">
        <x:v>8</x:v>
      </x:c>
      <x:c r="G713" t="n">
        <x:v>6</x:v>
      </x:c>
      <x:c r="H713" t="n">
        <x:v>0</x:v>
      </x:c>
      <x:c r="I713" t="str">
        <x:v>À qualifier par lieu</x:v>
      </x:c>
      <x:c r="J713" t="str">
        <x:v>https://github.com/darknigthmare/deadwall-last-enclosure/blob/1b3b9c5ba232734b1bda3453b4e20a0481bcdd74/codex-3000/originaux/DEADWALL_CODEX_SUPPLEMENT_1.23/FICHES_501_1000/DW-0708.md</x:v>
      </x:c>
      <x:c r="K713" t="str">
        <x:v>Source min 55,18 m ; max 55,18 m ; modèle 55 × 22 m ; niveaux 0. Détails dans catalogue-existant.json.</x:v>
      </x:c>
    </x:row>
    <x:row r="714">
      <x:c r="A714" t="str">
        <x:v>DW-0709</x:v>
      </x:c>
      <x:c r="B714" t="str">
        <x:v>DW-0709</x:v>
      </x:c>
      <x:c r="C714" t="str">
        <x:v>Parent historique</x:v>
      </x:c>
      <x:c r="D714" t="str">
        <x:v>industrie</x:v>
      </x:c>
      <x:c r="E714" t="str">
        <x:v>Scierie — variante 04</x:v>
      </x:c>
      <x:c r="F714" t="n">
        <x:v>8</x:v>
      </x:c>
      <x:c r="G714" t="n">
        <x:v>5</x:v>
      </x:c>
      <x:c r="H714" t="n">
        <x:v>0</x:v>
      </x:c>
      <x:c r="I714" t="str">
        <x:v>À qualifier par lieu</x:v>
      </x:c>
      <x:c r="J714" t="str">
        <x:v>https://github.com/darknigthmare/deadwall-last-enclosure/blob/1b3b9c5ba232734b1bda3453b4e20a0481bcdd74/codex-3000/originaux/DEADWALL_CODEX_SUPPLEMENT_1.23/FICHES_501_1000/DW-0709.md</x:v>
      </x:c>
      <x:c r="K714" t="str">
        <x:v>Source min 66,35 m ; max 66,35 m ; modèle 66 × 35 m ; niveaux 0. Détails dans catalogue-existant.json.</x:v>
      </x:c>
    </x:row>
    <x:row r="715">
      <x:c r="A715" t="str">
        <x:v>DW-0710</x:v>
      </x:c>
      <x:c r="B715" t="str">
        <x:v>DW-0710</x:v>
      </x:c>
      <x:c r="C715" t="str">
        <x:v>Parent historique</x:v>
      </x:c>
      <x:c r="D715" t="str">
        <x:v>industrie</x:v>
      </x:c>
      <x:c r="E715" t="str">
        <x:v>Garage automobile — variante 04</x:v>
      </x:c>
      <x:c r="F715" t="n">
        <x:v>8</x:v>
      </x:c>
      <x:c r="G715" t="n">
        <x:v>5</x:v>
      </x:c>
      <x:c r="H715" t="n">
        <x:v>0</x:v>
      </x:c>
      <x:c r="I715" t="str">
        <x:v>À qualifier par lieu</x:v>
      </x:c>
      <x:c r="J715" t="str">
        <x:v>https://github.com/darknigthmare/deadwall-last-enclosure/blob/1b3b9c5ba232734b1bda3453b4e20a0481bcdd74/codex-3000/originaux/DEADWALL_CODEX_SUPPLEMENT_1.23/FICHES_501_1000/DW-0710.md</x:v>
      </x:c>
      <x:c r="K715" t="str">
        <x:v>Source min 77,52 m ; max 77,52 m ; modèle 77 × 52 m ; niveaux 0. Détails dans catalogue-existant.json.</x:v>
      </x:c>
    </x:row>
    <x:row r="716">
      <x:c r="A716" t="str">
        <x:v>DW-0711</x:v>
      </x:c>
      <x:c r="B716" t="str">
        <x:v>DW-0711</x:v>
      </x:c>
      <x:c r="C716" t="str">
        <x:v>Parent historique</x:v>
      </x:c>
      <x:c r="D716" t="str">
        <x:v>industrie</x:v>
      </x:c>
      <x:c r="E716" t="str">
        <x:v>Entrepôt logistique — variante 04</x:v>
      </x:c>
      <x:c r="F716" t="n">
        <x:v>8</x:v>
      </x:c>
      <x:c r="G716" t="n">
        <x:v>5</x:v>
      </x:c>
      <x:c r="H716" t="n">
        <x:v>0</x:v>
      </x:c>
      <x:c r="I716" t="str">
        <x:v>À qualifier par lieu</x:v>
      </x:c>
      <x:c r="J716" t="str">
        <x:v>https://github.com/darknigthmare/deadwall-last-enclosure/blob/1b3b9c5ba232734b1bda3453b4e20a0481bcdd74/codex-3000/originaux/DEADWALL_CODEX_SUPPLEMENT_1.23/FICHES_501_1000/DW-0711.md</x:v>
      </x:c>
      <x:c r="K716" t="str">
        <x:v>Source min 16,15 m ; max 16,15 m ; modèle 26 × 22 m ; niveaux 0. Détails dans catalogue-existant.json.</x:v>
      </x:c>
    </x:row>
    <x:row r="717">
      <x:c r="A717" t="str">
        <x:v>DW-0712</x:v>
      </x:c>
      <x:c r="B717" t="str">
        <x:v>DW-0712</x:v>
      </x:c>
      <x:c r="C717" t="str">
        <x:v>Parent historique</x:v>
      </x:c>
      <x:c r="D717" t="str">
        <x:v>industrie</x:v>
      </x:c>
      <x:c r="E717" t="str">
        <x:v>Petite usine — variante 04</x:v>
      </x:c>
      <x:c r="F717" t="n">
        <x:v>8</x:v>
      </x:c>
      <x:c r="G717" t="n">
        <x:v>5</x:v>
      </x:c>
      <x:c r="H717" t="n">
        <x:v>0</x:v>
      </x:c>
      <x:c r="I717" t="str">
        <x:v>À qualifier par lieu</x:v>
      </x:c>
      <x:c r="J717" t="str">
        <x:v>https://github.com/darknigthmare/deadwall-last-enclosure/blob/1b3b9c5ba232734b1bda3453b4e20a0481bcdd74/codex-3000/originaux/DEADWALL_CODEX_SUPPLEMENT_1.23/FICHES_501_1000/DW-0712.md</x:v>
      </x:c>
      <x:c r="K717" t="str">
        <x:v>Source min 27,32 m ; max 27,32 m ; modèle 27 × 32 m ; niveaux 0. Détails dans catalogue-existant.json.</x:v>
      </x:c>
    </x:row>
    <x:row r="718">
      <x:c r="A718" t="str">
        <x:v>DW-0713</x:v>
      </x:c>
      <x:c r="B718" t="str">
        <x:v>DW-0713</x:v>
      </x:c>
      <x:c r="C718" t="str">
        <x:v>Parent historique</x:v>
      </x:c>
      <x:c r="D718" t="str">
        <x:v>industrie</x:v>
      </x:c>
      <x:c r="E718" t="str">
        <x:v>Carrière — variante 04</x:v>
      </x:c>
      <x:c r="F718" t="n">
        <x:v>8</x:v>
      </x:c>
      <x:c r="G718" t="n">
        <x:v>5</x:v>
      </x:c>
      <x:c r="H718" t="n">
        <x:v>0</x:v>
      </x:c>
      <x:c r="I718" t="str">
        <x:v>À qualifier par lieu</x:v>
      </x:c>
      <x:c r="J718" t="str">
        <x:v>https://github.com/darknigthmare/deadwall-last-enclosure/blob/1b3b9c5ba232734b1bda3453b4e20a0481bcdd74/codex-3000/originaux/DEADWALL_CODEX_SUPPLEMENT_1.23/FICHES_501_1000/DW-0713.md</x:v>
      </x:c>
      <x:c r="K718" t="str">
        <x:v>Source min 38,49 m ; max 38,49 m ; modèle 38 × 49 m ; niveaux 0. Détails dans catalogue-existant.json.</x:v>
      </x:c>
    </x:row>
    <x:row r="719">
      <x:c r="A719" t="str">
        <x:v>DW-0714</x:v>
      </x:c>
      <x:c r="B719" t="str">
        <x:v>DW-0714</x:v>
      </x:c>
      <x:c r="C719" t="str">
        <x:v>Parent historique</x:v>
      </x:c>
      <x:c r="D719" t="str">
        <x:v>industrie</x:v>
      </x:c>
      <x:c r="E719" t="str">
        <x:v>Mine — variante 04</x:v>
      </x:c>
      <x:c r="F719" t="n">
        <x:v>8</x:v>
      </x:c>
      <x:c r="G719" t="n">
        <x:v>6</x:v>
      </x:c>
      <x:c r="H719" t="n">
        <x:v>0</x:v>
      </x:c>
      <x:c r="I719" t="str">
        <x:v>À qualifier par lieu</x:v>
      </x:c>
      <x:c r="J719" t="str">
        <x:v>https://github.com/darknigthmare/deadwall-last-enclosure/blob/1b3b9c5ba232734b1bda3453b4e20a0481bcdd74/codex-3000/originaux/DEADWALL_CODEX_SUPPLEMENT_1.23/FICHES_501_1000/DW-0714.md</x:v>
      </x:c>
      <x:c r="K719" t="str">
        <x:v>Source min 49,12 m ; max 49,12 m ; modèle 49 × 22 m ; niveaux 0. Détails dans catalogue-existant.json.</x:v>
      </x:c>
    </x:row>
    <x:row r="720">
      <x:c r="A720" t="str">
        <x:v>DW-0715</x:v>
      </x:c>
      <x:c r="B720" t="str">
        <x:v>DW-0715</x:v>
      </x:c>
      <x:c r="C720" t="str">
        <x:v>Parent historique</x:v>
      </x:c>
      <x:c r="D720" t="str">
        <x:v>industrie</x:v>
      </x:c>
      <x:c r="E720" t="str">
        <x:v>Centrale locale — variante 04</x:v>
      </x:c>
      <x:c r="F720" t="n">
        <x:v>8</x:v>
      </x:c>
      <x:c r="G720" t="n">
        <x:v>5</x:v>
      </x:c>
      <x:c r="H720" t="n">
        <x:v>0</x:v>
      </x:c>
      <x:c r="I720" t="str">
        <x:v>À qualifier par lieu</x:v>
      </x:c>
      <x:c r="J720" t="str">
        <x:v>https://github.com/darknigthmare/deadwall-last-enclosure/blob/1b3b9c5ba232734b1bda3453b4e20a0481bcdd74/codex-3000/originaux/DEADWALL_CODEX_SUPPLEMENT_1.23/FICHES_501_1000/DW-0715.md</x:v>
      </x:c>
      <x:c r="K720" t="str">
        <x:v>Source min 60,29 m ; max 60,29 m ; modèle 60 × 29 m ; niveaux 0. Détails dans catalogue-existant.json.</x:v>
      </x:c>
    </x:row>
    <x:row r="721">
      <x:c r="A721" t="str">
        <x:v>DW-0716</x:v>
      </x:c>
      <x:c r="B721" t="str">
        <x:v>DW-0716</x:v>
      </x:c>
      <x:c r="C721" t="str">
        <x:v>Parent historique</x:v>
      </x:c>
      <x:c r="D721" t="str">
        <x:v>industrie</x:v>
      </x:c>
      <x:c r="E721" t="str">
        <x:v>Station de pompage — variante 04</x:v>
      </x:c>
      <x:c r="F721" t="n">
        <x:v>8</x:v>
      </x:c>
      <x:c r="G721" t="n">
        <x:v>5</x:v>
      </x:c>
      <x:c r="H721" t="n">
        <x:v>0</x:v>
      </x:c>
      <x:c r="I721" t="str">
        <x:v>À qualifier par lieu</x:v>
      </x:c>
      <x:c r="J721" t="str">
        <x:v>https://github.com/darknigthmare/deadwall-last-enclosure/blob/1b3b9c5ba232734b1bda3453b4e20a0481bcdd74/codex-3000/originaux/DEADWALL_CODEX_SUPPLEMENT_1.23/FICHES_501_1000/DW-0716.md</x:v>
      </x:c>
      <x:c r="K721" t="str">
        <x:v>Source min 71,46 m ; max 71,46 m ; modèle 71 × 46 m ; niveaux 0. Détails dans catalogue-existant.json.</x:v>
      </x:c>
    </x:row>
    <x:row r="722">
      <x:c r="A722" t="str">
        <x:v>DW-0717</x:v>
      </x:c>
      <x:c r="B722" t="str">
        <x:v>DW-0717</x:v>
      </x:c>
      <x:c r="C722" t="str">
        <x:v>Parent historique</x:v>
      </x:c>
      <x:c r="D722" t="str">
        <x:v>public</x:v>
      </x:c>
      <x:c r="E722" t="str">
        <x:v>École — variante 04</x:v>
      </x:c>
      <x:c r="F722" t="n">
        <x:v>8</x:v>
      </x:c>
      <x:c r="G722" t="n">
        <x:v>5</x:v>
      </x:c>
      <x:c r="H722" t="n">
        <x:v>0</x:v>
      </x:c>
      <x:c r="I722" t="str">
        <x:v>À qualifier par lieu</x:v>
      </x:c>
      <x:c r="J722" t="str">
        <x:v>https://github.com/darknigthmare/deadwall-last-enclosure/blob/1b3b9c5ba232734b1bda3453b4e20a0481bcdd74/codex-3000/originaux/DEADWALL_CODEX_SUPPLEMENT_1.23/FICHES_501_1000/DW-0717.md</x:v>
      </x:c>
      <x:c r="K722" t="str">
        <x:v>Source min 10,9 m ; max 10,9 m ; modèle 26 × 22 m ; niveaux 0, 1. Détails dans catalogue-existant.json.</x:v>
      </x:c>
    </x:row>
    <x:row r="723">
      <x:c r="A723" t="str">
        <x:v>DW-0718</x:v>
      </x:c>
      <x:c r="B723" t="str">
        <x:v>DW-0718</x:v>
      </x:c>
      <x:c r="C723" t="str">
        <x:v>Parent historique</x:v>
      </x:c>
      <x:c r="D723" t="str">
        <x:v>public</x:v>
      </x:c>
      <x:c r="E723" t="str">
        <x:v>Mairie — variante 04</x:v>
      </x:c>
      <x:c r="F723" t="n">
        <x:v>8</x:v>
      </x:c>
      <x:c r="G723" t="n">
        <x:v>5</x:v>
      </x:c>
      <x:c r="H723" t="n">
        <x:v>0</x:v>
      </x:c>
      <x:c r="I723" t="str">
        <x:v>À qualifier par lieu</x:v>
      </x:c>
      <x:c r="J723" t="str">
        <x:v>https://github.com/darknigthmare/deadwall-last-enclosure/blob/1b3b9c5ba232734b1bda3453b4e20a0481bcdd74/codex-3000/originaux/DEADWALL_CODEX_SUPPLEMENT_1.23/FICHES_501_1000/DW-0718.md</x:v>
      </x:c>
      <x:c r="K723" t="str">
        <x:v>Source min 21,26 m ; max 21,26 m ; modèle 26 × 26 m ; niveaux 0. Détails dans catalogue-existant.json.</x:v>
      </x:c>
    </x:row>
    <x:row r="724">
      <x:c r="A724" t="str">
        <x:v>DW-0719</x:v>
      </x:c>
      <x:c r="B724" t="str">
        <x:v>DW-0719</x:v>
      </x:c>
      <x:c r="C724" t="str">
        <x:v>Parent historique</x:v>
      </x:c>
      <x:c r="D724" t="str">
        <x:v>public</x:v>
      </x:c>
      <x:c r="E724" t="str">
        <x:v>Clinique — variante 04</x:v>
      </x:c>
      <x:c r="F724" t="n">
        <x:v>8</x:v>
      </x:c>
      <x:c r="G724" t="n">
        <x:v>6</x:v>
      </x:c>
      <x:c r="H724" t="n">
        <x:v>0</x:v>
      </x:c>
      <x:c r="I724" t="str">
        <x:v>À qualifier par lieu</x:v>
      </x:c>
      <x:c r="J724" t="str">
        <x:v>https://github.com/darknigthmare/deadwall-last-enclosure/blob/1b3b9c5ba232734b1bda3453b4e20a0481bcdd74/codex-3000/originaux/DEADWALL_CODEX_SUPPLEMENT_1.23/FICHES_501_1000/DW-0719.md</x:v>
      </x:c>
      <x:c r="K724" t="str">
        <x:v>Source min 32,43 m ; max 32,43 m ; modèle 32 × 43 m ; niveaux 0. Détails dans catalogue-existant.json.</x:v>
      </x:c>
    </x:row>
    <x:row r="725">
      <x:c r="A725" t="str">
        <x:v>DW-0720</x:v>
      </x:c>
      <x:c r="B725" t="str">
        <x:v>DW-0720</x:v>
      </x:c>
      <x:c r="C725" t="str">
        <x:v>Parent historique</x:v>
      </x:c>
      <x:c r="D725" t="str">
        <x:v>public</x:v>
      </x:c>
      <x:c r="E725" t="str">
        <x:v>Caserne de pompiers — variante 04</x:v>
      </x:c>
      <x:c r="F725" t="n">
        <x:v>8</x:v>
      </x:c>
      <x:c r="G725" t="n">
        <x:v>6</x:v>
      </x:c>
      <x:c r="H725" t="n">
        <x:v>0</x:v>
      </x:c>
      <x:c r="I725" t="str">
        <x:v>À qualifier par lieu</x:v>
      </x:c>
      <x:c r="J725" t="str">
        <x:v>https://github.com/darknigthmare/deadwall-last-enclosure/blob/1b3b9c5ba232734b1bda3453b4e20a0481bcdd74/codex-3000/originaux/DEADWALL_CODEX_SUPPLEMENT_1.23/FICHES_501_1000/DW-0720.md</x:v>
      </x:c>
      <x:c r="K725" t="str">
        <x:v>Source min 43,60 m ; max 43,60 m ; modèle 43 × 60 m ; niveaux 0. Détails dans catalogue-existant.json.</x:v>
      </x:c>
    </x:row>
    <x:row r="726">
      <x:c r="A726" t="str">
        <x:v>DW-0721</x:v>
      </x:c>
      <x:c r="B726" t="str">
        <x:v>DW-0721</x:v>
      </x:c>
      <x:c r="C726" t="str">
        <x:v>Parent historique</x:v>
      </x:c>
      <x:c r="D726" t="str">
        <x:v>public</x:v>
      </x:c>
      <x:c r="E726" t="str">
        <x:v>Poste de police — variante 04</x:v>
      </x:c>
      <x:c r="F726" t="n">
        <x:v>8</x:v>
      </x:c>
      <x:c r="G726" t="n">
        <x:v>5</x:v>
      </x:c>
      <x:c r="H726" t="n">
        <x:v>0</x:v>
      </x:c>
      <x:c r="I726" t="str">
        <x:v>À qualifier par lieu</x:v>
      </x:c>
      <x:c r="J726" t="str">
        <x:v>https://github.com/darknigthmare/deadwall-last-enclosure/blob/1b3b9c5ba232734b1bda3453b4e20a0481bcdd74/codex-3000/originaux/DEADWALL_CODEX_SUPPLEMENT_1.23/FICHES_501_1000/DW-0721.md</x:v>
      </x:c>
      <x:c r="K726" t="str">
        <x:v>Source min 54,23 m ; max 54,23 m ; modèle 54 × 23 m ; niveaux 0, 1. Détails dans catalogue-existant.json.</x:v>
      </x:c>
    </x:row>
    <x:row r="727">
      <x:c r="A727" t="str">
        <x:v>DW-0722</x:v>
      </x:c>
      <x:c r="B727" t="str">
        <x:v>DW-0722</x:v>
      </x:c>
      <x:c r="C727" t="str">
        <x:v>Parent historique</x:v>
      </x:c>
      <x:c r="D727" t="str">
        <x:v>public</x:v>
      </x:c>
      <x:c r="E727" t="str">
        <x:v>Bibliothèque — variante 04</x:v>
      </x:c>
      <x:c r="F727" t="n">
        <x:v>8</x:v>
      </x:c>
      <x:c r="G727" t="n">
        <x:v>5</x:v>
      </x:c>
      <x:c r="H727" t="n">
        <x:v>0</x:v>
      </x:c>
      <x:c r="I727" t="str">
        <x:v>À qualifier par lieu</x:v>
      </x:c>
      <x:c r="J727" t="str">
        <x:v>https://github.com/darknigthmare/deadwall-last-enclosure/blob/1b3b9c5ba232734b1bda3453b4e20a0481bcdd74/codex-3000/originaux/DEADWALL_CODEX_SUPPLEMENT_1.23/FICHES_501_1000/DW-0722.md</x:v>
      </x:c>
      <x:c r="K727" t="str">
        <x:v>Source min 65,40 m ; max 65,40 m ; modèle 65 × 40 m ; niveaux 0. Détails dans catalogue-existant.json.</x:v>
      </x:c>
    </x:row>
    <x:row r="728">
      <x:c r="A728" t="str">
        <x:v>DW-0723</x:v>
      </x:c>
      <x:c r="B728" t="str">
        <x:v>DW-0723</x:v>
      </x:c>
      <x:c r="C728" t="str">
        <x:v>Parent historique</x:v>
      </x:c>
      <x:c r="D728" t="str">
        <x:v>public</x:v>
      </x:c>
      <x:c r="E728" t="str">
        <x:v>Salle des fêtes — variante 04</x:v>
      </x:c>
      <x:c r="F728" t="n">
        <x:v>8</x:v>
      </x:c>
      <x:c r="G728" t="n">
        <x:v>5</x:v>
      </x:c>
      <x:c r="H728" t="n">
        <x:v>0</x:v>
      </x:c>
      <x:c r="I728" t="str">
        <x:v>À qualifier par lieu</x:v>
      </x:c>
      <x:c r="J728" t="str">
        <x:v>https://github.com/darknigthmare/deadwall-last-enclosure/blob/1b3b9c5ba232734b1bda3453b4e20a0481bcdd74/codex-3000/originaux/DEADWALL_CODEX_SUPPLEMENT_1.23/FICHES_501_1000/DW-0723.md</x:v>
      </x:c>
      <x:c r="K728" t="str">
        <x:v>Source min 76,57 m ; max 76,57 m ; modèle 76 × 57 m ; niveaux 0. Détails dans catalogue-existant.json.</x:v>
      </x:c>
    </x:row>
    <x:row r="729">
      <x:c r="A729" t="str">
        <x:v>DW-0724</x:v>
      </x:c>
      <x:c r="B729" t="str">
        <x:v>DW-0724</x:v>
      </x:c>
      <x:c r="C729" t="str">
        <x:v>Parent historique</x:v>
      </x:c>
      <x:c r="D729" t="str">
        <x:v>public</x:v>
      </x:c>
      <x:c r="E729" t="str">
        <x:v>Église et presbytère — variante 04</x:v>
      </x:c>
      <x:c r="F729" t="n">
        <x:v>8</x:v>
      </x:c>
      <x:c r="G729" t="n">
        <x:v>5</x:v>
      </x:c>
      <x:c r="H729" t="n">
        <x:v>0</x:v>
      </x:c>
      <x:c r="I729" t="str">
        <x:v>À qualifier par lieu</x:v>
      </x:c>
      <x:c r="J729" t="str">
        <x:v>https://github.com/darknigthmare/deadwall-last-enclosure/blob/1b3b9c5ba232734b1bda3453b4e20a0481bcdd74/codex-3000/originaux/DEADWALL_CODEX_SUPPLEMENT_1.23/FICHES_501_1000/DW-0724.md</x:v>
      </x:c>
      <x:c r="K729" t="str">
        <x:v>Source min 15,20 m ; max 15,20 m ; modèle 26 × 22 m ; niveaux 0. Détails dans catalogue-existant.json.</x:v>
      </x:c>
    </x:row>
    <x:row r="730">
      <x:c r="A730" t="str">
        <x:v>DW-0725</x:v>
      </x:c>
      <x:c r="B730" t="str">
        <x:v>DW-0725</x:v>
      </x:c>
      <x:c r="C730" t="str">
        <x:v>Parent historique</x:v>
      </x:c>
      <x:c r="D730" t="str">
        <x:v>rural</x:v>
      </x:c>
      <x:c r="E730" t="str">
        <x:v>Hameau agricole — variante 04</x:v>
      </x:c>
      <x:c r="F730" t="n">
        <x:v>8</x:v>
      </x:c>
      <x:c r="G730" t="n">
        <x:v>6</x:v>
      </x:c>
      <x:c r="H730" t="n">
        <x:v>0</x:v>
      </x:c>
      <x:c r="I730" t="str">
        <x:v>À qualifier par lieu</x:v>
      </x:c>
      <x:c r="J730" t="str">
        <x:v>https://github.com/darknigthmare/deadwall-last-enclosure/blob/1b3b9c5ba232734b1bda3453b4e20a0481bcdd74/codex-3000/originaux/DEADWALL_CODEX_SUPPLEMENT_1.23/FICHES_501_1000/DW-0725.md</x:v>
      </x:c>
      <x:c r="K730" t="str">
        <x:v>Source min 26,37 m ; max 26,37 m ; modèle 28 × 37 m ; niveaux 0. Détails dans catalogue-existant.json.</x:v>
      </x:c>
    </x:row>
    <x:row r="731">
      <x:c r="A731" t="str">
        <x:v>DW-0726</x:v>
      </x:c>
      <x:c r="B731" t="str">
        <x:v>DW-0726</x:v>
      </x:c>
      <x:c r="C731" t="str">
        <x:v>Parent historique</x:v>
      </x:c>
      <x:c r="D731" t="str">
        <x:v>rural</x:v>
      </x:c>
      <x:c r="E731" t="str">
        <x:v>Cabane forestière — variante 04</x:v>
      </x:c>
      <x:c r="F731" t="n">
        <x:v>8</x:v>
      </x:c>
      <x:c r="G731" t="n">
        <x:v>4</x:v>
      </x:c>
      <x:c r="H731" t="n">
        <x:v>0</x:v>
      </x:c>
      <x:c r="I731" t="str">
        <x:v>À qualifier par lieu</x:v>
      </x:c>
      <x:c r="J731" t="str">
        <x:v>https://github.com/darknigthmare/deadwall-last-enclosure/blob/1b3b9c5ba232734b1bda3453b4e20a0481bcdd74/codex-3000/originaux/DEADWALL_CODEX_SUPPLEMENT_1.23/FICHES_501_1000/DW-0726.md</x:v>
      </x:c>
      <x:c r="K731" t="str">
        <x:v>Source min 37,54 m ; max 37,54 m ; modèle 37 × 54 m ; niveaux 0. Détails dans catalogue-existant.json.</x:v>
      </x:c>
    </x:row>
    <x:row r="732">
      <x:c r="A732" t="str">
        <x:v>DW-0727</x:v>
      </x:c>
      <x:c r="B732" t="str">
        <x:v>DW-0727</x:v>
      </x:c>
      <x:c r="C732" t="str">
        <x:v>Parent historique</x:v>
      </x:c>
      <x:c r="D732" t="str">
        <x:v>rural</x:v>
      </x:c>
      <x:c r="E732" t="str">
        <x:v>Dépôt forestier — variante 04</x:v>
      </x:c>
      <x:c r="F732" t="n">
        <x:v>8</x:v>
      </x:c>
      <x:c r="G732" t="n">
        <x:v>5</x:v>
      </x:c>
      <x:c r="H732" t="n">
        <x:v>0</x:v>
      </x:c>
      <x:c r="I732" t="str">
        <x:v>À qualifier par lieu</x:v>
      </x:c>
      <x:c r="J732" t="str">
        <x:v>https://github.com/darknigthmare/deadwall-last-enclosure/blob/1b3b9c5ba232734b1bda3453b4e20a0481bcdd74/codex-3000/originaux/DEADWALL_CODEX_SUPPLEMENT_1.23/FICHES_501_1000/DW-0727.md</x:v>
      </x:c>
      <x:c r="K732" t="str">
        <x:v>Source min 48,17 m ; max 48,17 m ; modèle 48 × 22 m ; niveaux 0. Détails dans catalogue-existant.json.</x:v>
      </x:c>
    </x:row>
    <x:row r="733">
      <x:c r="A733" t="str">
        <x:v>DW-0728</x:v>
      </x:c>
      <x:c r="B733" t="str">
        <x:v>DW-0728</x:v>
      </x:c>
      <x:c r="C733" t="str">
        <x:v>Parent historique</x:v>
      </x:c>
      <x:c r="D733" t="str">
        <x:v>rural</x:v>
      </x:c>
      <x:c r="E733" t="str">
        <x:v>Ferme céréalière — variante 04</x:v>
      </x:c>
      <x:c r="F733" t="n">
        <x:v>8</x:v>
      </x:c>
      <x:c r="G733" t="n">
        <x:v>5</x:v>
      </x:c>
      <x:c r="H733" t="n">
        <x:v>0</x:v>
      </x:c>
      <x:c r="I733" t="str">
        <x:v>À qualifier par lieu</x:v>
      </x:c>
      <x:c r="J733" t="str">
        <x:v>https://github.com/darknigthmare/deadwall-last-enclosure/blob/1b3b9c5ba232734b1bda3453b4e20a0481bcdd74/codex-3000/originaux/DEADWALL_CODEX_SUPPLEMENT_1.23/FICHES_501_1000/DW-0728.md</x:v>
      </x:c>
      <x:c r="K733" t="str">
        <x:v>Source min 59,34 m ; max 59,34 m ; modèle 59 × 34 m ; niveaux 0. Détails dans catalogue-existant.json.</x:v>
      </x:c>
    </x:row>
    <x:row r="734">
      <x:c r="A734" t="str">
        <x:v>DW-0729</x:v>
      </x:c>
      <x:c r="B734" t="str">
        <x:v>DW-0729</x:v>
      </x:c>
      <x:c r="C734" t="str">
        <x:v>Parent historique</x:v>
      </x:c>
      <x:c r="D734" t="str">
        <x:v>rural</x:v>
      </x:c>
      <x:c r="E734" t="str">
        <x:v>Ferme d'élevage — variante 04</x:v>
      </x:c>
      <x:c r="F734" t="n">
        <x:v>8</x:v>
      </x:c>
      <x:c r="G734" t="n">
        <x:v>5</x:v>
      </x:c>
      <x:c r="H734" t="n">
        <x:v>0</x:v>
      </x:c>
      <x:c r="I734" t="str">
        <x:v>À qualifier par lieu</x:v>
      </x:c>
      <x:c r="J734" t="str">
        <x:v>https://github.com/darknigthmare/deadwall-last-enclosure/blob/1b3b9c5ba232734b1bda3453b4e20a0481bcdd74/codex-3000/originaux/DEADWALL_CODEX_SUPPLEMENT_1.23/FICHES_501_1000/DW-0729.md</x:v>
      </x:c>
      <x:c r="K734" t="str">
        <x:v>Source min 70,51 m ; max 70,51 m ; modèle 70 × 51 m ; niveaux 0. Détails dans catalogue-existant.json.</x:v>
      </x:c>
    </x:row>
    <x:row r="735">
      <x:c r="A735" t="str">
        <x:v>DW-0730</x:v>
      </x:c>
      <x:c r="B735" t="str">
        <x:v>DW-0730</x:v>
      </x:c>
      <x:c r="C735" t="str">
        <x:v>Parent historique</x:v>
      </x:c>
      <x:c r="D735" t="str">
        <x:v>rural</x:v>
      </x:c>
      <x:c r="E735" t="str">
        <x:v>Relais de chasse — variante 04</x:v>
      </x:c>
      <x:c r="F735" t="n">
        <x:v>8</x:v>
      </x:c>
      <x:c r="G735" t="n">
        <x:v>4</x:v>
      </x:c>
      <x:c r="H735" t="n">
        <x:v>0</x:v>
      </x:c>
      <x:c r="I735" t="str">
        <x:v>À qualifier par lieu</x:v>
      </x:c>
      <x:c r="J735" t="str">
        <x:v>https://github.com/darknigthmare/deadwall-last-enclosure/blob/1b3b9c5ba232734b1bda3453b4e20a0481bcdd74/codex-3000/originaux/DEADWALL_CODEX_SUPPLEMENT_1.23/FICHES_501_1000/DW-0730.md</x:v>
      </x:c>
      <x:c r="K735" t="str">
        <x:v>Source min 81,14 m ; max 81,14 m ; modèle 78 × 18 m ; niveaux 0. Détails dans catalogue-existant.json.</x:v>
      </x:c>
    </x:row>
    <x:row r="736">
      <x:c r="A736" t="str">
        <x:v>DW-0731</x:v>
      </x:c>
      <x:c r="B736" t="str">
        <x:v>DW-0731</x:v>
      </x:c>
      <x:c r="C736" t="str">
        <x:v>Parent historique</x:v>
      </x:c>
      <x:c r="D736" t="str">
        <x:v>rural</x:v>
      </x:c>
      <x:c r="E736" t="str">
        <x:v>Moulin rural — variante 04</x:v>
      </x:c>
      <x:c r="F736" t="n">
        <x:v>8</x:v>
      </x:c>
      <x:c r="G736" t="n">
        <x:v>4</x:v>
      </x:c>
      <x:c r="H736" t="n">
        <x:v>0</x:v>
      </x:c>
      <x:c r="I736" t="str">
        <x:v>À qualifier par lieu</x:v>
      </x:c>
      <x:c r="J736" t="str">
        <x:v>https://github.com/darknigthmare/deadwall-last-enclosure/blob/1b3b9c5ba232734b1bda3453b4e20a0481bcdd74/codex-3000/originaux/DEADWALL_CODEX_SUPPLEMENT_1.23/FICHES_501_1000/DW-0731.md</x:v>
      </x:c>
      <x:c r="K736" t="str">
        <x:v>Source min 20,31 m ; max 20,31 m ; modèle 25 × 31 m ; niveaux 0. Détails dans catalogue-existant.json.</x:v>
      </x:c>
    </x:row>
    <x:row r="737">
      <x:c r="A737" t="str">
        <x:v>DW-0732</x:v>
      </x:c>
      <x:c r="B737" t="str">
        <x:v>DW-0732</x:v>
      </x:c>
      <x:c r="C737" t="str">
        <x:v>Parent historique</x:v>
      </x:c>
      <x:c r="D737" t="str">
        <x:v>rural</x:v>
      </x:c>
      <x:c r="E737" t="str">
        <x:v>Serres maraîchères — variante 04</x:v>
      </x:c>
      <x:c r="F737" t="n">
        <x:v>8</x:v>
      </x:c>
      <x:c r="G737" t="n">
        <x:v>5</x:v>
      </x:c>
      <x:c r="H737" t="n">
        <x:v>0</x:v>
      </x:c>
      <x:c r="I737" t="str">
        <x:v>À qualifier par lieu</x:v>
      </x:c>
      <x:c r="J737" t="str">
        <x:v>https://github.com/darknigthmare/deadwall-last-enclosure/blob/1b3b9c5ba232734b1bda3453b4e20a0481bcdd74/codex-3000/originaux/DEADWALL_CODEX_SUPPLEMENT_1.23/FICHES_501_1000/DW-0732.md</x:v>
      </x:c>
      <x:c r="K737" t="str">
        <x:v>Source min 31,48 m ; max 31,48 m ; modèle 31 × 48 m ; niveaux 0. Détails dans catalogue-existant.json.</x:v>
      </x:c>
    </x:row>
    <x:row r="738">
      <x:c r="A738" t="str">
        <x:v>DW-0733</x:v>
      </x:c>
      <x:c r="B738" t="str">
        <x:v>DW-0733</x:v>
      </x:c>
      <x:c r="C738" t="str">
        <x:v>Parent historique</x:v>
      </x:c>
      <x:c r="D738" t="str">
        <x:v>militaire</x:v>
      </x:c>
      <x:c r="E738" t="str">
        <x:v>Bunker de défense civile — variante 04</x:v>
      </x:c>
      <x:c r="F738" t="n">
        <x:v>8</x:v>
      </x:c>
      <x:c r="G738" t="n">
        <x:v>6</x:v>
      </x:c>
      <x:c r="H738" t="n">
        <x:v>0</x:v>
      </x:c>
      <x:c r="I738" t="str">
        <x:v>À qualifier par lieu</x:v>
      </x:c>
      <x:c r="J738" t="str">
        <x:v>https://github.com/darknigthmare/deadwall-last-enclosure/blob/1b3b9c5ba232734b1bda3453b4e20a0481bcdd74/codex-3000/originaux/DEADWALL_CODEX_SUPPLEMENT_1.23/FICHES_501_1000/DW-0733.md</x:v>
      </x:c>
      <x:c r="K738" t="str">
        <x:v>Source min 42,11 m ; max 42,11 m ; modèle 42 × 22 m ; niveaux 0, 1. Détails dans catalogue-existant.json.</x:v>
      </x:c>
    </x:row>
    <x:row r="739">
      <x:c r="A739" t="str">
        <x:v>DW-0734</x:v>
      </x:c>
      <x:c r="B739" t="str">
        <x:v>DW-0734</x:v>
      </x:c>
      <x:c r="C739" t="str">
        <x:v>Parent historique</x:v>
      </x:c>
      <x:c r="D739" t="str">
        <x:v>militaire</x:v>
      </x:c>
      <x:c r="E739" t="str">
        <x:v>Dépôt militaire — variante 04</x:v>
      </x:c>
      <x:c r="F739" t="n">
        <x:v>8</x:v>
      </x:c>
      <x:c r="G739" t="n">
        <x:v>5</x:v>
      </x:c>
      <x:c r="H739" t="n">
        <x:v>0</x:v>
      </x:c>
      <x:c r="I739" t="str">
        <x:v>À qualifier par lieu</x:v>
      </x:c>
      <x:c r="J739" t="str">
        <x:v>https://github.com/darknigthmare/deadwall-last-enclosure/blob/1b3b9c5ba232734b1bda3453b4e20a0481bcdd74/codex-3000/originaux/DEADWALL_CODEX_SUPPLEMENT_1.23/FICHES_501_1000/DW-0734.md</x:v>
      </x:c>
      <x:c r="K739" t="str">
        <x:v>Source min 53,28 m ; max 53,28 m ; modèle 53 × 28 m ; niveaux 0. Détails dans catalogue-existant.json.</x:v>
      </x:c>
    </x:row>
    <x:row r="740">
      <x:c r="A740" t="str">
        <x:v>DW-0735</x:v>
      </x:c>
      <x:c r="B740" t="str">
        <x:v>DW-0735</x:v>
      </x:c>
      <x:c r="C740" t="str">
        <x:v>Parent historique</x:v>
      </x:c>
      <x:c r="D740" t="str">
        <x:v>militaire</x:v>
      </x:c>
      <x:c r="E740" t="str">
        <x:v>Poste de contrôle — variante 04</x:v>
      </x:c>
      <x:c r="F740" t="n">
        <x:v>8</x:v>
      </x:c>
      <x:c r="G740" t="n">
        <x:v>5</x:v>
      </x:c>
      <x:c r="H740" t="n">
        <x:v>0</x:v>
      </x:c>
      <x:c r="I740" t="str">
        <x:v>À qualifier par lieu</x:v>
      </x:c>
      <x:c r="J740" t="str">
        <x:v>https://github.com/darknigthmare/deadwall-last-enclosure/blob/1b3b9c5ba232734b1bda3453b4e20a0481bcdd74/codex-3000/originaux/DEADWALL_CODEX_SUPPLEMENT_1.23/FICHES_501_1000/DW-0735.md</x:v>
      </x:c>
      <x:c r="K740" t="str">
        <x:v>Source min 64,45 m ; max 64,45 m ; modèle 64 × 45 m ; niveaux 0. Détails dans catalogue-existant.json.</x:v>
      </x:c>
    </x:row>
    <x:row r="741">
      <x:c r="A741" t="str">
        <x:v>DW-0736</x:v>
      </x:c>
      <x:c r="B741" t="str">
        <x:v>DW-0736</x:v>
      </x:c>
      <x:c r="C741" t="str">
        <x:v>Parent historique</x:v>
      </x:c>
      <x:c r="D741" t="str">
        <x:v>militaire</x:v>
      </x:c>
      <x:c r="E741" t="str">
        <x:v>Camp retranché abandonné — variante 04</x:v>
      </x:c>
      <x:c r="F741" t="n">
        <x:v>8</x:v>
      </x:c>
      <x:c r="G741" t="n">
        <x:v>5</x:v>
      </x:c>
      <x:c r="H741" t="n">
        <x:v>0</x:v>
      </x:c>
      <x:c r="I741" t="str">
        <x:v>À qualifier par lieu</x:v>
      </x:c>
      <x:c r="J741" t="str">
        <x:v>https://github.com/darknigthmare/deadwall-last-enclosure/blob/1b3b9c5ba232734b1bda3453b4e20a0481bcdd74/codex-3000/originaux/DEADWALL_CODEX_SUPPLEMENT_1.23/FICHES_501_1000/DW-0736.md</x:v>
      </x:c>
      <x:c r="K741" t="str">
        <x:v>Source min 75,62 m ; max 75,62 m ; modèle 75 × 62 m ; niveaux 0. Détails dans catalogue-existant.json.</x:v>
      </x:c>
    </x:row>
    <x:row r="742">
      <x:c r="A742" t="str">
        <x:v>DW-0737</x:v>
      </x:c>
      <x:c r="B742" t="str">
        <x:v>DW-0737</x:v>
      </x:c>
      <x:c r="C742" t="str">
        <x:v>Parent historique</x:v>
      </x:c>
      <x:c r="D742" t="str">
        <x:v>militaire</x:v>
      </x:c>
      <x:c r="E742" t="str">
        <x:v>Abri ferroviaire — variante 04</x:v>
      </x:c>
      <x:c r="F742" t="n">
        <x:v>8</x:v>
      </x:c>
      <x:c r="G742" t="n">
        <x:v>4</x:v>
      </x:c>
      <x:c r="H742" t="n">
        <x:v>0</x:v>
      </x:c>
      <x:c r="I742" t="str">
        <x:v>À qualifier par lieu</x:v>
      </x:c>
      <x:c r="J742" t="str">
        <x:v>https://github.com/darknigthmare/deadwall-last-enclosure/blob/1b3b9c5ba232734b1bda3453b4e20a0481bcdd74/codex-3000/originaux/DEADWALL_CODEX_SUPPLEMENT_1.23/FICHES_501_1000/DW-0737.md</x:v>
      </x:c>
      <x:c r="K742" t="str">
        <x:v>Source min 14,25 m ; max 14,25 m ; modèle 25 × 25 m ; niveaux 0. Détails dans catalogue-existant.json.</x:v>
      </x:c>
    </x:row>
    <x:row r="743">
      <x:c r="A743" t="str">
        <x:v>DW-0738</x:v>
      </x:c>
      <x:c r="B743" t="str">
        <x:v>DW-0738</x:v>
      </x:c>
      <x:c r="C743" t="str">
        <x:v>Parent historique</x:v>
      </x:c>
      <x:c r="D743" t="str">
        <x:v>militaire</x:v>
      </x:c>
      <x:c r="E743" t="str">
        <x:v>Site radar — variante 04</x:v>
      </x:c>
      <x:c r="F743" t="n">
        <x:v>8</x:v>
      </x:c>
      <x:c r="G743" t="n">
        <x:v>5</x:v>
      </x:c>
      <x:c r="H743" t="n">
        <x:v>0</x:v>
      </x:c>
      <x:c r="I743" t="str">
        <x:v>À qualifier par lieu</x:v>
      </x:c>
      <x:c r="J743" t="str">
        <x:v>https://github.com/darknigthmare/deadwall-last-enclosure/blob/1b3b9c5ba232734b1bda3453b4e20a0481bcdd74/codex-3000/originaux/DEADWALL_CODEX_SUPPLEMENT_1.23/FICHES_501_1000/DW-0738.md</x:v>
      </x:c>
      <x:c r="K743" t="str">
        <x:v>Source min 25,42 m ; max 25,42 m ; modèle 26 × 42 m ; niveaux 0. Détails dans catalogue-existant.json.</x:v>
      </x:c>
    </x:row>
    <x:row r="744">
      <x:c r="A744" t="str">
        <x:v>DW-0739</x:v>
      </x:c>
      <x:c r="B744" t="str">
        <x:v>DW-0739</x:v>
      </x:c>
      <x:c r="C744" t="str">
        <x:v>Parent historique</x:v>
      </x:c>
      <x:c r="D744" t="str">
        <x:v>militaire</x:v>
      </x:c>
      <x:c r="E744" t="str">
        <x:v>Batterie côtière — variante 04</x:v>
      </x:c>
      <x:c r="F744" t="n">
        <x:v>8</x:v>
      </x:c>
      <x:c r="G744" t="n">
        <x:v>4</x:v>
      </x:c>
      <x:c r="H744" t="n">
        <x:v>0</x:v>
      </x:c>
      <x:c r="I744" t="str">
        <x:v>À qualifier par lieu</x:v>
      </x:c>
      <x:c r="J744" t="str">
        <x:v>https://github.com/darknigthmare/deadwall-last-enclosure/blob/1b3b9c5ba232734b1bda3453b4e20a0481bcdd74/codex-3000/originaux/DEADWALL_CODEX_SUPPLEMENT_1.23/FICHES_501_1000/DW-0739.md</x:v>
      </x:c>
      <x:c r="K744" t="str">
        <x:v>Source min 36,59 m ; max 36,59 m ; modèle 36 × 59 m ; niveaux 0. Détails dans catalogue-existant.json.</x:v>
      </x:c>
    </x:row>
    <x:row r="745">
      <x:c r="A745" t="str">
        <x:v>DW-0740</x:v>
      </x:c>
      <x:c r="B745" t="str">
        <x:v>DW-0740</x:v>
      </x:c>
      <x:c r="C745" t="str">
        <x:v>Parent historique</x:v>
      </x:c>
      <x:c r="D745" t="str">
        <x:v>militaire</x:v>
      </x:c>
      <x:c r="E745" t="str">
        <x:v>Dépôt carburant sécurisé — variante 04</x:v>
      </x:c>
      <x:c r="F745" t="n">
        <x:v>8</x:v>
      </x:c>
      <x:c r="G745" t="n">
        <x:v>5</x:v>
      </x:c>
      <x:c r="H745" t="n">
        <x:v>0</x:v>
      </x:c>
      <x:c r="I745" t="str">
        <x:v>À qualifier par lieu</x:v>
      </x:c>
      <x:c r="J745" t="str">
        <x:v>https://github.com/darknigthmare/deadwall-last-enclosure/blob/1b3b9c5ba232734b1bda3453b4e20a0481bcdd74/codex-3000/originaux/DEADWALL_CODEX_SUPPLEMENT_1.23/FICHES_501_1000/DW-0740.md</x:v>
      </x:c>
      <x:c r="K745" t="str">
        <x:v>Source min 47,22 m ; max 47,22 m ; modèle 47 × 22 m ; niveaux 0. Détails dans catalogue-existant.json.</x:v>
      </x:c>
    </x:row>
    <x:row r="746">
      <x:c r="A746" t="str">
        <x:v>DW-0741</x:v>
      </x:c>
      <x:c r="B746" t="str">
        <x:v>DW-0741</x:v>
      </x:c>
      <x:c r="C746" t="str">
        <x:v>Parent historique</x:v>
      </x:c>
      <x:c r="D746" t="str">
        <x:v>transport</x:v>
      </x:c>
      <x:c r="E746" t="str">
        <x:v>Gare routière — variante 04</x:v>
      </x:c>
      <x:c r="F746" t="n">
        <x:v>8</x:v>
      </x:c>
      <x:c r="G746" t="n">
        <x:v>5</x:v>
      </x:c>
      <x:c r="H746" t="n">
        <x:v>0</x:v>
      </x:c>
      <x:c r="I746" t="str">
        <x:v>À qualifier par lieu</x:v>
      </x:c>
      <x:c r="J746" t="str">
        <x:v>https://github.com/darknigthmare/deadwall-last-enclosure/blob/1b3b9c5ba232734b1bda3453b4e20a0481bcdd74/codex-3000/originaux/DEADWALL_CODEX_SUPPLEMENT_1.23/FICHES_501_1000/DW-0741.md</x:v>
      </x:c>
      <x:c r="K746" t="str">
        <x:v>Source min 58,39 m ; max 58,39 m ; modèle 58 × 39 m ; niveaux 0. Détails dans catalogue-existant.json.</x:v>
      </x:c>
    </x:row>
    <x:row r="747">
      <x:c r="A747" t="str">
        <x:v>DW-0742</x:v>
      </x:c>
      <x:c r="B747" t="str">
        <x:v>DW-0742</x:v>
      </x:c>
      <x:c r="C747" t="str">
        <x:v>Parent historique</x:v>
      </x:c>
      <x:c r="D747" t="str">
        <x:v>transport</x:v>
      </x:c>
      <x:c r="E747" t="str">
        <x:v>Dépôt de bus — variante 04</x:v>
      </x:c>
      <x:c r="F747" t="n">
        <x:v>8</x:v>
      </x:c>
      <x:c r="G747" t="n">
        <x:v>5</x:v>
      </x:c>
      <x:c r="H747" t="n">
        <x:v>0</x:v>
      </x:c>
      <x:c r="I747" t="str">
        <x:v>À qualifier par lieu</x:v>
      </x:c>
      <x:c r="J747" t="str">
        <x:v>https://github.com/darknigthmare/deadwall-last-enclosure/blob/1b3b9c5ba232734b1bda3453b4e20a0481bcdd74/codex-3000/originaux/DEADWALL_CODEX_SUPPLEMENT_1.23/FICHES_501_1000/DW-0742.md</x:v>
      </x:c>
      <x:c r="K747" t="str">
        <x:v>Source min 69,56 m ; max 69,56 m ; modèle 69 × 56 m ; niveaux 0. Détails dans catalogue-existant.json.</x:v>
      </x:c>
    </x:row>
    <x:row r="748">
      <x:c r="A748" t="str">
        <x:v>DW-0743</x:v>
      </x:c>
      <x:c r="B748" t="str">
        <x:v>DW-0743</x:v>
      </x:c>
      <x:c r="C748" t="str">
        <x:v>Parent historique</x:v>
      </x:c>
      <x:c r="D748" t="str">
        <x:v>transport</x:v>
      </x:c>
      <x:c r="E748" t="str">
        <x:v>Gare ferroviaire — variante 04</x:v>
      </x:c>
      <x:c r="F748" t="n">
        <x:v>8</x:v>
      </x:c>
      <x:c r="G748" t="n">
        <x:v>5</x:v>
      </x:c>
      <x:c r="H748" t="n">
        <x:v>0</x:v>
      </x:c>
      <x:c r="I748" t="str">
        <x:v>À qualifier par lieu</x:v>
      </x:c>
      <x:c r="J748" t="str">
        <x:v>https://github.com/darknigthmare/deadwall-last-enclosure/blob/1b3b9c5ba232734b1bda3453b4e20a0481bcdd74/codex-3000/originaux/DEADWALL_CODEX_SUPPLEMENT_1.23/FICHES_501_1000/DW-0743.md</x:v>
      </x:c>
      <x:c r="K748" t="str">
        <x:v>Source min 80,19 m ; max 80,19 m ; modèle 78 × 22 m ; niveaux 0. Détails dans catalogue-existant.json.</x:v>
      </x:c>
    </x:row>
    <x:row r="749">
      <x:c r="A749" t="str">
        <x:v>DW-0744</x:v>
      </x:c>
      <x:c r="B749" t="str">
        <x:v>DW-0744</x:v>
      </x:c>
      <x:c r="C749" t="str">
        <x:v>Parent historique</x:v>
      </x:c>
      <x:c r="D749" t="str">
        <x:v>transport</x:v>
      </x:c>
      <x:c r="E749" t="str">
        <x:v>Aire d'autoroute — variante 04</x:v>
      </x:c>
      <x:c r="F749" t="n">
        <x:v>8</x:v>
      </x:c>
      <x:c r="G749" t="n">
        <x:v>5</x:v>
      </x:c>
      <x:c r="H749" t="n">
        <x:v>0</x:v>
      </x:c>
      <x:c r="I749" t="str">
        <x:v>À qualifier par lieu</x:v>
      </x:c>
      <x:c r="J749" t="str">
        <x:v>https://github.com/darknigthmare/deadwall-last-enclosure/blob/1b3b9c5ba232734b1bda3453b4e20a0481bcdd74/codex-3000/originaux/DEADWALL_CODEX_SUPPLEMENT_1.23/FICHES_501_1000/DW-0744.md</x:v>
      </x:c>
      <x:c r="K749" t="str">
        <x:v>Source min 19,36 m ; max 19,36 m ; modèle 26 × 36 m ; niveaux 0. Détails dans catalogue-existant.json.</x:v>
      </x:c>
    </x:row>
    <x:row r="750">
      <x:c r="A750" t="str">
        <x:v>DW-0745</x:v>
      </x:c>
      <x:c r="B750" t="str">
        <x:v>DW-0745</x:v>
      </x:c>
      <x:c r="C750" t="str">
        <x:v>Parent historique</x:v>
      </x:c>
      <x:c r="D750" t="str">
        <x:v>transport</x:v>
      </x:c>
      <x:c r="E750" t="str">
        <x:v>Parking silo — variante 04</x:v>
      </x:c>
      <x:c r="F750" t="n">
        <x:v>8</x:v>
      </x:c>
      <x:c r="G750" t="n">
        <x:v>4</x:v>
      </x:c>
      <x:c r="H750" t="n">
        <x:v>0</x:v>
      </x:c>
      <x:c r="I750" t="str">
        <x:v>À qualifier par lieu</x:v>
      </x:c>
      <x:c r="J750" t="str">
        <x:v>https://github.com/darknigthmare/deadwall-last-enclosure/blob/1b3b9c5ba232734b1bda3453b4e20a0481bcdd74/codex-3000/originaux/DEADWALL_CODEX_SUPPLEMENT_1.23/FICHES_501_1000/DW-0745.md</x:v>
      </x:c>
      <x:c r="K750" t="str">
        <x:v>Source min 30,53 m ; max 30,53 m ; modèle 30 × 53 m ; niveaux 0. Détails dans catalogue-existant.json.</x:v>
      </x:c>
    </x:row>
    <x:row r="751">
      <x:c r="A751" t="str">
        <x:v>DW-0746</x:v>
      </x:c>
      <x:c r="B751" t="str">
        <x:v>DW-0746</x:v>
      </x:c>
      <x:c r="C751" t="str">
        <x:v>Parent historique</x:v>
      </x:c>
      <x:c r="D751" t="str">
        <x:v>transport</x:v>
      </x:c>
      <x:c r="E751" t="str">
        <x:v>Terminal poids lourds — variante 04</x:v>
      </x:c>
      <x:c r="F751" t="n">
        <x:v>8</x:v>
      </x:c>
      <x:c r="G751" t="n">
        <x:v>5</x:v>
      </x:c>
      <x:c r="H751" t="n">
        <x:v>0</x:v>
      </x:c>
      <x:c r="I751" t="str">
        <x:v>À qualifier par lieu</x:v>
      </x:c>
      <x:c r="J751" t="str">
        <x:v>https://github.com/darknigthmare/deadwall-last-enclosure/blob/1b3b9c5ba232734b1bda3453b4e20a0481bcdd74/codex-3000/originaux/DEADWALL_CODEX_SUPPLEMENT_1.23/FICHES_501_1000/DW-0746.md</x:v>
      </x:c>
      <x:c r="K751" t="str">
        <x:v>Source min 41,16 m ; max 41,16 m ; modèle 41 × 22 m ; niveaux 0. Détails dans catalogue-existant.json.</x:v>
      </x:c>
    </x:row>
    <x:row r="752">
      <x:c r="A752" t="str">
        <x:v>DW-0747</x:v>
      </x:c>
      <x:c r="B752" t="str">
        <x:v>DW-0747</x:v>
      </x:c>
      <x:c r="C752" t="str">
        <x:v>Parent historique</x:v>
      </x:c>
      <x:c r="D752" t="str">
        <x:v>transport</x:v>
      </x:c>
      <x:c r="E752" t="str">
        <x:v>Port de plaisance — variante 04</x:v>
      </x:c>
      <x:c r="F752" t="n">
        <x:v>8</x:v>
      </x:c>
      <x:c r="G752" t="n">
        <x:v>5</x:v>
      </x:c>
      <x:c r="H752" t="n">
        <x:v>0</x:v>
      </x:c>
      <x:c r="I752" t="str">
        <x:v>À qualifier par lieu</x:v>
      </x:c>
      <x:c r="J752" t="str">
        <x:v>https://github.com/darknigthmare/deadwall-last-enclosure/blob/1b3b9c5ba232734b1bda3453b4e20a0481bcdd74/codex-3000/originaux/DEADWALL_CODEX_SUPPLEMENT_1.23/FICHES_501_1000/DW-0747.md</x:v>
      </x:c>
      <x:c r="K752" t="str">
        <x:v>Source min 52,33 m ; max 52,33 m ; modèle 52 × 33 m ; niveaux 0. Détails dans catalogue-existant.json.</x:v>
      </x:c>
    </x:row>
    <x:row r="753">
      <x:c r="A753" t="str">
        <x:v>DW-0748</x:v>
      </x:c>
      <x:c r="B753" t="str">
        <x:v>DW-0748</x:v>
      </x:c>
      <x:c r="C753" t="str">
        <x:v>Parent historique</x:v>
      </x:c>
      <x:c r="D753" t="str">
        <x:v>transport</x:v>
      </x:c>
      <x:c r="E753" t="str">
        <x:v>Petit aérodrome — variante 04</x:v>
      </x:c>
      <x:c r="F753" t="n">
        <x:v>8</x:v>
      </x:c>
      <x:c r="G753" t="n">
        <x:v>5</x:v>
      </x:c>
      <x:c r="H753" t="n">
        <x:v>0</x:v>
      </x:c>
      <x:c r="I753" t="str">
        <x:v>À qualifier par lieu</x:v>
      </x:c>
      <x:c r="J753" t="str">
        <x:v>https://github.com/darknigthmare/deadwall-last-enclosure/blob/1b3b9c5ba232734b1bda3453b4e20a0481bcdd74/codex-3000/originaux/DEADWALL_CODEX_SUPPLEMENT_1.23/FICHES_501_1000/DW-0748.md</x:v>
      </x:c>
      <x:c r="K753" t="str">
        <x:v>Source min 63,50 m ; max 63,50 m ; modèle 63 × 50 m ; niveaux 0. Détails dans catalogue-existant.json.</x:v>
      </x:c>
    </x:row>
    <x:row r="754">
      <x:c r="A754" t="str">
        <x:v>DW-0749</x:v>
      </x:c>
      <x:c r="B754" t="str">
        <x:v>DW-0749</x:v>
      </x:c>
      <x:c r="C754" t="str">
        <x:v>Parent historique</x:v>
      </x:c>
      <x:c r="D754" t="str">
        <x:v>ruines</x:v>
      </x:c>
      <x:c r="E754" t="str">
        <x:v>Maison incendiée — variante 04</x:v>
      </x:c>
      <x:c r="F754" t="n">
        <x:v>8</x:v>
      </x:c>
      <x:c r="G754" t="n">
        <x:v>3</x:v>
      </x:c>
      <x:c r="H754" t="n">
        <x:v>0</x:v>
      </x:c>
      <x:c r="I754" t="str">
        <x:v>À qualifier par lieu</x:v>
      </x:c>
      <x:c r="J754" t="str">
        <x:v>https://github.com/darknigthmare/deadwall-last-enclosure/blob/1b3b9c5ba232734b1bda3453b4e20a0481bcdd74/codex-3000/originaux/DEADWALL_CODEX_SUPPLEMENT_1.23/FICHES_501_1000/DW-0749.md</x:v>
      </x:c>
      <x:c r="K754" t="str">
        <x:v>Source min 74,13 m ; max 74,13 m ; modèle 74 × 18 m ; niveaux 0, 1. Détails dans catalogue-existant.json.</x:v>
      </x:c>
    </x:row>
    <x:row r="755">
      <x:c r="A755" t="str">
        <x:v>DW-0750</x:v>
      </x:c>
      <x:c r="B755" t="str">
        <x:v>DW-0750</x:v>
      </x:c>
      <x:c r="C755" t="str">
        <x:v>Parent historique</x:v>
      </x:c>
      <x:c r="D755" t="str">
        <x:v>ruines</x:v>
      </x:c>
      <x:c r="E755" t="str">
        <x:v>Immeuble éventré — variante 04</x:v>
      </x:c>
      <x:c r="F755" t="n">
        <x:v>8</x:v>
      </x:c>
      <x:c r="G755" t="n">
        <x:v>4</x:v>
      </x:c>
      <x:c r="H755" t="n">
        <x:v>0</x:v>
      </x:c>
      <x:c r="I755" t="str">
        <x:v>À qualifier par lieu</x:v>
      </x:c>
      <x:c r="J755" t="str">
        <x:v>https://github.com/darknigthmare/deadwall-last-enclosure/blob/1b3b9c5ba232734b1bda3453b4e20a0481bcdd74/codex-3000/originaux/DEADWALL_CODEX_SUPPLEMENT_1.23/FICHES_501_1000/DW-0750.md</x:v>
      </x:c>
      <x:c r="K755" t="str">
        <x:v>Source min 13,30 m ; max 13,30 m ; modèle 25 × 30 m ; niveaux 0, 1. Détails dans catalogue-existant.json.</x:v>
      </x:c>
    </x:row>
    <x:row r="756">
      <x:c r="A756" t="str">
        <x:v>DW-0751</x:v>
      </x:c>
      <x:c r="B756" t="str">
        <x:v>DW-0751</x:v>
      </x:c>
      <x:c r="C756" t="str">
        <x:v>Parent historique</x:v>
      </x:c>
      <x:c r="D756" t="str">
        <x:v>ruines</x:v>
      </x:c>
      <x:c r="E756" t="str">
        <x:v>Commerce pillé — variante 04</x:v>
      </x:c>
      <x:c r="F756" t="n">
        <x:v>8</x:v>
      </x:c>
      <x:c r="G756" t="n">
        <x:v>4</x:v>
      </x:c>
      <x:c r="H756" t="n">
        <x:v>0</x:v>
      </x:c>
      <x:c r="I756" t="str">
        <x:v>À qualifier par lieu</x:v>
      </x:c>
      <x:c r="J756" t="str">
        <x:v>https://github.com/darknigthmare/deadwall-last-enclosure/blob/1b3b9c5ba232734b1bda3453b4e20a0481bcdd74/codex-3000/originaux/DEADWALL_CODEX_SUPPLEMENT_1.23/FICHES_501_1000/DW-0751.md</x:v>
      </x:c>
      <x:c r="K756" t="str">
        <x:v>Source min 24,47 m ; max 24,47 m ; modèle 25 × 47 m ; niveaux 0. Détails dans catalogue-existant.json.</x:v>
      </x:c>
    </x:row>
    <x:row r="757">
      <x:c r="A757" t="str">
        <x:v>DW-0752</x:v>
      </x:c>
      <x:c r="B757" t="str">
        <x:v>DW-0752</x:v>
      </x:c>
      <x:c r="C757" t="str">
        <x:v>Parent historique</x:v>
      </x:c>
      <x:c r="D757" t="str">
        <x:v>ruines</x:v>
      </x:c>
      <x:c r="E757" t="str">
        <x:v>Usine sinistrée — variante 04</x:v>
      </x:c>
      <x:c r="F757" t="n">
        <x:v>8</x:v>
      </x:c>
      <x:c r="G757" t="n">
        <x:v>4</x:v>
      </x:c>
      <x:c r="H757" t="n">
        <x:v>0</x:v>
      </x:c>
      <x:c r="I757" t="str">
        <x:v>À qualifier par lieu</x:v>
      </x:c>
      <x:c r="J757" t="str">
        <x:v>https://github.com/darknigthmare/deadwall-last-enclosure/blob/1b3b9c5ba232734b1bda3453b4e20a0481bcdd74/codex-3000/originaux/DEADWALL_CODEX_SUPPLEMENT_1.23/FICHES_501_1000/DW-0752.md</x:v>
      </x:c>
      <x:c r="K757" t="str">
        <x:v>Source min 35,10 m ; max 35,10 m ; modèle 35 × 18 m ; niveaux 0. Détails dans catalogue-existant.json.</x:v>
      </x:c>
    </x:row>
    <x:row r="758">
      <x:c r="A758" t="str">
        <x:v>DW-0753</x:v>
      </x:c>
      <x:c r="B758" t="str">
        <x:v>DW-0753</x:v>
      </x:c>
      <x:c r="C758" t="str">
        <x:v>Parent historique</x:v>
      </x:c>
      <x:c r="D758" t="str">
        <x:v>ruines</x:v>
      </x:c>
      <x:c r="E758" t="str">
        <x:v>Hôtel abandonné — variante 04</x:v>
      </x:c>
      <x:c r="F758" t="n">
        <x:v>8</x:v>
      </x:c>
      <x:c r="G758" t="n">
        <x:v>5</x:v>
      </x:c>
      <x:c r="H758" t="n">
        <x:v>0</x:v>
      </x:c>
      <x:c r="I758" t="str">
        <x:v>À qualifier par lieu</x:v>
      </x:c>
      <x:c r="J758" t="str">
        <x:v>https://github.com/darknigthmare/deadwall-last-enclosure/blob/1b3b9c5ba232734b1bda3453b4e20a0481bcdd74/codex-3000/originaux/DEADWALL_CODEX_SUPPLEMENT_1.23/FICHES_501_1000/DW-0753.md</x:v>
      </x:c>
      <x:c r="K758" t="str">
        <x:v>Source min 46,27 m ; max 46,27 m ; modèle 46 × 27 m ; niveaux 0, 1. Détails dans catalogue-existant.json.</x:v>
      </x:c>
    </x:row>
    <x:row r="759">
      <x:c r="A759" t="str">
        <x:v>DW-0754</x:v>
      </x:c>
      <x:c r="B759" t="str">
        <x:v>DW-0754</x:v>
      </x:c>
      <x:c r="C759" t="str">
        <x:v>Parent historique</x:v>
      </x:c>
      <x:c r="D759" t="str">
        <x:v>ruines</x:v>
      </x:c>
      <x:c r="E759" t="str">
        <x:v>Lotissement ravagé — variante 04</x:v>
      </x:c>
      <x:c r="F759" t="n">
        <x:v>8</x:v>
      </x:c>
      <x:c r="G759" t="n">
        <x:v>4</x:v>
      </x:c>
      <x:c r="H759" t="n">
        <x:v>0</x:v>
      </x:c>
      <x:c r="I759" t="str">
        <x:v>À qualifier par lieu</x:v>
      </x:c>
      <x:c r="J759" t="str">
        <x:v>https://github.com/darknigthmare/deadwall-last-enclosure/blob/1b3b9c5ba232734b1bda3453b4e20a0481bcdd74/codex-3000/originaux/DEADWALL_CODEX_SUPPLEMENT_1.23/FICHES_501_1000/DW-0754.md</x:v>
      </x:c>
      <x:c r="K759" t="str">
        <x:v>Source min 57,44 m ; max 57,44 m ; modèle 57 × 44 m ; niveaux 0. Détails dans catalogue-existant.json.</x:v>
      </x:c>
    </x:row>
    <x:row r="760">
      <x:c r="A760" t="str">
        <x:v>DW-0755</x:v>
      </x:c>
      <x:c r="B760" t="str">
        <x:v>DW-0755</x:v>
      </x:c>
      <x:c r="C760" t="str">
        <x:v>Parent historique</x:v>
      </x:c>
      <x:c r="D760" t="str">
        <x:v>ruines</x:v>
      </x:c>
      <x:c r="E760" t="str">
        <x:v>Village déserté — variante 04</x:v>
      </x:c>
      <x:c r="F760" t="n">
        <x:v>8</x:v>
      </x:c>
      <x:c r="G760" t="n">
        <x:v>5</x:v>
      </x:c>
      <x:c r="H760" t="n">
        <x:v>0</x:v>
      </x:c>
      <x:c r="I760" t="str">
        <x:v>À qualifier par lieu</x:v>
      </x:c>
      <x:c r="J760" t="str">
        <x:v>https://github.com/darknigthmare/deadwall-last-enclosure/blob/1b3b9c5ba232734b1bda3453b4e20a0481bcdd74/codex-3000/originaux/DEADWALL_CODEX_SUPPLEMENT_1.23/FICHES_501_1000/DW-0755.md</x:v>
      </x:c>
      <x:c r="K760" t="str">
        <x:v>Source min 68,61 m ; max 68,61 m ; modèle 68 × 61 m ; niveaux 0. Détails dans catalogue-existant.json.</x:v>
      </x:c>
    </x:row>
    <x:row r="761">
      <x:c r="A761" t="str">
        <x:v>DW-0756</x:v>
      </x:c>
      <x:c r="B761" t="str">
        <x:v>DW-0756</x:v>
      </x:c>
      <x:c r="C761" t="str">
        <x:v>Parent historique</x:v>
      </x:c>
      <x:c r="D761" t="str">
        <x:v>ruines</x:v>
      </x:c>
      <x:c r="E761" t="str">
        <x:v>Centre commercial effondré — variante 04</x:v>
      </x:c>
      <x:c r="F761" t="n">
        <x:v>8</x:v>
      </x:c>
      <x:c r="G761" t="n">
        <x:v>5</x:v>
      </x:c>
      <x:c r="H761" t="n">
        <x:v>0</x:v>
      </x:c>
      <x:c r="I761" t="str">
        <x:v>À qualifier par lieu</x:v>
      </x:c>
      <x:c r="J761" t="str">
        <x:v>https://github.com/darknigthmare/deadwall-last-enclosure/blob/1b3b9c5ba232734b1bda3453b4e20a0481bcdd74/codex-3000/originaux/DEADWALL_CODEX_SUPPLEMENT_1.23/FICHES_501_1000/DW-0756.md</x:v>
      </x:c>
      <x:c r="K761" t="str">
        <x:v>Source min 79,24 m ; max 79,24 m ; modèle 78 × 24 m ; niveaux 0. Détails dans catalogue-existant.json.</x:v>
      </x:c>
    </x:row>
    <x:row r="762">
      <x:c r="A762" t="str">
        <x:v>DW-0757</x:v>
      </x:c>
      <x:c r="B762" t="str">
        <x:v>DW-0757</x:v>
      </x:c>
      <x:c r="C762" t="str">
        <x:v>Parent historique</x:v>
      </x:c>
      <x:c r="D762" t="str">
        <x:v>habitat</x:v>
      </x:c>
      <x:c r="E762" t="str">
        <x:v>Maison de lotissement — variante 05</x:v>
      </x:c>
      <x:c r="F762" t="n">
        <x:v>8</x:v>
      </x:c>
      <x:c r="G762" t="n">
        <x:v>5</x:v>
      </x:c>
      <x:c r="H762" t="n">
        <x:v>0</x:v>
      </x:c>
      <x:c r="I762" t="str">
        <x:v>À qualifier par lieu</x:v>
      </x:c>
      <x:c r="J762" t="str">
        <x:v>https://github.com/darknigthmare/deadwall-last-enclosure/blob/1b3b9c5ba232734b1bda3453b4e20a0481bcdd74/codex-3000/originaux/DEADWALL_CODEX_SUPPLEMENT_1.23/FICHES_501_1000/DW-0757.md</x:v>
      </x:c>
      <x:c r="K762" t="str">
        <x:v>Source min 18,41 m ; max 18,41 m ; modèle 26 × 41 m ; niveaux 0, 1. Détails dans catalogue-existant.json.</x:v>
      </x:c>
    </x:row>
    <x:row r="763">
      <x:c r="A763" t="str">
        <x:v>DW-0758</x:v>
      </x:c>
      <x:c r="B763" t="str">
        <x:v>DW-0758</x:v>
      </x:c>
      <x:c r="C763" t="str">
        <x:v>Parent historique</x:v>
      </x:c>
      <x:c r="D763" t="str">
        <x:v>habitat</x:v>
      </x:c>
      <x:c r="E763" t="str">
        <x:v>Maison mitoyenne — variante 05</x:v>
      </x:c>
      <x:c r="F763" t="n">
        <x:v>8</x:v>
      </x:c>
      <x:c r="G763" t="n">
        <x:v>5</x:v>
      </x:c>
      <x:c r="H763" t="n">
        <x:v>0</x:v>
      </x:c>
      <x:c r="I763" t="str">
        <x:v>À qualifier par lieu</x:v>
      </x:c>
      <x:c r="J763" t="str">
        <x:v>https://github.com/darknigthmare/deadwall-last-enclosure/blob/1b3b9c5ba232734b1bda3453b4e20a0481bcdd74/codex-3000/originaux/DEADWALL_CODEX_SUPPLEMENT_1.23/FICHES_501_1000/DW-0758.md</x:v>
      </x:c>
      <x:c r="K763" t="str">
        <x:v>Source min 29,58 m ; max 29,58 m ; modèle 29 × 58 m ; niveaux 0. Détails dans catalogue-existant.json.</x:v>
      </x:c>
    </x:row>
    <x:row r="764">
      <x:c r="A764" t="str">
        <x:v>DW-0759</x:v>
      </x:c>
      <x:c r="B764" t="str">
        <x:v>DW-0759</x:v>
      </x:c>
      <x:c r="C764" t="str">
        <x:v>Parent historique</x:v>
      </x:c>
      <x:c r="D764" t="str">
        <x:v>habitat</x:v>
      </x:c>
      <x:c r="E764" t="str">
        <x:v>Villa isolée — variante 05</x:v>
      </x:c>
      <x:c r="F764" t="n">
        <x:v>8</x:v>
      </x:c>
      <x:c r="G764" t="n">
        <x:v>7</x:v>
      </x:c>
      <x:c r="H764" t="n">
        <x:v>0</x:v>
      </x:c>
      <x:c r="I764" t="str">
        <x:v>À qualifier par lieu</x:v>
      </x:c>
      <x:c r="J764" t="str">
        <x:v>https://github.com/darknigthmare/deadwall-last-enclosure/blob/1b3b9c5ba232734b1bda3453b4e20a0481bcdd74/codex-3000/originaux/DEADWALL_CODEX_SUPPLEMENT_1.23/FICHES_501_1000/DW-0759.md</x:v>
      </x:c>
      <x:c r="K764" t="str">
        <x:v>Source min 40,21 m ; max 40,21 m ; modèle 40 × 29 m ; niveaux 0. Détails dans catalogue-existant.json.</x:v>
      </x:c>
    </x:row>
    <x:row r="765">
      <x:c r="A765" t="str">
        <x:v>DW-0760</x:v>
      </x:c>
      <x:c r="B765" t="str">
        <x:v>DW-0760</x:v>
      </x:c>
      <x:c r="C765" t="str">
        <x:v>Parent historique</x:v>
      </x:c>
      <x:c r="D765" t="str">
        <x:v>habitat</x:v>
      </x:c>
      <x:c r="E765" t="str">
        <x:v>Ferme familiale — variante 05</x:v>
      </x:c>
      <x:c r="F765" t="n">
        <x:v>8</x:v>
      </x:c>
      <x:c r="G765" t="n">
        <x:v>6</x:v>
      </x:c>
      <x:c r="H765" t="n">
        <x:v>0</x:v>
      </x:c>
      <x:c r="I765" t="str">
        <x:v>À qualifier par lieu</x:v>
      </x:c>
      <x:c r="J765" t="str">
        <x:v>https://github.com/darknigthmare/deadwall-last-enclosure/blob/1b3b9c5ba232734b1bda3453b4e20a0481bcdd74/codex-3000/originaux/DEADWALL_CODEX_SUPPLEMENT_1.23/FICHES_501_1000/DW-0760.md</x:v>
      </x:c>
      <x:c r="K765" t="str">
        <x:v>Source min 51,38 m ; max 51,38 m ; modèle 51 × 38 m ; niveaux 0. Détails dans catalogue-existant.json.</x:v>
      </x:c>
    </x:row>
    <x:row r="766">
      <x:c r="A766" t="str">
        <x:v>DW-0761</x:v>
      </x:c>
      <x:c r="B766" t="str">
        <x:v>DW-0761</x:v>
      </x:c>
      <x:c r="C766" t="str">
        <x:v>Parent historique</x:v>
      </x:c>
      <x:c r="D766" t="str">
        <x:v>habitat</x:v>
      </x:c>
      <x:c r="E766" t="str">
        <x:v>Immeuble résidentiel — variante 05</x:v>
      </x:c>
      <x:c r="F766" t="n">
        <x:v>8</x:v>
      </x:c>
      <x:c r="G766" t="n">
        <x:v>5</x:v>
      </x:c>
      <x:c r="H766" t="n">
        <x:v>0</x:v>
      </x:c>
      <x:c r="I766" t="str">
        <x:v>À qualifier par lieu</x:v>
      </x:c>
      <x:c r="J766" t="str">
        <x:v>https://github.com/darknigthmare/deadwall-last-enclosure/blob/1b3b9c5ba232734b1bda3453b4e20a0481bcdd74/codex-3000/originaux/DEADWALL_CODEX_SUPPLEMENT_1.23/FICHES_501_1000/DW-0761.md</x:v>
      </x:c>
      <x:c r="K766" t="str">
        <x:v>Source min 62,55 m ; max 62,55 m ; modèle 62 × 55 m ; niveaux 0, 1, 2. Détails dans catalogue-existant.json.</x:v>
      </x:c>
    </x:row>
    <x:row r="767">
      <x:c r="A767" t="str">
        <x:v>DW-0762</x:v>
      </x:c>
      <x:c r="B767" t="str">
        <x:v>DW-0762</x:v>
      </x:c>
      <x:c r="C767" t="str">
        <x:v>Parent historique</x:v>
      </x:c>
      <x:c r="D767" t="str">
        <x:v>habitat</x:v>
      </x:c>
      <x:c r="E767" t="str">
        <x:v>Barre de logements — variante 05</x:v>
      </x:c>
      <x:c r="F767" t="n">
        <x:v>8</x:v>
      </x:c>
      <x:c r="G767" t="n">
        <x:v>5</x:v>
      </x:c>
      <x:c r="H767" t="n">
        <x:v>0</x:v>
      </x:c>
      <x:c r="I767" t="str">
        <x:v>À qualifier par lieu</x:v>
      </x:c>
      <x:c r="J767" t="str">
        <x:v>https://github.com/darknigthmare/deadwall-last-enclosure/blob/1b3b9c5ba232734b1bda3453b4e20a0481bcdd74/codex-3000/originaux/DEADWALL_CODEX_SUPPLEMENT_1.23/FICHES_501_1000/DW-0762.md</x:v>
      </x:c>
      <x:c r="K767" t="str">
        <x:v>Source min 73,18 m ; max 73,18 m ; modèle 73 × 22 m ; niveaux 0, 1. Détails dans catalogue-existant.json.</x:v>
      </x:c>
    </x:row>
    <x:row r="768">
      <x:c r="A768" t="str">
        <x:v>DW-0763</x:v>
      </x:c>
      <x:c r="B768" t="str">
        <x:v>DW-0763</x:v>
      </x:c>
      <x:c r="C768" t="str">
        <x:v>Parent historique</x:v>
      </x:c>
      <x:c r="D768" t="str">
        <x:v>habitat</x:v>
      </x:c>
      <x:c r="E768" t="str">
        <x:v>Résidence senior — variante 05</x:v>
      </x:c>
      <x:c r="F768" t="n">
        <x:v>8</x:v>
      </x:c>
      <x:c r="G768" t="n">
        <x:v>5</x:v>
      </x:c>
      <x:c r="H768" t="n">
        <x:v>0</x:v>
      </x:c>
      <x:c r="I768" t="str">
        <x:v>À qualifier par lieu</x:v>
      </x:c>
      <x:c r="J768" t="str">
        <x:v>https://github.com/darknigthmare/deadwall-last-enclosure/blob/1b3b9c5ba232734b1bda3453b4e20a0481bcdd74/codex-3000/originaux/DEADWALL_CODEX_SUPPLEMENT_1.23/FICHES_501_1000/DW-0763.md</x:v>
      </x:c>
      <x:c r="K768" t="str">
        <x:v>Source min 12,35 m ; max 12,35 m ; modèle 26 × 35 m ; niveaux 0, 1, 2. Détails dans catalogue-existant.json.</x:v>
      </x:c>
    </x:row>
    <x:row r="769">
      <x:c r="A769" t="str">
        <x:v>DW-0764</x:v>
      </x:c>
      <x:c r="B769" t="str">
        <x:v>DW-0764</x:v>
      </x:c>
      <x:c r="C769" t="str">
        <x:v>Parent historique</x:v>
      </x:c>
      <x:c r="D769" t="str">
        <x:v>habitat</x:v>
      </x:c>
      <x:c r="E769" t="str">
        <x:v>Maison avec sous-sol — variante 05</x:v>
      </x:c>
      <x:c r="F769" t="n">
        <x:v>8</x:v>
      </x:c>
      <x:c r="G769" t="n">
        <x:v>5</x:v>
      </x:c>
      <x:c r="H769" t="n">
        <x:v>0</x:v>
      </x:c>
      <x:c r="I769" t="str">
        <x:v>À qualifier par lieu</x:v>
      </x:c>
      <x:c r="J769" t="str">
        <x:v>https://github.com/darknigthmare/deadwall-last-enclosure/blob/1b3b9c5ba232734b1bda3453b4e20a0481bcdd74/codex-3000/originaux/DEADWALL_CODEX_SUPPLEMENT_1.23/FICHES_501_1000/DW-0764.md</x:v>
      </x:c>
      <x:c r="K769" t="str">
        <x:v>Source min 23,52 m ; max 23,52 m ; modèle 26 × 52 m ; niveaux 0. Détails dans catalogue-existant.json.</x:v>
      </x:c>
    </x:row>
    <x:row r="770">
      <x:c r="A770" t="str">
        <x:v>DW-0765</x:v>
      </x:c>
      <x:c r="B770" t="str">
        <x:v>DW-0765</x:v>
      </x:c>
      <x:c r="C770" t="str">
        <x:v>Parent historique</x:v>
      </x:c>
      <x:c r="D770" t="str">
        <x:v>commerce</x:v>
      </x:c>
      <x:c r="E770" t="str">
        <x:v>Supérette — variante 05</x:v>
      </x:c>
      <x:c r="F770" t="n">
        <x:v>8</x:v>
      </x:c>
      <x:c r="G770" t="n">
        <x:v>5</x:v>
      </x:c>
      <x:c r="H770" t="n">
        <x:v>0</x:v>
      </x:c>
      <x:c r="I770" t="str">
        <x:v>À qualifier par lieu</x:v>
      </x:c>
      <x:c r="J770" t="str">
        <x:v>https://github.com/darknigthmare/deadwall-last-enclosure/blob/1b3b9c5ba232734b1bda3453b4e20a0481bcdd74/codex-3000/originaux/DEADWALL_CODEX_SUPPLEMENT_1.23/FICHES_501_1000/DW-0765.md</x:v>
      </x:c>
      <x:c r="K770" t="str">
        <x:v>Source min 34,15 m ; max 34,15 m ; modèle 34 × 22 m ; niveaux 0, 1. Détails dans catalogue-existant.json.</x:v>
      </x:c>
    </x:row>
    <x:row r="771">
      <x:c r="A771" t="str">
        <x:v>DW-0766</x:v>
      </x:c>
      <x:c r="B771" t="str">
        <x:v>DW-0766</x:v>
      </x:c>
      <x:c r="C771" t="str">
        <x:v>Parent historique</x:v>
      </x:c>
      <x:c r="D771" t="str">
        <x:v>commerce</x:v>
      </x:c>
      <x:c r="E771" t="str">
        <x:v>Centre commercial — variante 05</x:v>
      </x:c>
      <x:c r="F771" t="n">
        <x:v>8</x:v>
      </x:c>
      <x:c r="G771" t="n">
        <x:v>6</x:v>
      </x:c>
      <x:c r="H771" t="n">
        <x:v>0</x:v>
      </x:c>
      <x:c r="I771" t="str">
        <x:v>À qualifier par lieu</x:v>
      </x:c>
      <x:c r="J771" t="str">
        <x:v>https://github.com/darknigthmare/deadwall-last-enclosure/blob/1b3b9c5ba232734b1bda3453b4e20a0481bcdd74/codex-3000/originaux/DEADWALL_CODEX_SUPPLEMENT_1.23/FICHES_501_1000/DW-0766.md</x:v>
      </x:c>
      <x:c r="K771" t="str">
        <x:v>Source min 45,32 m ; max 45,32 m ; modèle 45 × 32 m ; niveaux 0. Détails dans catalogue-existant.json.</x:v>
      </x:c>
    </x:row>
    <x:row r="772">
      <x:c r="A772" t="str">
        <x:v>DW-0767</x:v>
      </x:c>
      <x:c r="B772" t="str">
        <x:v>DW-0767</x:v>
      </x:c>
      <x:c r="C772" t="str">
        <x:v>Parent historique</x:v>
      </x:c>
      <x:c r="D772" t="str">
        <x:v>commerce</x:v>
      </x:c>
      <x:c r="E772" t="str">
        <x:v>Supermarché — variante 05</x:v>
      </x:c>
      <x:c r="F772" t="n">
        <x:v>8</x:v>
      </x:c>
      <x:c r="G772" t="n">
        <x:v>7</x:v>
      </x:c>
      <x:c r="H772" t="n">
        <x:v>0</x:v>
      </x:c>
      <x:c r="I772" t="str">
        <x:v>À qualifier par lieu</x:v>
      </x:c>
      <x:c r="J772" t="str">
        <x:v>https://github.com/darknigthmare/deadwall-last-enclosure/blob/1b3b9c5ba232734b1bda3453b4e20a0481bcdd74/codex-3000/originaux/DEADWALL_CODEX_SUPPLEMENT_1.23/FICHES_501_1000/DW-0767.md</x:v>
      </x:c>
      <x:c r="K772" t="str">
        <x:v>Source min 56,49 m ; max 56,49 m ; modèle 56 × 49 m ; niveaux 0. Détails dans catalogue-existant.json.</x:v>
      </x:c>
    </x:row>
    <x:row r="773">
      <x:c r="A773" t="str">
        <x:v>DW-0768</x:v>
      </x:c>
      <x:c r="B773" t="str">
        <x:v>DW-0768</x:v>
      </x:c>
      <x:c r="C773" t="str">
        <x:v>Parent historique</x:v>
      </x:c>
      <x:c r="D773" t="str">
        <x:v>commerce</x:v>
      </x:c>
      <x:c r="E773" t="str">
        <x:v>Magasin de bricolage — variante 05</x:v>
      </x:c>
      <x:c r="F773" t="n">
        <x:v>8</x:v>
      </x:c>
      <x:c r="G773" t="n">
        <x:v>5</x:v>
      </x:c>
      <x:c r="H773" t="n">
        <x:v>0</x:v>
      </x:c>
      <x:c r="I773" t="str">
        <x:v>À qualifier par lieu</x:v>
      </x:c>
      <x:c r="J773" t="str">
        <x:v>https://github.com/darknigthmare/deadwall-last-enclosure/blob/1b3b9c5ba232734b1bda3453b4e20a0481bcdd74/codex-3000/originaux/DEADWALL_CODEX_SUPPLEMENT_1.23/FICHES_501_1000/DW-0768.md</x:v>
      </x:c>
      <x:c r="K773" t="str">
        <x:v>Source min 67,12 m ; max 67,12 m ; modèle 67 × 22 m ; niveaux 0. Détails dans catalogue-existant.json.</x:v>
      </x:c>
    </x:row>
    <x:row r="774">
      <x:c r="A774" t="str">
        <x:v>DW-0769</x:v>
      </x:c>
      <x:c r="B774" t="str">
        <x:v>DW-0769</x:v>
      </x:c>
      <x:c r="C774" t="str">
        <x:v>Parent historique</x:v>
      </x:c>
      <x:c r="D774" t="str">
        <x:v>commerce</x:v>
      </x:c>
      <x:c r="E774" t="str">
        <x:v>Pharmacie — variante 05</x:v>
      </x:c>
      <x:c r="F774" t="n">
        <x:v>8</x:v>
      </x:c>
      <x:c r="G774" t="n">
        <x:v>4</x:v>
      </x:c>
      <x:c r="H774" t="n">
        <x:v>0</x:v>
      </x:c>
      <x:c r="I774" t="str">
        <x:v>À qualifier par lieu</x:v>
      </x:c>
      <x:c r="J774" t="str">
        <x:v>https://github.com/darknigthmare/deadwall-last-enclosure/blob/1b3b9c5ba232734b1bda3453b4e20a0481bcdd74/codex-3000/originaux/DEADWALL_CODEX_SUPPLEMENT_1.23/FICHES_501_1000/DW-0769.md</x:v>
      </x:c>
      <x:c r="K774" t="str">
        <x:v>Source min 78,29 m ; max 78,29 m ; modèle 78 × 29 m ; niveaux 0, 1. Détails dans catalogue-existant.json.</x:v>
      </x:c>
    </x:row>
    <x:row r="775">
      <x:c r="A775" t="str">
        <x:v>DW-0770</x:v>
      </x:c>
      <x:c r="B775" t="str">
        <x:v>DW-0770</x:v>
      </x:c>
      <x:c r="C775" t="str">
        <x:v>Parent historique</x:v>
      </x:c>
      <x:c r="D775" t="str">
        <x:v>commerce</x:v>
      </x:c>
      <x:c r="E775" t="str">
        <x:v>Station-service — variante 05</x:v>
      </x:c>
      <x:c r="F775" t="n">
        <x:v>8</x:v>
      </x:c>
      <x:c r="G775" t="n">
        <x:v>5</x:v>
      </x:c>
      <x:c r="H775" t="n">
        <x:v>0</x:v>
      </x:c>
      <x:c r="I775" t="str">
        <x:v>À qualifier par lieu</x:v>
      </x:c>
      <x:c r="J775" t="str">
        <x:v>https://github.com/darknigthmare/deadwall-last-enclosure/blob/1b3b9c5ba232734b1bda3453b4e20a0481bcdd74/codex-3000/originaux/DEADWALL_CODEX_SUPPLEMENT_1.23/FICHES_501_1000/DW-0770.md</x:v>
      </x:c>
      <x:c r="K775" t="str">
        <x:v>Source min 17,46 m ; max 17,46 m ; modèle 26 × 46 m ; niveaux 0. Détails dans catalogue-existant.json.</x:v>
      </x:c>
    </x:row>
    <x:row r="776">
      <x:c r="A776" t="str">
        <x:v>DW-0771</x:v>
      </x:c>
      <x:c r="B776" t="str">
        <x:v>DW-0771</x:v>
      </x:c>
      <x:c r="C776" t="str">
        <x:v>Parent historique</x:v>
      </x:c>
      <x:c r="D776" t="str">
        <x:v>commerce</x:v>
      </x:c>
      <x:c r="E776" t="str">
        <x:v>Restaurant routier — variante 05</x:v>
      </x:c>
      <x:c r="F776" t="n">
        <x:v>8</x:v>
      </x:c>
      <x:c r="G776" t="n">
        <x:v>5</x:v>
      </x:c>
      <x:c r="H776" t="n">
        <x:v>0</x:v>
      </x:c>
      <x:c r="I776" t="str">
        <x:v>À qualifier par lieu</x:v>
      </x:c>
      <x:c r="J776" t="str">
        <x:v>https://github.com/darknigthmare/deadwall-last-enclosure/blob/1b3b9c5ba232734b1bda3453b4e20a0481bcdd74/codex-3000/originaux/DEADWALL_CODEX_SUPPLEMENT_1.23/FICHES_501_1000/DW-0771.md</x:v>
      </x:c>
      <x:c r="K776" t="str">
        <x:v>Source min 28,9 m ; max 28,9 m ; modèle 28 × 22 m ; niveaux 0. Détails dans catalogue-existant.json.</x:v>
      </x:c>
    </x:row>
    <x:row r="777">
      <x:c r="A777" t="str">
        <x:v>DW-0772</x:v>
      </x:c>
      <x:c r="B777" t="str">
        <x:v>DW-0772</x:v>
      </x:c>
      <x:c r="C777" t="str">
        <x:v>Parent historique</x:v>
      </x:c>
      <x:c r="D777" t="str">
        <x:v>commerce</x:v>
      </x:c>
      <x:c r="E777" t="str">
        <x:v>Hôtel — variante 05</x:v>
      </x:c>
      <x:c r="F777" t="n">
        <x:v>8</x:v>
      </x:c>
      <x:c r="G777" t="n">
        <x:v>6</x:v>
      </x:c>
      <x:c r="H777" t="n">
        <x:v>0</x:v>
      </x:c>
      <x:c r="I777" t="str">
        <x:v>À qualifier par lieu</x:v>
      </x:c>
      <x:c r="J777" t="str">
        <x:v>https://github.com/darknigthmare/deadwall-last-enclosure/blob/1b3b9c5ba232734b1bda3453b4e20a0481bcdd74/codex-3000/originaux/DEADWALL_CODEX_SUPPLEMENT_1.23/FICHES_501_1000/DW-0772.md</x:v>
      </x:c>
      <x:c r="K777" t="str">
        <x:v>Source min 39,26 m ; max 39,26 m ; modèle 39 × 26 m ; niveaux 0. Détails dans catalogue-existant.json.</x:v>
      </x:c>
    </x:row>
    <x:row r="778">
      <x:c r="A778" t="str">
        <x:v>DW-0773</x:v>
      </x:c>
      <x:c r="B778" t="str">
        <x:v>DW-0773</x:v>
      </x:c>
      <x:c r="C778" t="str">
        <x:v>Parent historique</x:v>
      </x:c>
      <x:c r="D778" t="str">
        <x:v>industrie</x:v>
      </x:c>
      <x:c r="E778" t="str">
        <x:v>Scierie — variante 05</x:v>
      </x:c>
      <x:c r="F778" t="n">
        <x:v>8</x:v>
      </x:c>
      <x:c r="G778" t="n">
        <x:v>5</x:v>
      </x:c>
      <x:c r="H778" t="n">
        <x:v>0</x:v>
      </x:c>
      <x:c r="I778" t="str">
        <x:v>À qualifier par lieu</x:v>
      </x:c>
      <x:c r="J778" t="str">
        <x:v>https://github.com/darknigthmare/deadwall-last-enclosure/blob/1b3b9c5ba232734b1bda3453b4e20a0481bcdd74/codex-3000/originaux/DEADWALL_CODEX_SUPPLEMENT_1.23/FICHES_501_1000/DW-0773.md</x:v>
      </x:c>
      <x:c r="K778" t="str">
        <x:v>Source min 50,43 m ; max 50,43 m ; modèle 50 × 43 m ; niveaux 0. Détails dans catalogue-existant.json.</x:v>
      </x:c>
    </x:row>
    <x:row r="779">
      <x:c r="A779" t="str">
        <x:v>DW-0774</x:v>
      </x:c>
      <x:c r="B779" t="str">
        <x:v>DW-0774</x:v>
      </x:c>
      <x:c r="C779" t="str">
        <x:v>Parent historique</x:v>
      </x:c>
      <x:c r="D779" t="str">
        <x:v>industrie</x:v>
      </x:c>
      <x:c r="E779" t="str">
        <x:v>Garage automobile — variante 05</x:v>
      </x:c>
      <x:c r="F779" t="n">
        <x:v>8</x:v>
      </x:c>
      <x:c r="G779" t="n">
        <x:v>5</x:v>
      </x:c>
      <x:c r="H779" t="n">
        <x:v>0</x:v>
      </x:c>
      <x:c r="I779" t="str">
        <x:v>À qualifier par lieu</x:v>
      </x:c>
      <x:c r="J779" t="str">
        <x:v>https://github.com/darknigthmare/deadwall-last-enclosure/blob/1b3b9c5ba232734b1bda3453b4e20a0481bcdd74/codex-3000/originaux/DEADWALL_CODEX_SUPPLEMENT_1.23/FICHES_501_1000/DW-0774.md</x:v>
      </x:c>
      <x:c r="K779" t="str">
        <x:v>Source min 61,60 m ; max 61,60 m ; modèle 61 × 60 m ; niveaux 0. Détails dans catalogue-existant.json.</x:v>
      </x:c>
    </x:row>
    <x:row r="780">
      <x:c r="A780" t="str">
        <x:v>DW-0775</x:v>
      </x:c>
      <x:c r="B780" t="str">
        <x:v>DW-0775</x:v>
      </x:c>
      <x:c r="C780" t="str">
        <x:v>Parent historique</x:v>
      </x:c>
      <x:c r="D780" t="str">
        <x:v>industrie</x:v>
      </x:c>
      <x:c r="E780" t="str">
        <x:v>Entrepôt logistique — variante 05</x:v>
      </x:c>
      <x:c r="F780" t="n">
        <x:v>8</x:v>
      </x:c>
      <x:c r="G780" t="n">
        <x:v>5</x:v>
      </x:c>
      <x:c r="H780" t="n">
        <x:v>0</x:v>
      </x:c>
      <x:c r="I780" t="str">
        <x:v>À qualifier par lieu</x:v>
      </x:c>
      <x:c r="J780" t="str">
        <x:v>https://github.com/darknigthmare/deadwall-last-enclosure/blob/1b3b9c5ba232734b1bda3453b4e20a0481bcdd74/codex-3000/originaux/DEADWALL_CODEX_SUPPLEMENT_1.23/FICHES_501_1000/DW-0775.md</x:v>
      </x:c>
      <x:c r="K780" t="str">
        <x:v>Source min 72,23 m ; max 72,23 m ; modèle 72 × 23 m ; niveaux 0. Détails dans catalogue-existant.json.</x:v>
      </x:c>
    </x:row>
    <x:row r="781">
      <x:c r="A781" t="str">
        <x:v>DW-0776</x:v>
      </x:c>
      <x:c r="B781" t="str">
        <x:v>DW-0776</x:v>
      </x:c>
      <x:c r="C781" t="str">
        <x:v>Parent historique</x:v>
      </x:c>
      <x:c r="D781" t="str">
        <x:v>industrie</x:v>
      </x:c>
      <x:c r="E781" t="str">
        <x:v>Petite usine — variante 05</x:v>
      </x:c>
      <x:c r="F781" t="n">
        <x:v>8</x:v>
      </x:c>
      <x:c r="G781" t="n">
        <x:v>5</x:v>
      </x:c>
      <x:c r="H781" t="n">
        <x:v>0</x:v>
      </x:c>
      <x:c r="I781" t="str">
        <x:v>À qualifier par lieu</x:v>
      </x:c>
      <x:c r="J781" t="str">
        <x:v>https://github.com/darknigthmare/deadwall-last-enclosure/blob/1b3b9c5ba232734b1bda3453b4e20a0481bcdd74/codex-3000/originaux/DEADWALL_CODEX_SUPPLEMENT_1.23/FICHES_501_1000/DW-0776.md</x:v>
      </x:c>
      <x:c r="K781" t="str">
        <x:v>Source min 11,40 m ; max 11,40 m ; modèle 26 × 40 m ; niveaux 0. Détails dans catalogue-existant.json.</x:v>
      </x:c>
    </x:row>
    <x:row r="782">
      <x:c r="A782" t="str">
        <x:v>DW-0777</x:v>
      </x:c>
      <x:c r="B782" t="str">
        <x:v>DW-0777</x:v>
      </x:c>
      <x:c r="C782" t="str">
        <x:v>Parent historique</x:v>
      </x:c>
      <x:c r="D782" t="str">
        <x:v>industrie</x:v>
      </x:c>
      <x:c r="E782" t="str">
        <x:v>Carrière — variante 05</x:v>
      </x:c>
      <x:c r="F782" t="n">
        <x:v>8</x:v>
      </x:c>
      <x:c r="G782" t="n">
        <x:v>5</x:v>
      </x:c>
      <x:c r="H782" t="n">
        <x:v>0</x:v>
      </x:c>
      <x:c r="I782" t="str">
        <x:v>À qualifier par lieu</x:v>
      </x:c>
      <x:c r="J782" t="str">
        <x:v>https://github.com/darknigthmare/deadwall-last-enclosure/blob/1b3b9c5ba232734b1bda3453b4e20a0481bcdd74/codex-3000/originaux/DEADWALL_CODEX_SUPPLEMENT_1.23/FICHES_501_1000/DW-0777.md</x:v>
      </x:c>
      <x:c r="K782" t="str">
        <x:v>Source min 22,57 m ; max 22,57 m ; modèle 26 × 57 m ; niveaux 0. Détails dans catalogue-existant.json.</x:v>
      </x:c>
    </x:row>
    <x:row r="783">
      <x:c r="A783" t="str">
        <x:v>DW-0778</x:v>
      </x:c>
      <x:c r="B783" t="str">
        <x:v>DW-0778</x:v>
      </x:c>
      <x:c r="C783" t="str">
        <x:v>Parent historique</x:v>
      </x:c>
      <x:c r="D783" t="str">
        <x:v>industrie</x:v>
      </x:c>
      <x:c r="E783" t="str">
        <x:v>Mine — variante 05</x:v>
      </x:c>
      <x:c r="F783" t="n">
        <x:v>8</x:v>
      </x:c>
      <x:c r="G783" t="n">
        <x:v>6</x:v>
      </x:c>
      <x:c r="H783" t="n">
        <x:v>0</x:v>
      </x:c>
      <x:c r="I783" t="str">
        <x:v>À qualifier par lieu</x:v>
      </x:c>
      <x:c r="J783" t="str">
        <x:v>https://github.com/darknigthmare/deadwall-last-enclosure/blob/1b3b9c5ba232734b1bda3453b4e20a0481bcdd74/codex-3000/originaux/DEADWALL_CODEX_SUPPLEMENT_1.23/FICHES_501_1000/DW-0778.md</x:v>
      </x:c>
      <x:c r="K783" t="str">
        <x:v>Source min 33,20 m ; max 33,20 m ; modèle 33 × 22 m ; niveaux 0. Détails dans catalogue-existant.json.</x:v>
      </x:c>
    </x:row>
    <x:row r="784">
      <x:c r="A784" t="str">
        <x:v>DW-0779</x:v>
      </x:c>
      <x:c r="B784" t="str">
        <x:v>DW-0779</x:v>
      </x:c>
      <x:c r="C784" t="str">
        <x:v>Parent historique</x:v>
      </x:c>
      <x:c r="D784" t="str">
        <x:v>industrie</x:v>
      </x:c>
      <x:c r="E784" t="str">
        <x:v>Centrale locale — variante 05</x:v>
      </x:c>
      <x:c r="F784" t="n">
        <x:v>8</x:v>
      </x:c>
      <x:c r="G784" t="n">
        <x:v>5</x:v>
      </x:c>
      <x:c r="H784" t="n">
        <x:v>0</x:v>
      </x:c>
      <x:c r="I784" t="str">
        <x:v>À qualifier par lieu</x:v>
      </x:c>
      <x:c r="J784" t="str">
        <x:v>https://github.com/darknigthmare/deadwall-last-enclosure/blob/1b3b9c5ba232734b1bda3453b4e20a0481bcdd74/codex-3000/originaux/DEADWALL_CODEX_SUPPLEMENT_1.23/FICHES_501_1000/DW-0779.md</x:v>
      </x:c>
      <x:c r="K784" t="str">
        <x:v>Source min 44,37 m ; max 44,37 m ; modèle 44 × 37 m ; niveaux 0. Détails dans catalogue-existant.json.</x:v>
      </x:c>
    </x:row>
    <x:row r="785">
      <x:c r="A785" t="str">
        <x:v>DW-0780</x:v>
      </x:c>
      <x:c r="B785" t="str">
        <x:v>DW-0780</x:v>
      </x:c>
      <x:c r="C785" t="str">
        <x:v>Parent historique</x:v>
      </x:c>
      <x:c r="D785" t="str">
        <x:v>industrie</x:v>
      </x:c>
      <x:c r="E785" t="str">
        <x:v>Station de pompage — variante 05</x:v>
      </x:c>
      <x:c r="F785" t="n">
        <x:v>8</x:v>
      </x:c>
      <x:c r="G785" t="n">
        <x:v>5</x:v>
      </x:c>
      <x:c r="H785" t="n">
        <x:v>0</x:v>
      </x:c>
      <x:c r="I785" t="str">
        <x:v>À qualifier par lieu</x:v>
      </x:c>
      <x:c r="J785" t="str">
        <x:v>https://github.com/darknigthmare/deadwall-last-enclosure/blob/1b3b9c5ba232734b1bda3453b4e20a0481bcdd74/codex-3000/originaux/DEADWALL_CODEX_SUPPLEMENT_1.23/FICHES_501_1000/DW-0780.md</x:v>
      </x:c>
      <x:c r="K785" t="str">
        <x:v>Source min 55,54 m ; max 55,54 m ; modèle 55 × 54 m ; niveaux 0. Détails dans catalogue-existant.json.</x:v>
      </x:c>
    </x:row>
    <x:row r="786">
      <x:c r="A786" t="str">
        <x:v>DW-0781</x:v>
      </x:c>
      <x:c r="B786" t="str">
        <x:v>DW-0781</x:v>
      </x:c>
      <x:c r="C786" t="str">
        <x:v>Parent historique</x:v>
      </x:c>
      <x:c r="D786" t="str">
        <x:v>public</x:v>
      </x:c>
      <x:c r="E786" t="str">
        <x:v>École — variante 05</x:v>
      </x:c>
      <x:c r="F786" t="n">
        <x:v>8</x:v>
      </x:c>
      <x:c r="G786" t="n">
        <x:v>5</x:v>
      </x:c>
      <x:c r="H786" t="n">
        <x:v>0</x:v>
      </x:c>
      <x:c r="I786" t="str">
        <x:v>À qualifier par lieu</x:v>
      </x:c>
      <x:c r="J786" t="str">
        <x:v>https://github.com/darknigthmare/deadwall-last-enclosure/blob/1b3b9c5ba232734b1bda3453b4e20a0481bcdd74/codex-3000/originaux/DEADWALL_CODEX_SUPPLEMENT_1.23/FICHES_501_1000/DW-0781.md</x:v>
      </x:c>
      <x:c r="K786" t="str">
        <x:v>Source min 66,17 m ; max 66,17 m ; modèle 66 × 22 m ; niveaux 0, 1. Détails dans catalogue-existant.json.</x:v>
      </x:c>
    </x:row>
    <x:row r="787">
      <x:c r="A787" t="str">
        <x:v>DW-0782</x:v>
      </x:c>
      <x:c r="B787" t="str">
        <x:v>DW-0782</x:v>
      </x:c>
      <x:c r="C787" t="str">
        <x:v>Parent historique</x:v>
      </x:c>
      <x:c r="D787" t="str">
        <x:v>public</x:v>
      </x:c>
      <x:c r="E787" t="str">
        <x:v>Mairie — variante 05</x:v>
      </x:c>
      <x:c r="F787" t="n">
        <x:v>8</x:v>
      </x:c>
      <x:c r="G787" t="n">
        <x:v>5</x:v>
      </x:c>
      <x:c r="H787" t="n">
        <x:v>0</x:v>
      </x:c>
      <x:c r="I787" t="str">
        <x:v>À qualifier par lieu</x:v>
      </x:c>
      <x:c r="J787" t="str">
        <x:v>https://github.com/darknigthmare/deadwall-last-enclosure/blob/1b3b9c5ba232734b1bda3453b4e20a0481bcdd74/codex-3000/originaux/DEADWALL_CODEX_SUPPLEMENT_1.23/FICHES_501_1000/DW-0782.md</x:v>
      </x:c>
      <x:c r="K787" t="str">
        <x:v>Source min 77,34 m ; max 77,34 m ; modèle 77 × 34 m ; niveaux 0. Détails dans catalogue-existant.json.</x:v>
      </x:c>
    </x:row>
    <x:row r="788">
      <x:c r="A788" t="str">
        <x:v>DW-0783</x:v>
      </x:c>
      <x:c r="B788" t="str">
        <x:v>DW-0783</x:v>
      </x:c>
      <x:c r="C788" t="str">
        <x:v>Parent historique</x:v>
      </x:c>
      <x:c r="D788" t="str">
        <x:v>public</x:v>
      </x:c>
      <x:c r="E788" t="str">
        <x:v>Clinique — variante 05</x:v>
      </x:c>
      <x:c r="F788" t="n">
        <x:v>8</x:v>
      </x:c>
      <x:c r="G788" t="n">
        <x:v>6</x:v>
      </x:c>
      <x:c r="H788" t="n">
        <x:v>0</x:v>
      </x:c>
      <x:c r="I788" t="str">
        <x:v>À qualifier par lieu</x:v>
      </x:c>
      <x:c r="J788" t="str">
        <x:v>https://github.com/darknigthmare/deadwall-last-enclosure/blob/1b3b9c5ba232734b1bda3453b4e20a0481bcdd74/codex-3000/originaux/DEADWALL_CODEX_SUPPLEMENT_1.23/FICHES_501_1000/DW-0783.md</x:v>
      </x:c>
      <x:c r="K788" t="str">
        <x:v>Source min 16,51 m ; max 16,51 m ; modèle 28 × 51 m ; niveaux 0. Détails dans catalogue-existant.json.</x:v>
      </x:c>
    </x:row>
    <x:row r="789">
      <x:c r="A789" t="str">
        <x:v>DW-0784</x:v>
      </x:c>
      <x:c r="B789" t="str">
        <x:v>DW-0784</x:v>
      </x:c>
      <x:c r="C789" t="str">
        <x:v>Parent historique</x:v>
      </x:c>
      <x:c r="D789" t="str">
        <x:v>public</x:v>
      </x:c>
      <x:c r="E789" t="str">
        <x:v>Caserne de pompiers — variante 05</x:v>
      </x:c>
      <x:c r="F789" t="n">
        <x:v>8</x:v>
      </x:c>
      <x:c r="G789" t="n">
        <x:v>6</x:v>
      </x:c>
      <x:c r="H789" t="n">
        <x:v>0</x:v>
      </x:c>
      <x:c r="I789" t="str">
        <x:v>À qualifier par lieu</x:v>
      </x:c>
      <x:c r="J789" t="str">
        <x:v>https://github.com/darknigthmare/deadwall-last-enclosure/blob/1b3b9c5ba232734b1bda3453b4e20a0481bcdd74/codex-3000/originaux/DEADWALL_CODEX_SUPPLEMENT_1.23/FICHES_501_1000/DW-0784.md</x:v>
      </x:c>
      <x:c r="K789" t="str">
        <x:v>Source min 27,14 m ; max 27,14 m ; modèle 28 × 22 m ; niveaux 0. Détails dans catalogue-existant.json.</x:v>
      </x:c>
    </x:row>
    <x:row r="790">
      <x:c r="A790" t="str">
        <x:v>DW-0785</x:v>
      </x:c>
      <x:c r="B790" t="str">
        <x:v>DW-0785</x:v>
      </x:c>
      <x:c r="C790" t="str">
        <x:v>Parent historique</x:v>
      </x:c>
      <x:c r="D790" t="str">
        <x:v>public</x:v>
      </x:c>
      <x:c r="E790" t="str">
        <x:v>Poste de police — variante 05</x:v>
      </x:c>
      <x:c r="F790" t="n">
        <x:v>8</x:v>
      </x:c>
      <x:c r="G790" t="n">
        <x:v>5</x:v>
      </x:c>
      <x:c r="H790" t="n">
        <x:v>0</x:v>
      </x:c>
      <x:c r="I790" t="str">
        <x:v>À qualifier par lieu</x:v>
      </x:c>
      <x:c r="J790" t="str">
        <x:v>https://github.com/darknigthmare/deadwall-last-enclosure/blob/1b3b9c5ba232734b1bda3453b4e20a0481bcdd74/codex-3000/originaux/DEADWALL_CODEX_SUPPLEMENT_1.23/FICHES_501_1000/DW-0785.md</x:v>
      </x:c>
      <x:c r="K790" t="str">
        <x:v>Source min 38,31 m ; max 38,31 m ; modèle 38 × 31 m ; niveaux 0, 1. Détails dans catalogue-existant.json.</x:v>
      </x:c>
    </x:row>
    <x:row r="791">
      <x:c r="A791" t="str">
        <x:v>DW-0786</x:v>
      </x:c>
      <x:c r="B791" t="str">
        <x:v>DW-0786</x:v>
      </x:c>
      <x:c r="C791" t="str">
        <x:v>Parent historique</x:v>
      </x:c>
      <x:c r="D791" t="str">
        <x:v>public</x:v>
      </x:c>
      <x:c r="E791" t="str">
        <x:v>Bibliothèque — variante 05</x:v>
      </x:c>
      <x:c r="F791" t="n">
        <x:v>8</x:v>
      </x:c>
      <x:c r="G791" t="n">
        <x:v>5</x:v>
      </x:c>
      <x:c r="H791" t="n">
        <x:v>0</x:v>
      </x:c>
      <x:c r="I791" t="str">
        <x:v>À qualifier par lieu</x:v>
      </x:c>
      <x:c r="J791" t="str">
        <x:v>https://github.com/darknigthmare/deadwall-last-enclosure/blob/1b3b9c5ba232734b1bda3453b4e20a0481bcdd74/codex-3000/originaux/DEADWALL_CODEX_SUPPLEMENT_1.23/FICHES_501_1000/DW-0786.md</x:v>
      </x:c>
      <x:c r="K791" t="str">
        <x:v>Source min 49,48 m ; max 49,48 m ; modèle 49 × 48 m ; niveaux 0. Détails dans catalogue-existant.json.</x:v>
      </x:c>
    </x:row>
    <x:row r="792">
      <x:c r="A792" t="str">
        <x:v>DW-0787</x:v>
      </x:c>
      <x:c r="B792" t="str">
        <x:v>DW-0787</x:v>
      </x:c>
      <x:c r="C792" t="str">
        <x:v>Parent historique</x:v>
      </x:c>
      <x:c r="D792" t="str">
        <x:v>public</x:v>
      </x:c>
      <x:c r="E792" t="str">
        <x:v>Salle des fêtes — variante 05</x:v>
      </x:c>
      <x:c r="F792" t="n">
        <x:v>8</x:v>
      </x:c>
      <x:c r="G792" t="n">
        <x:v>5</x:v>
      </x:c>
      <x:c r="H792" t="n">
        <x:v>0</x:v>
      </x:c>
      <x:c r="I792" t="str">
        <x:v>À qualifier par lieu</x:v>
      </x:c>
      <x:c r="J792" t="str">
        <x:v>https://github.com/darknigthmare/deadwall-last-enclosure/blob/1b3b9c5ba232734b1bda3453b4e20a0481bcdd74/codex-3000/originaux/DEADWALL_CODEX_SUPPLEMENT_1.23/FICHES_501_1000/DW-0787.md</x:v>
      </x:c>
      <x:c r="K792" t="str">
        <x:v>Source min 60,11 m ; max 60,11 m ; modèle 60 × 22 m ; niveaux 0. Détails dans catalogue-existant.json.</x:v>
      </x:c>
    </x:row>
    <x:row r="793">
      <x:c r="A793" t="str">
        <x:v>DW-0788</x:v>
      </x:c>
      <x:c r="B793" t="str">
        <x:v>DW-0788</x:v>
      </x:c>
      <x:c r="C793" t="str">
        <x:v>Parent historique</x:v>
      </x:c>
      <x:c r="D793" t="str">
        <x:v>public</x:v>
      </x:c>
      <x:c r="E793" t="str">
        <x:v>Église et presbytère — variante 05</x:v>
      </x:c>
      <x:c r="F793" t="n">
        <x:v>8</x:v>
      </x:c>
      <x:c r="G793" t="n">
        <x:v>5</x:v>
      </x:c>
      <x:c r="H793" t="n">
        <x:v>0</x:v>
      </x:c>
      <x:c r="I793" t="str">
        <x:v>À qualifier par lieu</x:v>
      </x:c>
      <x:c r="J793" t="str">
        <x:v>https://github.com/darknigthmare/deadwall-last-enclosure/blob/1b3b9c5ba232734b1bda3453b4e20a0481bcdd74/codex-3000/originaux/DEADWALL_CODEX_SUPPLEMENT_1.23/FICHES_501_1000/DW-0788.md</x:v>
      </x:c>
      <x:c r="K793" t="str">
        <x:v>Source min 71,28 m ; max 71,28 m ; modèle 71 × 28 m ; niveaux 0. Détails dans catalogue-existant.json.</x:v>
      </x:c>
    </x:row>
    <x:row r="794">
      <x:c r="A794" t="str">
        <x:v>DW-0789</x:v>
      </x:c>
      <x:c r="B794" t="str">
        <x:v>DW-0789</x:v>
      </x:c>
      <x:c r="C794" t="str">
        <x:v>Parent historique</x:v>
      </x:c>
      <x:c r="D794" t="str">
        <x:v>rural</x:v>
      </x:c>
      <x:c r="E794" t="str">
        <x:v>Hameau agricole — variante 05</x:v>
      </x:c>
      <x:c r="F794" t="n">
        <x:v>8</x:v>
      </x:c>
      <x:c r="G794" t="n">
        <x:v>6</x:v>
      </x:c>
      <x:c r="H794" t="n">
        <x:v>0</x:v>
      </x:c>
      <x:c r="I794" t="str">
        <x:v>À qualifier par lieu</x:v>
      </x:c>
      <x:c r="J794" t="str">
        <x:v>https://github.com/darknigthmare/deadwall-last-enclosure/blob/1b3b9c5ba232734b1bda3453b4e20a0481bcdd74/codex-3000/originaux/DEADWALL_CODEX_SUPPLEMENT_1.23/FICHES_501_1000/DW-0789.md</x:v>
      </x:c>
      <x:c r="K794" t="str">
        <x:v>Source min 10,45 m ; max 10,45 m ; modèle 28 × 45 m ; niveaux 0. Détails dans catalogue-existant.json.</x:v>
      </x:c>
    </x:row>
    <x:row r="795">
      <x:c r="A795" t="str">
        <x:v>DW-0790</x:v>
      </x:c>
      <x:c r="B795" t="str">
        <x:v>DW-0790</x:v>
      </x:c>
      <x:c r="C795" t="str">
        <x:v>Parent historique</x:v>
      </x:c>
      <x:c r="D795" t="str">
        <x:v>rural</x:v>
      </x:c>
      <x:c r="E795" t="str">
        <x:v>Cabane forestière — variante 05</x:v>
      </x:c>
      <x:c r="F795" t="n">
        <x:v>8</x:v>
      </x:c>
      <x:c r="G795" t="n">
        <x:v>4</x:v>
      </x:c>
      <x:c r="H795" t="n">
        <x:v>0</x:v>
      </x:c>
      <x:c r="I795" t="str">
        <x:v>À qualifier par lieu</x:v>
      </x:c>
      <x:c r="J795" t="str">
        <x:v>https://github.com/darknigthmare/deadwall-last-enclosure/blob/1b3b9c5ba232734b1bda3453b4e20a0481bcdd74/codex-3000/originaux/DEADWALL_CODEX_SUPPLEMENT_1.23/FICHES_501_1000/DW-0790.md</x:v>
      </x:c>
      <x:c r="K795" t="str">
        <x:v>Source min 21,62 m ; max 21,62 m ; modèle 25 × 62 m ; niveaux 0. Détails dans catalogue-existant.json.</x:v>
      </x:c>
    </x:row>
    <x:row r="796">
      <x:c r="A796" t="str">
        <x:v>DW-0791</x:v>
      </x:c>
      <x:c r="B796" t="str">
        <x:v>DW-0791</x:v>
      </x:c>
      <x:c r="C796" t="str">
        <x:v>Parent historique</x:v>
      </x:c>
      <x:c r="D796" t="str">
        <x:v>rural</x:v>
      </x:c>
      <x:c r="E796" t="str">
        <x:v>Dépôt forestier — variante 05</x:v>
      </x:c>
      <x:c r="F796" t="n">
        <x:v>8</x:v>
      </x:c>
      <x:c r="G796" t="n">
        <x:v>5</x:v>
      </x:c>
      <x:c r="H796" t="n">
        <x:v>0</x:v>
      </x:c>
      <x:c r="I796" t="str">
        <x:v>À qualifier par lieu</x:v>
      </x:c>
      <x:c r="J796" t="str">
        <x:v>https://github.com/darknigthmare/deadwall-last-enclosure/blob/1b3b9c5ba232734b1bda3453b4e20a0481bcdd74/codex-3000/originaux/DEADWALL_CODEX_SUPPLEMENT_1.23/FICHES_501_1000/DW-0791.md</x:v>
      </x:c>
      <x:c r="K796" t="str">
        <x:v>Source min 32,25 m ; max 32,25 m ; modèle 32 × 25 m ; niveaux 0. Détails dans catalogue-existant.json.</x:v>
      </x:c>
    </x:row>
    <x:row r="797">
      <x:c r="A797" t="str">
        <x:v>DW-0792</x:v>
      </x:c>
      <x:c r="B797" t="str">
        <x:v>DW-0792</x:v>
      </x:c>
      <x:c r="C797" t="str">
        <x:v>Parent historique</x:v>
      </x:c>
      <x:c r="D797" t="str">
        <x:v>rural</x:v>
      </x:c>
      <x:c r="E797" t="str">
        <x:v>Ferme céréalière — variante 05</x:v>
      </x:c>
      <x:c r="F797" t="n">
        <x:v>8</x:v>
      </x:c>
      <x:c r="G797" t="n">
        <x:v>5</x:v>
      </x:c>
      <x:c r="H797" t="n">
        <x:v>0</x:v>
      </x:c>
      <x:c r="I797" t="str">
        <x:v>À qualifier par lieu</x:v>
      </x:c>
      <x:c r="J797" t="str">
        <x:v>https://github.com/darknigthmare/deadwall-last-enclosure/blob/1b3b9c5ba232734b1bda3453b4e20a0481bcdd74/codex-3000/originaux/DEADWALL_CODEX_SUPPLEMENT_1.23/FICHES_501_1000/DW-0792.md</x:v>
      </x:c>
      <x:c r="K797" t="str">
        <x:v>Source min 43,42 m ; max 43,42 m ; modèle 43 × 42 m ; niveaux 0. Détails dans catalogue-existant.json.</x:v>
      </x:c>
    </x:row>
    <x:row r="798">
      <x:c r="A798" t="str">
        <x:v>DW-0793</x:v>
      </x:c>
      <x:c r="B798" t="str">
        <x:v>DW-0793</x:v>
      </x:c>
      <x:c r="C798" t="str">
        <x:v>Parent historique</x:v>
      </x:c>
      <x:c r="D798" t="str">
        <x:v>rural</x:v>
      </x:c>
      <x:c r="E798" t="str">
        <x:v>Ferme d'élevage — variante 05</x:v>
      </x:c>
      <x:c r="F798" t="n">
        <x:v>8</x:v>
      </x:c>
      <x:c r="G798" t="n">
        <x:v>5</x:v>
      </x:c>
      <x:c r="H798" t="n">
        <x:v>0</x:v>
      </x:c>
      <x:c r="I798" t="str">
        <x:v>À qualifier par lieu</x:v>
      </x:c>
      <x:c r="J798" t="str">
        <x:v>https://github.com/darknigthmare/deadwall-last-enclosure/blob/1b3b9c5ba232734b1bda3453b4e20a0481bcdd74/codex-3000/originaux/DEADWALL_CODEX_SUPPLEMENT_1.23/FICHES_501_1000/DW-0793.md</x:v>
      </x:c>
      <x:c r="K798" t="str">
        <x:v>Source min 54,59 m ; max 54,59 m ; modèle 54 × 59 m ; niveaux 0. Détails dans catalogue-existant.json.</x:v>
      </x:c>
    </x:row>
    <x:row r="799">
      <x:c r="A799" t="str">
        <x:v>DW-0794</x:v>
      </x:c>
      <x:c r="B799" t="str">
        <x:v>DW-0794</x:v>
      </x:c>
      <x:c r="C799" t="str">
        <x:v>Parent historique</x:v>
      </x:c>
      <x:c r="D799" t="str">
        <x:v>rural</x:v>
      </x:c>
      <x:c r="E799" t="str">
        <x:v>Relais de chasse — variante 05</x:v>
      </x:c>
      <x:c r="F799" t="n">
        <x:v>8</x:v>
      </x:c>
      <x:c r="G799" t="n">
        <x:v>4</x:v>
      </x:c>
      <x:c r="H799" t="n">
        <x:v>0</x:v>
      </x:c>
      <x:c r="I799" t="str">
        <x:v>À qualifier par lieu</x:v>
      </x:c>
      <x:c r="J799" t="str">
        <x:v>https://github.com/darknigthmare/deadwall-last-enclosure/blob/1b3b9c5ba232734b1bda3453b4e20a0481bcdd74/codex-3000/originaux/DEADWALL_CODEX_SUPPLEMENT_1.23/FICHES_501_1000/DW-0794.md</x:v>
      </x:c>
      <x:c r="K799" t="str">
        <x:v>Source min 65,22 m ; max 65,22 m ; modèle 65 × 22 m ; niveaux 0. Détails dans catalogue-existant.json.</x:v>
      </x:c>
    </x:row>
    <x:row r="800">
      <x:c r="A800" t="str">
        <x:v>DW-0795</x:v>
      </x:c>
      <x:c r="B800" t="str">
        <x:v>DW-0795</x:v>
      </x:c>
      <x:c r="C800" t="str">
        <x:v>Parent historique</x:v>
      </x:c>
      <x:c r="D800" t="str">
        <x:v>rural</x:v>
      </x:c>
      <x:c r="E800" t="str">
        <x:v>Moulin rural — variante 05</x:v>
      </x:c>
      <x:c r="F800" t="n">
        <x:v>8</x:v>
      </x:c>
      <x:c r="G800" t="n">
        <x:v>4</x:v>
      </x:c>
      <x:c r="H800" t="n">
        <x:v>0</x:v>
      </x:c>
      <x:c r="I800" t="str">
        <x:v>À qualifier par lieu</x:v>
      </x:c>
      <x:c r="J800" t="str">
        <x:v>https://github.com/darknigthmare/deadwall-last-enclosure/blob/1b3b9c5ba232734b1bda3453b4e20a0481bcdd74/codex-3000/originaux/DEADWALL_CODEX_SUPPLEMENT_1.23/FICHES_501_1000/DW-0795.md</x:v>
      </x:c>
      <x:c r="K800" t="str">
        <x:v>Source min 76,39 m ; max 76,39 m ; modèle 76 × 39 m ; niveaux 0. Détails dans catalogue-existant.json.</x:v>
      </x:c>
    </x:row>
    <x:row r="801">
      <x:c r="A801" t="str">
        <x:v>DW-0796</x:v>
      </x:c>
      <x:c r="B801" t="str">
        <x:v>DW-0796</x:v>
      </x:c>
      <x:c r="C801" t="str">
        <x:v>Parent historique</x:v>
      </x:c>
      <x:c r="D801" t="str">
        <x:v>rural</x:v>
      </x:c>
      <x:c r="E801" t="str">
        <x:v>Serres maraîchères — variante 05</x:v>
      </x:c>
      <x:c r="F801" t="n">
        <x:v>8</x:v>
      </x:c>
      <x:c r="G801" t="n">
        <x:v>5</x:v>
      </x:c>
      <x:c r="H801" t="n">
        <x:v>0</x:v>
      </x:c>
      <x:c r="I801" t="str">
        <x:v>À qualifier par lieu</x:v>
      </x:c>
      <x:c r="J801" t="str">
        <x:v>https://github.com/darknigthmare/deadwall-last-enclosure/blob/1b3b9c5ba232734b1bda3453b4e20a0481bcdd74/codex-3000/originaux/DEADWALL_CODEX_SUPPLEMENT_1.23/FICHES_501_1000/DW-0796.md</x:v>
      </x:c>
      <x:c r="K801" t="str">
        <x:v>Source min 15,56 m ; max 15,56 m ; modèle 26 × 56 m ; niveaux 0. Détails dans catalogue-existant.json.</x:v>
      </x:c>
    </x:row>
    <x:row r="802">
      <x:c r="A802" t="str">
        <x:v>DW-0797</x:v>
      </x:c>
      <x:c r="B802" t="str">
        <x:v>DW-0797</x:v>
      </x:c>
      <x:c r="C802" t="str">
        <x:v>Parent historique</x:v>
      </x:c>
      <x:c r="D802" t="str">
        <x:v>militaire</x:v>
      </x:c>
      <x:c r="E802" t="str">
        <x:v>Bunker de défense civile — variante 05</x:v>
      </x:c>
      <x:c r="F802" t="n">
        <x:v>8</x:v>
      </x:c>
      <x:c r="G802" t="n">
        <x:v>6</x:v>
      </x:c>
      <x:c r="H802" t="n">
        <x:v>0</x:v>
      </x:c>
      <x:c r="I802" t="str">
        <x:v>À qualifier par lieu</x:v>
      </x:c>
      <x:c r="J802" t="str">
        <x:v>https://github.com/darknigthmare/deadwall-last-enclosure/blob/1b3b9c5ba232734b1bda3453b4e20a0481bcdd74/codex-3000/originaux/DEADWALL_CODEX_SUPPLEMENT_1.23/FICHES_501_1000/DW-0797.md</x:v>
      </x:c>
      <x:c r="K802" t="str">
        <x:v>Source min 26,19 m ; max 26,19 m ; modèle 28 × 22 m ; niveaux 0, 1. Détails dans catalogue-existant.json.</x:v>
      </x:c>
    </x:row>
    <x:row r="803">
      <x:c r="A803" t="str">
        <x:v>DW-0798</x:v>
      </x:c>
      <x:c r="B803" t="str">
        <x:v>DW-0798</x:v>
      </x:c>
      <x:c r="C803" t="str">
        <x:v>Parent historique</x:v>
      </x:c>
      <x:c r="D803" t="str">
        <x:v>militaire</x:v>
      </x:c>
      <x:c r="E803" t="str">
        <x:v>Dépôt militaire — variante 05</x:v>
      </x:c>
      <x:c r="F803" t="n">
        <x:v>8</x:v>
      </x:c>
      <x:c r="G803" t="n">
        <x:v>5</x:v>
      </x:c>
      <x:c r="H803" t="n">
        <x:v>0</x:v>
      </x:c>
      <x:c r="I803" t="str">
        <x:v>À qualifier par lieu</x:v>
      </x:c>
      <x:c r="J803" t="str">
        <x:v>https://github.com/darknigthmare/deadwall-last-enclosure/blob/1b3b9c5ba232734b1bda3453b4e20a0481bcdd74/codex-3000/originaux/DEADWALL_CODEX_SUPPLEMENT_1.23/FICHES_501_1000/DW-0798.md</x:v>
      </x:c>
      <x:c r="K803" t="str">
        <x:v>Source min 37,36 m ; max 37,36 m ; modèle 37 × 36 m ; niveaux 0. Détails dans catalogue-existant.json.</x:v>
      </x:c>
    </x:row>
    <x:row r="804">
      <x:c r="A804" t="str">
        <x:v>DW-0799</x:v>
      </x:c>
      <x:c r="B804" t="str">
        <x:v>DW-0799</x:v>
      </x:c>
      <x:c r="C804" t="str">
        <x:v>Parent historique</x:v>
      </x:c>
      <x:c r="D804" t="str">
        <x:v>militaire</x:v>
      </x:c>
      <x:c r="E804" t="str">
        <x:v>Poste de contrôle — variante 05</x:v>
      </x:c>
      <x:c r="F804" t="n">
        <x:v>8</x:v>
      </x:c>
      <x:c r="G804" t="n">
        <x:v>5</x:v>
      </x:c>
      <x:c r="H804" t="n">
        <x:v>0</x:v>
      </x:c>
      <x:c r="I804" t="str">
        <x:v>À qualifier par lieu</x:v>
      </x:c>
      <x:c r="J804" t="str">
        <x:v>https://github.com/darknigthmare/deadwall-last-enclosure/blob/1b3b9c5ba232734b1bda3453b4e20a0481bcdd74/codex-3000/originaux/DEADWALL_CODEX_SUPPLEMENT_1.23/FICHES_501_1000/DW-0799.md</x:v>
      </x:c>
      <x:c r="K804" t="str">
        <x:v>Source min 48,53 m ; max 48,53 m ; modèle 48 × 53 m ; niveaux 0. Détails dans catalogue-existant.json.</x:v>
      </x:c>
    </x:row>
    <x:row r="805">
      <x:c r="A805" t="str">
        <x:v>DW-0800</x:v>
      </x:c>
      <x:c r="B805" t="str">
        <x:v>DW-0800</x:v>
      </x:c>
      <x:c r="C805" t="str">
        <x:v>Parent historique</x:v>
      </x:c>
      <x:c r="D805" t="str">
        <x:v>militaire</x:v>
      </x:c>
      <x:c r="E805" t="str">
        <x:v>Camp retranché abandonné — variante 05</x:v>
      </x:c>
      <x:c r="F805" t="n">
        <x:v>8</x:v>
      </x:c>
      <x:c r="G805" t="n">
        <x:v>5</x:v>
      </x:c>
      <x:c r="H805" t="n">
        <x:v>0</x:v>
      </x:c>
      <x:c r="I805" t="str">
        <x:v>À qualifier par lieu</x:v>
      </x:c>
      <x:c r="J805" t="str">
        <x:v>https://github.com/darknigthmare/deadwall-last-enclosure/blob/1b3b9c5ba232734b1bda3453b4e20a0481bcdd74/codex-3000/originaux/DEADWALL_CODEX_SUPPLEMENT_1.23/FICHES_501_1000/DW-0800.md</x:v>
      </x:c>
      <x:c r="K805" t="str">
        <x:v>Source min 59,16 m ; max 59,16 m ; modèle 59 × 22 m ; niveaux 0. Détails dans catalogue-existant.json.</x:v>
      </x:c>
    </x:row>
    <x:row r="806">
      <x:c r="A806" t="str">
        <x:v>DW-0801</x:v>
      </x:c>
      <x:c r="B806" t="str">
        <x:v>DW-0801</x:v>
      </x:c>
      <x:c r="C806" t="str">
        <x:v>Parent historique</x:v>
      </x:c>
      <x:c r="D806" t="str">
        <x:v>militaire</x:v>
      </x:c>
      <x:c r="E806" t="str">
        <x:v>Abri ferroviaire — variante 05</x:v>
      </x:c>
      <x:c r="F806" t="n">
        <x:v>8</x:v>
      </x:c>
      <x:c r="G806" t="n">
        <x:v>4</x:v>
      </x:c>
      <x:c r="H806" t="n">
        <x:v>0</x:v>
      </x:c>
      <x:c r="I806" t="str">
        <x:v>À qualifier par lieu</x:v>
      </x:c>
      <x:c r="J806" t="str">
        <x:v>https://github.com/darknigthmare/deadwall-last-enclosure/blob/1b3b9c5ba232734b1bda3453b4e20a0481bcdd74/codex-3000/originaux/DEADWALL_CODEX_SUPPLEMENT_1.23/FICHES_501_1000/DW-0801.md</x:v>
      </x:c>
      <x:c r="K806" t="str">
        <x:v>Source min 70,33 m ; max 70,33 m ; modèle 70 × 33 m ; niveaux 0. Détails dans catalogue-existant.json.</x:v>
      </x:c>
    </x:row>
    <x:row r="807">
      <x:c r="A807" t="str">
        <x:v>DW-0802</x:v>
      </x:c>
      <x:c r="B807" t="str">
        <x:v>DW-0802</x:v>
      </x:c>
      <x:c r="C807" t="str">
        <x:v>Parent historique</x:v>
      </x:c>
      <x:c r="D807" t="str">
        <x:v>militaire</x:v>
      </x:c>
      <x:c r="E807" t="str">
        <x:v>Site radar — variante 05</x:v>
      </x:c>
      <x:c r="F807" t="n">
        <x:v>8</x:v>
      </x:c>
      <x:c r="G807" t="n">
        <x:v>5</x:v>
      </x:c>
      <x:c r="H807" t="n">
        <x:v>0</x:v>
      </x:c>
      <x:c r="I807" t="str">
        <x:v>À qualifier par lieu</x:v>
      </x:c>
      <x:c r="J807" t="str">
        <x:v>https://github.com/darknigthmare/deadwall-last-enclosure/blob/1b3b9c5ba232734b1bda3453b4e20a0481bcdd74/codex-3000/originaux/DEADWALL_CODEX_SUPPLEMENT_1.23/FICHES_501_1000/DW-0802.md</x:v>
      </x:c>
      <x:c r="K807" t="str">
        <x:v>Source min 81,50 m ; max 81,50 m ; modèle 78 × 50 m ; niveaux 0. Détails dans catalogue-existant.json.</x:v>
      </x:c>
    </x:row>
    <x:row r="808">
      <x:c r="A808" t="str">
        <x:v>DW-0803</x:v>
      </x:c>
      <x:c r="B808" t="str">
        <x:v>DW-0803</x:v>
      </x:c>
      <x:c r="C808" t="str">
        <x:v>Parent historique</x:v>
      </x:c>
      <x:c r="D808" t="str">
        <x:v>militaire</x:v>
      </x:c>
      <x:c r="E808" t="str">
        <x:v>Batterie côtière — variante 05</x:v>
      </x:c>
      <x:c r="F808" t="n">
        <x:v>8</x:v>
      </x:c>
      <x:c r="G808" t="n">
        <x:v>4</x:v>
      </x:c>
      <x:c r="H808" t="n">
        <x:v>0</x:v>
      </x:c>
      <x:c r="I808" t="str">
        <x:v>À qualifier par lieu</x:v>
      </x:c>
      <x:c r="J808" t="str">
        <x:v>https://github.com/darknigthmare/deadwall-last-enclosure/blob/1b3b9c5ba232734b1bda3453b4e20a0481bcdd74/codex-3000/originaux/DEADWALL_CODEX_SUPPLEMENT_1.23/FICHES_501_1000/DW-0803.md</x:v>
      </x:c>
      <x:c r="K808" t="str">
        <x:v>Source min 20,13 m ; max 20,13 m ; modèle 25 × 18 m ; niveaux 0. Détails dans catalogue-existant.json.</x:v>
      </x:c>
    </x:row>
    <x:row r="809">
      <x:c r="A809" t="str">
        <x:v>DW-0804</x:v>
      </x:c>
      <x:c r="B809" t="str">
        <x:v>DW-0804</x:v>
      </x:c>
      <x:c r="C809" t="str">
        <x:v>Parent historique</x:v>
      </x:c>
      <x:c r="D809" t="str">
        <x:v>militaire</x:v>
      </x:c>
      <x:c r="E809" t="str">
        <x:v>Dépôt carburant sécurisé — variante 05</x:v>
      </x:c>
      <x:c r="F809" t="n">
        <x:v>8</x:v>
      </x:c>
      <x:c r="G809" t="n">
        <x:v>5</x:v>
      </x:c>
      <x:c r="H809" t="n">
        <x:v>0</x:v>
      </x:c>
      <x:c r="I809" t="str">
        <x:v>À qualifier par lieu</x:v>
      </x:c>
      <x:c r="J809" t="str">
        <x:v>https://github.com/darknigthmare/deadwall-last-enclosure/blob/1b3b9c5ba232734b1bda3453b4e20a0481bcdd74/codex-3000/originaux/DEADWALL_CODEX_SUPPLEMENT_1.23/FICHES_501_1000/DW-0804.md</x:v>
      </x:c>
      <x:c r="K809" t="str">
        <x:v>Source min 31,30 m ; max 31,30 m ; modèle 31 × 30 m ; niveaux 0. Détails dans catalogue-existant.json.</x:v>
      </x:c>
    </x:row>
    <x:row r="810">
      <x:c r="A810" t="str">
        <x:v>DW-0805</x:v>
      </x:c>
      <x:c r="B810" t="str">
        <x:v>DW-0805</x:v>
      </x:c>
      <x:c r="C810" t="str">
        <x:v>Parent historique</x:v>
      </x:c>
      <x:c r="D810" t="str">
        <x:v>transport</x:v>
      </x:c>
      <x:c r="E810" t="str">
        <x:v>Gare routière — variante 05</x:v>
      </x:c>
      <x:c r="F810" t="n">
        <x:v>8</x:v>
      </x:c>
      <x:c r="G810" t="n">
        <x:v>5</x:v>
      </x:c>
      <x:c r="H810" t="n">
        <x:v>0</x:v>
      </x:c>
      <x:c r="I810" t="str">
        <x:v>À qualifier par lieu</x:v>
      </x:c>
      <x:c r="J810" t="str">
        <x:v>https://github.com/darknigthmare/deadwall-last-enclosure/blob/1b3b9c5ba232734b1bda3453b4e20a0481bcdd74/codex-3000/originaux/DEADWALL_CODEX_SUPPLEMENT_1.23/FICHES_501_1000/DW-0805.md</x:v>
      </x:c>
      <x:c r="K810" t="str">
        <x:v>Source min 42,47 m ; max 42,47 m ; modèle 42 × 47 m ; niveaux 0. Détails dans catalogue-existant.json.</x:v>
      </x:c>
    </x:row>
    <x:row r="811">
      <x:c r="A811" t="str">
        <x:v>DW-0806</x:v>
      </x:c>
      <x:c r="B811" t="str">
        <x:v>DW-0806</x:v>
      </x:c>
      <x:c r="C811" t="str">
        <x:v>Parent historique</x:v>
      </x:c>
      <x:c r="D811" t="str">
        <x:v>transport</x:v>
      </x:c>
      <x:c r="E811" t="str">
        <x:v>Dépôt de bus — variante 05</x:v>
      </x:c>
      <x:c r="F811" t="n">
        <x:v>8</x:v>
      </x:c>
      <x:c r="G811" t="n">
        <x:v>5</x:v>
      </x:c>
      <x:c r="H811" t="n">
        <x:v>0</x:v>
      </x:c>
      <x:c r="I811" t="str">
        <x:v>À qualifier par lieu</x:v>
      </x:c>
      <x:c r="J811" t="str">
        <x:v>https://github.com/darknigthmare/deadwall-last-enclosure/blob/1b3b9c5ba232734b1bda3453b4e20a0481bcdd74/codex-3000/originaux/DEADWALL_CODEX_SUPPLEMENT_1.23/FICHES_501_1000/DW-0806.md</x:v>
      </x:c>
      <x:c r="K811" t="str">
        <x:v>Source min 53,10 m ; max 53,10 m ; modèle 53 × 22 m ; niveaux 0. Détails dans catalogue-existant.json.</x:v>
      </x:c>
    </x:row>
    <x:row r="812">
      <x:c r="A812" t="str">
        <x:v>DW-0807</x:v>
      </x:c>
      <x:c r="B812" t="str">
        <x:v>DW-0807</x:v>
      </x:c>
      <x:c r="C812" t="str">
        <x:v>Parent historique</x:v>
      </x:c>
      <x:c r="D812" t="str">
        <x:v>transport</x:v>
      </x:c>
      <x:c r="E812" t="str">
        <x:v>Gare ferroviaire — variante 05</x:v>
      </x:c>
      <x:c r="F812" t="n">
        <x:v>8</x:v>
      </x:c>
      <x:c r="G812" t="n">
        <x:v>5</x:v>
      </x:c>
      <x:c r="H812" t="n">
        <x:v>0</x:v>
      </x:c>
      <x:c r="I812" t="str">
        <x:v>À qualifier par lieu</x:v>
      </x:c>
      <x:c r="J812" t="str">
        <x:v>https://github.com/darknigthmare/deadwall-last-enclosure/blob/1b3b9c5ba232734b1bda3453b4e20a0481bcdd74/codex-3000/originaux/DEADWALL_CODEX_SUPPLEMENT_1.23/FICHES_501_1000/DW-0807.md</x:v>
      </x:c>
      <x:c r="K812" t="str">
        <x:v>Source min 64,27 m ; max 64,27 m ; modèle 64 × 27 m ; niveaux 0. Détails dans catalogue-existant.json.</x:v>
      </x:c>
    </x:row>
    <x:row r="813">
      <x:c r="A813" t="str">
        <x:v>DW-0808</x:v>
      </x:c>
      <x:c r="B813" t="str">
        <x:v>DW-0808</x:v>
      </x:c>
      <x:c r="C813" t="str">
        <x:v>Parent historique</x:v>
      </x:c>
      <x:c r="D813" t="str">
        <x:v>transport</x:v>
      </x:c>
      <x:c r="E813" t="str">
        <x:v>Aire d'autoroute — variante 05</x:v>
      </x:c>
      <x:c r="F813" t="n">
        <x:v>8</x:v>
      </x:c>
      <x:c r="G813" t="n">
        <x:v>5</x:v>
      </x:c>
      <x:c r="H813" t="n">
        <x:v>0</x:v>
      </x:c>
      <x:c r="I813" t="str">
        <x:v>À qualifier par lieu</x:v>
      </x:c>
      <x:c r="J813" t="str">
        <x:v>https://github.com/darknigthmare/deadwall-last-enclosure/blob/1b3b9c5ba232734b1bda3453b4e20a0481bcdd74/codex-3000/originaux/DEADWALL_CODEX_SUPPLEMENT_1.23/FICHES_501_1000/DW-0808.md</x:v>
      </x:c>
      <x:c r="K813" t="str">
        <x:v>Source min 75,44 m ; max 75,44 m ; modèle 75 × 44 m ; niveaux 0. Détails dans catalogue-existant.json.</x:v>
      </x:c>
    </x:row>
    <x:row r="814">
      <x:c r="A814" t="str">
        <x:v>DW-0809</x:v>
      </x:c>
      <x:c r="B814" t="str">
        <x:v>DW-0809</x:v>
      </x:c>
      <x:c r="C814" t="str">
        <x:v>Parent historique</x:v>
      </x:c>
      <x:c r="D814" t="str">
        <x:v>transport</x:v>
      </x:c>
      <x:c r="E814" t="str">
        <x:v>Parking silo — variante 05</x:v>
      </x:c>
      <x:c r="F814" t="n">
        <x:v>8</x:v>
      </x:c>
      <x:c r="G814" t="n">
        <x:v>4</x:v>
      </x:c>
      <x:c r="H814" t="n">
        <x:v>0</x:v>
      </x:c>
      <x:c r="I814" t="str">
        <x:v>À qualifier par lieu</x:v>
      </x:c>
      <x:c r="J814" t="str">
        <x:v>https://github.com/darknigthmare/deadwall-last-enclosure/blob/1b3b9c5ba232734b1bda3453b4e20a0481bcdd74/codex-3000/originaux/DEADWALL_CODEX_SUPPLEMENT_1.23/FICHES_501_1000/DW-0809.md</x:v>
      </x:c>
      <x:c r="K814" t="str">
        <x:v>Source min 14,61 m ; max 14,61 m ; modèle 25 × 61 m ; niveaux 0. Détails dans catalogue-existant.json.</x:v>
      </x:c>
    </x:row>
    <x:row r="815">
      <x:c r="A815" t="str">
        <x:v>DW-0810</x:v>
      </x:c>
      <x:c r="B815" t="str">
        <x:v>DW-0810</x:v>
      </x:c>
      <x:c r="C815" t="str">
        <x:v>Parent historique</x:v>
      </x:c>
      <x:c r="D815" t="str">
        <x:v>transport</x:v>
      </x:c>
      <x:c r="E815" t="str">
        <x:v>Terminal poids lourds — variante 05</x:v>
      </x:c>
      <x:c r="F815" t="n">
        <x:v>8</x:v>
      </x:c>
      <x:c r="G815" t="n">
        <x:v>5</x:v>
      </x:c>
      <x:c r="H815" t="n">
        <x:v>0</x:v>
      </x:c>
      <x:c r="I815" t="str">
        <x:v>À qualifier par lieu</x:v>
      </x:c>
      <x:c r="J815" t="str">
        <x:v>https://github.com/darknigthmare/deadwall-last-enclosure/blob/1b3b9c5ba232734b1bda3453b4e20a0481bcdd74/codex-3000/originaux/DEADWALL_CODEX_SUPPLEMENT_1.23/FICHES_501_1000/DW-0810.md</x:v>
      </x:c>
      <x:c r="K815" t="str">
        <x:v>Source min 25,24 m ; max 25,24 m ; modèle 26 × 24 m ; niveaux 0. Détails dans catalogue-existant.json.</x:v>
      </x:c>
    </x:row>
    <x:row r="816">
      <x:c r="A816" t="str">
        <x:v>DW-0811</x:v>
      </x:c>
      <x:c r="B816" t="str">
        <x:v>DW-0811</x:v>
      </x:c>
      <x:c r="C816" t="str">
        <x:v>Parent historique</x:v>
      </x:c>
      <x:c r="D816" t="str">
        <x:v>transport</x:v>
      </x:c>
      <x:c r="E816" t="str">
        <x:v>Port de plaisance — variante 05</x:v>
      </x:c>
      <x:c r="F816" t="n">
        <x:v>8</x:v>
      </x:c>
      <x:c r="G816" t="n">
        <x:v>5</x:v>
      </x:c>
      <x:c r="H816" t="n">
        <x:v>0</x:v>
      </x:c>
      <x:c r="I816" t="str">
        <x:v>À qualifier par lieu</x:v>
      </x:c>
      <x:c r="J816" t="str">
        <x:v>https://github.com/darknigthmare/deadwall-last-enclosure/blob/1b3b9c5ba232734b1bda3453b4e20a0481bcdd74/codex-3000/originaux/DEADWALL_CODEX_SUPPLEMENT_1.23/FICHES_501_1000/DW-0811.md</x:v>
      </x:c>
      <x:c r="K816" t="str">
        <x:v>Source min 36,41 m ; max 36,41 m ; modèle 36 × 41 m ; niveaux 0. Détails dans catalogue-existant.json.</x:v>
      </x:c>
    </x:row>
    <x:row r="817">
      <x:c r="A817" t="str">
        <x:v>DW-0812</x:v>
      </x:c>
      <x:c r="B817" t="str">
        <x:v>DW-0812</x:v>
      </x:c>
      <x:c r="C817" t="str">
        <x:v>Parent historique</x:v>
      </x:c>
      <x:c r="D817" t="str">
        <x:v>transport</x:v>
      </x:c>
      <x:c r="E817" t="str">
        <x:v>Petit aérodrome — variante 05</x:v>
      </x:c>
      <x:c r="F817" t="n">
        <x:v>8</x:v>
      </x:c>
      <x:c r="G817" t="n">
        <x:v>5</x:v>
      </x:c>
      <x:c r="H817" t="n">
        <x:v>0</x:v>
      </x:c>
      <x:c r="I817" t="str">
        <x:v>À qualifier par lieu</x:v>
      </x:c>
      <x:c r="J817" t="str">
        <x:v>https://github.com/darknigthmare/deadwall-last-enclosure/blob/1b3b9c5ba232734b1bda3453b4e20a0481bcdd74/codex-3000/originaux/DEADWALL_CODEX_SUPPLEMENT_1.23/FICHES_501_1000/DW-0812.md</x:v>
      </x:c>
      <x:c r="K817" t="str">
        <x:v>Source min 47,58 m ; max 47,58 m ; modèle 47 × 58 m ; niveaux 0. Détails dans catalogue-existant.json.</x:v>
      </x:c>
    </x:row>
    <x:row r="818">
      <x:c r="A818" t="str">
        <x:v>DW-0813</x:v>
      </x:c>
      <x:c r="B818" t="str">
        <x:v>DW-0813</x:v>
      </x:c>
      <x:c r="C818" t="str">
        <x:v>Parent historique</x:v>
      </x:c>
      <x:c r="D818" t="str">
        <x:v>ruines</x:v>
      </x:c>
      <x:c r="E818" t="str">
        <x:v>Maison incendiée — variante 05</x:v>
      </x:c>
      <x:c r="F818" t="n">
        <x:v>8</x:v>
      </x:c>
      <x:c r="G818" t="n">
        <x:v>3</x:v>
      </x:c>
      <x:c r="H818" t="n">
        <x:v>0</x:v>
      </x:c>
      <x:c r="I818" t="str">
        <x:v>À qualifier par lieu</x:v>
      </x:c>
      <x:c r="J818" t="str">
        <x:v>https://github.com/darknigthmare/deadwall-last-enclosure/blob/1b3b9c5ba232734b1bda3453b4e20a0481bcdd74/codex-3000/originaux/DEADWALL_CODEX_SUPPLEMENT_1.23/FICHES_501_1000/DW-0813.md</x:v>
      </x:c>
      <x:c r="K818" t="str">
        <x:v>Source min 58,21 m ; max 58,21 m ; modèle 58 × 21 m ; niveaux 0, 1. Détails dans catalogue-existant.json.</x:v>
      </x:c>
    </x:row>
    <x:row r="819">
      <x:c r="A819" t="str">
        <x:v>DW-0814</x:v>
      </x:c>
      <x:c r="B819" t="str">
        <x:v>DW-0814</x:v>
      </x:c>
      <x:c r="C819" t="str">
        <x:v>Parent historique</x:v>
      </x:c>
      <x:c r="D819" t="str">
        <x:v>ruines</x:v>
      </x:c>
      <x:c r="E819" t="str">
        <x:v>Immeuble éventré — variante 05</x:v>
      </x:c>
      <x:c r="F819" t="n">
        <x:v>8</x:v>
      </x:c>
      <x:c r="G819" t="n">
        <x:v>4</x:v>
      </x:c>
      <x:c r="H819" t="n">
        <x:v>0</x:v>
      </x:c>
      <x:c r="I819" t="str">
        <x:v>À qualifier par lieu</x:v>
      </x:c>
      <x:c r="J819" t="str">
        <x:v>https://github.com/darknigthmare/deadwall-last-enclosure/blob/1b3b9c5ba232734b1bda3453b4e20a0481bcdd74/codex-3000/originaux/DEADWALL_CODEX_SUPPLEMENT_1.23/FICHES_501_1000/DW-0814.md</x:v>
      </x:c>
      <x:c r="K819" t="str">
        <x:v>Source min 69,38 m ; max 69,38 m ; modèle 69 × 38 m ; niveaux 0, 1, 2. Détails dans catalogue-existant.json.</x:v>
      </x:c>
    </x:row>
    <x:row r="820">
      <x:c r="A820" t="str">
        <x:v>DW-0815</x:v>
      </x:c>
      <x:c r="B820" t="str">
        <x:v>DW-0815</x:v>
      </x:c>
      <x:c r="C820" t="str">
        <x:v>Parent historique</x:v>
      </x:c>
      <x:c r="D820" t="str">
        <x:v>ruines</x:v>
      </x:c>
      <x:c r="E820" t="str">
        <x:v>Commerce pillé — variante 05</x:v>
      </x:c>
      <x:c r="F820" t="n">
        <x:v>8</x:v>
      </x:c>
      <x:c r="G820" t="n">
        <x:v>4</x:v>
      </x:c>
      <x:c r="H820" t="n">
        <x:v>0</x:v>
      </x:c>
      <x:c r="I820" t="str">
        <x:v>À qualifier par lieu</x:v>
      </x:c>
      <x:c r="J820" t="str">
        <x:v>https://github.com/darknigthmare/deadwall-last-enclosure/blob/1b3b9c5ba232734b1bda3453b4e20a0481bcdd74/codex-3000/originaux/DEADWALL_CODEX_SUPPLEMENT_1.23/FICHES_501_1000/DW-0815.md</x:v>
      </x:c>
      <x:c r="K820" t="str">
        <x:v>Source min 80,55 m ; max 80,55 m ; modèle 78 × 55 m ; niveaux 0. Détails dans catalogue-existant.json.</x:v>
      </x:c>
    </x:row>
    <x:row r="821">
      <x:c r="A821" t="str">
        <x:v>DW-0816</x:v>
      </x:c>
      <x:c r="B821" t="str">
        <x:v>DW-0816</x:v>
      </x:c>
      <x:c r="C821" t="str">
        <x:v>Parent historique</x:v>
      </x:c>
      <x:c r="D821" t="str">
        <x:v>ruines</x:v>
      </x:c>
      <x:c r="E821" t="str">
        <x:v>Usine sinistrée — variante 05</x:v>
      </x:c>
      <x:c r="F821" t="n">
        <x:v>8</x:v>
      </x:c>
      <x:c r="G821" t="n">
        <x:v>4</x:v>
      </x:c>
      <x:c r="H821" t="n">
        <x:v>0</x:v>
      </x:c>
      <x:c r="I821" t="str">
        <x:v>À qualifier par lieu</x:v>
      </x:c>
      <x:c r="J821" t="str">
        <x:v>https://github.com/darknigthmare/deadwall-last-enclosure/blob/1b3b9c5ba232734b1bda3453b4e20a0481bcdd74/codex-3000/originaux/DEADWALL_CODEX_SUPPLEMENT_1.23/FICHES_501_1000/DW-0816.md</x:v>
      </x:c>
      <x:c r="K821" t="str">
        <x:v>Source min 19,18 m ; max 19,18 m ; modèle 25 × 18 m ; niveaux 0. Détails dans catalogue-existant.json.</x:v>
      </x:c>
    </x:row>
    <x:row r="822">
      <x:c r="A822" t="str">
        <x:v>DW-0817</x:v>
      </x:c>
      <x:c r="B822" t="str">
        <x:v>DW-0817</x:v>
      </x:c>
      <x:c r="C822" t="str">
        <x:v>Parent historique</x:v>
      </x:c>
      <x:c r="D822" t="str">
        <x:v>ruines</x:v>
      </x:c>
      <x:c r="E822" t="str">
        <x:v>Hôtel abandonné — variante 05</x:v>
      </x:c>
      <x:c r="F822" t="n">
        <x:v>8</x:v>
      </x:c>
      <x:c r="G822" t="n">
        <x:v>5</x:v>
      </x:c>
      <x:c r="H822" t="n">
        <x:v>0</x:v>
      </x:c>
      <x:c r="I822" t="str">
        <x:v>À qualifier par lieu</x:v>
      </x:c>
      <x:c r="J822" t="str">
        <x:v>https://github.com/darknigthmare/deadwall-last-enclosure/blob/1b3b9c5ba232734b1bda3453b4e20a0481bcdd74/codex-3000/originaux/DEADWALL_CODEX_SUPPLEMENT_1.23/FICHES_501_1000/DW-0817.md</x:v>
      </x:c>
      <x:c r="K822" t="str">
        <x:v>Source min 30,35 m ; max 30,35 m ; modèle 30 × 35 m ; niveaux 0, 1. Détails dans catalogue-existant.json.</x:v>
      </x:c>
    </x:row>
    <x:row r="823">
      <x:c r="A823" t="str">
        <x:v>DW-0818</x:v>
      </x:c>
      <x:c r="B823" t="str">
        <x:v>DW-0818</x:v>
      </x:c>
      <x:c r="C823" t="str">
        <x:v>Parent historique</x:v>
      </x:c>
      <x:c r="D823" t="str">
        <x:v>ruines</x:v>
      </x:c>
      <x:c r="E823" t="str">
        <x:v>Lotissement ravagé — variante 05</x:v>
      </x:c>
      <x:c r="F823" t="n">
        <x:v>8</x:v>
      </x:c>
      <x:c r="G823" t="n">
        <x:v>4</x:v>
      </x:c>
      <x:c r="H823" t="n">
        <x:v>0</x:v>
      </x:c>
      <x:c r="I823" t="str">
        <x:v>À qualifier par lieu</x:v>
      </x:c>
      <x:c r="J823" t="str">
        <x:v>https://github.com/darknigthmare/deadwall-last-enclosure/blob/1b3b9c5ba232734b1bda3453b4e20a0481bcdd74/codex-3000/originaux/DEADWALL_CODEX_SUPPLEMENT_1.23/FICHES_501_1000/DW-0818.md</x:v>
      </x:c>
      <x:c r="K823" t="str">
        <x:v>Source min 41,52 m ; max 41,52 m ; modèle 41 × 52 m ; niveaux 0. Détails dans catalogue-existant.json.</x:v>
      </x:c>
    </x:row>
    <x:row r="824">
      <x:c r="A824" t="str">
        <x:v>DW-0819</x:v>
      </x:c>
      <x:c r="B824" t="str">
        <x:v>DW-0819</x:v>
      </x:c>
      <x:c r="C824" t="str">
        <x:v>Parent historique</x:v>
      </x:c>
      <x:c r="D824" t="str">
        <x:v>ruines</x:v>
      </x:c>
      <x:c r="E824" t="str">
        <x:v>Village déserté — variante 05</x:v>
      </x:c>
      <x:c r="F824" t="n">
        <x:v>8</x:v>
      </x:c>
      <x:c r="G824" t="n">
        <x:v>5</x:v>
      </x:c>
      <x:c r="H824" t="n">
        <x:v>0</x:v>
      </x:c>
      <x:c r="I824" t="str">
        <x:v>À qualifier par lieu</x:v>
      </x:c>
      <x:c r="J824" t="str">
        <x:v>https://github.com/darknigthmare/deadwall-last-enclosure/blob/1b3b9c5ba232734b1bda3453b4e20a0481bcdd74/codex-3000/originaux/DEADWALL_CODEX_SUPPLEMENT_1.23/FICHES_501_1000/DW-0819.md</x:v>
      </x:c>
      <x:c r="K824" t="str">
        <x:v>Source min 52,15 m ; max 52,15 m ; modèle 52 × 22 m ; niveaux 0. Détails dans catalogue-existant.json.</x:v>
      </x:c>
    </x:row>
    <x:row r="825">
      <x:c r="A825" t="str">
        <x:v>DW-0820</x:v>
      </x:c>
      <x:c r="B825" t="str">
        <x:v>DW-0820</x:v>
      </x:c>
      <x:c r="C825" t="str">
        <x:v>Parent historique</x:v>
      </x:c>
      <x:c r="D825" t="str">
        <x:v>ruines</x:v>
      </x:c>
      <x:c r="E825" t="str">
        <x:v>Centre commercial effondré — variante 05</x:v>
      </x:c>
      <x:c r="F825" t="n">
        <x:v>8</x:v>
      </x:c>
      <x:c r="G825" t="n">
        <x:v>5</x:v>
      </x:c>
      <x:c r="H825" t="n">
        <x:v>0</x:v>
      </x:c>
      <x:c r="I825" t="str">
        <x:v>À qualifier par lieu</x:v>
      </x:c>
      <x:c r="J825" t="str">
        <x:v>https://github.com/darknigthmare/deadwall-last-enclosure/blob/1b3b9c5ba232734b1bda3453b4e20a0481bcdd74/codex-3000/originaux/DEADWALL_CODEX_SUPPLEMENT_1.23/FICHES_501_1000/DW-0820.md</x:v>
      </x:c>
      <x:c r="K825" t="str">
        <x:v>Source min 63,32 m ; max 63,32 m ; modèle 63 × 32 m ; niveaux 0. Détails dans catalogue-existant.json.</x:v>
      </x:c>
    </x:row>
    <x:row r="826">
      <x:c r="A826" t="str">
        <x:v>DW-0821</x:v>
      </x:c>
      <x:c r="B826" t="str">
        <x:v>DW-0821</x:v>
      </x:c>
      <x:c r="C826" t="str">
        <x:v>Parent historique</x:v>
      </x:c>
      <x:c r="D826" t="str">
        <x:v>habitat</x:v>
      </x:c>
      <x:c r="E826" t="str">
        <x:v>Maison de lotissement — variante 06</x:v>
      </x:c>
      <x:c r="F826" t="n">
        <x:v>8</x:v>
      </x:c>
      <x:c r="G826" t="n">
        <x:v>5</x:v>
      </x:c>
      <x:c r="H826" t="n">
        <x:v>0</x:v>
      </x:c>
      <x:c r="I826" t="str">
        <x:v>À qualifier par lieu</x:v>
      </x:c>
      <x:c r="J826" t="str">
        <x:v>https://github.com/darknigthmare/deadwall-last-enclosure/blob/1b3b9c5ba232734b1bda3453b4e20a0481bcdd74/codex-3000/originaux/DEADWALL_CODEX_SUPPLEMENT_1.23/FICHES_501_1000/DW-0821.md</x:v>
      </x:c>
      <x:c r="K826" t="str">
        <x:v>Source min 74,49 m ; max 74,49 m ; modèle 74 × 49 m ; niveaux 0, 1. Détails dans catalogue-existant.json.</x:v>
      </x:c>
    </x:row>
    <x:row r="827">
      <x:c r="A827" t="str">
        <x:v>DW-0822</x:v>
      </x:c>
      <x:c r="B827" t="str">
        <x:v>DW-0822</x:v>
      </x:c>
      <x:c r="C827" t="str">
        <x:v>Parent historique</x:v>
      </x:c>
      <x:c r="D827" t="str">
        <x:v>habitat</x:v>
      </x:c>
      <x:c r="E827" t="str">
        <x:v>Maison mitoyenne — variante 06</x:v>
      </x:c>
      <x:c r="F827" t="n">
        <x:v>8</x:v>
      </x:c>
      <x:c r="G827" t="n">
        <x:v>5</x:v>
      </x:c>
      <x:c r="H827" t="n">
        <x:v>0</x:v>
      </x:c>
      <x:c r="I827" t="str">
        <x:v>À qualifier par lieu</x:v>
      </x:c>
      <x:c r="J827" t="str">
        <x:v>https://github.com/darknigthmare/deadwall-last-enclosure/blob/1b3b9c5ba232734b1bda3453b4e20a0481bcdd74/codex-3000/originaux/DEADWALL_CODEX_SUPPLEMENT_1.23/FICHES_501_1000/DW-0822.md</x:v>
      </x:c>
      <x:c r="K827" t="str">
        <x:v>Source min 13,12 m ; max 13,12 m ; modèle 26 × 22 m ; niveaux 0. Détails dans catalogue-existant.json.</x:v>
      </x:c>
    </x:row>
    <x:row r="828">
      <x:c r="A828" t="str">
        <x:v>DW-0823</x:v>
      </x:c>
      <x:c r="B828" t="str">
        <x:v>DW-0823</x:v>
      </x:c>
      <x:c r="C828" t="str">
        <x:v>Parent historique</x:v>
      </x:c>
      <x:c r="D828" t="str">
        <x:v>habitat</x:v>
      </x:c>
      <x:c r="E828" t="str">
        <x:v>Villa isolée — variante 06</x:v>
      </x:c>
      <x:c r="F828" t="n">
        <x:v>8</x:v>
      </x:c>
      <x:c r="G828" t="n">
        <x:v>7</x:v>
      </x:c>
      <x:c r="H828" t="n">
        <x:v>0</x:v>
      </x:c>
      <x:c r="I828" t="str">
        <x:v>À qualifier par lieu</x:v>
      </x:c>
      <x:c r="J828" t="str">
        <x:v>https://github.com/darknigthmare/deadwall-last-enclosure/blob/1b3b9c5ba232734b1bda3453b4e20a0481bcdd74/codex-3000/originaux/DEADWALL_CODEX_SUPPLEMENT_1.23/FICHES_501_1000/DW-0823.md</x:v>
      </x:c>
      <x:c r="K828" t="str">
        <x:v>Source min 24,29 m ; max 24,29 m ; modèle 29 × 29 m ; niveaux 0. Détails dans catalogue-existant.json.</x:v>
      </x:c>
    </x:row>
    <x:row r="829">
      <x:c r="A829" t="str">
        <x:v>DW-0824</x:v>
      </x:c>
      <x:c r="B829" t="str">
        <x:v>DW-0824</x:v>
      </x:c>
      <x:c r="C829" t="str">
        <x:v>Parent historique</x:v>
      </x:c>
      <x:c r="D829" t="str">
        <x:v>habitat</x:v>
      </x:c>
      <x:c r="E829" t="str">
        <x:v>Ferme familiale — variante 06</x:v>
      </x:c>
      <x:c r="F829" t="n">
        <x:v>8</x:v>
      </x:c>
      <x:c r="G829" t="n">
        <x:v>6</x:v>
      </x:c>
      <x:c r="H829" t="n">
        <x:v>0</x:v>
      </x:c>
      <x:c r="I829" t="str">
        <x:v>À qualifier par lieu</x:v>
      </x:c>
      <x:c r="J829" t="str">
        <x:v>https://github.com/darknigthmare/deadwall-last-enclosure/blob/1b3b9c5ba232734b1bda3453b4e20a0481bcdd74/codex-3000/originaux/DEADWALL_CODEX_SUPPLEMENT_1.23/FICHES_501_1000/DW-0824.md</x:v>
      </x:c>
      <x:c r="K829" t="str">
        <x:v>Source min 35,46 m ; max 35,46 m ; modèle 35 × 46 m ; niveaux 0. Détails dans catalogue-existant.json.</x:v>
      </x:c>
    </x:row>
    <x:row r="830">
      <x:c r="A830" t="str">
        <x:v>DW-0825</x:v>
      </x:c>
      <x:c r="B830" t="str">
        <x:v>DW-0825</x:v>
      </x:c>
      <x:c r="C830" t="str">
        <x:v>Parent historique</x:v>
      </x:c>
      <x:c r="D830" t="str">
        <x:v>habitat</x:v>
      </x:c>
      <x:c r="E830" t="str">
        <x:v>Immeuble résidentiel — variante 06</x:v>
      </x:c>
      <x:c r="F830" t="n">
        <x:v>8</x:v>
      </x:c>
      <x:c r="G830" t="n">
        <x:v>5</x:v>
      </x:c>
      <x:c r="H830" t="n">
        <x:v>0</x:v>
      </x:c>
      <x:c r="I830" t="str">
        <x:v>À qualifier par lieu</x:v>
      </x:c>
      <x:c r="J830" t="str">
        <x:v>https://github.com/darknigthmare/deadwall-last-enclosure/blob/1b3b9c5ba232734b1bda3453b4e20a0481bcdd74/codex-3000/originaux/DEADWALL_CODEX_SUPPLEMENT_1.23/FICHES_501_1000/DW-0825.md</x:v>
      </x:c>
      <x:c r="K830" t="str">
        <x:v>Source min 46,9 m ; max 46,9 m ; modèle 46 × 22 m ; niveaux 0, 1. Détails dans catalogue-existant.json.</x:v>
      </x:c>
    </x:row>
    <x:row r="831">
      <x:c r="A831" t="str">
        <x:v>DW-0826</x:v>
      </x:c>
      <x:c r="B831" t="str">
        <x:v>DW-0826</x:v>
      </x:c>
      <x:c r="C831" t="str">
        <x:v>Parent historique</x:v>
      </x:c>
      <x:c r="D831" t="str">
        <x:v>habitat</x:v>
      </x:c>
      <x:c r="E831" t="str">
        <x:v>Barre de logements — variante 06</x:v>
      </x:c>
      <x:c r="F831" t="n">
        <x:v>8</x:v>
      </x:c>
      <x:c r="G831" t="n">
        <x:v>5</x:v>
      </x:c>
      <x:c r="H831" t="n">
        <x:v>0</x:v>
      </x:c>
      <x:c r="I831" t="str">
        <x:v>À qualifier par lieu</x:v>
      </x:c>
      <x:c r="J831" t="str">
        <x:v>https://github.com/darknigthmare/deadwall-last-enclosure/blob/1b3b9c5ba232734b1bda3453b4e20a0481bcdd74/codex-3000/originaux/DEADWALL_CODEX_SUPPLEMENT_1.23/FICHES_501_1000/DW-0826.md</x:v>
      </x:c>
      <x:c r="K831" t="str">
        <x:v>Source min 57,26 m ; max 57,26 m ; modèle 57 × 26 m ; niveaux 0, 1, 2. Détails dans catalogue-existant.json.</x:v>
      </x:c>
    </x:row>
    <x:row r="832">
      <x:c r="A832" t="str">
        <x:v>DW-0827</x:v>
      </x:c>
      <x:c r="B832" t="str">
        <x:v>DW-0827</x:v>
      </x:c>
      <x:c r="C832" t="str">
        <x:v>Parent historique</x:v>
      </x:c>
      <x:c r="D832" t="str">
        <x:v>habitat</x:v>
      </x:c>
      <x:c r="E832" t="str">
        <x:v>Résidence senior — variante 06</x:v>
      </x:c>
      <x:c r="F832" t="n">
        <x:v>8</x:v>
      </x:c>
      <x:c r="G832" t="n">
        <x:v>5</x:v>
      </x:c>
      <x:c r="H832" t="n">
        <x:v>0</x:v>
      </x:c>
      <x:c r="I832" t="str">
        <x:v>À qualifier par lieu</x:v>
      </x:c>
      <x:c r="J832" t="str">
        <x:v>https://github.com/darknigthmare/deadwall-last-enclosure/blob/1b3b9c5ba232734b1bda3453b4e20a0481bcdd74/codex-3000/originaux/DEADWALL_CODEX_SUPPLEMENT_1.23/FICHES_501_1000/DW-0827.md</x:v>
      </x:c>
      <x:c r="K832" t="str">
        <x:v>Source min 68,43 m ; max 68,43 m ; modèle 68 × 43 m ; niveaux 0, 1, 2. Détails dans catalogue-existant.json.</x:v>
      </x:c>
    </x:row>
    <x:row r="833">
      <x:c r="A833" t="str">
        <x:v>DW-0828</x:v>
      </x:c>
      <x:c r="B833" t="str">
        <x:v>DW-0828</x:v>
      </x:c>
      <x:c r="C833" t="str">
        <x:v>Parent historique</x:v>
      </x:c>
      <x:c r="D833" t="str">
        <x:v>habitat</x:v>
      </x:c>
      <x:c r="E833" t="str">
        <x:v>Maison avec sous-sol — variante 06</x:v>
      </x:c>
      <x:c r="F833" t="n">
        <x:v>8</x:v>
      </x:c>
      <x:c r="G833" t="n">
        <x:v>5</x:v>
      </x:c>
      <x:c r="H833" t="n">
        <x:v>0</x:v>
      </x:c>
      <x:c r="I833" t="str">
        <x:v>À qualifier par lieu</x:v>
      </x:c>
      <x:c r="J833" t="str">
        <x:v>https://github.com/darknigthmare/deadwall-last-enclosure/blob/1b3b9c5ba232734b1bda3453b4e20a0481bcdd74/codex-3000/originaux/DEADWALL_CODEX_SUPPLEMENT_1.23/FICHES_501_1000/DW-0828.md</x:v>
      </x:c>
      <x:c r="K833" t="str">
        <x:v>Source min 79,60 m ; max 79,60 m ; modèle 78 × 60 m ; niveaux 0. Détails dans catalogue-existant.json.</x:v>
      </x:c>
    </x:row>
    <x:row r="834">
      <x:c r="A834" t="str">
        <x:v>DW-0829</x:v>
      </x:c>
      <x:c r="B834" t="str">
        <x:v>DW-0829</x:v>
      </x:c>
      <x:c r="C834" t="str">
        <x:v>Parent historique</x:v>
      </x:c>
      <x:c r="D834" t="str">
        <x:v>commerce</x:v>
      </x:c>
      <x:c r="E834" t="str">
        <x:v>Supérette — variante 06</x:v>
      </x:c>
      <x:c r="F834" t="n">
        <x:v>8</x:v>
      </x:c>
      <x:c r="G834" t="n">
        <x:v>5</x:v>
      </x:c>
      <x:c r="H834" t="n">
        <x:v>0</x:v>
      </x:c>
      <x:c r="I834" t="str">
        <x:v>À qualifier par lieu</x:v>
      </x:c>
      <x:c r="J834" t="str">
        <x:v>https://github.com/darknigthmare/deadwall-last-enclosure/blob/1b3b9c5ba232734b1bda3453b4e20a0481bcdd74/codex-3000/originaux/DEADWALL_CODEX_SUPPLEMENT_1.23/FICHES_501_1000/DW-0829.md</x:v>
      </x:c>
      <x:c r="K834" t="str">
        <x:v>Source min 18,23 m ; max 18,23 m ; modèle 26 × 23 m ; niveaux 0, 1. Détails dans catalogue-existant.json.</x:v>
      </x:c>
    </x:row>
    <x:row r="835">
      <x:c r="A835" t="str">
        <x:v>DW-0830</x:v>
      </x:c>
      <x:c r="B835" t="str">
        <x:v>DW-0830</x:v>
      </x:c>
      <x:c r="C835" t="str">
        <x:v>Parent historique</x:v>
      </x:c>
      <x:c r="D835" t="str">
        <x:v>commerce</x:v>
      </x:c>
      <x:c r="E835" t="str">
        <x:v>Centre commercial — variante 06</x:v>
      </x:c>
      <x:c r="F835" t="n">
        <x:v>8</x:v>
      </x:c>
      <x:c r="G835" t="n">
        <x:v>6</x:v>
      </x:c>
      <x:c r="H835" t="n">
        <x:v>0</x:v>
      </x:c>
      <x:c r="I835" t="str">
        <x:v>À qualifier par lieu</x:v>
      </x:c>
      <x:c r="J835" t="str">
        <x:v>https://github.com/darknigthmare/deadwall-last-enclosure/blob/1b3b9c5ba232734b1bda3453b4e20a0481bcdd74/codex-3000/originaux/DEADWALL_CODEX_SUPPLEMENT_1.23/FICHES_501_1000/DW-0830.md</x:v>
      </x:c>
      <x:c r="K835" t="str">
        <x:v>Source min 29,40 m ; max 29,40 m ; modèle 29 × 40 m ; niveaux 0. Détails dans catalogue-existant.json.</x:v>
      </x:c>
    </x:row>
    <x:row r="836">
      <x:c r="A836" t="str">
        <x:v>DW-0831</x:v>
      </x:c>
      <x:c r="B836" t="str">
        <x:v>DW-0831</x:v>
      </x:c>
      <x:c r="C836" t="str">
        <x:v>Parent historique</x:v>
      </x:c>
      <x:c r="D836" t="str">
        <x:v>commerce</x:v>
      </x:c>
      <x:c r="E836" t="str">
        <x:v>Supermarché — variante 06</x:v>
      </x:c>
      <x:c r="F836" t="n">
        <x:v>8</x:v>
      </x:c>
      <x:c r="G836" t="n">
        <x:v>7</x:v>
      </x:c>
      <x:c r="H836" t="n">
        <x:v>0</x:v>
      </x:c>
      <x:c r="I836" t="str">
        <x:v>À qualifier par lieu</x:v>
      </x:c>
      <x:c r="J836" t="str">
        <x:v>https://github.com/darknigthmare/deadwall-last-enclosure/blob/1b3b9c5ba232734b1bda3453b4e20a0481bcdd74/codex-3000/originaux/DEADWALL_CODEX_SUPPLEMENT_1.23/FICHES_501_1000/DW-0831.md</x:v>
      </x:c>
      <x:c r="K836" t="str">
        <x:v>Source min 40,57 m ; max 40,57 m ; modèle 40 × 57 m ; niveaux 0. Détails dans catalogue-existant.json.</x:v>
      </x:c>
    </x:row>
    <x:row r="837">
      <x:c r="A837" t="str">
        <x:v>DW-0832</x:v>
      </x:c>
      <x:c r="B837" t="str">
        <x:v>DW-0832</x:v>
      </x:c>
      <x:c r="C837" t="str">
        <x:v>Parent historique</x:v>
      </x:c>
      <x:c r="D837" t="str">
        <x:v>commerce</x:v>
      </x:c>
      <x:c r="E837" t="str">
        <x:v>Magasin de bricolage — variante 06</x:v>
      </x:c>
      <x:c r="F837" t="n">
        <x:v>8</x:v>
      </x:c>
      <x:c r="G837" t="n">
        <x:v>5</x:v>
      </x:c>
      <x:c r="H837" t="n">
        <x:v>0</x:v>
      </x:c>
      <x:c r="I837" t="str">
        <x:v>À qualifier par lieu</x:v>
      </x:c>
      <x:c r="J837" t="str">
        <x:v>https://github.com/darknigthmare/deadwall-last-enclosure/blob/1b3b9c5ba232734b1bda3453b4e20a0481bcdd74/codex-3000/originaux/DEADWALL_CODEX_SUPPLEMENT_1.23/FICHES_501_1000/DW-0832.md</x:v>
      </x:c>
      <x:c r="K837" t="str">
        <x:v>Source min 51,20 m ; max 51,20 m ; modèle 51 × 22 m ; niveaux 0. Détails dans catalogue-existant.json.</x:v>
      </x:c>
    </x:row>
    <x:row r="838">
      <x:c r="A838" t="str">
        <x:v>DW-0833</x:v>
      </x:c>
      <x:c r="B838" t="str">
        <x:v>DW-0833</x:v>
      </x:c>
      <x:c r="C838" t="str">
        <x:v>Parent historique</x:v>
      </x:c>
      <x:c r="D838" t="str">
        <x:v>commerce</x:v>
      </x:c>
      <x:c r="E838" t="str">
        <x:v>Pharmacie — variante 06</x:v>
      </x:c>
      <x:c r="F838" t="n">
        <x:v>8</x:v>
      </x:c>
      <x:c r="G838" t="n">
        <x:v>4</x:v>
      </x:c>
      <x:c r="H838" t="n">
        <x:v>0</x:v>
      </x:c>
      <x:c r="I838" t="str">
        <x:v>À qualifier par lieu</x:v>
      </x:c>
      <x:c r="J838" t="str">
        <x:v>https://github.com/darknigthmare/deadwall-last-enclosure/blob/1b3b9c5ba232734b1bda3453b4e20a0481bcdd74/codex-3000/originaux/DEADWALL_CODEX_SUPPLEMENT_1.23/FICHES_501_1000/DW-0833.md</x:v>
      </x:c>
      <x:c r="K838" t="str">
        <x:v>Source min 62,37 m ; max 62,37 m ; modèle 62 × 37 m ; niveaux 0, 1. Détails dans catalogue-existant.json.</x:v>
      </x:c>
    </x:row>
    <x:row r="839">
      <x:c r="A839" t="str">
        <x:v>DW-0834</x:v>
      </x:c>
      <x:c r="B839" t="str">
        <x:v>DW-0834</x:v>
      </x:c>
      <x:c r="C839" t="str">
        <x:v>Parent historique</x:v>
      </x:c>
      <x:c r="D839" t="str">
        <x:v>commerce</x:v>
      </x:c>
      <x:c r="E839" t="str">
        <x:v>Station-service — variante 06</x:v>
      </x:c>
      <x:c r="F839" t="n">
        <x:v>8</x:v>
      </x:c>
      <x:c r="G839" t="n">
        <x:v>5</x:v>
      </x:c>
      <x:c r="H839" t="n">
        <x:v>0</x:v>
      </x:c>
      <x:c r="I839" t="str">
        <x:v>À qualifier par lieu</x:v>
      </x:c>
      <x:c r="J839" t="str">
        <x:v>https://github.com/darknigthmare/deadwall-last-enclosure/blob/1b3b9c5ba232734b1bda3453b4e20a0481bcdd74/codex-3000/originaux/DEADWALL_CODEX_SUPPLEMENT_1.23/FICHES_501_1000/DW-0834.md</x:v>
      </x:c>
      <x:c r="K839" t="str">
        <x:v>Source min 73,54 m ; max 73,54 m ; modèle 73 × 54 m ; niveaux 0. Détails dans catalogue-existant.json.</x:v>
      </x:c>
    </x:row>
    <x:row r="840">
      <x:c r="A840" t="str">
        <x:v>DW-0835</x:v>
      </x:c>
      <x:c r="B840" t="str">
        <x:v>DW-0835</x:v>
      </x:c>
      <x:c r="C840" t="str">
        <x:v>Parent historique</x:v>
      </x:c>
      <x:c r="D840" t="str">
        <x:v>commerce</x:v>
      </x:c>
      <x:c r="E840" t="str">
        <x:v>Restaurant routier — variante 06</x:v>
      </x:c>
      <x:c r="F840" t="n">
        <x:v>8</x:v>
      </x:c>
      <x:c r="G840" t="n">
        <x:v>5</x:v>
      </x:c>
      <x:c r="H840" t="n">
        <x:v>0</x:v>
      </x:c>
      <x:c r="I840" t="str">
        <x:v>À qualifier par lieu</x:v>
      </x:c>
      <x:c r="J840" t="str">
        <x:v>https://github.com/darknigthmare/deadwall-last-enclosure/blob/1b3b9c5ba232734b1bda3453b4e20a0481bcdd74/codex-3000/originaux/DEADWALL_CODEX_SUPPLEMENT_1.23/FICHES_501_1000/DW-0835.md</x:v>
      </x:c>
      <x:c r="K840" t="str">
        <x:v>Source min 12,17 m ; max 12,17 m ; modèle 26 × 22 m ; niveaux 0. Détails dans catalogue-existant.json.</x:v>
      </x:c>
    </x:row>
    <x:row r="841">
      <x:c r="A841" t="str">
        <x:v>DW-0836</x:v>
      </x:c>
      <x:c r="B841" t="str">
        <x:v>DW-0836</x:v>
      </x:c>
      <x:c r="C841" t="str">
        <x:v>Parent historique</x:v>
      </x:c>
      <x:c r="D841" t="str">
        <x:v>commerce</x:v>
      </x:c>
      <x:c r="E841" t="str">
        <x:v>Hôtel — variante 06</x:v>
      </x:c>
      <x:c r="F841" t="n">
        <x:v>8</x:v>
      </x:c>
      <x:c r="G841" t="n">
        <x:v>6</x:v>
      </x:c>
      <x:c r="H841" t="n">
        <x:v>0</x:v>
      </x:c>
      <x:c r="I841" t="str">
        <x:v>À qualifier par lieu</x:v>
      </x:c>
      <x:c r="J841" t="str">
        <x:v>https://github.com/darknigthmare/deadwall-last-enclosure/blob/1b3b9c5ba232734b1bda3453b4e20a0481bcdd74/codex-3000/originaux/DEADWALL_CODEX_SUPPLEMENT_1.23/FICHES_501_1000/DW-0836.md</x:v>
      </x:c>
      <x:c r="K841" t="str">
        <x:v>Source min 23,34 m ; max 23,34 m ; modèle 28 × 34 m ; niveaux 0. Détails dans catalogue-existant.json.</x:v>
      </x:c>
    </x:row>
    <x:row r="842">
      <x:c r="A842" t="str">
        <x:v>DW-0837</x:v>
      </x:c>
      <x:c r="B842" t="str">
        <x:v>DW-0837</x:v>
      </x:c>
      <x:c r="C842" t="str">
        <x:v>Parent historique</x:v>
      </x:c>
      <x:c r="D842" t="str">
        <x:v>industrie</x:v>
      </x:c>
      <x:c r="E842" t="str">
        <x:v>Scierie — variante 06</x:v>
      </x:c>
      <x:c r="F842" t="n">
        <x:v>8</x:v>
      </x:c>
      <x:c r="G842" t="n">
        <x:v>5</x:v>
      </x:c>
      <x:c r="H842" t="n">
        <x:v>0</x:v>
      </x:c>
      <x:c r="I842" t="str">
        <x:v>À qualifier par lieu</x:v>
      </x:c>
      <x:c r="J842" t="str">
        <x:v>https://github.com/darknigthmare/deadwall-last-enclosure/blob/1b3b9c5ba232734b1bda3453b4e20a0481bcdd74/codex-3000/originaux/DEADWALL_CODEX_SUPPLEMENT_1.23/FICHES_501_1000/DW-0837.md</x:v>
      </x:c>
      <x:c r="K842" t="str">
        <x:v>Source min 34,51 m ; max 34,51 m ; modèle 34 × 51 m ; niveaux 0. Détails dans catalogue-existant.json.</x:v>
      </x:c>
    </x:row>
    <x:row r="843">
      <x:c r="A843" t="str">
        <x:v>DW-0838</x:v>
      </x:c>
      <x:c r="B843" t="str">
        <x:v>DW-0838</x:v>
      </x:c>
      <x:c r="C843" t="str">
        <x:v>Parent historique</x:v>
      </x:c>
      <x:c r="D843" t="str">
        <x:v>industrie</x:v>
      </x:c>
      <x:c r="E843" t="str">
        <x:v>Garage automobile — variante 06</x:v>
      </x:c>
      <x:c r="F843" t="n">
        <x:v>8</x:v>
      </x:c>
      <x:c r="G843" t="n">
        <x:v>5</x:v>
      </x:c>
      <x:c r="H843" t="n">
        <x:v>0</x:v>
      </x:c>
      <x:c r="I843" t="str">
        <x:v>À qualifier par lieu</x:v>
      </x:c>
      <x:c r="J843" t="str">
        <x:v>https://github.com/darknigthmare/deadwall-last-enclosure/blob/1b3b9c5ba232734b1bda3453b4e20a0481bcdd74/codex-3000/originaux/DEADWALL_CODEX_SUPPLEMENT_1.23/FICHES_501_1000/DW-0838.md</x:v>
      </x:c>
      <x:c r="K843" t="str">
        <x:v>Source min 45,14 m ; max 45,14 m ; modèle 45 × 22 m ; niveaux 0. Détails dans catalogue-existant.json.</x:v>
      </x:c>
    </x:row>
    <x:row r="844">
      <x:c r="A844" t="str">
        <x:v>DW-0839</x:v>
      </x:c>
      <x:c r="B844" t="str">
        <x:v>DW-0839</x:v>
      </x:c>
      <x:c r="C844" t="str">
        <x:v>Parent historique</x:v>
      </x:c>
      <x:c r="D844" t="str">
        <x:v>industrie</x:v>
      </x:c>
      <x:c r="E844" t="str">
        <x:v>Entrepôt logistique — variante 06</x:v>
      </x:c>
      <x:c r="F844" t="n">
        <x:v>8</x:v>
      </x:c>
      <x:c r="G844" t="n">
        <x:v>5</x:v>
      </x:c>
      <x:c r="H844" t="n">
        <x:v>0</x:v>
      </x:c>
      <x:c r="I844" t="str">
        <x:v>À qualifier par lieu</x:v>
      </x:c>
      <x:c r="J844" t="str">
        <x:v>https://github.com/darknigthmare/deadwall-last-enclosure/blob/1b3b9c5ba232734b1bda3453b4e20a0481bcdd74/codex-3000/originaux/DEADWALL_CODEX_SUPPLEMENT_1.23/FICHES_501_1000/DW-0839.md</x:v>
      </x:c>
      <x:c r="K844" t="str">
        <x:v>Source min 56,31 m ; max 56,31 m ; modèle 56 × 31 m ; niveaux 0. Détails dans catalogue-existant.json.</x:v>
      </x:c>
    </x:row>
    <x:row r="845">
      <x:c r="A845" t="str">
        <x:v>DW-0840</x:v>
      </x:c>
      <x:c r="B845" t="str">
        <x:v>DW-0840</x:v>
      </x:c>
      <x:c r="C845" t="str">
        <x:v>Parent historique</x:v>
      </x:c>
      <x:c r="D845" t="str">
        <x:v>industrie</x:v>
      </x:c>
      <x:c r="E845" t="str">
        <x:v>Petite usine — variante 06</x:v>
      </x:c>
      <x:c r="F845" t="n">
        <x:v>8</x:v>
      </x:c>
      <x:c r="G845" t="n">
        <x:v>5</x:v>
      </x:c>
      <x:c r="H845" t="n">
        <x:v>0</x:v>
      </x:c>
      <x:c r="I845" t="str">
        <x:v>À qualifier par lieu</x:v>
      </x:c>
      <x:c r="J845" t="str">
        <x:v>https://github.com/darknigthmare/deadwall-last-enclosure/blob/1b3b9c5ba232734b1bda3453b4e20a0481bcdd74/codex-3000/originaux/DEADWALL_CODEX_SUPPLEMENT_1.23/FICHES_501_1000/DW-0840.md</x:v>
      </x:c>
      <x:c r="K845" t="str">
        <x:v>Source min 67,48 m ; max 67,48 m ; modèle 67 × 48 m ; niveaux 0. Détails dans catalogue-existant.json.</x:v>
      </x:c>
    </x:row>
    <x:row r="846">
      <x:c r="A846" t="str">
        <x:v>DW-0841</x:v>
      </x:c>
      <x:c r="B846" t="str">
        <x:v>DW-0841</x:v>
      </x:c>
      <x:c r="C846" t="str">
        <x:v>Parent historique</x:v>
      </x:c>
      <x:c r="D846" t="str">
        <x:v>industrie</x:v>
      </x:c>
      <x:c r="E846" t="str">
        <x:v>Carrière — variante 06</x:v>
      </x:c>
      <x:c r="F846" t="n">
        <x:v>8</x:v>
      </x:c>
      <x:c r="G846" t="n">
        <x:v>5</x:v>
      </x:c>
      <x:c r="H846" t="n">
        <x:v>0</x:v>
      </x:c>
      <x:c r="I846" t="str">
        <x:v>À qualifier par lieu</x:v>
      </x:c>
      <x:c r="J846" t="str">
        <x:v>https://github.com/darknigthmare/deadwall-last-enclosure/blob/1b3b9c5ba232734b1bda3453b4e20a0481bcdd74/codex-3000/originaux/DEADWALL_CODEX_SUPPLEMENT_1.23/FICHES_501_1000/DW-0841.md</x:v>
      </x:c>
      <x:c r="K846" t="str">
        <x:v>Source min 78,11 m ; max 78,11 m ; modèle 78 × 22 m ; niveaux 0. Détails dans catalogue-existant.json.</x:v>
      </x:c>
    </x:row>
    <x:row r="847">
      <x:c r="A847" t="str">
        <x:v>DW-0842</x:v>
      </x:c>
      <x:c r="B847" t="str">
        <x:v>DW-0842</x:v>
      </x:c>
      <x:c r="C847" t="str">
        <x:v>Parent historique</x:v>
      </x:c>
      <x:c r="D847" t="str">
        <x:v>industrie</x:v>
      </x:c>
      <x:c r="E847" t="str">
        <x:v>Mine — variante 06</x:v>
      </x:c>
      <x:c r="F847" t="n">
        <x:v>8</x:v>
      </x:c>
      <x:c r="G847" t="n">
        <x:v>6</x:v>
      </x:c>
      <x:c r="H847" t="n">
        <x:v>0</x:v>
      </x:c>
      <x:c r="I847" t="str">
        <x:v>À qualifier par lieu</x:v>
      </x:c>
      <x:c r="J847" t="str">
        <x:v>https://github.com/darknigthmare/deadwall-last-enclosure/blob/1b3b9c5ba232734b1bda3453b4e20a0481bcdd74/codex-3000/originaux/DEADWALL_CODEX_SUPPLEMENT_1.23/FICHES_501_1000/DW-0842.md</x:v>
      </x:c>
      <x:c r="K847" t="str">
        <x:v>Source min 17,28 m ; max 17,28 m ; modèle 28 × 28 m ; niveaux 0. Détails dans catalogue-existant.json.</x:v>
      </x:c>
    </x:row>
    <x:row r="848">
      <x:c r="A848" t="str">
        <x:v>DW-0843</x:v>
      </x:c>
      <x:c r="B848" t="str">
        <x:v>DW-0843</x:v>
      </x:c>
      <x:c r="C848" t="str">
        <x:v>Parent historique</x:v>
      </x:c>
      <x:c r="D848" t="str">
        <x:v>industrie</x:v>
      </x:c>
      <x:c r="E848" t="str">
        <x:v>Centrale locale — variante 06</x:v>
      </x:c>
      <x:c r="F848" t="n">
        <x:v>8</x:v>
      </x:c>
      <x:c r="G848" t="n">
        <x:v>5</x:v>
      </x:c>
      <x:c r="H848" t="n">
        <x:v>0</x:v>
      </x:c>
      <x:c r="I848" t="str">
        <x:v>À qualifier par lieu</x:v>
      </x:c>
      <x:c r="J848" t="str">
        <x:v>https://github.com/darknigthmare/deadwall-last-enclosure/blob/1b3b9c5ba232734b1bda3453b4e20a0481bcdd74/codex-3000/originaux/DEADWALL_CODEX_SUPPLEMENT_1.23/FICHES_501_1000/DW-0843.md</x:v>
      </x:c>
      <x:c r="K848" t="str">
        <x:v>Source min 28,45 m ; max 28,45 m ; modèle 28 × 45 m ; niveaux 0. Détails dans catalogue-existant.json.</x:v>
      </x:c>
    </x:row>
    <x:row r="849">
      <x:c r="A849" t="str">
        <x:v>DW-0844</x:v>
      </x:c>
      <x:c r="B849" t="str">
        <x:v>DW-0844</x:v>
      </x:c>
      <x:c r="C849" t="str">
        <x:v>Parent historique</x:v>
      </x:c>
      <x:c r="D849" t="str">
        <x:v>industrie</x:v>
      </x:c>
      <x:c r="E849" t="str">
        <x:v>Station de pompage — variante 06</x:v>
      </x:c>
      <x:c r="F849" t="n">
        <x:v>8</x:v>
      </x:c>
      <x:c r="G849" t="n">
        <x:v>5</x:v>
      </x:c>
      <x:c r="H849" t="n">
        <x:v>0</x:v>
      </x:c>
      <x:c r="I849" t="str">
        <x:v>À qualifier par lieu</x:v>
      </x:c>
      <x:c r="J849" t="str">
        <x:v>https://github.com/darknigthmare/deadwall-last-enclosure/blob/1b3b9c5ba232734b1bda3453b4e20a0481bcdd74/codex-3000/originaux/DEADWALL_CODEX_SUPPLEMENT_1.23/FICHES_501_1000/DW-0844.md</x:v>
      </x:c>
      <x:c r="K849" t="str">
        <x:v>Source min 39,62 m ; max 39,62 m ; modèle 39 × 62 m ; niveaux 0. Détails dans catalogue-existant.json.</x:v>
      </x:c>
    </x:row>
    <x:row r="850">
      <x:c r="A850" t="str">
        <x:v>DW-0845</x:v>
      </x:c>
      <x:c r="B850" t="str">
        <x:v>DW-0845</x:v>
      </x:c>
      <x:c r="C850" t="str">
        <x:v>Parent historique</x:v>
      </x:c>
      <x:c r="D850" t="str">
        <x:v>public</x:v>
      </x:c>
      <x:c r="E850" t="str">
        <x:v>École — variante 06</x:v>
      </x:c>
      <x:c r="F850" t="n">
        <x:v>8</x:v>
      </x:c>
      <x:c r="G850" t="n">
        <x:v>5</x:v>
      </x:c>
      <x:c r="H850" t="n">
        <x:v>0</x:v>
      </x:c>
      <x:c r="I850" t="str">
        <x:v>À qualifier par lieu</x:v>
      </x:c>
      <x:c r="J850" t="str">
        <x:v>https://github.com/darknigthmare/deadwall-last-enclosure/blob/1b3b9c5ba232734b1bda3453b4e20a0481bcdd74/codex-3000/originaux/DEADWALL_CODEX_SUPPLEMENT_1.23/FICHES_501_1000/DW-0845.md</x:v>
      </x:c>
      <x:c r="K850" t="str">
        <x:v>Source min 50,25 m ; max 50,25 m ; modèle 50 × 25 m ; niveaux 0, 1. Détails dans catalogue-existant.json.</x:v>
      </x:c>
    </x:row>
    <x:row r="851">
      <x:c r="A851" t="str">
        <x:v>DW-0846</x:v>
      </x:c>
      <x:c r="B851" t="str">
        <x:v>DW-0846</x:v>
      </x:c>
      <x:c r="C851" t="str">
        <x:v>Parent historique</x:v>
      </x:c>
      <x:c r="D851" t="str">
        <x:v>public</x:v>
      </x:c>
      <x:c r="E851" t="str">
        <x:v>Mairie — variante 06</x:v>
      </x:c>
      <x:c r="F851" t="n">
        <x:v>8</x:v>
      </x:c>
      <x:c r="G851" t="n">
        <x:v>5</x:v>
      </x:c>
      <x:c r="H851" t="n">
        <x:v>0</x:v>
      </x:c>
      <x:c r="I851" t="str">
        <x:v>À qualifier par lieu</x:v>
      </x:c>
      <x:c r="J851" t="str">
        <x:v>https://github.com/darknigthmare/deadwall-last-enclosure/blob/1b3b9c5ba232734b1bda3453b4e20a0481bcdd74/codex-3000/originaux/DEADWALL_CODEX_SUPPLEMENT_1.23/FICHES_501_1000/DW-0846.md</x:v>
      </x:c>
      <x:c r="K851" t="str">
        <x:v>Source min 61,42 m ; max 61,42 m ; modèle 61 × 42 m ; niveaux 0. Détails dans catalogue-existant.json.</x:v>
      </x:c>
    </x:row>
    <x:row r="852">
      <x:c r="A852" t="str">
        <x:v>DW-0847</x:v>
      </x:c>
      <x:c r="B852" t="str">
        <x:v>DW-0847</x:v>
      </x:c>
      <x:c r="C852" t="str">
        <x:v>Parent historique</x:v>
      </x:c>
      <x:c r="D852" t="str">
        <x:v>public</x:v>
      </x:c>
      <x:c r="E852" t="str">
        <x:v>Clinique — variante 06</x:v>
      </x:c>
      <x:c r="F852" t="n">
        <x:v>8</x:v>
      </x:c>
      <x:c r="G852" t="n">
        <x:v>6</x:v>
      </x:c>
      <x:c r="H852" t="n">
        <x:v>0</x:v>
      </x:c>
      <x:c r="I852" t="str">
        <x:v>À qualifier par lieu</x:v>
      </x:c>
      <x:c r="J852" t="str">
        <x:v>https://github.com/darknigthmare/deadwall-last-enclosure/blob/1b3b9c5ba232734b1bda3453b4e20a0481bcdd74/codex-3000/originaux/DEADWALL_CODEX_SUPPLEMENT_1.23/FICHES_501_1000/DW-0847.md</x:v>
      </x:c>
      <x:c r="K852" t="str">
        <x:v>Source min 72,59 m ; max 72,59 m ; modèle 72 × 59 m ; niveaux 0. Détails dans catalogue-existant.json.</x:v>
      </x:c>
    </x:row>
    <x:row r="853">
      <x:c r="A853" t="str">
        <x:v>DW-0848</x:v>
      </x:c>
      <x:c r="B853" t="str">
        <x:v>DW-0848</x:v>
      </x:c>
      <x:c r="C853" t="str">
        <x:v>Parent historique</x:v>
      </x:c>
      <x:c r="D853" t="str">
        <x:v>public</x:v>
      </x:c>
      <x:c r="E853" t="str">
        <x:v>Caserne de pompiers — variante 06</x:v>
      </x:c>
      <x:c r="F853" t="n">
        <x:v>8</x:v>
      </x:c>
      <x:c r="G853" t="n">
        <x:v>6</x:v>
      </x:c>
      <x:c r="H853" t="n">
        <x:v>0</x:v>
      </x:c>
      <x:c r="I853" t="str">
        <x:v>À qualifier par lieu</x:v>
      </x:c>
      <x:c r="J853" t="str">
        <x:v>https://github.com/darknigthmare/deadwall-last-enclosure/blob/1b3b9c5ba232734b1bda3453b4e20a0481bcdd74/codex-3000/originaux/DEADWALL_CODEX_SUPPLEMENT_1.23/FICHES_501_1000/DW-0848.md</x:v>
      </x:c>
      <x:c r="K853" t="str">
        <x:v>Source min 11,22 m ; max 11,22 m ; modèle 28 × 22 m ; niveaux 0. Détails dans catalogue-existant.json.</x:v>
      </x:c>
    </x:row>
    <x:row r="854">
      <x:c r="A854" t="str">
        <x:v>DW-0849</x:v>
      </x:c>
      <x:c r="B854" t="str">
        <x:v>DW-0849</x:v>
      </x:c>
      <x:c r="C854" t="str">
        <x:v>Parent historique</x:v>
      </x:c>
      <x:c r="D854" t="str">
        <x:v>public</x:v>
      </x:c>
      <x:c r="E854" t="str">
        <x:v>Poste de police — variante 06</x:v>
      </x:c>
      <x:c r="F854" t="n">
        <x:v>8</x:v>
      </x:c>
      <x:c r="G854" t="n">
        <x:v>5</x:v>
      </x:c>
      <x:c r="H854" t="n">
        <x:v>0</x:v>
      </x:c>
      <x:c r="I854" t="str">
        <x:v>À qualifier par lieu</x:v>
      </x:c>
      <x:c r="J854" t="str">
        <x:v>https://github.com/darknigthmare/deadwall-last-enclosure/blob/1b3b9c5ba232734b1bda3453b4e20a0481bcdd74/codex-3000/originaux/DEADWALL_CODEX_SUPPLEMENT_1.23/FICHES_501_1000/DW-0849.md</x:v>
      </x:c>
      <x:c r="K854" t="str">
        <x:v>Source min 22,39 m ; max 22,39 m ; modèle 26 × 39 m ; niveaux 0, 1. Détails dans catalogue-existant.json.</x:v>
      </x:c>
    </x:row>
    <x:row r="855">
      <x:c r="A855" t="str">
        <x:v>DW-0850</x:v>
      </x:c>
      <x:c r="B855" t="str">
        <x:v>DW-0850</x:v>
      </x:c>
      <x:c r="C855" t="str">
        <x:v>Parent historique</x:v>
      </x:c>
      <x:c r="D855" t="str">
        <x:v>public</x:v>
      </x:c>
      <x:c r="E855" t="str">
        <x:v>Bibliothèque — variante 06</x:v>
      </x:c>
      <x:c r="F855" t="n">
        <x:v>8</x:v>
      </x:c>
      <x:c r="G855" t="n">
        <x:v>5</x:v>
      </x:c>
      <x:c r="H855" t="n">
        <x:v>0</x:v>
      </x:c>
      <x:c r="I855" t="str">
        <x:v>À qualifier par lieu</x:v>
      </x:c>
      <x:c r="J855" t="str">
        <x:v>https://github.com/darknigthmare/deadwall-last-enclosure/blob/1b3b9c5ba232734b1bda3453b4e20a0481bcdd74/codex-3000/originaux/DEADWALL_CODEX_SUPPLEMENT_1.23/FICHES_501_1000/DW-0850.md</x:v>
      </x:c>
      <x:c r="K855" t="str">
        <x:v>Source min 33,56 m ; max 33,56 m ; modèle 33 × 56 m ; niveaux 0. Détails dans catalogue-existant.json.</x:v>
      </x:c>
    </x:row>
    <x:row r="856">
      <x:c r="A856" t="str">
        <x:v>DW-0851</x:v>
      </x:c>
      <x:c r="B856" t="str">
        <x:v>DW-0851</x:v>
      </x:c>
      <x:c r="C856" t="str">
        <x:v>Parent historique</x:v>
      </x:c>
      <x:c r="D856" t="str">
        <x:v>public</x:v>
      </x:c>
      <x:c r="E856" t="str">
        <x:v>Salle des fêtes — variante 06</x:v>
      </x:c>
      <x:c r="F856" t="n">
        <x:v>8</x:v>
      </x:c>
      <x:c r="G856" t="n">
        <x:v>5</x:v>
      </x:c>
      <x:c r="H856" t="n">
        <x:v>0</x:v>
      </x:c>
      <x:c r="I856" t="str">
        <x:v>À qualifier par lieu</x:v>
      </x:c>
      <x:c r="J856" t="str">
        <x:v>https://github.com/darknigthmare/deadwall-last-enclosure/blob/1b3b9c5ba232734b1bda3453b4e20a0481bcdd74/codex-3000/originaux/DEADWALL_CODEX_SUPPLEMENT_1.23/FICHES_501_1000/DW-0851.md</x:v>
      </x:c>
      <x:c r="K856" t="str">
        <x:v>Source min 44,19 m ; max 44,19 m ; modèle 44 × 22 m ; niveaux 0. Détails dans catalogue-existant.json.</x:v>
      </x:c>
    </x:row>
    <x:row r="857">
      <x:c r="A857" t="str">
        <x:v>DW-0852</x:v>
      </x:c>
      <x:c r="B857" t="str">
        <x:v>DW-0852</x:v>
      </x:c>
      <x:c r="C857" t="str">
        <x:v>Parent historique</x:v>
      </x:c>
      <x:c r="D857" t="str">
        <x:v>public</x:v>
      </x:c>
      <x:c r="E857" t="str">
        <x:v>Église et presbytère — variante 06</x:v>
      </x:c>
      <x:c r="F857" t="n">
        <x:v>8</x:v>
      </x:c>
      <x:c r="G857" t="n">
        <x:v>5</x:v>
      </x:c>
      <x:c r="H857" t="n">
        <x:v>0</x:v>
      </x:c>
      <x:c r="I857" t="str">
        <x:v>À qualifier par lieu</x:v>
      </x:c>
      <x:c r="J857" t="str">
        <x:v>https://github.com/darknigthmare/deadwall-last-enclosure/blob/1b3b9c5ba232734b1bda3453b4e20a0481bcdd74/codex-3000/originaux/DEADWALL_CODEX_SUPPLEMENT_1.23/FICHES_501_1000/DW-0852.md</x:v>
      </x:c>
      <x:c r="K857" t="str">
        <x:v>Source min 55,36 m ; max 55,36 m ; modèle 55 × 36 m ; niveaux 0. Détails dans catalogue-existant.json.</x:v>
      </x:c>
    </x:row>
    <x:row r="858">
      <x:c r="A858" t="str">
        <x:v>DW-0853</x:v>
      </x:c>
      <x:c r="B858" t="str">
        <x:v>DW-0853</x:v>
      </x:c>
      <x:c r="C858" t="str">
        <x:v>Parent historique</x:v>
      </x:c>
      <x:c r="D858" t="str">
        <x:v>rural</x:v>
      </x:c>
      <x:c r="E858" t="str">
        <x:v>Hameau agricole — variante 06</x:v>
      </x:c>
      <x:c r="F858" t="n">
        <x:v>8</x:v>
      </x:c>
      <x:c r="G858" t="n">
        <x:v>6</x:v>
      </x:c>
      <x:c r="H858" t="n">
        <x:v>0</x:v>
      </x:c>
      <x:c r="I858" t="str">
        <x:v>À qualifier par lieu</x:v>
      </x:c>
      <x:c r="J858" t="str">
        <x:v>https://github.com/darknigthmare/deadwall-last-enclosure/blob/1b3b9c5ba232734b1bda3453b4e20a0481bcdd74/codex-3000/originaux/DEADWALL_CODEX_SUPPLEMENT_1.23/FICHES_501_1000/DW-0853.md</x:v>
      </x:c>
      <x:c r="K858" t="str">
        <x:v>Source min 66,53 m ; max 66,53 m ; modèle 66 × 53 m ; niveaux 0. Détails dans catalogue-existant.json.</x:v>
      </x:c>
    </x:row>
    <x:row r="859">
      <x:c r="A859" t="str">
        <x:v>DW-0854</x:v>
      </x:c>
      <x:c r="B859" t="str">
        <x:v>DW-0854</x:v>
      </x:c>
      <x:c r="C859" t="str">
        <x:v>Parent historique</x:v>
      </x:c>
      <x:c r="D859" t="str">
        <x:v>rural</x:v>
      </x:c>
      <x:c r="E859" t="str">
        <x:v>Cabane forestière — variante 06</x:v>
      </x:c>
      <x:c r="F859" t="n">
        <x:v>8</x:v>
      </x:c>
      <x:c r="G859" t="n">
        <x:v>4</x:v>
      </x:c>
      <x:c r="H859" t="n">
        <x:v>0</x:v>
      </x:c>
      <x:c r="I859" t="str">
        <x:v>À qualifier par lieu</x:v>
      </x:c>
      <x:c r="J859" t="str">
        <x:v>https://github.com/darknigthmare/deadwall-last-enclosure/blob/1b3b9c5ba232734b1bda3453b4e20a0481bcdd74/codex-3000/originaux/DEADWALL_CODEX_SUPPLEMENT_1.23/FICHES_501_1000/DW-0854.md</x:v>
      </x:c>
      <x:c r="K859" t="str">
        <x:v>Source min 77,16 m ; max 77,16 m ; modèle 77 × 18 m ; niveaux 0. Détails dans catalogue-existant.json.</x:v>
      </x:c>
    </x:row>
    <x:row r="860">
      <x:c r="A860" t="str">
        <x:v>DW-0855</x:v>
      </x:c>
      <x:c r="B860" t="str">
        <x:v>DW-0855</x:v>
      </x:c>
      <x:c r="C860" t="str">
        <x:v>Parent historique</x:v>
      </x:c>
      <x:c r="D860" t="str">
        <x:v>rural</x:v>
      </x:c>
      <x:c r="E860" t="str">
        <x:v>Dépôt forestier — variante 06</x:v>
      </x:c>
      <x:c r="F860" t="n">
        <x:v>8</x:v>
      </x:c>
      <x:c r="G860" t="n">
        <x:v>5</x:v>
      </x:c>
      <x:c r="H860" t="n">
        <x:v>0</x:v>
      </x:c>
      <x:c r="I860" t="str">
        <x:v>À qualifier par lieu</x:v>
      </x:c>
      <x:c r="J860" t="str">
        <x:v>https://github.com/darknigthmare/deadwall-last-enclosure/blob/1b3b9c5ba232734b1bda3453b4e20a0481bcdd74/codex-3000/originaux/DEADWALL_CODEX_SUPPLEMENT_1.23/FICHES_501_1000/DW-0855.md</x:v>
      </x:c>
      <x:c r="K860" t="str">
        <x:v>Source min 16,33 m ; max 16,33 m ; modèle 26 × 33 m ; niveaux 0. Détails dans catalogue-existant.json.</x:v>
      </x:c>
    </x:row>
    <x:row r="861">
      <x:c r="A861" t="str">
        <x:v>DW-0856</x:v>
      </x:c>
      <x:c r="B861" t="str">
        <x:v>DW-0856</x:v>
      </x:c>
      <x:c r="C861" t="str">
        <x:v>Parent historique</x:v>
      </x:c>
      <x:c r="D861" t="str">
        <x:v>rural</x:v>
      </x:c>
      <x:c r="E861" t="str">
        <x:v>Ferme céréalière — variante 06</x:v>
      </x:c>
      <x:c r="F861" t="n">
        <x:v>8</x:v>
      </x:c>
      <x:c r="G861" t="n">
        <x:v>5</x:v>
      </x:c>
      <x:c r="H861" t="n">
        <x:v>0</x:v>
      </x:c>
      <x:c r="I861" t="str">
        <x:v>À qualifier par lieu</x:v>
      </x:c>
      <x:c r="J861" t="str">
        <x:v>https://github.com/darknigthmare/deadwall-last-enclosure/blob/1b3b9c5ba232734b1bda3453b4e20a0481bcdd74/codex-3000/originaux/DEADWALL_CODEX_SUPPLEMENT_1.23/FICHES_501_1000/DW-0856.md</x:v>
      </x:c>
      <x:c r="K861" t="str">
        <x:v>Source min 27,50 m ; max 27,50 m ; modèle 27 × 50 m ; niveaux 0. Détails dans catalogue-existant.json.</x:v>
      </x:c>
    </x:row>
    <x:row r="862">
      <x:c r="A862" t="str">
        <x:v>DW-0857</x:v>
      </x:c>
      <x:c r="B862" t="str">
        <x:v>DW-0857</x:v>
      </x:c>
      <x:c r="C862" t="str">
        <x:v>Parent historique</x:v>
      </x:c>
      <x:c r="D862" t="str">
        <x:v>rural</x:v>
      </x:c>
      <x:c r="E862" t="str">
        <x:v>Ferme d'élevage — variante 06</x:v>
      </x:c>
      <x:c r="F862" t="n">
        <x:v>8</x:v>
      </x:c>
      <x:c r="G862" t="n">
        <x:v>5</x:v>
      </x:c>
      <x:c r="H862" t="n">
        <x:v>0</x:v>
      </x:c>
      <x:c r="I862" t="str">
        <x:v>À qualifier par lieu</x:v>
      </x:c>
      <x:c r="J862" t="str">
        <x:v>https://github.com/darknigthmare/deadwall-last-enclosure/blob/1b3b9c5ba232734b1bda3453b4e20a0481bcdd74/codex-3000/originaux/DEADWALL_CODEX_SUPPLEMENT_1.23/FICHES_501_1000/DW-0857.md</x:v>
      </x:c>
      <x:c r="K862" t="str">
        <x:v>Source min 38,13 m ; max 38,13 m ; modèle 38 × 22 m ; niveaux 0. Détails dans catalogue-existant.json.</x:v>
      </x:c>
    </x:row>
    <x:row r="863">
      <x:c r="A863" t="str">
        <x:v>DW-0858</x:v>
      </x:c>
      <x:c r="B863" t="str">
        <x:v>DW-0858</x:v>
      </x:c>
      <x:c r="C863" t="str">
        <x:v>Parent historique</x:v>
      </x:c>
      <x:c r="D863" t="str">
        <x:v>rural</x:v>
      </x:c>
      <x:c r="E863" t="str">
        <x:v>Relais de chasse — variante 06</x:v>
      </x:c>
      <x:c r="F863" t="n">
        <x:v>8</x:v>
      </x:c>
      <x:c r="G863" t="n">
        <x:v>4</x:v>
      </x:c>
      <x:c r="H863" t="n">
        <x:v>0</x:v>
      </x:c>
      <x:c r="I863" t="str">
        <x:v>À qualifier par lieu</x:v>
      </x:c>
      <x:c r="J863" t="str">
        <x:v>https://github.com/darknigthmare/deadwall-last-enclosure/blob/1b3b9c5ba232734b1bda3453b4e20a0481bcdd74/codex-3000/originaux/DEADWALL_CODEX_SUPPLEMENT_1.23/FICHES_501_1000/DW-0858.md</x:v>
      </x:c>
      <x:c r="K863" t="str">
        <x:v>Source min 49,30 m ; max 49,30 m ; modèle 49 × 30 m ; niveaux 0. Détails dans catalogue-existant.json.</x:v>
      </x:c>
    </x:row>
    <x:row r="864">
      <x:c r="A864" t="str">
        <x:v>DW-0859</x:v>
      </x:c>
      <x:c r="B864" t="str">
        <x:v>DW-0859</x:v>
      </x:c>
      <x:c r="C864" t="str">
        <x:v>Parent historique</x:v>
      </x:c>
      <x:c r="D864" t="str">
        <x:v>rural</x:v>
      </x:c>
      <x:c r="E864" t="str">
        <x:v>Moulin rural — variante 06</x:v>
      </x:c>
      <x:c r="F864" t="n">
        <x:v>8</x:v>
      </x:c>
      <x:c r="G864" t="n">
        <x:v>4</x:v>
      </x:c>
      <x:c r="H864" t="n">
        <x:v>0</x:v>
      </x:c>
      <x:c r="I864" t="str">
        <x:v>À qualifier par lieu</x:v>
      </x:c>
      <x:c r="J864" t="str">
        <x:v>https://github.com/darknigthmare/deadwall-last-enclosure/blob/1b3b9c5ba232734b1bda3453b4e20a0481bcdd74/codex-3000/originaux/DEADWALL_CODEX_SUPPLEMENT_1.23/FICHES_501_1000/DW-0859.md</x:v>
      </x:c>
      <x:c r="K864" t="str">
        <x:v>Source min 60,47 m ; max 60,47 m ; modèle 60 × 47 m ; niveaux 0. Détails dans catalogue-existant.json.</x:v>
      </x:c>
    </x:row>
    <x:row r="865">
      <x:c r="A865" t="str">
        <x:v>DW-0860</x:v>
      </x:c>
      <x:c r="B865" t="str">
        <x:v>DW-0860</x:v>
      </x:c>
      <x:c r="C865" t="str">
        <x:v>Parent historique</x:v>
      </x:c>
      <x:c r="D865" t="str">
        <x:v>rural</x:v>
      </x:c>
      <x:c r="E865" t="str">
        <x:v>Serres maraîchères — variante 06</x:v>
      </x:c>
      <x:c r="F865" t="n">
        <x:v>8</x:v>
      </x:c>
      <x:c r="G865" t="n">
        <x:v>5</x:v>
      </x:c>
      <x:c r="H865" t="n">
        <x:v>0</x:v>
      </x:c>
      <x:c r="I865" t="str">
        <x:v>À qualifier par lieu</x:v>
      </x:c>
      <x:c r="J865" t="str">
        <x:v>https://github.com/darknigthmare/deadwall-last-enclosure/blob/1b3b9c5ba232734b1bda3453b4e20a0481bcdd74/codex-3000/originaux/DEADWALL_CODEX_SUPPLEMENT_1.23/FICHES_501_1000/DW-0860.md</x:v>
      </x:c>
      <x:c r="K865" t="str">
        <x:v>Source min 71,10 m ; max 71,10 m ; modèle 71 × 22 m ; niveaux 0. Détails dans catalogue-existant.json.</x:v>
      </x:c>
    </x:row>
    <x:row r="866">
      <x:c r="A866" t="str">
        <x:v>DW-0861</x:v>
      </x:c>
      <x:c r="B866" t="str">
        <x:v>DW-0861</x:v>
      </x:c>
      <x:c r="C866" t="str">
        <x:v>Parent historique</x:v>
      </x:c>
      <x:c r="D866" t="str">
        <x:v>militaire</x:v>
      </x:c>
      <x:c r="E866" t="str">
        <x:v>Bunker de défense civile — variante 06</x:v>
      </x:c>
      <x:c r="F866" t="n">
        <x:v>8</x:v>
      </x:c>
      <x:c r="G866" t="n">
        <x:v>6</x:v>
      </x:c>
      <x:c r="H866" t="n">
        <x:v>0</x:v>
      </x:c>
      <x:c r="I866" t="str">
        <x:v>À qualifier par lieu</x:v>
      </x:c>
      <x:c r="J866" t="str">
        <x:v>https://github.com/darknigthmare/deadwall-last-enclosure/blob/1b3b9c5ba232734b1bda3453b4e20a0481bcdd74/codex-3000/originaux/DEADWALL_CODEX_SUPPLEMENT_1.23/FICHES_501_1000/DW-0861.md</x:v>
      </x:c>
      <x:c r="K866" t="str">
        <x:v>Source min 10,27 m ; max 10,27 m ; modèle 28 × 27 m ; niveaux 0, 1. Détails dans catalogue-existant.json.</x:v>
      </x:c>
    </x:row>
    <x:row r="867">
      <x:c r="A867" t="str">
        <x:v>DW-0862</x:v>
      </x:c>
      <x:c r="B867" t="str">
        <x:v>DW-0862</x:v>
      </x:c>
      <x:c r="C867" t="str">
        <x:v>Parent historique</x:v>
      </x:c>
      <x:c r="D867" t="str">
        <x:v>militaire</x:v>
      </x:c>
      <x:c r="E867" t="str">
        <x:v>Dépôt militaire — variante 06</x:v>
      </x:c>
      <x:c r="F867" t="n">
        <x:v>8</x:v>
      </x:c>
      <x:c r="G867" t="n">
        <x:v>5</x:v>
      </x:c>
      <x:c r="H867" t="n">
        <x:v>0</x:v>
      </x:c>
      <x:c r="I867" t="str">
        <x:v>À qualifier par lieu</x:v>
      </x:c>
      <x:c r="J867" t="str">
        <x:v>https://github.com/darknigthmare/deadwall-last-enclosure/blob/1b3b9c5ba232734b1bda3453b4e20a0481bcdd74/codex-3000/originaux/DEADWALL_CODEX_SUPPLEMENT_1.23/FICHES_501_1000/DW-0862.md</x:v>
      </x:c>
      <x:c r="K867" t="str">
        <x:v>Source min 21,44 m ; max 21,44 m ; modèle 26 × 44 m ; niveaux 0. Détails dans catalogue-existant.json.</x:v>
      </x:c>
    </x:row>
    <x:row r="868">
      <x:c r="A868" t="str">
        <x:v>DW-0863</x:v>
      </x:c>
      <x:c r="B868" t="str">
        <x:v>DW-0863</x:v>
      </x:c>
      <x:c r="C868" t="str">
        <x:v>Parent historique</x:v>
      </x:c>
      <x:c r="D868" t="str">
        <x:v>militaire</x:v>
      </x:c>
      <x:c r="E868" t="str">
        <x:v>Poste de contrôle — variante 06</x:v>
      </x:c>
      <x:c r="F868" t="n">
        <x:v>8</x:v>
      </x:c>
      <x:c r="G868" t="n">
        <x:v>5</x:v>
      </x:c>
      <x:c r="H868" t="n">
        <x:v>0</x:v>
      </x:c>
      <x:c r="I868" t="str">
        <x:v>À qualifier par lieu</x:v>
      </x:c>
      <x:c r="J868" t="str">
        <x:v>https://github.com/darknigthmare/deadwall-last-enclosure/blob/1b3b9c5ba232734b1bda3453b4e20a0481bcdd74/codex-3000/originaux/DEADWALL_CODEX_SUPPLEMENT_1.23/FICHES_501_1000/DW-0863.md</x:v>
      </x:c>
      <x:c r="K868" t="str">
        <x:v>Source min 32,61 m ; max 32,61 m ; modèle 32 × 61 m ; niveaux 0. Détails dans catalogue-existant.json.</x:v>
      </x:c>
    </x:row>
    <x:row r="869">
      <x:c r="A869" t="str">
        <x:v>DW-0864</x:v>
      </x:c>
      <x:c r="B869" t="str">
        <x:v>DW-0864</x:v>
      </x:c>
      <x:c r="C869" t="str">
        <x:v>Parent historique</x:v>
      </x:c>
      <x:c r="D869" t="str">
        <x:v>militaire</x:v>
      </x:c>
      <x:c r="E869" t="str">
        <x:v>Camp retranché abandonné — variante 06</x:v>
      </x:c>
      <x:c r="F869" t="n">
        <x:v>8</x:v>
      </x:c>
      <x:c r="G869" t="n">
        <x:v>5</x:v>
      </x:c>
      <x:c r="H869" t="n">
        <x:v>0</x:v>
      </x:c>
      <x:c r="I869" t="str">
        <x:v>À qualifier par lieu</x:v>
      </x:c>
      <x:c r="J869" t="str">
        <x:v>https://github.com/darknigthmare/deadwall-last-enclosure/blob/1b3b9c5ba232734b1bda3453b4e20a0481bcdd74/codex-3000/originaux/DEADWALL_CODEX_SUPPLEMENT_1.23/FICHES_501_1000/DW-0864.md</x:v>
      </x:c>
      <x:c r="K869" t="str">
        <x:v>Source min 43,24 m ; max 43,24 m ; modèle 43 × 24 m ; niveaux 0. Détails dans catalogue-existant.json.</x:v>
      </x:c>
    </x:row>
    <x:row r="870">
      <x:c r="A870" t="str">
        <x:v>DW-0865</x:v>
      </x:c>
      <x:c r="B870" t="str">
        <x:v>DW-0865</x:v>
      </x:c>
      <x:c r="C870" t="str">
        <x:v>Parent historique</x:v>
      </x:c>
      <x:c r="D870" t="str">
        <x:v>militaire</x:v>
      </x:c>
      <x:c r="E870" t="str">
        <x:v>Abri ferroviaire — variante 06</x:v>
      </x:c>
      <x:c r="F870" t="n">
        <x:v>8</x:v>
      </x:c>
      <x:c r="G870" t="n">
        <x:v>4</x:v>
      </x:c>
      <x:c r="H870" t="n">
        <x:v>0</x:v>
      </x:c>
      <x:c r="I870" t="str">
        <x:v>À qualifier par lieu</x:v>
      </x:c>
      <x:c r="J870" t="str">
        <x:v>https://github.com/darknigthmare/deadwall-last-enclosure/blob/1b3b9c5ba232734b1bda3453b4e20a0481bcdd74/codex-3000/originaux/DEADWALL_CODEX_SUPPLEMENT_1.23/FICHES_501_1000/DW-0865.md</x:v>
      </x:c>
      <x:c r="K870" t="str">
        <x:v>Source min 54,41 m ; max 54,41 m ; modèle 54 × 41 m ; niveaux 0. Détails dans catalogue-existant.json.</x:v>
      </x:c>
    </x:row>
    <x:row r="871">
      <x:c r="A871" t="str">
        <x:v>DW-0866</x:v>
      </x:c>
      <x:c r="B871" t="str">
        <x:v>DW-0866</x:v>
      </x:c>
      <x:c r="C871" t="str">
        <x:v>Parent historique</x:v>
      </x:c>
      <x:c r="D871" t="str">
        <x:v>militaire</x:v>
      </x:c>
      <x:c r="E871" t="str">
        <x:v>Site radar — variante 06</x:v>
      </x:c>
      <x:c r="F871" t="n">
        <x:v>8</x:v>
      </x:c>
      <x:c r="G871" t="n">
        <x:v>5</x:v>
      </x:c>
      <x:c r="H871" t="n">
        <x:v>0</x:v>
      </x:c>
      <x:c r="I871" t="str">
        <x:v>À qualifier par lieu</x:v>
      </x:c>
      <x:c r="J871" t="str">
        <x:v>https://github.com/darknigthmare/deadwall-last-enclosure/blob/1b3b9c5ba232734b1bda3453b4e20a0481bcdd74/codex-3000/originaux/DEADWALL_CODEX_SUPPLEMENT_1.23/FICHES_501_1000/DW-0866.md</x:v>
      </x:c>
      <x:c r="K871" t="str">
        <x:v>Source min 65,58 m ; max 65,58 m ; modèle 65 × 58 m ; niveaux 0. Détails dans catalogue-existant.json.</x:v>
      </x:c>
    </x:row>
    <x:row r="872">
      <x:c r="A872" t="str">
        <x:v>DW-0867</x:v>
      </x:c>
      <x:c r="B872" t="str">
        <x:v>DW-0867</x:v>
      </x:c>
      <x:c r="C872" t="str">
        <x:v>Parent historique</x:v>
      </x:c>
      <x:c r="D872" t="str">
        <x:v>militaire</x:v>
      </x:c>
      <x:c r="E872" t="str">
        <x:v>Batterie côtière — variante 06</x:v>
      </x:c>
      <x:c r="F872" t="n">
        <x:v>8</x:v>
      </x:c>
      <x:c r="G872" t="n">
        <x:v>4</x:v>
      </x:c>
      <x:c r="H872" t="n">
        <x:v>0</x:v>
      </x:c>
      <x:c r="I872" t="str">
        <x:v>À qualifier par lieu</x:v>
      </x:c>
      <x:c r="J872" t="str">
        <x:v>https://github.com/darknigthmare/deadwall-last-enclosure/blob/1b3b9c5ba232734b1bda3453b4e20a0481bcdd74/codex-3000/originaux/DEADWALL_CODEX_SUPPLEMENT_1.23/FICHES_501_1000/DW-0867.md</x:v>
      </x:c>
      <x:c r="K872" t="str">
        <x:v>Source min 76,21 m ; max 76,21 m ; modèle 76 × 21 m ; niveaux 0. Détails dans catalogue-existant.json.</x:v>
      </x:c>
    </x:row>
    <x:row r="873">
      <x:c r="A873" t="str">
        <x:v>DW-0868</x:v>
      </x:c>
      <x:c r="B873" t="str">
        <x:v>DW-0868</x:v>
      </x:c>
      <x:c r="C873" t="str">
        <x:v>Parent historique</x:v>
      </x:c>
      <x:c r="D873" t="str">
        <x:v>militaire</x:v>
      </x:c>
      <x:c r="E873" t="str">
        <x:v>Dépôt carburant sécurisé — variante 06</x:v>
      </x:c>
      <x:c r="F873" t="n">
        <x:v>8</x:v>
      </x:c>
      <x:c r="G873" t="n">
        <x:v>5</x:v>
      </x:c>
      <x:c r="H873" t="n">
        <x:v>0</x:v>
      </x:c>
      <x:c r="I873" t="str">
        <x:v>À qualifier par lieu</x:v>
      </x:c>
      <x:c r="J873" t="str">
        <x:v>https://github.com/darknigthmare/deadwall-last-enclosure/blob/1b3b9c5ba232734b1bda3453b4e20a0481bcdd74/codex-3000/originaux/DEADWALL_CODEX_SUPPLEMENT_1.23/FICHES_501_1000/DW-0868.md</x:v>
      </x:c>
      <x:c r="K873" t="str">
        <x:v>Source min 15,38 m ; max 15,38 m ; modèle 26 × 38 m ; niveaux 0. Détails dans catalogue-existant.json.</x:v>
      </x:c>
    </x:row>
    <x:row r="874">
      <x:c r="A874" t="str">
        <x:v>DW-0869</x:v>
      </x:c>
      <x:c r="B874" t="str">
        <x:v>DW-0869</x:v>
      </x:c>
      <x:c r="C874" t="str">
        <x:v>Parent historique</x:v>
      </x:c>
      <x:c r="D874" t="str">
        <x:v>transport</x:v>
      </x:c>
      <x:c r="E874" t="str">
        <x:v>Gare routière — variante 06</x:v>
      </x:c>
      <x:c r="F874" t="n">
        <x:v>8</x:v>
      </x:c>
      <x:c r="G874" t="n">
        <x:v>5</x:v>
      </x:c>
      <x:c r="H874" t="n">
        <x:v>0</x:v>
      </x:c>
      <x:c r="I874" t="str">
        <x:v>À qualifier par lieu</x:v>
      </x:c>
      <x:c r="J874" t="str">
        <x:v>https://github.com/darknigthmare/deadwall-last-enclosure/blob/1b3b9c5ba232734b1bda3453b4e20a0481bcdd74/codex-3000/originaux/DEADWALL_CODEX_SUPPLEMENT_1.23/FICHES_501_1000/DW-0869.md</x:v>
      </x:c>
      <x:c r="K874" t="str">
        <x:v>Source min 26,55 m ; max 26,55 m ; modèle 26 × 55 m ; niveaux 0. Détails dans catalogue-existant.json.</x:v>
      </x:c>
    </x:row>
    <x:row r="875">
      <x:c r="A875" t="str">
        <x:v>DW-0870</x:v>
      </x:c>
      <x:c r="B875" t="str">
        <x:v>DW-0870</x:v>
      </x:c>
      <x:c r="C875" t="str">
        <x:v>Parent historique</x:v>
      </x:c>
      <x:c r="D875" t="str">
        <x:v>transport</x:v>
      </x:c>
      <x:c r="E875" t="str">
        <x:v>Dépôt de bus — variante 06</x:v>
      </x:c>
      <x:c r="F875" t="n">
        <x:v>8</x:v>
      </x:c>
      <x:c r="G875" t="n">
        <x:v>5</x:v>
      </x:c>
      <x:c r="H875" t="n">
        <x:v>0</x:v>
      </x:c>
      <x:c r="I875" t="str">
        <x:v>À qualifier par lieu</x:v>
      </x:c>
      <x:c r="J875" t="str">
        <x:v>https://github.com/darknigthmare/deadwall-last-enclosure/blob/1b3b9c5ba232734b1bda3453b4e20a0481bcdd74/codex-3000/originaux/DEADWALL_CODEX_SUPPLEMENT_1.23/FICHES_501_1000/DW-0870.md</x:v>
      </x:c>
      <x:c r="K875" t="str">
        <x:v>Source min 37,18 m ; max 37,18 m ; modèle 37 × 22 m ; niveaux 0. Détails dans catalogue-existant.json.</x:v>
      </x:c>
    </x:row>
    <x:row r="876">
      <x:c r="A876" t="str">
        <x:v>DW-0871</x:v>
      </x:c>
      <x:c r="B876" t="str">
        <x:v>DW-0871</x:v>
      </x:c>
      <x:c r="C876" t="str">
        <x:v>Parent historique</x:v>
      </x:c>
      <x:c r="D876" t="str">
        <x:v>transport</x:v>
      </x:c>
      <x:c r="E876" t="str">
        <x:v>Gare ferroviaire — variante 06</x:v>
      </x:c>
      <x:c r="F876" t="n">
        <x:v>8</x:v>
      </x:c>
      <x:c r="G876" t="n">
        <x:v>5</x:v>
      </x:c>
      <x:c r="H876" t="n">
        <x:v>0</x:v>
      </x:c>
      <x:c r="I876" t="str">
        <x:v>À qualifier par lieu</x:v>
      </x:c>
      <x:c r="J876" t="str">
        <x:v>https://github.com/darknigthmare/deadwall-last-enclosure/blob/1b3b9c5ba232734b1bda3453b4e20a0481bcdd74/codex-3000/originaux/DEADWALL_CODEX_SUPPLEMENT_1.23/FICHES_501_1000/DW-0871.md</x:v>
      </x:c>
      <x:c r="K876" t="str">
        <x:v>Source min 48,35 m ; max 48,35 m ; modèle 48 × 35 m ; niveaux 0. Détails dans catalogue-existant.json.</x:v>
      </x:c>
    </x:row>
    <x:row r="877">
      <x:c r="A877" t="str">
        <x:v>DW-0872</x:v>
      </x:c>
      <x:c r="B877" t="str">
        <x:v>DW-0872</x:v>
      </x:c>
      <x:c r="C877" t="str">
        <x:v>Parent historique</x:v>
      </x:c>
      <x:c r="D877" t="str">
        <x:v>transport</x:v>
      </x:c>
      <x:c r="E877" t="str">
        <x:v>Aire d'autoroute — variante 06</x:v>
      </x:c>
      <x:c r="F877" t="n">
        <x:v>8</x:v>
      </x:c>
      <x:c r="G877" t="n">
        <x:v>5</x:v>
      </x:c>
      <x:c r="H877" t="n">
        <x:v>0</x:v>
      </x:c>
      <x:c r="I877" t="str">
        <x:v>À qualifier par lieu</x:v>
      </x:c>
      <x:c r="J877" t="str">
        <x:v>https://github.com/darknigthmare/deadwall-last-enclosure/blob/1b3b9c5ba232734b1bda3453b4e20a0481bcdd74/codex-3000/originaux/DEADWALL_CODEX_SUPPLEMENT_1.23/FICHES_501_1000/DW-0872.md</x:v>
      </x:c>
      <x:c r="K877" t="str">
        <x:v>Source min 59,52 m ; max 59,52 m ; modèle 59 × 52 m ; niveaux 0. Détails dans catalogue-existant.json.</x:v>
      </x:c>
    </x:row>
    <x:row r="878">
      <x:c r="A878" t="str">
        <x:v>DW-0873</x:v>
      </x:c>
      <x:c r="B878" t="str">
        <x:v>DW-0873</x:v>
      </x:c>
      <x:c r="C878" t="str">
        <x:v>Parent historique</x:v>
      </x:c>
      <x:c r="D878" t="str">
        <x:v>transport</x:v>
      </x:c>
      <x:c r="E878" t="str">
        <x:v>Parking silo — variante 06</x:v>
      </x:c>
      <x:c r="F878" t="n">
        <x:v>8</x:v>
      </x:c>
      <x:c r="G878" t="n">
        <x:v>4</x:v>
      </x:c>
      <x:c r="H878" t="n">
        <x:v>0</x:v>
      </x:c>
      <x:c r="I878" t="str">
        <x:v>À qualifier par lieu</x:v>
      </x:c>
      <x:c r="J878" t="str">
        <x:v>https://github.com/darknigthmare/deadwall-last-enclosure/blob/1b3b9c5ba232734b1bda3453b4e20a0481bcdd74/codex-3000/originaux/DEADWALL_CODEX_SUPPLEMENT_1.23/FICHES_501_1000/DW-0873.md</x:v>
      </x:c>
      <x:c r="K878" t="str">
        <x:v>Source min 70,15 m ; max 70,15 m ; modèle 70 × 18 m ; niveaux 0. Détails dans catalogue-existant.json.</x:v>
      </x:c>
    </x:row>
    <x:row r="879">
      <x:c r="A879" t="str">
        <x:v>DW-0874</x:v>
      </x:c>
      <x:c r="B879" t="str">
        <x:v>DW-0874</x:v>
      </x:c>
      <x:c r="C879" t="str">
        <x:v>Parent historique</x:v>
      </x:c>
      <x:c r="D879" t="str">
        <x:v>transport</x:v>
      </x:c>
      <x:c r="E879" t="str">
        <x:v>Terminal poids lourds — variante 06</x:v>
      </x:c>
      <x:c r="F879" t="n">
        <x:v>8</x:v>
      </x:c>
      <x:c r="G879" t="n">
        <x:v>5</x:v>
      </x:c>
      <x:c r="H879" t="n">
        <x:v>0</x:v>
      </x:c>
      <x:c r="I879" t="str">
        <x:v>À qualifier par lieu</x:v>
      </x:c>
      <x:c r="J879" t="str">
        <x:v>https://github.com/darknigthmare/deadwall-last-enclosure/blob/1b3b9c5ba232734b1bda3453b4e20a0481bcdd74/codex-3000/originaux/DEADWALL_CODEX_SUPPLEMENT_1.23/FICHES_501_1000/DW-0874.md</x:v>
      </x:c>
      <x:c r="K879" t="str">
        <x:v>Source min 81,32 m ; max 81,32 m ; modèle 78 × 32 m ; niveaux 0. Détails dans catalogue-existant.json.</x:v>
      </x:c>
    </x:row>
    <x:row r="880">
      <x:c r="A880" t="str">
        <x:v>DW-0875</x:v>
      </x:c>
      <x:c r="B880" t="str">
        <x:v>DW-0875</x:v>
      </x:c>
      <x:c r="C880" t="str">
        <x:v>Parent historique</x:v>
      </x:c>
      <x:c r="D880" t="str">
        <x:v>transport</x:v>
      </x:c>
      <x:c r="E880" t="str">
        <x:v>Port de plaisance — variante 06</x:v>
      </x:c>
      <x:c r="F880" t="n">
        <x:v>8</x:v>
      </x:c>
      <x:c r="G880" t="n">
        <x:v>5</x:v>
      </x:c>
      <x:c r="H880" t="n">
        <x:v>0</x:v>
      </x:c>
      <x:c r="I880" t="str">
        <x:v>À qualifier par lieu</x:v>
      </x:c>
      <x:c r="J880" t="str">
        <x:v>https://github.com/darknigthmare/deadwall-last-enclosure/blob/1b3b9c5ba232734b1bda3453b4e20a0481bcdd74/codex-3000/originaux/DEADWALL_CODEX_SUPPLEMENT_1.23/FICHES_501_1000/DW-0875.md</x:v>
      </x:c>
      <x:c r="K880" t="str">
        <x:v>Source min 20,49 m ; max 20,49 m ; modèle 26 × 49 m ; niveaux 0. Détails dans catalogue-existant.json.</x:v>
      </x:c>
    </x:row>
    <x:row r="881">
      <x:c r="A881" t="str">
        <x:v>DW-0876</x:v>
      </x:c>
      <x:c r="B881" t="str">
        <x:v>DW-0876</x:v>
      </x:c>
      <x:c r="C881" t="str">
        <x:v>Parent historique</x:v>
      </x:c>
      <x:c r="D881" t="str">
        <x:v>transport</x:v>
      </x:c>
      <x:c r="E881" t="str">
        <x:v>Petit aérodrome — variante 06</x:v>
      </x:c>
      <x:c r="F881" t="n">
        <x:v>8</x:v>
      </x:c>
      <x:c r="G881" t="n">
        <x:v>5</x:v>
      </x:c>
      <x:c r="H881" t="n">
        <x:v>0</x:v>
      </x:c>
      <x:c r="I881" t="str">
        <x:v>À qualifier par lieu</x:v>
      </x:c>
      <x:c r="J881" t="str">
        <x:v>https://github.com/darknigthmare/deadwall-last-enclosure/blob/1b3b9c5ba232734b1bda3453b4e20a0481bcdd74/codex-3000/originaux/DEADWALL_CODEX_SUPPLEMENT_1.23/FICHES_501_1000/DW-0876.md</x:v>
      </x:c>
      <x:c r="K881" t="str">
        <x:v>Source min 31,12 m ; max 31,12 m ; modèle 31 × 22 m ; niveaux 0. Détails dans catalogue-existant.json.</x:v>
      </x:c>
    </x:row>
    <x:row r="882">
      <x:c r="A882" t="str">
        <x:v>DW-0877</x:v>
      </x:c>
      <x:c r="B882" t="str">
        <x:v>DW-0877</x:v>
      </x:c>
      <x:c r="C882" t="str">
        <x:v>Parent historique</x:v>
      </x:c>
      <x:c r="D882" t="str">
        <x:v>ruines</x:v>
      </x:c>
      <x:c r="E882" t="str">
        <x:v>Maison incendiée — variante 06</x:v>
      </x:c>
      <x:c r="F882" t="n">
        <x:v>8</x:v>
      </x:c>
      <x:c r="G882" t="n">
        <x:v>3</x:v>
      </x:c>
      <x:c r="H882" t="n">
        <x:v>0</x:v>
      </x:c>
      <x:c r="I882" t="str">
        <x:v>À qualifier par lieu</x:v>
      </x:c>
      <x:c r="J882" t="str">
        <x:v>https://github.com/darknigthmare/deadwall-last-enclosure/blob/1b3b9c5ba232734b1bda3453b4e20a0481bcdd74/codex-3000/originaux/DEADWALL_CODEX_SUPPLEMENT_1.23/FICHES_501_1000/DW-0877.md</x:v>
      </x:c>
      <x:c r="K882" t="str">
        <x:v>Source min 42,29 m ; max 42,29 m ; modèle 42 × 29 m ; niveaux 0, 1. Détails dans catalogue-existant.json.</x:v>
      </x:c>
    </x:row>
    <x:row r="883">
      <x:c r="A883" t="str">
        <x:v>DW-0878</x:v>
      </x:c>
      <x:c r="B883" t="str">
        <x:v>DW-0878</x:v>
      </x:c>
      <x:c r="C883" t="str">
        <x:v>Parent historique</x:v>
      </x:c>
      <x:c r="D883" t="str">
        <x:v>ruines</x:v>
      </x:c>
      <x:c r="E883" t="str">
        <x:v>Immeuble éventré — variante 06</x:v>
      </x:c>
      <x:c r="F883" t="n">
        <x:v>8</x:v>
      </x:c>
      <x:c r="G883" t="n">
        <x:v>4</x:v>
      </x:c>
      <x:c r="H883" t="n">
        <x:v>0</x:v>
      </x:c>
      <x:c r="I883" t="str">
        <x:v>À qualifier par lieu</x:v>
      </x:c>
      <x:c r="J883" t="str">
        <x:v>https://github.com/darknigthmare/deadwall-last-enclosure/blob/1b3b9c5ba232734b1bda3453b4e20a0481bcdd74/codex-3000/originaux/DEADWALL_CODEX_SUPPLEMENT_1.23/FICHES_501_1000/DW-0878.md</x:v>
      </x:c>
      <x:c r="K883" t="str">
        <x:v>Source min 53,46 m ; max 53,46 m ; modèle 53 × 46 m ; niveaux 0, 1, 2. Détails dans catalogue-existant.json.</x:v>
      </x:c>
    </x:row>
    <x:row r="884">
      <x:c r="A884" t="str">
        <x:v>DW-0879</x:v>
      </x:c>
      <x:c r="B884" t="str">
        <x:v>DW-0879</x:v>
      </x:c>
      <x:c r="C884" t="str">
        <x:v>Parent historique</x:v>
      </x:c>
      <x:c r="D884" t="str">
        <x:v>ruines</x:v>
      </x:c>
      <x:c r="E884" t="str">
        <x:v>Commerce pillé — variante 06</x:v>
      </x:c>
      <x:c r="F884" t="n">
        <x:v>8</x:v>
      </x:c>
      <x:c r="G884" t="n">
        <x:v>4</x:v>
      </x:c>
      <x:c r="H884" t="n">
        <x:v>0</x:v>
      </x:c>
      <x:c r="I884" t="str">
        <x:v>À qualifier par lieu</x:v>
      </x:c>
      <x:c r="J884" t="str">
        <x:v>https://github.com/darknigthmare/deadwall-last-enclosure/blob/1b3b9c5ba232734b1bda3453b4e20a0481bcdd74/codex-3000/originaux/DEADWALL_CODEX_SUPPLEMENT_1.23/FICHES_501_1000/DW-0879.md</x:v>
      </x:c>
      <x:c r="K884" t="str">
        <x:v>Source min 64,9 m ; max 64,9 m ; modèle 64 × 18 m ; niveaux 0. Détails dans catalogue-existant.json.</x:v>
      </x:c>
    </x:row>
    <x:row r="885">
      <x:c r="A885" t="str">
        <x:v>DW-0880</x:v>
      </x:c>
      <x:c r="B885" t="str">
        <x:v>DW-0880</x:v>
      </x:c>
      <x:c r="C885" t="str">
        <x:v>Parent historique</x:v>
      </x:c>
      <x:c r="D885" t="str">
        <x:v>ruines</x:v>
      </x:c>
      <x:c r="E885" t="str">
        <x:v>Usine sinistrée — variante 06</x:v>
      </x:c>
      <x:c r="F885" t="n">
        <x:v>8</x:v>
      </x:c>
      <x:c r="G885" t="n">
        <x:v>4</x:v>
      </x:c>
      <x:c r="H885" t="n">
        <x:v>0</x:v>
      </x:c>
      <x:c r="I885" t="str">
        <x:v>À qualifier par lieu</x:v>
      </x:c>
      <x:c r="J885" t="str">
        <x:v>https://github.com/darknigthmare/deadwall-last-enclosure/blob/1b3b9c5ba232734b1bda3453b4e20a0481bcdd74/codex-3000/originaux/DEADWALL_CODEX_SUPPLEMENT_1.23/FICHES_501_1000/DW-0880.md</x:v>
      </x:c>
      <x:c r="K885" t="str">
        <x:v>Source min 75,26 m ; max 75,26 m ; modèle 75 × 26 m ; niveaux 0. Détails dans catalogue-existant.json.</x:v>
      </x:c>
    </x:row>
    <x:row r="886">
      <x:c r="A886" t="str">
        <x:v>DW-0881</x:v>
      </x:c>
      <x:c r="B886" t="str">
        <x:v>DW-0881</x:v>
      </x:c>
      <x:c r="C886" t="str">
        <x:v>Parent historique</x:v>
      </x:c>
      <x:c r="D886" t="str">
        <x:v>ruines</x:v>
      </x:c>
      <x:c r="E886" t="str">
        <x:v>Hôtel abandonné — variante 06</x:v>
      </x:c>
      <x:c r="F886" t="n">
        <x:v>8</x:v>
      </x:c>
      <x:c r="G886" t="n">
        <x:v>5</x:v>
      </x:c>
      <x:c r="H886" t="n">
        <x:v>0</x:v>
      </x:c>
      <x:c r="I886" t="str">
        <x:v>À qualifier par lieu</x:v>
      </x:c>
      <x:c r="J886" t="str">
        <x:v>https://github.com/darknigthmare/deadwall-last-enclosure/blob/1b3b9c5ba232734b1bda3453b4e20a0481bcdd74/codex-3000/originaux/DEADWALL_CODEX_SUPPLEMENT_1.23/FICHES_501_1000/DW-0881.md</x:v>
      </x:c>
      <x:c r="K886" t="str">
        <x:v>Source min 14,43 m ; max 14,43 m ; modèle 26 × 43 m ; niveaux 0, 1. Détails dans catalogue-existant.json.</x:v>
      </x:c>
    </x:row>
    <x:row r="887">
      <x:c r="A887" t="str">
        <x:v>DW-0882</x:v>
      </x:c>
      <x:c r="B887" t="str">
        <x:v>DW-0882</x:v>
      </x:c>
      <x:c r="C887" t="str">
        <x:v>Parent historique</x:v>
      </x:c>
      <x:c r="D887" t="str">
        <x:v>ruines</x:v>
      </x:c>
      <x:c r="E887" t="str">
        <x:v>Lotissement ravagé — variante 06</x:v>
      </x:c>
      <x:c r="F887" t="n">
        <x:v>8</x:v>
      </x:c>
      <x:c r="G887" t="n">
        <x:v>4</x:v>
      </x:c>
      <x:c r="H887" t="n">
        <x:v>0</x:v>
      </x:c>
      <x:c r="I887" t="str">
        <x:v>À qualifier par lieu</x:v>
      </x:c>
      <x:c r="J887" t="str">
        <x:v>https://github.com/darknigthmare/deadwall-last-enclosure/blob/1b3b9c5ba232734b1bda3453b4e20a0481bcdd74/codex-3000/originaux/DEADWALL_CODEX_SUPPLEMENT_1.23/FICHES_501_1000/DW-0882.md</x:v>
      </x:c>
      <x:c r="K887" t="str">
        <x:v>Source min 25,60 m ; max 25,60 m ; modèle 25 × 60 m ; niveaux 0. Détails dans catalogue-existant.json.</x:v>
      </x:c>
    </x:row>
    <x:row r="888">
      <x:c r="A888" t="str">
        <x:v>DW-0883</x:v>
      </x:c>
      <x:c r="B888" t="str">
        <x:v>DW-0883</x:v>
      </x:c>
      <x:c r="C888" t="str">
        <x:v>Parent historique</x:v>
      </x:c>
      <x:c r="D888" t="str">
        <x:v>ruines</x:v>
      </x:c>
      <x:c r="E888" t="str">
        <x:v>Village déserté — variante 06</x:v>
      </x:c>
      <x:c r="F888" t="n">
        <x:v>8</x:v>
      </x:c>
      <x:c r="G888" t="n">
        <x:v>5</x:v>
      </x:c>
      <x:c r="H888" t="n">
        <x:v>0</x:v>
      </x:c>
      <x:c r="I888" t="str">
        <x:v>À qualifier par lieu</x:v>
      </x:c>
      <x:c r="J888" t="str">
        <x:v>https://github.com/darknigthmare/deadwall-last-enclosure/blob/1b3b9c5ba232734b1bda3453b4e20a0481bcdd74/codex-3000/originaux/DEADWALL_CODEX_SUPPLEMENT_1.23/FICHES_501_1000/DW-0883.md</x:v>
      </x:c>
      <x:c r="K888" t="str">
        <x:v>Source min 36,23 m ; max 36,23 m ; modèle 36 × 23 m ; niveaux 0. Détails dans catalogue-existant.json.</x:v>
      </x:c>
    </x:row>
    <x:row r="889">
      <x:c r="A889" t="str">
        <x:v>DW-0884</x:v>
      </x:c>
      <x:c r="B889" t="str">
        <x:v>DW-0884</x:v>
      </x:c>
      <x:c r="C889" t="str">
        <x:v>Parent historique</x:v>
      </x:c>
      <x:c r="D889" t="str">
        <x:v>ruines</x:v>
      </x:c>
      <x:c r="E889" t="str">
        <x:v>Centre commercial effondré — variante 06</x:v>
      </x:c>
      <x:c r="F889" t="n">
        <x:v>8</x:v>
      </x:c>
      <x:c r="G889" t="n">
        <x:v>5</x:v>
      </x:c>
      <x:c r="H889" t="n">
        <x:v>0</x:v>
      </x:c>
      <x:c r="I889" t="str">
        <x:v>À qualifier par lieu</x:v>
      </x:c>
      <x:c r="J889" t="str">
        <x:v>https://github.com/darknigthmare/deadwall-last-enclosure/blob/1b3b9c5ba232734b1bda3453b4e20a0481bcdd74/codex-3000/originaux/DEADWALL_CODEX_SUPPLEMENT_1.23/FICHES_501_1000/DW-0884.md</x:v>
      </x:c>
      <x:c r="K889" t="str">
        <x:v>Source min 47,40 m ; max 47,40 m ; modèle 47 × 40 m ; niveaux 0. Détails dans catalogue-existant.json.</x:v>
      </x:c>
    </x:row>
    <x:row r="890">
      <x:c r="A890" t="str">
        <x:v>DW-0885</x:v>
      </x:c>
      <x:c r="B890" t="str">
        <x:v>DW-0885</x:v>
      </x:c>
      <x:c r="C890" t="str">
        <x:v>Parent historique</x:v>
      </x:c>
      <x:c r="D890" t="str">
        <x:v>habitat</x:v>
      </x:c>
      <x:c r="E890" t="str">
        <x:v>Maison de lotissement — variante 07</x:v>
      </x:c>
      <x:c r="F890" t="n">
        <x:v>8</x:v>
      </x:c>
      <x:c r="G890" t="n">
        <x:v>5</x:v>
      </x:c>
      <x:c r="H890" t="n">
        <x:v>0</x:v>
      </x:c>
      <x:c r="I890" t="str">
        <x:v>À qualifier par lieu</x:v>
      </x:c>
      <x:c r="J890" t="str">
        <x:v>https://github.com/darknigthmare/deadwall-last-enclosure/blob/1b3b9c5ba232734b1bda3453b4e20a0481bcdd74/codex-3000/originaux/DEADWALL_CODEX_SUPPLEMENT_1.23/FICHES_501_1000/DW-0885.md</x:v>
      </x:c>
      <x:c r="K890" t="str">
        <x:v>Source min 58,57 m ; max 58,57 m ; modèle 58 × 57 m ; niveaux 0, 1. Détails dans catalogue-existant.json.</x:v>
      </x:c>
    </x:row>
    <x:row r="891">
      <x:c r="A891" t="str">
        <x:v>DW-0886</x:v>
      </x:c>
      <x:c r="B891" t="str">
        <x:v>DW-0886</x:v>
      </x:c>
      <x:c r="C891" t="str">
        <x:v>Parent historique</x:v>
      </x:c>
      <x:c r="D891" t="str">
        <x:v>habitat</x:v>
      </x:c>
      <x:c r="E891" t="str">
        <x:v>Maison mitoyenne — variante 07</x:v>
      </x:c>
      <x:c r="F891" t="n">
        <x:v>8</x:v>
      </x:c>
      <x:c r="G891" t="n">
        <x:v>5</x:v>
      </x:c>
      <x:c r="H891" t="n">
        <x:v>0</x:v>
      </x:c>
      <x:c r="I891" t="str">
        <x:v>À qualifier par lieu</x:v>
      </x:c>
      <x:c r="J891" t="str">
        <x:v>https://github.com/darknigthmare/deadwall-last-enclosure/blob/1b3b9c5ba232734b1bda3453b4e20a0481bcdd74/codex-3000/originaux/DEADWALL_CODEX_SUPPLEMENT_1.23/FICHES_501_1000/DW-0886.md</x:v>
      </x:c>
      <x:c r="K891" t="str">
        <x:v>Source min 69,20 m ; max 69,20 m ; modèle 69 × 22 m ; niveaux 0. Détails dans catalogue-existant.json.</x:v>
      </x:c>
    </x:row>
    <x:row r="892">
      <x:c r="A892" t="str">
        <x:v>DW-0887</x:v>
      </x:c>
      <x:c r="B892" t="str">
        <x:v>DW-0887</x:v>
      </x:c>
      <x:c r="C892" t="str">
        <x:v>Parent historique</x:v>
      </x:c>
      <x:c r="D892" t="str">
        <x:v>habitat</x:v>
      </x:c>
      <x:c r="E892" t="str">
        <x:v>Villa isolée — variante 07</x:v>
      </x:c>
      <x:c r="F892" t="n">
        <x:v>8</x:v>
      </x:c>
      <x:c r="G892" t="n">
        <x:v>7</x:v>
      </x:c>
      <x:c r="H892" t="n">
        <x:v>0</x:v>
      </x:c>
      <x:c r="I892" t="str">
        <x:v>À qualifier par lieu</x:v>
      </x:c>
      <x:c r="J892" t="str">
        <x:v>https://github.com/darknigthmare/deadwall-last-enclosure/blob/1b3b9c5ba232734b1bda3453b4e20a0481bcdd74/codex-3000/originaux/DEADWALL_CODEX_SUPPLEMENT_1.23/FICHES_501_1000/DW-0887.md</x:v>
      </x:c>
      <x:c r="K892" t="str">
        <x:v>Source min 80,37 m ; max 80,37 m ; modèle 78 × 37 m ; niveaux 0. Détails dans catalogue-existant.json.</x:v>
      </x:c>
    </x:row>
    <x:row r="893">
      <x:c r="A893" t="str">
        <x:v>DW-0888</x:v>
      </x:c>
      <x:c r="B893" t="str">
        <x:v>DW-0888</x:v>
      </x:c>
      <x:c r="C893" t="str">
        <x:v>Parent historique</x:v>
      </x:c>
      <x:c r="D893" t="str">
        <x:v>habitat</x:v>
      </x:c>
      <x:c r="E893" t="str">
        <x:v>Ferme familiale — variante 07</x:v>
      </x:c>
      <x:c r="F893" t="n">
        <x:v>8</x:v>
      </x:c>
      <x:c r="G893" t="n">
        <x:v>6</x:v>
      </x:c>
      <x:c r="H893" t="n">
        <x:v>0</x:v>
      </x:c>
      <x:c r="I893" t="str">
        <x:v>À qualifier par lieu</x:v>
      </x:c>
      <x:c r="J893" t="str">
        <x:v>https://github.com/darknigthmare/deadwall-last-enclosure/blob/1b3b9c5ba232734b1bda3453b4e20a0481bcdd74/codex-3000/originaux/DEADWALL_CODEX_SUPPLEMENT_1.23/FICHES_501_1000/DW-0888.md</x:v>
      </x:c>
      <x:c r="K893" t="str">
        <x:v>Source min 19,54 m ; max 19,54 m ; modèle 28 × 54 m ; niveaux 0. Détails dans catalogue-existant.json.</x:v>
      </x:c>
    </x:row>
    <x:row r="894">
      <x:c r="A894" t="str">
        <x:v>DW-0889</x:v>
      </x:c>
      <x:c r="B894" t="str">
        <x:v>DW-0889</x:v>
      </x:c>
      <x:c r="C894" t="str">
        <x:v>Parent historique</x:v>
      </x:c>
      <x:c r="D894" t="str">
        <x:v>habitat</x:v>
      </x:c>
      <x:c r="E894" t="str">
        <x:v>Immeuble résidentiel — variante 07</x:v>
      </x:c>
      <x:c r="F894" t="n">
        <x:v>8</x:v>
      </x:c>
      <x:c r="G894" t="n">
        <x:v>5</x:v>
      </x:c>
      <x:c r="H894" t="n">
        <x:v>0</x:v>
      </x:c>
      <x:c r="I894" t="str">
        <x:v>À qualifier par lieu</x:v>
      </x:c>
      <x:c r="J894" t="str">
        <x:v>https://github.com/darknigthmare/deadwall-last-enclosure/blob/1b3b9c5ba232734b1bda3453b4e20a0481bcdd74/codex-3000/originaux/DEADWALL_CODEX_SUPPLEMENT_1.23/FICHES_501_1000/DW-0889.md</x:v>
      </x:c>
      <x:c r="K894" t="str">
        <x:v>Source min 30,17 m ; max 30,17 m ; modèle 30 × 22 m ; niveaux 0, 1, 2. Détails dans catalogue-existant.json.</x:v>
      </x:c>
    </x:row>
    <x:row r="895">
      <x:c r="A895" t="str">
        <x:v>DW-0890</x:v>
      </x:c>
      <x:c r="B895" t="str">
        <x:v>DW-0890</x:v>
      </x:c>
      <x:c r="C895" t="str">
        <x:v>Parent historique</x:v>
      </x:c>
      <x:c r="D895" t="str">
        <x:v>habitat</x:v>
      </x:c>
      <x:c r="E895" t="str">
        <x:v>Barre de logements — variante 07</x:v>
      </x:c>
      <x:c r="F895" t="n">
        <x:v>8</x:v>
      </x:c>
      <x:c r="G895" t="n">
        <x:v>5</x:v>
      </x:c>
      <x:c r="H895" t="n">
        <x:v>0</x:v>
      </x:c>
      <x:c r="I895" t="str">
        <x:v>À qualifier par lieu</x:v>
      </x:c>
      <x:c r="J895" t="str">
        <x:v>https://github.com/darknigthmare/deadwall-last-enclosure/blob/1b3b9c5ba232734b1bda3453b4e20a0481bcdd74/codex-3000/originaux/DEADWALL_CODEX_SUPPLEMENT_1.23/FICHES_501_1000/DW-0890.md</x:v>
      </x:c>
      <x:c r="K895" t="str">
        <x:v>Source min 41,34 m ; max 41,34 m ; modèle 41 × 34 m ; niveaux 0, 1, 2. Détails dans catalogue-existant.json.</x:v>
      </x:c>
    </x:row>
    <x:row r="896">
      <x:c r="A896" t="str">
        <x:v>DW-0891</x:v>
      </x:c>
      <x:c r="B896" t="str">
        <x:v>DW-0891</x:v>
      </x:c>
      <x:c r="C896" t="str">
        <x:v>Parent historique</x:v>
      </x:c>
      <x:c r="D896" t="str">
        <x:v>habitat</x:v>
      </x:c>
      <x:c r="E896" t="str">
        <x:v>Résidence senior — variante 07</x:v>
      </x:c>
      <x:c r="F896" t="n">
        <x:v>8</x:v>
      </x:c>
      <x:c r="G896" t="n">
        <x:v>5</x:v>
      </x:c>
      <x:c r="H896" t="n">
        <x:v>0</x:v>
      </x:c>
      <x:c r="I896" t="str">
        <x:v>À qualifier par lieu</x:v>
      </x:c>
      <x:c r="J896" t="str">
        <x:v>https://github.com/darknigthmare/deadwall-last-enclosure/blob/1b3b9c5ba232734b1bda3453b4e20a0481bcdd74/codex-3000/originaux/DEADWALL_CODEX_SUPPLEMENT_1.23/FICHES_501_1000/DW-0891.md</x:v>
      </x:c>
      <x:c r="K896" t="str">
        <x:v>Source min 52,51 m ; max 52,51 m ; modèle 52 × 51 m ; niveaux 0, 1. Détails dans catalogue-existant.json.</x:v>
      </x:c>
    </x:row>
    <x:row r="897">
      <x:c r="A897" t="str">
        <x:v>DW-0892</x:v>
      </x:c>
      <x:c r="B897" t="str">
        <x:v>DW-0892</x:v>
      </x:c>
      <x:c r="C897" t="str">
        <x:v>Parent historique</x:v>
      </x:c>
      <x:c r="D897" t="str">
        <x:v>habitat</x:v>
      </x:c>
      <x:c r="E897" t="str">
        <x:v>Maison avec sous-sol — variante 07</x:v>
      </x:c>
      <x:c r="F897" t="n">
        <x:v>8</x:v>
      </x:c>
      <x:c r="G897" t="n">
        <x:v>5</x:v>
      </x:c>
      <x:c r="H897" t="n">
        <x:v>0</x:v>
      </x:c>
      <x:c r="I897" t="str">
        <x:v>À qualifier par lieu</x:v>
      </x:c>
      <x:c r="J897" t="str">
        <x:v>https://github.com/darknigthmare/deadwall-last-enclosure/blob/1b3b9c5ba232734b1bda3453b4e20a0481bcdd74/codex-3000/originaux/DEADWALL_CODEX_SUPPLEMENT_1.23/FICHES_501_1000/DW-0892.md</x:v>
      </x:c>
      <x:c r="K897" t="str">
        <x:v>Source min 63,14 m ; max 63,14 m ; modèle 63 × 22 m ; niveaux 0. Détails dans catalogue-existant.json.</x:v>
      </x:c>
    </x:row>
    <x:row r="898">
      <x:c r="A898" t="str">
        <x:v>DW-0893</x:v>
      </x:c>
      <x:c r="B898" t="str">
        <x:v>DW-0893</x:v>
      </x:c>
      <x:c r="C898" t="str">
        <x:v>Parent historique</x:v>
      </x:c>
      <x:c r="D898" t="str">
        <x:v>commerce</x:v>
      </x:c>
      <x:c r="E898" t="str">
        <x:v>Supérette — variante 07</x:v>
      </x:c>
      <x:c r="F898" t="n">
        <x:v>8</x:v>
      </x:c>
      <x:c r="G898" t="n">
        <x:v>5</x:v>
      </x:c>
      <x:c r="H898" t="n">
        <x:v>0</x:v>
      </x:c>
      <x:c r="I898" t="str">
        <x:v>À qualifier par lieu</x:v>
      </x:c>
      <x:c r="J898" t="str">
        <x:v>https://github.com/darknigthmare/deadwall-last-enclosure/blob/1b3b9c5ba232734b1bda3453b4e20a0481bcdd74/codex-3000/originaux/DEADWALL_CODEX_SUPPLEMENT_1.23/FICHES_501_1000/DW-0893.md</x:v>
      </x:c>
      <x:c r="K898" t="str">
        <x:v>Source min 74,31 m ; max 74,31 m ; modèle 74 × 31 m ; niveaux 0, 1. Détails dans catalogue-existant.json.</x:v>
      </x:c>
    </x:row>
    <x:row r="899">
      <x:c r="A899" t="str">
        <x:v>DW-0894</x:v>
      </x:c>
      <x:c r="B899" t="str">
        <x:v>DW-0894</x:v>
      </x:c>
      <x:c r="C899" t="str">
        <x:v>Parent historique</x:v>
      </x:c>
      <x:c r="D899" t="str">
        <x:v>commerce</x:v>
      </x:c>
      <x:c r="E899" t="str">
        <x:v>Centre commercial — variante 07</x:v>
      </x:c>
      <x:c r="F899" t="n">
        <x:v>8</x:v>
      </x:c>
      <x:c r="G899" t="n">
        <x:v>6</x:v>
      </x:c>
      <x:c r="H899" t="n">
        <x:v>0</x:v>
      </x:c>
      <x:c r="I899" t="str">
        <x:v>À qualifier par lieu</x:v>
      </x:c>
      <x:c r="J899" t="str">
        <x:v>https://github.com/darknigthmare/deadwall-last-enclosure/blob/1b3b9c5ba232734b1bda3453b4e20a0481bcdd74/codex-3000/originaux/DEADWALL_CODEX_SUPPLEMENT_1.23/FICHES_501_1000/DW-0894.md</x:v>
      </x:c>
      <x:c r="K899" t="str">
        <x:v>Source min 13,48 m ; max 13,48 m ; modèle 28 × 48 m ; niveaux 0. Détails dans catalogue-existant.json.</x:v>
      </x:c>
    </x:row>
    <x:row r="900">
      <x:c r="A900" t="str">
        <x:v>DW-0895</x:v>
      </x:c>
      <x:c r="B900" t="str">
        <x:v>DW-0895</x:v>
      </x:c>
      <x:c r="C900" t="str">
        <x:v>Parent historique</x:v>
      </x:c>
      <x:c r="D900" t="str">
        <x:v>commerce</x:v>
      </x:c>
      <x:c r="E900" t="str">
        <x:v>Supermarché — variante 07</x:v>
      </x:c>
      <x:c r="F900" t="n">
        <x:v>8</x:v>
      </x:c>
      <x:c r="G900" t="n">
        <x:v>7</x:v>
      </x:c>
      <x:c r="H900" t="n">
        <x:v>0</x:v>
      </x:c>
      <x:c r="I900" t="str">
        <x:v>À qualifier par lieu</x:v>
      </x:c>
      <x:c r="J900" t="str">
        <x:v>https://github.com/darknigthmare/deadwall-last-enclosure/blob/1b3b9c5ba232734b1bda3453b4e20a0481bcdd74/codex-3000/originaux/DEADWALL_CODEX_SUPPLEMENT_1.23/FICHES_501_1000/DW-0895.md</x:v>
      </x:c>
      <x:c r="K900" t="str">
        <x:v>Source min 24,11 m ; max 24,11 m ; modèle 29 × 29 m ; niveaux 0. Détails dans catalogue-existant.json.</x:v>
      </x:c>
    </x:row>
    <x:row r="901">
      <x:c r="A901" t="str">
        <x:v>DW-0896</x:v>
      </x:c>
      <x:c r="B901" t="str">
        <x:v>DW-0896</x:v>
      </x:c>
      <x:c r="C901" t="str">
        <x:v>Parent historique</x:v>
      </x:c>
      <x:c r="D901" t="str">
        <x:v>commerce</x:v>
      </x:c>
      <x:c r="E901" t="str">
        <x:v>Magasin de bricolage — variante 07</x:v>
      </x:c>
      <x:c r="F901" t="n">
        <x:v>8</x:v>
      </x:c>
      <x:c r="G901" t="n">
        <x:v>5</x:v>
      </x:c>
      <x:c r="H901" t="n">
        <x:v>0</x:v>
      </x:c>
      <x:c r="I901" t="str">
        <x:v>À qualifier par lieu</x:v>
      </x:c>
      <x:c r="J901" t="str">
        <x:v>https://github.com/darknigthmare/deadwall-last-enclosure/blob/1b3b9c5ba232734b1bda3453b4e20a0481bcdd74/codex-3000/originaux/DEADWALL_CODEX_SUPPLEMENT_1.23/FICHES_501_1000/DW-0896.md</x:v>
      </x:c>
      <x:c r="K901" t="str">
        <x:v>Source min 35,28 m ; max 35,28 m ; modèle 35 × 28 m ; niveaux 0. Détails dans catalogue-existant.json.</x:v>
      </x:c>
    </x:row>
    <x:row r="902">
      <x:c r="A902" t="str">
        <x:v>DW-0897</x:v>
      </x:c>
      <x:c r="B902" t="str">
        <x:v>DW-0897</x:v>
      </x:c>
      <x:c r="C902" t="str">
        <x:v>Parent historique</x:v>
      </x:c>
      <x:c r="D902" t="str">
        <x:v>commerce</x:v>
      </x:c>
      <x:c r="E902" t="str">
        <x:v>Pharmacie — variante 07</x:v>
      </x:c>
      <x:c r="F902" t="n">
        <x:v>8</x:v>
      </x:c>
      <x:c r="G902" t="n">
        <x:v>4</x:v>
      </x:c>
      <x:c r="H902" t="n">
        <x:v>0</x:v>
      </x:c>
      <x:c r="I902" t="str">
        <x:v>À qualifier par lieu</x:v>
      </x:c>
      <x:c r="J902" t="str">
        <x:v>https://github.com/darknigthmare/deadwall-last-enclosure/blob/1b3b9c5ba232734b1bda3453b4e20a0481bcdd74/codex-3000/originaux/DEADWALL_CODEX_SUPPLEMENT_1.23/FICHES_501_1000/DW-0897.md</x:v>
      </x:c>
      <x:c r="K902" t="str">
        <x:v>Source min 46,45 m ; max 46,45 m ; modèle 46 × 45 m ; niveaux 0, 1. Détails dans catalogue-existant.json.</x:v>
      </x:c>
    </x:row>
    <x:row r="903">
      <x:c r="A903" t="str">
        <x:v>DW-0898</x:v>
      </x:c>
      <x:c r="B903" t="str">
        <x:v>DW-0898</x:v>
      </x:c>
      <x:c r="C903" t="str">
        <x:v>Parent historique</x:v>
      </x:c>
      <x:c r="D903" t="str">
        <x:v>commerce</x:v>
      </x:c>
      <x:c r="E903" t="str">
        <x:v>Station-service — variante 07</x:v>
      </x:c>
      <x:c r="F903" t="n">
        <x:v>8</x:v>
      </x:c>
      <x:c r="G903" t="n">
        <x:v>5</x:v>
      </x:c>
      <x:c r="H903" t="n">
        <x:v>0</x:v>
      </x:c>
      <x:c r="I903" t="str">
        <x:v>À qualifier par lieu</x:v>
      </x:c>
      <x:c r="J903" t="str">
        <x:v>https://github.com/darknigthmare/deadwall-last-enclosure/blob/1b3b9c5ba232734b1bda3453b4e20a0481bcdd74/codex-3000/originaux/DEADWALL_CODEX_SUPPLEMENT_1.23/FICHES_501_1000/DW-0898.md</x:v>
      </x:c>
      <x:c r="K903" t="str">
        <x:v>Source min 57,62 m ; max 57,62 m ; modèle 57 × 62 m ; niveaux 0. Détails dans catalogue-existant.json.</x:v>
      </x:c>
    </x:row>
    <x:row r="904">
      <x:c r="A904" t="str">
        <x:v>DW-0899</x:v>
      </x:c>
      <x:c r="B904" t="str">
        <x:v>DW-0899</x:v>
      </x:c>
      <x:c r="C904" t="str">
        <x:v>Parent historique</x:v>
      </x:c>
      <x:c r="D904" t="str">
        <x:v>commerce</x:v>
      </x:c>
      <x:c r="E904" t="str">
        <x:v>Restaurant routier — variante 07</x:v>
      </x:c>
      <x:c r="F904" t="n">
        <x:v>8</x:v>
      </x:c>
      <x:c r="G904" t="n">
        <x:v>5</x:v>
      </x:c>
      <x:c r="H904" t="n">
        <x:v>0</x:v>
      </x:c>
      <x:c r="I904" t="str">
        <x:v>À qualifier par lieu</x:v>
      </x:c>
      <x:c r="J904" t="str">
        <x:v>https://github.com/darknigthmare/deadwall-last-enclosure/blob/1b3b9c5ba232734b1bda3453b4e20a0481bcdd74/codex-3000/originaux/DEADWALL_CODEX_SUPPLEMENT_1.23/FICHES_501_1000/DW-0899.md</x:v>
      </x:c>
      <x:c r="K904" t="str">
        <x:v>Source min 68,25 m ; max 68,25 m ; modèle 68 × 25 m ; niveaux 0. Détails dans catalogue-existant.json.</x:v>
      </x:c>
    </x:row>
    <x:row r="905">
      <x:c r="A905" t="str">
        <x:v>DW-0900</x:v>
      </x:c>
      <x:c r="B905" t="str">
        <x:v>DW-0900</x:v>
      </x:c>
      <x:c r="C905" t="str">
        <x:v>Parent historique</x:v>
      </x:c>
      <x:c r="D905" t="str">
        <x:v>commerce</x:v>
      </x:c>
      <x:c r="E905" t="str">
        <x:v>Hôtel — variante 07</x:v>
      </x:c>
      <x:c r="F905" t="n">
        <x:v>8</x:v>
      </x:c>
      <x:c r="G905" t="n">
        <x:v>6</x:v>
      </x:c>
      <x:c r="H905" t="n">
        <x:v>0</x:v>
      </x:c>
      <x:c r="I905" t="str">
        <x:v>À qualifier par lieu</x:v>
      </x:c>
      <x:c r="J905" t="str">
        <x:v>https://github.com/darknigthmare/deadwall-last-enclosure/blob/1b3b9c5ba232734b1bda3453b4e20a0481bcdd74/codex-3000/originaux/DEADWALL_CODEX_SUPPLEMENT_1.23/FICHES_501_1000/DW-0900.md</x:v>
      </x:c>
      <x:c r="K905" t="str">
        <x:v>Source min 79,42 m ; max 79,42 m ; modèle 78 × 42 m ; niveaux 0. Détails dans catalogue-existant.json.</x:v>
      </x:c>
    </x:row>
    <x:row r="906">
      <x:c r="A906" t="str">
        <x:v>DW-0901</x:v>
      </x:c>
      <x:c r="B906" t="str">
        <x:v>DW-0901</x:v>
      </x:c>
      <x:c r="C906" t="str">
        <x:v>Parent historique</x:v>
      </x:c>
      <x:c r="D906" t="str">
        <x:v>industrie</x:v>
      </x:c>
      <x:c r="E906" t="str">
        <x:v>Scierie — variante 07</x:v>
      </x:c>
      <x:c r="F906" t="n">
        <x:v>8</x:v>
      </x:c>
      <x:c r="G906" t="n">
        <x:v>5</x:v>
      </x:c>
      <x:c r="H906" t="n">
        <x:v>0</x:v>
      </x:c>
      <x:c r="I906" t="str">
        <x:v>À qualifier par lieu</x:v>
      </x:c>
      <x:c r="J906" t="str">
        <x:v>https://github.com/darknigthmare/deadwall-last-enclosure/blob/1b3b9c5ba232734b1bda3453b4e20a0481bcdd74/codex-3000/originaux/DEADWALL_CODEX_SUPPLEMENT_1.23/FICHES_501_1000/DW-0901.md</x:v>
      </x:c>
      <x:c r="K906" t="str">
        <x:v>Source min 18,59 m ; max 18,59 m ; modèle 26 × 59 m ; niveaux 0. Détails dans catalogue-existant.json.</x:v>
      </x:c>
    </x:row>
    <x:row r="907">
      <x:c r="A907" t="str">
        <x:v>DW-0902</x:v>
      </x:c>
      <x:c r="B907" t="str">
        <x:v>DW-0902</x:v>
      </x:c>
      <x:c r="C907" t="str">
        <x:v>Parent historique</x:v>
      </x:c>
      <x:c r="D907" t="str">
        <x:v>industrie</x:v>
      </x:c>
      <x:c r="E907" t="str">
        <x:v>Garage automobile — variante 07</x:v>
      </x:c>
      <x:c r="F907" t="n">
        <x:v>8</x:v>
      </x:c>
      <x:c r="G907" t="n">
        <x:v>5</x:v>
      </x:c>
      <x:c r="H907" t="n">
        <x:v>0</x:v>
      </x:c>
      <x:c r="I907" t="str">
        <x:v>À qualifier par lieu</x:v>
      </x:c>
      <x:c r="J907" t="str">
        <x:v>https://github.com/darknigthmare/deadwall-last-enclosure/blob/1b3b9c5ba232734b1bda3453b4e20a0481bcdd74/codex-3000/originaux/DEADWALL_CODEX_SUPPLEMENT_1.23/FICHES_501_1000/DW-0902.md</x:v>
      </x:c>
      <x:c r="K907" t="str">
        <x:v>Source min 29,22 m ; max 29,22 m ; modèle 29 × 22 m ; niveaux 0. Détails dans catalogue-existant.json.</x:v>
      </x:c>
    </x:row>
    <x:row r="908">
      <x:c r="A908" t="str">
        <x:v>DW-0903</x:v>
      </x:c>
      <x:c r="B908" t="str">
        <x:v>DW-0903</x:v>
      </x:c>
      <x:c r="C908" t="str">
        <x:v>Parent historique</x:v>
      </x:c>
      <x:c r="D908" t="str">
        <x:v>industrie</x:v>
      </x:c>
      <x:c r="E908" t="str">
        <x:v>Entrepôt logistique — variante 07</x:v>
      </x:c>
      <x:c r="F908" t="n">
        <x:v>8</x:v>
      </x:c>
      <x:c r="G908" t="n">
        <x:v>5</x:v>
      </x:c>
      <x:c r="H908" t="n">
        <x:v>0</x:v>
      </x:c>
      <x:c r="I908" t="str">
        <x:v>À qualifier par lieu</x:v>
      </x:c>
      <x:c r="J908" t="str">
        <x:v>https://github.com/darknigthmare/deadwall-last-enclosure/blob/1b3b9c5ba232734b1bda3453b4e20a0481bcdd74/codex-3000/originaux/DEADWALL_CODEX_SUPPLEMENT_1.23/FICHES_501_1000/DW-0903.md</x:v>
      </x:c>
      <x:c r="K908" t="str">
        <x:v>Source min 40,39 m ; max 40,39 m ; modèle 40 × 39 m ; niveaux 0. Détails dans catalogue-existant.json.</x:v>
      </x:c>
    </x:row>
    <x:row r="909">
      <x:c r="A909" t="str">
        <x:v>DW-0904</x:v>
      </x:c>
      <x:c r="B909" t="str">
        <x:v>DW-0904</x:v>
      </x:c>
      <x:c r="C909" t="str">
        <x:v>Parent historique</x:v>
      </x:c>
      <x:c r="D909" t="str">
        <x:v>industrie</x:v>
      </x:c>
      <x:c r="E909" t="str">
        <x:v>Petite usine — variante 07</x:v>
      </x:c>
      <x:c r="F909" t="n">
        <x:v>8</x:v>
      </x:c>
      <x:c r="G909" t="n">
        <x:v>5</x:v>
      </x:c>
      <x:c r="H909" t="n">
        <x:v>0</x:v>
      </x:c>
      <x:c r="I909" t="str">
        <x:v>À qualifier par lieu</x:v>
      </x:c>
      <x:c r="J909" t="str">
        <x:v>https://github.com/darknigthmare/deadwall-last-enclosure/blob/1b3b9c5ba232734b1bda3453b4e20a0481bcdd74/codex-3000/originaux/DEADWALL_CODEX_SUPPLEMENT_1.23/FICHES_501_1000/DW-0904.md</x:v>
      </x:c>
      <x:c r="K909" t="str">
        <x:v>Source min 51,56 m ; max 51,56 m ; modèle 51 × 56 m ; niveaux 0. Détails dans catalogue-existant.json.</x:v>
      </x:c>
    </x:row>
    <x:row r="910">
      <x:c r="A910" t="str">
        <x:v>DW-0905</x:v>
      </x:c>
      <x:c r="B910" t="str">
        <x:v>DW-0905</x:v>
      </x:c>
      <x:c r="C910" t="str">
        <x:v>Parent historique</x:v>
      </x:c>
      <x:c r="D910" t="str">
        <x:v>industrie</x:v>
      </x:c>
      <x:c r="E910" t="str">
        <x:v>Carrière — variante 07</x:v>
      </x:c>
      <x:c r="F910" t="n">
        <x:v>8</x:v>
      </x:c>
      <x:c r="G910" t="n">
        <x:v>5</x:v>
      </x:c>
      <x:c r="H910" t="n">
        <x:v>0</x:v>
      </x:c>
      <x:c r="I910" t="str">
        <x:v>À qualifier par lieu</x:v>
      </x:c>
      <x:c r="J910" t="str">
        <x:v>https://github.com/darknigthmare/deadwall-last-enclosure/blob/1b3b9c5ba232734b1bda3453b4e20a0481bcdd74/codex-3000/originaux/DEADWALL_CODEX_SUPPLEMENT_1.23/FICHES_501_1000/DW-0905.md</x:v>
      </x:c>
      <x:c r="K910" t="str">
        <x:v>Source min 62,19 m ; max 62,19 m ; modèle 62 × 22 m ; niveaux 0. Détails dans catalogue-existant.json.</x:v>
      </x:c>
    </x:row>
    <x:row r="911">
      <x:c r="A911" t="str">
        <x:v>DW-0906</x:v>
      </x:c>
      <x:c r="B911" t="str">
        <x:v>DW-0906</x:v>
      </x:c>
      <x:c r="C911" t="str">
        <x:v>Parent historique</x:v>
      </x:c>
      <x:c r="D911" t="str">
        <x:v>industrie</x:v>
      </x:c>
      <x:c r="E911" t="str">
        <x:v>Mine — variante 07</x:v>
      </x:c>
      <x:c r="F911" t="n">
        <x:v>8</x:v>
      </x:c>
      <x:c r="G911" t="n">
        <x:v>6</x:v>
      </x:c>
      <x:c r="H911" t="n">
        <x:v>0</x:v>
      </x:c>
      <x:c r="I911" t="str">
        <x:v>À qualifier par lieu</x:v>
      </x:c>
      <x:c r="J911" t="str">
        <x:v>https://github.com/darknigthmare/deadwall-last-enclosure/blob/1b3b9c5ba232734b1bda3453b4e20a0481bcdd74/codex-3000/originaux/DEADWALL_CODEX_SUPPLEMENT_1.23/FICHES_501_1000/DW-0906.md</x:v>
      </x:c>
      <x:c r="K911" t="str">
        <x:v>Source min 73,36 m ; max 73,36 m ; modèle 73 × 36 m ; niveaux 0. Détails dans catalogue-existant.json.</x:v>
      </x:c>
    </x:row>
    <x:row r="912">
      <x:c r="A912" t="str">
        <x:v>DW-0907</x:v>
      </x:c>
      <x:c r="B912" t="str">
        <x:v>DW-0907</x:v>
      </x:c>
      <x:c r="C912" t="str">
        <x:v>Parent historique</x:v>
      </x:c>
      <x:c r="D912" t="str">
        <x:v>industrie</x:v>
      </x:c>
      <x:c r="E912" t="str">
        <x:v>Centrale locale — variante 07</x:v>
      </x:c>
      <x:c r="F912" t="n">
        <x:v>8</x:v>
      </x:c>
      <x:c r="G912" t="n">
        <x:v>5</x:v>
      </x:c>
      <x:c r="H912" t="n">
        <x:v>0</x:v>
      </x:c>
      <x:c r="I912" t="str">
        <x:v>À qualifier par lieu</x:v>
      </x:c>
      <x:c r="J912" t="str">
        <x:v>https://github.com/darknigthmare/deadwall-last-enclosure/blob/1b3b9c5ba232734b1bda3453b4e20a0481bcdd74/codex-3000/originaux/DEADWALL_CODEX_SUPPLEMENT_1.23/FICHES_501_1000/DW-0907.md</x:v>
      </x:c>
      <x:c r="K912" t="str">
        <x:v>Source min 12,53 m ; max 12,53 m ; modèle 26 × 53 m ; niveaux 0. Détails dans catalogue-existant.json.</x:v>
      </x:c>
    </x:row>
    <x:row r="913">
      <x:c r="A913" t="str">
        <x:v>DW-0908</x:v>
      </x:c>
      <x:c r="B913" t="str">
        <x:v>DW-0908</x:v>
      </x:c>
      <x:c r="C913" t="str">
        <x:v>Parent historique</x:v>
      </x:c>
      <x:c r="D913" t="str">
        <x:v>industrie</x:v>
      </x:c>
      <x:c r="E913" t="str">
        <x:v>Station de pompage — variante 07</x:v>
      </x:c>
      <x:c r="F913" t="n">
        <x:v>8</x:v>
      </x:c>
      <x:c r="G913" t="n">
        <x:v>5</x:v>
      </x:c>
      <x:c r="H913" t="n">
        <x:v>0</x:v>
      </x:c>
      <x:c r="I913" t="str">
        <x:v>À qualifier par lieu</x:v>
      </x:c>
      <x:c r="J913" t="str">
        <x:v>https://github.com/darknigthmare/deadwall-last-enclosure/blob/1b3b9c5ba232734b1bda3453b4e20a0481bcdd74/codex-3000/originaux/DEADWALL_CODEX_SUPPLEMENT_1.23/FICHES_501_1000/DW-0908.md</x:v>
      </x:c>
      <x:c r="K913" t="str">
        <x:v>Source min 23,16 m ; max 23,16 m ; modèle 26 × 22 m ; niveaux 0. Détails dans catalogue-existant.json.</x:v>
      </x:c>
    </x:row>
    <x:row r="914">
      <x:c r="A914" t="str">
        <x:v>DW-0909</x:v>
      </x:c>
      <x:c r="B914" t="str">
        <x:v>DW-0909</x:v>
      </x:c>
      <x:c r="C914" t="str">
        <x:v>Parent historique</x:v>
      </x:c>
      <x:c r="D914" t="str">
        <x:v>public</x:v>
      </x:c>
      <x:c r="E914" t="str">
        <x:v>École — variante 07</x:v>
      </x:c>
      <x:c r="F914" t="n">
        <x:v>8</x:v>
      </x:c>
      <x:c r="G914" t="n">
        <x:v>5</x:v>
      </x:c>
      <x:c r="H914" t="n">
        <x:v>0</x:v>
      </x:c>
      <x:c r="I914" t="str">
        <x:v>À qualifier par lieu</x:v>
      </x:c>
      <x:c r="J914" t="str">
        <x:v>https://github.com/darknigthmare/deadwall-last-enclosure/blob/1b3b9c5ba232734b1bda3453b4e20a0481bcdd74/codex-3000/originaux/DEADWALL_CODEX_SUPPLEMENT_1.23/FICHES_501_1000/DW-0909.md</x:v>
      </x:c>
      <x:c r="K914" t="str">
        <x:v>Source min 34,33 m ; max 34,33 m ; modèle 34 × 33 m ; niveaux 0, 1. Détails dans catalogue-existant.json.</x:v>
      </x:c>
    </x:row>
    <x:row r="915">
      <x:c r="A915" t="str">
        <x:v>DW-0910</x:v>
      </x:c>
      <x:c r="B915" t="str">
        <x:v>DW-0910</x:v>
      </x:c>
      <x:c r="C915" t="str">
        <x:v>Parent historique</x:v>
      </x:c>
      <x:c r="D915" t="str">
        <x:v>public</x:v>
      </x:c>
      <x:c r="E915" t="str">
        <x:v>Mairie — variante 07</x:v>
      </x:c>
      <x:c r="F915" t="n">
        <x:v>8</x:v>
      </x:c>
      <x:c r="G915" t="n">
        <x:v>5</x:v>
      </x:c>
      <x:c r="H915" t="n">
        <x:v>0</x:v>
      </x:c>
      <x:c r="I915" t="str">
        <x:v>À qualifier par lieu</x:v>
      </x:c>
      <x:c r="J915" t="str">
        <x:v>https://github.com/darknigthmare/deadwall-last-enclosure/blob/1b3b9c5ba232734b1bda3453b4e20a0481bcdd74/codex-3000/originaux/DEADWALL_CODEX_SUPPLEMENT_1.23/FICHES_501_1000/DW-0910.md</x:v>
      </x:c>
      <x:c r="K915" t="str">
        <x:v>Source min 45,50 m ; max 45,50 m ; modèle 45 × 50 m ; niveaux 0. Détails dans catalogue-existant.json.</x:v>
      </x:c>
    </x:row>
    <x:row r="916">
      <x:c r="A916" t="str">
        <x:v>DW-0911</x:v>
      </x:c>
      <x:c r="B916" t="str">
        <x:v>DW-0911</x:v>
      </x:c>
      <x:c r="C916" t="str">
        <x:v>Parent historique</x:v>
      </x:c>
      <x:c r="D916" t="str">
        <x:v>public</x:v>
      </x:c>
      <x:c r="E916" t="str">
        <x:v>Clinique — variante 07</x:v>
      </x:c>
      <x:c r="F916" t="n">
        <x:v>8</x:v>
      </x:c>
      <x:c r="G916" t="n">
        <x:v>6</x:v>
      </x:c>
      <x:c r="H916" t="n">
        <x:v>0</x:v>
      </x:c>
      <x:c r="I916" t="str">
        <x:v>À qualifier par lieu</x:v>
      </x:c>
      <x:c r="J916" t="str">
        <x:v>https://github.com/darknigthmare/deadwall-last-enclosure/blob/1b3b9c5ba232734b1bda3453b4e20a0481bcdd74/codex-3000/originaux/DEADWALL_CODEX_SUPPLEMENT_1.23/FICHES_501_1000/DW-0911.md</x:v>
      </x:c>
      <x:c r="K916" t="str">
        <x:v>Source min 56,13 m ; max 56,13 m ; modèle 56 × 22 m ; niveaux 0. Détails dans catalogue-existant.json.</x:v>
      </x:c>
    </x:row>
    <x:row r="917">
      <x:c r="A917" t="str">
        <x:v>DW-0912</x:v>
      </x:c>
      <x:c r="B917" t="str">
        <x:v>DW-0912</x:v>
      </x:c>
      <x:c r="C917" t="str">
        <x:v>Parent historique</x:v>
      </x:c>
      <x:c r="D917" t="str">
        <x:v>public</x:v>
      </x:c>
      <x:c r="E917" t="str">
        <x:v>Caserne de pompiers — variante 07</x:v>
      </x:c>
      <x:c r="F917" t="n">
        <x:v>8</x:v>
      </x:c>
      <x:c r="G917" t="n">
        <x:v>6</x:v>
      </x:c>
      <x:c r="H917" t="n">
        <x:v>0</x:v>
      </x:c>
      <x:c r="I917" t="str">
        <x:v>À qualifier par lieu</x:v>
      </x:c>
      <x:c r="J917" t="str">
        <x:v>https://github.com/darknigthmare/deadwall-last-enclosure/blob/1b3b9c5ba232734b1bda3453b4e20a0481bcdd74/codex-3000/originaux/DEADWALL_CODEX_SUPPLEMENT_1.23/FICHES_501_1000/DW-0912.md</x:v>
      </x:c>
      <x:c r="K917" t="str">
        <x:v>Source min 67,30 m ; max 67,30 m ; modèle 67 × 30 m ; niveaux 0. Détails dans catalogue-existant.json.</x:v>
      </x:c>
    </x:row>
    <x:row r="918">
      <x:c r="A918" t="str">
        <x:v>DW-0913</x:v>
      </x:c>
      <x:c r="B918" t="str">
        <x:v>DW-0913</x:v>
      </x:c>
      <x:c r="C918" t="str">
        <x:v>Parent historique</x:v>
      </x:c>
      <x:c r="D918" t="str">
        <x:v>public</x:v>
      </x:c>
      <x:c r="E918" t="str">
        <x:v>Poste de police — variante 07</x:v>
      </x:c>
      <x:c r="F918" t="n">
        <x:v>8</x:v>
      </x:c>
      <x:c r="G918" t="n">
        <x:v>5</x:v>
      </x:c>
      <x:c r="H918" t="n">
        <x:v>0</x:v>
      </x:c>
      <x:c r="I918" t="str">
        <x:v>À qualifier par lieu</x:v>
      </x:c>
      <x:c r="J918" t="str">
        <x:v>https://github.com/darknigthmare/deadwall-last-enclosure/blob/1b3b9c5ba232734b1bda3453b4e20a0481bcdd74/codex-3000/originaux/DEADWALL_CODEX_SUPPLEMENT_1.23/FICHES_501_1000/DW-0913.md</x:v>
      </x:c>
      <x:c r="K918" t="str">
        <x:v>Source min 78,47 m ; max 78,47 m ; modèle 78 × 47 m ; niveaux 0, 1. Détails dans catalogue-existant.json.</x:v>
      </x:c>
    </x:row>
    <x:row r="919">
      <x:c r="A919" t="str">
        <x:v>DW-0914</x:v>
      </x:c>
      <x:c r="B919" t="str">
        <x:v>DW-0914</x:v>
      </x:c>
      <x:c r="C919" t="str">
        <x:v>Parent historique</x:v>
      </x:c>
      <x:c r="D919" t="str">
        <x:v>public</x:v>
      </x:c>
      <x:c r="E919" t="str">
        <x:v>Bibliothèque — variante 07</x:v>
      </x:c>
      <x:c r="F919" t="n">
        <x:v>8</x:v>
      </x:c>
      <x:c r="G919" t="n">
        <x:v>5</x:v>
      </x:c>
      <x:c r="H919" t="n">
        <x:v>0</x:v>
      </x:c>
      <x:c r="I919" t="str">
        <x:v>À qualifier par lieu</x:v>
      </x:c>
      <x:c r="J919" t="str">
        <x:v>https://github.com/darknigthmare/deadwall-last-enclosure/blob/1b3b9c5ba232734b1bda3453b4e20a0481bcdd74/codex-3000/originaux/DEADWALL_CODEX_SUPPLEMENT_1.23/FICHES_501_1000/DW-0914.md</x:v>
      </x:c>
      <x:c r="K919" t="str">
        <x:v>Source min 17,10 m ; max 17,10 m ; modèle 26 × 22 m ; niveaux 0. Détails dans catalogue-existant.json.</x:v>
      </x:c>
    </x:row>
    <x:row r="920">
      <x:c r="A920" t="str">
        <x:v>DW-0915</x:v>
      </x:c>
      <x:c r="B920" t="str">
        <x:v>DW-0915</x:v>
      </x:c>
      <x:c r="C920" t="str">
        <x:v>Parent historique</x:v>
      </x:c>
      <x:c r="D920" t="str">
        <x:v>public</x:v>
      </x:c>
      <x:c r="E920" t="str">
        <x:v>Salle des fêtes — variante 07</x:v>
      </x:c>
      <x:c r="F920" t="n">
        <x:v>8</x:v>
      </x:c>
      <x:c r="G920" t="n">
        <x:v>5</x:v>
      </x:c>
      <x:c r="H920" t="n">
        <x:v>0</x:v>
      </x:c>
      <x:c r="I920" t="str">
        <x:v>À qualifier par lieu</x:v>
      </x:c>
      <x:c r="J920" t="str">
        <x:v>https://github.com/darknigthmare/deadwall-last-enclosure/blob/1b3b9c5ba232734b1bda3453b4e20a0481bcdd74/codex-3000/originaux/DEADWALL_CODEX_SUPPLEMENT_1.23/FICHES_501_1000/DW-0915.md</x:v>
      </x:c>
      <x:c r="K920" t="str">
        <x:v>Source min 28,27 m ; max 28,27 m ; modèle 28 × 27 m ; niveaux 0. Détails dans catalogue-existant.json.</x:v>
      </x:c>
    </x:row>
    <x:row r="921">
      <x:c r="A921" t="str">
        <x:v>DW-0916</x:v>
      </x:c>
      <x:c r="B921" t="str">
        <x:v>DW-0916</x:v>
      </x:c>
      <x:c r="C921" t="str">
        <x:v>Parent historique</x:v>
      </x:c>
      <x:c r="D921" t="str">
        <x:v>public</x:v>
      </x:c>
      <x:c r="E921" t="str">
        <x:v>Église et presbytère — variante 07</x:v>
      </x:c>
      <x:c r="F921" t="n">
        <x:v>8</x:v>
      </x:c>
      <x:c r="G921" t="n">
        <x:v>5</x:v>
      </x:c>
      <x:c r="H921" t="n">
        <x:v>0</x:v>
      </x:c>
      <x:c r="I921" t="str">
        <x:v>À qualifier par lieu</x:v>
      </x:c>
      <x:c r="J921" t="str">
        <x:v>https://github.com/darknigthmare/deadwall-last-enclosure/blob/1b3b9c5ba232734b1bda3453b4e20a0481bcdd74/codex-3000/originaux/DEADWALL_CODEX_SUPPLEMENT_1.23/FICHES_501_1000/DW-0916.md</x:v>
      </x:c>
      <x:c r="K921" t="str">
        <x:v>Source min 39,44 m ; max 39,44 m ; modèle 39 × 44 m ; niveaux 0. Détails dans catalogue-existant.json.</x:v>
      </x:c>
    </x:row>
    <x:row r="922">
      <x:c r="A922" t="str">
        <x:v>DW-0917</x:v>
      </x:c>
      <x:c r="B922" t="str">
        <x:v>DW-0917</x:v>
      </x:c>
      <x:c r="C922" t="str">
        <x:v>Parent historique</x:v>
      </x:c>
      <x:c r="D922" t="str">
        <x:v>rural</x:v>
      </x:c>
      <x:c r="E922" t="str">
        <x:v>Hameau agricole — variante 07</x:v>
      </x:c>
      <x:c r="F922" t="n">
        <x:v>8</x:v>
      </x:c>
      <x:c r="G922" t="n">
        <x:v>6</x:v>
      </x:c>
      <x:c r="H922" t="n">
        <x:v>0</x:v>
      </x:c>
      <x:c r="I922" t="str">
        <x:v>À qualifier par lieu</x:v>
      </x:c>
      <x:c r="J922" t="str">
        <x:v>https://github.com/darknigthmare/deadwall-last-enclosure/blob/1b3b9c5ba232734b1bda3453b4e20a0481bcdd74/codex-3000/originaux/DEADWALL_CODEX_SUPPLEMENT_1.23/FICHES_501_1000/DW-0917.md</x:v>
      </x:c>
      <x:c r="K922" t="str">
        <x:v>Source min 50,61 m ; max 50,61 m ; modèle 50 × 61 m ; niveaux 0. Détails dans catalogue-existant.json.</x:v>
      </x:c>
    </x:row>
    <x:row r="923">
      <x:c r="A923" t="str">
        <x:v>DW-0918</x:v>
      </x:c>
      <x:c r="B923" t="str">
        <x:v>DW-0918</x:v>
      </x:c>
      <x:c r="C923" t="str">
        <x:v>Parent historique</x:v>
      </x:c>
      <x:c r="D923" t="str">
        <x:v>rural</x:v>
      </x:c>
      <x:c r="E923" t="str">
        <x:v>Cabane forestière — variante 07</x:v>
      </x:c>
      <x:c r="F923" t="n">
        <x:v>8</x:v>
      </x:c>
      <x:c r="G923" t="n">
        <x:v>4</x:v>
      </x:c>
      <x:c r="H923" t="n">
        <x:v>0</x:v>
      </x:c>
      <x:c r="I923" t="str">
        <x:v>À qualifier par lieu</x:v>
      </x:c>
      <x:c r="J923" t="str">
        <x:v>https://github.com/darknigthmare/deadwall-last-enclosure/blob/1b3b9c5ba232734b1bda3453b4e20a0481bcdd74/codex-3000/originaux/DEADWALL_CODEX_SUPPLEMENT_1.23/FICHES_501_1000/DW-0918.md</x:v>
      </x:c>
      <x:c r="K923" t="str">
        <x:v>Source min 61,24 m ; max 61,24 m ; modèle 61 × 24 m ; niveaux 0. Détails dans catalogue-existant.json.</x:v>
      </x:c>
    </x:row>
    <x:row r="924">
      <x:c r="A924" t="str">
        <x:v>DW-0919</x:v>
      </x:c>
      <x:c r="B924" t="str">
        <x:v>DW-0919</x:v>
      </x:c>
      <x:c r="C924" t="str">
        <x:v>Parent historique</x:v>
      </x:c>
      <x:c r="D924" t="str">
        <x:v>rural</x:v>
      </x:c>
      <x:c r="E924" t="str">
        <x:v>Dépôt forestier — variante 07</x:v>
      </x:c>
      <x:c r="F924" t="n">
        <x:v>8</x:v>
      </x:c>
      <x:c r="G924" t="n">
        <x:v>5</x:v>
      </x:c>
      <x:c r="H924" t="n">
        <x:v>0</x:v>
      </x:c>
      <x:c r="I924" t="str">
        <x:v>À qualifier par lieu</x:v>
      </x:c>
      <x:c r="J924" t="str">
        <x:v>https://github.com/darknigthmare/deadwall-last-enclosure/blob/1b3b9c5ba232734b1bda3453b4e20a0481bcdd74/codex-3000/originaux/DEADWALL_CODEX_SUPPLEMENT_1.23/FICHES_501_1000/DW-0919.md</x:v>
      </x:c>
      <x:c r="K924" t="str">
        <x:v>Source min 72,41 m ; max 72,41 m ; modèle 72 × 41 m ; niveaux 0. Détails dans catalogue-existant.json.</x:v>
      </x:c>
    </x:row>
    <x:row r="925">
      <x:c r="A925" t="str">
        <x:v>DW-0920</x:v>
      </x:c>
      <x:c r="B925" t="str">
        <x:v>DW-0920</x:v>
      </x:c>
      <x:c r="C925" t="str">
        <x:v>Parent historique</x:v>
      </x:c>
      <x:c r="D925" t="str">
        <x:v>rural</x:v>
      </x:c>
      <x:c r="E925" t="str">
        <x:v>Ferme céréalière — variante 07</x:v>
      </x:c>
      <x:c r="F925" t="n">
        <x:v>8</x:v>
      </x:c>
      <x:c r="G925" t="n">
        <x:v>5</x:v>
      </x:c>
      <x:c r="H925" t="n">
        <x:v>0</x:v>
      </x:c>
      <x:c r="I925" t="str">
        <x:v>À qualifier par lieu</x:v>
      </x:c>
      <x:c r="J925" t="str">
        <x:v>https://github.com/darknigthmare/deadwall-last-enclosure/blob/1b3b9c5ba232734b1bda3453b4e20a0481bcdd74/codex-3000/originaux/DEADWALL_CODEX_SUPPLEMENT_1.23/FICHES_501_1000/DW-0920.md</x:v>
      </x:c>
      <x:c r="K925" t="str">
        <x:v>Source min 11,58 m ; max 11,58 m ; modèle 26 × 58 m ; niveaux 0. Détails dans catalogue-existant.json.</x:v>
      </x:c>
    </x:row>
    <x:row r="926">
      <x:c r="A926" t="str">
        <x:v>DW-0921</x:v>
      </x:c>
      <x:c r="B926" t="str">
        <x:v>DW-0921</x:v>
      </x:c>
      <x:c r="C926" t="str">
        <x:v>Parent historique</x:v>
      </x:c>
      <x:c r="D926" t="str">
        <x:v>rural</x:v>
      </x:c>
      <x:c r="E926" t="str">
        <x:v>Ferme d'élevage — variante 07</x:v>
      </x:c>
      <x:c r="F926" t="n">
        <x:v>8</x:v>
      </x:c>
      <x:c r="G926" t="n">
        <x:v>5</x:v>
      </x:c>
      <x:c r="H926" t="n">
        <x:v>0</x:v>
      </x:c>
      <x:c r="I926" t="str">
        <x:v>À qualifier par lieu</x:v>
      </x:c>
      <x:c r="J926" t="str">
        <x:v>https://github.com/darknigthmare/deadwall-last-enclosure/blob/1b3b9c5ba232734b1bda3453b4e20a0481bcdd74/codex-3000/originaux/DEADWALL_CODEX_SUPPLEMENT_1.23/FICHES_501_1000/DW-0921.md</x:v>
      </x:c>
      <x:c r="K926" t="str">
        <x:v>Source min 22,21 m ; max 22,21 m ; modèle 26 × 22 m ; niveaux 0. Détails dans catalogue-existant.json.</x:v>
      </x:c>
    </x:row>
    <x:row r="927">
      <x:c r="A927" t="str">
        <x:v>DW-0922</x:v>
      </x:c>
      <x:c r="B927" t="str">
        <x:v>DW-0922</x:v>
      </x:c>
      <x:c r="C927" t="str">
        <x:v>Parent historique</x:v>
      </x:c>
      <x:c r="D927" t="str">
        <x:v>rural</x:v>
      </x:c>
      <x:c r="E927" t="str">
        <x:v>Relais de chasse — variante 07</x:v>
      </x:c>
      <x:c r="F927" t="n">
        <x:v>8</x:v>
      </x:c>
      <x:c r="G927" t="n">
        <x:v>4</x:v>
      </x:c>
      <x:c r="H927" t="n">
        <x:v>0</x:v>
      </x:c>
      <x:c r="I927" t="str">
        <x:v>À qualifier par lieu</x:v>
      </x:c>
      <x:c r="J927" t="str">
        <x:v>https://github.com/darknigthmare/deadwall-last-enclosure/blob/1b3b9c5ba232734b1bda3453b4e20a0481bcdd74/codex-3000/originaux/DEADWALL_CODEX_SUPPLEMENT_1.23/FICHES_501_1000/DW-0922.md</x:v>
      </x:c>
      <x:c r="K927" t="str">
        <x:v>Source min 33,38 m ; max 33,38 m ; modèle 33 × 38 m ; niveaux 0. Détails dans catalogue-existant.json.</x:v>
      </x:c>
    </x:row>
    <x:row r="928">
      <x:c r="A928" t="str">
        <x:v>DW-0923</x:v>
      </x:c>
      <x:c r="B928" t="str">
        <x:v>DW-0923</x:v>
      </x:c>
      <x:c r="C928" t="str">
        <x:v>Parent historique</x:v>
      </x:c>
      <x:c r="D928" t="str">
        <x:v>rural</x:v>
      </x:c>
      <x:c r="E928" t="str">
        <x:v>Moulin rural — variante 07</x:v>
      </x:c>
      <x:c r="F928" t="n">
        <x:v>8</x:v>
      </x:c>
      <x:c r="G928" t="n">
        <x:v>4</x:v>
      </x:c>
      <x:c r="H928" t="n">
        <x:v>0</x:v>
      </x:c>
      <x:c r="I928" t="str">
        <x:v>À qualifier par lieu</x:v>
      </x:c>
      <x:c r="J928" t="str">
        <x:v>https://github.com/darknigthmare/deadwall-last-enclosure/blob/1b3b9c5ba232734b1bda3453b4e20a0481bcdd74/codex-3000/originaux/DEADWALL_CODEX_SUPPLEMENT_1.23/FICHES_501_1000/DW-0923.md</x:v>
      </x:c>
      <x:c r="K928" t="str">
        <x:v>Source min 44,55 m ; max 44,55 m ; modèle 44 × 55 m ; niveaux 0. Détails dans catalogue-existant.json.</x:v>
      </x:c>
    </x:row>
    <x:row r="929">
      <x:c r="A929" t="str">
        <x:v>DW-0924</x:v>
      </x:c>
      <x:c r="B929" t="str">
        <x:v>DW-0924</x:v>
      </x:c>
      <x:c r="C929" t="str">
        <x:v>Parent historique</x:v>
      </x:c>
      <x:c r="D929" t="str">
        <x:v>rural</x:v>
      </x:c>
      <x:c r="E929" t="str">
        <x:v>Serres maraîchères — variante 07</x:v>
      </x:c>
      <x:c r="F929" t="n">
        <x:v>8</x:v>
      </x:c>
      <x:c r="G929" t="n">
        <x:v>5</x:v>
      </x:c>
      <x:c r="H929" t="n">
        <x:v>0</x:v>
      </x:c>
      <x:c r="I929" t="str">
        <x:v>À qualifier par lieu</x:v>
      </x:c>
      <x:c r="J929" t="str">
        <x:v>https://github.com/darknigthmare/deadwall-last-enclosure/blob/1b3b9c5ba232734b1bda3453b4e20a0481bcdd74/codex-3000/originaux/DEADWALL_CODEX_SUPPLEMENT_1.23/FICHES_501_1000/DW-0924.md</x:v>
      </x:c>
      <x:c r="K929" t="str">
        <x:v>Source min 55,18 m ; max 55,18 m ; modèle 55 × 22 m ; niveaux 0. Détails dans catalogue-existant.json.</x:v>
      </x:c>
    </x:row>
    <x:row r="930">
      <x:c r="A930" t="str">
        <x:v>DW-0925</x:v>
      </x:c>
      <x:c r="B930" t="str">
        <x:v>DW-0925</x:v>
      </x:c>
      <x:c r="C930" t="str">
        <x:v>Parent historique</x:v>
      </x:c>
      <x:c r="D930" t="str">
        <x:v>militaire</x:v>
      </x:c>
      <x:c r="E930" t="str">
        <x:v>Bunker de défense civile — variante 07</x:v>
      </x:c>
      <x:c r="F930" t="n">
        <x:v>8</x:v>
      </x:c>
      <x:c r="G930" t="n">
        <x:v>6</x:v>
      </x:c>
      <x:c r="H930" t="n">
        <x:v>0</x:v>
      </x:c>
      <x:c r="I930" t="str">
        <x:v>À qualifier par lieu</x:v>
      </x:c>
      <x:c r="J930" t="str">
        <x:v>https://github.com/darknigthmare/deadwall-last-enclosure/blob/1b3b9c5ba232734b1bda3453b4e20a0481bcdd74/codex-3000/originaux/DEADWALL_CODEX_SUPPLEMENT_1.23/FICHES_501_1000/DW-0925.md</x:v>
      </x:c>
      <x:c r="K930" t="str">
        <x:v>Source min 66,35 m ; max 66,35 m ; modèle 66 × 35 m ; niveaux 0, 1. Détails dans catalogue-existant.json.</x:v>
      </x:c>
    </x:row>
    <x:row r="931">
      <x:c r="A931" t="str">
        <x:v>DW-0926</x:v>
      </x:c>
      <x:c r="B931" t="str">
        <x:v>DW-0926</x:v>
      </x:c>
      <x:c r="C931" t="str">
        <x:v>Parent historique</x:v>
      </x:c>
      <x:c r="D931" t="str">
        <x:v>militaire</x:v>
      </x:c>
      <x:c r="E931" t="str">
        <x:v>Dépôt militaire — variante 07</x:v>
      </x:c>
      <x:c r="F931" t="n">
        <x:v>8</x:v>
      </x:c>
      <x:c r="G931" t="n">
        <x:v>5</x:v>
      </x:c>
      <x:c r="H931" t="n">
        <x:v>0</x:v>
      </x:c>
      <x:c r="I931" t="str">
        <x:v>À qualifier par lieu</x:v>
      </x:c>
      <x:c r="J931" t="str">
        <x:v>https://github.com/darknigthmare/deadwall-last-enclosure/blob/1b3b9c5ba232734b1bda3453b4e20a0481bcdd74/codex-3000/originaux/DEADWALL_CODEX_SUPPLEMENT_1.23/FICHES_501_1000/DW-0926.md</x:v>
      </x:c>
      <x:c r="K931" t="str">
        <x:v>Source min 77,52 m ; max 77,52 m ; modèle 77 × 52 m ; niveaux 0. Détails dans catalogue-existant.json.</x:v>
      </x:c>
    </x:row>
    <x:row r="932">
      <x:c r="A932" t="str">
        <x:v>DW-0927</x:v>
      </x:c>
      <x:c r="B932" t="str">
        <x:v>DW-0927</x:v>
      </x:c>
      <x:c r="C932" t="str">
        <x:v>Parent historique</x:v>
      </x:c>
      <x:c r="D932" t="str">
        <x:v>militaire</x:v>
      </x:c>
      <x:c r="E932" t="str">
        <x:v>Poste de contrôle — variante 07</x:v>
      </x:c>
      <x:c r="F932" t="n">
        <x:v>8</x:v>
      </x:c>
      <x:c r="G932" t="n">
        <x:v>5</x:v>
      </x:c>
      <x:c r="H932" t="n">
        <x:v>0</x:v>
      </x:c>
      <x:c r="I932" t="str">
        <x:v>À qualifier par lieu</x:v>
      </x:c>
      <x:c r="J932" t="str">
        <x:v>https://github.com/darknigthmare/deadwall-last-enclosure/blob/1b3b9c5ba232734b1bda3453b4e20a0481bcdd74/codex-3000/originaux/DEADWALL_CODEX_SUPPLEMENT_1.23/FICHES_501_1000/DW-0927.md</x:v>
      </x:c>
      <x:c r="K932" t="str">
        <x:v>Source min 16,15 m ; max 16,15 m ; modèle 26 × 22 m ; niveaux 0. Détails dans catalogue-existant.json.</x:v>
      </x:c>
    </x:row>
    <x:row r="933">
      <x:c r="A933" t="str">
        <x:v>DW-0928</x:v>
      </x:c>
      <x:c r="B933" t="str">
        <x:v>DW-0928</x:v>
      </x:c>
      <x:c r="C933" t="str">
        <x:v>Parent historique</x:v>
      </x:c>
      <x:c r="D933" t="str">
        <x:v>militaire</x:v>
      </x:c>
      <x:c r="E933" t="str">
        <x:v>Camp retranché abandonné — variante 07</x:v>
      </x:c>
      <x:c r="F933" t="n">
        <x:v>8</x:v>
      </x:c>
      <x:c r="G933" t="n">
        <x:v>5</x:v>
      </x:c>
      <x:c r="H933" t="n">
        <x:v>0</x:v>
      </x:c>
      <x:c r="I933" t="str">
        <x:v>À qualifier par lieu</x:v>
      </x:c>
      <x:c r="J933" t="str">
        <x:v>https://github.com/darknigthmare/deadwall-last-enclosure/blob/1b3b9c5ba232734b1bda3453b4e20a0481bcdd74/codex-3000/originaux/DEADWALL_CODEX_SUPPLEMENT_1.23/FICHES_501_1000/DW-0928.md</x:v>
      </x:c>
      <x:c r="K933" t="str">
        <x:v>Source min 27,32 m ; max 27,32 m ; modèle 27 × 32 m ; niveaux 0. Détails dans catalogue-existant.json.</x:v>
      </x:c>
    </x:row>
    <x:row r="934">
      <x:c r="A934" t="str">
        <x:v>DW-0929</x:v>
      </x:c>
      <x:c r="B934" t="str">
        <x:v>DW-0929</x:v>
      </x:c>
      <x:c r="C934" t="str">
        <x:v>Parent historique</x:v>
      </x:c>
      <x:c r="D934" t="str">
        <x:v>militaire</x:v>
      </x:c>
      <x:c r="E934" t="str">
        <x:v>Abri ferroviaire — variante 07</x:v>
      </x:c>
      <x:c r="F934" t="n">
        <x:v>8</x:v>
      </x:c>
      <x:c r="G934" t="n">
        <x:v>4</x:v>
      </x:c>
      <x:c r="H934" t="n">
        <x:v>0</x:v>
      </x:c>
      <x:c r="I934" t="str">
        <x:v>À qualifier par lieu</x:v>
      </x:c>
      <x:c r="J934" t="str">
        <x:v>https://github.com/darknigthmare/deadwall-last-enclosure/blob/1b3b9c5ba232734b1bda3453b4e20a0481bcdd74/codex-3000/originaux/DEADWALL_CODEX_SUPPLEMENT_1.23/FICHES_501_1000/DW-0929.md</x:v>
      </x:c>
      <x:c r="K934" t="str">
        <x:v>Source min 38,49 m ; max 38,49 m ; modèle 38 × 49 m ; niveaux 0. Détails dans catalogue-existant.json.</x:v>
      </x:c>
    </x:row>
    <x:row r="935">
      <x:c r="A935" t="str">
        <x:v>DW-0930</x:v>
      </x:c>
      <x:c r="B935" t="str">
        <x:v>DW-0930</x:v>
      </x:c>
      <x:c r="C935" t="str">
        <x:v>Parent historique</x:v>
      </x:c>
      <x:c r="D935" t="str">
        <x:v>militaire</x:v>
      </x:c>
      <x:c r="E935" t="str">
        <x:v>Site radar — variante 07</x:v>
      </x:c>
      <x:c r="F935" t="n">
        <x:v>8</x:v>
      </x:c>
      <x:c r="G935" t="n">
        <x:v>5</x:v>
      </x:c>
      <x:c r="H935" t="n">
        <x:v>0</x:v>
      </x:c>
      <x:c r="I935" t="str">
        <x:v>À qualifier par lieu</x:v>
      </x:c>
      <x:c r="J935" t="str">
        <x:v>https://github.com/darknigthmare/deadwall-last-enclosure/blob/1b3b9c5ba232734b1bda3453b4e20a0481bcdd74/codex-3000/originaux/DEADWALL_CODEX_SUPPLEMENT_1.23/FICHES_501_1000/DW-0930.md</x:v>
      </x:c>
      <x:c r="K935" t="str">
        <x:v>Source min 49,12 m ; max 49,12 m ; modèle 49 × 22 m ; niveaux 0. Détails dans catalogue-existant.json.</x:v>
      </x:c>
    </x:row>
    <x:row r="936">
      <x:c r="A936" t="str">
        <x:v>DW-0931</x:v>
      </x:c>
      <x:c r="B936" t="str">
        <x:v>DW-0931</x:v>
      </x:c>
      <x:c r="C936" t="str">
        <x:v>Parent historique</x:v>
      </x:c>
      <x:c r="D936" t="str">
        <x:v>militaire</x:v>
      </x:c>
      <x:c r="E936" t="str">
        <x:v>Batterie côtière — variante 07</x:v>
      </x:c>
      <x:c r="F936" t="n">
        <x:v>8</x:v>
      </x:c>
      <x:c r="G936" t="n">
        <x:v>4</x:v>
      </x:c>
      <x:c r="H936" t="n">
        <x:v>0</x:v>
      </x:c>
      <x:c r="I936" t="str">
        <x:v>À qualifier par lieu</x:v>
      </x:c>
      <x:c r="J936" t="str">
        <x:v>https://github.com/darknigthmare/deadwall-last-enclosure/blob/1b3b9c5ba232734b1bda3453b4e20a0481bcdd74/codex-3000/originaux/DEADWALL_CODEX_SUPPLEMENT_1.23/FICHES_501_1000/DW-0931.md</x:v>
      </x:c>
      <x:c r="K936" t="str">
        <x:v>Source min 60,29 m ; max 60,29 m ; modèle 60 × 29 m ; niveaux 0. Détails dans catalogue-existant.json.</x:v>
      </x:c>
    </x:row>
    <x:row r="937">
      <x:c r="A937" t="str">
        <x:v>DW-0932</x:v>
      </x:c>
      <x:c r="B937" t="str">
        <x:v>DW-0932</x:v>
      </x:c>
      <x:c r="C937" t="str">
        <x:v>Parent historique</x:v>
      </x:c>
      <x:c r="D937" t="str">
        <x:v>militaire</x:v>
      </x:c>
      <x:c r="E937" t="str">
        <x:v>Dépôt carburant sécurisé — variante 07</x:v>
      </x:c>
      <x:c r="F937" t="n">
        <x:v>8</x:v>
      </x:c>
      <x:c r="G937" t="n">
        <x:v>5</x:v>
      </x:c>
      <x:c r="H937" t="n">
        <x:v>0</x:v>
      </x:c>
      <x:c r="I937" t="str">
        <x:v>À qualifier par lieu</x:v>
      </x:c>
      <x:c r="J937" t="str">
        <x:v>https://github.com/darknigthmare/deadwall-last-enclosure/blob/1b3b9c5ba232734b1bda3453b4e20a0481bcdd74/codex-3000/originaux/DEADWALL_CODEX_SUPPLEMENT_1.23/FICHES_501_1000/DW-0932.md</x:v>
      </x:c>
      <x:c r="K937" t="str">
        <x:v>Source min 71,46 m ; max 71,46 m ; modèle 71 × 46 m ; niveaux 0. Détails dans catalogue-existant.json.</x:v>
      </x:c>
    </x:row>
    <x:row r="938">
      <x:c r="A938" t="str">
        <x:v>DW-0933</x:v>
      </x:c>
      <x:c r="B938" t="str">
        <x:v>DW-0933</x:v>
      </x:c>
      <x:c r="C938" t="str">
        <x:v>Parent historique</x:v>
      </x:c>
      <x:c r="D938" t="str">
        <x:v>transport</x:v>
      </x:c>
      <x:c r="E938" t="str">
        <x:v>Gare routière — variante 07</x:v>
      </x:c>
      <x:c r="F938" t="n">
        <x:v>8</x:v>
      </x:c>
      <x:c r="G938" t="n">
        <x:v>5</x:v>
      </x:c>
      <x:c r="H938" t="n">
        <x:v>0</x:v>
      </x:c>
      <x:c r="I938" t="str">
        <x:v>À qualifier par lieu</x:v>
      </x:c>
      <x:c r="J938" t="str">
        <x:v>https://github.com/darknigthmare/deadwall-last-enclosure/blob/1b3b9c5ba232734b1bda3453b4e20a0481bcdd74/codex-3000/originaux/DEADWALL_CODEX_SUPPLEMENT_1.23/FICHES_501_1000/DW-0933.md</x:v>
      </x:c>
      <x:c r="K938" t="str">
        <x:v>Source min 10,9 m ; max 10,9 m ; modèle 26 × 22 m ; niveaux 0. Détails dans catalogue-existant.json.</x:v>
      </x:c>
    </x:row>
    <x:row r="939">
      <x:c r="A939" t="str">
        <x:v>DW-0934</x:v>
      </x:c>
      <x:c r="B939" t="str">
        <x:v>DW-0934</x:v>
      </x:c>
      <x:c r="C939" t="str">
        <x:v>Parent historique</x:v>
      </x:c>
      <x:c r="D939" t="str">
        <x:v>transport</x:v>
      </x:c>
      <x:c r="E939" t="str">
        <x:v>Dépôt de bus — variante 07</x:v>
      </x:c>
      <x:c r="F939" t="n">
        <x:v>8</x:v>
      </x:c>
      <x:c r="G939" t="n">
        <x:v>5</x:v>
      </x:c>
      <x:c r="H939" t="n">
        <x:v>0</x:v>
      </x:c>
      <x:c r="I939" t="str">
        <x:v>À qualifier par lieu</x:v>
      </x:c>
      <x:c r="J939" t="str">
        <x:v>https://github.com/darknigthmare/deadwall-last-enclosure/blob/1b3b9c5ba232734b1bda3453b4e20a0481bcdd74/codex-3000/originaux/DEADWALL_CODEX_SUPPLEMENT_1.23/FICHES_501_1000/DW-0934.md</x:v>
      </x:c>
      <x:c r="K939" t="str">
        <x:v>Source min 21,26 m ; max 21,26 m ; modèle 26 × 26 m ; niveaux 0. Détails dans catalogue-existant.json.</x:v>
      </x:c>
    </x:row>
    <x:row r="940">
      <x:c r="A940" t="str">
        <x:v>DW-0935</x:v>
      </x:c>
      <x:c r="B940" t="str">
        <x:v>DW-0935</x:v>
      </x:c>
      <x:c r="C940" t="str">
        <x:v>Parent historique</x:v>
      </x:c>
      <x:c r="D940" t="str">
        <x:v>transport</x:v>
      </x:c>
      <x:c r="E940" t="str">
        <x:v>Gare ferroviaire — variante 07</x:v>
      </x:c>
      <x:c r="F940" t="n">
        <x:v>8</x:v>
      </x:c>
      <x:c r="G940" t="n">
        <x:v>5</x:v>
      </x:c>
      <x:c r="H940" t="n">
        <x:v>0</x:v>
      </x:c>
      <x:c r="I940" t="str">
        <x:v>À qualifier par lieu</x:v>
      </x:c>
      <x:c r="J940" t="str">
        <x:v>https://github.com/darknigthmare/deadwall-last-enclosure/blob/1b3b9c5ba232734b1bda3453b4e20a0481bcdd74/codex-3000/originaux/DEADWALL_CODEX_SUPPLEMENT_1.23/FICHES_501_1000/DW-0935.md</x:v>
      </x:c>
      <x:c r="K940" t="str">
        <x:v>Source min 32,43 m ; max 32,43 m ; modèle 32 × 43 m ; niveaux 0. Détails dans catalogue-existant.json.</x:v>
      </x:c>
    </x:row>
    <x:row r="941">
      <x:c r="A941" t="str">
        <x:v>DW-0936</x:v>
      </x:c>
      <x:c r="B941" t="str">
        <x:v>DW-0936</x:v>
      </x:c>
      <x:c r="C941" t="str">
        <x:v>Parent historique</x:v>
      </x:c>
      <x:c r="D941" t="str">
        <x:v>transport</x:v>
      </x:c>
      <x:c r="E941" t="str">
        <x:v>Aire d'autoroute — variante 07</x:v>
      </x:c>
      <x:c r="F941" t="n">
        <x:v>8</x:v>
      </x:c>
      <x:c r="G941" t="n">
        <x:v>5</x:v>
      </x:c>
      <x:c r="H941" t="n">
        <x:v>0</x:v>
      </x:c>
      <x:c r="I941" t="str">
        <x:v>À qualifier par lieu</x:v>
      </x:c>
      <x:c r="J941" t="str">
        <x:v>https://github.com/darknigthmare/deadwall-last-enclosure/blob/1b3b9c5ba232734b1bda3453b4e20a0481bcdd74/codex-3000/originaux/DEADWALL_CODEX_SUPPLEMENT_1.23/FICHES_501_1000/DW-0936.md</x:v>
      </x:c>
      <x:c r="K941" t="str">
        <x:v>Source min 43,60 m ; max 43,60 m ; modèle 43 × 60 m ; niveaux 0. Détails dans catalogue-existant.json.</x:v>
      </x:c>
    </x:row>
    <x:row r="942">
      <x:c r="A942" t="str">
        <x:v>DW-0937</x:v>
      </x:c>
      <x:c r="B942" t="str">
        <x:v>DW-0937</x:v>
      </x:c>
      <x:c r="C942" t="str">
        <x:v>Parent historique</x:v>
      </x:c>
      <x:c r="D942" t="str">
        <x:v>transport</x:v>
      </x:c>
      <x:c r="E942" t="str">
        <x:v>Parking silo — variante 07</x:v>
      </x:c>
      <x:c r="F942" t="n">
        <x:v>8</x:v>
      </x:c>
      <x:c r="G942" t="n">
        <x:v>4</x:v>
      </x:c>
      <x:c r="H942" t="n">
        <x:v>0</x:v>
      </x:c>
      <x:c r="I942" t="str">
        <x:v>À qualifier par lieu</x:v>
      </x:c>
      <x:c r="J942" t="str">
        <x:v>https://github.com/darknigthmare/deadwall-last-enclosure/blob/1b3b9c5ba232734b1bda3453b4e20a0481bcdd74/codex-3000/originaux/DEADWALL_CODEX_SUPPLEMENT_1.23/FICHES_501_1000/DW-0937.md</x:v>
      </x:c>
      <x:c r="K942" t="str">
        <x:v>Source min 54,23 m ; max 54,23 m ; modèle 54 × 23 m ; niveaux 0. Détails dans catalogue-existant.json.</x:v>
      </x:c>
    </x:row>
    <x:row r="943">
      <x:c r="A943" t="str">
        <x:v>DW-0938</x:v>
      </x:c>
      <x:c r="B943" t="str">
        <x:v>DW-0938</x:v>
      </x:c>
      <x:c r="C943" t="str">
        <x:v>Parent historique</x:v>
      </x:c>
      <x:c r="D943" t="str">
        <x:v>transport</x:v>
      </x:c>
      <x:c r="E943" t="str">
        <x:v>Terminal poids lourds — variante 07</x:v>
      </x:c>
      <x:c r="F943" t="n">
        <x:v>8</x:v>
      </x:c>
      <x:c r="G943" t="n">
        <x:v>5</x:v>
      </x:c>
      <x:c r="H943" t="n">
        <x:v>0</x:v>
      </x:c>
      <x:c r="I943" t="str">
        <x:v>À qualifier par lieu</x:v>
      </x:c>
      <x:c r="J943" t="str">
        <x:v>https://github.com/darknigthmare/deadwall-last-enclosure/blob/1b3b9c5ba232734b1bda3453b4e20a0481bcdd74/codex-3000/originaux/DEADWALL_CODEX_SUPPLEMENT_1.23/FICHES_501_1000/DW-0938.md</x:v>
      </x:c>
      <x:c r="K943" t="str">
        <x:v>Source min 65,40 m ; max 65,40 m ; modèle 65 × 40 m ; niveaux 0. Détails dans catalogue-existant.json.</x:v>
      </x:c>
    </x:row>
    <x:row r="944">
      <x:c r="A944" t="str">
        <x:v>DW-0939</x:v>
      </x:c>
      <x:c r="B944" t="str">
        <x:v>DW-0939</x:v>
      </x:c>
      <x:c r="C944" t="str">
        <x:v>Parent historique</x:v>
      </x:c>
      <x:c r="D944" t="str">
        <x:v>transport</x:v>
      </x:c>
      <x:c r="E944" t="str">
        <x:v>Port de plaisance — variante 07</x:v>
      </x:c>
      <x:c r="F944" t="n">
        <x:v>8</x:v>
      </x:c>
      <x:c r="G944" t="n">
        <x:v>5</x:v>
      </x:c>
      <x:c r="H944" t="n">
        <x:v>0</x:v>
      </x:c>
      <x:c r="I944" t="str">
        <x:v>À qualifier par lieu</x:v>
      </x:c>
      <x:c r="J944" t="str">
        <x:v>https://github.com/darknigthmare/deadwall-last-enclosure/blob/1b3b9c5ba232734b1bda3453b4e20a0481bcdd74/codex-3000/originaux/DEADWALL_CODEX_SUPPLEMENT_1.23/FICHES_501_1000/DW-0939.md</x:v>
      </x:c>
      <x:c r="K944" t="str">
        <x:v>Source min 76,57 m ; max 76,57 m ; modèle 76 × 57 m ; niveaux 0. Détails dans catalogue-existant.json.</x:v>
      </x:c>
    </x:row>
    <x:row r="945">
      <x:c r="A945" t="str">
        <x:v>DW-0940</x:v>
      </x:c>
      <x:c r="B945" t="str">
        <x:v>DW-0940</x:v>
      </x:c>
      <x:c r="C945" t="str">
        <x:v>Parent historique</x:v>
      </x:c>
      <x:c r="D945" t="str">
        <x:v>transport</x:v>
      </x:c>
      <x:c r="E945" t="str">
        <x:v>Petit aérodrome — variante 07</x:v>
      </x:c>
      <x:c r="F945" t="n">
        <x:v>8</x:v>
      </x:c>
      <x:c r="G945" t="n">
        <x:v>5</x:v>
      </x:c>
      <x:c r="H945" t="n">
        <x:v>0</x:v>
      </x:c>
      <x:c r="I945" t="str">
        <x:v>À qualifier par lieu</x:v>
      </x:c>
      <x:c r="J945" t="str">
        <x:v>https://github.com/darknigthmare/deadwall-last-enclosure/blob/1b3b9c5ba232734b1bda3453b4e20a0481bcdd74/codex-3000/originaux/DEADWALL_CODEX_SUPPLEMENT_1.23/FICHES_501_1000/DW-0940.md</x:v>
      </x:c>
      <x:c r="K945" t="str">
        <x:v>Source min 15,20 m ; max 15,20 m ; modèle 26 × 22 m ; niveaux 0. Détails dans catalogue-existant.json.</x:v>
      </x:c>
    </x:row>
    <x:row r="946">
      <x:c r="A946" t="str">
        <x:v>DW-0941</x:v>
      </x:c>
      <x:c r="B946" t="str">
        <x:v>DW-0941</x:v>
      </x:c>
      <x:c r="C946" t="str">
        <x:v>Parent historique</x:v>
      </x:c>
      <x:c r="D946" t="str">
        <x:v>ruines</x:v>
      </x:c>
      <x:c r="E946" t="str">
        <x:v>Maison incendiée — variante 07</x:v>
      </x:c>
      <x:c r="F946" t="n">
        <x:v>8</x:v>
      </x:c>
      <x:c r="G946" t="n">
        <x:v>3</x:v>
      </x:c>
      <x:c r="H946" t="n">
        <x:v>0</x:v>
      </x:c>
      <x:c r="I946" t="str">
        <x:v>À qualifier par lieu</x:v>
      </x:c>
      <x:c r="J946" t="str">
        <x:v>https://github.com/darknigthmare/deadwall-last-enclosure/blob/1b3b9c5ba232734b1bda3453b4e20a0481bcdd74/codex-3000/originaux/DEADWALL_CODEX_SUPPLEMENT_1.23/FICHES_501_1000/DW-0941.md</x:v>
      </x:c>
      <x:c r="K946" t="str">
        <x:v>Source min 26,37 m ; max 26,37 m ; modèle 26 × 37 m ; niveaux 0, 1. Détails dans catalogue-existant.json.</x:v>
      </x:c>
    </x:row>
    <x:row r="947">
      <x:c r="A947" t="str">
        <x:v>DW-0942</x:v>
      </x:c>
      <x:c r="B947" t="str">
        <x:v>DW-0942</x:v>
      </x:c>
      <x:c r="C947" t="str">
        <x:v>Parent historique</x:v>
      </x:c>
      <x:c r="D947" t="str">
        <x:v>ruines</x:v>
      </x:c>
      <x:c r="E947" t="str">
        <x:v>Immeuble éventré — variante 07</x:v>
      </x:c>
      <x:c r="F947" t="n">
        <x:v>8</x:v>
      </x:c>
      <x:c r="G947" t="n">
        <x:v>4</x:v>
      </x:c>
      <x:c r="H947" t="n">
        <x:v>0</x:v>
      </x:c>
      <x:c r="I947" t="str">
        <x:v>À qualifier par lieu</x:v>
      </x:c>
      <x:c r="J947" t="str">
        <x:v>https://github.com/darknigthmare/deadwall-last-enclosure/blob/1b3b9c5ba232734b1bda3453b4e20a0481bcdd74/codex-3000/originaux/DEADWALL_CODEX_SUPPLEMENT_1.23/FICHES_501_1000/DW-0942.md</x:v>
      </x:c>
      <x:c r="K947" t="str">
        <x:v>Source min 37,54 m ; max 37,54 m ; modèle 37 × 54 m ; niveaux 0, 1. Détails dans catalogue-existant.json.</x:v>
      </x:c>
    </x:row>
    <x:row r="948">
      <x:c r="A948" t="str">
        <x:v>DW-0943</x:v>
      </x:c>
      <x:c r="B948" t="str">
        <x:v>DW-0943</x:v>
      </x:c>
      <x:c r="C948" t="str">
        <x:v>Parent historique</x:v>
      </x:c>
      <x:c r="D948" t="str">
        <x:v>ruines</x:v>
      </x:c>
      <x:c r="E948" t="str">
        <x:v>Commerce pillé — variante 07</x:v>
      </x:c>
      <x:c r="F948" t="n">
        <x:v>8</x:v>
      </x:c>
      <x:c r="G948" t="n">
        <x:v>4</x:v>
      </x:c>
      <x:c r="H948" t="n">
        <x:v>0</x:v>
      </x:c>
      <x:c r="I948" t="str">
        <x:v>À qualifier par lieu</x:v>
      </x:c>
      <x:c r="J948" t="str">
        <x:v>https://github.com/darknigthmare/deadwall-last-enclosure/blob/1b3b9c5ba232734b1bda3453b4e20a0481bcdd74/codex-3000/originaux/DEADWALL_CODEX_SUPPLEMENT_1.23/FICHES_501_1000/DW-0943.md</x:v>
      </x:c>
      <x:c r="K948" t="str">
        <x:v>Source min 48,17 m ; max 48,17 m ; modèle 48 × 18 m ; niveaux 0. Détails dans catalogue-existant.json.</x:v>
      </x:c>
    </x:row>
    <x:row r="949">
      <x:c r="A949" t="str">
        <x:v>DW-0944</x:v>
      </x:c>
      <x:c r="B949" t="str">
        <x:v>DW-0944</x:v>
      </x:c>
      <x:c r="C949" t="str">
        <x:v>Parent historique</x:v>
      </x:c>
      <x:c r="D949" t="str">
        <x:v>ruines</x:v>
      </x:c>
      <x:c r="E949" t="str">
        <x:v>Usine sinistrée — variante 07</x:v>
      </x:c>
      <x:c r="F949" t="n">
        <x:v>8</x:v>
      </x:c>
      <x:c r="G949" t="n">
        <x:v>4</x:v>
      </x:c>
      <x:c r="H949" t="n">
        <x:v>0</x:v>
      </x:c>
      <x:c r="I949" t="str">
        <x:v>À qualifier par lieu</x:v>
      </x:c>
      <x:c r="J949" t="str">
        <x:v>https://github.com/darknigthmare/deadwall-last-enclosure/blob/1b3b9c5ba232734b1bda3453b4e20a0481bcdd74/codex-3000/originaux/DEADWALL_CODEX_SUPPLEMENT_1.23/FICHES_501_1000/DW-0944.md</x:v>
      </x:c>
      <x:c r="K949" t="str">
        <x:v>Source min 59,34 m ; max 59,34 m ; modèle 59 × 34 m ; niveaux 0. Détails dans catalogue-existant.json.</x:v>
      </x:c>
    </x:row>
    <x:row r="950">
      <x:c r="A950" t="str">
        <x:v>DW-0945</x:v>
      </x:c>
      <x:c r="B950" t="str">
        <x:v>DW-0945</x:v>
      </x:c>
      <x:c r="C950" t="str">
        <x:v>Parent historique</x:v>
      </x:c>
      <x:c r="D950" t="str">
        <x:v>ruines</x:v>
      </x:c>
      <x:c r="E950" t="str">
        <x:v>Hôtel abandonné — variante 07</x:v>
      </x:c>
      <x:c r="F950" t="n">
        <x:v>8</x:v>
      </x:c>
      <x:c r="G950" t="n">
        <x:v>5</x:v>
      </x:c>
      <x:c r="H950" t="n">
        <x:v>0</x:v>
      </x:c>
      <x:c r="I950" t="str">
        <x:v>À qualifier par lieu</x:v>
      </x:c>
      <x:c r="J950" t="str">
        <x:v>https://github.com/darknigthmare/deadwall-last-enclosure/blob/1b3b9c5ba232734b1bda3453b4e20a0481bcdd74/codex-3000/originaux/DEADWALL_CODEX_SUPPLEMENT_1.23/FICHES_501_1000/DW-0945.md</x:v>
      </x:c>
      <x:c r="K950" t="str">
        <x:v>Source min 70,51 m ; max 70,51 m ; modèle 70 × 51 m ; niveaux 0, 1. Détails dans catalogue-existant.json.</x:v>
      </x:c>
    </x:row>
    <x:row r="951">
      <x:c r="A951" t="str">
        <x:v>DW-0946</x:v>
      </x:c>
      <x:c r="B951" t="str">
        <x:v>DW-0946</x:v>
      </x:c>
      <x:c r="C951" t="str">
        <x:v>Parent historique</x:v>
      </x:c>
      <x:c r="D951" t="str">
        <x:v>ruines</x:v>
      </x:c>
      <x:c r="E951" t="str">
        <x:v>Lotissement ravagé — variante 07</x:v>
      </x:c>
      <x:c r="F951" t="n">
        <x:v>8</x:v>
      </x:c>
      <x:c r="G951" t="n">
        <x:v>4</x:v>
      </x:c>
      <x:c r="H951" t="n">
        <x:v>0</x:v>
      </x:c>
      <x:c r="I951" t="str">
        <x:v>À qualifier par lieu</x:v>
      </x:c>
      <x:c r="J951" t="str">
        <x:v>https://github.com/darknigthmare/deadwall-last-enclosure/blob/1b3b9c5ba232734b1bda3453b4e20a0481bcdd74/codex-3000/originaux/DEADWALL_CODEX_SUPPLEMENT_1.23/FICHES_501_1000/DW-0946.md</x:v>
      </x:c>
      <x:c r="K951" t="str">
        <x:v>Source min 81,14 m ; max 81,14 m ; modèle 78 × 18 m ; niveaux 0. Détails dans catalogue-existant.json.</x:v>
      </x:c>
    </x:row>
    <x:row r="952">
      <x:c r="A952" t="str">
        <x:v>DW-0947</x:v>
      </x:c>
      <x:c r="B952" t="str">
        <x:v>DW-0947</x:v>
      </x:c>
      <x:c r="C952" t="str">
        <x:v>Parent historique</x:v>
      </x:c>
      <x:c r="D952" t="str">
        <x:v>ruines</x:v>
      </x:c>
      <x:c r="E952" t="str">
        <x:v>Village déserté — variante 07</x:v>
      </x:c>
      <x:c r="F952" t="n">
        <x:v>8</x:v>
      </x:c>
      <x:c r="G952" t="n">
        <x:v>5</x:v>
      </x:c>
      <x:c r="H952" t="n">
        <x:v>0</x:v>
      </x:c>
      <x:c r="I952" t="str">
        <x:v>À qualifier par lieu</x:v>
      </x:c>
      <x:c r="J952" t="str">
        <x:v>https://github.com/darknigthmare/deadwall-last-enclosure/blob/1b3b9c5ba232734b1bda3453b4e20a0481bcdd74/codex-3000/originaux/DEADWALL_CODEX_SUPPLEMENT_1.23/FICHES_501_1000/DW-0947.md</x:v>
      </x:c>
      <x:c r="K952" t="str">
        <x:v>Source min 20,31 m ; max 20,31 m ; modèle 26 × 31 m ; niveaux 0. Détails dans catalogue-existant.json.</x:v>
      </x:c>
    </x:row>
    <x:row r="953">
      <x:c r="A953" t="str">
        <x:v>DW-0948</x:v>
      </x:c>
      <x:c r="B953" t="str">
        <x:v>DW-0948</x:v>
      </x:c>
      <x:c r="C953" t="str">
        <x:v>Parent historique</x:v>
      </x:c>
      <x:c r="D953" t="str">
        <x:v>ruines</x:v>
      </x:c>
      <x:c r="E953" t="str">
        <x:v>Centre commercial effondré — variante 07</x:v>
      </x:c>
      <x:c r="F953" t="n">
        <x:v>8</x:v>
      </x:c>
      <x:c r="G953" t="n">
        <x:v>5</x:v>
      </x:c>
      <x:c r="H953" t="n">
        <x:v>0</x:v>
      </x:c>
      <x:c r="I953" t="str">
        <x:v>À qualifier par lieu</x:v>
      </x:c>
      <x:c r="J953" t="str">
        <x:v>https://github.com/darknigthmare/deadwall-last-enclosure/blob/1b3b9c5ba232734b1bda3453b4e20a0481bcdd74/codex-3000/originaux/DEADWALL_CODEX_SUPPLEMENT_1.23/FICHES_501_1000/DW-0948.md</x:v>
      </x:c>
      <x:c r="K953" t="str">
        <x:v>Source min 31,48 m ; max 31,48 m ; modèle 31 × 48 m ; niveaux 0. Détails dans catalogue-existant.json.</x:v>
      </x:c>
    </x:row>
    <x:row r="954">
      <x:c r="A954" t="str">
        <x:v>DW-0949</x:v>
      </x:c>
      <x:c r="B954" t="str">
        <x:v>DW-0949</x:v>
      </x:c>
      <x:c r="C954" t="str">
        <x:v>Parent historique</x:v>
      </x:c>
      <x:c r="D954" t="str">
        <x:v>habitat</x:v>
      </x:c>
      <x:c r="E954" t="str">
        <x:v>Maison de lotissement — variante 08</x:v>
      </x:c>
      <x:c r="F954" t="n">
        <x:v>8</x:v>
      </x:c>
      <x:c r="G954" t="n">
        <x:v>5</x:v>
      </x:c>
      <x:c r="H954" t="n">
        <x:v>0</x:v>
      </x:c>
      <x:c r="I954" t="str">
        <x:v>À qualifier par lieu</x:v>
      </x:c>
      <x:c r="J954" t="str">
        <x:v>https://github.com/darknigthmare/deadwall-last-enclosure/blob/1b3b9c5ba232734b1bda3453b4e20a0481bcdd74/codex-3000/originaux/DEADWALL_CODEX_SUPPLEMENT_1.23/FICHES_501_1000/DW-0949.md</x:v>
      </x:c>
      <x:c r="K954" t="str">
        <x:v>Source min 42,11 m ; max 42,11 m ; modèle 42 × 22 m ; niveaux 0, 1. Détails dans catalogue-existant.json.</x:v>
      </x:c>
    </x:row>
    <x:row r="955">
      <x:c r="A955" t="str">
        <x:v>DW-0950</x:v>
      </x:c>
      <x:c r="B955" t="str">
        <x:v>DW-0950</x:v>
      </x:c>
      <x:c r="C955" t="str">
        <x:v>Parent historique</x:v>
      </x:c>
      <x:c r="D955" t="str">
        <x:v>habitat</x:v>
      </x:c>
      <x:c r="E955" t="str">
        <x:v>Maison mitoyenne — variante 08</x:v>
      </x:c>
      <x:c r="F955" t="n">
        <x:v>8</x:v>
      </x:c>
      <x:c r="G955" t="n">
        <x:v>5</x:v>
      </x:c>
      <x:c r="H955" t="n">
        <x:v>0</x:v>
      </x:c>
      <x:c r="I955" t="str">
        <x:v>À qualifier par lieu</x:v>
      </x:c>
      <x:c r="J955" t="str">
        <x:v>https://github.com/darknigthmare/deadwall-last-enclosure/blob/1b3b9c5ba232734b1bda3453b4e20a0481bcdd74/codex-3000/originaux/DEADWALL_CODEX_SUPPLEMENT_1.23/FICHES_501_1000/DW-0950.md</x:v>
      </x:c>
      <x:c r="K955" t="str">
        <x:v>Source min 53,28 m ; max 53,28 m ; modèle 53 × 28 m ; niveaux 0. Détails dans catalogue-existant.json.</x:v>
      </x:c>
    </x:row>
    <x:row r="956">
      <x:c r="A956" t="str">
        <x:v>DW-0951</x:v>
      </x:c>
      <x:c r="B956" t="str">
        <x:v>DW-0951</x:v>
      </x:c>
      <x:c r="C956" t="str">
        <x:v>Parent historique</x:v>
      </x:c>
      <x:c r="D956" t="str">
        <x:v>habitat</x:v>
      </x:c>
      <x:c r="E956" t="str">
        <x:v>Villa isolée — variante 08</x:v>
      </x:c>
      <x:c r="F956" t="n">
        <x:v>8</x:v>
      </x:c>
      <x:c r="G956" t="n">
        <x:v>7</x:v>
      </x:c>
      <x:c r="H956" t="n">
        <x:v>0</x:v>
      </x:c>
      <x:c r="I956" t="str">
        <x:v>À qualifier par lieu</x:v>
      </x:c>
      <x:c r="J956" t="str">
        <x:v>https://github.com/darknigthmare/deadwall-last-enclosure/blob/1b3b9c5ba232734b1bda3453b4e20a0481bcdd74/codex-3000/originaux/DEADWALL_CODEX_SUPPLEMENT_1.23/FICHES_501_1000/DW-0951.md</x:v>
      </x:c>
      <x:c r="K956" t="str">
        <x:v>Source min 64,45 m ; max 64,45 m ; modèle 64 × 45 m ; niveaux 0. Détails dans catalogue-existant.json.</x:v>
      </x:c>
    </x:row>
    <x:row r="957">
      <x:c r="A957" t="str">
        <x:v>DW-0952</x:v>
      </x:c>
      <x:c r="B957" t="str">
        <x:v>DW-0952</x:v>
      </x:c>
      <x:c r="C957" t="str">
        <x:v>Parent historique</x:v>
      </x:c>
      <x:c r="D957" t="str">
        <x:v>habitat</x:v>
      </x:c>
      <x:c r="E957" t="str">
        <x:v>Ferme familiale — variante 08</x:v>
      </x:c>
      <x:c r="F957" t="n">
        <x:v>8</x:v>
      </x:c>
      <x:c r="G957" t="n">
        <x:v>6</x:v>
      </x:c>
      <x:c r="H957" t="n">
        <x:v>0</x:v>
      </x:c>
      <x:c r="I957" t="str">
        <x:v>À qualifier par lieu</x:v>
      </x:c>
      <x:c r="J957" t="str">
        <x:v>https://github.com/darknigthmare/deadwall-last-enclosure/blob/1b3b9c5ba232734b1bda3453b4e20a0481bcdd74/codex-3000/originaux/DEADWALL_CODEX_SUPPLEMENT_1.23/FICHES_501_1000/DW-0952.md</x:v>
      </x:c>
      <x:c r="K957" t="str">
        <x:v>Source min 75,62 m ; max 75,62 m ; modèle 75 × 62 m ; niveaux 0. Détails dans catalogue-existant.json.</x:v>
      </x:c>
    </x:row>
    <x:row r="958">
      <x:c r="A958" t="str">
        <x:v>DW-0953</x:v>
      </x:c>
      <x:c r="B958" t="str">
        <x:v>DW-0953</x:v>
      </x:c>
      <x:c r="C958" t="str">
        <x:v>Parent historique</x:v>
      </x:c>
      <x:c r="D958" t="str">
        <x:v>habitat</x:v>
      </x:c>
      <x:c r="E958" t="str">
        <x:v>Immeuble résidentiel — variante 08</x:v>
      </x:c>
      <x:c r="F958" t="n">
        <x:v>8</x:v>
      </x:c>
      <x:c r="G958" t="n">
        <x:v>5</x:v>
      </x:c>
      <x:c r="H958" t="n">
        <x:v>0</x:v>
      </x:c>
      <x:c r="I958" t="str">
        <x:v>À qualifier par lieu</x:v>
      </x:c>
      <x:c r="J958" t="str">
        <x:v>https://github.com/darknigthmare/deadwall-last-enclosure/blob/1b3b9c5ba232734b1bda3453b4e20a0481bcdd74/codex-3000/originaux/DEADWALL_CODEX_SUPPLEMENT_1.23/FICHES_501_1000/DW-0953.md</x:v>
      </x:c>
      <x:c r="K958" t="str">
        <x:v>Source min 14,25 m ; max 14,25 m ; modèle 26 × 25 m ; niveaux 0, 1, 2. Détails dans catalogue-existant.json.</x:v>
      </x:c>
    </x:row>
    <x:row r="959">
      <x:c r="A959" t="str">
        <x:v>DW-0954</x:v>
      </x:c>
      <x:c r="B959" t="str">
        <x:v>DW-0954</x:v>
      </x:c>
      <x:c r="C959" t="str">
        <x:v>Parent historique</x:v>
      </x:c>
      <x:c r="D959" t="str">
        <x:v>habitat</x:v>
      </x:c>
      <x:c r="E959" t="str">
        <x:v>Barre de logements — variante 08</x:v>
      </x:c>
      <x:c r="F959" t="n">
        <x:v>8</x:v>
      </x:c>
      <x:c r="G959" t="n">
        <x:v>5</x:v>
      </x:c>
      <x:c r="H959" t="n">
        <x:v>0</x:v>
      </x:c>
      <x:c r="I959" t="str">
        <x:v>À qualifier par lieu</x:v>
      </x:c>
      <x:c r="J959" t="str">
        <x:v>https://github.com/darknigthmare/deadwall-last-enclosure/blob/1b3b9c5ba232734b1bda3453b4e20a0481bcdd74/codex-3000/originaux/DEADWALL_CODEX_SUPPLEMENT_1.23/FICHES_501_1000/DW-0954.md</x:v>
      </x:c>
      <x:c r="K959" t="str">
        <x:v>Source min 25,42 m ; max 25,42 m ; modèle 26 × 42 m ; niveaux 0, 1. Détails dans catalogue-existant.json.</x:v>
      </x:c>
    </x:row>
    <x:row r="960">
      <x:c r="A960" t="str">
        <x:v>DW-0955</x:v>
      </x:c>
      <x:c r="B960" t="str">
        <x:v>DW-0955</x:v>
      </x:c>
      <x:c r="C960" t="str">
        <x:v>Parent historique</x:v>
      </x:c>
      <x:c r="D960" t="str">
        <x:v>habitat</x:v>
      </x:c>
      <x:c r="E960" t="str">
        <x:v>Résidence senior — variante 08</x:v>
      </x:c>
      <x:c r="F960" t="n">
        <x:v>8</x:v>
      </x:c>
      <x:c r="G960" t="n">
        <x:v>5</x:v>
      </x:c>
      <x:c r="H960" t="n">
        <x:v>0</x:v>
      </x:c>
      <x:c r="I960" t="str">
        <x:v>À qualifier par lieu</x:v>
      </x:c>
      <x:c r="J960" t="str">
        <x:v>https://github.com/darknigthmare/deadwall-last-enclosure/blob/1b3b9c5ba232734b1bda3453b4e20a0481bcdd74/codex-3000/originaux/DEADWALL_CODEX_SUPPLEMENT_1.23/FICHES_501_1000/DW-0955.md</x:v>
      </x:c>
      <x:c r="K960" t="str">
        <x:v>Source min 36,59 m ; max 36,59 m ; modèle 36 × 59 m ; niveaux 0, 1, 2. Détails dans catalogue-existant.json.</x:v>
      </x:c>
    </x:row>
    <x:row r="961">
      <x:c r="A961" t="str">
        <x:v>DW-0956</x:v>
      </x:c>
      <x:c r="B961" t="str">
        <x:v>DW-0956</x:v>
      </x:c>
      <x:c r="C961" t="str">
        <x:v>Parent historique</x:v>
      </x:c>
      <x:c r="D961" t="str">
        <x:v>habitat</x:v>
      </x:c>
      <x:c r="E961" t="str">
        <x:v>Maison avec sous-sol — variante 08</x:v>
      </x:c>
      <x:c r="F961" t="n">
        <x:v>8</x:v>
      </x:c>
      <x:c r="G961" t="n">
        <x:v>5</x:v>
      </x:c>
      <x:c r="H961" t="n">
        <x:v>0</x:v>
      </x:c>
      <x:c r="I961" t="str">
        <x:v>À qualifier par lieu</x:v>
      </x:c>
      <x:c r="J961" t="str">
        <x:v>https://github.com/darknigthmare/deadwall-last-enclosure/blob/1b3b9c5ba232734b1bda3453b4e20a0481bcdd74/codex-3000/originaux/DEADWALL_CODEX_SUPPLEMENT_1.23/FICHES_501_1000/DW-0956.md</x:v>
      </x:c>
      <x:c r="K961" t="str">
        <x:v>Source min 47,22 m ; max 47,22 m ; modèle 47 × 22 m ; niveaux 0. Détails dans catalogue-existant.json.</x:v>
      </x:c>
    </x:row>
    <x:row r="962">
      <x:c r="A962" t="str">
        <x:v>DW-0957</x:v>
      </x:c>
      <x:c r="B962" t="str">
        <x:v>DW-0957</x:v>
      </x:c>
      <x:c r="C962" t="str">
        <x:v>Parent historique</x:v>
      </x:c>
      <x:c r="D962" t="str">
        <x:v>commerce</x:v>
      </x:c>
      <x:c r="E962" t="str">
        <x:v>Supérette — variante 08</x:v>
      </x:c>
      <x:c r="F962" t="n">
        <x:v>8</x:v>
      </x:c>
      <x:c r="G962" t="n">
        <x:v>5</x:v>
      </x:c>
      <x:c r="H962" t="n">
        <x:v>0</x:v>
      </x:c>
      <x:c r="I962" t="str">
        <x:v>À qualifier par lieu</x:v>
      </x:c>
      <x:c r="J962" t="str">
        <x:v>https://github.com/darknigthmare/deadwall-last-enclosure/blob/1b3b9c5ba232734b1bda3453b4e20a0481bcdd74/codex-3000/originaux/DEADWALL_CODEX_SUPPLEMENT_1.23/FICHES_501_1000/DW-0957.md</x:v>
      </x:c>
      <x:c r="K962" t="str">
        <x:v>Source min 58,39 m ; max 58,39 m ; modèle 58 × 39 m ; niveaux 0, 1. Détails dans catalogue-existant.json.</x:v>
      </x:c>
    </x:row>
    <x:row r="963">
      <x:c r="A963" t="str">
        <x:v>DW-0958</x:v>
      </x:c>
      <x:c r="B963" t="str">
        <x:v>DW-0958</x:v>
      </x:c>
      <x:c r="C963" t="str">
        <x:v>Parent historique</x:v>
      </x:c>
      <x:c r="D963" t="str">
        <x:v>commerce</x:v>
      </x:c>
      <x:c r="E963" t="str">
        <x:v>Centre commercial — variante 08</x:v>
      </x:c>
      <x:c r="F963" t="n">
        <x:v>8</x:v>
      </x:c>
      <x:c r="G963" t="n">
        <x:v>6</x:v>
      </x:c>
      <x:c r="H963" t="n">
        <x:v>0</x:v>
      </x:c>
      <x:c r="I963" t="str">
        <x:v>À qualifier par lieu</x:v>
      </x:c>
      <x:c r="J963" t="str">
        <x:v>https://github.com/darknigthmare/deadwall-last-enclosure/blob/1b3b9c5ba232734b1bda3453b4e20a0481bcdd74/codex-3000/originaux/DEADWALL_CODEX_SUPPLEMENT_1.23/FICHES_501_1000/DW-0958.md</x:v>
      </x:c>
      <x:c r="K963" t="str">
        <x:v>Source min 69,56 m ; max 69,56 m ; modèle 69 × 56 m ; niveaux 0. Détails dans catalogue-existant.json.</x:v>
      </x:c>
    </x:row>
    <x:row r="964">
      <x:c r="A964" t="str">
        <x:v>DW-0959</x:v>
      </x:c>
      <x:c r="B964" t="str">
        <x:v>DW-0959</x:v>
      </x:c>
      <x:c r="C964" t="str">
        <x:v>Parent historique</x:v>
      </x:c>
      <x:c r="D964" t="str">
        <x:v>commerce</x:v>
      </x:c>
      <x:c r="E964" t="str">
        <x:v>Supermarché — variante 08</x:v>
      </x:c>
      <x:c r="F964" t="n">
        <x:v>8</x:v>
      </x:c>
      <x:c r="G964" t="n">
        <x:v>7</x:v>
      </x:c>
      <x:c r="H964" t="n">
        <x:v>0</x:v>
      </x:c>
      <x:c r="I964" t="str">
        <x:v>À qualifier par lieu</x:v>
      </x:c>
      <x:c r="J964" t="str">
        <x:v>https://github.com/darknigthmare/deadwall-last-enclosure/blob/1b3b9c5ba232734b1bda3453b4e20a0481bcdd74/codex-3000/originaux/DEADWALL_CODEX_SUPPLEMENT_1.23/FICHES_501_1000/DW-0959.md</x:v>
      </x:c>
      <x:c r="K964" t="str">
        <x:v>Source min 80,19 m ; max 80,19 m ; modèle 78 × 29 m ; niveaux 0. Détails dans catalogue-existant.json.</x:v>
      </x:c>
    </x:row>
    <x:row r="965">
      <x:c r="A965" t="str">
        <x:v>DW-0960</x:v>
      </x:c>
      <x:c r="B965" t="str">
        <x:v>DW-0960</x:v>
      </x:c>
      <x:c r="C965" t="str">
        <x:v>Parent historique</x:v>
      </x:c>
      <x:c r="D965" t="str">
        <x:v>commerce</x:v>
      </x:c>
      <x:c r="E965" t="str">
        <x:v>Magasin de bricolage — variante 08</x:v>
      </x:c>
      <x:c r="F965" t="n">
        <x:v>8</x:v>
      </x:c>
      <x:c r="G965" t="n">
        <x:v>5</x:v>
      </x:c>
      <x:c r="H965" t="n">
        <x:v>0</x:v>
      </x:c>
      <x:c r="I965" t="str">
        <x:v>À qualifier par lieu</x:v>
      </x:c>
      <x:c r="J965" t="str">
        <x:v>https://github.com/darknigthmare/deadwall-last-enclosure/blob/1b3b9c5ba232734b1bda3453b4e20a0481bcdd74/codex-3000/originaux/DEADWALL_CODEX_SUPPLEMENT_1.23/FICHES_501_1000/DW-0960.md</x:v>
      </x:c>
      <x:c r="K965" t="str">
        <x:v>Source min 19,36 m ; max 19,36 m ; modèle 26 × 36 m ; niveaux 0. Détails dans catalogue-existant.json.</x:v>
      </x:c>
    </x:row>
    <x:row r="966">
      <x:c r="A966" t="str">
        <x:v>DW-0961</x:v>
      </x:c>
      <x:c r="B966" t="str">
        <x:v>DW-0961</x:v>
      </x:c>
      <x:c r="C966" t="str">
        <x:v>Parent historique</x:v>
      </x:c>
      <x:c r="D966" t="str">
        <x:v>commerce</x:v>
      </x:c>
      <x:c r="E966" t="str">
        <x:v>Pharmacie — variante 08</x:v>
      </x:c>
      <x:c r="F966" t="n">
        <x:v>8</x:v>
      </x:c>
      <x:c r="G966" t="n">
        <x:v>4</x:v>
      </x:c>
      <x:c r="H966" t="n">
        <x:v>0</x:v>
      </x:c>
      <x:c r="I966" t="str">
        <x:v>À qualifier par lieu</x:v>
      </x:c>
      <x:c r="J966" t="str">
        <x:v>https://github.com/darknigthmare/deadwall-last-enclosure/blob/1b3b9c5ba232734b1bda3453b4e20a0481bcdd74/codex-3000/originaux/DEADWALL_CODEX_SUPPLEMENT_1.23/FICHES_501_1000/DW-0961.md</x:v>
      </x:c>
      <x:c r="K966" t="str">
        <x:v>Source min 30,53 m ; max 30,53 m ; modèle 30 × 53 m ; niveaux 0, 1. Détails dans catalogue-existant.json.</x:v>
      </x:c>
    </x:row>
    <x:row r="967">
      <x:c r="A967" t="str">
        <x:v>DW-0962</x:v>
      </x:c>
      <x:c r="B967" t="str">
        <x:v>DW-0962</x:v>
      </x:c>
      <x:c r="C967" t="str">
        <x:v>Parent historique</x:v>
      </x:c>
      <x:c r="D967" t="str">
        <x:v>commerce</x:v>
      </x:c>
      <x:c r="E967" t="str">
        <x:v>Station-service — variante 08</x:v>
      </x:c>
      <x:c r="F967" t="n">
        <x:v>8</x:v>
      </x:c>
      <x:c r="G967" t="n">
        <x:v>5</x:v>
      </x:c>
      <x:c r="H967" t="n">
        <x:v>0</x:v>
      </x:c>
      <x:c r="I967" t="str">
        <x:v>À qualifier par lieu</x:v>
      </x:c>
      <x:c r="J967" t="str">
        <x:v>https://github.com/darknigthmare/deadwall-last-enclosure/blob/1b3b9c5ba232734b1bda3453b4e20a0481bcdd74/codex-3000/originaux/DEADWALL_CODEX_SUPPLEMENT_1.23/FICHES_501_1000/DW-0962.md</x:v>
      </x:c>
      <x:c r="K967" t="str">
        <x:v>Source min 41,16 m ; max 41,16 m ; modèle 41 × 22 m ; niveaux 0. Détails dans catalogue-existant.json.</x:v>
      </x:c>
    </x:row>
    <x:row r="968">
      <x:c r="A968" t="str">
        <x:v>DW-0963</x:v>
      </x:c>
      <x:c r="B968" t="str">
        <x:v>DW-0963</x:v>
      </x:c>
      <x:c r="C968" t="str">
        <x:v>Parent historique</x:v>
      </x:c>
      <x:c r="D968" t="str">
        <x:v>commerce</x:v>
      </x:c>
      <x:c r="E968" t="str">
        <x:v>Restaurant routier — variante 08</x:v>
      </x:c>
      <x:c r="F968" t="n">
        <x:v>8</x:v>
      </x:c>
      <x:c r="G968" t="n">
        <x:v>5</x:v>
      </x:c>
      <x:c r="H968" t="n">
        <x:v>0</x:v>
      </x:c>
      <x:c r="I968" t="str">
        <x:v>À qualifier par lieu</x:v>
      </x:c>
      <x:c r="J968" t="str">
        <x:v>https://github.com/darknigthmare/deadwall-last-enclosure/blob/1b3b9c5ba232734b1bda3453b4e20a0481bcdd74/codex-3000/originaux/DEADWALL_CODEX_SUPPLEMENT_1.23/FICHES_501_1000/DW-0963.md</x:v>
      </x:c>
      <x:c r="K968" t="str">
        <x:v>Source min 52,33 m ; max 52,33 m ; modèle 52 × 33 m ; niveaux 0. Détails dans catalogue-existant.json.</x:v>
      </x:c>
    </x:row>
    <x:row r="969">
      <x:c r="A969" t="str">
        <x:v>DW-0964</x:v>
      </x:c>
      <x:c r="B969" t="str">
        <x:v>DW-0964</x:v>
      </x:c>
      <x:c r="C969" t="str">
        <x:v>Parent historique</x:v>
      </x:c>
      <x:c r="D969" t="str">
        <x:v>commerce</x:v>
      </x:c>
      <x:c r="E969" t="str">
        <x:v>Hôtel — variante 08</x:v>
      </x:c>
      <x:c r="F969" t="n">
        <x:v>8</x:v>
      </x:c>
      <x:c r="G969" t="n">
        <x:v>6</x:v>
      </x:c>
      <x:c r="H969" t="n">
        <x:v>0</x:v>
      </x:c>
      <x:c r="I969" t="str">
        <x:v>À qualifier par lieu</x:v>
      </x:c>
      <x:c r="J969" t="str">
        <x:v>https://github.com/darknigthmare/deadwall-last-enclosure/blob/1b3b9c5ba232734b1bda3453b4e20a0481bcdd74/codex-3000/originaux/DEADWALL_CODEX_SUPPLEMENT_1.23/FICHES_501_1000/DW-0964.md</x:v>
      </x:c>
      <x:c r="K969" t="str">
        <x:v>Source min 63,50 m ; max 63,50 m ; modèle 63 × 50 m ; niveaux 0. Détails dans catalogue-existant.json.</x:v>
      </x:c>
    </x:row>
    <x:row r="970">
      <x:c r="A970" t="str">
        <x:v>DW-0965</x:v>
      </x:c>
      <x:c r="B970" t="str">
        <x:v>DW-0965</x:v>
      </x:c>
      <x:c r="C970" t="str">
        <x:v>Parent historique</x:v>
      </x:c>
      <x:c r="D970" t="str">
        <x:v>industrie</x:v>
      </x:c>
      <x:c r="E970" t="str">
        <x:v>Scierie — variante 08</x:v>
      </x:c>
      <x:c r="F970" t="n">
        <x:v>8</x:v>
      </x:c>
      <x:c r="G970" t="n">
        <x:v>5</x:v>
      </x:c>
      <x:c r="H970" t="n">
        <x:v>0</x:v>
      </x:c>
      <x:c r="I970" t="str">
        <x:v>À qualifier par lieu</x:v>
      </x:c>
      <x:c r="J970" t="str">
        <x:v>https://github.com/darknigthmare/deadwall-last-enclosure/blob/1b3b9c5ba232734b1bda3453b4e20a0481bcdd74/codex-3000/originaux/DEADWALL_CODEX_SUPPLEMENT_1.23/FICHES_501_1000/DW-0965.md</x:v>
      </x:c>
      <x:c r="K970" t="str">
        <x:v>Source min 74,13 m ; max 74,13 m ; modèle 74 × 22 m ; niveaux 0. Détails dans catalogue-existant.json.</x:v>
      </x:c>
    </x:row>
    <x:row r="971">
      <x:c r="A971" t="str">
        <x:v>DW-0966</x:v>
      </x:c>
      <x:c r="B971" t="str">
        <x:v>DW-0966</x:v>
      </x:c>
      <x:c r="C971" t="str">
        <x:v>Parent historique</x:v>
      </x:c>
      <x:c r="D971" t="str">
        <x:v>industrie</x:v>
      </x:c>
      <x:c r="E971" t="str">
        <x:v>Garage automobile — variante 08</x:v>
      </x:c>
      <x:c r="F971" t="n">
        <x:v>8</x:v>
      </x:c>
      <x:c r="G971" t="n">
        <x:v>5</x:v>
      </x:c>
      <x:c r="H971" t="n">
        <x:v>0</x:v>
      </x:c>
      <x:c r="I971" t="str">
        <x:v>À qualifier par lieu</x:v>
      </x:c>
      <x:c r="J971" t="str">
        <x:v>https://github.com/darknigthmare/deadwall-last-enclosure/blob/1b3b9c5ba232734b1bda3453b4e20a0481bcdd74/codex-3000/originaux/DEADWALL_CODEX_SUPPLEMENT_1.23/FICHES_501_1000/DW-0966.md</x:v>
      </x:c>
      <x:c r="K971" t="str">
        <x:v>Source min 13,30 m ; max 13,30 m ; modèle 26 × 30 m ; niveaux 0. Détails dans catalogue-existant.json.</x:v>
      </x:c>
    </x:row>
    <x:row r="972">
      <x:c r="A972" t="str">
        <x:v>DW-0967</x:v>
      </x:c>
      <x:c r="B972" t="str">
        <x:v>DW-0967</x:v>
      </x:c>
      <x:c r="C972" t="str">
        <x:v>Parent historique</x:v>
      </x:c>
      <x:c r="D972" t="str">
        <x:v>industrie</x:v>
      </x:c>
      <x:c r="E972" t="str">
        <x:v>Entrepôt logistique — variante 08</x:v>
      </x:c>
      <x:c r="F972" t="n">
        <x:v>8</x:v>
      </x:c>
      <x:c r="G972" t="n">
        <x:v>5</x:v>
      </x:c>
      <x:c r="H972" t="n">
        <x:v>0</x:v>
      </x:c>
      <x:c r="I972" t="str">
        <x:v>À qualifier par lieu</x:v>
      </x:c>
      <x:c r="J972" t="str">
        <x:v>https://github.com/darknigthmare/deadwall-last-enclosure/blob/1b3b9c5ba232734b1bda3453b4e20a0481bcdd74/codex-3000/originaux/DEADWALL_CODEX_SUPPLEMENT_1.23/FICHES_501_1000/DW-0967.md</x:v>
      </x:c>
      <x:c r="K972" t="str">
        <x:v>Source min 24,47 m ; max 24,47 m ; modèle 26 × 47 m ; niveaux 0. Détails dans catalogue-existant.json.</x:v>
      </x:c>
    </x:row>
    <x:row r="973">
      <x:c r="A973" t="str">
        <x:v>DW-0968</x:v>
      </x:c>
      <x:c r="B973" t="str">
        <x:v>DW-0968</x:v>
      </x:c>
      <x:c r="C973" t="str">
        <x:v>Parent historique</x:v>
      </x:c>
      <x:c r="D973" t="str">
        <x:v>industrie</x:v>
      </x:c>
      <x:c r="E973" t="str">
        <x:v>Petite usine — variante 08</x:v>
      </x:c>
      <x:c r="F973" t="n">
        <x:v>8</x:v>
      </x:c>
      <x:c r="G973" t="n">
        <x:v>5</x:v>
      </x:c>
      <x:c r="H973" t="n">
        <x:v>0</x:v>
      </x:c>
      <x:c r="I973" t="str">
        <x:v>À qualifier par lieu</x:v>
      </x:c>
      <x:c r="J973" t="str">
        <x:v>https://github.com/darknigthmare/deadwall-last-enclosure/blob/1b3b9c5ba232734b1bda3453b4e20a0481bcdd74/codex-3000/originaux/DEADWALL_CODEX_SUPPLEMENT_1.23/FICHES_501_1000/DW-0968.md</x:v>
      </x:c>
      <x:c r="K973" t="str">
        <x:v>Source min 35,10 m ; max 35,10 m ; modèle 35 × 22 m ; niveaux 0. Détails dans catalogue-existant.json.</x:v>
      </x:c>
    </x:row>
    <x:row r="974">
      <x:c r="A974" t="str">
        <x:v>DW-0969</x:v>
      </x:c>
      <x:c r="B974" t="str">
        <x:v>DW-0969</x:v>
      </x:c>
      <x:c r="C974" t="str">
        <x:v>Parent historique</x:v>
      </x:c>
      <x:c r="D974" t="str">
        <x:v>industrie</x:v>
      </x:c>
      <x:c r="E974" t="str">
        <x:v>Carrière — variante 08</x:v>
      </x:c>
      <x:c r="F974" t="n">
        <x:v>8</x:v>
      </x:c>
      <x:c r="G974" t="n">
        <x:v>5</x:v>
      </x:c>
      <x:c r="H974" t="n">
        <x:v>0</x:v>
      </x:c>
      <x:c r="I974" t="str">
        <x:v>À qualifier par lieu</x:v>
      </x:c>
      <x:c r="J974" t="str">
        <x:v>https://github.com/darknigthmare/deadwall-last-enclosure/blob/1b3b9c5ba232734b1bda3453b4e20a0481bcdd74/codex-3000/originaux/DEADWALL_CODEX_SUPPLEMENT_1.23/FICHES_501_1000/DW-0969.md</x:v>
      </x:c>
      <x:c r="K974" t="str">
        <x:v>Source min 46,27 m ; max 46,27 m ; modèle 46 × 27 m ; niveaux 0. Détails dans catalogue-existant.json.</x:v>
      </x:c>
    </x:row>
    <x:row r="975">
      <x:c r="A975" t="str">
        <x:v>DW-0970</x:v>
      </x:c>
      <x:c r="B975" t="str">
        <x:v>DW-0970</x:v>
      </x:c>
      <x:c r="C975" t="str">
        <x:v>Parent historique</x:v>
      </x:c>
      <x:c r="D975" t="str">
        <x:v>industrie</x:v>
      </x:c>
      <x:c r="E975" t="str">
        <x:v>Mine — variante 08</x:v>
      </x:c>
      <x:c r="F975" t="n">
        <x:v>8</x:v>
      </x:c>
      <x:c r="G975" t="n">
        <x:v>6</x:v>
      </x:c>
      <x:c r="H975" t="n">
        <x:v>0</x:v>
      </x:c>
      <x:c r="I975" t="str">
        <x:v>À qualifier par lieu</x:v>
      </x:c>
      <x:c r="J975" t="str">
        <x:v>https://github.com/darknigthmare/deadwall-last-enclosure/blob/1b3b9c5ba232734b1bda3453b4e20a0481bcdd74/codex-3000/originaux/DEADWALL_CODEX_SUPPLEMENT_1.23/FICHES_501_1000/DW-0970.md</x:v>
      </x:c>
      <x:c r="K975" t="str">
        <x:v>Source min 57,44 m ; max 57,44 m ; modèle 57 × 44 m ; niveaux 0. Détails dans catalogue-existant.json.</x:v>
      </x:c>
    </x:row>
    <x:row r="976">
      <x:c r="A976" t="str">
        <x:v>DW-0971</x:v>
      </x:c>
      <x:c r="B976" t="str">
        <x:v>DW-0971</x:v>
      </x:c>
      <x:c r="C976" t="str">
        <x:v>Parent historique</x:v>
      </x:c>
      <x:c r="D976" t="str">
        <x:v>industrie</x:v>
      </x:c>
      <x:c r="E976" t="str">
        <x:v>Centrale locale — variante 08</x:v>
      </x:c>
      <x:c r="F976" t="n">
        <x:v>8</x:v>
      </x:c>
      <x:c r="G976" t="n">
        <x:v>5</x:v>
      </x:c>
      <x:c r="H976" t="n">
        <x:v>0</x:v>
      </x:c>
      <x:c r="I976" t="str">
        <x:v>À qualifier par lieu</x:v>
      </x:c>
      <x:c r="J976" t="str">
        <x:v>https://github.com/darknigthmare/deadwall-last-enclosure/blob/1b3b9c5ba232734b1bda3453b4e20a0481bcdd74/codex-3000/originaux/DEADWALL_CODEX_SUPPLEMENT_1.23/FICHES_501_1000/DW-0971.md</x:v>
      </x:c>
      <x:c r="K976" t="str">
        <x:v>Source min 68,61 m ; max 68,61 m ; modèle 68 × 61 m ; niveaux 0. Détails dans catalogue-existant.json.</x:v>
      </x:c>
    </x:row>
    <x:row r="977">
      <x:c r="A977" t="str">
        <x:v>DW-0972</x:v>
      </x:c>
      <x:c r="B977" t="str">
        <x:v>DW-0972</x:v>
      </x:c>
      <x:c r="C977" t="str">
        <x:v>Parent historique</x:v>
      </x:c>
      <x:c r="D977" t="str">
        <x:v>industrie</x:v>
      </x:c>
      <x:c r="E977" t="str">
        <x:v>Station de pompage — variante 08</x:v>
      </x:c>
      <x:c r="F977" t="n">
        <x:v>8</x:v>
      </x:c>
      <x:c r="G977" t="n">
        <x:v>5</x:v>
      </x:c>
      <x:c r="H977" t="n">
        <x:v>0</x:v>
      </x:c>
      <x:c r="I977" t="str">
        <x:v>À qualifier par lieu</x:v>
      </x:c>
      <x:c r="J977" t="str">
        <x:v>https://github.com/darknigthmare/deadwall-last-enclosure/blob/1b3b9c5ba232734b1bda3453b4e20a0481bcdd74/codex-3000/originaux/DEADWALL_CODEX_SUPPLEMENT_1.23/FICHES_501_1000/DW-0972.md</x:v>
      </x:c>
      <x:c r="K977" t="str">
        <x:v>Source min 79,24 m ; max 79,24 m ; modèle 78 × 24 m ; niveaux 0. Détails dans catalogue-existant.json.</x:v>
      </x:c>
    </x:row>
    <x:row r="978">
      <x:c r="A978" t="str">
        <x:v>DW-0973</x:v>
      </x:c>
      <x:c r="B978" t="str">
        <x:v>DW-0973</x:v>
      </x:c>
      <x:c r="C978" t="str">
        <x:v>Parent historique</x:v>
      </x:c>
      <x:c r="D978" t="str">
        <x:v>public</x:v>
      </x:c>
      <x:c r="E978" t="str">
        <x:v>École — variante 08</x:v>
      </x:c>
      <x:c r="F978" t="n">
        <x:v>8</x:v>
      </x:c>
      <x:c r="G978" t="n">
        <x:v>5</x:v>
      </x:c>
      <x:c r="H978" t="n">
        <x:v>0</x:v>
      </x:c>
      <x:c r="I978" t="str">
        <x:v>À qualifier par lieu</x:v>
      </x:c>
      <x:c r="J978" t="str">
        <x:v>https://github.com/darknigthmare/deadwall-last-enclosure/blob/1b3b9c5ba232734b1bda3453b4e20a0481bcdd74/codex-3000/originaux/DEADWALL_CODEX_SUPPLEMENT_1.23/FICHES_501_1000/DW-0973.md</x:v>
      </x:c>
      <x:c r="K978" t="str">
        <x:v>Source min 18,41 m ; max 18,41 m ; modèle 26 × 41 m ; niveaux 0, 1. Détails dans catalogue-existant.json.</x:v>
      </x:c>
    </x:row>
    <x:row r="979">
      <x:c r="A979" t="str">
        <x:v>DW-0974</x:v>
      </x:c>
      <x:c r="B979" t="str">
        <x:v>DW-0974</x:v>
      </x:c>
      <x:c r="C979" t="str">
        <x:v>Parent historique</x:v>
      </x:c>
      <x:c r="D979" t="str">
        <x:v>public</x:v>
      </x:c>
      <x:c r="E979" t="str">
        <x:v>Mairie — variante 08</x:v>
      </x:c>
      <x:c r="F979" t="n">
        <x:v>8</x:v>
      </x:c>
      <x:c r="G979" t="n">
        <x:v>5</x:v>
      </x:c>
      <x:c r="H979" t="n">
        <x:v>0</x:v>
      </x:c>
      <x:c r="I979" t="str">
        <x:v>À qualifier par lieu</x:v>
      </x:c>
      <x:c r="J979" t="str">
        <x:v>https://github.com/darknigthmare/deadwall-last-enclosure/blob/1b3b9c5ba232734b1bda3453b4e20a0481bcdd74/codex-3000/originaux/DEADWALL_CODEX_SUPPLEMENT_1.23/FICHES_501_1000/DW-0974.md</x:v>
      </x:c>
      <x:c r="K979" t="str">
        <x:v>Source min 29,58 m ; max 29,58 m ; modèle 29 × 58 m ; niveaux 0. Détails dans catalogue-existant.json.</x:v>
      </x:c>
    </x:row>
    <x:row r="980">
      <x:c r="A980" t="str">
        <x:v>DW-0975</x:v>
      </x:c>
      <x:c r="B980" t="str">
        <x:v>DW-0975</x:v>
      </x:c>
      <x:c r="C980" t="str">
        <x:v>Parent historique</x:v>
      </x:c>
      <x:c r="D980" t="str">
        <x:v>public</x:v>
      </x:c>
      <x:c r="E980" t="str">
        <x:v>Clinique — variante 08</x:v>
      </x:c>
      <x:c r="F980" t="n">
        <x:v>8</x:v>
      </x:c>
      <x:c r="G980" t="n">
        <x:v>6</x:v>
      </x:c>
      <x:c r="H980" t="n">
        <x:v>0</x:v>
      </x:c>
      <x:c r="I980" t="str">
        <x:v>À qualifier par lieu</x:v>
      </x:c>
      <x:c r="J980" t="str">
        <x:v>https://github.com/darknigthmare/deadwall-last-enclosure/blob/1b3b9c5ba232734b1bda3453b4e20a0481bcdd74/codex-3000/originaux/DEADWALL_CODEX_SUPPLEMENT_1.23/FICHES_501_1000/DW-0975.md</x:v>
      </x:c>
      <x:c r="K980" t="str">
        <x:v>Source min 40,21 m ; max 40,21 m ; modèle 40 × 22 m ; niveaux 0. Détails dans catalogue-existant.json.</x:v>
      </x:c>
    </x:row>
    <x:row r="981">
      <x:c r="A981" t="str">
        <x:v>DW-0976</x:v>
      </x:c>
      <x:c r="B981" t="str">
        <x:v>DW-0976</x:v>
      </x:c>
      <x:c r="C981" t="str">
        <x:v>Parent historique</x:v>
      </x:c>
      <x:c r="D981" t="str">
        <x:v>public</x:v>
      </x:c>
      <x:c r="E981" t="str">
        <x:v>Caserne de pompiers — variante 08</x:v>
      </x:c>
      <x:c r="F981" t="n">
        <x:v>8</x:v>
      </x:c>
      <x:c r="G981" t="n">
        <x:v>6</x:v>
      </x:c>
      <x:c r="H981" t="n">
        <x:v>0</x:v>
      </x:c>
      <x:c r="I981" t="str">
        <x:v>À qualifier par lieu</x:v>
      </x:c>
      <x:c r="J981" t="str">
        <x:v>https://github.com/darknigthmare/deadwall-last-enclosure/blob/1b3b9c5ba232734b1bda3453b4e20a0481bcdd74/codex-3000/originaux/DEADWALL_CODEX_SUPPLEMENT_1.23/FICHES_501_1000/DW-0976.md</x:v>
      </x:c>
      <x:c r="K981" t="str">
        <x:v>Source min 51,38 m ; max 51,38 m ; modèle 51 × 38 m ; niveaux 0. Détails dans catalogue-existant.json.</x:v>
      </x:c>
    </x:row>
    <x:row r="982">
      <x:c r="A982" t="str">
        <x:v>DW-0977</x:v>
      </x:c>
      <x:c r="B982" t="str">
        <x:v>DW-0977</x:v>
      </x:c>
      <x:c r="C982" t="str">
        <x:v>Parent historique</x:v>
      </x:c>
      <x:c r="D982" t="str">
        <x:v>public</x:v>
      </x:c>
      <x:c r="E982" t="str">
        <x:v>Poste de police — variante 08</x:v>
      </x:c>
      <x:c r="F982" t="n">
        <x:v>8</x:v>
      </x:c>
      <x:c r="G982" t="n">
        <x:v>5</x:v>
      </x:c>
      <x:c r="H982" t="n">
        <x:v>0</x:v>
      </x:c>
      <x:c r="I982" t="str">
        <x:v>À qualifier par lieu</x:v>
      </x:c>
      <x:c r="J982" t="str">
        <x:v>https://github.com/darknigthmare/deadwall-last-enclosure/blob/1b3b9c5ba232734b1bda3453b4e20a0481bcdd74/codex-3000/originaux/DEADWALL_CODEX_SUPPLEMENT_1.23/FICHES_501_1000/DW-0977.md</x:v>
      </x:c>
      <x:c r="K982" t="str">
        <x:v>Source min 62,55 m ; max 62,55 m ; modèle 62 × 55 m ; niveaux 0, 1. Détails dans catalogue-existant.json.</x:v>
      </x:c>
    </x:row>
    <x:row r="983">
      <x:c r="A983" t="str">
        <x:v>DW-0978</x:v>
      </x:c>
      <x:c r="B983" t="str">
        <x:v>DW-0978</x:v>
      </x:c>
      <x:c r="C983" t="str">
        <x:v>Parent historique</x:v>
      </x:c>
      <x:c r="D983" t="str">
        <x:v>public</x:v>
      </x:c>
      <x:c r="E983" t="str">
        <x:v>Bibliothèque — variante 08</x:v>
      </x:c>
      <x:c r="F983" t="n">
        <x:v>8</x:v>
      </x:c>
      <x:c r="G983" t="n">
        <x:v>5</x:v>
      </x:c>
      <x:c r="H983" t="n">
        <x:v>0</x:v>
      </x:c>
      <x:c r="I983" t="str">
        <x:v>À qualifier par lieu</x:v>
      </x:c>
      <x:c r="J983" t="str">
        <x:v>https://github.com/darknigthmare/deadwall-last-enclosure/blob/1b3b9c5ba232734b1bda3453b4e20a0481bcdd74/codex-3000/originaux/DEADWALL_CODEX_SUPPLEMENT_1.23/FICHES_501_1000/DW-0978.md</x:v>
      </x:c>
      <x:c r="K983" t="str">
        <x:v>Source min 73,18 m ; max 73,18 m ; modèle 73 × 22 m ; niveaux 0. Détails dans catalogue-existant.json.</x:v>
      </x:c>
    </x:row>
    <x:row r="984">
      <x:c r="A984" t="str">
        <x:v>DW-0979</x:v>
      </x:c>
      <x:c r="B984" t="str">
        <x:v>DW-0979</x:v>
      </x:c>
      <x:c r="C984" t="str">
        <x:v>Parent historique</x:v>
      </x:c>
      <x:c r="D984" t="str">
        <x:v>public</x:v>
      </x:c>
      <x:c r="E984" t="str">
        <x:v>Salle des fêtes — variante 08</x:v>
      </x:c>
      <x:c r="F984" t="n">
        <x:v>8</x:v>
      </x:c>
      <x:c r="G984" t="n">
        <x:v>5</x:v>
      </x:c>
      <x:c r="H984" t="n">
        <x:v>0</x:v>
      </x:c>
      <x:c r="I984" t="str">
        <x:v>À qualifier par lieu</x:v>
      </x:c>
      <x:c r="J984" t="str">
        <x:v>https://github.com/darknigthmare/deadwall-last-enclosure/blob/1b3b9c5ba232734b1bda3453b4e20a0481bcdd74/codex-3000/originaux/DEADWALL_CODEX_SUPPLEMENT_1.23/FICHES_501_1000/DW-0979.md</x:v>
      </x:c>
      <x:c r="K984" t="str">
        <x:v>Source min 12,35 m ; max 12,35 m ; modèle 26 × 35 m ; niveaux 0. Détails dans catalogue-existant.json.</x:v>
      </x:c>
    </x:row>
    <x:row r="985">
      <x:c r="A985" t="str">
        <x:v>DW-0980</x:v>
      </x:c>
      <x:c r="B985" t="str">
        <x:v>DW-0980</x:v>
      </x:c>
      <x:c r="C985" t="str">
        <x:v>Parent historique</x:v>
      </x:c>
      <x:c r="D985" t="str">
        <x:v>public</x:v>
      </x:c>
      <x:c r="E985" t="str">
        <x:v>Église et presbytère — variante 08</x:v>
      </x:c>
      <x:c r="F985" t="n">
        <x:v>8</x:v>
      </x:c>
      <x:c r="G985" t="n">
        <x:v>5</x:v>
      </x:c>
      <x:c r="H985" t="n">
        <x:v>0</x:v>
      </x:c>
      <x:c r="I985" t="str">
        <x:v>À qualifier par lieu</x:v>
      </x:c>
      <x:c r="J985" t="str">
        <x:v>https://github.com/darknigthmare/deadwall-last-enclosure/blob/1b3b9c5ba232734b1bda3453b4e20a0481bcdd74/codex-3000/originaux/DEADWALL_CODEX_SUPPLEMENT_1.23/FICHES_501_1000/DW-0980.md</x:v>
      </x:c>
      <x:c r="K985" t="str">
        <x:v>Source min 23,52 m ; max 23,52 m ; modèle 26 × 52 m ; niveaux 0. Détails dans catalogue-existant.json.</x:v>
      </x:c>
    </x:row>
    <x:row r="986">
      <x:c r="A986" t="str">
        <x:v>DW-0981</x:v>
      </x:c>
      <x:c r="B986" t="str">
        <x:v>DW-0981</x:v>
      </x:c>
      <x:c r="C986" t="str">
        <x:v>Parent historique</x:v>
      </x:c>
      <x:c r="D986" t="str">
        <x:v>rural</x:v>
      </x:c>
      <x:c r="E986" t="str">
        <x:v>Hameau agricole — variante 08</x:v>
      </x:c>
      <x:c r="F986" t="n">
        <x:v>8</x:v>
      </x:c>
      <x:c r="G986" t="n">
        <x:v>6</x:v>
      </x:c>
      <x:c r="H986" t="n">
        <x:v>0</x:v>
      </x:c>
      <x:c r="I986" t="str">
        <x:v>À qualifier par lieu</x:v>
      </x:c>
      <x:c r="J986" t="str">
        <x:v>https://github.com/darknigthmare/deadwall-last-enclosure/blob/1b3b9c5ba232734b1bda3453b4e20a0481bcdd74/codex-3000/originaux/DEADWALL_CODEX_SUPPLEMENT_1.23/FICHES_501_1000/DW-0981.md</x:v>
      </x:c>
      <x:c r="K986" t="str">
        <x:v>Source min 34,15 m ; max 34,15 m ; modèle 34 × 22 m ; niveaux 0. Détails dans catalogue-existant.json.</x:v>
      </x:c>
    </x:row>
    <x:row r="987">
      <x:c r="A987" t="str">
        <x:v>DW-0982</x:v>
      </x:c>
      <x:c r="B987" t="str">
        <x:v>DW-0982</x:v>
      </x:c>
      <x:c r="C987" t="str">
        <x:v>Parent historique</x:v>
      </x:c>
      <x:c r="D987" t="str">
        <x:v>rural</x:v>
      </x:c>
      <x:c r="E987" t="str">
        <x:v>Cabane forestière — variante 08</x:v>
      </x:c>
      <x:c r="F987" t="n">
        <x:v>8</x:v>
      </x:c>
      <x:c r="G987" t="n">
        <x:v>4</x:v>
      </x:c>
      <x:c r="H987" t="n">
        <x:v>0</x:v>
      </x:c>
      <x:c r="I987" t="str">
        <x:v>À qualifier par lieu</x:v>
      </x:c>
      <x:c r="J987" t="str">
        <x:v>https://github.com/darknigthmare/deadwall-last-enclosure/blob/1b3b9c5ba232734b1bda3453b4e20a0481bcdd74/codex-3000/originaux/DEADWALL_CODEX_SUPPLEMENT_1.23/FICHES_501_1000/DW-0982.md</x:v>
      </x:c>
      <x:c r="K987" t="str">
        <x:v>Source min 45,32 m ; max 45,32 m ; modèle 45 × 32 m ; niveaux 0. Détails dans catalogue-existant.json.</x:v>
      </x:c>
    </x:row>
    <x:row r="988">
      <x:c r="A988" t="str">
        <x:v>DW-0983</x:v>
      </x:c>
      <x:c r="B988" t="str">
        <x:v>DW-0983</x:v>
      </x:c>
      <x:c r="C988" t="str">
        <x:v>Parent historique</x:v>
      </x:c>
      <x:c r="D988" t="str">
        <x:v>rural</x:v>
      </x:c>
      <x:c r="E988" t="str">
        <x:v>Dépôt forestier — variante 08</x:v>
      </x:c>
      <x:c r="F988" t="n">
        <x:v>8</x:v>
      </x:c>
      <x:c r="G988" t="n">
        <x:v>5</x:v>
      </x:c>
      <x:c r="H988" t="n">
        <x:v>0</x:v>
      </x:c>
      <x:c r="I988" t="str">
        <x:v>À qualifier par lieu</x:v>
      </x:c>
      <x:c r="J988" t="str">
        <x:v>https://github.com/darknigthmare/deadwall-last-enclosure/blob/1b3b9c5ba232734b1bda3453b4e20a0481bcdd74/codex-3000/originaux/DEADWALL_CODEX_SUPPLEMENT_1.23/FICHES_501_1000/DW-0983.md</x:v>
      </x:c>
      <x:c r="K988" t="str">
        <x:v>Source min 56,49 m ; max 56,49 m ; modèle 56 × 49 m ; niveaux 0. Détails dans catalogue-existant.json.</x:v>
      </x:c>
    </x:row>
    <x:row r="989">
      <x:c r="A989" t="str">
        <x:v>DW-0984</x:v>
      </x:c>
      <x:c r="B989" t="str">
        <x:v>DW-0984</x:v>
      </x:c>
      <x:c r="C989" t="str">
        <x:v>Parent historique</x:v>
      </x:c>
      <x:c r="D989" t="str">
        <x:v>rural</x:v>
      </x:c>
      <x:c r="E989" t="str">
        <x:v>Ferme céréalière — variante 08</x:v>
      </x:c>
      <x:c r="F989" t="n">
        <x:v>8</x:v>
      </x:c>
      <x:c r="G989" t="n">
        <x:v>5</x:v>
      </x:c>
      <x:c r="H989" t="n">
        <x:v>0</x:v>
      </x:c>
      <x:c r="I989" t="str">
        <x:v>À qualifier par lieu</x:v>
      </x:c>
      <x:c r="J989" t="str">
        <x:v>https://github.com/darknigthmare/deadwall-last-enclosure/blob/1b3b9c5ba232734b1bda3453b4e20a0481bcdd74/codex-3000/originaux/DEADWALL_CODEX_SUPPLEMENT_1.23/FICHES_501_1000/DW-0984.md</x:v>
      </x:c>
      <x:c r="K989" t="str">
        <x:v>Source min 67,12 m ; max 67,12 m ; modèle 67 × 22 m ; niveaux 0. Détails dans catalogue-existant.json.</x:v>
      </x:c>
    </x:row>
    <x:row r="990">
      <x:c r="A990" t="str">
        <x:v>DW-0985</x:v>
      </x:c>
      <x:c r="B990" t="str">
        <x:v>DW-0985</x:v>
      </x:c>
      <x:c r="C990" t="str">
        <x:v>Parent historique</x:v>
      </x:c>
      <x:c r="D990" t="str">
        <x:v>rural</x:v>
      </x:c>
      <x:c r="E990" t="str">
        <x:v>Ferme d'élevage — variante 08</x:v>
      </x:c>
      <x:c r="F990" t="n">
        <x:v>8</x:v>
      </x:c>
      <x:c r="G990" t="n">
        <x:v>5</x:v>
      </x:c>
      <x:c r="H990" t="n">
        <x:v>0</x:v>
      </x:c>
      <x:c r="I990" t="str">
        <x:v>À qualifier par lieu</x:v>
      </x:c>
      <x:c r="J990" t="str">
        <x:v>https://github.com/darknigthmare/deadwall-last-enclosure/blob/1b3b9c5ba232734b1bda3453b4e20a0481bcdd74/codex-3000/originaux/DEADWALL_CODEX_SUPPLEMENT_1.23/FICHES_501_1000/DW-0985.md</x:v>
      </x:c>
      <x:c r="K990" t="str">
        <x:v>Source min 78,29 m ; max 78,29 m ; modèle 78 × 29 m ; niveaux 0. Détails dans catalogue-existant.json.</x:v>
      </x:c>
    </x:row>
    <x:row r="991">
      <x:c r="A991" t="str">
        <x:v>DW-0986</x:v>
      </x:c>
      <x:c r="B991" t="str">
        <x:v>DW-0986</x:v>
      </x:c>
      <x:c r="C991" t="str">
        <x:v>Parent historique</x:v>
      </x:c>
      <x:c r="D991" t="str">
        <x:v>rural</x:v>
      </x:c>
      <x:c r="E991" t="str">
        <x:v>Relais de chasse — variante 08</x:v>
      </x:c>
      <x:c r="F991" t="n">
        <x:v>8</x:v>
      </x:c>
      <x:c r="G991" t="n">
        <x:v>4</x:v>
      </x:c>
      <x:c r="H991" t="n">
        <x:v>0</x:v>
      </x:c>
      <x:c r="I991" t="str">
        <x:v>À qualifier par lieu</x:v>
      </x:c>
      <x:c r="J991" t="str">
        <x:v>https://github.com/darknigthmare/deadwall-last-enclosure/blob/1b3b9c5ba232734b1bda3453b4e20a0481bcdd74/codex-3000/originaux/DEADWALL_CODEX_SUPPLEMENT_1.23/FICHES_501_1000/DW-0986.md</x:v>
      </x:c>
      <x:c r="K991" t="str">
        <x:v>Source min 17,46 m ; max 17,46 m ; modèle 25 × 46 m ; niveaux 0. Détails dans catalogue-existant.json.</x:v>
      </x:c>
    </x:row>
    <x:row r="992">
      <x:c r="A992" t="str">
        <x:v>DW-0987</x:v>
      </x:c>
      <x:c r="B992" t="str">
        <x:v>DW-0987</x:v>
      </x:c>
      <x:c r="C992" t="str">
        <x:v>Parent historique</x:v>
      </x:c>
      <x:c r="D992" t="str">
        <x:v>rural</x:v>
      </x:c>
      <x:c r="E992" t="str">
        <x:v>Moulin rural — variante 08</x:v>
      </x:c>
      <x:c r="F992" t="n">
        <x:v>8</x:v>
      </x:c>
      <x:c r="G992" t="n">
        <x:v>4</x:v>
      </x:c>
      <x:c r="H992" t="n">
        <x:v>0</x:v>
      </x:c>
      <x:c r="I992" t="str">
        <x:v>À qualifier par lieu</x:v>
      </x:c>
      <x:c r="J992" t="str">
        <x:v>https://github.com/darknigthmare/deadwall-last-enclosure/blob/1b3b9c5ba232734b1bda3453b4e20a0481bcdd74/codex-3000/originaux/DEADWALL_CODEX_SUPPLEMENT_1.23/FICHES_501_1000/DW-0987.md</x:v>
      </x:c>
      <x:c r="K992" t="str">
        <x:v>Source min 28,9 m ; max 28,9 m ; modèle 28 × 18 m ; niveaux 0. Détails dans catalogue-existant.json.</x:v>
      </x:c>
    </x:row>
    <x:row r="993">
      <x:c r="A993" t="str">
        <x:v>DW-0988</x:v>
      </x:c>
      <x:c r="B993" t="str">
        <x:v>DW-0988</x:v>
      </x:c>
      <x:c r="C993" t="str">
        <x:v>Parent historique</x:v>
      </x:c>
      <x:c r="D993" t="str">
        <x:v>rural</x:v>
      </x:c>
      <x:c r="E993" t="str">
        <x:v>Serres maraîchères — variante 08</x:v>
      </x:c>
      <x:c r="F993" t="n">
        <x:v>8</x:v>
      </x:c>
      <x:c r="G993" t="n">
        <x:v>5</x:v>
      </x:c>
      <x:c r="H993" t="n">
        <x:v>0</x:v>
      </x:c>
      <x:c r="I993" t="str">
        <x:v>À qualifier par lieu</x:v>
      </x:c>
      <x:c r="J993" t="str">
        <x:v>https://github.com/darknigthmare/deadwall-last-enclosure/blob/1b3b9c5ba232734b1bda3453b4e20a0481bcdd74/codex-3000/originaux/DEADWALL_CODEX_SUPPLEMENT_1.23/FICHES_501_1000/DW-0988.md</x:v>
      </x:c>
      <x:c r="K993" t="str">
        <x:v>Source min 39,26 m ; max 39,26 m ; modèle 39 × 26 m ; niveaux 0. Détails dans catalogue-existant.json.</x:v>
      </x:c>
    </x:row>
    <x:row r="994">
      <x:c r="A994" t="str">
        <x:v>DW-0989</x:v>
      </x:c>
      <x:c r="B994" t="str">
        <x:v>DW-0989</x:v>
      </x:c>
      <x:c r="C994" t="str">
        <x:v>Parent historique</x:v>
      </x:c>
      <x:c r="D994" t="str">
        <x:v>militaire</x:v>
      </x:c>
      <x:c r="E994" t="str">
        <x:v>Bunker de défense civile — variante 08</x:v>
      </x:c>
      <x:c r="F994" t="n">
        <x:v>8</x:v>
      </x:c>
      <x:c r="G994" t="n">
        <x:v>6</x:v>
      </x:c>
      <x:c r="H994" t="n">
        <x:v>0</x:v>
      </x:c>
      <x:c r="I994" t="str">
        <x:v>À qualifier par lieu</x:v>
      </x:c>
      <x:c r="J994" t="str">
        <x:v>https://github.com/darknigthmare/deadwall-last-enclosure/blob/1b3b9c5ba232734b1bda3453b4e20a0481bcdd74/codex-3000/originaux/DEADWALL_CODEX_SUPPLEMENT_1.23/FICHES_501_1000/DW-0989.md</x:v>
      </x:c>
      <x:c r="K994" t="str">
        <x:v>Source min 50,43 m ; max 50,43 m ; modèle 50 × 43 m ; niveaux 0, 1. Détails dans catalogue-existant.json.</x:v>
      </x:c>
    </x:row>
    <x:row r="995">
      <x:c r="A995" t="str">
        <x:v>DW-0990</x:v>
      </x:c>
      <x:c r="B995" t="str">
        <x:v>DW-0990</x:v>
      </x:c>
      <x:c r="C995" t="str">
        <x:v>Parent historique</x:v>
      </x:c>
      <x:c r="D995" t="str">
        <x:v>militaire</x:v>
      </x:c>
      <x:c r="E995" t="str">
        <x:v>Dépôt militaire — variante 08</x:v>
      </x:c>
      <x:c r="F995" t="n">
        <x:v>8</x:v>
      </x:c>
      <x:c r="G995" t="n">
        <x:v>5</x:v>
      </x:c>
      <x:c r="H995" t="n">
        <x:v>0</x:v>
      </x:c>
      <x:c r="I995" t="str">
        <x:v>À qualifier par lieu</x:v>
      </x:c>
      <x:c r="J995" t="str">
        <x:v>https://github.com/darknigthmare/deadwall-last-enclosure/blob/1b3b9c5ba232734b1bda3453b4e20a0481bcdd74/codex-3000/originaux/DEADWALL_CODEX_SUPPLEMENT_1.23/FICHES_501_1000/DW-0990.md</x:v>
      </x:c>
      <x:c r="K995" t="str">
        <x:v>Source min 61,60 m ; max 61,60 m ; modèle 61 × 60 m ; niveaux 0. Détails dans catalogue-existant.json.</x:v>
      </x:c>
    </x:row>
    <x:row r="996">
      <x:c r="A996" t="str">
        <x:v>DW-0991</x:v>
      </x:c>
      <x:c r="B996" t="str">
        <x:v>DW-0991</x:v>
      </x:c>
      <x:c r="C996" t="str">
        <x:v>Parent historique</x:v>
      </x:c>
      <x:c r="D996" t="str">
        <x:v>militaire</x:v>
      </x:c>
      <x:c r="E996" t="str">
        <x:v>Poste de contrôle — variante 08</x:v>
      </x:c>
      <x:c r="F996" t="n">
        <x:v>8</x:v>
      </x:c>
      <x:c r="G996" t="n">
        <x:v>5</x:v>
      </x:c>
      <x:c r="H996" t="n">
        <x:v>0</x:v>
      </x:c>
      <x:c r="I996" t="str">
        <x:v>À qualifier par lieu</x:v>
      </x:c>
      <x:c r="J996" t="str">
        <x:v>https://github.com/darknigthmare/deadwall-last-enclosure/blob/1b3b9c5ba232734b1bda3453b4e20a0481bcdd74/codex-3000/originaux/DEADWALL_CODEX_SUPPLEMENT_1.23/FICHES_501_1000/DW-0991.md</x:v>
      </x:c>
      <x:c r="K996" t="str">
        <x:v>Source min 72,23 m ; max 72,23 m ; modèle 72 × 23 m ; niveaux 0. Détails dans catalogue-existant.json.</x:v>
      </x:c>
    </x:row>
    <x:row r="997">
      <x:c r="A997" t="str">
        <x:v>DW-0992</x:v>
      </x:c>
      <x:c r="B997" t="str">
        <x:v>DW-0992</x:v>
      </x:c>
      <x:c r="C997" t="str">
        <x:v>Parent historique</x:v>
      </x:c>
      <x:c r="D997" t="str">
        <x:v>militaire</x:v>
      </x:c>
      <x:c r="E997" t="str">
        <x:v>Camp retranché abandonné — variante 08</x:v>
      </x:c>
      <x:c r="F997" t="n">
        <x:v>8</x:v>
      </x:c>
      <x:c r="G997" t="n">
        <x:v>5</x:v>
      </x:c>
      <x:c r="H997" t="n">
        <x:v>0</x:v>
      </x:c>
      <x:c r="I997" t="str">
        <x:v>À qualifier par lieu</x:v>
      </x:c>
      <x:c r="J997" t="str">
        <x:v>https://github.com/darknigthmare/deadwall-last-enclosure/blob/1b3b9c5ba232734b1bda3453b4e20a0481bcdd74/codex-3000/originaux/DEADWALL_CODEX_SUPPLEMENT_1.23/FICHES_501_1000/DW-0992.md</x:v>
      </x:c>
      <x:c r="K997" t="str">
        <x:v>Source min 11,40 m ; max 11,40 m ; modèle 26 × 40 m ; niveaux 0. Détails dans catalogue-existant.json.</x:v>
      </x:c>
    </x:row>
    <x:row r="998">
      <x:c r="A998" t="str">
        <x:v>DW-0993</x:v>
      </x:c>
      <x:c r="B998" t="str">
        <x:v>DW-0993</x:v>
      </x:c>
      <x:c r="C998" t="str">
        <x:v>Parent historique</x:v>
      </x:c>
      <x:c r="D998" t="str">
        <x:v>militaire</x:v>
      </x:c>
      <x:c r="E998" t="str">
        <x:v>Abri ferroviaire — variante 08</x:v>
      </x:c>
      <x:c r="F998" t="n">
        <x:v>8</x:v>
      </x:c>
      <x:c r="G998" t="n">
        <x:v>4</x:v>
      </x:c>
      <x:c r="H998" t="n">
        <x:v>0</x:v>
      </x:c>
      <x:c r="I998" t="str">
        <x:v>À qualifier par lieu</x:v>
      </x:c>
      <x:c r="J998" t="str">
        <x:v>https://github.com/darknigthmare/deadwall-last-enclosure/blob/1b3b9c5ba232734b1bda3453b4e20a0481bcdd74/codex-3000/originaux/DEADWALL_CODEX_SUPPLEMENT_1.23/FICHES_501_1000/DW-0993.md</x:v>
      </x:c>
      <x:c r="K998" t="str">
        <x:v>Source min 22,57 m ; max 22,57 m ; modèle 25 × 57 m ; niveaux 0. Détails dans catalogue-existant.json.</x:v>
      </x:c>
    </x:row>
    <x:row r="999">
      <x:c r="A999" t="str">
        <x:v>DW-0994</x:v>
      </x:c>
      <x:c r="B999" t="str">
        <x:v>DW-0994</x:v>
      </x:c>
      <x:c r="C999" t="str">
        <x:v>Parent historique</x:v>
      </x:c>
      <x:c r="D999" t="str">
        <x:v>militaire</x:v>
      </x:c>
      <x:c r="E999" t="str">
        <x:v>Site radar — variante 08</x:v>
      </x:c>
      <x:c r="F999" t="n">
        <x:v>8</x:v>
      </x:c>
      <x:c r="G999" t="n">
        <x:v>5</x:v>
      </x:c>
      <x:c r="H999" t="n">
        <x:v>0</x:v>
      </x:c>
      <x:c r="I999" t="str">
        <x:v>À qualifier par lieu</x:v>
      </x:c>
      <x:c r="J999" t="str">
        <x:v>https://github.com/darknigthmare/deadwall-last-enclosure/blob/1b3b9c5ba232734b1bda3453b4e20a0481bcdd74/codex-3000/originaux/DEADWALL_CODEX_SUPPLEMENT_1.23/FICHES_501_1000/DW-0994.md</x:v>
      </x:c>
      <x:c r="K999" t="str">
        <x:v>Source min 33,20 m ; max 33,20 m ; modèle 33 × 22 m ; niveaux 0. Détails dans catalogue-existant.json.</x:v>
      </x:c>
    </x:row>
    <x:row r="1000">
      <x:c r="A1000" t="str">
        <x:v>DW-0995</x:v>
      </x:c>
      <x:c r="B1000" t="str">
        <x:v>DW-0995</x:v>
      </x:c>
      <x:c r="C1000" t="str">
        <x:v>Parent historique</x:v>
      </x:c>
      <x:c r="D1000" t="str">
        <x:v>militaire</x:v>
      </x:c>
      <x:c r="E1000" t="str">
        <x:v>Batterie côtière — variante 08</x:v>
      </x:c>
      <x:c r="F1000" t="n">
        <x:v>8</x:v>
      </x:c>
      <x:c r="G1000" t="n">
        <x:v>4</x:v>
      </x:c>
      <x:c r="H1000" t="n">
        <x:v>0</x:v>
      </x:c>
      <x:c r="I1000" t="str">
        <x:v>À qualifier par lieu</x:v>
      </x:c>
      <x:c r="J1000" t="str">
        <x:v>https://github.com/darknigthmare/deadwall-last-enclosure/blob/1b3b9c5ba232734b1bda3453b4e20a0481bcdd74/codex-3000/originaux/DEADWALL_CODEX_SUPPLEMENT_1.23/FICHES_501_1000/DW-0995.md</x:v>
      </x:c>
      <x:c r="K1000" t="str">
        <x:v>Source min 44,37 m ; max 44,37 m ; modèle 44 × 37 m ; niveaux 0. Détails dans catalogue-existant.json.</x:v>
      </x:c>
    </x:row>
    <x:row r="1001">
      <x:c r="A1001" t="str">
        <x:v>DW-0996</x:v>
      </x:c>
      <x:c r="B1001" t="str">
        <x:v>DW-0996</x:v>
      </x:c>
      <x:c r="C1001" t="str">
        <x:v>Parent historique</x:v>
      </x:c>
      <x:c r="D1001" t="str">
        <x:v>militaire</x:v>
      </x:c>
      <x:c r="E1001" t="str">
        <x:v>Dépôt carburant sécurisé — variante 08</x:v>
      </x:c>
      <x:c r="F1001" t="n">
        <x:v>8</x:v>
      </x:c>
      <x:c r="G1001" t="n">
        <x:v>5</x:v>
      </x:c>
      <x:c r="H1001" t="n">
        <x:v>0</x:v>
      </x:c>
      <x:c r="I1001" t="str">
        <x:v>À qualifier par lieu</x:v>
      </x:c>
      <x:c r="J1001" t="str">
        <x:v>https://github.com/darknigthmare/deadwall-last-enclosure/blob/1b3b9c5ba232734b1bda3453b4e20a0481bcdd74/codex-3000/originaux/DEADWALL_CODEX_SUPPLEMENT_1.23/FICHES_501_1000/DW-0996.md</x:v>
      </x:c>
      <x:c r="K1001" t="str">
        <x:v>Source min 55,54 m ; max 55,54 m ; modèle 55 × 54 m ; niveaux 0. Détails dans catalogue-existant.json.</x:v>
      </x:c>
    </x:row>
    <x:row r="1002">
      <x:c r="A1002" t="str">
        <x:v>DW-0997</x:v>
      </x:c>
      <x:c r="B1002" t="str">
        <x:v>DW-0997</x:v>
      </x:c>
      <x:c r="C1002" t="str">
        <x:v>Parent historique</x:v>
      </x:c>
      <x:c r="D1002" t="str">
        <x:v>transport</x:v>
      </x:c>
      <x:c r="E1002" t="str">
        <x:v>Gare routière — variante 08</x:v>
      </x:c>
      <x:c r="F1002" t="n">
        <x:v>8</x:v>
      </x:c>
      <x:c r="G1002" t="n">
        <x:v>5</x:v>
      </x:c>
      <x:c r="H1002" t="n">
        <x:v>0</x:v>
      </x:c>
      <x:c r="I1002" t="str">
        <x:v>À qualifier par lieu</x:v>
      </x:c>
      <x:c r="J1002" t="str">
        <x:v>https://github.com/darknigthmare/deadwall-last-enclosure/blob/1b3b9c5ba232734b1bda3453b4e20a0481bcdd74/codex-3000/originaux/DEADWALL_CODEX_SUPPLEMENT_1.23/FICHES_501_1000/DW-0997.md</x:v>
      </x:c>
      <x:c r="K1002" t="str">
        <x:v>Source min 66,17 m ; max 66,17 m ; modèle 66 × 22 m ; niveaux 0. Détails dans catalogue-existant.json.</x:v>
      </x:c>
    </x:row>
    <x:row r="1003">
      <x:c r="A1003" t="str">
        <x:v>DW-0998</x:v>
      </x:c>
      <x:c r="B1003" t="str">
        <x:v>DW-0998</x:v>
      </x:c>
      <x:c r="C1003" t="str">
        <x:v>Parent historique</x:v>
      </x:c>
      <x:c r="D1003" t="str">
        <x:v>transport</x:v>
      </x:c>
      <x:c r="E1003" t="str">
        <x:v>Dépôt de bus — variante 08</x:v>
      </x:c>
      <x:c r="F1003" t="n">
        <x:v>8</x:v>
      </x:c>
      <x:c r="G1003" t="n">
        <x:v>5</x:v>
      </x:c>
      <x:c r="H1003" t="n">
        <x:v>0</x:v>
      </x:c>
      <x:c r="I1003" t="str">
        <x:v>À qualifier par lieu</x:v>
      </x:c>
      <x:c r="J1003" t="str">
        <x:v>https://github.com/darknigthmare/deadwall-last-enclosure/blob/1b3b9c5ba232734b1bda3453b4e20a0481bcdd74/codex-3000/originaux/DEADWALL_CODEX_SUPPLEMENT_1.23/FICHES_501_1000/DW-0998.md</x:v>
      </x:c>
      <x:c r="K1003" t="str">
        <x:v>Source min 77,34 m ; max 77,34 m ; modèle 77 × 34 m ; niveaux 0. Détails dans catalogue-existant.json.</x:v>
      </x:c>
    </x:row>
    <x:row r="1004">
      <x:c r="A1004" t="str">
        <x:v>DW-0999</x:v>
      </x:c>
      <x:c r="B1004" t="str">
        <x:v>DW-0999</x:v>
      </x:c>
      <x:c r="C1004" t="str">
        <x:v>Parent historique</x:v>
      </x:c>
      <x:c r="D1004" t="str">
        <x:v>transport</x:v>
      </x:c>
      <x:c r="E1004" t="str">
        <x:v>Gare ferroviaire — variante 08</x:v>
      </x:c>
      <x:c r="F1004" t="n">
        <x:v>8</x:v>
      </x:c>
      <x:c r="G1004" t="n">
        <x:v>5</x:v>
      </x:c>
      <x:c r="H1004" t="n">
        <x:v>0</x:v>
      </x:c>
      <x:c r="I1004" t="str">
        <x:v>À qualifier par lieu</x:v>
      </x:c>
      <x:c r="J1004" t="str">
        <x:v>https://github.com/darknigthmare/deadwall-last-enclosure/blob/1b3b9c5ba232734b1bda3453b4e20a0481bcdd74/codex-3000/originaux/DEADWALL_CODEX_SUPPLEMENT_1.23/FICHES_501_1000/DW-0999.md</x:v>
      </x:c>
      <x:c r="K1004" t="str">
        <x:v>Source min 16,51 m ; max 16,51 m ; modèle 26 × 51 m ; niveaux 0. Détails dans catalogue-existant.json.</x:v>
      </x:c>
    </x:row>
    <x:row r="1005">
      <x:c r="A1005" t="str">
        <x:v>DW-1000</x:v>
      </x:c>
      <x:c r="B1005" t="str">
        <x:v>DW-1000</x:v>
      </x:c>
      <x:c r="C1005" t="str">
        <x:v>Parent historique</x:v>
      </x:c>
      <x:c r="D1005" t="str">
        <x:v>transport</x:v>
      </x:c>
      <x:c r="E1005" t="str">
        <x:v>Aire d'autoroute — variante 08</x:v>
      </x:c>
      <x:c r="F1005" t="n">
        <x:v>8</x:v>
      </x:c>
      <x:c r="G1005" t="n">
        <x:v>5</x:v>
      </x:c>
      <x:c r="H1005" t="n">
        <x:v>0</x:v>
      </x:c>
      <x:c r="I1005" t="str">
        <x:v>À qualifier par lieu</x:v>
      </x:c>
      <x:c r="J1005" t="str">
        <x:v>https://github.com/darknigthmare/deadwall-last-enclosure/blob/1b3b9c5ba232734b1bda3453b4e20a0481bcdd74/codex-3000/originaux/DEADWALL_CODEX_SUPPLEMENT_1.23/FICHES_501_1000/DW-1000.md</x:v>
      </x:c>
      <x:c r="K1005" t="str">
        <x:v>Source min 27,14 m ; max 27,14 m ; modèle 27 × 22 m ; niveaux 0. Détails dans catalogue-existant.json.</x:v>
      </x:c>
    </x:row>
    <x:row r="1006">
      <x:c r="A1006" t="str">
        <x:v>DW-1001</x:v>
      </x:c>
      <x:c r="B1006" t="str">
        <x:v>DW-0001</x:v>
      </x:c>
      <x:c r="C1006" t="str">
        <x:v>Composition héritée</x:v>
      </x:c>
      <x:c r="D1006" t="str">
        <x:v>Habitat individuel</x:v>
      </x:c>
      <x:c r="E1006" t="str">
        <x:v>Maison de lotissement — Quartier pavillonnaire / évacuation interrompue</x:v>
      </x:c>
      <x:c r="F1006" t="n">
        <x:v>8</x:v>
      </x:c>
      <x:c r="G1006" t="n">
        <x:v>5</x:v>
      </x:c>
      <x:c r="H1006" t="n">
        <x:v>15</x:v>
      </x:c>
      <x:c r="I1006" t="str">
        <x:v>À qualifier par lieu</x:v>
      </x:c>
      <x:c r="J1006" t="str">
        <x:v>https://github.com/darknigthmare/deadwall-last-enclosure/blob/1b3b9c5ba232734b1bda3453b4e20a0481bcdd74/codex-3000/compositions/Habitat individuel/DW-1001.md</x:v>
      </x:c>
      <x:c r="K1006" t="str">
        <x:v>Source min 12,10 m ; max 28,24 m ; modèle 26 × 22 m ; niveaux 0. Détails dans catalogue-existant.json.</x:v>
      </x:c>
    </x:row>
    <x:row r="1007">
      <x:c r="A1007" t="str">
        <x:v>DW-1002</x:v>
      </x:c>
      <x:c r="B1007" t="str">
        <x:v>DW-0001</x:v>
      </x:c>
      <x:c r="C1007" t="str">
        <x:v>Composition héritée</x:v>
      </x:c>
      <x:c r="D1007" t="str">
        <x:v>Habitat individuel</x:v>
      </x:c>
      <x:c r="E1007" t="str">
        <x:v>Maison de lotissement — Village et bourg / service déplacé à l’arrière</x:v>
      </x:c>
      <x:c r="F1007" t="n">
        <x:v>8</x:v>
      </x:c>
      <x:c r="G1007" t="n">
        <x:v>5</x:v>
      </x:c>
      <x:c r="H1007" t="n">
        <x:v>15</x:v>
      </x:c>
      <x:c r="I1007" t="str">
        <x:v>À qualifier par lieu</x:v>
      </x:c>
      <x:c r="J1007" t="str">
        <x:v>https://github.com/darknigthmare/deadwall-last-enclosure/blob/1b3b9c5ba232734b1bda3453b4e20a0481bcdd74/codex-3000/compositions/Habitat individuel/DW-1002.md</x:v>
      </x:c>
      <x:c r="K1007" t="str">
        <x:v>Source min 12,10 m ; max 28,24 m ; modèle 26 × 22 m ; niveaux 0. Détails dans catalogue-existant.json.</x:v>
      </x:c>
    </x:row>
    <x:row r="1008">
      <x:c r="A1008" t="str">
        <x:v>DW-1003</x:v>
      </x:c>
      <x:c r="B1008" t="str">
        <x:v>DW-0002</x:v>
      </x:c>
      <x:c r="C1008" t="str">
        <x:v>Composition héritée</x:v>
      </x:c>
      <x:c r="D1008" t="str">
        <x:v>Habitat individuel</x:v>
      </x:c>
      <x:c r="E1008" t="str">
        <x:v>Maison mitoyenne étroite — Hameau / arrêt de maintenance</x:v>
      </x:c>
      <x:c r="F1008" t="n">
        <x:v>8</x:v>
      </x:c>
      <x:c r="G1008" t="n">
        <x:v>4</x:v>
      </x:c>
      <x:c r="H1008" t="n">
        <x:v>12</x:v>
      </x:c>
      <x:c r="I1008" t="str">
        <x:v>À qualifier par lieu</x:v>
      </x:c>
      <x:c r="J1008" t="str">
        <x:v>https://github.com/darknigthmare/deadwall-last-enclosure/blob/1b3b9c5ba232734b1bda3453b4e20a0481bcdd74/codex-3000/compositions/Habitat individuel/DW-1003.md</x:v>
      </x:c>
      <x:c r="K1008" t="str">
        <x:v>Source min 12,10 m ; max 28,24 m ; modèle 25 × 18 m ; niveaux 0. Détails dans catalogue-existant.json.</x:v>
      </x:c>
    </x:row>
    <x:row r="1009">
      <x:c r="A1009" t="str">
        <x:v>DW-1004</x:v>
      </x:c>
      <x:c r="B1009" t="str">
        <x:v>DW-0002</x:v>
      </x:c>
      <x:c r="C1009" t="str">
        <x:v>Composition héritée</x:v>
      </x:c>
      <x:c r="D1009" t="str">
        <x:v>Habitat individuel</x:v>
      </x:c>
      <x:c r="E1009" t="str">
        <x:v>Maison mitoyenne étroite — Ferme, verger et pâtures / reprise progressive de la végétation</x:v>
      </x:c>
      <x:c r="F1009" t="n">
        <x:v>8</x:v>
      </x:c>
      <x:c r="G1009" t="n">
        <x:v>4</x:v>
      </x:c>
      <x:c r="H1009" t="n">
        <x:v>12</x:v>
      </x:c>
      <x:c r="I1009" t="str">
        <x:v>À qualifier par lieu</x:v>
      </x:c>
      <x:c r="J1009" t="str">
        <x:v>https://github.com/darknigthmare/deadwall-last-enclosure/blob/1b3b9c5ba232734b1bda3453b4e20a0481bcdd74/codex-3000/compositions/Habitat individuel/DW-1004.md</x:v>
      </x:c>
      <x:c r="K1009" t="str">
        <x:v>Source min 12,10 m ; max 28,24 m ; modèle 25 × 18 m ; niveaux 0. Détails dans catalogue-existant.json.</x:v>
      </x:c>
    </x:row>
    <x:row r="1010">
      <x:c r="A1010" t="str">
        <x:v>DW-1005</x:v>
      </x:c>
      <x:c r="B1010" t="str">
        <x:v>DW-0003</x:v>
      </x:c>
      <x:c r="C1010" t="str">
        <x:v>Composition héritée</x:v>
      </x:c>
      <x:c r="D1010" t="str">
        <x:v>Habitat individuel</x:v>
      </x:c>
      <x:c r="E1010" t="str">
        <x:v>Maison à étage avec balcon — Village et bourg / première récupération passée</x:v>
      </x:c>
      <x:c r="F1010" t="n">
        <x:v>8</x:v>
      </x:c>
      <x:c r="G1010" t="n">
        <x:v>5</x:v>
      </x:c>
      <x:c r="H1010" t="n">
        <x:v>13</x:v>
      </x:c>
      <x:c r="I1010" t="str">
        <x:v>À qualifier par lieu</x:v>
      </x:c>
      <x:c r="J1010" t="str">
        <x:v>https://github.com/darknigthmare/deadwall-last-enclosure/blob/1b3b9c5ba232734b1bda3453b4e20a0481bcdd74/codex-3000/compositions/Habitat individuel/DW-1005.md</x:v>
      </x:c>
      <x:c r="K1010" t="str">
        <x:v>Source min 12,10 m ; max 28,24 m ; modèle 26 × 22 m ; niveaux 0, 1. Détails dans catalogue-existant.json.</x:v>
      </x:c>
    </x:row>
    <x:row r="1011">
      <x:c r="A1011" t="str">
        <x:v>DW-1006</x:v>
      </x:c>
      <x:c r="B1011" t="str">
        <x:v>DW-0003</x:v>
      </x:c>
      <x:c r="C1011" t="str">
        <x:v>Composition héritée</x:v>
      </x:c>
      <x:c r="D1011" t="str">
        <x:v>Habitat individuel</x:v>
      </x:c>
      <x:c r="E1011" t="str">
        <x:v>Maison à étage avec balcon — Quartier pavillonnaire / relais temporaire envisagé</x:v>
      </x:c>
      <x:c r="F1011" t="n">
        <x:v>8</x:v>
      </x:c>
      <x:c r="G1011" t="n">
        <x:v>5</x:v>
      </x:c>
      <x:c r="H1011" t="n">
        <x:v>13</x:v>
      </x:c>
      <x:c r="I1011" t="str">
        <x:v>À qualifier par lieu</x:v>
      </x:c>
      <x:c r="J1011" t="str">
        <x:v>https://github.com/darknigthmare/deadwall-last-enclosure/blob/1b3b9c5ba232734b1bda3453b4e20a0481bcdd74/codex-3000/compositions/Habitat individuel/DW-1006.md</x:v>
      </x:c>
      <x:c r="K1011" t="str">
        <x:v>Source min 12,10 m ; max 28,24 m ; modèle 26 × 22 m ; niveaux 0, 1. Détails dans catalogue-existant.json.</x:v>
      </x:c>
    </x:row>
    <x:row r="1012">
      <x:c r="A1012" t="str">
        <x:v>DW-1007</x:v>
      </x:c>
      <x:c r="B1012" t="str">
        <x:v>DW-0004</x:v>
      </x:c>
      <x:c r="C1012" t="str">
        <x:v>Composition héritée</x:v>
      </x:c>
      <x:c r="D1012" t="str">
        <x:v>Habitat individuel</x:v>
      </x:c>
      <x:c r="E1012" t="str">
        <x:v>Maison sur sous-sol — Ferme, verger et pâtures / service déplacé à l’arrière</x:v>
      </x:c>
      <x:c r="F1012" t="n">
        <x:v>8</x:v>
      </x:c>
      <x:c r="G1012" t="n">
        <x:v>5</x:v>
      </x:c>
      <x:c r="H1012" t="n">
        <x:v>15</x:v>
      </x:c>
      <x:c r="I1012" t="str">
        <x:v>À qualifier par lieu</x:v>
      </x:c>
      <x:c r="J1012" t="str">
        <x:v>https://github.com/darknigthmare/deadwall-last-enclosure/blob/1b3b9c5ba232734b1bda3453b4e20a0481bcdd74/codex-3000/compositions/Habitat individuel/DW-1007.md</x:v>
      </x:c>
      <x:c r="K1012" t="str">
        <x:v>Source min 12,10 m ; max 28,24 m ; modèle 26 × 22 m ; niveaux -1, 0. Détails dans catalogue-existant.json.</x:v>
      </x:c>
    </x:row>
    <x:row r="1013">
      <x:c r="A1013" t="str">
        <x:v>DW-1008</x:v>
      </x:c>
      <x:c r="B1013" t="str">
        <x:v>DW-0004</x:v>
      </x:c>
      <x:c r="C1013" t="str">
        <x:v>Composition héritée</x:v>
      </x:c>
      <x:c r="D1013" t="str">
        <x:v>Habitat individuel</x:v>
      </x:c>
      <x:c r="E1013" t="str">
        <x:v>Maison sur sous-sol — Hameau / réseau principal coupé</x:v>
      </x:c>
      <x:c r="F1013" t="n">
        <x:v>8</x:v>
      </x:c>
      <x:c r="G1013" t="n">
        <x:v>5</x:v>
      </x:c>
      <x:c r="H1013" t="n">
        <x:v>15</x:v>
      </x:c>
      <x:c r="I1013" t="str">
        <x:v>À qualifier par lieu</x:v>
      </x:c>
      <x:c r="J1013" t="str">
        <x:v>https://github.com/darknigthmare/deadwall-last-enclosure/blob/1b3b9c5ba232734b1bda3453b4e20a0481bcdd74/codex-3000/compositions/Habitat individuel/DW-1008.md</x:v>
      </x:c>
      <x:c r="K1013" t="str">
        <x:v>Source min 12,10 m ; max 28,24 m ; modèle 26 × 22 m ; niveaux -1, 0. Détails dans catalogue-existant.json.</x:v>
      </x:c>
    </x:row>
    <x:row r="1014">
      <x:c r="A1014" t="str">
        <x:v>DW-1009</x:v>
      </x:c>
      <x:c r="B1014" t="str">
        <x:v>DW-0005</x:v>
      </x:c>
      <x:c r="C1014" t="str">
        <x:v>Composition héritée</x:v>
      </x:c>
      <x:c r="D1014" t="str">
        <x:v>Habitat individuel</x:v>
      </x:c>
      <x:c r="E1014" t="str">
        <x:v>Pavillon à patio — Quartier pavillonnaire / reprise progressive de la végétation</x:v>
      </x:c>
      <x:c r="F1014" t="n">
        <x:v>8</x:v>
      </x:c>
      <x:c r="G1014" t="n">
        <x:v>5</x:v>
      </x:c>
      <x:c r="H1014" t="n">
        <x:v>13</x:v>
      </x:c>
      <x:c r="I1014" t="str">
        <x:v>À qualifier par lieu</x:v>
      </x:c>
      <x:c r="J1014" t="str">
        <x:v>https://github.com/darknigthmare/deadwall-last-enclosure/blob/1b3b9c5ba232734b1bda3453b4e20a0481bcdd74/codex-3000/compositions/Habitat individuel/DW-1009.md</x:v>
      </x:c>
      <x:c r="K1014" t="str">
        <x:v>Source min 12,10 m ; max 28,24 m ; modèle 26 × 22 m ; niveaux 0. Détails dans catalogue-existant.json.</x:v>
      </x:c>
    </x:row>
    <x:row r="1015">
      <x:c r="A1015" t="str">
        <x:v>DW-1010</x:v>
      </x:c>
      <x:c r="B1015" t="str">
        <x:v>DW-0005</x:v>
      </x:c>
      <x:c r="C1015" t="str">
        <x:v>Composition héritée</x:v>
      </x:c>
      <x:c r="D1015" t="str">
        <x:v>Habitat individuel</x:v>
      </x:c>
      <x:c r="E1015" t="str">
        <x:v>Pavillon à patio — Village et bourg / repli organisé interrompu</x:v>
      </x:c>
      <x:c r="F1015" t="n">
        <x:v>8</x:v>
      </x:c>
      <x:c r="G1015" t="n">
        <x:v>5</x:v>
      </x:c>
      <x:c r="H1015" t="n">
        <x:v>13</x:v>
      </x:c>
      <x:c r="I1015" t="str">
        <x:v>À qualifier par lieu</x:v>
      </x:c>
      <x:c r="J1015" t="str">
        <x:v>https://github.com/darknigthmare/deadwall-last-enclosure/blob/1b3b9c5ba232734b1bda3453b4e20a0481bcdd74/codex-3000/compositions/Habitat individuel/DW-1010.md</x:v>
      </x:c>
      <x:c r="K1015" t="str">
        <x:v>Source min 12,10 m ; max 28,24 m ; modèle 26 × 22 m ; niveaux 0. Détails dans catalogue-existant.json.</x:v>
      </x:c>
    </x:row>
    <x:row r="1016">
      <x:c r="A1016" t="str">
        <x:v>DW-1011</x:v>
      </x:c>
      <x:c r="B1016" t="str">
        <x:v>DW-0006</x:v>
      </x:c>
      <x:c r="C1016" t="str">
        <x:v>Composition héritée</x:v>
      </x:c>
      <x:c r="D1016" t="str">
        <x:v>Habitat individuel</x:v>
      </x:c>
      <x:c r="E1016" t="str">
        <x:v>Maison rurale en pierre — Hameau / relais temporaire envisagé</x:v>
      </x:c>
      <x:c r="F1016" t="n">
        <x:v>8</x:v>
      </x:c>
      <x:c r="G1016" t="n">
        <x:v>5</x:v>
      </x:c>
      <x:c r="H1016" t="n">
        <x:v>15</x:v>
      </x:c>
      <x:c r="I1016" t="str">
        <x:v>À qualifier par lieu</x:v>
      </x:c>
      <x:c r="J1016" t="str">
        <x:v>https://github.com/darknigthmare/deadwall-last-enclosure/blob/1b3b9c5ba232734b1bda3453b4e20a0481bcdd74/codex-3000/compositions/Habitat individuel/DW-1011.md</x:v>
      </x:c>
      <x:c r="K1016" t="str">
        <x:v>Source min 12,10 m ; max 28,24 m ; modèle 26 × 22 m ; niveaux 0. Détails dans catalogue-existant.json.</x:v>
      </x:c>
    </x:row>
    <x:row r="1017">
      <x:c r="A1017" t="str">
        <x:v>DW-1012</x:v>
      </x:c>
      <x:c r="B1017" t="str">
        <x:v>DW-0006</x:v>
      </x:c>
      <x:c r="C1017" t="str">
        <x:v>Composition héritée</x:v>
      </x:c>
      <x:c r="D1017" t="str">
        <x:v>Habitat individuel</x:v>
      </x:c>
      <x:c r="E1017" t="str">
        <x:v>Maison rurale en pierre — Ferme, verger et pâtures / évacuation interrompue</x:v>
      </x:c>
      <x:c r="F1017" t="n">
        <x:v>8</x:v>
      </x:c>
      <x:c r="G1017" t="n">
        <x:v>5</x:v>
      </x:c>
      <x:c r="H1017" t="n">
        <x:v>15</x:v>
      </x:c>
      <x:c r="I1017" t="str">
        <x:v>À qualifier par lieu</x:v>
      </x:c>
      <x:c r="J1017" t="str">
        <x:v>https://github.com/darknigthmare/deadwall-last-enclosure/blob/1b3b9c5ba232734b1bda3453b4e20a0481bcdd74/codex-3000/compositions/Habitat individuel/DW-1012.md</x:v>
      </x:c>
      <x:c r="K1017" t="str">
        <x:v>Source min 12,10 m ; max 28,24 m ; modèle 26 × 22 m ; niveaux 0. Détails dans catalogue-existant.json.</x:v>
      </x:c>
    </x:row>
    <x:row r="1018">
      <x:c r="A1018" t="str">
        <x:v>DW-1013</x:v>
      </x:c>
      <x:c r="B1018" t="str">
        <x:v>DW-0007</x:v>
      </x:c>
      <x:c r="C1018" t="str">
        <x:v>Composition héritée</x:v>
      </x:c>
      <x:c r="D1018" t="str">
        <x:v>Habitat individuel</x:v>
      </x:c>
      <x:c r="E1018" t="str">
        <x:v>Longère habitée — Village et bourg / réseau principal coupé</x:v>
      </x:c>
      <x:c r="F1018" t="n">
        <x:v>8</x:v>
      </x:c>
      <x:c r="G1018" t="n">
        <x:v>4</x:v>
      </x:c>
      <x:c r="H1018" t="n">
        <x:v>12</x:v>
      </x:c>
      <x:c r="I1018" t="str">
        <x:v>À qualifier par lieu</x:v>
      </x:c>
      <x:c r="J1018" t="str">
        <x:v>https://github.com/darknigthmare/deadwall-last-enclosure/blob/1b3b9c5ba232734b1bda3453b4e20a0481bcdd74/codex-3000/compositions/Habitat individuel/DW-1013.md</x:v>
      </x:c>
      <x:c r="K1018" t="str">
        <x:v>Source min 12,10 m ; max 28,24 m ; modèle 25 × 18 m ; niveaux 0. Détails dans catalogue-existant.json.</x:v>
      </x:c>
    </x:row>
    <x:row r="1019">
      <x:c r="A1019" t="str">
        <x:v>DW-1014</x:v>
      </x:c>
      <x:c r="B1019" t="str">
        <x:v>DW-0007</x:v>
      </x:c>
      <x:c r="C1019" t="str">
        <x:v>Composition héritée</x:v>
      </x:c>
      <x:c r="D1019" t="str">
        <x:v>Habitat individuel</x:v>
      </x:c>
      <x:c r="E1019" t="str">
        <x:v>Longère habitée — Quartier pavillonnaire / arrêt de maintenance</x:v>
      </x:c>
      <x:c r="F1019" t="n">
        <x:v>8</x:v>
      </x:c>
      <x:c r="G1019" t="n">
        <x:v>4</x:v>
      </x:c>
      <x:c r="H1019" t="n">
        <x:v>12</x:v>
      </x:c>
      <x:c r="I1019" t="str">
        <x:v>À qualifier par lieu</x:v>
      </x:c>
      <x:c r="J1019" t="str">
        <x:v>https://github.com/darknigthmare/deadwall-last-enclosure/blob/1b3b9c5ba232734b1bda3453b4e20a0481bcdd74/codex-3000/compositions/Habitat individuel/DW-1014.md</x:v>
      </x:c>
      <x:c r="K1019" t="str">
        <x:v>Source min 12,10 m ; max 28,24 m ; modèle 25 × 18 m ; niveaux 0. Détails dans catalogue-existant.json.</x:v>
      </x:c>
    </x:row>
    <x:row r="1020">
      <x:c r="A1020" t="str">
        <x:v>DW-1015</x:v>
      </x:c>
      <x:c r="B1020" t="str">
        <x:v>DW-0008</x:v>
      </x:c>
      <x:c r="C1020" t="str">
        <x:v>Composition héritée</x:v>
      </x:c>
      <x:c r="D1020" t="str">
        <x:v>Habitat individuel</x:v>
      </x:c>
      <x:c r="E1020" t="str">
        <x:v>Maison de gardien — Ferme, verger et pâtures / repli organisé interrompu</x:v>
      </x:c>
      <x:c r="F1020" t="n">
        <x:v>8</x:v>
      </x:c>
      <x:c r="G1020" t="n">
        <x:v>4</x:v>
      </x:c>
      <x:c r="H1020" t="n">
        <x:v>12</x:v>
      </x:c>
      <x:c r="I1020" t="str">
        <x:v>À qualifier par lieu</x:v>
      </x:c>
      <x:c r="J1020" t="str">
        <x:v>https://github.com/darknigthmare/deadwall-last-enclosure/blob/1b3b9c5ba232734b1bda3453b4e20a0481bcdd74/codex-3000/compositions/Habitat individuel/DW-1015.md</x:v>
      </x:c>
      <x:c r="K1020" t="str">
        <x:v>Source min 12,10 m ; max 28,24 m ; modèle 25 × 18 m ; niveaux 0. Détails dans catalogue-existant.json.</x:v>
      </x:c>
    </x:row>
    <x:row r="1021">
      <x:c r="A1021" t="str">
        <x:v>DW-1016</x:v>
      </x:c>
      <x:c r="B1021" t="str">
        <x:v>DW-0008</x:v>
      </x:c>
      <x:c r="C1021" t="str">
        <x:v>Composition héritée</x:v>
      </x:c>
      <x:c r="D1021" t="str">
        <x:v>Habitat individuel</x:v>
      </x:c>
      <x:c r="E1021" t="str">
        <x:v>Maison de gardien — Hameau / première récupération passée</x:v>
      </x:c>
      <x:c r="F1021" t="n">
        <x:v>8</x:v>
      </x:c>
      <x:c r="G1021" t="n">
        <x:v>4</x:v>
      </x:c>
      <x:c r="H1021" t="n">
        <x:v>12</x:v>
      </x:c>
      <x:c r="I1021" t="str">
        <x:v>À qualifier par lieu</x:v>
      </x:c>
      <x:c r="J1021" t="str">
        <x:v>https://github.com/darknigthmare/deadwall-last-enclosure/blob/1b3b9c5ba232734b1bda3453b4e20a0481bcdd74/codex-3000/compositions/Habitat individuel/DW-1016.md</x:v>
      </x:c>
      <x:c r="K1021" t="str">
        <x:v>Source min 12,10 m ; max 28,24 m ; modèle 25 × 18 m ; niveaux 0. Détails dans catalogue-existant.json.</x:v>
      </x:c>
    </x:row>
    <x:row r="1022">
      <x:c r="A1022" t="str">
        <x:v>DW-1017</x:v>
      </x:c>
      <x:c r="B1022" t="str">
        <x:v>DW-0009</x:v>
      </x:c>
      <x:c r="C1022" t="str">
        <x:v>Composition héritée</x:v>
      </x:c>
      <x:c r="D1022" t="str">
        <x:v>Habitat individuel</x:v>
      </x:c>
      <x:c r="E1022" t="str">
        <x:v>Villa avec piscine — Quartier pavillonnaire / évacuation interrompue</x:v>
      </x:c>
      <x:c r="F1022" t="n">
        <x:v>8</x:v>
      </x:c>
      <x:c r="G1022" t="n">
        <x:v>5</x:v>
      </x:c>
      <x:c r="H1022" t="n">
        <x:v>15</x:v>
      </x:c>
      <x:c r="I1022" t="str">
        <x:v>À qualifier par lieu</x:v>
      </x:c>
      <x:c r="J1022" t="str">
        <x:v>https://github.com/darknigthmare/deadwall-last-enclosure/blob/1b3b9c5ba232734b1bda3453b4e20a0481bcdd74/codex-3000/compositions/Habitat individuel/DW-1017.md</x:v>
      </x:c>
      <x:c r="K1022" t="str">
        <x:v>Source min 12,10 m ; max 28,24 m ; modèle 26 × 22 m ; niveaux 0. Détails dans catalogue-existant.json.</x:v>
      </x:c>
    </x:row>
    <x:row r="1023">
      <x:c r="A1023" t="str">
        <x:v>DW-1018</x:v>
      </x:c>
      <x:c r="B1023" t="str">
        <x:v>DW-0009</x:v>
      </x:c>
      <x:c r="C1023" t="str">
        <x:v>Composition héritée</x:v>
      </x:c>
      <x:c r="D1023" t="str">
        <x:v>Habitat individuel</x:v>
      </x:c>
      <x:c r="E1023" t="str">
        <x:v>Villa avec piscine — Village et bourg / service déplacé à l’arrière</x:v>
      </x:c>
      <x:c r="F1023" t="n">
        <x:v>8</x:v>
      </x:c>
      <x:c r="G1023" t="n">
        <x:v>5</x:v>
      </x:c>
      <x:c r="H1023" t="n">
        <x:v>15</x:v>
      </x:c>
      <x:c r="I1023" t="str">
        <x:v>À qualifier par lieu</x:v>
      </x:c>
      <x:c r="J1023" t="str">
        <x:v>https://github.com/darknigthmare/deadwall-last-enclosure/blob/1b3b9c5ba232734b1bda3453b4e20a0481bcdd74/codex-3000/compositions/Habitat individuel/DW-1018.md</x:v>
      </x:c>
      <x:c r="K1023" t="str">
        <x:v>Source min 12,10 m ; max 28,24 m ; modèle 26 × 22 m ; niveaux 0. Détails dans catalogue-existant.json.</x:v>
      </x:c>
    </x:row>
    <x:row r="1024">
      <x:c r="A1024" t="str">
        <x:v>DW-1019</x:v>
      </x:c>
      <x:c r="B1024" t="str">
        <x:v>DW-0010</x:v>
      </x:c>
      <x:c r="C1024" t="str">
        <x:v>Composition héritée</x:v>
      </x:c>
      <x:c r="D1024" t="str">
        <x:v>Habitat individuel</x:v>
      </x:c>
      <x:c r="E1024" t="str">
        <x:v>Chalet forestier — Hameau / arrêt de maintenance</x:v>
      </x:c>
      <x:c r="F1024" t="n">
        <x:v>8</x:v>
      </x:c>
      <x:c r="G1024" t="n">
        <x:v>4</x:v>
      </x:c>
      <x:c r="H1024" t="n">
        <x:v>12</x:v>
      </x:c>
      <x:c r="I1024" t="str">
        <x:v>À qualifier par lieu</x:v>
      </x:c>
      <x:c r="J1024" t="str">
        <x:v>https://github.com/darknigthmare/deadwall-last-enclosure/blob/1b3b9c5ba232734b1bda3453b4e20a0481bcdd74/codex-3000/compositions/Habitat individuel/DW-1019.md</x:v>
      </x:c>
      <x:c r="K1024" t="str">
        <x:v>Source min 12,10 m ; max 28,24 m ; modèle 25 × 18 m ; niveaux 0. Détails dans catalogue-existant.json.</x:v>
      </x:c>
    </x:row>
    <x:row r="1025">
      <x:c r="A1025" t="str">
        <x:v>DW-1020</x:v>
      </x:c>
      <x:c r="B1025" t="str">
        <x:v>DW-0010</x:v>
      </x:c>
      <x:c r="C1025" t="str">
        <x:v>Composition héritée</x:v>
      </x:c>
      <x:c r="D1025" t="str">
        <x:v>Habitat individuel</x:v>
      </x:c>
      <x:c r="E1025" t="str">
        <x:v>Chalet forestier — Ferme, verger et pâtures / reprise progressive de la végétation</x:v>
      </x:c>
      <x:c r="F1025" t="n">
        <x:v>8</x:v>
      </x:c>
      <x:c r="G1025" t="n">
        <x:v>4</x:v>
      </x:c>
      <x:c r="H1025" t="n">
        <x:v>12</x:v>
      </x:c>
      <x:c r="I1025" t="str">
        <x:v>À qualifier par lieu</x:v>
      </x:c>
      <x:c r="J1025" t="str">
        <x:v>https://github.com/darknigthmare/deadwall-last-enclosure/blob/1b3b9c5ba232734b1bda3453b4e20a0481bcdd74/codex-3000/compositions/Habitat individuel/DW-1020.md</x:v>
      </x:c>
      <x:c r="K1025" t="str">
        <x:v>Source min 12,10 m ; max 28,24 m ; modèle 25 × 18 m ; niveaux 0. Détails dans catalogue-existant.json.</x:v>
      </x:c>
    </x:row>
    <x:row r="1026">
      <x:c r="A1026" t="str">
        <x:v>DW-1021</x:v>
      </x:c>
      <x:c r="B1026" t="str">
        <x:v>DW-0011</x:v>
      </x:c>
      <x:c r="C1026" t="str">
        <x:v>Composition héritée</x:v>
      </x:c>
      <x:c r="D1026" t="str">
        <x:v>Habitat individuel</x:v>
      </x:c>
      <x:c r="E1026" t="str">
        <x:v>Cabane de pêcheur — Village et bourg / première récupération passée</x:v>
      </x:c>
      <x:c r="F1026" t="n">
        <x:v>8</x:v>
      </x:c>
      <x:c r="G1026" t="n">
        <x:v>4</x:v>
      </x:c>
      <x:c r="H1026" t="n">
        <x:v>12</x:v>
      </x:c>
      <x:c r="I1026" t="str">
        <x:v>À qualifier par lieu</x:v>
      </x:c>
      <x:c r="J1026" t="str">
        <x:v>https://github.com/darknigthmare/deadwall-last-enclosure/blob/1b3b9c5ba232734b1bda3453b4e20a0481bcdd74/codex-3000/compositions/Habitat individuel/DW-1021.md</x:v>
      </x:c>
      <x:c r="K1026" t="str">
        <x:v>Source min 12,10 m ; max 28,24 m ; modèle 25 × 18 m ; niveaux 0. Détails dans catalogue-existant.json.</x:v>
      </x:c>
    </x:row>
    <x:row r="1027">
      <x:c r="A1027" t="str">
        <x:v>DW-1022</x:v>
      </x:c>
      <x:c r="B1027" t="str">
        <x:v>DW-0011</x:v>
      </x:c>
      <x:c r="C1027" t="str">
        <x:v>Composition héritée</x:v>
      </x:c>
      <x:c r="D1027" t="str">
        <x:v>Habitat individuel</x:v>
      </x:c>
      <x:c r="E1027" t="str">
        <x:v>Cabane de pêcheur — Quartier pavillonnaire / relais temporaire envisagé</x:v>
      </x:c>
      <x:c r="F1027" t="n">
        <x:v>8</x:v>
      </x:c>
      <x:c r="G1027" t="n">
        <x:v>4</x:v>
      </x:c>
      <x:c r="H1027" t="n">
        <x:v>12</x:v>
      </x:c>
      <x:c r="I1027" t="str">
        <x:v>À qualifier par lieu</x:v>
      </x:c>
      <x:c r="J1027" t="str">
        <x:v>https://github.com/darknigthmare/deadwall-last-enclosure/blob/1b3b9c5ba232734b1bda3453b4e20a0481bcdd74/codex-3000/compositions/Habitat individuel/DW-1022.md</x:v>
      </x:c>
      <x:c r="K1027" t="str">
        <x:v>Source min 12,10 m ; max 28,24 m ; modèle 25 × 18 m ; niveaux 0. Détails dans catalogue-existant.json.</x:v>
      </x:c>
    </x:row>
    <x:row r="1028">
      <x:c r="A1028" t="str">
        <x:v>DW-1023</x:v>
      </x:c>
      <x:c r="B1028" t="str">
        <x:v>DW-0012</x:v>
      </x:c>
      <x:c r="C1028" t="str">
        <x:v>Composition héritée</x:v>
      </x:c>
      <x:c r="D1028" t="str">
        <x:v>Habitat individuel</x:v>
      </x:c>
      <x:c r="E1028" t="str">
        <x:v>Maison mobile en parc — Ferme, verger et pâtures / service déplacé à l’arrière</x:v>
      </x:c>
      <x:c r="F1028" t="n">
        <x:v>8</x:v>
      </x:c>
      <x:c r="G1028" t="n">
        <x:v>5</x:v>
      </x:c>
      <x:c r="H1028" t="n">
        <x:v>15</x:v>
      </x:c>
      <x:c r="I1028" t="str">
        <x:v>À qualifier par lieu</x:v>
      </x:c>
      <x:c r="J1028" t="str">
        <x:v>https://github.com/darknigthmare/deadwall-last-enclosure/blob/1b3b9c5ba232734b1bda3453b4e20a0481bcdd74/codex-3000/compositions/Habitat individuel/DW-1023.md</x:v>
      </x:c>
      <x:c r="K1028" t="str">
        <x:v>Source min 12,10 m ; max 28,24 m ; modèle 26 × 22 m ; niveaux 0. Détails dans catalogue-existant.json.</x:v>
      </x:c>
    </x:row>
    <x:row r="1029">
      <x:c r="A1029" t="str">
        <x:v>DW-1024</x:v>
      </x:c>
      <x:c r="B1029" t="str">
        <x:v>DW-0012</x:v>
      </x:c>
      <x:c r="C1029" t="str">
        <x:v>Composition héritée</x:v>
      </x:c>
      <x:c r="D1029" t="str">
        <x:v>Habitat individuel</x:v>
      </x:c>
      <x:c r="E1029" t="str">
        <x:v>Maison mobile en parc — Hameau / réseau principal coupé</x:v>
      </x:c>
      <x:c r="F1029" t="n">
        <x:v>8</x:v>
      </x:c>
      <x:c r="G1029" t="n">
        <x:v>5</x:v>
      </x:c>
      <x:c r="H1029" t="n">
        <x:v>15</x:v>
      </x:c>
      <x:c r="I1029" t="str">
        <x:v>À qualifier par lieu</x:v>
      </x:c>
      <x:c r="J1029" t="str">
        <x:v>https://github.com/darknigthmare/deadwall-last-enclosure/blob/1b3b9c5ba232734b1bda3453b4e20a0481bcdd74/codex-3000/compositions/Habitat individuel/DW-1024.md</x:v>
      </x:c>
      <x:c r="K1029" t="str">
        <x:v>Source min 12,10 m ; max 28,24 m ; modèle 26 × 22 m ; niveaux 0. Détails dans catalogue-existant.json.</x:v>
      </x:c>
    </x:row>
    <x:row r="1030">
      <x:c r="A1030" t="str">
        <x:v>DW-1025</x:v>
      </x:c>
      <x:c r="B1030" t="str">
        <x:v>DW-0013</x:v>
      </x:c>
      <x:c r="C1030" t="str">
        <x:v>Composition héritée</x:v>
      </x:c>
      <x:c r="D1030" t="str">
        <x:v>Habitat individuel</x:v>
      </x:c>
      <x:c r="E1030" t="str">
        <x:v>Duplex au-dessus d'une boutique — Quartier pavillonnaire / reprise progressive de la végétation</x:v>
      </x:c>
      <x:c r="F1030" t="n">
        <x:v>8</x:v>
      </x:c>
      <x:c r="G1030" t="n">
        <x:v>4</x:v>
      </x:c>
      <x:c r="H1030" t="n">
        <x:v>12</x:v>
      </x:c>
      <x:c r="I1030" t="str">
        <x:v>À qualifier par lieu</x:v>
      </x:c>
      <x:c r="J1030" t="str">
        <x:v>https://github.com/darknigthmare/deadwall-last-enclosure/blob/1b3b9c5ba232734b1bda3453b4e20a0481bcdd74/codex-3000/compositions/Habitat individuel/DW-1025.md</x:v>
      </x:c>
      <x:c r="K1030" t="str">
        <x:v>Source min 12,10 m ; max 28,24 m ; modèle 25 × 18 m ; niveaux 0, 1. Détails dans catalogue-existant.json.</x:v>
      </x:c>
    </x:row>
    <x:row r="1031">
      <x:c r="A1031" t="str">
        <x:v>DW-1026</x:v>
      </x:c>
      <x:c r="B1031" t="str">
        <x:v>DW-0013</x:v>
      </x:c>
      <x:c r="C1031" t="str">
        <x:v>Composition héritée</x:v>
      </x:c>
      <x:c r="D1031" t="str">
        <x:v>Habitat individuel</x:v>
      </x:c>
      <x:c r="E1031" t="str">
        <x:v>Duplex au-dessus d'une boutique — Village et bourg / repli organisé interrompu</x:v>
      </x:c>
      <x:c r="F1031" t="n">
        <x:v>8</x:v>
      </x:c>
      <x:c r="G1031" t="n">
        <x:v>4</x:v>
      </x:c>
      <x:c r="H1031" t="n">
        <x:v>12</x:v>
      </x:c>
      <x:c r="I1031" t="str">
        <x:v>À qualifier par lieu</x:v>
      </x:c>
      <x:c r="J1031" t="str">
        <x:v>https://github.com/darknigthmare/deadwall-last-enclosure/blob/1b3b9c5ba232734b1bda3453b4e20a0481bcdd74/codex-3000/compositions/Habitat individuel/DW-1026.md</x:v>
      </x:c>
      <x:c r="K1031" t="str">
        <x:v>Source min 12,10 m ; max 28,24 m ; modèle 25 × 18 m ; niveaux 0, 1. Détails dans catalogue-existant.json.</x:v>
      </x:c>
    </x:row>
    <x:row r="1032">
      <x:c r="A1032" t="str">
        <x:v>DW-1027</x:v>
      </x:c>
      <x:c r="B1032" t="str">
        <x:v>DW-0014</x:v>
      </x:c>
      <x:c r="C1032" t="str">
        <x:v>Composition héritée</x:v>
      </x:c>
      <x:c r="D1032" t="str">
        <x:v>Habitat individuel</x:v>
      </x:c>
      <x:c r="E1032" t="str">
        <x:v>Maison d'angle commerçante — Hameau / relais temporaire envisagé</x:v>
      </x:c>
      <x:c r="F1032" t="n">
        <x:v>8</x:v>
      </x:c>
      <x:c r="G1032" t="n">
        <x:v>4</x:v>
      </x:c>
      <x:c r="H1032" t="n">
        <x:v>12</x:v>
      </x:c>
      <x:c r="I1032" t="str">
        <x:v>À qualifier par lieu</x:v>
      </x:c>
      <x:c r="J1032" t="str">
        <x:v>https://github.com/darknigthmare/deadwall-last-enclosure/blob/1b3b9c5ba232734b1bda3453b4e20a0481bcdd74/codex-3000/compositions/Habitat individuel/DW-1027.md</x:v>
      </x:c>
      <x:c r="K1032" t="str">
        <x:v>Source min 12,10 m ; max 28,24 m ; modèle 25 × 18 m ; niveaux 0. Détails dans catalogue-existant.json.</x:v>
      </x:c>
    </x:row>
    <x:row r="1033">
      <x:c r="A1033" t="str">
        <x:v>DW-1028</x:v>
      </x:c>
      <x:c r="B1033" t="str">
        <x:v>DW-0014</x:v>
      </x:c>
      <x:c r="C1033" t="str">
        <x:v>Composition héritée</x:v>
      </x:c>
      <x:c r="D1033" t="str">
        <x:v>Habitat individuel</x:v>
      </x:c>
      <x:c r="E1033" t="str">
        <x:v>Maison d'angle commerçante — Ferme, verger et pâtures / évacuation interrompue</x:v>
      </x:c>
      <x:c r="F1033" t="n">
        <x:v>8</x:v>
      </x:c>
      <x:c r="G1033" t="n">
        <x:v>4</x:v>
      </x:c>
      <x:c r="H1033" t="n">
        <x:v>12</x:v>
      </x:c>
      <x:c r="I1033" t="str">
        <x:v>À qualifier par lieu</x:v>
      </x:c>
      <x:c r="J1033" t="str">
        <x:v>https://github.com/darknigthmare/deadwall-last-enclosure/blob/1b3b9c5ba232734b1bda3453b4e20a0481bcdd74/codex-3000/compositions/Habitat individuel/DW-1028.md</x:v>
      </x:c>
      <x:c r="K1033" t="str">
        <x:v>Source min 12,10 m ; max 28,24 m ; modèle 25 × 18 m ; niveaux 0. Détails dans catalogue-existant.json.</x:v>
      </x:c>
    </x:row>
    <x:row r="1034">
      <x:c r="A1034" t="str">
        <x:v>DW-1029</x:v>
      </x:c>
      <x:c r="B1034" t="str">
        <x:v>DW-0015</x:v>
      </x:c>
      <x:c r="C1034" t="str">
        <x:v>Composition héritée</x:v>
      </x:c>
      <x:c r="D1034" t="str">
        <x:v>Habitat individuel</x:v>
      </x:c>
      <x:c r="E1034" t="str">
        <x:v>Maison en autoconstruction — Village et bourg / réseau principal coupé</x:v>
      </x:c>
      <x:c r="F1034" t="n">
        <x:v>8</x:v>
      </x:c>
      <x:c r="G1034" t="n">
        <x:v>4</x:v>
      </x:c>
      <x:c r="H1034" t="n">
        <x:v>12</x:v>
      </x:c>
      <x:c r="I1034" t="str">
        <x:v>À qualifier par lieu</x:v>
      </x:c>
      <x:c r="J1034" t="str">
        <x:v>https://github.com/darknigthmare/deadwall-last-enclosure/blob/1b3b9c5ba232734b1bda3453b4e20a0481bcdd74/codex-3000/compositions/Habitat individuel/DW-1029.md</x:v>
      </x:c>
      <x:c r="K1034" t="str">
        <x:v>Source min 12,10 m ; max 28,24 m ; modèle 25 × 18 m ; niveaux 0. Détails dans catalogue-existant.json.</x:v>
      </x:c>
    </x:row>
    <x:row r="1035">
      <x:c r="A1035" t="str">
        <x:v>DW-1030</x:v>
      </x:c>
      <x:c r="B1035" t="str">
        <x:v>DW-0015</x:v>
      </x:c>
      <x:c r="C1035" t="str">
        <x:v>Composition héritée</x:v>
      </x:c>
      <x:c r="D1035" t="str">
        <x:v>Habitat individuel</x:v>
      </x:c>
      <x:c r="E1035" t="str">
        <x:v>Maison en autoconstruction — Quartier pavillonnaire / arrêt de maintenance</x:v>
      </x:c>
      <x:c r="F1035" t="n">
        <x:v>8</x:v>
      </x:c>
      <x:c r="G1035" t="n">
        <x:v>4</x:v>
      </x:c>
      <x:c r="H1035" t="n">
        <x:v>12</x:v>
      </x:c>
      <x:c r="I1035" t="str">
        <x:v>À qualifier par lieu</x:v>
      </x:c>
      <x:c r="J1035" t="str">
        <x:v>https://github.com/darknigthmare/deadwall-last-enclosure/blob/1b3b9c5ba232734b1bda3453b4e20a0481bcdd74/codex-3000/compositions/Habitat individuel/DW-1030.md</x:v>
      </x:c>
      <x:c r="K1035" t="str">
        <x:v>Source min 12,10 m ; max 28,24 m ; modèle 25 × 18 m ; niveaux 0. Détails dans catalogue-existant.json.</x:v>
      </x:c>
    </x:row>
    <x:row r="1036">
      <x:c r="A1036" t="str">
        <x:v>DW-1031</x:v>
      </x:c>
      <x:c r="B1036" t="str">
        <x:v>DW-0016</x:v>
      </x:c>
      <x:c r="C1036" t="str">
        <x:v>Composition héritée</x:v>
      </x:c>
      <x:c r="D1036" t="str">
        <x:v>Habitat individuel</x:v>
      </x:c>
      <x:c r="E1036" t="str">
        <x:v>Maison en gradins — Ferme, verger et pâtures / repli organisé interrompu</x:v>
      </x:c>
      <x:c r="F1036" t="n">
        <x:v>8</x:v>
      </x:c>
      <x:c r="G1036" t="n">
        <x:v>4</x:v>
      </x:c>
      <x:c r="H1036" t="n">
        <x:v>12</x:v>
      </x:c>
      <x:c r="I1036" t="str">
        <x:v>À qualifier par lieu</x:v>
      </x:c>
      <x:c r="J1036" t="str">
        <x:v>https://github.com/darknigthmare/deadwall-last-enclosure/blob/1b3b9c5ba232734b1bda3453b4e20a0481bcdd74/codex-3000/compositions/Habitat individuel/DW-1031.md</x:v>
      </x:c>
      <x:c r="K1036" t="str">
        <x:v>Source min 12,10 m ; max 28,24 m ; modèle 25 × 18 m ; niveaux 0, 1, 2. Détails dans catalogue-existant.json.</x:v>
      </x:c>
    </x:row>
    <x:row r="1037">
      <x:c r="A1037" t="str">
        <x:v>DW-1032</x:v>
      </x:c>
      <x:c r="B1037" t="str">
        <x:v>DW-0016</x:v>
      </x:c>
      <x:c r="C1037" t="str">
        <x:v>Composition héritée</x:v>
      </x:c>
      <x:c r="D1037" t="str">
        <x:v>Habitat individuel</x:v>
      </x:c>
      <x:c r="E1037" t="str">
        <x:v>Maison en gradins — Hameau / première récupération passée</x:v>
      </x:c>
      <x:c r="F1037" t="n">
        <x:v>8</x:v>
      </x:c>
      <x:c r="G1037" t="n">
        <x:v>4</x:v>
      </x:c>
      <x:c r="H1037" t="n">
        <x:v>12</x:v>
      </x:c>
      <x:c r="I1037" t="str">
        <x:v>À qualifier par lieu</x:v>
      </x:c>
      <x:c r="J1037" t="str">
        <x:v>https://github.com/darknigthmare/deadwall-last-enclosure/blob/1b3b9c5ba232734b1bda3453b4e20a0481bcdd74/codex-3000/compositions/Habitat individuel/DW-1032.md</x:v>
      </x:c>
      <x:c r="K1037" t="str">
        <x:v>Source min 12,10 m ; max 28,24 m ; modèle 25 × 18 m ; niveaux 0, 1, 2. Détails dans catalogue-existant.json.</x:v>
      </x:c>
    </x:row>
    <x:row r="1038">
      <x:c r="A1038" t="str">
        <x:v>DW-1033</x:v>
      </x:c>
      <x:c r="B1038" t="str">
        <x:v>DW-0017</x:v>
      </x:c>
      <x:c r="C1038" t="str">
        <x:v>Composition héritée</x:v>
      </x:c>
      <x:c r="D1038" t="str">
        <x:v>Habitat individuel</x:v>
      </x:c>
      <x:c r="E1038" t="str">
        <x:v>Maison familiale adaptée — Quartier pavillonnaire / évacuation interrompue</x:v>
      </x:c>
      <x:c r="F1038" t="n">
        <x:v>8</x:v>
      </x:c>
      <x:c r="G1038" t="n">
        <x:v>4</x:v>
      </x:c>
      <x:c r="H1038" t="n">
        <x:v>10</x:v>
      </x:c>
      <x:c r="I1038" t="str">
        <x:v>À qualifier par lieu</x:v>
      </x:c>
      <x:c r="J1038" t="str">
        <x:v>https://github.com/darknigthmare/deadwall-last-enclosure/blob/1b3b9c5ba232734b1bda3453b4e20a0481bcdd74/codex-3000/compositions/Habitat individuel/DW-1033.md</x:v>
      </x:c>
      <x:c r="K1038" t="str">
        <x:v>Source min 12,10 m ; max 28,24 m ; modèle 25 × 18 m ; niveaux 0. Détails dans catalogue-existant.json.</x:v>
      </x:c>
    </x:row>
    <x:row r="1039">
      <x:c r="A1039" t="str">
        <x:v>DW-1034</x:v>
      </x:c>
      <x:c r="B1039" t="str">
        <x:v>DW-0017</x:v>
      </x:c>
      <x:c r="C1039" t="str">
        <x:v>Composition héritée</x:v>
      </x:c>
      <x:c r="D1039" t="str">
        <x:v>Habitat individuel</x:v>
      </x:c>
      <x:c r="E1039" t="str">
        <x:v>Maison familiale adaptée — Village et bourg / service déplacé à l’arrière</x:v>
      </x:c>
      <x:c r="F1039" t="n">
        <x:v>8</x:v>
      </x:c>
      <x:c r="G1039" t="n">
        <x:v>4</x:v>
      </x:c>
      <x:c r="H1039" t="n">
        <x:v>10</x:v>
      </x:c>
      <x:c r="I1039" t="str">
        <x:v>À qualifier par lieu</x:v>
      </x:c>
      <x:c r="J1039" t="str">
        <x:v>https://github.com/darknigthmare/deadwall-last-enclosure/blob/1b3b9c5ba232734b1bda3453b4e20a0481bcdd74/codex-3000/compositions/Habitat individuel/DW-1034.md</x:v>
      </x:c>
      <x:c r="K1039" t="str">
        <x:v>Source min 12,10 m ; max 28,24 m ; modèle 25 × 18 m ; niveaux 0. Détails dans catalogue-existant.json.</x:v>
      </x:c>
    </x:row>
    <x:row r="1040">
      <x:c r="A1040" t="str">
        <x:v>DW-1035</x:v>
      </x:c>
      <x:c r="B1040" t="str">
        <x:v>DW-0018</x:v>
      </x:c>
      <x:c r="C1040" t="str">
        <x:v>Composition héritée</x:v>
      </x:c>
      <x:c r="D1040" t="str">
        <x:v>Habitat individuel</x:v>
      </x:c>
      <x:c r="E1040" t="str">
        <x:v>Ancien presbytère — Hameau / arrêt de maintenance</x:v>
      </x:c>
      <x:c r="F1040" t="n">
        <x:v>8</x:v>
      </x:c>
      <x:c r="G1040" t="n">
        <x:v>5</x:v>
      </x:c>
      <x:c r="H1040" t="n">
        <x:v>15</x:v>
      </x:c>
      <x:c r="I1040" t="str">
        <x:v>À qualifier par lieu</x:v>
      </x:c>
      <x:c r="J1040" t="str">
        <x:v>https://github.com/darknigthmare/deadwall-last-enclosure/blob/1b3b9c5ba232734b1bda3453b4e20a0481bcdd74/codex-3000/compositions/Habitat individuel/DW-1035.md</x:v>
      </x:c>
      <x:c r="K1040" t="str">
        <x:v>Source min 12,10 m ; max 28,24 m ; modèle 26 × 22 m ; niveaux 0. Détails dans catalogue-existant.json.</x:v>
      </x:c>
    </x:row>
    <x:row r="1041">
      <x:c r="A1041" t="str">
        <x:v>DW-1036</x:v>
      </x:c>
      <x:c r="B1041" t="str">
        <x:v>DW-0018</x:v>
      </x:c>
      <x:c r="C1041" t="str">
        <x:v>Composition héritée</x:v>
      </x:c>
      <x:c r="D1041" t="str">
        <x:v>Habitat individuel</x:v>
      </x:c>
      <x:c r="E1041" t="str">
        <x:v>Ancien presbytère — Ferme, verger et pâtures / reprise progressive de la végétation</x:v>
      </x:c>
      <x:c r="F1041" t="n">
        <x:v>8</x:v>
      </x:c>
      <x:c r="G1041" t="n">
        <x:v>5</x:v>
      </x:c>
      <x:c r="H1041" t="n">
        <x:v>15</x:v>
      </x:c>
      <x:c r="I1041" t="str">
        <x:v>À qualifier par lieu</x:v>
      </x:c>
      <x:c r="J1041" t="str">
        <x:v>https://github.com/darknigthmare/deadwall-last-enclosure/blob/1b3b9c5ba232734b1bda3453b4e20a0481bcdd74/codex-3000/compositions/Habitat individuel/DW-1036.md</x:v>
      </x:c>
      <x:c r="K1041" t="str">
        <x:v>Source min 12,10 m ; max 28,24 m ; modèle 26 × 22 m ; niveaux 0. Détails dans catalogue-existant.json.</x:v>
      </x:c>
    </x:row>
    <x:row r="1042">
      <x:c r="A1042" t="str">
        <x:v>DW-1037</x:v>
      </x:c>
      <x:c r="B1042" t="str">
        <x:v>DW-0019</x:v>
      </x:c>
      <x:c r="C1042" t="str">
        <x:v>Composition héritée</x:v>
      </x:c>
      <x:c r="D1042" t="str">
        <x:v>Habitat individuel</x:v>
      </x:c>
      <x:c r="E1042" t="str">
        <x:v>Maison d'éclusier — Village et bourg / première récupération passée</x:v>
      </x:c>
      <x:c r="F1042" t="n">
        <x:v>8</x:v>
      </x:c>
      <x:c r="G1042" t="n">
        <x:v>4</x:v>
      </x:c>
      <x:c r="H1042" t="n">
        <x:v>12</x:v>
      </x:c>
      <x:c r="I1042" t="str">
        <x:v>À qualifier par lieu</x:v>
      </x:c>
      <x:c r="J1042" t="str">
        <x:v>https://github.com/darknigthmare/deadwall-last-enclosure/blob/1b3b9c5ba232734b1bda3453b4e20a0481bcdd74/codex-3000/compositions/Habitat individuel/DW-1037.md</x:v>
      </x:c>
      <x:c r="K1042" t="str">
        <x:v>Source min 12,10 m ; max 28,24 m ; modèle 25 × 18 m ; niveaux 0. Détails dans catalogue-existant.json.</x:v>
      </x:c>
    </x:row>
    <x:row r="1043">
      <x:c r="A1043" t="str">
        <x:v>DW-1038</x:v>
      </x:c>
      <x:c r="B1043" t="str">
        <x:v>DW-0019</x:v>
      </x:c>
      <x:c r="C1043" t="str">
        <x:v>Composition héritée</x:v>
      </x:c>
      <x:c r="D1043" t="str">
        <x:v>Habitat individuel</x:v>
      </x:c>
      <x:c r="E1043" t="str">
        <x:v>Maison d'éclusier — Quartier pavillonnaire / relais temporaire envisagé</x:v>
      </x:c>
      <x:c r="F1043" t="n">
        <x:v>8</x:v>
      </x:c>
      <x:c r="G1043" t="n">
        <x:v>4</x:v>
      </x:c>
      <x:c r="H1043" t="n">
        <x:v>12</x:v>
      </x:c>
      <x:c r="I1043" t="str">
        <x:v>À qualifier par lieu</x:v>
      </x:c>
      <x:c r="J1043" t="str">
        <x:v>https://github.com/darknigthmare/deadwall-last-enclosure/blob/1b3b9c5ba232734b1bda3453b4e20a0481bcdd74/codex-3000/compositions/Habitat individuel/DW-1038.md</x:v>
      </x:c>
      <x:c r="K1043" t="str">
        <x:v>Source min 12,10 m ; max 28,24 m ; modèle 25 × 18 m ; niveaux 0. Détails dans catalogue-existant.json.</x:v>
      </x:c>
    </x:row>
    <x:row r="1044">
      <x:c r="A1044" t="str">
        <x:v>DW-1039</x:v>
      </x:c>
      <x:c r="B1044" t="str">
        <x:v>DW-0020</x:v>
      </x:c>
      <x:c r="C1044" t="str">
        <x:v>Composition héritée</x:v>
      </x:c>
      <x:c r="D1044" t="str">
        <x:v>Habitat individuel</x:v>
      </x:c>
      <x:c r="E1044" t="str">
        <x:v>Ferme reconvertie en habitation — Ferme, verger et pâtures / service déplacé à l’arrière</x:v>
      </x:c>
      <x:c r="F1044" t="n">
        <x:v>8</x:v>
      </x:c>
      <x:c r="G1044" t="n">
        <x:v>4</x:v>
      </x:c>
      <x:c r="H1044" t="n">
        <x:v>12</x:v>
      </x:c>
      <x:c r="I1044" t="str">
        <x:v>À qualifier par lieu</x:v>
      </x:c>
      <x:c r="J1044" t="str">
        <x:v>https://github.com/darknigthmare/deadwall-last-enclosure/blob/1b3b9c5ba232734b1bda3453b4e20a0481bcdd74/codex-3000/compositions/Habitat individuel/DW-1039.md</x:v>
      </x:c>
      <x:c r="K1044" t="str">
        <x:v>Source min 12,10 m ; max 28,24 m ; modèle 25 × 18 m ; niveaux 0. Détails dans catalogue-existant.json.</x:v>
      </x:c>
    </x:row>
    <x:row r="1045">
      <x:c r="A1045" t="str">
        <x:v>DW-1040</x:v>
      </x:c>
      <x:c r="B1045" t="str">
        <x:v>DW-0020</x:v>
      </x:c>
      <x:c r="C1045" t="str">
        <x:v>Composition héritée</x:v>
      </x:c>
      <x:c r="D1045" t="str">
        <x:v>Habitat individuel</x:v>
      </x:c>
      <x:c r="E1045" t="str">
        <x:v>Ferme reconvertie en habitation — Hameau / réseau principal coupé</x:v>
      </x:c>
      <x:c r="F1045" t="n">
        <x:v>8</x:v>
      </x:c>
      <x:c r="G1045" t="n">
        <x:v>4</x:v>
      </x:c>
      <x:c r="H1045" t="n">
        <x:v>12</x:v>
      </x:c>
      <x:c r="I1045" t="str">
        <x:v>À qualifier par lieu</x:v>
      </x:c>
      <x:c r="J1045" t="str">
        <x:v>https://github.com/darknigthmare/deadwall-last-enclosure/blob/1b3b9c5ba232734b1bda3453b4e20a0481bcdd74/codex-3000/compositions/Habitat individuel/DW-1040.md</x:v>
      </x:c>
      <x:c r="K1045" t="str">
        <x:v>Source min 12,10 m ; max 28,24 m ; modèle 25 × 18 m ; niveaux 0. Détails dans catalogue-existant.json.</x:v>
      </x:c>
    </x:row>
    <x:row r="1046">
      <x:c r="A1046" t="str">
        <x:v>DW-1041</x:v>
      </x:c>
      <x:c r="B1046" t="str">
        <x:v>DW-0021</x:v>
      </x:c>
      <x:c r="C1046" t="str">
        <x:v>Composition héritée</x:v>
      </x:c>
      <x:c r="D1046" t="str">
        <x:v>Habitat collectif</x:v>
      </x:c>
      <x:c r="E1046" t="str">
        <x:v>Immeuble de trois étages — Quartier collectif / reprise progressive de la végétation</x:v>
      </x:c>
      <x:c r="F1046" t="n">
        <x:v>8</x:v>
      </x:c>
      <x:c r="G1046" t="n">
        <x:v>5</x:v>
      </x:c>
      <x:c r="H1046" t="n">
        <x:v>13</x:v>
      </x:c>
      <x:c r="I1046" t="str">
        <x:v>À qualifier par lieu</x:v>
      </x:c>
      <x:c r="J1046" t="str">
        <x:v>https://github.com/darknigthmare/deadwall-last-enclosure/blob/1b3b9c5ba232734b1bda3453b4e20a0481bcdd74/codex-3000/compositions/Habitat collectif/DW-1041.md</x:v>
      </x:c>
      <x:c r="K1046" t="str">
        <x:v>Source min 25,18 m ; max 85,60 m ; modèle 26 × 22 m ; niveaux 0, 1, 2. Détails dans catalogue-existant.json.</x:v>
      </x:c>
    </x:row>
    <x:row r="1047">
      <x:c r="A1047" t="str">
        <x:v>DW-1042</x:v>
      </x:c>
      <x:c r="B1047" t="str">
        <x:v>DW-0021</x:v>
      </x:c>
      <x:c r="C1047" t="str">
        <x:v>Composition héritée</x:v>
      </x:c>
      <x:c r="D1047" t="str">
        <x:v>Habitat collectif</x:v>
      </x:c>
      <x:c r="E1047" t="str">
        <x:v>Immeuble de trois étages — Grande ville et métropole / repli organisé interrompu</x:v>
      </x:c>
      <x:c r="F1047" t="n">
        <x:v>8</x:v>
      </x:c>
      <x:c r="G1047" t="n">
        <x:v>5</x:v>
      </x:c>
      <x:c r="H1047" t="n">
        <x:v>13</x:v>
      </x:c>
      <x:c r="I1047" t="str">
        <x:v>À qualifier par lieu</x:v>
      </x:c>
      <x:c r="J1047" t="str">
        <x:v>https://github.com/darknigthmare/deadwall-last-enclosure/blob/1b3b9c5ba232734b1bda3453b4e20a0481bcdd74/codex-3000/compositions/Habitat collectif/DW-1042.md</x:v>
      </x:c>
      <x:c r="K1047" t="str">
        <x:v>Source min 25,18 m ; max 85,60 m ; modèle 26 × 22 m ; niveaux 0, 1, 2. Détails dans catalogue-existant.json.</x:v>
      </x:c>
    </x:row>
    <x:row r="1048">
      <x:c r="A1048" t="str">
        <x:v>DW-1043</x:v>
      </x:c>
      <x:c r="B1048" t="str">
        <x:v>DW-0022</x:v>
      </x:c>
      <x:c r="C1048" t="str">
        <x:v>Composition héritée</x:v>
      </x:c>
      <x:c r="D1048" t="str">
        <x:v>Habitat collectif</x:v>
      </x:c>
      <x:c r="E1048" t="str">
        <x:v>Barre résidentielle — Ville moyenne / relais temporaire envisagé</x:v>
      </x:c>
      <x:c r="F1048" t="n">
        <x:v>8</x:v>
      </x:c>
      <x:c r="G1048" t="n">
        <x:v>4</x:v>
      </x:c>
      <x:c r="H1048" t="n">
        <x:v>10</x:v>
      </x:c>
      <x:c r="I1048" t="str">
        <x:v>À qualifier par lieu</x:v>
      </x:c>
      <x:c r="J1048" t="str">
        <x:v>https://github.com/darknigthmare/deadwall-last-enclosure/blob/1b3b9c5ba232734b1bda3453b4e20a0481bcdd74/codex-3000/compositions/Habitat collectif/DW-1043.md</x:v>
      </x:c>
      <x:c r="K1048" t="str">
        <x:v>Source min 25,18 m ; max 85,60 m ; modèle 25 × 18 m ; niveaux 0, 1, 2. Détails dans catalogue-existant.json.</x:v>
      </x:c>
    </x:row>
    <x:row r="1049">
      <x:c r="A1049" t="str">
        <x:v>DW-1044</x:v>
      </x:c>
      <x:c r="B1049" t="str">
        <x:v>DW-0022</x:v>
      </x:c>
      <x:c r="C1049" t="str">
        <x:v>Composition héritée</x:v>
      </x:c>
      <x:c r="D1049" t="str">
        <x:v>Habitat collectif</x:v>
      </x:c>
      <x:c r="E1049" t="str">
        <x:v>Barre résidentielle — Centre ancien / évacuation interrompue</x:v>
      </x:c>
      <x:c r="F1049" t="n">
        <x:v>8</x:v>
      </x:c>
      <x:c r="G1049" t="n">
        <x:v>4</x:v>
      </x:c>
      <x:c r="H1049" t="n">
        <x:v>10</x:v>
      </x:c>
      <x:c r="I1049" t="str">
        <x:v>À qualifier par lieu</x:v>
      </x:c>
      <x:c r="J1049" t="str">
        <x:v>https://github.com/darknigthmare/deadwall-last-enclosure/blob/1b3b9c5ba232734b1bda3453b4e20a0481bcdd74/codex-3000/compositions/Habitat collectif/DW-1044.md</x:v>
      </x:c>
      <x:c r="K1049" t="str">
        <x:v>Source min 25,18 m ; max 85,60 m ; modèle 25 × 18 m ; niveaux 0, 1, 2. Détails dans catalogue-existant.json.</x:v>
      </x:c>
    </x:row>
    <x:row r="1050">
      <x:c r="A1050" t="str">
        <x:v>DW-1045</x:v>
      </x:c>
      <x:c r="B1050" t="str">
        <x:v>DW-0023</x:v>
      </x:c>
      <x:c r="C1050" t="str">
        <x:v>Composition héritée</x:v>
      </x:c>
      <x:c r="D1050" t="str">
        <x:v>Habitat collectif</x:v>
      </x:c>
      <x:c r="E1050" t="str">
        <x:v>Tour résidentielle — Grande ville et métropole / réseau principal coupé</x:v>
      </x:c>
      <x:c r="F1050" t="n">
        <x:v>8</x:v>
      </x:c>
      <x:c r="G1050" t="n">
        <x:v>5</x:v>
      </x:c>
      <x:c r="H1050" t="n">
        <x:v>13</x:v>
      </x:c>
      <x:c r="I1050" t="str">
        <x:v>À qualifier par lieu</x:v>
      </x:c>
      <x:c r="J1050" t="str">
        <x:v>https://github.com/darknigthmare/deadwall-last-enclosure/blob/1b3b9c5ba232734b1bda3453b4e20a0481bcdd74/codex-3000/compositions/Habitat collectif/DW-1045.md</x:v>
      </x:c>
      <x:c r="K1050" t="str">
        <x:v>Source min 25,18 m ; max 85,60 m ; modèle 26 × 22 m ; niveaux 0, 1, 2. Détails dans catalogue-existant.json.</x:v>
      </x:c>
    </x:row>
    <x:row r="1051">
      <x:c r="A1051" t="str">
        <x:v>DW-1046</x:v>
      </x:c>
      <x:c r="B1051" t="str">
        <x:v>DW-0023</x:v>
      </x:c>
      <x:c r="C1051" t="str">
        <x:v>Composition héritée</x:v>
      </x:c>
      <x:c r="D1051" t="str">
        <x:v>Habitat collectif</x:v>
      </x:c>
      <x:c r="E1051" t="str">
        <x:v>Tour résidentielle — Quartier collectif / arrêt de maintenance</x:v>
      </x:c>
      <x:c r="F1051" t="n">
        <x:v>8</x:v>
      </x:c>
      <x:c r="G1051" t="n">
        <x:v>5</x:v>
      </x:c>
      <x:c r="H1051" t="n">
        <x:v>13</x:v>
      </x:c>
      <x:c r="I1051" t="str">
        <x:v>À qualifier par lieu</x:v>
      </x:c>
      <x:c r="J1051" t="str">
        <x:v>https://github.com/darknigthmare/deadwall-last-enclosure/blob/1b3b9c5ba232734b1bda3453b4e20a0481bcdd74/codex-3000/compositions/Habitat collectif/DW-1046.md</x:v>
      </x:c>
      <x:c r="K1051" t="str">
        <x:v>Source min 25,18 m ; max 85,60 m ; modèle 26 × 22 m ; niveaux 0, 1, 2. Détails dans catalogue-existant.json.</x:v>
      </x:c>
    </x:row>
    <x:row r="1052">
      <x:c r="A1052" t="str">
        <x:v>DW-1047</x:v>
      </x:c>
      <x:c r="B1052" t="str">
        <x:v>DW-0024</x:v>
      </x:c>
      <x:c r="C1052" t="str">
        <x:v>Composition héritée</x:v>
      </x:c>
      <x:c r="D1052" t="str">
        <x:v>Habitat collectif</x:v>
      </x:c>
      <x:c r="E1052" t="str">
        <x:v>Résidence à cour intérieure — Centre ancien / repli organisé interrompu</x:v>
      </x:c>
      <x:c r="F1052" t="n">
        <x:v>8</x:v>
      </x:c>
      <x:c r="G1052" t="n">
        <x:v>5</x:v>
      </x:c>
      <x:c r="H1052" t="n">
        <x:v>15</x:v>
      </x:c>
      <x:c r="I1052" t="str">
        <x:v>À qualifier par lieu</x:v>
      </x:c>
      <x:c r="J1052" t="str">
        <x:v>https://github.com/darknigthmare/deadwall-last-enclosure/blob/1b3b9c5ba232734b1bda3453b4e20a0481bcdd74/codex-3000/compositions/Habitat collectif/DW-1047.md</x:v>
      </x:c>
      <x:c r="K1052" t="str">
        <x:v>Source min 25,18 m ; max 85,60 m ; modèle 26 × 22 m ; niveaux 0, 1, 2. Détails dans catalogue-existant.json.</x:v>
      </x:c>
    </x:row>
    <x:row r="1053">
      <x:c r="A1053" t="str">
        <x:v>DW-1048</x:v>
      </x:c>
      <x:c r="B1053" t="str">
        <x:v>DW-0024</x:v>
      </x:c>
      <x:c r="C1053" t="str">
        <x:v>Composition héritée</x:v>
      </x:c>
      <x:c r="D1053" t="str">
        <x:v>Habitat collectif</x:v>
      </x:c>
      <x:c r="E1053" t="str">
        <x:v>Résidence à cour intérieure — Ville moyenne / première récupération passée</x:v>
      </x:c>
      <x:c r="F1053" t="n">
        <x:v>8</x:v>
      </x:c>
      <x:c r="G1053" t="n">
        <x:v>5</x:v>
      </x:c>
      <x:c r="H1053" t="n">
        <x:v>15</x:v>
      </x:c>
      <x:c r="I1053" t="str">
        <x:v>À qualifier par lieu</x:v>
      </x:c>
      <x:c r="J1053" t="str">
        <x:v>https://github.com/darknigthmare/deadwall-last-enclosure/blob/1b3b9c5ba232734b1bda3453b4e20a0481bcdd74/codex-3000/compositions/Habitat collectif/DW-1048.md</x:v>
      </x:c>
      <x:c r="K1053" t="str">
        <x:v>Source min 25,18 m ; max 85,60 m ; modèle 26 × 22 m ; niveaux 0, 1, 2. Détails dans catalogue-existant.json.</x:v>
      </x:c>
    </x:row>
    <x:row r="1054">
      <x:c r="A1054" t="str">
        <x:v>DW-1049</x:v>
      </x:c>
      <x:c r="B1054" t="str">
        <x:v>DW-0025</x:v>
      </x:c>
      <x:c r="C1054" t="str">
        <x:v>Composition héritée</x:v>
      </x:c>
      <x:c r="D1054" t="str">
        <x:v>Habitat collectif</x:v>
      </x:c>
      <x:c r="E1054" t="str">
        <x:v>Résidence étudiante — Quartier collectif / évacuation interrompue</x:v>
      </x:c>
      <x:c r="F1054" t="n">
        <x:v>8</x:v>
      </x:c>
      <x:c r="G1054" t="n">
        <x:v>5</x:v>
      </x:c>
      <x:c r="H1054" t="n">
        <x:v>15</x:v>
      </x:c>
      <x:c r="I1054" t="str">
        <x:v>À qualifier par lieu</x:v>
      </x:c>
      <x:c r="J1054" t="str">
        <x:v>https://github.com/darknigthmare/deadwall-last-enclosure/blob/1b3b9c5ba232734b1bda3453b4e20a0481bcdd74/codex-3000/compositions/Habitat collectif/DW-1049.md</x:v>
      </x:c>
      <x:c r="K1054" t="str">
        <x:v>Source min 25,18 m ; max 85,60 m ; modèle 26 × 22 m ; niveaux 0, 1, 2. Détails dans catalogue-existant.json.</x:v>
      </x:c>
    </x:row>
    <x:row r="1055">
      <x:c r="A1055" t="str">
        <x:v>DW-1050</x:v>
      </x:c>
      <x:c r="B1055" t="str">
        <x:v>DW-0025</x:v>
      </x:c>
      <x:c r="C1055" t="str">
        <x:v>Composition héritée</x:v>
      </x:c>
      <x:c r="D1055" t="str">
        <x:v>Habitat collectif</x:v>
      </x:c>
      <x:c r="E1055" t="str">
        <x:v>Résidence étudiante — Grande ville et métropole / service déplacé à l’arrière</x:v>
      </x:c>
      <x:c r="F1055" t="n">
        <x:v>8</x:v>
      </x:c>
      <x:c r="G1055" t="n">
        <x:v>5</x:v>
      </x:c>
      <x:c r="H1055" t="n">
        <x:v>15</x:v>
      </x:c>
      <x:c r="I1055" t="str">
        <x:v>À qualifier par lieu</x:v>
      </x:c>
      <x:c r="J1055" t="str">
        <x:v>https://github.com/darknigthmare/deadwall-last-enclosure/blob/1b3b9c5ba232734b1bda3453b4e20a0481bcdd74/codex-3000/compositions/Habitat collectif/DW-1050.md</x:v>
      </x:c>
      <x:c r="K1055" t="str">
        <x:v>Source min 25,18 m ; max 85,60 m ; modèle 26 × 22 m ; niveaux 0, 1, 2. Détails dans catalogue-existant.json.</x:v>
      </x:c>
    </x:row>
    <x:row r="1056">
      <x:c r="A1056" t="str">
        <x:v>DW-1051</x:v>
      </x:c>
      <x:c r="B1056" t="str">
        <x:v>DW-0026</x:v>
      </x:c>
      <x:c r="C1056" t="str">
        <x:v>Composition héritée</x:v>
      </x:c>
      <x:c r="D1056" t="str">
        <x:v>Habitat collectif</x:v>
      </x:c>
      <x:c r="E1056" t="str">
        <x:v>Foyer de travailleurs — Ville moyenne / arrêt de maintenance</x:v>
      </x:c>
      <x:c r="F1056" t="n">
        <x:v>8</x:v>
      </x:c>
      <x:c r="G1056" t="n">
        <x:v>5</x:v>
      </x:c>
      <x:c r="H1056" t="n">
        <x:v>15</x:v>
      </x:c>
      <x:c r="I1056" t="str">
        <x:v>À qualifier par lieu</x:v>
      </x:c>
      <x:c r="J1056" t="str">
        <x:v>https://github.com/darknigthmare/deadwall-last-enclosure/blob/1b3b9c5ba232734b1bda3453b4e20a0481bcdd74/codex-3000/compositions/Habitat collectif/DW-1051.md</x:v>
      </x:c>
      <x:c r="K1056" t="str">
        <x:v>Source min 25,18 m ; max 85,60 m ; modèle 26 × 22 m ; niveaux 0, 1, 2. Détails dans catalogue-existant.json.</x:v>
      </x:c>
    </x:row>
    <x:row r="1057">
      <x:c r="A1057" t="str">
        <x:v>DW-1052</x:v>
      </x:c>
      <x:c r="B1057" t="str">
        <x:v>DW-0026</x:v>
      </x:c>
      <x:c r="C1057" t="str">
        <x:v>Composition héritée</x:v>
      </x:c>
      <x:c r="D1057" t="str">
        <x:v>Habitat collectif</x:v>
      </x:c>
      <x:c r="E1057" t="str">
        <x:v>Foyer de travailleurs — Centre ancien / reprise progressive de la végétation</x:v>
      </x:c>
      <x:c r="F1057" t="n">
        <x:v>8</x:v>
      </x:c>
      <x:c r="G1057" t="n">
        <x:v>5</x:v>
      </x:c>
      <x:c r="H1057" t="n">
        <x:v>15</x:v>
      </x:c>
      <x:c r="I1057" t="str">
        <x:v>À qualifier par lieu</x:v>
      </x:c>
      <x:c r="J1057" t="str">
        <x:v>https://github.com/darknigthmare/deadwall-last-enclosure/blob/1b3b9c5ba232734b1bda3453b4e20a0481bcdd74/codex-3000/compositions/Habitat collectif/DW-1052.md</x:v>
      </x:c>
      <x:c r="K1057" t="str">
        <x:v>Source min 25,18 m ; max 85,60 m ; modèle 26 × 22 m ; niveaux 0, 1, 2. Détails dans catalogue-existant.json.</x:v>
      </x:c>
    </x:row>
    <x:row r="1058">
      <x:c r="A1058" t="str">
        <x:v>DW-1053</x:v>
      </x:c>
      <x:c r="B1058" t="str">
        <x:v>DW-0027</x:v>
      </x:c>
      <x:c r="C1058" t="str">
        <x:v>Composition héritée</x:v>
      </x:c>
      <x:c r="D1058" t="str">
        <x:v>Habitat collectif</x:v>
      </x:c>
      <x:c r="E1058" t="str">
        <x:v>Résidence seniors — Grande ville et métropole / première récupération passée</x:v>
      </x:c>
      <x:c r="F1058" t="n">
        <x:v>8</x:v>
      </x:c>
      <x:c r="G1058" t="n">
        <x:v>5</x:v>
      </x:c>
      <x:c r="H1058" t="n">
        <x:v>15</x:v>
      </x:c>
      <x:c r="I1058" t="str">
        <x:v>À qualifier par lieu</x:v>
      </x:c>
      <x:c r="J1058" t="str">
        <x:v>https://github.com/darknigthmare/deadwall-last-enclosure/blob/1b3b9c5ba232734b1bda3453b4e20a0481bcdd74/codex-3000/compositions/Habitat collectif/DW-1053.md</x:v>
      </x:c>
      <x:c r="K1058" t="str">
        <x:v>Source min 25,18 m ; max 85,60 m ; modèle 26 × 22 m ; niveaux 0, 1, 2. Détails dans catalogue-existant.json.</x:v>
      </x:c>
    </x:row>
    <x:row r="1059">
      <x:c r="A1059" t="str">
        <x:v>DW-1054</x:v>
      </x:c>
      <x:c r="B1059" t="str">
        <x:v>DW-0027</x:v>
      </x:c>
      <x:c r="C1059" t="str">
        <x:v>Composition héritée</x:v>
      </x:c>
      <x:c r="D1059" t="str">
        <x:v>Habitat collectif</x:v>
      </x:c>
      <x:c r="E1059" t="str">
        <x:v>Résidence seniors — Quartier collectif / relais temporaire envisagé</x:v>
      </x:c>
      <x:c r="F1059" t="n">
        <x:v>8</x:v>
      </x:c>
      <x:c r="G1059" t="n">
        <x:v>5</x:v>
      </x:c>
      <x:c r="H1059" t="n">
        <x:v>15</x:v>
      </x:c>
      <x:c r="I1059" t="str">
        <x:v>À qualifier par lieu</x:v>
      </x:c>
      <x:c r="J1059" t="str">
        <x:v>https://github.com/darknigthmare/deadwall-last-enclosure/blob/1b3b9c5ba232734b1bda3453b4e20a0481bcdd74/codex-3000/compositions/Habitat collectif/DW-1054.md</x:v>
      </x:c>
      <x:c r="K1059" t="str">
        <x:v>Source min 25,18 m ; max 85,60 m ; modèle 26 × 22 m ; niveaux 0, 1, 2. Détails dans catalogue-existant.json.</x:v>
      </x:c>
    </x:row>
    <x:row r="1060">
      <x:c r="A1060" t="str">
        <x:v>DW-1055</x:v>
      </x:c>
      <x:c r="B1060" t="str">
        <x:v>DW-0028</x:v>
      </x:c>
      <x:c r="C1060" t="str">
        <x:v>Composition héritée</x:v>
      </x:c>
      <x:c r="D1060" t="str">
        <x:v>Habitat collectif</x:v>
      </x:c>
      <x:c r="E1060" t="str">
        <x:v>Habitat coopératif — Centre ancien / service déplacé à l’arrière</x:v>
      </x:c>
      <x:c r="F1060" t="n">
        <x:v>8</x:v>
      </x:c>
      <x:c r="G1060" t="n">
        <x:v>5</x:v>
      </x:c>
      <x:c r="H1060" t="n">
        <x:v>15</x:v>
      </x:c>
      <x:c r="I1060" t="str">
        <x:v>À qualifier par lieu</x:v>
      </x:c>
      <x:c r="J1060" t="str">
        <x:v>https://github.com/darknigthmare/deadwall-last-enclosure/blob/1b3b9c5ba232734b1bda3453b4e20a0481bcdd74/codex-3000/compositions/Habitat collectif/DW-1055.md</x:v>
      </x:c>
      <x:c r="K1060" t="str">
        <x:v>Source min 25,18 m ; max 85,60 m ; modèle 26 × 22 m ; niveaux 0, 1, 2. Détails dans catalogue-existant.json.</x:v>
      </x:c>
    </x:row>
    <x:row r="1061">
      <x:c r="A1061" t="str">
        <x:v>DW-1056</x:v>
      </x:c>
      <x:c r="B1061" t="str">
        <x:v>DW-0028</x:v>
      </x:c>
      <x:c r="C1061" t="str">
        <x:v>Composition héritée</x:v>
      </x:c>
      <x:c r="D1061" t="str">
        <x:v>Habitat collectif</x:v>
      </x:c>
      <x:c r="E1061" t="str">
        <x:v>Habitat coopératif — Ville moyenne / réseau principal coupé</x:v>
      </x:c>
      <x:c r="F1061" t="n">
        <x:v>8</x:v>
      </x:c>
      <x:c r="G1061" t="n">
        <x:v>5</x:v>
      </x:c>
      <x:c r="H1061" t="n">
        <x:v>15</x:v>
      </x:c>
      <x:c r="I1061" t="str">
        <x:v>À qualifier par lieu</x:v>
      </x:c>
      <x:c r="J1061" t="str">
        <x:v>https://github.com/darknigthmare/deadwall-last-enclosure/blob/1b3b9c5ba232734b1bda3453b4e20a0481bcdd74/codex-3000/compositions/Habitat collectif/DW-1056.md</x:v>
      </x:c>
      <x:c r="K1061" t="str">
        <x:v>Source min 25,18 m ; max 85,60 m ; modèle 26 × 22 m ; niveaux 0, 1, 2. Détails dans catalogue-existant.json.</x:v>
      </x:c>
    </x:row>
    <x:row r="1062">
      <x:c r="A1062" t="str">
        <x:v>DW-1057</x:v>
      </x:c>
      <x:c r="B1062" t="str">
        <x:v>DW-0029</x:v>
      </x:c>
      <x:c r="C1062" t="str">
        <x:v>Composition héritée</x:v>
      </x:c>
      <x:c r="D1062" t="str">
        <x:v>Habitat collectif</x:v>
      </x:c>
      <x:c r="E1062" t="str">
        <x:v>Immeuble avec commerces — Quartier collectif / reprise progressive de la végétation</x:v>
      </x:c>
      <x:c r="F1062" t="n">
        <x:v>8</x:v>
      </x:c>
      <x:c r="G1062" t="n">
        <x:v>4</x:v>
      </x:c>
      <x:c r="H1062" t="n">
        <x:v>12</x:v>
      </x:c>
      <x:c r="I1062" t="str">
        <x:v>À qualifier par lieu</x:v>
      </x:c>
      <x:c r="J1062" t="str">
        <x:v>https://github.com/darknigthmare/deadwall-last-enclosure/blob/1b3b9c5ba232734b1bda3453b4e20a0481bcdd74/codex-3000/compositions/Habitat collectif/DW-1057.md</x:v>
      </x:c>
      <x:c r="K1062" t="str">
        <x:v>Source min 25,18 m ; max 85,60 m ; modèle 25 × 18 m ; niveaux 0, 1, 2. Détails dans catalogue-existant.json.</x:v>
      </x:c>
    </x:row>
    <x:row r="1063">
      <x:c r="A1063" t="str">
        <x:v>DW-1058</x:v>
      </x:c>
      <x:c r="B1063" t="str">
        <x:v>DW-0029</x:v>
      </x:c>
      <x:c r="C1063" t="str">
        <x:v>Composition héritée</x:v>
      </x:c>
      <x:c r="D1063" t="str">
        <x:v>Habitat collectif</x:v>
      </x:c>
      <x:c r="E1063" t="str">
        <x:v>Immeuble avec commerces — Grande ville et métropole / repli organisé interrompu</x:v>
      </x:c>
      <x:c r="F1063" t="n">
        <x:v>8</x:v>
      </x:c>
      <x:c r="G1063" t="n">
        <x:v>4</x:v>
      </x:c>
      <x:c r="H1063" t="n">
        <x:v>12</x:v>
      </x:c>
      <x:c r="I1063" t="str">
        <x:v>À qualifier par lieu</x:v>
      </x:c>
      <x:c r="J1063" t="str">
        <x:v>https://github.com/darknigthmare/deadwall-last-enclosure/blob/1b3b9c5ba232734b1bda3453b4e20a0481bcdd74/codex-3000/compositions/Habitat collectif/DW-1058.md</x:v>
      </x:c>
      <x:c r="K1063" t="str">
        <x:v>Source min 25,18 m ; max 85,60 m ; modèle 25 × 18 m ; niveaux 0, 1, 2. Détails dans catalogue-existant.json.</x:v>
      </x:c>
    </x:row>
    <x:row r="1064">
      <x:c r="A1064" t="str">
        <x:v>DW-1059</x:v>
      </x:c>
      <x:c r="B1064" t="str">
        <x:v>DW-0030</x:v>
      </x:c>
      <x:c r="C1064" t="str">
        <x:v>Composition héritée</x:v>
      </x:c>
      <x:c r="D1064" t="str">
        <x:v>Habitat collectif</x:v>
      </x:c>
      <x:c r="E1064" t="str">
        <x:v>Résidence à passerelles — Ville moyenne / relais temporaire envisagé</x:v>
      </x:c>
      <x:c r="F1064" t="n">
        <x:v>8</x:v>
      </x:c>
      <x:c r="G1064" t="n">
        <x:v>4</x:v>
      </x:c>
      <x:c r="H1064" t="n">
        <x:v>10</x:v>
      </x:c>
      <x:c r="I1064" t="str">
        <x:v>À qualifier par lieu</x:v>
      </x:c>
      <x:c r="J1064" t="str">
        <x:v>https://github.com/darknigthmare/deadwall-last-enclosure/blob/1b3b9c5ba232734b1bda3453b4e20a0481bcdd74/codex-3000/compositions/Habitat collectif/DW-1059.md</x:v>
      </x:c>
      <x:c r="K1064" t="str">
        <x:v>Source min 25,18 m ; max 85,60 m ; modèle 25 × 18 m ; niveaux 0, 1, 2. Détails dans catalogue-existant.json.</x:v>
      </x:c>
    </x:row>
    <x:row r="1065">
      <x:c r="A1065" t="str">
        <x:v>DW-1060</x:v>
      </x:c>
      <x:c r="B1065" t="str">
        <x:v>DW-0030</x:v>
      </x:c>
      <x:c r="C1065" t="str">
        <x:v>Composition héritée</x:v>
      </x:c>
      <x:c r="D1065" t="str">
        <x:v>Habitat collectif</x:v>
      </x:c>
      <x:c r="E1065" t="str">
        <x:v>Résidence à passerelles — Centre ancien / évacuation interrompue</x:v>
      </x:c>
      <x:c r="F1065" t="n">
        <x:v>8</x:v>
      </x:c>
      <x:c r="G1065" t="n">
        <x:v>4</x:v>
      </x:c>
      <x:c r="H1065" t="n">
        <x:v>10</x:v>
      </x:c>
      <x:c r="I1065" t="str">
        <x:v>À qualifier par lieu</x:v>
      </x:c>
      <x:c r="J1065" t="str">
        <x:v>https://github.com/darknigthmare/deadwall-last-enclosure/blob/1b3b9c5ba232734b1bda3453b4e20a0481bcdd74/codex-3000/compositions/Habitat collectif/DW-1060.md</x:v>
      </x:c>
      <x:c r="K1065" t="str">
        <x:v>Source min 25,18 m ; max 85,60 m ; modèle 25 × 18 m ; niveaux 0, 1, 2. Détails dans catalogue-existant.json.</x:v>
      </x:c>
    </x:row>
    <x:row r="1066">
      <x:c r="A1066" t="str">
        <x:v>DW-1061</x:v>
      </x:c>
      <x:c r="B1066" t="str">
        <x:v>DW-0031</x:v>
      </x:c>
      <x:c r="C1066" t="str">
        <x:v>Composition héritée</x:v>
      </x:c>
      <x:c r="D1066" t="str">
        <x:v>Habitat collectif</x:v>
      </x:c>
      <x:c r="E1066" t="str">
        <x:v>Lofts industriels — Grande ville et métropole / réseau principal coupé</x:v>
      </x:c>
      <x:c r="F1066" t="n">
        <x:v>8</x:v>
      </x:c>
      <x:c r="G1066" t="n">
        <x:v>5</x:v>
      </x:c>
      <x:c r="H1066" t="n">
        <x:v>13</x:v>
      </x:c>
      <x:c r="I1066" t="str">
        <x:v>À qualifier par lieu</x:v>
      </x:c>
      <x:c r="J1066" t="str">
        <x:v>https://github.com/darknigthmare/deadwall-last-enclosure/blob/1b3b9c5ba232734b1bda3453b4e20a0481bcdd74/codex-3000/compositions/Habitat collectif/DW-1061.md</x:v>
      </x:c>
      <x:c r="K1066" t="str">
        <x:v>Source min 25,18 m ; max 85,60 m ; modèle 26 × 22 m ; niveaux 0, 1, 2. Détails dans catalogue-existant.json.</x:v>
      </x:c>
    </x:row>
    <x:row r="1067">
      <x:c r="A1067" t="str">
        <x:v>DW-1062</x:v>
      </x:c>
      <x:c r="B1067" t="str">
        <x:v>DW-0031</x:v>
      </x:c>
      <x:c r="C1067" t="str">
        <x:v>Composition héritée</x:v>
      </x:c>
      <x:c r="D1067" t="str">
        <x:v>Habitat collectif</x:v>
      </x:c>
      <x:c r="E1067" t="str">
        <x:v>Lofts industriels — Quartier collectif / arrêt de maintenance</x:v>
      </x:c>
      <x:c r="F1067" t="n">
        <x:v>8</x:v>
      </x:c>
      <x:c r="G1067" t="n">
        <x:v>5</x:v>
      </x:c>
      <x:c r="H1067" t="n">
        <x:v>13</x:v>
      </x:c>
      <x:c r="I1067" t="str">
        <x:v>À qualifier par lieu</x:v>
      </x:c>
      <x:c r="J1067" t="str">
        <x:v>https://github.com/darknigthmare/deadwall-last-enclosure/blob/1b3b9c5ba232734b1bda3453b4e20a0481bcdd74/codex-3000/compositions/Habitat collectif/DW-1062.md</x:v>
      </x:c>
      <x:c r="K1067" t="str">
        <x:v>Source min 25,18 m ; max 85,60 m ; modèle 26 × 22 m ; niveaux 0, 1, 2. Détails dans catalogue-existant.json.</x:v>
      </x:c>
    </x:row>
    <x:row r="1068">
      <x:c r="A1068" t="str">
        <x:v>DW-1063</x:v>
      </x:c>
      <x:c r="B1068" t="str">
        <x:v>DW-0032</x:v>
      </x:c>
      <x:c r="C1068" t="str">
        <x:v>Composition héritée</x:v>
      </x:c>
      <x:c r="D1068" t="str">
        <x:v>Habitat collectif</x:v>
      </x:c>
      <x:c r="E1068" t="str">
        <x:v>Caserne reconvertie en logements — Centre ancien / repli organisé interrompu</x:v>
      </x:c>
      <x:c r="F1068" t="n">
        <x:v>8</x:v>
      </x:c>
      <x:c r="G1068" t="n">
        <x:v>5</x:v>
      </x:c>
      <x:c r="H1068" t="n">
        <x:v>13</x:v>
      </x:c>
      <x:c r="I1068" t="str">
        <x:v>À qualifier par lieu</x:v>
      </x:c>
      <x:c r="J1068" t="str">
        <x:v>https://github.com/darknigthmare/deadwall-last-enclosure/blob/1b3b9c5ba232734b1bda3453b4e20a0481bcdd74/codex-3000/compositions/Habitat collectif/DW-1063.md</x:v>
      </x:c>
      <x:c r="K1068" t="str">
        <x:v>Source min 25,18 m ; max 85,60 m ; modèle 26 × 22 m ; niveaux 0, 1, 2. Détails dans catalogue-existant.json.</x:v>
      </x:c>
    </x:row>
    <x:row r="1069">
      <x:c r="A1069" t="str">
        <x:v>DW-1064</x:v>
      </x:c>
      <x:c r="B1069" t="str">
        <x:v>DW-0032</x:v>
      </x:c>
      <x:c r="C1069" t="str">
        <x:v>Composition héritée</x:v>
      </x:c>
      <x:c r="D1069" t="str">
        <x:v>Habitat collectif</x:v>
      </x:c>
      <x:c r="E1069" t="str">
        <x:v>Caserne reconvertie en logements — Ville moyenne / première récupération passée</x:v>
      </x:c>
      <x:c r="F1069" t="n">
        <x:v>8</x:v>
      </x:c>
      <x:c r="G1069" t="n">
        <x:v>5</x:v>
      </x:c>
      <x:c r="H1069" t="n">
        <x:v>13</x:v>
      </x:c>
      <x:c r="I1069" t="str">
        <x:v>À qualifier par lieu</x:v>
      </x:c>
      <x:c r="J1069" t="str">
        <x:v>https://github.com/darknigthmare/deadwall-last-enclosure/blob/1b3b9c5ba232734b1bda3453b4e20a0481bcdd74/codex-3000/compositions/Habitat collectif/DW-1064.md</x:v>
      </x:c>
      <x:c r="K1069" t="str">
        <x:v>Source min 25,18 m ; max 85,60 m ; modèle 26 × 22 m ; niveaux 0, 1, 2. Détails dans catalogue-existant.json.</x:v>
      </x:c>
    </x:row>
    <x:row r="1070">
      <x:c r="A1070" t="str">
        <x:v>DW-1065</x:v>
      </x:c>
      <x:c r="B1070" t="str">
        <x:v>DW-0033</x:v>
      </x:c>
      <x:c r="C1070" t="str">
        <x:v>Composition héritée</x:v>
      </x:c>
      <x:c r="D1070" t="str">
        <x:v>Habitat collectif</x:v>
      </x:c>
      <x:c r="E1070" t="str">
        <x:v>Résidence de tourisme — Quartier collectif / évacuation interrompue</x:v>
      </x:c>
      <x:c r="F1070" t="n">
        <x:v>8</x:v>
      </x:c>
      <x:c r="G1070" t="n">
        <x:v>4</x:v>
      </x:c>
      <x:c r="H1070" t="n">
        <x:v>12</x:v>
      </x:c>
      <x:c r="I1070" t="str">
        <x:v>À qualifier par lieu</x:v>
      </x:c>
      <x:c r="J1070" t="str">
        <x:v>https://github.com/darknigthmare/deadwall-last-enclosure/blob/1b3b9c5ba232734b1bda3453b4e20a0481bcdd74/codex-3000/compositions/Habitat collectif/DW-1065.md</x:v>
      </x:c>
      <x:c r="K1070" t="str">
        <x:v>Source min 25,18 m ; max 85,60 m ; modèle 25 × 18 m ; niveaux 0, 1, 2. Détails dans catalogue-existant.json.</x:v>
      </x:c>
    </x:row>
    <x:row r="1071">
      <x:c r="A1071" t="str">
        <x:v>DW-1066</x:v>
      </x:c>
      <x:c r="B1071" t="str">
        <x:v>DW-0033</x:v>
      </x:c>
      <x:c r="C1071" t="str">
        <x:v>Composition héritée</x:v>
      </x:c>
      <x:c r="D1071" t="str">
        <x:v>Habitat collectif</x:v>
      </x:c>
      <x:c r="E1071" t="str">
        <x:v>Résidence de tourisme — Grande ville et métropole / service déplacé à l’arrière</x:v>
      </x:c>
      <x:c r="F1071" t="n">
        <x:v>8</x:v>
      </x:c>
      <x:c r="G1071" t="n">
        <x:v>4</x:v>
      </x:c>
      <x:c r="H1071" t="n">
        <x:v>12</x:v>
      </x:c>
      <x:c r="I1071" t="str">
        <x:v>À qualifier par lieu</x:v>
      </x:c>
      <x:c r="J1071" t="str">
        <x:v>https://github.com/darknigthmare/deadwall-last-enclosure/blob/1b3b9c5ba232734b1bda3453b4e20a0481bcdd74/codex-3000/compositions/Habitat collectif/DW-1066.md</x:v>
      </x:c>
      <x:c r="K1071" t="str">
        <x:v>Source min 25,18 m ; max 85,60 m ; modèle 25 × 18 m ; niveaux 0, 1, 2. Détails dans catalogue-existant.json.</x:v>
      </x:c>
    </x:row>
    <x:row r="1072">
      <x:c r="A1072" t="str">
        <x:v>DW-1067</x:v>
      </x:c>
      <x:c r="B1072" t="str">
        <x:v>DW-0034</x:v>
      </x:c>
      <x:c r="C1072" t="str">
        <x:v>Composition héritée</x:v>
      </x:c>
      <x:c r="D1072" t="str">
        <x:v>Habitat collectif</x:v>
      </x:c>
      <x:c r="E1072" t="str">
        <x:v>Immeuble à coursive extérieure — Ville moyenne / arrêt de maintenance</x:v>
      </x:c>
      <x:c r="F1072" t="n">
        <x:v>8</x:v>
      </x:c>
      <x:c r="G1072" t="n">
        <x:v>4</x:v>
      </x:c>
      <x:c r="H1072" t="n">
        <x:v>8</x:v>
      </x:c>
      <x:c r="I1072" t="str">
        <x:v>À qualifier par lieu</x:v>
      </x:c>
      <x:c r="J1072" t="str">
        <x:v>https://github.com/darknigthmare/deadwall-last-enclosure/blob/1b3b9c5ba232734b1bda3453b4e20a0481bcdd74/codex-3000/compositions/Habitat collectif/DW-1067.md</x:v>
      </x:c>
      <x:c r="K1072" t="str">
        <x:v>Source min 25,18 m ; max 85,60 m ; modèle 25 × 18 m ; niveaux 0, 1, 2. Détails dans catalogue-existant.json.</x:v>
      </x:c>
    </x:row>
    <x:row r="1073">
      <x:c r="A1073" t="str">
        <x:v>DW-1068</x:v>
      </x:c>
      <x:c r="B1073" t="str">
        <x:v>DW-0034</x:v>
      </x:c>
      <x:c r="C1073" t="str">
        <x:v>Composition héritée</x:v>
      </x:c>
      <x:c r="D1073" t="str">
        <x:v>Habitat collectif</x:v>
      </x:c>
      <x:c r="E1073" t="str">
        <x:v>Immeuble à coursive extérieure — Centre ancien / reprise progressive de la végétation</x:v>
      </x:c>
      <x:c r="F1073" t="n">
        <x:v>8</x:v>
      </x:c>
      <x:c r="G1073" t="n">
        <x:v>4</x:v>
      </x:c>
      <x:c r="H1073" t="n">
        <x:v>8</x:v>
      </x:c>
      <x:c r="I1073" t="str">
        <x:v>À qualifier par lieu</x:v>
      </x:c>
      <x:c r="J1073" t="str">
        <x:v>https://github.com/darknigthmare/deadwall-last-enclosure/blob/1b3b9c5ba232734b1bda3453b4e20a0481bcdd74/codex-3000/compositions/Habitat collectif/DW-1068.md</x:v>
      </x:c>
      <x:c r="K1073" t="str">
        <x:v>Source min 25,18 m ; max 85,60 m ; modèle 25 × 18 m ; niveaux 0, 1, 2. Détails dans catalogue-existant.json.</x:v>
      </x:c>
    </x:row>
    <x:row r="1074">
      <x:c r="A1074" t="str">
        <x:v>DW-1069</x:v>
      </x:c>
      <x:c r="B1074" t="str">
        <x:v>DW-0035</x:v>
      </x:c>
      <x:c r="C1074" t="str">
        <x:v>Composition héritée</x:v>
      </x:c>
      <x:c r="D1074" t="str">
        <x:v>Habitat collectif</x:v>
      </x:c>
      <x:c r="E1074" t="str">
        <x:v>Habitat en terrasses — Grande ville et métropole / première récupération passée</x:v>
      </x:c>
      <x:c r="F1074" t="n">
        <x:v>8</x:v>
      </x:c>
      <x:c r="G1074" t="n">
        <x:v>4</x:v>
      </x:c>
      <x:c r="H1074" t="n">
        <x:v>10</x:v>
      </x:c>
      <x:c r="I1074" t="str">
        <x:v>À qualifier par lieu</x:v>
      </x:c>
      <x:c r="J1074" t="str">
        <x:v>https://github.com/darknigthmare/deadwall-last-enclosure/blob/1b3b9c5ba232734b1bda3453b4e20a0481bcdd74/codex-3000/compositions/Habitat collectif/DW-1069.md</x:v>
      </x:c>
      <x:c r="K1074" t="str">
        <x:v>Source min 25,18 m ; max 85,60 m ; modèle 25 × 18 m ; niveaux 0, 1, 2. Détails dans catalogue-existant.json.</x:v>
      </x:c>
    </x:row>
    <x:row r="1075">
      <x:c r="A1075" t="str">
        <x:v>DW-1070</x:v>
      </x:c>
      <x:c r="B1075" t="str">
        <x:v>DW-0035</x:v>
      </x:c>
      <x:c r="C1075" t="str">
        <x:v>Composition héritée</x:v>
      </x:c>
      <x:c r="D1075" t="str">
        <x:v>Habitat collectif</x:v>
      </x:c>
      <x:c r="E1075" t="str">
        <x:v>Habitat en terrasses — Quartier collectif / relais temporaire envisagé</x:v>
      </x:c>
      <x:c r="F1075" t="n">
        <x:v>8</x:v>
      </x:c>
      <x:c r="G1075" t="n">
        <x:v>4</x:v>
      </x:c>
      <x:c r="H1075" t="n">
        <x:v>10</x:v>
      </x:c>
      <x:c r="I1075" t="str">
        <x:v>À qualifier par lieu</x:v>
      </x:c>
      <x:c r="J1075" t="str">
        <x:v>https://github.com/darknigthmare/deadwall-last-enclosure/blob/1b3b9c5ba232734b1bda3453b4e20a0481bcdd74/codex-3000/compositions/Habitat collectif/DW-1070.md</x:v>
      </x:c>
      <x:c r="K1075" t="str">
        <x:v>Source min 25,18 m ; max 85,60 m ; modèle 25 × 18 m ; niveaux 0, 1, 2. Détails dans catalogue-existant.json.</x:v>
      </x:c>
    </x:row>
    <x:row r="1076">
      <x:c r="A1076" t="str">
        <x:v>DW-1071</x:v>
      </x:c>
      <x:c r="B1076" t="str">
        <x:v>DW-0036</x:v>
      </x:c>
      <x:c r="C1076" t="str">
        <x:v>Composition héritée</x:v>
      </x:c>
      <x:c r="D1076" t="str">
        <x:v>Habitat collectif</x:v>
      </x:c>
      <x:c r="E1076" t="str">
        <x:v>Résidence sur parking souterrain — Centre ancien / service déplacé à l’arrière</x:v>
      </x:c>
      <x:c r="F1076" t="n">
        <x:v>8</x:v>
      </x:c>
      <x:c r="G1076" t="n">
        <x:v>5</x:v>
      </x:c>
      <x:c r="H1076" t="n">
        <x:v>13</x:v>
      </x:c>
      <x:c r="I1076" t="str">
        <x:v>À qualifier par lieu</x:v>
      </x:c>
      <x:c r="J1076" t="str">
        <x:v>https://github.com/darknigthmare/deadwall-last-enclosure/blob/1b3b9c5ba232734b1bda3453b4e20a0481bcdd74/codex-3000/compositions/Habitat collectif/DW-1071.md</x:v>
      </x:c>
      <x:c r="K1076" t="str">
        <x:v>Source min 25,18 m ; max 85,60 m ; modèle 26 × 22 m ; niveaux -1, 0. Détails dans catalogue-existant.json.</x:v>
      </x:c>
    </x:row>
    <x:row r="1077">
      <x:c r="A1077" t="str">
        <x:v>DW-1072</x:v>
      </x:c>
      <x:c r="B1077" t="str">
        <x:v>DW-0036</x:v>
      </x:c>
      <x:c r="C1077" t="str">
        <x:v>Composition héritée</x:v>
      </x:c>
      <x:c r="D1077" t="str">
        <x:v>Habitat collectif</x:v>
      </x:c>
      <x:c r="E1077" t="str">
        <x:v>Résidence sur parking souterrain — Ville moyenne / réseau principal coupé</x:v>
      </x:c>
      <x:c r="F1077" t="n">
        <x:v>8</x:v>
      </x:c>
      <x:c r="G1077" t="n">
        <x:v>5</x:v>
      </x:c>
      <x:c r="H1077" t="n">
        <x:v>13</x:v>
      </x:c>
      <x:c r="I1077" t="str">
        <x:v>À qualifier par lieu</x:v>
      </x:c>
      <x:c r="J1077" t="str">
        <x:v>https://github.com/darknigthmare/deadwall-last-enclosure/blob/1b3b9c5ba232734b1bda3453b4e20a0481bcdd74/codex-3000/compositions/Habitat collectif/DW-1072.md</x:v>
      </x:c>
      <x:c r="K1077" t="str">
        <x:v>Source min 25,18 m ; max 85,60 m ; modèle 26 × 22 m ; niveaux -1, 0. Détails dans catalogue-existant.json.</x:v>
      </x:c>
    </x:row>
    <x:row r="1078">
      <x:c r="A1078" t="str">
        <x:v>DW-1073</x:v>
      </x:c>
      <x:c r="B1078" t="str">
        <x:v>DW-0037</x:v>
      </x:c>
      <x:c r="C1078" t="str">
        <x:v>Composition héritée</x:v>
      </x:c>
      <x:c r="D1078" t="str">
        <x:v>Habitat collectif</x:v>
      </x:c>
      <x:c r="E1078" t="str">
        <x:v>Foyer parental — Quartier collectif / reprise progressive de la végétation</x:v>
      </x:c>
      <x:c r="F1078" t="n">
        <x:v>8</x:v>
      </x:c>
      <x:c r="G1078" t="n">
        <x:v>5</x:v>
      </x:c>
      <x:c r="H1078" t="n">
        <x:v>15</x:v>
      </x:c>
      <x:c r="I1078" t="str">
        <x:v>À qualifier par lieu</x:v>
      </x:c>
      <x:c r="J1078" t="str">
        <x:v>https://github.com/darknigthmare/deadwall-last-enclosure/blob/1b3b9c5ba232734b1bda3453b4e20a0481bcdd74/codex-3000/compositions/Habitat collectif/DW-1073.md</x:v>
      </x:c>
      <x:c r="K1078" t="str">
        <x:v>Source min 25,18 m ; max 85,60 m ; modèle 26 × 22 m ; niveaux 0, 1, 2. Détails dans catalogue-existant.json.</x:v>
      </x:c>
    </x:row>
    <x:row r="1079">
      <x:c r="A1079" t="str">
        <x:v>DW-1074</x:v>
      </x:c>
      <x:c r="B1079" t="str">
        <x:v>DW-0037</x:v>
      </x:c>
      <x:c r="C1079" t="str">
        <x:v>Composition héritée</x:v>
      </x:c>
      <x:c r="D1079" t="str">
        <x:v>Habitat collectif</x:v>
      </x:c>
      <x:c r="E1079" t="str">
        <x:v>Foyer parental — Grande ville et métropole / repli organisé interrompu</x:v>
      </x:c>
      <x:c r="F1079" t="n">
        <x:v>8</x:v>
      </x:c>
      <x:c r="G1079" t="n">
        <x:v>5</x:v>
      </x:c>
      <x:c r="H1079" t="n">
        <x:v>15</x:v>
      </x:c>
      <x:c r="I1079" t="str">
        <x:v>À qualifier par lieu</x:v>
      </x:c>
      <x:c r="J1079" t="str">
        <x:v>https://github.com/darknigthmare/deadwall-last-enclosure/blob/1b3b9c5ba232734b1bda3453b4e20a0481bcdd74/codex-3000/compositions/Habitat collectif/DW-1074.md</x:v>
      </x:c>
      <x:c r="K1079" t="str">
        <x:v>Source min 25,18 m ; max 85,60 m ; modèle 26 × 22 m ; niveaux 0, 1, 2. Détails dans catalogue-existant.json.</x:v>
      </x:c>
    </x:row>
    <x:row r="1080">
      <x:c r="A1080" t="str">
        <x:v>DW-1075</x:v>
      </x:c>
      <x:c r="B1080" t="str">
        <x:v>DW-0038</x:v>
      </x:c>
      <x:c r="C1080" t="str">
        <x:v>Composition héritée</x:v>
      </x:c>
      <x:c r="D1080" t="str">
        <x:v>Habitat collectif</x:v>
      </x:c>
      <x:c r="E1080" t="str">
        <x:v>Internat résidentiel — Ville moyenne / relais temporaire envisagé</x:v>
      </x:c>
      <x:c r="F1080" t="n">
        <x:v>8</x:v>
      </x:c>
      <x:c r="G1080" t="n">
        <x:v>4</x:v>
      </x:c>
      <x:c r="H1080" t="n">
        <x:v>12</x:v>
      </x:c>
      <x:c r="I1080" t="str">
        <x:v>À qualifier par lieu</x:v>
      </x:c>
      <x:c r="J1080" t="str">
        <x:v>https://github.com/darknigthmare/deadwall-last-enclosure/blob/1b3b9c5ba232734b1bda3453b4e20a0481bcdd74/codex-3000/compositions/Habitat collectif/DW-1075.md</x:v>
      </x:c>
      <x:c r="K1080" t="str">
        <x:v>Source min 25,18 m ; max 85,60 m ; modèle 25 × 18 m ; niveaux 0, 1, 2. Détails dans catalogue-existant.json.</x:v>
      </x:c>
    </x:row>
    <x:row r="1081">
      <x:c r="A1081" t="str">
        <x:v>DW-1076</x:v>
      </x:c>
      <x:c r="B1081" t="str">
        <x:v>DW-0038</x:v>
      </x:c>
      <x:c r="C1081" t="str">
        <x:v>Composition héritée</x:v>
      </x:c>
      <x:c r="D1081" t="str">
        <x:v>Habitat collectif</x:v>
      </x:c>
      <x:c r="E1081" t="str">
        <x:v>Internat résidentiel — Centre ancien / évacuation interrompue</x:v>
      </x:c>
      <x:c r="F1081" t="n">
        <x:v>8</x:v>
      </x:c>
      <x:c r="G1081" t="n">
        <x:v>4</x:v>
      </x:c>
      <x:c r="H1081" t="n">
        <x:v>12</x:v>
      </x:c>
      <x:c r="I1081" t="str">
        <x:v>À qualifier par lieu</x:v>
      </x:c>
      <x:c r="J1081" t="str">
        <x:v>https://github.com/darknigthmare/deadwall-last-enclosure/blob/1b3b9c5ba232734b1bda3453b4e20a0481bcdd74/codex-3000/compositions/Habitat collectif/DW-1076.md</x:v>
      </x:c>
      <x:c r="K1081" t="str">
        <x:v>Source min 25,18 m ; max 85,60 m ; modèle 25 × 18 m ; niveaux 0, 1, 2. Détails dans catalogue-existant.json.</x:v>
      </x:c>
    </x:row>
    <x:row r="1082">
      <x:c r="A1082" t="str">
        <x:v>DW-1077</x:v>
      </x:c>
      <x:c r="B1082" t="str">
        <x:v>DW-0039</x:v>
      </x:c>
      <x:c r="C1082" t="str">
        <x:v>Composition héritée</x:v>
      </x:c>
      <x:c r="D1082" t="str">
        <x:v>Habitat collectif</x:v>
      </x:c>
      <x:c r="E1082" t="str">
        <x:v>Résidence médicale légère — Grande ville et métropole / réseau principal coupé</x:v>
      </x:c>
      <x:c r="F1082" t="n">
        <x:v>8</x:v>
      </x:c>
      <x:c r="G1082" t="n">
        <x:v>4</x:v>
      </x:c>
      <x:c r="H1082" t="n">
        <x:v>12</x:v>
      </x:c>
      <x:c r="I1082" t="str">
        <x:v>À qualifier par lieu</x:v>
      </x:c>
      <x:c r="J1082" t="str">
        <x:v>https://github.com/darknigthmare/deadwall-last-enclosure/blob/1b3b9c5ba232734b1bda3453b4e20a0481bcdd74/codex-3000/compositions/Habitat collectif/DW-1077.md</x:v>
      </x:c>
      <x:c r="K1082" t="str">
        <x:v>Source min 25,18 m ; max 85,60 m ; modèle 25 × 18 m ; niveaux 0, 1, 2. Détails dans catalogue-existant.json.</x:v>
      </x:c>
    </x:row>
    <x:row r="1083">
      <x:c r="A1083" t="str">
        <x:v>DW-1078</x:v>
      </x:c>
      <x:c r="B1083" t="str">
        <x:v>DW-0039</x:v>
      </x:c>
      <x:c r="C1083" t="str">
        <x:v>Composition héritée</x:v>
      </x:c>
      <x:c r="D1083" t="str">
        <x:v>Habitat collectif</x:v>
      </x:c>
      <x:c r="E1083" t="str">
        <x:v>Résidence médicale légère — Quartier collectif / arrêt de maintenance</x:v>
      </x:c>
      <x:c r="F1083" t="n">
        <x:v>8</x:v>
      </x:c>
      <x:c r="G1083" t="n">
        <x:v>4</x:v>
      </x:c>
      <x:c r="H1083" t="n">
        <x:v>12</x:v>
      </x:c>
      <x:c r="I1083" t="str">
        <x:v>À qualifier par lieu</x:v>
      </x:c>
      <x:c r="J1083" t="str">
        <x:v>https://github.com/darknigthmare/deadwall-last-enclosure/blob/1b3b9c5ba232734b1bda3453b4e20a0481bcdd74/codex-3000/compositions/Habitat collectif/DW-1078.md</x:v>
      </x:c>
      <x:c r="K1083" t="str">
        <x:v>Source min 25,18 m ; max 85,60 m ; modèle 25 × 18 m ; niveaux 0, 1, 2. Détails dans catalogue-existant.json.</x:v>
      </x:c>
    </x:row>
    <x:row r="1084">
      <x:c r="A1084" t="str">
        <x:v>DW-1079</x:v>
      </x:c>
      <x:c r="B1084" t="str">
        <x:v>DW-0040</x:v>
      </x:c>
      <x:c r="C1084" t="str">
        <x:v>Composition héritée</x:v>
      </x:c>
      <x:c r="D1084" t="str">
        <x:v>Habitat collectif</x:v>
      </x:c>
      <x:c r="E1084" t="str">
        <x:v>Îlot mixte dense — Centre ancien / repli organisé interrompu</x:v>
      </x:c>
      <x:c r="F1084" t="n">
        <x:v>8</x:v>
      </x:c>
      <x:c r="G1084" t="n">
        <x:v>5</x:v>
      </x:c>
      <x:c r="H1084" t="n">
        <x:v>15</x:v>
      </x:c>
      <x:c r="I1084" t="str">
        <x:v>À qualifier par lieu</x:v>
      </x:c>
      <x:c r="J1084" t="str">
        <x:v>https://github.com/darknigthmare/deadwall-last-enclosure/blob/1b3b9c5ba232734b1bda3453b4e20a0481bcdd74/codex-3000/compositions/Habitat collectif/DW-1079.md</x:v>
      </x:c>
      <x:c r="K1084" t="str">
        <x:v>Source min 25,18 m ; max 85,60 m ; modèle 26 × 22 m ; niveaux 0, 1, 2. Détails dans catalogue-existant.json.</x:v>
      </x:c>
    </x:row>
    <x:row r="1085">
      <x:c r="A1085" t="str">
        <x:v>DW-1080</x:v>
      </x:c>
      <x:c r="B1085" t="str">
        <x:v>DW-0040</x:v>
      </x:c>
      <x:c r="C1085" t="str">
        <x:v>Composition héritée</x:v>
      </x:c>
      <x:c r="D1085" t="str">
        <x:v>Habitat collectif</x:v>
      </x:c>
      <x:c r="E1085" t="str">
        <x:v>Îlot mixte dense — Ville moyenne / première récupération passée</x:v>
      </x:c>
      <x:c r="F1085" t="n">
        <x:v>8</x:v>
      </x:c>
      <x:c r="G1085" t="n">
        <x:v>5</x:v>
      </x:c>
      <x:c r="H1085" t="n">
        <x:v>15</x:v>
      </x:c>
      <x:c r="I1085" t="str">
        <x:v>À qualifier par lieu</x:v>
      </x:c>
      <x:c r="J1085" t="str">
        <x:v>https://github.com/darknigthmare/deadwall-last-enclosure/blob/1b3b9c5ba232734b1bda3453b4e20a0481bcdd74/codex-3000/compositions/Habitat collectif/DW-1080.md</x:v>
      </x:c>
      <x:c r="K1085" t="str">
        <x:v>Source min 25,18 m ; max 85,60 m ; modèle 26 × 22 m ; niveaux 0, 1, 2. Détails dans catalogue-existant.json.</x:v>
      </x:c>
    </x:row>
    <x:row r="1086">
      <x:c r="A1086" t="str">
        <x:v>DW-1081</x:v>
      </x:c>
      <x:c r="B1086" t="str">
        <x:v>DW-0041</x:v>
      </x:c>
      <x:c r="C1086" t="str">
        <x:v>Composition héritée</x:v>
      </x:c>
      <x:c r="D1086" t="str">
        <x:v>Commerces non alimentaires</x:v>
      </x:c>
      <x:c r="E1086" t="str">
        <x:v>Centre commercial régional — Zone commerciale / évacuation interrompue</x:v>
      </x:c>
      <x:c r="F1086" t="n">
        <x:v>8</x:v>
      </x:c>
      <x:c r="G1086" t="n">
        <x:v>7</x:v>
      </x:c>
      <x:c r="H1086" t="n">
        <x:v>17</x:v>
      </x:c>
      <x:c r="I1086" t="str">
        <x:v>À qualifier par lieu</x:v>
      </x:c>
      <x:c r="J1086" t="str">
        <x:v>https://github.com/darknigthmare/deadwall-last-enclosure/blob/1b3b9c5ba232734b1bda3453b4e20a0481bcdd74/codex-3000/compositions/Commerces non alimentaires/DW-1081.md</x:v>
      </x:c>
      <x:c r="K1086" t="str">
        <x:v>Source min 25,20 m ; max 180,120 m ; modèle 29 × 29 m ; niveaux 0, 1. Détails dans catalogue-existant.json.</x:v>
      </x:c>
    </x:row>
    <x:row r="1087">
      <x:c r="A1087" t="str">
        <x:v>DW-1082</x:v>
      </x:c>
      <x:c r="B1087" t="str">
        <x:v>DW-0041</x:v>
      </x:c>
      <x:c r="C1087" t="str">
        <x:v>Composition héritée</x:v>
      </x:c>
      <x:c r="D1087" t="str">
        <x:v>Commerces non alimentaires</x:v>
      </x:c>
      <x:c r="E1087" t="str">
        <x:v>Centre commercial régional — Village et bourg / service déplacé à l’arrière</x:v>
      </x:c>
      <x:c r="F1087" t="n">
        <x:v>8</x:v>
      </x:c>
      <x:c r="G1087" t="n">
        <x:v>7</x:v>
      </x:c>
      <x:c r="H1087" t="n">
        <x:v>17</x:v>
      </x:c>
      <x:c r="I1087" t="str">
        <x:v>À qualifier par lieu</x:v>
      </x:c>
      <x:c r="J1087" t="str">
        <x:v>https://github.com/darknigthmare/deadwall-last-enclosure/blob/1b3b9c5ba232734b1bda3453b4e20a0481bcdd74/codex-3000/compositions/Commerces non alimentaires/DW-1082.md</x:v>
      </x:c>
      <x:c r="K1087" t="str">
        <x:v>Source min 25,20 m ; max 180,120 m ; modèle 29 × 29 m ; niveaux 0, 1. Détails dans catalogue-existant.json.</x:v>
      </x:c>
    </x:row>
    <x:row r="1088">
      <x:c r="A1088" t="str">
        <x:v>DW-1083</x:v>
      </x:c>
      <x:c r="B1088" t="str">
        <x:v>DW-0042</x:v>
      </x:c>
      <x:c r="C1088" t="str">
        <x:v>Composition héritée</x:v>
      </x:c>
      <x:c r="D1088" t="str">
        <x:v>Commerces non alimentaires</x:v>
      </x:c>
      <x:c r="E1088" t="str">
        <x:v>Galerie marchande de quartier — Ville moyenne / arrêt de maintenance</x:v>
      </x:c>
      <x:c r="F1088" t="n">
        <x:v>8</x:v>
      </x:c>
      <x:c r="G1088" t="n">
        <x:v>4</x:v>
      </x:c>
      <x:c r="H1088" t="n">
        <x:v>10</x:v>
      </x:c>
      <x:c r="I1088" t="str">
        <x:v>À qualifier par lieu</x:v>
      </x:c>
      <x:c r="J1088" t="str">
        <x:v>https://github.com/darknigthmare/deadwall-last-enclosure/blob/1b3b9c5ba232734b1bda3453b4e20a0481bcdd74/codex-3000/compositions/Commerces non alimentaires/DW-1083.md</x:v>
      </x:c>
      <x:c r="K1088" t="str">
        <x:v>Source min 25,20 m ; max 180,120 m ; modèle 25 × 20 m ; niveaux 0. Détails dans catalogue-existant.json.</x:v>
      </x:c>
    </x:row>
    <x:row r="1089">
      <x:c r="A1089" t="str">
        <x:v>DW-1084</x:v>
      </x:c>
      <x:c r="B1089" t="str">
        <x:v>DW-0042</x:v>
      </x:c>
      <x:c r="C1089" t="str">
        <x:v>Composition héritée</x:v>
      </x:c>
      <x:c r="D1089" t="str">
        <x:v>Commerces non alimentaires</x:v>
      </x:c>
      <x:c r="E1089" t="str">
        <x:v>Galerie marchande de quartier — Grande ville et métropole / reprise progressive de la végétation</x:v>
      </x:c>
      <x:c r="F1089" t="n">
        <x:v>8</x:v>
      </x:c>
      <x:c r="G1089" t="n">
        <x:v>4</x:v>
      </x:c>
      <x:c r="H1089" t="n">
        <x:v>10</x:v>
      </x:c>
      <x:c r="I1089" t="str">
        <x:v>À qualifier par lieu</x:v>
      </x:c>
      <x:c r="J1089" t="str">
        <x:v>https://github.com/darknigthmare/deadwall-last-enclosure/blob/1b3b9c5ba232734b1bda3453b4e20a0481bcdd74/codex-3000/compositions/Commerces non alimentaires/DW-1084.md</x:v>
      </x:c>
      <x:c r="K1089" t="str">
        <x:v>Source min 25,20 m ; max 180,120 m ; modèle 25 × 20 m ; niveaux 0. Détails dans catalogue-existant.json.</x:v>
      </x:c>
    </x:row>
    <x:row r="1090">
      <x:c r="A1090" t="str">
        <x:v>DW-1085</x:v>
      </x:c>
      <x:c r="B1090" t="str">
        <x:v>DW-0043</x:v>
      </x:c>
      <x:c r="C1090" t="str">
        <x:v>Composition héritée</x:v>
      </x:c>
      <x:c r="D1090" t="str">
        <x:v>Commerces non alimentaires</x:v>
      </x:c>
      <x:c r="E1090" t="str">
        <x:v>Parc commercial ouvert — Village et bourg / première récupération passée</x:v>
      </x:c>
      <x:c r="F1090" t="n">
        <x:v>8</x:v>
      </x:c>
      <x:c r="G1090" t="n">
        <x:v>4</x:v>
      </x:c>
      <x:c r="H1090" t="n">
        <x:v>12</x:v>
      </x:c>
      <x:c r="I1090" t="str">
        <x:v>À qualifier par lieu</x:v>
      </x:c>
      <x:c r="J1090" t="str">
        <x:v>https://github.com/darknigthmare/deadwall-last-enclosure/blob/1b3b9c5ba232734b1bda3453b4e20a0481bcdd74/codex-3000/compositions/Commerces non alimentaires/DW-1085.md</x:v>
      </x:c>
      <x:c r="K1090" t="str">
        <x:v>Source min 25,20 m ; max 180,120 m ; modèle 25 × 20 m ; niveaux 0. Détails dans catalogue-existant.json.</x:v>
      </x:c>
    </x:row>
    <x:row r="1091">
      <x:c r="A1091" t="str">
        <x:v>DW-1086</x:v>
      </x:c>
      <x:c r="B1091" t="str">
        <x:v>DW-0043</x:v>
      </x:c>
      <x:c r="C1091" t="str">
        <x:v>Composition héritée</x:v>
      </x:c>
      <x:c r="D1091" t="str">
        <x:v>Commerces non alimentaires</x:v>
      </x:c>
      <x:c r="E1091" t="str">
        <x:v>Parc commercial ouvert — Zone commerciale / relais temporaire envisagé</x:v>
      </x:c>
      <x:c r="F1091" t="n">
        <x:v>8</x:v>
      </x:c>
      <x:c r="G1091" t="n">
        <x:v>4</x:v>
      </x:c>
      <x:c r="H1091" t="n">
        <x:v>12</x:v>
      </x:c>
      <x:c r="I1091" t="str">
        <x:v>À qualifier par lieu</x:v>
      </x:c>
      <x:c r="J1091" t="str">
        <x:v>https://github.com/darknigthmare/deadwall-last-enclosure/blob/1b3b9c5ba232734b1bda3453b4e20a0481bcdd74/codex-3000/compositions/Commerces non alimentaires/DW-1086.md</x:v>
      </x:c>
      <x:c r="K1091" t="str">
        <x:v>Source min 25,20 m ; max 180,120 m ; modèle 25 × 20 m ; niveaux 0. Détails dans catalogue-existant.json.</x:v>
      </x:c>
    </x:row>
    <x:row r="1092">
      <x:c r="A1092" t="str">
        <x:v>DW-1087</x:v>
      </x:c>
      <x:c r="B1092" t="str">
        <x:v>DW-0044</x:v>
      </x:c>
      <x:c r="C1092" t="str">
        <x:v>Composition héritée</x:v>
      </x:c>
      <x:c r="D1092" t="str">
        <x:v>Commerces non alimentaires</x:v>
      </x:c>
      <x:c r="E1092" t="str">
        <x:v>Grand magasin à étages — Grande ville et métropole / service déplacé à l’arrière</x:v>
      </x:c>
      <x:c r="F1092" t="n">
        <x:v>8</x:v>
      </x:c>
      <x:c r="G1092" t="n">
        <x:v>5</x:v>
      </x:c>
      <x:c r="H1092" t="n">
        <x:v>15</x:v>
      </x:c>
      <x:c r="I1092" t="str">
        <x:v>À qualifier par lieu</x:v>
      </x:c>
      <x:c r="J1092" t="str">
        <x:v>https://github.com/darknigthmare/deadwall-last-enclosure/blob/1b3b9c5ba232734b1bda3453b4e20a0481bcdd74/codex-3000/compositions/Commerces non alimentaires/DW-1087.md</x:v>
      </x:c>
      <x:c r="K1092" t="str">
        <x:v>Source min 25,20 m ; max 180,120 m ; modèle 26 × 22 m ; niveaux 0, 1, 2. Détails dans catalogue-existant.json.</x:v>
      </x:c>
    </x:row>
    <x:row r="1093">
      <x:c r="A1093" t="str">
        <x:v>DW-1088</x:v>
      </x:c>
      <x:c r="B1093" t="str">
        <x:v>DW-0044</x:v>
      </x:c>
      <x:c r="C1093" t="str">
        <x:v>Composition héritée</x:v>
      </x:c>
      <x:c r="D1093" t="str">
        <x:v>Commerces non alimentaires</x:v>
      </x:c>
      <x:c r="E1093" t="str">
        <x:v>Grand magasin à étages — Ville moyenne / réseau principal coupé</x:v>
      </x:c>
      <x:c r="F1093" t="n">
        <x:v>8</x:v>
      </x:c>
      <x:c r="G1093" t="n">
        <x:v>5</x:v>
      </x:c>
      <x:c r="H1093" t="n">
        <x:v>15</x:v>
      </x:c>
      <x:c r="I1093" t="str">
        <x:v>À qualifier par lieu</x:v>
      </x:c>
      <x:c r="J1093" t="str">
        <x:v>https://github.com/darknigthmare/deadwall-last-enclosure/blob/1b3b9c5ba232734b1bda3453b4e20a0481bcdd74/codex-3000/compositions/Commerces non alimentaires/DW-1088.md</x:v>
      </x:c>
      <x:c r="K1093" t="str">
        <x:v>Source min 25,20 m ; max 180,120 m ; modèle 26 × 22 m ; niveaux 0, 1, 2. Détails dans catalogue-existant.json.</x:v>
      </x:c>
    </x:row>
    <x:row r="1094">
      <x:c r="A1094" t="str">
        <x:v>DW-1089</x:v>
      </x:c>
      <x:c r="B1094" t="str">
        <x:v>DW-0045</x:v>
      </x:c>
      <x:c r="C1094" t="str">
        <x:v>Composition héritée</x:v>
      </x:c>
      <x:c r="D1094" t="str">
        <x:v>Commerces non alimentaires</x:v>
      </x:c>
      <x:c r="E1094" t="str">
        <x:v>Magasin de bricolage — Zone commerciale / reprise progressive de la végétation</x:v>
      </x:c>
      <x:c r="F1094" t="n">
        <x:v>8</x:v>
      </x:c>
      <x:c r="G1094" t="n">
        <x:v>5</x:v>
      </x:c>
      <x:c r="H1094" t="n">
        <x:v>15</x:v>
      </x:c>
      <x:c r="I1094" t="str">
        <x:v>À qualifier par lieu</x:v>
      </x:c>
      <x:c r="J1094" t="str">
        <x:v>https://github.com/darknigthmare/deadwall-last-enclosure/blob/1b3b9c5ba232734b1bda3453b4e20a0481bcdd74/codex-3000/compositions/Commerces non alimentaires/DW-1089.md</x:v>
      </x:c>
      <x:c r="K1094" t="str">
        <x:v>Source min 25,20 m ; max 180,120 m ; modèle 26 × 22 m ; niveaux 0. Détails dans catalogue-existant.json.</x:v>
      </x:c>
    </x:row>
    <x:row r="1095">
      <x:c r="A1095" t="str">
        <x:v>DW-1090</x:v>
      </x:c>
      <x:c r="B1095" t="str">
        <x:v>DW-0045</x:v>
      </x:c>
      <x:c r="C1095" t="str">
        <x:v>Composition héritée</x:v>
      </x:c>
      <x:c r="D1095" t="str">
        <x:v>Commerces non alimentaires</x:v>
      </x:c>
      <x:c r="E1095" t="str">
        <x:v>Magasin de bricolage — Village et bourg / repli organisé interrompu</x:v>
      </x:c>
      <x:c r="F1095" t="n">
        <x:v>8</x:v>
      </x:c>
      <x:c r="G1095" t="n">
        <x:v>5</x:v>
      </x:c>
      <x:c r="H1095" t="n">
        <x:v>15</x:v>
      </x:c>
      <x:c r="I1095" t="str">
        <x:v>À qualifier par lieu</x:v>
      </x:c>
      <x:c r="J1095" t="str">
        <x:v>https://github.com/darknigthmare/deadwall-last-enclosure/blob/1b3b9c5ba232734b1bda3453b4e20a0481bcdd74/codex-3000/compositions/Commerces non alimentaires/DW-1090.md</x:v>
      </x:c>
      <x:c r="K1095" t="str">
        <x:v>Source min 25,20 m ; max 180,120 m ; modèle 26 × 22 m ; niveaux 0. Détails dans catalogue-existant.json.</x:v>
      </x:c>
    </x:row>
    <x:row r="1096">
      <x:c r="A1096" t="str">
        <x:v>DW-1091</x:v>
      </x:c>
      <x:c r="B1096" t="str">
        <x:v>DW-0046</x:v>
      </x:c>
      <x:c r="C1096" t="str">
        <x:v>Composition héritée</x:v>
      </x:c>
      <x:c r="D1096" t="str">
        <x:v>Commerces non alimentaires</x:v>
      </x:c>
      <x:c r="E1096" t="str">
        <x:v>Jardinerie — Ville moyenne / relais temporaire envisagé</x:v>
      </x:c>
      <x:c r="F1096" t="n">
        <x:v>8</x:v>
      </x:c>
      <x:c r="G1096" t="n">
        <x:v>5</x:v>
      </x:c>
      <x:c r="H1096" t="n">
        <x:v>15</x:v>
      </x:c>
      <x:c r="I1096" t="str">
        <x:v>À qualifier par lieu</x:v>
      </x:c>
      <x:c r="J1096" t="str">
        <x:v>https://github.com/darknigthmare/deadwall-last-enclosure/blob/1b3b9c5ba232734b1bda3453b4e20a0481bcdd74/codex-3000/compositions/Commerces non alimentaires/DW-1091.md</x:v>
      </x:c>
      <x:c r="K1096" t="str">
        <x:v>Source min 25,20 m ; max 180,120 m ; modèle 26 × 22 m ; niveaux 0. Détails dans catalogue-existant.json.</x:v>
      </x:c>
    </x:row>
    <x:row r="1097">
      <x:c r="A1097" t="str">
        <x:v>DW-1092</x:v>
      </x:c>
      <x:c r="B1097" t="str">
        <x:v>DW-0046</x:v>
      </x:c>
      <x:c r="C1097" t="str">
        <x:v>Composition héritée</x:v>
      </x:c>
      <x:c r="D1097" t="str">
        <x:v>Commerces non alimentaires</x:v>
      </x:c>
      <x:c r="E1097" t="str">
        <x:v>Jardinerie — Grande ville et métropole / évacuation interrompue</x:v>
      </x:c>
      <x:c r="F1097" t="n">
        <x:v>8</x:v>
      </x:c>
      <x:c r="G1097" t="n">
        <x:v>5</x:v>
      </x:c>
      <x:c r="H1097" t="n">
        <x:v>15</x:v>
      </x:c>
      <x:c r="I1097" t="str">
        <x:v>À qualifier par lieu</x:v>
      </x:c>
      <x:c r="J1097" t="str">
        <x:v>https://github.com/darknigthmare/deadwall-last-enclosure/blob/1b3b9c5ba232734b1bda3453b4e20a0481bcdd74/codex-3000/compositions/Commerces non alimentaires/DW-1092.md</x:v>
      </x:c>
      <x:c r="K1097" t="str">
        <x:v>Source min 25,20 m ; max 180,120 m ; modèle 26 × 22 m ; niveaux 0. Détails dans catalogue-existant.json.</x:v>
      </x:c>
    </x:row>
    <x:row r="1098">
      <x:c r="A1098" t="str">
        <x:v>DW-1093</x:v>
      </x:c>
      <x:c r="B1098" t="str">
        <x:v>DW-0047</x:v>
      </x:c>
      <x:c r="C1098" t="str">
        <x:v>Composition héritée</x:v>
      </x:c>
      <x:c r="D1098" t="str">
        <x:v>Commerces non alimentaires</x:v>
      </x:c>
      <x:c r="E1098" t="str">
        <x:v>Magasin d'ameublement — Village et bourg / réseau principal coupé</x:v>
      </x:c>
      <x:c r="F1098" t="n">
        <x:v>8</x:v>
      </x:c>
      <x:c r="G1098" t="n">
        <x:v>5</x:v>
      </x:c>
      <x:c r="H1098" t="n">
        <x:v>15</x:v>
      </x:c>
      <x:c r="I1098" t="str">
        <x:v>À qualifier par lieu</x:v>
      </x:c>
      <x:c r="J1098" t="str">
        <x:v>https://github.com/darknigthmare/deadwall-last-enclosure/blob/1b3b9c5ba232734b1bda3453b4e20a0481bcdd74/codex-3000/compositions/Commerces non alimentaires/DW-1093.md</x:v>
      </x:c>
      <x:c r="K1098" t="str">
        <x:v>Source min 25,20 m ; max 180,120 m ; modèle 26 × 22 m ; niveaux 0. Détails dans catalogue-existant.json.</x:v>
      </x:c>
    </x:row>
    <x:row r="1099">
      <x:c r="A1099" t="str">
        <x:v>DW-1094</x:v>
      </x:c>
      <x:c r="B1099" t="str">
        <x:v>DW-0047</x:v>
      </x:c>
      <x:c r="C1099" t="str">
        <x:v>Composition héritée</x:v>
      </x:c>
      <x:c r="D1099" t="str">
        <x:v>Commerces non alimentaires</x:v>
      </x:c>
      <x:c r="E1099" t="str">
        <x:v>Magasin d'ameublement — Zone commerciale / arrêt de maintenance</x:v>
      </x:c>
      <x:c r="F1099" t="n">
        <x:v>8</x:v>
      </x:c>
      <x:c r="G1099" t="n">
        <x:v>5</x:v>
      </x:c>
      <x:c r="H1099" t="n">
        <x:v>15</x:v>
      </x:c>
      <x:c r="I1099" t="str">
        <x:v>À qualifier par lieu</x:v>
      </x:c>
      <x:c r="J1099" t="str">
        <x:v>https://github.com/darknigthmare/deadwall-last-enclosure/blob/1b3b9c5ba232734b1bda3453b4e20a0481bcdd74/codex-3000/compositions/Commerces non alimentaires/DW-1094.md</x:v>
      </x:c>
      <x:c r="K1099" t="str">
        <x:v>Source min 25,20 m ; max 180,120 m ; modèle 26 × 22 m ; niveaux 0. Détails dans catalogue-existant.json.</x:v>
      </x:c>
    </x:row>
    <x:row r="1100">
      <x:c r="A1100" t="str">
        <x:v>DW-1095</x:v>
      </x:c>
      <x:c r="B1100" t="str">
        <x:v>DW-0048</x:v>
      </x:c>
      <x:c r="C1100" t="str">
        <x:v>Composition héritée</x:v>
      </x:c>
      <x:c r="D1100" t="str">
        <x:v>Commerces non alimentaires</x:v>
      </x:c>
      <x:c r="E1100" t="str">
        <x:v>Magasin d'électroménager — Grande ville et métropole / repli organisé interrompu</x:v>
      </x:c>
      <x:c r="F1100" t="n">
        <x:v>8</x:v>
      </x:c>
      <x:c r="G1100" t="n">
        <x:v>4</x:v>
      </x:c>
      <x:c r="H1100" t="n">
        <x:v>12</x:v>
      </x:c>
      <x:c r="I1100" t="str">
        <x:v>À qualifier par lieu</x:v>
      </x:c>
      <x:c r="J1100" t="str">
        <x:v>https://github.com/darknigthmare/deadwall-last-enclosure/blob/1b3b9c5ba232734b1bda3453b4e20a0481bcdd74/codex-3000/compositions/Commerces non alimentaires/DW-1095.md</x:v>
      </x:c>
      <x:c r="K1100" t="str">
        <x:v>Source min 25,20 m ; max 180,120 m ; modèle 25 × 20 m ; niveaux 0. Détails dans catalogue-existant.json.</x:v>
      </x:c>
    </x:row>
    <x:row r="1101">
      <x:c r="A1101" t="str">
        <x:v>DW-1096</x:v>
      </x:c>
      <x:c r="B1101" t="str">
        <x:v>DW-0048</x:v>
      </x:c>
      <x:c r="C1101" t="str">
        <x:v>Composition héritée</x:v>
      </x:c>
      <x:c r="D1101" t="str">
        <x:v>Commerces non alimentaires</x:v>
      </x:c>
      <x:c r="E1101" t="str">
        <x:v>Magasin d'électroménager — Ville moyenne / première récupération passée</x:v>
      </x:c>
      <x:c r="F1101" t="n">
        <x:v>8</x:v>
      </x:c>
      <x:c r="G1101" t="n">
        <x:v>4</x:v>
      </x:c>
      <x:c r="H1101" t="n">
        <x:v>12</x:v>
      </x:c>
      <x:c r="I1101" t="str">
        <x:v>À qualifier par lieu</x:v>
      </x:c>
      <x:c r="J1101" t="str">
        <x:v>https://github.com/darknigthmare/deadwall-last-enclosure/blob/1b3b9c5ba232734b1bda3453b4e20a0481bcdd74/codex-3000/compositions/Commerces non alimentaires/DW-1096.md</x:v>
      </x:c>
      <x:c r="K1101" t="str">
        <x:v>Source min 25,20 m ; max 180,120 m ; modèle 25 × 20 m ; niveaux 0. Détails dans catalogue-existant.json.</x:v>
      </x:c>
    </x:row>
    <x:row r="1102">
      <x:c r="A1102" t="str">
        <x:v>DW-1097</x:v>
      </x:c>
      <x:c r="B1102" t="str">
        <x:v>DW-0049</x:v>
      </x:c>
      <x:c r="C1102" t="str">
        <x:v>Composition héritée</x:v>
      </x:c>
      <x:c r="D1102" t="str">
        <x:v>Commerces non alimentaires</x:v>
      </x:c>
      <x:c r="E1102" t="str">
        <x:v>Librairie indépendante — Zone commerciale / évacuation interrompue</x:v>
      </x:c>
      <x:c r="F1102" t="n">
        <x:v>8</x:v>
      </x:c>
      <x:c r="G1102" t="n">
        <x:v>4</x:v>
      </x:c>
      <x:c r="H1102" t="n">
        <x:v>12</x:v>
      </x:c>
      <x:c r="I1102" t="str">
        <x:v>À qualifier par lieu</x:v>
      </x:c>
      <x:c r="J1102" t="str">
        <x:v>https://github.com/darknigthmare/deadwall-last-enclosure/blob/1b3b9c5ba232734b1bda3453b4e20a0481bcdd74/codex-3000/compositions/Commerces non alimentaires/DW-1097.md</x:v>
      </x:c>
      <x:c r="K1102" t="str">
        <x:v>Source min 25,20 m ; max 180,120 m ; modèle 25 × 20 m ; niveaux 0. Détails dans catalogue-existant.json.</x:v>
      </x:c>
    </x:row>
    <x:row r="1103">
      <x:c r="A1103" t="str">
        <x:v>DW-1098</x:v>
      </x:c>
      <x:c r="B1103" t="str">
        <x:v>DW-0049</x:v>
      </x:c>
      <x:c r="C1103" t="str">
        <x:v>Composition héritée</x:v>
      </x:c>
      <x:c r="D1103" t="str">
        <x:v>Commerces non alimentaires</x:v>
      </x:c>
      <x:c r="E1103" t="str">
        <x:v>Librairie indépendante — Village et bourg / service déplacé à l’arrière</x:v>
      </x:c>
      <x:c r="F1103" t="n">
        <x:v>8</x:v>
      </x:c>
      <x:c r="G1103" t="n">
        <x:v>4</x:v>
      </x:c>
      <x:c r="H1103" t="n">
        <x:v>12</x:v>
      </x:c>
      <x:c r="I1103" t="str">
        <x:v>À qualifier par lieu</x:v>
      </x:c>
      <x:c r="J1103" t="str">
        <x:v>https://github.com/darknigthmare/deadwall-last-enclosure/blob/1b3b9c5ba232734b1bda3453b4e20a0481bcdd74/codex-3000/compositions/Commerces non alimentaires/DW-1098.md</x:v>
      </x:c>
      <x:c r="K1103" t="str">
        <x:v>Source min 25,20 m ; max 180,120 m ; modèle 25 × 20 m ; niveaux 0. Détails dans catalogue-existant.json.</x:v>
      </x:c>
    </x:row>
    <x:row r="1104">
      <x:c r="A1104" t="str">
        <x:v>DW-1099</x:v>
      </x:c>
      <x:c r="B1104" t="str">
        <x:v>DW-0050</x:v>
      </x:c>
      <x:c r="C1104" t="str">
        <x:v>Composition héritée</x:v>
      </x:c>
      <x:c r="D1104" t="str">
        <x:v>Commerces non alimentaires</x:v>
      </x:c>
      <x:c r="E1104" t="str">
        <x:v>Papeterie de gros — Ville moyenne / arrêt de maintenance</x:v>
      </x:c>
      <x:c r="F1104" t="n">
        <x:v>8</x:v>
      </x:c>
      <x:c r="G1104" t="n">
        <x:v>4</x:v>
      </x:c>
      <x:c r="H1104" t="n">
        <x:v>12</x:v>
      </x:c>
      <x:c r="I1104" t="str">
        <x:v>À qualifier par lieu</x:v>
      </x:c>
      <x:c r="J1104" t="str">
        <x:v>https://github.com/darknigthmare/deadwall-last-enclosure/blob/1b3b9c5ba232734b1bda3453b4e20a0481bcdd74/codex-3000/compositions/Commerces non alimentaires/DW-1099.md</x:v>
      </x:c>
      <x:c r="K1104" t="str">
        <x:v>Source min 25,20 m ; max 180,120 m ; modèle 25 × 20 m ; niveaux 0. Détails dans catalogue-existant.json.</x:v>
      </x:c>
    </x:row>
    <x:row r="1105">
      <x:c r="A1105" t="str">
        <x:v>DW-1100</x:v>
      </x:c>
      <x:c r="B1105" t="str">
        <x:v>DW-0050</x:v>
      </x:c>
      <x:c r="C1105" t="str">
        <x:v>Composition héritée</x:v>
      </x:c>
      <x:c r="D1105" t="str">
        <x:v>Commerces non alimentaires</x:v>
      </x:c>
      <x:c r="E1105" t="str">
        <x:v>Papeterie de gros — Grande ville et métropole / reprise progressive de la végétation</x:v>
      </x:c>
      <x:c r="F1105" t="n">
        <x:v>8</x:v>
      </x:c>
      <x:c r="G1105" t="n">
        <x:v>4</x:v>
      </x:c>
      <x:c r="H1105" t="n">
        <x:v>12</x:v>
      </x:c>
      <x:c r="I1105" t="str">
        <x:v>À qualifier par lieu</x:v>
      </x:c>
      <x:c r="J1105" t="str">
        <x:v>https://github.com/darknigthmare/deadwall-last-enclosure/blob/1b3b9c5ba232734b1bda3453b4e20a0481bcdd74/codex-3000/compositions/Commerces non alimentaires/DW-1100.md</x:v>
      </x:c>
      <x:c r="K1105" t="str">
        <x:v>Source min 25,20 m ; max 180,120 m ; modèle 25 × 20 m ; niveaux 0. Détails dans catalogue-existant.json.</x:v>
      </x:c>
    </x:row>
    <x:row r="1106">
      <x:c r="A1106" t="str">
        <x:v>DW-1101</x:v>
      </x:c>
      <x:c r="B1106" t="str">
        <x:v>DW-0051</x:v>
      </x:c>
      <x:c r="C1106" t="str">
        <x:v>Composition héritée</x:v>
      </x:c>
      <x:c r="D1106" t="str">
        <x:v>Commerces non alimentaires</x:v>
      </x:c>
      <x:c r="E1106" t="str">
        <x:v>Magasin de vêtements — Village et bourg / première récupération passée</x:v>
      </x:c>
      <x:c r="F1106" t="n">
        <x:v>8</x:v>
      </x:c>
      <x:c r="G1106" t="n">
        <x:v>4</x:v>
      </x:c>
      <x:c r="H1106" t="n">
        <x:v>12</x:v>
      </x:c>
      <x:c r="I1106" t="str">
        <x:v>À qualifier par lieu</x:v>
      </x:c>
      <x:c r="J1106" t="str">
        <x:v>https://github.com/darknigthmare/deadwall-last-enclosure/blob/1b3b9c5ba232734b1bda3453b4e20a0481bcdd74/codex-3000/compositions/Commerces non alimentaires/DW-1101.md</x:v>
      </x:c>
      <x:c r="K1106" t="str">
        <x:v>Source min 25,20 m ; max 180,120 m ; modèle 25 × 20 m ; niveaux 0. Détails dans catalogue-existant.json.</x:v>
      </x:c>
    </x:row>
    <x:row r="1107">
      <x:c r="A1107" t="str">
        <x:v>DW-1102</x:v>
      </x:c>
      <x:c r="B1107" t="str">
        <x:v>DW-0051</x:v>
      </x:c>
      <x:c r="C1107" t="str">
        <x:v>Composition héritée</x:v>
      </x:c>
      <x:c r="D1107" t="str">
        <x:v>Commerces non alimentaires</x:v>
      </x:c>
      <x:c r="E1107" t="str">
        <x:v>Magasin de vêtements — Zone commerciale / relais temporaire envisagé</x:v>
      </x:c>
      <x:c r="F1107" t="n">
        <x:v>8</x:v>
      </x:c>
      <x:c r="G1107" t="n">
        <x:v>4</x:v>
      </x:c>
      <x:c r="H1107" t="n">
        <x:v>12</x:v>
      </x:c>
      <x:c r="I1107" t="str">
        <x:v>À qualifier par lieu</x:v>
      </x:c>
      <x:c r="J1107" t="str">
        <x:v>https://github.com/darknigthmare/deadwall-last-enclosure/blob/1b3b9c5ba232734b1bda3453b4e20a0481bcdd74/codex-3000/compositions/Commerces non alimentaires/DW-1102.md</x:v>
      </x:c>
      <x:c r="K1107" t="str">
        <x:v>Source min 25,20 m ; max 180,120 m ; modèle 25 × 20 m ; niveaux 0. Détails dans catalogue-existant.json.</x:v>
      </x:c>
    </x:row>
    <x:row r="1108">
      <x:c r="A1108" t="str">
        <x:v>DW-1103</x:v>
      </x:c>
      <x:c r="B1108" t="str">
        <x:v>DW-0052</x:v>
      </x:c>
      <x:c r="C1108" t="str">
        <x:v>Composition héritée</x:v>
      </x:c>
      <x:c r="D1108" t="str">
        <x:v>Commerces non alimentaires</x:v>
      </x:c>
      <x:c r="E1108" t="str">
        <x:v>Magasin de sport — Grande ville et métropole / service déplacé à l’arrière</x:v>
      </x:c>
      <x:c r="F1108" t="n">
        <x:v>8</x:v>
      </x:c>
      <x:c r="G1108" t="n">
        <x:v>4</x:v>
      </x:c>
      <x:c r="H1108" t="n">
        <x:v>12</x:v>
      </x:c>
      <x:c r="I1108" t="str">
        <x:v>À qualifier par lieu</x:v>
      </x:c>
      <x:c r="J1108" t="str">
        <x:v>https://github.com/darknigthmare/deadwall-last-enclosure/blob/1b3b9c5ba232734b1bda3453b4e20a0481bcdd74/codex-3000/compositions/Commerces non alimentaires/DW-1103.md</x:v>
      </x:c>
      <x:c r="K1108" t="str">
        <x:v>Source min 25,20 m ; max 180,120 m ; modèle 25 × 20 m ; niveaux 0. Détails dans catalogue-existant.json.</x:v>
      </x:c>
    </x:row>
    <x:row r="1109">
      <x:c r="A1109" t="str">
        <x:v>DW-1104</x:v>
      </x:c>
      <x:c r="B1109" t="str">
        <x:v>DW-0052</x:v>
      </x:c>
      <x:c r="C1109" t="str">
        <x:v>Composition héritée</x:v>
      </x:c>
      <x:c r="D1109" t="str">
        <x:v>Commerces non alimentaires</x:v>
      </x:c>
      <x:c r="E1109" t="str">
        <x:v>Magasin de sport — Ville moyenne / réseau principal coupé</x:v>
      </x:c>
      <x:c r="F1109" t="n">
        <x:v>8</x:v>
      </x:c>
      <x:c r="G1109" t="n">
        <x:v>4</x:v>
      </x:c>
      <x:c r="H1109" t="n">
        <x:v>12</x:v>
      </x:c>
      <x:c r="I1109" t="str">
        <x:v>À qualifier par lieu</x:v>
      </x:c>
      <x:c r="J1109" t="str">
        <x:v>https://github.com/darknigthmare/deadwall-last-enclosure/blob/1b3b9c5ba232734b1bda3453b4e20a0481bcdd74/codex-3000/compositions/Commerces non alimentaires/DW-1104.md</x:v>
      </x:c>
      <x:c r="K1109" t="str">
        <x:v>Source min 25,20 m ; max 180,120 m ; modèle 25 × 20 m ; niveaux 0. Détails dans catalogue-existant.json.</x:v>
      </x:c>
    </x:row>
    <x:row r="1110">
      <x:c r="A1110" t="str">
        <x:v>DW-1105</x:v>
      </x:c>
      <x:c r="B1110" t="str">
        <x:v>DW-0053</x:v>
      </x:c>
      <x:c r="C1110" t="str">
        <x:v>Composition héritée</x:v>
      </x:c>
      <x:c r="D1110" t="str">
        <x:v>Commerces non alimentaires</x:v>
      </x:c>
      <x:c r="E1110" t="str">
        <x:v>Pharmacie commerciale — Zone commerciale / reprise progressive de la végétation</x:v>
      </x:c>
      <x:c r="F1110" t="n">
        <x:v>8</x:v>
      </x:c>
      <x:c r="G1110" t="n">
        <x:v>4</x:v>
      </x:c>
      <x:c r="H1110" t="n">
        <x:v>12</x:v>
      </x:c>
      <x:c r="I1110" t="str">
        <x:v>À qualifier par lieu</x:v>
      </x:c>
      <x:c r="J1110" t="str">
        <x:v>https://github.com/darknigthmare/deadwall-last-enclosure/blob/1b3b9c5ba232734b1bda3453b4e20a0481bcdd74/codex-3000/compositions/Commerces non alimentaires/DW-1105.md</x:v>
      </x:c>
      <x:c r="K1110" t="str">
        <x:v>Source min 25,20 m ; max 180,120 m ; modèle 25 × 20 m ; niveaux 0. Détails dans catalogue-existant.json.</x:v>
      </x:c>
    </x:row>
    <x:row r="1111">
      <x:c r="A1111" t="str">
        <x:v>DW-1106</x:v>
      </x:c>
      <x:c r="B1111" t="str">
        <x:v>DW-0053</x:v>
      </x:c>
      <x:c r="C1111" t="str">
        <x:v>Composition héritée</x:v>
      </x:c>
      <x:c r="D1111" t="str">
        <x:v>Commerces non alimentaires</x:v>
      </x:c>
      <x:c r="E1111" t="str">
        <x:v>Pharmacie commerciale — Village et bourg / repli organisé interrompu</x:v>
      </x:c>
      <x:c r="F1111" t="n">
        <x:v>8</x:v>
      </x:c>
      <x:c r="G1111" t="n">
        <x:v>4</x:v>
      </x:c>
      <x:c r="H1111" t="n">
        <x:v>12</x:v>
      </x:c>
      <x:c r="I1111" t="str">
        <x:v>À qualifier par lieu</x:v>
      </x:c>
      <x:c r="J1111" t="str">
        <x:v>https://github.com/darknigthmare/deadwall-last-enclosure/blob/1b3b9c5ba232734b1bda3453b4e20a0481bcdd74/codex-3000/compositions/Commerces non alimentaires/DW-1106.md</x:v>
      </x:c>
      <x:c r="K1111" t="str">
        <x:v>Source min 25,20 m ; max 180,120 m ; modèle 25 × 20 m ; niveaux 0. Détails dans catalogue-existant.json.</x:v>
      </x:c>
    </x:row>
    <x:row r="1112">
      <x:c r="A1112" t="str">
        <x:v>DW-1107</x:v>
      </x:c>
      <x:c r="B1112" t="str">
        <x:v>DW-0054</x:v>
      </x:c>
      <x:c r="C1112" t="str">
        <x:v>Composition héritée</x:v>
      </x:c>
      <x:c r="D1112" t="str">
        <x:v>Commerces non alimentaires</x:v>
      </x:c>
      <x:c r="E1112" t="str">
        <x:v>Animalerie — Ville moyenne / relais temporaire envisagé</x:v>
      </x:c>
      <x:c r="F1112" t="n">
        <x:v>8</x:v>
      </x:c>
      <x:c r="G1112" t="n">
        <x:v>4</x:v>
      </x:c>
      <x:c r="H1112" t="n">
        <x:v>12</x:v>
      </x:c>
      <x:c r="I1112" t="str">
        <x:v>À qualifier par lieu</x:v>
      </x:c>
      <x:c r="J1112" t="str">
        <x:v>https://github.com/darknigthmare/deadwall-last-enclosure/blob/1b3b9c5ba232734b1bda3453b4e20a0481bcdd74/codex-3000/compositions/Commerces non alimentaires/DW-1107.md</x:v>
      </x:c>
      <x:c r="K1112" t="str">
        <x:v>Source min 25,20 m ; max 180,120 m ; modèle 25 × 20 m ; niveaux 0. Détails dans catalogue-existant.json.</x:v>
      </x:c>
    </x:row>
    <x:row r="1113">
      <x:c r="A1113" t="str">
        <x:v>DW-1108</x:v>
      </x:c>
      <x:c r="B1113" t="str">
        <x:v>DW-0054</x:v>
      </x:c>
      <x:c r="C1113" t="str">
        <x:v>Composition héritée</x:v>
      </x:c>
      <x:c r="D1113" t="str">
        <x:v>Commerces non alimentaires</x:v>
      </x:c>
      <x:c r="E1113" t="str">
        <x:v>Animalerie — Grande ville et métropole / évacuation interrompue</x:v>
      </x:c>
      <x:c r="F1113" t="n">
        <x:v>8</x:v>
      </x:c>
      <x:c r="G1113" t="n">
        <x:v>4</x:v>
      </x:c>
      <x:c r="H1113" t="n">
        <x:v>12</x:v>
      </x:c>
      <x:c r="I1113" t="str">
        <x:v>À qualifier par lieu</x:v>
      </x:c>
      <x:c r="J1113" t="str">
        <x:v>https://github.com/darknigthmare/deadwall-last-enclosure/blob/1b3b9c5ba232734b1bda3453b4e20a0481bcdd74/codex-3000/compositions/Commerces non alimentaires/DW-1108.md</x:v>
      </x:c>
      <x:c r="K1113" t="str">
        <x:v>Source min 25,20 m ; max 180,120 m ; modèle 25 × 20 m ; niveaux 0. Détails dans catalogue-existant.json.</x:v>
      </x:c>
    </x:row>
    <x:row r="1114">
      <x:c r="A1114" t="str">
        <x:v>DW-1109</x:v>
      </x:c>
      <x:c r="B1114" t="str">
        <x:v>DW-0055</x:v>
      </x:c>
      <x:c r="C1114" t="str">
        <x:v>Composition héritée</x:v>
      </x:c>
      <x:c r="D1114" t="str">
        <x:v>Commerces non alimentaires</x:v>
      </x:c>
      <x:c r="E1114" t="str">
        <x:v>Boutique informatique — Village et bourg / réseau principal coupé</x:v>
      </x:c>
      <x:c r="F1114" t="n">
        <x:v>8</x:v>
      </x:c>
      <x:c r="G1114" t="n">
        <x:v>4</x:v>
      </x:c>
      <x:c r="H1114" t="n">
        <x:v>12</x:v>
      </x:c>
      <x:c r="I1114" t="str">
        <x:v>À qualifier par lieu</x:v>
      </x:c>
      <x:c r="J1114" t="str">
        <x:v>https://github.com/darknigthmare/deadwall-last-enclosure/blob/1b3b9c5ba232734b1bda3453b4e20a0481bcdd74/codex-3000/compositions/Commerces non alimentaires/DW-1109.md</x:v>
      </x:c>
      <x:c r="K1114" t="str">
        <x:v>Source min 25,20 m ; max 180,120 m ; modèle 25 × 20 m ; niveaux 0. Détails dans catalogue-existant.json.</x:v>
      </x:c>
    </x:row>
    <x:row r="1115">
      <x:c r="A1115" t="str">
        <x:v>DW-1110</x:v>
      </x:c>
      <x:c r="B1115" t="str">
        <x:v>DW-0055</x:v>
      </x:c>
      <x:c r="C1115" t="str">
        <x:v>Composition héritée</x:v>
      </x:c>
      <x:c r="D1115" t="str">
        <x:v>Commerces non alimentaires</x:v>
      </x:c>
      <x:c r="E1115" t="str">
        <x:v>Boutique informatique — Zone commerciale / arrêt de maintenance</x:v>
      </x:c>
      <x:c r="F1115" t="n">
        <x:v>8</x:v>
      </x:c>
      <x:c r="G1115" t="n">
        <x:v>4</x:v>
      </x:c>
      <x:c r="H1115" t="n">
        <x:v>12</x:v>
      </x:c>
      <x:c r="I1115" t="str">
        <x:v>À qualifier par lieu</x:v>
      </x:c>
      <x:c r="J1115" t="str">
        <x:v>https://github.com/darknigthmare/deadwall-last-enclosure/blob/1b3b9c5ba232734b1bda3453b4e20a0481bcdd74/codex-3000/compositions/Commerces non alimentaires/DW-1110.md</x:v>
      </x:c>
      <x:c r="K1115" t="str">
        <x:v>Source min 25,20 m ; max 180,120 m ; modèle 25 × 20 m ; niveaux 0. Détails dans catalogue-existant.json.</x:v>
      </x:c>
    </x:row>
    <x:row r="1116">
      <x:c r="A1116" t="str">
        <x:v>DW-1111</x:v>
      </x:c>
      <x:c r="B1116" t="str">
        <x:v>DW-0056</x:v>
      </x:c>
      <x:c r="C1116" t="str">
        <x:v>Composition héritée</x:v>
      </x:c>
      <x:c r="D1116" t="str">
        <x:v>Commerces non alimentaires</x:v>
      </x:c>
      <x:c r="E1116" t="str">
        <x:v>Quincaillerie ancienne — Grande ville et métropole / repli organisé interrompu</x:v>
      </x:c>
      <x:c r="F1116" t="n">
        <x:v>8</x:v>
      </x:c>
      <x:c r="G1116" t="n">
        <x:v>4</x:v>
      </x:c>
      <x:c r="H1116" t="n">
        <x:v>12</x:v>
      </x:c>
      <x:c r="I1116" t="str">
        <x:v>À qualifier par lieu</x:v>
      </x:c>
      <x:c r="J1116" t="str">
        <x:v>https://github.com/darknigthmare/deadwall-last-enclosure/blob/1b3b9c5ba232734b1bda3453b4e20a0481bcdd74/codex-3000/compositions/Commerces non alimentaires/DW-1111.md</x:v>
      </x:c>
      <x:c r="K1116" t="str">
        <x:v>Source min 25,20 m ; max 180,120 m ; modèle 25 × 20 m ; niveaux 0. Détails dans catalogue-existant.json.</x:v>
      </x:c>
    </x:row>
    <x:row r="1117">
      <x:c r="A1117" t="str">
        <x:v>DW-1112</x:v>
      </x:c>
      <x:c r="B1117" t="str">
        <x:v>DW-0056</x:v>
      </x:c>
      <x:c r="C1117" t="str">
        <x:v>Composition héritée</x:v>
      </x:c>
      <x:c r="D1117" t="str">
        <x:v>Commerces non alimentaires</x:v>
      </x:c>
      <x:c r="E1117" t="str">
        <x:v>Quincaillerie ancienne — Ville moyenne / première récupération passée</x:v>
      </x:c>
      <x:c r="F1117" t="n">
        <x:v>8</x:v>
      </x:c>
      <x:c r="G1117" t="n">
        <x:v>4</x:v>
      </x:c>
      <x:c r="H1117" t="n">
        <x:v>12</x:v>
      </x:c>
      <x:c r="I1117" t="str">
        <x:v>À qualifier par lieu</x:v>
      </x:c>
      <x:c r="J1117" t="str">
        <x:v>https://github.com/darknigthmare/deadwall-last-enclosure/blob/1b3b9c5ba232734b1bda3453b4e20a0481bcdd74/codex-3000/compositions/Commerces non alimentaires/DW-1112.md</x:v>
      </x:c>
      <x:c r="K1117" t="str">
        <x:v>Source min 25,20 m ; max 180,120 m ; modèle 25 × 20 m ; niveaux 0. Détails dans catalogue-existant.json.</x:v>
      </x:c>
    </x:row>
    <x:row r="1118">
      <x:c r="A1118" t="str">
        <x:v>DW-1113</x:v>
      </x:c>
      <x:c r="B1118" t="str">
        <x:v>DW-0057</x:v>
      </x:c>
      <x:c r="C1118" t="str">
        <x:v>Composition héritée</x:v>
      </x:c>
      <x:c r="D1118" t="str">
        <x:v>Commerces non alimentaires</x:v>
      </x:c>
      <x:c r="E1118" t="str">
        <x:v>Magasin de déstockage — Zone commerciale / évacuation interrompue</x:v>
      </x:c>
      <x:c r="F1118" t="n">
        <x:v>8</x:v>
      </x:c>
      <x:c r="G1118" t="n">
        <x:v>4</x:v>
      </x:c>
      <x:c r="H1118" t="n">
        <x:v>12</x:v>
      </x:c>
      <x:c r="I1118" t="str">
        <x:v>À qualifier par lieu</x:v>
      </x:c>
      <x:c r="J1118" t="str">
        <x:v>https://github.com/darknigthmare/deadwall-last-enclosure/blob/1b3b9c5ba232734b1bda3453b4e20a0481bcdd74/codex-3000/compositions/Commerces non alimentaires/DW-1113.md</x:v>
      </x:c>
      <x:c r="K1118" t="str">
        <x:v>Source min 25,20 m ; max 180,120 m ; modèle 25 × 20 m ; niveaux 0. Détails dans catalogue-existant.json.</x:v>
      </x:c>
    </x:row>
    <x:row r="1119">
      <x:c r="A1119" t="str">
        <x:v>DW-1114</x:v>
      </x:c>
      <x:c r="B1119" t="str">
        <x:v>DW-0057</x:v>
      </x:c>
      <x:c r="C1119" t="str">
        <x:v>Composition héritée</x:v>
      </x:c>
      <x:c r="D1119" t="str">
        <x:v>Commerces non alimentaires</x:v>
      </x:c>
      <x:c r="E1119" t="str">
        <x:v>Magasin de déstockage — Village et bourg / service déplacé à l’arrière</x:v>
      </x:c>
      <x:c r="F1119" t="n">
        <x:v>8</x:v>
      </x:c>
      <x:c r="G1119" t="n">
        <x:v>4</x:v>
      </x:c>
      <x:c r="H1119" t="n">
        <x:v>12</x:v>
      </x:c>
      <x:c r="I1119" t="str">
        <x:v>À qualifier par lieu</x:v>
      </x:c>
      <x:c r="J1119" t="str">
        <x:v>https://github.com/darknigthmare/deadwall-last-enclosure/blob/1b3b9c5ba232734b1bda3453b4e20a0481bcdd74/codex-3000/compositions/Commerces non alimentaires/DW-1114.md</x:v>
      </x:c>
      <x:c r="K1119" t="str">
        <x:v>Source min 25,20 m ; max 180,120 m ; modèle 25 × 20 m ; niveaux 0. Détails dans catalogue-existant.json.</x:v>
      </x:c>
    </x:row>
    <x:row r="1120">
      <x:c r="A1120" t="str">
        <x:v>DW-1115</x:v>
      </x:c>
      <x:c r="B1120" t="str">
        <x:v>DW-0058</x:v>
      </x:c>
      <x:c r="C1120" t="str">
        <x:v>Composition héritée</x:v>
      </x:c>
      <x:c r="D1120" t="str">
        <x:v>Commerces non alimentaires</x:v>
      </x:c>
      <x:c r="E1120" t="str">
        <x:v>Marché couvert — Ville moyenne / arrêt de maintenance</x:v>
      </x:c>
      <x:c r="F1120" t="n">
        <x:v>8</x:v>
      </x:c>
      <x:c r="G1120" t="n">
        <x:v>5</x:v>
      </x:c>
      <x:c r="H1120" t="n">
        <x:v>13</x:v>
      </x:c>
      <x:c r="I1120" t="str">
        <x:v>À qualifier par lieu</x:v>
      </x:c>
      <x:c r="J1120" t="str">
        <x:v>https://github.com/darknigthmare/deadwall-last-enclosure/blob/1b3b9c5ba232734b1bda3453b4e20a0481bcdd74/codex-3000/compositions/Commerces non alimentaires/DW-1115.md</x:v>
      </x:c>
      <x:c r="K1120" t="str">
        <x:v>Source min 25,20 m ; max 180,120 m ; modèle 26 × 22 m ; niveaux 0. Détails dans catalogue-existant.json.</x:v>
      </x:c>
    </x:row>
    <x:row r="1121">
      <x:c r="A1121" t="str">
        <x:v>DW-1116</x:v>
      </x:c>
      <x:c r="B1121" t="str">
        <x:v>DW-0058</x:v>
      </x:c>
      <x:c r="C1121" t="str">
        <x:v>Composition héritée</x:v>
      </x:c>
      <x:c r="D1121" t="str">
        <x:v>Commerces non alimentaires</x:v>
      </x:c>
      <x:c r="E1121" t="str">
        <x:v>Marché couvert — Grande ville et métropole / reprise progressive de la végétation</x:v>
      </x:c>
      <x:c r="F1121" t="n">
        <x:v>8</x:v>
      </x:c>
      <x:c r="G1121" t="n">
        <x:v>5</x:v>
      </x:c>
      <x:c r="H1121" t="n">
        <x:v>13</x:v>
      </x:c>
      <x:c r="I1121" t="str">
        <x:v>À qualifier par lieu</x:v>
      </x:c>
      <x:c r="J1121" t="str">
        <x:v>https://github.com/darknigthmare/deadwall-last-enclosure/blob/1b3b9c5ba232734b1bda3453b4e20a0481bcdd74/codex-3000/compositions/Commerces non alimentaires/DW-1116.md</x:v>
      </x:c>
      <x:c r="K1121" t="str">
        <x:v>Source min 25,20 m ; max 180,120 m ; modèle 26 × 22 m ; niveaux 0. Détails dans catalogue-existant.json.</x:v>
      </x:c>
    </x:row>
    <x:row r="1122">
      <x:c r="A1122" t="str">
        <x:v>DW-1117</x:v>
      </x:c>
      <x:c r="B1122" t="str">
        <x:v>DW-0059</x:v>
      </x:c>
      <x:c r="C1122" t="str">
        <x:v>Composition héritée</x:v>
      </x:c>
      <x:c r="D1122" t="str">
        <x:v>Commerces non alimentaires</x:v>
      </x:c>
      <x:c r="E1122" t="str">
        <x:v>Négoce de matériaux — Village et bourg / première récupération passée</x:v>
      </x:c>
      <x:c r="F1122" t="n">
        <x:v>8</x:v>
      </x:c>
      <x:c r="G1122" t="n">
        <x:v>4</x:v>
      </x:c>
      <x:c r="H1122" t="n">
        <x:v>12</x:v>
      </x:c>
      <x:c r="I1122" t="str">
        <x:v>À qualifier par lieu</x:v>
      </x:c>
      <x:c r="J1122" t="str">
        <x:v>https://github.com/darknigthmare/deadwall-last-enclosure/blob/1b3b9c5ba232734b1bda3453b4e20a0481bcdd74/codex-3000/compositions/Commerces non alimentaires/DW-1117.md</x:v>
      </x:c>
      <x:c r="K1122" t="str">
        <x:v>Source min 25,20 m ; max 180,120 m ; modèle 25 × 20 m ; niveaux 0. Détails dans catalogue-existant.json.</x:v>
      </x:c>
    </x:row>
    <x:row r="1123">
      <x:c r="A1123" t="str">
        <x:v>DW-1118</x:v>
      </x:c>
      <x:c r="B1123" t="str">
        <x:v>DW-0059</x:v>
      </x:c>
      <x:c r="C1123" t="str">
        <x:v>Composition héritée</x:v>
      </x:c>
      <x:c r="D1123" t="str">
        <x:v>Commerces non alimentaires</x:v>
      </x:c>
      <x:c r="E1123" t="str">
        <x:v>Négoce de matériaux — Zone commerciale / relais temporaire envisagé</x:v>
      </x:c>
      <x:c r="F1123" t="n">
        <x:v>8</x:v>
      </x:c>
      <x:c r="G1123" t="n">
        <x:v>4</x:v>
      </x:c>
      <x:c r="H1123" t="n">
        <x:v>12</x:v>
      </x:c>
      <x:c r="I1123" t="str">
        <x:v>À qualifier par lieu</x:v>
      </x:c>
      <x:c r="J1123" t="str">
        <x:v>https://github.com/darknigthmare/deadwall-last-enclosure/blob/1b3b9c5ba232734b1bda3453b4e20a0481bcdd74/codex-3000/compositions/Commerces non alimentaires/DW-1118.md</x:v>
      </x:c>
      <x:c r="K1123" t="str">
        <x:v>Source min 25,20 m ; max 180,120 m ; modèle 25 × 20 m ; niveaux 0. Détails dans catalogue-existant.json.</x:v>
      </x:c>
    </x:row>
    <x:row r="1124">
      <x:c r="A1124" t="str">
        <x:v>DW-1119</x:v>
      </x:c>
      <x:c r="B1124" t="str">
        <x:v>DW-0060</x:v>
      </x:c>
      <x:c r="C1124" t="str">
        <x:v>Composition héritée</x:v>
      </x:c>
      <x:c r="D1124" t="str">
        <x:v>Commerces non alimentaires</x:v>
      </x:c>
      <x:c r="E1124" t="str">
        <x:v>Galerie semi-abandonnée — Grande ville et métropole / service déplacé à l’arrière</x:v>
      </x:c>
      <x:c r="F1124" t="n">
        <x:v>8</x:v>
      </x:c>
      <x:c r="G1124" t="n">
        <x:v>4</x:v>
      </x:c>
      <x:c r="H1124" t="n">
        <x:v>10</x:v>
      </x:c>
      <x:c r="I1124" t="str">
        <x:v>À qualifier par lieu</x:v>
      </x:c>
      <x:c r="J1124" t="str">
        <x:v>https://github.com/darknigthmare/deadwall-last-enclosure/blob/1b3b9c5ba232734b1bda3453b4e20a0481bcdd74/codex-3000/compositions/Commerces non alimentaires/DW-1119.md</x:v>
      </x:c>
      <x:c r="K1124" t="str">
        <x:v>Source min 25,20 m ; max 180,120 m ; modèle 25 × 20 m ; niveaux 0. Détails dans catalogue-existant.json.</x:v>
      </x:c>
    </x:row>
    <x:row r="1125">
      <x:c r="A1125" t="str">
        <x:v>DW-1120</x:v>
      </x:c>
      <x:c r="B1125" t="str">
        <x:v>DW-0060</x:v>
      </x:c>
      <x:c r="C1125" t="str">
        <x:v>Composition héritée</x:v>
      </x:c>
      <x:c r="D1125" t="str">
        <x:v>Commerces non alimentaires</x:v>
      </x:c>
      <x:c r="E1125" t="str">
        <x:v>Galerie semi-abandonnée — Ville moyenne / réseau principal coupé</x:v>
      </x:c>
      <x:c r="F1125" t="n">
        <x:v>8</x:v>
      </x:c>
      <x:c r="G1125" t="n">
        <x:v>4</x:v>
      </x:c>
      <x:c r="H1125" t="n">
        <x:v>10</x:v>
      </x:c>
      <x:c r="I1125" t="str">
        <x:v>À qualifier par lieu</x:v>
      </x:c>
      <x:c r="J1125" t="str">
        <x:v>https://github.com/darknigthmare/deadwall-last-enclosure/blob/1b3b9c5ba232734b1bda3453b4e20a0481bcdd74/codex-3000/compositions/Commerces non alimentaires/DW-1120.md</x:v>
      </x:c>
      <x:c r="K1125" t="str">
        <x:v>Source min 25,20 m ; max 180,120 m ; modèle 25 × 20 m ; niveaux 0. Détails dans catalogue-existant.json.</x:v>
      </x:c>
    </x:row>
    <x:row r="1126">
      <x:c r="A1126" t="str">
        <x:v>DW-1121</x:v>
      </x:c>
      <x:c r="B1126" t="str">
        <x:v>DW-0061</x:v>
      </x:c>
      <x:c r="C1126" t="str">
        <x:v>Composition héritée</x:v>
      </x:c>
      <x:c r="D1126" t="str">
        <x:v>Alimentation et restauration</x:v>
      </x:c>
      <x:c r="E1126" t="str">
        <x:v>Supérette de quartier — Zone commerciale / reprise progressive de la végétation</x:v>
      </x:c>
      <x:c r="F1126" t="n">
        <x:v>8</x:v>
      </x:c>
      <x:c r="G1126" t="n">
        <x:v>4</x:v>
      </x:c>
      <x:c r="H1126" t="n">
        <x:v>12</x:v>
      </x:c>
      <x:c r="I1126" t="str">
        <x:v>À qualifier par lieu</x:v>
      </x:c>
      <x:c r="J1126" t="str">
        <x:v>https://github.com/darknigthmare/deadwall-last-enclosure/blob/1b3b9c5ba232734b1bda3453b4e20a0481bcdd74/codex-3000/compositions/Alimentation et restauration/DW-1121.md</x:v>
      </x:c>
      <x:c r="K1126" t="str">
        <x:v>Source min 18,14 m ; max 90,60 m ; modèle 25 × 18 m ; niveaux 0. Détails dans catalogue-existant.json.</x:v>
      </x:c>
    </x:row>
    <x:row r="1127">
      <x:c r="A1127" t="str">
        <x:v>DW-1122</x:v>
      </x:c>
      <x:c r="B1127" t="str">
        <x:v>DW-0061</x:v>
      </x:c>
      <x:c r="C1127" t="str">
        <x:v>Composition héritée</x:v>
      </x:c>
      <x:c r="D1127" t="str">
        <x:v>Alimentation et restauration</x:v>
      </x:c>
      <x:c r="E1127" t="str">
        <x:v>Supérette de quartier — Ville moyenne / repli organisé interrompu</x:v>
      </x:c>
      <x:c r="F1127" t="n">
        <x:v>8</x:v>
      </x:c>
      <x:c r="G1127" t="n">
        <x:v>4</x:v>
      </x:c>
      <x:c r="H1127" t="n">
        <x:v>12</x:v>
      </x:c>
      <x:c r="I1127" t="str">
        <x:v>À qualifier par lieu</x:v>
      </x:c>
      <x:c r="J1127" t="str">
        <x:v>https://github.com/darknigthmare/deadwall-last-enclosure/blob/1b3b9c5ba232734b1bda3453b4e20a0481bcdd74/codex-3000/compositions/Alimentation et restauration/DW-1122.md</x:v>
      </x:c>
      <x:c r="K1127" t="str">
        <x:v>Source min 18,14 m ; max 90,60 m ; modèle 25 × 18 m ; niveaux 0. Détails dans catalogue-existant.json.</x:v>
      </x:c>
    </x:row>
    <x:row r="1128">
      <x:c r="A1128" t="str">
        <x:v>DW-1123</x:v>
      </x:c>
      <x:c r="B1128" t="str">
        <x:v>DW-0062</x:v>
      </x:c>
      <x:c r="C1128" t="str">
        <x:v>Composition héritée</x:v>
      </x:c>
      <x:c r="D1128" t="str">
        <x:v>Alimentation et restauration</x:v>
      </x:c>
      <x:c r="E1128" t="str">
        <x:v>Supermarché avec quai — Village et bourg / relais temporaire envisagé</x:v>
      </x:c>
      <x:c r="F1128" t="n">
        <x:v>8</x:v>
      </x:c>
      <x:c r="G1128" t="n">
        <x:v>5</x:v>
      </x:c>
      <x:c r="H1128" t="n">
        <x:v>15</x:v>
      </x:c>
      <x:c r="I1128" t="str">
        <x:v>À qualifier par lieu</x:v>
      </x:c>
      <x:c r="J1128" t="str">
        <x:v>https://github.com/darknigthmare/deadwall-last-enclosure/blob/1b3b9c5ba232734b1bda3453b4e20a0481bcdd74/codex-3000/compositions/Alimentation et restauration/DW-1123.md</x:v>
      </x:c>
      <x:c r="K1128" t="str">
        <x:v>Source min 18,14 m ; max 90,60 m ; modèle 26 × 22 m ; niveaux 0. Détails dans catalogue-existant.json.</x:v>
      </x:c>
    </x:row>
    <x:row r="1129">
      <x:c r="A1129" t="str">
        <x:v>DW-1124</x:v>
      </x:c>
      <x:c r="B1129" t="str">
        <x:v>DW-0062</x:v>
      </x:c>
      <x:c r="C1129" t="str">
        <x:v>Composition héritée</x:v>
      </x:c>
      <x:c r="D1129" t="str">
        <x:v>Alimentation et restauration</x:v>
      </x:c>
      <x:c r="E1129" t="str">
        <x:v>Supermarché avec quai — Station-service et aire routière / évacuation interrompue</x:v>
      </x:c>
      <x:c r="F1129" t="n">
        <x:v>8</x:v>
      </x:c>
      <x:c r="G1129" t="n">
        <x:v>5</x:v>
      </x:c>
      <x:c r="H1129" t="n">
        <x:v>15</x:v>
      </x:c>
      <x:c r="I1129" t="str">
        <x:v>À qualifier par lieu</x:v>
      </x:c>
      <x:c r="J1129" t="str">
        <x:v>https://github.com/darknigthmare/deadwall-last-enclosure/blob/1b3b9c5ba232734b1bda3453b4e20a0481bcdd74/codex-3000/compositions/Alimentation et restauration/DW-1124.md</x:v>
      </x:c>
      <x:c r="K1129" t="str">
        <x:v>Source min 18,14 m ; max 90,60 m ; modèle 26 × 22 m ; niveaux 0. Détails dans catalogue-existant.json.</x:v>
      </x:c>
    </x:row>
    <x:row r="1130">
      <x:c r="A1130" t="str">
        <x:v>DW-1125</x:v>
      </x:c>
      <x:c r="B1130" t="str">
        <x:v>DW-0063</x:v>
      </x:c>
      <x:c r="C1130" t="str">
        <x:v>Composition héritée</x:v>
      </x:c>
      <x:c r="D1130" t="str">
        <x:v>Alimentation et restauration</x:v>
      </x:c>
      <x:c r="E1130" t="str">
        <x:v>Hypermarché périphérique — Ville moyenne / réseau principal coupé</x:v>
      </x:c>
      <x:c r="F1130" t="n">
        <x:v>8</x:v>
      </x:c>
      <x:c r="G1130" t="n">
        <x:v>5</x:v>
      </x:c>
      <x:c r="H1130" t="n">
        <x:v>13</x:v>
      </x:c>
      <x:c r="I1130" t="str">
        <x:v>À qualifier par lieu</x:v>
      </x:c>
      <x:c r="J1130" t="str">
        <x:v>https://github.com/darknigthmare/deadwall-last-enclosure/blob/1b3b9c5ba232734b1bda3453b4e20a0481bcdd74/codex-3000/compositions/Alimentation et restauration/DW-1125.md</x:v>
      </x:c>
      <x:c r="K1130" t="str">
        <x:v>Source min 18,14 m ; max 90,60 m ; modèle 26 × 22 m ; niveaux 0. Détails dans catalogue-existant.json.</x:v>
      </x:c>
    </x:row>
    <x:row r="1131">
      <x:c r="A1131" t="str">
        <x:v>DW-1126</x:v>
      </x:c>
      <x:c r="B1131" t="str">
        <x:v>DW-0063</x:v>
      </x:c>
      <x:c r="C1131" t="str">
        <x:v>Composition héritée</x:v>
      </x:c>
      <x:c r="D1131" t="str">
        <x:v>Alimentation et restauration</x:v>
      </x:c>
      <x:c r="E1131" t="str">
        <x:v>Hypermarché périphérique — Zone commerciale / arrêt de maintenance</x:v>
      </x:c>
      <x:c r="F1131" t="n">
        <x:v>8</x:v>
      </x:c>
      <x:c r="G1131" t="n">
        <x:v>5</x:v>
      </x:c>
      <x:c r="H1131" t="n">
        <x:v>13</x:v>
      </x:c>
      <x:c r="I1131" t="str">
        <x:v>À qualifier par lieu</x:v>
      </x:c>
      <x:c r="J1131" t="str">
        <x:v>https://github.com/darknigthmare/deadwall-last-enclosure/blob/1b3b9c5ba232734b1bda3453b4e20a0481bcdd74/codex-3000/compositions/Alimentation et restauration/DW-1126.md</x:v>
      </x:c>
      <x:c r="K1131" t="str">
        <x:v>Source min 18,14 m ; max 90,60 m ; modèle 26 × 22 m ; niveaux 0. Détails dans catalogue-existant.json.</x:v>
      </x:c>
    </x:row>
    <x:row r="1132">
      <x:c r="A1132" t="str">
        <x:v>DW-1127</x:v>
      </x:c>
      <x:c r="B1132" t="str">
        <x:v>DW-0064</x:v>
      </x:c>
      <x:c r="C1132" t="str">
        <x:v>Composition héritée</x:v>
      </x:c>
      <x:c r="D1132" t="str">
        <x:v>Alimentation et restauration</x:v>
      </x:c>
      <x:c r="E1132" t="str">
        <x:v>Épicerie rurale — Station-service et aire routière / repli organisé interrompu</x:v>
      </x:c>
      <x:c r="F1132" t="n">
        <x:v>8</x:v>
      </x:c>
      <x:c r="G1132" t="n">
        <x:v>4</x:v>
      </x:c>
      <x:c r="H1132" t="n">
        <x:v>12</x:v>
      </x:c>
      <x:c r="I1132" t="str">
        <x:v>À qualifier par lieu</x:v>
      </x:c>
      <x:c r="J1132" t="str">
        <x:v>https://github.com/darknigthmare/deadwall-last-enclosure/blob/1b3b9c5ba232734b1bda3453b4e20a0481bcdd74/codex-3000/compositions/Alimentation et restauration/DW-1127.md</x:v>
      </x:c>
      <x:c r="K1132" t="str">
        <x:v>Source min 18,14 m ; max 90,60 m ; modèle 25 × 18 m ; niveaux 0. Détails dans catalogue-existant.json.</x:v>
      </x:c>
    </x:row>
    <x:row r="1133">
      <x:c r="A1133" t="str">
        <x:v>DW-1128</x:v>
      </x:c>
      <x:c r="B1133" t="str">
        <x:v>DW-0064</x:v>
      </x:c>
      <x:c r="C1133" t="str">
        <x:v>Composition héritée</x:v>
      </x:c>
      <x:c r="D1133" t="str">
        <x:v>Alimentation et restauration</x:v>
      </x:c>
      <x:c r="E1133" t="str">
        <x:v>Épicerie rurale — Village et bourg / première récupération passée</x:v>
      </x:c>
      <x:c r="F1133" t="n">
        <x:v>8</x:v>
      </x:c>
      <x:c r="G1133" t="n">
        <x:v>4</x:v>
      </x:c>
      <x:c r="H1133" t="n">
        <x:v>12</x:v>
      </x:c>
      <x:c r="I1133" t="str">
        <x:v>À qualifier par lieu</x:v>
      </x:c>
      <x:c r="J1133" t="str">
        <x:v>https://github.com/darknigthmare/deadwall-last-enclosure/blob/1b3b9c5ba232734b1bda3453b4e20a0481bcdd74/codex-3000/compositions/Alimentation et restauration/DW-1128.md</x:v>
      </x:c>
      <x:c r="K1133" t="str">
        <x:v>Source min 18,14 m ; max 90,60 m ; modèle 25 × 18 m ; niveaux 0. Détails dans catalogue-existant.json.</x:v>
      </x:c>
    </x:row>
    <x:row r="1134">
      <x:c r="A1134" t="str">
        <x:v>DW-1129</x:v>
      </x:c>
      <x:c r="B1134" t="str">
        <x:v>DW-0065</x:v>
      </x:c>
      <x:c r="C1134" t="str">
        <x:v>Composition héritée</x:v>
      </x:c>
      <x:c r="D1134" t="str">
        <x:v>Alimentation et restauration</x:v>
      </x:c>
      <x:c r="E1134" t="str">
        <x:v>Boulangerie artisanale — Zone commerciale / évacuation interrompue</x:v>
      </x:c>
      <x:c r="F1134" t="n">
        <x:v>8</x:v>
      </x:c>
      <x:c r="G1134" t="n">
        <x:v>4</x:v>
      </x:c>
      <x:c r="H1134" t="n">
        <x:v>12</x:v>
      </x:c>
      <x:c r="I1134" t="str">
        <x:v>À qualifier par lieu</x:v>
      </x:c>
      <x:c r="J1134" t="str">
        <x:v>https://github.com/darknigthmare/deadwall-last-enclosure/blob/1b3b9c5ba232734b1bda3453b4e20a0481bcdd74/codex-3000/compositions/Alimentation et restauration/DW-1129.md</x:v>
      </x:c>
      <x:c r="K1134" t="str">
        <x:v>Source min 18,14 m ; max 90,60 m ; modèle 25 × 18 m ; niveaux 0. Détails dans catalogue-existant.json.</x:v>
      </x:c>
    </x:row>
    <x:row r="1135">
      <x:c r="A1135" t="str">
        <x:v>DW-1130</x:v>
      </x:c>
      <x:c r="B1135" t="str">
        <x:v>DW-0065</x:v>
      </x:c>
      <x:c r="C1135" t="str">
        <x:v>Composition héritée</x:v>
      </x:c>
      <x:c r="D1135" t="str">
        <x:v>Alimentation et restauration</x:v>
      </x:c>
      <x:c r="E1135" t="str">
        <x:v>Boulangerie artisanale — Ville moyenne / service déplacé à l’arrière</x:v>
      </x:c>
      <x:c r="F1135" t="n">
        <x:v>8</x:v>
      </x:c>
      <x:c r="G1135" t="n">
        <x:v>4</x:v>
      </x:c>
      <x:c r="H1135" t="n">
        <x:v>12</x:v>
      </x:c>
      <x:c r="I1135" t="str">
        <x:v>À qualifier par lieu</x:v>
      </x:c>
      <x:c r="J1135" t="str">
        <x:v>https://github.com/darknigthmare/deadwall-last-enclosure/blob/1b3b9c5ba232734b1bda3453b4e20a0481bcdd74/codex-3000/compositions/Alimentation et restauration/DW-1130.md</x:v>
      </x:c>
      <x:c r="K1135" t="str">
        <x:v>Source min 18,14 m ; max 90,60 m ; modèle 25 × 18 m ; niveaux 0. Détails dans catalogue-existant.json.</x:v>
      </x:c>
    </x:row>
    <x:row r="1136">
      <x:c r="A1136" t="str">
        <x:v>DW-1131</x:v>
      </x:c>
      <x:c r="B1136" t="str">
        <x:v>DW-0066</x:v>
      </x:c>
      <x:c r="C1136" t="str">
        <x:v>Composition héritée</x:v>
      </x:c>
      <x:c r="D1136" t="str">
        <x:v>Alimentation et restauration</x:v>
      </x:c>
      <x:c r="E1136" t="str">
        <x:v>Boucherie — Village et bourg / arrêt de maintenance</x:v>
      </x:c>
      <x:c r="F1136" t="n">
        <x:v>8</x:v>
      </x:c>
      <x:c r="G1136" t="n">
        <x:v>4</x:v>
      </x:c>
      <x:c r="H1136" t="n">
        <x:v>12</x:v>
      </x:c>
      <x:c r="I1136" t="str">
        <x:v>À qualifier par lieu</x:v>
      </x:c>
      <x:c r="J1136" t="str">
        <x:v>https://github.com/darknigthmare/deadwall-last-enclosure/blob/1b3b9c5ba232734b1bda3453b4e20a0481bcdd74/codex-3000/compositions/Alimentation et restauration/DW-1131.md</x:v>
      </x:c>
      <x:c r="K1136" t="str">
        <x:v>Source min 18,14 m ; max 90,60 m ; modèle 25 × 18 m ; niveaux 0. Détails dans catalogue-existant.json.</x:v>
      </x:c>
    </x:row>
    <x:row r="1137">
      <x:c r="A1137" t="str">
        <x:v>DW-1132</x:v>
      </x:c>
      <x:c r="B1137" t="str">
        <x:v>DW-0066</x:v>
      </x:c>
      <x:c r="C1137" t="str">
        <x:v>Composition héritée</x:v>
      </x:c>
      <x:c r="D1137" t="str">
        <x:v>Alimentation et restauration</x:v>
      </x:c>
      <x:c r="E1137" t="str">
        <x:v>Boucherie — Station-service et aire routière / reprise progressive de la végétation</x:v>
      </x:c>
      <x:c r="F1137" t="n">
        <x:v>8</x:v>
      </x:c>
      <x:c r="G1137" t="n">
        <x:v>4</x:v>
      </x:c>
      <x:c r="H1137" t="n">
        <x:v>12</x:v>
      </x:c>
      <x:c r="I1137" t="str">
        <x:v>À qualifier par lieu</x:v>
      </x:c>
      <x:c r="J1137" t="str">
        <x:v>https://github.com/darknigthmare/deadwall-last-enclosure/blob/1b3b9c5ba232734b1bda3453b4e20a0481bcdd74/codex-3000/compositions/Alimentation et restauration/DW-1132.md</x:v>
      </x:c>
      <x:c r="K1137" t="str">
        <x:v>Source min 18,14 m ; max 90,60 m ; modèle 25 × 18 m ; niveaux 0. Détails dans catalogue-existant.json.</x:v>
      </x:c>
    </x:row>
    <x:row r="1138">
      <x:c r="A1138" t="str">
        <x:v>DW-1133</x:v>
      </x:c>
      <x:c r="B1138" t="str">
        <x:v>DW-0067</x:v>
      </x:c>
      <x:c r="C1138" t="str">
        <x:v>Composition héritée</x:v>
      </x:c>
      <x:c r="D1138" t="str">
        <x:v>Alimentation et restauration</x:v>
      </x:c>
      <x:c r="E1138" t="str">
        <x:v>Poissonnerie — Ville moyenne / première récupération passée</x:v>
      </x:c>
      <x:c r="F1138" t="n">
        <x:v>8</x:v>
      </x:c>
      <x:c r="G1138" t="n">
        <x:v>4</x:v>
      </x:c>
      <x:c r="H1138" t="n">
        <x:v>12</x:v>
      </x:c>
      <x:c r="I1138" t="str">
        <x:v>À qualifier par lieu</x:v>
      </x:c>
      <x:c r="J1138" t="str">
        <x:v>https://github.com/darknigthmare/deadwall-last-enclosure/blob/1b3b9c5ba232734b1bda3453b4e20a0481bcdd74/codex-3000/compositions/Alimentation et restauration/DW-1133.md</x:v>
      </x:c>
      <x:c r="K1138" t="str">
        <x:v>Source min 18,14 m ; max 90,60 m ; modèle 25 × 18 m ; niveaux 0. Détails dans catalogue-existant.json.</x:v>
      </x:c>
    </x:row>
    <x:row r="1139">
      <x:c r="A1139" t="str">
        <x:v>DW-1134</x:v>
      </x:c>
      <x:c r="B1139" t="str">
        <x:v>DW-0067</x:v>
      </x:c>
      <x:c r="C1139" t="str">
        <x:v>Composition héritée</x:v>
      </x:c>
      <x:c r="D1139" t="str">
        <x:v>Alimentation et restauration</x:v>
      </x:c>
      <x:c r="E1139" t="str">
        <x:v>Poissonnerie — Zone commerciale / relais temporaire envisagé</x:v>
      </x:c>
      <x:c r="F1139" t="n">
        <x:v>8</x:v>
      </x:c>
      <x:c r="G1139" t="n">
        <x:v>4</x:v>
      </x:c>
      <x:c r="H1139" t="n">
        <x:v>12</x:v>
      </x:c>
      <x:c r="I1139" t="str">
        <x:v>À qualifier par lieu</x:v>
      </x:c>
      <x:c r="J1139" t="str">
        <x:v>https://github.com/darknigthmare/deadwall-last-enclosure/blob/1b3b9c5ba232734b1bda3453b4e20a0481bcdd74/codex-3000/compositions/Alimentation et restauration/DW-1134.md</x:v>
      </x:c>
      <x:c r="K1139" t="str">
        <x:v>Source min 18,14 m ; max 90,60 m ; modèle 25 × 18 m ; niveaux 0. Détails dans catalogue-existant.json.</x:v>
      </x:c>
    </x:row>
    <x:row r="1140">
      <x:c r="A1140" t="str">
        <x:v>DW-1135</x:v>
      </x:c>
      <x:c r="B1140" t="str">
        <x:v>DW-0068</x:v>
      </x:c>
      <x:c r="C1140" t="str">
        <x:v>Composition héritée</x:v>
      </x:c>
      <x:c r="D1140" t="str">
        <x:v>Alimentation et restauration</x:v>
      </x:c>
      <x:c r="E1140" t="str">
        <x:v>Primeur — Station-service et aire routière / service déplacé à l’arrière</x:v>
      </x:c>
      <x:c r="F1140" t="n">
        <x:v>8</x:v>
      </x:c>
      <x:c r="G1140" t="n">
        <x:v>4</x:v>
      </x:c>
      <x:c r="H1140" t="n">
        <x:v>12</x:v>
      </x:c>
      <x:c r="I1140" t="str">
        <x:v>À qualifier par lieu</x:v>
      </x:c>
      <x:c r="J1140" t="str">
        <x:v>https://github.com/darknigthmare/deadwall-last-enclosure/blob/1b3b9c5ba232734b1bda3453b4e20a0481bcdd74/codex-3000/compositions/Alimentation et restauration/DW-1135.md</x:v>
      </x:c>
      <x:c r="K1140" t="str">
        <x:v>Source min 18,14 m ; max 90,60 m ; modèle 25 × 18 m ; niveaux 0. Détails dans catalogue-existant.json.</x:v>
      </x:c>
    </x:row>
    <x:row r="1141">
      <x:c r="A1141" t="str">
        <x:v>DW-1136</x:v>
      </x:c>
      <x:c r="B1141" t="str">
        <x:v>DW-0068</x:v>
      </x:c>
      <x:c r="C1141" t="str">
        <x:v>Composition héritée</x:v>
      </x:c>
      <x:c r="D1141" t="str">
        <x:v>Alimentation et restauration</x:v>
      </x:c>
      <x:c r="E1141" t="str">
        <x:v>Primeur — Village et bourg / réseau principal coupé</x:v>
      </x:c>
      <x:c r="F1141" t="n">
        <x:v>8</x:v>
      </x:c>
      <x:c r="G1141" t="n">
        <x:v>4</x:v>
      </x:c>
      <x:c r="H1141" t="n">
        <x:v>12</x:v>
      </x:c>
      <x:c r="I1141" t="str">
        <x:v>À qualifier par lieu</x:v>
      </x:c>
      <x:c r="J1141" t="str">
        <x:v>https://github.com/darknigthmare/deadwall-last-enclosure/blob/1b3b9c5ba232734b1bda3453b4e20a0481bcdd74/codex-3000/compositions/Alimentation et restauration/DW-1136.md</x:v>
      </x:c>
      <x:c r="K1141" t="str">
        <x:v>Source min 18,14 m ; max 90,60 m ; modèle 25 × 18 m ; niveaux 0. Détails dans catalogue-existant.json.</x:v>
      </x:c>
    </x:row>
    <x:row r="1142">
      <x:c r="A1142" t="str">
        <x:v>DW-1137</x:v>
      </x:c>
      <x:c r="B1142" t="str">
        <x:v>DW-0069</x:v>
      </x:c>
      <x:c r="C1142" t="str">
        <x:v>Composition héritée</x:v>
      </x:c>
      <x:c r="D1142" t="str">
        <x:v>Alimentation et restauration</x:v>
      </x:c>
      <x:c r="E1142" t="str">
        <x:v>Restaurant routier — Zone commerciale / reprise progressive de la végétation</x:v>
      </x:c>
      <x:c r="F1142" t="n">
        <x:v>8</x:v>
      </x:c>
      <x:c r="G1142" t="n">
        <x:v>5</x:v>
      </x:c>
      <x:c r="H1142" t="n">
        <x:v>15</x:v>
      </x:c>
      <x:c r="I1142" t="str">
        <x:v>À qualifier par lieu</x:v>
      </x:c>
      <x:c r="J1142" t="str">
        <x:v>https://github.com/darknigthmare/deadwall-last-enclosure/blob/1b3b9c5ba232734b1bda3453b4e20a0481bcdd74/codex-3000/compositions/Alimentation et restauration/DW-1137.md</x:v>
      </x:c>
      <x:c r="K1142" t="str">
        <x:v>Source min 18,14 m ; max 90,60 m ; modèle 26 × 22 m ; niveaux 0. Détails dans catalogue-existant.json.</x:v>
      </x:c>
    </x:row>
    <x:row r="1143">
      <x:c r="A1143" t="str">
        <x:v>DW-1138</x:v>
      </x:c>
      <x:c r="B1143" t="str">
        <x:v>DW-0069</x:v>
      </x:c>
      <x:c r="C1143" t="str">
        <x:v>Composition héritée</x:v>
      </x:c>
      <x:c r="D1143" t="str">
        <x:v>Alimentation et restauration</x:v>
      </x:c>
      <x:c r="E1143" t="str">
        <x:v>Restaurant routier — Ville moyenne / repli organisé interrompu</x:v>
      </x:c>
      <x:c r="F1143" t="n">
        <x:v>8</x:v>
      </x:c>
      <x:c r="G1143" t="n">
        <x:v>5</x:v>
      </x:c>
      <x:c r="H1143" t="n">
        <x:v>15</x:v>
      </x:c>
      <x:c r="I1143" t="str">
        <x:v>À qualifier par lieu</x:v>
      </x:c>
      <x:c r="J1143" t="str">
        <x:v>https://github.com/darknigthmare/deadwall-last-enclosure/blob/1b3b9c5ba232734b1bda3453b4e20a0481bcdd74/codex-3000/compositions/Alimentation et restauration/DW-1138.md</x:v>
      </x:c>
      <x:c r="K1143" t="str">
        <x:v>Source min 18,14 m ; max 90,60 m ; modèle 26 × 22 m ; niveaux 0. Détails dans catalogue-existant.json.</x:v>
      </x:c>
    </x:row>
    <x:row r="1144">
      <x:c r="A1144" t="str">
        <x:v>DW-1139</x:v>
      </x:c>
      <x:c r="B1144" t="str">
        <x:v>DW-0070</x:v>
      </x:c>
      <x:c r="C1144" t="str">
        <x:v>Composition héritée</x:v>
      </x:c>
      <x:c r="D1144" t="str">
        <x:v>Alimentation et restauration</x:v>
      </x:c>
      <x:c r="E1144" t="str">
        <x:v>Restaurant de centre-ville — Village et bourg / relais temporaire envisagé</x:v>
      </x:c>
      <x:c r="F1144" t="n">
        <x:v>8</x:v>
      </x:c>
      <x:c r="G1144" t="n">
        <x:v>5</x:v>
      </x:c>
      <x:c r="H1144" t="n">
        <x:v>15</x:v>
      </x:c>
      <x:c r="I1144" t="str">
        <x:v>À qualifier par lieu</x:v>
      </x:c>
      <x:c r="J1144" t="str">
        <x:v>https://github.com/darknigthmare/deadwall-last-enclosure/blob/1b3b9c5ba232734b1bda3453b4e20a0481bcdd74/codex-3000/compositions/Alimentation et restauration/DW-1139.md</x:v>
      </x:c>
      <x:c r="K1144" t="str">
        <x:v>Source min 18,14 m ; max 90,60 m ; modèle 26 × 22 m ; niveaux 0. Détails dans catalogue-existant.json.</x:v>
      </x:c>
    </x:row>
    <x:row r="1145">
      <x:c r="A1145" t="str">
        <x:v>DW-1140</x:v>
      </x:c>
      <x:c r="B1145" t="str">
        <x:v>DW-0070</x:v>
      </x:c>
      <x:c r="C1145" t="str">
        <x:v>Composition héritée</x:v>
      </x:c>
      <x:c r="D1145" t="str">
        <x:v>Alimentation et restauration</x:v>
      </x:c>
      <x:c r="E1145" t="str">
        <x:v>Restaurant de centre-ville — Station-service et aire routière / évacuation interrompue</x:v>
      </x:c>
      <x:c r="F1145" t="n">
        <x:v>8</x:v>
      </x:c>
      <x:c r="G1145" t="n">
        <x:v>5</x:v>
      </x:c>
      <x:c r="H1145" t="n">
        <x:v>15</x:v>
      </x:c>
      <x:c r="I1145" t="str">
        <x:v>À qualifier par lieu</x:v>
      </x:c>
      <x:c r="J1145" t="str">
        <x:v>https://github.com/darknigthmare/deadwall-last-enclosure/blob/1b3b9c5ba232734b1bda3453b4e20a0481bcdd74/codex-3000/compositions/Alimentation et restauration/DW-1140.md</x:v>
      </x:c>
      <x:c r="K1145" t="str">
        <x:v>Source min 18,14 m ; max 90,60 m ; modèle 26 × 22 m ; niveaux 0. Détails dans catalogue-existant.json.</x:v>
      </x:c>
    </x:row>
    <x:row r="1146">
      <x:c r="A1146" t="str">
        <x:v>DW-1141</x:v>
      </x:c>
      <x:c r="B1146" t="str">
        <x:v>DW-0071</x:v>
      </x:c>
      <x:c r="C1146" t="str">
        <x:v>Composition héritée</x:v>
      </x:c>
      <x:c r="D1146" t="str">
        <x:v>Alimentation et restauration</x:v>
      </x:c>
      <x:c r="E1146" t="str">
        <x:v>Restauration rapide avec drive — Ville moyenne / réseau principal coupé</x:v>
      </x:c>
      <x:c r="F1146" t="n">
        <x:v>8</x:v>
      </x:c>
      <x:c r="G1146" t="n">
        <x:v>5</x:v>
      </x:c>
      <x:c r="H1146" t="n">
        <x:v>15</x:v>
      </x:c>
      <x:c r="I1146" t="str">
        <x:v>À qualifier par lieu</x:v>
      </x:c>
      <x:c r="J1146" t="str">
        <x:v>https://github.com/darknigthmare/deadwall-last-enclosure/blob/1b3b9c5ba232734b1bda3453b4e20a0481bcdd74/codex-3000/compositions/Alimentation et restauration/DW-1141.md</x:v>
      </x:c>
      <x:c r="K1146" t="str">
        <x:v>Source min 18,14 m ; max 90,60 m ; modèle 26 × 22 m ; niveaux 0. Détails dans catalogue-existant.json.</x:v>
      </x:c>
    </x:row>
    <x:row r="1147">
      <x:c r="A1147" t="str">
        <x:v>DW-1142</x:v>
      </x:c>
      <x:c r="B1147" t="str">
        <x:v>DW-0071</x:v>
      </x:c>
      <x:c r="C1147" t="str">
        <x:v>Composition héritée</x:v>
      </x:c>
      <x:c r="D1147" t="str">
        <x:v>Alimentation et restauration</x:v>
      </x:c>
      <x:c r="E1147" t="str">
        <x:v>Restauration rapide avec drive — Zone commerciale / arrêt de maintenance</x:v>
      </x:c>
      <x:c r="F1147" t="n">
        <x:v>8</x:v>
      </x:c>
      <x:c r="G1147" t="n">
        <x:v>5</x:v>
      </x:c>
      <x:c r="H1147" t="n">
        <x:v>15</x:v>
      </x:c>
      <x:c r="I1147" t="str">
        <x:v>À qualifier par lieu</x:v>
      </x:c>
      <x:c r="J1147" t="str">
        <x:v>https://github.com/darknigthmare/deadwall-last-enclosure/blob/1b3b9c5ba232734b1bda3453b4e20a0481bcdd74/codex-3000/compositions/Alimentation et restauration/DW-1142.md</x:v>
      </x:c>
      <x:c r="K1147" t="str">
        <x:v>Source min 18,14 m ; max 90,60 m ; modèle 26 × 22 m ; niveaux 0. Détails dans catalogue-existant.json.</x:v>
      </x:c>
    </x:row>
    <x:row r="1148">
      <x:c r="A1148" t="str">
        <x:v>DW-1143</x:v>
      </x:c>
      <x:c r="B1148" t="str">
        <x:v>DW-0072</x:v>
      </x:c>
      <x:c r="C1148" t="str">
        <x:v>Composition héritée</x:v>
      </x:c>
      <x:c r="D1148" t="str">
        <x:v>Alimentation et restauration</x:v>
      </x:c>
      <x:c r="E1148" t="str">
        <x:v>Cafétéria industrielle — Station-service et aire routière / repli organisé interrompu</x:v>
      </x:c>
      <x:c r="F1148" t="n">
        <x:v>8</x:v>
      </x:c>
      <x:c r="G1148" t="n">
        <x:v>4</x:v>
      </x:c>
      <x:c r="H1148" t="n">
        <x:v>12</x:v>
      </x:c>
      <x:c r="I1148" t="str">
        <x:v>À qualifier par lieu</x:v>
      </x:c>
      <x:c r="J1148" t="str">
        <x:v>https://github.com/darknigthmare/deadwall-last-enclosure/blob/1b3b9c5ba232734b1bda3453b4e20a0481bcdd74/codex-3000/compositions/Alimentation et restauration/DW-1143.md</x:v>
      </x:c>
      <x:c r="K1148" t="str">
        <x:v>Source min 18,14 m ; max 90,60 m ; modèle 25 × 18 m ; niveaux 0. Détails dans catalogue-existant.json.</x:v>
      </x:c>
    </x:row>
    <x:row r="1149">
      <x:c r="A1149" t="str">
        <x:v>DW-1144</x:v>
      </x:c>
      <x:c r="B1149" t="str">
        <x:v>DW-0072</x:v>
      </x:c>
      <x:c r="C1149" t="str">
        <x:v>Composition héritée</x:v>
      </x:c>
      <x:c r="D1149" t="str">
        <x:v>Alimentation et restauration</x:v>
      </x:c>
      <x:c r="E1149" t="str">
        <x:v>Cafétéria industrielle — Village et bourg / première récupération passée</x:v>
      </x:c>
      <x:c r="F1149" t="n">
        <x:v>8</x:v>
      </x:c>
      <x:c r="G1149" t="n">
        <x:v>4</x:v>
      </x:c>
      <x:c r="H1149" t="n">
        <x:v>12</x:v>
      </x:c>
      <x:c r="I1149" t="str">
        <x:v>À qualifier par lieu</x:v>
      </x:c>
      <x:c r="J1149" t="str">
        <x:v>https://github.com/darknigthmare/deadwall-last-enclosure/blob/1b3b9c5ba232734b1bda3453b4e20a0481bcdd74/codex-3000/compositions/Alimentation et restauration/DW-1144.md</x:v>
      </x:c>
      <x:c r="K1149" t="str">
        <x:v>Source min 18,14 m ; max 90,60 m ; modèle 25 × 18 m ; niveaux 0. Détails dans catalogue-existant.json.</x:v>
      </x:c>
    </x:row>
    <x:row r="1150">
      <x:c r="A1150" t="str">
        <x:v>DW-1145</x:v>
      </x:c>
      <x:c r="B1150" t="str">
        <x:v>DW-0073</x:v>
      </x:c>
      <x:c r="C1150" t="str">
        <x:v>Composition héritée</x:v>
      </x:c>
      <x:c r="D1150" t="str">
        <x:v>Alimentation et restauration</x:v>
      </x:c>
      <x:c r="E1150" t="str">
        <x:v>Cuisine centrale — Zone commerciale / évacuation interrompue</x:v>
      </x:c>
      <x:c r="F1150" t="n">
        <x:v>8</x:v>
      </x:c>
      <x:c r="G1150" t="n">
        <x:v>5</x:v>
      </x:c>
      <x:c r="H1150" t="n">
        <x:v>15</x:v>
      </x:c>
      <x:c r="I1150" t="str">
        <x:v>À qualifier par lieu</x:v>
      </x:c>
      <x:c r="J1150" t="str">
        <x:v>https://github.com/darknigthmare/deadwall-last-enclosure/blob/1b3b9c5ba232734b1bda3453b4e20a0481bcdd74/codex-3000/compositions/Alimentation et restauration/DW-1145.md</x:v>
      </x:c>
      <x:c r="K1150" t="str">
        <x:v>Source min 18,14 m ; max 90,60 m ; modèle 26 × 22 m ; niveaux 0. Détails dans catalogue-existant.json.</x:v>
      </x:c>
    </x:row>
    <x:row r="1151">
      <x:c r="A1151" t="str">
        <x:v>DW-1146</x:v>
      </x:c>
      <x:c r="B1151" t="str">
        <x:v>DW-0073</x:v>
      </x:c>
      <x:c r="C1151" t="str">
        <x:v>Composition héritée</x:v>
      </x:c>
      <x:c r="D1151" t="str">
        <x:v>Alimentation et restauration</x:v>
      </x:c>
      <x:c r="E1151" t="str">
        <x:v>Cuisine centrale — Ville moyenne / service déplacé à l’arrière</x:v>
      </x:c>
      <x:c r="F1151" t="n">
        <x:v>8</x:v>
      </x:c>
      <x:c r="G1151" t="n">
        <x:v>5</x:v>
      </x:c>
      <x:c r="H1151" t="n">
        <x:v>15</x:v>
      </x:c>
      <x:c r="I1151" t="str">
        <x:v>À qualifier par lieu</x:v>
      </x:c>
      <x:c r="J1151" t="str">
        <x:v>https://github.com/darknigthmare/deadwall-last-enclosure/blob/1b3b9c5ba232734b1bda3453b4e20a0481bcdd74/codex-3000/compositions/Alimentation et restauration/DW-1146.md</x:v>
      </x:c>
      <x:c r="K1151" t="str">
        <x:v>Source min 18,14 m ; max 90,60 m ; modèle 26 × 22 m ; niveaux 0. Détails dans catalogue-existant.json.</x:v>
      </x:c>
    </x:row>
    <x:row r="1152">
      <x:c r="A1152" t="str">
        <x:v>DW-1147</x:v>
      </x:c>
      <x:c r="B1152" t="str">
        <x:v>DW-0074</x:v>
      </x:c>
      <x:c r="C1152" t="str">
        <x:v>Composition héritée</x:v>
      </x:c>
      <x:c r="D1152" t="str">
        <x:v>Alimentation et restauration</x:v>
      </x:c>
      <x:c r="E1152" t="str">
        <x:v>Dépôt alimentaire associatif — Village et bourg / arrêt de maintenance</x:v>
      </x:c>
      <x:c r="F1152" t="n">
        <x:v>8</x:v>
      </x:c>
      <x:c r="G1152" t="n">
        <x:v>5</x:v>
      </x:c>
      <x:c r="H1152" t="n">
        <x:v>15</x:v>
      </x:c>
      <x:c r="I1152" t="str">
        <x:v>À qualifier par lieu</x:v>
      </x:c>
      <x:c r="J1152" t="str">
        <x:v>https://github.com/darknigthmare/deadwall-last-enclosure/blob/1b3b9c5ba232734b1bda3453b4e20a0481bcdd74/codex-3000/compositions/Alimentation et restauration/DW-1147.md</x:v>
      </x:c>
      <x:c r="K1152" t="str">
        <x:v>Source min 18,14 m ; max 90,60 m ; modèle 26 × 22 m ; niveaux 0. Détails dans catalogue-existant.json.</x:v>
      </x:c>
    </x:row>
    <x:row r="1153">
      <x:c r="A1153" t="str">
        <x:v>DW-1148</x:v>
      </x:c>
      <x:c r="B1153" t="str">
        <x:v>DW-0074</x:v>
      </x:c>
      <x:c r="C1153" t="str">
        <x:v>Composition héritée</x:v>
      </x:c>
      <x:c r="D1153" t="str">
        <x:v>Alimentation et restauration</x:v>
      </x:c>
      <x:c r="E1153" t="str">
        <x:v>Dépôt alimentaire associatif — Station-service et aire routière / reprise progressive de la végétation</x:v>
      </x:c>
      <x:c r="F1153" t="n">
        <x:v>8</x:v>
      </x:c>
      <x:c r="G1153" t="n">
        <x:v>5</x:v>
      </x:c>
      <x:c r="H1153" t="n">
        <x:v>15</x:v>
      </x:c>
      <x:c r="I1153" t="str">
        <x:v>À qualifier par lieu</x:v>
      </x:c>
      <x:c r="J1153" t="str">
        <x:v>https://github.com/darknigthmare/deadwall-last-enclosure/blob/1b3b9c5ba232734b1bda3453b4e20a0481bcdd74/codex-3000/compositions/Alimentation et restauration/DW-1148.md</x:v>
      </x:c>
      <x:c r="K1153" t="str">
        <x:v>Source min 18,14 m ; max 90,60 m ; modèle 26 × 22 m ; niveaux 0. Détails dans catalogue-existant.json.</x:v>
      </x:c>
    </x:row>
    <x:row r="1154">
      <x:c r="A1154" t="str">
        <x:v>DW-1149</x:v>
      </x:c>
      <x:c r="B1154" t="str">
        <x:v>DW-0075</x:v>
      </x:c>
      <x:c r="C1154" t="str">
        <x:v>Composition héritée</x:v>
      </x:c>
      <x:c r="D1154" t="str">
        <x:v>Alimentation et restauration</x:v>
      </x:c>
      <x:c r="E1154" t="str">
        <x:v>Grossiste fruits et légumes — Ville moyenne / première récupération passée</x:v>
      </x:c>
      <x:c r="F1154" t="n">
        <x:v>8</x:v>
      </x:c>
      <x:c r="G1154" t="n">
        <x:v>4</x:v>
      </x:c>
      <x:c r="H1154" t="n">
        <x:v>12</x:v>
      </x:c>
      <x:c r="I1154" t="str">
        <x:v>À qualifier par lieu</x:v>
      </x:c>
      <x:c r="J1154" t="str">
        <x:v>https://github.com/darknigthmare/deadwall-last-enclosure/blob/1b3b9c5ba232734b1bda3453b4e20a0481bcdd74/codex-3000/compositions/Alimentation et restauration/DW-1149.md</x:v>
      </x:c>
      <x:c r="K1154" t="str">
        <x:v>Source min 18,14 m ; max 90,60 m ; modèle 25 × 18 m ; niveaux 0. Détails dans catalogue-existant.json.</x:v>
      </x:c>
    </x:row>
    <x:row r="1155">
      <x:c r="A1155" t="str">
        <x:v>DW-1150</x:v>
      </x:c>
      <x:c r="B1155" t="str">
        <x:v>DW-0075</x:v>
      </x:c>
      <x:c r="C1155" t="str">
        <x:v>Composition héritée</x:v>
      </x:c>
      <x:c r="D1155" t="str">
        <x:v>Alimentation et restauration</x:v>
      </x:c>
      <x:c r="E1155" t="str">
        <x:v>Grossiste fruits et légumes — Zone commerciale / relais temporaire envisagé</x:v>
      </x:c>
      <x:c r="F1155" t="n">
        <x:v>8</x:v>
      </x:c>
      <x:c r="G1155" t="n">
        <x:v>4</x:v>
      </x:c>
      <x:c r="H1155" t="n">
        <x:v>12</x:v>
      </x:c>
      <x:c r="I1155" t="str">
        <x:v>À qualifier par lieu</x:v>
      </x:c>
      <x:c r="J1155" t="str">
        <x:v>https://github.com/darknigthmare/deadwall-last-enclosure/blob/1b3b9c5ba232734b1bda3453b4e20a0481bcdd74/codex-3000/compositions/Alimentation et restauration/DW-1150.md</x:v>
      </x:c>
      <x:c r="K1155" t="str">
        <x:v>Source min 18,14 m ; max 90,60 m ; modèle 25 × 18 m ; niveaux 0. Détails dans catalogue-existant.json.</x:v>
      </x:c>
    </x:row>
    <x:row r="1156">
      <x:c r="A1156" t="str">
        <x:v>DW-1151</x:v>
      </x:c>
      <x:c r="B1156" t="str">
        <x:v>DW-0076</x:v>
      </x:c>
      <x:c r="C1156" t="str">
        <x:v>Composition héritée</x:v>
      </x:c>
      <x:c r="D1156" t="str">
        <x:v>Alimentation et restauration</x:v>
      </x:c>
      <x:c r="E1156" t="str">
        <x:v>Entrepôt frigorifique — Station-service et aire routière / service déplacé à l’arrière</x:v>
      </x:c>
      <x:c r="F1156" t="n">
        <x:v>8</x:v>
      </x:c>
      <x:c r="G1156" t="n">
        <x:v>4</x:v>
      </x:c>
      <x:c r="H1156" t="n">
        <x:v>12</x:v>
      </x:c>
      <x:c r="I1156" t="str">
        <x:v>À qualifier par lieu</x:v>
      </x:c>
      <x:c r="J1156" t="str">
        <x:v>https://github.com/darknigthmare/deadwall-last-enclosure/blob/1b3b9c5ba232734b1bda3453b4e20a0481bcdd74/codex-3000/compositions/Alimentation et restauration/DW-1151.md</x:v>
      </x:c>
      <x:c r="K1156" t="str">
        <x:v>Source min 18,14 m ; max 90,60 m ; modèle 25 × 18 m ; niveaux 0. Détails dans catalogue-existant.json.</x:v>
      </x:c>
    </x:row>
    <x:row r="1157">
      <x:c r="A1157" t="str">
        <x:v>DW-1152</x:v>
      </x:c>
      <x:c r="B1157" t="str">
        <x:v>DW-0076</x:v>
      </x:c>
      <x:c r="C1157" t="str">
        <x:v>Composition héritée</x:v>
      </x:c>
      <x:c r="D1157" t="str">
        <x:v>Alimentation et restauration</x:v>
      </x:c>
      <x:c r="E1157" t="str">
        <x:v>Entrepôt frigorifique — Village et bourg / réseau principal coupé</x:v>
      </x:c>
      <x:c r="F1157" t="n">
        <x:v>8</x:v>
      </x:c>
      <x:c r="G1157" t="n">
        <x:v>4</x:v>
      </x:c>
      <x:c r="H1157" t="n">
        <x:v>12</x:v>
      </x:c>
      <x:c r="I1157" t="str">
        <x:v>À qualifier par lieu</x:v>
      </x:c>
      <x:c r="J1157" t="str">
        <x:v>https://github.com/darknigthmare/deadwall-last-enclosure/blob/1b3b9c5ba232734b1bda3453b4e20a0481bcdd74/codex-3000/compositions/Alimentation et restauration/DW-1152.md</x:v>
      </x:c>
      <x:c r="K1157" t="str">
        <x:v>Source min 18,14 m ; max 90,60 m ; modèle 25 × 18 m ; niveaux 0. Détails dans catalogue-existant.json.</x:v>
      </x:c>
    </x:row>
    <x:row r="1158">
      <x:c r="A1158" t="str">
        <x:v>DW-1153</x:v>
      </x:c>
      <x:c r="B1158" t="str">
        <x:v>DW-0077</x:v>
      </x:c>
      <x:c r="C1158" t="str">
        <x:v>Composition héritée</x:v>
      </x:c>
      <x:c r="D1158" t="str">
        <x:v>Alimentation et restauration</x:v>
      </x:c>
      <x:c r="E1158" t="str">
        <x:v>Atelier de conserves — Zone commerciale / reprise progressive de la végétation</x:v>
      </x:c>
      <x:c r="F1158" t="n">
        <x:v>8</x:v>
      </x:c>
      <x:c r="G1158" t="n">
        <x:v>5</x:v>
      </x:c>
      <x:c r="H1158" t="n">
        <x:v>15</x:v>
      </x:c>
      <x:c r="I1158" t="str">
        <x:v>À qualifier par lieu</x:v>
      </x:c>
      <x:c r="J1158" t="str">
        <x:v>https://github.com/darknigthmare/deadwall-last-enclosure/blob/1b3b9c5ba232734b1bda3453b4e20a0481bcdd74/codex-3000/compositions/Alimentation et restauration/DW-1153.md</x:v>
      </x:c>
      <x:c r="K1158" t="str">
        <x:v>Source min 18,14 m ; max 90,60 m ; modèle 26 × 22 m ; niveaux 0. Détails dans catalogue-existant.json.</x:v>
      </x:c>
    </x:row>
    <x:row r="1159">
      <x:c r="A1159" t="str">
        <x:v>DW-1154</x:v>
      </x:c>
      <x:c r="B1159" t="str">
        <x:v>DW-0077</x:v>
      </x:c>
      <x:c r="C1159" t="str">
        <x:v>Composition héritée</x:v>
      </x:c>
      <x:c r="D1159" t="str">
        <x:v>Alimentation et restauration</x:v>
      </x:c>
      <x:c r="E1159" t="str">
        <x:v>Atelier de conserves — Ville moyenne / repli organisé interrompu</x:v>
      </x:c>
      <x:c r="F1159" t="n">
        <x:v>8</x:v>
      </x:c>
      <x:c r="G1159" t="n">
        <x:v>5</x:v>
      </x:c>
      <x:c r="H1159" t="n">
        <x:v>15</x:v>
      </x:c>
      <x:c r="I1159" t="str">
        <x:v>À qualifier par lieu</x:v>
      </x:c>
      <x:c r="J1159" t="str">
        <x:v>https://github.com/darknigthmare/deadwall-last-enclosure/blob/1b3b9c5ba232734b1bda3453b4e20a0481bcdd74/codex-3000/compositions/Alimentation et restauration/DW-1154.md</x:v>
      </x:c>
      <x:c r="K1159" t="str">
        <x:v>Source min 18,14 m ; max 90,60 m ; modèle 26 × 22 m ; niveaux 0. Détails dans catalogue-existant.json.</x:v>
      </x:c>
    </x:row>
    <x:row r="1160">
      <x:c r="A1160" t="str">
        <x:v>DW-1155</x:v>
      </x:c>
      <x:c r="B1160" t="str">
        <x:v>DW-0078</x:v>
      </x:c>
      <x:c r="C1160" t="str">
        <x:v>Composition héritée</x:v>
      </x:c>
      <x:c r="D1160" t="str">
        <x:v>Alimentation et restauration</x:v>
      </x:c>
      <x:c r="E1160" t="str">
        <x:v>Cantine scolaire — Village et bourg / relais temporaire envisagé</x:v>
      </x:c>
      <x:c r="F1160" t="n">
        <x:v>8</x:v>
      </x:c>
      <x:c r="G1160" t="n">
        <x:v>4</x:v>
      </x:c>
      <x:c r="H1160" t="n">
        <x:v>12</x:v>
      </x:c>
      <x:c r="I1160" t="str">
        <x:v>À qualifier par lieu</x:v>
      </x:c>
      <x:c r="J1160" t="str">
        <x:v>https://github.com/darknigthmare/deadwall-last-enclosure/blob/1b3b9c5ba232734b1bda3453b4e20a0481bcdd74/codex-3000/compositions/Alimentation et restauration/DW-1155.md</x:v>
      </x:c>
      <x:c r="K1160" t="str">
        <x:v>Source min 18,14 m ; max 90,60 m ; modèle 25 × 18 m ; niveaux 0. Détails dans catalogue-existant.json.</x:v>
      </x:c>
    </x:row>
    <x:row r="1161">
      <x:c r="A1161" t="str">
        <x:v>DW-1156</x:v>
      </x:c>
      <x:c r="B1161" t="str">
        <x:v>DW-0078</x:v>
      </x:c>
      <x:c r="C1161" t="str">
        <x:v>Composition héritée</x:v>
      </x:c>
      <x:c r="D1161" t="str">
        <x:v>Alimentation et restauration</x:v>
      </x:c>
      <x:c r="E1161" t="str">
        <x:v>Cantine scolaire — Station-service et aire routière / évacuation interrompue</x:v>
      </x:c>
      <x:c r="F1161" t="n">
        <x:v>8</x:v>
      </x:c>
      <x:c r="G1161" t="n">
        <x:v>4</x:v>
      </x:c>
      <x:c r="H1161" t="n">
        <x:v>12</x:v>
      </x:c>
      <x:c r="I1161" t="str">
        <x:v>À qualifier par lieu</x:v>
      </x:c>
      <x:c r="J1161" t="str">
        <x:v>https://github.com/darknigthmare/deadwall-last-enclosure/blob/1b3b9c5ba232734b1bda3453b4e20a0481bcdd74/codex-3000/compositions/Alimentation et restauration/DW-1156.md</x:v>
      </x:c>
      <x:c r="K1161" t="str">
        <x:v>Source min 18,14 m ; max 90,60 m ; modèle 25 × 18 m ; niveaux 0. Détails dans catalogue-existant.json.</x:v>
      </x:c>
    </x:row>
    <x:row r="1162">
      <x:c r="A1162" t="str">
        <x:v>DW-1157</x:v>
      </x:c>
      <x:c r="B1162" t="str">
        <x:v>DW-0079</x:v>
      </x:c>
      <x:c r="C1162" t="str">
        <x:v>Composition héritée</x:v>
      </x:c>
      <x:c r="D1162" t="str">
        <x:v>Alimentation et restauration</x:v>
      </x:c>
      <x:c r="E1162" t="str">
        <x:v>Kiosque de parc — Ville moyenne / réseau principal coupé</x:v>
      </x:c>
      <x:c r="F1162" t="n">
        <x:v>8</x:v>
      </x:c>
      <x:c r="G1162" t="n">
        <x:v>4</x:v>
      </x:c>
      <x:c r="H1162" t="n">
        <x:v>12</x:v>
      </x:c>
      <x:c r="I1162" t="str">
        <x:v>À qualifier par lieu</x:v>
      </x:c>
      <x:c r="J1162" t="str">
        <x:v>https://github.com/darknigthmare/deadwall-last-enclosure/blob/1b3b9c5ba232734b1bda3453b4e20a0481bcdd74/codex-3000/compositions/Alimentation et restauration/DW-1157.md</x:v>
      </x:c>
      <x:c r="K1162" t="str">
        <x:v>Source min 18,14 m ; max 90,60 m ; modèle 25 × 18 m ; niveaux 0. Détails dans catalogue-existant.json.</x:v>
      </x:c>
    </x:row>
    <x:row r="1163">
      <x:c r="A1163" t="str">
        <x:v>DW-1158</x:v>
      </x:c>
      <x:c r="B1163" t="str">
        <x:v>DW-0079</x:v>
      </x:c>
      <x:c r="C1163" t="str">
        <x:v>Composition héritée</x:v>
      </x:c>
      <x:c r="D1163" t="str">
        <x:v>Alimentation et restauration</x:v>
      </x:c>
      <x:c r="E1163" t="str">
        <x:v>Kiosque de parc — Zone commerciale / arrêt de maintenance</x:v>
      </x:c>
      <x:c r="F1163" t="n">
        <x:v>8</x:v>
      </x:c>
      <x:c r="G1163" t="n">
        <x:v>4</x:v>
      </x:c>
      <x:c r="H1163" t="n">
        <x:v>12</x:v>
      </x:c>
      <x:c r="I1163" t="str">
        <x:v>À qualifier par lieu</x:v>
      </x:c>
      <x:c r="J1163" t="str">
        <x:v>https://github.com/darknigthmare/deadwall-last-enclosure/blob/1b3b9c5ba232734b1bda3453b4e20a0481bcdd74/codex-3000/compositions/Alimentation et restauration/DW-1158.md</x:v>
      </x:c>
      <x:c r="K1163" t="str">
        <x:v>Source min 18,14 m ; max 90,60 m ; modèle 25 × 18 m ; niveaux 0. Détails dans catalogue-existant.json.</x:v>
      </x:c>
    </x:row>
    <x:row r="1164">
      <x:c r="A1164" t="str">
        <x:v>DW-1159</x:v>
      </x:c>
      <x:c r="B1164" t="str">
        <x:v>DW-0080</x:v>
      </x:c>
      <x:c r="C1164" t="str">
        <x:v>Composition héritée</x:v>
      </x:c>
      <x:c r="D1164" t="str">
        <x:v>Alimentation et restauration</x:v>
      </x:c>
      <x:c r="E1164" t="str">
        <x:v>Marché de plein air — Station-service et aire routière / repli organisé interrompu</x:v>
      </x:c>
      <x:c r="F1164" t="n">
        <x:v>8</x:v>
      </x:c>
      <x:c r="G1164" t="n">
        <x:v>4</x:v>
      </x:c>
      <x:c r="H1164" t="n">
        <x:v>10</x:v>
      </x:c>
      <x:c r="I1164" t="str">
        <x:v>À qualifier par lieu</x:v>
      </x:c>
      <x:c r="J1164" t="str">
        <x:v>https://github.com/darknigthmare/deadwall-last-enclosure/blob/1b3b9c5ba232734b1bda3453b4e20a0481bcdd74/codex-3000/compositions/Alimentation et restauration/DW-1159.md</x:v>
      </x:c>
      <x:c r="K1164" t="str">
        <x:v>Source min 18,14 m ; max 90,60 m ; modèle 25 × 18 m ; niveaux 0. Détails dans catalogue-existant.json.</x:v>
      </x:c>
    </x:row>
    <x:row r="1165">
      <x:c r="A1165" t="str">
        <x:v>DW-1160</x:v>
      </x:c>
      <x:c r="B1165" t="str">
        <x:v>DW-0080</x:v>
      </x:c>
      <x:c r="C1165" t="str">
        <x:v>Composition héritée</x:v>
      </x:c>
      <x:c r="D1165" t="str">
        <x:v>Alimentation et restauration</x:v>
      </x:c>
      <x:c r="E1165" t="str">
        <x:v>Marché de plein air — Village et bourg / première récupération passée</x:v>
      </x:c>
      <x:c r="F1165" t="n">
        <x:v>8</x:v>
      </x:c>
      <x:c r="G1165" t="n">
        <x:v>4</x:v>
      </x:c>
      <x:c r="H1165" t="n">
        <x:v>10</x:v>
      </x:c>
      <x:c r="I1165" t="str">
        <x:v>À qualifier par lieu</x:v>
      </x:c>
      <x:c r="J1165" t="str">
        <x:v>https://github.com/darknigthmare/deadwall-last-enclosure/blob/1b3b9c5ba232734b1bda3453b4e20a0481bcdd74/codex-3000/compositions/Alimentation et restauration/DW-1160.md</x:v>
      </x:c>
      <x:c r="K1165" t="str">
        <x:v>Source min 18,14 m ; max 90,60 m ; modèle 25 × 18 m ; niveaux 0. Détails dans catalogue-existant.json.</x:v>
      </x:c>
    </x:row>
    <x:row r="1166">
      <x:c r="A1166" t="str">
        <x:v>DW-1161</x:v>
      </x:c>
      <x:c r="B1166" t="str">
        <x:v>DW-0081</x:v>
      </x:c>
      <x:c r="C1166" t="str">
        <x:v>Composition héritée</x:v>
      </x:c>
      <x:c r="D1166" t="str">
        <x:v>Services et petits ateliers</x:v>
      </x:c>
      <x:c r="E1166" t="str">
        <x:v>Banque de quartier — Atelier et artisanat / évacuation interrompue</x:v>
      </x:c>
      <x:c r="F1166" t="n">
        <x:v>8</x:v>
      </x:c>
      <x:c r="G1166" t="n">
        <x:v>4</x:v>
      </x:c>
      <x:c r="H1166" t="n">
        <x:v>12</x:v>
      </x:c>
      <x:c r="I1166" t="str">
        <x:v>À qualifier par lieu</x:v>
      </x:c>
      <x:c r="J1166" t="str">
        <x:v>https://github.com/darknigthmare/deadwall-last-enclosure/blob/1b3b9c5ba232734b1bda3453b4e20a0481bcdd74/codex-3000/compositions/Services et petits ateliers/DW-1161.md</x:v>
      </x:c>
      <x:c r="K1166" t="str">
        <x:v>Source min 12,10 m ; max 40,26 m ; modèle 25 × 18 m ; niveaux 0. Détails dans catalogue-existant.json.</x:v>
      </x:c>
    </x:row>
    <x:row r="1167">
      <x:c r="A1167" t="str">
        <x:v>DW-1162</x:v>
      </x:c>
      <x:c r="B1167" t="str">
        <x:v>DW-0081</x:v>
      </x:c>
      <x:c r="C1167" t="str">
        <x:v>Composition héritée</x:v>
      </x:c>
      <x:c r="D1167" t="str">
        <x:v>Services et petits ateliers</x:v>
      </x:c>
      <x:c r="E1167" t="str">
        <x:v>Banque de quartier — Zone industrielle / service déplacé à l’arrière</x:v>
      </x:c>
      <x:c r="F1167" t="n">
        <x:v>8</x:v>
      </x:c>
      <x:c r="G1167" t="n">
        <x:v>4</x:v>
      </x:c>
      <x:c r="H1167" t="n">
        <x:v>12</x:v>
      </x:c>
      <x:c r="I1167" t="str">
        <x:v>À qualifier par lieu</x:v>
      </x:c>
      <x:c r="J1167" t="str">
        <x:v>https://github.com/darknigthmare/deadwall-last-enclosure/blob/1b3b9c5ba232734b1bda3453b4e20a0481bcdd74/codex-3000/compositions/Services et petits ateliers/DW-1162.md</x:v>
      </x:c>
      <x:c r="K1167" t="str">
        <x:v>Source min 12,10 m ; max 40,26 m ; modèle 25 × 18 m ; niveaux 0. Détails dans catalogue-existant.json.</x:v>
      </x:c>
    </x:row>
    <x:row r="1168">
      <x:c r="A1168" t="str">
        <x:v>DW-1163</x:v>
      </x:c>
      <x:c r="B1168" t="str">
        <x:v>DW-0082</x:v>
      </x:c>
      <x:c r="C1168" t="str">
        <x:v>Composition héritée</x:v>
      </x:c>
      <x:c r="D1168" t="str">
        <x:v>Services et petits ateliers</x:v>
      </x:c>
      <x:c r="E1168" t="str">
        <x:v>Bureau postal — Village et bourg / arrêt de maintenance</x:v>
      </x:c>
      <x:c r="F1168" t="n">
        <x:v>8</x:v>
      </x:c>
      <x:c r="G1168" t="n">
        <x:v>4</x:v>
      </x:c>
      <x:c r="H1168" t="n">
        <x:v>12</x:v>
      </x:c>
      <x:c r="I1168" t="str">
        <x:v>À qualifier par lieu</x:v>
      </x:c>
      <x:c r="J1168" t="str">
        <x:v>https://github.com/darknigthmare/deadwall-last-enclosure/blob/1b3b9c5ba232734b1bda3453b4e20a0481bcdd74/codex-3000/compositions/Services et petits ateliers/DW-1163.md</x:v>
      </x:c>
      <x:c r="K1168" t="str">
        <x:v>Source min 12,10 m ; max 40,26 m ; modèle 25 × 18 m ; niveaux 0. Détails dans catalogue-existant.json.</x:v>
      </x:c>
    </x:row>
    <x:row r="1169">
      <x:c r="A1169" t="str">
        <x:v>DW-1164</x:v>
      </x:c>
      <x:c r="B1169" t="str">
        <x:v>DW-0082</x:v>
      </x:c>
      <x:c r="C1169" t="str">
        <x:v>Composition héritée</x:v>
      </x:c>
      <x:c r="D1169" t="str">
        <x:v>Services et petits ateliers</x:v>
      </x:c>
      <x:c r="E1169" t="str">
        <x:v>Bureau postal — Ville moyenne / reprise progressive de la végétation</x:v>
      </x:c>
      <x:c r="F1169" t="n">
        <x:v>8</x:v>
      </x:c>
      <x:c r="G1169" t="n">
        <x:v>4</x:v>
      </x:c>
      <x:c r="H1169" t="n">
        <x:v>12</x:v>
      </x:c>
      <x:c r="I1169" t="str">
        <x:v>À qualifier par lieu</x:v>
      </x:c>
      <x:c r="J1169" t="str">
        <x:v>https://github.com/darknigthmare/deadwall-last-enclosure/blob/1b3b9c5ba232734b1bda3453b4e20a0481bcdd74/codex-3000/compositions/Services et petits ateliers/DW-1164.md</x:v>
      </x:c>
      <x:c r="K1169" t="str">
        <x:v>Source min 12,10 m ; max 40,26 m ; modèle 25 × 18 m ; niveaux 0. Détails dans catalogue-existant.json.</x:v>
      </x:c>
    </x:row>
    <x:row r="1170">
      <x:c r="A1170" t="str">
        <x:v>DW-1165</x:v>
      </x:c>
      <x:c r="B1170" t="str">
        <x:v>DW-0083</x:v>
      </x:c>
      <x:c r="C1170" t="str">
        <x:v>Composition héritée</x:v>
      </x:c>
      <x:c r="D1170" t="str">
        <x:v>Services et petits ateliers</x:v>
      </x:c>
      <x:c r="E1170" t="str">
        <x:v>Agence d'intérim — Zone industrielle / première récupération passée</x:v>
      </x:c>
      <x:c r="F1170" t="n">
        <x:v>8</x:v>
      </x:c>
      <x:c r="G1170" t="n">
        <x:v>4</x:v>
      </x:c>
      <x:c r="H1170" t="n">
        <x:v>12</x:v>
      </x:c>
      <x:c r="I1170" t="str">
        <x:v>À qualifier par lieu</x:v>
      </x:c>
      <x:c r="J1170" t="str">
        <x:v>https://github.com/darknigthmare/deadwall-last-enclosure/blob/1b3b9c5ba232734b1bda3453b4e20a0481bcdd74/codex-3000/compositions/Services et petits ateliers/DW-1165.md</x:v>
      </x:c>
      <x:c r="K1170" t="str">
        <x:v>Source min 12,10 m ; max 40,26 m ; modèle 25 × 18 m ; niveaux 0. Détails dans catalogue-existant.json.</x:v>
      </x:c>
    </x:row>
    <x:row r="1171">
      <x:c r="A1171" t="str">
        <x:v>DW-1166</x:v>
      </x:c>
      <x:c r="B1171" t="str">
        <x:v>DW-0083</x:v>
      </x:c>
      <x:c r="C1171" t="str">
        <x:v>Composition héritée</x:v>
      </x:c>
      <x:c r="D1171" t="str">
        <x:v>Services et petits ateliers</x:v>
      </x:c>
      <x:c r="E1171" t="str">
        <x:v>Agence d'intérim — Atelier et artisanat / relais temporaire envisagé</x:v>
      </x:c>
      <x:c r="F1171" t="n">
        <x:v>8</x:v>
      </x:c>
      <x:c r="G1171" t="n">
        <x:v>4</x:v>
      </x:c>
      <x:c r="H1171" t="n">
        <x:v>12</x:v>
      </x:c>
      <x:c r="I1171" t="str">
        <x:v>À qualifier par lieu</x:v>
      </x:c>
      <x:c r="J1171" t="str">
        <x:v>https://github.com/darknigthmare/deadwall-last-enclosure/blob/1b3b9c5ba232734b1bda3453b4e20a0481bcdd74/codex-3000/compositions/Services et petits ateliers/DW-1166.md</x:v>
      </x:c>
      <x:c r="K1171" t="str">
        <x:v>Source min 12,10 m ; max 40,26 m ; modèle 25 × 18 m ; niveaux 0. Détails dans catalogue-existant.json.</x:v>
      </x:c>
    </x:row>
    <x:row r="1172">
      <x:c r="A1172" t="str">
        <x:v>DW-1167</x:v>
      </x:c>
      <x:c r="B1172" t="str">
        <x:v>DW-0084</x:v>
      </x:c>
      <x:c r="C1172" t="str">
        <x:v>Composition héritée</x:v>
      </x:c>
      <x:c r="D1172" t="str">
        <x:v>Services et petits ateliers</x:v>
      </x:c>
      <x:c r="E1172" t="str">
        <x:v>Salon de coiffure — Ville moyenne / service déplacé à l’arrière</x:v>
      </x:c>
      <x:c r="F1172" t="n">
        <x:v>8</x:v>
      </x:c>
      <x:c r="G1172" t="n">
        <x:v>4</x:v>
      </x:c>
      <x:c r="H1172" t="n">
        <x:v>12</x:v>
      </x:c>
      <x:c r="I1172" t="str">
        <x:v>À qualifier par lieu</x:v>
      </x:c>
      <x:c r="J1172" t="str">
        <x:v>https://github.com/darknigthmare/deadwall-last-enclosure/blob/1b3b9c5ba232734b1bda3453b4e20a0481bcdd74/codex-3000/compositions/Services et petits ateliers/DW-1167.md</x:v>
      </x:c>
      <x:c r="K1172" t="str">
        <x:v>Source min 12,10 m ; max 40,26 m ; modèle 25 × 18 m ; niveaux 0. Détails dans catalogue-existant.json.</x:v>
      </x:c>
    </x:row>
    <x:row r="1173">
      <x:c r="A1173" t="str">
        <x:v>DW-1168</x:v>
      </x:c>
      <x:c r="B1173" t="str">
        <x:v>DW-0084</x:v>
      </x:c>
      <x:c r="C1173" t="str">
        <x:v>Composition héritée</x:v>
      </x:c>
      <x:c r="D1173" t="str">
        <x:v>Services et petits ateliers</x:v>
      </x:c>
      <x:c r="E1173" t="str">
        <x:v>Salon de coiffure — Village et bourg / réseau principal coupé</x:v>
      </x:c>
      <x:c r="F1173" t="n">
        <x:v>8</x:v>
      </x:c>
      <x:c r="G1173" t="n">
        <x:v>4</x:v>
      </x:c>
      <x:c r="H1173" t="n">
        <x:v>12</x:v>
      </x:c>
      <x:c r="I1173" t="str">
        <x:v>À qualifier par lieu</x:v>
      </x:c>
      <x:c r="J1173" t="str">
        <x:v>https://github.com/darknigthmare/deadwall-last-enclosure/blob/1b3b9c5ba232734b1bda3453b4e20a0481bcdd74/codex-3000/compositions/Services et petits ateliers/DW-1168.md</x:v>
      </x:c>
      <x:c r="K1173" t="str">
        <x:v>Source min 12,10 m ; max 40,26 m ; modèle 25 × 18 m ; niveaux 0. Détails dans catalogue-existant.json.</x:v>
      </x:c>
    </x:row>
    <x:row r="1174">
      <x:c r="A1174" t="str">
        <x:v>DW-1169</x:v>
      </x:c>
      <x:c r="B1174" t="str">
        <x:v>DW-0085</x:v>
      </x:c>
      <x:c r="C1174" t="str">
        <x:v>Composition héritée</x:v>
      </x:c>
      <x:c r="D1174" t="str">
        <x:v>Services et petits ateliers</x:v>
      </x:c>
      <x:c r="E1174" t="str">
        <x:v>Laverie automatique — Atelier et artisanat / reprise progressive de la végétation</x:v>
      </x:c>
      <x:c r="F1174" t="n">
        <x:v>8</x:v>
      </x:c>
      <x:c r="G1174" t="n">
        <x:v>4</x:v>
      </x:c>
      <x:c r="H1174" t="n">
        <x:v>12</x:v>
      </x:c>
      <x:c r="I1174" t="str">
        <x:v>À qualifier par lieu</x:v>
      </x:c>
      <x:c r="J1174" t="str">
        <x:v>https://github.com/darknigthmare/deadwall-last-enclosure/blob/1b3b9c5ba232734b1bda3453b4e20a0481bcdd74/codex-3000/compositions/Services et petits ateliers/DW-1169.md</x:v>
      </x:c>
      <x:c r="K1174" t="str">
        <x:v>Source min 12,10 m ; max 40,26 m ; modèle 25 × 18 m ; niveaux 0. Détails dans catalogue-existant.json.</x:v>
      </x:c>
    </x:row>
    <x:row r="1175">
      <x:c r="A1175" t="str">
        <x:v>DW-1170</x:v>
      </x:c>
      <x:c r="B1175" t="str">
        <x:v>DW-0085</x:v>
      </x:c>
      <x:c r="C1175" t="str">
        <x:v>Composition héritée</x:v>
      </x:c>
      <x:c r="D1175" t="str">
        <x:v>Services et petits ateliers</x:v>
      </x:c>
      <x:c r="E1175" t="str">
        <x:v>Laverie automatique — Zone industrielle / repli organisé interrompu</x:v>
      </x:c>
      <x:c r="F1175" t="n">
        <x:v>8</x:v>
      </x:c>
      <x:c r="G1175" t="n">
        <x:v>4</x:v>
      </x:c>
      <x:c r="H1175" t="n">
        <x:v>12</x:v>
      </x:c>
      <x:c r="I1175" t="str">
        <x:v>À qualifier par lieu</x:v>
      </x:c>
      <x:c r="J1175" t="str">
        <x:v>https://github.com/darknigthmare/deadwall-last-enclosure/blob/1b3b9c5ba232734b1bda3453b4e20a0481bcdd74/codex-3000/compositions/Services et petits ateliers/DW-1170.md</x:v>
      </x:c>
      <x:c r="K1175" t="str">
        <x:v>Source min 12,10 m ; max 40,26 m ; modèle 25 × 18 m ; niveaux 0. Détails dans catalogue-existant.json.</x:v>
      </x:c>
    </x:row>
    <x:row r="1176">
      <x:c r="A1176" t="str">
        <x:v>DW-1171</x:v>
      </x:c>
      <x:c r="B1176" t="str">
        <x:v>DW-0086</x:v>
      </x:c>
      <x:c r="C1176" t="str">
        <x:v>Composition héritée</x:v>
      </x:c>
      <x:c r="D1176" t="str">
        <x:v>Services et petits ateliers</x:v>
      </x:c>
      <x:c r="E1176" t="str">
        <x:v>Pressing — Village et bourg / relais temporaire envisagé</x:v>
      </x:c>
      <x:c r="F1176" t="n">
        <x:v>8</x:v>
      </x:c>
      <x:c r="G1176" t="n">
        <x:v>4</x:v>
      </x:c>
      <x:c r="H1176" t="n">
        <x:v>10</x:v>
      </x:c>
      <x:c r="I1176" t="str">
        <x:v>À qualifier par lieu</x:v>
      </x:c>
      <x:c r="J1176" t="str">
        <x:v>https://github.com/darknigthmare/deadwall-last-enclosure/blob/1b3b9c5ba232734b1bda3453b4e20a0481bcdd74/codex-3000/compositions/Services et petits ateliers/DW-1171.md</x:v>
      </x:c>
      <x:c r="K1176" t="str">
        <x:v>Source min 12,10 m ; max 40,26 m ; modèle 25 × 18 m ; niveaux 0. Détails dans catalogue-existant.json.</x:v>
      </x:c>
    </x:row>
    <x:row r="1177">
      <x:c r="A1177" t="str">
        <x:v>DW-1172</x:v>
      </x:c>
      <x:c r="B1177" t="str">
        <x:v>DW-0086</x:v>
      </x:c>
      <x:c r="C1177" t="str">
        <x:v>Composition héritée</x:v>
      </x:c>
      <x:c r="D1177" t="str">
        <x:v>Services et petits ateliers</x:v>
      </x:c>
      <x:c r="E1177" t="str">
        <x:v>Pressing — Ville moyenne / évacuation interrompue</x:v>
      </x:c>
      <x:c r="F1177" t="n">
        <x:v>8</x:v>
      </x:c>
      <x:c r="G1177" t="n">
        <x:v>4</x:v>
      </x:c>
      <x:c r="H1177" t="n">
        <x:v>10</x:v>
      </x:c>
      <x:c r="I1177" t="str">
        <x:v>À qualifier par lieu</x:v>
      </x:c>
      <x:c r="J1177" t="str">
        <x:v>https://github.com/darknigthmare/deadwall-last-enclosure/blob/1b3b9c5ba232734b1bda3453b4e20a0481bcdd74/codex-3000/compositions/Services et petits ateliers/DW-1172.md</x:v>
      </x:c>
      <x:c r="K1177" t="str">
        <x:v>Source min 12,10 m ; max 40,26 m ; modèle 25 × 18 m ; niveaux 0. Détails dans catalogue-existant.json.</x:v>
      </x:c>
    </x:row>
    <x:row r="1178">
      <x:c r="A1178" t="str">
        <x:v>DW-1173</x:v>
      </x:c>
      <x:c r="B1178" t="str">
        <x:v>DW-0087</x:v>
      </x:c>
      <x:c r="C1178" t="str">
        <x:v>Composition héritée</x:v>
      </x:c>
      <x:c r="D1178" t="str">
        <x:v>Services et petits ateliers</x:v>
      </x:c>
      <x:c r="E1178" t="str">
        <x:v>Cordonnerie — Zone industrielle / réseau principal coupé</x:v>
      </x:c>
      <x:c r="F1178" t="n">
        <x:v>8</x:v>
      </x:c>
      <x:c r="G1178" t="n">
        <x:v>3</x:v>
      </x:c>
      <x:c r="H1178" t="n">
        <x:v>9</x:v>
      </x:c>
      <x:c r="I1178" t="str">
        <x:v>À qualifier par lieu</x:v>
      </x:c>
      <x:c r="J1178" t="str">
        <x:v>https://github.com/darknigthmare/deadwall-last-enclosure/blob/1b3b9c5ba232734b1bda3453b4e20a0481bcdd74/codex-3000/compositions/Services et petits ateliers/DW-1173.md</x:v>
      </x:c>
      <x:c r="K1178" t="str">
        <x:v>Source min 12,10 m ; max 40,26 m ; modèle 24 × 18 m ; niveaux 0. Détails dans catalogue-existant.json.</x:v>
      </x:c>
    </x:row>
    <x:row r="1179">
      <x:c r="A1179" t="str">
        <x:v>DW-1174</x:v>
      </x:c>
      <x:c r="B1179" t="str">
        <x:v>DW-0087</x:v>
      </x:c>
      <x:c r="C1179" t="str">
        <x:v>Composition héritée</x:v>
      </x:c>
      <x:c r="D1179" t="str">
        <x:v>Services et petits ateliers</x:v>
      </x:c>
      <x:c r="E1179" t="str">
        <x:v>Cordonnerie — Atelier et artisanat / arrêt de maintenance</x:v>
      </x:c>
      <x:c r="F1179" t="n">
        <x:v>8</x:v>
      </x:c>
      <x:c r="G1179" t="n">
        <x:v>3</x:v>
      </x:c>
      <x:c r="H1179" t="n">
        <x:v>9</x:v>
      </x:c>
      <x:c r="I1179" t="str">
        <x:v>À qualifier par lieu</x:v>
      </x:c>
      <x:c r="J1179" t="str">
        <x:v>https://github.com/darknigthmare/deadwall-last-enclosure/blob/1b3b9c5ba232734b1bda3453b4e20a0481bcdd74/codex-3000/compositions/Services et petits ateliers/DW-1174.md</x:v>
      </x:c>
      <x:c r="K1179" t="str">
        <x:v>Source min 12,10 m ; max 40,26 m ; modèle 24 × 18 m ; niveaux 0. Détails dans catalogue-existant.json.</x:v>
      </x:c>
    </x:row>
    <x:row r="1180">
      <x:c r="A1180" t="str">
        <x:v>DW-1175</x:v>
      </x:c>
      <x:c r="B1180" t="str">
        <x:v>DW-0088</x:v>
      </x:c>
      <x:c r="C1180" t="str">
        <x:v>Composition héritée</x:v>
      </x:c>
      <x:c r="D1180" t="str">
        <x:v>Services et petits ateliers</x:v>
      </x:c>
      <x:c r="E1180" t="str">
        <x:v>Centre de reprographie — Ville moyenne / repli organisé interrompu</x:v>
      </x:c>
      <x:c r="F1180" t="n">
        <x:v>8</x:v>
      </x:c>
      <x:c r="G1180" t="n">
        <x:v>4</x:v>
      </x:c>
      <x:c r="H1180" t="n">
        <x:v>12</x:v>
      </x:c>
      <x:c r="I1180" t="str">
        <x:v>À qualifier par lieu</x:v>
      </x:c>
      <x:c r="J1180" t="str">
        <x:v>https://github.com/darknigthmare/deadwall-last-enclosure/blob/1b3b9c5ba232734b1bda3453b4e20a0481bcdd74/codex-3000/compositions/Services et petits ateliers/DW-1175.md</x:v>
      </x:c>
      <x:c r="K1180" t="str">
        <x:v>Source min 12,10 m ; max 40,26 m ; modèle 25 × 18 m ; niveaux 0. Détails dans catalogue-existant.json.</x:v>
      </x:c>
    </x:row>
    <x:row r="1181">
      <x:c r="A1181" t="str">
        <x:v>DW-1176</x:v>
      </x:c>
      <x:c r="B1181" t="str">
        <x:v>DW-0088</x:v>
      </x:c>
      <x:c r="C1181" t="str">
        <x:v>Composition héritée</x:v>
      </x:c>
      <x:c r="D1181" t="str">
        <x:v>Services et petits ateliers</x:v>
      </x:c>
      <x:c r="E1181" t="str">
        <x:v>Centre de reprographie — Village et bourg / première récupération passée</x:v>
      </x:c>
      <x:c r="F1181" t="n">
        <x:v>8</x:v>
      </x:c>
      <x:c r="G1181" t="n">
        <x:v>4</x:v>
      </x:c>
      <x:c r="H1181" t="n">
        <x:v>12</x:v>
      </x:c>
      <x:c r="I1181" t="str">
        <x:v>À qualifier par lieu</x:v>
      </x:c>
      <x:c r="J1181" t="str">
        <x:v>https://github.com/darknigthmare/deadwall-last-enclosure/blob/1b3b9c5ba232734b1bda3453b4e20a0481bcdd74/codex-3000/compositions/Services et petits ateliers/DW-1176.md</x:v>
      </x:c>
      <x:c r="K1181" t="str">
        <x:v>Source min 12,10 m ; max 40,26 m ; modèle 25 × 18 m ; niveaux 0. Détails dans catalogue-existant.json.</x:v>
      </x:c>
    </x:row>
    <x:row r="1182">
      <x:c r="A1182" t="str">
        <x:v>DW-1177</x:v>
      </x:c>
      <x:c r="B1182" t="str">
        <x:v>DW-0089</x:v>
      </x:c>
      <x:c r="C1182" t="str">
        <x:v>Composition héritée</x:v>
      </x:c>
      <x:c r="D1182" t="str">
        <x:v>Services et petits ateliers</x:v>
      </x:c>
      <x:c r="E1182" t="str">
        <x:v>Agence immobilière — Atelier et artisanat / évacuation interrompue</x:v>
      </x:c>
      <x:c r="F1182" t="n">
        <x:v>8</x:v>
      </x:c>
      <x:c r="G1182" t="n">
        <x:v>4</x:v>
      </x:c>
      <x:c r="H1182" t="n">
        <x:v>12</x:v>
      </x:c>
      <x:c r="I1182" t="str">
        <x:v>À qualifier par lieu</x:v>
      </x:c>
      <x:c r="J1182" t="str">
        <x:v>https://github.com/darknigthmare/deadwall-last-enclosure/blob/1b3b9c5ba232734b1bda3453b4e20a0481bcdd74/codex-3000/compositions/Services et petits ateliers/DW-1177.md</x:v>
      </x:c>
      <x:c r="K1182" t="str">
        <x:v>Source min 12,10 m ; max 40,26 m ; modèle 25 × 18 m ; niveaux 0. Détails dans catalogue-existant.json.</x:v>
      </x:c>
    </x:row>
    <x:row r="1183">
      <x:c r="A1183" t="str">
        <x:v>DW-1178</x:v>
      </x:c>
      <x:c r="B1183" t="str">
        <x:v>DW-0089</x:v>
      </x:c>
      <x:c r="C1183" t="str">
        <x:v>Composition héritée</x:v>
      </x:c>
      <x:c r="D1183" t="str">
        <x:v>Services et petits ateliers</x:v>
      </x:c>
      <x:c r="E1183" t="str">
        <x:v>Agence immobilière — Zone industrielle / service déplacé à l’arrière</x:v>
      </x:c>
      <x:c r="F1183" t="n">
        <x:v>8</x:v>
      </x:c>
      <x:c r="G1183" t="n">
        <x:v>4</x:v>
      </x:c>
      <x:c r="H1183" t="n">
        <x:v>12</x:v>
      </x:c>
      <x:c r="I1183" t="str">
        <x:v>À qualifier par lieu</x:v>
      </x:c>
      <x:c r="J1183" t="str">
        <x:v>https://github.com/darknigthmare/deadwall-last-enclosure/blob/1b3b9c5ba232734b1bda3453b4e20a0481bcdd74/codex-3000/compositions/Services et petits ateliers/DW-1178.md</x:v>
      </x:c>
      <x:c r="K1183" t="str">
        <x:v>Source min 12,10 m ; max 40,26 m ; modèle 25 × 18 m ; niveaux 0. Détails dans catalogue-existant.json.</x:v>
      </x:c>
    </x:row>
    <x:row r="1184">
      <x:c r="A1184" t="str">
        <x:v>DW-1179</x:v>
      </x:c>
      <x:c r="B1184" t="str">
        <x:v>DW-0090</x:v>
      </x:c>
      <x:c r="C1184" t="str">
        <x:v>Composition héritée</x:v>
      </x:c>
      <x:c r="D1184" t="str">
        <x:v>Services et petits ateliers</x:v>
      </x:c>
      <x:c r="E1184" t="str">
        <x:v>Cabinet comptable — Village et bourg / arrêt de maintenance</x:v>
      </x:c>
      <x:c r="F1184" t="n">
        <x:v>8</x:v>
      </x:c>
      <x:c r="G1184" t="n">
        <x:v>4</x:v>
      </x:c>
      <x:c r="H1184" t="n">
        <x:v>12</x:v>
      </x:c>
      <x:c r="I1184" t="str">
        <x:v>À qualifier par lieu</x:v>
      </x:c>
      <x:c r="J1184" t="str">
        <x:v>https://github.com/darknigthmare/deadwall-last-enclosure/blob/1b3b9c5ba232734b1bda3453b4e20a0481bcdd74/codex-3000/compositions/Services et petits ateliers/DW-1179.md</x:v>
      </x:c>
      <x:c r="K1184" t="str">
        <x:v>Source min 12,10 m ; max 40,26 m ; modèle 25 × 18 m ; niveaux 0. Détails dans catalogue-existant.json.</x:v>
      </x:c>
    </x:row>
    <x:row r="1185">
      <x:c r="A1185" t="str">
        <x:v>DW-1180</x:v>
      </x:c>
      <x:c r="B1185" t="str">
        <x:v>DW-0090</x:v>
      </x:c>
      <x:c r="C1185" t="str">
        <x:v>Composition héritée</x:v>
      </x:c>
      <x:c r="D1185" t="str">
        <x:v>Services et petits ateliers</x:v>
      </x:c>
      <x:c r="E1185" t="str">
        <x:v>Cabinet comptable — Ville moyenne / reprise progressive de la végétation</x:v>
      </x:c>
      <x:c r="F1185" t="n">
        <x:v>8</x:v>
      </x:c>
      <x:c r="G1185" t="n">
        <x:v>4</x:v>
      </x:c>
      <x:c r="H1185" t="n">
        <x:v>12</x:v>
      </x:c>
      <x:c r="I1185" t="str">
        <x:v>À qualifier par lieu</x:v>
      </x:c>
      <x:c r="J1185" t="str">
        <x:v>https://github.com/darknigthmare/deadwall-last-enclosure/blob/1b3b9c5ba232734b1bda3453b4e20a0481bcdd74/codex-3000/compositions/Services et petits ateliers/DW-1180.md</x:v>
      </x:c>
      <x:c r="K1185" t="str">
        <x:v>Source min 12,10 m ; max 40,26 m ; modèle 25 × 18 m ; niveaux 0. Détails dans catalogue-existant.json.</x:v>
      </x:c>
    </x:row>
    <x:row r="1186">
      <x:c r="A1186" t="str">
        <x:v>DW-1181</x:v>
      </x:c>
      <x:c r="B1186" t="str">
        <x:v>DW-0091</x:v>
      </x:c>
      <x:c r="C1186" t="str">
        <x:v>Composition héritée</x:v>
      </x:c>
      <x:c r="D1186" t="str">
        <x:v>Services et petits ateliers</x:v>
      </x:c>
      <x:c r="E1186" t="str">
        <x:v>Étude notariale — Zone industrielle / première récupération passée</x:v>
      </x:c>
      <x:c r="F1186" t="n">
        <x:v>8</x:v>
      </x:c>
      <x:c r="G1186" t="n">
        <x:v>4</x:v>
      </x:c>
      <x:c r="H1186" t="n">
        <x:v>12</x:v>
      </x:c>
      <x:c r="I1186" t="str">
        <x:v>À qualifier par lieu</x:v>
      </x:c>
      <x:c r="J1186" t="str">
        <x:v>https://github.com/darknigthmare/deadwall-last-enclosure/blob/1b3b9c5ba232734b1bda3453b4e20a0481bcdd74/codex-3000/compositions/Services et petits ateliers/DW-1181.md</x:v>
      </x:c>
      <x:c r="K1186" t="str">
        <x:v>Source min 12,10 m ; max 40,26 m ; modèle 25 × 18 m ; niveaux 0. Détails dans catalogue-existant.json.</x:v>
      </x:c>
    </x:row>
    <x:row r="1187">
      <x:c r="A1187" t="str">
        <x:v>DW-1182</x:v>
      </x:c>
      <x:c r="B1187" t="str">
        <x:v>DW-0091</x:v>
      </x:c>
      <x:c r="C1187" t="str">
        <x:v>Composition héritée</x:v>
      </x:c>
      <x:c r="D1187" t="str">
        <x:v>Services et petits ateliers</x:v>
      </x:c>
      <x:c r="E1187" t="str">
        <x:v>Étude notariale — Atelier et artisanat / relais temporaire envisagé</x:v>
      </x:c>
      <x:c r="F1187" t="n">
        <x:v>8</x:v>
      </x:c>
      <x:c r="G1187" t="n">
        <x:v>4</x:v>
      </x:c>
      <x:c r="H1187" t="n">
        <x:v>12</x:v>
      </x:c>
      <x:c r="I1187" t="str">
        <x:v>À qualifier par lieu</x:v>
      </x:c>
      <x:c r="J1187" t="str">
        <x:v>https://github.com/darknigthmare/deadwall-last-enclosure/blob/1b3b9c5ba232734b1bda3453b4e20a0481bcdd74/codex-3000/compositions/Services et petits ateliers/DW-1182.md</x:v>
      </x:c>
      <x:c r="K1187" t="str">
        <x:v>Source min 12,10 m ; max 40,26 m ; modèle 25 × 18 m ; niveaux 0. Détails dans catalogue-existant.json.</x:v>
      </x:c>
    </x:row>
    <x:row r="1188">
      <x:c r="A1188" t="str">
        <x:v>DW-1183</x:v>
      </x:c>
      <x:c r="B1188" t="str">
        <x:v>DW-0092</x:v>
      </x:c>
      <x:c r="C1188" t="str">
        <x:v>Composition héritée</x:v>
      </x:c>
      <x:c r="D1188" t="str">
        <x:v>Services et petits ateliers</x:v>
      </x:c>
      <x:c r="E1188" t="str">
        <x:v>Atelier électronique — Ville moyenne / service déplacé à l’arrière</x:v>
      </x:c>
      <x:c r="F1188" t="n">
        <x:v>8</x:v>
      </x:c>
      <x:c r="G1188" t="n">
        <x:v>4</x:v>
      </x:c>
      <x:c r="H1188" t="n">
        <x:v>12</x:v>
      </x:c>
      <x:c r="I1188" t="str">
        <x:v>À qualifier par lieu</x:v>
      </x:c>
      <x:c r="J1188" t="str">
        <x:v>https://github.com/darknigthmare/deadwall-last-enclosure/blob/1b3b9c5ba232734b1bda3453b4e20a0481bcdd74/codex-3000/compositions/Services et petits ateliers/DW-1183.md</x:v>
      </x:c>
      <x:c r="K1188" t="str">
        <x:v>Source min 12,10 m ; max 40,26 m ; modèle 25 × 18 m ; niveaux 0. Détails dans catalogue-existant.json.</x:v>
      </x:c>
    </x:row>
    <x:row r="1189">
      <x:c r="A1189" t="str">
        <x:v>DW-1184</x:v>
      </x:c>
      <x:c r="B1189" t="str">
        <x:v>DW-0092</x:v>
      </x:c>
      <x:c r="C1189" t="str">
        <x:v>Composition héritée</x:v>
      </x:c>
      <x:c r="D1189" t="str">
        <x:v>Services et petits ateliers</x:v>
      </x:c>
      <x:c r="E1189" t="str">
        <x:v>Atelier électronique — Village et bourg / réseau principal coupé</x:v>
      </x:c>
      <x:c r="F1189" t="n">
        <x:v>8</x:v>
      </x:c>
      <x:c r="G1189" t="n">
        <x:v>4</x:v>
      </x:c>
      <x:c r="H1189" t="n">
        <x:v>12</x:v>
      </x:c>
      <x:c r="I1189" t="str">
        <x:v>À qualifier par lieu</x:v>
      </x:c>
      <x:c r="J1189" t="str">
        <x:v>https://github.com/darknigthmare/deadwall-last-enclosure/blob/1b3b9c5ba232734b1bda3453b4e20a0481bcdd74/codex-3000/compositions/Services et petits ateliers/DW-1184.md</x:v>
      </x:c>
      <x:c r="K1189" t="str">
        <x:v>Source min 12,10 m ; max 40,26 m ; modèle 25 × 18 m ; niveaux 0. Détails dans catalogue-existant.json.</x:v>
      </x:c>
    </x:row>
    <x:row r="1190">
      <x:c r="A1190" t="str">
        <x:v>DW-1185</x:v>
      </x:c>
      <x:c r="B1190" t="str">
        <x:v>DW-0093</x:v>
      </x:c>
      <x:c r="C1190" t="str">
        <x:v>Composition héritée</x:v>
      </x:c>
      <x:c r="D1190" t="str">
        <x:v>Services et petits ateliers</x:v>
      </x:c>
      <x:c r="E1190" t="str">
        <x:v>Entreprise de plomberie — Atelier et artisanat / reprise progressive de la végétation</x:v>
      </x:c>
      <x:c r="F1190" t="n">
        <x:v>8</x:v>
      </x:c>
      <x:c r="G1190" t="n">
        <x:v>4</x:v>
      </x:c>
      <x:c r="H1190" t="n">
        <x:v>12</x:v>
      </x:c>
      <x:c r="I1190" t="str">
        <x:v>À qualifier par lieu</x:v>
      </x:c>
      <x:c r="J1190" t="str">
        <x:v>https://github.com/darknigthmare/deadwall-last-enclosure/blob/1b3b9c5ba232734b1bda3453b4e20a0481bcdd74/codex-3000/compositions/Services et petits ateliers/DW-1185.md</x:v>
      </x:c>
      <x:c r="K1190" t="str">
        <x:v>Source min 12,10 m ; max 40,26 m ; modèle 25 × 18 m ; niveaux 0. Détails dans catalogue-existant.json.</x:v>
      </x:c>
    </x:row>
    <x:row r="1191">
      <x:c r="A1191" t="str">
        <x:v>DW-1186</x:v>
      </x:c>
      <x:c r="B1191" t="str">
        <x:v>DW-0093</x:v>
      </x:c>
      <x:c r="C1191" t="str">
        <x:v>Composition héritée</x:v>
      </x:c>
      <x:c r="D1191" t="str">
        <x:v>Services et petits ateliers</x:v>
      </x:c>
      <x:c r="E1191" t="str">
        <x:v>Entreprise de plomberie — Zone industrielle / repli organisé interrompu</x:v>
      </x:c>
      <x:c r="F1191" t="n">
        <x:v>8</x:v>
      </x:c>
      <x:c r="G1191" t="n">
        <x:v>4</x:v>
      </x:c>
      <x:c r="H1191" t="n">
        <x:v>12</x:v>
      </x:c>
      <x:c r="I1191" t="str">
        <x:v>À qualifier par lieu</x:v>
      </x:c>
      <x:c r="J1191" t="str">
        <x:v>https://github.com/darknigthmare/deadwall-last-enclosure/blob/1b3b9c5ba232734b1bda3453b4e20a0481bcdd74/codex-3000/compositions/Services et petits ateliers/DW-1186.md</x:v>
      </x:c>
      <x:c r="K1191" t="str">
        <x:v>Source min 12,10 m ; max 40,26 m ; modèle 25 × 18 m ; niveaux 0. Détails dans catalogue-existant.json.</x:v>
      </x:c>
    </x:row>
    <x:row r="1192">
      <x:c r="A1192" t="str">
        <x:v>DW-1187</x:v>
      </x:c>
      <x:c r="B1192" t="str">
        <x:v>DW-0094</x:v>
      </x:c>
      <x:c r="C1192" t="str">
        <x:v>Composition héritée</x:v>
      </x:c>
      <x:c r="D1192" t="str">
        <x:v>Services et petits ateliers</x:v>
      </x:c>
      <x:c r="E1192" t="str">
        <x:v>Entreprise d'électricité — Village et bourg / relais temporaire envisagé</x:v>
      </x:c>
      <x:c r="F1192" t="n">
        <x:v>8</x:v>
      </x:c>
      <x:c r="G1192" t="n">
        <x:v>4</x:v>
      </x:c>
      <x:c r="H1192" t="n">
        <x:v>12</x:v>
      </x:c>
      <x:c r="I1192" t="str">
        <x:v>À qualifier par lieu</x:v>
      </x:c>
      <x:c r="J1192" t="str">
        <x:v>https://github.com/darknigthmare/deadwall-last-enclosure/blob/1b3b9c5ba232734b1bda3453b4e20a0481bcdd74/codex-3000/compositions/Services et petits ateliers/DW-1187.md</x:v>
      </x:c>
      <x:c r="K1192" t="str">
        <x:v>Source min 12,10 m ; max 40,26 m ; modèle 25 × 18 m ; niveaux 0. Détails dans catalogue-existant.json.</x:v>
      </x:c>
    </x:row>
    <x:row r="1193">
      <x:c r="A1193" t="str">
        <x:v>DW-1188</x:v>
      </x:c>
      <x:c r="B1193" t="str">
        <x:v>DW-0094</x:v>
      </x:c>
      <x:c r="C1193" t="str">
        <x:v>Composition héritée</x:v>
      </x:c>
      <x:c r="D1193" t="str">
        <x:v>Services et petits ateliers</x:v>
      </x:c>
      <x:c r="E1193" t="str">
        <x:v>Entreprise d'électricité — Ville moyenne / évacuation interrompue</x:v>
      </x:c>
      <x:c r="F1193" t="n">
        <x:v>8</x:v>
      </x:c>
      <x:c r="G1193" t="n">
        <x:v>4</x:v>
      </x:c>
      <x:c r="H1193" t="n">
        <x:v>12</x:v>
      </x:c>
      <x:c r="I1193" t="str">
        <x:v>À qualifier par lieu</x:v>
      </x:c>
      <x:c r="J1193" t="str">
        <x:v>https://github.com/darknigthmare/deadwall-last-enclosure/blob/1b3b9c5ba232734b1bda3453b4e20a0481bcdd74/codex-3000/compositions/Services et petits ateliers/DW-1188.md</x:v>
      </x:c>
      <x:c r="K1193" t="str">
        <x:v>Source min 12,10 m ; max 40,26 m ; modèle 25 × 18 m ; niveaux 0. Détails dans catalogue-existant.json.</x:v>
      </x:c>
    </x:row>
    <x:row r="1194">
      <x:c r="A1194" t="str">
        <x:v>DW-1189</x:v>
      </x:c>
      <x:c r="B1194" t="str">
        <x:v>DW-0095</x:v>
      </x:c>
      <x:c r="C1194" t="str">
        <x:v>Composition héritée</x:v>
      </x:c>
      <x:c r="D1194" t="str">
        <x:v>Services et petits ateliers</x:v>
      </x:c>
      <x:c r="E1194" t="str">
        <x:v>Serrurerie — Zone industrielle / réseau principal coupé</x:v>
      </x:c>
      <x:c r="F1194" t="n">
        <x:v>8</x:v>
      </x:c>
      <x:c r="G1194" t="n">
        <x:v>4</x:v>
      </x:c>
      <x:c r="H1194" t="n">
        <x:v>12</x:v>
      </x:c>
      <x:c r="I1194" t="str">
        <x:v>À qualifier par lieu</x:v>
      </x:c>
      <x:c r="J1194" t="str">
        <x:v>https://github.com/darknigthmare/deadwall-last-enclosure/blob/1b3b9c5ba232734b1bda3453b4e20a0481bcdd74/codex-3000/compositions/Services et petits ateliers/DW-1189.md</x:v>
      </x:c>
      <x:c r="K1194" t="str">
        <x:v>Source min 12,10 m ; max 40,26 m ; modèle 25 × 18 m ; niveaux 0. Détails dans catalogue-existant.json.</x:v>
      </x:c>
    </x:row>
    <x:row r="1195">
      <x:c r="A1195" t="str">
        <x:v>DW-1190</x:v>
      </x:c>
      <x:c r="B1195" t="str">
        <x:v>DW-0095</x:v>
      </x:c>
      <x:c r="C1195" t="str">
        <x:v>Composition héritée</x:v>
      </x:c>
      <x:c r="D1195" t="str">
        <x:v>Services et petits ateliers</x:v>
      </x:c>
      <x:c r="E1195" t="str">
        <x:v>Serrurerie — Atelier et artisanat / arrêt de maintenance</x:v>
      </x:c>
      <x:c r="F1195" t="n">
        <x:v>8</x:v>
      </x:c>
      <x:c r="G1195" t="n">
        <x:v>4</x:v>
      </x:c>
      <x:c r="H1195" t="n">
        <x:v>12</x:v>
      </x:c>
      <x:c r="I1195" t="str">
        <x:v>À qualifier par lieu</x:v>
      </x:c>
      <x:c r="J1195" t="str">
        <x:v>https://github.com/darknigthmare/deadwall-last-enclosure/blob/1b3b9c5ba232734b1bda3453b4e20a0481bcdd74/codex-3000/compositions/Services et petits ateliers/DW-1190.md</x:v>
      </x:c>
      <x:c r="K1195" t="str">
        <x:v>Source min 12,10 m ; max 40,26 m ; modèle 25 × 18 m ; niveaux 0. Détails dans catalogue-existant.json.</x:v>
      </x:c>
    </x:row>
    <x:row r="1196">
      <x:c r="A1196" t="str">
        <x:v>DW-1191</x:v>
      </x:c>
      <x:c r="B1196" t="str">
        <x:v>DW-0096</x:v>
      </x:c>
      <x:c r="C1196" t="str">
        <x:v>Composition héritée</x:v>
      </x:c>
      <x:c r="D1196" t="str">
        <x:v>Services et petits ateliers</x:v>
      </x:c>
      <x:c r="E1196" t="str">
        <x:v>Service funéraire — Ville moyenne / repli organisé interrompu</x:v>
      </x:c>
      <x:c r="F1196" t="n">
        <x:v>8</x:v>
      </x:c>
      <x:c r="G1196" t="n">
        <x:v>4</x:v>
      </x:c>
      <x:c r="H1196" t="n">
        <x:v>12</x:v>
      </x:c>
      <x:c r="I1196" t="str">
        <x:v>À qualifier par lieu</x:v>
      </x:c>
      <x:c r="J1196" t="str">
        <x:v>https://github.com/darknigthmare/deadwall-last-enclosure/blob/1b3b9c5ba232734b1bda3453b4e20a0481bcdd74/codex-3000/compositions/Services et petits ateliers/DW-1191.md</x:v>
      </x:c>
      <x:c r="K1196" t="str">
        <x:v>Source min 12,10 m ; max 40,26 m ; modèle 25 × 18 m ; niveaux 0. Détails dans catalogue-existant.json.</x:v>
      </x:c>
    </x:row>
    <x:row r="1197">
      <x:c r="A1197" t="str">
        <x:v>DW-1192</x:v>
      </x:c>
      <x:c r="B1197" t="str">
        <x:v>DW-0096</x:v>
      </x:c>
      <x:c r="C1197" t="str">
        <x:v>Composition héritée</x:v>
      </x:c>
      <x:c r="D1197" t="str">
        <x:v>Services et petits ateliers</x:v>
      </x:c>
      <x:c r="E1197" t="str">
        <x:v>Service funéraire — Village et bourg / première récupération passée</x:v>
      </x:c>
      <x:c r="F1197" t="n">
        <x:v>8</x:v>
      </x:c>
      <x:c r="G1197" t="n">
        <x:v>4</x:v>
      </x:c>
      <x:c r="H1197" t="n">
        <x:v>12</x:v>
      </x:c>
      <x:c r="I1197" t="str">
        <x:v>À qualifier par lieu</x:v>
      </x:c>
      <x:c r="J1197" t="str">
        <x:v>https://github.com/darknigthmare/deadwall-last-enclosure/blob/1b3b9c5ba232734b1bda3453b4e20a0481bcdd74/codex-3000/compositions/Services et petits ateliers/DW-1192.md</x:v>
      </x:c>
      <x:c r="K1197" t="str">
        <x:v>Source min 12,10 m ; max 40,26 m ; modèle 25 × 18 m ; niveaux 0. Détails dans catalogue-existant.json.</x:v>
      </x:c>
    </x:row>
    <x:row r="1198">
      <x:c r="A1198" t="str">
        <x:v>DW-1193</x:v>
      </x:c>
      <x:c r="B1198" t="str">
        <x:v>DW-0097</x:v>
      </x:c>
      <x:c r="C1198" t="str">
        <x:v>Composition héritée</x:v>
      </x:c>
      <x:c r="D1198" t="str">
        <x:v>Services et petits ateliers</x:v>
      </x:c>
      <x:c r="E1198" t="str">
        <x:v>Clinique vétérinaire — Atelier et artisanat / évacuation interrompue</x:v>
      </x:c>
      <x:c r="F1198" t="n">
        <x:v>8</x:v>
      </x:c>
      <x:c r="G1198" t="n">
        <x:v>4</x:v>
      </x:c>
      <x:c r="H1198" t="n">
        <x:v>12</x:v>
      </x:c>
      <x:c r="I1198" t="str">
        <x:v>À qualifier par lieu</x:v>
      </x:c>
      <x:c r="J1198" t="str">
        <x:v>https://github.com/darknigthmare/deadwall-last-enclosure/blob/1b3b9c5ba232734b1bda3453b4e20a0481bcdd74/codex-3000/compositions/Services et petits ateliers/DW-1193.md</x:v>
      </x:c>
      <x:c r="K1198" t="str">
        <x:v>Source min 12,10 m ; max 40,26 m ; modèle 25 × 18 m ; niveaux 0. Détails dans catalogue-existant.json.</x:v>
      </x:c>
    </x:row>
    <x:row r="1199">
      <x:c r="A1199" t="str">
        <x:v>DW-1194</x:v>
      </x:c>
      <x:c r="B1199" t="str">
        <x:v>DW-0097</x:v>
      </x:c>
      <x:c r="C1199" t="str">
        <x:v>Composition héritée</x:v>
      </x:c>
      <x:c r="D1199" t="str">
        <x:v>Services et petits ateliers</x:v>
      </x:c>
      <x:c r="E1199" t="str">
        <x:v>Clinique vétérinaire — Zone industrielle / service déplacé à l’arrière</x:v>
      </x:c>
      <x:c r="F1199" t="n">
        <x:v>8</x:v>
      </x:c>
      <x:c r="G1199" t="n">
        <x:v>4</x:v>
      </x:c>
      <x:c r="H1199" t="n">
        <x:v>12</x:v>
      </x:c>
      <x:c r="I1199" t="str">
        <x:v>À qualifier par lieu</x:v>
      </x:c>
      <x:c r="J1199" t="str">
        <x:v>https://github.com/darknigthmare/deadwall-last-enclosure/blob/1b3b9c5ba232734b1bda3453b4e20a0481bcdd74/codex-3000/compositions/Services et petits ateliers/DW-1194.md</x:v>
      </x:c>
      <x:c r="K1199" t="str">
        <x:v>Source min 12,10 m ; max 40,26 m ; modèle 25 × 18 m ; niveaux 0. Détails dans catalogue-existant.json.</x:v>
      </x:c>
    </x:row>
    <x:row r="1200">
      <x:c r="A1200" t="str">
        <x:v>DW-1195</x:v>
      </x:c>
      <x:c r="B1200" t="str">
        <x:v>DW-0098</x:v>
      </x:c>
      <x:c r="C1200" t="str">
        <x:v>Composition héritée</x:v>
      </x:c>
      <x:c r="D1200" t="str">
        <x:v>Services et petits ateliers</x:v>
      </x:c>
      <x:c r="E1200" t="str">
        <x:v>Salon de toilettage animalier — Village et bourg / arrêt de maintenance</x:v>
      </x:c>
      <x:c r="F1200" t="n">
        <x:v>8</x:v>
      </x:c>
      <x:c r="G1200" t="n">
        <x:v>4</x:v>
      </x:c>
      <x:c r="H1200" t="n">
        <x:v>12</x:v>
      </x:c>
      <x:c r="I1200" t="str">
        <x:v>À qualifier par lieu</x:v>
      </x:c>
      <x:c r="J1200" t="str">
        <x:v>https://github.com/darknigthmare/deadwall-last-enclosure/blob/1b3b9c5ba232734b1bda3453b4e20a0481bcdd74/codex-3000/compositions/Services et petits ateliers/DW-1195.md</x:v>
      </x:c>
      <x:c r="K1200" t="str">
        <x:v>Source min 12,10 m ; max 40,26 m ; modèle 25 × 18 m ; niveaux 0. Détails dans catalogue-existant.json.</x:v>
      </x:c>
    </x:row>
    <x:row r="1201">
      <x:c r="A1201" t="str">
        <x:v>DW-1196</x:v>
      </x:c>
      <x:c r="B1201" t="str">
        <x:v>DW-0098</x:v>
      </x:c>
      <x:c r="C1201" t="str">
        <x:v>Composition héritée</x:v>
      </x:c>
      <x:c r="D1201" t="str">
        <x:v>Services et petits ateliers</x:v>
      </x:c>
      <x:c r="E1201" t="str">
        <x:v>Salon de toilettage animalier — Ville moyenne / reprise progressive de la végétation</x:v>
      </x:c>
      <x:c r="F1201" t="n">
        <x:v>8</x:v>
      </x:c>
      <x:c r="G1201" t="n">
        <x:v>4</x:v>
      </x:c>
      <x:c r="H1201" t="n">
        <x:v>12</x:v>
      </x:c>
      <x:c r="I1201" t="str">
        <x:v>À qualifier par lieu</x:v>
      </x:c>
      <x:c r="J1201" t="str">
        <x:v>https://github.com/darknigthmare/deadwall-last-enclosure/blob/1b3b9c5ba232734b1bda3453b4e20a0481bcdd74/codex-3000/compositions/Services et petits ateliers/DW-1196.md</x:v>
      </x:c>
      <x:c r="K1201" t="str">
        <x:v>Source min 12,10 m ; max 40,26 m ; modèle 25 × 18 m ; niveaux 0. Détails dans catalogue-existant.json.</x:v>
      </x:c>
    </x:row>
    <x:row r="1202">
      <x:c r="A1202" t="str">
        <x:v>DW-1197</x:v>
      </x:c>
      <x:c r="B1202" t="str">
        <x:v>DW-0099</x:v>
      </x:c>
      <x:c r="C1202" t="str">
        <x:v>Composition héritée</x:v>
      </x:c>
      <x:c r="D1202" t="str">
        <x:v>Services et petits ateliers</x:v>
      </x:c>
      <x:c r="E1202" t="str">
        <x:v>Centre téléphonique — Zone industrielle / première récupération passée</x:v>
      </x:c>
      <x:c r="F1202" t="n">
        <x:v>8</x:v>
      </x:c>
      <x:c r="G1202" t="n">
        <x:v>4</x:v>
      </x:c>
      <x:c r="H1202" t="n">
        <x:v>12</x:v>
      </x:c>
      <x:c r="I1202" t="str">
        <x:v>À qualifier par lieu</x:v>
      </x:c>
      <x:c r="J1202" t="str">
        <x:v>https://github.com/darknigthmare/deadwall-last-enclosure/blob/1b3b9c5ba232734b1bda3453b4e20a0481bcdd74/codex-3000/compositions/Services et petits ateliers/DW-1197.md</x:v>
      </x:c>
      <x:c r="K1202" t="str">
        <x:v>Source min 12,10 m ; max 40,26 m ; modèle 25 × 18 m ; niveaux 0. Détails dans catalogue-existant.json.</x:v>
      </x:c>
    </x:row>
    <x:row r="1203">
      <x:c r="A1203" t="str">
        <x:v>DW-1198</x:v>
      </x:c>
      <x:c r="B1203" t="str">
        <x:v>DW-0099</x:v>
      </x:c>
      <x:c r="C1203" t="str">
        <x:v>Composition héritée</x:v>
      </x:c>
      <x:c r="D1203" t="str">
        <x:v>Services et petits ateliers</x:v>
      </x:c>
      <x:c r="E1203" t="str">
        <x:v>Centre téléphonique — Atelier et artisanat / relais temporaire envisagé</x:v>
      </x:c>
      <x:c r="F1203" t="n">
        <x:v>8</x:v>
      </x:c>
      <x:c r="G1203" t="n">
        <x:v>4</x:v>
      </x:c>
      <x:c r="H1203" t="n">
        <x:v>12</x:v>
      </x:c>
      <x:c r="I1203" t="str">
        <x:v>À qualifier par lieu</x:v>
      </x:c>
      <x:c r="J1203" t="str">
        <x:v>https://github.com/darknigthmare/deadwall-last-enclosure/blob/1b3b9c5ba232734b1bda3453b4e20a0481bcdd74/codex-3000/compositions/Services et petits ateliers/DW-1198.md</x:v>
      </x:c>
      <x:c r="K1203" t="str">
        <x:v>Source min 12,10 m ; max 40,26 m ; modèle 25 × 18 m ; niveaux 0. Détails dans catalogue-existant.json.</x:v>
      </x:c>
    </x:row>
    <x:row r="1204">
      <x:c r="A1204" t="str">
        <x:v>DW-1199</x:v>
      </x:c>
      <x:c r="B1204" t="str">
        <x:v>DW-0100</x:v>
      </x:c>
      <x:c r="C1204" t="str">
        <x:v>Composition héritée</x:v>
      </x:c>
      <x:c r="D1204" t="str">
        <x:v>Services et petits ateliers</x:v>
      </x:c>
      <x:c r="E1204" t="str">
        <x:v>Bureau d'ingénierie — Ville moyenne / service déplacé à l’arrière</x:v>
      </x:c>
      <x:c r="F1204" t="n">
        <x:v>8</x:v>
      </x:c>
      <x:c r="G1204" t="n">
        <x:v>4</x:v>
      </x:c>
      <x:c r="H1204" t="n">
        <x:v>12</x:v>
      </x:c>
      <x:c r="I1204" t="str">
        <x:v>À qualifier par lieu</x:v>
      </x:c>
      <x:c r="J1204" t="str">
        <x:v>https://github.com/darknigthmare/deadwall-last-enclosure/blob/1b3b9c5ba232734b1bda3453b4e20a0481bcdd74/codex-3000/compositions/Services et petits ateliers/DW-1199.md</x:v>
      </x:c>
      <x:c r="K1204" t="str">
        <x:v>Source min 12,10 m ; max 40,26 m ; modèle 25 × 18 m ; niveaux 0. Détails dans catalogue-existant.json.</x:v>
      </x:c>
    </x:row>
    <x:row r="1205">
      <x:c r="A1205" t="str">
        <x:v>DW-1200</x:v>
      </x:c>
      <x:c r="B1205" t="str">
        <x:v>DW-0100</x:v>
      </x:c>
      <x:c r="C1205" t="str">
        <x:v>Composition héritée</x:v>
      </x:c>
      <x:c r="D1205" t="str">
        <x:v>Services et petits ateliers</x:v>
      </x:c>
      <x:c r="E1205" t="str">
        <x:v>Bureau d'ingénierie — Village et bourg / réseau principal coupé</x:v>
      </x:c>
      <x:c r="F1205" t="n">
        <x:v>8</x:v>
      </x:c>
      <x:c r="G1205" t="n">
        <x:v>4</x:v>
      </x:c>
      <x:c r="H1205" t="n">
        <x:v>12</x:v>
      </x:c>
      <x:c r="I1205" t="str">
        <x:v>À qualifier par lieu</x:v>
      </x:c>
      <x:c r="J1205" t="str">
        <x:v>https://github.com/darknigthmare/deadwall-last-enclosure/blob/1b3b9c5ba232734b1bda3453b4e20a0481bcdd74/codex-3000/compositions/Services et petits ateliers/DW-1200.md</x:v>
      </x:c>
      <x:c r="K1205" t="str">
        <x:v>Source min 12,10 m ; max 40,26 m ; modèle 25 × 18 m ; niveaux 0. Détails dans catalogue-existant.json.</x:v>
      </x:c>
    </x:row>
    <x:row r="1206">
      <x:c r="A1206" t="str">
        <x:v>DW-1201</x:v>
      </x:c>
      <x:c r="B1206" t="str">
        <x:v>DW-0101</x:v>
      </x:c>
      <x:c r="C1206" t="str">
        <x:v>Composition héritée</x:v>
      </x:c>
      <x:c r="D1206" t="str">
        <x:v>Hôtellerie et hébergement</x:v>
      </x:c>
      <x:c r="E1206" t="str">
        <x:v>Hôtel de centre-ville — Village et bourg / reprise progressive de la végétation</x:v>
      </x:c>
      <x:c r="F1206" t="n">
        <x:v>8</x:v>
      </x:c>
      <x:c r="G1206" t="n">
        <x:v>5</x:v>
      </x:c>
      <x:c r="H1206" t="n">
        <x:v>15</x:v>
      </x:c>
      <x:c r="I1206" t="str">
        <x:v>À qualifier par lieu</x:v>
      </x:c>
      <x:c r="J1206" t="str">
        <x:v>https://github.com/darknigthmare/deadwall-last-enclosure/blob/1b3b9c5ba232734b1bda3453b4e20a0481bcdd74/codex-3000/compositions/Hôtellerie et hébergement/DW-1201.md</x:v>
      </x:c>
      <x:c r="K1206" t="str">
        <x:v>Source min 26,18 m ; max 100,65 m ; modèle 26 × 22 m ; niveaux 0, 1, 2. Détails dans catalogue-existant.json.</x:v>
      </x:c>
    </x:row>
    <x:row r="1207">
      <x:c r="A1207" t="str">
        <x:v>DW-1202</x:v>
      </x:c>
      <x:c r="B1207" t="str">
        <x:v>DW-0101</x:v>
      </x:c>
      <x:c r="C1207" t="str">
        <x:v>Composition héritée</x:v>
      </x:c>
      <x:c r="D1207" t="str">
        <x:v>Hôtellerie et hébergement</x:v>
      </x:c>
      <x:c r="E1207" t="str">
        <x:v>Hôtel de centre-ville — Ville moyenne / repli organisé interrompu</x:v>
      </x:c>
      <x:c r="F1207" t="n">
        <x:v>8</x:v>
      </x:c>
      <x:c r="G1207" t="n">
        <x:v>5</x:v>
      </x:c>
      <x:c r="H1207" t="n">
        <x:v>15</x:v>
      </x:c>
      <x:c r="I1207" t="str">
        <x:v>À qualifier par lieu</x:v>
      </x:c>
      <x:c r="J1207" t="str">
        <x:v>https://github.com/darknigthmare/deadwall-last-enclosure/blob/1b3b9c5ba232734b1bda3453b4e20a0481bcdd74/codex-3000/compositions/Hôtellerie et hébergement/DW-1202.md</x:v>
      </x:c>
      <x:c r="K1207" t="str">
        <x:v>Source min 26,18 m ; max 100,65 m ; modèle 26 × 22 m ; niveaux 0, 1, 2. Détails dans catalogue-existant.json.</x:v>
      </x:c>
    </x:row>
    <x:row r="1208">
      <x:c r="A1208" t="str">
        <x:v>DW-1203</x:v>
      </x:c>
      <x:c r="B1208" t="str">
        <x:v>DW-0102</x:v>
      </x:c>
      <x:c r="C1208" t="str">
        <x:v>Composition héritée</x:v>
      </x:c>
      <x:c r="D1208" t="str">
        <x:v>Hôtellerie et hébergement</x:v>
      </x:c>
      <x:c r="E1208" t="str">
        <x:v>Hôtel routier à coursive — Zone de loisirs / relais temporaire envisagé</x:v>
      </x:c>
      <x:c r="F1208" t="n">
        <x:v>8</x:v>
      </x:c>
      <x:c r="G1208" t="n">
        <x:v>5</x:v>
      </x:c>
      <x:c r="H1208" t="n">
        <x:v>13</x:v>
      </x:c>
      <x:c r="I1208" t="str">
        <x:v>À qualifier par lieu</x:v>
      </x:c>
      <x:c r="J1208" t="str">
        <x:v>https://github.com/darknigthmare/deadwall-last-enclosure/blob/1b3b9c5ba232734b1bda3453b4e20a0481bcdd74/codex-3000/compositions/Hôtellerie et hébergement/DW-1203.md</x:v>
      </x:c>
      <x:c r="K1208" t="str">
        <x:v>Source min 26,18 m ; max 100,65 m ; modèle 26 × 22 m ; niveaux 0, 1, 2. Détails dans catalogue-existant.json.</x:v>
      </x:c>
    </x:row>
    <x:row r="1209">
      <x:c r="A1209" t="str">
        <x:v>DW-1204</x:v>
      </x:c>
      <x:c r="B1209" t="str">
        <x:v>DW-0102</x:v>
      </x:c>
      <x:c r="C1209" t="str">
        <x:v>Composition héritée</x:v>
      </x:c>
      <x:c r="D1209" t="str">
        <x:v>Hôtellerie et hébergement</x:v>
      </x:c>
      <x:c r="E1209" t="str">
        <x:v>Hôtel routier à coursive — Lac et base de loisirs / évacuation interrompue</x:v>
      </x:c>
      <x:c r="F1209" t="n">
        <x:v>10</x:v>
      </x:c>
      <x:c r="G1209" t="n">
        <x:v>5</x:v>
      </x:c>
      <x:c r="H1209" t="n">
        <x:v>13</x:v>
      </x:c>
      <x:c r="I1209" t="str">
        <x:v>À qualifier par lieu</x:v>
      </x:c>
      <x:c r="J1209" t="str">
        <x:v>https://github.com/darknigthmare/deadwall-last-enclosure/blob/1b3b9c5ba232734b1bda3453b4e20a0481bcdd74/codex-3000/compositions/Hôtellerie et hébergement/DW-1204.md</x:v>
      </x:c>
      <x:c r="K1209" t="str">
        <x:v>Source min 26,18 m ; max 100,65 m ; modèle 26 × 22 m ; niveaux 0, 1, 2. Détails dans catalogue-existant.json.</x:v>
      </x:c>
    </x:row>
    <x:row r="1210">
      <x:c r="A1210" t="str">
        <x:v>DW-1205</x:v>
      </x:c>
      <x:c r="B1210" t="str">
        <x:v>DW-0103</x:v>
      </x:c>
      <x:c r="C1210" t="str">
        <x:v>Composition héritée</x:v>
      </x:c>
      <x:c r="D1210" t="str">
        <x:v>Hôtellerie et hébergement</x:v>
      </x:c>
      <x:c r="E1210" t="str">
        <x:v>Grand hôtel de congrès — Ville moyenne / réseau principal coupé</x:v>
      </x:c>
      <x:c r="F1210" t="n">
        <x:v>8</x:v>
      </x:c>
      <x:c r="G1210" t="n">
        <x:v>5</x:v>
      </x:c>
      <x:c r="H1210" t="n">
        <x:v>15</x:v>
      </x:c>
      <x:c r="I1210" t="str">
        <x:v>À qualifier par lieu</x:v>
      </x:c>
      <x:c r="J1210" t="str">
        <x:v>https://github.com/darknigthmare/deadwall-last-enclosure/blob/1b3b9c5ba232734b1bda3453b4e20a0481bcdd74/codex-3000/compositions/Hôtellerie et hébergement/DW-1205.md</x:v>
      </x:c>
      <x:c r="K1210" t="str">
        <x:v>Source min 26,18 m ; max 100,65 m ; modèle 26 × 22 m ; niveaux 0, 1, 2. Détails dans catalogue-existant.json.</x:v>
      </x:c>
    </x:row>
    <x:row r="1211">
      <x:c r="A1211" t="str">
        <x:v>DW-1206</x:v>
      </x:c>
      <x:c r="B1211" t="str">
        <x:v>DW-0103</x:v>
      </x:c>
      <x:c r="C1211" t="str">
        <x:v>Composition héritée</x:v>
      </x:c>
      <x:c r="D1211" t="str">
        <x:v>Hôtellerie et hébergement</x:v>
      </x:c>
      <x:c r="E1211" t="str">
        <x:v>Grand hôtel de congrès — Village et bourg / arrêt de maintenance</x:v>
      </x:c>
      <x:c r="F1211" t="n">
        <x:v>8</x:v>
      </x:c>
      <x:c r="G1211" t="n">
        <x:v>5</x:v>
      </x:c>
      <x:c r="H1211" t="n">
        <x:v>15</x:v>
      </x:c>
      <x:c r="I1211" t="str">
        <x:v>À qualifier par lieu</x:v>
      </x:c>
      <x:c r="J1211" t="str">
        <x:v>https://github.com/darknigthmare/deadwall-last-enclosure/blob/1b3b9c5ba232734b1bda3453b4e20a0481bcdd74/codex-3000/compositions/Hôtellerie et hébergement/DW-1206.md</x:v>
      </x:c>
      <x:c r="K1211" t="str">
        <x:v>Source min 26,18 m ; max 100,65 m ; modèle 26 × 22 m ; niveaux 0, 1, 2. Détails dans catalogue-existant.json.</x:v>
      </x:c>
    </x:row>
    <x:row r="1212">
      <x:c r="A1212" t="str">
        <x:v>DW-1207</x:v>
      </x:c>
      <x:c r="B1212" t="str">
        <x:v>DW-0104</x:v>
      </x:c>
      <x:c r="C1212" t="str">
        <x:v>Composition héritée</x:v>
      </x:c>
      <x:c r="D1212" t="str">
        <x:v>Hôtellerie et hébergement</x:v>
      </x:c>
      <x:c r="E1212" t="str">
        <x:v>Auberge de village — Lac et base de loisirs / repli organisé interrompu</x:v>
      </x:c>
      <x:c r="F1212" t="n">
        <x:v>10</x:v>
      </x:c>
      <x:c r="G1212" t="n">
        <x:v>4</x:v>
      </x:c>
      <x:c r="H1212" t="n">
        <x:v>12</x:v>
      </x:c>
      <x:c r="I1212" t="str">
        <x:v>À qualifier par lieu</x:v>
      </x:c>
      <x:c r="J1212" t="str">
        <x:v>https://github.com/darknigthmare/deadwall-last-enclosure/blob/1b3b9c5ba232734b1bda3453b4e20a0481bcdd74/codex-3000/compositions/Hôtellerie et hébergement/DW-1207.md</x:v>
      </x:c>
      <x:c r="K1212" t="str">
        <x:v>Source min 26,18 m ; max 100,65 m ; modèle 26 × 18 m ; niveaux 0, 1. Détails dans catalogue-existant.json.</x:v>
      </x:c>
    </x:row>
    <x:row r="1213">
      <x:c r="A1213" t="str">
        <x:v>DW-1208</x:v>
      </x:c>
      <x:c r="B1213" t="str">
        <x:v>DW-0104</x:v>
      </x:c>
      <x:c r="C1213" t="str">
        <x:v>Composition héritée</x:v>
      </x:c>
      <x:c r="D1213" t="str">
        <x:v>Hôtellerie et hébergement</x:v>
      </x:c>
      <x:c r="E1213" t="str">
        <x:v>Auberge de village — Zone de loisirs / première récupération passée</x:v>
      </x:c>
      <x:c r="F1213" t="n">
        <x:v>8</x:v>
      </x:c>
      <x:c r="G1213" t="n">
        <x:v>4</x:v>
      </x:c>
      <x:c r="H1213" t="n">
        <x:v>12</x:v>
      </x:c>
      <x:c r="I1213" t="str">
        <x:v>À qualifier par lieu</x:v>
      </x:c>
      <x:c r="J1213" t="str">
        <x:v>https://github.com/darknigthmare/deadwall-last-enclosure/blob/1b3b9c5ba232734b1bda3453b4e20a0481bcdd74/codex-3000/compositions/Hôtellerie et hébergement/DW-1208.md</x:v>
      </x:c>
      <x:c r="K1213" t="str">
        <x:v>Source min 26,18 m ; max 100,65 m ; modèle 26 × 18 m ; niveaux 0, 1. Détails dans catalogue-existant.json.</x:v>
      </x:c>
    </x:row>
    <x:row r="1214">
      <x:c r="A1214" t="str">
        <x:v>DW-1209</x:v>
      </x:c>
      <x:c r="B1214" t="str">
        <x:v>DW-0105</x:v>
      </x:c>
      <x:c r="C1214" t="str">
        <x:v>Composition héritée</x:v>
      </x:c>
      <x:c r="D1214" t="str">
        <x:v>Hôtellerie et hébergement</x:v>
      </x:c>
      <x:c r="E1214" t="str">
        <x:v>Gîte collectif — Village et bourg / évacuation interrompue</x:v>
      </x:c>
      <x:c r="F1214" t="n">
        <x:v>8</x:v>
      </x:c>
      <x:c r="G1214" t="n">
        <x:v>4</x:v>
      </x:c>
      <x:c r="H1214" t="n">
        <x:v>12</x:v>
      </x:c>
      <x:c r="I1214" t="str">
        <x:v>À qualifier par lieu</x:v>
      </x:c>
      <x:c r="J1214" t="str">
        <x:v>https://github.com/darknigthmare/deadwall-last-enclosure/blob/1b3b9c5ba232734b1bda3453b4e20a0481bcdd74/codex-3000/compositions/Hôtellerie et hébergement/DW-1209.md</x:v>
      </x:c>
      <x:c r="K1214" t="str">
        <x:v>Source min 26,18 m ; max 100,65 m ; modèle 26 × 18 m ; niveaux 0. Détails dans catalogue-existant.json.</x:v>
      </x:c>
    </x:row>
    <x:row r="1215">
      <x:c r="A1215" t="str">
        <x:v>DW-1210</x:v>
      </x:c>
      <x:c r="B1215" t="str">
        <x:v>DW-0105</x:v>
      </x:c>
      <x:c r="C1215" t="str">
        <x:v>Composition héritée</x:v>
      </x:c>
      <x:c r="D1215" t="str">
        <x:v>Hôtellerie et hébergement</x:v>
      </x:c>
      <x:c r="E1215" t="str">
        <x:v>Gîte collectif — Ville moyenne / service déplacé à l’arrière</x:v>
      </x:c>
      <x:c r="F1215" t="n">
        <x:v>8</x:v>
      </x:c>
      <x:c r="G1215" t="n">
        <x:v>4</x:v>
      </x:c>
      <x:c r="H1215" t="n">
        <x:v>12</x:v>
      </x:c>
      <x:c r="I1215" t="str">
        <x:v>À qualifier par lieu</x:v>
      </x:c>
      <x:c r="J1215" t="str">
        <x:v>https://github.com/darknigthmare/deadwall-last-enclosure/blob/1b3b9c5ba232734b1bda3453b4e20a0481bcdd74/codex-3000/compositions/Hôtellerie et hébergement/DW-1210.md</x:v>
      </x:c>
      <x:c r="K1215" t="str">
        <x:v>Source min 26,18 m ; max 100,65 m ; modèle 26 × 18 m ; niveaux 0. Détails dans catalogue-existant.json.</x:v>
      </x:c>
    </x:row>
    <x:row r="1216">
      <x:c r="A1216" t="str">
        <x:v>DW-1211</x:v>
      </x:c>
      <x:c r="B1216" t="str">
        <x:v>DW-0106</x:v>
      </x:c>
      <x:c r="C1216" t="str">
        <x:v>Composition héritée</x:v>
      </x:c>
      <x:c r="D1216" t="str">
        <x:v>Hôtellerie et hébergement</x:v>
      </x:c>
      <x:c r="E1216" t="str">
        <x:v>Auberge de jeunesse — Zone de loisirs / arrêt de maintenance</x:v>
      </x:c>
      <x:c r="F1216" t="n">
        <x:v>8</x:v>
      </x:c>
      <x:c r="G1216" t="n">
        <x:v>4</x:v>
      </x:c>
      <x:c r="H1216" t="n">
        <x:v>12</x:v>
      </x:c>
      <x:c r="I1216" t="str">
        <x:v>À qualifier par lieu</x:v>
      </x:c>
      <x:c r="J1216" t="str">
        <x:v>https://github.com/darknigthmare/deadwall-last-enclosure/blob/1b3b9c5ba232734b1bda3453b4e20a0481bcdd74/codex-3000/compositions/Hôtellerie et hébergement/DW-1211.md</x:v>
      </x:c>
      <x:c r="K1216" t="str">
        <x:v>Source min 26,18 m ; max 100,65 m ; modèle 26 × 18 m ; niveaux 0. Détails dans catalogue-existant.json.</x:v>
      </x:c>
    </x:row>
    <x:row r="1217">
      <x:c r="A1217" t="str">
        <x:v>DW-1212</x:v>
      </x:c>
      <x:c r="B1217" t="str">
        <x:v>DW-0106</x:v>
      </x:c>
      <x:c r="C1217" t="str">
        <x:v>Composition héritée</x:v>
      </x:c>
      <x:c r="D1217" t="str">
        <x:v>Hôtellerie et hébergement</x:v>
      </x:c>
      <x:c r="E1217" t="str">
        <x:v>Auberge de jeunesse — Lac et base de loisirs / reprise progressive de la végétation</x:v>
      </x:c>
      <x:c r="F1217" t="n">
        <x:v>10</x:v>
      </x:c>
      <x:c r="G1217" t="n">
        <x:v>4</x:v>
      </x:c>
      <x:c r="H1217" t="n">
        <x:v>12</x:v>
      </x:c>
      <x:c r="I1217" t="str">
        <x:v>À qualifier par lieu</x:v>
      </x:c>
      <x:c r="J1217" t="str">
        <x:v>https://github.com/darknigthmare/deadwall-last-enclosure/blob/1b3b9c5ba232734b1bda3453b4e20a0481bcdd74/codex-3000/compositions/Hôtellerie et hébergement/DW-1212.md</x:v>
      </x:c>
      <x:c r="K1217" t="str">
        <x:v>Source min 26,18 m ; max 100,65 m ; modèle 26 × 18 m ; niveaux 0. Détails dans catalogue-existant.json.</x:v>
      </x:c>
    </x:row>
    <x:row r="1218">
      <x:c r="A1218" t="str">
        <x:v>DW-1213</x:v>
      </x:c>
      <x:c r="B1218" t="str">
        <x:v>DW-0107</x:v>
      </x:c>
      <x:c r="C1218" t="str">
        <x:v>Composition héritée</x:v>
      </x:c>
      <x:c r="D1218" t="str">
        <x:v>Hôtellerie et hébergement</x:v>
      </x:c>
      <x:c r="E1218" t="str">
        <x:v>Maison d'hôtes — Ville moyenne / première récupération passée</x:v>
      </x:c>
      <x:c r="F1218" t="n">
        <x:v>8</x:v>
      </x:c>
      <x:c r="G1218" t="n">
        <x:v>4</x:v>
      </x:c>
      <x:c r="H1218" t="n">
        <x:v>12</x:v>
      </x:c>
      <x:c r="I1218" t="str">
        <x:v>À qualifier par lieu</x:v>
      </x:c>
      <x:c r="J1218" t="str">
        <x:v>https://github.com/darknigthmare/deadwall-last-enclosure/blob/1b3b9c5ba232734b1bda3453b4e20a0481bcdd74/codex-3000/compositions/Hôtellerie et hébergement/DW-1213.md</x:v>
      </x:c>
      <x:c r="K1218" t="str">
        <x:v>Source min 26,18 m ; max 100,65 m ; modèle 26 × 18 m ; niveaux 0. Détails dans catalogue-existant.json.</x:v>
      </x:c>
    </x:row>
    <x:row r="1219">
      <x:c r="A1219" t="str">
        <x:v>DW-1214</x:v>
      </x:c>
      <x:c r="B1219" t="str">
        <x:v>DW-0107</x:v>
      </x:c>
      <x:c r="C1219" t="str">
        <x:v>Composition héritée</x:v>
      </x:c>
      <x:c r="D1219" t="str">
        <x:v>Hôtellerie et hébergement</x:v>
      </x:c>
      <x:c r="E1219" t="str">
        <x:v>Maison d'hôtes — Village et bourg / relais temporaire envisagé</x:v>
      </x:c>
      <x:c r="F1219" t="n">
        <x:v>8</x:v>
      </x:c>
      <x:c r="G1219" t="n">
        <x:v>4</x:v>
      </x:c>
      <x:c r="H1219" t="n">
        <x:v>12</x:v>
      </x:c>
      <x:c r="I1219" t="str">
        <x:v>À qualifier par lieu</x:v>
      </x:c>
      <x:c r="J1219" t="str">
        <x:v>https://github.com/darknigthmare/deadwall-last-enclosure/blob/1b3b9c5ba232734b1bda3453b4e20a0481bcdd74/codex-3000/compositions/Hôtellerie et hébergement/DW-1214.md</x:v>
      </x:c>
      <x:c r="K1219" t="str">
        <x:v>Source min 26,18 m ; max 100,65 m ; modèle 26 × 18 m ; niveaux 0. Détails dans catalogue-existant.json.</x:v>
      </x:c>
    </x:row>
    <x:row r="1220">
      <x:c r="A1220" t="str">
        <x:v>DW-1215</x:v>
      </x:c>
      <x:c r="B1220" t="str">
        <x:v>DW-0108</x:v>
      </x:c>
      <x:c r="C1220" t="str">
        <x:v>Composition héritée</x:v>
      </x:c>
      <x:c r="D1220" t="str">
        <x:v>Hôtellerie et hébergement</x:v>
      </x:c>
      <x:c r="E1220" t="str">
        <x:v>Camping organisé — Lac et base de loisirs / service déplacé à l’arrière</x:v>
      </x:c>
      <x:c r="F1220" t="n">
        <x:v>10</x:v>
      </x:c>
      <x:c r="G1220" t="n">
        <x:v>4</x:v>
      </x:c>
      <x:c r="H1220" t="n">
        <x:v>12</x:v>
      </x:c>
      <x:c r="I1220" t="str">
        <x:v>À qualifier par lieu</x:v>
      </x:c>
      <x:c r="J1220" t="str">
        <x:v>https://github.com/darknigthmare/deadwall-last-enclosure/blob/1b3b9c5ba232734b1bda3453b4e20a0481bcdd74/codex-3000/compositions/Hôtellerie et hébergement/DW-1215.md</x:v>
      </x:c>
      <x:c r="K1220" t="str">
        <x:v>Source min 26,18 m ; max 100,65 m ; modèle 26 × 18 m ; niveaux 0. Détails dans catalogue-existant.json.</x:v>
      </x:c>
    </x:row>
    <x:row r="1221">
      <x:c r="A1221" t="str">
        <x:v>DW-1216</x:v>
      </x:c>
      <x:c r="B1221" t="str">
        <x:v>DW-0108</x:v>
      </x:c>
      <x:c r="C1221" t="str">
        <x:v>Composition héritée</x:v>
      </x:c>
      <x:c r="D1221" t="str">
        <x:v>Hôtellerie et hébergement</x:v>
      </x:c>
      <x:c r="E1221" t="str">
        <x:v>Camping organisé — Zone de loisirs / réseau principal coupé</x:v>
      </x:c>
      <x:c r="F1221" t="n">
        <x:v>8</x:v>
      </x:c>
      <x:c r="G1221" t="n">
        <x:v>4</x:v>
      </x:c>
      <x:c r="H1221" t="n">
        <x:v>12</x:v>
      </x:c>
      <x:c r="I1221" t="str">
        <x:v>À qualifier par lieu</x:v>
      </x:c>
      <x:c r="J1221" t="str">
        <x:v>https://github.com/darknigthmare/deadwall-last-enclosure/blob/1b3b9c5ba232734b1bda3453b4e20a0481bcdd74/codex-3000/compositions/Hôtellerie et hébergement/DW-1216.md</x:v>
      </x:c>
      <x:c r="K1221" t="str">
        <x:v>Source min 26,18 m ; max 100,65 m ; modèle 26 × 18 m ; niveaux 0. Détails dans catalogue-existant.json.</x:v>
      </x:c>
    </x:row>
    <x:row r="1222">
      <x:c r="A1222" t="str">
        <x:v>DW-1217</x:v>
      </x:c>
      <x:c r="B1222" t="str">
        <x:v>DW-0109</x:v>
      </x:c>
      <x:c r="C1222" t="str">
        <x:v>Composition héritée</x:v>
      </x:c>
      <x:c r="D1222" t="str">
        <x:v>Hôtellerie et hébergement</x:v>
      </x:c>
      <x:c r="E1222" t="str">
        <x:v>Camping à la ferme — Village et bourg / reprise progressive de la végétation</x:v>
      </x:c>
      <x:c r="F1222" t="n">
        <x:v>8</x:v>
      </x:c>
      <x:c r="G1222" t="n">
        <x:v>4</x:v>
      </x:c>
      <x:c r="H1222" t="n">
        <x:v>12</x:v>
      </x:c>
      <x:c r="I1222" t="str">
        <x:v>À qualifier par lieu</x:v>
      </x:c>
      <x:c r="J1222" t="str">
        <x:v>https://github.com/darknigthmare/deadwall-last-enclosure/blob/1b3b9c5ba232734b1bda3453b4e20a0481bcdd74/codex-3000/compositions/Hôtellerie et hébergement/DW-1217.md</x:v>
      </x:c>
      <x:c r="K1222" t="str">
        <x:v>Source min 26,18 m ; max 100,65 m ; modèle 26 × 18 m ; niveaux 0. Détails dans catalogue-existant.json.</x:v>
      </x:c>
    </x:row>
    <x:row r="1223">
      <x:c r="A1223" t="str">
        <x:v>DW-1218</x:v>
      </x:c>
      <x:c r="B1223" t="str">
        <x:v>DW-0109</x:v>
      </x:c>
      <x:c r="C1223" t="str">
        <x:v>Composition héritée</x:v>
      </x:c>
      <x:c r="D1223" t="str">
        <x:v>Hôtellerie et hébergement</x:v>
      </x:c>
      <x:c r="E1223" t="str">
        <x:v>Camping à la ferme — Ville moyenne / repli organisé interrompu</x:v>
      </x:c>
      <x:c r="F1223" t="n">
        <x:v>8</x:v>
      </x:c>
      <x:c r="G1223" t="n">
        <x:v>4</x:v>
      </x:c>
      <x:c r="H1223" t="n">
        <x:v>12</x:v>
      </x:c>
      <x:c r="I1223" t="str">
        <x:v>À qualifier par lieu</x:v>
      </x:c>
      <x:c r="J1223" t="str">
        <x:v>https://github.com/darknigthmare/deadwall-last-enclosure/blob/1b3b9c5ba232734b1bda3453b4e20a0481bcdd74/codex-3000/compositions/Hôtellerie et hébergement/DW-1218.md</x:v>
      </x:c>
      <x:c r="K1223" t="str">
        <x:v>Source min 26,18 m ; max 100,65 m ; modèle 26 × 18 m ; niveaux 0. Détails dans catalogue-existant.json.</x:v>
      </x:c>
    </x:row>
    <x:row r="1224">
      <x:c r="A1224" t="str">
        <x:v>DW-1219</x:v>
      </x:c>
      <x:c r="B1224" t="str">
        <x:v>DW-0110</x:v>
      </x:c>
      <x:c r="C1224" t="str">
        <x:v>Composition héritée</x:v>
      </x:c>
      <x:c r="D1224" t="str">
        <x:v>Hôtellerie et hébergement</x:v>
      </x:c>
      <x:c r="E1224" t="str">
        <x:v>Village de vacances — Zone de loisirs / relais temporaire envisagé</x:v>
      </x:c>
      <x:c r="F1224" t="n">
        <x:v>8</x:v>
      </x:c>
      <x:c r="G1224" t="n">
        <x:v>4</x:v>
      </x:c>
      <x:c r="H1224" t="n">
        <x:v>12</x:v>
      </x:c>
      <x:c r="I1224" t="str">
        <x:v>À qualifier par lieu</x:v>
      </x:c>
      <x:c r="J1224" t="str">
        <x:v>https://github.com/darknigthmare/deadwall-last-enclosure/blob/1b3b9c5ba232734b1bda3453b4e20a0481bcdd74/codex-3000/compositions/Hôtellerie et hébergement/DW-1219.md</x:v>
      </x:c>
      <x:c r="K1224" t="str">
        <x:v>Source min 26,18 m ; max 100,65 m ; modèle 26 × 18 m ; niveaux 0. Détails dans catalogue-existant.json.</x:v>
      </x:c>
    </x:row>
    <x:row r="1225">
      <x:c r="A1225" t="str">
        <x:v>DW-1220</x:v>
      </x:c>
      <x:c r="B1225" t="str">
        <x:v>DW-0110</x:v>
      </x:c>
      <x:c r="C1225" t="str">
        <x:v>Composition héritée</x:v>
      </x:c>
      <x:c r="D1225" t="str">
        <x:v>Hôtellerie et hébergement</x:v>
      </x:c>
      <x:c r="E1225" t="str">
        <x:v>Village de vacances — Lac et base de loisirs / évacuation interrompue</x:v>
      </x:c>
      <x:c r="F1225" t="n">
        <x:v>10</x:v>
      </x:c>
      <x:c r="G1225" t="n">
        <x:v>4</x:v>
      </x:c>
      <x:c r="H1225" t="n">
        <x:v>12</x:v>
      </x:c>
      <x:c r="I1225" t="str">
        <x:v>À qualifier par lieu</x:v>
      </x:c>
      <x:c r="J1225" t="str">
        <x:v>https://github.com/darknigthmare/deadwall-last-enclosure/blob/1b3b9c5ba232734b1bda3453b4e20a0481bcdd74/codex-3000/compositions/Hôtellerie et hébergement/DW-1220.md</x:v>
      </x:c>
      <x:c r="K1225" t="str">
        <x:v>Source min 26,18 m ; max 100,65 m ; modèle 26 × 18 m ; niveaux 0. Détails dans catalogue-existant.json.</x:v>
      </x:c>
    </x:row>
    <x:row r="1226">
      <x:c r="A1226" t="str">
        <x:v>DW-1221</x:v>
      </x:c>
      <x:c r="B1226" t="str">
        <x:v>DW-0111</x:v>
      </x:c>
      <x:c r="C1226" t="str">
        <x:v>Composition héritée</x:v>
      </x:c>
      <x:c r="D1226" t="str">
        <x:v>Hôtellerie et hébergement</x:v>
      </x:c>
      <x:c r="E1226" t="str">
        <x:v>Centre de séminaire — Ville moyenne / réseau principal coupé</x:v>
      </x:c>
      <x:c r="F1226" t="n">
        <x:v>8</x:v>
      </x:c>
      <x:c r="G1226" t="n">
        <x:v>4</x:v>
      </x:c>
      <x:c r="H1226" t="n">
        <x:v>12</x:v>
      </x:c>
      <x:c r="I1226" t="str">
        <x:v>À qualifier par lieu</x:v>
      </x:c>
      <x:c r="J1226" t="str">
        <x:v>https://github.com/darknigthmare/deadwall-last-enclosure/blob/1b3b9c5ba232734b1bda3453b4e20a0481bcdd74/codex-3000/compositions/Hôtellerie et hébergement/DW-1221.md</x:v>
      </x:c>
      <x:c r="K1226" t="str">
        <x:v>Source min 26,18 m ; max 100,65 m ; modèle 26 × 18 m ; niveaux 0. Détails dans catalogue-existant.json.</x:v>
      </x:c>
    </x:row>
    <x:row r="1227">
      <x:c r="A1227" t="str">
        <x:v>DW-1222</x:v>
      </x:c>
      <x:c r="B1227" t="str">
        <x:v>DW-0111</x:v>
      </x:c>
      <x:c r="C1227" t="str">
        <x:v>Composition héritée</x:v>
      </x:c>
      <x:c r="D1227" t="str">
        <x:v>Hôtellerie et hébergement</x:v>
      </x:c>
      <x:c r="E1227" t="str">
        <x:v>Centre de séminaire — Village et bourg / arrêt de maintenance</x:v>
      </x:c>
      <x:c r="F1227" t="n">
        <x:v>8</x:v>
      </x:c>
      <x:c r="G1227" t="n">
        <x:v>4</x:v>
      </x:c>
      <x:c r="H1227" t="n">
        <x:v>12</x:v>
      </x:c>
      <x:c r="I1227" t="str">
        <x:v>À qualifier par lieu</x:v>
      </x:c>
      <x:c r="J1227" t="str">
        <x:v>https://github.com/darknigthmare/deadwall-last-enclosure/blob/1b3b9c5ba232734b1bda3453b4e20a0481bcdd74/codex-3000/compositions/Hôtellerie et hébergement/DW-1222.md</x:v>
      </x:c>
      <x:c r="K1227" t="str">
        <x:v>Source min 26,18 m ; max 100,65 m ; modèle 26 × 18 m ; niveaux 0. Détails dans catalogue-existant.json.</x:v>
      </x:c>
    </x:row>
    <x:row r="1228">
      <x:c r="A1228" t="str">
        <x:v>DW-1223</x:v>
      </x:c>
      <x:c r="B1228" t="str">
        <x:v>DW-0112</x:v>
      </x:c>
      <x:c r="C1228" t="str">
        <x:v>Composition héritée</x:v>
      </x:c>
      <x:c r="D1228" t="str">
        <x:v>Hôtellerie et hébergement</x:v>
      </x:c>
      <x:c r="E1228" t="str">
        <x:v>Refuge de montagne — Lac et base de loisirs / repli organisé interrompu</x:v>
      </x:c>
      <x:c r="F1228" t="n">
        <x:v>10</x:v>
      </x:c>
      <x:c r="G1228" t="n">
        <x:v>4</x:v>
      </x:c>
      <x:c r="H1228" t="n">
        <x:v>12</x:v>
      </x:c>
      <x:c r="I1228" t="str">
        <x:v>À qualifier par lieu</x:v>
      </x:c>
      <x:c r="J1228" t="str">
        <x:v>https://github.com/darknigthmare/deadwall-last-enclosure/blob/1b3b9c5ba232734b1bda3453b4e20a0481bcdd74/codex-3000/compositions/Hôtellerie et hébergement/DW-1223.md</x:v>
      </x:c>
      <x:c r="K1228" t="str">
        <x:v>Source min 26,18 m ; max 100,65 m ; modèle 26 × 18 m ; niveaux 0. Détails dans catalogue-existant.json.</x:v>
      </x:c>
    </x:row>
    <x:row r="1229">
      <x:c r="A1229" t="str">
        <x:v>DW-1224</x:v>
      </x:c>
      <x:c r="B1229" t="str">
        <x:v>DW-0112</x:v>
      </x:c>
      <x:c r="C1229" t="str">
        <x:v>Composition héritée</x:v>
      </x:c>
      <x:c r="D1229" t="str">
        <x:v>Hôtellerie et hébergement</x:v>
      </x:c>
      <x:c r="E1229" t="str">
        <x:v>Refuge de montagne — Zone de loisirs / première récupération passée</x:v>
      </x:c>
      <x:c r="F1229" t="n">
        <x:v>8</x:v>
      </x:c>
      <x:c r="G1229" t="n">
        <x:v>4</x:v>
      </x:c>
      <x:c r="H1229" t="n">
        <x:v>12</x:v>
      </x:c>
      <x:c r="I1229" t="str">
        <x:v>À qualifier par lieu</x:v>
      </x:c>
      <x:c r="J1229" t="str">
        <x:v>https://github.com/darknigthmare/deadwall-last-enclosure/blob/1b3b9c5ba232734b1bda3453b4e20a0481bcdd74/codex-3000/compositions/Hôtellerie et hébergement/DW-1224.md</x:v>
      </x:c>
      <x:c r="K1229" t="str">
        <x:v>Source min 26,18 m ; max 100,65 m ; modèle 26 × 18 m ; niveaux 0. Détails dans catalogue-existant.json.</x:v>
      </x:c>
    </x:row>
    <x:row r="1230">
      <x:c r="A1230" t="str">
        <x:v>DW-1225</x:v>
      </x:c>
      <x:c r="B1230" t="str">
        <x:v>DW-0113</x:v>
      </x:c>
      <x:c r="C1230" t="str">
        <x:v>Composition héritée</x:v>
      </x:c>
      <x:c r="D1230" t="str">
        <x:v>Hôtellerie et hébergement</x:v>
      </x:c>
      <x:c r="E1230" t="str">
        <x:v>Relais équestre — Village et bourg / évacuation interrompue</x:v>
      </x:c>
      <x:c r="F1230" t="n">
        <x:v>8</x:v>
      </x:c>
      <x:c r="G1230" t="n">
        <x:v>4</x:v>
      </x:c>
      <x:c r="H1230" t="n">
        <x:v>12</x:v>
      </x:c>
      <x:c r="I1230" t="str">
        <x:v>À qualifier par lieu</x:v>
      </x:c>
      <x:c r="J1230" t="str">
        <x:v>https://github.com/darknigthmare/deadwall-last-enclosure/blob/1b3b9c5ba232734b1bda3453b4e20a0481bcdd74/codex-3000/compositions/Hôtellerie et hébergement/DW-1225.md</x:v>
      </x:c>
      <x:c r="K1230" t="str">
        <x:v>Source min 26,18 m ; max 100,65 m ; modèle 26 × 18 m ; niveaux 0. Détails dans catalogue-existant.json.</x:v>
      </x:c>
    </x:row>
    <x:row r="1231">
      <x:c r="A1231" t="str">
        <x:v>DW-1226</x:v>
      </x:c>
      <x:c r="B1231" t="str">
        <x:v>DW-0113</x:v>
      </x:c>
      <x:c r="C1231" t="str">
        <x:v>Composition héritée</x:v>
      </x:c>
      <x:c r="D1231" t="str">
        <x:v>Hôtellerie et hébergement</x:v>
      </x:c>
      <x:c r="E1231" t="str">
        <x:v>Relais équestre — Ville moyenne / service déplacé à l’arrière</x:v>
      </x:c>
      <x:c r="F1231" t="n">
        <x:v>8</x:v>
      </x:c>
      <x:c r="G1231" t="n">
        <x:v>4</x:v>
      </x:c>
      <x:c r="H1231" t="n">
        <x:v>12</x:v>
      </x:c>
      <x:c r="I1231" t="str">
        <x:v>À qualifier par lieu</x:v>
      </x:c>
      <x:c r="J1231" t="str">
        <x:v>https://github.com/darknigthmare/deadwall-last-enclosure/blob/1b3b9c5ba232734b1bda3453b4e20a0481bcdd74/codex-3000/compositions/Hôtellerie et hébergement/DW-1226.md</x:v>
      </x:c>
      <x:c r="K1231" t="str">
        <x:v>Source min 26,18 m ; max 100,65 m ; modèle 26 × 18 m ; niveaux 0. Détails dans catalogue-existant.json.</x:v>
      </x:c>
    </x:row>
    <x:row r="1232">
      <x:c r="A1232" t="str">
        <x:v>DW-1227</x:v>
      </x:c>
      <x:c r="B1232" t="str">
        <x:v>DW-0114</x:v>
      </x:c>
      <x:c r="C1232" t="str">
        <x:v>Composition héritée</x:v>
      </x:c>
      <x:c r="D1232" t="str">
        <x:v>Hôtellerie et hébergement</x:v>
      </x:c>
      <x:c r="E1232" t="str">
        <x:v>Hôtel thermal — Zone de loisirs / arrêt de maintenance</x:v>
      </x:c>
      <x:c r="F1232" t="n">
        <x:v>8</x:v>
      </x:c>
      <x:c r="G1232" t="n">
        <x:v>5</x:v>
      </x:c>
      <x:c r="H1232" t="n">
        <x:v>15</x:v>
      </x:c>
      <x:c r="I1232" t="str">
        <x:v>À qualifier par lieu</x:v>
      </x:c>
      <x:c r="J1232" t="str">
        <x:v>https://github.com/darknigthmare/deadwall-last-enclosure/blob/1b3b9c5ba232734b1bda3453b4e20a0481bcdd74/codex-3000/compositions/Hôtellerie et hébergement/DW-1227.md</x:v>
      </x:c>
      <x:c r="K1232" t="str">
        <x:v>Source min 26,18 m ; max 100,65 m ; modèle 26 × 22 m ; niveaux 0, 1, 2. Détails dans catalogue-existant.json.</x:v>
      </x:c>
    </x:row>
    <x:row r="1233">
      <x:c r="A1233" t="str">
        <x:v>DW-1228</x:v>
      </x:c>
      <x:c r="B1233" t="str">
        <x:v>DW-0114</x:v>
      </x:c>
      <x:c r="C1233" t="str">
        <x:v>Composition héritée</x:v>
      </x:c>
      <x:c r="D1233" t="str">
        <x:v>Hôtellerie et hébergement</x:v>
      </x:c>
      <x:c r="E1233" t="str">
        <x:v>Hôtel thermal — Lac et base de loisirs / reprise progressive de la végétation</x:v>
      </x:c>
      <x:c r="F1233" t="n">
        <x:v>10</x:v>
      </x:c>
      <x:c r="G1233" t="n">
        <x:v>5</x:v>
      </x:c>
      <x:c r="H1233" t="n">
        <x:v>15</x:v>
      </x:c>
      <x:c r="I1233" t="str">
        <x:v>À qualifier par lieu</x:v>
      </x:c>
      <x:c r="J1233" t="str">
        <x:v>https://github.com/darknigthmare/deadwall-last-enclosure/blob/1b3b9c5ba232734b1bda3453b4e20a0481bcdd74/codex-3000/compositions/Hôtellerie et hébergement/DW-1228.md</x:v>
      </x:c>
      <x:c r="K1233" t="str">
        <x:v>Source min 26,18 m ; max 100,65 m ; modèle 26 × 22 m ; niveaux 0, 1, 2. Détails dans catalogue-existant.json.</x:v>
      </x:c>
    </x:row>
    <x:row r="1234">
      <x:c r="A1234" t="str">
        <x:v>DW-1229</x:v>
      </x:c>
      <x:c r="B1234" t="str">
        <x:v>DW-0115</x:v>
      </x:c>
      <x:c r="C1234" t="str">
        <x:v>Composition héritée</x:v>
      </x:c>
      <x:c r="D1234" t="str">
        <x:v>Hôtellerie et hébergement</x:v>
      </x:c>
      <x:c r="E1234" t="str">
        <x:v>Hôtel d'aéroport — Ville moyenne / première récupération passée</x:v>
      </x:c>
      <x:c r="F1234" t="n">
        <x:v>8</x:v>
      </x:c>
      <x:c r="G1234" t="n">
        <x:v>4</x:v>
      </x:c>
      <x:c r="H1234" t="n">
        <x:v>12</x:v>
      </x:c>
      <x:c r="I1234" t="str">
        <x:v>À qualifier par lieu</x:v>
      </x:c>
      <x:c r="J1234" t="str">
        <x:v>https://github.com/darknigthmare/deadwall-last-enclosure/blob/1b3b9c5ba232734b1bda3453b4e20a0481bcdd74/codex-3000/compositions/Hôtellerie et hébergement/DW-1229.md</x:v>
      </x:c>
      <x:c r="K1234" t="str">
        <x:v>Source min 26,18 m ; max 100,65 m ; modèle 26 × 18 m ; niveaux 0, 1, 2. Détails dans catalogue-existant.json.</x:v>
      </x:c>
    </x:row>
    <x:row r="1235">
      <x:c r="A1235" t="str">
        <x:v>DW-1230</x:v>
      </x:c>
      <x:c r="B1235" t="str">
        <x:v>DW-0115</x:v>
      </x:c>
      <x:c r="C1235" t="str">
        <x:v>Composition héritée</x:v>
      </x:c>
      <x:c r="D1235" t="str">
        <x:v>Hôtellerie et hébergement</x:v>
      </x:c>
      <x:c r="E1235" t="str">
        <x:v>Hôtel d'aéroport — Village et bourg / relais temporaire envisagé</x:v>
      </x:c>
      <x:c r="F1235" t="n">
        <x:v>8</x:v>
      </x:c>
      <x:c r="G1235" t="n">
        <x:v>4</x:v>
      </x:c>
      <x:c r="H1235" t="n">
        <x:v>12</x:v>
      </x:c>
      <x:c r="I1235" t="str">
        <x:v>À qualifier par lieu</x:v>
      </x:c>
      <x:c r="J1235" t="str">
        <x:v>https://github.com/darknigthmare/deadwall-last-enclosure/blob/1b3b9c5ba232734b1bda3453b4e20a0481bcdd74/codex-3000/compositions/Hôtellerie et hébergement/DW-1230.md</x:v>
      </x:c>
      <x:c r="K1235" t="str">
        <x:v>Source min 26,18 m ; max 100,65 m ; modèle 26 × 18 m ; niveaux 0, 1, 2. Détails dans catalogue-existant.json.</x:v>
      </x:c>
    </x:row>
    <x:row r="1236">
      <x:c r="A1236" t="str">
        <x:v>DW-1231</x:v>
      </x:c>
      <x:c r="B1236" t="str">
        <x:v>DW-0116</x:v>
      </x:c>
      <x:c r="C1236" t="str">
        <x:v>Composition héritée</x:v>
      </x:c>
      <x:c r="D1236" t="str">
        <x:v>Hôtellerie et hébergement</x:v>
      </x:c>
      <x:c r="E1236" t="str">
        <x:v>Hôtel capsule — Lac et base de loisirs / service déplacé à l’arrière</x:v>
      </x:c>
      <x:c r="F1236" t="n">
        <x:v>10</x:v>
      </x:c>
      <x:c r="G1236" t="n">
        <x:v>4</x:v>
      </x:c>
      <x:c r="H1236" t="n">
        <x:v>12</x:v>
      </x:c>
      <x:c r="I1236" t="str">
        <x:v>À qualifier par lieu</x:v>
      </x:c>
      <x:c r="J1236" t="str">
        <x:v>https://github.com/darknigthmare/deadwall-last-enclosure/blob/1b3b9c5ba232734b1bda3453b4e20a0481bcdd74/codex-3000/compositions/Hôtellerie et hébergement/DW-1231.md</x:v>
      </x:c>
      <x:c r="K1236" t="str">
        <x:v>Source min 26,18 m ; max 100,65 m ; modèle 26 × 18 m ; niveaux 0, 1, 2. Détails dans catalogue-existant.json.</x:v>
      </x:c>
    </x:row>
    <x:row r="1237">
      <x:c r="A1237" t="str">
        <x:v>DW-1232</x:v>
      </x:c>
      <x:c r="B1237" t="str">
        <x:v>DW-0116</x:v>
      </x:c>
      <x:c r="C1237" t="str">
        <x:v>Composition héritée</x:v>
      </x:c>
      <x:c r="D1237" t="str">
        <x:v>Hôtellerie et hébergement</x:v>
      </x:c>
      <x:c r="E1237" t="str">
        <x:v>Hôtel capsule — Zone de loisirs / réseau principal coupé</x:v>
      </x:c>
      <x:c r="F1237" t="n">
        <x:v>8</x:v>
      </x:c>
      <x:c r="G1237" t="n">
        <x:v>4</x:v>
      </x:c>
      <x:c r="H1237" t="n">
        <x:v>12</x:v>
      </x:c>
      <x:c r="I1237" t="str">
        <x:v>À qualifier par lieu</x:v>
      </x:c>
      <x:c r="J1237" t="str">
        <x:v>https://github.com/darknigthmare/deadwall-last-enclosure/blob/1b3b9c5ba232734b1bda3453b4e20a0481bcdd74/codex-3000/compositions/Hôtellerie et hébergement/DW-1232.md</x:v>
      </x:c>
      <x:c r="K1237" t="str">
        <x:v>Source min 26,18 m ; max 100,65 m ; modèle 26 × 18 m ; niveaux 0, 1, 2. Détails dans catalogue-existant.json.</x:v>
      </x:c>
    </x:row>
    <x:row r="1238">
      <x:c r="A1238" t="str">
        <x:v>DW-1233</x:v>
      </x:c>
      <x:c r="B1238" t="str">
        <x:v>DW-0117</x:v>
      </x:c>
      <x:c r="C1238" t="str">
        <x:v>Composition héritée</x:v>
      </x:c>
      <x:c r="D1238" t="str">
        <x:v>Hôtellerie et hébergement</x:v>
      </x:c>
      <x:c r="E1238" t="str">
        <x:v>Résidence saisonnière — Village et bourg / reprise progressive de la végétation</x:v>
      </x:c>
      <x:c r="F1238" t="n">
        <x:v>8</x:v>
      </x:c>
      <x:c r="G1238" t="n">
        <x:v>4</x:v>
      </x:c>
      <x:c r="H1238" t="n">
        <x:v>12</x:v>
      </x:c>
      <x:c r="I1238" t="str">
        <x:v>À qualifier par lieu</x:v>
      </x:c>
      <x:c r="J1238" t="str">
        <x:v>https://github.com/darknigthmare/deadwall-last-enclosure/blob/1b3b9c5ba232734b1bda3453b4e20a0481bcdd74/codex-3000/compositions/Hôtellerie et hébergement/DW-1233.md</x:v>
      </x:c>
      <x:c r="K1238" t="str">
        <x:v>Source min 26,18 m ; max 100,65 m ; modèle 26 × 18 m ; niveaux 0. Détails dans catalogue-existant.json.</x:v>
      </x:c>
    </x:row>
    <x:row r="1239">
      <x:c r="A1239" t="str">
        <x:v>DW-1234</x:v>
      </x:c>
      <x:c r="B1239" t="str">
        <x:v>DW-0117</x:v>
      </x:c>
      <x:c r="C1239" t="str">
        <x:v>Composition héritée</x:v>
      </x:c>
      <x:c r="D1239" t="str">
        <x:v>Hôtellerie et hébergement</x:v>
      </x:c>
      <x:c r="E1239" t="str">
        <x:v>Résidence saisonnière — Ville moyenne / repli organisé interrompu</x:v>
      </x:c>
      <x:c r="F1239" t="n">
        <x:v>8</x:v>
      </x:c>
      <x:c r="G1239" t="n">
        <x:v>4</x:v>
      </x:c>
      <x:c r="H1239" t="n">
        <x:v>12</x:v>
      </x:c>
      <x:c r="I1239" t="str">
        <x:v>À qualifier par lieu</x:v>
      </x:c>
      <x:c r="J1239" t="str">
        <x:v>https://github.com/darknigthmare/deadwall-last-enclosure/blob/1b3b9c5ba232734b1bda3453b4e20a0481bcdd74/codex-3000/compositions/Hôtellerie et hébergement/DW-1234.md</x:v>
      </x:c>
      <x:c r="K1239" t="str">
        <x:v>Source min 26,18 m ; max 100,65 m ; modèle 26 × 18 m ; niveaux 0. Détails dans catalogue-existant.json.</x:v>
      </x:c>
    </x:row>
    <x:row r="1240">
      <x:c r="A1240" t="str">
        <x:v>DW-1235</x:v>
      </x:c>
      <x:c r="B1240" t="str">
        <x:v>DW-0118</x:v>
      </x:c>
      <x:c r="C1240" t="str">
        <x:v>Composition héritée</x:v>
      </x:c>
      <x:c r="D1240" t="str">
        <x:v>Hôtellerie et hébergement</x:v>
      </x:c>
      <x:c r="E1240" t="str">
        <x:v>Ferme-auberge — Zone de loisirs / relais temporaire envisagé</x:v>
      </x:c>
      <x:c r="F1240" t="n">
        <x:v>8</x:v>
      </x:c>
      <x:c r="G1240" t="n">
        <x:v>5</x:v>
      </x:c>
      <x:c r="H1240" t="n">
        <x:v>15</x:v>
      </x:c>
      <x:c r="I1240" t="str">
        <x:v>À qualifier par lieu</x:v>
      </x:c>
      <x:c r="J1240" t="str">
        <x:v>https://github.com/darknigthmare/deadwall-last-enclosure/blob/1b3b9c5ba232734b1bda3453b4e20a0481bcdd74/codex-3000/compositions/Hôtellerie et hébergement/DW-1235.md</x:v>
      </x:c>
      <x:c r="K1240" t="str">
        <x:v>Source min 26,18 m ; max 100,65 m ; modèle 26 × 22 m ; niveaux 0. Détails dans catalogue-existant.json.</x:v>
      </x:c>
    </x:row>
    <x:row r="1241">
      <x:c r="A1241" t="str">
        <x:v>DW-1236</x:v>
      </x:c>
      <x:c r="B1241" t="str">
        <x:v>DW-0118</x:v>
      </x:c>
      <x:c r="C1241" t="str">
        <x:v>Composition héritée</x:v>
      </x:c>
      <x:c r="D1241" t="str">
        <x:v>Hôtellerie et hébergement</x:v>
      </x:c>
      <x:c r="E1241" t="str">
        <x:v>Ferme-auberge — Lac et base de loisirs / évacuation interrompue</x:v>
      </x:c>
      <x:c r="F1241" t="n">
        <x:v>10</x:v>
      </x:c>
      <x:c r="G1241" t="n">
        <x:v>5</x:v>
      </x:c>
      <x:c r="H1241" t="n">
        <x:v>15</x:v>
      </x:c>
      <x:c r="I1241" t="str">
        <x:v>À qualifier par lieu</x:v>
      </x:c>
      <x:c r="J1241" t="str">
        <x:v>https://github.com/darknigthmare/deadwall-last-enclosure/blob/1b3b9c5ba232734b1bda3453b4e20a0481bcdd74/codex-3000/compositions/Hôtellerie et hébergement/DW-1236.md</x:v>
      </x:c>
      <x:c r="K1241" t="str">
        <x:v>Source min 26,18 m ; max 100,65 m ; modèle 26 × 22 m ; niveaux 0. Détails dans catalogue-existant.json.</x:v>
      </x:c>
    </x:row>
    <x:row r="1242">
      <x:c r="A1242" t="str">
        <x:v>DW-1237</x:v>
      </x:c>
      <x:c r="B1242" t="str">
        <x:v>DW-0119</x:v>
      </x:c>
      <x:c r="C1242" t="str">
        <x:v>Composition héritée</x:v>
      </x:c>
      <x:c r="D1242" t="str">
        <x:v>Hôtellerie et hébergement</x:v>
      </x:c>
      <x:c r="E1242" t="str">
        <x:v>Manoir de réception — Ville moyenne / réseau principal coupé</x:v>
      </x:c>
      <x:c r="F1242" t="n">
        <x:v>8</x:v>
      </x:c>
      <x:c r="G1242" t="n">
        <x:v>5</x:v>
      </x:c>
      <x:c r="H1242" t="n">
        <x:v>15</x:v>
      </x:c>
      <x:c r="I1242" t="str">
        <x:v>À qualifier par lieu</x:v>
      </x:c>
      <x:c r="J1242" t="str">
        <x:v>https://github.com/darknigthmare/deadwall-last-enclosure/blob/1b3b9c5ba232734b1bda3453b4e20a0481bcdd74/codex-3000/compositions/Hôtellerie et hébergement/DW-1237.md</x:v>
      </x:c>
      <x:c r="K1242" t="str">
        <x:v>Source min 26,18 m ; max 100,65 m ; modèle 26 × 22 m ; niveaux 0, 1. Détails dans catalogue-existant.json.</x:v>
      </x:c>
    </x:row>
    <x:row r="1243">
      <x:c r="A1243" t="str">
        <x:v>DW-1238</x:v>
      </x:c>
      <x:c r="B1243" t="str">
        <x:v>DW-0119</x:v>
      </x:c>
      <x:c r="C1243" t="str">
        <x:v>Composition héritée</x:v>
      </x:c>
      <x:c r="D1243" t="str">
        <x:v>Hôtellerie et hébergement</x:v>
      </x:c>
      <x:c r="E1243" t="str">
        <x:v>Manoir de réception — Village et bourg / arrêt de maintenance</x:v>
      </x:c>
      <x:c r="F1243" t="n">
        <x:v>8</x:v>
      </x:c>
      <x:c r="G1243" t="n">
        <x:v>5</x:v>
      </x:c>
      <x:c r="H1243" t="n">
        <x:v>15</x:v>
      </x:c>
      <x:c r="I1243" t="str">
        <x:v>À qualifier par lieu</x:v>
      </x:c>
      <x:c r="J1243" t="str">
        <x:v>https://github.com/darknigthmare/deadwall-last-enclosure/blob/1b3b9c5ba232734b1bda3453b4e20a0481bcdd74/codex-3000/compositions/Hôtellerie et hébergement/DW-1238.md</x:v>
      </x:c>
      <x:c r="K1243" t="str">
        <x:v>Source min 26,18 m ; max 100,65 m ; modèle 26 × 22 m ; niveaux 0, 1. Détails dans catalogue-existant.json.</x:v>
      </x:c>
    </x:row>
    <x:row r="1244">
      <x:c r="A1244" t="str">
        <x:v>DW-1239</x:v>
      </x:c>
      <x:c r="B1244" t="str">
        <x:v>DW-0120</x:v>
      </x:c>
      <x:c r="C1244" t="str">
        <x:v>Composition héritée</x:v>
      </x:c>
      <x:c r="D1244" t="str">
        <x:v>Hôtellerie et hébergement</x:v>
      </x:c>
      <x:c r="E1244" t="str">
        <x:v>Centre de vacances fermé — Lac et base de loisirs / repli organisé interrompu</x:v>
      </x:c>
      <x:c r="F1244" t="n">
        <x:v>10</x:v>
      </x:c>
      <x:c r="G1244" t="n">
        <x:v>5</x:v>
      </x:c>
      <x:c r="H1244" t="n">
        <x:v>15</x:v>
      </x:c>
      <x:c r="I1244" t="str">
        <x:v>À qualifier par lieu</x:v>
      </x:c>
      <x:c r="J1244" t="str">
        <x:v>https://github.com/darknigthmare/deadwall-last-enclosure/blob/1b3b9c5ba232734b1bda3453b4e20a0481bcdd74/codex-3000/compositions/Hôtellerie et hébergement/DW-1239.md</x:v>
      </x:c>
      <x:c r="K1244" t="str">
        <x:v>Source min 26,18 m ; max 100,65 m ; modèle 26 × 22 m ; niveaux 0. Détails dans catalogue-existant.json.</x:v>
      </x:c>
    </x:row>
    <x:row r="1245">
      <x:c r="A1245" t="str">
        <x:v>DW-1240</x:v>
      </x:c>
      <x:c r="B1245" t="str">
        <x:v>DW-0120</x:v>
      </x:c>
      <x:c r="C1245" t="str">
        <x:v>Composition héritée</x:v>
      </x:c>
      <x:c r="D1245" t="str">
        <x:v>Hôtellerie et hébergement</x:v>
      </x:c>
      <x:c r="E1245" t="str">
        <x:v>Centre de vacances fermé — Zone de loisirs / première récupération passée</x:v>
      </x:c>
      <x:c r="F1245" t="n">
        <x:v>8</x:v>
      </x:c>
      <x:c r="G1245" t="n">
        <x:v>5</x:v>
      </x:c>
      <x:c r="H1245" t="n">
        <x:v>15</x:v>
      </x:c>
      <x:c r="I1245" t="str">
        <x:v>À qualifier par lieu</x:v>
      </x:c>
      <x:c r="J1245" t="str">
        <x:v>https://github.com/darknigthmare/deadwall-last-enclosure/blob/1b3b9c5ba232734b1bda3453b4e20a0481bcdd74/codex-3000/compositions/Hôtellerie et hébergement/DW-1240.md</x:v>
      </x:c>
      <x:c r="K1245" t="str">
        <x:v>Source min 26,18 m ; max 100,65 m ; modèle 26 × 22 m ; niveaux 0. Détails dans catalogue-existant.json.</x:v>
      </x:c>
    </x:row>
    <x:row r="1246">
      <x:c r="A1246" t="str">
        <x:v>DW-1241</x:v>
      </x:c>
      <x:c r="B1246" t="str">
        <x:v>DW-0121</x:v>
      </x:c>
      <x:c r="C1246" t="str">
        <x:v>Composition héritée</x:v>
      </x:c>
      <x:c r="D1246" t="str">
        <x:v>Santé</x:v>
      </x:c>
      <x:c r="E1246" t="str">
        <x:v>Cabinet médical — Soins et secours / évacuation interrompue</x:v>
      </x:c>
      <x:c r="F1246" t="n">
        <x:v>10</x:v>
      </x:c>
      <x:c r="G1246" t="n">
        <x:v>4</x:v>
      </x:c>
      <x:c r="H1246" t="n">
        <x:v>12</x:v>
      </x:c>
      <x:c r="I1246" t="str">
        <x:v>À qualifier par lieu</x:v>
      </x:c>
      <x:c r="J1246" t="str">
        <x:v>https://github.com/darknigthmare/deadwall-last-enclosure/blob/1b3b9c5ba232734b1bda3453b4e20a0481bcdd74/codex-3000/compositions/Santé/DW-1241.md</x:v>
      </x:c>
      <x:c r="K1246" t="str">
        <x:v>Source min 20,16 m ; max 150,100 m ; modèle 25 × 18 m ; niveaux 0. Détails dans catalogue-existant.json.</x:v>
      </x:c>
    </x:row>
    <x:row r="1247">
      <x:c r="A1247" t="str">
        <x:v>DW-1242</x:v>
      </x:c>
      <x:c r="B1247" t="str">
        <x:v>DW-0121</x:v>
      </x:c>
      <x:c r="C1247" t="str">
        <x:v>Composition héritée</x:v>
      </x:c>
      <x:c r="D1247" t="str">
        <x:v>Santé</x:v>
      </x:c>
      <x:c r="E1247" t="str">
        <x:v>Cabinet médical — Village et bourg / service déplacé à l’arrière</x:v>
      </x:c>
      <x:c r="F1247" t="n">
        <x:v>8</x:v>
      </x:c>
      <x:c r="G1247" t="n">
        <x:v>4</x:v>
      </x:c>
      <x:c r="H1247" t="n">
        <x:v>12</x:v>
      </x:c>
      <x:c r="I1247" t="str">
        <x:v>À qualifier par lieu</x:v>
      </x:c>
      <x:c r="J1247" t="str">
        <x:v>https://github.com/darknigthmare/deadwall-last-enclosure/blob/1b3b9c5ba232734b1bda3453b4e20a0481bcdd74/codex-3000/compositions/Santé/DW-1242.md</x:v>
      </x:c>
      <x:c r="K1247" t="str">
        <x:v>Source min 20,16 m ; max 150,100 m ; modèle 25 × 18 m ; niveaux 0. Détails dans catalogue-existant.json.</x:v>
      </x:c>
    </x:row>
    <x:row r="1248">
      <x:c r="A1248" t="str">
        <x:v>DW-1243</x:v>
      </x:c>
      <x:c r="B1248" t="str">
        <x:v>DW-0122</x:v>
      </x:c>
      <x:c r="C1248" t="str">
        <x:v>Composition héritée</x:v>
      </x:c>
      <x:c r="D1248" t="str">
        <x:v>Santé</x:v>
      </x:c>
      <x:c r="E1248" t="str">
        <x:v>Maison de santé — Ville moyenne / arrêt de maintenance</x:v>
      </x:c>
      <x:c r="F1248" t="n">
        <x:v>8</x:v>
      </x:c>
      <x:c r="G1248" t="n">
        <x:v>5</x:v>
      </x:c>
      <x:c r="H1248" t="n">
        <x:v>15</x:v>
      </x:c>
      <x:c r="I1248" t="str">
        <x:v>À qualifier par lieu</x:v>
      </x:c>
      <x:c r="J1248" t="str">
        <x:v>https://github.com/darknigthmare/deadwall-last-enclosure/blob/1b3b9c5ba232734b1bda3453b4e20a0481bcdd74/codex-3000/compositions/Santé/DW-1243.md</x:v>
      </x:c>
      <x:c r="K1248" t="str">
        <x:v>Source min 20,16 m ; max 150,100 m ; modèle 26 × 22 m ; niveaux 0. Détails dans catalogue-existant.json.</x:v>
      </x:c>
    </x:row>
    <x:row r="1249">
      <x:c r="A1249" t="str">
        <x:v>DW-1244</x:v>
      </x:c>
      <x:c r="B1249" t="str">
        <x:v>DW-0122</x:v>
      </x:c>
      <x:c r="C1249" t="str">
        <x:v>Composition héritée</x:v>
      </x:c>
      <x:c r="D1249" t="str">
        <x:v>Santé</x:v>
      </x:c>
      <x:c r="E1249" t="str">
        <x:v>Maison de santé — Centre d’évacuation abandonné / reprise progressive de la végétation</x:v>
      </x:c>
      <x:c r="F1249" t="n">
        <x:v>8</x:v>
      </x:c>
      <x:c r="G1249" t="n">
        <x:v>5</x:v>
      </x:c>
      <x:c r="H1249" t="n">
        <x:v>15</x:v>
      </x:c>
      <x:c r="I1249" t="str">
        <x:v>À qualifier par lieu</x:v>
      </x:c>
      <x:c r="J1249" t="str">
        <x:v>https://github.com/darknigthmare/deadwall-last-enclosure/blob/1b3b9c5ba232734b1bda3453b4e20a0481bcdd74/codex-3000/compositions/Santé/DW-1244.md</x:v>
      </x:c>
      <x:c r="K1249" t="str">
        <x:v>Source min 20,16 m ; max 150,100 m ; modèle 26 × 22 m ; niveaux 0. Détails dans catalogue-existant.json.</x:v>
      </x:c>
    </x:row>
    <x:row r="1250">
      <x:c r="A1250" t="str">
        <x:v>DW-1245</x:v>
      </x:c>
      <x:c r="B1250" t="str">
        <x:v>DW-0123</x:v>
      </x:c>
      <x:c r="C1250" t="str">
        <x:v>Composition héritée</x:v>
      </x:c>
      <x:c r="D1250" t="str">
        <x:v>Santé</x:v>
      </x:c>
      <x:c r="E1250" t="str">
        <x:v>Dispensaire rural — Village et bourg / première récupération passée</x:v>
      </x:c>
      <x:c r="F1250" t="n">
        <x:v>8</x:v>
      </x:c>
      <x:c r="G1250" t="n">
        <x:v>4</x:v>
      </x:c>
      <x:c r="H1250" t="n">
        <x:v>12</x:v>
      </x:c>
      <x:c r="I1250" t="str">
        <x:v>À qualifier par lieu</x:v>
      </x:c>
      <x:c r="J1250" t="str">
        <x:v>https://github.com/darknigthmare/deadwall-last-enclosure/blob/1b3b9c5ba232734b1bda3453b4e20a0481bcdd74/codex-3000/compositions/Santé/DW-1245.md</x:v>
      </x:c>
      <x:c r="K1250" t="str">
        <x:v>Source min 20,16 m ; max 150,100 m ; modèle 25 × 18 m ; niveaux 0. Détails dans catalogue-existant.json.</x:v>
      </x:c>
    </x:row>
    <x:row r="1251">
      <x:c r="A1251" t="str">
        <x:v>DW-1246</x:v>
      </x:c>
      <x:c r="B1251" t="str">
        <x:v>DW-0123</x:v>
      </x:c>
      <x:c r="C1251" t="str">
        <x:v>Composition héritée</x:v>
      </x:c>
      <x:c r="D1251" t="str">
        <x:v>Santé</x:v>
      </x:c>
      <x:c r="E1251" t="str">
        <x:v>Dispensaire rural — Soins et secours / relais temporaire envisagé</x:v>
      </x:c>
      <x:c r="F1251" t="n">
        <x:v>10</x:v>
      </x:c>
      <x:c r="G1251" t="n">
        <x:v>4</x:v>
      </x:c>
      <x:c r="H1251" t="n">
        <x:v>12</x:v>
      </x:c>
      <x:c r="I1251" t="str">
        <x:v>À qualifier par lieu</x:v>
      </x:c>
      <x:c r="J1251" t="str">
        <x:v>https://github.com/darknigthmare/deadwall-last-enclosure/blob/1b3b9c5ba232734b1bda3453b4e20a0481bcdd74/codex-3000/compositions/Santé/DW-1246.md</x:v>
      </x:c>
      <x:c r="K1251" t="str">
        <x:v>Source min 20,16 m ; max 150,100 m ; modèle 25 × 18 m ; niveaux 0. Détails dans catalogue-existant.json.</x:v>
      </x:c>
    </x:row>
    <x:row r="1252">
      <x:c r="A1252" t="str">
        <x:v>DW-1247</x:v>
      </x:c>
      <x:c r="B1252" t="str">
        <x:v>DW-0124</x:v>
      </x:c>
      <x:c r="C1252" t="str">
        <x:v>Composition héritée</x:v>
      </x:c>
      <x:c r="D1252" t="str">
        <x:v>Santé</x:v>
      </x:c>
      <x:c r="E1252" t="str">
        <x:v>Centre de radiologie — Centre d’évacuation abandonné / service déplacé à l’arrière</x:v>
      </x:c>
      <x:c r="F1252" t="n">
        <x:v>8</x:v>
      </x:c>
      <x:c r="G1252" t="n">
        <x:v>4</x:v>
      </x:c>
      <x:c r="H1252" t="n">
        <x:v>12</x:v>
      </x:c>
      <x:c r="I1252" t="str">
        <x:v>À qualifier par lieu</x:v>
      </x:c>
      <x:c r="J1252" t="str">
        <x:v>https://github.com/darknigthmare/deadwall-last-enclosure/blob/1b3b9c5ba232734b1bda3453b4e20a0481bcdd74/codex-3000/compositions/Santé/DW-1247.md</x:v>
      </x:c>
      <x:c r="K1252" t="str">
        <x:v>Source min 20,16 m ; max 150,100 m ; modèle 25 × 18 m ; niveaux 0. Détails dans catalogue-existant.json.</x:v>
      </x:c>
    </x:row>
    <x:row r="1253">
      <x:c r="A1253" t="str">
        <x:v>DW-1248</x:v>
      </x:c>
      <x:c r="B1253" t="str">
        <x:v>DW-0124</x:v>
      </x:c>
      <x:c r="C1253" t="str">
        <x:v>Composition héritée</x:v>
      </x:c>
      <x:c r="D1253" t="str">
        <x:v>Santé</x:v>
      </x:c>
      <x:c r="E1253" t="str">
        <x:v>Centre de radiologie — Ville moyenne / réseau principal coupé</x:v>
      </x:c>
      <x:c r="F1253" t="n">
        <x:v>8</x:v>
      </x:c>
      <x:c r="G1253" t="n">
        <x:v>4</x:v>
      </x:c>
      <x:c r="H1253" t="n">
        <x:v>12</x:v>
      </x:c>
      <x:c r="I1253" t="str">
        <x:v>À qualifier par lieu</x:v>
      </x:c>
      <x:c r="J1253" t="str">
        <x:v>https://github.com/darknigthmare/deadwall-last-enclosure/blob/1b3b9c5ba232734b1bda3453b4e20a0481bcdd74/codex-3000/compositions/Santé/DW-1248.md</x:v>
      </x:c>
      <x:c r="K1253" t="str">
        <x:v>Source min 20,16 m ; max 150,100 m ; modèle 25 × 18 m ; niveaux 0. Détails dans catalogue-existant.json.</x:v>
      </x:c>
    </x:row>
    <x:row r="1254">
      <x:c r="A1254" t="str">
        <x:v>DW-1249</x:v>
      </x:c>
      <x:c r="B1254" t="str">
        <x:v>DW-0125</x:v>
      </x:c>
      <x:c r="C1254" t="str">
        <x:v>Composition héritée</x:v>
      </x:c>
      <x:c r="D1254" t="str">
        <x:v>Santé</x:v>
      </x:c>
      <x:c r="E1254" t="str">
        <x:v>Laboratoire d'analyses — Soins et secours / reprise progressive de la végétation</x:v>
      </x:c>
      <x:c r="F1254" t="n">
        <x:v>10</x:v>
      </x:c>
      <x:c r="G1254" t="n">
        <x:v>4</x:v>
      </x:c>
      <x:c r="H1254" t="n">
        <x:v>12</x:v>
      </x:c>
      <x:c r="I1254" t="str">
        <x:v>À qualifier par lieu</x:v>
      </x:c>
      <x:c r="J1254" t="str">
        <x:v>https://github.com/darknigthmare/deadwall-last-enclosure/blob/1b3b9c5ba232734b1bda3453b4e20a0481bcdd74/codex-3000/compositions/Santé/DW-1249.md</x:v>
      </x:c>
      <x:c r="K1254" t="str">
        <x:v>Source min 20,16 m ; max 150,100 m ; modèle 25 × 18 m ; niveaux 0. Détails dans catalogue-existant.json.</x:v>
      </x:c>
    </x:row>
    <x:row r="1255">
      <x:c r="A1255" t="str">
        <x:v>DW-1250</x:v>
      </x:c>
      <x:c r="B1255" t="str">
        <x:v>DW-0125</x:v>
      </x:c>
      <x:c r="C1255" t="str">
        <x:v>Composition héritée</x:v>
      </x:c>
      <x:c r="D1255" t="str">
        <x:v>Santé</x:v>
      </x:c>
      <x:c r="E1255" t="str">
        <x:v>Laboratoire d'analyses — Village et bourg / repli organisé interrompu</x:v>
      </x:c>
      <x:c r="F1255" t="n">
        <x:v>8</x:v>
      </x:c>
      <x:c r="G1255" t="n">
        <x:v>4</x:v>
      </x:c>
      <x:c r="H1255" t="n">
        <x:v>12</x:v>
      </x:c>
      <x:c r="I1255" t="str">
        <x:v>À qualifier par lieu</x:v>
      </x:c>
      <x:c r="J1255" t="str">
        <x:v>https://github.com/darknigthmare/deadwall-last-enclosure/blob/1b3b9c5ba232734b1bda3453b4e20a0481bcdd74/codex-3000/compositions/Santé/DW-1250.md</x:v>
      </x:c>
      <x:c r="K1255" t="str">
        <x:v>Source min 20,16 m ; max 150,100 m ; modèle 25 × 18 m ; niveaux 0. Détails dans catalogue-existant.json.</x:v>
      </x:c>
    </x:row>
    <x:row r="1256">
      <x:c r="A1256" t="str">
        <x:v>DW-1251</x:v>
      </x:c>
      <x:c r="B1256" t="str">
        <x:v>DW-0126</x:v>
      </x:c>
      <x:c r="C1256" t="str">
        <x:v>Composition héritée</x:v>
      </x:c>
      <x:c r="D1256" t="str">
        <x:v>Santé</x:v>
      </x:c>
      <x:c r="E1256" t="str">
        <x:v>Cabinet dentaire — Ville moyenne / relais temporaire envisagé</x:v>
      </x:c>
      <x:c r="F1256" t="n">
        <x:v>8</x:v>
      </x:c>
      <x:c r="G1256" t="n">
        <x:v>4</x:v>
      </x:c>
      <x:c r="H1256" t="n">
        <x:v>12</x:v>
      </x:c>
      <x:c r="I1256" t="str">
        <x:v>À qualifier par lieu</x:v>
      </x:c>
      <x:c r="J1256" t="str">
        <x:v>https://github.com/darknigthmare/deadwall-last-enclosure/blob/1b3b9c5ba232734b1bda3453b4e20a0481bcdd74/codex-3000/compositions/Santé/DW-1251.md</x:v>
      </x:c>
      <x:c r="K1256" t="str">
        <x:v>Source min 20,16 m ; max 150,100 m ; modèle 25 × 18 m ; niveaux 0. Détails dans catalogue-existant.json.</x:v>
      </x:c>
    </x:row>
    <x:row r="1257">
      <x:c r="A1257" t="str">
        <x:v>DW-1252</x:v>
      </x:c>
      <x:c r="B1257" t="str">
        <x:v>DW-0126</x:v>
      </x:c>
      <x:c r="C1257" t="str">
        <x:v>Composition héritée</x:v>
      </x:c>
      <x:c r="D1257" t="str">
        <x:v>Santé</x:v>
      </x:c>
      <x:c r="E1257" t="str">
        <x:v>Cabinet dentaire — Centre d’évacuation abandonné / évacuation interrompue</x:v>
      </x:c>
      <x:c r="F1257" t="n">
        <x:v>8</x:v>
      </x:c>
      <x:c r="G1257" t="n">
        <x:v>4</x:v>
      </x:c>
      <x:c r="H1257" t="n">
        <x:v>12</x:v>
      </x:c>
      <x:c r="I1257" t="str">
        <x:v>À qualifier par lieu</x:v>
      </x:c>
      <x:c r="J1257" t="str">
        <x:v>https://github.com/darknigthmare/deadwall-last-enclosure/blob/1b3b9c5ba232734b1bda3453b4e20a0481bcdd74/codex-3000/compositions/Santé/DW-1252.md</x:v>
      </x:c>
      <x:c r="K1257" t="str">
        <x:v>Source min 20,16 m ; max 150,100 m ; modèle 25 × 18 m ; niveaux 0. Détails dans catalogue-existant.json.</x:v>
      </x:c>
    </x:row>
    <x:row r="1258">
      <x:c r="A1258" t="str">
        <x:v>DW-1253</x:v>
      </x:c>
      <x:c r="B1258" t="str">
        <x:v>DW-0127</x:v>
      </x:c>
      <x:c r="C1258" t="str">
        <x:v>Composition héritée</x:v>
      </x:c>
      <x:c r="D1258" t="str">
        <x:v>Santé</x:v>
      </x:c>
      <x:c r="E1258" t="str">
        <x:v>Centre de rééducation — Village et bourg / réseau principal coupé</x:v>
      </x:c>
      <x:c r="F1258" t="n">
        <x:v>8</x:v>
      </x:c>
      <x:c r="G1258" t="n">
        <x:v>4</x:v>
      </x:c>
      <x:c r="H1258" t="n">
        <x:v>12</x:v>
      </x:c>
      <x:c r="I1258" t="str">
        <x:v>À qualifier par lieu</x:v>
      </x:c>
      <x:c r="J1258" t="str">
        <x:v>https://github.com/darknigthmare/deadwall-last-enclosure/blob/1b3b9c5ba232734b1bda3453b4e20a0481bcdd74/codex-3000/compositions/Santé/DW-1253.md</x:v>
      </x:c>
      <x:c r="K1258" t="str">
        <x:v>Source min 20,16 m ; max 150,100 m ; modèle 25 × 18 m ; niveaux 0. Détails dans catalogue-existant.json.</x:v>
      </x:c>
    </x:row>
    <x:row r="1259">
      <x:c r="A1259" t="str">
        <x:v>DW-1254</x:v>
      </x:c>
      <x:c r="B1259" t="str">
        <x:v>DW-0127</x:v>
      </x:c>
      <x:c r="C1259" t="str">
        <x:v>Composition héritée</x:v>
      </x:c>
      <x:c r="D1259" t="str">
        <x:v>Santé</x:v>
      </x:c>
      <x:c r="E1259" t="str">
        <x:v>Centre de rééducation — Soins et secours / arrêt de maintenance</x:v>
      </x:c>
      <x:c r="F1259" t="n">
        <x:v>10</x:v>
      </x:c>
      <x:c r="G1259" t="n">
        <x:v>4</x:v>
      </x:c>
      <x:c r="H1259" t="n">
        <x:v>12</x:v>
      </x:c>
      <x:c r="I1259" t="str">
        <x:v>À qualifier par lieu</x:v>
      </x:c>
      <x:c r="J1259" t="str">
        <x:v>https://github.com/darknigthmare/deadwall-last-enclosure/blob/1b3b9c5ba232734b1bda3453b4e20a0481bcdd74/codex-3000/compositions/Santé/DW-1254.md</x:v>
      </x:c>
      <x:c r="K1259" t="str">
        <x:v>Source min 20,16 m ; max 150,100 m ; modèle 25 × 18 m ; niveaux 0. Détails dans catalogue-existant.json.</x:v>
      </x:c>
    </x:row>
    <x:row r="1260">
      <x:c r="A1260" t="str">
        <x:v>DW-1255</x:v>
      </x:c>
      <x:c r="B1260" t="str">
        <x:v>DW-0128</x:v>
      </x:c>
      <x:c r="C1260" t="str">
        <x:v>Composition héritée</x:v>
      </x:c>
      <x:c r="D1260" t="str">
        <x:v>Santé</x:v>
      </x:c>
      <x:c r="E1260" t="str">
        <x:v>Centre de dialyse — Centre d’évacuation abandonné / repli organisé interrompu</x:v>
      </x:c>
      <x:c r="F1260" t="n">
        <x:v>8</x:v>
      </x:c>
      <x:c r="G1260" t="n">
        <x:v>4</x:v>
      </x:c>
      <x:c r="H1260" t="n">
        <x:v>12</x:v>
      </x:c>
      <x:c r="I1260" t="str">
        <x:v>À qualifier par lieu</x:v>
      </x:c>
      <x:c r="J1260" t="str">
        <x:v>https://github.com/darknigthmare/deadwall-last-enclosure/blob/1b3b9c5ba232734b1bda3453b4e20a0481bcdd74/codex-3000/compositions/Santé/DW-1255.md</x:v>
      </x:c>
      <x:c r="K1260" t="str">
        <x:v>Source min 20,16 m ; max 150,100 m ; modèle 25 × 18 m ; niveaux 0. Détails dans catalogue-existant.json.</x:v>
      </x:c>
    </x:row>
    <x:row r="1261">
      <x:c r="A1261" t="str">
        <x:v>DW-1256</x:v>
      </x:c>
      <x:c r="B1261" t="str">
        <x:v>DW-0128</x:v>
      </x:c>
      <x:c r="C1261" t="str">
        <x:v>Composition héritée</x:v>
      </x:c>
      <x:c r="D1261" t="str">
        <x:v>Santé</x:v>
      </x:c>
      <x:c r="E1261" t="str">
        <x:v>Centre de dialyse — Ville moyenne / première récupération passée</x:v>
      </x:c>
      <x:c r="F1261" t="n">
        <x:v>8</x:v>
      </x:c>
      <x:c r="G1261" t="n">
        <x:v>4</x:v>
      </x:c>
      <x:c r="H1261" t="n">
        <x:v>12</x:v>
      </x:c>
      <x:c r="I1261" t="str">
        <x:v>À qualifier par lieu</x:v>
      </x:c>
      <x:c r="J1261" t="str">
        <x:v>https://github.com/darknigthmare/deadwall-last-enclosure/blob/1b3b9c5ba232734b1bda3453b4e20a0481bcdd74/codex-3000/compositions/Santé/DW-1256.md</x:v>
      </x:c>
      <x:c r="K1261" t="str">
        <x:v>Source min 20,16 m ; max 150,100 m ; modèle 25 × 18 m ; niveaux 0. Détails dans catalogue-existant.json.</x:v>
      </x:c>
    </x:row>
    <x:row r="1262">
      <x:c r="A1262" t="str">
        <x:v>DW-1257</x:v>
      </x:c>
      <x:c r="B1262" t="str">
        <x:v>DW-0129</x:v>
      </x:c>
      <x:c r="C1262" t="str">
        <x:v>Composition héritée</x:v>
      </x:c>
      <x:c r="D1262" t="str">
        <x:v>Santé</x:v>
      </x:c>
      <x:c r="E1262" t="str">
        <x:v>Centre de transfusion — Soins et secours / évacuation interrompue</x:v>
      </x:c>
      <x:c r="F1262" t="n">
        <x:v>10</x:v>
      </x:c>
      <x:c r="G1262" t="n">
        <x:v>4</x:v>
      </x:c>
      <x:c r="H1262" t="n">
        <x:v>12</x:v>
      </x:c>
      <x:c r="I1262" t="str">
        <x:v>À qualifier par lieu</x:v>
      </x:c>
      <x:c r="J1262" t="str">
        <x:v>https://github.com/darknigthmare/deadwall-last-enclosure/blob/1b3b9c5ba232734b1bda3453b4e20a0481bcdd74/codex-3000/compositions/Santé/DW-1257.md</x:v>
      </x:c>
      <x:c r="K1262" t="str">
        <x:v>Source min 20,16 m ; max 150,100 m ; modèle 25 × 18 m ; niveaux 0. Détails dans catalogue-existant.json.</x:v>
      </x:c>
    </x:row>
    <x:row r="1263">
      <x:c r="A1263" t="str">
        <x:v>DW-1258</x:v>
      </x:c>
      <x:c r="B1263" t="str">
        <x:v>DW-0129</x:v>
      </x:c>
      <x:c r="C1263" t="str">
        <x:v>Composition héritée</x:v>
      </x:c>
      <x:c r="D1263" t="str">
        <x:v>Santé</x:v>
      </x:c>
      <x:c r="E1263" t="str">
        <x:v>Centre de transfusion — Village et bourg / service déplacé à l’arrière</x:v>
      </x:c>
      <x:c r="F1263" t="n">
        <x:v>8</x:v>
      </x:c>
      <x:c r="G1263" t="n">
        <x:v>4</x:v>
      </x:c>
      <x:c r="H1263" t="n">
        <x:v>12</x:v>
      </x:c>
      <x:c r="I1263" t="str">
        <x:v>À qualifier par lieu</x:v>
      </x:c>
      <x:c r="J1263" t="str">
        <x:v>https://github.com/darknigthmare/deadwall-last-enclosure/blob/1b3b9c5ba232734b1bda3453b4e20a0481bcdd74/codex-3000/compositions/Santé/DW-1258.md</x:v>
      </x:c>
      <x:c r="K1263" t="str">
        <x:v>Source min 20,16 m ; max 150,100 m ; modèle 25 × 18 m ; niveaux 0. Détails dans catalogue-existant.json.</x:v>
      </x:c>
    </x:row>
    <x:row r="1264">
      <x:c r="A1264" t="str">
        <x:v>DW-1259</x:v>
      </x:c>
      <x:c r="B1264" t="str">
        <x:v>DW-0130</x:v>
      </x:c>
      <x:c r="C1264" t="str">
        <x:v>Composition héritée</x:v>
      </x:c>
      <x:c r="D1264" t="str">
        <x:v>Santé</x:v>
      </x:c>
      <x:c r="E1264" t="str">
        <x:v>Urgences hospitalières — Ville moyenne / arrêt de maintenance</x:v>
      </x:c>
      <x:c r="F1264" t="n">
        <x:v>8</x:v>
      </x:c>
      <x:c r="G1264" t="n">
        <x:v>5</x:v>
      </x:c>
      <x:c r="H1264" t="n">
        <x:v>15</x:v>
      </x:c>
      <x:c r="I1264" t="str">
        <x:v>À qualifier par lieu</x:v>
      </x:c>
      <x:c r="J1264" t="str">
        <x:v>https://github.com/darknigthmare/deadwall-last-enclosure/blob/1b3b9c5ba232734b1bda3453b4e20a0481bcdd74/codex-3000/compositions/Santé/DW-1259.md</x:v>
      </x:c>
      <x:c r="K1264" t="str">
        <x:v>Source min 20,16 m ; max 150,100 m ; modèle 26 × 22 m ; niveaux 0. Détails dans catalogue-existant.json.</x:v>
      </x:c>
    </x:row>
    <x:row r="1265">
      <x:c r="A1265" t="str">
        <x:v>DW-1260</x:v>
      </x:c>
      <x:c r="B1265" t="str">
        <x:v>DW-0130</x:v>
      </x:c>
      <x:c r="C1265" t="str">
        <x:v>Composition héritée</x:v>
      </x:c>
      <x:c r="D1265" t="str">
        <x:v>Santé</x:v>
      </x:c>
      <x:c r="E1265" t="str">
        <x:v>Urgences hospitalières — Centre d’évacuation abandonné / reprise progressive de la végétation</x:v>
      </x:c>
      <x:c r="F1265" t="n">
        <x:v>8</x:v>
      </x:c>
      <x:c r="G1265" t="n">
        <x:v>5</x:v>
      </x:c>
      <x:c r="H1265" t="n">
        <x:v>15</x:v>
      </x:c>
      <x:c r="I1265" t="str">
        <x:v>À qualifier par lieu</x:v>
      </x:c>
      <x:c r="J1265" t="str">
        <x:v>https://github.com/darknigthmare/deadwall-last-enclosure/blob/1b3b9c5ba232734b1bda3453b4e20a0481bcdd74/codex-3000/compositions/Santé/DW-1260.md</x:v>
      </x:c>
      <x:c r="K1265" t="str">
        <x:v>Source min 20,16 m ; max 150,100 m ; modèle 26 × 22 m ; niveaux 0. Détails dans catalogue-existant.json.</x:v>
      </x:c>
    </x:row>
    <x:row r="1266">
      <x:c r="A1266" t="str">
        <x:v>DW-1261</x:v>
      </x:c>
      <x:c r="B1266" t="str">
        <x:v>DW-0131</x:v>
      </x:c>
      <x:c r="C1266" t="str">
        <x:v>Composition héritée</x:v>
      </x:c>
      <x:c r="D1266" t="str">
        <x:v>Santé</x:v>
      </x:c>
      <x:c r="E1266" t="str">
        <x:v>Hôpital général — Village et bourg / première récupération passée</x:v>
      </x:c>
      <x:c r="F1266" t="n">
        <x:v>8</x:v>
      </x:c>
      <x:c r="G1266" t="n">
        <x:v>5</x:v>
      </x:c>
      <x:c r="H1266" t="n">
        <x:v>15</x:v>
      </x:c>
      <x:c r="I1266" t="str">
        <x:v>À qualifier par lieu</x:v>
      </x:c>
      <x:c r="J1266" t="str">
        <x:v>https://github.com/darknigthmare/deadwall-last-enclosure/blob/1b3b9c5ba232734b1bda3453b4e20a0481bcdd74/codex-3000/compositions/Santé/DW-1261.md</x:v>
      </x:c>
      <x:c r="K1266" t="str">
        <x:v>Source min 20,16 m ; max 150,100 m ; modèle 26 × 22 m ; niveaux 0. Détails dans catalogue-existant.json.</x:v>
      </x:c>
    </x:row>
    <x:row r="1267">
      <x:c r="A1267" t="str">
        <x:v>DW-1262</x:v>
      </x:c>
      <x:c r="B1267" t="str">
        <x:v>DW-0131</x:v>
      </x:c>
      <x:c r="C1267" t="str">
        <x:v>Composition héritée</x:v>
      </x:c>
      <x:c r="D1267" t="str">
        <x:v>Santé</x:v>
      </x:c>
      <x:c r="E1267" t="str">
        <x:v>Hôpital général — Soins et secours / relais temporaire envisagé</x:v>
      </x:c>
      <x:c r="F1267" t="n">
        <x:v>10</x:v>
      </x:c>
      <x:c r="G1267" t="n">
        <x:v>5</x:v>
      </x:c>
      <x:c r="H1267" t="n">
        <x:v>15</x:v>
      </x:c>
      <x:c r="I1267" t="str">
        <x:v>À qualifier par lieu</x:v>
      </x:c>
      <x:c r="J1267" t="str">
        <x:v>https://github.com/darknigthmare/deadwall-last-enclosure/blob/1b3b9c5ba232734b1bda3453b4e20a0481bcdd74/codex-3000/compositions/Santé/DW-1262.md</x:v>
      </x:c>
      <x:c r="K1267" t="str">
        <x:v>Source min 20,16 m ; max 150,100 m ; modèle 26 × 22 m ; niveaux 0. Détails dans catalogue-existant.json.</x:v>
      </x:c>
    </x:row>
    <x:row r="1268">
      <x:c r="A1268" t="str">
        <x:v>DW-1263</x:v>
      </x:c>
      <x:c r="B1268" t="str">
        <x:v>DW-0132</x:v>
      </x:c>
      <x:c r="C1268" t="str">
        <x:v>Composition héritée</x:v>
      </x:c>
      <x:c r="D1268" t="str">
        <x:v>Santé</x:v>
      </x:c>
      <x:c r="E1268" t="str">
        <x:v>Clinique chirurgicale — Centre d’évacuation abandonné / service déplacé à l’arrière</x:v>
      </x:c>
      <x:c r="F1268" t="n">
        <x:v>8</x:v>
      </x:c>
      <x:c r="G1268" t="n">
        <x:v>5</x:v>
      </x:c>
      <x:c r="H1268" t="n">
        <x:v>15</x:v>
      </x:c>
      <x:c r="I1268" t="str">
        <x:v>À qualifier par lieu</x:v>
      </x:c>
      <x:c r="J1268" t="str">
        <x:v>https://github.com/darknigthmare/deadwall-last-enclosure/blob/1b3b9c5ba232734b1bda3453b4e20a0481bcdd74/codex-3000/compositions/Santé/DW-1263.md</x:v>
      </x:c>
      <x:c r="K1268" t="str">
        <x:v>Source min 20,16 m ; max 150,100 m ; modèle 26 × 22 m ; niveaux 0. Détails dans catalogue-existant.json.</x:v>
      </x:c>
    </x:row>
    <x:row r="1269">
      <x:c r="A1269" t="str">
        <x:v>DW-1264</x:v>
      </x:c>
      <x:c r="B1269" t="str">
        <x:v>DW-0132</x:v>
      </x:c>
      <x:c r="C1269" t="str">
        <x:v>Composition héritée</x:v>
      </x:c>
      <x:c r="D1269" t="str">
        <x:v>Santé</x:v>
      </x:c>
      <x:c r="E1269" t="str">
        <x:v>Clinique chirurgicale — Ville moyenne / réseau principal coupé</x:v>
      </x:c>
      <x:c r="F1269" t="n">
        <x:v>8</x:v>
      </x:c>
      <x:c r="G1269" t="n">
        <x:v>5</x:v>
      </x:c>
      <x:c r="H1269" t="n">
        <x:v>15</x:v>
      </x:c>
      <x:c r="I1269" t="str">
        <x:v>À qualifier par lieu</x:v>
      </x:c>
      <x:c r="J1269" t="str">
        <x:v>https://github.com/darknigthmare/deadwall-last-enclosure/blob/1b3b9c5ba232734b1bda3453b4e20a0481bcdd74/codex-3000/compositions/Santé/DW-1264.md</x:v>
      </x:c>
      <x:c r="K1269" t="str">
        <x:v>Source min 20,16 m ; max 150,100 m ; modèle 26 × 22 m ; niveaux 0. Détails dans catalogue-existant.json.</x:v>
      </x:c>
    </x:row>
    <x:row r="1270">
      <x:c r="A1270" t="str">
        <x:v>DW-1265</x:v>
      </x:c>
      <x:c r="B1270" t="str">
        <x:v>DW-0133</x:v>
      </x:c>
      <x:c r="C1270" t="str">
        <x:v>Composition héritée</x:v>
      </x:c>
      <x:c r="D1270" t="str">
        <x:v>Santé</x:v>
      </x:c>
      <x:c r="E1270" t="str">
        <x:v>Maternité — Soins et secours / reprise progressive de la végétation</x:v>
      </x:c>
      <x:c r="F1270" t="n">
        <x:v>10</x:v>
      </x:c>
      <x:c r="G1270" t="n">
        <x:v>4</x:v>
      </x:c>
      <x:c r="H1270" t="n">
        <x:v>12</x:v>
      </x:c>
      <x:c r="I1270" t="str">
        <x:v>À qualifier par lieu</x:v>
      </x:c>
      <x:c r="J1270" t="str">
        <x:v>https://github.com/darknigthmare/deadwall-last-enclosure/blob/1b3b9c5ba232734b1bda3453b4e20a0481bcdd74/codex-3000/compositions/Santé/DW-1265.md</x:v>
      </x:c>
      <x:c r="K1270" t="str">
        <x:v>Source min 20,16 m ; max 150,100 m ; modèle 25 × 18 m ; niveaux 0. Détails dans catalogue-existant.json.</x:v>
      </x:c>
    </x:row>
    <x:row r="1271">
      <x:c r="A1271" t="str">
        <x:v>DW-1266</x:v>
      </x:c>
      <x:c r="B1271" t="str">
        <x:v>DW-0133</x:v>
      </x:c>
      <x:c r="C1271" t="str">
        <x:v>Composition héritée</x:v>
      </x:c>
      <x:c r="D1271" t="str">
        <x:v>Santé</x:v>
      </x:c>
      <x:c r="E1271" t="str">
        <x:v>Maternité — Village et bourg / repli organisé interrompu</x:v>
      </x:c>
      <x:c r="F1271" t="n">
        <x:v>8</x:v>
      </x:c>
      <x:c r="G1271" t="n">
        <x:v>4</x:v>
      </x:c>
      <x:c r="H1271" t="n">
        <x:v>12</x:v>
      </x:c>
      <x:c r="I1271" t="str">
        <x:v>À qualifier par lieu</x:v>
      </x:c>
      <x:c r="J1271" t="str">
        <x:v>https://github.com/darknigthmare/deadwall-last-enclosure/blob/1b3b9c5ba232734b1bda3453b4e20a0481bcdd74/codex-3000/compositions/Santé/DW-1266.md</x:v>
      </x:c>
      <x:c r="K1271" t="str">
        <x:v>Source min 20,16 m ; max 150,100 m ; modèle 25 × 18 m ; niveaux 0. Détails dans catalogue-existant.json.</x:v>
      </x:c>
    </x:row>
    <x:row r="1272">
      <x:c r="A1272" t="str">
        <x:v>DW-1267</x:v>
      </x:c>
      <x:c r="B1272" t="str">
        <x:v>DW-0134</x:v>
      </x:c>
      <x:c r="C1272" t="str">
        <x:v>Composition héritée</x:v>
      </x:c>
      <x:c r="D1272" t="str">
        <x:v>Santé</x:v>
      </x:c>
      <x:c r="E1272" t="str">
        <x:v>Hôpital pédiatrique — Ville moyenne / relais temporaire envisagé</x:v>
      </x:c>
      <x:c r="F1272" t="n">
        <x:v>8</x:v>
      </x:c>
      <x:c r="G1272" t="n">
        <x:v>4</x:v>
      </x:c>
      <x:c r="H1272" t="n">
        <x:v>12</x:v>
      </x:c>
      <x:c r="I1272" t="str">
        <x:v>À qualifier par lieu</x:v>
      </x:c>
      <x:c r="J1272" t="str">
        <x:v>https://github.com/darknigthmare/deadwall-last-enclosure/blob/1b3b9c5ba232734b1bda3453b4e20a0481bcdd74/codex-3000/compositions/Santé/DW-1267.md</x:v>
      </x:c>
      <x:c r="K1272" t="str">
        <x:v>Source min 20,16 m ; max 150,100 m ; modèle 25 × 18 m ; niveaux 0. Détails dans catalogue-existant.json.</x:v>
      </x:c>
    </x:row>
    <x:row r="1273">
      <x:c r="A1273" t="str">
        <x:v>DW-1268</x:v>
      </x:c>
      <x:c r="B1273" t="str">
        <x:v>DW-0134</x:v>
      </x:c>
      <x:c r="C1273" t="str">
        <x:v>Composition héritée</x:v>
      </x:c>
      <x:c r="D1273" t="str">
        <x:v>Santé</x:v>
      </x:c>
      <x:c r="E1273" t="str">
        <x:v>Hôpital pédiatrique — Centre d’évacuation abandonné / évacuation interrompue</x:v>
      </x:c>
      <x:c r="F1273" t="n">
        <x:v>8</x:v>
      </x:c>
      <x:c r="G1273" t="n">
        <x:v>4</x:v>
      </x:c>
      <x:c r="H1273" t="n">
        <x:v>12</x:v>
      </x:c>
      <x:c r="I1273" t="str">
        <x:v>À qualifier par lieu</x:v>
      </x:c>
      <x:c r="J1273" t="str">
        <x:v>https://github.com/darknigthmare/deadwall-last-enclosure/blob/1b3b9c5ba232734b1bda3453b4e20a0481bcdd74/codex-3000/compositions/Santé/DW-1268.md</x:v>
      </x:c>
      <x:c r="K1273" t="str">
        <x:v>Source min 20,16 m ; max 150,100 m ; modèle 25 × 18 m ; niveaux 0. Détails dans catalogue-existant.json.</x:v>
      </x:c>
    </x:row>
    <x:row r="1274">
      <x:c r="A1274" t="str">
        <x:v>DW-1269</x:v>
      </x:c>
      <x:c r="B1274" t="str">
        <x:v>DW-0135</x:v>
      </x:c>
      <x:c r="C1274" t="str">
        <x:v>Composition héritée</x:v>
      </x:c>
      <x:c r="D1274" t="str">
        <x:v>Santé</x:v>
      </x:c>
      <x:c r="E1274" t="str">
        <x:v>Établissement gériatrique — Village et bourg / réseau principal coupé</x:v>
      </x:c>
      <x:c r="F1274" t="n">
        <x:v>8</x:v>
      </x:c>
      <x:c r="G1274" t="n">
        <x:v>5</x:v>
      </x:c>
      <x:c r="H1274" t="n">
        <x:v>15</x:v>
      </x:c>
      <x:c r="I1274" t="str">
        <x:v>À qualifier par lieu</x:v>
      </x:c>
      <x:c r="J1274" t="str">
        <x:v>https://github.com/darknigthmare/deadwall-last-enclosure/blob/1b3b9c5ba232734b1bda3453b4e20a0481bcdd74/codex-3000/compositions/Santé/DW-1269.md</x:v>
      </x:c>
      <x:c r="K1274" t="str">
        <x:v>Source min 20,16 m ; max 150,100 m ; modèle 26 × 22 m ; niveaux 0. Détails dans catalogue-existant.json.</x:v>
      </x:c>
    </x:row>
    <x:row r="1275">
      <x:c r="A1275" t="str">
        <x:v>DW-1270</x:v>
      </x:c>
      <x:c r="B1275" t="str">
        <x:v>DW-0135</x:v>
      </x:c>
      <x:c r="C1275" t="str">
        <x:v>Composition héritée</x:v>
      </x:c>
      <x:c r="D1275" t="str">
        <x:v>Santé</x:v>
      </x:c>
      <x:c r="E1275" t="str">
        <x:v>Établissement gériatrique — Soins et secours / arrêt de maintenance</x:v>
      </x:c>
      <x:c r="F1275" t="n">
        <x:v>10</x:v>
      </x:c>
      <x:c r="G1275" t="n">
        <x:v>5</x:v>
      </x:c>
      <x:c r="H1275" t="n">
        <x:v>15</x:v>
      </x:c>
      <x:c r="I1275" t="str">
        <x:v>À qualifier par lieu</x:v>
      </x:c>
      <x:c r="J1275" t="str">
        <x:v>https://github.com/darknigthmare/deadwall-last-enclosure/blob/1b3b9c5ba232734b1bda3453b4e20a0481bcdd74/codex-3000/compositions/Santé/DW-1270.md</x:v>
      </x:c>
      <x:c r="K1275" t="str">
        <x:v>Source min 20,16 m ; max 150,100 m ; modèle 26 × 22 m ; niveaux 0. Détails dans catalogue-existant.json.</x:v>
      </x:c>
    </x:row>
    <x:row r="1276">
      <x:c r="A1276" t="str">
        <x:v>DW-1271</x:v>
      </x:c>
      <x:c r="B1276" t="str">
        <x:v>DW-0136</x:v>
      </x:c>
      <x:c r="C1276" t="str">
        <x:v>Composition héritée</x:v>
      </x:c>
      <x:c r="D1276" t="str">
        <x:v>Santé</x:v>
      </x:c>
      <x:c r="E1276" t="str">
        <x:v>Centre de soins psychiatriques — Centre d’évacuation abandonné / repli organisé interrompu</x:v>
      </x:c>
      <x:c r="F1276" t="n">
        <x:v>8</x:v>
      </x:c>
      <x:c r="G1276" t="n">
        <x:v>5</x:v>
      </x:c>
      <x:c r="H1276" t="n">
        <x:v>15</x:v>
      </x:c>
      <x:c r="I1276" t="str">
        <x:v>À qualifier par lieu</x:v>
      </x:c>
      <x:c r="J1276" t="str">
        <x:v>https://github.com/darknigthmare/deadwall-last-enclosure/blob/1b3b9c5ba232734b1bda3453b4e20a0481bcdd74/codex-3000/compositions/Santé/DW-1271.md</x:v>
      </x:c>
      <x:c r="K1276" t="str">
        <x:v>Source min 20,16 m ; max 150,100 m ; modèle 26 × 22 m ; niveaux 0. Détails dans catalogue-existant.json.</x:v>
      </x:c>
    </x:row>
    <x:row r="1277">
      <x:c r="A1277" t="str">
        <x:v>DW-1272</x:v>
      </x:c>
      <x:c r="B1277" t="str">
        <x:v>DW-0136</x:v>
      </x:c>
      <x:c r="C1277" t="str">
        <x:v>Composition héritée</x:v>
      </x:c>
      <x:c r="D1277" t="str">
        <x:v>Santé</x:v>
      </x:c>
      <x:c r="E1277" t="str">
        <x:v>Centre de soins psychiatriques — Ville moyenne / première récupération passée</x:v>
      </x:c>
      <x:c r="F1277" t="n">
        <x:v>8</x:v>
      </x:c>
      <x:c r="G1277" t="n">
        <x:v>5</x:v>
      </x:c>
      <x:c r="H1277" t="n">
        <x:v>15</x:v>
      </x:c>
      <x:c r="I1277" t="str">
        <x:v>À qualifier par lieu</x:v>
      </x:c>
      <x:c r="J1277" t="str">
        <x:v>https://github.com/darknigthmare/deadwall-last-enclosure/blob/1b3b9c5ba232734b1bda3453b4e20a0481bcdd74/codex-3000/compositions/Santé/DW-1272.md</x:v>
      </x:c>
      <x:c r="K1277" t="str">
        <x:v>Source min 20,16 m ; max 150,100 m ; modèle 26 × 22 m ; niveaux 0. Détails dans catalogue-existant.json.</x:v>
      </x:c>
    </x:row>
    <x:row r="1278">
      <x:c r="A1278" t="str">
        <x:v>DW-1273</x:v>
      </x:c>
      <x:c r="B1278" t="str">
        <x:v>DW-0137</x:v>
      </x:c>
      <x:c r="C1278" t="str">
        <x:v>Composition héritée</x:v>
      </x:c>
      <x:c r="D1278" t="str">
        <x:v>Santé</x:v>
      </x:c>
      <x:c r="E1278" t="str">
        <x:v>Maison de convalescence — Soins et secours / évacuation interrompue</x:v>
      </x:c>
      <x:c r="F1278" t="n">
        <x:v>10</x:v>
      </x:c>
      <x:c r="G1278" t="n">
        <x:v>4</x:v>
      </x:c>
      <x:c r="H1278" t="n">
        <x:v>12</x:v>
      </x:c>
      <x:c r="I1278" t="str">
        <x:v>À qualifier par lieu</x:v>
      </x:c>
      <x:c r="J1278" t="str">
        <x:v>https://github.com/darknigthmare/deadwall-last-enclosure/blob/1b3b9c5ba232734b1bda3453b4e20a0481bcdd74/codex-3000/compositions/Santé/DW-1273.md</x:v>
      </x:c>
      <x:c r="K1278" t="str">
        <x:v>Source min 20,16 m ; max 150,100 m ; modèle 25 × 18 m ; niveaux 0. Détails dans catalogue-existant.json.</x:v>
      </x:c>
    </x:row>
    <x:row r="1279">
      <x:c r="A1279" t="str">
        <x:v>DW-1274</x:v>
      </x:c>
      <x:c r="B1279" t="str">
        <x:v>DW-0137</x:v>
      </x:c>
      <x:c r="C1279" t="str">
        <x:v>Composition héritée</x:v>
      </x:c>
      <x:c r="D1279" t="str">
        <x:v>Santé</x:v>
      </x:c>
      <x:c r="E1279" t="str">
        <x:v>Maison de convalescence — Village et bourg / service déplacé à l’arrière</x:v>
      </x:c>
      <x:c r="F1279" t="n">
        <x:v>8</x:v>
      </x:c>
      <x:c r="G1279" t="n">
        <x:v>4</x:v>
      </x:c>
      <x:c r="H1279" t="n">
        <x:v>12</x:v>
      </x:c>
      <x:c r="I1279" t="str">
        <x:v>À qualifier par lieu</x:v>
      </x:c>
      <x:c r="J1279" t="str">
        <x:v>https://github.com/darknigthmare/deadwall-last-enclosure/blob/1b3b9c5ba232734b1bda3453b4e20a0481bcdd74/codex-3000/compositions/Santé/DW-1274.md</x:v>
      </x:c>
      <x:c r="K1279" t="str">
        <x:v>Source min 20,16 m ; max 150,100 m ; modèle 25 × 18 m ; niveaux 0. Détails dans catalogue-existant.json.</x:v>
      </x:c>
    </x:row>
    <x:row r="1280">
      <x:c r="A1280" t="str">
        <x:v>DW-1275</x:v>
      </x:c>
      <x:c r="B1280" t="str">
        <x:v>DW-0138</x:v>
      </x:c>
      <x:c r="C1280" t="str">
        <x:v>Composition héritée</x:v>
      </x:c>
      <x:c r="D1280" t="str">
        <x:v>Santé</x:v>
      </x:c>
      <x:c r="E1280" t="str">
        <x:v>Hôpital de campagne — Ville moyenne / arrêt de maintenance</x:v>
      </x:c>
      <x:c r="F1280" t="n">
        <x:v>8</x:v>
      </x:c>
      <x:c r="G1280" t="n">
        <x:v>5</x:v>
      </x:c>
      <x:c r="H1280" t="n">
        <x:v>15</x:v>
      </x:c>
      <x:c r="I1280" t="str">
        <x:v>À qualifier par lieu</x:v>
      </x:c>
      <x:c r="J1280" t="str">
        <x:v>https://github.com/darknigthmare/deadwall-last-enclosure/blob/1b3b9c5ba232734b1bda3453b4e20a0481bcdd74/codex-3000/compositions/Santé/DW-1275.md</x:v>
      </x:c>
      <x:c r="K1280" t="str">
        <x:v>Source min 20,16 m ; max 150,100 m ; modèle 26 × 22 m ; niveaux 0. Détails dans catalogue-existant.json.</x:v>
      </x:c>
    </x:row>
    <x:row r="1281">
      <x:c r="A1281" t="str">
        <x:v>DW-1276</x:v>
      </x:c>
      <x:c r="B1281" t="str">
        <x:v>DW-0138</x:v>
      </x:c>
      <x:c r="C1281" t="str">
        <x:v>Composition héritée</x:v>
      </x:c>
      <x:c r="D1281" t="str">
        <x:v>Santé</x:v>
      </x:c>
      <x:c r="E1281" t="str">
        <x:v>Hôpital de campagne — Centre d’évacuation abandonné / reprise progressive de la végétation</x:v>
      </x:c>
      <x:c r="F1281" t="n">
        <x:v>8</x:v>
      </x:c>
      <x:c r="G1281" t="n">
        <x:v>5</x:v>
      </x:c>
      <x:c r="H1281" t="n">
        <x:v>15</x:v>
      </x:c>
      <x:c r="I1281" t="str">
        <x:v>À qualifier par lieu</x:v>
      </x:c>
      <x:c r="J1281" t="str">
        <x:v>https://github.com/darknigthmare/deadwall-last-enclosure/blob/1b3b9c5ba232734b1bda3453b4e20a0481bcdd74/codex-3000/compositions/Santé/DW-1276.md</x:v>
      </x:c>
      <x:c r="K1281" t="str">
        <x:v>Source min 20,16 m ; max 150,100 m ; modèle 26 × 22 m ; niveaux 0. Détails dans catalogue-existant.json.</x:v>
      </x:c>
    </x:row>
    <x:row r="1282">
      <x:c r="A1282" t="str">
        <x:v>DW-1277</x:v>
      </x:c>
      <x:c r="B1282" t="str">
        <x:v>DW-0139</x:v>
      </x:c>
      <x:c r="C1282" t="str">
        <x:v>Composition héritée</x:v>
      </x:c>
      <x:c r="D1282" t="str">
        <x:v>Santé</x:v>
      </x:c>
      <x:c r="E1282" t="str">
        <x:v>Centre ambulancier — Village et bourg / première récupération passée</x:v>
      </x:c>
      <x:c r="F1282" t="n">
        <x:v>8</x:v>
      </x:c>
      <x:c r="G1282" t="n">
        <x:v>4</x:v>
      </x:c>
      <x:c r="H1282" t="n">
        <x:v>12</x:v>
      </x:c>
      <x:c r="I1282" t="str">
        <x:v>À qualifier par lieu</x:v>
      </x:c>
      <x:c r="J1282" t="str">
        <x:v>https://github.com/darknigthmare/deadwall-last-enclosure/blob/1b3b9c5ba232734b1bda3453b4e20a0481bcdd74/codex-3000/compositions/Santé/DW-1277.md</x:v>
      </x:c>
      <x:c r="K1282" t="str">
        <x:v>Source min 20,16 m ; max 150,100 m ; modèle 25 × 18 m ; niveaux 0. Détails dans catalogue-existant.json.</x:v>
      </x:c>
    </x:row>
    <x:row r="1283">
      <x:c r="A1283" t="str">
        <x:v>DW-1278</x:v>
      </x:c>
      <x:c r="B1283" t="str">
        <x:v>DW-0139</x:v>
      </x:c>
      <x:c r="C1283" t="str">
        <x:v>Composition héritée</x:v>
      </x:c>
      <x:c r="D1283" t="str">
        <x:v>Santé</x:v>
      </x:c>
      <x:c r="E1283" t="str">
        <x:v>Centre ambulancier — Soins et secours / relais temporaire envisagé</x:v>
      </x:c>
      <x:c r="F1283" t="n">
        <x:v>10</x:v>
      </x:c>
      <x:c r="G1283" t="n">
        <x:v>4</x:v>
      </x:c>
      <x:c r="H1283" t="n">
        <x:v>12</x:v>
      </x:c>
      <x:c r="I1283" t="str">
        <x:v>À qualifier par lieu</x:v>
      </x:c>
      <x:c r="J1283" t="str">
        <x:v>https://github.com/darknigthmare/deadwall-last-enclosure/blob/1b3b9c5ba232734b1bda3453b4e20a0481bcdd74/codex-3000/compositions/Santé/DW-1278.md</x:v>
      </x:c>
      <x:c r="K1283" t="str">
        <x:v>Source min 20,16 m ; max 150,100 m ; modèle 25 × 18 m ; niveaux 0. Détails dans catalogue-existant.json.</x:v>
      </x:c>
    </x:row>
    <x:row r="1284">
      <x:c r="A1284" t="str">
        <x:v>DW-1279</x:v>
      </x:c>
      <x:c r="B1284" t="str">
        <x:v>DW-0140</x:v>
      </x:c>
      <x:c r="C1284" t="str">
        <x:v>Composition héritée</x:v>
      </x:c>
      <x:c r="D1284" t="str">
        <x:v>Santé</x:v>
      </x:c>
      <x:c r="E1284" t="str">
        <x:v>Ancien sanatorium — Centre d’évacuation abandonné / service déplacé à l’arrière</x:v>
      </x:c>
      <x:c r="F1284" t="n">
        <x:v>8</x:v>
      </x:c>
      <x:c r="G1284" t="n">
        <x:v>5</x:v>
      </x:c>
      <x:c r="H1284" t="n">
        <x:v>13</x:v>
      </x:c>
      <x:c r="I1284" t="str">
        <x:v>À qualifier par lieu</x:v>
      </x:c>
      <x:c r="J1284" t="str">
        <x:v>https://github.com/darknigthmare/deadwall-last-enclosure/blob/1b3b9c5ba232734b1bda3453b4e20a0481bcdd74/codex-3000/compositions/Santé/DW-1279.md</x:v>
      </x:c>
      <x:c r="K1284" t="str">
        <x:v>Source min 20,16 m ; max 150,100 m ; modèle 26 × 22 m ; niveaux 0. Détails dans catalogue-existant.json.</x:v>
      </x:c>
    </x:row>
    <x:row r="1285">
      <x:c r="A1285" t="str">
        <x:v>DW-1280</x:v>
      </x:c>
      <x:c r="B1285" t="str">
        <x:v>DW-0140</x:v>
      </x:c>
      <x:c r="C1285" t="str">
        <x:v>Composition héritée</x:v>
      </x:c>
      <x:c r="D1285" t="str">
        <x:v>Santé</x:v>
      </x:c>
      <x:c r="E1285" t="str">
        <x:v>Ancien sanatorium — Ville moyenne / réseau principal coupé</x:v>
      </x:c>
      <x:c r="F1285" t="n">
        <x:v>8</x:v>
      </x:c>
      <x:c r="G1285" t="n">
        <x:v>5</x:v>
      </x:c>
      <x:c r="H1285" t="n">
        <x:v>13</x:v>
      </x:c>
      <x:c r="I1285" t="str">
        <x:v>À qualifier par lieu</x:v>
      </x:c>
      <x:c r="J1285" t="str">
        <x:v>https://github.com/darknigthmare/deadwall-last-enclosure/blob/1b3b9c5ba232734b1bda3453b4e20a0481bcdd74/codex-3000/compositions/Santé/DW-1280.md</x:v>
      </x:c>
      <x:c r="K1285" t="str">
        <x:v>Source min 20,16 m ; max 150,100 m ; modèle 26 × 22 m ; niveaux 0. Détails dans catalogue-existant.json.</x:v>
      </x:c>
    </x:row>
    <x:row r="1286">
      <x:c r="A1286" t="str">
        <x:v>DW-1281</x:v>
      </x:c>
      <x:c r="B1286" t="str">
        <x:v>DW-0141</x:v>
      </x:c>
      <x:c r="C1286" t="str">
        <x:v>Composition héritée</x:v>
      </x:c>
      <x:c r="D1286" t="str">
        <x:v>Éducation et connaissance</x:v>
      </x:c>
      <x:c r="E1286" t="str">
        <x:v>École maternelle — École, mairie et bâtiments civiques / reprise progressive de la végétation</x:v>
      </x:c>
      <x:c r="F1286" t="n">
        <x:v>8</x:v>
      </x:c>
      <x:c r="G1286" t="n">
        <x:v>5</x:v>
      </x:c>
      <x:c r="H1286" t="n">
        <x:v>15</x:v>
      </x:c>
      <x:c r="I1286" t="str">
        <x:v>À qualifier par lieu</x:v>
      </x:c>
      <x:c r="J1286" t="str">
        <x:v>https://github.com/darknigthmare/deadwall-last-enclosure/blob/1b3b9c5ba232734b1bda3453b4e20a0481bcdd74/codex-3000/compositions/Éducation et connaissance/DW-1281.md</x:v>
      </x:c>
      <x:c r="K1286" t="str">
        <x:v>Source min 28,20 m ; max 160,110 m ; modèle 28 × 22 m ; niveaux 0. Détails dans catalogue-existant.json.</x:v>
      </x:c>
    </x:row>
    <x:row r="1287">
      <x:c r="A1287" t="str">
        <x:v>DW-1282</x:v>
      </x:c>
      <x:c r="B1287" t="str">
        <x:v>DW-0141</x:v>
      </x:c>
      <x:c r="C1287" t="str">
        <x:v>Composition héritée</x:v>
      </x:c>
      <x:c r="D1287" t="str">
        <x:v>Éducation et connaissance</x:v>
      </x:c>
      <x:c r="E1287" t="str">
        <x:v>École maternelle — Quartier collectif / repli organisé interrompu</x:v>
      </x:c>
      <x:c r="F1287" t="n">
        <x:v>8</x:v>
      </x:c>
      <x:c r="G1287" t="n">
        <x:v>5</x:v>
      </x:c>
      <x:c r="H1287" t="n">
        <x:v>15</x:v>
      </x:c>
      <x:c r="I1287" t="str">
        <x:v>À qualifier par lieu</x:v>
      </x:c>
      <x:c r="J1287" t="str">
        <x:v>https://github.com/darknigthmare/deadwall-last-enclosure/blob/1b3b9c5ba232734b1bda3453b4e20a0481bcdd74/codex-3000/compositions/Éducation et connaissance/DW-1282.md</x:v>
      </x:c>
      <x:c r="K1287" t="str">
        <x:v>Source min 28,20 m ; max 160,110 m ; modèle 28 × 22 m ; niveaux 0. Détails dans catalogue-existant.json.</x:v>
      </x:c>
    </x:row>
    <x:row r="1288">
      <x:c r="A1288" t="str">
        <x:v>DW-1283</x:v>
      </x:c>
      <x:c r="B1288" t="str">
        <x:v>DW-0142</x:v>
      </x:c>
      <x:c r="C1288" t="str">
        <x:v>Composition héritée</x:v>
      </x:c>
      <x:c r="D1288" t="str">
        <x:v>Éducation et connaissance</x:v>
      </x:c>
      <x:c r="E1288" t="str">
        <x:v>École primaire — Ville moyenne / relais temporaire envisagé</x:v>
      </x:c>
      <x:c r="F1288" t="n">
        <x:v>8</x:v>
      </x:c>
      <x:c r="G1288" t="n">
        <x:v>5</x:v>
      </x:c>
      <x:c r="H1288" t="n">
        <x:v>15</x:v>
      </x:c>
      <x:c r="I1288" t="str">
        <x:v>À qualifier par lieu</x:v>
      </x:c>
      <x:c r="J1288" t="str">
        <x:v>https://github.com/darknigthmare/deadwall-last-enclosure/blob/1b3b9c5ba232734b1bda3453b4e20a0481bcdd74/codex-3000/compositions/Éducation et connaissance/DW-1283.md</x:v>
      </x:c>
      <x:c r="K1288" t="str">
        <x:v>Source min 28,20 m ; max 160,110 m ; modèle 28 × 22 m ; niveaux 0, 1. Détails dans catalogue-existant.json.</x:v>
      </x:c>
    </x:row>
    <x:row r="1289">
      <x:c r="A1289" t="str">
        <x:v>DW-1284</x:v>
      </x:c>
      <x:c r="B1289" t="str">
        <x:v>DW-0142</x:v>
      </x:c>
      <x:c r="C1289" t="str">
        <x:v>Composition héritée</x:v>
      </x:c>
      <x:c r="D1289" t="str">
        <x:v>Éducation et connaissance</x:v>
      </x:c>
      <x:c r="E1289" t="str">
        <x:v>École primaire — Village et bourg / évacuation interrompue</x:v>
      </x:c>
      <x:c r="F1289" t="n">
        <x:v>8</x:v>
      </x:c>
      <x:c r="G1289" t="n">
        <x:v>5</x:v>
      </x:c>
      <x:c r="H1289" t="n">
        <x:v>15</x:v>
      </x:c>
      <x:c r="I1289" t="str">
        <x:v>À qualifier par lieu</x:v>
      </x:c>
      <x:c r="J1289" t="str">
        <x:v>https://github.com/darknigthmare/deadwall-last-enclosure/blob/1b3b9c5ba232734b1bda3453b4e20a0481bcdd74/codex-3000/compositions/Éducation et connaissance/DW-1284.md</x:v>
      </x:c>
      <x:c r="K1289" t="str">
        <x:v>Source min 28,20 m ; max 160,110 m ; modèle 28 × 22 m ; niveaux 0, 1. Détails dans catalogue-existant.json.</x:v>
      </x:c>
    </x:row>
    <x:row r="1290">
      <x:c r="A1290" t="str">
        <x:v>DW-1285</x:v>
      </x:c>
      <x:c r="B1290" t="str">
        <x:v>DW-0143</x:v>
      </x:c>
      <x:c r="C1290" t="str">
        <x:v>Composition héritée</x:v>
      </x:c>
      <x:c r="D1290" t="str">
        <x:v>Éducation et connaissance</x:v>
      </x:c>
      <x:c r="E1290" t="str">
        <x:v>Collège — Quartier collectif / réseau principal coupé</x:v>
      </x:c>
      <x:c r="F1290" t="n">
        <x:v>8</x:v>
      </x:c>
      <x:c r="G1290" t="n">
        <x:v>5</x:v>
      </x:c>
      <x:c r="H1290" t="n">
        <x:v>15</x:v>
      </x:c>
      <x:c r="I1290" t="str">
        <x:v>À qualifier par lieu</x:v>
      </x:c>
      <x:c r="J1290" t="str">
        <x:v>https://github.com/darknigthmare/deadwall-last-enclosure/blob/1b3b9c5ba232734b1bda3453b4e20a0481bcdd74/codex-3000/compositions/Éducation et connaissance/DW-1285.md</x:v>
      </x:c>
      <x:c r="K1290" t="str">
        <x:v>Source min 28,20 m ; max 160,110 m ; modèle 28 × 22 m ; niveaux 0. Détails dans catalogue-existant.json.</x:v>
      </x:c>
    </x:row>
    <x:row r="1291">
      <x:c r="A1291" t="str">
        <x:v>DW-1286</x:v>
      </x:c>
      <x:c r="B1291" t="str">
        <x:v>DW-0143</x:v>
      </x:c>
      <x:c r="C1291" t="str">
        <x:v>Composition héritée</x:v>
      </x:c>
      <x:c r="D1291" t="str">
        <x:v>Éducation et connaissance</x:v>
      </x:c>
      <x:c r="E1291" t="str">
        <x:v>Collège — École, mairie et bâtiments civiques / arrêt de maintenance</x:v>
      </x:c>
      <x:c r="F1291" t="n">
        <x:v>8</x:v>
      </x:c>
      <x:c r="G1291" t="n">
        <x:v>5</x:v>
      </x:c>
      <x:c r="H1291" t="n">
        <x:v>15</x:v>
      </x:c>
      <x:c r="I1291" t="str">
        <x:v>À qualifier par lieu</x:v>
      </x:c>
      <x:c r="J1291" t="str">
        <x:v>https://github.com/darknigthmare/deadwall-last-enclosure/blob/1b3b9c5ba232734b1bda3453b4e20a0481bcdd74/codex-3000/compositions/Éducation et connaissance/DW-1286.md</x:v>
      </x:c>
      <x:c r="K1291" t="str">
        <x:v>Source min 28,20 m ; max 160,110 m ; modèle 28 × 22 m ; niveaux 0. Détails dans catalogue-existant.json.</x:v>
      </x:c>
    </x:row>
    <x:row r="1292">
      <x:c r="A1292" t="str">
        <x:v>DW-1287</x:v>
      </x:c>
      <x:c r="B1292" t="str">
        <x:v>DW-0144</x:v>
      </x:c>
      <x:c r="C1292" t="str">
        <x:v>Composition héritée</x:v>
      </x:c>
      <x:c r="D1292" t="str">
        <x:v>Éducation et connaissance</x:v>
      </x:c>
      <x:c r="E1292" t="str">
        <x:v>Lycée général — Village et bourg / repli organisé interrompu</x:v>
      </x:c>
      <x:c r="F1292" t="n">
        <x:v>8</x:v>
      </x:c>
      <x:c r="G1292" t="n">
        <x:v>5</x:v>
      </x:c>
      <x:c r="H1292" t="n">
        <x:v>15</x:v>
      </x:c>
      <x:c r="I1292" t="str">
        <x:v>À qualifier par lieu</x:v>
      </x:c>
      <x:c r="J1292" t="str">
        <x:v>https://github.com/darknigthmare/deadwall-last-enclosure/blob/1b3b9c5ba232734b1bda3453b4e20a0481bcdd74/codex-3000/compositions/Éducation et connaissance/DW-1287.md</x:v>
      </x:c>
      <x:c r="K1292" t="str">
        <x:v>Source min 28,20 m ; max 160,110 m ; modèle 28 × 22 m ; niveaux 0. Détails dans catalogue-existant.json.</x:v>
      </x:c>
    </x:row>
    <x:row r="1293">
      <x:c r="A1293" t="str">
        <x:v>DW-1288</x:v>
      </x:c>
      <x:c r="B1293" t="str">
        <x:v>DW-0144</x:v>
      </x:c>
      <x:c r="C1293" t="str">
        <x:v>Composition héritée</x:v>
      </x:c>
      <x:c r="D1293" t="str">
        <x:v>Éducation et connaissance</x:v>
      </x:c>
      <x:c r="E1293" t="str">
        <x:v>Lycée général — Ville moyenne / première récupération passée</x:v>
      </x:c>
      <x:c r="F1293" t="n">
        <x:v>8</x:v>
      </x:c>
      <x:c r="G1293" t="n">
        <x:v>5</x:v>
      </x:c>
      <x:c r="H1293" t="n">
        <x:v>15</x:v>
      </x:c>
      <x:c r="I1293" t="str">
        <x:v>À qualifier par lieu</x:v>
      </x:c>
      <x:c r="J1293" t="str">
        <x:v>https://github.com/darknigthmare/deadwall-last-enclosure/blob/1b3b9c5ba232734b1bda3453b4e20a0481bcdd74/codex-3000/compositions/Éducation et connaissance/DW-1288.md</x:v>
      </x:c>
      <x:c r="K1293" t="str">
        <x:v>Source min 28,20 m ; max 160,110 m ; modèle 28 × 22 m ; niveaux 0. Détails dans catalogue-existant.json.</x:v>
      </x:c>
    </x:row>
    <x:row r="1294">
      <x:c r="A1294" t="str">
        <x:v>DW-1289</x:v>
      </x:c>
      <x:c r="B1294" t="str">
        <x:v>DW-0145</x:v>
      </x:c>
      <x:c r="C1294" t="str">
        <x:v>Composition héritée</x:v>
      </x:c>
      <x:c r="D1294" t="str">
        <x:v>Éducation et connaissance</x:v>
      </x:c>
      <x:c r="E1294" t="str">
        <x:v>Lycée professionnel — École, mairie et bâtiments civiques / évacuation interrompue</x:v>
      </x:c>
      <x:c r="F1294" t="n">
        <x:v>8</x:v>
      </x:c>
      <x:c r="G1294" t="n">
        <x:v>5</x:v>
      </x:c>
      <x:c r="H1294" t="n">
        <x:v>15</x:v>
      </x:c>
      <x:c r="I1294" t="str">
        <x:v>À qualifier par lieu</x:v>
      </x:c>
      <x:c r="J1294" t="str">
        <x:v>https://github.com/darknigthmare/deadwall-last-enclosure/blob/1b3b9c5ba232734b1bda3453b4e20a0481bcdd74/codex-3000/compositions/Éducation et connaissance/DW-1289.md</x:v>
      </x:c>
      <x:c r="K1294" t="str">
        <x:v>Source min 28,20 m ; max 160,110 m ; modèle 28 × 22 m ; niveaux 0. Détails dans catalogue-existant.json.</x:v>
      </x:c>
    </x:row>
    <x:row r="1295">
      <x:c r="A1295" t="str">
        <x:v>DW-1290</x:v>
      </x:c>
      <x:c r="B1295" t="str">
        <x:v>DW-0145</x:v>
      </x:c>
      <x:c r="C1295" t="str">
        <x:v>Composition héritée</x:v>
      </x:c>
      <x:c r="D1295" t="str">
        <x:v>Éducation et connaissance</x:v>
      </x:c>
      <x:c r="E1295" t="str">
        <x:v>Lycée professionnel — Quartier collectif / service déplacé à l’arrière</x:v>
      </x:c>
      <x:c r="F1295" t="n">
        <x:v>8</x:v>
      </x:c>
      <x:c r="G1295" t="n">
        <x:v>5</x:v>
      </x:c>
      <x:c r="H1295" t="n">
        <x:v>15</x:v>
      </x:c>
      <x:c r="I1295" t="str">
        <x:v>À qualifier par lieu</x:v>
      </x:c>
      <x:c r="J1295" t="str">
        <x:v>https://github.com/darknigthmare/deadwall-last-enclosure/blob/1b3b9c5ba232734b1bda3453b4e20a0481bcdd74/codex-3000/compositions/Éducation et connaissance/DW-1290.md</x:v>
      </x:c>
      <x:c r="K1295" t="str">
        <x:v>Source min 28,20 m ; max 160,110 m ; modèle 28 × 22 m ; niveaux 0. Détails dans catalogue-existant.json.</x:v>
      </x:c>
    </x:row>
    <x:row r="1296">
      <x:c r="A1296" t="str">
        <x:v>DW-1291</x:v>
      </x:c>
      <x:c r="B1296" t="str">
        <x:v>DW-0146</x:v>
      </x:c>
      <x:c r="C1296" t="str">
        <x:v>Composition héritée</x:v>
      </x:c>
      <x:c r="D1296" t="str">
        <x:v>Éducation et connaissance</x:v>
      </x:c>
      <x:c r="E1296" t="str">
        <x:v>Campus universitaire — Ville moyenne / arrêt de maintenance</x:v>
      </x:c>
      <x:c r="F1296" t="n">
        <x:v>8</x:v>
      </x:c>
      <x:c r="G1296" t="n">
        <x:v>4</x:v>
      </x:c>
      <x:c r="H1296" t="n">
        <x:v>12</x:v>
      </x:c>
      <x:c r="I1296" t="str">
        <x:v>À qualifier par lieu</x:v>
      </x:c>
      <x:c r="J1296" t="str">
        <x:v>https://github.com/darknigthmare/deadwall-last-enclosure/blob/1b3b9c5ba232734b1bda3453b4e20a0481bcdd74/codex-3000/compositions/Éducation et connaissance/DW-1291.md</x:v>
      </x:c>
      <x:c r="K1296" t="str">
        <x:v>Source min 28,20 m ; max 160,110 m ; modèle 28 × 20 m ; niveaux 0. Détails dans catalogue-existant.json.</x:v>
      </x:c>
    </x:row>
    <x:row r="1297">
      <x:c r="A1297" t="str">
        <x:v>DW-1292</x:v>
      </x:c>
      <x:c r="B1297" t="str">
        <x:v>DW-0146</x:v>
      </x:c>
      <x:c r="C1297" t="str">
        <x:v>Composition héritée</x:v>
      </x:c>
      <x:c r="D1297" t="str">
        <x:v>Éducation et connaissance</x:v>
      </x:c>
      <x:c r="E1297" t="str">
        <x:v>Campus universitaire — Village et bourg / reprise progressive de la végétation</x:v>
      </x:c>
      <x:c r="F1297" t="n">
        <x:v>8</x:v>
      </x:c>
      <x:c r="G1297" t="n">
        <x:v>4</x:v>
      </x:c>
      <x:c r="H1297" t="n">
        <x:v>12</x:v>
      </x:c>
      <x:c r="I1297" t="str">
        <x:v>À qualifier par lieu</x:v>
      </x:c>
      <x:c r="J1297" t="str">
        <x:v>https://github.com/darknigthmare/deadwall-last-enclosure/blob/1b3b9c5ba232734b1bda3453b4e20a0481bcdd74/codex-3000/compositions/Éducation et connaissance/DW-1292.md</x:v>
      </x:c>
      <x:c r="K1297" t="str">
        <x:v>Source min 28,20 m ; max 160,110 m ; modèle 28 × 20 m ; niveaux 0. Détails dans catalogue-existant.json.</x:v>
      </x:c>
    </x:row>
    <x:row r="1298">
      <x:c r="A1298" t="str">
        <x:v>DW-1293</x:v>
      </x:c>
      <x:c r="B1298" t="str">
        <x:v>DW-0147</x:v>
      </x:c>
      <x:c r="C1298" t="str">
        <x:v>Composition héritée</x:v>
      </x:c>
      <x:c r="D1298" t="str">
        <x:v>Éducation et connaissance</x:v>
      </x:c>
      <x:c r="E1298" t="str">
        <x:v>École d'art — Quartier collectif / première récupération passée</x:v>
      </x:c>
      <x:c r="F1298" t="n">
        <x:v>8</x:v>
      </x:c>
      <x:c r="G1298" t="n">
        <x:v>4</x:v>
      </x:c>
      <x:c r="H1298" t="n">
        <x:v>12</x:v>
      </x:c>
      <x:c r="I1298" t="str">
        <x:v>À qualifier par lieu</x:v>
      </x:c>
      <x:c r="J1298" t="str">
        <x:v>https://github.com/darknigthmare/deadwall-last-enclosure/blob/1b3b9c5ba232734b1bda3453b4e20a0481bcdd74/codex-3000/compositions/Éducation et connaissance/DW-1293.md</x:v>
      </x:c>
      <x:c r="K1298" t="str">
        <x:v>Source min 28,20 m ; max 160,110 m ; modèle 28 × 20 m ; niveaux 0. Détails dans catalogue-existant.json.</x:v>
      </x:c>
    </x:row>
    <x:row r="1299">
      <x:c r="A1299" t="str">
        <x:v>DW-1294</x:v>
      </x:c>
      <x:c r="B1299" t="str">
        <x:v>DW-0147</x:v>
      </x:c>
      <x:c r="C1299" t="str">
        <x:v>Composition héritée</x:v>
      </x:c>
      <x:c r="D1299" t="str">
        <x:v>Éducation et connaissance</x:v>
      </x:c>
      <x:c r="E1299" t="str">
        <x:v>École d'art — École, mairie et bâtiments civiques / relais temporaire envisagé</x:v>
      </x:c>
      <x:c r="F1299" t="n">
        <x:v>8</x:v>
      </x:c>
      <x:c r="G1299" t="n">
        <x:v>4</x:v>
      </x:c>
      <x:c r="H1299" t="n">
        <x:v>12</x:v>
      </x:c>
      <x:c r="I1299" t="str">
        <x:v>À qualifier par lieu</x:v>
      </x:c>
      <x:c r="J1299" t="str">
        <x:v>https://github.com/darknigthmare/deadwall-last-enclosure/blob/1b3b9c5ba232734b1bda3453b4e20a0481bcdd74/codex-3000/compositions/Éducation et connaissance/DW-1294.md</x:v>
      </x:c>
      <x:c r="K1299" t="str">
        <x:v>Source min 28,20 m ; max 160,110 m ; modèle 28 × 20 m ; niveaux 0. Détails dans catalogue-existant.json.</x:v>
      </x:c>
    </x:row>
    <x:row r="1300">
      <x:c r="A1300" t="str">
        <x:v>DW-1295</x:v>
      </x:c>
      <x:c r="B1300" t="str">
        <x:v>DW-0148</x:v>
      </x:c>
      <x:c r="C1300" t="str">
        <x:v>Composition héritée</x:v>
      </x:c>
      <x:c r="D1300" t="str">
        <x:v>Éducation et connaissance</x:v>
      </x:c>
      <x:c r="E1300" t="str">
        <x:v>Conservatoire — Village et bourg / service déplacé à l’arrière</x:v>
      </x:c>
      <x:c r="F1300" t="n">
        <x:v>8</x:v>
      </x:c>
      <x:c r="G1300" t="n">
        <x:v>4</x:v>
      </x:c>
      <x:c r="H1300" t="n">
        <x:v>12</x:v>
      </x:c>
      <x:c r="I1300" t="str">
        <x:v>À qualifier par lieu</x:v>
      </x:c>
      <x:c r="J1300" t="str">
        <x:v>https://github.com/darknigthmare/deadwall-last-enclosure/blob/1b3b9c5ba232734b1bda3453b4e20a0481bcdd74/codex-3000/compositions/Éducation et connaissance/DW-1295.md</x:v>
      </x:c>
      <x:c r="K1300" t="str">
        <x:v>Source min 28,20 m ; max 160,110 m ; modèle 28 × 20 m ; niveaux 0. Détails dans catalogue-existant.json.</x:v>
      </x:c>
    </x:row>
    <x:row r="1301">
      <x:c r="A1301" t="str">
        <x:v>DW-1296</x:v>
      </x:c>
      <x:c r="B1301" t="str">
        <x:v>DW-0148</x:v>
      </x:c>
      <x:c r="C1301" t="str">
        <x:v>Composition héritée</x:v>
      </x:c>
      <x:c r="D1301" t="str">
        <x:v>Éducation et connaissance</x:v>
      </x:c>
      <x:c r="E1301" t="str">
        <x:v>Conservatoire — Ville moyenne / réseau principal coupé</x:v>
      </x:c>
      <x:c r="F1301" t="n">
        <x:v>8</x:v>
      </x:c>
      <x:c r="G1301" t="n">
        <x:v>4</x:v>
      </x:c>
      <x:c r="H1301" t="n">
        <x:v>12</x:v>
      </x:c>
      <x:c r="I1301" t="str">
        <x:v>À qualifier par lieu</x:v>
      </x:c>
      <x:c r="J1301" t="str">
        <x:v>https://github.com/darknigthmare/deadwall-last-enclosure/blob/1b3b9c5ba232734b1bda3453b4e20a0481bcdd74/codex-3000/compositions/Éducation et connaissance/DW-1296.md</x:v>
      </x:c>
      <x:c r="K1301" t="str">
        <x:v>Source min 28,20 m ; max 160,110 m ; modèle 28 × 20 m ; niveaux 0. Détails dans catalogue-existant.json.</x:v>
      </x:c>
    </x:row>
    <x:row r="1302">
      <x:c r="A1302" t="str">
        <x:v>DW-1297</x:v>
      </x:c>
      <x:c r="B1302" t="str">
        <x:v>DW-0149</x:v>
      </x:c>
      <x:c r="C1302" t="str">
        <x:v>Composition héritée</x:v>
      </x:c>
      <x:c r="D1302" t="str">
        <x:v>Éducation et connaissance</x:v>
      </x:c>
      <x:c r="E1302" t="str">
        <x:v>École de danse — École, mairie et bâtiments civiques / reprise progressive de la végétation</x:v>
      </x:c>
      <x:c r="F1302" t="n">
        <x:v>8</x:v>
      </x:c>
      <x:c r="G1302" t="n">
        <x:v>4</x:v>
      </x:c>
      <x:c r="H1302" t="n">
        <x:v>12</x:v>
      </x:c>
      <x:c r="I1302" t="str">
        <x:v>À qualifier par lieu</x:v>
      </x:c>
      <x:c r="J1302" t="str">
        <x:v>https://github.com/darknigthmare/deadwall-last-enclosure/blob/1b3b9c5ba232734b1bda3453b4e20a0481bcdd74/codex-3000/compositions/Éducation et connaissance/DW-1297.md</x:v>
      </x:c>
      <x:c r="K1302" t="str">
        <x:v>Source min 28,20 m ; max 160,110 m ; modèle 28 × 20 m ; niveaux 0. Détails dans catalogue-existant.json.</x:v>
      </x:c>
    </x:row>
    <x:row r="1303">
      <x:c r="A1303" t="str">
        <x:v>DW-1298</x:v>
      </x:c>
      <x:c r="B1303" t="str">
        <x:v>DW-0149</x:v>
      </x:c>
      <x:c r="C1303" t="str">
        <x:v>Composition héritée</x:v>
      </x:c>
      <x:c r="D1303" t="str">
        <x:v>Éducation et connaissance</x:v>
      </x:c>
      <x:c r="E1303" t="str">
        <x:v>École de danse — Quartier collectif / repli organisé interrompu</x:v>
      </x:c>
      <x:c r="F1303" t="n">
        <x:v>8</x:v>
      </x:c>
      <x:c r="G1303" t="n">
        <x:v>4</x:v>
      </x:c>
      <x:c r="H1303" t="n">
        <x:v>12</x:v>
      </x:c>
      <x:c r="I1303" t="str">
        <x:v>À qualifier par lieu</x:v>
      </x:c>
      <x:c r="J1303" t="str">
        <x:v>https://github.com/darknigthmare/deadwall-last-enclosure/blob/1b3b9c5ba232734b1bda3453b4e20a0481bcdd74/codex-3000/compositions/Éducation et connaissance/DW-1298.md</x:v>
      </x:c>
      <x:c r="K1303" t="str">
        <x:v>Source min 28,20 m ; max 160,110 m ; modèle 28 × 20 m ; niveaux 0. Détails dans catalogue-existant.json.</x:v>
      </x:c>
    </x:row>
    <x:row r="1304">
      <x:c r="A1304" t="str">
        <x:v>DW-1299</x:v>
      </x:c>
      <x:c r="B1304" t="str">
        <x:v>DW-0150</x:v>
      </x:c>
      <x:c r="C1304" t="str">
        <x:v>Composition héritée</x:v>
      </x:c>
      <x:c r="D1304" t="str">
        <x:v>Éducation et connaissance</x:v>
      </x:c>
      <x:c r="E1304" t="str">
        <x:v>École de cuisine — Ville moyenne / relais temporaire envisagé</x:v>
      </x:c>
      <x:c r="F1304" t="n">
        <x:v>8</x:v>
      </x:c>
      <x:c r="G1304" t="n">
        <x:v>4</x:v>
      </x:c>
      <x:c r="H1304" t="n">
        <x:v>12</x:v>
      </x:c>
      <x:c r="I1304" t="str">
        <x:v>À qualifier par lieu</x:v>
      </x:c>
      <x:c r="J1304" t="str">
        <x:v>https://github.com/darknigthmare/deadwall-last-enclosure/blob/1b3b9c5ba232734b1bda3453b4e20a0481bcdd74/codex-3000/compositions/Éducation et connaissance/DW-1299.md</x:v>
      </x:c>
      <x:c r="K1304" t="str">
        <x:v>Source min 28,20 m ; max 160,110 m ; modèle 28 × 20 m ; niveaux 0. Détails dans catalogue-existant.json.</x:v>
      </x:c>
    </x:row>
    <x:row r="1305">
      <x:c r="A1305" t="str">
        <x:v>DW-1300</x:v>
      </x:c>
      <x:c r="B1305" t="str">
        <x:v>DW-0150</x:v>
      </x:c>
      <x:c r="C1305" t="str">
        <x:v>Composition héritée</x:v>
      </x:c>
      <x:c r="D1305" t="str">
        <x:v>Éducation et connaissance</x:v>
      </x:c>
      <x:c r="E1305" t="str">
        <x:v>École de cuisine — Village et bourg / évacuation interrompue</x:v>
      </x:c>
      <x:c r="F1305" t="n">
        <x:v>8</x:v>
      </x:c>
      <x:c r="G1305" t="n">
        <x:v>4</x:v>
      </x:c>
      <x:c r="H1305" t="n">
        <x:v>12</x:v>
      </x:c>
      <x:c r="I1305" t="str">
        <x:v>À qualifier par lieu</x:v>
      </x:c>
      <x:c r="J1305" t="str">
        <x:v>https://github.com/darknigthmare/deadwall-last-enclosure/blob/1b3b9c5ba232734b1bda3453b4e20a0481bcdd74/codex-3000/compositions/Éducation et connaissance/DW-1300.md</x:v>
      </x:c>
      <x:c r="K1305" t="str">
        <x:v>Source min 28,20 m ; max 160,110 m ; modèle 28 × 20 m ; niveaux 0. Détails dans catalogue-existant.json.</x:v>
      </x:c>
    </x:row>
    <x:row r="1306">
      <x:c r="A1306" t="str">
        <x:v>DW-1301</x:v>
      </x:c>
      <x:c r="B1306" t="str">
        <x:v>DW-0151</x:v>
      </x:c>
      <x:c r="C1306" t="str">
        <x:v>Composition héritée</x:v>
      </x:c>
      <x:c r="D1306" t="str">
        <x:v>Éducation et connaissance</x:v>
      </x:c>
      <x:c r="E1306" t="str">
        <x:v>Centre d'apprentissage mécanique — Quartier collectif / réseau principal coupé</x:v>
      </x:c>
      <x:c r="F1306" t="n">
        <x:v>8</x:v>
      </x:c>
      <x:c r="G1306" t="n">
        <x:v>4</x:v>
      </x:c>
      <x:c r="H1306" t="n">
        <x:v>12</x:v>
      </x:c>
      <x:c r="I1306" t="str">
        <x:v>À qualifier par lieu</x:v>
      </x:c>
      <x:c r="J1306" t="str">
        <x:v>https://github.com/darknigthmare/deadwall-last-enclosure/blob/1b3b9c5ba232734b1bda3453b4e20a0481bcdd74/codex-3000/compositions/Éducation et connaissance/DW-1301.md</x:v>
      </x:c>
      <x:c r="K1306" t="str">
        <x:v>Source min 28,20 m ; max 160,110 m ; modèle 28 × 20 m ; niveaux 0. Détails dans catalogue-existant.json.</x:v>
      </x:c>
    </x:row>
    <x:row r="1307">
      <x:c r="A1307" t="str">
        <x:v>DW-1302</x:v>
      </x:c>
      <x:c r="B1307" t="str">
        <x:v>DW-0151</x:v>
      </x:c>
      <x:c r="C1307" t="str">
        <x:v>Composition héritée</x:v>
      </x:c>
      <x:c r="D1307" t="str">
        <x:v>Éducation et connaissance</x:v>
      </x:c>
      <x:c r="E1307" t="str">
        <x:v>Centre d'apprentissage mécanique — École, mairie et bâtiments civiques / arrêt de maintenance</x:v>
      </x:c>
      <x:c r="F1307" t="n">
        <x:v>8</x:v>
      </x:c>
      <x:c r="G1307" t="n">
        <x:v>4</x:v>
      </x:c>
      <x:c r="H1307" t="n">
        <x:v>12</x:v>
      </x:c>
      <x:c r="I1307" t="str">
        <x:v>À qualifier par lieu</x:v>
      </x:c>
      <x:c r="J1307" t="str">
        <x:v>https://github.com/darknigthmare/deadwall-last-enclosure/blob/1b3b9c5ba232734b1bda3453b4e20a0481bcdd74/codex-3000/compositions/Éducation et connaissance/DW-1302.md</x:v>
      </x:c>
      <x:c r="K1307" t="str">
        <x:v>Source min 28,20 m ; max 160,110 m ; modèle 28 × 20 m ; niveaux 0. Détails dans catalogue-existant.json.</x:v>
      </x:c>
    </x:row>
    <x:row r="1308">
      <x:c r="A1308" t="str">
        <x:v>DW-1303</x:v>
      </x:c>
      <x:c r="B1308" t="str">
        <x:v>DW-0152</x:v>
      </x:c>
      <x:c r="C1308" t="str">
        <x:v>Composition héritée</x:v>
      </x:c>
      <x:c r="D1308" t="str">
        <x:v>Éducation et connaissance</x:v>
      </x:c>
      <x:c r="E1308" t="str">
        <x:v>Centre de formation agricole — Village et bourg / repli organisé interrompu</x:v>
      </x:c>
      <x:c r="F1308" t="n">
        <x:v>8</x:v>
      </x:c>
      <x:c r="G1308" t="n">
        <x:v>4</x:v>
      </x:c>
      <x:c r="H1308" t="n">
        <x:v>12</x:v>
      </x:c>
      <x:c r="I1308" t="str">
        <x:v>À qualifier par lieu</x:v>
      </x:c>
      <x:c r="J1308" t="str">
        <x:v>https://github.com/darknigthmare/deadwall-last-enclosure/blob/1b3b9c5ba232734b1bda3453b4e20a0481bcdd74/codex-3000/compositions/Éducation et connaissance/DW-1303.md</x:v>
      </x:c>
      <x:c r="K1308" t="str">
        <x:v>Source min 28,20 m ; max 160,110 m ; modèle 28 × 20 m ; niveaux 0. Détails dans catalogue-existant.json.</x:v>
      </x:c>
    </x:row>
    <x:row r="1309">
      <x:c r="A1309" t="str">
        <x:v>DW-1304</x:v>
      </x:c>
      <x:c r="B1309" t="str">
        <x:v>DW-0152</x:v>
      </x:c>
      <x:c r="C1309" t="str">
        <x:v>Composition héritée</x:v>
      </x:c>
      <x:c r="D1309" t="str">
        <x:v>Éducation et connaissance</x:v>
      </x:c>
      <x:c r="E1309" t="str">
        <x:v>Centre de formation agricole — Ville moyenne / première récupération passée</x:v>
      </x:c>
      <x:c r="F1309" t="n">
        <x:v>8</x:v>
      </x:c>
      <x:c r="G1309" t="n">
        <x:v>4</x:v>
      </x:c>
      <x:c r="H1309" t="n">
        <x:v>12</x:v>
      </x:c>
      <x:c r="I1309" t="str">
        <x:v>À qualifier par lieu</x:v>
      </x:c>
      <x:c r="J1309" t="str">
        <x:v>https://github.com/darknigthmare/deadwall-last-enclosure/blob/1b3b9c5ba232734b1bda3453b4e20a0481bcdd74/codex-3000/compositions/Éducation et connaissance/DW-1304.md</x:v>
      </x:c>
      <x:c r="K1309" t="str">
        <x:v>Source min 28,20 m ; max 160,110 m ; modèle 28 × 20 m ; niveaux 0. Détails dans catalogue-existant.json.</x:v>
      </x:c>
    </x:row>
    <x:row r="1310">
      <x:c r="A1310" t="str">
        <x:v>DW-1305</x:v>
      </x:c>
      <x:c r="B1310" t="str">
        <x:v>DW-0153</x:v>
      </x:c>
      <x:c r="C1310" t="str">
        <x:v>Composition héritée</x:v>
      </x:c>
      <x:c r="D1310" t="str">
        <x:v>Éducation et connaissance</x:v>
      </x:c>
      <x:c r="E1310" t="str">
        <x:v>Bibliothèque municipale — École, mairie et bâtiments civiques / évacuation interrompue</x:v>
      </x:c>
      <x:c r="F1310" t="n">
        <x:v>8</x:v>
      </x:c>
      <x:c r="G1310" t="n">
        <x:v>4</x:v>
      </x:c>
      <x:c r="H1310" t="n">
        <x:v>12</x:v>
      </x:c>
      <x:c r="I1310" t="str">
        <x:v>À qualifier par lieu</x:v>
      </x:c>
      <x:c r="J1310" t="str">
        <x:v>https://github.com/darknigthmare/deadwall-last-enclosure/blob/1b3b9c5ba232734b1bda3453b4e20a0481bcdd74/codex-3000/compositions/Éducation et connaissance/DW-1305.md</x:v>
      </x:c>
      <x:c r="K1310" t="str">
        <x:v>Source min 28,20 m ; max 160,110 m ; modèle 28 × 20 m ; niveaux 0, 1. Détails dans catalogue-existant.json.</x:v>
      </x:c>
    </x:row>
    <x:row r="1311">
      <x:c r="A1311" t="str">
        <x:v>DW-1306</x:v>
      </x:c>
      <x:c r="B1311" t="str">
        <x:v>DW-0153</x:v>
      </x:c>
      <x:c r="C1311" t="str">
        <x:v>Composition héritée</x:v>
      </x:c>
      <x:c r="D1311" t="str">
        <x:v>Éducation et connaissance</x:v>
      </x:c>
      <x:c r="E1311" t="str">
        <x:v>Bibliothèque municipale — Quartier collectif / service déplacé à l’arrière</x:v>
      </x:c>
      <x:c r="F1311" t="n">
        <x:v>8</x:v>
      </x:c>
      <x:c r="G1311" t="n">
        <x:v>4</x:v>
      </x:c>
      <x:c r="H1311" t="n">
        <x:v>12</x:v>
      </x:c>
      <x:c r="I1311" t="str">
        <x:v>À qualifier par lieu</x:v>
      </x:c>
      <x:c r="J1311" t="str">
        <x:v>https://github.com/darknigthmare/deadwall-last-enclosure/blob/1b3b9c5ba232734b1bda3453b4e20a0481bcdd74/codex-3000/compositions/Éducation et connaissance/DW-1306.md</x:v>
      </x:c>
      <x:c r="K1311" t="str">
        <x:v>Source min 28,20 m ; max 160,110 m ; modèle 28 × 20 m ; niveaux 0, 1. Détails dans catalogue-existant.json.</x:v>
      </x:c>
    </x:row>
    <x:row r="1312">
      <x:c r="A1312" t="str">
        <x:v>DW-1307</x:v>
      </x:c>
      <x:c r="B1312" t="str">
        <x:v>DW-0154</x:v>
      </x:c>
      <x:c r="C1312" t="str">
        <x:v>Composition héritée</x:v>
      </x:c>
      <x:c r="D1312" t="str">
        <x:v>Éducation et connaissance</x:v>
      </x:c>
      <x:c r="E1312" t="str">
        <x:v>Médiathèque — Ville moyenne / arrêt de maintenance</x:v>
      </x:c>
      <x:c r="F1312" t="n">
        <x:v>8</x:v>
      </x:c>
      <x:c r="G1312" t="n">
        <x:v>4</x:v>
      </x:c>
      <x:c r="H1312" t="n">
        <x:v>12</x:v>
      </x:c>
      <x:c r="I1312" t="str">
        <x:v>À qualifier par lieu</x:v>
      </x:c>
      <x:c r="J1312" t="str">
        <x:v>https://github.com/darknigthmare/deadwall-last-enclosure/blob/1b3b9c5ba232734b1bda3453b4e20a0481bcdd74/codex-3000/compositions/Éducation et connaissance/DW-1307.md</x:v>
      </x:c>
      <x:c r="K1312" t="str">
        <x:v>Source min 28,20 m ; max 160,110 m ; modèle 28 × 20 m ; niveaux 0. Détails dans catalogue-existant.json.</x:v>
      </x:c>
    </x:row>
    <x:row r="1313">
      <x:c r="A1313" t="str">
        <x:v>DW-1308</x:v>
      </x:c>
      <x:c r="B1313" t="str">
        <x:v>DW-0154</x:v>
      </x:c>
      <x:c r="C1313" t="str">
        <x:v>Composition héritée</x:v>
      </x:c>
      <x:c r="D1313" t="str">
        <x:v>Éducation et connaissance</x:v>
      </x:c>
      <x:c r="E1313" t="str">
        <x:v>Médiathèque — Village et bourg / reprise progressive de la végétation</x:v>
      </x:c>
      <x:c r="F1313" t="n">
        <x:v>8</x:v>
      </x:c>
      <x:c r="G1313" t="n">
        <x:v>4</x:v>
      </x:c>
      <x:c r="H1313" t="n">
        <x:v>12</x:v>
      </x:c>
      <x:c r="I1313" t="str">
        <x:v>À qualifier par lieu</x:v>
      </x:c>
      <x:c r="J1313" t="str">
        <x:v>https://github.com/darknigthmare/deadwall-last-enclosure/blob/1b3b9c5ba232734b1bda3453b4e20a0481bcdd74/codex-3000/compositions/Éducation et connaissance/DW-1308.md</x:v>
      </x:c>
      <x:c r="K1313" t="str">
        <x:v>Source min 28,20 m ; max 160,110 m ; modèle 28 × 20 m ; niveaux 0. Détails dans catalogue-existant.json.</x:v>
      </x:c>
    </x:row>
    <x:row r="1314">
      <x:c r="A1314" t="str">
        <x:v>DW-1309</x:v>
      </x:c>
      <x:c r="B1314" t="str">
        <x:v>DW-0155</x:v>
      </x:c>
      <x:c r="C1314" t="str">
        <x:v>Composition héritée</x:v>
      </x:c>
      <x:c r="D1314" t="str">
        <x:v>Éducation et connaissance</x:v>
      </x:c>
      <x:c r="E1314" t="str">
        <x:v>Centre de recherche — Quartier collectif / première récupération passée</x:v>
      </x:c>
      <x:c r="F1314" t="n">
        <x:v>8</x:v>
      </x:c>
      <x:c r="G1314" t="n">
        <x:v>4</x:v>
      </x:c>
      <x:c r="H1314" t="n">
        <x:v>12</x:v>
      </x:c>
      <x:c r="I1314" t="str">
        <x:v>À qualifier par lieu</x:v>
      </x:c>
      <x:c r="J1314" t="str">
        <x:v>https://github.com/darknigthmare/deadwall-last-enclosure/blob/1b3b9c5ba232734b1bda3453b4e20a0481bcdd74/codex-3000/compositions/Éducation et connaissance/DW-1309.md</x:v>
      </x:c>
      <x:c r="K1314" t="str">
        <x:v>Source min 28,20 m ; max 160,110 m ; modèle 28 × 20 m ; niveaux 0. Détails dans catalogue-existant.json.</x:v>
      </x:c>
    </x:row>
    <x:row r="1315">
      <x:c r="A1315" t="str">
        <x:v>DW-1310</x:v>
      </x:c>
      <x:c r="B1315" t="str">
        <x:v>DW-0155</x:v>
      </x:c>
      <x:c r="C1315" t="str">
        <x:v>Composition héritée</x:v>
      </x:c>
      <x:c r="D1315" t="str">
        <x:v>Éducation et connaissance</x:v>
      </x:c>
      <x:c r="E1315" t="str">
        <x:v>Centre de recherche — École, mairie et bâtiments civiques / relais temporaire envisagé</x:v>
      </x:c>
      <x:c r="F1315" t="n">
        <x:v>8</x:v>
      </x:c>
      <x:c r="G1315" t="n">
        <x:v>4</x:v>
      </x:c>
      <x:c r="H1315" t="n">
        <x:v>12</x:v>
      </x:c>
      <x:c r="I1315" t="str">
        <x:v>À qualifier par lieu</x:v>
      </x:c>
      <x:c r="J1315" t="str">
        <x:v>https://github.com/darknigthmare/deadwall-last-enclosure/blob/1b3b9c5ba232734b1bda3453b4e20a0481bcdd74/codex-3000/compositions/Éducation et connaissance/DW-1310.md</x:v>
      </x:c>
      <x:c r="K1315" t="str">
        <x:v>Source min 28,20 m ; max 160,110 m ; modèle 28 × 20 m ; niveaux 0. Détails dans catalogue-existant.json.</x:v>
      </x:c>
    </x:row>
    <x:row r="1316">
      <x:c r="A1316" t="str">
        <x:v>DW-1311</x:v>
      </x:c>
      <x:c r="B1316" t="str">
        <x:v>DW-0156</x:v>
      </x:c>
      <x:c r="C1316" t="str">
        <x:v>Composition héritée</x:v>
      </x:c>
      <x:c r="D1316" t="str">
        <x:v>Éducation et connaissance</x:v>
      </x:c>
      <x:c r="E1316" t="str">
        <x:v>Observatoire pédagogique — Village et bourg / service déplacé à l’arrière</x:v>
      </x:c>
      <x:c r="F1316" t="n">
        <x:v>8</x:v>
      </x:c>
      <x:c r="G1316" t="n">
        <x:v>4</x:v>
      </x:c>
      <x:c r="H1316" t="n">
        <x:v>12</x:v>
      </x:c>
      <x:c r="I1316" t="str">
        <x:v>À qualifier par lieu</x:v>
      </x:c>
      <x:c r="J1316" t="str">
        <x:v>https://github.com/darknigthmare/deadwall-last-enclosure/blob/1b3b9c5ba232734b1bda3453b4e20a0481bcdd74/codex-3000/compositions/Éducation et connaissance/DW-1311.md</x:v>
      </x:c>
      <x:c r="K1316" t="str">
        <x:v>Source min 28,20 m ; max 160,110 m ; modèle 28 × 20 m ; niveaux 0. Détails dans catalogue-existant.json.</x:v>
      </x:c>
    </x:row>
    <x:row r="1317">
      <x:c r="A1317" t="str">
        <x:v>DW-1312</x:v>
      </x:c>
      <x:c r="B1317" t="str">
        <x:v>DW-0156</x:v>
      </x:c>
      <x:c r="C1317" t="str">
        <x:v>Composition héritée</x:v>
      </x:c>
      <x:c r="D1317" t="str">
        <x:v>Éducation et connaissance</x:v>
      </x:c>
      <x:c r="E1317" t="str">
        <x:v>Observatoire pédagogique — Ville moyenne / réseau principal coupé</x:v>
      </x:c>
      <x:c r="F1317" t="n">
        <x:v>8</x:v>
      </x:c>
      <x:c r="G1317" t="n">
        <x:v>4</x:v>
      </x:c>
      <x:c r="H1317" t="n">
        <x:v>12</x:v>
      </x:c>
      <x:c r="I1317" t="str">
        <x:v>À qualifier par lieu</x:v>
      </x:c>
      <x:c r="J1317" t="str">
        <x:v>https://github.com/darknigthmare/deadwall-last-enclosure/blob/1b3b9c5ba232734b1bda3453b4e20a0481bcdd74/codex-3000/compositions/Éducation et connaissance/DW-1312.md</x:v>
      </x:c>
      <x:c r="K1317" t="str">
        <x:v>Source min 28,20 m ; max 160,110 m ; modèle 28 × 20 m ; niveaux 0. Détails dans catalogue-existant.json.</x:v>
      </x:c>
    </x:row>
    <x:row r="1318">
      <x:c r="A1318" t="str">
        <x:v>DW-1313</x:v>
      </x:c>
      <x:c r="B1318" t="str">
        <x:v>DW-0157</x:v>
      </x:c>
      <x:c r="C1318" t="str">
        <x:v>Composition héritée</x:v>
      </x:c>
      <x:c r="D1318" t="str">
        <x:v>Éducation et connaissance</x:v>
      </x:c>
      <x:c r="E1318" t="str">
        <x:v>Planétarium — École, mairie et bâtiments civiques / reprise progressive de la végétation</x:v>
      </x:c>
      <x:c r="F1318" t="n">
        <x:v>8</x:v>
      </x:c>
      <x:c r="G1318" t="n">
        <x:v>4</x:v>
      </x:c>
      <x:c r="H1318" t="n">
        <x:v>12</x:v>
      </x:c>
      <x:c r="I1318" t="str">
        <x:v>À qualifier par lieu</x:v>
      </x:c>
      <x:c r="J1318" t="str">
        <x:v>https://github.com/darknigthmare/deadwall-last-enclosure/blob/1b3b9c5ba232734b1bda3453b4e20a0481bcdd74/codex-3000/compositions/Éducation et connaissance/DW-1313.md</x:v>
      </x:c>
      <x:c r="K1318" t="str">
        <x:v>Source min 28,20 m ; max 160,110 m ; modèle 28 × 20 m ; niveaux 0. Détails dans catalogue-existant.json.</x:v>
      </x:c>
    </x:row>
    <x:row r="1319">
      <x:c r="A1319" t="str">
        <x:v>DW-1314</x:v>
      </x:c>
      <x:c r="B1319" t="str">
        <x:v>DW-0157</x:v>
      </x:c>
      <x:c r="C1319" t="str">
        <x:v>Composition héritée</x:v>
      </x:c>
      <x:c r="D1319" t="str">
        <x:v>Éducation et connaissance</x:v>
      </x:c>
      <x:c r="E1319" t="str">
        <x:v>Planétarium — Quartier collectif / repli organisé interrompu</x:v>
      </x:c>
      <x:c r="F1319" t="n">
        <x:v>8</x:v>
      </x:c>
      <x:c r="G1319" t="n">
        <x:v>4</x:v>
      </x:c>
      <x:c r="H1319" t="n">
        <x:v>12</x:v>
      </x:c>
      <x:c r="I1319" t="str">
        <x:v>À qualifier par lieu</x:v>
      </x:c>
      <x:c r="J1319" t="str">
        <x:v>https://github.com/darknigthmare/deadwall-last-enclosure/blob/1b3b9c5ba232734b1bda3453b4e20a0481bcdd74/codex-3000/compositions/Éducation et connaissance/DW-1314.md</x:v>
      </x:c>
      <x:c r="K1319" t="str">
        <x:v>Source min 28,20 m ; max 160,110 m ; modèle 28 × 20 m ; niveaux 0. Détails dans catalogue-existant.json.</x:v>
      </x:c>
    </x:row>
    <x:row r="1320">
      <x:c r="A1320" t="str">
        <x:v>DW-1315</x:v>
      </x:c>
      <x:c r="B1320" t="str">
        <x:v>DW-0158</x:v>
      </x:c>
      <x:c r="C1320" t="str">
        <x:v>Composition héritée</x:v>
      </x:c>
      <x:c r="D1320" t="str">
        <x:v>Éducation et connaissance</x:v>
      </x:c>
      <x:c r="E1320" t="str">
        <x:v>Archives universitaires — Ville moyenne / relais temporaire envisagé</x:v>
      </x:c>
      <x:c r="F1320" t="n">
        <x:v>8</x:v>
      </x:c>
      <x:c r="G1320" t="n">
        <x:v>4</x:v>
      </x:c>
      <x:c r="H1320" t="n">
        <x:v>12</x:v>
      </x:c>
      <x:c r="I1320" t="str">
        <x:v>À qualifier par lieu</x:v>
      </x:c>
      <x:c r="J1320" t="str">
        <x:v>https://github.com/darknigthmare/deadwall-last-enclosure/blob/1b3b9c5ba232734b1bda3453b4e20a0481bcdd74/codex-3000/compositions/Éducation et connaissance/DW-1315.md</x:v>
      </x:c>
      <x:c r="K1320" t="str">
        <x:v>Source min 28,20 m ; max 160,110 m ; modèle 28 × 20 m ; niveaux 0. Détails dans catalogue-existant.json.</x:v>
      </x:c>
    </x:row>
    <x:row r="1321">
      <x:c r="A1321" t="str">
        <x:v>DW-1316</x:v>
      </x:c>
      <x:c r="B1321" t="str">
        <x:v>DW-0158</x:v>
      </x:c>
      <x:c r="C1321" t="str">
        <x:v>Composition héritée</x:v>
      </x:c>
      <x:c r="D1321" t="str">
        <x:v>Éducation et connaissance</x:v>
      </x:c>
      <x:c r="E1321" t="str">
        <x:v>Archives universitaires — Village et bourg / évacuation interrompue</x:v>
      </x:c>
      <x:c r="F1321" t="n">
        <x:v>8</x:v>
      </x:c>
      <x:c r="G1321" t="n">
        <x:v>4</x:v>
      </x:c>
      <x:c r="H1321" t="n">
        <x:v>12</x:v>
      </x:c>
      <x:c r="I1321" t="str">
        <x:v>À qualifier par lieu</x:v>
      </x:c>
      <x:c r="J1321" t="str">
        <x:v>https://github.com/darknigthmare/deadwall-last-enclosure/blob/1b3b9c5ba232734b1bda3453b4e20a0481bcdd74/codex-3000/compositions/Éducation et connaissance/DW-1316.md</x:v>
      </x:c>
      <x:c r="K1321" t="str">
        <x:v>Source min 28,20 m ; max 160,110 m ; modèle 28 × 20 m ; niveaux 0. Détails dans catalogue-existant.json.</x:v>
      </x:c>
    </x:row>
    <x:row r="1322">
      <x:c r="A1322" t="str">
        <x:v>DW-1317</x:v>
      </x:c>
      <x:c r="B1322" t="str">
        <x:v>DW-0159</x:v>
      </x:c>
      <x:c r="C1322" t="str">
        <x:v>Composition héritée</x:v>
      </x:c>
      <x:c r="D1322" t="str">
        <x:v>Éducation et connaissance</x:v>
      </x:c>
      <x:c r="E1322" t="str">
        <x:v>Centre aéré — Quartier collectif / réseau principal coupé</x:v>
      </x:c>
      <x:c r="F1322" t="n">
        <x:v>8</x:v>
      </x:c>
      <x:c r="G1322" t="n">
        <x:v>4</x:v>
      </x:c>
      <x:c r="H1322" t="n">
        <x:v>12</x:v>
      </x:c>
      <x:c r="I1322" t="str">
        <x:v>À qualifier par lieu</x:v>
      </x:c>
      <x:c r="J1322" t="str">
        <x:v>https://github.com/darknigthmare/deadwall-last-enclosure/blob/1b3b9c5ba232734b1bda3453b4e20a0481bcdd74/codex-3000/compositions/Éducation et connaissance/DW-1317.md</x:v>
      </x:c>
      <x:c r="K1322" t="str">
        <x:v>Source min 28,20 m ; max 160,110 m ; modèle 28 × 20 m ; niveaux 0. Détails dans catalogue-existant.json.</x:v>
      </x:c>
    </x:row>
    <x:row r="1323">
      <x:c r="A1323" t="str">
        <x:v>DW-1318</x:v>
      </x:c>
      <x:c r="B1323" t="str">
        <x:v>DW-0159</x:v>
      </x:c>
      <x:c r="C1323" t="str">
        <x:v>Composition héritée</x:v>
      </x:c>
      <x:c r="D1323" t="str">
        <x:v>Éducation et connaissance</x:v>
      </x:c>
      <x:c r="E1323" t="str">
        <x:v>Centre aéré — École, mairie et bâtiments civiques / arrêt de maintenance</x:v>
      </x:c>
      <x:c r="F1323" t="n">
        <x:v>8</x:v>
      </x:c>
      <x:c r="G1323" t="n">
        <x:v>4</x:v>
      </x:c>
      <x:c r="H1323" t="n">
        <x:v>12</x:v>
      </x:c>
      <x:c r="I1323" t="str">
        <x:v>À qualifier par lieu</x:v>
      </x:c>
      <x:c r="J1323" t="str">
        <x:v>https://github.com/darknigthmare/deadwall-last-enclosure/blob/1b3b9c5ba232734b1bda3453b4e20a0481bcdd74/codex-3000/compositions/Éducation et connaissance/DW-1318.md</x:v>
      </x:c>
      <x:c r="K1323" t="str">
        <x:v>Source min 28,20 m ; max 160,110 m ; modèle 28 × 20 m ; niveaux 0. Détails dans catalogue-existant.json.</x:v>
      </x:c>
    </x:row>
    <x:row r="1324">
      <x:c r="A1324" t="str">
        <x:v>DW-1319</x:v>
      </x:c>
      <x:c r="B1324" t="str">
        <x:v>DW-0160</x:v>
      </x:c>
      <x:c r="C1324" t="str">
        <x:v>Composition héritée</x:v>
      </x:c>
      <x:c r="D1324" t="str">
        <x:v>Éducation et connaissance</x:v>
      </x:c>
      <x:c r="E1324" t="str">
        <x:v>École réutilisée par une association — Village et bourg / repli organisé interrompu</x:v>
      </x:c>
      <x:c r="F1324" t="n">
        <x:v>8</x:v>
      </x:c>
      <x:c r="G1324" t="n">
        <x:v>4</x:v>
      </x:c>
      <x:c r="H1324" t="n">
        <x:v>12</x:v>
      </x:c>
      <x:c r="I1324" t="str">
        <x:v>À qualifier par lieu</x:v>
      </x:c>
      <x:c r="J1324" t="str">
        <x:v>https://github.com/darknigthmare/deadwall-last-enclosure/blob/1b3b9c5ba232734b1bda3453b4e20a0481bcdd74/codex-3000/compositions/Éducation et connaissance/DW-1319.md</x:v>
      </x:c>
      <x:c r="K1324" t="str">
        <x:v>Source min 28,20 m ; max 160,110 m ; modèle 28 × 20 m ; niveaux 0. Détails dans catalogue-existant.json.</x:v>
      </x:c>
    </x:row>
    <x:row r="1325">
      <x:c r="A1325" t="str">
        <x:v>DW-1320</x:v>
      </x:c>
      <x:c r="B1325" t="str">
        <x:v>DW-0160</x:v>
      </x:c>
      <x:c r="C1325" t="str">
        <x:v>Composition héritée</x:v>
      </x:c>
      <x:c r="D1325" t="str">
        <x:v>Éducation et connaissance</x:v>
      </x:c>
      <x:c r="E1325" t="str">
        <x:v>École réutilisée par une association — Ville moyenne / première récupération passée</x:v>
      </x:c>
      <x:c r="F1325" t="n">
        <x:v>8</x:v>
      </x:c>
      <x:c r="G1325" t="n">
        <x:v>4</x:v>
      </x:c>
      <x:c r="H1325" t="n">
        <x:v>12</x:v>
      </x:c>
      <x:c r="I1325" t="str">
        <x:v>À qualifier par lieu</x:v>
      </x:c>
      <x:c r="J1325" t="str">
        <x:v>https://github.com/darknigthmare/deadwall-last-enclosure/blob/1b3b9c5ba232734b1bda3453b4e20a0481bcdd74/codex-3000/compositions/Éducation et connaissance/DW-1320.md</x:v>
      </x:c>
      <x:c r="K1325" t="str">
        <x:v>Source min 28,20 m ; max 160,110 m ; modèle 28 × 20 m ; niveaux 0. Détails dans catalogue-existant.json.</x:v>
      </x:c>
    </x:row>
    <x:row r="1326">
      <x:c r="A1326" t="str">
        <x:v>DW-1321</x:v>
      </x:c>
      <x:c r="B1326" t="str">
        <x:v>DW-0161</x:v>
      </x:c>
      <x:c r="C1326" t="str">
        <x:v>Composition héritée</x:v>
      </x:c>
      <x:c r="D1326" t="str">
        <x:v>Administration et communauté</x:v>
      </x:c>
      <x:c r="E1326" t="str">
        <x:v>Mairie — École, mairie et bâtiments civiques / évacuation interrompue</x:v>
      </x:c>
      <x:c r="F1326" t="n">
        <x:v>8</x:v>
      </x:c>
      <x:c r="G1326" t="n">
        <x:v>4</x:v>
      </x:c>
      <x:c r="H1326" t="n">
        <x:v>12</x:v>
      </x:c>
      <x:c r="I1326" t="str">
        <x:v>À qualifier par lieu</x:v>
      </x:c>
      <x:c r="J1326" t="str">
        <x:v>https://github.com/darknigthmare/deadwall-last-enclosure/blob/1b3b9c5ba232734b1bda3453b4e20a0481bcdd74/codex-3000/compositions/Administration et communauté/DW-1321.md</x:v>
      </x:c>
      <x:c r="K1326" t="str">
        <x:v>Source min 25,20 m ; max 120,80 m ; modèle 25 × 20 m ; niveaux 0, 1. Détails dans catalogue-existant.json.</x:v>
      </x:c>
    </x:row>
    <x:row r="1327">
      <x:c r="A1327" t="str">
        <x:v>DW-1322</x:v>
      </x:c>
      <x:c r="B1327" t="str">
        <x:v>DW-0161</x:v>
      </x:c>
      <x:c r="C1327" t="str">
        <x:v>Composition héritée</x:v>
      </x:c>
      <x:c r="D1327" t="str">
        <x:v>Administration et communauté</x:v>
      </x:c>
      <x:c r="E1327" t="str">
        <x:v>Mairie — Village et bourg / service déplacé à l’arrière</x:v>
      </x:c>
      <x:c r="F1327" t="n">
        <x:v>8</x:v>
      </x:c>
      <x:c r="G1327" t="n">
        <x:v>4</x:v>
      </x:c>
      <x:c r="H1327" t="n">
        <x:v>12</x:v>
      </x:c>
      <x:c r="I1327" t="str">
        <x:v>À qualifier par lieu</x:v>
      </x:c>
      <x:c r="J1327" t="str">
        <x:v>https://github.com/darknigthmare/deadwall-last-enclosure/blob/1b3b9c5ba232734b1bda3453b4e20a0481bcdd74/codex-3000/compositions/Administration et communauté/DW-1322.md</x:v>
      </x:c>
      <x:c r="K1327" t="str">
        <x:v>Source min 25,20 m ; max 120,80 m ; modèle 25 × 20 m ; niveaux 0, 1. Détails dans catalogue-existant.json.</x:v>
      </x:c>
    </x:row>
    <x:row r="1328">
      <x:c r="A1328" t="str">
        <x:v>DW-1323</x:v>
      </x:c>
      <x:c r="B1328" t="str">
        <x:v>DW-0162</x:v>
      </x:c>
      <x:c r="C1328" t="str">
        <x:v>Composition héritée</x:v>
      </x:c>
      <x:c r="D1328" t="str">
        <x:v>Administration et communauté</x:v>
      </x:c>
      <x:c r="E1328" t="str">
        <x:v>Hôtel de ville métropolitain — Ville moyenne / arrêt de maintenance</x:v>
      </x:c>
      <x:c r="F1328" t="n">
        <x:v>8</x:v>
      </x:c>
      <x:c r="G1328" t="n">
        <x:v>4</x:v>
      </x:c>
      <x:c r="H1328" t="n">
        <x:v>12</x:v>
      </x:c>
      <x:c r="I1328" t="str">
        <x:v>À qualifier par lieu</x:v>
      </x:c>
      <x:c r="J1328" t="str">
        <x:v>https://github.com/darknigthmare/deadwall-last-enclosure/blob/1b3b9c5ba232734b1bda3453b4e20a0481bcdd74/codex-3000/compositions/Administration et communauté/DW-1323.md</x:v>
      </x:c>
      <x:c r="K1328" t="str">
        <x:v>Source min 25,20 m ; max 120,80 m ; modèle 25 × 20 m ; niveaux 0, 1, 2. Détails dans catalogue-existant.json.</x:v>
      </x:c>
    </x:row>
    <x:row r="1329">
      <x:c r="A1329" t="str">
        <x:v>DW-1324</x:v>
      </x:c>
      <x:c r="B1329" t="str">
        <x:v>DW-0162</x:v>
      </x:c>
      <x:c r="C1329" t="str">
        <x:v>Composition héritée</x:v>
      </x:c>
      <x:c r="D1329" t="str">
        <x:v>Administration et communauté</x:v>
      </x:c>
      <x:c r="E1329" t="str">
        <x:v>Hôtel de ville métropolitain — Centre ancien / reprise progressive de la végétation</x:v>
      </x:c>
      <x:c r="F1329" t="n">
        <x:v>8</x:v>
      </x:c>
      <x:c r="G1329" t="n">
        <x:v>4</x:v>
      </x:c>
      <x:c r="H1329" t="n">
        <x:v>12</x:v>
      </x:c>
      <x:c r="I1329" t="str">
        <x:v>À qualifier par lieu</x:v>
      </x:c>
      <x:c r="J1329" t="str">
        <x:v>https://github.com/darknigthmare/deadwall-last-enclosure/blob/1b3b9c5ba232734b1bda3453b4e20a0481bcdd74/codex-3000/compositions/Administration et communauté/DW-1324.md</x:v>
      </x:c>
      <x:c r="K1329" t="str">
        <x:v>Source min 25,20 m ; max 120,80 m ; modèle 25 × 20 m ; niveaux 0, 1, 2. Détails dans catalogue-existant.json.</x:v>
      </x:c>
    </x:row>
    <x:row r="1330">
      <x:c r="A1330" t="str">
        <x:v>DW-1325</x:v>
      </x:c>
      <x:c r="B1330" t="str">
        <x:v>DW-0163</x:v>
      </x:c>
      <x:c r="C1330" t="str">
        <x:v>Composition héritée</x:v>
      </x:c>
      <x:c r="D1330" t="str">
        <x:v>Administration et communauté</x:v>
      </x:c>
      <x:c r="E1330" t="str">
        <x:v>Annexe administrative — Village et bourg / première récupération passée</x:v>
      </x:c>
      <x:c r="F1330" t="n">
        <x:v>8</x:v>
      </x:c>
      <x:c r="G1330" t="n">
        <x:v>4</x:v>
      </x:c>
      <x:c r="H1330" t="n">
        <x:v>12</x:v>
      </x:c>
      <x:c r="I1330" t="str">
        <x:v>À qualifier par lieu</x:v>
      </x:c>
      <x:c r="J1330" t="str">
        <x:v>https://github.com/darknigthmare/deadwall-last-enclosure/blob/1b3b9c5ba232734b1bda3453b4e20a0481bcdd74/codex-3000/compositions/Administration et communauté/DW-1325.md</x:v>
      </x:c>
      <x:c r="K1330" t="str">
        <x:v>Source min 25,20 m ; max 120,80 m ; modèle 25 × 20 m ; niveaux 0. Détails dans catalogue-existant.json.</x:v>
      </x:c>
    </x:row>
    <x:row r="1331">
      <x:c r="A1331" t="str">
        <x:v>DW-1326</x:v>
      </x:c>
      <x:c r="B1331" t="str">
        <x:v>DW-0163</x:v>
      </x:c>
      <x:c r="C1331" t="str">
        <x:v>Composition héritée</x:v>
      </x:c>
      <x:c r="D1331" t="str">
        <x:v>Administration et communauté</x:v>
      </x:c>
      <x:c r="E1331" t="str">
        <x:v>Annexe administrative — École, mairie et bâtiments civiques / relais temporaire envisagé</x:v>
      </x:c>
      <x:c r="F1331" t="n">
        <x:v>8</x:v>
      </x:c>
      <x:c r="G1331" t="n">
        <x:v>4</x:v>
      </x:c>
      <x:c r="H1331" t="n">
        <x:v>12</x:v>
      </x:c>
      <x:c r="I1331" t="str">
        <x:v>À qualifier par lieu</x:v>
      </x:c>
      <x:c r="J1331" t="str">
        <x:v>https://github.com/darknigthmare/deadwall-last-enclosure/blob/1b3b9c5ba232734b1bda3453b4e20a0481bcdd74/codex-3000/compositions/Administration et communauté/DW-1326.md</x:v>
      </x:c>
      <x:c r="K1331" t="str">
        <x:v>Source min 25,20 m ; max 120,80 m ; modèle 25 × 20 m ; niveaux 0. Détails dans catalogue-existant.json.</x:v>
      </x:c>
    </x:row>
    <x:row r="1332">
      <x:c r="A1332" t="str">
        <x:v>DW-1327</x:v>
      </x:c>
      <x:c r="B1332" t="str">
        <x:v>DW-0164</x:v>
      </x:c>
      <x:c r="C1332" t="str">
        <x:v>Composition héritée</x:v>
      </x:c>
      <x:c r="D1332" t="str">
        <x:v>Administration et communauté</x:v>
      </x:c>
      <x:c r="E1332" t="str">
        <x:v>Tribunal — Centre ancien / service déplacé à l’arrière</x:v>
      </x:c>
      <x:c r="F1332" t="n">
        <x:v>8</x:v>
      </x:c>
      <x:c r="G1332" t="n">
        <x:v>4</x:v>
      </x:c>
      <x:c r="H1332" t="n">
        <x:v>12</x:v>
      </x:c>
      <x:c r="I1332" t="str">
        <x:v>À qualifier par lieu</x:v>
      </x:c>
      <x:c r="J1332" t="str">
        <x:v>https://github.com/darknigthmare/deadwall-last-enclosure/blob/1b3b9c5ba232734b1bda3453b4e20a0481bcdd74/codex-3000/compositions/Administration et communauté/DW-1327.md</x:v>
      </x:c>
      <x:c r="K1332" t="str">
        <x:v>Source min 25,20 m ; max 120,80 m ; modèle 25 × 20 m ; niveaux 0. Détails dans catalogue-existant.json.</x:v>
      </x:c>
    </x:row>
    <x:row r="1333">
      <x:c r="A1333" t="str">
        <x:v>DW-1328</x:v>
      </x:c>
      <x:c r="B1333" t="str">
        <x:v>DW-0164</x:v>
      </x:c>
      <x:c r="C1333" t="str">
        <x:v>Composition héritée</x:v>
      </x:c>
      <x:c r="D1333" t="str">
        <x:v>Administration et communauté</x:v>
      </x:c>
      <x:c r="E1333" t="str">
        <x:v>Tribunal — Ville moyenne / réseau principal coupé</x:v>
      </x:c>
      <x:c r="F1333" t="n">
        <x:v>8</x:v>
      </x:c>
      <x:c r="G1333" t="n">
        <x:v>4</x:v>
      </x:c>
      <x:c r="H1333" t="n">
        <x:v>12</x:v>
      </x:c>
      <x:c r="I1333" t="str">
        <x:v>À qualifier par lieu</x:v>
      </x:c>
      <x:c r="J1333" t="str">
        <x:v>https://github.com/darknigthmare/deadwall-last-enclosure/blob/1b3b9c5ba232734b1bda3453b4e20a0481bcdd74/codex-3000/compositions/Administration et communauté/DW-1328.md</x:v>
      </x:c>
      <x:c r="K1333" t="str">
        <x:v>Source min 25,20 m ; max 120,80 m ; modèle 25 × 20 m ; niveaux 0. Détails dans catalogue-existant.json.</x:v>
      </x:c>
    </x:row>
    <x:row r="1334">
      <x:c r="A1334" t="str">
        <x:v>DW-1329</x:v>
      </x:c>
      <x:c r="B1334" t="str">
        <x:v>DW-0165</x:v>
      </x:c>
      <x:c r="C1334" t="str">
        <x:v>Composition héritée</x:v>
      </x:c>
      <x:c r="D1334" t="str">
        <x:v>Administration et communauté</x:v>
      </x:c>
      <x:c r="E1334" t="str">
        <x:v>Maison de justice — École, mairie et bâtiments civiques / reprise progressive de la végétation</x:v>
      </x:c>
      <x:c r="F1334" t="n">
        <x:v>8</x:v>
      </x:c>
      <x:c r="G1334" t="n">
        <x:v>4</x:v>
      </x:c>
      <x:c r="H1334" t="n">
        <x:v>12</x:v>
      </x:c>
      <x:c r="I1334" t="str">
        <x:v>À qualifier par lieu</x:v>
      </x:c>
      <x:c r="J1334" t="str">
        <x:v>https://github.com/darknigthmare/deadwall-last-enclosure/blob/1b3b9c5ba232734b1bda3453b4e20a0481bcdd74/codex-3000/compositions/Administration et communauté/DW-1329.md</x:v>
      </x:c>
      <x:c r="K1334" t="str">
        <x:v>Source min 25,20 m ; max 120,80 m ; modèle 25 × 20 m ; niveaux 0. Détails dans catalogue-existant.json.</x:v>
      </x:c>
    </x:row>
    <x:row r="1335">
      <x:c r="A1335" t="str">
        <x:v>DW-1330</x:v>
      </x:c>
      <x:c r="B1335" t="str">
        <x:v>DW-0165</x:v>
      </x:c>
      <x:c r="C1335" t="str">
        <x:v>Composition héritée</x:v>
      </x:c>
      <x:c r="D1335" t="str">
        <x:v>Administration et communauté</x:v>
      </x:c>
      <x:c r="E1335" t="str">
        <x:v>Maison de justice — Village et bourg / repli organisé interrompu</x:v>
      </x:c>
      <x:c r="F1335" t="n">
        <x:v>8</x:v>
      </x:c>
      <x:c r="G1335" t="n">
        <x:v>4</x:v>
      </x:c>
      <x:c r="H1335" t="n">
        <x:v>12</x:v>
      </x:c>
      <x:c r="I1335" t="str">
        <x:v>À qualifier par lieu</x:v>
      </x:c>
      <x:c r="J1335" t="str">
        <x:v>https://github.com/darknigthmare/deadwall-last-enclosure/blob/1b3b9c5ba232734b1bda3453b4e20a0481bcdd74/codex-3000/compositions/Administration et communauté/DW-1330.md</x:v>
      </x:c>
      <x:c r="K1335" t="str">
        <x:v>Source min 25,20 m ; max 120,80 m ; modèle 25 × 20 m ; niveaux 0. Détails dans catalogue-existant.json.</x:v>
      </x:c>
    </x:row>
    <x:row r="1336">
      <x:c r="A1336" t="str">
        <x:v>DW-1331</x:v>
      </x:c>
      <x:c r="B1336" t="str">
        <x:v>DW-0166</x:v>
      </x:c>
      <x:c r="C1336" t="str">
        <x:v>Composition héritée</x:v>
      </x:c>
      <x:c r="D1336" t="str">
        <x:v>Administration et communauté</x:v>
      </x:c>
      <x:c r="E1336" t="str">
        <x:v>Centre fiscal — Ville moyenne / relais temporaire envisagé</x:v>
      </x:c>
      <x:c r="F1336" t="n">
        <x:v>8</x:v>
      </x:c>
      <x:c r="G1336" t="n">
        <x:v>4</x:v>
      </x:c>
      <x:c r="H1336" t="n">
        <x:v>12</x:v>
      </x:c>
      <x:c r="I1336" t="str">
        <x:v>À qualifier par lieu</x:v>
      </x:c>
      <x:c r="J1336" t="str">
        <x:v>https://github.com/darknigthmare/deadwall-last-enclosure/blob/1b3b9c5ba232734b1bda3453b4e20a0481bcdd74/codex-3000/compositions/Administration et communauté/DW-1331.md</x:v>
      </x:c>
      <x:c r="K1336" t="str">
        <x:v>Source min 25,20 m ; max 120,80 m ; modèle 25 × 20 m ; niveaux 0. Détails dans catalogue-existant.json.</x:v>
      </x:c>
    </x:row>
    <x:row r="1337">
      <x:c r="A1337" t="str">
        <x:v>DW-1332</x:v>
      </x:c>
      <x:c r="B1337" t="str">
        <x:v>DW-0166</x:v>
      </x:c>
      <x:c r="C1337" t="str">
        <x:v>Composition héritée</x:v>
      </x:c>
      <x:c r="D1337" t="str">
        <x:v>Administration et communauté</x:v>
      </x:c>
      <x:c r="E1337" t="str">
        <x:v>Centre fiscal — Centre ancien / évacuation interrompue</x:v>
      </x:c>
      <x:c r="F1337" t="n">
        <x:v>8</x:v>
      </x:c>
      <x:c r="G1337" t="n">
        <x:v>4</x:v>
      </x:c>
      <x:c r="H1337" t="n">
        <x:v>12</x:v>
      </x:c>
      <x:c r="I1337" t="str">
        <x:v>À qualifier par lieu</x:v>
      </x:c>
      <x:c r="J1337" t="str">
        <x:v>https://github.com/darknigthmare/deadwall-last-enclosure/blob/1b3b9c5ba232734b1bda3453b4e20a0481bcdd74/codex-3000/compositions/Administration et communauté/DW-1332.md</x:v>
      </x:c>
      <x:c r="K1337" t="str">
        <x:v>Source min 25,20 m ; max 120,80 m ; modèle 25 × 20 m ; niveaux 0. Détails dans catalogue-existant.json.</x:v>
      </x:c>
    </x:row>
    <x:row r="1338">
      <x:c r="A1338" t="str">
        <x:v>DW-1333</x:v>
      </x:c>
      <x:c r="B1338" t="str">
        <x:v>DW-0167</x:v>
      </x:c>
      <x:c r="C1338" t="str">
        <x:v>Composition héritée</x:v>
      </x:c>
      <x:c r="D1338" t="str">
        <x:v>Administration et communauté</x:v>
      </x:c>
      <x:c r="E1338" t="str">
        <x:v>Maison associative — Village et bourg / réseau principal coupé</x:v>
      </x:c>
      <x:c r="F1338" t="n">
        <x:v>8</x:v>
      </x:c>
      <x:c r="G1338" t="n">
        <x:v>4</x:v>
      </x:c>
      <x:c r="H1338" t="n">
        <x:v>12</x:v>
      </x:c>
      <x:c r="I1338" t="str">
        <x:v>À qualifier par lieu</x:v>
      </x:c>
      <x:c r="J1338" t="str">
        <x:v>https://github.com/darknigthmare/deadwall-last-enclosure/blob/1b3b9c5ba232734b1bda3453b4e20a0481bcdd74/codex-3000/compositions/Administration et communauté/DW-1333.md</x:v>
      </x:c>
      <x:c r="K1338" t="str">
        <x:v>Source min 25,20 m ; max 120,80 m ; modèle 25 × 20 m ; niveaux 0. Détails dans catalogue-existant.json.</x:v>
      </x:c>
    </x:row>
    <x:row r="1339">
      <x:c r="A1339" t="str">
        <x:v>DW-1334</x:v>
      </x:c>
      <x:c r="B1339" t="str">
        <x:v>DW-0167</x:v>
      </x:c>
      <x:c r="C1339" t="str">
        <x:v>Composition héritée</x:v>
      </x:c>
      <x:c r="D1339" t="str">
        <x:v>Administration et communauté</x:v>
      </x:c>
      <x:c r="E1339" t="str">
        <x:v>Maison associative — École, mairie et bâtiments civiques / arrêt de maintenance</x:v>
      </x:c>
      <x:c r="F1339" t="n">
        <x:v>8</x:v>
      </x:c>
      <x:c r="G1339" t="n">
        <x:v>4</x:v>
      </x:c>
      <x:c r="H1339" t="n">
        <x:v>12</x:v>
      </x:c>
      <x:c r="I1339" t="str">
        <x:v>À qualifier par lieu</x:v>
      </x:c>
      <x:c r="J1339" t="str">
        <x:v>https://github.com/darknigthmare/deadwall-last-enclosure/blob/1b3b9c5ba232734b1bda3453b4e20a0481bcdd74/codex-3000/compositions/Administration et communauté/DW-1334.md</x:v>
      </x:c>
      <x:c r="K1339" t="str">
        <x:v>Source min 25,20 m ; max 120,80 m ; modèle 25 × 20 m ; niveaux 0. Détails dans catalogue-existant.json.</x:v>
      </x:c>
    </x:row>
    <x:row r="1340">
      <x:c r="A1340" t="str">
        <x:v>DW-1335</x:v>
      </x:c>
      <x:c r="B1340" t="str">
        <x:v>DW-0168</x:v>
      </x:c>
      <x:c r="C1340" t="str">
        <x:v>Composition héritée</x:v>
      </x:c>
      <x:c r="D1340" t="str">
        <x:v>Administration et communauté</x:v>
      </x:c>
      <x:c r="E1340" t="str">
        <x:v>Salle des fêtes — Centre ancien / repli organisé interrompu</x:v>
      </x:c>
      <x:c r="F1340" t="n">
        <x:v>8</x:v>
      </x:c>
      <x:c r="G1340" t="n">
        <x:v>4</x:v>
      </x:c>
      <x:c r="H1340" t="n">
        <x:v>12</x:v>
      </x:c>
      <x:c r="I1340" t="str">
        <x:v>À qualifier par lieu</x:v>
      </x:c>
      <x:c r="J1340" t="str">
        <x:v>https://github.com/darknigthmare/deadwall-last-enclosure/blob/1b3b9c5ba232734b1bda3453b4e20a0481bcdd74/codex-3000/compositions/Administration et communauté/DW-1335.md</x:v>
      </x:c>
      <x:c r="K1340" t="str">
        <x:v>Source min 25,20 m ; max 120,80 m ; modèle 25 × 20 m ; niveaux 0. Détails dans catalogue-existant.json.</x:v>
      </x:c>
    </x:row>
    <x:row r="1341">
      <x:c r="A1341" t="str">
        <x:v>DW-1336</x:v>
      </x:c>
      <x:c r="B1341" t="str">
        <x:v>DW-0168</x:v>
      </x:c>
      <x:c r="C1341" t="str">
        <x:v>Composition héritée</x:v>
      </x:c>
      <x:c r="D1341" t="str">
        <x:v>Administration et communauté</x:v>
      </x:c>
      <x:c r="E1341" t="str">
        <x:v>Salle des fêtes — Ville moyenne / première récupération passée</x:v>
      </x:c>
      <x:c r="F1341" t="n">
        <x:v>8</x:v>
      </x:c>
      <x:c r="G1341" t="n">
        <x:v>4</x:v>
      </x:c>
      <x:c r="H1341" t="n">
        <x:v>12</x:v>
      </x:c>
      <x:c r="I1341" t="str">
        <x:v>À qualifier par lieu</x:v>
      </x:c>
      <x:c r="J1341" t="str">
        <x:v>https://github.com/darknigthmare/deadwall-last-enclosure/blob/1b3b9c5ba232734b1bda3453b4e20a0481bcdd74/codex-3000/compositions/Administration et communauté/DW-1336.md</x:v>
      </x:c>
      <x:c r="K1341" t="str">
        <x:v>Source min 25,20 m ; max 120,80 m ; modèle 25 × 20 m ; niveaux 0. Détails dans catalogue-existant.json.</x:v>
      </x:c>
    </x:row>
    <x:row r="1342">
      <x:c r="A1342" t="str">
        <x:v>DW-1337</x:v>
      </x:c>
      <x:c r="B1342" t="str">
        <x:v>DW-0169</x:v>
      </x:c>
      <x:c r="C1342" t="str">
        <x:v>Composition héritée</x:v>
      </x:c>
      <x:c r="D1342" t="str">
        <x:v>Administration et communauté</x:v>
      </x:c>
      <x:c r="E1342" t="str">
        <x:v>Centre social — École, mairie et bâtiments civiques / évacuation interrompue</x:v>
      </x:c>
      <x:c r="F1342" t="n">
        <x:v>8</x:v>
      </x:c>
      <x:c r="G1342" t="n">
        <x:v>4</x:v>
      </x:c>
      <x:c r="H1342" t="n">
        <x:v>12</x:v>
      </x:c>
      <x:c r="I1342" t="str">
        <x:v>À qualifier par lieu</x:v>
      </x:c>
      <x:c r="J1342" t="str">
        <x:v>https://github.com/darknigthmare/deadwall-last-enclosure/blob/1b3b9c5ba232734b1bda3453b4e20a0481bcdd74/codex-3000/compositions/Administration et communauté/DW-1337.md</x:v>
      </x:c>
      <x:c r="K1342" t="str">
        <x:v>Source min 25,20 m ; max 120,80 m ; modèle 25 × 20 m ; niveaux 0. Détails dans catalogue-existant.json.</x:v>
      </x:c>
    </x:row>
    <x:row r="1343">
      <x:c r="A1343" t="str">
        <x:v>DW-1338</x:v>
      </x:c>
      <x:c r="B1343" t="str">
        <x:v>DW-0169</x:v>
      </x:c>
      <x:c r="C1343" t="str">
        <x:v>Composition héritée</x:v>
      </x:c>
      <x:c r="D1343" t="str">
        <x:v>Administration et communauté</x:v>
      </x:c>
      <x:c r="E1343" t="str">
        <x:v>Centre social — Village et bourg / service déplacé à l’arrière</x:v>
      </x:c>
      <x:c r="F1343" t="n">
        <x:v>8</x:v>
      </x:c>
      <x:c r="G1343" t="n">
        <x:v>4</x:v>
      </x:c>
      <x:c r="H1343" t="n">
        <x:v>12</x:v>
      </x:c>
      <x:c r="I1343" t="str">
        <x:v>À qualifier par lieu</x:v>
      </x:c>
      <x:c r="J1343" t="str">
        <x:v>https://github.com/darknigthmare/deadwall-last-enclosure/blob/1b3b9c5ba232734b1bda3453b4e20a0481bcdd74/codex-3000/compositions/Administration et communauté/DW-1338.md</x:v>
      </x:c>
      <x:c r="K1343" t="str">
        <x:v>Source min 25,20 m ; max 120,80 m ; modèle 25 × 20 m ; niveaux 0. Détails dans catalogue-existant.json.</x:v>
      </x:c>
    </x:row>
    <x:row r="1344">
      <x:c r="A1344" t="str">
        <x:v>DW-1339</x:v>
      </x:c>
      <x:c r="B1344" t="str">
        <x:v>DW-0170</x:v>
      </x:c>
      <x:c r="C1344" t="str">
        <x:v>Composition héritée</x:v>
      </x:c>
      <x:c r="D1344" t="str">
        <x:v>Administration et communauté</x:v>
      </x:c>
      <x:c r="E1344" t="str">
        <x:v>Office du tourisme — Ville moyenne / arrêt de maintenance</x:v>
      </x:c>
      <x:c r="F1344" t="n">
        <x:v>8</x:v>
      </x:c>
      <x:c r="G1344" t="n">
        <x:v>4</x:v>
      </x:c>
      <x:c r="H1344" t="n">
        <x:v>12</x:v>
      </x:c>
      <x:c r="I1344" t="str">
        <x:v>À qualifier par lieu</x:v>
      </x:c>
      <x:c r="J1344" t="str">
        <x:v>https://github.com/darknigthmare/deadwall-last-enclosure/blob/1b3b9c5ba232734b1bda3453b4e20a0481bcdd74/codex-3000/compositions/Administration et communauté/DW-1339.md</x:v>
      </x:c>
      <x:c r="K1344" t="str">
        <x:v>Source min 25,20 m ; max 120,80 m ; modèle 25 × 20 m ; niveaux 0. Détails dans catalogue-existant.json.</x:v>
      </x:c>
    </x:row>
    <x:row r="1345">
      <x:c r="A1345" t="str">
        <x:v>DW-1340</x:v>
      </x:c>
      <x:c r="B1345" t="str">
        <x:v>DW-0170</x:v>
      </x:c>
      <x:c r="C1345" t="str">
        <x:v>Composition héritée</x:v>
      </x:c>
      <x:c r="D1345" t="str">
        <x:v>Administration et communauté</x:v>
      </x:c>
      <x:c r="E1345" t="str">
        <x:v>Office du tourisme — Centre ancien / reprise progressive de la végétation</x:v>
      </x:c>
      <x:c r="F1345" t="n">
        <x:v>8</x:v>
      </x:c>
      <x:c r="G1345" t="n">
        <x:v>4</x:v>
      </x:c>
      <x:c r="H1345" t="n">
        <x:v>12</x:v>
      </x:c>
      <x:c r="I1345" t="str">
        <x:v>À qualifier par lieu</x:v>
      </x:c>
      <x:c r="J1345" t="str">
        <x:v>https://github.com/darknigthmare/deadwall-last-enclosure/blob/1b3b9c5ba232734b1bda3453b4e20a0481bcdd74/codex-3000/compositions/Administration et communauté/DW-1340.md</x:v>
      </x:c>
      <x:c r="K1345" t="str">
        <x:v>Source min 25,20 m ; max 120,80 m ; modèle 25 × 20 m ; niveaux 0. Détails dans catalogue-existant.json.</x:v>
      </x:c>
    </x:row>
    <x:row r="1346">
      <x:c r="A1346" t="str">
        <x:v>DW-1341</x:v>
      </x:c>
      <x:c r="B1346" t="str">
        <x:v>DW-0171</x:v>
      </x:c>
      <x:c r="C1346" t="str">
        <x:v>Composition héritée</x:v>
      </x:c>
      <x:c r="D1346" t="str">
        <x:v>Administration et communauté</x:v>
      </x:c>
      <x:c r="E1346" t="str">
        <x:v>Bourse du travail — Village et bourg / première récupération passée</x:v>
      </x:c>
      <x:c r="F1346" t="n">
        <x:v>8</x:v>
      </x:c>
      <x:c r="G1346" t="n">
        <x:v>4</x:v>
      </x:c>
      <x:c r="H1346" t="n">
        <x:v>12</x:v>
      </x:c>
      <x:c r="I1346" t="str">
        <x:v>À qualifier par lieu</x:v>
      </x:c>
      <x:c r="J1346" t="str">
        <x:v>https://github.com/darknigthmare/deadwall-last-enclosure/blob/1b3b9c5ba232734b1bda3453b4e20a0481bcdd74/codex-3000/compositions/Administration et communauté/DW-1341.md</x:v>
      </x:c>
      <x:c r="K1346" t="str">
        <x:v>Source min 25,20 m ; max 120,80 m ; modèle 25 × 20 m ; niveaux 0. Détails dans catalogue-existant.json.</x:v>
      </x:c>
    </x:row>
    <x:row r="1347">
      <x:c r="A1347" t="str">
        <x:v>DW-1342</x:v>
      </x:c>
      <x:c r="B1347" t="str">
        <x:v>DW-0171</x:v>
      </x:c>
      <x:c r="C1347" t="str">
        <x:v>Composition héritée</x:v>
      </x:c>
      <x:c r="D1347" t="str">
        <x:v>Administration et communauté</x:v>
      </x:c>
      <x:c r="E1347" t="str">
        <x:v>Bourse du travail — École, mairie et bâtiments civiques / relais temporaire envisagé</x:v>
      </x:c>
      <x:c r="F1347" t="n">
        <x:v>8</x:v>
      </x:c>
      <x:c r="G1347" t="n">
        <x:v>4</x:v>
      </x:c>
      <x:c r="H1347" t="n">
        <x:v>12</x:v>
      </x:c>
      <x:c r="I1347" t="str">
        <x:v>À qualifier par lieu</x:v>
      </x:c>
      <x:c r="J1347" t="str">
        <x:v>https://github.com/darknigthmare/deadwall-last-enclosure/blob/1b3b9c5ba232734b1bda3453b4e20a0481bcdd74/codex-3000/compositions/Administration et communauté/DW-1342.md</x:v>
      </x:c>
      <x:c r="K1347" t="str">
        <x:v>Source min 25,20 m ; max 120,80 m ; modèle 25 × 20 m ; niveaux 0. Détails dans catalogue-existant.json.</x:v>
      </x:c>
    </x:row>
    <x:row r="1348">
      <x:c r="A1348" t="str">
        <x:v>DW-1343</x:v>
      </x:c>
      <x:c r="B1348" t="str">
        <x:v>DW-0172</x:v>
      </x:c>
      <x:c r="C1348" t="str">
        <x:v>Composition héritée</x:v>
      </x:c>
      <x:c r="D1348" t="str">
        <x:v>Administration et communauté</x:v>
      </x:c>
      <x:c r="E1348" t="str">
        <x:v>Maison de quartier — Centre ancien / service déplacé à l’arrière</x:v>
      </x:c>
      <x:c r="F1348" t="n">
        <x:v>8</x:v>
      </x:c>
      <x:c r="G1348" t="n">
        <x:v>4</x:v>
      </x:c>
      <x:c r="H1348" t="n">
        <x:v>12</x:v>
      </x:c>
      <x:c r="I1348" t="str">
        <x:v>À qualifier par lieu</x:v>
      </x:c>
      <x:c r="J1348" t="str">
        <x:v>https://github.com/darknigthmare/deadwall-last-enclosure/blob/1b3b9c5ba232734b1bda3453b4e20a0481bcdd74/codex-3000/compositions/Administration et communauté/DW-1343.md</x:v>
      </x:c>
      <x:c r="K1348" t="str">
        <x:v>Source min 25,20 m ; max 120,80 m ; modèle 25 × 20 m ; niveaux 0. Détails dans catalogue-existant.json.</x:v>
      </x:c>
    </x:row>
    <x:row r="1349">
      <x:c r="A1349" t="str">
        <x:v>DW-1344</x:v>
      </x:c>
      <x:c r="B1349" t="str">
        <x:v>DW-0172</x:v>
      </x:c>
      <x:c r="C1349" t="str">
        <x:v>Composition héritée</x:v>
      </x:c>
      <x:c r="D1349" t="str">
        <x:v>Administration et communauté</x:v>
      </x:c>
      <x:c r="E1349" t="str">
        <x:v>Maison de quartier — Ville moyenne / réseau principal coupé</x:v>
      </x:c>
      <x:c r="F1349" t="n">
        <x:v>8</x:v>
      </x:c>
      <x:c r="G1349" t="n">
        <x:v>4</x:v>
      </x:c>
      <x:c r="H1349" t="n">
        <x:v>12</x:v>
      </x:c>
      <x:c r="I1349" t="str">
        <x:v>À qualifier par lieu</x:v>
      </x:c>
      <x:c r="J1349" t="str">
        <x:v>https://github.com/darknigthmare/deadwall-last-enclosure/blob/1b3b9c5ba232734b1bda3453b4e20a0481bcdd74/codex-3000/compositions/Administration et communauté/DW-1344.md</x:v>
      </x:c>
      <x:c r="K1349" t="str">
        <x:v>Source min 25,20 m ; max 120,80 m ; modèle 25 × 20 m ; niveaux 0. Détails dans catalogue-existant.json.</x:v>
      </x:c>
    </x:row>
    <x:row r="1350">
      <x:c r="A1350" t="str">
        <x:v>DW-1345</x:v>
      </x:c>
      <x:c r="B1350" t="str">
        <x:v>DW-0173</x:v>
      </x:c>
      <x:c r="C1350" t="str">
        <x:v>Composition héritée</x:v>
      </x:c>
      <x:c r="D1350" t="str">
        <x:v>Administration et communauté</x:v>
      </x:c>
      <x:c r="E1350" t="str">
        <x:v>Dépôt de mobilier électoral — École, mairie et bâtiments civiques / reprise progressive de la végétation</x:v>
      </x:c>
      <x:c r="F1350" t="n">
        <x:v>8</x:v>
      </x:c>
      <x:c r="G1350" t="n">
        <x:v>4</x:v>
      </x:c>
      <x:c r="H1350" t="n">
        <x:v>12</x:v>
      </x:c>
      <x:c r="I1350" t="str">
        <x:v>À qualifier par lieu</x:v>
      </x:c>
      <x:c r="J1350" t="str">
        <x:v>https://github.com/darknigthmare/deadwall-last-enclosure/blob/1b3b9c5ba232734b1bda3453b4e20a0481bcdd74/codex-3000/compositions/Administration et communauté/DW-1345.md</x:v>
      </x:c>
      <x:c r="K1350" t="str">
        <x:v>Source min 25,20 m ; max 120,80 m ; modèle 25 × 20 m ; niveaux 0. Détails dans catalogue-existant.json.</x:v>
      </x:c>
    </x:row>
    <x:row r="1351">
      <x:c r="A1351" t="str">
        <x:v>DW-1346</x:v>
      </x:c>
      <x:c r="B1351" t="str">
        <x:v>DW-0173</x:v>
      </x:c>
      <x:c r="C1351" t="str">
        <x:v>Composition héritée</x:v>
      </x:c>
      <x:c r="D1351" t="str">
        <x:v>Administration et communauté</x:v>
      </x:c>
      <x:c r="E1351" t="str">
        <x:v>Dépôt de mobilier électoral — Village et bourg / repli organisé interrompu</x:v>
      </x:c>
      <x:c r="F1351" t="n">
        <x:v>8</x:v>
      </x:c>
      <x:c r="G1351" t="n">
        <x:v>4</x:v>
      </x:c>
      <x:c r="H1351" t="n">
        <x:v>12</x:v>
      </x:c>
      <x:c r="I1351" t="str">
        <x:v>À qualifier par lieu</x:v>
      </x:c>
      <x:c r="J1351" t="str">
        <x:v>https://github.com/darknigthmare/deadwall-last-enclosure/blob/1b3b9c5ba232734b1bda3453b4e20a0481bcdd74/codex-3000/compositions/Administration et communauté/DW-1346.md</x:v>
      </x:c>
      <x:c r="K1351" t="str">
        <x:v>Source min 25,20 m ; max 120,80 m ; modèle 25 × 20 m ; niveaux 0. Détails dans catalogue-existant.json.</x:v>
      </x:c>
    </x:row>
    <x:row r="1352">
      <x:c r="A1352" t="str">
        <x:v>DW-1347</x:v>
      </x:c>
      <x:c r="B1352" t="str">
        <x:v>DW-0174</x:v>
      </x:c>
      <x:c r="C1352" t="str">
        <x:v>Composition héritée</x:v>
      </x:c>
      <x:c r="D1352" t="str">
        <x:v>Administration et communauté</x:v>
      </x:c>
      <x:c r="E1352" t="str">
        <x:v>Atelier municipal — Ville moyenne / relais temporaire envisagé</x:v>
      </x:c>
      <x:c r="F1352" t="n">
        <x:v>8</x:v>
      </x:c>
      <x:c r="G1352" t="n">
        <x:v>5</x:v>
      </x:c>
      <x:c r="H1352" t="n">
        <x:v>15</x:v>
      </x:c>
      <x:c r="I1352" t="str">
        <x:v>À qualifier par lieu</x:v>
      </x:c>
      <x:c r="J1352" t="str">
        <x:v>https://github.com/darknigthmare/deadwall-last-enclosure/blob/1b3b9c5ba232734b1bda3453b4e20a0481bcdd74/codex-3000/compositions/Administration et communauté/DW-1347.md</x:v>
      </x:c>
      <x:c r="K1352" t="str">
        <x:v>Source min 25,20 m ; max 120,80 m ; modèle 26 × 22 m ; niveaux 0. Détails dans catalogue-existant.json.</x:v>
      </x:c>
    </x:row>
    <x:row r="1353">
      <x:c r="A1353" t="str">
        <x:v>DW-1348</x:v>
      </x:c>
      <x:c r="B1353" t="str">
        <x:v>DW-0174</x:v>
      </x:c>
      <x:c r="C1353" t="str">
        <x:v>Composition héritée</x:v>
      </x:c>
      <x:c r="D1353" t="str">
        <x:v>Administration et communauté</x:v>
      </x:c>
      <x:c r="E1353" t="str">
        <x:v>Atelier municipal — Centre ancien / évacuation interrompue</x:v>
      </x:c>
      <x:c r="F1353" t="n">
        <x:v>8</x:v>
      </x:c>
      <x:c r="G1353" t="n">
        <x:v>5</x:v>
      </x:c>
      <x:c r="H1353" t="n">
        <x:v>15</x:v>
      </x:c>
      <x:c r="I1353" t="str">
        <x:v>À qualifier par lieu</x:v>
      </x:c>
      <x:c r="J1353" t="str">
        <x:v>https://github.com/darknigthmare/deadwall-last-enclosure/blob/1b3b9c5ba232734b1bda3453b4e20a0481bcdd74/codex-3000/compositions/Administration et communauté/DW-1348.md</x:v>
      </x:c>
      <x:c r="K1353" t="str">
        <x:v>Source min 25,20 m ; max 120,80 m ; modèle 26 × 22 m ; niveaux 0. Détails dans catalogue-existant.json.</x:v>
      </x:c>
    </x:row>
    <x:row r="1354">
      <x:c r="A1354" t="str">
        <x:v>DW-1349</x:v>
      </x:c>
      <x:c r="B1354" t="str">
        <x:v>DW-0175</x:v>
      </x:c>
      <x:c r="C1354" t="str">
        <x:v>Composition héritée</x:v>
      </x:c>
      <x:c r="D1354" t="str">
        <x:v>Administration et communauté</x:v>
      </x:c>
      <x:c r="E1354" t="str">
        <x:v>Dépôt de voirie — Village et bourg / réseau principal coupé</x:v>
      </x:c>
      <x:c r="F1354" t="n">
        <x:v>8</x:v>
      </x:c>
      <x:c r="G1354" t="n">
        <x:v>4</x:v>
      </x:c>
      <x:c r="H1354" t="n">
        <x:v>12</x:v>
      </x:c>
      <x:c r="I1354" t="str">
        <x:v>À qualifier par lieu</x:v>
      </x:c>
      <x:c r="J1354" t="str">
        <x:v>https://github.com/darknigthmare/deadwall-last-enclosure/blob/1b3b9c5ba232734b1bda3453b4e20a0481bcdd74/codex-3000/compositions/Administration et communauté/DW-1349.md</x:v>
      </x:c>
      <x:c r="K1354" t="str">
        <x:v>Source min 25,20 m ; max 120,80 m ; modèle 25 × 20 m ; niveaux 0. Détails dans catalogue-existant.json.</x:v>
      </x:c>
    </x:row>
    <x:row r="1355">
      <x:c r="A1355" t="str">
        <x:v>DW-1350</x:v>
      </x:c>
      <x:c r="B1355" t="str">
        <x:v>DW-0175</x:v>
      </x:c>
      <x:c r="C1355" t="str">
        <x:v>Composition héritée</x:v>
      </x:c>
      <x:c r="D1355" t="str">
        <x:v>Administration et communauté</x:v>
      </x:c>
      <x:c r="E1355" t="str">
        <x:v>Dépôt de voirie — École, mairie et bâtiments civiques / arrêt de maintenance</x:v>
      </x:c>
      <x:c r="F1355" t="n">
        <x:v>8</x:v>
      </x:c>
      <x:c r="G1355" t="n">
        <x:v>4</x:v>
      </x:c>
      <x:c r="H1355" t="n">
        <x:v>12</x:v>
      </x:c>
      <x:c r="I1355" t="str">
        <x:v>À qualifier par lieu</x:v>
      </x:c>
      <x:c r="J1355" t="str">
        <x:v>https://github.com/darknigthmare/deadwall-last-enclosure/blob/1b3b9c5ba232734b1bda3453b4e20a0481bcdd74/codex-3000/compositions/Administration et communauté/DW-1350.md</x:v>
      </x:c>
      <x:c r="K1355" t="str">
        <x:v>Source min 25,20 m ; max 120,80 m ; modèle 25 × 20 m ; niveaux 0. Détails dans catalogue-existant.json.</x:v>
      </x:c>
    </x:row>
    <x:row r="1356">
      <x:c r="A1356" t="str">
        <x:v>DW-1351</x:v>
      </x:c>
      <x:c r="B1356" t="str">
        <x:v>DW-0176</x:v>
      </x:c>
      <x:c r="C1356" t="str">
        <x:v>Composition héritée</x:v>
      </x:c>
      <x:c r="D1356" t="str">
        <x:v>Administration et communauté</x:v>
      </x:c>
      <x:c r="E1356" t="str">
        <x:v>Maison du parc naturel — Centre ancien / repli organisé interrompu</x:v>
      </x:c>
      <x:c r="F1356" t="n">
        <x:v>8</x:v>
      </x:c>
      <x:c r="G1356" t="n">
        <x:v>4</x:v>
      </x:c>
      <x:c r="H1356" t="n">
        <x:v>12</x:v>
      </x:c>
      <x:c r="I1356" t="str">
        <x:v>À qualifier par lieu</x:v>
      </x:c>
      <x:c r="J1356" t="str">
        <x:v>https://github.com/darknigthmare/deadwall-last-enclosure/blob/1b3b9c5ba232734b1bda3453b4e20a0481bcdd74/codex-3000/compositions/Administration et communauté/DW-1351.md</x:v>
      </x:c>
      <x:c r="K1356" t="str">
        <x:v>Source min 25,20 m ; max 120,80 m ; modèle 25 × 20 m ; niveaux 0. Détails dans catalogue-existant.json.</x:v>
      </x:c>
    </x:row>
    <x:row r="1357">
      <x:c r="A1357" t="str">
        <x:v>DW-1352</x:v>
      </x:c>
      <x:c r="B1357" t="str">
        <x:v>DW-0176</x:v>
      </x:c>
      <x:c r="C1357" t="str">
        <x:v>Composition héritée</x:v>
      </x:c>
      <x:c r="D1357" t="str">
        <x:v>Administration et communauté</x:v>
      </x:c>
      <x:c r="E1357" t="str">
        <x:v>Maison du parc naturel — Ville moyenne / première récupération passée</x:v>
      </x:c>
      <x:c r="F1357" t="n">
        <x:v>8</x:v>
      </x:c>
      <x:c r="G1357" t="n">
        <x:v>4</x:v>
      </x:c>
      <x:c r="H1357" t="n">
        <x:v>12</x:v>
      </x:c>
      <x:c r="I1357" t="str">
        <x:v>À qualifier par lieu</x:v>
      </x:c>
      <x:c r="J1357" t="str">
        <x:v>https://github.com/darknigthmare/deadwall-last-enclosure/blob/1b3b9c5ba232734b1bda3453b4e20a0481bcdd74/codex-3000/compositions/Administration et communauté/DW-1352.md</x:v>
      </x:c>
      <x:c r="K1357" t="str">
        <x:v>Source min 25,20 m ; max 120,80 m ; modèle 25 × 20 m ; niveaux 0. Détails dans catalogue-existant.json.</x:v>
      </x:c>
    </x:row>
    <x:row r="1358">
      <x:c r="A1358" t="str">
        <x:v>DW-1353</x:v>
      </x:c>
      <x:c r="B1358" t="str">
        <x:v>DW-0177</x:v>
      </x:c>
      <x:c r="C1358" t="str">
        <x:v>Composition héritée</x:v>
      </x:c>
      <x:c r="D1358" t="str">
        <x:v>Administration et communauté</x:v>
      </x:c>
      <x:c r="E1358" t="str">
        <x:v>Centre d'information routière — École, mairie et bâtiments civiques / évacuation interrompue</x:v>
      </x:c>
      <x:c r="F1358" t="n">
        <x:v>8</x:v>
      </x:c>
      <x:c r="G1358" t="n">
        <x:v>4</x:v>
      </x:c>
      <x:c r="H1358" t="n">
        <x:v>12</x:v>
      </x:c>
      <x:c r="I1358" t="str">
        <x:v>À qualifier par lieu</x:v>
      </x:c>
      <x:c r="J1358" t="str">
        <x:v>https://github.com/darknigthmare/deadwall-last-enclosure/blob/1b3b9c5ba232734b1bda3453b4e20a0481bcdd74/codex-3000/compositions/Administration et communauté/DW-1353.md</x:v>
      </x:c>
      <x:c r="K1358" t="str">
        <x:v>Source min 25,20 m ; max 120,80 m ; modèle 25 × 20 m ; niveaux 0. Détails dans catalogue-existant.json.</x:v>
      </x:c>
    </x:row>
    <x:row r="1359">
      <x:c r="A1359" t="str">
        <x:v>DW-1354</x:v>
      </x:c>
      <x:c r="B1359" t="str">
        <x:v>DW-0177</x:v>
      </x:c>
      <x:c r="C1359" t="str">
        <x:v>Composition héritée</x:v>
      </x:c>
      <x:c r="D1359" t="str">
        <x:v>Administration et communauté</x:v>
      </x:c>
      <x:c r="E1359" t="str">
        <x:v>Centre d'information routière — Village et bourg / service déplacé à l’arrière</x:v>
      </x:c>
      <x:c r="F1359" t="n">
        <x:v>8</x:v>
      </x:c>
      <x:c r="G1359" t="n">
        <x:v>4</x:v>
      </x:c>
      <x:c r="H1359" t="n">
        <x:v>12</x:v>
      </x:c>
      <x:c r="I1359" t="str">
        <x:v>À qualifier par lieu</x:v>
      </x:c>
      <x:c r="J1359" t="str">
        <x:v>https://github.com/darknigthmare/deadwall-last-enclosure/blob/1b3b9c5ba232734b1bda3453b4e20a0481bcdd74/codex-3000/compositions/Administration et communauté/DW-1354.md</x:v>
      </x:c>
      <x:c r="K1359" t="str">
        <x:v>Source min 25,20 m ; max 120,80 m ; modèle 25 × 20 m ; niveaux 0. Détails dans catalogue-existant.json.</x:v>
      </x:c>
    </x:row>
    <x:row r="1360">
      <x:c r="A1360" t="str">
        <x:v>DW-1355</x:v>
      </x:c>
      <x:c r="B1360" t="str">
        <x:v>DW-0178</x:v>
      </x:c>
      <x:c r="C1360" t="str">
        <x:v>Composition héritée</x:v>
      </x:c>
      <x:c r="D1360" t="str">
        <x:v>Administration et communauté</x:v>
      </x:c>
      <x:c r="E1360" t="str">
        <x:v>Maison des archives — Ville moyenne / arrêt de maintenance</x:v>
      </x:c>
      <x:c r="F1360" t="n">
        <x:v>8</x:v>
      </x:c>
      <x:c r="G1360" t="n">
        <x:v>4</x:v>
      </x:c>
      <x:c r="H1360" t="n">
        <x:v>12</x:v>
      </x:c>
      <x:c r="I1360" t="str">
        <x:v>À qualifier par lieu</x:v>
      </x:c>
      <x:c r="J1360" t="str">
        <x:v>https://github.com/darknigthmare/deadwall-last-enclosure/blob/1b3b9c5ba232734b1bda3453b4e20a0481bcdd74/codex-3000/compositions/Administration et communauté/DW-1355.md</x:v>
      </x:c>
      <x:c r="K1360" t="str">
        <x:v>Source min 25,20 m ; max 120,80 m ; modèle 25 × 20 m ; niveaux 0. Détails dans catalogue-existant.json.</x:v>
      </x:c>
    </x:row>
    <x:row r="1361">
      <x:c r="A1361" t="str">
        <x:v>DW-1356</x:v>
      </x:c>
      <x:c r="B1361" t="str">
        <x:v>DW-0178</x:v>
      </x:c>
      <x:c r="C1361" t="str">
        <x:v>Composition héritée</x:v>
      </x:c>
      <x:c r="D1361" t="str">
        <x:v>Administration et communauté</x:v>
      </x:c>
      <x:c r="E1361" t="str">
        <x:v>Maison des archives — Centre ancien / reprise progressive de la végétation</x:v>
      </x:c>
      <x:c r="F1361" t="n">
        <x:v>8</x:v>
      </x:c>
      <x:c r="G1361" t="n">
        <x:v>4</x:v>
      </x:c>
      <x:c r="H1361" t="n">
        <x:v>12</x:v>
      </x:c>
      <x:c r="I1361" t="str">
        <x:v>À qualifier par lieu</x:v>
      </x:c>
      <x:c r="J1361" t="str">
        <x:v>https://github.com/darknigthmare/deadwall-last-enclosure/blob/1b3b9c5ba232734b1bda3453b4e20a0481bcdd74/codex-3000/compositions/Administration et communauté/DW-1356.md</x:v>
      </x:c>
      <x:c r="K1361" t="str">
        <x:v>Source min 25,20 m ; max 120,80 m ; modèle 25 × 20 m ; niveaux 0. Détails dans catalogue-existant.json.</x:v>
      </x:c>
    </x:row>
    <x:row r="1362">
      <x:c r="A1362" t="str">
        <x:v>DW-1357</x:v>
      </x:c>
      <x:c r="B1362" t="str">
        <x:v>DW-0179</x:v>
      </x:c>
      <x:c r="C1362" t="str">
        <x:v>Composition héritée</x:v>
      </x:c>
      <x:c r="D1362" t="str">
        <x:v>Administration et communauté</x:v>
      </x:c>
      <x:c r="E1362" t="str">
        <x:v>Église paroissiale — Village et bourg / première récupération passée</x:v>
      </x:c>
      <x:c r="F1362" t="n">
        <x:v>8</x:v>
      </x:c>
      <x:c r="G1362" t="n">
        <x:v>4</x:v>
      </x:c>
      <x:c r="H1362" t="n">
        <x:v>12</x:v>
      </x:c>
      <x:c r="I1362" t="str">
        <x:v>À qualifier par lieu</x:v>
      </x:c>
      <x:c r="J1362" t="str">
        <x:v>https://github.com/darknigthmare/deadwall-last-enclosure/blob/1b3b9c5ba232734b1bda3453b4e20a0481bcdd74/codex-3000/compositions/Administration et communauté/DW-1357.md</x:v>
      </x:c>
      <x:c r="K1362" t="str">
        <x:v>Source min 25,20 m ; max 120,80 m ; modèle 25 × 20 m ; niveaux 0. Détails dans catalogue-existant.json.</x:v>
      </x:c>
    </x:row>
    <x:row r="1363">
      <x:c r="A1363" t="str">
        <x:v>DW-1358</x:v>
      </x:c>
      <x:c r="B1363" t="str">
        <x:v>DW-0179</x:v>
      </x:c>
      <x:c r="C1363" t="str">
        <x:v>Composition héritée</x:v>
      </x:c>
      <x:c r="D1363" t="str">
        <x:v>Administration et communauté</x:v>
      </x:c>
      <x:c r="E1363" t="str">
        <x:v>Église paroissiale — École, mairie et bâtiments civiques / relais temporaire envisagé</x:v>
      </x:c>
      <x:c r="F1363" t="n">
        <x:v>8</x:v>
      </x:c>
      <x:c r="G1363" t="n">
        <x:v>4</x:v>
      </x:c>
      <x:c r="H1363" t="n">
        <x:v>12</x:v>
      </x:c>
      <x:c r="I1363" t="str">
        <x:v>À qualifier par lieu</x:v>
      </x:c>
      <x:c r="J1363" t="str">
        <x:v>https://github.com/darknigthmare/deadwall-last-enclosure/blob/1b3b9c5ba232734b1bda3453b4e20a0481bcdd74/codex-3000/compositions/Administration et communauté/DW-1358.md</x:v>
      </x:c>
      <x:c r="K1363" t="str">
        <x:v>Source min 25,20 m ; max 120,80 m ; modèle 25 × 20 m ; niveaux 0. Détails dans catalogue-existant.json.</x:v>
      </x:c>
    </x:row>
    <x:row r="1364">
      <x:c r="A1364" t="str">
        <x:v>DW-1359</x:v>
      </x:c>
      <x:c r="B1364" t="str">
        <x:v>DW-0180</x:v>
      </x:c>
      <x:c r="C1364" t="str">
        <x:v>Composition héritée</x:v>
      </x:c>
      <x:c r="D1364" t="str">
        <x:v>Administration et communauté</x:v>
      </x:c>
      <x:c r="E1364" t="str">
        <x:v>Temple communautaire — Centre ancien / service déplacé à l’arrière</x:v>
      </x:c>
      <x:c r="F1364" t="n">
        <x:v>8</x:v>
      </x:c>
      <x:c r="G1364" t="n">
        <x:v>4</x:v>
      </x:c>
      <x:c r="H1364" t="n">
        <x:v>12</x:v>
      </x:c>
      <x:c r="I1364" t="str">
        <x:v>À qualifier par lieu</x:v>
      </x:c>
      <x:c r="J1364" t="str">
        <x:v>https://github.com/darknigthmare/deadwall-last-enclosure/blob/1b3b9c5ba232734b1bda3453b4e20a0481bcdd74/codex-3000/compositions/Administration et communauté/DW-1359.md</x:v>
      </x:c>
      <x:c r="K1364" t="str">
        <x:v>Source min 25,20 m ; max 120,80 m ; modèle 25 × 20 m ; niveaux 0. Détails dans catalogue-existant.json.</x:v>
      </x:c>
    </x:row>
    <x:row r="1365">
      <x:c r="A1365" t="str">
        <x:v>DW-1360</x:v>
      </x:c>
      <x:c r="B1365" t="str">
        <x:v>DW-0180</x:v>
      </x:c>
      <x:c r="C1365" t="str">
        <x:v>Composition héritée</x:v>
      </x:c>
      <x:c r="D1365" t="str">
        <x:v>Administration et communauté</x:v>
      </x:c>
      <x:c r="E1365" t="str">
        <x:v>Temple communautaire — Ville moyenne / réseau principal coupé</x:v>
      </x:c>
      <x:c r="F1365" t="n">
        <x:v>8</x:v>
      </x:c>
      <x:c r="G1365" t="n">
        <x:v>4</x:v>
      </x:c>
      <x:c r="H1365" t="n">
        <x:v>12</x:v>
      </x:c>
      <x:c r="I1365" t="str">
        <x:v>À qualifier par lieu</x:v>
      </x:c>
      <x:c r="J1365" t="str">
        <x:v>https://github.com/darknigthmare/deadwall-last-enclosure/blob/1b3b9c5ba232734b1bda3453b4e20a0481bcdd74/codex-3000/compositions/Administration et communauté/DW-1360.md</x:v>
      </x:c>
      <x:c r="K1365" t="str">
        <x:v>Source min 25,20 m ; max 120,80 m ; modèle 25 × 20 m ; niveaux 0. Détails dans catalogue-existant.json.</x:v>
      </x:c>
    </x:row>
    <x:row r="1366">
      <x:c r="A1366" t="str">
        <x:v>DW-1361</x:v>
      </x:c>
      <x:c r="B1366" t="str">
        <x:v>DW-0181</x:v>
      </x:c>
      <x:c r="C1366" t="str">
        <x:v>Composition héritée</x:v>
      </x:c>
      <x:c r="D1366" t="str">
        <x:v>Secours et protection civile</x:v>
      </x:c>
      <x:c r="E1366" t="str">
        <x:v>Caserne de pompiers — Centre d’évacuation abandonné / reprise progressive de la végétation</x:v>
      </x:c>
      <x:c r="F1366" t="n">
        <x:v>8</x:v>
      </x:c>
      <x:c r="G1366" t="n">
        <x:v>5</x:v>
      </x:c>
      <x:c r="H1366" t="n">
        <x:v>15</x:v>
      </x:c>
      <x:c r="I1366" t="str">
        <x:v>À qualifier par lieu</x:v>
      </x:c>
      <x:c r="J1366" t="str">
        <x:v>https://github.com/darknigthmare/deadwall-last-enclosure/blob/1b3b9c5ba232734b1bda3453b4e20a0481bcdd74/codex-3000/compositions/Secours et protection civile/DW-1361.md</x:v>
      </x:c>
      <x:c r="K1366" t="str">
        <x:v>Source min 24,18 m ; max 85,65 m ; modèle 26 × 22 m ; niveaux 0, 1. Détails dans catalogue-existant.json.</x:v>
      </x:c>
    </x:row>
    <x:row r="1367">
      <x:c r="A1367" t="str">
        <x:v>DW-1362</x:v>
      </x:c>
      <x:c r="B1367" t="str">
        <x:v>DW-0181</x:v>
      </x:c>
      <x:c r="C1367" t="str">
        <x:v>Composition héritée</x:v>
      </x:c>
      <x:c r="D1367" t="str">
        <x:v>Secours et protection civile</x:v>
      </x:c>
      <x:c r="E1367" t="str">
        <x:v>Caserne de pompiers — Station-service et aire routière / repli organisé interrompu</x:v>
      </x:c>
      <x:c r="F1367" t="n">
        <x:v>8</x:v>
      </x:c>
      <x:c r="G1367" t="n">
        <x:v>5</x:v>
      </x:c>
      <x:c r="H1367" t="n">
        <x:v>15</x:v>
      </x:c>
      <x:c r="I1367" t="str">
        <x:v>À qualifier par lieu</x:v>
      </x:c>
      <x:c r="J1367" t="str">
        <x:v>https://github.com/darknigthmare/deadwall-last-enclosure/blob/1b3b9c5ba232734b1bda3453b4e20a0481bcdd74/codex-3000/compositions/Secours et protection civile/DW-1362.md</x:v>
      </x:c>
      <x:c r="K1367" t="str">
        <x:v>Source min 24,18 m ; max 85,65 m ; modèle 26 × 22 m ; niveaux 0, 1. Détails dans catalogue-existant.json.</x:v>
      </x:c>
    </x:row>
    <x:row r="1368">
      <x:c r="A1368" t="str">
        <x:v>DW-1363</x:v>
      </x:c>
      <x:c r="B1368" t="str">
        <x:v>DW-0182</x:v>
      </x:c>
      <x:c r="C1368" t="str">
        <x:v>Composition héritée</x:v>
      </x:c>
      <x:c r="D1368" t="str">
        <x:v>Secours et protection civile</x:v>
      </x:c>
      <x:c r="E1368" t="str">
        <x:v>Centre de secours rural — Ville moyenne / relais temporaire envisagé</x:v>
      </x:c>
      <x:c r="F1368" t="n">
        <x:v>8</x:v>
      </x:c>
      <x:c r="G1368" t="n">
        <x:v>4</x:v>
      </x:c>
      <x:c r="H1368" t="n">
        <x:v>12</x:v>
      </x:c>
      <x:c r="I1368" t="str">
        <x:v>À qualifier par lieu</x:v>
      </x:c>
      <x:c r="J1368" t="str">
        <x:v>https://github.com/darknigthmare/deadwall-last-enclosure/blob/1b3b9c5ba232734b1bda3453b4e20a0481bcdd74/codex-3000/compositions/Secours et protection civile/DW-1363.md</x:v>
      </x:c>
      <x:c r="K1368" t="str">
        <x:v>Source min 24,18 m ; max 85,65 m ; modèle 25 × 18 m ; niveaux 0. Détails dans catalogue-existant.json.</x:v>
      </x:c>
    </x:row>
    <x:row r="1369">
      <x:c r="A1369" t="str">
        <x:v>DW-1364</x:v>
      </x:c>
      <x:c r="B1369" t="str">
        <x:v>DW-0182</x:v>
      </x:c>
      <x:c r="C1369" t="str">
        <x:v>Composition héritée</x:v>
      </x:c>
      <x:c r="D1369" t="str">
        <x:v>Secours et protection civile</x:v>
      </x:c>
      <x:c r="E1369" t="str">
        <x:v>Centre de secours rural — Zone industrielle / évacuation interrompue</x:v>
      </x:c>
      <x:c r="F1369" t="n">
        <x:v>8</x:v>
      </x:c>
      <x:c r="G1369" t="n">
        <x:v>4</x:v>
      </x:c>
      <x:c r="H1369" t="n">
        <x:v>12</x:v>
      </x:c>
      <x:c r="I1369" t="str">
        <x:v>À qualifier par lieu</x:v>
      </x:c>
      <x:c r="J1369" t="str">
        <x:v>https://github.com/darknigthmare/deadwall-last-enclosure/blob/1b3b9c5ba232734b1bda3453b4e20a0481bcdd74/codex-3000/compositions/Secours et protection civile/DW-1364.md</x:v>
      </x:c>
      <x:c r="K1369" t="str">
        <x:v>Source min 24,18 m ; max 85,65 m ; modèle 25 × 18 m ; niveaux 0. Détails dans catalogue-existant.json.</x:v>
      </x:c>
    </x:row>
    <x:row r="1370">
      <x:c r="A1370" t="str">
        <x:v>DW-1365</x:v>
      </x:c>
      <x:c r="B1370" t="str">
        <x:v>DW-0183</x:v>
      </x:c>
      <x:c r="C1370" t="str">
        <x:v>Composition héritée</x:v>
      </x:c>
      <x:c r="D1370" t="str">
        <x:v>Secours et protection civile</x:v>
      </x:c>
      <x:c r="E1370" t="str">
        <x:v>Commissariat de quartier — Station-service et aire routière / réseau principal coupé</x:v>
      </x:c>
      <x:c r="F1370" t="n">
        <x:v>8</x:v>
      </x:c>
      <x:c r="G1370" t="n">
        <x:v>4</x:v>
      </x:c>
      <x:c r="H1370" t="n">
        <x:v>12</x:v>
      </x:c>
      <x:c r="I1370" t="str">
        <x:v>À qualifier par lieu</x:v>
      </x:c>
      <x:c r="J1370" t="str">
        <x:v>https://github.com/darknigthmare/deadwall-last-enclosure/blob/1b3b9c5ba232734b1bda3453b4e20a0481bcdd74/codex-3000/compositions/Secours et protection civile/DW-1365.md</x:v>
      </x:c>
      <x:c r="K1370" t="str">
        <x:v>Source min 24,18 m ; max 85,65 m ; modèle 25 × 18 m ; niveaux 0. Détails dans catalogue-existant.json.</x:v>
      </x:c>
    </x:row>
    <x:row r="1371">
      <x:c r="A1371" t="str">
        <x:v>DW-1366</x:v>
      </x:c>
      <x:c r="B1371" t="str">
        <x:v>DW-0183</x:v>
      </x:c>
      <x:c r="C1371" t="str">
        <x:v>Composition héritée</x:v>
      </x:c>
      <x:c r="D1371" t="str">
        <x:v>Secours et protection civile</x:v>
      </x:c>
      <x:c r="E1371" t="str">
        <x:v>Commissariat de quartier — Centre d’évacuation abandonné / arrêt de maintenance</x:v>
      </x:c>
      <x:c r="F1371" t="n">
        <x:v>8</x:v>
      </x:c>
      <x:c r="G1371" t="n">
        <x:v>4</x:v>
      </x:c>
      <x:c r="H1371" t="n">
        <x:v>12</x:v>
      </x:c>
      <x:c r="I1371" t="str">
        <x:v>À qualifier par lieu</x:v>
      </x:c>
      <x:c r="J1371" t="str">
        <x:v>https://github.com/darknigthmare/deadwall-last-enclosure/blob/1b3b9c5ba232734b1bda3453b4e20a0481bcdd74/codex-3000/compositions/Secours et protection civile/DW-1366.md</x:v>
      </x:c>
      <x:c r="K1371" t="str">
        <x:v>Source min 24,18 m ; max 85,65 m ; modèle 25 × 18 m ; niveaux 0. Détails dans catalogue-existant.json.</x:v>
      </x:c>
    </x:row>
    <x:row r="1372">
      <x:c r="A1372" t="str">
        <x:v>DW-1367</x:v>
      </x:c>
      <x:c r="B1372" t="str">
        <x:v>DW-0184</x:v>
      </x:c>
      <x:c r="C1372" t="str">
        <x:v>Composition héritée</x:v>
      </x:c>
      <x:c r="D1372" t="str">
        <x:v>Secours et protection civile</x:v>
      </x:c>
      <x:c r="E1372" t="str">
        <x:v>Poste de police rurale — Zone industrielle / repli organisé interrompu</x:v>
      </x:c>
      <x:c r="F1372" t="n">
        <x:v>8</x:v>
      </x:c>
      <x:c r="G1372" t="n">
        <x:v>4</x:v>
      </x:c>
      <x:c r="H1372" t="n">
        <x:v>12</x:v>
      </x:c>
      <x:c r="I1372" t="str">
        <x:v>À qualifier par lieu</x:v>
      </x:c>
      <x:c r="J1372" t="str">
        <x:v>https://github.com/darknigthmare/deadwall-last-enclosure/blob/1b3b9c5ba232734b1bda3453b4e20a0481bcdd74/codex-3000/compositions/Secours et protection civile/DW-1367.md</x:v>
      </x:c>
      <x:c r="K1372" t="str">
        <x:v>Source min 24,18 m ; max 85,65 m ; modèle 25 × 18 m ; niveaux 0. Détails dans catalogue-existant.json.</x:v>
      </x:c>
    </x:row>
    <x:row r="1373">
      <x:c r="A1373" t="str">
        <x:v>DW-1368</x:v>
      </x:c>
      <x:c r="B1373" t="str">
        <x:v>DW-0184</x:v>
      </x:c>
      <x:c r="C1373" t="str">
        <x:v>Composition héritée</x:v>
      </x:c>
      <x:c r="D1373" t="str">
        <x:v>Secours et protection civile</x:v>
      </x:c>
      <x:c r="E1373" t="str">
        <x:v>Poste de police rurale — Ville moyenne / première récupération passée</x:v>
      </x:c>
      <x:c r="F1373" t="n">
        <x:v>8</x:v>
      </x:c>
      <x:c r="G1373" t="n">
        <x:v>4</x:v>
      </x:c>
      <x:c r="H1373" t="n">
        <x:v>12</x:v>
      </x:c>
      <x:c r="I1373" t="str">
        <x:v>À qualifier par lieu</x:v>
      </x:c>
      <x:c r="J1373" t="str">
        <x:v>https://github.com/darknigthmare/deadwall-last-enclosure/blob/1b3b9c5ba232734b1bda3453b4e20a0481bcdd74/codex-3000/compositions/Secours et protection civile/DW-1368.md</x:v>
      </x:c>
      <x:c r="K1373" t="str">
        <x:v>Source min 24,18 m ; max 85,65 m ; modèle 25 × 18 m ; niveaux 0. Détails dans catalogue-existant.json.</x:v>
      </x:c>
    </x:row>
    <x:row r="1374">
      <x:c r="A1374" t="str">
        <x:v>DW-1369</x:v>
      </x:c>
      <x:c r="B1374" t="str">
        <x:v>DW-0185</x:v>
      </x:c>
      <x:c r="C1374" t="str">
        <x:v>Composition héritée</x:v>
      </x:c>
      <x:c r="D1374" t="str">
        <x:v>Secours et protection civile</x:v>
      </x:c>
      <x:c r="E1374" t="str">
        <x:v>Poste de surveillance de plage — Centre d’évacuation abandonné / évacuation interrompue</x:v>
      </x:c>
      <x:c r="F1374" t="n">
        <x:v>8</x:v>
      </x:c>
      <x:c r="G1374" t="n">
        <x:v>4</x:v>
      </x:c>
      <x:c r="H1374" t="n">
        <x:v>12</x:v>
      </x:c>
      <x:c r="I1374" t="str">
        <x:v>À qualifier par lieu</x:v>
      </x:c>
      <x:c r="J1374" t="str">
        <x:v>https://github.com/darknigthmare/deadwall-last-enclosure/blob/1b3b9c5ba232734b1bda3453b4e20a0481bcdd74/codex-3000/compositions/Secours et protection civile/DW-1369.md</x:v>
      </x:c>
      <x:c r="K1374" t="str">
        <x:v>Source min 24,18 m ; max 85,65 m ; modèle 25 × 18 m ; niveaux 0. Détails dans catalogue-existant.json.</x:v>
      </x:c>
    </x:row>
    <x:row r="1375">
      <x:c r="A1375" t="str">
        <x:v>DW-1370</x:v>
      </x:c>
      <x:c r="B1375" t="str">
        <x:v>DW-0185</x:v>
      </x:c>
      <x:c r="C1375" t="str">
        <x:v>Composition héritée</x:v>
      </x:c>
      <x:c r="D1375" t="str">
        <x:v>Secours et protection civile</x:v>
      </x:c>
      <x:c r="E1375" t="str">
        <x:v>Poste de surveillance de plage — Station-service et aire routière / service déplacé à l’arrière</x:v>
      </x:c>
      <x:c r="F1375" t="n">
        <x:v>8</x:v>
      </x:c>
      <x:c r="G1375" t="n">
        <x:v>4</x:v>
      </x:c>
      <x:c r="H1375" t="n">
        <x:v>12</x:v>
      </x:c>
      <x:c r="I1375" t="str">
        <x:v>À qualifier par lieu</x:v>
      </x:c>
      <x:c r="J1375" t="str">
        <x:v>https://github.com/darknigthmare/deadwall-last-enclosure/blob/1b3b9c5ba232734b1bda3453b4e20a0481bcdd74/codex-3000/compositions/Secours et protection civile/DW-1370.md</x:v>
      </x:c>
      <x:c r="K1375" t="str">
        <x:v>Source min 24,18 m ; max 85,65 m ; modèle 25 × 18 m ; niveaux 0. Détails dans catalogue-existant.json.</x:v>
      </x:c>
    </x:row>
    <x:row r="1376">
      <x:c r="A1376" t="str">
        <x:v>DW-1371</x:v>
      </x:c>
      <x:c r="B1376" t="str">
        <x:v>DW-0186</x:v>
      </x:c>
      <x:c r="C1376" t="str">
        <x:v>Composition héritée</x:v>
      </x:c>
      <x:c r="D1376" t="str">
        <x:v>Secours et protection civile</x:v>
      </x:c>
      <x:c r="E1376" t="str">
        <x:v>Base de sauvetage côtier — Ville moyenne / arrêt de maintenance</x:v>
      </x:c>
      <x:c r="F1376" t="n">
        <x:v>8</x:v>
      </x:c>
      <x:c r="G1376" t="n">
        <x:v>4</x:v>
      </x:c>
      <x:c r="H1376" t="n">
        <x:v>12</x:v>
      </x:c>
      <x:c r="I1376" t="str">
        <x:v>À qualifier par lieu</x:v>
      </x:c>
      <x:c r="J1376" t="str">
        <x:v>https://github.com/darknigthmare/deadwall-last-enclosure/blob/1b3b9c5ba232734b1bda3453b4e20a0481bcdd74/codex-3000/compositions/Secours et protection civile/DW-1371.md</x:v>
      </x:c>
      <x:c r="K1376" t="str">
        <x:v>Source min 24,18 m ; max 85,65 m ; modèle 25 × 18 m ; niveaux 0, 1, 2. Détails dans catalogue-existant.json.</x:v>
      </x:c>
    </x:row>
    <x:row r="1377">
      <x:c r="A1377" t="str">
        <x:v>DW-1372</x:v>
      </x:c>
      <x:c r="B1377" t="str">
        <x:v>DW-0186</x:v>
      </x:c>
      <x:c r="C1377" t="str">
        <x:v>Composition héritée</x:v>
      </x:c>
      <x:c r="D1377" t="str">
        <x:v>Secours et protection civile</x:v>
      </x:c>
      <x:c r="E1377" t="str">
        <x:v>Base de sauvetage côtier — Zone industrielle / reprise progressive de la végétation</x:v>
      </x:c>
      <x:c r="F1377" t="n">
        <x:v>8</x:v>
      </x:c>
      <x:c r="G1377" t="n">
        <x:v>4</x:v>
      </x:c>
      <x:c r="H1377" t="n">
        <x:v>12</x:v>
      </x:c>
      <x:c r="I1377" t="str">
        <x:v>À qualifier par lieu</x:v>
      </x:c>
      <x:c r="J1377" t="str">
        <x:v>https://github.com/darknigthmare/deadwall-last-enclosure/blob/1b3b9c5ba232734b1bda3453b4e20a0481bcdd74/codex-3000/compositions/Secours et protection civile/DW-1372.md</x:v>
      </x:c>
      <x:c r="K1377" t="str">
        <x:v>Source min 24,18 m ; max 85,65 m ; modèle 25 × 18 m ; niveaux 0, 1, 2. Détails dans catalogue-existant.json.</x:v>
      </x:c>
    </x:row>
    <x:row r="1378">
      <x:c r="A1378" t="str">
        <x:v>DW-1373</x:v>
      </x:c>
      <x:c r="B1378" t="str">
        <x:v>DW-0187</x:v>
      </x:c>
      <x:c r="C1378" t="str">
        <x:v>Composition héritée</x:v>
      </x:c>
      <x:c r="D1378" t="str">
        <x:v>Secours et protection civile</x:v>
      </x:c>
      <x:c r="E1378" t="str">
        <x:v>Centre de protection civile — Station-service et aire routière / première récupération passée</x:v>
      </x:c>
      <x:c r="F1378" t="n">
        <x:v>8</x:v>
      </x:c>
      <x:c r="G1378" t="n">
        <x:v>4</x:v>
      </x:c>
      <x:c r="H1378" t="n">
        <x:v>12</x:v>
      </x:c>
      <x:c r="I1378" t="str">
        <x:v>À qualifier par lieu</x:v>
      </x:c>
      <x:c r="J1378" t="str">
        <x:v>https://github.com/darknigthmare/deadwall-last-enclosure/blob/1b3b9c5ba232734b1bda3453b4e20a0481bcdd74/codex-3000/compositions/Secours et protection civile/DW-1373.md</x:v>
      </x:c>
      <x:c r="K1378" t="str">
        <x:v>Source min 24,18 m ; max 85,65 m ; modèle 25 × 18 m ; niveaux 0. Détails dans catalogue-existant.json.</x:v>
      </x:c>
    </x:row>
    <x:row r="1379">
      <x:c r="A1379" t="str">
        <x:v>DW-1374</x:v>
      </x:c>
      <x:c r="B1379" t="str">
        <x:v>DW-0187</x:v>
      </x:c>
      <x:c r="C1379" t="str">
        <x:v>Composition héritée</x:v>
      </x:c>
      <x:c r="D1379" t="str">
        <x:v>Secours et protection civile</x:v>
      </x:c>
      <x:c r="E1379" t="str">
        <x:v>Centre de protection civile — Centre d’évacuation abandonné / relais temporaire envisagé</x:v>
      </x:c>
      <x:c r="F1379" t="n">
        <x:v>8</x:v>
      </x:c>
      <x:c r="G1379" t="n">
        <x:v>4</x:v>
      </x:c>
      <x:c r="H1379" t="n">
        <x:v>12</x:v>
      </x:c>
      <x:c r="I1379" t="str">
        <x:v>À qualifier par lieu</x:v>
      </x:c>
      <x:c r="J1379" t="str">
        <x:v>https://github.com/darknigthmare/deadwall-last-enclosure/blob/1b3b9c5ba232734b1bda3453b4e20a0481bcdd74/codex-3000/compositions/Secours et protection civile/DW-1374.md</x:v>
      </x:c>
      <x:c r="K1379" t="str">
        <x:v>Source min 24,18 m ; max 85,65 m ; modèle 25 × 18 m ; niveaux 0. Détails dans catalogue-existant.json.</x:v>
      </x:c>
    </x:row>
    <x:row r="1380">
      <x:c r="A1380" t="str">
        <x:v>DW-1375</x:v>
      </x:c>
      <x:c r="B1380" t="str">
        <x:v>DW-0188</x:v>
      </x:c>
      <x:c r="C1380" t="str">
        <x:v>Composition héritée</x:v>
      </x:c>
      <x:c r="D1380" t="str">
        <x:v>Secours et protection civile</x:v>
      </x:c>
      <x:c r="E1380" t="str">
        <x:v>Poste médical de stade — Zone industrielle / service déplacé à l’arrière</x:v>
      </x:c>
      <x:c r="F1380" t="n">
        <x:v>8</x:v>
      </x:c>
      <x:c r="G1380" t="n">
        <x:v>4</x:v>
      </x:c>
      <x:c r="H1380" t="n">
        <x:v>12</x:v>
      </x:c>
      <x:c r="I1380" t="str">
        <x:v>À qualifier par lieu</x:v>
      </x:c>
      <x:c r="J1380" t="str">
        <x:v>https://github.com/darknigthmare/deadwall-last-enclosure/blob/1b3b9c5ba232734b1bda3453b4e20a0481bcdd74/codex-3000/compositions/Secours et protection civile/DW-1375.md</x:v>
      </x:c>
      <x:c r="K1380" t="str">
        <x:v>Source min 24,18 m ; max 85,65 m ; modèle 25 × 18 m ; niveaux 0. Détails dans catalogue-existant.json.</x:v>
      </x:c>
    </x:row>
    <x:row r="1381">
      <x:c r="A1381" t="str">
        <x:v>DW-1376</x:v>
      </x:c>
      <x:c r="B1381" t="str">
        <x:v>DW-0188</x:v>
      </x:c>
      <x:c r="C1381" t="str">
        <x:v>Composition héritée</x:v>
      </x:c>
      <x:c r="D1381" t="str">
        <x:v>Secours et protection civile</x:v>
      </x:c>
      <x:c r="E1381" t="str">
        <x:v>Poste médical de stade — Ville moyenne / réseau principal coupé</x:v>
      </x:c>
      <x:c r="F1381" t="n">
        <x:v>8</x:v>
      </x:c>
      <x:c r="G1381" t="n">
        <x:v>4</x:v>
      </x:c>
      <x:c r="H1381" t="n">
        <x:v>12</x:v>
      </x:c>
      <x:c r="I1381" t="str">
        <x:v>À qualifier par lieu</x:v>
      </x:c>
      <x:c r="J1381" t="str">
        <x:v>https://github.com/darknigthmare/deadwall-last-enclosure/blob/1b3b9c5ba232734b1bda3453b4e20a0481bcdd74/codex-3000/compositions/Secours et protection civile/DW-1376.md</x:v>
      </x:c>
      <x:c r="K1381" t="str">
        <x:v>Source min 24,18 m ; max 85,65 m ; modèle 25 × 18 m ; niveaux 0. Détails dans catalogue-existant.json.</x:v>
      </x:c>
    </x:row>
    <x:row r="1382">
      <x:c r="A1382" t="str">
        <x:v>DW-1377</x:v>
      </x:c>
      <x:c r="B1382" t="str">
        <x:v>DW-0189</x:v>
      </x:c>
      <x:c r="C1382" t="str">
        <x:v>Composition héritée</x:v>
      </x:c>
      <x:c r="D1382" t="str">
        <x:v>Secours et protection civile</x:v>
      </x:c>
      <x:c r="E1382" t="str">
        <x:v>Refuge d'urgence communal — Centre d’évacuation abandonné / reprise progressive de la végétation</x:v>
      </x:c>
      <x:c r="F1382" t="n">
        <x:v>8</x:v>
      </x:c>
      <x:c r="G1382" t="n">
        <x:v>5</x:v>
      </x:c>
      <x:c r="H1382" t="n">
        <x:v>15</x:v>
      </x:c>
      <x:c r="I1382" t="str">
        <x:v>À qualifier par lieu</x:v>
      </x:c>
      <x:c r="J1382" t="str">
        <x:v>https://github.com/darknigthmare/deadwall-last-enclosure/blob/1b3b9c5ba232734b1bda3453b4e20a0481bcdd74/codex-3000/compositions/Secours et protection civile/DW-1377.md</x:v>
      </x:c>
      <x:c r="K1382" t="str">
        <x:v>Source min 24,18 m ; max 85,65 m ; modèle 26 × 22 m ; niveaux 0. Détails dans catalogue-existant.json.</x:v>
      </x:c>
    </x:row>
    <x:row r="1383">
      <x:c r="A1383" t="str">
        <x:v>DW-1378</x:v>
      </x:c>
      <x:c r="B1383" t="str">
        <x:v>DW-0189</x:v>
      </x:c>
      <x:c r="C1383" t="str">
        <x:v>Composition héritée</x:v>
      </x:c>
      <x:c r="D1383" t="str">
        <x:v>Secours et protection civile</x:v>
      </x:c>
      <x:c r="E1383" t="str">
        <x:v>Refuge d'urgence communal — Station-service et aire routière / repli organisé interrompu</x:v>
      </x:c>
      <x:c r="F1383" t="n">
        <x:v>8</x:v>
      </x:c>
      <x:c r="G1383" t="n">
        <x:v>5</x:v>
      </x:c>
      <x:c r="H1383" t="n">
        <x:v>15</x:v>
      </x:c>
      <x:c r="I1383" t="str">
        <x:v>À qualifier par lieu</x:v>
      </x:c>
      <x:c r="J1383" t="str">
        <x:v>https://github.com/darknigthmare/deadwall-last-enclosure/blob/1b3b9c5ba232734b1bda3453b4e20a0481bcdd74/codex-3000/compositions/Secours et protection civile/DW-1378.md</x:v>
      </x:c>
      <x:c r="K1383" t="str">
        <x:v>Source min 24,18 m ; max 85,65 m ; modèle 26 × 22 m ; niveaux 0. Détails dans catalogue-existant.json.</x:v>
      </x:c>
    </x:row>
    <x:row r="1384">
      <x:c r="A1384" t="str">
        <x:v>DW-1379</x:v>
      </x:c>
      <x:c r="B1384" t="str">
        <x:v>DW-0190</x:v>
      </x:c>
      <x:c r="C1384" t="str">
        <x:v>Composition héritée</x:v>
      </x:c>
      <x:c r="D1384" t="str">
        <x:v>Secours et protection civile</x:v>
      </x:c>
      <x:c r="E1384" t="str">
        <x:v>Centre d'hébergement de crise — Ville moyenne / relais temporaire envisagé</x:v>
      </x:c>
      <x:c r="F1384" t="n">
        <x:v>8</x:v>
      </x:c>
      <x:c r="G1384" t="n">
        <x:v>4</x:v>
      </x:c>
      <x:c r="H1384" t="n">
        <x:v>12</x:v>
      </x:c>
      <x:c r="I1384" t="str">
        <x:v>À qualifier par lieu</x:v>
      </x:c>
      <x:c r="J1384" t="str">
        <x:v>https://github.com/darknigthmare/deadwall-last-enclosure/blob/1b3b9c5ba232734b1bda3453b4e20a0481bcdd74/codex-3000/compositions/Secours et protection civile/DW-1379.md</x:v>
      </x:c>
      <x:c r="K1384" t="str">
        <x:v>Source min 24,18 m ; max 85,65 m ; modèle 25 × 18 m ; niveaux 0. Détails dans catalogue-existant.json.</x:v>
      </x:c>
    </x:row>
    <x:row r="1385">
      <x:c r="A1385" t="str">
        <x:v>DW-1380</x:v>
      </x:c>
      <x:c r="B1385" t="str">
        <x:v>DW-0190</x:v>
      </x:c>
      <x:c r="C1385" t="str">
        <x:v>Composition héritée</x:v>
      </x:c>
      <x:c r="D1385" t="str">
        <x:v>Secours et protection civile</x:v>
      </x:c>
      <x:c r="E1385" t="str">
        <x:v>Centre d'hébergement de crise — Zone industrielle / évacuation interrompue</x:v>
      </x:c>
      <x:c r="F1385" t="n">
        <x:v>8</x:v>
      </x:c>
      <x:c r="G1385" t="n">
        <x:v>4</x:v>
      </x:c>
      <x:c r="H1385" t="n">
        <x:v>12</x:v>
      </x:c>
      <x:c r="I1385" t="str">
        <x:v>À qualifier par lieu</x:v>
      </x:c>
      <x:c r="J1385" t="str">
        <x:v>https://github.com/darknigthmare/deadwall-last-enclosure/blob/1b3b9c5ba232734b1bda3453b4e20a0481bcdd74/codex-3000/compositions/Secours et protection civile/DW-1380.md</x:v>
      </x:c>
      <x:c r="K1385" t="str">
        <x:v>Source min 24,18 m ; max 85,65 m ; modèle 25 × 18 m ; niveaux 0. Détails dans catalogue-existant.json.</x:v>
      </x:c>
    </x:row>
    <x:row r="1386">
      <x:c r="A1386" t="str">
        <x:v>DW-1381</x:v>
      </x:c>
      <x:c r="B1386" t="str">
        <x:v>DW-0191</x:v>
      </x:c>
      <x:c r="C1386" t="str">
        <x:v>Composition héritée</x:v>
      </x:c>
      <x:c r="D1386" t="str">
        <x:v>Secours et protection civile</x:v>
      </x:c>
      <x:c r="E1386" t="str">
        <x:v>Dépôt de secours — Station-service et aire routière / réseau principal coupé</x:v>
      </x:c>
      <x:c r="F1386" t="n">
        <x:v>8</x:v>
      </x:c>
      <x:c r="G1386" t="n">
        <x:v>4</x:v>
      </x:c>
      <x:c r="H1386" t="n">
        <x:v>12</x:v>
      </x:c>
      <x:c r="I1386" t="str">
        <x:v>À qualifier par lieu</x:v>
      </x:c>
      <x:c r="J1386" t="str">
        <x:v>https://github.com/darknigthmare/deadwall-last-enclosure/blob/1b3b9c5ba232734b1bda3453b4e20a0481bcdd74/codex-3000/compositions/Secours et protection civile/DW-1381.md</x:v>
      </x:c>
      <x:c r="K1386" t="str">
        <x:v>Source min 24,18 m ; max 85,65 m ; modèle 25 × 18 m ; niveaux 0. Détails dans catalogue-existant.json.</x:v>
      </x:c>
    </x:row>
    <x:row r="1387">
      <x:c r="A1387" t="str">
        <x:v>DW-1382</x:v>
      </x:c>
      <x:c r="B1387" t="str">
        <x:v>DW-0191</x:v>
      </x:c>
      <x:c r="C1387" t="str">
        <x:v>Composition héritée</x:v>
      </x:c>
      <x:c r="D1387" t="str">
        <x:v>Secours et protection civile</x:v>
      </x:c>
      <x:c r="E1387" t="str">
        <x:v>Dépôt de secours — Centre d’évacuation abandonné / arrêt de maintenance</x:v>
      </x:c>
      <x:c r="F1387" t="n">
        <x:v>8</x:v>
      </x:c>
      <x:c r="G1387" t="n">
        <x:v>4</x:v>
      </x:c>
      <x:c r="H1387" t="n">
        <x:v>12</x:v>
      </x:c>
      <x:c r="I1387" t="str">
        <x:v>À qualifier par lieu</x:v>
      </x:c>
      <x:c r="J1387" t="str">
        <x:v>https://github.com/darknigthmare/deadwall-last-enclosure/blob/1b3b9c5ba232734b1bda3453b4e20a0481bcdd74/codex-3000/compositions/Secours et protection civile/DW-1382.md</x:v>
      </x:c>
      <x:c r="K1387" t="str">
        <x:v>Source min 24,18 m ; max 85,65 m ; modèle 25 × 18 m ; niveaux 0. Détails dans catalogue-existant.json.</x:v>
      </x:c>
    </x:row>
    <x:row r="1388">
      <x:c r="A1388" t="str">
        <x:v>DW-1383</x:v>
      </x:c>
      <x:c r="B1388" t="str">
        <x:v>DW-0192</x:v>
      </x:c>
      <x:c r="C1388" t="str">
        <x:v>Composition héritée</x:v>
      </x:c>
      <x:c r="D1388" t="str">
        <x:v>Secours et protection civile</x:v>
      </x:c>
      <x:c r="E1388" t="str">
        <x:v>Atelier d'ambulances — Zone industrielle / repli organisé interrompu</x:v>
      </x:c>
      <x:c r="F1388" t="n">
        <x:v>8</x:v>
      </x:c>
      <x:c r="G1388" t="n">
        <x:v>4</x:v>
      </x:c>
      <x:c r="H1388" t="n">
        <x:v>12</x:v>
      </x:c>
      <x:c r="I1388" t="str">
        <x:v>À qualifier par lieu</x:v>
      </x:c>
      <x:c r="J1388" t="str">
        <x:v>https://github.com/darknigthmare/deadwall-last-enclosure/blob/1b3b9c5ba232734b1bda3453b4e20a0481bcdd74/codex-3000/compositions/Secours et protection civile/DW-1383.md</x:v>
      </x:c>
      <x:c r="K1388" t="str">
        <x:v>Source min 24,18 m ; max 85,65 m ; modèle 25 × 18 m ; niveaux 0. Détails dans catalogue-existant.json.</x:v>
      </x:c>
    </x:row>
    <x:row r="1389">
      <x:c r="A1389" t="str">
        <x:v>DW-1384</x:v>
      </x:c>
      <x:c r="B1389" t="str">
        <x:v>DW-0192</x:v>
      </x:c>
      <x:c r="C1389" t="str">
        <x:v>Composition héritée</x:v>
      </x:c>
      <x:c r="D1389" t="str">
        <x:v>Secours et protection civile</x:v>
      </x:c>
      <x:c r="E1389" t="str">
        <x:v>Atelier d'ambulances — Ville moyenne / première récupération passée</x:v>
      </x:c>
      <x:c r="F1389" t="n">
        <x:v>8</x:v>
      </x:c>
      <x:c r="G1389" t="n">
        <x:v>4</x:v>
      </x:c>
      <x:c r="H1389" t="n">
        <x:v>12</x:v>
      </x:c>
      <x:c r="I1389" t="str">
        <x:v>À qualifier par lieu</x:v>
      </x:c>
      <x:c r="J1389" t="str">
        <x:v>https://github.com/darknigthmare/deadwall-last-enclosure/blob/1b3b9c5ba232734b1bda3453b4e20a0481bcdd74/codex-3000/compositions/Secours et protection civile/DW-1384.md</x:v>
      </x:c>
      <x:c r="K1389" t="str">
        <x:v>Source min 24,18 m ; max 85,65 m ; modèle 25 × 18 m ; niveaux 0. Détails dans catalogue-existant.json.</x:v>
      </x:c>
    </x:row>
    <x:row r="1390">
      <x:c r="A1390" t="str">
        <x:v>DW-1385</x:v>
      </x:c>
      <x:c r="B1390" t="str">
        <x:v>DW-0193</x:v>
      </x:c>
      <x:c r="C1390" t="str">
        <x:v>Composition héritée</x:v>
      </x:c>
      <x:c r="D1390" t="str">
        <x:v>Secours et protection civile</x:v>
      </x:c>
      <x:c r="E1390" t="str">
        <x:v>Centre de gestion de crise — Centre d’évacuation abandonné / évacuation interrompue</x:v>
      </x:c>
      <x:c r="F1390" t="n">
        <x:v>8</x:v>
      </x:c>
      <x:c r="G1390" t="n">
        <x:v>4</x:v>
      </x:c>
      <x:c r="H1390" t="n">
        <x:v>12</x:v>
      </x:c>
      <x:c r="I1390" t="str">
        <x:v>À qualifier par lieu</x:v>
      </x:c>
      <x:c r="J1390" t="str">
        <x:v>https://github.com/darknigthmare/deadwall-last-enclosure/blob/1b3b9c5ba232734b1bda3453b4e20a0481bcdd74/codex-3000/compositions/Secours et protection civile/DW-1385.md</x:v>
      </x:c>
      <x:c r="K1390" t="str">
        <x:v>Source min 24,18 m ; max 85,65 m ; modèle 25 × 18 m ; niveaux 0. Détails dans catalogue-existant.json.</x:v>
      </x:c>
    </x:row>
    <x:row r="1391">
      <x:c r="A1391" t="str">
        <x:v>DW-1386</x:v>
      </x:c>
      <x:c r="B1391" t="str">
        <x:v>DW-0193</x:v>
      </x:c>
      <x:c r="C1391" t="str">
        <x:v>Composition héritée</x:v>
      </x:c>
      <x:c r="D1391" t="str">
        <x:v>Secours et protection civile</x:v>
      </x:c>
      <x:c r="E1391" t="str">
        <x:v>Centre de gestion de crise — Station-service et aire routière / service déplacé à l’arrière</x:v>
      </x:c>
      <x:c r="F1391" t="n">
        <x:v>8</x:v>
      </x:c>
      <x:c r="G1391" t="n">
        <x:v>4</x:v>
      </x:c>
      <x:c r="H1391" t="n">
        <x:v>12</x:v>
      </x:c>
      <x:c r="I1391" t="str">
        <x:v>À qualifier par lieu</x:v>
      </x:c>
      <x:c r="J1391" t="str">
        <x:v>https://github.com/darknigthmare/deadwall-last-enclosure/blob/1b3b9c5ba232734b1bda3453b4e20a0481bcdd74/codex-3000/compositions/Secours et protection civile/DW-1386.md</x:v>
      </x:c>
      <x:c r="K1391" t="str">
        <x:v>Source min 24,18 m ; max 85,65 m ; modèle 25 × 18 m ; niveaux 0. Détails dans catalogue-existant.json.</x:v>
      </x:c>
    </x:row>
    <x:row r="1392">
      <x:c r="A1392" t="str">
        <x:v>DW-1387</x:v>
      </x:c>
      <x:c r="B1392" t="str">
        <x:v>DW-0194</x:v>
      </x:c>
      <x:c r="C1392" t="str">
        <x:v>Composition héritée</x:v>
      </x:c>
      <x:c r="D1392" t="str">
        <x:v>Secours et protection civile</x:v>
      </x:c>
      <x:c r="E1392" t="str">
        <x:v>Poste de secours autoroutier — Ville moyenne / arrêt de maintenance</x:v>
      </x:c>
      <x:c r="F1392" t="n">
        <x:v>8</x:v>
      </x:c>
      <x:c r="G1392" t="n">
        <x:v>4</x:v>
      </x:c>
      <x:c r="H1392" t="n">
        <x:v>12</x:v>
      </x:c>
      <x:c r="I1392" t="str">
        <x:v>À qualifier par lieu</x:v>
      </x:c>
      <x:c r="J1392" t="str">
        <x:v>https://github.com/darknigthmare/deadwall-last-enclosure/blob/1b3b9c5ba232734b1bda3453b4e20a0481bcdd74/codex-3000/compositions/Secours et protection civile/DW-1387.md</x:v>
      </x:c>
      <x:c r="K1392" t="str">
        <x:v>Source min 24,18 m ; max 85,65 m ; modèle 25 × 18 m ; niveaux 0. Détails dans catalogue-existant.json.</x:v>
      </x:c>
    </x:row>
    <x:row r="1393">
      <x:c r="A1393" t="str">
        <x:v>DW-1388</x:v>
      </x:c>
      <x:c r="B1393" t="str">
        <x:v>DW-0194</x:v>
      </x:c>
      <x:c r="C1393" t="str">
        <x:v>Composition héritée</x:v>
      </x:c>
      <x:c r="D1393" t="str">
        <x:v>Secours et protection civile</x:v>
      </x:c>
      <x:c r="E1393" t="str">
        <x:v>Poste de secours autoroutier — Zone industrielle / reprise progressive de la végétation</x:v>
      </x:c>
      <x:c r="F1393" t="n">
        <x:v>8</x:v>
      </x:c>
      <x:c r="G1393" t="n">
        <x:v>4</x:v>
      </x:c>
      <x:c r="H1393" t="n">
        <x:v>12</x:v>
      </x:c>
      <x:c r="I1393" t="str">
        <x:v>À qualifier par lieu</x:v>
      </x:c>
      <x:c r="J1393" t="str">
        <x:v>https://github.com/darknigthmare/deadwall-last-enclosure/blob/1b3b9c5ba232734b1bda3453b4e20a0481bcdd74/codex-3000/compositions/Secours et protection civile/DW-1388.md</x:v>
      </x:c>
      <x:c r="K1393" t="str">
        <x:v>Source min 24,18 m ; max 85,65 m ; modèle 25 × 18 m ; niveaux 0. Détails dans catalogue-existant.json.</x:v>
      </x:c>
    </x:row>
    <x:row r="1394">
      <x:c r="A1394" t="str">
        <x:v>DW-1389</x:v>
      </x:c>
      <x:c r="B1394" t="str">
        <x:v>DW-0195</x:v>
      </x:c>
      <x:c r="C1394" t="str">
        <x:v>Composition héritée</x:v>
      </x:c>
      <x:c r="D1394" t="str">
        <x:v>Secours et protection civile</x:v>
      </x:c>
      <x:c r="E1394" t="str">
        <x:v>Tour de guet forestière — Station-service et aire routière / première récupération passée</x:v>
      </x:c>
      <x:c r="F1394" t="n">
        <x:v>8</x:v>
      </x:c>
      <x:c r="G1394" t="n">
        <x:v>4</x:v>
      </x:c>
      <x:c r="H1394" t="n">
        <x:v>10</x:v>
      </x:c>
      <x:c r="I1394" t="str">
        <x:v>À qualifier par lieu</x:v>
      </x:c>
      <x:c r="J1394" t="str">
        <x:v>https://github.com/darknigthmare/deadwall-last-enclosure/blob/1b3b9c5ba232734b1bda3453b4e20a0481bcdd74/codex-3000/compositions/Secours et protection civile/DW-1389.md</x:v>
      </x:c>
      <x:c r="K1394" t="str">
        <x:v>Source min 24,18 m ; max 85,65 m ; modèle 25 × 18 m ; niveaux 0. Détails dans catalogue-existant.json.</x:v>
      </x:c>
    </x:row>
    <x:row r="1395">
      <x:c r="A1395" t="str">
        <x:v>DW-1390</x:v>
      </x:c>
      <x:c r="B1395" t="str">
        <x:v>DW-0195</x:v>
      </x:c>
      <x:c r="C1395" t="str">
        <x:v>Composition héritée</x:v>
      </x:c>
      <x:c r="D1395" t="str">
        <x:v>Secours et protection civile</x:v>
      </x:c>
      <x:c r="E1395" t="str">
        <x:v>Tour de guet forestière — Centre d’évacuation abandonné / relais temporaire envisagé</x:v>
      </x:c>
      <x:c r="F1395" t="n">
        <x:v>8</x:v>
      </x:c>
      <x:c r="G1395" t="n">
        <x:v>4</x:v>
      </x:c>
      <x:c r="H1395" t="n">
        <x:v>10</x:v>
      </x:c>
      <x:c r="I1395" t="str">
        <x:v>À qualifier par lieu</x:v>
      </x:c>
      <x:c r="J1395" t="str">
        <x:v>https://github.com/darknigthmare/deadwall-last-enclosure/blob/1b3b9c5ba232734b1bda3453b4e20a0481bcdd74/codex-3000/compositions/Secours et protection civile/DW-1390.md</x:v>
      </x:c>
      <x:c r="K1395" t="str">
        <x:v>Source min 24,18 m ; max 85,65 m ; modèle 25 × 18 m ; niveaux 0. Détails dans catalogue-existant.json.</x:v>
      </x:c>
    </x:row>
    <x:row r="1396">
      <x:c r="A1396" t="str">
        <x:v>DW-1391</x:v>
      </x:c>
      <x:c r="B1396" t="str">
        <x:v>DW-0196</x:v>
      </x:c>
      <x:c r="C1396" t="str">
        <x:v>Composition héritée</x:v>
      </x:c>
      <x:c r="D1396" t="str">
        <x:v>Secours et protection civile</x:v>
      </x:c>
      <x:c r="E1396" t="str">
        <x:v>Centre de gardes forestiers — Zone industrielle / service déplacé à l’arrière</x:v>
      </x:c>
      <x:c r="F1396" t="n">
        <x:v>8</x:v>
      </x:c>
      <x:c r="G1396" t="n">
        <x:v>4</x:v>
      </x:c>
      <x:c r="H1396" t="n">
        <x:v>12</x:v>
      </x:c>
      <x:c r="I1396" t="str">
        <x:v>À qualifier par lieu</x:v>
      </x:c>
      <x:c r="J1396" t="str">
        <x:v>https://github.com/darknigthmare/deadwall-last-enclosure/blob/1b3b9c5ba232734b1bda3453b4e20a0481bcdd74/codex-3000/compositions/Secours et protection civile/DW-1391.md</x:v>
      </x:c>
      <x:c r="K1396" t="str">
        <x:v>Source min 24,18 m ; max 85,65 m ; modèle 25 × 18 m ; niveaux 0. Détails dans catalogue-existant.json.</x:v>
      </x:c>
    </x:row>
    <x:row r="1397">
      <x:c r="A1397" t="str">
        <x:v>DW-1392</x:v>
      </x:c>
      <x:c r="B1397" t="str">
        <x:v>DW-0196</x:v>
      </x:c>
      <x:c r="C1397" t="str">
        <x:v>Composition héritée</x:v>
      </x:c>
      <x:c r="D1397" t="str">
        <x:v>Secours et protection civile</x:v>
      </x:c>
      <x:c r="E1397" t="str">
        <x:v>Centre de gardes forestiers — Ville moyenne / réseau principal coupé</x:v>
      </x:c>
      <x:c r="F1397" t="n">
        <x:v>8</x:v>
      </x:c>
      <x:c r="G1397" t="n">
        <x:v>4</x:v>
      </x:c>
      <x:c r="H1397" t="n">
        <x:v>12</x:v>
      </x:c>
      <x:c r="I1397" t="str">
        <x:v>À qualifier par lieu</x:v>
      </x:c>
      <x:c r="J1397" t="str">
        <x:v>https://github.com/darknigthmare/deadwall-last-enclosure/blob/1b3b9c5ba232734b1bda3453b4e20a0481bcdd74/codex-3000/compositions/Secours et protection civile/DW-1392.md</x:v>
      </x:c>
      <x:c r="K1397" t="str">
        <x:v>Source min 24,18 m ; max 85,65 m ; modèle 25 × 18 m ; niveaux 0. Détails dans catalogue-existant.json.</x:v>
      </x:c>
    </x:row>
    <x:row r="1398">
      <x:c r="A1398" t="str">
        <x:v>DW-1393</x:v>
      </x:c>
      <x:c r="B1398" t="str">
        <x:v>DW-0197</x:v>
      </x:c>
      <x:c r="C1398" t="str">
        <x:v>Composition héritée</x:v>
      </x:c>
      <x:c r="D1398" t="str">
        <x:v>Secours et protection civile</x:v>
      </x:c>
      <x:c r="E1398" t="str">
        <x:v>Chenil de secours — Centre d’évacuation abandonné / reprise progressive de la végétation</x:v>
      </x:c>
      <x:c r="F1398" t="n">
        <x:v>8</x:v>
      </x:c>
      <x:c r="G1398" t="n">
        <x:v>4</x:v>
      </x:c>
      <x:c r="H1398" t="n">
        <x:v>12</x:v>
      </x:c>
      <x:c r="I1398" t="str">
        <x:v>À qualifier par lieu</x:v>
      </x:c>
      <x:c r="J1398" t="str">
        <x:v>https://github.com/darknigthmare/deadwall-last-enclosure/blob/1b3b9c5ba232734b1bda3453b4e20a0481bcdd74/codex-3000/compositions/Secours et protection civile/DW-1393.md</x:v>
      </x:c>
      <x:c r="K1398" t="str">
        <x:v>Source min 24,18 m ; max 85,65 m ; modèle 25 × 18 m ; niveaux 0. Détails dans catalogue-existant.json.</x:v>
      </x:c>
    </x:row>
    <x:row r="1399">
      <x:c r="A1399" t="str">
        <x:v>DW-1394</x:v>
      </x:c>
      <x:c r="B1399" t="str">
        <x:v>DW-0197</x:v>
      </x:c>
      <x:c r="C1399" t="str">
        <x:v>Composition héritée</x:v>
      </x:c>
      <x:c r="D1399" t="str">
        <x:v>Secours et protection civile</x:v>
      </x:c>
      <x:c r="E1399" t="str">
        <x:v>Chenil de secours — Station-service et aire routière / repli organisé interrompu</x:v>
      </x:c>
      <x:c r="F1399" t="n">
        <x:v>8</x:v>
      </x:c>
      <x:c r="G1399" t="n">
        <x:v>4</x:v>
      </x:c>
      <x:c r="H1399" t="n">
        <x:v>12</x:v>
      </x:c>
      <x:c r="I1399" t="str">
        <x:v>À qualifier par lieu</x:v>
      </x:c>
      <x:c r="J1399" t="str">
        <x:v>https://github.com/darknigthmare/deadwall-last-enclosure/blob/1b3b9c5ba232734b1bda3453b4e20a0481bcdd74/codex-3000/compositions/Secours et protection civile/DW-1394.md</x:v>
      </x:c>
      <x:c r="K1399" t="str">
        <x:v>Source min 24,18 m ; max 85,65 m ; modèle 25 × 18 m ; niveaux 0. Détails dans catalogue-existant.json.</x:v>
      </x:c>
    </x:row>
    <x:row r="1400">
      <x:c r="A1400" t="str">
        <x:v>DW-1395</x:v>
      </x:c>
      <x:c r="B1400" t="str">
        <x:v>DW-0198</x:v>
      </x:c>
      <x:c r="C1400" t="str">
        <x:v>Composition héritée</x:v>
      </x:c>
      <x:c r="D1400" t="str">
        <x:v>Secours et protection civile</x:v>
      </x:c>
      <x:c r="E1400" t="str">
        <x:v>Poste de secours de montagne — Ville moyenne / relais temporaire envisagé</x:v>
      </x:c>
      <x:c r="F1400" t="n">
        <x:v>8</x:v>
      </x:c>
      <x:c r="G1400" t="n">
        <x:v>4</x:v>
      </x:c>
      <x:c r="H1400" t="n">
        <x:v>12</x:v>
      </x:c>
      <x:c r="I1400" t="str">
        <x:v>À qualifier par lieu</x:v>
      </x:c>
      <x:c r="J1400" t="str">
        <x:v>https://github.com/darknigthmare/deadwall-last-enclosure/blob/1b3b9c5ba232734b1bda3453b4e20a0481bcdd74/codex-3000/compositions/Secours et protection civile/DW-1395.md</x:v>
      </x:c>
      <x:c r="K1400" t="str">
        <x:v>Source min 24,18 m ; max 85,65 m ; modèle 25 × 18 m ; niveaux 0. Détails dans catalogue-existant.json.</x:v>
      </x:c>
    </x:row>
    <x:row r="1401">
      <x:c r="A1401" t="str">
        <x:v>DW-1396</x:v>
      </x:c>
      <x:c r="B1401" t="str">
        <x:v>DW-0198</x:v>
      </x:c>
      <x:c r="C1401" t="str">
        <x:v>Composition héritée</x:v>
      </x:c>
      <x:c r="D1401" t="str">
        <x:v>Secours et protection civile</x:v>
      </x:c>
      <x:c r="E1401" t="str">
        <x:v>Poste de secours de montagne — Zone industrielle / évacuation interrompue</x:v>
      </x:c>
      <x:c r="F1401" t="n">
        <x:v>8</x:v>
      </x:c>
      <x:c r="G1401" t="n">
        <x:v>4</x:v>
      </x:c>
      <x:c r="H1401" t="n">
        <x:v>12</x:v>
      </x:c>
      <x:c r="I1401" t="str">
        <x:v>À qualifier par lieu</x:v>
      </x:c>
      <x:c r="J1401" t="str">
        <x:v>https://github.com/darknigthmare/deadwall-last-enclosure/blob/1b3b9c5ba232734b1bda3453b4e20a0481bcdd74/codex-3000/compositions/Secours et protection civile/DW-1396.md</x:v>
      </x:c>
      <x:c r="K1401" t="str">
        <x:v>Source min 24,18 m ; max 85,65 m ; modèle 25 × 18 m ; niveaux 0. Détails dans catalogue-existant.json.</x:v>
      </x:c>
    </x:row>
    <x:row r="1402">
      <x:c r="A1402" t="str">
        <x:v>DW-1397</x:v>
      </x:c>
      <x:c r="B1402" t="str">
        <x:v>DW-0199</x:v>
      </x:c>
      <x:c r="C1402" t="str">
        <x:v>Composition héritée</x:v>
      </x:c>
      <x:c r="D1402" t="str">
        <x:v>Secours et protection civile</x:v>
      </x:c>
      <x:c r="E1402" t="str">
        <x:v>Plateforme de secours aérien — Station-service et aire routière / réseau principal coupé</x:v>
      </x:c>
      <x:c r="F1402" t="n">
        <x:v>8</x:v>
      </x:c>
      <x:c r="G1402" t="n">
        <x:v>4</x:v>
      </x:c>
      <x:c r="H1402" t="n">
        <x:v>12</x:v>
      </x:c>
      <x:c r="I1402" t="str">
        <x:v>À qualifier par lieu</x:v>
      </x:c>
      <x:c r="J1402" t="str">
        <x:v>https://github.com/darknigthmare/deadwall-last-enclosure/blob/1b3b9c5ba232734b1bda3453b4e20a0481bcdd74/codex-3000/compositions/Secours et protection civile/DW-1397.md</x:v>
      </x:c>
      <x:c r="K1402" t="str">
        <x:v>Source min 24,18 m ; max 85,65 m ; modèle 25 × 18 m ; niveaux 0. Détails dans catalogue-existant.json.</x:v>
      </x:c>
    </x:row>
    <x:row r="1403">
      <x:c r="A1403" t="str">
        <x:v>DW-1398</x:v>
      </x:c>
      <x:c r="B1403" t="str">
        <x:v>DW-0199</x:v>
      </x:c>
      <x:c r="C1403" t="str">
        <x:v>Composition héritée</x:v>
      </x:c>
      <x:c r="D1403" t="str">
        <x:v>Secours et protection civile</x:v>
      </x:c>
      <x:c r="E1403" t="str">
        <x:v>Plateforme de secours aérien — Centre d’évacuation abandonné / arrêt de maintenance</x:v>
      </x:c>
      <x:c r="F1403" t="n">
        <x:v>8</x:v>
      </x:c>
      <x:c r="G1403" t="n">
        <x:v>4</x:v>
      </x:c>
      <x:c r="H1403" t="n">
        <x:v>12</x:v>
      </x:c>
      <x:c r="I1403" t="str">
        <x:v>À qualifier par lieu</x:v>
      </x:c>
      <x:c r="J1403" t="str">
        <x:v>https://github.com/darknigthmare/deadwall-last-enclosure/blob/1b3b9c5ba232734b1bda3453b4e20a0481bcdd74/codex-3000/compositions/Secours et protection civile/DW-1398.md</x:v>
      </x:c>
      <x:c r="K1403" t="str">
        <x:v>Source min 24,18 m ; max 85,65 m ; modèle 25 × 18 m ; niveaux 0. Détails dans catalogue-existant.json.</x:v>
      </x:c>
    </x:row>
    <x:row r="1404">
      <x:c r="A1404" t="str">
        <x:v>DW-1399</x:v>
      </x:c>
      <x:c r="B1404" t="str">
        <x:v>DW-0200</x:v>
      </x:c>
      <x:c r="C1404" t="str">
        <x:v>Composition héritée</x:v>
      </x:c>
      <x:c r="D1404" t="str">
        <x:v>Secours et protection civile</x:v>
      </x:c>
      <x:c r="E1404" t="str">
        <x:v>Point de distribution d'eau d'urgence — Zone industrielle / repli organisé interrompu</x:v>
      </x:c>
      <x:c r="F1404" t="n">
        <x:v>8</x:v>
      </x:c>
      <x:c r="G1404" t="n">
        <x:v>4</x:v>
      </x:c>
      <x:c r="H1404" t="n">
        <x:v>12</x:v>
      </x:c>
      <x:c r="I1404" t="str">
        <x:v>À qualifier par lieu</x:v>
      </x:c>
      <x:c r="J1404" t="str">
        <x:v>https://github.com/darknigthmare/deadwall-last-enclosure/blob/1b3b9c5ba232734b1bda3453b4e20a0481bcdd74/codex-3000/compositions/Secours et protection civile/DW-1399.md</x:v>
      </x:c>
      <x:c r="K1404" t="str">
        <x:v>Source min 24,18 m ; max 85,65 m ; modèle 25 × 18 m ; niveaux 0. Détails dans catalogue-existant.json.</x:v>
      </x:c>
    </x:row>
    <x:row r="1405">
      <x:c r="A1405" t="str">
        <x:v>DW-1400</x:v>
      </x:c>
      <x:c r="B1405" t="str">
        <x:v>DW-0200</x:v>
      </x:c>
      <x:c r="C1405" t="str">
        <x:v>Composition héritée</x:v>
      </x:c>
      <x:c r="D1405" t="str">
        <x:v>Secours et protection civile</x:v>
      </x:c>
      <x:c r="E1405" t="str">
        <x:v>Point de distribution d'eau d'urgence — Ville moyenne / première récupération passée</x:v>
      </x:c>
      <x:c r="F1405" t="n">
        <x:v>8</x:v>
      </x:c>
      <x:c r="G1405" t="n">
        <x:v>4</x:v>
      </x:c>
      <x:c r="H1405" t="n">
        <x:v>12</x:v>
      </x:c>
      <x:c r="I1405" t="str">
        <x:v>À qualifier par lieu</x:v>
      </x:c>
      <x:c r="J1405" t="str">
        <x:v>https://github.com/darknigthmare/deadwall-last-enclosure/blob/1b3b9c5ba232734b1bda3453b4e20a0481bcdd74/codex-3000/compositions/Secours et protection civile/DW-1400.md</x:v>
      </x:c>
      <x:c r="K1405" t="str">
        <x:v>Source min 24,18 m ; max 85,65 m ; modèle 25 × 18 m ; niveaux 0. Détails dans catalogue-existant.json.</x:v>
      </x:c>
    </x:row>
    <x:row r="1406">
      <x:c r="A1406" t="str">
        <x:v>DW-1401</x:v>
      </x:c>
      <x:c r="B1406" t="str">
        <x:v>DW-0201</x:v>
      </x:c>
      <x:c r="C1406" t="str">
        <x:v>Composition héritée</x:v>
      </x:c>
      <x:c r="D1406" t="str">
        <x:v>Abris et souterrains</x:v>
      </x:c>
      <x:c r="E1406" t="str">
        <x:v>Abri communal souterrain — Ville moyenne / évacuation interrompue</x:v>
      </x:c>
      <x:c r="F1406" t="n">
        <x:v>8</x:v>
      </x:c>
      <x:c r="G1406" t="n">
        <x:v>5</x:v>
      </x:c>
      <x:c r="H1406" t="n">
        <x:v>13</x:v>
      </x:c>
      <x:c r="I1406" t="str">
        <x:v>À qualifier par lieu</x:v>
      </x:c>
      <x:c r="J1406" t="str">
        <x:v>https://github.com/darknigthmare/deadwall-last-enclosure/blob/1b3b9c5ba232734b1bda3453b4e20a0481bcdd74/codex-3000/compositions/Abris et souterrains/DW-1401.md</x:v>
      </x:c>
      <x:c r="K1406" t="str">
        <x:v>Source min 16,12 m ; max 95,70 m ; modèle 26 × 22 m ; niveaux -1, 0. Détails dans catalogue-existant.json.</x:v>
      </x:c>
    </x:row>
    <x:row r="1407">
      <x:c r="A1407" t="str">
        <x:v>DW-1402</x:v>
      </x:c>
      <x:c r="B1407" t="str">
        <x:v>DW-0201</x:v>
      </x:c>
      <x:c r="C1407" t="str">
        <x:v>Composition héritée</x:v>
      </x:c>
      <x:c r="D1407" t="str">
        <x:v>Abris et souterrains</x:v>
      </x:c>
      <x:c r="E1407" t="str">
        <x:v>Abri communal souterrain — Montagne et col / service déplacé à l’arrière</x:v>
      </x:c>
      <x:c r="F1407" t="n">
        <x:v>10</x:v>
      </x:c>
      <x:c r="G1407" t="n">
        <x:v>5</x:v>
      </x:c>
      <x:c r="H1407" t="n">
        <x:v>13</x:v>
      </x:c>
      <x:c r="I1407" t="str">
        <x:v>À qualifier par lieu</x:v>
      </x:c>
      <x:c r="J1407" t="str">
        <x:v>https://github.com/darknigthmare/deadwall-last-enclosure/blob/1b3b9c5ba232734b1bda3453b4e20a0481bcdd74/codex-3000/compositions/Abris et souterrains/DW-1402.md</x:v>
      </x:c>
      <x:c r="K1407" t="str">
        <x:v>Source min 16,12 m ; max 95,70 m ; modèle 26 × 22 m ; niveaux -1, 0. Détails dans catalogue-existant.json.</x:v>
      </x:c>
    </x:row>
    <x:row r="1408">
      <x:c r="A1408" t="str">
        <x:v>DW-1403</x:v>
      </x:c>
      <x:c r="B1408" t="str">
        <x:v>DW-0202</x:v>
      </x:c>
      <x:c r="C1408" t="str">
        <x:v>Composition héritée</x:v>
      </x:c>
      <x:c r="D1408" t="str">
        <x:v>Abris et souterrains</x:v>
      </x:c>
      <x:c r="E1408" t="str">
        <x:v>Abri domestique — Grand camp allié / arrêt de maintenance</x:v>
      </x:c>
      <x:c r="F1408" t="n">
        <x:v>10</x:v>
      </x:c>
      <x:c r="G1408" t="n">
        <x:v>4</x:v>
      </x:c>
      <x:c r="H1408" t="n">
        <x:v>10</x:v>
      </x:c>
      <x:c r="I1408" t="str">
        <x:v>À qualifier par lieu</x:v>
      </x:c>
      <x:c r="J1408" t="str">
        <x:v>https://github.com/darknigthmare/deadwall-last-enclosure/blob/1b3b9c5ba232734b1bda3453b4e20a0481bcdd74/codex-3000/compositions/Abris et souterrains/DW-1403.md</x:v>
      </x:c>
      <x:c r="K1408" t="str">
        <x:v>Source min 16,12 m ; max 95,70 m ; modèle 25 × 18 m ; niveaux 0. Détails dans catalogue-existant.json.</x:v>
      </x:c>
    </x:row>
    <x:row r="1409">
      <x:c r="A1409" t="str">
        <x:v>DW-1404</x:v>
      </x:c>
      <x:c r="B1409" t="str">
        <x:v>DW-0202</x:v>
      </x:c>
      <x:c r="C1409" t="str">
        <x:v>Composition héritée</x:v>
      </x:c>
      <x:c r="D1409" t="str">
        <x:v>Abris et souterrains</x:v>
      </x:c>
      <x:c r="E1409" t="str">
        <x:v>Abri domestique — Zone industrielle / reprise progressive de la végétation</x:v>
      </x:c>
      <x:c r="F1409" t="n">
        <x:v>8</x:v>
      </x:c>
      <x:c r="G1409" t="n">
        <x:v>4</x:v>
      </x:c>
      <x:c r="H1409" t="n">
        <x:v>10</x:v>
      </x:c>
      <x:c r="I1409" t="str">
        <x:v>À qualifier par lieu</x:v>
      </x:c>
      <x:c r="J1409" t="str">
        <x:v>https://github.com/darknigthmare/deadwall-last-enclosure/blob/1b3b9c5ba232734b1bda3453b4e20a0481bcdd74/codex-3000/compositions/Abris et souterrains/DW-1404.md</x:v>
      </x:c>
      <x:c r="K1409" t="str">
        <x:v>Source min 16,12 m ; max 95,70 m ; modèle 25 × 18 m ; niveaux 0. Détails dans catalogue-existant.json.</x:v>
      </x:c>
    </x:row>
    <x:row r="1410">
      <x:c r="A1410" t="str">
        <x:v>DW-1405</x:v>
      </x:c>
      <x:c r="B1410" t="str">
        <x:v>DW-0203</x:v>
      </x:c>
      <x:c r="C1410" t="str">
        <x:v>Composition héritée</x:v>
      </x:c>
      <x:c r="D1410" t="str">
        <x:v>Abris et souterrains</x:v>
      </x:c>
      <x:c r="E1410" t="str">
        <x:v>Bunker de commandement fictif — Montagne et col / première récupération passée</x:v>
      </x:c>
      <x:c r="F1410" t="n">
        <x:v>10</x:v>
      </x:c>
      <x:c r="G1410" t="n">
        <x:v>5</x:v>
      </x:c>
      <x:c r="H1410" t="n">
        <x:v>15</x:v>
      </x:c>
      <x:c r="I1410" t="str">
        <x:v>À qualifier par lieu</x:v>
      </x:c>
      <x:c r="J1410" t="str">
        <x:v>https://github.com/darknigthmare/deadwall-last-enclosure/blob/1b3b9c5ba232734b1bda3453b4e20a0481bcdd74/codex-3000/compositions/Abris et souterrains/DW-1405.md</x:v>
      </x:c>
      <x:c r="K1410" t="str">
        <x:v>Source min 16,12 m ; max 95,70 m ; modèle 26 × 22 m ; niveaux -1, 0. Détails dans catalogue-existant.json.</x:v>
      </x:c>
    </x:row>
    <x:row r="1411">
      <x:c r="A1411" t="str">
        <x:v>DW-1406</x:v>
      </x:c>
      <x:c r="B1411" t="str">
        <x:v>DW-0203</x:v>
      </x:c>
      <x:c r="C1411" t="str">
        <x:v>Composition héritée</x:v>
      </x:c>
      <x:c r="D1411" t="str">
        <x:v>Abris et souterrains</x:v>
      </x:c>
      <x:c r="E1411" t="str">
        <x:v>Bunker de commandement fictif — Ville moyenne / relais temporaire envisagé</x:v>
      </x:c>
      <x:c r="F1411" t="n">
        <x:v>8</x:v>
      </x:c>
      <x:c r="G1411" t="n">
        <x:v>5</x:v>
      </x:c>
      <x:c r="H1411" t="n">
        <x:v>15</x:v>
      </x:c>
      <x:c r="I1411" t="str">
        <x:v>À qualifier par lieu</x:v>
      </x:c>
      <x:c r="J1411" t="str">
        <x:v>https://github.com/darknigthmare/deadwall-last-enclosure/blob/1b3b9c5ba232734b1bda3453b4e20a0481bcdd74/codex-3000/compositions/Abris et souterrains/DW-1406.md</x:v>
      </x:c>
      <x:c r="K1411" t="str">
        <x:v>Source min 16,12 m ; max 95,70 m ; modèle 26 × 22 m ; niveaux -1, 0. Détails dans catalogue-existant.json.</x:v>
      </x:c>
    </x:row>
    <x:row r="1412">
      <x:c r="A1412" t="str">
        <x:v>DW-1407</x:v>
      </x:c>
      <x:c r="B1412" t="str">
        <x:v>DW-0204</x:v>
      </x:c>
      <x:c r="C1412" t="str">
        <x:v>Composition héritée</x:v>
      </x:c>
      <x:c r="D1412" t="str">
        <x:v>Abris et souterrains</x:v>
      </x:c>
      <x:c r="E1412" t="str">
        <x:v>Dépôt enterré fictif — Zone industrielle / service déplacé à l’arrière</x:v>
      </x:c>
      <x:c r="F1412" t="n">
        <x:v>8</x:v>
      </x:c>
      <x:c r="G1412" t="n">
        <x:v>4</x:v>
      </x:c>
      <x:c r="H1412" t="n">
        <x:v>10</x:v>
      </x:c>
      <x:c r="I1412" t="str">
        <x:v>À qualifier par lieu</x:v>
      </x:c>
      <x:c r="J1412" t="str">
        <x:v>https://github.com/darknigthmare/deadwall-last-enclosure/blob/1b3b9c5ba232734b1bda3453b4e20a0481bcdd74/codex-3000/compositions/Abris et souterrains/DW-1407.md</x:v>
      </x:c>
      <x:c r="K1412" t="str">
        <x:v>Source min 16,12 m ; max 95,70 m ; modèle 25 × 18 m ; niveaux -1, 0. Détails dans catalogue-existant.json.</x:v>
      </x:c>
    </x:row>
    <x:row r="1413">
      <x:c r="A1413" t="str">
        <x:v>DW-1408</x:v>
      </x:c>
      <x:c r="B1413" t="str">
        <x:v>DW-0204</x:v>
      </x:c>
      <x:c r="C1413" t="str">
        <x:v>Composition héritée</x:v>
      </x:c>
      <x:c r="D1413" t="str">
        <x:v>Abris et souterrains</x:v>
      </x:c>
      <x:c r="E1413" t="str">
        <x:v>Dépôt enterré fictif — Grand camp allié / réseau principal coupé</x:v>
      </x:c>
      <x:c r="F1413" t="n">
        <x:v>10</x:v>
      </x:c>
      <x:c r="G1413" t="n">
        <x:v>4</x:v>
      </x:c>
      <x:c r="H1413" t="n">
        <x:v>10</x:v>
      </x:c>
      <x:c r="I1413" t="str">
        <x:v>À qualifier par lieu</x:v>
      </x:c>
      <x:c r="J1413" t="str">
        <x:v>https://github.com/darknigthmare/deadwall-last-enclosure/blob/1b3b9c5ba232734b1bda3453b4e20a0481bcdd74/codex-3000/compositions/Abris et souterrains/DW-1408.md</x:v>
      </x:c>
      <x:c r="K1413" t="str">
        <x:v>Source min 16,12 m ; max 95,70 m ; modèle 25 × 18 m ; niveaux -1, 0. Détails dans catalogue-existant.json.</x:v>
      </x:c>
    </x:row>
    <x:row r="1414">
      <x:c r="A1414" t="str">
        <x:v>DW-1409</x:v>
      </x:c>
      <x:c r="B1414" t="str">
        <x:v>DW-0205</x:v>
      </x:c>
      <x:c r="C1414" t="str">
        <x:v>Composition héritée</x:v>
      </x:c>
      <x:c r="D1414" t="str">
        <x:v>Abris et souterrains</x:v>
      </x:c>
      <x:c r="E1414" t="str">
        <x:v>Abri ferroviaire ancien — Ville moyenne / reprise progressive de la végétation</x:v>
      </x:c>
      <x:c r="F1414" t="n">
        <x:v>8</x:v>
      </x:c>
      <x:c r="G1414" t="n">
        <x:v>4</x:v>
      </x:c>
      <x:c r="H1414" t="n">
        <x:v>8</x:v>
      </x:c>
      <x:c r="I1414" t="str">
        <x:v>À qualifier par lieu</x:v>
      </x:c>
      <x:c r="J1414" t="str">
        <x:v>https://github.com/darknigthmare/deadwall-last-enclosure/blob/1b3b9c5ba232734b1bda3453b4e20a0481bcdd74/codex-3000/compositions/Abris et souterrains/DW-1409.md</x:v>
      </x:c>
      <x:c r="K1414" t="str">
        <x:v>Source min 16,12 m ; max 95,70 m ; modèle 25 × 18 m ; niveaux 0. Détails dans catalogue-existant.json.</x:v>
      </x:c>
    </x:row>
    <x:row r="1415">
      <x:c r="A1415" t="str">
        <x:v>DW-1410</x:v>
      </x:c>
      <x:c r="B1415" t="str">
        <x:v>DW-0205</x:v>
      </x:c>
      <x:c r="C1415" t="str">
        <x:v>Composition héritée</x:v>
      </x:c>
      <x:c r="D1415" t="str">
        <x:v>Abris et souterrains</x:v>
      </x:c>
      <x:c r="E1415" t="str">
        <x:v>Abri ferroviaire ancien — Montagne et col / repli organisé interrompu</x:v>
      </x:c>
      <x:c r="F1415" t="n">
        <x:v>10</x:v>
      </x:c>
      <x:c r="G1415" t="n">
        <x:v>4</x:v>
      </x:c>
      <x:c r="H1415" t="n">
        <x:v>8</x:v>
      </x:c>
      <x:c r="I1415" t="str">
        <x:v>À qualifier par lieu</x:v>
      </x:c>
      <x:c r="J1415" t="str">
        <x:v>https://github.com/darknigthmare/deadwall-last-enclosure/blob/1b3b9c5ba232734b1bda3453b4e20a0481bcdd74/codex-3000/compositions/Abris et souterrains/DW-1410.md</x:v>
      </x:c>
      <x:c r="K1415" t="str">
        <x:v>Source min 16,12 m ; max 95,70 m ; modèle 25 × 18 m ; niveaux 0. Détails dans catalogue-existant.json.</x:v>
      </x:c>
    </x:row>
    <x:row r="1416">
      <x:c r="A1416" t="str">
        <x:v>DW-1411</x:v>
      </x:c>
      <x:c r="B1416" t="str">
        <x:v>DW-0206</x:v>
      </x:c>
      <x:c r="C1416" t="str">
        <x:v>Composition héritée</x:v>
      </x:c>
      <x:c r="D1416" t="str">
        <x:v>Abris et souterrains</x:v>
      </x:c>
      <x:c r="E1416" t="str">
        <x:v>Ancien fort — Grand camp allié / relais temporaire envisagé</x:v>
      </x:c>
      <x:c r="F1416" t="n">
        <x:v>10</x:v>
      </x:c>
      <x:c r="G1416" t="n">
        <x:v>4</x:v>
      </x:c>
      <x:c r="H1416" t="n">
        <x:v>10</x:v>
      </x:c>
      <x:c r="I1416" t="str">
        <x:v>À qualifier par lieu</x:v>
      </x:c>
      <x:c r="J1416" t="str">
        <x:v>https://github.com/darknigthmare/deadwall-last-enclosure/blob/1b3b9c5ba232734b1bda3453b4e20a0481bcdd74/codex-3000/compositions/Abris et souterrains/DW-1411.md</x:v>
      </x:c>
      <x:c r="K1416" t="str">
        <x:v>Source min 16,12 m ; max 95,70 m ; modèle 25 × 18 m ; niveaux 0. Détails dans catalogue-existant.json.</x:v>
      </x:c>
    </x:row>
    <x:row r="1417">
      <x:c r="A1417" t="str">
        <x:v>DW-1412</x:v>
      </x:c>
      <x:c r="B1417" t="str">
        <x:v>DW-0206</x:v>
      </x:c>
      <x:c r="C1417" t="str">
        <x:v>Composition héritée</x:v>
      </x:c>
      <x:c r="D1417" t="str">
        <x:v>Abris et souterrains</x:v>
      </x:c>
      <x:c r="E1417" t="str">
        <x:v>Ancien fort — Zone industrielle / évacuation interrompue</x:v>
      </x:c>
      <x:c r="F1417" t="n">
        <x:v>8</x:v>
      </x:c>
      <x:c r="G1417" t="n">
        <x:v>4</x:v>
      </x:c>
      <x:c r="H1417" t="n">
        <x:v>10</x:v>
      </x:c>
      <x:c r="I1417" t="str">
        <x:v>À qualifier par lieu</x:v>
      </x:c>
      <x:c r="J1417" t="str">
        <x:v>https://github.com/darknigthmare/deadwall-last-enclosure/blob/1b3b9c5ba232734b1bda3453b4e20a0481bcdd74/codex-3000/compositions/Abris et souterrains/DW-1412.md</x:v>
      </x:c>
      <x:c r="K1417" t="str">
        <x:v>Source min 16,12 m ; max 95,70 m ; modèle 25 × 18 m ; niveaux 0. Détails dans catalogue-existant.json.</x:v>
      </x:c>
    </x:row>
    <x:row r="1418">
      <x:c r="A1418" t="str">
        <x:v>DW-1413</x:v>
      </x:c>
      <x:c r="B1418" t="str">
        <x:v>DW-0207</x:v>
      </x:c>
      <x:c r="C1418" t="str">
        <x:v>Composition héritée</x:v>
      </x:c>
      <x:c r="D1418" t="str">
        <x:v>Abris et souterrains</x:v>
      </x:c>
      <x:c r="E1418" t="str">
        <x:v>Batterie côtière désaffectée — Montagne et col / réseau principal coupé</x:v>
      </x:c>
      <x:c r="F1418" t="n">
        <x:v>10</x:v>
      </x:c>
      <x:c r="G1418" t="n">
        <x:v>4</x:v>
      </x:c>
      <x:c r="H1418" t="n">
        <x:v>10</x:v>
      </x:c>
      <x:c r="I1418" t="str">
        <x:v>À qualifier par lieu</x:v>
      </x:c>
      <x:c r="J1418" t="str">
        <x:v>https://github.com/darknigthmare/deadwall-last-enclosure/blob/1b3b9c5ba232734b1bda3453b4e20a0481bcdd74/codex-3000/compositions/Abris et souterrains/DW-1413.md</x:v>
      </x:c>
      <x:c r="K1418" t="str">
        <x:v>Source min 16,12 m ; max 95,70 m ; modèle 25 × 18 m ; niveaux 0. Détails dans catalogue-existant.json.</x:v>
      </x:c>
    </x:row>
    <x:row r="1419">
      <x:c r="A1419" t="str">
        <x:v>DW-1414</x:v>
      </x:c>
      <x:c r="B1419" t="str">
        <x:v>DW-0207</x:v>
      </x:c>
      <x:c r="C1419" t="str">
        <x:v>Composition héritée</x:v>
      </x:c>
      <x:c r="D1419" t="str">
        <x:v>Abris et souterrains</x:v>
      </x:c>
      <x:c r="E1419" t="str">
        <x:v>Batterie côtière désaffectée — Ville moyenne / arrêt de maintenance</x:v>
      </x:c>
      <x:c r="F1419" t="n">
        <x:v>8</x:v>
      </x:c>
      <x:c r="G1419" t="n">
        <x:v>4</x:v>
      </x:c>
      <x:c r="H1419" t="n">
        <x:v>10</x:v>
      </x:c>
      <x:c r="I1419" t="str">
        <x:v>À qualifier par lieu</x:v>
      </x:c>
      <x:c r="J1419" t="str">
        <x:v>https://github.com/darknigthmare/deadwall-last-enclosure/blob/1b3b9c5ba232734b1bda3453b4e20a0481bcdd74/codex-3000/compositions/Abris et souterrains/DW-1414.md</x:v>
      </x:c>
      <x:c r="K1419" t="str">
        <x:v>Source min 16,12 m ; max 95,70 m ; modèle 25 × 18 m ; niveaux 0. Détails dans catalogue-existant.json.</x:v>
      </x:c>
    </x:row>
    <x:row r="1420">
      <x:c r="A1420" t="str">
        <x:v>DW-1415</x:v>
      </x:c>
      <x:c r="B1420" t="str">
        <x:v>DW-0208</x:v>
      </x:c>
      <x:c r="C1420" t="str">
        <x:v>Composition héritée</x:v>
      </x:c>
      <x:c r="D1420" t="str">
        <x:v>Abris et souterrains</x:v>
      </x:c>
      <x:c r="E1420" t="str">
        <x:v>Blockhaus de carrefour — Zone industrielle / repli organisé interrompu</x:v>
      </x:c>
      <x:c r="F1420" t="n">
        <x:v>8</x:v>
      </x:c>
      <x:c r="G1420" t="n">
        <x:v>3</x:v>
      </x:c>
      <x:c r="H1420" t="n">
        <x:v>9</x:v>
      </x:c>
      <x:c r="I1420" t="str">
        <x:v>À qualifier par lieu</x:v>
      </x:c>
      <x:c r="J1420" t="str">
        <x:v>https://github.com/darknigthmare/deadwall-last-enclosure/blob/1b3b9c5ba232734b1bda3453b4e20a0481bcdd74/codex-3000/compositions/Abris et souterrains/DW-1415.md</x:v>
      </x:c>
      <x:c r="K1420" t="str">
        <x:v>Source min 16,12 m ; max 95,70 m ; modèle 24 × 18 m ; niveaux 0. Détails dans catalogue-existant.json.</x:v>
      </x:c>
    </x:row>
    <x:row r="1421">
      <x:c r="A1421" t="str">
        <x:v>DW-1416</x:v>
      </x:c>
      <x:c r="B1421" t="str">
        <x:v>DW-0208</x:v>
      </x:c>
      <x:c r="C1421" t="str">
        <x:v>Composition héritée</x:v>
      </x:c>
      <x:c r="D1421" t="str">
        <x:v>Abris et souterrains</x:v>
      </x:c>
      <x:c r="E1421" t="str">
        <x:v>Blockhaus de carrefour — Grand camp allié / première récupération passée</x:v>
      </x:c>
      <x:c r="F1421" t="n">
        <x:v>10</x:v>
      </x:c>
      <x:c r="G1421" t="n">
        <x:v>3</x:v>
      </x:c>
      <x:c r="H1421" t="n">
        <x:v>9</x:v>
      </x:c>
      <x:c r="I1421" t="str">
        <x:v>À qualifier par lieu</x:v>
      </x:c>
      <x:c r="J1421" t="str">
        <x:v>https://github.com/darknigthmare/deadwall-last-enclosure/blob/1b3b9c5ba232734b1bda3453b4e20a0481bcdd74/codex-3000/compositions/Abris et souterrains/DW-1416.md</x:v>
      </x:c>
      <x:c r="K1421" t="str">
        <x:v>Source min 16,12 m ; max 95,70 m ; modèle 24 × 18 m ; niveaux 0. Détails dans catalogue-existant.json.</x:v>
      </x:c>
    </x:row>
    <x:row r="1422">
      <x:c r="A1422" t="str">
        <x:v>DW-1417</x:v>
      </x:c>
      <x:c r="B1422" t="str">
        <x:v>DW-0209</x:v>
      </x:c>
      <x:c r="C1422" t="str">
        <x:v>Composition héritée</x:v>
      </x:c>
      <x:c r="D1422" t="str">
        <x:v>Abris et souterrains</x:v>
      </x:c>
      <x:c r="E1422" t="str">
        <x:v>Abri de mineurs — Ville moyenne / évacuation interrompue</x:v>
      </x:c>
      <x:c r="F1422" t="n">
        <x:v>8</x:v>
      </x:c>
      <x:c r="G1422" t="n">
        <x:v>4</x:v>
      </x:c>
      <x:c r="H1422" t="n">
        <x:v>12</x:v>
      </x:c>
      <x:c r="I1422" t="str">
        <x:v>À qualifier par lieu</x:v>
      </x:c>
      <x:c r="J1422" t="str">
        <x:v>https://github.com/darknigthmare/deadwall-last-enclosure/blob/1b3b9c5ba232734b1bda3453b4e20a0481bcdd74/codex-3000/compositions/Abris et souterrains/DW-1417.md</x:v>
      </x:c>
      <x:c r="K1422" t="str">
        <x:v>Source min 16,12 m ; max 95,70 m ; modèle 25 × 18 m ; niveaux -1, 0. Détails dans catalogue-existant.json.</x:v>
      </x:c>
    </x:row>
    <x:row r="1423">
      <x:c r="A1423" t="str">
        <x:v>DW-1418</x:v>
      </x:c>
      <x:c r="B1423" t="str">
        <x:v>DW-0209</x:v>
      </x:c>
      <x:c r="C1423" t="str">
        <x:v>Composition héritée</x:v>
      </x:c>
      <x:c r="D1423" t="str">
        <x:v>Abris et souterrains</x:v>
      </x:c>
      <x:c r="E1423" t="str">
        <x:v>Abri de mineurs — Montagne et col / service déplacé à l’arrière</x:v>
      </x:c>
      <x:c r="F1423" t="n">
        <x:v>10</x:v>
      </x:c>
      <x:c r="G1423" t="n">
        <x:v>4</x:v>
      </x:c>
      <x:c r="H1423" t="n">
        <x:v>12</x:v>
      </x:c>
      <x:c r="I1423" t="str">
        <x:v>À qualifier par lieu</x:v>
      </x:c>
      <x:c r="J1423" t="str">
        <x:v>https://github.com/darknigthmare/deadwall-last-enclosure/blob/1b3b9c5ba232734b1bda3453b4e20a0481bcdd74/codex-3000/compositions/Abris et souterrains/DW-1418.md</x:v>
      </x:c>
      <x:c r="K1423" t="str">
        <x:v>Source min 16,12 m ; max 95,70 m ; modèle 25 × 18 m ; niveaux -1, 0. Détails dans catalogue-existant.json.</x:v>
      </x:c>
    </x:row>
    <x:row r="1424">
      <x:c r="A1424" t="str">
        <x:v>DW-1419</x:v>
      </x:c>
      <x:c r="B1424" t="str">
        <x:v>DW-0210</x:v>
      </x:c>
      <x:c r="C1424" t="str">
        <x:v>Composition héritée</x:v>
      </x:c>
      <x:c r="D1424" t="str">
        <x:v>Abris et souterrains</x:v>
      </x:c>
      <x:c r="E1424" t="str">
        <x:v>Refuge de tunnel — Grand camp allié / arrêt de maintenance</x:v>
      </x:c>
      <x:c r="F1424" t="n">
        <x:v>10</x:v>
      </x:c>
      <x:c r="G1424" t="n">
        <x:v>3</x:v>
      </x:c>
      <x:c r="H1424" t="n">
        <x:v>9</x:v>
      </x:c>
      <x:c r="I1424" t="str">
        <x:v>À qualifier par lieu</x:v>
      </x:c>
      <x:c r="J1424" t="str">
        <x:v>https://github.com/darknigthmare/deadwall-last-enclosure/blob/1b3b9c5ba232734b1bda3453b4e20a0481bcdd74/codex-3000/compositions/Abris et souterrains/DW-1419.md</x:v>
      </x:c>
      <x:c r="K1424" t="str">
        <x:v>Source min 16,12 m ; max 95,70 m ; modèle 24 × 18 m ; niveaux 0. Détails dans catalogue-existant.json.</x:v>
      </x:c>
    </x:row>
    <x:row r="1425">
      <x:c r="A1425" t="str">
        <x:v>DW-1420</x:v>
      </x:c>
      <x:c r="B1425" t="str">
        <x:v>DW-0210</x:v>
      </x:c>
      <x:c r="C1425" t="str">
        <x:v>Composition héritée</x:v>
      </x:c>
      <x:c r="D1425" t="str">
        <x:v>Abris et souterrains</x:v>
      </x:c>
      <x:c r="E1425" t="str">
        <x:v>Refuge de tunnel — Zone industrielle / reprise progressive de la végétation</x:v>
      </x:c>
      <x:c r="F1425" t="n">
        <x:v>8</x:v>
      </x:c>
      <x:c r="G1425" t="n">
        <x:v>3</x:v>
      </x:c>
      <x:c r="H1425" t="n">
        <x:v>9</x:v>
      </x:c>
      <x:c r="I1425" t="str">
        <x:v>À qualifier par lieu</x:v>
      </x:c>
      <x:c r="J1425" t="str">
        <x:v>https://github.com/darknigthmare/deadwall-last-enclosure/blob/1b3b9c5ba232734b1bda3453b4e20a0481bcdd74/codex-3000/compositions/Abris et souterrains/DW-1420.md</x:v>
      </x:c>
      <x:c r="K1425" t="str">
        <x:v>Source min 16,12 m ; max 95,70 m ; modèle 24 × 18 m ; niveaux 0. Détails dans catalogue-existant.json.</x:v>
      </x:c>
    </x:row>
    <x:row r="1426">
      <x:c r="A1426" t="str">
        <x:v>DW-1421</x:v>
      </x:c>
      <x:c r="B1426" t="str">
        <x:v>DW-0211</x:v>
      </x:c>
      <x:c r="C1426" t="str">
        <x:v>Composition héritée</x:v>
      </x:c>
      <x:c r="D1426" t="str">
        <x:v>Abris et souterrains</x:v>
      </x:c>
      <x:c r="E1426" t="str">
        <x:v>Centre radio enterré fictif — Montagne et col / première récupération passée</x:v>
      </x:c>
      <x:c r="F1426" t="n">
        <x:v>10</x:v>
      </x:c>
      <x:c r="G1426" t="n">
        <x:v>4</x:v>
      </x:c>
      <x:c r="H1426" t="n">
        <x:v>12</x:v>
      </x:c>
      <x:c r="I1426" t="str">
        <x:v>À qualifier par lieu</x:v>
      </x:c>
      <x:c r="J1426" t="str">
        <x:v>https://github.com/darknigthmare/deadwall-last-enclosure/blob/1b3b9c5ba232734b1bda3453b4e20a0481bcdd74/codex-3000/compositions/Abris et souterrains/DW-1421.md</x:v>
      </x:c>
      <x:c r="K1426" t="str">
        <x:v>Source min 16,12 m ; max 95,70 m ; modèle 25 × 18 m ; niveaux -1, 0. Détails dans catalogue-existant.json.</x:v>
      </x:c>
    </x:row>
    <x:row r="1427">
      <x:c r="A1427" t="str">
        <x:v>DW-1422</x:v>
      </x:c>
      <x:c r="B1427" t="str">
        <x:v>DW-0211</x:v>
      </x:c>
      <x:c r="C1427" t="str">
        <x:v>Composition héritée</x:v>
      </x:c>
      <x:c r="D1427" t="str">
        <x:v>Abris et souterrains</x:v>
      </x:c>
      <x:c r="E1427" t="str">
        <x:v>Centre radio enterré fictif — Ville moyenne / relais temporaire envisagé</x:v>
      </x:c>
      <x:c r="F1427" t="n">
        <x:v>8</x:v>
      </x:c>
      <x:c r="G1427" t="n">
        <x:v>4</x:v>
      </x:c>
      <x:c r="H1427" t="n">
        <x:v>12</x:v>
      </x:c>
      <x:c r="I1427" t="str">
        <x:v>À qualifier par lieu</x:v>
      </x:c>
      <x:c r="J1427" t="str">
        <x:v>https://github.com/darknigthmare/deadwall-last-enclosure/blob/1b3b9c5ba232734b1bda3453b4e20a0481bcdd74/codex-3000/compositions/Abris et souterrains/DW-1422.md</x:v>
      </x:c>
      <x:c r="K1427" t="str">
        <x:v>Source min 16,12 m ; max 95,70 m ; modèle 25 × 18 m ; niveaux -1, 0. Détails dans catalogue-existant.json.</x:v>
      </x:c>
    </x:row>
    <x:row r="1428">
      <x:c r="A1428" t="str">
        <x:v>DW-1423</x:v>
      </x:c>
      <x:c r="B1428" t="str">
        <x:v>DW-0212</x:v>
      </x:c>
      <x:c r="C1428" t="str">
        <x:v>Composition héritée</x:v>
      </x:c>
      <x:c r="D1428" t="str">
        <x:v>Abris et souterrains</x:v>
      </x:c>
      <x:c r="E1428" t="str">
        <x:v>Caserne isolée désaffectée — Zone industrielle / service déplacé à l’arrière</x:v>
      </x:c>
      <x:c r="F1428" t="n">
        <x:v>8</x:v>
      </x:c>
      <x:c r="G1428" t="n">
        <x:v>4</x:v>
      </x:c>
      <x:c r="H1428" t="n">
        <x:v>12</x:v>
      </x:c>
      <x:c r="I1428" t="str">
        <x:v>À qualifier par lieu</x:v>
      </x:c>
      <x:c r="J1428" t="str">
        <x:v>https://github.com/darknigthmare/deadwall-last-enclosure/blob/1b3b9c5ba232734b1bda3453b4e20a0481bcdd74/codex-3000/compositions/Abris et souterrains/DW-1423.md</x:v>
      </x:c>
      <x:c r="K1428" t="str">
        <x:v>Source min 16,12 m ; max 95,70 m ; modèle 25 × 18 m ; niveaux 0. Détails dans catalogue-existant.json.</x:v>
      </x:c>
    </x:row>
    <x:row r="1429">
      <x:c r="A1429" t="str">
        <x:v>DW-1424</x:v>
      </x:c>
      <x:c r="B1429" t="str">
        <x:v>DW-0212</x:v>
      </x:c>
      <x:c r="C1429" t="str">
        <x:v>Composition héritée</x:v>
      </x:c>
      <x:c r="D1429" t="str">
        <x:v>Abris et souterrains</x:v>
      </x:c>
      <x:c r="E1429" t="str">
        <x:v>Caserne isolée désaffectée — Grand camp allié / réseau principal coupé</x:v>
      </x:c>
      <x:c r="F1429" t="n">
        <x:v>10</x:v>
      </x:c>
      <x:c r="G1429" t="n">
        <x:v>4</x:v>
      </x:c>
      <x:c r="H1429" t="n">
        <x:v>12</x:v>
      </x:c>
      <x:c r="I1429" t="str">
        <x:v>À qualifier par lieu</x:v>
      </x:c>
      <x:c r="J1429" t="str">
        <x:v>https://github.com/darknigthmare/deadwall-last-enclosure/blob/1b3b9c5ba232734b1bda3453b4e20a0481bcdd74/codex-3000/compositions/Abris et souterrains/DW-1424.md</x:v>
      </x:c>
      <x:c r="K1429" t="str">
        <x:v>Source min 16,12 m ; max 95,70 m ; modèle 25 × 18 m ; niveaux 0. Détails dans catalogue-existant.json.</x:v>
      </x:c>
    </x:row>
    <x:row r="1430">
      <x:c r="A1430" t="str">
        <x:v>DW-1425</x:v>
      </x:c>
      <x:c r="B1430" t="str">
        <x:v>DW-0213</x:v>
      </x:c>
      <x:c r="C1430" t="str">
        <x:v>Composition héritée</x:v>
      </x:c>
      <x:c r="D1430" t="str">
        <x:v>Abris et souterrains</x:v>
      </x:c>
      <x:c r="E1430" t="str">
        <x:v>Camp d'entraînement abandonné — Ville moyenne / reprise progressive de la végétation</x:v>
      </x:c>
      <x:c r="F1430" t="n">
        <x:v>8</x:v>
      </x:c>
      <x:c r="G1430" t="n">
        <x:v>4</x:v>
      </x:c>
      <x:c r="H1430" t="n">
        <x:v>12</x:v>
      </x:c>
      <x:c r="I1430" t="str">
        <x:v>À qualifier par lieu</x:v>
      </x:c>
      <x:c r="J1430" t="str">
        <x:v>https://github.com/darknigthmare/deadwall-last-enclosure/blob/1b3b9c5ba232734b1bda3453b4e20a0481bcdd74/codex-3000/compositions/Abris et souterrains/DW-1425.md</x:v>
      </x:c>
      <x:c r="K1430" t="str">
        <x:v>Source min 16,12 m ; max 95,70 m ; modèle 25 × 18 m ; niveaux 0. Détails dans catalogue-existant.json.</x:v>
      </x:c>
    </x:row>
    <x:row r="1431">
      <x:c r="A1431" t="str">
        <x:v>DW-1426</x:v>
      </x:c>
      <x:c r="B1431" t="str">
        <x:v>DW-0213</x:v>
      </x:c>
      <x:c r="C1431" t="str">
        <x:v>Composition héritée</x:v>
      </x:c>
      <x:c r="D1431" t="str">
        <x:v>Abris et souterrains</x:v>
      </x:c>
      <x:c r="E1431" t="str">
        <x:v>Camp d'entraînement abandonné — Montagne et col / repli organisé interrompu</x:v>
      </x:c>
      <x:c r="F1431" t="n">
        <x:v>10</x:v>
      </x:c>
      <x:c r="G1431" t="n">
        <x:v>4</x:v>
      </x:c>
      <x:c r="H1431" t="n">
        <x:v>12</x:v>
      </x:c>
      <x:c r="I1431" t="str">
        <x:v>À qualifier par lieu</x:v>
      </x:c>
      <x:c r="J1431" t="str">
        <x:v>https://github.com/darknigthmare/deadwall-last-enclosure/blob/1b3b9c5ba232734b1bda3453b4e20a0481bcdd74/codex-3000/compositions/Abris et souterrains/DW-1426.md</x:v>
      </x:c>
      <x:c r="K1431" t="str">
        <x:v>Source min 16,12 m ; max 95,70 m ; modèle 25 × 18 m ; niveaux 0. Détails dans catalogue-existant.json.</x:v>
      </x:c>
    </x:row>
    <x:row r="1432">
      <x:c r="A1432" t="str">
        <x:v>DW-1427</x:v>
      </x:c>
      <x:c r="B1432" t="str">
        <x:v>DW-0214</x:v>
      </x:c>
      <x:c r="C1432" t="str">
        <x:v>Composition héritée</x:v>
      </x:c>
      <x:c r="D1432" t="str">
        <x:v>Abris et souterrains</x:v>
      </x:c>
      <x:c r="E1432" t="str">
        <x:v>Dépôt de surplus civil — Grand camp allié / relais temporaire envisagé</x:v>
      </x:c>
      <x:c r="F1432" t="n">
        <x:v>10</x:v>
      </x:c>
      <x:c r="G1432" t="n">
        <x:v>4</x:v>
      </x:c>
      <x:c r="H1432" t="n">
        <x:v>12</x:v>
      </x:c>
      <x:c r="I1432" t="str">
        <x:v>À qualifier par lieu</x:v>
      </x:c>
      <x:c r="J1432" t="str">
        <x:v>https://github.com/darknigthmare/deadwall-last-enclosure/blob/1b3b9c5ba232734b1bda3453b4e20a0481bcdd74/codex-3000/compositions/Abris et souterrains/DW-1427.md</x:v>
      </x:c>
      <x:c r="K1432" t="str">
        <x:v>Source min 16,12 m ; max 95,70 m ; modèle 25 × 18 m ; niveaux 0. Détails dans catalogue-existant.json.</x:v>
      </x:c>
    </x:row>
    <x:row r="1433">
      <x:c r="A1433" t="str">
        <x:v>DW-1428</x:v>
      </x:c>
      <x:c r="B1433" t="str">
        <x:v>DW-0214</x:v>
      </x:c>
      <x:c r="C1433" t="str">
        <x:v>Composition héritée</x:v>
      </x:c>
      <x:c r="D1433" t="str">
        <x:v>Abris et souterrains</x:v>
      </x:c>
      <x:c r="E1433" t="str">
        <x:v>Dépôt de surplus civil — Zone industrielle / évacuation interrompue</x:v>
      </x:c>
      <x:c r="F1433" t="n">
        <x:v>8</x:v>
      </x:c>
      <x:c r="G1433" t="n">
        <x:v>4</x:v>
      </x:c>
      <x:c r="H1433" t="n">
        <x:v>12</x:v>
      </x:c>
      <x:c r="I1433" t="str">
        <x:v>À qualifier par lieu</x:v>
      </x:c>
      <x:c r="J1433" t="str">
        <x:v>https://github.com/darknigthmare/deadwall-last-enclosure/blob/1b3b9c5ba232734b1bda3453b4e20a0481bcdd74/codex-3000/compositions/Abris et souterrains/DW-1428.md</x:v>
      </x:c>
      <x:c r="K1433" t="str">
        <x:v>Source min 16,12 m ; max 95,70 m ; modèle 25 × 18 m ; niveaux 0. Détails dans catalogue-existant.json.</x:v>
      </x:c>
    </x:row>
    <x:row r="1434">
      <x:c r="A1434" t="str">
        <x:v>DW-1429</x:v>
      </x:c>
      <x:c r="B1434" t="str">
        <x:v>DW-0215</x:v>
      </x:c>
      <x:c r="C1434" t="str">
        <x:v>Composition héritée</x:v>
      </x:c>
      <x:c r="D1434" t="str">
        <x:v>Abris et souterrains</x:v>
      </x:c>
      <x:c r="E1434" t="str">
        <x:v>Ancien poste frontière — Montagne et col / réseau principal coupé</x:v>
      </x:c>
      <x:c r="F1434" t="n">
        <x:v>10</x:v>
      </x:c>
      <x:c r="G1434" t="n">
        <x:v>4</x:v>
      </x:c>
      <x:c r="H1434" t="n">
        <x:v>12</x:v>
      </x:c>
      <x:c r="I1434" t="str">
        <x:v>À qualifier par lieu</x:v>
      </x:c>
      <x:c r="J1434" t="str">
        <x:v>https://github.com/darknigthmare/deadwall-last-enclosure/blob/1b3b9c5ba232734b1bda3453b4e20a0481bcdd74/codex-3000/compositions/Abris et souterrains/DW-1429.md</x:v>
      </x:c>
      <x:c r="K1434" t="str">
        <x:v>Source min 16,12 m ; max 95,70 m ; modèle 25 × 18 m ; niveaux 0. Détails dans catalogue-existant.json.</x:v>
      </x:c>
    </x:row>
    <x:row r="1435">
      <x:c r="A1435" t="str">
        <x:v>DW-1430</x:v>
      </x:c>
      <x:c r="B1435" t="str">
        <x:v>DW-0215</x:v>
      </x:c>
      <x:c r="C1435" t="str">
        <x:v>Composition héritée</x:v>
      </x:c>
      <x:c r="D1435" t="str">
        <x:v>Abris et souterrains</x:v>
      </x:c>
      <x:c r="E1435" t="str">
        <x:v>Ancien poste frontière — Ville moyenne / arrêt de maintenance</x:v>
      </x:c>
      <x:c r="F1435" t="n">
        <x:v>8</x:v>
      </x:c>
      <x:c r="G1435" t="n">
        <x:v>4</x:v>
      </x:c>
      <x:c r="H1435" t="n">
        <x:v>12</x:v>
      </x:c>
      <x:c r="I1435" t="str">
        <x:v>À qualifier par lieu</x:v>
      </x:c>
      <x:c r="J1435" t="str">
        <x:v>https://github.com/darknigthmare/deadwall-last-enclosure/blob/1b3b9c5ba232734b1bda3453b4e20a0481bcdd74/codex-3000/compositions/Abris et souterrains/DW-1430.md</x:v>
      </x:c>
      <x:c r="K1435" t="str">
        <x:v>Source min 16,12 m ; max 95,70 m ; modèle 25 × 18 m ; niveaux 0. Détails dans catalogue-existant.json.</x:v>
      </x:c>
    </x:row>
    <x:row r="1436">
      <x:c r="A1436" t="str">
        <x:v>DW-1431</x:v>
      </x:c>
      <x:c r="B1436" t="str">
        <x:v>DW-0216</x:v>
      </x:c>
      <x:c r="C1436" t="str">
        <x:v>Composition héritée</x:v>
      </x:c>
      <x:c r="D1436" t="str">
        <x:v>Abris et souterrains</x:v>
      </x:c>
      <x:c r="E1436" t="str">
        <x:v>Maison de garde d'un fort — Zone industrielle / repli organisé interrompu</x:v>
      </x:c>
      <x:c r="F1436" t="n">
        <x:v>8</x:v>
      </x:c>
      <x:c r="G1436" t="n">
        <x:v>4</x:v>
      </x:c>
      <x:c r="H1436" t="n">
        <x:v>12</x:v>
      </x:c>
      <x:c r="I1436" t="str">
        <x:v>À qualifier par lieu</x:v>
      </x:c>
      <x:c r="J1436" t="str">
        <x:v>https://github.com/darknigthmare/deadwall-last-enclosure/blob/1b3b9c5ba232734b1bda3453b4e20a0481bcdd74/codex-3000/compositions/Abris et souterrains/DW-1431.md</x:v>
      </x:c>
      <x:c r="K1436" t="str">
        <x:v>Source min 16,12 m ; max 95,70 m ; modèle 25 × 18 m ; niveaux 0. Détails dans catalogue-existant.json.</x:v>
      </x:c>
    </x:row>
    <x:row r="1437">
      <x:c r="A1437" t="str">
        <x:v>DW-1432</x:v>
      </x:c>
      <x:c r="B1437" t="str">
        <x:v>DW-0216</x:v>
      </x:c>
      <x:c r="C1437" t="str">
        <x:v>Composition héritée</x:v>
      </x:c>
      <x:c r="D1437" t="str">
        <x:v>Abris et souterrains</x:v>
      </x:c>
      <x:c r="E1437" t="str">
        <x:v>Maison de garde d'un fort — Grand camp allié / première récupération passée</x:v>
      </x:c>
      <x:c r="F1437" t="n">
        <x:v>10</x:v>
      </x:c>
      <x:c r="G1437" t="n">
        <x:v>4</x:v>
      </x:c>
      <x:c r="H1437" t="n">
        <x:v>12</x:v>
      </x:c>
      <x:c r="I1437" t="str">
        <x:v>À qualifier par lieu</x:v>
      </x:c>
      <x:c r="J1437" t="str">
        <x:v>https://github.com/darknigthmare/deadwall-last-enclosure/blob/1b3b9c5ba232734b1bda3453b4e20a0481bcdd74/codex-3000/compositions/Abris et souterrains/DW-1432.md</x:v>
      </x:c>
      <x:c r="K1437" t="str">
        <x:v>Source min 16,12 m ; max 95,70 m ; modèle 25 × 18 m ; niveaux 0. Détails dans catalogue-existant.json.</x:v>
      </x:c>
    </x:row>
    <x:row r="1438">
      <x:c r="A1438" t="str">
        <x:v>DW-1433</x:v>
      </x:c>
      <x:c r="B1438" t="str">
        <x:v>DW-0217</x:v>
      </x:c>
      <x:c r="C1438" t="str">
        <x:v>Composition héritée</x:v>
      </x:c>
      <x:c r="D1438" t="str">
        <x:v>Abris et souterrains</x:v>
      </x:c>
      <x:c r="E1438" t="str">
        <x:v>Abri d'un poste électrique — Ville moyenne / évacuation interrompue</x:v>
      </x:c>
      <x:c r="F1438" t="n">
        <x:v>8</x:v>
      </x:c>
      <x:c r="G1438" t="n">
        <x:v>4</x:v>
      </x:c>
      <x:c r="H1438" t="n">
        <x:v>12</x:v>
      </x:c>
      <x:c r="I1438" t="str">
        <x:v>À qualifier par lieu</x:v>
      </x:c>
      <x:c r="J1438" t="str">
        <x:v>https://github.com/darknigthmare/deadwall-last-enclosure/blob/1b3b9c5ba232734b1bda3453b4e20a0481bcdd74/codex-3000/compositions/Abris et souterrains/DW-1433.md</x:v>
      </x:c>
      <x:c r="K1438" t="str">
        <x:v>Source min 16,12 m ; max 95,70 m ; modèle 25 × 18 m ; niveaux 0. Détails dans catalogue-existant.json.</x:v>
      </x:c>
    </x:row>
    <x:row r="1439">
      <x:c r="A1439" t="str">
        <x:v>DW-1434</x:v>
      </x:c>
      <x:c r="B1439" t="str">
        <x:v>DW-0217</x:v>
      </x:c>
      <x:c r="C1439" t="str">
        <x:v>Composition héritée</x:v>
      </x:c>
      <x:c r="D1439" t="str">
        <x:v>Abris et souterrains</x:v>
      </x:c>
      <x:c r="E1439" t="str">
        <x:v>Abri d'un poste électrique — Montagne et col / service déplacé à l’arrière</x:v>
      </x:c>
      <x:c r="F1439" t="n">
        <x:v>10</x:v>
      </x:c>
      <x:c r="G1439" t="n">
        <x:v>4</x:v>
      </x:c>
      <x:c r="H1439" t="n">
        <x:v>12</x:v>
      </x:c>
      <x:c r="I1439" t="str">
        <x:v>À qualifier par lieu</x:v>
      </x:c>
      <x:c r="J1439" t="str">
        <x:v>https://github.com/darknigthmare/deadwall-last-enclosure/blob/1b3b9c5ba232734b1bda3453b4e20a0481bcdd74/codex-3000/compositions/Abris et souterrains/DW-1434.md</x:v>
      </x:c>
      <x:c r="K1439" t="str">
        <x:v>Source min 16,12 m ; max 95,70 m ; modèle 25 × 18 m ; niveaux 0. Détails dans catalogue-existant.json.</x:v>
      </x:c>
    </x:row>
    <x:row r="1440">
      <x:c r="A1440" t="str">
        <x:v>DW-1435</x:v>
      </x:c>
      <x:c r="B1440" t="str">
        <x:v>DW-0218</x:v>
      </x:c>
      <x:c r="C1440" t="str">
        <x:v>Composition héritée</x:v>
      </x:c>
      <x:c r="D1440" t="str">
        <x:v>Abris et souterrains</x:v>
      </x:c>
      <x:c r="E1440" t="str">
        <x:v>Galerie technique abandonnée — Grand camp allié / arrêt de maintenance</x:v>
      </x:c>
      <x:c r="F1440" t="n">
        <x:v>10</x:v>
      </x:c>
      <x:c r="G1440" t="n">
        <x:v>4</x:v>
      </x:c>
      <x:c r="H1440" t="n">
        <x:v>12</x:v>
      </x:c>
      <x:c r="I1440" t="str">
        <x:v>À qualifier par lieu</x:v>
      </x:c>
      <x:c r="J1440" t="str">
        <x:v>https://github.com/darknigthmare/deadwall-last-enclosure/blob/1b3b9c5ba232734b1bda3453b4e20a0481bcdd74/codex-3000/compositions/Abris et souterrains/DW-1435.md</x:v>
      </x:c>
      <x:c r="K1440" t="str">
        <x:v>Source min 16,12 m ; max 95,70 m ; modèle 25 × 18 m ; niveaux 0. Détails dans catalogue-existant.json.</x:v>
      </x:c>
    </x:row>
    <x:row r="1441">
      <x:c r="A1441" t="str">
        <x:v>DW-1436</x:v>
      </x:c>
      <x:c r="B1441" t="str">
        <x:v>DW-0218</x:v>
      </x:c>
      <x:c r="C1441" t="str">
        <x:v>Composition héritée</x:v>
      </x:c>
      <x:c r="D1441" t="str">
        <x:v>Abris et souterrains</x:v>
      </x:c>
      <x:c r="E1441" t="str">
        <x:v>Galerie technique abandonnée — Zone industrielle / reprise progressive de la végétation</x:v>
      </x:c>
      <x:c r="F1441" t="n">
        <x:v>8</x:v>
      </x:c>
      <x:c r="G1441" t="n">
        <x:v>4</x:v>
      </x:c>
      <x:c r="H1441" t="n">
        <x:v>12</x:v>
      </x:c>
      <x:c r="I1441" t="str">
        <x:v>À qualifier par lieu</x:v>
      </x:c>
      <x:c r="J1441" t="str">
        <x:v>https://github.com/darknigthmare/deadwall-last-enclosure/blob/1b3b9c5ba232734b1bda3453b4e20a0481bcdd74/codex-3000/compositions/Abris et souterrains/DW-1436.md</x:v>
      </x:c>
      <x:c r="K1441" t="str">
        <x:v>Source min 16,12 m ; max 95,70 m ; modèle 25 × 18 m ; niveaux 0. Détails dans catalogue-existant.json.</x:v>
      </x:c>
    </x:row>
    <x:row r="1442">
      <x:c r="A1442" t="str">
        <x:v>DW-1437</x:v>
      </x:c>
      <x:c r="B1442" t="str">
        <x:v>DW-0219</x:v>
      </x:c>
      <x:c r="C1442" t="str">
        <x:v>Composition héritée</x:v>
      </x:c>
      <x:c r="D1442" t="str">
        <x:v>Abris et souterrains</x:v>
      </x:c>
      <x:c r="E1442" t="str">
        <x:v>Souterrain de château — Montagne et col / première récupération passée</x:v>
      </x:c>
      <x:c r="F1442" t="n">
        <x:v>10</x:v>
      </x:c>
      <x:c r="G1442" t="n">
        <x:v>4</x:v>
      </x:c>
      <x:c r="H1442" t="n">
        <x:v>8</x:v>
      </x:c>
      <x:c r="I1442" t="str">
        <x:v>À qualifier par lieu</x:v>
      </x:c>
      <x:c r="J1442" t="str">
        <x:v>https://github.com/darknigthmare/deadwall-last-enclosure/blob/1b3b9c5ba232734b1bda3453b4e20a0481bcdd74/codex-3000/compositions/Abris et souterrains/DW-1437.md</x:v>
      </x:c>
      <x:c r="K1442" t="str">
        <x:v>Source min 16,12 m ; max 95,70 m ; modèle 25 × 18 m ; niveaux -1, 0. Détails dans catalogue-existant.json.</x:v>
      </x:c>
    </x:row>
    <x:row r="1443">
      <x:c r="A1443" t="str">
        <x:v>DW-1438</x:v>
      </x:c>
      <x:c r="B1443" t="str">
        <x:v>DW-0219</x:v>
      </x:c>
      <x:c r="C1443" t="str">
        <x:v>Composition héritée</x:v>
      </x:c>
      <x:c r="D1443" t="str">
        <x:v>Abris et souterrains</x:v>
      </x:c>
      <x:c r="E1443" t="str">
        <x:v>Souterrain de château — Ville moyenne / relais temporaire envisagé</x:v>
      </x:c>
      <x:c r="F1443" t="n">
        <x:v>8</x:v>
      </x:c>
      <x:c r="G1443" t="n">
        <x:v>4</x:v>
      </x:c>
      <x:c r="H1443" t="n">
        <x:v>8</x:v>
      </x:c>
      <x:c r="I1443" t="str">
        <x:v>À qualifier par lieu</x:v>
      </x:c>
      <x:c r="J1443" t="str">
        <x:v>https://github.com/darknigthmare/deadwall-last-enclosure/blob/1b3b9c5ba232734b1bda3453b4e20a0481bcdd74/codex-3000/compositions/Abris et souterrains/DW-1438.md</x:v>
      </x:c>
      <x:c r="K1443" t="str">
        <x:v>Source min 16,12 m ; max 95,70 m ; modèle 25 × 18 m ; niveaux -1, 0. Détails dans catalogue-existant.json.</x:v>
      </x:c>
    </x:row>
    <x:row r="1444">
      <x:c r="A1444" t="str">
        <x:v>DW-1439</x:v>
      </x:c>
      <x:c r="B1444" t="str">
        <x:v>DW-0220</x:v>
      </x:c>
      <x:c r="C1444" t="str">
        <x:v>Composition héritée</x:v>
      </x:c>
      <x:c r="D1444" t="str">
        <x:v>Abris et souterrains</x:v>
      </x:c>
      <x:c r="E1444" t="str">
        <x:v>Complexe privé de survie — Zone industrielle / service déplacé à l’arrière</x:v>
      </x:c>
      <x:c r="F1444" t="n">
        <x:v>8</x:v>
      </x:c>
      <x:c r="G1444" t="n">
        <x:v>5</x:v>
      </x:c>
      <x:c r="H1444" t="n">
        <x:v>15</x:v>
      </x:c>
      <x:c r="I1444" t="str">
        <x:v>À qualifier par lieu</x:v>
      </x:c>
      <x:c r="J1444" t="str">
        <x:v>https://github.com/darknigthmare/deadwall-last-enclosure/blob/1b3b9c5ba232734b1bda3453b4e20a0481bcdd74/codex-3000/compositions/Abris et souterrains/DW-1439.md</x:v>
      </x:c>
      <x:c r="K1444" t="str">
        <x:v>Source min 16,12 m ; max 95,70 m ; modèle 26 × 22 m ; niveaux 0. Détails dans catalogue-existant.json.</x:v>
      </x:c>
    </x:row>
    <x:row r="1445">
      <x:c r="A1445" t="str">
        <x:v>DW-1440</x:v>
      </x:c>
      <x:c r="B1445" t="str">
        <x:v>DW-0220</x:v>
      </x:c>
      <x:c r="C1445" t="str">
        <x:v>Composition héritée</x:v>
      </x:c>
      <x:c r="D1445" t="str">
        <x:v>Abris et souterrains</x:v>
      </x:c>
      <x:c r="E1445" t="str">
        <x:v>Complexe privé de survie — Grand camp allié / réseau principal coupé</x:v>
      </x:c>
      <x:c r="F1445" t="n">
        <x:v>10</x:v>
      </x:c>
      <x:c r="G1445" t="n">
        <x:v>5</x:v>
      </x:c>
      <x:c r="H1445" t="n">
        <x:v>15</x:v>
      </x:c>
      <x:c r="I1445" t="str">
        <x:v>À qualifier par lieu</x:v>
      </x:c>
      <x:c r="J1445" t="str">
        <x:v>https://github.com/darknigthmare/deadwall-last-enclosure/blob/1b3b9c5ba232734b1bda3453b4e20a0481bcdd74/codex-3000/compositions/Abris et souterrains/DW-1440.md</x:v>
      </x:c>
      <x:c r="K1445" t="str">
        <x:v>Source min 16,12 m ; max 95,70 m ; modèle 26 × 22 m ; niveaux 0. Détails dans catalogue-existant.json.</x:v>
      </x:c>
    </x:row>
    <x:row r="1446">
      <x:c r="A1446" t="str">
        <x:v>DW-1441</x:v>
      </x:c>
      <x:c r="B1446" t="str">
        <x:v>DW-0221</x:v>
      </x:c>
      <x:c r="C1446" t="str">
        <x:v>Composition héritée</x:v>
      </x:c>
      <x:c r="D1446" t="str">
        <x:v>Entrepôts et réserves</x:v>
      </x:c>
      <x:c r="E1446" t="str">
        <x:v>Entrepôt de messagerie — Entrepôt et plateforme logistique / reprise progressive de la végétation</x:v>
      </x:c>
      <x:c r="F1446" t="n">
        <x:v>8</x:v>
      </x:c>
      <x:c r="G1446" t="n">
        <x:v>4</x:v>
      </x:c>
      <x:c r="H1446" t="n">
        <x:v>12</x:v>
      </x:c>
      <x:c r="I1446" t="str">
        <x:v>À qualifier par lieu</x:v>
      </x:c>
      <x:c r="J1446" t="str">
        <x:v>https://github.com/darknigthmare/deadwall-last-enclosure/blob/1b3b9c5ba232734b1bda3453b4e20a0481bcdd74/codex-3000/compositions/Entrepôts et réserves/DW-1441.md</x:v>
      </x:c>
      <x:c r="K1446" t="str">
        <x:v>Source min 35,24 m ; max 200,125 m ; modèle 35 × 24 m ; niveaux 0. Détails dans catalogue-existant.json.</x:v>
      </x:c>
    </x:row>
    <x:row r="1447">
      <x:c r="A1447" t="str">
        <x:v>DW-1442</x:v>
      </x:c>
      <x:c r="B1447" t="str">
        <x:v>DW-0221</x:v>
      </x:c>
      <x:c r="C1447" t="str">
        <x:v>Composition héritée</x:v>
      </x:c>
      <x:c r="D1447" t="str">
        <x:v>Entrepôts et réserves</x:v>
      </x:c>
      <x:c r="E1447" t="str">
        <x:v>Entrepôt de messagerie — Zone industrielle / repli organisé interrompu</x:v>
      </x:c>
      <x:c r="F1447" t="n">
        <x:v>8</x:v>
      </x:c>
      <x:c r="G1447" t="n">
        <x:v>4</x:v>
      </x:c>
      <x:c r="H1447" t="n">
        <x:v>12</x:v>
      </x:c>
      <x:c r="I1447" t="str">
        <x:v>À qualifier par lieu</x:v>
      </x:c>
      <x:c r="J1447" t="str">
        <x:v>https://github.com/darknigthmare/deadwall-last-enclosure/blob/1b3b9c5ba232734b1bda3453b4e20a0481bcdd74/codex-3000/compositions/Entrepôts et réserves/DW-1442.md</x:v>
      </x:c>
      <x:c r="K1447" t="str">
        <x:v>Source min 35,24 m ; max 200,125 m ; modèle 35 × 24 m ; niveaux 0. Détails dans catalogue-existant.json.</x:v>
      </x:c>
    </x:row>
    <x:row r="1448">
      <x:c r="A1448" t="str">
        <x:v>DW-1443</x:v>
      </x:c>
      <x:c r="B1448" t="str">
        <x:v>DW-0222</x:v>
      </x:c>
      <x:c r="C1448" t="str">
        <x:v>Composition héritée</x:v>
      </x:c>
      <x:c r="D1448" t="str">
        <x:v>Entrepôts et réserves</x:v>
      </x:c>
      <x:c r="E1448" t="str">
        <x:v>Plateforme logistique — Port marchand / relais temporaire envisagé</x:v>
      </x:c>
      <x:c r="F1448" t="n">
        <x:v>10</x:v>
      </x:c>
      <x:c r="G1448" t="n">
        <x:v>4</x:v>
      </x:c>
      <x:c r="H1448" t="n">
        <x:v>12</x:v>
      </x:c>
      <x:c r="I1448" t="str">
        <x:v>À qualifier par lieu</x:v>
      </x:c>
      <x:c r="J1448" t="str">
        <x:v>https://github.com/darknigthmare/deadwall-last-enclosure/blob/1b3b9c5ba232734b1bda3453b4e20a0481bcdd74/codex-3000/compositions/Entrepôts et réserves/DW-1443.md</x:v>
      </x:c>
      <x:c r="K1448" t="str">
        <x:v>Source min 35,24 m ; max 200,125 m ; modèle 35 × 24 m ; niveaux 0. Détails dans catalogue-existant.json.</x:v>
      </x:c>
    </x:row>
    <x:row r="1449">
      <x:c r="A1449" t="str">
        <x:v>DW-1444</x:v>
      </x:c>
      <x:c r="B1449" t="str">
        <x:v>DW-0222</x:v>
      </x:c>
      <x:c r="C1449" t="str">
        <x:v>Composition héritée</x:v>
      </x:c>
      <x:c r="D1449" t="str">
        <x:v>Entrepôts et réserves</x:v>
      </x:c>
      <x:c r="E1449" t="str">
        <x:v>Plateforme logistique — Gare et fret / évacuation interrompue</x:v>
      </x:c>
      <x:c r="F1449" t="n">
        <x:v>10</x:v>
      </x:c>
      <x:c r="G1449" t="n">
        <x:v>4</x:v>
      </x:c>
      <x:c r="H1449" t="n">
        <x:v>12</x:v>
      </x:c>
      <x:c r="I1449" t="str">
        <x:v>À qualifier par lieu</x:v>
      </x:c>
      <x:c r="J1449" t="str">
        <x:v>https://github.com/darknigthmare/deadwall-last-enclosure/blob/1b3b9c5ba232734b1bda3453b4e20a0481bcdd74/codex-3000/compositions/Entrepôts et réserves/DW-1444.md</x:v>
      </x:c>
      <x:c r="K1449" t="str">
        <x:v>Source min 35,24 m ; max 200,125 m ; modèle 35 × 24 m ; niveaux 0. Détails dans catalogue-existant.json.</x:v>
      </x:c>
    </x:row>
    <x:row r="1450">
      <x:c r="A1450" t="str">
        <x:v>DW-1445</x:v>
      </x:c>
      <x:c r="B1450" t="str">
        <x:v>DW-0223</x:v>
      </x:c>
      <x:c r="C1450" t="str">
        <x:v>Composition héritée</x:v>
      </x:c>
      <x:c r="D1450" t="str">
        <x:v>Entrepôts et réserves</x:v>
      </x:c>
      <x:c r="E1450" t="str">
        <x:v>Dépôt de meubles — Zone industrielle / réseau principal coupé</x:v>
      </x:c>
      <x:c r="F1450" t="n">
        <x:v>8</x:v>
      </x:c>
      <x:c r="G1450" t="n">
        <x:v>4</x:v>
      </x:c>
      <x:c r="H1450" t="n">
        <x:v>12</x:v>
      </x:c>
      <x:c r="I1450" t="str">
        <x:v>À qualifier par lieu</x:v>
      </x:c>
      <x:c r="J1450" t="str">
        <x:v>https://github.com/darknigthmare/deadwall-last-enclosure/blob/1b3b9c5ba232734b1bda3453b4e20a0481bcdd74/codex-3000/compositions/Entrepôts et réserves/DW-1445.md</x:v>
      </x:c>
      <x:c r="K1450" t="str">
        <x:v>Source min 35,24 m ; max 200,125 m ; modèle 35 × 24 m ; niveaux 0. Détails dans catalogue-existant.json.</x:v>
      </x:c>
    </x:row>
    <x:row r="1451">
      <x:c r="A1451" t="str">
        <x:v>DW-1446</x:v>
      </x:c>
      <x:c r="B1451" t="str">
        <x:v>DW-0223</x:v>
      </x:c>
      <x:c r="C1451" t="str">
        <x:v>Composition héritée</x:v>
      </x:c>
      <x:c r="D1451" t="str">
        <x:v>Entrepôts et réserves</x:v>
      </x:c>
      <x:c r="E1451" t="str">
        <x:v>Dépôt de meubles — Entrepôt et plateforme logistique / arrêt de maintenance</x:v>
      </x:c>
      <x:c r="F1451" t="n">
        <x:v>8</x:v>
      </x:c>
      <x:c r="G1451" t="n">
        <x:v>4</x:v>
      </x:c>
      <x:c r="H1451" t="n">
        <x:v>12</x:v>
      </x:c>
      <x:c r="I1451" t="str">
        <x:v>À qualifier par lieu</x:v>
      </x:c>
      <x:c r="J1451" t="str">
        <x:v>https://github.com/darknigthmare/deadwall-last-enclosure/blob/1b3b9c5ba232734b1bda3453b4e20a0481bcdd74/codex-3000/compositions/Entrepôts et réserves/DW-1446.md</x:v>
      </x:c>
      <x:c r="K1451" t="str">
        <x:v>Source min 35,24 m ; max 200,125 m ; modèle 35 × 24 m ; niveaux 0. Détails dans catalogue-existant.json.</x:v>
      </x:c>
    </x:row>
    <x:row r="1452">
      <x:c r="A1452" t="str">
        <x:v>DW-1447</x:v>
      </x:c>
      <x:c r="B1452" t="str">
        <x:v>DW-0224</x:v>
      </x:c>
      <x:c r="C1452" t="str">
        <x:v>Composition héritée</x:v>
      </x:c>
      <x:c r="D1452" t="str">
        <x:v>Entrepôts et réserves</x:v>
      </x:c>
      <x:c r="E1452" t="str">
        <x:v>Garde-meubles — Gare et fret / repli organisé interrompu</x:v>
      </x:c>
      <x:c r="F1452" t="n">
        <x:v>10</x:v>
      </x:c>
      <x:c r="G1452" t="n">
        <x:v>4</x:v>
      </x:c>
      <x:c r="H1452" t="n">
        <x:v>10</x:v>
      </x:c>
      <x:c r="I1452" t="str">
        <x:v>À qualifier par lieu</x:v>
      </x:c>
      <x:c r="J1452" t="str">
        <x:v>https://github.com/darknigthmare/deadwall-last-enclosure/blob/1b3b9c5ba232734b1bda3453b4e20a0481bcdd74/codex-3000/compositions/Entrepôts et réserves/DW-1447.md</x:v>
      </x:c>
      <x:c r="K1452" t="str">
        <x:v>Source min 35,24 m ; max 200,125 m ; modèle 35 × 24 m ; niveaux 0. Détails dans catalogue-existant.json.</x:v>
      </x:c>
    </x:row>
    <x:row r="1453">
      <x:c r="A1453" t="str">
        <x:v>DW-1448</x:v>
      </x:c>
      <x:c r="B1453" t="str">
        <x:v>DW-0224</x:v>
      </x:c>
      <x:c r="C1453" t="str">
        <x:v>Composition héritée</x:v>
      </x:c>
      <x:c r="D1453" t="str">
        <x:v>Entrepôts et réserves</x:v>
      </x:c>
      <x:c r="E1453" t="str">
        <x:v>Garde-meubles — Port marchand / première récupération passée</x:v>
      </x:c>
      <x:c r="F1453" t="n">
        <x:v>10</x:v>
      </x:c>
      <x:c r="G1453" t="n">
        <x:v>4</x:v>
      </x:c>
      <x:c r="H1453" t="n">
        <x:v>10</x:v>
      </x:c>
      <x:c r="I1453" t="str">
        <x:v>À qualifier par lieu</x:v>
      </x:c>
      <x:c r="J1453" t="str">
        <x:v>https://github.com/darknigthmare/deadwall-last-enclosure/blob/1b3b9c5ba232734b1bda3453b4e20a0481bcdd74/codex-3000/compositions/Entrepôts et réserves/DW-1448.md</x:v>
      </x:c>
      <x:c r="K1453" t="str">
        <x:v>Source min 35,24 m ; max 200,125 m ; modèle 35 × 24 m ; niveaux 0. Détails dans catalogue-existant.json.</x:v>
      </x:c>
    </x:row>
    <x:row r="1454">
      <x:c r="A1454" t="str">
        <x:v>DW-1449</x:v>
      </x:c>
      <x:c r="B1454" t="str">
        <x:v>DW-0225</x:v>
      </x:c>
      <x:c r="C1454" t="str">
        <x:v>Composition héritée</x:v>
      </x:c>
      <x:c r="D1454" t="str">
        <x:v>Entrepôts et réserves</x:v>
      </x:c>
      <x:c r="E1454" t="str">
        <x:v>Self-stockage extérieur — Entrepôt et plateforme logistique / évacuation interrompue</x:v>
      </x:c>
      <x:c r="F1454" t="n">
        <x:v>8</x:v>
      </x:c>
      <x:c r="G1454" t="n">
        <x:v>4</x:v>
      </x:c>
      <x:c r="H1454" t="n">
        <x:v>12</x:v>
      </x:c>
      <x:c r="I1454" t="str">
        <x:v>À qualifier par lieu</x:v>
      </x:c>
      <x:c r="J1454" t="str">
        <x:v>https://github.com/darknigthmare/deadwall-last-enclosure/blob/1b3b9c5ba232734b1bda3453b4e20a0481bcdd74/codex-3000/compositions/Entrepôts et réserves/DW-1449.md</x:v>
      </x:c>
      <x:c r="K1454" t="str">
        <x:v>Source min 35,24 m ; max 200,125 m ; modèle 35 × 24 m ; niveaux 0. Détails dans catalogue-existant.json.</x:v>
      </x:c>
    </x:row>
    <x:row r="1455">
      <x:c r="A1455" t="str">
        <x:v>DW-1450</x:v>
      </x:c>
      <x:c r="B1455" t="str">
        <x:v>DW-0225</x:v>
      </x:c>
      <x:c r="C1455" t="str">
        <x:v>Composition héritée</x:v>
      </x:c>
      <x:c r="D1455" t="str">
        <x:v>Entrepôts et réserves</x:v>
      </x:c>
      <x:c r="E1455" t="str">
        <x:v>Self-stockage extérieur — Zone industrielle / service déplacé à l’arrière</x:v>
      </x:c>
      <x:c r="F1455" t="n">
        <x:v>8</x:v>
      </x:c>
      <x:c r="G1455" t="n">
        <x:v>4</x:v>
      </x:c>
      <x:c r="H1455" t="n">
        <x:v>12</x:v>
      </x:c>
      <x:c r="I1455" t="str">
        <x:v>À qualifier par lieu</x:v>
      </x:c>
      <x:c r="J1455" t="str">
        <x:v>https://github.com/darknigthmare/deadwall-last-enclosure/blob/1b3b9c5ba232734b1bda3453b4e20a0481bcdd74/codex-3000/compositions/Entrepôts et réserves/DW-1450.md</x:v>
      </x:c>
      <x:c r="K1455" t="str">
        <x:v>Source min 35,24 m ; max 200,125 m ; modèle 35 × 24 m ; niveaux 0. Détails dans catalogue-existant.json.</x:v>
      </x:c>
    </x:row>
    <x:row r="1456">
      <x:c r="A1456" t="str">
        <x:v>DW-1451</x:v>
      </x:c>
      <x:c r="B1456" t="str">
        <x:v>DW-0226</x:v>
      </x:c>
      <x:c r="C1456" t="str">
        <x:v>Composition héritée</x:v>
      </x:c>
      <x:c r="D1456" t="str">
        <x:v>Entrepôts et réserves</x:v>
      </x:c>
      <x:c r="E1456" t="str">
        <x:v>Hangar agricole de stockage — Port marchand / arrêt de maintenance</x:v>
      </x:c>
      <x:c r="F1456" t="n">
        <x:v>10</x:v>
      </x:c>
      <x:c r="G1456" t="n">
        <x:v>4</x:v>
      </x:c>
      <x:c r="H1456" t="n">
        <x:v>12</x:v>
      </x:c>
      <x:c r="I1456" t="str">
        <x:v>À qualifier par lieu</x:v>
      </x:c>
      <x:c r="J1456" t="str">
        <x:v>https://github.com/darknigthmare/deadwall-last-enclosure/blob/1b3b9c5ba232734b1bda3453b4e20a0481bcdd74/codex-3000/compositions/Entrepôts et réserves/DW-1451.md</x:v>
      </x:c>
      <x:c r="K1456" t="str">
        <x:v>Source min 35,24 m ; max 200,125 m ; modèle 35 × 24 m ; niveaux 0. Détails dans catalogue-existant.json.</x:v>
      </x:c>
    </x:row>
    <x:row r="1457">
      <x:c r="A1457" t="str">
        <x:v>DW-1452</x:v>
      </x:c>
      <x:c r="B1457" t="str">
        <x:v>DW-0226</x:v>
      </x:c>
      <x:c r="C1457" t="str">
        <x:v>Composition héritée</x:v>
      </x:c>
      <x:c r="D1457" t="str">
        <x:v>Entrepôts et réserves</x:v>
      </x:c>
      <x:c r="E1457" t="str">
        <x:v>Hangar agricole de stockage — Gare et fret / reprise progressive de la végétation</x:v>
      </x:c>
      <x:c r="F1457" t="n">
        <x:v>10</x:v>
      </x:c>
      <x:c r="G1457" t="n">
        <x:v>4</x:v>
      </x:c>
      <x:c r="H1457" t="n">
        <x:v>12</x:v>
      </x:c>
      <x:c r="I1457" t="str">
        <x:v>À qualifier par lieu</x:v>
      </x:c>
      <x:c r="J1457" t="str">
        <x:v>https://github.com/darknigthmare/deadwall-last-enclosure/blob/1b3b9c5ba232734b1bda3453b4e20a0481bcdd74/codex-3000/compositions/Entrepôts et réserves/DW-1452.md</x:v>
      </x:c>
      <x:c r="K1457" t="str">
        <x:v>Source min 35,24 m ; max 200,125 m ; modèle 35 × 24 m ; niveaux 0. Détails dans catalogue-existant.json.</x:v>
      </x:c>
    </x:row>
    <x:row r="1458">
      <x:c r="A1458" t="str">
        <x:v>DW-1453</x:v>
      </x:c>
      <x:c r="B1458" t="str">
        <x:v>DW-0227</x:v>
      </x:c>
      <x:c r="C1458" t="str">
        <x:v>Composition héritée</x:v>
      </x:c>
      <x:c r="D1458" t="str">
        <x:v>Entrepôts et réserves</x:v>
      </x:c>
      <x:c r="E1458" t="str">
        <x:v>Dépôt de boissons — Zone industrielle / première récupération passée</x:v>
      </x:c>
      <x:c r="F1458" t="n">
        <x:v>8</x:v>
      </x:c>
      <x:c r="G1458" t="n">
        <x:v>4</x:v>
      </x:c>
      <x:c r="H1458" t="n">
        <x:v>12</x:v>
      </x:c>
      <x:c r="I1458" t="str">
        <x:v>À qualifier par lieu</x:v>
      </x:c>
      <x:c r="J1458" t="str">
        <x:v>https://github.com/darknigthmare/deadwall-last-enclosure/blob/1b3b9c5ba232734b1bda3453b4e20a0481bcdd74/codex-3000/compositions/Entrepôts et réserves/DW-1453.md</x:v>
      </x:c>
      <x:c r="K1458" t="str">
        <x:v>Source min 35,24 m ; max 200,125 m ; modèle 35 × 24 m ; niveaux 0. Détails dans catalogue-existant.json.</x:v>
      </x:c>
    </x:row>
    <x:row r="1459">
      <x:c r="A1459" t="str">
        <x:v>DW-1454</x:v>
      </x:c>
      <x:c r="B1459" t="str">
        <x:v>DW-0227</x:v>
      </x:c>
      <x:c r="C1459" t="str">
        <x:v>Composition héritée</x:v>
      </x:c>
      <x:c r="D1459" t="str">
        <x:v>Entrepôts et réserves</x:v>
      </x:c>
      <x:c r="E1459" t="str">
        <x:v>Dépôt de boissons — Entrepôt et plateforme logistique / relais temporaire envisagé</x:v>
      </x:c>
      <x:c r="F1459" t="n">
        <x:v>8</x:v>
      </x:c>
      <x:c r="G1459" t="n">
        <x:v>4</x:v>
      </x:c>
      <x:c r="H1459" t="n">
        <x:v>12</x:v>
      </x:c>
      <x:c r="I1459" t="str">
        <x:v>À qualifier par lieu</x:v>
      </x:c>
      <x:c r="J1459" t="str">
        <x:v>https://github.com/darknigthmare/deadwall-last-enclosure/blob/1b3b9c5ba232734b1bda3453b4e20a0481bcdd74/codex-3000/compositions/Entrepôts et réserves/DW-1454.md</x:v>
      </x:c>
      <x:c r="K1459" t="str">
        <x:v>Source min 35,24 m ; max 200,125 m ; modèle 35 × 24 m ; niveaux 0. Détails dans catalogue-existant.json.</x:v>
      </x:c>
    </x:row>
    <x:row r="1460">
      <x:c r="A1460" t="str">
        <x:v>DW-1455</x:v>
      </x:c>
      <x:c r="B1460" t="str">
        <x:v>DW-0228</x:v>
      </x:c>
      <x:c r="C1460" t="str">
        <x:v>Composition héritée</x:v>
      </x:c>
      <x:c r="D1460" t="str">
        <x:v>Entrepôts et réserves</x:v>
      </x:c>
      <x:c r="E1460" t="str">
        <x:v>Stockage textile — Gare et fret / service déplacé à l’arrière</x:v>
      </x:c>
      <x:c r="F1460" t="n">
        <x:v>10</x:v>
      </x:c>
      <x:c r="G1460" t="n">
        <x:v>4</x:v>
      </x:c>
      <x:c r="H1460" t="n">
        <x:v>12</x:v>
      </x:c>
      <x:c r="I1460" t="str">
        <x:v>À qualifier par lieu</x:v>
      </x:c>
      <x:c r="J1460" t="str">
        <x:v>https://github.com/darknigthmare/deadwall-last-enclosure/blob/1b3b9c5ba232734b1bda3453b4e20a0481bcdd74/codex-3000/compositions/Entrepôts et réserves/DW-1455.md</x:v>
      </x:c>
      <x:c r="K1460" t="str">
        <x:v>Source min 35,24 m ; max 200,125 m ; modèle 35 × 24 m ; niveaux 0. Détails dans catalogue-existant.json.</x:v>
      </x:c>
    </x:row>
    <x:row r="1461">
      <x:c r="A1461" t="str">
        <x:v>DW-1456</x:v>
      </x:c>
      <x:c r="B1461" t="str">
        <x:v>DW-0228</x:v>
      </x:c>
      <x:c r="C1461" t="str">
        <x:v>Composition héritée</x:v>
      </x:c>
      <x:c r="D1461" t="str">
        <x:v>Entrepôts et réserves</x:v>
      </x:c>
      <x:c r="E1461" t="str">
        <x:v>Stockage textile — Port marchand / réseau principal coupé</x:v>
      </x:c>
      <x:c r="F1461" t="n">
        <x:v>10</x:v>
      </x:c>
      <x:c r="G1461" t="n">
        <x:v>4</x:v>
      </x:c>
      <x:c r="H1461" t="n">
        <x:v>12</x:v>
      </x:c>
      <x:c r="I1461" t="str">
        <x:v>À qualifier par lieu</x:v>
      </x:c>
      <x:c r="J1461" t="str">
        <x:v>https://github.com/darknigthmare/deadwall-last-enclosure/blob/1b3b9c5ba232734b1bda3453b4e20a0481bcdd74/codex-3000/compositions/Entrepôts et réserves/DW-1456.md</x:v>
      </x:c>
      <x:c r="K1461" t="str">
        <x:v>Source min 35,24 m ; max 200,125 m ; modèle 35 × 24 m ; niveaux 0. Détails dans catalogue-existant.json.</x:v>
      </x:c>
    </x:row>
    <x:row r="1462">
      <x:c r="A1462" t="str">
        <x:v>DW-1457</x:v>
      </x:c>
      <x:c r="B1462" t="str">
        <x:v>DW-0229</x:v>
      </x:c>
      <x:c r="C1462" t="str">
        <x:v>Composition héritée</x:v>
      </x:c>
      <x:c r="D1462" t="str">
        <x:v>Entrepôts et réserves</x:v>
      </x:c>
      <x:c r="E1462" t="str">
        <x:v>Magasin de pièces automobiles — Entrepôt et plateforme logistique / reprise progressive de la végétation</x:v>
      </x:c>
      <x:c r="F1462" t="n">
        <x:v>8</x:v>
      </x:c>
      <x:c r="G1462" t="n">
        <x:v>4</x:v>
      </x:c>
      <x:c r="H1462" t="n">
        <x:v>12</x:v>
      </x:c>
      <x:c r="I1462" t="str">
        <x:v>À qualifier par lieu</x:v>
      </x:c>
      <x:c r="J1462" t="str">
        <x:v>https://github.com/darknigthmare/deadwall-last-enclosure/blob/1b3b9c5ba232734b1bda3453b4e20a0481bcdd74/codex-3000/compositions/Entrepôts et réserves/DW-1457.md</x:v>
      </x:c>
      <x:c r="K1462" t="str">
        <x:v>Source min 35,24 m ; max 200,125 m ; modèle 35 × 24 m ; niveaux 0. Détails dans catalogue-existant.json.</x:v>
      </x:c>
    </x:row>
    <x:row r="1463">
      <x:c r="A1463" t="str">
        <x:v>DW-1458</x:v>
      </x:c>
      <x:c r="B1463" t="str">
        <x:v>DW-0229</x:v>
      </x:c>
      <x:c r="C1463" t="str">
        <x:v>Composition héritée</x:v>
      </x:c>
      <x:c r="D1463" t="str">
        <x:v>Entrepôts et réserves</x:v>
      </x:c>
      <x:c r="E1463" t="str">
        <x:v>Magasin de pièces automobiles — Zone industrielle / repli organisé interrompu</x:v>
      </x:c>
      <x:c r="F1463" t="n">
        <x:v>8</x:v>
      </x:c>
      <x:c r="G1463" t="n">
        <x:v>4</x:v>
      </x:c>
      <x:c r="H1463" t="n">
        <x:v>12</x:v>
      </x:c>
      <x:c r="I1463" t="str">
        <x:v>À qualifier par lieu</x:v>
      </x:c>
      <x:c r="J1463" t="str">
        <x:v>https://github.com/darknigthmare/deadwall-last-enclosure/blob/1b3b9c5ba232734b1bda3453b4e20a0481bcdd74/codex-3000/compositions/Entrepôts et réserves/DW-1458.md</x:v>
      </x:c>
      <x:c r="K1463" t="str">
        <x:v>Source min 35,24 m ; max 200,125 m ; modèle 35 × 24 m ; niveaux 0. Détails dans catalogue-existant.json.</x:v>
      </x:c>
    </x:row>
    <x:row r="1464">
      <x:c r="A1464" t="str">
        <x:v>DW-1459</x:v>
      </x:c>
      <x:c r="B1464" t="str">
        <x:v>DW-0230</x:v>
      </x:c>
      <x:c r="C1464" t="str">
        <x:v>Composition héritée</x:v>
      </x:c>
      <x:c r="D1464" t="str">
        <x:v>Entrepôts et réserves</x:v>
      </x:c>
      <x:c r="E1464" t="str">
        <x:v>Entrepôt de matériaux longs — Port marchand / relais temporaire envisagé</x:v>
      </x:c>
      <x:c r="F1464" t="n">
        <x:v>10</x:v>
      </x:c>
      <x:c r="G1464" t="n">
        <x:v>4</x:v>
      </x:c>
      <x:c r="H1464" t="n">
        <x:v>12</x:v>
      </x:c>
      <x:c r="I1464" t="str">
        <x:v>À qualifier par lieu</x:v>
      </x:c>
      <x:c r="J1464" t="str">
        <x:v>https://github.com/darknigthmare/deadwall-last-enclosure/blob/1b3b9c5ba232734b1bda3453b4e20a0481bcdd74/codex-3000/compositions/Entrepôts et réserves/DW-1459.md</x:v>
      </x:c>
      <x:c r="K1464" t="str">
        <x:v>Source min 35,24 m ; max 200,125 m ; modèle 35 × 24 m ; niveaux 0. Détails dans catalogue-existant.json.</x:v>
      </x:c>
    </x:row>
    <x:row r="1465">
      <x:c r="A1465" t="str">
        <x:v>DW-1460</x:v>
      </x:c>
      <x:c r="B1465" t="str">
        <x:v>DW-0230</x:v>
      </x:c>
      <x:c r="C1465" t="str">
        <x:v>Composition héritée</x:v>
      </x:c>
      <x:c r="D1465" t="str">
        <x:v>Entrepôts et réserves</x:v>
      </x:c>
      <x:c r="E1465" t="str">
        <x:v>Entrepôt de matériaux longs — Gare et fret / évacuation interrompue</x:v>
      </x:c>
      <x:c r="F1465" t="n">
        <x:v>10</x:v>
      </x:c>
      <x:c r="G1465" t="n">
        <x:v>4</x:v>
      </x:c>
      <x:c r="H1465" t="n">
        <x:v>12</x:v>
      </x:c>
      <x:c r="I1465" t="str">
        <x:v>À qualifier par lieu</x:v>
      </x:c>
      <x:c r="J1465" t="str">
        <x:v>https://github.com/darknigthmare/deadwall-last-enclosure/blob/1b3b9c5ba232734b1bda3453b4e20a0481bcdd74/codex-3000/compositions/Entrepôts et réserves/DW-1460.md</x:v>
      </x:c>
      <x:c r="K1465" t="str">
        <x:v>Source min 35,24 m ; max 200,125 m ; modèle 35 × 24 m ; niveaux 0. Détails dans catalogue-existant.json.</x:v>
      </x:c>
    </x:row>
    <x:row r="1466">
      <x:c r="A1466" t="str">
        <x:v>DW-1461</x:v>
      </x:c>
      <x:c r="B1466" t="str">
        <x:v>DW-0231</x:v>
      </x:c>
      <x:c r="C1466" t="str">
        <x:v>Composition héritée</x:v>
      </x:c>
      <x:c r="D1466" t="str">
        <x:v>Entrepôts et réserves</x:v>
      </x:c>
      <x:c r="E1466" t="str">
        <x:v>Dépôt de carrelage — Zone industrielle / réseau principal coupé</x:v>
      </x:c>
      <x:c r="F1466" t="n">
        <x:v>8</x:v>
      </x:c>
      <x:c r="G1466" t="n">
        <x:v>4</x:v>
      </x:c>
      <x:c r="H1466" t="n">
        <x:v>12</x:v>
      </x:c>
      <x:c r="I1466" t="str">
        <x:v>À qualifier par lieu</x:v>
      </x:c>
      <x:c r="J1466" t="str">
        <x:v>https://github.com/darknigthmare/deadwall-last-enclosure/blob/1b3b9c5ba232734b1bda3453b4e20a0481bcdd74/codex-3000/compositions/Entrepôts et réserves/DW-1461.md</x:v>
      </x:c>
      <x:c r="K1466" t="str">
        <x:v>Source min 35,24 m ; max 200,125 m ; modèle 35 × 24 m ; niveaux 0. Détails dans catalogue-existant.json.</x:v>
      </x:c>
    </x:row>
    <x:row r="1467">
      <x:c r="A1467" t="str">
        <x:v>DW-1462</x:v>
      </x:c>
      <x:c r="B1467" t="str">
        <x:v>DW-0231</x:v>
      </x:c>
      <x:c r="C1467" t="str">
        <x:v>Composition héritée</x:v>
      </x:c>
      <x:c r="D1467" t="str">
        <x:v>Entrepôts et réserves</x:v>
      </x:c>
      <x:c r="E1467" t="str">
        <x:v>Dépôt de carrelage — Entrepôt et plateforme logistique / arrêt de maintenance</x:v>
      </x:c>
      <x:c r="F1467" t="n">
        <x:v>8</x:v>
      </x:c>
      <x:c r="G1467" t="n">
        <x:v>4</x:v>
      </x:c>
      <x:c r="H1467" t="n">
        <x:v>12</x:v>
      </x:c>
      <x:c r="I1467" t="str">
        <x:v>À qualifier par lieu</x:v>
      </x:c>
      <x:c r="J1467" t="str">
        <x:v>https://github.com/darknigthmare/deadwall-last-enclosure/blob/1b3b9c5ba232734b1bda3453b4e20a0481bcdd74/codex-3000/compositions/Entrepôts et réserves/DW-1462.md</x:v>
      </x:c>
      <x:c r="K1467" t="str">
        <x:v>Source min 35,24 m ; max 200,125 m ; modèle 35 × 24 m ; niveaux 0. Détails dans catalogue-existant.json.</x:v>
      </x:c>
    </x:row>
    <x:row r="1468">
      <x:c r="A1468" t="str">
        <x:v>DW-1463</x:v>
      </x:c>
      <x:c r="B1468" t="str">
        <x:v>DW-0232</x:v>
      </x:c>
      <x:c r="C1468" t="str">
        <x:v>Composition héritée</x:v>
      </x:c>
      <x:c r="D1468" t="str">
        <x:v>Entrepôts et réserves</x:v>
      </x:c>
      <x:c r="E1468" t="str">
        <x:v>Centre de déménagement — Gare et fret / repli organisé interrompu</x:v>
      </x:c>
      <x:c r="F1468" t="n">
        <x:v>10</x:v>
      </x:c>
      <x:c r="G1468" t="n">
        <x:v>4</x:v>
      </x:c>
      <x:c r="H1468" t="n">
        <x:v>12</x:v>
      </x:c>
      <x:c r="I1468" t="str">
        <x:v>À qualifier par lieu</x:v>
      </x:c>
      <x:c r="J1468" t="str">
        <x:v>https://github.com/darknigthmare/deadwall-last-enclosure/blob/1b3b9c5ba232734b1bda3453b4e20a0481bcdd74/codex-3000/compositions/Entrepôts et réserves/DW-1463.md</x:v>
      </x:c>
      <x:c r="K1468" t="str">
        <x:v>Source min 35,24 m ; max 200,125 m ; modèle 35 × 24 m ; niveaux 0. Détails dans catalogue-existant.json.</x:v>
      </x:c>
    </x:row>
    <x:row r="1469">
      <x:c r="A1469" t="str">
        <x:v>DW-1464</x:v>
      </x:c>
      <x:c r="B1469" t="str">
        <x:v>DW-0232</x:v>
      </x:c>
      <x:c r="C1469" t="str">
        <x:v>Composition héritée</x:v>
      </x:c>
      <x:c r="D1469" t="str">
        <x:v>Entrepôts et réserves</x:v>
      </x:c>
      <x:c r="E1469" t="str">
        <x:v>Centre de déménagement — Port marchand / première récupération passée</x:v>
      </x:c>
      <x:c r="F1469" t="n">
        <x:v>10</x:v>
      </x:c>
      <x:c r="G1469" t="n">
        <x:v>4</x:v>
      </x:c>
      <x:c r="H1469" t="n">
        <x:v>12</x:v>
      </x:c>
      <x:c r="I1469" t="str">
        <x:v>À qualifier par lieu</x:v>
      </x:c>
      <x:c r="J1469" t="str">
        <x:v>https://github.com/darknigthmare/deadwall-last-enclosure/blob/1b3b9c5ba232734b1bda3453b4e20a0481bcdd74/codex-3000/compositions/Entrepôts et réserves/DW-1464.md</x:v>
      </x:c>
      <x:c r="K1469" t="str">
        <x:v>Source min 35,24 m ; max 200,125 m ; modèle 35 × 24 m ; niveaux 0. Détails dans catalogue-existant.json.</x:v>
      </x:c>
    </x:row>
    <x:row r="1470">
      <x:c r="A1470" t="str">
        <x:v>DW-1465</x:v>
      </x:c>
      <x:c r="B1470" t="str">
        <x:v>DW-0233</x:v>
      </x:c>
      <x:c r="C1470" t="str">
        <x:v>Composition héritée</x:v>
      </x:c>
      <x:c r="D1470" t="str">
        <x:v>Entrepôts et réserves</x:v>
      </x:c>
      <x:c r="E1470" t="str">
        <x:v>Dépôt scénique — Entrepôt et plateforme logistique / évacuation interrompue</x:v>
      </x:c>
      <x:c r="F1470" t="n">
        <x:v>8</x:v>
      </x:c>
      <x:c r="G1470" t="n">
        <x:v>5</x:v>
      </x:c>
      <x:c r="H1470" t="n">
        <x:v>15</x:v>
      </x:c>
      <x:c r="I1470" t="str">
        <x:v>À qualifier par lieu</x:v>
      </x:c>
      <x:c r="J1470" t="str">
        <x:v>https://github.com/darknigthmare/deadwall-last-enclosure/blob/1b3b9c5ba232734b1bda3453b4e20a0481bcdd74/codex-3000/compositions/Entrepôts et réserves/DW-1465.md</x:v>
      </x:c>
      <x:c r="K1470" t="str">
        <x:v>Source min 35,24 m ; max 200,125 m ; modèle 35 × 24 m ; niveaux 0. Détails dans catalogue-existant.json.</x:v>
      </x:c>
    </x:row>
    <x:row r="1471">
      <x:c r="A1471" t="str">
        <x:v>DW-1466</x:v>
      </x:c>
      <x:c r="B1471" t="str">
        <x:v>DW-0233</x:v>
      </x:c>
      <x:c r="C1471" t="str">
        <x:v>Composition héritée</x:v>
      </x:c>
      <x:c r="D1471" t="str">
        <x:v>Entrepôts et réserves</x:v>
      </x:c>
      <x:c r="E1471" t="str">
        <x:v>Dépôt scénique — Zone industrielle / service déplacé à l’arrière</x:v>
      </x:c>
      <x:c r="F1471" t="n">
        <x:v>8</x:v>
      </x:c>
      <x:c r="G1471" t="n">
        <x:v>5</x:v>
      </x:c>
      <x:c r="H1471" t="n">
        <x:v>15</x:v>
      </x:c>
      <x:c r="I1471" t="str">
        <x:v>À qualifier par lieu</x:v>
      </x:c>
      <x:c r="J1471" t="str">
        <x:v>https://github.com/darknigthmare/deadwall-last-enclosure/blob/1b3b9c5ba232734b1bda3453b4e20a0481bcdd74/codex-3000/compositions/Entrepôts et réserves/DW-1466.md</x:v>
      </x:c>
      <x:c r="K1471" t="str">
        <x:v>Source min 35,24 m ; max 200,125 m ; modèle 35 × 24 m ; niveaux 0. Détails dans catalogue-existant.json.</x:v>
      </x:c>
    </x:row>
    <x:row r="1472">
      <x:c r="A1472" t="str">
        <x:v>DW-1467</x:v>
      </x:c>
      <x:c r="B1472" t="str">
        <x:v>DW-0234</x:v>
      </x:c>
      <x:c r="C1472" t="str">
        <x:v>Composition héritée</x:v>
      </x:c>
      <x:c r="D1472" t="str">
        <x:v>Entrepôts et réserves</x:v>
      </x:c>
      <x:c r="E1472" t="str">
        <x:v>Réserve muséale — Port marchand / arrêt de maintenance</x:v>
      </x:c>
      <x:c r="F1472" t="n">
        <x:v>10</x:v>
      </x:c>
      <x:c r="G1472" t="n">
        <x:v>4</x:v>
      </x:c>
      <x:c r="H1472" t="n">
        <x:v>12</x:v>
      </x:c>
      <x:c r="I1472" t="str">
        <x:v>À qualifier par lieu</x:v>
      </x:c>
      <x:c r="J1472" t="str">
        <x:v>https://github.com/darknigthmare/deadwall-last-enclosure/blob/1b3b9c5ba232734b1bda3453b4e20a0481bcdd74/codex-3000/compositions/Entrepôts et réserves/DW-1467.md</x:v>
      </x:c>
      <x:c r="K1472" t="str">
        <x:v>Source min 35,24 m ; max 200,125 m ; modèle 35 × 24 m ; niveaux 0. Détails dans catalogue-existant.json.</x:v>
      </x:c>
    </x:row>
    <x:row r="1473">
      <x:c r="A1473" t="str">
        <x:v>DW-1468</x:v>
      </x:c>
      <x:c r="B1473" t="str">
        <x:v>DW-0234</x:v>
      </x:c>
      <x:c r="C1473" t="str">
        <x:v>Composition héritée</x:v>
      </x:c>
      <x:c r="D1473" t="str">
        <x:v>Entrepôts et réserves</x:v>
      </x:c>
      <x:c r="E1473" t="str">
        <x:v>Réserve muséale — Gare et fret / reprise progressive de la végétation</x:v>
      </x:c>
      <x:c r="F1473" t="n">
        <x:v>10</x:v>
      </x:c>
      <x:c r="G1473" t="n">
        <x:v>4</x:v>
      </x:c>
      <x:c r="H1473" t="n">
        <x:v>12</x:v>
      </x:c>
      <x:c r="I1473" t="str">
        <x:v>À qualifier par lieu</x:v>
      </x:c>
      <x:c r="J1473" t="str">
        <x:v>https://github.com/darknigthmare/deadwall-last-enclosure/blob/1b3b9c5ba232734b1bda3453b4e20a0481bcdd74/codex-3000/compositions/Entrepôts et réserves/DW-1468.md</x:v>
      </x:c>
      <x:c r="K1473" t="str">
        <x:v>Source min 35,24 m ; max 200,125 m ; modèle 35 × 24 m ; niveaux 0. Détails dans catalogue-existant.json.</x:v>
      </x:c>
    </x:row>
    <x:row r="1474">
      <x:c r="A1474" t="str">
        <x:v>DW-1469</x:v>
      </x:c>
      <x:c r="B1474" t="str">
        <x:v>DW-0235</x:v>
      </x:c>
      <x:c r="C1474" t="str">
        <x:v>Composition héritée</x:v>
      </x:c>
      <x:c r="D1474" t="str">
        <x:v>Entrepôts et réserves</x:v>
      </x:c>
      <x:c r="E1474" t="str">
        <x:v>Réserve hospitalière — Zone industrielle / première récupération passée</x:v>
      </x:c>
      <x:c r="F1474" t="n">
        <x:v>8</x:v>
      </x:c>
      <x:c r="G1474" t="n">
        <x:v>4</x:v>
      </x:c>
      <x:c r="H1474" t="n">
        <x:v>12</x:v>
      </x:c>
      <x:c r="I1474" t="str">
        <x:v>À qualifier par lieu</x:v>
      </x:c>
      <x:c r="J1474" t="str">
        <x:v>https://github.com/darknigthmare/deadwall-last-enclosure/blob/1b3b9c5ba232734b1bda3453b4e20a0481bcdd74/codex-3000/compositions/Entrepôts et réserves/DW-1469.md</x:v>
      </x:c>
      <x:c r="K1474" t="str">
        <x:v>Source min 35,24 m ; max 200,125 m ; modèle 35 × 24 m ; niveaux 0. Détails dans catalogue-existant.json.</x:v>
      </x:c>
    </x:row>
    <x:row r="1475">
      <x:c r="A1475" t="str">
        <x:v>DW-1470</x:v>
      </x:c>
      <x:c r="B1475" t="str">
        <x:v>DW-0235</x:v>
      </x:c>
      <x:c r="C1475" t="str">
        <x:v>Composition héritée</x:v>
      </x:c>
      <x:c r="D1475" t="str">
        <x:v>Entrepôts et réserves</x:v>
      </x:c>
      <x:c r="E1475" t="str">
        <x:v>Réserve hospitalière — Entrepôt et plateforme logistique / relais temporaire envisagé</x:v>
      </x:c>
      <x:c r="F1475" t="n">
        <x:v>8</x:v>
      </x:c>
      <x:c r="G1475" t="n">
        <x:v>4</x:v>
      </x:c>
      <x:c r="H1475" t="n">
        <x:v>12</x:v>
      </x:c>
      <x:c r="I1475" t="str">
        <x:v>À qualifier par lieu</x:v>
      </x:c>
      <x:c r="J1475" t="str">
        <x:v>https://github.com/darknigthmare/deadwall-last-enclosure/blob/1b3b9c5ba232734b1bda3453b4e20a0481bcdd74/codex-3000/compositions/Entrepôts et réserves/DW-1470.md</x:v>
      </x:c>
      <x:c r="K1475" t="str">
        <x:v>Source min 35,24 m ; max 200,125 m ; modèle 35 × 24 m ; niveaux 0. Détails dans catalogue-existant.json.</x:v>
      </x:c>
    </x:row>
    <x:row r="1476">
      <x:c r="A1476" t="str">
        <x:v>DW-1471</x:v>
      </x:c>
      <x:c r="B1476" t="str">
        <x:v>DW-0236</x:v>
      </x:c>
      <x:c r="C1476" t="str">
        <x:v>Composition héritée</x:v>
      </x:c>
      <x:c r="D1476" t="str">
        <x:v>Entrepôts et réserves</x:v>
      </x:c>
      <x:c r="E1476" t="str">
        <x:v>Dépôt de mobilier communal — Gare et fret / service déplacé à l’arrière</x:v>
      </x:c>
      <x:c r="F1476" t="n">
        <x:v>10</x:v>
      </x:c>
      <x:c r="G1476" t="n">
        <x:v>4</x:v>
      </x:c>
      <x:c r="H1476" t="n">
        <x:v>12</x:v>
      </x:c>
      <x:c r="I1476" t="str">
        <x:v>À qualifier par lieu</x:v>
      </x:c>
      <x:c r="J1476" t="str">
        <x:v>https://github.com/darknigthmare/deadwall-last-enclosure/blob/1b3b9c5ba232734b1bda3453b4e20a0481bcdd74/codex-3000/compositions/Entrepôts et réserves/DW-1471.md</x:v>
      </x:c>
      <x:c r="K1476" t="str">
        <x:v>Source min 35,24 m ; max 200,125 m ; modèle 35 × 24 m ; niveaux 0. Détails dans catalogue-existant.json.</x:v>
      </x:c>
    </x:row>
    <x:row r="1477">
      <x:c r="A1477" t="str">
        <x:v>DW-1472</x:v>
      </x:c>
      <x:c r="B1477" t="str">
        <x:v>DW-0236</x:v>
      </x:c>
      <x:c r="C1477" t="str">
        <x:v>Composition héritée</x:v>
      </x:c>
      <x:c r="D1477" t="str">
        <x:v>Entrepôts et réserves</x:v>
      </x:c>
      <x:c r="E1477" t="str">
        <x:v>Dépôt de mobilier communal — Port marchand / réseau principal coupé</x:v>
      </x:c>
      <x:c r="F1477" t="n">
        <x:v>10</x:v>
      </x:c>
      <x:c r="G1477" t="n">
        <x:v>4</x:v>
      </x:c>
      <x:c r="H1477" t="n">
        <x:v>12</x:v>
      </x:c>
      <x:c r="I1477" t="str">
        <x:v>À qualifier par lieu</x:v>
      </x:c>
      <x:c r="J1477" t="str">
        <x:v>https://github.com/darknigthmare/deadwall-last-enclosure/blob/1b3b9c5ba232734b1bda3453b4e20a0481bcdd74/codex-3000/compositions/Entrepôts et réserves/DW-1472.md</x:v>
      </x:c>
      <x:c r="K1477" t="str">
        <x:v>Source min 35,24 m ; max 200,125 m ; modèle 35 × 24 m ; niveaux 0. Détails dans catalogue-existant.json.</x:v>
      </x:c>
    </x:row>
    <x:row r="1478">
      <x:c r="A1478" t="str">
        <x:v>DW-1473</x:v>
      </x:c>
      <x:c r="B1478" t="str">
        <x:v>DW-0237</x:v>
      </x:c>
      <x:c r="C1478" t="str">
        <x:v>Composition héritée</x:v>
      </x:c>
      <x:c r="D1478" t="str">
        <x:v>Entrepôts et réserves</x:v>
      </x:c>
      <x:c r="E1478" t="str">
        <x:v>Recyclerie — Entrepôt et plateforme logistique / reprise progressive de la végétation</x:v>
      </x:c>
      <x:c r="F1478" t="n">
        <x:v>8</x:v>
      </x:c>
      <x:c r="G1478" t="n">
        <x:v>5</x:v>
      </x:c>
      <x:c r="H1478" t="n">
        <x:v>15</x:v>
      </x:c>
      <x:c r="I1478" t="str">
        <x:v>À qualifier par lieu</x:v>
      </x:c>
      <x:c r="J1478" t="str">
        <x:v>https://github.com/darknigthmare/deadwall-last-enclosure/blob/1b3b9c5ba232734b1bda3453b4e20a0481bcdd74/codex-3000/compositions/Entrepôts et réserves/DW-1473.md</x:v>
      </x:c>
      <x:c r="K1478" t="str">
        <x:v>Source min 35,24 m ; max 200,125 m ; modèle 35 × 24 m ; niveaux 0. Détails dans catalogue-existant.json.</x:v>
      </x:c>
    </x:row>
    <x:row r="1479">
      <x:c r="A1479" t="str">
        <x:v>DW-1474</x:v>
      </x:c>
      <x:c r="B1479" t="str">
        <x:v>DW-0237</x:v>
      </x:c>
      <x:c r="C1479" t="str">
        <x:v>Composition héritée</x:v>
      </x:c>
      <x:c r="D1479" t="str">
        <x:v>Entrepôts et réserves</x:v>
      </x:c>
      <x:c r="E1479" t="str">
        <x:v>Recyclerie — Zone industrielle / repli organisé interrompu</x:v>
      </x:c>
      <x:c r="F1479" t="n">
        <x:v>8</x:v>
      </x:c>
      <x:c r="G1479" t="n">
        <x:v>5</x:v>
      </x:c>
      <x:c r="H1479" t="n">
        <x:v>15</x:v>
      </x:c>
      <x:c r="I1479" t="str">
        <x:v>À qualifier par lieu</x:v>
      </x:c>
      <x:c r="J1479" t="str">
        <x:v>https://github.com/darknigthmare/deadwall-last-enclosure/blob/1b3b9c5ba232734b1bda3453b4e20a0481bcdd74/codex-3000/compositions/Entrepôts et réserves/DW-1474.md</x:v>
      </x:c>
      <x:c r="K1479" t="str">
        <x:v>Source min 35,24 m ; max 200,125 m ; modèle 35 × 24 m ; niveaux 0. Détails dans catalogue-existant.json.</x:v>
      </x:c>
    </x:row>
    <x:row r="1480">
      <x:c r="A1480" t="str">
        <x:v>DW-1475</x:v>
      </x:c>
      <x:c r="B1480" t="str">
        <x:v>DW-0238</x:v>
      </x:c>
      <x:c r="C1480" t="str">
        <x:v>Composition héritée</x:v>
      </x:c>
      <x:c r="D1480" t="str">
        <x:v>Entrepôts et réserves</x:v>
      </x:c>
      <x:c r="E1480" t="str">
        <x:v>Dépôt de colis automatisé — Port marchand / relais temporaire envisagé</x:v>
      </x:c>
      <x:c r="F1480" t="n">
        <x:v>10</x:v>
      </x:c>
      <x:c r="G1480" t="n">
        <x:v>4</x:v>
      </x:c>
      <x:c r="H1480" t="n">
        <x:v>12</x:v>
      </x:c>
      <x:c r="I1480" t="str">
        <x:v>À qualifier par lieu</x:v>
      </x:c>
      <x:c r="J1480" t="str">
        <x:v>https://github.com/darknigthmare/deadwall-last-enclosure/blob/1b3b9c5ba232734b1bda3453b4e20a0481bcdd74/codex-3000/compositions/Entrepôts et réserves/DW-1475.md</x:v>
      </x:c>
      <x:c r="K1480" t="str">
        <x:v>Source min 35,24 m ; max 200,125 m ; modèle 35 × 24 m ; niveaux 0. Détails dans catalogue-existant.json.</x:v>
      </x:c>
    </x:row>
    <x:row r="1481">
      <x:c r="A1481" t="str">
        <x:v>DW-1476</x:v>
      </x:c>
      <x:c r="B1481" t="str">
        <x:v>DW-0238</x:v>
      </x:c>
      <x:c r="C1481" t="str">
        <x:v>Composition héritée</x:v>
      </x:c>
      <x:c r="D1481" t="str">
        <x:v>Entrepôts et réserves</x:v>
      </x:c>
      <x:c r="E1481" t="str">
        <x:v>Dépôt de colis automatisé — Gare et fret / évacuation interrompue</x:v>
      </x:c>
      <x:c r="F1481" t="n">
        <x:v>10</x:v>
      </x:c>
      <x:c r="G1481" t="n">
        <x:v>4</x:v>
      </x:c>
      <x:c r="H1481" t="n">
        <x:v>12</x:v>
      </x:c>
      <x:c r="I1481" t="str">
        <x:v>À qualifier par lieu</x:v>
      </x:c>
      <x:c r="J1481" t="str">
        <x:v>https://github.com/darknigthmare/deadwall-last-enclosure/blob/1b3b9c5ba232734b1bda3453b4e20a0481bcdd74/codex-3000/compositions/Entrepôts et réserves/DW-1476.md</x:v>
      </x:c>
      <x:c r="K1481" t="str">
        <x:v>Source min 35,24 m ; max 200,125 m ; modèle 35 × 24 m ; niveaux 0. Détails dans catalogue-existant.json.</x:v>
      </x:c>
    </x:row>
    <x:row r="1482">
      <x:c r="A1482" t="str">
        <x:v>DW-1477</x:v>
      </x:c>
      <x:c r="B1482" t="str">
        <x:v>DW-0239</x:v>
      </x:c>
      <x:c r="C1482" t="str">
        <x:v>Composition héritée</x:v>
      </x:c>
      <x:c r="D1482" t="str">
        <x:v>Entrepôts et réserves</x:v>
      </x:c>
      <x:c r="E1482" t="str">
        <x:v>Entrepôt portuaire — Zone industrielle / réseau principal coupé</x:v>
      </x:c>
      <x:c r="F1482" t="n">
        <x:v>8</x:v>
      </x:c>
      <x:c r="G1482" t="n">
        <x:v>4</x:v>
      </x:c>
      <x:c r="H1482" t="n">
        <x:v>12</x:v>
      </x:c>
      <x:c r="I1482" t="str">
        <x:v>À qualifier par lieu</x:v>
      </x:c>
      <x:c r="J1482" t="str">
        <x:v>https://github.com/darknigthmare/deadwall-last-enclosure/blob/1b3b9c5ba232734b1bda3453b4e20a0481bcdd74/codex-3000/compositions/Entrepôts et réserves/DW-1477.md</x:v>
      </x:c>
      <x:c r="K1482" t="str">
        <x:v>Source min 35,24 m ; max 200,125 m ; modèle 35 × 24 m ; niveaux 0. Détails dans catalogue-existant.json.</x:v>
      </x:c>
    </x:row>
    <x:row r="1483">
      <x:c r="A1483" t="str">
        <x:v>DW-1478</x:v>
      </x:c>
      <x:c r="B1483" t="str">
        <x:v>DW-0239</x:v>
      </x:c>
      <x:c r="C1483" t="str">
        <x:v>Composition héritée</x:v>
      </x:c>
      <x:c r="D1483" t="str">
        <x:v>Entrepôts et réserves</x:v>
      </x:c>
      <x:c r="E1483" t="str">
        <x:v>Entrepôt portuaire — Entrepôt et plateforme logistique / arrêt de maintenance</x:v>
      </x:c>
      <x:c r="F1483" t="n">
        <x:v>8</x:v>
      </x:c>
      <x:c r="G1483" t="n">
        <x:v>4</x:v>
      </x:c>
      <x:c r="H1483" t="n">
        <x:v>12</x:v>
      </x:c>
      <x:c r="I1483" t="str">
        <x:v>À qualifier par lieu</x:v>
      </x:c>
      <x:c r="J1483" t="str">
        <x:v>https://github.com/darknigthmare/deadwall-last-enclosure/blob/1b3b9c5ba232734b1bda3453b4e20a0481bcdd74/codex-3000/compositions/Entrepôts et réserves/DW-1478.md</x:v>
      </x:c>
      <x:c r="K1483" t="str">
        <x:v>Source min 35,24 m ; max 200,125 m ; modèle 35 × 24 m ; niveaux 0. Détails dans catalogue-existant.json.</x:v>
      </x:c>
    </x:row>
    <x:row r="1484">
      <x:c r="A1484" t="str">
        <x:v>DW-1479</x:v>
      </x:c>
      <x:c r="B1484" t="str">
        <x:v>DW-0240</x:v>
      </x:c>
      <x:c r="C1484" t="str">
        <x:v>Composition héritée</x:v>
      </x:c>
      <x:c r="D1484" t="str">
        <x:v>Entrepôts et réserves</x:v>
      </x:c>
      <x:c r="E1484" t="str">
        <x:v>Dépôt de chantier temporaire — Gare et fret / repli organisé interrompu</x:v>
      </x:c>
      <x:c r="F1484" t="n">
        <x:v>10</x:v>
      </x:c>
      <x:c r="G1484" t="n">
        <x:v>4</x:v>
      </x:c>
      <x:c r="H1484" t="n">
        <x:v>12</x:v>
      </x:c>
      <x:c r="I1484" t="str">
        <x:v>À qualifier par lieu</x:v>
      </x:c>
      <x:c r="J1484" t="str">
        <x:v>https://github.com/darknigthmare/deadwall-last-enclosure/blob/1b3b9c5ba232734b1bda3453b4e20a0481bcdd74/codex-3000/compositions/Entrepôts et réserves/DW-1479.md</x:v>
      </x:c>
      <x:c r="K1484" t="str">
        <x:v>Source min 35,24 m ; max 200,125 m ; modèle 35 × 24 m ; niveaux 0. Détails dans catalogue-existant.json.</x:v>
      </x:c>
    </x:row>
    <x:row r="1485">
      <x:c r="A1485" t="str">
        <x:v>DW-1480</x:v>
      </x:c>
      <x:c r="B1485" t="str">
        <x:v>DW-0240</x:v>
      </x:c>
      <x:c r="C1485" t="str">
        <x:v>Composition héritée</x:v>
      </x:c>
      <x:c r="D1485" t="str">
        <x:v>Entrepôts et réserves</x:v>
      </x:c>
      <x:c r="E1485" t="str">
        <x:v>Dépôt de chantier temporaire — Port marchand / première récupération passée</x:v>
      </x:c>
      <x:c r="F1485" t="n">
        <x:v>10</x:v>
      </x:c>
      <x:c r="G1485" t="n">
        <x:v>4</x:v>
      </x:c>
      <x:c r="H1485" t="n">
        <x:v>12</x:v>
      </x:c>
      <x:c r="I1485" t="str">
        <x:v>À qualifier par lieu</x:v>
      </x:c>
      <x:c r="J1485" t="str">
        <x:v>https://github.com/darknigthmare/deadwall-last-enclosure/blob/1b3b9c5ba232734b1bda3453b4e20a0481bcdd74/codex-3000/compositions/Entrepôts et réserves/DW-1480.md</x:v>
      </x:c>
      <x:c r="K1485" t="str">
        <x:v>Source min 35,24 m ; max 200,125 m ; modèle 35 × 24 m ; niveaux 0. Détails dans catalogue-existant.json.</x:v>
      </x:c>
    </x:row>
    <x:row r="1486">
      <x:c r="A1486" t="str">
        <x:v>DW-1481</x:v>
      </x:c>
      <x:c r="B1486" t="str">
        <x:v>DW-0241</x:v>
      </x:c>
      <x:c r="C1486" t="str">
        <x:v>Composition héritée</x:v>
      </x:c>
      <x:c r="D1486" t="str">
        <x:v>Automobile et carburant</x:v>
      </x:c>
      <x:c r="E1486" t="str">
        <x:v>Garage automobile indépendant — Station-service et aire routière / évacuation interrompue</x:v>
      </x:c>
      <x:c r="F1486" t="n">
        <x:v>8</x:v>
      </x:c>
      <x:c r="G1486" t="n">
        <x:v>4</x:v>
      </x:c>
      <x:c r="H1486" t="n">
        <x:v>12</x:v>
      </x:c>
      <x:c r="I1486" t="str">
        <x:v>À qualifier par lieu</x:v>
      </x:c>
      <x:c r="J1486" t="str">
        <x:v>https://github.com/darknigthmare/deadwall-last-enclosure/blob/1b3b9c5ba232734b1bda3453b4e20a0481bcdd74/codex-3000/compositions/Automobile et carburant/DW-1481.md</x:v>
      </x:c>
      <x:c r="K1486" t="str">
        <x:v>Source min 22,18 m ; max 100,85 m ; modèle 25 × 18 m ; niveaux 0. Détails dans catalogue-existant.json.</x:v>
      </x:c>
    </x:row>
    <x:row r="1487">
      <x:c r="A1487" t="str">
        <x:v>DW-1482</x:v>
      </x:c>
      <x:c r="B1487" t="str">
        <x:v>DW-0241</x:v>
      </x:c>
      <x:c r="C1487" t="str">
        <x:v>Composition héritée</x:v>
      </x:c>
      <x:c r="D1487" t="str">
        <x:v>Automobile et carburant</x:v>
      </x:c>
      <x:c r="E1487" t="str">
        <x:v>Garage automobile indépendant — Ville moyenne / service déplacé à l’arrière</x:v>
      </x:c>
      <x:c r="F1487" t="n">
        <x:v>8</x:v>
      </x:c>
      <x:c r="G1487" t="n">
        <x:v>4</x:v>
      </x:c>
      <x:c r="H1487" t="n">
        <x:v>12</x:v>
      </x:c>
      <x:c r="I1487" t="str">
        <x:v>À qualifier par lieu</x:v>
      </x:c>
      <x:c r="J1487" t="str">
        <x:v>https://github.com/darknigthmare/deadwall-last-enclosure/blob/1b3b9c5ba232734b1bda3453b4e20a0481bcdd74/codex-3000/compositions/Automobile et carburant/DW-1482.md</x:v>
      </x:c>
      <x:c r="K1487" t="str">
        <x:v>Source min 22,18 m ; max 100,85 m ; modèle 25 × 18 m ; niveaux 0. Détails dans catalogue-existant.json.</x:v>
      </x:c>
    </x:row>
    <x:row r="1488">
      <x:c r="A1488" t="str">
        <x:v>DW-1483</x:v>
      </x:c>
      <x:c r="B1488" t="str">
        <x:v>DW-0242</x:v>
      </x:c>
      <x:c r="C1488" t="str">
        <x:v>Composition héritée</x:v>
      </x:c>
      <x:c r="D1488" t="str">
        <x:v>Automobile et carburant</x:v>
      </x:c>
      <x:c r="E1488" t="str">
        <x:v>Concession automobile — Zone industrielle / arrêt de maintenance</x:v>
      </x:c>
      <x:c r="F1488" t="n">
        <x:v>8</x:v>
      </x:c>
      <x:c r="G1488" t="n">
        <x:v>4</x:v>
      </x:c>
      <x:c r="H1488" t="n">
        <x:v>12</x:v>
      </x:c>
      <x:c r="I1488" t="str">
        <x:v>À qualifier par lieu</x:v>
      </x:c>
      <x:c r="J1488" t="str">
        <x:v>https://github.com/darknigthmare/deadwall-last-enclosure/blob/1b3b9c5ba232734b1bda3453b4e20a0481bcdd74/codex-3000/compositions/Automobile et carburant/DW-1483.md</x:v>
      </x:c>
      <x:c r="K1488" t="str">
        <x:v>Source min 22,18 m ; max 100,85 m ; modèle 25 × 18 m ; niveaux 0. Détails dans catalogue-existant.json.</x:v>
      </x:c>
    </x:row>
    <x:row r="1489">
      <x:c r="A1489" t="str">
        <x:v>DW-1484</x:v>
      </x:c>
      <x:c r="B1489" t="str">
        <x:v>DW-0242</x:v>
      </x:c>
      <x:c r="C1489" t="str">
        <x:v>Composition héritée</x:v>
      </x:c>
      <x:c r="D1489" t="str">
        <x:v>Automobile et carburant</x:v>
      </x:c>
      <x:c r="E1489" t="str">
        <x:v>Concession automobile — Atelier et artisanat / reprise progressive de la végétation</x:v>
      </x:c>
      <x:c r="F1489" t="n">
        <x:v>8</x:v>
      </x:c>
      <x:c r="G1489" t="n">
        <x:v>4</x:v>
      </x:c>
      <x:c r="H1489" t="n">
        <x:v>12</x:v>
      </x:c>
      <x:c r="I1489" t="str">
        <x:v>À qualifier par lieu</x:v>
      </x:c>
      <x:c r="J1489" t="str">
        <x:v>https://github.com/darknigthmare/deadwall-last-enclosure/blob/1b3b9c5ba232734b1bda3453b4e20a0481bcdd74/codex-3000/compositions/Automobile et carburant/DW-1484.md</x:v>
      </x:c>
      <x:c r="K1489" t="str">
        <x:v>Source min 22,18 m ; max 100,85 m ; modèle 25 × 18 m ; niveaux 0. Détails dans catalogue-existant.json.</x:v>
      </x:c>
    </x:row>
    <x:row r="1490">
      <x:c r="A1490" t="str">
        <x:v>DW-1485</x:v>
      </x:c>
      <x:c r="B1490" t="str">
        <x:v>DW-0243</x:v>
      </x:c>
      <x:c r="C1490" t="str">
        <x:v>Composition héritée</x:v>
      </x:c>
      <x:c r="D1490" t="str">
        <x:v>Automobile et carburant</x:v>
      </x:c>
      <x:c r="E1490" t="str">
        <x:v>Carrosserie — Ville moyenne / première récupération passée</x:v>
      </x:c>
      <x:c r="F1490" t="n">
        <x:v>8</x:v>
      </x:c>
      <x:c r="G1490" t="n">
        <x:v>4</x:v>
      </x:c>
      <x:c r="H1490" t="n">
        <x:v>12</x:v>
      </x:c>
      <x:c r="I1490" t="str">
        <x:v>À qualifier par lieu</x:v>
      </x:c>
      <x:c r="J1490" t="str">
        <x:v>https://github.com/darknigthmare/deadwall-last-enclosure/blob/1b3b9c5ba232734b1bda3453b4e20a0481bcdd74/codex-3000/compositions/Automobile et carburant/DW-1485.md</x:v>
      </x:c>
      <x:c r="K1490" t="str">
        <x:v>Source min 22,18 m ; max 100,85 m ; modèle 25 × 18 m ; niveaux 0. Détails dans catalogue-existant.json.</x:v>
      </x:c>
    </x:row>
    <x:row r="1491">
      <x:c r="A1491" t="str">
        <x:v>DW-1486</x:v>
      </x:c>
      <x:c r="B1491" t="str">
        <x:v>DW-0243</x:v>
      </x:c>
      <x:c r="C1491" t="str">
        <x:v>Composition héritée</x:v>
      </x:c>
      <x:c r="D1491" t="str">
        <x:v>Automobile et carburant</x:v>
      </x:c>
      <x:c r="E1491" t="str">
        <x:v>Carrosserie — Station-service et aire routière / relais temporaire envisagé</x:v>
      </x:c>
      <x:c r="F1491" t="n">
        <x:v>8</x:v>
      </x:c>
      <x:c r="G1491" t="n">
        <x:v>4</x:v>
      </x:c>
      <x:c r="H1491" t="n">
        <x:v>12</x:v>
      </x:c>
      <x:c r="I1491" t="str">
        <x:v>À qualifier par lieu</x:v>
      </x:c>
      <x:c r="J1491" t="str">
        <x:v>https://github.com/darknigthmare/deadwall-last-enclosure/blob/1b3b9c5ba232734b1bda3453b4e20a0481bcdd74/codex-3000/compositions/Automobile et carburant/DW-1486.md</x:v>
      </x:c>
      <x:c r="K1491" t="str">
        <x:v>Source min 22,18 m ; max 100,85 m ; modèle 25 × 18 m ; niveaux 0. Détails dans catalogue-existant.json.</x:v>
      </x:c>
    </x:row>
    <x:row r="1492">
      <x:c r="A1492" t="str">
        <x:v>DW-1487</x:v>
      </x:c>
      <x:c r="B1492" t="str">
        <x:v>DW-0244</x:v>
      </x:c>
      <x:c r="C1492" t="str">
        <x:v>Composition héritée</x:v>
      </x:c>
      <x:c r="D1492" t="str">
        <x:v>Automobile et carburant</x:v>
      </x:c>
      <x:c r="E1492" t="str">
        <x:v>Atelier de pneumatiques — Atelier et artisanat / service déplacé à l’arrière</x:v>
      </x:c>
      <x:c r="F1492" t="n">
        <x:v>8</x:v>
      </x:c>
      <x:c r="G1492" t="n">
        <x:v>4</x:v>
      </x:c>
      <x:c r="H1492" t="n">
        <x:v>12</x:v>
      </x:c>
      <x:c r="I1492" t="str">
        <x:v>À qualifier par lieu</x:v>
      </x:c>
      <x:c r="J1492" t="str">
        <x:v>https://github.com/darknigthmare/deadwall-last-enclosure/blob/1b3b9c5ba232734b1bda3453b4e20a0481bcdd74/codex-3000/compositions/Automobile et carburant/DW-1487.md</x:v>
      </x:c>
      <x:c r="K1492" t="str">
        <x:v>Source min 22,18 m ; max 100,85 m ; modèle 25 × 18 m ; niveaux 0. Détails dans catalogue-existant.json.</x:v>
      </x:c>
    </x:row>
    <x:row r="1493">
      <x:c r="A1493" t="str">
        <x:v>DW-1488</x:v>
      </x:c>
      <x:c r="B1493" t="str">
        <x:v>DW-0244</x:v>
      </x:c>
      <x:c r="C1493" t="str">
        <x:v>Composition héritée</x:v>
      </x:c>
      <x:c r="D1493" t="str">
        <x:v>Automobile et carburant</x:v>
      </x:c>
      <x:c r="E1493" t="str">
        <x:v>Atelier de pneumatiques — Zone industrielle / réseau principal coupé</x:v>
      </x:c>
      <x:c r="F1493" t="n">
        <x:v>8</x:v>
      </x:c>
      <x:c r="G1493" t="n">
        <x:v>4</x:v>
      </x:c>
      <x:c r="H1493" t="n">
        <x:v>12</x:v>
      </x:c>
      <x:c r="I1493" t="str">
        <x:v>À qualifier par lieu</x:v>
      </x:c>
      <x:c r="J1493" t="str">
        <x:v>https://github.com/darknigthmare/deadwall-last-enclosure/blob/1b3b9c5ba232734b1bda3453b4e20a0481bcdd74/codex-3000/compositions/Automobile et carburant/DW-1488.md</x:v>
      </x:c>
      <x:c r="K1493" t="str">
        <x:v>Source min 22,18 m ; max 100,85 m ; modèle 25 × 18 m ; niveaux 0. Détails dans catalogue-existant.json.</x:v>
      </x:c>
    </x:row>
    <x:row r="1494">
      <x:c r="A1494" t="str">
        <x:v>DW-1489</x:v>
      </x:c>
      <x:c r="B1494" t="str">
        <x:v>DW-0245</x:v>
      </x:c>
      <x:c r="C1494" t="str">
        <x:v>Composition héritée</x:v>
      </x:c>
      <x:c r="D1494" t="str">
        <x:v>Automobile et carburant</x:v>
      </x:c>
      <x:c r="E1494" t="str">
        <x:v>Station de contrôle technique — Station-service et aire routière / reprise progressive de la végétation</x:v>
      </x:c>
      <x:c r="F1494" t="n">
        <x:v>8</x:v>
      </x:c>
      <x:c r="G1494" t="n">
        <x:v>4</x:v>
      </x:c>
      <x:c r="H1494" t="n">
        <x:v>12</x:v>
      </x:c>
      <x:c r="I1494" t="str">
        <x:v>À qualifier par lieu</x:v>
      </x:c>
      <x:c r="J1494" t="str">
        <x:v>https://github.com/darknigthmare/deadwall-last-enclosure/blob/1b3b9c5ba232734b1bda3453b4e20a0481bcdd74/codex-3000/compositions/Automobile et carburant/DW-1489.md</x:v>
      </x:c>
      <x:c r="K1494" t="str">
        <x:v>Source min 22,18 m ; max 100,85 m ; modèle 25 × 18 m ; niveaux 0. Détails dans catalogue-existant.json.</x:v>
      </x:c>
    </x:row>
    <x:row r="1495">
      <x:c r="A1495" t="str">
        <x:v>DW-1490</x:v>
      </x:c>
      <x:c r="B1495" t="str">
        <x:v>DW-0245</x:v>
      </x:c>
      <x:c r="C1495" t="str">
        <x:v>Composition héritée</x:v>
      </x:c>
      <x:c r="D1495" t="str">
        <x:v>Automobile et carburant</x:v>
      </x:c>
      <x:c r="E1495" t="str">
        <x:v>Station de contrôle technique — Ville moyenne / repli organisé interrompu</x:v>
      </x:c>
      <x:c r="F1495" t="n">
        <x:v>8</x:v>
      </x:c>
      <x:c r="G1495" t="n">
        <x:v>4</x:v>
      </x:c>
      <x:c r="H1495" t="n">
        <x:v>12</x:v>
      </x:c>
      <x:c r="I1495" t="str">
        <x:v>À qualifier par lieu</x:v>
      </x:c>
      <x:c r="J1495" t="str">
        <x:v>https://github.com/darknigthmare/deadwall-last-enclosure/blob/1b3b9c5ba232734b1bda3453b4e20a0481bcdd74/codex-3000/compositions/Automobile et carburant/DW-1490.md</x:v>
      </x:c>
      <x:c r="K1495" t="str">
        <x:v>Source min 22,18 m ; max 100,85 m ; modèle 25 × 18 m ; niveaux 0. Détails dans catalogue-existant.json.</x:v>
      </x:c>
    </x:row>
    <x:row r="1496">
      <x:c r="A1496" t="str">
        <x:v>DW-1491</x:v>
      </x:c>
      <x:c r="B1496" t="str">
        <x:v>DW-0246</x:v>
      </x:c>
      <x:c r="C1496" t="str">
        <x:v>Composition héritée</x:v>
      </x:c>
      <x:c r="D1496" t="str">
        <x:v>Automobile et carburant</x:v>
      </x:c>
      <x:c r="E1496" t="str">
        <x:v>Lavage automobile — Zone industrielle / relais temporaire envisagé</x:v>
      </x:c>
      <x:c r="F1496" t="n">
        <x:v>8</x:v>
      </x:c>
      <x:c r="G1496" t="n">
        <x:v>4</x:v>
      </x:c>
      <x:c r="H1496" t="n">
        <x:v>12</x:v>
      </x:c>
      <x:c r="I1496" t="str">
        <x:v>À qualifier par lieu</x:v>
      </x:c>
      <x:c r="J1496" t="str">
        <x:v>https://github.com/darknigthmare/deadwall-last-enclosure/blob/1b3b9c5ba232734b1bda3453b4e20a0481bcdd74/codex-3000/compositions/Automobile et carburant/DW-1491.md</x:v>
      </x:c>
      <x:c r="K1496" t="str">
        <x:v>Source min 22,18 m ; max 100,85 m ; modèle 25 × 18 m ; niveaux 0. Détails dans catalogue-existant.json.</x:v>
      </x:c>
    </x:row>
    <x:row r="1497">
      <x:c r="A1497" t="str">
        <x:v>DW-1492</x:v>
      </x:c>
      <x:c r="B1497" t="str">
        <x:v>DW-0246</x:v>
      </x:c>
      <x:c r="C1497" t="str">
        <x:v>Composition héritée</x:v>
      </x:c>
      <x:c r="D1497" t="str">
        <x:v>Automobile et carburant</x:v>
      </x:c>
      <x:c r="E1497" t="str">
        <x:v>Lavage automobile — Atelier et artisanat / évacuation interrompue</x:v>
      </x:c>
      <x:c r="F1497" t="n">
        <x:v>8</x:v>
      </x:c>
      <x:c r="G1497" t="n">
        <x:v>4</x:v>
      </x:c>
      <x:c r="H1497" t="n">
        <x:v>12</x:v>
      </x:c>
      <x:c r="I1497" t="str">
        <x:v>À qualifier par lieu</x:v>
      </x:c>
      <x:c r="J1497" t="str">
        <x:v>https://github.com/darknigthmare/deadwall-last-enclosure/blob/1b3b9c5ba232734b1bda3453b4e20a0481bcdd74/codex-3000/compositions/Automobile et carburant/DW-1492.md</x:v>
      </x:c>
      <x:c r="K1497" t="str">
        <x:v>Source min 22,18 m ; max 100,85 m ; modèle 25 × 18 m ; niveaux 0. Détails dans catalogue-existant.json.</x:v>
      </x:c>
    </x:row>
    <x:row r="1498">
      <x:c r="A1498" t="str">
        <x:v>DW-1493</x:v>
      </x:c>
      <x:c r="B1498" t="str">
        <x:v>DW-0247</x:v>
      </x:c>
      <x:c r="C1498" t="str">
        <x:v>Composition héritée</x:v>
      </x:c>
      <x:c r="D1498" t="str">
        <x:v>Automobile et carburant</x:v>
      </x:c>
      <x:c r="E1498" t="str">
        <x:v>Station-service de village — Ville moyenne / réseau principal coupé</x:v>
      </x:c>
      <x:c r="F1498" t="n">
        <x:v>8</x:v>
      </x:c>
      <x:c r="G1498" t="n">
        <x:v>4</x:v>
      </x:c>
      <x:c r="H1498" t="n">
        <x:v>12</x:v>
      </x:c>
      <x:c r="I1498" t="str">
        <x:v>À qualifier par lieu</x:v>
      </x:c>
      <x:c r="J1498" t="str">
        <x:v>https://github.com/darknigthmare/deadwall-last-enclosure/blob/1b3b9c5ba232734b1bda3453b4e20a0481bcdd74/codex-3000/compositions/Automobile et carburant/DW-1493.md</x:v>
      </x:c>
      <x:c r="K1498" t="str">
        <x:v>Source min 22,18 m ; max 100,85 m ; modèle 25 × 18 m ; niveaux 0. Détails dans catalogue-existant.json.</x:v>
      </x:c>
    </x:row>
    <x:row r="1499">
      <x:c r="A1499" t="str">
        <x:v>DW-1494</x:v>
      </x:c>
      <x:c r="B1499" t="str">
        <x:v>DW-0247</x:v>
      </x:c>
      <x:c r="C1499" t="str">
        <x:v>Composition héritée</x:v>
      </x:c>
      <x:c r="D1499" t="str">
        <x:v>Automobile et carburant</x:v>
      </x:c>
      <x:c r="E1499" t="str">
        <x:v>Station-service de village — Station-service et aire routière / arrêt de maintenance</x:v>
      </x:c>
      <x:c r="F1499" t="n">
        <x:v>8</x:v>
      </x:c>
      <x:c r="G1499" t="n">
        <x:v>4</x:v>
      </x:c>
      <x:c r="H1499" t="n">
        <x:v>12</x:v>
      </x:c>
      <x:c r="I1499" t="str">
        <x:v>À qualifier par lieu</x:v>
      </x:c>
      <x:c r="J1499" t="str">
        <x:v>https://github.com/darknigthmare/deadwall-last-enclosure/blob/1b3b9c5ba232734b1bda3453b4e20a0481bcdd74/codex-3000/compositions/Automobile et carburant/DW-1494.md</x:v>
      </x:c>
      <x:c r="K1499" t="str">
        <x:v>Source min 22,18 m ; max 100,85 m ; modèle 25 × 18 m ; niveaux 0. Détails dans catalogue-existant.json.</x:v>
      </x:c>
    </x:row>
    <x:row r="1500">
      <x:c r="A1500" t="str">
        <x:v>DW-1495</x:v>
      </x:c>
      <x:c r="B1500" t="str">
        <x:v>DW-0248</x:v>
      </x:c>
      <x:c r="C1500" t="str">
        <x:v>Composition héritée</x:v>
      </x:c>
      <x:c r="D1500" t="str">
        <x:v>Automobile et carburant</x:v>
      </x:c>
      <x:c r="E1500" t="str">
        <x:v>Station autoroutière — Atelier et artisanat / repli organisé interrompu</x:v>
      </x:c>
      <x:c r="F1500" t="n">
        <x:v>8</x:v>
      </x:c>
      <x:c r="G1500" t="n">
        <x:v>5</x:v>
      </x:c>
      <x:c r="H1500" t="n">
        <x:v>15</x:v>
      </x:c>
      <x:c r="I1500" t="str">
        <x:v>À qualifier par lieu</x:v>
      </x:c>
      <x:c r="J1500" t="str">
        <x:v>https://github.com/darknigthmare/deadwall-last-enclosure/blob/1b3b9c5ba232734b1bda3453b4e20a0481bcdd74/codex-3000/compositions/Automobile et carburant/DW-1495.md</x:v>
      </x:c>
      <x:c r="K1500" t="str">
        <x:v>Source min 22,18 m ; max 100,85 m ; modèle 26 × 22 m ; niveaux 0. Détails dans catalogue-existant.json.</x:v>
      </x:c>
    </x:row>
    <x:row r="1501">
      <x:c r="A1501" t="str">
        <x:v>DW-1496</x:v>
      </x:c>
      <x:c r="B1501" t="str">
        <x:v>DW-0248</x:v>
      </x:c>
      <x:c r="C1501" t="str">
        <x:v>Composition héritée</x:v>
      </x:c>
      <x:c r="D1501" t="str">
        <x:v>Automobile et carburant</x:v>
      </x:c>
      <x:c r="E1501" t="str">
        <x:v>Station autoroutière — Zone industrielle / première récupération passée</x:v>
      </x:c>
      <x:c r="F1501" t="n">
        <x:v>8</x:v>
      </x:c>
      <x:c r="G1501" t="n">
        <x:v>5</x:v>
      </x:c>
      <x:c r="H1501" t="n">
        <x:v>15</x:v>
      </x:c>
      <x:c r="I1501" t="str">
        <x:v>À qualifier par lieu</x:v>
      </x:c>
      <x:c r="J1501" t="str">
        <x:v>https://github.com/darknigthmare/deadwall-last-enclosure/blob/1b3b9c5ba232734b1bda3453b4e20a0481bcdd74/codex-3000/compositions/Automobile et carburant/DW-1496.md</x:v>
      </x:c>
      <x:c r="K1501" t="str">
        <x:v>Source min 22,18 m ; max 100,85 m ; modèle 26 × 22 m ; niveaux 0. Détails dans catalogue-existant.json.</x:v>
      </x:c>
    </x:row>
    <x:row r="1502">
      <x:c r="A1502" t="str">
        <x:v>DW-1497</x:v>
      </x:c>
      <x:c r="B1502" t="str">
        <x:v>DW-0249</x:v>
      </x:c>
      <x:c r="C1502" t="str">
        <x:v>Composition héritée</x:v>
      </x:c>
      <x:c r="D1502" t="str">
        <x:v>Automobile et carburant</x:v>
      </x:c>
      <x:c r="E1502" t="str">
        <x:v>Station urbaine compacte — Station-service et aire routière / évacuation interrompue</x:v>
      </x:c>
      <x:c r="F1502" t="n">
        <x:v>8</x:v>
      </x:c>
      <x:c r="G1502" t="n">
        <x:v>4</x:v>
      </x:c>
      <x:c r="H1502" t="n">
        <x:v>12</x:v>
      </x:c>
      <x:c r="I1502" t="str">
        <x:v>À qualifier par lieu</x:v>
      </x:c>
      <x:c r="J1502" t="str">
        <x:v>https://github.com/darknigthmare/deadwall-last-enclosure/blob/1b3b9c5ba232734b1bda3453b4e20a0481bcdd74/codex-3000/compositions/Automobile et carburant/DW-1497.md</x:v>
      </x:c>
      <x:c r="K1502" t="str">
        <x:v>Source min 22,18 m ; max 100,85 m ; modèle 25 × 18 m ; niveaux 0. Détails dans catalogue-existant.json.</x:v>
      </x:c>
    </x:row>
    <x:row r="1503">
      <x:c r="A1503" t="str">
        <x:v>DW-1498</x:v>
      </x:c>
      <x:c r="B1503" t="str">
        <x:v>DW-0249</x:v>
      </x:c>
      <x:c r="C1503" t="str">
        <x:v>Composition héritée</x:v>
      </x:c>
      <x:c r="D1503" t="str">
        <x:v>Automobile et carburant</x:v>
      </x:c>
      <x:c r="E1503" t="str">
        <x:v>Station urbaine compacte — Ville moyenne / service déplacé à l’arrière</x:v>
      </x:c>
      <x:c r="F1503" t="n">
        <x:v>8</x:v>
      </x:c>
      <x:c r="G1503" t="n">
        <x:v>4</x:v>
      </x:c>
      <x:c r="H1503" t="n">
        <x:v>12</x:v>
      </x:c>
      <x:c r="I1503" t="str">
        <x:v>À qualifier par lieu</x:v>
      </x:c>
      <x:c r="J1503" t="str">
        <x:v>https://github.com/darknigthmare/deadwall-last-enclosure/blob/1b3b9c5ba232734b1bda3453b4e20a0481bcdd74/codex-3000/compositions/Automobile et carburant/DW-1498.md</x:v>
      </x:c>
      <x:c r="K1503" t="str">
        <x:v>Source min 22,18 m ; max 100,85 m ; modèle 25 × 18 m ; niveaux 0. Détails dans catalogue-existant.json.</x:v>
      </x:c>
    </x:row>
    <x:row r="1504">
      <x:c r="A1504" t="str">
        <x:v>DW-1499</x:v>
      </x:c>
      <x:c r="B1504" t="str">
        <x:v>DW-0250</x:v>
      </x:c>
      <x:c r="C1504" t="str">
        <x:v>Composition héritée</x:v>
      </x:c>
      <x:c r="D1504" t="str">
        <x:v>Automobile et carburant</x:v>
      </x:c>
      <x:c r="E1504" t="str">
        <x:v>Dépôt civil de carburant — Zone industrielle / arrêt de maintenance</x:v>
      </x:c>
      <x:c r="F1504" t="n">
        <x:v>8</x:v>
      </x:c>
      <x:c r="G1504" t="n">
        <x:v>4</x:v>
      </x:c>
      <x:c r="H1504" t="n">
        <x:v>12</x:v>
      </x:c>
      <x:c r="I1504" t="str">
        <x:v>À qualifier par lieu</x:v>
      </x:c>
      <x:c r="J1504" t="str">
        <x:v>https://github.com/darknigthmare/deadwall-last-enclosure/blob/1b3b9c5ba232734b1bda3453b4e20a0481bcdd74/codex-3000/compositions/Automobile et carburant/DW-1499.md</x:v>
      </x:c>
      <x:c r="K1504" t="str">
        <x:v>Source min 22,18 m ; max 100,85 m ; modèle 25 × 18 m ; niveaux 0. Détails dans catalogue-existant.json.</x:v>
      </x:c>
    </x:row>
    <x:row r="1505">
      <x:c r="A1505" t="str">
        <x:v>DW-1500</x:v>
      </x:c>
      <x:c r="B1505" t="str">
        <x:v>DW-0250</x:v>
      </x:c>
      <x:c r="C1505" t="str">
        <x:v>Composition héritée</x:v>
      </x:c>
      <x:c r="D1505" t="str">
        <x:v>Automobile et carburant</x:v>
      </x:c>
      <x:c r="E1505" t="str">
        <x:v>Dépôt civil de carburant — Atelier et artisanat / reprise progressive de la végétation</x:v>
      </x:c>
      <x:c r="F1505" t="n">
        <x:v>8</x:v>
      </x:c>
      <x:c r="G1505" t="n">
        <x:v>4</x:v>
      </x:c>
      <x:c r="H1505" t="n">
        <x:v>12</x:v>
      </x:c>
      <x:c r="I1505" t="str">
        <x:v>À qualifier par lieu</x:v>
      </x:c>
      <x:c r="J1505" t="str">
        <x:v>https://github.com/darknigthmare/deadwall-last-enclosure/blob/1b3b9c5ba232734b1bda3453b4e20a0481bcdd74/codex-3000/compositions/Automobile et carburant/DW-1500.md</x:v>
      </x:c>
      <x:c r="K1505" t="str">
        <x:v>Source min 22,18 m ; max 100,85 m ; modèle 25 × 18 m ; niveaux 0. Détails dans catalogue-existant.json.</x:v>
      </x:c>
    </x:row>
    <x:row r="1506">
      <x:c r="A1506" t="str">
        <x:v>DW-1501</x:v>
      </x:c>
      <x:c r="B1506" t="str">
        <x:v>DW-0251</x:v>
      </x:c>
      <x:c r="C1506" t="str">
        <x:v>Composition héritée</x:v>
      </x:c>
      <x:c r="D1506" t="str">
        <x:v>Automobile et carburant</x:v>
      </x:c>
      <x:c r="E1506" t="str">
        <x:v>Casse automobile — Ville moyenne / première récupération passée</x:v>
      </x:c>
      <x:c r="F1506" t="n">
        <x:v>8</x:v>
      </x:c>
      <x:c r="G1506" t="n">
        <x:v>5</x:v>
      </x:c>
      <x:c r="H1506" t="n">
        <x:v>15</x:v>
      </x:c>
      <x:c r="I1506" t="str">
        <x:v>À qualifier par lieu</x:v>
      </x:c>
      <x:c r="J1506" t="str">
        <x:v>https://github.com/darknigthmare/deadwall-last-enclosure/blob/1b3b9c5ba232734b1bda3453b4e20a0481bcdd74/codex-3000/compositions/Automobile et carburant/DW-1501.md</x:v>
      </x:c>
      <x:c r="K1506" t="str">
        <x:v>Source min 22,18 m ; max 100,85 m ; modèle 26 × 22 m ; niveaux 0. Détails dans catalogue-existant.json.</x:v>
      </x:c>
    </x:row>
    <x:row r="1507">
      <x:c r="A1507" t="str">
        <x:v>DW-1502</x:v>
      </x:c>
      <x:c r="B1507" t="str">
        <x:v>DW-0251</x:v>
      </x:c>
      <x:c r="C1507" t="str">
        <x:v>Composition héritée</x:v>
      </x:c>
      <x:c r="D1507" t="str">
        <x:v>Automobile et carburant</x:v>
      </x:c>
      <x:c r="E1507" t="str">
        <x:v>Casse automobile — Station-service et aire routière / relais temporaire envisagé</x:v>
      </x:c>
      <x:c r="F1507" t="n">
        <x:v>8</x:v>
      </x:c>
      <x:c r="G1507" t="n">
        <x:v>5</x:v>
      </x:c>
      <x:c r="H1507" t="n">
        <x:v>15</x:v>
      </x:c>
      <x:c r="I1507" t="str">
        <x:v>À qualifier par lieu</x:v>
      </x:c>
      <x:c r="J1507" t="str">
        <x:v>https://github.com/darknigthmare/deadwall-last-enclosure/blob/1b3b9c5ba232734b1bda3453b4e20a0481bcdd74/codex-3000/compositions/Automobile et carburant/DW-1502.md</x:v>
      </x:c>
      <x:c r="K1507" t="str">
        <x:v>Source min 22,18 m ; max 100,85 m ; modèle 26 × 22 m ; niveaux 0. Détails dans catalogue-existant.json.</x:v>
      </x:c>
    </x:row>
    <x:row r="1508">
      <x:c r="A1508" t="str">
        <x:v>DW-1503</x:v>
      </x:c>
      <x:c r="B1508" t="str">
        <x:v>DW-0252</x:v>
      </x:c>
      <x:c r="C1508" t="str">
        <x:v>Composition héritée</x:v>
      </x:c>
      <x:c r="D1508" t="str">
        <x:v>Automobile et carburant</x:v>
      </x:c>
      <x:c r="E1508" t="str">
        <x:v>Dépanneur routier — Atelier et artisanat / service déplacé à l’arrière</x:v>
      </x:c>
      <x:c r="F1508" t="n">
        <x:v>8</x:v>
      </x:c>
      <x:c r="G1508" t="n">
        <x:v>4</x:v>
      </x:c>
      <x:c r="H1508" t="n">
        <x:v>12</x:v>
      </x:c>
      <x:c r="I1508" t="str">
        <x:v>À qualifier par lieu</x:v>
      </x:c>
      <x:c r="J1508" t="str">
        <x:v>https://github.com/darknigthmare/deadwall-last-enclosure/blob/1b3b9c5ba232734b1bda3453b4e20a0481bcdd74/codex-3000/compositions/Automobile et carburant/DW-1503.md</x:v>
      </x:c>
      <x:c r="K1508" t="str">
        <x:v>Source min 22,18 m ; max 100,85 m ; modèle 25 × 18 m ; niveaux 0. Détails dans catalogue-existant.json.</x:v>
      </x:c>
    </x:row>
    <x:row r="1509">
      <x:c r="A1509" t="str">
        <x:v>DW-1504</x:v>
      </x:c>
      <x:c r="B1509" t="str">
        <x:v>DW-0252</x:v>
      </x:c>
      <x:c r="C1509" t="str">
        <x:v>Composition héritée</x:v>
      </x:c>
      <x:c r="D1509" t="str">
        <x:v>Automobile et carburant</x:v>
      </x:c>
      <x:c r="E1509" t="str">
        <x:v>Dépanneur routier — Zone industrielle / réseau principal coupé</x:v>
      </x:c>
      <x:c r="F1509" t="n">
        <x:v>8</x:v>
      </x:c>
      <x:c r="G1509" t="n">
        <x:v>4</x:v>
      </x:c>
      <x:c r="H1509" t="n">
        <x:v>12</x:v>
      </x:c>
      <x:c r="I1509" t="str">
        <x:v>À qualifier par lieu</x:v>
      </x:c>
      <x:c r="J1509" t="str">
        <x:v>https://github.com/darknigthmare/deadwall-last-enclosure/blob/1b3b9c5ba232734b1bda3453b4e20a0481bcdd74/codex-3000/compositions/Automobile et carburant/DW-1504.md</x:v>
      </x:c>
      <x:c r="K1509" t="str">
        <x:v>Source min 22,18 m ; max 100,85 m ; modèle 25 × 18 m ; niveaux 0. Détails dans catalogue-existant.json.</x:v>
      </x:c>
    </x:row>
    <x:row r="1510">
      <x:c r="A1510" t="str">
        <x:v>DW-1505</x:v>
      </x:c>
      <x:c r="B1510" t="str">
        <x:v>DW-0253</x:v>
      </x:c>
      <x:c r="C1510" t="str">
        <x:v>Composition héritée</x:v>
      </x:c>
      <x:c r="D1510" t="str">
        <x:v>Automobile et carburant</x:v>
      </x:c>
      <x:c r="E1510" t="str">
        <x:v>Location de véhicules — Station-service et aire routière / reprise progressive de la végétation</x:v>
      </x:c>
      <x:c r="F1510" t="n">
        <x:v>8</x:v>
      </x:c>
      <x:c r="G1510" t="n">
        <x:v>4</x:v>
      </x:c>
      <x:c r="H1510" t="n">
        <x:v>12</x:v>
      </x:c>
      <x:c r="I1510" t="str">
        <x:v>À qualifier par lieu</x:v>
      </x:c>
      <x:c r="J1510" t="str">
        <x:v>https://github.com/darknigthmare/deadwall-last-enclosure/blob/1b3b9c5ba232734b1bda3453b4e20a0481bcdd74/codex-3000/compositions/Automobile et carburant/DW-1505.md</x:v>
      </x:c>
      <x:c r="K1510" t="str">
        <x:v>Source min 22,18 m ; max 100,85 m ; modèle 25 × 18 m ; niveaux 0. Détails dans catalogue-existant.json.</x:v>
      </x:c>
    </x:row>
    <x:row r="1511">
      <x:c r="A1511" t="str">
        <x:v>DW-1506</x:v>
      </x:c>
      <x:c r="B1511" t="str">
        <x:v>DW-0253</x:v>
      </x:c>
      <x:c r="C1511" t="str">
        <x:v>Composition héritée</x:v>
      </x:c>
      <x:c r="D1511" t="str">
        <x:v>Automobile et carburant</x:v>
      </x:c>
      <x:c r="E1511" t="str">
        <x:v>Location de véhicules — Ville moyenne / repli organisé interrompu</x:v>
      </x:c>
      <x:c r="F1511" t="n">
        <x:v>8</x:v>
      </x:c>
      <x:c r="G1511" t="n">
        <x:v>4</x:v>
      </x:c>
      <x:c r="H1511" t="n">
        <x:v>12</x:v>
      </x:c>
      <x:c r="I1511" t="str">
        <x:v>À qualifier par lieu</x:v>
      </x:c>
      <x:c r="J1511" t="str">
        <x:v>https://github.com/darknigthmare/deadwall-last-enclosure/blob/1b3b9c5ba232734b1bda3453b4e20a0481bcdd74/codex-3000/compositions/Automobile et carburant/DW-1506.md</x:v>
      </x:c>
      <x:c r="K1511" t="str">
        <x:v>Source min 22,18 m ; max 100,85 m ; modèle 25 × 18 m ; niveaux 0. Détails dans catalogue-existant.json.</x:v>
      </x:c>
    </x:row>
    <x:row r="1512">
      <x:c r="A1512" t="str">
        <x:v>DW-1507</x:v>
      </x:c>
      <x:c r="B1512" t="str">
        <x:v>DW-0254</x:v>
      </x:c>
      <x:c r="C1512" t="str">
        <x:v>Composition héritée</x:v>
      </x:c>
      <x:c r="D1512" t="str">
        <x:v>Automobile et carburant</x:v>
      </x:c>
      <x:c r="E1512" t="str">
        <x:v>Atelier de motos — Zone industrielle / relais temporaire envisagé</x:v>
      </x:c>
      <x:c r="F1512" t="n">
        <x:v>8</x:v>
      </x:c>
      <x:c r="G1512" t="n">
        <x:v>4</x:v>
      </x:c>
      <x:c r="H1512" t="n">
        <x:v>12</x:v>
      </x:c>
      <x:c r="I1512" t="str">
        <x:v>À qualifier par lieu</x:v>
      </x:c>
      <x:c r="J1512" t="str">
        <x:v>https://github.com/darknigthmare/deadwall-last-enclosure/blob/1b3b9c5ba232734b1bda3453b4e20a0481bcdd74/codex-3000/compositions/Automobile et carburant/DW-1507.md</x:v>
      </x:c>
      <x:c r="K1512" t="str">
        <x:v>Source min 22,18 m ; max 100,85 m ; modèle 25 × 18 m ; niveaux 0. Détails dans catalogue-existant.json.</x:v>
      </x:c>
    </x:row>
    <x:row r="1513">
      <x:c r="A1513" t="str">
        <x:v>DW-1508</x:v>
      </x:c>
      <x:c r="B1513" t="str">
        <x:v>DW-0254</x:v>
      </x:c>
      <x:c r="C1513" t="str">
        <x:v>Composition héritée</x:v>
      </x:c>
      <x:c r="D1513" t="str">
        <x:v>Automobile et carburant</x:v>
      </x:c>
      <x:c r="E1513" t="str">
        <x:v>Atelier de motos — Atelier et artisanat / évacuation interrompue</x:v>
      </x:c>
      <x:c r="F1513" t="n">
        <x:v>8</x:v>
      </x:c>
      <x:c r="G1513" t="n">
        <x:v>4</x:v>
      </x:c>
      <x:c r="H1513" t="n">
        <x:v>12</x:v>
      </x:c>
      <x:c r="I1513" t="str">
        <x:v>À qualifier par lieu</x:v>
      </x:c>
      <x:c r="J1513" t="str">
        <x:v>https://github.com/darknigthmare/deadwall-last-enclosure/blob/1b3b9c5ba232734b1bda3453b4e20a0481bcdd74/codex-3000/compositions/Automobile et carburant/DW-1508.md</x:v>
      </x:c>
      <x:c r="K1513" t="str">
        <x:v>Source min 22,18 m ; max 100,85 m ; modèle 25 × 18 m ; niveaux 0. Détails dans catalogue-existant.json.</x:v>
      </x:c>
    </x:row>
    <x:row r="1514">
      <x:c r="A1514" t="str">
        <x:v>DW-1509</x:v>
      </x:c>
      <x:c r="B1514" t="str">
        <x:v>DW-0255</x:v>
      </x:c>
      <x:c r="C1514" t="str">
        <x:v>Composition héritée</x:v>
      </x:c>
      <x:c r="D1514" t="str">
        <x:v>Automobile et carburant</x:v>
      </x:c>
      <x:c r="E1514" t="str">
        <x:v>Garage poids lourds — Ville moyenne / réseau principal coupé</x:v>
      </x:c>
      <x:c r="F1514" t="n">
        <x:v>8</x:v>
      </x:c>
      <x:c r="G1514" t="n">
        <x:v>4</x:v>
      </x:c>
      <x:c r="H1514" t="n">
        <x:v>12</x:v>
      </x:c>
      <x:c r="I1514" t="str">
        <x:v>À qualifier par lieu</x:v>
      </x:c>
      <x:c r="J1514" t="str">
        <x:v>https://github.com/darknigthmare/deadwall-last-enclosure/blob/1b3b9c5ba232734b1bda3453b4e20a0481bcdd74/codex-3000/compositions/Automobile et carburant/DW-1509.md</x:v>
      </x:c>
      <x:c r="K1514" t="str">
        <x:v>Source min 22,18 m ; max 100,85 m ; modèle 25 × 18 m ; niveaux 0. Détails dans catalogue-existant.json.</x:v>
      </x:c>
    </x:row>
    <x:row r="1515">
      <x:c r="A1515" t="str">
        <x:v>DW-1510</x:v>
      </x:c>
      <x:c r="B1515" t="str">
        <x:v>DW-0255</x:v>
      </x:c>
      <x:c r="C1515" t="str">
        <x:v>Composition héritée</x:v>
      </x:c>
      <x:c r="D1515" t="str">
        <x:v>Automobile et carburant</x:v>
      </x:c>
      <x:c r="E1515" t="str">
        <x:v>Garage poids lourds — Station-service et aire routière / arrêt de maintenance</x:v>
      </x:c>
      <x:c r="F1515" t="n">
        <x:v>8</x:v>
      </x:c>
      <x:c r="G1515" t="n">
        <x:v>4</x:v>
      </x:c>
      <x:c r="H1515" t="n">
        <x:v>12</x:v>
      </x:c>
      <x:c r="I1515" t="str">
        <x:v>À qualifier par lieu</x:v>
      </x:c>
      <x:c r="J1515" t="str">
        <x:v>https://github.com/darknigthmare/deadwall-last-enclosure/blob/1b3b9c5ba232734b1bda3453b4e20a0481bcdd74/codex-3000/compositions/Automobile et carburant/DW-1510.md</x:v>
      </x:c>
      <x:c r="K1515" t="str">
        <x:v>Source min 22,18 m ; max 100,85 m ; modèle 25 × 18 m ; niveaux 0. Détails dans catalogue-existant.json.</x:v>
      </x:c>
    </x:row>
    <x:row r="1516">
      <x:c r="A1516" t="str">
        <x:v>DW-1511</x:v>
      </x:c>
      <x:c r="B1516" t="str">
        <x:v>DW-0256</x:v>
      </x:c>
      <x:c r="C1516" t="str">
        <x:v>Composition héritée</x:v>
      </x:c>
      <x:c r="D1516" t="str">
        <x:v>Automobile et carburant</x:v>
      </x:c>
      <x:c r="E1516" t="str">
        <x:v>Dépôt de bus — Atelier et artisanat / repli organisé interrompu</x:v>
      </x:c>
      <x:c r="F1516" t="n">
        <x:v>8</x:v>
      </x:c>
      <x:c r="G1516" t="n">
        <x:v>4</x:v>
      </x:c>
      <x:c r="H1516" t="n">
        <x:v>12</x:v>
      </x:c>
      <x:c r="I1516" t="str">
        <x:v>À qualifier par lieu</x:v>
      </x:c>
      <x:c r="J1516" t="str">
        <x:v>https://github.com/darknigthmare/deadwall-last-enclosure/blob/1b3b9c5ba232734b1bda3453b4e20a0481bcdd74/codex-3000/compositions/Automobile et carburant/DW-1511.md</x:v>
      </x:c>
      <x:c r="K1516" t="str">
        <x:v>Source min 22,18 m ; max 100,85 m ; modèle 25 × 18 m ; niveaux 0. Détails dans catalogue-existant.json.</x:v>
      </x:c>
    </x:row>
    <x:row r="1517">
      <x:c r="A1517" t="str">
        <x:v>DW-1512</x:v>
      </x:c>
      <x:c r="B1517" t="str">
        <x:v>DW-0256</x:v>
      </x:c>
      <x:c r="C1517" t="str">
        <x:v>Composition héritée</x:v>
      </x:c>
      <x:c r="D1517" t="str">
        <x:v>Automobile et carburant</x:v>
      </x:c>
      <x:c r="E1517" t="str">
        <x:v>Dépôt de bus — Zone industrielle / première récupération passée</x:v>
      </x:c>
      <x:c r="F1517" t="n">
        <x:v>8</x:v>
      </x:c>
      <x:c r="G1517" t="n">
        <x:v>4</x:v>
      </x:c>
      <x:c r="H1517" t="n">
        <x:v>12</x:v>
      </x:c>
      <x:c r="I1517" t="str">
        <x:v>À qualifier par lieu</x:v>
      </x:c>
      <x:c r="J1517" t="str">
        <x:v>https://github.com/darknigthmare/deadwall-last-enclosure/blob/1b3b9c5ba232734b1bda3453b4e20a0481bcdd74/codex-3000/compositions/Automobile et carburant/DW-1512.md</x:v>
      </x:c>
      <x:c r="K1517" t="str">
        <x:v>Source min 22,18 m ; max 100,85 m ; modèle 25 × 18 m ; niveaux 0. Détails dans catalogue-existant.json.</x:v>
      </x:c>
    </x:row>
    <x:row r="1518">
      <x:c r="A1518" t="str">
        <x:v>DW-1513</x:v>
      </x:c>
      <x:c r="B1518" t="str">
        <x:v>DW-0257</x:v>
      </x:c>
      <x:c r="C1518" t="str">
        <x:v>Composition héritée</x:v>
      </x:c>
      <x:c r="D1518" t="str">
        <x:v>Automobile et carburant</x:v>
      </x:c>
      <x:c r="E1518" t="str">
        <x:v>Parking à étages — Station-service et aire routière / évacuation interrompue</x:v>
      </x:c>
      <x:c r="F1518" t="n">
        <x:v>8</x:v>
      </x:c>
      <x:c r="G1518" t="n">
        <x:v>4</x:v>
      </x:c>
      <x:c r="H1518" t="n">
        <x:v>10</x:v>
      </x:c>
      <x:c r="I1518" t="str">
        <x:v>À qualifier par lieu</x:v>
      </x:c>
      <x:c r="J1518" t="str">
        <x:v>https://github.com/darknigthmare/deadwall-last-enclosure/blob/1b3b9c5ba232734b1bda3453b4e20a0481bcdd74/codex-3000/compositions/Automobile et carburant/DW-1513.md</x:v>
      </x:c>
      <x:c r="K1518" t="str">
        <x:v>Source min 22,18 m ; max 100,85 m ; modèle 25 × 18 m ; niveaux 0, 1, 2. Détails dans catalogue-existant.json.</x:v>
      </x:c>
    </x:row>
    <x:row r="1519">
      <x:c r="A1519" t="str">
        <x:v>DW-1514</x:v>
      </x:c>
      <x:c r="B1519" t="str">
        <x:v>DW-0257</x:v>
      </x:c>
      <x:c r="C1519" t="str">
        <x:v>Composition héritée</x:v>
      </x:c>
      <x:c r="D1519" t="str">
        <x:v>Automobile et carburant</x:v>
      </x:c>
      <x:c r="E1519" t="str">
        <x:v>Parking à étages — Ville moyenne / service déplacé à l’arrière</x:v>
      </x:c>
      <x:c r="F1519" t="n">
        <x:v>8</x:v>
      </x:c>
      <x:c r="G1519" t="n">
        <x:v>4</x:v>
      </x:c>
      <x:c r="H1519" t="n">
        <x:v>10</x:v>
      </x:c>
      <x:c r="I1519" t="str">
        <x:v>À qualifier par lieu</x:v>
      </x:c>
      <x:c r="J1519" t="str">
        <x:v>https://github.com/darknigthmare/deadwall-last-enclosure/blob/1b3b9c5ba232734b1bda3453b4e20a0481bcdd74/codex-3000/compositions/Automobile et carburant/DW-1514.md</x:v>
      </x:c>
      <x:c r="K1519" t="str">
        <x:v>Source min 22,18 m ; max 100,85 m ; modèle 25 × 18 m ; niveaux 0, 1, 2. Détails dans catalogue-existant.json.</x:v>
      </x:c>
    </x:row>
    <x:row r="1520">
      <x:c r="A1520" t="str">
        <x:v>DW-1515</x:v>
      </x:c>
      <x:c r="B1520" t="str">
        <x:v>DW-0258</x:v>
      </x:c>
      <x:c r="C1520" t="str">
        <x:v>Composition héritée</x:v>
      </x:c>
      <x:c r="D1520" t="str">
        <x:v>Automobile et carburant</x:v>
      </x:c>
      <x:c r="E1520" t="str">
        <x:v>Parking de supermarché — Zone industrielle / arrêt de maintenance</x:v>
      </x:c>
      <x:c r="F1520" t="n">
        <x:v>8</x:v>
      </x:c>
      <x:c r="G1520" t="n">
        <x:v>4</x:v>
      </x:c>
      <x:c r="H1520" t="n">
        <x:v>10</x:v>
      </x:c>
      <x:c r="I1520" t="str">
        <x:v>À qualifier par lieu</x:v>
      </x:c>
      <x:c r="J1520" t="str">
        <x:v>https://github.com/darknigthmare/deadwall-last-enclosure/blob/1b3b9c5ba232734b1bda3453b4e20a0481bcdd74/codex-3000/compositions/Automobile et carburant/DW-1515.md</x:v>
      </x:c>
      <x:c r="K1520" t="str">
        <x:v>Source min 22,18 m ; max 100,85 m ; modèle 25 × 18 m ; niveaux 0. Détails dans catalogue-existant.json.</x:v>
      </x:c>
    </x:row>
    <x:row r="1521">
      <x:c r="A1521" t="str">
        <x:v>DW-1516</x:v>
      </x:c>
      <x:c r="B1521" t="str">
        <x:v>DW-0258</x:v>
      </x:c>
      <x:c r="C1521" t="str">
        <x:v>Composition héritée</x:v>
      </x:c>
      <x:c r="D1521" t="str">
        <x:v>Automobile et carburant</x:v>
      </x:c>
      <x:c r="E1521" t="str">
        <x:v>Parking de supermarché — Atelier et artisanat / reprise progressive de la végétation</x:v>
      </x:c>
      <x:c r="F1521" t="n">
        <x:v>8</x:v>
      </x:c>
      <x:c r="G1521" t="n">
        <x:v>4</x:v>
      </x:c>
      <x:c r="H1521" t="n">
        <x:v>10</x:v>
      </x:c>
      <x:c r="I1521" t="str">
        <x:v>À qualifier par lieu</x:v>
      </x:c>
      <x:c r="J1521" t="str">
        <x:v>https://github.com/darknigthmare/deadwall-last-enclosure/blob/1b3b9c5ba232734b1bda3453b4e20a0481bcdd74/codex-3000/compositions/Automobile et carburant/DW-1516.md</x:v>
      </x:c>
      <x:c r="K1521" t="str">
        <x:v>Source min 22,18 m ; max 100,85 m ; modèle 25 × 18 m ; niveaux 0. Détails dans catalogue-existant.json.</x:v>
      </x:c>
    </x:row>
    <x:row r="1522">
      <x:c r="A1522" t="str">
        <x:v>DW-1517</x:v>
      </x:c>
      <x:c r="B1522" t="str">
        <x:v>DW-0259</x:v>
      </x:c>
      <x:c r="C1522" t="str">
        <x:v>Composition héritée</x:v>
      </x:c>
      <x:c r="D1522" t="str">
        <x:v>Automobile et carburant</x:v>
      </x:c>
      <x:c r="E1522" t="str">
        <x:v>Parking improvisé de terrain vague — Ville moyenne / première récupération passée</x:v>
      </x:c>
      <x:c r="F1522" t="n">
        <x:v>8</x:v>
      </x:c>
      <x:c r="G1522" t="n">
        <x:v>3</x:v>
      </x:c>
      <x:c r="H1522" t="n">
        <x:v>9</x:v>
      </x:c>
      <x:c r="I1522" t="str">
        <x:v>À qualifier par lieu</x:v>
      </x:c>
      <x:c r="J1522" t="str">
        <x:v>https://github.com/darknigthmare/deadwall-last-enclosure/blob/1b3b9c5ba232734b1bda3453b4e20a0481bcdd74/codex-3000/compositions/Automobile et carburant/DW-1517.md</x:v>
      </x:c>
      <x:c r="K1522" t="str">
        <x:v>Source min 22,18 m ; max 100,85 m ; modèle 24 × 18 m ; niveaux 0. Détails dans catalogue-existant.json.</x:v>
      </x:c>
    </x:row>
    <x:row r="1523">
      <x:c r="A1523" t="str">
        <x:v>DW-1518</x:v>
      </x:c>
      <x:c r="B1523" t="str">
        <x:v>DW-0259</x:v>
      </x:c>
      <x:c r="C1523" t="str">
        <x:v>Composition héritée</x:v>
      </x:c>
      <x:c r="D1523" t="str">
        <x:v>Automobile et carburant</x:v>
      </x:c>
      <x:c r="E1523" t="str">
        <x:v>Parking improvisé de terrain vague — Station-service et aire routière / relais temporaire envisagé</x:v>
      </x:c>
      <x:c r="F1523" t="n">
        <x:v>8</x:v>
      </x:c>
      <x:c r="G1523" t="n">
        <x:v>3</x:v>
      </x:c>
      <x:c r="H1523" t="n">
        <x:v>9</x:v>
      </x:c>
      <x:c r="I1523" t="str">
        <x:v>À qualifier par lieu</x:v>
      </x:c>
      <x:c r="J1523" t="str">
        <x:v>https://github.com/darknigthmare/deadwall-last-enclosure/blob/1b3b9c5ba232734b1bda3453b4e20a0481bcdd74/codex-3000/compositions/Automobile et carburant/DW-1518.md</x:v>
      </x:c>
      <x:c r="K1523" t="str">
        <x:v>Source min 22,18 m ; max 100,85 m ; modèle 24 × 18 m ; niveaux 0. Détails dans catalogue-existant.json.</x:v>
      </x:c>
    </x:row>
    <x:row r="1524">
      <x:c r="A1524" t="str">
        <x:v>DW-1519</x:v>
      </x:c>
      <x:c r="B1524" t="str">
        <x:v>DW-0260</x:v>
      </x:c>
      <x:c r="C1524" t="str">
        <x:v>Composition héritée</x:v>
      </x:c>
      <x:c r="D1524" t="str">
        <x:v>Automobile et carburant</x:v>
      </x:c>
      <x:c r="E1524" t="str">
        <x:v>Garage de collection — Atelier et artisanat / service déplacé à l’arrière</x:v>
      </x:c>
      <x:c r="F1524" t="n">
        <x:v>8</x:v>
      </x:c>
      <x:c r="G1524" t="n">
        <x:v>4</x:v>
      </x:c>
      <x:c r="H1524" t="n">
        <x:v>12</x:v>
      </x:c>
      <x:c r="I1524" t="str">
        <x:v>À qualifier par lieu</x:v>
      </x:c>
      <x:c r="J1524" t="str">
        <x:v>https://github.com/darknigthmare/deadwall-last-enclosure/blob/1b3b9c5ba232734b1bda3453b4e20a0481bcdd74/codex-3000/compositions/Automobile et carburant/DW-1519.md</x:v>
      </x:c>
      <x:c r="K1524" t="str">
        <x:v>Source min 22,18 m ; max 100,85 m ; modèle 25 × 18 m ; niveaux 0. Détails dans catalogue-existant.json.</x:v>
      </x:c>
    </x:row>
    <x:row r="1525">
      <x:c r="A1525" t="str">
        <x:v>DW-1520</x:v>
      </x:c>
      <x:c r="B1525" t="str">
        <x:v>DW-0260</x:v>
      </x:c>
      <x:c r="C1525" t="str">
        <x:v>Composition héritée</x:v>
      </x:c>
      <x:c r="D1525" t="str">
        <x:v>Automobile et carburant</x:v>
      </x:c>
      <x:c r="E1525" t="str">
        <x:v>Garage de collection — Zone industrielle / réseau principal coupé</x:v>
      </x:c>
      <x:c r="F1525" t="n">
        <x:v>8</x:v>
      </x:c>
      <x:c r="G1525" t="n">
        <x:v>4</x:v>
      </x:c>
      <x:c r="H1525" t="n">
        <x:v>12</x:v>
      </x:c>
      <x:c r="I1525" t="str">
        <x:v>À qualifier par lieu</x:v>
      </x:c>
      <x:c r="J1525" t="str">
        <x:v>https://github.com/darknigthmare/deadwall-last-enclosure/blob/1b3b9c5ba232734b1bda3453b4e20a0481bcdd74/codex-3000/compositions/Automobile et carburant/DW-1520.md</x:v>
      </x:c>
      <x:c r="K1525" t="str">
        <x:v>Source min 22,18 m ; max 100,85 m ; modèle 25 × 18 m ; niveaux 0. Détails dans catalogue-existant.json.</x:v>
      </x:c>
    </x:row>
    <x:row r="1526">
      <x:c r="A1526" t="str">
        <x:v>DW-1521</x:v>
      </x:c>
      <x:c r="B1526" t="str">
        <x:v>DW-0261</x:v>
      </x:c>
      <x:c r="C1526" t="str">
        <x:v>Composition héritée</x:v>
      </x:c>
      <x:c r="D1526" t="str">
        <x:v>Routes et ouvrages</x:v>
      </x:c>
      <x:c r="E1526" t="str">
        <x:v>Carrefour de village — Routes et coutures territoriales / reprise progressive de la végétation</x:v>
      </x:c>
      <x:c r="F1526" t="n">
        <x:v>10</x:v>
      </x:c>
      <x:c r="G1526" t="n">
        <x:v>4</x:v>
      </x:c>
      <x:c r="H1526" t="n">
        <x:v>12</x:v>
      </x:c>
      <x:c r="I1526" t="str">
        <x:v>À qualifier par lieu</x:v>
      </x:c>
      <x:c r="J1526" t="str">
        <x:v>https://github.com/darknigthmare/deadwall-last-enclosure/blob/1b3b9c5ba232734b1bda3453b4e20a0481bcdd74/codex-3000/compositions/Routes et ouvrages/DW-1521.md</x:v>
      </x:c>
      <x:c r="K1526" t="str">
        <x:v>Source min 100,25 m ; max 1200,180 m ; modèle 100 × 25 m ; niveaux 0. Détails dans catalogue-existant.json.</x:v>
      </x:c>
    </x:row>
    <x:row r="1527">
      <x:c r="A1527" t="str">
        <x:v>DW-1522</x:v>
      </x:c>
      <x:c r="B1527" t="str">
        <x:v>DW-0261</x:v>
      </x:c>
      <x:c r="C1527" t="str">
        <x:v>Composition héritée</x:v>
      </x:c>
      <x:c r="D1527" t="str">
        <x:v>Routes et ouvrages</x:v>
      </x:c>
      <x:c r="E1527" t="str">
        <x:v>Carrefour de village — Rivière, berges et gué / repli organisé interrompu</x:v>
      </x:c>
      <x:c r="F1527" t="n">
        <x:v>10</x:v>
      </x:c>
      <x:c r="G1527" t="n">
        <x:v>4</x:v>
      </x:c>
      <x:c r="H1527" t="n">
        <x:v>12</x:v>
      </x:c>
      <x:c r="I1527" t="str">
        <x:v>À qualifier par lieu</x:v>
      </x:c>
      <x:c r="J1527" t="str">
        <x:v>https://github.com/darknigthmare/deadwall-last-enclosure/blob/1b3b9c5ba232734b1bda3453b4e20a0481bcdd74/codex-3000/compositions/Routes et ouvrages/DW-1522.md</x:v>
      </x:c>
      <x:c r="K1527" t="str">
        <x:v>Source min 100,25 m ; max 1200,180 m ; modèle 100 × 25 m ; niveaux 0. Détails dans catalogue-existant.json.</x:v>
      </x:c>
    </x:row>
    <x:row r="1528">
      <x:c r="A1528" t="str">
        <x:v>DW-1523</x:v>
      </x:c>
      <x:c r="B1528" t="str">
        <x:v>DW-0262</x:v>
      </x:c>
      <x:c r="C1528" t="str">
        <x:v>Composition héritée</x:v>
      </x:c>
      <x:c r="D1528" t="str">
        <x:v>Routes et ouvrages</x:v>
      </x:c>
      <x:c r="E1528" t="str">
        <x:v>Rond-point périphérique — Montagne et col / relais temporaire envisagé</x:v>
      </x:c>
      <x:c r="F1528" t="n">
        <x:v>10</x:v>
      </x:c>
      <x:c r="G1528" t="n">
        <x:v>4</x:v>
      </x:c>
      <x:c r="H1528" t="n">
        <x:v>12</x:v>
      </x:c>
      <x:c r="I1528" t="str">
        <x:v>À qualifier par lieu</x:v>
      </x:c>
      <x:c r="J1528" t="str">
        <x:v>https://github.com/darknigthmare/deadwall-last-enclosure/blob/1b3b9c5ba232734b1bda3453b4e20a0481bcdd74/codex-3000/compositions/Routes et ouvrages/DW-1523.md</x:v>
      </x:c>
      <x:c r="K1528" t="str">
        <x:v>Source min 100,25 m ; max 1200,180 m ; modèle 100 × 25 m ; niveaux 0. Détails dans catalogue-existant.json.</x:v>
      </x:c>
    </x:row>
    <x:row r="1529">
      <x:c r="A1529" t="str">
        <x:v>DW-1524</x:v>
      </x:c>
      <x:c r="B1529" t="str">
        <x:v>DW-0262</x:v>
      </x:c>
      <x:c r="C1529" t="str">
        <x:v>Composition héritée</x:v>
      </x:c>
      <x:c r="D1529" t="str">
        <x:v>Routes et ouvrages</x:v>
      </x:c>
      <x:c r="E1529" t="str">
        <x:v>Rond-point périphérique — Ville moyenne / évacuation interrompue</x:v>
      </x:c>
      <x:c r="F1529" t="n">
        <x:v>10</x:v>
      </x:c>
      <x:c r="G1529" t="n">
        <x:v>4</x:v>
      </x:c>
      <x:c r="H1529" t="n">
        <x:v>12</x:v>
      </x:c>
      <x:c r="I1529" t="str">
        <x:v>À qualifier par lieu</x:v>
      </x:c>
      <x:c r="J1529" t="str">
        <x:v>https://github.com/darknigthmare/deadwall-last-enclosure/blob/1b3b9c5ba232734b1bda3453b4e20a0481bcdd74/codex-3000/compositions/Routes et ouvrages/DW-1524.md</x:v>
      </x:c>
      <x:c r="K1529" t="str">
        <x:v>Source min 100,25 m ; max 1200,180 m ; modèle 100 × 25 m ; niveaux 0. Détails dans catalogue-existant.json.</x:v>
      </x:c>
    </x:row>
    <x:row r="1530">
      <x:c r="A1530" t="str">
        <x:v>DW-1525</x:v>
      </x:c>
      <x:c r="B1530" t="str">
        <x:v>DW-0263</x:v>
      </x:c>
      <x:c r="C1530" t="str">
        <x:v>Composition héritée</x:v>
      </x:c>
      <x:c r="D1530" t="str">
        <x:v>Routes et ouvrages</x:v>
      </x:c>
      <x:c r="E1530" t="str">
        <x:v>Aire de repos forestière — Rivière, berges et gué / réseau principal coupé</x:v>
      </x:c>
      <x:c r="F1530" t="n">
        <x:v>10</x:v>
      </x:c>
      <x:c r="G1530" t="n">
        <x:v>4</x:v>
      </x:c>
      <x:c r="H1530" t="n">
        <x:v>12</x:v>
      </x:c>
      <x:c r="I1530" t="str">
        <x:v>À qualifier par lieu</x:v>
      </x:c>
      <x:c r="J1530" t="str">
        <x:v>https://github.com/darknigthmare/deadwall-last-enclosure/blob/1b3b9c5ba232734b1bda3453b4e20a0481bcdd74/codex-3000/compositions/Routes et ouvrages/DW-1525.md</x:v>
      </x:c>
      <x:c r="K1530" t="str">
        <x:v>Source min 100,25 m ; max 1200,180 m ; modèle 100 × 25 m ; niveaux 0. Détails dans catalogue-existant.json.</x:v>
      </x:c>
    </x:row>
    <x:row r="1531">
      <x:c r="A1531" t="str">
        <x:v>DW-1526</x:v>
      </x:c>
      <x:c r="B1531" t="str">
        <x:v>DW-0263</x:v>
      </x:c>
      <x:c r="C1531" t="str">
        <x:v>Composition héritée</x:v>
      </x:c>
      <x:c r="D1531" t="str">
        <x:v>Routes et ouvrages</x:v>
      </x:c>
      <x:c r="E1531" t="str">
        <x:v>Aire de repos forestière — Routes et coutures territoriales / arrêt de maintenance</x:v>
      </x:c>
      <x:c r="F1531" t="n">
        <x:v>10</x:v>
      </x:c>
      <x:c r="G1531" t="n">
        <x:v>4</x:v>
      </x:c>
      <x:c r="H1531" t="n">
        <x:v>12</x:v>
      </x:c>
      <x:c r="I1531" t="str">
        <x:v>À qualifier par lieu</x:v>
      </x:c>
      <x:c r="J1531" t="str">
        <x:v>https://github.com/darknigthmare/deadwall-last-enclosure/blob/1b3b9c5ba232734b1bda3453b4e20a0481bcdd74/codex-3000/compositions/Routes et ouvrages/DW-1526.md</x:v>
      </x:c>
      <x:c r="K1531" t="str">
        <x:v>Source min 100,25 m ; max 1200,180 m ; modèle 100 × 25 m ; niveaux 0. Détails dans catalogue-existant.json.</x:v>
      </x:c>
    </x:row>
    <x:row r="1532">
      <x:c r="A1532" t="str">
        <x:v>DW-1527</x:v>
      </x:c>
      <x:c r="B1532" t="str">
        <x:v>DW-0264</x:v>
      </x:c>
      <x:c r="C1532" t="str">
        <x:v>Composition héritée</x:v>
      </x:c>
      <x:c r="D1532" t="str">
        <x:v>Routes et ouvrages</x:v>
      </x:c>
      <x:c r="E1532" t="str">
        <x:v>Aire de service de plaine — Ville moyenne / repli organisé interrompu</x:v>
      </x:c>
      <x:c r="F1532" t="n">
        <x:v>10</x:v>
      </x:c>
      <x:c r="G1532" t="n">
        <x:v>4</x:v>
      </x:c>
      <x:c r="H1532" t="n">
        <x:v>12</x:v>
      </x:c>
      <x:c r="I1532" t="str">
        <x:v>À qualifier par lieu</x:v>
      </x:c>
      <x:c r="J1532" t="str">
        <x:v>https://github.com/darknigthmare/deadwall-last-enclosure/blob/1b3b9c5ba232734b1bda3453b4e20a0481bcdd74/codex-3000/compositions/Routes et ouvrages/DW-1527.md</x:v>
      </x:c>
      <x:c r="K1532" t="str">
        <x:v>Source min 100,25 m ; max 1200,180 m ; modèle 100 × 25 m ; niveaux 0. Détails dans catalogue-existant.json.</x:v>
      </x:c>
    </x:row>
    <x:row r="1533">
      <x:c r="A1533" t="str">
        <x:v>DW-1528</x:v>
      </x:c>
      <x:c r="B1533" t="str">
        <x:v>DW-0264</x:v>
      </x:c>
      <x:c r="C1533" t="str">
        <x:v>Composition héritée</x:v>
      </x:c>
      <x:c r="D1533" t="str">
        <x:v>Routes et ouvrages</x:v>
      </x:c>
      <x:c r="E1533" t="str">
        <x:v>Aire de service de plaine — Montagne et col / première récupération passée</x:v>
      </x:c>
      <x:c r="F1533" t="n">
        <x:v>10</x:v>
      </x:c>
      <x:c r="G1533" t="n">
        <x:v>4</x:v>
      </x:c>
      <x:c r="H1533" t="n">
        <x:v>12</x:v>
      </x:c>
      <x:c r="I1533" t="str">
        <x:v>À qualifier par lieu</x:v>
      </x:c>
      <x:c r="J1533" t="str">
        <x:v>https://github.com/darknigthmare/deadwall-last-enclosure/blob/1b3b9c5ba232734b1bda3453b4e20a0481bcdd74/codex-3000/compositions/Routes et ouvrages/DW-1528.md</x:v>
      </x:c>
      <x:c r="K1533" t="str">
        <x:v>Source min 100,25 m ; max 1200,180 m ; modèle 100 × 25 m ; niveaux 0. Détails dans catalogue-existant.json.</x:v>
      </x:c>
    </x:row>
    <x:row r="1534">
      <x:c r="A1534" t="str">
        <x:v>DW-1529</x:v>
      </x:c>
      <x:c r="B1534" t="str">
        <x:v>DW-0265</x:v>
      </x:c>
      <x:c r="C1534" t="str">
        <x:v>Composition héritée</x:v>
      </x:c>
      <x:c r="D1534" t="str">
        <x:v>Routes et ouvrages</x:v>
      </x:c>
      <x:c r="E1534" t="str">
        <x:v>Pont routier — Routes et coutures territoriales / évacuation interrompue</x:v>
      </x:c>
      <x:c r="F1534" t="n">
        <x:v>10</x:v>
      </x:c>
      <x:c r="G1534" t="n">
        <x:v>4</x:v>
      </x:c>
      <x:c r="H1534" t="n">
        <x:v>12</x:v>
      </x:c>
      <x:c r="I1534" t="str">
        <x:v>À qualifier par lieu</x:v>
      </x:c>
      <x:c r="J1534" t="str">
        <x:v>https://github.com/darknigthmare/deadwall-last-enclosure/blob/1b3b9c5ba232734b1bda3453b4e20a0481bcdd74/codex-3000/compositions/Routes et ouvrages/DW-1529.md</x:v>
      </x:c>
      <x:c r="K1534" t="str">
        <x:v>Source min 100,25 m ; max 1200,180 m ; modèle 100 × 25 m ; niveaux 0. Détails dans catalogue-existant.json.</x:v>
      </x:c>
    </x:row>
    <x:row r="1535">
      <x:c r="A1535" t="str">
        <x:v>DW-1530</x:v>
      </x:c>
      <x:c r="B1535" t="str">
        <x:v>DW-0265</x:v>
      </x:c>
      <x:c r="C1535" t="str">
        <x:v>Composition héritée</x:v>
      </x:c>
      <x:c r="D1535" t="str">
        <x:v>Routes et ouvrages</x:v>
      </x:c>
      <x:c r="E1535" t="str">
        <x:v>Pont routier — Rivière, berges et gué / service déplacé à l’arrière</x:v>
      </x:c>
      <x:c r="F1535" t="n">
        <x:v>10</x:v>
      </x:c>
      <x:c r="G1535" t="n">
        <x:v>4</x:v>
      </x:c>
      <x:c r="H1535" t="n">
        <x:v>12</x:v>
      </x:c>
      <x:c r="I1535" t="str">
        <x:v>À qualifier par lieu</x:v>
      </x:c>
      <x:c r="J1535" t="str">
        <x:v>https://github.com/darknigthmare/deadwall-last-enclosure/blob/1b3b9c5ba232734b1bda3453b4e20a0481bcdd74/codex-3000/compositions/Routes et ouvrages/DW-1530.md</x:v>
      </x:c>
      <x:c r="K1535" t="str">
        <x:v>Source min 100,25 m ; max 1200,180 m ; modèle 100 × 25 m ; niveaux 0. Détails dans catalogue-existant.json.</x:v>
      </x:c>
    </x:row>
    <x:row r="1536">
      <x:c r="A1536" t="str">
        <x:v>DW-1531</x:v>
      </x:c>
      <x:c r="B1536" t="str">
        <x:v>DW-0266</x:v>
      </x:c>
      <x:c r="C1536" t="str">
        <x:v>Composition héritée</x:v>
      </x:c>
      <x:c r="D1536" t="str">
        <x:v>Routes et ouvrages</x:v>
      </x:c>
      <x:c r="E1536" t="str">
        <x:v>Viaduc — Montagne et col / arrêt de maintenance</x:v>
      </x:c>
      <x:c r="F1536" t="n">
        <x:v>10</x:v>
      </x:c>
      <x:c r="G1536" t="n">
        <x:v>4</x:v>
      </x:c>
      <x:c r="H1536" t="n">
        <x:v>12</x:v>
      </x:c>
      <x:c r="I1536" t="str">
        <x:v>À qualifier par lieu</x:v>
      </x:c>
      <x:c r="J1536" t="str">
        <x:v>https://github.com/darknigthmare/deadwall-last-enclosure/blob/1b3b9c5ba232734b1bda3453b4e20a0481bcdd74/codex-3000/compositions/Routes et ouvrages/DW-1531.md</x:v>
      </x:c>
      <x:c r="K1536" t="str">
        <x:v>Source min 100,25 m ; max 1200,180 m ; modèle 100 × 25 m ; niveaux 0. Détails dans catalogue-existant.json.</x:v>
      </x:c>
    </x:row>
    <x:row r="1537">
      <x:c r="A1537" t="str">
        <x:v>DW-1532</x:v>
      </x:c>
      <x:c r="B1537" t="str">
        <x:v>DW-0266</x:v>
      </x:c>
      <x:c r="C1537" t="str">
        <x:v>Composition héritée</x:v>
      </x:c>
      <x:c r="D1537" t="str">
        <x:v>Routes et ouvrages</x:v>
      </x:c>
      <x:c r="E1537" t="str">
        <x:v>Viaduc — Ville moyenne / reprise progressive de la végétation</x:v>
      </x:c>
      <x:c r="F1537" t="n">
        <x:v>10</x:v>
      </x:c>
      <x:c r="G1537" t="n">
        <x:v>4</x:v>
      </x:c>
      <x:c r="H1537" t="n">
        <x:v>12</x:v>
      </x:c>
      <x:c r="I1537" t="str">
        <x:v>À qualifier par lieu</x:v>
      </x:c>
      <x:c r="J1537" t="str">
        <x:v>https://github.com/darknigthmare/deadwall-last-enclosure/blob/1b3b9c5ba232734b1bda3453b4e20a0481bcdd74/codex-3000/compositions/Routes et ouvrages/DW-1532.md</x:v>
      </x:c>
      <x:c r="K1537" t="str">
        <x:v>Source min 100,25 m ; max 1200,180 m ; modèle 100 × 25 m ; niveaux 0. Détails dans catalogue-existant.json.</x:v>
      </x:c>
    </x:row>
    <x:row r="1538">
      <x:c r="A1538" t="str">
        <x:v>DW-1533</x:v>
      </x:c>
      <x:c r="B1538" t="str">
        <x:v>DW-0267</x:v>
      </x:c>
      <x:c r="C1538" t="str">
        <x:v>Composition héritée</x:v>
      </x:c>
      <x:c r="D1538" t="str">
        <x:v>Routes et ouvrages</x:v>
      </x:c>
      <x:c r="E1538" t="str">
        <x:v>Tunnel routier — Rivière, berges et gué / première récupération passée</x:v>
      </x:c>
      <x:c r="F1538" t="n">
        <x:v>10</x:v>
      </x:c>
      <x:c r="G1538" t="n">
        <x:v>4</x:v>
      </x:c>
      <x:c r="H1538" t="n">
        <x:v>12</x:v>
      </x:c>
      <x:c r="I1538" t="str">
        <x:v>À qualifier par lieu</x:v>
      </x:c>
      <x:c r="J1538" t="str">
        <x:v>https://github.com/darknigthmare/deadwall-last-enclosure/blob/1b3b9c5ba232734b1bda3453b4e20a0481bcdd74/codex-3000/compositions/Routes et ouvrages/DW-1533.md</x:v>
      </x:c>
      <x:c r="K1538" t="str">
        <x:v>Source min 100,25 m ; max 1200,180 m ; modèle 100 × 25 m ; niveaux 0. Détails dans catalogue-existant.json.</x:v>
      </x:c>
    </x:row>
    <x:row r="1539">
      <x:c r="A1539" t="str">
        <x:v>DW-1534</x:v>
      </x:c>
      <x:c r="B1539" t="str">
        <x:v>DW-0267</x:v>
      </x:c>
      <x:c r="C1539" t="str">
        <x:v>Composition héritée</x:v>
      </x:c>
      <x:c r="D1539" t="str">
        <x:v>Routes et ouvrages</x:v>
      </x:c>
      <x:c r="E1539" t="str">
        <x:v>Tunnel routier — Routes et coutures territoriales / relais temporaire envisagé</x:v>
      </x:c>
      <x:c r="F1539" t="n">
        <x:v>10</x:v>
      </x:c>
      <x:c r="G1539" t="n">
        <x:v>4</x:v>
      </x:c>
      <x:c r="H1539" t="n">
        <x:v>12</x:v>
      </x:c>
      <x:c r="I1539" t="str">
        <x:v>À qualifier par lieu</x:v>
      </x:c>
      <x:c r="J1539" t="str">
        <x:v>https://github.com/darknigthmare/deadwall-last-enclosure/blob/1b3b9c5ba232734b1bda3453b4e20a0481bcdd74/codex-3000/compositions/Routes et ouvrages/DW-1534.md</x:v>
      </x:c>
      <x:c r="K1539" t="str">
        <x:v>Source min 100,25 m ; max 1200,180 m ; modèle 100 × 25 m ; niveaux 0. Détails dans catalogue-existant.json.</x:v>
      </x:c>
    </x:row>
    <x:row r="1540">
      <x:c r="A1540" t="str">
        <x:v>DW-1535</x:v>
      </x:c>
      <x:c r="B1540" t="str">
        <x:v>DW-0268</x:v>
      </x:c>
      <x:c r="C1540" t="str">
        <x:v>Composition héritée</x:v>
      </x:c>
      <x:c r="D1540" t="str">
        <x:v>Routes et ouvrages</x:v>
      </x:c>
      <x:c r="E1540" t="str">
        <x:v>Passage inférieur — Ville moyenne / service déplacé à l’arrière</x:v>
      </x:c>
      <x:c r="F1540" t="n">
        <x:v>10</x:v>
      </x:c>
      <x:c r="G1540" t="n">
        <x:v>4</x:v>
      </x:c>
      <x:c r="H1540" t="n">
        <x:v>10</x:v>
      </x:c>
      <x:c r="I1540" t="str">
        <x:v>À qualifier par lieu</x:v>
      </x:c>
      <x:c r="J1540" t="str">
        <x:v>https://github.com/darknigthmare/deadwall-last-enclosure/blob/1b3b9c5ba232734b1bda3453b4e20a0481bcdd74/codex-3000/compositions/Routes et ouvrages/DW-1535.md</x:v>
      </x:c>
      <x:c r="K1540" t="str">
        <x:v>Source min 100,25 m ; max 1200,180 m ; modèle 100 × 25 m ; niveaux 0. Détails dans catalogue-existant.json.</x:v>
      </x:c>
    </x:row>
    <x:row r="1541">
      <x:c r="A1541" t="str">
        <x:v>DW-1536</x:v>
      </x:c>
      <x:c r="B1541" t="str">
        <x:v>DW-0268</x:v>
      </x:c>
      <x:c r="C1541" t="str">
        <x:v>Composition héritée</x:v>
      </x:c>
      <x:c r="D1541" t="str">
        <x:v>Routes et ouvrages</x:v>
      </x:c>
      <x:c r="E1541" t="str">
        <x:v>Passage inférieur — Montagne et col / réseau principal coupé</x:v>
      </x:c>
      <x:c r="F1541" t="n">
        <x:v>10</x:v>
      </x:c>
      <x:c r="G1541" t="n">
        <x:v>4</x:v>
      </x:c>
      <x:c r="H1541" t="n">
        <x:v>10</x:v>
      </x:c>
      <x:c r="I1541" t="str">
        <x:v>À qualifier par lieu</x:v>
      </x:c>
      <x:c r="J1541" t="str">
        <x:v>https://github.com/darknigthmare/deadwall-last-enclosure/blob/1b3b9c5ba232734b1bda3453b4e20a0481bcdd74/codex-3000/compositions/Routes et ouvrages/DW-1536.md</x:v>
      </x:c>
      <x:c r="K1541" t="str">
        <x:v>Source min 100,25 m ; max 1200,180 m ; modèle 100 × 25 m ; niveaux 0. Détails dans catalogue-existant.json.</x:v>
      </x:c>
    </x:row>
    <x:row r="1542">
      <x:c r="A1542" t="str">
        <x:v>DW-1537</x:v>
      </x:c>
      <x:c r="B1542" t="str">
        <x:v>DW-0269</x:v>
      </x:c>
      <x:c r="C1542" t="str">
        <x:v>Composition héritée</x:v>
      </x:c>
      <x:c r="D1542" t="str">
        <x:v>Routes et ouvrages</x:v>
      </x:c>
      <x:c r="E1542" t="str">
        <x:v>Échangeur autoroutier — Routes et coutures territoriales / reprise progressive de la végétation</x:v>
      </x:c>
      <x:c r="F1542" t="n">
        <x:v>10</x:v>
      </x:c>
      <x:c r="G1542" t="n">
        <x:v>4</x:v>
      </x:c>
      <x:c r="H1542" t="n">
        <x:v>12</x:v>
      </x:c>
      <x:c r="I1542" t="str">
        <x:v>À qualifier par lieu</x:v>
      </x:c>
      <x:c r="J1542" t="str">
        <x:v>https://github.com/darknigthmare/deadwall-last-enclosure/blob/1b3b9c5ba232734b1bda3453b4e20a0481bcdd74/codex-3000/compositions/Routes et ouvrages/DW-1537.md</x:v>
      </x:c>
      <x:c r="K1542" t="str">
        <x:v>Source min 100,25 m ; max 1200,180 m ; modèle 100 × 25 m ; niveaux 0. Détails dans catalogue-existant.json.</x:v>
      </x:c>
    </x:row>
    <x:row r="1543">
      <x:c r="A1543" t="str">
        <x:v>DW-1538</x:v>
      </x:c>
      <x:c r="B1543" t="str">
        <x:v>DW-0269</x:v>
      </x:c>
      <x:c r="C1543" t="str">
        <x:v>Composition héritée</x:v>
      </x:c>
      <x:c r="D1543" t="str">
        <x:v>Routes et ouvrages</x:v>
      </x:c>
      <x:c r="E1543" t="str">
        <x:v>Échangeur autoroutier — Rivière, berges et gué / repli organisé interrompu</x:v>
      </x:c>
      <x:c r="F1543" t="n">
        <x:v>10</x:v>
      </x:c>
      <x:c r="G1543" t="n">
        <x:v>4</x:v>
      </x:c>
      <x:c r="H1543" t="n">
        <x:v>12</x:v>
      </x:c>
      <x:c r="I1543" t="str">
        <x:v>À qualifier par lieu</x:v>
      </x:c>
      <x:c r="J1543" t="str">
        <x:v>https://github.com/darknigthmare/deadwall-last-enclosure/blob/1b3b9c5ba232734b1bda3453b4e20a0481bcdd74/codex-3000/compositions/Routes et ouvrages/DW-1538.md</x:v>
      </x:c>
      <x:c r="K1543" t="str">
        <x:v>Source min 100,25 m ; max 1200,180 m ; modèle 100 × 25 m ; niveaux 0. Détails dans catalogue-existant.json.</x:v>
      </x:c>
    </x:row>
    <x:row r="1544">
      <x:c r="A1544" t="str">
        <x:v>DW-1539</x:v>
      </x:c>
      <x:c r="B1544" t="str">
        <x:v>DW-0270</x:v>
      </x:c>
      <x:c r="C1544" t="str">
        <x:v>Composition héritée</x:v>
      </x:c>
      <x:c r="D1544" t="str">
        <x:v>Routes et ouvrages</x:v>
      </x:c>
      <x:c r="E1544" t="str">
        <x:v>Péage abandonné — Montagne et col / relais temporaire envisagé</x:v>
      </x:c>
      <x:c r="F1544" t="n">
        <x:v>10</x:v>
      </x:c>
      <x:c r="G1544" t="n">
        <x:v>4</x:v>
      </x:c>
      <x:c r="H1544" t="n">
        <x:v>12</x:v>
      </x:c>
      <x:c r="I1544" t="str">
        <x:v>À qualifier par lieu</x:v>
      </x:c>
      <x:c r="J1544" t="str">
        <x:v>https://github.com/darknigthmare/deadwall-last-enclosure/blob/1b3b9c5ba232734b1bda3453b4e20a0481bcdd74/codex-3000/compositions/Routes et ouvrages/DW-1539.md</x:v>
      </x:c>
      <x:c r="K1544" t="str">
        <x:v>Source min 100,25 m ; max 1200,180 m ; modèle 100 × 25 m ; niveaux 0. Détails dans catalogue-existant.json.</x:v>
      </x:c>
    </x:row>
    <x:row r="1545">
      <x:c r="A1545" t="str">
        <x:v>DW-1540</x:v>
      </x:c>
      <x:c r="B1545" t="str">
        <x:v>DW-0270</x:v>
      </x:c>
      <x:c r="C1545" t="str">
        <x:v>Composition héritée</x:v>
      </x:c>
      <x:c r="D1545" t="str">
        <x:v>Routes et ouvrages</x:v>
      </x:c>
      <x:c r="E1545" t="str">
        <x:v>Péage abandonné — Ville moyenne / évacuation interrompue</x:v>
      </x:c>
      <x:c r="F1545" t="n">
        <x:v>10</x:v>
      </x:c>
      <x:c r="G1545" t="n">
        <x:v>4</x:v>
      </x:c>
      <x:c r="H1545" t="n">
        <x:v>12</x:v>
      </x:c>
      <x:c r="I1545" t="str">
        <x:v>À qualifier par lieu</x:v>
      </x:c>
      <x:c r="J1545" t="str">
        <x:v>https://github.com/darknigthmare/deadwall-last-enclosure/blob/1b3b9c5ba232734b1bda3453b4e20a0481bcdd74/codex-3000/compositions/Routes et ouvrages/DW-1540.md</x:v>
      </x:c>
      <x:c r="K1545" t="str">
        <x:v>Source min 100,25 m ; max 1200,180 m ; modèle 100 × 25 m ; niveaux 0. Détails dans catalogue-existant.json.</x:v>
      </x:c>
    </x:row>
    <x:row r="1546">
      <x:c r="A1546" t="str">
        <x:v>DW-1541</x:v>
      </x:c>
      <x:c r="B1546" t="str">
        <x:v>DW-0271</x:v>
      </x:c>
      <x:c r="C1546" t="str">
        <x:v>Composition héritée</x:v>
      </x:c>
      <x:c r="D1546" t="str">
        <x:v>Routes et ouvrages</x:v>
      </x:c>
      <x:c r="E1546" t="str">
        <x:v>Poste d'entretien routier — Rivière, berges et gué / réseau principal coupé</x:v>
      </x:c>
      <x:c r="F1546" t="n">
        <x:v>10</x:v>
      </x:c>
      <x:c r="G1546" t="n">
        <x:v>4</x:v>
      </x:c>
      <x:c r="H1546" t="n">
        <x:v>12</x:v>
      </x:c>
      <x:c r="I1546" t="str">
        <x:v>À qualifier par lieu</x:v>
      </x:c>
      <x:c r="J1546" t="str">
        <x:v>https://github.com/darknigthmare/deadwall-last-enclosure/blob/1b3b9c5ba232734b1bda3453b4e20a0481bcdd74/codex-3000/compositions/Routes et ouvrages/DW-1541.md</x:v>
      </x:c>
      <x:c r="K1546" t="str">
        <x:v>Source min 100,25 m ; max 1200,180 m ; modèle 100 × 25 m ; niveaux 0. Détails dans catalogue-existant.json.</x:v>
      </x:c>
    </x:row>
    <x:row r="1547">
      <x:c r="A1547" t="str">
        <x:v>DW-1542</x:v>
      </x:c>
      <x:c r="B1547" t="str">
        <x:v>DW-0271</x:v>
      </x:c>
      <x:c r="C1547" t="str">
        <x:v>Composition héritée</x:v>
      </x:c>
      <x:c r="D1547" t="str">
        <x:v>Routes et ouvrages</x:v>
      </x:c>
      <x:c r="E1547" t="str">
        <x:v>Poste d'entretien routier — Routes et coutures territoriales / arrêt de maintenance</x:v>
      </x:c>
      <x:c r="F1547" t="n">
        <x:v>10</x:v>
      </x:c>
      <x:c r="G1547" t="n">
        <x:v>4</x:v>
      </x:c>
      <x:c r="H1547" t="n">
        <x:v>12</x:v>
      </x:c>
      <x:c r="I1547" t="str">
        <x:v>À qualifier par lieu</x:v>
      </x:c>
      <x:c r="J1547" t="str">
        <x:v>https://github.com/darknigthmare/deadwall-last-enclosure/blob/1b3b9c5ba232734b1bda3453b4e20a0481bcdd74/codex-3000/compositions/Routes et ouvrages/DW-1542.md</x:v>
      </x:c>
      <x:c r="K1547" t="str">
        <x:v>Source min 100,25 m ; max 1200,180 m ; modèle 100 × 25 m ; niveaux 0. Détails dans catalogue-existant.json.</x:v>
      </x:c>
    </x:row>
    <x:row r="1548">
      <x:c r="A1548" t="str">
        <x:v>DW-1543</x:v>
      </x:c>
      <x:c r="B1548" t="str">
        <x:v>DW-0272</x:v>
      </x:c>
      <x:c r="C1548" t="str">
        <x:v>Composition héritée</x:v>
      </x:c>
      <x:c r="D1548" t="str">
        <x:v>Routes et ouvrages</x:v>
      </x:c>
      <x:c r="E1548" t="str">
        <x:v>Déviation de travaux — Ville moyenne / repli organisé interrompu</x:v>
      </x:c>
      <x:c r="F1548" t="n">
        <x:v>10</x:v>
      </x:c>
      <x:c r="G1548" t="n">
        <x:v>3</x:v>
      </x:c>
      <x:c r="H1548" t="n">
        <x:v>9</x:v>
      </x:c>
      <x:c r="I1548" t="str">
        <x:v>À qualifier par lieu</x:v>
      </x:c>
      <x:c r="J1548" t="str">
        <x:v>https://github.com/darknigthmare/deadwall-last-enclosure/blob/1b3b9c5ba232734b1bda3453b4e20a0481bcdd74/codex-3000/compositions/Routes et ouvrages/DW-1543.md</x:v>
      </x:c>
      <x:c r="K1548" t="str">
        <x:v>Source min 100,25 m ; max 1200,180 m ; modèle 100 × 25 m ; niveaux 0. Détails dans catalogue-existant.json.</x:v>
      </x:c>
    </x:row>
    <x:row r="1549">
      <x:c r="A1549" t="str">
        <x:v>DW-1544</x:v>
      </x:c>
      <x:c r="B1549" t="str">
        <x:v>DW-0272</x:v>
      </x:c>
      <x:c r="C1549" t="str">
        <x:v>Composition héritée</x:v>
      </x:c>
      <x:c r="D1549" t="str">
        <x:v>Routes et ouvrages</x:v>
      </x:c>
      <x:c r="E1549" t="str">
        <x:v>Déviation de travaux — Montagne et col / première récupération passée</x:v>
      </x:c>
      <x:c r="F1549" t="n">
        <x:v>10</x:v>
      </x:c>
      <x:c r="G1549" t="n">
        <x:v>3</x:v>
      </x:c>
      <x:c r="H1549" t="n">
        <x:v>9</x:v>
      </x:c>
      <x:c r="I1549" t="str">
        <x:v>À qualifier par lieu</x:v>
      </x:c>
      <x:c r="J1549" t="str">
        <x:v>https://github.com/darknigthmare/deadwall-last-enclosure/blob/1b3b9c5ba232734b1bda3453b4e20a0481bcdd74/codex-3000/compositions/Routes et ouvrages/DW-1544.md</x:v>
      </x:c>
      <x:c r="K1549" t="str">
        <x:v>Source min 100,25 m ; max 1200,180 m ; modèle 100 × 25 m ; niveaux 0. Détails dans catalogue-existant.json.</x:v>
      </x:c>
    </x:row>
    <x:row r="1550">
      <x:c r="A1550" t="str">
        <x:v>DW-1545</x:v>
      </x:c>
      <x:c r="B1550" t="str">
        <x:v>DW-0273</x:v>
      </x:c>
      <x:c r="C1550" t="str">
        <x:v>Composition héritée</x:v>
      </x:c>
      <x:c r="D1550" t="str">
        <x:v>Routes et ouvrages</x:v>
      </x:c>
      <x:c r="E1550" t="str">
        <x:v>Route effondrée — Routes et coutures territoriales / évacuation interrompue</x:v>
      </x:c>
      <x:c r="F1550" t="n">
        <x:v>10</x:v>
      </x:c>
      <x:c r="G1550" t="n">
        <x:v>4</x:v>
      </x:c>
      <x:c r="H1550" t="n">
        <x:v>10</x:v>
      </x:c>
      <x:c r="I1550" t="str">
        <x:v>À qualifier par lieu</x:v>
      </x:c>
      <x:c r="J1550" t="str">
        <x:v>https://github.com/darknigthmare/deadwall-last-enclosure/blob/1b3b9c5ba232734b1bda3453b4e20a0481bcdd74/codex-3000/compositions/Routes et ouvrages/DW-1545.md</x:v>
      </x:c>
      <x:c r="K1550" t="str">
        <x:v>Source min 100,25 m ; max 1200,180 m ; modèle 100 × 25 m ; niveaux 0. Détails dans catalogue-existant.json.</x:v>
      </x:c>
    </x:row>
    <x:row r="1551">
      <x:c r="A1551" t="str">
        <x:v>DW-1546</x:v>
      </x:c>
      <x:c r="B1551" t="str">
        <x:v>DW-0273</x:v>
      </x:c>
      <x:c r="C1551" t="str">
        <x:v>Composition héritée</x:v>
      </x:c>
      <x:c r="D1551" t="str">
        <x:v>Routes et ouvrages</x:v>
      </x:c>
      <x:c r="E1551" t="str">
        <x:v>Route effondrée — Rivière, berges et gué / service déplacé à l’arrière</x:v>
      </x:c>
      <x:c r="F1551" t="n">
        <x:v>10</x:v>
      </x:c>
      <x:c r="G1551" t="n">
        <x:v>4</x:v>
      </x:c>
      <x:c r="H1551" t="n">
        <x:v>10</x:v>
      </x:c>
      <x:c r="I1551" t="str">
        <x:v>À qualifier par lieu</x:v>
      </x:c>
      <x:c r="J1551" t="str">
        <x:v>https://github.com/darknigthmare/deadwall-last-enclosure/blob/1b3b9c5ba232734b1bda3453b4e20a0481bcdd74/codex-3000/compositions/Routes et ouvrages/DW-1546.md</x:v>
      </x:c>
      <x:c r="K1551" t="str">
        <x:v>Source min 100,25 m ; max 1200,180 m ; modèle 100 × 25 m ; niveaux 0. Détails dans catalogue-existant.json.</x:v>
      </x:c>
    </x:row>
    <x:row r="1552">
      <x:c r="A1552" t="str">
        <x:v>DW-1547</x:v>
      </x:c>
      <x:c r="B1552" t="str">
        <x:v>DW-0274</x:v>
      </x:c>
      <x:c r="C1552" t="str">
        <x:v>Composition héritée</x:v>
      </x:c>
      <x:c r="D1552" t="str">
        <x:v>Routes et ouvrages</x:v>
      </x:c>
      <x:c r="E1552" t="str">
        <x:v>Passage à gué — Montagne et col / arrêt de maintenance</x:v>
      </x:c>
      <x:c r="F1552" t="n">
        <x:v>10</x:v>
      </x:c>
      <x:c r="G1552" t="n">
        <x:v>4</x:v>
      </x:c>
      <x:c r="H1552" t="n">
        <x:v>12</x:v>
      </x:c>
      <x:c r="I1552" t="str">
        <x:v>À qualifier par lieu</x:v>
      </x:c>
      <x:c r="J1552" t="str">
        <x:v>https://github.com/darknigthmare/deadwall-last-enclosure/blob/1b3b9c5ba232734b1bda3453b4e20a0481bcdd74/codex-3000/compositions/Routes et ouvrages/DW-1547.md</x:v>
      </x:c>
      <x:c r="K1552" t="str">
        <x:v>Source min 100,25 m ; max 1200,180 m ; modèle 100 × 25 m ; niveaux 0. Détails dans catalogue-existant.json.</x:v>
      </x:c>
    </x:row>
    <x:row r="1553">
      <x:c r="A1553" t="str">
        <x:v>DW-1548</x:v>
      </x:c>
      <x:c r="B1553" t="str">
        <x:v>DW-0274</x:v>
      </x:c>
      <x:c r="C1553" t="str">
        <x:v>Composition héritée</x:v>
      </x:c>
      <x:c r="D1553" t="str">
        <x:v>Routes et ouvrages</x:v>
      </x:c>
      <x:c r="E1553" t="str">
        <x:v>Passage à gué — Ville moyenne / reprise progressive de la végétation</x:v>
      </x:c>
      <x:c r="F1553" t="n">
        <x:v>10</x:v>
      </x:c>
      <x:c r="G1553" t="n">
        <x:v>4</x:v>
      </x:c>
      <x:c r="H1553" t="n">
        <x:v>12</x:v>
      </x:c>
      <x:c r="I1553" t="str">
        <x:v>À qualifier par lieu</x:v>
      </x:c>
      <x:c r="J1553" t="str">
        <x:v>https://github.com/darknigthmare/deadwall-last-enclosure/blob/1b3b9c5ba232734b1bda3453b4e20a0481bcdd74/codex-3000/compositions/Routes et ouvrages/DW-1548.md</x:v>
      </x:c>
      <x:c r="K1553" t="str">
        <x:v>Source min 100,25 m ; max 1200,180 m ; modèle 100 × 25 m ; niveaux 0. Détails dans catalogue-existant.json.</x:v>
      </x:c>
    </x:row>
    <x:row r="1554">
      <x:c r="A1554" t="str">
        <x:v>DW-1549</x:v>
      </x:c>
      <x:c r="B1554" t="str">
        <x:v>DW-0275</x:v>
      </x:c>
      <x:c r="C1554" t="str">
        <x:v>Composition héritée</x:v>
      </x:c>
      <x:c r="D1554" t="str">
        <x:v>Routes et ouvrages</x:v>
      </x:c>
      <x:c r="E1554" t="str">
        <x:v>Route agricole — Rivière, berges et gué / première récupération passée</x:v>
      </x:c>
      <x:c r="F1554" t="n">
        <x:v>10</x:v>
      </x:c>
      <x:c r="G1554" t="n">
        <x:v>4</x:v>
      </x:c>
      <x:c r="H1554" t="n">
        <x:v>12</x:v>
      </x:c>
      <x:c r="I1554" t="str">
        <x:v>À qualifier par lieu</x:v>
      </x:c>
      <x:c r="J1554" t="str">
        <x:v>https://github.com/darknigthmare/deadwall-last-enclosure/blob/1b3b9c5ba232734b1bda3453b4e20a0481bcdd74/codex-3000/compositions/Routes et ouvrages/DW-1549.md</x:v>
      </x:c>
      <x:c r="K1554" t="str">
        <x:v>Source min 100,25 m ; max 1200,180 m ; modèle 100 × 25 m ; niveaux 0. Détails dans catalogue-existant.json.</x:v>
      </x:c>
    </x:row>
    <x:row r="1555">
      <x:c r="A1555" t="str">
        <x:v>DW-1550</x:v>
      </x:c>
      <x:c r="B1555" t="str">
        <x:v>DW-0275</x:v>
      </x:c>
      <x:c r="C1555" t="str">
        <x:v>Composition héritée</x:v>
      </x:c>
      <x:c r="D1555" t="str">
        <x:v>Routes et ouvrages</x:v>
      </x:c>
      <x:c r="E1555" t="str">
        <x:v>Route agricole — Routes et coutures territoriales / relais temporaire envisagé</x:v>
      </x:c>
      <x:c r="F1555" t="n">
        <x:v>10</x:v>
      </x:c>
      <x:c r="G1555" t="n">
        <x:v>4</x:v>
      </x:c>
      <x:c r="H1555" t="n">
        <x:v>12</x:v>
      </x:c>
      <x:c r="I1555" t="str">
        <x:v>À qualifier par lieu</x:v>
      </x:c>
      <x:c r="J1555" t="str">
        <x:v>https://github.com/darknigthmare/deadwall-last-enclosure/blob/1b3b9c5ba232734b1bda3453b4e20a0481bcdd74/codex-3000/compositions/Routes et ouvrages/DW-1550.md</x:v>
      </x:c>
      <x:c r="K1555" t="str">
        <x:v>Source min 100,25 m ; max 1200,180 m ; modèle 100 × 25 m ; niveaux 0. Détails dans catalogue-existant.json.</x:v>
      </x:c>
    </x:row>
    <x:row r="1556">
      <x:c r="A1556" t="str">
        <x:v>DW-1551</x:v>
      </x:c>
      <x:c r="B1556" t="str">
        <x:v>DW-0276</x:v>
      </x:c>
      <x:c r="C1556" t="str">
        <x:v>Composition héritée</x:v>
      </x:c>
      <x:c r="D1556" t="str">
        <x:v>Routes et ouvrages</x:v>
      </x:c>
      <x:c r="E1556" t="str">
        <x:v>Piste forestière — Ville moyenne / service déplacé à l’arrière</x:v>
      </x:c>
      <x:c r="F1556" t="n">
        <x:v>10</x:v>
      </x:c>
      <x:c r="G1556" t="n">
        <x:v>4</x:v>
      </x:c>
      <x:c r="H1556" t="n">
        <x:v>12</x:v>
      </x:c>
      <x:c r="I1556" t="str">
        <x:v>À qualifier par lieu</x:v>
      </x:c>
      <x:c r="J1556" t="str">
        <x:v>https://github.com/darknigthmare/deadwall-last-enclosure/blob/1b3b9c5ba232734b1bda3453b4e20a0481bcdd74/codex-3000/compositions/Routes et ouvrages/DW-1551.md</x:v>
      </x:c>
      <x:c r="K1556" t="str">
        <x:v>Source min 100,25 m ; max 1200,180 m ; modèle 100 × 25 m ; niveaux 0. Détails dans catalogue-existant.json.</x:v>
      </x:c>
    </x:row>
    <x:row r="1557">
      <x:c r="A1557" t="str">
        <x:v>DW-1552</x:v>
      </x:c>
      <x:c r="B1557" t="str">
        <x:v>DW-0276</x:v>
      </x:c>
      <x:c r="C1557" t="str">
        <x:v>Composition héritée</x:v>
      </x:c>
      <x:c r="D1557" t="str">
        <x:v>Routes et ouvrages</x:v>
      </x:c>
      <x:c r="E1557" t="str">
        <x:v>Piste forestière — Montagne et col / réseau principal coupé</x:v>
      </x:c>
      <x:c r="F1557" t="n">
        <x:v>10</x:v>
      </x:c>
      <x:c r="G1557" t="n">
        <x:v>4</x:v>
      </x:c>
      <x:c r="H1557" t="n">
        <x:v>12</x:v>
      </x:c>
      <x:c r="I1557" t="str">
        <x:v>À qualifier par lieu</x:v>
      </x:c>
      <x:c r="J1557" t="str">
        <x:v>https://github.com/darknigthmare/deadwall-last-enclosure/blob/1b3b9c5ba232734b1bda3453b4e20a0481bcdd74/codex-3000/compositions/Routes et ouvrages/DW-1552.md</x:v>
      </x:c>
      <x:c r="K1557" t="str">
        <x:v>Source min 100,25 m ; max 1200,180 m ; modèle 100 × 25 m ; niveaux 0. Détails dans catalogue-existant.json.</x:v>
      </x:c>
    </x:row>
    <x:row r="1558">
      <x:c r="A1558" t="str">
        <x:v>DW-1553</x:v>
      </x:c>
      <x:c r="B1558" t="str">
        <x:v>DW-0277</x:v>
      </x:c>
      <x:c r="C1558" t="str">
        <x:v>Composition héritée</x:v>
      </x:c>
      <x:c r="D1558" t="str">
        <x:v>Routes et ouvrages</x:v>
      </x:c>
      <x:c r="E1558" t="str">
        <x:v>Rue commerçante — Routes et coutures territoriales / reprise progressive de la végétation</x:v>
      </x:c>
      <x:c r="F1558" t="n">
        <x:v>10</x:v>
      </x:c>
      <x:c r="G1558" t="n">
        <x:v>4</x:v>
      </x:c>
      <x:c r="H1558" t="n">
        <x:v>12</x:v>
      </x:c>
      <x:c r="I1558" t="str">
        <x:v>À qualifier par lieu</x:v>
      </x:c>
      <x:c r="J1558" t="str">
        <x:v>https://github.com/darknigthmare/deadwall-last-enclosure/blob/1b3b9c5ba232734b1bda3453b4e20a0481bcdd74/codex-3000/compositions/Routes et ouvrages/DW-1553.md</x:v>
      </x:c>
      <x:c r="K1558" t="str">
        <x:v>Source min 100,25 m ; max 1200,180 m ; modèle 100 × 25 m ; niveaux 0. Détails dans catalogue-existant.json.</x:v>
      </x:c>
    </x:row>
    <x:row r="1559">
      <x:c r="A1559" t="str">
        <x:v>DW-1554</x:v>
      </x:c>
      <x:c r="B1559" t="str">
        <x:v>DW-0277</x:v>
      </x:c>
      <x:c r="C1559" t="str">
        <x:v>Composition héritée</x:v>
      </x:c>
      <x:c r="D1559" t="str">
        <x:v>Routes et ouvrages</x:v>
      </x:c>
      <x:c r="E1559" t="str">
        <x:v>Rue commerçante — Rivière, berges et gué / repli organisé interrompu</x:v>
      </x:c>
      <x:c r="F1559" t="n">
        <x:v>10</x:v>
      </x:c>
      <x:c r="G1559" t="n">
        <x:v>4</x:v>
      </x:c>
      <x:c r="H1559" t="n">
        <x:v>12</x:v>
      </x:c>
      <x:c r="I1559" t="str">
        <x:v>À qualifier par lieu</x:v>
      </x:c>
      <x:c r="J1559" t="str">
        <x:v>https://github.com/darknigthmare/deadwall-last-enclosure/blob/1b3b9c5ba232734b1bda3453b4e20a0481bcdd74/codex-3000/compositions/Routes et ouvrages/DW-1554.md</x:v>
      </x:c>
      <x:c r="K1559" t="str">
        <x:v>Source min 100,25 m ; max 1200,180 m ; modèle 100 × 25 m ; niveaux 0. Détails dans catalogue-existant.json.</x:v>
      </x:c>
    </x:row>
    <x:row r="1560">
      <x:c r="A1560" t="str">
        <x:v>DW-1555</x:v>
      </x:c>
      <x:c r="B1560" t="str">
        <x:v>DW-0278</x:v>
      </x:c>
      <x:c r="C1560" t="str">
        <x:v>Composition héritée</x:v>
      </x:c>
      <x:c r="D1560" t="str">
        <x:v>Routes et ouvrages</x:v>
      </x:c>
      <x:c r="E1560" t="str">
        <x:v>Ruelle de service — Montagne et col / relais temporaire envisagé</x:v>
      </x:c>
      <x:c r="F1560" t="n">
        <x:v>10</x:v>
      </x:c>
      <x:c r="G1560" t="n">
        <x:v>3</x:v>
      </x:c>
      <x:c r="H1560" t="n">
        <x:v>9</x:v>
      </x:c>
      <x:c r="I1560" t="str">
        <x:v>À qualifier par lieu</x:v>
      </x:c>
      <x:c r="J1560" t="str">
        <x:v>https://github.com/darknigthmare/deadwall-last-enclosure/blob/1b3b9c5ba232734b1bda3453b4e20a0481bcdd74/codex-3000/compositions/Routes et ouvrages/DW-1555.md</x:v>
      </x:c>
      <x:c r="K1560" t="str">
        <x:v>Source min 100,25 m ; max 1200,180 m ; modèle 100 × 25 m ; niveaux 0. Détails dans catalogue-existant.json.</x:v>
      </x:c>
    </x:row>
    <x:row r="1561">
      <x:c r="A1561" t="str">
        <x:v>DW-1556</x:v>
      </x:c>
      <x:c r="B1561" t="str">
        <x:v>DW-0278</x:v>
      </x:c>
      <x:c r="C1561" t="str">
        <x:v>Composition héritée</x:v>
      </x:c>
      <x:c r="D1561" t="str">
        <x:v>Routes et ouvrages</x:v>
      </x:c>
      <x:c r="E1561" t="str">
        <x:v>Ruelle de service — Ville moyenne / évacuation interrompue</x:v>
      </x:c>
      <x:c r="F1561" t="n">
        <x:v>10</x:v>
      </x:c>
      <x:c r="G1561" t="n">
        <x:v>3</x:v>
      </x:c>
      <x:c r="H1561" t="n">
        <x:v>9</x:v>
      </x:c>
      <x:c r="I1561" t="str">
        <x:v>À qualifier par lieu</x:v>
      </x:c>
      <x:c r="J1561" t="str">
        <x:v>https://github.com/darknigthmare/deadwall-last-enclosure/blob/1b3b9c5ba232734b1bda3453b4e20a0481bcdd74/codex-3000/compositions/Routes et ouvrages/DW-1556.md</x:v>
      </x:c>
      <x:c r="K1561" t="str">
        <x:v>Source min 100,25 m ; max 1200,180 m ; modèle 100 × 25 m ; niveaux 0. Détails dans catalogue-existant.json.</x:v>
      </x:c>
    </x:row>
    <x:row r="1562">
      <x:c r="A1562" t="str">
        <x:v>DW-1557</x:v>
      </x:c>
      <x:c r="B1562" t="str">
        <x:v>DW-0279</x:v>
      </x:c>
      <x:c r="C1562" t="str">
        <x:v>Composition héritée</x:v>
      </x:c>
      <x:c r="D1562" t="str">
        <x:v>Routes et ouvrages</x:v>
      </x:c>
      <x:c r="E1562" t="str">
        <x:v>Boulevard urbain — Rivière, berges et gué / réseau principal coupé</x:v>
      </x:c>
      <x:c r="F1562" t="n">
        <x:v>10</x:v>
      </x:c>
      <x:c r="G1562" t="n">
        <x:v>4</x:v>
      </x:c>
      <x:c r="H1562" t="n">
        <x:v>10</x:v>
      </x:c>
      <x:c r="I1562" t="str">
        <x:v>À qualifier par lieu</x:v>
      </x:c>
      <x:c r="J1562" t="str">
        <x:v>https://github.com/darknigthmare/deadwall-last-enclosure/blob/1b3b9c5ba232734b1bda3453b4e20a0481bcdd74/codex-3000/compositions/Routes et ouvrages/DW-1557.md</x:v>
      </x:c>
      <x:c r="K1562" t="str">
        <x:v>Source min 100,25 m ; max 1200,180 m ; modèle 100 × 25 m ; niveaux 0. Détails dans catalogue-existant.json.</x:v>
      </x:c>
    </x:row>
    <x:row r="1563">
      <x:c r="A1563" t="str">
        <x:v>DW-1558</x:v>
      </x:c>
      <x:c r="B1563" t="str">
        <x:v>DW-0279</x:v>
      </x:c>
      <x:c r="C1563" t="str">
        <x:v>Composition héritée</x:v>
      </x:c>
      <x:c r="D1563" t="str">
        <x:v>Routes et ouvrages</x:v>
      </x:c>
      <x:c r="E1563" t="str">
        <x:v>Boulevard urbain — Routes et coutures territoriales / arrêt de maintenance</x:v>
      </x:c>
      <x:c r="F1563" t="n">
        <x:v>10</x:v>
      </x:c>
      <x:c r="G1563" t="n">
        <x:v>4</x:v>
      </x:c>
      <x:c r="H1563" t="n">
        <x:v>10</x:v>
      </x:c>
      <x:c r="I1563" t="str">
        <x:v>À qualifier par lieu</x:v>
      </x:c>
      <x:c r="J1563" t="str">
        <x:v>https://github.com/darknigthmare/deadwall-last-enclosure/blob/1b3b9c5ba232734b1bda3453b4e20a0481bcdd74/codex-3000/compositions/Routes et ouvrages/DW-1558.md</x:v>
      </x:c>
      <x:c r="K1563" t="str">
        <x:v>Source min 100,25 m ; max 1200,180 m ; modèle 100 × 25 m ; niveaux 0. Détails dans catalogue-existant.json.</x:v>
      </x:c>
    </x:row>
    <x:row r="1564">
      <x:c r="A1564" t="str">
        <x:v>DW-1559</x:v>
      </x:c>
      <x:c r="B1564" t="str">
        <x:v>DW-0280</x:v>
      </x:c>
      <x:c r="C1564" t="str">
        <x:v>Composition héritée</x:v>
      </x:c>
      <x:c r="D1564" t="str">
        <x:v>Routes et ouvrages</x:v>
      </x:c>
      <x:c r="E1564" t="str">
        <x:v>Impasse résidentielle — Ville moyenne / repli organisé interrompu</x:v>
      </x:c>
      <x:c r="F1564" t="n">
        <x:v>10</x:v>
      </x:c>
      <x:c r="G1564" t="n">
        <x:v>4</x:v>
      </x:c>
      <x:c r="H1564" t="n">
        <x:v>12</x:v>
      </x:c>
      <x:c r="I1564" t="str">
        <x:v>À qualifier par lieu</x:v>
      </x:c>
      <x:c r="J1564" t="str">
        <x:v>https://github.com/darknigthmare/deadwall-last-enclosure/blob/1b3b9c5ba232734b1bda3453b4e20a0481bcdd74/codex-3000/compositions/Routes et ouvrages/DW-1559.md</x:v>
      </x:c>
      <x:c r="K1564" t="str">
        <x:v>Source min 100,25 m ; max 1200,180 m ; modèle 100 × 25 m ; niveaux 0. Détails dans catalogue-existant.json.</x:v>
      </x:c>
    </x:row>
    <x:row r="1565">
      <x:c r="A1565" t="str">
        <x:v>DW-1560</x:v>
      </x:c>
      <x:c r="B1565" t="str">
        <x:v>DW-0280</x:v>
      </x:c>
      <x:c r="C1565" t="str">
        <x:v>Composition héritée</x:v>
      </x:c>
      <x:c r="D1565" t="str">
        <x:v>Routes et ouvrages</x:v>
      </x:c>
      <x:c r="E1565" t="str">
        <x:v>Impasse résidentielle — Montagne et col / première récupération passée</x:v>
      </x:c>
      <x:c r="F1565" t="n">
        <x:v>10</x:v>
      </x:c>
      <x:c r="G1565" t="n">
        <x:v>4</x:v>
      </x:c>
      <x:c r="H1565" t="n">
        <x:v>12</x:v>
      </x:c>
      <x:c r="I1565" t="str">
        <x:v>À qualifier par lieu</x:v>
      </x:c>
      <x:c r="J1565" t="str">
        <x:v>https://github.com/darknigthmare/deadwall-last-enclosure/blob/1b3b9c5ba232734b1bda3453b4e20a0481bcdd74/codex-3000/compositions/Routes et ouvrages/DW-1560.md</x:v>
      </x:c>
      <x:c r="K1565" t="str">
        <x:v>Source min 100,25 m ; max 1200,180 m ; modèle 100 × 25 m ; niveaux 0. Détails dans catalogue-existant.json.</x:v>
      </x:c>
    </x:row>
    <x:row r="1566">
      <x:c r="A1566" t="str">
        <x:v>DW-1561</x:v>
      </x:c>
      <x:c r="B1566" t="str">
        <x:v>DW-0281</x:v>
      </x:c>
      <x:c r="C1566" t="str">
        <x:v>Composition héritée</x:v>
      </x:c>
      <x:c r="D1566" t="str">
        <x:v>Ferroviaire et transports collectifs</x:v>
      </x:c>
      <x:c r="E1566" t="str">
        <x:v>Gare de village — Gare et fret / évacuation interrompue</x:v>
      </x:c>
      <x:c r="F1566" t="n">
        <x:v>10</x:v>
      </x:c>
      <x:c r="G1566" t="n">
        <x:v>4</x:v>
      </x:c>
      <x:c r="H1566" t="n">
        <x:v>12</x:v>
      </x:c>
      <x:c r="I1566" t="str">
        <x:v>À qualifier par lieu</x:v>
      </x:c>
      <x:c r="J1566" t="str">
        <x:v>https://github.com/darknigthmare/deadwall-last-enclosure/blob/1b3b9c5ba232734b1bda3453b4e20a0481bcdd74/codex-3000/compositions/Ferroviaire et transports collectifs/DW-1561.md</x:v>
      </x:c>
      <x:c r="K1566" t="str">
        <x:v>Source min 60,25 m ; max 600,160 m ; modèle 60 × 25 m ; niveaux 0. Détails dans catalogue-existant.json.</x:v>
      </x:c>
    </x:row>
    <x:row r="1567">
      <x:c r="A1567" t="str">
        <x:v>DW-1562</x:v>
      </x:c>
      <x:c r="B1567" t="str">
        <x:v>DW-0281</x:v>
      </x:c>
      <x:c r="C1567" t="str">
        <x:v>Composition héritée</x:v>
      </x:c>
      <x:c r="D1567" t="str">
        <x:v>Ferroviaire et transports collectifs</x:v>
      </x:c>
      <x:c r="E1567" t="str">
        <x:v>Gare de village — Zone industrielle / service déplacé à l’arrière</x:v>
      </x:c>
      <x:c r="F1567" t="n">
        <x:v>10</x:v>
      </x:c>
      <x:c r="G1567" t="n">
        <x:v>4</x:v>
      </x:c>
      <x:c r="H1567" t="n">
        <x:v>12</x:v>
      </x:c>
      <x:c r="I1567" t="str">
        <x:v>À qualifier par lieu</x:v>
      </x:c>
      <x:c r="J1567" t="str">
        <x:v>https://github.com/darknigthmare/deadwall-last-enclosure/blob/1b3b9c5ba232734b1bda3453b4e20a0481bcdd74/codex-3000/compositions/Ferroviaire et transports collectifs/DW-1562.md</x:v>
      </x:c>
      <x:c r="K1567" t="str">
        <x:v>Source min 60,25 m ; max 600,160 m ; modèle 60 × 25 m ; niveaux 0. Détails dans catalogue-existant.json.</x:v>
      </x:c>
    </x:row>
    <x:row r="1568">
      <x:c r="A1568" t="str">
        <x:v>DW-1563</x:v>
      </x:c>
      <x:c r="B1568" t="str">
        <x:v>DW-0282</x:v>
      </x:c>
      <x:c r="C1568" t="str">
        <x:v>Composition héritée</x:v>
      </x:c>
      <x:c r="D1568" t="str">
        <x:v>Ferroviaire et transports collectifs</x:v>
      </x:c>
      <x:c r="E1568" t="str">
        <x:v>Gare urbaine — Grande ville et métropole / arrêt de maintenance</x:v>
      </x:c>
      <x:c r="F1568" t="n">
        <x:v>10</x:v>
      </x:c>
      <x:c r="G1568" t="n">
        <x:v>4</x:v>
      </x:c>
      <x:c r="H1568" t="n">
        <x:v>10</x:v>
      </x:c>
      <x:c r="I1568" t="str">
        <x:v>À qualifier par lieu</x:v>
      </x:c>
      <x:c r="J1568" t="str">
        <x:v>https://github.com/darknigthmare/deadwall-last-enclosure/blob/1b3b9c5ba232734b1bda3453b4e20a0481bcdd74/codex-3000/compositions/Ferroviaire et transports collectifs/DW-1563.md</x:v>
      </x:c>
      <x:c r="K1568" t="str">
        <x:v>Source min 60,25 m ; max 600,160 m ; modèle 60 × 25 m ; niveaux 0. Détails dans catalogue-existant.json.</x:v>
      </x:c>
    </x:row>
    <x:row r="1569">
      <x:c r="A1569" t="str">
        <x:v>DW-1564</x:v>
      </x:c>
      <x:c r="B1569" t="str">
        <x:v>DW-0282</x:v>
      </x:c>
      <x:c r="C1569" t="str">
        <x:v>Composition héritée</x:v>
      </x:c>
      <x:c r="D1569" t="str">
        <x:v>Ferroviaire et transports collectifs</x:v>
      </x:c>
      <x:c r="E1569" t="str">
        <x:v>Gare urbaine — Port marchand / reprise progressive de la végétation</x:v>
      </x:c>
      <x:c r="F1569" t="n">
        <x:v>10</x:v>
      </x:c>
      <x:c r="G1569" t="n">
        <x:v>4</x:v>
      </x:c>
      <x:c r="H1569" t="n">
        <x:v>10</x:v>
      </x:c>
      <x:c r="I1569" t="str">
        <x:v>À qualifier par lieu</x:v>
      </x:c>
      <x:c r="J1569" t="str">
        <x:v>https://github.com/darknigthmare/deadwall-last-enclosure/blob/1b3b9c5ba232734b1bda3453b4e20a0481bcdd74/codex-3000/compositions/Ferroviaire et transports collectifs/DW-1564.md</x:v>
      </x:c>
      <x:c r="K1569" t="str">
        <x:v>Source min 60,25 m ; max 600,160 m ; modèle 60 × 25 m ; niveaux 0. Détails dans catalogue-existant.json.</x:v>
      </x:c>
    </x:row>
    <x:row r="1570">
      <x:c r="A1570" t="str">
        <x:v>DW-1565</x:v>
      </x:c>
      <x:c r="B1570" t="str">
        <x:v>DW-0283</x:v>
      </x:c>
      <x:c r="C1570" t="str">
        <x:v>Composition héritée</x:v>
      </x:c>
      <x:c r="D1570" t="str">
        <x:v>Ferroviaire et transports collectifs</x:v>
      </x:c>
      <x:c r="E1570" t="str">
        <x:v>Gare terminus — Zone industrielle / première récupération passée</x:v>
      </x:c>
      <x:c r="F1570" t="n">
        <x:v>10</x:v>
      </x:c>
      <x:c r="G1570" t="n">
        <x:v>4</x:v>
      </x:c>
      <x:c r="H1570" t="n">
        <x:v>12</x:v>
      </x:c>
      <x:c r="I1570" t="str">
        <x:v>À qualifier par lieu</x:v>
      </x:c>
      <x:c r="J1570" t="str">
        <x:v>https://github.com/darknigthmare/deadwall-last-enclosure/blob/1b3b9c5ba232734b1bda3453b4e20a0481bcdd74/codex-3000/compositions/Ferroviaire et transports collectifs/DW-1565.md</x:v>
      </x:c>
      <x:c r="K1570" t="str">
        <x:v>Source min 60,25 m ; max 600,160 m ; modèle 60 × 25 m ; niveaux 0. Détails dans catalogue-existant.json.</x:v>
      </x:c>
    </x:row>
    <x:row r="1571">
      <x:c r="A1571" t="str">
        <x:v>DW-1566</x:v>
      </x:c>
      <x:c r="B1571" t="str">
        <x:v>DW-0283</x:v>
      </x:c>
      <x:c r="C1571" t="str">
        <x:v>Composition héritée</x:v>
      </x:c>
      <x:c r="D1571" t="str">
        <x:v>Ferroviaire et transports collectifs</x:v>
      </x:c>
      <x:c r="E1571" t="str">
        <x:v>Gare terminus — Gare et fret / relais temporaire envisagé</x:v>
      </x:c>
      <x:c r="F1571" t="n">
        <x:v>10</x:v>
      </x:c>
      <x:c r="G1571" t="n">
        <x:v>4</x:v>
      </x:c>
      <x:c r="H1571" t="n">
        <x:v>12</x:v>
      </x:c>
      <x:c r="I1571" t="str">
        <x:v>À qualifier par lieu</x:v>
      </x:c>
      <x:c r="J1571" t="str">
        <x:v>https://github.com/darknigthmare/deadwall-last-enclosure/blob/1b3b9c5ba232734b1bda3453b4e20a0481bcdd74/codex-3000/compositions/Ferroviaire et transports collectifs/DW-1566.md</x:v>
      </x:c>
      <x:c r="K1571" t="str">
        <x:v>Source min 60,25 m ; max 600,160 m ; modèle 60 × 25 m ; niveaux 0. Détails dans catalogue-existant.json.</x:v>
      </x:c>
    </x:row>
    <x:row r="1572">
      <x:c r="A1572" t="str">
        <x:v>DW-1567</x:v>
      </x:c>
      <x:c r="B1572" t="str">
        <x:v>DW-0284</x:v>
      </x:c>
      <x:c r="C1572" t="str">
        <x:v>Composition héritée</x:v>
      </x:c>
      <x:c r="D1572" t="str">
        <x:v>Ferroviaire et transports collectifs</x:v>
      </x:c>
      <x:c r="E1572" t="str">
        <x:v>Gare de marchandises — Port marchand / service déplacé à l’arrière</x:v>
      </x:c>
      <x:c r="F1572" t="n">
        <x:v>10</x:v>
      </x:c>
      <x:c r="G1572" t="n">
        <x:v>4</x:v>
      </x:c>
      <x:c r="H1572" t="n">
        <x:v>12</x:v>
      </x:c>
      <x:c r="I1572" t="str">
        <x:v>À qualifier par lieu</x:v>
      </x:c>
      <x:c r="J1572" t="str">
        <x:v>https://github.com/darknigthmare/deadwall-last-enclosure/blob/1b3b9c5ba232734b1bda3453b4e20a0481bcdd74/codex-3000/compositions/Ferroviaire et transports collectifs/DW-1567.md</x:v>
      </x:c>
      <x:c r="K1572" t="str">
        <x:v>Source min 60,25 m ; max 600,160 m ; modèle 60 × 25 m ; niveaux 0. Détails dans catalogue-existant.json.</x:v>
      </x:c>
    </x:row>
    <x:row r="1573">
      <x:c r="A1573" t="str">
        <x:v>DW-1568</x:v>
      </x:c>
      <x:c r="B1573" t="str">
        <x:v>DW-0284</x:v>
      </x:c>
      <x:c r="C1573" t="str">
        <x:v>Composition héritée</x:v>
      </x:c>
      <x:c r="D1573" t="str">
        <x:v>Ferroviaire et transports collectifs</x:v>
      </x:c>
      <x:c r="E1573" t="str">
        <x:v>Gare de marchandises — Grande ville et métropole / réseau principal coupé</x:v>
      </x:c>
      <x:c r="F1573" t="n">
        <x:v>10</x:v>
      </x:c>
      <x:c r="G1573" t="n">
        <x:v>4</x:v>
      </x:c>
      <x:c r="H1573" t="n">
        <x:v>12</x:v>
      </x:c>
      <x:c r="I1573" t="str">
        <x:v>À qualifier par lieu</x:v>
      </x:c>
      <x:c r="J1573" t="str">
        <x:v>https://github.com/darknigthmare/deadwall-last-enclosure/blob/1b3b9c5ba232734b1bda3453b4e20a0481bcdd74/codex-3000/compositions/Ferroviaire et transports collectifs/DW-1568.md</x:v>
      </x:c>
      <x:c r="K1573" t="str">
        <x:v>Source min 60,25 m ; max 600,160 m ; modèle 60 × 25 m ; niveaux 0. Détails dans catalogue-existant.json.</x:v>
      </x:c>
    </x:row>
    <x:row r="1574">
      <x:c r="A1574" t="str">
        <x:v>DW-1569</x:v>
      </x:c>
      <x:c r="B1574" t="str">
        <x:v>DW-0285</x:v>
      </x:c>
      <x:c r="C1574" t="str">
        <x:v>Composition héritée</x:v>
      </x:c>
      <x:c r="D1574" t="str">
        <x:v>Ferroviaire et transports collectifs</x:v>
      </x:c>
      <x:c r="E1574" t="str">
        <x:v>Triage ferroviaire — Gare et fret / reprise progressive de la végétation</x:v>
      </x:c>
      <x:c r="F1574" t="n">
        <x:v>10</x:v>
      </x:c>
      <x:c r="G1574" t="n">
        <x:v>4</x:v>
      </x:c>
      <x:c r="H1574" t="n">
        <x:v>12</x:v>
      </x:c>
      <x:c r="I1574" t="str">
        <x:v>À qualifier par lieu</x:v>
      </x:c>
      <x:c r="J1574" t="str">
        <x:v>https://github.com/darknigthmare/deadwall-last-enclosure/blob/1b3b9c5ba232734b1bda3453b4e20a0481bcdd74/codex-3000/compositions/Ferroviaire et transports collectifs/DW-1569.md</x:v>
      </x:c>
      <x:c r="K1574" t="str">
        <x:v>Source min 60,25 m ; max 600,160 m ; modèle 60 × 25 m ; niveaux 0. Détails dans catalogue-existant.json.</x:v>
      </x:c>
    </x:row>
    <x:row r="1575">
      <x:c r="A1575" t="str">
        <x:v>DW-1570</x:v>
      </x:c>
      <x:c r="B1575" t="str">
        <x:v>DW-0285</x:v>
      </x:c>
      <x:c r="C1575" t="str">
        <x:v>Composition héritée</x:v>
      </x:c>
      <x:c r="D1575" t="str">
        <x:v>Ferroviaire et transports collectifs</x:v>
      </x:c>
      <x:c r="E1575" t="str">
        <x:v>Triage ferroviaire — Zone industrielle / repli organisé interrompu</x:v>
      </x:c>
      <x:c r="F1575" t="n">
        <x:v>10</x:v>
      </x:c>
      <x:c r="G1575" t="n">
        <x:v>4</x:v>
      </x:c>
      <x:c r="H1575" t="n">
        <x:v>12</x:v>
      </x:c>
      <x:c r="I1575" t="str">
        <x:v>À qualifier par lieu</x:v>
      </x:c>
      <x:c r="J1575" t="str">
        <x:v>https://github.com/darknigthmare/deadwall-last-enclosure/blob/1b3b9c5ba232734b1bda3453b4e20a0481bcdd74/codex-3000/compositions/Ferroviaire et transports collectifs/DW-1570.md</x:v>
      </x:c>
      <x:c r="K1575" t="str">
        <x:v>Source min 60,25 m ; max 600,160 m ; modèle 60 × 25 m ; niveaux 0. Détails dans catalogue-existant.json.</x:v>
      </x:c>
    </x:row>
    <x:row r="1576">
      <x:c r="A1576" t="str">
        <x:v>DW-1571</x:v>
      </x:c>
      <x:c r="B1576" t="str">
        <x:v>DW-0286</x:v>
      </x:c>
      <x:c r="C1576" t="str">
        <x:v>Composition héritée</x:v>
      </x:c>
      <x:c r="D1576" t="str">
        <x:v>Ferroviaire et transports collectifs</x:v>
      </x:c>
      <x:c r="E1576" t="str">
        <x:v>Dépôt de locomotives — Grande ville et métropole / relais temporaire envisagé</x:v>
      </x:c>
      <x:c r="F1576" t="n">
        <x:v>10</x:v>
      </x:c>
      <x:c r="G1576" t="n">
        <x:v>4</x:v>
      </x:c>
      <x:c r="H1576" t="n">
        <x:v>12</x:v>
      </x:c>
      <x:c r="I1576" t="str">
        <x:v>À qualifier par lieu</x:v>
      </x:c>
      <x:c r="J1576" t="str">
        <x:v>https://github.com/darknigthmare/deadwall-last-enclosure/blob/1b3b9c5ba232734b1bda3453b4e20a0481bcdd74/codex-3000/compositions/Ferroviaire et transports collectifs/DW-1571.md</x:v>
      </x:c>
      <x:c r="K1576" t="str">
        <x:v>Source min 60,25 m ; max 600,160 m ; modèle 60 × 25 m ; niveaux 0. Détails dans catalogue-existant.json.</x:v>
      </x:c>
    </x:row>
    <x:row r="1577">
      <x:c r="A1577" t="str">
        <x:v>DW-1572</x:v>
      </x:c>
      <x:c r="B1577" t="str">
        <x:v>DW-0286</x:v>
      </x:c>
      <x:c r="C1577" t="str">
        <x:v>Composition héritée</x:v>
      </x:c>
      <x:c r="D1577" t="str">
        <x:v>Ferroviaire et transports collectifs</x:v>
      </x:c>
      <x:c r="E1577" t="str">
        <x:v>Dépôt de locomotives — Port marchand / évacuation interrompue</x:v>
      </x:c>
      <x:c r="F1577" t="n">
        <x:v>10</x:v>
      </x:c>
      <x:c r="G1577" t="n">
        <x:v>4</x:v>
      </x:c>
      <x:c r="H1577" t="n">
        <x:v>12</x:v>
      </x:c>
      <x:c r="I1577" t="str">
        <x:v>À qualifier par lieu</x:v>
      </x:c>
      <x:c r="J1577" t="str">
        <x:v>https://github.com/darknigthmare/deadwall-last-enclosure/blob/1b3b9c5ba232734b1bda3453b4e20a0481bcdd74/codex-3000/compositions/Ferroviaire et transports collectifs/DW-1572.md</x:v>
      </x:c>
      <x:c r="K1577" t="str">
        <x:v>Source min 60,25 m ; max 600,160 m ; modèle 60 × 25 m ; niveaux 0. Détails dans catalogue-existant.json.</x:v>
      </x:c>
    </x:row>
    <x:row r="1578">
      <x:c r="A1578" t="str">
        <x:v>DW-1573</x:v>
      </x:c>
      <x:c r="B1578" t="str">
        <x:v>DW-0287</x:v>
      </x:c>
      <x:c r="C1578" t="str">
        <x:v>Composition héritée</x:v>
      </x:c>
      <x:c r="D1578" t="str">
        <x:v>Ferroviaire et transports collectifs</x:v>
      </x:c>
      <x:c r="E1578" t="str">
        <x:v>Rotonde ancienne — Zone industrielle / réseau principal coupé</x:v>
      </x:c>
      <x:c r="F1578" t="n">
        <x:v>10</x:v>
      </x:c>
      <x:c r="G1578" t="n">
        <x:v>3</x:v>
      </x:c>
      <x:c r="H1578" t="n">
        <x:v>9</x:v>
      </x:c>
      <x:c r="I1578" t="str">
        <x:v>À qualifier par lieu</x:v>
      </x:c>
      <x:c r="J1578" t="str">
        <x:v>https://github.com/darknigthmare/deadwall-last-enclosure/blob/1b3b9c5ba232734b1bda3453b4e20a0481bcdd74/codex-3000/compositions/Ferroviaire et transports collectifs/DW-1573.md</x:v>
      </x:c>
      <x:c r="K1578" t="str">
        <x:v>Source min 60,25 m ; max 600,160 m ; modèle 60 × 25 m ; niveaux 0. Détails dans catalogue-existant.json.</x:v>
      </x:c>
    </x:row>
    <x:row r="1579">
      <x:c r="A1579" t="str">
        <x:v>DW-1574</x:v>
      </x:c>
      <x:c r="B1579" t="str">
        <x:v>DW-0287</x:v>
      </x:c>
      <x:c r="C1579" t="str">
        <x:v>Composition héritée</x:v>
      </x:c>
      <x:c r="D1579" t="str">
        <x:v>Ferroviaire et transports collectifs</x:v>
      </x:c>
      <x:c r="E1579" t="str">
        <x:v>Rotonde ancienne — Gare et fret / arrêt de maintenance</x:v>
      </x:c>
      <x:c r="F1579" t="n">
        <x:v>10</x:v>
      </x:c>
      <x:c r="G1579" t="n">
        <x:v>3</x:v>
      </x:c>
      <x:c r="H1579" t="n">
        <x:v>9</x:v>
      </x:c>
      <x:c r="I1579" t="str">
        <x:v>À qualifier par lieu</x:v>
      </x:c>
      <x:c r="J1579" t="str">
        <x:v>https://github.com/darknigthmare/deadwall-last-enclosure/blob/1b3b9c5ba232734b1bda3453b4e20a0481bcdd74/codex-3000/compositions/Ferroviaire et transports collectifs/DW-1574.md</x:v>
      </x:c>
      <x:c r="K1579" t="str">
        <x:v>Source min 60,25 m ; max 600,160 m ; modèle 60 × 25 m ; niveaux 0. Détails dans catalogue-existant.json.</x:v>
      </x:c>
    </x:row>
    <x:row r="1580">
      <x:c r="A1580" t="str">
        <x:v>DW-1575</x:v>
      </x:c>
      <x:c r="B1580" t="str">
        <x:v>DW-0288</x:v>
      </x:c>
      <x:c r="C1580" t="str">
        <x:v>Composition héritée</x:v>
      </x:c>
      <x:c r="D1580" t="str">
        <x:v>Ferroviaire et transports collectifs</x:v>
      </x:c>
      <x:c r="E1580" t="str">
        <x:v>Atelier de wagons — Port marchand / repli organisé interrompu</x:v>
      </x:c>
      <x:c r="F1580" t="n">
        <x:v>10</x:v>
      </x:c>
      <x:c r="G1580" t="n">
        <x:v>4</x:v>
      </x:c>
      <x:c r="H1580" t="n">
        <x:v>12</x:v>
      </x:c>
      <x:c r="I1580" t="str">
        <x:v>À qualifier par lieu</x:v>
      </x:c>
      <x:c r="J1580" t="str">
        <x:v>https://github.com/darknigthmare/deadwall-last-enclosure/blob/1b3b9c5ba232734b1bda3453b4e20a0481bcdd74/codex-3000/compositions/Ferroviaire et transports collectifs/DW-1575.md</x:v>
      </x:c>
      <x:c r="K1580" t="str">
        <x:v>Source min 60,25 m ; max 600,160 m ; modèle 60 × 25 m ; niveaux 0. Détails dans catalogue-existant.json.</x:v>
      </x:c>
    </x:row>
    <x:row r="1581">
      <x:c r="A1581" t="str">
        <x:v>DW-1576</x:v>
      </x:c>
      <x:c r="B1581" t="str">
        <x:v>DW-0288</x:v>
      </x:c>
      <x:c r="C1581" t="str">
        <x:v>Composition héritée</x:v>
      </x:c>
      <x:c r="D1581" t="str">
        <x:v>Ferroviaire et transports collectifs</x:v>
      </x:c>
      <x:c r="E1581" t="str">
        <x:v>Atelier de wagons — Grande ville et métropole / première récupération passée</x:v>
      </x:c>
      <x:c r="F1581" t="n">
        <x:v>10</x:v>
      </x:c>
      <x:c r="G1581" t="n">
        <x:v>4</x:v>
      </x:c>
      <x:c r="H1581" t="n">
        <x:v>12</x:v>
      </x:c>
      <x:c r="I1581" t="str">
        <x:v>À qualifier par lieu</x:v>
      </x:c>
      <x:c r="J1581" t="str">
        <x:v>https://github.com/darknigthmare/deadwall-last-enclosure/blob/1b3b9c5ba232734b1bda3453b4e20a0481bcdd74/codex-3000/compositions/Ferroviaire et transports collectifs/DW-1576.md</x:v>
      </x:c>
      <x:c r="K1581" t="str">
        <x:v>Source min 60,25 m ; max 600,160 m ; modèle 60 × 25 m ; niveaux 0. Détails dans catalogue-existant.json.</x:v>
      </x:c>
    </x:row>
    <x:row r="1582">
      <x:c r="A1582" t="str">
        <x:v>DW-1577</x:v>
      </x:c>
      <x:c r="B1582" t="str">
        <x:v>DW-0289</x:v>
      </x:c>
      <x:c r="C1582" t="str">
        <x:v>Composition héritée</x:v>
      </x:c>
      <x:c r="D1582" t="str">
        <x:v>Ferroviaire et transports collectifs</x:v>
      </x:c>
      <x:c r="E1582" t="str">
        <x:v>Halle fret désaffectée — Gare et fret / évacuation interrompue</x:v>
      </x:c>
      <x:c r="F1582" t="n">
        <x:v>10</x:v>
      </x:c>
      <x:c r="G1582" t="n">
        <x:v>4</x:v>
      </x:c>
      <x:c r="H1582" t="n">
        <x:v>10</x:v>
      </x:c>
      <x:c r="I1582" t="str">
        <x:v>À qualifier par lieu</x:v>
      </x:c>
      <x:c r="J1582" t="str">
        <x:v>https://github.com/darknigthmare/deadwall-last-enclosure/blob/1b3b9c5ba232734b1bda3453b4e20a0481bcdd74/codex-3000/compositions/Ferroviaire et transports collectifs/DW-1577.md</x:v>
      </x:c>
      <x:c r="K1582" t="str">
        <x:v>Source min 60,25 m ; max 600,160 m ; modèle 60 × 25 m ; niveaux 0. Détails dans catalogue-existant.json.</x:v>
      </x:c>
    </x:row>
    <x:row r="1583">
      <x:c r="A1583" t="str">
        <x:v>DW-1578</x:v>
      </x:c>
      <x:c r="B1583" t="str">
        <x:v>DW-0289</x:v>
      </x:c>
      <x:c r="C1583" t="str">
        <x:v>Composition héritée</x:v>
      </x:c>
      <x:c r="D1583" t="str">
        <x:v>Ferroviaire et transports collectifs</x:v>
      </x:c>
      <x:c r="E1583" t="str">
        <x:v>Halle fret désaffectée — Zone industrielle / service déplacé à l’arrière</x:v>
      </x:c>
      <x:c r="F1583" t="n">
        <x:v>10</x:v>
      </x:c>
      <x:c r="G1583" t="n">
        <x:v>4</x:v>
      </x:c>
      <x:c r="H1583" t="n">
        <x:v>10</x:v>
      </x:c>
      <x:c r="I1583" t="str">
        <x:v>À qualifier par lieu</x:v>
      </x:c>
      <x:c r="J1583" t="str">
        <x:v>https://github.com/darknigthmare/deadwall-last-enclosure/blob/1b3b9c5ba232734b1bda3453b4e20a0481bcdd74/codex-3000/compositions/Ferroviaire et transports collectifs/DW-1578.md</x:v>
      </x:c>
      <x:c r="K1583" t="str">
        <x:v>Source min 60,25 m ; max 600,160 m ; modèle 60 × 25 m ; niveaux 0. Détails dans catalogue-existant.json.</x:v>
      </x:c>
    </x:row>
    <x:row r="1584">
      <x:c r="A1584" t="str">
        <x:v>DW-1579</x:v>
      </x:c>
      <x:c r="B1584" t="str">
        <x:v>DW-0290</x:v>
      </x:c>
      <x:c r="C1584" t="str">
        <x:v>Composition héritée</x:v>
      </x:c>
      <x:c r="D1584" t="str">
        <x:v>Ferroviaire et transports collectifs</x:v>
      </x:c>
      <x:c r="E1584" t="str">
        <x:v>Poste d'aiguillage — Grande ville et métropole / arrêt de maintenance</x:v>
      </x:c>
      <x:c r="F1584" t="n">
        <x:v>10</x:v>
      </x:c>
      <x:c r="G1584" t="n">
        <x:v>3</x:v>
      </x:c>
      <x:c r="H1584" t="n">
        <x:v>9</x:v>
      </x:c>
      <x:c r="I1584" t="str">
        <x:v>À qualifier par lieu</x:v>
      </x:c>
      <x:c r="J1584" t="str">
        <x:v>https://github.com/darknigthmare/deadwall-last-enclosure/blob/1b3b9c5ba232734b1bda3453b4e20a0481bcdd74/codex-3000/compositions/Ferroviaire et transports collectifs/DW-1579.md</x:v>
      </x:c>
      <x:c r="K1584" t="str">
        <x:v>Source min 60,25 m ; max 600,160 m ; modèle 60 × 25 m ; niveaux 0. Détails dans catalogue-existant.json.</x:v>
      </x:c>
    </x:row>
    <x:row r="1585">
      <x:c r="A1585" t="str">
        <x:v>DW-1580</x:v>
      </x:c>
      <x:c r="B1585" t="str">
        <x:v>DW-0290</x:v>
      </x:c>
      <x:c r="C1585" t="str">
        <x:v>Composition héritée</x:v>
      </x:c>
      <x:c r="D1585" t="str">
        <x:v>Ferroviaire et transports collectifs</x:v>
      </x:c>
      <x:c r="E1585" t="str">
        <x:v>Poste d'aiguillage — Port marchand / reprise progressive de la végétation</x:v>
      </x:c>
      <x:c r="F1585" t="n">
        <x:v>10</x:v>
      </x:c>
      <x:c r="G1585" t="n">
        <x:v>3</x:v>
      </x:c>
      <x:c r="H1585" t="n">
        <x:v>9</x:v>
      </x:c>
      <x:c r="I1585" t="str">
        <x:v>À qualifier par lieu</x:v>
      </x:c>
      <x:c r="J1585" t="str">
        <x:v>https://github.com/darknigthmare/deadwall-last-enclosure/blob/1b3b9c5ba232734b1bda3453b4e20a0481bcdd74/codex-3000/compositions/Ferroviaire et transports collectifs/DW-1580.md</x:v>
      </x:c>
      <x:c r="K1585" t="str">
        <x:v>Source min 60,25 m ; max 600,160 m ; modèle 60 × 25 m ; niveaux 0. Détails dans catalogue-existant.json.</x:v>
      </x:c>
    </x:row>
    <x:row r="1586">
      <x:c r="A1586" t="str">
        <x:v>DW-1581</x:v>
      </x:c>
      <x:c r="B1586" t="str">
        <x:v>DW-0291</x:v>
      </x:c>
      <x:c r="C1586" t="str">
        <x:v>Composition héritée</x:v>
      </x:c>
      <x:c r="D1586" t="str">
        <x:v>Ferroviaire et transports collectifs</x:v>
      </x:c>
      <x:c r="E1586" t="str">
        <x:v>Maison de passage à niveau — Zone industrielle / première récupération passée</x:v>
      </x:c>
      <x:c r="F1586" t="n">
        <x:v>10</x:v>
      </x:c>
      <x:c r="G1586" t="n">
        <x:v>4</x:v>
      </x:c>
      <x:c r="H1586" t="n">
        <x:v>12</x:v>
      </x:c>
      <x:c r="I1586" t="str">
        <x:v>À qualifier par lieu</x:v>
      </x:c>
      <x:c r="J1586" t="str">
        <x:v>https://github.com/darknigthmare/deadwall-last-enclosure/blob/1b3b9c5ba232734b1bda3453b4e20a0481bcdd74/codex-3000/compositions/Ferroviaire et transports collectifs/DW-1581.md</x:v>
      </x:c>
      <x:c r="K1586" t="str">
        <x:v>Source min 60,25 m ; max 600,160 m ; modèle 60 × 25 m ; niveaux 0. Détails dans catalogue-existant.json.</x:v>
      </x:c>
    </x:row>
    <x:row r="1587">
      <x:c r="A1587" t="str">
        <x:v>DW-1582</x:v>
      </x:c>
      <x:c r="B1587" t="str">
        <x:v>DW-0291</x:v>
      </x:c>
      <x:c r="C1587" t="str">
        <x:v>Composition héritée</x:v>
      </x:c>
      <x:c r="D1587" t="str">
        <x:v>Ferroviaire et transports collectifs</x:v>
      </x:c>
      <x:c r="E1587" t="str">
        <x:v>Maison de passage à niveau — Gare et fret / relais temporaire envisagé</x:v>
      </x:c>
      <x:c r="F1587" t="n">
        <x:v>10</x:v>
      </x:c>
      <x:c r="G1587" t="n">
        <x:v>4</x:v>
      </x:c>
      <x:c r="H1587" t="n">
        <x:v>12</x:v>
      </x:c>
      <x:c r="I1587" t="str">
        <x:v>À qualifier par lieu</x:v>
      </x:c>
      <x:c r="J1587" t="str">
        <x:v>https://github.com/darknigthmare/deadwall-last-enclosure/blob/1b3b9c5ba232734b1bda3453b4e20a0481bcdd74/codex-3000/compositions/Ferroviaire et transports collectifs/DW-1582.md</x:v>
      </x:c>
      <x:c r="K1587" t="str">
        <x:v>Source min 60,25 m ; max 600,160 m ; modèle 60 × 25 m ; niveaux 0. Détails dans catalogue-existant.json.</x:v>
      </x:c>
    </x:row>
    <x:row r="1588">
      <x:c r="A1588" t="str">
        <x:v>DW-1583</x:v>
      </x:c>
      <x:c r="B1588" t="str">
        <x:v>DW-0292</x:v>
      </x:c>
      <x:c r="C1588" t="str">
        <x:v>Composition héritée</x:v>
      </x:c>
      <x:c r="D1588" t="str">
        <x:v>Ferroviaire et transports collectifs</x:v>
      </x:c>
      <x:c r="E1588" t="str">
        <x:v>Passage ferroviaire supérieur — Port marchand / service déplacé à l’arrière</x:v>
      </x:c>
      <x:c r="F1588" t="n">
        <x:v>10</x:v>
      </x:c>
      <x:c r="G1588" t="n">
        <x:v>4</x:v>
      </x:c>
      <x:c r="H1588" t="n">
        <x:v>12</x:v>
      </x:c>
      <x:c r="I1588" t="str">
        <x:v>À qualifier par lieu</x:v>
      </x:c>
      <x:c r="J1588" t="str">
        <x:v>https://github.com/darknigthmare/deadwall-last-enclosure/blob/1b3b9c5ba232734b1bda3453b4e20a0481bcdd74/codex-3000/compositions/Ferroviaire et transports collectifs/DW-1583.md</x:v>
      </x:c>
      <x:c r="K1588" t="str">
        <x:v>Source min 60,25 m ; max 600,160 m ; modèle 60 × 25 m ; niveaux 0. Détails dans catalogue-existant.json.</x:v>
      </x:c>
    </x:row>
    <x:row r="1589">
      <x:c r="A1589" t="str">
        <x:v>DW-1584</x:v>
      </x:c>
      <x:c r="B1589" t="str">
        <x:v>DW-0292</x:v>
      </x:c>
      <x:c r="C1589" t="str">
        <x:v>Composition héritée</x:v>
      </x:c>
      <x:c r="D1589" t="str">
        <x:v>Ferroviaire et transports collectifs</x:v>
      </x:c>
      <x:c r="E1589" t="str">
        <x:v>Passage ferroviaire supérieur — Grande ville et métropole / réseau principal coupé</x:v>
      </x:c>
      <x:c r="F1589" t="n">
        <x:v>10</x:v>
      </x:c>
      <x:c r="G1589" t="n">
        <x:v>4</x:v>
      </x:c>
      <x:c r="H1589" t="n">
        <x:v>12</x:v>
      </x:c>
      <x:c r="I1589" t="str">
        <x:v>À qualifier par lieu</x:v>
      </x:c>
      <x:c r="J1589" t="str">
        <x:v>https://github.com/darknigthmare/deadwall-last-enclosure/blob/1b3b9c5ba232734b1bda3453b4e20a0481bcdd74/codex-3000/compositions/Ferroviaire et transports collectifs/DW-1584.md</x:v>
      </x:c>
      <x:c r="K1589" t="str">
        <x:v>Source min 60,25 m ; max 600,160 m ; modèle 60 × 25 m ; niveaux 0. Détails dans catalogue-existant.json.</x:v>
      </x:c>
    </x:row>
    <x:row r="1590">
      <x:c r="A1590" t="str">
        <x:v>DW-1585</x:v>
      </x:c>
      <x:c r="B1590" t="str">
        <x:v>DW-0293</x:v>
      </x:c>
      <x:c r="C1590" t="str">
        <x:v>Composition héritée</x:v>
      </x:c>
      <x:c r="D1590" t="str">
        <x:v>Ferroviaire et transports collectifs</x:v>
      </x:c>
      <x:c r="E1590" t="str">
        <x:v>Tunnel ferroviaire — Gare et fret / reprise progressive de la végétation</x:v>
      </x:c>
      <x:c r="F1590" t="n">
        <x:v>10</x:v>
      </x:c>
      <x:c r="G1590" t="n">
        <x:v>4</x:v>
      </x:c>
      <x:c r="H1590" t="n">
        <x:v>10</x:v>
      </x:c>
      <x:c r="I1590" t="str">
        <x:v>À qualifier par lieu</x:v>
      </x:c>
      <x:c r="J1590" t="str">
        <x:v>https://github.com/darknigthmare/deadwall-last-enclosure/blob/1b3b9c5ba232734b1bda3453b4e20a0481bcdd74/codex-3000/compositions/Ferroviaire et transports collectifs/DW-1585.md</x:v>
      </x:c>
      <x:c r="K1590" t="str">
        <x:v>Source min 60,25 m ; max 600,160 m ; modèle 60 × 25 m ; niveaux 0. Détails dans catalogue-existant.json.</x:v>
      </x:c>
    </x:row>
    <x:row r="1591">
      <x:c r="A1591" t="str">
        <x:v>DW-1586</x:v>
      </x:c>
      <x:c r="B1591" t="str">
        <x:v>DW-0293</x:v>
      </x:c>
      <x:c r="C1591" t="str">
        <x:v>Composition héritée</x:v>
      </x:c>
      <x:c r="D1591" t="str">
        <x:v>Ferroviaire et transports collectifs</x:v>
      </x:c>
      <x:c r="E1591" t="str">
        <x:v>Tunnel ferroviaire — Zone industrielle / repli organisé interrompu</x:v>
      </x:c>
      <x:c r="F1591" t="n">
        <x:v>10</x:v>
      </x:c>
      <x:c r="G1591" t="n">
        <x:v>4</x:v>
      </x:c>
      <x:c r="H1591" t="n">
        <x:v>10</x:v>
      </x:c>
      <x:c r="I1591" t="str">
        <x:v>À qualifier par lieu</x:v>
      </x:c>
      <x:c r="J1591" t="str">
        <x:v>https://github.com/darknigthmare/deadwall-last-enclosure/blob/1b3b9c5ba232734b1bda3453b4e20a0481bcdd74/codex-3000/compositions/Ferroviaire et transports collectifs/DW-1586.md</x:v>
      </x:c>
      <x:c r="K1591" t="str">
        <x:v>Source min 60,25 m ; max 600,160 m ; modèle 60 × 25 m ; niveaux 0. Détails dans catalogue-existant.json.</x:v>
      </x:c>
    </x:row>
    <x:row r="1592">
      <x:c r="A1592" t="str">
        <x:v>DW-1587</x:v>
      </x:c>
      <x:c r="B1592" t="str">
        <x:v>DW-0294</x:v>
      </x:c>
      <x:c r="C1592" t="str">
        <x:v>Composition héritée</x:v>
      </x:c>
      <x:c r="D1592" t="str">
        <x:v>Ferroviaire et transports collectifs</x:v>
      </x:c>
      <x:c r="E1592" t="str">
        <x:v>Station de métro — Grande ville et métropole / relais temporaire envisagé</x:v>
      </x:c>
      <x:c r="F1592" t="n">
        <x:v>10</x:v>
      </x:c>
      <x:c r="G1592" t="n">
        <x:v>4</x:v>
      </x:c>
      <x:c r="H1592" t="n">
        <x:v>10</x:v>
      </x:c>
      <x:c r="I1592" t="str">
        <x:v>À qualifier par lieu</x:v>
      </x:c>
      <x:c r="J1592" t="str">
        <x:v>https://github.com/darknigthmare/deadwall-last-enclosure/blob/1b3b9c5ba232734b1bda3453b4e20a0481bcdd74/codex-3000/compositions/Ferroviaire et transports collectifs/DW-1587.md</x:v>
      </x:c>
      <x:c r="K1592" t="str">
        <x:v>Source min 60,25 m ; max 600,160 m ; modèle 60 × 25 m ; niveaux 0. Détails dans catalogue-existant.json.</x:v>
      </x:c>
    </x:row>
    <x:row r="1593">
      <x:c r="A1593" t="str">
        <x:v>DW-1588</x:v>
      </x:c>
      <x:c r="B1593" t="str">
        <x:v>DW-0294</x:v>
      </x:c>
      <x:c r="C1593" t="str">
        <x:v>Composition héritée</x:v>
      </x:c>
      <x:c r="D1593" t="str">
        <x:v>Ferroviaire et transports collectifs</x:v>
      </x:c>
      <x:c r="E1593" t="str">
        <x:v>Station de métro — Port marchand / évacuation interrompue</x:v>
      </x:c>
      <x:c r="F1593" t="n">
        <x:v>10</x:v>
      </x:c>
      <x:c r="G1593" t="n">
        <x:v>4</x:v>
      </x:c>
      <x:c r="H1593" t="n">
        <x:v>10</x:v>
      </x:c>
      <x:c r="I1593" t="str">
        <x:v>À qualifier par lieu</x:v>
      </x:c>
      <x:c r="J1593" t="str">
        <x:v>https://github.com/darknigthmare/deadwall-last-enclosure/blob/1b3b9c5ba232734b1bda3453b4e20a0481bcdd74/codex-3000/compositions/Ferroviaire et transports collectifs/DW-1588.md</x:v>
      </x:c>
      <x:c r="K1593" t="str">
        <x:v>Source min 60,25 m ; max 600,160 m ; modèle 60 × 25 m ; niveaux 0. Détails dans catalogue-existant.json.</x:v>
      </x:c>
    </x:row>
    <x:row r="1594">
      <x:c r="A1594" t="str">
        <x:v>DW-1589</x:v>
      </x:c>
      <x:c r="B1594" t="str">
        <x:v>DW-0295</x:v>
      </x:c>
      <x:c r="C1594" t="str">
        <x:v>Composition héritée</x:v>
      </x:c>
      <x:c r="D1594" t="str">
        <x:v>Ferroviaire et transports collectifs</x:v>
      </x:c>
      <x:c r="E1594" t="str">
        <x:v>Dépôt de tramway — Zone industrielle / réseau principal coupé</x:v>
      </x:c>
      <x:c r="F1594" t="n">
        <x:v>10</x:v>
      </x:c>
      <x:c r="G1594" t="n">
        <x:v>4</x:v>
      </x:c>
      <x:c r="H1594" t="n">
        <x:v>12</x:v>
      </x:c>
      <x:c r="I1594" t="str">
        <x:v>À qualifier par lieu</x:v>
      </x:c>
      <x:c r="J1594" t="str">
        <x:v>https://github.com/darknigthmare/deadwall-last-enclosure/blob/1b3b9c5ba232734b1bda3453b4e20a0481bcdd74/codex-3000/compositions/Ferroviaire et transports collectifs/DW-1589.md</x:v>
      </x:c>
      <x:c r="K1594" t="str">
        <x:v>Source min 60,25 m ; max 600,160 m ; modèle 60 × 25 m ; niveaux 0. Détails dans catalogue-existant.json.</x:v>
      </x:c>
    </x:row>
    <x:row r="1595">
      <x:c r="A1595" t="str">
        <x:v>DW-1590</x:v>
      </x:c>
      <x:c r="B1595" t="str">
        <x:v>DW-0295</x:v>
      </x:c>
      <x:c r="C1595" t="str">
        <x:v>Composition héritée</x:v>
      </x:c>
      <x:c r="D1595" t="str">
        <x:v>Ferroviaire et transports collectifs</x:v>
      </x:c>
      <x:c r="E1595" t="str">
        <x:v>Dépôt de tramway — Gare et fret / arrêt de maintenance</x:v>
      </x:c>
      <x:c r="F1595" t="n">
        <x:v>10</x:v>
      </x:c>
      <x:c r="G1595" t="n">
        <x:v>4</x:v>
      </x:c>
      <x:c r="H1595" t="n">
        <x:v>12</x:v>
      </x:c>
      <x:c r="I1595" t="str">
        <x:v>À qualifier par lieu</x:v>
      </x:c>
      <x:c r="J1595" t="str">
        <x:v>https://github.com/darknigthmare/deadwall-last-enclosure/blob/1b3b9c5ba232734b1bda3453b4e20a0481bcdd74/codex-3000/compositions/Ferroviaire et transports collectifs/DW-1590.md</x:v>
      </x:c>
      <x:c r="K1595" t="str">
        <x:v>Source min 60,25 m ; max 600,160 m ; modèle 60 × 25 m ; niveaux 0. Détails dans catalogue-existant.json.</x:v>
      </x:c>
    </x:row>
    <x:row r="1596">
      <x:c r="A1596" t="str">
        <x:v>DW-1591</x:v>
      </x:c>
      <x:c r="B1596" t="str">
        <x:v>DW-0296</x:v>
      </x:c>
      <x:c r="C1596" t="str">
        <x:v>Composition héritée</x:v>
      </x:c>
      <x:c r="D1596" t="str">
        <x:v>Ferroviaire et transports collectifs</x:v>
      </x:c>
      <x:c r="E1596" t="str">
        <x:v>Arrêt de tramway — Port marchand / repli organisé interrompu</x:v>
      </x:c>
      <x:c r="F1596" t="n">
        <x:v>10</x:v>
      </x:c>
      <x:c r="G1596" t="n">
        <x:v>4</x:v>
      </x:c>
      <x:c r="H1596" t="n">
        <x:v>12</x:v>
      </x:c>
      <x:c r="I1596" t="str">
        <x:v>À qualifier par lieu</x:v>
      </x:c>
      <x:c r="J1596" t="str">
        <x:v>https://github.com/darknigthmare/deadwall-last-enclosure/blob/1b3b9c5ba232734b1bda3453b4e20a0481bcdd74/codex-3000/compositions/Ferroviaire et transports collectifs/DW-1591.md</x:v>
      </x:c>
      <x:c r="K1596" t="str">
        <x:v>Source min 60,25 m ; max 600,160 m ; modèle 60 × 25 m ; niveaux 0. Détails dans catalogue-existant.json.</x:v>
      </x:c>
    </x:row>
    <x:row r="1597">
      <x:c r="A1597" t="str">
        <x:v>DW-1592</x:v>
      </x:c>
      <x:c r="B1597" t="str">
        <x:v>DW-0296</x:v>
      </x:c>
      <x:c r="C1597" t="str">
        <x:v>Composition héritée</x:v>
      </x:c>
      <x:c r="D1597" t="str">
        <x:v>Ferroviaire et transports collectifs</x:v>
      </x:c>
      <x:c r="E1597" t="str">
        <x:v>Arrêt de tramway — Grande ville et métropole / première récupération passée</x:v>
      </x:c>
      <x:c r="F1597" t="n">
        <x:v>10</x:v>
      </x:c>
      <x:c r="G1597" t="n">
        <x:v>4</x:v>
      </x:c>
      <x:c r="H1597" t="n">
        <x:v>12</x:v>
      </x:c>
      <x:c r="I1597" t="str">
        <x:v>À qualifier par lieu</x:v>
      </x:c>
      <x:c r="J1597" t="str">
        <x:v>https://github.com/darknigthmare/deadwall-last-enclosure/blob/1b3b9c5ba232734b1bda3453b4e20a0481bcdd74/codex-3000/compositions/Ferroviaire et transports collectifs/DW-1592.md</x:v>
      </x:c>
      <x:c r="K1597" t="str">
        <x:v>Source min 60,25 m ; max 600,160 m ; modèle 60 × 25 m ; niveaux 0. Détails dans catalogue-existant.json.</x:v>
      </x:c>
    </x:row>
    <x:row r="1598">
      <x:c r="A1598" t="str">
        <x:v>DW-1593</x:v>
      </x:c>
      <x:c r="B1598" t="str">
        <x:v>DW-0297</x:v>
      </x:c>
      <x:c r="C1598" t="str">
        <x:v>Composition héritée</x:v>
      </x:c>
      <x:c r="D1598" t="str">
        <x:v>Ferroviaire et transports collectifs</x:v>
      </x:c>
      <x:c r="E1598" t="str">
        <x:v>Terminal intermodal — Gare et fret / évacuation interrompue</x:v>
      </x:c>
      <x:c r="F1598" t="n">
        <x:v>10</x:v>
      </x:c>
      <x:c r="G1598" t="n">
        <x:v>4</x:v>
      </x:c>
      <x:c r="H1598" t="n">
        <x:v>12</x:v>
      </x:c>
      <x:c r="I1598" t="str">
        <x:v>À qualifier par lieu</x:v>
      </x:c>
      <x:c r="J1598" t="str">
        <x:v>https://github.com/darknigthmare/deadwall-last-enclosure/blob/1b3b9c5ba232734b1bda3453b4e20a0481bcdd74/codex-3000/compositions/Ferroviaire et transports collectifs/DW-1593.md</x:v>
      </x:c>
      <x:c r="K1598" t="str">
        <x:v>Source min 60,25 m ; max 600,160 m ; modèle 60 × 25 m ; niveaux 0. Détails dans catalogue-existant.json.</x:v>
      </x:c>
    </x:row>
    <x:row r="1599">
      <x:c r="A1599" t="str">
        <x:v>DW-1594</x:v>
      </x:c>
      <x:c r="B1599" t="str">
        <x:v>DW-0297</x:v>
      </x:c>
      <x:c r="C1599" t="str">
        <x:v>Composition héritée</x:v>
      </x:c>
      <x:c r="D1599" t="str">
        <x:v>Ferroviaire et transports collectifs</x:v>
      </x:c>
      <x:c r="E1599" t="str">
        <x:v>Terminal intermodal — Zone industrielle / service déplacé à l’arrière</x:v>
      </x:c>
      <x:c r="F1599" t="n">
        <x:v>10</x:v>
      </x:c>
      <x:c r="G1599" t="n">
        <x:v>4</x:v>
      </x:c>
      <x:c r="H1599" t="n">
        <x:v>12</x:v>
      </x:c>
      <x:c r="I1599" t="str">
        <x:v>À qualifier par lieu</x:v>
      </x:c>
      <x:c r="J1599" t="str">
        <x:v>https://github.com/darknigthmare/deadwall-last-enclosure/blob/1b3b9c5ba232734b1bda3453b4e20a0481bcdd74/codex-3000/compositions/Ferroviaire et transports collectifs/DW-1594.md</x:v>
      </x:c>
      <x:c r="K1599" t="str">
        <x:v>Source min 60,25 m ; max 600,160 m ; modèle 60 × 25 m ; niveaux 0. Détails dans catalogue-existant.json.</x:v>
      </x:c>
    </x:row>
    <x:row r="1600">
      <x:c r="A1600" t="str">
        <x:v>DW-1595</x:v>
      </x:c>
      <x:c r="B1600" t="str">
        <x:v>DW-0298</x:v>
      </x:c>
      <x:c r="C1600" t="str">
        <x:v>Composition héritée</x:v>
      </x:c>
      <x:c r="D1600" t="str">
        <x:v>Ferroviaire et transports collectifs</x:v>
      </x:c>
      <x:c r="E1600" t="str">
        <x:v>Dépôt d'entretien des voies — Grande ville et métropole / arrêt de maintenance</x:v>
      </x:c>
      <x:c r="F1600" t="n">
        <x:v>10</x:v>
      </x:c>
      <x:c r="G1600" t="n">
        <x:v>4</x:v>
      </x:c>
      <x:c r="H1600" t="n">
        <x:v>12</x:v>
      </x:c>
      <x:c r="I1600" t="str">
        <x:v>À qualifier par lieu</x:v>
      </x:c>
      <x:c r="J1600" t="str">
        <x:v>https://github.com/darknigthmare/deadwall-last-enclosure/blob/1b3b9c5ba232734b1bda3453b4e20a0481bcdd74/codex-3000/compositions/Ferroviaire et transports collectifs/DW-1595.md</x:v>
      </x:c>
      <x:c r="K1600" t="str">
        <x:v>Source min 60,25 m ; max 600,160 m ; modèle 60 × 25 m ; niveaux 0. Détails dans catalogue-existant.json.</x:v>
      </x:c>
    </x:row>
    <x:row r="1601">
      <x:c r="A1601" t="str">
        <x:v>DW-1596</x:v>
      </x:c>
      <x:c r="B1601" t="str">
        <x:v>DW-0298</x:v>
      </x:c>
      <x:c r="C1601" t="str">
        <x:v>Composition héritée</x:v>
      </x:c>
      <x:c r="D1601" t="str">
        <x:v>Ferroviaire et transports collectifs</x:v>
      </x:c>
      <x:c r="E1601" t="str">
        <x:v>Dépôt d'entretien des voies — Port marchand / reprise progressive de la végétation</x:v>
      </x:c>
      <x:c r="F1601" t="n">
        <x:v>10</x:v>
      </x:c>
      <x:c r="G1601" t="n">
        <x:v>4</x:v>
      </x:c>
      <x:c r="H1601" t="n">
        <x:v>12</x:v>
      </x:c>
      <x:c r="I1601" t="str">
        <x:v>À qualifier par lieu</x:v>
      </x:c>
      <x:c r="J1601" t="str">
        <x:v>https://github.com/darknigthmare/deadwall-last-enclosure/blob/1b3b9c5ba232734b1bda3453b4e20a0481bcdd74/codex-3000/compositions/Ferroviaire et transports collectifs/DW-1596.md</x:v>
      </x:c>
      <x:c r="K1601" t="str">
        <x:v>Source min 60,25 m ; max 600,160 m ; modèle 60 × 25 m ; niveaux 0. Détails dans catalogue-existant.json.</x:v>
      </x:c>
    </x:row>
    <x:row r="1602">
      <x:c r="A1602" t="str">
        <x:v>DW-1597</x:v>
      </x:c>
      <x:c r="B1602" t="str">
        <x:v>DW-0299</x:v>
      </x:c>
      <x:c r="C1602" t="str">
        <x:v>Composition héritée</x:v>
      </x:c>
      <x:c r="D1602" t="str">
        <x:v>Ferroviaire et transports collectifs</x:v>
      </x:c>
      <x:c r="E1602" t="str">
        <x:v>Wagons-hébergement abandonnés — Zone industrielle / première récupération passée</x:v>
      </x:c>
      <x:c r="F1602" t="n">
        <x:v>10</x:v>
      </x:c>
      <x:c r="G1602" t="n">
        <x:v>3</x:v>
      </x:c>
      <x:c r="H1602" t="n">
        <x:v>9</x:v>
      </x:c>
      <x:c r="I1602" t="str">
        <x:v>À qualifier par lieu</x:v>
      </x:c>
      <x:c r="J1602" t="str">
        <x:v>https://github.com/darknigthmare/deadwall-last-enclosure/blob/1b3b9c5ba232734b1bda3453b4e20a0481bcdd74/codex-3000/compositions/Ferroviaire et transports collectifs/DW-1597.md</x:v>
      </x:c>
      <x:c r="K1602" t="str">
        <x:v>Source min 60,25 m ; max 600,160 m ; modèle 60 × 25 m ; niveaux 0. Détails dans catalogue-existant.json.</x:v>
      </x:c>
    </x:row>
    <x:row r="1603">
      <x:c r="A1603" t="str">
        <x:v>DW-1598</x:v>
      </x:c>
      <x:c r="B1603" t="str">
        <x:v>DW-0299</x:v>
      </x:c>
      <x:c r="C1603" t="str">
        <x:v>Composition héritée</x:v>
      </x:c>
      <x:c r="D1603" t="str">
        <x:v>Ferroviaire et transports collectifs</x:v>
      </x:c>
      <x:c r="E1603" t="str">
        <x:v>Wagons-hébergement abandonnés — Gare et fret / relais temporaire envisagé</x:v>
      </x:c>
      <x:c r="F1603" t="n">
        <x:v>10</x:v>
      </x:c>
      <x:c r="G1603" t="n">
        <x:v>3</x:v>
      </x:c>
      <x:c r="H1603" t="n">
        <x:v>9</x:v>
      </x:c>
      <x:c r="I1603" t="str">
        <x:v>À qualifier par lieu</x:v>
      </x:c>
      <x:c r="J1603" t="str">
        <x:v>https://github.com/darknigthmare/deadwall-last-enclosure/blob/1b3b9c5ba232734b1bda3453b4e20a0481bcdd74/codex-3000/compositions/Ferroviaire et transports collectifs/DW-1598.md</x:v>
      </x:c>
      <x:c r="K1603" t="str">
        <x:v>Source min 60,25 m ; max 600,160 m ; modèle 60 × 25 m ; niveaux 0. Détails dans catalogue-existant.json.</x:v>
      </x:c>
    </x:row>
    <x:row r="1604">
      <x:c r="A1604" t="str">
        <x:v>DW-1599</x:v>
      </x:c>
      <x:c r="B1604" t="str">
        <x:v>DW-0300</x:v>
      </x:c>
      <x:c r="C1604" t="str">
        <x:v>Composition héritée</x:v>
      </x:c>
      <x:c r="D1604" t="str">
        <x:v>Ferroviaire et transports collectifs</x:v>
      </x:c>
      <x:c r="E1604" t="str">
        <x:v>Voie verte sur ancienne ligne — Port marchand / service déplacé à l’arrière</x:v>
      </x:c>
      <x:c r="F1604" t="n">
        <x:v>10</x:v>
      </x:c>
      <x:c r="G1604" t="n">
        <x:v>4</x:v>
      </x:c>
      <x:c r="H1604" t="n">
        <x:v>12</x:v>
      </x:c>
      <x:c r="I1604" t="str">
        <x:v>À qualifier par lieu</x:v>
      </x:c>
      <x:c r="J1604" t="str">
        <x:v>https://github.com/darknigthmare/deadwall-last-enclosure/blob/1b3b9c5ba232734b1bda3453b4e20a0481bcdd74/codex-3000/compositions/Ferroviaire et transports collectifs/DW-1599.md</x:v>
      </x:c>
      <x:c r="K1604" t="str">
        <x:v>Source min 60,25 m ; max 600,160 m ; modèle 60 × 25 m ; niveaux 0. Détails dans catalogue-existant.json.</x:v>
      </x:c>
    </x:row>
    <x:row r="1605">
      <x:c r="A1605" t="str">
        <x:v>DW-1600</x:v>
      </x:c>
      <x:c r="B1605" t="str">
        <x:v>DW-0300</x:v>
      </x:c>
      <x:c r="C1605" t="str">
        <x:v>Composition héritée</x:v>
      </x:c>
      <x:c r="D1605" t="str">
        <x:v>Ferroviaire et transports collectifs</x:v>
      </x:c>
      <x:c r="E1605" t="str">
        <x:v>Voie verte sur ancienne ligne — Grande ville et métropole / réseau principal coupé</x:v>
      </x:c>
      <x:c r="F1605" t="n">
        <x:v>10</x:v>
      </x:c>
      <x:c r="G1605" t="n">
        <x:v>4</x:v>
      </x:c>
      <x:c r="H1605" t="n">
        <x:v>12</x:v>
      </x:c>
      <x:c r="I1605" t="str">
        <x:v>À qualifier par lieu</x:v>
      </x:c>
      <x:c r="J1605" t="str">
        <x:v>https://github.com/darknigthmare/deadwall-last-enclosure/blob/1b3b9c5ba232734b1bda3453b4e20a0481bcdd74/codex-3000/compositions/Ferroviaire et transports collectifs/DW-1600.md</x:v>
      </x:c>
      <x:c r="K1605" t="str">
        <x:v>Source min 60,25 m ; max 600,160 m ; modèle 60 × 25 m ; niveaux 0. Détails dans catalogue-existant.json.</x:v>
      </x:c>
    </x:row>
    <x:row r="1606">
      <x:c r="A1606" t="str">
        <x:v>DW-1601</x:v>
      </x:c>
      <x:c r="B1606" t="str">
        <x:v>DW-0301</x:v>
      </x:c>
      <x:c r="C1606" t="str">
        <x:v>Composition héritée</x:v>
      </x:c>
      <x:c r="D1606" t="str">
        <x:v>Industrie et production</x:v>
      </x:c>
      <x:c r="E1606" t="str">
        <x:v>Atelier de métallurgie — Zone industrielle / reprise progressive de la végétation</x:v>
      </x:c>
      <x:c r="F1606" t="n">
        <x:v>8</x:v>
      </x:c>
      <x:c r="G1606" t="n">
        <x:v>4</x:v>
      </x:c>
      <x:c r="H1606" t="n">
        <x:v>12</x:v>
      </x:c>
      <x:c r="I1606" t="str">
        <x:v>À qualifier par lieu</x:v>
      </x:c>
      <x:c r="J1606" t="str">
        <x:v>https://github.com/darknigthmare/deadwall-last-enclosure/blob/1b3b9c5ba232734b1bda3453b4e20a0481bcdd74/codex-3000/compositions/Industrie et production/DW-1601.md</x:v>
      </x:c>
      <x:c r="K1606" t="str">
        <x:v>Source min 45,30 m ; max 240,170 m ; modèle 45 × 30 m ; niveaux 0. Détails dans catalogue-existant.json.</x:v>
      </x:c>
    </x:row>
    <x:row r="1607">
      <x:c r="A1607" t="str">
        <x:v>DW-1602</x:v>
      </x:c>
      <x:c r="B1607" t="str">
        <x:v>DW-0301</x:v>
      </x:c>
      <x:c r="C1607" t="str">
        <x:v>Composition héritée</x:v>
      </x:c>
      <x:c r="D1607" t="str">
        <x:v>Industrie et production</x:v>
      </x:c>
      <x:c r="E1607" t="str">
        <x:v>Atelier de métallurgie — Port marchand / repli organisé interrompu</x:v>
      </x:c>
      <x:c r="F1607" t="n">
        <x:v>10</x:v>
      </x:c>
      <x:c r="G1607" t="n">
        <x:v>4</x:v>
      </x:c>
      <x:c r="H1607" t="n">
        <x:v>12</x:v>
      </x:c>
      <x:c r="I1607" t="str">
        <x:v>À qualifier par lieu</x:v>
      </x:c>
      <x:c r="J1607" t="str">
        <x:v>https://github.com/darknigthmare/deadwall-last-enclosure/blob/1b3b9c5ba232734b1bda3453b4e20a0481bcdd74/codex-3000/compositions/Industrie et production/DW-1602.md</x:v>
      </x:c>
      <x:c r="K1607" t="str">
        <x:v>Source min 45,30 m ; max 240,170 m ; modèle 45 × 30 m ; niveaux 0. Détails dans catalogue-existant.json.</x:v>
      </x:c>
    </x:row>
    <x:row r="1608">
      <x:c r="A1608" t="str">
        <x:v>DW-1603</x:v>
      </x:c>
      <x:c r="B1608" t="str">
        <x:v>DW-0302</x:v>
      </x:c>
      <x:c r="C1608" t="str">
        <x:v>Composition héritée</x:v>
      </x:c>
      <x:c r="D1608" t="str">
        <x:v>Industrie et production</x:v>
      </x:c>
      <x:c r="E1608" t="str">
        <x:v>Fonderie abandonnée — Entrepôt et plateforme logistique / relais temporaire envisagé</x:v>
      </x:c>
      <x:c r="F1608" t="n">
        <x:v>8</x:v>
      </x:c>
      <x:c r="G1608" t="n">
        <x:v>4</x:v>
      </x:c>
      <x:c r="H1608" t="n">
        <x:v>12</x:v>
      </x:c>
      <x:c r="I1608" t="str">
        <x:v>À qualifier par lieu</x:v>
      </x:c>
      <x:c r="J1608" t="str">
        <x:v>https://github.com/darknigthmare/deadwall-last-enclosure/blob/1b3b9c5ba232734b1bda3453b4e20a0481bcdd74/codex-3000/compositions/Industrie et production/DW-1603.md</x:v>
      </x:c>
      <x:c r="K1608" t="str">
        <x:v>Source min 45,30 m ; max 240,170 m ; modèle 45 × 30 m ; niveaux 0. Détails dans catalogue-existant.json.</x:v>
      </x:c>
    </x:row>
    <x:row r="1609">
      <x:c r="A1609" t="str">
        <x:v>DW-1604</x:v>
      </x:c>
      <x:c r="B1609" t="str">
        <x:v>DW-0302</x:v>
      </x:c>
      <x:c r="C1609" t="str">
        <x:v>Composition héritée</x:v>
      </x:c>
      <x:c r="D1609" t="str">
        <x:v>Industrie et production</x:v>
      </x:c>
      <x:c r="E1609" t="str">
        <x:v>Fonderie abandonnée — Carrière / évacuation interrompue</x:v>
      </x:c>
      <x:c r="F1609" t="n">
        <x:v>8</x:v>
      </x:c>
      <x:c r="G1609" t="n">
        <x:v>4</x:v>
      </x:c>
      <x:c r="H1609" t="n">
        <x:v>12</x:v>
      </x:c>
      <x:c r="I1609" t="str">
        <x:v>À qualifier par lieu</x:v>
      </x:c>
      <x:c r="J1609" t="str">
        <x:v>https://github.com/darknigthmare/deadwall-last-enclosure/blob/1b3b9c5ba232734b1bda3453b4e20a0481bcdd74/codex-3000/compositions/Industrie et production/DW-1604.md</x:v>
      </x:c>
      <x:c r="K1609" t="str">
        <x:v>Source min 45,30 m ; max 240,170 m ; modèle 45 × 30 m ; niveaux 0. Détails dans catalogue-existant.json.</x:v>
      </x:c>
    </x:row>
    <x:row r="1610">
      <x:c r="A1610" t="str">
        <x:v>DW-1605</x:v>
      </x:c>
      <x:c r="B1610" t="str">
        <x:v>DW-0303</x:v>
      </x:c>
      <x:c r="C1610" t="str">
        <x:v>Composition héritée</x:v>
      </x:c>
      <x:c r="D1610" t="str">
        <x:v>Industrie et production</x:v>
      </x:c>
      <x:c r="E1610" t="str">
        <x:v>Usine textile — Port marchand / réseau principal coupé</x:v>
      </x:c>
      <x:c r="F1610" t="n">
        <x:v>10</x:v>
      </x:c>
      <x:c r="G1610" t="n">
        <x:v>4</x:v>
      </x:c>
      <x:c r="H1610" t="n">
        <x:v>12</x:v>
      </x:c>
      <x:c r="I1610" t="str">
        <x:v>À qualifier par lieu</x:v>
      </x:c>
      <x:c r="J1610" t="str">
        <x:v>https://github.com/darknigthmare/deadwall-last-enclosure/blob/1b3b9c5ba232734b1bda3453b4e20a0481bcdd74/codex-3000/compositions/Industrie et production/DW-1605.md</x:v>
      </x:c>
      <x:c r="K1610" t="str">
        <x:v>Source min 45,30 m ; max 240,170 m ; modèle 45 × 30 m ; niveaux 0. Détails dans catalogue-existant.json.</x:v>
      </x:c>
    </x:row>
    <x:row r="1611">
      <x:c r="A1611" t="str">
        <x:v>DW-1606</x:v>
      </x:c>
      <x:c r="B1611" t="str">
        <x:v>DW-0303</x:v>
      </x:c>
      <x:c r="C1611" t="str">
        <x:v>Composition héritée</x:v>
      </x:c>
      <x:c r="D1611" t="str">
        <x:v>Industrie et production</x:v>
      </x:c>
      <x:c r="E1611" t="str">
        <x:v>Usine textile — Zone industrielle / arrêt de maintenance</x:v>
      </x:c>
      <x:c r="F1611" t="n">
        <x:v>8</x:v>
      </x:c>
      <x:c r="G1611" t="n">
        <x:v>4</x:v>
      </x:c>
      <x:c r="H1611" t="n">
        <x:v>12</x:v>
      </x:c>
      <x:c r="I1611" t="str">
        <x:v>À qualifier par lieu</x:v>
      </x:c>
      <x:c r="J1611" t="str">
        <x:v>https://github.com/darknigthmare/deadwall-last-enclosure/blob/1b3b9c5ba232734b1bda3453b4e20a0481bcdd74/codex-3000/compositions/Industrie et production/DW-1606.md</x:v>
      </x:c>
      <x:c r="K1611" t="str">
        <x:v>Source min 45,30 m ; max 240,170 m ; modèle 45 × 30 m ; niveaux 0. Détails dans catalogue-existant.json.</x:v>
      </x:c>
    </x:row>
    <x:row r="1612">
      <x:c r="A1612" t="str">
        <x:v>DW-1607</x:v>
      </x:c>
      <x:c r="B1612" t="str">
        <x:v>DW-0304</x:v>
      </x:c>
      <x:c r="C1612" t="str">
        <x:v>Composition héritée</x:v>
      </x:c>
      <x:c r="D1612" t="str">
        <x:v>Industrie et production</x:v>
      </x:c>
      <x:c r="E1612" t="str">
        <x:v>Usine d'emballages — Carrière / repli organisé interrompu</x:v>
      </x:c>
      <x:c r="F1612" t="n">
        <x:v>8</x:v>
      </x:c>
      <x:c r="G1612" t="n">
        <x:v>4</x:v>
      </x:c>
      <x:c r="H1612" t="n">
        <x:v>12</x:v>
      </x:c>
      <x:c r="I1612" t="str">
        <x:v>À qualifier par lieu</x:v>
      </x:c>
      <x:c r="J1612" t="str">
        <x:v>https://github.com/darknigthmare/deadwall-last-enclosure/blob/1b3b9c5ba232734b1bda3453b4e20a0481bcdd74/codex-3000/compositions/Industrie et production/DW-1607.md</x:v>
      </x:c>
      <x:c r="K1612" t="str">
        <x:v>Source min 45,30 m ; max 240,170 m ; modèle 45 × 30 m ; niveaux 0. Détails dans catalogue-existant.json.</x:v>
      </x:c>
    </x:row>
    <x:row r="1613">
      <x:c r="A1613" t="str">
        <x:v>DW-1608</x:v>
      </x:c>
      <x:c r="B1613" t="str">
        <x:v>DW-0304</x:v>
      </x:c>
      <x:c r="C1613" t="str">
        <x:v>Composition héritée</x:v>
      </x:c>
      <x:c r="D1613" t="str">
        <x:v>Industrie et production</x:v>
      </x:c>
      <x:c r="E1613" t="str">
        <x:v>Usine d'emballages — Entrepôt et plateforme logistique / première récupération passée</x:v>
      </x:c>
      <x:c r="F1613" t="n">
        <x:v>8</x:v>
      </x:c>
      <x:c r="G1613" t="n">
        <x:v>4</x:v>
      </x:c>
      <x:c r="H1613" t="n">
        <x:v>12</x:v>
      </x:c>
      <x:c r="I1613" t="str">
        <x:v>À qualifier par lieu</x:v>
      </x:c>
      <x:c r="J1613" t="str">
        <x:v>https://github.com/darknigthmare/deadwall-last-enclosure/blob/1b3b9c5ba232734b1bda3453b4e20a0481bcdd74/codex-3000/compositions/Industrie et production/DW-1608.md</x:v>
      </x:c>
      <x:c r="K1613" t="str">
        <x:v>Source min 45,30 m ; max 240,170 m ; modèle 45 × 30 m ; niveaux 0. Détails dans catalogue-existant.json.</x:v>
      </x:c>
    </x:row>
    <x:row r="1614">
      <x:c r="A1614" t="str">
        <x:v>DW-1609</x:v>
      </x:c>
      <x:c r="B1614" t="str">
        <x:v>DW-0305</x:v>
      </x:c>
      <x:c r="C1614" t="str">
        <x:v>Composition héritée</x:v>
      </x:c>
      <x:c r="D1614" t="str">
        <x:v>Industrie et production</x:v>
      </x:c>
      <x:c r="E1614" t="str">
        <x:v>Imprimerie industrielle — Zone industrielle / évacuation interrompue</x:v>
      </x:c>
      <x:c r="F1614" t="n">
        <x:v>8</x:v>
      </x:c>
      <x:c r="G1614" t="n">
        <x:v>4</x:v>
      </x:c>
      <x:c r="H1614" t="n">
        <x:v>12</x:v>
      </x:c>
      <x:c r="I1614" t="str">
        <x:v>À qualifier par lieu</x:v>
      </x:c>
      <x:c r="J1614" t="str">
        <x:v>https://github.com/darknigthmare/deadwall-last-enclosure/blob/1b3b9c5ba232734b1bda3453b4e20a0481bcdd74/codex-3000/compositions/Industrie et production/DW-1609.md</x:v>
      </x:c>
      <x:c r="K1614" t="str">
        <x:v>Source min 45,30 m ; max 240,170 m ; modèle 45 × 30 m ; niveaux 0. Détails dans catalogue-existant.json.</x:v>
      </x:c>
    </x:row>
    <x:row r="1615">
      <x:c r="A1615" t="str">
        <x:v>DW-1610</x:v>
      </x:c>
      <x:c r="B1615" t="str">
        <x:v>DW-0305</x:v>
      </x:c>
      <x:c r="C1615" t="str">
        <x:v>Composition héritée</x:v>
      </x:c>
      <x:c r="D1615" t="str">
        <x:v>Industrie et production</x:v>
      </x:c>
      <x:c r="E1615" t="str">
        <x:v>Imprimerie industrielle — Port marchand / service déplacé à l’arrière</x:v>
      </x:c>
      <x:c r="F1615" t="n">
        <x:v>10</x:v>
      </x:c>
      <x:c r="G1615" t="n">
        <x:v>4</x:v>
      </x:c>
      <x:c r="H1615" t="n">
        <x:v>12</x:v>
      </x:c>
      <x:c r="I1615" t="str">
        <x:v>À qualifier par lieu</x:v>
      </x:c>
      <x:c r="J1615" t="str">
        <x:v>https://github.com/darknigthmare/deadwall-last-enclosure/blob/1b3b9c5ba232734b1bda3453b4e20a0481bcdd74/codex-3000/compositions/Industrie et production/DW-1610.md</x:v>
      </x:c>
      <x:c r="K1615" t="str">
        <x:v>Source min 45,30 m ; max 240,170 m ; modèle 45 × 30 m ; niveaux 0. Détails dans catalogue-existant.json.</x:v>
      </x:c>
    </x:row>
    <x:row r="1616">
      <x:c r="A1616" t="str">
        <x:v>DW-1611</x:v>
      </x:c>
      <x:c r="B1616" t="str">
        <x:v>DW-0306</x:v>
      </x:c>
      <x:c r="C1616" t="str">
        <x:v>Composition héritée</x:v>
      </x:c>
      <x:c r="D1616" t="str">
        <x:v>Industrie et production</x:v>
      </x:c>
      <x:c r="E1616" t="str">
        <x:v>Atelier de menuiserie — Entrepôt et plateforme logistique / arrêt de maintenance</x:v>
      </x:c>
      <x:c r="F1616" t="n">
        <x:v>8</x:v>
      </x:c>
      <x:c r="G1616" t="n">
        <x:v>4</x:v>
      </x:c>
      <x:c r="H1616" t="n">
        <x:v>12</x:v>
      </x:c>
      <x:c r="I1616" t="str">
        <x:v>À qualifier par lieu</x:v>
      </x:c>
      <x:c r="J1616" t="str">
        <x:v>https://github.com/darknigthmare/deadwall-last-enclosure/blob/1b3b9c5ba232734b1bda3453b4e20a0481bcdd74/codex-3000/compositions/Industrie et production/DW-1611.md</x:v>
      </x:c>
      <x:c r="K1616" t="str">
        <x:v>Source min 45,30 m ; max 240,170 m ; modèle 45 × 30 m ; niveaux 0. Détails dans catalogue-existant.json.</x:v>
      </x:c>
    </x:row>
    <x:row r="1617">
      <x:c r="A1617" t="str">
        <x:v>DW-1612</x:v>
      </x:c>
      <x:c r="B1617" t="str">
        <x:v>DW-0306</x:v>
      </x:c>
      <x:c r="C1617" t="str">
        <x:v>Composition héritée</x:v>
      </x:c>
      <x:c r="D1617" t="str">
        <x:v>Industrie et production</x:v>
      </x:c>
      <x:c r="E1617" t="str">
        <x:v>Atelier de menuiserie — Carrière / reprise progressive de la végétation</x:v>
      </x:c>
      <x:c r="F1617" t="n">
        <x:v>8</x:v>
      </x:c>
      <x:c r="G1617" t="n">
        <x:v>4</x:v>
      </x:c>
      <x:c r="H1617" t="n">
        <x:v>12</x:v>
      </x:c>
      <x:c r="I1617" t="str">
        <x:v>À qualifier par lieu</x:v>
      </x:c>
      <x:c r="J1617" t="str">
        <x:v>https://github.com/darknigthmare/deadwall-last-enclosure/blob/1b3b9c5ba232734b1bda3453b4e20a0481bcdd74/codex-3000/compositions/Industrie et production/DW-1612.md</x:v>
      </x:c>
      <x:c r="K1617" t="str">
        <x:v>Source min 45,30 m ; max 240,170 m ; modèle 45 × 30 m ; niveaux 0. Détails dans catalogue-existant.json.</x:v>
      </x:c>
    </x:row>
    <x:row r="1618">
      <x:c r="A1618" t="str">
        <x:v>DW-1613</x:v>
      </x:c>
      <x:c r="B1618" t="str">
        <x:v>DW-0307</x:v>
      </x:c>
      <x:c r="C1618" t="str">
        <x:v>Composition héritée</x:v>
      </x:c>
      <x:c r="D1618" t="str">
        <x:v>Industrie et production</x:v>
      </x:c>
      <x:c r="E1618" t="str">
        <x:v>Usine de meubles — Port marchand / première récupération passée</x:v>
      </x:c>
      <x:c r="F1618" t="n">
        <x:v>10</x:v>
      </x:c>
      <x:c r="G1618" t="n">
        <x:v>4</x:v>
      </x:c>
      <x:c r="H1618" t="n">
        <x:v>12</x:v>
      </x:c>
      <x:c r="I1618" t="str">
        <x:v>À qualifier par lieu</x:v>
      </x:c>
      <x:c r="J1618" t="str">
        <x:v>https://github.com/darknigthmare/deadwall-last-enclosure/blob/1b3b9c5ba232734b1bda3453b4e20a0481bcdd74/codex-3000/compositions/Industrie et production/DW-1613.md</x:v>
      </x:c>
      <x:c r="K1618" t="str">
        <x:v>Source min 45,30 m ; max 240,170 m ; modèle 45 × 30 m ; niveaux 0. Détails dans catalogue-existant.json.</x:v>
      </x:c>
    </x:row>
    <x:row r="1619">
      <x:c r="A1619" t="str">
        <x:v>DW-1614</x:v>
      </x:c>
      <x:c r="B1619" t="str">
        <x:v>DW-0307</x:v>
      </x:c>
      <x:c r="C1619" t="str">
        <x:v>Composition héritée</x:v>
      </x:c>
      <x:c r="D1619" t="str">
        <x:v>Industrie et production</x:v>
      </x:c>
      <x:c r="E1619" t="str">
        <x:v>Usine de meubles — Zone industrielle / relais temporaire envisagé</x:v>
      </x:c>
      <x:c r="F1619" t="n">
        <x:v>8</x:v>
      </x:c>
      <x:c r="G1619" t="n">
        <x:v>4</x:v>
      </x:c>
      <x:c r="H1619" t="n">
        <x:v>12</x:v>
      </x:c>
      <x:c r="I1619" t="str">
        <x:v>À qualifier par lieu</x:v>
      </x:c>
      <x:c r="J1619" t="str">
        <x:v>https://github.com/darknigthmare/deadwall-last-enclosure/blob/1b3b9c5ba232734b1bda3453b4e20a0481bcdd74/codex-3000/compositions/Industrie et production/DW-1614.md</x:v>
      </x:c>
      <x:c r="K1619" t="str">
        <x:v>Source min 45,30 m ; max 240,170 m ; modèle 45 × 30 m ; niveaux 0. Détails dans catalogue-existant.json.</x:v>
      </x:c>
    </x:row>
    <x:row r="1620">
      <x:c r="A1620" t="str">
        <x:v>DW-1615</x:v>
      </x:c>
      <x:c r="B1620" t="str">
        <x:v>DW-0308</x:v>
      </x:c>
      <x:c r="C1620" t="str">
        <x:v>Composition héritée</x:v>
      </x:c>
      <x:c r="D1620" t="str">
        <x:v>Industrie et production</x:v>
      </x:c>
      <x:c r="E1620" t="str">
        <x:v>Fabrique de céramique — Carrière / service déplacé à l’arrière</x:v>
      </x:c>
      <x:c r="F1620" t="n">
        <x:v>8</x:v>
      </x:c>
      <x:c r="G1620" t="n">
        <x:v>4</x:v>
      </x:c>
      <x:c r="H1620" t="n">
        <x:v>12</x:v>
      </x:c>
      <x:c r="I1620" t="str">
        <x:v>À qualifier par lieu</x:v>
      </x:c>
      <x:c r="J1620" t="str">
        <x:v>https://github.com/darknigthmare/deadwall-last-enclosure/blob/1b3b9c5ba232734b1bda3453b4e20a0481bcdd74/codex-3000/compositions/Industrie et production/DW-1615.md</x:v>
      </x:c>
      <x:c r="K1620" t="str">
        <x:v>Source min 45,30 m ; max 240,170 m ; modèle 45 × 30 m ; niveaux 0. Détails dans catalogue-existant.json.</x:v>
      </x:c>
    </x:row>
    <x:row r="1621">
      <x:c r="A1621" t="str">
        <x:v>DW-1616</x:v>
      </x:c>
      <x:c r="B1621" t="str">
        <x:v>DW-0308</x:v>
      </x:c>
      <x:c r="C1621" t="str">
        <x:v>Composition héritée</x:v>
      </x:c>
      <x:c r="D1621" t="str">
        <x:v>Industrie et production</x:v>
      </x:c>
      <x:c r="E1621" t="str">
        <x:v>Fabrique de céramique — Entrepôt et plateforme logistique / réseau principal coupé</x:v>
      </x:c>
      <x:c r="F1621" t="n">
        <x:v>8</x:v>
      </x:c>
      <x:c r="G1621" t="n">
        <x:v>4</x:v>
      </x:c>
      <x:c r="H1621" t="n">
        <x:v>12</x:v>
      </x:c>
      <x:c r="I1621" t="str">
        <x:v>À qualifier par lieu</x:v>
      </x:c>
      <x:c r="J1621" t="str">
        <x:v>https://github.com/darknigthmare/deadwall-last-enclosure/blob/1b3b9c5ba232734b1bda3453b4e20a0481bcdd74/codex-3000/compositions/Industrie et production/DW-1616.md</x:v>
      </x:c>
      <x:c r="K1621" t="str">
        <x:v>Source min 45,30 m ; max 240,170 m ; modèle 45 × 30 m ; niveaux 0. Détails dans catalogue-existant.json.</x:v>
      </x:c>
    </x:row>
    <x:row r="1622">
      <x:c r="A1622" t="str">
        <x:v>DW-1617</x:v>
      </x:c>
      <x:c r="B1622" t="str">
        <x:v>DW-0309</x:v>
      </x:c>
      <x:c r="C1622" t="str">
        <x:v>Composition héritée</x:v>
      </x:c>
      <x:c r="D1622" t="str">
        <x:v>Industrie et production</x:v>
      </x:c>
      <x:c r="E1622" t="str">
        <x:v>Verrerie désaffectée — Zone industrielle / reprise progressive de la végétation</x:v>
      </x:c>
      <x:c r="F1622" t="n">
        <x:v>8</x:v>
      </x:c>
      <x:c r="G1622" t="n">
        <x:v>4</x:v>
      </x:c>
      <x:c r="H1622" t="n">
        <x:v>12</x:v>
      </x:c>
      <x:c r="I1622" t="str">
        <x:v>À qualifier par lieu</x:v>
      </x:c>
      <x:c r="J1622" t="str">
        <x:v>https://github.com/darknigthmare/deadwall-last-enclosure/blob/1b3b9c5ba232734b1bda3453b4e20a0481bcdd74/codex-3000/compositions/Industrie et production/DW-1617.md</x:v>
      </x:c>
      <x:c r="K1622" t="str">
        <x:v>Source min 45,30 m ; max 240,170 m ; modèle 45 × 30 m ; niveaux 0. Détails dans catalogue-existant.json.</x:v>
      </x:c>
    </x:row>
    <x:row r="1623">
      <x:c r="A1623" t="str">
        <x:v>DW-1618</x:v>
      </x:c>
      <x:c r="B1623" t="str">
        <x:v>DW-0309</x:v>
      </x:c>
      <x:c r="C1623" t="str">
        <x:v>Composition héritée</x:v>
      </x:c>
      <x:c r="D1623" t="str">
        <x:v>Industrie et production</x:v>
      </x:c>
      <x:c r="E1623" t="str">
        <x:v>Verrerie désaffectée — Port marchand / repli organisé interrompu</x:v>
      </x:c>
      <x:c r="F1623" t="n">
        <x:v>10</x:v>
      </x:c>
      <x:c r="G1623" t="n">
        <x:v>4</x:v>
      </x:c>
      <x:c r="H1623" t="n">
        <x:v>12</x:v>
      </x:c>
      <x:c r="I1623" t="str">
        <x:v>À qualifier par lieu</x:v>
      </x:c>
      <x:c r="J1623" t="str">
        <x:v>https://github.com/darknigthmare/deadwall-last-enclosure/blob/1b3b9c5ba232734b1bda3453b4e20a0481bcdd74/codex-3000/compositions/Industrie et production/DW-1618.md</x:v>
      </x:c>
      <x:c r="K1623" t="str">
        <x:v>Source min 45,30 m ; max 240,170 m ; modèle 45 × 30 m ; niveaux 0. Détails dans catalogue-existant.json.</x:v>
      </x:c>
    </x:row>
    <x:row r="1624">
      <x:c r="A1624" t="str">
        <x:v>DW-1619</x:v>
      </x:c>
      <x:c r="B1624" t="str">
        <x:v>DW-0310</x:v>
      </x:c>
      <x:c r="C1624" t="str">
        <x:v>Composition héritée</x:v>
      </x:c>
      <x:c r="D1624" t="str">
        <x:v>Industrie et production</x:v>
      </x:c>
      <x:c r="E1624" t="str">
        <x:v>Usine de préfabrication — Entrepôt et plateforme logistique / relais temporaire envisagé</x:v>
      </x:c>
      <x:c r="F1624" t="n">
        <x:v>8</x:v>
      </x:c>
      <x:c r="G1624" t="n">
        <x:v>4</x:v>
      </x:c>
      <x:c r="H1624" t="n">
        <x:v>12</x:v>
      </x:c>
      <x:c r="I1624" t="str">
        <x:v>À qualifier par lieu</x:v>
      </x:c>
      <x:c r="J1624" t="str">
        <x:v>https://github.com/darknigthmare/deadwall-last-enclosure/blob/1b3b9c5ba232734b1bda3453b4e20a0481bcdd74/codex-3000/compositions/Industrie et production/DW-1619.md</x:v>
      </x:c>
      <x:c r="K1624" t="str">
        <x:v>Source min 45,30 m ; max 240,170 m ; modèle 45 × 30 m ; niveaux 0. Détails dans catalogue-existant.json.</x:v>
      </x:c>
    </x:row>
    <x:row r="1625">
      <x:c r="A1625" t="str">
        <x:v>DW-1620</x:v>
      </x:c>
      <x:c r="B1625" t="str">
        <x:v>DW-0310</x:v>
      </x:c>
      <x:c r="C1625" t="str">
        <x:v>Composition héritée</x:v>
      </x:c>
      <x:c r="D1625" t="str">
        <x:v>Industrie et production</x:v>
      </x:c>
      <x:c r="E1625" t="str">
        <x:v>Usine de préfabrication — Carrière / évacuation interrompue</x:v>
      </x:c>
      <x:c r="F1625" t="n">
        <x:v>8</x:v>
      </x:c>
      <x:c r="G1625" t="n">
        <x:v>4</x:v>
      </x:c>
      <x:c r="H1625" t="n">
        <x:v>12</x:v>
      </x:c>
      <x:c r="I1625" t="str">
        <x:v>À qualifier par lieu</x:v>
      </x:c>
      <x:c r="J1625" t="str">
        <x:v>https://github.com/darknigthmare/deadwall-last-enclosure/blob/1b3b9c5ba232734b1bda3453b4e20a0481bcdd74/codex-3000/compositions/Industrie et production/DW-1620.md</x:v>
      </x:c>
      <x:c r="K1625" t="str">
        <x:v>Source min 45,30 m ; max 240,170 m ; modèle 45 × 30 m ; niveaux 0. Détails dans catalogue-existant.json.</x:v>
      </x:c>
    </x:row>
    <x:row r="1626">
      <x:c r="A1626" t="str">
        <x:v>DW-1621</x:v>
      </x:c>
      <x:c r="B1626" t="str">
        <x:v>DW-0311</x:v>
      </x:c>
      <x:c r="C1626" t="str">
        <x:v>Composition héritée</x:v>
      </x:c>
      <x:c r="D1626" t="str">
        <x:v>Industrie et production</x:v>
      </x:c>
      <x:c r="E1626" t="str">
        <x:v>Atelier de plasturgie — Port marchand / réseau principal coupé</x:v>
      </x:c>
      <x:c r="F1626" t="n">
        <x:v>10</x:v>
      </x:c>
      <x:c r="G1626" t="n">
        <x:v>4</x:v>
      </x:c>
      <x:c r="H1626" t="n">
        <x:v>12</x:v>
      </x:c>
      <x:c r="I1626" t="str">
        <x:v>À qualifier par lieu</x:v>
      </x:c>
      <x:c r="J1626" t="str">
        <x:v>https://github.com/darknigthmare/deadwall-last-enclosure/blob/1b3b9c5ba232734b1bda3453b4e20a0481bcdd74/codex-3000/compositions/Industrie et production/DW-1621.md</x:v>
      </x:c>
      <x:c r="K1626" t="str">
        <x:v>Source min 45,30 m ; max 240,170 m ; modèle 45 × 30 m ; niveaux 0. Détails dans catalogue-existant.json.</x:v>
      </x:c>
    </x:row>
    <x:row r="1627">
      <x:c r="A1627" t="str">
        <x:v>DW-1622</x:v>
      </x:c>
      <x:c r="B1627" t="str">
        <x:v>DW-0311</x:v>
      </x:c>
      <x:c r="C1627" t="str">
        <x:v>Composition héritée</x:v>
      </x:c>
      <x:c r="D1627" t="str">
        <x:v>Industrie et production</x:v>
      </x:c>
      <x:c r="E1627" t="str">
        <x:v>Atelier de plasturgie — Zone industrielle / arrêt de maintenance</x:v>
      </x:c>
      <x:c r="F1627" t="n">
        <x:v>8</x:v>
      </x:c>
      <x:c r="G1627" t="n">
        <x:v>4</x:v>
      </x:c>
      <x:c r="H1627" t="n">
        <x:v>12</x:v>
      </x:c>
      <x:c r="I1627" t="str">
        <x:v>À qualifier par lieu</x:v>
      </x:c>
      <x:c r="J1627" t="str">
        <x:v>https://github.com/darknigthmare/deadwall-last-enclosure/blob/1b3b9c5ba232734b1bda3453b4e20a0481bcdd74/codex-3000/compositions/Industrie et production/DW-1622.md</x:v>
      </x:c>
      <x:c r="K1627" t="str">
        <x:v>Source min 45,30 m ; max 240,170 m ; modèle 45 × 30 m ; niveaux 0. Détails dans catalogue-existant.json.</x:v>
      </x:c>
    </x:row>
    <x:row r="1628">
      <x:c r="A1628" t="str">
        <x:v>DW-1623</x:v>
      </x:c>
      <x:c r="B1628" t="str">
        <x:v>DW-0312</x:v>
      </x:c>
      <x:c r="C1628" t="str">
        <x:v>Composition héritée</x:v>
      </x:c>
      <x:c r="D1628" t="str">
        <x:v>Industrie et production</x:v>
      </x:c>
      <x:c r="E1628" t="str">
        <x:v>Fabrique de produits ménagers — Carrière / repli organisé interrompu</x:v>
      </x:c>
      <x:c r="F1628" t="n">
        <x:v>8</x:v>
      </x:c>
      <x:c r="G1628" t="n">
        <x:v>4</x:v>
      </x:c>
      <x:c r="H1628" t="n">
        <x:v>12</x:v>
      </x:c>
      <x:c r="I1628" t="str">
        <x:v>À qualifier par lieu</x:v>
      </x:c>
      <x:c r="J1628" t="str">
        <x:v>https://github.com/darknigthmare/deadwall-last-enclosure/blob/1b3b9c5ba232734b1bda3453b4e20a0481bcdd74/codex-3000/compositions/Industrie et production/DW-1623.md</x:v>
      </x:c>
      <x:c r="K1628" t="str">
        <x:v>Source min 45,30 m ; max 240,170 m ; modèle 45 × 30 m ; niveaux 0. Détails dans catalogue-existant.json.</x:v>
      </x:c>
    </x:row>
    <x:row r="1629">
      <x:c r="A1629" t="str">
        <x:v>DW-1624</x:v>
      </x:c>
      <x:c r="B1629" t="str">
        <x:v>DW-0312</x:v>
      </x:c>
      <x:c r="C1629" t="str">
        <x:v>Composition héritée</x:v>
      </x:c>
      <x:c r="D1629" t="str">
        <x:v>Industrie et production</x:v>
      </x:c>
      <x:c r="E1629" t="str">
        <x:v>Fabrique de produits ménagers — Entrepôt et plateforme logistique / première récupération passée</x:v>
      </x:c>
      <x:c r="F1629" t="n">
        <x:v>8</x:v>
      </x:c>
      <x:c r="G1629" t="n">
        <x:v>4</x:v>
      </x:c>
      <x:c r="H1629" t="n">
        <x:v>12</x:v>
      </x:c>
      <x:c r="I1629" t="str">
        <x:v>À qualifier par lieu</x:v>
      </x:c>
      <x:c r="J1629" t="str">
        <x:v>https://github.com/darknigthmare/deadwall-last-enclosure/blob/1b3b9c5ba232734b1bda3453b4e20a0481bcdd74/codex-3000/compositions/Industrie et production/DW-1624.md</x:v>
      </x:c>
      <x:c r="K1629" t="str">
        <x:v>Source min 45,30 m ; max 240,170 m ; modèle 45 × 30 m ; niveaux 0. Détails dans catalogue-existant.json.</x:v>
      </x:c>
    </x:row>
    <x:row r="1630">
      <x:c r="A1630" t="str">
        <x:v>DW-1625</x:v>
      </x:c>
      <x:c r="B1630" t="str">
        <x:v>DW-0313</x:v>
      </x:c>
      <x:c r="C1630" t="str">
        <x:v>Composition héritée</x:v>
      </x:c>
      <x:c r="D1630" t="str">
        <x:v>Industrie et production</x:v>
      </x:c>
      <x:c r="E1630" t="str">
        <x:v>Atelier de batteries — Zone industrielle / évacuation interrompue</x:v>
      </x:c>
      <x:c r="F1630" t="n">
        <x:v>8</x:v>
      </x:c>
      <x:c r="G1630" t="n">
        <x:v>4</x:v>
      </x:c>
      <x:c r="H1630" t="n">
        <x:v>12</x:v>
      </x:c>
      <x:c r="I1630" t="str">
        <x:v>À qualifier par lieu</x:v>
      </x:c>
      <x:c r="J1630" t="str">
        <x:v>https://github.com/darknigthmare/deadwall-last-enclosure/blob/1b3b9c5ba232734b1bda3453b4e20a0481bcdd74/codex-3000/compositions/Industrie et production/DW-1625.md</x:v>
      </x:c>
      <x:c r="K1630" t="str">
        <x:v>Source min 45,30 m ; max 240,170 m ; modèle 45 × 30 m ; niveaux 0. Détails dans catalogue-existant.json.</x:v>
      </x:c>
    </x:row>
    <x:row r="1631">
      <x:c r="A1631" t="str">
        <x:v>DW-1626</x:v>
      </x:c>
      <x:c r="B1631" t="str">
        <x:v>DW-0313</x:v>
      </x:c>
      <x:c r="C1631" t="str">
        <x:v>Composition héritée</x:v>
      </x:c>
      <x:c r="D1631" t="str">
        <x:v>Industrie et production</x:v>
      </x:c>
      <x:c r="E1631" t="str">
        <x:v>Atelier de batteries — Port marchand / service déplacé à l’arrière</x:v>
      </x:c>
      <x:c r="F1631" t="n">
        <x:v>10</x:v>
      </x:c>
      <x:c r="G1631" t="n">
        <x:v>4</x:v>
      </x:c>
      <x:c r="H1631" t="n">
        <x:v>12</x:v>
      </x:c>
      <x:c r="I1631" t="str">
        <x:v>À qualifier par lieu</x:v>
      </x:c>
      <x:c r="J1631" t="str">
        <x:v>https://github.com/darknigthmare/deadwall-last-enclosure/blob/1b3b9c5ba232734b1bda3453b4e20a0481bcdd74/codex-3000/compositions/Industrie et production/DW-1626.md</x:v>
      </x:c>
      <x:c r="K1631" t="str">
        <x:v>Source min 45,30 m ; max 240,170 m ; modèle 45 × 30 m ; niveaux 0. Détails dans catalogue-existant.json.</x:v>
      </x:c>
    </x:row>
    <x:row r="1632">
      <x:c r="A1632" t="str">
        <x:v>DW-1627</x:v>
      </x:c>
      <x:c r="B1632" t="str">
        <x:v>DW-0314</x:v>
      </x:c>
      <x:c r="C1632" t="str">
        <x:v>Composition héritée</x:v>
      </x:c>
      <x:c r="D1632" t="str">
        <x:v>Industrie et production</x:v>
      </x:c>
      <x:c r="E1632" t="str">
        <x:v>Usine de machines agricoles — Entrepôt et plateforme logistique / arrêt de maintenance</x:v>
      </x:c>
      <x:c r="F1632" t="n">
        <x:v>8</x:v>
      </x:c>
      <x:c r="G1632" t="n">
        <x:v>4</x:v>
      </x:c>
      <x:c r="H1632" t="n">
        <x:v>12</x:v>
      </x:c>
      <x:c r="I1632" t="str">
        <x:v>À qualifier par lieu</x:v>
      </x:c>
      <x:c r="J1632" t="str">
        <x:v>https://github.com/darknigthmare/deadwall-last-enclosure/blob/1b3b9c5ba232734b1bda3453b4e20a0481bcdd74/codex-3000/compositions/Industrie et production/DW-1627.md</x:v>
      </x:c>
      <x:c r="K1632" t="str">
        <x:v>Source min 45,30 m ; max 240,170 m ; modèle 45 × 30 m ; niveaux 0. Détails dans catalogue-existant.json.</x:v>
      </x:c>
    </x:row>
    <x:row r="1633">
      <x:c r="A1633" t="str">
        <x:v>DW-1628</x:v>
      </x:c>
      <x:c r="B1633" t="str">
        <x:v>DW-0314</x:v>
      </x:c>
      <x:c r="C1633" t="str">
        <x:v>Composition héritée</x:v>
      </x:c>
      <x:c r="D1633" t="str">
        <x:v>Industrie et production</x:v>
      </x:c>
      <x:c r="E1633" t="str">
        <x:v>Usine de machines agricoles — Carrière / reprise progressive de la végétation</x:v>
      </x:c>
      <x:c r="F1633" t="n">
        <x:v>8</x:v>
      </x:c>
      <x:c r="G1633" t="n">
        <x:v>4</x:v>
      </x:c>
      <x:c r="H1633" t="n">
        <x:v>12</x:v>
      </x:c>
      <x:c r="I1633" t="str">
        <x:v>À qualifier par lieu</x:v>
      </x:c>
      <x:c r="J1633" t="str">
        <x:v>https://github.com/darknigthmare/deadwall-last-enclosure/blob/1b3b9c5ba232734b1bda3453b4e20a0481bcdd74/codex-3000/compositions/Industrie et production/DW-1628.md</x:v>
      </x:c>
      <x:c r="K1633" t="str">
        <x:v>Source min 45,30 m ; max 240,170 m ; modèle 45 × 30 m ; niveaux 0. Détails dans catalogue-existant.json.</x:v>
      </x:c>
    </x:row>
    <x:row r="1634">
      <x:c r="A1634" t="str">
        <x:v>DW-1629</x:v>
      </x:c>
      <x:c r="B1634" t="str">
        <x:v>DW-0315</x:v>
      </x:c>
      <x:c r="C1634" t="str">
        <x:v>Composition héritée</x:v>
      </x:c>
      <x:c r="D1634" t="str">
        <x:v>Industrie et production</x:v>
      </x:c>
      <x:c r="E1634" t="str">
        <x:v>Atelier de réparation industrielle — Port marchand / première récupération passée</x:v>
      </x:c>
      <x:c r="F1634" t="n">
        <x:v>10</x:v>
      </x:c>
      <x:c r="G1634" t="n">
        <x:v>4</x:v>
      </x:c>
      <x:c r="H1634" t="n">
        <x:v>12</x:v>
      </x:c>
      <x:c r="I1634" t="str">
        <x:v>À qualifier par lieu</x:v>
      </x:c>
      <x:c r="J1634" t="str">
        <x:v>https://github.com/darknigthmare/deadwall-last-enclosure/blob/1b3b9c5ba232734b1bda3453b4e20a0481bcdd74/codex-3000/compositions/Industrie et production/DW-1629.md</x:v>
      </x:c>
      <x:c r="K1634" t="str">
        <x:v>Source min 45,30 m ; max 240,170 m ; modèle 45 × 30 m ; niveaux 0. Détails dans catalogue-existant.json.</x:v>
      </x:c>
    </x:row>
    <x:row r="1635">
      <x:c r="A1635" t="str">
        <x:v>DW-1630</x:v>
      </x:c>
      <x:c r="B1635" t="str">
        <x:v>DW-0315</x:v>
      </x:c>
      <x:c r="C1635" t="str">
        <x:v>Composition héritée</x:v>
      </x:c>
      <x:c r="D1635" t="str">
        <x:v>Industrie et production</x:v>
      </x:c>
      <x:c r="E1635" t="str">
        <x:v>Atelier de réparation industrielle — Zone industrielle / relais temporaire envisagé</x:v>
      </x:c>
      <x:c r="F1635" t="n">
        <x:v>8</x:v>
      </x:c>
      <x:c r="G1635" t="n">
        <x:v>4</x:v>
      </x:c>
      <x:c r="H1635" t="n">
        <x:v>12</x:v>
      </x:c>
      <x:c r="I1635" t="str">
        <x:v>À qualifier par lieu</x:v>
      </x:c>
      <x:c r="J1635" t="str">
        <x:v>https://github.com/darknigthmare/deadwall-last-enclosure/blob/1b3b9c5ba232734b1bda3453b4e20a0481bcdd74/codex-3000/compositions/Industrie et production/DW-1630.md</x:v>
      </x:c>
      <x:c r="K1635" t="str">
        <x:v>Source min 45,30 m ; max 240,170 m ; modèle 45 × 30 m ; niveaux 0. Détails dans catalogue-existant.json.</x:v>
      </x:c>
    </x:row>
    <x:row r="1636">
      <x:c r="A1636" t="str">
        <x:v>DW-1631</x:v>
      </x:c>
      <x:c r="B1636" t="str">
        <x:v>DW-0316</x:v>
      </x:c>
      <x:c r="C1636" t="str">
        <x:v>Composition héritée</x:v>
      </x:c>
      <x:c r="D1636" t="str">
        <x:v>Industrie et production</x:v>
      </x:c>
      <x:c r="E1636" t="str">
        <x:v>Usine agroalimentaire sèche — Carrière / service déplacé à l’arrière</x:v>
      </x:c>
      <x:c r="F1636" t="n">
        <x:v>8</x:v>
      </x:c>
      <x:c r="G1636" t="n">
        <x:v>4</x:v>
      </x:c>
      <x:c r="H1636" t="n">
        <x:v>12</x:v>
      </x:c>
      <x:c r="I1636" t="str">
        <x:v>À qualifier par lieu</x:v>
      </x:c>
      <x:c r="J1636" t="str">
        <x:v>https://github.com/darknigthmare/deadwall-last-enclosure/blob/1b3b9c5ba232734b1bda3453b4e20a0481bcdd74/codex-3000/compositions/Industrie et production/DW-1631.md</x:v>
      </x:c>
      <x:c r="K1636" t="str">
        <x:v>Source min 45,30 m ; max 240,170 m ; modèle 45 × 30 m ; niveaux 0. Détails dans catalogue-existant.json.</x:v>
      </x:c>
    </x:row>
    <x:row r="1637">
      <x:c r="A1637" t="str">
        <x:v>DW-1632</x:v>
      </x:c>
      <x:c r="B1637" t="str">
        <x:v>DW-0316</x:v>
      </x:c>
      <x:c r="C1637" t="str">
        <x:v>Composition héritée</x:v>
      </x:c>
      <x:c r="D1637" t="str">
        <x:v>Industrie et production</x:v>
      </x:c>
      <x:c r="E1637" t="str">
        <x:v>Usine agroalimentaire sèche — Entrepôt et plateforme logistique / réseau principal coupé</x:v>
      </x:c>
      <x:c r="F1637" t="n">
        <x:v>8</x:v>
      </x:c>
      <x:c r="G1637" t="n">
        <x:v>4</x:v>
      </x:c>
      <x:c r="H1637" t="n">
        <x:v>12</x:v>
      </x:c>
      <x:c r="I1637" t="str">
        <x:v>À qualifier par lieu</x:v>
      </x:c>
      <x:c r="J1637" t="str">
        <x:v>https://github.com/darknigthmare/deadwall-last-enclosure/blob/1b3b9c5ba232734b1bda3453b4e20a0481bcdd74/codex-3000/compositions/Industrie et production/DW-1632.md</x:v>
      </x:c>
      <x:c r="K1637" t="str">
        <x:v>Source min 45,30 m ; max 240,170 m ; modèle 45 × 30 m ; niveaux 0. Détails dans catalogue-existant.json.</x:v>
      </x:c>
    </x:row>
    <x:row r="1638">
      <x:c r="A1638" t="str">
        <x:v>DW-1633</x:v>
      </x:c>
      <x:c r="B1638" t="str">
        <x:v>DW-0317</x:v>
      </x:c>
      <x:c r="C1638" t="str">
        <x:v>Composition héritée</x:v>
      </x:c>
      <x:c r="D1638" t="str">
        <x:v>Industrie et production</x:v>
      </x:c>
      <x:c r="E1638" t="str">
        <x:v>Brasserie désaffectée — Zone industrielle / reprise progressive de la végétation</x:v>
      </x:c>
      <x:c r="F1638" t="n">
        <x:v>8</x:v>
      </x:c>
      <x:c r="G1638" t="n">
        <x:v>4</x:v>
      </x:c>
      <x:c r="H1638" t="n">
        <x:v>12</x:v>
      </x:c>
      <x:c r="I1638" t="str">
        <x:v>À qualifier par lieu</x:v>
      </x:c>
      <x:c r="J1638" t="str">
        <x:v>https://github.com/darknigthmare/deadwall-last-enclosure/blob/1b3b9c5ba232734b1bda3453b4e20a0481bcdd74/codex-3000/compositions/Industrie et production/DW-1633.md</x:v>
      </x:c>
      <x:c r="K1638" t="str">
        <x:v>Source min 45,30 m ; max 240,170 m ; modèle 45 × 30 m ; niveaux 0. Détails dans catalogue-existant.json.</x:v>
      </x:c>
    </x:row>
    <x:row r="1639">
      <x:c r="A1639" t="str">
        <x:v>DW-1634</x:v>
      </x:c>
      <x:c r="B1639" t="str">
        <x:v>DW-0317</x:v>
      </x:c>
      <x:c r="C1639" t="str">
        <x:v>Composition héritée</x:v>
      </x:c>
      <x:c r="D1639" t="str">
        <x:v>Industrie et production</x:v>
      </x:c>
      <x:c r="E1639" t="str">
        <x:v>Brasserie désaffectée — Port marchand / repli organisé interrompu</x:v>
      </x:c>
      <x:c r="F1639" t="n">
        <x:v>10</x:v>
      </x:c>
      <x:c r="G1639" t="n">
        <x:v>4</x:v>
      </x:c>
      <x:c r="H1639" t="n">
        <x:v>12</x:v>
      </x:c>
      <x:c r="I1639" t="str">
        <x:v>À qualifier par lieu</x:v>
      </x:c>
      <x:c r="J1639" t="str">
        <x:v>https://github.com/darknigthmare/deadwall-last-enclosure/blob/1b3b9c5ba232734b1bda3453b4e20a0481bcdd74/codex-3000/compositions/Industrie et production/DW-1634.md</x:v>
      </x:c>
      <x:c r="K1639" t="str">
        <x:v>Source min 45,30 m ; max 240,170 m ; modèle 45 × 30 m ; niveaux 0. Détails dans catalogue-existant.json.</x:v>
      </x:c>
    </x:row>
    <x:row r="1640">
      <x:c r="A1640" t="str">
        <x:v>DW-1635</x:v>
      </x:c>
      <x:c r="B1640" t="str">
        <x:v>DW-0318</x:v>
      </x:c>
      <x:c r="C1640" t="str">
        <x:v>Composition héritée</x:v>
      </x:c>
      <x:c r="D1640" t="str">
        <x:v>Industrie et production</x:v>
      </x:c>
      <x:c r="E1640" t="str">
        <x:v>Laiterie — Entrepôt et plateforme logistique / relais temporaire envisagé</x:v>
      </x:c>
      <x:c r="F1640" t="n">
        <x:v>8</x:v>
      </x:c>
      <x:c r="G1640" t="n">
        <x:v>4</x:v>
      </x:c>
      <x:c r="H1640" t="n">
        <x:v>12</x:v>
      </x:c>
      <x:c r="I1640" t="str">
        <x:v>À qualifier par lieu</x:v>
      </x:c>
      <x:c r="J1640" t="str">
        <x:v>https://github.com/darknigthmare/deadwall-last-enclosure/blob/1b3b9c5ba232734b1bda3453b4e20a0481bcdd74/codex-3000/compositions/Industrie et production/DW-1635.md</x:v>
      </x:c>
      <x:c r="K1640" t="str">
        <x:v>Source min 45,30 m ; max 240,170 m ; modèle 45 × 30 m ; niveaux 0. Détails dans catalogue-existant.json.</x:v>
      </x:c>
    </x:row>
    <x:row r="1641">
      <x:c r="A1641" t="str">
        <x:v>DW-1636</x:v>
      </x:c>
      <x:c r="B1641" t="str">
        <x:v>DW-0318</x:v>
      </x:c>
      <x:c r="C1641" t="str">
        <x:v>Composition héritée</x:v>
      </x:c>
      <x:c r="D1641" t="str">
        <x:v>Industrie et production</x:v>
      </x:c>
      <x:c r="E1641" t="str">
        <x:v>Laiterie — Carrière / évacuation interrompue</x:v>
      </x:c>
      <x:c r="F1641" t="n">
        <x:v>8</x:v>
      </x:c>
      <x:c r="G1641" t="n">
        <x:v>4</x:v>
      </x:c>
      <x:c r="H1641" t="n">
        <x:v>12</x:v>
      </x:c>
      <x:c r="I1641" t="str">
        <x:v>À qualifier par lieu</x:v>
      </x:c>
      <x:c r="J1641" t="str">
        <x:v>https://github.com/darknigthmare/deadwall-last-enclosure/blob/1b3b9c5ba232734b1bda3453b4e20a0481bcdd74/codex-3000/compositions/Industrie et production/DW-1636.md</x:v>
      </x:c>
      <x:c r="K1641" t="str">
        <x:v>Source min 45,30 m ; max 240,170 m ; modèle 45 × 30 m ; niveaux 0. Détails dans catalogue-existant.json.</x:v>
      </x:c>
    </x:row>
    <x:row r="1642">
      <x:c r="A1642" t="str">
        <x:v>DW-1637</x:v>
      </x:c>
      <x:c r="B1642" t="str">
        <x:v>DW-0319</x:v>
      </x:c>
      <x:c r="C1642" t="str">
        <x:v>Composition héritée</x:v>
      </x:c>
      <x:c r="D1642" t="str">
        <x:v>Industrie et production</x:v>
      </x:c>
      <x:c r="E1642" t="str">
        <x:v>Tannerie abandonnée — Port marchand / réseau principal coupé</x:v>
      </x:c>
      <x:c r="F1642" t="n">
        <x:v>10</x:v>
      </x:c>
      <x:c r="G1642" t="n">
        <x:v>4</x:v>
      </x:c>
      <x:c r="H1642" t="n">
        <x:v>12</x:v>
      </x:c>
      <x:c r="I1642" t="str">
        <x:v>À qualifier par lieu</x:v>
      </x:c>
      <x:c r="J1642" t="str">
        <x:v>https://github.com/darknigthmare/deadwall-last-enclosure/blob/1b3b9c5ba232734b1bda3453b4e20a0481bcdd74/codex-3000/compositions/Industrie et production/DW-1637.md</x:v>
      </x:c>
      <x:c r="K1642" t="str">
        <x:v>Source min 45,30 m ; max 240,170 m ; modèle 45 × 30 m ; niveaux 0. Détails dans catalogue-existant.json.</x:v>
      </x:c>
    </x:row>
    <x:row r="1643">
      <x:c r="A1643" t="str">
        <x:v>DW-1638</x:v>
      </x:c>
      <x:c r="B1643" t="str">
        <x:v>DW-0319</x:v>
      </x:c>
      <x:c r="C1643" t="str">
        <x:v>Composition héritée</x:v>
      </x:c>
      <x:c r="D1643" t="str">
        <x:v>Industrie et production</x:v>
      </x:c>
      <x:c r="E1643" t="str">
        <x:v>Tannerie abandonnée — Zone industrielle / arrêt de maintenance</x:v>
      </x:c>
      <x:c r="F1643" t="n">
        <x:v>8</x:v>
      </x:c>
      <x:c r="G1643" t="n">
        <x:v>4</x:v>
      </x:c>
      <x:c r="H1643" t="n">
        <x:v>12</x:v>
      </x:c>
      <x:c r="I1643" t="str">
        <x:v>À qualifier par lieu</x:v>
      </x:c>
      <x:c r="J1643" t="str">
        <x:v>https://github.com/darknigthmare/deadwall-last-enclosure/blob/1b3b9c5ba232734b1bda3453b4e20a0481bcdd74/codex-3000/compositions/Industrie et production/DW-1638.md</x:v>
      </x:c>
      <x:c r="K1643" t="str">
        <x:v>Source min 45,30 m ; max 240,170 m ; modèle 45 × 30 m ; niveaux 0. Détails dans catalogue-existant.json.</x:v>
      </x:c>
    </x:row>
    <x:row r="1644">
      <x:c r="A1644" t="str">
        <x:v>DW-1639</x:v>
      </x:c>
      <x:c r="B1644" t="str">
        <x:v>DW-0320</x:v>
      </x:c>
      <x:c r="C1644" t="str">
        <x:v>Composition héritée</x:v>
      </x:c>
      <x:c r="D1644" t="str">
        <x:v>Industrie et production</x:v>
      </x:c>
      <x:c r="E1644" t="str">
        <x:v>Zone artisanale mixte — Carrière / repli organisé interrompu</x:v>
      </x:c>
      <x:c r="F1644" t="n">
        <x:v>8</x:v>
      </x:c>
      <x:c r="G1644" t="n">
        <x:v>4</x:v>
      </x:c>
      <x:c r="H1644" t="n">
        <x:v>12</x:v>
      </x:c>
      <x:c r="I1644" t="str">
        <x:v>À qualifier par lieu</x:v>
      </x:c>
      <x:c r="J1644" t="str">
        <x:v>https://github.com/darknigthmare/deadwall-last-enclosure/blob/1b3b9c5ba232734b1bda3453b4e20a0481bcdd74/codex-3000/compositions/Industrie et production/DW-1639.md</x:v>
      </x:c>
      <x:c r="K1644" t="str">
        <x:v>Source min 45,30 m ; max 240,170 m ; modèle 45 × 30 m ; niveaux 0. Détails dans catalogue-existant.json.</x:v>
      </x:c>
    </x:row>
    <x:row r="1645">
      <x:c r="A1645" t="str">
        <x:v>DW-1640</x:v>
      </x:c>
      <x:c r="B1645" t="str">
        <x:v>DW-0320</x:v>
      </x:c>
      <x:c r="C1645" t="str">
        <x:v>Composition héritée</x:v>
      </x:c>
      <x:c r="D1645" t="str">
        <x:v>Industrie et production</x:v>
      </x:c>
      <x:c r="E1645" t="str">
        <x:v>Zone artisanale mixte — Entrepôt et plateforme logistique / première récupération passée</x:v>
      </x:c>
      <x:c r="F1645" t="n">
        <x:v>8</x:v>
      </x:c>
      <x:c r="G1645" t="n">
        <x:v>4</x:v>
      </x:c>
      <x:c r="H1645" t="n">
        <x:v>12</x:v>
      </x:c>
      <x:c r="I1645" t="str">
        <x:v>À qualifier par lieu</x:v>
      </x:c>
      <x:c r="J1645" t="str">
        <x:v>https://github.com/darknigthmare/deadwall-last-enclosure/blob/1b3b9c5ba232734b1bda3453b4e20a0481bcdd74/codex-3000/compositions/Industrie et production/DW-1640.md</x:v>
      </x:c>
      <x:c r="K1645" t="str">
        <x:v>Source min 45,30 m ; max 240,170 m ; modèle 45 × 30 m ; niveaux 0. Détails dans catalogue-existant.json.</x:v>
      </x:c>
    </x:row>
    <x:row r="1646">
      <x:c r="A1646" t="str">
        <x:v>DW-1641</x:v>
      </x:c>
      <x:c r="B1646" t="str">
        <x:v>DW-0321</x:v>
      </x:c>
      <x:c r="C1646" t="str">
        <x:v>Composition héritée</x:v>
      </x:c>
      <x:c r="D1646" t="str">
        <x:v>Énergie et communication</x:v>
      </x:c>
      <x:c r="E1646" t="str">
        <x:v>Poste électrique de quartier — Production et distribution électrique / évacuation interrompue</x:v>
      </x:c>
      <x:c r="F1646" t="n">
        <x:v>8</x:v>
      </x:c>
      <x:c r="G1646" t="n">
        <x:v>4</x:v>
      </x:c>
      <x:c r="H1646" t="n">
        <x:v>12</x:v>
      </x:c>
      <x:c r="I1646" t="str">
        <x:v>À qualifier par lieu</x:v>
      </x:c>
      <x:c r="J1646" t="str">
        <x:v>https://github.com/darknigthmare/deadwall-last-enclosure/blob/1b3b9c5ba232734b1bda3453b4e20a0481bcdd74/codex-3000/compositions/Énergie et communication/DW-1641.md</x:v>
      </x:c>
      <x:c r="K1646" t="str">
        <x:v>Source min 24,18 m ; max 260,180 m ; modèle 25 × 18 m ; niveaux 0. Détails dans catalogue-existant.json.</x:v>
      </x:c>
    </x:row>
    <x:row r="1647">
      <x:c r="A1647" t="str">
        <x:v>DW-1642</x:v>
      </x:c>
      <x:c r="B1647" t="str">
        <x:v>DW-0321</x:v>
      </x:c>
      <x:c r="C1647" t="str">
        <x:v>Composition héritée</x:v>
      </x:c>
      <x:c r="D1647" t="str">
        <x:v>Énergie et communication</x:v>
      </x:c>
      <x:c r="E1647" t="str">
        <x:v>Poste électrique de quartier — Ville moyenne / service déplacé à l’arrière</x:v>
      </x:c>
      <x:c r="F1647" t="n">
        <x:v>8</x:v>
      </x:c>
      <x:c r="G1647" t="n">
        <x:v>4</x:v>
      </x:c>
      <x:c r="H1647" t="n">
        <x:v>12</x:v>
      </x:c>
      <x:c r="I1647" t="str">
        <x:v>À qualifier par lieu</x:v>
      </x:c>
      <x:c r="J1647" t="str">
        <x:v>https://github.com/darknigthmare/deadwall-last-enclosure/blob/1b3b9c5ba232734b1bda3453b4e20a0481bcdd74/codex-3000/compositions/Énergie et communication/DW-1642.md</x:v>
      </x:c>
      <x:c r="K1647" t="str">
        <x:v>Source min 24,18 m ; max 260,180 m ; modèle 25 × 18 m ; niveaux 0. Détails dans catalogue-existant.json.</x:v>
      </x:c>
    </x:row>
    <x:row r="1648">
      <x:c r="A1648" t="str">
        <x:v>DW-1643</x:v>
      </x:c>
      <x:c r="B1648" t="str">
        <x:v>DW-0322</x:v>
      </x:c>
      <x:c r="C1648" t="str">
        <x:v>Composition héritée</x:v>
      </x:c>
      <x:c r="D1648" t="str">
        <x:v>Énergie et communication</x:v>
      </x:c>
      <x:c r="E1648" t="str">
        <x:v>Sous-station industrielle — Zone industrielle / arrêt de maintenance</x:v>
      </x:c>
      <x:c r="F1648" t="n">
        <x:v>8</x:v>
      </x:c>
      <x:c r="G1648" t="n">
        <x:v>4</x:v>
      </x:c>
      <x:c r="H1648" t="n">
        <x:v>12</x:v>
      </x:c>
      <x:c r="I1648" t="str">
        <x:v>À qualifier par lieu</x:v>
      </x:c>
      <x:c r="J1648" t="str">
        <x:v>https://github.com/darknigthmare/deadwall-last-enclosure/blob/1b3b9c5ba232734b1bda3453b4e20a0481bcdd74/codex-3000/compositions/Énergie et communication/DW-1643.md</x:v>
      </x:c>
      <x:c r="K1648" t="str">
        <x:v>Source min 24,18 m ; max 260,180 m ; modèle 25 × 18 m ; niveaux 0. Détails dans catalogue-existant.json.</x:v>
      </x:c>
    </x:row>
    <x:row r="1649">
      <x:c r="A1649" t="str">
        <x:v>DW-1644</x:v>
      </x:c>
      <x:c r="B1649" t="str">
        <x:v>DW-0322</x:v>
      </x:c>
      <x:c r="C1649" t="str">
        <x:v>Composition héritée</x:v>
      </x:c>
      <x:c r="D1649" t="str">
        <x:v>Énergie et communication</x:v>
      </x:c>
      <x:c r="E1649" t="str">
        <x:v>Sous-station industrielle — Montagne et col / reprise progressive de la végétation</x:v>
      </x:c>
      <x:c r="F1649" t="n">
        <x:v>10</x:v>
      </x:c>
      <x:c r="G1649" t="n">
        <x:v>4</x:v>
      </x:c>
      <x:c r="H1649" t="n">
        <x:v>12</x:v>
      </x:c>
      <x:c r="I1649" t="str">
        <x:v>À qualifier par lieu</x:v>
      </x:c>
      <x:c r="J1649" t="str">
        <x:v>https://github.com/darknigthmare/deadwall-last-enclosure/blob/1b3b9c5ba232734b1bda3453b4e20a0481bcdd74/codex-3000/compositions/Énergie et communication/DW-1644.md</x:v>
      </x:c>
      <x:c r="K1649" t="str">
        <x:v>Source min 24,18 m ; max 260,180 m ; modèle 25 × 18 m ; niveaux 0. Détails dans catalogue-existant.json.</x:v>
      </x:c>
    </x:row>
    <x:row r="1650">
      <x:c r="A1650" t="str">
        <x:v>DW-1645</x:v>
      </x:c>
      <x:c r="B1650" t="str">
        <x:v>DW-0323</x:v>
      </x:c>
      <x:c r="C1650" t="str">
        <x:v>Composition héritée</x:v>
      </x:c>
      <x:c r="D1650" t="str">
        <x:v>Énergie et communication</x:v>
      </x:c>
      <x:c r="E1650" t="str">
        <x:v>Centrale thermique fictive — Ville moyenne / première récupération passée</x:v>
      </x:c>
      <x:c r="F1650" t="n">
        <x:v>8</x:v>
      </x:c>
      <x:c r="G1650" t="n">
        <x:v>4</x:v>
      </x:c>
      <x:c r="H1650" t="n">
        <x:v>12</x:v>
      </x:c>
      <x:c r="I1650" t="str">
        <x:v>À qualifier par lieu</x:v>
      </x:c>
      <x:c r="J1650" t="str">
        <x:v>https://github.com/darknigthmare/deadwall-last-enclosure/blob/1b3b9c5ba232734b1bda3453b4e20a0481bcdd74/codex-3000/compositions/Énergie et communication/DW-1645.md</x:v>
      </x:c>
      <x:c r="K1650" t="str">
        <x:v>Source min 24,18 m ; max 260,180 m ; modèle 25 × 18 m ; niveaux 0. Détails dans catalogue-existant.json.</x:v>
      </x:c>
    </x:row>
    <x:row r="1651">
      <x:c r="A1651" t="str">
        <x:v>DW-1646</x:v>
      </x:c>
      <x:c r="B1651" t="str">
        <x:v>DW-0323</x:v>
      </x:c>
      <x:c r="C1651" t="str">
        <x:v>Composition héritée</x:v>
      </x:c>
      <x:c r="D1651" t="str">
        <x:v>Énergie et communication</x:v>
      </x:c>
      <x:c r="E1651" t="str">
        <x:v>Centrale thermique fictive — Production et distribution électrique / relais temporaire envisagé</x:v>
      </x:c>
      <x:c r="F1651" t="n">
        <x:v>8</x:v>
      </x:c>
      <x:c r="G1651" t="n">
        <x:v>4</x:v>
      </x:c>
      <x:c r="H1651" t="n">
        <x:v>12</x:v>
      </x:c>
      <x:c r="I1651" t="str">
        <x:v>À qualifier par lieu</x:v>
      </x:c>
      <x:c r="J1651" t="str">
        <x:v>https://github.com/darknigthmare/deadwall-last-enclosure/blob/1b3b9c5ba232734b1bda3453b4e20a0481bcdd74/codex-3000/compositions/Énergie et communication/DW-1646.md</x:v>
      </x:c>
      <x:c r="K1651" t="str">
        <x:v>Source min 24,18 m ; max 260,180 m ; modèle 25 × 18 m ; niveaux 0. Détails dans catalogue-existant.json.</x:v>
      </x:c>
    </x:row>
    <x:row r="1652">
      <x:c r="A1652" t="str">
        <x:v>DW-1647</x:v>
      </x:c>
      <x:c r="B1652" t="str">
        <x:v>DW-0324</x:v>
      </x:c>
      <x:c r="C1652" t="str">
        <x:v>Composition héritée</x:v>
      </x:c>
      <x:c r="D1652" t="str">
        <x:v>Énergie et communication</x:v>
      </x:c>
      <x:c r="E1652" t="str">
        <x:v>Centrale hydroélectrique — Montagne et col / service déplacé à l’arrière</x:v>
      </x:c>
      <x:c r="F1652" t="n">
        <x:v>10</x:v>
      </x:c>
      <x:c r="G1652" t="n">
        <x:v>4</x:v>
      </x:c>
      <x:c r="H1652" t="n">
        <x:v>12</x:v>
      </x:c>
      <x:c r="I1652" t="str">
        <x:v>À qualifier par lieu</x:v>
      </x:c>
      <x:c r="J1652" t="str">
        <x:v>https://github.com/darknigthmare/deadwall-last-enclosure/blob/1b3b9c5ba232734b1bda3453b4e20a0481bcdd74/codex-3000/compositions/Énergie et communication/DW-1647.md</x:v>
      </x:c>
      <x:c r="K1652" t="str">
        <x:v>Source min 24,18 m ; max 260,180 m ; modèle 25 × 18 m ; niveaux 0. Détails dans catalogue-existant.json.</x:v>
      </x:c>
    </x:row>
    <x:row r="1653">
      <x:c r="A1653" t="str">
        <x:v>DW-1648</x:v>
      </x:c>
      <x:c r="B1653" t="str">
        <x:v>DW-0324</x:v>
      </x:c>
      <x:c r="C1653" t="str">
        <x:v>Composition héritée</x:v>
      </x:c>
      <x:c r="D1653" t="str">
        <x:v>Énergie et communication</x:v>
      </x:c>
      <x:c r="E1653" t="str">
        <x:v>Centrale hydroélectrique — Zone industrielle / réseau principal coupé</x:v>
      </x:c>
      <x:c r="F1653" t="n">
        <x:v>8</x:v>
      </x:c>
      <x:c r="G1653" t="n">
        <x:v>4</x:v>
      </x:c>
      <x:c r="H1653" t="n">
        <x:v>12</x:v>
      </x:c>
      <x:c r="I1653" t="str">
        <x:v>À qualifier par lieu</x:v>
      </x:c>
      <x:c r="J1653" t="str">
        <x:v>https://github.com/darknigthmare/deadwall-last-enclosure/blob/1b3b9c5ba232734b1bda3453b4e20a0481bcdd74/codex-3000/compositions/Énergie et communication/DW-1648.md</x:v>
      </x:c>
      <x:c r="K1653" t="str">
        <x:v>Source min 24,18 m ; max 260,180 m ; modèle 25 × 18 m ; niveaux 0. Détails dans catalogue-existant.json.</x:v>
      </x:c>
    </x:row>
    <x:row r="1654">
      <x:c r="A1654" t="str">
        <x:v>DW-1649</x:v>
      </x:c>
      <x:c r="B1654" t="str">
        <x:v>DW-0325</x:v>
      </x:c>
      <x:c r="C1654" t="str">
        <x:v>Composition héritée</x:v>
      </x:c>
      <x:c r="D1654" t="str">
        <x:v>Énergie et communication</x:v>
      </x:c>
      <x:c r="E1654" t="str">
        <x:v>Petit barrage de retenue — Production et distribution électrique / reprise progressive de la végétation</x:v>
      </x:c>
      <x:c r="F1654" t="n">
        <x:v>8</x:v>
      </x:c>
      <x:c r="G1654" t="n">
        <x:v>4</x:v>
      </x:c>
      <x:c r="H1654" t="n">
        <x:v>12</x:v>
      </x:c>
      <x:c r="I1654" t="str">
        <x:v>À qualifier par lieu</x:v>
      </x:c>
      <x:c r="J1654" t="str">
        <x:v>https://github.com/darknigthmare/deadwall-last-enclosure/blob/1b3b9c5ba232734b1bda3453b4e20a0481bcdd74/codex-3000/compositions/Énergie et communication/DW-1649.md</x:v>
      </x:c>
      <x:c r="K1654" t="str">
        <x:v>Source min 24,18 m ; max 260,180 m ; modèle 25 × 18 m ; niveaux 0. Détails dans catalogue-existant.json.</x:v>
      </x:c>
    </x:row>
    <x:row r="1655">
      <x:c r="A1655" t="str">
        <x:v>DW-1650</x:v>
      </x:c>
      <x:c r="B1655" t="str">
        <x:v>DW-0325</x:v>
      </x:c>
      <x:c r="C1655" t="str">
        <x:v>Composition héritée</x:v>
      </x:c>
      <x:c r="D1655" t="str">
        <x:v>Énergie et communication</x:v>
      </x:c>
      <x:c r="E1655" t="str">
        <x:v>Petit barrage de retenue — Ville moyenne / repli organisé interrompu</x:v>
      </x:c>
      <x:c r="F1655" t="n">
        <x:v>8</x:v>
      </x:c>
      <x:c r="G1655" t="n">
        <x:v>4</x:v>
      </x:c>
      <x:c r="H1655" t="n">
        <x:v>12</x:v>
      </x:c>
      <x:c r="I1655" t="str">
        <x:v>À qualifier par lieu</x:v>
      </x:c>
      <x:c r="J1655" t="str">
        <x:v>https://github.com/darknigthmare/deadwall-last-enclosure/blob/1b3b9c5ba232734b1bda3453b4e20a0481bcdd74/codex-3000/compositions/Énergie et communication/DW-1650.md</x:v>
      </x:c>
      <x:c r="K1655" t="str">
        <x:v>Source min 24,18 m ; max 260,180 m ; modèle 25 × 18 m ; niveaux 0. Détails dans catalogue-existant.json.</x:v>
      </x:c>
    </x:row>
    <x:row r="1656">
      <x:c r="A1656" t="str">
        <x:v>DW-1651</x:v>
      </x:c>
      <x:c r="B1656" t="str">
        <x:v>DW-0326</x:v>
      </x:c>
      <x:c r="C1656" t="str">
        <x:v>Composition héritée</x:v>
      </x:c>
      <x:c r="D1656" t="str">
        <x:v>Énergie et communication</x:v>
      </x:c>
      <x:c r="E1656" t="str">
        <x:v>Ferme solaire — Zone industrielle / relais temporaire envisagé</x:v>
      </x:c>
      <x:c r="F1656" t="n">
        <x:v>8</x:v>
      </x:c>
      <x:c r="G1656" t="n">
        <x:v>4</x:v>
      </x:c>
      <x:c r="H1656" t="n">
        <x:v>12</x:v>
      </x:c>
      <x:c r="I1656" t="str">
        <x:v>À qualifier par lieu</x:v>
      </x:c>
      <x:c r="J1656" t="str">
        <x:v>https://github.com/darknigthmare/deadwall-last-enclosure/blob/1b3b9c5ba232734b1bda3453b4e20a0481bcdd74/codex-3000/compositions/Énergie et communication/DW-1651.md</x:v>
      </x:c>
      <x:c r="K1656" t="str">
        <x:v>Source min 24,18 m ; max 260,180 m ; modèle 25 × 18 m ; niveaux 0. Détails dans catalogue-existant.json.</x:v>
      </x:c>
    </x:row>
    <x:row r="1657">
      <x:c r="A1657" t="str">
        <x:v>DW-1652</x:v>
      </x:c>
      <x:c r="B1657" t="str">
        <x:v>DW-0326</x:v>
      </x:c>
      <x:c r="C1657" t="str">
        <x:v>Composition héritée</x:v>
      </x:c>
      <x:c r="D1657" t="str">
        <x:v>Énergie et communication</x:v>
      </x:c>
      <x:c r="E1657" t="str">
        <x:v>Ferme solaire — Montagne et col / évacuation interrompue</x:v>
      </x:c>
      <x:c r="F1657" t="n">
        <x:v>10</x:v>
      </x:c>
      <x:c r="G1657" t="n">
        <x:v>4</x:v>
      </x:c>
      <x:c r="H1657" t="n">
        <x:v>12</x:v>
      </x:c>
      <x:c r="I1657" t="str">
        <x:v>À qualifier par lieu</x:v>
      </x:c>
      <x:c r="J1657" t="str">
        <x:v>https://github.com/darknigthmare/deadwall-last-enclosure/blob/1b3b9c5ba232734b1bda3453b4e20a0481bcdd74/codex-3000/compositions/Énergie et communication/DW-1652.md</x:v>
      </x:c>
      <x:c r="K1657" t="str">
        <x:v>Source min 24,18 m ; max 260,180 m ; modèle 25 × 18 m ; niveaux 0. Détails dans catalogue-existant.json.</x:v>
      </x:c>
    </x:row>
    <x:row r="1658">
      <x:c r="A1658" t="str">
        <x:v>DW-1653</x:v>
      </x:c>
      <x:c r="B1658" t="str">
        <x:v>DW-0327</x:v>
      </x:c>
      <x:c r="C1658" t="str">
        <x:v>Composition héritée</x:v>
      </x:c>
      <x:c r="D1658" t="str">
        <x:v>Énergie et communication</x:v>
      </x:c>
      <x:c r="E1658" t="str">
        <x:v>Parc éolien — Ville moyenne / réseau principal coupé</x:v>
      </x:c>
      <x:c r="F1658" t="n">
        <x:v>8</x:v>
      </x:c>
      <x:c r="G1658" t="n">
        <x:v>4</x:v>
      </x:c>
      <x:c r="H1658" t="n">
        <x:v>12</x:v>
      </x:c>
      <x:c r="I1658" t="str">
        <x:v>À qualifier par lieu</x:v>
      </x:c>
      <x:c r="J1658" t="str">
        <x:v>https://github.com/darknigthmare/deadwall-last-enclosure/blob/1b3b9c5ba232734b1bda3453b4e20a0481bcdd74/codex-3000/compositions/Énergie et communication/DW-1653.md</x:v>
      </x:c>
      <x:c r="K1658" t="str">
        <x:v>Source min 24,18 m ; max 260,180 m ; modèle 25 × 18 m ; niveaux 0. Détails dans catalogue-existant.json.</x:v>
      </x:c>
    </x:row>
    <x:row r="1659">
      <x:c r="A1659" t="str">
        <x:v>DW-1654</x:v>
      </x:c>
      <x:c r="B1659" t="str">
        <x:v>DW-0327</x:v>
      </x:c>
      <x:c r="C1659" t="str">
        <x:v>Composition héritée</x:v>
      </x:c>
      <x:c r="D1659" t="str">
        <x:v>Énergie et communication</x:v>
      </x:c>
      <x:c r="E1659" t="str">
        <x:v>Parc éolien — Production et distribution électrique / arrêt de maintenance</x:v>
      </x:c>
      <x:c r="F1659" t="n">
        <x:v>8</x:v>
      </x:c>
      <x:c r="G1659" t="n">
        <x:v>4</x:v>
      </x:c>
      <x:c r="H1659" t="n">
        <x:v>12</x:v>
      </x:c>
      <x:c r="I1659" t="str">
        <x:v>À qualifier par lieu</x:v>
      </x:c>
      <x:c r="J1659" t="str">
        <x:v>https://github.com/darknigthmare/deadwall-last-enclosure/blob/1b3b9c5ba232734b1bda3453b4e20a0481bcdd74/codex-3000/compositions/Énergie et communication/DW-1654.md</x:v>
      </x:c>
      <x:c r="K1659" t="str">
        <x:v>Source min 24,18 m ; max 260,180 m ; modèle 25 × 18 m ; niveaux 0. Détails dans catalogue-existant.json.</x:v>
      </x:c>
    </x:row>
    <x:row r="1660">
      <x:c r="A1660" t="str">
        <x:v>DW-1655</x:v>
      </x:c>
      <x:c r="B1660" t="str">
        <x:v>DW-0328</x:v>
      </x:c>
      <x:c r="C1660" t="str">
        <x:v>Composition héritée</x:v>
      </x:c>
      <x:c r="D1660" t="str">
        <x:v>Énergie et communication</x:v>
      </x:c>
      <x:c r="E1660" t="str">
        <x:v>Chaufferie urbaine — Montagne et col / repli organisé interrompu</x:v>
      </x:c>
      <x:c r="F1660" t="n">
        <x:v>10</x:v>
      </x:c>
      <x:c r="G1660" t="n">
        <x:v>4</x:v>
      </x:c>
      <x:c r="H1660" t="n">
        <x:v>12</x:v>
      </x:c>
      <x:c r="I1660" t="str">
        <x:v>À qualifier par lieu</x:v>
      </x:c>
      <x:c r="J1660" t="str">
        <x:v>https://github.com/darknigthmare/deadwall-last-enclosure/blob/1b3b9c5ba232734b1bda3453b4e20a0481bcdd74/codex-3000/compositions/Énergie et communication/DW-1655.md</x:v>
      </x:c>
      <x:c r="K1660" t="str">
        <x:v>Source min 24,18 m ; max 260,180 m ; modèle 25 × 18 m ; niveaux 0. Détails dans catalogue-existant.json.</x:v>
      </x:c>
    </x:row>
    <x:row r="1661">
      <x:c r="A1661" t="str">
        <x:v>DW-1656</x:v>
      </x:c>
      <x:c r="B1661" t="str">
        <x:v>DW-0328</x:v>
      </x:c>
      <x:c r="C1661" t="str">
        <x:v>Composition héritée</x:v>
      </x:c>
      <x:c r="D1661" t="str">
        <x:v>Énergie et communication</x:v>
      </x:c>
      <x:c r="E1661" t="str">
        <x:v>Chaufferie urbaine — Zone industrielle / première récupération passée</x:v>
      </x:c>
      <x:c r="F1661" t="n">
        <x:v>8</x:v>
      </x:c>
      <x:c r="G1661" t="n">
        <x:v>4</x:v>
      </x:c>
      <x:c r="H1661" t="n">
        <x:v>12</x:v>
      </x:c>
      <x:c r="I1661" t="str">
        <x:v>À qualifier par lieu</x:v>
      </x:c>
      <x:c r="J1661" t="str">
        <x:v>https://github.com/darknigthmare/deadwall-last-enclosure/blob/1b3b9c5ba232734b1bda3453b4e20a0481bcdd74/codex-3000/compositions/Énergie et communication/DW-1656.md</x:v>
      </x:c>
      <x:c r="K1661" t="str">
        <x:v>Source min 24,18 m ; max 260,180 m ; modèle 25 × 18 m ; niveaux 0. Détails dans catalogue-existant.json.</x:v>
      </x:c>
    </x:row>
    <x:row r="1662">
      <x:c r="A1662" t="str">
        <x:v>DW-1657</x:v>
      </x:c>
      <x:c r="B1662" t="str">
        <x:v>DW-0329</x:v>
      </x:c>
      <x:c r="C1662" t="str">
        <x:v>Composition héritée</x:v>
      </x:c>
      <x:c r="D1662" t="str">
        <x:v>Énergie et communication</x:v>
      </x:c>
      <x:c r="E1662" t="str">
        <x:v>Chaufferie biomasse — Production et distribution électrique / évacuation interrompue</x:v>
      </x:c>
      <x:c r="F1662" t="n">
        <x:v>8</x:v>
      </x:c>
      <x:c r="G1662" t="n">
        <x:v>4</x:v>
      </x:c>
      <x:c r="H1662" t="n">
        <x:v>12</x:v>
      </x:c>
      <x:c r="I1662" t="str">
        <x:v>À qualifier par lieu</x:v>
      </x:c>
      <x:c r="J1662" t="str">
        <x:v>https://github.com/darknigthmare/deadwall-last-enclosure/blob/1b3b9c5ba232734b1bda3453b4e20a0481bcdd74/codex-3000/compositions/Énergie et communication/DW-1657.md</x:v>
      </x:c>
      <x:c r="K1662" t="str">
        <x:v>Source min 24,18 m ; max 260,180 m ; modèle 25 × 18 m ; niveaux 0. Détails dans catalogue-existant.json.</x:v>
      </x:c>
    </x:row>
    <x:row r="1663">
      <x:c r="A1663" t="str">
        <x:v>DW-1658</x:v>
      </x:c>
      <x:c r="B1663" t="str">
        <x:v>DW-0329</x:v>
      </x:c>
      <x:c r="C1663" t="str">
        <x:v>Composition héritée</x:v>
      </x:c>
      <x:c r="D1663" t="str">
        <x:v>Énergie et communication</x:v>
      </x:c>
      <x:c r="E1663" t="str">
        <x:v>Chaufferie biomasse — Ville moyenne / service déplacé à l’arrière</x:v>
      </x:c>
      <x:c r="F1663" t="n">
        <x:v>8</x:v>
      </x:c>
      <x:c r="G1663" t="n">
        <x:v>4</x:v>
      </x:c>
      <x:c r="H1663" t="n">
        <x:v>12</x:v>
      </x:c>
      <x:c r="I1663" t="str">
        <x:v>À qualifier par lieu</x:v>
      </x:c>
      <x:c r="J1663" t="str">
        <x:v>https://github.com/darknigthmare/deadwall-last-enclosure/blob/1b3b9c5ba232734b1bda3453b4e20a0481bcdd74/codex-3000/compositions/Énergie et communication/DW-1658.md</x:v>
      </x:c>
      <x:c r="K1663" t="str">
        <x:v>Source min 24,18 m ; max 260,180 m ; modèle 25 × 18 m ; niveaux 0. Détails dans catalogue-existant.json.</x:v>
      </x:c>
    </x:row>
    <x:row r="1664">
      <x:c r="A1664" t="str">
        <x:v>DW-1659</x:v>
      </x:c>
      <x:c r="B1664" t="str">
        <x:v>DW-0330</x:v>
      </x:c>
      <x:c r="C1664" t="str">
        <x:v>Composition héritée</x:v>
      </x:c>
      <x:c r="D1664" t="str">
        <x:v>Énergie et communication</x:v>
      </x:c>
      <x:c r="E1664" t="str">
        <x:v>Station de cogénération — Zone industrielle / arrêt de maintenance</x:v>
      </x:c>
      <x:c r="F1664" t="n">
        <x:v>8</x:v>
      </x:c>
      <x:c r="G1664" t="n">
        <x:v>4</x:v>
      </x:c>
      <x:c r="H1664" t="n">
        <x:v>12</x:v>
      </x:c>
      <x:c r="I1664" t="str">
        <x:v>À qualifier par lieu</x:v>
      </x:c>
      <x:c r="J1664" t="str">
        <x:v>https://github.com/darknigthmare/deadwall-last-enclosure/blob/1b3b9c5ba232734b1bda3453b4e20a0481bcdd74/codex-3000/compositions/Énergie et communication/DW-1659.md</x:v>
      </x:c>
      <x:c r="K1664" t="str">
        <x:v>Source min 24,18 m ; max 260,180 m ; modèle 25 × 18 m ; niveaux 0. Détails dans catalogue-existant.json.</x:v>
      </x:c>
    </x:row>
    <x:row r="1665">
      <x:c r="A1665" t="str">
        <x:v>DW-1660</x:v>
      </x:c>
      <x:c r="B1665" t="str">
        <x:v>DW-0330</x:v>
      </x:c>
      <x:c r="C1665" t="str">
        <x:v>Composition héritée</x:v>
      </x:c>
      <x:c r="D1665" t="str">
        <x:v>Énergie et communication</x:v>
      </x:c>
      <x:c r="E1665" t="str">
        <x:v>Station de cogénération — Montagne et col / reprise progressive de la végétation</x:v>
      </x:c>
      <x:c r="F1665" t="n">
        <x:v>10</x:v>
      </x:c>
      <x:c r="G1665" t="n">
        <x:v>4</x:v>
      </x:c>
      <x:c r="H1665" t="n">
        <x:v>12</x:v>
      </x:c>
      <x:c r="I1665" t="str">
        <x:v>À qualifier par lieu</x:v>
      </x:c>
      <x:c r="J1665" t="str">
        <x:v>https://github.com/darknigthmare/deadwall-last-enclosure/blob/1b3b9c5ba232734b1bda3453b4e20a0481bcdd74/codex-3000/compositions/Énergie et communication/DW-1660.md</x:v>
      </x:c>
      <x:c r="K1665" t="str">
        <x:v>Source min 24,18 m ; max 260,180 m ; modèle 25 × 18 m ; niveaux 0. Détails dans catalogue-existant.json.</x:v>
      </x:c>
    </x:row>
    <x:row r="1666">
      <x:c r="A1666" t="str">
        <x:v>DW-1661</x:v>
      </x:c>
      <x:c r="B1666" t="str">
        <x:v>DW-0331</x:v>
      </x:c>
      <x:c r="C1666" t="str">
        <x:v>Composition héritée</x:v>
      </x:c>
      <x:c r="D1666" t="str">
        <x:v>Énergie et communication</x:v>
      </x:c>
      <x:c r="E1666" t="str">
        <x:v>Local groupe électrogène — Ville moyenne / première récupération passée</x:v>
      </x:c>
      <x:c r="F1666" t="n">
        <x:v>8</x:v>
      </x:c>
      <x:c r="G1666" t="n">
        <x:v>4</x:v>
      </x:c>
      <x:c r="H1666" t="n">
        <x:v>12</x:v>
      </x:c>
      <x:c r="I1666" t="str">
        <x:v>À qualifier par lieu</x:v>
      </x:c>
      <x:c r="J1666" t="str">
        <x:v>https://github.com/darknigthmare/deadwall-last-enclosure/blob/1b3b9c5ba232734b1bda3453b4e20a0481bcdd74/codex-3000/compositions/Énergie et communication/DW-1661.md</x:v>
      </x:c>
      <x:c r="K1666" t="str">
        <x:v>Source min 24,18 m ; max 260,180 m ; modèle 25 × 18 m ; niveaux 0. Détails dans catalogue-existant.json.</x:v>
      </x:c>
    </x:row>
    <x:row r="1667">
      <x:c r="A1667" t="str">
        <x:v>DW-1662</x:v>
      </x:c>
      <x:c r="B1667" t="str">
        <x:v>DW-0331</x:v>
      </x:c>
      <x:c r="C1667" t="str">
        <x:v>Composition héritée</x:v>
      </x:c>
      <x:c r="D1667" t="str">
        <x:v>Énergie et communication</x:v>
      </x:c>
      <x:c r="E1667" t="str">
        <x:v>Local groupe électrogène — Production et distribution électrique / relais temporaire envisagé</x:v>
      </x:c>
      <x:c r="F1667" t="n">
        <x:v>8</x:v>
      </x:c>
      <x:c r="G1667" t="n">
        <x:v>4</x:v>
      </x:c>
      <x:c r="H1667" t="n">
        <x:v>12</x:v>
      </x:c>
      <x:c r="I1667" t="str">
        <x:v>À qualifier par lieu</x:v>
      </x:c>
      <x:c r="J1667" t="str">
        <x:v>https://github.com/darknigthmare/deadwall-last-enclosure/blob/1b3b9c5ba232734b1bda3453b4e20a0481bcdd74/codex-3000/compositions/Énergie et communication/DW-1662.md</x:v>
      </x:c>
      <x:c r="K1667" t="str">
        <x:v>Source min 24,18 m ; max 260,180 m ; modèle 25 × 18 m ; niveaux 0. Détails dans catalogue-existant.json.</x:v>
      </x:c>
    </x:row>
    <x:row r="1668">
      <x:c r="A1668" t="str">
        <x:v>DW-1663</x:v>
      </x:c>
      <x:c r="B1668" t="str">
        <x:v>DW-0332</x:v>
      </x:c>
      <x:c r="C1668" t="str">
        <x:v>Composition héritée</x:v>
      </x:c>
      <x:c r="D1668" t="str">
        <x:v>Énergie et communication</x:v>
      </x:c>
      <x:c r="E1668" t="str">
        <x:v>Réserve civile de batteries — Montagne et col / service déplacé à l’arrière</x:v>
      </x:c>
      <x:c r="F1668" t="n">
        <x:v>10</x:v>
      </x:c>
      <x:c r="G1668" t="n">
        <x:v>4</x:v>
      </x:c>
      <x:c r="H1668" t="n">
        <x:v>12</x:v>
      </x:c>
      <x:c r="I1668" t="str">
        <x:v>À qualifier par lieu</x:v>
      </x:c>
      <x:c r="J1668" t="str">
        <x:v>https://github.com/darknigthmare/deadwall-last-enclosure/blob/1b3b9c5ba232734b1bda3453b4e20a0481bcdd74/codex-3000/compositions/Énergie et communication/DW-1663.md</x:v>
      </x:c>
      <x:c r="K1668" t="str">
        <x:v>Source min 24,18 m ; max 260,180 m ; modèle 25 × 18 m ; niveaux 0. Détails dans catalogue-existant.json.</x:v>
      </x:c>
    </x:row>
    <x:row r="1669">
      <x:c r="A1669" t="str">
        <x:v>DW-1664</x:v>
      </x:c>
      <x:c r="B1669" t="str">
        <x:v>DW-0332</x:v>
      </x:c>
      <x:c r="C1669" t="str">
        <x:v>Composition héritée</x:v>
      </x:c>
      <x:c r="D1669" t="str">
        <x:v>Énergie et communication</x:v>
      </x:c>
      <x:c r="E1669" t="str">
        <x:v>Réserve civile de batteries — Zone industrielle / réseau principal coupé</x:v>
      </x:c>
      <x:c r="F1669" t="n">
        <x:v>8</x:v>
      </x:c>
      <x:c r="G1669" t="n">
        <x:v>4</x:v>
      </x:c>
      <x:c r="H1669" t="n">
        <x:v>12</x:v>
      </x:c>
      <x:c r="I1669" t="str">
        <x:v>À qualifier par lieu</x:v>
      </x:c>
      <x:c r="J1669" t="str">
        <x:v>https://github.com/darknigthmare/deadwall-last-enclosure/blob/1b3b9c5ba232734b1bda3453b4e20a0481bcdd74/codex-3000/compositions/Énergie et communication/DW-1664.md</x:v>
      </x:c>
      <x:c r="K1669" t="str">
        <x:v>Source min 24,18 m ; max 260,180 m ; modèle 25 × 18 m ; niveaux 0. Détails dans catalogue-existant.json.</x:v>
      </x:c>
    </x:row>
    <x:row r="1670">
      <x:c r="A1670" t="str">
        <x:v>DW-1665</x:v>
      </x:c>
      <x:c r="B1670" t="str">
        <x:v>DW-0333</x:v>
      </x:c>
      <x:c r="C1670" t="str">
        <x:v>Composition héritée</x:v>
      </x:c>
      <x:c r="D1670" t="str">
        <x:v>Énergie et communication</x:v>
      </x:c>
      <x:c r="E1670" t="str">
        <x:v>Tour de télécommunication — Production et distribution électrique / reprise progressive de la végétation</x:v>
      </x:c>
      <x:c r="F1670" t="n">
        <x:v>8</x:v>
      </x:c>
      <x:c r="G1670" t="n">
        <x:v>3</x:v>
      </x:c>
      <x:c r="H1670" t="n">
        <x:v>9</x:v>
      </x:c>
      <x:c r="I1670" t="str">
        <x:v>À qualifier par lieu</x:v>
      </x:c>
      <x:c r="J1670" t="str">
        <x:v>https://github.com/darknigthmare/deadwall-last-enclosure/blob/1b3b9c5ba232734b1bda3453b4e20a0481bcdd74/codex-3000/compositions/Énergie et communication/DW-1665.md</x:v>
      </x:c>
      <x:c r="K1670" t="str">
        <x:v>Source min 24,18 m ; max 260,180 m ; modèle 24 × 18 m ; niveaux 0. Détails dans catalogue-existant.json.</x:v>
      </x:c>
    </x:row>
    <x:row r="1671">
      <x:c r="A1671" t="str">
        <x:v>DW-1666</x:v>
      </x:c>
      <x:c r="B1671" t="str">
        <x:v>DW-0333</x:v>
      </x:c>
      <x:c r="C1671" t="str">
        <x:v>Composition héritée</x:v>
      </x:c>
      <x:c r="D1671" t="str">
        <x:v>Énergie et communication</x:v>
      </x:c>
      <x:c r="E1671" t="str">
        <x:v>Tour de télécommunication — Ville moyenne / repli organisé interrompu</x:v>
      </x:c>
      <x:c r="F1671" t="n">
        <x:v>8</x:v>
      </x:c>
      <x:c r="G1671" t="n">
        <x:v>3</x:v>
      </x:c>
      <x:c r="H1671" t="n">
        <x:v>9</x:v>
      </x:c>
      <x:c r="I1671" t="str">
        <x:v>À qualifier par lieu</x:v>
      </x:c>
      <x:c r="J1671" t="str">
        <x:v>https://github.com/darknigthmare/deadwall-last-enclosure/blob/1b3b9c5ba232734b1bda3453b4e20a0481bcdd74/codex-3000/compositions/Énergie et communication/DW-1666.md</x:v>
      </x:c>
      <x:c r="K1671" t="str">
        <x:v>Source min 24,18 m ; max 260,180 m ; modèle 24 × 18 m ; niveaux 0. Détails dans catalogue-existant.json.</x:v>
      </x:c>
    </x:row>
    <x:row r="1672">
      <x:c r="A1672" t="str">
        <x:v>DW-1667</x:v>
      </x:c>
      <x:c r="B1672" t="str">
        <x:v>DW-0334</x:v>
      </x:c>
      <x:c r="C1672" t="str">
        <x:v>Composition héritée</x:v>
      </x:c>
      <x:c r="D1672" t="str">
        <x:v>Énergie et communication</x:v>
      </x:c>
      <x:c r="E1672" t="str">
        <x:v>Relais radio rural — Zone industrielle / relais temporaire envisagé</x:v>
      </x:c>
      <x:c r="F1672" t="n">
        <x:v>8</x:v>
      </x:c>
      <x:c r="G1672" t="n">
        <x:v>4</x:v>
      </x:c>
      <x:c r="H1672" t="n">
        <x:v>12</x:v>
      </x:c>
      <x:c r="I1672" t="str">
        <x:v>À qualifier par lieu</x:v>
      </x:c>
      <x:c r="J1672" t="str">
        <x:v>https://github.com/darknigthmare/deadwall-last-enclosure/blob/1b3b9c5ba232734b1bda3453b4e20a0481bcdd74/codex-3000/compositions/Énergie et communication/DW-1667.md</x:v>
      </x:c>
      <x:c r="K1672" t="str">
        <x:v>Source min 24,18 m ; max 260,180 m ; modèle 25 × 18 m ; niveaux 0. Détails dans catalogue-existant.json.</x:v>
      </x:c>
    </x:row>
    <x:row r="1673">
      <x:c r="A1673" t="str">
        <x:v>DW-1668</x:v>
      </x:c>
      <x:c r="B1673" t="str">
        <x:v>DW-0334</x:v>
      </x:c>
      <x:c r="C1673" t="str">
        <x:v>Composition héritée</x:v>
      </x:c>
      <x:c r="D1673" t="str">
        <x:v>Énergie et communication</x:v>
      </x:c>
      <x:c r="E1673" t="str">
        <x:v>Relais radio rural — Montagne et col / évacuation interrompue</x:v>
      </x:c>
      <x:c r="F1673" t="n">
        <x:v>10</x:v>
      </x:c>
      <x:c r="G1673" t="n">
        <x:v>4</x:v>
      </x:c>
      <x:c r="H1673" t="n">
        <x:v>12</x:v>
      </x:c>
      <x:c r="I1673" t="str">
        <x:v>À qualifier par lieu</x:v>
      </x:c>
      <x:c r="J1673" t="str">
        <x:v>https://github.com/darknigthmare/deadwall-last-enclosure/blob/1b3b9c5ba232734b1bda3453b4e20a0481bcdd74/codex-3000/compositions/Énergie et communication/DW-1668.md</x:v>
      </x:c>
      <x:c r="K1673" t="str">
        <x:v>Source min 24,18 m ; max 260,180 m ; modèle 25 × 18 m ; niveaux 0. Détails dans catalogue-existant.json.</x:v>
      </x:c>
    </x:row>
    <x:row r="1674">
      <x:c r="A1674" t="str">
        <x:v>DW-1669</x:v>
      </x:c>
      <x:c r="B1674" t="str">
        <x:v>DW-0335</x:v>
      </x:c>
      <x:c r="C1674" t="str">
        <x:v>Composition héritée</x:v>
      </x:c>
      <x:c r="D1674" t="str">
        <x:v>Énergie et communication</x:v>
      </x:c>
      <x:c r="E1674" t="str">
        <x:v>Central téléphonique — Ville moyenne / réseau principal coupé</x:v>
      </x:c>
      <x:c r="F1674" t="n">
        <x:v>8</x:v>
      </x:c>
      <x:c r="G1674" t="n">
        <x:v>4</x:v>
      </x:c>
      <x:c r="H1674" t="n">
        <x:v>12</x:v>
      </x:c>
      <x:c r="I1674" t="str">
        <x:v>À qualifier par lieu</x:v>
      </x:c>
      <x:c r="J1674" t="str">
        <x:v>https://github.com/darknigthmare/deadwall-last-enclosure/blob/1b3b9c5ba232734b1bda3453b4e20a0481bcdd74/codex-3000/compositions/Énergie et communication/DW-1669.md</x:v>
      </x:c>
      <x:c r="K1674" t="str">
        <x:v>Source min 24,18 m ; max 260,180 m ; modèle 25 × 18 m ; niveaux 0. Détails dans catalogue-existant.json.</x:v>
      </x:c>
    </x:row>
    <x:row r="1675">
      <x:c r="A1675" t="str">
        <x:v>DW-1670</x:v>
      </x:c>
      <x:c r="B1675" t="str">
        <x:v>DW-0335</x:v>
      </x:c>
      <x:c r="C1675" t="str">
        <x:v>Composition héritée</x:v>
      </x:c>
      <x:c r="D1675" t="str">
        <x:v>Énergie et communication</x:v>
      </x:c>
      <x:c r="E1675" t="str">
        <x:v>Central téléphonique — Production et distribution électrique / arrêt de maintenance</x:v>
      </x:c>
      <x:c r="F1675" t="n">
        <x:v>8</x:v>
      </x:c>
      <x:c r="G1675" t="n">
        <x:v>4</x:v>
      </x:c>
      <x:c r="H1675" t="n">
        <x:v>12</x:v>
      </x:c>
      <x:c r="I1675" t="str">
        <x:v>À qualifier par lieu</x:v>
      </x:c>
      <x:c r="J1675" t="str">
        <x:v>https://github.com/darknigthmare/deadwall-last-enclosure/blob/1b3b9c5ba232734b1bda3453b4e20a0481bcdd74/codex-3000/compositions/Énergie et communication/DW-1670.md</x:v>
      </x:c>
      <x:c r="K1675" t="str">
        <x:v>Source min 24,18 m ; max 260,180 m ; modèle 25 × 18 m ; niveaux 0. Détails dans catalogue-existant.json.</x:v>
      </x:c>
    </x:row>
    <x:row r="1676">
      <x:c r="A1676" t="str">
        <x:v>DW-1671</x:v>
      </x:c>
      <x:c r="B1676" t="str">
        <x:v>DW-0336</x:v>
      </x:c>
      <x:c r="C1676" t="str">
        <x:v>Composition héritée</x:v>
      </x:c>
      <x:c r="D1676" t="str">
        <x:v>Énergie et communication</x:v>
      </x:c>
      <x:c r="E1676" t="str">
        <x:v>Centre de données — Montagne et col / repli organisé interrompu</x:v>
      </x:c>
      <x:c r="F1676" t="n">
        <x:v>10</x:v>
      </x:c>
      <x:c r="G1676" t="n">
        <x:v>4</x:v>
      </x:c>
      <x:c r="H1676" t="n">
        <x:v>12</x:v>
      </x:c>
      <x:c r="I1676" t="str">
        <x:v>À qualifier par lieu</x:v>
      </x:c>
      <x:c r="J1676" t="str">
        <x:v>https://github.com/darknigthmare/deadwall-last-enclosure/blob/1b3b9c5ba232734b1bda3453b4e20a0481bcdd74/codex-3000/compositions/Énergie et communication/DW-1671.md</x:v>
      </x:c>
      <x:c r="K1676" t="str">
        <x:v>Source min 24,18 m ; max 260,180 m ; modèle 25 × 18 m ; niveaux 0. Détails dans catalogue-existant.json.</x:v>
      </x:c>
    </x:row>
    <x:row r="1677">
      <x:c r="A1677" t="str">
        <x:v>DW-1672</x:v>
      </x:c>
      <x:c r="B1677" t="str">
        <x:v>DW-0336</x:v>
      </x:c>
      <x:c r="C1677" t="str">
        <x:v>Composition héritée</x:v>
      </x:c>
      <x:c r="D1677" t="str">
        <x:v>Énergie et communication</x:v>
      </x:c>
      <x:c r="E1677" t="str">
        <x:v>Centre de données — Zone industrielle / première récupération passée</x:v>
      </x:c>
      <x:c r="F1677" t="n">
        <x:v>8</x:v>
      </x:c>
      <x:c r="G1677" t="n">
        <x:v>4</x:v>
      </x:c>
      <x:c r="H1677" t="n">
        <x:v>12</x:v>
      </x:c>
      <x:c r="I1677" t="str">
        <x:v>À qualifier par lieu</x:v>
      </x:c>
      <x:c r="J1677" t="str">
        <x:v>https://github.com/darknigthmare/deadwall-last-enclosure/blob/1b3b9c5ba232734b1bda3453b4e20a0481bcdd74/codex-3000/compositions/Énergie et communication/DW-1672.md</x:v>
      </x:c>
      <x:c r="K1677" t="str">
        <x:v>Source min 24,18 m ; max 260,180 m ; modèle 25 × 18 m ; niveaux 0. Détails dans catalogue-existant.json.</x:v>
      </x:c>
    </x:row>
    <x:row r="1678">
      <x:c r="A1678" t="str">
        <x:v>DW-1673</x:v>
      </x:c>
      <x:c r="B1678" t="str">
        <x:v>DW-0337</x:v>
      </x:c>
      <x:c r="C1678" t="str">
        <x:v>Composition héritée</x:v>
      </x:c>
      <x:c r="D1678" t="str">
        <x:v>Énergie et communication</x:v>
      </x:c>
      <x:c r="E1678" t="str">
        <x:v>Station satellite fictive — Production et distribution électrique / évacuation interrompue</x:v>
      </x:c>
      <x:c r="F1678" t="n">
        <x:v>8</x:v>
      </x:c>
      <x:c r="G1678" t="n">
        <x:v>4</x:v>
      </x:c>
      <x:c r="H1678" t="n">
        <x:v>12</x:v>
      </x:c>
      <x:c r="I1678" t="str">
        <x:v>À qualifier par lieu</x:v>
      </x:c>
      <x:c r="J1678" t="str">
        <x:v>https://github.com/darknigthmare/deadwall-last-enclosure/blob/1b3b9c5ba232734b1bda3453b4e20a0481bcdd74/codex-3000/compositions/Énergie et communication/DW-1673.md</x:v>
      </x:c>
      <x:c r="K1678" t="str">
        <x:v>Source min 24,18 m ; max 260,180 m ; modèle 25 × 18 m ; niveaux 0. Détails dans catalogue-existant.json.</x:v>
      </x:c>
    </x:row>
    <x:row r="1679">
      <x:c r="A1679" t="str">
        <x:v>DW-1674</x:v>
      </x:c>
      <x:c r="B1679" t="str">
        <x:v>DW-0337</x:v>
      </x:c>
      <x:c r="C1679" t="str">
        <x:v>Composition héritée</x:v>
      </x:c>
      <x:c r="D1679" t="str">
        <x:v>Énergie et communication</x:v>
      </x:c>
      <x:c r="E1679" t="str">
        <x:v>Station satellite fictive — Ville moyenne / service déplacé à l’arrière</x:v>
      </x:c>
      <x:c r="F1679" t="n">
        <x:v>8</x:v>
      </x:c>
      <x:c r="G1679" t="n">
        <x:v>4</x:v>
      </x:c>
      <x:c r="H1679" t="n">
        <x:v>12</x:v>
      </x:c>
      <x:c r="I1679" t="str">
        <x:v>À qualifier par lieu</x:v>
      </x:c>
      <x:c r="J1679" t="str">
        <x:v>https://github.com/darknigthmare/deadwall-last-enclosure/blob/1b3b9c5ba232734b1bda3453b4e20a0481bcdd74/codex-3000/compositions/Énergie et communication/DW-1674.md</x:v>
      </x:c>
      <x:c r="K1679" t="str">
        <x:v>Source min 24,18 m ; max 260,180 m ; modèle 25 × 18 m ; niveaux 0. Détails dans catalogue-existant.json.</x:v>
      </x:c>
    </x:row>
    <x:row r="1680">
      <x:c r="A1680" t="str">
        <x:v>DW-1675</x:v>
      </x:c>
      <x:c r="B1680" t="str">
        <x:v>DW-0338</x:v>
      </x:c>
      <x:c r="C1680" t="str">
        <x:v>Composition héritée</x:v>
      </x:c>
      <x:c r="D1680" t="str">
        <x:v>Énergie et communication</x:v>
      </x:c>
      <x:c r="E1680" t="str">
        <x:v>Dépôt technique d'éclairage — Zone industrielle / arrêt de maintenance</x:v>
      </x:c>
      <x:c r="F1680" t="n">
        <x:v>8</x:v>
      </x:c>
      <x:c r="G1680" t="n">
        <x:v>4</x:v>
      </x:c>
      <x:c r="H1680" t="n">
        <x:v>12</x:v>
      </x:c>
      <x:c r="I1680" t="str">
        <x:v>À qualifier par lieu</x:v>
      </x:c>
      <x:c r="J1680" t="str">
        <x:v>https://github.com/darknigthmare/deadwall-last-enclosure/blob/1b3b9c5ba232734b1bda3453b4e20a0481bcdd74/codex-3000/compositions/Énergie et communication/DW-1675.md</x:v>
      </x:c>
      <x:c r="K1680" t="str">
        <x:v>Source min 24,18 m ; max 260,180 m ; modèle 25 × 18 m ; niveaux 0. Détails dans catalogue-existant.json.</x:v>
      </x:c>
    </x:row>
    <x:row r="1681">
      <x:c r="A1681" t="str">
        <x:v>DW-1676</x:v>
      </x:c>
      <x:c r="B1681" t="str">
        <x:v>DW-0338</x:v>
      </x:c>
      <x:c r="C1681" t="str">
        <x:v>Composition héritée</x:v>
      </x:c>
      <x:c r="D1681" t="str">
        <x:v>Énergie et communication</x:v>
      </x:c>
      <x:c r="E1681" t="str">
        <x:v>Dépôt technique d'éclairage — Montagne et col / reprise progressive de la végétation</x:v>
      </x:c>
      <x:c r="F1681" t="n">
        <x:v>10</x:v>
      </x:c>
      <x:c r="G1681" t="n">
        <x:v>4</x:v>
      </x:c>
      <x:c r="H1681" t="n">
        <x:v>12</x:v>
      </x:c>
      <x:c r="I1681" t="str">
        <x:v>À qualifier par lieu</x:v>
      </x:c>
      <x:c r="J1681" t="str">
        <x:v>https://github.com/darknigthmare/deadwall-last-enclosure/blob/1b3b9c5ba232734b1bda3453b4e20a0481bcdd74/codex-3000/compositions/Énergie et communication/DW-1676.md</x:v>
      </x:c>
      <x:c r="K1681" t="str">
        <x:v>Source min 24,18 m ; max 260,180 m ; modèle 25 × 18 m ; niveaux 0. Détails dans catalogue-existant.json.</x:v>
      </x:c>
    </x:row>
    <x:row r="1682">
      <x:c r="A1682" t="str">
        <x:v>DW-1677</x:v>
      </x:c>
      <x:c r="B1682" t="str">
        <x:v>DW-0339</x:v>
      </x:c>
      <x:c r="C1682" t="str">
        <x:v>Composition héritée</x:v>
      </x:c>
      <x:c r="D1682" t="str">
        <x:v>Énergie et communication</x:v>
      </x:c>
      <x:c r="E1682" t="str">
        <x:v>Usine à gaz désaffectée — Ville moyenne / première récupération passée</x:v>
      </x:c>
      <x:c r="F1682" t="n">
        <x:v>8</x:v>
      </x:c>
      <x:c r="G1682" t="n">
        <x:v>4</x:v>
      </x:c>
      <x:c r="H1682" t="n">
        <x:v>12</x:v>
      </x:c>
      <x:c r="I1682" t="str">
        <x:v>À qualifier par lieu</x:v>
      </x:c>
      <x:c r="J1682" t="str">
        <x:v>https://github.com/darknigthmare/deadwall-last-enclosure/blob/1b3b9c5ba232734b1bda3453b4e20a0481bcdd74/codex-3000/compositions/Énergie et communication/DW-1677.md</x:v>
      </x:c>
      <x:c r="K1682" t="str">
        <x:v>Source min 24,18 m ; max 260,180 m ; modèle 25 × 18 m ; niveaux 0. Détails dans catalogue-existant.json.</x:v>
      </x:c>
    </x:row>
    <x:row r="1683">
      <x:c r="A1683" t="str">
        <x:v>DW-1678</x:v>
      </x:c>
      <x:c r="B1683" t="str">
        <x:v>DW-0339</x:v>
      </x:c>
      <x:c r="C1683" t="str">
        <x:v>Composition héritée</x:v>
      </x:c>
      <x:c r="D1683" t="str">
        <x:v>Énergie et communication</x:v>
      </x:c>
      <x:c r="E1683" t="str">
        <x:v>Usine à gaz désaffectée — Production et distribution électrique / relais temporaire envisagé</x:v>
      </x:c>
      <x:c r="F1683" t="n">
        <x:v>8</x:v>
      </x:c>
      <x:c r="G1683" t="n">
        <x:v>4</x:v>
      </x:c>
      <x:c r="H1683" t="n">
        <x:v>12</x:v>
      </x:c>
      <x:c r="I1683" t="str">
        <x:v>À qualifier par lieu</x:v>
      </x:c>
      <x:c r="J1683" t="str">
        <x:v>https://github.com/darknigthmare/deadwall-last-enclosure/blob/1b3b9c5ba232734b1bda3453b4e20a0481bcdd74/codex-3000/compositions/Énergie et communication/DW-1678.md</x:v>
      </x:c>
      <x:c r="K1683" t="str">
        <x:v>Source min 24,18 m ; max 260,180 m ; modèle 25 × 18 m ; niveaux 0. Détails dans catalogue-existant.json.</x:v>
      </x:c>
    </x:row>
    <x:row r="1684">
      <x:c r="A1684" t="str">
        <x:v>DW-1679</x:v>
      </x:c>
      <x:c r="B1684" t="str">
        <x:v>DW-0340</x:v>
      </x:c>
      <x:c r="C1684" t="str">
        <x:v>Composition héritée</x:v>
      </x:c>
      <x:c r="D1684" t="str">
        <x:v>Énergie et communication</x:v>
      </x:c>
      <x:c r="E1684" t="str">
        <x:v>Station de recharge routière — Montagne et col / service déplacé à l’arrière</x:v>
      </x:c>
      <x:c r="F1684" t="n">
        <x:v>10</x:v>
      </x:c>
      <x:c r="G1684" t="n">
        <x:v>4</x:v>
      </x:c>
      <x:c r="H1684" t="n">
        <x:v>12</x:v>
      </x:c>
      <x:c r="I1684" t="str">
        <x:v>À qualifier par lieu</x:v>
      </x:c>
      <x:c r="J1684" t="str">
        <x:v>https://github.com/darknigthmare/deadwall-last-enclosure/blob/1b3b9c5ba232734b1bda3453b4e20a0481bcdd74/codex-3000/compositions/Énergie et communication/DW-1679.md</x:v>
      </x:c>
      <x:c r="K1684" t="str">
        <x:v>Source min 24,18 m ; max 260,180 m ; modèle 25 × 18 m ; niveaux 0. Détails dans catalogue-existant.json.</x:v>
      </x:c>
    </x:row>
    <x:row r="1685">
      <x:c r="A1685" t="str">
        <x:v>DW-1680</x:v>
      </x:c>
      <x:c r="B1685" t="str">
        <x:v>DW-0340</x:v>
      </x:c>
      <x:c r="C1685" t="str">
        <x:v>Composition héritée</x:v>
      </x:c>
      <x:c r="D1685" t="str">
        <x:v>Énergie et communication</x:v>
      </x:c>
      <x:c r="E1685" t="str">
        <x:v>Station de recharge routière — Zone industrielle / réseau principal coupé</x:v>
      </x:c>
      <x:c r="F1685" t="n">
        <x:v>8</x:v>
      </x:c>
      <x:c r="G1685" t="n">
        <x:v>4</x:v>
      </x:c>
      <x:c r="H1685" t="n">
        <x:v>12</x:v>
      </x:c>
      <x:c r="I1685" t="str">
        <x:v>À qualifier par lieu</x:v>
      </x:c>
      <x:c r="J1685" t="str">
        <x:v>https://github.com/darknigthmare/deadwall-last-enclosure/blob/1b3b9c5ba232734b1bda3453b4e20a0481bcdd74/codex-3000/compositions/Énergie et communication/DW-1680.md</x:v>
      </x:c>
      <x:c r="K1685" t="str">
        <x:v>Source min 24,18 m ; max 260,180 m ; modèle 25 × 18 m ; niveaux 0. Détails dans catalogue-existant.json.</x:v>
      </x:c>
    </x:row>
    <x:row r="1686">
      <x:c r="A1686" t="str">
        <x:v>DW-1681</x:v>
      </x:c>
      <x:c r="B1686" t="str">
        <x:v>DW-0341</x:v>
      </x:c>
      <x:c r="C1686" t="str">
        <x:v>Composition héritée</x:v>
      </x:c>
      <x:c r="D1686" t="str">
        <x:v>Eau et réseaux</x:v>
      </x:c>
      <x:c r="E1686" t="str">
        <x:v>Château d'eau — Pompage et services techniques / reprise progressive de la végétation</x:v>
      </x:c>
      <x:c r="F1686" t="n">
        <x:v>10</x:v>
      </x:c>
      <x:c r="G1686" t="n">
        <x:v>4</x:v>
      </x:c>
      <x:c r="H1686" t="n">
        <x:v>10</x:v>
      </x:c>
      <x:c r="I1686" t="str">
        <x:v>À qualifier par lieu</x:v>
      </x:c>
      <x:c r="J1686" t="str">
        <x:v>https://github.com/darknigthmare/deadwall-last-enclosure/blob/1b3b9c5ba232734b1bda3453b4e20a0481bcdd74/codex-3000/compositions/Eau et réseaux/DW-1681.md</x:v>
      </x:c>
      <x:c r="K1686" t="str">
        <x:v>Source min 30,20 m ; max 240,180 m ; modèle 30 × 20 m ; niveaux 0. Détails dans catalogue-existant.json.</x:v>
      </x:c>
    </x:row>
    <x:row r="1687">
      <x:c r="A1687" t="str">
        <x:v>DW-1682</x:v>
      </x:c>
      <x:c r="B1687" t="str">
        <x:v>DW-0341</x:v>
      </x:c>
      <x:c r="C1687" t="str">
        <x:v>Composition héritée</x:v>
      </x:c>
      <x:c r="D1687" t="str">
        <x:v>Eau et réseaux</x:v>
      </x:c>
      <x:c r="E1687" t="str">
        <x:v>Château d'eau — Ville moyenne / repli organisé interrompu</x:v>
      </x:c>
      <x:c r="F1687" t="n">
        <x:v>10</x:v>
      </x:c>
      <x:c r="G1687" t="n">
        <x:v>4</x:v>
      </x:c>
      <x:c r="H1687" t="n">
        <x:v>10</x:v>
      </x:c>
      <x:c r="I1687" t="str">
        <x:v>À qualifier par lieu</x:v>
      </x:c>
      <x:c r="J1687" t="str">
        <x:v>https://github.com/darknigthmare/deadwall-last-enclosure/blob/1b3b9c5ba232734b1bda3453b4e20a0481bcdd74/codex-3000/compositions/Eau et réseaux/DW-1682.md</x:v>
      </x:c>
      <x:c r="K1687" t="str">
        <x:v>Source min 30,20 m ; max 240,180 m ; modèle 30 × 20 m ; niveaux 0. Détails dans catalogue-existant.json.</x:v>
      </x:c>
    </x:row>
    <x:row r="1688">
      <x:c r="A1688" t="str">
        <x:v>DW-1683</x:v>
      </x:c>
      <x:c r="B1688" t="str">
        <x:v>DW-0342</x:v>
      </x:c>
      <x:c r="C1688" t="str">
        <x:v>Composition héritée</x:v>
      </x:c>
      <x:c r="D1688" t="str">
        <x:v>Eau et réseaux</x:v>
      </x:c>
      <x:c r="E1688" t="str">
        <x:v>Station de pompage — Rivière, berges et gué / relais temporaire envisagé</x:v>
      </x:c>
      <x:c r="F1688" t="n">
        <x:v>10</x:v>
      </x:c>
      <x:c r="G1688" t="n">
        <x:v>4</x:v>
      </x:c>
      <x:c r="H1688" t="n">
        <x:v>12</x:v>
      </x:c>
      <x:c r="I1688" t="str">
        <x:v>À qualifier par lieu</x:v>
      </x:c>
      <x:c r="J1688" t="str">
        <x:v>https://github.com/darknigthmare/deadwall-last-enclosure/blob/1b3b9c5ba232734b1bda3453b4e20a0481bcdd74/codex-3000/compositions/Eau et réseaux/DW-1683.md</x:v>
      </x:c>
      <x:c r="K1688" t="str">
        <x:v>Source min 30,20 m ; max 240,180 m ; modèle 30 × 20 m ; niveaux 0. Détails dans catalogue-existant.json.</x:v>
      </x:c>
    </x:row>
    <x:row r="1689">
      <x:c r="A1689" t="str">
        <x:v>DW-1684</x:v>
      </x:c>
      <x:c r="B1689" t="str">
        <x:v>DW-0342</x:v>
      </x:c>
      <x:c r="C1689" t="str">
        <x:v>Composition héritée</x:v>
      </x:c>
      <x:c r="D1689" t="str">
        <x:v>Eau et réseaux</x:v>
      </x:c>
      <x:c r="E1689" t="str">
        <x:v>Station de pompage — Zone industrielle / évacuation interrompue</x:v>
      </x:c>
      <x:c r="F1689" t="n">
        <x:v>10</x:v>
      </x:c>
      <x:c r="G1689" t="n">
        <x:v>4</x:v>
      </x:c>
      <x:c r="H1689" t="n">
        <x:v>12</x:v>
      </x:c>
      <x:c r="I1689" t="str">
        <x:v>À qualifier par lieu</x:v>
      </x:c>
      <x:c r="J1689" t="str">
        <x:v>https://github.com/darknigthmare/deadwall-last-enclosure/blob/1b3b9c5ba232734b1bda3453b4e20a0481bcdd74/codex-3000/compositions/Eau et réseaux/DW-1684.md</x:v>
      </x:c>
      <x:c r="K1689" t="str">
        <x:v>Source min 30,20 m ; max 240,180 m ; modèle 30 × 20 m ; niveaux 0. Détails dans catalogue-existant.json.</x:v>
      </x:c>
    </x:row>
    <x:row r="1690">
      <x:c r="A1690" t="str">
        <x:v>DW-1685</x:v>
      </x:c>
      <x:c r="B1690" t="str">
        <x:v>DW-0343</x:v>
      </x:c>
      <x:c r="C1690" t="str">
        <x:v>Composition héritée</x:v>
      </x:c>
      <x:c r="D1690" t="str">
        <x:v>Eau et réseaux</x:v>
      </x:c>
      <x:c r="E1690" t="str">
        <x:v>Usine de traitement d'eau — Ville moyenne / réseau principal coupé</x:v>
      </x:c>
      <x:c r="F1690" t="n">
        <x:v>10</x:v>
      </x:c>
      <x:c r="G1690" t="n">
        <x:v>4</x:v>
      </x:c>
      <x:c r="H1690" t="n">
        <x:v>12</x:v>
      </x:c>
      <x:c r="I1690" t="str">
        <x:v>À qualifier par lieu</x:v>
      </x:c>
      <x:c r="J1690" t="str">
        <x:v>https://github.com/darknigthmare/deadwall-last-enclosure/blob/1b3b9c5ba232734b1bda3453b4e20a0481bcdd74/codex-3000/compositions/Eau et réseaux/DW-1685.md</x:v>
      </x:c>
      <x:c r="K1690" t="str">
        <x:v>Source min 30,20 m ; max 240,180 m ; modèle 30 × 20 m ; niveaux 0. Détails dans catalogue-existant.json.</x:v>
      </x:c>
    </x:row>
    <x:row r="1691">
      <x:c r="A1691" t="str">
        <x:v>DW-1686</x:v>
      </x:c>
      <x:c r="B1691" t="str">
        <x:v>DW-0343</x:v>
      </x:c>
      <x:c r="C1691" t="str">
        <x:v>Composition héritée</x:v>
      </x:c>
      <x:c r="D1691" t="str">
        <x:v>Eau et réseaux</x:v>
      </x:c>
      <x:c r="E1691" t="str">
        <x:v>Usine de traitement d'eau — Pompage et services techniques / arrêt de maintenance</x:v>
      </x:c>
      <x:c r="F1691" t="n">
        <x:v>10</x:v>
      </x:c>
      <x:c r="G1691" t="n">
        <x:v>4</x:v>
      </x:c>
      <x:c r="H1691" t="n">
        <x:v>12</x:v>
      </x:c>
      <x:c r="I1691" t="str">
        <x:v>À qualifier par lieu</x:v>
      </x:c>
      <x:c r="J1691" t="str">
        <x:v>https://github.com/darknigthmare/deadwall-last-enclosure/blob/1b3b9c5ba232734b1bda3453b4e20a0481bcdd74/codex-3000/compositions/Eau et réseaux/DW-1686.md</x:v>
      </x:c>
      <x:c r="K1691" t="str">
        <x:v>Source min 30,20 m ; max 240,180 m ; modèle 30 × 20 m ; niveaux 0. Détails dans catalogue-existant.json.</x:v>
      </x:c>
    </x:row>
    <x:row r="1692">
      <x:c r="A1692" t="str">
        <x:v>DW-1687</x:v>
      </x:c>
      <x:c r="B1692" t="str">
        <x:v>DW-0344</x:v>
      </x:c>
      <x:c r="C1692" t="str">
        <x:v>Composition héritée</x:v>
      </x:c>
      <x:c r="D1692" t="str">
        <x:v>Eau et réseaux</x:v>
      </x:c>
      <x:c r="E1692" t="str">
        <x:v>Station d'épuration — Zone industrielle / repli organisé interrompu</x:v>
      </x:c>
      <x:c r="F1692" t="n">
        <x:v>10</x:v>
      </x:c>
      <x:c r="G1692" t="n">
        <x:v>4</x:v>
      </x:c>
      <x:c r="H1692" t="n">
        <x:v>12</x:v>
      </x:c>
      <x:c r="I1692" t="str">
        <x:v>À qualifier par lieu</x:v>
      </x:c>
      <x:c r="J1692" t="str">
        <x:v>https://github.com/darknigthmare/deadwall-last-enclosure/blob/1b3b9c5ba232734b1bda3453b4e20a0481bcdd74/codex-3000/compositions/Eau et réseaux/DW-1687.md</x:v>
      </x:c>
      <x:c r="K1692" t="str">
        <x:v>Source min 30,20 m ; max 240,180 m ; modèle 30 × 20 m ; niveaux 0. Détails dans catalogue-existant.json.</x:v>
      </x:c>
    </x:row>
    <x:row r="1693">
      <x:c r="A1693" t="str">
        <x:v>DW-1688</x:v>
      </x:c>
      <x:c r="B1693" t="str">
        <x:v>DW-0344</x:v>
      </x:c>
      <x:c r="C1693" t="str">
        <x:v>Composition héritée</x:v>
      </x:c>
      <x:c r="D1693" t="str">
        <x:v>Eau et réseaux</x:v>
      </x:c>
      <x:c r="E1693" t="str">
        <x:v>Station d'épuration — Rivière, berges et gué / première récupération passée</x:v>
      </x:c>
      <x:c r="F1693" t="n">
        <x:v>10</x:v>
      </x:c>
      <x:c r="G1693" t="n">
        <x:v>4</x:v>
      </x:c>
      <x:c r="H1693" t="n">
        <x:v>12</x:v>
      </x:c>
      <x:c r="I1693" t="str">
        <x:v>À qualifier par lieu</x:v>
      </x:c>
      <x:c r="J1693" t="str">
        <x:v>https://github.com/darknigthmare/deadwall-last-enclosure/blob/1b3b9c5ba232734b1bda3453b4e20a0481bcdd74/codex-3000/compositions/Eau et réseaux/DW-1688.md</x:v>
      </x:c>
      <x:c r="K1693" t="str">
        <x:v>Source min 30,20 m ; max 240,180 m ; modèle 30 × 20 m ; niveaux 0. Détails dans catalogue-existant.json.</x:v>
      </x:c>
    </x:row>
    <x:row r="1694">
      <x:c r="A1694" t="str">
        <x:v>DW-1689</x:v>
      </x:c>
      <x:c r="B1694" t="str">
        <x:v>DW-0345</x:v>
      </x:c>
      <x:c r="C1694" t="str">
        <x:v>Composition héritée</x:v>
      </x:c>
      <x:c r="D1694" t="str">
        <x:v>Eau et réseaux</x:v>
      </x:c>
      <x:c r="E1694" t="str">
        <x:v>Bassin d'orage — Pompage et services techniques / évacuation interrompue</x:v>
      </x:c>
      <x:c r="F1694" t="n">
        <x:v>10</x:v>
      </x:c>
      <x:c r="G1694" t="n">
        <x:v>4</x:v>
      </x:c>
      <x:c r="H1694" t="n">
        <x:v>12</x:v>
      </x:c>
      <x:c r="I1694" t="str">
        <x:v>À qualifier par lieu</x:v>
      </x:c>
      <x:c r="J1694" t="str">
        <x:v>https://github.com/darknigthmare/deadwall-last-enclosure/blob/1b3b9c5ba232734b1bda3453b4e20a0481bcdd74/codex-3000/compositions/Eau et réseaux/DW-1689.md</x:v>
      </x:c>
      <x:c r="K1694" t="str">
        <x:v>Source min 30,20 m ; max 240,180 m ; modèle 30 × 20 m ; niveaux 0. Détails dans catalogue-existant.json.</x:v>
      </x:c>
    </x:row>
    <x:row r="1695">
      <x:c r="A1695" t="str">
        <x:v>DW-1690</x:v>
      </x:c>
      <x:c r="B1695" t="str">
        <x:v>DW-0345</x:v>
      </x:c>
      <x:c r="C1695" t="str">
        <x:v>Composition héritée</x:v>
      </x:c>
      <x:c r="D1695" t="str">
        <x:v>Eau et réseaux</x:v>
      </x:c>
      <x:c r="E1695" t="str">
        <x:v>Bassin d'orage — Ville moyenne / service déplacé à l’arrière</x:v>
      </x:c>
      <x:c r="F1695" t="n">
        <x:v>10</x:v>
      </x:c>
      <x:c r="G1695" t="n">
        <x:v>4</x:v>
      </x:c>
      <x:c r="H1695" t="n">
        <x:v>12</x:v>
      </x:c>
      <x:c r="I1695" t="str">
        <x:v>À qualifier par lieu</x:v>
      </x:c>
      <x:c r="J1695" t="str">
        <x:v>https://github.com/darknigthmare/deadwall-last-enclosure/blob/1b3b9c5ba232734b1bda3453b4e20a0481bcdd74/codex-3000/compositions/Eau et réseaux/DW-1690.md</x:v>
      </x:c>
      <x:c r="K1695" t="str">
        <x:v>Source min 30,20 m ; max 240,180 m ; modèle 30 × 20 m ; niveaux 0. Détails dans catalogue-existant.json.</x:v>
      </x:c>
    </x:row>
    <x:row r="1696">
      <x:c r="A1696" t="str">
        <x:v>DW-1691</x:v>
      </x:c>
      <x:c r="B1696" t="str">
        <x:v>DW-0346</x:v>
      </x:c>
      <x:c r="C1696" t="str">
        <x:v>Composition héritée</x:v>
      </x:c>
      <x:c r="D1696" t="str">
        <x:v>Eau et réseaux</x:v>
      </x:c>
      <x:c r="E1696" t="str">
        <x:v>Réservoir enterré — Rivière, berges et gué / arrêt de maintenance</x:v>
      </x:c>
      <x:c r="F1696" t="n">
        <x:v>10</x:v>
      </x:c>
      <x:c r="G1696" t="n">
        <x:v>3</x:v>
      </x:c>
      <x:c r="H1696" t="n">
        <x:v>9</x:v>
      </x:c>
      <x:c r="I1696" t="str">
        <x:v>À qualifier par lieu</x:v>
      </x:c>
      <x:c r="J1696" t="str">
        <x:v>https://github.com/darknigthmare/deadwall-last-enclosure/blob/1b3b9c5ba232734b1bda3453b4e20a0481bcdd74/codex-3000/compositions/Eau et réseaux/DW-1691.md</x:v>
      </x:c>
      <x:c r="K1696" t="str">
        <x:v>Source min 30,20 m ; max 240,180 m ; modèle 30 × 20 m ; niveaux -1, 0. Détails dans catalogue-existant.json.</x:v>
      </x:c>
    </x:row>
    <x:row r="1697">
      <x:c r="A1697" t="str">
        <x:v>DW-1692</x:v>
      </x:c>
      <x:c r="B1697" t="str">
        <x:v>DW-0346</x:v>
      </x:c>
      <x:c r="C1697" t="str">
        <x:v>Composition héritée</x:v>
      </x:c>
      <x:c r="D1697" t="str">
        <x:v>Eau et réseaux</x:v>
      </x:c>
      <x:c r="E1697" t="str">
        <x:v>Réservoir enterré — Zone industrielle / reprise progressive de la végétation</x:v>
      </x:c>
      <x:c r="F1697" t="n">
        <x:v>10</x:v>
      </x:c>
      <x:c r="G1697" t="n">
        <x:v>3</x:v>
      </x:c>
      <x:c r="H1697" t="n">
        <x:v>9</x:v>
      </x:c>
      <x:c r="I1697" t="str">
        <x:v>À qualifier par lieu</x:v>
      </x:c>
      <x:c r="J1697" t="str">
        <x:v>https://github.com/darknigthmare/deadwall-last-enclosure/blob/1b3b9c5ba232734b1bda3453b4e20a0481bcdd74/codex-3000/compositions/Eau et réseaux/DW-1692.md</x:v>
      </x:c>
      <x:c r="K1697" t="str">
        <x:v>Source min 30,20 m ; max 240,180 m ; modèle 30 × 20 m ; niveaux -1, 0. Détails dans catalogue-existant.json.</x:v>
      </x:c>
    </x:row>
    <x:row r="1698">
      <x:c r="A1698" t="str">
        <x:v>DW-1693</x:v>
      </x:c>
      <x:c r="B1698" t="str">
        <x:v>DW-0347</x:v>
      </x:c>
      <x:c r="C1698" t="str">
        <x:v>Composition héritée</x:v>
      </x:c>
      <x:c r="D1698" t="str">
        <x:v>Eau et réseaux</x:v>
      </x:c>
      <x:c r="E1698" t="str">
        <x:v>Canal avec écluse — Ville moyenne / première récupération passée</x:v>
      </x:c>
      <x:c r="F1698" t="n">
        <x:v>10</x:v>
      </x:c>
      <x:c r="G1698" t="n">
        <x:v>4</x:v>
      </x:c>
      <x:c r="H1698" t="n">
        <x:v>12</x:v>
      </x:c>
      <x:c r="I1698" t="str">
        <x:v>À qualifier par lieu</x:v>
      </x:c>
      <x:c r="J1698" t="str">
        <x:v>https://github.com/darknigthmare/deadwall-last-enclosure/blob/1b3b9c5ba232734b1bda3453b4e20a0481bcdd74/codex-3000/compositions/Eau et réseaux/DW-1693.md</x:v>
      </x:c>
      <x:c r="K1698" t="str">
        <x:v>Source min 30,20 m ; max 240,180 m ; modèle 30 × 20 m ; niveaux 0. Détails dans catalogue-existant.json.</x:v>
      </x:c>
    </x:row>
    <x:row r="1699">
      <x:c r="A1699" t="str">
        <x:v>DW-1694</x:v>
      </x:c>
      <x:c r="B1699" t="str">
        <x:v>DW-0347</x:v>
      </x:c>
      <x:c r="C1699" t="str">
        <x:v>Composition héritée</x:v>
      </x:c>
      <x:c r="D1699" t="str">
        <x:v>Eau et réseaux</x:v>
      </x:c>
      <x:c r="E1699" t="str">
        <x:v>Canal avec écluse — Pompage et services techniques / relais temporaire envisagé</x:v>
      </x:c>
      <x:c r="F1699" t="n">
        <x:v>10</x:v>
      </x:c>
      <x:c r="G1699" t="n">
        <x:v>4</x:v>
      </x:c>
      <x:c r="H1699" t="n">
        <x:v>12</x:v>
      </x:c>
      <x:c r="I1699" t="str">
        <x:v>À qualifier par lieu</x:v>
      </x:c>
      <x:c r="J1699" t="str">
        <x:v>https://github.com/darknigthmare/deadwall-last-enclosure/blob/1b3b9c5ba232734b1bda3453b4e20a0481bcdd74/codex-3000/compositions/Eau et réseaux/DW-1694.md</x:v>
      </x:c>
      <x:c r="K1699" t="str">
        <x:v>Source min 30,20 m ; max 240,180 m ; modèle 30 × 20 m ; niveaux 0. Détails dans catalogue-existant.json.</x:v>
      </x:c>
    </x:row>
    <x:row r="1700">
      <x:c r="A1700" t="str">
        <x:v>DW-1695</x:v>
      </x:c>
      <x:c r="B1700" t="str">
        <x:v>DW-0348</x:v>
      </x:c>
      <x:c r="C1700" t="str">
        <x:v>Composition héritée</x:v>
      </x:c>
      <x:c r="D1700" t="str">
        <x:v>Eau et réseaux</x:v>
      </x:c>
      <x:c r="E1700" t="str">
        <x:v>Aqueduc ancien — Zone industrielle / service déplacé à l’arrière</x:v>
      </x:c>
      <x:c r="F1700" t="n">
        <x:v>10</x:v>
      </x:c>
      <x:c r="G1700" t="n">
        <x:v>4</x:v>
      </x:c>
      <x:c r="H1700" t="n">
        <x:v>12</x:v>
      </x:c>
      <x:c r="I1700" t="str">
        <x:v>À qualifier par lieu</x:v>
      </x:c>
      <x:c r="J1700" t="str">
        <x:v>https://github.com/darknigthmare/deadwall-last-enclosure/blob/1b3b9c5ba232734b1bda3453b4e20a0481bcdd74/codex-3000/compositions/Eau et réseaux/DW-1695.md</x:v>
      </x:c>
      <x:c r="K1700" t="str">
        <x:v>Source min 30,20 m ; max 240,180 m ; modèle 30 × 20 m ; niveaux 0. Détails dans catalogue-existant.json.</x:v>
      </x:c>
    </x:row>
    <x:row r="1701">
      <x:c r="A1701" t="str">
        <x:v>DW-1696</x:v>
      </x:c>
      <x:c r="B1701" t="str">
        <x:v>DW-0348</x:v>
      </x:c>
      <x:c r="C1701" t="str">
        <x:v>Composition héritée</x:v>
      </x:c>
      <x:c r="D1701" t="str">
        <x:v>Eau et réseaux</x:v>
      </x:c>
      <x:c r="E1701" t="str">
        <x:v>Aqueduc ancien — Rivière, berges et gué / réseau principal coupé</x:v>
      </x:c>
      <x:c r="F1701" t="n">
        <x:v>10</x:v>
      </x:c>
      <x:c r="G1701" t="n">
        <x:v>4</x:v>
      </x:c>
      <x:c r="H1701" t="n">
        <x:v>12</x:v>
      </x:c>
      <x:c r="I1701" t="str">
        <x:v>À qualifier par lieu</x:v>
      </x:c>
      <x:c r="J1701" t="str">
        <x:v>https://github.com/darknigthmare/deadwall-last-enclosure/blob/1b3b9c5ba232734b1bda3453b4e20a0481bcdd74/codex-3000/compositions/Eau et réseaux/DW-1696.md</x:v>
      </x:c>
      <x:c r="K1701" t="str">
        <x:v>Source min 30,20 m ; max 240,180 m ; modèle 30 × 20 m ; niveaux 0. Détails dans catalogue-existant.json.</x:v>
      </x:c>
    </x:row>
    <x:row r="1702">
      <x:c r="A1702" t="str">
        <x:v>DW-1697</x:v>
      </x:c>
      <x:c r="B1702" t="str">
        <x:v>DW-0349</x:v>
      </x:c>
      <x:c r="C1702" t="str">
        <x:v>Composition héritée</x:v>
      </x:c>
      <x:c r="D1702" t="str">
        <x:v>Eau et réseaux</x:v>
      </x:c>
      <x:c r="E1702" t="str">
        <x:v>Collecteur visitable fictif — Pompage et services techniques / reprise progressive de la végétation</x:v>
      </x:c>
      <x:c r="F1702" t="n">
        <x:v>10</x:v>
      </x:c>
      <x:c r="G1702" t="n">
        <x:v>4</x:v>
      </x:c>
      <x:c r="H1702" t="n">
        <x:v>10</x:v>
      </x:c>
      <x:c r="I1702" t="str">
        <x:v>À qualifier par lieu</x:v>
      </x:c>
      <x:c r="J1702" t="str">
        <x:v>https://github.com/darknigthmare/deadwall-last-enclosure/blob/1b3b9c5ba232734b1bda3453b4e20a0481bcdd74/codex-3000/compositions/Eau et réseaux/DW-1697.md</x:v>
      </x:c>
      <x:c r="K1702" t="str">
        <x:v>Source min 30,20 m ; max 240,180 m ; modèle 30 × 20 m ; niveaux 0. Détails dans catalogue-existant.json.</x:v>
      </x:c>
    </x:row>
    <x:row r="1703">
      <x:c r="A1703" t="str">
        <x:v>DW-1698</x:v>
      </x:c>
      <x:c r="B1703" t="str">
        <x:v>DW-0349</x:v>
      </x:c>
      <x:c r="C1703" t="str">
        <x:v>Composition héritée</x:v>
      </x:c>
      <x:c r="D1703" t="str">
        <x:v>Eau et réseaux</x:v>
      </x:c>
      <x:c r="E1703" t="str">
        <x:v>Collecteur visitable fictif — Ville moyenne / repli organisé interrompu</x:v>
      </x:c>
      <x:c r="F1703" t="n">
        <x:v>10</x:v>
      </x:c>
      <x:c r="G1703" t="n">
        <x:v>4</x:v>
      </x:c>
      <x:c r="H1703" t="n">
        <x:v>10</x:v>
      </x:c>
      <x:c r="I1703" t="str">
        <x:v>À qualifier par lieu</x:v>
      </x:c>
      <x:c r="J1703" t="str">
        <x:v>https://github.com/darknigthmare/deadwall-last-enclosure/blob/1b3b9c5ba232734b1bda3453b4e20a0481bcdd74/codex-3000/compositions/Eau et réseaux/DW-1698.md</x:v>
      </x:c>
      <x:c r="K1703" t="str">
        <x:v>Source min 30,20 m ; max 240,180 m ; modèle 30 × 20 m ; niveaux 0. Détails dans catalogue-existant.json.</x:v>
      </x:c>
    </x:row>
    <x:row r="1704">
      <x:c r="A1704" t="str">
        <x:v>DW-1699</x:v>
      </x:c>
      <x:c r="B1704" t="str">
        <x:v>DW-0350</x:v>
      </x:c>
      <x:c r="C1704" t="str">
        <x:v>Composition héritée</x:v>
      </x:c>
      <x:c r="D1704" t="str">
        <x:v>Eau et réseaux</x:v>
      </x:c>
      <x:c r="E1704" t="str">
        <x:v>Local d'égout de quartier — Rivière, berges et gué / relais temporaire envisagé</x:v>
      </x:c>
      <x:c r="F1704" t="n">
        <x:v>10</x:v>
      </x:c>
      <x:c r="G1704" t="n">
        <x:v>3</x:v>
      </x:c>
      <x:c r="H1704" t="n">
        <x:v>7</x:v>
      </x:c>
      <x:c r="I1704" t="str">
        <x:v>À qualifier par lieu</x:v>
      </x:c>
      <x:c r="J1704" t="str">
        <x:v>https://github.com/darknigthmare/deadwall-last-enclosure/blob/1b3b9c5ba232734b1bda3453b4e20a0481bcdd74/codex-3000/compositions/Eau et réseaux/DW-1699.md</x:v>
      </x:c>
      <x:c r="K1704" t="str">
        <x:v>Source min 30,20 m ; max 240,180 m ; modèle 30 × 20 m ; niveaux 0. Détails dans catalogue-existant.json.</x:v>
      </x:c>
    </x:row>
    <x:row r="1705">
      <x:c r="A1705" t="str">
        <x:v>DW-1700</x:v>
      </x:c>
      <x:c r="B1705" t="str">
        <x:v>DW-0350</x:v>
      </x:c>
      <x:c r="C1705" t="str">
        <x:v>Composition héritée</x:v>
      </x:c>
      <x:c r="D1705" t="str">
        <x:v>Eau et réseaux</x:v>
      </x:c>
      <x:c r="E1705" t="str">
        <x:v>Local d'égout de quartier — Zone industrielle / évacuation interrompue</x:v>
      </x:c>
      <x:c r="F1705" t="n">
        <x:v>10</x:v>
      </x:c>
      <x:c r="G1705" t="n">
        <x:v>3</x:v>
      </x:c>
      <x:c r="H1705" t="n">
        <x:v>7</x:v>
      </x:c>
      <x:c r="I1705" t="str">
        <x:v>À qualifier par lieu</x:v>
      </x:c>
      <x:c r="J1705" t="str">
        <x:v>https://github.com/darknigthmare/deadwall-last-enclosure/blob/1b3b9c5ba232734b1bda3453b4e20a0481bcdd74/codex-3000/compositions/Eau et réseaux/DW-1700.md</x:v>
      </x:c>
      <x:c r="K1705" t="str">
        <x:v>Source min 30,20 m ; max 240,180 m ; modèle 30 × 20 m ; niveaux 0. Détails dans catalogue-existant.json.</x:v>
      </x:c>
    </x:row>
    <x:row r="1706">
      <x:c r="A1706" t="str">
        <x:v>DW-1701</x:v>
      </x:c>
      <x:c r="B1706" t="str">
        <x:v>DW-0351</x:v>
      </x:c>
      <x:c r="C1706" t="str">
        <x:v>Composition héritée</x:v>
      </x:c>
      <x:c r="D1706" t="str">
        <x:v>Eau et réseaux</x:v>
      </x:c>
      <x:c r="E1706" t="str">
        <x:v>Lavoir ancien — Ville moyenne / réseau principal coupé</x:v>
      </x:c>
      <x:c r="F1706" t="n">
        <x:v>10</x:v>
      </x:c>
      <x:c r="G1706" t="n">
        <x:v>4</x:v>
      </x:c>
      <x:c r="H1706" t="n">
        <x:v>12</x:v>
      </x:c>
      <x:c r="I1706" t="str">
        <x:v>À qualifier par lieu</x:v>
      </x:c>
      <x:c r="J1706" t="str">
        <x:v>https://github.com/darknigthmare/deadwall-last-enclosure/blob/1b3b9c5ba232734b1bda3453b4e20a0481bcdd74/codex-3000/compositions/Eau et réseaux/DW-1701.md</x:v>
      </x:c>
      <x:c r="K1706" t="str">
        <x:v>Source min 30,20 m ; max 240,180 m ; modèle 30 × 20 m ; niveaux 0. Détails dans catalogue-existant.json.</x:v>
      </x:c>
    </x:row>
    <x:row r="1707">
      <x:c r="A1707" t="str">
        <x:v>DW-1702</x:v>
      </x:c>
      <x:c r="B1707" t="str">
        <x:v>DW-0351</x:v>
      </x:c>
      <x:c r="C1707" t="str">
        <x:v>Composition héritée</x:v>
      </x:c>
      <x:c r="D1707" t="str">
        <x:v>Eau et réseaux</x:v>
      </x:c>
      <x:c r="E1707" t="str">
        <x:v>Lavoir ancien — Pompage et services techniques / arrêt de maintenance</x:v>
      </x:c>
      <x:c r="F1707" t="n">
        <x:v>10</x:v>
      </x:c>
      <x:c r="G1707" t="n">
        <x:v>4</x:v>
      </x:c>
      <x:c r="H1707" t="n">
        <x:v>12</x:v>
      </x:c>
      <x:c r="I1707" t="str">
        <x:v>À qualifier par lieu</x:v>
      </x:c>
      <x:c r="J1707" t="str">
        <x:v>https://github.com/darknigthmare/deadwall-last-enclosure/blob/1b3b9c5ba232734b1bda3453b4e20a0481bcdd74/codex-3000/compositions/Eau et réseaux/DW-1702.md</x:v>
      </x:c>
      <x:c r="K1707" t="str">
        <x:v>Source min 30,20 m ; max 240,180 m ; modèle 30 × 20 m ; niveaux 0. Détails dans catalogue-existant.json.</x:v>
      </x:c>
    </x:row>
    <x:row r="1708">
      <x:c r="A1708" t="str">
        <x:v>DW-1703</x:v>
      </x:c>
      <x:c r="B1708" t="str">
        <x:v>DW-0352</x:v>
      </x:c>
      <x:c r="C1708" t="str">
        <x:v>Composition héritée</x:v>
      </x:c>
      <x:c r="D1708" t="str">
        <x:v>Eau et réseaux</x:v>
      </x:c>
      <x:c r="E1708" t="str">
        <x:v>Fontaine de village — Zone industrielle / repli organisé interrompu</x:v>
      </x:c>
      <x:c r="F1708" t="n">
        <x:v>10</x:v>
      </x:c>
      <x:c r="G1708" t="n">
        <x:v>3</x:v>
      </x:c>
      <x:c r="H1708" t="n">
        <x:v>9</x:v>
      </x:c>
      <x:c r="I1708" t="str">
        <x:v>À qualifier par lieu</x:v>
      </x:c>
      <x:c r="J1708" t="str">
        <x:v>https://github.com/darknigthmare/deadwall-last-enclosure/blob/1b3b9c5ba232734b1bda3453b4e20a0481bcdd74/codex-3000/compositions/Eau et réseaux/DW-1703.md</x:v>
      </x:c>
      <x:c r="K1708" t="str">
        <x:v>Source min 30,20 m ; max 240,180 m ; modèle 30 × 20 m ; niveaux 0. Détails dans catalogue-existant.json.</x:v>
      </x:c>
    </x:row>
    <x:row r="1709">
      <x:c r="A1709" t="str">
        <x:v>DW-1704</x:v>
      </x:c>
      <x:c r="B1709" t="str">
        <x:v>DW-0352</x:v>
      </x:c>
      <x:c r="C1709" t="str">
        <x:v>Composition héritée</x:v>
      </x:c>
      <x:c r="D1709" t="str">
        <x:v>Eau et réseaux</x:v>
      </x:c>
      <x:c r="E1709" t="str">
        <x:v>Fontaine de village — Rivière, berges et gué / première récupération passée</x:v>
      </x:c>
      <x:c r="F1709" t="n">
        <x:v>10</x:v>
      </x:c>
      <x:c r="G1709" t="n">
        <x:v>3</x:v>
      </x:c>
      <x:c r="H1709" t="n">
        <x:v>9</x:v>
      </x:c>
      <x:c r="I1709" t="str">
        <x:v>À qualifier par lieu</x:v>
      </x:c>
      <x:c r="J1709" t="str">
        <x:v>https://github.com/darknigthmare/deadwall-last-enclosure/blob/1b3b9c5ba232734b1bda3453b4e20a0481bcdd74/codex-3000/compositions/Eau et réseaux/DW-1704.md</x:v>
      </x:c>
      <x:c r="K1709" t="str">
        <x:v>Source min 30,20 m ; max 240,180 m ; modèle 30 × 20 m ; niveaux 0. Détails dans catalogue-existant.json.</x:v>
      </x:c>
    </x:row>
    <x:row r="1710">
      <x:c r="A1710" t="str">
        <x:v>DW-1705</x:v>
      </x:c>
      <x:c r="B1710" t="str">
        <x:v>DW-0353</x:v>
      </x:c>
      <x:c r="C1710" t="str">
        <x:v>Composition héritée</x:v>
      </x:c>
      <x:c r="D1710" t="str">
        <x:v>Eau et réseaux</x:v>
      </x:c>
      <x:c r="E1710" t="str">
        <x:v>Puits agricole — Pompage et services techniques / évacuation interrompue</x:v>
      </x:c>
      <x:c r="F1710" t="n">
        <x:v>10</x:v>
      </x:c>
      <x:c r="G1710" t="n">
        <x:v>4</x:v>
      </x:c>
      <x:c r="H1710" t="n">
        <x:v>12</x:v>
      </x:c>
      <x:c r="I1710" t="str">
        <x:v>À qualifier par lieu</x:v>
      </x:c>
      <x:c r="J1710" t="str">
        <x:v>https://github.com/darknigthmare/deadwall-last-enclosure/blob/1b3b9c5ba232734b1bda3453b4e20a0481bcdd74/codex-3000/compositions/Eau et réseaux/DW-1705.md</x:v>
      </x:c>
      <x:c r="K1710" t="str">
        <x:v>Source min 30,20 m ; max 240,180 m ; modèle 30 × 20 m ; niveaux 0. Détails dans catalogue-existant.json.</x:v>
      </x:c>
    </x:row>
    <x:row r="1711">
      <x:c r="A1711" t="str">
        <x:v>DW-1706</x:v>
      </x:c>
      <x:c r="B1711" t="str">
        <x:v>DW-0353</x:v>
      </x:c>
      <x:c r="C1711" t="str">
        <x:v>Composition héritée</x:v>
      </x:c>
      <x:c r="D1711" t="str">
        <x:v>Eau et réseaux</x:v>
      </x:c>
      <x:c r="E1711" t="str">
        <x:v>Puits agricole — Ville moyenne / service déplacé à l’arrière</x:v>
      </x:c>
      <x:c r="F1711" t="n">
        <x:v>10</x:v>
      </x:c>
      <x:c r="G1711" t="n">
        <x:v>4</x:v>
      </x:c>
      <x:c r="H1711" t="n">
        <x:v>12</x:v>
      </x:c>
      <x:c r="I1711" t="str">
        <x:v>À qualifier par lieu</x:v>
      </x:c>
      <x:c r="J1711" t="str">
        <x:v>https://github.com/darknigthmare/deadwall-last-enclosure/blob/1b3b9c5ba232734b1bda3453b4e20a0481bcdd74/codex-3000/compositions/Eau et réseaux/DW-1706.md</x:v>
      </x:c>
      <x:c r="K1711" t="str">
        <x:v>Source min 30,20 m ; max 240,180 m ; modèle 30 × 20 m ; niveaux 0. Détails dans catalogue-existant.json.</x:v>
      </x:c>
    </x:row>
    <x:row r="1712">
      <x:c r="A1712" t="str">
        <x:v>DW-1707</x:v>
      </x:c>
      <x:c r="B1712" t="str">
        <x:v>DW-0354</x:v>
      </x:c>
      <x:c r="C1712" t="str">
        <x:v>Composition héritée</x:v>
      </x:c>
      <x:c r="D1712" t="str">
        <x:v>Eau et réseaux</x:v>
      </x:c>
      <x:c r="E1712" t="str">
        <x:v>Station d'irrigation — Rivière, berges et gué / arrêt de maintenance</x:v>
      </x:c>
      <x:c r="F1712" t="n">
        <x:v>10</x:v>
      </x:c>
      <x:c r="G1712" t="n">
        <x:v>4</x:v>
      </x:c>
      <x:c r="H1712" t="n">
        <x:v>12</x:v>
      </x:c>
      <x:c r="I1712" t="str">
        <x:v>À qualifier par lieu</x:v>
      </x:c>
      <x:c r="J1712" t="str">
        <x:v>https://github.com/darknigthmare/deadwall-last-enclosure/blob/1b3b9c5ba232734b1bda3453b4e20a0481bcdd74/codex-3000/compositions/Eau et réseaux/DW-1707.md</x:v>
      </x:c>
      <x:c r="K1712" t="str">
        <x:v>Source min 30,20 m ; max 240,180 m ; modèle 30 × 20 m ; niveaux 0. Détails dans catalogue-existant.json.</x:v>
      </x:c>
    </x:row>
    <x:row r="1713">
      <x:c r="A1713" t="str">
        <x:v>DW-1708</x:v>
      </x:c>
      <x:c r="B1713" t="str">
        <x:v>DW-0354</x:v>
      </x:c>
      <x:c r="C1713" t="str">
        <x:v>Composition héritée</x:v>
      </x:c>
      <x:c r="D1713" t="str">
        <x:v>Eau et réseaux</x:v>
      </x:c>
      <x:c r="E1713" t="str">
        <x:v>Station d'irrigation — Zone industrielle / reprise progressive de la végétation</x:v>
      </x:c>
      <x:c r="F1713" t="n">
        <x:v>10</x:v>
      </x:c>
      <x:c r="G1713" t="n">
        <x:v>4</x:v>
      </x:c>
      <x:c r="H1713" t="n">
        <x:v>12</x:v>
      </x:c>
      <x:c r="I1713" t="str">
        <x:v>À qualifier par lieu</x:v>
      </x:c>
      <x:c r="J1713" t="str">
        <x:v>https://github.com/darknigthmare/deadwall-last-enclosure/blob/1b3b9c5ba232734b1bda3453b4e20a0481bcdd74/codex-3000/compositions/Eau et réseaux/DW-1708.md</x:v>
      </x:c>
      <x:c r="K1713" t="str">
        <x:v>Source min 30,20 m ; max 240,180 m ; modèle 30 × 20 m ; niveaux 0. Détails dans catalogue-existant.json.</x:v>
      </x:c>
    </x:row>
    <x:row r="1714">
      <x:c r="A1714" t="str">
        <x:v>DW-1709</x:v>
      </x:c>
      <x:c r="B1714" t="str">
        <x:v>DW-0355</x:v>
      </x:c>
      <x:c r="C1714" t="str">
        <x:v>Composition héritée</x:v>
      </x:c>
      <x:c r="D1714" t="str">
        <x:v>Eau et réseaux</x:v>
      </x:c>
      <x:c r="E1714" t="str">
        <x:v>Barrage de petite rivière — Ville moyenne / première récupération passée</x:v>
      </x:c>
      <x:c r="F1714" t="n">
        <x:v>10</x:v>
      </x:c>
      <x:c r="G1714" t="n">
        <x:v>4</x:v>
      </x:c>
      <x:c r="H1714" t="n">
        <x:v>12</x:v>
      </x:c>
      <x:c r="I1714" t="str">
        <x:v>À qualifier par lieu</x:v>
      </x:c>
      <x:c r="J1714" t="str">
        <x:v>https://github.com/darknigthmare/deadwall-last-enclosure/blob/1b3b9c5ba232734b1bda3453b4e20a0481bcdd74/codex-3000/compositions/Eau et réseaux/DW-1709.md</x:v>
      </x:c>
      <x:c r="K1714" t="str">
        <x:v>Source min 30,20 m ; max 240,180 m ; modèle 30 × 20 m ; niveaux 0. Détails dans catalogue-existant.json.</x:v>
      </x:c>
    </x:row>
    <x:row r="1715">
      <x:c r="A1715" t="str">
        <x:v>DW-1710</x:v>
      </x:c>
      <x:c r="B1715" t="str">
        <x:v>DW-0355</x:v>
      </x:c>
      <x:c r="C1715" t="str">
        <x:v>Composition héritée</x:v>
      </x:c>
      <x:c r="D1715" t="str">
        <x:v>Eau et réseaux</x:v>
      </x:c>
      <x:c r="E1715" t="str">
        <x:v>Barrage de petite rivière — Pompage et services techniques / relais temporaire envisagé</x:v>
      </x:c>
      <x:c r="F1715" t="n">
        <x:v>10</x:v>
      </x:c>
      <x:c r="G1715" t="n">
        <x:v>4</x:v>
      </x:c>
      <x:c r="H1715" t="n">
        <x:v>12</x:v>
      </x:c>
      <x:c r="I1715" t="str">
        <x:v>À qualifier par lieu</x:v>
      </x:c>
      <x:c r="J1715" t="str">
        <x:v>https://github.com/darknigthmare/deadwall-last-enclosure/blob/1b3b9c5ba232734b1bda3453b4e20a0481bcdd74/codex-3000/compositions/Eau et réseaux/DW-1710.md</x:v>
      </x:c>
      <x:c r="K1715" t="str">
        <x:v>Source min 30,20 m ; max 240,180 m ; modèle 30 × 20 m ; niveaux 0. Détails dans catalogue-existant.json.</x:v>
      </x:c>
    </x:row>
    <x:row r="1716">
      <x:c r="A1716" t="str">
        <x:v>DW-1711</x:v>
      </x:c>
      <x:c r="B1716" t="str">
        <x:v>DW-0356</x:v>
      </x:c>
      <x:c r="C1716" t="str">
        <x:v>Composition héritée</x:v>
      </x:c>
      <x:c r="D1716" t="str">
        <x:v>Eau et réseaux</x:v>
      </x:c>
      <x:c r="E1716" t="str">
        <x:v>Digue côtière — Zone industrielle / service déplacé à l’arrière</x:v>
      </x:c>
      <x:c r="F1716" t="n">
        <x:v>10</x:v>
      </x:c>
      <x:c r="G1716" t="n">
        <x:v>3</x:v>
      </x:c>
      <x:c r="H1716" t="n">
        <x:v>7</x:v>
      </x:c>
      <x:c r="I1716" t="str">
        <x:v>À qualifier par lieu</x:v>
      </x:c>
      <x:c r="J1716" t="str">
        <x:v>https://github.com/darknigthmare/deadwall-last-enclosure/blob/1b3b9c5ba232734b1bda3453b4e20a0481bcdd74/codex-3000/compositions/Eau et réseaux/DW-1711.md</x:v>
      </x:c>
      <x:c r="K1716" t="str">
        <x:v>Source min 30,20 m ; max 240,180 m ; modèle 30 × 20 m ; niveaux 0. Détails dans catalogue-existant.json.</x:v>
      </x:c>
    </x:row>
    <x:row r="1717">
      <x:c r="A1717" t="str">
        <x:v>DW-1712</x:v>
      </x:c>
      <x:c r="B1717" t="str">
        <x:v>DW-0356</x:v>
      </x:c>
      <x:c r="C1717" t="str">
        <x:v>Composition héritée</x:v>
      </x:c>
      <x:c r="D1717" t="str">
        <x:v>Eau et réseaux</x:v>
      </x:c>
      <x:c r="E1717" t="str">
        <x:v>Digue côtière — Rivière, berges et gué / réseau principal coupé</x:v>
      </x:c>
      <x:c r="F1717" t="n">
        <x:v>10</x:v>
      </x:c>
      <x:c r="G1717" t="n">
        <x:v>3</x:v>
      </x:c>
      <x:c r="H1717" t="n">
        <x:v>7</x:v>
      </x:c>
      <x:c r="I1717" t="str">
        <x:v>À qualifier par lieu</x:v>
      </x:c>
      <x:c r="J1717" t="str">
        <x:v>https://github.com/darknigthmare/deadwall-last-enclosure/blob/1b3b9c5ba232734b1bda3453b4e20a0481bcdd74/codex-3000/compositions/Eau et réseaux/DW-1712.md</x:v>
      </x:c>
      <x:c r="K1717" t="str">
        <x:v>Source min 30,20 m ; max 240,180 m ; modèle 30 × 20 m ; niveaux 0. Détails dans catalogue-existant.json.</x:v>
      </x:c>
    </x:row>
    <x:row r="1718">
      <x:c r="A1718" t="str">
        <x:v>DW-1713</x:v>
      </x:c>
      <x:c r="B1718" t="str">
        <x:v>DW-0357</x:v>
      </x:c>
      <x:c r="C1718" t="str">
        <x:v>Composition héritée</x:v>
      </x:c>
      <x:c r="D1718" t="str">
        <x:v>Eau et réseaux</x:v>
      </x:c>
      <x:c r="E1718" t="str">
        <x:v>Portes anti-crue fictives — Pompage et services techniques / reprise progressive de la végétation</x:v>
      </x:c>
      <x:c r="F1718" t="n">
        <x:v>10</x:v>
      </x:c>
      <x:c r="G1718" t="n">
        <x:v>3</x:v>
      </x:c>
      <x:c r="H1718" t="n">
        <x:v>7</x:v>
      </x:c>
      <x:c r="I1718" t="str">
        <x:v>À qualifier par lieu</x:v>
      </x:c>
      <x:c r="J1718" t="str">
        <x:v>https://github.com/darknigthmare/deadwall-last-enclosure/blob/1b3b9c5ba232734b1bda3453b4e20a0481bcdd74/codex-3000/compositions/Eau et réseaux/DW-1713.md</x:v>
      </x:c>
      <x:c r="K1718" t="str">
        <x:v>Source min 30,20 m ; max 240,180 m ; modèle 30 × 20 m ; niveaux 0. Détails dans catalogue-existant.json.</x:v>
      </x:c>
    </x:row>
    <x:row r="1719">
      <x:c r="A1719" t="str">
        <x:v>DW-1714</x:v>
      </x:c>
      <x:c r="B1719" t="str">
        <x:v>DW-0357</x:v>
      </x:c>
      <x:c r="C1719" t="str">
        <x:v>Composition héritée</x:v>
      </x:c>
      <x:c r="D1719" t="str">
        <x:v>Eau et réseaux</x:v>
      </x:c>
      <x:c r="E1719" t="str">
        <x:v>Portes anti-crue fictives — Ville moyenne / repli organisé interrompu</x:v>
      </x:c>
      <x:c r="F1719" t="n">
        <x:v>10</x:v>
      </x:c>
      <x:c r="G1719" t="n">
        <x:v>3</x:v>
      </x:c>
      <x:c r="H1719" t="n">
        <x:v>7</x:v>
      </x:c>
      <x:c r="I1719" t="str">
        <x:v>À qualifier par lieu</x:v>
      </x:c>
      <x:c r="J1719" t="str">
        <x:v>https://github.com/darknigthmare/deadwall-last-enclosure/blob/1b3b9c5ba232734b1bda3453b4e20a0481bcdd74/codex-3000/compositions/Eau et réseaux/DW-1714.md</x:v>
      </x:c>
      <x:c r="K1719" t="str">
        <x:v>Source min 30,20 m ; max 240,180 m ; modèle 30 × 20 m ; niveaux 0. Détails dans catalogue-existant.json.</x:v>
      </x:c>
    </x:row>
    <x:row r="1720">
      <x:c r="A1720" t="str">
        <x:v>DW-1715</x:v>
      </x:c>
      <x:c r="B1720" t="str">
        <x:v>DW-0358</x:v>
      </x:c>
      <x:c r="C1720" t="str">
        <x:v>Composition héritée</x:v>
      </x:c>
      <x:c r="D1720" t="str">
        <x:v>Eau et réseaux</x:v>
      </x:c>
      <x:c r="E1720" t="str">
        <x:v>Dépôt de citernes — Rivière, berges et gué / relais temporaire envisagé</x:v>
      </x:c>
      <x:c r="F1720" t="n">
        <x:v>10</x:v>
      </x:c>
      <x:c r="G1720" t="n">
        <x:v>4</x:v>
      </x:c>
      <x:c r="H1720" t="n">
        <x:v>12</x:v>
      </x:c>
      <x:c r="I1720" t="str">
        <x:v>À qualifier par lieu</x:v>
      </x:c>
      <x:c r="J1720" t="str">
        <x:v>https://github.com/darknigthmare/deadwall-last-enclosure/blob/1b3b9c5ba232734b1bda3453b4e20a0481bcdd74/codex-3000/compositions/Eau et réseaux/DW-1715.md</x:v>
      </x:c>
      <x:c r="K1720" t="str">
        <x:v>Source min 30,20 m ; max 240,180 m ; modèle 30 × 20 m ; niveaux 0. Détails dans catalogue-existant.json.</x:v>
      </x:c>
    </x:row>
    <x:row r="1721">
      <x:c r="A1721" t="str">
        <x:v>DW-1716</x:v>
      </x:c>
      <x:c r="B1721" t="str">
        <x:v>DW-0358</x:v>
      </x:c>
      <x:c r="C1721" t="str">
        <x:v>Composition héritée</x:v>
      </x:c>
      <x:c r="D1721" t="str">
        <x:v>Eau et réseaux</x:v>
      </x:c>
      <x:c r="E1721" t="str">
        <x:v>Dépôt de citernes — Zone industrielle / évacuation interrompue</x:v>
      </x:c>
      <x:c r="F1721" t="n">
        <x:v>10</x:v>
      </x:c>
      <x:c r="G1721" t="n">
        <x:v>4</x:v>
      </x:c>
      <x:c r="H1721" t="n">
        <x:v>12</x:v>
      </x:c>
      <x:c r="I1721" t="str">
        <x:v>À qualifier par lieu</x:v>
      </x:c>
      <x:c r="J1721" t="str">
        <x:v>https://github.com/darknigthmare/deadwall-last-enclosure/blob/1b3b9c5ba232734b1bda3453b4e20a0481bcdd74/codex-3000/compositions/Eau et réseaux/DW-1716.md</x:v>
      </x:c>
      <x:c r="K1721" t="str">
        <x:v>Source min 30,20 m ; max 240,180 m ; modèle 30 × 20 m ; niveaux 0. Détails dans catalogue-existant.json.</x:v>
      </x:c>
    </x:row>
    <x:row r="1722">
      <x:c r="A1722" t="str">
        <x:v>DW-1717</x:v>
      </x:c>
      <x:c r="B1722" t="str">
        <x:v>DW-0359</x:v>
      </x:c>
      <x:c r="C1722" t="str">
        <x:v>Composition héritée</x:v>
      </x:c>
      <x:c r="D1722" t="str">
        <x:v>Eau et réseaux</x:v>
      </x:c>
      <x:c r="E1722" t="str">
        <x:v>Captage forestier — Ville moyenne / réseau principal coupé</x:v>
      </x:c>
      <x:c r="F1722" t="n">
        <x:v>10</x:v>
      </x:c>
      <x:c r="G1722" t="n">
        <x:v>3</x:v>
      </x:c>
      <x:c r="H1722" t="n">
        <x:v>9</x:v>
      </x:c>
      <x:c r="I1722" t="str">
        <x:v>À qualifier par lieu</x:v>
      </x:c>
      <x:c r="J1722" t="str">
        <x:v>https://github.com/darknigthmare/deadwall-last-enclosure/blob/1b3b9c5ba232734b1bda3453b4e20a0481bcdd74/codex-3000/compositions/Eau et réseaux/DW-1717.md</x:v>
      </x:c>
      <x:c r="K1722" t="str">
        <x:v>Source min 30,20 m ; max 240,180 m ; modèle 30 × 20 m ; niveaux 0. Détails dans catalogue-existant.json.</x:v>
      </x:c>
    </x:row>
    <x:row r="1723">
      <x:c r="A1723" t="str">
        <x:v>DW-1718</x:v>
      </x:c>
      <x:c r="B1723" t="str">
        <x:v>DW-0359</x:v>
      </x:c>
      <x:c r="C1723" t="str">
        <x:v>Composition héritée</x:v>
      </x:c>
      <x:c r="D1723" t="str">
        <x:v>Eau et réseaux</x:v>
      </x:c>
      <x:c r="E1723" t="str">
        <x:v>Captage forestier — Pompage et services techniques / arrêt de maintenance</x:v>
      </x:c>
      <x:c r="F1723" t="n">
        <x:v>10</x:v>
      </x:c>
      <x:c r="G1723" t="n">
        <x:v>3</x:v>
      </x:c>
      <x:c r="H1723" t="n">
        <x:v>9</x:v>
      </x:c>
      <x:c r="I1723" t="str">
        <x:v>À qualifier par lieu</x:v>
      </x:c>
      <x:c r="J1723" t="str">
        <x:v>https://github.com/darknigthmare/deadwall-last-enclosure/blob/1b3b9c5ba232734b1bda3453b4e20a0481bcdd74/codex-3000/compositions/Eau et réseaux/DW-1718.md</x:v>
      </x:c>
      <x:c r="K1723" t="str">
        <x:v>Source min 30,20 m ; max 240,180 m ; modèle 30 × 20 m ; niveaux 0. Détails dans catalogue-existant.json.</x:v>
      </x:c>
    </x:row>
    <x:row r="1724">
      <x:c r="A1724" t="str">
        <x:v>DW-1719</x:v>
      </x:c>
      <x:c r="B1724" t="str">
        <x:v>DW-0360</x:v>
      </x:c>
      <x:c r="C1724" t="str">
        <x:v>Composition héritée</x:v>
      </x:c>
      <x:c r="D1724" t="str">
        <x:v>Eau et réseaux</x:v>
      </x:c>
      <x:c r="E1724" t="str">
        <x:v>Réseau de bassins abandonné — Zone industrielle / repli organisé interrompu</x:v>
      </x:c>
      <x:c r="F1724" t="n">
        <x:v>10</x:v>
      </x:c>
      <x:c r="G1724" t="n">
        <x:v>4</x:v>
      </x:c>
      <x:c r="H1724" t="n">
        <x:v>12</x:v>
      </x:c>
      <x:c r="I1724" t="str">
        <x:v>À qualifier par lieu</x:v>
      </x:c>
      <x:c r="J1724" t="str">
        <x:v>https://github.com/darknigthmare/deadwall-last-enclosure/blob/1b3b9c5ba232734b1bda3453b4e20a0481bcdd74/codex-3000/compositions/Eau et réseaux/DW-1719.md</x:v>
      </x:c>
      <x:c r="K1724" t="str">
        <x:v>Source min 30,20 m ; max 240,180 m ; modèle 30 × 20 m ; niveaux 0. Détails dans catalogue-existant.json.</x:v>
      </x:c>
    </x:row>
    <x:row r="1725">
      <x:c r="A1725" t="str">
        <x:v>DW-1720</x:v>
      </x:c>
      <x:c r="B1725" t="str">
        <x:v>DW-0360</x:v>
      </x:c>
      <x:c r="C1725" t="str">
        <x:v>Composition héritée</x:v>
      </x:c>
      <x:c r="D1725" t="str">
        <x:v>Eau et réseaux</x:v>
      </x:c>
      <x:c r="E1725" t="str">
        <x:v>Réseau de bassins abandonné — Rivière, berges et gué / première récupération passée</x:v>
      </x:c>
      <x:c r="F1725" t="n">
        <x:v>10</x:v>
      </x:c>
      <x:c r="G1725" t="n">
        <x:v>4</x:v>
      </x:c>
      <x:c r="H1725" t="n">
        <x:v>12</x:v>
      </x:c>
      <x:c r="I1725" t="str">
        <x:v>À qualifier par lieu</x:v>
      </x:c>
      <x:c r="J1725" t="str">
        <x:v>https://github.com/darknigthmare/deadwall-last-enclosure/blob/1b3b9c5ba232734b1bda3453b4e20a0481bcdd74/codex-3000/compositions/Eau et réseaux/DW-1720.md</x:v>
      </x:c>
      <x:c r="K1725" t="str">
        <x:v>Source min 30,20 m ; max 240,180 m ; modèle 30 × 20 m ; niveaux 0. Détails dans catalogue-existant.json.</x:v>
      </x:c>
    </x:row>
    <x:row r="1726">
      <x:c r="A1726" t="str">
        <x:v>DW-1721</x:v>
      </x:c>
      <x:c r="B1726" t="str">
        <x:v>DW-0361</x:v>
      </x:c>
      <x:c r="C1726" t="str">
        <x:v>Composition héritée</x:v>
      </x:c>
      <x:c r="D1726" t="str">
        <x:v>Agriculture</x:v>
      </x:c>
      <x:c r="E1726" t="str">
        <x:v>Ferme céréalière — Ferme, verger et pâtures / évacuation interrompue</x:v>
      </x:c>
      <x:c r="F1726" t="n">
        <x:v>8</x:v>
      </x:c>
      <x:c r="G1726" t="n">
        <x:v>5</x:v>
      </x:c>
      <x:c r="H1726" t="n">
        <x:v>15</x:v>
      </x:c>
      <x:c r="I1726" t="str">
        <x:v>À qualifier par lieu</x:v>
      </x:c>
      <x:c r="J1726" t="str">
        <x:v>https://github.com/darknigthmare/deadwall-last-enclosure/blob/1b3b9c5ba232734b1bda3453b4e20a0481bcdd74/codex-3000/compositions/Agriculture/DW-1721.md</x:v>
      </x:c>
      <x:c r="K1726" t="str">
        <x:v>Source min 90,60 m ; max 700,450 m ; modèle 78 × 60 m ; niveaux 0. Détails dans catalogue-existant.json.</x:v>
      </x:c>
    </x:row>
    <x:row r="1727">
      <x:c r="A1727" t="str">
        <x:v>DW-1722</x:v>
      </x:c>
      <x:c r="B1727" t="str">
        <x:v>DW-0361</x:v>
      </x:c>
      <x:c r="C1727" t="str">
        <x:v>Composition héritée</x:v>
      </x:c>
      <x:c r="D1727" t="str">
        <x:v>Agriculture</x:v>
      </x:c>
      <x:c r="E1727" t="str">
        <x:v>Ferme céréalière — Hameau / service déplacé à l’arrière</x:v>
      </x:c>
      <x:c r="F1727" t="n">
        <x:v>8</x:v>
      </x:c>
      <x:c r="G1727" t="n">
        <x:v>5</x:v>
      </x:c>
      <x:c r="H1727" t="n">
        <x:v>15</x:v>
      </x:c>
      <x:c r="I1727" t="str">
        <x:v>À qualifier par lieu</x:v>
      </x:c>
      <x:c r="J1727" t="str">
        <x:v>https://github.com/darknigthmare/deadwall-last-enclosure/blob/1b3b9c5ba232734b1bda3453b4e20a0481bcdd74/codex-3000/compositions/Agriculture/DW-1722.md</x:v>
      </x:c>
      <x:c r="K1727" t="str">
        <x:v>Source min 90,60 m ; max 700,450 m ; modèle 78 × 60 m ; niveaux 0. Détails dans catalogue-existant.json.</x:v>
      </x:c>
    </x:row>
    <x:row r="1728">
      <x:c r="A1728" t="str">
        <x:v>DW-1723</x:v>
      </x:c>
      <x:c r="B1728" t="str">
        <x:v>DW-0362</x:v>
      </x:c>
      <x:c r="C1728" t="str">
        <x:v>Composition héritée</x:v>
      </x:c>
      <x:c r="D1728" t="str">
        <x:v>Agriculture</x:v>
      </x:c>
      <x:c r="E1728" t="str">
        <x:v>Ferme bovine — Prairie et friche ouverte / arrêt de maintenance</x:v>
      </x:c>
      <x:c r="F1728" t="n">
        <x:v>8</x:v>
      </x:c>
      <x:c r="G1728" t="n">
        <x:v>5</x:v>
      </x:c>
      <x:c r="H1728" t="n">
        <x:v>15</x:v>
      </x:c>
      <x:c r="I1728" t="str">
        <x:v>À qualifier par lieu</x:v>
      </x:c>
      <x:c r="J1728" t="str">
        <x:v>https://github.com/darknigthmare/deadwall-last-enclosure/blob/1b3b9c5ba232734b1bda3453b4e20a0481bcdd74/codex-3000/compositions/Agriculture/DW-1723.md</x:v>
      </x:c>
      <x:c r="K1728" t="str">
        <x:v>Source min 90,60 m ; max 700,450 m ; modèle 78 × 60 m ; niveaux 0. Détails dans catalogue-existant.json.</x:v>
      </x:c>
    </x:row>
    <x:row r="1729">
      <x:c r="A1729" t="str">
        <x:v>DW-1724</x:v>
      </x:c>
      <x:c r="B1729" t="str">
        <x:v>DW-0362</x:v>
      </x:c>
      <x:c r="C1729" t="str">
        <x:v>Composition héritée</x:v>
      </x:c>
      <x:c r="D1729" t="str">
        <x:v>Agriculture</x:v>
      </x:c>
      <x:c r="E1729" t="str">
        <x:v>Ferme bovine — Plateau sec et terrain aride / reprise progressive de la végétation</x:v>
      </x:c>
      <x:c r="F1729" t="n">
        <x:v>10</x:v>
      </x:c>
      <x:c r="G1729" t="n">
        <x:v>5</x:v>
      </x:c>
      <x:c r="H1729" t="n">
        <x:v>15</x:v>
      </x:c>
      <x:c r="I1729" t="str">
        <x:v>À qualifier par lieu</x:v>
      </x:c>
      <x:c r="J1729" t="str">
        <x:v>https://github.com/darknigthmare/deadwall-last-enclosure/blob/1b3b9c5ba232734b1bda3453b4e20a0481bcdd74/codex-3000/compositions/Agriculture/DW-1724.md</x:v>
      </x:c>
      <x:c r="K1729" t="str">
        <x:v>Source min 90,60 m ; max 700,450 m ; modèle 78 × 60 m ; niveaux 0. Détails dans catalogue-existant.json.</x:v>
      </x:c>
    </x:row>
    <x:row r="1730">
      <x:c r="A1730" t="str">
        <x:v>DW-1725</x:v>
      </x:c>
      <x:c r="B1730" t="str">
        <x:v>DW-0363</x:v>
      </x:c>
      <x:c r="C1730" t="str">
        <x:v>Composition héritée</x:v>
      </x:c>
      <x:c r="D1730" t="str">
        <x:v>Agriculture</x:v>
      </x:c>
      <x:c r="E1730" t="str">
        <x:v>Bergerie — Hameau / première récupération passée</x:v>
      </x:c>
      <x:c r="F1730" t="n">
        <x:v>8</x:v>
      </x:c>
      <x:c r="G1730" t="n">
        <x:v>4</x:v>
      </x:c>
      <x:c r="H1730" t="n">
        <x:v>12</x:v>
      </x:c>
      <x:c r="I1730" t="str">
        <x:v>À qualifier par lieu</x:v>
      </x:c>
      <x:c r="J1730" t="str">
        <x:v>https://github.com/darknigthmare/deadwall-last-enclosure/blob/1b3b9c5ba232734b1bda3453b4e20a0481bcdd74/codex-3000/compositions/Agriculture/DW-1725.md</x:v>
      </x:c>
      <x:c r="K1730" t="str">
        <x:v>Source min 90,60 m ; max 700,450 m ; modèle 78 × 60 m ; niveaux 0. Détails dans catalogue-existant.json.</x:v>
      </x:c>
    </x:row>
    <x:row r="1731">
      <x:c r="A1731" t="str">
        <x:v>DW-1726</x:v>
      </x:c>
      <x:c r="B1731" t="str">
        <x:v>DW-0363</x:v>
      </x:c>
      <x:c r="C1731" t="str">
        <x:v>Composition héritée</x:v>
      </x:c>
      <x:c r="D1731" t="str">
        <x:v>Agriculture</x:v>
      </x:c>
      <x:c r="E1731" t="str">
        <x:v>Bergerie — Ferme, verger et pâtures / relais temporaire envisagé</x:v>
      </x:c>
      <x:c r="F1731" t="n">
        <x:v>8</x:v>
      </x:c>
      <x:c r="G1731" t="n">
        <x:v>4</x:v>
      </x:c>
      <x:c r="H1731" t="n">
        <x:v>12</x:v>
      </x:c>
      <x:c r="I1731" t="str">
        <x:v>À qualifier par lieu</x:v>
      </x:c>
      <x:c r="J1731" t="str">
        <x:v>https://github.com/darknigthmare/deadwall-last-enclosure/blob/1b3b9c5ba232734b1bda3453b4e20a0481bcdd74/codex-3000/compositions/Agriculture/DW-1726.md</x:v>
      </x:c>
      <x:c r="K1731" t="str">
        <x:v>Source min 90,60 m ; max 700,450 m ; modèle 78 × 60 m ; niveaux 0. Détails dans catalogue-existant.json.</x:v>
      </x:c>
    </x:row>
    <x:row r="1732">
      <x:c r="A1732" t="str">
        <x:v>DW-1727</x:v>
      </x:c>
      <x:c r="B1732" t="str">
        <x:v>DW-0364</x:v>
      </x:c>
      <x:c r="C1732" t="str">
        <x:v>Composition héritée</x:v>
      </x:c>
      <x:c r="D1732" t="str">
        <x:v>Agriculture</x:v>
      </x:c>
      <x:c r="E1732" t="str">
        <x:v>Élevage avicole — Plateau sec et terrain aride / service déplacé à l’arrière</x:v>
      </x:c>
      <x:c r="F1732" t="n">
        <x:v>10</x:v>
      </x:c>
      <x:c r="G1732" t="n">
        <x:v>4</x:v>
      </x:c>
      <x:c r="H1732" t="n">
        <x:v>12</x:v>
      </x:c>
      <x:c r="I1732" t="str">
        <x:v>À qualifier par lieu</x:v>
      </x:c>
      <x:c r="J1732" t="str">
        <x:v>https://github.com/darknigthmare/deadwall-last-enclosure/blob/1b3b9c5ba232734b1bda3453b4e20a0481bcdd74/codex-3000/compositions/Agriculture/DW-1727.md</x:v>
      </x:c>
      <x:c r="K1732" t="str">
        <x:v>Source min 90,60 m ; max 700,450 m ; modèle 78 × 60 m ; niveaux 0. Détails dans catalogue-existant.json.</x:v>
      </x:c>
    </x:row>
    <x:row r="1733">
      <x:c r="A1733" t="str">
        <x:v>DW-1728</x:v>
      </x:c>
      <x:c r="B1733" t="str">
        <x:v>DW-0364</x:v>
      </x:c>
      <x:c r="C1733" t="str">
        <x:v>Composition héritée</x:v>
      </x:c>
      <x:c r="D1733" t="str">
        <x:v>Agriculture</x:v>
      </x:c>
      <x:c r="E1733" t="str">
        <x:v>Élevage avicole — Prairie et friche ouverte / réseau principal coupé</x:v>
      </x:c>
      <x:c r="F1733" t="n">
        <x:v>8</x:v>
      </x:c>
      <x:c r="G1733" t="n">
        <x:v>4</x:v>
      </x:c>
      <x:c r="H1733" t="n">
        <x:v>12</x:v>
      </x:c>
      <x:c r="I1733" t="str">
        <x:v>À qualifier par lieu</x:v>
      </x:c>
      <x:c r="J1733" t="str">
        <x:v>https://github.com/darknigthmare/deadwall-last-enclosure/blob/1b3b9c5ba232734b1bda3453b4e20a0481bcdd74/codex-3000/compositions/Agriculture/DW-1728.md</x:v>
      </x:c>
      <x:c r="K1733" t="str">
        <x:v>Source min 90,60 m ; max 700,450 m ; modèle 78 × 60 m ; niveaux 0. Détails dans catalogue-existant.json.</x:v>
      </x:c>
    </x:row>
    <x:row r="1734">
      <x:c r="A1734" t="str">
        <x:v>DW-1729</x:v>
      </x:c>
      <x:c r="B1734" t="str">
        <x:v>DW-0365</x:v>
      </x:c>
      <x:c r="C1734" t="str">
        <x:v>Composition héritée</x:v>
      </x:c>
      <x:c r="D1734" t="str">
        <x:v>Agriculture</x:v>
      </x:c>
      <x:c r="E1734" t="str">
        <x:v>Porcherie désaffectée — Ferme, verger et pâtures / reprise progressive de la végétation</x:v>
      </x:c>
      <x:c r="F1734" t="n">
        <x:v>8</x:v>
      </x:c>
      <x:c r="G1734" t="n">
        <x:v>4</x:v>
      </x:c>
      <x:c r="H1734" t="n">
        <x:v>12</x:v>
      </x:c>
      <x:c r="I1734" t="str">
        <x:v>À qualifier par lieu</x:v>
      </x:c>
      <x:c r="J1734" t="str">
        <x:v>https://github.com/darknigthmare/deadwall-last-enclosure/blob/1b3b9c5ba232734b1bda3453b4e20a0481bcdd74/codex-3000/compositions/Agriculture/DW-1729.md</x:v>
      </x:c>
      <x:c r="K1734" t="str">
        <x:v>Source min 90,60 m ; max 700,450 m ; modèle 78 × 60 m ; niveaux 0. Détails dans catalogue-existant.json.</x:v>
      </x:c>
    </x:row>
    <x:row r="1735">
      <x:c r="A1735" t="str">
        <x:v>DW-1730</x:v>
      </x:c>
      <x:c r="B1735" t="str">
        <x:v>DW-0365</x:v>
      </x:c>
      <x:c r="C1735" t="str">
        <x:v>Composition héritée</x:v>
      </x:c>
      <x:c r="D1735" t="str">
        <x:v>Agriculture</x:v>
      </x:c>
      <x:c r="E1735" t="str">
        <x:v>Porcherie désaffectée — Hameau / repli organisé interrompu</x:v>
      </x:c>
      <x:c r="F1735" t="n">
        <x:v>8</x:v>
      </x:c>
      <x:c r="G1735" t="n">
        <x:v>4</x:v>
      </x:c>
      <x:c r="H1735" t="n">
        <x:v>12</x:v>
      </x:c>
      <x:c r="I1735" t="str">
        <x:v>À qualifier par lieu</x:v>
      </x:c>
      <x:c r="J1735" t="str">
        <x:v>https://github.com/darknigthmare/deadwall-last-enclosure/blob/1b3b9c5ba232734b1bda3453b4e20a0481bcdd74/codex-3000/compositions/Agriculture/DW-1730.md</x:v>
      </x:c>
      <x:c r="K1735" t="str">
        <x:v>Source min 90,60 m ; max 700,450 m ; modèle 78 × 60 m ; niveaux 0. Détails dans catalogue-existant.json.</x:v>
      </x:c>
    </x:row>
    <x:row r="1736">
      <x:c r="A1736" t="str">
        <x:v>DW-1731</x:v>
      </x:c>
      <x:c r="B1736" t="str">
        <x:v>DW-0366</x:v>
      </x:c>
      <x:c r="C1736" t="str">
        <x:v>Composition héritée</x:v>
      </x:c>
      <x:c r="D1736" t="str">
        <x:v>Agriculture</x:v>
      </x:c>
      <x:c r="E1736" t="str">
        <x:v>Ferme laitière — Prairie et friche ouverte / relais temporaire envisagé</x:v>
      </x:c>
      <x:c r="F1736" t="n">
        <x:v>8</x:v>
      </x:c>
      <x:c r="G1736" t="n">
        <x:v>4</x:v>
      </x:c>
      <x:c r="H1736" t="n">
        <x:v>12</x:v>
      </x:c>
      <x:c r="I1736" t="str">
        <x:v>À qualifier par lieu</x:v>
      </x:c>
      <x:c r="J1736" t="str">
        <x:v>https://github.com/darknigthmare/deadwall-last-enclosure/blob/1b3b9c5ba232734b1bda3453b4e20a0481bcdd74/codex-3000/compositions/Agriculture/DW-1731.md</x:v>
      </x:c>
      <x:c r="K1736" t="str">
        <x:v>Source min 90,60 m ; max 700,450 m ; modèle 78 × 60 m ; niveaux 0. Détails dans catalogue-existant.json.</x:v>
      </x:c>
    </x:row>
    <x:row r="1737">
      <x:c r="A1737" t="str">
        <x:v>DW-1732</x:v>
      </x:c>
      <x:c r="B1737" t="str">
        <x:v>DW-0366</x:v>
      </x:c>
      <x:c r="C1737" t="str">
        <x:v>Composition héritée</x:v>
      </x:c>
      <x:c r="D1737" t="str">
        <x:v>Agriculture</x:v>
      </x:c>
      <x:c r="E1737" t="str">
        <x:v>Ferme laitière — Plateau sec et terrain aride / évacuation interrompue</x:v>
      </x:c>
      <x:c r="F1737" t="n">
        <x:v>10</x:v>
      </x:c>
      <x:c r="G1737" t="n">
        <x:v>4</x:v>
      </x:c>
      <x:c r="H1737" t="n">
        <x:v>12</x:v>
      </x:c>
      <x:c r="I1737" t="str">
        <x:v>À qualifier par lieu</x:v>
      </x:c>
      <x:c r="J1737" t="str">
        <x:v>https://github.com/darknigthmare/deadwall-last-enclosure/blob/1b3b9c5ba232734b1bda3453b4e20a0481bcdd74/codex-3000/compositions/Agriculture/DW-1732.md</x:v>
      </x:c>
      <x:c r="K1737" t="str">
        <x:v>Source min 90,60 m ; max 700,450 m ; modèle 78 × 60 m ; niveaux 0. Détails dans catalogue-existant.json.</x:v>
      </x:c>
    </x:row>
    <x:row r="1738">
      <x:c r="A1738" t="str">
        <x:v>DW-1733</x:v>
      </x:c>
      <x:c r="B1738" t="str">
        <x:v>DW-0367</x:v>
      </x:c>
      <x:c r="C1738" t="str">
        <x:v>Composition héritée</x:v>
      </x:c>
      <x:c r="D1738" t="str">
        <x:v>Agriculture</x:v>
      </x:c>
      <x:c r="E1738" t="str">
        <x:v>Exploitation maraîchère — Hameau / réseau principal coupé</x:v>
      </x:c>
      <x:c r="F1738" t="n">
        <x:v>8</x:v>
      </x:c>
      <x:c r="G1738" t="n">
        <x:v>4</x:v>
      </x:c>
      <x:c r="H1738" t="n">
        <x:v>12</x:v>
      </x:c>
      <x:c r="I1738" t="str">
        <x:v>À qualifier par lieu</x:v>
      </x:c>
      <x:c r="J1738" t="str">
        <x:v>https://github.com/darknigthmare/deadwall-last-enclosure/blob/1b3b9c5ba232734b1bda3453b4e20a0481bcdd74/codex-3000/compositions/Agriculture/DW-1733.md</x:v>
      </x:c>
      <x:c r="K1738" t="str">
        <x:v>Source min 90,60 m ; max 700,450 m ; modèle 78 × 60 m ; niveaux 0. Détails dans catalogue-existant.json.</x:v>
      </x:c>
    </x:row>
    <x:row r="1739">
      <x:c r="A1739" t="str">
        <x:v>DW-1734</x:v>
      </x:c>
      <x:c r="B1739" t="str">
        <x:v>DW-0367</x:v>
      </x:c>
      <x:c r="C1739" t="str">
        <x:v>Composition héritée</x:v>
      </x:c>
      <x:c r="D1739" t="str">
        <x:v>Agriculture</x:v>
      </x:c>
      <x:c r="E1739" t="str">
        <x:v>Exploitation maraîchère — Ferme, verger et pâtures / arrêt de maintenance</x:v>
      </x:c>
      <x:c r="F1739" t="n">
        <x:v>8</x:v>
      </x:c>
      <x:c r="G1739" t="n">
        <x:v>4</x:v>
      </x:c>
      <x:c r="H1739" t="n">
        <x:v>12</x:v>
      </x:c>
      <x:c r="I1739" t="str">
        <x:v>À qualifier par lieu</x:v>
      </x:c>
      <x:c r="J1739" t="str">
        <x:v>https://github.com/darknigthmare/deadwall-last-enclosure/blob/1b3b9c5ba232734b1bda3453b4e20a0481bcdd74/codex-3000/compositions/Agriculture/DW-1734.md</x:v>
      </x:c>
      <x:c r="K1739" t="str">
        <x:v>Source min 90,60 m ; max 700,450 m ; modèle 78 × 60 m ; niveaux 0. Détails dans catalogue-existant.json.</x:v>
      </x:c>
    </x:row>
    <x:row r="1740">
      <x:c r="A1740" t="str">
        <x:v>DW-1735</x:v>
      </x:c>
      <x:c r="B1740" t="str">
        <x:v>DW-0368</x:v>
      </x:c>
      <x:c r="C1740" t="str">
        <x:v>Composition héritée</x:v>
      </x:c>
      <x:c r="D1740" t="str">
        <x:v>Agriculture</x:v>
      </x:c>
      <x:c r="E1740" t="str">
        <x:v>Serres horticoles — Plateau sec et terrain aride / repli organisé interrompu</x:v>
      </x:c>
      <x:c r="F1740" t="n">
        <x:v>10</x:v>
      </x:c>
      <x:c r="G1740" t="n">
        <x:v>4</x:v>
      </x:c>
      <x:c r="H1740" t="n">
        <x:v>12</x:v>
      </x:c>
      <x:c r="I1740" t="str">
        <x:v>À qualifier par lieu</x:v>
      </x:c>
      <x:c r="J1740" t="str">
        <x:v>https://github.com/darknigthmare/deadwall-last-enclosure/blob/1b3b9c5ba232734b1bda3453b4e20a0481bcdd74/codex-3000/compositions/Agriculture/DW-1735.md</x:v>
      </x:c>
      <x:c r="K1740" t="str">
        <x:v>Source min 90,60 m ; max 700,450 m ; modèle 78 × 60 m ; niveaux 0. Détails dans catalogue-existant.json.</x:v>
      </x:c>
    </x:row>
    <x:row r="1741">
      <x:c r="A1741" t="str">
        <x:v>DW-1736</x:v>
      </x:c>
      <x:c r="B1741" t="str">
        <x:v>DW-0368</x:v>
      </x:c>
      <x:c r="C1741" t="str">
        <x:v>Composition héritée</x:v>
      </x:c>
      <x:c r="D1741" t="str">
        <x:v>Agriculture</x:v>
      </x:c>
      <x:c r="E1741" t="str">
        <x:v>Serres horticoles — Prairie et friche ouverte / première récupération passée</x:v>
      </x:c>
      <x:c r="F1741" t="n">
        <x:v>8</x:v>
      </x:c>
      <x:c r="G1741" t="n">
        <x:v>4</x:v>
      </x:c>
      <x:c r="H1741" t="n">
        <x:v>12</x:v>
      </x:c>
      <x:c r="I1741" t="str">
        <x:v>À qualifier par lieu</x:v>
      </x:c>
      <x:c r="J1741" t="str">
        <x:v>https://github.com/darknigthmare/deadwall-last-enclosure/blob/1b3b9c5ba232734b1bda3453b4e20a0481bcdd74/codex-3000/compositions/Agriculture/DW-1736.md</x:v>
      </x:c>
      <x:c r="K1741" t="str">
        <x:v>Source min 90,60 m ; max 700,450 m ; modèle 78 × 60 m ; niveaux 0. Détails dans catalogue-existant.json.</x:v>
      </x:c>
    </x:row>
    <x:row r="1742">
      <x:c r="A1742" t="str">
        <x:v>DW-1737</x:v>
      </x:c>
      <x:c r="B1742" t="str">
        <x:v>DW-0369</x:v>
      </x:c>
      <x:c r="C1742" t="str">
        <x:v>Composition héritée</x:v>
      </x:c>
      <x:c r="D1742" t="str">
        <x:v>Agriculture</x:v>
      </x:c>
      <x:c r="E1742" t="str">
        <x:v>Verger — Ferme, verger et pâtures / évacuation interrompue</x:v>
      </x:c>
      <x:c r="F1742" t="n">
        <x:v>8</x:v>
      </x:c>
      <x:c r="G1742" t="n">
        <x:v>4</x:v>
      </x:c>
      <x:c r="H1742" t="n">
        <x:v>12</x:v>
      </x:c>
      <x:c r="I1742" t="str">
        <x:v>À qualifier par lieu</x:v>
      </x:c>
      <x:c r="J1742" t="str">
        <x:v>https://github.com/darknigthmare/deadwall-last-enclosure/blob/1b3b9c5ba232734b1bda3453b4e20a0481bcdd74/codex-3000/compositions/Agriculture/DW-1737.md</x:v>
      </x:c>
      <x:c r="K1742" t="str">
        <x:v>Source min 90,60 m ; max 700,450 m ; modèle 78 × 60 m ; niveaux 0. Détails dans catalogue-existant.json.</x:v>
      </x:c>
    </x:row>
    <x:row r="1743">
      <x:c r="A1743" t="str">
        <x:v>DW-1738</x:v>
      </x:c>
      <x:c r="B1743" t="str">
        <x:v>DW-0369</x:v>
      </x:c>
      <x:c r="C1743" t="str">
        <x:v>Composition héritée</x:v>
      </x:c>
      <x:c r="D1743" t="str">
        <x:v>Agriculture</x:v>
      </x:c>
      <x:c r="E1743" t="str">
        <x:v>Verger — Hameau / service déplacé à l’arrière</x:v>
      </x:c>
      <x:c r="F1743" t="n">
        <x:v>8</x:v>
      </x:c>
      <x:c r="G1743" t="n">
        <x:v>4</x:v>
      </x:c>
      <x:c r="H1743" t="n">
        <x:v>12</x:v>
      </x:c>
      <x:c r="I1743" t="str">
        <x:v>À qualifier par lieu</x:v>
      </x:c>
      <x:c r="J1743" t="str">
        <x:v>https://github.com/darknigthmare/deadwall-last-enclosure/blob/1b3b9c5ba232734b1bda3453b4e20a0481bcdd74/codex-3000/compositions/Agriculture/DW-1738.md</x:v>
      </x:c>
      <x:c r="K1743" t="str">
        <x:v>Source min 90,60 m ; max 700,450 m ; modèle 78 × 60 m ; niveaux 0. Détails dans catalogue-existant.json.</x:v>
      </x:c>
    </x:row>
    <x:row r="1744">
      <x:c r="A1744" t="str">
        <x:v>DW-1739</x:v>
      </x:c>
      <x:c r="B1744" t="str">
        <x:v>DW-0370</x:v>
      </x:c>
      <x:c r="C1744" t="str">
        <x:v>Composition héritée</x:v>
      </x:c>
      <x:c r="D1744" t="str">
        <x:v>Agriculture</x:v>
      </x:c>
      <x:c r="E1744" t="str">
        <x:v>Vignoble fictif — Prairie et friche ouverte / arrêt de maintenance</x:v>
      </x:c>
      <x:c r="F1744" t="n">
        <x:v>8</x:v>
      </x:c>
      <x:c r="G1744" t="n">
        <x:v>4</x:v>
      </x:c>
      <x:c r="H1744" t="n">
        <x:v>12</x:v>
      </x:c>
      <x:c r="I1744" t="str">
        <x:v>À qualifier par lieu</x:v>
      </x:c>
      <x:c r="J1744" t="str">
        <x:v>https://github.com/darknigthmare/deadwall-last-enclosure/blob/1b3b9c5ba232734b1bda3453b4e20a0481bcdd74/codex-3000/compositions/Agriculture/DW-1739.md</x:v>
      </x:c>
      <x:c r="K1744" t="str">
        <x:v>Source min 90,60 m ; max 700,450 m ; modèle 78 × 60 m ; niveaux 0. Détails dans catalogue-existant.json.</x:v>
      </x:c>
    </x:row>
    <x:row r="1745">
      <x:c r="A1745" t="str">
        <x:v>DW-1740</x:v>
      </x:c>
      <x:c r="B1745" t="str">
        <x:v>DW-0370</x:v>
      </x:c>
      <x:c r="C1745" t="str">
        <x:v>Composition héritée</x:v>
      </x:c>
      <x:c r="D1745" t="str">
        <x:v>Agriculture</x:v>
      </x:c>
      <x:c r="E1745" t="str">
        <x:v>Vignoble fictif — Plateau sec et terrain aride / reprise progressive de la végétation</x:v>
      </x:c>
      <x:c r="F1745" t="n">
        <x:v>10</x:v>
      </x:c>
      <x:c r="G1745" t="n">
        <x:v>4</x:v>
      </x:c>
      <x:c r="H1745" t="n">
        <x:v>12</x:v>
      </x:c>
      <x:c r="I1745" t="str">
        <x:v>À qualifier par lieu</x:v>
      </x:c>
      <x:c r="J1745" t="str">
        <x:v>https://github.com/darknigthmare/deadwall-last-enclosure/blob/1b3b9c5ba232734b1bda3453b4e20a0481bcdd74/codex-3000/compositions/Agriculture/DW-1740.md</x:v>
      </x:c>
      <x:c r="K1745" t="str">
        <x:v>Source min 90,60 m ; max 700,450 m ; modèle 78 × 60 m ; niveaux 0. Détails dans catalogue-existant.json.</x:v>
      </x:c>
    </x:row>
    <x:row r="1746">
      <x:c r="A1746" t="str">
        <x:v>DW-1741</x:v>
      </x:c>
      <x:c r="B1746" t="str">
        <x:v>DW-0371</x:v>
      </x:c>
      <x:c r="C1746" t="str">
        <x:v>Composition héritée</x:v>
      </x:c>
      <x:c r="D1746" t="str">
        <x:v>Agriculture</x:v>
      </x:c>
      <x:c r="E1746" t="str">
        <x:v>Oliveraie — Hameau / première récupération passée</x:v>
      </x:c>
      <x:c r="F1746" t="n">
        <x:v>8</x:v>
      </x:c>
      <x:c r="G1746" t="n">
        <x:v>4</x:v>
      </x:c>
      <x:c r="H1746" t="n">
        <x:v>12</x:v>
      </x:c>
      <x:c r="I1746" t="str">
        <x:v>À qualifier par lieu</x:v>
      </x:c>
      <x:c r="J1746" t="str">
        <x:v>https://github.com/darknigthmare/deadwall-last-enclosure/blob/1b3b9c5ba232734b1bda3453b4e20a0481bcdd74/codex-3000/compositions/Agriculture/DW-1741.md</x:v>
      </x:c>
      <x:c r="K1746" t="str">
        <x:v>Source min 90,60 m ; max 700,450 m ; modèle 78 × 60 m ; niveaux 0. Détails dans catalogue-existant.json.</x:v>
      </x:c>
    </x:row>
    <x:row r="1747">
      <x:c r="A1747" t="str">
        <x:v>DW-1742</x:v>
      </x:c>
      <x:c r="B1747" t="str">
        <x:v>DW-0371</x:v>
      </x:c>
      <x:c r="C1747" t="str">
        <x:v>Composition héritée</x:v>
      </x:c>
      <x:c r="D1747" t="str">
        <x:v>Agriculture</x:v>
      </x:c>
      <x:c r="E1747" t="str">
        <x:v>Oliveraie — Ferme, verger et pâtures / relais temporaire envisagé</x:v>
      </x:c>
      <x:c r="F1747" t="n">
        <x:v>8</x:v>
      </x:c>
      <x:c r="G1747" t="n">
        <x:v>4</x:v>
      </x:c>
      <x:c r="H1747" t="n">
        <x:v>12</x:v>
      </x:c>
      <x:c r="I1747" t="str">
        <x:v>À qualifier par lieu</x:v>
      </x:c>
      <x:c r="J1747" t="str">
        <x:v>https://github.com/darknigthmare/deadwall-last-enclosure/blob/1b3b9c5ba232734b1bda3453b4e20a0481bcdd74/codex-3000/compositions/Agriculture/DW-1742.md</x:v>
      </x:c>
      <x:c r="K1747" t="str">
        <x:v>Source min 90,60 m ; max 700,450 m ; modèle 78 × 60 m ; niveaux 0. Détails dans catalogue-existant.json.</x:v>
      </x:c>
    </x:row>
    <x:row r="1748">
      <x:c r="A1748" t="str">
        <x:v>DW-1743</x:v>
      </x:c>
      <x:c r="B1748" t="str">
        <x:v>DW-0372</x:v>
      </x:c>
      <x:c r="C1748" t="str">
        <x:v>Composition héritée</x:v>
      </x:c>
      <x:c r="D1748" t="str">
        <x:v>Agriculture</x:v>
      </x:c>
      <x:c r="E1748" t="str">
        <x:v>Ferme apicole — Plateau sec et terrain aride / service déplacé à l’arrière</x:v>
      </x:c>
      <x:c r="F1748" t="n">
        <x:v>10</x:v>
      </x:c>
      <x:c r="G1748" t="n">
        <x:v>4</x:v>
      </x:c>
      <x:c r="H1748" t="n">
        <x:v>12</x:v>
      </x:c>
      <x:c r="I1748" t="str">
        <x:v>À qualifier par lieu</x:v>
      </x:c>
      <x:c r="J1748" t="str">
        <x:v>https://github.com/darknigthmare/deadwall-last-enclosure/blob/1b3b9c5ba232734b1bda3453b4e20a0481bcdd74/codex-3000/compositions/Agriculture/DW-1743.md</x:v>
      </x:c>
      <x:c r="K1748" t="str">
        <x:v>Source min 90,60 m ; max 700,450 m ; modèle 78 × 60 m ; niveaux 0. Détails dans catalogue-existant.json.</x:v>
      </x:c>
    </x:row>
    <x:row r="1749">
      <x:c r="A1749" t="str">
        <x:v>DW-1744</x:v>
      </x:c>
      <x:c r="B1749" t="str">
        <x:v>DW-0372</x:v>
      </x:c>
      <x:c r="C1749" t="str">
        <x:v>Composition héritée</x:v>
      </x:c>
      <x:c r="D1749" t="str">
        <x:v>Agriculture</x:v>
      </x:c>
      <x:c r="E1749" t="str">
        <x:v>Ferme apicole — Prairie et friche ouverte / réseau principal coupé</x:v>
      </x:c>
      <x:c r="F1749" t="n">
        <x:v>8</x:v>
      </x:c>
      <x:c r="G1749" t="n">
        <x:v>4</x:v>
      </x:c>
      <x:c r="H1749" t="n">
        <x:v>12</x:v>
      </x:c>
      <x:c r="I1749" t="str">
        <x:v>À qualifier par lieu</x:v>
      </x:c>
      <x:c r="J1749" t="str">
        <x:v>https://github.com/darknigthmare/deadwall-last-enclosure/blob/1b3b9c5ba232734b1bda3453b4e20a0481bcdd74/codex-3000/compositions/Agriculture/DW-1744.md</x:v>
      </x:c>
      <x:c r="K1749" t="str">
        <x:v>Source min 90,60 m ; max 700,450 m ; modèle 78 × 60 m ; niveaux 0. Détails dans catalogue-existant.json.</x:v>
      </x:c>
    </x:row>
    <x:row r="1750">
      <x:c r="A1750" t="str">
        <x:v>DW-1745</x:v>
      </x:c>
      <x:c r="B1750" t="str">
        <x:v>DW-0373</x:v>
      </x:c>
      <x:c r="C1750" t="str">
        <x:v>Composition héritée</x:v>
      </x:c>
      <x:c r="D1750" t="str">
        <x:v>Agriculture</x:v>
      </x:c>
      <x:c r="E1750" t="str">
        <x:v>Centre équestre — Ferme, verger et pâtures / reprise progressive de la végétation</x:v>
      </x:c>
      <x:c r="F1750" t="n">
        <x:v>8</x:v>
      </x:c>
      <x:c r="G1750" t="n">
        <x:v>5</x:v>
      </x:c>
      <x:c r="H1750" t="n">
        <x:v>15</x:v>
      </x:c>
      <x:c r="I1750" t="str">
        <x:v>À qualifier par lieu</x:v>
      </x:c>
      <x:c r="J1750" t="str">
        <x:v>https://github.com/darknigthmare/deadwall-last-enclosure/blob/1b3b9c5ba232734b1bda3453b4e20a0481bcdd74/codex-3000/compositions/Agriculture/DW-1745.md</x:v>
      </x:c>
      <x:c r="K1750" t="str">
        <x:v>Source min 90,60 m ; max 700,450 m ; modèle 78 × 60 m ; niveaux 0. Détails dans catalogue-existant.json.</x:v>
      </x:c>
    </x:row>
    <x:row r="1751">
      <x:c r="A1751" t="str">
        <x:v>DW-1746</x:v>
      </x:c>
      <x:c r="B1751" t="str">
        <x:v>DW-0373</x:v>
      </x:c>
      <x:c r="C1751" t="str">
        <x:v>Composition héritée</x:v>
      </x:c>
      <x:c r="D1751" t="str">
        <x:v>Agriculture</x:v>
      </x:c>
      <x:c r="E1751" t="str">
        <x:v>Centre équestre — Hameau / repli organisé interrompu</x:v>
      </x:c>
      <x:c r="F1751" t="n">
        <x:v>8</x:v>
      </x:c>
      <x:c r="G1751" t="n">
        <x:v>5</x:v>
      </x:c>
      <x:c r="H1751" t="n">
        <x:v>15</x:v>
      </x:c>
      <x:c r="I1751" t="str">
        <x:v>À qualifier par lieu</x:v>
      </x:c>
      <x:c r="J1751" t="str">
        <x:v>https://github.com/darknigthmare/deadwall-last-enclosure/blob/1b3b9c5ba232734b1bda3453b4e20a0481bcdd74/codex-3000/compositions/Agriculture/DW-1746.md</x:v>
      </x:c>
      <x:c r="K1751" t="str">
        <x:v>Source min 90,60 m ; max 700,450 m ; modèle 78 × 60 m ; niveaux 0. Détails dans catalogue-existant.json.</x:v>
      </x:c>
    </x:row>
    <x:row r="1752">
      <x:c r="A1752" t="str">
        <x:v>DW-1747</x:v>
      </x:c>
      <x:c r="B1752" t="str">
        <x:v>DW-0374</x:v>
      </x:c>
      <x:c r="C1752" t="str">
        <x:v>Composition héritée</x:v>
      </x:c>
      <x:c r="D1752" t="str">
        <x:v>Agriculture</x:v>
      </x:c>
      <x:c r="E1752" t="str">
        <x:v>Ferme pédagogique — Prairie et friche ouverte / relais temporaire envisagé</x:v>
      </x:c>
      <x:c r="F1752" t="n">
        <x:v>8</x:v>
      </x:c>
      <x:c r="G1752" t="n">
        <x:v>4</x:v>
      </x:c>
      <x:c r="H1752" t="n">
        <x:v>12</x:v>
      </x:c>
      <x:c r="I1752" t="str">
        <x:v>À qualifier par lieu</x:v>
      </x:c>
      <x:c r="J1752" t="str">
        <x:v>https://github.com/darknigthmare/deadwall-last-enclosure/blob/1b3b9c5ba232734b1bda3453b4e20a0481bcdd74/codex-3000/compositions/Agriculture/DW-1747.md</x:v>
      </x:c>
      <x:c r="K1752" t="str">
        <x:v>Source min 90,60 m ; max 700,450 m ; modèle 78 × 60 m ; niveaux 0. Détails dans catalogue-existant.json.</x:v>
      </x:c>
    </x:row>
    <x:row r="1753">
      <x:c r="A1753" t="str">
        <x:v>DW-1748</x:v>
      </x:c>
      <x:c r="B1753" t="str">
        <x:v>DW-0374</x:v>
      </x:c>
      <x:c r="C1753" t="str">
        <x:v>Composition héritée</x:v>
      </x:c>
      <x:c r="D1753" t="str">
        <x:v>Agriculture</x:v>
      </x:c>
      <x:c r="E1753" t="str">
        <x:v>Ferme pédagogique — Plateau sec et terrain aride / évacuation interrompue</x:v>
      </x:c>
      <x:c r="F1753" t="n">
        <x:v>10</x:v>
      </x:c>
      <x:c r="G1753" t="n">
        <x:v>4</x:v>
      </x:c>
      <x:c r="H1753" t="n">
        <x:v>12</x:v>
      </x:c>
      <x:c r="I1753" t="str">
        <x:v>À qualifier par lieu</x:v>
      </x:c>
      <x:c r="J1753" t="str">
        <x:v>https://github.com/darknigthmare/deadwall-last-enclosure/blob/1b3b9c5ba232734b1bda3453b4e20a0481bcdd74/codex-3000/compositions/Agriculture/DW-1748.md</x:v>
      </x:c>
      <x:c r="K1753" t="str">
        <x:v>Source min 90,60 m ; max 700,450 m ; modèle 78 × 60 m ; niveaux 0. Détails dans catalogue-existant.json.</x:v>
      </x:c>
    </x:row>
    <x:row r="1754">
      <x:c r="A1754" t="str">
        <x:v>DW-1749</x:v>
      </x:c>
      <x:c r="B1754" t="str">
        <x:v>DW-0375</x:v>
      </x:c>
      <x:c r="C1754" t="str">
        <x:v>Composition héritée</x:v>
      </x:c>
      <x:c r="D1754" t="str">
        <x:v>Agriculture</x:v>
      </x:c>
      <x:c r="E1754" t="str">
        <x:v>Coopérative agricole — Hameau / réseau principal coupé</x:v>
      </x:c>
      <x:c r="F1754" t="n">
        <x:v>8</x:v>
      </x:c>
      <x:c r="G1754" t="n">
        <x:v>4</x:v>
      </x:c>
      <x:c r="H1754" t="n">
        <x:v>12</x:v>
      </x:c>
      <x:c r="I1754" t="str">
        <x:v>À qualifier par lieu</x:v>
      </x:c>
      <x:c r="J1754" t="str">
        <x:v>https://github.com/darknigthmare/deadwall-last-enclosure/blob/1b3b9c5ba232734b1bda3453b4e20a0481bcdd74/codex-3000/compositions/Agriculture/DW-1749.md</x:v>
      </x:c>
      <x:c r="K1754" t="str">
        <x:v>Source min 90,60 m ; max 700,450 m ; modèle 78 × 60 m ; niveaux 0. Détails dans catalogue-existant.json.</x:v>
      </x:c>
    </x:row>
    <x:row r="1755">
      <x:c r="A1755" t="str">
        <x:v>DW-1750</x:v>
      </x:c>
      <x:c r="B1755" t="str">
        <x:v>DW-0375</x:v>
      </x:c>
      <x:c r="C1755" t="str">
        <x:v>Composition héritée</x:v>
      </x:c>
      <x:c r="D1755" t="str">
        <x:v>Agriculture</x:v>
      </x:c>
      <x:c r="E1755" t="str">
        <x:v>Coopérative agricole — Ferme, verger et pâtures / arrêt de maintenance</x:v>
      </x:c>
      <x:c r="F1755" t="n">
        <x:v>8</x:v>
      </x:c>
      <x:c r="G1755" t="n">
        <x:v>4</x:v>
      </x:c>
      <x:c r="H1755" t="n">
        <x:v>12</x:v>
      </x:c>
      <x:c r="I1755" t="str">
        <x:v>À qualifier par lieu</x:v>
      </x:c>
      <x:c r="J1755" t="str">
        <x:v>https://github.com/darknigthmare/deadwall-last-enclosure/blob/1b3b9c5ba232734b1bda3453b4e20a0481bcdd74/codex-3000/compositions/Agriculture/DW-1750.md</x:v>
      </x:c>
      <x:c r="K1755" t="str">
        <x:v>Source min 90,60 m ; max 700,450 m ; modèle 78 × 60 m ; niveaux 0. Détails dans catalogue-existant.json.</x:v>
      </x:c>
    </x:row>
    <x:row r="1756">
      <x:c r="A1756" t="str">
        <x:v>DW-1751</x:v>
      </x:c>
      <x:c r="B1756" t="str">
        <x:v>DW-0376</x:v>
      </x:c>
      <x:c r="C1756" t="str">
        <x:v>Composition héritée</x:v>
      </x:c>
      <x:c r="D1756" t="str">
        <x:v>Agriculture</x:v>
      </x:c>
      <x:c r="E1756" t="str">
        <x:v>Silo à grains — Plateau sec et terrain aride / repli organisé interrompu</x:v>
      </x:c>
      <x:c r="F1756" t="n">
        <x:v>10</x:v>
      </x:c>
      <x:c r="G1756" t="n">
        <x:v>4</x:v>
      </x:c>
      <x:c r="H1756" t="n">
        <x:v>12</x:v>
      </x:c>
      <x:c r="I1756" t="str">
        <x:v>À qualifier par lieu</x:v>
      </x:c>
      <x:c r="J1756" t="str">
        <x:v>https://github.com/darknigthmare/deadwall-last-enclosure/blob/1b3b9c5ba232734b1bda3453b4e20a0481bcdd74/codex-3000/compositions/Agriculture/DW-1751.md</x:v>
      </x:c>
      <x:c r="K1756" t="str">
        <x:v>Source min 90,60 m ; max 700,450 m ; modèle 78 × 60 m ; niveaux 0. Détails dans catalogue-existant.json.</x:v>
      </x:c>
    </x:row>
    <x:row r="1757">
      <x:c r="A1757" t="str">
        <x:v>DW-1752</x:v>
      </x:c>
      <x:c r="B1757" t="str">
        <x:v>DW-0376</x:v>
      </x:c>
      <x:c r="C1757" t="str">
        <x:v>Composition héritée</x:v>
      </x:c>
      <x:c r="D1757" t="str">
        <x:v>Agriculture</x:v>
      </x:c>
      <x:c r="E1757" t="str">
        <x:v>Silo à grains — Prairie et friche ouverte / première récupération passée</x:v>
      </x:c>
      <x:c r="F1757" t="n">
        <x:v>8</x:v>
      </x:c>
      <x:c r="G1757" t="n">
        <x:v>4</x:v>
      </x:c>
      <x:c r="H1757" t="n">
        <x:v>12</x:v>
      </x:c>
      <x:c r="I1757" t="str">
        <x:v>À qualifier par lieu</x:v>
      </x:c>
      <x:c r="J1757" t="str">
        <x:v>https://github.com/darknigthmare/deadwall-last-enclosure/blob/1b3b9c5ba232734b1bda3453b4e20a0481bcdd74/codex-3000/compositions/Agriculture/DW-1752.md</x:v>
      </x:c>
      <x:c r="K1757" t="str">
        <x:v>Source min 90,60 m ; max 700,450 m ; modèle 78 × 60 m ; niveaux 0. Détails dans catalogue-existant.json.</x:v>
      </x:c>
    </x:row>
    <x:row r="1758">
      <x:c r="A1758" t="str">
        <x:v>DW-1753</x:v>
      </x:c>
      <x:c r="B1758" t="str">
        <x:v>DW-0377</x:v>
      </x:c>
      <x:c r="C1758" t="str">
        <x:v>Composition héritée</x:v>
      </x:c>
      <x:c r="D1758" t="str">
        <x:v>Agriculture</x:v>
      </x:c>
      <x:c r="E1758" t="str">
        <x:v>Dépôt d'amendements agricoles — Ferme, verger et pâtures / évacuation interrompue</x:v>
      </x:c>
      <x:c r="F1758" t="n">
        <x:v>8</x:v>
      </x:c>
      <x:c r="G1758" t="n">
        <x:v>4</x:v>
      </x:c>
      <x:c r="H1758" t="n">
        <x:v>12</x:v>
      </x:c>
      <x:c r="I1758" t="str">
        <x:v>À qualifier par lieu</x:v>
      </x:c>
      <x:c r="J1758" t="str">
        <x:v>https://github.com/darknigthmare/deadwall-last-enclosure/blob/1b3b9c5ba232734b1bda3453b4e20a0481bcdd74/codex-3000/compositions/Agriculture/DW-1753.md</x:v>
      </x:c>
      <x:c r="K1758" t="str">
        <x:v>Source min 90,60 m ; max 700,450 m ; modèle 78 × 60 m ; niveaux 0. Détails dans catalogue-existant.json.</x:v>
      </x:c>
    </x:row>
    <x:row r="1759">
      <x:c r="A1759" t="str">
        <x:v>DW-1754</x:v>
      </x:c>
      <x:c r="B1759" t="str">
        <x:v>DW-0377</x:v>
      </x:c>
      <x:c r="C1759" t="str">
        <x:v>Composition héritée</x:v>
      </x:c>
      <x:c r="D1759" t="str">
        <x:v>Agriculture</x:v>
      </x:c>
      <x:c r="E1759" t="str">
        <x:v>Dépôt d'amendements agricoles — Hameau / service déplacé à l’arrière</x:v>
      </x:c>
      <x:c r="F1759" t="n">
        <x:v>8</x:v>
      </x:c>
      <x:c r="G1759" t="n">
        <x:v>4</x:v>
      </x:c>
      <x:c r="H1759" t="n">
        <x:v>12</x:v>
      </x:c>
      <x:c r="I1759" t="str">
        <x:v>À qualifier par lieu</x:v>
      </x:c>
      <x:c r="J1759" t="str">
        <x:v>https://github.com/darknigthmare/deadwall-last-enclosure/blob/1b3b9c5ba232734b1bda3453b4e20a0481bcdd74/codex-3000/compositions/Agriculture/DW-1754.md</x:v>
      </x:c>
      <x:c r="K1759" t="str">
        <x:v>Source min 90,60 m ; max 700,450 m ; modèle 78 × 60 m ; niveaux 0. Détails dans catalogue-existant.json.</x:v>
      </x:c>
    </x:row>
    <x:row r="1760">
      <x:c r="A1760" t="str">
        <x:v>DW-1755</x:v>
      </x:c>
      <x:c r="B1760" t="str">
        <x:v>DW-0378</x:v>
      </x:c>
      <x:c r="C1760" t="str">
        <x:v>Composition héritée</x:v>
      </x:c>
      <x:c r="D1760" t="str">
        <x:v>Agriculture</x:v>
      </x:c>
      <x:c r="E1760" t="str">
        <x:v>Champ abandonné en friche — Prairie et friche ouverte / arrêt de maintenance</x:v>
      </x:c>
      <x:c r="F1760" t="n">
        <x:v>8</x:v>
      </x:c>
      <x:c r="G1760" t="n">
        <x:v>4</x:v>
      </x:c>
      <x:c r="H1760" t="n">
        <x:v>12</x:v>
      </x:c>
      <x:c r="I1760" t="str">
        <x:v>À qualifier par lieu</x:v>
      </x:c>
      <x:c r="J1760" t="str">
        <x:v>https://github.com/darknigthmare/deadwall-last-enclosure/blob/1b3b9c5ba232734b1bda3453b4e20a0481bcdd74/codex-3000/compositions/Agriculture/DW-1755.md</x:v>
      </x:c>
      <x:c r="K1760" t="str">
        <x:v>Source min 90,60 m ; max 700,450 m ; modèle 78 × 60 m ; niveaux 0. Détails dans catalogue-existant.json.</x:v>
      </x:c>
    </x:row>
    <x:row r="1761">
      <x:c r="A1761" t="str">
        <x:v>DW-1756</x:v>
      </x:c>
      <x:c r="B1761" t="str">
        <x:v>DW-0378</x:v>
      </x:c>
      <x:c r="C1761" t="str">
        <x:v>Composition héritée</x:v>
      </x:c>
      <x:c r="D1761" t="str">
        <x:v>Agriculture</x:v>
      </x:c>
      <x:c r="E1761" t="str">
        <x:v>Champ abandonné en friche — Plateau sec et terrain aride / reprise progressive de la végétation</x:v>
      </x:c>
      <x:c r="F1761" t="n">
        <x:v>10</x:v>
      </x:c>
      <x:c r="G1761" t="n">
        <x:v>4</x:v>
      </x:c>
      <x:c r="H1761" t="n">
        <x:v>12</x:v>
      </x:c>
      <x:c r="I1761" t="str">
        <x:v>À qualifier par lieu</x:v>
      </x:c>
      <x:c r="J1761" t="str">
        <x:v>https://github.com/darknigthmare/deadwall-last-enclosure/blob/1b3b9c5ba232734b1bda3453b4e20a0481bcdd74/codex-3000/compositions/Agriculture/DW-1756.md</x:v>
      </x:c>
      <x:c r="K1761" t="str">
        <x:v>Source min 90,60 m ; max 700,450 m ; modèle 78 × 60 m ; niveaux 0. Détails dans catalogue-existant.json.</x:v>
      </x:c>
    </x:row>
    <x:row r="1762">
      <x:c r="A1762" t="str">
        <x:v>DW-1757</x:v>
      </x:c>
      <x:c r="B1762" t="str">
        <x:v>DW-0379</x:v>
      </x:c>
      <x:c r="C1762" t="str">
        <x:v>Composition héritée</x:v>
      </x:c>
      <x:c r="D1762" t="str">
        <x:v>Agriculture</x:v>
      </x:c>
      <x:c r="E1762" t="str">
        <x:v>Jardins familiaux — Hameau / première récupération passée</x:v>
      </x:c>
      <x:c r="F1762" t="n">
        <x:v>8</x:v>
      </x:c>
      <x:c r="G1762" t="n">
        <x:v>4</x:v>
      </x:c>
      <x:c r="H1762" t="n">
        <x:v>10</x:v>
      </x:c>
      <x:c r="I1762" t="str">
        <x:v>À qualifier par lieu</x:v>
      </x:c>
      <x:c r="J1762" t="str">
        <x:v>https://github.com/darknigthmare/deadwall-last-enclosure/blob/1b3b9c5ba232734b1bda3453b4e20a0481bcdd74/codex-3000/compositions/Agriculture/DW-1757.md</x:v>
      </x:c>
      <x:c r="K1762" t="str">
        <x:v>Source min 90,60 m ; max 700,450 m ; modèle 78 × 60 m ; niveaux 0. Détails dans catalogue-existant.json.</x:v>
      </x:c>
    </x:row>
    <x:row r="1763">
      <x:c r="A1763" t="str">
        <x:v>DW-1758</x:v>
      </x:c>
      <x:c r="B1763" t="str">
        <x:v>DW-0379</x:v>
      </x:c>
      <x:c r="C1763" t="str">
        <x:v>Composition héritée</x:v>
      </x:c>
      <x:c r="D1763" t="str">
        <x:v>Agriculture</x:v>
      </x:c>
      <x:c r="E1763" t="str">
        <x:v>Jardins familiaux — Ferme, verger et pâtures / relais temporaire envisagé</x:v>
      </x:c>
      <x:c r="F1763" t="n">
        <x:v>8</x:v>
      </x:c>
      <x:c r="G1763" t="n">
        <x:v>4</x:v>
      </x:c>
      <x:c r="H1763" t="n">
        <x:v>10</x:v>
      </x:c>
      <x:c r="I1763" t="str">
        <x:v>À qualifier par lieu</x:v>
      </x:c>
      <x:c r="J1763" t="str">
        <x:v>https://github.com/darknigthmare/deadwall-last-enclosure/blob/1b3b9c5ba232734b1bda3453b4e20a0481bcdd74/codex-3000/compositions/Agriculture/DW-1758.md</x:v>
      </x:c>
      <x:c r="K1763" t="str">
        <x:v>Source min 90,60 m ; max 700,450 m ; modèle 78 × 60 m ; niveaux 0. Détails dans catalogue-existant.json.</x:v>
      </x:c>
    </x:row>
    <x:row r="1764">
      <x:c r="A1764" t="str">
        <x:v>DW-1759</x:v>
      </x:c>
      <x:c r="B1764" t="str">
        <x:v>DW-0380</x:v>
      </x:c>
      <x:c r="C1764" t="str">
        <x:v>Composition héritée</x:v>
      </x:c>
      <x:c r="D1764" t="str">
        <x:v>Agriculture</x:v>
      </x:c>
      <x:c r="E1764" t="str">
        <x:v>Ferme expérimentale — Plateau sec et terrain aride / service déplacé à l’arrière</x:v>
      </x:c>
      <x:c r="F1764" t="n">
        <x:v>10</x:v>
      </x:c>
      <x:c r="G1764" t="n">
        <x:v>4</x:v>
      </x:c>
      <x:c r="H1764" t="n">
        <x:v>12</x:v>
      </x:c>
      <x:c r="I1764" t="str">
        <x:v>À qualifier par lieu</x:v>
      </x:c>
      <x:c r="J1764" t="str">
        <x:v>https://github.com/darknigthmare/deadwall-last-enclosure/blob/1b3b9c5ba232734b1bda3453b4e20a0481bcdd74/codex-3000/compositions/Agriculture/DW-1759.md</x:v>
      </x:c>
      <x:c r="K1764" t="str">
        <x:v>Source min 90,60 m ; max 700,450 m ; modèle 78 × 60 m ; niveaux 0. Détails dans catalogue-existant.json.</x:v>
      </x:c>
    </x:row>
    <x:row r="1765">
      <x:c r="A1765" t="str">
        <x:v>DW-1760</x:v>
      </x:c>
      <x:c r="B1765" t="str">
        <x:v>DW-0380</x:v>
      </x:c>
      <x:c r="C1765" t="str">
        <x:v>Composition héritée</x:v>
      </x:c>
      <x:c r="D1765" t="str">
        <x:v>Agriculture</x:v>
      </x:c>
      <x:c r="E1765" t="str">
        <x:v>Ferme expérimentale — Prairie et friche ouverte / réseau principal coupé</x:v>
      </x:c>
      <x:c r="F1765" t="n">
        <x:v>8</x:v>
      </x:c>
      <x:c r="G1765" t="n">
        <x:v>4</x:v>
      </x:c>
      <x:c r="H1765" t="n">
        <x:v>12</x:v>
      </x:c>
      <x:c r="I1765" t="str">
        <x:v>À qualifier par lieu</x:v>
      </x:c>
      <x:c r="J1765" t="str">
        <x:v>https://github.com/darknigthmare/deadwall-last-enclosure/blob/1b3b9c5ba232734b1bda3453b4e20a0481bcdd74/codex-3000/compositions/Agriculture/DW-1760.md</x:v>
      </x:c>
      <x:c r="K1765" t="str">
        <x:v>Source min 90,60 m ; max 700,450 m ; modèle 78 × 60 m ; niveaux 0. Détails dans catalogue-existant.json.</x:v>
      </x:c>
    </x:row>
    <x:row r="1766">
      <x:c r="A1766" t="str">
        <x:v>DW-1761</x:v>
      </x:c>
      <x:c r="B1766" t="str">
        <x:v>DW-0381</x:v>
      </x:c>
      <x:c r="C1766" t="str">
        <x:v>Composition héritée</x:v>
      </x:c>
      <x:c r="D1766" t="str">
        <x:v>Forêts et filière bois</x:v>
      </x:c>
      <x:c r="E1766" t="str">
        <x:v>Scierie de vallée — Petit bois et lisière / reprise progressive de la végétation</x:v>
      </x:c>
      <x:c r="F1766" t="n">
        <x:v>8</x:v>
      </x:c>
      <x:c r="G1766" t="n">
        <x:v>5</x:v>
      </x:c>
      <x:c r="H1766" t="n">
        <x:v>15</x:v>
      </x:c>
      <x:c r="I1766" t="str">
        <x:v>À qualifier par lieu</x:v>
      </x:c>
      <x:c r="J1766" t="str">
        <x:v>https://github.com/darknigthmare/deadwall-last-enclosure/blob/1b3b9c5ba232734b1bda3453b4e20a0481bcdd74/codex-3000/compositions/Forêts et filière bois/DW-1761.md</x:v>
      </x:c>
      <x:c r="K1766" t="str">
        <x:v>Source min 90,70 m ; max 900,700 m ; modèle 78 × 70 m ; niveaux 0. Détails dans catalogue-existant.json.</x:v>
      </x:c>
    </x:row>
    <x:row r="1767">
      <x:c r="A1767" t="str">
        <x:v>DW-1762</x:v>
      </x:c>
      <x:c r="B1767" t="str">
        <x:v>DW-0381</x:v>
      </x:c>
      <x:c r="C1767" t="str">
        <x:v>Composition héritée</x:v>
      </x:c>
      <x:c r="D1767" t="str">
        <x:v>Forêts et filière bois</x:v>
      </x:c>
      <x:c r="E1767" t="str">
        <x:v>Scierie de vallée — Clairière et coupe forestière / repli organisé interrompu</x:v>
      </x:c>
      <x:c r="F1767" t="n">
        <x:v>8</x:v>
      </x:c>
      <x:c r="G1767" t="n">
        <x:v>5</x:v>
      </x:c>
      <x:c r="H1767" t="n">
        <x:v>15</x:v>
      </x:c>
      <x:c r="I1767" t="str">
        <x:v>À qualifier par lieu</x:v>
      </x:c>
      <x:c r="J1767" t="str">
        <x:v>https://github.com/darknigthmare/deadwall-last-enclosure/blob/1b3b9c5ba232734b1bda3453b4e20a0481bcdd74/codex-3000/compositions/Forêts et filière bois/DW-1762.md</x:v>
      </x:c>
      <x:c r="K1767" t="str">
        <x:v>Source min 90,70 m ; max 900,700 m ; modèle 78 × 70 m ; niveaux 0. Détails dans catalogue-existant.json.</x:v>
      </x:c>
    </x:row>
    <x:row r="1768">
      <x:c r="A1768" t="str">
        <x:v>DW-1763</x:v>
      </x:c>
      <x:c r="B1768" t="str">
        <x:v>DW-0382</x:v>
      </x:c>
      <x:c r="C1768" t="str">
        <x:v>Composition héritée</x:v>
      </x:c>
      <x:c r="D1768" t="str">
        <x:v>Forêts et filière bois</x:v>
      </x:c>
      <x:c r="E1768" t="str">
        <x:v>Petite scierie artisanale — Forêt immense / relais temporaire envisagé</x:v>
      </x:c>
      <x:c r="F1768" t="n">
        <x:v>10</x:v>
      </x:c>
      <x:c r="G1768" t="n">
        <x:v>4</x:v>
      </x:c>
      <x:c r="H1768" t="n">
        <x:v>12</x:v>
      </x:c>
      <x:c r="I1768" t="str">
        <x:v>À qualifier par lieu</x:v>
      </x:c>
      <x:c r="J1768" t="str">
        <x:v>https://github.com/darknigthmare/deadwall-last-enclosure/blob/1b3b9c5ba232734b1bda3453b4e20a0481bcdd74/codex-3000/compositions/Forêts et filière bois/DW-1763.md</x:v>
      </x:c>
      <x:c r="K1768" t="str">
        <x:v>Source min 90,70 m ; max 900,700 m ; modèle 78 × 70 m ; niveaux 0. Détails dans catalogue-existant.json.</x:v>
      </x:c>
    </x:row>
    <x:row r="1769">
      <x:c r="A1769" t="str">
        <x:v>DW-1764</x:v>
      </x:c>
      <x:c r="B1769" t="str">
        <x:v>DW-0382</x:v>
      </x:c>
      <x:c r="C1769" t="str">
        <x:v>Composition héritée</x:v>
      </x:c>
      <x:c r="D1769" t="str">
        <x:v>Forêts et filière bois</x:v>
      </x:c>
      <x:c r="E1769" t="str">
        <x:v>Petite scierie artisanale — Scierie et dépôt de bois / évacuation interrompue</x:v>
      </x:c>
      <x:c r="F1769" t="n">
        <x:v>8</x:v>
      </x:c>
      <x:c r="G1769" t="n">
        <x:v>4</x:v>
      </x:c>
      <x:c r="H1769" t="n">
        <x:v>12</x:v>
      </x:c>
      <x:c r="I1769" t="str">
        <x:v>À qualifier par lieu</x:v>
      </x:c>
      <x:c r="J1769" t="str">
        <x:v>https://github.com/darknigthmare/deadwall-last-enclosure/blob/1b3b9c5ba232734b1bda3453b4e20a0481bcdd74/codex-3000/compositions/Forêts et filière bois/DW-1764.md</x:v>
      </x:c>
      <x:c r="K1769" t="str">
        <x:v>Source min 90,70 m ; max 900,700 m ; modèle 78 × 70 m ; niveaux 0. Détails dans catalogue-existant.json.</x:v>
      </x:c>
    </x:row>
    <x:row r="1770">
      <x:c r="A1770" t="str">
        <x:v>DW-1765</x:v>
      </x:c>
      <x:c r="B1770" t="str">
        <x:v>DW-0383</x:v>
      </x:c>
      <x:c r="C1770" t="str">
        <x:v>Composition héritée</x:v>
      </x:c>
      <x:c r="D1770" t="str">
        <x:v>Forêts et filière bois</x:v>
      </x:c>
      <x:c r="E1770" t="str">
        <x:v>Dépôt de grumes — Clairière et coupe forestière / réseau principal coupé</x:v>
      </x:c>
      <x:c r="F1770" t="n">
        <x:v>8</x:v>
      </x:c>
      <x:c r="G1770" t="n">
        <x:v>3</x:v>
      </x:c>
      <x:c r="H1770" t="n">
        <x:v>9</x:v>
      </x:c>
      <x:c r="I1770" t="str">
        <x:v>À qualifier par lieu</x:v>
      </x:c>
      <x:c r="J1770" t="str">
        <x:v>https://github.com/darknigthmare/deadwall-last-enclosure/blob/1b3b9c5ba232734b1bda3453b4e20a0481bcdd74/codex-3000/compositions/Forêts et filière bois/DW-1765.md</x:v>
      </x:c>
      <x:c r="K1770" t="str">
        <x:v>Source min 90,70 m ; max 900,700 m ; modèle 78 × 70 m ; niveaux 0. Détails dans catalogue-existant.json.</x:v>
      </x:c>
    </x:row>
    <x:row r="1771">
      <x:c r="A1771" t="str">
        <x:v>DW-1766</x:v>
      </x:c>
      <x:c r="B1771" t="str">
        <x:v>DW-0383</x:v>
      </x:c>
      <x:c r="C1771" t="str">
        <x:v>Composition héritée</x:v>
      </x:c>
      <x:c r="D1771" t="str">
        <x:v>Forêts et filière bois</x:v>
      </x:c>
      <x:c r="E1771" t="str">
        <x:v>Dépôt de grumes — Petit bois et lisière / arrêt de maintenance</x:v>
      </x:c>
      <x:c r="F1771" t="n">
        <x:v>8</x:v>
      </x:c>
      <x:c r="G1771" t="n">
        <x:v>3</x:v>
      </x:c>
      <x:c r="H1771" t="n">
        <x:v>9</x:v>
      </x:c>
      <x:c r="I1771" t="str">
        <x:v>À qualifier par lieu</x:v>
      </x:c>
      <x:c r="J1771" t="str">
        <x:v>https://github.com/darknigthmare/deadwall-last-enclosure/blob/1b3b9c5ba232734b1bda3453b4e20a0481bcdd74/codex-3000/compositions/Forêts et filière bois/DW-1766.md</x:v>
      </x:c>
      <x:c r="K1771" t="str">
        <x:v>Source min 90,70 m ; max 900,700 m ; modèle 78 × 70 m ; niveaux 0. Détails dans catalogue-existant.json.</x:v>
      </x:c>
    </x:row>
    <x:row r="1772">
      <x:c r="A1772" t="str">
        <x:v>DW-1767</x:v>
      </x:c>
      <x:c r="B1772" t="str">
        <x:v>DW-0384</x:v>
      </x:c>
      <x:c r="C1772" t="str">
        <x:v>Composition héritée</x:v>
      </x:c>
      <x:c r="D1772" t="str">
        <x:v>Forêts et filière bois</x:v>
      </x:c>
      <x:c r="E1772" t="str">
        <x:v>Séchoir à bois — Scierie et dépôt de bois / repli organisé interrompu</x:v>
      </x:c>
      <x:c r="F1772" t="n">
        <x:v>8</x:v>
      </x:c>
      <x:c r="G1772" t="n">
        <x:v>3</x:v>
      </x:c>
      <x:c r="H1772" t="n">
        <x:v>9</x:v>
      </x:c>
      <x:c r="I1772" t="str">
        <x:v>À qualifier par lieu</x:v>
      </x:c>
      <x:c r="J1772" t="str">
        <x:v>https://github.com/darknigthmare/deadwall-last-enclosure/blob/1b3b9c5ba232734b1bda3453b4e20a0481bcdd74/codex-3000/compositions/Forêts et filière bois/DW-1767.md</x:v>
      </x:c>
      <x:c r="K1772" t="str">
        <x:v>Source min 90,70 m ; max 900,700 m ; modèle 78 × 70 m ; niveaux 0. Détails dans catalogue-existant.json.</x:v>
      </x:c>
    </x:row>
    <x:row r="1773">
      <x:c r="A1773" t="str">
        <x:v>DW-1768</x:v>
      </x:c>
      <x:c r="B1773" t="str">
        <x:v>DW-0384</x:v>
      </x:c>
      <x:c r="C1773" t="str">
        <x:v>Composition héritée</x:v>
      </x:c>
      <x:c r="D1773" t="str">
        <x:v>Forêts et filière bois</x:v>
      </x:c>
      <x:c r="E1773" t="str">
        <x:v>Séchoir à bois — Forêt immense / première récupération passée</x:v>
      </x:c>
      <x:c r="F1773" t="n">
        <x:v>10</x:v>
      </x:c>
      <x:c r="G1773" t="n">
        <x:v>3</x:v>
      </x:c>
      <x:c r="H1773" t="n">
        <x:v>9</x:v>
      </x:c>
      <x:c r="I1773" t="str">
        <x:v>À qualifier par lieu</x:v>
      </x:c>
      <x:c r="J1773" t="str">
        <x:v>https://github.com/darknigthmare/deadwall-last-enclosure/blob/1b3b9c5ba232734b1bda3453b4e20a0481bcdd74/codex-3000/compositions/Forêts et filière bois/DW-1768.md</x:v>
      </x:c>
      <x:c r="K1773" t="str">
        <x:v>Source min 90,70 m ; max 900,700 m ; modèle 78 × 70 m ; niveaux 0. Détails dans catalogue-existant.json.</x:v>
      </x:c>
    </x:row>
    <x:row r="1774">
      <x:c r="A1774" t="str">
        <x:v>DW-1769</x:v>
      </x:c>
      <x:c r="B1774" t="str">
        <x:v>DW-0385</x:v>
      </x:c>
      <x:c r="C1774" t="str">
        <x:v>Composition héritée</x:v>
      </x:c>
      <x:c r="D1774" t="str">
        <x:v>Forêts et filière bois</x:v>
      </x:c>
      <x:c r="E1774" t="str">
        <x:v>Atelier de charbon patrimonial — Petit bois et lisière / évacuation interrompue</x:v>
      </x:c>
      <x:c r="F1774" t="n">
        <x:v>8</x:v>
      </x:c>
      <x:c r="G1774" t="n">
        <x:v>4</x:v>
      </x:c>
      <x:c r="H1774" t="n">
        <x:v>12</x:v>
      </x:c>
      <x:c r="I1774" t="str">
        <x:v>À qualifier par lieu</x:v>
      </x:c>
      <x:c r="J1774" t="str">
        <x:v>https://github.com/darknigthmare/deadwall-last-enclosure/blob/1b3b9c5ba232734b1bda3453b4e20a0481bcdd74/codex-3000/compositions/Forêts et filière bois/DW-1769.md</x:v>
      </x:c>
      <x:c r="K1774" t="str">
        <x:v>Source min 90,70 m ; max 900,700 m ; modèle 78 × 70 m ; niveaux 0. Détails dans catalogue-existant.json.</x:v>
      </x:c>
    </x:row>
    <x:row r="1775">
      <x:c r="A1775" t="str">
        <x:v>DW-1770</x:v>
      </x:c>
      <x:c r="B1775" t="str">
        <x:v>DW-0385</x:v>
      </x:c>
      <x:c r="C1775" t="str">
        <x:v>Composition héritée</x:v>
      </x:c>
      <x:c r="D1775" t="str">
        <x:v>Forêts et filière bois</x:v>
      </x:c>
      <x:c r="E1775" t="str">
        <x:v>Atelier de charbon patrimonial — Clairière et coupe forestière / service déplacé à l’arrière</x:v>
      </x:c>
      <x:c r="F1775" t="n">
        <x:v>8</x:v>
      </x:c>
      <x:c r="G1775" t="n">
        <x:v>4</x:v>
      </x:c>
      <x:c r="H1775" t="n">
        <x:v>12</x:v>
      </x:c>
      <x:c r="I1775" t="str">
        <x:v>À qualifier par lieu</x:v>
      </x:c>
      <x:c r="J1775" t="str">
        <x:v>https://github.com/darknigthmare/deadwall-last-enclosure/blob/1b3b9c5ba232734b1bda3453b4e20a0481bcdd74/codex-3000/compositions/Forêts et filière bois/DW-1770.md</x:v>
      </x:c>
      <x:c r="K1775" t="str">
        <x:v>Source min 90,70 m ; max 900,700 m ; modèle 78 × 70 m ; niveaux 0. Détails dans catalogue-existant.json.</x:v>
      </x:c>
    </x:row>
    <x:row r="1776">
      <x:c r="A1776" t="str">
        <x:v>DW-1771</x:v>
      </x:c>
      <x:c r="B1776" t="str">
        <x:v>DW-0386</x:v>
      </x:c>
      <x:c r="C1776" t="str">
        <x:v>Composition héritée</x:v>
      </x:c>
      <x:c r="D1776" t="str">
        <x:v>Forêts et filière bois</x:v>
      </x:c>
      <x:c r="E1776" t="str">
        <x:v>Maison forestière — Forêt immense / arrêt de maintenance</x:v>
      </x:c>
      <x:c r="F1776" t="n">
        <x:v>10</x:v>
      </x:c>
      <x:c r="G1776" t="n">
        <x:v>4</x:v>
      </x:c>
      <x:c r="H1776" t="n">
        <x:v>12</x:v>
      </x:c>
      <x:c r="I1776" t="str">
        <x:v>À qualifier par lieu</x:v>
      </x:c>
      <x:c r="J1776" t="str">
        <x:v>https://github.com/darknigthmare/deadwall-last-enclosure/blob/1b3b9c5ba232734b1bda3453b4e20a0481bcdd74/codex-3000/compositions/Forêts et filière bois/DW-1771.md</x:v>
      </x:c>
      <x:c r="K1776" t="str">
        <x:v>Source min 90,70 m ; max 900,700 m ; modèle 78 × 70 m ; niveaux 0. Détails dans catalogue-existant.json.</x:v>
      </x:c>
    </x:row>
    <x:row r="1777">
      <x:c r="A1777" t="str">
        <x:v>DW-1772</x:v>
      </x:c>
      <x:c r="B1777" t="str">
        <x:v>DW-0386</x:v>
      </x:c>
      <x:c r="C1777" t="str">
        <x:v>Composition héritée</x:v>
      </x:c>
      <x:c r="D1777" t="str">
        <x:v>Forêts et filière bois</x:v>
      </x:c>
      <x:c r="E1777" t="str">
        <x:v>Maison forestière — Scierie et dépôt de bois / reprise progressive de la végétation</x:v>
      </x:c>
      <x:c r="F1777" t="n">
        <x:v>8</x:v>
      </x:c>
      <x:c r="G1777" t="n">
        <x:v>4</x:v>
      </x:c>
      <x:c r="H1777" t="n">
        <x:v>12</x:v>
      </x:c>
      <x:c r="I1777" t="str">
        <x:v>À qualifier par lieu</x:v>
      </x:c>
      <x:c r="J1777" t="str">
        <x:v>https://github.com/darknigthmare/deadwall-last-enclosure/blob/1b3b9c5ba232734b1bda3453b4e20a0481bcdd74/codex-3000/compositions/Forêts et filière bois/DW-1772.md</x:v>
      </x:c>
      <x:c r="K1777" t="str">
        <x:v>Source min 90,70 m ; max 900,700 m ; modèle 78 × 70 m ; niveaux 0. Détails dans catalogue-existant.json.</x:v>
      </x:c>
    </x:row>
    <x:row r="1778">
      <x:c r="A1778" t="str">
        <x:v>DW-1773</x:v>
      </x:c>
      <x:c r="B1778" t="str">
        <x:v>DW-0387</x:v>
      </x:c>
      <x:c r="C1778" t="str">
        <x:v>Composition héritée</x:v>
      </x:c>
      <x:c r="D1778" t="str">
        <x:v>Forêts et filière bois</x:v>
      </x:c>
      <x:c r="E1778" t="str">
        <x:v>Camp de bûcherons — Clairière et coupe forestière / première récupération passée</x:v>
      </x:c>
      <x:c r="F1778" t="n">
        <x:v>8</x:v>
      </x:c>
      <x:c r="G1778" t="n">
        <x:v>4</x:v>
      </x:c>
      <x:c r="H1778" t="n">
        <x:v>12</x:v>
      </x:c>
      <x:c r="I1778" t="str">
        <x:v>À qualifier par lieu</x:v>
      </x:c>
      <x:c r="J1778" t="str">
        <x:v>https://github.com/darknigthmare/deadwall-last-enclosure/blob/1b3b9c5ba232734b1bda3453b4e20a0481bcdd74/codex-3000/compositions/Forêts et filière bois/DW-1773.md</x:v>
      </x:c>
      <x:c r="K1778" t="str">
        <x:v>Source min 90,70 m ; max 900,700 m ; modèle 78 × 70 m ; niveaux 0. Détails dans catalogue-existant.json.</x:v>
      </x:c>
    </x:row>
    <x:row r="1779">
      <x:c r="A1779" t="str">
        <x:v>DW-1774</x:v>
      </x:c>
      <x:c r="B1779" t="str">
        <x:v>DW-0387</x:v>
      </x:c>
      <x:c r="C1779" t="str">
        <x:v>Composition héritée</x:v>
      </x:c>
      <x:c r="D1779" t="str">
        <x:v>Forêts et filière bois</x:v>
      </x:c>
      <x:c r="E1779" t="str">
        <x:v>Camp de bûcherons — Petit bois et lisière / relais temporaire envisagé</x:v>
      </x:c>
      <x:c r="F1779" t="n">
        <x:v>8</x:v>
      </x:c>
      <x:c r="G1779" t="n">
        <x:v>4</x:v>
      </x:c>
      <x:c r="H1779" t="n">
        <x:v>12</x:v>
      </x:c>
      <x:c r="I1779" t="str">
        <x:v>À qualifier par lieu</x:v>
      </x:c>
      <x:c r="J1779" t="str">
        <x:v>https://github.com/darknigthmare/deadwall-last-enclosure/blob/1b3b9c5ba232734b1bda3453b4e20a0481bcdd74/codex-3000/compositions/Forêts et filière bois/DW-1774.md</x:v>
      </x:c>
      <x:c r="K1779" t="str">
        <x:v>Source min 90,70 m ; max 900,700 m ; modèle 78 × 70 m ; niveaux 0. Détails dans catalogue-existant.json.</x:v>
      </x:c>
    </x:row>
    <x:row r="1780">
      <x:c r="A1780" t="str">
        <x:v>DW-1775</x:v>
      </x:c>
      <x:c r="B1780" t="str">
        <x:v>DW-0388</x:v>
      </x:c>
      <x:c r="C1780" t="str">
        <x:v>Composition héritée</x:v>
      </x:c>
      <x:c r="D1780" t="str">
        <x:v>Forêts et filière bois</x:v>
      </x:c>
      <x:c r="E1780" t="str">
        <x:v>Cabane d'observation — Scierie et dépôt de bois / service déplacé à l’arrière</x:v>
      </x:c>
      <x:c r="F1780" t="n">
        <x:v>8</x:v>
      </x:c>
      <x:c r="G1780" t="n">
        <x:v>3</x:v>
      </x:c>
      <x:c r="H1780" t="n">
        <x:v>9</x:v>
      </x:c>
      <x:c r="I1780" t="str">
        <x:v>À qualifier par lieu</x:v>
      </x:c>
      <x:c r="J1780" t="str">
        <x:v>https://github.com/darknigthmare/deadwall-last-enclosure/blob/1b3b9c5ba232734b1bda3453b4e20a0481bcdd74/codex-3000/compositions/Forêts et filière bois/DW-1775.md</x:v>
      </x:c>
      <x:c r="K1780" t="str">
        <x:v>Source min 90,70 m ; max 900,700 m ; modèle 78 × 70 m ; niveaux 0. Détails dans catalogue-existant.json.</x:v>
      </x:c>
    </x:row>
    <x:row r="1781">
      <x:c r="A1781" t="str">
        <x:v>DW-1776</x:v>
      </x:c>
      <x:c r="B1781" t="str">
        <x:v>DW-0388</x:v>
      </x:c>
      <x:c r="C1781" t="str">
        <x:v>Composition héritée</x:v>
      </x:c>
      <x:c r="D1781" t="str">
        <x:v>Forêts et filière bois</x:v>
      </x:c>
      <x:c r="E1781" t="str">
        <x:v>Cabane d'observation — Forêt immense / réseau principal coupé</x:v>
      </x:c>
      <x:c r="F1781" t="n">
        <x:v>10</x:v>
      </x:c>
      <x:c r="G1781" t="n">
        <x:v>3</x:v>
      </x:c>
      <x:c r="H1781" t="n">
        <x:v>9</x:v>
      </x:c>
      <x:c r="I1781" t="str">
        <x:v>À qualifier par lieu</x:v>
      </x:c>
      <x:c r="J1781" t="str">
        <x:v>https://github.com/darknigthmare/deadwall-last-enclosure/blob/1b3b9c5ba232734b1bda3453b4e20a0481bcdd74/codex-3000/compositions/Forêts et filière bois/DW-1776.md</x:v>
      </x:c>
      <x:c r="K1781" t="str">
        <x:v>Source min 90,70 m ; max 900,700 m ; modèle 78 × 70 m ; niveaux 0. Détails dans catalogue-existant.json.</x:v>
      </x:c>
    </x:row>
    <x:row r="1782">
      <x:c r="A1782" t="str">
        <x:v>DW-1777</x:v>
      </x:c>
      <x:c r="B1782" t="str">
        <x:v>DW-0389</x:v>
      </x:c>
      <x:c r="C1782" t="str">
        <x:v>Composition héritée</x:v>
      </x:c>
      <x:c r="D1782" t="str">
        <x:v>Forêts et filière bois</x:v>
      </x:c>
      <x:c r="E1782" t="str">
        <x:v>Tour d'observation naturaliste — Petit bois et lisière / reprise progressive de la végétation</x:v>
      </x:c>
      <x:c r="F1782" t="n">
        <x:v>8</x:v>
      </x:c>
      <x:c r="G1782" t="n">
        <x:v>3</x:v>
      </x:c>
      <x:c r="H1782" t="n">
        <x:v>7</x:v>
      </x:c>
      <x:c r="I1782" t="str">
        <x:v>À qualifier par lieu</x:v>
      </x:c>
      <x:c r="J1782" t="str">
        <x:v>https://github.com/darknigthmare/deadwall-last-enclosure/blob/1b3b9c5ba232734b1bda3453b4e20a0481bcdd74/codex-3000/compositions/Forêts et filière bois/DW-1777.md</x:v>
      </x:c>
      <x:c r="K1782" t="str">
        <x:v>Source min 90,70 m ; max 900,700 m ; modèle 78 × 70 m ; niveaux 0. Détails dans catalogue-existant.json.</x:v>
      </x:c>
    </x:row>
    <x:row r="1783">
      <x:c r="A1783" t="str">
        <x:v>DW-1778</x:v>
      </x:c>
      <x:c r="B1783" t="str">
        <x:v>DW-0389</x:v>
      </x:c>
      <x:c r="C1783" t="str">
        <x:v>Composition héritée</x:v>
      </x:c>
      <x:c r="D1783" t="str">
        <x:v>Forêts et filière bois</x:v>
      </x:c>
      <x:c r="E1783" t="str">
        <x:v>Tour d'observation naturaliste — Clairière et coupe forestière / repli organisé interrompu</x:v>
      </x:c>
      <x:c r="F1783" t="n">
        <x:v>8</x:v>
      </x:c>
      <x:c r="G1783" t="n">
        <x:v>3</x:v>
      </x:c>
      <x:c r="H1783" t="n">
        <x:v>7</x:v>
      </x:c>
      <x:c r="I1783" t="str">
        <x:v>À qualifier par lieu</x:v>
      </x:c>
      <x:c r="J1783" t="str">
        <x:v>https://github.com/darknigthmare/deadwall-last-enclosure/blob/1b3b9c5ba232734b1bda3453b4e20a0481bcdd74/codex-3000/compositions/Forêts et filière bois/DW-1778.md</x:v>
      </x:c>
      <x:c r="K1783" t="str">
        <x:v>Source min 90,70 m ; max 900,700 m ; modèle 78 × 70 m ; niveaux 0. Détails dans catalogue-existant.json.</x:v>
      </x:c>
    </x:row>
    <x:row r="1784">
      <x:c r="A1784" t="str">
        <x:v>DW-1779</x:v>
      </x:c>
      <x:c r="B1784" t="str">
        <x:v>DW-0390</x:v>
      </x:c>
      <x:c r="C1784" t="str">
        <x:v>Composition héritée</x:v>
      </x:c>
      <x:c r="D1784" t="str">
        <x:v>Forêts et filière bois</x:v>
      </x:c>
      <x:c r="E1784" t="str">
        <x:v>Pépinière forestière — Forêt immense / relais temporaire envisagé</x:v>
      </x:c>
      <x:c r="F1784" t="n">
        <x:v>10</x:v>
      </x:c>
      <x:c r="G1784" t="n">
        <x:v>4</x:v>
      </x:c>
      <x:c r="H1784" t="n">
        <x:v>12</x:v>
      </x:c>
      <x:c r="I1784" t="str">
        <x:v>À qualifier par lieu</x:v>
      </x:c>
      <x:c r="J1784" t="str">
        <x:v>https://github.com/darknigthmare/deadwall-last-enclosure/blob/1b3b9c5ba232734b1bda3453b4e20a0481bcdd74/codex-3000/compositions/Forêts et filière bois/DW-1779.md</x:v>
      </x:c>
      <x:c r="K1784" t="str">
        <x:v>Source min 90,70 m ; max 900,700 m ; modèle 78 × 70 m ; niveaux 0. Détails dans catalogue-existant.json.</x:v>
      </x:c>
    </x:row>
    <x:row r="1785">
      <x:c r="A1785" t="str">
        <x:v>DW-1780</x:v>
      </x:c>
      <x:c r="B1785" t="str">
        <x:v>DW-0390</x:v>
      </x:c>
      <x:c r="C1785" t="str">
        <x:v>Composition héritée</x:v>
      </x:c>
      <x:c r="D1785" t="str">
        <x:v>Forêts et filière bois</x:v>
      </x:c>
      <x:c r="E1785" t="str">
        <x:v>Pépinière forestière — Scierie et dépôt de bois / évacuation interrompue</x:v>
      </x:c>
      <x:c r="F1785" t="n">
        <x:v>8</x:v>
      </x:c>
      <x:c r="G1785" t="n">
        <x:v>4</x:v>
      </x:c>
      <x:c r="H1785" t="n">
        <x:v>12</x:v>
      </x:c>
      <x:c r="I1785" t="str">
        <x:v>À qualifier par lieu</x:v>
      </x:c>
      <x:c r="J1785" t="str">
        <x:v>https://github.com/darknigthmare/deadwall-last-enclosure/blob/1b3b9c5ba232734b1bda3453b4e20a0481bcdd74/codex-3000/compositions/Forêts et filière bois/DW-1780.md</x:v>
      </x:c>
      <x:c r="K1785" t="str">
        <x:v>Source min 90,70 m ; max 900,700 m ; modèle 78 × 70 m ; niveaux 0. Détails dans catalogue-existant.json.</x:v>
      </x:c>
    </x:row>
    <x:row r="1786">
      <x:c r="A1786" t="str">
        <x:v>DW-1781</x:v>
      </x:c>
      <x:c r="B1786" t="str">
        <x:v>DW-0391</x:v>
      </x:c>
      <x:c r="C1786" t="str">
        <x:v>Composition héritée</x:v>
      </x:c>
      <x:c r="D1786" t="str">
        <x:v>Forêts et filière bois</x:v>
      </x:c>
      <x:c r="E1786" t="str">
        <x:v>Clairière de coupe — Clairière et coupe forestière / réseau principal coupé</x:v>
      </x:c>
      <x:c r="F1786" t="n">
        <x:v>8</x:v>
      </x:c>
      <x:c r="G1786" t="n">
        <x:v>4</x:v>
      </x:c>
      <x:c r="H1786" t="n">
        <x:v>12</x:v>
      </x:c>
      <x:c r="I1786" t="str">
        <x:v>À qualifier par lieu</x:v>
      </x:c>
      <x:c r="J1786" t="str">
        <x:v>https://github.com/darknigthmare/deadwall-last-enclosure/blob/1b3b9c5ba232734b1bda3453b4e20a0481bcdd74/codex-3000/compositions/Forêts et filière bois/DW-1781.md</x:v>
      </x:c>
      <x:c r="K1786" t="str">
        <x:v>Source min 90,70 m ; max 900,700 m ; modèle 78 × 70 m ; niveaux 0. Détails dans catalogue-existant.json.</x:v>
      </x:c>
    </x:row>
    <x:row r="1787">
      <x:c r="A1787" t="str">
        <x:v>DW-1782</x:v>
      </x:c>
      <x:c r="B1787" t="str">
        <x:v>DW-0391</x:v>
      </x:c>
      <x:c r="C1787" t="str">
        <x:v>Composition héritée</x:v>
      </x:c>
      <x:c r="D1787" t="str">
        <x:v>Forêts et filière bois</x:v>
      </x:c>
      <x:c r="E1787" t="str">
        <x:v>Clairière de coupe — Petit bois et lisière / arrêt de maintenance</x:v>
      </x:c>
      <x:c r="F1787" t="n">
        <x:v>8</x:v>
      </x:c>
      <x:c r="G1787" t="n">
        <x:v>4</x:v>
      </x:c>
      <x:c r="H1787" t="n">
        <x:v>12</x:v>
      </x:c>
      <x:c r="I1787" t="str">
        <x:v>À qualifier par lieu</x:v>
      </x:c>
      <x:c r="J1787" t="str">
        <x:v>https://github.com/darknigthmare/deadwall-last-enclosure/blob/1b3b9c5ba232734b1bda3453b4e20a0481bcdd74/codex-3000/compositions/Forêts et filière bois/DW-1782.md</x:v>
      </x:c>
      <x:c r="K1787" t="str">
        <x:v>Source min 90,70 m ; max 900,700 m ; modèle 78 × 70 m ; niveaux 0. Détails dans catalogue-existant.json.</x:v>
      </x:c>
    </x:row>
    <x:row r="1788">
      <x:c r="A1788" t="str">
        <x:v>DW-1783</x:v>
      </x:c>
      <x:c r="B1788" t="str">
        <x:v>DW-0392</x:v>
      </x:c>
      <x:c r="C1788" t="str">
        <x:v>Composition héritée</x:v>
      </x:c>
      <x:c r="D1788" t="str">
        <x:v>Forêts et filière bois</x:v>
      </x:c>
      <x:c r="E1788" t="str">
        <x:v>Forêt ancienne — Scierie et dépôt de bois / repli organisé interrompu</x:v>
      </x:c>
      <x:c r="F1788" t="n">
        <x:v>8</x:v>
      </x:c>
      <x:c r="G1788" t="n">
        <x:v>4</x:v>
      </x:c>
      <x:c r="H1788" t="n">
        <x:v>12</x:v>
      </x:c>
      <x:c r="I1788" t="str">
        <x:v>À qualifier par lieu</x:v>
      </x:c>
      <x:c r="J1788" t="str">
        <x:v>https://github.com/darknigthmare/deadwall-last-enclosure/blob/1b3b9c5ba232734b1bda3453b4e20a0481bcdd74/codex-3000/compositions/Forêts et filière bois/DW-1783.md</x:v>
      </x:c>
      <x:c r="K1788" t="str">
        <x:v>Source min 90,70 m ; max 900,700 m ; modèle 78 × 70 m ; niveaux 0. Détails dans catalogue-existant.json.</x:v>
      </x:c>
    </x:row>
    <x:row r="1789">
      <x:c r="A1789" t="str">
        <x:v>DW-1784</x:v>
      </x:c>
      <x:c r="B1789" t="str">
        <x:v>DW-0392</x:v>
      </x:c>
      <x:c r="C1789" t="str">
        <x:v>Composition héritée</x:v>
      </x:c>
      <x:c r="D1789" t="str">
        <x:v>Forêts et filière bois</x:v>
      </x:c>
      <x:c r="E1789" t="str">
        <x:v>Forêt ancienne — Forêt immense / première récupération passée</x:v>
      </x:c>
      <x:c r="F1789" t="n">
        <x:v>10</x:v>
      </x:c>
      <x:c r="G1789" t="n">
        <x:v>4</x:v>
      </x:c>
      <x:c r="H1789" t="n">
        <x:v>12</x:v>
      </x:c>
      <x:c r="I1789" t="str">
        <x:v>À qualifier par lieu</x:v>
      </x:c>
      <x:c r="J1789" t="str">
        <x:v>https://github.com/darknigthmare/deadwall-last-enclosure/blob/1b3b9c5ba232734b1bda3453b4e20a0481bcdd74/codex-3000/compositions/Forêts et filière bois/DW-1784.md</x:v>
      </x:c>
      <x:c r="K1789" t="str">
        <x:v>Source min 90,70 m ; max 900,700 m ; modèle 78 × 70 m ; niveaux 0. Détails dans catalogue-existant.json.</x:v>
      </x:c>
    </x:row>
    <x:row r="1790">
      <x:c r="A1790" t="str">
        <x:v>DW-1785</x:v>
      </x:c>
      <x:c r="B1790" t="str">
        <x:v>DW-0393</x:v>
      </x:c>
      <x:c r="C1790" t="str">
        <x:v>Composition héritée</x:v>
      </x:c>
      <x:c r="D1790" t="str">
        <x:v>Forêts et filière bois</x:v>
      </x:c>
      <x:c r="E1790" t="str">
        <x:v>Plantation de conifères — Petit bois et lisière / évacuation interrompue</x:v>
      </x:c>
      <x:c r="F1790" t="n">
        <x:v>8</x:v>
      </x:c>
      <x:c r="G1790" t="n">
        <x:v>4</x:v>
      </x:c>
      <x:c r="H1790" t="n">
        <x:v>12</x:v>
      </x:c>
      <x:c r="I1790" t="str">
        <x:v>À qualifier par lieu</x:v>
      </x:c>
      <x:c r="J1790" t="str">
        <x:v>https://github.com/darknigthmare/deadwall-last-enclosure/blob/1b3b9c5ba232734b1bda3453b4e20a0481bcdd74/codex-3000/compositions/Forêts et filière bois/DW-1785.md</x:v>
      </x:c>
      <x:c r="K1790" t="str">
        <x:v>Source min 90,70 m ; max 900,700 m ; modèle 78 × 70 m ; niveaux 0. Détails dans catalogue-existant.json.</x:v>
      </x:c>
    </x:row>
    <x:row r="1791">
      <x:c r="A1791" t="str">
        <x:v>DW-1786</x:v>
      </x:c>
      <x:c r="B1791" t="str">
        <x:v>DW-0393</x:v>
      </x:c>
      <x:c r="C1791" t="str">
        <x:v>Composition héritée</x:v>
      </x:c>
      <x:c r="D1791" t="str">
        <x:v>Forêts et filière bois</x:v>
      </x:c>
      <x:c r="E1791" t="str">
        <x:v>Plantation de conifères — Clairière et coupe forestière / service déplacé à l’arrière</x:v>
      </x:c>
      <x:c r="F1791" t="n">
        <x:v>8</x:v>
      </x:c>
      <x:c r="G1791" t="n">
        <x:v>4</x:v>
      </x:c>
      <x:c r="H1791" t="n">
        <x:v>12</x:v>
      </x:c>
      <x:c r="I1791" t="str">
        <x:v>À qualifier par lieu</x:v>
      </x:c>
      <x:c r="J1791" t="str">
        <x:v>https://github.com/darknigthmare/deadwall-last-enclosure/blob/1b3b9c5ba232734b1bda3453b4e20a0481bcdd74/codex-3000/compositions/Forêts et filière bois/DW-1786.md</x:v>
      </x:c>
      <x:c r="K1791" t="str">
        <x:v>Source min 90,70 m ; max 900,700 m ; modèle 78 × 70 m ; niveaux 0. Détails dans catalogue-existant.json.</x:v>
      </x:c>
    </x:row>
    <x:row r="1792">
      <x:c r="A1792" t="str">
        <x:v>DW-1787</x:v>
      </x:c>
      <x:c r="B1792" t="str">
        <x:v>DW-0394</x:v>
      </x:c>
      <x:c r="C1792" t="str">
        <x:v>Composition héritée</x:v>
      </x:c>
      <x:c r="D1792" t="str">
        <x:v>Forêts et filière bois</x:v>
      </x:c>
      <x:c r="E1792" t="str">
        <x:v>Bois riverain — Forêt immense / arrêt de maintenance</x:v>
      </x:c>
      <x:c r="F1792" t="n">
        <x:v>10</x:v>
      </x:c>
      <x:c r="G1792" t="n">
        <x:v>4</x:v>
      </x:c>
      <x:c r="H1792" t="n">
        <x:v>10</x:v>
      </x:c>
      <x:c r="I1792" t="str">
        <x:v>À qualifier par lieu</x:v>
      </x:c>
      <x:c r="J1792" t="str">
        <x:v>https://github.com/darknigthmare/deadwall-last-enclosure/blob/1b3b9c5ba232734b1bda3453b4e20a0481bcdd74/codex-3000/compositions/Forêts et filière bois/DW-1787.md</x:v>
      </x:c>
      <x:c r="K1792" t="str">
        <x:v>Source min 90,70 m ; max 900,700 m ; modèle 78 × 70 m ; niveaux 0. Détails dans catalogue-existant.json.</x:v>
      </x:c>
    </x:row>
    <x:row r="1793">
      <x:c r="A1793" t="str">
        <x:v>DW-1788</x:v>
      </x:c>
      <x:c r="B1793" t="str">
        <x:v>DW-0394</x:v>
      </x:c>
      <x:c r="C1793" t="str">
        <x:v>Composition héritée</x:v>
      </x:c>
      <x:c r="D1793" t="str">
        <x:v>Forêts et filière bois</x:v>
      </x:c>
      <x:c r="E1793" t="str">
        <x:v>Bois riverain — Scierie et dépôt de bois / reprise progressive de la végétation</x:v>
      </x:c>
      <x:c r="F1793" t="n">
        <x:v>8</x:v>
      </x:c>
      <x:c r="G1793" t="n">
        <x:v>4</x:v>
      </x:c>
      <x:c r="H1793" t="n">
        <x:v>10</x:v>
      </x:c>
      <x:c r="I1793" t="str">
        <x:v>À qualifier par lieu</x:v>
      </x:c>
      <x:c r="J1793" t="str">
        <x:v>https://github.com/darknigthmare/deadwall-last-enclosure/blob/1b3b9c5ba232734b1bda3453b4e20a0481bcdd74/codex-3000/compositions/Forêts et filière bois/DW-1788.md</x:v>
      </x:c>
      <x:c r="K1793" t="str">
        <x:v>Source min 90,70 m ; max 900,700 m ; modèle 78 × 70 m ; niveaux 0. Détails dans catalogue-existant.json.</x:v>
      </x:c>
    </x:row>
    <x:row r="1794">
      <x:c r="A1794" t="str">
        <x:v>DW-1789</x:v>
      </x:c>
      <x:c r="B1794" t="str">
        <x:v>DW-0395</x:v>
      </x:c>
      <x:c r="C1794" t="str">
        <x:v>Composition héritée</x:v>
      </x:c>
      <x:c r="D1794" t="str">
        <x:v>Forêts et filière bois</x:v>
      </x:c>
      <x:c r="E1794" t="str">
        <x:v>Bois brûlé — Clairière et coupe forestière / première récupération passée</x:v>
      </x:c>
      <x:c r="F1794" t="n">
        <x:v>8</x:v>
      </x:c>
      <x:c r="G1794" t="n">
        <x:v>4</x:v>
      </x:c>
      <x:c r="H1794" t="n">
        <x:v>12</x:v>
      </x:c>
      <x:c r="I1794" t="str">
        <x:v>À qualifier par lieu</x:v>
      </x:c>
      <x:c r="J1794" t="str">
        <x:v>https://github.com/darknigthmare/deadwall-last-enclosure/blob/1b3b9c5ba232734b1bda3453b4e20a0481bcdd74/codex-3000/compositions/Forêts et filière bois/DW-1789.md</x:v>
      </x:c>
      <x:c r="K1794" t="str">
        <x:v>Source min 90,70 m ; max 900,700 m ; modèle 78 × 70 m ; niveaux 0. Détails dans catalogue-existant.json.</x:v>
      </x:c>
    </x:row>
    <x:row r="1795">
      <x:c r="A1795" t="str">
        <x:v>DW-1790</x:v>
      </x:c>
      <x:c r="B1795" t="str">
        <x:v>DW-0395</x:v>
      </x:c>
      <x:c r="C1795" t="str">
        <x:v>Composition héritée</x:v>
      </x:c>
      <x:c r="D1795" t="str">
        <x:v>Forêts et filière bois</x:v>
      </x:c>
      <x:c r="E1795" t="str">
        <x:v>Bois brûlé — Petit bois et lisière / relais temporaire envisagé</x:v>
      </x:c>
      <x:c r="F1795" t="n">
        <x:v>8</x:v>
      </x:c>
      <x:c r="G1795" t="n">
        <x:v>4</x:v>
      </x:c>
      <x:c r="H1795" t="n">
        <x:v>12</x:v>
      </x:c>
      <x:c r="I1795" t="str">
        <x:v>À qualifier par lieu</x:v>
      </x:c>
      <x:c r="J1795" t="str">
        <x:v>https://github.com/darknigthmare/deadwall-last-enclosure/blob/1b3b9c5ba232734b1bda3453b4e20a0481bcdd74/codex-3000/compositions/Forêts et filière bois/DW-1790.md</x:v>
      </x:c>
      <x:c r="K1795" t="str">
        <x:v>Source min 90,70 m ; max 900,700 m ; modèle 78 × 70 m ; niveaux 0. Détails dans catalogue-existant.json.</x:v>
      </x:c>
    </x:row>
    <x:row r="1796">
      <x:c r="A1796" t="str">
        <x:v>DW-1791</x:v>
      </x:c>
      <x:c r="B1796" t="str">
        <x:v>DW-0396</x:v>
      </x:c>
      <x:c r="C1796" t="str">
        <x:v>Composition héritée</x:v>
      </x:c>
      <x:c r="D1796" t="str">
        <x:v>Forêts et filière bois</x:v>
      </x:c>
      <x:c r="E1796" t="str">
        <x:v>Bois de tempête — Scierie et dépôt de bois / service déplacé à l’arrière</x:v>
      </x:c>
      <x:c r="F1796" t="n">
        <x:v>8</x:v>
      </x:c>
      <x:c r="G1796" t="n">
        <x:v>3</x:v>
      </x:c>
      <x:c r="H1796" t="n">
        <x:v>7</x:v>
      </x:c>
      <x:c r="I1796" t="str">
        <x:v>À qualifier par lieu</x:v>
      </x:c>
      <x:c r="J1796" t="str">
        <x:v>https://github.com/darknigthmare/deadwall-last-enclosure/blob/1b3b9c5ba232734b1bda3453b4e20a0481bcdd74/codex-3000/compositions/Forêts et filière bois/DW-1791.md</x:v>
      </x:c>
      <x:c r="K1796" t="str">
        <x:v>Source min 90,70 m ; max 900,700 m ; modèle 78 × 70 m ; niveaux 0. Détails dans catalogue-existant.json.</x:v>
      </x:c>
    </x:row>
    <x:row r="1797">
      <x:c r="A1797" t="str">
        <x:v>DW-1792</x:v>
      </x:c>
      <x:c r="B1797" t="str">
        <x:v>DW-0396</x:v>
      </x:c>
      <x:c r="C1797" t="str">
        <x:v>Composition héritée</x:v>
      </x:c>
      <x:c r="D1797" t="str">
        <x:v>Forêts et filière bois</x:v>
      </x:c>
      <x:c r="E1797" t="str">
        <x:v>Bois de tempête — Forêt immense / réseau principal coupé</x:v>
      </x:c>
      <x:c r="F1797" t="n">
        <x:v>10</x:v>
      </x:c>
      <x:c r="G1797" t="n">
        <x:v>3</x:v>
      </x:c>
      <x:c r="H1797" t="n">
        <x:v>7</x:v>
      </x:c>
      <x:c r="I1797" t="str">
        <x:v>À qualifier par lieu</x:v>
      </x:c>
      <x:c r="J1797" t="str">
        <x:v>https://github.com/darknigthmare/deadwall-last-enclosure/blob/1b3b9c5ba232734b1bda3453b4e20a0481bcdd74/codex-3000/compositions/Forêts et filière bois/DW-1792.md</x:v>
      </x:c>
      <x:c r="K1797" t="str">
        <x:v>Source min 90,70 m ; max 900,700 m ; modèle 78 × 70 m ; niveaux 0. Détails dans catalogue-existant.json.</x:v>
      </x:c>
    </x:row>
    <x:row r="1798">
      <x:c r="A1798" t="str">
        <x:v>DW-1793</x:v>
      </x:c>
      <x:c r="B1798" t="str">
        <x:v>DW-0397</x:v>
      </x:c>
      <x:c r="C1798" t="str">
        <x:v>Composition héritée</x:v>
      </x:c>
      <x:c r="D1798" t="str">
        <x:v>Forêts et filière bois</x:v>
      </x:c>
      <x:c r="E1798" t="str">
        <x:v>Zone de débardage — Petit bois et lisière / reprise progressive de la végétation</x:v>
      </x:c>
      <x:c r="F1798" t="n">
        <x:v>8</x:v>
      </x:c>
      <x:c r="G1798" t="n">
        <x:v>4</x:v>
      </x:c>
      <x:c r="H1798" t="n">
        <x:v>10</x:v>
      </x:c>
      <x:c r="I1798" t="str">
        <x:v>À qualifier par lieu</x:v>
      </x:c>
      <x:c r="J1798" t="str">
        <x:v>https://github.com/darknigthmare/deadwall-last-enclosure/blob/1b3b9c5ba232734b1bda3453b4e20a0481bcdd74/codex-3000/compositions/Forêts et filière bois/DW-1793.md</x:v>
      </x:c>
      <x:c r="K1798" t="str">
        <x:v>Source min 90,70 m ; max 900,700 m ; modèle 78 × 70 m ; niveaux 0. Détails dans catalogue-existant.json.</x:v>
      </x:c>
    </x:row>
    <x:row r="1799">
      <x:c r="A1799" t="str">
        <x:v>DW-1794</x:v>
      </x:c>
      <x:c r="B1799" t="str">
        <x:v>DW-0397</x:v>
      </x:c>
      <x:c r="C1799" t="str">
        <x:v>Composition héritée</x:v>
      </x:c>
      <x:c r="D1799" t="str">
        <x:v>Forêts et filière bois</x:v>
      </x:c>
      <x:c r="E1799" t="str">
        <x:v>Zone de débardage — Clairière et coupe forestière / repli organisé interrompu</x:v>
      </x:c>
      <x:c r="F1799" t="n">
        <x:v>8</x:v>
      </x:c>
      <x:c r="G1799" t="n">
        <x:v>4</x:v>
      </x:c>
      <x:c r="H1799" t="n">
        <x:v>10</x:v>
      </x:c>
      <x:c r="I1799" t="str">
        <x:v>À qualifier par lieu</x:v>
      </x:c>
      <x:c r="J1799" t="str">
        <x:v>https://github.com/darknigthmare/deadwall-last-enclosure/blob/1b3b9c5ba232734b1bda3453b4e20a0481bcdd74/codex-3000/compositions/Forêts et filière bois/DW-1794.md</x:v>
      </x:c>
      <x:c r="K1799" t="str">
        <x:v>Source min 90,70 m ; max 900,700 m ; modèle 78 × 70 m ; niveaux 0. Détails dans catalogue-existant.json.</x:v>
      </x:c>
    </x:row>
    <x:row r="1800">
      <x:c r="A1800" t="str">
        <x:v>DW-1795</x:v>
      </x:c>
      <x:c r="B1800" t="str">
        <x:v>DW-0398</x:v>
      </x:c>
      <x:c r="C1800" t="str">
        <x:v>Composition héritée</x:v>
      </x:c>
      <x:c r="D1800" t="str">
        <x:v>Forêts et filière bois</x:v>
      </x:c>
      <x:c r="E1800" t="str">
        <x:v>Atelier de palettes — Forêt immense / relais temporaire envisagé</x:v>
      </x:c>
      <x:c r="F1800" t="n">
        <x:v>10</x:v>
      </x:c>
      <x:c r="G1800" t="n">
        <x:v>4</x:v>
      </x:c>
      <x:c r="H1800" t="n">
        <x:v>12</x:v>
      </x:c>
      <x:c r="I1800" t="str">
        <x:v>À qualifier par lieu</x:v>
      </x:c>
      <x:c r="J1800" t="str">
        <x:v>https://github.com/darknigthmare/deadwall-last-enclosure/blob/1b3b9c5ba232734b1bda3453b4e20a0481bcdd74/codex-3000/compositions/Forêts et filière bois/DW-1795.md</x:v>
      </x:c>
      <x:c r="K1800" t="str">
        <x:v>Source min 90,70 m ; max 900,700 m ; modèle 78 × 70 m ; niveaux 0. Détails dans catalogue-existant.json.</x:v>
      </x:c>
    </x:row>
    <x:row r="1801">
      <x:c r="A1801" t="str">
        <x:v>DW-1796</x:v>
      </x:c>
      <x:c r="B1801" t="str">
        <x:v>DW-0398</x:v>
      </x:c>
      <x:c r="C1801" t="str">
        <x:v>Composition héritée</x:v>
      </x:c>
      <x:c r="D1801" t="str">
        <x:v>Forêts et filière bois</x:v>
      </x:c>
      <x:c r="E1801" t="str">
        <x:v>Atelier de palettes — Scierie et dépôt de bois / évacuation interrompue</x:v>
      </x:c>
      <x:c r="F1801" t="n">
        <x:v>8</x:v>
      </x:c>
      <x:c r="G1801" t="n">
        <x:v>4</x:v>
      </x:c>
      <x:c r="H1801" t="n">
        <x:v>12</x:v>
      </x:c>
      <x:c r="I1801" t="str">
        <x:v>À qualifier par lieu</x:v>
      </x:c>
      <x:c r="J1801" t="str">
        <x:v>https://github.com/darknigthmare/deadwall-last-enclosure/blob/1b3b9c5ba232734b1bda3453b4e20a0481bcdd74/codex-3000/compositions/Forêts et filière bois/DW-1796.md</x:v>
      </x:c>
      <x:c r="K1801" t="str">
        <x:v>Source min 90,70 m ; max 900,700 m ; modèle 78 × 70 m ; niveaux 0. Détails dans catalogue-existant.json.</x:v>
      </x:c>
    </x:row>
    <x:row r="1802">
      <x:c r="A1802" t="str">
        <x:v>DW-1797</x:v>
      </x:c>
      <x:c r="B1802" t="str">
        <x:v>DW-0399</x:v>
      </x:c>
      <x:c r="C1802" t="str">
        <x:v>Composition héritée</x:v>
      </x:c>
      <x:c r="D1802" t="str">
        <x:v>Forêts et filière bois</x:v>
      </x:c>
      <x:c r="E1802" t="str">
        <x:v>Dépôt de bois de chauffage — Clairière et coupe forestière / réseau principal coupé</x:v>
      </x:c>
      <x:c r="F1802" t="n">
        <x:v>8</x:v>
      </x:c>
      <x:c r="G1802" t="n">
        <x:v>4</x:v>
      </x:c>
      <x:c r="H1802" t="n">
        <x:v>12</x:v>
      </x:c>
      <x:c r="I1802" t="str">
        <x:v>À qualifier par lieu</x:v>
      </x:c>
      <x:c r="J1802" t="str">
        <x:v>https://github.com/darknigthmare/deadwall-last-enclosure/blob/1b3b9c5ba232734b1bda3453b4e20a0481bcdd74/codex-3000/compositions/Forêts et filière bois/DW-1797.md</x:v>
      </x:c>
      <x:c r="K1802" t="str">
        <x:v>Source min 90,70 m ; max 900,700 m ; modèle 78 × 70 m ; niveaux 0. Détails dans catalogue-existant.json.</x:v>
      </x:c>
    </x:row>
    <x:row r="1803">
      <x:c r="A1803" t="str">
        <x:v>DW-1798</x:v>
      </x:c>
      <x:c r="B1803" t="str">
        <x:v>DW-0399</x:v>
      </x:c>
      <x:c r="C1803" t="str">
        <x:v>Composition héritée</x:v>
      </x:c>
      <x:c r="D1803" t="str">
        <x:v>Forêts et filière bois</x:v>
      </x:c>
      <x:c r="E1803" t="str">
        <x:v>Dépôt de bois de chauffage — Petit bois et lisière / arrêt de maintenance</x:v>
      </x:c>
      <x:c r="F1803" t="n">
        <x:v>8</x:v>
      </x:c>
      <x:c r="G1803" t="n">
        <x:v>4</x:v>
      </x:c>
      <x:c r="H1803" t="n">
        <x:v>12</x:v>
      </x:c>
      <x:c r="I1803" t="str">
        <x:v>À qualifier par lieu</x:v>
      </x:c>
      <x:c r="J1803" t="str">
        <x:v>https://github.com/darknigthmare/deadwall-last-enclosure/blob/1b3b9c5ba232734b1bda3453b4e20a0481bcdd74/codex-3000/compositions/Forêts et filière bois/DW-1798.md</x:v>
      </x:c>
      <x:c r="K1803" t="str">
        <x:v>Source min 90,70 m ; max 900,700 m ; modèle 78 × 70 m ; niveaux 0. Détails dans catalogue-existant.json.</x:v>
      </x:c>
    </x:row>
    <x:row r="1804">
      <x:c r="A1804" t="str">
        <x:v>DW-1799</x:v>
      </x:c>
      <x:c r="B1804" t="str">
        <x:v>DW-0400</x:v>
      </x:c>
      <x:c r="C1804" t="str">
        <x:v>Composition héritée</x:v>
      </x:c>
      <x:c r="D1804" t="str">
        <x:v>Forêts et filière bois</x:v>
      </x:c>
      <x:c r="E1804" t="str">
        <x:v>Arboretum — Scierie et dépôt de bois / repli organisé interrompu</x:v>
      </x:c>
      <x:c r="F1804" t="n">
        <x:v>8</x:v>
      </x:c>
      <x:c r="G1804" t="n">
        <x:v>4</x:v>
      </x:c>
      <x:c r="H1804" t="n">
        <x:v>12</x:v>
      </x:c>
      <x:c r="I1804" t="str">
        <x:v>À qualifier par lieu</x:v>
      </x:c>
      <x:c r="J1804" t="str">
        <x:v>https://github.com/darknigthmare/deadwall-last-enclosure/blob/1b3b9c5ba232734b1bda3453b4e20a0481bcdd74/codex-3000/compositions/Forêts et filière bois/DW-1799.md</x:v>
      </x:c>
      <x:c r="K1804" t="str">
        <x:v>Source min 90,70 m ; max 900,700 m ; modèle 78 × 70 m ; niveaux 0. Détails dans catalogue-existant.json.</x:v>
      </x:c>
    </x:row>
    <x:row r="1805">
      <x:c r="A1805" t="str">
        <x:v>DW-1800</x:v>
      </x:c>
      <x:c r="B1805" t="str">
        <x:v>DW-0400</x:v>
      </x:c>
      <x:c r="C1805" t="str">
        <x:v>Composition héritée</x:v>
      </x:c>
      <x:c r="D1805" t="str">
        <x:v>Forêts et filière bois</x:v>
      </x:c>
      <x:c r="E1805" t="str">
        <x:v>Arboretum — Forêt immense / première récupération passée</x:v>
      </x:c>
      <x:c r="F1805" t="n">
        <x:v>10</x:v>
      </x:c>
      <x:c r="G1805" t="n">
        <x:v>4</x:v>
      </x:c>
      <x:c r="H1805" t="n">
        <x:v>12</x:v>
      </x:c>
      <x:c r="I1805" t="str">
        <x:v>À qualifier par lieu</x:v>
      </x:c>
      <x:c r="J1805" t="str">
        <x:v>https://github.com/darknigthmare/deadwall-last-enclosure/blob/1b3b9c5ba232734b1bda3453b4e20a0481bcdd74/codex-3000/compositions/Forêts et filière bois/DW-1800.md</x:v>
      </x:c>
      <x:c r="K1805" t="str">
        <x:v>Source min 90,70 m ; max 900,700 m ; modèle 78 × 70 m ; niveaux 0. Détails dans catalogue-existant.json.</x:v>
      </x:c>
    </x:row>
    <x:row r="1806">
      <x:c r="A1806" t="str">
        <x:v>DW-1801</x:v>
      </x:c>
      <x:c r="B1806" t="str">
        <x:v>DW-0401</x:v>
      </x:c>
      <x:c r="C1806" t="str">
        <x:v>Composition héritée</x:v>
      </x:c>
      <x:c r="D1806" t="str">
        <x:v>Mines et matériaux</x:v>
      </x:c>
      <x:c r="E1806" t="str">
        <x:v>Mine à galerie — Mine à galerie / évacuation interrompue</x:v>
      </x:c>
      <x:c r="F1806" t="n">
        <x:v>8</x:v>
      </x:c>
      <x:c r="G1806" t="n">
        <x:v>5</x:v>
      </x:c>
      <x:c r="H1806" t="n">
        <x:v>15</x:v>
      </x:c>
      <x:c r="I1806" t="str">
        <x:v>À qualifier par lieu</x:v>
      </x:c>
      <x:c r="J1806" t="str">
        <x:v>https://github.com/darknigthmare/deadwall-last-enclosure/blob/1b3b9c5ba232734b1bda3453b4e20a0481bcdd74/codex-3000/compositions/Mines et matériaux/DW-1801.md</x:v>
      </x:c>
      <x:c r="K1806" t="str">
        <x:v>Source min 75,45 m ; max 800,500 m ; modèle 75 × 45 m ; niveaux -1, 0. Détails dans catalogue-existant.json.</x:v>
      </x:c>
    </x:row>
    <x:row r="1807">
      <x:c r="A1807" t="str">
        <x:v>DW-1802</x:v>
      </x:c>
      <x:c r="B1807" t="str">
        <x:v>DW-0401</x:v>
      </x:c>
      <x:c r="C1807" t="str">
        <x:v>Composition héritée</x:v>
      </x:c>
      <x:c r="D1807" t="str">
        <x:v>Mines et matériaux</x:v>
      </x:c>
      <x:c r="E1807" t="str">
        <x:v>Mine à galerie — Montagne et col / service déplacé à l’arrière</x:v>
      </x:c>
      <x:c r="F1807" t="n">
        <x:v>10</x:v>
      </x:c>
      <x:c r="G1807" t="n">
        <x:v>5</x:v>
      </x:c>
      <x:c r="H1807" t="n">
        <x:v>15</x:v>
      </x:c>
      <x:c r="I1807" t="str">
        <x:v>À qualifier par lieu</x:v>
      </x:c>
      <x:c r="J1807" t="str">
        <x:v>https://github.com/darknigthmare/deadwall-last-enclosure/blob/1b3b9c5ba232734b1bda3453b4e20a0481bcdd74/codex-3000/compositions/Mines et matériaux/DW-1802.md</x:v>
      </x:c>
      <x:c r="K1807" t="str">
        <x:v>Source min 75,45 m ; max 800,500 m ; modèle 75 × 45 m ; niveaux -1, 0. Détails dans catalogue-existant.json.</x:v>
      </x:c>
    </x:row>
    <x:row r="1808">
      <x:c r="A1808" t="str">
        <x:v>DW-1803</x:v>
      </x:c>
      <x:c r="B1808" t="str">
        <x:v>DW-0402</x:v>
      </x:c>
      <x:c r="C1808" t="str">
        <x:v>Composition héritée</x:v>
      </x:c>
      <x:c r="D1808" t="str">
        <x:v>Mines et matériaux</x:v>
      </x:c>
      <x:c r="E1808" t="str">
        <x:v>Mine à ciel ouvert — Carrière / arrêt de maintenance</x:v>
      </x:c>
      <x:c r="F1808" t="n">
        <x:v>8</x:v>
      </x:c>
      <x:c r="G1808" t="n">
        <x:v>4</x:v>
      </x:c>
      <x:c r="H1808" t="n">
        <x:v>12</x:v>
      </x:c>
      <x:c r="I1808" t="str">
        <x:v>À qualifier par lieu</x:v>
      </x:c>
      <x:c r="J1808" t="str">
        <x:v>https://github.com/darknigthmare/deadwall-last-enclosure/blob/1b3b9c5ba232734b1bda3453b4e20a0481bcdd74/codex-3000/compositions/Mines et matériaux/DW-1803.md</x:v>
      </x:c>
      <x:c r="K1808" t="str">
        <x:v>Source min 75,45 m ; max 800,500 m ; modèle 75 × 45 m ; niveaux 0. Détails dans catalogue-existant.json.</x:v>
      </x:c>
    </x:row>
    <x:row r="1809">
      <x:c r="A1809" t="str">
        <x:v>DW-1804</x:v>
      </x:c>
      <x:c r="B1809" t="str">
        <x:v>DW-0402</x:v>
      </x:c>
      <x:c r="C1809" t="str">
        <x:v>Composition héritée</x:v>
      </x:c>
      <x:c r="D1809" t="str">
        <x:v>Mines et matériaux</x:v>
      </x:c>
      <x:c r="E1809" t="str">
        <x:v>Mine à ciel ouvert — Plateau sec et terrain aride / reprise progressive de la végétation</x:v>
      </x:c>
      <x:c r="F1809" t="n">
        <x:v>10</x:v>
      </x:c>
      <x:c r="G1809" t="n">
        <x:v>4</x:v>
      </x:c>
      <x:c r="H1809" t="n">
        <x:v>12</x:v>
      </x:c>
      <x:c r="I1809" t="str">
        <x:v>À qualifier par lieu</x:v>
      </x:c>
      <x:c r="J1809" t="str">
        <x:v>https://github.com/darknigthmare/deadwall-last-enclosure/blob/1b3b9c5ba232734b1bda3453b4e20a0481bcdd74/codex-3000/compositions/Mines et matériaux/DW-1804.md</x:v>
      </x:c>
      <x:c r="K1809" t="str">
        <x:v>Source min 75,45 m ; max 800,500 m ; modèle 75 × 45 m ; niveaux 0. Détails dans catalogue-existant.json.</x:v>
      </x:c>
    </x:row>
    <x:row r="1810">
      <x:c r="A1810" t="str">
        <x:v>DW-1805</x:v>
      </x:c>
      <x:c r="B1810" t="str">
        <x:v>DW-0403</x:v>
      </x:c>
      <x:c r="C1810" t="str">
        <x:v>Composition héritée</x:v>
      </x:c>
      <x:c r="D1810" t="str">
        <x:v>Mines et matériaux</x:v>
      </x:c>
      <x:c r="E1810" t="str">
        <x:v>Carrière de pierre — Montagne et col / première récupération passée</x:v>
      </x:c>
      <x:c r="F1810" t="n">
        <x:v>10</x:v>
      </x:c>
      <x:c r="G1810" t="n">
        <x:v>4</x:v>
      </x:c>
      <x:c r="H1810" t="n">
        <x:v>12</x:v>
      </x:c>
      <x:c r="I1810" t="str">
        <x:v>À qualifier par lieu</x:v>
      </x:c>
      <x:c r="J1810" t="str">
        <x:v>https://github.com/darknigthmare/deadwall-last-enclosure/blob/1b3b9c5ba232734b1bda3453b4e20a0481bcdd74/codex-3000/compositions/Mines et matériaux/DW-1805.md</x:v>
      </x:c>
      <x:c r="K1810" t="str">
        <x:v>Source min 75,45 m ; max 800,500 m ; modèle 75 × 45 m ; niveaux 0. Détails dans catalogue-existant.json.</x:v>
      </x:c>
    </x:row>
    <x:row r="1811">
      <x:c r="A1811" t="str">
        <x:v>DW-1806</x:v>
      </x:c>
      <x:c r="B1811" t="str">
        <x:v>DW-0403</x:v>
      </x:c>
      <x:c r="C1811" t="str">
        <x:v>Composition héritée</x:v>
      </x:c>
      <x:c r="D1811" t="str">
        <x:v>Mines et matériaux</x:v>
      </x:c>
      <x:c r="E1811" t="str">
        <x:v>Carrière de pierre — Mine à galerie / relais temporaire envisagé</x:v>
      </x:c>
      <x:c r="F1811" t="n">
        <x:v>8</x:v>
      </x:c>
      <x:c r="G1811" t="n">
        <x:v>4</x:v>
      </x:c>
      <x:c r="H1811" t="n">
        <x:v>12</x:v>
      </x:c>
      <x:c r="I1811" t="str">
        <x:v>À qualifier par lieu</x:v>
      </x:c>
      <x:c r="J1811" t="str">
        <x:v>https://github.com/darknigthmare/deadwall-last-enclosure/blob/1b3b9c5ba232734b1bda3453b4e20a0481bcdd74/codex-3000/compositions/Mines et matériaux/DW-1806.md</x:v>
      </x:c>
      <x:c r="K1811" t="str">
        <x:v>Source min 75,45 m ; max 800,500 m ; modèle 75 × 45 m ; niveaux 0. Détails dans catalogue-existant.json.</x:v>
      </x:c>
    </x:row>
    <x:row r="1812">
      <x:c r="A1812" t="str">
        <x:v>DW-1807</x:v>
      </x:c>
      <x:c r="B1812" t="str">
        <x:v>DW-0404</x:v>
      </x:c>
      <x:c r="C1812" t="str">
        <x:v>Composition héritée</x:v>
      </x:c>
      <x:c r="D1812" t="str">
        <x:v>Mines et matériaux</x:v>
      </x:c>
      <x:c r="E1812" t="str">
        <x:v>Carrière de granulats — Plateau sec et terrain aride / service déplacé à l’arrière</x:v>
      </x:c>
      <x:c r="F1812" t="n">
        <x:v>10</x:v>
      </x:c>
      <x:c r="G1812" t="n">
        <x:v>4</x:v>
      </x:c>
      <x:c r="H1812" t="n">
        <x:v>12</x:v>
      </x:c>
      <x:c r="I1812" t="str">
        <x:v>À qualifier par lieu</x:v>
      </x:c>
      <x:c r="J1812" t="str">
        <x:v>https://github.com/darknigthmare/deadwall-last-enclosure/blob/1b3b9c5ba232734b1bda3453b4e20a0481bcdd74/codex-3000/compositions/Mines et matériaux/DW-1807.md</x:v>
      </x:c>
      <x:c r="K1812" t="str">
        <x:v>Source min 75,45 m ; max 800,500 m ; modèle 75 × 45 m ; niveaux 0. Détails dans catalogue-existant.json.</x:v>
      </x:c>
    </x:row>
    <x:row r="1813">
      <x:c r="A1813" t="str">
        <x:v>DW-1808</x:v>
      </x:c>
      <x:c r="B1813" t="str">
        <x:v>DW-0404</x:v>
      </x:c>
      <x:c r="C1813" t="str">
        <x:v>Composition héritée</x:v>
      </x:c>
      <x:c r="D1813" t="str">
        <x:v>Mines et matériaux</x:v>
      </x:c>
      <x:c r="E1813" t="str">
        <x:v>Carrière de granulats — Carrière / réseau principal coupé</x:v>
      </x:c>
      <x:c r="F1813" t="n">
        <x:v>8</x:v>
      </x:c>
      <x:c r="G1813" t="n">
        <x:v>4</x:v>
      </x:c>
      <x:c r="H1813" t="n">
        <x:v>12</x:v>
      </x:c>
      <x:c r="I1813" t="str">
        <x:v>À qualifier par lieu</x:v>
      </x:c>
      <x:c r="J1813" t="str">
        <x:v>https://github.com/darknigthmare/deadwall-last-enclosure/blob/1b3b9c5ba232734b1bda3453b4e20a0481bcdd74/codex-3000/compositions/Mines et matériaux/DW-1808.md</x:v>
      </x:c>
      <x:c r="K1813" t="str">
        <x:v>Source min 75,45 m ; max 800,500 m ; modèle 75 × 45 m ; niveaux 0. Détails dans catalogue-existant.json.</x:v>
      </x:c>
    </x:row>
    <x:row r="1814">
      <x:c r="A1814" t="str">
        <x:v>DW-1809</x:v>
      </x:c>
      <x:c r="B1814" t="str">
        <x:v>DW-0405</x:v>
      </x:c>
      <x:c r="C1814" t="str">
        <x:v>Composition héritée</x:v>
      </x:c>
      <x:c r="D1814" t="str">
        <x:v>Mines et matériaux</x:v>
      </x:c>
      <x:c r="E1814" t="str">
        <x:v>Sablière — Mine à galerie / reprise progressive de la végétation</x:v>
      </x:c>
      <x:c r="F1814" t="n">
        <x:v>8</x:v>
      </x:c>
      <x:c r="G1814" t="n">
        <x:v>4</x:v>
      </x:c>
      <x:c r="H1814" t="n">
        <x:v>12</x:v>
      </x:c>
      <x:c r="I1814" t="str">
        <x:v>À qualifier par lieu</x:v>
      </x:c>
      <x:c r="J1814" t="str">
        <x:v>https://github.com/darknigthmare/deadwall-last-enclosure/blob/1b3b9c5ba232734b1bda3453b4e20a0481bcdd74/codex-3000/compositions/Mines et matériaux/DW-1809.md</x:v>
      </x:c>
      <x:c r="K1814" t="str">
        <x:v>Source min 75,45 m ; max 800,500 m ; modèle 75 × 45 m ; niveaux 0. Détails dans catalogue-existant.json.</x:v>
      </x:c>
    </x:row>
    <x:row r="1815">
      <x:c r="A1815" t="str">
        <x:v>DW-1810</x:v>
      </x:c>
      <x:c r="B1815" t="str">
        <x:v>DW-0405</x:v>
      </x:c>
      <x:c r="C1815" t="str">
        <x:v>Composition héritée</x:v>
      </x:c>
      <x:c r="D1815" t="str">
        <x:v>Mines et matériaux</x:v>
      </x:c>
      <x:c r="E1815" t="str">
        <x:v>Sablière — Montagne et col / repli organisé interrompu</x:v>
      </x:c>
      <x:c r="F1815" t="n">
        <x:v>10</x:v>
      </x:c>
      <x:c r="G1815" t="n">
        <x:v>4</x:v>
      </x:c>
      <x:c r="H1815" t="n">
        <x:v>12</x:v>
      </x:c>
      <x:c r="I1815" t="str">
        <x:v>À qualifier par lieu</x:v>
      </x:c>
      <x:c r="J1815" t="str">
        <x:v>https://github.com/darknigthmare/deadwall-last-enclosure/blob/1b3b9c5ba232734b1bda3453b4e20a0481bcdd74/codex-3000/compositions/Mines et matériaux/DW-1810.md</x:v>
      </x:c>
      <x:c r="K1815" t="str">
        <x:v>Source min 75,45 m ; max 800,500 m ; modèle 75 × 45 m ; niveaux 0. Détails dans catalogue-existant.json.</x:v>
      </x:c>
    </x:row>
    <x:row r="1816">
      <x:c r="A1816" t="str">
        <x:v>DW-1811</x:v>
      </x:c>
      <x:c r="B1816" t="str">
        <x:v>DW-0406</x:v>
      </x:c>
      <x:c r="C1816" t="str">
        <x:v>Composition héritée</x:v>
      </x:c>
      <x:c r="D1816" t="str">
        <x:v>Mines et matériaux</x:v>
      </x:c>
      <x:c r="E1816" t="str">
        <x:v>Gravière — Carrière / relais temporaire envisagé</x:v>
      </x:c>
      <x:c r="F1816" t="n">
        <x:v>8</x:v>
      </x:c>
      <x:c r="G1816" t="n">
        <x:v>4</x:v>
      </x:c>
      <x:c r="H1816" t="n">
        <x:v>12</x:v>
      </x:c>
      <x:c r="I1816" t="str">
        <x:v>À qualifier par lieu</x:v>
      </x:c>
      <x:c r="J1816" t="str">
        <x:v>https://github.com/darknigthmare/deadwall-last-enclosure/blob/1b3b9c5ba232734b1bda3453b4e20a0481bcdd74/codex-3000/compositions/Mines et matériaux/DW-1811.md</x:v>
      </x:c>
      <x:c r="K1816" t="str">
        <x:v>Source min 75,45 m ; max 800,500 m ; modèle 75 × 45 m ; niveaux 0. Détails dans catalogue-existant.json.</x:v>
      </x:c>
    </x:row>
    <x:row r="1817">
      <x:c r="A1817" t="str">
        <x:v>DW-1812</x:v>
      </x:c>
      <x:c r="B1817" t="str">
        <x:v>DW-0406</x:v>
      </x:c>
      <x:c r="C1817" t="str">
        <x:v>Composition héritée</x:v>
      </x:c>
      <x:c r="D1817" t="str">
        <x:v>Mines et matériaux</x:v>
      </x:c>
      <x:c r="E1817" t="str">
        <x:v>Gravière — Plateau sec et terrain aride / évacuation interrompue</x:v>
      </x:c>
      <x:c r="F1817" t="n">
        <x:v>10</x:v>
      </x:c>
      <x:c r="G1817" t="n">
        <x:v>4</x:v>
      </x:c>
      <x:c r="H1817" t="n">
        <x:v>12</x:v>
      </x:c>
      <x:c r="I1817" t="str">
        <x:v>À qualifier par lieu</x:v>
      </x:c>
      <x:c r="J1817" t="str">
        <x:v>https://github.com/darknigthmare/deadwall-last-enclosure/blob/1b3b9c5ba232734b1bda3453b4e20a0481bcdd74/codex-3000/compositions/Mines et matériaux/DW-1812.md</x:v>
      </x:c>
      <x:c r="K1817" t="str">
        <x:v>Source min 75,45 m ; max 800,500 m ; modèle 75 × 45 m ; niveaux 0. Détails dans catalogue-existant.json.</x:v>
      </x:c>
    </x:row>
    <x:row r="1818">
      <x:c r="A1818" t="str">
        <x:v>DW-1813</x:v>
      </x:c>
      <x:c r="B1818" t="str">
        <x:v>DW-0407</x:v>
      </x:c>
      <x:c r="C1818" t="str">
        <x:v>Composition héritée</x:v>
      </x:c>
      <x:c r="D1818" t="str">
        <x:v>Mines et matériaux</x:v>
      </x:c>
      <x:c r="E1818" t="str">
        <x:v>Mine désaffectée inondée — Montagne et col / réseau principal coupé</x:v>
      </x:c>
      <x:c r="F1818" t="n">
        <x:v>10</x:v>
      </x:c>
      <x:c r="G1818" t="n">
        <x:v>4</x:v>
      </x:c>
      <x:c r="H1818" t="n">
        <x:v>12</x:v>
      </x:c>
      <x:c r="I1818" t="str">
        <x:v>À qualifier par lieu</x:v>
      </x:c>
      <x:c r="J1818" t="str">
        <x:v>https://github.com/darknigthmare/deadwall-last-enclosure/blob/1b3b9c5ba232734b1bda3453b4e20a0481bcdd74/codex-3000/compositions/Mines et matériaux/DW-1813.md</x:v>
      </x:c>
      <x:c r="K1818" t="str">
        <x:v>Source min 75,45 m ; max 800,500 m ; modèle 75 × 45 m ; niveaux -1, 0. Détails dans catalogue-existant.json.</x:v>
      </x:c>
    </x:row>
    <x:row r="1819">
      <x:c r="A1819" t="str">
        <x:v>DW-1814</x:v>
      </x:c>
      <x:c r="B1819" t="str">
        <x:v>DW-0407</x:v>
      </x:c>
      <x:c r="C1819" t="str">
        <x:v>Composition héritée</x:v>
      </x:c>
      <x:c r="D1819" t="str">
        <x:v>Mines et matériaux</x:v>
      </x:c>
      <x:c r="E1819" t="str">
        <x:v>Mine désaffectée inondée — Mine à galerie / arrêt de maintenance</x:v>
      </x:c>
      <x:c r="F1819" t="n">
        <x:v>8</x:v>
      </x:c>
      <x:c r="G1819" t="n">
        <x:v>4</x:v>
      </x:c>
      <x:c r="H1819" t="n">
        <x:v>12</x:v>
      </x:c>
      <x:c r="I1819" t="str">
        <x:v>À qualifier par lieu</x:v>
      </x:c>
      <x:c r="J1819" t="str">
        <x:v>https://github.com/darknigthmare/deadwall-last-enclosure/blob/1b3b9c5ba232734b1bda3453b4e20a0481bcdd74/codex-3000/compositions/Mines et matériaux/DW-1814.md</x:v>
      </x:c>
      <x:c r="K1819" t="str">
        <x:v>Source min 75,45 m ; max 800,500 m ; modèle 75 × 45 m ; niveaux -1, 0. Détails dans catalogue-existant.json.</x:v>
      </x:c>
    </x:row>
    <x:row r="1820">
      <x:c r="A1820" t="str">
        <x:v>DW-1815</x:v>
      </x:c>
      <x:c r="B1820" t="str">
        <x:v>DW-0408</x:v>
      </x:c>
      <x:c r="C1820" t="str">
        <x:v>Composition héritée</x:v>
      </x:c>
      <x:c r="D1820" t="str">
        <x:v>Mines et matériaux</x:v>
      </x:c>
      <x:c r="E1820" t="str">
        <x:v>Puits de mine ancien — Plateau sec et terrain aride / repli organisé interrompu</x:v>
      </x:c>
      <x:c r="F1820" t="n">
        <x:v>10</x:v>
      </x:c>
      <x:c r="G1820" t="n">
        <x:v>4</x:v>
      </x:c>
      <x:c r="H1820" t="n">
        <x:v>12</x:v>
      </x:c>
      <x:c r="I1820" t="str">
        <x:v>À qualifier par lieu</x:v>
      </x:c>
      <x:c r="J1820" t="str">
        <x:v>https://github.com/darknigthmare/deadwall-last-enclosure/blob/1b3b9c5ba232734b1bda3453b4e20a0481bcdd74/codex-3000/compositions/Mines et matériaux/DW-1815.md</x:v>
      </x:c>
      <x:c r="K1820" t="str">
        <x:v>Source min 75,45 m ; max 800,500 m ; modèle 75 × 45 m ; niveaux -1, 0. Détails dans catalogue-existant.json.</x:v>
      </x:c>
    </x:row>
    <x:row r="1821">
      <x:c r="A1821" t="str">
        <x:v>DW-1816</x:v>
      </x:c>
      <x:c r="B1821" t="str">
        <x:v>DW-0408</x:v>
      </x:c>
      <x:c r="C1821" t="str">
        <x:v>Composition héritée</x:v>
      </x:c>
      <x:c r="D1821" t="str">
        <x:v>Mines et matériaux</x:v>
      </x:c>
      <x:c r="E1821" t="str">
        <x:v>Puits de mine ancien — Carrière / première récupération passée</x:v>
      </x:c>
      <x:c r="F1821" t="n">
        <x:v>8</x:v>
      </x:c>
      <x:c r="G1821" t="n">
        <x:v>4</x:v>
      </x:c>
      <x:c r="H1821" t="n">
        <x:v>12</x:v>
      </x:c>
      <x:c r="I1821" t="str">
        <x:v>À qualifier par lieu</x:v>
      </x:c>
      <x:c r="J1821" t="str">
        <x:v>https://github.com/darknigthmare/deadwall-last-enclosure/blob/1b3b9c5ba232734b1bda3453b4e20a0481bcdd74/codex-3000/compositions/Mines et matériaux/DW-1816.md</x:v>
      </x:c>
      <x:c r="K1821" t="str">
        <x:v>Source min 75,45 m ; max 800,500 m ; modèle 75 × 45 m ; niveaux -1, 0. Détails dans catalogue-existant.json.</x:v>
      </x:c>
    </x:row>
    <x:row r="1822">
      <x:c r="A1822" t="str">
        <x:v>DW-1817</x:v>
      </x:c>
      <x:c r="B1822" t="str">
        <x:v>DW-0409</x:v>
      </x:c>
      <x:c r="C1822" t="str">
        <x:v>Composition héritée</x:v>
      </x:c>
      <x:c r="D1822" t="str">
        <x:v>Mines et matériaux</x:v>
      </x:c>
      <x:c r="E1822" t="str">
        <x:v>Mine de sel fictive — Mine à galerie / évacuation interrompue</x:v>
      </x:c>
      <x:c r="F1822" t="n">
        <x:v>8</x:v>
      </x:c>
      <x:c r="G1822" t="n">
        <x:v>4</x:v>
      </x:c>
      <x:c r="H1822" t="n">
        <x:v>12</x:v>
      </x:c>
      <x:c r="I1822" t="str">
        <x:v>À qualifier par lieu</x:v>
      </x:c>
      <x:c r="J1822" t="str">
        <x:v>https://github.com/darknigthmare/deadwall-last-enclosure/blob/1b3b9c5ba232734b1bda3453b4e20a0481bcdd74/codex-3000/compositions/Mines et matériaux/DW-1817.md</x:v>
      </x:c>
      <x:c r="K1822" t="str">
        <x:v>Source min 75,45 m ; max 800,500 m ; modèle 75 × 45 m ; niveaux -1, 0. Détails dans catalogue-existant.json.</x:v>
      </x:c>
    </x:row>
    <x:row r="1823">
      <x:c r="A1823" t="str">
        <x:v>DW-1818</x:v>
      </x:c>
      <x:c r="B1823" t="str">
        <x:v>DW-0409</x:v>
      </x:c>
      <x:c r="C1823" t="str">
        <x:v>Composition héritée</x:v>
      </x:c>
      <x:c r="D1823" t="str">
        <x:v>Mines et matériaux</x:v>
      </x:c>
      <x:c r="E1823" t="str">
        <x:v>Mine de sel fictive — Montagne et col / service déplacé à l’arrière</x:v>
      </x:c>
      <x:c r="F1823" t="n">
        <x:v>10</x:v>
      </x:c>
      <x:c r="G1823" t="n">
        <x:v>4</x:v>
      </x:c>
      <x:c r="H1823" t="n">
        <x:v>12</x:v>
      </x:c>
      <x:c r="I1823" t="str">
        <x:v>À qualifier par lieu</x:v>
      </x:c>
      <x:c r="J1823" t="str">
        <x:v>https://github.com/darknigthmare/deadwall-last-enclosure/blob/1b3b9c5ba232734b1bda3453b4e20a0481bcdd74/codex-3000/compositions/Mines et matériaux/DW-1818.md</x:v>
      </x:c>
      <x:c r="K1823" t="str">
        <x:v>Source min 75,45 m ; max 800,500 m ; modèle 75 × 45 m ; niveaux -1, 0. Détails dans catalogue-existant.json.</x:v>
      </x:c>
    </x:row>
    <x:row r="1824">
      <x:c r="A1824" t="str">
        <x:v>DW-1819</x:v>
      </x:c>
      <x:c r="B1824" t="str">
        <x:v>DW-0410</x:v>
      </x:c>
      <x:c r="C1824" t="str">
        <x:v>Composition héritée</x:v>
      </x:c>
      <x:c r="D1824" t="str">
        <x:v>Mines et matériaux</x:v>
      </x:c>
      <x:c r="E1824" t="str">
        <x:v>Mine de charbon historique — Carrière / arrêt de maintenance</x:v>
      </x:c>
      <x:c r="F1824" t="n">
        <x:v>8</x:v>
      </x:c>
      <x:c r="G1824" t="n">
        <x:v>4</x:v>
      </x:c>
      <x:c r="H1824" t="n">
        <x:v>12</x:v>
      </x:c>
      <x:c r="I1824" t="str">
        <x:v>À qualifier par lieu</x:v>
      </x:c>
      <x:c r="J1824" t="str">
        <x:v>https://github.com/darknigthmare/deadwall-last-enclosure/blob/1b3b9c5ba232734b1bda3453b4e20a0481bcdd74/codex-3000/compositions/Mines et matériaux/DW-1819.md</x:v>
      </x:c>
      <x:c r="K1824" t="str">
        <x:v>Source min 75,45 m ; max 800,500 m ; modèle 75 × 45 m ; niveaux -1, 0. Détails dans catalogue-existant.json.</x:v>
      </x:c>
    </x:row>
    <x:row r="1825">
      <x:c r="A1825" t="str">
        <x:v>DW-1820</x:v>
      </x:c>
      <x:c r="B1825" t="str">
        <x:v>DW-0410</x:v>
      </x:c>
      <x:c r="C1825" t="str">
        <x:v>Composition héritée</x:v>
      </x:c>
      <x:c r="D1825" t="str">
        <x:v>Mines et matériaux</x:v>
      </x:c>
      <x:c r="E1825" t="str">
        <x:v>Mine de charbon historique — Plateau sec et terrain aride / reprise progressive de la végétation</x:v>
      </x:c>
      <x:c r="F1825" t="n">
        <x:v>10</x:v>
      </x:c>
      <x:c r="G1825" t="n">
        <x:v>4</x:v>
      </x:c>
      <x:c r="H1825" t="n">
        <x:v>12</x:v>
      </x:c>
      <x:c r="I1825" t="str">
        <x:v>À qualifier par lieu</x:v>
      </x:c>
      <x:c r="J1825" t="str">
        <x:v>https://github.com/darknigthmare/deadwall-last-enclosure/blob/1b3b9c5ba232734b1bda3453b4e20a0481bcdd74/codex-3000/compositions/Mines et matériaux/DW-1820.md</x:v>
      </x:c>
      <x:c r="K1825" t="str">
        <x:v>Source min 75,45 m ; max 800,500 m ; modèle 75 × 45 m ; niveaux -1, 0. Détails dans catalogue-existant.json.</x:v>
      </x:c>
    </x:row>
    <x:row r="1826">
      <x:c r="A1826" t="str">
        <x:v>DW-1821</x:v>
      </x:c>
      <x:c r="B1826" t="str">
        <x:v>DW-0411</x:v>
      </x:c>
      <x:c r="C1826" t="str">
        <x:v>Composition héritée</x:v>
      </x:c>
      <x:c r="D1826" t="str">
        <x:v>Mines et matériaux</x:v>
      </x:c>
      <x:c r="E1826" t="str">
        <x:v>Galerie de prospection — Montagne et col / première récupération passée</x:v>
      </x:c>
      <x:c r="F1826" t="n">
        <x:v>10</x:v>
      </x:c>
      <x:c r="G1826" t="n">
        <x:v>3</x:v>
      </x:c>
      <x:c r="H1826" t="n">
        <x:v>9</x:v>
      </x:c>
      <x:c r="I1826" t="str">
        <x:v>À qualifier par lieu</x:v>
      </x:c>
      <x:c r="J1826" t="str">
        <x:v>https://github.com/darknigthmare/deadwall-last-enclosure/blob/1b3b9c5ba232734b1bda3453b4e20a0481bcdd74/codex-3000/compositions/Mines et matériaux/DW-1821.md</x:v>
      </x:c>
      <x:c r="K1826" t="str">
        <x:v>Source min 75,45 m ; max 800,500 m ; modèle 75 × 45 m ; niveaux 0. Détails dans catalogue-existant.json.</x:v>
      </x:c>
    </x:row>
    <x:row r="1827">
      <x:c r="A1827" t="str">
        <x:v>DW-1822</x:v>
      </x:c>
      <x:c r="B1827" t="str">
        <x:v>DW-0411</x:v>
      </x:c>
      <x:c r="C1827" t="str">
        <x:v>Composition héritée</x:v>
      </x:c>
      <x:c r="D1827" t="str">
        <x:v>Mines et matériaux</x:v>
      </x:c>
      <x:c r="E1827" t="str">
        <x:v>Galerie de prospection — Mine à galerie / relais temporaire envisagé</x:v>
      </x:c>
      <x:c r="F1827" t="n">
        <x:v>8</x:v>
      </x:c>
      <x:c r="G1827" t="n">
        <x:v>3</x:v>
      </x:c>
      <x:c r="H1827" t="n">
        <x:v>9</x:v>
      </x:c>
      <x:c r="I1827" t="str">
        <x:v>À qualifier par lieu</x:v>
      </x:c>
      <x:c r="J1827" t="str">
        <x:v>https://github.com/darknigthmare/deadwall-last-enclosure/blob/1b3b9c5ba232734b1bda3453b4e20a0481bcdd74/codex-3000/compositions/Mines et matériaux/DW-1822.md</x:v>
      </x:c>
      <x:c r="K1827" t="str">
        <x:v>Source min 75,45 m ; max 800,500 m ; modèle 75 × 45 m ; niveaux 0. Détails dans catalogue-existant.json.</x:v>
      </x:c>
    </x:row>
    <x:row r="1828">
      <x:c r="A1828" t="str">
        <x:v>DW-1823</x:v>
      </x:c>
      <x:c r="B1828" t="str">
        <x:v>DW-0412</x:v>
      </x:c>
      <x:c r="C1828" t="str">
        <x:v>Composition héritée</x:v>
      </x:c>
      <x:c r="D1828" t="str">
        <x:v>Mines et matériaux</x:v>
      </x:c>
      <x:c r="E1828" t="str">
        <x:v>Centre de concassage — Plateau sec et terrain aride / service déplacé à l’arrière</x:v>
      </x:c>
      <x:c r="F1828" t="n">
        <x:v>10</x:v>
      </x:c>
      <x:c r="G1828" t="n">
        <x:v>4</x:v>
      </x:c>
      <x:c r="H1828" t="n">
        <x:v>12</x:v>
      </x:c>
      <x:c r="I1828" t="str">
        <x:v>À qualifier par lieu</x:v>
      </x:c>
      <x:c r="J1828" t="str">
        <x:v>https://github.com/darknigthmare/deadwall-last-enclosure/blob/1b3b9c5ba232734b1bda3453b4e20a0481bcdd74/codex-3000/compositions/Mines et matériaux/DW-1823.md</x:v>
      </x:c>
      <x:c r="K1828" t="str">
        <x:v>Source min 75,45 m ; max 800,500 m ; modèle 75 × 45 m ; niveaux 0. Détails dans catalogue-existant.json.</x:v>
      </x:c>
    </x:row>
    <x:row r="1829">
      <x:c r="A1829" t="str">
        <x:v>DW-1824</x:v>
      </x:c>
      <x:c r="B1829" t="str">
        <x:v>DW-0412</x:v>
      </x:c>
      <x:c r="C1829" t="str">
        <x:v>Composition héritée</x:v>
      </x:c>
      <x:c r="D1829" t="str">
        <x:v>Mines et matériaux</x:v>
      </x:c>
      <x:c r="E1829" t="str">
        <x:v>Centre de concassage — Carrière / réseau principal coupé</x:v>
      </x:c>
      <x:c r="F1829" t="n">
        <x:v>8</x:v>
      </x:c>
      <x:c r="G1829" t="n">
        <x:v>4</x:v>
      </x:c>
      <x:c r="H1829" t="n">
        <x:v>12</x:v>
      </x:c>
      <x:c r="I1829" t="str">
        <x:v>À qualifier par lieu</x:v>
      </x:c>
      <x:c r="J1829" t="str">
        <x:v>https://github.com/darknigthmare/deadwall-last-enclosure/blob/1b3b9c5ba232734b1bda3453b4e20a0481bcdd74/codex-3000/compositions/Mines et matériaux/DW-1824.md</x:v>
      </x:c>
      <x:c r="K1829" t="str">
        <x:v>Source min 75,45 m ; max 800,500 m ; modèle 75 × 45 m ; niveaux 0. Détails dans catalogue-existant.json.</x:v>
      </x:c>
    </x:row>
    <x:row r="1830">
      <x:c r="A1830" t="str">
        <x:v>DW-1825</x:v>
      </x:c>
      <x:c r="B1830" t="str">
        <x:v>DW-0413</x:v>
      </x:c>
      <x:c r="C1830" t="str">
        <x:v>Composition héritée</x:v>
      </x:c>
      <x:c r="D1830" t="str">
        <x:v>Mines et matériaux</x:v>
      </x:c>
      <x:c r="E1830" t="str">
        <x:v>Atelier de tailleur de pierre — Mine à galerie / reprise progressive de la végétation</x:v>
      </x:c>
      <x:c r="F1830" t="n">
        <x:v>8</x:v>
      </x:c>
      <x:c r="G1830" t="n">
        <x:v>4</x:v>
      </x:c>
      <x:c r="H1830" t="n">
        <x:v>12</x:v>
      </x:c>
      <x:c r="I1830" t="str">
        <x:v>À qualifier par lieu</x:v>
      </x:c>
      <x:c r="J1830" t="str">
        <x:v>https://github.com/darknigthmare/deadwall-last-enclosure/blob/1b3b9c5ba232734b1bda3453b4e20a0481bcdd74/codex-3000/compositions/Mines et matériaux/DW-1825.md</x:v>
      </x:c>
      <x:c r="K1830" t="str">
        <x:v>Source min 75,45 m ; max 800,500 m ; modèle 75 × 45 m ; niveaux 0. Détails dans catalogue-existant.json.</x:v>
      </x:c>
    </x:row>
    <x:row r="1831">
      <x:c r="A1831" t="str">
        <x:v>DW-1826</x:v>
      </x:c>
      <x:c r="B1831" t="str">
        <x:v>DW-0413</x:v>
      </x:c>
      <x:c r="C1831" t="str">
        <x:v>Composition héritée</x:v>
      </x:c>
      <x:c r="D1831" t="str">
        <x:v>Mines et matériaux</x:v>
      </x:c>
      <x:c r="E1831" t="str">
        <x:v>Atelier de tailleur de pierre — Montagne et col / repli organisé interrompu</x:v>
      </x:c>
      <x:c r="F1831" t="n">
        <x:v>10</x:v>
      </x:c>
      <x:c r="G1831" t="n">
        <x:v>4</x:v>
      </x:c>
      <x:c r="H1831" t="n">
        <x:v>12</x:v>
      </x:c>
      <x:c r="I1831" t="str">
        <x:v>À qualifier par lieu</x:v>
      </x:c>
      <x:c r="J1831" t="str">
        <x:v>https://github.com/darknigthmare/deadwall-last-enclosure/blob/1b3b9c5ba232734b1bda3453b4e20a0481bcdd74/codex-3000/compositions/Mines et matériaux/DW-1826.md</x:v>
      </x:c>
      <x:c r="K1831" t="str">
        <x:v>Source min 75,45 m ; max 800,500 m ; modèle 75 × 45 m ; niveaux 0. Détails dans catalogue-existant.json.</x:v>
      </x:c>
    </x:row>
    <x:row r="1832">
      <x:c r="A1832" t="str">
        <x:v>DW-1827</x:v>
      </x:c>
      <x:c r="B1832" t="str">
        <x:v>DW-0414</x:v>
      </x:c>
      <x:c r="C1832" t="str">
        <x:v>Composition héritée</x:v>
      </x:c>
      <x:c r="D1832" t="str">
        <x:v>Mines et matériaux</x:v>
      </x:c>
      <x:c r="E1832" t="str">
        <x:v>Négoce de roches décoratives — Carrière / relais temporaire envisagé</x:v>
      </x:c>
      <x:c r="F1832" t="n">
        <x:v>8</x:v>
      </x:c>
      <x:c r="G1832" t="n">
        <x:v>4</x:v>
      </x:c>
      <x:c r="H1832" t="n">
        <x:v>12</x:v>
      </x:c>
      <x:c r="I1832" t="str">
        <x:v>À qualifier par lieu</x:v>
      </x:c>
      <x:c r="J1832" t="str">
        <x:v>https://github.com/darknigthmare/deadwall-last-enclosure/blob/1b3b9c5ba232734b1bda3453b4e20a0481bcdd74/codex-3000/compositions/Mines et matériaux/DW-1827.md</x:v>
      </x:c>
      <x:c r="K1832" t="str">
        <x:v>Source min 75,45 m ; max 800,500 m ; modèle 75 × 45 m ; niveaux 0. Détails dans catalogue-existant.json.</x:v>
      </x:c>
    </x:row>
    <x:row r="1833">
      <x:c r="A1833" t="str">
        <x:v>DW-1828</x:v>
      </x:c>
      <x:c r="B1833" t="str">
        <x:v>DW-0414</x:v>
      </x:c>
      <x:c r="C1833" t="str">
        <x:v>Composition héritée</x:v>
      </x:c>
      <x:c r="D1833" t="str">
        <x:v>Mines et matériaux</x:v>
      </x:c>
      <x:c r="E1833" t="str">
        <x:v>Négoce de roches décoratives — Plateau sec et terrain aride / évacuation interrompue</x:v>
      </x:c>
      <x:c r="F1833" t="n">
        <x:v>10</x:v>
      </x:c>
      <x:c r="G1833" t="n">
        <x:v>4</x:v>
      </x:c>
      <x:c r="H1833" t="n">
        <x:v>12</x:v>
      </x:c>
      <x:c r="I1833" t="str">
        <x:v>À qualifier par lieu</x:v>
      </x:c>
      <x:c r="J1833" t="str">
        <x:v>https://github.com/darknigthmare/deadwall-last-enclosure/blob/1b3b9c5ba232734b1bda3453b4e20a0481bcdd74/codex-3000/compositions/Mines et matériaux/DW-1828.md</x:v>
      </x:c>
      <x:c r="K1833" t="str">
        <x:v>Source min 75,45 m ; max 800,500 m ; modèle 75 × 45 m ; niveaux 0. Détails dans catalogue-existant.json.</x:v>
      </x:c>
    </x:row>
    <x:row r="1834">
      <x:c r="A1834" t="str">
        <x:v>DW-1829</x:v>
      </x:c>
      <x:c r="B1834" t="str">
        <x:v>DW-0415</x:v>
      </x:c>
      <x:c r="C1834" t="str">
        <x:v>Composition héritée</x:v>
      </x:c>
      <x:c r="D1834" t="str">
        <x:v>Mines et matériaux</x:v>
      </x:c>
      <x:c r="E1834" t="str">
        <x:v>Ancienne briqueterie — Montagne et col / réseau principal coupé</x:v>
      </x:c>
      <x:c r="F1834" t="n">
        <x:v>10</x:v>
      </x:c>
      <x:c r="G1834" t="n">
        <x:v>4</x:v>
      </x:c>
      <x:c r="H1834" t="n">
        <x:v>12</x:v>
      </x:c>
      <x:c r="I1834" t="str">
        <x:v>À qualifier par lieu</x:v>
      </x:c>
      <x:c r="J1834" t="str">
        <x:v>https://github.com/darknigthmare/deadwall-last-enclosure/blob/1b3b9c5ba232734b1bda3453b4e20a0481bcdd74/codex-3000/compositions/Mines et matériaux/DW-1829.md</x:v>
      </x:c>
      <x:c r="K1834" t="str">
        <x:v>Source min 75,45 m ; max 800,500 m ; modèle 75 × 45 m ; niveaux 0. Détails dans catalogue-existant.json.</x:v>
      </x:c>
    </x:row>
    <x:row r="1835">
      <x:c r="A1835" t="str">
        <x:v>DW-1830</x:v>
      </x:c>
      <x:c r="B1835" t="str">
        <x:v>DW-0415</x:v>
      </x:c>
      <x:c r="C1835" t="str">
        <x:v>Composition héritée</x:v>
      </x:c>
      <x:c r="D1835" t="str">
        <x:v>Mines et matériaux</x:v>
      </x:c>
      <x:c r="E1835" t="str">
        <x:v>Ancienne briqueterie — Mine à galerie / arrêt de maintenance</x:v>
      </x:c>
      <x:c r="F1835" t="n">
        <x:v>8</x:v>
      </x:c>
      <x:c r="G1835" t="n">
        <x:v>4</x:v>
      </x:c>
      <x:c r="H1835" t="n">
        <x:v>12</x:v>
      </x:c>
      <x:c r="I1835" t="str">
        <x:v>À qualifier par lieu</x:v>
      </x:c>
      <x:c r="J1835" t="str">
        <x:v>https://github.com/darknigthmare/deadwall-last-enclosure/blob/1b3b9c5ba232734b1bda3453b4e20a0481bcdd74/codex-3000/compositions/Mines et matériaux/DW-1830.md</x:v>
      </x:c>
      <x:c r="K1835" t="str">
        <x:v>Source min 75,45 m ; max 800,500 m ; modèle 75 × 45 m ; niveaux 0. Détails dans catalogue-existant.json.</x:v>
      </x:c>
    </x:row>
    <x:row r="1836">
      <x:c r="A1836" t="str">
        <x:v>DW-1831</x:v>
      </x:c>
      <x:c r="B1836" t="str">
        <x:v>DW-0416</x:v>
      </x:c>
      <x:c r="C1836" t="str">
        <x:v>Composition héritée</x:v>
      </x:c>
      <x:c r="D1836" t="str">
        <x:v>Mines et matériaux</x:v>
      </x:c>
      <x:c r="E1836" t="str">
        <x:v>Four à chaux patrimonial — Plateau sec et terrain aride / repli organisé interrompu</x:v>
      </x:c>
      <x:c r="F1836" t="n">
        <x:v>10</x:v>
      </x:c>
      <x:c r="G1836" t="n">
        <x:v>4</x:v>
      </x:c>
      <x:c r="H1836" t="n">
        <x:v>12</x:v>
      </x:c>
      <x:c r="I1836" t="str">
        <x:v>À qualifier par lieu</x:v>
      </x:c>
      <x:c r="J1836" t="str">
        <x:v>https://github.com/darknigthmare/deadwall-last-enclosure/blob/1b3b9c5ba232734b1bda3453b4e20a0481bcdd74/codex-3000/compositions/Mines et matériaux/DW-1831.md</x:v>
      </x:c>
      <x:c r="K1836" t="str">
        <x:v>Source min 75,45 m ; max 800,500 m ; modèle 75 × 45 m ; niveaux 0. Détails dans catalogue-existant.json.</x:v>
      </x:c>
    </x:row>
    <x:row r="1837">
      <x:c r="A1837" t="str">
        <x:v>DW-1832</x:v>
      </x:c>
      <x:c r="B1837" t="str">
        <x:v>DW-0416</x:v>
      </x:c>
      <x:c r="C1837" t="str">
        <x:v>Composition héritée</x:v>
      </x:c>
      <x:c r="D1837" t="str">
        <x:v>Mines et matériaux</x:v>
      </x:c>
      <x:c r="E1837" t="str">
        <x:v>Four à chaux patrimonial — Carrière / première récupération passée</x:v>
      </x:c>
      <x:c r="F1837" t="n">
        <x:v>8</x:v>
      </x:c>
      <x:c r="G1837" t="n">
        <x:v>4</x:v>
      </x:c>
      <x:c r="H1837" t="n">
        <x:v>12</x:v>
      </x:c>
      <x:c r="I1837" t="str">
        <x:v>À qualifier par lieu</x:v>
      </x:c>
      <x:c r="J1837" t="str">
        <x:v>https://github.com/darknigthmare/deadwall-last-enclosure/blob/1b3b9c5ba232734b1bda3453b4e20a0481bcdd74/codex-3000/compositions/Mines et matériaux/DW-1832.md</x:v>
      </x:c>
      <x:c r="K1837" t="str">
        <x:v>Source min 75,45 m ; max 800,500 m ; modèle 75 × 45 m ; niveaux 0. Détails dans catalogue-existant.json.</x:v>
      </x:c>
    </x:row>
    <x:row r="1838">
      <x:c r="A1838" t="str">
        <x:v>DW-1833</x:v>
      </x:c>
      <x:c r="B1838" t="str">
        <x:v>DW-0417</x:v>
      </x:c>
      <x:c r="C1838" t="str">
        <x:v>Composition héritée</x:v>
      </x:c>
      <x:c r="D1838" t="str">
        <x:v>Mines et matériaux</x:v>
      </x:c>
      <x:c r="E1838" t="str">
        <x:v>Champ de terrils — Mine à galerie / évacuation interrompue</x:v>
      </x:c>
      <x:c r="F1838" t="n">
        <x:v>8</x:v>
      </x:c>
      <x:c r="G1838" t="n">
        <x:v>4</x:v>
      </x:c>
      <x:c r="H1838" t="n">
        <x:v>12</x:v>
      </x:c>
      <x:c r="I1838" t="str">
        <x:v>À qualifier par lieu</x:v>
      </x:c>
      <x:c r="J1838" t="str">
        <x:v>https://github.com/darknigthmare/deadwall-last-enclosure/blob/1b3b9c5ba232734b1bda3453b4e20a0481bcdd74/codex-3000/compositions/Mines et matériaux/DW-1833.md</x:v>
      </x:c>
      <x:c r="K1838" t="str">
        <x:v>Source min 75,45 m ; max 800,500 m ; modèle 75 × 45 m ; niveaux 0. Détails dans catalogue-existant.json.</x:v>
      </x:c>
    </x:row>
    <x:row r="1839">
      <x:c r="A1839" t="str">
        <x:v>DW-1834</x:v>
      </x:c>
      <x:c r="B1839" t="str">
        <x:v>DW-0417</x:v>
      </x:c>
      <x:c r="C1839" t="str">
        <x:v>Composition héritée</x:v>
      </x:c>
      <x:c r="D1839" t="str">
        <x:v>Mines et matériaux</x:v>
      </x:c>
      <x:c r="E1839" t="str">
        <x:v>Champ de terrils — Montagne et col / service déplacé à l’arrière</x:v>
      </x:c>
      <x:c r="F1839" t="n">
        <x:v>10</x:v>
      </x:c>
      <x:c r="G1839" t="n">
        <x:v>4</x:v>
      </x:c>
      <x:c r="H1839" t="n">
        <x:v>12</x:v>
      </x:c>
      <x:c r="I1839" t="str">
        <x:v>À qualifier par lieu</x:v>
      </x:c>
      <x:c r="J1839" t="str">
        <x:v>https://github.com/darknigthmare/deadwall-last-enclosure/blob/1b3b9c5ba232734b1bda3453b4e20a0481bcdd74/codex-3000/compositions/Mines et matériaux/DW-1834.md</x:v>
      </x:c>
      <x:c r="K1839" t="str">
        <x:v>Source min 75,45 m ; max 800,500 m ; modèle 75 × 45 m ; niveaux 0. Détails dans catalogue-existant.json.</x:v>
      </x:c>
    </x:row>
    <x:row r="1840">
      <x:c r="A1840" t="str">
        <x:v>DW-1835</x:v>
      </x:c>
      <x:c r="B1840" t="str">
        <x:v>DW-0418</x:v>
      </x:c>
      <x:c r="C1840" t="str">
        <x:v>Composition héritée</x:v>
      </x:c>
      <x:c r="D1840" t="str">
        <x:v>Mines et matériaux</x:v>
      </x:c>
      <x:c r="E1840" t="str">
        <x:v>Base géologique — Carrière / arrêt de maintenance</x:v>
      </x:c>
      <x:c r="F1840" t="n">
        <x:v>8</x:v>
      </x:c>
      <x:c r="G1840" t="n">
        <x:v>4</x:v>
      </x:c>
      <x:c r="H1840" t="n">
        <x:v>12</x:v>
      </x:c>
      <x:c r="I1840" t="str">
        <x:v>À qualifier par lieu</x:v>
      </x:c>
      <x:c r="J1840" t="str">
        <x:v>https://github.com/darknigthmare/deadwall-last-enclosure/blob/1b3b9c5ba232734b1bda3453b4e20a0481bcdd74/codex-3000/compositions/Mines et matériaux/DW-1835.md</x:v>
      </x:c>
      <x:c r="K1840" t="str">
        <x:v>Source min 75,45 m ; max 800,500 m ; modèle 75 × 45 m ; niveaux 0. Détails dans catalogue-existant.json.</x:v>
      </x:c>
    </x:row>
    <x:row r="1841">
      <x:c r="A1841" t="str">
        <x:v>DW-1836</x:v>
      </x:c>
      <x:c r="B1841" t="str">
        <x:v>DW-0418</x:v>
      </x:c>
      <x:c r="C1841" t="str">
        <x:v>Composition héritée</x:v>
      </x:c>
      <x:c r="D1841" t="str">
        <x:v>Mines et matériaux</x:v>
      </x:c>
      <x:c r="E1841" t="str">
        <x:v>Base géologique — Plateau sec et terrain aride / reprise progressive de la végétation</x:v>
      </x:c>
      <x:c r="F1841" t="n">
        <x:v>10</x:v>
      </x:c>
      <x:c r="G1841" t="n">
        <x:v>4</x:v>
      </x:c>
      <x:c r="H1841" t="n">
        <x:v>12</x:v>
      </x:c>
      <x:c r="I1841" t="str">
        <x:v>À qualifier par lieu</x:v>
      </x:c>
      <x:c r="J1841" t="str">
        <x:v>https://github.com/darknigthmare/deadwall-last-enclosure/blob/1b3b9c5ba232734b1bda3453b4e20a0481bcdd74/codex-3000/compositions/Mines et matériaux/DW-1836.md</x:v>
      </x:c>
      <x:c r="K1841" t="str">
        <x:v>Source min 75,45 m ; max 800,500 m ; modèle 75 × 45 m ; niveaux 0. Détails dans catalogue-existant.json.</x:v>
      </x:c>
    </x:row>
    <x:row r="1842">
      <x:c r="A1842" t="str">
        <x:v>DW-1837</x:v>
      </x:c>
      <x:c r="B1842" t="str">
        <x:v>DW-0419</x:v>
      </x:c>
      <x:c r="C1842" t="str">
        <x:v>Composition héritée</x:v>
      </x:c>
      <x:c r="D1842" t="str">
        <x:v>Mines et matériaux</x:v>
      </x:c>
      <x:c r="E1842" t="str">
        <x:v>Tunnel minier réaffecté — Montagne et col / première récupération passée</x:v>
      </x:c>
      <x:c r="F1842" t="n">
        <x:v>10</x:v>
      </x:c>
      <x:c r="G1842" t="n">
        <x:v>4</x:v>
      </x:c>
      <x:c r="H1842" t="n">
        <x:v>12</x:v>
      </x:c>
      <x:c r="I1842" t="str">
        <x:v>À qualifier par lieu</x:v>
      </x:c>
      <x:c r="J1842" t="str">
        <x:v>https://github.com/darknigthmare/deadwall-last-enclosure/blob/1b3b9c5ba232734b1bda3453b4e20a0481bcdd74/codex-3000/compositions/Mines et matériaux/DW-1837.md</x:v>
      </x:c>
      <x:c r="K1842" t="str">
        <x:v>Source min 75,45 m ; max 800,500 m ; modèle 75 × 45 m ; niveaux 0. Détails dans catalogue-existant.json.</x:v>
      </x:c>
    </x:row>
    <x:row r="1843">
      <x:c r="A1843" t="str">
        <x:v>DW-1838</x:v>
      </x:c>
      <x:c r="B1843" t="str">
        <x:v>DW-0419</x:v>
      </x:c>
      <x:c r="C1843" t="str">
        <x:v>Composition héritée</x:v>
      </x:c>
      <x:c r="D1843" t="str">
        <x:v>Mines et matériaux</x:v>
      </x:c>
      <x:c r="E1843" t="str">
        <x:v>Tunnel minier réaffecté — Mine à galerie / relais temporaire envisagé</x:v>
      </x:c>
      <x:c r="F1843" t="n">
        <x:v>8</x:v>
      </x:c>
      <x:c r="G1843" t="n">
        <x:v>4</x:v>
      </x:c>
      <x:c r="H1843" t="n">
        <x:v>12</x:v>
      </x:c>
      <x:c r="I1843" t="str">
        <x:v>À qualifier par lieu</x:v>
      </x:c>
      <x:c r="J1843" t="str">
        <x:v>https://github.com/darknigthmare/deadwall-last-enclosure/blob/1b3b9c5ba232734b1bda3453b4e20a0481bcdd74/codex-3000/compositions/Mines et matériaux/DW-1838.md</x:v>
      </x:c>
      <x:c r="K1843" t="str">
        <x:v>Source min 75,45 m ; max 800,500 m ; modèle 75 × 45 m ; niveaux 0. Détails dans catalogue-existant.json.</x:v>
      </x:c>
    </x:row>
    <x:row r="1844">
      <x:c r="A1844" t="str">
        <x:v>DW-1839</x:v>
      </x:c>
      <x:c r="B1844" t="str">
        <x:v>DW-0420</x:v>
      </x:c>
      <x:c r="C1844" t="str">
        <x:v>Composition héritée</x:v>
      </x:c>
      <x:c r="D1844" t="str">
        <x:v>Mines et matériaux</x:v>
      </x:c>
      <x:c r="E1844" t="str">
        <x:v>Village minier fantôme — Plateau sec et terrain aride / service déplacé à l’arrière</x:v>
      </x:c>
      <x:c r="F1844" t="n">
        <x:v>10</x:v>
      </x:c>
      <x:c r="G1844" t="n">
        <x:v>5</x:v>
      </x:c>
      <x:c r="H1844" t="n">
        <x:v>15</x:v>
      </x:c>
      <x:c r="I1844" t="str">
        <x:v>À qualifier par lieu</x:v>
      </x:c>
      <x:c r="J1844" t="str">
        <x:v>https://github.com/darknigthmare/deadwall-last-enclosure/blob/1b3b9c5ba232734b1bda3453b4e20a0481bcdd74/codex-3000/compositions/Mines et matériaux/DW-1839.md</x:v>
      </x:c>
      <x:c r="K1844" t="str">
        <x:v>Source min 75,45 m ; max 800,500 m ; modèle 75 × 45 m ; niveaux 0. Détails dans catalogue-existant.json.</x:v>
      </x:c>
    </x:row>
    <x:row r="1845">
      <x:c r="A1845" t="str">
        <x:v>DW-1840</x:v>
      </x:c>
      <x:c r="B1845" t="str">
        <x:v>DW-0420</x:v>
      </x:c>
      <x:c r="C1845" t="str">
        <x:v>Composition héritée</x:v>
      </x:c>
      <x:c r="D1845" t="str">
        <x:v>Mines et matériaux</x:v>
      </x:c>
      <x:c r="E1845" t="str">
        <x:v>Village minier fantôme — Carrière / réseau principal coupé</x:v>
      </x:c>
      <x:c r="F1845" t="n">
        <x:v>8</x:v>
      </x:c>
      <x:c r="G1845" t="n">
        <x:v>5</x:v>
      </x:c>
      <x:c r="H1845" t="n">
        <x:v>15</x:v>
      </x:c>
      <x:c r="I1845" t="str">
        <x:v>À qualifier par lieu</x:v>
      </x:c>
      <x:c r="J1845" t="str">
        <x:v>https://github.com/darknigthmare/deadwall-last-enclosure/blob/1b3b9c5ba232734b1bda3453b4e20a0481bcdd74/codex-3000/compositions/Mines et matériaux/DW-1840.md</x:v>
      </x:c>
      <x:c r="K1845" t="str">
        <x:v>Source min 75,45 m ; max 800,500 m ; modèle 75 × 45 m ; niveaux 0. Détails dans catalogue-existant.json.</x:v>
      </x:c>
    </x:row>
    <x:row r="1846">
      <x:c r="A1846" t="str">
        <x:v>DW-1841</x:v>
      </x:c>
      <x:c r="B1846" t="str">
        <x:v>DW-0421</x:v>
      </x:c>
      <x:c r="C1846" t="str">
        <x:v>Composition héritée</x:v>
      </x:c>
      <x:c r="D1846" t="str">
        <x:v>Ports et activités nautiques</x:v>
      </x:c>
      <x:c r="E1846" t="str">
        <x:v>Port de pêche — Port marchand / reprise progressive de la végétation</x:v>
      </x:c>
      <x:c r="F1846" t="n">
        <x:v>10</x:v>
      </x:c>
      <x:c r="G1846" t="n">
        <x:v>4</x:v>
      </x:c>
      <x:c r="H1846" t="n">
        <x:v>12</x:v>
      </x:c>
      <x:c r="I1846" t="str">
        <x:v>À qualifier par lieu</x:v>
      </x:c>
      <x:c r="J1846" t="str">
        <x:v>https://github.com/darknigthmare/deadwall-last-enclosure/blob/1b3b9c5ba232734b1bda3453b4e20a0481bcdd74/codex-3000/compositions/Ports et activités nautiques/DW-1841.md</x:v>
      </x:c>
      <x:c r="K1846" t="str">
        <x:v>Source min 80,55 m ; max 700,350 m ; modèle 80 × 55 m ; niveaux 0. Détails dans catalogue-existant.json.</x:v>
      </x:c>
    </x:row>
    <x:row r="1847">
      <x:c r="A1847" t="str">
        <x:v>DW-1842</x:v>
      </x:c>
      <x:c r="B1847" t="str">
        <x:v>DW-0421</x:v>
      </x:c>
      <x:c r="C1847" t="str">
        <x:v>Composition héritée</x:v>
      </x:c>
      <x:c r="D1847" t="str">
        <x:v>Ports et activités nautiques</x:v>
      </x:c>
      <x:c r="E1847" t="str">
        <x:v>Port de pêche — Lac et base de loisirs / repli organisé interrompu</x:v>
      </x:c>
      <x:c r="F1847" t="n">
        <x:v>10</x:v>
      </x:c>
      <x:c r="G1847" t="n">
        <x:v>4</x:v>
      </x:c>
      <x:c r="H1847" t="n">
        <x:v>12</x:v>
      </x:c>
      <x:c r="I1847" t="str">
        <x:v>À qualifier par lieu</x:v>
      </x:c>
      <x:c r="J1847" t="str">
        <x:v>https://github.com/darknigthmare/deadwall-last-enclosure/blob/1b3b9c5ba232734b1bda3453b4e20a0481bcdd74/codex-3000/compositions/Ports et activités nautiques/DW-1842.md</x:v>
      </x:c>
      <x:c r="K1847" t="str">
        <x:v>Source min 80,55 m ; max 700,350 m ; modèle 80 × 55 m ; niveaux 0. Détails dans catalogue-existant.json.</x:v>
      </x:c>
    </x:row>
    <x:row r="1848">
      <x:c r="A1848" t="str">
        <x:v>DW-1843</x:v>
      </x:c>
      <x:c r="B1848" t="str">
        <x:v>DW-0422</x:v>
      </x:c>
      <x:c r="C1848" t="str">
        <x:v>Composition héritée</x:v>
      </x:c>
      <x:c r="D1848" t="str">
        <x:v>Ports et activités nautiques</x:v>
      </x:c>
      <x:c r="E1848" t="str">
        <x:v>Port de plaisance — Plage et dune / relais temporaire envisagé</x:v>
      </x:c>
      <x:c r="F1848" t="n">
        <x:v>10</x:v>
      </x:c>
      <x:c r="G1848" t="n">
        <x:v>4</x:v>
      </x:c>
      <x:c r="H1848" t="n">
        <x:v>12</x:v>
      </x:c>
      <x:c r="I1848" t="str">
        <x:v>À qualifier par lieu</x:v>
      </x:c>
      <x:c r="J1848" t="str">
        <x:v>https://github.com/darknigthmare/deadwall-last-enclosure/blob/1b3b9c5ba232734b1bda3453b4e20a0481bcdd74/codex-3000/compositions/Ports et activités nautiques/DW-1843.md</x:v>
      </x:c>
      <x:c r="K1848" t="str">
        <x:v>Source min 80,55 m ; max 700,350 m ; modèle 80 × 55 m ; niveaux 0. Détails dans catalogue-existant.json.</x:v>
      </x:c>
    </x:row>
    <x:row r="1849">
      <x:c r="A1849" t="str">
        <x:v>DW-1844</x:v>
      </x:c>
      <x:c r="B1849" t="str">
        <x:v>DW-0422</x:v>
      </x:c>
      <x:c r="C1849" t="str">
        <x:v>Composition héritée</x:v>
      </x:c>
      <x:c r="D1849" t="str">
        <x:v>Ports et activités nautiques</x:v>
      </x:c>
      <x:c r="E1849" t="str">
        <x:v>Port de plaisance — Rivière, berges et gué / évacuation interrompue</x:v>
      </x:c>
      <x:c r="F1849" t="n">
        <x:v>10</x:v>
      </x:c>
      <x:c r="G1849" t="n">
        <x:v>4</x:v>
      </x:c>
      <x:c r="H1849" t="n">
        <x:v>12</x:v>
      </x:c>
      <x:c r="I1849" t="str">
        <x:v>À qualifier par lieu</x:v>
      </x:c>
      <x:c r="J1849" t="str">
        <x:v>https://github.com/darknigthmare/deadwall-last-enclosure/blob/1b3b9c5ba232734b1bda3453b4e20a0481bcdd74/codex-3000/compositions/Ports et activités nautiques/DW-1844.md</x:v>
      </x:c>
      <x:c r="K1849" t="str">
        <x:v>Source min 80,55 m ; max 700,350 m ; modèle 80 × 55 m ; niveaux 0. Détails dans catalogue-existant.json.</x:v>
      </x:c>
    </x:row>
    <x:row r="1850">
      <x:c r="A1850" t="str">
        <x:v>DW-1845</x:v>
      </x:c>
      <x:c r="B1850" t="str">
        <x:v>DW-0423</x:v>
      </x:c>
      <x:c r="C1850" t="str">
        <x:v>Composition héritée</x:v>
      </x:c>
      <x:c r="D1850" t="str">
        <x:v>Ports et activités nautiques</x:v>
      </x:c>
      <x:c r="E1850" t="str">
        <x:v>Port de commerce — Lac et base de loisirs / réseau principal coupé</x:v>
      </x:c>
      <x:c r="F1850" t="n">
        <x:v>10</x:v>
      </x:c>
      <x:c r="G1850" t="n">
        <x:v>4</x:v>
      </x:c>
      <x:c r="H1850" t="n">
        <x:v>12</x:v>
      </x:c>
      <x:c r="I1850" t="str">
        <x:v>À qualifier par lieu</x:v>
      </x:c>
      <x:c r="J1850" t="str">
        <x:v>https://github.com/darknigthmare/deadwall-last-enclosure/blob/1b3b9c5ba232734b1bda3453b4e20a0481bcdd74/codex-3000/compositions/Ports et activités nautiques/DW-1845.md</x:v>
      </x:c>
      <x:c r="K1850" t="str">
        <x:v>Source min 80,55 m ; max 700,350 m ; modèle 80 × 55 m ; niveaux 0. Détails dans catalogue-existant.json.</x:v>
      </x:c>
    </x:row>
    <x:row r="1851">
      <x:c r="A1851" t="str">
        <x:v>DW-1846</x:v>
      </x:c>
      <x:c r="B1851" t="str">
        <x:v>DW-0423</x:v>
      </x:c>
      <x:c r="C1851" t="str">
        <x:v>Composition héritée</x:v>
      </x:c>
      <x:c r="D1851" t="str">
        <x:v>Ports et activités nautiques</x:v>
      </x:c>
      <x:c r="E1851" t="str">
        <x:v>Port de commerce — Port marchand / arrêt de maintenance</x:v>
      </x:c>
      <x:c r="F1851" t="n">
        <x:v>10</x:v>
      </x:c>
      <x:c r="G1851" t="n">
        <x:v>4</x:v>
      </x:c>
      <x:c r="H1851" t="n">
        <x:v>12</x:v>
      </x:c>
      <x:c r="I1851" t="str">
        <x:v>À qualifier par lieu</x:v>
      </x:c>
      <x:c r="J1851" t="str">
        <x:v>https://github.com/darknigthmare/deadwall-last-enclosure/blob/1b3b9c5ba232734b1bda3453b4e20a0481bcdd74/codex-3000/compositions/Ports et activités nautiques/DW-1846.md</x:v>
      </x:c>
      <x:c r="K1851" t="str">
        <x:v>Source min 80,55 m ; max 700,350 m ; modèle 80 × 55 m ; niveaux 0. Détails dans catalogue-existant.json.</x:v>
      </x:c>
    </x:row>
    <x:row r="1852">
      <x:c r="A1852" t="str">
        <x:v>DW-1847</x:v>
      </x:c>
      <x:c r="B1852" t="str">
        <x:v>DW-0424</x:v>
      </x:c>
      <x:c r="C1852" t="str">
        <x:v>Composition héritée</x:v>
      </x:c>
      <x:c r="D1852" t="str">
        <x:v>Ports et activités nautiques</x:v>
      </x:c>
      <x:c r="E1852" t="str">
        <x:v>Terminal ferry — Rivière, berges et gué / repli organisé interrompu</x:v>
      </x:c>
      <x:c r="F1852" t="n">
        <x:v>10</x:v>
      </x:c>
      <x:c r="G1852" t="n">
        <x:v>4</x:v>
      </x:c>
      <x:c r="H1852" t="n">
        <x:v>10</x:v>
      </x:c>
      <x:c r="I1852" t="str">
        <x:v>À qualifier par lieu</x:v>
      </x:c>
      <x:c r="J1852" t="str">
        <x:v>https://github.com/darknigthmare/deadwall-last-enclosure/blob/1b3b9c5ba232734b1bda3453b4e20a0481bcdd74/codex-3000/compositions/Ports et activités nautiques/DW-1847.md</x:v>
      </x:c>
      <x:c r="K1852" t="str">
        <x:v>Source min 80,55 m ; max 700,350 m ; modèle 80 × 55 m ; niveaux 0. Détails dans catalogue-existant.json.</x:v>
      </x:c>
    </x:row>
    <x:row r="1853">
      <x:c r="A1853" t="str">
        <x:v>DW-1848</x:v>
      </x:c>
      <x:c r="B1853" t="str">
        <x:v>DW-0424</x:v>
      </x:c>
      <x:c r="C1853" t="str">
        <x:v>Composition héritée</x:v>
      </x:c>
      <x:c r="D1853" t="str">
        <x:v>Ports et activités nautiques</x:v>
      </x:c>
      <x:c r="E1853" t="str">
        <x:v>Terminal ferry — Plage et dune / première récupération passée</x:v>
      </x:c>
      <x:c r="F1853" t="n">
        <x:v>10</x:v>
      </x:c>
      <x:c r="G1853" t="n">
        <x:v>4</x:v>
      </x:c>
      <x:c r="H1853" t="n">
        <x:v>10</x:v>
      </x:c>
      <x:c r="I1853" t="str">
        <x:v>À qualifier par lieu</x:v>
      </x:c>
      <x:c r="J1853" t="str">
        <x:v>https://github.com/darknigthmare/deadwall-last-enclosure/blob/1b3b9c5ba232734b1bda3453b4e20a0481bcdd74/codex-3000/compositions/Ports et activités nautiques/DW-1848.md</x:v>
      </x:c>
      <x:c r="K1853" t="str">
        <x:v>Source min 80,55 m ; max 700,350 m ; modèle 80 × 55 m ; niveaux 0. Détails dans catalogue-existant.json.</x:v>
      </x:c>
    </x:row>
    <x:row r="1854">
      <x:c r="A1854" t="str">
        <x:v>DW-1849</x:v>
      </x:c>
      <x:c r="B1854" t="str">
        <x:v>DW-0425</x:v>
      </x:c>
      <x:c r="C1854" t="str">
        <x:v>Composition héritée</x:v>
      </x:c>
      <x:c r="D1854" t="str">
        <x:v>Ports et activités nautiques</x:v>
      </x:c>
      <x:c r="E1854" t="str">
        <x:v>Chantier naval — Port marchand / évacuation interrompue</x:v>
      </x:c>
      <x:c r="F1854" t="n">
        <x:v>10</x:v>
      </x:c>
      <x:c r="G1854" t="n">
        <x:v>4</x:v>
      </x:c>
      <x:c r="H1854" t="n">
        <x:v>12</x:v>
      </x:c>
      <x:c r="I1854" t="str">
        <x:v>À qualifier par lieu</x:v>
      </x:c>
      <x:c r="J1854" t="str">
        <x:v>https://github.com/darknigthmare/deadwall-last-enclosure/blob/1b3b9c5ba232734b1bda3453b4e20a0481bcdd74/codex-3000/compositions/Ports et activités nautiques/DW-1849.md</x:v>
      </x:c>
      <x:c r="K1854" t="str">
        <x:v>Source min 80,55 m ; max 700,350 m ; modèle 80 × 55 m ; niveaux 0. Détails dans catalogue-existant.json.</x:v>
      </x:c>
    </x:row>
    <x:row r="1855">
      <x:c r="A1855" t="str">
        <x:v>DW-1850</x:v>
      </x:c>
      <x:c r="B1855" t="str">
        <x:v>DW-0425</x:v>
      </x:c>
      <x:c r="C1855" t="str">
        <x:v>Composition héritée</x:v>
      </x:c>
      <x:c r="D1855" t="str">
        <x:v>Ports et activités nautiques</x:v>
      </x:c>
      <x:c r="E1855" t="str">
        <x:v>Chantier naval — Lac et base de loisirs / service déplacé à l’arrière</x:v>
      </x:c>
      <x:c r="F1855" t="n">
        <x:v>10</x:v>
      </x:c>
      <x:c r="G1855" t="n">
        <x:v>4</x:v>
      </x:c>
      <x:c r="H1855" t="n">
        <x:v>12</x:v>
      </x:c>
      <x:c r="I1855" t="str">
        <x:v>À qualifier par lieu</x:v>
      </x:c>
      <x:c r="J1855" t="str">
        <x:v>https://github.com/darknigthmare/deadwall-last-enclosure/blob/1b3b9c5ba232734b1bda3453b4e20a0481bcdd74/codex-3000/compositions/Ports et activités nautiques/DW-1850.md</x:v>
      </x:c>
      <x:c r="K1855" t="str">
        <x:v>Source min 80,55 m ; max 700,350 m ; modèle 80 × 55 m ; niveaux 0. Détails dans catalogue-existant.json.</x:v>
      </x:c>
    </x:row>
    <x:row r="1856">
      <x:c r="A1856" t="str">
        <x:v>DW-1851</x:v>
      </x:c>
      <x:c r="B1856" t="str">
        <x:v>DW-0426</x:v>
      </x:c>
      <x:c r="C1856" t="str">
        <x:v>Composition héritée</x:v>
      </x:c>
      <x:c r="D1856" t="str">
        <x:v>Ports et activités nautiques</x:v>
      </x:c>
      <x:c r="E1856" t="str">
        <x:v>Atelier de réparation nautique — Plage et dune / arrêt de maintenance</x:v>
      </x:c>
      <x:c r="F1856" t="n">
        <x:v>10</x:v>
      </x:c>
      <x:c r="G1856" t="n">
        <x:v>4</x:v>
      </x:c>
      <x:c r="H1856" t="n">
        <x:v>10</x:v>
      </x:c>
      <x:c r="I1856" t="str">
        <x:v>À qualifier par lieu</x:v>
      </x:c>
      <x:c r="J1856" t="str">
        <x:v>https://github.com/darknigthmare/deadwall-last-enclosure/blob/1b3b9c5ba232734b1bda3453b4e20a0481bcdd74/codex-3000/compositions/Ports et activités nautiques/DW-1851.md</x:v>
      </x:c>
      <x:c r="K1856" t="str">
        <x:v>Source min 80,55 m ; max 700,350 m ; modèle 80 × 55 m ; niveaux 0. Détails dans catalogue-existant.json.</x:v>
      </x:c>
    </x:row>
    <x:row r="1857">
      <x:c r="A1857" t="str">
        <x:v>DW-1852</x:v>
      </x:c>
      <x:c r="B1857" t="str">
        <x:v>DW-0426</x:v>
      </x:c>
      <x:c r="C1857" t="str">
        <x:v>Composition héritée</x:v>
      </x:c>
      <x:c r="D1857" t="str">
        <x:v>Ports et activités nautiques</x:v>
      </x:c>
      <x:c r="E1857" t="str">
        <x:v>Atelier de réparation nautique — Rivière, berges et gué / reprise progressive de la végétation</x:v>
      </x:c>
      <x:c r="F1857" t="n">
        <x:v>10</x:v>
      </x:c>
      <x:c r="G1857" t="n">
        <x:v>4</x:v>
      </x:c>
      <x:c r="H1857" t="n">
        <x:v>10</x:v>
      </x:c>
      <x:c r="I1857" t="str">
        <x:v>À qualifier par lieu</x:v>
      </x:c>
      <x:c r="J1857" t="str">
        <x:v>https://github.com/darknigthmare/deadwall-last-enclosure/blob/1b3b9c5ba232734b1bda3453b4e20a0481bcdd74/codex-3000/compositions/Ports et activités nautiques/DW-1852.md</x:v>
      </x:c>
      <x:c r="K1857" t="str">
        <x:v>Source min 80,55 m ; max 700,350 m ; modèle 80 × 55 m ; niveaux 0. Détails dans catalogue-existant.json.</x:v>
      </x:c>
    </x:row>
    <x:row r="1858">
      <x:c r="A1858" t="str">
        <x:v>DW-1853</x:v>
      </x:c>
      <x:c r="B1858" t="str">
        <x:v>DW-0427</x:v>
      </x:c>
      <x:c r="C1858" t="str">
        <x:v>Composition héritée</x:v>
      </x:c>
      <x:c r="D1858" t="str">
        <x:v>Ports et activités nautiques</x:v>
      </x:c>
      <x:c r="E1858" t="str">
        <x:v>Capitainerie — Lac et base de loisirs / première récupération passée</x:v>
      </x:c>
      <x:c r="F1858" t="n">
        <x:v>10</x:v>
      </x:c>
      <x:c r="G1858" t="n">
        <x:v>4</x:v>
      </x:c>
      <x:c r="H1858" t="n">
        <x:v>12</x:v>
      </x:c>
      <x:c r="I1858" t="str">
        <x:v>À qualifier par lieu</x:v>
      </x:c>
      <x:c r="J1858" t="str">
        <x:v>https://github.com/darknigthmare/deadwall-last-enclosure/blob/1b3b9c5ba232734b1bda3453b4e20a0481bcdd74/codex-3000/compositions/Ports et activités nautiques/DW-1853.md</x:v>
      </x:c>
      <x:c r="K1858" t="str">
        <x:v>Source min 80,55 m ; max 700,350 m ; modèle 80 × 55 m ; niveaux 0. Détails dans catalogue-existant.json.</x:v>
      </x:c>
    </x:row>
    <x:row r="1859">
      <x:c r="A1859" t="str">
        <x:v>DW-1854</x:v>
      </x:c>
      <x:c r="B1859" t="str">
        <x:v>DW-0427</x:v>
      </x:c>
      <x:c r="C1859" t="str">
        <x:v>Composition héritée</x:v>
      </x:c>
      <x:c r="D1859" t="str">
        <x:v>Ports et activités nautiques</x:v>
      </x:c>
      <x:c r="E1859" t="str">
        <x:v>Capitainerie — Port marchand / relais temporaire envisagé</x:v>
      </x:c>
      <x:c r="F1859" t="n">
        <x:v>10</x:v>
      </x:c>
      <x:c r="G1859" t="n">
        <x:v>4</x:v>
      </x:c>
      <x:c r="H1859" t="n">
        <x:v>12</x:v>
      </x:c>
      <x:c r="I1859" t="str">
        <x:v>À qualifier par lieu</x:v>
      </x:c>
      <x:c r="J1859" t="str">
        <x:v>https://github.com/darknigthmare/deadwall-last-enclosure/blob/1b3b9c5ba232734b1bda3453b4e20a0481bcdd74/codex-3000/compositions/Ports et activités nautiques/DW-1854.md</x:v>
      </x:c>
      <x:c r="K1859" t="str">
        <x:v>Source min 80,55 m ; max 700,350 m ; modèle 80 × 55 m ; niveaux 0. Détails dans catalogue-existant.json.</x:v>
      </x:c>
    </x:row>
    <x:row r="1860">
      <x:c r="A1860" t="str">
        <x:v>DW-1855</x:v>
      </x:c>
      <x:c r="B1860" t="str">
        <x:v>DW-0428</x:v>
      </x:c>
      <x:c r="C1860" t="str">
        <x:v>Composition héritée</x:v>
      </x:c>
      <x:c r="D1860" t="str">
        <x:v>Ports et activités nautiques</x:v>
      </x:c>
      <x:c r="E1860" t="str">
        <x:v>Hangar à bateaux — Rivière, berges et gué / service déplacé à l’arrière</x:v>
      </x:c>
      <x:c r="F1860" t="n">
        <x:v>10</x:v>
      </x:c>
      <x:c r="G1860" t="n">
        <x:v>4</x:v>
      </x:c>
      <x:c r="H1860" t="n">
        <x:v>12</x:v>
      </x:c>
      <x:c r="I1860" t="str">
        <x:v>À qualifier par lieu</x:v>
      </x:c>
      <x:c r="J1860" t="str">
        <x:v>https://github.com/darknigthmare/deadwall-last-enclosure/blob/1b3b9c5ba232734b1bda3453b4e20a0481bcdd74/codex-3000/compositions/Ports et activités nautiques/DW-1855.md</x:v>
      </x:c>
      <x:c r="K1860" t="str">
        <x:v>Source min 80,55 m ; max 700,350 m ; modèle 80 × 55 m ; niveaux 0. Détails dans catalogue-existant.json.</x:v>
      </x:c>
    </x:row>
    <x:row r="1861">
      <x:c r="A1861" t="str">
        <x:v>DW-1856</x:v>
      </x:c>
      <x:c r="B1861" t="str">
        <x:v>DW-0428</x:v>
      </x:c>
      <x:c r="C1861" t="str">
        <x:v>Composition héritée</x:v>
      </x:c>
      <x:c r="D1861" t="str">
        <x:v>Ports et activités nautiques</x:v>
      </x:c>
      <x:c r="E1861" t="str">
        <x:v>Hangar à bateaux — Plage et dune / réseau principal coupé</x:v>
      </x:c>
      <x:c r="F1861" t="n">
        <x:v>10</x:v>
      </x:c>
      <x:c r="G1861" t="n">
        <x:v>4</x:v>
      </x:c>
      <x:c r="H1861" t="n">
        <x:v>12</x:v>
      </x:c>
      <x:c r="I1861" t="str">
        <x:v>À qualifier par lieu</x:v>
      </x:c>
      <x:c r="J1861" t="str">
        <x:v>https://github.com/darknigthmare/deadwall-last-enclosure/blob/1b3b9c5ba232734b1bda3453b4e20a0481bcdd74/codex-3000/compositions/Ports et activités nautiques/DW-1856.md</x:v>
      </x:c>
      <x:c r="K1861" t="str">
        <x:v>Source min 80,55 m ; max 700,350 m ; modèle 80 × 55 m ; niveaux 0. Détails dans catalogue-existant.json.</x:v>
      </x:c>
    </x:row>
    <x:row r="1862">
      <x:c r="A1862" t="str">
        <x:v>DW-1857</x:v>
      </x:c>
      <x:c r="B1862" t="str">
        <x:v>DW-0429</x:v>
      </x:c>
      <x:c r="C1862" t="str">
        <x:v>Composition héritée</x:v>
      </x:c>
      <x:c r="D1862" t="str">
        <x:v>Ports et activités nautiques</x:v>
      </x:c>
      <x:c r="E1862" t="str">
        <x:v>Écluse portuaire — Port marchand / reprise progressive de la végétation</x:v>
      </x:c>
      <x:c r="F1862" t="n">
        <x:v>10</x:v>
      </x:c>
      <x:c r="G1862" t="n">
        <x:v>4</x:v>
      </x:c>
      <x:c r="H1862" t="n">
        <x:v>10</x:v>
      </x:c>
      <x:c r="I1862" t="str">
        <x:v>À qualifier par lieu</x:v>
      </x:c>
      <x:c r="J1862" t="str">
        <x:v>https://github.com/darknigthmare/deadwall-last-enclosure/blob/1b3b9c5ba232734b1bda3453b4e20a0481bcdd74/codex-3000/compositions/Ports et activités nautiques/DW-1857.md</x:v>
      </x:c>
      <x:c r="K1862" t="str">
        <x:v>Source min 80,55 m ; max 700,350 m ; modèle 80 × 55 m ; niveaux 0. Détails dans catalogue-existant.json.</x:v>
      </x:c>
    </x:row>
    <x:row r="1863">
      <x:c r="A1863" t="str">
        <x:v>DW-1858</x:v>
      </x:c>
      <x:c r="B1863" t="str">
        <x:v>DW-0429</x:v>
      </x:c>
      <x:c r="C1863" t="str">
        <x:v>Composition héritée</x:v>
      </x:c>
      <x:c r="D1863" t="str">
        <x:v>Ports et activités nautiques</x:v>
      </x:c>
      <x:c r="E1863" t="str">
        <x:v>Écluse portuaire — Lac et base de loisirs / repli organisé interrompu</x:v>
      </x:c>
      <x:c r="F1863" t="n">
        <x:v>10</x:v>
      </x:c>
      <x:c r="G1863" t="n">
        <x:v>4</x:v>
      </x:c>
      <x:c r="H1863" t="n">
        <x:v>10</x:v>
      </x:c>
      <x:c r="I1863" t="str">
        <x:v>À qualifier par lieu</x:v>
      </x:c>
      <x:c r="J1863" t="str">
        <x:v>https://github.com/darknigthmare/deadwall-last-enclosure/blob/1b3b9c5ba232734b1bda3453b4e20a0481bcdd74/codex-3000/compositions/Ports et activités nautiques/DW-1858.md</x:v>
      </x:c>
      <x:c r="K1863" t="str">
        <x:v>Source min 80,55 m ; max 700,350 m ; modèle 80 × 55 m ; niveaux 0. Détails dans catalogue-existant.json.</x:v>
      </x:c>
    </x:row>
    <x:row r="1864">
      <x:c r="A1864" t="str">
        <x:v>DW-1859</x:v>
      </x:c>
      <x:c r="B1864" t="str">
        <x:v>DW-0430</x:v>
      </x:c>
      <x:c r="C1864" t="str">
        <x:v>Composition héritée</x:v>
      </x:c>
      <x:c r="D1864" t="str">
        <x:v>Ports et activités nautiques</x:v>
      </x:c>
      <x:c r="E1864" t="str">
        <x:v>Dépôt de conteneurs — Plage et dune / relais temporaire envisagé</x:v>
      </x:c>
      <x:c r="F1864" t="n">
        <x:v>10</x:v>
      </x:c>
      <x:c r="G1864" t="n">
        <x:v>4</x:v>
      </x:c>
      <x:c r="H1864" t="n">
        <x:v>10</x:v>
      </x:c>
      <x:c r="I1864" t="str">
        <x:v>À qualifier par lieu</x:v>
      </x:c>
      <x:c r="J1864" t="str">
        <x:v>https://github.com/darknigthmare/deadwall-last-enclosure/blob/1b3b9c5ba232734b1bda3453b4e20a0481bcdd74/codex-3000/compositions/Ports et activités nautiques/DW-1859.md</x:v>
      </x:c>
      <x:c r="K1864" t="str">
        <x:v>Source min 80,55 m ; max 700,350 m ; modèle 80 × 55 m ; niveaux 0. Détails dans catalogue-existant.json.</x:v>
      </x:c>
    </x:row>
    <x:row r="1865">
      <x:c r="A1865" t="str">
        <x:v>DW-1860</x:v>
      </x:c>
      <x:c r="B1865" t="str">
        <x:v>DW-0430</x:v>
      </x:c>
      <x:c r="C1865" t="str">
        <x:v>Composition héritée</x:v>
      </x:c>
      <x:c r="D1865" t="str">
        <x:v>Ports et activités nautiques</x:v>
      </x:c>
      <x:c r="E1865" t="str">
        <x:v>Dépôt de conteneurs — Rivière, berges et gué / évacuation interrompue</x:v>
      </x:c>
      <x:c r="F1865" t="n">
        <x:v>10</x:v>
      </x:c>
      <x:c r="G1865" t="n">
        <x:v>4</x:v>
      </x:c>
      <x:c r="H1865" t="n">
        <x:v>10</x:v>
      </x:c>
      <x:c r="I1865" t="str">
        <x:v>À qualifier par lieu</x:v>
      </x:c>
      <x:c r="J1865" t="str">
        <x:v>https://github.com/darknigthmare/deadwall-last-enclosure/blob/1b3b9c5ba232734b1bda3453b4e20a0481bcdd74/codex-3000/compositions/Ports et activités nautiques/DW-1860.md</x:v>
      </x:c>
      <x:c r="K1865" t="str">
        <x:v>Source min 80,55 m ; max 700,350 m ; modèle 80 × 55 m ; niveaux 0. Détails dans catalogue-existant.json.</x:v>
      </x:c>
    </x:row>
    <x:row r="1866">
      <x:c r="A1866" t="str">
        <x:v>DW-1861</x:v>
      </x:c>
      <x:c r="B1866" t="str">
        <x:v>DW-0431</x:v>
      </x:c>
      <x:c r="C1866" t="str">
        <x:v>Composition héritée</x:v>
      </x:c>
      <x:c r="D1866" t="str">
        <x:v>Ports et activités nautiques</x:v>
      </x:c>
      <x:c r="E1866" t="str">
        <x:v>Entrepôt douanier fictif — Lac et base de loisirs / réseau principal coupé</x:v>
      </x:c>
      <x:c r="F1866" t="n">
        <x:v>10</x:v>
      </x:c>
      <x:c r="G1866" t="n">
        <x:v>4</x:v>
      </x:c>
      <x:c r="H1866" t="n">
        <x:v>12</x:v>
      </x:c>
      <x:c r="I1866" t="str">
        <x:v>À qualifier par lieu</x:v>
      </x:c>
      <x:c r="J1866" t="str">
        <x:v>https://github.com/darknigthmare/deadwall-last-enclosure/blob/1b3b9c5ba232734b1bda3453b4e20a0481bcdd74/codex-3000/compositions/Ports et activités nautiques/DW-1861.md</x:v>
      </x:c>
      <x:c r="K1866" t="str">
        <x:v>Source min 80,55 m ; max 700,350 m ; modèle 80 × 55 m ; niveaux 0. Détails dans catalogue-existant.json.</x:v>
      </x:c>
    </x:row>
    <x:row r="1867">
      <x:c r="A1867" t="str">
        <x:v>DW-1862</x:v>
      </x:c>
      <x:c r="B1867" t="str">
        <x:v>DW-0431</x:v>
      </x:c>
      <x:c r="C1867" t="str">
        <x:v>Composition héritée</x:v>
      </x:c>
      <x:c r="D1867" t="str">
        <x:v>Ports et activités nautiques</x:v>
      </x:c>
      <x:c r="E1867" t="str">
        <x:v>Entrepôt douanier fictif — Port marchand / arrêt de maintenance</x:v>
      </x:c>
      <x:c r="F1867" t="n">
        <x:v>10</x:v>
      </x:c>
      <x:c r="G1867" t="n">
        <x:v>4</x:v>
      </x:c>
      <x:c r="H1867" t="n">
        <x:v>12</x:v>
      </x:c>
      <x:c r="I1867" t="str">
        <x:v>À qualifier par lieu</x:v>
      </x:c>
      <x:c r="J1867" t="str">
        <x:v>https://github.com/darknigthmare/deadwall-last-enclosure/blob/1b3b9c5ba232734b1bda3453b4e20a0481bcdd74/codex-3000/compositions/Ports et activités nautiques/DW-1862.md</x:v>
      </x:c>
      <x:c r="K1867" t="str">
        <x:v>Source min 80,55 m ; max 700,350 m ; modèle 80 × 55 m ; niveaux 0. Détails dans catalogue-existant.json.</x:v>
      </x:c>
    </x:row>
    <x:row r="1868">
      <x:c r="A1868" t="str">
        <x:v>DW-1863</x:v>
      </x:c>
      <x:c r="B1868" t="str">
        <x:v>DW-0432</x:v>
      </x:c>
      <x:c r="C1868" t="str">
        <x:v>Composition héritée</x:v>
      </x:c>
      <x:c r="D1868" t="str">
        <x:v>Ports et activités nautiques</x:v>
      </x:c>
      <x:c r="E1868" t="str">
        <x:v>Gare fluviale — Rivière, berges et gué / repli organisé interrompu</x:v>
      </x:c>
      <x:c r="F1868" t="n">
        <x:v>10</x:v>
      </x:c>
      <x:c r="G1868" t="n">
        <x:v>4</x:v>
      </x:c>
      <x:c r="H1868" t="n">
        <x:v>12</x:v>
      </x:c>
      <x:c r="I1868" t="str">
        <x:v>À qualifier par lieu</x:v>
      </x:c>
      <x:c r="J1868" t="str">
        <x:v>https://github.com/darknigthmare/deadwall-last-enclosure/blob/1b3b9c5ba232734b1bda3453b4e20a0481bcdd74/codex-3000/compositions/Ports et activités nautiques/DW-1863.md</x:v>
      </x:c>
      <x:c r="K1868" t="str">
        <x:v>Source min 80,55 m ; max 700,350 m ; modèle 80 × 55 m ; niveaux 0. Détails dans catalogue-existant.json.</x:v>
      </x:c>
    </x:row>
    <x:row r="1869">
      <x:c r="A1869" t="str">
        <x:v>DW-1864</x:v>
      </x:c>
      <x:c r="B1869" t="str">
        <x:v>DW-0432</x:v>
      </x:c>
      <x:c r="C1869" t="str">
        <x:v>Composition héritée</x:v>
      </x:c>
      <x:c r="D1869" t="str">
        <x:v>Ports et activités nautiques</x:v>
      </x:c>
      <x:c r="E1869" t="str">
        <x:v>Gare fluviale — Plage et dune / première récupération passée</x:v>
      </x:c>
      <x:c r="F1869" t="n">
        <x:v>10</x:v>
      </x:c>
      <x:c r="G1869" t="n">
        <x:v>4</x:v>
      </x:c>
      <x:c r="H1869" t="n">
        <x:v>12</x:v>
      </x:c>
      <x:c r="I1869" t="str">
        <x:v>À qualifier par lieu</x:v>
      </x:c>
      <x:c r="J1869" t="str">
        <x:v>https://github.com/darknigthmare/deadwall-last-enclosure/blob/1b3b9c5ba232734b1bda3453b4e20a0481bcdd74/codex-3000/compositions/Ports et activités nautiques/DW-1864.md</x:v>
      </x:c>
      <x:c r="K1869" t="str">
        <x:v>Source min 80,55 m ; max 700,350 m ; modèle 80 × 55 m ; niveaux 0. Détails dans catalogue-existant.json.</x:v>
      </x:c>
    </x:row>
    <x:row r="1870">
      <x:c r="A1870" t="str">
        <x:v>DW-1865</x:v>
      </x:c>
      <x:c r="B1870" t="str">
        <x:v>DW-0433</x:v>
      </x:c>
      <x:c r="C1870" t="str">
        <x:v>Composition héritée</x:v>
      </x:c>
      <x:c r="D1870" t="str">
        <x:v>Ports et activités nautiques</x:v>
      </x:c>
      <x:c r="E1870" t="str">
        <x:v>Petit embarcadère — Port marchand / évacuation interrompue</x:v>
      </x:c>
      <x:c r="F1870" t="n">
        <x:v>10</x:v>
      </x:c>
      <x:c r="G1870" t="n">
        <x:v>4</x:v>
      </x:c>
      <x:c r="H1870" t="n">
        <x:v>12</x:v>
      </x:c>
      <x:c r="I1870" t="str">
        <x:v>À qualifier par lieu</x:v>
      </x:c>
      <x:c r="J1870" t="str">
        <x:v>https://github.com/darknigthmare/deadwall-last-enclosure/blob/1b3b9c5ba232734b1bda3453b4e20a0481bcdd74/codex-3000/compositions/Ports et activités nautiques/DW-1865.md</x:v>
      </x:c>
      <x:c r="K1870" t="str">
        <x:v>Source min 80,55 m ; max 700,350 m ; modèle 80 × 55 m ; niveaux 0. Détails dans catalogue-existant.json.</x:v>
      </x:c>
    </x:row>
    <x:row r="1871">
      <x:c r="A1871" t="str">
        <x:v>DW-1866</x:v>
      </x:c>
      <x:c r="B1871" t="str">
        <x:v>DW-0433</x:v>
      </x:c>
      <x:c r="C1871" t="str">
        <x:v>Composition héritée</x:v>
      </x:c>
      <x:c r="D1871" t="str">
        <x:v>Ports et activités nautiques</x:v>
      </x:c>
      <x:c r="E1871" t="str">
        <x:v>Petit embarcadère — Lac et base de loisirs / service déplacé à l’arrière</x:v>
      </x:c>
      <x:c r="F1871" t="n">
        <x:v>10</x:v>
      </x:c>
      <x:c r="G1871" t="n">
        <x:v>4</x:v>
      </x:c>
      <x:c r="H1871" t="n">
        <x:v>12</x:v>
      </x:c>
      <x:c r="I1871" t="str">
        <x:v>À qualifier par lieu</x:v>
      </x:c>
      <x:c r="J1871" t="str">
        <x:v>https://github.com/darknigthmare/deadwall-last-enclosure/blob/1b3b9c5ba232734b1bda3453b4e20a0481bcdd74/codex-3000/compositions/Ports et activités nautiques/DW-1866.md</x:v>
      </x:c>
      <x:c r="K1871" t="str">
        <x:v>Source min 80,55 m ; max 700,350 m ; modèle 80 × 55 m ; niveaux 0. Détails dans catalogue-existant.json.</x:v>
      </x:c>
    </x:row>
    <x:row r="1872">
      <x:c r="A1872" t="str">
        <x:v>DW-1867</x:v>
      </x:c>
      <x:c r="B1872" t="str">
        <x:v>DW-0434</x:v>
      </x:c>
      <x:c r="C1872" t="str">
        <x:v>Composition héritée</x:v>
      </x:c>
      <x:c r="D1872" t="str">
        <x:v>Ports et activités nautiques</x:v>
      </x:c>
      <x:c r="E1872" t="str">
        <x:v>Base nautique de loisirs — Plage et dune / arrêt de maintenance</x:v>
      </x:c>
      <x:c r="F1872" t="n">
        <x:v>10</x:v>
      </x:c>
      <x:c r="G1872" t="n">
        <x:v>4</x:v>
      </x:c>
      <x:c r="H1872" t="n">
        <x:v>12</x:v>
      </x:c>
      <x:c r="I1872" t="str">
        <x:v>À qualifier par lieu</x:v>
      </x:c>
      <x:c r="J1872" t="str">
        <x:v>https://github.com/darknigthmare/deadwall-last-enclosure/blob/1b3b9c5ba232734b1bda3453b4e20a0481bcdd74/codex-3000/compositions/Ports et activités nautiques/DW-1867.md</x:v>
      </x:c>
      <x:c r="K1872" t="str">
        <x:v>Source min 80,55 m ; max 700,350 m ; modèle 80 × 55 m ; niveaux 0. Détails dans catalogue-existant.json.</x:v>
      </x:c>
    </x:row>
    <x:row r="1873">
      <x:c r="A1873" t="str">
        <x:v>DW-1868</x:v>
      </x:c>
      <x:c r="B1873" t="str">
        <x:v>DW-0434</x:v>
      </x:c>
      <x:c r="C1873" t="str">
        <x:v>Composition héritée</x:v>
      </x:c>
      <x:c r="D1873" t="str">
        <x:v>Ports et activités nautiques</x:v>
      </x:c>
      <x:c r="E1873" t="str">
        <x:v>Base nautique de loisirs — Rivière, berges et gué / reprise progressive de la végétation</x:v>
      </x:c>
      <x:c r="F1873" t="n">
        <x:v>10</x:v>
      </x:c>
      <x:c r="G1873" t="n">
        <x:v>4</x:v>
      </x:c>
      <x:c r="H1873" t="n">
        <x:v>12</x:v>
      </x:c>
      <x:c r="I1873" t="str">
        <x:v>À qualifier par lieu</x:v>
      </x:c>
      <x:c r="J1873" t="str">
        <x:v>https://github.com/darknigthmare/deadwall-last-enclosure/blob/1b3b9c5ba232734b1bda3453b4e20a0481bcdd74/codex-3000/compositions/Ports et activités nautiques/DW-1868.md</x:v>
      </x:c>
      <x:c r="K1873" t="str">
        <x:v>Source min 80,55 m ; max 700,350 m ; modèle 80 × 55 m ; niveaux 0. Détails dans catalogue-existant.json.</x:v>
      </x:c>
    </x:row>
    <x:row r="1874">
      <x:c r="A1874" t="str">
        <x:v>DW-1869</x:v>
      </x:c>
      <x:c r="B1874" t="str">
        <x:v>DW-0435</x:v>
      </x:c>
      <x:c r="C1874" t="str">
        <x:v>Composition héritée</x:v>
      </x:c>
      <x:c r="D1874" t="str">
        <x:v>Ports et activités nautiques</x:v>
      </x:c>
      <x:c r="E1874" t="str">
        <x:v>Bateau-restaurant amarré — Lac et base de loisirs / première récupération passée</x:v>
      </x:c>
      <x:c r="F1874" t="n">
        <x:v>10</x:v>
      </x:c>
      <x:c r="G1874" t="n">
        <x:v>4</x:v>
      </x:c>
      <x:c r="H1874" t="n">
        <x:v>10</x:v>
      </x:c>
      <x:c r="I1874" t="str">
        <x:v>À qualifier par lieu</x:v>
      </x:c>
      <x:c r="J1874" t="str">
        <x:v>https://github.com/darknigthmare/deadwall-last-enclosure/blob/1b3b9c5ba232734b1bda3453b4e20a0481bcdd74/codex-3000/compositions/Ports et activités nautiques/DW-1869.md</x:v>
      </x:c>
      <x:c r="K1874" t="str">
        <x:v>Source min 80,55 m ; max 700,350 m ; modèle 80 × 55 m ; niveaux 0. Détails dans catalogue-existant.json.</x:v>
      </x:c>
    </x:row>
    <x:row r="1875">
      <x:c r="A1875" t="str">
        <x:v>DW-1870</x:v>
      </x:c>
      <x:c r="B1875" t="str">
        <x:v>DW-0435</x:v>
      </x:c>
      <x:c r="C1875" t="str">
        <x:v>Composition héritée</x:v>
      </x:c>
      <x:c r="D1875" t="str">
        <x:v>Ports et activités nautiques</x:v>
      </x:c>
      <x:c r="E1875" t="str">
        <x:v>Bateau-restaurant amarré — Port marchand / relais temporaire envisagé</x:v>
      </x:c>
      <x:c r="F1875" t="n">
        <x:v>10</x:v>
      </x:c>
      <x:c r="G1875" t="n">
        <x:v>4</x:v>
      </x:c>
      <x:c r="H1875" t="n">
        <x:v>10</x:v>
      </x:c>
      <x:c r="I1875" t="str">
        <x:v>À qualifier par lieu</x:v>
      </x:c>
      <x:c r="J1875" t="str">
        <x:v>https://github.com/darknigthmare/deadwall-last-enclosure/blob/1b3b9c5ba232734b1bda3453b4e20a0481bcdd74/codex-3000/compositions/Ports et activités nautiques/DW-1870.md</x:v>
      </x:c>
      <x:c r="K1875" t="str">
        <x:v>Source min 80,55 m ; max 700,350 m ; modèle 80 × 55 m ; niveaux 0. Détails dans catalogue-existant.json.</x:v>
      </x:c>
    </x:row>
    <x:row r="1876">
      <x:c r="A1876" t="str">
        <x:v>DW-1871</x:v>
      </x:c>
      <x:c r="B1876" t="str">
        <x:v>DW-0436</x:v>
      </x:c>
      <x:c r="C1876" t="str">
        <x:v>Composition héritée</x:v>
      </x:c>
      <x:c r="D1876" t="str">
        <x:v>Ports et activités nautiques</x:v>
      </x:c>
      <x:c r="E1876" t="str">
        <x:v>Phare côtier — Rivière, berges et gué / service déplacé à l’arrière</x:v>
      </x:c>
      <x:c r="F1876" t="n">
        <x:v>10</x:v>
      </x:c>
      <x:c r="G1876" t="n">
        <x:v>4</x:v>
      </x:c>
      <x:c r="H1876" t="n">
        <x:v>10</x:v>
      </x:c>
      <x:c r="I1876" t="str">
        <x:v>À qualifier par lieu</x:v>
      </x:c>
      <x:c r="J1876" t="str">
        <x:v>https://github.com/darknigthmare/deadwall-last-enclosure/blob/1b3b9c5ba232734b1bda3453b4e20a0481bcdd74/codex-3000/compositions/Ports et activités nautiques/DW-1871.md</x:v>
      </x:c>
      <x:c r="K1876" t="str">
        <x:v>Source min 80,55 m ; max 700,350 m ; modèle 80 × 55 m ; niveaux 0. Détails dans catalogue-existant.json.</x:v>
      </x:c>
    </x:row>
    <x:row r="1877">
      <x:c r="A1877" t="str">
        <x:v>DW-1872</x:v>
      </x:c>
      <x:c r="B1877" t="str">
        <x:v>DW-0436</x:v>
      </x:c>
      <x:c r="C1877" t="str">
        <x:v>Composition héritée</x:v>
      </x:c>
      <x:c r="D1877" t="str">
        <x:v>Ports et activités nautiques</x:v>
      </x:c>
      <x:c r="E1877" t="str">
        <x:v>Phare côtier — Plage et dune / réseau principal coupé</x:v>
      </x:c>
      <x:c r="F1877" t="n">
        <x:v>10</x:v>
      </x:c>
      <x:c r="G1877" t="n">
        <x:v>4</x:v>
      </x:c>
      <x:c r="H1877" t="n">
        <x:v>10</x:v>
      </x:c>
      <x:c r="I1877" t="str">
        <x:v>À qualifier par lieu</x:v>
      </x:c>
      <x:c r="J1877" t="str">
        <x:v>https://github.com/darknigthmare/deadwall-last-enclosure/blob/1b3b9c5ba232734b1bda3453b4e20a0481bcdd74/codex-3000/compositions/Ports et activités nautiques/DW-1872.md</x:v>
      </x:c>
      <x:c r="K1877" t="str">
        <x:v>Source min 80,55 m ; max 700,350 m ; modèle 80 × 55 m ; niveaux 0. Détails dans catalogue-existant.json.</x:v>
      </x:c>
    </x:row>
    <x:row r="1878">
      <x:c r="A1878" t="str">
        <x:v>DW-1873</x:v>
      </x:c>
      <x:c r="B1878" t="str">
        <x:v>DW-0437</x:v>
      </x:c>
      <x:c r="C1878" t="str">
        <x:v>Composition héritée</x:v>
      </x:c>
      <x:c r="D1878" t="str">
        <x:v>Ports et activités nautiques</x:v>
      </x:c>
      <x:c r="E1878" t="str">
        <x:v>Dépôt de dragage abandonné — Port marchand / reprise progressive de la végétation</x:v>
      </x:c>
      <x:c r="F1878" t="n">
        <x:v>10</x:v>
      </x:c>
      <x:c r="G1878" t="n">
        <x:v>4</x:v>
      </x:c>
      <x:c r="H1878" t="n">
        <x:v>12</x:v>
      </x:c>
      <x:c r="I1878" t="str">
        <x:v>À qualifier par lieu</x:v>
      </x:c>
      <x:c r="J1878" t="str">
        <x:v>https://github.com/darknigthmare/deadwall-last-enclosure/blob/1b3b9c5ba232734b1bda3453b4e20a0481bcdd74/codex-3000/compositions/Ports et activités nautiques/DW-1873.md</x:v>
      </x:c>
      <x:c r="K1878" t="str">
        <x:v>Source min 80,55 m ; max 700,350 m ; modèle 80 × 55 m ; niveaux 0. Détails dans catalogue-existant.json.</x:v>
      </x:c>
    </x:row>
    <x:row r="1879">
      <x:c r="A1879" t="str">
        <x:v>DW-1874</x:v>
      </x:c>
      <x:c r="B1879" t="str">
        <x:v>DW-0437</x:v>
      </x:c>
      <x:c r="C1879" t="str">
        <x:v>Composition héritée</x:v>
      </x:c>
      <x:c r="D1879" t="str">
        <x:v>Ports et activités nautiques</x:v>
      </x:c>
      <x:c r="E1879" t="str">
        <x:v>Dépôt de dragage abandonné — Lac et base de loisirs / repli organisé interrompu</x:v>
      </x:c>
      <x:c r="F1879" t="n">
        <x:v>10</x:v>
      </x:c>
      <x:c r="G1879" t="n">
        <x:v>4</x:v>
      </x:c>
      <x:c r="H1879" t="n">
        <x:v>12</x:v>
      </x:c>
      <x:c r="I1879" t="str">
        <x:v>À qualifier par lieu</x:v>
      </x:c>
      <x:c r="J1879" t="str">
        <x:v>https://github.com/darknigthmare/deadwall-last-enclosure/blob/1b3b9c5ba232734b1bda3453b4e20a0481bcdd74/codex-3000/compositions/Ports et activités nautiques/DW-1874.md</x:v>
      </x:c>
      <x:c r="K1879" t="str">
        <x:v>Source min 80,55 m ; max 700,350 m ; modèle 80 × 55 m ; niveaux 0. Détails dans catalogue-existant.json.</x:v>
      </x:c>
    </x:row>
    <x:row r="1880">
      <x:c r="A1880" t="str">
        <x:v>DW-1875</x:v>
      </x:c>
      <x:c r="B1880" t="str">
        <x:v>DW-0438</x:v>
      </x:c>
      <x:c r="C1880" t="str">
        <x:v>Composition héritée</x:v>
      </x:c>
      <x:c r="D1880" t="str">
        <x:v>Ports et activités nautiques</x:v>
      </x:c>
      <x:c r="E1880" t="str">
        <x:v>Port sec intérieur — Plage et dune / relais temporaire envisagé</x:v>
      </x:c>
      <x:c r="F1880" t="n">
        <x:v>10</x:v>
      </x:c>
      <x:c r="G1880" t="n">
        <x:v>4</x:v>
      </x:c>
      <x:c r="H1880" t="n">
        <x:v>12</x:v>
      </x:c>
      <x:c r="I1880" t="str">
        <x:v>À qualifier par lieu</x:v>
      </x:c>
      <x:c r="J1880" t="str">
        <x:v>https://github.com/darknigthmare/deadwall-last-enclosure/blob/1b3b9c5ba232734b1bda3453b4e20a0481bcdd74/codex-3000/compositions/Ports et activités nautiques/DW-1875.md</x:v>
      </x:c>
      <x:c r="K1880" t="str">
        <x:v>Source min 80,55 m ; max 700,350 m ; modèle 80 × 55 m ; niveaux 0. Détails dans catalogue-existant.json.</x:v>
      </x:c>
    </x:row>
    <x:row r="1881">
      <x:c r="A1881" t="str">
        <x:v>DW-1876</x:v>
      </x:c>
      <x:c r="B1881" t="str">
        <x:v>DW-0438</x:v>
      </x:c>
      <x:c r="C1881" t="str">
        <x:v>Composition héritée</x:v>
      </x:c>
      <x:c r="D1881" t="str">
        <x:v>Ports et activités nautiques</x:v>
      </x:c>
      <x:c r="E1881" t="str">
        <x:v>Port sec intérieur — Rivière, berges et gué / évacuation interrompue</x:v>
      </x:c>
      <x:c r="F1881" t="n">
        <x:v>10</x:v>
      </x:c>
      <x:c r="G1881" t="n">
        <x:v>4</x:v>
      </x:c>
      <x:c r="H1881" t="n">
        <x:v>12</x:v>
      </x:c>
      <x:c r="I1881" t="str">
        <x:v>À qualifier par lieu</x:v>
      </x:c>
      <x:c r="J1881" t="str">
        <x:v>https://github.com/darknigthmare/deadwall-last-enclosure/blob/1b3b9c5ba232734b1bda3453b4e20a0481bcdd74/codex-3000/compositions/Ports et activités nautiques/DW-1876.md</x:v>
      </x:c>
      <x:c r="K1881" t="str">
        <x:v>Source min 80,55 m ; max 700,350 m ; modèle 80 × 55 m ; niveaux 0. Détails dans catalogue-existant.json.</x:v>
      </x:c>
    </x:row>
    <x:row r="1882">
      <x:c r="A1882" t="str">
        <x:v>DW-1877</x:v>
      </x:c>
      <x:c r="B1882" t="str">
        <x:v>DW-0439</x:v>
      </x:c>
      <x:c r="C1882" t="str">
        <x:v>Composition héritée</x:v>
      </x:c>
      <x:c r="D1882" t="str">
        <x:v>Ports et activités nautiques</x:v>
      </x:c>
      <x:c r="E1882" t="str">
        <x:v>Marina sinistrée — Lac et base de loisirs / réseau principal coupé</x:v>
      </x:c>
      <x:c r="F1882" t="n">
        <x:v>10</x:v>
      </x:c>
      <x:c r="G1882" t="n">
        <x:v>4</x:v>
      </x:c>
      <x:c r="H1882" t="n">
        <x:v>12</x:v>
      </x:c>
      <x:c r="I1882" t="str">
        <x:v>À qualifier par lieu</x:v>
      </x:c>
      <x:c r="J1882" t="str">
        <x:v>https://github.com/darknigthmare/deadwall-last-enclosure/blob/1b3b9c5ba232734b1bda3453b4e20a0481bcdd74/codex-3000/compositions/Ports et activités nautiques/DW-1877.md</x:v>
      </x:c>
      <x:c r="K1882" t="str">
        <x:v>Source min 80,55 m ; max 700,350 m ; modèle 80 × 55 m ; niveaux 0. Détails dans catalogue-existant.json.</x:v>
      </x:c>
    </x:row>
    <x:row r="1883">
      <x:c r="A1883" t="str">
        <x:v>DW-1878</x:v>
      </x:c>
      <x:c r="B1883" t="str">
        <x:v>DW-0439</x:v>
      </x:c>
      <x:c r="C1883" t="str">
        <x:v>Composition héritée</x:v>
      </x:c>
      <x:c r="D1883" t="str">
        <x:v>Ports et activités nautiques</x:v>
      </x:c>
      <x:c r="E1883" t="str">
        <x:v>Marina sinistrée — Port marchand / arrêt de maintenance</x:v>
      </x:c>
      <x:c r="F1883" t="n">
        <x:v>10</x:v>
      </x:c>
      <x:c r="G1883" t="n">
        <x:v>4</x:v>
      </x:c>
      <x:c r="H1883" t="n">
        <x:v>12</x:v>
      </x:c>
      <x:c r="I1883" t="str">
        <x:v>À qualifier par lieu</x:v>
      </x:c>
      <x:c r="J1883" t="str">
        <x:v>https://github.com/darknigthmare/deadwall-last-enclosure/blob/1b3b9c5ba232734b1bda3453b4e20a0481bcdd74/codex-3000/compositions/Ports et activités nautiques/DW-1878.md</x:v>
      </x:c>
      <x:c r="K1883" t="str">
        <x:v>Source min 80,55 m ; max 700,350 m ; modèle 80 × 55 m ; niveaux 0. Détails dans catalogue-existant.json.</x:v>
      </x:c>
    </x:row>
    <x:row r="1884">
      <x:c r="A1884" t="str">
        <x:v>DW-1879</x:v>
      </x:c>
      <x:c r="B1884" t="str">
        <x:v>DW-0440</x:v>
      </x:c>
      <x:c r="C1884" t="str">
        <x:v>Composition héritée</x:v>
      </x:c>
      <x:c r="D1884" t="str">
        <x:v>Ports et activités nautiques</x:v>
      </x:c>
      <x:c r="E1884" t="str">
        <x:v>Hameau lacustre — Rivière, berges et gué / repli organisé interrompu</x:v>
      </x:c>
      <x:c r="F1884" t="n">
        <x:v>10</x:v>
      </x:c>
      <x:c r="G1884" t="n">
        <x:v>4</x:v>
      </x:c>
      <x:c r="H1884" t="n">
        <x:v>12</x:v>
      </x:c>
      <x:c r="I1884" t="str">
        <x:v>À qualifier par lieu</x:v>
      </x:c>
      <x:c r="J1884" t="str">
        <x:v>https://github.com/darknigthmare/deadwall-last-enclosure/blob/1b3b9c5ba232734b1bda3453b4e20a0481bcdd74/codex-3000/compositions/Ports et activités nautiques/DW-1879.md</x:v>
      </x:c>
      <x:c r="K1884" t="str">
        <x:v>Source min 80,55 m ; max 700,350 m ; modèle 80 × 55 m ; niveaux 0. Détails dans catalogue-existant.json.</x:v>
      </x:c>
    </x:row>
    <x:row r="1885">
      <x:c r="A1885" t="str">
        <x:v>DW-1880</x:v>
      </x:c>
      <x:c r="B1885" t="str">
        <x:v>DW-0440</x:v>
      </x:c>
      <x:c r="C1885" t="str">
        <x:v>Composition héritée</x:v>
      </x:c>
      <x:c r="D1885" t="str">
        <x:v>Ports et activités nautiques</x:v>
      </x:c>
      <x:c r="E1885" t="str">
        <x:v>Hameau lacustre — Plage et dune / première récupération passée</x:v>
      </x:c>
      <x:c r="F1885" t="n">
        <x:v>10</x:v>
      </x:c>
      <x:c r="G1885" t="n">
        <x:v>4</x:v>
      </x:c>
      <x:c r="H1885" t="n">
        <x:v>12</x:v>
      </x:c>
      <x:c r="I1885" t="str">
        <x:v>À qualifier par lieu</x:v>
      </x:c>
      <x:c r="J1885" t="str">
        <x:v>https://github.com/darknigthmare/deadwall-last-enclosure/blob/1b3b9c5ba232734b1bda3453b4e20a0481bcdd74/codex-3000/compositions/Ports et activités nautiques/DW-1880.md</x:v>
      </x:c>
      <x:c r="K1885" t="str">
        <x:v>Source min 80,55 m ; max 700,350 m ; modèle 80 × 55 m ; niveaux 0. Détails dans catalogue-existant.json.</x:v>
      </x:c>
    </x:row>
    <x:row r="1886">
      <x:c r="A1886" t="str">
        <x:v>DW-1881</x:v>
      </x:c>
      <x:c r="B1886" t="str">
        <x:v>DW-0441</x:v>
      </x:c>
      <x:c r="C1886" t="str">
        <x:v>Composition héritée</x:v>
      </x:c>
      <x:c r="D1886" t="str">
        <x:v>Loisirs et culture</x:v>
      </x:c>
      <x:c r="E1886" t="str">
        <x:v>Parc urbain — Zone de loisirs / évacuation interrompue</x:v>
      </x:c>
      <x:c r="F1886" t="n">
        <x:v>8</x:v>
      </x:c>
      <x:c r="G1886" t="n">
        <x:v>4</x:v>
      </x:c>
      <x:c r="H1886" t="n">
        <x:v>10</x:v>
      </x:c>
      <x:c r="I1886" t="str">
        <x:v>À qualifier par lieu</x:v>
      </x:c>
      <x:c r="J1886" t="str">
        <x:v>https://github.com/darknigthmare/deadwall-last-enclosure/blob/1b3b9c5ba232734b1bda3453b4e20a0481bcdd74/codex-3000/compositions/Loisirs et culture/DW-1881.md</x:v>
      </x:c>
      <x:c r="K1886" t="str">
        <x:v>Source min 40,28 m ; max 300,200 m ; modèle 40 × 28 m ; niveaux 0. Détails dans catalogue-existant.json.</x:v>
      </x:c>
    </x:row>
    <x:row r="1887">
      <x:c r="A1887" t="str">
        <x:v>DW-1882</x:v>
      </x:c>
      <x:c r="B1887" t="str">
        <x:v>DW-0441</x:v>
      </x:c>
      <x:c r="C1887" t="str">
        <x:v>Composition héritée</x:v>
      </x:c>
      <x:c r="D1887" t="str">
        <x:v>Loisirs et culture</x:v>
      </x:c>
      <x:c r="E1887" t="str">
        <x:v>Parc urbain — Plage et dune / service déplacé à l’arrière</x:v>
      </x:c>
      <x:c r="F1887" t="n">
        <x:v>10</x:v>
      </x:c>
      <x:c r="G1887" t="n">
        <x:v>4</x:v>
      </x:c>
      <x:c r="H1887" t="n">
        <x:v>10</x:v>
      </x:c>
      <x:c r="I1887" t="str">
        <x:v>À qualifier par lieu</x:v>
      </x:c>
      <x:c r="J1887" t="str">
        <x:v>https://github.com/darknigthmare/deadwall-last-enclosure/blob/1b3b9c5ba232734b1bda3453b4e20a0481bcdd74/codex-3000/compositions/Loisirs et culture/DW-1882.md</x:v>
      </x:c>
      <x:c r="K1887" t="str">
        <x:v>Source min 40,28 m ; max 300,200 m ; modèle 40 × 28 m ; niveaux 0. Détails dans catalogue-existant.json.</x:v>
      </x:c>
    </x:row>
    <x:row r="1888">
      <x:c r="A1888" t="str">
        <x:v>DW-1883</x:v>
      </x:c>
      <x:c r="B1888" t="str">
        <x:v>DW-0442</x:v>
      </x:c>
      <x:c r="C1888" t="str">
        <x:v>Composition héritée</x:v>
      </x:c>
      <x:c r="D1888" t="str">
        <x:v>Loisirs et culture</x:v>
      </x:c>
      <x:c r="E1888" t="str">
        <x:v>Terrain de football — Lac et base de loisirs / arrêt de maintenance</x:v>
      </x:c>
      <x:c r="F1888" t="n">
        <x:v>10</x:v>
      </x:c>
      <x:c r="G1888" t="n">
        <x:v>4</x:v>
      </x:c>
      <x:c r="H1888" t="n">
        <x:v>12</x:v>
      </x:c>
      <x:c r="I1888" t="str">
        <x:v>À qualifier par lieu</x:v>
      </x:c>
      <x:c r="J1888" t="str">
        <x:v>https://github.com/darknigthmare/deadwall-last-enclosure/blob/1b3b9c5ba232734b1bda3453b4e20a0481bcdd74/codex-3000/compositions/Loisirs et culture/DW-1883.md</x:v>
      </x:c>
      <x:c r="K1888" t="str">
        <x:v>Source min 40,28 m ; max 300,200 m ; modèle 40 × 28 m ; niveaux 0. Détails dans catalogue-existant.json.</x:v>
      </x:c>
    </x:row>
    <x:row r="1889">
      <x:c r="A1889" t="str">
        <x:v>DW-1884</x:v>
      </x:c>
      <x:c r="B1889" t="str">
        <x:v>DW-0442</x:v>
      </x:c>
      <x:c r="C1889" t="str">
        <x:v>Composition héritée</x:v>
      </x:c>
      <x:c r="D1889" t="str">
        <x:v>Loisirs et culture</x:v>
      </x:c>
      <x:c r="E1889" t="str">
        <x:v>Terrain de football — Ville moyenne / reprise progressive de la végétation</x:v>
      </x:c>
      <x:c r="F1889" t="n">
        <x:v>8</x:v>
      </x:c>
      <x:c r="G1889" t="n">
        <x:v>4</x:v>
      </x:c>
      <x:c r="H1889" t="n">
        <x:v>12</x:v>
      </x:c>
      <x:c r="I1889" t="str">
        <x:v>À qualifier par lieu</x:v>
      </x:c>
      <x:c r="J1889" t="str">
        <x:v>https://github.com/darknigthmare/deadwall-last-enclosure/blob/1b3b9c5ba232734b1bda3453b4e20a0481bcdd74/codex-3000/compositions/Loisirs et culture/DW-1884.md</x:v>
      </x:c>
      <x:c r="K1889" t="str">
        <x:v>Source min 40,28 m ; max 300,200 m ; modèle 40 × 28 m ; niveaux 0. Détails dans catalogue-existant.json.</x:v>
      </x:c>
    </x:row>
    <x:row r="1890">
      <x:c r="A1890" t="str">
        <x:v>DW-1885</x:v>
      </x:c>
      <x:c r="B1890" t="str">
        <x:v>DW-0443</x:v>
      </x:c>
      <x:c r="C1890" t="str">
        <x:v>Composition héritée</x:v>
      </x:c>
      <x:c r="D1890" t="str">
        <x:v>Loisirs et culture</x:v>
      </x:c>
      <x:c r="E1890" t="str">
        <x:v>Stade municipal — Plage et dune / première récupération passée</x:v>
      </x:c>
      <x:c r="F1890" t="n">
        <x:v>10</x:v>
      </x:c>
      <x:c r="G1890" t="n">
        <x:v>4</x:v>
      </x:c>
      <x:c r="H1890" t="n">
        <x:v>10</x:v>
      </x:c>
      <x:c r="I1890" t="str">
        <x:v>À qualifier par lieu</x:v>
      </x:c>
      <x:c r="J1890" t="str">
        <x:v>https://github.com/darknigthmare/deadwall-last-enclosure/blob/1b3b9c5ba232734b1bda3453b4e20a0481bcdd74/codex-3000/compositions/Loisirs et culture/DW-1885.md</x:v>
      </x:c>
      <x:c r="K1890" t="str">
        <x:v>Source min 40,28 m ; max 300,200 m ; modèle 40 × 28 m ; niveaux 0. Détails dans catalogue-existant.json.</x:v>
      </x:c>
    </x:row>
    <x:row r="1891">
      <x:c r="A1891" t="str">
        <x:v>DW-1886</x:v>
      </x:c>
      <x:c r="B1891" t="str">
        <x:v>DW-0443</x:v>
      </x:c>
      <x:c r="C1891" t="str">
        <x:v>Composition héritée</x:v>
      </x:c>
      <x:c r="D1891" t="str">
        <x:v>Loisirs et culture</x:v>
      </x:c>
      <x:c r="E1891" t="str">
        <x:v>Stade municipal — Zone de loisirs / relais temporaire envisagé</x:v>
      </x:c>
      <x:c r="F1891" t="n">
        <x:v>8</x:v>
      </x:c>
      <x:c r="G1891" t="n">
        <x:v>4</x:v>
      </x:c>
      <x:c r="H1891" t="n">
        <x:v>10</x:v>
      </x:c>
      <x:c r="I1891" t="str">
        <x:v>À qualifier par lieu</x:v>
      </x:c>
      <x:c r="J1891" t="str">
        <x:v>https://github.com/darknigthmare/deadwall-last-enclosure/blob/1b3b9c5ba232734b1bda3453b4e20a0481bcdd74/codex-3000/compositions/Loisirs et culture/DW-1886.md</x:v>
      </x:c>
      <x:c r="K1891" t="str">
        <x:v>Source min 40,28 m ; max 300,200 m ; modèle 40 × 28 m ; niveaux 0. Détails dans catalogue-existant.json.</x:v>
      </x:c>
    </x:row>
    <x:row r="1892">
      <x:c r="A1892" t="str">
        <x:v>DW-1887</x:v>
      </x:c>
      <x:c r="B1892" t="str">
        <x:v>DW-0444</x:v>
      </x:c>
      <x:c r="C1892" t="str">
        <x:v>Composition héritée</x:v>
      </x:c>
      <x:c r="D1892" t="str">
        <x:v>Loisirs et culture</x:v>
      </x:c>
      <x:c r="E1892" t="str">
        <x:v>Gymnase — Ville moyenne / service déplacé à l’arrière</x:v>
      </x:c>
      <x:c r="F1892" t="n">
        <x:v>8</x:v>
      </x:c>
      <x:c r="G1892" t="n">
        <x:v>4</x:v>
      </x:c>
      <x:c r="H1892" t="n">
        <x:v>12</x:v>
      </x:c>
      <x:c r="I1892" t="str">
        <x:v>À qualifier par lieu</x:v>
      </x:c>
      <x:c r="J1892" t="str">
        <x:v>https://github.com/darknigthmare/deadwall-last-enclosure/blob/1b3b9c5ba232734b1bda3453b4e20a0481bcdd74/codex-3000/compositions/Loisirs et culture/DW-1887.md</x:v>
      </x:c>
      <x:c r="K1892" t="str">
        <x:v>Source min 40,28 m ; max 300,200 m ; modèle 40 × 28 m ; niveaux 0. Détails dans catalogue-existant.json.</x:v>
      </x:c>
    </x:row>
    <x:row r="1893">
      <x:c r="A1893" t="str">
        <x:v>DW-1888</x:v>
      </x:c>
      <x:c r="B1893" t="str">
        <x:v>DW-0444</x:v>
      </x:c>
      <x:c r="C1893" t="str">
        <x:v>Composition héritée</x:v>
      </x:c>
      <x:c r="D1893" t="str">
        <x:v>Loisirs et culture</x:v>
      </x:c>
      <x:c r="E1893" t="str">
        <x:v>Gymnase — Lac et base de loisirs / réseau principal coupé</x:v>
      </x:c>
      <x:c r="F1893" t="n">
        <x:v>10</x:v>
      </x:c>
      <x:c r="G1893" t="n">
        <x:v>4</x:v>
      </x:c>
      <x:c r="H1893" t="n">
        <x:v>12</x:v>
      </x:c>
      <x:c r="I1893" t="str">
        <x:v>À qualifier par lieu</x:v>
      </x:c>
      <x:c r="J1893" t="str">
        <x:v>https://github.com/darknigthmare/deadwall-last-enclosure/blob/1b3b9c5ba232734b1bda3453b4e20a0481bcdd74/codex-3000/compositions/Loisirs et culture/DW-1888.md</x:v>
      </x:c>
      <x:c r="K1893" t="str">
        <x:v>Source min 40,28 m ; max 300,200 m ; modèle 40 × 28 m ; niveaux 0. Détails dans catalogue-existant.json.</x:v>
      </x:c>
    </x:row>
    <x:row r="1894">
      <x:c r="A1894" t="str">
        <x:v>DW-1889</x:v>
      </x:c>
      <x:c r="B1894" t="str">
        <x:v>DW-0445</x:v>
      </x:c>
      <x:c r="C1894" t="str">
        <x:v>Composition héritée</x:v>
      </x:c>
      <x:c r="D1894" t="str">
        <x:v>Loisirs et culture</x:v>
      </x:c>
      <x:c r="E1894" t="str">
        <x:v>Piscine municipale — Zone de loisirs / reprise progressive de la végétation</x:v>
      </x:c>
      <x:c r="F1894" t="n">
        <x:v>8</x:v>
      </x:c>
      <x:c r="G1894" t="n">
        <x:v>5</x:v>
      </x:c>
      <x:c r="H1894" t="n">
        <x:v>15</x:v>
      </x:c>
      <x:c r="I1894" t="str">
        <x:v>À qualifier par lieu</x:v>
      </x:c>
      <x:c r="J1894" t="str">
        <x:v>https://github.com/darknigthmare/deadwall-last-enclosure/blob/1b3b9c5ba232734b1bda3453b4e20a0481bcdd74/codex-3000/compositions/Loisirs et culture/DW-1889.md</x:v>
      </x:c>
      <x:c r="K1894" t="str">
        <x:v>Source min 40,28 m ; max 300,200 m ; modèle 40 × 28 m ; niveaux 0. Détails dans catalogue-existant.json.</x:v>
      </x:c>
    </x:row>
    <x:row r="1895">
      <x:c r="A1895" t="str">
        <x:v>DW-1890</x:v>
      </x:c>
      <x:c r="B1895" t="str">
        <x:v>DW-0445</x:v>
      </x:c>
      <x:c r="C1895" t="str">
        <x:v>Composition héritée</x:v>
      </x:c>
      <x:c r="D1895" t="str">
        <x:v>Loisirs et culture</x:v>
      </x:c>
      <x:c r="E1895" t="str">
        <x:v>Piscine municipale — Plage et dune / repli organisé interrompu</x:v>
      </x:c>
      <x:c r="F1895" t="n">
        <x:v>10</x:v>
      </x:c>
      <x:c r="G1895" t="n">
        <x:v>5</x:v>
      </x:c>
      <x:c r="H1895" t="n">
        <x:v>15</x:v>
      </x:c>
      <x:c r="I1895" t="str">
        <x:v>À qualifier par lieu</x:v>
      </x:c>
      <x:c r="J1895" t="str">
        <x:v>https://github.com/darknigthmare/deadwall-last-enclosure/blob/1b3b9c5ba232734b1bda3453b4e20a0481bcdd74/codex-3000/compositions/Loisirs et culture/DW-1890.md</x:v>
      </x:c>
      <x:c r="K1895" t="str">
        <x:v>Source min 40,28 m ; max 300,200 m ; modèle 40 × 28 m ; niveaux 0. Détails dans catalogue-existant.json.</x:v>
      </x:c>
    </x:row>
    <x:row r="1896">
      <x:c r="A1896" t="str">
        <x:v>DW-1891</x:v>
      </x:c>
      <x:c r="B1896" t="str">
        <x:v>DW-0446</x:v>
      </x:c>
      <x:c r="C1896" t="str">
        <x:v>Composition héritée</x:v>
      </x:c>
      <x:c r="D1896" t="str">
        <x:v>Loisirs et culture</x:v>
      </x:c>
      <x:c r="E1896" t="str">
        <x:v>Cinéma multiplexe — Lac et base de loisirs / relais temporaire envisagé</x:v>
      </x:c>
      <x:c r="F1896" t="n">
        <x:v>10</x:v>
      </x:c>
      <x:c r="G1896" t="n">
        <x:v>5</x:v>
      </x:c>
      <x:c r="H1896" t="n">
        <x:v>15</x:v>
      </x:c>
      <x:c r="I1896" t="str">
        <x:v>À qualifier par lieu</x:v>
      </x:c>
      <x:c r="J1896" t="str">
        <x:v>https://github.com/darknigthmare/deadwall-last-enclosure/blob/1b3b9c5ba232734b1bda3453b4e20a0481bcdd74/codex-3000/compositions/Loisirs et culture/DW-1891.md</x:v>
      </x:c>
      <x:c r="K1896" t="str">
        <x:v>Source min 40,28 m ; max 300,200 m ; modèle 40 × 28 m ; niveaux 0. Détails dans catalogue-existant.json.</x:v>
      </x:c>
    </x:row>
    <x:row r="1897">
      <x:c r="A1897" t="str">
        <x:v>DW-1892</x:v>
      </x:c>
      <x:c r="B1897" t="str">
        <x:v>DW-0446</x:v>
      </x:c>
      <x:c r="C1897" t="str">
        <x:v>Composition héritée</x:v>
      </x:c>
      <x:c r="D1897" t="str">
        <x:v>Loisirs et culture</x:v>
      </x:c>
      <x:c r="E1897" t="str">
        <x:v>Cinéma multiplexe — Ville moyenne / évacuation interrompue</x:v>
      </x:c>
      <x:c r="F1897" t="n">
        <x:v>8</x:v>
      </x:c>
      <x:c r="G1897" t="n">
        <x:v>5</x:v>
      </x:c>
      <x:c r="H1897" t="n">
        <x:v>15</x:v>
      </x:c>
      <x:c r="I1897" t="str">
        <x:v>À qualifier par lieu</x:v>
      </x:c>
      <x:c r="J1897" t="str">
        <x:v>https://github.com/darknigthmare/deadwall-last-enclosure/blob/1b3b9c5ba232734b1bda3453b4e20a0481bcdd74/codex-3000/compositions/Loisirs et culture/DW-1892.md</x:v>
      </x:c>
      <x:c r="K1897" t="str">
        <x:v>Source min 40,28 m ; max 300,200 m ; modèle 40 × 28 m ; niveaux 0. Détails dans catalogue-existant.json.</x:v>
      </x:c>
    </x:row>
    <x:row r="1898">
      <x:c r="A1898" t="str">
        <x:v>DW-1893</x:v>
      </x:c>
      <x:c r="B1898" t="str">
        <x:v>DW-0447</x:v>
      </x:c>
      <x:c r="C1898" t="str">
        <x:v>Composition héritée</x:v>
      </x:c>
      <x:c r="D1898" t="str">
        <x:v>Loisirs et culture</x:v>
      </x:c>
      <x:c r="E1898" t="str">
        <x:v>Cinéma de quartier — Plage et dune / réseau principal coupé</x:v>
      </x:c>
      <x:c r="F1898" t="n">
        <x:v>10</x:v>
      </x:c>
      <x:c r="G1898" t="n">
        <x:v>4</x:v>
      </x:c>
      <x:c r="H1898" t="n">
        <x:v>12</x:v>
      </x:c>
      <x:c r="I1898" t="str">
        <x:v>À qualifier par lieu</x:v>
      </x:c>
      <x:c r="J1898" t="str">
        <x:v>https://github.com/darknigthmare/deadwall-last-enclosure/blob/1b3b9c5ba232734b1bda3453b4e20a0481bcdd74/codex-3000/compositions/Loisirs et culture/DW-1893.md</x:v>
      </x:c>
      <x:c r="K1898" t="str">
        <x:v>Source min 40,28 m ; max 300,200 m ; modèle 40 × 28 m ; niveaux 0. Détails dans catalogue-existant.json.</x:v>
      </x:c>
    </x:row>
    <x:row r="1899">
      <x:c r="A1899" t="str">
        <x:v>DW-1894</x:v>
      </x:c>
      <x:c r="B1899" t="str">
        <x:v>DW-0447</x:v>
      </x:c>
      <x:c r="C1899" t="str">
        <x:v>Composition héritée</x:v>
      </x:c>
      <x:c r="D1899" t="str">
        <x:v>Loisirs et culture</x:v>
      </x:c>
      <x:c r="E1899" t="str">
        <x:v>Cinéma de quartier — Zone de loisirs / arrêt de maintenance</x:v>
      </x:c>
      <x:c r="F1899" t="n">
        <x:v>8</x:v>
      </x:c>
      <x:c r="G1899" t="n">
        <x:v>4</x:v>
      </x:c>
      <x:c r="H1899" t="n">
        <x:v>12</x:v>
      </x:c>
      <x:c r="I1899" t="str">
        <x:v>À qualifier par lieu</x:v>
      </x:c>
      <x:c r="J1899" t="str">
        <x:v>https://github.com/darknigthmare/deadwall-last-enclosure/blob/1b3b9c5ba232734b1bda3453b4e20a0481bcdd74/codex-3000/compositions/Loisirs et culture/DW-1894.md</x:v>
      </x:c>
      <x:c r="K1899" t="str">
        <x:v>Source min 40,28 m ; max 300,200 m ; modèle 40 × 28 m ; niveaux 0. Détails dans catalogue-existant.json.</x:v>
      </x:c>
    </x:row>
    <x:row r="1900">
      <x:c r="A1900" t="str">
        <x:v>DW-1895</x:v>
      </x:c>
      <x:c r="B1900" t="str">
        <x:v>DW-0448</x:v>
      </x:c>
      <x:c r="C1900" t="str">
        <x:v>Composition héritée</x:v>
      </x:c>
      <x:c r="D1900" t="str">
        <x:v>Loisirs et culture</x:v>
      </x:c>
      <x:c r="E1900" t="str">
        <x:v>Théâtre — Ville moyenne / repli organisé interrompu</x:v>
      </x:c>
      <x:c r="F1900" t="n">
        <x:v>8</x:v>
      </x:c>
      <x:c r="G1900" t="n">
        <x:v>5</x:v>
      </x:c>
      <x:c r="H1900" t="n">
        <x:v>15</x:v>
      </x:c>
      <x:c r="I1900" t="str">
        <x:v>À qualifier par lieu</x:v>
      </x:c>
      <x:c r="J1900" t="str">
        <x:v>https://github.com/darknigthmare/deadwall-last-enclosure/blob/1b3b9c5ba232734b1bda3453b4e20a0481bcdd74/codex-3000/compositions/Loisirs et culture/DW-1895.md</x:v>
      </x:c>
      <x:c r="K1900" t="str">
        <x:v>Source min 40,28 m ; max 300,200 m ; modèle 40 × 28 m ; niveaux 0. Détails dans catalogue-existant.json.</x:v>
      </x:c>
    </x:row>
    <x:row r="1901">
      <x:c r="A1901" t="str">
        <x:v>DW-1896</x:v>
      </x:c>
      <x:c r="B1901" t="str">
        <x:v>DW-0448</x:v>
      </x:c>
      <x:c r="C1901" t="str">
        <x:v>Composition héritée</x:v>
      </x:c>
      <x:c r="D1901" t="str">
        <x:v>Loisirs et culture</x:v>
      </x:c>
      <x:c r="E1901" t="str">
        <x:v>Théâtre — Lac et base de loisirs / première récupération passée</x:v>
      </x:c>
      <x:c r="F1901" t="n">
        <x:v>10</x:v>
      </x:c>
      <x:c r="G1901" t="n">
        <x:v>5</x:v>
      </x:c>
      <x:c r="H1901" t="n">
        <x:v>15</x:v>
      </x:c>
      <x:c r="I1901" t="str">
        <x:v>À qualifier par lieu</x:v>
      </x:c>
      <x:c r="J1901" t="str">
        <x:v>https://github.com/darknigthmare/deadwall-last-enclosure/blob/1b3b9c5ba232734b1bda3453b4e20a0481bcdd74/codex-3000/compositions/Loisirs et culture/DW-1896.md</x:v>
      </x:c>
      <x:c r="K1901" t="str">
        <x:v>Source min 40,28 m ; max 300,200 m ; modèle 40 × 28 m ; niveaux 0. Détails dans catalogue-existant.json.</x:v>
      </x:c>
    </x:row>
    <x:row r="1902">
      <x:c r="A1902" t="str">
        <x:v>DW-1897</x:v>
      </x:c>
      <x:c r="B1902" t="str">
        <x:v>DW-0449</x:v>
      </x:c>
      <x:c r="C1902" t="str">
        <x:v>Composition héritée</x:v>
      </x:c>
      <x:c r="D1902" t="str">
        <x:v>Loisirs et culture</x:v>
      </x:c>
      <x:c r="E1902" t="str">
        <x:v>Salle de concert — Zone de loisirs / évacuation interrompue</x:v>
      </x:c>
      <x:c r="F1902" t="n">
        <x:v>8</x:v>
      </x:c>
      <x:c r="G1902" t="n">
        <x:v>5</x:v>
      </x:c>
      <x:c r="H1902" t="n">
        <x:v>15</x:v>
      </x:c>
      <x:c r="I1902" t="str">
        <x:v>À qualifier par lieu</x:v>
      </x:c>
      <x:c r="J1902" t="str">
        <x:v>https://github.com/darknigthmare/deadwall-last-enclosure/blob/1b3b9c5ba232734b1bda3453b4e20a0481bcdd74/codex-3000/compositions/Loisirs et culture/DW-1897.md</x:v>
      </x:c>
      <x:c r="K1902" t="str">
        <x:v>Source min 40,28 m ; max 300,200 m ; modèle 40 × 28 m ; niveaux 0. Détails dans catalogue-existant.json.</x:v>
      </x:c>
    </x:row>
    <x:row r="1903">
      <x:c r="A1903" t="str">
        <x:v>DW-1898</x:v>
      </x:c>
      <x:c r="B1903" t="str">
        <x:v>DW-0449</x:v>
      </x:c>
      <x:c r="C1903" t="str">
        <x:v>Composition héritée</x:v>
      </x:c>
      <x:c r="D1903" t="str">
        <x:v>Loisirs et culture</x:v>
      </x:c>
      <x:c r="E1903" t="str">
        <x:v>Salle de concert — Plage et dune / service déplacé à l’arrière</x:v>
      </x:c>
      <x:c r="F1903" t="n">
        <x:v>10</x:v>
      </x:c>
      <x:c r="G1903" t="n">
        <x:v>5</x:v>
      </x:c>
      <x:c r="H1903" t="n">
        <x:v>15</x:v>
      </x:c>
      <x:c r="I1903" t="str">
        <x:v>À qualifier par lieu</x:v>
      </x:c>
      <x:c r="J1903" t="str">
        <x:v>https://github.com/darknigthmare/deadwall-last-enclosure/blob/1b3b9c5ba232734b1bda3453b4e20a0481bcdd74/codex-3000/compositions/Loisirs et culture/DW-1898.md</x:v>
      </x:c>
      <x:c r="K1903" t="str">
        <x:v>Source min 40,28 m ; max 300,200 m ; modèle 40 × 28 m ; niveaux 0. Détails dans catalogue-existant.json.</x:v>
      </x:c>
    </x:row>
    <x:row r="1904">
      <x:c r="A1904" t="str">
        <x:v>DW-1899</x:v>
      </x:c>
      <x:c r="B1904" t="str">
        <x:v>DW-0450</x:v>
      </x:c>
      <x:c r="C1904" t="str">
        <x:v>Composition héritée</x:v>
      </x:c>
      <x:c r="D1904" t="str">
        <x:v>Loisirs et culture</x:v>
      </x:c>
      <x:c r="E1904" t="str">
        <x:v>Musée local — Lac et base de loisirs / arrêt de maintenance</x:v>
      </x:c>
      <x:c r="F1904" t="n">
        <x:v>10</x:v>
      </x:c>
      <x:c r="G1904" t="n">
        <x:v>4</x:v>
      </x:c>
      <x:c r="H1904" t="n">
        <x:v>12</x:v>
      </x:c>
      <x:c r="I1904" t="str">
        <x:v>À qualifier par lieu</x:v>
      </x:c>
      <x:c r="J1904" t="str">
        <x:v>https://github.com/darknigthmare/deadwall-last-enclosure/blob/1b3b9c5ba232734b1bda3453b4e20a0481bcdd74/codex-3000/compositions/Loisirs et culture/DW-1899.md</x:v>
      </x:c>
      <x:c r="K1904" t="str">
        <x:v>Source min 40,28 m ; max 300,200 m ; modèle 40 × 28 m ; niveaux 0. Détails dans catalogue-existant.json.</x:v>
      </x:c>
    </x:row>
    <x:row r="1905">
      <x:c r="A1905" t="str">
        <x:v>DW-1900</x:v>
      </x:c>
      <x:c r="B1905" t="str">
        <x:v>DW-0450</x:v>
      </x:c>
      <x:c r="C1905" t="str">
        <x:v>Composition héritée</x:v>
      </x:c>
      <x:c r="D1905" t="str">
        <x:v>Loisirs et culture</x:v>
      </x:c>
      <x:c r="E1905" t="str">
        <x:v>Musée local — Ville moyenne / reprise progressive de la végétation</x:v>
      </x:c>
      <x:c r="F1905" t="n">
        <x:v>8</x:v>
      </x:c>
      <x:c r="G1905" t="n">
        <x:v>4</x:v>
      </x:c>
      <x:c r="H1905" t="n">
        <x:v>12</x:v>
      </x:c>
      <x:c r="I1905" t="str">
        <x:v>À qualifier par lieu</x:v>
      </x:c>
      <x:c r="J1905" t="str">
        <x:v>https://github.com/darknigthmare/deadwall-last-enclosure/blob/1b3b9c5ba232734b1bda3453b4e20a0481bcdd74/codex-3000/compositions/Loisirs et culture/DW-1900.md</x:v>
      </x:c>
      <x:c r="K1905" t="str">
        <x:v>Source min 40,28 m ; max 300,200 m ; modèle 40 × 28 m ; niveaux 0. Détails dans catalogue-existant.json.</x:v>
      </x:c>
    </x:row>
    <x:row r="1906">
      <x:c r="A1906" t="str">
        <x:v>DW-1901</x:v>
      </x:c>
      <x:c r="B1906" t="str">
        <x:v>DW-0451</x:v>
      </x:c>
      <x:c r="C1906" t="str">
        <x:v>Composition héritée</x:v>
      </x:c>
      <x:c r="D1906" t="str">
        <x:v>Loisirs et culture</x:v>
      </x:c>
      <x:c r="E1906" t="str">
        <x:v>Musée industriel — Plage et dune / première récupération passée</x:v>
      </x:c>
      <x:c r="F1906" t="n">
        <x:v>10</x:v>
      </x:c>
      <x:c r="G1906" t="n">
        <x:v>4</x:v>
      </x:c>
      <x:c r="H1906" t="n">
        <x:v>10</x:v>
      </x:c>
      <x:c r="I1906" t="str">
        <x:v>À qualifier par lieu</x:v>
      </x:c>
      <x:c r="J1906" t="str">
        <x:v>https://github.com/darknigthmare/deadwall-last-enclosure/blob/1b3b9c5ba232734b1bda3453b4e20a0481bcdd74/codex-3000/compositions/Loisirs et culture/DW-1901.md</x:v>
      </x:c>
      <x:c r="K1906" t="str">
        <x:v>Source min 40,28 m ; max 300,200 m ; modèle 40 × 28 m ; niveaux 0. Détails dans catalogue-existant.json.</x:v>
      </x:c>
    </x:row>
    <x:row r="1907">
      <x:c r="A1907" t="str">
        <x:v>DW-1902</x:v>
      </x:c>
      <x:c r="B1907" t="str">
        <x:v>DW-0451</x:v>
      </x:c>
      <x:c r="C1907" t="str">
        <x:v>Composition héritée</x:v>
      </x:c>
      <x:c r="D1907" t="str">
        <x:v>Loisirs et culture</x:v>
      </x:c>
      <x:c r="E1907" t="str">
        <x:v>Musée industriel — Zone de loisirs / relais temporaire envisagé</x:v>
      </x:c>
      <x:c r="F1907" t="n">
        <x:v>8</x:v>
      </x:c>
      <x:c r="G1907" t="n">
        <x:v>4</x:v>
      </x:c>
      <x:c r="H1907" t="n">
        <x:v>10</x:v>
      </x:c>
      <x:c r="I1907" t="str">
        <x:v>À qualifier par lieu</x:v>
      </x:c>
      <x:c r="J1907" t="str">
        <x:v>https://github.com/darknigthmare/deadwall-last-enclosure/blob/1b3b9c5ba232734b1bda3453b4e20a0481bcdd74/codex-3000/compositions/Loisirs et culture/DW-1902.md</x:v>
      </x:c>
      <x:c r="K1907" t="str">
        <x:v>Source min 40,28 m ; max 300,200 m ; modèle 40 × 28 m ; niveaux 0. Détails dans catalogue-existant.json.</x:v>
      </x:c>
    </x:row>
    <x:row r="1908">
      <x:c r="A1908" t="str">
        <x:v>DW-1903</x:v>
      </x:c>
      <x:c r="B1908" t="str">
        <x:v>DW-0452</x:v>
      </x:c>
      <x:c r="C1908" t="str">
        <x:v>Composition héritée</x:v>
      </x:c>
      <x:c r="D1908" t="str">
        <x:v>Loisirs et culture</x:v>
      </x:c>
      <x:c r="E1908" t="str">
        <x:v>Parc d'attractions abandonné — Ville moyenne / service déplacé à l’arrière</x:v>
      </x:c>
      <x:c r="F1908" t="n">
        <x:v>8</x:v>
      </x:c>
      <x:c r="G1908" t="n">
        <x:v>4</x:v>
      </x:c>
      <x:c r="H1908" t="n">
        <x:v>10</x:v>
      </x:c>
      <x:c r="I1908" t="str">
        <x:v>À qualifier par lieu</x:v>
      </x:c>
      <x:c r="J1908" t="str">
        <x:v>https://github.com/darknigthmare/deadwall-last-enclosure/blob/1b3b9c5ba232734b1bda3453b4e20a0481bcdd74/codex-3000/compositions/Loisirs et culture/DW-1903.md</x:v>
      </x:c>
      <x:c r="K1908" t="str">
        <x:v>Source min 40,28 m ; max 300,200 m ; modèle 40 × 28 m ; niveaux 0. Détails dans catalogue-existant.json.</x:v>
      </x:c>
    </x:row>
    <x:row r="1909">
      <x:c r="A1909" t="str">
        <x:v>DW-1904</x:v>
      </x:c>
      <x:c r="B1909" t="str">
        <x:v>DW-0452</x:v>
      </x:c>
      <x:c r="C1909" t="str">
        <x:v>Composition héritée</x:v>
      </x:c>
      <x:c r="D1909" t="str">
        <x:v>Loisirs et culture</x:v>
      </x:c>
      <x:c r="E1909" t="str">
        <x:v>Parc d'attractions abandonné — Lac et base de loisirs / réseau principal coupé</x:v>
      </x:c>
      <x:c r="F1909" t="n">
        <x:v>10</x:v>
      </x:c>
      <x:c r="G1909" t="n">
        <x:v>4</x:v>
      </x:c>
      <x:c r="H1909" t="n">
        <x:v>10</x:v>
      </x:c>
      <x:c r="I1909" t="str">
        <x:v>À qualifier par lieu</x:v>
      </x:c>
      <x:c r="J1909" t="str">
        <x:v>https://github.com/darknigthmare/deadwall-last-enclosure/blob/1b3b9c5ba232734b1bda3453b4e20a0481bcdd74/codex-3000/compositions/Loisirs et culture/DW-1904.md</x:v>
      </x:c>
      <x:c r="K1909" t="str">
        <x:v>Source min 40,28 m ; max 300,200 m ; modèle 40 × 28 m ; niveaux 0. Détails dans catalogue-existant.json.</x:v>
      </x:c>
    </x:row>
    <x:row r="1910">
      <x:c r="A1910" t="str">
        <x:v>DW-1905</x:v>
      </x:c>
      <x:c r="B1910" t="str">
        <x:v>DW-0453</x:v>
      </x:c>
      <x:c r="C1910" t="str">
        <x:v>Composition héritée</x:v>
      </x:c>
      <x:c r="D1910" t="str">
        <x:v>Loisirs et culture</x:v>
      </x:c>
      <x:c r="E1910" t="str">
        <x:v>Fête foraine démontée — Zone de loisirs / reprise progressive de la végétation</x:v>
      </x:c>
      <x:c r="F1910" t="n">
        <x:v>8</x:v>
      </x:c>
      <x:c r="G1910" t="n">
        <x:v>4</x:v>
      </x:c>
      <x:c r="H1910" t="n">
        <x:v>12</x:v>
      </x:c>
      <x:c r="I1910" t="str">
        <x:v>À qualifier par lieu</x:v>
      </x:c>
      <x:c r="J1910" t="str">
        <x:v>https://github.com/darknigthmare/deadwall-last-enclosure/blob/1b3b9c5ba232734b1bda3453b4e20a0481bcdd74/codex-3000/compositions/Loisirs et culture/DW-1905.md</x:v>
      </x:c>
      <x:c r="K1910" t="str">
        <x:v>Source min 40,28 m ; max 300,200 m ; modèle 40 × 28 m ; niveaux 0. Détails dans catalogue-existant.json.</x:v>
      </x:c>
    </x:row>
    <x:row r="1911">
      <x:c r="A1911" t="str">
        <x:v>DW-1906</x:v>
      </x:c>
      <x:c r="B1911" t="str">
        <x:v>DW-0453</x:v>
      </x:c>
      <x:c r="C1911" t="str">
        <x:v>Composition héritée</x:v>
      </x:c>
      <x:c r="D1911" t="str">
        <x:v>Loisirs et culture</x:v>
      </x:c>
      <x:c r="E1911" t="str">
        <x:v>Fête foraine démontée — Plage et dune / repli organisé interrompu</x:v>
      </x:c>
      <x:c r="F1911" t="n">
        <x:v>10</x:v>
      </x:c>
      <x:c r="G1911" t="n">
        <x:v>4</x:v>
      </x:c>
      <x:c r="H1911" t="n">
        <x:v>12</x:v>
      </x:c>
      <x:c r="I1911" t="str">
        <x:v>À qualifier par lieu</x:v>
      </x:c>
      <x:c r="J1911" t="str">
        <x:v>https://github.com/darknigthmare/deadwall-last-enclosure/blob/1b3b9c5ba232734b1bda3453b4e20a0481bcdd74/codex-3000/compositions/Loisirs et culture/DW-1906.md</x:v>
      </x:c>
      <x:c r="K1911" t="str">
        <x:v>Source min 40,28 m ; max 300,200 m ; modèle 40 × 28 m ; niveaux 0. Détails dans catalogue-existant.json.</x:v>
      </x:c>
    </x:row>
    <x:row r="1912">
      <x:c r="A1912" t="str">
        <x:v>DW-1907</x:v>
      </x:c>
      <x:c r="B1912" t="str">
        <x:v>DW-0454</x:v>
      </x:c>
      <x:c r="C1912" t="str">
        <x:v>Composition héritée</x:v>
      </x:c>
      <x:c r="D1912" t="str">
        <x:v>Loisirs et culture</x:v>
      </x:c>
      <x:c r="E1912" t="str">
        <x:v>Campement de clairière — Lac et base de loisirs / relais temporaire envisagé</x:v>
      </x:c>
      <x:c r="F1912" t="n">
        <x:v>10</x:v>
      </x:c>
      <x:c r="G1912" t="n">
        <x:v>4</x:v>
      </x:c>
      <x:c r="H1912" t="n">
        <x:v>12</x:v>
      </x:c>
      <x:c r="I1912" t="str">
        <x:v>À qualifier par lieu</x:v>
      </x:c>
      <x:c r="J1912" t="str">
        <x:v>https://github.com/darknigthmare/deadwall-last-enclosure/blob/1b3b9c5ba232734b1bda3453b4e20a0481bcdd74/codex-3000/compositions/Loisirs et culture/DW-1907.md</x:v>
      </x:c>
      <x:c r="K1912" t="str">
        <x:v>Source min 40,28 m ; max 300,200 m ; modèle 40 × 28 m ; niveaux 0. Détails dans catalogue-existant.json.</x:v>
      </x:c>
    </x:row>
    <x:row r="1913">
      <x:c r="A1913" t="str">
        <x:v>DW-1908</x:v>
      </x:c>
      <x:c r="B1913" t="str">
        <x:v>DW-0454</x:v>
      </x:c>
      <x:c r="C1913" t="str">
        <x:v>Composition héritée</x:v>
      </x:c>
      <x:c r="D1913" t="str">
        <x:v>Loisirs et culture</x:v>
      </x:c>
      <x:c r="E1913" t="str">
        <x:v>Campement de clairière — Ville moyenne / évacuation interrompue</x:v>
      </x:c>
      <x:c r="F1913" t="n">
        <x:v>8</x:v>
      </x:c>
      <x:c r="G1913" t="n">
        <x:v>4</x:v>
      </x:c>
      <x:c r="H1913" t="n">
        <x:v>12</x:v>
      </x:c>
      <x:c r="I1913" t="str">
        <x:v>À qualifier par lieu</x:v>
      </x:c>
      <x:c r="J1913" t="str">
        <x:v>https://github.com/darknigthmare/deadwall-last-enclosure/blob/1b3b9c5ba232734b1bda3453b4e20a0481bcdd74/codex-3000/compositions/Loisirs et culture/DW-1908.md</x:v>
      </x:c>
      <x:c r="K1913" t="str">
        <x:v>Source min 40,28 m ; max 300,200 m ; modèle 40 × 28 m ; niveaux 0. Détails dans catalogue-existant.json.</x:v>
      </x:c>
    </x:row>
    <x:row r="1914">
      <x:c r="A1914" t="str">
        <x:v>DW-1909</x:v>
      </x:c>
      <x:c r="B1914" t="str">
        <x:v>DW-0455</x:v>
      </x:c>
      <x:c r="C1914" t="str">
        <x:v>Composition héritée</x:v>
      </x:c>
      <x:c r="D1914" t="str">
        <x:v>Loisirs et culture</x:v>
      </x:c>
      <x:c r="E1914" t="str">
        <x:v>Base de scoutisme — Plage et dune / réseau principal coupé</x:v>
      </x:c>
      <x:c r="F1914" t="n">
        <x:v>10</x:v>
      </x:c>
      <x:c r="G1914" t="n">
        <x:v>4</x:v>
      </x:c>
      <x:c r="H1914" t="n">
        <x:v>12</x:v>
      </x:c>
      <x:c r="I1914" t="str">
        <x:v>À qualifier par lieu</x:v>
      </x:c>
      <x:c r="J1914" t="str">
        <x:v>https://github.com/darknigthmare/deadwall-last-enclosure/blob/1b3b9c5ba232734b1bda3453b4e20a0481bcdd74/codex-3000/compositions/Loisirs et culture/DW-1909.md</x:v>
      </x:c>
      <x:c r="K1914" t="str">
        <x:v>Source min 40,28 m ; max 300,200 m ; modèle 40 × 28 m ; niveaux 0. Détails dans catalogue-existant.json.</x:v>
      </x:c>
    </x:row>
    <x:row r="1915">
      <x:c r="A1915" t="str">
        <x:v>DW-1910</x:v>
      </x:c>
      <x:c r="B1915" t="str">
        <x:v>DW-0455</x:v>
      </x:c>
      <x:c r="C1915" t="str">
        <x:v>Composition héritée</x:v>
      </x:c>
      <x:c r="D1915" t="str">
        <x:v>Loisirs et culture</x:v>
      </x:c>
      <x:c r="E1915" t="str">
        <x:v>Base de scoutisme — Zone de loisirs / arrêt de maintenance</x:v>
      </x:c>
      <x:c r="F1915" t="n">
        <x:v>8</x:v>
      </x:c>
      <x:c r="G1915" t="n">
        <x:v>4</x:v>
      </x:c>
      <x:c r="H1915" t="n">
        <x:v>12</x:v>
      </x:c>
      <x:c r="I1915" t="str">
        <x:v>À qualifier par lieu</x:v>
      </x:c>
      <x:c r="J1915" t="str">
        <x:v>https://github.com/darknigthmare/deadwall-last-enclosure/blob/1b3b9c5ba232734b1bda3453b4e20a0481bcdd74/codex-3000/compositions/Loisirs et culture/DW-1910.md</x:v>
      </x:c>
      <x:c r="K1915" t="str">
        <x:v>Source min 40,28 m ; max 300,200 m ; modèle 40 × 28 m ; niveaux 0. Détails dans catalogue-existant.json.</x:v>
      </x:c>
    </x:row>
    <x:row r="1916">
      <x:c r="A1916" t="str">
        <x:v>DW-1911</x:v>
      </x:c>
      <x:c r="B1916" t="str">
        <x:v>DW-0456</x:v>
      </x:c>
      <x:c r="C1916" t="str">
        <x:v>Composition héritée</x:v>
      </x:c>
      <x:c r="D1916" t="str">
        <x:v>Loisirs et culture</x:v>
      </x:c>
      <x:c r="E1916" t="str">
        <x:v>Club de tennis — Ville moyenne / repli organisé interrompu</x:v>
      </x:c>
      <x:c r="F1916" t="n">
        <x:v>8</x:v>
      </x:c>
      <x:c r="G1916" t="n">
        <x:v>4</x:v>
      </x:c>
      <x:c r="H1916" t="n">
        <x:v>12</x:v>
      </x:c>
      <x:c r="I1916" t="str">
        <x:v>À qualifier par lieu</x:v>
      </x:c>
      <x:c r="J1916" t="str">
        <x:v>https://github.com/darknigthmare/deadwall-last-enclosure/blob/1b3b9c5ba232734b1bda3453b4e20a0481bcdd74/codex-3000/compositions/Loisirs et culture/DW-1911.md</x:v>
      </x:c>
      <x:c r="K1916" t="str">
        <x:v>Source min 40,28 m ; max 300,200 m ; modèle 40 × 28 m ; niveaux 0. Détails dans catalogue-existant.json.</x:v>
      </x:c>
    </x:row>
    <x:row r="1917">
      <x:c r="A1917" t="str">
        <x:v>DW-1912</x:v>
      </x:c>
      <x:c r="B1917" t="str">
        <x:v>DW-0456</x:v>
      </x:c>
      <x:c r="C1917" t="str">
        <x:v>Composition héritée</x:v>
      </x:c>
      <x:c r="D1917" t="str">
        <x:v>Loisirs et culture</x:v>
      </x:c>
      <x:c r="E1917" t="str">
        <x:v>Club de tennis — Lac et base de loisirs / première récupération passée</x:v>
      </x:c>
      <x:c r="F1917" t="n">
        <x:v>10</x:v>
      </x:c>
      <x:c r="G1917" t="n">
        <x:v>4</x:v>
      </x:c>
      <x:c r="H1917" t="n">
        <x:v>12</x:v>
      </x:c>
      <x:c r="I1917" t="str">
        <x:v>À qualifier par lieu</x:v>
      </x:c>
      <x:c r="J1917" t="str">
        <x:v>https://github.com/darknigthmare/deadwall-last-enclosure/blob/1b3b9c5ba232734b1bda3453b4e20a0481bcdd74/codex-3000/compositions/Loisirs et culture/DW-1912.md</x:v>
      </x:c>
      <x:c r="K1917" t="str">
        <x:v>Source min 40,28 m ; max 300,200 m ; modèle 40 × 28 m ; niveaux 0. Détails dans catalogue-existant.json.</x:v>
      </x:c>
    </x:row>
    <x:row r="1918">
      <x:c r="A1918" t="str">
        <x:v>DW-1913</x:v>
      </x:c>
      <x:c r="B1918" t="str">
        <x:v>DW-0457</x:v>
      </x:c>
      <x:c r="C1918" t="str">
        <x:v>Composition héritée</x:v>
      </x:c>
      <x:c r="D1918" t="str">
        <x:v>Loisirs et culture</x:v>
      </x:c>
      <x:c r="E1918" t="str">
        <x:v>Bowling — Zone de loisirs / évacuation interrompue</x:v>
      </x:c>
      <x:c r="F1918" t="n">
        <x:v>8</x:v>
      </x:c>
      <x:c r="G1918" t="n">
        <x:v>4</x:v>
      </x:c>
      <x:c r="H1918" t="n">
        <x:v>12</x:v>
      </x:c>
      <x:c r="I1918" t="str">
        <x:v>À qualifier par lieu</x:v>
      </x:c>
      <x:c r="J1918" t="str">
        <x:v>https://github.com/darknigthmare/deadwall-last-enclosure/blob/1b3b9c5ba232734b1bda3453b4e20a0481bcdd74/codex-3000/compositions/Loisirs et culture/DW-1913.md</x:v>
      </x:c>
      <x:c r="K1918" t="str">
        <x:v>Source min 40,28 m ; max 300,200 m ; modèle 40 × 28 m ; niveaux 0. Détails dans catalogue-existant.json.</x:v>
      </x:c>
    </x:row>
    <x:row r="1919">
      <x:c r="A1919" t="str">
        <x:v>DW-1914</x:v>
      </x:c>
      <x:c r="B1919" t="str">
        <x:v>DW-0457</x:v>
      </x:c>
      <x:c r="C1919" t="str">
        <x:v>Composition héritée</x:v>
      </x:c>
      <x:c r="D1919" t="str">
        <x:v>Loisirs et culture</x:v>
      </x:c>
      <x:c r="E1919" t="str">
        <x:v>Bowling — Plage et dune / service déplacé à l’arrière</x:v>
      </x:c>
      <x:c r="F1919" t="n">
        <x:v>10</x:v>
      </x:c>
      <x:c r="G1919" t="n">
        <x:v>4</x:v>
      </x:c>
      <x:c r="H1919" t="n">
        <x:v>12</x:v>
      </x:c>
      <x:c r="I1919" t="str">
        <x:v>À qualifier par lieu</x:v>
      </x:c>
      <x:c r="J1919" t="str">
        <x:v>https://github.com/darknigthmare/deadwall-last-enclosure/blob/1b3b9c5ba232734b1bda3453b4e20a0481bcdd74/codex-3000/compositions/Loisirs et culture/DW-1914.md</x:v>
      </x:c>
      <x:c r="K1919" t="str">
        <x:v>Source min 40,28 m ; max 300,200 m ; modèle 40 × 28 m ; niveaux 0. Détails dans catalogue-existant.json.</x:v>
      </x:c>
    </x:row>
    <x:row r="1920">
      <x:c r="A1920" t="str">
        <x:v>DW-1915</x:v>
      </x:c>
      <x:c r="B1920" t="str">
        <x:v>DW-0458</x:v>
      </x:c>
      <x:c r="C1920" t="str">
        <x:v>Composition héritée</x:v>
      </x:c>
      <x:c r="D1920" t="str">
        <x:v>Loisirs et culture</x:v>
      </x:c>
      <x:c r="E1920" t="str">
        <x:v>Salle d'arcade — Lac et base de loisirs / arrêt de maintenance</x:v>
      </x:c>
      <x:c r="F1920" t="n">
        <x:v>10</x:v>
      </x:c>
      <x:c r="G1920" t="n">
        <x:v>4</x:v>
      </x:c>
      <x:c r="H1920" t="n">
        <x:v>12</x:v>
      </x:c>
      <x:c r="I1920" t="str">
        <x:v>À qualifier par lieu</x:v>
      </x:c>
      <x:c r="J1920" t="str">
        <x:v>https://github.com/darknigthmare/deadwall-last-enclosure/blob/1b3b9c5ba232734b1bda3453b4e20a0481bcdd74/codex-3000/compositions/Loisirs et culture/DW-1915.md</x:v>
      </x:c>
      <x:c r="K1920" t="str">
        <x:v>Source min 40,28 m ; max 300,200 m ; modèle 40 × 28 m ; niveaux 0. Détails dans catalogue-existant.json.</x:v>
      </x:c>
    </x:row>
    <x:row r="1921">
      <x:c r="A1921" t="str">
        <x:v>DW-1916</x:v>
      </x:c>
      <x:c r="B1921" t="str">
        <x:v>DW-0458</x:v>
      </x:c>
      <x:c r="C1921" t="str">
        <x:v>Composition héritée</x:v>
      </x:c>
      <x:c r="D1921" t="str">
        <x:v>Loisirs et culture</x:v>
      </x:c>
      <x:c r="E1921" t="str">
        <x:v>Salle d'arcade — Ville moyenne / reprise progressive de la végétation</x:v>
      </x:c>
      <x:c r="F1921" t="n">
        <x:v>8</x:v>
      </x:c>
      <x:c r="G1921" t="n">
        <x:v>4</x:v>
      </x:c>
      <x:c r="H1921" t="n">
        <x:v>12</x:v>
      </x:c>
      <x:c r="I1921" t="str">
        <x:v>À qualifier par lieu</x:v>
      </x:c>
      <x:c r="J1921" t="str">
        <x:v>https://github.com/darknigthmare/deadwall-last-enclosure/blob/1b3b9c5ba232734b1bda3453b4e20a0481bcdd74/codex-3000/compositions/Loisirs et culture/DW-1916.md</x:v>
      </x:c>
      <x:c r="K1921" t="str">
        <x:v>Source min 40,28 m ; max 300,200 m ; modèle 40 × 28 m ; niveaux 0. Détails dans catalogue-existant.json.</x:v>
      </x:c>
    </x:row>
    <x:row r="1922">
      <x:c r="A1922" t="str">
        <x:v>DW-1917</x:v>
      </x:c>
      <x:c r="B1922" t="str">
        <x:v>DW-0459</x:v>
      </x:c>
      <x:c r="C1922" t="str">
        <x:v>Composition héritée</x:v>
      </x:c>
      <x:c r="D1922" t="str">
        <x:v>Loisirs et culture</x:v>
      </x:c>
      <x:c r="E1922" t="str">
        <x:v>Jardin botanique — Plage et dune / première récupération passée</x:v>
      </x:c>
      <x:c r="F1922" t="n">
        <x:v>10</x:v>
      </x:c>
      <x:c r="G1922" t="n">
        <x:v>4</x:v>
      </x:c>
      <x:c r="H1922" t="n">
        <x:v>12</x:v>
      </x:c>
      <x:c r="I1922" t="str">
        <x:v>À qualifier par lieu</x:v>
      </x:c>
      <x:c r="J1922" t="str">
        <x:v>https://github.com/darknigthmare/deadwall-last-enclosure/blob/1b3b9c5ba232734b1bda3453b4e20a0481bcdd74/codex-3000/compositions/Loisirs et culture/DW-1917.md</x:v>
      </x:c>
      <x:c r="K1922" t="str">
        <x:v>Source min 40,28 m ; max 300,200 m ; modèle 40 × 28 m ; niveaux 0. Détails dans catalogue-existant.json.</x:v>
      </x:c>
    </x:row>
    <x:row r="1923">
      <x:c r="A1923" t="str">
        <x:v>DW-1918</x:v>
      </x:c>
      <x:c r="B1923" t="str">
        <x:v>DW-0459</x:v>
      </x:c>
      <x:c r="C1923" t="str">
        <x:v>Composition héritée</x:v>
      </x:c>
      <x:c r="D1923" t="str">
        <x:v>Loisirs et culture</x:v>
      </x:c>
      <x:c r="E1923" t="str">
        <x:v>Jardin botanique — Zone de loisirs / relais temporaire envisagé</x:v>
      </x:c>
      <x:c r="F1923" t="n">
        <x:v>8</x:v>
      </x:c>
      <x:c r="G1923" t="n">
        <x:v>4</x:v>
      </x:c>
      <x:c r="H1923" t="n">
        <x:v>12</x:v>
      </x:c>
      <x:c r="I1923" t="str">
        <x:v>À qualifier par lieu</x:v>
      </x:c>
      <x:c r="J1923" t="str">
        <x:v>https://github.com/darknigthmare/deadwall-last-enclosure/blob/1b3b9c5ba232734b1bda3453b4e20a0481bcdd74/codex-3000/compositions/Loisirs et culture/DW-1918.md</x:v>
      </x:c>
      <x:c r="K1923" t="str">
        <x:v>Source min 40,28 m ; max 300,200 m ; modèle 40 × 28 m ; niveaux 0. Détails dans catalogue-existant.json.</x:v>
      </x:c>
    </x:row>
    <x:row r="1924">
      <x:c r="A1924" t="str">
        <x:v>DW-1919</x:v>
      </x:c>
      <x:c r="B1924" t="str">
        <x:v>DW-0460</x:v>
      </x:c>
      <x:c r="C1924" t="str">
        <x:v>Composition héritée</x:v>
      </x:c>
      <x:c r="D1924" t="str">
        <x:v>Loisirs et culture</x:v>
      </x:c>
      <x:c r="E1924" t="str">
        <x:v>Cimetière paysager — Ville moyenne / service déplacé à l’arrière</x:v>
      </x:c>
      <x:c r="F1924" t="n">
        <x:v>8</x:v>
      </x:c>
      <x:c r="G1924" t="n">
        <x:v>4</x:v>
      </x:c>
      <x:c r="H1924" t="n">
        <x:v>10</x:v>
      </x:c>
      <x:c r="I1924" t="str">
        <x:v>À qualifier par lieu</x:v>
      </x:c>
      <x:c r="J1924" t="str">
        <x:v>https://github.com/darknigthmare/deadwall-last-enclosure/blob/1b3b9c5ba232734b1bda3453b4e20a0481bcdd74/codex-3000/compositions/Loisirs et culture/DW-1919.md</x:v>
      </x:c>
      <x:c r="K1924" t="str">
        <x:v>Source min 40,28 m ; max 300,200 m ; modèle 40 × 28 m ; niveaux 0. Détails dans catalogue-existant.json.</x:v>
      </x:c>
    </x:row>
    <x:row r="1925">
      <x:c r="A1925" t="str">
        <x:v>DW-1920</x:v>
      </x:c>
      <x:c r="B1925" t="str">
        <x:v>DW-0460</x:v>
      </x:c>
      <x:c r="C1925" t="str">
        <x:v>Composition héritée</x:v>
      </x:c>
      <x:c r="D1925" t="str">
        <x:v>Loisirs et culture</x:v>
      </x:c>
      <x:c r="E1925" t="str">
        <x:v>Cimetière paysager — Lac et base de loisirs / réseau principal coupé</x:v>
      </x:c>
      <x:c r="F1925" t="n">
        <x:v>10</x:v>
      </x:c>
      <x:c r="G1925" t="n">
        <x:v>4</x:v>
      </x:c>
      <x:c r="H1925" t="n">
        <x:v>10</x:v>
      </x:c>
      <x:c r="I1925" t="str">
        <x:v>À qualifier par lieu</x:v>
      </x:c>
      <x:c r="J1925" t="str">
        <x:v>https://github.com/darknigthmare/deadwall-last-enclosure/blob/1b3b9c5ba232734b1bda3453b4e20a0481bcdd74/codex-3000/compositions/Loisirs et culture/DW-1920.md</x:v>
      </x:c>
      <x:c r="K1925" t="str">
        <x:v>Source min 40,28 m ; max 300,200 m ; modèle 40 × 28 m ; niveaux 0. Détails dans catalogue-existant.json.</x:v>
      </x:c>
    </x:row>
    <x:row r="1926">
      <x:c r="A1926" t="str">
        <x:v>DW-1921</x:v>
      </x:c>
      <x:c r="B1926" t="str">
        <x:v>DW-0461</x:v>
      </x:c>
      <x:c r="C1926" t="str">
        <x:v>Composition héritée</x:v>
      </x:c>
      <x:c r="D1926" t="str">
        <x:v>Quartiers et agglomérations</x:v>
      </x:c>
      <x:c r="E1926" t="str">
        <x:v>Village-rue — Hameau / reprise progressive de la végétation</x:v>
      </x:c>
      <x:c r="F1926" t="n">
        <x:v>10</x:v>
      </x:c>
      <x:c r="G1926" t="n">
        <x:v>5</x:v>
      </x:c>
      <x:c r="H1926" t="n">
        <x:v>15</x:v>
      </x:c>
      <x:c r="I1926" t="str">
        <x:v>À qualifier par lieu</x:v>
      </x:c>
      <x:c r="J1926" t="str">
        <x:v>https://github.com/darknigthmare/deadwall-last-enclosure/blob/1b3b9c5ba232734b1bda3453b4e20a0481bcdd74/codex-3000/compositions/Quartiers et agglomérations/DW-1921.md</x:v>
      </x:c>
      <x:c r="K1926" t="str">
        <x:v>Source min 250,200 m ; max 1200,900 m ; modèle 250 × 200 m ; niveaux 0. Détails dans catalogue-existant.json.</x:v>
      </x:c>
    </x:row>
    <x:row r="1927">
      <x:c r="A1927" t="str">
        <x:v>DW-1922</x:v>
      </x:c>
      <x:c r="B1927" t="str">
        <x:v>DW-0461</x:v>
      </x:c>
      <x:c r="C1927" t="str">
        <x:v>Composition héritée</x:v>
      </x:c>
      <x:c r="D1927" t="str">
        <x:v>Quartiers et agglomérations</x:v>
      </x:c>
      <x:c r="E1927" t="str">
        <x:v>Village-rue — Ville moyenne / repli organisé interrompu</x:v>
      </x:c>
      <x:c r="F1927" t="n">
        <x:v>10</x:v>
      </x:c>
      <x:c r="G1927" t="n">
        <x:v>5</x:v>
      </x:c>
      <x:c r="H1927" t="n">
        <x:v>15</x:v>
      </x:c>
      <x:c r="I1927" t="str">
        <x:v>À qualifier par lieu</x:v>
      </x:c>
      <x:c r="J1927" t="str">
        <x:v>https://github.com/darknigthmare/deadwall-last-enclosure/blob/1b3b9c5ba232734b1bda3453b4e20a0481bcdd74/codex-3000/compositions/Quartiers et agglomérations/DW-1922.md</x:v>
      </x:c>
      <x:c r="K1927" t="str">
        <x:v>Source min 250,200 m ; max 1200,900 m ; modèle 250 × 200 m ; niveaux 0. Détails dans catalogue-existant.json.</x:v>
      </x:c>
    </x:row>
    <x:row r="1928">
      <x:c r="A1928" t="str">
        <x:v>DW-1923</x:v>
      </x:c>
      <x:c r="B1928" t="str">
        <x:v>DW-0462</x:v>
      </x:c>
      <x:c r="C1928" t="str">
        <x:v>Composition héritée</x:v>
      </x:c>
      <x:c r="D1928" t="str">
        <x:v>Quartiers et agglomérations</x:v>
      </x:c>
      <x:c r="E1928" t="str">
        <x:v>Village autour d'une place — Village et bourg / relais temporaire envisagé</x:v>
      </x:c>
      <x:c r="F1928" t="n">
        <x:v>10</x:v>
      </x:c>
      <x:c r="G1928" t="n">
        <x:v>5</x:v>
      </x:c>
      <x:c r="H1928" t="n">
        <x:v>15</x:v>
      </x:c>
      <x:c r="I1928" t="str">
        <x:v>À qualifier par lieu</x:v>
      </x:c>
      <x:c r="J1928" t="str">
        <x:v>https://github.com/darknigthmare/deadwall-last-enclosure/blob/1b3b9c5ba232734b1bda3453b4e20a0481bcdd74/codex-3000/compositions/Quartiers et agglomérations/DW-1923.md</x:v>
      </x:c>
      <x:c r="K1928" t="str">
        <x:v>Source min 250,200 m ; max 1200,900 m ; modèle 250 × 200 m ; niveaux 0. Détails dans catalogue-existant.json.</x:v>
      </x:c>
    </x:row>
    <x:row r="1929">
      <x:c r="A1929" t="str">
        <x:v>DW-1924</x:v>
      </x:c>
      <x:c r="B1929" t="str">
        <x:v>DW-0462</x:v>
      </x:c>
      <x:c r="C1929" t="str">
        <x:v>Composition héritée</x:v>
      </x:c>
      <x:c r="D1929" t="str">
        <x:v>Quartiers et agglomérations</x:v>
      </x:c>
      <x:c r="E1929" t="str">
        <x:v>Village autour d'une place — Grande ville et métropole / évacuation interrompue</x:v>
      </x:c>
      <x:c r="F1929" t="n">
        <x:v>10</x:v>
      </x:c>
      <x:c r="G1929" t="n">
        <x:v>5</x:v>
      </x:c>
      <x:c r="H1929" t="n">
        <x:v>15</x:v>
      </x:c>
      <x:c r="I1929" t="str">
        <x:v>À qualifier par lieu</x:v>
      </x:c>
      <x:c r="J1929" t="str">
        <x:v>https://github.com/darknigthmare/deadwall-last-enclosure/blob/1b3b9c5ba232734b1bda3453b4e20a0481bcdd74/codex-3000/compositions/Quartiers et agglomérations/DW-1924.md</x:v>
      </x:c>
      <x:c r="K1929" t="str">
        <x:v>Source min 250,200 m ; max 1200,900 m ; modèle 250 × 200 m ; niveaux 0. Détails dans catalogue-existant.json.</x:v>
      </x:c>
    </x:row>
    <x:row r="1930">
      <x:c r="A1930" t="str">
        <x:v>DW-1925</x:v>
      </x:c>
      <x:c r="B1930" t="str">
        <x:v>DW-0463</x:v>
      </x:c>
      <x:c r="C1930" t="str">
        <x:v>Composition héritée</x:v>
      </x:c>
      <x:c r="D1930" t="str">
        <x:v>Quartiers et agglomérations</x:v>
      </x:c>
      <x:c r="E1930" t="str">
        <x:v>Village agricole dispersé — Ville moyenne / réseau principal coupé</x:v>
      </x:c>
      <x:c r="F1930" t="n">
        <x:v>10</x:v>
      </x:c>
      <x:c r="G1930" t="n">
        <x:v>4</x:v>
      </x:c>
      <x:c r="H1930" t="n">
        <x:v>12</x:v>
      </x:c>
      <x:c r="I1930" t="str">
        <x:v>À qualifier par lieu</x:v>
      </x:c>
      <x:c r="J1930" t="str">
        <x:v>https://github.com/darknigthmare/deadwall-last-enclosure/blob/1b3b9c5ba232734b1bda3453b4e20a0481bcdd74/codex-3000/compositions/Quartiers et agglomérations/DW-1925.md</x:v>
      </x:c>
      <x:c r="K1930" t="str">
        <x:v>Source min 250,200 m ; max 1200,900 m ; modèle 250 × 200 m ; niveaux 0. Détails dans catalogue-existant.json.</x:v>
      </x:c>
    </x:row>
    <x:row r="1931">
      <x:c r="A1931" t="str">
        <x:v>DW-1926</x:v>
      </x:c>
      <x:c r="B1931" t="str">
        <x:v>DW-0463</x:v>
      </x:c>
      <x:c r="C1931" t="str">
        <x:v>Composition héritée</x:v>
      </x:c>
      <x:c r="D1931" t="str">
        <x:v>Quartiers et agglomérations</x:v>
      </x:c>
      <x:c r="E1931" t="str">
        <x:v>Village agricole dispersé — Hameau / arrêt de maintenance</x:v>
      </x:c>
      <x:c r="F1931" t="n">
        <x:v>10</x:v>
      </x:c>
      <x:c r="G1931" t="n">
        <x:v>4</x:v>
      </x:c>
      <x:c r="H1931" t="n">
        <x:v>12</x:v>
      </x:c>
      <x:c r="I1931" t="str">
        <x:v>À qualifier par lieu</x:v>
      </x:c>
      <x:c r="J1931" t="str">
        <x:v>https://github.com/darknigthmare/deadwall-last-enclosure/blob/1b3b9c5ba232734b1bda3453b4e20a0481bcdd74/codex-3000/compositions/Quartiers et agglomérations/DW-1926.md</x:v>
      </x:c>
      <x:c r="K1931" t="str">
        <x:v>Source min 250,200 m ; max 1200,900 m ; modèle 250 × 200 m ; niveaux 0. Détails dans catalogue-existant.json.</x:v>
      </x:c>
    </x:row>
    <x:row r="1932">
      <x:c r="A1932" t="str">
        <x:v>DW-1927</x:v>
      </x:c>
      <x:c r="B1932" t="str">
        <x:v>DW-0464</x:v>
      </x:c>
      <x:c r="C1932" t="str">
        <x:v>Composition héritée</x:v>
      </x:c>
      <x:c r="D1932" t="str">
        <x:v>Quartiers et agglomérations</x:v>
      </x:c>
      <x:c r="E1932" t="str">
        <x:v>Village perché — Grande ville et métropole / repli organisé interrompu</x:v>
      </x:c>
      <x:c r="F1932" t="n">
        <x:v>10</x:v>
      </x:c>
      <x:c r="G1932" t="n">
        <x:v>4</x:v>
      </x:c>
      <x:c r="H1932" t="n">
        <x:v>10</x:v>
      </x:c>
      <x:c r="I1932" t="str">
        <x:v>À qualifier par lieu</x:v>
      </x:c>
      <x:c r="J1932" t="str">
        <x:v>https://github.com/darknigthmare/deadwall-last-enclosure/blob/1b3b9c5ba232734b1bda3453b4e20a0481bcdd74/codex-3000/compositions/Quartiers et agglomérations/DW-1927.md</x:v>
      </x:c>
      <x:c r="K1932" t="str">
        <x:v>Source min 250,200 m ; max 1200,900 m ; modèle 250 × 200 m ; niveaux 0. Détails dans catalogue-existant.json.</x:v>
      </x:c>
    </x:row>
    <x:row r="1933">
      <x:c r="A1933" t="str">
        <x:v>DW-1928</x:v>
      </x:c>
      <x:c r="B1933" t="str">
        <x:v>DW-0464</x:v>
      </x:c>
      <x:c r="C1933" t="str">
        <x:v>Composition héritée</x:v>
      </x:c>
      <x:c r="D1933" t="str">
        <x:v>Quartiers et agglomérations</x:v>
      </x:c>
      <x:c r="E1933" t="str">
        <x:v>Village perché — Village et bourg / première récupération passée</x:v>
      </x:c>
      <x:c r="F1933" t="n">
        <x:v>10</x:v>
      </x:c>
      <x:c r="G1933" t="n">
        <x:v>4</x:v>
      </x:c>
      <x:c r="H1933" t="n">
        <x:v>10</x:v>
      </x:c>
      <x:c r="I1933" t="str">
        <x:v>À qualifier par lieu</x:v>
      </x:c>
      <x:c r="J1933" t="str">
        <x:v>https://github.com/darknigthmare/deadwall-last-enclosure/blob/1b3b9c5ba232734b1bda3453b4e20a0481bcdd74/codex-3000/compositions/Quartiers et agglomérations/DW-1928.md</x:v>
      </x:c>
      <x:c r="K1933" t="str">
        <x:v>Source min 250,200 m ; max 1200,900 m ; modèle 250 × 200 m ; niveaux 0. Détails dans catalogue-existant.json.</x:v>
      </x:c>
    </x:row>
    <x:row r="1934">
      <x:c r="A1934" t="str">
        <x:v>DW-1929</x:v>
      </x:c>
      <x:c r="B1934" t="str">
        <x:v>DW-0465</x:v>
      </x:c>
      <x:c r="C1934" t="str">
        <x:v>Composition héritée</x:v>
      </x:c>
      <x:c r="D1934" t="str">
        <x:v>Quartiers et agglomérations</x:v>
      </x:c>
      <x:c r="E1934" t="str">
        <x:v>Village forestier — Hameau / évacuation interrompue</x:v>
      </x:c>
      <x:c r="F1934" t="n">
        <x:v>10</x:v>
      </x:c>
      <x:c r="G1934" t="n">
        <x:v>4</x:v>
      </x:c>
      <x:c r="H1934" t="n">
        <x:v>12</x:v>
      </x:c>
      <x:c r="I1934" t="str">
        <x:v>À qualifier par lieu</x:v>
      </x:c>
      <x:c r="J1934" t="str">
        <x:v>https://github.com/darknigthmare/deadwall-last-enclosure/blob/1b3b9c5ba232734b1bda3453b4e20a0481bcdd74/codex-3000/compositions/Quartiers et agglomérations/DW-1929.md</x:v>
      </x:c>
      <x:c r="K1934" t="str">
        <x:v>Source min 250,200 m ; max 1200,900 m ; modèle 250 × 200 m ; niveaux 0. Détails dans catalogue-existant.json.</x:v>
      </x:c>
    </x:row>
    <x:row r="1935">
      <x:c r="A1935" t="str">
        <x:v>DW-1930</x:v>
      </x:c>
      <x:c r="B1935" t="str">
        <x:v>DW-0465</x:v>
      </x:c>
      <x:c r="C1935" t="str">
        <x:v>Composition héritée</x:v>
      </x:c>
      <x:c r="D1935" t="str">
        <x:v>Quartiers et agglomérations</x:v>
      </x:c>
      <x:c r="E1935" t="str">
        <x:v>Village forestier — Ville moyenne / service déplacé à l’arrière</x:v>
      </x:c>
      <x:c r="F1935" t="n">
        <x:v>10</x:v>
      </x:c>
      <x:c r="G1935" t="n">
        <x:v>4</x:v>
      </x:c>
      <x:c r="H1935" t="n">
        <x:v>12</x:v>
      </x:c>
      <x:c r="I1935" t="str">
        <x:v>À qualifier par lieu</x:v>
      </x:c>
      <x:c r="J1935" t="str">
        <x:v>https://github.com/darknigthmare/deadwall-last-enclosure/blob/1b3b9c5ba232734b1bda3453b4e20a0481bcdd74/codex-3000/compositions/Quartiers et agglomérations/DW-1930.md</x:v>
      </x:c>
      <x:c r="K1935" t="str">
        <x:v>Source min 250,200 m ; max 1200,900 m ; modèle 250 × 200 m ; niveaux 0. Détails dans catalogue-existant.json.</x:v>
      </x:c>
    </x:row>
    <x:row r="1936">
      <x:c r="A1936" t="str">
        <x:v>DW-1931</x:v>
      </x:c>
      <x:c r="B1936" t="str">
        <x:v>DW-0466</x:v>
      </x:c>
      <x:c r="C1936" t="str">
        <x:v>Composition héritée</x:v>
      </x:c>
      <x:c r="D1936" t="str">
        <x:v>Quartiers et agglomérations</x:v>
      </x:c>
      <x:c r="E1936" t="str">
        <x:v>Village minier reconverti — Village et bourg / arrêt de maintenance</x:v>
      </x:c>
      <x:c r="F1936" t="n">
        <x:v>10</x:v>
      </x:c>
      <x:c r="G1936" t="n">
        <x:v>4</x:v>
      </x:c>
      <x:c r="H1936" t="n">
        <x:v>12</x:v>
      </x:c>
      <x:c r="I1936" t="str">
        <x:v>À qualifier par lieu</x:v>
      </x:c>
      <x:c r="J1936" t="str">
        <x:v>https://github.com/darknigthmare/deadwall-last-enclosure/blob/1b3b9c5ba232734b1bda3453b4e20a0481bcdd74/codex-3000/compositions/Quartiers et agglomérations/DW-1931.md</x:v>
      </x:c>
      <x:c r="K1936" t="str">
        <x:v>Source min 250,200 m ; max 1200,900 m ; modèle 250 × 200 m ; niveaux 0. Détails dans catalogue-existant.json.</x:v>
      </x:c>
    </x:row>
    <x:row r="1937">
      <x:c r="A1937" t="str">
        <x:v>DW-1932</x:v>
      </x:c>
      <x:c r="B1937" t="str">
        <x:v>DW-0466</x:v>
      </x:c>
      <x:c r="C1937" t="str">
        <x:v>Composition héritée</x:v>
      </x:c>
      <x:c r="D1937" t="str">
        <x:v>Quartiers et agglomérations</x:v>
      </x:c>
      <x:c r="E1937" t="str">
        <x:v>Village minier reconverti — Grande ville et métropole / reprise progressive de la végétation</x:v>
      </x:c>
      <x:c r="F1937" t="n">
        <x:v>10</x:v>
      </x:c>
      <x:c r="G1937" t="n">
        <x:v>4</x:v>
      </x:c>
      <x:c r="H1937" t="n">
        <x:v>12</x:v>
      </x:c>
      <x:c r="I1937" t="str">
        <x:v>À qualifier par lieu</x:v>
      </x:c>
      <x:c r="J1937" t="str">
        <x:v>https://github.com/darknigthmare/deadwall-last-enclosure/blob/1b3b9c5ba232734b1bda3453b4e20a0481bcdd74/codex-3000/compositions/Quartiers et agglomérations/DW-1932.md</x:v>
      </x:c>
      <x:c r="K1937" t="str">
        <x:v>Source min 250,200 m ; max 1200,900 m ; modèle 250 × 200 m ; niveaux 0. Détails dans catalogue-existant.json.</x:v>
      </x:c>
    </x:row>
    <x:row r="1938">
      <x:c r="A1938" t="str">
        <x:v>DW-1933</x:v>
      </x:c>
      <x:c r="B1938" t="str">
        <x:v>DW-0467</x:v>
      </x:c>
      <x:c r="C1938" t="str">
        <x:v>Composition héritée</x:v>
      </x:c>
      <x:c r="D1938" t="str">
        <x:v>Quartiers et agglomérations</x:v>
      </x:c>
      <x:c r="E1938" t="str">
        <x:v>Village côtier — Ville moyenne / première récupération passée</x:v>
      </x:c>
      <x:c r="F1938" t="n">
        <x:v>10</x:v>
      </x:c>
      <x:c r="G1938" t="n">
        <x:v>4</x:v>
      </x:c>
      <x:c r="H1938" t="n">
        <x:v>12</x:v>
      </x:c>
      <x:c r="I1938" t="str">
        <x:v>À qualifier par lieu</x:v>
      </x:c>
      <x:c r="J1938" t="str">
        <x:v>https://github.com/darknigthmare/deadwall-last-enclosure/blob/1b3b9c5ba232734b1bda3453b4e20a0481bcdd74/codex-3000/compositions/Quartiers et agglomérations/DW-1933.md</x:v>
      </x:c>
      <x:c r="K1938" t="str">
        <x:v>Source min 250,200 m ; max 1200,900 m ; modèle 250 × 200 m ; niveaux 0. Détails dans catalogue-existant.json.</x:v>
      </x:c>
    </x:row>
    <x:row r="1939">
      <x:c r="A1939" t="str">
        <x:v>DW-1934</x:v>
      </x:c>
      <x:c r="B1939" t="str">
        <x:v>DW-0467</x:v>
      </x:c>
      <x:c r="C1939" t="str">
        <x:v>Composition héritée</x:v>
      </x:c>
      <x:c r="D1939" t="str">
        <x:v>Quartiers et agglomérations</x:v>
      </x:c>
      <x:c r="E1939" t="str">
        <x:v>Village côtier — Hameau / relais temporaire envisagé</x:v>
      </x:c>
      <x:c r="F1939" t="n">
        <x:v>10</x:v>
      </x:c>
      <x:c r="G1939" t="n">
        <x:v>4</x:v>
      </x:c>
      <x:c r="H1939" t="n">
        <x:v>12</x:v>
      </x:c>
      <x:c r="I1939" t="str">
        <x:v>À qualifier par lieu</x:v>
      </x:c>
      <x:c r="J1939" t="str">
        <x:v>https://github.com/darknigthmare/deadwall-last-enclosure/blob/1b3b9c5ba232734b1bda3453b4e20a0481bcdd74/codex-3000/compositions/Quartiers et agglomérations/DW-1934.md</x:v>
      </x:c>
      <x:c r="K1939" t="str">
        <x:v>Source min 250,200 m ; max 1200,900 m ; modèle 250 × 200 m ; niveaux 0. Détails dans catalogue-existant.json.</x:v>
      </x:c>
    </x:row>
    <x:row r="1940">
      <x:c r="A1940" t="str">
        <x:v>DW-1935</x:v>
      </x:c>
      <x:c r="B1940" t="str">
        <x:v>DW-0468</x:v>
      </x:c>
      <x:c r="C1940" t="str">
        <x:v>Composition héritée</x:v>
      </x:c>
      <x:c r="D1940" t="str">
        <x:v>Quartiers et agglomérations</x:v>
      </x:c>
      <x:c r="E1940" t="str">
        <x:v>Bourg ferroviaire — Grande ville et métropole / service déplacé à l’arrière</x:v>
      </x:c>
      <x:c r="F1940" t="n">
        <x:v>10</x:v>
      </x:c>
      <x:c r="G1940" t="n">
        <x:v>4</x:v>
      </x:c>
      <x:c r="H1940" t="n">
        <x:v>12</x:v>
      </x:c>
      <x:c r="I1940" t="str">
        <x:v>À qualifier par lieu</x:v>
      </x:c>
      <x:c r="J1940" t="str">
        <x:v>https://github.com/darknigthmare/deadwall-last-enclosure/blob/1b3b9c5ba232734b1bda3453b4e20a0481bcdd74/codex-3000/compositions/Quartiers et agglomérations/DW-1935.md</x:v>
      </x:c>
      <x:c r="K1940" t="str">
        <x:v>Source min 250,200 m ; max 1200,900 m ; modèle 250 × 200 m ; niveaux 0. Détails dans catalogue-existant.json.</x:v>
      </x:c>
    </x:row>
    <x:row r="1941">
      <x:c r="A1941" t="str">
        <x:v>DW-1936</x:v>
      </x:c>
      <x:c r="B1941" t="str">
        <x:v>DW-0468</x:v>
      </x:c>
      <x:c r="C1941" t="str">
        <x:v>Composition héritée</x:v>
      </x:c>
      <x:c r="D1941" t="str">
        <x:v>Quartiers et agglomérations</x:v>
      </x:c>
      <x:c r="E1941" t="str">
        <x:v>Bourg ferroviaire — Village et bourg / réseau principal coupé</x:v>
      </x:c>
      <x:c r="F1941" t="n">
        <x:v>10</x:v>
      </x:c>
      <x:c r="G1941" t="n">
        <x:v>4</x:v>
      </x:c>
      <x:c r="H1941" t="n">
        <x:v>12</x:v>
      </x:c>
      <x:c r="I1941" t="str">
        <x:v>À qualifier par lieu</x:v>
      </x:c>
      <x:c r="J1941" t="str">
        <x:v>https://github.com/darknigthmare/deadwall-last-enclosure/blob/1b3b9c5ba232734b1bda3453b4e20a0481bcdd74/codex-3000/compositions/Quartiers et agglomérations/DW-1936.md</x:v>
      </x:c>
      <x:c r="K1941" t="str">
        <x:v>Source min 250,200 m ; max 1200,900 m ; modèle 250 × 200 m ; niveaux 0. Détails dans catalogue-existant.json.</x:v>
      </x:c>
    </x:row>
    <x:row r="1942">
      <x:c r="A1942" t="str">
        <x:v>DW-1937</x:v>
      </x:c>
      <x:c r="B1942" t="str">
        <x:v>DW-0469</x:v>
      </x:c>
      <x:c r="C1942" t="str">
        <x:v>Composition héritée</x:v>
      </x:c>
      <x:c r="D1942" t="str">
        <x:v>Quartiers et agglomérations</x:v>
      </x:c>
      <x:c r="E1942" t="str">
        <x:v>Bourg de carrefour — Hameau / reprise progressive de la végétation</x:v>
      </x:c>
      <x:c r="F1942" t="n">
        <x:v>10</x:v>
      </x:c>
      <x:c r="G1942" t="n">
        <x:v>4</x:v>
      </x:c>
      <x:c r="H1942" t="n">
        <x:v>12</x:v>
      </x:c>
      <x:c r="I1942" t="str">
        <x:v>À qualifier par lieu</x:v>
      </x:c>
      <x:c r="J1942" t="str">
        <x:v>https://github.com/darknigthmare/deadwall-last-enclosure/blob/1b3b9c5ba232734b1bda3453b4e20a0481bcdd74/codex-3000/compositions/Quartiers et agglomérations/DW-1937.md</x:v>
      </x:c>
      <x:c r="K1942" t="str">
        <x:v>Source min 250,200 m ; max 1200,900 m ; modèle 250 × 200 m ; niveaux 0. Détails dans catalogue-existant.json.</x:v>
      </x:c>
    </x:row>
    <x:row r="1943">
      <x:c r="A1943" t="str">
        <x:v>DW-1938</x:v>
      </x:c>
      <x:c r="B1943" t="str">
        <x:v>DW-0469</x:v>
      </x:c>
      <x:c r="C1943" t="str">
        <x:v>Composition héritée</x:v>
      </x:c>
      <x:c r="D1943" t="str">
        <x:v>Quartiers et agglomérations</x:v>
      </x:c>
      <x:c r="E1943" t="str">
        <x:v>Bourg de carrefour — Ville moyenne / repli organisé interrompu</x:v>
      </x:c>
      <x:c r="F1943" t="n">
        <x:v>10</x:v>
      </x:c>
      <x:c r="G1943" t="n">
        <x:v>4</x:v>
      </x:c>
      <x:c r="H1943" t="n">
        <x:v>12</x:v>
      </x:c>
      <x:c r="I1943" t="str">
        <x:v>À qualifier par lieu</x:v>
      </x:c>
      <x:c r="J1943" t="str">
        <x:v>https://github.com/darknigthmare/deadwall-last-enclosure/blob/1b3b9c5ba232734b1bda3453b4e20a0481bcdd74/codex-3000/compositions/Quartiers et agglomérations/DW-1938.md</x:v>
      </x:c>
      <x:c r="K1943" t="str">
        <x:v>Source min 250,200 m ; max 1200,900 m ; modèle 250 × 200 m ; niveaux 0. Détails dans catalogue-existant.json.</x:v>
      </x:c>
    </x:row>
    <x:row r="1944">
      <x:c r="A1944" t="str">
        <x:v>DW-1939</x:v>
      </x:c>
      <x:c r="B1944" t="str">
        <x:v>DW-0470</x:v>
      </x:c>
      <x:c r="C1944" t="str">
        <x:v>Composition héritée</x:v>
      </x:c>
      <x:c r="D1944" t="str">
        <x:v>Quartiers et agglomérations</x:v>
      </x:c>
      <x:c r="E1944" t="str">
        <x:v>Hameau de montagne — Village et bourg / relais temporaire envisagé</x:v>
      </x:c>
      <x:c r="F1944" t="n">
        <x:v>10</x:v>
      </x:c>
      <x:c r="G1944" t="n">
        <x:v>4</x:v>
      </x:c>
      <x:c r="H1944" t="n">
        <x:v>12</x:v>
      </x:c>
      <x:c r="I1944" t="str">
        <x:v>À qualifier par lieu</x:v>
      </x:c>
      <x:c r="J1944" t="str">
        <x:v>https://github.com/darknigthmare/deadwall-last-enclosure/blob/1b3b9c5ba232734b1bda3453b4e20a0481bcdd74/codex-3000/compositions/Quartiers et agglomérations/DW-1939.md</x:v>
      </x:c>
      <x:c r="K1944" t="str">
        <x:v>Source min 250,200 m ; max 1200,900 m ; modèle 250 × 200 m ; niveaux 0. Détails dans catalogue-existant.json.</x:v>
      </x:c>
    </x:row>
    <x:row r="1945">
      <x:c r="A1945" t="str">
        <x:v>DW-1940</x:v>
      </x:c>
      <x:c r="B1945" t="str">
        <x:v>DW-0470</x:v>
      </x:c>
      <x:c r="C1945" t="str">
        <x:v>Composition héritée</x:v>
      </x:c>
      <x:c r="D1945" t="str">
        <x:v>Quartiers et agglomérations</x:v>
      </x:c>
      <x:c r="E1945" t="str">
        <x:v>Hameau de montagne — Grande ville et métropole / évacuation interrompue</x:v>
      </x:c>
      <x:c r="F1945" t="n">
        <x:v>10</x:v>
      </x:c>
      <x:c r="G1945" t="n">
        <x:v>4</x:v>
      </x:c>
      <x:c r="H1945" t="n">
        <x:v>12</x:v>
      </x:c>
      <x:c r="I1945" t="str">
        <x:v>À qualifier par lieu</x:v>
      </x:c>
      <x:c r="J1945" t="str">
        <x:v>https://github.com/darknigthmare/deadwall-last-enclosure/blob/1b3b9c5ba232734b1bda3453b4e20a0481bcdd74/codex-3000/compositions/Quartiers et agglomérations/DW-1940.md</x:v>
      </x:c>
      <x:c r="K1945" t="str">
        <x:v>Source min 250,200 m ; max 1200,900 m ; modèle 250 × 200 m ; niveaux 0. Détails dans catalogue-existant.json.</x:v>
      </x:c>
    </x:row>
    <x:row r="1946">
      <x:c r="A1946" t="str">
        <x:v>DW-1941</x:v>
      </x:c>
      <x:c r="B1946" t="str">
        <x:v>DW-0471</x:v>
      </x:c>
      <x:c r="C1946" t="str">
        <x:v>Composition héritée</x:v>
      </x:c>
      <x:c r="D1946" t="str">
        <x:v>Quartiers et agglomérations</x:v>
      </x:c>
      <x:c r="E1946" t="str">
        <x:v>Lotissement périurbain — Ville moyenne / réseau principal coupé</x:v>
      </x:c>
      <x:c r="F1946" t="n">
        <x:v>10</x:v>
      </x:c>
      <x:c r="G1946" t="n">
        <x:v>4</x:v>
      </x:c>
      <x:c r="H1946" t="n">
        <x:v>12</x:v>
      </x:c>
      <x:c r="I1946" t="str">
        <x:v>À qualifier par lieu</x:v>
      </x:c>
      <x:c r="J1946" t="str">
        <x:v>https://github.com/darknigthmare/deadwall-last-enclosure/blob/1b3b9c5ba232734b1bda3453b4e20a0481bcdd74/codex-3000/compositions/Quartiers et agglomérations/DW-1941.md</x:v>
      </x:c>
      <x:c r="K1946" t="str">
        <x:v>Source min 250,200 m ; max 1200,900 m ; modèle 250 × 200 m ; niveaux 0. Détails dans catalogue-existant.json.</x:v>
      </x:c>
    </x:row>
    <x:row r="1947">
      <x:c r="A1947" t="str">
        <x:v>DW-1942</x:v>
      </x:c>
      <x:c r="B1947" t="str">
        <x:v>DW-0471</x:v>
      </x:c>
      <x:c r="C1947" t="str">
        <x:v>Composition héritée</x:v>
      </x:c>
      <x:c r="D1947" t="str">
        <x:v>Quartiers et agglomérations</x:v>
      </x:c>
      <x:c r="E1947" t="str">
        <x:v>Lotissement périurbain — Hameau / arrêt de maintenance</x:v>
      </x:c>
      <x:c r="F1947" t="n">
        <x:v>10</x:v>
      </x:c>
      <x:c r="G1947" t="n">
        <x:v>4</x:v>
      </x:c>
      <x:c r="H1947" t="n">
        <x:v>12</x:v>
      </x:c>
      <x:c r="I1947" t="str">
        <x:v>À qualifier par lieu</x:v>
      </x:c>
      <x:c r="J1947" t="str">
        <x:v>https://github.com/darknigthmare/deadwall-last-enclosure/blob/1b3b9c5ba232734b1bda3453b4e20a0481bcdd74/codex-3000/compositions/Quartiers et agglomérations/DW-1942.md</x:v>
      </x:c>
      <x:c r="K1947" t="str">
        <x:v>Source min 250,200 m ; max 1200,900 m ; modèle 250 × 200 m ; niveaux 0. Détails dans catalogue-existant.json.</x:v>
      </x:c>
    </x:row>
    <x:row r="1948">
      <x:c r="A1948" t="str">
        <x:v>DW-1943</x:v>
      </x:c>
      <x:c r="B1948" t="str">
        <x:v>DW-0472</x:v>
      </x:c>
      <x:c r="C1948" t="str">
        <x:v>Composition héritée</x:v>
      </x:c>
      <x:c r="D1948" t="str">
        <x:v>Quartiers et agglomérations</x:v>
      </x:c>
      <x:c r="E1948" t="str">
        <x:v>Quartier pavillonnaire ancien — Grande ville et métropole / repli organisé interrompu</x:v>
      </x:c>
      <x:c r="F1948" t="n">
        <x:v>10</x:v>
      </x:c>
      <x:c r="G1948" t="n">
        <x:v>4</x:v>
      </x:c>
      <x:c r="H1948" t="n">
        <x:v>12</x:v>
      </x:c>
      <x:c r="I1948" t="str">
        <x:v>À qualifier par lieu</x:v>
      </x:c>
      <x:c r="J1948" t="str">
        <x:v>https://github.com/darknigthmare/deadwall-last-enclosure/blob/1b3b9c5ba232734b1bda3453b4e20a0481bcdd74/codex-3000/compositions/Quartiers et agglomérations/DW-1943.md</x:v>
      </x:c>
      <x:c r="K1948" t="str">
        <x:v>Source min 250,200 m ; max 1200,900 m ; modèle 250 × 200 m ; niveaux 0. Détails dans catalogue-existant.json.</x:v>
      </x:c>
    </x:row>
    <x:row r="1949">
      <x:c r="A1949" t="str">
        <x:v>DW-1944</x:v>
      </x:c>
      <x:c r="B1949" t="str">
        <x:v>DW-0472</x:v>
      </x:c>
      <x:c r="C1949" t="str">
        <x:v>Composition héritée</x:v>
      </x:c>
      <x:c r="D1949" t="str">
        <x:v>Quartiers et agglomérations</x:v>
      </x:c>
      <x:c r="E1949" t="str">
        <x:v>Quartier pavillonnaire ancien — Village et bourg / première récupération passée</x:v>
      </x:c>
      <x:c r="F1949" t="n">
        <x:v>10</x:v>
      </x:c>
      <x:c r="G1949" t="n">
        <x:v>4</x:v>
      </x:c>
      <x:c r="H1949" t="n">
        <x:v>12</x:v>
      </x:c>
      <x:c r="I1949" t="str">
        <x:v>À qualifier par lieu</x:v>
      </x:c>
      <x:c r="J1949" t="str">
        <x:v>https://github.com/darknigthmare/deadwall-last-enclosure/blob/1b3b9c5ba232734b1bda3453b4e20a0481bcdd74/codex-3000/compositions/Quartiers et agglomérations/DW-1944.md</x:v>
      </x:c>
      <x:c r="K1949" t="str">
        <x:v>Source min 250,200 m ; max 1200,900 m ; modèle 250 × 200 m ; niveaux 0. Détails dans catalogue-existant.json.</x:v>
      </x:c>
    </x:row>
    <x:row r="1950">
      <x:c r="A1950" t="str">
        <x:v>DW-1945</x:v>
      </x:c>
      <x:c r="B1950" t="str">
        <x:v>DW-0473</x:v>
      </x:c>
      <x:c r="C1950" t="str">
        <x:v>Composition héritée</x:v>
      </x:c>
      <x:c r="D1950" t="str">
        <x:v>Quartiers et agglomérations</x:v>
      </x:c>
      <x:c r="E1950" t="str">
        <x:v>Centre-ville dense — Hameau / évacuation interrompue</x:v>
      </x:c>
      <x:c r="F1950" t="n">
        <x:v>10</x:v>
      </x:c>
      <x:c r="G1950" t="n">
        <x:v>5</x:v>
      </x:c>
      <x:c r="H1950" t="n">
        <x:v>15</x:v>
      </x:c>
      <x:c r="I1950" t="str">
        <x:v>À qualifier par lieu</x:v>
      </x:c>
      <x:c r="J1950" t="str">
        <x:v>https://github.com/darknigthmare/deadwall-last-enclosure/blob/1b3b9c5ba232734b1bda3453b4e20a0481bcdd74/codex-3000/compositions/Quartiers et agglomérations/DW-1945.md</x:v>
      </x:c>
      <x:c r="K1950" t="str">
        <x:v>Source min 250,200 m ; max 1200,900 m ; modèle 250 × 200 m ; niveaux 0. Détails dans catalogue-existant.json.</x:v>
      </x:c>
    </x:row>
    <x:row r="1951">
      <x:c r="A1951" t="str">
        <x:v>DW-1946</x:v>
      </x:c>
      <x:c r="B1951" t="str">
        <x:v>DW-0473</x:v>
      </x:c>
      <x:c r="C1951" t="str">
        <x:v>Composition héritée</x:v>
      </x:c>
      <x:c r="D1951" t="str">
        <x:v>Quartiers et agglomérations</x:v>
      </x:c>
      <x:c r="E1951" t="str">
        <x:v>Centre-ville dense — Ville moyenne / service déplacé à l’arrière</x:v>
      </x:c>
      <x:c r="F1951" t="n">
        <x:v>10</x:v>
      </x:c>
      <x:c r="G1951" t="n">
        <x:v>5</x:v>
      </x:c>
      <x:c r="H1951" t="n">
        <x:v>15</x:v>
      </x:c>
      <x:c r="I1951" t="str">
        <x:v>À qualifier par lieu</x:v>
      </x:c>
      <x:c r="J1951" t="str">
        <x:v>https://github.com/darknigthmare/deadwall-last-enclosure/blob/1b3b9c5ba232734b1bda3453b4e20a0481bcdd74/codex-3000/compositions/Quartiers et agglomérations/DW-1946.md</x:v>
      </x:c>
      <x:c r="K1951" t="str">
        <x:v>Source min 250,200 m ; max 1200,900 m ; modèle 250 × 200 m ; niveaux 0. Détails dans catalogue-existant.json.</x:v>
      </x:c>
    </x:row>
    <x:row r="1952">
      <x:c r="A1952" t="str">
        <x:v>DW-1947</x:v>
      </x:c>
      <x:c r="B1952" t="str">
        <x:v>DW-0474</x:v>
      </x:c>
      <x:c r="C1952" t="str">
        <x:v>Composition héritée</x:v>
      </x:c>
      <x:c r="D1952" t="str">
        <x:v>Quartiers et agglomérations</x:v>
      </x:c>
      <x:c r="E1952" t="str">
        <x:v>Faubourg industriel — Village et bourg / arrêt de maintenance</x:v>
      </x:c>
      <x:c r="F1952" t="n">
        <x:v>10</x:v>
      </x:c>
      <x:c r="G1952" t="n">
        <x:v>4</x:v>
      </x:c>
      <x:c r="H1952" t="n">
        <x:v>12</x:v>
      </x:c>
      <x:c r="I1952" t="str">
        <x:v>À qualifier par lieu</x:v>
      </x:c>
      <x:c r="J1952" t="str">
        <x:v>https://github.com/darknigthmare/deadwall-last-enclosure/blob/1b3b9c5ba232734b1bda3453b4e20a0481bcdd74/codex-3000/compositions/Quartiers et agglomérations/DW-1947.md</x:v>
      </x:c>
      <x:c r="K1952" t="str">
        <x:v>Source min 250,200 m ; max 1200,900 m ; modèle 250 × 200 m ; niveaux 0. Détails dans catalogue-existant.json.</x:v>
      </x:c>
    </x:row>
    <x:row r="1953">
      <x:c r="A1953" t="str">
        <x:v>DW-1948</x:v>
      </x:c>
      <x:c r="B1953" t="str">
        <x:v>DW-0474</x:v>
      </x:c>
      <x:c r="C1953" t="str">
        <x:v>Composition héritée</x:v>
      </x:c>
      <x:c r="D1953" t="str">
        <x:v>Quartiers et agglomérations</x:v>
      </x:c>
      <x:c r="E1953" t="str">
        <x:v>Faubourg industriel — Grande ville et métropole / reprise progressive de la végétation</x:v>
      </x:c>
      <x:c r="F1953" t="n">
        <x:v>10</x:v>
      </x:c>
      <x:c r="G1953" t="n">
        <x:v>4</x:v>
      </x:c>
      <x:c r="H1953" t="n">
        <x:v>12</x:v>
      </x:c>
      <x:c r="I1953" t="str">
        <x:v>À qualifier par lieu</x:v>
      </x:c>
      <x:c r="J1953" t="str">
        <x:v>https://github.com/darknigthmare/deadwall-last-enclosure/blob/1b3b9c5ba232734b1bda3453b4e20a0481bcdd74/codex-3000/compositions/Quartiers et agglomérations/DW-1948.md</x:v>
      </x:c>
      <x:c r="K1953" t="str">
        <x:v>Source min 250,200 m ; max 1200,900 m ; modèle 250 × 200 m ; niveaux 0. Détails dans catalogue-existant.json.</x:v>
      </x:c>
    </x:row>
    <x:row r="1954">
      <x:c r="A1954" t="str">
        <x:v>DW-1949</x:v>
      </x:c>
      <x:c r="B1954" t="str">
        <x:v>DW-0475</x:v>
      </x:c>
      <x:c r="C1954" t="str">
        <x:v>Composition héritée</x:v>
      </x:c>
      <x:c r="D1954" t="str">
        <x:v>Quartiers et agglomérations</x:v>
      </x:c>
      <x:c r="E1954" t="str">
        <x:v>Quartier portuaire habité — Ville moyenne / première récupération passée</x:v>
      </x:c>
      <x:c r="F1954" t="n">
        <x:v>10</x:v>
      </x:c>
      <x:c r="G1954" t="n">
        <x:v>4</x:v>
      </x:c>
      <x:c r="H1954" t="n">
        <x:v>12</x:v>
      </x:c>
      <x:c r="I1954" t="str">
        <x:v>À qualifier par lieu</x:v>
      </x:c>
      <x:c r="J1954" t="str">
        <x:v>https://github.com/darknigthmare/deadwall-last-enclosure/blob/1b3b9c5ba232734b1bda3453b4e20a0481bcdd74/codex-3000/compositions/Quartiers et agglomérations/DW-1949.md</x:v>
      </x:c>
      <x:c r="K1954" t="str">
        <x:v>Source min 250,200 m ; max 1200,900 m ; modèle 250 × 200 m ; niveaux 0. Détails dans catalogue-existant.json.</x:v>
      </x:c>
    </x:row>
    <x:row r="1955">
      <x:c r="A1955" t="str">
        <x:v>DW-1950</x:v>
      </x:c>
      <x:c r="B1955" t="str">
        <x:v>DW-0475</x:v>
      </x:c>
      <x:c r="C1955" t="str">
        <x:v>Composition héritée</x:v>
      </x:c>
      <x:c r="D1955" t="str">
        <x:v>Quartiers et agglomérations</x:v>
      </x:c>
      <x:c r="E1955" t="str">
        <x:v>Quartier portuaire habité — Hameau / relais temporaire envisagé</x:v>
      </x:c>
      <x:c r="F1955" t="n">
        <x:v>10</x:v>
      </x:c>
      <x:c r="G1955" t="n">
        <x:v>4</x:v>
      </x:c>
      <x:c r="H1955" t="n">
        <x:v>12</x:v>
      </x:c>
      <x:c r="I1955" t="str">
        <x:v>À qualifier par lieu</x:v>
      </x:c>
      <x:c r="J1955" t="str">
        <x:v>https://github.com/darknigthmare/deadwall-last-enclosure/blob/1b3b9c5ba232734b1bda3453b4e20a0481bcdd74/codex-3000/compositions/Quartiers et agglomérations/DW-1950.md</x:v>
      </x:c>
      <x:c r="K1955" t="str">
        <x:v>Source min 250,200 m ; max 1200,900 m ; modèle 250 × 200 m ; niveaux 0. Détails dans catalogue-existant.json.</x:v>
      </x:c>
    </x:row>
    <x:row r="1956">
      <x:c r="A1956" t="str">
        <x:v>DW-1951</x:v>
      </x:c>
      <x:c r="B1956" t="str">
        <x:v>DW-0476</x:v>
      </x:c>
      <x:c r="C1956" t="str">
        <x:v>Composition héritée</x:v>
      </x:c>
      <x:c r="D1956" t="str">
        <x:v>Quartiers et agglomérations</x:v>
      </x:c>
      <x:c r="E1956" t="str">
        <x:v>Quartier hospitalier — Grande ville et métropole / service déplacé à l’arrière</x:v>
      </x:c>
      <x:c r="F1956" t="n">
        <x:v>10</x:v>
      </x:c>
      <x:c r="G1956" t="n">
        <x:v>4</x:v>
      </x:c>
      <x:c r="H1956" t="n">
        <x:v>12</x:v>
      </x:c>
      <x:c r="I1956" t="str">
        <x:v>À qualifier par lieu</x:v>
      </x:c>
      <x:c r="J1956" t="str">
        <x:v>https://github.com/darknigthmare/deadwall-last-enclosure/blob/1b3b9c5ba232734b1bda3453b4e20a0481bcdd74/codex-3000/compositions/Quartiers et agglomérations/DW-1951.md</x:v>
      </x:c>
      <x:c r="K1956" t="str">
        <x:v>Source min 250,200 m ; max 1200,900 m ; modèle 250 × 200 m ; niveaux 0. Détails dans catalogue-existant.json.</x:v>
      </x:c>
    </x:row>
    <x:row r="1957">
      <x:c r="A1957" t="str">
        <x:v>DW-1952</x:v>
      </x:c>
      <x:c r="B1957" t="str">
        <x:v>DW-0476</x:v>
      </x:c>
      <x:c r="C1957" t="str">
        <x:v>Composition héritée</x:v>
      </x:c>
      <x:c r="D1957" t="str">
        <x:v>Quartiers et agglomérations</x:v>
      </x:c>
      <x:c r="E1957" t="str">
        <x:v>Quartier hospitalier — Village et bourg / réseau principal coupé</x:v>
      </x:c>
      <x:c r="F1957" t="n">
        <x:v>10</x:v>
      </x:c>
      <x:c r="G1957" t="n">
        <x:v>4</x:v>
      </x:c>
      <x:c r="H1957" t="n">
        <x:v>12</x:v>
      </x:c>
      <x:c r="I1957" t="str">
        <x:v>À qualifier par lieu</x:v>
      </x:c>
      <x:c r="J1957" t="str">
        <x:v>https://github.com/darknigthmare/deadwall-last-enclosure/blob/1b3b9c5ba232734b1bda3453b4e20a0481bcdd74/codex-3000/compositions/Quartiers et agglomérations/DW-1952.md</x:v>
      </x:c>
      <x:c r="K1957" t="str">
        <x:v>Source min 250,200 m ; max 1200,900 m ; modèle 250 × 200 m ; niveaux 0. Détails dans catalogue-existant.json.</x:v>
      </x:c>
    </x:row>
    <x:row r="1958">
      <x:c r="A1958" t="str">
        <x:v>DW-1953</x:v>
      </x:c>
      <x:c r="B1958" t="str">
        <x:v>DW-0477</x:v>
      </x:c>
      <x:c r="C1958" t="str">
        <x:v>Composition héritée</x:v>
      </x:c>
      <x:c r="D1958" t="str">
        <x:v>Quartiers et agglomérations</x:v>
      </x:c>
      <x:c r="E1958" t="str">
        <x:v>Quartier universitaire — Hameau / reprise progressive de la végétation</x:v>
      </x:c>
      <x:c r="F1958" t="n">
        <x:v>10</x:v>
      </x:c>
      <x:c r="G1958" t="n">
        <x:v>4</x:v>
      </x:c>
      <x:c r="H1958" t="n">
        <x:v>12</x:v>
      </x:c>
      <x:c r="I1958" t="str">
        <x:v>À qualifier par lieu</x:v>
      </x:c>
      <x:c r="J1958" t="str">
        <x:v>https://github.com/darknigthmare/deadwall-last-enclosure/blob/1b3b9c5ba232734b1bda3453b4e20a0481bcdd74/codex-3000/compositions/Quartiers et agglomérations/DW-1953.md</x:v>
      </x:c>
      <x:c r="K1958" t="str">
        <x:v>Source min 250,200 m ; max 1200,900 m ; modèle 250 × 200 m ; niveaux 0. Détails dans catalogue-existant.json.</x:v>
      </x:c>
    </x:row>
    <x:row r="1959">
      <x:c r="A1959" t="str">
        <x:v>DW-1954</x:v>
      </x:c>
      <x:c r="B1959" t="str">
        <x:v>DW-0477</x:v>
      </x:c>
      <x:c r="C1959" t="str">
        <x:v>Composition héritée</x:v>
      </x:c>
      <x:c r="D1959" t="str">
        <x:v>Quartiers et agglomérations</x:v>
      </x:c>
      <x:c r="E1959" t="str">
        <x:v>Quartier universitaire — Ville moyenne / repli organisé interrompu</x:v>
      </x:c>
      <x:c r="F1959" t="n">
        <x:v>10</x:v>
      </x:c>
      <x:c r="G1959" t="n">
        <x:v>4</x:v>
      </x:c>
      <x:c r="H1959" t="n">
        <x:v>12</x:v>
      </x:c>
      <x:c r="I1959" t="str">
        <x:v>À qualifier par lieu</x:v>
      </x:c>
      <x:c r="J1959" t="str">
        <x:v>https://github.com/darknigthmare/deadwall-last-enclosure/blob/1b3b9c5ba232734b1bda3453b4e20a0481bcdd74/codex-3000/compositions/Quartiers et agglomérations/DW-1954.md</x:v>
      </x:c>
      <x:c r="K1959" t="str">
        <x:v>Source min 250,200 m ; max 1200,900 m ; modèle 250 × 200 m ; niveaux 0. Détails dans catalogue-existant.json.</x:v>
      </x:c>
    </x:row>
    <x:row r="1960">
      <x:c r="A1960" t="str">
        <x:v>DW-1955</x:v>
      </x:c>
      <x:c r="B1960" t="str">
        <x:v>DW-0478</x:v>
      </x:c>
      <x:c r="C1960" t="str">
        <x:v>Composition héritée</x:v>
      </x:c>
      <x:c r="D1960" t="str">
        <x:v>Quartiers et agglomérations</x:v>
      </x:c>
      <x:c r="E1960" t="str">
        <x:v>Cité-jardin — Village et bourg / relais temporaire envisagé</x:v>
      </x:c>
      <x:c r="F1960" t="n">
        <x:v>10</x:v>
      </x:c>
      <x:c r="G1960" t="n">
        <x:v>4</x:v>
      </x:c>
      <x:c r="H1960" t="n">
        <x:v>12</x:v>
      </x:c>
      <x:c r="I1960" t="str">
        <x:v>À qualifier par lieu</x:v>
      </x:c>
      <x:c r="J1960" t="str">
        <x:v>https://github.com/darknigthmare/deadwall-last-enclosure/blob/1b3b9c5ba232734b1bda3453b4e20a0481bcdd74/codex-3000/compositions/Quartiers et agglomérations/DW-1955.md</x:v>
      </x:c>
      <x:c r="K1960" t="str">
        <x:v>Source min 250,200 m ; max 1200,900 m ; modèle 250 × 200 m ; niveaux 0. Détails dans catalogue-existant.json.</x:v>
      </x:c>
    </x:row>
    <x:row r="1961">
      <x:c r="A1961" t="str">
        <x:v>DW-1956</x:v>
      </x:c>
      <x:c r="B1961" t="str">
        <x:v>DW-0478</x:v>
      </x:c>
      <x:c r="C1961" t="str">
        <x:v>Composition héritée</x:v>
      </x:c>
      <x:c r="D1961" t="str">
        <x:v>Quartiers et agglomérations</x:v>
      </x:c>
      <x:c r="E1961" t="str">
        <x:v>Cité-jardin — Grande ville et métropole / évacuation interrompue</x:v>
      </x:c>
      <x:c r="F1961" t="n">
        <x:v>10</x:v>
      </x:c>
      <x:c r="G1961" t="n">
        <x:v>4</x:v>
      </x:c>
      <x:c r="H1961" t="n">
        <x:v>12</x:v>
      </x:c>
      <x:c r="I1961" t="str">
        <x:v>À qualifier par lieu</x:v>
      </x:c>
      <x:c r="J1961" t="str">
        <x:v>https://github.com/darknigthmare/deadwall-last-enclosure/blob/1b3b9c5ba232734b1bda3453b4e20a0481bcdd74/codex-3000/compositions/Quartiers et agglomérations/DW-1956.md</x:v>
      </x:c>
      <x:c r="K1961" t="str">
        <x:v>Source min 250,200 m ; max 1200,900 m ; modèle 250 × 200 m ; niveaux 0. Détails dans catalogue-existant.json.</x:v>
      </x:c>
    </x:row>
    <x:row r="1962">
      <x:c r="A1962" t="str">
        <x:v>DW-1957</x:v>
      </x:c>
      <x:c r="B1962" t="str">
        <x:v>DW-0479</x:v>
      </x:c>
      <x:c r="C1962" t="str">
        <x:v>Composition héritée</x:v>
      </x:c>
      <x:c r="D1962" t="str">
        <x:v>Quartiers et agglomérations</x:v>
      </x:c>
      <x:c r="E1962" t="str">
        <x:v>Ville nouvelle en chantier — Ville moyenne / réseau principal coupé</x:v>
      </x:c>
      <x:c r="F1962" t="n">
        <x:v>10</x:v>
      </x:c>
      <x:c r="G1962" t="n">
        <x:v>4</x:v>
      </x:c>
      <x:c r="H1962" t="n">
        <x:v>12</x:v>
      </x:c>
      <x:c r="I1962" t="str">
        <x:v>À qualifier par lieu</x:v>
      </x:c>
      <x:c r="J1962" t="str">
        <x:v>https://github.com/darknigthmare/deadwall-last-enclosure/blob/1b3b9c5ba232734b1bda3453b4e20a0481bcdd74/codex-3000/compositions/Quartiers et agglomérations/DW-1957.md</x:v>
      </x:c>
      <x:c r="K1962" t="str">
        <x:v>Source min 250,200 m ; max 1200,900 m ; modèle 250 × 200 m ; niveaux 0. Détails dans catalogue-existant.json.</x:v>
      </x:c>
    </x:row>
    <x:row r="1963">
      <x:c r="A1963" t="str">
        <x:v>DW-1958</x:v>
      </x:c>
      <x:c r="B1963" t="str">
        <x:v>DW-0479</x:v>
      </x:c>
      <x:c r="C1963" t="str">
        <x:v>Composition héritée</x:v>
      </x:c>
      <x:c r="D1963" t="str">
        <x:v>Quartiers et agglomérations</x:v>
      </x:c>
      <x:c r="E1963" t="str">
        <x:v>Ville nouvelle en chantier — Hameau / arrêt de maintenance</x:v>
      </x:c>
      <x:c r="F1963" t="n">
        <x:v>10</x:v>
      </x:c>
      <x:c r="G1963" t="n">
        <x:v>4</x:v>
      </x:c>
      <x:c r="H1963" t="n">
        <x:v>12</x:v>
      </x:c>
      <x:c r="I1963" t="str">
        <x:v>À qualifier par lieu</x:v>
      </x:c>
      <x:c r="J1963" t="str">
        <x:v>https://github.com/darknigthmare/deadwall-last-enclosure/blob/1b3b9c5ba232734b1bda3453b4e20a0481bcdd74/codex-3000/compositions/Quartiers et agglomérations/DW-1958.md</x:v>
      </x:c>
      <x:c r="K1963" t="str">
        <x:v>Source min 250,200 m ; max 1200,900 m ; modèle 250 × 200 m ; niveaux 0. Détails dans catalogue-existant.json.</x:v>
      </x:c>
    </x:row>
    <x:row r="1964">
      <x:c r="A1964" t="str">
        <x:v>DW-1959</x:v>
      </x:c>
      <x:c r="B1964" t="str">
        <x:v>DW-0480</x:v>
      </x:c>
      <x:c r="C1964" t="str">
        <x:v>Composition héritée</x:v>
      </x:c>
      <x:c r="D1964" t="str">
        <x:v>Quartiers et agglomérations</x:v>
      </x:c>
      <x:c r="E1964" t="str">
        <x:v>Petite ville évacuée — Grande ville et métropole / repli organisé interrompu</x:v>
      </x:c>
      <x:c r="F1964" t="n">
        <x:v>10</x:v>
      </x:c>
      <x:c r="G1964" t="n">
        <x:v>4</x:v>
      </x:c>
      <x:c r="H1964" t="n">
        <x:v>12</x:v>
      </x:c>
      <x:c r="I1964" t="str">
        <x:v>À qualifier par lieu</x:v>
      </x:c>
      <x:c r="J1964" t="str">
        <x:v>https://github.com/darknigthmare/deadwall-last-enclosure/blob/1b3b9c5ba232734b1bda3453b4e20a0481bcdd74/codex-3000/compositions/Quartiers et agglomérations/DW-1959.md</x:v>
      </x:c>
      <x:c r="K1964" t="str">
        <x:v>Source min 250,200 m ; max 1200,900 m ; modèle 250 × 200 m ; niveaux 0. Détails dans catalogue-existant.json.</x:v>
      </x:c>
    </x:row>
    <x:row r="1965">
      <x:c r="A1965" t="str">
        <x:v>DW-1960</x:v>
      </x:c>
      <x:c r="B1965" t="str">
        <x:v>DW-0480</x:v>
      </x:c>
      <x:c r="C1965" t="str">
        <x:v>Composition héritée</x:v>
      </x:c>
      <x:c r="D1965" t="str">
        <x:v>Quartiers et agglomérations</x:v>
      </x:c>
      <x:c r="E1965" t="str">
        <x:v>Petite ville évacuée — Village et bourg / première récupération passée</x:v>
      </x:c>
      <x:c r="F1965" t="n">
        <x:v>10</x:v>
      </x:c>
      <x:c r="G1965" t="n">
        <x:v>4</x:v>
      </x:c>
      <x:c r="H1965" t="n">
        <x:v>12</x:v>
      </x:c>
      <x:c r="I1965" t="str">
        <x:v>À qualifier par lieu</x:v>
      </x:c>
      <x:c r="J1965" t="str">
        <x:v>https://github.com/darknigthmare/deadwall-last-enclosure/blob/1b3b9c5ba232734b1bda3453b4e20a0481bcdd74/codex-3000/compositions/Quartiers et agglomérations/DW-1960.md</x:v>
      </x:c>
      <x:c r="K1965" t="str">
        <x:v>Source min 250,200 m ; max 1200,900 m ; modèle 250 × 200 m ; niveaux 0. Détails dans catalogue-existant.json.</x:v>
      </x:c>
    </x:row>
    <x:row r="1966">
      <x:c r="A1966" t="str">
        <x:v>DW-1961</x:v>
      </x:c>
      <x:c r="B1966" t="str">
        <x:v>DW-0481</x:v>
      </x:c>
      <x:c r="C1966" t="str">
        <x:v>Composition héritée</x:v>
      </x:c>
      <x:c r="D1966" t="str">
        <x:v>Ruines et lieux dégradés visitables</x:v>
      </x:c>
      <x:c r="E1966" t="str">
        <x:v>Maison effondrée visitable — Ruine envahie et reprise végétale / évacuation interrompue</x:v>
      </x:c>
      <x:c r="F1966" t="n">
        <x:v>8</x:v>
      </x:c>
      <x:c r="G1966" t="n">
        <x:v>4</x:v>
      </x:c>
      <x:c r="H1966" t="n">
        <x:v>12</x:v>
      </x:c>
      <x:c r="I1966" t="str">
        <x:v>À qualifier par lieu</x:v>
      </x:c>
      <x:c r="J1966" t="str">
        <x:v>https://github.com/darknigthmare/deadwall-last-enclosure/blob/1b3b9c5ba232734b1bda3453b4e20a0481bcdd74/codex-3000/compositions/Ruines et lieux dégradés visitables/DW-1961.md</x:v>
      </x:c>
      <x:c r="K1966" t="str">
        <x:v>Source min 20,16 m ; max 180,120 m ; modèle 25 × 18 m ; niveaux 0. Détails dans catalogue-existant.json.</x:v>
      </x:c>
    </x:row>
    <x:row r="1967">
      <x:c r="A1967" t="str">
        <x:v>DW-1962</x:v>
      </x:c>
      <x:c r="B1967" t="str">
        <x:v>DW-0481</x:v>
      </x:c>
      <x:c r="C1967" t="str">
        <x:v>Composition héritée</x:v>
      </x:c>
      <x:c r="D1967" t="str">
        <x:v>Ruines et lieux dégradés visitables</x:v>
      </x:c>
      <x:c r="E1967" t="str">
        <x:v>Maison effondrée visitable — Zone industrielle / service déplacé à l’arrière</x:v>
      </x:c>
      <x:c r="F1967" t="n">
        <x:v>8</x:v>
      </x:c>
      <x:c r="G1967" t="n">
        <x:v>4</x:v>
      </x:c>
      <x:c r="H1967" t="n">
        <x:v>12</x:v>
      </x:c>
      <x:c r="I1967" t="str">
        <x:v>À qualifier par lieu</x:v>
      </x:c>
      <x:c r="J1967" t="str">
        <x:v>https://github.com/darknigthmare/deadwall-last-enclosure/blob/1b3b9c5ba232734b1bda3453b4e20a0481bcdd74/codex-3000/compositions/Ruines et lieux dégradés visitables/DW-1962.md</x:v>
      </x:c>
      <x:c r="K1967" t="str">
        <x:v>Source min 20,16 m ; max 180,120 m ; modèle 25 × 18 m ; niveaux 0. Détails dans catalogue-existant.json.</x:v>
      </x:c>
    </x:row>
    <x:row r="1968">
      <x:c r="A1968" t="str">
        <x:v>DW-1963</x:v>
      </x:c>
      <x:c r="B1968" t="str">
        <x:v>DW-0482</x:v>
      </x:c>
      <x:c r="C1968" t="str">
        <x:v>Composition héritée</x:v>
      </x:c>
      <x:c r="D1968" t="str">
        <x:v>Ruines et lieux dégradés visitables</x:v>
      </x:c>
      <x:c r="E1968" t="str">
        <x:v>Maison incendiée — Centre ancien / arrêt de maintenance</x:v>
      </x:c>
      <x:c r="F1968" t="n">
        <x:v>8</x:v>
      </x:c>
      <x:c r="G1968" t="n">
        <x:v>4</x:v>
      </x:c>
      <x:c r="H1968" t="n">
        <x:v>12</x:v>
      </x:c>
      <x:c r="I1968" t="str">
        <x:v>À qualifier par lieu</x:v>
      </x:c>
      <x:c r="J1968" t="str">
        <x:v>https://github.com/darknigthmare/deadwall-last-enclosure/blob/1b3b9c5ba232734b1bda3453b4e20a0481bcdd74/codex-3000/compositions/Ruines et lieux dégradés visitables/DW-1963.md</x:v>
      </x:c>
      <x:c r="K1968" t="str">
        <x:v>Source min 20,16 m ; max 180,120 m ; modèle 25 × 18 m ; niveaux 0. Détails dans catalogue-existant.json.</x:v>
      </x:c>
    </x:row>
    <x:row r="1969">
      <x:c r="A1969" t="str">
        <x:v>DW-1964</x:v>
      </x:c>
      <x:c r="B1969" t="str">
        <x:v>DW-0482</x:v>
      </x:c>
      <x:c r="C1969" t="str">
        <x:v>Composition héritée</x:v>
      </x:c>
      <x:c r="D1969" t="str">
        <x:v>Ruines et lieux dégradés visitables</x:v>
      </x:c>
      <x:c r="E1969" t="str">
        <x:v>Maison incendiée — Petit bois et lisière / reprise progressive de la végétation</x:v>
      </x:c>
      <x:c r="F1969" t="n">
        <x:v>8</x:v>
      </x:c>
      <x:c r="G1969" t="n">
        <x:v>4</x:v>
      </x:c>
      <x:c r="H1969" t="n">
        <x:v>12</x:v>
      </x:c>
      <x:c r="I1969" t="str">
        <x:v>À qualifier par lieu</x:v>
      </x:c>
      <x:c r="J1969" t="str">
        <x:v>https://github.com/darknigthmare/deadwall-last-enclosure/blob/1b3b9c5ba232734b1bda3453b4e20a0481bcdd74/codex-3000/compositions/Ruines et lieux dégradés visitables/DW-1964.md</x:v>
      </x:c>
      <x:c r="K1969" t="str">
        <x:v>Source min 20,16 m ; max 180,120 m ; modèle 25 × 18 m ; niveaux 0. Détails dans catalogue-existant.json.</x:v>
      </x:c>
    </x:row>
    <x:row r="1970">
      <x:c r="A1970" t="str">
        <x:v>DW-1965</x:v>
      </x:c>
      <x:c r="B1970" t="str">
        <x:v>DW-0483</x:v>
      </x:c>
      <x:c r="C1970" t="str">
        <x:v>Composition héritée</x:v>
      </x:c>
      <x:c r="D1970" t="str">
        <x:v>Ruines et lieux dégradés visitables</x:v>
      </x:c>
      <x:c r="E1970" t="str">
        <x:v>Immeuble partiellement effondré — Zone industrielle / première récupération passée</x:v>
      </x:c>
      <x:c r="F1970" t="n">
        <x:v>8</x:v>
      </x:c>
      <x:c r="G1970" t="n">
        <x:v>4</x:v>
      </x:c>
      <x:c r="H1970" t="n">
        <x:v>12</x:v>
      </x:c>
      <x:c r="I1970" t="str">
        <x:v>À qualifier par lieu</x:v>
      </x:c>
      <x:c r="J1970" t="str">
        <x:v>https://github.com/darknigthmare/deadwall-last-enclosure/blob/1b3b9c5ba232734b1bda3453b4e20a0481bcdd74/codex-3000/compositions/Ruines et lieux dégradés visitables/DW-1965.md</x:v>
      </x:c>
      <x:c r="K1970" t="str">
        <x:v>Source min 20,16 m ; max 180,120 m ; modèle 25 × 18 m ; niveaux 0, 1. Détails dans catalogue-existant.json.</x:v>
      </x:c>
    </x:row>
    <x:row r="1971">
      <x:c r="A1971" t="str">
        <x:v>DW-1966</x:v>
      </x:c>
      <x:c r="B1971" t="str">
        <x:v>DW-0483</x:v>
      </x:c>
      <x:c r="C1971" t="str">
        <x:v>Composition héritée</x:v>
      </x:c>
      <x:c r="D1971" t="str">
        <x:v>Ruines et lieux dégradés visitables</x:v>
      </x:c>
      <x:c r="E1971" t="str">
        <x:v>Immeuble partiellement effondré — Ruine envahie et reprise végétale / relais temporaire envisagé</x:v>
      </x:c>
      <x:c r="F1971" t="n">
        <x:v>8</x:v>
      </x:c>
      <x:c r="G1971" t="n">
        <x:v>4</x:v>
      </x:c>
      <x:c r="H1971" t="n">
        <x:v>12</x:v>
      </x:c>
      <x:c r="I1971" t="str">
        <x:v>À qualifier par lieu</x:v>
      </x:c>
      <x:c r="J1971" t="str">
        <x:v>https://github.com/darknigthmare/deadwall-last-enclosure/blob/1b3b9c5ba232734b1bda3453b4e20a0481bcdd74/codex-3000/compositions/Ruines et lieux dégradés visitables/DW-1966.md</x:v>
      </x:c>
      <x:c r="K1971" t="str">
        <x:v>Source min 20,16 m ; max 180,120 m ; modèle 25 × 18 m ; niveaux 0, 1. Détails dans catalogue-existant.json.</x:v>
      </x:c>
    </x:row>
    <x:row r="1972">
      <x:c r="A1972" t="str">
        <x:v>DW-1967</x:v>
      </x:c>
      <x:c r="B1972" t="str">
        <x:v>DW-0484</x:v>
      </x:c>
      <x:c r="C1972" t="str">
        <x:v>Composition héritée</x:v>
      </x:c>
      <x:c r="D1972" t="str">
        <x:v>Ruines et lieux dégradés visitables</x:v>
      </x:c>
      <x:c r="E1972" t="str">
        <x:v>Hôtel abandonné visitable — Petit bois et lisière / service déplacé à l’arrière</x:v>
      </x:c>
      <x:c r="F1972" t="n">
        <x:v>8</x:v>
      </x:c>
      <x:c r="G1972" t="n">
        <x:v>5</x:v>
      </x:c>
      <x:c r="H1972" t="n">
        <x:v>13</x:v>
      </x:c>
      <x:c r="I1972" t="str">
        <x:v>À qualifier par lieu</x:v>
      </x:c>
      <x:c r="J1972" t="str">
        <x:v>https://github.com/darknigthmare/deadwall-last-enclosure/blob/1b3b9c5ba232734b1bda3453b4e20a0481bcdd74/codex-3000/compositions/Ruines et lieux dégradés visitables/DW-1967.md</x:v>
      </x:c>
      <x:c r="K1972" t="str">
        <x:v>Source min 20,16 m ; max 180,120 m ; modèle 26 × 22 m ; niveaux 0, 1, 2. Détails dans catalogue-existant.json.</x:v>
      </x:c>
    </x:row>
    <x:row r="1973">
      <x:c r="A1973" t="str">
        <x:v>DW-1968</x:v>
      </x:c>
      <x:c r="B1973" t="str">
        <x:v>DW-0484</x:v>
      </x:c>
      <x:c r="C1973" t="str">
        <x:v>Composition héritée</x:v>
      </x:c>
      <x:c r="D1973" t="str">
        <x:v>Ruines et lieux dégradés visitables</x:v>
      </x:c>
      <x:c r="E1973" t="str">
        <x:v>Hôtel abandonné visitable — Centre ancien / réseau principal coupé</x:v>
      </x:c>
      <x:c r="F1973" t="n">
        <x:v>8</x:v>
      </x:c>
      <x:c r="G1973" t="n">
        <x:v>5</x:v>
      </x:c>
      <x:c r="H1973" t="n">
        <x:v>13</x:v>
      </x:c>
      <x:c r="I1973" t="str">
        <x:v>À qualifier par lieu</x:v>
      </x:c>
      <x:c r="J1973" t="str">
        <x:v>https://github.com/darknigthmare/deadwall-last-enclosure/blob/1b3b9c5ba232734b1bda3453b4e20a0481bcdd74/codex-3000/compositions/Ruines et lieux dégradés visitables/DW-1968.md</x:v>
      </x:c>
      <x:c r="K1973" t="str">
        <x:v>Source min 20,16 m ; max 180,120 m ; modèle 26 × 22 m ; niveaux 0, 1, 2. Détails dans catalogue-existant.json.</x:v>
      </x:c>
    </x:row>
    <x:row r="1974">
      <x:c r="A1974" t="str">
        <x:v>DW-1969</x:v>
      </x:c>
      <x:c r="B1974" t="str">
        <x:v>DW-0485</x:v>
      </x:c>
      <x:c r="C1974" t="str">
        <x:v>Composition héritée</x:v>
      </x:c>
      <x:c r="D1974" t="str">
        <x:v>Ruines et lieux dégradés visitables</x:v>
      </x:c>
      <x:c r="E1974" t="str">
        <x:v>Centre commercial pillé — Ruine envahie et reprise végétale / reprise progressive de la végétation</x:v>
      </x:c>
      <x:c r="F1974" t="n">
        <x:v>8</x:v>
      </x:c>
      <x:c r="G1974" t="n">
        <x:v>5</x:v>
      </x:c>
      <x:c r="H1974" t="n">
        <x:v>13</x:v>
      </x:c>
      <x:c r="I1974" t="str">
        <x:v>À qualifier par lieu</x:v>
      </x:c>
      <x:c r="J1974" t="str">
        <x:v>https://github.com/darknigthmare/deadwall-last-enclosure/blob/1b3b9c5ba232734b1bda3453b4e20a0481bcdd74/codex-3000/compositions/Ruines et lieux dégradés visitables/DW-1969.md</x:v>
      </x:c>
      <x:c r="K1974" t="str">
        <x:v>Source min 20,16 m ; max 180,120 m ; modèle 26 × 22 m ; niveaux 0. Détails dans catalogue-existant.json.</x:v>
      </x:c>
    </x:row>
    <x:row r="1975">
      <x:c r="A1975" t="str">
        <x:v>DW-1970</x:v>
      </x:c>
      <x:c r="B1975" t="str">
        <x:v>DW-0485</x:v>
      </x:c>
      <x:c r="C1975" t="str">
        <x:v>Composition héritée</x:v>
      </x:c>
      <x:c r="D1975" t="str">
        <x:v>Ruines et lieux dégradés visitables</x:v>
      </x:c>
      <x:c r="E1975" t="str">
        <x:v>Centre commercial pillé — Zone industrielle / repli organisé interrompu</x:v>
      </x:c>
      <x:c r="F1975" t="n">
        <x:v>8</x:v>
      </x:c>
      <x:c r="G1975" t="n">
        <x:v>5</x:v>
      </x:c>
      <x:c r="H1975" t="n">
        <x:v>13</x:v>
      </x:c>
      <x:c r="I1975" t="str">
        <x:v>À qualifier par lieu</x:v>
      </x:c>
      <x:c r="J1975" t="str">
        <x:v>https://github.com/darknigthmare/deadwall-last-enclosure/blob/1b3b9c5ba232734b1bda3453b4e20a0481bcdd74/codex-3000/compositions/Ruines et lieux dégradés visitables/DW-1970.md</x:v>
      </x:c>
      <x:c r="K1975" t="str">
        <x:v>Source min 20,16 m ; max 180,120 m ; modèle 26 × 22 m ; niveaux 0. Détails dans catalogue-existant.json.</x:v>
      </x:c>
    </x:row>
    <x:row r="1976">
      <x:c r="A1976" t="str">
        <x:v>DW-1971</x:v>
      </x:c>
      <x:c r="B1976" t="str">
        <x:v>DW-0486</x:v>
      </x:c>
      <x:c r="C1976" t="str">
        <x:v>Composition héritée</x:v>
      </x:c>
      <x:c r="D1976" t="str">
        <x:v>Ruines et lieux dégradés visitables</x:v>
      </x:c>
      <x:c r="E1976" t="str">
        <x:v>Supermarché sinistré — Centre ancien / relais temporaire envisagé</x:v>
      </x:c>
      <x:c r="F1976" t="n">
        <x:v>8</x:v>
      </x:c>
      <x:c r="G1976" t="n">
        <x:v>4</x:v>
      </x:c>
      <x:c r="H1976" t="n">
        <x:v>12</x:v>
      </x:c>
      <x:c r="I1976" t="str">
        <x:v>À qualifier par lieu</x:v>
      </x:c>
      <x:c r="J1976" t="str">
        <x:v>https://github.com/darknigthmare/deadwall-last-enclosure/blob/1b3b9c5ba232734b1bda3453b4e20a0481bcdd74/codex-3000/compositions/Ruines et lieux dégradés visitables/DW-1971.md</x:v>
      </x:c>
      <x:c r="K1976" t="str">
        <x:v>Source min 20,16 m ; max 180,120 m ; modèle 25 × 18 m ; niveaux 0. Détails dans catalogue-existant.json.</x:v>
      </x:c>
    </x:row>
    <x:row r="1977">
      <x:c r="A1977" t="str">
        <x:v>DW-1972</x:v>
      </x:c>
      <x:c r="B1977" t="str">
        <x:v>DW-0486</x:v>
      </x:c>
      <x:c r="C1977" t="str">
        <x:v>Composition héritée</x:v>
      </x:c>
      <x:c r="D1977" t="str">
        <x:v>Ruines et lieux dégradés visitables</x:v>
      </x:c>
      <x:c r="E1977" t="str">
        <x:v>Supermarché sinistré — Petit bois et lisière / évacuation interrompue</x:v>
      </x:c>
      <x:c r="F1977" t="n">
        <x:v>8</x:v>
      </x:c>
      <x:c r="G1977" t="n">
        <x:v>4</x:v>
      </x:c>
      <x:c r="H1977" t="n">
        <x:v>12</x:v>
      </x:c>
      <x:c r="I1977" t="str">
        <x:v>À qualifier par lieu</x:v>
      </x:c>
      <x:c r="J1977" t="str">
        <x:v>https://github.com/darknigthmare/deadwall-last-enclosure/blob/1b3b9c5ba232734b1bda3453b4e20a0481bcdd74/codex-3000/compositions/Ruines et lieux dégradés visitables/DW-1972.md</x:v>
      </x:c>
      <x:c r="K1977" t="str">
        <x:v>Source min 20,16 m ; max 180,120 m ; modèle 25 × 18 m ; niveaux 0. Détails dans catalogue-existant.json.</x:v>
      </x:c>
    </x:row>
    <x:row r="1978">
      <x:c r="A1978" t="str">
        <x:v>DW-1973</x:v>
      </x:c>
      <x:c r="B1978" t="str">
        <x:v>DW-0487</x:v>
      </x:c>
      <x:c r="C1978" t="str">
        <x:v>Composition héritée</x:v>
      </x:c>
      <x:c r="D1978" t="str">
        <x:v>Ruines et lieux dégradés visitables</x:v>
      </x:c>
      <x:c r="E1978" t="str">
        <x:v>Garage éventré — Zone industrielle / réseau principal coupé</x:v>
      </x:c>
      <x:c r="F1978" t="n">
        <x:v>8</x:v>
      </x:c>
      <x:c r="G1978" t="n">
        <x:v>4</x:v>
      </x:c>
      <x:c r="H1978" t="n">
        <x:v>12</x:v>
      </x:c>
      <x:c r="I1978" t="str">
        <x:v>À qualifier par lieu</x:v>
      </x:c>
      <x:c r="J1978" t="str">
        <x:v>https://github.com/darknigthmare/deadwall-last-enclosure/blob/1b3b9c5ba232734b1bda3453b4e20a0481bcdd74/codex-3000/compositions/Ruines et lieux dégradés visitables/DW-1973.md</x:v>
      </x:c>
      <x:c r="K1978" t="str">
        <x:v>Source min 20,16 m ; max 180,120 m ; modèle 25 × 18 m ; niveaux 0. Détails dans catalogue-existant.json.</x:v>
      </x:c>
    </x:row>
    <x:row r="1979">
      <x:c r="A1979" t="str">
        <x:v>DW-1974</x:v>
      </x:c>
      <x:c r="B1979" t="str">
        <x:v>DW-0487</x:v>
      </x:c>
      <x:c r="C1979" t="str">
        <x:v>Composition héritée</x:v>
      </x:c>
      <x:c r="D1979" t="str">
        <x:v>Ruines et lieux dégradés visitables</x:v>
      </x:c>
      <x:c r="E1979" t="str">
        <x:v>Garage éventré — Ruine envahie et reprise végétale / arrêt de maintenance</x:v>
      </x:c>
      <x:c r="F1979" t="n">
        <x:v>8</x:v>
      </x:c>
      <x:c r="G1979" t="n">
        <x:v>4</x:v>
      </x:c>
      <x:c r="H1979" t="n">
        <x:v>12</x:v>
      </x:c>
      <x:c r="I1979" t="str">
        <x:v>À qualifier par lieu</x:v>
      </x:c>
      <x:c r="J1979" t="str">
        <x:v>https://github.com/darknigthmare/deadwall-last-enclosure/blob/1b3b9c5ba232734b1bda3453b4e20a0481bcdd74/codex-3000/compositions/Ruines et lieux dégradés visitables/DW-1974.md</x:v>
      </x:c>
      <x:c r="K1979" t="str">
        <x:v>Source min 20,16 m ; max 180,120 m ; modèle 25 × 18 m ; niveaux 0. Détails dans catalogue-existant.json.</x:v>
      </x:c>
    </x:row>
    <x:row r="1980">
      <x:c r="A1980" t="str">
        <x:v>DW-1975</x:v>
      </x:c>
      <x:c r="B1980" t="str">
        <x:v>DW-0488</x:v>
      </x:c>
      <x:c r="C1980" t="str">
        <x:v>Composition héritée</x:v>
      </x:c>
      <x:c r="D1980" t="str">
        <x:v>Ruines et lieux dégradés visitables</x:v>
      </x:c>
      <x:c r="E1980" t="str">
        <x:v>Entrepôt à toit percé — Petit bois et lisière / repli organisé interrompu</x:v>
      </x:c>
      <x:c r="F1980" t="n">
        <x:v>8</x:v>
      </x:c>
      <x:c r="G1980" t="n">
        <x:v>4</x:v>
      </x:c>
      <x:c r="H1980" t="n">
        <x:v>10</x:v>
      </x:c>
      <x:c r="I1980" t="str">
        <x:v>À qualifier par lieu</x:v>
      </x:c>
      <x:c r="J1980" t="str">
        <x:v>https://github.com/darknigthmare/deadwall-last-enclosure/blob/1b3b9c5ba232734b1bda3453b4e20a0481bcdd74/codex-3000/compositions/Ruines et lieux dégradés visitables/DW-1975.md</x:v>
      </x:c>
      <x:c r="K1980" t="str">
        <x:v>Source min 20,16 m ; max 180,120 m ; modèle 25 × 18 m ; niveaux 0. Détails dans catalogue-existant.json.</x:v>
      </x:c>
    </x:row>
    <x:row r="1981">
      <x:c r="A1981" t="str">
        <x:v>DW-1976</x:v>
      </x:c>
      <x:c r="B1981" t="str">
        <x:v>DW-0488</x:v>
      </x:c>
      <x:c r="C1981" t="str">
        <x:v>Composition héritée</x:v>
      </x:c>
      <x:c r="D1981" t="str">
        <x:v>Ruines et lieux dégradés visitables</x:v>
      </x:c>
      <x:c r="E1981" t="str">
        <x:v>Entrepôt à toit percé — Centre ancien / première récupération passée</x:v>
      </x:c>
      <x:c r="F1981" t="n">
        <x:v>8</x:v>
      </x:c>
      <x:c r="G1981" t="n">
        <x:v>4</x:v>
      </x:c>
      <x:c r="H1981" t="n">
        <x:v>10</x:v>
      </x:c>
      <x:c r="I1981" t="str">
        <x:v>À qualifier par lieu</x:v>
      </x:c>
      <x:c r="J1981" t="str">
        <x:v>https://github.com/darknigthmare/deadwall-last-enclosure/blob/1b3b9c5ba232734b1bda3453b4e20a0481bcdd74/codex-3000/compositions/Ruines et lieux dégradés visitables/DW-1976.md</x:v>
      </x:c>
      <x:c r="K1981" t="str">
        <x:v>Source min 20,16 m ; max 180,120 m ; modèle 25 × 18 m ; niveaux 0. Détails dans catalogue-existant.json.</x:v>
      </x:c>
    </x:row>
    <x:row r="1982">
      <x:c r="A1982" t="str">
        <x:v>DW-1977</x:v>
      </x:c>
      <x:c r="B1982" t="str">
        <x:v>DW-0489</x:v>
      </x:c>
      <x:c r="C1982" t="str">
        <x:v>Composition héritée</x:v>
      </x:c>
      <x:c r="D1982" t="str">
        <x:v>Ruines et lieux dégradés visitables</x:v>
      </x:c>
      <x:c r="E1982" t="str">
        <x:v>Usine en friche — Ruine envahie et reprise végétale / évacuation interrompue</x:v>
      </x:c>
      <x:c r="F1982" t="n">
        <x:v>8</x:v>
      </x:c>
      <x:c r="G1982" t="n">
        <x:v>4</x:v>
      </x:c>
      <x:c r="H1982" t="n">
        <x:v>12</x:v>
      </x:c>
      <x:c r="I1982" t="str">
        <x:v>À qualifier par lieu</x:v>
      </x:c>
      <x:c r="J1982" t="str">
        <x:v>https://github.com/darknigthmare/deadwall-last-enclosure/blob/1b3b9c5ba232734b1bda3453b4e20a0481bcdd74/codex-3000/compositions/Ruines et lieux dégradés visitables/DW-1977.md</x:v>
      </x:c>
      <x:c r="K1982" t="str">
        <x:v>Source min 20,16 m ; max 180,120 m ; modèle 25 × 18 m ; niveaux 0. Détails dans catalogue-existant.json.</x:v>
      </x:c>
    </x:row>
    <x:row r="1983">
      <x:c r="A1983" t="str">
        <x:v>DW-1978</x:v>
      </x:c>
      <x:c r="B1983" t="str">
        <x:v>DW-0489</x:v>
      </x:c>
      <x:c r="C1983" t="str">
        <x:v>Composition héritée</x:v>
      </x:c>
      <x:c r="D1983" t="str">
        <x:v>Ruines et lieux dégradés visitables</x:v>
      </x:c>
      <x:c r="E1983" t="str">
        <x:v>Usine en friche — Zone industrielle / service déplacé à l’arrière</x:v>
      </x:c>
      <x:c r="F1983" t="n">
        <x:v>8</x:v>
      </x:c>
      <x:c r="G1983" t="n">
        <x:v>4</x:v>
      </x:c>
      <x:c r="H1983" t="n">
        <x:v>12</x:v>
      </x:c>
      <x:c r="I1983" t="str">
        <x:v>À qualifier par lieu</x:v>
      </x:c>
      <x:c r="J1983" t="str">
        <x:v>https://github.com/darknigthmare/deadwall-last-enclosure/blob/1b3b9c5ba232734b1bda3453b4e20a0481bcdd74/codex-3000/compositions/Ruines et lieux dégradés visitables/DW-1978.md</x:v>
      </x:c>
      <x:c r="K1983" t="str">
        <x:v>Source min 20,16 m ; max 180,120 m ; modèle 25 × 18 m ; niveaux 0. Détails dans catalogue-existant.json.</x:v>
      </x:c>
    </x:row>
    <x:row r="1984">
      <x:c r="A1984" t="str">
        <x:v>DW-1979</x:v>
      </x:c>
      <x:c r="B1984" t="str">
        <x:v>DW-0490</x:v>
      </x:c>
      <x:c r="C1984" t="str">
        <x:v>Composition héritée</x:v>
      </x:c>
      <x:c r="D1984" t="str">
        <x:v>Ruines et lieux dégradés visitables</x:v>
      </x:c>
      <x:c r="E1984" t="str">
        <x:v>École endommagée — Centre ancien / arrêt de maintenance</x:v>
      </x:c>
      <x:c r="F1984" t="n">
        <x:v>8</x:v>
      </x:c>
      <x:c r="G1984" t="n">
        <x:v>4</x:v>
      </x:c>
      <x:c r="H1984" t="n">
        <x:v>12</x:v>
      </x:c>
      <x:c r="I1984" t="str">
        <x:v>À qualifier par lieu</x:v>
      </x:c>
      <x:c r="J1984" t="str">
        <x:v>https://github.com/darknigthmare/deadwall-last-enclosure/blob/1b3b9c5ba232734b1bda3453b4e20a0481bcdd74/codex-3000/compositions/Ruines et lieux dégradés visitables/DW-1979.md</x:v>
      </x:c>
      <x:c r="K1984" t="str">
        <x:v>Source min 20,16 m ; max 180,120 m ; modèle 25 × 18 m ; niveaux 0. Détails dans catalogue-existant.json.</x:v>
      </x:c>
    </x:row>
    <x:row r="1985">
      <x:c r="A1985" t="str">
        <x:v>DW-1980</x:v>
      </x:c>
      <x:c r="B1985" t="str">
        <x:v>DW-0490</x:v>
      </x:c>
      <x:c r="C1985" t="str">
        <x:v>Composition héritée</x:v>
      </x:c>
      <x:c r="D1985" t="str">
        <x:v>Ruines et lieux dégradés visitables</x:v>
      </x:c>
      <x:c r="E1985" t="str">
        <x:v>École endommagée — Petit bois et lisière / reprise progressive de la végétation</x:v>
      </x:c>
      <x:c r="F1985" t="n">
        <x:v>8</x:v>
      </x:c>
      <x:c r="G1985" t="n">
        <x:v>4</x:v>
      </x:c>
      <x:c r="H1985" t="n">
        <x:v>12</x:v>
      </x:c>
      <x:c r="I1985" t="str">
        <x:v>À qualifier par lieu</x:v>
      </x:c>
      <x:c r="J1985" t="str">
        <x:v>https://github.com/darknigthmare/deadwall-last-enclosure/blob/1b3b9c5ba232734b1bda3453b4e20a0481bcdd74/codex-3000/compositions/Ruines et lieux dégradés visitables/DW-1980.md</x:v>
      </x:c>
      <x:c r="K1985" t="str">
        <x:v>Source min 20,16 m ; max 180,120 m ; modèle 25 × 18 m ; niveaux 0. Détails dans catalogue-existant.json.</x:v>
      </x:c>
    </x:row>
    <x:row r="1986">
      <x:c r="A1986" t="str">
        <x:v>DW-1981</x:v>
      </x:c>
      <x:c r="B1986" t="str">
        <x:v>DW-0491</x:v>
      </x:c>
      <x:c r="C1986" t="str">
        <x:v>Composition héritée</x:v>
      </x:c>
      <x:c r="D1986" t="str">
        <x:v>Ruines et lieux dégradés visitables</x:v>
      </x:c>
      <x:c r="E1986" t="str">
        <x:v>Hôpital évacué — Zone industrielle / première récupération passée</x:v>
      </x:c>
      <x:c r="F1986" t="n">
        <x:v>8</x:v>
      </x:c>
      <x:c r="G1986" t="n">
        <x:v>4</x:v>
      </x:c>
      <x:c r="H1986" t="n">
        <x:v>12</x:v>
      </x:c>
      <x:c r="I1986" t="str">
        <x:v>À qualifier par lieu</x:v>
      </x:c>
      <x:c r="J1986" t="str">
        <x:v>https://github.com/darknigthmare/deadwall-last-enclosure/blob/1b3b9c5ba232734b1bda3453b4e20a0481bcdd74/codex-3000/compositions/Ruines et lieux dégradés visitables/DW-1981.md</x:v>
      </x:c>
      <x:c r="K1986" t="str">
        <x:v>Source min 20,16 m ; max 180,120 m ; modèle 25 × 18 m ; niveaux 0. Détails dans catalogue-existant.json.</x:v>
      </x:c>
    </x:row>
    <x:row r="1987">
      <x:c r="A1987" t="str">
        <x:v>DW-1982</x:v>
      </x:c>
      <x:c r="B1987" t="str">
        <x:v>DW-0491</x:v>
      </x:c>
      <x:c r="C1987" t="str">
        <x:v>Composition héritée</x:v>
      </x:c>
      <x:c r="D1987" t="str">
        <x:v>Ruines et lieux dégradés visitables</x:v>
      </x:c>
      <x:c r="E1987" t="str">
        <x:v>Hôpital évacué — Ruine envahie et reprise végétale / relais temporaire envisagé</x:v>
      </x:c>
      <x:c r="F1987" t="n">
        <x:v>8</x:v>
      </x:c>
      <x:c r="G1987" t="n">
        <x:v>4</x:v>
      </x:c>
      <x:c r="H1987" t="n">
        <x:v>12</x:v>
      </x:c>
      <x:c r="I1987" t="str">
        <x:v>À qualifier par lieu</x:v>
      </x:c>
      <x:c r="J1987" t="str">
        <x:v>https://github.com/darknigthmare/deadwall-last-enclosure/blob/1b3b9c5ba232734b1bda3453b4e20a0481bcdd74/codex-3000/compositions/Ruines et lieux dégradés visitables/DW-1982.md</x:v>
      </x:c>
      <x:c r="K1987" t="str">
        <x:v>Source min 20,16 m ; max 180,120 m ; modèle 25 × 18 m ; niveaux 0. Détails dans catalogue-existant.json.</x:v>
      </x:c>
    </x:row>
    <x:row r="1988">
      <x:c r="A1988" t="str">
        <x:v>DW-1983</x:v>
      </x:c>
      <x:c r="B1988" t="str">
        <x:v>DW-0492</x:v>
      </x:c>
      <x:c r="C1988" t="str">
        <x:v>Composition héritée</x:v>
      </x:c>
      <x:c r="D1988" t="str">
        <x:v>Ruines et lieux dégradés visitables</x:v>
      </x:c>
      <x:c r="E1988" t="str">
        <x:v>Église en ruine — Petit bois et lisière / service déplacé à l’arrière</x:v>
      </x:c>
      <x:c r="F1988" t="n">
        <x:v>8</x:v>
      </x:c>
      <x:c r="G1988" t="n">
        <x:v>4</x:v>
      </x:c>
      <x:c r="H1988" t="n">
        <x:v>12</x:v>
      </x:c>
      <x:c r="I1988" t="str">
        <x:v>À qualifier par lieu</x:v>
      </x:c>
      <x:c r="J1988" t="str">
        <x:v>https://github.com/darknigthmare/deadwall-last-enclosure/blob/1b3b9c5ba232734b1bda3453b4e20a0481bcdd74/codex-3000/compositions/Ruines et lieux dégradés visitables/DW-1983.md</x:v>
      </x:c>
      <x:c r="K1988" t="str">
        <x:v>Source min 20,16 m ; max 180,120 m ; modèle 25 × 18 m ; niveaux 0. Détails dans catalogue-existant.json.</x:v>
      </x:c>
    </x:row>
    <x:row r="1989">
      <x:c r="A1989" t="str">
        <x:v>DW-1984</x:v>
      </x:c>
      <x:c r="B1989" t="str">
        <x:v>DW-0492</x:v>
      </x:c>
      <x:c r="C1989" t="str">
        <x:v>Composition héritée</x:v>
      </x:c>
      <x:c r="D1989" t="str">
        <x:v>Ruines et lieux dégradés visitables</x:v>
      </x:c>
      <x:c r="E1989" t="str">
        <x:v>Église en ruine — Centre ancien / réseau principal coupé</x:v>
      </x:c>
      <x:c r="F1989" t="n">
        <x:v>8</x:v>
      </x:c>
      <x:c r="G1989" t="n">
        <x:v>4</x:v>
      </x:c>
      <x:c r="H1989" t="n">
        <x:v>12</x:v>
      </x:c>
      <x:c r="I1989" t="str">
        <x:v>À qualifier par lieu</x:v>
      </x:c>
      <x:c r="J1989" t="str">
        <x:v>https://github.com/darknigthmare/deadwall-last-enclosure/blob/1b3b9c5ba232734b1bda3453b4e20a0481bcdd74/codex-3000/compositions/Ruines et lieux dégradés visitables/DW-1984.md</x:v>
      </x:c>
      <x:c r="K1989" t="str">
        <x:v>Source min 20,16 m ; max 180,120 m ; modèle 25 × 18 m ; niveaux 0. Détails dans catalogue-existant.json.</x:v>
      </x:c>
    </x:row>
    <x:row r="1990">
      <x:c r="A1990" t="str">
        <x:v>DW-1985</x:v>
      </x:c>
      <x:c r="B1990" t="str">
        <x:v>DW-0493</x:v>
      </x:c>
      <x:c r="C1990" t="str">
        <x:v>Composition héritée</x:v>
      </x:c>
      <x:c r="D1990" t="str">
        <x:v>Ruines et lieux dégradés visitables</x:v>
      </x:c>
      <x:c r="E1990" t="str">
        <x:v>Fort envahi par la végétation — Ruine envahie et reprise végétale / reprise progressive de la végétation</x:v>
      </x:c>
      <x:c r="F1990" t="n">
        <x:v>8</x:v>
      </x:c>
      <x:c r="G1990" t="n">
        <x:v>4</x:v>
      </x:c>
      <x:c r="H1990" t="n">
        <x:v>10</x:v>
      </x:c>
      <x:c r="I1990" t="str">
        <x:v>À qualifier par lieu</x:v>
      </x:c>
      <x:c r="J1990" t="str">
        <x:v>https://github.com/darknigthmare/deadwall-last-enclosure/blob/1b3b9c5ba232734b1bda3453b4e20a0481bcdd74/codex-3000/compositions/Ruines et lieux dégradés visitables/DW-1985.md</x:v>
      </x:c>
      <x:c r="K1990" t="str">
        <x:v>Source min 20,16 m ; max 180,120 m ; modèle 25 × 18 m ; niveaux 0. Détails dans catalogue-existant.json.</x:v>
      </x:c>
    </x:row>
    <x:row r="1991">
      <x:c r="A1991" t="str">
        <x:v>DW-1986</x:v>
      </x:c>
      <x:c r="B1991" t="str">
        <x:v>DW-0493</x:v>
      </x:c>
      <x:c r="C1991" t="str">
        <x:v>Composition héritée</x:v>
      </x:c>
      <x:c r="D1991" t="str">
        <x:v>Ruines et lieux dégradés visitables</x:v>
      </x:c>
      <x:c r="E1991" t="str">
        <x:v>Fort envahi par la végétation — Zone industrielle / repli organisé interrompu</x:v>
      </x:c>
      <x:c r="F1991" t="n">
        <x:v>8</x:v>
      </x:c>
      <x:c r="G1991" t="n">
        <x:v>4</x:v>
      </x:c>
      <x:c r="H1991" t="n">
        <x:v>10</x:v>
      </x:c>
      <x:c r="I1991" t="str">
        <x:v>À qualifier par lieu</x:v>
      </x:c>
      <x:c r="J1991" t="str">
        <x:v>https://github.com/darknigthmare/deadwall-last-enclosure/blob/1b3b9c5ba232734b1bda3453b4e20a0481bcdd74/codex-3000/compositions/Ruines et lieux dégradés visitables/DW-1986.md</x:v>
      </x:c>
      <x:c r="K1991" t="str">
        <x:v>Source min 20,16 m ; max 180,120 m ; modèle 25 × 18 m ; niveaux 0. Détails dans catalogue-existant.json.</x:v>
      </x:c>
    </x:row>
    <x:row r="1992">
      <x:c r="A1992" t="str">
        <x:v>DW-1987</x:v>
      </x:c>
      <x:c r="B1992" t="str">
        <x:v>DW-0494</x:v>
      </x:c>
      <x:c r="C1992" t="str">
        <x:v>Composition héritée</x:v>
      </x:c>
      <x:c r="D1992" t="str">
        <x:v>Ruines et lieux dégradés visitables</x:v>
      </x:c>
      <x:c r="E1992" t="str">
        <x:v>Station-service brûlée — Centre ancien / relais temporaire envisagé</x:v>
      </x:c>
      <x:c r="F1992" t="n">
        <x:v>8</x:v>
      </x:c>
      <x:c r="G1992" t="n">
        <x:v>4</x:v>
      </x:c>
      <x:c r="H1992" t="n">
        <x:v>12</x:v>
      </x:c>
      <x:c r="I1992" t="str">
        <x:v>À qualifier par lieu</x:v>
      </x:c>
      <x:c r="J1992" t="str">
        <x:v>https://github.com/darknigthmare/deadwall-last-enclosure/blob/1b3b9c5ba232734b1bda3453b4e20a0481bcdd74/codex-3000/compositions/Ruines et lieux dégradés visitables/DW-1987.md</x:v>
      </x:c>
      <x:c r="K1992" t="str">
        <x:v>Source min 20,16 m ; max 180,120 m ; modèle 25 × 18 m ; niveaux 0. Détails dans catalogue-existant.json.</x:v>
      </x:c>
    </x:row>
    <x:row r="1993">
      <x:c r="A1993" t="str">
        <x:v>DW-1988</x:v>
      </x:c>
      <x:c r="B1993" t="str">
        <x:v>DW-0494</x:v>
      </x:c>
      <x:c r="C1993" t="str">
        <x:v>Composition héritée</x:v>
      </x:c>
      <x:c r="D1993" t="str">
        <x:v>Ruines et lieux dégradés visitables</x:v>
      </x:c>
      <x:c r="E1993" t="str">
        <x:v>Station-service brûlée — Petit bois et lisière / évacuation interrompue</x:v>
      </x:c>
      <x:c r="F1993" t="n">
        <x:v>8</x:v>
      </x:c>
      <x:c r="G1993" t="n">
        <x:v>4</x:v>
      </x:c>
      <x:c r="H1993" t="n">
        <x:v>12</x:v>
      </x:c>
      <x:c r="I1993" t="str">
        <x:v>À qualifier par lieu</x:v>
      </x:c>
      <x:c r="J1993" t="str">
        <x:v>https://github.com/darknigthmare/deadwall-last-enclosure/blob/1b3b9c5ba232734b1bda3453b4e20a0481bcdd74/codex-3000/compositions/Ruines et lieux dégradés visitables/DW-1988.md</x:v>
      </x:c>
      <x:c r="K1993" t="str">
        <x:v>Source min 20,16 m ; max 180,120 m ; modèle 25 × 18 m ; niveaux 0. Détails dans catalogue-existant.json.</x:v>
      </x:c>
    </x:row>
    <x:row r="1994">
      <x:c r="A1994" t="str">
        <x:v>DW-1989</x:v>
      </x:c>
      <x:c r="B1994" t="str">
        <x:v>DW-0495</x:v>
      </x:c>
      <x:c r="C1994" t="str">
        <x:v>Composition héritée</x:v>
      </x:c>
      <x:c r="D1994" t="str">
        <x:v>Ruines et lieux dégradés visitables</x:v>
      </x:c>
      <x:c r="E1994" t="str">
        <x:v>Pont rompu — Zone industrielle / réseau principal coupé</x:v>
      </x:c>
      <x:c r="F1994" t="n">
        <x:v>8</x:v>
      </x:c>
      <x:c r="G1994" t="n">
        <x:v>4</x:v>
      </x:c>
      <x:c r="H1994" t="n">
        <x:v>12</x:v>
      </x:c>
      <x:c r="I1994" t="str">
        <x:v>À qualifier par lieu</x:v>
      </x:c>
      <x:c r="J1994" t="str">
        <x:v>https://github.com/darknigthmare/deadwall-last-enclosure/blob/1b3b9c5ba232734b1bda3453b4e20a0481bcdd74/codex-3000/compositions/Ruines et lieux dégradés visitables/DW-1989.md</x:v>
      </x:c>
      <x:c r="K1994" t="str">
        <x:v>Source min 20,16 m ; max 180,120 m ; modèle 25 × 18 m ; niveaux 0. Détails dans catalogue-existant.json.</x:v>
      </x:c>
    </x:row>
    <x:row r="1995">
      <x:c r="A1995" t="str">
        <x:v>DW-1990</x:v>
      </x:c>
      <x:c r="B1995" t="str">
        <x:v>DW-0495</x:v>
      </x:c>
      <x:c r="C1995" t="str">
        <x:v>Composition héritée</x:v>
      </x:c>
      <x:c r="D1995" t="str">
        <x:v>Ruines et lieux dégradés visitables</x:v>
      </x:c>
      <x:c r="E1995" t="str">
        <x:v>Pont rompu — Ruine envahie et reprise végétale / arrêt de maintenance</x:v>
      </x:c>
      <x:c r="F1995" t="n">
        <x:v>8</x:v>
      </x:c>
      <x:c r="G1995" t="n">
        <x:v>4</x:v>
      </x:c>
      <x:c r="H1995" t="n">
        <x:v>12</x:v>
      </x:c>
      <x:c r="I1995" t="str">
        <x:v>À qualifier par lieu</x:v>
      </x:c>
      <x:c r="J1995" t="str">
        <x:v>https://github.com/darknigthmare/deadwall-last-enclosure/blob/1b3b9c5ba232734b1bda3453b4e20a0481bcdd74/codex-3000/compositions/Ruines et lieux dégradés visitables/DW-1990.md</x:v>
      </x:c>
      <x:c r="K1995" t="str">
        <x:v>Source min 20,16 m ; max 180,120 m ; modèle 25 × 18 m ; niveaux 0. Détails dans catalogue-existant.json.</x:v>
      </x:c>
    </x:row>
    <x:row r="1996">
      <x:c r="A1996" t="str">
        <x:v>DW-1991</x:v>
      </x:c>
      <x:c r="B1996" t="str">
        <x:v>DW-0496</x:v>
      </x:c>
      <x:c r="C1996" t="str">
        <x:v>Composition héritée</x:v>
      </x:c>
      <x:c r="D1996" t="str">
        <x:v>Ruines et lieux dégradés visitables</x:v>
      </x:c>
      <x:c r="E1996" t="str">
        <x:v>Tunnel obstrué — Petit bois et lisière / repli organisé interrompu</x:v>
      </x:c>
      <x:c r="F1996" t="n">
        <x:v>8</x:v>
      </x:c>
      <x:c r="G1996" t="n">
        <x:v>4</x:v>
      </x:c>
      <x:c r="H1996" t="n">
        <x:v>12</x:v>
      </x:c>
      <x:c r="I1996" t="str">
        <x:v>À qualifier par lieu</x:v>
      </x:c>
      <x:c r="J1996" t="str">
        <x:v>https://github.com/darknigthmare/deadwall-last-enclosure/blob/1b3b9c5ba232734b1bda3453b4e20a0481bcdd74/codex-3000/compositions/Ruines et lieux dégradés visitables/DW-1991.md</x:v>
      </x:c>
      <x:c r="K1996" t="str">
        <x:v>Source min 20,16 m ; max 180,120 m ; modèle 25 × 18 m ; niveaux 0. Détails dans catalogue-existant.json.</x:v>
      </x:c>
    </x:row>
    <x:row r="1997">
      <x:c r="A1997" t="str">
        <x:v>DW-1992</x:v>
      </x:c>
      <x:c r="B1997" t="str">
        <x:v>DW-0496</x:v>
      </x:c>
      <x:c r="C1997" t="str">
        <x:v>Composition héritée</x:v>
      </x:c>
      <x:c r="D1997" t="str">
        <x:v>Ruines et lieux dégradés visitables</x:v>
      </x:c>
      <x:c r="E1997" t="str">
        <x:v>Tunnel obstrué — Centre ancien / première récupération passée</x:v>
      </x:c>
      <x:c r="F1997" t="n">
        <x:v>8</x:v>
      </x:c>
      <x:c r="G1997" t="n">
        <x:v>4</x:v>
      </x:c>
      <x:c r="H1997" t="n">
        <x:v>12</x:v>
      </x:c>
      <x:c r="I1997" t="str">
        <x:v>À qualifier par lieu</x:v>
      </x:c>
      <x:c r="J1997" t="str">
        <x:v>https://github.com/darknigthmare/deadwall-last-enclosure/blob/1b3b9c5ba232734b1bda3453b4e20a0481bcdd74/codex-3000/compositions/Ruines et lieux dégradés visitables/DW-1992.md</x:v>
      </x:c>
      <x:c r="K1997" t="str">
        <x:v>Source min 20,16 m ; max 180,120 m ; modèle 25 × 18 m ; niveaux 0. Détails dans catalogue-existant.json.</x:v>
      </x:c>
    </x:row>
    <x:row r="1998">
      <x:c r="A1998" t="str">
        <x:v>DW-1993</x:v>
      </x:c>
      <x:c r="B1998" t="str">
        <x:v>DW-0497</x:v>
      </x:c>
      <x:c r="C1998" t="str">
        <x:v>Composition héritée</x:v>
      </x:c>
      <x:c r="D1998" t="str">
        <x:v>Ruines et lieux dégradés visitables</x:v>
      </x:c>
      <x:c r="E1998" t="str">
        <x:v>Mine abandonnée visitable — Ruine envahie et reprise végétale / évacuation interrompue</x:v>
      </x:c>
      <x:c r="F1998" t="n">
        <x:v>8</x:v>
      </x:c>
      <x:c r="G1998" t="n">
        <x:v>4</x:v>
      </x:c>
      <x:c r="H1998" t="n">
        <x:v>10</x:v>
      </x:c>
      <x:c r="I1998" t="str">
        <x:v>À qualifier par lieu</x:v>
      </x:c>
      <x:c r="J1998" t="str">
        <x:v>https://github.com/darknigthmare/deadwall-last-enclosure/blob/1b3b9c5ba232734b1bda3453b4e20a0481bcdd74/codex-3000/compositions/Ruines et lieux dégradés visitables/DW-1993.md</x:v>
      </x:c>
      <x:c r="K1998" t="str">
        <x:v>Source min 20,16 m ; max 180,120 m ; modèle 25 × 18 m ; niveaux -1, 0. Détails dans catalogue-existant.json.</x:v>
      </x:c>
    </x:row>
    <x:row r="1999">
      <x:c r="A1999" t="str">
        <x:v>DW-1994</x:v>
      </x:c>
      <x:c r="B1999" t="str">
        <x:v>DW-0497</x:v>
      </x:c>
      <x:c r="C1999" t="str">
        <x:v>Composition héritée</x:v>
      </x:c>
      <x:c r="D1999" t="str">
        <x:v>Ruines et lieux dégradés visitables</x:v>
      </x:c>
      <x:c r="E1999" t="str">
        <x:v>Mine abandonnée visitable — Zone industrielle / service déplacé à l’arrière</x:v>
      </x:c>
      <x:c r="F1999" t="n">
        <x:v>8</x:v>
      </x:c>
      <x:c r="G1999" t="n">
        <x:v>4</x:v>
      </x:c>
      <x:c r="H1999" t="n">
        <x:v>10</x:v>
      </x:c>
      <x:c r="I1999" t="str">
        <x:v>À qualifier par lieu</x:v>
      </x:c>
      <x:c r="J1999" t="str">
        <x:v>https://github.com/darknigthmare/deadwall-last-enclosure/blob/1b3b9c5ba232734b1bda3453b4e20a0481bcdd74/codex-3000/compositions/Ruines et lieux dégradés visitables/DW-1994.md</x:v>
      </x:c>
      <x:c r="K1999" t="str">
        <x:v>Source min 20,16 m ; max 180,120 m ; modèle 25 × 18 m ; niveaux -1, 0. Détails dans catalogue-existant.json.</x:v>
      </x:c>
    </x:row>
    <x:row r="2000">
      <x:c r="A2000" t="str">
        <x:v>DW-1995</x:v>
      </x:c>
      <x:c r="B2000" t="str">
        <x:v>DW-0498</x:v>
      </x:c>
      <x:c r="C2000" t="str">
        <x:v>Composition héritée</x:v>
      </x:c>
      <x:c r="D2000" t="str">
        <x:v>Ruines et lieux dégradés visitables</x:v>
      </x:c>
      <x:c r="E2000" t="str">
        <x:v>Motel gagné par la forêt — Centre ancien / arrêt de maintenance</x:v>
      </x:c>
      <x:c r="F2000" t="n">
        <x:v>8</x:v>
      </x:c>
      <x:c r="G2000" t="n">
        <x:v>4</x:v>
      </x:c>
      <x:c r="H2000" t="n">
        <x:v>10</x:v>
      </x:c>
      <x:c r="I2000" t="str">
        <x:v>À qualifier par lieu</x:v>
      </x:c>
      <x:c r="J2000" t="str">
        <x:v>https://github.com/darknigthmare/deadwall-last-enclosure/blob/1b3b9c5ba232734b1bda3453b4e20a0481bcdd74/codex-3000/compositions/Ruines et lieux dégradés visitables/DW-1995.md</x:v>
      </x:c>
      <x:c r="K2000" t="str">
        <x:v>Source min 20,16 m ; max 180,120 m ; modèle 25 × 18 m ; niveaux 0, 1. Détails dans catalogue-existant.json.</x:v>
      </x:c>
    </x:row>
    <x:row r="2001">
      <x:c r="A2001" t="str">
        <x:v>DW-1996</x:v>
      </x:c>
      <x:c r="B2001" t="str">
        <x:v>DW-0498</x:v>
      </x:c>
      <x:c r="C2001" t="str">
        <x:v>Composition héritée</x:v>
      </x:c>
      <x:c r="D2001" t="str">
        <x:v>Ruines et lieux dégradés visitables</x:v>
      </x:c>
      <x:c r="E2001" t="str">
        <x:v>Motel gagné par la forêt — Petit bois et lisière / reprise progressive de la végétation</x:v>
      </x:c>
      <x:c r="F2001" t="n">
        <x:v>8</x:v>
      </x:c>
      <x:c r="G2001" t="n">
        <x:v>4</x:v>
      </x:c>
      <x:c r="H2001" t="n">
        <x:v>10</x:v>
      </x:c>
      <x:c r="I2001" t="str">
        <x:v>À qualifier par lieu</x:v>
      </x:c>
      <x:c r="J2001" t="str">
        <x:v>https://github.com/darknigthmare/deadwall-last-enclosure/blob/1b3b9c5ba232734b1bda3453b4e20a0481bcdd74/codex-3000/compositions/Ruines et lieux dégradés visitables/DW-1996.md</x:v>
      </x:c>
      <x:c r="K2001" t="str">
        <x:v>Source min 20,16 m ; max 180,120 m ; modèle 25 × 18 m ; niveaux 0, 1. Détails dans catalogue-existant.json.</x:v>
      </x:c>
    </x:row>
    <x:row r="2002">
      <x:c r="A2002" t="str">
        <x:v>DW-1997</x:v>
      </x:c>
      <x:c r="B2002" t="str">
        <x:v>DW-0499</x:v>
      </x:c>
      <x:c r="C2002" t="str">
        <x:v>Composition héritée</x:v>
      </x:c>
      <x:c r="D2002" t="str">
        <x:v>Ruines et lieux dégradés visitables</x:v>
      </x:c>
      <x:c r="E2002" t="str">
        <x:v>Village ruiné visitable — Zone industrielle / première récupération passée</x:v>
      </x:c>
      <x:c r="F2002" t="n">
        <x:v>8</x:v>
      </x:c>
      <x:c r="G2002" t="n">
        <x:v>5</x:v>
      </x:c>
      <x:c r="H2002" t="n">
        <x:v>15</x:v>
      </x:c>
      <x:c r="I2002" t="str">
        <x:v>À qualifier par lieu</x:v>
      </x:c>
      <x:c r="J2002" t="str">
        <x:v>https://github.com/darknigthmare/deadwall-last-enclosure/blob/1b3b9c5ba232734b1bda3453b4e20a0481bcdd74/codex-3000/compositions/Ruines et lieux dégradés visitables/DW-1997.md</x:v>
      </x:c>
      <x:c r="K2002" t="str">
        <x:v>Source min 20,16 m ; max 180,120 m ; modèle 26 × 22 m ; niveaux 0. Détails dans catalogue-existant.json.</x:v>
      </x:c>
    </x:row>
    <x:row r="2003">
      <x:c r="A2003" t="str">
        <x:v>DW-1998</x:v>
      </x:c>
      <x:c r="B2003" t="str">
        <x:v>DW-0499</x:v>
      </x:c>
      <x:c r="C2003" t="str">
        <x:v>Composition héritée</x:v>
      </x:c>
      <x:c r="D2003" t="str">
        <x:v>Ruines et lieux dégradés visitables</x:v>
      </x:c>
      <x:c r="E2003" t="str">
        <x:v>Village ruiné visitable — Ruine envahie et reprise végétale / relais temporaire envisagé</x:v>
      </x:c>
      <x:c r="F2003" t="n">
        <x:v>8</x:v>
      </x:c>
      <x:c r="G2003" t="n">
        <x:v>5</x:v>
      </x:c>
      <x:c r="H2003" t="n">
        <x:v>15</x:v>
      </x:c>
      <x:c r="I2003" t="str">
        <x:v>À qualifier par lieu</x:v>
      </x:c>
      <x:c r="J2003" t="str">
        <x:v>https://github.com/darknigthmare/deadwall-last-enclosure/blob/1b3b9c5ba232734b1bda3453b4e20a0481bcdd74/codex-3000/compositions/Ruines et lieux dégradés visitables/DW-1998.md</x:v>
      </x:c>
      <x:c r="K2003" t="str">
        <x:v>Source min 20,16 m ; max 180,120 m ; modèle 26 × 22 m ; niveaux 0. Détails dans catalogue-existant.json.</x:v>
      </x:c>
    </x:row>
    <x:row r="2004">
      <x:c r="A2004" t="str">
        <x:v>DW-1999</x:v>
      </x:c>
      <x:c r="B2004" t="str">
        <x:v>DW-0500</x:v>
      </x:c>
      <x:c r="C2004" t="str">
        <x:v>Composition héritée</x:v>
      </x:c>
      <x:c r="D2004" t="str">
        <x:v>Ruines et lieux dégradés visitables</x:v>
      </x:c>
      <x:c r="E2004" t="str">
        <x:v>Bunker civil dégradé — Petit bois et lisière / service déplacé à l’arrière</x:v>
      </x:c>
      <x:c r="F2004" t="n">
        <x:v>8</x:v>
      </x:c>
      <x:c r="G2004" t="n">
        <x:v>5</x:v>
      </x:c>
      <x:c r="H2004" t="n">
        <x:v>13</x:v>
      </x:c>
      <x:c r="I2004" t="str">
        <x:v>À qualifier par lieu</x:v>
      </x:c>
      <x:c r="J2004" t="str">
        <x:v>https://github.com/darknigthmare/deadwall-last-enclosure/blob/1b3b9c5ba232734b1bda3453b4e20a0481bcdd74/codex-3000/compositions/Ruines et lieux dégradés visitables/DW-1999.md</x:v>
      </x:c>
      <x:c r="K2004" t="str">
        <x:v>Source min 20,16 m ; max 180,120 m ; modèle 26 × 22 m ; niveaux -1, 0. Détails dans catalogue-existant.json.</x:v>
      </x:c>
    </x:row>
    <x:row r="2005">
      <x:c r="A2005" t="str">
        <x:v>DW-2000</x:v>
      </x:c>
      <x:c r="B2005" t="str">
        <x:v>DW-0500</x:v>
      </x:c>
      <x:c r="C2005" t="str">
        <x:v>Composition héritée</x:v>
      </x:c>
      <x:c r="D2005" t="str">
        <x:v>Ruines et lieux dégradés visitables</x:v>
      </x:c>
      <x:c r="E2005" t="str">
        <x:v>Bunker civil dégradé — Centre ancien / réseau principal coupé</x:v>
      </x:c>
      <x:c r="F2005" t="n">
        <x:v>8</x:v>
      </x:c>
      <x:c r="G2005" t="n">
        <x:v>5</x:v>
      </x:c>
      <x:c r="H2005" t="n">
        <x:v>13</x:v>
      </x:c>
      <x:c r="I2005" t="str">
        <x:v>À qualifier par lieu</x:v>
      </x:c>
      <x:c r="J2005" t="str">
        <x:v>https://github.com/darknigthmare/deadwall-last-enclosure/blob/1b3b9c5ba232734b1bda3453b4e20a0481bcdd74/codex-3000/compositions/Ruines et lieux dégradés visitables/DW-2000.md</x:v>
      </x:c>
      <x:c r="K2005" t="str">
        <x:v>Source min 20,16 m ; max 180,120 m ; modèle 26 × 22 m ; niveaux -1, 0. Détails dans catalogue-existant.json.</x:v>
      </x:c>
    </x:row>
    <x:row r="2006">
      <x:c r="A2006" t="str">
        <x:v>DW-2001</x:v>
      </x:c>
      <x:c r="B2006" t="str">
        <x:v>DW-0501</x:v>
      </x:c>
      <x:c r="C2006" t="str">
        <x:v>Composition héritée</x:v>
      </x:c>
      <x:c r="D2006" t="str">
        <x:v>habitat</x:v>
      </x:c>
      <x:c r="E2006" t="str">
        <x:v>Maison de lotissement — variante 01 — Quartier pavillonnaire / reprise progressive de la végétation</x:v>
      </x:c>
      <x:c r="F2006" t="n">
        <x:v>8</x:v>
      </x:c>
      <x:c r="G2006" t="n">
        <x:v>5</x:v>
      </x:c>
      <x:c r="H2006" t="n">
        <x:v>0</x:v>
      </x:c>
      <x:c r="I2006" t="str">
        <x:v>À qualifier par lieu</x:v>
      </x:c>
      <x:c r="J2006" t="str">
        <x:v>https://github.com/darknigthmare/deadwall-last-enclosure/blob/1b3b9c5ba232734b1bda3453b4e20a0481bcdd74/codex-3000/compositions/habitat/DW-2001.md</x:v>
      </x:c>
      <x:c r="K2006" t="str">
        <x:v>Source min 10,9 m ; max 10,9 m ; modèle 26 × 22 m ; niveaux 0, 1. Détails dans catalogue-existant.json.</x:v>
      </x:c>
    </x:row>
    <x:row r="2007">
      <x:c r="A2007" t="str">
        <x:v>DW-2002</x:v>
      </x:c>
      <x:c r="B2007" t="str">
        <x:v>DW-0501</x:v>
      </x:c>
      <x:c r="C2007" t="str">
        <x:v>Composition héritée</x:v>
      </x:c>
      <x:c r="D2007" t="str">
        <x:v>habitat</x:v>
      </x:c>
      <x:c r="E2007" t="str">
        <x:v>Maison de lotissement — variante 01 — Village et bourg / repli organisé interrompu</x:v>
      </x:c>
      <x:c r="F2007" t="n">
        <x:v>8</x:v>
      </x:c>
      <x:c r="G2007" t="n">
        <x:v>5</x:v>
      </x:c>
      <x:c r="H2007" t="n">
        <x:v>0</x:v>
      </x:c>
      <x:c r="I2007" t="str">
        <x:v>À qualifier par lieu</x:v>
      </x:c>
      <x:c r="J2007" t="str">
        <x:v>https://github.com/darknigthmare/deadwall-last-enclosure/blob/1b3b9c5ba232734b1bda3453b4e20a0481bcdd74/codex-3000/compositions/habitat/DW-2002.md</x:v>
      </x:c>
      <x:c r="K2007" t="str">
        <x:v>Source min 10,9 m ; max 10,9 m ; modèle 26 × 22 m ; niveaux 0, 1. Détails dans catalogue-existant.json.</x:v>
      </x:c>
    </x:row>
    <x:row r="2008">
      <x:c r="A2008" t="str">
        <x:v>DW-2003</x:v>
      </x:c>
      <x:c r="B2008" t="str">
        <x:v>DW-0502</x:v>
      </x:c>
      <x:c r="C2008" t="str">
        <x:v>Composition héritée</x:v>
      </x:c>
      <x:c r="D2008" t="str">
        <x:v>habitat</x:v>
      </x:c>
      <x:c r="E2008" t="str">
        <x:v>Maison mitoyenne — variante 01 — Hameau / relais temporaire envisagé</x:v>
      </x:c>
      <x:c r="F2008" t="n">
        <x:v>8</x:v>
      </x:c>
      <x:c r="G2008" t="n">
        <x:v>5</x:v>
      </x:c>
      <x:c r="H2008" t="n">
        <x:v>0</x:v>
      </x:c>
      <x:c r="I2008" t="str">
        <x:v>À qualifier par lieu</x:v>
      </x:c>
      <x:c r="J2008" t="str">
        <x:v>https://github.com/darknigthmare/deadwall-last-enclosure/blob/1b3b9c5ba232734b1bda3453b4e20a0481bcdd74/codex-3000/compositions/habitat/DW-2003.md</x:v>
      </x:c>
      <x:c r="K2008" t="str">
        <x:v>Source min 21,26 m ; max 21,26 m ; modèle 26 × 26 m ; niveaux 0. Détails dans catalogue-existant.json.</x:v>
      </x:c>
    </x:row>
    <x:row r="2009">
      <x:c r="A2009" t="str">
        <x:v>DW-2004</x:v>
      </x:c>
      <x:c r="B2009" t="str">
        <x:v>DW-0502</x:v>
      </x:c>
      <x:c r="C2009" t="str">
        <x:v>Composition héritée</x:v>
      </x:c>
      <x:c r="D2009" t="str">
        <x:v>habitat</x:v>
      </x:c>
      <x:c r="E2009" t="str">
        <x:v>Maison mitoyenne — variante 01 — Quartier collectif / évacuation interrompue</x:v>
      </x:c>
      <x:c r="F2009" t="n">
        <x:v>8</x:v>
      </x:c>
      <x:c r="G2009" t="n">
        <x:v>5</x:v>
      </x:c>
      <x:c r="H2009" t="n">
        <x:v>0</x:v>
      </x:c>
      <x:c r="I2009" t="str">
        <x:v>À qualifier par lieu</x:v>
      </x:c>
      <x:c r="J2009" t="str">
        <x:v>https://github.com/darknigthmare/deadwall-last-enclosure/blob/1b3b9c5ba232734b1bda3453b4e20a0481bcdd74/codex-3000/compositions/habitat/DW-2004.md</x:v>
      </x:c>
      <x:c r="K2009" t="str">
        <x:v>Source min 21,26 m ; max 21,26 m ; modèle 26 × 26 m ; niveaux 0. Détails dans catalogue-existant.json.</x:v>
      </x:c>
    </x:row>
    <x:row r="2010">
      <x:c r="A2010" t="str">
        <x:v>DW-2005</x:v>
      </x:c>
      <x:c r="B2010" t="str">
        <x:v>DW-0503</x:v>
      </x:c>
      <x:c r="C2010" t="str">
        <x:v>Composition héritée</x:v>
      </x:c>
      <x:c r="D2010" t="str">
        <x:v>habitat</x:v>
      </x:c>
      <x:c r="E2010" t="str">
        <x:v>Villa isolée — variante 01 — Village et bourg / réseau principal coupé</x:v>
      </x:c>
      <x:c r="F2010" t="n">
        <x:v>8</x:v>
      </x:c>
      <x:c r="G2010" t="n">
        <x:v>7</x:v>
      </x:c>
      <x:c r="H2010" t="n">
        <x:v>0</x:v>
      </x:c>
      <x:c r="I2010" t="str">
        <x:v>À qualifier par lieu</x:v>
      </x:c>
      <x:c r="J2010" t="str">
        <x:v>https://github.com/darknigthmare/deadwall-last-enclosure/blob/1b3b9c5ba232734b1bda3453b4e20a0481bcdd74/codex-3000/compositions/habitat/DW-2005.md</x:v>
      </x:c>
      <x:c r="K2010" t="str">
        <x:v>Source min 32,43 m ; max 32,43 m ; modèle 32 × 43 m ; niveaux 0. Détails dans catalogue-existant.json.</x:v>
      </x:c>
    </x:row>
    <x:row r="2011">
      <x:c r="A2011" t="str">
        <x:v>DW-2006</x:v>
      </x:c>
      <x:c r="B2011" t="str">
        <x:v>DW-0503</x:v>
      </x:c>
      <x:c r="C2011" t="str">
        <x:v>Composition héritée</x:v>
      </x:c>
      <x:c r="D2011" t="str">
        <x:v>habitat</x:v>
      </x:c>
      <x:c r="E2011" t="str">
        <x:v>Villa isolée — variante 01 — Quartier pavillonnaire / arrêt de maintenance</x:v>
      </x:c>
      <x:c r="F2011" t="n">
        <x:v>8</x:v>
      </x:c>
      <x:c r="G2011" t="n">
        <x:v>7</x:v>
      </x:c>
      <x:c r="H2011" t="n">
        <x:v>0</x:v>
      </x:c>
      <x:c r="I2011" t="str">
        <x:v>À qualifier par lieu</x:v>
      </x:c>
      <x:c r="J2011" t="str">
        <x:v>https://github.com/darknigthmare/deadwall-last-enclosure/blob/1b3b9c5ba232734b1bda3453b4e20a0481bcdd74/codex-3000/compositions/habitat/DW-2006.md</x:v>
      </x:c>
      <x:c r="K2011" t="str">
        <x:v>Source min 32,43 m ; max 32,43 m ; modèle 32 × 43 m ; niveaux 0. Détails dans catalogue-existant.json.</x:v>
      </x:c>
    </x:row>
    <x:row r="2012">
      <x:c r="A2012" t="str">
        <x:v>DW-2007</x:v>
      </x:c>
      <x:c r="B2012" t="str">
        <x:v>DW-0504</x:v>
      </x:c>
      <x:c r="C2012" t="str">
        <x:v>Composition héritée</x:v>
      </x:c>
      <x:c r="D2012" t="str">
        <x:v>habitat</x:v>
      </x:c>
      <x:c r="E2012" t="str">
        <x:v>Ferme familiale — variante 01 — Quartier collectif / repli organisé interrompu</x:v>
      </x:c>
      <x:c r="F2012" t="n">
        <x:v>8</x:v>
      </x:c>
      <x:c r="G2012" t="n">
        <x:v>6</x:v>
      </x:c>
      <x:c r="H2012" t="n">
        <x:v>0</x:v>
      </x:c>
      <x:c r="I2012" t="str">
        <x:v>À qualifier par lieu</x:v>
      </x:c>
      <x:c r="J2012" t="str">
        <x:v>https://github.com/darknigthmare/deadwall-last-enclosure/blob/1b3b9c5ba232734b1bda3453b4e20a0481bcdd74/codex-3000/compositions/habitat/DW-2007.md</x:v>
      </x:c>
      <x:c r="K2012" t="str">
        <x:v>Source min 43,60 m ; max 43,60 m ; modèle 43 × 60 m ; niveaux 0. Détails dans catalogue-existant.json.</x:v>
      </x:c>
    </x:row>
    <x:row r="2013">
      <x:c r="A2013" t="str">
        <x:v>DW-2008</x:v>
      </x:c>
      <x:c r="B2013" t="str">
        <x:v>DW-0504</x:v>
      </x:c>
      <x:c r="C2013" t="str">
        <x:v>Composition héritée</x:v>
      </x:c>
      <x:c r="D2013" t="str">
        <x:v>habitat</x:v>
      </x:c>
      <x:c r="E2013" t="str">
        <x:v>Ferme familiale — variante 01 — Hameau / première récupération passée</x:v>
      </x:c>
      <x:c r="F2013" t="n">
        <x:v>8</x:v>
      </x:c>
      <x:c r="G2013" t="n">
        <x:v>6</x:v>
      </x:c>
      <x:c r="H2013" t="n">
        <x:v>0</x:v>
      </x:c>
      <x:c r="I2013" t="str">
        <x:v>À qualifier par lieu</x:v>
      </x:c>
      <x:c r="J2013" t="str">
        <x:v>https://github.com/darknigthmare/deadwall-last-enclosure/blob/1b3b9c5ba232734b1bda3453b4e20a0481bcdd74/codex-3000/compositions/habitat/DW-2008.md</x:v>
      </x:c>
      <x:c r="K2013" t="str">
        <x:v>Source min 43,60 m ; max 43,60 m ; modèle 43 × 60 m ; niveaux 0. Détails dans catalogue-existant.json.</x:v>
      </x:c>
    </x:row>
    <x:row r="2014">
      <x:c r="A2014" t="str">
        <x:v>DW-2009</x:v>
      </x:c>
      <x:c r="B2014" t="str">
        <x:v>DW-0505</x:v>
      </x:c>
      <x:c r="C2014" t="str">
        <x:v>Composition héritée</x:v>
      </x:c>
      <x:c r="D2014" t="str">
        <x:v>habitat</x:v>
      </x:c>
      <x:c r="E2014" t="str">
        <x:v>Immeuble résidentiel — variante 01 — Quartier pavillonnaire / évacuation interrompue</x:v>
      </x:c>
      <x:c r="F2014" t="n">
        <x:v>8</x:v>
      </x:c>
      <x:c r="G2014" t="n">
        <x:v>5</x:v>
      </x:c>
      <x:c r="H2014" t="n">
        <x:v>0</x:v>
      </x:c>
      <x:c r="I2014" t="str">
        <x:v>À qualifier par lieu</x:v>
      </x:c>
      <x:c r="J2014" t="str">
        <x:v>https://github.com/darknigthmare/deadwall-last-enclosure/blob/1b3b9c5ba232734b1bda3453b4e20a0481bcdd74/codex-3000/compositions/habitat/DW-2009.md</x:v>
      </x:c>
      <x:c r="K2014" t="str">
        <x:v>Source min 54,23 m ; max 54,23 m ; modèle 54 × 23 m ; niveaux 0, 1, 2. Détails dans catalogue-existant.json.</x:v>
      </x:c>
    </x:row>
    <x:row r="2015">
      <x:c r="A2015" t="str">
        <x:v>DW-2010</x:v>
      </x:c>
      <x:c r="B2015" t="str">
        <x:v>DW-0505</x:v>
      </x:c>
      <x:c r="C2015" t="str">
        <x:v>Composition héritée</x:v>
      </x:c>
      <x:c r="D2015" t="str">
        <x:v>habitat</x:v>
      </x:c>
      <x:c r="E2015" t="str">
        <x:v>Immeuble résidentiel — variante 01 — Village et bourg / service déplacé à l’arrière</x:v>
      </x:c>
      <x:c r="F2015" t="n">
        <x:v>8</x:v>
      </x:c>
      <x:c r="G2015" t="n">
        <x:v>5</x:v>
      </x:c>
      <x:c r="H2015" t="n">
        <x:v>0</x:v>
      </x:c>
      <x:c r="I2015" t="str">
        <x:v>À qualifier par lieu</x:v>
      </x:c>
      <x:c r="J2015" t="str">
        <x:v>https://github.com/darknigthmare/deadwall-last-enclosure/blob/1b3b9c5ba232734b1bda3453b4e20a0481bcdd74/codex-3000/compositions/habitat/DW-2010.md</x:v>
      </x:c>
      <x:c r="K2015" t="str">
        <x:v>Source min 54,23 m ; max 54,23 m ; modèle 54 × 23 m ; niveaux 0, 1, 2. Détails dans catalogue-existant.json.</x:v>
      </x:c>
    </x:row>
    <x:row r="2016">
      <x:c r="A2016" t="str">
        <x:v>DW-2011</x:v>
      </x:c>
      <x:c r="B2016" t="str">
        <x:v>DW-0506</x:v>
      </x:c>
      <x:c r="C2016" t="str">
        <x:v>Composition héritée</x:v>
      </x:c>
      <x:c r="D2016" t="str">
        <x:v>habitat</x:v>
      </x:c>
      <x:c r="E2016" t="str">
        <x:v>Barre de logements — variante 01 — Hameau / arrêt de maintenance</x:v>
      </x:c>
      <x:c r="F2016" t="n">
        <x:v>8</x:v>
      </x:c>
      <x:c r="G2016" t="n">
        <x:v>5</x:v>
      </x:c>
      <x:c r="H2016" t="n">
        <x:v>0</x:v>
      </x:c>
      <x:c r="I2016" t="str">
        <x:v>À qualifier par lieu</x:v>
      </x:c>
      <x:c r="J2016" t="str">
        <x:v>https://github.com/darknigthmare/deadwall-last-enclosure/blob/1b3b9c5ba232734b1bda3453b4e20a0481bcdd74/codex-3000/compositions/habitat/DW-2011.md</x:v>
      </x:c>
      <x:c r="K2016" t="str">
        <x:v>Source min 65,40 m ; max 65,40 m ; modèle 65 × 40 m ; niveaux 0, 1, 2. Détails dans catalogue-existant.json.</x:v>
      </x:c>
    </x:row>
    <x:row r="2017">
      <x:c r="A2017" t="str">
        <x:v>DW-2012</x:v>
      </x:c>
      <x:c r="B2017" t="str">
        <x:v>DW-0506</x:v>
      </x:c>
      <x:c r="C2017" t="str">
        <x:v>Composition héritée</x:v>
      </x:c>
      <x:c r="D2017" t="str">
        <x:v>habitat</x:v>
      </x:c>
      <x:c r="E2017" t="str">
        <x:v>Barre de logements — variante 01 — Quartier collectif / reprise progressive de la végétation</x:v>
      </x:c>
      <x:c r="F2017" t="n">
        <x:v>8</x:v>
      </x:c>
      <x:c r="G2017" t="n">
        <x:v>5</x:v>
      </x:c>
      <x:c r="H2017" t="n">
        <x:v>0</x:v>
      </x:c>
      <x:c r="I2017" t="str">
        <x:v>À qualifier par lieu</x:v>
      </x:c>
      <x:c r="J2017" t="str">
        <x:v>https://github.com/darknigthmare/deadwall-last-enclosure/blob/1b3b9c5ba232734b1bda3453b4e20a0481bcdd74/codex-3000/compositions/habitat/DW-2012.md</x:v>
      </x:c>
      <x:c r="K2017" t="str">
        <x:v>Source min 65,40 m ; max 65,40 m ; modèle 65 × 40 m ; niveaux 0, 1, 2. Détails dans catalogue-existant.json.</x:v>
      </x:c>
    </x:row>
    <x:row r="2018">
      <x:c r="A2018" t="str">
        <x:v>DW-2013</x:v>
      </x:c>
      <x:c r="B2018" t="str">
        <x:v>DW-0507</x:v>
      </x:c>
      <x:c r="C2018" t="str">
        <x:v>Composition héritée</x:v>
      </x:c>
      <x:c r="D2018" t="str">
        <x:v>habitat</x:v>
      </x:c>
      <x:c r="E2018" t="str">
        <x:v>Résidence senior — variante 01 — Village et bourg / première récupération passée</x:v>
      </x:c>
      <x:c r="F2018" t="n">
        <x:v>8</x:v>
      </x:c>
      <x:c r="G2018" t="n">
        <x:v>5</x:v>
      </x:c>
      <x:c r="H2018" t="n">
        <x:v>0</x:v>
      </x:c>
      <x:c r="I2018" t="str">
        <x:v>À qualifier par lieu</x:v>
      </x:c>
      <x:c r="J2018" t="str">
        <x:v>https://github.com/darknigthmare/deadwall-last-enclosure/blob/1b3b9c5ba232734b1bda3453b4e20a0481bcdd74/codex-3000/compositions/habitat/DW-2013.md</x:v>
      </x:c>
      <x:c r="K2018" t="str">
        <x:v>Source min 76,57 m ; max 76,57 m ; modèle 76 × 57 m ; niveaux 0, 1. Détails dans catalogue-existant.json.</x:v>
      </x:c>
    </x:row>
    <x:row r="2019">
      <x:c r="A2019" t="str">
        <x:v>DW-2014</x:v>
      </x:c>
      <x:c r="B2019" t="str">
        <x:v>DW-0507</x:v>
      </x:c>
      <x:c r="C2019" t="str">
        <x:v>Composition héritée</x:v>
      </x:c>
      <x:c r="D2019" t="str">
        <x:v>habitat</x:v>
      </x:c>
      <x:c r="E2019" t="str">
        <x:v>Résidence senior — variante 01 — Quartier pavillonnaire / relais temporaire envisagé</x:v>
      </x:c>
      <x:c r="F2019" t="n">
        <x:v>8</x:v>
      </x:c>
      <x:c r="G2019" t="n">
        <x:v>5</x:v>
      </x:c>
      <x:c r="H2019" t="n">
        <x:v>0</x:v>
      </x:c>
      <x:c r="I2019" t="str">
        <x:v>À qualifier par lieu</x:v>
      </x:c>
      <x:c r="J2019" t="str">
        <x:v>https://github.com/darknigthmare/deadwall-last-enclosure/blob/1b3b9c5ba232734b1bda3453b4e20a0481bcdd74/codex-3000/compositions/habitat/DW-2014.md</x:v>
      </x:c>
      <x:c r="K2019" t="str">
        <x:v>Source min 76,57 m ; max 76,57 m ; modèle 76 × 57 m ; niveaux 0, 1. Détails dans catalogue-existant.json.</x:v>
      </x:c>
    </x:row>
    <x:row r="2020">
      <x:c r="A2020" t="str">
        <x:v>DW-2015</x:v>
      </x:c>
      <x:c r="B2020" t="str">
        <x:v>DW-0508</x:v>
      </x:c>
      <x:c r="C2020" t="str">
        <x:v>Composition héritée</x:v>
      </x:c>
      <x:c r="D2020" t="str">
        <x:v>habitat</x:v>
      </x:c>
      <x:c r="E2020" t="str">
        <x:v>Maison avec sous-sol — variante 01 — Quartier collectif / service déplacé à l’arrière</x:v>
      </x:c>
      <x:c r="F2020" t="n">
        <x:v>8</x:v>
      </x:c>
      <x:c r="G2020" t="n">
        <x:v>5</x:v>
      </x:c>
      <x:c r="H2020" t="n">
        <x:v>0</x:v>
      </x:c>
      <x:c r="I2020" t="str">
        <x:v>À qualifier par lieu</x:v>
      </x:c>
      <x:c r="J2020" t="str">
        <x:v>https://github.com/darknigthmare/deadwall-last-enclosure/blob/1b3b9c5ba232734b1bda3453b4e20a0481bcdd74/codex-3000/compositions/habitat/DW-2015.md</x:v>
      </x:c>
      <x:c r="K2020" t="str">
        <x:v>Source min 15,20 m ; max 15,20 m ; modèle 26 × 22 m ; niveaux 0. Détails dans catalogue-existant.json.</x:v>
      </x:c>
    </x:row>
    <x:row r="2021">
      <x:c r="A2021" t="str">
        <x:v>DW-2016</x:v>
      </x:c>
      <x:c r="B2021" t="str">
        <x:v>DW-0508</x:v>
      </x:c>
      <x:c r="C2021" t="str">
        <x:v>Composition héritée</x:v>
      </x:c>
      <x:c r="D2021" t="str">
        <x:v>habitat</x:v>
      </x:c>
      <x:c r="E2021" t="str">
        <x:v>Maison avec sous-sol — variante 01 — Hameau / réseau principal coupé</x:v>
      </x:c>
      <x:c r="F2021" t="n">
        <x:v>8</x:v>
      </x:c>
      <x:c r="G2021" t="n">
        <x:v>5</x:v>
      </x:c>
      <x:c r="H2021" t="n">
        <x:v>0</x:v>
      </x:c>
      <x:c r="I2021" t="str">
        <x:v>À qualifier par lieu</x:v>
      </x:c>
      <x:c r="J2021" t="str">
        <x:v>https://github.com/darknigthmare/deadwall-last-enclosure/blob/1b3b9c5ba232734b1bda3453b4e20a0481bcdd74/codex-3000/compositions/habitat/DW-2016.md</x:v>
      </x:c>
      <x:c r="K2021" t="str">
        <x:v>Source min 15,20 m ; max 15,20 m ; modèle 26 × 22 m ; niveaux 0. Détails dans catalogue-existant.json.</x:v>
      </x:c>
    </x:row>
    <x:row r="2022">
      <x:c r="A2022" t="str">
        <x:v>DW-2017</x:v>
      </x:c>
      <x:c r="B2022" t="str">
        <x:v>DW-0509</x:v>
      </x:c>
      <x:c r="C2022" t="str">
        <x:v>Composition héritée</x:v>
      </x:c>
      <x:c r="D2022" t="str">
        <x:v>commerce</x:v>
      </x:c>
      <x:c r="E2022" t="str">
        <x:v>Supérette — variante 01 — Zone commerciale / reprise progressive de la végétation</x:v>
      </x:c>
      <x:c r="F2022" t="n">
        <x:v>8</x:v>
      </x:c>
      <x:c r="G2022" t="n">
        <x:v>5</x:v>
      </x:c>
      <x:c r="H2022" t="n">
        <x:v>0</x:v>
      </x:c>
      <x:c r="I2022" t="str">
        <x:v>À qualifier par lieu</x:v>
      </x:c>
      <x:c r="J2022" t="str">
        <x:v>https://github.com/darknigthmare/deadwall-last-enclosure/blob/1b3b9c5ba232734b1bda3453b4e20a0481bcdd74/codex-3000/compositions/commerce/DW-2017.md</x:v>
      </x:c>
      <x:c r="K2022" t="str">
        <x:v>Source min 26,37 m ; max 26,37 m ; modèle 26 × 37 m ; niveaux 0, 1. Détails dans catalogue-existant.json.</x:v>
      </x:c>
    </x:row>
    <x:row r="2023">
      <x:c r="A2023" t="str">
        <x:v>DW-2018</x:v>
      </x:c>
      <x:c r="B2023" t="str">
        <x:v>DW-0509</x:v>
      </x:c>
      <x:c r="C2023" t="str">
        <x:v>Composition héritée</x:v>
      </x:c>
      <x:c r="D2023" t="str">
        <x:v>commerce</x:v>
      </x:c>
      <x:c r="E2023" t="str">
        <x:v>Supérette — variante 01 — Village et bourg / repli organisé interrompu</x:v>
      </x:c>
      <x:c r="F2023" t="n">
        <x:v>8</x:v>
      </x:c>
      <x:c r="G2023" t="n">
        <x:v>5</x:v>
      </x:c>
      <x:c r="H2023" t="n">
        <x:v>0</x:v>
      </x:c>
      <x:c r="I2023" t="str">
        <x:v>À qualifier par lieu</x:v>
      </x:c>
      <x:c r="J2023" t="str">
        <x:v>https://github.com/darknigthmare/deadwall-last-enclosure/blob/1b3b9c5ba232734b1bda3453b4e20a0481bcdd74/codex-3000/compositions/commerce/DW-2018.md</x:v>
      </x:c>
      <x:c r="K2023" t="str">
        <x:v>Source min 26,37 m ; max 26,37 m ; modèle 26 × 37 m ; niveaux 0, 1. Détails dans catalogue-existant.json.</x:v>
      </x:c>
    </x:row>
    <x:row r="2024">
      <x:c r="A2024" t="str">
        <x:v>DW-2019</x:v>
      </x:c>
      <x:c r="B2024" t="str">
        <x:v>DW-0510</x:v>
      </x:c>
      <x:c r="C2024" t="str">
        <x:v>Composition héritée</x:v>
      </x:c>
      <x:c r="D2024" t="str">
        <x:v>commerce</x:v>
      </x:c>
      <x:c r="E2024" t="str">
        <x:v>Centre commercial — variante 01 — Ville moyenne / relais temporaire envisagé</x:v>
      </x:c>
      <x:c r="F2024" t="n">
        <x:v>8</x:v>
      </x:c>
      <x:c r="G2024" t="n">
        <x:v>6</x:v>
      </x:c>
      <x:c r="H2024" t="n">
        <x:v>0</x:v>
      </x:c>
      <x:c r="I2024" t="str">
        <x:v>À qualifier par lieu</x:v>
      </x:c>
      <x:c r="J2024" t="str">
        <x:v>https://github.com/darknigthmare/deadwall-last-enclosure/blob/1b3b9c5ba232734b1bda3453b4e20a0481bcdd74/codex-3000/compositions/commerce/DW-2019.md</x:v>
      </x:c>
      <x:c r="K2024" t="str">
        <x:v>Source min 37,54 m ; max 37,54 m ; modèle 37 × 54 m ; niveaux 0. Détails dans catalogue-existant.json.</x:v>
      </x:c>
    </x:row>
    <x:row r="2025">
      <x:c r="A2025" t="str">
        <x:v>DW-2020</x:v>
      </x:c>
      <x:c r="B2025" t="str">
        <x:v>DW-0510</x:v>
      </x:c>
      <x:c r="C2025" t="str">
        <x:v>Composition héritée</x:v>
      </x:c>
      <x:c r="D2025" t="str">
        <x:v>commerce</x:v>
      </x:c>
      <x:c r="E2025" t="str">
        <x:v>Centre commercial — variante 01 — Grande ville et métropole / évacuation interrompue</x:v>
      </x:c>
      <x:c r="F2025" t="n">
        <x:v>8</x:v>
      </x:c>
      <x:c r="G2025" t="n">
        <x:v>6</x:v>
      </x:c>
      <x:c r="H2025" t="n">
        <x:v>0</x:v>
      </x:c>
      <x:c r="I2025" t="str">
        <x:v>À qualifier par lieu</x:v>
      </x:c>
      <x:c r="J2025" t="str">
        <x:v>https://github.com/darknigthmare/deadwall-last-enclosure/blob/1b3b9c5ba232734b1bda3453b4e20a0481bcdd74/codex-3000/compositions/commerce/DW-2020.md</x:v>
      </x:c>
      <x:c r="K2025" t="str">
        <x:v>Source min 37,54 m ; max 37,54 m ; modèle 37 × 54 m ; niveaux 0. Détails dans catalogue-existant.json.</x:v>
      </x:c>
    </x:row>
    <x:row r="2026">
      <x:c r="A2026" t="str">
        <x:v>DW-2021</x:v>
      </x:c>
      <x:c r="B2026" t="str">
        <x:v>DW-0511</x:v>
      </x:c>
      <x:c r="C2026" t="str">
        <x:v>Composition héritée</x:v>
      </x:c>
      <x:c r="D2026" t="str">
        <x:v>commerce</x:v>
      </x:c>
      <x:c r="E2026" t="str">
        <x:v>Supermarché — variante 01 — Village et bourg / réseau principal coupé</x:v>
      </x:c>
      <x:c r="F2026" t="n">
        <x:v>8</x:v>
      </x:c>
      <x:c r="G2026" t="n">
        <x:v>7</x:v>
      </x:c>
      <x:c r="H2026" t="n">
        <x:v>0</x:v>
      </x:c>
      <x:c r="I2026" t="str">
        <x:v>À qualifier par lieu</x:v>
      </x:c>
      <x:c r="J2026" t="str">
        <x:v>https://github.com/darknigthmare/deadwall-last-enclosure/blob/1b3b9c5ba232734b1bda3453b4e20a0481bcdd74/codex-3000/compositions/commerce/DW-2021.md</x:v>
      </x:c>
      <x:c r="K2026" t="str">
        <x:v>Source min 48,17 m ; max 48,17 m ; modèle 48 × 29 m ; niveaux 0. Détails dans catalogue-existant.json.</x:v>
      </x:c>
    </x:row>
    <x:row r="2027">
      <x:c r="A2027" t="str">
        <x:v>DW-2022</x:v>
      </x:c>
      <x:c r="B2027" t="str">
        <x:v>DW-0511</x:v>
      </x:c>
      <x:c r="C2027" t="str">
        <x:v>Composition héritée</x:v>
      </x:c>
      <x:c r="D2027" t="str">
        <x:v>commerce</x:v>
      </x:c>
      <x:c r="E2027" t="str">
        <x:v>Supermarché — variante 01 — Zone commerciale / arrêt de maintenance</x:v>
      </x:c>
      <x:c r="F2027" t="n">
        <x:v>8</x:v>
      </x:c>
      <x:c r="G2027" t="n">
        <x:v>7</x:v>
      </x:c>
      <x:c r="H2027" t="n">
        <x:v>0</x:v>
      </x:c>
      <x:c r="I2027" t="str">
        <x:v>À qualifier par lieu</x:v>
      </x:c>
      <x:c r="J2027" t="str">
        <x:v>https://github.com/darknigthmare/deadwall-last-enclosure/blob/1b3b9c5ba232734b1bda3453b4e20a0481bcdd74/codex-3000/compositions/commerce/DW-2022.md</x:v>
      </x:c>
      <x:c r="K2027" t="str">
        <x:v>Source min 48,17 m ; max 48,17 m ; modèle 48 × 29 m ; niveaux 0. Détails dans catalogue-existant.json.</x:v>
      </x:c>
    </x:row>
    <x:row r="2028">
      <x:c r="A2028" t="str">
        <x:v>DW-2023</x:v>
      </x:c>
      <x:c r="B2028" t="str">
        <x:v>DW-0512</x:v>
      </x:c>
      <x:c r="C2028" t="str">
        <x:v>Composition héritée</x:v>
      </x:c>
      <x:c r="D2028" t="str">
        <x:v>commerce</x:v>
      </x:c>
      <x:c r="E2028" t="str">
        <x:v>Magasin de bricolage — variante 01 — Grande ville et métropole / repli organisé interrompu</x:v>
      </x:c>
      <x:c r="F2028" t="n">
        <x:v>8</x:v>
      </x:c>
      <x:c r="G2028" t="n">
        <x:v>5</x:v>
      </x:c>
      <x:c r="H2028" t="n">
        <x:v>0</x:v>
      </x:c>
      <x:c r="I2028" t="str">
        <x:v>À qualifier par lieu</x:v>
      </x:c>
      <x:c r="J2028" t="str">
        <x:v>https://github.com/darknigthmare/deadwall-last-enclosure/blob/1b3b9c5ba232734b1bda3453b4e20a0481bcdd74/codex-3000/compositions/commerce/DW-2023.md</x:v>
      </x:c>
      <x:c r="K2028" t="str">
        <x:v>Source min 59,34 m ; max 59,34 m ; modèle 59 × 34 m ; niveaux 0. Détails dans catalogue-existant.json.</x:v>
      </x:c>
    </x:row>
    <x:row r="2029">
      <x:c r="A2029" t="str">
        <x:v>DW-2024</x:v>
      </x:c>
      <x:c r="B2029" t="str">
        <x:v>DW-0512</x:v>
      </x:c>
      <x:c r="C2029" t="str">
        <x:v>Composition héritée</x:v>
      </x:c>
      <x:c r="D2029" t="str">
        <x:v>commerce</x:v>
      </x:c>
      <x:c r="E2029" t="str">
        <x:v>Magasin de bricolage — variante 01 — Ville moyenne / première récupération passée</x:v>
      </x:c>
      <x:c r="F2029" t="n">
        <x:v>8</x:v>
      </x:c>
      <x:c r="G2029" t="n">
        <x:v>5</x:v>
      </x:c>
      <x:c r="H2029" t="n">
        <x:v>0</x:v>
      </x:c>
      <x:c r="I2029" t="str">
        <x:v>À qualifier par lieu</x:v>
      </x:c>
      <x:c r="J2029" t="str">
        <x:v>https://github.com/darknigthmare/deadwall-last-enclosure/blob/1b3b9c5ba232734b1bda3453b4e20a0481bcdd74/codex-3000/compositions/commerce/DW-2024.md</x:v>
      </x:c>
      <x:c r="K2029" t="str">
        <x:v>Source min 59,34 m ; max 59,34 m ; modèle 59 × 34 m ; niveaux 0. Détails dans catalogue-existant.json.</x:v>
      </x:c>
    </x:row>
    <x:row r="2030">
      <x:c r="A2030" t="str">
        <x:v>DW-2025</x:v>
      </x:c>
      <x:c r="B2030" t="str">
        <x:v>DW-0513</x:v>
      </x:c>
      <x:c r="C2030" t="str">
        <x:v>Composition héritée</x:v>
      </x:c>
      <x:c r="D2030" t="str">
        <x:v>commerce</x:v>
      </x:c>
      <x:c r="E2030" t="str">
        <x:v>Pharmacie — variante 01 — Zone commerciale / évacuation interrompue</x:v>
      </x:c>
      <x:c r="F2030" t="n">
        <x:v>8</x:v>
      </x:c>
      <x:c r="G2030" t="n">
        <x:v>4</x:v>
      </x:c>
      <x:c r="H2030" t="n">
        <x:v>0</x:v>
      </x:c>
      <x:c r="I2030" t="str">
        <x:v>À qualifier par lieu</x:v>
      </x:c>
      <x:c r="J2030" t="str">
        <x:v>https://github.com/darknigthmare/deadwall-last-enclosure/blob/1b3b9c5ba232734b1bda3453b4e20a0481bcdd74/codex-3000/compositions/commerce/DW-2025.md</x:v>
      </x:c>
      <x:c r="K2030" t="str">
        <x:v>Source min 70,51 m ; max 70,51 m ; modèle 70 × 51 m ; niveaux 0, 1. Détails dans catalogue-existant.json.</x:v>
      </x:c>
    </x:row>
    <x:row r="2031">
      <x:c r="A2031" t="str">
        <x:v>DW-2026</x:v>
      </x:c>
      <x:c r="B2031" t="str">
        <x:v>DW-0513</x:v>
      </x:c>
      <x:c r="C2031" t="str">
        <x:v>Composition héritée</x:v>
      </x:c>
      <x:c r="D2031" t="str">
        <x:v>commerce</x:v>
      </x:c>
      <x:c r="E2031" t="str">
        <x:v>Pharmacie — variante 01 — Village et bourg / service déplacé à l’arrière</x:v>
      </x:c>
      <x:c r="F2031" t="n">
        <x:v>8</x:v>
      </x:c>
      <x:c r="G2031" t="n">
        <x:v>4</x:v>
      </x:c>
      <x:c r="H2031" t="n">
        <x:v>0</x:v>
      </x:c>
      <x:c r="I2031" t="str">
        <x:v>À qualifier par lieu</x:v>
      </x:c>
      <x:c r="J2031" t="str">
        <x:v>https://github.com/darknigthmare/deadwall-last-enclosure/blob/1b3b9c5ba232734b1bda3453b4e20a0481bcdd74/codex-3000/compositions/commerce/DW-2026.md</x:v>
      </x:c>
      <x:c r="K2031" t="str">
        <x:v>Source min 70,51 m ; max 70,51 m ; modèle 70 × 51 m ; niveaux 0, 1. Détails dans catalogue-existant.json.</x:v>
      </x:c>
    </x:row>
    <x:row r="2032">
      <x:c r="A2032" t="str">
        <x:v>DW-2027</x:v>
      </x:c>
      <x:c r="B2032" t="str">
        <x:v>DW-0514</x:v>
      </x:c>
      <x:c r="C2032" t="str">
        <x:v>Composition héritée</x:v>
      </x:c>
      <x:c r="D2032" t="str">
        <x:v>commerce</x:v>
      </x:c>
      <x:c r="E2032" t="str">
        <x:v>Station-service — variante 01 — Ville moyenne / arrêt de maintenance</x:v>
      </x:c>
      <x:c r="F2032" t="n">
        <x:v>8</x:v>
      </x:c>
      <x:c r="G2032" t="n">
        <x:v>5</x:v>
      </x:c>
      <x:c r="H2032" t="n">
        <x:v>0</x:v>
      </x:c>
      <x:c r="I2032" t="str">
        <x:v>À qualifier par lieu</x:v>
      </x:c>
      <x:c r="J2032" t="str">
        <x:v>https://github.com/darknigthmare/deadwall-last-enclosure/blob/1b3b9c5ba232734b1bda3453b4e20a0481bcdd74/codex-3000/compositions/commerce/DW-2027.md</x:v>
      </x:c>
      <x:c r="K2032" t="str">
        <x:v>Source min 81,14 m ; max 81,14 m ; modèle 78 × 22 m ; niveaux 0. Détails dans catalogue-existant.json.</x:v>
      </x:c>
    </x:row>
    <x:row r="2033">
      <x:c r="A2033" t="str">
        <x:v>DW-2028</x:v>
      </x:c>
      <x:c r="B2033" t="str">
        <x:v>DW-0514</x:v>
      </x:c>
      <x:c r="C2033" t="str">
        <x:v>Composition héritée</x:v>
      </x:c>
      <x:c r="D2033" t="str">
        <x:v>commerce</x:v>
      </x:c>
      <x:c r="E2033" t="str">
        <x:v>Station-service — variante 01 — Grande ville et métropole / reprise progressive de la végétation</x:v>
      </x:c>
      <x:c r="F2033" t="n">
        <x:v>8</x:v>
      </x:c>
      <x:c r="G2033" t="n">
        <x:v>5</x:v>
      </x:c>
      <x:c r="H2033" t="n">
        <x:v>0</x:v>
      </x:c>
      <x:c r="I2033" t="str">
        <x:v>À qualifier par lieu</x:v>
      </x:c>
      <x:c r="J2033" t="str">
        <x:v>https://github.com/darknigthmare/deadwall-last-enclosure/blob/1b3b9c5ba232734b1bda3453b4e20a0481bcdd74/codex-3000/compositions/commerce/DW-2028.md</x:v>
      </x:c>
      <x:c r="K2033" t="str">
        <x:v>Source min 81,14 m ; max 81,14 m ; modèle 78 × 22 m ; niveaux 0. Détails dans catalogue-existant.json.</x:v>
      </x:c>
    </x:row>
    <x:row r="2034">
      <x:c r="A2034" t="str">
        <x:v>DW-2029</x:v>
      </x:c>
      <x:c r="B2034" t="str">
        <x:v>DW-0515</x:v>
      </x:c>
      <x:c r="C2034" t="str">
        <x:v>Composition héritée</x:v>
      </x:c>
      <x:c r="D2034" t="str">
        <x:v>commerce</x:v>
      </x:c>
      <x:c r="E2034" t="str">
        <x:v>Restaurant routier — variante 01 — Village et bourg / première récupération passée</x:v>
      </x:c>
      <x:c r="F2034" t="n">
        <x:v>8</x:v>
      </x:c>
      <x:c r="G2034" t="n">
        <x:v>5</x:v>
      </x:c>
      <x:c r="H2034" t="n">
        <x:v>0</x:v>
      </x:c>
      <x:c r="I2034" t="str">
        <x:v>À qualifier par lieu</x:v>
      </x:c>
      <x:c r="J2034" t="str">
        <x:v>https://github.com/darknigthmare/deadwall-last-enclosure/blob/1b3b9c5ba232734b1bda3453b4e20a0481bcdd74/codex-3000/compositions/commerce/DW-2029.md</x:v>
      </x:c>
      <x:c r="K2034" t="str">
        <x:v>Source min 20,31 m ; max 20,31 m ; modèle 26 × 31 m ; niveaux 0. Détails dans catalogue-existant.json.</x:v>
      </x:c>
    </x:row>
    <x:row r="2035">
      <x:c r="A2035" t="str">
        <x:v>DW-2030</x:v>
      </x:c>
      <x:c r="B2035" t="str">
        <x:v>DW-0515</x:v>
      </x:c>
      <x:c r="C2035" t="str">
        <x:v>Composition héritée</x:v>
      </x:c>
      <x:c r="D2035" t="str">
        <x:v>commerce</x:v>
      </x:c>
      <x:c r="E2035" t="str">
        <x:v>Restaurant routier — variante 01 — Zone commerciale / relais temporaire envisagé</x:v>
      </x:c>
      <x:c r="F2035" t="n">
        <x:v>8</x:v>
      </x:c>
      <x:c r="G2035" t="n">
        <x:v>5</x:v>
      </x:c>
      <x:c r="H2035" t="n">
        <x:v>0</x:v>
      </x:c>
      <x:c r="I2035" t="str">
        <x:v>À qualifier par lieu</x:v>
      </x:c>
      <x:c r="J2035" t="str">
        <x:v>https://github.com/darknigthmare/deadwall-last-enclosure/blob/1b3b9c5ba232734b1bda3453b4e20a0481bcdd74/codex-3000/compositions/commerce/DW-2030.md</x:v>
      </x:c>
      <x:c r="K2035" t="str">
        <x:v>Source min 20,31 m ; max 20,31 m ; modèle 26 × 31 m ; niveaux 0. Détails dans catalogue-existant.json.</x:v>
      </x:c>
    </x:row>
    <x:row r="2036">
      <x:c r="A2036" t="str">
        <x:v>DW-2031</x:v>
      </x:c>
      <x:c r="B2036" t="str">
        <x:v>DW-0516</x:v>
      </x:c>
      <x:c r="C2036" t="str">
        <x:v>Composition héritée</x:v>
      </x:c>
      <x:c r="D2036" t="str">
        <x:v>commerce</x:v>
      </x:c>
      <x:c r="E2036" t="str">
        <x:v>Hôtel — variante 01 — Grande ville et métropole / service déplacé à l’arrière</x:v>
      </x:c>
      <x:c r="F2036" t="n">
        <x:v>8</x:v>
      </x:c>
      <x:c r="G2036" t="n">
        <x:v>6</x:v>
      </x:c>
      <x:c r="H2036" t="n">
        <x:v>0</x:v>
      </x:c>
      <x:c r="I2036" t="str">
        <x:v>À qualifier par lieu</x:v>
      </x:c>
      <x:c r="J2036" t="str">
        <x:v>https://github.com/darknigthmare/deadwall-last-enclosure/blob/1b3b9c5ba232734b1bda3453b4e20a0481bcdd74/codex-3000/compositions/commerce/DW-2031.md</x:v>
      </x:c>
      <x:c r="K2036" t="str">
        <x:v>Source min 31,48 m ; max 31,48 m ; modèle 31 × 48 m ; niveaux 0. Détails dans catalogue-existant.json.</x:v>
      </x:c>
    </x:row>
    <x:row r="2037">
      <x:c r="A2037" t="str">
        <x:v>DW-2032</x:v>
      </x:c>
      <x:c r="B2037" t="str">
        <x:v>DW-0516</x:v>
      </x:c>
      <x:c r="C2037" t="str">
        <x:v>Composition héritée</x:v>
      </x:c>
      <x:c r="D2037" t="str">
        <x:v>commerce</x:v>
      </x:c>
      <x:c r="E2037" t="str">
        <x:v>Hôtel — variante 01 — Ville moyenne / réseau principal coupé</x:v>
      </x:c>
      <x:c r="F2037" t="n">
        <x:v>8</x:v>
      </x:c>
      <x:c r="G2037" t="n">
        <x:v>6</x:v>
      </x:c>
      <x:c r="H2037" t="n">
        <x:v>0</x:v>
      </x:c>
      <x:c r="I2037" t="str">
        <x:v>À qualifier par lieu</x:v>
      </x:c>
      <x:c r="J2037" t="str">
        <x:v>https://github.com/darknigthmare/deadwall-last-enclosure/blob/1b3b9c5ba232734b1bda3453b4e20a0481bcdd74/codex-3000/compositions/commerce/DW-2032.md</x:v>
      </x:c>
      <x:c r="K2037" t="str">
        <x:v>Source min 31,48 m ; max 31,48 m ; modèle 31 × 48 m ; niveaux 0. Détails dans catalogue-existant.json.</x:v>
      </x:c>
    </x:row>
    <x:row r="2038">
      <x:c r="A2038" t="str">
        <x:v>DW-2033</x:v>
      </x:c>
      <x:c r="B2038" t="str">
        <x:v>DW-0517</x:v>
      </x:c>
      <x:c r="C2038" t="str">
        <x:v>Composition héritée</x:v>
      </x:c>
      <x:c r="D2038" t="str">
        <x:v>industrie</x:v>
      </x:c>
      <x:c r="E2038" t="str">
        <x:v>Scierie — variante 01 — Zone industrielle / reprise progressive de la végétation</x:v>
      </x:c>
      <x:c r="F2038" t="n">
        <x:v>8</x:v>
      </x:c>
      <x:c r="G2038" t="n">
        <x:v>5</x:v>
      </x:c>
      <x:c r="H2038" t="n">
        <x:v>0</x:v>
      </x:c>
      <x:c r="I2038" t="str">
        <x:v>À qualifier par lieu</x:v>
      </x:c>
      <x:c r="J2038" t="str">
        <x:v>https://github.com/darknigthmare/deadwall-last-enclosure/blob/1b3b9c5ba232734b1bda3453b4e20a0481bcdd74/codex-3000/compositions/industrie/DW-2033.md</x:v>
      </x:c>
      <x:c r="K2038" t="str">
        <x:v>Source min 42,11 m ; max 42,11 m ; modèle 42 × 22 m ; niveaux 0. Détails dans catalogue-existant.json.</x:v>
      </x:c>
    </x:row>
    <x:row r="2039">
      <x:c r="A2039" t="str">
        <x:v>DW-2034</x:v>
      </x:c>
      <x:c r="B2039" t="str">
        <x:v>DW-0517</x:v>
      </x:c>
      <x:c r="C2039" t="str">
        <x:v>Composition héritée</x:v>
      </x:c>
      <x:c r="D2039" t="str">
        <x:v>industrie</x:v>
      </x:c>
      <x:c r="E2039" t="str">
        <x:v>Scierie — variante 01 — Entrepôt et plateforme logistique / repli organisé interrompu</x:v>
      </x:c>
      <x:c r="F2039" t="n">
        <x:v>8</x:v>
      </x:c>
      <x:c r="G2039" t="n">
        <x:v>5</x:v>
      </x:c>
      <x:c r="H2039" t="n">
        <x:v>0</x:v>
      </x:c>
      <x:c r="I2039" t="str">
        <x:v>À qualifier par lieu</x:v>
      </x:c>
      <x:c r="J2039" t="str">
        <x:v>https://github.com/darknigthmare/deadwall-last-enclosure/blob/1b3b9c5ba232734b1bda3453b4e20a0481bcdd74/codex-3000/compositions/industrie/DW-2034.md</x:v>
      </x:c>
      <x:c r="K2039" t="str">
        <x:v>Source min 42,11 m ; max 42,11 m ; modèle 42 × 22 m ; niveaux 0. Détails dans catalogue-existant.json.</x:v>
      </x:c>
    </x:row>
    <x:row r="2040">
      <x:c r="A2040" t="str">
        <x:v>DW-2035</x:v>
      </x:c>
      <x:c r="B2040" t="str">
        <x:v>DW-0518</x:v>
      </x:c>
      <x:c r="C2040" t="str">
        <x:v>Composition héritée</x:v>
      </x:c>
      <x:c r="D2040" t="str">
        <x:v>industrie</x:v>
      </x:c>
      <x:c r="E2040" t="str">
        <x:v>Garage automobile — variante 01 — Atelier et artisanat / relais temporaire envisagé</x:v>
      </x:c>
      <x:c r="F2040" t="n">
        <x:v>8</x:v>
      </x:c>
      <x:c r="G2040" t="n">
        <x:v>5</x:v>
      </x:c>
      <x:c r="H2040" t="n">
        <x:v>0</x:v>
      </x:c>
      <x:c r="I2040" t="str">
        <x:v>À qualifier par lieu</x:v>
      </x:c>
      <x:c r="J2040" t="str">
        <x:v>https://github.com/darknigthmare/deadwall-last-enclosure/blob/1b3b9c5ba232734b1bda3453b4e20a0481bcdd74/codex-3000/compositions/industrie/DW-2035.md</x:v>
      </x:c>
      <x:c r="K2040" t="str">
        <x:v>Source min 53,28 m ; max 53,28 m ; modèle 53 × 28 m ; niveaux 0. Détails dans catalogue-existant.json.</x:v>
      </x:c>
    </x:row>
    <x:row r="2041">
      <x:c r="A2041" t="str">
        <x:v>DW-2036</x:v>
      </x:c>
      <x:c r="B2041" t="str">
        <x:v>DW-0518</x:v>
      </x:c>
      <x:c r="C2041" t="str">
        <x:v>Composition héritée</x:v>
      </x:c>
      <x:c r="D2041" t="str">
        <x:v>industrie</x:v>
      </x:c>
      <x:c r="E2041" t="str">
        <x:v>Garage automobile — variante 01 — Gare et fret / évacuation interrompue</x:v>
      </x:c>
      <x:c r="F2041" t="n">
        <x:v>10</x:v>
      </x:c>
      <x:c r="G2041" t="n">
        <x:v>5</x:v>
      </x:c>
      <x:c r="H2041" t="n">
        <x:v>0</x:v>
      </x:c>
      <x:c r="I2041" t="str">
        <x:v>À qualifier par lieu</x:v>
      </x:c>
      <x:c r="J2041" t="str">
        <x:v>https://github.com/darknigthmare/deadwall-last-enclosure/blob/1b3b9c5ba232734b1bda3453b4e20a0481bcdd74/codex-3000/compositions/industrie/DW-2036.md</x:v>
      </x:c>
      <x:c r="K2041" t="str">
        <x:v>Source min 53,28 m ; max 53,28 m ; modèle 53 × 28 m ; niveaux 0. Détails dans catalogue-existant.json.</x:v>
      </x:c>
    </x:row>
    <x:row r="2042">
      <x:c r="A2042" t="str">
        <x:v>DW-2037</x:v>
      </x:c>
      <x:c r="B2042" t="str">
        <x:v>DW-0519</x:v>
      </x:c>
      <x:c r="C2042" t="str">
        <x:v>Composition héritée</x:v>
      </x:c>
      <x:c r="D2042" t="str">
        <x:v>industrie</x:v>
      </x:c>
      <x:c r="E2042" t="str">
        <x:v>Entrepôt logistique — variante 01 — Entrepôt et plateforme logistique / réseau principal coupé</x:v>
      </x:c>
      <x:c r="F2042" t="n">
        <x:v>8</x:v>
      </x:c>
      <x:c r="G2042" t="n">
        <x:v>5</x:v>
      </x:c>
      <x:c r="H2042" t="n">
        <x:v>0</x:v>
      </x:c>
      <x:c r="I2042" t="str">
        <x:v>À qualifier par lieu</x:v>
      </x:c>
      <x:c r="J2042" t="str">
        <x:v>https://github.com/darknigthmare/deadwall-last-enclosure/blob/1b3b9c5ba232734b1bda3453b4e20a0481bcdd74/codex-3000/compositions/industrie/DW-2037.md</x:v>
      </x:c>
      <x:c r="K2042" t="str">
        <x:v>Source min 64,45 m ; max 64,45 m ; modèle 64 × 45 m ; niveaux 0. Détails dans catalogue-existant.json.</x:v>
      </x:c>
    </x:row>
    <x:row r="2043">
      <x:c r="A2043" t="str">
        <x:v>DW-2038</x:v>
      </x:c>
      <x:c r="B2043" t="str">
        <x:v>DW-0519</x:v>
      </x:c>
      <x:c r="C2043" t="str">
        <x:v>Composition héritée</x:v>
      </x:c>
      <x:c r="D2043" t="str">
        <x:v>industrie</x:v>
      </x:c>
      <x:c r="E2043" t="str">
        <x:v>Entrepôt logistique — variante 01 — Zone industrielle / arrêt de maintenance</x:v>
      </x:c>
      <x:c r="F2043" t="n">
        <x:v>8</x:v>
      </x:c>
      <x:c r="G2043" t="n">
        <x:v>5</x:v>
      </x:c>
      <x:c r="H2043" t="n">
        <x:v>0</x:v>
      </x:c>
      <x:c r="I2043" t="str">
        <x:v>À qualifier par lieu</x:v>
      </x:c>
      <x:c r="J2043" t="str">
        <x:v>https://github.com/darknigthmare/deadwall-last-enclosure/blob/1b3b9c5ba232734b1bda3453b4e20a0481bcdd74/codex-3000/compositions/industrie/DW-2038.md</x:v>
      </x:c>
      <x:c r="K2043" t="str">
        <x:v>Source min 64,45 m ; max 64,45 m ; modèle 64 × 45 m ; niveaux 0. Détails dans catalogue-existant.json.</x:v>
      </x:c>
    </x:row>
    <x:row r="2044">
      <x:c r="A2044" t="str">
        <x:v>DW-2039</x:v>
      </x:c>
      <x:c r="B2044" t="str">
        <x:v>DW-0520</x:v>
      </x:c>
      <x:c r="C2044" t="str">
        <x:v>Composition héritée</x:v>
      </x:c>
      <x:c r="D2044" t="str">
        <x:v>industrie</x:v>
      </x:c>
      <x:c r="E2044" t="str">
        <x:v>Petite usine — variante 01 — Gare et fret / repli organisé interrompu</x:v>
      </x:c>
      <x:c r="F2044" t="n">
        <x:v>10</x:v>
      </x:c>
      <x:c r="G2044" t="n">
        <x:v>5</x:v>
      </x:c>
      <x:c r="H2044" t="n">
        <x:v>0</x:v>
      </x:c>
      <x:c r="I2044" t="str">
        <x:v>À qualifier par lieu</x:v>
      </x:c>
      <x:c r="J2044" t="str">
        <x:v>https://github.com/darknigthmare/deadwall-last-enclosure/blob/1b3b9c5ba232734b1bda3453b4e20a0481bcdd74/codex-3000/compositions/industrie/DW-2039.md</x:v>
      </x:c>
      <x:c r="K2044" t="str">
        <x:v>Source min 75,62 m ; max 75,62 m ; modèle 75 × 62 m ; niveaux 0. Détails dans catalogue-existant.json.</x:v>
      </x:c>
    </x:row>
    <x:row r="2045">
      <x:c r="A2045" t="str">
        <x:v>DW-2040</x:v>
      </x:c>
      <x:c r="B2045" t="str">
        <x:v>DW-0520</x:v>
      </x:c>
      <x:c r="C2045" t="str">
        <x:v>Composition héritée</x:v>
      </x:c>
      <x:c r="D2045" t="str">
        <x:v>industrie</x:v>
      </x:c>
      <x:c r="E2045" t="str">
        <x:v>Petite usine — variante 01 — Atelier et artisanat / première récupération passée</x:v>
      </x:c>
      <x:c r="F2045" t="n">
        <x:v>8</x:v>
      </x:c>
      <x:c r="G2045" t="n">
        <x:v>5</x:v>
      </x:c>
      <x:c r="H2045" t="n">
        <x:v>0</x:v>
      </x:c>
      <x:c r="I2045" t="str">
        <x:v>À qualifier par lieu</x:v>
      </x:c>
      <x:c r="J2045" t="str">
        <x:v>https://github.com/darknigthmare/deadwall-last-enclosure/blob/1b3b9c5ba232734b1bda3453b4e20a0481bcdd74/codex-3000/compositions/industrie/DW-2040.md</x:v>
      </x:c>
      <x:c r="K2045" t="str">
        <x:v>Source min 75,62 m ; max 75,62 m ; modèle 75 × 62 m ; niveaux 0. Détails dans catalogue-existant.json.</x:v>
      </x:c>
    </x:row>
    <x:row r="2046">
      <x:c r="A2046" t="str">
        <x:v>DW-2041</x:v>
      </x:c>
      <x:c r="B2046" t="str">
        <x:v>DW-0521</x:v>
      </x:c>
      <x:c r="C2046" t="str">
        <x:v>Composition héritée</x:v>
      </x:c>
      <x:c r="D2046" t="str">
        <x:v>industrie</x:v>
      </x:c>
      <x:c r="E2046" t="str">
        <x:v>Carrière — variante 01 — Zone industrielle / évacuation interrompue</x:v>
      </x:c>
      <x:c r="F2046" t="n">
        <x:v>8</x:v>
      </x:c>
      <x:c r="G2046" t="n">
        <x:v>5</x:v>
      </x:c>
      <x:c r="H2046" t="n">
        <x:v>0</x:v>
      </x:c>
      <x:c r="I2046" t="str">
        <x:v>À qualifier par lieu</x:v>
      </x:c>
      <x:c r="J2046" t="str">
        <x:v>https://github.com/darknigthmare/deadwall-last-enclosure/blob/1b3b9c5ba232734b1bda3453b4e20a0481bcdd74/codex-3000/compositions/industrie/DW-2041.md</x:v>
      </x:c>
      <x:c r="K2046" t="str">
        <x:v>Source min 14,25 m ; max 14,25 m ; modèle 26 × 25 m ; niveaux 0. Détails dans catalogue-existant.json.</x:v>
      </x:c>
    </x:row>
    <x:row r="2047">
      <x:c r="A2047" t="str">
        <x:v>DW-2042</x:v>
      </x:c>
      <x:c r="B2047" t="str">
        <x:v>DW-0521</x:v>
      </x:c>
      <x:c r="C2047" t="str">
        <x:v>Composition héritée</x:v>
      </x:c>
      <x:c r="D2047" t="str">
        <x:v>industrie</x:v>
      </x:c>
      <x:c r="E2047" t="str">
        <x:v>Carrière — variante 01 — Entrepôt et plateforme logistique / service déplacé à l’arrière</x:v>
      </x:c>
      <x:c r="F2047" t="n">
        <x:v>8</x:v>
      </x:c>
      <x:c r="G2047" t="n">
        <x:v>5</x:v>
      </x:c>
      <x:c r="H2047" t="n">
        <x:v>0</x:v>
      </x:c>
      <x:c r="I2047" t="str">
        <x:v>À qualifier par lieu</x:v>
      </x:c>
      <x:c r="J2047" t="str">
        <x:v>https://github.com/darknigthmare/deadwall-last-enclosure/blob/1b3b9c5ba232734b1bda3453b4e20a0481bcdd74/codex-3000/compositions/industrie/DW-2042.md</x:v>
      </x:c>
      <x:c r="K2047" t="str">
        <x:v>Source min 14,25 m ; max 14,25 m ; modèle 26 × 25 m ; niveaux 0. Détails dans catalogue-existant.json.</x:v>
      </x:c>
    </x:row>
    <x:row r="2048">
      <x:c r="A2048" t="str">
        <x:v>DW-2043</x:v>
      </x:c>
      <x:c r="B2048" t="str">
        <x:v>DW-0522</x:v>
      </x:c>
      <x:c r="C2048" t="str">
        <x:v>Composition héritée</x:v>
      </x:c>
      <x:c r="D2048" t="str">
        <x:v>industrie</x:v>
      </x:c>
      <x:c r="E2048" t="str">
        <x:v>Mine — variante 01 — Atelier et artisanat / arrêt de maintenance</x:v>
      </x:c>
      <x:c r="F2048" t="n">
        <x:v>8</x:v>
      </x:c>
      <x:c r="G2048" t="n">
        <x:v>6</x:v>
      </x:c>
      <x:c r="H2048" t="n">
        <x:v>0</x:v>
      </x:c>
      <x:c r="I2048" t="str">
        <x:v>À qualifier par lieu</x:v>
      </x:c>
      <x:c r="J2048" t="str">
        <x:v>https://github.com/darknigthmare/deadwall-last-enclosure/blob/1b3b9c5ba232734b1bda3453b4e20a0481bcdd74/codex-3000/compositions/industrie/DW-2043.md</x:v>
      </x:c>
      <x:c r="K2048" t="str">
        <x:v>Source min 25,42 m ; max 25,42 m ; modèle 28 × 42 m ; niveaux 0. Détails dans catalogue-existant.json.</x:v>
      </x:c>
    </x:row>
    <x:row r="2049">
      <x:c r="A2049" t="str">
        <x:v>DW-2044</x:v>
      </x:c>
      <x:c r="B2049" t="str">
        <x:v>DW-0522</x:v>
      </x:c>
      <x:c r="C2049" t="str">
        <x:v>Composition héritée</x:v>
      </x:c>
      <x:c r="D2049" t="str">
        <x:v>industrie</x:v>
      </x:c>
      <x:c r="E2049" t="str">
        <x:v>Mine — variante 01 — Gare et fret / reprise progressive de la végétation</x:v>
      </x:c>
      <x:c r="F2049" t="n">
        <x:v>10</x:v>
      </x:c>
      <x:c r="G2049" t="n">
        <x:v>6</x:v>
      </x:c>
      <x:c r="H2049" t="n">
        <x:v>0</x:v>
      </x:c>
      <x:c r="I2049" t="str">
        <x:v>À qualifier par lieu</x:v>
      </x:c>
      <x:c r="J2049" t="str">
        <x:v>https://github.com/darknigthmare/deadwall-last-enclosure/blob/1b3b9c5ba232734b1bda3453b4e20a0481bcdd74/codex-3000/compositions/industrie/DW-2044.md</x:v>
      </x:c>
      <x:c r="K2049" t="str">
        <x:v>Source min 25,42 m ; max 25,42 m ; modèle 28 × 42 m ; niveaux 0. Détails dans catalogue-existant.json.</x:v>
      </x:c>
    </x:row>
    <x:row r="2050">
      <x:c r="A2050" t="str">
        <x:v>DW-2045</x:v>
      </x:c>
      <x:c r="B2050" t="str">
        <x:v>DW-0523</x:v>
      </x:c>
      <x:c r="C2050" t="str">
        <x:v>Composition héritée</x:v>
      </x:c>
      <x:c r="D2050" t="str">
        <x:v>industrie</x:v>
      </x:c>
      <x:c r="E2050" t="str">
        <x:v>Centrale locale — variante 01 — Entrepôt et plateforme logistique / première récupération passée</x:v>
      </x:c>
      <x:c r="F2050" t="n">
        <x:v>8</x:v>
      </x:c>
      <x:c r="G2050" t="n">
        <x:v>5</x:v>
      </x:c>
      <x:c r="H2050" t="n">
        <x:v>0</x:v>
      </x:c>
      <x:c r="I2050" t="str">
        <x:v>À qualifier par lieu</x:v>
      </x:c>
      <x:c r="J2050" t="str">
        <x:v>https://github.com/darknigthmare/deadwall-last-enclosure/blob/1b3b9c5ba232734b1bda3453b4e20a0481bcdd74/codex-3000/compositions/industrie/DW-2045.md</x:v>
      </x:c>
      <x:c r="K2050" t="str">
        <x:v>Source min 36,59 m ; max 36,59 m ; modèle 36 × 59 m ; niveaux 0. Détails dans catalogue-existant.json.</x:v>
      </x:c>
    </x:row>
    <x:row r="2051">
      <x:c r="A2051" t="str">
        <x:v>DW-2046</x:v>
      </x:c>
      <x:c r="B2051" t="str">
        <x:v>DW-0523</x:v>
      </x:c>
      <x:c r="C2051" t="str">
        <x:v>Composition héritée</x:v>
      </x:c>
      <x:c r="D2051" t="str">
        <x:v>industrie</x:v>
      </x:c>
      <x:c r="E2051" t="str">
        <x:v>Centrale locale — variante 01 — Zone industrielle / relais temporaire envisagé</x:v>
      </x:c>
      <x:c r="F2051" t="n">
        <x:v>8</x:v>
      </x:c>
      <x:c r="G2051" t="n">
        <x:v>5</x:v>
      </x:c>
      <x:c r="H2051" t="n">
        <x:v>0</x:v>
      </x:c>
      <x:c r="I2051" t="str">
        <x:v>À qualifier par lieu</x:v>
      </x:c>
      <x:c r="J2051" t="str">
        <x:v>https://github.com/darknigthmare/deadwall-last-enclosure/blob/1b3b9c5ba232734b1bda3453b4e20a0481bcdd74/codex-3000/compositions/industrie/DW-2046.md</x:v>
      </x:c>
      <x:c r="K2051" t="str">
        <x:v>Source min 36,59 m ; max 36,59 m ; modèle 36 × 59 m ; niveaux 0. Détails dans catalogue-existant.json.</x:v>
      </x:c>
    </x:row>
    <x:row r="2052">
      <x:c r="A2052" t="str">
        <x:v>DW-2047</x:v>
      </x:c>
      <x:c r="B2052" t="str">
        <x:v>DW-0524</x:v>
      </x:c>
      <x:c r="C2052" t="str">
        <x:v>Composition héritée</x:v>
      </x:c>
      <x:c r="D2052" t="str">
        <x:v>industrie</x:v>
      </x:c>
      <x:c r="E2052" t="str">
        <x:v>Station de pompage — variante 01 — Gare et fret / service déplacé à l’arrière</x:v>
      </x:c>
      <x:c r="F2052" t="n">
        <x:v>10</x:v>
      </x:c>
      <x:c r="G2052" t="n">
        <x:v>5</x:v>
      </x:c>
      <x:c r="H2052" t="n">
        <x:v>0</x:v>
      </x:c>
      <x:c r="I2052" t="str">
        <x:v>À qualifier par lieu</x:v>
      </x:c>
      <x:c r="J2052" t="str">
        <x:v>https://github.com/darknigthmare/deadwall-last-enclosure/blob/1b3b9c5ba232734b1bda3453b4e20a0481bcdd74/codex-3000/compositions/industrie/DW-2047.md</x:v>
      </x:c>
      <x:c r="K2052" t="str">
        <x:v>Source min 47,22 m ; max 47,22 m ; modèle 47 × 22 m ; niveaux 0. Détails dans catalogue-existant.json.</x:v>
      </x:c>
    </x:row>
    <x:row r="2053">
      <x:c r="A2053" t="str">
        <x:v>DW-2048</x:v>
      </x:c>
      <x:c r="B2053" t="str">
        <x:v>DW-0524</x:v>
      </x:c>
      <x:c r="C2053" t="str">
        <x:v>Composition héritée</x:v>
      </x:c>
      <x:c r="D2053" t="str">
        <x:v>industrie</x:v>
      </x:c>
      <x:c r="E2053" t="str">
        <x:v>Station de pompage — variante 01 — Atelier et artisanat / réseau principal coupé</x:v>
      </x:c>
      <x:c r="F2053" t="n">
        <x:v>8</x:v>
      </x:c>
      <x:c r="G2053" t="n">
        <x:v>5</x:v>
      </x:c>
      <x:c r="H2053" t="n">
        <x:v>0</x:v>
      </x:c>
      <x:c r="I2053" t="str">
        <x:v>À qualifier par lieu</x:v>
      </x:c>
      <x:c r="J2053" t="str">
        <x:v>https://github.com/darknigthmare/deadwall-last-enclosure/blob/1b3b9c5ba232734b1bda3453b4e20a0481bcdd74/codex-3000/compositions/industrie/DW-2048.md</x:v>
      </x:c>
      <x:c r="K2053" t="str">
        <x:v>Source min 47,22 m ; max 47,22 m ; modèle 47 × 22 m ; niveaux 0. Détails dans catalogue-existant.json.</x:v>
      </x:c>
    </x:row>
    <x:row r="2054">
      <x:c r="A2054" t="str">
        <x:v>DW-2049</x:v>
      </x:c>
      <x:c r="B2054" t="str">
        <x:v>DW-0525</x:v>
      </x:c>
      <x:c r="C2054" t="str">
        <x:v>Composition héritée</x:v>
      </x:c>
      <x:c r="D2054" t="str">
        <x:v>public</x:v>
      </x:c>
      <x:c r="E2054" t="str">
        <x:v>École — variante 01 — École, mairie et bâtiments civiques / reprise progressive de la végétation</x:v>
      </x:c>
      <x:c r="F2054" t="n">
        <x:v>8</x:v>
      </x:c>
      <x:c r="G2054" t="n">
        <x:v>5</x:v>
      </x:c>
      <x:c r="H2054" t="n">
        <x:v>0</x:v>
      </x:c>
      <x:c r="I2054" t="str">
        <x:v>À qualifier par lieu</x:v>
      </x:c>
      <x:c r="J2054" t="str">
        <x:v>https://github.com/darknigthmare/deadwall-last-enclosure/blob/1b3b9c5ba232734b1bda3453b4e20a0481bcdd74/codex-3000/compositions/public/DW-2049.md</x:v>
      </x:c>
      <x:c r="K2054" t="str">
        <x:v>Source min 58,39 m ; max 58,39 m ; modèle 58 × 39 m ; niveaux 0, 1. Détails dans catalogue-existant.json.</x:v>
      </x:c>
    </x:row>
    <x:row r="2055">
      <x:c r="A2055" t="str">
        <x:v>DW-2050</x:v>
      </x:c>
      <x:c r="B2055" t="str">
        <x:v>DW-0525</x:v>
      </x:c>
      <x:c r="C2055" t="str">
        <x:v>Composition héritée</x:v>
      </x:c>
      <x:c r="D2055" t="str">
        <x:v>public</x:v>
      </x:c>
      <x:c r="E2055" t="str">
        <x:v>École — variante 01 — Village et bourg / repli organisé interrompu</x:v>
      </x:c>
      <x:c r="F2055" t="n">
        <x:v>8</x:v>
      </x:c>
      <x:c r="G2055" t="n">
        <x:v>5</x:v>
      </x:c>
      <x:c r="H2055" t="n">
        <x:v>0</x:v>
      </x:c>
      <x:c r="I2055" t="str">
        <x:v>À qualifier par lieu</x:v>
      </x:c>
      <x:c r="J2055" t="str">
        <x:v>https://github.com/darknigthmare/deadwall-last-enclosure/blob/1b3b9c5ba232734b1bda3453b4e20a0481bcdd74/codex-3000/compositions/public/DW-2050.md</x:v>
      </x:c>
      <x:c r="K2055" t="str">
        <x:v>Source min 58,39 m ; max 58,39 m ; modèle 58 × 39 m ; niveaux 0, 1. Détails dans catalogue-existant.json.</x:v>
      </x:c>
    </x:row>
    <x:row r="2056">
      <x:c r="A2056" t="str">
        <x:v>DW-2051</x:v>
      </x:c>
      <x:c r="B2056" t="str">
        <x:v>DW-0526</x:v>
      </x:c>
      <x:c r="C2056" t="str">
        <x:v>Composition héritée</x:v>
      </x:c>
      <x:c r="D2056" t="str">
        <x:v>public</x:v>
      </x:c>
      <x:c r="E2056" t="str">
        <x:v>Mairie — variante 01 — Ville moyenne / relais temporaire envisagé</x:v>
      </x:c>
      <x:c r="F2056" t="n">
        <x:v>8</x:v>
      </x:c>
      <x:c r="G2056" t="n">
        <x:v>5</x:v>
      </x:c>
      <x:c r="H2056" t="n">
        <x:v>0</x:v>
      </x:c>
      <x:c r="I2056" t="str">
        <x:v>À qualifier par lieu</x:v>
      </x:c>
      <x:c r="J2056" t="str">
        <x:v>https://github.com/darknigthmare/deadwall-last-enclosure/blob/1b3b9c5ba232734b1bda3453b4e20a0481bcdd74/codex-3000/compositions/public/DW-2051.md</x:v>
      </x:c>
      <x:c r="K2056" t="str">
        <x:v>Source min 69,56 m ; max 69,56 m ; modèle 69 × 56 m ; niveaux 0. Détails dans catalogue-existant.json.</x:v>
      </x:c>
    </x:row>
    <x:row r="2057">
      <x:c r="A2057" t="str">
        <x:v>DW-2052</x:v>
      </x:c>
      <x:c r="B2057" t="str">
        <x:v>DW-0526</x:v>
      </x:c>
      <x:c r="C2057" t="str">
        <x:v>Composition héritée</x:v>
      </x:c>
      <x:c r="D2057" t="str">
        <x:v>public</x:v>
      </x:c>
      <x:c r="E2057" t="str">
        <x:v>Mairie — variante 01 — Centre d’évacuation abandonné / évacuation interrompue</x:v>
      </x:c>
      <x:c r="F2057" t="n">
        <x:v>8</x:v>
      </x:c>
      <x:c r="G2057" t="n">
        <x:v>5</x:v>
      </x:c>
      <x:c r="H2057" t="n">
        <x:v>0</x:v>
      </x:c>
      <x:c r="I2057" t="str">
        <x:v>À qualifier par lieu</x:v>
      </x:c>
      <x:c r="J2057" t="str">
        <x:v>https://github.com/darknigthmare/deadwall-last-enclosure/blob/1b3b9c5ba232734b1bda3453b4e20a0481bcdd74/codex-3000/compositions/public/DW-2052.md</x:v>
      </x:c>
      <x:c r="K2057" t="str">
        <x:v>Source min 69,56 m ; max 69,56 m ; modèle 69 × 56 m ; niveaux 0. Détails dans catalogue-existant.json.</x:v>
      </x:c>
    </x:row>
    <x:row r="2058">
      <x:c r="A2058" t="str">
        <x:v>DW-2053</x:v>
      </x:c>
      <x:c r="B2058" t="str">
        <x:v>DW-0527</x:v>
      </x:c>
      <x:c r="C2058" t="str">
        <x:v>Composition héritée</x:v>
      </x:c>
      <x:c r="D2058" t="str">
        <x:v>public</x:v>
      </x:c>
      <x:c r="E2058" t="str">
        <x:v>Clinique — variante 01 — Village et bourg / réseau principal coupé</x:v>
      </x:c>
      <x:c r="F2058" t="n">
        <x:v>8</x:v>
      </x:c>
      <x:c r="G2058" t="n">
        <x:v>6</x:v>
      </x:c>
      <x:c r="H2058" t="n">
        <x:v>0</x:v>
      </x:c>
      <x:c r="I2058" t="str">
        <x:v>À qualifier par lieu</x:v>
      </x:c>
      <x:c r="J2058" t="str">
        <x:v>https://github.com/darknigthmare/deadwall-last-enclosure/blob/1b3b9c5ba232734b1bda3453b4e20a0481bcdd74/codex-3000/compositions/public/DW-2053.md</x:v>
      </x:c>
      <x:c r="K2058" t="str">
        <x:v>Source min 80,19 m ; max 80,19 m ; modèle 78 × 22 m ; niveaux 0. Détails dans catalogue-existant.json.</x:v>
      </x:c>
    </x:row>
    <x:row r="2059">
      <x:c r="A2059" t="str">
        <x:v>DW-2054</x:v>
      </x:c>
      <x:c r="B2059" t="str">
        <x:v>DW-0527</x:v>
      </x:c>
      <x:c r="C2059" t="str">
        <x:v>Composition héritée</x:v>
      </x:c>
      <x:c r="D2059" t="str">
        <x:v>public</x:v>
      </x:c>
      <x:c r="E2059" t="str">
        <x:v>Clinique — variante 01 — École, mairie et bâtiments civiques / arrêt de maintenance</x:v>
      </x:c>
      <x:c r="F2059" t="n">
        <x:v>8</x:v>
      </x:c>
      <x:c r="G2059" t="n">
        <x:v>6</x:v>
      </x:c>
      <x:c r="H2059" t="n">
        <x:v>0</x:v>
      </x:c>
      <x:c r="I2059" t="str">
        <x:v>À qualifier par lieu</x:v>
      </x:c>
      <x:c r="J2059" t="str">
        <x:v>https://github.com/darknigthmare/deadwall-last-enclosure/blob/1b3b9c5ba232734b1bda3453b4e20a0481bcdd74/codex-3000/compositions/public/DW-2054.md</x:v>
      </x:c>
      <x:c r="K2059" t="str">
        <x:v>Source min 80,19 m ; max 80,19 m ; modèle 78 × 22 m ; niveaux 0. Détails dans catalogue-existant.json.</x:v>
      </x:c>
    </x:row>
    <x:row r="2060">
      <x:c r="A2060" t="str">
        <x:v>DW-2055</x:v>
      </x:c>
      <x:c r="B2060" t="str">
        <x:v>DW-0528</x:v>
      </x:c>
      <x:c r="C2060" t="str">
        <x:v>Composition héritée</x:v>
      </x:c>
      <x:c r="D2060" t="str">
        <x:v>public</x:v>
      </x:c>
      <x:c r="E2060" t="str">
        <x:v>Caserne de pompiers — variante 01 — Centre d’évacuation abandonné / repli organisé interrompu</x:v>
      </x:c>
      <x:c r="F2060" t="n">
        <x:v>8</x:v>
      </x:c>
      <x:c r="G2060" t="n">
        <x:v>6</x:v>
      </x:c>
      <x:c r="H2060" t="n">
        <x:v>0</x:v>
      </x:c>
      <x:c r="I2060" t="str">
        <x:v>À qualifier par lieu</x:v>
      </x:c>
      <x:c r="J2060" t="str">
        <x:v>https://github.com/darknigthmare/deadwall-last-enclosure/blob/1b3b9c5ba232734b1bda3453b4e20a0481bcdd74/codex-3000/compositions/public/DW-2055.md</x:v>
      </x:c>
      <x:c r="K2060" t="str">
        <x:v>Source min 19,36 m ; max 19,36 m ; modèle 28 × 36 m ; niveaux 0. Détails dans catalogue-existant.json.</x:v>
      </x:c>
    </x:row>
    <x:row r="2061">
      <x:c r="A2061" t="str">
        <x:v>DW-2056</x:v>
      </x:c>
      <x:c r="B2061" t="str">
        <x:v>DW-0528</x:v>
      </x:c>
      <x:c r="C2061" t="str">
        <x:v>Composition héritée</x:v>
      </x:c>
      <x:c r="D2061" t="str">
        <x:v>public</x:v>
      </x:c>
      <x:c r="E2061" t="str">
        <x:v>Caserne de pompiers — variante 01 — Ville moyenne / première récupération passée</x:v>
      </x:c>
      <x:c r="F2061" t="n">
        <x:v>8</x:v>
      </x:c>
      <x:c r="G2061" t="n">
        <x:v>6</x:v>
      </x:c>
      <x:c r="H2061" t="n">
        <x:v>0</x:v>
      </x:c>
      <x:c r="I2061" t="str">
        <x:v>À qualifier par lieu</x:v>
      </x:c>
      <x:c r="J2061" t="str">
        <x:v>https://github.com/darknigthmare/deadwall-last-enclosure/blob/1b3b9c5ba232734b1bda3453b4e20a0481bcdd74/codex-3000/compositions/public/DW-2056.md</x:v>
      </x:c>
      <x:c r="K2061" t="str">
        <x:v>Source min 19,36 m ; max 19,36 m ; modèle 28 × 36 m ; niveaux 0. Détails dans catalogue-existant.json.</x:v>
      </x:c>
    </x:row>
    <x:row r="2062">
      <x:c r="A2062" t="str">
        <x:v>DW-2057</x:v>
      </x:c>
      <x:c r="B2062" t="str">
        <x:v>DW-0529</x:v>
      </x:c>
      <x:c r="C2062" t="str">
        <x:v>Composition héritée</x:v>
      </x:c>
      <x:c r="D2062" t="str">
        <x:v>public</x:v>
      </x:c>
      <x:c r="E2062" t="str">
        <x:v>Poste de police — variante 01 — École, mairie et bâtiments civiques / évacuation interrompue</x:v>
      </x:c>
      <x:c r="F2062" t="n">
        <x:v>8</x:v>
      </x:c>
      <x:c r="G2062" t="n">
        <x:v>5</x:v>
      </x:c>
      <x:c r="H2062" t="n">
        <x:v>0</x:v>
      </x:c>
      <x:c r="I2062" t="str">
        <x:v>À qualifier par lieu</x:v>
      </x:c>
      <x:c r="J2062" t="str">
        <x:v>https://github.com/darknigthmare/deadwall-last-enclosure/blob/1b3b9c5ba232734b1bda3453b4e20a0481bcdd74/codex-3000/compositions/public/DW-2057.md</x:v>
      </x:c>
      <x:c r="K2062" t="str">
        <x:v>Source min 30,53 m ; max 30,53 m ; modèle 30 × 53 m ; niveaux 0, 1. Détails dans catalogue-existant.json.</x:v>
      </x:c>
    </x:row>
    <x:row r="2063">
      <x:c r="A2063" t="str">
        <x:v>DW-2058</x:v>
      </x:c>
      <x:c r="B2063" t="str">
        <x:v>DW-0529</x:v>
      </x:c>
      <x:c r="C2063" t="str">
        <x:v>Composition héritée</x:v>
      </x:c>
      <x:c r="D2063" t="str">
        <x:v>public</x:v>
      </x:c>
      <x:c r="E2063" t="str">
        <x:v>Poste de police — variante 01 — Village et bourg / service déplacé à l’arrière</x:v>
      </x:c>
      <x:c r="F2063" t="n">
        <x:v>8</x:v>
      </x:c>
      <x:c r="G2063" t="n">
        <x:v>5</x:v>
      </x:c>
      <x:c r="H2063" t="n">
        <x:v>0</x:v>
      </x:c>
      <x:c r="I2063" t="str">
        <x:v>À qualifier par lieu</x:v>
      </x:c>
      <x:c r="J2063" t="str">
        <x:v>https://github.com/darknigthmare/deadwall-last-enclosure/blob/1b3b9c5ba232734b1bda3453b4e20a0481bcdd74/codex-3000/compositions/public/DW-2058.md</x:v>
      </x:c>
      <x:c r="K2063" t="str">
        <x:v>Source min 30,53 m ; max 30,53 m ; modèle 30 × 53 m ; niveaux 0, 1. Détails dans catalogue-existant.json.</x:v>
      </x:c>
    </x:row>
    <x:row r="2064">
      <x:c r="A2064" t="str">
        <x:v>DW-2059</x:v>
      </x:c>
      <x:c r="B2064" t="str">
        <x:v>DW-0530</x:v>
      </x:c>
      <x:c r="C2064" t="str">
        <x:v>Composition héritée</x:v>
      </x:c>
      <x:c r="D2064" t="str">
        <x:v>public</x:v>
      </x:c>
      <x:c r="E2064" t="str">
        <x:v>Bibliothèque — variante 01 — Ville moyenne / arrêt de maintenance</x:v>
      </x:c>
      <x:c r="F2064" t="n">
        <x:v>8</x:v>
      </x:c>
      <x:c r="G2064" t="n">
        <x:v>5</x:v>
      </x:c>
      <x:c r="H2064" t="n">
        <x:v>0</x:v>
      </x:c>
      <x:c r="I2064" t="str">
        <x:v>À qualifier par lieu</x:v>
      </x:c>
      <x:c r="J2064" t="str">
        <x:v>https://github.com/darknigthmare/deadwall-last-enclosure/blob/1b3b9c5ba232734b1bda3453b4e20a0481bcdd74/codex-3000/compositions/public/DW-2059.md</x:v>
      </x:c>
      <x:c r="K2064" t="str">
        <x:v>Source min 41,16 m ; max 41,16 m ; modèle 41 × 22 m ; niveaux 0. Détails dans catalogue-existant.json.</x:v>
      </x:c>
    </x:row>
    <x:row r="2065">
      <x:c r="A2065" t="str">
        <x:v>DW-2060</x:v>
      </x:c>
      <x:c r="B2065" t="str">
        <x:v>DW-0530</x:v>
      </x:c>
      <x:c r="C2065" t="str">
        <x:v>Composition héritée</x:v>
      </x:c>
      <x:c r="D2065" t="str">
        <x:v>public</x:v>
      </x:c>
      <x:c r="E2065" t="str">
        <x:v>Bibliothèque — variante 01 — Centre d’évacuation abandonné / reprise progressive de la végétation</x:v>
      </x:c>
      <x:c r="F2065" t="n">
        <x:v>8</x:v>
      </x:c>
      <x:c r="G2065" t="n">
        <x:v>5</x:v>
      </x:c>
      <x:c r="H2065" t="n">
        <x:v>0</x:v>
      </x:c>
      <x:c r="I2065" t="str">
        <x:v>À qualifier par lieu</x:v>
      </x:c>
      <x:c r="J2065" t="str">
        <x:v>https://github.com/darknigthmare/deadwall-last-enclosure/blob/1b3b9c5ba232734b1bda3453b4e20a0481bcdd74/codex-3000/compositions/public/DW-2060.md</x:v>
      </x:c>
      <x:c r="K2065" t="str">
        <x:v>Source min 41,16 m ; max 41,16 m ; modèle 41 × 22 m ; niveaux 0. Détails dans catalogue-existant.json.</x:v>
      </x:c>
    </x:row>
    <x:row r="2066">
      <x:c r="A2066" t="str">
        <x:v>DW-2061</x:v>
      </x:c>
      <x:c r="B2066" t="str">
        <x:v>DW-0531</x:v>
      </x:c>
      <x:c r="C2066" t="str">
        <x:v>Composition héritée</x:v>
      </x:c>
      <x:c r="D2066" t="str">
        <x:v>public</x:v>
      </x:c>
      <x:c r="E2066" t="str">
        <x:v>Salle des fêtes — variante 01 — Village et bourg / première récupération passée</x:v>
      </x:c>
      <x:c r="F2066" t="n">
        <x:v>8</x:v>
      </x:c>
      <x:c r="G2066" t="n">
        <x:v>5</x:v>
      </x:c>
      <x:c r="H2066" t="n">
        <x:v>0</x:v>
      </x:c>
      <x:c r="I2066" t="str">
        <x:v>À qualifier par lieu</x:v>
      </x:c>
      <x:c r="J2066" t="str">
        <x:v>https://github.com/darknigthmare/deadwall-last-enclosure/blob/1b3b9c5ba232734b1bda3453b4e20a0481bcdd74/codex-3000/compositions/public/DW-2061.md</x:v>
      </x:c>
      <x:c r="K2066" t="str">
        <x:v>Source min 52,33 m ; max 52,33 m ; modèle 52 × 33 m ; niveaux 0. Détails dans catalogue-existant.json.</x:v>
      </x:c>
    </x:row>
    <x:row r="2067">
      <x:c r="A2067" t="str">
        <x:v>DW-2062</x:v>
      </x:c>
      <x:c r="B2067" t="str">
        <x:v>DW-0531</x:v>
      </x:c>
      <x:c r="C2067" t="str">
        <x:v>Composition héritée</x:v>
      </x:c>
      <x:c r="D2067" t="str">
        <x:v>public</x:v>
      </x:c>
      <x:c r="E2067" t="str">
        <x:v>Salle des fêtes — variante 01 — École, mairie et bâtiments civiques / relais temporaire envisagé</x:v>
      </x:c>
      <x:c r="F2067" t="n">
        <x:v>8</x:v>
      </x:c>
      <x:c r="G2067" t="n">
        <x:v>5</x:v>
      </x:c>
      <x:c r="H2067" t="n">
        <x:v>0</x:v>
      </x:c>
      <x:c r="I2067" t="str">
        <x:v>À qualifier par lieu</x:v>
      </x:c>
      <x:c r="J2067" t="str">
        <x:v>https://github.com/darknigthmare/deadwall-last-enclosure/blob/1b3b9c5ba232734b1bda3453b4e20a0481bcdd74/codex-3000/compositions/public/DW-2062.md</x:v>
      </x:c>
      <x:c r="K2067" t="str">
        <x:v>Source min 52,33 m ; max 52,33 m ; modèle 52 × 33 m ; niveaux 0. Détails dans catalogue-existant.json.</x:v>
      </x:c>
    </x:row>
    <x:row r="2068">
      <x:c r="A2068" t="str">
        <x:v>DW-2063</x:v>
      </x:c>
      <x:c r="B2068" t="str">
        <x:v>DW-0532</x:v>
      </x:c>
      <x:c r="C2068" t="str">
        <x:v>Composition héritée</x:v>
      </x:c>
      <x:c r="D2068" t="str">
        <x:v>public</x:v>
      </x:c>
      <x:c r="E2068" t="str">
        <x:v>Église et presbytère — variante 01 — Centre d’évacuation abandonné / service déplacé à l’arrière</x:v>
      </x:c>
      <x:c r="F2068" t="n">
        <x:v>8</x:v>
      </x:c>
      <x:c r="G2068" t="n">
        <x:v>5</x:v>
      </x:c>
      <x:c r="H2068" t="n">
        <x:v>0</x:v>
      </x:c>
      <x:c r="I2068" t="str">
        <x:v>À qualifier par lieu</x:v>
      </x:c>
      <x:c r="J2068" t="str">
        <x:v>https://github.com/darknigthmare/deadwall-last-enclosure/blob/1b3b9c5ba232734b1bda3453b4e20a0481bcdd74/codex-3000/compositions/public/DW-2063.md</x:v>
      </x:c>
      <x:c r="K2068" t="str">
        <x:v>Source min 63,50 m ; max 63,50 m ; modèle 63 × 50 m ; niveaux 0. Détails dans catalogue-existant.json.</x:v>
      </x:c>
    </x:row>
    <x:row r="2069">
      <x:c r="A2069" t="str">
        <x:v>DW-2064</x:v>
      </x:c>
      <x:c r="B2069" t="str">
        <x:v>DW-0532</x:v>
      </x:c>
      <x:c r="C2069" t="str">
        <x:v>Composition héritée</x:v>
      </x:c>
      <x:c r="D2069" t="str">
        <x:v>public</x:v>
      </x:c>
      <x:c r="E2069" t="str">
        <x:v>Église et presbytère — variante 01 — Ville moyenne / réseau principal coupé</x:v>
      </x:c>
      <x:c r="F2069" t="n">
        <x:v>8</x:v>
      </x:c>
      <x:c r="G2069" t="n">
        <x:v>5</x:v>
      </x:c>
      <x:c r="H2069" t="n">
        <x:v>0</x:v>
      </x:c>
      <x:c r="I2069" t="str">
        <x:v>À qualifier par lieu</x:v>
      </x:c>
      <x:c r="J2069" t="str">
        <x:v>https://github.com/darknigthmare/deadwall-last-enclosure/blob/1b3b9c5ba232734b1bda3453b4e20a0481bcdd74/codex-3000/compositions/public/DW-2064.md</x:v>
      </x:c>
      <x:c r="K2069" t="str">
        <x:v>Source min 63,50 m ; max 63,50 m ; modèle 63 × 50 m ; niveaux 0. Détails dans catalogue-existant.json.</x:v>
      </x:c>
    </x:row>
    <x:row r="2070">
      <x:c r="A2070" t="str">
        <x:v>DW-2065</x:v>
      </x:c>
      <x:c r="B2070" t="str">
        <x:v>DW-0533</x:v>
      </x:c>
      <x:c r="C2070" t="str">
        <x:v>Composition héritée</x:v>
      </x:c>
      <x:c r="D2070" t="str">
        <x:v>rural</x:v>
      </x:c>
      <x:c r="E2070" t="str">
        <x:v>Hameau agricole — variante 01 — Ferme, verger et pâtures / reprise progressive de la végétation</x:v>
      </x:c>
      <x:c r="F2070" t="n">
        <x:v>8</x:v>
      </x:c>
      <x:c r="G2070" t="n">
        <x:v>6</x:v>
      </x:c>
      <x:c r="H2070" t="n">
        <x:v>0</x:v>
      </x:c>
      <x:c r="I2070" t="str">
        <x:v>À qualifier par lieu</x:v>
      </x:c>
      <x:c r="J2070" t="str">
        <x:v>https://github.com/darknigthmare/deadwall-last-enclosure/blob/1b3b9c5ba232734b1bda3453b4e20a0481bcdd74/codex-3000/compositions/rural/DW-2065.md</x:v>
      </x:c>
      <x:c r="K2070" t="str">
        <x:v>Source min 74,13 m ; max 74,13 m ; modèle 74 × 22 m ; niveaux 0. Détails dans catalogue-existant.json.</x:v>
      </x:c>
    </x:row>
    <x:row r="2071">
      <x:c r="A2071" t="str">
        <x:v>DW-2066</x:v>
      </x:c>
      <x:c r="B2071" t="str">
        <x:v>DW-0533</x:v>
      </x:c>
      <x:c r="C2071" t="str">
        <x:v>Composition héritée</x:v>
      </x:c>
      <x:c r="D2071" t="str">
        <x:v>rural</x:v>
      </x:c>
      <x:c r="E2071" t="str">
        <x:v>Hameau agricole — variante 01 — Petit bois et lisière / repli organisé interrompu</x:v>
      </x:c>
      <x:c r="F2071" t="n">
        <x:v>8</x:v>
      </x:c>
      <x:c r="G2071" t="n">
        <x:v>6</x:v>
      </x:c>
      <x:c r="H2071" t="n">
        <x:v>0</x:v>
      </x:c>
      <x:c r="I2071" t="str">
        <x:v>À qualifier par lieu</x:v>
      </x:c>
      <x:c r="J2071" t="str">
        <x:v>https://github.com/darknigthmare/deadwall-last-enclosure/blob/1b3b9c5ba232734b1bda3453b4e20a0481bcdd74/codex-3000/compositions/rural/DW-2066.md</x:v>
      </x:c>
      <x:c r="K2071" t="str">
        <x:v>Source min 74,13 m ; max 74,13 m ; modèle 74 × 22 m ; niveaux 0. Détails dans catalogue-existant.json.</x:v>
      </x:c>
    </x:row>
    <x:row r="2072">
      <x:c r="A2072" t="str">
        <x:v>DW-2067</x:v>
      </x:c>
      <x:c r="B2072" t="str">
        <x:v>DW-0534</x:v>
      </x:c>
      <x:c r="C2072" t="str">
        <x:v>Composition héritée</x:v>
      </x:c>
      <x:c r="D2072" t="str">
        <x:v>rural</x:v>
      </x:c>
      <x:c r="E2072" t="str">
        <x:v>Cabane forestière — variante 01 — Prairie et friche ouverte / relais temporaire envisagé</x:v>
      </x:c>
      <x:c r="F2072" t="n">
        <x:v>8</x:v>
      </x:c>
      <x:c r="G2072" t="n">
        <x:v>4</x:v>
      </x:c>
      <x:c r="H2072" t="n">
        <x:v>0</x:v>
      </x:c>
      <x:c r="I2072" t="str">
        <x:v>À qualifier par lieu</x:v>
      </x:c>
      <x:c r="J2072" t="str">
        <x:v>https://github.com/darknigthmare/deadwall-last-enclosure/blob/1b3b9c5ba232734b1bda3453b4e20a0481bcdd74/codex-3000/compositions/rural/DW-2067.md</x:v>
      </x:c>
      <x:c r="K2072" t="str">
        <x:v>Source min 13,30 m ; max 13,30 m ; modèle 25 × 30 m ; niveaux 0. Détails dans catalogue-existant.json.</x:v>
      </x:c>
    </x:row>
    <x:row r="2073">
      <x:c r="A2073" t="str">
        <x:v>DW-2068</x:v>
      </x:c>
      <x:c r="B2073" t="str">
        <x:v>DW-0534</x:v>
      </x:c>
      <x:c r="C2073" t="str">
        <x:v>Composition héritée</x:v>
      </x:c>
      <x:c r="D2073" t="str">
        <x:v>rural</x:v>
      </x:c>
      <x:c r="E2073" t="str">
        <x:v>Cabane forestière — variante 01 — Hameau / évacuation interrompue</x:v>
      </x:c>
      <x:c r="F2073" t="n">
        <x:v>8</x:v>
      </x:c>
      <x:c r="G2073" t="n">
        <x:v>4</x:v>
      </x:c>
      <x:c r="H2073" t="n">
        <x:v>0</x:v>
      </x:c>
      <x:c r="I2073" t="str">
        <x:v>À qualifier par lieu</x:v>
      </x:c>
      <x:c r="J2073" t="str">
        <x:v>https://github.com/darknigthmare/deadwall-last-enclosure/blob/1b3b9c5ba232734b1bda3453b4e20a0481bcdd74/codex-3000/compositions/rural/DW-2068.md</x:v>
      </x:c>
      <x:c r="K2073" t="str">
        <x:v>Source min 13,30 m ; max 13,30 m ; modèle 25 × 30 m ; niveaux 0. Détails dans catalogue-existant.json.</x:v>
      </x:c>
    </x:row>
    <x:row r="2074">
      <x:c r="A2074" t="str">
        <x:v>DW-2069</x:v>
      </x:c>
      <x:c r="B2074" t="str">
        <x:v>DW-0535</x:v>
      </x:c>
      <x:c r="C2074" t="str">
        <x:v>Composition héritée</x:v>
      </x:c>
      <x:c r="D2074" t="str">
        <x:v>rural</x:v>
      </x:c>
      <x:c r="E2074" t="str">
        <x:v>Dépôt forestier — variante 01 — Petit bois et lisière / réseau principal coupé</x:v>
      </x:c>
      <x:c r="F2074" t="n">
        <x:v>8</x:v>
      </x:c>
      <x:c r="G2074" t="n">
        <x:v>5</x:v>
      </x:c>
      <x:c r="H2074" t="n">
        <x:v>0</x:v>
      </x:c>
      <x:c r="I2074" t="str">
        <x:v>À qualifier par lieu</x:v>
      </x:c>
      <x:c r="J2074" t="str">
        <x:v>https://github.com/darknigthmare/deadwall-last-enclosure/blob/1b3b9c5ba232734b1bda3453b4e20a0481bcdd74/codex-3000/compositions/rural/DW-2069.md</x:v>
      </x:c>
      <x:c r="K2074" t="str">
        <x:v>Source min 24,47 m ; max 24,47 m ; modèle 26 × 47 m ; niveaux 0. Détails dans catalogue-existant.json.</x:v>
      </x:c>
    </x:row>
    <x:row r="2075">
      <x:c r="A2075" t="str">
        <x:v>DW-2070</x:v>
      </x:c>
      <x:c r="B2075" t="str">
        <x:v>DW-0535</x:v>
      </x:c>
      <x:c r="C2075" t="str">
        <x:v>Composition héritée</x:v>
      </x:c>
      <x:c r="D2075" t="str">
        <x:v>rural</x:v>
      </x:c>
      <x:c r="E2075" t="str">
        <x:v>Dépôt forestier — variante 01 — Ferme, verger et pâtures / arrêt de maintenance</x:v>
      </x:c>
      <x:c r="F2075" t="n">
        <x:v>8</x:v>
      </x:c>
      <x:c r="G2075" t="n">
        <x:v>5</x:v>
      </x:c>
      <x:c r="H2075" t="n">
        <x:v>0</x:v>
      </x:c>
      <x:c r="I2075" t="str">
        <x:v>À qualifier par lieu</x:v>
      </x:c>
      <x:c r="J2075" t="str">
        <x:v>https://github.com/darknigthmare/deadwall-last-enclosure/blob/1b3b9c5ba232734b1bda3453b4e20a0481bcdd74/codex-3000/compositions/rural/DW-2070.md</x:v>
      </x:c>
      <x:c r="K2075" t="str">
        <x:v>Source min 24,47 m ; max 24,47 m ; modèle 26 × 47 m ; niveaux 0. Détails dans catalogue-existant.json.</x:v>
      </x:c>
    </x:row>
    <x:row r="2076">
      <x:c r="A2076" t="str">
        <x:v>DW-2071</x:v>
      </x:c>
      <x:c r="B2076" t="str">
        <x:v>DW-0536</x:v>
      </x:c>
      <x:c r="C2076" t="str">
        <x:v>Composition héritée</x:v>
      </x:c>
      <x:c r="D2076" t="str">
        <x:v>rural</x:v>
      </x:c>
      <x:c r="E2076" t="str">
        <x:v>Ferme céréalière — variante 01 — Hameau / repli organisé interrompu</x:v>
      </x:c>
      <x:c r="F2076" t="n">
        <x:v>8</x:v>
      </x:c>
      <x:c r="G2076" t="n">
        <x:v>5</x:v>
      </x:c>
      <x:c r="H2076" t="n">
        <x:v>0</x:v>
      </x:c>
      <x:c r="I2076" t="str">
        <x:v>À qualifier par lieu</x:v>
      </x:c>
      <x:c r="J2076" t="str">
        <x:v>https://github.com/darknigthmare/deadwall-last-enclosure/blob/1b3b9c5ba232734b1bda3453b4e20a0481bcdd74/codex-3000/compositions/rural/DW-2071.md</x:v>
      </x:c>
      <x:c r="K2076" t="str">
        <x:v>Source min 35,10 m ; max 35,10 m ; modèle 35 × 22 m ; niveaux 0. Détails dans catalogue-existant.json.</x:v>
      </x:c>
    </x:row>
    <x:row r="2077">
      <x:c r="A2077" t="str">
        <x:v>DW-2072</x:v>
      </x:c>
      <x:c r="B2077" t="str">
        <x:v>DW-0536</x:v>
      </x:c>
      <x:c r="C2077" t="str">
        <x:v>Composition héritée</x:v>
      </x:c>
      <x:c r="D2077" t="str">
        <x:v>rural</x:v>
      </x:c>
      <x:c r="E2077" t="str">
        <x:v>Ferme céréalière — variante 01 — Prairie et friche ouverte / première récupération passée</x:v>
      </x:c>
      <x:c r="F2077" t="n">
        <x:v>8</x:v>
      </x:c>
      <x:c r="G2077" t="n">
        <x:v>5</x:v>
      </x:c>
      <x:c r="H2077" t="n">
        <x:v>0</x:v>
      </x:c>
      <x:c r="I2077" t="str">
        <x:v>À qualifier par lieu</x:v>
      </x:c>
      <x:c r="J2077" t="str">
        <x:v>https://github.com/darknigthmare/deadwall-last-enclosure/blob/1b3b9c5ba232734b1bda3453b4e20a0481bcdd74/codex-3000/compositions/rural/DW-2072.md</x:v>
      </x:c>
      <x:c r="K2077" t="str">
        <x:v>Source min 35,10 m ; max 35,10 m ; modèle 35 × 22 m ; niveaux 0. Détails dans catalogue-existant.json.</x:v>
      </x:c>
    </x:row>
    <x:row r="2078">
      <x:c r="A2078" t="str">
        <x:v>DW-2073</x:v>
      </x:c>
      <x:c r="B2078" t="str">
        <x:v>DW-0537</x:v>
      </x:c>
      <x:c r="C2078" t="str">
        <x:v>Composition héritée</x:v>
      </x:c>
      <x:c r="D2078" t="str">
        <x:v>rural</x:v>
      </x:c>
      <x:c r="E2078" t="str">
        <x:v>Ferme d'élevage — variante 01 — Ferme, verger et pâtures / évacuation interrompue</x:v>
      </x:c>
      <x:c r="F2078" t="n">
        <x:v>8</x:v>
      </x:c>
      <x:c r="G2078" t="n">
        <x:v>5</x:v>
      </x:c>
      <x:c r="H2078" t="n">
        <x:v>0</x:v>
      </x:c>
      <x:c r="I2078" t="str">
        <x:v>À qualifier par lieu</x:v>
      </x:c>
      <x:c r="J2078" t="str">
        <x:v>https://github.com/darknigthmare/deadwall-last-enclosure/blob/1b3b9c5ba232734b1bda3453b4e20a0481bcdd74/codex-3000/compositions/rural/DW-2073.md</x:v>
      </x:c>
      <x:c r="K2078" t="str">
        <x:v>Source min 46,27 m ; max 46,27 m ; modèle 46 × 27 m ; niveaux 0. Détails dans catalogue-existant.json.</x:v>
      </x:c>
    </x:row>
    <x:row r="2079">
      <x:c r="A2079" t="str">
        <x:v>DW-2074</x:v>
      </x:c>
      <x:c r="B2079" t="str">
        <x:v>DW-0537</x:v>
      </x:c>
      <x:c r="C2079" t="str">
        <x:v>Composition héritée</x:v>
      </x:c>
      <x:c r="D2079" t="str">
        <x:v>rural</x:v>
      </x:c>
      <x:c r="E2079" t="str">
        <x:v>Ferme d'élevage — variante 01 — Petit bois et lisière / service déplacé à l’arrière</x:v>
      </x:c>
      <x:c r="F2079" t="n">
        <x:v>8</x:v>
      </x:c>
      <x:c r="G2079" t="n">
        <x:v>5</x:v>
      </x:c>
      <x:c r="H2079" t="n">
        <x:v>0</x:v>
      </x:c>
      <x:c r="I2079" t="str">
        <x:v>À qualifier par lieu</x:v>
      </x:c>
      <x:c r="J2079" t="str">
        <x:v>https://github.com/darknigthmare/deadwall-last-enclosure/blob/1b3b9c5ba232734b1bda3453b4e20a0481bcdd74/codex-3000/compositions/rural/DW-2074.md</x:v>
      </x:c>
      <x:c r="K2079" t="str">
        <x:v>Source min 46,27 m ; max 46,27 m ; modèle 46 × 27 m ; niveaux 0. Détails dans catalogue-existant.json.</x:v>
      </x:c>
    </x:row>
    <x:row r="2080">
      <x:c r="A2080" t="str">
        <x:v>DW-2075</x:v>
      </x:c>
      <x:c r="B2080" t="str">
        <x:v>DW-0538</x:v>
      </x:c>
      <x:c r="C2080" t="str">
        <x:v>Composition héritée</x:v>
      </x:c>
      <x:c r="D2080" t="str">
        <x:v>rural</x:v>
      </x:c>
      <x:c r="E2080" t="str">
        <x:v>Relais de chasse — variante 01 — Prairie et friche ouverte / arrêt de maintenance</x:v>
      </x:c>
      <x:c r="F2080" t="n">
        <x:v>8</x:v>
      </x:c>
      <x:c r="G2080" t="n">
        <x:v>4</x:v>
      </x:c>
      <x:c r="H2080" t="n">
        <x:v>0</x:v>
      </x:c>
      <x:c r="I2080" t="str">
        <x:v>À qualifier par lieu</x:v>
      </x:c>
      <x:c r="J2080" t="str">
        <x:v>https://github.com/darknigthmare/deadwall-last-enclosure/blob/1b3b9c5ba232734b1bda3453b4e20a0481bcdd74/codex-3000/compositions/rural/DW-2075.md</x:v>
      </x:c>
      <x:c r="K2080" t="str">
        <x:v>Source min 57,44 m ; max 57,44 m ; modèle 57 × 44 m ; niveaux 0. Détails dans catalogue-existant.json.</x:v>
      </x:c>
    </x:row>
    <x:row r="2081">
      <x:c r="A2081" t="str">
        <x:v>DW-2076</x:v>
      </x:c>
      <x:c r="B2081" t="str">
        <x:v>DW-0538</x:v>
      </x:c>
      <x:c r="C2081" t="str">
        <x:v>Composition héritée</x:v>
      </x:c>
      <x:c r="D2081" t="str">
        <x:v>rural</x:v>
      </x:c>
      <x:c r="E2081" t="str">
        <x:v>Relais de chasse — variante 01 — Hameau / reprise progressive de la végétation</x:v>
      </x:c>
      <x:c r="F2081" t="n">
        <x:v>8</x:v>
      </x:c>
      <x:c r="G2081" t="n">
        <x:v>4</x:v>
      </x:c>
      <x:c r="H2081" t="n">
        <x:v>0</x:v>
      </x:c>
      <x:c r="I2081" t="str">
        <x:v>À qualifier par lieu</x:v>
      </x:c>
      <x:c r="J2081" t="str">
        <x:v>https://github.com/darknigthmare/deadwall-last-enclosure/blob/1b3b9c5ba232734b1bda3453b4e20a0481bcdd74/codex-3000/compositions/rural/DW-2076.md</x:v>
      </x:c>
      <x:c r="K2081" t="str">
        <x:v>Source min 57,44 m ; max 57,44 m ; modèle 57 × 44 m ; niveaux 0. Détails dans catalogue-existant.json.</x:v>
      </x:c>
    </x:row>
    <x:row r="2082">
      <x:c r="A2082" t="str">
        <x:v>DW-2077</x:v>
      </x:c>
      <x:c r="B2082" t="str">
        <x:v>DW-0539</x:v>
      </x:c>
      <x:c r="C2082" t="str">
        <x:v>Composition héritée</x:v>
      </x:c>
      <x:c r="D2082" t="str">
        <x:v>rural</x:v>
      </x:c>
      <x:c r="E2082" t="str">
        <x:v>Moulin rural — variante 01 — Petit bois et lisière / première récupération passée</x:v>
      </x:c>
      <x:c r="F2082" t="n">
        <x:v>8</x:v>
      </x:c>
      <x:c r="G2082" t="n">
        <x:v>4</x:v>
      </x:c>
      <x:c r="H2082" t="n">
        <x:v>0</x:v>
      </x:c>
      <x:c r="I2082" t="str">
        <x:v>À qualifier par lieu</x:v>
      </x:c>
      <x:c r="J2082" t="str">
        <x:v>https://github.com/darknigthmare/deadwall-last-enclosure/blob/1b3b9c5ba232734b1bda3453b4e20a0481bcdd74/codex-3000/compositions/rural/DW-2077.md</x:v>
      </x:c>
      <x:c r="K2082" t="str">
        <x:v>Source min 68,61 m ; max 68,61 m ; modèle 68 × 61 m ; niveaux 0. Détails dans catalogue-existant.json.</x:v>
      </x:c>
    </x:row>
    <x:row r="2083">
      <x:c r="A2083" t="str">
        <x:v>DW-2078</x:v>
      </x:c>
      <x:c r="B2083" t="str">
        <x:v>DW-0539</x:v>
      </x:c>
      <x:c r="C2083" t="str">
        <x:v>Composition héritée</x:v>
      </x:c>
      <x:c r="D2083" t="str">
        <x:v>rural</x:v>
      </x:c>
      <x:c r="E2083" t="str">
        <x:v>Moulin rural — variante 01 — Ferme, verger et pâtures / relais temporaire envisagé</x:v>
      </x:c>
      <x:c r="F2083" t="n">
        <x:v>8</x:v>
      </x:c>
      <x:c r="G2083" t="n">
        <x:v>4</x:v>
      </x:c>
      <x:c r="H2083" t="n">
        <x:v>0</x:v>
      </x:c>
      <x:c r="I2083" t="str">
        <x:v>À qualifier par lieu</x:v>
      </x:c>
      <x:c r="J2083" t="str">
        <x:v>https://github.com/darknigthmare/deadwall-last-enclosure/blob/1b3b9c5ba232734b1bda3453b4e20a0481bcdd74/codex-3000/compositions/rural/DW-2078.md</x:v>
      </x:c>
      <x:c r="K2083" t="str">
        <x:v>Source min 68,61 m ; max 68,61 m ; modèle 68 × 61 m ; niveaux 0. Détails dans catalogue-existant.json.</x:v>
      </x:c>
    </x:row>
    <x:row r="2084">
      <x:c r="A2084" t="str">
        <x:v>DW-2079</x:v>
      </x:c>
      <x:c r="B2084" t="str">
        <x:v>DW-0540</x:v>
      </x:c>
      <x:c r="C2084" t="str">
        <x:v>Composition héritée</x:v>
      </x:c>
      <x:c r="D2084" t="str">
        <x:v>rural</x:v>
      </x:c>
      <x:c r="E2084" t="str">
        <x:v>Serres maraîchères — variante 01 — Hameau / service déplacé à l’arrière</x:v>
      </x:c>
      <x:c r="F2084" t="n">
        <x:v>8</x:v>
      </x:c>
      <x:c r="G2084" t="n">
        <x:v>5</x:v>
      </x:c>
      <x:c r="H2084" t="n">
        <x:v>0</x:v>
      </x:c>
      <x:c r="I2084" t="str">
        <x:v>À qualifier par lieu</x:v>
      </x:c>
      <x:c r="J2084" t="str">
        <x:v>https://github.com/darknigthmare/deadwall-last-enclosure/blob/1b3b9c5ba232734b1bda3453b4e20a0481bcdd74/codex-3000/compositions/rural/DW-2079.md</x:v>
      </x:c>
      <x:c r="K2084" t="str">
        <x:v>Source min 79,24 m ; max 79,24 m ; modèle 78 × 24 m ; niveaux 0. Détails dans catalogue-existant.json.</x:v>
      </x:c>
    </x:row>
    <x:row r="2085">
      <x:c r="A2085" t="str">
        <x:v>DW-2080</x:v>
      </x:c>
      <x:c r="B2085" t="str">
        <x:v>DW-0540</x:v>
      </x:c>
      <x:c r="C2085" t="str">
        <x:v>Composition héritée</x:v>
      </x:c>
      <x:c r="D2085" t="str">
        <x:v>rural</x:v>
      </x:c>
      <x:c r="E2085" t="str">
        <x:v>Serres maraîchères — variante 01 — Prairie et friche ouverte / réseau principal coupé</x:v>
      </x:c>
      <x:c r="F2085" t="n">
        <x:v>8</x:v>
      </x:c>
      <x:c r="G2085" t="n">
        <x:v>5</x:v>
      </x:c>
      <x:c r="H2085" t="n">
        <x:v>0</x:v>
      </x:c>
      <x:c r="I2085" t="str">
        <x:v>À qualifier par lieu</x:v>
      </x:c>
      <x:c r="J2085" t="str">
        <x:v>https://github.com/darknigthmare/deadwall-last-enclosure/blob/1b3b9c5ba232734b1bda3453b4e20a0481bcdd74/codex-3000/compositions/rural/DW-2080.md</x:v>
      </x:c>
      <x:c r="K2085" t="str">
        <x:v>Source min 79,24 m ; max 79,24 m ; modèle 78 × 24 m ; niveaux 0. Détails dans catalogue-existant.json.</x:v>
      </x:c>
    </x:row>
    <x:row r="2086">
      <x:c r="A2086" t="str">
        <x:v>DW-2081</x:v>
      </x:c>
      <x:c r="B2086" t="str">
        <x:v>DW-0541</x:v>
      </x:c>
      <x:c r="C2086" t="str">
        <x:v>Composition héritée</x:v>
      </x:c>
      <x:c r="D2086" t="str">
        <x:v>militaire</x:v>
      </x:c>
      <x:c r="E2086" t="str">
        <x:v>Bunker de défense civile — variante 01 — Grand camp allié / reprise progressive de la végétation</x:v>
      </x:c>
      <x:c r="F2086" t="n">
        <x:v>10</x:v>
      </x:c>
      <x:c r="G2086" t="n">
        <x:v>6</x:v>
      </x:c>
      <x:c r="H2086" t="n">
        <x:v>0</x:v>
      </x:c>
      <x:c r="I2086" t="str">
        <x:v>À qualifier par lieu</x:v>
      </x:c>
      <x:c r="J2086" t="str">
        <x:v>https://github.com/darknigthmare/deadwall-last-enclosure/blob/1b3b9c5ba232734b1bda3453b4e20a0481bcdd74/codex-3000/compositions/militaire/DW-2081.md</x:v>
      </x:c>
      <x:c r="K2086" t="str">
        <x:v>Source min 18,41 m ; max 18,41 m ; modèle 28 × 41 m ; niveaux 0, 1. Détails dans catalogue-existant.json.</x:v>
      </x:c>
    </x:row>
    <x:row r="2087">
      <x:c r="A2087" t="str">
        <x:v>DW-2082</x:v>
      </x:c>
      <x:c r="B2087" t="str">
        <x:v>DW-0541</x:v>
      </x:c>
      <x:c r="C2087" t="str">
        <x:v>Composition héritée</x:v>
      </x:c>
      <x:c r="D2087" t="str">
        <x:v>militaire</x:v>
      </x:c>
      <x:c r="E2087" t="str">
        <x:v>Bunker de défense civile — variante 01 — Camp de fortune / repli organisé interrompu</x:v>
      </x:c>
      <x:c r="F2087" t="n">
        <x:v>8</x:v>
      </x:c>
      <x:c r="G2087" t="n">
        <x:v>6</x:v>
      </x:c>
      <x:c r="H2087" t="n">
        <x:v>0</x:v>
      </x:c>
      <x:c r="I2087" t="str">
        <x:v>À qualifier par lieu</x:v>
      </x:c>
      <x:c r="J2087" t="str">
        <x:v>https://github.com/darknigthmare/deadwall-last-enclosure/blob/1b3b9c5ba232734b1bda3453b4e20a0481bcdd74/codex-3000/compositions/militaire/DW-2082.md</x:v>
      </x:c>
      <x:c r="K2087" t="str">
        <x:v>Source min 18,41 m ; max 18,41 m ; modèle 28 × 41 m ; niveaux 0, 1. Détails dans catalogue-existant.json.</x:v>
      </x:c>
    </x:row>
    <x:row r="2088">
      <x:c r="A2088" t="str">
        <x:v>DW-2083</x:v>
      </x:c>
      <x:c r="B2088" t="str">
        <x:v>DW-0542</x:v>
      </x:c>
      <x:c r="C2088" t="str">
        <x:v>Composition héritée</x:v>
      </x:c>
      <x:c r="D2088" t="str">
        <x:v>militaire</x:v>
      </x:c>
      <x:c r="E2088" t="str">
        <x:v>Dépôt militaire — variante 01 — Camp hostile / relais temporaire envisagé</x:v>
      </x:c>
      <x:c r="F2088" t="n">
        <x:v>10</x:v>
      </x:c>
      <x:c r="G2088" t="n">
        <x:v>5</x:v>
      </x:c>
      <x:c r="H2088" t="n">
        <x:v>0</x:v>
      </x:c>
      <x:c r="I2088" t="str">
        <x:v>À qualifier par lieu</x:v>
      </x:c>
      <x:c r="J2088" t="str">
        <x:v>https://github.com/darknigthmare/deadwall-last-enclosure/blob/1b3b9c5ba232734b1bda3453b4e20a0481bcdd74/codex-3000/compositions/militaire/DW-2083.md</x:v>
      </x:c>
      <x:c r="K2088" t="str">
        <x:v>Source min 29,58 m ; max 29,58 m ; modèle 29 × 58 m ; niveaux 0. Détails dans catalogue-existant.json.</x:v>
      </x:c>
    </x:row>
    <x:row r="2089">
      <x:c r="A2089" t="str">
        <x:v>DW-2084</x:v>
      </x:c>
      <x:c r="B2089" t="str">
        <x:v>DW-0542</x:v>
      </x:c>
      <x:c r="C2089" t="str">
        <x:v>Composition héritée</x:v>
      </x:c>
      <x:c r="D2089" t="str">
        <x:v>militaire</x:v>
      </x:c>
      <x:c r="E2089" t="str">
        <x:v>Dépôt militaire — variante 01 — Centre d’évacuation abandonné / évacuation interrompue</x:v>
      </x:c>
      <x:c r="F2089" t="n">
        <x:v>8</x:v>
      </x:c>
      <x:c r="G2089" t="n">
        <x:v>5</x:v>
      </x:c>
      <x:c r="H2089" t="n">
        <x:v>0</x:v>
      </x:c>
      <x:c r="I2089" t="str">
        <x:v>À qualifier par lieu</x:v>
      </x:c>
      <x:c r="J2089" t="str">
        <x:v>https://github.com/darknigthmare/deadwall-last-enclosure/blob/1b3b9c5ba232734b1bda3453b4e20a0481bcdd74/codex-3000/compositions/militaire/DW-2084.md</x:v>
      </x:c>
      <x:c r="K2089" t="str">
        <x:v>Source min 29,58 m ; max 29,58 m ; modèle 29 × 58 m ; niveaux 0. Détails dans catalogue-existant.json.</x:v>
      </x:c>
    </x:row>
    <x:row r="2090">
      <x:c r="A2090" t="str">
        <x:v>DW-2085</x:v>
      </x:c>
      <x:c r="B2090" t="str">
        <x:v>DW-0543</x:v>
      </x:c>
      <x:c r="C2090" t="str">
        <x:v>Composition héritée</x:v>
      </x:c>
      <x:c r="D2090" t="str">
        <x:v>militaire</x:v>
      </x:c>
      <x:c r="E2090" t="str">
        <x:v>Poste de contrôle — variante 01 — Camp de fortune / réseau principal coupé</x:v>
      </x:c>
      <x:c r="F2090" t="n">
        <x:v>8</x:v>
      </x:c>
      <x:c r="G2090" t="n">
        <x:v>5</x:v>
      </x:c>
      <x:c r="H2090" t="n">
        <x:v>0</x:v>
      </x:c>
      <x:c r="I2090" t="str">
        <x:v>À qualifier par lieu</x:v>
      </x:c>
      <x:c r="J2090" t="str">
        <x:v>https://github.com/darknigthmare/deadwall-last-enclosure/blob/1b3b9c5ba232734b1bda3453b4e20a0481bcdd74/codex-3000/compositions/militaire/DW-2085.md</x:v>
      </x:c>
      <x:c r="K2090" t="str">
        <x:v>Source min 40,21 m ; max 40,21 m ; modèle 40 × 22 m ; niveaux 0. Détails dans catalogue-existant.json.</x:v>
      </x:c>
    </x:row>
    <x:row r="2091">
      <x:c r="A2091" t="str">
        <x:v>DW-2086</x:v>
      </x:c>
      <x:c r="B2091" t="str">
        <x:v>DW-0543</x:v>
      </x:c>
      <x:c r="C2091" t="str">
        <x:v>Composition héritée</x:v>
      </x:c>
      <x:c r="D2091" t="str">
        <x:v>militaire</x:v>
      </x:c>
      <x:c r="E2091" t="str">
        <x:v>Poste de contrôle — variante 01 — Grand camp allié / arrêt de maintenance</x:v>
      </x:c>
      <x:c r="F2091" t="n">
        <x:v>10</x:v>
      </x:c>
      <x:c r="G2091" t="n">
        <x:v>5</x:v>
      </x:c>
      <x:c r="H2091" t="n">
        <x:v>0</x:v>
      </x:c>
      <x:c r="I2091" t="str">
        <x:v>À qualifier par lieu</x:v>
      </x:c>
      <x:c r="J2091" t="str">
        <x:v>https://github.com/darknigthmare/deadwall-last-enclosure/blob/1b3b9c5ba232734b1bda3453b4e20a0481bcdd74/codex-3000/compositions/militaire/DW-2086.md</x:v>
      </x:c>
      <x:c r="K2091" t="str">
        <x:v>Source min 40,21 m ; max 40,21 m ; modèle 40 × 22 m ; niveaux 0. Détails dans catalogue-existant.json.</x:v>
      </x:c>
    </x:row>
    <x:row r="2092">
      <x:c r="A2092" t="str">
        <x:v>DW-2087</x:v>
      </x:c>
      <x:c r="B2092" t="str">
        <x:v>DW-0544</x:v>
      </x:c>
      <x:c r="C2092" t="str">
        <x:v>Composition héritée</x:v>
      </x:c>
      <x:c r="D2092" t="str">
        <x:v>militaire</x:v>
      </x:c>
      <x:c r="E2092" t="str">
        <x:v>Camp retranché abandonné — variante 01 — Centre d’évacuation abandonné / repli organisé interrompu</x:v>
      </x:c>
      <x:c r="F2092" t="n">
        <x:v>8</x:v>
      </x:c>
      <x:c r="G2092" t="n">
        <x:v>5</x:v>
      </x:c>
      <x:c r="H2092" t="n">
        <x:v>0</x:v>
      </x:c>
      <x:c r="I2092" t="str">
        <x:v>À qualifier par lieu</x:v>
      </x:c>
      <x:c r="J2092" t="str">
        <x:v>https://github.com/darknigthmare/deadwall-last-enclosure/blob/1b3b9c5ba232734b1bda3453b4e20a0481bcdd74/codex-3000/compositions/militaire/DW-2087.md</x:v>
      </x:c>
      <x:c r="K2092" t="str">
        <x:v>Source min 51,38 m ; max 51,38 m ; modèle 51 × 38 m ; niveaux 0. Détails dans catalogue-existant.json.</x:v>
      </x:c>
    </x:row>
    <x:row r="2093">
      <x:c r="A2093" t="str">
        <x:v>DW-2088</x:v>
      </x:c>
      <x:c r="B2093" t="str">
        <x:v>DW-0544</x:v>
      </x:c>
      <x:c r="C2093" t="str">
        <x:v>Composition héritée</x:v>
      </x:c>
      <x:c r="D2093" t="str">
        <x:v>militaire</x:v>
      </x:c>
      <x:c r="E2093" t="str">
        <x:v>Camp retranché abandonné — variante 01 — Camp hostile / première récupération passée</x:v>
      </x:c>
      <x:c r="F2093" t="n">
        <x:v>10</x:v>
      </x:c>
      <x:c r="G2093" t="n">
        <x:v>5</x:v>
      </x:c>
      <x:c r="H2093" t="n">
        <x:v>0</x:v>
      </x:c>
      <x:c r="I2093" t="str">
        <x:v>À qualifier par lieu</x:v>
      </x:c>
      <x:c r="J2093" t="str">
        <x:v>https://github.com/darknigthmare/deadwall-last-enclosure/blob/1b3b9c5ba232734b1bda3453b4e20a0481bcdd74/codex-3000/compositions/militaire/DW-2088.md</x:v>
      </x:c>
      <x:c r="K2093" t="str">
        <x:v>Source min 51,38 m ; max 51,38 m ; modèle 51 × 38 m ; niveaux 0. Détails dans catalogue-existant.json.</x:v>
      </x:c>
    </x:row>
    <x:row r="2094">
      <x:c r="A2094" t="str">
        <x:v>DW-2089</x:v>
      </x:c>
      <x:c r="B2094" t="str">
        <x:v>DW-0545</x:v>
      </x:c>
      <x:c r="C2094" t="str">
        <x:v>Composition héritée</x:v>
      </x:c>
      <x:c r="D2094" t="str">
        <x:v>militaire</x:v>
      </x:c>
      <x:c r="E2094" t="str">
        <x:v>Abri ferroviaire — variante 01 — Grand camp allié / évacuation interrompue</x:v>
      </x:c>
      <x:c r="F2094" t="n">
        <x:v>10</x:v>
      </x:c>
      <x:c r="G2094" t="n">
        <x:v>4</x:v>
      </x:c>
      <x:c r="H2094" t="n">
        <x:v>0</x:v>
      </x:c>
      <x:c r="I2094" t="str">
        <x:v>À qualifier par lieu</x:v>
      </x:c>
      <x:c r="J2094" t="str">
        <x:v>https://github.com/darknigthmare/deadwall-last-enclosure/blob/1b3b9c5ba232734b1bda3453b4e20a0481bcdd74/codex-3000/compositions/militaire/DW-2089.md</x:v>
      </x:c>
      <x:c r="K2094" t="str">
        <x:v>Source min 62,55 m ; max 62,55 m ; modèle 62 × 55 m ; niveaux 0. Détails dans catalogue-existant.json.</x:v>
      </x:c>
    </x:row>
    <x:row r="2095">
      <x:c r="A2095" t="str">
        <x:v>DW-2090</x:v>
      </x:c>
      <x:c r="B2095" t="str">
        <x:v>DW-0545</x:v>
      </x:c>
      <x:c r="C2095" t="str">
        <x:v>Composition héritée</x:v>
      </x:c>
      <x:c r="D2095" t="str">
        <x:v>militaire</x:v>
      </x:c>
      <x:c r="E2095" t="str">
        <x:v>Abri ferroviaire — variante 01 — Camp de fortune / service déplacé à l’arrière</x:v>
      </x:c>
      <x:c r="F2095" t="n">
        <x:v>8</x:v>
      </x:c>
      <x:c r="G2095" t="n">
        <x:v>4</x:v>
      </x:c>
      <x:c r="H2095" t="n">
        <x:v>0</x:v>
      </x:c>
      <x:c r="I2095" t="str">
        <x:v>À qualifier par lieu</x:v>
      </x:c>
      <x:c r="J2095" t="str">
        <x:v>https://github.com/darknigthmare/deadwall-last-enclosure/blob/1b3b9c5ba232734b1bda3453b4e20a0481bcdd74/codex-3000/compositions/militaire/DW-2090.md</x:v>
      </x:c>
      <x:c r="K2095" t="str">
        <x:v>Source min 62,55 m ; max 62,55 m ; modèle 62 × 55 m ; niveaux 0. Détails dans catalogue-existant.json.</x:v>
      </x:c>
    </x:row>
    <x:row r="2096">
      <x:c r="A2096" t="str">
        <x:v>DW-2091</x:v>
      </x:c>
      <x:c r="B2096" t="str">
        <x:v>DW-0546</x:v>
      </x:c>
      <x:c r="C2096" t="str">
        <x:v>Composition héritée</x:v>
      </x:c>
      <x:c r="D2096" t="str">
        <x:v>militaire</x:v>
      </x:c>
      <x:c r="E2096" t="str">
        <x:v>Site radar — variante 01 — Camp hostile / arrêt de maintenance</x:v>
      </x:c>
      <x:c r="F2096" t="n">
        <x:v>10</x:v>
      </x:c>
      <x:c r="G2096" t="n">
        <x:v>5</x:v>
      </x:c>
      <x:c r="H2096" t="n">
        <x:v>0</x:v>
      </x:c>
      <x:c r="I2096" t="str">
        <x:v>À qualifier par lieu</x:v>
      </x:c>
      <x:c r="J2096" t="str">
        <x:v>https://github.com/darknigthmare/deadwall-last-enclosure/blob/1b3b9c5ba232734b1bda3453b4e20a0481bcdd74/codex-3000/compositions/militaire/DW-2091.md</x:v>
      </x:c>
      <x:c r="K2096" t="str">
        <x:v>Source min 73,18 m ; max 73,18 m ; modèle 73 × 22 m ; niveaux 0. Détails dans catalogue-existant.json.</x:v>
      </x:c>
    </x:row>
    <x:row r="2097">
      <x:c r="A2097" t="str">
        <x:v>DW-2092</x:v>
      </x:c>
      <x:c r="B2097" t="str">
        <x:v>DW-0546</x:v>
      </x:c>
      <x:c r="C2097" t="str">
        <x:v>Composition héritée</x:v>
      </x:c>
      <x:c r="D2097" t="str">
        <x:v>militaire</x:v>
      </x:c>
      <x:c r="E2097" t="str">
        <x:v>Site radar — variante 01 — Centre d’évacuation abandonné / reprise progressive de la végétation</x:v>
      </x:c>
      <x:c r="F2097" t="n">
        <x:v>8</x:v>
      </x:c>
      <x:c r="G2097" t="n">
        <x:v>5</x:v>
      </x:c>
      <x:c r="H2097" t="n">
        <x:v>0</x:v>
      </x:c>
      <x:c r="I2097" t="str">
        <x:v>À qualifier par lieu</x:v>
      </x:c>
      <x:c r="J2097" t="str">
        <x:v>https://github.com/darknigthmare/deadwall-last-enclosure/blob/1b3b9c5ba232734b1bda3453b4e20a0481bcdd74/codex-3000/compositions/militaire/DW-2092.md</x:v>
      </x:c>
      <x:c r="K2097" t="str">
        <x:v>Source min 73,18 m ; max 73,18 m ; modèle 73 × 22 m ; niveaux 0. Détails dans catalogue-existant.json.</x:v>
      </x:c>
    </x:row>
    <x:row r="2098">
      <x:c r="A2098" t="str">
        <x:v>DW-2093</x:v>
      </x:c>
      <x:c r="B2098" t="str">
        <x:v>DW-0547</x:v>
      </x:c>
      <x:c r="C2098" t="str">
        <x:v>Composition héritée</x:v>
      </x:c>
      <x:c r="D2098" t="str">
        <x:v>militaire</x:v>
      </x:c>
      <x:c r="E2098" t="str">
        <x:v>Batterie côtière — variante 01 — Camp de fortune / première récupération passée</x:v>
      </x:c>
      <x:c r="F2098" t="n">
        <x:v>8</x:v>
      </x:c>
      <x:c r="G2098" t="n">
        <x:v>4</x:v>
      </x:c>
      <x:c r="H2098" t="n">
        <x:v>0</x:v>
      </x:c>
      <x:c r="I2098" t="str">
        <x:v>À qualifier par lieu</x:v>
      </x:c>
      <x:c r="J2098" t="str">
        <x:v>https://github.com/darknigthmare/deadwall-last-enclosure/blob/1b3b9c5ba232734b1bda3453b4e20a0481bcdd74/codex-3000/compositions/militaire/DW-2093.md</x:v>
      </x:c>
      <x:c r="K2098" t="str">
        <x:v>Source min 12,35 m ; max 12,35 m ; modèle 25 × 35 m ; niveaux 0. Détails dans catalogue-existant.json.</x:v>
      </x:c>
    </x:row>
    <x:row r="2099">
      <x:c r="A2099" t="str">
        <x:v>DW-2094</x:v>
      </x:c>
      <x:c r="B2099" t="str">
        <x:v>DW-0547</x:v>
      </x:c>
      <x:c r="C2099" t="str">
        <x:v>Composition héritée</x:v>
      </x:c>
      <x:c r="D2099" t="str">
        <x:v>militaire</x:v>
      </x:c>
      <x:c r="E2099" t="str">
        <x:v>Batterie côtière — variante 01 — Grand camp allié / relais temporaire envisagé</x:v>
      </x:c>
      <x:c r="F2099" t="n">
        <x:v>10</x:v>
      </x:c>
      <x:c r="G2099" t="n">
        <x:v>4</x:v>
      </x:c>
      <x:c r="H2099" t="n">
        <x:v>0</x:v>
      </x:c>
      <x:c r="I2099" t="str">
        <x:v>À qualifier par lieu</x:v>
      </x:c>
      <x:c r="J2099" t="str">
        <x:v>https://github.com/darknigthmare/deadwall-last-enclosure/blob/1b3b9c5ba232734b1bda3453b4e20a0481bcdd74/codex-3000/compositions/militaire/DW-2094.md</x:v>
      </x:c>
      <x:c r="K2099" t="str">
        <x:v>Source min 12,35 m ; max 12,35 m ; modèle 25 × 35 m ; niveaux 0. Détails dans catalogue-existant.json.</x:v>
      </x:c>
    </x:row>
    <x:row r="2100">
      <x:c r="A2100" t="str">
        <x:v>DW-2095</x:v>
      </x:c>
      <x:c r="B2100" t="str">
        <x:v>DW-0548</x:v>
      </x:c>
      <x:c r="C2100" t="str">
        <x:v>Composition héritée</x:v>
      </x:c>
      <x:c r="D2100" t="str">
        <x:v>militaire</x:v>
      </x:c>
      <x:c r="E2100" t="str">
        <x:v>Dépôt carburant sécurisé — variante 01 — Centre d’évacuation abandonné / service déplacé à l’arrière</x:v>
      </x:c>
      <x:c r="F2100" t="n">
        <x:v>8</x:v>
      </x:c>
      <x:c r="G2100" t="n">
        <x:v>5</x:v>
      </x:c>
      <x:c r="H2100" t="n">
        <x:v>0</x:v>
      </x:c>
      <x:c r="I2100" t="str">
        <x:v>À qualifier par lieu</x:v>
      </x:c>
      <x:c r="J2100" t="str">
        <x:v>https://github.com/darknigthmare/deadwall-last-enclosure/blob/1b3b9c5ba232734b1bda3453b4e20a0481bcdd74/codex-3000/compositions/militaire/DW-2095.md</x:v>
      </x:c>
      <x:c r="K2100" t="str">
        <x:v>Source min 23,52 m ; max 23,52 m ; modèle 26 × 52 m ; niveaux 0. Détails dans catalogue-existant.json.</x:v>
      </x:c>
    </x:row>
    <x:row r="2101">
      <x:c r="A2101" t="str">
        <x:v>DW-2096</x:v>
      </x:c>
      <x:c r="B2101" t="str">
        <x:v>DW-0548</x:v>
      </x:c>
      <x:c r="C2101" t="str">
        <x:v>Composition héritée</x:v>
      </x:c>
      <x:c r="D2101" t="str">
        <x:v>militaire</x:v>
      </x:c>
      <x:c r="E2101" t="str">
        <x:v>Dépôt carburant sécurisé — variante 01 — Camp hostile / réseau principal coupé</x:v>
      </x:c>
      <x:c r="F2101" t="n">
        <x:v>10</x:v>
      </x:c>
      <x:c r="G2101" t="n">
        <x:v>5</x:v>
      </x:c>
      <x:c r="H2101" t="n">
        <x:v>0</x:v>
      </x:c>
      <x:c r="I2101" t="str">
        <x:v>À qualifier par lieu</x:v>
      </x:c>
      <x:c r="J2101" t="str">
        <x:v>https://github.com/darknigthmare/deadwall-last-enclosure/blob/1b3b9c5ba232734b1bda3453b4e20a0481bcdd74/codex-3000/compositions/militaire/DW-2096.md</x:v>
      </x:c>
      <x:c r="K2101" t="str">
        <x:v>Source min 23,52 m ; max 23,52 m ; modèle 26 × 52 m ; niveaux 0. Détails dans catalogue-existant.json.</x:v>
      </x:c>
    </x:row>
    <x:row r="2102">
      <x:c r="A2102" t="str">
        <x:v>DW-2097</x:v>
      </x:c>
      <x:c r="B2102" t="str">
        <x:v>DW-0549</x:v>
      </x:c>
      <x:c r="C2102" t="str">
        <x:v>Composition héritée</x:v>
      </x:c>
      <x:c r="D2102" t="str">
        <x:v>transport</x:v>
      </x:c>
      <x:c r="E2102" t="str">
        <x:v>Gare routière — variante 01 — Station-service et aire routière / reprise progressive de la végétation</x:v>
      </x:c>
      <x:c r="F2102" t="n">
        <x:v>8</x:v>
      </x:c>
      <x:c r="G2102" t="n">
        <x:v>5</x:v>
      </x:c>
      <x:c r="H2102" t="n">
        <x:v>0</x:v>
      </x:c>
      <x:c r="I2102" t="str">
        <x:v>À qualifier par lieu</x:v>
      </x:c>
      <x:c r="J2102" t="str">
        <x:v>https://github.com/darknigthmare/deadwall-last-enclosure/blob/1b3b9c5ba232734b1bda3453b4e20a0481bcdd74/codex-3000/compositions/transport/DW-2097.md</x:v>
      </x:c>
      <x:c r="K2102" t="str">
        <x:v>Source min 34,15 m ; max 34,15 m ; modèle 34 × 22 m ; niveaux 0. Détails dans catalogue-existant.json.</x:v>
      </x:c>
    </x:row>
    <x:row r="2103">
      <x:c r="A2103" t="str">
        <x:v>DW-2098</x:v>
      </x:c>
      <x:c r="B2103" t="str">
        <x:v>DW-0549</x:v>
      </x:c>
      <x:c r="C2103" t="str">
        <x:v>Composition héritée</x:v>
      </x:c>
      <x:c r="D2103" t="str">
        <x:v>transport</x:v>
      </x:c>
      <x:c r="E2103" t="str">
        <x:v>Gare routière — variante 01 — Port marchand / repli organisé interrompu</x:v>
      </x:c>
      <x:c r="F2103" t="n">
        <x:v>10</x:v>
      </x:c>
      <x:c r="G2103" t="n">
        <x:v>5</x:v>
      </x:c>
      <x:c r="H2103" t="n">
        <x:v>0</x:v>
      </x:c>
      <x:c r="I2103" t="str">
        <x:v>À qualifier par lieu</x:v>
      </x:c>
      <x:c r="J2103" t="str">
        <x:v>https://github.com/darknigthmare/deadwall-last-enclosure/blob/1b3b9c5ba232734b1bda3453b4e20a0481bcdd74/codex-3000/compositions/transport/DW-2098.md</x:v>
      </x:c>
      <x:c r="K2103" t="str">
        <x:v>Source min 34,15 m ; max 34,15 m ; modèle 34 × 22 m ; niveaux 0. Détails dans catalogue-existant.json.</x:v>
      </x:c>
    </x:row>
    <x:row r="2104">
      <x:c r="A2104" t="str">
        <x:v>DW-2099</x:v>
      </x:c>
      <x:c r="B2104" t="str">
        <x:v>DW-0550</x:v>
      </x:c>
      <x:c r="C2104" t="str">
        <x:v>Composition héritée</x:v>
      </x:c>
      <x:c r="D2104" t="str">
        <x:v>transport</x:v>
      </x:c>
      <x:c r="E2104" t="str">
        <x:v>Dépôt de bus — variante 01 — Gare et fret / relais temporaire envisagé</x:v>
      </x:c>
      <x:c r="F2104" t="n">
        <x:v>10</x:v>
      </x:c>
      <x:c r="G2104" t="n">
        <x:v>5</x:v>
      </x:c>
      <x:c r="H2104" t="n">
        <x:v>0</x:v>
      </x:c>
      <x:c r="I2104" t="str">
        <x:v>À qualifier par lieu</x:v>
      </x:c>
      <x:c r="J2104" t="str">
        <x:v>https://github.com/darknigthmare/deadwall-last-enclosure/blob/1b3b9c5ba232734b1bda3453b4e20a0481bcdd74/codex-3000/compositions/transport/DW-2099.md</x:v>
      </x:c>
      <x:c r="K2104" t="str">
        <x:v>Source min 45,32 m ; max 45,32 m ; modèle 45 × 32 m ; niveaux 0. Détails dans catalogue-existant.json.</x:v>
      </x:c>
    </x:row>
    <x:row r="2105">
      <x:c r="A2105" t="str">
        <x:v>DW-2100</x:v>
      </x:c>
      <x:c r="B2105" t="str">
        <x:v>DW-0550</x:v>
      </x:c>
      <x:c r="C2105" t="str">
        <x:v>Composition héritée</x:v>
      </x:c>
      <x:c r="D2105" t="str">
        <x:v>transport</x:v>
      </x:c>
      <x:c r="E2105" t="str">
        <x:v>Dépôt de bus — variante 01 — Routes et coutures territoriales / évacuation interrompue</x:v>
      </x:c>
      <x:c r="F2105" t="n">
        <x:v>10</x:v>
      </x:c>
      <x:c r="G2105" t="n">
        <x:v>5</x:v>
      </x:c>
      <x:c r="H2105" t="n">
        <x:v>0</x:v>
      </x:c>
      <x:c r="I2105" t="str">
        <x:v>À qualifier par lieu</x:v>
      </x:c>
      <x:c r="J2105" t="str">
        <x:v>https://github.com/darknigthmare/deadwall-last-enclosure/blob/1b3b9c5ba232734b1bda3453b4e20a0481bcdd74/codex-3000/compositions/transport/DW-2100.md</x:v>
      </x:c>
      <x:c r="K2105" t="str">
        <x:v>Source min 45,32 m ; max 45,32 m ; modèle 45 × 32 m ; niveaux 0. Détails dans catalogue-existant.json.</x:v>
      </x:c>
    </x:row>
    <x:row r="2106">
      <x:c r="A2106" t="str">
        <x:v>DW-2101</x:v>
      </x:c>
      <x:c r="B2106" t="str">
        <x:v>DW-0551</x:v>
      </x:c>
      <x:c r="C2106" t="str">
        <x:v>Composition héritée</x:v>
      </x:c>
      <x:c r="D2106" t="str">
        <x:v>transport</x:v>
      </x:c>
      <x:c r="E2106" t="str">
        <x:v>Gare ferroviaire — variante 01 — Port marchand / réseau principal coupé</x:v>
      </x:c>
      <x:c r="F2106" t="n">
        <x:v>10</x:v>
      </x:c>
      <x:c r="G2106" t="n">
        <x:v>5</x:v>
      </x:c>
      <x:c r="H2106" t="n">
        <x:v>0</x:v>
      </x:c>
      <x:c r="I2106" t="str">
        <x:v>À qualifier par lieu</x:v>
      </x:c>
      <x:c r="J2106" t="str">
        <x:v>https://github.com/darknigthmare/deadwall-last-enclosure/blob/1b3b9c5ba232734b1bda3453b4e20a0481bcdd74/codex-3000/compositions/transport/DW-2101.md</x:v>
      </x:c>
      <x:c r="K2106" t="str">
        <x:v>Source min 56,49 m ; max 56,49 m ; modèle 56 × 49 m ; niveaux 0. Détails dans catalogue-existant.json.</x:v>
      </x:c>
    </x:row>
    <x:row r="2107">
      <x:c r="A2107" t="str">
        <x:v>DW-2102</x:v>
      </x:c>
      <x:c r="B2107" t="str">
        <x:v>DW-0551</x:v>
      </x:c>
      <x:c r="C2107" t="str">
        <x:v>Composition héritée</x:v>
      </x:c>
      <x:c r="D2107" t="str">
        <x:v>transport</x:v>
      </x:c>
      <x:c r="E2107" t="str">
        <x:v>Gare ferroviaire — variante 01 — Station-service et aire routière / arrêt de maintenance</x:v>
      </x:c>
      <x:c r="F2107" t="n">
        <x:v>8</x:v>
      </x:c>
      <x:c r="G2107" t="n">
        <x:v>5</x:v>
      </x:c>
      <x:c r="H2107" t="n">
        <x:v>0</x:v>
      </x:c>
      <x:c r="I2107" t="str">
        <x:v>À qualifier par lieu</x:v>
      </x:c>
      <x:c r="J2107" t="str">
        <x:v>https://github.com/darknigthmare/deadwall-last-enclosure/blob/1b3b9c5ba232734b1bda3453b4e20a0481bcdd74/codex-3000/compositions/transport/DW-2102.md</x:v>
      </x:c>
      <x:c r="K2107" t="str">
        <x:v>Source min 56,49 m ; max 56,49 m ; modèle 56 × 49 m ; niveaux 0. Détails dans catalogue-existant.json.</x:v>
      </x:c>
    </x:row>
    <x:row r="2108">
      <x:c r="A2108" t="str">
        <x:v>DW-2103</x:v>
      </x:c>
      <x:c r="B2108" t="str">
        <x:v>DW-0552</x:v>
      </x:c>
      <x:c r="C2108" t="str">
        <x:v>Composition héritée</x:v>
      </x:c>
      <x:c r="D2108" t="str">
        <x:v>transport</x:v>
      </x:c>
      <x:c r="E2108" t="str">
        <x:v>Aire d'autoroute — variante 01 — Routes et coutures territoriales / repli organisé interrompu</x:v>
      </x:c>
      <x:c r="F2108" t="n">
        <x:v>10</x:v>
      </x:c>
      <x:c r="G2108" t="n">
        <x:v>5</x:v>
      </x:c>
      <x:c r="H2108" t="n">
        <x:v>0</x:v>
      </x:c>
      <x:c r="I2108" t="str">
        <x:v>À qualifier par lieu</x:v>
      </x:c>
      <x:c r="J2108" t="str">
        <x:v>https://github.com/darknigthmare/deadwall-last-enclosure/blob/1b3b9c5ba232734b1bda3453b4e20a0481bcdd74/codex-3000/compositions/transport/DW-2103.md</x:v>
      </x:c>
      <x:c r="K2108" t="str">
        <x:v>Source min 67,12 m ; max 67,12 m ; modèle 67 × 22 m ; niveaux 0. Détails dans catalogue-existant.json.</x:v>
      </x:c>
    </x:row>
    <x:row r="2109">
      <x:c r="A2109" t="str">
        <x:v>DW-2104</x:v>
      </x:c>
      <x:c r="B2109" t="str">
        <x:v>DW-0552</x:v>
      </x:c>
      <x:c r="C2109" t="str">
        <x:v>Composition héritée</x:v>
      </x:c>
      <x:c r="D2109" t="str">
        <x:v>transport</x:v>
      </x:c>
      <x:c r="E2109" t="str">
        <x:v>Aire d'autoroute — variante 01 — Gare et fret / première récupération passée</x:v>
      </x:c>
      <x:c r="F2109" t="n">
        <x:v>10</x:v>
      </x:c>
      <x:c r="G2109" t="n">
        <x:v>5</x:v>
      </x:c>
      <x:c r="H2109" t="n">
        <x:v>0</x:v>
      </x:c>
      <x:c r="I2109" t="str">
        <x:v>À qualifier par lieu</x:v>
      </x:c>
      <x:c r="J2109" t="str">
        <x:v>https://github.com/darknigthmare/deadwall-last-enclosure/blob/1b3b9c5ba232734b1bda3453b4e20a0481bcdd74/codex-3000/compositions/transport/DW-2104.md</x:v>
      </x:c>
      <x:c r="K2109" t="str">
        <x:v>Source min 67,12 m ; max 67,12 m ; modèle 67 × 22 m ; niveaux 0. Détails dans catalogue-existant.json.</x:v>
      </x:c>
    </x:row>
    <x:row r="2110">
      <x:c r="A2110" t="str">
        <x:v>DW-2105</x:v>
      </x:c>
      <x:c r="B2110" t="str">
        <x:v>DW-0553</x:v>
      </x:c>
      <x:c r="C2110" t="str">
        <x:v>Composition héritée</x:v>
      </x:c>
      <x:c r="D2110" t="str">
        <x:v>transport</x:v>
      </x:c>
      <x:c r="E2110" t="str">
        <x:v>Parking silo — variante 01 — Station-service et aire routière / évacuation interrompue</x:v>
      </x:c>
      <x:c r="F2110" t="n">
        <x:v>8</x:v>
      </x:c>
      <x:c r="G2110" t="n">
        <x:v>4</x:v>
      </x:c>
      <x:c r="H2110" t="n">
        <x:v>0</x:v>
      </x:c>
      <x:c r="I2110" t="str">
        <x:v>À qualifier par lieu</x:v>
      </x:c>
      <x:c r="J2110" t="str">
        <x:v>https://github.com/darknigthmare/deadwall-last-enclosure/blob/1b3b9c5ba232734b1bda3453b4e20a0481bcdd74/codex-3000/compositions/transport/DW-2105.md</x:v>
      </x:c>
      <x:c r="K2110" t="str">
        <x:v>Source min 78,29 m ; max 78,29 m ; modèle 78 × 29 m ; niveaux 0. Détails dans catalogue-existant.json.</x:v>
      </x:c>
    </x:row>
    <x:row r="2111">
      <x:c r="A2111" t="str">
        <x:v>DW-2106</x:v>
      </x:c>
      <x:c r="B2111" t="str">
        <x:v>DW-0553</x:v>
      </x:c>
      <x:c r="C2111" t="str">
        <x:v>Composition héritée</x:v>
      </x:c>
      <x:c r="D2111" t="str">
        <x:v>transport</x:v>
      </x:c>
      <x:c r="E2111" t="str">
        <x:v>Parking silo — variante 01 — Port marchand / service déplacé à l’arrière</x:v>
      </x:c>
      <x:c r="F2111" t="n">
        <x:v>10</x:v>
      </x:c>
      <x:c r="G2111" t="n">
        <x:v>4</x:v>
      </x:c>
      <x:c r="H2111" t="n">
        <x:v>0</x:v>
      </x:c>
      <x:c r="I2111" t="str">
        <x:v>À qualifier par lieu</x:v>
      </x:c>
      <x:c r="J2111" t="str">
        <x:v>https://github.com/darknigthmare/deadwall-last-enclosure/blob/1b3b9c5ba232734b1bda3453b4e20a0481bcdd74/codex-3000/compositions/transport/DW-2106.md</x:v>
      </x:c>
      <x:c r="K2111" t="str">
        <x:v>Source min 78,29 m ; max 78,29 m ; modèle 78 × 29 m ; niveaux 0. Détails dans catalogue-existant.json.</x:v>
      </x:c>
    </x:row>
    <x:row r="2112">
      <x:c r="A2112" t="str">
        <x:v>DW-2107</x:v>
      </x:c>
      <x:c r="B2112" t="str">
        <x:v>DW-0554</x:v>
      </x:c>
      <x:c r="C2112" t="str">
        <x:v>Composition héritée</x:v>
      </x:c>
      <x:c r="D2112" t="str">
        <x:v>transport</x:v>
      </x:c>
      <x:c r="E2112" t="str">
        <x:v>Terminal poids lourds — variante 01 — Gare et fret / arrêt de maintenance</x:v>
      </x:c>
      <x:c r="F2112" t="n">
        <x:v>10</x:v>
      </x:c>
      <x:c r="G2112" t="n">
        <x:v>5</x:v>
      </x:c>
      <x:c r="H2112" t="n">
        <x:v>0</x:v>
      </x:c>
      <x:c r="I2112" t="str">
        <x:v>À qualifier par lieu</x:v>
      </x:c>
      <x:c r="J2112" t="str">
        <x:v>https://github.com/darknigthmare/deadwall-last-enclosure/blob/1b3b9c5ba232734b1bda3453b4e20a0481bcdd74/codex-3000/compositions/transport/DW-2107.md</x:v>
      </x:c>
      <x:c r="K2112" t="str">
        <x:v>Source min 17,46 m ; max 17,46 m ; modèle 26 × 46 m ; niveaux 0. Détails dans catalogue-existant.json.</x:v>
      </x:c>
    </x:row>
    <x:row r="2113">
      <x:c r="A2113" t="str">
        <x:v>DW-2108</x:v>
      </x:c>
      <x:c r="B2113" t="str">
        <x:v>DW-0554</x:v>
      </x:c>
      <x:c r="C2113" t="str">
        <x:v>Composition héritée</x:v>
      </x:c>
      <x:c r="D2113" t="str">
        <x:v>transport</x:v>
      </x:c>
      <x:c r="E2113" t="str">
        <x:v>Terminal poids lourds — variante 01 — Routes et coutures territoriales / reprise progressive de la végétation</x:v>
      </x:c>
      <x:c r="F2113" t="n">
        <x:v>10</x:v>
      </x:c>
      <x:c r="G2113" t="n">
        <x:v>5</x:v>
      </x:c>
      <x:c r="H2113" t="n">
        <x:v>0</x:v>
      </x:c>
      <x:c r="I2113" t="str">
        <x:v>À qualifier par lieu</x:v>
      </x:c>
      <x:c r="J2113" t="str">
        <x:v>https://github.com/darknigthmare/deadwall-last-enclosure/blob/1b3b9c5ba232734b1bda3453b4e20a0481bcdd74/codex-3000/compositions/transport/DW-2108.md</x:v>
      </x:c>
      <x:c r="K2113" t="str">
        <x:v>Source min 17,46 m ; max 17,46 m ; modèle 26 × 46 m ; niveaux 0. Détails dans catalogue-existant.json.</x:v>
      </x:c>
    </x:row>
    <x:row r="2114">
      <x:c r="A2114" t="str">
        <x:v>DW-2109</x:v>
      </x:c>
      <x:c r="B2114" t="str">
        <x:v>DW-0555</x:v>
      </x:c>
      <x:c r="C2114" t="str">
        <x:v>Composition héritée</x:v>
      </x:c>
      <x:c r="D2114" t="str">
        <x:v>transport</x:v>
      </x:c>
      <x:c r="E2114" t="str">
        <x:v>Port de plaisance — variante 01 — Port marchand / première récupération passée</x:v>
      </x:c>
      <x:c r="F2114" t="n">
        <x:v>10</x:v>
      </x:c>
      <x:c r="G2114" t="n">
        <x:v>5</x:v>
      </x:c>
      <x:c r="H2114" t="n">
        <x:v>0</x:v>
      </x:c>
      <x:c r="I2114" t="str">
        <x:v>À qualifier par lieu</x:v>
      </x:c>
      <x:c r="J2114" t="str">
        <x:v>https://github.com/darknigthmare/deadwall-last-enclosure/blob/1b3b9c5ba232734b1bda3453b4e20a0481bcdd74/codex-3000/compositions/transport/DW-2109.md</x:v>
      </x:c>
      <x:c r="K2114" t="str">
        <x:v>Source min 28,9 m ; max 28,9 m ; modèle 28 × 22 m ; niveaux 0. Détails dans catalogue-existant.json.</x:v>
      </x:c>
    </x:row>
    <x:row r="2115">
      <x:c r="A2115" t="str">
        <x:v>DW-2110</x:v>
      </x:c>
      <x:c r="B2115" t="str">
        <x:v>DW-0555</x:v>
      </x:c>
      <x:c r="C2115" t="str">
        <x:v>Composition héritée</x:v>
      </x:c>
      <x:c r="D2115" t="str">
        <x:v>transport</x:v>
      </x:c>
      <x:c r="E2115" t="str">
        <x:v>Port de plaisance — variante 01 — Station-service et aire routière / relais temporaire envisagé</x:v>
      </x:c>
      <x:c r="F2115" t="n">
        <x:v>8</x:v>
      </x:c>
      <x:c r="G2115" t="n">
        <x:v>5</x:v>
      </x:c>
      <x:c r="H2115" t="n">
        <x:v>0</x:v>
      </x:c>
      <x:c r="I2115" t="str">
        <x:v>À qualifier par lieu</x:v>
      </x:c>
      <x:c r="J2115" t="str">
        <x:v>https://github.com/darknigthmare/deadwall-last-enclosure/blob/1b3b9c5ba232734b1bda3453b4e20a0481bcdd74/codex-3000/compositions/transport/DW-2110.md</x:v>
      </x:c>
      <x:c r="K2115" t="str">
        <x:v>Source min 28,9 m ; max 28,9 m ; modèle 28 × 22 m ; niveaux 0. Détails dans catalogue-existant.json.</x:v>
      </x:c>
    </x:row>
    <x:row r="2116">
      <x:c r="A2116" t="str">
        <x:v>DW-2111</x:v>
      </x:c>
      <x:c r="B2116" t="str">
        <x:v>DW-0556</x:v>
      </x:c>
      <x:c r="C2116" t="str">
        <x:v>Composition héritée</x:v>
      </x:c>
      <x:c r="D2116" t="str">
        <x:v>transport</x:v>
      </x:c>
      <x:c r="E2116" t="str">
        <x:v>Petit aérodrome — variante 01 — Routes et coutures territoriales / service déplacé à l’arrière</x:v>
      </x:c>
      <x:c r="F2116" t="n">
        <x:v>10</x:v>
      </x:c>
      <x:c r="G2116" t="n">
        <x:v>5</x:v>
      </x:c>
      <x:c r="H2116" t="n">
        <x:v>0</x:v>
      </x:c>
      <x:c r="I2116" t="str">
        <x:v>À qualifier par lieu</x:v>
      </x:c>
      <x:c r="J2116" t="str">
        <x:v>https://github.com/darknigthmare/deadwall-last-enclosure/blob/1b3b9c5ba232734b1bda3453b4e20a0481bcdd74/codex-3000/compositions/transport/DW-2111.md</x:v>
      </x:c>
      <x:c r="K2116" t="str">
        <x:v>Source min 39,26 m ; max 39,26 m ; modèle 39 × 26 m ; niveaux 0. Détails dans catalogue-existant.json.</x:v>
      </x:c>
    </x:row>
    <x:row r="2117">
      <x:c r="A2117" t="str">
        <x:v>DW-2112</x:v>
      </x:c>
      <x:c r="B2117" t="str">
        <x:v>DW-0556</x:v>
      </x:c>
      <x:c r="C2117" t="str">
        <x:v>Composition héritée</x:v>
      </x:c>
      <x:c r="D2117" t="str">
        <x:v>transport</x:v>
      </x:c>
      <x:c r="E2117" t="str">
        <x:v>Petit aérodrome — variante 01 — Gare et fret / réseau principal coupé</x:v>
      </x:c>
      <x:c r="F2117" t="n">
        <x:v>10</x:v>
      </x:c>
      <x:c r="G2117" t="n">
        <x:v>5</x:v>
      </x:c>
      <x:c r="H2117" t="n">
        <x:v>0</x:v>
      </x:c>
      <x:c r="I2117" t="str">
        <x:v>À qualifier par lieu</x:v>
      </x:c>
      <x:c r="J2117" t="str">
        <x:v>https://github.com/darknigthmare/deadwall-last-enclosure/blob/1b3b9c5ba232734b1bda3453b4e20a0481bcdd74/codex-3000/compositions/transport/DW-2112.md</x:v>
      </x:c>
      <x:c r="K2117" t="str">
        <x:v>Source min 39,26 m ; max 39,26 m ; modèle 39 × 26 m ; niveaux 0. Détails dans catalogue-existant.json.</x:v>
      </x:c>
    </x:row>
    <x:row r="2118">
      <x:c r="A2118" t="str">
        <x:v>DW-2113</x:v>
      </x:c>
      <x:c r="B2118" t="str">
        <x:v>DW-0557</x:v>
      </x:c>
      <x:c r="C2118" t="str">
        <x:v>Composition héritée</x:v>
      </x:c>
      <x:c r="D2118" t="str">
        <x:v>ruines</x:v>
      </x:c>
      <x:c r="E2118" t="str">
        <x:v>Maison incendiée — variante 01 — Ruine envahie et reprise végétale / reprise progressive de la végétation</x:v>
      </x:c>
      <x:c r="F2118" t="n">
        <x:v>8</x:v>
      </x:c>
      <x:c r="G2118" t="n">
        <x:v>3</x:v>
      </x:c>
      <x:c r="H2118" t="n">
        <x:v>0</x:v>
      </x:c>
      <x:c r="I2118" t="str">
        <x:v>À qualifier par lieu</x:v>
      </x:c>
      <x:c r="J2118" t="str">
        <x:v>https://github.com/darknigthmare/deadwall-last-enclosure/blob/1b3b9c5ba232734b1bda3453b4e20a0481bcdd74/codex-3000/compositions/ruines/DW-2113.md</x:v>
      </x:c>
      <x:c r="K2118" t="str">
        <x:v>Source min 50,43 m ; max 50,43 m ; modèle 50 × 43 m ; niveaux 0, 1. Détails dans catalogue-existant.json.</x:v>
      </x:c>
    </x:row>
    <x:row r="2119">
      <x:c r="A2119" t="str">
        <x:v>DW-2114</x:v>
      </x:c>
      <x:c r="B2119" t="str">
        <x:v>DW-0557</x:v>
      </x:c>
      <x:c r="C2119" t="str">
        <x:v>Composition héritée</x:v>
      </x:c>
      <x:c r="D2119" t="str">
        <x:v>ruines</x:v>
      </x:c>
      <x:c r="E2119" t="str">
        <x:v>Maison incendiée — variante 01 — Zone industrielle / repli organisé interrompu</x:v>
      </x:c>
      <x:c r="F2119" t="n">
        <x:v>8</x:v>
      </x:c>
      <x:c r="G2119" t="n">
        <x:v>3</x:v>
      </x:c>
      <x:c r="H2119" t="n">
        <x:v>0</x:v>
      </x:c>
      <x:c r="I2119" t="str">
        <x:v>À qualifier par lieu</x:v>
      </x:c>
      <x:c r="J2119" t="str">
        <x:v>https://github.com/darknigthmare/deadwall-last-enclosure/blob/1b3b9c5ba232734b1bda3453b4e20a0481bcdd74/codex-3000/compositions/ruines/DW-2114.md</x:v>
      </x:c>
      <x:c r="K2119" t="str">
        <x:v>Source min 50,43 m ; max 50,43 m ; modèle 50 × 43 m ; niveaux 0, 1. Détails dans catalogue-existant.json.</x:v>
      </x:c>
    </x:row>
    <x:row r="2120">
      <x:c r="A2120" t="str">
        <x:v>DW-2115</x:v>
      </x:c>
      <x:c r="B2120" t="str">
        <x:v>DW-0558</x:v>
      </x:c>
      <x:c r="C2120" t="str">
        <x:v>Composition héritée</x:v>
      </x:c>
      <x:c r="D2120" t="str">
        <x:v>ruines</x:v>
      </x:c>
      <x:c r="E2120" t="str">
        <x:v>Immeuble éventré — variante 01 — Centre ancien / relais temporaire envisagé</x:v>
      </x:c>
      <x:c r="F2120" t="n">
        <x:v>8</x:v>
      </x:c>
      <x:c r="G2120" t="n">
        <x:v>4</x:v>
      </x:c>
      <x:c r="H2120" t="n">
        <x:v>0</x:v>
      </x:c>
      <x:c r="I2120" t="str">
        <x:v>À qualifier par lieu</x:v>
      </x:c>
      <x:c r="J2120" t="str">
        <x:v>https://github.com/darknigthmare/deadwall-last-enclosure/blob/1b3b9c5ba232734b1bda3453b4e20a0481bcdd74/codex-3000/compositions/ruines/DW-2115.md</x:v>
      </x:c>
      <x:c r="K2120" t="str">
        <x:v>Source min 61,60 m ; max 61,60 m ; modèle 61 × 60 m ; niveaux 0, 1. Détails dans catalogue-existant.json.</x:v>
      </x:c>
    </x:row>
    <x:row r="2121">
      <x:c r="A2121" t="str">
        <x:v>DW-2116</x:v>
      </x:c>
      <x:c r="B2121" t="str">
        <x:v>DW-0558</x:v>
      </x:c>
      <x:c r="C2121" t="str">
        <x:v>Composition héritée</x:v>
      </x:c>
      <x:c r="D2121" t="str">
        <x:v>ruines</x:v>
      </x:c>
      <x:c r="E2121" t="str">
        <x:v>Immeuble éventré — variante 01 — Petit bois et lisière / évacuation interrompue</x:v>
      </x:c>
      <x:c r="F2121" t="n">
        <x:v>8</x:v>
      </x:c>
      <x:c r="G2121" t="n">
        <x:v>4</x:v>
      </x:c>
      <x:c r="H2121" t="n">
        <x:v>0</x:v>
      </x:c>
      <x:c r="I2121" t="str">
        <x:v>À qualifier par lieu</x:v>
      </x:c>
      <x:c r="J2121" t="str">
        <x:v>https://github.com/darknigthmare/deadwall-last-enclosure/blob/1b3b9c5ba232734b1bda3453b4e20a0481bcdd74/codex-3000/compositions/ruines/DW-2116.md</x:v>
      </x:c>
      <x:c r="K2121" t="str">
        <x:v>Source min 61,60 m ; max 61,60 m ; modèle 61 × 60 m ; niveaux 0, 1. Détails dans catalogue-existant.json.</x:v>
      </x:c>
    </x:row>
    <x:row r="2122">
      <x:c r="A2122" t="str">
        <x:v>DW-2117</x:v>
      </x:c>
      <x:c r="B2122" t="str">
        <x:v>DW-0559</x:v>
      </x:c>
      <x:c r="C2122" t="str">
        <x:v>Composition héritée</x:v>
      </x:c>
      <x:c r="D2122" t="str">
        <x:v>ruines</x:v>
      </x:c>
      <x:c r="E2122" t="str">
        <x:v>Commerce pillé — variante 01 — Zone industrielle / réseau principal coupé</x:v>
      </x:c>
      <x:c r="F2122" t="n">
        <x:v>8</x:v>
      </x:c>
      <x:c r="G2122" t="n">
        <x:v>4</x:v>
      </x:c>
      <x:c r="H2122" t="n">
        <x:v>0</x:v>
      </x:c>
      <x:c r="I2122" t="str">
        <x:v>À qualifier par lieu</x:v>
      </x:c>
      <x:c r="J2122" t="str">
        <x:v>https://github.com/darknigthmare/deadwall-last-enclosure/blob/1b3b9c5ba232734b1bda3453b4e20a0481bcdd74/codex-3000/compositions/ruines/DW-2117.md</x:v>
      </x:c>
      <x:c r="K2122" t="str">
        <x:v>Source min 72,23 m ; max 72,23 m ; modèle 72 × 23 m ; niveaux 0. Détails dans catalogue-existant.json.</x:v>
      </x:c>
    </x:row>
    <x:row r="2123">
      <x:c r="A2123" t="str">
        <x:v>DW-2118</x:v>
      </x:c>
      <x:c r="B2123" t="str">
        <x:v>DW-0559</x:v>
      </x:c>
      <x:c r="C2123" t="str">
        <x:v>Composition héritée</x:v>
      </x:c>
      <x:c r="D2123" t="str">
        <x:v>ruines</x:v>
      </x:c>
      <x:c r="E2123" t="str">
        <x:v>Commerce pillé — variante 01 — Ruine envahie et reprise végétale / arrêt de maintenance</x:v>
      </x:c>
      <x:c r="F2123" t="n">
        <x:v>8</x:v>
      </x:c>
      <x:c r="G2123" t="n">
        <x:v>4</x:v>
      </x:c>
      <x:c r="H2123" t="n">
        <x:v>0</x:v>
      </x:c>
      <x:c r="I2123" t="str">
        <x:v>À qualifier par lieu</x:v>
      </x:c>
      <x:c r="J2123" t="str">
        <x:v>https://github.com/darknigthmare/deadwall-last-enclosure/blob/1b3b9c5ba232734b1bda3453b4e20a0481bcdd74/codex-3000/compositions/ruines/DW-2118.md</x:v>
      </x:c>
      <x:c r="K2123" t="str">
        <x:v>Source min 72,23 m ; max 72,23 m ; modèle 72 × 23 m ; niveaux 0. Détails dans catalogue-existant.json.</x:v>
      </x:c>
    </x:row>
    <x:row r="2124">
      <x:c r="A2124" t="str">
        <x:v>DW-2119</x:v>
      </x:c>
      <x:c r="B2124" t="str">
        <x:v>DW-0560</x:v>
      </x:c>
      <x:c r="C2124" t="str">
        <x:v>Composition héritée</x:v>
      </x:c>
      <x:c r="D2124" t="str">
        <x:v>ruines</x:v>
      </x:c>
      <x:c r="E2124" t="str">
        <x:v>Usine sinistrée — variante 01 — Petit bois et lisière / repli organisé interrompu</x:v>
      </x:c>
      <x:c r="F2124" t="n">
        <x:v>8</x:v>
      </x:c>
      <x:c r="G2124" t="n">
        <x:v>4</x:v>
      </x:c>
      <x:c r="H2124" t="n">
        <x:v>0</x:v>
      </x:c>
      <x:c r="I2124" t="str">
        <x:v>À qualifier par lieu</x:v>
      </x:c>
      <x:c r="J2124" t="str">
        <x:v>https://github.com/darknigthmare/deadwall-last-enclosure/blob/1b3b9c5ba232734b1bda3453b4e20a0481bcdd74/codex-3000/compositions/ruines/DW-2119.md</x:v>
      </x:c>
      <x:c r="K2124" t="str">
        <x:v>Source min 11,40 m ; max 11,40 m ; modèle 25 × 40 m ; niveaux 0. Détails dans catalogue-existant.json.</x:v>
      </x:c>
    </x:row>
    <x:row r="2125">
      <x:c r="A2125" t="str">
        <x:v>DW-2120</x:v>
      </x:c>
      <x:c r="B2125" t="str">
        <x:v>DW-0560</x:v>
      </x:c>
      <x:c r="C2125" t="str">
        <x:v>Composition héritée</x:v>
      </x:c>
      <x:c r="D2125" t="str">
        <x:v>ruines</x:v>
      </x:c>
      <x:c r="E2125" t="str">
        <x:v>Usine sinistrée — variante 01 — Centre ancien / première récupération passée</x:v>
      </x:c>
      <x:c r="F2125" t="n">
        <x:v>8</x:v>
      </x:c>
      <x:c r="G2125" t="n">
        <x:v>4</x:v>
      </x:c>
      <x:c r="H2125" t="n">
        <x:v>0</x:v>
      </x:c>
      <x:c r="I2125" t="str">
        <x:v>À qualifier par lieu</x:v>
      </x:c>
      <x:c r="J2125" t="str">
        <x:v>https://github.com/darknigthmare/deadwall-last-enclosure/blob/1b3b9c5ba232734b1bda3453b4e20a0481bcdd74/codex-3000/compositions/ruines/DW-2120.md</x:v>
      </x:c>
      <x:c r="K2125" t="str">
        <x:v>Source min 11,40 m ; max 11,40 m ; modèle 25 × 40 m ; niveaux 0. Détails dans catalogue-existant.json.</x:v>
      </x:c>
    </x:row>
    <x:row r="2126">
      <x:c r="A2126" t="str">
        <x:v>DW-2121</x:v>
      </x:c>
      <x:c r="B2126" t="str">
        <x:v>DW-0561</x:v>
      </x:c>
      <x:c r="C2126" t="str">
        <x:v>Composition héritée</x:v>
      </x:c>
      <x:c r="D2126" t="str">
        <x:v>ruines</x:v>
      </x:c>
      <x:c r="E2126" t="str">
        <x:v>Hôtel abandonné — variante 01 — Ruine envahie et reprise végétale / évacuation interrompue</x:v>
      </x:c>
      <x:c r="F2126" t="n">
        <x:v>8</x:v>
      </x:c>
      <x:c r="G2126" t="n">
        <x:v>5</x:v>
      </x:c>
      <x:c r="H2126" t="n">
        <x:v>0</x:v>
      </x:c>
      <x:c r="I2126" t="str">
        <x:v>À qualifier par lieu</x:v>
      </x:c>
      <x:c r="J2126" t="str">
        <x:v>https://github.com/darknigthmare/deadwall-last-enclosure/blob/1b3b9c5ba232734b1bda3453b4e20a0481bcdd74/codex-3000/compositions/ruines/DW-2121.md</x:v>
      </x:c>
      <x:c r="K2126" t="str">
        <x:v>Source min 22,57 m ; max 22,57 m ; modèle 26 × 57 m ; niveaux 0, 1. Détails dans catalogue-existant.json.</x:v>
      </x:c>
    </x:row>
    <x:row r="2127">
      <x:c r="A2127" t="str">
        <x:v>DW-2122</x:v>
      </x:c>
      <x:c r="B2127" t="str">
        <x:v>DW-0561</x:v>
      </x:c>
      <x:c r="C2127" t="str">
        <x:v>Composition héritée</x:v>
      </x:c>
      <x:c r="D2127" t="str">
        <x:v>ruines</x:v>
      </x:c>
      <x:c r="E2127" t="str">
        <x:v>Hôtel abandonné — variante 01 — Zone industrielle / service déplacé à l’arrière</x:v>
      </x:c>
      <x:c r="F2127" t="n">
        <x:v>8</x:v>
      </x:c>
      <x:c r="G2127" t="n">
        <x:v>5</x:v>
      </x:c>
      <x:c r="H2127" t="n">
        <x:v>0</x:v>
      </x:c>
      <x:c r="I2127" t="str">
        <x:v>À qualifier par lieu</x:v>
      </x:c>
      <x:c r="J2127" t="str">
        <x:v>https://github.com/darknigthmare/deadwall-last-enclosure/blob/1b3b9c5ba232734b1bda3453b4e20a0481bcdd74/codex-3000/compositions/ruines/DW-2122.md</x:v>
      </x:c>
      <x:c r="K2127" t="str">
        <x:v>Source min 22,57 m ; max 22,57 m ; modèle 26 × 57 m ; niveaux 0, 1. Détails dans catalogue-existant.json.</x:v>
      </x:c>
    </x:row>
    <x:row r="2128">
      <x:c r="A2128" t="str">
        <x:v>DW-2123</x:v>
      </x:c>
      <x:c r="B2128" t="str">
        <x:v>DW-0562</x:v>
      </x:c>
      <x:c r="C2128" t="str">
        <x:v>Composition héritée</x:v>
      </x:c>
      <x:c r="D2128" t="str">
        <x:v>ruines</x:v>
      </x:c>
      <x:c r="E2128" t="str">
        <x:v>Lotissement ravagé — variante 01 — Centre ancien / arrêt de maintenance</x:v>
      </x:c>
      <x:c r="F2128" t="n">
        <x:v>8</x:v>
      </x:c>
      <x:c r="G2128" t="n">
        <x:v>4</x:v>
      </x:c>
      <x:c r="H2128" t="n">
        <x:v>0</x:v>
      </x:c>
      <x:c r="I2128" t="str">
        <x:v>À qualifier par lieu</x:v>
      </x:c>
      <x:c r="J2128" t="str">
        <x:v>https://github.com/darknigthmare/deadwall-last-enclosure/blob/1b3b9c5ba232734b1bda3453b4e20a0481bcdd74/codex-3000/compositions/ruines/DW-2123.md</x:v>
      </x:c>
      <x:c r="K2128" t="str">
        <x:v>Source min 33,20 m ; max 33,20 m ; modèle 33 × 20 m ; niveaux 0. Détails dans catalogue-existant.json.</x:v>
      </x:c>
    </x:row>
    <x:row r="2129">
      <x:c r="A2129" t="str">
        <x:v>DW-2124</x:v>
      </x:c>
      <x:c r="B2129" t="str">
        <x:v>DW-0562</x:v>
      </x:c>
      <x:c r="C2129" t="str">
        <x:v>Composition héritée</x:v>
      </x:c>
      <x:c r="D2129" t="str">
        <x:v>ruines</x:v>
      </x:c>
      <x:c r="E2129" t="str">
        <x:v>Lotissement ravagé — variante 01 — Petit bois et lisière / reprise progressive de la végétation</x:v>
      </x:c>
      <x:c r="F2129" t="n">
        <x:v>8</x:v>
      </x:c>
      <x:c r="G2129" t="n">
        <x:v>4</x:v>
      </x:c>
      <x:c r="H2129" t="n">
        <x:v>0</x:v>
      </x:c>
      <x:c r="I2129" t="str">
        <x:v>À qualifier par lieu</x:v>
      </x:c>
      <x:c r="J2129" t="str">
        <x:v>https://github.com/darknigthmare/deadwall-last-enclosure/blob/1b3b9c5ba232734b1bda3453b4e20a0481bcdd74/codex-3000/compositions/ruines/DW-2124.md</x:v>
      </x:c>
      <x:c r="K2129" t="str">
        <x:v>Source min 33,20 m ; max 33,20 m ; modèle 33 × 20 m ; niveaux 0. Détails dans catalogue-existant.json.</x:v>
      </x:c>
    </x:row>
    <x:row r="2130">
      <x:c r="A2130" t="str">
        <x:v>DW-2125</x:v>
      </x:c>
      <x:c r="B2130" t="str">
        <x:v>DW-0563</x:v>
      </x:c>
      <x:c r="C2130" t="str">
        <x:v>Composition héritée</x:v>
      </x:c>
      <x:c r="D2130" t="str">
        <x:v>ruines</x:v>
      </x:c>
      <x:c r="E2130" t="str">
        <x:v>Village déserté — variante 01 — Zone industrielle / première récupération passée</x:v>
      </x:c>
      <x:c r="F2130" t="n">
        <x:v>8</x:v>
      </x:c>
      <x:c r="G2130" t="n">
        <x:v>5</x:v>
      </x:c>
      <x:c r="H2130" t="n">
        <x:v>0</x:v>
      </x:c>
      <x:c r="I2130" t="str">
        <x:v>À qualifier par lieu</x:v>
      </x:c>
      <x:c r="J2130" t="str">
        <x:v>https://github.com/darknigthmare/deadwall-last-enclosure/blob/1b3b9c5ba232734b1bda3453b4e20a0481bcdd74/codex-3000/compositions/ruines/DW-2125.md</x:v>
      </x:c>
      <x:c r="K2130" t="str">
        <x:v>Source min 44,37 m ; max 44,37 m ; modèle 44 × 37 m ; niveaux 0. Détails dans catalogue-existant.json.</x:v>
      </x:c>
    </x:row>
    <x:row r="2131">
      <x:c r="A2131" t="str">
        <x:v>DW-2126</x:v>
      </x:c>
      <x:c r="B2131" t="str">
        <x:v>DW-0563</x:v>
      </x:c>
      <x:c r="C2131" t="str">
        <x:v>Composition héritée</x:v>
      </x:c>
      <x:c r="D2131" t="str">
        <x:v>ruines</x:v>
      </x:c>
      <x:c r="E2131" t="str">
        <x:v>Village déserté — variante 01 — Ruine envahie et reprise végétale / relais temporaire envisagé</x:v>
      </x:c>
      <x:c r="F2131" t="n">
        <x:v>8</x:v>
      </x:c>
      <x:c r="G2131" t="n">
        <x:v>5</x:v>
      </x:c>
      <x:c r="H2131" t="n">
        <x:v>0</x:v>
      </x:c>
      <x:c r="I2131" t="str">
        <x:v>À qualifier par lieu</x:v>
      </x:c>
      <x:c r="J2131" t="str">
        <x:v>https://github.com/darknigthmare/deadwall-last-enclosure/blob/1b3b9c5ba232734b1bda3453b4e20a0481bcdd74/codex-3000/compositions/ruines/DW-2126.md</x:v>
      </x:c>
      <x:c r="K2131" t="str">
        <x:v>Source min 44,37 m ; max 44,37 m ; modèle 44 × 37 m ; niveaux 0. Détails dans catalogue-existant.json.</x:v>
      </x:c>
    </x:row>
    <x:row r="2132">
      <x:c r="A2132" t="str">
        <x:v>DW-2127</x:v>
      </x:c>
      <x:c r="B2132" t="str">
        <x:v>DW-0564</x:v>
      </x:c>
      <x:c r="C2132" t="str">
        <x:v>Composition héritée</x:v>
      </x:c>
      <x:c r="D2132" t="str">
        <x:v>ruines</x:v>
      </x:c>
      <x:c r="E2132" t="str">
        <x:v>Centre commercial effondré — variante 01 — Petit bois et lisière / service déplacé à l’arrière</x:v>
      </x:c>
      <x:c r="F2132" t="n">
        <x:v>8</x:v>
      </x:c>
      <x:c r="G2132" t="n">
        <x:v>5</x:v>
      </x:c>
      <x:c r="H2132" t="n">
        <x:v>0</x:v>
      </x:c>
      <x:c r="I2132" t="str">
        <x:v>À qualifier par lieu</x:v>
      </x:c>
      <x:c r="J2132" t="str">
        <x:v>https://github.com/darknigthmare/deadwall-last-enclosure/blob/1b3b9c5ba232734b1bda3453b4e20a0481bcdd74/codex-3000/compositions/ruines/DW-2127.md</x:v>
      </x:c>
      <x:c r="K2132" t="str">
        <x:v>Source min 55,54 m ; max 55,54 m ; modèle 55 × 54 m ; niveaux 0. Détails dans catalogue-existant.json.</x:v>
      </x:c>
    </x:row>
    <x:row r="2133">
      <x:c r="A2133" t="str">
        <x:v>DW-2128</x:v>
      </x:c>
      <x:c r="B2133" t="str">
        <x:v>DW-0564</x:v>
      </x:c>
      <x:c r="C2133" t="str">
        <x:v>Composition héritée</x:v>
      </x:c>
      <x:c r="D2133" t="str">
        <x:v>ruines</x:v>
      </x:c>
      <x:c r="E2133" t="str">
        <x:v>Centre commercial effondré — variante 01 — Centre ancien / réseau principal coupé</x:v>
      </x:c>
      <x:c r="F2133" t="n">
        <x:v>8</x:v>
      </x:c>
      <x:c r="G2133" t="n">
        <x:v>5</x:v>
      </x:c>
      <x:c r="H2133" t="n">
        <x:v>0</x:v>
      </x:c>
      <x:c r="I2133" t="str">
        <x:v>À qualifier par lieu</x:v>
      </x:c>
      <x:c r="J2133" t="str">
        <x:v>https://github.com/darknigthmare/deadwall-last-enclosure/blob/1b3b9c5ba232734b1bda3453b4e20a0481bcdd74/codex-3000/compositions/ruines/DW-2128.md</x:v>
      </x:c>
      <x:c r="K2133" t="str">
        <x:v>Source min 55,54 m ; max 55,54 m ; modèle 55 × 54 m ; niveaux 0. Détails dans catalogue-existant.json.</x:v>
      </x:c>
    </x:row>
    <x:row r="2134">
      <x:c r="A2134" t="str">
        <x:v>DW-2129</x:v>
      </x:c>
      <x:c r="B2134" t="str">
        <x:v>DW-0565</x:v>
      </x:c>
      <x:c r="C2134" t="str">
        <x:v>Composition héritée</x:v>
      </x:c>
      <x:c r="D2134" t="str">
        <x:v>habitat</x:v>
      </x:c>
      <x:c r="E2134" t="str">
        <x:v>Maison de lotissement — variante 02 — Quartier pavillonnaire / reprise progressive de la végétation</x:v>
      </x:c>
      <x:c r="F2134" t="n">
        <x:v>8</x:v>
      </x:c>
      <x:c r="G2134" t="n">
        <x:v>5</x:v>
      </x:c>
      <x:c r="H2134" t="n">
        <x:v>0</x:v>
      </x:c>
      <x:c r="I2134" t="str">
        <x:v>À qualifier par lieu</x:v>
      </x:c>
      <x:c r="J2134" t="str">
        <x:v>https://github.com/darknigthmare/deadwall-last-enclosure/blob/1b3b9c5ba232734b1bda3453b4e20a0481bcdd74/codex-3000/compositions/habitat/DW-2129.md</x:v>
      </x:c>
      <x:c r="K2134" t="str">
        <x:v>Source min 66,17 m ; max 66,17 m ; modèle 66 × 22 m ; niveaux 0, 1. Détails dans catalogue-existant.json.</x:v>
      </x:c>
    </x:row>
    <x:row r="2135">
      <x:c r="A2135" t="str">
        <x:v>DW-2130</x:v>
      </x:c>
      <x:c r="B2135" t="str">
        <x:v>DW-0565</x:v>
      </x:c>
      <x:c r="C2135" t="str">
        <x:v>Composition héritée</x:v>
      </x:c>
      <x:c r="D2135" t="str">
        <x:v>habitat</x:v>
      </x:c>
      <x:c r="E2135" t="str">
        <x:v>Maison de lotissement — variante 02 — Village et bourg / repli organisé interrompu</x:v>
      </x:c>
      <x:c r="F2135" t="n">
        <x:v>8</x:v>
      </x:c>
      <x:c r="G2135" t="n">
        <x:v>5</x:v>
      </x:c>
      <x:c r="H2135" t="n">
        <x:v>0</x:v>
      </x:c>
      <x:c r="I2135" t="str">
        <x:v>À qualifier par lieu</x:v>
      </x:c>
      <x:c r="J2135" t="str">
        <x:v>https://github.com/darknigthmare/deadwall-last-enclosure/blob/1b3b9c5ba232734b1bda3453b4e20a0481bcdd74/codex-3000/compositions/habitat/DW-2130.md</x:v>
      </x:c>
      <x:c r="K2135" t="str">
        <x:v>Source min 66,17 m ; max 66,17 m ; modèle 66 × 22 m ; niveaux 0, 1. Détails dans catalogue-existant.json.</x:v>
      </x:c>
    </x:row>
    <x:row r="2136">
      <x:c r="A2136" t="str">
        <x:v>DW-2131</x:v>
      </x:c>
      <x:c r="B2136" t="str">
        <x:v>DW-0566</x:v>
      </x:c>
      <x:c r="C2136" t="str">
        <x:v>Composition héritée</x:v>
      </x:c>
      <x:c r="D2136" t="str">
        <x:v>habitat</x:v>
      </x:c>
      <x:c r="E2136" t="str">
        <x:v>Maison mitoyenne — variante 02 — Hameau / relais temporaire envisagé</x:v>
      </x:c>
      <x:c r="F2136" t="n">
        <x:v>8</x:v>
      </x:c>
      <x:c r="G2136" t="n">
        <x:v>5</x:v>
      </x:c>
      <x:c r="H2136" t="n">
        <x:v>0</x:v>
      </x:c>
      <x:c r="I2136" t="str">
        <x:v>À qualifier par lieu</x:v>
      </x:c>
      <x:c r="J2136" t="str">
        <x:v>https://github.com/darknigthmare/deadwall-last-enclosure/blob/1b3b9c5ba232734b1bda3453b4e20a0481bcdd74/codex-3000/compositions/habitat/DW-2131.md</x:v>
      </x:c>
      <x:c r="K2136" t="str">
        <x:v>Source min 77,34 m ; max 77,34 m ; modèle 77 × 34 m ; niveaux 0. Détails dans catalogue-existant.json.</x:v>
      </x:c>
    </x:row>
    <x:row r="2137">
      <x:c r="A2137" t="str">
        <x:v>DW-2132</x:v>
      </x:c>
      <x:c r="B2137" t="str">
        <x:v>DW-0566</x:v>
      </x:c>
      <x:c r="C2137" t="str">
        <x:v>Composition héritée</x:v>
      </x:c>
      <x:c r="D2137" t="str">
        <x:v>habitat</x:v>
      </x:c>
      <x:c r="E2137" t="str">
        <x:v>Maison mitoyenne — variante 02 — Quartier collectif / évacuation interrompue</x:v>
      </x:c>
      <x:c r="F2137" t="n">
        <x:v>8</x:v>
      </x:c>
      <x:c r="G2137" t="n">
        <x:v>5</x:v>
      </x:c>
      <x:c r="H2137" t="n">
        <x:v>0</x:v>
      </x:c>
      <x:c r="I2137" t="str">
        <x:v>À qualifier par lieu</x:v>
      </x:c>
      <x:c r="J2137" t="str">
        <x:v>https://github.com/darknigthmare/deadwall-last-enclosure/blob/1b3b9c5ba232734b1bda3453b4e20a0481bcdd74/codex-3000/compositions/habitat/DW-2132.md</x:v>
      </x:c>
      <x:c r="K2137" t="str">
        <x:v>Source min 77,34 m ; max 77,34 m ; modèle 77 × 34 m ; niveaux 0. Détails dans catalogue-existant.json.</x:v>
      </x:c>
    </x:row>
    <x:row r="2138">
      <x:c r="A2138" t="str">
        <x:v>DW-2133</x:v>
      </x:c>
      <x:c r="B2138" t="str">
        <x:v>DW-0567</x:v>
      </x:c>
      <x:c r="C2138" t="str">
        <x:v>Composition héritée</x:v>
      </x:c>
      <x:c r="D2138" t="str">
        <x:v>habitat</x:v>
      </x:c>
      <x:c r="E2138" t="str">
        <x:v>Villa isolée — variante 02 — Village et bourg / réseau principal coupé</x:v>
      </x:c>
      <x:c r="F2138" t="n">
        <x:v>8</x:v>
      </x:c>
      <x:c r="G2138" t="n">
        <x:v>7</x:v>
      </x:c>
      <x:c r="H2138" t="n">
        <x:v>0</x:v>
      </x:c>
      <x:c r="I2138" t="str">
        <x:v>À qualifier par lieu</x:v>
      </x:c>
      <x:c r="J2138" t="str">
        <x:v>https://github.com/darknigthmare/deadwall-last-enclosure/blob/1b3b9c5ba232734b1bda3453b4e20a0481bcdd74/codex-3000/compositions/habitat/DW-2133.md</x:v>
      </x:c>
      <x:c r="K2138" t="str">
        <x:v>Source min 16,51 m ; max 16,51 m ; modèle 29 × 51 m ; niveaux 0. Détails dans catalogue-existant.json.</x:v>
      </x:c>
    </x:row>
    <x:row r="2139">
      <x:c r="A2139" t="str">
        <x:v>DW-2134</x:v>
      </x:c>
      <x:c r="B2139" t="str">
        <x:v>DW-0567</x:v>
      </x:c>
      <x:c r="C2139" t="str">
        <x:v>Composition héritée</x:v>
      </x:c>
      <x:c r="D2139" t="str">
        <x:v>habitat</x:v>
      </x:c>
      <x:c r="E2139" t="str">
        <x:v>Villa isolée — variante 02 — Quartier pavillonnaire / arrêt de maintenance</x:v>
      </x:c>
      <x:c r="F2139" t="n">
        <x:v>8</x:v>
      </x:c>
      <x:c r="G2139" t="n">
        <x:v>7</x:v>
      </x:c>
      <x:c r="H2139" t="n">
        <x:v>0</x:v>
      </x:c>
      <x:c r="I2139" t="str">
        <x:v>À qualifier par lieu</x:v>
      </x:c>
      <x:c r="J2139" t="str">
        <x:v>https://github.com/darknigthmare/deadwall-last-enclosure/blob/1b3b9c5ba232734b1bda3453b4e20a0481bcdd74/codex-3000/compositions/habitat/DW-2134.md</x:v>
      </x:c>
      <x:c r="K2139" t="str">
        <x:v>Source min 16,51 m ; max 16,51 m ; modèle 29 × 51 m ; niveaux 0. Détails dans catalogue-existant.json.</x:v>
      </x:c>
    </x:row>
    <x:row r="2140">
      <x:c r="A2140" t="str">
        <x:v>DW-2135</x:v>
      </x:c>
      <x:c r="B2140" t="str">
        <x:v>DW-0568</x:v>
      </x:c>
      <x:c r="C2140" t="str">
        <x:v>Composition héritée</x:v>
      </x:c>
      <x:c r="D2140" t="str">
        <x:v>habitat</x:v>
      </x:c>
      <x:c r="E2140" t="str">
        <x:v>Ferme familiale — variante 02 — Quartier collectif / repli organisé interrompu</x:v>
      </x:c>
      <x:c r="F2140" t="n">
        <x:v>8</x:v>
      </x:c>
      <x:c r="G2140" t="n">
        <x:v>6</x:v>
      </x:c>
      <x:c r="H2140" t="n">
        <x:v>0</x:v>
      </x:c>
      <x:c r="I2140" t="str">
        <x:v>À qualifier par lieu</x:v>
      </x:c>
      <x:c r="J2140" t="str">
        <x:v>https://github.com/darknigthmare/deadwall-last-enclosure/blob/1b3b9c5ba232734b1bda3453b4e20a0481bcdd74/codex-3000/compositions/habitat/DW-2135.md</x:v>
      </x:c>
      <x:c r="K2140" t="str">
        <x:v>Source min 27,14 m ; max 27,14 m ; modèle 28 × 22 m ; niveaux 0. Détails dans catalogue-existant.json.</x:v>
      </x:c>
    </x:row>
    <x:row r="2141">
      <x:c r="A2141" t="str">
        <x:v>DW-2136</x:v>
      </x:c>
      <x:c r="B2141" t="str">
        <x:v>DW-0568</x:v>
      </x:c>
      <x:c r="C2141" t="str">
        <x:v>Composition héritée</x:v>
      </x:c>
      <x:c r="D2141" t="str">
        <x:v>habitat</x:v>
      </x:c>
      <x:c r="E2141" t="str">
        <x:v>Ferme familiale — variante 02 — Hameau / première récupération passée</x:v>
      </x:c>
      <x:c r="F2141" t="n">
        <x:v>8</x:v>
      </x:c>
      <x:c r="G2141" t="n">
        <x:v>6</x:v>
      </x:c>
      <x:c r="H2141" t="n">
        <x:v>0</x:v>
      </x:c>
      <x:c r="I2141" t="str">
        <x:v>À qualifier par lieu</x:v>
      </x:c>
      <x:c r="J2141" t="str">
        <x:v>https://github.com/darknigthmare/deadwall-last-enclosure/blob/1b3b9c5ba232734b1bda3453b4e20a0481bcdd74/codex-3000/compositions/habitat/DW-2136.md</x:v>
      </x:c>
      <x:c r="K2141" t="str">
        <x:v>Source min 27,14 m ; max 27,14 m ; modèle 28 × 22 m ; niveaux 0. Détails dans catalogue-existant.json.</x:v>
      </x:c>
    </x:row>
    <x:row r="2142">
      <x:c r="A2142" t="str">
        <x:v>DW-2137</x:v>
      </x:c>
      <x:c r="B2142" t="str">
        <x:v>DW-0569</x:v>
      </x:c>
      <x:c r="C2142" t="str">
        <x:v>Composition héritée</x:v>
      </x:c>
      <x:c r="D2142" t="str">
        <x:v>habitat</x:v>
      </x:c>
      <x:c r="E2142" t="str">
        <x:v>Immeuble résidentiel — variante 02 — Quartier pavillonnaire / évacuation interrompue</x:v>
      </x:c>
      <x:c r="F2142" t="n">
        <x:v>8</x:v>
      </x:c>
      <x:c r="G2142" t="n">
        <x:v>5</x:v>
      </x:c>
      <x:c r="H2142" t="n">
        <x:v>0</x:v>
      </x:c>
      <x:c r="I2142" t="str">
        <x:v>À qualifier par lieu</x:v>
      </x:c>
      <x:c r="J2142" t="str">
        <x:v>https://github.com/darknigthmare/deadwall-last-enclosure/blob/1b3b9c5ba232734b1bda3453b4e20a0481bcdd74/codex-3000/compositions/habitat/DW-2137.md</x:v>
      </x:c>
      <x:c r="K2142" t="str">
        <x:v>Source min 38,31 m ; max 38,31 m ; modèle 38 × 31 m ; niveaux 0, 1, 2. Détails dans catalogue-existant.json.</x:v>
      </x:c>
    </x:row>
    <x:row r="2143">
      <x:c r="A2143" t="str">
        <x:v>DW-2138</x:v>
      </x:c>
      <x:c r="B2143" t="str">
        <x:v>DW-0569</x:v>
      </x:c>
      <x:c r="C2143" t="str">
        <x:v>Composition héritée</x:v>
      </x:c>
      <x:c r="D2143" t="str">
        <x:v>habitat</x:v>
      </x:c>
      <x:c r="E2143" t="str">
        <x:v>Immeuble résidentiel — variante 02 — Village et bourg / service déplacé à l’arrière</x:v>
      </x:c>
      <x:c r="F2143" t="n">
        <x:v>8</x:v>
      </x:c>
      <x:c r="G2143" t="n">
        <x:v>5</x:v>
      </x:c>
      <x:c r="H2143" t="n">
        <x:v>0</x:v>
      </x:c>
      <x:c r="I2143" t="str">
        <x:v>À qualifier par lieu</x:v>
      </x:c>
      <x:c r="J2143" t="str">
        <x:v>https://github.com/darknigthmare/deadwall-last-enclosure/blob/1b3b9c5ba232734b1bda3453b4e20a0481bcdd74/codex-3000/compositions/habitat/DW-2138.md</x:v>
      </x:c>
      <x:c r="K2143" t="str">
        <x:v>Source min 38,31 m ; max 38,31 m ; modèle 38 × 31 m ; niveaux 0, 1, 2. Détails dans catalogue-existant.json.</x:v>
      </x:c>
    </x:row>
    <x:row r="2144">
      <x:c r="A2144" t="str">
        <x:v>DW-2139</x:v>
      </x:c>
      <x:c r="B2144" t="str">
        <x:v>DW-0570</x:v>
      </x:c>
      <x:c r="C2144" t="str">
        <x:v>Composition héritée</x:v>
      </x:c>
      <x:c r="D2144" t="str">
        <x:v>habitat</x:v>
      </x:c>
      <x:c r="E2144" t="str">
        <x:v>Barre de logements — variante 02 — Hameau / arrêt de maintenance</x:v>
      </x:c>
      <x:c r="F2144" t="n">
        <x:v>8</x:v>
      </x:c>
      <x:c r="G2144" t="n">
        <x:v>5</x:v>
      </x:c>
      <x:c r="H2144" t="n">
        <x:v>0</x:v>
      </x:c>
      <x:c r="I2144" t="str">
        <x:v>À qualifier par lieu</x:v>
      </x:c>
      <x:c r="J2144" t="str">
        <x:v>https://github.com/darknigthmare/deadwall-last-enclosure/blob/1b3b9c5ba232734b1bda3453b4e20a0481bcdd74/codex-3000/compositions/habitat/DW-2139.md</x:v>
      </x:c>
      <x:c r="K2144" t="str">
        <x:v>Source min 49,48 m ; max 49,48 m ; modèle 49 × 48 m ; niveaux 0, 1. Détails dans catalogue-existant.json.</x:v>
      </x:c>
    </x:row>
    <x:row r="2145">
      <x:c r="A2145" t="str">
        <x:v>DW-2140</x:v>
      </x:c>
      <x:c r="B2145" t="str">
        <x:v>DW-0570</x:v>
      </x:c>
      <x:c r="C2145" t="str">
        <x:v>Composition héritée</x:v>
      </x:c>
      <x:c r="D2145" t="str">
        <x:v>habitat</x:v>
      </x:c>
      <x:c r="E2145" t="str">
        <x:v>Barre de logements — variante 02 — Quartier collectif / reprise progressive de la végétation</x:v>
      </x:c>
      <x:c r="F2145" t="n">
        <x:v>8</x:v>
      </x:c>
      <x:c r="G2145" t="n">
        <x:v>5</x:v>
      </x:c>
      <x:c r="H2145" t="n">
        <x:v>0</x:v>
      </x:c>
      <x:c r="I2145" t="str">
        <x:v>À qualifier par lieu</x:v>
      </x:c>
      <x:c r="J2145" t="str">
        <x:v>https://github.com/darknigthmare/deadwall-last-enclosure/blob/1b3b9c5ba232734b1bda3453b4e20a0481bcdd74/codex-3000/compositions/habitat/DW-2140.md</x:v>
      </x:c>
      <x:c r="K2145" t="str">
        <x:v>Source min 49,48 m ; max 49,48 m ; modèle 49 × 48 m ; niveaux 0, 1. Détails dans catalogue-existant.json.</x:v>
      </x:c>
    </x:row>
    <x:row r="2146">
      <x:c r="A2146" t="str">
        <x:v>DW-2141</x:v>
      </x:c>
      <x:c r="B2146" t="str">
        <x:v>DW-0571</x:v>
      </x:c>
      <x:c r="C2146" t="str">
        <x:v>Composition héritée</x:v>
      </x:c>
      <x:c r="D2146" t="str">
        <x:v>habitat</x:v>
      </x:c>
      <x:c r="E2146" t="str">
        <x:v>Résidence senior — variante 02 — Village et bourg / première récupération passée</x:v>
      </x:c>
      <x:c r="F2146" t="n">
        <x:v>8</x:v>
      </x:c>
      <x:c r="G2146" t="n">
        <x:v>5</x:v>
      </x:c>
      <x:c r="H2146" t="n">
        <x:v>0</x:v>
      </x:c>
      <x:c r="I2146" t="str">
        <x:v>À qualifier par lieu</x:v>
      </x:c>
      <x:c r="J2146" t="str">
        <x:v>https://github.com/darknigthmare/deadwall-last-enclosure/blob/1b3b9c5ba232734b1bda3453b4e20a0481bcdd74/codex-3000/compositions/habitat/DW-2141.md</x:v>
      </x:c>
      <x:c r="K2146" t="str">
        <x:v>Source min 60,11 m ; max 60,11 m ; modèle 60 × 22 m ; niveaux 0, 1, 2. Détails dans catalogue-existant.json.</x:v>
      </x:c>
    </x:row>
    <x:row r="2147">
      <x:c r="A2147" t="str">
        <x:v>DW-2142</x:v>
      </x:c>
      <x:c r="B2147" t="str">
        <x:v>DW-0571</x:v>
      </x:c>
      <x:c r="C2147" t="str">
        <x:v>Composition héritée</x:v>
      </x:c>
      <x:c r="D2147" t="str">
        <x:v>habitat</x:v>
      </x:c>
      <x:c r="E2147" t="str">
        <x:v>Résidence senior — variante 02 — Quartier pavillonnaire / relais temporaire envisagé</x:v>
      </x:c>
      <x:c r="F2147" t="n">
        <x:v>8</x:v>
      </x:c>
      <x:c r="G2147" t="n">
        <x:v>5</x:v>
      </x:c>
      <x:c r="H2147" t="n">
        <x:v>0</x:v>
      </x:c>
      <x:c r="I2147" t="str">
        <x:v>À qualifier par lieu</x:v>
      </x:c>
      <x:c r="J2147" t="str">
        <x:v>https://github.com/darknigthmare/deadwall-last-enclosure/blob/1b3b9c5ba232734b1bda3453b4e20a0481bcdd74/codex-3000/compositions/habitat/DW-2142.md</x:v>
      </x:c>
      <x:c r="K2147" t="str">
        <x:v>Source min 60,11 m ; max 60,11 m ; modèle 60 × 22 m ; niveaux 0, 1, 2. Détails dans catalogue-existant.json.</x:v>
      </x:c>
    </x:row>
    <x:row r="2148">
      <x:c r="A2148" t="str">
        <x:v>DW-2143</x:v>
      </x:c>
      <x:c r="B2148" t="str">
        <x:v>DW-0572</x:v>
      </x:c>
      <x:c r="C2148" t="str">
        <x:v>Composition héritée</x:v>
      </x:c>
      <x:c r="D2148" t="str">
        <x:v>habitat</x:v>
      </x:c>
      <x:c r="E2148" t="str">
        <x:v>Maison avec sous-sol — variante 02 — Quartier collectif / service déplacé à l’arrière</x:v>
      </x:c>
      <x:c r="F2148" t="n">
        <x:v>8</x:v>
      </x:c>
      <x:c r="G2148" t="n">
        <x:v>5</x:v>
      </x:c>
      <x:c r="H2148" t="n">
        <x:v>0</x:v>
      </x:c>
      <x:c r="I2148" t="str">
        <x:v>À qualifier par lieu</x:v>
      </x:c>
      <x:c r="J2148" t="str">
        <x:v>https://github.com/darknigthmare/deadwall-last-enclosure/blob/1b3b9c5ba232734b1bda3453b4e20a0481bcdd74/codex-3000/compositions/habitat/DW-2143.md</x:v>
      </x:c>
      <x:c r="K2148" t="str">
        <x:v>Source min 71,28 m ; max 71,28 m ; modèle 71 × 28 m ; niveaux 0. Détails dans catalogue-existant.json.</x:v>
      </x:c>
    </x:row>
    <x:row r="2149">
      <x:c r="A2149" t="str">
        <x:v>DW-2144</x:v>
      </x:c>
      <x:c r="B2149" t="str">
        <x:v>DW-0572</x:v>
      </x:c>
      <x:c r="C2149" t="str">
        <x:v>Composition héritée</x:v>
      </x:c>
      <x:c r="D2149" t="str">
        <x:v>habitat</x:v>
      </x:c>
      <x:c r="E2149" t="str">
        <x:v>Maison avec sous-sol — variante 02 — Hameau / réseau principal coupé</x:v>
      </x:c>
      <x:c r="F2149" t="n">
        <x:v>8</x:v>
      </x:c>
      <x:c r="G2149" t="n">
        <x:v>5</x:v>
      </x:c>
      <x:c r="H2149" t="n">
        <x:v>0</x:v>
      </x:c>
      <x:c r="I2149" t="str">
        <x:v>À qualifier par lieu</x:v>
      </x:c>
      <x:c r="J2149" t="str">
        <x:v>https://github.com/darknigthmare/deadwall-last-enclosure/blob/1b3b9c5ba232734b1bda3453b4e20a0481bcdd74/codex-3000/compositions/habitat/DW-2144.md</x:v>
      </x:c>
      <x:c r="K2149" t="str">
        <x:v>Source min 71,28 m ; max 71,28 m ; modèle 71 × 28 m ; niveaux 0. Détails dans catalogue-existant.json.</x:v>
      </x:c>
    </x:row>
    <x:row r="2150">
      <x:c r="A2150" t="str">
        <x:v>DW-2145</x:v>
      </x:c>
      <x:c r="B2150" t="str">
        <x:v>DW-0573</x:v>
      </x:c>
      <x:c r="C2150" t="str">
        <x:v>Composition héritée</x:v>
      </x:c>
      <x:c r="D2150" t="str">
        <x:v>commerce</x:v>
      </x:c>
      <x:c r="E2150" t="str">
        <x:v>Supérette — variante 02 — Zone commerciale / reprise progressive de la végétation</x:v>
      </x:c>
      <x:c r="F2150" t="n">
        <x:v>8</x:v>
      </x:c>
      <x:c r="G2150" t="n">
        <x:v>5</x:v>
      </x:c>
      <x:c r="H2150" t="n">
        <x:v>0</x:v>
      </x:c>
      <x:c r="I2150" t="str">
        <x:v>À qualifier par lieu</x:v>
      </x:c>
      <x:c r="J2150" t="str">
        <x:v>https://github.com/darknigthmare/deadwall-last-enclosure/blob/1b3b9c5ba232734b1bda3453b4e20a0481bcdd74/codex-3000/compositions/commerce/DW-2145.md</x:v>
      </x:c>
      <x:c r="K2150" t="str">
        <x:v>Source min 10,45 m ; max 10,45 m ; modèle 26 × 45 m ; niveaux 0, 1. Détails dans catalogue-existant.json.</x:v>
      </x:c>
    </x:row>
    <x:row r="2151">
      <x:c r="A2151" t="str">
        <x:v>DW-2146</x:v>
      </x:c>
      <x:c r="B2151" t="str">
        <x:v>DW-0573</x:v>
      </x:c>
      <x:c r="C2151" t="str">
        <x:v>Composition héritée</x:v>
      </x:c>
      <x:c r="D2151" t="str">
        <x:v>commerce</x:v>
      </x:c>
      <x:c r="E2151" t="str">
        <x:v>Supérette — variante 02 — Village et bourg / repli organisé interrompu</x:v>
      </x:c>
      <x:c r="F2151" t="n">
        <x:v>8</x:v>
      </x:c>
      <x:c r="G2151" t="n">
        <x:v>5</x:v>
      </x:c>
      <x:c r="H2151" t="n">
        <x:v>0</x:v>
      </x:c>
      <x:c r="I2151" t="str">
        <x:v>À qualifier par lieu</x:v>
      </x:c>
      <x:c r="J2151" t="str">
        <x:v>https://github.com/darknigthmare/deadwall-last-enclosure/blob/1b3b9c5ba232734b1bda3453b4e20a0481bcdd74/codex-3000/compositions/commerce/DW-2146.md</x:v>
      </x:c>
      <x:c r="K2151" t="str">
        <x:v>Source min 10,45 m ; max 10,45 m ; modèle 26 × 45 m ; niveaux 0, 1. Détails dans catalogue-existant.json.</x:v>
      </x:c>
    </x:row>
    <x:row r="2152">
      <x:c r="A2152" t="str">
        <x:v>DW-2147</x:v>
      </x:c>
      <x:c r="B2152" t="str">
        <x:v>DW-0574</x:v>
      </x:c>
      <x:c r="C2152" t="str">
        <x:v>Composition héritée</x:v>
      </x:c>
      <x:c r="D2152" t="str">
        <x:v>commerce</x:v>
      </x:c>
      <x:c r="E2152" t="str">
        <x:v>Centre commercial — variante 02 — Ville moyenne / relais temporaire envisagé</x:v>
      </x:c>
      <x:c r="F2152" t="n">
        <x:v>8</x:v>
      </x:c>
      <x:c r="G2152" t="n">
        <x:v>6</x:v>
      </x:c>
      <x:c r="H2152" t="n">
        <x:v>0</x:v>
      </x:c>
      <x:c r="I2152" t="str">
        <x:v>À qualifier par lieu</x:v>
      </x:c>
      <x:c r="J2152" t="str">
        <x:v>https://github.com/darknigthmare/deadwall-last-enclosure/blob/1b3b9c5ba232734b1bda3453b4e20a0481bcdd74/codex-3000/compositions/commerce/DW-2147.md</x:v>
      </x:c>
      <x:c r="K2152" t="str">
        <x:v>Source min 21,62 m ; max 21,62 m ; modèle 28 × 62 m ; niveaux 0. Détails dans catalogue-existant.json.</x:v>
      </x:c>
    </x:row>
    <x:row r="2153">
      <x:c r="A2153" t="str">
        <x:v>DW-2148</x:v>
      </x:c>
      <x:c r="B2153" t="str">
        <x:v>DW-0574</x:v>
      </x:c>
      <x:c r="C2153" t="str">
        <x:v>Composition héritée</x:v>
      </x:c>
      <x:c r="D2153" t="str">
        <x:v>commerce</x:v>
      </x:c>
      <x:c r="E2153" t="str">
        <x:v>Centre commercial — variante 02 — Grande ville et métropole / évacuation interrompue</x:v>
      </x:c>
      <x:c r="F2153" t="n">
        <x:v>8</x:v>
      </x:c>
      <x:c r="G2153" t="n">
        <x:v>6</x:v>
      </x:c>
      <x:c r="H2153" t="n">
        <x:v>0</x:v>
      </x:c>
      <x:c r="I2153" t="str">
        <x:v>À qualifier par lieu</x:v>
      </x:c>
      <x:c r="J2153" t="str">
        <x:v>https://github.com/darknigthmare/deadwall-last-enclosure/blob/1b3b9c5ba232734b1bda3453b4e20a0481bcdd74/codex-3000/compositions/commerce/DW-2148.md</x:v>
      </x:c>
      <x:c r="K2153" t="str">
        <x:v>Source min 21,62 m ; max 21,62 m ; modèle 28 × 62 m ; niveaux 0. Détails dans catalogue-existant.json.</x:v>
      </x:c>
    </x:row>
    <x:row r="2154">
      <x:c r="A2154" t="str">
        <x:v>DW-2149</x:v>
      </x:c>
      <x:c r="B2154" t="str">
        <x:v>DW-0575</x:v>
      </x:c>
      <x:c r="C2154" t="str">
        <x:v>Composition héritée</x:v>
      </x:c>
      <x:c r="D2154" t="str">
        <x:v>commerce</x:v>
      </x:c>
      <x:c r="E2154" t="str">
        <x:v>Supermarché — variante 02 — Village et bourg / réseau principal coupé</x:v>
      </x:c>
      <x:c r="F2154" t="n">
        <x:v>8</x:v>
      </x:c>
      <x:c r="G2154" t="n">
        <x:v>7</x:v>
      </x:c>
      <x:c r="H2154" t="n">
        <x:v>0</x:v>
      </x:c>
      <x:c r="I2154" t="str">
        <x:v>À qualifier par lieu</x:v>
      </x:c>
      <x:c r="J2154" t="str">
        <x:v>https://github.com/darknigthmare/deadwall-last-enclosure/blob/1b3b9c5ba232734b1bda3453b4e20a0481bcdd74/codex-3000/compositions/commerce/DW-2149.md</x:v>
      </x:c>
      <x:c r="K2154" t="str">
        <x:v>Source min 32,25 m ; max 32,25 m ; modèle 32 × 29 m ; niveaux 0. Détails dans catalogue-existant.json.</x:v>
      </x:c>
    </x:row>
    <x:row r="2155">
      <x:c r="A2155" t="str">
        <x:v>DW-2150</x:v>
      </x:c>
      <x:c r="B2155" t="str">
        <x:v>DW-0575</x:v>
      </x:c>
      <x:c r="C2155" t="str">
        <x:v>Composition héritée</x:v>
      </x:c>
      <x:c r="D2155" t="str">
        <x:v>commerce</x:v>
      </x:c>
      <x:c r="E2155" t="str">
        <x:v>Supermarché — variante 02 — Zone commerciale / arrêt de maintenance</x:v>
      </x:c>
      <x:c r="F2155" t="n">
        <x:v>8</x:v>
      </x:c>
      <x:c r="G2155" t="n">
        <x:v>7</x:v>
      </x:c>
      <x:c r="H2155" t="n">
        <x:v>0</x:v>
      </x:c>
      <x:c r="I2155" t="str">
        <x:v>À qualifier par lieu</x:v>
      </x:c>
      <x:c r="J2155" t="str">
        <x:v>https://github.com/darknigthmare/deadwall-last-enclosure/blob/1b3b9c5ba232734b1bda3453b4e20a0481bcdd74/codex-3000/compositions/commerce/DW-2150.md</x:v>
      </x:c>
      <x:c r="K2155" t="str">
        <x:v>Source min 32,25 m ; max 32,25 m ; modèle 32 × 29 m ; niveaux 0. Détails dans catalogue-existant.json.</x:v>
      </x:c>
    </x:row>
    <x:row r="2156">
      <x:c r="A2156" t="str">
        <x:v>DW-2151</x:v>
      </x:c>
      <x:c r="B2156" t="str">
        <x:v>DW-0576</x:v>
      </x:c>
      <x:c r="C2156" t="str">
        <x:v>Composition héritée</x:v>
      </x:c>
      <x:c r="D2156" t="str">
        <x:v>commerce</x:v>
      </x:c>
      <x:c r="E2156" t="str">
        <x:v>Magasin de bricolage — variante 02 — Grande ville et métropole / repli organisé interrompu</x:v>
      </x:c>
      <x:c r="F2156" t="n">
        <x:v>8</x:v>
      </x:c>
      <x:c r="G2156" t="n">
        <x:v>5</x:v>
      </x:c>
      <x:c r="H2156" t="n">
        <x:v>0</x:v>
      </x:c>
      <x:c r="I2156" t="str">
        <x:v>À qualifier par lieu</x:v>
      </x:c>
      <x:c r="J2156" t="str">
        <x:v>https://github.com/darknigthmare/deadwall-last-enclosure/blob/1b3b9c5ba232734b1bda3453b4e20a0481bcdd74/codex-3000/compositions/commerce/DW-2151.md</x:v>
      </x:c>
      <x:c r="K2156" t="str">
        <x:v>Source min 43,42 m ; max 43,42 m ; modèle 43 × 42 m ; niveaux 0. Détails dans catalogue-existant.json.</x:v>
      </x:c>
    </x:row>
    <x:row r="2157">
      <x:c r="A2157" t="str">
        <x:v>DW-2152</x:v>
      </x:c>
      <x:c r="B2157" t="str">
        <x:v>DW-0576</x:v>
      </x:c>
      <x:c r="C2157" t="str">
        <x:v>Composition héritée</x:v>
      </x:c>
      <x:c r="D2157" t="str">
        <x:v>commerce</x:v>
      </x:c>
      <x:c r="E2157" t="str">
        <x:v>Magasin de bricolage — variante 02 — Ville moyenne / première récupération passée</x:v>
      </x:c>
      <x:c r="F2157" t="n">
        <x:v>8</x:v>
      </x:c>
      <x:c r="G2157" t="n">
        <x:v>5</x:v>
      </x:c>
      <x:c r="H2157" t="n">
        <x:v>0</x:v>
      </x:c>
      <x:c r="I2157" t="str">
        <x:v>À qualifier par lieu</x:v>
      </x:c>
      <x:c r="J2157" t="str">
        <x:v>https://github.com/darknigthmare/deadwall-last-enclosure/blob/1b3b9c5ba232734b1bda3453b4e20a0481bcdd74/codex-3000/compositions/commerce/DW-2152.md</x:v>
      </x:c>
      <x:c r="K2157" t="str">
        <x:v>Source min 43,42 m ; max 43,42 m ; modèle 43 × 42 m ; niveaux 0. Détails dans catalogue-existant.json.</x:v>
      </x:c>
    </x:row>
    <x:row r="2158">
      <x:c r="A2158" t="str">
        <x:v>DW-2153</x:v>
      </x:c>
      <x:c r="B2158" t="str">
        <x:v>DW-0577</x:v>
      </x:c>
      <x:c r="C2158" t="str">
        <x:v>Composition héritée</x:v>
      </x:c>
      <x:c r="D2158" t="str">
        <x:v>commerce</x:v>
      </x:c>
      <x:c r="E2158" t="str">
        <x:v>Pharmacie — variante 02 — Zone commerciale / évacuation interrompue</x:v>
      </x:c>
      <x:c r="F2158" t="n">
        <x:v>8</x:v>
      </x:c>
      <x:c r="G2158" t="n">
        <x:v>4</x:v>
      </x:c>
      <x:c r="H2158" t="n">
        <x:v>0</x:v>
      </x:c>
      <x:c r="I2158" t="str">
        <x:v>À qualifier par lieu</x:v>
      </x:c>
      <x:c r="J2158" t="str">
        <x:v>https://github.com/darknigthmare/deadwall-last-enclosure/blob/1b3b9c5ba232734b1bda3453b4e20a0481bcdd74/codex-3000/compositions/commerce/DW-2153.md</x:v>
      </x:c>
      <x:c r="K2158" t="str">
        <x:v>Source min 54,59 m ; max 54,59 m ; modèle 54 × 59 m ; niveaux 0, 1. Détails dans catalogue-existant.json.</x:v>
      </x:c>
    </x:row>
    <x:row r="2159">
      <x:c r="A2159" t="str">
        <x:v>DW-2154</x:v>
      </x:c>
      <x:c r="B2159" t="str">
        <x:v>DW-0577</x:v>
      </x:c>
      <x:c r="C2159" t="str">
        <x:v>Composition héritée</x:v>
      </x:c>
      <x:c r="D2159" t="str">
        <x:v>commerce</x:v>
      </x:c>
      <x:c r="E2159" t="str">
        <x:v>Pharmacie — variante 02 — Village et bourg / service déplacé à l’arrière</x:v>
      </x:c>
      <x:c r="F2159" t="n">
        <x:v>8</x:v>
      </x:c>
      <x:c r="G2159" t="n">
        <x:v>4</x:v>
      </x:c>
      <x:c r="H2159" t="n">
        <x:v>0</x:v>
      </x:c>
      <x:c r="I2159" t="str">
        <x:v>À qualifier par lieu</x:v>
      </x:c>
      <x:c r="J2159" t="str">
        <x:v>https://github.com/darknigthmare/deadwall-last-enclosure/blob/1b3b9c5ba232734b1bda3453b4e20a0481bcdd74/codex-3000/compositions/commerce/DW-2154.md</x:v>
      </x:c>
      <x:c r="K2159" t="str">
        <x:v>Source min 54,59 m ; max 54,59 m ; modèle 54 × 59 m ; niveaux 0, 1. Détails dans catalogue-existant.json.</x:v>
      </x:c>
    </x:row>
    <x:row r="2160">
      <x:c r="A2160" t="str">
        <x:v>DW-2155</x:v>
      </x:c>
      <x:c r="B2160" t="str">
        <x:v>DW-0578</x:v>
      </x:c>
      <x:c r="C2160" t="str">
        <x:v>Composition héritée</x:v>
      </x:c>
      <x:c r="D2160" t="str">
        <x:v>commerce</x:v>
      </x:c>
      <x:c r="E2160" t="str">
        <x:v>Station-service — variante 02 — Ville moyenne / arrêt de maintenance</x:v>
      </x:c>
      <x:c r="F2160" t="n">
        <x:v>8</x:v>
      </x:c>
      <x:c r="G2160" t="n">
        <x:v>5</x:v>
      </x:c>
      <x:c r="H2160" t="n">
        <x:v>0</x:v>
      </x:c>
      <x:c r="I2160" t="str">
        <x:v>À qualifier par lieu</x:v>
      </x:c>
      <x:c r="J2160" t="str">
        <x:v>https://github.com/darknigthmare/deadwall-last-enclosure/blob/1b3b9c5ba232734b1bda3453b4e20a0481bcdd74/codex-3000/compositions/commerce/DW-2155.md</x:v>
      </x:c>
      <x:c r="K2160" t="str">
        <x:v>Source min 65,22 m ; max 65,22 m ; modèle 65 × 22 m ; niveaux 0. Détails dans catalogue-existant.json.</x:v>
      </x:c>
    </x:row>
    <x:row r="2161">
      <x:c r="A2161" t="str">
        <x:v>DW-2156</x:v>
      </x:c>
      <x:c r="B2161" t="str">
        <x:v>DW-0578</x:v>
      </x:c>
      <x:c r="C2161" t="str">
        <x:v>Composition héritée</x:v>
      </x:c>
      <x:c r="D2161" t="str">
        <x:v>commerce</x:v>
      </x:c>
      <x:c r="E2161" t="str">
        <x:v>Station-service — variante 02 — Grande ville et métropole / reprise progressive de la végétation</x:v>
      </x:c>
      <x:c r="F2161" t="n">
        <x:v>8</x:v>
      </x:c>
      <x:c r="G2161" t="n">
        <x:v>5</x:v>
      </x:c>
      <x:c r="H2161" t="n">
        <x:v>0</x:v>
      </x:c>
      <x:c r="I2161" t="str">
        <x:v>À qualifier par lieu</x:v>
      </x:c>
      <x:c r="J2161" t="str">
        <x:v>https://github.com/darknigthmare/deadwall-last-enclosure/blob/1b3b9c5ba232734b1bda3453b4e20a0481bcdd74/codex-3000/compositions/commerce/DW-2156.md</x:v>
      </x:c>
      <x:c r="K2161" t="str">
        <x:v>Source min 65,22 m ; max 65,22 m ; modèle 65 × 22 m ; niveaux 0. Détails dans catalogue-existant.json.</x:v>
      </x:c>
    </x:row>
    <x:row r="2162">
      <x:c r="A2162" t="str">
        <x:v>DW-2157</x:v>
      </x:c>
      <x:c r="B2162" t="str">
        <x:v>DW-0579</x:v>
      </x:c>
      <x:c r="C2162" t="str">
        <x:v>Composition héritée</x:v>
      </x:c>
      <x:c r="D2162" t="str">
        <x:v>commerce</x:v>
      </x:c>
      <x:c r="E2162" t="str">
        <x:v>Restaurant routier — variante 02 — Village et bourg / première récupération passée</x:v>
      </x:c>
      <x:c r="F2162" t="n">
        <x:v>8</x:v>
      </x:c>
      <x:c r="G2162" t="n">
        <x:v>5</x:v>
      </x:c>
      <x:c r="H2162" t="n">
        <x:v>0</x:v>
      </x:c>
      <x:c r="I2162" t="str">
        <x:v>À qualifier par lieu</x:v>
      </x:c>
      <x:c r="J2162" t="str">
        <x:v>https://github.com/darknigthmare/deadwall-last-enclosure/blob/1b3b9c5ba232734b1bda3453b4e20a0481bcdd74/codex-3000/compositions/commerce/DW-2157.md</x:v>
      </x:c>
      <x:c r="K2162" t="str">
        <x:v>Source min 76,39 m ; max 76,39 m ; modèle 76 × 39 m ; niveaux 0. Détails dans catalogue-existant.json.</x:v>
      </x:c>
    </x:row>
    <x:row r="2163">
      <x:c r="A2163" t="str">
        <x:v>DW-2158</x:v>
      </x:c>
      <x:c r="B2163" t="str">
        <x:v>DW-0579</x:v>
      </x:c>
      <x:c r="C2163" t="str">
        <x:v>Composition héritée</x:v>
      </x:c>
      <x:c r="D2163" t="str">
        <x:v>commerce</x:v>
      </x:c>
      <x:c r="E2163" t="str">
        <x:v>Restaurant routier — variante 02 — Zone commerciale / relais temporaire envisagé</x:v>
      </x:c>
      <x:c r="F2163" t="n">
        <x:v>8</x:v>
      </x:c>
      <x:c r="G2163" t="n">
        <x:v>5</x:v>
      </x:c>
      <x:c r="H2163" t="n">
        <x:v>0</x:v>
      </x:c>
      <x:c r="I2163" t="str">
        <x:v>À qualifier par lieu</x:v>
      </x:c>
      <x:c r="J2163" t="str">
        <x:v>https://github.com/darknigthmare/deadwall-last-enclosure/blob/1b3b9c5ba232734b1bda3453b4e20a0481bcdd74/codex-3000/compositions/commerce/DW-2158.md</x:v>
      </x:c>
      <x:c r="K2163" t="str">
        <x:v>Source min 76,39 m ; max 76,39 m ; modèle 76 × 39 m ; niveaux 0. Détails dans catalogue-existant.json.</x:v>
      </x:c>
    </x:row>
    <x:row r="2164">
      <x:c r="A2164" t="str">
        <x:v>DW-2159</x:v>
      </x:c>
      <x:c r="B2164" t="str">
        <x:v>DW-0580</x:v>
      </x:c>
      <x:c r="C2164" t="str">
        <x:v>Composition héritée</x:v>
      </x:c>
      <x:c r="D2164" t="str">
        <x:v>commerce</x:v>
      </x:c>
      <x:c r="E2164" t="str">
        <x:v>Hôtel — variante 02 — Grande ville et métropole / service déplacé à l’arrière</x:v>
      </x:c>
      <x:c r="F2164" t="n">
        <x:v>8</x:v>
      </x:c>
      <x:c r="G2164" t="n">
        <x:v>6</x:v>
      </x:c>
      <x:c r="H2164" t="n">
        <x:v>0</x:v>
      </x:c>
      <x:c r="I2164" t="str">
        <x:v>À qualifier par lieu</x:v>
      </x:c>
      <x:c r="J2164" t="str">
        <x:v>https://github.com/darknigthmare/deadwall-last-enclosure/blob/1b3b9c5ba232734b1bda3453b4e20a0481bcdd74/codex-3000/compositions/commerce/DW-2159.md</x:v>
      </x:c>
      <x:c r="K2164" t="str">
        <x:v>Source min 15,56 m ; max 15,56 m ; modèle 28 × 56 m ; niveaux 0. Détails dans catalogue-existant.json.</x:v>
      </x:c>
    </x:row>
    <x:row r="2165">
      <x:c r="A2165" t="str">
        <x:v>DW-2160</x:v>
      </x:c>
      <x:c r="B2165" t="str">
        <x:v>DW-0580</x:v>
      </x:c>
      <x:c r="C2165" t="str">
        <x:v>Composition héritée</x:v>
      </x:c>
      <x:c r="D2165" t="str">
        <x:v>commerce</x:v>
      </x:c>
      <x:c r="E2165" t="str">
        <x:v>Hôtel — variante 02 — Ville moyenne / réseau principal coupé</x:v>
      </x:c>
      <x:c r="F2165" t="n">
        <x:v>8</x:v>
      </x:c>
      <x:c r="G2165" t="n">
        <x:v>6</x:v>
      </x:c>
      <x:c r="H2165" t="n">
        <x:v>0</x:v>
      </x:c>
      <x:c r="I2165" t="str">
        <x:v>À qualifier par lieu</x:v>
      </x:c>
      <x:c r="J2165" t="str">
        <x:v>https://github.com/darknigthmare/deadwall-last-enclosure/blob/1b3b9c5ba232734b1bda3453b4e20a0481bcdd74/codex-3000/compositions/commerce/DW-2160.md</x:v>
      </x:c>
      <x:c r="K2165" t="str">
        <x:v>Source min 15,56 m ; max 15,56 m ; modèle 28 × 56 m ; niveaux 0. Détails dans catalogue-existant.json.</x:v>
      </x:c>
    </x:row>
    <x:row r="2166">
      <x:c r="A2166" t="str">
        <x:v>DW-2161</x:v>
      </x:c>
      <x:c r="B2166" t="str">
        <x:v>DW-0581</x:v>
      </x:c>
      <x:c r="C2166" t="str">
        <x:v>Composition héritée</x:v>
      </x:c>
      <x:c r="D2166" t="str">
        <x:v>industrie</x:v>
      </x:c>
      <x:c r="E2166" t="str">
        <x:v>Scierie — variante 02 — Zone industrielle / reprise progressive de la végétation</x:v>
      </x:c>
      <x:c r="F2166" t="n">
        <x:v>8</x:v>
      </x:c>
      <x:c r="G2166" t="n">
        <x:v>5</x:v>
      </x:c>
      <x:c r="H2166" t="n">
        <x:v>0</x:v>
      </x:c>
      <x:c r="I2166" t="str">
        <x:v>À qualifier par lieu</x:v>
      </x:c>
      <x:c r="J2166" t="str">
        <x:v>https://github.com/darknigthmare/deadwall-last-enclosure/blob/1b3b9c5ba232734b1bda3453b4e20a0481bcdd74/codex-3000/compositions/industrie/DW-2161.md</x:v>
      </x:c>
      <x:c r="K2166" t="str">
        <x:v>Source min 26,19 m ; max 26,19 m ; modèle 26 × 22 m ; niveaux 0. Détails dans catalogue-existant.json.</x:v>
      </x:c>
    </x:row>
    <x:row r="2167">
      <x:c r="A2167" t="str">
        <x:v>DW-2162</x:v>
      </x:c>
      <x:c r="B2167" t="str">
        <x:v>DW-0581</x:v>
      </x:c>
      <x:c r="C2167" t="str">
        <x:v>Composition héritée</x:v>
      </x:c>
      <x:c r="D2167" t="str">
        <x:v>industrie</x:v>
      </x:c>
      <x:c r="E2167" t="str">
        <x:v>Scierie — variante 02 — Entrepôt et plateforme logistique / repli organisé interrompu</x:v>
      </x:c>
      <x:c r="F2167" t="n">
        <x:v>8</x:v>
      </x:c>
      <x:c r="G2167" t="n">
        <x:v>5</x:v>
      </x:c>
      <x:c r="H2167" t="n">
        <x:v>0</x:v>
      </x:c>
      <x:c r="I2167" t="str">
        <x:v>À qualifier par lieu</x:v>
      </x:c>
      <x:c r="J2167" t="str">
        <x:v>https://github.com/darknigthmare/deadwall-last-enclosure/blob/1b3b9c5ba232734b1bda3453b4e20a0481bcdd74/codex-3000/compositions/industrie/DW-2162.md</x:v>
      </x:c>
      <x:c r="K2167" t="str">
        <x:v>Source min 26,19 m ; max 26,19 m ; modèle 26 × 22 m ; niveaux 0. Détails dans catalogue-existant.json.</x:v>
      </x:c>
    </x:row>
    <x:row r="2168">
      <x:c r="A2168" t="str">
        <x:v>DW-2163</x:v>
      </x:c>
      <x:c r="B2168" t="str">
        <x:v>DW-0582</x:v>
      </x:c>
      <x:c r="C2168" t="str">
        <x:v>Composition héritée</x:v>
      </x:c>
      <x:c r="D2168" t="str">
        <x:v>industrie</x:v>
      </x:c>
      <x:c r="E2168" t="str">
        <x:v>Garage automobile — variante 02 — Atelier et artisanat / relais temporaire envisagé</x:v>
      </x:c>
      <x:c r="F2168" t="n">
        <x:v>8</x:v>
      </x:c>
      <x:c r="G2168" t="n">
        <x:v>5</x:v>
      </x:c>
      <x:c r="H2168" t="n">
        <x:v>0</x:v>
      </x:c>
      <x:c r="I2168" t="str">
        <x:v>À qualifier par lieu</x:v>
      </x:c>
      <x:c r="J2168" t="str">
        <x:v>https://github.com/darknigthmare/deadwall-last-enclosure/blob/1b3b9c5ba232734b1bda3453b4e20a0481bcdd74/codex-3000/compositions/industrie/DW-2163.md</x:v>
      </x:c>
      <x:c r="K2168" t="str">
        <x:v>Source min 37,36 m ; max 37,36 m ; modèle 37 × 36 m ; niveaux 0. Détails dans catalogue-existant.json.</x:v>
      </x:c>
    </x:row>
    <x:row r="2169">
      <x:c r="A2169" t="str">
        <x:v>DW-2164</x:v>
      </x:c>
      <x:c r="B2169" t="str">
        <x:v>DW-0582</x:v>
      </x:c>
      <x:c r="C2169" t="str">
        <x:v>Composition héritée</x:v>
      </x:c>
      <x:c r="D2169" t="str">
        <x:v>industrie</x:v>
      </x:c>
      <x:c r="E2169" t="str">
        <x:v>Garage automobile — variante 02 — Gare et fret / évacuation interrompue</x:v>
      </x:c>
      <x:c r="F2169" t="n">
        <x:v>10</x:v>
      </x:c>
      <x:c r="G2169" t="n">
        <x:v>5</x:v>
      </x:c>
      <x:c r="H2169" t="n">
        <x:v>0</x:v>
      </x:c>
      <x:c r="I2169" t="str">
        <x:v>À qualifier par lieu</x:v>
      </x:c>
      <x:c r="J2169" t="str">
        <x:v>https://github.com/darknigthmare/deadwall-last-enclosure/blob/1b3b9c5ba232734b1bda3453b4e20a0481bcdd74/codex-3000/compositions/industrie/DW-2164.md</x:v>
      </x:c>
      <x:c r="K2169" t="str">
        <x:v>Source min 37,36 m ; max 37,36 m ; modèle 37 × 36 m ; niveaux 0. Détails dans catalogue-existant.json.</x:v>
      </x:c>
    </x:row>
    <x:row r="2170">
      <x:c r="A2170" t="str">
        <x:v>DW-2165</x:v>
      </x:c>
      <x:c r="B2170" t="str">
        <x:v>DW-0583</x:v>
      </x:c>
      <x:c r="C2170" t="str">
        <x:v>Composition héritée</x:v>
      </x:c>
      <x:c r="D2170" t="str">
        <x:v>industrie</x:v>
      </x:c>
      <x:c r="E2170" t="str">
        <x:v>Entrepôt logistique — variante 02 — Entrepôt et plateforme logistique / réseau principal coupé</x:v>
      </x:c>
      <x:c r="F2170" t="n">
        <x:v>8</x:v>
      </x:c>
      <x:c r="G2170" t="n">
        <x:v>5</x:v>
      </x:c>
      <x:c r="H2170" t="n">
        <x:v>0</x:v>
      </x:c>
      <x:c r="I2170" t="str">
        <x:v>À qualifier par lieu</x:v>
      </x:c>
      <x:c r="J2170" t="str">
        <x:v>https://github.com/darknigthmare/deadwall-last-enclosure/blob/1b3b9c5ba232734b1bda3453b4e20a0481bcdd74/codex-3000/compositions/industrie/DW-2165.md</x:v>
      </x:c>
      <x:c r="K2170" t="str">
        <x:v>Source min 48,53 m ; max 48,53 m ; modèle 48 × 53 m ; niveaux 0. Détails dans catalogue-existant.json.</x:v>
      </x:c>
    </x:row>
    <x:row r="2171">
      <x:c r="A2171" t="str">
        <x:v>DW-2166</x:v>
      </x:c>
      <x:c r="B2171" t="str">
        <x:v>DW-0583</x:v>
      </x:c>
      <x:c r="C2171" t="str">
        <x:v>Composition héritée</x:v>
      </x:c>
      <x:c r="D2171" t="str">
        <x:v>industrie</x:v>
      </x:c>
      <x:c r="E2171" t="str">
        <x:v>Entrepôt logistique — variante 02 — Zone industrielle / arrêt de maintenance</x:v>
      </x:c>
      <x:c r="F2171" t="n">
        <x:v>8</x:v>
      </x:c>
      <x:c r="G2171" t="n">
        <x:v>5</x:v>
      </x:c>
      <x:c r="H2171" t="n">
        <x:v>0</x:v>
      </x:c>
      <x:c r="I2171" t="str">
        <x:v>À qualifier par lieu</x:v>
      </x:c>
      <x:c r="J2171" t="str">
        <x:v>https://github.com/darknigthmare/deadwall-last-enclosure/blob/1b3b9c5ba232734b1bda3453b4e20a0481bcdd74/codex-3000/compositions/industrie/DW-2166.md</x:v>
      </x:c>
      <x:c r="K2171" t="str">
        <x:v>Source min 48,53 m ; max 48,53 m ; modèle 48 × 53 m ; niveaux 0. Détails dans catalogue-existant.json.</x:v>
      </x:c>
    </x:row>
    <x:row r="2172">
      <x:c r="A2172" t="str">
        <x:v>DW-2167</x:v>
      </x:c>
      <x:c r="B2172" t="str">
        <x:v>DW-0584</x:v>
      </x:c>
      <x:c r="C2172" t="str">
        <x:v>Composition héritée</x:v>
      </x:c>
      <x:c r="D2172" t="str">
        <x:v>industrie</x:v>
      </x:c>
      <x:c r="E2172" t="str">
        <x:v>Petite usine — variante 02 — Gare et fret / repli organisé interrompu</x:v>
      </x:c>
      <x:c r="F2172" t="n">
        <x:v>10</x:v>
      </x:c>
      <x:c r="G2172" t="n">
        <x:v>5</x:v>
      </x:c>
      <x:c r="H2172" t="n">
        <x:v>0</x:v>
      </x:c>
      <x:c r="I2172" t="str">
        <x:v>À qualifier par lieu</x:v>
      </x:c>
      <x:c r="J2172" t="str">
        <x:v>https://github.com/darknigthmare/deadwall-last-enclosure/blob/1b3b9c5ba232734b1bda3453b4e20a0481bcdd74/codex-3000/compositions/industrie/DW-2167.md</x:v>
      </x:c>
      <x:c r="K2172" t="str">
        <x:v>Source min 59,16 m ; max 59,16 m ; modèle 59 × 22 m ; niveaux 0. Détails dans catalogue-existant.json.</x:v>
      </x:c>
    </x:row>
    <x:row r="2173">
      <x:c r="A2173" t="str">
        <x:v>DW-2168</x:v>
      </x:c>
      <x:c r="B2173" t="str">
        <x:v>DW-0584</x:v>
      </x:c>
      <x:c r="C2173" t="str">
        <x:v>Composition héritée</x:v>
      </x:c>
      <x:c r="D2173" t="str">
        <x:v>industrie</x:v>
      </x:c>
      <x:c r="E2173" t="str">
        <x:v>Petite usine — variante 02 — Atelier et artisanat / première récupération passée</x:v>
      </x:c>
      <x:c r="F2173" t="n">
        <x:v>8</x:v>
      </x:c>
      <x:c r="G2173" t="n">
        <x:v>5</x:v>
      </x:c>
      <x:c r="H2173" t="n">
        <x:v>0</x:v>
      </x:c>
      <x:c r="I2173" t="str">
        <x:v>À qualifier par lieu</x:v>
      </x:c>
      <x:c r="J2173" t="str">
        <x:v>https://github.com/darknigthmare/deadwall-last-enclosure/blob/1b3b9c5ba232734b1bda3453b4e20a0481bcdd74/codex-3000/compositions/industrie/DW-2168.md</x:v>
      </x:c>
      <x:c r="K2173" t="str">
        <x:v>Source min 59,16 m ; max 59,16 m ; modèle 59 × 22 m ; niveaux 0. Détails dans catalogue-existant.json.</x:v>
      </x:c>
    </x:row>
    <x:row r="2174">
      <x:c r="A2174" t="str">
        <x:v>DW-2169</x:v>
      </x:c>
      <x:c r="B2174" t="str">
        <x:v>DW-0585</x:v>
      </x:c>
      <x:c r="C2174" t="str">
        <x:v>Composition héritée</x:v>
      </x:c>
      <x:c r="D2174" t="str">
        <x:v>industrie</x:v>
      </x:c>
      <x:c r="E2174" t="str">
        <x:v>Carrière — variante 02 — Zone industrielle / évacuation interrompue</x:v>
      </x:c>
      <x:c r="F2174" t="n">
        <x:v>8</x:v>
      </x:c>
      <x:c r="G2174" t="n">
        <x:v>5</x:v>
      </x:c>
      <x:c r="H2174" t="n">
        <x:v>0</x:v>
      </x:c>
      <x:c r="I2174" t="str">
        <x:v>À qualifier par lieu</x:v>
      </x:c>
      <x:c r="J2174" t="str">
        <x:v>https://github.com/darknigthmare/deadwall-last-enclosure/blob/1b3b9c5ba232734b1bda3453b4e20a0481bcdd74/codex-3000/compositions/industrie/DW-2169.md</x:v>
      </x:c>
      <x:c r="K2174" t="str">
        <x:v>Source min 70,33 m ; max 70,33 m ; modèle 70 × 33 m ; niveaux 0. Détails dans catalogue-existant.json.</x:v>
      </x:c>
    </x:row>
    <x:row r="2175">
      <x:c r="A2175" t="str">
        <x:v>DW-2170</x:v>
      </x:c>
      <x:c r="B2175" t="str">
        <x:v>DW-0585</x:v>
      </x:c>
      <x:c r="C2175" t="str">
        <x:v>Composition héritée</x:v>
      </x:c>
      <x:c r="D2175" t="str">
        <x:v>industrie</x:v>
      </x:c>
      <x:c r="E2175" t="str">
        <x:v>Carrière — variante 02 — Entrepôt et plateforme logistique / service déplacé à l’arrière</x:v>
      </x:c>
      <x:c r="F2175" t="n">
        <x:v>8</x:v>
      </x:c>
      <x:c r="G2175" t="n">
        <x:v>5</x:v>
      </x:c>
      <x:c r="H2175" t="n">
        <x:v>0</x:v>
      </x:c>
      <x:c r="I2175" t="str">
        <x:v>À qualifier par lieu</x:v>
      </x:c>
      <x:c r="J2175" t="str">
        <x:v>https://github.com/darknigthmare/deadwall-last-enclosure/blob/1b3b9c5ba232734b1bda3453b4e20a0481bcdd74/codex-3000/compositions/industrie/DW-2170.md</x:v>
      </x:c>
      <x:c r="K2175" t="str">
        <x:v>Source min 70,33 m ; max 70,33 m ; modèle 70 × 33 m ; niveaux 0. Détails dans catalogue-existant.json.</x:v>
      </x:c>
    </x:row>
    <x:row r="2176">
      <x:c r="A2176" t="str">
        <x:v>DW-2171</x:v>
      </x:c>
      <x:c r="B2176" t="str">
        <x:v>DW-0586</x:v>
      </x:c>
      <x:c r="C2176" t="str">
        <x:v>Composition héritée</x:v>
      </x:c>
      <x:c r="D2176" t="str">
        <x:v>industrie</x:v>
      </x:c>
      <x:c r="E2176" t="str">
        <x:v>Mine — variante 02 — Atelier et artisanat / arrêt de maintenance</x:v>
      </x:c>
      <x:c r="F2176" t="n">
        <x:v>8</x:v>
      </x:c>
      <x:c r="G2176" t="n">
        <x:v>6</x:v>
      </x:c>
      <x:c r="H2176" t="n">
        <x:v>0</x:v>
      </x:c>
      <x:c r="I2176" t="str">
        <x:v>À qualifier par lieu</x:v>
      </x:c>
      <x:c r="J2176" t="str">
        <x:v>https://github.com/darknigthmare/deadwall-last-enclosure/blob/1b3b9c5ba232734b1bda3453b4e20a0481bcdd74/codex-3000/compositions/industrie/DW-2171.md</x:v>
      </x:c>
      <x:c r="K2176" t="str">
        <x:v>Source min 81,50 m ; max 81,50 m ; modèle 78 × 50 m ; niveaux 0. Détails dans catalogue-existant.json.</x:v>
      </x:c>
    </x:row>
    <x:row r="2177">
      <x:c r="A2177" t="str">
        <x:v>DW-2172</x:v>
      </x:c>
      <x:c r="B2177" t="str">
        <x:v>DW-0586</x:v>
      </x:c>
      <x:c r="C2177" t="str">
        <x:v>Composition héritée</x:v>
      </x:c>
      <x:c r="D2177" t="str">
        <x:v>industrie</x:v>
      </x:c>
      <x:c r="E2177" t="str">
        <x:v>Mine — variante 02 — Gare et fret / reprise progressive de la végétation</x:v>
      </x:c>
      <x:c r="F2177" t="n">
        <x:v>10</x:v>
      </x:c>
      <x:c r="G2177" t="n">
        <x:v>6</x:v>
      </x:c>
      <x:c r="H2177" t="n">
        <x:v>0</x:v>
      </x:c>
      <x:c r="I2177" t="str">
        <x:v>À qualifier par lieu</x:v>
      </x:c>
      <x:c r="J2177" t="str">
        <x:v>https://github.com/darknigthmare/deadwall-last-enclosure/blob/1b3b9c5ba232734b1bda3453b4e20a0481bcdd74/codex-3000/compositions/industrie/DW-2172.md</x:v>
      </x:c>
      <x:c r="K2177" t="str">
        <x:v>Source min 81,50 m ; max 81,50 m ; modèle 78 × 50 m ; niveaux 0. Détails dans catalogue-existant.json.</x:v>
      </x:c>
    </x:row>
    <x:row r="2178">
      <x:c r="A2178" t="str">
        <x:v>DW-2173</x:v>
      </x:c>
      <x:c r="B2178" t="str">
        <x:v>DW-0587</x:v>
      </x:c>
      <x:c r="C2178" t="str">
        <x:v>Composition héritée</x:v>
      </x:c>
      <x:c r="D2178" t="str">
        <x:v>industrie</x:v>
      </x:c>
      <x:c r="E2178" t="str">
        <x:v>Centrale locale — variante 02 — Entrepôt et plateforme logistique / première récupération passée</x:v>
      </x:c>
      <x:c r="F2178" t="n">
        <x:v>8</x:v>
      </x:c>
      <x:c r="G2178" t="n">
        <x:v>5</x:v>
      </x:c>
      <x:c r="H2178" t="n">
        <x:v>0</x:v>
      </x:c>
      <x:c r="I2178" t="str">
        <x:v>À qualifier par lieu</x:v>
      </x:c>
      <x:c r="J2178" t="str">
        <x:v>https://github.com/darknigthmare/deadwall-last-enclosure/blob/1b3b9c5ba232734b1bda3453b4e20a0481bcdd74/codex-3000/compositions/industrie/DW-2173.md</x:v>
      </x:c>
      <x:c r="K2178" t="str">
        <x:v>Source min 20,13 m ; max 20,13 m ; modèle 26 × 22 m ; niveaux 0. Détails dans catalogue-existant.json.</x:v>
      </x:c>
    </x:row>
    <x:row r="2179">
      <x:c r="A2179" t="str">
        <x:v>DW-2174</x:v>
      </x:c>
      <x:c r="B2179" t="str">
        <x:v>DW-0587</x:v>
      </x:c>
      <x:c r="C2179" t="str">
        <x:v>Composition héritée</x:v>
      </x:c>
      <x:c r="D2179" t="str">
        <x:v>industrie</x:v>
      </x:c>
      <x:c r="E2179" t="str">
        <x:v>Centrale locale — variante 02 — Zone industrielle / relais temporaire envisagé</x:v>
      </x:c>
      <x:c r="F2179" t="n">
        <x:v>8</x:v>
      </x:c>
      <x:c r="G2179" t="n">
        <x:v>5</x:v>
      </x:c>
      <x:c r="H2179" t="n">
        <x:v>0</x:v>
      </x:c>
      <x:c r="I2179" t="str">
        <x:v>À qualifier par lieu</x:v>
      </x:c>
      <x:c r="J2179" t="str">
        <x:v>https://github.com/darknigthmare/deadwall-last-enclosure/blob/1b3b9c5ba232734b1bda3453b4e20a0481bcdd74/codex-3000/compositions/industrie/DW-2174.md</x:v>
      </x:c>
      <x:c r="K2179" t="str">
        <x:v>Source min 20,13 m ; max 20,13 m ; modèle 26 × 22 m ; niveaux 0. Détails dans catalogue-existant.json.</x:v>
      </x:c>
    </x:row>
    <x:row r="2180">
      <x:c r="A2180" t="str">
        <x:v>DW-2175</x:v>
      </x:c>
      <x:c r="B2180" t="str">
        <x:v>DW-0588</x:v>
      </x:c>
      <x:c r="C2180" t="str">
        <x:v>Composition héritée</x:v>
      </x:c>
      <x:c r="D2180" t="str">
        <x:v>industrie</x:v>
      </x:c>
      <x:c r="E2180" t="str">
        <x:v>Station de pompage — variante 02 — Gare et fret / service déplacé à l’arrière</x:v>
      </x:c>
      <x:c r="F2180" t="n">
        <x:v>10</x:v>
      </x:c>
      <x:c r="G2180" t="n">
        <x:v>5</x:v>
      </x:c>
      <x:c r="H2180" t="n">
        <x:v>0</x:v>
      </x:c>
      <x:c r="I2180" t="str">
        <x:v>À qualifier par lieu</x:v>
      </x:c>
      <x:c r="J2180" t="str">
        <x:v>https://github.com/darknigthmare/deadwall-last-enclosure/blob/1b3b9c5ba232734b1bda3453b4e20a0481bcdd74/codex-3000/compositions/industrie/DW-2175.md</x:v>
      </x:c>
      <x:c r="K2180" t="str">
        <x:v>Source min 31,30 m ; max 31,30 m ; modèle 31 × 30 m ; niveaux 0. Détails dans catalogue-existant.json.</x:v>
      </x:c>
    </x:row>
    <x:row r="2181">
      <x:c r="A2181" t="str">
        <x:v>DW-2176</x:v>
      </x:c>
      <x:c r="B2181" t="str">
        <x:v>DW-0588</x:v>
      </x:c>
      <x:c r="C2181" t="str">
        <x:v>Composition héritée</x:v>
      </x:c>
      <x:c r="D2181" t="str">
        <x:v>industrie</x:v>
      </x:c>
      <x:c r="E2181" t="str">
        <x:v>Station de pompage — variante 02 — Atelier et artisanat / réseau principal coupé</x:v>
      </x:c>
      <x:c r="F2181" t="n">
        <x:v>8</x:v>
      </x:c>
      <x:c r="G2181" t="n">
        <x:v>5</x:v>
      </x:c>
      <x:c r="H2181" t="n">
        <x:v>0</x:v>
      </x:c>
      <x:c r="I2181" t="str">
        <x:v>À qualifier par lieu</x:v>
      </x:c>
      <x:c r="J2181" t="str">
        <x:v>https://github.com/darknigthmare/deadwall-last-enclosure/blob/1b3b9c5ba232734b1bda3453b4e20a0481bcdd74/codex-3000/compositions/industrie/DW-2176.md</x:v>
      </x:c>
      <x:c r="K2181" t="str">
        <x:v>Source min 31,30 m ; max 31,30 m ; modèle 31 × 30 m ; niveaux 0. Détails dans catalogue-existant.json.</x:v>
      </x:c>
    </x:row>
    <x:row r="2182">
      <x:c r="A2182" t="str">
        <x:v>DW-2177</x:v>
      </x:c>
      <x:c r="B2182" t="str">
        <x:v>DW-0589</x:v>
      </x:c>
      <x:c r="C2182" t="str">
        <x:v>Composition héritée</x:v>
      </x:c>
      <x:c r="D2182" t="str">
        <x:v>public</x:v>
      </x:c>
      <x:c r="E2182" t="str">
        <x:v>École — variante 02 — École, mairie et bâtiments civiques / reprise progressive de la végétation</x:v>
      </x:c>
      <x:c r="F2182" t="n">
        <x:v>8</x:v>
      </x:c>
      <x:c r="G2182" t="n">
        <x:v>5</x:v>
      </x:c>
      <x:c r="H2182" t="n">
        <x:v>0</x:v>
      </x:c>
      <x:c r="I2182" t="str">
        <x:v>À qualifier par lieu</x:v>
      </x:c>
      <x:c r="J2182" t="str">
        <x:v>https://github.com/darknigthmare/deadwall-last-enclosure/blob/1b3b9c5ba232734b1bda3453b4e20a0481bcdd74/codex-3000/compositions/public/DW-2177.md</x:v>
      </x:c>
      <x:c r="K2182" t="str">
        <x:v>Source min 42,47 m ; max 42,47 m ; modèle 42 × 47 m ; niveaux 0, 1. Détails dans catalogue-existant.json.</x:v>
      </x:c>
    </x:row>
    <x:row r="2183">
      <x:c r="A2183" t="str">
        <x:v>DW-2178</x:v>
      </x:c>
      <x:c r="B2183" t="str">
        <x:v>DW-0589</x:v>
      </x:c>
      <x:c r="C2183" t="str">
        <x:v>Composition héritée</x:v>
      </x:c>
      <x:c r="D2183" t="str">
        <x:v>public</x:v>
      </x:c>
      <x:c r="E2183" t="str">
        <x:v>École — variante 02 — Village et bourg / repli organisé interrompu</x:v>
      </x:c>
      <x:c r="F2183" t="n">
        <x:v>8</x:v>
      </x:c>
      <x:c r="G2183" t="n">
        <x:v>5</x:v>
      </x:c>
      <x:c r="H2183" t="n">
        <x:v>0</x:v>
      </x:c>
      <x:c r="I2183" t="str">
        <x:v>À qualifier par lieu</x:v>
      </x:c>
      <x:c r="J2183" t="str">
        <x:v>https://github.com/darknigthmare/deadwall-last-enclosure/blob/1b3b9c5ba232734b1bda3453b4e20a0481bcdd74/codex-3000/compositions/public/DW-2178.md</x:v>
      </x:c>
      <x:c r="K2183" t="str">
        <x:v>Source min 42,47 m ; max 42,47 m ; modèle 42 × 47 m ; niveaux 0, 1. Détails dans catalogue-existant.json.</x:v>
      </x:c>
    </x:row>
    <x:row r="2184">
      <x:c r="A2184" t="str">
        <x:v>DW-2179</x:v>
      </x:c>
      <x:c r="B2184" t="str">
        <x:v>DW-0590</x:v>
      </x:c>
      <x:c r="C2184" t="str">
        <x:v>Composition héritée</x:v>
      </x:c>
      <x:c r="D2184" t="str">
        <x:v>public</x:v>
      </x:c>
      <x:c r="E2184" t="str">
        <x:v>Mairie — variante 02 — Ville moyenne / relais temporaire envisagé</x:v>
      </x:c>
      <x:c r="F2184" t="n">
        <x:v>8</x:v>
      </x:c>
      <x:c r="G2184" t="n">
        <x:v>5</x:v>
      </x:c>
      <x:c r="H2184" t="n">
        <x:v>0</x:v>
      </x:c>
      <x:c r="I2184" t="str">
        <x:v>À qualifier par lieu</x:v>
      </x:c>
      <x:c r="J2184" t="str">
        <x:v>https://github.com/darknigthmare/deadwall-last-enclosure/blob/1b3b9c5ba232734b1bda3453b4e20a0481bcdd74/codex-3000/compositions/public/DW-2179.md</x:v>
      </x:c>
      <x:c r="K2184" t="str">
        <x:v>Source min 53,10 m ; max 53,10 m ; modèle 53 × 22 m ; niveaux 0. Détails dans catalogue-existant.json.</x:v>
      </x:c>
    </x:row>
    <x:row r="2185">
      <x:c r="A2185" t="str">
        <x:v>DW-2180</x:v>
      </x:c>
      <x:c r="B2185" t="str">
        <x:v>DW-0590</x:v>
      </x:c>
      <x:c r="C2185" t="str">
        <x:v>Composition héritée</x:v>
      </x:c>
      <x:c r="D2185" t="str">
        <x:v>public</x:v>
      </x:c>
      <x:c r="E2185" t="str">
        <x:v>Mairie — variante 02 — Centre d’évacuation abandonné / évacuation interrompue</x:v>
      </x:c>
      <x:c r="F2185" t="n">
        <x:v>8</x:v>
      </x:c>
      <x:c r="G2185" t="n">
        <x:v>5</x:v>
      </x:c>
      <x:c r="H2185" t="n">
        <x:v>0</x:v>
      </x:c>
      <x:c r="I2185" t="str">
        <x:v>À qualifier par lieu</x:v>
      </x:c>
      <x:c r="J2185" t="str">
        <x:v>https://github.com/darknigthmare/deadwall-last-enclosure/blob/1b3b9c5ba232734b1bda3453b4e20a0481bcdd74/codex-3000/compositions/public/DW-2180.md</x:v>
      </x:c>
      <x:c r="K2185" t="str">
        <x:v>Source min 53,10 m ; max 53,10 m ; modèle 53 × 22 m ; niveaux 0. Détails dans catalogue-existant.json.</x:v>
      </x:c>
    </x:row>
    <x:row r="2186">
      <x:c r="A2186" t="str">
        <x:v>DW-2181</x:v>
      </x:c>
      <x:c r="B2186" t="str">
        <x:v>DW-0591</x:v>
      </x:c>
      <x:c r="C2186" t="str">
        <x:v>Composition héritée</x:v>
      </x:c>
      <x:c r="D2186" t="str">
        <x:v>public</x:v>
      </x:c>
      <x:c r="E2186" t="str">
        <x:v>Clinique — variante 02 — Village et bourg / réseau principal coupé</x:v>
      </x:c>
      <x:c r="F2186" t="n">
        <x:v>8</x:v>
      </x:c>
      <x:c r="G2186" t="n">
        <x:v>6</x:v>
      </x:c>
      <x:c r="H2186" t="n">
        <x:v>0</x:v>
      </x:c>
      <x:c r="I2186" t="str">
        <x:v>À qualifier par lieu</x:v>
      </x:c>
      <x:c r="J2186" t="str">
        <x:v>https://github.com/darknigthmare/deadwall-last-enclosure/blob/1b3b9c5ba232734b1bda3453b4e20a0481bcdd74/codex-3000/compositions/public/DW-2181.md</x:v>
      </x:c>
      <x:c r="K2186" t="str">
        <x:v>Source min 64,27 m ; max 64,27 m ; modèle 64 × 27 m ; niveaux 0. Détails dans catalogue-existant.json.</x:v>
      </x:c>
    </x:row>
    <x:row r="2187">
      <x:c r="A2187" t="str">
        <x:v>DW-2182</x:v>
      </x:c>
      <x:c r="B2187" t="str">
        <x:v>DW-0591</x:v>
      </x:c>
      <x:c r="C2187" t="str">
        <x:v>Composition héritée</x:v>
      </x:c>
      <x:c r="D2187" t="str">
        <x:v>public</x:v>
      </x:c>
      <x:c r="E2187" t="str">
        <x:v>Clinique — variante 02 — École, mairie et bâtiments civiques / arrêt de maintenance</x:v>
      </x:c>
      <x:c r="F2187" t="n">
        <x:v>8</x:v>
      </x:c>
      <x:c r="G2187" t="n">
        <x:v>6</x:v>
      </x:c>
      <x:c r="H2187" t="n">
        <x:v>0</x:v>
      </x:c>
      <x:c r="I2187" t="str">
        <x:v>À qualifier par lieu</x:v>
      </x:c>
      <x:c r="J2187" t="str">
        <x:v>https://github.com/darknigthmare/deadwall-last-enclosure/blob/1b3b9c5ba232734b1bda3453b4e20a0481bcdd74/codex-3000/compositions/public/DW-2182.md</x:v>
      </x:c>
      <x:c r="K2187" t="str">
        <x:v>Source min 64,27 m ; max 64,27 m ; modèle 64 × 27 m ; niveaux 0. Détails dans catalogue-existant.json.</x:v>
      </x:c>
    </x:row>
    <x:row r="2188">
      <x:c r="A2188" t="str">
        <x:v>DW-2183</x:v>
      </x:c>
      <x:c r="B2188" t="str">
        <x:v>DW-0592</x:v>
      </x:c>
      <x:c r="C2188" t="str">
        <x:v>Composition héritée</x:v>
      </x:c>
      <x:c r="D2188" t="str">
        <x:v>public</x:v>
      </x:c>
      <x:c r="E2188" t="str">
        <x:v>Caserne de pompiers — variante 02 — Centre d’évacuation abandonné / repli organisé interrompu</x:v>
      </x:c>
      <x:c r="F2188" t="n">
        <x:v>8</x:v>
      </x:c>
      <x:c r="G2188" t="n">
        <x:v>6</x:v>
      </x:c>
      <x:c r="H2188" t="n">
        <x:v>0</x:v>
      </x:c>
      <x:c r="I2188" t="str">
        <x:v>À qualifier par lieu</x:v>
      </x:c>
      <x:c r="J2188" t="str">
        <x:v>https://github.com/darknigthmare/deadwall-last-enclosure/blob/1b3b9c5ba232734b1bda3453b4e20a0481bcdd74/codex-3000/compositions/public/DW-2183.md</x:v>
      </x:c>
      <x:c r="K2188" t="str">
        <x:v>Source min 75,44 m ; max 75,44 m ; modèle 75 × 44 m ; niveaux 0. Détails dans catalogue-existant.json.</x:v>
      </x:c>
    </x:row>
    <x:row r="2189">
      <x:c r="A2189" t="str">
        <x:v>DW-2184</x:v>
      </x:c>
      <x:c r="B2189" t="str">
        <x:v>DW-0592</x:v>
      </x:c>
      <x:c r="C2189" t="str">
        <x:v>Composition héritée</x:v>
      </x:c>
      <x:c r="D2189" t="str">
        <x:v>public</x:v>
      </x:c>
      <x:c r="E2189" t="str">
        <x:v>Caserne de pompiers — variante 02 — Ville moyenne / première récupération passée</x:v>
      </x:c>
      <x:c r="F2189" t="n">
        <x:v>8</x:v>
      </x:c>
      <x:c r="G2189" t="n">
        <x:v>6</x:v>
      </x:c>
      <x:c r="H2189" t="n">
        <x:v>0</x:v>
      </x:c>
      <x:c r="I2189" t="str">
        <x:v>À qualifier par lieu</x:v>
      </x:c>
      <x:c r="J2189" t="str">
        <x:v>https://github.com/darknigthmare/deadwall-last-enclosure/blob/1b3b9c5ba232734b1bda3453b4e20a0481bcdd74/codex-3000/compositions/public/DW-2184.md</x:v>
      </x:c>
      <x:c r="K2189" t="str">
        <x:v>Source min 75,44 m ; max 75,44 m ; modèle 75 × 44 m ; niveaux 0. Détails dans catalogue-existant.json.</x:v>
      </x:c>
    </x:row>
    <x:row r="2190">
      <x:c r="A2190" t="str">
        <x:v>DW-2185</x:v>
      </x:c>
      <x:c r="B2190" t="str">
        <x:v>DW-0593</x:v>
      </x:c>
      <x:c r="C2190" t="str">
        <x:v>Composition héritée</x:v>
      </x:c>
      <x:c r="D2190" t="str">
        <x:v>public</x:v>
      </x:c>
      <x:c r="E2190" t="str">
        <x:v>Poste de police — variante 02 — École, mairie et bâtiments civiques / évacuation interrompue</x:v>
      </x:c>
      <x:c r="F2190" t="n">
        <x:v>8</x:v>
      </x:c>
      <x:c r="G2190" t="n">
        <x:v>5</x:v>
      </x:c>
      <x:c r="H2190" t="n">
        <x:v>0</x:v>
      </x:c>
      <x:c r="I2190" t="str">
        <x:v>À qualifier par lieu</x:v>
      </x:c>
      <x:c r="J2190" t="str">
        <x:v>https://github.com/darknigthmare/deadwall-last-enclosure/blob/1b3b9c5ba232734b1bda3453b4e20a0481bcdd74/codex-3000/compositions/public/DW-2185.md</x:v>
      </x:c>
      <x:c r="K2190" t="str">
        <x:v>Source min 14,61 m ; max 14,61 m ; modèle 26 × 61 m ; niveaux 0, 1. Détails dans catalogue-existant.json.</x:v>
      </x:c>
    </x:row>
    <x:row r="2191">
      <x:c r="A2191" t="str">
        <x:v>DW-2186</x:v>
      </x:c>
      <x:c r="B2191" t="str">
        <x:v>DW-0593</x:v>
      </x:c>
      <x:c r="C2191" t="str">
        <x:v>Composition héritée</x:v>
      </x:c>
      <x:c r="D2191" t="str">
        <x:v>public</x:v>
      </x:c>
      <x:c r="E2191" t="str">
        <x:v>Poste de police — variante 02 — Village et bourg / service déplacé à l’arrière</x:v>
      </x:c>
      <x:c r="F2191" t="n">
        <x:v>8</x:v>
      </x:c>
      <x:c r="G2191" t="n">
        <x:v>5</x:v>
      </x:c>
      <x:c r="H2191" t="n">
        <x:v>0</x:v>
      </x:c>
      <x:c r="I2191" t="str">
        <x:v>À qualifier par lieu</x:v>
      </x:c>
      <x:c r="J2191" t="str">
        <x:v>https://github.com/darknigthmare/deadwall-last-enclosure/blob/1b3b9c5ba232734b1bda3453b4e20a0481bcdd74/codex-3000/compositions/public/DW-2186.md</x:v>
      </x:c>
      <x:c r="K2191" t="str">
        <x:v>Source min 14,61 m ; max 14,61 m ; modèle 26 × 61 m ; niveaux 0, 1. Détails dans catalogue-existant.json.</x:v>
      </x:c>
    </x:row>
    <x:row r="2192">
      <x:c r="A2192" t="str">
        <x:v>DW-2187</x:v>
      </x:c>
      <x:c r="B2192" t="str">
        <x:v>DW-0594</x:v>
      </x:c>
      <x:c r="C2192" t="str">
        <x:v>Composition héritée</x:v>
      </x:c>
      <x:c r="D2192" t="str">
        <x:v>public</x:v>
      </x:c>
      <x:c r="E2192" t="str">
        <x:v>Bibliothèque — variante 02 — Ville moyenne / arrêt de maintenance</x:v>
      </x:c>
      <x:c r="F2192" t="n">
        <x:v>8</x:v>
      </x:c>
      <x:c r="G2192" t="n">
        <x:v>5</x:v>
      </x:c>
      <x:c r="H2192" t="n">
        <x:v>0</x:v>
      </x:c>
      <x:c r="I2192" t="str">
        <x:v>À qualifier par lieu</x:v>
      </x:c>
      <x:c r="J2192" t="str">
        <x:v>https://github.com/darknigthmare/deadwall-last-enclosure/blob/1b3b9c5ba232734b1bda3453b4e20a0481bcdd74/codex-3000/compositions/public/DW-2187.md</x:v>
      </x:c>
      <x:c r="K2192" t="str">
        <x:v>Source min 25,24 m ; max 25,24 m ; modèle 26 × 24 m ; niveaux 0. Détails dans catalogue-existant.json.</x:v>
      </x:c>
    </x:row>
    <x:row r="2193">
      <x:c r="A2193" t="str">
        <x:v>DW-2188</x:v>
      </x:c>
      <x:c r="B2193" t="str">
        <x:v>DW-0594</x:v>
      </x:c>
      <x:c r="C2193" t="str">
        <x:v>Composition héritée</x:v>
      </x:c>
      <x:c r="D2193" t="str">
        <x:v>public</x:v>
      </x:c>
      <x:c r="E2193" t="str">
        <x:v>Bibliothèque — variante 02 — Centre d’évacuation abandonné / reprise progressive de la végétation</x:v>
      </x:c>
      <x:c r="F2193" t="n">
        <x:v>8</x:v>
      </x:c>
      <x:c r="G2193" t="n">
        <x:v>5</x:v>
      </x:c>
      <x:c r="H2193" t="n">
        <x:v>0</x:v>
      </x:c>
      <x:c r="I2193" t="str">
        <x:v>À qualifier par lieu</x:v>
      </x:c>
      <x:c r="J2193" t="str">
        <x:v>https://github.com/darknigthmare/deadwall-last-enclosure/blob/1b3b9c5ba232734b1bda3453b4e20a0481bcdd74/codex-3000/compositions/public/DW-2188.md</x:v>
      </x:c>
      <x:c r="K2193" t="str">
        <x:v>Source min 25,24 m ; max 25,24 m ; modèle 26 × 24 m ; niveaux 0. Détails dans catalogue-existant.json.</x:v>
      </x:c>
    </x:row>
    <x:row r="2194">
      <x:c r="A2194" t="str">
        <x:v>DW-2189</x:v>
      </x:c>
      <x:c r="B2194" t="str">
        <x:v>DW-0595</x:v>
      </x:c>
      <x:c r="C2194" t="str">
        <x:v>Composition héritée</x:v>
      </x:c>
      <x:c r="D2194" t="str">
        <x:v>public</x:v>
      </x:c>
      <x:c r="E2194" t="str">
        <x:v>Salle des fêtes — variante 02 — Village et bourg / première récupération passée</x:v>
      </x:c>
      <x:c r="F2194" t="n">
        <x:v>8</x:v>
      </x:c>
      <x:c r="G2194" t="n">
        <x:v>5</x:v>
      </x:c>
      <x:c r="H2194" t="n">
        <x:v>0</x:v>
      </x:c>
      <x:c r="I2194" t="str">
        <x:v>À qualifier par lieu</x:v>
      </x:c>
      <x:c r="J2194" t="str">
        <x:v>https://github.com/darknigthmare/deadwall-last-enclosure/blob/1b3b9c5ba232734b1bda3453b4e20a0481bcdd74/codex-3000/compositions/public/DW-2189.md</x:v>
      </x:c>
      <x:c r="K2194" t="str">
        <x:v>Source min 36,41 m ; max 36,41 m ; modèle 36 × 41 m ; niveaux 0. Détails dans catalogue-existant.json.</x:v>
      </x:c>
    </x:row>
    <x:row r="2195">
      <x:c r="A2195" t="str">
        <x:v>DW-2190</x:v>
      </x:c>
      <x:c r="B2195" t="str">
        <x:v>DW-0595</x:v>
      </x:c>
      <x:c r="C2195" t="str">
        <x:v>Composition héritée</x:v>
      </x:c>
      <x:c r="D2195" t="str">
        <x:v>public</x:v>
      </x:c>
      <x:c r="E2195" t="str">
        <x:v>Salle des fêtes — variante 02 — École, mairie et bâtiments civiques / relais temporaire envisagé</x:v>
      </x:c>
      <x:c r="F2195" t="n">
        <x:v>8</x:v>
      </x:c>
      <x:c r="G2195" t="n">
        <x:v>5</x:v>
      </x:c>
      <x:c r="H2195" t="n">
        <x:v>0</x:v>
      </x:c>
      <x:c r="I2195" t="str">
        <x:v>À qualifier par lieu</x:v>
      </x:c>
      <x:c r="J2195" t="str">
        <x:v>https://github.com/darknigthmare/deadwall-last-enclosure/blob/1b3b9c5ba232734b1bda3453b4e20a0481bcdd74/codex-3000/compositions/public/DW-2190.md</x:v>
      </x:c>
      <x:c r="K2195" t="str">
        <x:v>Source min 36,41 m ; max 36,41 m ; modèle 36 × 41 m ; niveaux 0. Détails dans catalogue-existant.json.</x:v>
      </x:c>
    </x:row>
    <x:row r="2196">
      <x:c r="A2196" t="str">
        <x:v>DW-2191</x:v>
      </x:c>
      <x:c r="B2196" t="str">
        <x:v>DW-0596</x:v>
      </x:c>
      <x:c r="C2196" t="str">
        <x:v>Composition héritée</x:v>
      </x:c>
      <x:c r="D2196" t="str">
        <x:v>public</x:v>
      </x:c>
      <x:c r="E2196" t="str">
        <x:v>Église et presbytère — variante 02 — Centre d’évacuation abandonné / service déplacé à l’arrière</x:v>
      </x:c>
      <x:c r="F2196" t="n">
        <x:v>8</x:v>
      </x:c>
      <x:c r="G2196" t="n">
        <x:v>5</x:v>
      </x:c>
      <x:c r="H2196" t="n">
        <x:v>0</x:v>
      </x:c>
      <x:c r="I2196" t="str">
        <x:v>À qualifier par lieu</x:v>
      </x:c>
      <x:c r="J2196" t="str">
        <x:v>https://github.com/darknigthmare/deadwall-last-enclosure/blob/1b3b9c5ba232734b1bda3453b4e20a0481bcdd74/codex-3000/compositions/public/DW-2191.md</x:v>
      </x:c>
      <x:c r="K2196" t="str">
        <x:v>Source min 47,58 m ; max 47,58 m ; modèle 47 × 58 m ; niveaux 0. Détails dans catalogue-existant.json.</x:v>
      </x:c>
    </x:row>
    <x:row r="2197">
      <x:c r="A2197" t="str">
        <x:v>DW-2192</x:v>
      </x:c>
      <x:c r="B2197" t="str">
        <x:v>DW-0596</x:v>
      </x:c>
      <x:c r="C2197" t="str">
        <x:v>Composition héritée</x:v>
      </x:c>
      <x:c r="D2197" t="str">
        <x:v>public</x:v>
      </x:c>
      <x:c r="E2197" t="str">
        <x:v>Église et presbytère — variante 02 — Ville moyenne / réseau principal coupé</x:v>
      </x:c>
      <x:c r="F2197" t="n">
        <x:v>8</x:v>
      </x:c>
      <x:c r="G2197" t="n">
        <x:v>5</x:v>
      </x:c>
      <x:c r="H2197" t="n">
        <x:v>0</x:v>
      </x:c>
      <x:c r="I2197" t="str">
        <x:v>À qualifier par lieu</x:v>
      </x:c>
      <x:c r="J2197" t="str">
        <x:v>https://github.com/darknigthmare/deadwall-last-enclosure/blob/1b3b9c5ba232734b1bda3453b4e20a0481bcdd74/codex-3000/compositions/public/DW-2192.md</x:v>
      </x:c>
      <x:c r="K2197" t="str">
        <x:v>Source min 47,58 m ; max 47,58 m ; modèle 47 × 58 m ; niveaux 0. Détails dans catalogue-existant.json.</x:v>
      </x:c>
    </x:row>
    <x:row r="2198">
      <x:c r="A2198" t="str">
        <x:v>DW-2193</x:v>
      </x:c>
      <x:c r="B2198" t="str">
        <x:v>DW-0597</x:v>
      </x:c>
      <x:c r="C2198" t="str">
        <x:v>Composition héritée</x:v>
      </x:c>
      <x:c r="D2198" t="str">
        <x:v>rural</x:v>
      </x:c>
      <x:c r="E2198" t="str">
        <x:v>Hameau agricole — variante 02 — Ferme, verger et pâtures / reprise progressive de la végétation</x:v>
      </x:c>
      <x:c r="F2198" t="n">
        <x:v>8</x:v>
      </x:c>
      <x:c r="G2198" t="n">
        <x:v>6</x:v>
      </x:c>
      <x:c r="H2198" t="n">
        <x:v>0</x:v>
      </x:c>
      <x:c r="I2198" t="str">
        <x:v>À qualifier par lieu</x:v>
      </x:c>
      <x:c r="J2198" t="str">
        <x:v>https://github.com/darknigthmare/deadwall-last-enclosure/blob/1b3b9c5ba232734b1bda3453b4e20a0481bcdd74/codex-3000/compositions/rural/DW-2193.md</x:v>
      </x:c>
      <x:c r="K2198" t="str">
        <x:v>Source min 58,21 m ; max 58,21 m ; modèle 58 × 22 m ; niveaux 0. Détails dans catalogue-existant.json.</x:v>
      </x:c>
    </x:row>
    <x:row r="2199">
      <x:c r="A2199" t="str">
        <x:v>DW-2194</x:v>
      </x:c>
      <x:c r="B2199" t="str">
        <x:v>DW-0597</x:v>
      </x:c>
      <x:c r="C2199" t="str">
        <x:v>Composition héritée</x:v>
      </x:c>
      <x:c r="D2199" t="str">
        <x:v>rural</x:v>
      </x:c>
      <x:c r="E2199" t="str">
        <x:v>Hameau agricole — variante 02 — Petit bois et lisière / repli organisé interrompu</x:v>
      </x:c>
      <x:c r="F2199" t="n">
        <x:v>8</x:v>
      </x:c>
      <x:c r="G2199" t="n">
        <x:v>6</x:v>
      </x:c>
      <x:c r="H2199" t="n">
        <x:v>0</x:v>
      </x:c>
      <x:c r="I2199" t="str">
        <x:v>À qualifier par lieu</x:v>
      </x:c>
      <x:c r="J2199" t="str">
        <x:v>https://github.com/darknigthmare/deadwall-last-enclosure/blob/1b3b9c5ba232734b1bda3453b4e20a0481bcdd74/codex-3000/compositions/rural/DW-2194.md</x:v>
      </x:c>
      <x:c r="K2199" t="str">
        <x:v>Source min 58,21 m ; max 58,21 m ; modèle 58 × 22 m ; niveaux 0. Détails dans catalogue-existant.json.</x:v>
      </x:c>
    </x:row>
    <x:row r="2200">
      <x:c r="A2200" t="str">
        <x:v>DW-2195</x:v>
      </x:c>
      <x:c r="B2200" t="str">
        <x:v>DW-0598</x:v>
      </x:c>
      <x:c r="C2200" t="str">
        <x:v>Composition héritée</x:v>
      </x:c>
      <x:c r="D2200" t="str">
        <x:v>rural</x:v>
      </x:c>
      <x:c r="E2200" t="str">
        <x:v>Cabane forestière — variante 02 — Prairie et friche ouverte / relais temporaire envisagé</x:v>
      </x:c>
      <x:c r="F2200" t="n">
        <x:v>8</x:v>
      </x:c>
      <x:c r="G2200" t="n">
        <x:v>4</x:v>
      </x:c>
      <x:c r="H2200" t="n">
        <x:v>0</x:v>
      </x:c>
      <x:c r="I2200" t="str">
        <x:v>À qualifier par lieu</x:v>
      </x:c>
      <x:c r="J2200" t="str">
        <x:v>https://github.com/darknigthmare/deadwall-last-enclosure/blob/1b3b9c5ba232734b1bda3453b4e20a0481bcdd74/codex-3000/compositions/rural/DW-2195.md</x:v>
      </x:c>
      <x:c r="K2200" t="str">
        <x:v>Source min 69,38 m ; max 69,38 m ; modèle 69 × 38 m ; niveaux 0. Détails dans catalogue-existant.json.</x:v>
      </x:c>
    </x:row>
    <x:row r="2201">
      <x:c r="A2201" t="str">
        <x:v>DW-2196</x:v>
      </x:c>
      <x:c r="B2201" t="str">
        <x:v>DW-0598</x:v>
      </x:c>
      <x:c r="C2201" t="str">
        <x:v>Composition héritée</x:v>
      </x:c>
      <x:c r="D2201" t="str">
        <x:v>rural</x:v>
      </x:c>
      <x:c r="E2201" t="str">
        <x:v>Cabane forestière — variante 02 — Hameau / évacuation interrompue</x:v>
      </x:c>
      <x:c r="F2201" t="n">
        <x:v>8</x:v>
      </x:c>
      <x:c r="G2201" t="n">
        <x:v>4</x:v>
      </x:c>
      <x:c r="H2201" t="n">
        <x:v>0</x:v>
      </x:c>
      <x:c r="I2201" t="str">
        <x:v>À qualifier par lieu</x:v>
      </x:c>
      <x:c r="J2201" t="str">
        <x:v>https://github.com/darknigthmare/deadwall-last-enclosure/blob/1b3b9c5ba232734b1bda3453b4e20a0481bcdd74/codex-3000/compositions/rural/DW-2196.md</x:v>
      </x:c>
      <x:c r="K2201" t="str">
        <x:v>Source min 69,38 m ; max 69,38 m ; modèle 69 × 38 m ; niveaux 0. Détails dans catalogue-existant.json.</x:v>
      </x:c>
    </x:row>
    <x:row r="2202">
      <x:c r="A2202" t="str">
        <x:v>DW-2197</x:v>
      </x:c>
      <x:c r="B2202" t="str">
        <x:v>DW-0599</x:v>
      </x:c>
      <x:c r="C2202" t="str">
        <x:v>Composition héritée</x:v>
      </x:c>
      <x:c r="D2202" t="str">
        <x:v>rural</x:v>
      </x:c>
      <x:c r="E2202" t="str">
        <x:v>Dépôt forestier — variante 02 — Petit bois et lisière / réseau principal coupé</x:v>
      </x:c>
      <x:c r="F2202" t="n">
        <x:v>8</x:v>
      </x:c>
      <x:c r="G2202" t="n">
        <x:v>5</x:v>
      </x:c>
      <x:c r="H2202" t="n">
        <x:v>0</x:v>
      </x:c>
      <x:c r="I2202" t="str">
        <x:v>À qualifier par lieu</x:v>
      </x:c>
      <x:c r="J2202" t="str">
        <x:v>https://github.com/darknigthmare/deadwall-last-enclosure/blob/1b3b9c5ba232734b1bda3453b4e20a0481bcdd74/codex-3000/compositions/rural/DW-2197.md</x:v>
      </x:c>
      <x:c r="K2202" t="str">
        <x:v>Source min 80,55 m ; max 80,55 m ; modèle 78 × 55 m ; niveaux 0. Détails dans catalogue-existant.json.</x:v>
      </x:c>
    </x:row>
    <x:row r="2203">
      <x:c r="A2203" t="str">
        <x:v>DW-2198</x:v>
      </x:c>
      <x:c r="B2203" t="str">
        <x:v>DW-0599</x:v>
      </x:c>
      <x:c r="C2203" t="str">
        <x:v>Composition héritée</x:v>
      </x:c>
      <x:c r="D2203" t="str">
        <x:v>rural</x:v>
      </x:c>
      <x:c r="E2203" t="str">
        <x:v>Dépôt forestier — variante 02 — Ferme, verger et pâtures / arrêt de maintenance</x:v>
      </x:c>
      <x:c r="F2203" t="n">
        <x:v>8</x:v>
      </x:c>
      <x:c r="G2203" t="n">
        <x:v>5</x:v>
      </x:c>
      <x:c r="H2203" t="n">
        <x:v>0</x:v>
      </x:c>
      <x:c r="I2203" t="str">
        <x:v>À qualifier par lieu</x:v>
      </x:c>
      <x:c r="J2203" t="str">
        <x:v>https://github.com/darknigthmare/deadwall-last-enclosure/blob/1b3b9c5ba232734b1bda3453b4e20a0481bcdd74/codex-3000/compositions/rural/DW-2198.md</x:v>
      </x:c>
      <x:c r="K2203" t="str">
        <x:v>Source min 80,55 m ; max 80,55 m ; modèle 78 × 55 m ; niveaux 0. Détails dans catalogue-existant.json.</x:v>
      </x:c>
    </x:row>
    <x:row r="2204">
      <x:c r="A2204" t="str">
        <x:v>DW-2199</x:v>
      </x:c>
      <x:c r="B2204" t="str">
        <x:v>DW-0600</x:v>
      </x:c>
      <x:c r="C2204" t="str">
        <x:v>Composition héritée</x:v>
      </x:c>
      <x:c r="D2204" t="str">
        <x:v>rural</x:v>
      </x:c>
      <x:c r="E2204" t="str">
        <x:v>Ferme céréalière — variante 02 — Hameau / repli organisé interrompu</x:v>
      </x:c>
      <x:c r="F2204" t="n">
        <x:v>8</x:v>
      </x:c>
      <x:c r="G2204" t="n">
        <x:v>5</x:v>
      </x:c>
      <x:c r="H2204" t="n">
        <x:v>0</x:v>
      </x:c>
      <x:c r="I2204" t="str">
        <x:v>À qualifier par lieu</x:v>
      </x:c>
      <x:c r="J2204" t="str">
        <x:v>https://github.com/darknigthmare/deadwall-last-enclosure/blob/1b3b9c5ba232734b1bda3453b4e20a0481bcdd74/codex-3000/compositions/rural/DW-2199.md</x:v>
      </x:c>
      <x:c r="K2204" t="str">
        <x:v>Source min 19,18 m ; max 19,18 m ; modèle 26 × 22 m ; niveaux 0. Détails dans catalogue-existant.json.</x:v>
      </x:c>
    </x:row>
    <x:row r="2205">
      <x:c r="A2205" t="str">
        <x:v>DW-2200</x:v>
      </x:c>
      <x:c r="B2205" t="str">
        <x:v>DW-0600</x:v>
      </x:c>
      <x:c r="C2205" t="str">
        <x:v>Composition héritée</x:v>
      </x:c>
      <x:c r="D2205" t="str">
        <x:v>rural</x:v>
      </x:c>
      <x:c r="E2205" t="str">
        <x:v>Ferme céréalière — variante 02 — Prairie et friche ouverte / première récupération passée</x:v>
      </x:c>
      <x:c r="F2205" t="n">
        <x:v>8</x:v>
      </x:c>
      <x:c r="G2205" t="n">
        <x:v>5</x:v>
      </x:c>
      <x:c r="H2205" t="n">
        <x:v>0</x:v>
      </x:c>
      <x:c r="I2205" t="str">
        <x:v>À qualifier par lieu</x:v>
      </x:c>
      <x:c r="J2205" t="str">
        <x:v>https://github.com/darknigthmare/deadwall-last-enclosure/blob/1b3b9c5ba232734b1bda3453b4e20a0481bcdd74/codex-3000/compositions/rural/DW-2200.md</x:v>
      </x:c>
      <x:c r="K2205" t="str">
        <x:v>Source min 19,18 m ; max 19,18 m ; modèle 26 × 22 m ; niveaux 0. Détails dans catalogue-existant.json.</x:v>
      </x:c>
    </x:row>
    <x:row r="2206">
      <x:c r="A2206" t="str">
        <x:v>DW-2201</x:v>
      </x:c>
      <x:c r="B2206" t="str">
        <x:v>DW-0601</x:v>
      </x:c>
      <x:c r="C2206" t="str">
        <x:v>Composition héritée</x:v>
      </x:c>
      <x:c r="D2206" t="str">
        <x:v>rural</x:v>
      </x:c>
      <x:c r="E2206" t="str">
        <x:v>Ferme d'élevage — variante 02 — Ferme, verger et pâtures / évacuation interrompue</x:v>
      </x:c>
      <x:c r="F2206" t="n">
        <x:v>8</x:v>
      </x:c>
      <x:c r="G2206" t="n">
        <x:v>5</x:v>
      </x:c>
      <x:c r="H2206" t="n">
        <x:v>0</x:v>
      </x:c>
      <x:c r="I2206" t="str">
        <x:v>À qualifier par lieu</x:v>
      </x:c>
      <x:c r="J2206" t="str">
        <x:v>https://github.com/darknigthmare/deadwall-last-enclosure/blob/1b3b9c5ba232734b1bda3453b4e20a0481bcdd74/codex-3000/compositions/rural/DW-2201.md</x:v>
      </x:c>
      <x:c r="K2206" t="str">
        <x:v>Source min 30,35 m ; max 30,35 m ; modèle 30 × 35 m ; niveaux 0. Détails dans catalogue-existant.json.</x:v>
      </x:c>
    </x:row>
    <x:row r="2207">
      <x:c r="A2207" t="str">
        <x:v>DW-2202</x:v>
      </x:c>
      <x:c r="B2207" t="str">
        <x:v>DW-0601</x:v>
      </x:c>
      <x:c r="C2207" t="str">
        <x:v>Composition héritée</x:v>
      </x:c>
      <x:c r="D2207" t="str">
        <x:v>rural</x:v>
      </x:c>
      <x:c r="E2207" t="str">
        <x:v>Ferme d'élevage — variante 02 — Petit bois et lisière / service déplacé à l’arrière</x:v>
      </x:c>
      <x:c r="F2207" t="n">
        <x:v>8</x:v>
      </x:c>
      <x:c r="G2207" t="n">
        <x:v>5</x:v>
      </x:c>
      <x:c r="H2207" t="n">
        <x:v>0</x:v>
      </x:c>
      <x:c r="I2207" t="str">
        <x:v>À qualifier par lieu</x:v>
      </x:c>
      <x:c r="J2207" t="str">
        <x:v>https://github.com/darknigthmare/deadwall-last-enclosure/blob/1b3b9c5ba232734b1bda3453b4e20a0481bcdd74/codex-3000/compositions/rural/DW-2202.md</x:v>
      </x:c>
      <x:c r="K2207" t="str">
        <x:v>Source min 30,35 m ; max 30,35 m ; modèle 30 × 35 m ; niveaux 0. Détails dans catalogue-existant.json.</x:v>
      </x:c>
    </x:row>
    <x:row r="2208">
      <x:c r="A2208" t="str">
        <x:v>DW-2203</x:v>
      </x:c>
      <x:c r="B2208" t="str">
        <x:v>DW-0602</x:v>
      </x:c>
      <x:c r="C2208" t="str">
        <x:v>Composition héritée</x:v>
      </x:c>
      <x:c r="D2208" t="str">
        <x:v>rural</x:v>
      </x:c>
      <x:c r="E2208" t="str">
        <x:v>Relais de chasse — variante 02 — Prairie et friche ouverte / arrêt de maintenance</x:v>
      </x:c>
      <x:c r="F2208" t="n">
        <x:v>8</x:v>
      </x:c>
      <x:c r="G2208" t="n">
        <x:v>4</x:v>
      </x:c>
      <x:c r="H2208" t="n">
        <x:v>0</x:v>
      </x:c>
      <x:c r="I2208" t="str">
        <x:v>À qualifier par lieu</x:v>
      </x:c>
      <x:c r="J2208" t="str">
        <x:v>https://github.com/darknigthmare/deadwall-last-enclosure/blob/1b3b9c5ba232734b1bda3453b4e20a0481bcdd74/codex-3000/compositions/rural/DW-2203.md</x:v>
      </x:c>
      <x:c r="K2208" t="str">
        <x:v>Source min 41,52 m ; max 41,52 m ; modèle 41 × 52 m ; niveaux 0. Détails dans catalogue-existant.json.</x:v>
      </x:c>
    </x:row>
    <x:row r="2209">
      <x:c r="A2209" t="str">
        <x:v>DW-2204</x:v>
      </x:c>
      <x:c r="B2209" t="str">
        <x:v>DW-0602</x:v>
      </x:c>
      <x:c r="C2209" t="str">
        <x:v>Composition héritée</x:v>
      </x:c>
      <x:c r="D2209" t="str">
        <x:v>rural</x:v>
      </x:c>
      <x:c r="E2209" t="str">
        <x:v>Relais de chasse — variante 02 — Hameau / reprise progressive de la végétation</x:v>
      </x:c>
      <x:c r="F2209" t="n">
        <x:v>8</x:v>
      </x:c>
      <x:c r="G2209" t="n">
        <x:v>4</x:v>
      </x:c>
      <x:c r="H2209" t="n">
        <x:v>0</x:v>
      </x:c>
      <x:c r="I2209" t="str">
        <x:v>À qualifier par lieu</x:v>
      </x:c>
      <x:c r="J2209" t="str">
        <x:v>https://github.com/darknigthmare/deadwall-last-enclosure/blob/1b3b9c5ba232734b1bda3453b4e20a0481bcdd74/codex-3000/compositions/rural/DW-2204.md</x:v>
      </x:c>
      <x:c r="K2209" t="str">
        <x:v>Source min 41,52 m ; max 41,52 m ; modèle 41 × 52 m ; niveaux 0. Détails dans catalogue-existant.json.</x:v>
      </x:c>
    </x:row>
    <x:row r="2210">
      <x:c r="A2210" t="str">
        <x:v>DW-2205</x:v>
      </x:c>
      <x:c r="B2210" t="str">
        <x:v>DW-0603</x:v>
      </x:c>
      <x:c r="C2210" t="str">
        <x:v>Composition héritée</x:v>
      </x:c>
      <x:c r="D2210" t="str">
        <x:v>rural</x:v>
      </x:c>
      <x:c r="E2210" t="str">
        <x:v>Moulin rural — variante 02 — Petit bois et lisière / première récupération passée</x:v>
      </x:c>
      <x:c r="F2210" t="n">
        <x:v>8</x:v>
      </x:c>
      <x:c r="G2210" t="n">
        <x:v>4</x:v>
      </x:c>
      <x:c r="H2210" t="n">
        <x:v>0</x:v>
      </x:c>
      <x:c r="I2210" t="str">
        <x:v>À qualifier par lieu</x:v>
      </x:c>
      <x:c r="J2210" t="str">
        <x:v>https://github.com/darknigthmare/deadwall-last-enclosure/blob/1b3b9c5ba232734b1bda3453b4e20a0481bcdd74/codex-3000/compositions/rural/DW-2205.md</x:v>
      </x:c>
      <x:c r="K2210" t="str">
        <x:v>Source min 52,15 m ; max 52,15 m ; modèle 52 × 18 m ; niveaux 0. Détails dans catalogue-existant.json.</x:v>
      </x:c>
    </x:row>
    <x:row r="2211">
      <x:c r="A2211" t="str">
        <x:v>DW-2206</x:v>
      </x:c>
      <x:c r="B2211" t="str">
        <x:v>DW-0603</x:v>
      </x:c>
      <x:c r="C2211" t="str">
        <x:v>Composition héritée</x:v>
      </x:c>
      <x:c r="D2211" t="str">
        <x:v>rural</x:v>
      </x:c>
      <x:c r="E2211" t="str">
        <x:v>Moulin rural — variante 02 — Ferme, verger et pâtures / relais temporaire envisagé</x:v>
      </x:c>
      <x:c r="F2211" t="n">
        <x:v>8</x:v>
      </x:c>
      <x:c r="G2211" t="n">
        <x:v>4</x:v>
      </x:c>
      <x:c r="H2211" t="n">
        <x:v>0</x:v>
      </x:c>
      <x:c r="I2211" t="str">
        <x:v>À qualifier par lieu</x:v>
      </x:c>
      <x:c r="J2211" t="str">
        <x:v>https://github.com/darknigthmare/deadwall-last-enclosure/blob/1b3b9c5ba232734b1bda3453b4e20a0481bcdd74/codex-3000/compositions/rural/DW-2206.md</x:v>
      </x:c>
      <x:c r="K2211" t="str">
        <x:v>Source min 52,15 m ; max 52,15 m ; modèle 52 × 18 m ; niveaux 0. Détails dans catalogue-existant.json.</x:v>
      </x:c>
    </x:row>
    <x:row r="2212">
      <x:c r="A2212" t="str">
        <x:v>DW-2207</x:v>
      </x:c>
      <x:c r="B2212" t="str">
        <x:v>DW-0604</x:v>
      </x:c>
      <x:c r="C2212" t="str">
        <x:v>Composition héritée</x:v>
      </x:c>
      <x:c r="D2212" t="str">
        <x:v>rural</x:v>
      </x:c>
      <x:c r="E2212" t="str">
        <x:v>Serres maraîchères — variante 02 — Hameau / service déplacé à l’arrière</x:v>
      </x:c>
      <x:c r="F2212" t="n">
        <x:v>8</x:v>
      </x:c>
      <x:c r="G2212" t="n">
        <x:v>5</x:v>
      </x:c>
      <x:c r="H2212" t="n">
        <x:v>0</x:v>
      </x:c>
      <x:c r="I2212" t="str">
        <x:v>À qualifier par lieu</x:v>
      </x:c>
      <x:c r="J2212" t="str">
        <x:v>https://github.com/darknigthmare/deadwall-last-enclosure/blob/1b3b9c5ba232734b1bda3453b4e20a0481bcdd74/codex-3000/compositions/rural/DW-2207.md</x:v>
      </x:c>
      <x:c r="K2212" t="str">
        <x:v>Source min 63,32 m ; max 63,32 m ; modèle 63 × 32 m ; niveaux 0. Détails dans catalogue-existant.json.</x:v>
      </x:c>
    </x:row>
    <x:row r="2213">
      <x:c r="A2213" t="str">
        <x:v>DW-2208</x:v>
      </x:c>
      <x:c r="B2213" t="str">
        <x:v>DW-0604</x:v>
      </x:c>
      <x:c r="C2213" t="str">
        <x:v>Composition héritée</x:v>
      </x:c>
      <x:c r="D2213" t="str">
        <x:v>rural</x:v>
      </x:c>
      <x:c r="E2213" t="str">
        <x:v>Serres maraîchères — variante 02 — Prairie et friche ouverte / réseau principal coupé</x:v>
      </x:c>
      <x:c r="F2213" t="n">
        <x:v>8</x:v>
      </x:c>
      <x:c r="G2213" t="n">
        <x:v>5</x:v>
      </x:c>
      <x:c r="H2213" t="n">
        <x:v>0</x:v>
      </x:c>
      <x:c r="I2213" t="str">
        <x:v>À qualifier par lieu</x:v>
      </x:c>
      <x:c r="J2213" t="str">
        <x:v>https://github.com/darknigthmare/deadwall-last-enclosure/blob/1b3b9c5ba232734b1bda3453b4e20a0481bcdd74/codex-3000/compositions/rural/DW-2208.md</x:v>
      </x:c>
      <x:c r="K2213" t="str">
        <x:v>Source min 63,32 m ; max 63,32 m ; modèle 63 × 32 m ; niveaux 0. Détails dans catalogue-existant.json.</x:v>
      </x:c>
    </x:row>
    <x:row r="2214">
      <x:c r="A2214" t="str">
        <x:v>DW-2209</x:v>
      </x:c>
      <x:c r="B2214" t="str">
        <x:v>DW-0605</x:v>
      </x:c>
      <x:c r="C2214" t="str">
        <x:v>Composition héritée</x:v>
      </x:c>
      <x:c r="D2214" t="str">
        <x:v>militaire</x:v>
      </x:c>
      <x:c r="E2214" t="str">
        <x:v>Bunker de défense civile — variante 02 — Grand camp allié / reprise progressive de la végétation</x:v>
      </x:c>
      <x:c r="F2214" t="n">
        <x:v>10</x:v>
      </x:c>
      <x:c r="G2214" t="n">
        <x:v>6</x:v>
      </x:c>
      <x:c r="H2214" t="n">
        <x:v>0</x:v>
      </x:c>
      <x:c r="I2214" t="str">
        <x:v>À qualifier par lieu</x:v>
      </x:c>
      <x:c r="J2214" t="str">
        <x:v>https://github.com/darknigthmare/deadwall-last-enclosure/blob/1b3b9c5ba232734b1bda3453b4e20a0481bcdd74/codex-3000/compositions/militaire/DW-2209.md</x:v>
      </x:c>
      <x:c r="K2214" t="str">
        <x:v>Source min 74,49 m ; max 74,49 m ; modèle 74 × 49 m ; niveaux 0, 1. Détails dans catalogue-existant.json.</x:v>
      </x:c>
    </x:row>
    <x:row r="2215">
      <x:c r="A2215" t="str">
        <x:v>DW-2210</x:v>
      </x:c>
      <x:c r="B2215" t="str">
        <x:v>DW-0605</x:v>
      </x:c>
      <x:c r="C2215" t="str">
        <x:v>Composition héritée</x:v>
      </x:c>
      <x:c r="D2215" t="str">
        <x:v>militaire</x:v>
      </x:c>
      <x:c r="E2215" t="str">
        <x:v>Bunker de défense civile — variante 02 — Camp de fortune / repli organisé interrompu</x:v>
      </x:c>
      <x:c r="F2215" t="n">
        <x:v>8</x:v>
      </x:c>
      <x:c r="G2215" t="n">
        <x:v>6</x:v>
      </x:c>
      <x:c r="H2215" t="n">
        <x:v>0</x:v>
      </x:c>
      <x:c r="I2215" t="str">
        <x:v>À qualifier par lieu</x:v>
      </x:c>
      <x:c r="J2215" t="str">
        <x:v>https://github.com/darknigthmare/deadwall-last-enclosure/blob/1b3b9c5ba232734b1bda3453b4e20a0481bcdd74/codex-3000/compositions/militaire/DW-2210.md</x:v>
      </x:c>
      <x:c r="K2215" t="str">
        <x:v>Source min 74,49 m ; max 74,49 m ; modèle 74 × 49 m ; niveaux 0, 1. Détails dans catalogue-existant.json.</x:v>
      </x:c>
    </x:row>
    <x:row r="2216">
      <x:c r="A2216" t="str">
        <x:v>DW-2211</x:v>
      </x:c>
      <x:c r="B2216" t="str">
        <x:v>DW-0606</x:v>
      </x:c>
      <x:c r="C2216" t="str">
        <x:v>Composition héritée</x:v>
      </x:c>
      <x:c r="D2216" t="str">
        <x:v>militaire</x:v>
      </x:c>
      <x:c r="E2216" t="str">
        <x:v>Dépôt militaire — variante 02 — Camp hostile / relais temporaire envisagé</x:v>
      </x:c>
      <x:c r="F2216" t="n">
        <x:v>10</x:v>
      </x:c>
      <x:c r="G2216" t="n">
        <x:v>5</x:v>
      </x:c>
      <x:c r="H2216" t="n">
        <x:v>0</x:v>
      </x:c>
      <x:c r="I2216" t="str">
        <x:v>À qualifier par lieu</x:v>
      </x:c>
      <x:c r="J2216" t="str">
        <x:v>https://github.com/darknigthmare/deadwall-last-enclosure/blob/1b3b9c5ba232734b1bda3453b4e20a0481bcdd74/codex-3000/compositions/militaire/DW-2211.md</x:v>
      </x:c>
      <x:c r="K2216" t="str">
        <x:v>Source min 13,12 m ; max 13,12 m ; modèle 26 × 22 m ; niveaux 0. Détails dans catalogue-existant.json.</x:v>
      </x:c>
    </x:row>
    <x:row r="2217">
      <x:c r="A2217" t="str">
        <x:v>DW-2212</x:v>
      </x:c>
      <x:c r="B2217" t="str">
        <x:v>DW-0606</x:v>
      </x:c>
      <x:c r="C2217" t="str">
        <x:v>Composition héritée</x:v>
      </x:c>
      <x:c r="D2217" t="str">
        <x:v>militaire</x:v>
      </x:c>
      <x:c r="E2217" t="str">
        <x:v>Dépôt militaire — variante 02 — Centre d’évacuation abandonné / évacuation interrompue</x:v>
      </x:c>
      <x:c r="F2217" t="n">
        <x:v>8</x:v>
      </x:c>
      <x:c r="G2217" t="n">
        <x:v>5</x:v>
      </x:c>
      <x:c r="H2217" t="n">
        <x:v>0</x:v>
      </x:c>
      <x:c r="I2217" t="str">
        <x:v>À qualifier par lieu</x:v>
      </x:c>
      <x:c r="J2217" t="str">
        <x:v>https://github.com/darknigthmare/deadwall-last-enclosure/blob/1b3b9c5ba232734b1bda3453b4e20a0481bcdd74/codex-3000/compositions/militaire/DW-2212.md</x:v>
      </x:c>
      <x:c r="K2217" t="str">
        <x:v>Source min 13,12 m ; max 13,12 m ; modèle 26 × 22 m ; niveaux 0. Détails dans catalogue-existant.json.</x:v>
      </x:c>
    </x:row>
    <x:row r="2218">
      <x:c r="A2218" t="str">
        <x:v>DW-2213</x:v>
      </x:c>
      <x:c r="B2218" t="str">
        <x:v>DW-0607</x:v>
      </x:c>
      <x:c r="C2218" t="str">
        <x:v>Composition héritée</x:v>
      </x:c>
      <x:c r="D2218" t="str">
        <x:v>militaire</x:v>
      </x:c>
      <x:c r="E2218" t="str">
        <x:v>Poste de contrôle — variante 02 — Camp de fortune / réseau principal coupé</x:v>
      </x:c>
      <x:c r="F2218" t="n">
        <x:v>8</x:v>
      </x:c>
      <x:c r="G2218" t="n">
        <x:v>5</x:v>
      </x:c>
      <x:c r="H2218" t="n">
        <x:v>0</x:v>
      </x:c>
      <x:c r="I2218" t="str">
        <x:v>À qualifier par lieu</x:v>
      </x:c>
      <x:c r="J2218" t="str">
        <x:v>https://github.com/darknigthmare/deadwall-last-enclosure/blob/1b3b9c5ba232734b1bda3453b4e20a0481bcdd74/codex-3000/compositions/militaire/DW-2213.md</x:v>
      </x:c>
      <x:c r="K2218" t="str">
        <x:v>Source min 24,29 m ; max 24,29 m ; modèle 26 × 29 m ; niveaux 0. Détails dans catalogue-existant.json.</x:v>
      </x:c>
    </x:row>
    <x:row r="2219">
      <x:c r="A2219" t="str">
        <x:v>DW-2214</x:v>
      </x:c>
      <x:c r="B2219" t="str">
        <x:v>DW-0607</x:v>
      </x:c>
      <x:c r="C2219" t="str">
        <x:v>Composition héritée</x:v>
      </x:c>
      <x:c r="D2219" t="str">
        <x:v>militaire</x:v>
      </x:c>
      <x:c r="E2219" t="str">
        <x:v>Poste de contrôle — variante 02 — Grand camp allié / arrêt de maintenance</x:v>
      </x:c>
      <x:c r="F2219" t="n">
        <x:v>10</x:v>
      </x:c>
      <x:c r="G2219" t="n">
        <x:v>5</x:v>
      </x:c>
      <x:c r="H2219" t="n">
        <x:v>0</x:v>
      </x:c>
      <x:c r="I2219" t="str">
        <x:v>À qualifier par lieu</x:v>
      </x:c>
      <x:c r="J2219" t="str">
        <x:v>https://github.com/darknigthmare/deadwall-last-enclosure/blob/1b3b9c5ba232734b1bda3453b4e20a0481bcdd74/codex-3000/compositions/militaire/DW-2214.md</x:v>
      </x:c>
      <x:c r="K2219" t="str">
        <x:v>Source min 24,29 m ; max 24,29 m ; modèle 26 × 29 m ; niveaux 0. Détails dans catalogue-existant.json.</x:v>
      </x:c>
    </x:row>
    <x:row r="2220">
      <x:c r="A2220" t="str">
        <x:v>DW-2215</x:v>
      </x:c>
      <x:c r="B2220" t="str">
        <x:v>DW-0608</x:v>
      </x:c>
      <x:c r="C2220" t="str">
        <x:v>Composition héritée</x:v>
      </x:c>
      <x:c r="D2220" t="str">
        <x:v>militaire</x:v>
      </x:c>
      <x:c r="E2220" t="str">
        <x:v>Camp retranché abandonné — variante 02 — Centre d’évacuation abandonné / repli organisé interrompu</x:v>
      </x:c>
      <x:c r="F2220" t="n">
        <x:v>8</x:v>
      </x:c>
      <x:c r="G2220" t="n">
        <x:v>5</x:v>
      </x:c>
      <x:c r="H2220" t="n">
        <x:v>0</x:v>
      </x:c>
      <x:c r="I2220" t="str">
        <x:v>À qualifier par lieu</x:v>
      </x:c>
      <x:c r="J2220" t="str">
        <x:v>https://github.com/darknigthmare/deadwall-last-enclosure/blob/1b3b9c5ba232734b1bda3453b4e20a0481bcdd74/codex-3000/compositions/militaire/DW-2215.md</x:v>
      </x:c>
      <x:c r="K2220" t="str">
        <x:v>Source min 35,46 m ; max 35,46 m ; modèle 35 × 46 m ; niveaux 0. Détails dans catalogue-existant.json.</x:v>
      </x:c>
    </x:row>
    <x:row r="2221">
      <x:c r="A2221" t="str">
        <x:v>DW-2216</x:v>
      </x:c>
      <x:c r="B2221" t="str">
        <x:v>DW-0608</x:v>
      </x:c>
      <x:c r="C2221" t="str">
        <x:v>Composition héritée</x:v>
      </x:c>
      <x:c r="D2221" t="str">
        <x:v>militaire</x:v>
      </x:c>
      <x:c r="E2221" t="str">
        <x:v>Camp retranché abandonné — variante 02 — Camp hostile / première récupération passée</x:v>
      </x:c>
      <x:c r="F2221" t="n">
        <x:v>10</x:v>
      </x:c>
      <x:c r="G2221" t="n">
        <x:v>5</x:v>
      </x:c>
      <x:c r="H2221" t="n">
        <x:v>0</x:v>
      </x:c>
      <x:c r="I2221" t="str">
        <x:v>À qualifier par lieu</x:v>
      </x:c>
      <x:c r="J2221" t="str">
        <x:v>https://github.com/darknigthmare/deadwall-last-enclosure/blob/1b3b9c5ba232734b1bda3453b4e20a0481bcdd74/codex-3000/compositions/militaire/DW-2216.md</x:v>
      </x:c>
      <x:c r="K2221" t="str">
        <x:v>Source min 35,46 m ; max 35,46 m ; modèle 35 × 46 m ; niveaux 0. Détails dans catalogue-existant.json.</x:v>
      </x:c>
    </x:row>
    <x:row r="2222">
      <x:c r="A2222" t="str">
        <x:v>DW-2217</x:v>
      </x:c>
      <x:c r="B2222" t="str">
        <x:v>DW-0609</x:v>
      </x:c>
      <x:c r="C2222" t="str">
        <x:v>Composition héritée</x:v>
      </x:c>
      <x:c r="D2222" t="str">
        <x:v>militaire</x:v>
      </x:c>
      <x:c r="E2222" t="str">
        <x:v>Abri ferroviaire — variante 02 — Grand camp allié / évacuation interrompue</x:v>
      </x:c>
      <x:c r="F2222" t="n">
        <x:v>10</x:v>
      </x:c>
      <x:c r="G2222" t="n">
        <x:v>4</x:v>
      </x:c>
      <x:c r="H2222" t="n">
        <x:v>0</x:v>
      </x:c>
      <x:c r="I2222" t="str">
        <x:v>À qualifier par lieu</x:v>
      </x:c>
      <x:c r="J2222" t="str">
        <x:v>https://github.com/darknigthmare/deadwall-last-enclosure/blob/1b3b9c5ba232734b1bda3453b4e20a0481bcdd74/codex-3000/compositions/militaire/DW-2217.md</x:v>
      </x:c>
      <x:c r="K2222" t="str">
        <x:v>Source min 46,9 m ; max 46,9 m ; modèle 46 × 18 m ; niveaux 0. Détails dans catalogue-existant.json.</x:v>
      </x:c>
    </x:row>
    <x:row r="2223">
      <x:c r="A2223" t="str">
        <x:v>DW-2218</x:v>
      </x:c>
      <x:c r="B2223" t="str">
        <x:v>DW-0609</x:v>
      </x:c>
      <x:c r="C2223" t="str">
        <x:v>Composition héritée</x:v>
      </x:c>
      <x:c r="D2223" t="str">
        <x:v>militaire</x:v>
      </x:c>
      <x:c r="E2223" t="str">
        <x:v>Abri ferroviaire — variante 02 — Camp de fortune / service déplacé à l’arrière</x:v>
      </x:c>
      <x:c r="F2223" t="n">
        <x:v>8</x:v>
      </x:c>
      <x:c r="G2223" t="n">
        <x:v>4</x:v>
      </x:c>
      <x:c r="H2223" t="n">
        <x:v>0</x:v>
      </x:c>
      <x:c r="I2223" t="str">
        <x:v>À qualifier par lieu</x:v>
      </x:c>
      <x:c r="J2223" t="str">
        <x:v>https://github.com/darknigthmare/deadwall-last-enclosure/blob/1b3b9c5ba232734b1bda3453b4e20a0481bcdd74/codex-3000/compositions/militaire/DW-2218.md</x:v>
      </x:c>
      <x:c r="K2223" t="str">
        <x:v>Source min 46,9 m ; max 46,9 m ; modèle 46 × 18 m ; niveaux 0. Détails dans catalogue-existant.json.</x:v>
      </x:c>
    </x:row>
    <x:row r="2224">
      <x:c r="A2224" t="str">
        <x:v>DW-2219</x:v>
      </x:c>
      <x:c r="B2224" t="str">
        <x:v>DW-0610</x:v>
      </x:c>
      <x:c r="C2224" t="str">
        <x:v>Composition héritée</x:v>
      </x:c>
      <x:c r="D2224" t="str">
        <x:v>militaire</x:v>
      </x:c>
      <x:c r="E2224" t="str">
        <x:v>Site radar — variante 02 — Camp hostile / arrêt de maintenance</x:v>
      </x:c>
      <x:c r="F2224" t="n">
        <x:v>10</x:v>
      </x:c>
      <x:c r="G2224" t="n">
        <x:v>5</x:v>
      </x:c>
      <x:c r="H2224" t="n">
        <x:v>0</x:v>
      </x:c>
      <x:c r="I2224" t="str">
        <x:v>À qualifier par lieu</x:v>
      </x:c>
      <x:c r="J2224" t="str">
        <x:v>https://github.com/darknigthmare/deadwall-last-enclosure/blob/1b3b9c5ba232734b1bda3453b4e20a0481bcdd74/codex-3000/compositions/militaire/DW-2219.md</x:v>
      </x:c>
      <x:c r="K2224" t="str">
        <x:v>Source min 57,26 m ; max 57,26 m ; modèle 57 × 26 m ; niveaux 0. Détails dans catalogue-existant.json.</x:v>
      </x:c>
    </x:row>
    <x:row r="2225">
      <x:c r="A2225" t="str">
        <x:v>DW-2220</x:v>
      </x:c>
      <x:c r="B2225" t="str">
        <x:v>DW-0610</x:v>
      </x:c>
      <x:c r="C2225" t="str">
        <x:v>Composition héritée</x:v>
      </x:c>
      <x:c r="D2225" t="str">
        <x:v>militaire</x:v>
      </x:c>
      <x:c r="E2225" t="str">
        <x:v>Site radar — variante 02 — Centre d’évacuation abandonné / reprise progressive de la végétation</x:v>
      </x:c>
      <x:c r="F2225" t="n">
        <x:v>8</x:v>
      </x:c>
      <x:c r="G2225" t="n">
        <x:v>5</x:v>
      </x:c>
      <x:c r="H2225" t="n">
        <x:v>0</x:v>
      </x:c>
      <x:c r="I2225" t="str">
        <x:v>À qualifier par lieu</x:v>
      </x:c>
      <x:c r="J2225" t="str">
        <x:v>https://github.com/darknigthmare/deadwall-last-enclosure/blob/1b3b9c5ba232734b1bda3453b4e20a0481bcdd74/codex-3000/compositions/militaire/DW-2220.md</x:v>
      </x:c>
      <x:c r="K2225" t="str">
        <x:v>Source min 57,26 m ; max 57,26 m ; modèle 57 × 26 m ; niveaux 0. Détails dans catalogue-existant.json.</x:v>
      </x:c>
    </x:row>
    <x:row r="2226">
      <x:c r="A2226" t="str">
        <x:v>DW-2221</x:v>
      </x:c>
      <x:c r="B2226" t="str">
        <x:v>DW-0611</x:v>
      </x:c>
      <x:c r="C2226" t="str">
        <x:v>Composition héritée</x:v>
      </x:c>
      <x:c r="D2226" t="str">
        <x:v>militaire</x:v>
      </x:c>
      <x:c r="E2226" t="str">
        <x:v>Batterie côtière — variante 02 — Camp de fortune / première récupération passée</x:v>
      </x:c>
      <x:c r="F2226" t="n">
        <x:v>8</x:v>
      </x:c>
      <x:c r="G2226" t="n">
        <x:v>4</x:v>
      </x:c>
      <x:c r="H2226" t="n">
        <x:v>0</x:v>
      </x:c>
      <x:c r="I2226" t="str">
        <x:v>À qualifier par lieu</x:v>
      </x:c>
      <x:c r="J2226" t="str">
        <x:v>https://github.com/darknigthmare/deadwall-last-enclosure/blob/1b3b9c5ba232734b1bda3453b4e20a0481bcdd74/codex-3000/compositions/militaire/DW-2221.md</x:v>
      </x:c>
      <x:c r="K2226" t="str">
        <x:v>Source min 68,43 m ; max 68,43 m ; modèle 68 × 43 m ; niveaux 0. Détails dans catalogue-existant.json.</x:v>
      </x:c>
    </x:row>
    <x:row r="2227">
      <x:c r="A2227" t="str">
        <x:v>DW-2222</x:v>
      </x:c>
      <x:c r="B2227" t="str">
        <x:v>DW-0611</x:v>
      </x:c>
      <x:c r="C2227" t="str">
        <x:v>Composition héritée</x:v>
      </x:c>
      <x:c r="D2227" t="str">
        <x:v>militaire</x:v>
      </x:c>
      <x:c r="E2227" t="str">
        <x:v>Batterie côtière — variante 02 — Grand camp allié / relais temporaire envisagé</x:v>
      </x:c>
      <x:c r="F2227" t="n">
        <x:v>10</x:v>
      </x:c>
      <x:c r="G2227" t="n">
        <x:v>4</x:v>
      </x:c>
      <x:c r="H2227" t="n">
        <x:v>0</x:v>
      </x:c>
      <x:c r="I2227" t="str">
        <x:v>À qualifier par lieu</x:v>
      </x:c>
      <x:c r="J2227" t="str">
        <x:v>https://github.com/darknigthmare/deadwall-last-enclosure/blob/1b3b9c5ba232734b1bda3453b4e20a0481bcdd74/codex-3000/compositions/militaire/DW-2222.md</x:v>
      </x:c>
      <x:c r="K2227" t="str">
        <x:v>Source min 68,43 m ; max 68,43 m ; modèle 68 × 43 m ; niveaux 0. Détails dans catalogue-existant.json.</x:v>
      </x:c>
    </x:row>
    <x:row r="2228">
      <x:c r="A2228" t="str">
        <x:v>DW-2223</x:v>
      </x:c>
      <x:c r="B2228" t="str">
        <x:v>DW-0612</x:v>
      </x:c>
      <x:c r="C2228" t="str">
        <x:v>Composition héritée</x:v>
      </x:c>
      <x:c r="D2228" t="str">
        <x:v>militaire</x:v>
      </x:c>
      <x:c r="E2228" t="str">
        <x:v>Dépôt carburant sécurisé — variante 02 — Centre d’évacuation abandonné / service déplacé à l’arrière</x:v>
      </x:c>
      <x:c r="F2228" t="n">
        <x:v>8</x:v>
      </x:c>
      <x:c r="G2228" t="n">
        <x:v>5</x:v>
      </x:c>
      <x:c r="H2228" t="n">
        <x:v>0</x:v>
      </x:c>
      <x:c r="I2228" t="str">
        <x:v>À qualifier par lieu</x:v>
      </x:c>
      <x:c r="J2228" t="str">
        <x:v>https://github.com/darknigthmare/deadwall-last-enclosure/blob/1b3b9c5ba232734b1bda3453b4e20a0481bcdd74/codex-3000/compositions/militaire/DW-2223.md</x:v>
      </x:c>
      <x:c r="K2228" t="str">
        <x:v>Source min 79,60 m ; max 79,60 m ; modèle 78 × 60 m ; niveaux 0. Détails dans catalogue-existant.json.</x:v>
      </x:c>
    </x:row>
    <x:row r="2229">
      <x:c r="A2229" t="str">
        <x:v>DW-2224</x:v>
      </x:c>
      <x:c r="B2229" t="str">
        <x:v>DW-0612</x:v>
      </x:c>
      <x:c r="C2229" t="str">
        <x:v>Composition héritée</x:v>
      </x:c>
      <x:c r="D2229" t="str">
        <x:v>militaire</x:v>
      </x:c>
      <x:c r="E2229" t="str">
        <x:v>Dépôt carburant sécurisé — variante 02 — Camp hostile / réseau principal coupé</x:v>
      </x:c>
      <x:c r="F2229" t="n">
        <x:v>10</x:v>
      </x:c>
      <x:c r="G2229" t="n">
        <x:v>5</x:v>
      </x:c>
      <x:c r="H2229" t="n">
        <x:v>0</x:v>
      </x:c>
      <x:c r="I2229" t="str">
        <x:v>À qualifier par lieu</x:v>
      </x:c>
      <x:c r="J2229" t="str">
        <x:v>https://github.com/darknigthmare/deadwall-last-enclosure/blob/1b3b9c5ba232734b1bda3453b4e20a0481bcdd74/codex-3000/compositions/militaire/DW-2224.md</x:v>
      </x:c>
      <x:c r="K2229" t="str">
        <x:v>Source min 79,60 m ; max 79,60 m ; modèle 78 × 60 m ; niveaux 0. Détails dans catalogue-existant.json.</x:v>
      </x:c>
    </x:row>
    <x:row r="2230">
      <x:c r="A2230" t="str">
        <x:v>DW-2225</x:v>
      </x:c>
      <x:c r="B2230" t="str">
        <x:v>DW-0613</x:v>
      </x:c>
      <x:c r="C2230" t="str">
        <x:v>Composition héritée</x:v>
      </x:c>
      <x:c r="D2230" t="str">
        <x:v>transport</x:v>
      </x:c>
      <x:c r="E2230" t="str">
        <x:v>Gare routière — variante 02 — Station-service et aire routière / reprise progressive de la végétation</x:v>
      </x:c>
      <x:c r="F2230" t="n">
        <x:v>8</x:v>
      </x:c>
      <x:c r="G2230" t="n">
        <x:v>5</x:v>
      </x:c>
      <x:c r="H2230" t="n">
        <x:v>0</x:v>
      </x:c>
      <x:c r="I2230" t="str">
        <x:v>À qualifier par lieu</x:v>
      </x:c>
      <x:c r="J2230" t="str">
        <x:v>https://github.com/darknigthmare/deadwall-last-enclosure/blob/1b3b9c5ba232734b1bda3453b4e20a0481bcdd74/codex-3000/compositions/transport/DW-2225.md</x:v>
      </x:c>
      <x:c r="K2230" t="str">
        <x:v>Source min 18,23 m ; max 18,23 m ; modèle 26 × 23 m ; niveaux 0. Détails dans catalogue-existant.json.</x:v>
      </x:c>
    </x:row>
    <x:row r="2231">
      <x:c r="A2231" t="str">
        <x:v>DW-2226</x:v>
      </x:c>
      <x:c r="B2231" t="str">
        <x:v>DW-0613</x:v>
      </x:c>
      <x:c r="C2231" t="str">
        <x:v>Composition héritée</x:v>
      </x:c>
      <x:c r="D2231" t="str">
        <x:v>transport</x:v>
      </x:c>
      <x:c r="E2231" t="str">
        <x:v>Gare routière — variante 02 — Port marchand / repli organisé interrompu</x:v>
      </x:c>
      <x:c r="F2231" t="n">
        <x:v>10</x:v>
      </x:c>
      <x:c r="G2231" t="n">
        <x:v>5</x:v>
      </x:c>
      <x:c r="H2231" t="n">
        <x:v>0</x:v>
      </x:c>
      <x:c r="I2231" t="str">
        <x:v>À qualifier par lieu</x:v>
      </x:c>
      <x:c r="J2231" t="str">
        <x:v>https://github.com/darknigthmare/deadwall-last-enclosure/blob/1b3b9c5ba232734b1bda3453b4e20a0481bcdd74/codex-3000/compositions/transport/DW-2226.md</x:v>
      </x:c>
      <x:c r="K2231" t="str">
        <x:v>Source min 18,23 m ; max 18,23 m ; modèle 26 × 23 m ; niveaux 0. Détails dans catalogue-existant.json.</x:v>
      </x:c>
    </x:row>
    <x:row r="2232">
      <x:c r="A2232" t="str">
        <x:v>DW-2227</x:v>
      </x:c>
      <x:c r="B2232" t="str">
        <x:v>DW-0614</x:v>
      </x:c>
      <x:c r="C2232" t="str">
        <x:v>Composition héritée</x:v>
      </x:c>
      <x:c r="D2232" t="str">
        <x:v>transport</x:v>
      </x:c>
      <x:c r="E2232" t="str">
        <x:v>Dépôt de bus — variante 02 — Gare et fret / relais temporaire envisagé</x:v>
      </x:c>
      <x:c r="F2232" t="n">
        <x:v>10</x:v>
      </x:c>
      <x:c r="G2232" t="n">
        <x:v>5</x:v>
      </x:c>
      <x:c r="H2232" t="n">
        <x:v>0</x:v>
      </x:c>
      <x:c r="I2232" t="str">
        <x:v>À qualifier par lieu</x:v>
      </x:c>
      <x:c r="J2232" t="str">
        <x:v>https://github.com/darknigthmare/deadwall-last-enclosure/blob/1b3b9c5ba232734b1bda3453b4e20a0481bcdd74/codex-3000/compositions/transport/DW-2227.md</x:v>
      </x:c>
      <x:c r="K2232" t="str">
        <x:v>Source min 29,40 m ; max 29,40 m ; modèle 29 × 40 m ; niveaux 0. Détails dans catalogue-existant.json.</x:v>
      </x:c>
    </x:row>
    <x:row r="2233">
      <x:c r="A2233" t="str">
        <x:v>DW-2228</x:v>
      </x:c>
      <x:c r="B2233" t="str">
        <x:v>DW-0614</x:v>
      </x:c>
      <x:c r="C2233" t="str">
        <x:v>Composition héritée</x:v>
      </x:c>
      <x:c r="D2233" t="str">
        <x:v>transport</x:v>
      </x:c>
      <x:c r="E2233" t="str">
        <x:v>Dépôt de bus — variante 02 — Routes et coutures territoriales / évacuation interrompue</x:v>
      </x:c>
      <x:c r="F2233" t="n">
        <x:v>10</x:v>
      </x:c>
      <x:c r="G2233" t="n">
        <x:v>5</x:v>
      </x:c>
      <x:c r="H2233" t="n">
        <x:v>0</x:v>
      </x:c>
      <x:c r="I2233" t="str">
        <x:v>À qualifier par lieu</x:v>
      </x:c>
      <x:c r="J2233" t="str">
        <x:v>https://github.com/darknigthmare/deadwall-last-enclosure/blob/1b3b9c5ba232734b1bda3453b4e20a0481bcdd74/codex-3000/compositions/transport/DW-2228.md</x:v>
      </x:c>
      <x:c r="K2233" t="str">
        <x:v>Source min 29,40 m ; max 29,40 m ; modèle 29 × 40 m ; niveaux 0. Détails dans catalogue-existant.json.</x:v>
      </x:c>
    </x:row>
    <x:row r="2234">
      <x:c r="A2234" t="str">
        <x:v>DW-2229</x:v>
      </x:c>
      <x:c r="B2234" t="str">
        <x:v>DW-0615</x:v>
      </x:c>
      <x:c r="C2234" t="str">
        <x:v>Composition héritée</x:v>
      </x:c>
      <x:c r="D2234" t="str">
        <x:v>transport</x:v>
      </x:c>
      <x:c r="E2234" t="str">
        <x:v>Gare ferroviaire — variante 02 — Port marchand / réseau principal coupé</x:v>
      </x:c>
      <x:c r="F2234" t="n">
        <x:v>10</x:v>
      </x:c>
      <x:c r="G2234" t="n">
        <x:v>5</x:v>
      </x:c>
      <x:c r="H2234" t="n">
        <x:v>0</x:v>
      </x:c>
      <x:c r="I2234" t="str">
        <x:v>À qualifier par lieu</x:v>
      </x:c>
      <x:c r="J2234" t="str">
        <x:v>https://github.com/darknigthmare/deadwall-last-enclosure/blob/1b3b9c5ba232734b1bda3453b4e20a0481bcdd74/codex-3000/compositions/transport/DW-2229.md</x:v>
      </x:c>
      <x:c r="K2234" t="str">
        <x:v>Source min 40,57 m ; max 40,57 m ; modèle 40 × 57 m ; niveaux 0. Détails dans catalogue-existant.json.</x:v>
      </x:c>
    </x:row>
    <x:row r="2235">
      <x:c r="A2235" t="str">
        <x:v>DW-2230</x:v>
      </x:c>
      <x:c r="B2235" t="str">
        <x:v>DW-0615</x:v>
      </x:c>
      <x:c r="C2235" t="str">
        <x:v>Composition héritée</x:v>
      </x:c>
      <x:c r="D2235" t="str">
        <x:v>transport</x:v>
      </x:c>
      <x:c r="E2235" t="str">
        <x:v>Gare ferroviaire — variante 02 — Station-service et aire routière / arrêt de maintenance</x:v>
      </x:c>
      <x:c r="F2235" t="n">
        <x:v>8</x:v>
      </x:c>
      <x:c r="G2235" t="n">
        <x:v>5</x:v>
      </x:c>
      <x:c r="H2235" t="n">
        <x:v>0</x:v>
      </x:c>
      <x:c r="I2235" t="str">
        <x:v>À qualifier par lieu</x:v>
      </x:c>
      <x:c r="J2235" t="str">
        <x:v>https://github.com/darknigthmare/deadwall-last-enclosure/blob/1b3b9c5ba232734b1bda3453b4e20a0481bcdd74/codex-3000/compositions/transport/DW-2230.md</x:v>
      </x:c>
      <x:c r="K2235" t="str">
        <x:v>Source min 40,57 m ; max 40,57 m ; modèle 40 × 57 m ; niveaux 0. Détails dans catalogue-existant.json.</x:v>
      </x:c>
    </x:row>
    <x:row r="2236">
      <x:c r="A2236" t="str">
        <x:v>DW-2231</x:v>
      </x:c>
      <x:c r="B2236" t="str">
        <x:v>DW-0616</x:v>
      </x:c>
      <x:c r="C2236" t="str">
        <x:v>Composition héritée</x:v>
      </x:c>
      <x:c r="D2236" t="str">
        <x:v>transport</x:v>
      </x:c>
      <x:c r="E2236" t="str">
        <x:v>Aire d'autoroute — variante 02 — Routes et coutures territoriales / repli organisé interrompu</x:v>
      </x:c>
      <x:c r="F2236" t="n">
        <x:v>10</x:v>
      </x:c>
      <x:c r="G2236" t="n">
        <x:v>5</x:v>
      </x:c>
      <x:c r="H2236" t="n">
        <x:v>0</x:v>
      </x:c>
      <x:c r="I2236" t="str">
        <x:v>À qualifier par lieu</x:v>
      </x:c>
      <x:c r="J2236" t="str">
        <x:v>https://github.com/darknigthmare/deadwall-last-enclosure/blob/1b3b9c5ba232734b1bda3453b4e20a0481bcdd74/codex-3000/compositions/transport/DW-2231.md</x:v>
      </x:c>
      <x:c r="K2236" t="str">
        <x:v>Source min 51,20 m ; max 51,20 m ; modèle 51 × 22 m ; niveaux 0. Détails dans catalogue-existant.json.</x:v>
      </x:c>
    </x:row>
    <x:row r="2237">
      <x:c r="A2237" t="str">
        <x:v>DW-2232</x:v>
      </x:c>
      <x:c r="B2237" t="str">
        <x:v>DW-0616</x:v>
      </x:c>
      <x:c r="C2237" t="str">
        <x:v>Composition héritée</x:v>
      </x:c>
      <x:c r="D2237" t="str">
        <x:v>transport</x:v>
      </x:c>
      <x:c r="E2237" t="str">
        <x:v>Aire d'autoroute — variante 02 — Gare et fret / première récupération passée</x:v>
      </x:c>
      <x:c r="F2237" t="n">
        <x:v>10</x:v>
      </x:c>
      <x:c r="G2237" t="n">
        <x:v>5</x:v>
      </x:c>
      <x:c r="H2237" t="n">
        <x:v>0</x:v>
      </x:c>
      <x:c r="I2237" t="str">
        <x:v>À qualifier par lieu</x:v>
      </x:c>
      <x:c r="J2237" t="str">
        <x:v>https://github.com/darknigthmare/deadwall-last-enclosure/blob/1b3b9c5ba232734b1bda3453b4e20a0481bcdd74/codex-3000/compositions/transport/DW-2232.md</x:v>
      </x:c>
      <x:c r="K2237" t="str">
        <x:v>Source min 51,20 m ; max 51,20 m ; modèle 51 × 22 m ; niveaux 0. Détails dans catalogue-existant.json.</x:v>
      </x:c>
    </x:row>
    <x:row r="2238">
      <x:c r="A2238" t="str">
        <x:v>DW-2233</x:v>
      </x:c>
      <x:c r="B2238" t="str">
        <x:v>DW-0617</x:v>
      </x:c>
      <x:c r="C2238" t="str">
        <x:v>Composition héritée</x:v>
      </x:c>
      <x:c r="D2238" t="str">
        <x:v>transport</x:v>
      </x:c>
      <x:c r="E2238" t="str">
        <x:v>Parking silo — variante 02 — Station-service et aire routière / évacuation interrompue</x:v>
      </x:c>
      <x:c r="F2238" t="n">
        <x:v>8</x:v>
      </x:c>
      <x:c r="G2238" t="n">
        <x:v>4</x:v>
      </x:c>
      <x:c r="H2238" t="n">
        <x:v>0</x:v>
      </x:c>
      <x:c r="I2238" t="str">
        <x:v>À qualifier par lieu</x:v>
      </x:c>
      <x:c r="J2238" t="str">
        <x:v>https://github.com/darknigthmare/deadwall-last-enclosure/blob/1b3b9c5ba232734b1bda3453b4e20a0481bcdd74/codex-3000/compositions/transport/DW-2233.md</x:v>
      </x:c>
      <x:c r="K2238" t="str">
        <x:v>Source min 62,37 m ; max 62,37 m ; modèle 62 × 37 m ; niveaux 0. Détails dans catalogue-existant.json.</x:v>
      </x:c>
    </x:row>
    <x:row r="2239">
      <x:c r="A2239" t="str">
        <x:v>DW-2234</x:v>
      </x:c>
      <x:c r="B2239" t="str">
        <x:v>DW-0617</x:v>
      </x:c>
      <x:c r="C2239" t="str">
        <x:v>Composition héritée</x:v>
      </x:c>
      <x:c r="D2239" t="str">
        <x:v>transport</x:v>
      </x:c>
      <x:c r="E2239" t="str">
        <x:v>Parking silo — variante 02 — Port marchand / service déplacé à l’arrière</x:v>
      </x:c>
      <x:c r="F2239" t="n">
        <x:v>10</x:v>
      </x:c>
      <x:c r="G2239" t="n">
        <x:v>4</x:v>
      </x:c>
      <x:c r="H2239" t="n">
        <x:v>0</x:v>
      </x:c>
      <x:c r="I2239" t="str">
        <x:v>À qualifier par lieu</x:v>
      </x:c>
      <x:c r="J2239" t="str">
        <x:v>https://github.com/darknigthmare/deadwall-last-enclosure/blob/1b3b9c5ba232734b1bda3453b4e20a0481bcdd74/codex-3000/compositions/transport/DW-2234.md</x:v>
      </x:c>
      <x:c r="K2239" t="str">
        <x:v>Source min 62,37 m ; max 62,37 m ; modèle 62 × 37 m ; niveaux 0. Détails dans catalogue-existant.json.</x:v>
      </x:c>
    </x:row>
    <x:row r="2240">
      <x:c r="A2240" t="str">
        <x:v>DW-2235</x:v>
      </x:c>
      <x:c r="B2240" t="str">
        <x:v>DW-0618</x:v>
      </x:c>
      <x:c r="C2240" t="str">
        <x:v>Composition héritée</x:v>
      </x:c>
      <x:c r="D2240" t="str">
        <x:v>transport</x:v>
      </x:c>
      <x:c r="E2240" t="str">
        <x:v>Terminal poids lourds — variante 02 — Gare et fret / arrêt de maintenance</x:v>
      </x:c>
      <x:c r="F2240" t="n">
        <x:v>10</x:v>
      </x:c>
      <x:c r="G2240" t="n">
        <x:v>5</x:v>
      </x:c>
      <x:c r="H2240" t="n">
        <x:v>0</x:v>
      </x:c>
      <x:c r="I2240" t="str">
        <x:v>À qualifier par lieu</x:v>
      </x:c>
      <x:c r="J2240" t="str">
        <x:v>https://github.com/darknigthmare/deadwall-last-enclosure/blob/1b3b9c5ba232734b1bda3453b4e20a0481bcdd74/codex-3000/compositions/transport/DW-2235.md</x:v>
      </x:c>
      <x:c r="K2240" t="str">
        <x:v>Source min 73,54 m ; max 73,54 m ; modèle 73 × 54 m ; niveaux 0. Détails dans catalogue-existant.json.</x:v>
      </x:c>
    </x:row>
    <x:row r="2241">
      <x:c r="A2241" t="str">
        <x:v>DW-2236</x:v>
      </x:c>
      <x:c r="B2241" t="str">
        <x:v>DW-0618</x:v>
      </x:c>
      <x:c r="C2241" t="str">
        <x:v>Composition héritée</x:v>
      </x:c>
      <x:c r="D2241" t="str">
        <x:v>transport</x:v>
      </x:c>
      <x:c r="E2241" t="str">
        <x:v>Terminal poids lourds — variante 02 — Routes et coutures territoriales / reprise progressive de la végétation</x:v>
      </x:c>
      <x:c r="F2241" t="n">
        <x:v>10</x:v>
      </x:c>
      <x:c r="G2241" t="n">
        <x:v>5</x:v>
      </x:c>
      <x:c r="H2241" t="n">
        <x:v>0</x:v>
      </x:c>
      <x:c r="I2241" t="str">
        <x:v>À qualifier par lieu</x:v>
      </x:c>
      <x:c r="J2241" t="str">
        <x:v>https://github.com/darknigthmare/deadwall-last-enclosure/blob/1b3b9c5ba232734b1bda3453b4e20a0481bcdd74/codex-3000/compositions/transport/DW-2236.md</x:v>
      </x:c>
      <x:c r="K2241" t="str">
        <x:v>Source min 73,54 m ; max 73,54 m ; modèle 73 × 54 m ; niveaux 0. Détails dans catalogue-existant.json.</x:v>
      </x:c>
    </x:row>
    <x:row r="2242">
      <x:c r="A2242" t="str">
        <x:v>DW-2237</x:v>
      </x:c>
      <x:c r="B2242" t="str">
        <x:v>DW-0619</x:v>
      </x:c>
      <x:c r="C2242" t="str">
        <x:v>Composition héritée</x:v>
      </x:c>
      <x:c r="D2242" t="str">
        <x:v>transport</x:v>
      </x:c>
      <x:c r="E2242" t="str">
        <x:v>Port de plaisance — variante 02 — Port marchand / première récupération passée</x:v>
      </x:c>
      <x:c r="F2242" t="n">
        <x:v>10</x:v>
      </x:c>
      <x:c r="G2242" t="n">
        <x:v>5</x:v>
      </x:c>
      <x:c r="H2242" t="n">
        <x:v>0</x:v>
      </x:c>
      <x:c r="I2242" t="str">
        <x:v>À qualifier par lieu</x:v>
      </x:c>
      <x:c r="J2242" t="str">
        <x:v>https://github.com/darknigthmare/deadwall-last-enclosure/blob/1b3b9c5ba232734b1bda3453b4e20a0481bcdd74/codex-3000/compositions/transport/DW-2237.md</x:v>
      </x:c>
      <x:c r="K2242" t="str">
        <x:v>Source min 12,17 m ; max 12,17 m ; modèle 26 × 22 m ; niveaux 0. Détails dans catalogue-existant.json.</x:v>
      </x:c>
    </x:row>
    <x:row r="2243">
      <x:c r="A2243" t="str">
        <x:v>DW-2238</x:v>
      </x:c>
      <x:c r="B2243" t="str">
        <x:v>DW-0619</x:v>
      </x:c>
      <x:c r="C2243" t="str">
        <x:v>Composition héritée</x:v>
      </x:c>
      <x:c r="D2243" t="str">
        <x:v>transport</x:v>
      </x:c>
      <x:c r="E2243" t="str">
        <x:v>Port de plaisance — variante 02 — Station-service et aire routière / relais temporaire envisagé</x:v>
      </x:c>
      <x:c r="F2243" t="n">
        <x:v>8</x:v>
      </x:c>
      <x:c r="G2243" t="n">
        <x:v>5</x:v>
      </x:c>
      <x:c r="H2243" t="n">
        <x:v>0</x:v>
      </x:c>
      <x:c r="I2243" t="str">
        <x:v>À qualifier par lieu</x:v>
      </x:c>
      <x:c r="J2243" t="str">
        <x:v>https://github.com/darknigthmare/deadwall-last-enclosure/blob/1b3b9c5ba232734b1bda3453b4e20a0481bcdd74/codex-3000/compositions/transport/DW-2238.md</x:v>
      </x:c>
      <x:c r="K2243" t="str">
        <x:v>Source min 12,17 m ; max 12,17 m ; modèle 26 × 22 m ; niveaux 0. Détails dans catalogue-existant.json.</x:v>
      </x:c>
    </x:row>
    <x:row r="2244">
      <x:c r="A2244" t="str">
        <x:v>DW-2239</x:v>
      </x:c>
      <x:c r="B2244" t="str">
        <x:v>DW-0620</x:v>
      </x:c>
      <x:c r="C2244" t="str">
        <x:v>Composition héritée</x:v>
      </x:c>
      <x:c r="D2244" t="str">
        <x:v>transport</x:v>
      </x:c>
      <x:c r="E2244" t="str">
        <x:v>Petit aérodrome — variante 02 — Routes et coutures territoriales / service déplacé à l’arrière</x:v>
      </x:c>
      <x:c r="F2244" t="n">
        <x:v>10</x:v>
      </x:c>
      <x:c r="G2244" t="n">
        <x:v>5</x:v>
      </x:c>
      <x:c r="H2244" t="n">
        <x:v>0</x:v>
      </x:c>
      <x:c r="I2244" t="str">
        <x:v>À qualifier par lieu</x:v>
      </x:c>
      <x:c r="J2244" t="str">
        <x:v>https://github.com/darknigthmare/deadwall-last-enclosure/blob/1b3b9c5ba232734b1bda3453b4e20a0481bcdd74/codex-3000/compositions/transport/DW-2239.md</x:v>
      </x:c>
      <x:c r="K2244" t="str">
        <x:v>Source min 23,34 m ; max 23,34 m ; modèle 26 × 34 m ; niveaux 0. Détails dans catalogue-existant.json.</x:v>
      </x:c>
    </x:row>
    <x:row r="2245">
      <x:c r="A2245" t="str">
        <x:v>DW-2240</x:v>
      </x:c>
      <x:c r="B2245" t="str">
        <x:v>DW-0620</x:v>
      </x:c>
      <x:c r="C2245" t="str">
        <x:v>Composition héritée</x:v>
      </x:c>
      <x:c r="D2245" t="str">
        <x:v>transport</x:v>
      </x:c>
      <x:c r="E2245" t="str">
        <x:v>Petit aérodrome — variante 02 — Gare et fret / réseau principal coupé</x:v>
      </x:c>
      <x:c r="F2245" t="n">
        <x:v>10</x:v>
      </x:c>
      <x:c r="G2245" t="n">
        <x:v>5</x:v>
      </x:c>
      <x:c r="H2245" t="n">
        <x:v>0</x:v>
      </x:c>
      <x:c r="I2245" t="str">
        <x:v>À qualifier par lieu</x:v>
      </x:c>
      <x:c r="J2245" t="str">
        <x:v>https://github.com/darknigthmare/deadwall-last-enclosure/blob/1b3b9c5ba232734b1bda3453b4e20a0481bcdd74/codex-3000/compositions/transport/DW-2240.md</x:v>
      </x:c>
      <x:c r="K2245" t="str">
        <x:v>Source min 23,34 m ; max 23,34 m ; modèle 26 × 34 m ; niveaux 0. Détails dans catalogue-existant.json.</x:v>
      </x:c>
    </x:row>
    <x:row r="2246">
      <x:c r="A2246" t="str">
        <x:v>DW-2241</x:v>
      </x:c>
      <x:c r="B2246" t="str">
        <x:v>DW-0621</x:v>
      </x:c>
      <x:c r="C2246" t="str">
        <x:v>Composition héritée</x:v>
      </x:c>
      <x:c r="D2246" t="str">
        <x:v>ruines</x:v>
      </x:c>
      <x:c r="E2246" t="str">
        <x:v>Maison incendiée — variante 02 — Ruine envahie et reprise végétale / reprise progressive de la végétation</x:v>
      </x:c>
      <x:c r="F2246" t="n">
        <x:v>8</x:v>
      </x:c>
      <x:c r="G2246" t="n">
        <x:v>3</x:v>
      </x:c>
      <x:c r="H2246" t="n">
        <x:v>0</x:v>
      </x:c>
      <x:c r="I2246" t="str">
        <x:v>À qualifier par lieu</x:v>
      </x:c>
      <x:c r="J2246" t="str">
        <x:v>https://github.com/darknigthmare/deadwall-last-enclosure/blob/1b3b9c5ba232734b1bda3453b4e20a0481bcdd74/codex-3000/compositions/ruines/DW-2241.md</x:v>
      </x:c>
      <x:c r="K2246" t="str">
        <x:v>Source min 34,51 m ; max 34,51 m ; modèle 34 × 51 m ; niveaux 0, 1. Détails dans catalogue-existant.json.</x:v>
      </x:c>
    </x:row>
    <x:row r="2247">
      <x:c r="A2247" t="str">
        <x:v>DW-2242</x:v>
      </x:c>
      <x:c r="B2247" t="str">
        <x:v>DW-0621</x:v>
      </x:c>
      <x:c r="C2247" t="str">
        <x:v>Composition héritée</x:v>
      </x:c>
      <x:c r="D2247" t="str">
        <x:v>ruines</x:v>
      </x:c>
      <x:c r="E2247" t="str">
        <x:v>Maison incendiée — variante 02 — Zone industrielle / repli organisé interrompu</x:v>
      </x:c>
      <x:c r="F2247" t="n">
        <x:v>8</x:v>
      </x:c>
      <x:c r="G2247" t="n">
        <x:v>3</x:v>
      </x:c>
      <x:c r="H2247" t="n">
        <x:v>0</x:v>
      </x:c>
      <x:c r="I2247" t="str">
        <x:v>À qualifier par lieu</x:v>
      </x:c>
      <x:c r="J2247" t="str">
        <x:v>https://github.com/darknigthmare/deadwall-last-enclosure/blob/1b3b9c5ba232734b1bda3453b4e20a0481bcdd74/codex-3000/compositions/ruines/DW-2242.md</x:v>
      </x:c>
      <x:c r="K2247" t="str">
        <x:v>Source min 34,51 m ; max 34,51 m ; modèle 34 × 51 m ; niveaux 0, 1. Détails dans catalogue-existant.json.</x:v>
      </x:c>
    </x:row>
    <x:row r="2248">
      <x:c r="A2248" t="str">
        <x:v>DW-2243</x:v>
      </x:c>
      <x:c r="B2248" t="str">
        <x:v>DW-0622</x:v>
      </x:c>
      <x:c r="C2248" t="str">
        <x:v>Composition héritée</x:v>
      </x:c>
      <x:c r="D2248" t="str">
        <x:v>ruines</x:v>
      </x:c>
      <x:c r="E2248" t="str">
        <x:v>Immeuble éventré — variante 02 — Centre ancien / relais temporaire envisagé</x:v>
      </x:c>
      <x:c r="F2248" t="n">
        <x:v>8</x:v>
      </x:c>
      <x:c r="G2248" t="n">
        <x:v>4</x:v>
      </x:c>
      <x:c r="H2248" t="n">
        <x:v>0</x:v>
      </x:c>
      <x:c r="I2248" t="str">
        <x:v>À qualifier par lieu</x:v>
      </x:c>
      <x:c r="J2248" t="str">
        <x:v>https://github.com/darknigthmare/deadwall-last-enclosure/blob/1b3b9c5ba232734b1bda3453b4e20a0481bcdd74/codex-3000/compositions/ruines/DW-2243.md</x:v>
      </x:c>
      <x:c r="K2248" t="str">
        <x:v>Source min 45,14 m ; max 45,14 m ; modèle 45 × 18 m ; niveaux 0, 1, 2. Détails dans catalogue-existant.json.</x:v>
      </x:c>
    </x:row>
    <x:row r="2249">
      <x:c r="A2249" t="str">
        <x:v>DW-2244</x:v>
      </x:c>
      <x:c r="B2249" t="str">
        <x:v>DW-0622</x:v>
      </x:c>
      <x:c r="C2249" t="str">
        <x:v>Composition héritée</x:v>
      </x:c>
      <x:c r="D2249" t="str">
        <x:v>ruines</x:v>
      </x:c>
      <x:c r="E2249" t="str">
        <x:v>Immeuble éventré — variante 02 — Petit bois et lisière / évacuation interrompue</x:v>
      </x:c>
      <x:c r="F2249" t="n">
        <x:v>8</x:v>
      </x:c>
      <x:c r="G2249" t="n">
        <x:v>4</x:v>
      </x:c>
      <x:c r="H2249" t="n">
        <x:v>0</x:v>
      </x:c>
      <x:c r="I2249" t="str">
        <x:v>À qualifier par lieu</x:v>
      </x:c>
      <x:c r="J2249" t="str">
        <x:v>https://github.com/darknigthmare/deadwall-last-enclosure/blob/1b3b9c5ba232734b1bda3453b4e20a0481bcdd74/codex-3000/compositions/ruines/DW-2244.md</x:v>
      </x:c>
      <x:c r="K2249" t="str">
        <x:v>Source min 45,14 m ; max 45,14 m ; modèle 45 × 18 m ; niveaux 0, 1, 2. Détails dans catalogue-existant.json.</x:v>
      </x:c>
    </x:row>
    <x:row r="2250">
      <x:c r="A2250" t="str">
        <x:v>DW-2245</x:v>
      </x:c>
      <x:c r="B2250" t="str">
        <x:v>DW-0623</x:v>
      </x:c>
      <x:c r="C2250" t="str">
        <x:v>Composition héritée</x:v>
      </x:c>
      <x:c r="D2250" t="str">
        <x:v>ruines</x:v>
      </x:c>
      <x:c r="E2250" t="str">
        <x:v>Commerce pillé — variante 02 — Zone industrielle / réseau principal coupé</x:v>
      </x:c>
      <x:c r="F2250" t="n">
        <x:v>8</x:v>
      </x:c>
      <x:c r="G2250" t="n">
        <x:v>4</x:v>
      </x:c>
      <x:c r="H2250" t="n">
        <x:v>0</x:v>
      </x:c>
      <x:c r="I2250" t="str">
        <x:v>À qualifier par lieu</x:v>
      </x:c>
      <x:c r="J2250" t="str">
        <x:v>https://github.com/darknigthmare/deadwall-last-enclosure/blob/1b3b9c5ba232734b1bda3453b4e20a0481bcdd74/codex-3000/compositions/ruines/DW-2245.md</x:v>
      </x:c>
      <x:c r="K2250" t="str">
        <x:v>Source min 56,31 m ; max 56,31 m ; modèle 56 × 31 m ; niveaux 0. Détails dans catalogue-existant.json.</x:v>
      </x:c>
    </x:row>
    <x:row r="2251">
      <x:c r="A2251" t="str">
        <x:v>DW-2246</x:v>
      </x:c>
      <x:c r="B2251" t="str">
        <x:v>DW-0623</x:v>
      </x:c>
      <x:c r="C2251" t="str">
        <x:v>Composition héritée</x:v>
      </x:c>
      <x:c r="D2251" t="str">
        <x:v>ruines</x:v>
      </x:c>
      <x:c r="E2251" t="str">
        <x:v>Commerce pillé — variante 02 — Ruine envahie et reprise végétale / arrêt de maintenance</x:v>
      </x:c>
      <x:c r="F2251" t="n">
        <x:v>8</x:v>
      </x:c>
      <x:c r="G2251" t="n">
        <x:v>4</x:v>
      </x:c>
      <x:c r="H2251" t="n">
        <x:v>0</x:v>
      </x:c>
      <x:c r="I2251" t="str">
        <x:v>À qualifier par lieu</x:v>
      </x:c>
      <x:c r="J2251" t="str">
        <x:v>https://github.com/darknigthmare/deadwall-last-enclosure/blob/1b3b9c5ba232734b1bda3453b4e20a0481bcdd74/codex-3000/compositions/ruines/DW-2246.md</x:v>
      </x:c>
      <x:c r="K2251" t="str">
        <x:v>Source min 56,31 m ; max 56,31 m ; modèle 56 × 31 m ; niveaux 0. Détails dans catalogue-existant.json.</x:v>
      </x:c>
    </x:row>
    <x:row r="2252">
      <x:c r="A2252" t="str">
        <x:v>DW-2247</x:v>
      </x:c>
      <x:c r="B2252" t="str">
        <x:v>DW-0624</x:v>
      </x:c>
      <x:c r="C2252" t="str">
        <x:v>Composition héritée</x:v>
      </x:c>
      <x:c r="D2252" t="str">
        <x:v>ruines</x:v>
      </x:c>
      <x:c r="E2252" t="str">
        <x:v>Usine sinistrée — variante 02 — Petit bois et lisière / repli organisé interrompu</x:v>
      </x:c>
      <x:c r="F2252" t="n">
        <x:v>8</x:v>
      </x:c>
      <x:c r="G2252" t="n">
        <x:v>4</x:v>
      </x:c>
      <x:c r="H2252" t="n">
        <x:v>0</x:v>
      </x:c>
      <x:c r="I2252" t="str">
        <x:v>À qualifier par lieu</x:v>
      </x:c>
      <x:c r="J2252" t="str">
        <x:v>https://github.com/darknigthmare/deadwall-last-enclosure/blob/1b3b9c5ba232734b1bda3453b4e20a0481bcdd74/codex-3000/compositions/ruines/DW-2247.md</x:v>
      </x:c>
      <x:c r="K2252" t="str">
        <x:v>Source min 67,48 m ; max 67,48 m ; modèle 67 × 48 m ; niveaux 0. Détails dans catalogue-existant.json.</x:v>
      </x:c>
    </x:row>
    <x:row r="2253">
      <x:c r="A2253" t="str">
        <x:v>DW-2248</x:v>
      </x:c>
      <x:c r="B2253" t="str">
        <x:v>DW-0624</x:v>
      </x:c>
      <x:c r="C2253" t="str">
        <x:v>Composition héritée</x:v>
      </x:c>
      <x:c r="D2253" t="str">
        <x:v>ruines</x:v>
      </x:c>
      <x:c r="E2253" t="str">
        <x:v>Usine sinistrée — variante 02 — Centre ancien / première récupération passée</x:v>
      </x:c>
      <x:c r="F2253" t="n">
        <x:v>8</x:v>
      </x:c>
      <x:c r="G2253" t="n">
        <x:v>4</x:v>
      </x:c>
      <x:c r="H2253" t="n">
        <x:v>0</x:v>
      </x:c>
      <x:c r="I2253" t="str">
        <x:v>À qualifier par lieu</x:v>
      </x:c>
      <x:c r="J2253" t="str">
        <x:v>https://github.com/darknigthmare/deadwall-last-enclosure/blob/1b3b9c5ba232734b1bda3453b4e20a0481bcdd74/codex-3000/compositions/ruines/DW-2248.md</x:v>
      </x:c>
      <x:c r="K2253" t="str">
        <x:v>Source min 67,48 m ; max 67,48 m ; modèle 67 × 48 m ; niveaux 0. Détails dans catalogue-existant.json.</x:v>
      </x:c>
    </x:row>
    <x:row r="2254">
      <x:c r="A2254" t="str">
        <x:v>DW-2249</x:v>
      </x:c>
      <x:c r="B2254" t="str">
        <x:v>DW-0625</x:v>
      </x:c>
      <x:c r="C2254" t="str">
        <x:v>Composition héritée</x:v>
      </x:c>
      <x:c r="D2254" t="str">
        <x:v>ruines</x:v>
      </x:c>
      <x:c r="E2254" t="str">
        <x:v>Hôtel abandonné — variante 02 — Ruine envahie et reprise végétale / évacuation interrompue</x:v>
      </x:c>
      <x:c r="F2254" t="n">
        <x:v>8</x:v>
      </x:c>
      <x:c r="G2254" t="n">
        <x:v>5</x:v>
      </x:c>
      <x:c r="H2254" t="n">
        <x:v>0</x:v>
      </x:c>
      <x:c r="I2254" t="str">
        <x:v>À qualifier par lieu</x:v>
      </x:c>
      <x:c r="J2254" t="str">
        <x:v>https://github.com/darknigthmare/deadwall-last-enclosure/blob/1b3b9c5ba232734b1bda3453b4e20a0481bcdd74/codex-3000/compositions/ruines/DW-2249.md</x:v>
      </x:c>
      <x:c r="K2254" t="str">
        <x:v>Source min 78,11 m ; max 78,11 m ; modèle 78 × 22 m ; niveaux 0, 1. Détails dans catalogue-existant.json.</x:v>
      </x:c>
    </x:row>
    <x:row r="2255">
      <x:c r="A2255" t="str">
        <x:v>DW-2250</x:v>
      </x:c>
      <x:c r="B2255" t="str">
        <x:v>DW-0625</x:v>
      </x:c>
      <x:c r="C2255" t="str">
        <x:v>Composition héritée</x:v>
      </x:c>
      <x:c r="D2255" t="str">
        <x:v>ruines</x:v>
      </x:c>
      <x:c r="E2255" t="str">
        <x:v>Hôtel abandonné — variante 02 — Zone industrielle / service déplacé à l’arrière</x:v>
      </x:c>
      <x:c r="F2255" t="n">
        <x:v>8</x:v>
      </x:c>
      <x:c r="G2255" t="n">
        <x:v>5</x:v>
      </x:c>
      <x:c r="H2255" t="n">
        <x:v>0</x:v>
      </x:c>
      <x:c r="I2255" t="str">
        <x:v>À qualifier par lieu</x:v>
      </x:c>
      <x:c r="J2255" t="str">
        <x:v>https://github.com/darknigthmare/deadwall-last-enclosure/blob/1b3b9c5ba232734b1bda3453b4e20a0481bcdd74/codex-3000/compositions/ruines/DW-2250.md</x:v>
      </x:c>
      <x:c r="K2255" t="str">
        <x:v>Source min 78,11 m ; max 78,11 m ; modèle 78 × 22 m ; niveaux 0, 1. Détails dans catalogue-existant.json.</x:v>
      </x:c>
    </x:row>
    <x:row r="2256">
      <x:c r="A2256" t="str">
        <x:v>DW-2251</x:v>
      </x:c>
      <x:c r="B2256" t="str">
        <x:v>DW-0626</x:v>
      </x:c>
      <x:c r="C2256" t="str">
        <x:v>Composition héritée</x:v>
      </x:c>
      <x:c r="D2256" t="str">
        <x:v>ruines</x:v>
      </x:c>
      <x:c r="E2256" t="str">
        <x:v>Lotissement ravagé — variante 02 — Centre ancien / arrêt de maintenance</x:v>
      </x:c>
      <x:c r="F2256" t="n">
        <x:v>8</x:v>
      </x:c>
      <x:c r="G2256" t="n">
        <x:v>4</x:v>
      </x:c>
      <x:c r="H2256" t="n">
        <x:v>0</x:v>
      </x:c>
      <x:c r="I2256" t="str">
        <x:v>À qualifier par lieu</x:v>
      </x:c>
      <x:c r="J2256" t="str">
        <x:v>https://github.com/darknigthmare/deadwall-last-enclosure/blob/1b3b9c5ba232734b1bda3453b4e20a0481bcdd74/codex-3000/compositions/ruines/DW-2251.md</x:v>
      </x:c>
      <x:c r="K2256" t="str">
        <x:v>Source min 17,28 m ; max 17,28 m ; modèle 25 × 28 m ; niveaux 0. Détails dans catalogue-existant.json.</x:v>
      </x:c>
    </x:row>
    <x:row r="2257">
      <x:c r="A2257" t="str">
        <x:v>DW-2252</x:v>
      </x:c>
      <x:c r="B2257" t="str">
        <x:v>DW-0626</x:v>
      </x:c>
      <x:c r="C2257" t="str">
        <x:v>Composition héritée</x:v>
      </x:c>
      <x:c r="D2257" t="str">
        <x:v>ruines</x:v>
      </x:c>
      <x:c r="E2257" t="str">
        <x:v>Lotissement ravagé — variante 02 — Petit bois et lisière / reprise progressive de la végétation</x:v>
      </x:c>
      <x:c r="F2257" t="n">
        <x:v>8</x:v>
      </x:c>
      <x:c r="G2257" t="n">
        <x:v>4</x:v>
      </x:c>
      <x:c r="H2257" t="n">
        <x:v>0</x:v>
      </x:c>
      <x:c r="I2257" t="str">
        <x:v>À qualifier par lieu</x:v>
      </x:c>
      <x:c r="J2257" t="str">
        <x:v>https://github.com/darknigthmare/deadwall-last-enclosure/blob/1b3b9c5ba232734b1bda3453b4e20a0481bcdd74/codex-3000/compositions/ruines/DW-2252.md</x:v>
      </x:c>
      <x:c r="K2257" t="str">
        <x:v>Source min 17,28 m ; max 17,28 m ; modèle 25 × 28 m ; niveaux 0. Détails dans catalogue-existant.json.</x:v>
      </x:c>
    </x:row>
    <x:row r="2258">
      <x:c r="A2258" t="str">
        <x:v>DW-2253</x:v>
      </x:c>
      <x:c r="B2258" t="str">
        <x:v>DW-0627</x:v>
      </x:c>
      <x:c r="C2258" t="str">
        <x:v>Composition héritée</x:v>
      </x:c>
      <x:c r="D2258" t="str">
        <x:v>ruines</x:v>
      </x:c>
      <x:c r="E2258" t="str">
        <x:v>Village déserté — variante 02 — Zone industrielle / première récupération passée</x:v>
      </x:c>
      <x:c r="F2258" t="n">
        <x:v>8</x:v>
      </x:c>
      <x:c r="G2258" t="n">
        <x:v>5</x:v>
      </x:c>
      <x:c r="H2258" t="n">
        <x:v>0</x:v>
      </x:c>
      <x:c r="I2258" t="str">
        <x:v>À qualifier par lieu</x:v>
      </x:c>
      <x:c r="J2258" t="str">
        <x:v>https://github.com/darknigthmare/deadwall-last-enclosure/blob/1b3b9c5ba232734b1bda3453b4e20a0481bcdd74/codex-3000/compositions/ruines/DW-2253.md</x:v>
      </x:c>
      <x:c r="K2258" t="str">
        <x:v>Source min 28,45 m ; max 28,45 m ; modèle 28 × 45 m ; niveaux 0. Détails dans catalogue-existant.json.</x:v>
      </x:c>
    </x:row>
    <x:row r="2259">
      <x:c r="A2259" t="str">
        <x:v>DW-2254</x:v>
      </x:c>
      <x:c r="B2259" t="str">
        <x:v>DW-0627</x:v>
      </x:c>
      <x:c r="C2259" t="str">
        <x:v>Composition héritée</x:v>
      </x:c>
      <x:c r="D2259" t="str">
        <x:v>ruines</x:v>
      </x:c>
      <x:c r="E2259" t="str">
        <x:v>Village déserté — variante 02 — Ruine envahie et reprise végétale / relais temporaire envisagé</x:v>
      </x:c>
      <x:c r="F2259" t="n">
        <x:v>8</x:v>
      </x:c>
      <x:c r="G2259" t="n">
        <x:v>5</x:v>
      </x:c>
      <x:c r="H2259" t="n">
        <x:v>0</x:v>
      </x:c>
      <x:c r="I2259" t="str">
        <x:v>À qualifier par lieu</x:v>
      </x:c>
      <x:c r="J2259" t="str">
        <x:v>https://github.com/darknigthmare/deadwall-last-enclosure/blob/1b3b9c5ba232734b1bda3453b4e20a0481bcdd74/codex-3000/compositions/ruines/DW-2254.md</x:v>
      </x:c>
      <x:c r="K2259" t="str">
        <x:v>Source min 28,45 m ; max 28,45 m ; modèle 28 × 45 m ; niveaux 0. Détails dans catalogue-existant.json.</x:v>
      </x:c>
    </x:row>
    <x:row r="2260">
      <x:c r="A2260" t="str">
        <x:v>DW-2255</x:v>
      </x:c>
      <x:c r="B2260" t="str">
        <x:v>DW-0628</x:v>
      </x:c>
      <x:c r="C2260" t="str">
        <x:v>Composition héritée</x:v>
      </x:c>
      <x:c r="D2260" t="str">
        <x:v>ruines</x:v>
      </x:c>
      <x:c r="E2260" t="str">
        <x:v>Centre commercial effondré — variante 02 — Petit bois et lisière / service déplacé à l’arrière</x:v>
      </x:c>
      <x:c r="F2260" t="n">
        <x:v>8</x:v>
      </x:c>
      <x:c r="G2260" t="n">
        <x:v>5</x:v>
      </x:c>
      <x:c r="H2260" t="n">
        <x:v>0</x:v>
      </x:c>
      <x:c r="I2260" t="str">
        <x:v>À qualifier par lieu</x:v>
      </x:c>
      <x:c r="J2260" t="str">
        <x:v>https://github.com/darknigthmare/deadwall-last-enclosure/blob/1b3b9c5ba232734b1bda3453b4e20a0481bcdd74/codex-3000/compositions/ruines/DW-2255.md</x:v>
      </x:c>
      <x:c r="K2260" t="str">
        <x:v>Source min 39,62 m ; max 39,62 m ; modèle 39 × 62 m ; niveaux 0. Détails dans catalogue-existant.json.</x:v>
      </x:c>
    </x:row>
    <x:row r="2261">
      <x:c r="A2261" t="str">
        <x:v>DW-2256</x:v>
      </x:c>
      <x:c r="B2261" t="str">
        <x:v>DW-0628</x:v>
      </x:c>
      <x:c r="C2261" t="str">
        <x:v>Composition héritée</x:v>
      </x:c>
      <x:c r="D2261" t="str">
        <x:v>ruines</x:v>
      </x:c>
      <x:c r="E2261" t="str">
        <x:v>Centre commercial effondré — variante 02 — Centre ancien / réseau principal coupé</x:v>
      </x:c>
      <x:c r="F2261" t="n">
        <x:v>8</x:v>
      </x:c>
      <x:c r="G2261" t="n">
        <x:v>5</x:v>
      </x:c>
      <x:c r="H2261" t="n">
        <x:v>0</x:v>
      </x:c>
      <x:c r="I2261" t="str">
        <x:v>À qualifier par lieu</x:v>
      </x:c>
      <x:c r="J2261" t="str">
        <x:v>https://github.com/darknigthmare/deadwall-last-enclosure/blob/1b3b9c5ba232734b1bda3453b4e20a0481bcdd74/codex-3000/compositions/ruines/DW-2256.md</x:v>
      </x:c>
      <x:c r="K2261" t="str">
        <x:v>Source min 39,62 m ; max 39,62 m ; modèle 39 × 62 m ; niveaux 0. Détails dans catalogue-existant.json.</x:v>
      </x:c>
    </x:row>
    <x:row r="2262">
      <x:c r="A2262" t="str">
        <x:v>DW-2257</x:v>
      </x:c>
      <x:c r="B2262" t="str">
        <x:v>DW-0629</x:v>
      </x:c>
      <x:c r="C2262" t="str">
        <x:v>Composition héritée</x:v>
      </x:c>
      <x:c r="D2262" t="str">
        <x:v>habitat</x:v>
      </x:c>
      <x:c r="E2262" t="str">
        <x:v>Maison de lotissement — variante 03 — Quartier pavillonnaire / reprise progressive de la végétation</x:v>
      </x:c>
      <x:c r="F2262" t="n">
        <x:v>8</x:v>
      </x:c>
      <x:c r="G2262" t="n">
        <x:v>5</x:v>
      </x:c>
      <x:c r="H2262" t="n">
        <x:v>0</x:v>
      </x:c>
      <x:c r="I2262" t="str">
        <x:v>À qualifier par lieu</x:v>
      </x:c>
      <x:c r="J2262" t="str">
        <x:v>https://github.com/darknigthmare/deadwall-last-enclosure/blob/1b3b9c5ba232734b1bda3453b4e20a0481bcdd74/codex-3000/compositions/habitat/DW-2257.md</x:v>
      </x:c>
      <x:c r="K2262" t="str">
        <x:v>Source min 50,25 m ; max 50,25 m ; modèle 50 × 25 m ; niveaux 0, 1. Détails dans catalogue-existant.json.</x:v>
      </x:c>
    </x:row>
    <x:row r="2263">
      <x:c r="A2263" t="str">
        <x:v>DW-2258</x:v>
      </x:c>
      <x:c r="B2263" t="str">
        <x:v>DW-0629</x:v>
      </x:c>
      <x:c r="C2263" t="str">
        <x:v>Composition héritée</x:v>
      </x:c>
      <x:c r="D2263" t="str">
        <x:v>habitat</x:v>
      </x:c>
      <x:c r="E2263" t="str">
        <x:v>Maison de lotissement — variante 03 — Village et bourg / repli organisé interrompu</x:v>
      </x:c>
      <x:c r="F2263" t="n">
        <x:v>8</x:v>
      </x:c>
      <x:c r="G2263" t="n">
        <x:v>5</x:v>
      </x:c>
      <x:c r="H2263" t="n">
        <x:v>0</x:v>
      </x:c>
      <x:c r="I2263" t="str">
        <x:v>À qualifier par lieu</x:v>
      </x:c>
      <x:c r="J2263" t="str">
        <x:v>https://github.com/darknigthmare/deadwall-last-enclosure/blob/1b3b9c5ba232734b1bda3453b4e20a0481bcdd74/codex-3000/compositions/habitat/DW-2258.md</x:v>
      </x:c>
      <x:c r="K2263" t="str">
        <x:v>Source min 50,25 m ; max 50,25 m ; modèle 50 × 25 m ; niveaux 0, 1. Détails dans catalogue-existant.json.</x:v>
      </x:c>
    </x:row>
    <x:row r="2264">
      <x:c r="A2264" t="str">
        <x:v>DW-2259</x:v>
      </x:c>
      <x:c r="B2264" t="str">
        <x:v>DW-0630</x:v>
      </x:c>
      <x:c r="C2264" t="str">
        <x:v>Composition héritée</x:v>
      </x:c>
      <x:c r="D2264" t="str">
        <x:v>habitat</x:v>
      </x:c>
      <x:c r="E2264" t="str">
        <x:v>Maison mitoyenne — variante 03 — Hameau / relais temporaire envisagé</x:v>
      </x:c>
      <x:c r="F2264" t="n">
        <x:v>8</x:v>
      </x:c>
      <x:c r="G2264" t="n">
        <x:v>5</x:v>
      </x:c>
      <x:c r="H2264" t="n">
        <x:v>0</x:v>
      </x:c>
      <x:c r="I2264" t="str">
        <x:v>À qualifier par lieu</x:v>
      </x:c>
      <x:c r="J2264" t="str">
        <x:v>https://github.com/darknigthmare/deadwall-last-enclosure/blob/1b3b9c5ba232734b1bda3453b4e20a0481bcdd74/codex-3000/compositions/habitat/DW-2259.md</x:v>
      </x:c>
      <x:c r="K2264" t="str">
        <x:v>Source min 61,42 m ; max 61,42 m ; modèle 61 × 42 m ; niveaux 0. Détails dans catalogue-existant.json.</x:v>
      </x:c>
    </x:row>
    <x:row r="2265">
      <x:c r="A2265" t="str">
        <x:v>DW-2260</x:v>
      </x:c>
      <x:c r="B2265" t="str">
        <x:v>DW-0630</x:v>
      </x:c>
      <x:c r="C2265" t="str">
        <x:v>Composition héritée</x:v>
      </x:c>
      <x:c r="D2265" t="str">
        <x:v>habitat</x:v>
      </x:c>
      <x:c r="E2265" t="str">
        <x:v>Maison mitoyenne — variante 03 — Quartier collectif / évacuation interrompue</x:v>
      </x:c>
      <x:c r="F2265" t="n">
        <x:v>8</x:v>
      </x:c>
      <x:c r="G2265" t="n">
        <x:v>5</x:v>
      </x:c>
      <x:c r="H2265" t="n">
        <x:v>0</x:v>
      </x:c>
      <x:c r="I2265" t="str">
        <x:v>À qualifier par lieu</x:v>
      </x:c>
      <x:c r="J2265" t="str">
        <x:v>https://github.com/darknigthmare/deadwall-last-enclosure/blob/1b3b9c5ba232734b1bda3453b4e20a0481bcdd74/codex-3000/compositions/habitat/DW-2260.md</x:v>
      </x:c>
      <x:c r="K2265" t="str">
        <x:v>Source min 61,42 m ; max 61,42 m ; modèle 61 × 42 m ; niveaux 0. Détails dans catalogue-existant.json.</x:v>
      </x:c>
    </x:row>
    <x:row r="2266">
      <x:c r="A2266" t="str">
        <x:v>DW-2261</x:v>
      </x:c>
      <x:c r="B2266" t="str">
        <x:v>DW-0631</x:v>
      </x:c>
      <x:c r="C2266" t="str">
        <x:v>Composition héritée</x:v>
      </x:c>
      <x:c r="D2266" t="str">
        <x:v>habitat</x:v>
      </x:c>
      <x:c r="E2266" t="str">
        <x:v>Villa isolée — variante 03 — Village et bourg / réseau principal coupé</x:v>
      </x:c>
      <x:c r="F2266" t="n">
        <x:v>8</x:v>
      </x:c>
      <x:c r="G2266" t="n">
        <x:v>7</x:v>
      </x:c>
      <x:c r="H2266" t="n">
        <x:v>0</x:v>
      </x:c>
      <x:c r="I2266" t="str">
        <x:v>À qualifier par lieu</x:v>
      </x:c>
      <x:c r="J2266" t="str">
        <x:v>https://github.com/darknigthmare/deadwall-last-enclosure/blob/1b3b9c5ba232734b1bda3453b4e20a0481bcdd74/codex-3000/compositions/habitat/DW-2261.md</x:v>
      </x:c>
      <x:c r="K2266" t="str">
        <x:v>Source min 72,59 m ; max 72,59 m ; modèle 72 × 59 m ; niveaux 0. Détails dans catalogue-existant.json.</x:v>
      </x:c>
    </x:row>
    <x:row r="2267">
      <x:c r="A2267" t="str">
        <x:v>DW-2262</x:v>
      </x:c>
      <x:c r="B2267" t="str">
        <x:v>DW-0631</x:v>
      </x:c>
      <x:c r="C2267" t="str">
        <x:v>Composition héritée</x:v>
      </x:c>
      <x:c r="D2267" t="str">
        <x:v>habitat</x:v>
      </x:c>
      <x:c r="E2267" t="str">
        <x:v>Villa isolée — variante 03 — Quartier pavillonnaire / arrêt de maintenance</x:v>
      </x:c>
      <x:c r="F2267" t="n">
        <x:v>8</x:v>
      </x:c>
      <x:c r="G2267" t="n">
        <x:v>7</x:v>
      </x:c>
      <x:c r="H2267" t="n">
        <x:v>0</x:v>
      </x:c>
      <x:c r="I2267" t="str">
        <x:v>À qualifier par lieu</x:v>
      </x:c>
      <x:c r="J2267" t="str">
        <x:v>https://github.com/darknigthmare/deadwall-last-enclosure/blob/1b3b9c5ba232734b1bda3453b4e20a0481bcdd74/codex-3000/compositions/habitat/DW-2262.md</x:v>
      </x:c>
      <x:c r="K2267" t="str">
        <x:v>Source min 72,59 m ; max 72,59 m ; modèle 72 × 59 m ; niveaux 0. Détails dans catalogue-existant.json.</x:v>
      </x:c>
    </x:row>
    <x:row r="2268">
      <x:c r="A2268" t="str">
        <x:v>DW-2263</x:v>
      </x:c>
      <x:c r="B2268" t="str">
        <x:v>DW-0632</x:v>
      </x:c>
      <x:c r="C2268" t="str">
        <x:v>Composition héritée</x:v>
      </x:c>
      <x:c r="D2268" t="str">
        <x:v>habitat</x:v>
      </x:c>
      <x:c r="E2268" t="str">
        <x:v>Ferme familiale — variante 03 — Quartier collectif / repli organisé interrompu</x:v>
      </x:c>
      <x:c r="F2268" t="n">
        <x:v>8</x:v>
      </x:c>
      <x:c r="G2268" t="n">
        <x:v>6</x:v>
      </x:c>
      <x:c r="H2268" t="n">
        <x:v>0</x:v>
      </x:c>
      <x:c r="I2268" t="str">
        <x:v>À qualifier par lieu</x:v>
      </x:c>
      <x:c r="J2268" t="str">
        <x:v>https://github.com/darknigthmare/deadwall-last-enclosure/blob/1b3b9c5ba232734b1bda3453b4e20a0481bcdd74/codex-3000/compositions/habitat/DW-2263.md</x:v>
      </x:c>
      <x:c r="K2268" t="str">
        <x:v>Source min 11,22 m ; max 11,22 m ; modèle 28 × 22 m ; niveaux 0. Détails dans catalogue-existant.json.</x:v>
      </x:c>
    </x:row>
    <x:row r="2269">
      <x:c r="A2269" t="str">
        <x:v>DW-2264</x:v>
      </x:c>
      <x:c r="B2269" t="str">
        <x:v>DW-0632</x:v>
      </x:c>
      <x:c r="C2269" t="str">
        <x:v>Composition héritée</x:v>
      </x:c>
      <x:c r="D2269" t="str">
        <x:v>habitat</x:v>
      </x:c>
      <x:c r="E2269" t="str">
        <x:v>Ferme familiale — variante 03 — Hameau / première récupération passée</x:v>
      </x:c>
      <x:c r="F2269" t="n">
        <x:v>8</x:v>
      </x:c>
      <x:c r="G2269" t="n">
        <x:v>6</x:v>
      </x:c>
      <x:c r="H2269" t="n">
        <x:v>0</x:v>
      </x:c>
      <x:c r="I2269" t="str">
        <x:v>À qualifier par lieu</x:v>
      </x:c>
      <x:c r="J2269" t="str">
        <x:v>https://github.com/darknigthmare/deadwall-last-enclosure/blob/1b3b9c5ba232734b1bda3453b4e20a0481bcdd74/codex-3000/compositions/habitat/DW-2264.md</x:v>
      </x:c>
      <x:c r="K2269" t="str">
        <x:v>Source min 11,22 m ; max 11,22 m ; modèle 28 × 22 m ; niveaux 0. Détails dans catalogue-existant.json.</x:v>
      </x:c>
    </x:row>
    <x:row r="2270">
      <x:c r="A2270" t="str">
        <x:v>DW-2265</x:v>
      </x:c>
      <x:c r="B2270" t="str">
        <x:v>DW-0633</x:v>
      </x:c>
      <x:c r="C2270" t="str">
        <x:v>Composition héritée</x:v>
      </x:c>
      <x:c r="D2270" t="str">
        <x:v>habitat</x:v>
      </x:c>
      <x:c r="E2270" t="str">
        <x:v>Immeuble résidentiel — variante 03 — Quartier pavillonnaire / évacuation interrompue</x:v>
      </x:c>
      <x:c r="F2270" t="n">
        <x:v>8</x:v>
      </x:c>
      <x:c r="G2270" t="n">
        <x:v>5</x:v>
      </x:c>
      <x:c r="H2270" t="n">
        <x:v>0</x:v>
      </x:c>
      <x:c r="I2270" t="str">
        <x:v>À qualifier par lieu</x:v>
      </x:c>
      <x:c r="J2270" t="str">
        <x:v>https://github.com/darknigthmare/deadwall-last-enclosure/blob/1b3b9c5ba232734b1bda3453b4e20a0481bcdd74/codex-3000/compositions/habitat/DW-2265.md</x:v>
      </x:c>
      <x:c r="K2270" t="str">
        <x:v>Source min 22,39 m ; max 22,39 m ; modèle 26 × 39 m ; niveaux 0, 1. Détails dans catalogue-existant.json.</x:v>
      </x:c>
    </x:row>
    <x:row r="2271">
      <x:c r="A2271" t="str">
        <x:v>DW-2266</x:v>
      </x:c>
      <x:c r="B2271" t="str">
        <x:v>DW-0633</x:v>
      </x:c>
      <x:c r="C2271" t="str">
        <x:v>Composition héritée</x:v>
      </x:c>
      <x:c r="D2271" t="str">
        <x:v>habitat</x:v>
      </x:c>
      <x:c r="E2271" t="str">
        <x:v>Immeuble résidentiel — variante 03 — Village et bourg / service déplacé à l’arrière</x:v>
      </x:c>
      <x:c r="F2271" t="n">
        <x:v>8</x:v>
      </x:c>
      <x:c r="G2271" t="n">
        <x:v>5</x:v>
      </x:c>
      <x:c r="H2271" t="n">
        <x:v>0</x:v>
      </x:c>
      <x:c r="I2271" t="str">
        <x:v>À qualifier par lieu</x:v>
      </x:c>
      <x:c r="J2271" t="str">
        <x:v>https://github.com/darknigthmare/deadwall-last-enclosure/blob/1b3b9c5ba232734b1bda3453b4e20a0481bcdd74/codex-3000/compositions/habitat/DW-2266.md</x:v>
      </x:c>
      <x:c r="K2271" t="str">
        <x:v>Source min 22,39 m ; max 22,39 m ; modèle 26 × 39 m ; niveaux 0, 1. Détails dans catalogue-existant.json.</x:v>
      </x:c>
    </x:row>
    <x:row r="2272">
      <x:c r="A2272" t="str">
        <x:v>DW-2267</x:v>
      </x:c>
      <x:c r="B2272" t="str">
        <x:v>DW-0634</x:v>
      </x:c>
      <x:c r="C2272" t="str">
        <x:v>Composition héritée</x:v>
      </x:c>
      <x:c r="D2272" t="str">
        <x:v>habitat</x:v>
      </x:c>
      <x:c r="E2272" t="str">
        <x:v>Barre de logements — variante 03 — Hameau / arrêt de maintenance</x:v>
      </x:c>
      <x:c r="F2272" t="n">
        <x:v>8</x:v>
      </x:c>
      <x:c r="G2272" t="n">
        <x:v>5</x:v>
      </x:c>
      <x:c r="H2272" t="n">
        <x:v>0</x:v>
      </x:c>
      <x:c r="I2272" t="str">
        <x:v>À qualifier par lieu</x:v>
      </x:c>
      <x:c r="J2272" t="str">
        <x:v>https://github.com/darknigthmare/deadwall-last-enclosure/blob/1b3b9c5ba232734b1bda3453b4e20a0481bcdd74/codex-3000/compositions/habitat/DW-2267.md</x:v>
      </x:c>
      <x:c r="K2272" t="str">
        <x:v>Source min 33,56 m ; max 33,56 m ; modèle 33 × 56 m ; niveaux 0, 1, 2. Détails dans catalogue-existant.json.</x:v>
      </x:c>
    </x:row>
    <x:row r="2273">
      <x:c r="A2273" t="str">
        <x:v>DW-2268</x:v>
      </x:c>
      <x:c r="B2273" t="str">
        <x:v>DW-0634</x:v>
      </x:c>
      <x:c r="C2273" t="str">
        <x:v>Composition héritée</x:v>
      </x:c>
      <x:c r="D2273" t="str">
        <x:v>habitat</x:v>
      </x:c>
      <x:c r="E2273" t="str">
        <x:v>Barre de logements — variante 03 — Quartier collectif / reprise progressive de la végétation</x:v>
      </x:c>
      <x:c r="F2273" t="n">
        <x:v>8</x:v>
      </x:c>
      <x:c r="G2273" t="n">
        <x:v>5</x:v>
      </x:c>
      <x:c r="H2273" t="n">
        <x:v>0</x:v>
      </x:c>
      <x:c r="I2273" t="str">
        <x:v>À qualifier par lieu</x:v>
      </x:c>
      <x:c r="J2273" t="str">
        <x:v>https://github.com/darknigthmare/deadwall-last-enclosure/blob/1b3b9c5ba232734b1bda3453b4e20a0481bcdd74/codex-3000/compositions/habitat/DW-2268.md</x:v>
      </x:c>
      <x:c r="K2273" t="str">
        <x:v>Source min 33,56 m ; max 33,56 m ; modèle 33 × 56 m ; niveaux 0, 1, 2. Détails dans catalogue-existant.json.</x:v>
      </x:c>
    </x:row>
    <x:row r="2274">
      <x:c r="A2274" t="str">
        <x:v>DW-2269</x:v>
      </x:c>
      <x:c r="B2274" t="str">
        <x:v>DW-0635</x:v>
      </x:c>
      <x:c r="C2274" t="str">
        <x:v>Composition héritée</x:v>
      </x:c>
      <x:c r="D2274" t="str">
        <x:v>habitat</x:v>
      </x:c>
      <x:c r="E2274" t="str">
        <x:v>Résidence senior — variante 03 — Village et bourg / première récupération passée</x:v>
      </x:c>
      <x:c r="F2274" t="n">
        <x:v>8</x:v>
      </x:c>
      <x:c r="G2274" t="n">
        <x:v>5</x:v>
      </x:c>
      <x:c r="H2274" t="n">
        <x:v>0</x:v>
      </x:c>
      <x:c r="I2274" t="str">
        <x:v>À qualifier par lieu</x:v>
      </x:c>
      <x:c r="J2274" t="str">
        <x:v>https://github.com/darknigthmare/deadwall-last-enclosure/blob/1b3b9c5ba232734b1bda3453b4e20a0481bcdd74/codex-3000/compositions/habitat/DW-2269.md</x:v>
      </x:c>
      <x:c r="K2274" t="str">
        <x:v>Source min 44,19 m ; max 44,19 m ; modèle 44 × 22 m ; niveaux 0, 1, 2. Détails dans catalogue-existant.json.</x:v>
      </x:c>
    </x:row>
    <x:row r="2275">
      <x:c r="A2275" t="str">
        <x:v>DW-2270</x:v>
      </x:c>
      <x:c r="B2275" t="str">
        <x:v>DW-0635</x:v>
      </x:c>
      <x:c r="C2275" t="str">
        <x:v>Composition héritée</x:v>
      </x:c>
      <x:c r="D2275" t="str">
        <x:v>habitat</x:v>
      </x:c>
      <x:c r="E2275" t="str">
        <x:v>Résidence senior — variante 03 — Quartier pavillonnaire / relais temporaire envisagé</x:v>
      </x:c>
      <x:c r="F2275" t="n">
        <x:v>8</x:v>
      </x:c>
      <x:c r="G2275" t="n">
        <x:v>5</x:v>
      </x:c>
      <x:c r="H2275" t="n">
        <x:v>0</x:v>
      </x:c>
      <x:c r="I2275" t="str">
        <x:v>À qualifier par lieu</x:v>
      </x:c>
      <x:c r="J2275" t="str">
        <x:v>https://github.com/darknigthmare/deadwall-last-enclosure/blob/1b3b9c5ba232734b1bda3453b4e20a0481bcdd74/codex-3000/compositions/habitat/DW-2270.md</x:v>
      </x:c>
      <x:c r="K2275" t="str">
        <x:v>Source min 44,19 m ; max 44,19 m ; modèle 44 × 22 m ; niveaux 0, 1, 2. Détails dans catalogue-existant.json.</x:v>
      </x:c>
    </x:row>
    <x:row r="2276">
      <x:c r="A2276" t="str">
        <x:v>DW-2271</x:v>
      </x:c>
      <x:c r="B2276" t="str">
        <x:v>DW-0636</x:v>
      </x:c>
      <x:c r="C2276" t="str">
        <x:v>Composition héritée</x:v>
      </x:c>
      <x:c r="D2276" t="str">
        <x:v>habitat</x:v>
      </x:c>
      <x:c r="E2276" t="str">
        <x:v>Maison avec sous-sol — variante 03 — Quartier collectif / service déplacé à l’arrière</x:v>
      </x:c>
      <x:c r="F2276" t="n">
        <x:v>8</x:v>
      </x:c>
      <x:c r="G2276" t="n">
        <x:v>5</x:v>
      </x:c>
      <x:c r="H2276" t="n">
        <x:v>0</x:v>
      </x:c>
      <x:c r="I2276" t="str">
        <x:v>À qualifier par lieu</x:v>
      </x:c>
      <x:c r="J2276" t="str">
        <x:v>https://github.com/darknigthmare/deadwall-last-enclosure/blob/1b3b9c5ba232734b1bda3453b4e20a0481bcdd74/codex-3000/compositions/habitat/DW-2271.md</x:v>
      </x:c>
      <x:c r="K2276" t="str">
        <x:v>Source min 55,36 m ; max 55,36 m ; modèle 55 × 36 m ; niveaux 0. Détails dans catalogue-existant.json.</x:v>
      </x:c>
    </x:row>
    <x:row r="2277">
      <x:c r="A2277" t="str">
        <x:v>DW-2272</x:v>
      </x:c>
      <x:c r="B2277" t="str">
        <x:v>DW-0636</x:v>
      </x:c>
      <x:c r="C2277" t="str">
        <x:v>Composition héritée</x:v>
      </x:c>
      <x:c r="D2277" t="str">
        <x:v>habitat</x:v>
      </x:c>
      <x:c r="E2277" t="str">
        <x:v>Maison avec sous-sol — variante 03 — Hameau / réseau principal coupé</x:v>
      </x:c>
      <x:c r="F2277" t="n">
        <x:v>8</x:v>
      </x:c>
      <x:c r="G2277" t="n">
        <x:v>5</x:v>
      </x:c>
      <x:c r="H2277" t="n">
        <x:v>0</x:v>
      </x:c>
      <x:c r="I2277" t="str">
        <x:v>À qualifier par lieu</x:v>
      </x:c>
      <x:c r="J2277" t="str">
        <x:v>https://github.com/darknigthmare/deadwall-last-enclosure/blob/1b3b9c5ba232734b1bda3453b4e20a0481bcdd74/codex-3000/compositions/habitat/DW-2272.md</x:v>
      </x:c>
      <x:c r="K2277" t="str">
        <x:v>Source min 55,36 m ; max 55,36 m ; modèle 55 × 36 m ; niveaux 0. Détails dans catalogue-existant.json.</x:v>
      </x:c>
    </x:row>
    <x:row r="2278">
      <x:c r="A2278" t="str">
        <x:v>DW-2273</x:v>
      </x:c>
      <x:c r="B2278" t="str">
        <x:v>DW-0637</x:v>
      </x:c>
      <x:c r="C2278" t="str">
        <x:v>Composition héritée</x:v>
      </x:c>
      <x:c r="D2278" t="str">
        <x:v>commerce</x:v>
      </x:c>
      <x:c r="E2278" t="str">
        <x:v>Supérette — variante 03 — Zone commerciale / reprise progressive de la végétation</x:v>
      </x:c>
      <x:c r="F2278" t="n">
        <x:v>8</x:v>
      </x:c>
      <x:c r="G2278" t="n">
        <x:v>5</x:v>
      </x:c>
      <x:c r="H2278" t="n">
        <x:v>0</x:v>
      </x:c>
      <x:c r="I2278" t="str">
        <x:v>À qualifier par lieu</x:v>
      </x:c>
      <x:c r="J2278" t="str">
        <x:v>https://github.com/darknigthmare/deadwall-last-enclosure/blob/1b3b9c5ba232734b1bda3453b4e20a0481bcdd74/codex-3000/compositions/commerce/DW-2273.md</x:v>
      </x:c>
      <x:c r="K2278" t="str">
        <x:v>Source min 66,53 m ; max 66,53 m ; modèle 66 × 53 m ; niveaux 0, 1. Détails dans catalogue-existant.json.</x:v>
      </x:c>
    </x:row>
    <x:row r="2279">
      <x:c r="A2279" t="str">
        <x:v>DW-2274</x:v>
      </x:c>
      <x:c r="B2279" t="str">
        <x:v>DW-0637</x:v>
      </x:c>
      <x:c r="C2279" t="str">
        <x:v>Composition héritée</x:v>
      </x:c>
      <x:c r="D2279" t="str">
        <x:v>commerce</x:v>
      </x:c>
      <x:c r="E2279" t="str">
        <x:v>Supérette — variante 03 — Village et bourg / repli organisé interrompu</x:v>
      </x:c>
      <x:c r="F2279" t="n">
        <x:v>8</x:v>
      </x:c>
      <x:c r="G2279" t="n">
        <x:v>5</x:v>
      </x:c>
      <x:c r="H2279" t="n">
        <x:v>0</x:v>
      </x:c>
      <x:c r="I2279" t="str">
        <x:v>À qualifier par lieu</x:v>
      </x:c>
      <x:c r="J2279" t="str">
        <x:v>https://github.com/darknigthmare/deadwall-last-enclosure/blob/1b3b9c5ba232734b1bda3453b4e20a0481bcdd74/codex-3000/compositions/commerce/DW-2274.md</x:v>
      </x:c>
      <x:c r="K2279" t="str">
        <x:v>Source min 66,53 m ; max 66,53 m ; modèle 66 × 53 m ; niveaux 0, 1. Détails dans catalogue-existant.json.</x:v>
      </x:c>
    </x:row>
    <x:row r="2280">
      <x:c r="A2280" t="str">
        <x:v>DW-2275</x:v>
      </x:c>
      <x:c r="B2280" t="str">
        <x:v>DW-0638</x:v>
      </x:c>
      <x:c r="C2280" t="str">
        <x:v>Composition héritée</x:v>
      </x:c>
      <x:c r="D2280" t="str">
        <x:v>commerce</x:v>
      </x:c>
      <x:c r="E2280" t="str">
        <x:v>Centre commercial — variante 03 — Ville moyenne / relais temporaire envisagé</x:v>
      </x:c>
      <x:c r="F2280" t="n">
        <x:v>8</x:v>
      </x:c>
      <x:c r="G2280" t="n">
        <x:v>6</x:v>
      </x:c>
      <x:c r="H2280" t="n">
        <x:v>0</x:v>
      </x:c>
      <x:c r="I2280" t="str">
        <x:v>À qualifier par lieu</x:v>
      </x:c>
      <x:c r="J2280" t="str">
        <x:v>https://github.com/darknigthmare/deadwall-last-enclosure/blob/1b3b9c5ba232734b1bda3453b4e20a0481bcdd74/codex-3000/compositions/commerce/DW-2275.md</x:v>
      </x:c>
      <x:c r="K2280" t="str">
        <x:v>Source min 77,16 m ; max 77,16 m ; modèle 77 × 22 m ; niveaux 0. Détails dans catalogue-existant.json.</x:v>
      </x:c>
    </x:row>
    <x:row r="2281">
      <x:c r="A2281" t="str">
        <x:v>DW-2276</x:v>
      </x:c>
      <x:c r="B2281" t="str">
        <x:v>DW-0638</x:v>
      </x:c>
      <x:c r="C2281" t="str">
        <x:v>Composition héritée</x:v>
      </x:c>
      <x:c r="D2281" t="str">
        <x:v>commerce</x:v>
      </x:c>
      <x:c r="E2281" t="str">
        <x:v>Centre commercial — variante 03 — Grande ville et métropole / évacuation interrompue</x:v>
      </x:c>
      <x:c r="F2281" t="n">
        <x:v>8</x:v>
      </x:c>
      <x:c r="G2281" t="n">
        <x:v>6</x:v>
      </x:c>
      <x:c r="H2281" t="n">
        <x:v>0</x:v>
      </x:c>
      <x:c r="I2281" t="str">
        <x:v>À qualifier par lieu</x:v>
      </x:c>
      <x:c r="J2281" t="str">
        <x:v>https://github.com/darknigthmare/deadwall-last-enclosure/blob/1b3b9c5ba232734b1bda3453b4e20a0481bcdd74/codex-3000/compositions/commerce/DW-2276.md</x:v>
      </x:c>
      <x:c r="K2281" t="str">
        <x:v>Source min 77,16 m ; max 77,16 m ; modèle 77 × 22 m ; niveaux 0. Détails dans catalogue-existant.json.</x:v>
      </x:c>
    </x:row>
    <x:row r="2282">
      <x:c r="A2282" t="str">
        <x:v>DW-2277</x:v>
      </x:c>
      <x:c r="B2282" t="str">
        <x:v>DW-0639</x:v>
      </x:c>
      <x:c r="C2282" t="str">
        <x:v>Composition héritée</x:v>
      </x:c>
      <x:c r="D2282" t="str">
        <x:v>commerce</x:v>
      </x:c>
      <x:c r="E2282" t="str">
        <x:v>Supermarché — variante 03 — Village et bourg / réseau principal coupé</x:v>
      </x:c>
      <x:c r="F2282" t="n">
        <x:v>8</x:v>
      </x:c>
      <x:c r="G2282" t="n">
        <x:v>7</x:v>
      </x:c>
      <x:c r="H2282" t="n">
        <x:v>0</x:v>
      </x:c>
      <x:c r="I2282" t="str">
        <x:v>À qualifier par lieu</x:v>
      </x:c>
      <x:c r="J2282" t="str">
        <x:v>https://github.com/darknigthmare/deadwall-last-enclosure/blob/1b3b9c5ba232734b1bda3453b4e20a0481bcdd74/codex-3000/compositions/commerce/DW-2277.md</x:v>
      </x:c>
      <x:c r="K2282" t="str">
        <x:v>Source min 16,33 m ; max 16,33 m ; modèle 29 × 33 m ; niveaux 0. Détails dans catalogue-existant.json.</x:v>
      </x:c>
    </x:row>
    <x:row r="2283">
      <x:c r="A2283" t="str">
        <x:v>DW-2278</x:v>
      </x:c>
      <x:c r="B2283" t="str">
        <x:v>DW-0639</x:v>
      </x:c>
      <x:c r="C2283" t="str">
        <x:v>Composition héritée</x:v>
      </x:c>
      <x:c r="D2283" t="str">
        <x:v>commerce</x:v>
      </x:c>
      <x:c r="E2283" t="str">
        <x:v>Supermarché — variante 03 — Zone commerciale / arrêt de maintenance</x:v>
      </x:c>
      <x:c r="F2283" t="n">
        <x:v>8</x:v>
      </x:c>
      <x:c r="G2283" t="n">
        <x:v>7</x:v>
      </x:c>
      <x:c r="H2283" t="n">
        <x:v>0</x:v>
      </x:c>
      <x:c r="I2283" t="str">
        <x:v>À qualifier par lieu</x:v>
      </x:c>
      <x:c r="J2283" t="str">
        <x:v>https://github.com/darknigthmare/deadwall-last-enclosure/blob/1b3b9c5ba232734b1bda3453b4e20a0481bcdd74/codex-3000/compositions/commerce/DW-2278.md</x:v>
      </x:c>
      <x:c r="K2283" t="str">
        <x:v>Source min 16,33 m ; max 16,33 m ; modèle 29 × 33 m ; niveaux 0. Détails dans catalogue-existant.json.</x:v>
      </x:c>
    </x:row>
    <x:row r="2284">
      <x:c r="A2284" t="str">
        <x:v>DW-2279</x:v>
      </x:c>
      <x:c r="B2284" t="str">
        <x:v>DW-0640</x:v>
      </x:c>
      <x:c r="C2284" t="str">
        <x:v>Composition héritée</x:v>
      </x:c>
      <x:c r="D2284" t="str">
        <x:v>commerce</x:v>
      </x:c>
      <x:c r="E2284" t="str">
        <x:v>Magasin de bricolage — variante 03 — Grande ville et métropole / repli organisé interrompu</x:v>
      </x:c>
      <x:c r="F2284" t="n">
        <x:v>8</x:v>
      </x:c>
      <x:c r="G2284" t="n">
        <x:v>5</x:v>
      </x:c>
      <x:c r="H2284" t="n">
        <x:v>0</x:v>
      </x:c>
      <x:c r="I2284" t="str">
        <x:v>À qualifier par lieu</x:v>
      </x:c>
      <x:c r="J2284" t="str">
        <x:v>https://github.com/darknigthmare/deadwall-last-enclosure/blob/1b3b9c5ba232734b1bda3453b4e20a0481bcdd74/codex-3000/compositions/commerce/DW-2279.md</x:v>
      </x:c>
      <x:c r="K2284" t="str">
        <x:v>Source min 27,50 m ; max 27,50 m ; modèle 27 × 50 m ; niveaux 0. Détails dans catalogue-existant.json.</x:v>
      </x:c>
    </x:row>
    <x:row r="2285">
      <x:c r="A2285" t="str">
        <x:v>DW-2280</x:v>
      </x:c>
      <x:c r="B2285" t="str">
        <x:v>DW-0640</x:v>
      </x:c>
      <x:c r="C2285" t="str">
        <x:v>Composition héritée</x:v>
      </x:c>
      <x:c r="D2285" t="str">
        <x:v>commerce</x:v>
      </x:c>
      <x:c r="E2285" t="str">
        <x:v>Magasin de bricolage — variante 03 — Ville moyenne / première récupération passée</x:v>
      </x:c>
      <x:c r="F2285" t="n">
        <x:v>8</x:v>
      </x:c>
      <x:c r="G2285" t="n">
        <x:v>5</x:v>
      </x:c>
      <x:c r="H2285" t="n">
        <x:v>0</x:v>
      </x:c>
      <x:c r="I2285" t="str">
        <x:v>À qualifier par lieu</x:v>
      </x:c>
      <x:c r="J2285" t="str">
        <x:v>https://github.com/darknigthmare/deadwall-last-enclosure/blob/1b3b9c5ba232734b1bda3453b4e20a0481bcdd74/codex-3000/compositions/commerce/DW-2280.md</x:v>
      </x:c>
      <x:c r="K2285" t="str">
        <x:v>Source min 27,50 m ; max 27,50 m ; modèle 27 × 50 m ; niveaux 0. Détails dans catalogue-existant.json.</x:v>
      </x:c>
    </x:row>
    <x:row r="2286">
      <x:c r="A2286" t="str">
        <x:v>DW-2281</x:v>
      </x:c>
      <x:c r="B2286" t="str">
        <x:v>DW-0641</x:v>
      </x:c>
      <x:c r="C2286" t="str">
        <x:v>Composition héritée</x:v>
      </x:c>
      <x:c r="D2286" t="str">
        <x:v>commerce</x:v>
      </x:c>
      <x:c r="E2286" t="str">
        <x:v>Pharmacie — variante 03 — Zone commerciale / évacuation interrompue</x:v>
      </x:c>
      <x:c r="F2286" t="n">
        <x:v>8</x:v>
      </x:c>
      <x:c r="G2286" t="n">
        <x:v>4</x:v>
      </x:c>
      <x:c r="H2286" t="n">
        <x:v>0</x:v>
      </x:c>
      <x:c r="I2286" t="str">
        <x:v>À qualifier par lieu</x:v>
      </x:c>
      <x:c r="J2286" t="str">
        <x:v>https://github.com/darknigthmare/deadwall-last-enclosure/blob/1b3b9c5ba232734b1bda3453b4e20a0481bcdd74/codex-3000/compositions/commerce/DW-2281.md</x:v>
      </x:c>
      <x:c r="K2286" t="str">
        <x:v>Source min 38,13 m ; max 38,13 m ; modèle 38 × 18 m ; niveaux 0, 1. Détails dans catalogue-existant.json.</x:v>
      </x:c>
    </x:row>
    <x:row r="2287">
      <x:c r="A2287" t="str">
        <x:v>DW-2282</x:v>
      </x:c>
      <x:c r="B2287" t="str">
        <x:v>DW-0641</x:v>
      </x:c>
      <x:c r="C2287" t="str">
        <x:v>Composition héritée</x:v>
      </x:c>
      <x:c r="D2287" t="str">
        <x:v>commerce</x:v>
      </x:c>
      <x:c r="E2287" t="str">
        <x:v>Pharmacie — variante 03 — Village et bourg / service déplacé à l’arrière</x:v>
      </x:c>
      <x:c r="F2287" t="n">
        <x:v>8</x:v>
      </x:c>
      <x:c r="G2287" t="n">
        <x:v>4</x:v>
      </x:c>
      <x:c r="H2287" t="n">
        <x:v>0</x:v>
      </x:c>
      <x:c r="I2287" t="str">
        <x:v>À qualifier par lieu</x:v>
      </x:c>
      <x:c r="J2287" t="str">
        <x:v>https://github.com/darknigthmare/deadwall-last-enclosure/blob/1b3b9c5ba232734b1bda3453b4e20a0481bcdd74/codex-3000/compositions/commerce/DW-2282.md</x:v>
      </x:c>
      <x:c r="K2287" t="str">
        <x:v>Source min 38,13 m ; max 38,13 m ; modèle 38 × 18 m ; niveaux 0, 1. Détails dans catalogue-existant.json.</x:v>
      </x:c>
    </x:row>
    <x:row r="2288">
      <x:c r="A2288" t="str">
        <x:v>DW-2283</x:v>
      </x:c>
      <x:c r="B2288" t="str">
        <x:v>DW-0642</x:v>
      </x:c>
      <x:c r="C2288" t="str">
        <x:v>Composition héritée</x:v>
      </x:c>
      <x:c r="D2288" t="str">
        <x:v>commerce</x:v>
      </x:c>
      <x:c r="E2288" t="str">
        <x:v>Station-service — variante 03 — Ville moyenne / arrêt de maintenance</x:v>
      </x:c>
      <x:c r="F2288" t="n">
        <x:v>8</x:v>
      </x:c>
      <x:c r="G2288" t="n">
        <x:v>5</x:v>
      </x:c>
      <x:c r="H2288" t="n">
        <x:v>0</x:v>
      </x:c>
      <x:c r="I2288" t="str">
        <x:v>À qualifier par lieu</x:v>
      </x:c>
      <x:c r="J2288" t="str">
        <x:v>https://github.com/darknigthmare/deadwall-last-enclosure/blob/1b3b9c5ba232734b1bda3453b4e20a0481bcdd74/codex-3000/compositions/commerce/DW-2283.md</x:v>
      </x:c>
      <x:c r="K2288" t="str">
        <x:v>Source min 49,30 m ; max 49,30 m ; modèle 49 × 30 m ; niveaux 0. Détails dans catalogue-existant.json.</x:v>
      </x:c>
    </x:row>
    <x:row r="2289">
      <x:c r="A2289" t="str">
        <x:v>DW-2284</x:v>
      </x:c>
      <x:c r="B2289" t="str">
        <x:v>DW-0642</x:v>
      </x:c>
      <x:c r="C2289" t="str">
        <x:v>Composition héritée</x:v>
      </x:c>
      <x:c r="D2289" t="str">
        <x:v>commerce</x:v>
      </x:c>
      <x:c r="E2289" t="str">
        <x:v>Station-service — variante 03 — Grande ville et métropole / reprise progressive de la végétation</x:v>
      </x:c>
      <x:c r="F2289" t="n">
        <x:v>8</x:v>
      </x:c>
      <x:c r="G2289" t="n">
        <x:v>5</x:v>
      </x:c>
      <x:c r="H2289" t="n">
        <x:v>0</x:v>
      </x:c>
      <x:c r="I2289" t="str">
        <x:v>À qualifier par lieu</x:v>
      </x:c>
      <x:c r="J2289" t="str">
        <x:v>https://github.com/darknigthmare/deadwall-last-enclosure/blob/1b3b9c5ba232734b1bda3453b4e20a0481bcdd74/codex-3000/compositions/commerce/DW-2284.md</x:v>
      </x:c>
      <x:c r="K2289" t="str">
        <x:v>Source min 49,30 m ; max 49,30 m ; modèle 49 × 30 m ; niveaux 0. Détails dans catalogue-existant.json.</x:v>
      </x:c>
    </x:row>
    <x:row r="2290">
      <x:c r="A2290" t="str">
        <x:v>DW-2285</x:v>
      </x:c>
      <x:c r="B2290" t="str">
        <x:v>DW-0643</x:v>
      </x:c>
      <x:c r="C2290" t="str">
        <x:v>Composition héritée</x:v>
      </x:c>
      <x:c r="D2290" t="str">
        <x:v>commerce</x:v>
      </x:c>
      <x:c r="E2290" t="str">
        <x:v>Restaurant routier — variante 03 — Village et bourg / première récupération passée</x:v>
      </x:c>
      <x:c r="F2290" t="n">
        <x:v>8</x:v>
      </x:c>
      <x:c r="G2290" t="n">
        <x:v>5</x:v>
      </x:c>
      <x:c r="H2290" t="n">
        <x:v>0</x:v>
      </x:c>
      <x:c r="I2290" t="str">
        <x:v>À qualifier par lieu</x:v>
      </x:c>
      <x:c r="J2290" t="str">
        <x:v>https://github.com/darknigthmare/deadwall-last-enclosure/blob/1b3b9c5ba232734b1bda3453b4e20a0481bcdd74/codex-3000/compositions/commerce/DW-2285.md</x:v>
      </x:c>
      <x:c r="K2290" t="str">
        <x:v>Source min 60,47 m ; max 60,47 m ; modèle 60 × 47 m ; niveaux 0. Détails dans catalogue-existant.json.</x:v>
      </x:c>
    </x:row>
    <x:row r="2291">
      <x:c r="A2291" t="str">
        <x:v>DW-2286</x:v>
      </x:c>
      <x:c r="B2291" t="str">
        <x:v>DW-0643</x:v>
      </x:c>
      <x:c r="C2291" t="str">
        <x:v>Composition héritée</x:v>
      </x:c>
      <x:c r="D2291" t="str">
        <x:v>commerce</x:v>
      </x:c>
      <x:c r="E2291" t="str">
        <x:v>Restaurant routier — variante 03 — Zone commerciale / relais temporaire envisagé</x:v>
      </x:c>
      <x:c r="F2291" t="n">
        <x:v>8</x:v>
      </x:c>
      <x:c r="G2291" t="n">
        <x:v>5</x:v>
      </x:c>
      <x:c r="H2291" t="n">
        <x:v>0</x:v>
      </x:c>
      <x:c r="I2291" t="str">
        <x:v>À qualifier par lieu</x:v>
      </x:c>
      <x:c r="J2291" t="str">
        <x:v>https://github.com/darknigthmare/deadwall-last-enclosure/blob/1b3b9c5ba232734b1bda3453b4e20a0481bcdd74/codex-3000/compositions/commerce/DW-2286.md</x:v>
      </x:c>
      <x:c r="K2291" t="str">
        <x:v>Source min 60,47 m ; max 60,47 m ; modèle 60 × 47 m ; niveaux 0. Détails dans catalogue-existant.json.</x:v>
      </x:c>
    </x:row>
    <x:row r="2292">
      <x:c r="A2292" t="str">
        <x:v>DW-2287</x:v>
      </x:c>
      <x:c r="B2292" t="str">
        <x:v>DW-0644</x:v>
      </x:c>
      <x:c r="C2292" t="str">
        <x:v>Composition héritée</x:v>
      </x:c>
      <x:c r="D2292" t="str">
        <x:v>commerce</x:v>
      </x:c>
      <x:c r="E2292" t="str">
        <x:v>Hôtel — variante 03 — Grande ville et métropole / service déplacé à l’arrière</x:v>
      </x:c>
      <x:c r="F2292" t="n">
        <x:v>8</x:v>
      </x:c>
      <x:c r="G2292" t="n">
        <x:v>6</x:v>
      </x:c>
      <x:c r="H2292" t="n">
        <x:v>0</x:v>
      </x:c>
      <x:c r="I2292" t="str">
        <x:v>À qualifier par lieu</x:v>
      </x:c>
      <x:c r="J2292" t="str">
        <x:v>https://github.com/darknigthmare/deadwall-last-enclosure/blob/1b3b9c5ba232734b1bda3453b4e20a0481bcdd74/codex-3000/compositions/commerce/DW-2287.md</x:v>
      </x:c>
      <x:c r="K2292" t="str">
        <x:v>Source min 71,10 m ; max 71,10 m ; modèle 71 × 22 m ; niveaux 0. Détails dans catalogue-existant.json.</x:v>
      </x:c>
    </x:row>
    <x:row r="2293">
      <x:c r="A2293" t="str">
        <x:v>DW-2288</x:v>
      </x:c>
      <x:c r="B2293" t="str">
        <x:v>DW-0644</x:v>
      </x:c>
      <x:c r="C2293" t="str">
        <x:v>Composition héritée</x:v>
      </x:c>
      <x:c r="D2293" t="str">
        <x:v>commerce</x:v>
      </x:c>
      <x:c r="E2293" t="str">
        <x:v>Hôtel — variante 03 — Ville moyenne / réseau principal coupé</x:v>
      </x:c>
      <x:c r="F2293" t="n">
        <x:v>8</x:v>
      </x:c>
      <x:c r="G2293" t="n">
        <x:v>6</x:v>
      </x:c>
      <x:c r="H2293" t="n">
        <x:v>0</x:v>
      </x:c>
      <x:c r="I2293" t="str">
        <x:v>À qualifier par lieu</x:v>
      </x:c>
      <x:c r="J2293" t="str">
        <x:v>https://github.com/darknigthmare/deadwall-last-enclosure/blob/1b3b9c5ba232734b1bda3453b4e20a0481bcdd74/codex-3000/compositions/commerce/DW-2288.md</x:v>
      </x:c>
      <x:c r="K2293" t="str">
        <x:v>Source min 71,10 m ; max 71,10 m ; modèle 71 × 22 m ; niveaux 0. Détails dans catalogue-existant.json.</x:v>
      </x:c>
    </x:row>
    <x:row r="2294">
      <x:c r="A2294" t="str">
        <x:v>DW-2289</x:v>
      </x:c>
      <x:c r="B2294" t="str">
        <x:v>DW-0645</x:v>
      </x:c>
      <x:c r="C2294" t="str">
        <x:v>Composition héritée</x:v>
      </x:c>
      <x:c r="D2294" t="str">
        <x:v>industrie</x:v>
      </x:c>
      <x:c r="E2294" t="str">
        <x:v>Scierie — variante 03 — Zone industrielle / reprise progressive de la végétation</x:v>
      </x:c>
      <x:c r="F2294" t="n">
        <x:v>8</x:v>
      </x:c>
      <x:c r="G2294" t="n">
        <x:v>5</x:v>
      </x:c>
      <x:c r="H2294" t="n">
        <x:v>0</x:v>
      </x:c>
      <x:c r="I2294" t="str">
        <x:v>À qualifier par lieu</x:v>
      </x:c>
      <x:c r="J2294" t="str">
        <x:v>https://github.com/darknigthmare/deadwall-last-enclosure/blob/1b3b9c5ba232734b1bda3453b4e20a0481bcdd74/codex-3000/compositions/industrie/DW-2289.md</x:v>
      </x:c>
      <x:c r="K2294" t="str">
        <x:v>Source min 10,27 m ; max 10,27 m ; modèle 26 × 27 m ; niveaux 0. Détails dans catalogue-existant.json.</x:v>
      </x:c>
    </x:row>
    <x:row r="2295">
      <x:c r="A2295" t="str">
        <x:v>DW-2290</x:v>
      </x:c>
      <x:c r="B2295" t="str">
        <x:v>DW-0645</x:v>
      </x:c>
      <x:c r="C2295" t="str">
        <x:v>Composition héritée</x:v>
      </x:c>
      <x:c r="D2295" t="str">
        <x:v>industrie</x:v>
      </x:c>
      <x:c r="E2295" t="str">
        <x:v>Scierie — variante 03 — Entrepôt et plateforme logistique / repli organisé interrompu</x:v>
      </x:c>
      <x:c r="F2295" t="n">
        <x:v>8</x:v>
      </x:c>
      <x:c r="G2295" t="n">
        <x:v>5</x:v>
      </x:c>
      <x:c r="H2295" t="n">
        <x:v>0</x:v>
      </x:c>
      <x:c r="I2295" t="str">
        <x:v>À qualifier par lieu</x:v>
      </x:c>
      <x:c r="J2295" t="str">
        <x:v>https://github.com/darknigthmare/deadwall-last-enclosure/blob/1b3b9c5ba232734b1bda3453b4e20a0481bcdd74/codex-3000/compositions/industrie/DW-2290.md</x:v>
      </x:c>
      <x:c r="K2295" t="str">
        <x:v>Source min 10,27 m ; max 10,27 m ; modèle 26 × 27 m ; niveaux 0. Détails dans catalogue-existant.json.</x:v>
      </x:c>
    </x:row>
    <x:row r="2296">
      <x:c r="A2296" t="str">
        <x:v>DW-2291</x:v>
      </x:c>
      <x:c r="B2296" t="str">
        <x:v>DW-0646</x:v>
      </x:c>
      <x:c r="C2296" t="str">
        <x:v>Composition héritée</x:v>
      </x:c>
      <x:c r="D2296" t="str">
        <x:v>industrie</x:v>
      </x:c>
      <x:c r="E2296" t="str">
        <x:v>Garage automobile — variante 03 — Atelier et artisanat / relais temporaire envisagé</x:v>
      </x:c>
      <x:c r="F2296" t="n">
        <x:v>8</x:v>
      </x:c>
      <x:c r="G2296" t="n">
        <x:v>5</x:v>
      </x:c>
      <x:c r="H2296" t="n">
        <x:v>0</x:v>
      </x:c>
      <x:c r="I2296" t="str">
        <x:v>À qualifier par lieu</x:v>
      </x:c>
      <x:c r="J2296" t="str">
        <x:v>https://github.com/darknigthmare/deadwall-last-enclosure/blob/1b3b9c5ba232734b1bda3453b4e20a0481bcdd74/codex-3000/compositions/industrie/DW-2291.md</x:v>
      </x:c>
      <x:c r="K2296" t="str">
        <x:v>Source min 21,44 m ; max 21,44 m ; modèle 26 × 44 m ; niveaux 0. Détails dans catalogue-existant.json.</x:v>
      </x:c>
    </x:row>
    <x:row r="2297">
      <x:c r="A2297" t="str">
        <x:v>DW-2292</x:v>
      </x:c>
      <x:c r="B2297" t="str">
        <x:v>DW-0646</x:v>
      </x:c>
      <x:c r="C2297" t="str">
        <x:v>Composition héritée</x:v>
      </x:c>
      <x:c r="D2297" t="str">
        <x:v>industrie</x:v>
      </x:c>
      <x:c r="E2297" t="str">
        <x:v>Garage automobile — variante 03 — Gare et fret / évacuation interrompue</x:v>
      </x:c>
      <x:c r="F2297" t="n">
        <x:v>10</x:v>
      </x:c>
      <x:c r="G2297" t="n">
        <x:v>5</x:v>
      </x:c>
      <x:c r="H2297" t="n">
        <x:v>0</x:v>
      </x:c>
      <x:c r="I2297" t="str">
        <x:v>À qualifier par lieu</x:v>
      </x:c>
      <x:c r="J2297" t="str">
        <x:v>https://github.com/darknigthmare/deadwall-last-enclosure/blob/1b3b9c5ba232734b1bda3453b4e20a0481bcdd74/codex-3000/compositions/industrie/DW-2292.md</x:v>
      </x:c>
      <x:c r="K2297" t="str">
        <x:v>Source min 21,44 m ; max 21,44 m ; modèle 26 × 44 m ; niveaux 0. Détails dans catalogue-existant.json.</x:v>
      </x:c>
    </x:row>
    <x:row r="2298">
      <x:c r="A2298" t="str">
        <x:v>DW-2293</x:v>
      </x:c>
      <x:c r="B2298" t="str">
        <x:v>DW-0647</x:v>
      </x:c>
      <x:c r="C2298" t="str">
        <x:v>Composition héritée</x:v>
      </x:c>
      <x:c r="D2298" t="str">
        <x:v>industrie</x:v>
      </x:c>
      <x:c r="E2298" t="str">
        <x:v>Entrepôt logistique — variante 03 — Entrepôt et plateforme logistique / réseau principal coupé</x:v>
      </x:c>
      <x:c r="F2298" t="n">
        <x:v>8</x:v>
      </x:c>
      <x:c r="G2298" t="n">
        <x:v>5</x:v>
      </x:c>
      <x:c r="H2298" t="n">
        <x:v>0</x:v>
      </x:c>
      <x:c r="I2298" t="str">
        <x:v>À qualifier par lieu</x:v>
      </x:c>
      <x:c r="J2298" t="str">
        <x:v>https://github.com/darknigthmare/deadwall-last-enclosure/blob/1b3b9c5ba232734b1bda3453b4e20a0481bcdd74/codex-3000/compositions/industrie/DW-2293.md</x:v>
      </x:c>
      <x:c r="K2298" t="str">
        <x:v>Source min 32,61 m ; max 32,61 m ; modèle 32 × 61 m ; niveaux 0. Détails dans catalogue-existant.json.</x:v>
      </x:c>
    </x:row>
    <x:row r="2299">
      <x:c r="A2299" t="str">
        <x:v>DW-2294</x:v>
      </x:c>
      <x:c r="B2299" t="str">
        <x:v>DW-0647</x:v>
      </x:c>
      <x:c r="C2299" t="str">
        <x:v>Composition héritée</x:v>
      </x:c>
      <x:c r="D2299" t="str">
        <x:v>industrie</x:v>
      </x:c>
      <x:c r="E2299" t="str">
        <x:v>Entrepôt logistique — variante 03 — Zone industrielle / arrêt de maintenance</x:v>
      </x:c>
      <x:c r="F2299" t="n">
        <x:v>8</x:v>
      </x:c>
      <x:c r="G2299" t="n">
        <x:v>5</x:v>
      </x:c>
      <x:c r="H2299" t="n">
        <x:v>0</x:v>
      </x:c>
      <x:c r="I2299" t="str">
        <x:v>À qualifier par lieu</x:v>
      </x:c>
      <x:c r="J2299" t="str">
        <x:v>https://github.com/darknigthmare/deadwall-last-enclosure/blob/1b3b9c5ba232734b1bda3453b4e20a0481bcdd74/codex-3000/compositions/industrie/DW-2294.md</x:v>
      </x:c>
      <x:c r="K2299" t="str">
        <x:v>Source min 32,61 m ; max 32,61 m ; modèle 32 × 61 m ; niveaux 0. Détails dans catalogue-existant.json.</x:v>
      </x:c>
    </x:row>
    <x:row r="2300">
      <x:c r="A2300" t="str">
        <x:v>DW-2295</x:v>
      </x:c>
      <x:c r="B2300" t="str">
        <x:v>DW-0648</x:v>
      </x:c>
      <x:c r="C2300" t="str">
        <x:v>Composition héritée</x:v>
      </x:c>
      <x:c r="D2300" t="str">
        <x:v>industrie</x:v>
      </x:c>
      <x:c r="E2300" t="str">
        <x:v>Petite usine — variante 03 — Gare et fret / repli organisé interrompu</x:v>
      </x:c>
      <x:c r="F2300" t="n">
        <x:v>10</x:v>
      </x:c>
      <x:c r="G2300" t="n">
        <x:v>5</x:v>
      </x:c>
      <x:c r="H2300" t="n">
        <x:v>0</x:v>
      </x:c>
      <x:c r="I2300" t="str">
        <x:v>À qualifier par lieu</x:v>
      </x:c>
      <x:c r="J2300" t="str">
        <x:v>https://github.com/darknigthmare/deadwall-last-enclosure/blob/1b3b9c5ba232734b1bda3453b4e20a0481bcdd74/codex-3000/compositions/industrie/DW-2295.md</x:v>
      </x:c>
      <x:c r="K2300" t="str">
        <x:v>Source min 43,24 m ; max 43,24 m ; modèle 43 × 24 m ; niveaux 0. Détails dans catalogue-existant.json.</x:v>
      </x:c>
    </x:row>
    <x:row r="2301">
      <x:c r="A2301" t="str">
        <x:v>DW-2296</x:v>
      </x:c>
      <x:c r="B2301" t="str">
        <x:v>DW-0648</x:v>
      </x:c>
      <x:c r="C2301" t="str">
        <x:v>Composition héritée</x:v>
      </x:c>
      <x:c r="D2301" t="str">
        <x:v>industrie</x:v>
      </x:c>
      <x:c r="E2301" t="str">
        <x:v>Petite usine — variante 03 — Atelier et artisanat / première récupération passée</x:v>
      </x:c>
      <x:c r="F2301" t="n">
        <x:v>8</x:v>
      </x:c>
      <x:c r="G2301" t="n">
        <x:v>5</x:v>
      </x:c>
      <x:c r="H2301" t="n">
        <x:v>0</x:v>
      </x:c>
      <x:c r="I2301" t="str">
        <x:v>À qualifier par lieu</x:v>
      </x:c>
      <x:c r="J2301" t="str">
        <x:v>https://github.com/darknigthmare/deadwall-last-enclosure/blob/1b3b9c5ba232734b1bda3453b4e20a0481bcdd74/codex-3000/compositions/industrie/DW-2296.md</x:v>
      </x:c>
      <x:c r="K2301" t="str">
        <x:v>Source min 43,24 m ; max 43,24 m ; modèle 43 × 24 m ; niveaux 0. Détails dans catalogue-existant.json.</x:v>
      </x:c>
    </x:row>
    <x:row r="2302">
      <x:c r="A2302" t="str">
        <x:v>DW-2297</x:v>
      </x:c>
      <x:c r="B2302" t="str">
        <x:v>DW-0649</x:v>
      </x:c>
      <x:c r="C2302" t="str">
        <x:v>Composition héritée</x:v>
      </x:c>
      <x:c r="D2302" t="str">
        <x:v>industrie</x:v>
      </x:c>
      <x:c r="E2302" t="str">
        <x:v>Carrière — variante 03 — Zone industrielle / évacuation interrompue</x:v>
      </x:c>
      <x:c r="F2302" t="n">
        <x:v>8</x:v>
      </x:c>
      <x:c r="G2302" t="n">
        <x:v>5</x:v>
      </x:c>
      <x:c r="H2302" t="n">
        <x:v>0</x:v>
      </x:c>
      <x:c r="I2302" t="str">
        <x:v>À qualifier par lieu</x:v>
      </x:c>
      <x:c r="J2302" t="str">
        <x:v>https://github.com/darknigthmare/deadwall-last-enclosure/blob/1b3b9c5ba232734b1bda3453b4e20a0481bcdd74/codex-3000/compositions/industrie/DW-2297.md</x:v>
      </x:c>
      <x:c r="K2302" t="str">
        <x:v>Source min 54,41 m ; max 54,41 m ; modèle 54 × 41 m ; niveaux 0. Détails dans catalogue-existant.json.</x:v>
      </x:c>
    </x:row>
    <x:row r="2303">
      <x:c r="A2303" t="str">
        <x:v>DW-2298</x:v>
      </x:c>
      <x:c r="B2303" t="str">
        <x:v>DW-0649</x:v>
      </x:c>
      <x:c r="C2303" t="str">
        <x:v>Composition héritée</x:v>
      </x:c>
      <x:c r="D2303" t="str">
        <x:v>industrie</x:v>
      </x:c>
      <x:c r="E2303" t="str">
        <x:v>Carrière — variante 03 — Entrepôt et plateforme logistique / service déplacé à l’arrière</x:v>
      </x:c>
      <x:c r="F2303" t="n">
        <x:v>8</x:v>
      </x:c>
      <x:c r="G2303" t="n">
        <x:v>5</x:v>
      </x:c>
      <x:c r="H2303" t="n">
        <x:v>0</x:v>
      </x:c>
      <x:c r="I2303" t="str">
        <x:v>À qualifier par lieu</x:v>
      </x:c>
      <x:c r="J2303" t="str">
        <x:v>https://github.com/darknigthmare/deadwall-last-enclosure/blob/1b3b9c5ba232734b1bda3453b4e20a0481bcdd74/codex-3000/compositions/industrie/DW-2298.md</x:v>
      </x:c>
      <x:c r="K2303" t="str">
        <x:v>Source min 54,41 m ; max 54,41 m ; modèle 54 × 41 m ; niveaux 0. Détails dans catalogue-existant.json.</x:v>
      </x:c>
    </x:row>
    <x:row r="2304">
      <x:c r="A2304" t="str">
        <x:v>DW-2299</x:v>
      </x:c>
      <x:c r="B2304" t="str">
        <x:v>DW-0650</x:v>
      </x:c>
      <x:c r="C2304" t="str">
        <x:v>Composition héritée</x:v>
      </x:c>
      <x:c r="D2304" t="str">
        <x:v>industrie</x:v>
      </x:c>
      <x:c r="E2304" t="str">
        <x:v>Mine — variante 03 — Atelier et artisanat / arrêt de maintenance</x:v>
      </x:c>
      <x:c r="F2304" t="n">
        <x:v>8</x:v>
      </x:c>
      <x:c r="G2304" t="n">
        <x:v>6</x:v>
      </x:c>
      <x:c r="H2304" t="n">
        <x:v>0</x:v>
      </x:c>
      <x:c r="I2304" t="str">
        <x:v>À qualifier par lieu</x:v>
      </x:c>
      <x:c r="J2304" t="str">
        <x:v>https://github.com/darknigthmare/deadwall-last-enclosure/blob/1b3b9c5ba232734b1bda3453b4e20a0481bcdd74/codex-3000/compositions/industrie/DW-2299.md</x:v>
      </x:c>
      <x:c r="K2304" t="str">
        <x:v>Source min 65,58 m ; max 65,58 m ; modèle 65 × 58 m ; niveaux 0. Détails dans catalogue-existant.json.</x:v>
      </x:c>
    </x:row>
    <x:row r="2305">
      <x:c r="A2305" t="str">
        <x:v>DW-2300</x:v>
      </x:c>
      <x:c r="B2305" t="str">
        <x:v>DW-0650</x:v>
      </x:c>
      <x:c r="C2305" t="str">
        <x:v>Composition héritée</x:v>
      </x:c>
      <x:c r="D2305" t="str">
        <x:v>industrie</x:v>
      </x:c>
      <x:c r="E2305" t="str">
        <x:v>Mine — variante 03 — Gare et fret / reprise progressive de la végétation</x:v>
      </x:c>
      <x:c r="F2305" t="n">
        <x:v>10</x:v>
      </x:c>
      <x:c r="G2305" t="n">
        <x:v>6</x:v>
      </x:c>
      <x:c r="H2305" t="n">
        <x:v>0</x:v>
      </x:c>
      <x:c r="I2305" t="str">
        <x:v>À qualifier par lieu</x:v>
      </x:c>
      <x:c r="J2305" t="str">
        <x:v>https://github.com/darknigthmare/deadwall-last-enclosure/blob/1b3b9c5ba232734b1bda3453b4e20a0481bcdd74/codex-3000/compositions/industrie/DW-2300.md</x:v>
      </x:c>
      <x:c r="K2305" t="str">
        <x:v>Source min 65,58 m ; max 65,58 m ; modèle 65 × 58 m ; niveaux 0. Détails dans catalogue-existant.json.</x:v>
      </x:c>
    </x:row>
    <x:row r="2306">
      <x:c r="A2306" t="str">
        <x:v>DW-2301</x:v>
      </x:c>
      <x:c r="B2306" t="str">
        <x:v>DW-0651</x:v>
      </x:c>
      <x:c r="C2306" t="str">
        <x:v>Composition héritée</x:v>
      </x:c>
      <x:c r="D2306" t="str">
        <x:v>industrie</x:v>
      </x:c>
      <x:c r="E2306" t="str">
        <x:v>Centrale locale — variante 03 — Entrepôt et plateforme logistique / première récupération passée</x:v>
      </x:c>
      <x:c r="F2306" t="n">
        <x:v>8</x:v>
      </x:c>
      <x:c r="G2306" t="n">
        <x:v>5</x:v>
      </x:c>
      <x:c r="H2306" t="n">
        <x:v>0</x:v>
      </x:c>
      <x:c r="I2306" t="str">
        <x:v>À qualifier par lieu</x:v>
      </x:c>
      <x:c r="J2306" t="str">
        <x:v>https://github.com/darknigthmare/deadwall-last-enclosure/blob/1b3b9c5ba232734b1bda3453b4e20a0481bcdd74/codex-3000/compositions/industrie/DW-2301.md</x:v>
      </x:c>
      <x:c r="K2306" t="str">
        <x:v>Source min 76,21 m ; max 76,21 m ; modèle 76 × 22 m ; niveaux 0. Détails dans catalogue-existant.json.</x:v>
      </x:c>
    </x:row>
    <x:row r="2307">
      <x:c r="A2307" t="str">
        <x:v>DW-2302</x:v>
      </x:c>
      <x:c r="B2307" t="str">
        <x:v>DW-0651</x:v>
      </x:c>
      <x:c r="C2307" t="str">
        <x:v>Composition héritée</x:v>
      </x:c>
      <x:c r="D2307" t="str">
        <x:v>industrie</x:v>
      </x:c>
      <x:c r="E2307" t="str">
        <x:v>Centrale locale — variante 03 — Zone industrielle / relais temporaire envisagé</x:v>
      </x:c>
      <x:c r="F2307" t="n">
        <x:v>8</x:v>
      </x:c>
      <x:c r="G2307" t="n">
        <x:v>5</x:v>
      </x:c>
      <x:c r="H2307" t="n">
        <x:v>0</x:v>
      </x:c>
      <x:c r="I2307" t="str">
        <x:v>À qualifier par lieu</x:v>
      </x:c>
      <x:c r="J2307" t="str">
        <x:v>https://github.com/darknigthmare/deadwall-last-enclosure/blob/1b3b9c5ba232734b1bda3453b4e20a0481bcdd74/codex-3000/compositions/industrie/DW-2302.md</x:v>
      </x:c>
      <x:c r="K2307" t="str">
        <x:v>Source min 76,21 m ; max 76,21 m ; modèle 76 × 22 m ; niveaux 0. Détails dans catalogue-existant.json.</x:v>
      </x:c>
    </x:row>
    <x:row r="2308">
      <x:c r="A2308" t="str">
        <x:v>DW-2303</x:v>
      </x:c>
      <x:c r="B2308" t="str">
        <x:v>DW-0652</x:v>
      </x:c>
      <x:c r="C2308" t="str">
        <x:v>Composition héritée</x:v>
      </x:c>
      <x:c r="D2308" t="str">
        <x:v>industrie</x:v>
      </x:c>
      <x:c r="E2308" t="str">
        <x:v>Station de pompage — variante 03 — Gare et fret / service déplacé à l’arrière</x:v>
      </x:c>
      <x:c r="F2308" t="n">
        <x:v>10</x:v>
      </x:c>
      <x:c r="G2308" t="n">
        <x:v>5</x:v>
      </x:c>
      <x:c r="H2308" t="n">
        <x:v>0</x:v>
      </x:c>
      <x:c r="I2308" t="str">
        <x:v>À qualifier par lieu</x:v>
      </x:c>
      <x:c r="J2308" t="str">
        <x:v>https://github.com/darknigthmare/deadwall-last-enclosure/blob/1b3b9c5ba232734b1bda3453b4e20a0481bcdd74/codex-3000/compositions/industrie/DW-2303.md</x:v>
      </x:c>
      <x:c r="K2308" t="str">
        <x:v>Source min 15,38 m ; max 15,38 m ; modèle 26 × 38 m ; niveaux 0. Détails dans catalogue-existant.json.</x:v>
      </x:c>
    </x:row>
    <x:row r="2309">
      <x:c r="A2309" t="str">
        <x:v>DW-2304</x:v>
      </x:c>
      <x:c r="B2309" t="str">
        <x:v>DW-0652</x:v>
      </x:c>
      <x:c r="C2309" t="str">
        <x:v>Composition héritée</x:v>
      </x:c>
      <x:c r="D2309" t="str">
        <x:v>industrie</x:v>
      </x:c>
      <x:c r="E2309" t="str">
        <x:v>Station de pompage — variante 03 — Atelier et artisanat / réseau principal coupé</x:v>
      </x:c>
      <x:c r="F2309" t="n">
        <x:v>8</x:v>
      </x:c>
      <x:c r="G2309" t="n">
        <x:v>5</x:v>
      </x:c>
      <x:c r="H2309" t="n">
        <x:v>0</x:v>
      </x:c>
      <x:c r="I2309" t="str">
        <x:v>À qualifier par lieu</x:v>
      </x:c>
      <x:c r="J2309" t="str">
        <x:v>https://github.com/darknigthmare/deadwall-last-enclosure/blob/1b3b9c5ba232734b1bda3453b4e20a0481bcdd74/codex-3000/compositions/industrie/DW-2304.md</x:v>
      </x:c>
      <x:c r="K2309" t="str">
        <x:v>Source min 15,38 m ; max 15,38 m ; modèle 26 × 38 m ; niveaux 0. Détails dans catalogue-existant.json.</x:v>
      </x:c>
    </x:row>
    <x:row r="2310">
      <x:c r="A2310" t="str">
        <x:v>DW-2305</x:v>
      </x:c>
      <x:c r="B2310" t="str">
        <x:v>DW-0653</x:v>
      </x:c>
      <x:c r="C2310" t="str">
        <x:v>Composition héritée</x:v>
      </x:c>
      <x:c r="D2310" t="str">
        <x:v>public</x:v>
      </x:c>
      <x:c r="E2310" t="str">
        <x:v>École — variante 03 — École, mairie et bâtiments civiques / reprise progressive de la végétation</x:v>
      </x:c>
      <x:c r="F2310" t="n">
        <x:v>8</x:v>
      </x:c>
      <x:c r="G2310" t="n">
        <x:v>5</x:v>
      </x:c>
      <x:c r="H2310" t="n">
        <x:v>0</x:v>
      </x:c>
      <x:c r="I2310" t="str">
        <x:v>À qualifier par lieu</x:v>
      </x:c>
      <x:c r="J2310" t="str">
        <x:v>https://github.com/darknigthmare/deadwall-last-enclosure/blob/1b3b9c5ba232734b1bda3453b4e20a0481bcdd74/codex-3000/compositions/public/DW-2305.md</x:v>
      </x:c>
      <x:c r="K2310" t="str">
        <x:v>Source min 26,55 m ; max 26,55 m ; modèle 26 × 55 m ; niveaux 0, 1. Détails dans catalogue-existant.json.</x:v>
      </x:c>
    </x:row>
    <x:row r="2311">
      <x:c r="A2311" t="str">
        <x:v>DW-2306</x:v>
      </x:c>
      <x:c r="B2311" t="str">
        <x:v>DW-0653</x:v>
      </x:c>
      <x:c r="C2311" t="str">
        <x:v>Composition héritée</x:v>
      </x:c>
      <x:c r="D2311" t="str">
        <x:v>public</x:v>
      </x:c>
      <x:c r="E2311" t="str">
        <x:v>École — variante 03 — Village et bourg / repli organisé interrompu</x:v>
      </x:c>
      <x:c r="F2311" t="n">
        <x:v>8</x:v>
      </x:c>
      <x:c r="G2311" t="n">
        <x:v>5</x:v>
      </x:c>
      <x:c r="H2311" t="n">
        <x:v>0</x:v>
      </x:c>
      <x:c r="I2311" t="str">
        <x:v>À qualifier par lieu</x:v>
      </x:c>
      <x:c r="J2311" t="str">
        <x:v>https://github.com/darknigthmare/deadwall-last-enclosure/blob/1b3b9c5ba232734b1bda3453b4e20a0481bcdd74/codex-3000/compositions/public/DW-2306.md</x:v>
      </x:c>
      <x:c r="K2311" t="str">
        <x:v>Source min 26,55 m ; max 26,55 m ; modèle 26 × 55 m ; niveaux 0, 1. Détails dans catalogue-existant.json.</x:v>
      </x:c>
    </x:row>
    <x:row r="2312">
      <x:c r="A2312" t="str">
        <x:v>DW-2307</x:v>
      </x:c>
      <x:c r="B2312" t="str">
        <x:v>DW-0654</x:v>
      </x:c>
      <x:c r="C2312" t="str">
        <x:v>Composition héritée</x:v>
      </x:c>
      <x:c r="D2312" t="str">
        <x:v>public</x:v>
      </x:c>
      <x:c r="E2312" t="str">
        <x:v>Mairie — variante 03 — Ville moyenne / relais temporaire envisagé</x:v>
      </x:c>
      <x:c r="F2312" t="n">
        <x:v>8</x:v>
      </x:c>
      <x:c r="G2312" t="n">
        <x:v>5</x:v>
      </x:c>
      <x:c r="H2312" t="n">
        <x:v>0</x:v>
      </x:c>
      <x:c r="I2312" t="str">
        <x:v>À qualifier par lieu</x:v>
      </x:c>
      <x:c r="J2312" t="str">
        <x:v>https://github.com/darknigthmare/deadwall-last-enclosure/blob/1b3b9c5ba232734b1bda3453b4e20a0481bcdd74/codex-3000/compositions/public/DW-2307.md</x:v>
      </x:c>
      <x:c r="K2312" t="str">
        <x:v>Source min 37,18 m ; max 37,18 m ; modèle 37 × 22 m ; niveaux 0. Détails dans catalogue-existant.json.</x:v>
      </x:c>
    </x:row>
    <x:row r="2313">
      <x:c r="A2313" t="str">
        <x:v>DW-2308</x:v>
      </x:c>
      <x:c r="B2313" t="str">
        <x:v>DW-0654</x:v>
      </x:c>
      <x:c r="C2313" t="str">
        <x:v>Composition héritée</x:v>
      </x:c>
      <x:c r="D2313" t="str">
        <x:v>public</x:v>
      </x:c>
      <x:c r="E2313" t="str">
        <x:v>Mairie — variante 03 — Centre d’évacuation abandonné / évacuation interrompue</x:v>
      </x:c>
      <x:c r="F2313" t="n">
        <x:v>8</x:v>
      </x:c>
      <x:c r="G2313" t="n">
        <x:v>5</x:v>
      </x:c>
      <x:c r="H2313" t="n">
        <x:v>0</x:v>
      </x:c>
      <x:c r="I2313" t="str">
        <x:v>À qualifier par lieu</x:v>
      </x:c>
      <x:c r="J2313" t="str">
        <x:v>https://github.com/darknigthmare/deadwall-last-enclosure/blob/1b3b9c5ba232734b1bda3453b4e20a0481bcdd74/codex-3000/compositions/public/DW-2308.md</x:v>
      </x:c>
      <x:c r="K2313" t="str">
        <x:v>Source min 37,18 m ; max 37,18 m ; modèle 37 × 22 m ; niveaux 0. Détails dans catalogue-existant.json.</x:v>
      </x:c>
    </x:row>
    <x:row r="2314">
      <x:c r="A2314" t="str">
        <x:v>DW-2309</x:v>
      </x:c>
      <x:c r="B2314" t="str">
        <x:v>DW-0655</x:v>
      </x:c>
      <x:c r="C2314" t="str">
        <x:v>Composition héritée</x:v>
      </x:c>
      <x:c r="D2314" t="str">
        <x:v>public</x:v>
      </x:c>
      <x:c r="E2314" t="str">
        <x:v>Clinique — variante 03 — Village et bourg / réseau principal coupé</x:v>
      </x:c>
      <x:c r="F2314" t="n">
        <x:v>8</x:v>
      </x:c>
      <x:c r="G2314" t="n">
        <x:v>6</x:v>
      </x:c>
      <x:c r="H2314" t="n">
        <x:v>0</x:v>
      </x:c>
      <x:c r="I2314" t="str">
        <x:v>À qualifier par lieu</x:v>
      </x:c>
      <x:c r="J2314" t="str">
        <x:v>https://github.com/darknigthmare/deadwall-last-enclosure/blob/1b3b9c5ba232734b1bda3453b4e20a0481bcdd74/codex-3000/compositions/public/DW-2309.md</x:v>
      </x:c>
      <x:c r="K2314" t="str">
        <x:v>Source min 48,35 m ; max 48,35 m ; modèle 48 × 35 m ; niveaux 0. Détails dans catalogue-existant.json.</x:v>
      </x:c>
    </x:row>
    <x:row r="2315">
      <x:c r="A2315" t="str">
        <x:v>DW-2310</x:v>
      </x:c>
      <x:c r="B2315" t="str">
        <x:v>DW-0655</x:v>
      </x:c>
      <x:c r="C2315" t="str">
        <x:v>Composition héritée</x:v>
      </x:c>
      <x:c r="D2315" t="str">
        <x:v>public</x:v>
      </x:c>
      <x:c r="E2315" t="str">
        <x:v>Clinique — variante 03 — École, mairie et bâtiments civiques / arrêt de maintenance</x:v>
      </x:c>
      <x:c r="F2315" t="n">
        <x:v>8</x:v>
      </x:c>
      <x:c r="G2315" t="n">
        <x:v>6</x:v>
      </x:c>
      <x:c r="H2315" t="n">
        <x:v>0</x:v>
      </x:c>
      <x:c r="I2315" t="str">
        <x:v>À qualifier par lieu</x:v>
      </x:c>
      <x:c r="J2315" t="str">
        <x:v>https://github.com/darknigthmare/deadwall-last-enclosure/blob/1b3b9c5ba232734b1bda3453b4e20a0481bcdd74/codex-3000/compositions/public/DW-2310.md</x:v>
      </x:c>
      <x:c r="K2315" t="str">
        <x:v>Source min 48,35 m ; max 48,35 m ; modèle 48 × 35 m ; niveaux 0. Détails dans catalogue-existant.json.</x:v>
      </x:c>
    </x:row>
    <x:row r="2316">
      <x:c r="A2316" t="str">
        <x:v>DW-2311</x:v>
      </x:c>
      <x:c r="B2316" t="str">
        <x:v>DW-0656</x:v>
      </x:c>
      <x:c r="C2316" t="str">
        <x:v>Composition héritée</x:v>
      </x:c>
      <x:c r="D2316" t="str">
        <x:v>public</x:v>
      </x:c>
      <x:c r="E2316" t="str">
        <x:v>Caserne de pompiers — variante 03 — Centre d’évacuation abandonné / repli organisé interrompu</x:v>
      </x:c>
      <x:c r="F2316" t="n">
        <x:v>8</x:v>
      </x:c>
      <x:c r="G2316" t="n">
        <x:v>6</x:v>
      </x:c>
      <x:c r="H2316" t="n">
        <x:v>0</x:v>
      </x:c>
      <x:c r="I2316" t="str">
        <x:v>À qualifier par lieu</x:v>
      </x:c>
      <x:c r="J2316" t="str">
        <x:v>https://github.com/darknigthmare/deadwall-last-enclosure/blob/1b3b9c5ba232734b1bda3453b4e20a0481bcdd74/codex-3000/compositions/public/DW-2311.md</x:v>
      </x:c>
      <x:c r="K2316" t="str">
        <x:v>Source min 59,52 m ; max 59,52 m ; modèle 59 × 52 m ; niveaux 0. Détails dans catalogue-existant.json.</x:v>
      </x:c>
    </x:row>
    <x:row r="2317">
      <x:c r="A2317" t="str">
        <x:v>DW-2312</x:v>
      </x:c>
      <x:c r="B2317" t="str">
        <x:v>DW-0656</x:v>
      </x:c>
      <x:c r="C2317" t="str">
        <x:v>Composition héritée</x:v>
      </x:c>
      <x:c r="D2317" t="str">
        <x:v>public</x:v>
      </x:c>
      <x:c r="E2317" t="str">
        <x:v>Caserne de pompiers — variante 03 — Ville moyenne / première récupération passée</x:v>
      </x:c>
      <x:c r="F2317" t="n">
        <x:v>8</x:v>
      </x:c>
      <x:c r="G2317" t="n">
        <x:v>6</x:v>
      </x:c>
      <x:c r="H2317" t="n">
        <x:v>0</x:v>
      </x:c>
      <x:c r="I2317" t="str">
        <x:v>À qualifier par lieu</x:v>
      </x:c>
      <x:c r="J2317" t="str">
        <x:v>https://github.com/darknigthmare/deadwall-last-enclosure/blob/1b3b9c5ba232734b1bda3453b4e20a0481bcdd74/codex-3000/compositions/public/DW-2312.md</x:v>
      </x:c>
      <x:c r="K2317" t="str">
        <x:v>Source min 59,52 m ; max 59,52 m ; modèle 59 × 52 m ; niveaux 0. Détails dans catalogue-existant.json.</x:v>
      </x:c>
    </x:row>
    <x:row r="2318">
      <x:c r="A2318" t="str">
        <x:v>DW-2313</x:v>
      </x:c>
      <x:c r="B2318" t="str">
        <x:v>DW-0657</x:v>
      </x:c>
      <x:c r="C2318" t="str">
        <x:v>Composition héritée</x:v>
      </x:c>
      <x:c r="D2318" t="str">
        <x:v>public</x:v>
      </x:c>
      <x:c r="E2318" t="str">
        <x:v>Poste de police — variante 03 — École, mairie et bâtiments civiques / évacuation interrompue</x:v>
      </x:c>
      <x:c r="F2318" t="n">
        <x:v>8</x:v>
      </x:c>
      <x:c r="G2318" t="n">
        <x:v>5</x:v>
      </x:c>
      <x:c r="H2318" t="n">
        <x:v>0</x:v>
      </x:c>
      <x:c r="I2318" t="str">
        <x:v>À qualifier par lieu</x:v>
      </x:c>
      <x:c r="J2318" t="str">
        <x:v>https://github.com/darknigthmare/deadwall-last-enclosure/blob/1b3b9c5ba232734b1bda3453b4e20a0481bcdd74/codex-3000/compositions/public/DW-2313.md</x:v>
      </x:c>
      <x:c r="K2318" t="str">
        <x:v>Source min 70,15 m ; max 70,15 m ; modèle 70 × 22 m ; niveaux 0, 1. Détails dans catalogue-existant.json.</x:v>
      </x:c>
    </x:row>
    <x:row r="2319">
      <x:c r="A2319" t="str">
        <x:v>DW-2314</x:v>
      </x:c>
      <x:c r="B2319" t="str">
        <x:v>DW-0657</x:v>
      </x:c>
      <x:c r="C2319" t="str">
        <x:v>Composition héritée</x:v>
      </x:c>
      <x:c r="D2319" t="str">
        <x:v>public</x:v>
      </x:c>
      <x:c r="E2319" t="str">
        <x:v>Poste de police — variante 03 — Village et bourg / service déplacé à l’arrière</x:v>
      </x:c>
      <x:c r="F2319" t="n">
        <x:v>8</x:v>
      </x:c>
      <x:c r="G2319" t="n">
        <x:v>5</x:v>
      </x:c>
      <x:c r="H2319" t="n">
        <x:v>0</x:v>
      </x:c>
      <x:c r="I2319" t="str">
        <x:v>À qualifier par lieu</x:v>
      </x:c>
      <x:c r="J2319" t="str">
        <x:v>https://github.com/darknigthmare/deadwall-last-enclosure/blob/1b3b9c5ba232734b1bda3453b4e20a0481bcdd74/codex-3000/compositions/public/DW-2314.md</x:v>
      </x:c>
      <x:c r="K2319" t="str">
        <x:v>Source min 70,15 m ; max 70,15 m ; modèle 70 × 22 m ; niveaux 0, 1. Détails dans catalogue-existant.json.</x:v>
      </x:c>
    </x:row>
    <x:row r="2320">
      <x:c r="A2320" t="str">
        <x:v>DW-2315</x:v>
      </x:c>
      <x:c r="B2320" t="str">
        <x:v>DW-0658</x:v>
      </x:c>
      <x:c r="C2320" t="str">
        <x:v>Composition héritée</x:v>
      </x:c>
      <x:c r="D2320" t="str">
        <x:v>public</x:v>
      </x:c>
      <x:c r="E2320" t="str">
        <x:v>Bibliothèque — variante 03 — Ville moyenne / arrêt de maintenance</x:v>
      </x:c>
      <x:c r="F2320" t="n">
        <x:v>8</x:v>
      </x:c>
      <x:c r="G2320" t="n">
        <x:v>5</x:v>
      </x:c>
      <x:c r="H2320" t="n">
        <x:v>0</x:v>
      </x:c>
      <x:c r="I2320" t="str">
        <x:v>À qualifier par lieu</x:v>
      </x:c>
      <x:c r="J2320" t="str">
        <x:v>https://github.com/darknigthmare/deadwall-last-enclosure/blob/1b3b9c5ba232734b1bda3453b4e20a0481bcdd74/codex-3000/compositions/public/DW-2315.md</x:v>
      </x:c>
      <x:c r="K2320" t="str">
        <x:v>Source min 81,32 m ; max 81,32 m ; modèle 78 × 32 m ; niveaux 0. Détails dans catalogue-existant.json.</x:v>
      </x:c>
    </x:row>
    <x:row r="2321">
      <x:c r="A2321" t="str">
        <x:v>DW-2316</x:v>
      </x:c>
      <x:c r="B2321" t="str">
        <x:v>DW-0658</x:v>
      </x:c>
      <x:c r="C2321" t="str">
        <x:v>Composition héritée</x:v>
      </x:c>
      <x:c r="D2321" t="str">
        <x:v>public</x:v>
      </x:c>
      <x:c r="E2321" t="str">
        <x:v>Bibliothèque — variante 03 — Centre d’évacuation abandonné / reprise progressive de la végétation</x:v>
      </x:c>
      <x:c r="F2321" t="n">
        <x:v>8</x:v>
      </x:c>
      <x:c r="G2321" t="n">
        <x:v>5</x:v>
      </x:c>
      <x:c r="H2321" t="n">
        <x:v>0</x:v>
      </x:c>
      <x:c r="I2321" t="str">
        <x:v>À qualifier par lieu</x:v>
      </x:c>
      <x:c r="J2321" t="str">
        <x:v>https://github.com/darknigthmare/deadwall-last-enclosure/blob/1b3b9c5ba232734b1bda3453b4e20a0481bcdd74/codex-3000/compositions/public/DW-2316.md</x:v>
      </x:c>
      <x:c r="K2321" t="str">
        <x:v>Source min 81,32 m ; max 81,32 m ; modèle 78 × 32 m ; niveaux 0. Détails dans catalogue-existant.json.</x:v>
      </x:c>
    </x:row>
    <x:row r="2322">
      <x:c r="A2322" t="str">
        <x:v>DW-2317</x:v>
      </x:c>
      <x:c r="B2322" t="str">
        <x:v>DW-0659</x:v>
      </x:c>
      <x:c r="C2322" t="str">
        <x:v>Composition héritée</x:v>
      </x:c>
      <x:c r="D2322" t="str">
        <x:v>public</x:v>
      </x:c>
      <x:c r="E2322" t="str">
        <x:v>Salle des fêtes — variante 03 — Village et bourg / première récupération passée</x:v>
      </x:c>
      <x:c r="F2322" t="n">
        <x:v>8</x:v>
      </x:c>
      <x:c r="G2322" t="n">
        <x:v>5</x:v>
      </x:c>
      <x:c r="H2322" t="n">
        <x:v>0</x:v>
      </x:c>
      <x:c r="I2322" t="str">
        <x:v>À qualifier par lieu</x:v>
      </x:c>
      <x:c r="J2322" t="str">
        <x:v>https://github.com/darknigthmare/deadwall-last-enclosure/blob/1b3b9c5ba232734b1bda3453b4e20a0481bcdd74/codex-3000/compositions/public/DW-2317.md</x:v>
      </x:c>
      <x:c r="K2322" t="str">
        <x:v>Source min 20,49 m ; max 20,49 m ; modèle 26 × 49 m ; niveaux 0. Détails dans catalogue-existant.json.</x:v>
      </x:c>
    </x:row>
    <x:row r="2323">
      <x:c r="A2323" t="str">
        <x:v>DW-2318</x:v>
      </x:c>
      <x:c r="B2323" t="str">
        <x:v>DW-0659</x:v>
      </x:c>
      <x:c r="C2323" t="str">
        <x:v>Composition héritée</x:v>
      </x:c>
      <x:c r="D2323" t="str">
        <x:v>public</x:v>
      </x:c>
      <x:c r="E2323" t="str">
        <x:v>Salle des fêtes — variante 03 — École, mairie et bâtiments civiques / relais temporaire envisagé</x:v>
      </x:c>
      <x:c r="F2323" t="n">
        <x:v>8</x:v>
      </x:c>
      <x:c r="G2323" t="n">
        <x:v>5</x:v>
      </x:c>
      <x:c r="H2323" t="n">
        <x:v>0</x:v>
      </x:c>
      <x:c r="I2323" t="str">
        <x:v>À qualifier par lieu</x:v>
      </x:c>
      <x:c r="J2323" t="str">
        <x:v>https://github.com/darknigthmare/deadwall-last-enclosure/blob/1b3b9c5ba232734b1bda3453b4e20a0481bcdd74/codex-3000/compositions/public/DW-2318.md</x:v>
      </x:c>
      <x:c r="K2323" t="str">
        <x:v>Source min 20,49 m ; max 20,49 m ; modèle 26 × 49 m ; niveaux 0. Détails dans catalogue-existant.json.</x:v>
      </x:c>
    </x:row>
    <x:row r="2324">
      <x:c r="A2324" t="str">
        <x:v>DW-2319</x:v>
      </x:c>
      <x:c r="B2324" t="str">
        <x:v>DW-0660</x:v>
      </x:c>
      <x:c r="C2324" t="str">
        <x:v>Composition héritée</x:v>
      </x:c>
      <x:c r="D2324" t="str">
        <x:v>public</x:v>
      </x:c>
      <x:c r="E2324" t="str">
        <x:v>Église et presbytère — variante 03 — Centre d’évacuation abandonné / service déplacé à l’arrière</x:v>
      </x:c>
      <x:c r="F2324" t="n">
        <x:v>8</x:v>
      </x:c>
      <x:c r="G2324" t="n">
        <x:v>5</x:v>
      </x:c>
      <x:c r="H2324" t="n">
        <x:v>0</x:v>
      </x:c>
      <x:c r="I2324" t="str">
        <x:v>À qualifier par lieu</x:v>
      </x:c>
      <x:c r="J2324" t="str">
        <x:v>https://github.com/darknigthmare/deadwall-last-enclosure/blob/1b3b9c5ba232734b1bda3453b4e20a0481bcdd74/codex-3000/compositions/public/DW-2319.md</x:v>
      </x:c>
      <x:c r="K2324" t="str">
        <x:v>Source min 31,12 m ; max 31,12 m ; modèle 31 × 22 m ; niveaux 0. Détails dans catalogue-existant.json.</x:v>
      </x:c>
    </x:row>
    <x:row r="2325">
      <x:c r="A2325" t="str">
        <x:v>DW-2320</x:v>
      </x:c>
      <x:c r="B2325" t="str">
        <x:v>DW-0660</x:v>
      </x:c>
      <x:c r="C2325" t="str">
        <x:v>Composition héritée</x:v>
      </x:c>
      <x:c r="D2325" t="str">
        <x:v>public</x:v>
      </x:c>
      <x:c r="E2325" t="str">
        <x:v>Église et presbytère — variante 03 — Ville moyenne / réseau principal coupé</x:v>
      </x:c>
      <x:c r="F2325" t="n">
        <x:v>8</x:v>
      </x:c>
      <x:c r="G2325" t="n">
        <x:v>5</x:v>
      </x:c>
      <x:c r="H2325" t="n">
        <x:v>0</x:v>
      </x:c>
      <x:c r="I2325" t="str">
        <x:v>À qualifier par lieu</x:v>
      </x:c>
      <x:c r="J2325" t="str">
        <x:v>https://github.com/darknigthmare/deadwall-last-enclosure/blob/1b3b9c5ba232734b1bda3453b4e20a0481bcdd74/codex-3000/compositions/public/DW-2320.md</x:v>
      </x:c>
      <x:c r="K2325" t="str">
        <x:v>Source min 31,12 m ; max 31,12 m ; modèle 31 × 22 m ; niveaux 0. Détails dans catalogue-existant.json.</x:v>
      </x:c>
    </x:row>
    <x:row r="2326">
      <x:c r="A2326" t="str">
        <x:v>DW-2321</x:v>
      </x:c>
      <x:c r="B2326" t="str">
        <x:v>DW-0661</x:v>
      </x:c>
      <x:c r="C2326" t="str">
        <x:v>Composition héritée</x:v>
      </x:c>
      <x:c r="D2326" t="str">
        <x:v>rural</x:v>
      </x:c>
      <x:c r="E2326" t="str">
        <x:v>Hameau agricole — variante 03 — Ferme, verger et pâtures / reprise progressive de la végétation</x:v>
      </x:c>
      <x:c r="F2326" t="n">
        <x:v>8</x:v>
      </x:c>
      <x:c r="G2326" t="n">
        <x:v>6</x:v>
      </x:c>
      <x:c r="H2326" t="n">
        <x:v>0</x:v>
      </x:c>
      <x:c r="I2326" t="str">
        <x:v>À qualifier par lieu</x:v>
      </x:c>
      <x:c r="J2326" t="str">
        <x:v>https://github.com/darknigthmare/deadwall-last-enclosure/blob/1b3b9c5ba232734b1bda3453b4e20a0481bcdd74/codex-3000/compositions/rural/DW-2321.md</x:v>
      </x:c>
      <x:c r="K2326" t="str">
        <x:v>Source min 42,29 m ; max 42,29 m ; modèle 42 × 29 m ; niveaux 0. Détails dans catalogue-existant.json.</x:v>
      </x:c>
    </x:row>
    <x:row r="2327">
      <x:c r="A2327" t="str">
        <x:v>DW-2322</x:v>
      </x:c>
      <x:c r="B2327" t="str">
        <x:v>DW-0661</x:v>
      </x:c>
      <x:c r="C2327" t="str">
        <x:v>Composition héritée</x:v>
      </x:c>
      <x:c r="D2327" t="str">
        <x:v>rural</x:v>
      </x:c>
      <x:c r="E2327" t="str">
        <x:v>Hameau agricole — variante 03 — Petit bois et lisière / repli organisé interrompu</x:v>
      </x:c>
      <x:c r="F2327" t="n">
        <x:v>8</x:v>
      </x:c>
      <x:c r="G2327" t="n">
        <x:v>6</x:v>
      </x:c>
      <x:c r="H2327" t="n">
        <x:v>0</x:v>
      </x:c>
      <x:c r="I2327" t="str">
        <x:v>À qualifier par lieu</x:v>
      </x:c>
      <x:c r="J2327" t="str">
        <x:v>https://github.com/darknigthmare/deadwall-last-enclosure/blob/1b3b9c5ba232734b1bda3453b4e20a0481bcdd74/codex-3000/compositions/rural/DW-2322.md</x:v>
      </x:c>
      <x:c r="K2327" t="str">
        <x:v>Source min 42,29 m ; max 42,29 m ; modèle 42 × 29 m ; niveaux 0. Détails dans catalogue-existant.json.</x:v>
      </x:c>
    </x:row>
    <x:row r="2328">
      <x:c r="A2328" t="str">
        <x:v>DW-2323</x:v>
      </x:c>
      <x:c r="B2328" t="str">
        <x:v>DW-0662</x:v>
      </x:c>
      <x:c r="C2328" t="str">
        <x:v>Composition héritée</x:v>
      </x:c>
      <x:c r="D2328" t="str">
        <x:v>rural</x:v>
      </x:c>
      <x:c r="E2328" t="str">
        <x:v>Cabane forestière — variante 03 — Prairie et friche ouverte / relais temporaire envisagé</x:v>
      </x:c>
      <x:c r="F2328" t="n">
        <x:v>8</x:v>
      </x:c>
      <x:c r="G2328" t="n">
        <x:v>4</x:v>
      </x:c>
      <x:c r="H2328" t="n">
        <x:v>0</x:v>
      </x:c>
      <x:c r="I2328" t="str">
        <x:v>À qualifier par lieu</x:v>
      </x:c>
      <x:c r="J2328" t="str">
        <x:v>https://github.com/darknigthmare/deadwall-last-enclosure/blob/1b3b9c5ba232734b1bda3453b4e20a0481bcdd74/codex-3000/compositions/rural/DW-2323.md</x:v>
      </x:c>
      <x:c r="K2328" t="str">
        <x:v>Source min 53,46 m ; max 53,46 m ; modèle 53 × 46 m ; niveaux 0. Détails dans catalogue-existant.json.</x:v>
      </x:c>
    </x:row>
    <x:row r="2329">
      <x:c r="A2329" t="str">
        <x:v>DW-2324</x:v>
      </x:c>
      <x:c r="B2329" t="str">
        <x:v>DW-0662</x:v>
      </x:c>
      <x:c r="C2329" t="str">
        <x:v>Composition héritée</x:v>
      </x:c>
      <x:c r="D2329" t="str">
        <x:v>rural</x:v>
      </x:c>
      <x:c r="E2329" t="str">
        <x:v>Cabane forestière — variante 03 — Hameau / évacuation interrompue</x:v>
      </x:c>
      <x:c r="F2329" t="n">
        <x:v>8</x:v>
      </x:c>
      <x:c r="G2329" t="n">
        <x:v>4</x:v>
      </x:c>
      <x:c r="H2329" t="n">
        <x:v>0</x:v>
      </x:c>
      <x:c r="I2329" t="str">
        <x:v>À qualifier par lieu</x:v>
      </x:c>
      <x:c r="J2329" t="str">
        <x:v>https://github.com/darknigthmare/deadwall-last-enclosure/blob/1b3b9c5ba232734b1bda3453b4e20a0481bcdd74/codex-3000/compositions/rural/DW-2324.md</x:v>
      </x:c>
      <x:c r="K2329" t="str">
        <x:v>Source min 53,46 m ; max 53,46 m ; modèle 53 × 46 m ; niveaux 0. Détails dans catalogue-existant.json.</x:v>
      </x:c>
    </x:row>
    <x:row r="2330">
      <x:c r="A2330" t="str">
        <x:v>DW-2325</x:v>
      </x:c>
      <x:c r="B2330" t="str">
        <x:v>DW-0663</x:v>
      </x:c>
      <x:c r="C2330" t="str">
        <x:v>Composition héritée</x:v>
      </x:c>
      <x:c r="D2330" t="str">
        <x:v>rural</x:v>
      </x:c>
      <x:c r="E2330" t="str">
        <x:v>Dépôt forestier — variante 03 — Petit bois et lisière / réseau principal coupé</x:v>
      </x:c>
      <x:c r="F2330" t="n">
        <x:v>8</x:v>
      </x:c>
      <x:c r="G2330" t="n">
        <x:v>5</x:v>
      </x:c>
      <x:c r="H2330" t="n">
        <x:v>0</x:v>
      </x:c>
      <x:c r="I2330" t="str">
        <x:v>À qualifier par lieu</x:v>
      </x:c>
      <x:c r="J2330" t="str">
        <x:v>https://github.com/darknigthmare/deadwall-last-enclosure/blob/1b3b9c5ba232734b1bda3453b4e20a0481bcdd74/codex-3000/compositions/rural/DW-2325.md</x:v>
      </x:c>
      <x:c r="K2330" t="str">
        <x:v>Source min 64,9 m ; max 64,9 m ; modèle 64 × 22 m ; niveaux 0. Détails dans catalogue-existant.json.</x:v>
      </x:c>
    </x:row>
    <x:row r="2331">
      <x:c r="A2331" t="str">
        <x:v>DW-2326</x:v>
      </x:c>
      <x:c r="B2331" t="str">
        <x:v>DW-0663</x:v>
      </x:c>
      <x:c r="C2331" t="str">
        <x:v>Composition héritée</x:v>
      </x:c>
      <x:c r="D2331" t="str">
        <x:v>rural</x:v>
      </x:c>
      <x:c r="E2331" t="str">
        <x:v>Dépôt forestier — variante 03 — Ferme, verger et pâtures / arrêt de maintenance</x:v>
      </x:c>
      <x:c r="F2331" t="n">
        <x:v>8</x:v>
      </x:c>
      <x:c r="G2331" t="n">
        <x:v>5</x:v>
      </x:c>
      <x:c r="H2331" t="n">
        <x:v>0</x:v>
      </x:c>
      <x:c r="I2331" t="str">
        <x:v>À qualifier par lieu</x:v>
      </x:c>
      <x:c r="J2331" t="str">
        <x:v>https://github.com/darknigthmare/deadwall-last-enclosure/blob/1b3b9c5ba232734b1bda3453b4e20a0481bcdd74/codex-3000/compositions/rural/DW-2326.md</x:v>
      </x:c>
      <x:c r="K2331" t="str">
        <x:v>Source min 64,9 m ; max 64,9 m ; modèle 64 × 22 m ; niveaux 0. Détails dans catalogue-existant.json.</x:v>
      </x:c>
    </x:row>
    <x:row r="2332">
      <x:c r="A2332" t="str">
        <x:v>DW-2327</x:v>
      </x:c>
      <x:c r="B2332" t="str">
        <x:v>DW-0664</x:v>
      </x:c>
      <x:c r="C2332" t="str">
        <x:v>Composition héritée</x:v>
      </x:c>
      <x:c r="D2332" t="str">
        <x:v>rural</x:v>
      </x:c>
      <x:c r="E2332" t="str">
        <x:v>Ferme céréalière — variante 03 — Hameau / repli organisé interrompu</x:v>
      </x:c>
      <x:c r="F2332" t="n">
        <x:v>8</x:v>
      </x:c>
      <x:c r="G2332" t="n">
        <x:v>5</x:v>
      </x:c>
      <x:c r="H2332" t="n">
        <x:v>0</x:v>
      </x:c>
      <x:c r="I2332" t="str">
        <x:v>À qualifier par lieu</x:v>
      </x:c>
      <x:c r="J2332" t="str">
        <x:v>https://github.com/darknigthmare/deadwall-last-enclosure/blob/1b3b9c5ba232734b1bda3453b4e20a0481bcdd74/codex-3000/compositions/rural/DW-2327.md</x:v>
      </x:c>
      <x:c r="K2332" t="str">
        <x:v>Source min 75,26 m ; max 75,26 m ; modèle 75 × 26 m ; niveaux 0. Détails dans catalogue-existant.json.</x:v>
      </x:c>
    </x:row>
    <x:row r="2333">
      <x:c r="A2333" t="str">
        <x:v>DW-2328</x:v>
      </x:c>
      <x:c r="B2333" t="str">
        <x:v>DW-0664</x:v>
      </x:c>
      <x:c r="C2333" t="str">
        <x:v>Composition héritée</x:v>
      </x:c>
      <x:c r="D2333" t="str">
        <x:v>rural</x:v>
      </x:c>
      <x:c r="E2333" t="str">
        <x:v>Ferme céréalière — variante 03 — Prairie et friche ouverte / première récupération passée</x:v>
      </x:c>
      <x:c r="F2333" t="n">
        <x:v>8</x:v>
      </x:c>
      <x:c r="G2333" t="n">
        <x:v>5</x:v>
      </x:c>
      <x:c r="H2333" t="n">
        <x:v>0</x:v>
      </x:c>
      <x:c r="I2333" t="str">
        <x:v>À qualifier par lieu</x:v>
      </x:c>
      <x:c r="J2333" t="str">
        <x:v>https://github.com/darknigthmare/deadwall-last-enclosure/blob/1b3b9c5ba232734b1bda3453b4e20a0481bcdd74/codex-3000/compositions/rural/DW-2328.md</x:v>
      </x:c>
      <x:c r="K2333" t="str">
        <x:v>Source min 75,26 m ; max 75,26 m ; modèle 75 × 26 m ; niveaux 0. Détails dans catalogue-existant.json.</x:v>
      </x:c>
    </x:row>
    <x:row r="2334">
      <x:c r="A2334" t="str">
        <x:v>DW-2329</x:v>
      </x:c>
      <x:c r="B2334" t="str">
        <x:v>DW-0665</x:v>
      </x:c>
      <x:c r="C2334" t="str">
        <x:v>Composition héritée</x:v>
      </x:c>
      <x:c r="D2334" t="str">
        <x:v>rural</x:v>
      </x:c>
      <x:c r="E2334" t="str">
        <x:v>Ferme d'élevage — variante 03 — Ferme, verger et pâtures / évacuation interrompue</x:v>
      </x:c>
      <x:c r="F2334" t="n">
        <x:v>8</x:v>
      </x:c>
      <x:c r="G2334" t="n">
        <x:v>5</x:v>
      </x:c>
      <x:c r="H2334" t="n">
        <x:v>0</x:v>
      </x:c>
      <x:c r="I2334" t="str">
        <x:v>À qualifier par lieu</x:v>
      </x:c>
      <x:c r="J2334" t="str">
        <x:v>https://github.com/darknigthmare/deadwall-last-enclosure/blob/1b3b9c5ba232734b1bda3453b4e20a0481bcdd74/codex-3000/compositions/rural/DW-2329.md</x:v>
      </x:c>
      <x:c r="K2334" t="str">
        <x:v>Source min 14,43 m ; max 14,43 m ; modèle 26 × 43 m ; niveaux 0. Détails dans catalogue-existant.json.</x:v>
      </x:c>
    </x:row>
    <x:row r="2335">
      <x:c r="A2335" t="str">
        <x:v>DW-2330</x:v>
      </x:c>
      <x:c r="B2335" t="str">
        <x:v>DW-0665</x:v>
      </x:c>
      <x:c r="C2335" t="str">
        <x:v>Composition héritée</x:v>
      </x:c>
      <x:c r="D2335" t="str">
        <x:v>rural</x:v>
      </x:c>
      <x:c r="E2335" t="str">
        <x:v>Ferme d'élevage — variante 03 — Petit bois et lisière / service déplacé à l’arrière</x:v>
      </x:c>
      <x:c r="F2335" t="n">
        <x:v>8</x:v>
      </x:c>
      <x:c r="G2335" t="n">
        <x:v>5</x:v>
      </x:c>
      <x:c r="H2335" t="n">
        <x:v>0</x:v>
      </x:c>
      <x:c r="I2335" t="str">
        <x:v>À qualifier par lieu</x:v>
      </x:c>
      <x:c r="J2335" t="str">
        <x:v>https://github.com/darknigthmare/deadwall-last-enclosure/blob/1b3b9c5ba232734b1bda3453b4e20a0481bcdd74/codex-3000/compositions/rural/DW-2330.md</x:v>
      </x:c>
      <x:c r="K2335" t="str">
        <x:v>Source min 14,43 m ; max 14,43 m ; modèle 26 × 43 m ; niveaux 0. Détails dans catalogue-existant.json.</x:v>
      </x:c>
    </x:row>
    <x:row r="2336">
      <x:c r="A2336" t="str">
        <x:v>DW-2331</x:v>
      </x:c>
      <x:c r="B2336" t="str">
        <x:v>DW-0666</x:v>
      </x:c>
      <x:c r="C2336" t="str">
        <x:v>Composition héritée</x:v>
      </x:c>
      <x:c r="D2336" t="str">
        <x:v>rural</x:v>
      </x:c>
      <x:c r="E2336" t="str">
        <x:v>Relais de chasse — variante 03 — Prairie et friche ouverte / arrêt de maintenance</x:v>
      </x:c>
      <x:c r="F2336" t="n">
        <x:v>8</x:v>
      </x:c>
      <x:c r="G2336" t="n">
        <x:v>4</x:v>
      </x:c>
      <x:c r="H2336" t="n">
        <x:v>0</x:v>
      </x:c>
      <x:c r="I2336" t="str">
        <x:v>À qualifier par lieu</x:v>
      </x:c>
      <x:c r="J2336" t="str">
        <x:v>https://github.com/darknigthmare/deadwall-last-enclosure/blob/1b3b9c5ba232734b1bda3453b4e20a0481bcdd74/codex-3000/compositions/rural/DW-2331.md</x:v>
      </x:c>
      <x:c r="K2336" t="str">
        <x:v>Source min 25,60 m ; max 25,60 m ; modèle 25 × 60 m ; niveaux 0. Détails dans catalogue-existant.json.</x:v>
      </x:c>
    </x:row>
    <x:row r="2337">
      <x:c r="A2337" t="str">
        <x:v>DW-2332</x:v>
      </x:c>
      <x:c r="B2337" t="str">
        <x:v>DW-0666</x:v>
      </x:c>
      <x:c r="C2337" t="str">
        <x:v>Composition héritée</x:v>
      </x:c>
      <x:c r="D2337" t="str">
        <x:v>rural</x:v>
      </x:c>
      <x:c r="E2337" t="str">
        <x:v>Relais de chasse — variante 03 — Hameau / reprise progressive de la végétation</x:v>
      </x:c>
      <x:c r="F2337" t="n">
        <x:v>8</x:v>
      </x:c>
      <x:c r="G2337" t="n">
        <x:v>4</x:v>
      </x:c>
      <x:c r="H2337" t="n">
        <x:v>0</x:v>
      </x:c>
      <x:c r="I2337" t="str">
        <x:v>À qualifier par lieu</x:v>
      </x:c>
      <x:c r="J2337" t="str">
        <x:v>https://github.com/darknigthmare/deadwall-last-enclosure/blob/1b3b9c5ba232734b1bda3453b4e20a0481bcdd74/codex-3000/compositions/rural/DW-2332.md</x:v>
      </x:c>
      <x:c r="K2337" t="str">
        <x:v>Source min 25,60 m ; max 25,60 m ; modèle 25 × 60 m ; niveaux 0. Détails dans catalogue-existant.json.</x:v>
      </x:c>
    </x:row>
    <x:row r="2338">
      <x:c r="A2338" t="str">
        <x:v>DW-2333</x:v>
      </x:c>
      <x:c r="B2338" t="str">
        <x:v>DW-0667</x:v>
      </x:c>
      <x:c r="C2338" t="str">
        <x:v>Composition héritée</x:v>
      </x:c>
      <x:c r="D2338" t="str">
        <x:v>rural</x:v>
      </x:c>
      <x:c r="E2338" t="str">
        <x:v>Moulin rural — variante 03 — Petit bois et lisière / première récupération passée</x:v>
      </x:c>
      <x:c r="F2338" t="n">
        <x:v>8</x:v>
      </x:c>
      <x:c r="G2338" t="n">
        <x:v>4</x:v>
      </x:c>
      <x:c r="H2338" t="n">
        <x:v>0</x:v>
      </x:c>
      <x:c r="I2338" t="str">
        <x:v>À qualifier par lieu</x:v>
      </x:c>
      <x:c r="J2338" t="str">
        <x:v>https://github.com/darknigthmare/deadwall-last-enclosure/blob/1b3b9c5ba232734b1bda3453b4e20a0481bcdd74/codex-3000/compositions/rural/DW-2333.md</x:v>
      </x:c>
      <x:c r="K2338" t="str">
        <x:v>Source min 36,23 m ; max 36,23 m ; modèle 36 × 23 m ; niveaux 0. Détails dans catalogue-existant.json.</x:v>
      </x:c>
    </x:row>
    <x:row r="2339">
      <x:c r="A2339" t="str">
        <x:v>DW-2334</x:v>
      </x:c>
      <x:c r="B2339" t="str">
        <x:v>DW-0667</x:v>
      </x:c>
      <x:c r="C2339" t="str">
        <x:v>Composition héritée</x:v>
      </x:c>
      <x:c r="D2339" t="str">
        <x:v>rural</x:v>
      </x:c>
      <x:c r="E2339" t="str">
        <x:v>Moulin rural — variante 03 — Ferme, verger et pâtures / relais temporaire envisagé</x:v>
      </x:c>
      <x:c r="F2339" t="n">
        <x:v>8</x:v>
      </x:c>
      <x:c r="G2339" t="n">
        <x:v>4</x:v>
      </x:c>
      <x:c r="H2339" t="n">
        <x:v>0</x:v>
      </x:c>
      <x:c r="I2339" t="str">
        <x:v>À qualifier par lieu</x:v>
      </x:c>
      <x:c r="J2339" t="str">
        <x:v>https://github.com/darknigthmare/deadwall-last-enclosure/blob/1b3b9c5ba232734b1bda3453b4e20a0481bcdd74/codex-3000/compositions/rural/DW-2334.md</x:v>
      </x:c>
      <x:c r="K2339" t="str">
        <x:v>Source min 36,23 m ; max 36,23 m ; modèle 36 × 23 m ; niveaux 0. Détails dans catalogue-existant.json.</x:v>
      </x:c>
    </x:row>
    <x:row r="2340">
      <x:c r="A2340" t="str">
        <x:v>DW-2335</x:v>
      </x:c>
      <x:c r="B2340" t="str">
        <x:v>DW-0668</x:v>
      </x:c>
      <x:c r="C2340" t="str">
        <x:v>Composition héritée</x:v>
      </x:c>
      <x:c r="D2340" t="str">
        <x:v>rural</x:v>
      </x:c>
      <x:c r="E2340" t="str">
        <x:v>Serres maraîchères — variante 03 — Hameau / service déplacé à l’arrière</x:v>
      </x:c>
      <x:c r="F2340" t="n">
        <x:v>8</x:v>
      </x:c>
      <x:c r="G2340" t="n">
        <x:v>5</x:v>
      </x:c>
      <x:c r="H2340" t="n">
        <x:v>0</x:v>
      </x:c>
      <x:c r="I2340" t="str">
        <x:v>À qualifier par lieu</x:v>
      </x:c>
      <x:c r="J2340" t="str">
        <x:v>https://github.com/darknigthmare/deadwall-last-enclosure/blob/1b3b9c5ba232734b1bda3453b4e20a0481bcdd74/codex-3000/compositions/rural/DW-2335.md</x:v>
      </x:c>
      <x:c r="K2340" t="str">
        <x:v>Source min 47,40 m ; max 47,40 m ; modèle 47 × 40 m ; niveaux 0. Détails dans catalogue-existant.json.</x:v>
      </x:c>
    </x:row>
    <x:row r="2341">
      <x:c r="A2341" t="str">
        <x:v>DW-2336</x:v>
      </x:c>
      <x:c r="B2341" t="str">
        <x:v>DW-0668</x:v>
      </x:c>
      <x:c r="C2341" t="str">
        <x:v>Composition héritée</x:v>
      </x:c>
      <x:c r="D2341" t="str">
        <x:v>rural</x:v>
      </x:c>
      <x:c r="E2341" t="str">
        <x:v>Serres maraîchères — variante 03 — Prairie et friche ouverte / réseau principal coupé</x:v>
      </x:c>
      <x:c r="F2341" t="n">
        <x:v>8</x:v>
      </x:c>
      <x:c r="G2341" t="n">
        <x:v>5</x:v>
      </x:c>
      <x:c r="H2341" t="n">
        <x:v>0</x:v>
      </x:c>
      <x:c r="I2341" t="str">
        <x:v>À qualifier par lieu</x:v>
      </x:c>
      <x:c r="J2341" t="str">
        <x:v>https://github.com/darknigthmare/deadwall-last-enclosure/blob/1b3b9c5ba232734b1bda3453b4e20a0481bcdd74/codex-3000/compositions/rural/DW-2336.md</x:v>
      </x:c>
      <x:c r="K2341" t="str">
        <x:v>Source min 47,40 m ; max 47,40 m ; modèle 47 × 40 m ; niveaux 0. Détails dans catalogue-existant.json.</x:v>
      </x:c>
    </x:row>
    <x:row r="2342">
      <x:c r="A2342" t="str">
        <x:v>DW-2337</x:v>
      </x:c>
      <x:c r="B2342" t="str">
        <x:v>DW-0669</x:v>
      </x:c>
      <x:c r="C2342" t="str">
        <x:v>Composition héritée</x:v>
      </x:c>
      <x:c r="D2342" t="str">
        <x:v>militaire</x:v>
      </x:c>
      <x:c r="E2342" t="str">
        <x:v>Bunker de défense civile — variante 03 — Grand camp allié / reprise progressive de la végétation</x:v>
      </x:c>
      <x:c r="F2342" t="n">
        <x:v>10</x:v>
      </x:c>
      <x:c r="G2342" t="n">
        <x:v>6</x:v>
      </x:c>
      <x:c r="H2342" t="n">
        <x:v>0</x:v>
      </x:c>
      <x:c r="I2342" t="str">
        <x:v>À qualifier par lieu</x:v>
      </x:c>
      <x:c r="J2342" t="str">
        <x:v>https://github.com/darknigthmare/deadwall-last-enclosure/blob/1b3b9c5ba232734b1bda3453b4e20a0481bcdd74/codex-3000/compositions/militaire/DW-2337.md</x:v>
      </x:c>
      <x:c r="K2342" t="str">
        <x:v>Source min 58,57 m ; max 58,57 m ; modèle 58 × 57 m ; niveaux 0, 1. Détails dans catalogue-existant.json.</x:v>
      </x:c>
    </x:row>
    <x:row r="2343">
      <x:c r="A2343" t="str">
        <x:v>DW-2338</x:v>
      </x:c>
      <x:c r="B2343" t="str">
        <x:v>DW-0669</x:v>
      </x:c>
      <x:c r="C2343" t="str">
        <x:v>Composition héritée</x:v>
      </x:c>
      <x:c r="D2343" t="str">
        <x:v>militaire</x:v>
      </x:c>
      <x:c r="E2343" t="str">
        <x:v>Bunker de défense civile — variante 03 — Camp de fortune / repli organisé interrompu</x:v>
      </x:c>
      <x:c r="F2343" t="n">
        <x:v>8</x:v>
      </x:c>
      <x:c r="G2343" t="n">
        <x:v>6</x:v>
      </x:c>
      <x:c r="H2343" t="n">
        <x:v>0</x:v>
      </x:c>
      <x:c r="I2343" t="str">
        <x:v>À qualifier par lieu</x:v>
      </x:c>
      <x:c r="J2343" t="str">
        <x:v>https://github.com/darknigthmare/deadwall-last-enclosure/blob/1b3b9c5ba232734b1bda3453b4e20a0481bcdd74/codex-3000/compositions/militaire/DW-2338.md</x:v>
      </x:c>
      <x:c r="K2343" t="str">
        <x:v>Source min 58,57 m ; max 58,57 m ; modèle 58 × 57 m ; niveaux 0, 1. Détails dans catalogue-existant.json.</x:v>
      </x:c>
    </x:row>
    <x:row r="2344">
      <x:c r="A2344" t="str">
        <x:v>DW-2339</x:v>
      </x:c>
      <x:c r="B2344" t="str">
        <x:v>DW-0670</x:v>
      </x:c>
      <x:c r="C2344" t="str">
        <x:v>Composition héritée</x:v>
      </x:c>
      <x:c r="D2344" t="str">
        <x:v>militaire</x:v>
      </x:c>
      <x:c r="E2344" t="str">
        <x:v>Dépôt militaire — variante 03 — Camp hostile / relais temporaire envisagé</x:v>
      </x:c>
      <x:c r="F2344" t="n">
        <x:v>10</x:v>
      </x:c>
      <x:c r="G2344" t="n">
        <x:v>5</x:v>
      </x:c>
      <x:c r="H2344" t="n">
        <x:v>0</x:v>
      </x:c>
      <x:c r="I2344" t="str">
        <x:v>À qualifier par lieu</x:v>
      </x:c>
      <x:c r="J2344" t="str">
        <x:v>https://github.com/darknigthmare/deadwall-last-enclosure/blob/1b3b9c5ba232734b1bda3453b4e20a0481bcdd74/codex-3000/compositions/militaire/DW-2339.md</x:v>
      </x:c>
      <x:c r="K2344" t="str">
        <x:v>Source min 69,20 m ; max 69,20 m ; modèle 69 × 22 m ; niveaux 0. Détails dans catalogue-existant.json.</x:v>
      </x:c>
    </x:row>
    <x:row r="2345">
      <x:c r="A2345" t="str">
        <x:v>DW-2340</x:v>
      </x:c>
      <x:c r="B2345" t="str">
        <x:v>DW-0670</x:v>
      </x:c>
      <x:c r="C2345" t="str">
        <x:v>Composition héritée</x:v>
      </x:c>
      <x:c r="D2345" t="str">
        <x:v>militaire</x:v>
      </x:c>
      <x:c r="E2345" t="str">
        <x:v>Dépôt militaire — variante 03 — Centre d’évacuation abandonné / évacuation interrompue</x:v>
      </x:c>
      <x:c r="F2345" t="n">
        <x:v>8</x:v>
      </x:c>
      <x:c r="G2345" t="n">
        <x:v>5</x:v>
      </x:c>
      <x:c r="H2345" t="n">
        <x:v>0</x:v>
      </x:c>
      <x:c r="I2345" t="str">
        <x:v>À qualifier par lieu</x:v>
      </x:c>
      <x:c r="J2345" t="str">
        <x:v>https://github.com/darknigthmare/deadwall-last-enclosure/blob/1b3b9c5ba232734b1bda3453b4e20a0481bcdd74/codex-3000/compositions/militaire/DW-2340.md</x:v>
      </x:c>
      <x:c r="K2345" t="str">
        <x:v>Source min 69,20 m ; max 69,20 m ; modèle 69 × 22 m ; niveaux 0. Détails dans catalogue-existant.json.</x:v>
      </x:c>
    </x:row>
    <x:row r="2346">
      <x:c r="A2346" t="str">
        <x:v>DW-2341</x:v>
      </x:c>
      <x:c r="B2346" t="str">
        <x:v>DW-0671</x:v>
      </x:c>
      <x:c r="C2346" t="str">
        <x:v>Composition héritée</x:v>
      </x:c>
      <x:c r="D2346" t="str">
        <x:v>militaire</x:v>
      </x:c>
      <x:c r="E2346" t="str">
        <x:v>Poste de contrôle — variante 03 — Camp de fortune / réseau principal coupé</x:v>
      </x:c>
      <x:c r="F2346" t="n">
        <x:v>8</x:v>
      </x:c>
      <x:c r="G2346" t="n">
        <x:v>5</x:v>
      </x:c>
      <x:c r="H2346" t="n">
        <x:v>0</x:v>
      </x:c>
      <x:c r="I2346" t="str">
        <x:v>À qualifier par lieu</x:v>
      </x:c>
      <x:c r="J2346" t="str">
        <x:v>https://github.com/darknigthmare/deadwall-last-enclosure/blob/1b3b9c5ba232734b1bda3453b4e20a0481bcdd74/codex-3000/compositions/militaire/DW-2341.md</x:v>
      </x:c>
      <x:c r="K2346" t="str">
        <x:v>Source min 80,37 m ; max 80,37 m ; modèle 78 × 37 m ; niveaux 0. Détails dans catalogue-existant.json.</x:v>
      </x:c>
    </x:row>
    <x:row r="2347">
      <x:c r="A2347" t="str">
        <x:v>DW-2342</x:v>
      </x:c>
      <x:c r="B2347" t="str">
        <x:v>DW-0671</x:v>
      </x:c>
      <x:c r="C2347" t="str">
        <x:v>Composition héritée</x:v>
      </x:c>
      <x:c r="D2347" t="str">
        <x:v>militaire</x:v>
      </x:c>
      <x:c r="E2347" t="str">
        <x:v>Poste de contrôle — variante 03 — Grand camp allié / arrêt de maintenance</x:v>
      </x:c>
      <x:c r="F2347" t="n">
        <x:v>10</x:v>
      </x:c>
      <x:c r="G2347" t="n">
        <x:v>5</x:v>
      </x:c>
      <x:c r="H2347" t="n">
        <x:v>0</x:v>
      </x:c>
      <x:c r="I2347" t="str">
        <x:v>À qualifier par lieu</x:v>
      </x:c>
      <x:c r="J2347" t="str">
        <x:v>https://github.com/darknigthmare/deadwall-last-enclosure/blob/1b3b9c5ba232734b1bda3453b4e20a0481bcdd74/codex-3000/compositions/militaire/DW-2342.md</x:v>
      </x:c>
      <x:c r="K2347" t="str">
        <x:v>Source min 80,37 m ; max 80,37 m ; modèle 78 × 37 m ; niveaux 0. Détails dans catalogue-existant.json.</x:v>
      </x:c>
    </x:row>
    <x:row r="2348">
      <x:c r="A2348" t="str">
        <x:v>DW-2343</x:v>
      </x:c>
      <x:c r="B2348" t="str">
        <x:v>DW-0672</x:v>
      </x:c>
      <x:c r="C2348" t="str">
        <x:v>Composition héritée</x:v>
      </x:c>
      <x:c r="D2348" t="str">
        <x:v>militaire</x:v>
      </x:c>
      <x:c r="E2348" t="str">
        <x:v>Camp retranché abandonné — variante 03 — Centre d’évacuation abandonné / repli organisé interrompu</x:v>
      </x:c>
      <x:c r="F2348" t="n">
        <x:v>8</x:v>
      </x:c>
      <x:c r="G2348" t="n">
        <x:v>5</x:v>
      </x:c>
      <x:c r="H2348" t="n">
        <x:v>0</x:v>
      </x:c>
      <x:c r="I2348" t="str">
        <x:v>À qualifier par lieu</x:v>
      </x:c>
      <x:c r="J2348" t="str">
        <x:v>https://github.com/darknigthmare/deadwall-last-enclosure/blob/1b3b9c5ba232734b1bda3453b4e20a0481bcdd74/codex-3000/compositions/militaire/DW-2343.md</x:v>
      </x:c>
      <x:c r="K2348" t="str">
        <x:v>Source min 19,54 m ; max 19,54 m ; modèle 26 × 54 m ; niveaux 0. Détails dans catalogue-existant.json.</x:v>
      </x:c>
    </x:row>
    <x:row r="2349">
      <x:c r="A2349" t="str">
        <x:v>DW-2344</x:v>
      </x:c>
      <x:c r="B2349" t="str">
        <x:v>DW-0672</x:v>
      </x:c>
      <x:c r="C2349" t="str">
        <x:v>Composition héritée</x:v>
      </x:c>
      <x:c r="D2349" t="str">
        <x:v>militaire</x:v>
      </x:c>
      <x:c r="E2349" t="str">
        <x:v>Camp retranché abandonné — variante 03 — Camp hostile / première récupération passée</x:v>
      </x:c>
      <x:c r="F2349" t="n">
        <x:v>10</x:v>
      </x:c>
      <x:c r="G2349" t="n">
        <x:v>5</x:v>
      </x:c>
      <x:c r="H2349" t="n">
        <x:v>0</x:v>
      </x:c>
      <x:c r="I2349" t="str">
        <x:v>À qualifier par lieu</x:v>
      </x:c>
      <x:c r="J2349" t="str">
        <x:v>https://github.com/darknigthmare/deadwall-last-enclosure/blob/1b3b9c5ba232734b1bda3453b4e20a0481bcdd74/codex-3000/compositions/militaire/DW-2344.md</x:v>
      </x:c>
      <x:c r="K2349" t="str">
        <x:v>Source min 19,54 m ; max 19,54 m ; modèle 26 × 54 m ; niveaux 0. Détails dans catalogue-existant.json.</x:v>
      </x:c>
    </x:row>
    <x:row r="2350">
      <x:c r="A2350" t="str">
        <x:v>DW-2345</x:v>
      </x:c>
      <x:c r="B2350" t="str">
        <x:v>DW-0673</x:v>
      </x:c>
      <x:c r="C2350" t="str">
        <x:v>Composition héritée</x:v>
      </x:c>
      <x:c r="D2350" t="str">
        <x:v>militaire</x:v>
      </x:c>
      <x:c r="E2350" t="str">
        <x:v>Abri ferroviaire — variante 03 — Grand camp allié / évacuation interrompue</x:v>
      </x:c>
      <x:c r="F2350" t="n">
        <x:v>10</x:v>
      </x:c>
      <x:c r="G2350" t="n">
        <x:v>4</x:v>
      </x:c>
      <x:c r="H2350" t="n">
        <x:v>0</x:v>
      </x:c>
      <x:c r="I2350" t="str">
        <x:v>À qualifier par lieu</x:v>
      </x:c>
      <x:c r="J2350" t="str">
        <x:v>https://github.com/darknigthmare/deadwall-last-enclosure/blob/1b3b9c5ba232734b1bda3453b4e20a0481bcdd74/codex-3000/compositions/militaire/DW-2345.md</x:v>
      </x:c>
      <x:c r="K2350" t="str">
        <x:v>Source min 30,17 m ; max 30,17 m ; modèle 30 × 18 m ; niveaux 0. Détails dans catalogue-existant.json.</x:v>
      </x:c>
    </x:row>
    <x:row r="2351">
      <x:c r="A2351" t="str">
        <x:v>DW-2346</x:v>
      </x:c>
      <x:c r="B2351" t="str">
        <x:v>DW-0673</x:v>
      </x:c>
      <x:c r="C2351" t="str">
        <x:v>Composition héritée</x:v>
      </x:c>
      <x:c r="D2351" t="str">
        <x:v>militaire</x:v>
      </x:c>
      <x:c r="E2351" t="str">
        <x:v>Abri ferroviaire — variante 03 — Camp de fortune / service déplacé à l’arrière</x:v>
      </x:c>
      <x:c r="F2351" t="n">
        <x:v>8</x:v>
      </x:c>
      <x:c r="G2351" t="n">
        <x:v>4</x:v>
      </x:c>
      <x:c r="H2351" t="n">
        <x:v>0</x:v>
      </x:c>
      <x:c r="I2351" t="str">
        <x:v>À qualifier par lieu</x:v>
      </x:c>
      <x:c r="J2351" t="str">
        <x:v>https://github.com/darknigthmare/deadwall-last-enclosure/blob/1b3b9c5ba232734b1bda3453b4e20a0481bcdd74/codex-3000/compositions/militaire/DW-2346.md</x:v>
      </x:c>
      <x:c r="K2351" t="str">
        <x:v>Source min 30,17 m ; max 30,17 m ; modèle 30 × 18 m ; niveaux 0. Détails dans catalogue-existant.json.</x:v>
      </x:c>
    </x:row>
    <x:row r="2352">
      <x:c r="A2352" t="str">
        <x:v>DW-2347</x:v>
      </x:c>
      <x:c r="B2352" t="str">
        <x:v>DW-0674</x:v>
      </x:c>
      <x:c r="C2352" t="str">
        <x:v>Composition héritée</x:v>
      </x:c>
      <x:c r="D2352" t="str">
        <x:v>militaire</x:v>
      </x:c>
      <x:c r="E2352" t="str">
        <x:v>Site radar — variante 03 — Camp hostile / arrêt de maintenance</x:v>
      </x:c>
      <x:c r="F2352" t="n">
        <x:v>10</x:v>
      </x:c>
      <x:c r="G2352" t="n">
        <x:v>5</x:v>
      </x:c>
      <x:c r="H2352" t="n">
        <x:v>0</x:v>
      </x:c>
      <x:c r="I2352" t="str">
        <x:v>À qualifier par lieu</x:v>
      </x:c>
      <x:c r="J2352" t="str">
        <x:v>https://github.com/darknigthmare/deadwall-last-enclosure/blob/1b3b9c5ba232734b1bda3453b4e20a0481bcdd74/codex-3000/compositions/militaire/DW-2347.md</x:v>
      </x:c>
      <x:c r="K2352" t="str">
        <x:v>Source min 41,34 m ; max 41,34 m ; modèle 41 × 34 m ; niveaux 0. Détails dans catalogue-existant.json.</x:v>
      </x:c>
    </x:row>
    <x:row r="2353">
      <x:c r="A2353" t="str">
        <x:v>DW-2348</x:v>
      </x:c>
      <x:c r="B2353" t="str">
        <x:v>DW-0674</x:v>
      </x:c>
      <x:c r="C2353" t="str">
        <x:v>Composition héritée</x:v>
      </x:c>
      <x:c r="D2353" t="str">
        <x:v>militaire</x:v>
      </x:c>
      <x:c r="E2353" t="str">
        <x:v>Site radar — variante 03 — Centre d’évacuation abandonné / reprise progressive de la végétation</x:v>
      </x:c>
      <x:c r="F2353" t="n">
        <x:v>8</x:v>
      </x:c>
      <x:c r="G2353" t="n">
        <x:v>5</x:v>
      </x:c>
      <x:c r="H2353" t="n">
        <x:v>0</x:v>
      </x:c>
      <x:c r="I2353" t="str">
        <x:v>À qualifier par lieu</x:v>
      </x:c>
      <x:c r="J2353" t="str">
        <x:v>https://github.com/darknigthmare/deadwall-last-enclosure/blob/1b3b9c5ba232734b1bda3453b4e20a0481bcdd74/codex-3000/compositions/militaire/DW-2348.md</x:v>
      </x:c>
      <x:c r="K2353" t="str">
        <x:v>Source min 41,34 m ; max 41,34 m ; modèle 41 × 34 m ; niveaux 0. Détails dans catalogue-existant.json.</x:v>
      </x:c>
    </x:row>
    <x:row r="2354">
      <x:c r="A2354" t="str">
        <x:v>DW-2349</x:v>
      </x:c>
      <x:c r="B2354" t="str">
        <x:v>DW-0675</x:v>
      </x:c>
      <x:c r="C2354" t="str">
        <x:v>Composition héritée</x:v>
      </x:c>
      <x:c r="D2354" t="str">
        <x:v>militaire</x:v>
      </x:c>
      <x:c r="E2354" t="str">
        <x:v>Batterie côtière — variante 03 — Camp de fortune / première récupération passée</x:v>
      </x:c>
      <x:c r="F2354" t="n">
        <x:v>8</x:v>
      </x:c>
      <x:c r="G2354" t="n">
        <x:v>4</x:v>
      </x:c>
      <x:c r="H2354" t="n">
        <x:v>0</x:v>
      </x:c>
      <x:c r="I2354" t="str">
        <x:v>À qualifier par lieu</x:v>
      </x:c>
      <x:c r="J2354" t="str">
        <x:v>https://github.com/darknigthmare/deadwall-last-enclosure/blob/1b3b9c5ba232734b1bda3453b4e20a0481bcdd74/codex-3000/compositions/militaire/DW-2349.md</x:v>
      </x:c>
      <x:c r="K2354" t="str">
        <x:v>Source min 52,51 m ; max 52,51 m ; modèle 52 × 51 m ; niveaux 0. Détails dans catalogue-existant.json.</x:v>
      </x:c>
    </x:row>
    <x:row r="2355">
      <x:c r="A2355" t="str">
        <x:v>DW-2350</x:v>
      </x:c>
      <x:c r="B2355" t="str">
        <x:v>DW-0675</x:v>
      </x:c>
      <x:c r="C2355" t="str">
        <x:v>Composition héritée</x:v>
      </x:c>
      <x:c r="D2355" t="str">
        <x:v>militaire</x:v>
      </x:c>
      <x:c r="E2355" t="str">
        <x:v>Batterie côtière — variante 03 — Grand camp allié / relais temporaire envisagé</x:v>
      </x:c>
      <x:c r="F2355" t="n">
        <x:v>10</x:v>
      </x:c>
      <x:c r="G2355" t="n">
        <x:v>4</x:v>
      </x:c>
      <x:c r="H2355" t="n">
        <x:v>0</x:v>
      </x:c>
      <x:c r="I2355" t="str">
        <x:v>À qualifier par lieu</x:v>
      </x:c>
      <x:c r="J2355" t="str">
        <x:v>https://github.com/darknigthmare/deadwall-last-enclosure/blob/1b3b9c5ba232734b1bda3453b4e20a0481bcdd74/codex-3000/compositions/militaire/DW-2350.md</x:v>
      </x:c>
      <x:c r="K2355" t="str">
        <x:v>Source min 52,51 m ; max 52,51 m ; modèle 52 × 51 m ; niveaux 0. Détails dans catalogue-existant.json.</x:v>
      </x:c>
    </x:row>
    <x:row r="2356">
      <x:c r="A2356" t="str">
        <x:v>DW-2351</x:v>
      </x:c>
      <x:c r="B2356" t="str">
        <x:v>DW-0676</x:v>
      </x:c>
      <x:c r="C2356" t="str">
        <x:v>Composition héritée</x:v>
      </x:c>
      <x:c r="D2356" t="str">
        <x:v>militaire</x:v>
      </x:c>
      <x:c r="E2356" t="str">
        <x:v>Dépôt carburant sécurisé — variante 03 — Centre d’évacuation abandonné / service déplacé à l’arrière</x:v>
      </x:c>
      <x:c r="F2356" t="n">
        <x:v>8</x:v>
      </x:c>
      <x:c r="G2356" t="n">
        <x:v>5</x:v>
      </x:c>
      <x:c r="H2356" t="n">
        <x:v>0</x:v>
      </x:c>
      <x:c r="I2356" t="str">
        <x:v>À qualifier par lieu</x:v>
      </x:c>
      <x:c r="J2356" t="str">
        <x:v>https://github.com/darknigthmare/deadwall-last-enclosure/blob/1b3b9c5ba232734b1bda3453b4e20a0481bcdd74/codex-3000/compositions/militaire/DW-2351.md</x:v>
      </x:c>
      <x:c r="K2356" t="str">
        <x:v>Source min 63,14 m ; max 63,14 m ; modèle 63 × 22 m ; niveaux 0. Détails dans catalogue-existant.json.</x:v>
      </x:c>
    </x:row>
    <x:row r="2357">
      <x:c r="A2357" t="str">
        <x:v>DW-2352</x:v>
      </x:c>
      <x:c r="B2357" t="str">
        <x:v>DW-0676</x:v>
      </x:c>
      <x:c r="C2357" t="str">
        <x:v>Composition héritée</x:v>
      </x:c>
      <x:c r="D2357" t="str">
        <x:v>militaire</x:v>
      </x:c>
      <x:c r="E2357" t="str">
        <x:v>Dépôt carburant sécurisé — variante 03 — Camp hostile / réseau principal coupé</x:v>
      </x:c>
      <x:c r="F2357" t="n">
        <x:v>10</x:v>
      </x:c>
      <x:c r="G2357" t="n">
        <x:v>5</x:v>
      </x:c>
      <x:c r="H2357" t="n">
        <x:v>0</x:v>
      </x:c>
      <x:c r="I2357" t="str">
        <x:v>À qualifier par lieu</x:v>
      </x:c>
      <x:c r="J2357" t="str">
        <x:v>https://github.com/darknigthmare/deadwall-last-enclosure/blob/1b3b9c5ba232734b1bda3453b4e20a0481bcdd74/codex-3000/compositions/militaire/DW-2352.md</x:v>
      </x:c>
      <x:c r="K2357" t="str">
        <x:v>Source min 63,14 m ; max 63,14 m ; modèle 63 × 22 m ; niveaux 0. Détails dans catalogue-existant.json.</x:v>
      </x:c>
    </x:row>
    <x:row r="2358">
      <x:c r="A2358" t="str">
        <x:v>DW-2353</x:v>
      </x:c>
      <x:c r="B2358" t="str">
        <x:v>DW-0677</x:v>
      </x:c>
      <x:c r="C2358" t="str">
        <x:v>Composition héritée</x:v>
      </x:c>
      <x:c r="D2358" t="str">
        <x:v>transport</x:v>
      </x:c>
      <x:c r="E2358" t="str">
        <x:v>Gare routière — variante 03 — Station-service et aire routière / reprise progressive de la végétation</x:v>
      </x:c>
      <x:c r="F2358" t="n">
        <x:v>8</x:v>
      </x:c>
      <x:c r="G2358" t="n">
        <x:v>5</x:v>
      </x:c>
      <x:c r="H2358" t="n">
        <x:v>0</x:v>
      </x:c>
      <x:c r="I2358" t="str">
        <x:v>À qualifier par lieu</x:v>
      </x:c>
      <x:c r="J2358" t="str">
        <x:v>https://github.com/darknigthmare/deadwall-last-enclosure/blob/1b3b9c5ba232734b1bda3453b4e20a0481bcdd74/codex-3000/compositions/transport/DW-2353.md</x:v>
      </x:c>
      <x:c r="K2358" t="str">
        <x:v>Source min 74,31 m ; max 74,31 m ; modèle 74 × 31 m ; niveaux 0. Détails dans catalogue-existant.json.</x:v>
      </x:c>
    </x:row>
    <x:row r="2359">
      <x:c r="A2359" t="str">
        <x:v>DW-2354</x:v>
      </x:c>
      <x:c r="B2359" t="str">
        <x:v>DW-0677</x:v>
      </x:c>
      <x:c r="C2359" t="str">
        <x:v>Composition héritée</x:v>
      </x:c>
      <x:c r="D2359" t="str">
        <x:v>transport</x:v>
      </x:c>
      <x:c r="E2359" t="str">
        <x:v>Gare routière — variante 03 — Port marchand / repli organisé interrompu</x:v>
      </x:c>
      <x:c r="F2359" t="n">
        <x:v>10</x:v>
      </x:c>
      <x:c r="G2359" t="n">
        <x:v>5</x:v>
      </x:c>
      <x:c r="H2359" t="n">
        <x:v>0</x:v>
      </x:c>
      <x:c r="I2359" t="str">
        <x:v>À qualifier par lieu</x:v>
      </x:c>
      <x:c r="J2359" t="str">
        <x:v>https://github.com/darknigthmare/deadwall-last-enclosure/blob/1b3b9c5ba232734b1bda3453b4e20a0481bcdd74/codex-3000/compositions/transport/DW-2354.md</x:v>
      </x:c>
      <x:c r="K2359" t="str">
        <x:v>Source min 74,31 m ; max 74,31 m ; modèle 74 × 31 m ; niveaux 0. Détails dans catalogue-existant.json.</x:v>
      </x:c>
    </x:row>
    <x:row r="2360">
      <x:c r="A2360" t="str">
        <x:v>DW-2355</x:v>
      </x:c>
      <x:c r="B2360" t="str">
        <x:v>DW-0678</x:v>
      </x:c>
      <x:c r="C2360" t="str">
        <x:v>Composition héritée</x:v>
      </x:c>
      <x:c r="D2360" t="str">
        <x:v>transport</x:v>
      </x:c>
      <x:c r="E2360" t="str">
        <x:v>Dépôt de bus — variante 03 — Gare et fret / relais temporaire envisagé</x:v>
      </x:c>
      <x:c r="F2360" t="n">
        <x:v>10</x:v>
      </x:c>
      <x:c r="G2360" t="n">
        <x:v>5</x:v>
      </x:c>
      <x:c r="H2360" t="n">
        <x:v>0</x:v>
      </x:c>
      <x:c r="I2360" t="str">
        <x:v>À qualifier par lieu</x:v>
      </x:c>
      <x:c r="J2360" t="str">
        <x:v>https://github.com/darknigthmare/deadwall-last-enclosure/blob/1b3b9c5ba232734b1bda3453b4e20a0481bcdd74/codex-3000/compositions/transport/DW-2355.md</x:v>
      </x:c>
      <x:c r="K2360" t="str">
        <x:v>Source min 13,48 m ; max 13,48 m ; modèle 26 × 48 m ; niveaux 0. Détails dans catalogue-existant.json.</x:v>
      </x:c>
    </x:row>
    <x:row r="2361">
      <x:c r="A2361" t="str">
        <x:v>DW-2356</x:v>
      </x:c>
      <x:c r="B2361" t="str">
        <x:v>DW-0678</x:v>
      </x:c>
      <x:c r="C2361" t="str">
        <x:v>Composition héritée</x:v>
      </x:c>
      <x:c r="D2361" t="str">
        <x:v>transport</x:v>
      </x:c>
      <x:c r="E2361" t="str">
        <x:v>Dépôt de bus — variante 03 — Routes et coutures territoriales / évacuation interrompue</x:v>
      </x:c>
      <x:c r="F2361" t="n">
        <x:v>10</x:v>
      </x:c>
      <x:c r="G2361" t="n">
        <x:v>5</x:v>
      </x:c>
      <x:c r="H2361" t="n">
        <x:v>0</x:v>
      </x:c>
      <x:c r="I2361" t="str">
        <x:v>À qualifier par lieu</x:v>
      </x:c>
      <x:c r="J2361" t="str">
        <x:v>https://github.com/darknigthmare/deadwall-last-enclosure/blob/1b3b9c5ba232734b1bda3453b4e20a0481bcdd74/codex-3000/compositions/transport/DW-2356.md</x:v>
      </x:c>
      <x:c r="K2361" t="str">
        <x:v>Source min 13,48 m ; max 13,48 m ; modèle 26 × 48 m ; niveaux 0. Détails dans catalogue-existant.json.</x:v>
      </x:c>
    </x:row>
    <x:row r="2362">
      <x:c r="A2362" t="str">
        <x:v>DW-2357</x:v>
      </x:c>
      <x:c r="B2362" t="str">
        <x:v>DW-0679</x:v>
      </x:c>
      <x:c r="C2362" t="str">
        <x:v>Composition héritée</x:v>
      </x:c>
      <x:c r="D2362" t="str">
        <x:v>transport</x:v>
      </x:c>
      <x:c r="E2362" t="str">
        <x:v>Gare ferroviaire — variante 03 — Port marchand / réseau principal coupé</x:v>
      </x:c>
      <x:c r="F2362" t="n">
        <x:v>10</x:v>
      </x:c>
      <x:c r="G2362" t="n">
        <x:v>5</x:v>
      </x:c>
      <x:c r="H2362" t="n">
        <x:v>0</x:v>
      </x:c>
      <x:c r="I2362" t="str">
        <x:v>À qualifier par lieu</x:v>
      </x:c>
      <x:c r="J2362" t="str">
        <x:v>https://github.com/darknigthmare/deadwall-last-enclosure/blob/1b3b9c5ba232734b1bda3453b4e20a0481bcdd74/codex-3000/compositions/transport/DW-2357.md</x:v>
      </x:c>
      <x:c r="K2362" t="str">
        <x:v>Source min 24,11 m ; max 24,11 m ; modèle 26 × 22 m ; niveaux 0. Détails dans catalogue-existant.json.</x:v>
      </x:c>
    </x:row>
    <x:row r="2363">
      <x:c r="A2363" t="str">
        <x:v>DW-2358</x:v>
      </x:c>
      <x:c r="B2363" t="str">
        <x:v>DW-0679</x:v>
      </x:c>
      <x:c r="C2363" t="str">
        <x:v>Composition héritée</x:v>
      </x:c>
      <x:c r="D2363" t="str">
        <x:v>transport</x:v>
      </x:c>
      <x:c r="E2363" t="str">
        <x:v>Gare ferroviaire — variante 03 — Station-service et aire routière / arrêt de maintenance</x:v>
      </x:c>
      <x:c r="F2363" t="n">
        <x:v>8</x:v>
      </x:c>
      <x:c r="G2363" t="n">
        <x:v>5</x:v>
      </x:c>
      <x:c r="H2363" t="n">
        <x:v>0</x:v>
      </x:c>
      <x:c r="I2363" t="str">
        <x:v>À qualifier par lieu</x:v>
      </x:c>
      <x:c r="J2363" t="str">
        <x:v>https://github.com/darknigthmare/deadwall-last-enclosure/blob/1b3b9c5ba232734b1bda3453b4e20a0481bcdd74/codex-3000/compositions/transport/DW-2358.md</x:v>
      </x:c>
      <x:c r="K2363" t="str">
        <x:v>Source min 24,11 m ; max 24,11 m ; modèle 26 × 22 m ; niveaux 0. Détails dans catalogue-existant.json.</x:v>
      </x:c>
    </x:row>
    <x:row r="2364">
      <x:c r="A2364" t="str">
        <x:v>DW-2359</x:v>
      </x:c>
      <x:c r="B2364" t="str">
        <x:v>DW-0680</x:v>
      </x:c>
      <x:c r="C2364" t="str">
        <x:v>Composition héritée</x:v>
      </x:c>
      <x:c r="D2364" t="str">
        <x:v>transport</x:v>
      </x:c>
      <x:c r="E2364" t="str">
        <x:v>Aire d'autoroute — variante 03 — Routes et coutures territoriales / repli organisé interrompu</x:v>
      </x:c>
      <x:c r="F2364" t="n">
        <x:v>10</x:v>
      </x:c>
      <x:c r="G2364" t="n">
        <x:v>5</x:v>
      </x:c>
      <x:c r="H2364" t="n">
        <x:v>0</x:v>
      </x:c>
      <x:c r="I2364" t="str">
        <x:v>À qualifier par lieu</x:v>
      </x:c>
      <x:c r="J2364" t="str">
        <x:v>https://github.com/darknigthmare/deadwall-last-enclosure/blob/1b3b9c5ba232734b1bda3453b4e20a0481bcdd74/codex-3000/compositions/transport/DW-2359.md</x:v>
      </x:c>
      <x:c r="K2364" t="str">
        <x:v>Source min 35,28 m ; max 35,28 m ; modèle 35 × 28 m ; niveaux 0. Détails dans catalogue-existant.json.</x:v>
      </x:c>
    </x:row>
    <x:row r="2365">
      <x:c r="A2365" t="str">
        <x:v>DW-2360</x:v>
      </x:c>
      <x:c r="B2365" t="str">
        <x:v>DW-0680</x:v>
      </x:c>
      <x:c r="C2365" t="str">
        <x:v>Composition héritée</x:v>
      </x:c>
      <x:c r="D2365" t="str">
        <x:v>transport</x:v>
      </x:c>
      <x:c r="E2365" t="str">
        <x:v>Aire d'autoroute — variante 03 — Gare et fret / première récupération passée</x:v>
      </x:c>
      <x:c r="F2365" t="n">
        <x:v>10</x:v>
      </x:c>
      <x:c r="G2365" t="n">
        <x:v>5</x:v>
      </x:c>
      <x:c r="H2365" t="n">
        <x:v>0</x:v>
      </x:c>
      <x:c r="I2365" t="str">
        <x:v>À qualifier par lieu</x:v>
      </x:c>
      <x:c r="J2365" t="str">
        <x:v>https://github.com/darknigthmare/deadwall-last-enclosure/blob/1b3b9c5ba232734b1bda3453b4e20a0481bcdd74/codex-3000/compositions/transport/DW-2360.md</x:v>
      </x:c>
      <x:c r="K2365" t="str">
        <x:v>Source min 35,28 m ; max 35,28 m ; modèle 35 × 28 m ; niveaux 0. Détails dans catalogue-existant.json.</x:v>
      </x:c>
    </x:row>
    <x:row r="2366">
      <x:c r="A2366" t="str">
        <x:v>DW-2361</x:v>
      </x:c>
      <x:c r="B2366" t="str">
        <x:v>DW-0681</x:v>
      </x:c>
      <x:c r="C2366" t="str">
        <x:v>Composition héritée</x:v>
      </x:c>
      <x:c r="D2366" t="str">
        <x:v>transport</x:v>
      </x:c>
      <x:c r="E2366" t="str">
        <x:v>Parking silo — variante 03 — Station-service et aire routière / évacuation interrompue</x:v>
      </x:c>
      <x:c r="F2366" t="n">
        <x:v>8</x:v>
      </x:c>
      <x:c r="G2366" t="n">
        <x:v>4</x:v>
      </x:c>
      <x:c r="H2366" t="n">
        <x:v>0</x:v>
      </x:c>
      <x:c r="I2366" t="str">
        <x:v>À qualifier par lieu</x:v>
      </x:c>
      <x:c r="J2366" t="str">
        <x:v>https://github.com/darknigthmare/deadwall-last-enclosure/blob/1b3b9c5ba232734b1bda3453b4e20a0481bcdd74/codex-3000/compositions/transport/DW-2361.md</x:v>
      </x:c>
      <x:c r="K2366" t="str">
        <x:v>Source min 46,45 m ; max 46,45 m ; modèle 46 × 45 m ; niveaux 0. Détails dans catalogue-existant.json.</x:v>
      </x:c>
    </x:row>
    <x:row r="2367">
      <x:c r="A2367" t="str">
        <x:v>DW-2362</x:v>
      </x:c>
      <x:c r="B2367" t="str">
        <x:v>DW-0681</x:v>
      </x:c>
      <x:c r="C2367" t="str">
        <x:v>Composition héritée</x:v>
      </x:c>
      <x:c r="D2367" t="str">
        <x:v>transport</x:v>
      </x:c>
      <x:c r="E2367" t="str">
        <x:v>Parking silo — variante 03 — Port marchand / service déplacé à l’arrière</x:v>
      </x:c>
      <x:c r="F2367" t="n">
        <x:v>10</x:v>
      </x:c>
      <x:c r="G2367" t="n">
        <x:v>4</x:v>
      </x:c>
      <x:c r="H2367" t="n">
        <x:v>0</x:v>
      </x:c>
      <x:c r="I2367" t="str">
        <x:v>À qualifier par lieu</x:v>
      </x:c>
      <x:c r="J2367" t="str">
        <x:v>https://github.com/darknigthmare/deadwall-last-enclosure/blob/1b3b9c5ba232734b1bda3453b4e20a0481bcdd74/codex-3000/compositions/transport/DW-2362.md</x:v>
      </x:c>
      <x:c r="K2367" t="str">
        <x:v>Source min 46,45 m ; max 46,45 m ; modèle 46 × 45 m ; niveaux 0. Détails dans catalogue-existant.json.</x:v>
      </x:c>
    </x:row>
    <x:row r="2368">
      <x:c r="A2368" t="str">
        <x:v>DW-2363</x:v>
      </x:c>
      <x:c r="B2368" t="str">
        <x:v>DW-0682</x:v>
      </x:c>
      <x:c r="C2368" t="str">
        <x:v>Composition héritée</x:v>
      </x:c>
      <x:c r="D2368" t="str">
        <x:v>transport</x:v>
      </x:c>
      <x:c r="E2368" t="str">
        <x:v>Terminal poids lourds — variante 03 — Gare et fret / arrêt de maintenance</x:v>
      </x:c>
      <x:c r="F2368" t="n">
        <x:v>10</x:v>
      </x:c>
      <x:c r="G2368" t="n">
        <x:v>5</x:v>
      </x:c>
      <x:c r="H2368" t="n">
        <x:v>0</x:v>
      </x:c>
      <x:c r="I2368" t="str">
        <x:v>À qualifier par lieu</x:v>
      </x:c>
      <x:c r="J2368" t="str">
        <x:v>https://github.com/darknigthmare/deadwall-last-enclosure/blob/1b3b9c5ba232734b1bda3453b4e20a0481bcdd74/codex-3000/compositions/transport/DW-2363.md</x:v>
      </x:c>
      <x:c r="K2368" t="str">
        <x:v>Source min 57,62 m ; max 57,62 m ; modèle 57 × 62 m ; niveaux 0. Détails dans catalogue-existant.json.</x:v>
      </x:c>
    </x:row>
    <x:row r="2369">
      <x:c r="A2369" t="str">
        <x:v>DW-2364</x:v>
      </x:c>
      <x:c r="B2369" t="str">
        <x:v>DW-0682</x:v>
      </x:c>
      <x:c r="C2369" t="str">
        <x:v>Composition héritée</x:v>
      </x:c>
      <x:c r="D2369" t="str">
        <x:v>transport</x:v>
      </x:c>
      <x:c r="E2369" t="str">
        <x:v>Terminal poids lourds — variante 03 — Routes et coutures territoriales / reprise progressive de la végétation</x:v>
      </x:c>
      <x:c r="F2369" t="n">
        <x:v>10</x:v>
      </x:c>
      <x:c r="G2369" t="n">
        <x:v>5</x:v>
      </x:c>
      <x:c r="H2369" t="n">
        <x:v>0</x:v>
      </x:c>
      <x:c r="I2369" t="str">
        <x:v>À qualifier par lieu</x:v>
      </x:c>
      <x:c r="J2369" t="str">
        <x:v>https://github.com/darknigthmare/deadwall-last-enclosure/blob/1b3b9c5ba232734b1bda3453b4e20a0481bcdd74/codex-3000/compositions/transport/DW-2364.md</x:v>
      </x:c>
      <x:c r="K2369" t="str">
        <x:v>Source min 57,62 m ; max 57,62 m ; modèle 57 × 62 m ; niveaux 0. Détails dans catalogue-existant.json.</x:v>
      </x:c>
    </x:row>
    <x:row r="2370">
      <x:c r="A2370" t="str">
        <x:v>DW-2365</x:v>
      </x:c>
      <x:c r="B2370" t="str">
        <x:v>DW-0683</x:v>
      </x:c>
      <x:c r="C2370" t="str">
        <x:v>Composition héritée</x:v>
      </x:c>
      <x:c r="D2370" t="str">
        <x:v>transport</x:v>
      </x:c>
      <x:c r="E2370" t="str">
        <x:v>Port de plaisance — variante 03 — Port marchand / première récupération passée</x:v>
      </x:c>
      <x:c r="F2370" t="n">
        <x:v>10</x:v>
      </x:c>
      <x:c r="G2370" t="n">
        <x:v>5</x:v>
      </x:c>
      <x:c r="H2370" t="n">
        <x:v>0</x:v>
      </x:c>
      <x:c r="I2370" t="str">
        <x:v>À qualifier par lieu</x:v>
      </x:c>
      <x:c r="J2370" t="str">
        <x:v>https://github.com/darknigthmare/deadwall-last-enclosure/blob/1b3b9c5ba232734b1bda3453b4e20a0481bcdd74/codex-3000/compositions/transport/DW-2365.md</x:v>
      </x:c>
      <x:c r="K2370" t="str">
        <x:v>Source min 68,25 m ; max 68,25 m ; modèle 68 × 25 m ; niveaux 0. Détails dans catalogue-existant.json.</x:v>
      </x:c>
    </x:row>
    <x:row r="2371">
      <x:c r="A2371" t="str">
        <x:v>DW-2366</x:v>
      </x:c>
      <x:c r="B2371" t="str">
        <x:v>DW-0683</x:v>
      </x:c>
      <x:c r="C2371" t="str">
        <x:v>Composition héritée</x:v>
      </x:c>
      <x:c r="D2371" t="str">
        <x:v>transport</x:v>
      </x:c>
      <x:c r="E2371" t="str">
        <x:v>Port de plaisance — variante 03 — Station-service et aire routière / relais temporaire envisagé</x:v>
      </x:c>
      <x:c r="F2371" t="n">
        <x:v>8</x:v>
      </x:c>
      <x:c r="G2371" t="n">
        <x:v>5</x:v>
      </x:c>
      <x:c r="H2371" t="n">
        <x:v>0</x:v>
      </x:c>
      <x:c r="I2371" t="str">
        <x:v>À qualifier par lieu</x:v>
      </x:c>
      <x:c r="J2371" t="str">
        <x:v>https://github.com/darknigthmare/deadwall-last-enclosure/blob/1b3b9c5ba232734b1bda3453b4e20a0481bcdd74/codex-3000/compositions/transport/DW-2366.md</x:v>
      </x:c>
      <x:c r="K2371" t="str">
        <x:v>Source min 68,25 m ; max 68,25 m ; modèle 68 × 25 m ; niveaux 0. Détails dans catalogue-existant.json.</x:v>
      </x:c>
    </x:row>
    <x:row r="2372">
      <x:c r="A2372" t="str">
        <x:v>DW-2367</x:v>
      </x:c>
      <x:c r="B2372" t="str">
        <x:v>DW-0684</x:v>
      </x:c>
      <x:c r="C2372" t="str">
        <x:v>Composition héritée</x:v>
      </x:c>
      <x:c r="D2372" t="str">
        <x:v>transport</x:v>
      </x:c>
      <x:c r="E2372" t="str">
        <x:v>Petit aérodrome — variante 03 — Routes et coutures territoriales / service déplacé à l’arrière</x:v>
      </x:c>
      <x:c r="F2372" t="n">
        <x:v>10</x:v>
      </x:c>
      <x:c r="G2372" t="n">
        <x:v>5</x:v>
      </x:c>
      <x:c r="H2372" t="n">
        <x:v>0</x:v>
      </x:c>
      <x:c r="I2372" t="str">
        <x:v>À qualifier par lieu</x:v>
      </x:c>
      <x:c r="J2372" t="str">
        <x:v>https://github.com/darknigthmare/deadwall-last-enclosure/blob/1b3b9c5ba232734b1bda3453b4e20a0481bcdd74/codex-3000/compositions/transport/DW-2367.md</x:v>
      </x:c>
      <x:c r="K2372" t="str">
        <x:v>Source min 79,42 m ; max 79,42 m ; modèle 78 × 42 m ; niveaux 0. Détails dans catalogue-existant.json.</x:v>
      </x:c>
    </x:row>
    <x:row r="2373">
      <x:c r="A2373" t="str">
        <x:v>DW-2368</x:v>
      </x:c>
      <x:c r="B2373" t="str">
        <x:v>DW-0684</x:v>
      </x:c>
      <x:c r="C2373" t="str">
        <x:v>Composition héritée</x:v>
      </x:c>
      <x:c r="D2373" t="str">
        <x:v>transport</x:v>
      </x:c>
      <x:c r="E2373" t="str">
        <x:v>Petit aérodrome — variante 03 — Gare et fret / réseau principal coupé</x:v>
      </x:c>
      <x:c r="F2373" t="n">
        <x:v>10</x:v>
      </x:c>
      <x:c r="G2373" t="n">
        <x:v>5</x:v>
      </x:c>
      <x:c r="H2373" t="n">
        <x:v>0</x:v>
      </x:c>
      <x:c r="I2373" t="str">
        <x:v>À qualifier par lieu</x:v>
      </x:c>
      <x:c r="J2373" t="str">
        <x:v>https://github.com/darknigthmare/deadwall-last-enclosure/blob/1b3b9c5ba232734b1bda3453b4e20a0481bcdd74/codex-3000/compositions/transport/DW-2368.md</x:v>
      </x:c>
      <x:c r="K2373" t="str">
        <x:v>Source min 79,42 m ; max 79,42 m ; modèle 78 × 42 m ; niveaux 0. Détails dans catalogue-existant.json.</x:v>
      </x:c>
    </x:row>
    <x:row r="2374">
      <x:c r="A2374" t="str">
        <x:v>DW-2369</x:v>
      </x:c>
      <x:c r="B2374" t="str">
        <x:v>DW-0685</x:v>
      </x:c>
      <x:c r="C2374" t="str">
        <x:v>Composition héritée</x:v>
      </x:c>
      <x:c r="D2374" t="str">
        <x:v>ruines</x:v>
      </x:c>
      <x:c r="E2374" t="str">
        <x:v>Maison incendiée — variante 03 — Ruine envahie et reprise végétale / reprise progressive de la végétation</x:v>
      </x:c>
      <x:c r="F2374" t="n">
        <x:v>8</x:v>
      </x:c>
      <x:c r="G2374" t="n">
        <x:v>3</x:v>
      </x:c>
      <x:c r="H2374" t="n">
        <x:v>0</x:v>
      </x:c>
      <x:c r="I2374" t="str">
        <x:v>À qualifier par lieu</x:v>
      </x:c>
      <x:c r="J2374" t="str">
        <x:v>https://github.com/darknigthmare/deadwall-last-enclosure/blob/1b3b9c5ba232734b1bda3453b4e20a0481bcdd74/codex-3000/compositions/ruines/DW-2369.md</x:v>
      </x:c>
      <x:c r="K2374" t="str">
        <x:v>Source min 18,59 m ; max 18,59 m ; modèle 24 × 59 m ; niveaux 0, 1. Détails dans catalogue-existant.json.</x:v>
      </x:c>
    </x:row>
    <x:row r="2375">
      <x:c r="A2375" t="str">
        <x:v>DW-2370</x:v>
      </x:c>
      <x:c r="B2375" t="str">
        <x:v>DW-0685</x:v>
      </x:c>
      <x:c r="C2375" t="str">
        <x:v>Composition héritée</x:v>
      </x:c>
      <x:c r="D2375" t="str">
        <x:v>ruines</x:v>
      </x:c>
      <x:c r="E2375" t="str">
        <x:v>Maison incendiée — variante 03 — Zone industrielle / repli organisé interrompu</x:v>
      </x:c>
      <x:c r="F2375" t="n">
        <x:v>8</x:v>
      </x:c>
      <x:c r="G2375" t="n">
        <x:v>3</x:v>
      </x:c>
      <x:c r="H2375" t="n">
        <x:v>0</x:v>
      </x:c>
      <x:c r="I2375" t="str">
        <x:v>À qualifier par lieu</x:v>
      </x:c>
      <x:c r="J2375" t="str">
        <x:v>https://github.com/darknigthmare/deadwall-last-enclosure/blob/1b3b9c5ba232734b1bda3453b4e20a0481bcdd74/codex-3000/compositions/ruines/DW-2370.md</x:v>
      </x:c>
      <x:c r="K2375" t="str">
        <x:v>Source min 18,59 m ; max 18,59 m ; modèle 24 × 59 m ; niveaux 0, 1. Détails dans catalogue-existant.json.</x:v>
      </x:c>
    </x:row>
    <x:row r="2376">
      <x:c r="A2376" t="str">
        <x:v>DW-2371</x:v>
      </x:c>
      <x:c r="B2376" t="str">
        <x:v>DW-0686</x:v>
      </x:c>
      <x:c r="C2376" t="str">
        <x:v>Composition héritée</x:v>
      </x:c>
      <x:c r="D2376" t="str">
        <x:v>ruines</x:v>
      </x:c>
      <x:c r="E2376" t="str">
        <x:v>Immeuble éventré — variante 03 — Centre ancien / relais temporaire envisagé</x:v>
      </x:c>
      <x:c r="F2376" t="n">
        <x:v>8</x:v>
      </x:c>
      <x:c r="G2376" t="n">
        <x:v>4</x:v>
      </x:c>
      <x:c r="H2376" t="n">
        <x:v>0</x:v>
      </x:c>
      <x:c r="I2376" t="str">
        <x:v>À qualifier par lieu</x:v>
      </x:c>
      <x:c r="J2376" t="str">
        <x:v>https://github.com/darknigthmare/deadwall-last-enclosure/blob/1b3b9c5ba232734b1bda3453b4e20a0481bcdd74/codex-3000/compositions/ruines/DW-2371.md</x:v>
      </x:c>
      <x:c r="K2376" t="str">
        <x:v>Source min 29,22 m ; max 29,22 m ; modèle 29 × 22 m ; niveaux 0, 1, 2. Détails dans catalogue-existant.json.</x:v>
      </x:c>
    </x:row>
    <x:row r="2377">
      <x:c r="A2377" t="str">
        <x:v>DW-2372</x:v>
      </x:c>
      <x:c r="B2377" t="str">
        <x:v>DW-0686</x:v>
      </x:c>
      <x:c r="C2377" t="str">
        <x:v>Composition héritée</x:v>
      </x:c>
      <x:c r="D2377" t="str">
        <x:v>ruines</x:v>
      </x:c>
      <x:c r="E2377" t="str">
        <x:v>Immeuble éventré — variante 03 — Petit bois et lisière / évacuation interrompue</x:v>
      </x:c>
      <x:c r="F2377" t="n">
        <x:v>8</x:v>
      </x:c>
      <x:c r="G2377" t="n">
        <x:v>4</x:v>
      </x:c>
      <x:c r="H2377" t="n">
        <x:v>0</x:v>
      </x:c>
      <x:c r="I2377" t="str">
        <x:v>À qualifier par lieu</x:v>
      </x:c>
      <x:c r="J2377" t="str">
        <x:v>https://github.com/darknigthmare/deadwall-last-enclosure/blob/1b3b9c5ba232734b1bda3453b4e20a0481bcdd74/codex-3000/compositions/ruines/DW-2372.md</x:v>
      </x:c>
      <x:c r="K2377" t="str">
        <x:v>Source min 29,22 m ; max 29,22 m ; modèle 29 × 22 m ; niveaux 0, 1, 2. Détails dans catalogue-existant.json.</x:v>
      </x:c>
    </x:row>
    <x:row r="2378">
      <x:c r="A2378" t="str">
        <x:v>DW-2373</x:v>
      </x:c>
      <x:c r="B2378" t="str">
        <x:v>DW-0687</x:v>
      </x:c>
      <x:c r="C2378" t="str">
        <x:v>Composition héritée</x:v>
      </x:c>
      <x:c r="D2378" t="str">
        <x:v>ruines</x:v>
      </x:c>
      <x:c r="E2378" t="str">
        <x:v>Commerce pillé — variante 03 — Zone industrielle / réseau principal coupé</x:v>
      </x:c>
      <x:c r="F2378" t="n">
        <x:v>8</x:v>
      </x:c>
      <x:c r="G2378" t="n">
        <x:v>4</x:v>
      </x:c>
      <x:c r="H2378" t="n">
        <x:v>0</x:v>
      </x:c>
      <x:c r="I2378" t="str">
        <x:v>À qualifier par lieu</x:v>
      </x:c>
      <x:c r="J2378" t="str">
        <x:v>https://github.com/darknigthmare/deadwall-last-enclosure/blob/1b3b9c5ba232734b1bda3453b4e20a0481bcdd74/codex-3000/compositions/ruines/DW-2373.md</x:v>
      </x:c>
      <x:c r="K2378" t="str">
        <x:v>Source min 40,39 m ; max 40,39 m ; modèle 40 × 39 m ; niveaux 0. Détails dans catalogue-existant.json.</x:v>
      </x:c>
    </x:row>
    <x:row r="2379">
      <x:c r="A2379" t="str">
        <x:v>DW-2374</x:v>
      </x:c>
      <x:c r="B2379" t="str">
        <x:v>DW-0687</x:v>
      </x:c>
      <x:c r="C2379" t="str">
        <x:v>Composition héritée</x:v>
      </x:c>
      <x:c r="D2379" t="str">
        <x:v>ruines</x:v>
      </x:c>
      <x:c r="E2379" t="str">
        <x:v>Commerce pillé — variante 03 — Ruine envahie et reprise végétale / arrêt de maintenance</x:v>
      </x:c>
      <x:c r="F2379" t="n">
        <x:v>8</x:v>
      </x:c>
      <x:c r="G2379" t="n">
        <x:v>4</x:v>
      </x:c>
      <x:c r="H2379" t="n">
        <x:v>0</x:v>
      </x:c>
      <x:c r="I2379" t="str">
        <x:v>À qualifier par lieu</x:v>
      </x:c>
      <x:c r="J2379" t="str">
        <x:v>https://github.com/darknigthmare/deadwall-last-enclosure/blob/1b3b9c5ba232734b1bda3453b4e20a0481bcdd74/codex-3000/compositions/ruines/DW-2374.md</x:v>
      </x:c>
      <x:c r="K2379" t="str">
        <x:v>Source min 40,39 m ; max 40,39 m ; modèle 40 × 39 m ; niveaux 0. Détails dans catalogue-existant.json.</x:v>
      </x:c>
    </x:row>
    <x:row r="2380">
      <x:c r="A2380" t="str">
        <x:v>DW-2375</x:v>
      </x:c>
      <x:c r="B2380" t="str">
        <x:v>DW-0688</x:v>
      </x:c>
      <x:c r="C2380" t="str">
        <x:v>Composition héritée</x:v>
      </x:c>
      <x:c r="D2380" t="str">
        <x:v>ruines</x:v>
      </x:c>
      <x:c r="E2380" t="str">
        <x:v>Usine sinistrée — variante 03 — Petit bois et lisière / repli organisé interrompu</x:v>
      </x:c>
      <x:c r="F2380" t="n">
        <x:v>8</x:v>
      </x:c>
      <x:c r="G2380" t="n">
        <x:v>4</x:v>
      </x:c>
      <x:c r="H2380" t="n">
        <x:v>0</x:v>
      </x:c>
      <x:c r="I2380" t="str">
        <x:v>À qualifier par lieu</x:v>
      </x:c>
      <x:c r="J2380" t="str">
        <x:v>https://github.com/darknigthmare/deadwall-last-enclosure/blob/1b3b9c5ba232734b1bda3453b4e20a0481bcdd74/codex-3000/compositions/ruines/DW-2375.md</x:v>
      </x:c>
      <x:c r="K2380" t="str">
        <x:v>Source min 51,56 m ; max 51,56 m ; modèle 51 × 56 m ; niveaux 0. Détails dans catalogue-existant.json.</x:v>
      </x:c>
    </x:row>
    <x:row r="2381">
      <x:c r="A2381" t="str">
        <x:v>DW-2376</x:v>
      </x:c>
      <x:c r="B2381" t="str">
        <x:v>DW-0688</x:v>
      </x:c>
      <x:c r="C2381" t="str">
        <x:v>Composition héritée</x:v>
      </x:c>
      <x:c r="D2381" t="str">
        <x:v>ruines</x:v>
      </x:c>
      <x:c r="E2381" t="str">
        <x:v>Usine sinistrée — variante 03 — Centre ancien / première récupération passée</x:v>
      </x:c>
      <x:c r="F2381" t="n">
        <x:v>8</x:v>
      </x:c>
      <x:c r="G2381" t="n">
        <x:v>4</x:v>
      </x:c>
      <x:c r="H2381" t="n">
        <x:v>0</x:v>
      </x:c>
      <x:c r="I2381" t="str">
        <x:v>À qualifier par lieu</x:v>
      </x:c>
      <x:c r="J2381" t="str">
        <x:v>https://github.com/darknigthmare/deadwall-last-enclosure/blob/1b3b9c5ba232734b1bda3453b4e20a0481bcdd74/codex-3000/compositions/ruines/DW-2376.md</x:v>
      </x:c>
      <x:c r="K2381" t="str">
        <x:v>Source min 51,56 m ; max 51,56 m ; modèle 51 × 56 m ; niveaux 0. Détails dans catalogue-existant.json.</x:v>
      </x:c>
    </x:row>
    <x:row r="2382">
      <x:c r="A2382" t="str">
        <x:v>DW-2377</x:v>
      </x:c>
      <x:c r="B2382" t="str">
        <x:v>DW-0689</x:v>
      </x:c>
      <x:c r="C2382" t="str">
        <x:v>Composition héritée</x:v>
      </x:c>
      <x:c r="D2382" t="str">
        <x:v>ruines</x:v>
      </x:c>
      <x:c r="E2382" t="str">
        <x:v>Hôtel abandonné — variante 03 — Ruine envahie et reprise végétale / évacuation interrompue</x:v>
      </x:c>
      <x:c r="F2382" t="n">
        <x:v>8</x:v>
      </x:c>
      <x:c r="G2382" t="n">
        <x:v>5</x:v>
      </x:c>
      <x:c r="H2382" t="n">
        <x:v>0</x:v>
      </x:c>
      <x:c r="I2382" t="str">
        <x:v>À qualifier par lieu</x:v>
      </x:c>
      <x:c r="J2382" t="str">
        <x:v>https://github.com/darknigthmare/deadwall-last-enclosure/blob/1b3b9c5ba232734b1bda3453b4e20a0481bcdd74/codex-3000/compositions/ruines/DW-2377.md</x:v>
      </x:c>
      <x:c r="K2382" t="str">
        <x:v>Source min 62,19 m ; max 62,19 m ; modèle 62 × 22 m ; niveaux 0, 1. Détails dans catalogue-existant.json.</x:v>
      </x:c>
    </x:row>
    <x:row r="2383">
      <x:c r="A2383" t="str">
        <x:v>DW-2378</x:v>
      </x:c>
      <x:c r="B2383" t="str">
        <x:v>DW-0689</x:v>
      </x:c>
      <x:c r="C2383" t="str">
        <x:v>Composition héritée</x:v>
      </x:c>
      <x:c r="D2383" t="str">
        <x:v>ruines</x:v>
      </x:c>
      <x:c r="E2383" t="str">
        <x:v>Hôtel abandonné — variante 03 — Zone industrielle / service déplacé à l’arrière</x:v>
      </x:c>
      <x:c r="F2383" t="n">
        <x:v>8</x:v>
      </x:c>
      <x:c r="G2383" t="n">
        <x:v>5</x:v>
      </x:c>
      <x:c r="H2383" t="n">
        <x:v>0</x:v>
      </x:c>
      <x:c r="I2383" t="str">
        <x:v>À qualifier par lieu</x:v>
      </x:c>
      <x:c r="J2383" t="str">
        <x:v>https://github.com/darknigthmare/deadwall-last-enclosure/blob/1b3b9c5ba232734b1bda3453b4e20a0481bcdd74/codex-3000/compositions/ruines/DW-2378.md</x:v>
      </x:c>
      <x:c r="K2383" t="str">
        <x:v>Source min 62,19 m ; max 62,19 m ; modèle 62 × 22 m ; niveaux 0, 1. Détails dans catalogue-existant.json.</x:v>
      </x:c>
    </x:row>
    <x:row r="2384">
      <x:c r="A2384" t="str">
        <x:v>DW-2379</x:v>
      </x:c>
      <x:c r="B2384" t="str">
        <x:v>DW-0690</x:v>
      </x:c>
      <x:c r="C2384" t="str">
        <x:v>Composition héritée</x:v>
      </x:c>
      <x:c r="D2384" t="str">
        <x:v>ruines</x:v>
      </x:c>
      <x:c r="E2384" t="str">
        <x:v>Lotissement ravagé — variante 03 — Centre ancien / arrêt de maintenance</x:v>
      </x:c>
      <x:c r="F2384" t="n">
        <x:v>8</x:v>
      </x:c>
      <x:c r="G2384" t="n">
        <x:v>4</x:v>
      </x:c>
      <x:c r="H2384" t="n">
        <x:v>0</x:v>
      </x:c>
      <x:c r="I2384" t="str">
        <x:v>À qualifier par lieu</x:v>
      </x:c>
      <x:c r="J2384" t="str">
        <x:v>https://github.com/darknigthmare/deadwall-last-enclosure/blob/1b3b9c5ba232734b1bda3453b4e20a0481bcdd74/codex-3000/compositions/ruines/DW-2379.md</x:v>
      </x:c>
      <x:c r="K2384" t="str">
        <x:v>Source min 73,36 m ; max 73,36 m ; modèle 73 × 36 m ; niveaux 0. Détails dans catalogue-existant.json.</x:v>
      </x:c>
    </x:row>
    <x:row r="2385">
      <x:c r="A2385" t="str">
        <x:v>DW-2380</x:v>
      </x:c>
      <x:c r="B2385" t="str">
        <x:v>DW-0690</x:v>
      </x:c>
      <x:c r="C2385" t="str">
        <x:v>Composition héritée</x:v>
      </x:c>
      <x:c r="D2385" t="str">
        <x:v>ruines</x:v>
      </x:c>
      <x:c r="E2385" t="str">
        <x:v>Lotissement ravagé — variante 03 — Petit bois et lisière / reprise progressive de la végétation</x:v>
      </x:c>
      <x:c r="F2385" t="n">
        <x:v>8</x:v>
      </x:c>
      <x:c r="G2385" t="n">
        <x:v>4</x:v>
      </x:c>
      <x:c r="H2385" t="n">
        <x:v>0</x:v>
      </x:c>
      <x:c r="I2385" t="str">
        <x:v>À qualifier par lieu</x:v>
      </x:c>
      <x:c r="J2385" t="str">
        <x:v>https://github.com/darknigthmare/deadwall-last-enclosure/blob/1b3b9c5ba232734b1bda3453b4e20a0481bcdd74/codex-3000/compositions/ruines/DW-2380.md</x:v>
      </x:c>
      <x:c r="K2385" t="str">
        <x:v>Source min 73,36 m ; max 73,36 m ; modèle 73 × 36 m ; niveaux 0. Détails dans catalogue-existant.json.</x:v>
      </x:c>
    </x:row>
    <x:row r="2386">
      <x:c r="A2386" t="str">
        <x:v>DW-2381</x:v>
      </x:c>
      <x:c r="B2386" t="str">
        <x:v>DW-0691</x:v>
      </x:c>
      <x:c r="C2386" t="str">
        <x:v>Composition héritée</x:v>
      </x:c>
      <x:c r="D2386" t="str">
        <x:v>ruines</x:v>
      </x:c>
      <x:c r="E2386" t="str">
        <x:v>Village déserté — variante 03 — Zone industrielle / première récupération passée</x:v>
      </x:c>
      <x:c r="F2386" t="n">
        <x:v>8</x:v>
      </x:c>
      <x:c r="G2386" t="n">
        <x:v>5</x:v>
      </x:c>
      <x:c r="H2386" t="n">
        <x:v>0</x:v>
      </x:c>
      <x:c r="I2386" t="str">
        <x:v>À qualifier par lieu</x:v>
      </x:c>
      <x:c r="J2386" t="str">
        <x:v>https://github.com/darknigthmare/deadwall-last-enclosure/blob/1b3b9c5ba232734b1bda3453b4e20a0481bcdd74/codex-3000/compositions/ruines/DW-2381.md</x:v>
      </x:c>
      <x:c r="K2386" t="str">
        <x:v>Source min 12,53 m ; max 12,53 m ; modèle 26 × 53 m ; niveaux 0. Détails dans catalogue-existant.json.</x:v>
      </x:c>
    </x:row>
    <x:row r="2387">
      <x:c r="A2387" t="str">
        <x:v>DW-2382</x:v>
      </x:c>
      <x:c r="B2387" t="str">
        <x:v>DW-0691</x:v>
      </x:c>
      <x:c r="C2387" t="str">
        <x:v>Composition héritée</x:v>
      </x:c>
      <x:c r="D2387" t="str">
        <x:v>ruines</x:v>
      </x:c>
      <x:c r="E2387" t="str">
        <x:v>Village déserté — variante 03 — Ruine envahie et reprise végétale / relais temporaire envisagé</x:v>
      </x:c>
      <x:c r="F2387" t="n">
        <x:v>8</x:v>
      </x:c>
      <x:c r="G2387" t="n">
        <x:v>5</x:v>
      </x:c>
      <x:c r="H2387" t="n">
        <x:v>0</x:v>
      </x:c>
      <x:c r="I2387" t="str">
        <x:v>À qualifier par lieu</x:v>
      </x:c>
      <x:c r="J2387" t="str">
        <x:v>https://github.com/darknigthmare/deadwall-last-enclosure/blob/1b3b9c5ba232734b1bda3453b4e20a0481bcdd74/codex-3000/compositions/ruines/DW-2382.md</x:v>
      </x:c>
      <x:c r="K2387" t="str">
        <x:v>Source min 12,53 m ; max 12,53 m ; modèle 26 × 53 m ; niveaux 0. Détails dans catalogue-existant.json.</x:v>
      </x:c>
    </x:row>
    <x:row r="2388">
      <x:c r="A2388" t="str">
        <x:v>DW-2383</x:v>
      </x:c>
      <x:c r="B2388" t="str">
        <x:v>DW-0692</x:v>
      </x:c>
      <x:c r="C2388" t="str">
        <x:v>Composition héritée</x:v>
      </x:c>
      <x:c r="D2388" t="str">
        <x:v>ruines</x:v>
      </x:c>
      <x:c r="E2388" t="str">
        <x:v>Centre commercial effondré — variante 03 — Petit bois et lisière / service déplacé à l’arrière</x:v>
      </x:c>
      <x:c r="F2388" t="n">
        <x:v>8</x:v>
      </x:c>
      <x:c r="G2388" t="n">
        <x:v>5</x:v>
      </x:c>
      <x:c r="H2388" t="n">
        <x:v>0</x:v>
      </x:c>
      <x:c r="I2388" t="str">
        <x:v>À qualifier par lieu</x:v>
      </x:c>
      <x:c r="J2388" t="str">
        <x:v>https://github.com/darknigthmare/deadwall-last-enclosure/blob/1b3b9c5ba232734b1bda3453b4e20a0481bcdd74/codex-3000/compositions/ruines/DW-2383.md</x:v>
      </x:c>
      <x:c r="K2388" t="str">
        <x:v>Source min 23,16 m ; max 23,16 m ; modèle 26 × 22 m ; niveaux 0. Détails dans catalogue-existant.json.</x:v>
      </x:c>
    </x:row>
    <x:row r="2389">
      <x:c r="A2389" t="str">
        <x:v>DW-2384</x:v>
      </x:c>
      <x:c r="B2389" t="str">
        <x:v>DW-0692</x:v>
      </x:c>
      <x:c r="C2389" t="str">
        <x:v>Composition héritée</x:v>
      </x:c>
      <x:c r="D2389" t="str">
        <x:v>ruines</x:v>
      </x:c>
      <x:c r="E2389" t="str">
        <x:v>Centre commercial effondré — variante 03 — Centre ancien / réseau principal coupé</x:v>
      </x:c>
      <x:c r="F2389" t="n">
        <x:v>8</x:v>
      </x:c>
      <x:c r="G2389" t="n">
        <x:v>5</x:v>
      </x:c>
      <x:c r="H2389" t="n">
        <x:v>0</x:v>
      </x:c>
      <x:c r="I2389" t="str">
        <x:v>À qualifier par lieu</x:v>
      </x:c>
      <x:c r="J2389" t="str">
        <x:v>https://github.com/darknigthmare/deadwall-last-enclosure/blob/1b3b9c5ba232734b1bda3453b4e20a0481bcdd74/codex-3000/compositions/ruines/DW-2384.md</x:v>
      </x:c>
      <x:c r="K2389" t="str">
        <x:v>Source min 23,16 m ; max 23,16 m ; modèle 26 × 22 m ; niveaux 0. Détails dans catalogue-existant.json.</x:v>
      </x:c>
    </x:row>
    <x:row r="2390">
      <x:c r="A2390" t="str">
        <x:v>DW-2385</x:v>
      </x:c>
      <x:c r="B2390" t="str">
        <x:v>DW-0693</x:v>
      </x:c>
      <x:c r="C2390" t="str">
        <x:v>Composition héritée</x:v>
      </x:c>
      <x:c r="D2390" t="str">
        <x:v>habitat</x:v>
      </x:c>
      <x:c r="E2390" t="str">
        <x:v>Maison de lotissement — variante 04 — Quartier pavillonnaire / reprise progressive de la végétation</x:v>
      </x:c>
      <x:c r="F2390" t="n">
        <x:v>8</x:v>
      </x:c>
      <x:c r="G2390" t="n">
        <x:v>5</x:v>
      </x:c>
      <x:c r="H2390" t="n">
        <x:v>0</x:v>
      </x:c>
      <x:c r="I2390" t="str">
        <x:v>À qualifier par lieu</x:v>
      </x:c>
      <x:c r="J2390" t="str">
        <x:v>https://github.com/darknigthmare/deadwall-last-enclosure/blob/1b3b9c5ba232734b1bda3453b4e20a0481bcdd74/codex-3000/compositions/habitat/DW-2385.md</x:v>
      </x:c>
      <x:c r="K2390" t="str">
        <x:v>Source min 34,33 m ; max 34,33 m ; modèle 34 × 33 m ; niveaux 0, 1. Détails dans catalogue-existant.json.</x:v>
      </x:c>
    </x:row>
    <x:row r="2391">
      <x:c r="A2391" t="str">
        <x:v>DW-2386</x:v>
      </x:c>
      <x:c r="B2391" t="str">
        <x:v>DW-0693</x:v>
      </x:c>
      <x:c r="C2391" t="str">
        <x:v>Composition héritée</x:v>
      </x:c>
      <x:c r="D2391" t="str">
        <x:v>habitat</x:v>
      </x:c>
      <x:c r="E2391" t="str">
        <x:v>Maison de lotissement — variante 04 — Village et bourg / repli organisé interrompu</x:v>
      </x:c>
      <x:c r="F2391" t="n">
        <x:v>8</x:v>
      </x:c>
      <x:c r="G2391" t="n">
        <x:v>5</x:v>
      </x:c>
      <x:c r="H2391" t="n">
        <x:v>0</x:v>
      </x:c>
      <x:c r="I2391" t="str">
        <x:v>À qualifier par lieu</x:v>
      </x:c>
      <x:c r="J2391" t="str">
        <x:v>https://github.com/darknigthmare/deadwall-last-enclosure/blob/1b3b9c5ba232734b1bda3453b4e20a0481bcdd74/codex-3000/compositions/habitat/DW-2386.md</x:v>
      </x:c>
      <x:c r="K2391" t="str">
        <x:v>Source min 34,33 m ; max 34,33 m ; modèle 34 × 33 m ; niveaux 0, 1. Détails dans catalogue-existant.json.</x:v>
      </x:c>
    </x:row>
    <x:row r="2392">
      <x:c r="A2392" t="str">
        <x:v>DW-2387</x:v>
      </x:c>
      <x:c r="B2392" t="str">
        <x:v>DW-0694</x:v>
      </x:c>
      <x:c r="C2392" t="str">
        <x:v>Composition héritée</x:v>
      </x:c>
      <x:c r="D2392" t="str">
        <x:v>habitat</x:v>
      </x:c>
      <x:c r="E2392" t="str">
        <x:v>Maison mitoyenne — variante 04 — Hameau / relais temporaire envisagé</x:v>
      </x:c>
      <x:c r="F2392" t="n">
        <x:v>8</x:v>
      </x:c>
      <x:c r="G2392" t="n">
        <x:v>5</x:v>
      </x:c>
      <x:c r="H2392" t="n">
        <x:v>0</x:v>
      </x:c>
      <x:c r="I2392" t="str">
        <x:v>À qualifier par lieu</x:v>
      </x:c>
      <x:c r="J2392" t="str">
        <x:v>https://github.com/darknigthmare/deadwall-last-enclosure/blob/1b3b9c5ba232734b1bda3453b4e20a0481bcdd74/codex-3000/compositions/habitat/DW-2387.md</x:v>
      </x:c>
      <x:c r="K2392" t="str">
        <x:v>Source min 45,50 m ; max 45,50 m ; modèle 45 × 50 m ; niveaux 0. Détails dans catalogue-existant.json.</x:v>
      </x:c>
    </x:row>
    <x:row r="2393">
      <x:c r="A2393" t="str">
        <x:v>DW-2388</x:v>
      </x:c>
      <x:c r="B2393" t="str">
        <x:v>DW-0694</x:v>
      </x:c>
      <x:c r="C2393" t="str">
        <x:v>Composition héritée</x:v>
      </x:c>
      <x:c r="D2393" t="str">
        <x:v>habitat</x:v>
      </x:c>
      <x:c r="E2393" t="str">
        <x:v>Maison mitoyenne — variante 04 — Quartier collectif / évacuation interrompue</x:v>
      </x:c>
      <x:c r="F2393" t="n">
        <x:v>8</x:v>
      </x:c>
      <x:c r="G2393" t="n">
        <x:v>5</x:v>
      </x:c>
      <x:c r="H2393" t="n">
        <x:v>0</x:v>
      </x:c>
      <x:c r="I2393" t="str">
        <x:v>À qualifier par lieu</x:v>
      </x:c>
      <x:c r="J2393" t="str">
        <x:v>https://github.com/darknigthmare/deadwall-last-enclosure/blob/1b3b9c5ba232734b1bda3453b4e20a0481bcdd74/codex-3000/compositions/habitat/DW-2388.md</x:v>
      </x:c>
      <x:c r="K2393" t="str">
        <x:v>Source min 45,50 m ; max 45,50 m ; modèle 45 × 50 m ; niveaux 0. Détails dans catalogue-existant.json.</x:v>
      </x:c>
    </x:row>
    <x:row r="2394">
      <x:c r="A2394" t="str">
        <x:v>DW-2389</x:v>
      </x:c>
      <x:c r="B2394" t="str">
        <x:v>DW-0695</x:v>
      </x:c>
      <x:c r="C2394" t="str">
        <x:v>Composition héritée</x:v>
      </x:c>
      <x:c r="D2394" t="str">
        <x:v>habitat</x:v>
      </x:c>
      <x:c r="E2394" t="str">
        <x:v>Villa isolée — variante 04 — Village et bourg / réseau principal coupé</x:v>
      </x:c>
      <x:c r="F2394" t="n">
        <x:v>8</x:v>
      </x:c>
      <x:c r="G2394" t="n">
        <x:v>7</x:v>
      </x:c>
      <x:c r="H2394" t="n">
        <x:v>0</x:v>
      </x:c>
      <x:c r="I2394" t="str">
        <x:v>À qualifier par lieu</x:v>
      </x:c>
      <x:c r="J2394" t="str">
        <x:v>https://github.com/darknigthmare/deadwall-last-enclosure/blob/1b3b9c5ba232734b1bda3453b4e20a0481bcdd74/codex-3000/compositions/habitat/DW-2389.md</x:v>
      </x:c>
      <x:c r="K2394" t="str">
        <x:v>Source min 56,13 m ; max 56,13 m ; modèle 56 × 29 m ; niveaux 0. Détails dans catalogue-existant.json.</x:v>
      </x:c>
    </x:row>
    <x:row r="2395">
      <x:c r="A2395" t="str">
        <x:v>DW-2390</x:v>
      </x:c>
      <x:c r="B2395" t="str">
        <x:v>DW-0695</x:v>
      </x:c>
      <x:c r="C2395" t="str">
        <x:v>Composition héritée</x:v>
      </x:c>
      <x:c r="D2395" t="str">
        <x:v>habitat</x:v>
      </x:c>
      <x:c r="E2395" t="str">
        <x:v>Villa isolée — variante 04 — Quartier pavillonnaire / arrêt de maintenance</x:v>
      </x:c>
      <x:c r="F2395" t="n">
        <x:v>8</x:v>
      </x:c>
      <x:c r="G2395" t="n">
        <x:v>7</x:v>
      </x:c>
      <x:c r="H2395" t="n">
        <x:v>0</x:v>
      </x:c>
      <x:c r="I2395" t="str">
        <x:v>À qualifier par lieu</x:v>
      </x:c>
      <x:c r="J2395" t="str">
        <x:v>https://github.com/darknigthmare/deadwall-last-enclosure/blob/1b3b9c5ba232734b1bda3453b4e20a0481bcdd74/codex-3000/compositions/habitat/DW-2390.md</x:v>
      </x:c>
      <x:c r="K2395" t="str">
        <x:v>Source min 56,13 m ; max 56,13 m ; modèle 56 × 29 m ; niveaux 0. Détails dans catalogue-existant.json.</x:v>
      </x:c>
    </x:row>
    <x:row r="2396">
      <x:c r="A2396" t="str">
        <x:v>DW-2391</x:v>
      </x:c>
      <x:c r="B2396" t="str">
        <x:v>DW-0696</x:v>
      </x:c>
      <x:c r="C2396" t="str">
        <x:v>Composition héritée</x:v>
      </x:c>
      <x:c r="D2396" t="str">
        <x:v>habitat</x:v>
      </x:c>
      <x:c r="E2396" t="str">
        <x:v>Ferme familiale — variante 04 — Quartier collectif / repli organisé interrompu</x:v>
      </x:c>
      <x:c r="F2396" t="n">
        <x:v>8</x:v>
      </x:c>
      <x:c r="G2396" t="n">
        <x:v>6</x:v>
      </x:c>
      <x:c r="H2396" t="n">
        <x:v>0</x:v>
      </x:c>
      <x:c r="I2396" t="str">
        <x:v>À qualifier par lieu</x:v>
      </x:c>
      <x:c r="J2396" t="str">
        <x:v>https://github.com/darknigthmare/deadwall-last-enclosure/blob/1b3b9c5ba232734b1bda3453b4e20a0481bcdd74/codex-3000/compositions/habitat/DW-2391.md</x:v>
      </x:c>
      <x:c r="K2396" t="str">
        <x:v>Source min 67,30 m ; max 67,30 m ; modèle 67 × 30 m ; niveaux 0. Détails dans catalogue-existant.json.</x:v>
      </x:c>
    </x:row>
    <x:row r="2397">
      <x:c r="A2397" t="str">
        <x:v>DW-2392</x:v>
      </x:c>
      <x:c r="B2397" t="str">
        <x:v>DW-0696</x:v>
      </x:c>
      <x:c r="C2397" t="str">
        <x:v>Composition héritée</x:v>
      </x:c>
      <x:c r="D2397" t="str">
        <x:v>habitat</x:v>
      </x:c>
      <x:c r="E2397" t="str">
        <x:v>Ferme familiale — variante 04 — Hameau / première récupération passée</x:v>
      </x:c>
      <x:c r="F2397" t="n">
        <x:v>8</x:v>
      </x:c>
      <x:c r="G2397" t="n">
        <x:v>6</x:v>
      </x:c>
      <x:c r="H2397" t="n">
        <x:v>0</x:v>
      </x:c>
      <x:c r="I2397" t="str">
        <x:v>À qualifier par lieu</x:v>
      </x:c>
      <x:c r="J2397" t="str">
        <x:v>https://github.com/darknigthmare/deadwall-last-enclosure/blob/1b3b9c5ba232734b1bda3453b4e20a0481bcdd74/codex-3000/compositions/habitat/DW-2392.md</x:v>
      </x:c>
      <x:c r="K2397" t="str">
        <x:v>Source min 67,30 m ; max 67,30 m ; modèle 67 × 30 m ; niveaux 0. Détails dans catalogue-existant.json.</x:v>
      </x:c>
    </x:row>
    <x:row r="2398">
      <x:c r="A2398" t="str">
        <x:v>DW-2393</x:v>
      </x:c>
      <x:c r="B2398" t="str">
        <x:v>DW-0697</x:v>
      </x:c>
      <x:c r="C2398" t="str">
        <x:v>Composition héritée</x:v>
      </x:c>
      <x:c r="D2398" t="str">
        <x:v>habitat</x:v>
      </x:c>
      <x:c r="E2398" t="str">
        <x:v>Immeuble résidentiel — variante 04 — Quartier pavillonnaire / évacuation interrompue</x:v>
      </x:c>
      <x:c r="F2398" t="n">
        <x:v>8</x:v>
      </x:c>
      <x:c r="G2398" t="n">
        <x:v>5</x:v>
      </x:c>
      <x:c r="H2398" t="n">
        <x:v>0</x:v>
      </x:c>
      <x:c r="I2398" t="str">
        <x:v>À qualifier par lieu</x:v>
      </x:c>
      <x:c r="J2398" t="str">
        <x:v>https://github.com/darknigthmare/deadwall-last-enclosure/blob/1b3b9c5ba232734b1bda3453b4e20a0481bcdd74/codex-3000/compositions/habitat/DW-2393.md</x:v>
      </x:c>
      <x:c r="K2398" t="str">
        <x:v>Source min 78,47 m ; max 78,47 m ; modèle 78 × 47 m ; niveaux 0, 1, 2. Détails dans catalogue-existant.json.</x:v>
      </x:c>
    </x:row>
    <x:row r="2399">
      <x:c r="A2399" t="str">
        <x:v>DW-2394</x:v>
      </x:c>
      <x:c r="B2399" t="str">
        <x:v>DW-0697</x:v>
      </x:c>
      <x:c r="C2399" t="str">
        <x:v>Composition héritée</x:v>
      </x:c>
      <x:c r="D2399" t="str">
        <x:v>habitat</x:v>
      </x:c>
      <x:c r="E2399" t="str">
        <x:v>Immeuble résidentiel — variante 04 — Village et bourg / service déplacé à l’arrière</x:v>
      </x:c>
      <x:c r="F2399" t="n">
        <x:v>8</x:v>
      </x:c>
      <x:c r="G2399" t="n">
        <x:v>5</x:v>
      </x:c>
      <x:c r="H2399" t="n">
        <x:v>0</x:v>
      </x:c>
      <x:c r="I2399" t="str">
        <x:v>À qualifier par lieu</x:v>
      </x:c>
      <x:c r="J2399" t="str">
        <x:v>https://github.com/darknigthmare/deadwall-last-enclosure/blob/1b3b9c5ba232734b1bda3453b4e20a0481bcdd74/codex-3000/compositions/habitat/DW-2394.md</x:v>
      </x:c>
      <x:c r="K2399" t="str">
        <x:v>Source min 78,47 m ; max 78,47 m ; modèle 78 × 47 m ; niveaux 0, 1, 2. Détails dans catalogue-existant.json.</x:v>
      </x:c>
    </x:row>
    <x:row r="2400">
      <x:c r="A2400" t="str">
        <x:v>DW-2395</x:v>
      </x:c>
      <x:c r="B2400" t="str">
        <x:v>DW-0698</x:v>
      </x:c>
      <x:c r="C2400" t="str">
        <x:v>Composition héritée</x:v>
      </x:c>
      <x:c r="D2400" t="str">
        <x:v>habitat</x:v>
      </x:c>
      <x:c r="E2400" t="str">
        <x:v>Barre de logements — variante 04 — Hameau / arrêt de maintenance</x:v>
      </x:c>
      <x:c r="F2400" t="n">
        <x:v>8</x:v>
      </x:c>
      <x:c r="G2400" t="n">
        <x:v>5</x:v>
      </x:c>
      <x:c r="H2400" t="n">
        <x:v>0</x:v>
      </x:c>
      <x:c r="I2400" t="str">
        <x:v>À qualifier par lieu</x:v>
      </x:c>
      <x:c r="J2400" t="str">
        <x:v>https://github.com/darknigthmare/deadwall-last-enclosure/blob/1b3b9c5ba232734b1bda3453b4e20a0481bcdd74/codex-3000/compositions/habitat/DW-2395.md</x:v>
      </x:c>
      <x:c r="K2400" t="str">
        <x:v>Source min 17,10 m ; max 17,10 m ; modèle 26 × 22 m ; niveaux 0, 1, 2. Détails dans catalogue-existant.json.</x:v>
      </x:c>
    </x:row>
    <x:row r="2401">
      <x:c r="A2401" t="str">
        <x:v>DW-2396</x:v>
      </x:c>
      <x:c r="B2401" t="str">
        <x:v>DW-0698</x:v>
      </x:c>
      <x:c r="C2401" t="str">
        <x:v>Composition héritée</x:v>
      </x:c>
      <x:c r="D2401" t="str">
        <x:v>habitat</x:v>
      </x:c>
      <x:c r="E2401" t="str">
        <x:v>Barre de logements — variante 04 — Quartier collectif / reprise progressive de la végétation</x:v>
      </x:c>
      <x:c r="F2401" t="n">
        <x:v>8</x:v>
      </x:c>
      <x:c r="G2401" t="n">
        <x:v>5</x:v>
      </x:c>
      <x:c r="H2401" t="n">
        <x:v>0</x:v>
      </x:c>
      <x:c r="I2401" t="str">
        <x:v>À qualifier par lieu</x:v>
      </x:c>
      <x:c r="J2401" t="str">
        <x:v>https://github.com/darknigthmare/deadwall-last-enclosure/blob/1b3b9c5ba232734b1bda3453b4e20a0481bcdd74/codex-3000/compositions/habitat/DW-2396.md</x:v>
      </x:c>
      <x:c r="K2401" t="str">
        <x:v>Source min 17,10 m ; max 17,10 m ; modèle 26 × 22 m ; niveaux 0, 1, 2. Détails dans catalogue-existant.json.</x:v>
      </x:c>
    </x:row>
    <x:row r="2402">
      <x:c r="A2402" t="str">
        <x:v>DW-2397</x:v>
      </x:c>
      <x:c r="B2402" t="str">
        <x:v>DW-0699</x:v>
      </x:c>
      <x:c r="C2402" t="str">
        <x:v>Composition héritée</x:v>
      </x:c>
      <x:c r="D2402" t="str">
        <x:v>habitat</x:v>
      </x:c>
      <x:c r="E2402" t="str">
        <x:v>Résidence senior — variante 04 — Village et bourg / première récupération passée</x:v>
      </x:c>
      <x:c r="F2402" t="n">
        <x:v>8</x:v>
      </x:c>
      <x:c r="G2402" t="n">
        <x:v>5</x:v>
      </x:c>
      <x:c r="H2402" t="n">
        <x:v>0</x:v>
      </x:c>
      <x:c r="I2402" t="str">
        <x:v>À qualifier par lieu</x:v>
      </x:c>
      <x:c r="J2402" t="str">
        <x:v>https://github.com/darknigthmare/deadwall-last-enclosure/blob/1b3b9c5ba232734b1bda3453b4e20a0481bcdd74/codex-3000/compositions/habitat/DW-2397.md</x:v>
      </x:c>
      <x:c r="K2402" t="str">
        <x:v>Source min 28,27 m ; max 28,27 m ; modèle 28 × 27 m ; niveaux 0, 1. Détails dans catalogue-existant.json.</x:v>
      </x:c>
    </x:row>
    <x:row r="2403">
      <x:c r="A2403" t="str">
        <x:v>DW-2398</x:v>
      </x:c>
      <x:c r="B2403" t="str">
        <x:v>DW-0699</x:v>
      </x:c>
      <x:c r="C2403" t="str">
        <x:v>Composition héritée</x:v>
      </x:c>
      <x:c r="D2403" t="str">
        <x:v>habitat</x:v>
      </x:c>
      <x:c r="E2403" t="str">
        <x:v>Résidence senior — variante 04 — Quartier pavillonnaire / relais temporaire envisagé</x:v>
      </x:c>
      <x:c r="F2403" t="n">
        <x:v>8</x:v>
      </x:c>
      <x:c r="G2403" t="n">
        <x:v>5</x:v>
      </x:c>
      <x:c r="H2403" t="n">
        <x:v>0</x:v>
      </x:c>
      <x:c r="I2403" t="str">
        <x:v>À qualifier par lieu</x:v>
      </x:c>
      <x:c r="J2403" t="str">
        <x:v>https://github.com/darknigthmare/deadwall-last-enclosure/blob/1b3b9c5ba232734b1bda3453b4e20a0481bcdd74/codex-3000/compositions/habitat/DW-2398.md</x:v>
      </x:c>
      <x:c r="K2403" t="str">
        <x:v>Source min 28,27 m ; max 28,27 m ; modèle 28 × 27 m ; niveaux 0, 1. Détails dans catalogue-existant.json.</x:v>
      </x:c>
    </x:row>
    <x:row r="2404">
      <x:c r="A2404" t="str">
        <x:v>DW-2399</x:v>
      </x:c>
      <x:c r="B2404" t="str">
        <x:v>DW-0700</x:v>
      </x:c>
      <x:c r="C2404" t="str">
        <x:v>Composition héritée</x:v>
      </x:c>
      <x:c r="D2404" t="str">
        <x:v>habitat</x:v>
      </x:c>
      <x:c r="E2404" t="str">
        <x:v>Maison avec sous-sol — variante 04 — Quartier collectif / service déplacé à l’arrière</x:v>
      </x:c>
      <x:c r="F2404" t="n">
        <x:v>8</x:v>
      </x:c>
      <x:c r="G2404" t="n">
        <x:v>5</x:v>
      </x:c>
      <x:c r="H2404" t="n">
        <x:v>0</x:v>
      </x:c>
      <x:c r="I2404" t="str">
        <x:v>À qualifier par lieu</x:v>
      </x:c>
      <x:c r="J2404" t="str">
        <x:v>https://github.com/darknigthmare/deadwall-last-enclosure/blob/1b3b9c5ba232734b1bda3453b4e20a0481bcdd74/codex-3000/compositions/habitat/DW-2399.md</x:v>
      </x:c>
      <x:c r="K2404" t="str">
        <x:v>Source min 39,44 m ; max 39,44 m ; modèle 39 × 44 m ; niveaux 0. Détails dans catalogue-existant.json.</x:v>
      </x:c>
    </x:row>
    <x:row r="2405">
      <x:c r="A2405" t="str">
        <x:v>DW-2400</x:v>
      </x:c>
      <x:c r="B2405" t="str">
        <x:v>DW-0700</x:v>
      </x:c>
      <x:c r="C2405" t="str">
        <x:v>Composition héritée</x:v>
      </x:c>
      <x:c r="D2405" t="str">
        <x:v>habitat</x:v>
      </x:c>
      <x:c r="E2405" t="str">
        <x:v>Maison avec sous-sol — variante 04 — Hameau / réseau principal coupé</x:v>
      </x:c>
      <x:c r="F2405" t="n">
        <x:v>8</x:v>
      </x:c>
      <x:c r="G2405" t="n">
        <x:v>5</x:v>
      </x:c>
      <x:c r="H2405" t="n">
        <x:v>0</x:v>
      </x:c>
      <x:c r="I2405" t="str">
        <x:v>À qualifier par lieu</x:v>
      </x:c>
      <x:c r="J2405" t="str">
        <x:v>https://github.com/darknigthmare/deadwall-last-enclosure/blob/1b3b9c5ba232734b1bda3453b4e20a0481bcdd74/codex-3000/compositions/habitat/DW-2400.md</x:v>
      </x:c>
      <x:c r="K2405" t="str">
        <x:v>Source min 39,44 m ; max 39,44 m ; modèle 39 × 44 m ; niveaux 0. Détails dans catalogue-existant.json.</x:v>
      </x:c>
    </x:row>
    <x:row r="2406">
      <x:c r="A2406" t="str">
        <x:v>DW-2401</x:v>
      </x:c>
      <x:c r="B2406" t="str">
        <x:v>DW-0701</x:v>
      </x:c>
      <x:c r="C2406" t="str">
        <x:v>Composition héritée</x:v>
      </x:c>
      <x:c r="D2406" t="str">
        <x:v>commerce</x:v>
      </x:c>
      <x:c r="E2406" t="str">
        <x:v>Supérette — variante 04 — Zone commerciale / reprise progressive de la végétation</x:v>
      </x:c>
      <x:c r="F2406" t="n">
        <x:v>8</x:v>
      </x:c>
      <x:c r="G2406" t="n">
        <x:v>5</x:v>
      </x:c>
      <x:c r="H2406" t="n">
        <x:v>0</x:v>
      </x:c>
      <x:c r="I2406" t="str">
        <x:v>À qualifier par lieu</x:v>
      </x:c>
      <x:c r="J2406" t="str">
        <x:v>https://github.com/darknigthmare/deadwall-last-enclosure/blob/1b3b9c5ba232734b1bda3453b4e20a0481bcdd74/codex-3000/compositions/commerce/DW-2401.md</x:v>
      </x:c>
      <x:c r="K2406" t="str">
        <x:v>Source min 50,61 m ; max 50,61 m ; modèle 50 × 61 m ; niveaux 0, 1. Détails dans catalogue-existant.json.</x:v>
      </x:c>
    </x:row>
    <x:row r="2407">
      <x:c r="A2407" t="str">
        <x:v>DW-2402</x:v>
      </x:c>
      <x:c r="B2407" t="str">
        <x:v>DW-0701</x:v>
      </x:c>
      <x:c r="C2407" t="str">
        <x:v>Composition héritée</x:v>
      </x:c>
      <x:c r="D2407" t="str">
        <x:v>commerce</x:v>
      </x:c>
      <x:c r="E2407" t="str">
        <x:v>Supérette — variante 04 — Village et bourg / repli organisé interrompu</x:v>
      </x:c>
      <x:c r="F2407" t="n">
        <x:v>8</x:v>
      </x:c>
      <x:c r="G2407" t="n">
        <x:v>5</x:v>
      </x:c>
      <x:c r="H2407" t="n">
        <x:v>0</x:v>
      </x:c>
      <x:c r="I2407" t="str">
        <x:v>À qualifier par lieu</x:v>
      </x:c>
      <x:c r="J2407" t="str">
        <x:v>https://github.com/darknigthmare/deadwall-last-enclosure/blob/1b3b9c5ba232734b1bda3453b4e20a0481bcdd74/codex-3000/compositions/commerce/DW-2402.md</x:v>
      </x:c>
      <x:c r="K2407" t="str">
        <x:v>Source min 50,61 m ; max 50,61 m ; modèle 50 × 61 m ; niveaux 0, 1. Détails dans catalogue-existant.json.</x:v>
      </x:c>
    </x:row>
    <x:row r="2408">
      <x:c r="A2408" t="str">
        <x:v>DW-2403</x:v>
      </x:c>
      <x:c r="B2408" t="str">
        <x:v>DW-0702</x:v>
      </x:c>
      <x:c r="C2408" t="str">
        <x:v>Composition héritée</x:v>
      </x:c>
      <x:c r="D2408" t="str">
        <x:v>commerce</x:v>
      </x:c>
      <x:c r="E2408" t="str">
        <x:v>Centre commercial — variante 04 — Ville moyenne / relais temporaire envisagé</x:v>
      </x:c>
      <x:c r="F2408" t="n">
        <x:v>8</x:v>
      </x:c>
      <x:c r="G2408" t="n">
        <x:v>6</x:v>
      </x:c>
      <x:c r="H2408" t="n">
        <x:v>0</x:v>
      </x:c>
      <x:c r="I2408" t="str">
        <x:v>À qualifier par lieu</x:v>
      </x:c>
      <x:c r="J2408" t="str">
        <x:v>https://github.com/darknigthmare/deadwall-last-enclosure/blob/1b3b9c5ba232734b1bda3453b4e20a0481bcdd74/codex-3000/compositions/commerce/DW-2403.md</x:v>
      </x:c>
      <x:c r="K2408" t="str">
        <x:v>Source min 61,24 m ; max 61,24 m ; modèle 61 × 24 m ; niveaux 0. Détails dans catalogue-existant.json.</x:v>
      </x:c>
    </x:row>
    <x:row r="2409">
      <x:c r="A2409" t="str">
        <x:v>DW-2404</x:v>
      </x:c>
      <x:c r="B2409" t="str">
        <x:v>DW-0702</x:v>
      </x:c>
      <x:c r="C2409" t="str">
        <x:v>Composition héritée</x:v>
      </x:c>
      <x:c r="D2409" t="str">
        <x:v>commerce</x:v>
      </x:c>
      <x:c r="E2409" t="str">
        <x:v>Centre commercial — variante 04 — Grande ville et métropole / évacuation interrompue</x:v>
      </x:c>
      <x:c r="F2409" t="n">
        <x:v>8</x:v>
      </x:c>
      <x:c r="G2409" t="n">
        <x:v>6</x:v>
      </x:c>
      <x:c r="H2409" t="n">
        <x:v>0</x:v>
      </x:c>
      <x:c r="I2409" t="str">
        <x:v>À qualifier par lieu</x:v>
      </x:c>
      <x:c r="J2409" t="str">
        <x:v>https://github.com/darknigthmare/deadwall-last-enclosure/blob/1b3b9c5ba232734b1bda3453b4e20a0481bcdd74/codex-3000/compositions/commerce/DW-2404.md</x:v>
      </x:c>
      <x:c r="K2409" t="str">
        <x:v>Source min 61,24 m ; max 61,24 m ; modèle 61 × 24 m ; niveaux 0. Détails dans catalogue-existant.json.</x:v>
      </x:c>
    </x:row>
    <x:row r="2410">
      <x:c r="A2410" t="str">
        <x:v>DW-2405</x:v>
      </x:c>
      <x:c r="B2410" t="str">
        <x:v>DW-0703</x:v>
      </x:c>
      <x:c r="C2410" t="str">
        <x:v>Composition héritée</x:v>
      </x:c>
      <x:c r="D2410" t="str">
        <x:v>commerce</x:v>
      </x:c>
      <x:c r="E2410" t="str">
        <x:v>Supermarché — variante 04 — Village et bourg / réseau principal coupé</x:v>
      </x:c>
      <x:c r="F2410" t="n">
        <x:v>8</x:v>
      </x:c>
      <x:c r="G2410" t="n">
        <x:v>7</x:v>
      </x:c>
      <x:c r="H2410" t="n">
        <x:v>0</x:v>
      </x:c>
      <x:c r="I2410" t="str">
        <x:v>À qualifier par lieu</x:v>
      </x:c>
      <x:c r="J2410" t="str">
        <x:v>https://github.com/darknigthmare/deadwall-last-enclosure/blob/1b3b9c5ba232734b1bda3453b4e20a0481bcdd74/codex-3000/compositions/commerce/DW-2405.md</x:v>
      </x:c>
      <x:c r="K2410" t="str">
        <x:v>Source min 72,41 m ; max 72,41 m ; modèle 72 × 41 m ; niveaux 0. Détails dans catalogue-existant.json.</x:v>
      </x:c>
    </x:row>
    <x:row r="2411">
      <x:c r="A2411" t="str">
        <x:v>DW-2406</x:v>
      </x:c>
      <x:c r="B2411" t="str">
        <x:v>DW-0703</x:v>
      </x:c>
      <x:c r="C2411" t="str">
        <x:v>Composition héritée</x:v>
      </x:c>
      <x:c r="D2411" t="str">
        <x:v>commerce</x:v>
      </x:c>
      <x:c r="E2411" t="str">
        <x:v>Supermarché — variante 04 — Zone commerciale / arrêt de maintenance</x:v>
      </x:c>
      <x:c r="F2411" t="n">
        <x:v>8</x:v>
      </x:c>
      <x:c r="G2411" t="n">
        <x:v>7</x:v>
      </x:c>
      <x:c r="H2411" t="n">
        <x:v>0</x:v>
      </x:c>
      <x:c r="I2411" t="str">
        <x:v>À qualifier par lieu</x:v>
      </x:c>
      <x:c r="J2411" t="str">
        <x:v>https://github.com/darknigthmare/deadwall-last-enclosure/blob/1b3b9c5ba232734b1bda3453b4e20a0481bcdd74/codex-3000/compositions/commerce/DW-2406.md</x:v>
      </x:c>
      <x:c r="K2411" t="str">
        <x:v>Source min 72,41 m ; max 72,41 m ; modèle 72 × 41 m ; niveaux 0. Détails dans catalogue-existant.json.</x:v>
      </x:c>
    </x:row>
    <x:row r="2412">
      <x:c r="A2412" t="str">
        <x:v>DW-2407</x:v>
      </x:c>
      <x:c r="B2412" t="str">
        <x:v>DW-0704</x:v>
      </x:c>
      <x:c r="C2412" t="str">
        <x:v>Composition héritée</x:v>
      </x:c>
      <x:c r="D2412" t="str">
        <x:v>commerce</x:v>
      </x:c>
      <x:c r="E2412" t="str">
        <x:v>Magasin de bricolage — variante 04 — Grande ville et métropole / repli organisé interrompu</x:v>
      </x:c>
      <x:c r="F2412" t="n">
        <x:v>8</x:v>
      </x:c>
      <x:c r="G2412" t="n">
        <x:v>5</x:v>
      </x:c>
      <x:c r="H2412" t="n">
        <x:v>0</x:v>
      </x:c>
      <x:c r="I2412" t="str">
        <x:v>À qualifier par lieu</x:v>
      </x:c>
      <x:c r="J2412" t="str">
        <x:v>https://github.com/darknigthmare/deadwall-last-enclosure/blob/1b3b9c5ba232734b1bda3453b4e20a0481bcdd74/codex-3000/compositions/commerce/DW-2407.md</x:v>
      </x:c>
      <x:c r="K2412" t="str">
        <x:v>Source min 11,58 m ; max 11,58 m ; modèle 26 × 58 m ; niveaux 0. Détails dans catalogue-existant.json.</x:v>
      </x:c>
    </x:row>
    <x:row r="2413">
      <x:c r="A2413" t="str">
        <x:v>DW-2408</x:v>
      </x:c>
      <x:c r="B2413" t="str">
        <x:v>DW-0704</x:v>
      </x:c>
      <x:c r="C2413" t="str">
        <x:v>Composition héritée</x:v>
      </x:c>
      <x:c r="D2413" t="str">
        <x:v>commerce</x:v>
      </x:c>
      <x:c r="E2413" t="str">
        <x:v>Magasin de bricolage — variante 04 — Ville moyenne / première récupération passée</x:v>
      </x:c>
      <x:c r="F2413" t="n">
        <x:v>8</x:v>
      </x:c>
      <x:c r="G2413" t="n">
        <x:v>5</x:v>
      </x:c>
      <x:c r="H2413" t="n">
        <x:v>0</x:v>
      </x:c>
      <x:c r="I2413" t="str">
        <x:v>À qualifier par lieu</x:v>
      </x:c>
      <x:c r="J2413" t="str">
        <x:v>https://github.com/darknigthmare/deadwall-last-enclosure/blob/1b3b9c5ba232734b1bda3453b4e20a0481bcdd74/codex-3000/compositions/commerce/DW-2408.md</x:v>
      </x:c>
      <x:c r="K2413" t="str">
        <x:v>Source min 11,58 m ; max 11,58 m ; modèle 26 × 58 m ; niveaux 0. Détails dans catalogue-existant.json.</x:v>
      </x:c>
    </x:row>
    <x:row r="2414">
      <x:c r="A2414" t="str">
        <x:v>DW-2409</x:v>
      </x:c>
      <x:c r="B2414" t="str">
        <x:v>DW-0705</x:v>
      </x:c>
      <x:c r="C2414" t="str">
        <x:v>Composition héritée</x:v>
      </x:c>
      <x:c r="D2414" t="str">
        <x:v>commerce</x:v>
      </x:c>
      <x:c r="E2414" t="str">
        <x:v>Pharmacie — variante 04 — Zone commerciale / évacuation interrompue</x:v>
      </x:c>
      <x:c r="F2414" t="n">
        <x:v>8</x:v>
      </x:c>
      <x:c r="G2414" t="n">
        <x:v>4</x:v>
      </x:c>
      <x:c r="H2414" t="n">
        <x:v>0</x:v>
      </x:c>
      <x:c r="I2414" t="str">
        <x:v>À qualifier par lieu</x:v>
      </x:c>
      <x:c r="J2414" t="str">
        <x:v>https://github.com/darknigthmare/deadwall-last-enclosure/blob/1b3b9c5ba232734b1bda3453b4e20a0481bcdd74/codex-3000/compositions/commerce/DW-2409.md</x:v>
      </x:c>
      <x:c r="K2414" t="str">
        <x:v>Source min 22,21 m ; max 22,21 m ; modèle 25 × 21 m ; niveaux 0, 1. Détails dans catalogue-existant.json.</x:v>
      </x:c>
    </x:row>
    <x:row r="2415">
      <x:c r="A2415" t="str">
        <x:v>DW-2410</x:v>
      </x:c>
      <x:c r="B2415" t="str">
        <x:v>DW-0705</x:v>
      </x:c>
      <x:c r="C2415" t="str">
        <x:v>Composition héritée</x:v>
      </x:c>
      <x:c r="D2415" t="str">
        <x:v>commerce</x:v>
      </x:c>
      <x:c r="E2415" t="str">
        <x:v>Pharmacie — variante 04 — Village et bourg / service déplacé à l’arrière</x:v>
      </x:c>
      <x:c r="F2415" t="n">
        <x:v>8</x:v>
      </x:c>
      <x:c r="G2415" t="n">
        <x:v>4</x:v>
      </x:c>
      <x:c r="H2415" t="n">
        <x:v>0</x:v>
      </x:c>
      <x:c r="I2415" t="str">
        <x:v>À qualifier par lieu</x:v>
      </x:c>
      <x:c r="J2415" t="str">
        <x:v>https://github.com/darknigthmare/deadwall-last-enclosure/blob/1b3b9c5ba232734b1bda3453b4e20a0481bcdd74/codex-3000/compositions/commerce/DW-2410.md</x:v>
      </x:c>
      <x:c r="K2415" t="str">
        <x:v>Source min 22,21 m ; max 22,21 m ; modèle 25 × 21 m ; niveaux 0, 1. Détails dans catalogue-existant.json.</x:v>
      </x:c>
    </x:row>
    <x:row r="2416">
      <x:c r="A2416" t="str">
        <x:v>DW-2411</x:v>
      </x:c>
      <x:c r="B2416" t="str">
        <x:v>DW-0706</x:v>
      </x:c>
      <x:c r="C2416" t="str">
        <x:v>Composition héritée</x:v>
      </x:c>
      <x:c r="D2416" t="str">
        <x:v>commerce</x:v>
      </x:c>
      <x:c r="E2416" t="str">
        <x:v>Station-service — variante 04 — Ville moyenne / arrêt de maintenance</x:v>
      </x:c>
      <x:c r="F2416" t="n">
        <x:v>8</x:v>
      </x:c>
      <x:c r="G2416" t="n">
        <x:v>5</x:v>
      </x:c>
      <x:c r="H2416" t="n">
        <x:v>0</x:v>
      </x:c>
      <x:c r="I2416" t="str">
        <x:v>À qualifier par lieu</x:v>
      </x:c>
      <x:c r="J2416" t="str">
        <x:v>https://github.com/darknigthmare/deadwall-last-enclosure/blob/1b3b9c5ba232734b1bda3453b4e20a0481bcdd74/codex-3000/compositions/commerce/DW-2411.md</x:v>
      </x:c>
      <x:c r="K2416" t="str">
        <x:v>Source min 33,38 m ; max 33,38 m ; modèle 33 × 38 m ; niveaux 0. Détails dans catalogue-existant.json.</x:v>
      </x:c>
    </x:row>
    <x:row r="2417">
      <x:c r="A2417" t="str">
        <x:v>DW-2412</x:v>
      </x:c>
      <x:c r="B2417" t="str">
        <x:v>DW-0706</x:v>
      </x:c>
      <x:c r="C2417" t="str">
        <x:v>Composition héritée</x:v>
      </x:c>
      <x:c r="D2417" t="str">
        <x:v>commerce</x:v>
      </x:c>
      <x:c r="E2417" t="str">
        <x:v>Station-service — variante 04 — Grande ville et métropole / reprise progressive de la végétation</x:v>
      </x:c>
      <x:c r="F2417" t="n">
        <x:v>8</x:v>
      </x:c>
      <x:c r="G2417" t="n">
        <x:v>5</x:v>
      </x:c>
      <x:c r="H2417" t="n">
        <x:v>0</x:v>
      </x:c>
      <x:c r="I2417" t="str">
        <x:v>À qualifier par lieu</x:v>
      </x:c>
      <x:c r="J2417" t="str">
        <x:v>https://github.com/darknigthmare/deadwall-last-enclosure/blob/1b3b9c5ba232734b1bda3453b4e20a0481bcdd74/codex-3000/compositions/commerce/DW-2412.md</x:v>
      </x:c>
      <x:c r="K2417" t="str">
        <x:v>Source min 33,38 m ; max 33,38 m ; modèle 33 × 38 m ; niveaux 0. Détails dans catalogue-existant.json.</x:v>
      </x:c>
    </x:row>
    <x:row r="2418">
      <x:c r="A2418" t="str">
        <x:v>DW-2413</x:v>
      </x:c>
      <x:c r="B2418" t="str">
        <x:v>DW-0707</x:v>
      </x:c>
      <x:c r="C2418" t="str">
        <x:v>Composition héritée</x:v>
      </x:c>
      <x:c r="D2418" t="str">
        <x:v>commerce</x:v>
      </x:c>
      <x:c r="E2418" t="str">
        <x:v>Restaurant routier — variante 04 — Village et bourg / première récupération passée</x:v>
      </x:c>
      <x:c r="F2418" t="n">
        <x:v>8</x:v>
      </x:c>
      <x:c r="G2418" t="n">
        <x:v>5</x:v>
      </x:c>
      <x:c r="H2418" t="n">
        <x:v>0</x:v>
      </x:c>
      <x:c r="I2418" t="str">
        <x:v>À qualifier par lieu</x:v>
      </x:c>
      <x:c r="J2418" t="str">
        <x:v>https://github.com/darknigthmare/deadwall-last-enclosure/blob/1b3b9c5ba232734b1bda3453b4e20a0481bcdd74/codex-3000/compositions/commerce/DW-2413.md</x:v>
      </x:c>
      <x:c r="K2418" t="str">
        <x:v>Source min 44,55 m ; max 44,55 m ; modèle 44 × 55 m ; niveaux 0. Détails dans catalogue-existant.json.</x:v>
      </x:c>
    </x:row>
    <x:row r="2419">
      <x:c r="A2419" t="str">
        <x:v>DW-2414</x:v>
      </x:c>
      <x:c r="B2419" t="str">
        <x:v>DW-0707</x:v>
      </x:c>
      <x:c r="C2419" t="str">
        <x:v>Composition héritée</x:v>
      </x:c>
      <x:c r="D2419" t="str">
        <x:v>commerce</x:v>
      </x:c>
      <x:c r="E2419" t="str">
        <x:v>Restaurant routier — variante 04 — Zone commerciale / relais temporaire envisagé</x:v>
      </x:c>
      <x:c r="F2419" t="n">
        <x:v>8</x:v>
      </x:c>
      <x:c r="G2419" t="n">
        <x:v>5</x:v>
      </x:c>
      <x:c r="H2419" t="n">
        <x:v>0</x:v>
      </x:c>
      <x:c r="I2419" t="str">
        <x:v>À qualifier par lieu</x:v>
      </x:c>
      <x:c r="J2419" t="str">
        <x:v>https://github.com/darknigthmare/deadwall-last-enclosure/blob/1b3b9c5ba232734b1bda3453b4e20a0481bcdd74/codex-3000/compositions/commerce/DW-2414.md</x:v>
      </x:c>
      <x:c r="K2419" t="str">
        <x:v>Source min 44,55 m ; max 44,55 m ; modèle 44 × 55 m ; niveaux 0. Détails dans catalogue-existant.json.</x:v>
      </x:c>
    </x:row>
    <x:row r="2420">
      <x:c r="A2420" t="str">
        <x:v>DW-2415</x:v>
      </x:c>
      <x:c r="B2420" t="str">
        <x:v>DW-0708</x:v>
      </x:c>
      <x:c r="C2420" t="str">
        <x:v>Composition héritée</x:v>
      </x:c>
      <x:c r="D2420" t="str">
        <x:v>commerce</x:v>
      </x:c>
      <x:c r="E2420" t="str">
        <x:v>Hôtel — variante 04 — Grande ville et métropole / service déplacé à l’arrière</x:v>
      </x:c>
      <x:c r="F2420" t="n">
        <x:v>8</x:v>
      </x:c>
      <x:c r="G2420" t="n">
        <x:v>6</x:v>
      </x:c>
      <x:c r="H2420" t="n">
        <x:v>0</x:v>
      </x:c>
      <x:c r="I2420" t="str">
        <x:v>À qualifier par lieu</x:v>
      </x:c>
      <x:c r="J2420" t="str">
        <x:v>https://github.com/darknigthmare/deadwall-last-enclosure/blob/1b3b9c5ba232734b1bda3453b4e20a0481bcdd74/codex-3000/compositions/commerce/DW-2415.md</x:v>
      </x:c>
      <x:c r="K2420" t="str">
        <x:v>Source min 55,18 m ; max 55,18 m ; modèle 55 × 22 m ; niveaux 0. Détails dans catalogue-existant.json.</x:v>
      </x:c>
    </x:row>
    <x:row r="2421">
      <x:c r="A2421" t="str">
        <x:v>DW-2416</x:v>
      </x:c>
      <x:c r="B2421" t="str">
        <x:v>DW-0708</x:v>
      </x:c>
      <x:c r="C2421" t="str">
        <x:v>Composition héritée</x:v>
      </x:c>
      <x:c r="D2421" t="str">
        <x:v>commerce</x:v>
      </x:c>
      <x:c r="E2421" t="str">
        <x:v>Hôtel — variante 04 — Ville moyenne / réseau principal coupé</x:v>
      </x:c>
      <x:c r="F2421" t="n">
        <x:v>8</x:v>
      </x:c>
      <x:c r="G2421" t="n">
        <x:v>6</x:v>
      </x:c>
      <x:c r="H2421" t="n">
        <x:v>0</x:v>
      </x:c>
      <x:c r="I2421" t="str">
        <x:v>À qualifier par lieu</x:v>
      </x:c>
      <x:c r="J2421" t="str">
        <x:v>https://github.com/darknigthmare/deadwall-last-enclosure/blob/1b3b9c5ba232734b1bda3453b4e20a0481bcdd74/codex-3000/compositions/commerce/DW-2416.md</x:v>
      </x:c>
      <x:c r="K2421" t="str">
        <x:v>Source min 55,18 m ; max 55,18 m ; modèle 55 × 22 m ; niveaux 0. Détails dans catalogue-existant.json.</x:v>
      </x:c>
    </x:row>
    <x:row r="2422">
      <x:c r="A2422" t="str">
        <x:v>DW-2417</x:v>
      </x:c>
      <x:c r="B2422" t="str">
        <x:v>DW-0709</x:v>
      </x:c>
      <x:c r="C2422" t="str">
        <x:v>Composition héritée</x:v>
      </x:c>
      <x:c r="D2422" t="str">
        <x:v>industrie</x:v>
      </x:c>
      <x:c r="E2422" t="str">
        <x:v>Scierie — variante 04 — Zone industrielle / reprise progressive de la végétation</x:v>
      </x:c>
      <x:c r="F2422" t="n">
        <x:v>8</x:v>
      </x:c>
      <x:c r="G2422" t="n">
        <x:v>5</x:v>
      </x:c>
      <x:c r="H2422" t="n">
        <x:v>0</x:v>
      </x:c>
      <x:c r="I2422" t="str">
        <x:v>À qualifier par lieu</x:v>
      </x:c>
      <x:c r="J2422" t="str">
        <x:v>https://github.com/darknigthmare/deadwall-last-enclosure/blob/1b3b9c5ba232734b1bda3453b4e20a0481bcdd74/codex-3000/compositions/industrie/DW-2417.md</x:v>
      </x:c>
      <x:c r="K2422" t="str">
        <x:v>Source min 66,35 m ; max 66,35 m ; modèle 66 × 35 m ; niveaux 0. Détails dans catalogue-existant.json.</x:v>
      </x:c>
    </x:row>
    <x:row r="2423">
      <x:c r="A2423" t="str">
        <x:v>DW-2418</x:v>
      </x:c>
      <x:c r="B2423" t="str">
        <x:v>DW-0709</x:v>
      </x:c>
      <x:c r="C2423" t="str">
        <x:v>Composition héritée</x:v>
      </x:c>
      <x:c r="D2423" t="str">
        <x:v>industrie</x:v>
      </x:c>
      <x:c r="E2423" t="str">
        <x:v>Scierie — variante 04 — Entrepôt et plateforme logistique / repli organisé interrompu</x:v>
      </x:c>
      <x:c r="F2423" t="n">
        <x:v>8</x:v>
      </x:c>
      <x:c r="G2423" t="n">
        <x:v>5</x:v>
      </x:c>
      <x:c r="H2423" t="n">
        <x:v>0</x:v>
      </x:c>
      <x:c r="I2423" t="str">
        <x:v>À qualifier par lieu</x:v>
      </x:c>
      <x:c r="J2423" t="str">
        <x:v>https://github.com/darknigthmare/deadwall-last-enclosure/blob/1b3b9c5ba232734b1bda3453b4e20a0481bcdd74/codex-3000/compositions/industrie/DW-2418.md</x:v>
      </x:c>
      <x:c r="K2423" t="str">
        <x:v>Source min 66,35 m ; max 66,35 m ; modèle 66 × 35 m ; niveaux 0. Détails dans catalogue-existant.json.</x:v>
      </x:c>
    </x:row>
    <x:row r="2424">
      <x:c r="A2424" t="str">
        <x:v>DW-2419</x:v>
      </x:c>
      <x:c r="B2424" t="str">
        <x:v>DW-0710</x:v>
      </x:c>
      <x:c r="C2424" t="str">
        <x:v>Composition héritée</x:v>
      </x:c>
      <x:c r="D2424" t="str">
        <x:v>industrie</x:v>
      </x:c>
      <x:c r="E2424" t="str">
        <x:v>Garage automobile — variante 04 — Atelier et artisanat / relais temporaire envisagé</x:v>
      </x:c>
      <x:c r="F2424" t="n">
        <x:v>8</x:v>
      </x:c>
      <x:c r="G2424" t="n">
        <x:v>5</x:v>
      </x:c>
      <x:c r="H2424" t="n">
        <x:v>0</x:v>
      </x:c>
      <x:c r="I2424" t="str">
        <x:v>À qualifier par lieu</x:v>
      </x:c>
      <x:c r="J2424" t="str">
        <x:v>https://github.com/darknigthmare/deadwall-last-enclosure/blob/1b3b9c5ba232734b1bda3453b4e20a0481bcdd74/codex-3000/compositions/industrie/DW-2419.md</x:v>
      </x:c>
      <x:c r="K2424" t="str">
        <x:v>Source min 77,52 m ; max 77,52 m ; modèle 77 × 52 m ; niveaux 0. Détails dans catalogue-existant.json.</x:v>
      </x:c>
    </x:row>
    <x:row r="2425">
      <x:c r="A2425" t="str">
        <x:v>DW-2420</x:v>
      </x:c>
      <x:c r="B2425" t="str">
        <x:v>DW-0710</x:v>
      </x:c>
      <x:c r="C2425" t="str">
        <x:v>Composition héritée</x:v>
      </x:c>
      <x:c r="D2425" t="str">
        <x:v>industrie</x:v>
      </x:c>
      <x:c r="E2425" t="str">
        <x:v>Garage automobile — variante 04 — Gare et fret / évacuation interrompue</x:v>
      </x:c>
      <x:c r="F2425" t="n">
        <x:v>10</x:v>
      </x:c>
      <x:c r="G2425" t="n">
        <x:v>5</x:v>
      </x:c>
      <x:c r="H2425" t="n">
        <x:v>0</x:v>
      </x:c>
      <x:c r="I2425" t="str">
        <x:v>À qualifier par lieu</x:v>
      </x:c>
      <x:c r="J2425" t="str">
        <x:v>https://github.com/darknigthmare/deadwall-last-enclosure/blob/1b3b9c5ba232734b1bda3453b4e20a0481bcdd74/codex-3000/compositions/industrie/DW-2420.md</x:v>
      </x:c>
      <x:c r="K2425" t="str">
        <x:v>Source min 77,52 m ; max 77,52 m ; modèle 77 × 52 m ; niveaux 0. Détails dans catalogue-existant.json.</x:v>
      </x:c>
    </x:row>
    <x:row r="2426">
      <x:c r="A2426" t="str">
        <x:v>DW-2421</x:v>
      </x:c>
      <x:c r="B2426" t="str">
        <x:v>DW-0711</x:v>
      </x:c>
      <x:c r="C2426" t="str">
        <x:v>Composition héritée</x:v>
      </x:c>
      <x:c r="D2426" t="str">
        <x:v>industrie</x:v>
      </x:c>
      <x:c r="E2426" t="str">
        <x:v>Entrepôt logistique — variante 04 — Entrepôt et plateforme logistique / réseau principal coupé</x:v>
      </x:c>
      <x:c r="F2426" t="n">
        <x:v>8</x:v>
      </x:c>
      <x:c r="G2426" t="n">
        <x:v>5</x:v>
      </x:c>
      <x:c r="H2426" t="n">
        <x:v>0</x:v>
      </x:c>
      <x:c r="I2426" t="str">
        <x:v>À qualifier par lieu</x:v>
      </x:c>
      <x:c r="J2426" t="str">
        <x:v>https://github.com/darknigthmare/deadwall-last-enclosure/blob/1b3b9c5ba232734b1bda3453b4e20a0481bcdd74/codex-3000/compositions/industrie/DW-2421.md</x:v>
      </x:c>
      <x:c r="K2426" t="str">
        <x:v>Source min 16,15 m ; max 16,15 m ; modèle 26 × 22 m ; niveaux 0. Détails dans catalogue-existant.json.</x:v>
      </x:c>
    </x:row>
    <x:row r="2427">
      <x:c r="A2427" t="str">
        <x:v>DW-2422</x:v>
      </x:c>
      <x:c r="B2427" t="str">
        <x:v>DW-0711</x:v>
      </x:c>
      <x:c r="C2427" t="str">
        <x:v>Composition héritée</x:v>
      </x:c>
      <x:c r="D2427" t="str">
        <x:v>industrie</x:v>
      </x:c>
      <x:c r="E2427" t="str">
        <x:v>Entrepôt logistique — variante 04 — Zone industrielle / arrêt de maintenance</x:v>
      </x:c>
      <x:c r="F2427" t="n">
        <x:v>8</x:v>
      </x:c>
      <x:c r="G2427" t="n">
        <x:v>5</x:v>
      </x:c>
      <x:c r="H2427" t="n">
        <x:v>0</x:v>
      </x:c>
      <x:c r="I2427" t="str">
        <x:v>À qualifier par lieu</x:v>
      </x:c>
      <x:c r="J2427" t="str">
        <x:v>https://github.com/darknigthmare/deadwall-last-enclosure/blob/1b3b9c5ba232734b1bda3453b4e20a0481bcdd74/codex-3000/compositions/industrie/DW-2422.md</x:v>
      </x:c>
      <x:c r="K2427" t="str">
        <x:v>Source min 16,15 m ; max 16,15 m ; modèle 26 × 22 m ; niveaux 0. Détails dans catalogue-existant.json.</x:v>
      </x:c>
    </x:row>
    <x:row r="2428">
      <x:c r="A2428" t="str">
        <x:v>DW-2423</x:v>
      </x:c>
      <x:c r="B2428" t="str">
        <x:v>DW-0712</x:v>
      </x:c>
      <x:c r="C2428" t="str">
        <x:v>Composition héritée</x:v>
      </x:c>
      <x:c r="D2428" t="str">
        <x:v>industrie</x:v>
      </x:c>
      <x:c r="E2428" t="str">
        <x:v>Petite usine — variante 04 — Gare et fret / repli organisé interrompu</x:v>
      </x:c>
      <x:c r="F2428" t="n">
        <x:v>10</x:v>
      </x:c>
      <x:c r="G2428" t="n">
        <x:v>5</x:v>
      </x:c>
      <x:c r="H2428" t="n">
        <x:v>0</x:v>
      </x:c>
      <x:c r="I2428" t="str">
        <x:v>À qualifier par lieu</x:v>
      </x:c>
      <x:c r="J2428" t="str">
        <x:v>https://github.com/darknigthmare/deadwall-last-enclosure/blob/1b3b9c5ba232734b1bda3453b4e20a0481bcdd74/codex-3000/compositions/industrie/DW-2423.md</x:v>
      </x:c>
      <x:c r="K2428" t="str">
        <x:v>Source min 27,32 m ; max 27,32 m ; modèle 27 × 32 m ; niveaux 0. Détails dans catalogue-existant.json.</x:v>
      </x:c>
    </x:row>
    <x:row r="2429">
      <x:c r="A2429" t="str">
        <x:v>DW-2424</x:v>
      </x:c>
      <x:c r="B2429" t="str">
        <x:v>DW-0712</x:v>
      </x:c>
      <x:c r="C2429" t="str">
        <x:v>Composition héritée</x:v>
      </x:c>
      <x:c r="D2429" t="str">
        <x:v>industrie</x:v>
      </x:c>
      <x:c r="E2429" t="str">
        <x:v>Petite usine — variante 04 — Atelier et artisanat / première récupération passée</x:v>
      </x:c>
      <x:c r="F2429" t="n">
        <x:v>8</x:v>
      </x:c>
      <x:c r="G2429" t="n">
        <x:v>5</x:v>
      </x:c>
      <x:c r="H2429" t="n">
        <x:v>0</x:v>
      </x:c>
      <x:c r="I2429" t="str">
        <x:v>À qualifier par lieu</x:v>
      </x:c>
      <x:c r="J2429" t="str">
        <x:v>https://github.com/darknigthmare/deadwall-last-enclosure/blob/1b3b9c5ba232734b1bda3453b4e20a0481bcdd74/codex-3000/compositions/industrie/DW-2424.md</x:v>
      </x:c>
      <x:c r="K2429" t="str">
        <x:v>Source min 27,32 m ; max 27,32 m ; modèle 27 × 32 m ; niveaux 0. Détails dans catalogue-existant.json.</x:v>
      </x:c>
    </x:row>
    <x:row r="2430">
      <x:c r="A2430" t="str">
        <x:v>DW-2425</x:v>
      </x:c>
      <x:c r="B2430" t="str">
        <x:v>DW-0713</x:v>
      </x:c>
      <x:c r="C2430" t="str">
        <x:v>Composition héritée</x:v>
      </x:c>
      <x:c r="D2430" t="str">
        <x:v>industrie</x:v>
      </x:c>
      <x:c r="E2430" t="str">
        <x:v>Carrière — variante 04 — Zone industrielle / évacuation interrompue</x:v>
      </x:c>
      <x:c r="F2430" t="n">
        <x:v>8</x:v>
      </x:c>
      <x:c r="G2430" t="n">
        <x:v>5</x:v>
      </x:c>
      <x:c r="H2430" t="n">
        <x:v>0</x:v>
      </x:c>
      <x:c r="I2430" t="str">
        <x:v>À qualifier par lieu</x:v>
      </x:c>
      <x:c r="J2430" t="str">
        <x:v>https://github.com/darknigthmare/deadwall-last-enclosure/blob/1b3b9c5ba232734b1bda3453b4e20a0481bcdd74/codex-3000/compositions/industrie/DW-2425.md</x:v>
      </x:c>
      <x:c r="K2430" t="str">
        <x:v>Source min 38,49 m ; max 38,49 m ; modèle 38 × 49 m ; niveaux 0. Détails dans catalogue-existant.json.</x:v>
      </x:c>
    </x:row>
    <x:row r="2431">
      <x:c r="A2431" t="str">
        <x:v>DW-2426</x:v>
      </x:c>
      <x:c r="B2431" t="str">
        <x:v>DW-0713</x:v>
      </x:c>
      <x:c r="C2431" t="str">
        <x:v>Composition héritée</x:v>
      </x:c>
      <x:c r="D2431" t="str">
        <x:v>industrie</x:v>
      </x:c>
      <x:c r="E2431" t="str">
        <x:v>Carrière — variante 04 — Entrepôt et plateforme logistique / service déplacé à l’arrière</x:v>
      </x:c>
      <x:c r="F2431" t="n">
        <x:v>8</x:v>
      </x:c>
      <x:c r="G2431" t="n">
        <x:v>5</x:v>
      </x:c>
      <x:c r="H2431" t="n">
        <x:v>0</x:v>
      </x:c>
      <x:c r="I2431" t="str">
        <x:v>À qualifier par lieu</x:v>
      </x:c>
      <x:c r="J2431" t="str">
        <x:v>https://github.com/darknigthmare/deadwall-last-enclosure/blob/1b3b9c5ba232734b1bda3453b4e20a0481bcdd74/codex-3000/compositions/industrie/DW-2426.md</x:v>
      </x:c>
      <x:c r="K2431" t="str">
        <x:v>Source min 38,49 m ; max 38,49 m ; modèle 38 × 49 m ; niveaux 0. Détails dans catalogue-existant.json.</x:v>
      </x:c>
    </x:row>
    <x:row r="2432">
      <x:c r="A2432" t="str">
        <x:v>DW-2427</x:v>
      </x:c>
      <x:c r="B2432" t="str">
        <x:v>DW-0714</x:v>
      </x:c>
      <x:c r="C2432" t="str">
        <x:v>Composition héritée</x:v>
      </x:c>
      <x:c r="D2432" t="str">
        <x:v>industrie</x:v>
      </x:c>
      <x:c r="E2432" t="str">
        <x:v>Mine — variante 04 — Atelier et artisanat / arrêt de maintenance</x:v>
      </x:c>
      <x:c r="F2432" t="n">
        <x:v>8</x:v>
      </x:c>
      <x:c r="G2432" t="n">
        <x:v>6</x:v>
      </x:c>
      <x:c r="H2432" t="n">
        <x:v>0</x:v>
      </x:c>
      <x:c r="I2432" t="str">
        <x:v>À qualifier par lieu</x:v>
      </x:c>
      <x:c r="J2432" t="str">
        <x:v>https://github.com/darknigthmare/deadwall-last-enclosure/blob/1b3b9c5ba232734b1bda3453b4e20a0481bcdd74/codex-3000/compositions/industrie/DW-2427.md</x:v>
      </x:c>
      <x:c r="K2432" t="str">
        <x:v>Source min 49,12 m ; max 49,12 m ; modèle 49 × 22 m ; niveaux 0. Détails dans catalogue-existant.json.</x:v>
      </x:c>
    </x:row>
    <x:row r="2433">
      <x:c r="A2433" t="str">
        <x:v>DW-2428</x:v>
      </x:c>
      <x:c r="B2433" t="str">
        <x:v>DW-0714</x:v>
      </x:c>
      <x:c r="C2433" t="str">
        <x:v>Composition héritée</x:v>
      </x:c>
      <x:c r="D2433" t="str">
        <x:v>industrie</x:v>
      </x:c>
      <x:c r="E2433" t="str">
        <x:v>Mine — variante 04 — Gare et fret / reprise progressive de la végétation</x:v>
      </x:c>
      <x:c r="F2433" t="n">
        <x:v>10</x:v>
      </x:c>
      <x:c r="G2433" t="n">
        <x:v>6</x:v>
      </x:c>
      <x:c r="H2433" t="n">
        <x:v>0</x:v>
      </x:c>
      <x:c r="I2433" t="str">
        <x:v>À qualifier par lieu</x:v>
      </x:c>
      <x:c r="J2433" t="str">
        <x:v>https://github.com/darknigthmare/deadwall-last-enclosure/blob/1b3b9c5ba232734b1bda3453b4e20a0481bcdd74/codex-3000/compositions/industrie/DW-2428.md</x:v>
      </x:c>
      <x:c r="K2433" t="str">
        <x:v>Source min 49,12 m ; max 49,12 m ; modèle 49 × 22 m ; niveaux 0. Détails dans catalogue-existant.json.</x:v>
      </x:c>
    </x:row>
    <x:row r="2434">
      <x:c r="A2434" t="str">
        <x:v>DW-2429</x:v>
      </x:c>
      <x:c r="B2434" t="str">
        <x:v>DW-0715</x:v>
      </x:c>
      <x:c r="C2434" t="str">
        <x:v>Composition héritée</x:v>
      </x:c>
      <x:c r="D2434" t="str">
        <x:v>industrie</x:v>
      </x:c>
      <x:c r="E2434" t="str">
        <x:v>Centrale locale — variante 04 — Entrepôt et plateforme logistique / première récupération passée</x:v>
      </x:c>
      <x:c r="F2434" t="n">
        <x:v>8</x:v>
      </x:c>
      <x:c r="G2434" t="n">
        <x:v>5</x:v>
      </x:c>
      <x:c r="H2434" t="n">
        <x:v>0</x:v>
      </x:c>
      <x:c r="I2434" t="str">
        <x:v>À qualifier par lieu</x:v>
      </x:c>
      <x:c r="J2434" t="str">
        <x:v>https://github.com/darknigthmare/deadwall-last-enclosure/blob/1b3b9c5ba232734b1bda3453b4e20a0481bcdd74/codex-3000/compositions/industrie/DW-2429.md</x:v>
      </x:c>
      <x:c r="K2434" t="str">
        <x:v>Source min 60,29 m ; max 60,29 m ; modèle 60 × 29 m ; niveaux 0. Détails dans catalogue-existant.json.</x:v>
      </x:c>
    </x:row>
    <x:row r="2435">
      <x:c r="A2435" t="str">
        <x:v>DW-2430</x:v>
      </x:c>
      <x:c r="B2435" t="str">
        <x:v>DW-0715</x:v>
      </x:c>
      <x:c r="C2435" t="str">
        <x:v>Composition héritée</x:v>
      </x:c>
      <x:c r="D2435" t="str">
        <x:v>industrie</x:v>
      </x:c>
      <x:c r="E2435" t="str">
        <x:v>Centrale locale — variante 04 — Zone industrielle / relais temporaire envisagé</x:v>
      </x:c>
      <x:c r="F2435" t="n">
        <x:v>8</x:v>
      </x:c>
      <x:c r="G2435" t="n">
        <x:v>5</x:v>
      </x:c>
      <x:c r="H2435" t="n">
        <x:v>0</x:v>
      </x:c>
      <x:c r="I2435" t="str">
        <x:v>À qualifier par lieu</x:v>
      </x:c>
      <x:c r="J2435" t="str">
        <x:v>https://github.com/darknigthmare/deadwall-last-enclosure/blob/1b3b9c5ba232734b1bda3453b4e20a0481bcdd74/codex-3000/compositions/industrie/DW-2430.md</x:v>
      </x:c>
      <x:c r="K2435" t="str">
        <x:v>Source min 60,29 m ; max 60,29 m ; modèle 60 × 29 m ; niveaux 0. Détails dans catalogue-existant.json.</x:v>
      </x:c>
    </x:row>
    <x:row r="2436">
      <x:c r="A2436" t="str">
        <x:v>DW-2431</x:v>
      </x:c>
      <x:c r="B2436" t="str">
        <x:v>DW-0716</x:v>
      </x:c>
      <x:c r="C2436" t="str">
        <x:v>Composition héritée</x:v>
      </x:c>
      <x:c r="D2436" t="str">
        <x:v>industrie</x:v>
      </x:c>
      <x:c r="E2436" t="str">
        <x:v>Station de pompage — variante 04 — Gare et fret / service déplacé à l’arrière</x:v>
      </x:c>
      <x:c r="F2436" t="n">
        <x:v>10</x:v>
      </x:c>
      <x:c r="G2436" t="n">
        <x:v>5</x:v>
      </x:c>
      <x:c r="H2436" t="n">
        <x:v>0</x:v>
      </x:c>
      <x:c r="I2436" t="str">
        <x:v>À qualifier par lieu</x:v>
      </x:c>
      <x:c r="J2436" t="str">
        <x:v>https://github.com/darknigthmare/deadwall-last-enclosure/blob/1b3b9c5ba232734b1bda3453b4e20a0481bcdd74/codex-3000/compositions/industrie/DW-2431.md</x:v>
      </x:c>
      <x:c r="K2436" t="str">
        <x:v>Source min 71,46 m ; max 71,46 m ; modèle 71 × 46 m ; niveaux 0. Détails dans catalogue-existant.json.</x:v>
      </x:c>
    </x:row>
    <x:row r="2437">
      <x:c r="A2437" t="str">
        <x:v>DW-2432</x:v>
      </x:c>
      <x:c r="B2437" t="str">
        <x:v>DW-0716</x:v>
      </x:c>
      <x:c r="C2437" t="str">
        <x:v>Composition héritée</x:v>
      </x:c>
      <x:c r="D2437" t="str">
        <x:v>industrie</x:v>
      </x:c>
      <x:c r="E2437" t="str">
        <x:v>Station de pompage — variante 04 — Atelier et artisanat / réseau principal coupé</x:v>
      </x:c>
      <x:c r="F2437" t="n">
        <x:v>8</x:v>
      </x:c>
      <x:c r="G2437" t="n">
        <x:v>5</x:v>
      </x:c>
      <x:c r="H2437" t="n">
        <x:v>0</x:v>
      </x:c>
      <x:c r="I2437" t="str">
        <x:v>À qualifier par lieu</x:v>
      </x:c>
      <x:c r="J2437" t="str">
        <x:v>https://github.com/darknigthmare/deadwall-last-enclosure/blob/1b3b9c5ba232734b1bda3453b4e20a0481bcdd74/codex-3000/compositions/industrie/DW-2432.md</x:v>
      </x:c>
      <x:c r="K2437" t="str">
        <x:v>Source min 71,46 m ; max 71,46 m ; modèle 71 × 46 m ; niveaux 0. Détails dans catalogue-existant.json.</x:v>
      </x:c>
    </x:row>
    <x:row r="2438">
      <x:c r="A2438" t="str">
        <x:v>DW-2433</x:v>
      </x:c>
      <x:c r="B2438" t="str">
        <x:v>DW-0717</x:v>
      </x:c>
      <x:c r="C2438" t="str">
        <x:v>Composition héritée</x:v>
      </x:c>
      <x:c r="D2438" t="str">
        <x:v>public</x:v>
      </x:c>
      <x:c r="E2438" t="str">
        <x:v>École — variante 04 — École, mairie et bâtiments civiques / reprise progressive de la végétation</x:v>
      </x:c>
      <x:c r="F2438" t="n">
        <x:v>8</x:v>
      </x:c>
      <x:c r="G2438" t="n">
        <x:v>5</x:v>
      </x:c>
      <x:c r="H2438" t="n">
        <x:v>0</x:v>
      </x:c>
      <x:c r="I2438" t="str">
        <x:v>À qualifier par lieu</x:v>
      </x:c>
      <x:c r="J2438" t="str">
        <x:v>https://github.com/darknigthmare/deadwall-last-enclosure/blob/1b3b9c5ba232734b1bda3453b4e20a0481bcdd74/codex-3000/compositions/public/DW-2433.md</x:v>
      </x:c>
      <x:c r="K2438" t="str">
        <x:v>Source min 10,9 m ; max 10,9 m ; modèle 26 × 22 m ; niveaux 0, 1. Détails dans catalogue-existant.json.</x:v>
      </x:c>
    </x:row>
    <x:row r="2439">
      <x:c r="A2439" t="str">
        <x:v>DW-2434</x:v>
      </x:c>
      <x:c r="B2439" t="str">
        <x:v>DW-0717</x:v>
      </x:c>
      <x:c r="C2439" t="str">
        <x:v>Composition héritée</x:v>
      </x:c>
      <x:c r="D2439" t="str">
        <x:v>public</x:v>
      </x:c>
      <x:c r="E2439" t="str">
        <x:v>École — variante 04 — Village et bourg / repli organisé interrompu</x:v>
      </x:c>
      <x:c r="F2439" t="n">
        <x:v>8</x:v>
      </x:c>
      <x:c r="G2439" t="n">
        <x:v>5</x:v>
      </x:c>
      <x:c r="H2439" t="n">
        <x:v>0</x:v>
      </x:c>
      <x:c r="I2439" t="str">
        <x:v>À qualifier par lieu</x:v>
      </x:c>
      <x:c r="J2439" t="str">
        <x:v>https://github.com/darknigthmare/deadwall-last-enclosure/blob/1b3b9c5ba232734b1bda3453b4e20a0481bcdd74/codex-3000/compositions/public/DW-2434.md</x:v>
      </x:c>
      <x:c r="K2439" t="str">
        <x:v>Source min 10,9 m ; max 10,9 m ; modèle 26 × 22 m ; niveaux 0, 1. Détails dans catalogue-existant.json.</x:v>
      </x:c>
    </x:row>
    <x:row r="2440">
      <x:c r="A2440" t="str">
        <x:v>DW-2435</x:v>
      </x:c>
      <x:c r="B2440" t="str">
        <x:v>DW-0718</x:v>
      </x:c>
      <x:c r="C2440" t="str">
        <x:v>Composition héritée</x:v>
      </x:c>
      <x:c r="D2440" t="str">
        <x:v>public</x:v>
      </x:c>
      <x:c r="E2440" t="str">
        <x:v>Mairie — variante 04 — Ville moyenne / relais temporaire envisagé</x:v>
      </x:c>
      <x:c r="F2440" t="n">
        <x:v>8</x:v>
      </x:c>
      <x:c r="G2440" t="n">
        <x:v>5</x:v>
      </x:c>
      <x:c r="H2440" t="n">
        <x:v>0</x:v>
      </x:c>
      <x:c r="I2440" t="str">
        <x:v>À qualifier par lieu</x:v>
      </x:c>
      <x:c r="J2440" t="str">
        <x:v>https://github.com/darknigthmare/deadwall-last-enclosure/blob/1b3b9c5ba232734b1bda3453b4e20a0481bcdd74/codex-3000/compositions/public/DW-2435.md</x:v>
      </x:c>
      <x:c r="K2440" t="str">
        <x:v>Source min 21,26 m ; max 21,26 m ; modèle 26 × 26 m ; niveaux 0. Détails dans catalogue-existant.json.</x:v>
      </x:c>
    </x:row>
    <x:row r="2441">
      <x:c r="A2441" t="str">
        <x:v>DW-2436</x:v>
      </x:c>
      <x:c r="B2441" t="str">
        <x:v>DW-0718</x:v>
      </x:c>
      <x:c r="C2441" t="str">
        <x:v>Composition héritée</x:v>
      </x:c>
      <x:c r="D2441" t="str">
        <x:v>public</x:v>
      </x:c>
      <x:c r="E2441" t="str">
        <x:v>Mairie — variante 04 — Centre d’évacuation abandonné / évacuation interrompue</x:v>
      </x:c>
      <x:c r="F2441" t="n">
        <x:v>8</x:v>
      </x:c>
      <x:c r="G2441" t="n">
        <x:v>5</x:v>
      </x:c>
      <x:c r="H2441" t="n">
        <x:v>0</x:v>
      </x:c>
      <x:c r="I2441" t="str">
        <x:v>À qualifier par lieu</x:v>
      </x:c>
      <x:c r="J2441" t="str">
        <x:v>https://github.com/darknigthmare/deadwall-last-enclosure/blob/1b3b9c5ba232734b1bda3453b4e20a0481bcdd74/codex-3000/compositions/public/DW-2436.md</x:v>
      </x:c>
      <x:c r="K2441" t="str">
        <x:v>Source min 21,26 m ; max 21,26 m ; modèle 26 × 26 m ; niveaux 0. Détails dans catalogue-existant.json.</x:v>
      </x:c>
    </x:row>
    <x:row r="2442">
      <x:c r="A2442" t="str">
        <x:v>DW-2437</x:v>
      </x:c>
      <x:c r="B2442" t="str">
        <x:v>DW-0719</x:v>
      </x:c>
      <x:c r="C2442" t="str">
        <x:v>Composition héritée</x:v>
      </x:c>
      <x:c r="D2442" t="str">
        <x:v>public</x:v>
      </x:c>
      <x:c r="E2442" t="str">
        <x:v>Clinique — variante 04 — Village et bourg / réseau principal coupé</x:v>
      </x:c>
      <x:c r="F2442" t="n">
        <x:v>8</x:v>
      </x:c>
      <x:c r="G2442" t="n">
        <x:v>6</x:v>
      </x:c>
      <x:c r="H2442" t="n">
        <x:v>0</x:v>
      </x:c>
      <x:c r="I2442" t="str">
        <x:v>À qualifier par lieu</x:v>
      </x:c>
      <x:c r="J2442" t="str">
        <x:v>https://github.com/darknigthmare/deadwall-last-enclosure/blob/1b3b9c5ba232734b1bda3453b4e20a0481bcdd74/codex-3000/compositions/public/DW-2437.md</x:v>
      </x:c>
      <x:c r="K2442" t="str">
        <x:v>Source min 32,43 m ; max 32,43 m ; modèle 32 × 43 m ; niveaux 0. Détails dans catalogue-existant.json.</x:v>
      </x:c>
    </x:row>
    <x:row r="2443">
      <x:c r="A2443" t="str">
        <x:v>DW-2438</x:v>
      </x:c>
      <x:c r="B2443" t="str">
        <x:v>DW-0719</x:v>
      </x:c>
      <x:c r="C2443" t="str">
        <x:v>Composition héritée</x:v>
      </x:c>
      <x:c r="D2443" t="str">
        <x:v>public</x:v>
      </x:c>
      <x:c r="E2443" t="str">
        <x:v>Clinique — variante 04 — École, mairie et bâtiments civiques / arrêt de maintenance</x:v>
      </x:c>
      <x:c r="F2443" t="n">
        <x:v>8</x:v>
      </x:c>
      <x:c r="G2443" t="n">
        <x:v>6</x:v>
      </x:c>
      <x:c r="H2443" t="n">
        <x:v>0</x:v>
      </x:c>
      <x:c r="I2443" t="str">
        <x:v>À qualifier par lieu</x:v>
      </x:c>
      <x:c r="J2443" t="str">
        <x:v>https://github.com/darknigthmare/deadwall-last-enclosure/blob/1b3b9c5ba232734b1bda3453b4e20a0481bcdd74/codex-3000/compositions/public/DW-2438.md</x:v>
      </x:c>
      <x:c r="K2443" t="str">
        <x:v>Source min 32,43 m ; max 32,43 m ; modèle 32 × 43 m ; niveaux 0. Détails dans catalogue-existant.json.</x:v>
      </x:c>
    </x:row>
    <x:row r="2444">
      <x:c r="A2444" t="str">
        <x:v>DW-2439</x:v>
      </x:c>
      <x:c r="B2444" t="str">
        <x:v>DW-0720</x:v>
      </x:c>
      <x:c r="C2444" t="str">
        <x:v>Composition héritée</x:v>
      </x:c>
      <x:c r="D2444" t="str">
        <x:v>public</x:v>
      </x:c>
      <x:c r="E2444" t="str">
        <x:v>Caserne de pompiers — variante 04 — Centre d’évacuation abandonné / repli organisé interrompu</x:v>
      </x:c>
      <x:c r="F2444" t="n">
        <x:v>8</x:v>
      </x:c>
      <x:c r="G2444" t="n">
        <x:v>6</x:v>
      </x:c>
      <x:c r="H2444" t="n">
        <x:v>0</x:v>
      </x:c>
      <x:c r="I2444" t="str">
        <x:v>À qualifier par lieu</x:v>
      </x:c>
      <x:c r="J2444" t="str">
        <x:v>https://github.com/darknigthmare/deadwall-last-enclosure/blob/1b3b9c5ba232734b1bda3453b4e20a0481bcdd74/codex-3000/compositions/public/DW-2439.md</x:v>
      </x:c>
      <x:c r="K2444" t="str">
        <x:v>Source min 43,60 m ; max 43,60 m ; modèle 43 × 60 m ; niveaux 0. Détails dans catalogue-existant.json.</x:v>
      </x:c>
    </x:row>
    <x:row r="2445">
      <x:c r="A2445" t="str">
        <x:v>DW-2440</x:v>
      </x:c>
      <x:c r="B2445" t="str">
        <x:v>DW-0720</x:v>
      </x:c>
      <x:c r="C2445" t="str">
        <x:v>Composition héritée</x:v>
      </x:c>
      <x:c r="D2445" t="str">
        <x:v>public</x:v>
      </x:c>
      <x:c r="E2445" t="str">
        <x:v>Caserne de pompiers — variante 04 — Ville moyenne / première récupération passée</x:v>
      </x:c>
      <x:c r="F2445" t="n">
        <x:v>8</x:v>
      </x:c>
      <x:c r="G2445" t="n">
        <x:v>6</x:v>
      </x:c>
      <x:c r="H2445" t="n">
        <x:v>0</x:v>
      </x:c>
      <x:c r="I2445" t="str">
        <x:v>À qualifier par lieu</x:v>
      </x:c>
      <x:c r="J2445" t="str">
        <x:v>https://github.com/darknigthmare/deadwall-last-enclosure/blob/1b3b9c5ba232734b1bda3453b4e20a0481bcdd74/codex-3000/compositions/public/DW-2440.md</x:v>
      </x:c>
      <x:c r="K2445" t="str">
        <x:v>Source min 43,60 m ; max 43,60 m ; modèle 43 × 60 m ; niveaux 0. Détails dans catalogue-existant.json.</x:v>
      </x:c>
    </x:row>
    <x:row r="2446">
      <x:c r="A2446" t="str">
        <x:v>DW-2441</x:v>
      </x:c>
      <x:c r="B2446" t="str">
        <x:v>DW-0721</x:v>
      </x:c>
      <x:c r="C2446" t="str">
        <x:v>Composition héritée</x:v>
      </x:c>
      <x:c r="D2446" t="str">
        <x:v>public</x:v>
      </x:c>
      <x:c r="E2446" t="str">
        <x:v>Poste de police — variante 04 — École, mairie et bâtiments civiques / évacuation interrompue</x:v>
      </x:c>
      <x:c r="F2446" t="n">
        <x:v>8</x:v>
      </x:c>
      <x:c r="G2446" t="n">
        <x:v>5</x:v>
      </x:c>
      <x:c r="H2446" t="n">
        <x:v>0</x:v>
      </x:c>
      <x:c r="I2446" t="str">
        <x:v>À qualifier par lieu</x:v>
      </x:c>
      <x:c r="J2446" t="str">
        <x:v>https://github.com/darknigthmare/deadwall-last-enclosure/blob/1b3b9c5ba232734b1bda3453b4e20a0481bcdd74/codex-3000/compositions/public/DW-2441.md</x:v>
      </x:c>
      <x:c r="K2446" t="str">
        <x:v>Source min 54,23 m ; max 54,23 m ; modèle 54 × 23 m ; niveaux 0, 1. Détails dans catalogue-existant.json.</x:v>
      </x:c>
    </x:row>
    <x:row r="2447">
      <x:c r="A2447" t="str">
        <x:v>DW-2442</x:v>
      </x:c>
      <x:c r="B2447" t="str">
        <x:v>DW-0721</x:v>
      </x:c>
      <x:c r="C2447" t="str">
        <x:v>Composition héritée</x:v>
      </x:c>
      <x:c r="D2447" t="str">
        <x:v>public</x:v>
      </x:c>
      <x:c r="E2447" t="str">
        <x:v>Poste de police — variante 04 — Village et bourg / service déplacé à l’arrière</x:v>
      </x:c>
      <x:c r="F2447" t="n">
        <x:v>8</x:v>
      </x:c>
      <x:c r="G2447" t="n">
        <x:v>5</x:v>
      </x:c>
      <x:c r="H2447" t="n">
        <x:v>0</x:v>
      </x:c>
      <x:c r="I2447" t="str">
        <x:v>À qualifier par lieu</x:v>
      </x:c>
      <x:c r="J2447" t="str">
        <x:v>https://github.com/darknigthmare/deadwall-last-enclosure/blob/1b3b9c5ba232734b1bda3453b4e20a0481bcdd74/codex-3000/compositions/public/DW-2442.md</x:v>
      </x:c>
      <x:c r="K2447" t="str">
        <x:v>Source min 54,23 m ; max 54,23 m ; modèle 54 × 23 m ; niveaux 0, 1. Détails dans catalogue-existant.json.</x:v>
      </x:c>
    </x:row>
    <x:row r="2448">
      <x:c r="A2448" t="str">
        <x:v>DW-2443</x:v>
      </x:c>
      <x:c r="B2448" t="str">
        <x:v>DW-0722</x:v>
      </x:c>
      <x:c r="C2448" t="str">
        <x:v>Composition héritée</x:v>
      </x:c>
      <x:c r="D2448" t="str">
        <x:v>public</x:v>
      </x:c>
      <x:c r="E2448" t="str">
        <x:v>Bibliothèque — variante 04 — Ville moyenne / arrêt de maintenance</x:v>
      </x:c>
      <x:c r="F2448" t="n">
        <x:v>8</x:v>
      </x:c>
      <x:c r="G2448" t="n">
        <x:v>5</x:v>
      </x:c>
      <x:c r="H2448" t="n">
        <x:v>0</x:v>
      </x:c>
      <x:c r="I2448" t="str">
        <x:v>À qualifier par lieu</x:v>
      </x:c>
      <x:c r="J2448" t="str">
        <x:v>https://github.com/darknigthmare/deadwall-last-enclosure/blob/1b3b9c5ba232734b1bda3453b4e20a0481bcdd74/codex-3000/compositions/public/DW-2443.md</x:v>
      </x:c>
      <x:c r="K2448" t="str">
        <x:v>Source min 65,40 m ; max 65,40 m ; modèle 65 × 40 m ; niveaux 0. Détails dans catalogue-existant.json.</x:v>
      </x:c>
    </x:row>
    <x:row r="2449">
      <x:c r="A2449" t="str">
        <x:v>DW-2444</x:v>
      </x:c>
      <x:c r="B2449" t="str">
        <x:v>DW-0722</x:v>
      </x:c>
      <x:c r="C2449" t="str">
        <x:v>Composition héritée</x:v>
      </x:c>
      <x:c r="D2449" t="str">
        <x:v>public</x:v>
      </x:c>
      <x:c r="E2449" t="str">
        <x:v>Bibliothèque — variante 04 — Centre d’évacuation abandonné / reprise progressive de la végétation</x:v>
      </x:c>
      <x:c r="F2449" t="n">
        <x:v>8</x:v>
      </x:c>
      <x:c r="G2449" t="n">
        <x:v>5</x:v>
      </x:c>
      <x:c r="H2449" t="n">
        <x:v>0</x:v>
      </x:c>
      <x:c r="I2449" t="str">
        <x:v>À qualifier par lieu</x:v>
      </x:c>
      <x:c r="J2449" t="str">
        <x:v>https://github.com/darknigthmare/deadwall-last-enclosure/blob/1b3b9c5ba232734b1bda3453b4e20a0481bcdd74/codex-3000/compositions/public/DW-2444.md</x:v>
      </x:c>
      <x:c r="K2449" t="str">
        <x:v>Source min 65,40 m ; max 65,40 m ; modèle 65 × 40 m ; niveaux 0. Détails dans catalogue-existant.json.</x:v>
      </x:c>
    </x:row>
    <x:row r="2450">
      <x:c r="A2450" t="str">
        <x:v>DW-2445</x:v>
      </x:c>
      <x:c r="B2450" t="str">
        <x:v>DW-0723</x:v>
      </x:c>
      <x:c r="C2450" t="str">
        <x:v>Composition héritée</x:v>
      </x:c>
      <x:c r="D2450" t="str">
        <x:v>public</x:v>
      </x:c>
      <x:c r="E2450" t="str">
        <x:v>Salle des fêtes — variante 04 — Village et bourg / première récupération passée</x:v>
      </x:c>
      <x:c r="F2450" t="n">
        <x:v>8</x:v>
      </x:c>
      <x:c r="G2450" t="n">
        <x:v>5</x:v>
      </x:c>
      <x:c r="H2450" t="n">
        <x:v>0</x:v>
      </x:c>
      <x:c r="I2450" t="str">
        <x:v>À qualifier par lieu</x:v>
      </x:c>
      <x:c r="J2450" t="str">
        <x:v>https://github.com/darknigthmare/deadwall-last-enclosure/blob/1b3b9c5ba232734b1bda3453b4e20a0481bcdd74/codex-3000/compositions/public/DW-2445.md</x:v>
      </x:c>
      <x:c r="K2450" t="str">
        <x:v>Source min 76,57 m ; max 76,57 m ; modèle 76 × 57 m ; niveaux 0. Détails dans catalogue-existant.json.</x:v>
      </x:c>
    </x:row>
    <x:row r="2451">
      <x:c r="A2451" t="str">
        <x:v>DW-2446</x:v>
      </x:c>
      <x:c r="B2451" t="str">
        <x:v>DW-0723</x:v>
      </x:c>
      <x:c r="C2451" t="str">
        <x:v>Composition héritée</x:v>
      </x:c>
      <x:c r="D2451" t="str">
        <x:v>public</x:v>
      </x:c>
      <x:c r="E2451" t="str">
        <x:v>Salle des fêtes — variante 04 — École, mairie et bâtiments civiques / relais temporaire envisagé</x:v>
      </x:c>
      <x:c r="F2451" t="n">
        <x:v>8</x:v>
      </x:c>
      <x:c r="G2451" t="n">
        <x:v>5</x:v>
      </x:c>
      <x:c r="H2451" t="n">
        <x:v>0</x:v>
      </x:c>
      <x:c r="I2451" t="str">
        <x:v>À qualifier par lieu</x:v>
      </x:c>
      <x:c r="J2451" t="str">
        <x:v>https://github.com/darknigthmare/deadwall-last-enclosure/blob/1b3b9c5ba232734b1bda3453b4e20a0481bcdd74/codex-3000/compositions/public/DW-2446.md</x:v>
      </x:c>
      <x:c r="K2451" t="str">
        <x:v>Source min 76,57 m ; max 76,57 m ; modèle 76 × 57 m ; niveaux 0. Détails dans catalogue-existant.json.</x:v>
      </x:c>
    </x:row>
    <x:row r="2452">
      <x:c r="A2452" t="str">
        <x:v>DW-2447</x:v>
      </x:c>
      <x:c r="B2452" t="str">
        <x:v>DW-0724</x:v>
      </x:c>
      <x:c r="C2452" t="str">
        <x:v>Composition héritée</x:v>
      </x:c>
      <x:c r="D2452" t="str">
        <x:v>public</x:v>
      </x:c>
      <x:c r="E2452" t="str">
        <x:v>Église et presbytère — variante 04 — Centre d’évacuation abandonné / service déplacé à l’arrière</x:v>
      </x:c>
      <x:c r="F2452" t="n">
        <x:v>8</x:v>
      </x:c>
      <x:c r="G2452" t="n">
        <x:v>5</x:v>
      </x:c>
      <x:c r="H2452" t="n">
        <x:v>0</x:v>
      </x:c>
      <x:c r="I2452" t="str">
        <x:v>À qualifier par lieu</x:v>
      </x:c>
      <x:c r="J2452" t="str">
        <x:v>https://github.com/darknigthmare/deadwall-last-enclosure/blob/1b3b9c5ba232734b1bda3453b4e20a0481bcdd74/codex-3000/compositions/public/DW-2447.md</x:v>
      </x:c>
      <x:c r="K2452" t="str">
        <x:v>Source min 15,20 m ; max 15,20 m ; modèle 26 × 22 m ; niveaux 0. Détails dans catalogue-existant.json.</x:v>
      </x:c>
    </x:row>
    <x:row r="2453">
      <x:c r="A2453" t="str">
        <x:v>DW-2448</x:v>
      </x:c>
      <x:c r="B2453" t="str">
        <x:v>DW-0724</x:v>
      </x:c>
      <x:c r="C2453" t="str">
        <x:v>Composition héritée</x:v>
      </x:c>
      <x:c r="D2453" t="str">
        <x:v>public</x:v>
      </x:c>
      <x:c r="E2453" t="str">
        <x:v>Église et presbytère — variante 04 — Ville moyenne / réseau principal coupé</x:v>
      </x:c>
      <x:c r="F2453" t="n">
        <x:v>8</x:v>
      </x:c>
      <x:c r="G2453" t="n">
        <x:v>5</x:v>
      </x:c>
      <x:c r="H2453" t="n">
        <x:v>0</x:v>
      </x:c>
      <x:c r="I2453" t="str">
        <x:v>À qualifier par lieu</x:v>
      </x:c>
      <x:c r="J2453" t="str">
        <x:v>https://github.com/darknigthmare/deadwall-last-enclosure/blob/1b3b9c5ba232734b1bda3453b4e20a0481bcdd74/codex-3000/compositions/public/DW-2448.md</x:v>
      </x:c>
      <x:c r="K2453" t="str">
        <x:v>Source min 15,20 m ; max 15,20 m ; modèle 26 × 22 m ; niveaux 0. Détails dans catalogue-existant.json.</x:v>
      </x:c>
    </x:row>
    <x:row r="2454">
      <x:c r="A2454" t="str">
        <x:v>DW-2449</x:v>
      </x:c>
      <x:c r="B2454" t="str">
        <x:v>DW-0725</x:v>
      </x:c>
      <x:c r="C2454" t="str">
        <x:v>Composition héritée</x:v>
      </x:c>
      <x:c r="D2454" t="str">
        <x:v>rural</x:v>
      </x:c>
      <x:c r="E2454" t="str">
        <x:v>Hameau agricole — variante 04 — Ferme, verger et pâtures / reprise progressive de la végétation</x:v>
      </x:c>
      <x:c r="F2454" t="n">
        <x:v>8</x:v>
      </x:c>
      <x:c r="G2454" t="n">
        <x:v>6</x:v>
      </x:c>
      <x:c r="H2454" t="n">
        <x:v>0</x:v>
      </x:c>
      <x:c r="I2454" t="str">
        <x:v>À qualifier par lieu</x:v>
      </x:c>
      <x:c r="J2454" t="str">
        <x:v>https://github.com/darknigthmare/deadwall-last-enclosure/blob/1b3b9c5ba232734b1bda3453b4e20a0481bcdd74/codex-3000/compositions/rural/DW-2449.md</x:v>
      </x:c>
      <x:c r="K2454" t="str">
        <x:v>Source min 26,37 m ; max 26,37 m ; modèle 28 × 37 m ; niveaux 0. Détails dans catalogue-existant.json.</x:v>
      </x:c>
    </x:row>
    <x:row r="2455">
      <x:c r="A2455" t="str">
        <x:v>DW-2450</x:v>
      </x:c>
      <x:c r="B2455" t="str">
        <x:v>DW-0725</x:v>
      </x:c>
      <x:c r="C2455" t="str">
        <x:v>Composition héritée</x:v>
      </x:c>
      <x:c r="D2455" t="str">
        <x:v>rural</x:v>
      </x:c>
      <x:c r="E2455" t="str">
        <x:v>Hameau agricole — variante 04 — Petit bois et lisière / repli organisé interrompu</x:v>
      </x:c>
      <x:c r="F2455" t="n">
        <x:v>8</x:v>
      </x:c>
      <x:c r="G2455" t="n">
        <x:v>6</x:v>
      </x:c>
      <x:c r="H2455" t="n">
        <x:v>0</x:v>
      </x:c>
      <x:c r="I2455" t="str">
        <x:v>À qualifier par lieu</x:v>
      </x:c>
      <x:c r="J2455" t="str">
        <x:v>https://github.com/darknigthmare/deadwall-last-enclosure/blob/1b3b9c5ba232734b1bda3453b4e20a0481bcdd74/codex-3000/compositions/rural/DW-2450.md</x:v>
      </x:c>
      <x:c r="K2455" t="str">
        <x:v>Source min 26,37 m ; max 26,37 m ; modèle 28 × 37 m ; niveaux 0. Détails dans catalogue-existant.json.</x:v>
      </x:c>
    </x:row>
    <x:row r="2456">
      <x:c r="A2456" t="str">
        <x:v>DW-2451</x:v>
      </x:c>
      <x:c r="B2456" t="str">
        <x:v>DW-0726</x:v>
      </x:c>
      <x:c r="C2456" t="str">
        <x:v>Composition héritée</x:v>
      </x:c>
      <x:c r="D2456" t="str">
        <x:v>rural</x:v>
      </x:c>
      <x:c r="E2456" t="str">
        <x:v>Cabane forestière — variante 04 — Prairie et friche ouverte / relais temporaire envisagé</x:v>
      </x:c>
      <x:c r="F2456" t="n">
        <x:v>8</x:v>
      </x:c>
      <x:c r="G2456" t="n">
        <x:v>4</x:v>
      </x:c>
      <x:c r="H2456" t="n">
        <x:v>0</x:v>
      </x:c>
      <x:c r="I2456" t="str">
        <x:v>À qualifier par lieu</x:v>
      </x:c>
      <x:c r="J2456" t="str">
        <x:v>https://github.com/darknigthmare/deadwall-last-enclosure/blob/1b3b9c5ba232734b1bda3453b4e20a0481bcdd74/codex-3000/compositions/rural/DW-2451.md</x:v>
      </x:c>
      <x:c r="K2456" t="str">
        <x:v>Source min 37,54 m ; max 37,54 m ; modèle 37 × 54 m ; niveaux 0. Détails dans catalogue-existant.json.</x:v>
      </x:c>
    </x:row>
    <x:row r="2457">
      <x:c r="A2457" t="str">
        <x:v>DW-2452</x:v>
      </x:c>
      <x:c r="B2457" t="str">
        <x:v>DW-0726</x:v>
      </x:c>
      <x:c r="C2457" t="str">
        <x:v>Composition héritée</x:v>
      </x:c>
      <x:c r="D2457" t="str">
        <x:v>rural</x:v>
      </x:c>
      <x:c r="E2457" t="str">
        <x:v>Cabane forestière — variante 04 — Hameau / évacuation interrompue</x:v>
      </x:c>
      <x:c r="F2457" t="n">
        <x:v>8</x:v>
      </x:c>
      <x:c r="G2457" t="n">
        <x:v>4</x:v>
      </x:c>
      <x:c r="H2457" t="n">
        <x:v>0</x:v>
      </x:c>
      <x:c r="I2457" t="str">
        <x:v>À qualifier par lieu</x:v>
      </x:c>
      <x:c r="J2457" t="str">
        <x:v>https://github.com/darknigthmare/deadwall-last-enclosure/blob/1b3b9c5ba232734b1bda3453b4e20a0481bcdd74/codex-3000/compositions/rural/DW-2452.md</x:v>
      </x:c>
      <x:c r="K2457" t="str">
        <x:v>Source min 37,54 m ; max 37,54 m ; modèle 37 × 54 m ; niveaux 0. Détails dans catalogue-existant.json.</x:v>
      </x:c>
    </x:row>
    <x:row r="2458">
      <x:c r="A2458" t="str">
        <x:v>DW-2453</x:v>
      </x:c>
      <x:c r="B2458" t="str">
        <x:v>DW-0727</x:v>
      </x:c>
      <x:c r="C2458" t="str">
        <x:v>Composition héritée</x:v>
      </x:c>
      <x:c r="D2458" t="str">
        <x:v>rural</x:v>
      </x:c>
      <x:c r="E2458" t="str">
        <x:v>Dépôt forestier — variante 04 — Petit bois et lisière / réseau principal coupé</x:v>
      </x:c>
      <x:c r="F2458" t="n">
        <x:v>8</x:v>
      </x:c>
      <x:c r="G2458" t="n">
        <x:v>5</x:v>
      </x:c>
      <x:c r="H2458" t="n">
        <x:v>0</x:v>
      </x:c>
      <x:c r="I2458" t="str">
        <x:v>À qualifier par lieu</x:v>
      </x:c>
      <x:c r="J2458" t="str">
        <x:v>https://github.com/darknigthmare/deadwall-last-enclosure/blob/1b3b9c5ba232734b1bda3453b4e20a0481bcdd74/codex-3000/compositions/rural/DW-2453.md</x:v>
      </x:c>
      <x:c r="K2458" t="str">
        <x:v>Source min 48,17 m ; max 48,17 m ; modèle 48 × 22 m ; niveaux 0. Détails dans catalogue-existant.json.</x:v>
      </x:c>
    </x:row>
    <x:row r="2459">
      <x:c r="A2459" t="str">
        <x:v>DW-2454</x:v>
      </x:c>
      <x:c r="B2459" t="str">
        <x:v>DW-0727</x:v>
      </x:c>
      <x:c r="C2459" t="str">
        <x:v>Composition héritée</x:v>
      </x:c>
      <x:c r="D2459" t="str">
        <x:v>rural</x:v>
      </x:c>
      <x:c r="E2459" t="str">
        <x:v>Dépôt forestier — variante 04 — Ferme, verger et pâtures / arrêt de maintenance</x:v>
      </x:c>
      <x:c r="F2459" t="n">
        <x:v>8</x:v>
      </x:c>
      <x:c r="G2459" t="n">
        <x:v>5</x:v>
      </x:c>
      <x:c r="H2459" t="n">
        <x:v>0</x:v>
      </x:c>
      <x:c r="I2459" t="str">
        <x:v>À qualifier par lieu</x:v>
      </x:c>
      <x:c r="J2459" t="str">
        <x:v>https://github.com/darknigthmare/deadwall-last-enclosure/blob/1b3b9c5ba232734b1bda3453b4e20a0481bcdd74/codex-3000/compositions/rural/DW-2454.md</x:v>
      </x:c>
      <x:c r="K2459" t="str">
        <x:v>Source min 48,17 m ; max 48,17 m ; modèle 48 × 22 m ; niveaux 0. Détails dans catalogue-existant.json.</x:v>
      </x:c>
    </x:row>
    <x:row r="2460">
      <x:c r="A2460" t="str">
        <x:v>DW-2455</x:v>
      </x:c>
      <x:c r="B2460" t="str">
        <x:v>DW-0728</x:v>
      </x:c>
      <x:c r="C2460" t="str">
        <x:v>Composition héritée</x:v>
      </x:c>
      <x:c r="D2460" t="str">
        <x:v>rural</x:v>
      </x:c>
      <x:c r="E2460" t="str">
        <x:v>Ferme céréalière — variante 04 — Hameau / repli organisé interrompu</x:v>
      </x:c>
      <x:c r="F2460" t="n">
        <x:v>8</x:v>
      </x:c>
      <x:c r="G2460" t="n">
        <x:v>5</x:v>
      </x:c>
      <x:c r="H2460" t="n">
        <x:v>0</x:v>
      </x:c>
      <x:c r="I2460" t="str">
        <x:v>À qualifier par lieu</x:v>
      </x:c>
      <x:c r="J2460" t="str">
        <x:v>https://github.com/darknigthmare/deadwall-last-enclosure/blob/1b3b9c5ba232734b1bda3453b4e20a0481bcdd74/codex-3000/compositions/rural/DW-2455.md</x:v>
      </x:c>
      <x:c r="K2460" t="str">
        <x:v>Source min 59,34 m ; max 59,34 m ; modèle 59 × 34 m ; niveaux 0. Détails dans catalogue-existant.json.</x:v>
      </x:c>
    </x:row>
    <x:row r="2461">
      <x:c r="A2461" t="str">
        <x:v>DW-2456</x:v>
      </x:c>
      <x:c r="B2461" t="str">
        <x:v>DW-0728</x:v>
      </x:c>
      <x:c r="C2461" t="str">
        <x:v>Composition héritée</x:v>
      </x:c>
      <x:c r="D2461" t="str">
        <x:v>rural</x:v>
      </x:c>
      <x:c r="E2461" t="str">
        <x:v>Ferme céréalière — variante 04 — Prairie et friche ouverte / première récupération passée</x:v>
      </x:c>
      <x:c r="F2461" t="n">
        <x:v>8</x:v>
      </x:c>
      <x:c r="G2461" t="n">
        <x:v>5</x:v>
      </x:c>
      <x:c r="H2461" t="n">
        <x:v>0</x:v>
      </x:c>
      <x:c r="I2461" t="str">
        <x:v>À qualifier par lieu</x:v>
      </x:c>
      <x:c r="J2461" t="str">
        <x:v>https://github.com/darknigthmare/deadwall-last-enclosure/blob/1b3b9c5ba232734b1bda3453b4e20a0481bcdd74/codex-3000/compositions/rural/DW-2456.md</x:v>
      </x:c>
      <x:c r="K2461" t="str">
        <x:v>Source min 59,34 m ; max 59,34 m ; modèle 59 × 34 m ; niveaux 0. Détails dans catalogue-existant.json.</x:v>
      </x:c>
    </x:row>
    <x:row r="2462">
      <x:c r="A2462" t="str">
        <x:v>DW-2457</x:v>
      </x:c>
      <x:c r="B2462" t="str">
        <x:v>DW-0729</x:v>
      </x:c>
      <x:c r="C2462" t="str">
        <x:v>Composition héritée</x:v>
      </x:c>
      <x:c r="D2462" t="str">
        <x:v>rural</x:v>
      </x:c>
      <x:c r="E2462" t="str">
        <x:v>Ferme d'élevage — variante 04 — Ferme, verger et pâtures / évacuation interrompue</x:v>
      </x:c>
      <x:c r="F2462" t="n">
        <x:v>8</x:v>
      </x:c>
      <x:c r="G2462" t="n">
        <x:v>5</x:v>
      </x:c>
      <x:c r="H2462" t="n">
        <x:v>0</x:v>
      </x:c>
      <x:c r="I2462" t="str">
        <x:v>À qualifier par lieu</x:v>
      </x:c>
      <x:c r="J2462" t="str">
        <x:v>https://github.com/darknigthmare/deadwall-last-enclosure/blob/1b3b9c5ba232734b1bda3453b4e20a0481bcdd74/codex-3000/compositions/rural/DW-2457.md</x:v>
      </x:c>
      <x:c r="K2462" t="str">
        <x:v>Source min 70,51 m ; max 70,51 m ; modèle 70 × 51 m ; niveaux 0. Détails dans catalogue-existant.json.</x:v>
      </x:c>
    </x:row>
    <x:row r="2463">
      <x:c r="A2463" t="str">
        <x:v>DW-2458</x:v>
      </x:c>
      <x:c r="B2463" t="str">
        <x:v>DW-0729</x:v>
      </x:c>
      <x:c r="C2463" t="str">
        <x:v>Composition héritée</x:v>
      </x:c>
      <x:c r="D2463" t="str">
        <x:v>rural</x:v>
      </x:c>
      <x:c r="E2463" t="str">
        <x:v>Ferme d'élevage — variante 04 — Petit bois et lisière / service déplacé à l’arrière</x:v>
      </x:c>
      <x:c r="F2463" t="n">
        <x:v>8</x:v>
      </x:c>
      <x:c r="G2463" t="n">
        <x:v>5</x:v>
      </x:c>
      <x:c r="H2463" t="n">
        <x:v>0</x:v>
      </x:c>
      <x:c r="I2463" t="str">
        <x:v>À qualifier par lieu</x:v>
      </x:c>
      <x:c r="J2463" t="str">
        <x:v>https://github.com/darknigthmare/deadwall-last-enclosure/blob/1b3b9c5ba232734b1bda3453b4e20a0481bcdd74/codex-3000/compositions/rural/DW-2458.md</x:v>
      </x:c>
      <x:c r="K2463" t="str">
        <x:v>Source min 70,51 m ; max 70,51 m ; modèle 70 × 51 m ; niveaux 0. Détails dans catalogue-existant.json.</x:v>
      </x:c>
    </x:row>
    <x:row r="2464">
      <x:c r="A2464" t="str">
        <x:v>DW-2459</x:v>
      </x:c>
      <x:c r="B2464" t="str">
        <x:v>DW-0730</x:v>
      </x:c>
      <x:c r="C2464" t="str">
        <x:v>Composition héritée</x:v>
      </x:c>
      <x:c r="D2464" t="str">
        <x:v>rural</x:v>
      </x:c>
      <x:c r="E2464" t="str">
        <x:v>Relais de chasse — variante 04 — Prairie et friche ouverte / arrêt de maintenance</x:v>
      </x:c>
      <x:c r="F2464" t="n">
        <x:v>8</x:v>
      </x:c>
      <x:c r="G2464" t="n">
        <x:v>4</x:v>
      </x:c>
      <x:c r="H2464" t="n">
        <x:v>0</x:v>
      </x:c>
      <x:c r="I2464" t="str">
        <x:v>À qualifier par lieu</x:v>
      </x:c>
      <x:c r="J2464" t="str">
        <x:v>https://github.com/darknigthmare/deadwall-last-enclosure/blob/1b3b9c5ba232734b1bda3453b4e20a0481bcdd74/codex-3000/compositions/rural/DW-2459.md</x:v>
      </x:c>
      <x:c r="K2464" t="str">
        <x:v>Source min 81,14 m ; max 81,14 m ; modèle 78 × 18 m ; niveaux 0. Détails dans catalogue-existant.json.</x:v>
      </x:c>
    </x:row>
    <x:row r="2465">
      <x:c r="A2465" t="str">
        <x:v>DW-2460</x:v>
      </x:c>
      <x:c r="B2465" t="str">
        <x:v>DW-0730</x:v>
      </x:c>
      <x:c r="C2465" t="str">
        <x:v>Composition héritée</x:v>
      </x:c>
      <x:c r="D2465" t="str">
        <x:v>rural</x:v>
      </x:c>
      <x:c r="E2465" t="str">
        <x:v>Relais de chasse — variante 04 — Hameau / reprise progressive de la végétation</x:v>
      </x:c>
      <x:c r="F2465" t="n">
        <x:v>8</x:v>
      </x:c>
      <x:c r="G2465" t="n">
        <x:v>4</x:v>
      </x:c>
      <x:c r="H2465" t="n">
        <x:v>0</x:v>
      </x:c>
      <x:c r="I2465" t="str">
        <x:v>À qualifier par lieu</x:v>
      </x:c>
      <x:c r="J2465" t="str">
        <x:v>https://github.com/darknigthmare/deadwall-last-enclosure/blob/1b3b9c5ba232734b1bda3453b4e20a0481bcdd74/codex-3000/compositions/rural/DW-2460.md</x:v>
      </x:c>
      <x:c r="K2465" t="str">
        <x:v>Source min 81,14 m ; max 81,14 m ; modèle 78 × 18 m ; niveaux 0. Détails dans catalogue-existant.json.</x:v>
      </x:c>
    </x:row>
    <x:row r="2466">
      <x:c r="A2466" t="str">
        <x:v>DW-2461</x:v>
      </x:c>
      <x:c r="B2466" t="str">
        <x:v>DW-0731</x:v>
      </x:c>
      <x:c r="C2466" t="str">
        <x:v>Composition héritée</x:v>
      </x:c>
      <x:c r="D2466" t="str">
        <x:v>rural</x:v>
      </x:c>
      <x:c r="E2466" t="str">
        <x:v>Moulin rural — variante 04 — Petit bois et lisière / première récupération passée</x:v>
      </x:c>
      <x:c r="F2466" t="n">
        <x:v>8</x:v>
      </x:c>
      <x:c r="G2466" t="n">
        <x:v>4</x:v>
      </x:c>
      <x:c r="H2466" t="n">
        <x:v>0</x:v>
      </x:c>
      <x:c r="I2466" t="str">
        <x:v>À qualifier par lieu</x:v>
      </x:c>
      <x:c r="J2466" t="str">
        <x:v>https://github.com/darknigthmare/deadwall-last-enclosure/blob/1b3b9c5ba232734b1bda3453b4e20a0481bcdd74/codex-3000/compositions/rural/DW-2461.md</x:v>
      </x:c>
      <x:c r="K2466" t="str">
        <x:v>Source min 20,31 m ; max 20,31 m ; modèle 25 × 31 m ; niveaux 0. Détails dans catalogue-existant.json.</x:v>
      </x:c>
    </x:row>
    <x:row r="2467">
      <x:c r="A2467" t="str">
        <x:v>DW-2462</x:v>
      </x:c>
      <x:c r="B2467" t="str">
        <x:v>DW-0731</x:v>
      </x:c>
      <x:c r="C2467" t="str">
        <x:v>Composition héritée</x:v>
      </x:c>
      <x:c r="D2467" t="str">
        <x:v>rural</x:v>
      </x:c>
      <x:c r="E2467" t="str">
        <x:v>Moulin rural — variante 04 — Ferme, verger et pâtures / relais temporaire envisagé</x:v>
      </x:c>
      <x:c r="F2467" t="n">
        <x:v>8</x:v>
      </x:c>
      <x:c r="G2467" t="n">
        <x:v>4</x:v>
      </x:c>
      <x:c r="H2467" t="n">
        <x:v>0</x:v>
      </x:c>
      <x:c r="I2467" t="str">
        <x:v>À qualifier par lieu</x:v>
      </x:c>
      <x:c r="J2467" t="str">
        <x:v>https://github.com/darknigthmare/deadwall-last-enclosure/blob/1b3b9c5ba232734b1bda3453b4e20a0481bcdd74/codex-3000/compositions/rural/DW-2462.md</x:v>
      </x:c>
      <x:c r="K2467" t="str">
        <x:v>Source min 20,31 m ; max 20,31 m ; modèle 25 × 31 m ; niveaux 0. Détails dans catalogue-existant.json.</x:v>
      </x:c>
    </x:row>
    <x:row r="2468">
      <x:c r="A2468" t="str">
        <x:v>DW-2463</x:v>
      </x:c>
      <x:c r="B2468" t="str">
        <x:v>DW-0732</x:v>
      </x:c>
      <x:c r="C2468" t="str">
        <x:v>Composition héritée</x:v>
      </x:c>
      <x:c r="D2468" t="str">
        <x:v>rural</x:v>
      </x:c>
      <x:c r="E2468" t="str">
        <x:v>Serres maraîchères — variante 04 — Hameau / service déplacé à l’arrière</x:v>
      </x:c>
      <x:c r="F2468" t="n">
        <x:v>8</x:v>
      </x:c>
      <x:c r="G2468" t="n">
        <x:v>5</x:v>
      </x:c>
      <x:c r="H2468" t="n">
        <x:v>0</x:v>
      </x:c>
      <x:c r="I2468" t="str">
        <x:v>À qualifier par lieu</x:v>
      </x:c>
      <x:c r="J2468" t="str">
        <x:v>https://github.com/darknigthmare/deadwall-last-enclosure/blob/1b3b9c5ba232734b1bda3453b4e20a0481bcdd74/codex-3000/compositions/rural/DW-2463.md</x:v>
      </x:c>
      <x:c r="K2468" t="str">
        <x:v>Source min 31,48 m ; max 31,48 m ; modèle 31 × 48 m ; niveaux 0. Détails dans catalogue-existant.json.</x:v>
      </x:c>
    </x:row>
    <x:row r="2469">
      <x:c r="A2469" t="str">
        <x:v>DW-2464</x:v>
      </x:c>
      <x:c r="B2469" t="str">
        <x:v>DW-0732</x:v>
      </x:c>
      <x:c r="C2469" t="str">
        <x:v>Composition héritée</x:v>
      </x:c>
      <x:c r="D2469" t="str">
        <x:v>rural</x:v>
      </x:c>
      <x:c r="E2469" t="str">
        <x:v>Serres maraîchères — variante 04 — Prairie et friche ouverte / réseau principal coupé</x:v>
      </x:c>
      <x:c r="F2469" t="n">
        <x:v>8</x:v>
      </x:c>
      <x:c r="G2469" t="n">
        <x:v>5</x:v>
      </x:c>
      <x:c r="H2469" t="n">
        <x:v>0</x:v>
      </x:c>
      <x:c r="I2469" t="str">
        <x:v>À qualifier par lieu</x:v>
      </x:c>
      <x:c r="J2469" t="str">
        <x:v>https://github.com/darknigthmare/deadwall-last-enclosure/blob/1b3b9c5ba232734b1bda3453b4e20a0481bcdd74/codex-3000/compositions/rural/DW-2464.md</x:v>
      </x:c>
      <x:c r="K2469" t="str">
        <x:v>Source min 31,48 m ; max 31,48 m ; modèle 31 × 48 m ; niveaux 0. Détails dans catalogue-existant.json.</x:v>
      </x:c>
    </x:row>
    <x:row r="2470">
      <x:c r="A2470" t="str">
        <x:v>DW-2465</x:v>
      </x:c>
      <x:c r="B2470" t="str">
        <x:v>DW-0733</x:v>
      </x:c>
      <x:c r="C2470" t="str">
        <x:v>Composition héritée</x:v>
      </x:c>
      <x:c r="D2470" t="str">
        <x:v>militaire</x:v>
      </x:c>
      <x:c r="E2470" t="str">
        <x:v>Bunker de défense civile — variante 04 — Grand camp allié / reprise progressive de la végétation</x:v>
      </x:c>
      <x:c r="F2470" t="n">
        <x:v>10</x:v>
      </x:c>
      <x:c r="G2470" t="n">
        <x:v>6</x:v>
      </x:c>
      <x:c r="H2470" t="n">
        <x:v>0</x:v>
      </x:c>
      <x:c r="I2470" t="str">
        <x:v>À qualifier par lieu</x:v>
      </x:c>
      <x:c r="J2470" t="str">
        <x:v>https://github.com/darknigthmare/deadwall-last-enclosure/blob/1b3b9c5ba232734b1bda3453b4e20a0481bcdd74/codex-3000/compositions/militaire/DW-2465.md</x:v>
      </x:c>
      <x:c r="K2470" t="str">
        <x:v>Source min 42,11 m ; max 42,11 m ; modèle 42 × 22 m ; niveaux 0, 1. Détails dans catalogue-existant.json.</x:v>
      </x:c>
    </x:row>
    <x:row r="2471">
      <x:c r="A2471" t="str">
        <x:v>DW-2466</x:v>
      </x:c>
      <x:c r="B2471" t="str">
        <x:v>DW-0733</x:v>
      </x:c>
      <x:c r="C2471" t="str">
        <x:v>Composition héritée</x:v>
      </x:c>
      <x:c r="D2471" t="str">
        <x:v>militaire</x:v>
      </x:c>
      <x:c r="E2471" t="str">
        <x:v>Bunker de défense civile — variante 04 — Camp de fortune / repli organisé interrompu</x:v>
      </x:c>
      <x:c r="F2471" t="n">
        <x:v>8</x:v>
      </x:c>
      <x:c r="G2471" t="n">
        <x:v>6</x:v>
      </x:c>
      <x:c r="H2471" t="n">
        <x:v>0</x:v>
      </x:c>
      <x:c r="I2471" t="str">
        <x:v>À qualifier par lieu</x:v>
      </x:c>
      <x:c r="J2471" t="str">
        <x:v>https://github.com/darknigthmare/deadwall-last-enclosure/blob/1b3b9c5ba232734b1bda3453b4e20a0481bcdd74/codex-3000/compositions/militaire/DW-2466.md</x:v>
      </x:c>
      <x:c r="K2471" t="str">
        <x:v>Source min 42,11 m ; max 42,11 m ; modèle 42 × 22 m ; niveaux 0, 1. Détails dans catalogue-existant.json.</x:v>
      </x:c>
    </x:row>
    <x:row r="2472">
      <x:c r="A2472" t="str">
        <x:v>DW-2467</x:v>
      </x:c>
      <x:c r="B2472" t="str">
        <x:v>DW-0734</x:v>
      </x:c>
      <x:c r="C2472" t="str">
        <x:v>Composition héritée</x:v>
      </x:c>
      <x:c r="D2472" t="str">
        <x:v>militaire</x:v>
      </x:c>
      <x:c r="E2472" t="str">
        <x:v>Dépôt militaire — variante 04 — Camp hostile / relais temporaire envisagé</x:v>
      </x:c>
      <x:c r="F2472" t="n">
        <x:v>10</x:v>
      </x:c>
      <x:c r="G2472" t="n">
        <x:v>5</x:v>
      </x:c>
      <x:c r="H2472" t="n">
        <x:v>0</x:v>
      </x:c>
      <x:c r="I2472" t="str">
        <x:v>À qualifier par lieu</x:v>
      </x:c>
      <x:c r="J2472" t="str">
        <x:v>https://github.com/darknigthmare/deadwall-last-enclosure/blob/1b3b9c5ba232734b1bda3453b4e20a0481bcdd74/codex-3000/compositions/militaire/DW-2467.md</x:v>
      </x:c>
      <x:c r="K2472" t="str">
        <x:v>Source min 53,28 m ; max 53,28 m ; modèle 53 × 28 m ; niveaux 0. Détails dans catalogue-existant.json.</x:v>
      </x:c>
    </x:row>
    <x:row r="2473">
      <x:c r="A2473" t="str">
        <x:v>DW-2468</x:v>
      </x:c>
      <x:c r="B2473" t="str">
        <x:v>DW-0734</x:v>
      </x:c>
      <x:c r="C2473" t="str">
        <x:v>Composition héritée</x:v>
      </x:c>
      <x:c r="D2473" t="str">
        <x:v>militaire</x:v>
      </x:c>
      <x:c r="E2473" t="str">
        <x:v>Dépôt militaire — variante 04 — Centre d’évacuation abandonné / évacuation interrompue</x:v>
      </x:c>
      <x:c r="F2473" t="n">
        <x:v>8</x:v>
      </x:c>
      <x:c r="G2473" t="n">
        <x:v>5</x:v>
      </x:c>
      <x:c r="H2473" t="n">
        <x:v>0</x:v>
      </x:c>
      <x:c r="I2473" t="str">
        <x:v>À qualifier par lieu</x:v>
      </x:c>
      <x:c r="J2473" t="str">
        <x:v>https://github.com/darknigthmare/deadwall-last-enclosure/blob/1b3b9c5ba232734b1bda3453b4e20a0481bcdd74/codex-3000/compositions/militaire/DW-2468.md</x:v>
      </x:c>
      <x:c r="K2473" t="str">
        <x:v>Source min 53,28 m ; max 53,28 m ; modèle 53 × 28 m ; niveaux 0. Détails dans catalogue-existant.json.</x:v>
      </x:c>
    </x:row>
    <x:row r="2474">
      <x:c r="A2474" t="str">
        <x:v>DW-2469</x:v>
      </x:c>
      <x:c r="B2474" t="str">
        <x:v>DW-0735</x:v>
      </x:c>
      <x:c r="C2474" t="str">
        <x:v>Composition héritée</x:v>
      </x:c>
      <x:c r="D2474" t="str">
        <x:v>militaire</x:v>
      </x:c>
      <x:c r="E2474" t="str">
        <x:v>Poste de contrôle — variante 04 — Camp de fortune / réseau principal coupé</x:v>
      </x:c>
      <x:c r="F2474" t="n">
        <x:v>8</x:v>
      </x:c>
      <x:c r="G2474" t="n">
        <x:v>5</x:v>
      </x:c>
      <x:c r="H2474" t="n">
        <x:v>0</x:v>
      </x:c>
      <x:c r="I2474" t="str">
        <x:v>À qualifier par lieu</x:v>
      </x:c>
      <x:c r="J2474" t="str">
        <x:v>https://github.com/darknigthmare/deadwall-last-enclosure/blob/1b3b9c5ba232734b1bda3453b4e20a0481bcdd74/codex-3000/compositions/militaire/DW-2469.md</x:v>
      </x:c>
      <x:c r="K2474" t="str">
        <x:v>Source min 64,45 m ; max 64,45 m ; modèle 64 × 45 m ; niveaux 0. Détails dans catalogue-existant.json.</x:v>
      </x:c>
    </x:row>
    <x:row r="2475">
      <x:c r="A2475" t="str">
        <x:v>DW-2470</x:v>
      </x:c>
      <x:c r="B2475" t="str">
        <x:v>DW-0735</x:v>
      </x:c>
      <x:c r="C2475" t="str">
        <x:v>Composition héritée</x:v>
      </x:c>
      <x:c r="D2475" t="str">
        <x:v>militaire</x:v>
      </x:c>
      <x:c r="E2475" t="str">
        <x:v>Poste de contrôle — variante 04 — Grand camp allié / arrêt de maintenance</x:v>
      </x:c>
      <x:c r="F2475" t="n">
        <x:v>10</x:v>
      </x:c>
      <x:c r="G2475" t="n">
        <x:v>5</x:v>
      </x:c>
      <x:c r="H2475" t="n">
        <x:v>0</x:v>
      </x:c>
      <x:c r="I2475" t="str">
        <x:v>À qualifier par lieu</x:v>
      </x:c>
      <x:c r="J2475" t="str">
        <x:v>https://github.com/darknigthmare/deadwall-last-enclosure/blob/1b3b9c5ba232734b1bda3453b4e20a0481bcdd74/codex-3000/compositions/militaire/DW-2470.md</x:v>
      </x:c>
      <x:c r="K2475" t="str">
        <x:v>Source min 64,45 m ; max 64,45 m ; modèle 64 × 45 m ; niveaux 0. Détails dans catalogue-existant.json.</x:v>
      </x:c>
    </x:row>
    <x:row r="2476">
      <x:c r="A2476" t="str">
        <x:v>DW-2471</x:v>
      </x:c>
      <x:c r="B2476" t="str">
        <x:v>DW-0736</x:v>
      </x:c>
      <x:c r="C2476" t="str">
        <x:v>Composition héritée</x:v>
      </x:c>
      <x:c r="D2476" t="str">
        <x:v>militaire</x:v>
      </x:c>
      <x:c r="E2476" t="str">
        <x:v>Camp retranché abandonné — variante 04 — Centre d’évacuation abandonné / repli organisé interrompu</x:v>
      </x:c>
      <x:c r="F2476" t="n">
        <x:v>8</x:v>
      </x:c>
      <x:c r="G2476" t="n">
        <x:v>5</x:v>
      </x:c>
      <x:c r="H2476" t="n">
        <x:v>0</x:v>
      </x:c>
      <x:c r="I2476" t="str">
        <x:v>À qualifier par lieu</x:v>
      </x:c>
      <x:c r="J2476" t="str">
        <x:v>https://github.com/darknigthmare/deadwall-last-enclosure/blob/1b3b9c5ba232734b1bda3453b4e20a0481bcdd74/codex-3000/compositions/militaire/DW-2471.md</x:v>
      </x:c>
      <x:c r="K2476" t="str">
        <x:v>Source min 75,62 m ; max 75,62 m ; modèle 75 × 62 m ; niveaux 0. Détails dans catalogue-existant.json.</x:v>
      </x:c>
    </x:row>
    <x:row r="2477">
      <x:c r="A2477" t="str">
        <x:v>DW-2472</x:v>
      </x:c>
      <x:c r="B2477" t="str">
        <x:v>DW-0736</x:v>
      </x:c>
      <x:c r="C2477" t="str">
        <x:v>Composition héritée</x:v>
      </x:c>
      <x:c r="D2477" t="str">
        <x:v>militaire</x:v>
      </x:c>
      <x:c r="E2477" t="str">
        <x:v>Camp retranché abandonné — variante 04 — Camp hostile / première récupération passée</x:v>
      </x:c>
      <x:c r="F2477" t="n">
        <x:v>10</x:v>
      </x:c>
      <x:c r="G2477" t="n">
        <x:v>5</x:v>
      </x:c>
      <x:c r="H2477" t="n">
        <x:v>0</x:v>
      </x:c>
      <x:c r="I2477" t="str">
        <x:v>À qualifier par lieu</x:v>
      </x:c>
      <x:c r="J2477" t="str">
        <x:v>https://github.com/darknigthmare/deadwall-last-enclosure/blob/1b3b9c5ba232734b1bda3453b4e20a0481bcdd74/codex-3000/compositions/militaire/DW-2472.md</x:v>
      </x:c>
      <x:c r="K2477" t="str">
        <x:v>Source min 75,62 m ; max 75,62 m ; modèle 75 × 62 m ; niveaux 0. Détails dans catalogue-existant.json.</x:v>
      </x:c>
    </x:row>
    <x:row r="2478">
      <x:c r="A2478" t="str">
        <x:v>DW-2473</x:v>
      </x:c>
      <x:c r="B2478" t="str">
        <x:v>DW-0737</x:v>
      </x:c>
      <x:c r="C2478" t="str">
        <x:v>Composition héritée</x:v>
      </x:c>
      <x:c r="D2478" t="str">
        <x:v>militaire</x:v>
      </x:c>
      <x:c r="E2478" t="str">
        <x:v>Abri ferroviaire — variante 04 — Grand camp allié / évacuation interrompue</x:v>
      </x:c>
      <x:c r="F2478" t="n">
        <x:v>10</x:v>
      </x:c>
      <x:c r="G2478" t="n">
        <x:v>4</x:v>
      </x:c>
      <x:c r="H2478" t="n">
        <x:v>0</x:v>
      </x:c>
      <x:c r="I2478" t="str">
        <x:v>À qualifier par lieu</x:v>
      </x:c>
      <x:c r="J2478" t="str">
        <x:v>https://github.com/darknigthmare/deadwall-last-enclosure/blob/1b3b9c5ba232734b1bda3453b4e20a0481bcdd74/codex-3000/compositions/militaire/DW-2473.md</x:v>
      </x:c>
      <x:c r="K2478" t="str">
        <x:v>Source min 14,25 m ; max 14,25 m ; modèle 25 × 25 m ; niveaux 0. Détails dans catalogue-existant.json.</x:v>
      </x:c>
    </x:row>
    <x:row r="2479">
      <x:c r="A2479" t="str">
        <x:v>DW-2474</x:v>
      </x:c>
      <x:c r="B2479" t="str">
        <x:v>DW-0737</x:v>
      </x:c>
      <x:c r="C2479" t="str">
        <x:v>Composition héritée</x:v>
      </x:c>
      <x:c r="D2479" t="str">
        <x:v>militaire</x:v>
      </x:c>
      <x:c r="E2479" t="str">
        <x:v>Abri ferroviaire — variante 04 — Camp de fortune / service déplacé à l’arrière</x:v>
      </x:c>
      <x:c r="F2479" t="n">
        <x:v>8</x:v>
      </x:c>
      <x:c r="G2479" t="n">
        <x:v>4</x:v>
      </x:c>
      <x:c r="H2479" t="n">
        <x:v>0</x:v>
      </x:c>
      <x:c r="I2479" t="str">
        <x:v>À qualifier par lieu</x:v>
      </x:c>
      <x:c r="J2479" t="str">
        <x:v>https://github.com/darknigthmare/deadwall-last-enclosure/blob/1b3b9c5ba232734b1bda3453b4e20a0481bcdd74/codex-3000/compositions/militaire/DW-2474.md</x:v>
      </x:c>
      <x:c r="K2479" t="str">
        <x:v>Source min 14,25 m ; max 14,25 m ; modèle 25 × 25 m ; niveaux 0. Détails dans catalogue-existant.json.</x:v>
      </x:c>
    </x:row>
    <x:row r="2480">
      <x:c r="A2480" t="str">
        <x:v>DW-2475</x:v>
      </x:c>
      <x:c r="B2480" t="str">
        <x:v>DW-0738</x:v>
      </x:c>
      <x:c r="C2480" t="str">
        <x:v>Composition héritée</x:v>
      </x:c>
      <x:c r="D2480" t="str">
        <x:v>militaire</x:v>
      </x:c>
      <x:c r="E2480" t="str">
        <x:v>Site radar — variante 04 — Camp hostile / arrêt de maintenance</x:v>
      </x:c>
      <x:c r="F2480" t="n">
        <x:v>10</x:v>
      </x:c>
      <x:c r="G2480" t="n">
        <x:v>5</x:v>
      </x:c>
      <x:c r="H2480" t="n">
        <x:v>0</x:v>
      </x:c>
      <x:c r="I2480" t="str">
        <x:v>À qualifier par lieu</x:v>
      </x:c>
      <x:c r="J2480" t="str">
        <x:v>https://github.com/darknigthmare/deadwall-last-enclosure/blob/1b3b9c5ba232734b1bda3453b4e20a0481bcdd74/codex-3000/compositions/militaire/DW-2475.md</x:v>
      </x:c>
      <x:c r="K2480" t="str">
        <x:v>Source min 25,42 m ; max 25,42 m ; modèle 26 × 42 m ; niveaux 0. Détails dans catalogue-existant.json.</x:v>
      </x:c>
    </x:row>
    <x:row r="2481">
      <x:c r="A2481" t="str">
        <x:v>DW-2476</x:v>
      </x:c>
      <x:c r="B2481" t="str">
        <x:v>DW-0738</x:v>
      </x:c>
      <x:c r="C2481" t="str">
        <x:v>Composition héritée</x:v>
      </x:c>
      <x:c r="D2481" t="str">
        <x:v>militaire</x:v>
      </x:c>
      <x:c r="E2481" t="str">
        <x:v>Site radar — variante 04 — Centre d’évacuation abandonné / reprise progressive de la végétation</x:v>
      </x:c>
      <x:c r="F2481" t="n">
        <x:v>8</x:v>
      </x:c>
      <x:c r="G2481" t="n">
        <x:v>5</x:v>
      </x:c>
      <x:c r="H2481" t="n">
        <x:v>0</x:v>
      </x:c>
      <x:c r="I2481" t="str">
        <x:v>À qualifier par lieu</x:v>
      </x:c>
      <x:c r="J2481" t="str">
        <x:v>https://github.com/darknigthmare/deadwall-last-enclosure/blob/1b3b9c5ba232734b1bda3453b4e20a0481bcdd74/codex-3000/compositions/militaire/DW-2476.md</x:v>
      </x:c>
      <x:c r="K2481" t="str">
        <x:v>Source min 25,42 m ; max 25,42 m ; modèle 26 × 42 m ; niveaux 0. Détails dans catalogue-existant.json.</x:v>
      </x:c>
    </x:row>
    <x:row r="2482">
      <x:c r="A2482" t="str">
        <x:v>DW-2477</x:v>
      </x:c>
      <x:c r="B2482" t="str">
        <x:v>DW-0739</x:v>
      </x:c>
      <x:c r="C2482" t="str">
        <x:v>Composition héritée</x:v>
      </x:c>
      <x:c r="D2482" t="str">
        <x:v>militaire</x:v>
      </x:c>
      <x:c r="E2482" t="str">
        <x:v>Batterie côtière — variante 04 — Camp de fortune / première récupération passée</x:v>
      </x:c>
      <x:c r="F2482" t="n">
        <x:v>8</x:v>
      </x:c>
      <x:c r="G2482" t="n">
        <x:v>4</x:v>
      </x:c>
      <x:c r="H2482" t="n">
        <x:v>0</x:v>
      </x:c>
      <x:c r="I2482" t="str">
        <x:v>À qualifier par lieu</x:v>
      </x:c>
      <x:c r="J2482" t="str">
        <x:v>https://github.com/darknigthmare/deadwall-last-enclosure/blob/1b3b9c5ba232734b1bda3453b4e20a0481bcdd74/codex-3000/compositions/militaire/DW-2477.md</x:v>
      </x:c>
      <x:c r="K2482" t="str">
        <x:v>Source min 36,59 m ; max 36,59 m ; modèle 36 × 59 m ; niveaux 0. Détails dans catalogue-existant.json.</x:v>
      </x:c>
    </x:row>
    <x:row r="2483">
      <x:c r="A2483" t="str">
        <x:v>DW-2478</x:v>
      </x:c>
      <x:c r="B2483" t="str">
        <x:v>DW-0739</x:v>
      </x:c>
      <x:c r="C2483" t="str">
        <x:v>Composition héritée</x:v>
      </x:c>
      <x:c r="D2483" t="str">
        <x:v>militaire</x:v>
      </x:c>
      <x:c r="E2483" t="str">
        <x:v>Batterie côtière — variante 04 — Grand camp allié / relais temporaire envisagé</x:v>
      </x:c>
      <x:c r="F2483" t="n">
        <x:v>10</x:v>
      </x:c>
      <x:c r="G2483" t="n">
        <x:v>4</x:v>
      </x:c>
      <x:c r="H2483" t="n">
        <x:v>0</x:v>
      </x:c>
      <x:c r="I2483" t="str">
        <x:v>À qualifier par lieu</x:v>
      </x:c>
      <x:c r="J2483" t="str">
        <x:v>https://github.com/darknigthmare/deadwall-last-enclosure/blob/1b3b9c5ba232734b1bda3453b4e20a0481bcdd74/codex-3000/compositions/militaire/DW-2478.md</x:v>
      </x:c>
      <x:c r="K2483" t="str">
        <x:v>Source min 36,59 m ; max 36,59 m ; modèle 36 × 59 m ; niveaux 0. Détails dans catalogue-existant.json.</x:v>
      </x:c>
    </x:row>
    <x:row r="2484">
      <x:c r="A2484" t="str">
        <x:v>DW-2479</x:v>
      </x:c>
      <x:c r="B2484" t="str">
        <x:v>DW-0740</x:v>
      </x:c>
      <x:c r="C2484" t="str">
        <x:v>Composition héritée</x:v>
      </x:c>
      <x:c r="D2484" t="str">
        <x:v>militaire</x:v>
      </x:c>
      <x:c r="E2484" t="str">
        <x:v>Dépôt carburant sécurisé — variante 04 — Centre d’évacuation abandonné / service déplacé à l’arrière</x:v>
      </x:c>
      <x:c r="F2484" t="n">
        <x:v>8</x:v>
      </x:c>
      <x:c r="G2484" t="n">
        <x:v>5</x:v>
      </x:c>
      <x:c r="H2484" t="n">
        <x:v>0</x:v>
      </x:c>
      <x:c r="I2484" t="str">
        <x:v>À qualifier par lieu</x:v>
      </x:c>
      <x:c r="J2484" t="str">
        <x:v>https://github.com/darknigthmare/deadwall-last-enclosure/blob/1b3b9c5ba232734b1bda3453b4e20a0481bcdd74/codex-3000/compositions/militaire/DW-2479.md</x:v>
      </x:c>
      <x:c r="K2484" t="str">
        <x:v>Source min 47,22 m ; max 47,22 m ; modèle 47 × 22 m ; niveaux 0. Détails dans catalogue-existant.json.</x:v>
      </x:c>
    </x:row>
    <x:row r="2485">
      <x:c r="A2485" t="str">
        <x:v>DW-2480</x:v>
      </x:c>
      <x:c r="B2485" t="str">
        <x:v>DW-0740</x:v>
      </x:c>
      <x:c r="C2485" t="str">
        <x:v>Composition héritée</x:v>
      </x:c>
      <x:c r="D2485" t="str">
        <x:v>militaire</x:v>
      </x:c>
      <x:c r="E2485" t="str">
        <x:v>Dépôt carburant sécurisé — variante 04 — Camp hostile / réseau principal coupé</x:v>
      </x:c>
      <x:c r="F2485" t="n">
        <x:v>10</x:v>
      </x:c>
      <x:c r="G2485" t="n">
        <x:v>5</x:v>
      </x:c>
      <x:c r="H2485" t="n">
        <x:v>0</x:v>
      </x:c>
      <x:c r="I2485" t="str">
        <x:v>À qualifier par lieu</x:v>
      </x:c>
      <x:c r="J2485" t="str">
        <x:v>https://github.com/darknigthmare/deadwall-last-enclosure/blob/1b3b9c5ba232734b1bda3453b4e20a0481bcdd74/codex-3000/compositions/militaire/DW-2480.md</x:v>
      </x:c>
      <x:c r="K2485" t="str">
        <x:v>Source min 47,22 m ; max 47,22 m ; modèle 47 × 22 m ; niveaux 0. Détails dans catalogue-existant.json.</x:v>
      </x:c>
    </x:row>
    <x:row r="2486">
      <x:c r="A2486" t="str">
        <x:v>DW-2481</x:v>
      </x:c>
      <x:c r="B2486" t="str">
        <x:v>DW-0741</x:v>
      </x:c>
      <x:c r="C2486" t="str">
        <x:v>Composition héritée</x:v>
      </x:c>
      <x:c r="D2486" t="str">
        <x:v>transport</x:v>
      </x:c>
      <x:c r="E2486" t="str">
        <x:v>Gare routière — variante 04 — Station-service et aire routière / reprise progressive de la végétation</x:v>
      </x:c>
      <x:c r="F2486" t="n">
        <x:v>8</x:v>
      </x:c>
      <x:c r="G2486" t="n">
        <x:v>5</x:v>
      </x:c>
      <x:c r="H2486" t="n">
        <x:v>0</x:v>
      </x:c>
      <x:c r="I2486" t="str">
        <x:v>À qualifier par lieu</x:v>
      </x:c>
      <x:c r="J2486" t="str">
        <x:v>https://github.com/darknigthmare/deadwall-last-enclosure/blob/1b3b9c5ba232734b1bda3453b4e20a0481bcdd74/codex-3000/compositions/transport/DW-2481.md</x:v>
      </x:c>
      <x:c r="K2486" t="str">
        <x:v>Source min 58,39 m ; max 58,39 m ; modèle 58 × 39 m ; niveaux 0. Détails dans catalogue-existant.json.</x:v>
      </x:c>
    </x:row>
    <x:row r="2487">
      <x:c r="A2487" t="str">
        <x:v>DW-2482</x:v>
      </x:c>
      <x:c r="B2487" t="str">
        <x:v>DW-0741</x:v>
      </x:c>
      <x:c r="C2487" t="str">
        <x:v>Composition héritée</x:v>
      </x:c>
      <x:c r="D2487" t="str">
        <x:v>transport</x:v>
      </x:c>
      <x:c r="E2487" t="str">
        <x:v>Gare routière — variante 04 — Port marchand / repli organisé interrompu</x:v>
      </x:c>
      <x:c r="F2487" t="n">
        <x:v>10</x:v>
      </x:c>
      <x:c r="G2487" t="n">
        <x:v>5</x:v>
      </x:c>
      <x:c r="H2487" t="n">
        <x:v>0</x:v>
      </x:c>
      <x:c r="I2487" t="str">
        <x:v>À qualifier par lieu</x:v>
      </x:c>
      <x:c r="J2487" t="str">
        <x:v>https://github.com/darknigthmare/deadwall-last-enclosure/blob/1b3b9c5ba232734b1bda3453b4e20a0481bcdd74/codex-3000/compositions/transport/DW-2482.md</x:v>
      </x:c>
      <x:c r="K2487" t="str">
        <x:v>Source min 58,39 m ; max 58,39 m ; modèle 58 × 39 m ; niveaux 0. Détails dans catalogue-existant.json.</x:v>
      </x:c>
    </x:row>
    <x:row r="2488">
      <x:c r="A2488" t="str">
        <x:v>DW-2483</x:v>
      </x:c>
      <x:c r="B2488" t="str">
        <x:v>DW-0742</x:v>
      </x:c>
      <x:c r="C2488" t="str">
        <x:v>Composition héritée</x:v>
      </x:c>
      <x:c r="D2488" t="str">
        <x:v>transport</x:v>
      </x:c>
      <x:c r="E2488" t="str">
        <x:v>Dépôt de bus — variante 04 — Gare et fret / relais temporaire envisagé</x:v>
      </x:c>
      <x:c r="F2488" t="n">
        <x:v>10</x:v>
      </x:c>
      <x:c r="G2488" t="n">
        <x:v>5</x:v>
      </x:c>
      <x:c r="H2488" t="n">
        <x:v>0</x:v>
      </x:c>
      <x:c r="I2488" t="str">
        <x:v>À qualifier par lieu</x:v>
      </x:c>
      <x:c r="J2488" t="str">
        <x:v>https://github.com/darknigthmare/deadwall-last-enclosure/blob/1b3b9c5ba232734b1bda3453b4e20a0481bcdd74/codex-3000/compositions/transport/DW-2483.md</x:v>
      </x:c>
      <x:c r="K2488" t="str">
        <x:v>Source min 69,56 m ; max 69,56 m ; modèle 69 × 56 m ; niveaux 0. Détails dans catalogue-existant.json.</x:v>
      </x:c>
    </x:row>
    <x:row r="2489">
      <x:c r="A2489" t="str">
        <x:v>DW-2484</x:v>
      </x:c>
      <x:c r="B2489" t="str">
        <x:v>DW-0742</x:v>
      </x:c>
      <x:c r="C2489" t="str">
        <x:v>Composition héritée</x:v>
      </x:c>
      <x:c r="D2489" t="str">
        <x:v>transport</x:v>
      </x:c>
      <x:c r="E2489" t="str">
        <x:v>Dépôt de bus — variante 04 — Routes et coutures territoriales / évacuation interrompue</x:v>
      </x:c>
      <x:c r="F2489" t="n">
        <x:v>10</x:v>
      </x:c>
      <x:c r="G2489" t="n">
        <x:v>5</x:v>
      </x:c>
      <x:c r="H2489" t="n">
        <x:v>0</x:v>
      </x:c>
      <x:c r="I2489" t="str">
        <x:v>À qualifier par lieu</x:v>
      </x:c>
      <x:c r="J2489" t="str">
        <x:v>https://github.com/darknigthmare/deadwall-last-enclosure/blob/1b3b9c5ba232734b1bda3453b4e20a0481bcdd74/codex-3000/compositions/transport/DW-2484.md</x:v>
      </x:c>
      <x:c r="K2489" t="str">
        <x:v>Source min 69,56 m ; max 69,56 m ; modèle 69 × 56 m ; niveaux 0. Détails dans catalogue-existant.json.</x:v>
      </x:c>
    </x:row>
    <x:row r="2490">
      <x:c r="A2490" t="str">
        <x:v>DW-2485</x:v>
      </x:c>
      <x:c r="B2490" t="str">
        <x:v>DW-0743</x:v>
      </x:c>
      <x:c r="C2490" t="str">
        <x:v>Composition héritée</x:v>
      </x:c>
      <x:c r="D2490" t="str">
        <x:v>transport</x:v>
      </x:c>
      <x:c r="E2490" t="str">
        <x:v>Gare ferroviaire — variante 04 — Port marchand / réseau principal coupé</x:v>
      </x:c>
      <x:c r="F2490" t="n">
        <x:v>10</x:v>
      </x:c>
      <x:c r="G2490" t="n">
        <x:v>5</x:v>
      </x:c>
      <x:c r="H2490" t="n">
        <x:v>0</x:v>
      </x:c>
      <x:c r="I2490" t="str">
        <x:v>À qualifier par lieu</x:v>
      </x:c>
      <x:c r="J2490" t="str">
        <x:v>https://github.com/darknigthmare/deadwall-last-enclosure/blob/1b3b9c5ba232734b1bda3453b4e20a0481bcdd74/codex-3000/compositions/transport/DW-2485.md</x:v>
      </x:c>
      <x:c r="K2490" t="str">
        <x:v>Source min 80,19 m ; max 80,19 m ; modèle 78 × 22 m ; niveaux 0. Détails dans catalogue-existant.json.</x:v>
      </x:c>
    </x:row>
    <x:row r="2491">
      <x:c r="A2491" t="str">
        <x:v>DW-2486</x:v>
      </x:c>
      <x:c r="B2491" t="str">
        <x:v>DW-0743</x:v>
      </x:c>
      <x:c r="C2491" t="str">
        <x:v>Composition héritée</x:v>
      </x:c>
      <x:c r="D2491" t="str">
        <x:v>transport</x:v>
      </x:c>
      <x:c r="E2491" t="str">
        <x:v>Gare ferroviaire — variante 04 — Station-service et aire routière / arrêt de maintenance</x:v>
      </x:c>
      <x:c r="F2491" t="n">
        <x:v>8</x:v>
      </x:c>
      <x:c r="G2491" t="n">
        <x:v>5</x:v>
      </x:c>
      <x:c r="H2491" t="n">
        <x:v>0</x:v>
      </x:c>
      <x:c r="I2491" t="str">
        <x:v>À qualifier par lieu</x:v>
      </x:c>
      <x:c r="J2491" t="str">
        <x:v>https://github.com/darknigthmare/deadwall-last-enclosure/blob/1b3b9c5ba232734b1bda3453b4e20a0481bcdd74/codex-3000/compositions/transport/DW-2486.md</x:v>
      </x:c>
      <x:c r="K2491" t="str">
        <x:v>Source min 80,19 m ; max 80,19 m ; modèle 78 × 22 m ; niveaux 0. Détails dans catalogue-existant.json.</x:v>
      </x:c>
    </x:row>
    <x:row r="2492">
      <x:c r="A2492" t="str">
        <x:v>DW-2487</x:v>
      </x:c>
      <x:c r="B2492" t="str">
        <x:v>DW-0744</x:v>
      </x:c>
      <x:c r="C2492" t="str">
        <x:v>Composition héritée</x:v>
      </x:c>
      <x:c r="D2492" t="str">
        <x:v>transport</x:v>
      </x:c>
      <x:c r="E2492" t="str">
        <x:v>Aire d'autoroute — variante 04 — Routes et coutures territoriales / repli organisé interrompu</x:v>
      </x:c>
      <x:c r="F2492" t="n">
        <x:v>10</x:v>
      </x:c>
      <x:c r="G2492" t="n">
        <x:v>5</x:v>
      </x:c>
      <x:c r="H2492" t="n">
        <x:v>0</x:v>
      </x:c>
      <x:c r="I2492" t="str">
        <x:v>À qualifier par lieu</x:v>
      </x:c>
      <x:c r="J2492" t="str">
        <x:v>https://github.com/darknigthmare/deadwall-last-enclosure/blob/1b3b9c5ba232734b1bda3453b4e20a0481bcdd74/codex-3000/compositions/transport/DW-2487.md</x:v>
      </x:c>
      <x:c r="K2492" t="str">
        <x:v>Source min 19,36 m ; max 19,36 m ; modèle 26 × 36 m ; niveaux 0. Détails dans catalogue-existant.json.</x:v>
      </x:c>
    </x:row>
    <x:row r="2493">
      <x:c r="A2493" t="str">
        <x:v>DW-2488</x:v>
      </x:c>
      <x:c r="B2493" t="str">
        <x:v>DW-0744</x:v>
      </x:c>
      <x:c r="C2493" t="str">
        <x:v>Composition héritée</x:v>
      </x:c>
      <x:c r="D2493" t="str">
        <x:v>transport</x:v>
      </x:c>
      <x:c r="E2493" t="str">
        <x:v>Aire d'autoroute — variante 04 — Gare et fret / première récupération passée</x:v>
      </x:c>
      <x:c r="F2493" t="n">
        <x:v>10</x:v>
      </x:c>
      <x:c r="G2493" t="n">
        <x:v>5</x:v>
      </x:c>
      <x:c r="H2493" t="n">
        <x:v>0</x:v>
      </x:c>
      <x:c r="I2493" t="str">
        <x:v>À qualifier par lieu</x:v>
      </x:c>
      <x:c r="J2493" t="str">
        <x:v>https://github.com/darknigthmare/deadwall-last-enclosure/blob/1b3b9c5ba232734b1bda3453b4e20a0481bcdd74/codex-3000/compositions/transport/DW-2488.md</x:v>
      </x:c>
      <x:c r="K2493" t="str">
        <x:v>Source min 19,36 m ; max 19,36 m ; modèle 26 × 36 m ; niveaux 0. Détails dans catalogue-existant.json.</x:v>
      </x:c>
    </x:row>
    <x:row r="2494">
      <x:c r="A2494" t="str">
        <x:v>DW-2489</x:v>
      </x:c>
      <x:c r="B2494" t="str">
        <x:v>DW-0745</x:v>
      </x:c>
      <x:c r="C2494" t="str">
        <x:v>Composition héritée</x:v>
      </x:c>
      <x:c r="D2494" t="str">
        <x:v>transport</x:v>
      </x:c>
      <x:c r="E2494" t="str">
        <x:v>Parking silo — variante 04 — Station-service et aire routière / évacuation interrompue</x:v>
      </x:c>
      <x:c r="F2494" t="n">
        <x:v>8</x:v>
      </x:c>
      <x:c r="G2494" t="n">
        <x:v>4</x:v>
      </x:c>
      <x:c r="H2494" t="n">
        <x:v>0</x:v>
      </x:c>
      <x:c r="I2494" t="str">
        <x:v>À qualifier par lieu</x:v>
      </x:c>
      <x:c r="J2494" t="str">
        <x:v>https://github.com/darknigthmare/deadwall-last-enclosure/blob/1b3b9c5ba232734b1bda3453b4e20a0481bcdd74/codex-3000/compositions/transport/DW-2489.md</x:v>
      </x:c>
      <x:c r="K2494" t="str">
        <x:v>Source min 30,53 m ; max 30,53 m ; modèle 30 × 53 m ; niveaux 0. Détails dans catalogue-existant.json.</x:v>
      </x:c>
    </x:row>
    <x:row r="2495">
      <x:c r="A2495" t="str">
        <x:v>DW-2490</x:v>
      </x:c>
      <x:c r="B2495" t="str">
        <x:v>DW-0745</x:v>
      </x:c>
      <x:c r="C2495" t="str">
        <x:v>Composition héritée</x:v>
      </x:c>
      <x:c r="D2495" t="str">
        <x:v>transport</x:v>
      </x:c>
      <x:c r="E2495" t="str">
        <x:v>Parking silo — variante 04 — Port marchand / service déplacé à l’arrière</x:v>
      </x:c>
      <x:c r="F2495" t="n">
        <x:v>10</x:v>
      </x:c>
      <x:c r="G2495" t="n">
        <x:v>4</x:v>
      </x:c>
      <x:c r="H2495" t="n">
        <x:v>0</x:v>
      </x:c>
      <x:c r="I2495" t="str">
        <x:v>À qualifier par lieu</x:v>
      </x:c>
      <x:c r="J2495" t="str">
        <x:v>https://github.com/darknigthmare/deadwall-last-enclosure/blob/1b3b9c5ba232734b1bda3453b4e20a0481bcdd74/codex-3000/compositions/transport/DW-2490.md</x:v>
      </x:c>
      <x:c r="K2495" t="str">
        <x:v>Source min 30,53 m ; max 30,53 m ; modèle 30 × 53 m ; niveaux 0. Détails dans catalogue-existant.json.</x:v>
      </x:c>
    </x:row>
    <x:row r="2496">
      <x:c r="A2496" t="str">
        <x:v>DW-2491</x:v>
      </x:c>
      <x:c r="B2496" t="str">
        <x:v>DW-0746</x:v>
      </x:c>
      <x:c r="C2496" t="str">
        <x:v>Composition héritée</x:v>
      </x:c>
      <x:c r="D2496" t="str">
        <x:v>transport</x:v>
      </x:c>
      <x:c r="E2496" t="str">
        <x:v>Terminal poids lourds — variante 04 — Gare et fret / arrêt de maintenance</x:v>
      </x:c>
      <x:c r="F2496" t="n">
        <x:v>10</x:v>
      </x:c>
      <x:c r="G2496" t="n">
        <x:v>5</x:v>
      </x:c>
      <x:c r="H2496" t="n">
        <x:v>0</x:v>
      </x:c>
      <x:c r="I2496" t="str">
        <x:v>À qualifier par lieu</x:v>
      </x:c>
      <x:c r="J2496" t="str">
        <x:v>https://github.com/darknigthmare/deadwall-last-enclosure/blob/1b3b9c5ba232734b1bda3453b4e20a0481bcdd74/codex-3000/compositions/transport/DW-2491.md</x:v>
      </x:c>
      <x:c r="K2496" t="str">
        <x:v>Source min 41,16 m ; max 41,16 m ; modèle 41 × 22 m ; niveaux 0. Détails dans catalogue-existant.json.</x:v>
      </x:c>
    </x:row>
    <x:row r="2497">
      <x:c r="A2497" t="str">
        <x:v>DW-2492</x:v>
      </x:c>
      <x:c r="B2497" t="str">
        <x:v>DW-0746</x:v>
      </x:c>
      <x:c r="C2497" t="str">
        <x:v>Composition héritée</x:v>
      </x:c>
      <x:c r="D2497" t="str">
        <x:v>transport</x:v>
      </x:c>
      <x:c r="E2497" t="str">
        <x:v>Terminal poids lourds — variante 04 — Routes et coutures territoriales / reprise progressive de la végétation</x:v>
      </x:c>
      <x:c r="F2497" t="n">
        <x:v>10</x:v>
      </x:c>
      <x:c r="G2497" t="n">
        <x:v>5</x:v>
      </x:c>
      <x:c r="H2497" t="n">
        <x:v>0</x:v>
      </x:c>
      <x:c r="I2497" t="str">
        <x:v>À qualifier par lieu</x:v>
      </x:c>
      <x:c r="J2497" t="str">
        <x:v>https://github.com/darknigthmare/deadwall-last-enclosure/blob/1b3b9c5ba232734b1bda3453b4e20a0481bcdd74/codex-3000/compositions/transport/DW-2492.md</x:v>
      </x:c>
      <x:c r="K2497" t="str">
        <x:v>Source min 41,16 m ; max 41,16 m ; modèle 41 × 22 m ; niveaux 0. Détails dans catalogue-existant.json.</x:v>
      </x:c>
    </x:row>
    <x:row r="2498">
      <x:c r="A2498" t="str">
        <x:v>DW-2493</x:v>
      </x:c>
      <x:c r="B2498" t="str">
        <x:v>DW-0747</x:v>
      </x:c>
      <x:c r="C2498" t="str">
        <x:v>Composition héritée</x:v>
      </x:c>
      <x:c r="D2498" t="str">
        <x:v>transport</x:v>
      </x:c>
      <x:c r="E2498" t="str">
        <x:v>Port de plaisance — variante 04 — Port marchand / première récupération passée</x:v>
      </x:c>
      <x:c r="F2498" t="n">
        <x:v>10</x:v>
      </x:c>
      <x:c r="G2498" t="n">
        <x:v>5</x:v>
      </x:c>
      <x:c r="H2498" t="n">
        <x:v>0</x:v>
      </x:c>
      <x:c r="I2498" t="str">
        <x:v>À qualifier par lieu</x:v>
      </x:c>
      <x:c r="J2498" t="str">
        <x:v>https://github.com/darknigthmare/deadwall-last-enclosure/blob/1b3b9c5ba232734b1bda3453b4e20a0481bcdd74/codex-3000/compositions/transport/DW-2493.md</x:v>
      </x:c>
      <x:c r="K2498" t="str">
        <x:v>Source min 52,33 m ; max 52,33 m ; modèle 52 × 33 m ; niveaux 0. Détails dans catalogue-existant.json.</x:v>
      </x:c>
    </x:row>
    <x:row r="2499">
      <x:c r="A2499" t="str">
        <x:v>DW-2494</x:v>
      </x:c>
      <x:c r="B2499" t="str">
        <x:v>DW-0747</x:v>
      </x:c>
      <x:c r="C2499" t="str">
        <x:v>Composition héritée</x:v>
      </x:c>
      <x:c r="D2499" t="str">
        <x:v>transport</x:v>
      </x:c>
      <x:c r="E2499" t="str">
        <x:v>Port de plaisance — variante 04 — Station-service et aire routière / relais temporaire envisagé</x:v>
      </x:c>
      <x:c r="F2499" t="n">
        <x:v>8</x:v>
      </x:c>
      <x:c r="G2499" t="n">
        <x:v>5</x:v>
      </x:c>
      <x:c r="H2499" t="n">
        <x:v>0</x:v>
      </x:c>
      <x:c r="I2499" t="str">
        <x:v>À qualifier par lieu</x:v>
      </x:c>
      <x:c r="J2499" t="str">
        <x:v>https://github.com/darknigthmare/deadwall-last-enclosure/blob/1b3b9c5ba232734b1bda3453b4e20a0481bcdd74/codex-3000/compositions/transport/DW-2494.md</x:v>
      </x:c>
      <x:c r="K2499" t="str">
        <x:v>Source min 52,33 m ; max 52,33 m ; modèle 52 × 33 m ; niveaux 0. Détails dans catalogue-existant.json.</x:v>
      </x:c>
    </x:row>
    <x:row r="2500">
      <x:c r="A2500" t="str">
        <x:v>DW-2495</x:v>
      </x:c>
      <x:c r="B2500" t="str">
        <x:v>DW-0748</x:v>
      </x:c>
      <x:c r="C2500" t="str">
        <x:v>Composition héritée</x:v>
      </x:c>
      <x:c r="D2500" t="str">
        <x:v>transport</x:v>
      </x:c>
      <x:c r="E2500" t="str">
        <x:v>Petit aérodrome — variante 04 — Routes et coutures territoriales / service déplacé à l’arrière</x:v>
      </x:c>
      <x:c r="F2500" t="n">
        <x:v>10</x:v>
      </x:c>
      <x:c r="G2500" t="n">
        <x:v>5</x:v>
      </x:c>
      <x:c r="H2500" t="n">
        <x:v>0</x:v>
      </x:c>
      <x:c r="I2500" t="str">
        <x:v>À qualifier par lieu</x:v>
      </x:c>
      <x:c r="J2500" t="str">
        <x:v>https://github.com/darknigthmare/deadwall-last-enclosure/blob/1b3b9c5ba232734b1bda3453b4e20a0481bcdd74/codex-3000/compositions/transport/DW-2495.md</x:v>
      </x:c>
      <x:c r="K2500" t="str">
        <x:v>Source min 63,50 m ; max 63,50 m ; modèle 63 × 50 m ; niveaux 0. Détails dans catalogue-existant.json.</x:v>
      </x:c>
    </x:row>
    <x:row r="2501">
      <x:c r="A2501" t="str">
        <x:v>DW-2496</x:v>
      </x:c>
      <x:c r="B2501" t="str">
        <x:v>DW-0748</x:v>
      </x:c>
      <x:c r="C2501" t="str">
        <x:v>Composition héritée</x:v>
      </x:c>
      <x:c r="D2501" t="str">
        <x:v>transport</x:v>
      </x:c>
      <x:c r="E2501" t="str">
        <x:v>Petit aérodrome — variante 04 — Gare et fret / réseau principal coupé</x:v>
      </x:c>
      <x:c r="F2501" t="n">
        <x:v>10</x:v>
      </x:c>
      <x:c r="G2501" t="n">
        <x:v>5</x:v>
      </x:c>
      <x:c r="H2501" t="n">
        <x:v>0</x:v>
      </x:c>
      <x:c r="I2501" t="str">
        <x:v>À qualifier par lieu</x:v>
      </x:c>
      <x:c r="J2501" t="str">
        <x:v>https://github.com/darknigthmare/deadwall-last-enclosure/blob/1b3b9c5ba232734b1bda3453b4e20a0481bcdd74/codex-3000/compositions/transport/DW-2496.md</x:v>
      </x:c>
      <x:c r="K2501" t="str">
        <x:v>Source min 63,50 m ; max 63,50 m ; modèle 63 × 50 m ; niveaux 0. Détails dans catalogue-existant.json.</x:v>
      </x:c>
    </x:row>
    <x:row r="2502">
      <x:c r="A2502" t="str">
        <x:v>DW-2497</x:v>
      </x:c>
      <x:c r="B2502" t="str">
        <x:v>DW-0749</x:v>
      </x:c>
      <x:c r="C2502" t="str">
        <x:v>Composition héritée</x:v>
      </x:c>
      <x:c r="D2502" t="str">
        <x:v>ruines</x:v>
      </x:c>
      <x:c r="E2502" t="str">
        <x:v>Maison incendiée — variante 04 — Ruine envahie et reprise végétale / reprise progressive de la végétation</x:v>
      </x:c>
      <x:c r="F2502" t="n">
        <x:v>8</x:v>
      </x:c>
      <x:c r="G2502" t="n">
        <x:v>3</x:v>
      </x:c>
      <x:c r="H2502" t="n">
        <x:v>0</x:v>
      </x:c>
      <x:c r="I2502" t="str">
        <x:v>À qualifier par lieu</x:v>
      </x:c>
      <x:c r="J2502" t="str">
        <x:v>https://github.com/darknigthmare/deadwall-last-enclosure/blob/1b3b9c5ba232734b1bda3453b4e20a0481bcdd74/codex-3000/compositions/ruines/DW-2497.md</x:v>
      </x:c>
      <x:c r="K2502" t="str">
        <x:v>Source min 74,13 m ; max 74,13 m ; modèle 74 × 18 m ; niveaux 0, 1. Détails dans catalogue-existant.json.</x:v>
      </x:c>
    </x:row>
    <x:row r="2503">
      <x:c r="A2503" t="str">
        <x:v>DW-2498</x:v>
      </x:c>
      <x:c r="B2503" t="str">
        <x:v>DW-0749</x:v>
      </x:c>
      <x:c r="C2503" t="str">
        <x:v>Composition héritée</x:v>
      </x:c>
      <x:c r="D2503" t="str">
        <x:v>ruines</x:v>
      </x:c>
      <x:c r="E2503" t="str">
        <x:v>Maison incendiée — variante 04 — Zone industrielle / repli organisé interrompu</x:v>
      </x:c>
      <x:c r="F2503" t="n">
        <x:v>8</x:v>
      </x:c>
      <x:c r="G2503" t="n">
        <x:v>3</x:v>
      </x:c>
      <x:c r="H2503" t="n">
        <x:v>0</x:v>
      </x:c>
      <x:c r="I2503" t="str">
        <x:v>À qualifier par lieu</x:v>
      </x:c>
      <x:c r="J2503" t="str">
        <x:v>https://github.com/darknigthmare/deadwall-last-enclosure/blob/1b3b9c5ba232734b1bda3453b4e20a0481bcdd74/codex-3000/compositions/ruines/DW-2498.md</x:v>
      </x:c>
      <x:c r="K2503" t="str">
        <x:v>Source min 74,13 m ; max 74,13 m ; modèle 74 × 18 m ; niveaux 0, 1. Détails dans catalogue-existant.json.</x:v>
      </x:c>
    </x:row>
    <x:row r="2504">
      <x:c r="A2504" t="str">
        <x:v>DW-2499</x:v>
      </x:c>
      <x:c r="B2504" t="str">
        <x:v>DW-0750</x:v>
      </x:c>
      <x:c r="C2504" t="str">
        <x:v>Composition héritée</x:v>
      </x:c>
      <x:c r="D2504" t="str">
        <x:v>ruines</x:v>
      </x:c>
      <x:c r="E2504" t="str">
        <x:v>Immeuble éventré — variante 04 — Centre ancien / relais temporaire envisagé</x:v>
      </x:c>
      <x:c r="F2504" t="n">
        <x:v>8</x:v>
      </x:c>
      <x:c r="G2504" t="n">
        <x:v>4</x:v>
      </x:c>
      <x:c r="H2504" t="n">
        <x:v>0</x:v>
      </x:c>
      <x:c r="I2504" t="str">
        <x:v>À qualifier par lieu</x:v>
      </x:c>
      <x:c r="J2504" t="str">
        <x:v>https://github.com/darknigthmare/deadwall-last-enclosure/blob/1b3b9c5ba232734b1bda3453b4e20a0481bcdd74/codex-3000/compositions/ruines/DW-2499.md</x:v>
      </x:c>
      <x:c r="K2504" t="str">
        <x:v>Source min 13,30 m ; max 13,30 m ; modèle 25 × 30 m ; niveaux 0, 1. Détails dans catalogue-existant.json.</x:v>
      </x:c>
    </x:row>
    <x:row r="2505">
      <x:c r="A2505" t="str">
        <x:v>DW-2500</x:v>
      </x:c>
      <x:c r="B2505" t="str">
        <x:v>DW-0750</x:v>
      </x:c>
      <x:c r="C2505" t="str">
        <x:v>Composition héritée</x:v>
      </x:c>
      <x:c r="D2505" t="str">
        <x:v>ruines</x:v>
      </x:c>
      <x:c r="E2505" t="str">
        <x:v>Immeuble éventré — variante 04 — Petit bois et lisière / évacuation interrompue</x:v>
      </x:c>
      <x:c r="F2505" t="n">
        <x:v>8</x:v>
      </x:c>
      <x:c r="G2505" t="n">
        <x:v>4</x:v>
      </x:c>
      <x:c r="H2505" t="n">
        <x:v>0</x:v>
      </x:c>
      <x:c r="I2505" t="str">
        <x:v>À qualifier par lieu</x:v>
      </x:c>
      <x:c r="J2505" t="str">
        <x:v>https://github.com/darknigthmare/deadwall-last-enclosure/blob/1b3b9c5ba232734b1bda3453b4e20a0481bcdd74/codex-3000/compositions/ruines/DW-2500.md</x:v>
      </x:c>
      <x:c r="K2505" t="str">
        <x:v>Source min 13,30 m ; max 13,30 m ; modèle 25 × 30 m ; niveaux 0, 1. Détails dans catalogue-existant.json.</x:v>
      </x:c>
    </x:row>
    <x:row r="2506">
      <x:c r="A2506" t="str">
        <x:v>DW-2501</x:v>
      </x:c>
      <x:c r="B2506" t="str">
        <x:v>DW-0751</x:v>
      </x:c>
      <x:c r="C2506" t="str">
        <x:v>Composition héritée</x:v>
      </x:c>
      <x:c r="D2506" t="str">
        <x:v>ruines</x:v>
      </x:c>
      <x:c r="E2506" t="str">
        <x:v>Commerce pillé — variante 04 — Zone industrielle / réseau principal coupé</x:v>
      </x:c>
      <x:c r="F2506" t="n">
        <x:v>8</x:v>
      </x:c>
      <x:c r="G2506" t="n">
        <x:v>4</x:v>
      </x:c>
      <x:c r="H2506" t="n">
        <x:v>0</x:v>
      </x:c>
      <x:c r="I2506" t="str">
        <x:v>À qualifier par lieu</x:v>
      </x:c>
      <x:c r="J2506" t="str">
        <x:v>https://github.com/darknigthmare/deadwall-last-enclosure/blob/1b3b9c5ba232734b1bda3453b4e20a0481bcdd74/codex-3000/compositions/ruines/DW-2501.md</x:v>
      </x:c>
      <x:c r="K2506" t="str">
        <x:v>Source min 24,47 m ; max 24,47 m ; modèle 25 × 47 m ; niveaux 0. Détails dans catalogue-existant.json.</x:v>
      </x:c>
    </x:row>
    <x:row r="2507">
      <x:c r="A2507" t="str">
        <x:v>DW-2502</x:v>
      </x:c>
      <x:c r="B2507" t="str">
        <x:v>DW-0751</x:v>
      </x:c>
      <x:c r="C2507" t="str">
        <x:v>Composition héritée</x:v>
      </x:c>
      <x:c r="D2507" t="str">
        <x:v>ruines</x:v>
      </x:c>
      <x:c r="E2507" t="str">
        <x:v>Commerce pillé — variante 04 — Ruine envahie et reprise végétale / arrêt de maintenance</x:v>
      </x:c>
      <x:c r="F2507" t="n">
        <x:v>8</x:v>
      </x:c>
      <x:c r="G2507" t="n">
        <x:v>4</x:v>
      </x:c>
      <x:c r="H2507" t="n">
        <x:v>0</x:v>
      </x:c>
      <x:c r="I2507" t="str">
        <x:v>À qualifier par lieu</x:v>
      </x:c>
      <x:c r="J2507" t="str">
        <x:v>https://github.com/darknigthmare/deadwall-last-enclosure/blob/1b3b9c5ba232734b1bda3453b4e20a0481bcdd74/codex-3000/compositions/ruines/DW-2502.md</x:v>
      </x:c>
      <x:c r="K2507" t="str">
        <x:v>Source min 24,47 m ; max 24,47 m ; modèle 25 × 47 m ; niveaux 0. Détails dans catalogue-existant.json.</x:v>
      </x:c>
    </x:row>
    <x:row r="2508">
      <x:c r="A2508" t="str">
        <x:v>DW-2503</x:v>
      </x:c>
      <x:c r="B2508" t="str">
        <x:v>DW-0752</x:v>
      </x:c>
      <x:c r="C2508" t="str">
        <x:v>Composition héritée</x:v>
      </x:c>
      <x:c r="D2508" t="str">
        <x:v>ruines</x:v>
      </x:c>
      <x:c r="E2508" t="str">
        <x:v>Usine sinistrée — variante 04 — Petit bois et lisière / repli organisé interrompu</x:v>
      </x:c>
      <x:c r="F2508" t="n">
        <x:v>8</x:v>
      </x:c>
      <x:c r="G2508" t="n">
        <x:v>4</x:v>
      </x:c>
      <x:c r="H2508" t="n">
        <x:v>0</x:v>
      </x:c>
      <x:c r="I2508" t="str">
        <x:v>À qualifier par lieu</x:v>
      </x:c>
      <x:c r="J2508" t="str">
        <x:v>https://github.com/darknigthmare/deadwall-last-enclosure/blob/1b3b9c5ba232734b1bda3453b4e20a0481bcdd74/codex-3000/compositions/ruines/DW-2503.md</x:v>
      </x:c>
      <x:c r="K2508" t="str">
        <x:v>Source min 35,10 m ; max 35,10 m ; modèle 35 × 18 m ; niveaux 0. Détails dans catalogue-existant.json.</x:v>
      </x:c>
    </x:row>
    <x:row r="2509">
      <x:c r="A2509" t="str">
        <x:v>DW-2504</x:v>
      </x:c>
      <x:c r="B2509" t="str">
        <x:v>DW-0752</x:v>
      </x:c>
      <x:c r="C2509" t="str">
        <x:v>Composition héritée</x:v>
      </x:c>
      <x:c r="D2509" t="str">
        <x:v>ruines</x:v>
      </x:c>
      <x:c r="E2509" t="str">
        <x:v>Usine sinistrée — variante 04 — Centre ancien / première récupération passée</x:v>
      </x:c>
      <x:c r="F2509" t="n">
        <x:v>8</x:v>
      </x:c>
      <x:c r="G2509" t="n">
        <x:v>4</x:v>
      </x:c>
      <x:c r="H2509" t="n">
        <x:v>0</x:v>
      </x:c>
      <x:c r="I2509" t="str">
        <x:v>À qualifier par lieu</x:v>
      </x:c>
      <x:c r="J2509" t="str">
        <x:v>https://github.com/darknigthmare/deadwall-last-enclosure/blob/1b3b9c5ba232734b1bda3453b4e20a0481bcdd74/codex-3000/compositions/ruines/DW-2504.md</x:v>
      </x:c>
      <x:c r="K2509" t="str">
        <x:v>Source min 35,10 m ; max 35,10 m ; modèle 35 × 18 m ; niveaux 0. Détails dans catalogue-existant.json.</x:v>
      </x:c>
    </x:row>
    <x:row r="2510">
      <x:c r="A2510" t="str">
        <x:v>DW-2505</x:v>
      </x:c>
      <x:c r="B2510" t="str">
        <x:v>DW-0753</x:v>
      </x:c>
      <x:c r="C2510" t="str">
        <x:v>Composition héritée</x:v>
      </x:c>
      <x:c r="D2510" t="str">
        <x:v>ruines</x:v>
      </x:c>
      <x:c r="E2510" t="str">
        <x:v>Hôtel abandonné — variante 04 — Ruine envahie et reprise végétale / évacuation interrompue</x:v>
      </x:c>
      <x:c r="F2510" t="n">
        <x:v>8</x:v>
      </x:c>
      <x:c r="G2510" t="n">
        <x:v>5</x:v>
      </x:c>
      <x:c r="H2510" t="n">
        <x:v>0</x:v>
      </x:c>
      <x:c r="I2510" t="str">
        <x:v>À qualifier par lieu</x:v>
      </x:c>
      <x:c r="J2510" t="str">
        <x:v>https://github.com/darknigthmare/deadwall-last-enclosure/blob/1b3b9c5ba232734b1bda3453b4e20a0481bcdd74/codex-3000/compositions/ruines/DW-2505.md</x:v>
      </x:c>
      <x:c r="K2510" t="str">
        <x:v>Source min 46,27 m ; max 46,27 m ; modèle 46 × 27 m ; niveaux 0, 1. Détails dans catalogue-existant.json.</x:v>
      </x:c>
    </x:row>
    <x:row r="2511">
      <x:c r="A2511" t="str">
        <x:v>DW-2506</x:v>
      </x:c>
      <x:c r="B2511" t="str">
        <x:v>DW-0753</x:v>
      </x:c>
      <x:c r="C2511" t="str">
        <x:v>Composition héritée</x:v>
      </x:c>
      <x:c r="D2511" t="str">
        <x:v>ruines</x:v>
      </x:c>
      <x:c r="E2511" t="str">
        <x:v>Hôtel abandonné — variante 04 — Zone industrielle / service déplacé à l’arrière</x:v>
      </x:c>
      <x:c r="F2511" t="n">
        <x:v>8</x:v>
      </x:c>
      <x:c r="G2511" t="n">
        <x:v>5</x:v>
      </x:c>
      <x:c r="H2511" t="n">
        <x:v>0</x:v>
      </x:c>
      <x:c r="I2511" t="str">
        <x:v>À qualifier par lieu</x:v>
      </x:c>
      <x:c r="J2511" t="str">
        <x:v>https://github.com/darknigthmare/deadwall-last-enclosure/blob/1b3b9c5ba232734b1bda3453b4e20a0481bcdd74/codex-3000/compositions/ruines/DW-2506.md</x:v>
      </x:c>
      <x:c r="K2511" t="str">
        <x:v>Source min 46,27 m ; max 46,27 m ; modèle 46 × 27 m ; niveaux 0, 1. Détails dans catalogue-existant.json.</x:v>
      </x:c>
    </x:row>
    <x:row r="2512">
      <x:c r="A2512" t="str">
        <x:v>DW-2507</x:v>
      </x:c>
      <x:c r="B2512" t="str">
        <x:v>DW-0754</x:v>
      </x:c>
      <x:c r="C2512" t="str">
        <x:v>Composition héritée</x:v>
      </x:c>
      <x:c r="D2512" t="str">
        <x:v>ruines</x:v>
      </x:c>
      <x:c r="E2512" t="str">
        <x:v>Lotissement ravagé — variante 04 — Centre ancien / arrêt de maintenance</x:v>
      </x:c>
      <x:c r="F2512" t="n">
        <x:v>8</x:v>
      </x:c>
      <x:c r="G2512" t="n">
        <x:v>4</x:v>
      </x:c>
      <x:c r="H2512" t="n">
        <x:v>0</x:v>
      </x:c>
      <x:c r="I2512" t="str">
        <x:v>À qualifier par lieu</x:v>
      </x:c>
      <x:c r="J2512" t="str">
        <x:v>https://github.com/darknigthmare/deadwall-last-enclosure/blob/1b3b9c5ba232734b1bda3453b4e20a0481bcdd74/codex-3000/compositions/ruines/DW-2507.md</x:v>
      </x:c>
      <x:c r="K2512" t="str">
        <x:v>Source min 57,44 m ; max 57,44 m ; modèle 57 × 44 m ; niveaux 0. Détails dans catalogue-existant.json.</x:v>
      </x:c>
    </x:row>
    <x:row r="2513">
      <x:c r="A2513" t="str">
        <x:v>DW-2508</x:v>
      </x:c>
      <x:c r="B2513" t="str">
        <x:v>DW-0754</x:v>
      </x:c>
      <x:c r="C2513" t="str">
        <x:v>Composition héritée</x:v>
      </x:c>
      <x:c r="D2513" t="str">
        <x:v>ruines</x:v>
      </x:c>
      <x:c r="E2513" t="str">
        <x:v>Lotissement ravagé — variante 04 — Petit bois et lisière / reprise progressive de la végétation</x:v>
      </x:c>
      <x:c r="F2513" t="n">
        <x:v>8</x:v>
      </x:c>
      <x:c r="G2513" t="n">
        <x:v>4</x:v>
      </x:c>
      <x:c r="H2513" t="n">
        <x:v>0</x:v>
      </x:c>
      <x:c r="I2513" t="str">
        <x:v>À qualifier par lieu</x:v>
      </x:c>
      <x:c r="J2513" t="str">
        <x:v>https://github.com/darknigthmare/deadwall-last-enclosure/blob/1b3b9c5ba232734b1bda3453b4e20a0481bcdd74/codex-3000/compositions/ruines/DW-2508.md</x:v>
      </x:c>
      <x:c r="K2513" t="str">
        <x:v>Source min 57,44 m ; max 57,44 m ; modèle 57 × 44 m ; niveaux 0. Détails dans catalogue-existant.json.</x:v>
      </x:c>
    </x:row>
    <x:row r="2514">
      <x:c r="A2514" t="str">
        <x:v>DW-2509</x:v>
      </x:c>
      <x:c r="B2514" t="str">
        <x:v>DW-0755</x:v>
      </x:c>
      <x:c r="C2514" t="str">
        <x:v>Composition héritée</x:v>
      </x:c>
      <x:c r="D2514" t="str">
        <x:v>ruines</x:v>
      </x:c>
      <x:c r="E2514" t="str">
        <x:v>Village déserté — variante 04 — Zone industrielle / première récupération passée</x:v>
      </x:c>
      <x:c r="F2514" t="n">
        <x:v>8</x:v>
      </x:c>
      <x:c r="G2514" t="n">
        <x:v>5</x:v>
      </x:c>
      <x:c r="H2514" t="n">
        <x:v>0</x:v>
      </x:c>
      <x:c r="I2514" t="str">
        <x:v>À qualifier par lieu</x:v>
      </x:c>
      <x:c r="J2514" t="str">
        <x:v>https://github.com/darknigthmare/deadwall-last-enclosure/blob/1b3b9c5ba232734b1bda3453b4e20a0481bcdd74/codex-3000/compositions/ruines/DW-2509.md</x:v>
      </x:c>
      <x:c r="K2514" t="str">
        <x:v>Source min 68,61 m ; max 68,61 m ; modèle 68 × 61 m ; niveaux 0. Détails dans catalogue-existant.json.</x:v>
      </x:c>
    </x:row>
    <x:row r="2515">
      <x:c r="A2515" t="str">
        <x:v>DW-2510</x:v>
      </x:c>
      <x:c r="B2515" t="str">
        <x:v>DW-0755</x:v>
      </x:c>
      <x:c r="C2515" t="str">
        <x:v>Composition héritée</x:v>
      </x:c>
      <x:c r="D2515" t="str">
        <x:v>ruines</x:v>
      </x:c>
      <x:c r="E2515" t="str">
        <x:v>Village déserté — variante 04 — Ruine envahie et reprise végétale / relais temporaire envisagé</x:v>
      </x:c>
      <x:c r="F2515" t="n">
        <x:v>8</x:v>
      </x:c>
      <x:c r="G2515" t="n">
        <x:v>5</x:v>
      </x:c>
      <x:c r="H2515" t="n">
        <x:v>0</x:v>
      </x:c>
      <x:c r="I2515" t="str">
        <x:v>À qualifier par lieu</x:v>
      </x:c>
      <x:c r="J2515" t="str">
        <x:v>https://github.com/darknigthmare/deadwall-last-enclosure/blob/1b3b9c5ba232734b1bda3453b4e20a0481bcdd74/codex-3000/compositions/ruines/DW-2510.md</x:v>
      </x:c>
      <x:c r="K2515" t="str">
        <x:v>Source min 68,61 m ; max 68,61 m ; modèle 68 × 61 m ; niveaux 0. Détails dans catalogue-existant.json.</x:v>
      </x:c>
    </x:row>
    <x:row r="2516">
      <x:c r="A2516" t="str">
        <x:v>DW-2511</x:v>
      </x:c>
      <x:c r="B2516" t="str">
        <x:v>DW-0756</x:v>
      </x:c>
      <x:c r="C2516" t="str">
        <x:v>Composition héritée</x:v>
      </x:c>
      <x:c r="D2516" t="str">
        <x:v>ruines</x:v>
      </x:c>
      <x:c r="E2516" t="str">
        <x:v>Centre commercial effondré — variante 04 — Petit bois et lisière / service déplacé à l’arrière</x:v>
      </x:c>
      <x:c r="F2516" t="n">
        <x:v>8</x:v>
      </x:c>
      <x:c r="G2516" t="n">
        <x:v>5</x:v>
      </x:c>
      <x:c r="H2516" t="n">
        <x:v>0</x:v>
      </x:c>
      <x:c r="I2516" t="str">
        <x:v>À qualifier par lieu</x:v>
      </x:c>
      <x:c r="J2516" t="str">
        <x:v>https://github.com/darknigthmare/deadwall-last-enclosure/blob/1b3b9c5ba232734b1bda3453b4e20a0481bcdd74/codex-3000/compositions/ruines/DW-2511.md</x:v>
      </x:c>
      <x:c r="K2516" t="str">
        <x:v>Source min 79,24 m ; max 79,24 m ; modèle 78 × 24 m ; niveaux 0. Détails dans catalogue-existant.json.</x:v>
      </x:c>
    </x:row>
    <x:row r="2517">
      <x:c r="A2517" t="str">
        <x:v>DW-2512</x:v>
      </x:c>
      <x:c r="B2517" t="str">
        <x:v>DW-0756</x:v>
      </x:c>
      <x:c r="C2517" t="str">
        <x:v>Composition héritée</x:v>
      </x:c>
      <x:c r="D2517" t="str">
        <x:v>ruines</x:v>
      </x:c>
      <x:c r="E2517" t="str">
        <x:v>Centre commercial effondré — variante 04 — Centre ancien / réseau principal coupé</x:v>
      </x:c>
      <x:c r="F2517" t="n">
        <x:v>8</x:v>
      </x:c>
      <x:c r="G2517" t="n">
        <x:v>5</x:v>
      </x:c>
      <x:c r="H2517" t="n">
        <x:v>0</x:v>
      </x:c>
      <x:c r="I2517" t="str">
        <x:v>À qualifier par lieu</x:v>
      </x:c>
      <x:c r="J2517" t="str">
        <x:v>https://github.com/darknigthmare/deadwall-last-enclosure/blob/1b3b9c5ba232734b1bda3453b4e20a0481bcdd74/codex-3000/compositions/ruines/DW-2512.md</x:v>
      </x:c>
      <x:c r="K2517" t="str">
        <x:v>Source min 79,24 m ; max 79,24 m ; modèle 78 × 24 m ; niveaux 0. Détails dans catalogue-existant.json.</x:v>
      </x:c>
    </x:row>
    <x:row r="2518">
      <x:c r="A2518" t="str">
        <x:v>DW-2513</x:v>
      </x:c>
      <x:c r="B2518" t="str">
        <x:v>DW-0757</x:v>
      </x:c>
      <x:c r="C2518" t="str">
        <x:v>Composition héritée</x:v>
      </x:c>
      <x:c r="D2518" t="str">
        <x:v>habitat</x:v>
      </x:c>
      <x:c r="E2518" t="str">
        <x:v>Maison de lotissement — variante 05 — Quartier pavillonnaire / reprise progressive de la végétation</x:v>
      </x:c>
      <x:c r="F2518" t="n">
        <x:v>8</x:v>
      </x:c>
      <x:c r="G2518" t="n">
        <x:v>5</x:v>
      </x:c>
      <x:c r="H2518" t="n">
        <x:v>0</x:v>
      </x:c>
      <x:c r="I2518" t="str">
        <x:v>À qualifier par lieu</x:v>
      </x:c>
      <x:c r="J2518" t="str">
        <x:v>https://github.com/darknigthmare/deadwall-last-enclosure/blob/1b3b9c5ba232734b1bda3453b4e20a0481bcdd74/codex-3000/compositions/habitat/DW-2513.md</x:v>
      </x:c>
      <x:c r="K2518" t="str">
        <x:v>Source min 18,41 m ; max 18,41 m ; modèle 26 × 41 m ; niveaux 0, 1. Détails dans catalogue-existant.json.</x:v>
      </x:c>
    </x:row>
    <x:row r="2519">
      <x:c r="A2519" t="str">
        <x:v>DW-2514</x:v>
      </x:c>
      <x:c r="B2519" t="str">
        <x:v>DW-0757</x:v>
      </x:c>
      <x:c r="C2519" t="str">
        <x:v>Composition héritée</x:v>
      </x:c>
      <x:c r="D2519" t="str">
        <x:v>habitat</x:v>
      </x:c>
      <x:c r="E2519" t="str">
        <x:v>Maison de lotissement — variante 05 — Village et bourg / repli organisé interrompu</x:v>
      </x:c>
      <x:c r="F2519" t="n">
        <x:v>8</x:v>
      </x:c>
      <x:c r="G2519" t="n">
        <x:v>5</x:v>
      </x:c>
      <x:c r="H2519" t="n">
        <x:v>0</x:v>
      </x:c>
      <x:c r="I2519" t="str">
        <x:v>À qualifier par lieu</x:v>
      </x:c>
      <x:c r="J2519" t="str">
        <x:v>https://github.com/darknigthmare/deadwall-last-enclosure/blob/1b3b9c5ba232734b1bda3453b4e20a0481bcdd74/codex-3000/compositions/habitat/DW-2514.md</x:v>
      </x:c>
      <x:c r="K2519" t="str">
        <x:v>Source min 18,41 m ; max 18,41 m ; modèle 26 × 41 m ; niveaux 0, 1. Détails dans catalogue-existant.json.</x:v>
      </x:c>
    </x:row>
    <x:row r="2520">
      <x:c r="A2520" t="str">
        <x:v>DW-2515</x:v>
      </x:c>
      <x:c r="B2520" t="str">
        <x:v>DW-0758</x:v>
      </x:c>
      <x:c r="C2520" t="str">
        <x:v>Composition héritée</x:v>
      </x:c>
      <x:c r="D2520" t="str">
        <x:v>habitat</x:v>
      </x:c>
      <x:c r="E2520" t="str">
        <x:v>Maison mitoyenne — variante 05 — Hameau / relais temporaire envisagé</x:v>
      </x:c>
      <x:c r="F2520" t="n">
        <x:v>8</x:v>
      </x:c>
      <x:c r="G2520" t="n">
        <x:v>5</x:v>
      </x:c>
      <x:c r="H2520" t="n">
        <x:v>0</x:v>
      </x:c>
      <x:c r="I2520" t="str">
        <x:v>À qualifier par lieu</x:v>
      </x:c>
      <x:c r="J2520" t="str">
        <x:v>https://github.com/darknigthmare/deadwall-last-enclosure/blob/1b3b9c5ba232734b1bda3453b4e20a0481bcdd74/codex-3000/compositions/habitat/DW-2515.md</x:v>
      </x:c>
      <x:c r="K2520" t="str">
        <x:v>Source min 29,58 m ; max 29,58 m ; modèle 29 × 58 m ; niveaux 0. Détails dans catalogue-existant.json.</x:v>
      </x:c>
    </x:row>
    <x:row r="2521">
      <x:c r="A2521" t="str">
        <x:v>DW-2516</x:v>
      </x:c>
      <x:c r="B2521" t="str">
        <x:v>DW-0758</x:v>
      </x:c>
      <x:c r="C2521" t="str">
        <x:v>Composition héritée</x:v>
      </x:c>
      <x:c r="D2521" t="str">
        <x:v>habitat</x:v>
      </x:c>
      <x:c r="E2521" t="str">
        <x:v>Maison mitoyenne — variante 05 — Quartier collectif / évacuation interrompue</x:v>
      </x:c>
      <x:c r="F2521" t="n">
        <x:v>8</x:v>
      </x:c>
      <x:c r="G2521" t="n">
        <x:v>5</x:v>
      </x:c>
      <x:c r="H2521" t="n">
        <x:v>0</x:v>
      </x:c>
      <x:c r="I2521" t="str">
        <x:v>À qualifier par lieu</x:v>
      </x:c>
      <x:c r="J2521" t="str">
        <x:v>https://github.com/darknigthmare/deadwall-last-enclosure/blob/1b3b9c5ba232734b1bda3453b4e20a0481bcdd74/codex-3000/compositions/habitat/DW-2516.md</x:v>
      </x:c>
      <x:c r="K2521" t="str">
        <x:v>Source min 29,58 m ; max 29,58 m ; modèle 29 × 58 m ; niveaux 0. Détails dans catalogue-existant.json.</x:v>
      </x:c>
    </x:row>
    <x:row r="2522">
      <x:c r="A2522" t="str">
        <x:v>DW-2517</x:v>
      </x:c>
      <x:c r="B2522" t="str">
        <x:v>DW-0759</x:v>
      </x:c>
      <x:c r="C2522" t="str">
        <x:v>Composition héritée</x:v>
      </x:c>
      <x:c r="D2522" t="str">
        <x:v>habitat</x:v>
      </x:c>
      <x:c r="E2522" t="str">
        <x:v>Villa isolée — variante 05 — Village et bourg / réseau principal coupé</x:v>
      </x:c>
      <x:c r="F2522" t="n">
        <x:v>8</x:v>
      </x:c>
      <x:c r="G2522" t="n">
        <x:v>7</x:v>
      </x:c>
      <x:c r="H2522" t="n">
        <x:v>0</x:v>
      </x:c>
      <x:c r="I2522" t="str">
        <x:v>À qualifier par lieu</x:v>
      </x:c>
      <x:c r="J2522" t="str">
        <x:v>https://github.com/darknigthmare/deadwall-last-enclosure/blob/1b3b9c5ba232734b1bda3453b4e20a0481bcdd74/codex-3000/compositions/habitat/DW-2517.md</x:v>
      </x:c>
      <x:c r="K2522" t="str">
        <x:v>Source min 40,21 m ; max 40,21 m ; modèle 40 × 29 m ; niveaux 0. Détails dans catalogue-existant.json.</x:v>
      </x:c>
    </x:row>
    <x:row r="2523">
      <x:c r="A2523" t="str">
        <x:v>DW-2518</x:v>
      </x:c>
      <x:c r="B2523" t="str">
        <x:v>DW-0759</x:v>
      </x:c>
      <x:c r="C2523" t="str">
        <x:v>Composition héritée</x:v>
      </x:c>
      <x:c r="D2523" t="str">
        <x:v>habitat</x:v>
      </x:c>
      <x:c r="E2523" t="str">
        <x:v>Villa isolée — variante 05 — Quartier pavillonnaire / arrêt de maintenance</x:v>
      </x:c>
      <x:c r="F2523" t="n">
        <x:v>8</x:v>
      </x:c>
      <x:c r="G2523" t="n">
        <x:v>7</x:v>
      </x:c>
      <x:c r="H2523" t="n">
        <x:v>0</x:v>
      </x:c>
      <x:c r="I2523" t="str">
        <x:v>À qualifier par lieu</x:v>
      </x:c>
      <x:c r="J2523" t="str">
        <x:v>https://github.com/darknigthmare/deadwall-last-enclosure/blob/1b3b9c5ba232734b1bda3453b4e20a0481bcdd74/codex-3000/compositions/habitat/DW-2518.md</x:v>
      </x:c>
      <x:c r="K2523" t="str">
        <x:v>Source min 40,21 m ; max 40,21 m ; modèle 40 × 29 m ; niveaux 0. Détails dans catalogue-existant.json.</x:v>
      </x:c>
    </x:row>
    <x:row r="2524">
      <x:c r="A2524" t="str">
        <x:v>DW-2519</x:v>
      </x:c>
      <x:c r="B2524" t="str">
        <x:v>DW-0760</x:v>
      </x:c>
      <x:c r="C2524" t="str">
        <x:v>Composition héritée</x:v>
      </x:c>
      <x:c r="D2524" t="str">
        <x:v>habitat</x:v>
      </x:c>
      <x:c r="E2524" t="str">
        <x:v>Ferme familiale — variante 05 — Quartier collectif / repli organisé interrompu</x:v>
      </x:c>
      <x:c r="F2524" t="n">
        <x:v>8</x:v>
      </x:c>
      <x:c r="G2524" t="n">
        <x:v>6</x:v>
      </x:c>
      <x:c r="H2524" t="n">
        <x:v>0</x:v>
      </x:c>
      <x:c r="I2524" t="str">
        <x:v>À qualifier par lieu</x:v>
      </x:c>
      <x:c r="J2524" t="str">
        <x:v>https://github.com/darknigthmare/deadwall-last-enclosure/blob/1b3b9c5ba232734b1bda3453b4e20a0481bcdd74/codex-3000/compositions/habitat/DW-2519.md</x:v>
      </x:c>
      <x:c r="K2524" t="str">
        <x:v>Source min 51,38 m ; max 51,38 m ; modèle 51 × 38 m ; niveaux 0. Détails dans catalogue-existant.json.</x:v>
      </x:c>
    </x:row>
    <x:row r="2525">
      <x:c r="A2525" t="str">
        <x:v>DW-2520</x:v>
      </x:c>
      <x:c r="B2525" t="str">
        <x:v>DW-0760</x:v>
      </x:c>
      <x:c r="C2525" t="str">
        <x:v>Composition héritée</x:v>
      </x:c>
      <x:c r="D2525" t="str">
        <x:v>habitat</x:v>
      </x:c>
      <x:c r="E2525" t="str">
        <x:v>Ferme familiale — variante 05 — Hameau / première récupération passée</x:v>
      </x:c>
      <x:c r="F2525" t="n">
        <x:v>8</x:v>
      </x:c>
      <x:c r="G2525" t="n">
        <x:v>6</x:v>
      </x:c>
      <x:c r="H2525" t="n">
        <x:v>0</x:v>
      </x:c>
      <x:c r="I2525" t="str">
        <x:v>À qualifier par lieu</x:v>
      </x:c>
      <x:c r="J2525" t="str">
        <x:v>https://github.com/darknigthmare/deadwall-last-enclosure/blob/1b3b9c5ba232734b1bda3453b4e20a0481bcdd74/codex-3000/compositions/habitat/DW-2520.md</x:v>
      </x:c>
      <x:c r="K2525" t="str">
        <x:v>Source min 51,38 m ; max 51,38 m ; modèle 51 × 38 m ; niveaux 0. Détails dans catalogue-existant.json.</x:v>
      </x:c>
    </x:row>
    <x:row r="2526">
      <x:c r="A2526" t="str">
        <x:v>DW-2521</x:v>
      </x:c>
      <x:c r="B2526" t="str">
        <x:v>DW-0761</x:v>
      </x:c>
      <x:c r="C2526" t="str">
        <x:v>Composition héritée</x:v>
      </x:c>
      <x:c r="D2526" t="str">
        <x:v>habitat</x:v>
      </x:c>
      <x:c r="E2526" t="str">
        <x:v>Immeuble résidentiel — variante 05 — Quartier pavillonnaire / évacuation interrompue</x:v>
      </x:c>
      <x:c r="F2526" t="n">
        <x:v>8</x:v>
      </x:c>
      <x:c r="G2526" t="n">
        <x:v>5</x:v>
      </x:c>
      <x:c r="H2526" t="n">
        <x:v>0</x:v>
      </x:c>
      <x:c r="I2526" t="str">
        <x:v>À qualifier par lieu</x:v>
      </x:c>
      <x:c r="J2526" t="str">
        <x:v>https://github.com/darknigthmare/deadwall-last-enclosure/blob/1b3b9c5ba232734b1bda3453b4e20a0481bcdd74/codex-3000/compositions/habitat/DW-2521.md</x:v>
      </x:c>
      <x:c r="K2526" t="str">
        <x:v>Source min 62,55 m ; max 62,55 m ; modèle 62 × 55 m ; niveaux 0, 1, 2. Détails dans catalogue-existant.json.</x:v>
      </x:c>
    </x:row>
    <x:row r="2527">
      <x:c r="A2527" t="str">
        <x:v>DW-2522</x:v>
      </x:c>
      <x:c r="B2527" t="str">
        <x:v>DW-0761</x:v>
      </x:c>
      <x:c r="C2527" t="str">
        <x:v>Composition héritée</x:v>
      </x:c>
      <x:c r="D2527" t="str">
        <x:v>habitat</x:v>
      </x:c>
      <x:c r="E2527" t="str">
        <x:v>Immeuble résidentiel — variante 05 — Village et bourg / service déplacé à l’arrière</x:v>
      </x:c>
      <x:c r="F2527" t="n">
        <x:v>8</x:v>
      </x:c>
      <x:c r="G2527" t="n">
        <x:v>5</x:v>
      </x:c>
      <x:c r="H2527" t="n">
        <x:v>0</x:v>
      </x:c>
      <x:c r="I2527" t="str">
        <x:v>À qualifier par lieu</x:v>
      </x:c>
      <x:c r="J2527" t="str">
        <x:v>https://github.com/darknigthmare/deadwall-last-enclosure/blob/1b3b9c5ba232734b1bda3453b4e20a0481bcdd74/codex-3000/compositions/habitat/DW-2522.md</x:v>
      </x:c>
      <x:c r="K2527" t="str">
        <x:v>Source min 62,55 m ; max 62,55 m ; modèle 62 × 55 m ; niveaux 0, 1, 2. Détails dans catalogue-existant.json.</x:v>
      </x:c>
    </x:row>
    <x:row r="2528">
      <x:c r="A2528" t="str">
        <x:v>DW-2523</x:v>
      </x:c>
      <x:c r="B2528" t="str">
        <x:v>DW-0762</x:v>
      </x:c>
      <x:c r="C2528" t="str">
        <x:v>Composition héritée</x:v>
      </x:c>
      <x:c r="D2528" t="str">
        <x:v>habitat</x:v>
      </x:c>
      <x:c r="E2528" t="str">
        <x:v>Barre de logements — variante 05 — Hameau / arrêt de maintenance</x:v>
      </x:c>
      <x:c r="F2528" t="n">
        <x:v>8</x:v>
      </x:c>
      <x:c r="G2528" t="n">
        <x:v>5</x:v>
      </x:c>
      <x:c r="H2528" t="n">
        <x:v>0</x:v>
      </x:c>
      <x:c r="I2528" t="str">
        <x:v>À qualifier par lieu</x:v>
      </x:c>
      <x:c r="J2528" t="str">
        <x:v>https://github.com/darknigthmare/deadwall-last-enclosure/blob/1b3b9c5ba232734b1bda3453b4e20a0481bcdd74/codex-3000/compositions/habitat/DW-2523.md</x:v>
      </x:c>
      <x:c r="K2528" t="str">
        <x:v>Source min 73,18 m ; max 73,18 m ; modèle 73 × 22 m ; niveaux 0, 1. Détails dans catalogue-existant.json.</x:v>
      </x:c>
    </x:row>
    <x:row r="2529">
      <x:c r="A2529" t="str">
        <x:v>DW-2524</x:v>
      </x:c>
      <x:c r="B2529" t="str">
        <x:v>DW-0762</x:v>
      </x:c>
      <x:c r="C2529" t="str">
        <x:v>Composition héritée</x:v>
      </x:c>
      <x:c r="D2529" t="str">
        <x:v>habitat</x:v>
      </x:c>
      <x:c r="E2529" t="str">
        <x:v>Barre de logements — variante 05 — Quartier collectif / reprise progressive de la végétation</x:v>
      </x:c>
      <x:c r="F2529" t="n">
        <x:v>8</x:v>
      </x:c>
      <x:c r="G2529" t="n">
        <x:v>5</x:v>
      </x:c>
      <x:c r="H2529" t="n">
        <x:v>0</x:v>
      </x:c>
      <x:c r="I2529" t="str">
        <x:v>À qualifier par lieu</x:v>
      </x:c>
      <x:c r="J2529" t="str">
        <x:v>https://github.com/darknigthmare/deadwall-last-enclosure/blob/1b3b9c5ba232734b1bda3453b4e20a0481bcdd74/codex-3000/compositions/habitat/DW-2524.md</x:v>
      </x:c>
      <x:c r="K2529" t="str">
        <x:v>Source min 73,18 m ; max 73,18 m ; modèle 73 × 22 m ; niveaux 0, 1. Détails dans catalogue-existant.json.</x:v>
      </x:c>
    </x:row>
    <x:row r="2530">
      <x:c r="A2530" t="str">
        <x:v>DW-2525</x:v>
      </x:c>
      <x:c r="B2530" t="str">
        <x:v>DW-0763</x:v>
      </x:c>
      <x:c r="C2530" t="str">
        <x:v>Composition héritée</x:v>
      </x:c>
      <x:c r="D2530" t="str">
        <x:v>habitat</x:v>
      </x:c>
      <x:c r="E2530" t="str">
        <x:v>Résidence senior — variante 05 — Village et bourg / première récupération passée</x:v>
      </x:c>
      <x:c r="F2530" t="n">
        <x:v>8</x:v>
      </x:c>
      <x:c r="G2530" t="n">
        <x:v>5</x:v>
      </x:c>
      <x:c r="H2530" t="n">
        <x:v>0</x:v>
      </x:c>
      <x:c r="I2530" t="str">
        <x:v>À qualifier par lieu</x:v>
      </x:c>
      <x:c r="J2530" t="str">
        <x:v>https://github.com/darknigthmare/deadwall-last-enclosure/blob/1b3b9c5ba232734b1bda3453b4e20a0481bcdd74/codex-3000/compositions/habitat/DW-2525.md</x:v>
      </x:c>
      <x:c r="K2530" t="str">
        <x:v>Source min 12,35 m ; max 12,35 m ; modèle 26 × 35 m ; niveaux 0, 1, 2. Détails dans catalogue-existant.json.</x:v>
      </x:c>
    </x:row>
    <x:row r="2531">
      <x:c r="A2531" t="str">
        <x:v>DW-2526</x:v>
      </x:c>
      <x:c r="B2531" t="str">
        <x:v>DW-0763</x:v>
      </x:c>
      <x:c r="C2531" t="str">
        <x:v>Composition héritée</x:v>
      </x:c>
      <x:c r="D2531" t="str">
        <x:v>habitat</x:v>
      </x:c>
      <x:c r="E2531" t="str">
        <x:v>Résidence senior — variante 05 — Quartier pavillonnaire / relais temporaire envisagé</x:v>
      </x:c>
      <x:c r="F2531" t="n">
        <x:v>8</x:v>
      </x:c>
      <x:c r="G2531" t="n">
        <x:v>5</x:v>
      </x:c>
      <x:c r="H2531" t="n">
        <x:v>0</x:v>
      </x:c>
      <x:c r="I2531" t="str">
        <x:v>À qualifier par lieu</x:v>
      </x:c>
      <x:c r="J2531" t="str">
        <x:v>https://github.com/darknigthmare/deadwall-last-enclosure/blob/1b3b9c5ba232734b1bda3453b4e20a0481bcdd74/codex-3000/compositions/habitat/DW-2526.md</x:v>
      </x:c>
      <x:c r="K2531" t="str">
        <x:v>Source min 12,35 m ; max 12,35 m ; modèle 26 × 35 m ; niveaux 0, 1, 2. Détails dans catalogue-existant.json.</x:v>
      </x:c>
    </x:row>
    <x:row r="2532">
      <x:c r="A2532" t="str">
        <x:v>DW-2527</x:v>
      </x:c>
      <x:c r="B2532" t="str">
        <x:v>DW-0764</x:v>
      </x:c>
      <x:c r="C2532" t="str">
        <x:v>Composition héritée</x:v>
      </x:c>
      <x:c r="D2532" t="str">
        <x:v>habitat</x:v>
      </x:c>
      <x:c r="E2532" t="str">
        <x:v>Maison avec sous-sol — variante 05 — Quartier collectif / service déplacé à l’arrière</x:v>
      </x:c>
      <x:c r="F2532" t="n">
        <x:v>8</x:v>
      </x:c>
      <x:c r="G2532" t="n">
        <x:v>5</x:v>
      </x:c>
      <x:c r="H2532" t="n">
        <x:v>0</x:v>
      </x:c>
      <x:c r="I2532" t="str">
        <x:v>À qualifier par lieu</x:v>
      </x:c>
      <x:c r="J2532" t="str">
        <x:v>https://github.com/darknigthmare/deadwall-last-enclosure/blob/1b3b9c5ba232734b1bda3453b4e20a0481bcdd74/codex-3000/compositions/habitat/DW-2527.md</x:v>
      </x:c>
      <x:c r="K2532" t="str">
        <x:v>Source min 23,52 m ; max 23,52 m ; modèle 26 × 52 m ; niveaux 0. Détails dans catalogue-existant.json.</x:v>
      </x:c>
    </x:row>
    <x:row r="2533">
      <x:c r="A2533" t="str">
        <x:v>DW-2528</x:v>
      </x:c>
      <x:c r="B2533" t="str">
        <x:v>DW-0764</x:v>
      </x:c>
      <x:c r="C2533" t="str">
        <x:v>Composition héritée</x:v>
      </x:c>
      <x:c r="D2533" t="str">
        <x:v>habitat</x:v>
      </x:c>
      <x:c r="E2533" t="str">
        <x:v>Maison avec sous-sol — variante 05 — Hameau / réseau principal coupé</x:v>
      </x:c>
      <x:c r="F2533" t="n">
        <x:v>8</x:v>
      </x:c>
      <x:c r="G2533" t="n">
        <x:v>5</x:v>
      </x:c>
      <x:c r="H2533" t="n">
        <x:v>0</x:v>
      </x:c>
      <x:c r="I2533" t="str">
        <x:v>À qualifier par lieu</x:v>
      </x:c>
      <x:c r="J2533" t="str">
        <x:v>https://github.com/darknigthmare/deadwall-last-enclosure/blob/1b3b9c5ba232734b1bda3453b4e20a0481bcdd74/codex-3000/compositions/habitat/DW-2528.md</x:v>
      </x:c>
      <x:c r="K2533" t="str">
        <x:v>Source min 23,52 m ; max 23,52 m ; modèle 26 × 52 m ; niveaux 0. Détails dans catalogue-existant.json.</x:v>
      </x:c>
    </x:row>
    <x:row r="2534">
      <x:c r="A2534" t="str">
        <x:v>DW-2529</x:v>
      </x:c>
      <x:c r="B2534" t="str">
        <x:v>DW-0765</x:v>
      </x:c>
      <x:c r="C2534" t="str">
        <x:v>Composition héritée</x:v>
      </x:c>
      <x:c r="D2534" t="str">
        <x:v>commerce</x:v>
      </x:c>
      <x:c r="E2534" t="str">
        <x:v>Supérette — variante 05 — Zone commerciale / reprise progressive de la végétation</x:v>
      </x:c>
      <x:c r="F2534" t="n">
        <x:v>8</x:v>
      </x:c>
      <x:c r="G2534" t="n">
        <x:v>5</x:v>
      </x:c>
      <x:c r="H2534" t="n">
        <x:v>0</x:v>
      </x:c>
      <x:c r="I2534" t="str">
        <x:v>À qualifier par lieu</x:v>
      </x:c>
      <x:c r="J2534" t="str">
        <x:v>https://github.com/darknigthmare/deadwall-last-enclosure/blob/1b3b9c5ba232734b1bda3453b4e20a0481bcdd74/codex-3000/compositions/commerce/DW-2529.md</x:v>
      </x:c>
      <x:c r="K2534" t="str">
        <x:v>Source min 34,15 m ; max 34,15 m ; modèle 34 × 22 m ; niveaux 0, 1. Détails dans catalogue-existant.json.</x:v>
      </x:c>
    </x:row>
    <x:row r="2535">
      <x:c r="A2535" t="str">
        <x:v>DW-2530</x:v>
      </x:c>
      <x:c r="B2535" t="str">
        <x:v>DW-0765</x:v>
      </x:c>
      <x:c r="C2535" t="str">
        <x:v>Composition héritée</x:v>
      </x:c>
      <x:c r="D2535" t="str">
        <x:v>commerce</x:v>
      </x:c>
      <x:c r="E2535" t="str">
        <x:v>Supérette — variante 05 — Village et bourg / repli organisé interrompu</x:v>
      </x:c>
      <x:c r="F2535" t="n">
        <x:v>8</x:v>
      </x:c>
      <x:c r="G2535" t="n">
        <x:v>5</x:v>
      </x:c>
      <x:c r="H2535" t="n">
        <x:v>0</x:v>
      </x:c>
      <x:c r="I2535" t="str">
        <x:v>À qualifier par lieu</x:v>
      </x:c>
      <x:c r="J2535" t="str">
        <x:v>https://github.com/darknigthmare/deadwall-last-enclosure/blob/1b3b9c5ba232734b1bda3453b4e20a0481bcdd74/codex-3000/compositions/commerce/DW-2530.md</x:v>
      </x:c>
      <x:c r="K2535" t="str">
        <x:v>Source min 34,15 m ; max 34,15 m ; modèle 34 × 22 m ; niveaux 0, 1. Détails dans catalogue-existant.json.</x:v>
      </x:c>
    </x:row>
    <x:row r="2536">
      <x:c r="A2536" t="str">
        <x:v>DW-2531</x:v>
      </x:c>
      <x:c r="B2536" t="str">
        <x:v>DW-0766</x:v>
      </x:c>
      <x:c r="C2536" t="str">
        <x:v>Composition héritée</x:v>
      </x:c>
      <x:c r="D2536" t="str">
        <x:v>commerce</x:v>
      </x:c>
      <x:c r="E2536" t="str">
        <x:v>Centre commercial — variante 05 — Ville moyenne / relais temporaire envisagé</x:v>
      </x:c>
      <x:c r="F2536" t="n">
        <x:v>8</x:v>
      </x:c>
      <x:c r="G2536" t="n">
        <x:v>6</x:v>
      </x:c>
      <x:c r="H2536" t="n">
        <x:v>0</x:v>
      </x:c>
      <x:c r="I2536" t="str">
        <x:v>À qualifier par lieu</x:v>
      </x:c>
      <x:c r="J2536" t="str">
        <x:v>https://github.com/darknigthmare/deadwall-last-enclosure/blob/1b3b9c5ba232734b1bda3453b4e20a0481bcdd74/codex-3000/compositions/commerce/DW-2531.md</x:v>
      </x:c>
      <x:c r="K2536" t="str">
        <x:v>Source min 45,32 m ; max 45,32 m ; modèle 45 × 32 m ; niveaux 0. Détails dans catalogue-existant.json.</x:v>
      </x:c>
    </x:row>
    <x:row r="2537">
      <x:c r="A2537" t="str">
        <x:v>DW-2532</x:v>
      </x:c>
      <x:c r="B2537" t="str">
        <x:v>DW-0766</x:v>
      </x:c>
      <x:c r="C2537" t="str">
        <x:v>Composition héritée</x:v>
      </x:c>
      <x:c r="D2537" t="str">
        <x:v>commerce</x:v>
      </x:c>
      <x:c r="E2537" t="str">
        <x:v>Centre commercial — variante 05 — Grande ville et métropole / évacuation interrompue</x:v>
      </x:c>
      <x:c r="F2537" t="n">
        <x:v>8</x:v>
      </x:c>
      <x:c r="G2537" t="n">
        <x:v>6</x:v>
      </x:c>
      <x:c r="H2537" t="n">
        <x:v>0</x:v>
      </x:c>
      <x:c r="I2537" t="str">
        <x:v>À qualifier par lieu</x:v>
      </x:c>
      <x:c r="J2537" t="str">
        <x:v>https://github.com/darknigthmare/deadwall-last-enclosure/blob/1b3b9c5ba232734b1bda3453b4e20a0481bcdd74/codex-3000/compositions/commerce/DW-2532.md</x:v>
      </x:c>
      <x:c r="K2537" t="str">
        <x:v>Source min 45,32 m ; max 45,32 m ; modèle 45 × 32 m ; niveaux 0. Détails dans catalogue-existant.json.</x:v>
      </x:c>
    </x:row>
    <x:row r="2538">
      <x:c r="A2538" t="str">
        <x:v>DW-2533</x:v>
      </x:c>
      <x:c r="B2538" t="str">
        <x:v>DW-0767</x:v>
      </x:c>
      <x:c r="C2538" t="str">
        <x:v>Composition héritée</x:v>
      </x:c>
      <x:c r="D2538" t="str">
        <x:v>commerce</x:v>
      </x:c>
      <x:c r="E2538" t="str">
        <x:v>Supermarché — variante 05 — Village et bourg / réseau principal coupé</x:v>
      </x:c>
      <x:c r="F2538" t="n">
        <x:v>8</x:v>
      </x:c>
      <x:c r="G2538" t="n">
        <x:v>7</x:v>
      </x:c>
      <x:c r="H2538" t="n">
        <x:v>0</x:v>
      </x:c>
      <x:c r="I2538" t="str">
        <x:v>À qualifier par lieu</x:v>
      </x:c>
      <x:c r="J2538" t="str">
        <x:v>https://github.com/darknigthmare/deadwall-last-enclosure/blob/1b3b9c5ba232734b1bda3453b4e20a0481bcdd74/codex-3000/compositions/commerce/DW-2533.md</x:v>
      </x:c>
      <x:c r="K2538" t="str">
        <x:v>Source min 56,49 m ; max 56,49 m ; modèle 56 × 49 m ; niveaux 0. Détails dans catalogue-existant.json.</x:v>
      </x:c>
    </x:row>
    <x:row r="2539">
      <x:c r="A2539" t="str">
        <x:v>DW-2534</x:v>
      </x:c>
      <x:c r="B2539" t="str">
        <x:v>DW-0767</x:v>
      </x:c>
      <x:c r="C2539" t="str">
        <x:v>Composition héritée</x:v>
      </x:c>
      <x:c r="D2539" t="str">
        <x:v>commerce</x:v>
      </x:c>
      <x:c r="E2539" t="str">
        <x:v>Supermarché — variante 05 — Zone commerciale / arrêt de maintenance</x:v>
      </x:c>
      <x:c r="F2539" t="n">
        <x:v>8</x:v>
      </x:c>
      <x:c r="G2539" t="n">
        <x:v>7</x:v>
      </x:c>
      <x:c r="H2539" t="n">
        <x:v>0</x:v>
      </x:c>
      <x:c r="I2539" t="str">
        <x:v>À qualifier par lieu</x:v>
      </x:c>
      <x:c r="J2539" t="str">
        <x:v>https://github.com/darknigthmare/deadwall-last-enclosure/blob/1b3b9c5ba232734b1bda3453b4e20a0481bcdd74/codex-3000/compositions/commerce/DW-2534.md</x:v>
      </x:c>
      <x:c r="K2539" t="str">
        <x:v>Source min 56,49 m ; max 56,49 m ; modèle 56 × 49 m ; niveaux 0. Détails dans catalogue-existant.json.</x:v>
      </x:c>
    </x:row>
    <x:row r="2540">
      <x:c r="A2540" t="str">
        <x:v>DW-2535</x:v>
      </x:c>
      <x:c r="B2540" t="str">
        <x:v>DW-0768</x:v>
      </x:c>
      <x:c r="C2540" t="str">
        <x:v>Composition héritée</x:v>
      </x:c>
      <x:c r="D2540" t="str">
        <x:v>commerce</x:v>
      </x:c>
      <x:c r="E2540" t="str">
        <x:v>Magasin de bricolage — variante 05 — Grande ville et métropole / repli organisé interrompu</x:v>
      </x:c>
      <x:c r="F2540" t="n">
        <x:v>8</x:v>
      </x:c>
      <x:c r="G2540" t="n">
        <x:v>5</x:v>
      </x:c>
      <x:c r="H2540" t="n">
        <x:v>0</x:v>
      </x:c>
      <x:c r="I2540" t="str">
        <x:v>À qualifier par lieu</x:v>
      </x:c>
      <x:c r="J2540" t="str">
        <x:v>https://github.com/darknigthmare/deadwall-last-enclosure/blob/1b3b9c5ba232734b1bda3453b4e20a0481bcdd74/codex-3000/compositions/commerce/DW-2535.md</x:v>
      </x:c>
      <x:c r="K2540" t="str">
        <x:v>Source min 67,12 m ; max 67,12 m ; modèle 67 × 22 m ; niveaux 0. Détails dans catalogue-existant.json.</x:v>
      </x:c>
    </x:row>
    <x:row r="2541">
      <x:c r="A2541" t="str">
        <x:v>DW-2536</x:v>
      </x:c>
      <x:c r="B2541" t="str">
        <x:v>DW-0768</x:v>
      </x:c>
      <x:c r="C2541" t="str">
        <x:v>Composition héritée</x:v>
      </x:c>
      <x:c r="D2541" t="str">
        <x:v>commerce</x:v>
      </x:c>
      <x:c r="E2541" t="str">
        <x:v>Magasin de bricolage — variante 05 — Ville moyenne / première récupération passée</x:v>
      </x:c>
      <x:c r="F2541" t="n">
        <x:v>8</x:v>
      </x:c>
      <x:c r="G2541" t="n">
        <x:v>5</x:v>
      </x:c>
      <x:c r="H2541" t="n">
        <x:v>0</x:v>
      </x:c>
      <x:c r="I2541" t="str">
        <x:v>À qualifier par lieu</x:v>
      </x:c>
      <x:c r="J2541" t="str">
        <x:v>https://github.com/darknigthmare/deadwall-last-enclosure/blob/1b3b9c5ba232734b1bda3453b4e20a0481bcdd74/codex-3000/compositions/commerce/DW-2536.md</x:v>
      </x:c>
      <x:c r="K2541" t="str">
        <x:v>Source min 67,12 m ; max 67,12 m ; modèle 67 × 22 m ; niveaux 0. Détails dans catalogue-existant.json.</x:v>
      </x:c>
    </x:row>
    <x:row r="2542">
      <x:c r="A2542" t="str">
        <x:v>DW-2537</x:v>
      </x:c>
      <x:c r="B2542" t="str">
        <x:v>DW-0769</x:v>
      </x:c>
      <x:c r="C2542" t="str">
        <x:v>Composition héritée</x:v>
      </x:c>
      <x:c r="D2542" t="str">
        <x:v>commerce</x:v>
      </x:c>
      <x:c r="E2542" t="str">
        <x:v>Pharmacie — variante 05 — Zone commerciale / évacuation interrompue</x:v>
      </x:c>
      <x:c r="F2542" t="n">
        <x:v>8</x:v>
      </x:c>
      <x:c r="G2542" t="n">
        <x:v>4</x:v>
      </x:c>
      <x:c r="H2542" t="n">
        <x:v>0</x:v>
      </x:c>
      <x:c r="I2542" t="str">
        <x:v>À qualifier par lieu</x:v>
      </x:c>
      <x:c r="J2542" t="str">
        <x:v>https://github.com/darknigthmare/deadwall-last-enclosure/blob/1b3b9c5ba232734b1bda3453b4e20a0481bcdd74/codex-3000/compositions/commerce/DW-2537.md</x:v>
      </x:c>
      <x:c r="K2542" t="str">
        <x:v>Source min 78,29 m ; max 78,29 m ; modèle 78 × 29 m ; niveaux 0, 1. Détails dans catalogue-existant.json.</x:v>
      </x:c>
    </x:row>
    <x:row r="2543">
      <x:c r="A2543" t="str">
        <x:v>DW-2538</x:v>
      </x:c>
      <x:c r="B2543" t="str">
        <x:v>DW-0769</x:v>
      </x:c>
      <x:c r="C2543" t="str">
        <x:v>Composition héritée</x:v>
      </x:c>
      <x:c r="D2543" t="str">
        <x:v>commerce</x:v>
      </x:c>
      <x:c r="E2543" t="str">
        <x:v>Pharmacie — variante 05 — Village et bourg / service déplacé à l’arrière</x:v>
      </x:c>
      <x:c r="F2543" t="n">
        <x:v>8</x:v>
      </x:c>
      <x:c r="G2543" t="n">
        <x:v>4</x:v>
      </x:c>
      <x:c r="H2543" t="n">
        <x:v>0</x:v>
      </x:c>
      <x:c r="I2543" t="str">
        <x:v>À qualifier par lieu</x:v>
      </x:c>
      <x:c r="J2543" t="str">
        <x:v>https://github.com/darknigthmare/deadwall-last-enclosure/blob/1b3b9c5ba232734b1bda3453b4e20a0481bcdd74/codex-3000/compositions/commerce/DW-2538.md</x:v>
      </x:c>
      <x:c r="K2543" t="str">
        <x:v>Source min 78,29 m ; max 78,29 m ; modèle 78 × 29 m ; niveaux 0, 1. Détails dans catalogue-existant.json.</x:v>
      </x:c>
    </x:row>
    <x:row r="2544">
      <x:c r="A2544" t="str">
        <x:v>DW-2539</x:v>
      </x:c>
      <x:c r="B2544" t="str">
        <x:v>DW-0770</x:v>
      </x:c>
      <x:c r="C2544" t="str">
        <x:v>Composition héritée</x:v>
      </x:c>
      <x:c r="D2544" t="str">
        <x:v>commerce</x:v>
      </x:c>
      <x:c r="E2544" t="str">
        <x:v>Station-service — variante 05 — Ville moyenne / arrêt de maintenance</x:v>
      </x:c>
      <x:c r="F2544" t="n">
        <x:v>8</x:v>
      </x:c>
      <x:c r="G2544" t="n">
        <x:v>5</x:v>
      </x:c>
      <x:c r="H2544" t="n">
        <x:v>0</x:v>
      </x:c>
      <x:c r="I2544" t="str">
        <x:v>À qualifier par lieu</x:v>
      </x:c>
      <x:c r="J2544" t="str">
        <x:v>https://github.com/darknigthmare/deadwall-last-enclosure/blob/1b3b9c5ba232734b1bda3453b4e20a0481bcdd74/codex-3000/compositions/commerce/DW-2539.md</x:v>
      </x:c>
      <x:c r="K2544" t="str">
        <x:v>Source min 17,46 m ; max 17,46 m ; modèle 26 × 46 m ; niveaux 0. Détails dans catalogue-existant.json.</x:v>
      </x:c>
    </x:row>
    <x:row r="2545">
      <x:c r="A2545" t="str">
        <x:v>DW-2540</x:v>
      </x:c>
      <x:c r="B2545" t="str">
        <x:v>DW-0770</x:v>
      </x:c>
      <x:c r="C2545" t="str">
        <x:v>Composition héritée</x:v>
      </x:c>
      <x:c r="D2545" t="str">
        <x:v>commerce</x:v>
      </x:c>
      <x:c r="E2545" t="str">
        <x:v>Station-service — variante 05 — Grande ville et métropole / reprise progressive de la végétation</x:v>
      </x:c>
      <x:c r="F2545" t="n">
        <x:v>8</x:v>
      </x:c>
      <x:c r="G2545" t="n">
        <x:v>5</x:v>
      </x:c>
      <x:c r="H2545" t="n">
        <x:v>0</x:v>
      </x:c>
      <x:c r="I2545" t="str">
        <x:v>À qualifier par lieu</x:v>
      </x:c>
      <x:c r="J2545" t="str">
        <x:v>https://github.com/darknigthmare/deadwall-last-enclosure/blob/1b3b9c5ba232734b1bda3453b4e20a0481bcdd74/codex-3000/compositions/commerce/DW-2540.md</x:v>
      </x:c>
      <x:c r="K2545" t="str">
        <x:v>Source min 17,46 m ; max 17,46 m ; modèle 26 × 46 m ; niveaux 0. Détails dans catalogue-existant.json.</x:v>
      </x:c>
    </x:row>
    <x:row r="2546">
      <x:c r="A2546" t="str">
        <x:v>DW-2541</x:v>
      </x:c>
      <x:c r="B2546" t="str">
        <x:v>DW-0771</x:v>
      </x:c>
      <x:c r="C2546" t="str">
        <x:v>Composition héritée</x:v>
      </x:c>
      <x:c r="D2546" t="str">
        <x:v>commerce</x:v>
      </x:c>
      <x:c r="E2546" t="str">
        <x:v>Restaurant routier — variante 05 — Village et bourg / première récupération passée</x:v>
      </x:c>
      <x:c r="F2546" t="n">
        <x:v>8</x:v>
      </x:c>
      <x:c r="G2546" t="n">
        <x:v>5</x:v>
      </x:c>
      <x:c r="H2546" t="n">
        <x:v>0</x:v>
      </x:c>
      <x:c r="I2546" t="str">
        <x:v>À qualifier par lieu</x:v>
      </x:c>
      <x:c r="J2546" t="str">
        <x:v>https://github.com/darknigthmare/deadwall-last-enclosure/blob/1b3b9c5ba232734b1bda3453b4e20a0481bcdd74/codex-3000/compositions/commerce/DW-2541.md</x:v>
      </x:c>
      <x:c r="K2546" t="str">
        <x:v>Source min 28,9 m ; max 28,9 m ; modèle 28 × 22 m ; niveaux 0. Détails dans catalogue-existant.json.</x:v>
      </x:c>
    </x:row>
    <x:row r="2547">
      <x:c r="A2547" t="str">
        <x:v>DW-2542</x:v>
      </x:c>
      <x:c r="B2547" t="str">
        <x:v>DW-0771</x:v>
      </x:c>
      <x:c r="C2547" t="str">
        <x:v>Composition héritée</x:v>
      </x:c>
      <x:c r="D2547" t="str">
        <x:v>commerce</x:v>
      </x:c>
      <x:c r="E2547" t="str">
        <x:v>Restaurant routier — variante 05 — Zone commerciale / relais temporaire envisagé</x:v>
      </x:c>
      <x:c r="F2547" t="n">
        <x:v>8</x:v>
      </x:c>
      <x:c r="G2547" t="n">
        <x:v>5</x:v>
      </x:c>
      <x:c r="H2547" t="n">
        <x:v>0</x:v>
      </x:c>
      <x:c r="I2547" t="str">
        <x:v>À qualifier par lieu</x:v>
      </x:c>
      <x:c r="J2547" t="str">
        <x:v>https://github.com/darknigthmare/deadwall-last-enclosure/blob/1b3b9c5ba232734b1bda3453b4e20a0481bcdd74/codex-3000/compositions/commerce/DW-2542.md</x:v>
      </x:c>
      <x:c r="K2547" t="str">
        <x:v>Source min 28,9 m ; max 28,9 m ; modèle 28 × 22 m ; niveaux 0. Détails dans catalogue-existant.json.</x:v>
      </x:c>
    </x:row>
    <x:row r="2548">
      <x:c r="A2548" t="str">
        <x:v>DW-2543</x:v>
      </x:c>
      <x:c r="B2548" t="str">
        <x:v>DW-0772</x:v>
      </x:c>
      <x:c r="C2548" t="str">
        <x:v>Composition héritée</x:v>
      </x:c>
      <x:c r="D2548" t="str">
        <x:v>commerce</x:v>
      </x:c>
      <x:c r="E2548" t="str">
        <x:v>Hôtel — variante 05 — Grande ville et métropole / service déplacé à l’arrière</x:v>
      </x:c>
      <x:c r="F2548" t="n">
        <x:v>8</x:v>
      </x:c>
      <x:c r="G2548" t="n">
        <x:v>6</x:v>
      </x:c>
      <x:c r="H2548" t="n">
        <x:v>0</x:v>
      </x:c>
      <x:c r="I2548" t="str">
        <x:v>À qualifier par lieu</x:v>
      </x:c>
      <x:c r="J2548" t="str">
        <x:v>https://github.com/darknigthmare/deadwall-last-enclosure/blob/1b3b9c5ba232734b1bda3453b4e20a0481bcdd74/codex-3000/compositions/commerce/DW-2543.md</x:v>
      </x:c>
      <x:c r="K2548" t="str">
        <x:v>Source min 39,26 m ; max 39,26 m ; modèle 39 × 26 m ; niveaux 0. Détails dans catalogue-existant.json.</x:v>
      </x:c>
    </x:row>
    <x:row r="2549">
      <x:c r="A2549" t="str">
        <x:v>DW-2544</x:v>
      </x:c>
      <x:c r="B2549" t="str">
        <x:v>DW-0772</x:v>
      </x:c>
      <x:c r="C2549" t="str">
        <x:v>Composition héritée</x:v>
      </x:c>
      <x:c r="D2549" t="str">
        <x:v>commerce</x:v>
      </x:c>
      <x:c r="E2549" t="str">
        <x:v>Hôtel — variante 05 — Ville moyenne / réseau principal coupé</x:v>
      </x:c>
      <x:c r="F2549" t="n">
        <x:v>8</x:v>
      </x:c>
      <x:c r="G2549" t="n">
        <x:v>6</x:v>
      </x:c>
      <x:c r="H2549" t="n">
        <x:v>0</x:v>
      </x:c>
      <x:c r="I2549" t="str">
        <x:v>À qualifier par lieu</x:v>
      </x:c>
      <x:c r="J2549" t="str">
        <x:v>https://github.com/darknigthmare/deadwall-last-enclosure/blob/1b3b9c5ba232734b1bda3453b4e20a0481bcdd74/codex-3000/compositions/commerce/DW-2544.md</x:v>
      </x:c>
      <x:c r="K2549" t="str">
        <x:v>Source min 39,26 m ; max 39,26 m ; modèle 39 × 26 m ; niveaux 0. Détails dans catalogue-existant.json.</x:v>
      </x:c>
    </x:row>
    <x:row r="2550">
      <x:c r="A2550" t="str">
        <x:v>DW-2545</x:v>
      </x:c>
      <x:c r="B2550" t="str">
        <x:v>DW-0773</x:v>
      </x:c>
      <x:c r="C2550" t="str">
        <x:v>Composition héritée</x:v>
      </x:c>
      <x:c r="D2550" t="str">
        <x:v>industrie</x:v>
      </x:c>
      <x:c r="E2550" t="str">
        <x:v>Scierie — variante 05 — Zone industrielle / reprise progressive de la végétation</x:v>
      </x:c>
      <x:c r="F2550" t="n">
        <x:v>8</x:v>
      </x:c>
      <x:c r="G2550" t="n">
        <x:v>5</x:v>
      </x:c>
      <x:c r="H2550" t="n">
        <x:v>0</x:v>
      </x:c>
      <x:c r="I2550" t="str">
        <x:v>À qualifier par lieu</x:v>
      </x:c>
      <x:c r="J2550" t="str">
        <x:v>https://github.com/darknigthmare/deadwall-last-enclosure/blob/1b3b9c5ba232734b1bda3453b4e20a0481bcdd74/codex-3000/compositions/industrie/DW-2545.md</x:v>
      </x:c>
      <x:c r="K2550" t="str">
        <x:v>Source min 50,43 m ; max 50,43 m ; modèle 50 × 43 m ; niveaux 0. Détails dans catalogue-existant.json.</x:v>
      </x:c>
    </x:row>
    <x:row r="2551">
      <x:c r="A2551" t="str">
        <x:v>DW-2546</x:v>
      </x:c>
      <x:c r="B2551" t="str">
        <x:v>DW-0773</x:v>
      </x:c>
      <x:c r="C2551" t="str">
        <x:v>Composition héritée</x:v>
      </x:c>
      <x:c r="D2551" t="str">
        <x:v>industrie</x:v>
      </x:c>
      <x:c r="E2551" t="str">
        <x:v>Scierie — variante 05 — Entrepôt et plateforme logistique / repli organisé interrompu</x:v>
      </x:c>
      <x:c r="F2551" t="n">
        <x:v>8</x:v>
      </x:c>
      <x:c r="G2551" t="n">
        <x:v>5</x:v>
      </x:c>
      <x:c r="H2551" t="n">
        <x:v>0</x:v>
      </x:c>
      <x:c r="I2551" t="str">
        <x:v>À qualifier par lieu</x:v>
      </x:c>
      <x:c r="J2551" t="str">
        <x:v>https://github.com/darknigthmare/deadwall-last-enclosure/blob/1b3b9c5ba232734b1bda3453b4e20a0481bcdd74/codex-3000/compositions/industrie/DW-2546.md</x:v>
      </x:c>
      <x:c r="K2551" t="str">
        <x:v>Source min 50,43 m ; max 50,43 m ; modèle 50 × 43 m ; niveaux 0. Détails dans catalogue-existant.json.</x:v>
      </x:c>
    </x:row>
    <x:row r="2552">
      <x:c r="A2552" t="str">
        <x:v>DW-2547</x:v>
      </x:c>
      <x:c r="B2552" t="str">
        <x:v>DW-0774</x:v>
      </x:c>
      <x:c r="C2552" t="str">
        <x:v>Composition héritée</x:v>
      </x:c>
      <x:c r="D2552" t="str">
        <x:v>industrie</x:v>
      </x:c>
      <x:c r="E2552" t="str">
        <x:v>Garage automobile — variante 05 — Atelier et artisanat / relais temporaire envisagé</x:v>
      </x:c>
      <x:c r="F2552" t="n">
        <x:v>8</x:v>
      </x:c>
      <x:c r="G2552" t="n">
        <x:v>5</x:v>
      </x:c>
      <x:c r="H2552" t="n">
        <x:v>0</x:v>
      </x:c>
      <x:c r="I2552" t="str">
        <x:v>À qualifier par lieu</x:v>
      </x:c>
      <x:c r="J2552" t="str">
        <x:v>https://github.com/darknigthmare/deadwall-last-enclosure/blob/1b3b9c5ba232734b1bda3453b4e20a0481bcdd74/codex-3000/compositions/industrie/DW-2547.md</x:v>
      </x:c>
      <x:c r="K2552" t="str">
        <x:v>Source min 61,60 m ; max 61,60 m ; modèle 61 × 60 m ; niveaux 0. Détails dans catalogue-existant.json.</x:v>
      </x:c>
    </x:row>
    <x:row r="2553">
      <x:c r="A2553" t="str">
        <x:v>DW-2548</x:v>
      </x:c>
      <x:c r="B2553" t="str">
        <x:v>DW-0774</x:v>
      </x:c>
      <x:c r="C2553" t="str">
        <x:v>Composition héritée</x:v>
      </x:c>
      <x:c r="D2553" t="str">
        <x:v>industrie</x:v>
      </x:c>
      <x:c r="E2553" t="str">
        <x:v>Garage automobile — variante 05 — Gare et fret / évacuation interrompue</x:v>
      </x:c>
      <x:c r="F2553" t="n">
        <x:v>10</x:v>
      </x:c>
      <x:c r="G2553" t="n">
        <x:v>5</x:v>
      </x:c>
      <x:c r="H2553" t="n">
        <x:v>0</x:v>
      </x:c>
      <x:c r="I2553" t="str">
        <x:v>À qualifier par lieu</x:v>
      </x:c>
      <x:c r="J2553" t="str">
        <x:v>https://github.com/darknigthmare/deadwall-last-enclosure/blob/1b3b9c5ba232734b1bda3453b4e20a0481bcdd74/codex-3000/compositions/industrie/DW-2548.md</x:v>
      </x:c>
      <x:c r="K2553" t="str">
        <x:v>Source min 61,60 m ; max 61,60 m ; modèle 61 × 60 m ; niveaux 0. Détails dans catalogue-existant.json.</x:v>
      </x:c>
    </x:row>
    <x:row r="2554">
      <x:c r="A2554" t="str">
        <x:v>DW-2549</x:v>
      </x:c>
      <x:c r="B2554" t="str">
        <x:v>DW-0775</x:v>
      </x:c>
      <x:c r="C2554" t="str">
        <x:v>Composition héritée</x:v>
      </x:c>
      <x:c r="D2554" t="str">
        <x:v>industrie</x:v>
      </x:c>
      <x:c r="E2554" t="str">
        <x:v>Entrepôt logistique — variante 05 — Entrepôt et plateforme logistique / réseau principal coupé</x:v>
      </x:c>
      <x:c r="F2554" t="n">
        <x:v>8</x:v>
      </x:c>
      <x:c r="G2554" t="n">
        <x:v>5</x:v>
      </x:c>
      <x:c r="H2554" t="n">
        <x:v>0</x:v>
      </x:c>
      <x:c r="I2554" t="str">
        <x:v>À qualifier par lieu</x:v>
      </x:c>
      <x:c r="J2554" t="str">
        <x:v>https://github.com/darknigthmare/deadwall-last-enclosure/blob/1b3b9c5ba232734b1bda3453b4e20a0481bcdd74/codex-3000/compositions/industrie/DW-2549.md</x:v>
      </x:c>
      <x:c r="K2554" t="str">
        <x:v>Source min 72,23 m ; max 72,23 m ; modèle 72 × 23 m ; niveaux 0. Détails dans catalogue-existant.json.</x:v>
      </x:c>
    </x:row>
    <x:row r="2555">
      <x:c r="A2555" t="str">
        <x:v>DW-2550</x:v>
      </x:c>
      <x:c r="B2555" t="str">
        <x:v>DW-0775</x:v>
      </x:c>
      <x:c r="C2555" t="str">
        <x:v>Composition héritée</x:v>
      </x:c>
      <x:c r="D2555" t="str">
        <x:v>industrie</x:v>
      </x:c>
      <x:c r="E2555" t="str">
        <x:v>Entrepôt logistique — variante 05 — Zone industrielle / arrêt de maintenance</x:v>
      </x:c>
      <x:c r="F2555" t="n">
        <x:v>8</x:v>
      </x:c>
      <x:c r="G2555" t="n">
        <x:v>5</x:v>
      </x:c>
      <x:c r="H2555" t="n">
        <x:v>0</x:v>
      </x:c>
      <x:c r="I2555" t="str">
        <x:v>À qualifier par lieu</x:v>
      </x:c>
      <x:c r="J2555" t="str">
        <x:v>https://github.com/darknigthmare/deadwall-last-enclosure/blob/1b3b9c5ba232734b1bda3453b4e20a0481bcdd74/codex-3000/compositions/industrie/DW-2550.md</x:v>
      </x:c>
      <x:c r="K2555" t="str">
        <x:v>Source min 72,23 m ; max 72,23 m ; modèle 72 × 23 m ; niveaux 0. Détails dans catalogue-existant.json.</x:v>
      </x:c>
    </x:row>
    <x:row r="2556">
      <x:c r="A2556" t="str">
        <x:v>DW-2551</x:v>
      </x:c>
      <x:c r="B2556" t="str">
        <x:v>DW-0776</x:v>
      </x:c>
      <x:c r="C2556" t="str">
        <x:v>Composition héritée</x:v>
      </x:c>
      <x:c r="D2556" t="str">
        <x:v>industrie</x:v>
      </x:c>
      <x:c r="E2556" t="str">
        <x:v>Petite usine — variante 05 — Gare et fret / repli organisé interrompu</x:v>
      </x:c>
      <x:c r="F2556" t="n">
        <x:v>10</x:v>
      </x:c>
      <x:c r="G2556" t="n">
        <x:v>5</x:v>
      </x:c>
      <x:c r="H2556" t="n">
        <x:v>0</x:v>
      </x:c>
      <x:c r="I2556" t="str">
        <x:v>À qualifier par lieu</x:v>
      </x:c>
      <x:c r="J2556" t="str">
        <x:v>https://github.com/darknigthmare/deadwall-last-enclosure/blob/1b3b9c5ba232734b1bda3453b4e20a0481bcdd74/codex-3000/compositions/industrie/DW-2551.md</x:v>
      </x:c>
      <x:c r="K2556" t="str">
        <x:v>Source min 11,40 m ; max 11,40 m ; modèle 26 × 40 m ; niveaux 0. Détails dans catalogue-existant.json.</x:v>
      </x:c>
    </x:row>
    <x:row r="2557">
      <x:c r="A2557" t="str">
        <x:v>DW-2552</x:v>
      </x:c>
      <x:c r="B2557" t="str">
        <x:v>DW-0776</x:v>
      </x:c>
      <x:c r="C2557" t="str">
        <x:v>Composition héritée</x:v>
      </x:c>
      <x:c r="D2557" t="str">
        <x:v>industrie</x:v>
      </x:c>
      <x:c r="E2557" t="str">
        <x:v>Petite usine — variante 05 — Atelier et artisanat / première récupération passée</x:v>
      </x:c>
      <x:c r="F2557" t="n">
        <x:v>8</x:v>
      </x:c>
      <x:c r="G2557" t="n">
        <x:v>5</x:v>
      </x:c>
      <x:c r="H2557" t="n">
        <x:v>0</x:v>
      </x:c>
      <x:c r="I2557" t="str">
        <x:v>À qualifier par lieu</x:v>
      </x:c>
      <x:c r="J2557" t="str">
        <x:v>https://github.com/darknigthmare/deadwall-last-enclosure/blob/1b3b9c5ba232734b1bda3453b4e20a0481bcdd74/codex-3000/compositions/industrie/DW-2552.md</x:v>
      </x:c>
      <x:c r="K2557" t="str">
        <x:v>Source min 11,40 m ; max 11,40 m ; modèle 26 × 40 m ; niveaux 0. Détails dans catalogue-existant.json.</x:v>
      </x:c>
    </x:row>
    <x:row r="2558">
      <x:c r="A2558" t="str">
        <x:v>DW-2553</x:v>
      </x:c>
      <x:c r="B2558" t="str">
        <x:v>DW-0777</x:v>
      </x:c>
      <x:c r="C2558" t="str">
        <x:v>Composition héritée</x:v>
      </x:c>
      <x:c r="D2558" t="str">
        <x:v>industrie</x:v>
      </x:c>
      <x:c r="E2558" t="str">
        <x:v>Carrière — variante 05 — Zone industrielle / évacuation interrompue</x:v>
      </x:c>
      <x:c r="F2558" t="n">
        <x:v>8</x:v>
      </x:c>
      <x:c r="G2558" t="n">
        <x:v>5</x:v>
      </x:c>
      <x:c r="H2558" t="n">
        <x:v>0</x:v>
      </x:c>
      <x:c r="I2558" t="str">
        <x:v>À qualifier par lieu</x:v>
      </x:c>
      <x:c r="J2558" t="str">
        <x:v>https://github.com/darknigthmare/deadwall-last-enclosure/blob/1b3b9c5ba232734b1bda3453b4e20a0481bcdd74/codex-3000/compositions/industrie/DW-2553.md</x:v>
      </x:c>
      <x:c r="K2558" t="str">
        <x:v>Source min 22,57 m ; max 22,57 m ; modèle 26 × 57 m ; niveaux 0. Détails dans catalogue-existant.json.</x:v>
      </x:c>
    </x:row>
    <x:row r="2559">
      <x:c r="A2559" t="str">
        <x:v>DW-2554</x:v>
      </x:c>
      <x:c r="B2559" t="str">
        <x:v>DW-0777</x:v>
      </x:c>
      <x:c r="C2559" t="str">
        <x:v>Composition héritée</x:v>
      </x:c>
      <x:c r="D2559" t="str">
        <x:v>industrie</x:v>
      </x:c>
      <x:c r="E2559" t="str">
        <x:v>Carrière — variante 05 — Entrepôt et plateforme logistique / service déplacé à l’arrière</x:v>
      </x:c>
      <x:c r="F2559" t="n">
        <x:v>8</x:v>
      </x:c>
      <x:c r="G2559" t="n">
        <x:v>5</x:v>
      </x:c>
      <x:c r="H2559" t="n">
        <x:v>0</x:v>
      </x:c>
      <x:c r="I2559" t="str">
        <x:v>À qualifier par lieu</x:v>
      </x:c>
      <x:c r="J2559" t="str">
        <x:v>https://github.com/darknigthmare/deadwall-last-enclosure/blob/1b3b9c5ba232734b1bda3453b4e20a0481bcdd74/codex-3000/compositions/industrie/DW-2554.md</x:v>
      </x:c>
      <x:c r="K2559" t="str">
        <x:v>Source min 22,57 m ; max 22,57 m ; modèle 26 × 57 m ; niveaux 0. Détails dans catalogue-existant.json.</x:v>
      </x:c>
    </x:row>
    <x:row r="2560">
      <x:c r="A2560" t="str">
        <x:v>DW-2555</x:v>
      </x:c>
      <x:c r="B2560" t="str">
        <x:v>DW-0778</x:v>
      </x:c>
      <x:c r="C2560" t="str">
        <x:v>Composition héritée</x:v>
      </x:c>
      <x:c r="D2560" t="str">
        <x:v>industrie</x:v>
      </x:c>
      <x:c r="E2560" t="str">
        <x:v>Mine — variante 05 — Atelier et artisanat / arrêt de maintenance</x:v>
      </x:c>
      <x:c r="F2560" t="n">
        <x:v>8</x:v>
      </x:c>
      <x:c r="G2560" t="n">
        <x:v>6</x:v>
      </x:c>
      <x:c r="H2560" t="n">
        <x:v>0</x:v>
      </x:c>
      <x:c r="I2560" t="str">
        <x:v>À qualifier par lieu</x:v>
      </x:c>
      <x:c r="J2560" t="str">
        <x:v>https://github.com/darknigthmare/deadwall-last-enclosure/blob/1b3b9c5ba232734b1bda3453b4e20a0481bcdd74/codex-3000/compositions/industrie/DW-2555.md</x:v>
      </x:c>
      <x:c r="K2560" t="str">
        <x:v>Source min 33,20 m ; max 33,20 m ; modèle 33 × 22 m ; niveaux 0. Détails dans catalogue-existant.json.</x:v>
      </x:c>
    </x:row>
    <x:row r="2561">
      <x:c r="A2561" t="str">
        <x:v>DW-2556</x:v>
      </x:c>
      <x:c r="B2561" t="str">
        <x:v>DW-0778</x:v>
      </x:c>
      <x:c r="C2561" t="str">
        <x:v>Composition héritée</x:v>
      </x:c>
      <x:c r="D2561" t="str">
        <x:v>industrie</x:v>
      </x:c>
      <x:c r="E2561" t="str">
        <x:v>Mine — variante 05 — Gare et fret / reprise progressive de la végétation</x:v>
      </x:c>
      <x:c r="F2561" t="n">
        <x:v>10</x:v>
      </x:c>
      <x:c r="G2561" t="n">
        <x:v>6</x:v>
      </x:c>
      <x:c r="H2561" t="n">
        <x:v>0</x:v>
      </x:c>
      <x:c r="I2561" t="str">
        <x:v>À qualifier par lieu</x:v>
      </x:c>
      <x:c r="J2561" t="str">
        <x:v>https://github.com/darknigthmare/deadwall-last-enclosure/blob/1b3b9c5ba232734b1bda3453b4e20a0481bcdd74/codex-3000/compositions/industrie/DW-2556.md</x:v>
      </x:c>
      <x:c r="K2561" t="str">
        <x:v>Source min 33,20 m ; max 33,20 m ; modèle 33 × 22 m ; niveaux 0. Détails dans catalogue-existant.json.</x:v>
      </x:c>
    </x:row>
    <x:row r="2562">
      <x:c r="A2562" t="str">
        <x:v>DW-2557</x:v>
      </x:c>
      <x:c r="B2562" t="str">
        <x:v>DW-0779</x:v>
      </x:c>
      <x:c r="C2562" t="str">
        <x:v>Composition héritée</x:v>
      </x:c>
      <x:c r="D2562" t="str">
        <x:v>industrie</x:v>
      </x:c>
      <x:c r="E2562" t="str">
        <x:v>Centrale locale — variante 05 — Entrepôt et plateforme logistique / première récupération passée</x:v>
      </x:c>
      <x:c r="F2562" t="n">
        <x:v>8</x:v>
      </x:c>
      <x:c r="G2562" t="n">
        <x:v>5</x:v>
      </x:c>
      <x:c r="H2562" t="n">
        <x:v>0</x:v>
      </x:c>
      <x:c r="I2562" t="str">
        <x:v>À qualifier par lieu</x:v>
      </x:c>
      <x:c r="J2562" t="str">
        <x:v>https://github.com/darknigthmare/deadwall-last-enclosure/blob/1b3b9c5ba232734b1bda3453b4e20a0481bcdd74/codex-3000/compositions/industrie/DW-2557.md</x:v>
      </x:c>
      <x:c r="K2562" t="str">
        <x:v>Source min 44,37 m ; max 44,37 m ; modèle 44 × 37 m ; niveaux 0. Détails dans catalogue-existant.json.</x:v>
      </x:c>
    </x:row>
    <x:row r="2563">
      <x:c r="A2563" t="str">
        <x:v>DW-2558</x:v>
      </x:c>
      <x:c r="B2563" t="str">
        <x:v>DW-0779</x:v>
      </x:c>
      <x:c r="C2563" t="str">
        <x:v>Composition héritée</x:v>
      </x:c>
      <x:c r="D2563" t="str">
        <x:v>industrie</x:v>
      </x:c>
      <x:c r="E2563" t="str">
        <x:v>Centrale locale — variante 05 — Zone industrielle / relais temporaire envisagé</x:v>
      </x:c>
      <x:c r="F2563" t="n">
        <x:v>8</x:v>
      </x:c>
      <x:c r="G2563" t="n">
        <x:v>5</x:v>
      </x:c>
      <x:c r="H2563" t="n">
        <x:v>0</x:v>
      </x:c>
      <x:c r="I2563" t="str">
        <x:v>À qualifier par lieu</x:v>
      </x:c>
      <x:c r="J2563" t="str">
        <x:v>https://github.com/darknigthmare/deadwall-last-enclosure/blob/1b3b9c5ba232734b1bda3453b4e20a0481bcdd74/codex-3000/compositions/industrie/DW-2558.md</x:v>
      </x:c>
      <x:c r="K2563" t="str">
        <x:v>Source min 44,37 m ; max 44,37 m ; modèle 44 × 37 m ; niveaux 0. Détails dans catalogue-existant.json.</x:v>
      </x:c>
    </x:row>
    <x:row r="2564">
      <x:c r="A2564" t="str">
        <x:v>DW-2559</x:v>
      </x:c>
      <x:c r="B2564" t="str">
        <x:v>DW-0780</x:v>
      </x:c>
      <x:c r="C2564" t="str">
        <x:v>Composition héritée</x:v>
      </x:c>
      <x:c r="D2564" t="str">
        <x:v>industrie</x:v>
      </x:c>
      <x:c r="E2564" t="str">
        <x:v>Station de pompage — variante 05 — Gare et fret / service déplacé à l’arrière</x:v>
      </x:c>
      <x:c r="F2564" t="n">
        <x:v>10</x:v>
      </x:c>
      <x:c r="G2564" t="n">
        <x:v>5</x:v>
      </x:c>
      <x:c r="H2564" t="n">
        <x:v>0</x:v>
      </x:c>
      <x:c r="I2564" t="str">
        <x:v>À qualifier par lieu</x:v>
      </x:c>
      <x:c r="J2564" t="str">
        <x:v>https://github.com/darknigthmare/deadwall-last-enclosure/blob/1b3b9c5ba232734b1bda3453b4e20a0481bcdd74/codex-3000/compositions/industrie/DW-2559.md</x:v>
      </x:c>
      <x:c r="K2564" t="str">
        <x:v>Source min 55,54 m ; max 55,54 m ; modèle 55 × 54 m ; niveaux 0. Détails dans catalogue-existant.json.</x:v>
      </x:c>
    </x:row>
    <x:row r="2565">
      <x:c r="A2565" t="str">
        <x:v>DW-2560</x:v>
      </x:c>
      <x:c r="B2565" t="str">
        <x:v>DW-0780</x:v>
      </x:c>
      <x:c r="C2565" t="str">
        <x:v>Composition héritée</x:v>
      </x:c>
      <x:c r="D2565" t="str">
        <x:v>industrie</x:v>
      </x:c>
      <x:c r="E2565" t="str">
        <x:v>Station de pompage — variante 05 — Atelier et artisanat / réseau principal coupé</x:v>
      </x:c>
      <x:c r="F2565" t="n">
        <x:v>8</x:v>
      </x:c>
      <x:c r="G2565" t="n">
        <x:v>5</x:v>
      </x:c>
      <x:c r="H2565" t="n">
        <x:v>0</x:v>
      </x:c>
      <x:c r="I2565" t="str">
        <x:v>À qualifier par lieu</x:v>
      </x:c>
      <x:c r="J2565" t="str">
        <x:v>https://github.com/darknigthmare/deadwall-last-enclosure/blob/1b3b9c5ba232734b1bda3453b4e20a0481bcdd74/codex-3000/compositions/industrie/DW-2560.md</x:v>
      </x:c>
      <x:c r="K2565" t="str">
        <x:v>Source min 55,54 m ; max 55,54 m ; modèle 55 × 54 m ; niveaux 0. Détails dans catalogue-existant.json.</x:v>
      </x:c>
    </x:row>
    <x:row r="2566">
      <x:c r="A2566" t="str">
        <x:v>DW-2561</x:v>
      </x:c>
      <x:c r="B2566" t="str">
        <x:v>DW-0781</x:v>
      </x:c>
      <x:c r="C2566" t="str">
        <x:v>Composition héritée</x:v>
      </x:c>
      <x:c r="D2566" t="str">
        <x:v>public</x:v>
      </x:c>
      <x:c r="E2566" t="str">
        <x:v>École — variante 05 — École, mairie et bâtiments civiques / reprise progressive de la végétation</x:v>
      </x:c>
      <x:c r="F2566" t="n">
        <x:v>8</x:v>
      </x:c>
      <x:c r="G2566" t="n">
        <x:v>5</x:v>
      </x:c>
      <x:c r="H2566" t="n">
        <x:v>0</x:v>
      </x:c>
      <x:c r="I2566" t="str">
        <x:v>À qualifier par lieu</x:v>
      </x:c>
      <x:c r="J2566" t="str">
        <x:v>https://github.com/darknigthmare/deadwall-last-enclosure/blob/1b3b9c5ba232734b1bda3453b4e20a0481bcdd74/codex-3000/compositions/public/DW-2561.md</x:v>
      </x:c>
      <x:c r="K2566" t="str">
        <x:v>Source min 66,17 m ; max 66,17 m ; modèle 66 × 22 m ; niveaux 0, 1. Détails dans catalogue-existant.json.</x:v>
      </x:c>
    </x:row>
    <x:row r="2567">
      <x:c r="A2567" t="str">
        <x:v>DW-2562</x:v>
      </x:c>
      <x:c r="B2567" t="str">
        <x:v>DW-0781</x:v>
      </x:c>
      <x:c r="C2567" t="str">
        <x:v>Composition héritée</x:v>
      </x:c>
      <x:c r="D2567" t="str">
        <x:v>public</x:v>
      </x:c>
      <x:c r="E2567" t="str">
        <x:v>École — variante 05 — Village et bourg / repli organisé interrompu</x:v>
      </x:c>
      <x:c r="F2567" t="n">
        <x:v>8</x:v>
      </x:c>
      <x:c r="G2567" t="n">
        <x:v>5</x:v>
      </x:c>
      <x:c r="H2567" t="n">
        <x:v>0</x:v>
      </x:c>
      <x:c r="I2567" t="str">
        <x:v>À qualifier par lieu</x:v>
      </x:c>
      <x:c r="J2567" t="str">
        <x:v>https://github.com/darknigthmare/deadwall-last-enclosure/blob/1b3b9c5ba232734b1bda3453b4e20a0481bcdd74/codex-3000/compositions/public/DW-2562.md</x:v>
      </x:c>
      <x:c r="K2567" t="str">
        <x:v>Source min 66,17 m ; max 66,17 m ; modèle 66 × 22 m ; niveaux 0, 1. Détails dans catalogue-existant.json.</x:v>
      </x:c>
    </x:row>
    <x:row r="2568">
      <x:c r="A2568" t="str">
        <x:v>DW-2563</x:v>
      </x:c>
      <x:c r="B2568" t="str">
        <x:v>DW-0782</x:v>
      </x:c>
      <x:c r="C2568" t="str">
        <x:v>Composition héritée</x:v>
      </x:c>
      <x:c r="D2568" t="str">
        <x:v>public</x:v>
      </x:c>
      <x:c r="E2568" t="str">
        <x:v>Mairie — variante 05 — Ville moyenne / relais temporaire envisagé</x:v>
      </x:c>
      <x:c r="F2568" t="n">
        <x:v>8</x:v>
      </x:c>
      <x:c r="G2568" t="n">
        <x:v>5</x:v>
      </x:c>
      <x:c r="H2568" t="n">
        <x:v>0</x:v>
      </x:c>
      <x:c r="I2568" t="str">
        <x:v>À qualifier par lieu</x:v>
      </x:c>
      <x:c r="J2568" t="str">
        <x:v>https://github.com/darknigthmare/deadwall-last-enclosure/blob/1b3b9c5ba232734b1bda3453b4e20a0481bcdd74/codex-3000/compositions/public/DW-2563.md</x:v>
      </x:c>
      <x:c r="K2568" t="str">
        <x:v>Source min 77,34 m ; max 77,34 m ; modèle 77 × 34 m ; niveaux 0. Détails dans catalogue-existant.json.</x:v>
      </x:c>
    </x:row>
    <x:row r="2569">
      <x:c r="A2569" t="str">
        <x:v>DW-2564</x:v>
      </x:c>
      <x:c r="B2569" t="str">
        <x:v>DW-0782</x:v>
      </x:c>
      <x:c r="C2569" t="str">
        <x:v>Composition héritée</x:v>
      </x:c>
      <x:c r="D2569" t="str">
        <x:v>public</x:v>
      </x:c>
      <x:c r="E2569" t="str">
        <x:v>Mairie — variante 05 — Centre d’évacuation abandonné / évacuation interrompue</x:v>
      </x:c>
      <x:c r="F2569" t="n">
        <x:v>8</x:v>
      </x:c>
      <x:c r="G2569" t="n">
        <x:v>5</x:v>
      </x:c>
      <x:c r="H2569" t="n">
        <x:v>0</x:v>
      </x:c>
      <x:c r="I2569" t="str">
        <x:v>À qualifier par lieu</x:v>
      </x:c>
      <x:c r="J2569" t="str">
        <x:v>https://github.com/darknigthmare/deadwall-last-enclosure/blob/1b3b9c5ba232734b1bda3453b4e20a0481bcdd74/codex-3000/compositions/public/DW-2564.md</x:v>
      </x:c>
      <x:c r="K2569" t="str">
        <x:v>Source min 77,34 m ; max 77,34 m ; modèle 77 × 34 m ; niveaux 0. Détails dans catalogue-existant.json.</x:v>
      </x:c>
    </x:row>
    <x:row r="2570">
      <x:c r="A2570" t="str">
        <x:v>DW-2565</x:v>
      </x:c>
      <x:c r="B2570" t="str">
        <x:v>DW-0783</x:v>
      </x:c>
      <x:c r="C2570" t="str">
        <x:v>Composition héritée</x:v>
      </x:c>
      <x:c r="D2570" t="str">
        <x:v>public</x:v>
      </x:c>
      <x:c r="E2570" t="str">
        <x:v>Clinique — variante 05 — Village et bourg / réseau principal coupé</x:v>
      </x:c>
      <x:c r="F2570" t="n">
        <x:v>8</x:v>
      </x:c>
      <x:c r="G2570" t="n">
        <x:v>6</x:v>
      </x:c>
      <x:c r="H2570" t="n">
        <x:v>0</x:v>
      </x:c>
      <x:c r="I2570" t="str">
        <x:v>À qualifier par lieu</x:v>
      </x:c>
      <x:c r="J2570" t="str">
        <x:v>https://github.com/darknigthmare/deadwall-last-enclosure/blob/1b3b9c5ba232734b1bda3453b4e20a0481bcdd74/codex-3000/compositions/public/DW-2565.md</x:v>
      </x:c>
      <x:c r="K2570" t="str">
        <x:v>Source min 16,51 m ; max 16,51 m ; modèle 28 × 51 m ; niveaux 0. Détails dans catalogue-existant.json.</x:v>
      </x:c>
    </x:row>
    <x:row r="2571">
      <x:c r="A2571" t="str">
        <x:v>DW-2566</x:v>
      </x:c>
      <x:c r="B2571" t="str">
        <x:v>DW-0783</x:v>
      </x:c>
      <x:c r="C2571" t="str">
        <x:v>Composition héritée</x:v>
      </x:c>
      <x:c r="D2571" t="str">
        <x:v>public</x:v>
      </x:c>
      <x:c r="E2571" t="str">
        <x:v>Clinique — variante 05 — École, mairie et bâtiments civiques / arrêt de maintenance</x:v>
      </x:c>
      <x:c r="F2571" t="n">
        <x:v>8</x:v>
      </x:c>
      <x:c r="G2571" t="n">
        <x:v>6</x:v>
      </x:c>
      <x:c r="H2571" t="n">
        <x:v>0</x:v>
      </x:c>
      <x:c r="I2571" t="str">
        <x:v>À qualifier par lieu</x:v>
      </x:c>
      <x:c r="J2571" t="str">
        <x:v>https://github.com/darknigthmare/deadwall-last-enclosure/blob/1b3b9c5ba232734b1bda3453b4e20a0481bcdd74/codex-3000/compositions/public/DW-2566.md</x:v>
      </x:c>
      <x:c r="K2571" t="str">
        <x:v>Source min 16,51 m ; max 16,51 m ; modèle 28 × 51 m ; niveaux 0. Détails dans catalogue-existant.json.</x:v>
      </x:c>
    </x:row>
    <x:row r="2572">
      <x:c r="A2572" t="str">
        <x:v>DW-2567</x:v>
      </x:c>
      <x:c r="B2572" t="str">
        <x:v>DW-0784</x:v>
      </x:c>
      <x:c r="C2572" t="str">
        <x:v>Composition héritée</x:v>
      </x:c>
      <x:c r="D2572" t="str">
        <x:v>public</x:v>
      </x:c>
      <x:c r="E2572" t="str">
        <x:v>Caserne de pompiers — variante 05 — Centre d’évacuation abandonné / repli organisé interrompu</x:v>
      </x:c>
      <x:c r="F2572" t="n">
        <x:v>8</x:v>
      </x:c>
      <x:c r="G2572" t="n">
        <x:v>6</x:v>
      </x:c>
      <x:c r="H2572" t="n">
        <x:v>0</x:v>
      </x:c>
      <x:c r="I2572" t="str">
        <x:v>À qualifier par lieu</x:v>
      </x:c>
      <x:c r="J2572" t="str">
        <x:v>https://github.com/darknigthmare/deadwall-last-enclosure/blob/1b3b9c5ba232734b1bda3453b4e20a0481bcdd74/codex-3000/compositions/public/DW-2567.md</x:v>
      </x:c>
      <x:c r="K2572" t="str">
        <x:v>Source min 27,14 m ; max 27,14 m ; modèle 28 × 22 m ; niveaux 0. Détails dans catalogue-existant.json.</x:v>
      </x:c>
    </x:row>
    <x:row r="2573">
      <x:c r="A2573" t="str">
        <x:v>DW-2568</x:v>
      </x:c>
      <x:c r="B2573" t="str">
        <x:v>DW-0784</x:v>
      </x:c>
      <x:c r="C2573" t="str">
        <x:v>Composition héritée</x:v>
      </x:c>
      <x:c r="D2573" t="str">
        <x:v>public</x:v>
      </x:c>
      <x:c r="E2573" t="str">
        <x:v>Caserne de pompiers — variante 05 — Ville moyenne / première récupération passée</x:v>
      </x:c>
      <x:c r="F2573" t="n">
        <x:v>8</x:v>
      </x:c>
      <x:c r="G2573" t="n">
        <x:v>6</x:v>
      </x:c>
      <x:c r="H2573" t="n">
        <x:v>0</x:v>
      </x:c>
      <x:c r="I2573" t="str">
        <x:v>À qualifier par lieu</x:v>
      </x:c>
      <x:c r="J2573" t="str">
        <x:v>https://github.com/darknigthmare/deadwall-last-enclosure/blob/1b3b9c5ba232734b1bda3453b4e20a0481bcdd74/codex-3000/compositions/public/DW-2568.md</x:v>
      </x:c>
      <x:c r="K2573" t="str">
        <x:v>Source min 27,14 m ; max 27,14 m ; modèle 28 × 22 m ; niveaux 0. Détails dans catalogue-existant.json.</x:v>
      </x:c>
    </x:row>
    <x:row r="2574">
      <x:c r="A2574" t="str">
        <x:v>DW-2569</x:v>
      </x:c>
      <x:c r="B2574" t="str">
        <x:v>DW-0785</x:v>
      </x:c>
      <x:c r="C2574" t="str">
        <x:v>Composition héritée</x:v>
      </x:c>
      <x:c r="D2574" t="str">
        <x:v>public</x:v>
      </x:c>
      <x:c r="E2574" t="str">
        <x:v>Poste de police — variante 05 — École, mairie et bâtiments civiques / évacuation interrompue</x:v>
      </x:c>
      <x:c r="F2574" t="n">
        <x:v>8</x:v>
      </x:c>
      <x:c r="G2574" t="n">
        <x:v>5</x:v>
      </x:c>
      <x:c r="H2574" t="n">
        <x:v>0</x:v>
      </x:c>
      <x:c r="I2574" t="str">
        <x:v>À qualifier par lieu</x:v>
      </x:c>
      <x:c r="J2574" t="str">
        <x:v>https://github.com/darknigthmare/deadwall-last-enclosure/blob/1b3b9c5ba232734b1bda3453b4e20a0481bcdd74/codex-3000/compositions/public/DW-2569.md</x:v>
      </x:c>
      <x:c r="K2574" t="str">
        <x:v>Source min 38,31 m ; max 38,31 m ; modèle 38 × 31 m ; niveaux 0, 1. Détails dans catalogue-existant.json.</x:v>
      </x:c>
    </x:row>
    <x:row r="2575">
      <x:c r="A2575" t="str">
        <x:v>DW-2570</x:v>
      </x:c>
      <x:c r="B2575" t="str">
        <x:v>DW-0785</x:v>
      </x:c>
      <x:c r="C2575" t="str">
        <x:v>Composition héritée</x:v>
      </x:c>
      <x:c r="D2575" t="str">
        <x:v>public</x:v>
      </x:c>
      <x:c r="E2575" t="str">
        <x:v>Poste de police — variante 05 — Village et bourg / service déplacé à l’arrière</x:v>
      </x:c>
      <x:c r="F2575" t="n">
        <x:v>8</x:v>
      </x:c>
      <x:c r="G2575" t="n">
        <x:v>5</x:v>
      </x:c>
      <x:c r="H2575" t="n">
        <x:v>0</x:v>
      </x:c>
      <x:c r="I2575" t="str">
        <x:v>À qualifier par lieu</x:v>
      </x:c>
      <x:c r="J2575" t="str">
        <x:v>https://github.com/darknigthmare/deadwall-last-enclosure/blob/1b3b9c5ba232734b1bda3453b4e20a0481bcdd74/codex-3000/compositions/public/DW-2570.md</x:v>
      </x:c>
      <x:c r="K2575" t="str">
        <x:v>Source min 38,31 m ; max 38,31 m ; modèle 38 × 31 m ; niveaux 0, 1. Détails dans catalogue-existant.json.</x:v>
      </x:c>
    </x:row>
    <x:row r="2576">
      <x:c r="A2576" t="str">
        <x:v>DW-2571</x:v>
      </x:c>
      <x:c r="B2576" t="str">
        <x:v>DW-0786</x:v>
      </x:c>
      <x:c r="C2576" t="str">
        <x:v>Composition héritée</x:v>
      </x:c>
      <x:c r="D2576" t="str">
        <x:v>public</x:v>
      </x:c>
      <x:c r="E2576" t="str">
        <x:v>Bibliothèque — variante 05 — Ville moyenne / arrêt de maintenance</x:v>
      </x:c>
      <x:c r="F2576" t="n">
        <x:v>8</x:v>
      </x:c>
      <x:c r="G2576" t="n">
        <x:v>5</x:v>
      </x:c>
      <x:c r="H2576" t="n">
        <x:v>0</x:v>
      </x:c>
      <x:c r="I2576" t="str">
        <x:v>À qualifier par lieu</x:v>
      </x:c>
      <x:c r="J2576" t="str">
        <x:v>https://github.com/darknigthmare/deadwall-last-enclosure/blob/1b3b9c5ba232734b1bda3453b4e20a0481bcdd74/codex-3000/compositions/public/DW-2571.md</x:v>
      </x:c>
      <x:c r="K2576" t="str">
        <x:v>Source min 49,48 m ; max 49,48 m ; modèle 49 × 48 m ; niveaux 0. Détails dans catalogue-existant.json.</x:v>
      </x:c>
    </x:row>
    <x:row r="2577">
      <x:c r="A2577" t="str">
        <x:v>DW-2572</x:v>
      </x:c>
      <x:c r="B2577" t="str">
        <x:v>DW-0786</x:v>
      </x:c>
      <x:c r="C2577" t="str">
        <x:v>Composition héritée</x:v>
      </x:c>
      <x:c r="D2577" t="str">
        <x:v>public</x:v>
      </x:c>
      <x:c r="E2577" t="str">
        <x:v>Bibliothèque — variante 05 — Centre d’évacuation abandonné / reprise progressive de la végétation</x:v>
      </x:c>
      <x:c r="F2577" t="n">
        <x:v>8</x:v>
      </x:c>
      <x:c r="G2577" t="n">
        <x:v>5</x:v>
      </x:c>
      <x:c r="H2577" t="n">
        <x:v>0</x:v>
      </x:c>
      <x:c r="I2577" t="str">
        <x:v>À qualifier par lieu</x:v>
      </x:c>
      <x:c r="J2577" t="str">
        <x:v>https://github.com/darknigthmare/deadwall-last-enclosure/blob/1b3b9c5ba232734b1bda3453b4e20a0481bcdd74/codex-3000/compositions/public/DW-2572.md</x:v>
      </x:c>
      <x:c r="K2577" t="str">
        <x:v>Source min 49,48 m ; max 49,48 m ; modèle 49 × 48 m ; niveaux 0. Détails dans catalogue-existant.json.</x:v>
      </x:c>
    </x:row>
    <x:row r="2578">
      <x:c r="A2578" t="str">
        <x:v>DW-2573</x:v>
      </x:c>
      <x:c r="B2578" t="str">
        <x:v>DW-0787</x:v>
      </x:c>
      <x:c r="C2578" t="str">
        <x:v>Composition héritée</x:v>
      </x:c>
      <x:c r="D2578" t="str">
        <x:v>public</x:v>
      </x:c>
      <x:c r="E2578" t="str">
        <x:v>Salle des fêtes — variante 05 — Village et bourg / première récupération passée</x:v>
      </x:c>
      <x:c r="F2578" t="n">
        <x:v>8</x:v>
      </x:c>
      <x:c r="G2578" t="n">
        <x:v>5</x:v>
      </x:c>
      <x:c r="H2578" t="n">
        <x:v>0</x:v>
      </x:c>
      <x:c r="I2578" t="str">
        <x:v>À qualifier par lieu</x:v>
      </x:c>
      <x:c r="J2578" t="str">
        <x:v>https://github.com/darknigthmare/deadwall-last-enclosure/blob/1b3b9c5ba232734b1bda3453b4e20a0481bcdd74/codex-3000/compositions/public/DW-2573.md</x:v>
      </x:c>
      <x:c r="K2578" t="str">
        <x:v>Source min 60,11 m ; max 60,11 m ; modèle 60 × 22 m ; niveaux 0. Détails dans catalogue-existant.json.</x:v>
      </x:c>
    </x:row>
    <x:row r="2579">
      <x:c r="A2579" t="str">
        <x:v>DW-2574</x:v>
      </x:c>
      <x:c r="B2579" t="str">
        <x:v>DW-0787</x:v>
      </x:c>
      <x:c r="C2579" t="str">
        <x:v>Composition héritée</x:v>
      </x:c>
      <x:c r="D2579" t="str">
        <x:v>public</x:v>
      </x:c>
      <x:c r="E2579" t="str">
        <x:v>Salle des fêtes — variante 05 — École, mairie et bâtiments civiques / relais temporaire envisagé</x:v>
      </x:c>
      <x:c r="F2579" t="n">
        <x:v>8</x:v>
      </x:c>
      <x:c r="G2579" t="n">
        <x:v>5</x:v>
      </x:c>
      <x:c r="H2579" t="n">
        <x:v>0</x:v>
      </x:c>
      <x:c r="I2579" t="str">
        <x:v>À qualifier par lieu</x:v>
      </x:c>
      <x:c r="J2579" t="str">
        <x:v>https://github.com/darknigthmare/deadwall-last-enclosure/blob/1b3b9c5ba232734b1bda3453b4e20a0481bcdd74/codex-3000/compositions/public/DW-2574.md</x:v>
      </x:c>
      <x:c r="K2579" t="str">
        <x:v>Source min 60,11 m ; max 60,11 m ; modèle 60 × 22 m ; niveaux 0. Détails dans catalogue-existant.json.</x:v>
      </x:c>
    </x:row>
    <x:row r="2580">
      <x:c r="A2580" t="str">
        <x:v>DW-2575</x:v>
      </x:c>
      <x:c r="B2580" t="str">
        <x:v>DW-0788</x:v>
      </x:c>
      <x:c r="C2580" t="str">
        <x:v>Composition héritée</x:v>
      </x:c>
      <x:c r="D2580" t="str">
        <x:v>public</x:v>
      </x:c>
      <x:c r="E2580" t="str">
        <x:v>Église et presbytère — variante 05 — Centre d’évacuation abandonné / service déplacé à l’arrière</x:v>
      </x:c>
      <x:c r="F2580" t="n">
        <x:v>8</x:v>
      </x:c>
      <x:c r="G2580" t="n">
        <x:v>5</x:v>
      </x:c>
      <x:c r="H2580" t="n">
        <x:v>0</x:v>
      </x:c>
      <x:c r="I2580" t="str">
        <x:v>À qualifier par lieu</x:v>
      </x:c>
      <x:c r="J2580" t="str">
        <x:v>https://github.com/darknigthmare/deadwall-last-enclosure/blob/1b3b9c5ba232734b1bda3453b4e20a0481bcdd74/codex-3000/compositions/public/DW-2575.md</x:v>
      </x:c>
      <x:c r="K2580" t="str">
        <x:v>Source min 71,28 m ; max 71,28 m ; modèle 71 × 28 m ; niveaux 0. Détails dans catalogue-existant.json.</x:v>
      </x:c>
    </x:row>
    <x:row r="2581">
      <x:c r="A2581" t="str">
        <x:v>DW-2576</x:v>
      </x:c>
      <x:c r="B2581" t="str">
        <x:v>DW-0788</x:v>
      </x:c>
      <x:c r="C2581" t="str">
        <x:v>Composition héritée</x:v>
      </x:c>
      <x:c r="D2581" t="str">
        <x:v>public</x:v>
      </x:c>
      <x:c r="E2581" t="str">
        <x:v>Église et presbytère — variante 05 — Ville moyenne / réseau principal coupé</x:v>
      </x:c>
      <x:c r="F2581" t="n">
        <x:v>8</x:v>
      </x:c>
      <x:c r="G2581" t="n">
        <x:v>5</x:v>
      </x:c>
      <x:c r="H2581" t="n">
        <x:v>0</x:v>
      </x:c>
      <x:c r="I2581" t="str">
        <x:v>À qualifier par lieu</x:v>
      </x:c>
      <x:c r="J2581" t="str">
        <x:v>https://github.com/darknigthmare/deadwall-last-enclosure/blob/1b3b9c5ba232734b1bda3453b4e20a0481bcdd74/codex-3000/compositions/public/DW-2576.md</x:v>
      </x:c>
      <x:c r="K2581" t="str">
        <x:v>Source min 71,28 m ; max 71,28 m ; modèle 71 × 28 m ; niveaux 0. Détails dans catalogue-existant.json.</x:v>
      </x:c>
    </x:row>
    <x:row r="2582">
      <x:c r="A2582" t="str">
        <x:v>DW-2577</x:v>
      </x:c>
      <x:c r="B2582" t="str">
        <x:v>DW-0789</x:v>
      </x:c>
      <x:c r="C2582" t="str">
        <x:v>Composition héritée</x:v>
      </x:c>
      <x:c r="D2582" t="str">
        <x:v>rural</x:v>
      </x:c>
      <x:c r="E2582" t="str">
        <x:v>Hameau agricole — variante 05 — Ferme, verger et pâtures / reprise progressive de la végétation</x:v>
      </x:c>
      <x:c r="F2582" t="n">
        <x:v>8</x:v>
      </x:c>
      <x:c r="G2582" t="n">
        <x:v>6</x:v>
      </x:c>
      <x:c r="H2582" t="n">
        <x:v>0</x:v>
      </x:c>
      <x:c r="I2582" t="str">
        <x:v>À qualifier par lieu</x:v>
      </x:c>
      <x:c r="J2582" t="str">
        <x:v>https://github.com/darknigthmare/deadwall-last-enclosure/blob/1b3b9c5ba232734b1bda3453b4e20a0481bcdd74/codex-3000/compositions/rural/DW-2577.md</x:v>
      </x:c>
      <x:c r="K2582" t="str">
        <x:v>Source min 10,45 m ; max 10,45 m ; modèle 28 × 45 m ; niveaux 0. Détails dans catalogue-existant.json.</x:v>
      </x:c>
    </x:row>
    <x:row r="2583">
      <x:c r="A2583" t="str">
        <x:v>DW-2578</x:v>
      </x:c>
      <x:c r="B2583" t="str">
        <x:v>DW-0789</x:v>
      </x:c>
      <x:c r="C2583" t="str">
        <x:v>Composition héritée</x:v>
      </x:c>
      <x:c r="D2583" t="str">
        <x:v>rural</x:v>
      </x:c>
      <x:c r="E2583" t="str">
        <x:v>Hameau agricole — variante 05 — Petit bois et lisière / repli organisé interrompu</x:v>
      </x:c>
      <x:c r="F2583" t="n">
        <x:v>8</x:v>
      </x:c>
      <x:c r="G2583" t="n">
        <x:v>6</x:v>
      </x:c>
      <x:c r="H2583" t="n">
        <x:v>0</x:v>
      </x:c>
      <x:c r="I2583" t="str">
        <x:v>À qualifier par lieu</x:v>
      </x:c>
      <x:c r="J2583" t="str">
        <x:v>https://github.com/darknigthmare/deadwall-last-enclosure/blob/1b3b9c5ba232734b1bda3453b4e20a0481bcdd74/codex-3000/compositions/rural/DW-2578.md</x:v>
      </x:c>
      <x:c r="K2583" t="str">
        <x:v>Source min 10,45 m ; max 10,45 m ; modèle 28 × 45 m ; niveaux 0. Détails dans catalogue-existant.json.</x:v>
      </x:c>
    </x:row>
    <x:row r="2584">
      <x:c r="A2584" t="str">
        <x:v>DW-2579</x:v>
      </x:c>
      <x:c r="B2584" t="str">
        <x:v>DW-0790</x:v>
      </x:c>
      <x:c r="C2584" t="str">
        <x:v>Composition héritée</x:v>
      </x:c>
      <x:c r="D2584" t="str">
        <x:v>rural</x:v>
      </x:c>
      <x:c r="E2584" t="str">
        <x:v>Cabane forestière — variante 05 — Prairie et friche ouverte / relais temporaire envisagé</x:v>
      </x:c>
      <x:c r="F2584" t="n">
        <x:v>8</x:v>
      </x:c>
      <x:c r="G2584" t="n">
        <x:v>4</x:v>
      </x:c>
      <x:c r="H2584" t="n">
        <x:v>0</x:v>
      </x:c>
      <x:c r="I2584" t="str">
        <x:v>À qualifier par lieu</x:v>
      </x:c>
      <x:c r="J2584" t="str">
        <x:v>https://github.com/darknigthmare/deadwall-last-enclosure/blob/1b3b9c5ba232734b1bda3453b4e20a0481bcdd74/codex-3000/compositions/rural/DW-2579.md</x:v>
      </x:c>
      <x:c r="K2584" t="str">
        <x:v>Source min 21,62 m ; max 21,62 m ; modèle 25 × 62 m ; niveaux 0. Détails dans catalogue-existant.json.</x:v>
      </x:c>
    </x:row>
    <x:row r="2585">
      <x:c r="A2585" t="str">
        <x:v>DW-2580</x:v>
      </x:c>
      <x:c r="B2585" t="str">
        <x:v>DW-0790</x:v>
      </x:c>
      <x:c r="C2585" t="str">
        <x:v>Composition héritée</x:v>
      </x:c>
      <x:c r="D2585" t="str">
        <x:v>rural</x:v>
      </x:c>
      <x:c r="E2585" t="str">
        <x:v>Cabane forestière — variante 05 — Hameau / évacuation interrompue</x:v>
      </x:c>
      <x:c r="F2585" t="n">
        <x:v>8</x:v>
      </x:c>
      <x:c r="G2585" t="n">
        <x:v>4</x:v>
      </x:c>
      <x:c r="H2585" t="n">
        <x:v>0</x:v>
      </x:c>
      <x:c r="I2585" t="str">
        <x:v>À qualifier par lieu</x:v>
      </x:c>
      <x:c r="J2585" t="str">
        <x:v>https://github.com/darknigthmare/deadwall-last-enclosure/blob/1b3b9c5ba232734b1bda3453b4e20a0481bcdd74/codex-3000/compositions/rural/DW-2580.md</x:v>
      </x:c>
      <x:c r="K2585" t="str">
        <x:v>Source min 21,62 m ; max 21,62 m ; modèle 25 × 62 m ; niveaux 0. Détails dans catalogue-existant.json.</x:v>
      </x:c>
    </x:row>
    <x:row r="2586">
      <x:c r="A2586" t="str">
        <x:v>DW-2581</x:v>
      </x:c>
      <x:c r="B2586" t="str">
        <x:v>DW-0791</x:v>
      </x:c>
      <x:c r="C2586" t="str">
        <x:v>Composition héritée</x:v>
      </x:c>
      <x:c r="D2586" t="str">
        <x:v>rural</x:v>
      </x:c>
      <x:c r="E2586" t="str">
        <x:v>Dépôt forestier — variante 05 — Petit bois et lisière / réseau principal coupé</x:v>
      </x:c>
      <x:c r="F2586" t="n">
        <x:v>8</x:v>
      </x:c>
      <x:c r="G2586" t="n">
        <x:v>5</x:v>
      </x:c>
      <x:c r="H2586" t="n">
        <x:v>0</x:v>
      </x:c>
      <x:c r="I2586" t="str">
        <x:v>À qualifier par lieu</x:v>
      </x:c>
      <x:c r="J2586" t="str">
        <x:v>https://github.com/darknigthmare/deadwall-last-enclosure/blob/1b3b9c5ba232734b1bda3453b4e20a0481bcdd74/codex-3000/compositions/rural/DW-2581.md</x:v>
      </x:c>
      <x:c r="K2586" t="str">
        <x:v>Source min 32,25 m ; max 32,25 m ; modèle 32 × 25 m ; niveaux 0. Détails dans catalogue-existant.json.</x:v>
      </x:c>
    </x:row>
    <x:row r="2587">
      <x:c r="A2587" t="str">
        <x:v>DW-2582</x:v>
      </x:c>
      <x:c r="B2587" t="str">
        <x:v>DW-0791</x:v>
      </x:c>
      <x:c r="C2587" t="str">
        <x:v>Composition héritée</x:v>
      </x:c>
      <x:c r="D2587" t="str">
        <x:v>rural</x:v>
      </x:c>
      <x:c r="E2587" t="str">
        <x:v>Dépôt forestier — variante 05 — Ferme, verger et pâtures / arrêt de maintenance</x:v>
      </x:c>
      <x:c r="F2587" t="n">
        <x:v>8</x:v>
      </x:c>
      <x:c r="G2587" t="n">
        <x:v>5</x:v>
      </x:c>
      <x:c r="H2587" t="n">
        <x:v>0</x:v>
      </x:c>
      <x:c r="I2587" t="str">
        <x:v>À qualifier par lieu</x:v>
      </x:c>
      <x:c r="J2587" t="str">
        <x:v>https://github.com/darknigthmare/deadwall-last-enclosure/blob/1b3b9c5ba232734b1bda3453b4e20a0481bcdd74/codex-3000/compositions/rural/DW-2582.md</x:v>
      </x:c>
      <x:c r="K2587" t="str">
        <x:v>Source min 32,25 m ; max 32,25 m ; modèle 32 × 25 m ; niveaux 0. Détails dans catalogue-existant.json.</x:v>
      </x:c>
    </x:row>
    <x:row r="2588">
      <x:c r="A2588" t="str">
        <x:v>DW-2583</x:v>
      </x:c>
      <x:c r="B2588" t="str">
        <x:v>DW-0792</x:v>
      </x:c>
      <x:c r="C2588" t="str">
        <x:v>Composition héritée</x:v>
      </x:c>
      <x:c r="D2588" t="str">
        <x:v>rural</x:v>
      </x:c>
      <x:c r="E2588" t="str">
        <x:v>Ferme céréalière — variante 05 — Hameau / repli organisé interrompu</x:v>
      </x:c>
      <x:c r="F2588" t="n">
        <x:v>8</x:v>
      </x:c>
      <x:c r="G2588" t="n">
        <x:v>5</x:v>
      </x:c>
      <x:c r="H2588" t="n">
        <x:v>0</x:v>
      </x:c>
      <x:c r="I2588" t="str">
        <x:v>À qualifier par lieu</x:v>
      </x:c>
      <x:c r="J2588" t="str">
        <x:v>https://github.com/darknigthmare/deadwall-last-enclosure/blob/1b3b9c5ba232734b1bda3453b4e20a0481bcdd74/codex-3000/compositions/rural/DW-2583.md</x:v>
      </x:c>
      <x:c r="K2588" t="str">
        <x:v>Source min 43,42 m ; max 43,42 m ; modèle 43 × 42 m ; niveaux 0. Détails dans catalogue-existant.json.</x:v>
      </x:c>
    </x:row>
    <x:row r="2589">
      <x:c r="A2589" t="str">
        <x:v>DW-2584</x:v>
      </x:c>
      <x:c r="B2589" t="str">
        <x:v>DW-0792</x:v>
      </x:c>
      <x:c r="C2589" t="str">
        <x:v>Composition héritée</x:v>
      </x:c>
      <x:c r="D2589" t="str">
        <x:v>rural</x:v>
      </x:c>
      <x:c r="E2589" t="str">
        <x:v>Ferme céréalière — variante 05 — Prairie et friche ouverte / première récupération passée</x:v>
      </x:c>
      <x:c r="F2589" t="n">
        <x:v>8</x:v>
      </x:c>
      <x:c r="G2589" t="n">
        <x:v>5</x:v>
      </x:c>
      <x:c r="H2589" t="n">
        <x:v>0</x:v>
      </x:c>
      <x:c r="I2589" t="str">
        <x:v>À qualifier par lieu</x:v>
      </x:c>
      <x:c r="J2589" t="str">
        <x:v>https://github.com/darknigthmare/deadwall-last-enclosure/blob/1b3b9c5ba232734b1bda3453b4e20a0481bcdd74/codex-3000/compositions/rural/DW-2584.md</x:v>
      </x:c>
      <x:c r="K2589" t="str">
        <x:v>Source min 43,42 m ; max 43,42 m ; modèle 43 × 42 m ; niveaux 0. Détails dans catalogue-existant.json.</x:v>
      </x:c>
    </x:row>
    <x:row r="2590">
      <x:c r="A2590" t="str">
        <x:v>DW-2585</x:v>
      </x:c>
      <x:c r="B2590" t="str">
        <x:v>DW-0793</x:v>
      </x:c>
      <x:c r="C2590" t="str">
        <x:v>Composition héritée</x:v>
      </x:c>
      <x:c r="D2590" t="str">
        <x:v>rural</x:v>
      </x:c>
      <x:c r="E2590" t="str">
        <x:v>Ferme d'élevage — variante 05 — Ferme, verger et pâtures / évacuation interrompue</x:v>
      </x:c>
      <x:c r="F2590" t="n">
        <x:v>8</x:v>
      </x:c>
      <x:c r="G2590" t="n">
        <x:v>5</x:v>
      </x:c>
      <x:c r="H2590" t="n">
        <x:v>0</x:v>
      </x:c>
      <x:c r="I2590" t="str">
        <x:v>À qualifier par lieu</x:v>
      </x:c>
      <x:c r="J2590" t="str">
        <x:v>https://github.com/darknigthmare/deadwall-last-enclosure/blob/1b3b9c5ba232734b1bda3453b4e20a0481bcdd74/codex-3000/compositions/rural/DW-2585.md</x:v>
      </x:c>
      <x:c r="K2590" t="str">
        <x:v>Source min 54,59 m ; max 54,59 m ; modèle 54 × 59 m ; niveaux 0. Détails dans catalogue-existant.json.</x:v>
      </x:c>
    </x:row>
    <x:row r="2591">
      <x:c r="A2591" t="str">
        <x:v>DW-2586</x:v>
      </x:c>
      <x:c r="B2591" t="str">
        <x:v>DW-0793</x:v>
      </x:c>
      <x:c r="C2591" t="str">
        <x:v>Composition héritée</x:v>
      </x:c>
      <x:c r="D2591" t="str">
        <x:v>rural</x:v>
      </x:c>
      <x:c r="E2591" t="str">
        <x:v>Ferme d'élevage — variante 05 — Petit bois et lisière / service déplacé à l’arrière</x:v>
      </x:c>
      <x:c r="F2591" t="n">
        <x:v>8</x:v>
      </x:c>
      <x:c r="G2591" t="n">
        <x:v>5</x:v>
      </x:c>
      <x:c r="H2591" t="n">
        <x:v>0</x:v>
      </x:c>
      <x:c r="I2591" t="str">
        <x:v>À qualifier par lieu</x:v>
      </x:c>
      <x:c r="J2591" t="str">
        <x:v>https://github.com/darknigthmare/deadwall-last-enclosure/blob/1b3b9c5ba232734b1bda3453b4e20a0481bcdd74/codex-3000/compositions/rural/DW-2586.md</x:v>
      </x:c>
      <x:c r="K2591" t="str">
        <x:v>Source min 54,59 m ; max 54,59 m ; modèle 54 × 59 m ; niveaux 0. Détails dans catalogue-existant.json.</x:v>
      </x:c>
    </x:row>
    <x:row r="2592">
      <x:c r="A2592" t="str">
        <x:v>DW-2587</x:v>
      </x:c>
      <x:c r="B2592" t="str">
        <x:v>DW-0794</x:v>
      </x:c>
      <x:c r="C2592" t="str">
        <x:v>Composition héritée</x:v>
      </x:c>
      <x:c r="D2592" t="str">
        <x:v>rural</x:v>
      </x:c>
      <x:c r="E2592" t="str">
        <x:v>Relais de chasse — variante 05 — Prairie et friche ouverte / arrêt de maintenance</x:v>
      </x:c>
      <x:c r="F2592" t="n">
        <x:v>8</x:v>
      </x:c>
      <x:c r="G2592" t="n">
        <x:v>4</x:v>
      </x:c>
      <x:c r="H2592" t="n">
        <x:v>0</x:v>
      </x:c>
      <x:c r="I2592" t="str">
        <x:v>À qualifier par lieu</x:v>
      </x:c>
      <x:c r="J2592" t="str">
        <x:v>https://github.com/darknigthmare/deadwall-last-enclosure/blob/1b3b9c5ba232734b1bda3453b4e20a0481bcdd74/codex-3000/compositions/rural/DW-2587.md</x:v>
      </x:c>
      <x:c r="K2592" t="str">
        <x:v>Source min 65,22 m ; max 65,22 m ; modèle 65 × 22 m ; niveaux 0. Détails dans catalogue-existant.json.</x:v>
      </x:c>
    </x:row>
    <x:row r="2593">
      <x:c r="A2593" t="str">
        <x:v>DW-2588</x:v>
      </x:c>
      <x:c r="B2593" t="str">
        <x:v>DW-0794</x:v>
      </x:c>
      <x:c r="C2593" t="str">
        <x:v>Composition héritée</x:v>
      </x:c>
      <x:c r="D2593" t="str">
        <x:v>rural</x:v>
      </x:c>
      <x:c r="E2593" t="str">
        <x:v>Relais de chasse — variante 05 — Hameau / reprise progressive de la végétation</x:v>
      </x:c>
      <x:c r="F2593" t="n">
        <x:v>8</x:v>
      </x:c>
      <x:c r="G2593" t="n">
        <x:v>4</x:v>
      </x:c>
      <x:c r="H2593" t="n">
        <x:v>0</x:v>
      </x:c>
      <x:c r="I2593" t="str">
        <x:v>À qualifier par lieu</x:v>
      </x:c>
      <x:c r="J2593" t="str">
        <x:v>https://github.com/darknigthmare/deadwall-last-enclosure/blob/1b3b9c5ba232734b1bda3453b4e20a0481bcdd74/codex-3000/compositions/rural/DW-2588.md</x:v>
      </x:c>
      <x:c r="K2593" t="str">
        <x:v>Source min 65,22 m ; max 65,22 m ; modèle 65 × 22 m ; niveaux 0. Détails dans catalogue-existant.json.</x:v>
      </x:c>
    </x:row>
    <x:row r="2594">
      <x:c r="A2594" t="str">
        <x:v>DW-2589</x:v>
      </x:c>
      <x:c r="B2594" t="str">
        <x:v>DW-0795</x:v>
      </x:c>
      <x:c r="C2594" t="str">
        <x:v>Composition héritée</x:v>
      </x:c>
      <x:c r="D2594" t="str">
        <x:v>rural</x:v>
      </x:c>
      <x:c r="E2594" t="str">
        <x:v>Moulin rural — variante 05 — Petit bois et lisière / première récupération passée</x:v>
      </x:c>
      <x:c r="F2594" t="n">
        <x:v>8</x:v>
      </x:c>
      <x:c r="G2594" t="n">
        <x:v>4</x:v>
      </x:c>
      <x:c r="H2594" t="n">
        <x:v>0</x:v>
      </x:c>
      <x:c r="I2594" t="str">
        <x:v>À qualifier par lieu</x:v>
      </x:c>
      <x:c r="J2594" t="str">
        <x:v>https://github.com/darknigthmare/deadwall-last-enclosure/blob/1b3b9c5ba232734b1bda3453b4e20a0481bcdd74/codex-3000/compositions/rural/DW-2589.md</x:v>
      </x:c>
      <x:c r="K2594" t="str">
        <x:v>Source min 76,39 m ; max 76,39 m ; modèle 76 × 39 m ; niveaux 0. Détails dans catalogue-existant.json.</x:v>
      </x:c>
    </x:row>
    <x:row r="2595">
      <x:c r="A2595" t="str">
        <x:v>DW-2590</x:v>
      </x:c>
      <x:c r="B2595" t="str">
        <x:v>DW-0795</x:v>
      </x:c>
      <x:c r="C2595" t="str">
        <x:v>Composition héritée</x:v>
      </x:c>
      <x:c r="D2595" t="str">
        <x:v>rural</x:v>
      </x:c>
      <x:c r="E2595" t="str">
        <x:v>Moulin rural — variante 05 — Ferme, verger et pâtures / relais temporaire envisagé</x:v>
      </x:c>
      <x:c r="F2595" t="n">
        <x:v>8</x:v>
      </x:c>
      <x:c r="G2595" t="n">
        <x:v>4</x:v>
      </x:c>
      <x:c r="H2595" t="n">
        <x:v>0</x:v>
      </x:c>
      <x:c r="I2595" t="str">
        <x:v>À qualifier par lieu</x:v>
      </x:c>
      <x:c r="J2595" t="str">
        <x:v>https://github.com/darknigthmare/deadwall-last-enclosure/blob/1b3b9c5ba232734b1bda3453b4e20a0481bcdd74/codex-3000/compositions/rural/DW-2590.md</x:v>
      </x:c>
      <x:c r="K2595" t="str">
        <x:v>Source min 76,39 m ; max 76,39 m ; modèle 76 × 39 m ; niveaux 0. Détails dans catalogue-existant.json.</x:v>
      </x:c>
    </x:row>
    <x:row r="2596">
      <x:c r="A2596" t="str">
        <x:v>DW-2591</x:v>
      </x:c>
      <x:c r="B2596" t="str">
        <x:v>DW-0796</x:v>
      </x:c>
      <x:c r="C2596" t="str">
        <x:v>Composition héritée</x:v>
      </x:c>
      <x:c r="D2596" t="str">
        <x:v>rural</x:v>
      </x:c>
      <x:c r="E2596" t="str">
        <x:v>Serres maraîchères — variante 05 — Hameau / service déplacé à l’arrière</x:v>
      </x:c>
      <x:c r="F2596" t="n">
        <x:v>8</x:v>
      </x:c>
      <x:c r="G2596" t="n">
        <x:v>5</x:v>
      </x:c>
      <x:c r="H2596" t="n">
        <x:v>0</x:v>
      </x:c>
      <x:c r="I2596" t="str">
        <x:v>À qualifier par lieu</x:v>
      </x:c>
      <x:c r="J2596" t="str">
        <x:v>https://github.com/darknigthmare/deadwall-last-enclosure/blob/1b3b9c5ba232734b1bda3453b4e20a0481bcdd74/codex-3000/compositions/rural/DW-2591.md</x:v>
      </x:c>
      <x:c r="K2596" t="str">
        <x:v>Source min 15,56 m ; max 15,56 m ; modèle 26 × 56 m ; niveaux 0. Détails dans catalogue-existant.json.</x:v>
      </x:c>
    </x:row>
    <x:row r="2597">
      <x:c r="A2597" t="str">
        <x:v>DW-2592</x:v>
      </x:c>
      <x:c r="B2597" t="str">
        <x:v>DW-0796</x:v>
      </x:c>
      <x:c r="C2597" t="str">
        <x:v>Composition héritée</x:v>
      </x:c>
      <x:c r="D2597" t="str">
        <x:v>rural</x:v>
      </x:c>
      <x:c r="E2597" t="str">
        <x:v>Serres maraîchères — variante 05 — Prairie et friche ouverte / réseau principal coupé</x:v>
      </x:c>
      <x:c r="F2597" t="n">
        <x:v>8</x:v>
      </x:c>
      <x:c r="G2597" t="n">
        <x:v>5</x:v>
      </x:c>
      <x:c r="H2597" t="n">
        <x:v>0</x:v>
      </x:c>
      <x:c r="I2597" t="str">
        <x:v>À qualifier par lieu</x:v>
      </x:c>
      <x:c r="J2597" t="str">
        <x:v>https://github.com/darknigthmare/deadwall-last-enclosure/blob/1b3b9c5ba232734b1bda3453b4e20a0481bcdd74/codex-3000/compositions/rural/DW-2592.md</x:v>
      </x:c>
      <x:c r="K2597" t="str">
        <x:v>Source min 15,56 m ; max 15,56 m ; modèle 26 × 56 m ; niveaux 0. Détails dans catalogue-existant.json.</x:v>
      </x:c>
    </x:row>
    <x:row r="2598">
      <x:c r="A2598" t="str">
        <x:v>DW-2593</x:v>
      </x:c>
      <x:c r="B2598" t="str">
        <x:v>DW-0797</x:v>
      </x:c>
      <x:c r="C2598" t="str">
        <x:v>Composition héritée</x:v>
      </x:c>
      <x:c r="D2598" t="str">
        <x:v>militaire</x:v>
      </x:c>
      <x:c r="E2598" t="str">
        <x:v>Bunker de défense civile — variante 05 — Grand camp allié / reprise progressive de la végétation</x:v>
      </x:c>
      <x:c r="F2598" t="n">
        <x:v>10</x:v>
      </x:c>
      <x:c r="G2598" t="n">
        <x:v>6</x:v>
      </x:c>
      <x:c r="H2598" t="n">
        <x:v>0</x:v>
      </x:c>
      <x:c r="I2598" t="str">
        <x:v>À qualifier par lieu</x:v>
      </x:c>
      <x:c r="J2598" t="str">
        <x:v>https://github.com/darknigthmare/deadwall-last-enclosure/blob/1b3b9c5ba232734b1bda3453b4e20a0481bcdd74/codex-3000/compositions/militaire/DW-2593.md</x:v>
      </x:c>
      <x:c r="K2598" t="str">
        <x:v>Source min 26,19 m ; max 26,19 m ; modèle 28 × 22 m ; niveaux 0, 1. Détails dans catalogue-existant.json.</x:v>
      </x:c>
    </x:row>
    <x:row r="2599">
      <x:c r="A2599" t="str">
        <x:v>DW-2594</x:v>
      </x:c>
      <x:c r="B2599" t="str">
        <x:v>DW-0797</x:v>
      </x:c>
      <x:c r="C2599" t="str">
        <x:v>Composition héritée</x:v>
      </x:c>
      <x:c r="D2599" t="str">
        <x:v>militaire</x:v>
      </x:c>
      <x:c r="E2599" t="str">
        <x:v>Bunker de défense civile — variante 05 — Camp de fortune / repli organisé interrompu</x:v>
      </x:c>
      <x:c r="F2599" t="n">
        <x:v>8</x:v>
      </x:c>
      <x:c r="G2599" t="n">
        <x:v>6</x:v>
      </x:c>
      <x:c r="H2599" t="n">
        <x:v>0</x:v>
      </x:c>
      <x:c r="I2599" t="str">
        <x:v>À qualifier par lieu</x:v>
      </x:c>
      <x:c r="J2599" t="str">
        <x:v>https://github.com/darknigthmare/deadwall-last-enclosure/blob/1b3b9c5ba232734b1bda3453b4e20a0481bcdd74/codex-3000/compositions/militaire/DW-2594.md</x:v>
      </x:c>
      <x:c r="K2599" t="str">
        <x:v>Source min 26,19 m ; max 26,19 m ; modèle 28 × 22 m ; niveaux 0, 1. Détails dans catalogue-existant.json.</x:v>
      </x:c>
    </x:row>
    <x:row r="2600">
      <x:c r="A2600" t="str">
        <x:v>DW-2595</x:v>
      </x:c>
      <x:c r="B2600" t="str">
        <x:v>DW-0798</x:v>
      </x:c>
      <x:c r="C2600" t="str">
        <x:v>Composition héritée</x:v>
      </x:c>
      <x:c r="D2600" t="str">
        <x:v>militaire</x:v>
      </x:c>
      <x:c r="E2600" t="str">
        <x:v>Dépôt militaire — variante 05 — Camp hostile / relais temporaire envisagé</x:v>
      </x:c>
      <x:c r="F2600" t="n">
        <x:v>10</x:v>
      </x:c>
      <x:c r="G2600" t="n">
        <x:v>5</x:v>
      </x:c>
      <x:c r="H2600" t="n">
        <x:v>0</x:v>
      </x:c>
      <x:c r="I2600" t="str">
        <x:v>À qualifier par lieu</x:v>
      </x:c>
      <x:c r="J2600" t="str">
        <x:v>https://github.com/darknigthmare/deadwall-last-enclosure/blob/1b3b9c5ba232734b1bda3453b4e20a0481bcdd74/codex-3000/compositions/militaire/DW-2595.md</x:v>
      </x:c>
      <x:c r="K2600" t="str">
        <x:v>Source min 37,36 m ; max 37,36 m ; modèle 37 × 36 m ; niveaux 0. Détails dans catalogue-existant.json.</x:v>
      </x:c>
    </x:row>
    <x:row r="2601">
      <x:c r="A2601" t="str">
        <x:v>DW-2596</x:v>
      </x:c>
      <x:c r="B2601" t="str">
        <x:v>DW-0798</x:v>
      </x:c>
      <x:c r="C2601" t="str">
        <x:v>Composition héritée</x:v>
      </x:c>
      <x:c r="D2601" t="str">
        <x:v>militaire</x:v>
      </x:c>
      <x:c r="E2601" t="str">
        <x:v>Dépôt militaire — variante 05 — Centre d’évacuation abandonné / évacuation interrompue</x:v>
      </x:c>
      <x:c r="F2601" t="n">
        <x:v>8</x:v>
      </x:c>
      <x:c r="G2601" t="n">
        <x:v>5</x:v>
      </x:c>
      <x:c r="H2601" t="n">
        <x:v>0</x:v>
      </x:c>
      <x:c r="I2601" t="str">
        <x:v>À qualifier par lieu</x:v>
      </x:c>
      <x:c r="J2601" t="str">
        <x:v>https://github.com/darknigthmare/deadwall-last-enclosure/blob/1b3b9c5ba232734b1bda3453b4e20a0481bcdd74/codex-3000/compositions/militaire/DW-2596.md</x:v>
      </x:c>
      <x:c r="K2601" t="str">
        <x:v>Source min 37,36 m ; max 37,36 m ; modèle 37 × 36 m ; niveaux 0. Détails dans catalogue-existant.json.</x:v>
      </x:c>
    </x:row>
    <x:row r="2602">
      <x:c r="A2602" t="str">
        <x:v>DW-2597</x:v>
      </x:c>
      <x:c r="B2602" t="str">
        <x:v>DW-0799</x:v>
      </x:c>
      <x:c r="C2602" t="str">
        <x:v>Composition héritée</x:v>
      </x:c>
      <x:c r="D2602" t="str">
        <x:v>militaire</x:v>
      </x:c>
      <x:c r="E2602" t="str">
        <x:v>Poste de contrôle — variante 05 — Camp de fortune / réseau principal coupé</x:v>
      </x:c>
      <x:c r="F2602" t="n">
        <x:v>8</x:v>
      </x:c>
      <x:c r="G2602" t="n">
        <x:v>5</x:v>
      </x:c>
      <x:c r="H2602" t="n">
        <x:v>0</x:v>
      </x:c>
      <x:c r="I2602" t="str">
        <x:v>À qualifier par lieu</x:v>
      </x:c>
      <x:c r="J2602" t="str">
        <x:v>https://github.com/darknigthmare/deadwall-last-enclosure/blob/1b3b9c5ba232734b1bda3453b4e20a0481bcdd74/codex-3000/compositions/militaire/DW-2597.md</x:v>
      </x:c>
      <x:c r="K2602" t="str">
        <x:v>Source min 48,53 m ; max 48,53 m ; modèle 48 × 53 m ; niveaux 0. Détails dans catalogue-existant.json.</x:v>
      </x:c>
    </x:row>
    <x:row r="2603">
      <x:c r="A2603" t="str">
        <x:v>DW-2598</x:v>
      </x:c>
      <x:c r="B2603" t="str">
        <x:v>DW-0799</x:v>
      </x:c>
      <x:c r="C2603" t="str">
        <x:v>Composition héritée</x:v>
      </x:c>
      <x:c r="D2603" t="str">
        <x:v>militaire</x:v>
      </x:c>
      <x:c r="E2603" t="str">
        <x:v>Poste de contrôle — variante 05 — Grand camp allié / arrêt de maintenance</x:v>
      </x:c>
      <x:c r="F2603" t="n">
        <x:v>10</x:v>
      </x:c>
      <x:c r="G2603" t="n">
        <x:v>5</x:v>
      </x:c>
      <x:c r="H2603" t="n">
        <x:v>0</x:v>
      </x:c>
      <x:c r="I2603" t="str">
        <x:v>À qualifier par lieu</x:v>
      </x:c>
      <x:c r="J2603" t="str">
        <x:v>https://github.com/darknigthmare/deadwall-last-enclosure/blob/1b3b9c5ba232734b1bda3453b4e20a0481bcdd74/codex-3000/compositions/militaire/DW-2598.md</x:v>
      </x:c>
      <x:c r="K2603" t="str">
        <x:v>Source min 48,53 m ; max 48,53 m ; modèle 48 × 53 m ; niveaux 0. Détails dans catalogue-existant.json.</x:v>
      </x:c>
    </x:row>
    <x:row r="2604">
      <x:c r="A2604" t="str">
        <x:v>DW-2599</x:v>
      </x:c>
      <x:c r="B2604" t="str">
        <x:v>DW-0800</x:v>
      </x:c>
      <x:c r="C2604" t="str">
        <x:v>Composition héritée</x:v>
      </x:c>
      <x:c r="D2604" t="str">
        <x:v>militaire</x:v>
      </x:c>
      <x:c r="E2604" t="str">
        <x:v>Camp retranché abandonné — variante 05 — Centre d’évacuation abandonné / repli organisé interrompu</x:v>
      </x:c>
      <x:c r="F2604" t="n">
        <x:v>8</x:v>
      </x:c>
      <x:c r="G2604" t="n">
        <x:v>5</x:v>
      </x:c>
      <x:c r="H2604" t="n">
        <x:v>0</x:v>
      </x:c>
      <x:c r="I2604" t="str">
        <x:v>À qualifier par lieu</x:v>
      </x:c>
      <x:c r="J2604" t="str">
        <x:v>https://github.com/darknigthmare/deadwall-last-enclosure/blob/1b3b9c5ba232734b1bda3453b4e20a0481bcdd74/codex-3000/compositions/militaire/DW-2599.md</x:v>
      </x:c>
      <x:c r="K2604" t="str">
        <x:v>Source min 59,16 m ; max 59,16 m ; modèle 59 × 22 m ; niveaux 0. Détails dans catalogue-existant.json.</x:v>
      </x:c>
    </x:row>
    <x:row r="2605">
      <x:c r="A2605" t="str">
        <x:v>DW-2600</x:v>
      </x:c>
      <x:c r="B2605" t="str">
        <x:v>DW-0800</x:v>
      </x:c>
      <x:c r="C2605" t="str">
        <x:v>Composition héritée</x:v>
      </x:c>
      <x:c r="D2605" t="str">
        <x:v>militaire</x:v>
      </x:c>
      <x:c r="E2605" t="str">
        <x:v>Camp retranché abandonné — variante 05 — Camp hostile / première récupération passée</x:v>
      </x:c>
      <x:c r="F2605" t="n">
        <x:v>10</x:v>
      </x:c>
      <x:c r="G2605" t="n">
        <x:v>5</x:v>
      </x:c>
      <x:c r="H2605" t="n">
        <x:v>0</x:v>
      </x:c>
      <x:c r="I2605" t="str">
        <x:v>À qualifier par lieu</x:v>
      </x:c>
      <x:c r="J2605" t="str">
        <x:v>https://github.com/darknigthmare/deadwall-last-enclosure/blob/1b3b9c5ba232734b1bda3453b4e20a0481bcdd74/codex-3000/compositions/militaire/DW-2600.md</x:v>
      </x:c>
      <x:c r="K2605" t="str">
        <x:v>Source min 59,16 m ; max 59,16 m ; modèle 59 × 22 m ; niveaux 0. Détails dans catalogue-existant.json.</x:v>
      </x:c>
    </x:row>
    <x:row r="2606">
      <x:c r="A2606" t="str">
        <x:v>DW-2601</x:v>
      </x:c>
      <x:c r="B2606" t="str">
        <x:v>DW-0801</x:v>
      </x:c>
      <x:c r="C2606" t="str">
        <x:v>Composition héritée</x:v>
      </x:c>
      <x:c r="D2606" t="str">
        <x:v>militaire</x:v>
      </x:c>
      <x:c r="E2606" t="str">
        <x:v>Abri ferroviaire — variante 05 — Grand camp allié / évacuation interrompue</x:v>
      </x:c>
      <x:c r="F2606" t="n">
        <x:v>10</x:v>
      </x:c>
      <x:c r="G2606" t="n">
        <x:v>4</x:v>
      </x:c>
      <x:c r="H2606" t="n">
        <x:v>0</x:v>
      </x:c>
      <x:c r="I2606" t="str">
        <x:v>À qualifier par lieu</x:v>
      </x:c>
      <x:c r="J2606" t="str">
        <x:v>https://github.com/darknigthmare/deadwall-last-enclosure/blob/1b3b9c5ba232734b1bda3453b4e20a0481bcdd74/codex-3000/compositions/militaire/DW-2601.md</x:v>
      </x:c>
      <x:c r="K2606" t="str">
        <x:v>Source min 70,33 m ; max 70,33 m ; modèle 70 × 33 m ; niveaux 0. Détails dans catalogue-existant.json.</x:v>
      </x:c>
    </x:row>
    <x:row r="2607">
      <x:c r="A2607" t="str">
        <x:v>DW-2602</x:v>
      </x:c>
      <x:c r="B2607" t="str">
        <x:v>DW-0801</x:v>
      </x:c>
      <x:c r="C2607" t="str">
        <x:v>Composition héritée</x:v>
      </x:c>
      <x:c r="D2607" t="str">
        <x:v>militaire</x:v>
      </x:c>
      <x:c r="E2607" t="str">
        <x:v>Abri ferroviaire — variante 05 — Camp de fortune / service déplacé à l’arrière</x:v>
      </x:c>
      <x:c r="F2607" t="n">
        <x:v>8</x:v>
      </x:c>
      <x:c r="G2607" t="n">
        <x:v>4</x:v>
      </x:c>
      <x:c r="H2607" t="n">
        <x:v>0</x:v>
      </x:c>
      <x:c r="I2607" t="str">
        <x:v>À qualifier par lieu</x:v>
      </x:c>
      <x:c r="J2607" t="str">
        <x:v>https://github.com/darknigthmare/deadwall-last-enclosure/blob/1b3b9c5ba232734b1bda3453b4e20a0481bcdd74/codex-3000/compositions/militaire/DW-2602.md</x:v>
      </x:c>
      <x:c r="K2607" t="str">
        <x:v>Source min 70,33 m ; max 70,33 m ; modèle 70 × 33 m ; niveaux 0. Détails dans catalogue-existant.json.</x:v>
      </x:c>
    </x:row>
    <x:row r="2608">
      <x:c r="A2608" t="str">
        <x:v>DW-2603</x:v>
      </x:c>
      <x:c r="B2608" t="str">
        <x:v>DW-0802</x:v>
      </x:c>
      <x:c r="C2608" t="str">
        <x:v>Composition héritée</x:v>
      </x:c>
      <x:c r="D2608" t="str">
        <x:v>militaire</x:v>
      </x:c>
      <x:c r="E2608" t="str">
        <x:v>Site radar — variante 05 — Camp hostile / arrêt de maintenance</x:v>
      </x:c>
      <x:c r="F2608" t="n">
        <x:v>10</x:v>
      </x:c>
      <x:c r="G2608" t="n">
        <x:v>5</x:v>
      </x:c>
      <x:c r="H2608" t="n">
        <x:v>0</x:v>
      </x:c>
      <x:c r="I2608" t="str">
        <x:v>À qualifier par lieu</x:v>
      </x:c>
      <x:c r="J2608" t="str">
        <x:v>https://github.com/darknigthmare/deadwall-last-enclosure/blob/1b3b9c5ba232734b1bda3453b4e20a0481bcdd74/codex-3000/compositions/militaire/DW-2603.md</x:v>
      </x:c>
      <x:c r="K2608" t="str">
        <x:v>Source min 81,50 m ; max 81,50 m ; modèle 78 × 50 m ; niveaux 0. Détails dans catalogue-existant.json.</x:v>
      </x:c>
    </x:row>
    <x:row r="2609">
      <x:c r="A2609" t="str">
        <x:v>DW-2604</x:v>
      </x:c>
      <x:c r="B2609" t="str">
        <x:v>DW-0802</x:v>
      </x:c>
      <x:c r="C2609" t="str">
        <x:v>Composition héritée</x:v>
      </x:c>
      <x:c r="D2609" t="str">
        <x:v>militaire</x:v>
      </x:c>
      <x:c r="E2609" t="str">
        <x:v>Site radar — variante 05 — Centre d’évacuation abandonné / reprise progressive de la végétation</x:v>
      </x:c>
      <x:c r="F2609" t="n">
        <x:v>8</x:v>
      </x:c>
      <x:c r="G2609" t="n">
        <x:v>5</x:v>
      </x:c>
      <x:c r="H2609" t="n">
        <x:v>0</x:v>
      </x:c>
      <x:c r="I2609" t="str">
        <x:v>À qualifier par lieu</x:v>
      </x:c>
      <x:c r="J2609" t="str">
        <x:v>https://github.com/darknigthmare/deadwall-last-enclosure/blob/1b3b9c5ba232734b1bda3453b4e20a0481bcdd74/codex-3000/compositions/militaire/DW-2604.md</x:v>
      </x:c>
      <x:c r="K2609" t="str">
        <x:v>Source min 81,50 m ; max 81,50 m ; modèle 78 × 50 m ; niveaux 0. Détails dans catalogue-existant.json.</x:v>
      </x:c>
    </x:row>
    <x:row r="2610">
      <x:c r="A2610" t="str">
        <x:v>DW-2605</x:v>
      </x:c>
      <x:c r="B2610" t="str">
        <x:v>DW-0803</x:v>
      </x:c>
      <x:c r="C2610" t="str">
        <x:v>Composition héritée</x:v>
      </x:c>
      <x:c r="D2610" t="str">
        <x:v>militaire</x:v>
      </x:c>
      <x:c r="E2610" t="str">
        <x:v>Batterie côtière — variante 05 — Camp de fortune / première récupération passée</x:v>
      </x:c>
      <x:c r="F2610" t="n">
        <x:v>8</x:v>
      </x:c>
      <x:c r="G2610" t="n">
        <x:v>4</x:v>
      </x:c>
      <x:c r="H2610" t="n">
        <x:v>0</x:v>
      </x:c>
      <x:c r="I2610" t="str">
        <x:v>À qualifier par lieu</x:v>
      </x:c>
      <x:c r="J2610" t="str">
        <x:v>https://github.com/darknigthmare/deadwall-last-enclosure/blob/1b3b9c5ba232734b1bda3453b4e20a0481bcdd74/codex-3000/compositions/militaire/DW-2605.md</x:v>
      </x:c>
      <x:c r="K2610" t="str">
        <x:v>Source min 20,13 m ; max 20,13 m ; modèle 25 × 18 m ; niveaux 0. Détails dans catalogue-existant.json.</x:v>
      </x:c>
    </x:row>
    <x:row r="2611">
      <x:c r="A2611" t="str">
        <x:v>DW-2606</x:v>
      </x:c>
      <x:c r="B2611" t="str">
        <x:v>DW-0803</x:v>
      </x:c>
      <x:c r="C2611" t="str">
        <x:v>Composition héritée</x:v>
      </x:c>
      <x:c r="D2611" t="str">
        <x:v>militaire</x:v>
      </x:c>
      <x:c r="E2611" t="str">
        <x:v>Batterie côtière — variante 05 — Grand camp allié / relais temporaire envisagé</x:v>
      </x:c>
      <x:c r="F2611" t="n">
        <x:v>10</x:v>
      </x:c>
      <x:c r="G2611" t="n">
        <x:v>4</x:v>
      </x:c>
      <x:c r="H2611" t="n">
        <x:v>0</x:v>
      </x:c>
      <x:c r="I2611" t="str">
        <x:v>À qualifier par lieu</x:v>
      </x:c>
      <x:c r="J2611" t="str">
        <x:v>https://github.com/darknigthmare/deadwall-last-enclosure/blob/1b3b9c5ba232734b1bda3453b4e20a0481bcdd74/codex-3000/compositions/militaire/DW-2606.md</x:v>
      </x:c>
      <x:c r="K2611" t="str">
        <x:v>Source min 20,13 m ; max 20,13 m ; modèle 25 × 18 m ; niveaux 0. Détails dans catalogue-existant.json.</x:v>
      </x:c>
    </x:row>
    <x:row r="2612">
      <x:c r="A2612" t="str">
        <x:v>DW-2607</x:v>
      </x:c>
      <x:c r="B2612" t="str">
        <x:v>DW-0804</x:v>
      </x:c>
      <x:c r="C2612" t="str">
        <x:v>Composition héritée</x:v>
      </x:c>
      <x:c r="D2612" t="str">
        <x:v>militaire</x:v>
      </x:c>
      <x:c r="E2612" t="str">
        <x:v>Dépôt carburant sécurisé — variante 05 — Centre d’évacuation abandonné / service déplacé à l’arrière</x:v>
      </x:c>
      <x:c r="F2612" t="n">
        <x:v>8</x:v>
      </x:c>
      <x:c r="G2612" t="n">
        <x:v>5</x:v>
      </x:c>
      <x:c r="H2612" t="n">
        <x:v>0</x:v>
      </x:c>
      <x:c r="I2612" t="str">
        <x:v>À qualifier par lieu</x:v>
      </x:c>
      <x:c r="J2612" t="str">
        <x:v>https://github.com/darknigthmare/deadwall-last-enclosure/blob/1b3b9c5ba232734b1bda3453b4e20a0481bcdd74/codex-3000/compositions/militaire/DW-2607.md</x:v>
      </x:c>
      <x:c r="K2612" t="str">
        <x:v>Source min 31,30 m ; max 31,30 m ; modèle 31 × 30 m ; niveaux 0. Détails dans catalogue-existant.json.</x:v>
      </x:c>
    </x:row>
    <x:row r="2613">
      <x:c r="A2613" t="str">
        <x:v>DW-2608</x:v>
      </x:c>
      <x:c r="B2613" t="str">
        <x:v>DW-0804</x:v>
      </x:c>
      <x:c r="C2613" t="str">
        <x:v>Composition héritée</x:v>
      </x:c>
      <x:c r="D2613" t="str">
        <x:v>militaire</x:v>
      </x:c>
      <x:c r="E2613" t="str">
        <x:v>Dépôt carburant sécurisé — variante 05 — Camp hostile / réseau principal coupé</x:v>
      </x:c>
      <x:c r="F2613" t="n">
        <x:v>10</x:v>
      </x:c>
      <x:c r="G2613" t="n">
        <x:v>5</x:v>
      </x:c>
      <x:c r="H2613" t="n">
        <x:v>0</x:v>
      </x:c>
      <x:c r="I2613" t="str">
        <x:v>À qualifier par lieu</x:v>
      </x:c>
      <x:c r="J2613" t="str">
        <x:v>https://github.com/darknigthmare/deadwall-last-enclosure/blob/1b3b9c5ba232734b1bda3453b4e20a0481bcdd74/codex-3000/compositions/militaire/DW-2608.md</x:v>
      </x:c>
      <x:c r="K2613" t="str">
        <x:v>Source min 31,30 m ; max 31,30 m ; modèle 31 × 30 m ; niveaux 0. Détails dans catalogue-existant.json.</x:v>
      </x:c>
    </x:row>
    <x:row r="2614">
      <x:c r="A2614" t="str">
        <x:v>DW-2609</x:v>
      </x:c>
      <x:c r="B2614" t="str">
        <x:v>DW-0805</x:v>
      </x:c>
      <x:c r="C2614" t="str">
        <x:v>Composition héritée</x:v>
      </x:c>
      <x:c r="D2614" t="str">
        <x:v>transport</x:v>
      </x:c>
      <x:c r="E2614" t="str">
        <x:v>Gare routière — variante 05 — Station-service et aire routière / reprise progressive de la végétation</x:v>
      </x:c>
      <x:c r="F2614" t="n">
        <x:v>8</x:v>
      </x:c>
      <x:c r="G2614" t="n">
        <x:v>5</x:v>
      </x:c>
      <x:c r="H2614" t="n">
        <x:v>0</x:v>
      </x:c>
      <x:c r="I2614" t="str">
        <x:v>À qualifier par lieu</x:v>
      </x:c>
      <x:c r="J2614" t="str">
        <x:v>https://github.com/darknigthmare/deadwall-last-enclosure/blob/1b3b9c5ba232734b1bda3453b4e20a0481bcdd74/codex-3000/compositions/transport/DW-2609.md</x:v>
      </x:c>
      <x:c r="K2614" t="str">
        <x:v>Source min 42,47 m ; max 42,47 m ; modèle 42 × 47 m ; niveaux 0. Détails dans catalogue-existant.json.</x:v>
      </x:c>
    </x:row>
    <x:row r="2615">
      <x:c r="A2615" t="str">
        <x:v>DW-2610</x:v>
      </x:c>
      <x:c r="B2615" t="str">
        <x:v>DW-0805</x:v>
      </x:c>
      <x:c r="C2615" t="str">
        <x:v>Composition héritée</x:v>
      </x:c>
      <x:c r="D2615" t="str">
        <x:v>transport</x:v>
      </x:c>
      <x:c r="E2615" t="str">
        <x:v>Gare routière — variante 05 — Port marchand / repli organisé interrompu</x:v>
      </x:c>
      <x:c r="F2615" t="n">
        <x:v>10</x:v>
      </x:c>
      <x:c r="G2615" t="n">
        <x:v>5</x:v>
      </x:c>
      <x:c r="H2615" t="n">
        <x:v>0</x:v>
      </x:c>
      <x:c r="I2615" t="str">
        <x:v>À qualifier par lieu</x:v>
      </x:c>
      <x:c r="J2615" t="str">
        <x:v>https://github.com/darknigthmare/deadwall-last-enclosure/blob/1b3b9c5ba232734b1bda3453b4e20a0481bcdd74/codex-3000/compositions/transport/DW-2610.md</x:v>
      </x:c>
      <x:c r="K2615" t="str">
        <x:v>Source min 42,47 m ; max 42,47 m ; modèle 42 × 47 m ; niveaux 0. Détails dans catalogue-existant.json.</x:v>
      </x:c>
    </x:row>
    <x:row r="2616">
      <x:c r="A2616" t="str">
        <x:v>DW-2611</x:v>
      </x:c>
      <x:c r="B2616" t="str">
        <x:v>DW-0806</x:v>
      </x:c>
      <x:c r="C2616" t="str">
        <x:v>Composition héritée</x:v>
      </x:c>
      <x:c r="D2616" t="str">
        <x:v>transport</x:v>
      </x:c>
      <x:c r="E2616" t="str">
        <x:v>Dépôt de bus — variante 05 — Gare et fret / relais temporaire envisagé</x:v>
      </x:c>
      <x:c r="F2616" t="n">
        <x:v>10</x:v>
      </x:c>
      <x:c r="G2616" t="n">
        <x:v>5</x:v>
      </x:c>
      <x:c r="H2616" t="n">
        <x:v>0</x:v>
      </x:c>
      <x:c r="I2616" t="str">
        <x:v>À qualifier par lieu</x:v>
      </x:c>
      <x:c r="J2616" t="str">
        <x:v>https://github.com/darknigthmare/deadwall-last-enclosure/blob/1b3b9c5ba232734b1bda3453b4e20a0481bcdd74/codex-3000/compositions/transport/DW-2611.md</x:v>
      </x:c>
      <x:c r="K2616" t="str">
        <x:v>Source min 53,10 m ; max 53,10 m ; modèle 53 × 22 m ; niveaux 0. Détails dans catalogue-existant.json.</x:v>
      </x:c>
    </x:row>
    <x:row r="2617">
      <x:c r="A2617" t="str">
        <x:v>DW-2612</x:v>
      </x:c>
      <x:c r="B2617" t="str">
        <x:v>DW-0806</x:v>
      </x:c>
      <x:c r="C2617" t="str">
        <x:v>Composition héritée</x:v>
      </x:c>
      <x:c r="D2617" t="str">
        <x:v>transport</x:v>
      </x:c>
      <x:c r="E2617" t="str">
        <x:v>Dépôt de bus — variante 05 — Routes et coutures territoriales / évacuation interrompue</x:v>
      </x:c>
      <x:c r="F2617" t="n">
        <x:v>10</x:v>
      </x:c>
      <x:c r="G2617" t="n">
        <x:v>5</x:v>
      </x:c>
      <x:c r="H2617" t="n">
        <x:v>0</x:v>
      </x:c>
      <x:c r="I2617" t="str">
        <x:v>À qualifier par lieu</x:v>
      </x:c>
      <x:c r="J2617" t="str">
        <x:v>https://github.com/darknigthmare/deadwall-last-enclosure/blob/1b3b9c5ba232734b1bda3453b4e20a0481bcdd74/codex-3000/compositions/transport/DW-2612.md</x:v>
      </x:c>
      <x:c r="K2617" t="str">
        <x:v>Source min 53,10 m ; max 53,10 m ; modèle 53 × 22 m ; niveaux 0. Détails dans catalogue-existant.json.</x:v>
      </x:c>
    </x:row>
    <x:row r="2618">
      <x:c r="A2618" t="str">
        <x:v>DW-2613</x:v>
      </x:c>
      <x:c r="B2618" t="str">
        <x:v>DW-0807</x:v>
      </x:c>
      <x:c r="C2618" t="str">
        <x:v>Composition héritée</x:v>
      </x:c>
      <x:c r="D2618" t="str">
        <x:v>transport</x:v>
      </x:c>
      <x:c r="E2618" t="str">
        <x:v>Gare ferroviaire — variante 05 — Port marchand / réseau principal coupé</x:v>
      </x:c>
      <x:c r="F2618" t="n">
        <x:v>10</x:v>
      </x:c>
      <x:c r="G2618" t="n">
        <x:v>5</x:v>
      </x:c>
      <x:c r="H2618" t="n">
        <x:v>0</x:v>
      </x:c>
      <x:c r="I2618" t="str">
        <x:v>À qualifier par lieu</x:v>
      </x:c>
      <x:c r="J2618" t="str">
        <x:v>https://github.com/darknigthmare/deadwall-last-enclosure/blob/1b3b9c5ba232734b1bda3453b4e20a0481bcdd74/codex-3000/compositions/transport/DW-2613.md</x:v>
      </x:c>
      <x:c r="K2618" t="str">
        <x:v>Source min 64,27 m ; max 64,27 m ; modèle 64 × 27 m ; niveaux 0. Détails dans catalogue-existant.json.</x:v>
      </x:c>
    </x:row>
    <x:row r="2619">
      <x:c r="A2619" t="str">
        <x:v>DW-2614</x:v>
      </x:c>
      <x:c r="B2619" t="str">
        <x:v>DW-0807</x:v>
      </x:c>
      <x:c r="C2619" t="str">
        <x:v>Composition héritée</x:v>
      </x:c>
      <x:c r="D2619" t="str">
        <x:v>transport</x:v>
      </x:c>
      <x:c r="E2619" t="str">
        <x:v>Gare ferroviaire — variante 05 — Station-service et aire routière / arrêt de maintenance</x:v>
      </x:c>
      <x:c r="F2619" t="n">
        <x:v>8</x:v>
      </x:c>
      <x:c r="G2619" t="n">
        <x:v>5</x:v>
      </x:c>
      <x:c r="H2619" t="n">
        <x:v>0</x:v>
      </x:c>
      <x:c r="I2619" t="str">
        <x:v>À qualifier par lieu</x:v>
      </x:c>
      <x:c r="J2619" t="str">
        <x:v>https://github.com/darknigthmare/deadwall-last-enclosure/blob/1b3b9c5ba232734b1bda3453b4e20a0481bcdd74/codex-3000/compositions/transport/DW-2614.md</x:v>
      </x:c>
      <x:c r="K2619" t="str">
        <x:v>Source min 64,27 m ; max 64,27 m ; modèle 64 × 27 m ; niveaux 0. Détails dans catalogue-existant.json.</x:v>
      </x:c>
    </x:row>
    <x:row r="2620">
      <x:c r="A2620" t="str">
        <x:v>DW-2615</x:v>
      </x:c>
      <x:c r="B2620" t="str">
        <x:v>DW-0808</x:v>
      </x:c>
      <x:c r="C2620" t="str">
        <x:v>Composition héritée</x:v>
      </x:c>
      <x:c r="D2620" t="str">
        <x:v>transport</x:v>
      </x:c>
      <x:c r="E2620" t="str">
        <x:v>Aire d'autoroute — variante 05 — Routes et coutures territoriales / repli organisé interrompu</x:v>
      </x:c>
      <x:c r="F2620" t="n">
        <x:v>10</x:v>
      </x:c>
      <x:c r="G2620" t="n">
        <x:v>5</x:v>
      </x:c>
      <x:c r="H2620" t="n">
        <x:v>0</x:v>
      </x:c>
      <x:c r="I2620" t="str">
        <x:v>À qualifier par lieu</x:v>
      </x:c>
      <x:c r="J2620" t="str">
        <x:v>https://github.com/darknigthmare/deadwall-last-enclosure/blob/1b3b9c5ba232734b1bda3453b4e20a0481bcdd74/codex-3000/compositions/transport/DW-2615.md</x:v>
      </x:c>
      <x:c r="K2620" t="str">
        <x:v>Source min 75,44 m ; max 75,44 m ; modèle 75 × 44 m ; niveaux 0. Détails dans catalogue-existant.json.</x:v>
      </x:c>
    </x:row>
    <x:row r="2621">
      <x:c r="A2621" t="str">
        <x:v>DW-2616</x:v>
      </x:c>
      <x:c r="B2621" t="str">
        <x:v>DW-0808</x:v>
      </x:c>
      <x:c r="C2621" t="str">
        <x:v>Composition héritée</x:v>
      </x:c>
      <x:c r="D2621" t="str">
        <x:v>transport</x:v>
      </x:c>
      <x:c r="E2621" t="str">
        <x:v>Aire d'autoroute — variante 05 — Gare et fret / première récupération passée</x:v>
      </x:c>
      <x:c r="F2621" t="n">
        <x:v>10</x:v>
      </x:c>
      <x:c r="G2621" t="n">
        <x:v>5</x:v>
      </x:c>
      <x:c r="H2621" t="n">
        <x:v>0</x:v>
      </x:c>
      <x:c r="I2621" t="str">
        <x:v>À qualifier par lieu</x:v>
      </x:c>
      <x:c r="J2621" t="str">
        <x:v>https://github.com/darknigthmare/deadwall-last-enclosure/blob/1b3b9c5ba232734b1bda3453b4e20a0481bcdd74/codex-3000/compositions/transport/DW-2616.md</x:v>
      </x:c>
      <x:c r="K2621" t="str">
        <x:v>Source min 75,44 m ; max 75,44 m ; modèle 75 × 44 m ; niveaux 0. Détails dans catalogue-existant.json.</x:v>
      </x:c>
    </x:row>
    <x:row r="2622">
      <x:c r="A2622" t="str">
        <x:v>DW-2617</x:v>
      </x:c>
      <x:c r="B2622" t="str">
        <x:v>DW-0809</x:v>
      </x:c>
      <x:c r="C2622" t="str">
        <x:v>Composition héritée</x:v>
      </x:c>
      <x:c r="D2622" t="str">
        <x:v>transport</x:v>
      </x:c>
      <x:c r="E2622" t="str">
        <x:v>Parking silo — variante 05 — Station-service et aire routière / évacuation interrompue</x:v>
      </x:c>
      <x:c r="F2622" t="n">
        <x:v>8</x:v>
      </x:c>
      <x:c r="G2622" t="n">
        <x:v>4</x:v>
      </x:c>
      <x:c r="H2622" t="n">
        <x:v>0</x:v>
      </x:c>
      <x:c r="I2622" t="str">
        <x:v>À qualifier par lieu</x:v>
      </x:c>
      <x:c r="J2622" t="str">
        <x:v>https://github.com/darknigthmare/deadwall-last-enclosure/blob/1b3b9c5ba232734b1bda3453b4e20a0481bcdd74/codex-3000/compositions/transport/DW-2617.md</x:v>
      </x:c>
      <x:c r="K2622" t="str">
        <x:v>Source min 14,61 m ; max 14,61 m ; modèle 25 × 61 m ; niveaux 0. Détails dans catalogue-existant.json.</x:v>
      </x:c>
    </x:row>
    <x:row r="2623">
      <x:c r="A2623" t="str">
        <x:v>DW-2618</x:v>
      </x:c>
      <x:c r="B2623" t="str">
        <x:v>DW-0809</x:v>
      </x:c>
      <x:c r="C2623" t="str">
        <x:v>Composition héritée</x:v>
      </x:c>
      <x:c r="D2623" t="str">
        <x:v>transport</x:v>
      </x:c>
      <x:c r="E2623" t="str">
        <x:v>Parking silo — variante 05 — Port marchand / service déplacé à l’arrière</x:v>
      </x:c>
      <x:c r="F2623" t="n">
        <x:v>10</x:v>
      </x:c>
      <x:c r="G2623" t="n">
        <x:v>4</x:v>
      </x:c>
      <x:c r="H2623" t="n">
        <x:v>0</x:v>
      </x:c>
      <x:c r="I2623" t="str">
        <x:v>À qualifier par lieu</x:v>
      </x:c>
      <x:c r="J2623" t="str">
        <x:v>https://github.com/darknigthmare/deadwall-last-enclosure/blob/1b3b9c5ba232734b1bda3453b4e20a0481bcdd74/codex-3000/compositions/transport/DW-2618.md</x:v>
      </x:c>
      <x:c r="K2623" t="str">
        <x:v>Source min 14,61 m ; max 14,61 m ; modèle 25 × 61 m ; niveaux 0. Détails dans catalogue-existant.json.</x:v>
      </x:c>
    </x:row>
    <x:row r="2624">
      <x:c r="A2624" t="str">
        <x:v>DW-2619</x:v>
      </x:c>
      <x:c r="B2624" t="str">
        <x:v>DW-0810</x:v>
      </x:c>
      <x:c r="C2624" t="str">
        <x:v>Composition héritée</x:v>
      </x:c>
      <x:c r="D2624" t="str">
        <x:v>transport</x:v>
      </x:c>
      <x:c r="E2624" t="str">
        <x:v>Terminal poids lourds — variante 05 — Gare et fret / arrêt de maintenance</x:v>
      </x:c>
      <x:c r="F2624" t="n">
        <x:v>10</x:v>
      </x:c>
      <x:c r="G2624" t="n">
        <x:v>5</x:v>
      </x:c>
      <x:c r="H2624" t="n">
        <x:v>0</x:v>
      </x:c>
      <x:c r="I2624" t="str">
        <x:v>À qualifier par lieu</x:v>
      </x:c>
      <x:c r="J2624" t="str">
        <x:v>https://github.com/darknigthmare/deadwall-last-enclosure/blob/1b3b9c5ba232734b1bda3453b4e20a0481bcdd74/codex-3000/compositions/transport/DW-2619.md</x:v>
      </x:c>
      <x:c r="K2624" t="str">
        <x:v>Source min 25,24 m ; max 25,24 m ; modèle 26 × 24 m ; niveaux 0. Détails dans catalogue-existant.json.</x:v>
      </x:c>
    </x:row>
    <x:row r="2625">
      <x:c r="A2625" t="str">
        <x:v>DW-2620</x:v>
      </x:c>
      <x:c r="B2625" t="str">
        <x:v>DW-0810</x:v>
      </x:c>
      <x:c r="C2625" t="str">
        <x:v>Composition héritée</x:v>
      </x:c>
      <x:c r="D2625" t="str">
        <x:v>transport</x:v>
      </x:c>
      <x:c r="E2625" t="str">
        <x:v>Terminal poids lourds — variante 05 — Routes et coutures territoriales / reprise progressive de la végétation</x:v>
      </x:c>
      <x:c r="F2625" t="n">
        <x:v>10</x:v>
      </x:c>
      <x:c r="G2625" t="n">
        <x:v>5</x:v>
      </x:c>
      <x:c r="H2625" t="n">
        <x:v>0</x:v>
      </x:c>
      <x:c r="I2625" t="str">
        <x:v>À qualifier par lieu</x:v>
      </x:c>
      <x:c r="J2625" t="str">
        <x:v>https://github.com/darknigthmare/deadwall-last-enclosure/blob/1b3b9c5ba232734b1bda3453b4e20a0481bcdd74/codex-3000/compositions/transport/DW-2620.md</x:v>
      </x:c>
      <x:c r="K2625" t="str">
        <x:v>Source min 25,24 m ; max 25,24 m ; modèle 26 × 24 m ; niveaux 0. Détails dans catalogue-existant.json.</x:v>
      </x:c>
    </x:row>
    <x:row r="2626">
      <x:c r="A2626" t="str">
        <x:v>DW-2621</x:v>
      </x:c>
      <x:c r="B2626" t="str">
        <x:v>DW-0811</x:v>
      </x:c>
      <x:c r="C2626" t="str">
        <x:v>Composition héritée</x:v>
      </x:c>
      <x:c r="D2626" t="str">
        <x:v>transport</x:v>
      </x:c>
      <x:c r="E2626" t="str">
        <x:v>Port de plaisance — variante 05 — Port marchand / première récupération passée</x:v>
      </x:c>
      <x:c r="F2626" t="n">
        <x:v>10</x:v>
      </x:c>
      <x:c r="G2626" t="n">
        <x:v>5</x:v>
      </x:c>
      <x:c r="H2626" t="n">
        <x:v>0</x:v>
      </x:c>
      <x:c r="I2626" t="str">
        <x:v>À qualifier par lieu</x:v>
      </x:c>
      <x:c r="J2626" t="str">
        <x:v>https://github.com/darknigthmare/deadwall-last-enclosure/blob/1b3b9c5ba232734b1bda3453b4e20a0481bcdd74/codex-3000/compositions/transport/DW-2621.md</x:v>
      </x:c>
      <x:c r="K2626" t="str">
        <x:v>Source min 36,41 m ; max 36,41 m ; modèle 36 × 41 m ; niveaux 0. Détails dans catalogue-existant.json.</x:v>
      </x:c>
    </x:row>
    <x:row r="2627">
      <x:c r="A2627" t="str">
        <x:v>DW-2622</x:v>
      </x:c>
      <x:c r="B2627" t="str">
        <x:v>DW-0811</x:v>
      </x:c>
      <x:c r="C2627" t="str">
        <x:v>Composition héritée</x:v>
      </x:c>
      <x:c r="D2627" t="str">
        <x:v>transport</x:v>
      </x:c>
      <x:c r="E2627" t="str">
        <x:v>Port de plaisance — variante 05 — Station-service et aire routière / relais temporaire envisagé</x:v>
      </x:c>
      <x:c r="F2627" t="n">
        <x:v>8</x:v>
      </x:c>
      <x:c r="G2627" t="n">
        <x:v>5</x:v>
      </x:c>
      <x:c r="H2627" t="n">
        <x:v>0</x:v>
      </x:c>
      <x:c r="I2627" t="str">
        <x:v>À qualifier par lieu</x:v>
      </x:c>
      <x:c r="J2627" t="str">
        <x:v>https://github.com/darknigthmare/deadwall-last-enclosure/blob/1b3b9c5ba232734b1bda3453b4e20a0481bcdd74/codex-3000/compositions/transport/DW-2622.md</x:v>
      </x:c>
      <x:c r="K2627" t="str">
        <x:v>Source min 36,41 m ; max 36,41 m ; modèle 36 × 41 m ; niveaux 0. Détails dans catalogue-existant.json.</x:v>
      </x:c>
    </x:row>
    <x:row r="2628">
      <x:c r="A2628" t="str">
        <x:v>DW-2623</x:v>
      </x:c>
      <x:c r="B2628" t="str">
        <x:v>DW-0812</x:v>
      </x:c>
      <x:c r="C2628" t="str">
        <x:v>Composition héritée</x:v>
      </x:c>
      <x:c r="D2628" t="str">
        <x:v>transport</x:v>
      </x:c>
      <x:c r="E2628" t="str">
        <x:v>Petit aérodrome — variante 05 — Routes et coutures territoriales / service déplacé à l’arrière</x:v>
      </x:c>
      <x:c r="F2628" t="n">
        <x:v>10</x:v>
      </x:c>
      <x:c r="G2628" t="n">
        <x:v>5</x:v>
      </x:c>
      <x:c r="H2628" t="n">
        <x:v>0</x:v>
      </x:c>
      <x:c r="I2628" t="str">
        <x:v>À qualifier par lieu</x:v>
      </x:c>
      <x:c r="J2628" t="str">
        <x:v>https://github.com/darknigthmare/deadwall-last-enclosure/blob/1b3b9c5ba232734b1bda3453b4e20a0481bcdd74/codex-3000/compositions/transport/DW-2623.md</x:v>
      </x:c>
      <x:c r="K2628" t="str">
        <x:v>Source min 47,58 m ; max 47,58 m ; modèle 47 × 58 m ; niveaux 0. Détails dans catalogue-existant.json.</x:v>
      </x:c>
    </x:row>
    <x:row r="2629">
      <x:c r="A2629" t="str">
        <x:v>DW-2624</x:v>
      </x:c>
      <x:c r="B2629" t="str">
        <x:v>DW-0812</x:v>
      </x:c>
      <x:c r="C2629" t="str">
        <x:v>Composition héritée</x:v>
      </x:c>
      <x:c r="D2629" t="str">
        <x:v>transport</x:v>
      </x:c>
      <x:c r="E2629" t="str">
        <x:v>Petit aérodrome — variante 05 — Gare et fret / réseau principal coupé</x:v>
      </x:c>
      <x:c r="F2629" t="n">
        <x:v>10</x:v>
      </x:c>
      <x:c r="G2629" t="n">
        <x:v>5</x:v>
      </x:c>
      <x:c r="H2629" t="n">
        <x:v>0</x:v>
      </x:c>
      <x:c r="I2629" t="str">
        <x:v>À qualifier par lieu</x:v>
      </x:c>
      <x:c r="J2629" t="str">
        <x:v>https://github.com/darknigthmare/deadwall-last-enclosure/blob/1b3b9c5ba232734b1bda3453b4e20a0481bcdd74/codex-3000/compositions/transport/DW-2624.md</x:v>
      </x:c>
      <x:c r="K2629" t="str">
        <x:v>Source min 47,58 m ; max 47,58 m ; modèle 47 × 58 m ; niveaux 0. Détails dans catalogue-existant.json.</x:v>
      </x:c>
    </x:row>
    <x:row r="2630">
      <x:c r="A2630" t="str">
        <x:v>DW-2625</x:v>
      </x:c>
      <x:c r="B2630" t="str">
        <x:v>DW-0813</x:v>
      </x:c>
      <x:c r="C2630" t="str">
        <x:v>Composition héritée</x:v>
      </x:c>
      <x:c r="D2630" t="str">
        <x:v>ruines</x:v>
      </x:c>
      <x:c r="E2630" t="str">
        <x:v>Maison incendiée — variante 05 — Ruine envahie et reprise végétale / reprise progressive de la végétation</x:v>
      </x:c>
      <x:c r="F2630" t="n">
        <x:v>8</x:v>
      </x:c>
      <x:c r="G2630" t="n">
        <x:v>3</x:v>
      </x:c>
      <x:c r="H2630" t="n">
        <x:v>0</x:v>
      </x:c>
      <x:c r="I2630" t="str">
        <x:v>À qualifier par lieu</x:v>
      </x:c>
      <x:c r="J2630" t="str">
        <x:v>https://github.com/darknigthmare/deadwall-last-enclosure/blob/1b3b9c5ba232734b1bda3453b4e20a0481bcdd74/codex-3000/compositions/ruines/DW-2625.md</x:v>
      </x:c>
      <x:c r="K2630" t="str">
        <x:v>Source min 58,21 m ; max 58,21 m ; modèle 58 × 21 m ; niveaux 0, 1. Détails dans catalogue-existant.json.</x:v>
      </x:c>
    </x:row>
    <x:row r="2631">
      <x:c r="A2631" t="str">
        <x:v>DW-2626</x:v>
      </x:c>
      <x:c r="B2631" t="str">
        <x:v>DW-0813</x:v>
      </x:c>
      <x:c r="C2631" t="str">
        <x:v>Composition héritée</x:v>
      </x:c>
      <x:c r="D2631" t="str">
        <x:v>ruines</x:v>
      </x:c>
      <x:c r="E2631" t="str">
        <x:v>Maison incendiée — variante 05 — Zone industrielle / repli organisé interrompu</x:v>
      </x:c>
      <x:c r="F2631" t="n">
        <x:v>8</x:v>
      </x:c>
      <x:c r="G2631" t="n">
        <x:v>3</x:v>
      </x:c>
      <x:c r="H2631" t="n">
        <x:v>0</x:v>
      </x:c>
      <x:c r="I2631" t="str">
        <x:v>À qualifier par lieu</x:v>
      </x:c>
      <x:c r="J2631" t="str">
        <x:v>https://github.com/darknigthmare/deadwall-last-enclosure/blob/1b3b9c5ba232734b1bda3453b4e20a0481bcdd74/codex-3000/compositions/ruines/DW-2626.md</x:v>
      </x:c>
      <x:c r="K2631" t="str">
        <x:v>Source min 58,21 m ; max 58,21 m ; modèle 58 × 21 m ; niveaux 0, 1. Détails dans catalogue-existant.json.</x:v>
      </x:c>
    </x:row>
    <x:row r="2632">
      <x:c r="A2632" t="str">
        <x:v>DW-2627</x:v>
      </x:c>
      <x:c r="B2632" t="str">
        <x:v>DW-0814</x:v>
      </x:c>
      <x:c r="C2632" t="str">
        <x:v>Composition héritée</x:v>
      </x:c>
      <x:c r="D2632" t="str">
        <x:v>ruines</x:v>
      </x:c>
      <x:c r="E2632" t="str">
        <x:v>Immeuble éventré — variante 05 — Centre ancien / relais temporaire envisagé</x:v>
      </x:c>
      <x:c r="F2632" t="n">
        <x:v>8</x:v>
      </x:c>
      <x:c r="G2632" t="n">
        <x:v>4</x:v>
      </x:c>
      <x:c r="H2632" t="n">
        <x:v>0</x:v>
      </x:c>
      <x:c r="I2632" t="str">
        <x:v>À qualifier par lieu</x:v>
      </x:c>
      <x:c r="J2632" t="str">
        <x:v>https://github.com/darknigthmare/deadwall-last-enclosure/blob/1b3b9c5ba232734b1bda3453b4e20a0481bcdd74/codex-3000/compositions/ruines/DW-2627.md</x:v>
      </x:c>
      <x:c r="K2632" t="str">
        <x:v>Source min 69,38 m ; max 69,38 m ; modèle 69 × 38 m ; niveaux 0, 1, 2. Détails dans catalogue-existant.json.</x:v>
      </x:c>
    </x:row>
    <x:row r="2633">
      <x:c r="A2633" t="str">
        <x:v>DW-2628</x:v>
      </x:c>
      <x:c r="B2633" t="str">
        <x:v>DW-0814</x:v>
      </x:c>
      <x:c r="C2633" t="str">
        <x:v>Composition héritée</x:v>
      </x:c>
      <x:c r="D2633" t="str">
        <x:v>ruines</x:v>
      </x:c>
      <x:c r="E2633" t="str">
        <x:v>Immeuble éventré — variante 05 — Petit bois et lisière / évacuation interrompue</x:v>
      </x:c>
      <x:c r="F2633" t="n">
        <x:v>8</x:v>
      </x:c>
      <x:c r="G2633" t="n">
        <x:v>4</x:v>
      </x:c>
      <x:c r="H2633" t="n">
        <x:v>0</x:v>
      </x:c>
      <x:c r="I2633" t="str">
        <x:v>À qualifier par lieu</x:v>
      </x:c>
      <x:c r="J2633" t="str">
        <x:v>https://github.com/darknigthmare/deadwall-last-enclosure/blob/1b3b9c5ba232734b1bda3453b4e20a0481bcdd74/codex-3000/compositions/ruines/DW-2628.md</x:v>
      </x:c>
      <x:c r="K2633" t="str">
        <x:v>Source min 69,38 m ; max 69,38 m ; modèle 69 × 38 m ; niveaux 0, 1, 2. Détails dans catalogue-existant.json.</x:v>
      </x:c>
    </x:row>
    <x:row r="2634">
      <x:c r="A2634" t="str">
        <x:v>DW-2629</x:v>
      </x:c>
      <x:c r="B2634" t="str">
        <x:v>DW-0815</x:v>
      </x:c>
      <x:c r="C2634" t="str">
        <x:v>Composition héritée</x:v>
      </x:c>
      <x:c r="D2634" t="str">
        <x:v>ruines</x:v>
      </x:c>
      <x:c r="E2634" t="str">
        <x:v>Commerce pillé — variante 05 — Zone industrielle / réseau principal coupé</x:v>
      </x:c>
      <x:c r="F2634" t="n">
        <x:v>8</x:v>
      </x:c>
      <x:c r="G2634" t="n">
        <x:v>4</x:v>
      </x:c>
      <x:c r="H2634" t="n">
        <x:v>0</x:v>
      </x:c>
      <x:c r="I2634" t="str">
        <x:v>À qualifier par lieu</x:v>
      </x:c>
      <x:c r="J2634" t="str">
        <x:v>https://github.com/darknigthmare/deadwall-last-enclosure/blob/1b3b9c5ba232734b1bda3453b4e20a0481bcdd74/codex-3000/compositions/ruines/DW-2629.md</x:v>
      </x:c>
      <x:c r="K2634" t="str">
        <x:v>Source min 80,55 m ; max 80,55 m ; modèle 78 × 55 m ; niveaux 0. Détails dans catalogue-existant.json.</x:v>
      </x:c>
    </x:row>
    <x:row r="2635">
      <x:c r="A2635" t="str">
        <x:v>DW-2630</x:v>
      </x:c>
      <x:c r="B2635" t="str">
        <x:v>DW-0815</x:v>
      </x:c>
      <x:c r="C2635" t="str">
        <x:v>Composition héritée</x:v>
      </x:c>
      <x:c r="D2635" t="str">
        <x:v>ruines</x:v>
      </x:c>
      <x:c r="E2635" t="str">
        <x:v>Commerce pillé — variante 05 — Ruine envahie et reprise végétale / arrêt de maintenance</x:v>
      </x:c>
      <x:c r="F2635" t="n">
        <x:v>8</x:v>
      </x:c>
      <x:c r="G2635" t="n">
        <x:v>4</x:v>
      </x:c>
      <x:c r="H2635" t="n">
        <x:v>0</x:v>
      </x:c>
      <x:c r="I2635" t="str">
        <x:v>À qualifier par lieu</x:v>
      </x:c>
      <x:c r="J2635" t="str">
        <x:v>https://github.com/darknigthmare/deadwall-last-enclosure/blob/1b3b9c5ba232734b1bda3453b4e20a0481bcdd74/codex-3000/compositions/ruines/DW-2630.md</x:v>
      </x:c>
      <x:c r="K2635" t="str">
        <x:v>Source min 80,55 m ; max 80,55 m ; modèle 78 × 55 m ; niveaux 0. Détails dans catalogue-existant.json.</x:v>
      </x:c>
    </x:row>
    <x:row r="2636">
      <x:c r="A2636" t="str">
        <x:v>DW-2631</x:v>
      </x:c>
      <x:c r="B2636" t="str">
        <x:v>DW-0816</x:v>
      </x:c>
      <x:c r="C2636" t="str">
        <x:v>Composition héritée</x:v>
      </x:c>
      <x:c r="D2636" t="str">
        <x:v>ruines</x:v>
      </x:c>
      <x:c r="E2636" t="str">
        <x:v>Usine sinistrée — variante 05 — Petit bois et lisière / repli organisé interrompu</x:v>
      </x:c>
      <x:c r="F2636" t="n">
        <x:v>8</x:v>
      </x:c>
      <x:c r="G2636" t="n">
        <x:v>4</x:v>
      </x:c>
      <x:c r="H2636" t="n">
        <x:v>0</x:v>
      </x:c>
      <x:c r="I2636" t="str">
        <x:v>À qualifier par lieu</x:v>
      </x:c>
      <x:c r="J2636" t="str">
        <x:v>https://github.com/darknigthmare/deadwall-last-enclosure/blob/1b3b9c5ba232734b1bda3453b4e20a0481bcdd74/codex-3000/compositions/ruines/DW-2631.md</x:v>
      </x:c>
      <x:c r="K2636" t="str">
        <x:v>Source min 19,18 m ; max 19,18 m ; modèle 25 × 18 m ; niveaux 0. Détails dans catalogue-existant.json.</x:v>
      </x:c>
    </x:row>
    <x:row r="2637">
      <x:c r="A2637" t="str">
        <x:v>DW-2632</x:v>
      </x:c>
      <x:c r="B2637" t="str">
        <x:v>DW-0816</x:v>
      </x:c>
      <x:c r="C2637" t="str">
        <x:v>Composition héritée</x:v>
      </x:c>
      <x:c r="D2637" t="str">
        <x:v>ruines</x:v>
      </x:c>
      <x:c r="E2637" t="str">
        <x:v>Usine sinistrée — variante 05 — Centre ancien / première récupération passée</x:v>
      </x:c>
      <x:c r="F2637" t="n">
        <x:v>8</x:v>
      </x:c>
      <x:c r="G2637" t="n">
        <x:v>4</x:v>
      </x:c>
      <x:c r="H2637" t="n">
        <x:v>0</x:v>
      </x:c>
      <x:c r="I2637" t="str">
        <x:v>À qualifier par lieu</x:v>
      </x:c>
      <x:c r="J2637" t="str">
        <x:v>https://github.com/darknigthmare/deadwall-last-enclosure/blob/1b3b9c5ba232734b1bda3453b4e20a0481bcdd74/codex-3000/compositions/ruines/DW-2632.md</x:v>
      </x:c>
      <x:c r="K2637" t="str">
        <x:v>Source min 19,18 m ; max 19,18 m ; modèle 25 × 18 m ; niveaux 0. Détails dans catalogue-existant.json.</x:v>
      </x:c>
    </x:row>
    <x:row r="2638">
      <x:c r="A2638" t="str">
        <x:v>DW-2633</x:v>
      </x:c>
      <x:c r="B2638" t="str">
        <x:v>DW-0817</x:v>
      </x:c>
      <x:c r="C2638" t="str">
        <x:v>Composition héritée</x:v>
      </x:c>
      <x:c r="D2638" t="str">
        <x:v>ruines</x:v>
      </x:c>
      <x:c r="E2638" t="str">
        <x:v>Hôtel abandonné — variante 05 — Ruine envahie et reprise végétale / évacuation interrompue</x:v>
      </x:c>
      <x:c r="F2638" t="n">
        <x:v>8</x:v>
      </x:c>
      <x:c r="G2638" t="n">
        <x:v>5</x:v>
      </x:c>
      <x:c r="H2638" t="n">
        <x:v>0</x:v>
      </x:c>
      <x:c r="I2638" t="str">
        <x:v>À qualifier par lieu</x:v>
      </x:c>
      <x:c r="J2638" t="str">
        <x:v>https://github.com/darknigthmare/deadwall-last-enclosure/blob/1b3b9c5ba232734b1bda3453b4e20a0481bcdd74/codex-3000/compositions/ruines/DW-2633.md</x:v>
      </x:c>
      <x:c r="K2638" t="str">
        <x:v>Source min 30,35 m ; max 30,35 m ; modèle 30 × 35 m ; niveaux 0, 1. Détails dans catalogue-existant.json.</x:v>
      </x:c>
    </x:row>
    <x:row r="2639">
      <x:c r="A2639" t="str">
        <x:v>DW-2634</x:v>
      </x:c>
      <x:c r="B2639" t="str">
        <x:v>DW-0817</x:v>
      </x:c>
      <x:c r="C2639" t="str">
        <x:v>Composition héritée</x:v>
      </x:c>
      <x:c r="D2639" t="str">
        <x:v>ruines</x:v>
      </x:c>
      <x:c r="E2639" t="str">
        <x:v>Hôtel abandonné — variante 05 — Zone industrielle / service déplacé à l’arrière</x:v>
      </x:c>
      <x:c r="F2639" t="n">
        <x:v>8</x:v>
      </x:c>
      <x:c r="G2639" t="n">
        <x:v>5</x:v>
      </x:c>
      <x:c r="H2639" t="n">
        <x:v>0</x:v>
      </x:c>
      <x:c r="I2639" t="str">
        <x:v>À qualifier par lieu</x:v>
      </x:c>
      <x:c r="J2639" t="str">
        <x:v>https://github.com/darknigthmare/deadwall-last-enclosure/blob/1b3b9c5ba232734b1bda3453b4e20a0481bcdd74/codex-3000/compositions/ruines/DW-2634.md</x:v>
      </x:c>
      <x:c r="K2639" t="str">
        <x:v>Source min 30,35 m ; max 30,35 m ; modèle 30 × 35 m ; niveaux 0, 1. Détails dans catalogue-existant.json.</x:v>
      </x:c>
    </x:row>
    <x:row r="2640">
      <x:c r="A2640" t="str">
        <x:v>DW-2635</x:v>
      </x:c>
      <x:c r="B2640" t="str">
        <x:v>DW-0818</x:v>
      </x:c>
      <x:c r="C2640" t="str">
        <x:v>Composition héritée</x:v>
      </x:c>
      <x:c r="D2640" t="str">
        <x:v>ruines</x:v>
      </x:c>
      <x:c r="E2640" t="str">
        <x:v>Lotissement ravagé — variante 05 — Centre ancien / arrêt de maintenance</x:v>
      </x:c>
      <x:c r="F2640" t="n">
        <x:v>8</x:v>
      </x:c>
      <x:c r="G2640" t="n">
        <x:v>4</x:v>
      </x:c>
      <x:c r="H2640" t="n">
        <x:v>0</x:v>
      </x:c>
      <x:c r="I2640" t="str">
        <x:v>À qualifier par lieu</x:v>
      </x:c>
      <x:c r="J2640" t="str">
        <x:v>https://github.com/darknigthmare/deadwall-last-enclosure/blob/1b3b9c5ba232734b1bda3453b4e20a0481bcdd74/codex-3000/compositions/ruines/DW-2635.md</x:v>
      </x:c>
      <x:c r="K2640" t="str">
        <x:v>Source min 41,52 m ; max 41,52 m ; modèle 41 × 52 m ; niveaux 0. Détails dans catalogue-existant.json.</x:v>
      </x:c>
    </x:row>
    <x:row r="2641">
      <x:c r="A2641" t="str">
        <x:v>DW-2636</x:v>
      </x:c>
      <x:c r="B2641" t="str">
        <x:v>DW-0818</x:v>
      </x:c>
      <x:c r="C2641" t="str">
        <x:v>Composition héritée</x:v>
      </x:c>
      <x:c r="D2641" t="str">
        <x:v>ruines</x:v>
      </x:c>
      <x:c r="E2641" t="str">
        <x:v>Lotissement ravagé — variante 05 — Petit bois et lisière / reprise progressive de la végétation</x:v>
      </x:c>
      <x:c r="F2641" t="n">
        <x:v>8</x:v>
      </x:c>
      <x:c r="G2641" t="n">
        <x:v>4</x:v>
      </x:c>
      <x:c r="H2641" t="n">
        <x:v>0</x:v>
      </x:c>
      <x:c r="I2641" t="str">
        <x:v>À qualifier par lieu</x:v>
      </x:c>
      <x:c r="J2641" t="str">
        <x:v>https://github.com/darknigthmare/deadwall-last-enclosure/blob/1b3b9c5ba232734b1bda3453b4e20a0481bcdd74/codex-3000/compositions/ruines/DW-2636.md</x:v>
      </x:c>
      <x:c r="K2641" t="str">
        <x:v>Source min 41,52 m ; max 41,52 m ; modèle 41 × 52 m ; niveaux 0. Détails dans catalogue-existant.json.</x:v>
      </x:c>
    </x:row>
    <x:row r="2642">
      <x:c r="A2642" t="str">
        <x:v>DW-2637</x:v>
      </x:c>
      <x:c r="B2642" t="str">
        <x:v>DW-0819</x:v>
      </x:c>
      <x:c r="C2642" t="str">
        <x:v>Composition héritée</x:v>
      </x:c>
      <x:c r="D2642" t="str">
        <x:v>ruines</x:v>
      </x:c>
      <x:c r="E2642" t="str">
        <x:v>Village déserté — variante 05 — Zone industrielle / première récupération passée</x:v>
      </x:c>
      <x:c r="F2642" t="n">
        <x:v>8</x:v>
      </x:c>
      <x:c r="G2642" t="n">
        <x:v>5</x:v>
      </x:c>
      <x:c r="H2642" t="n">
        <x:v>0</x:v>
      </x:c>
      <x:c r="I2642" t="str">
        <x:v>À qualifier par lieu</x:v>
      </x:c>
      <x:c r="J2642" t="str">
        <x:v>https://github.com/darknigthmare/deadwall-last-enclosure/blob/1b3b9c5ba232734b1bda3453b4e20a0481bcdd74/codex-3000/compositions/ruines/DW-2637.md</x:v>
      </x:c>
      <x:c r="K2642" t="str">
        <x:v>Source min 52,15 m ; max 52,15 m ; modèle 52 × 22 m ; niveaux 0. Détails dans catalogue-existant.json.</x:v>
      </x:c>
    </x:row>
    <x:row r="2643">
      <x:c r="A2643" t="str">
        <x:v>DW-2638</x:v>
      </x:c>
      <x:c r="B2643" t="str">
        <x:v>DW-0819</x:v>
      </x:c>
      <x:c r="C2643" t="str">
        <x:v>Composition héritée</x:v>
      </x:c>
      <x:c r="D2643" t="str">
        <x:v>ruines</x:v>
      </x:c>
      <x:c r="E2643" t="str">
        <x:v>Village déserté — variante 05 — Ruine envahie et reprise végétale / relais temporaire envisagé</x:v>
      </x:c>
      <x:c r="F2643" t="n">
        <x:v>8</x:v>
      </x:c>
      <x:c r="G2643" t="n">
        <x:v>5</x:v>
      </x:c>
      <x:c r="H2643" t="n">
        <x:v>0</x:v>
      </x:c>
      <x:c r="I2643" t="str">
        <x:v>À qualifier par lieu</x:v>
      </x:c>
      <x:c r="J2643" t="str">
        <x:v>https://github.com/darknigthmare/deadwall-last-enclosure/blob/1b3b9c5ba232734b1bda3453b4e20a0481bcdd74/codex-3000/compositions/ruines/DW-2638.md</x:v>
      </x:c>
      <x:c r="K2643" t="str">
        <x:v>Source min 52,15 m ; max 52,15 m ; modèle 52 × 22 m ; niveaux 0. Détails dans catalogue-existant.json.</x:v>
      </x:c>
    </x:row>
    <x:row r="2644">
      <x:c r="A2644" t="str">
        <x:v>DW-2639</x:v>
      </x:c>
      <x:c r="B2644" t="str">
        <x:v>DW-0820</x:v>
      </x:c>
      <x:c r="C2644" t="str">
        <x:v>Composition héritée</x:v>
      </x:c>
      <x:c r="D2644" t="str">
        <x:v>ruines</x:v>
      </x:c>
      <x:c r="E2644" t="str">
        <x:v>Centre commercial effondré — variante 05 — Petit bois et lisière / service déplacé à l’arrière</x:v>
      </x:c>
      <x:c r="F2644" t="n">
        <x:v>8</x:v>
      </x:c>
      <x:c r="G2644" t="n">
        <x:v>5</x:v>
      </x:c>
      <x:c r="H2644" t="n">
        <x:v>0</x:v>
      </x:c>
      <x:c r="I2644" t="str">
        <x:v>À qualifier par lieu</x:v>
      </x:c>
      <x:c r="J2644" t="str">
        <x:v>https://github.com/darknigthmare/deadwall-last-enclosure/blob/1b3b9c5ba232734b1bda3453b4e20a0481bcdd74/codex-3000/compositions/ruines/DW-2639.md</x:v>
      </x:c>
      <x:c r="K2644" t="str">
        <x:v>Source min 63,32 m ; max 63,32 m ; modèle 63 × 32 m ; niveaux 0. Détails dans catalogue-existant.json.</x:v>
      </x:c>
    </x:row>
    <x:row r="2645">
      <x:c r="A2645" t="str">
        <x:v>DW-2640</x:v>
      </x:c>
      <x:c r="B2645" t="str">
        <x:v>DW-0820</x:v>
      </x:c>
      <x:c r="C2645" t="str">
        <x:v>Composition héritée</x:v>
      </x:c>
      <x:c r="D2645" t="str">
        <x:v>ruines</x:v>
      </x:c>
      <x:c r="E2645" t="str">
        <x:v>Centre commercial effondré — variante 05 — Centre ancien / réseau principal coupé</x:v>
      </x:c>
      <x:c r="F2645" t="n">
        <x:v>8</x:v>
      </x:c>
      <x:c r="G2645" t="n">
        <x:v>5</x:v>
      </x:c>
      <x:c r="H2645" t="n">
        <x:v>0</x:v>
      </x:c>
      <x:c r="I2645" t="str">
        <x:v>À qualifier par lieu</x:v>
      </x:c>
      <x:c r="J2645" t="str">
        <x:v>https://github.com/darknigthmare/deadwall-last-enclosure/blob/1b3b9c5ba232734b1bda3453b4e20a0481bcdd74/codex-3000/compositions/ruines/DW-2640.md</x:v>
      </x:c>
      <x:c r="K2645" t="str">
        <x:v>Source min 63,32 m ; max 63,32 m ; modèle 63 × 32 m ; niveaux 0. Détails dans catalogue-existant.json.</x:v>
      </x:c>
    </x:row>
    <x:row r="2646">
      <x:c r="A2646" t="str">
        <x:v>DW-2641</x:v>
      </x:c>
      <x:c r="B2646" t="str">
        <x:v>DW-0821</x:v>
      </x:c>
      <x:c r="C2646" t="str">
        <x:v>Composition héritée</x:v>
      </x:c>
      <x:c r="D2646" t="str">
        <x:v>habitat</x:v>
      </x:c>
      <x:c r="E2646" t="str">
        <x:v>Maison de lotissement — variante 06 — Quartier pavillonnaire / reprise progressive de la végétation</x:v>
      </x:c>
      <x:c r="F2646" t="n">
        <x:v>8</x:v>
      </x:c>
      <x:c r="G2646" t="n">
        <x:v>5</x:v>
      </x:c>
      <x:c r="H2646" t="n">
        <x:v>0</x:v>
      </x:c>
      <x:c r="I2646" t="str">
        <x:v>À qualifier par lieu</x:v>
      </x:c>
      <x:c r="J2646" t="str">
        <x:v>https://github.com/darknigthmare/deadwall-last-enclosure/blob/1b3b9c5ba232734b1bda3453b4e20a0481bcdd74/codex-3000/compositions/habitat/DW-2641.md</x:v>
      </x:c>
      <x:c r="K2646" t="str">
        <x:v>Source min 74,49 m ; max 74,49 m ; modèle 74 × 49 m ; niveaux 0, 1. Détails dans catalogue-existant.json.</x:v>
      </x:c>
    </x:row>
    <x:row r="2647">
      <x:c r="A2647" t="str">
        <x:v>DW-2642</x:v>
      </x:c>
      <x:c r="B2647" t="str">
        <x:v>DW-0821</x:v>
      </x:c>
      <x:c r="C2647" t="str">
        <x:v>Composition héritée</x:v>
      </x:c>
      <x:c r="D2647" t="str">
        <x:v>habitat</x:v>
      </x:c>
      <x:c r="E2647" t="str">
        <x:v>Maison de lotissement — variante 06 — Village et bourg / repli organisé interrompu</x:v>
      </x:c>
      <x:c r="F2647" t="n">
        <x:v>8</x:v>
      </x:c>
      <x:c r="G2647" t="n">
        <x:v>5</x:v>
      </x:c>
      <x:c r="H2647" t="n">
        <x:v>0</x:v>
      </x:c>
      <x:c r="I2647" t="str">
        <x:v>À qualifier par lieu</x:v>
      </x:c>
      <x:c r="J2647" t="str">
        <x:v>https://github.com/darknigthmare/deadwall-last-enclosure/blob/1b3b9c5ba232734b1bda3453b4e20a0481bcdd74/codex-3000/compositions/habitat/DW-2642.md</x:v>
      </x:c>
      <x:c r="K2647" t="str">
        <x:v>Source min 74,49 m ; max 74,49 m ; modèle 74 × 49 m ; niveaux 0, 1. Détails dans catalogue-existant.json.</x:v>
      </x:c>
    </x:row>
    <x:row r="2648">
      <x:c r="A2648" t="str">
        <x:v>DW-2643</x:v>
      </x:c>
      <x:c r="B2648" t="str">
        <x:v>DW-0822</x:v>
      </x:c>
      <x:c r="C2648" t="str">
        <x:v>Composition héritée</x:v>
      </x:c>
      <x:c r="D2648" t="str">
        <x:v>habitat</x:v>
      </x:c>
      <x:c r="E2648" t="str">
        <x:v>Maison mitoyenne — variante 06 — Hameau / relais temporaire envisagé</x:v>
      </x:c>
      <x:c r="F2648" t="n">
        <x:v>8</x:v>
      </x:c>
      <x:c r="G2648" t="n">
        <x:v>5</x:v>
      </x:c>
      <x:c r="H2648" t="n">
        <x:v>0</x:v>
      </x:c>
      <x:c r="I2648" t="str">
        <x:v>À qualifier par lieu</x:v>
      </x:c>
      <x:c r="J2648" t="str">
        <x:v>https://github.com/darknigthmare/deadwall-last-enclosure/blob/1b3b9c5ba232734b1bda3453b4e20a0481bcdd74/codex-3000/compositions/habitat/DW-2643.md</x:v>
      </x:c>
      <x:c r="K2648" t="str">
        <x:v>Source min 13,12 m ; max 13,12 m ; modèle 26 × 22 m ; niveaux 0. Détails dans catalogue-existant.json.</x:v>
      </x:c>
    </x:row>
    <x:row r="2649">
      <x:c r="A2649" t="str">
        <x:v>DW-2644</x:v>
      </x:c>
      <x:c r="B2649" t="str">
        <x:v>DW-0822</x:v>
      </x:c>
      <x:c r="C2649" t="str">
        <x:v>Composition héritée</x:v>
      </x:c>
      <x:c r="D2649" t="str">
        <x:v>habitat</x:v>
      </x:c>
      <x:c r="E2649" t="str">
        <x:v>Maison mitoyenne — variante 06 — Quartier collectif / évacuation interrompue</x:v>
      </x:c>
      <x:c r="F2649" t="n">
        <x:v>8</x:v>
      </x:c>
      <x:c r="G2649" t="n">
        <x:v>5</x:v>
      </x:c>
      <x:c r="H2649" t="n">
        <x:v>0</x:v>
      </x:c>
      <x:c r="I2649" t="str">
        <x:v>À qualifier par lieu</x:v>
      </x:c>
      <x:c r="J2649" t="str">
        <x:v>https://github.com/darknigthmare/deadwall-last-enclosure/blob/1b3b9c5ba232734b1bda3453b4e20a0481bcdd74/codex-3000/compositions/habitat/DW-2644.md</x:v>
      </x:c>
      <x:c r="K2649" t="str">
        <x:v>Source min 13,12 m ; max 13,12 m ; modèle 26 × 22 m ; niveaux 0. Détails dans catalogue-existant.json.</x:v>
      </x:c>
    </x:row>
    <x:row r="2650">
      <x:c r="A2650" t="str">
        <x:v>DW-2645</x:v>
      </x:c>
      <x:c r="B2650" t="str">
        <x:v>DW-0823</x:v>
      </x:c>
      <x:c r="C2650" t="str">
        <x:v>Composition héritée</x:v>
      </x:c>
      <x:c r="D2650" t="str">
        <x:v>habitat</x:v>
      </x:c>
      <x:c r="E2650" t="str">
        <x:v>Villa isolée — variante 06 — Village et bourg / réseau principal coupé</x:v>
      </x:c>
      <x:c r="F2650" t="n">
        <x:v>8</x:v>
      </x:c>
      <x:c r="G2650" t="n">
        <x:v>7</x:v>
      </x:c>
      <x:c r="H2650" t="n">
        <x:v>0</x:v>
      </x:c>
      <x:c r="I2650" t="str">
        <x:v>À qualifier par lieu</x:v>
      </x:c>
      <x:c r="J2650" t="str">
        <x:v>https://github.com/darknigthmare/deadwall-last-enclosure/blob/1b3b9c5ba232734b1bda3453b4e20a0481bcdd74/codex-3000/compositions/habitat/DW-2645.md</x:v>
      </x:c>
      <x:c r="K2650" t="str">
        <x:v>Source min 24,29 m ; max 24,29 m ; modèle 29 × 29 m ; niveaux 0. Détails dans catalogue-existant.json.</x:v>
      </x:c>
    </x:row>
    <x:row r="2651">
      <x:c r="A2651" t="str">
        <x:v>DW-2646</x:v>
      </x:c>
      <x:c r="B2651" t="str">
        <x:v>DW-0823</x:v>
      </x:c>
      <x:c r="C2651" t="str">
        <x:v>Composition héritée</x:v>
      </x:c>
      <x:c r="D2651" t="str">
        <x:v>habitat</x:v>
      </x:c>
      <x:c r="E2651" t="str">
        <x:v>Villa isolée — variante 06 — Quartier pavillonnaire / arrêt de maintenance</x:v>
      </x:c>
      <x:c r="F2651" t="n">
        <x:v>8</x:v>
      </x:c>
      <x:c r="G2651" t="n">
        <x:v>7</x:v>
      </x:c>
      <x:c r="H2651" t="n">
        <x:v>0</x:v>
      </x:c>
      <x:c r="I2651" t="str">
        <x:v>À qualifier par lieu</x:v>
      </x:c>
      <x:c r="J2651" t="str">
        <x:v>https://github.com/darknigthmare/deadwall-last-enclosure/blob/1b3b9c5ba232734b1bda3453b4e20a0481bcdd74/codex-3000/compositions/habitat/DW-2646.md</x:v>
      </x:c>
      <x:c r="K2651" t="str">
        <x:v>Source min 24,29 m ; max 24,29 m ; modèle 29 × 29 m ; niveaux 0. Détails dans catalogue-existant.json.</x:v>
      </x:c>
    </x:row>
    <x:row r="2652">
      <x:c r="A2652" t="str">
        <x:v>DW-2647</x:v>
      </x:c>
      <x:c r="B2652" t="str">
        <x:v>DW-0824</x:v>
      </x:c>
      <x:c r="C2652" t="str">
        <x:v>Composition héritée</x:v>
      </x:c>
      <x:c r="D2652" t="str">
        <x:v>habitat</x:v>
      </x:c>
      <x:c r="E2652" t="str">
        <x:v>Ferme familiale — variante 06 — Quartier collectif / repli organisé interrompu</x:v>
      </x:c>
      <x:c r="F2652" t="n">
        <x:v>8</x:v>
      </x:c>
      <x:c r="G2652" t="n">
        <x:v>6</x:v>
      </x:c>
      <x:c r="H2652" t="n">
        <x:v>0</x:v>
      </x:c>
      <x:c r="I2652" t="str">
        <x:v>À qualifier par lieu</x:v>
      </x:c>
      <x:c r="J2652" t="str">
        <x:v>https://github.com/darknigthmare/deadwall-last-enclosure/blob/1b3b9c5ba232734b1bda3453b4e20a0481bcdd74/codex-3000/compositions/habitat/DW-2647.md</x:v>
      </x:c>
      <x:c r="K2652" t="str">
        <x:v>Source min 35,46 m ; max 35,46 m ; modèle 35 × 46 m ; niveaux 0. Détails dans catalogue-existant.json.</x:v>
      </x:c>
    </x:row>
    <x:row r="2653">
      <x:c r="A2653" t="str">
        <x:v>DW-2648</x:v>
      </x:c>
      <x:c r="B2653" t="str">
        <x:v>DW-0824</x:v>
      </x:c>
      <x:c r="C2653" t="str">
        <x:v>Composition héritée</x:v>
      </x:c>
      <x:c r="D2653" t="str">
        <x:v>habitat</x:v>
      </x:c>
      <x:c r="E2653" t="str">
        <x:v>Ferme familiale — variante 06 — Hameau / première récupération passée</x:v>
      </x:c>
      <x:c r="F2653" t="n">
        <x:v>8</x:v>
      </x:c>
      <x:c r="G2653" t="n">
        <x:v>6</x:v>
      </x:c>
      <x:c r="H2653" t="n">
        <x:v>0</x:v>
      </x:c>
      <x:c r="I2653" t="str">
        <x:v>À qualifier par lieu</x:v>
      </x:c>
      <x:c r="J2653" t="str">
        <x:v>https://github.com/darknigthmare/deadwall-last-enclosure/blob/1b3b9c5ba232734b1bda3453b4e20a0481bcdd74/codex-3000/compositions/habitat/DW-2648.md</x:v>
      </x:c>
      <x:c r="K2653" t="str">
        <x:v>Source min 35,46 m ; max 35,46 m ; modèle 35 × 46 m ; niveaux 0. Détails dans catalogue-existant.json.</x:v>
      </x:c>
    </x:row>
    <x:row r="2654">
      <x:c r="A2654" t="str">
        <x:v>DW-2649</x:v>
      </x:c>
      <x:c r="B2654" t="str">
        <x:v>DW-0825</x:v>
      </x:c>
      <x:c r="C2654" t="str">
        <x:v>Composition héritée</x:v>
      </x:c>
      <x:c r="D2654" t="str">
        <x:v>habitat</x:v>
      </x:c>
      <x:c r="E2654" t="str">
        <x:v>Immeuble résidentiel — variante 06 — Quartier pavillonnaire / évacuation interrompue</x:v>
      </x:c>
      <x:c r="F2654" t="n">
        <x:v>8</x:v>
      </x:c>
      <x:c r="G2654" t="n">
        <x:v>5</x:v>
      </x:c>
      <x:c r="H2654" t="n">
        <x:v>0</x:v>
      </x:c>
      <x:c r="I2654" t="str">
        <x:v>À qualifier par lieu</x:v>
      </x:c>
      <x:c r="J2654" t="str">
        <x:v>https://github.com/darknigthmare/deadwall-last-enclosure/blob/1b3b9c5ba232734b1bda3453b4e20a0481bcdd74/codex-3000/compositions/habitat/DW-2649.md</x:v>
      </x:c>
      <x:c r="K2654" t="str">
        <x:v>Source min 46,9 m ; max 46,9 m ; modèle 46 × 22 m ; niveaux 0, 1. Détails dans catalogue-existant.json.</x:v>
      </x:c>
    </x:row>
    <x:row r="2655">
      <x:c r="A2655" t="str">
        <x:v>DW-2650</x:v>
      </x:c>
      <x:c r="B2655" t="str">
        <x:v>DW-0825</x:v>
      </x:c>
      <x:c r="C2655" t="str">
        <x:v>Composition héritée</x:v>
      </x:c>
      <x:c r="D2655" t="str">
        <x:v>habitat</x:v>
      </x:c>
      <x:c r="E2655" t="str">
        <x:v>Immeuble résidentiel — variante 06 — Village et bourg / service déplacé à l’arrière</x:v>
      </x:c>
      <x:c r="F2655" t="n">
        <x:v>8</x:v>
      </x:c>
      <x:c r="G2655" t="n">
        <x:v>5</x:v>
      </x:c>
      <x:c r="H2655" t="n">
        <x:v>0</x:v>
      </x:c>
      <x:c r="I2655" t="str">
        <x:v>À qualifier par lieu</x:v>
      </x:c>
      <x:c r="J2655" t="str">
        <x:v>https://github.com/darknigthmare/deadwall-last-enclosure/blob/1b3b9c5ba232734b1bda3453b4e20a0481bcdd74/codex-3000/compositions/habitat/DW-2650.md</x:v>
      </x:c>
      <x:c r="K2655" t="str">
        <x:v>Source min 46,9 m ; max 46,9 m ; modèle 46 × 22 m ; niveaux 0, 1. Détails dans catalogue-existant.json.</x:v>
      </x:c>
    </x:row>
    <x:row r="2656">
      <x:c r="A2656" t="str">
        <x:v>DW-2651</x:v>
      </x:c>
      <x:c r="B2656" t="str">
        <x:v>DW-0826</x:v>
      </x:c>
      <x:c r="C2656" t="str">
        <x:v>Composition héritée</x:v>
      </x:c>
      <x:c r="D2656" t="str">
        <x:v>habitat</x:v>
      </x:c>
      <x:c r="E2656" t="str">
        <x:v>Barre de logements — variante 06 — Hameau / arrêt de maintenance</x:v>
      </x:c>
      <x:c r="F2656" t="n">
        <x:v>8</x:v>
      </x:c>
      <x:c r="G2656" t="n">
        <x:v>5</x:v>
      </x:c>
      <x:c r="H2656" t="n">
        <x:v>0</x:v>
      </x:c>
      <x:c r="I2656" t="str">
        <x:v>À qualifier par lieu</x:v>
      </x:c>
      <x:c r="J2656" t="str">
        <x:v>https://github.com/darknigthmare/deadwall-last-enclosure/blob/1b3b9c5ba232734b1bda3453b4e20a0481bcdd74/codex-3000/compositions/habitat/DW-2651.md</x:v>
      </x:c>
      <x:c r="K2656" t="str">
        <x:v>Source min 57,26 m ; max 57,26 m ; modèle 57 × 26 m ; niveaux 0, 1, 2. Détails dans catalogue-existant.json.</x:v>
      </x:c>
    </x:row>
    <x:row r="2657">
      <x:c r="A2657" t="str">
        <x:v>DW-2652</x:v>
      </x:c>
      <x:c r="B2657" t="str">
        <x:v>DW-0826</x:v>
      </x:c>
      <x:c r="C2657" t="str">
        <x:v>Composition héritée</x:v>
      </x:c>
      <x:c r="D2657" t="str">
        <x:v>habitat</x:v>
      </x:c>
      <x:c r="E2657" t="str">
        <x:v>Barre de logements — variante 06 — Quartier collectif / reprise progressive de la végétation</x:v>
      </x:c>
      <x:c r="F2657" t="n">
        <x:v>8</x:v>
      </x:c>
      <x:c r="G2657" t="n">
        <x:v>5</x:v>
      </x:c>
      <x:c r="H2657" t="n">
        <x:v>0</x:v>
      </x:c>
      <x:c r="I2657" t="str">
        <x:v>À qualifier par lieu</x:v>
      </x:c>
      <x:c r="J2657" t="str">
        <x:v>https://github.com/darknigthmare/deadwall-last-enclosure/blob/1b3b9c5ba232734b1bda3453b4e20a0481bcdd74/codex-3000/compositions/habitat/DW-2652.md</x:v>
      </x:c>
      <x:c r="K2657" t="str">
        <x:v>Source min 57,26 m ; max 57,26 m ; modèle 57 × 26 m ; niveaux 0, 1, 2. Détails dans catalogue-existant.json.</x:v>
      </x:c>
    </x:row>
    <x:row r="2658">
      <x:c r="A2658" t="str">
        <x:v>DW-2653</x:v>
      </x:c>
      <x:c r="B2658" t="str">
        <x:v>DW-0827</x:v>
      </x:c>
      <x:c r="C2658" t="str">
        <x:v>Composition héritée</x:v>
      </x:c>
      <x:c r="D2658" t="str">
        <x:v>habitat</x:v>
      </x:c>
      <x:c r="E2658" t="str">
        <x:v>Résidence senior — variante 06 — Village et bourg / première récupération passée</x:v>
      </x:c>
      <x:c r="F2658" t="n">
        <x:v>8</x:v>
      </x:c>
      <x:c r="G2658" t="n">
        <x:v>5</x:v>
      </x:c>
      <x:c r="H2658" t="n">
        <x:v>0</x:v>
      </x:c>
      <x:c r="I2658" t="str">
        <x:v>À qualifier par lieu</x:v>
      </x:c>
      <x:c r="J2658" t="str">
        <x:v>https://github.com/darknigthmare/deadwall-last-enclosure/blob/1b3b9c5ba232734b1bda3453b4e20a0481bcdd74/codex-3000/compositions/habitat/DW-2653.md</x:v>
      </x:c>
      <x:c r="K2658" t="str">
        <x:v>Source min 68,43 m ; max 68,43 m ; modèle 68 × 43 m ; niveaux 0, 1, 2. Détails dans catalogue-existant.json.</x:v>
      </x:c>
    </x:row>
    <x:row r="2659">
      <x:c r="A2659" t="str">
        <x:v>DW-2654</x:v>
      </x:c>
      <x:c r="B2659" t="str">
        <x:v>DW-0827</x:v>
      </x:c>
      <x:c r="C2659" t="str">
        <x:v>Composition héritée</x:v>
      </x:c>
      <x:c r="D2659" t="str">
        <x:v>habitat</x:v>
      </x:c>
      <x:c r="E2659" t="str">
        <x:v>Résidence senior — variante 06 — Quartier pavillonnaire / relais temporaire envisagé</x:v>
      </x:c>
      <x:c r="F2659" t="n">
        <x:v>8</x:v>
      </x:c>
      <x:c r="G2659" t="n">
        <x:v>5</x:v>
      </x:c>
      <x:c r="H2659" t="n">
        <x:v>0</x:v>
      </x:c>
      <x:c r="I2659" t="str">
        <x:v>À qualifier par lieu</x:v>
      </x:c>
      <x:c r="J2659" t="str">
        <x:v>https://github.com/darknigthmare/deadwall-last-enclosure/blob/1b3b9c5ba232734b1bda3453b4e20a0481bcdd74/codex-3000/compositions/habitat/DW-2654.md</x:v>
      </x:c>
      <x:c r="K2659" t="str">
        <x:v>Source min 68,43 m ; max 68,43 m ; modèle 68 × 43 m ; niveaux 0, 1, 2. Détails dans catalogue-existant.json.</x:v>
      </x:c>
    </x:row>
    <x:row r="2660">
      <x:c r="A2660" t="str">
        <x:v>DW-2655</x:v>
      </x:c>
      <x:c r="B2660" t="str">
        <x:v>DW-0828</x:v>
      </x:c>
      <x:c r="C2660" t="str">
        <x:v>Composition héritée</x:v>
      </x:c>
      <x:c r="D2660" t="str">
        <x:v>habitat</x:v>
      </x:c>
      <x:c r="E2660" t="str">
        <x:v>Maison avec sous-sol — variante 06 — Quartier collectif / service déplacé à l’arrière</x:v>
      </x:c>
      <x:c r="F2660" t="n">
        <x:v>8</x:v>
      </x:c>
      <x:c r="G2660" t="n">
        <x:v>5</x:v>
      </x:c>
      <x:c r="H2660" t="n">
        <x:v>0</x:v>
      </x:c>
      <x:c r="I2660" t="str">
        <x:v>À qualifier par lieu</x:v>
      </x:c>
      <x:c r="J2660" t="str">
        <x:v>https://github.com/darknigthmare/deadwall-last-enclosure/blob/1b3b9c5ba232734b1bda3453b4e20a0481bcdd74/codex-3000/compositions/habitat/DW-2655.md</x:v>
      </x:c>
      <x:c r="K2660" t="str">
        <x:v>Source min 79,60 m ; max 79,60 m ; modèle 78 × 60 m ; niveaux 0. Détails dans catalogue-existant.json.</x:v>
      </x:c>
    </x:row>
    <x:row r="2661">
      <x:c r="A2661" t="str">
        <x:v>DW-2656</x:v>
      </x:c>
      <x:c r="B2661" t="str">
        <x:v>DW-0828</x:v>
      </x:c>
      <x:c r="C2661" t="str">
        <x:v>Composition héritée</x:v>
      </x:c>
      <x:c r="D2661" t="str">
        <x:v>habitat</x:v>
      </x:c>
      <x:c r="E2661" t="str">
        <x:v>Maison avec sous-sol — variante 06 — Hameau / réseau principal coupé</x:v>
      </x:c>
      <x:c r="F2661" t="n">
        <x:v>8</x:v>
      </x:c>
      <x:c r="G2661" t="n">
        <x:v>5</x:v>
      </x:c>
      <x:c r="H2661" t="n">
        <x:v>0</x:v>
      </x:c>
      <x:c r="I2661" t="str">
        <x:v>À qualifier par lieu</x:v>
      </x:c>
      <x:c r="J2661" t="str">
        <x:v>https://github.com/darknigthmare/deadwall-last-enclosure/blob/1b3b9c5ba232734b1bda3453b4e20a0481bcdd74/codex-3000/compositions/habitat/DW-2656.md</x:v>
      </x:c>
      <x:c r="K2661" t="str">
        <x:v>Source min 79,60 m ; max 79,60 m ; modèle 78 × 60 m ; niveaux 0. Détails dans catalogue-existant.json.</x:v>
      </x:c>
    </x:row>
    <x:row r="2662">
      <x:c r="A2662" t="str">
        <x:v>DW-2657</x:v>
      </x:c>
      <x:c r="B2662" t="str">
        <x:v>DW-0829</x:v>
      </x:c>
      <x:c r="C2662" t="str">
        <x:v>Composition héritée</x:v>
      </x:c>
      <x:c r="D2662" t="str">
        <x:v>commerce</x:v>
      </x:c>
      <x:c r="E2662" t="str">
        <x:v>Supérette — variante 06 — Zone commerciale / reprise progressive de la végétation</x:v>
      </x:c>
      <x:c r="F2662" t="n">
        <x:v>8</x:v>
      </x:c>
      <x:c r="G2662" t="n">
        <x:v>5</x:v>
      </x:c>
      <x:c r="H2662" t="n">
        <x:v>0</x:v>
      </x:c>
      <x:c r="I2662" t="str">
        <x:v>À qualifier par lieu</x:v>
      </x:c>
      <x:c r="J2662" t="str">
        <x:v>https://github.com/darknigthmare/deadwall-last-enclosure/blob/1b3b9c5ba232734b1bda3453b4e20a0481bcdd74/codex-3000/compositions/commerce/DW-2657.md</x:v>
      </x:c>
      <x:c r="K2662" t="str">
        <x:v>Source min 18,23 m ; max 18,23 m ; modèle 26 × 23 m ; niveaux 0, 1. Détails dans catalogue-existant.json.</x:v>
      </x:c>
    </x:row>
    <x:row r="2663">
      <x:c r="A2663" t="str">
        <x:v>DW-2658</x:v>
      </x:c>
      <x:c r="B2663" t="str">
        <x:v>DW-0829</x:v>
      </x:c>
      <x:c r="C2663" t="str">
        <x:v>Composition héritée</x:v>
      </x:c>
      <x:c r="D2663" t="str">
        <x:v>commerce</x:v>
      </x:c>
      <x:c r="E2663" t="str">
        <x:v>Supérette — variante 06 — Village et bourg / repli organisé interrompu</x:v>
      </x:c>
      <x:c r="F2663" t="n">
        <x:v>8</x:v>
      </x:c>
      <x:c r="G2663" t="n">
        <x:v>5</x:v>
      </x:c>
      <x:c r="H2663" t="n">
        <x:v>0</x:v>
      </x:c>
      <x:c r="I2663" t="str">
        <x:v>À qualifier par lieu</x:v>
      </x:c>
      <x:c r="J2663" t="str">
        <x:v>https://github.com/darknigthmare/deadwall-last-enclosure/blob/1b3b9c5ba232734b1bda3453b4e20a0481bcdd74/codex-3000/compositions/commerce/DW-2658.md</x:v>
      </x:c>
      <x:c r="K2663" t="str">
        <x:v>Source min 18,23 m ; max 18,23 m ; modèle 26 × 23 m ; niveaux 0, 1. Détails dans catalogue-existant.json.</x:v>
      </x:c>
    </x:row>
    <x:row r="2664">
      <x:c r="A2664" t="str">
        <x:v>DW-2659</x:v>
      </x:c>
      <x:c r="B2664" t="str">
        <x:v>DW-0830</x:v>
      </x:c>
      <x:c r="C2664" t="str">
        <x:v>Composition héritée</x:v>
      </x:c>
      <x:c r="D2664" t="str">
        <x:v>commerce</x:v>
      </x:c>
      <x:c r="E2664" t="str">
        <x:v>Centre commercial — variante 06 — Ville moyenne / relais temporaire envisagé</x:v>
      </x:c>
      <x:c r="F2664" t="n">
        <x:v>8</x:v>
      </x:c>
      <x:c r="G2664" t="n">
        <x:v>6</x:v>
      </x:c>
      <x:c r="H2664" t="n">
        <x:v>0</x:v>
      </x:c>
      <x:c r="I2664" t="str">
        <x:v>À qualifier par lieu</x:v>
      </x:c>
      <x:c r="J2664" t="str">
        <x:v>https://github.com/darknigthmare/deadwall-last-enclosure/blob/1b3b9c5ba232734b1bda3453b4e20a0481bcdd74/codex-3000/compositions/commerce/DW-2659.md</x:v>
      </x:c>
      <x:c r="K2664" t="str">
        <x:v>Source min 29,40 m ; max 29,40 m ; modèle 29 × 40 m ; niveaux 0. Détails dans catalogue-existant.json.</x:v>
      </x:c>
    </x:row>
    <x:row r="2665">
      <x:c r="A2665" t="str">
        <x:v>DW-2660</x:v>
      </x:c>
      <x:c r="B2665" t="str">
        <x:v>DW-0830</x:v>
      </x:c>
      <x:c r="C2665" t="str">
        <x:v>Composition héritée</x:v>
      </x:c>
      <x:c r="D2665" t="str">
        <x:v>commerce</x:v>
      </x:c>
      <x:c r="E2665" t="str">
        <x:v>Centre commercial — variante 06 — Grande ville et métropole / évacuation interrompue</x:v>
      </x:c>
      <x:c r="F2665" t="n">
        <x:v>8</x:v>
      </x:c>
      <x:c r="G2665" t="n">
        <x:v>6</x:v>
      </x:c>
      <x:c r="H2665" t="n">
        <x:v>0</x:v>
      </x:c>
      <x:c r="I2665" t="str">
        <x:v>À qualifier par lieu</x:v>
      </x:c>
      <x:c r="J2665" t="str">
        <x:v>https://github.com/darknigthmare/deadwall-last-enclosure/blob/1b3b9c5ba232734b1bda3453b4e20a0481bcdd74/codex-3000/compositions/commerce/DW-2660.md</x:v>
      </x:c>
      <x:c r="K2665" t="str">
        <x:v>Source min 29,40 m ; max 29,40 m ; modèle 29 × 40 m ; niveaux 0. Détails dans catalogue-existant.json.</x:v>
      </x:c>
    </x:row>
    <x:row r="2666">
      <x:c r="A2666" t="str">
        <x:v>DW-2661</x:v>
      </x:c>
      <x:c r="B2666" t="str">
        <x:v>DW-0831</x:v>
      </x:c>
      <x:c r="C2666" t="str">
        <x:v>Composition héritée</x:v>
      </x:c>
      <x:c r="D2666" t="str">
        <x:v>commerce</x:v>
      </x:c>
      <x:c r="E2666" t="str">
        <x:v>Supermarché — variante 06 — Village et bourg / réseau principal coupé</x:v>
      </x:c>
      <x:c r="F2666" t="n">
        <x:v>8</x:v>
      </x:c>
      <x:c r="G2666" t="n">
        <x:v>7</x:v>
      </x:c>
      <x:c r="H2666" t="n">
        <x:v>0</x:v>
      </x:c>
      <x:c r="I2666" t="str">
        <x:v>À qualifier par lieu</x:v>
      </x:c>
      <x:c r="J2666" t="str">
        <x:v>https://github.com/darknigthmare/deadwall-last-enclosure/blob/1b3b9c5ba232734b1bda3453b4e20a0481bcdd74/codex-3000/compositions/commerce/DW-2661.md</x:v>
      </x:c>
      <x:c r="K2666" t="str">
        <x:v>Source min 40,57 m ; max 40,57 m ; modèle 40 × 57 m ; niveaux 0. Détails dans catalogue-existant.json.</x:v>
      </x:c>
    </x:row>
    <x:row r="2667">
      <x:c r="A2667" t="str">
        <x:v>DW-2662</x:v>
      </x:c>
      <x:c r="B2667" t="str">
        <x:v>DW-0831</x:v>
      </x:c>
      <x:c r="C2667" t="str">
        <x:v>Composition héritée</x:v>
      </x:c>
      <x:c r="D2667" t="str">
        <x:v>commerce</x:v>
      </x:c>
      <x:c r="E2667" t="str">
        <x:v>Supermarché — variante 06 — Zone commerciale / arrêt de maintenance</x:v>
      </x:c>
      <x:c r="F2667" t="n">
        <x:v>8</x:v>
      </x:c>
      <x:c r="G2667" t="n">
        <x:v>7</x:v>
      </x:c>
      <x:c r="H2667" t="n">
        <x:v>0</x:v>
      </x:c>
      <x:c r="I2667" t="str">
        <x:v>À qualifier par lieu</x:v>
      </x:c>
      <x:c r="J2667" t="str">
        <x:v>https://github.com/darknigthmare/deadwall-last-enclosure/blob/1b3b9c5ba232734b1bda3453b4e20a0481bcdd74/codex-3000/compositions/commerce/DW-2662.md</x:v>
      </x:c>
      <x:c r="K2667" t="str">
        <x:v>Source min 40,57 m ; max 40,57 m ; modèle 40 × 57 m ; niveaux 0. Détails dans catalogue-existant.json.</x:v>
      </x:c>
    </x:row>
    <x:row r="2668">
      <x:c r="A2668" t="str">
        <x:v>DW-2663</x:v>
      </x:c>
      <x:c r="B2668" t="str">
        <x:v>DW-0832</x:v>
      </x:c>
      <x:c r="C2668" t="str">
        <x:v>Composition héritée</x:v>
      </x:c>
      <x:c r="D2668" t="str">
        <x:v>commerce</x:v>
      </x:c>
      <x:c r="E2668" t="str">
        <x:v>Magasin de bricolage — variante 06 — Grande ville et métropole / repli organisé interrompu</x:v>
      </x:c>
      <x:c r="F2668" t="n">
        <x:v>8</x:v>
      </x:c>
      <x:c r="G2668" t="n">
        <x:v>5</x:v>
      </x:c>
      <x:c r="H2668" t="n">
        <x:v>0</x:v>
      </x:c>
      <x:c r="I2668" t="str">
        <x:v>À qualifier par lieu</x:v>
      </x:c>
      <x:c r="J2668" t="str">
        <x:v>https://github.com/darknigthmare/deadwall-last-enclosure/blob/1b3b9c5ba232734b1bda3453b4e20a0481bcdd74/codex-3000/compositions/commerce/DW-2663.md</x:v>
      </x:c>
      <x:c r="K2668" t="str">
        <x:v>Source min 51,20 m ; max 51,20 m ; modèle 51 × 22 m ; niveaux 0. Détails dans catalogue-existant.json.</x:v>
      </x:c>
    </x:row>
    <x:row r="2669">
      <x:c r="A2669" t="str">
        <x:v>DW-2664</x:v>
      </x:c>
      <x:c r="B2669" t="str">
        <x:v>DW-0832</x:v>
      </x:c>
      <x:c r="C2669" t="str">
        <x:v>Composition héritée</x:v>
      </x:c>
      <x:c r="D2669" t="str">
        <x:v>commerce</x:v>
      </x:c>
      <x:c r="E2669" t="str">
        <x:v>Magasin de bricolage — variante 06 — Ville moyenne / première récupération passée</x:v>
      </x:c>
      <x:c r="F2669" t="n">
        <x:v>8</x:v>
      </x:c>
      <x:c r="G2669" t="n">
        <x:v>5</x:v>
      </x:c>
      <x:c r="H2669" t="n">
        <x:v>0</x:v>
      </x:c>
      <x:c r="I2669" t="str">
        <x:v>À qualifier par lieu</x:v>
      </x:c>
      <x:c r="J2669" t="str">
        <x:v>https://github.com/darknigthmare/deadwall-last-enclosure/blob/1b3b9c5ba232734b1bda3453b4e20a0481bcdd74/codex-3000/compositions/commerce/DW-2664.md</x:v>
      </x:c>
      <x:c r="K2669" t="str">
        <x:v>Source min 51,20 m ; max 51,20 m ; modèle 51 × 22 m ; niveaux 0. Détails dans catalogue-existant.json.</x:v>
      </x:c>
    </x:row>
    <x:row r="2670">
      <x:c r="A2670" t="str">
        <x:v>DW-2665</x:v>
      </x:c>
      <x:c r="B2670" t="str">
        <x:v>DW-0833</x:v>
      </x:c>
      <x:c r="C2670" t="str">
        <x:v>Composition héritée</x:v>
      </x:c>
      <x:c r="D2670" t="str">
        <x:v>commerce</x:v>
      </x:c>
      <x:c r="E2670" t="str">
        <x:v>Pharmacie — variante 06 — Zone commerciale / évacuation interrompue</x:v>
      </x:c>
      <x:c r="F2670" t="n">
        <x:v>8</x:v>
      </x:c>
      <x:c r="G2670" t="n">
        <x:v>4</x:v>
      </x:c>
      <x:c r="H2670" t="n">
        <x:v>0</x:v>
      </x:c>
      <x:c r="I2670" t="str">
        <x:v>À qualifier par lieu</x:v>
      </x:c>
      <x:c r="J2670" t="str">
        <x:v>https://github.com/darknigthmare/deadwall-last-enclosure/blob/1b3b9c5ba232734b1bda3453b4e20a0481bcdd74/codex-3000/compositions/commerce/DW-2665.md</x:v>
      </x:c>
      <x:c r="K2670" t="str">
        <x:v>Source min 62,37 m ; max 62,37 m ; modèle 62 × 37 m ; niveaux 0, 1. Détails dans catalogue-existant.json.</x:v>
      </x:c>
    </x:row>
    <x:row r="2671">
      <x:c r="A2671" t="str">
        <x:v>DW-2666</x:v>
      </x:c>
      <x:c r="B2671" t="str">
        <x:v>DW-0833</x:v>
      </x:c>
      <x:c r="C2671" t="str">
        <x:v>Composition héritée</x:v>
      </x:c>
      <x:c r="D2671" t="str">
        <x:v>commerce</x:v>
      </x:c>
      <x:c r="E2671" t="str">
        <x:v>Pharmacie — variante 06 — Village et bourg / service déplacé à l’arrière</x:v>
      </x:c>
      <x:c r="F2671" t="n">
        <x:v>8</x:v>
      </x:c>
      <x:c r="G2671" t="n">
        <x:v>4</x:v>
      </x:c>
      <x:c r="H2671" t="n">
        <x:v>0</x:v>
      </x:c>
      <x:c r="I2671" t="str">
        <x:v>À qualifier par lieu</x:v>
      </x:c>
      <x:c r="J2671" t="str">
        <x:v>https://github.com/darknigthmare/deadwall-last-enclosure/blob/1b3b9c5ba232734b1bda3453b4e20a0481bcdd74/codex-3000/compositions/commerce/DW-2666.md</x:v>
      </x:c>
      <x:c r="K2671" t="str">
        <x:v>Source min 62,37 m ; max 62,37 m ; modèle 62 × 37 m ; niveaux 0, 1. Détails dans catalogue-existant.json.</x:v>
      </x:c>
    </x:row>
    <x:row r="2672">
      <x:c r="A2672" t="str">
        <x:v>DW-2667</x:v>
      </x:c>
      <x:c r="B2672" t="str">
        <x:v>DW-0834</x:v>
      </x:c>
      <x:c r="C2672" t="str">
        <x:v>Composition héritée</x:v>
      </x:c>
      <x:c r="D2672" t="str">
        <x:v>commerce</x:v>
      </x:c>
      <x:c r="E2672" t="str">
        <x:v>Station-service — variante 06 — Ville moyenne / arrêt de maintenance</x:v>
      </x:c>
      <x:c r="F2672" t="n">
        <x:v>8</x:v>
      </x:c>
      <x:c r="G2672" t="n">
        <x:v>5</x:v>
      </x:c>
      <x:c r="H2672" t="n">
        <x:v>0</x:v>
      </x:c>
      <x:c r="I2672" t="str">
        <x:v>À qualifier par lieu</x:v>
      </x:c>
      <x:c r="J2672" t="str">
        <x:v>https://github.com/darknigthmare/deadwall-last-enclosure/blob/1b3b9c5ba232734b1bda3453b4e20a0481bcdd74/codex-3000/compositions/commerce/DW-2667.md</x:v>
      </x:c>
      <x:c r="K2672" t="str">
        <x:v>Source min 73,54 m ; max 73,54 m ; modèle 73 × 54 m ; niveaux 0. Détails dans catalogue-existant.json.</x:v>
      </x:c>
    </x:row>
    <x:row r="2673">
      <x:c r="A2673" t="str">
        <x:v>DW-2668</x:v>
      </x:c>
      <x:c r="B2673" t="str">
        <x:v>DW-0834</x:v>
      </x:c>
      <x:c r="C2673" t="str">
        <x:v>Composition héritée</x:v>
      </x:c>
      <x:c r="D2673" t="str">
        <x:v>commerce</x:v>
      </x:c>
      <x:c r="E2673" t="str">
        <x:v>Station-service — variante 06 — Grande ville et métropole / reprise progressive de la végétation</x:v>
      </x:c>
      <x:c r="F2673" t="n">
        <x:v>8</x:v>
      </x:c>
      <x:c r="G2673" t="n">
        <x:v>5</x:v>
      </x:c>
      <x:c r="H2673" t="n">
        <x:v>0</x:v>
      </x:c>
      <x:c r="I2673" t="str">
        <x:v>À qualifier par lieu</x:v>
      </x:c>
      <x:c r="J2673" t="str">
        <x:v>https://github.com/darknigthmare/deadwall-last-enclosure/blob/1b3b9c5ba232734b1bda3453b4e20a0481bcdd74/codex-3000/compositions/commerce/DW-2668.md</x:v>
      </x:c>
      <x:c r="K2673" t="str">
        <x:v>Source min 73,54 m ; max 73,54 m ; modèle 73 × 54 m ; niveaux 0. Détails dans catalogue-existant.json.</x:v>
      </x:c>
    </x:row>
    <x:row r="2674">
      <x:c r="A2674" t="str">
        <x:v>DW-2669</x:v>
      </x:c>
      <x:c r="B2674" t="str">
        <x:v>DW-0835</x:v>
      </x:c>
      <x:c r="C2674" t="str">
        <x:v>Composition héritée</x:v>
      </x:c>
      <x:c r="D2674" t="str">
        <x:v>commerce</x:v>
      </x:c>
      <x:c r="E2674" t="str">
        <x:v>Restaurant routier — variante 06 — Village et bourg / première récupération passée</x:v>
      </x:c>
      <x:c r="F2674" t="n">
        <x:v>8</x:v>
      </x:c>
      <x:c r="G2674" t="n">
        <x:v>5</x:v>
      </x:c>
      <x:c r="H2674" t="n">
        <x:v>0</x:v>
      </x:c>
      <x:c r="I2674" t="str">
        <x:v>À qualifier par lieu</x:v>
      </x:c>
      <x:c r="J2674" t="str">
        <x:v>https://github.com/darknigthmare/deadwall-last-enclosure/blob/1b3b9c5ba232734b1bda3453b4e20a0481bcdd74/codex-3000/compositions/commerce/DW-2669.md</x:v>
      </x:c>
      <x:c r="K2674" t="str">
        <x:v>Source min 12,17 m ; max 12,17 m ; modèle 26 × 22 m ; niveaux 0. Détails dans catalogue-existant.json.</x:v>
      </x:c>
    </x:row>
    <x:row r="2675">
      <x:c r="A2675" t="str">
        <x:v>DW-2670</x:v>
      </x:c>
      <x:c r="B2675" t="str">
        <x:v>DW-0835</x:v>
      </x:c>
      <x:c r="C2675" t="str">
        <x:v>Composition héritée</x:v>
      </x:c>
      <x:c r="D2675" t="str">
        <x:v>commerce</x:v>
      </x:c>
      <x:c r="E2675" t="str">
        <x:v>Restaurant routier — variante 06 — Zone commerciale / relais temporaire envisagé</x:v>
      </x:c>
      <x:c r="F2675" t="n">
        <x:v>8</x:v>
      </x:c>
      <x:c r="G2675" t="n">
        <x:v>5</x:v>
      </x:c>
      <x:c r="H2675" t="n">
        <x:v>0</x:v>
      </x:c>
      <x:c r="I2675" t="str">
        <x:v>À qualifier par lieu</x:v>
      </x:c>
      <x:c r="J2675" t="str">
        <x:v>https://github.com/darknigthmare/deadwall-last-enclosure/blob/1b3b9c5ba232734b1bda3453b4e20a0481bcdd74/codex-3000/compositions/commerce/DW-2670.md</x:v>
      </x:c>
      <x:c r="K2675" t="str">
        <x:v>Source min 12,17 m ; max 12,17 m ; modèle 26 × 22 m ; niveaux 0. Détails dans catalogue-existant.json.</x:v>
      </x:c>
    </x:row>
    <x:row r="2676">
      <x:c r="A2676" t="str">
        <x:v>DW-2671</x:v>
      </x:c>
      <x:c r="B2676" t="str">
        <x:v>DW-0836</x:v>
      </x:c>
      <x:c r="C2676" t="str">
        <x:v>Composition héritée</x:v>
      </x:c>
      <x:c r="D2676" t="str">
        <x:v>commerce</x:v>
      </x:c>
      <x:c r="E2676" t="str">
        <x:v>Hôtel — variante 06 — Grande ville et métropole / service déplacé à l’arrière</x:v>
      </x:c>
      <x:c r="F2676" t="n">
        <x:v>8</x:v>
      </x:c>
      <x:c r="G2676" t="n">
        <x:v>6</x:v>
      </x:c>
      <x:c r="H2676" t="n">
        <x:v>0</x:v>
      </x:c>
      <x:c r="I2676" t="str">
        <x:v>À qualifier par lieu</x:v>
      </x:c>
      <x:c r="J2676" t="str">
        <x:v>https://github.com/darknigthmare/deadwall-last-enclosure/blob/1b3b9c5ba232734b1bda3453b4e20a0481bcdd74/codex-3000/compositions/commerce/DW-2671.md</x:v>
      </x:c>
      <x:c r="K2676" t="str">
        <x:v>Source min 23,34 m ; max 23,34 m ; modèle 28 × 34 m ; niveaux 0. Détails dans catalogue-existant.json.</x:v>
      </x:c>
    </x:row>
    <x:row r="2677">
      <x:c r="A2677" t="str">
        <x:v>DW-2672</x:v>
      </x:c>
      <x:c r="B2677" t="str">
        <x:v>DW-0836</x:v>
      </x:c>
      <x:c r="C2677" t="str">
        <x:v>Composition héritée</x:v>
      </x:c>
      <x:c r="D2677" t="str">
        <x:v>commerce</x:v>
      </x:c>
      <x:c r="E2677" t="str">
        <x:v>Hôtel — variante 06 — Ville moyenne / réseau principal coupé</x:v>
      </x:c>
      <x:c r="F2677" t="n">
        <x:v>8</x:v>
      </x:c>
      <x:c r="G2677" t="n">
        <x:v>6</x:v>
      </x:c>
      <x:c r="H2677" t="n">
        <x:v>0</x:v>
      </x:c>
      <x:c r="I2677" t="str">
        <x:v>À qualifier par lieu</x:v>
      </x:c>
      <x:c r="J2677" t="str">
        <x:v>https://github.com/darknigthmare/deadwall-last-enclosure/blob/1b3b9c5ba232734b1bda3453b4e20a0481bcdd74/codex-3000/compositions/commerce/DW-2672.md</x:v>
      </x:c>
      <x:c r="K2677" t="str">
        <x:v>Source min 23,34 m ; max 23,34 m ; modèle 28 × 34 m ; niveaux 0. Détails dans catalogue-existant.json.</x:v>
      </x:c>
    </x:row>
    <x:row r="2678">
      <x:c r="A2678" t="str">
        <x:v>DW-2673</x:v>
      </x:c>
      <x:c r="B2678" t="str">
        <x:v>DW-0837</x:v>
      </x:c>
      <x:c r="C2678" t="str">
        <x:v>Composition héritée</x:v>
      </x:c>
      <x:c r="D2678" t="str">
        <x:v>industrie</x:v>
      </x:c>
      <x:c r="E2678" t="str">
        <x:v>Scierie — variante 06 — Zone industrielle / reprise progressive de la végétation</x:v>
      </x:c>
      <x:c r="F2678" t="n">
        <x:v>8</x:v>
      </x:c>
      <x:c r="G2678" t="n">
        <x:v>5</x:v>
      </x:c>
      <x:c r="H2678" t="n">
        <x:v>0</x:v>
      </x:c>
      <x:c r="I2678" t="str">
        <x:v>À qualifier par lieu</x:v>
      </x:c>
      <x:c r="J2678" t="str">
        <x:v>https://github.com/darknigthmare/deadwall-last-enclosure/blob/1b3b9c5ba232734b1bda3453b4e20a0481bcdd74/codex-3000/compositions/industrie/DW-2673.md</x:v>
      </x:c>
      <x:c r="K2678" t="str">
        <x:v>Source min 34,51 m ; max 34,51 m ; modèle 34 × 51 m ; niveaux 0. Détails dans catalogue-existant.json.</x:v>
      </x:c>
    </x:row>
    <x:row r="2679">
      <x:c r="A2679" t="str">
        <x:v>DW-2674</x:v>
      </x:c>
      <x:c r="B2679" t="str">
        <x:v>DW-0837</x:v>
      </x:c>
      <x:c r="C2679" t="str">
        <x:v>Composition héritée</x:v>
      </x:c>
      <x:c r="D2679" t="str">
        <x:v>industrie</x:v>
      </x:c>
      <x:c r="E2679" t="str">
        <x:v>Scierie — variante 06 — Entrepôt et plateforme logistique / repli organisé interrompu</x:v>
      </x:c>
      <x:c r="F2679" t="n">
        <x:v>8</x:v>
      </x:c>
      <x:c r="G2679" t="n">
        <x:v>5</x:v>
      </x:c>
      <x:c r="H2679" t="n">
        <x:v>0</x:v>
      </x:c>
      <x:c r="I2679" t="str">
        <x:v>À qualifier par lieu</x:v>
      </x:c>
      <x:c r="J2679" t="str">
        <x:v>https://github.com/darknigthmare/deadwall-last-enclosure/blob/1b3b9c5ba232734b1bda3453b4e20a0481bcdd74/codex-3000/compositions/industrie/DW-2674.md</x:v>
      </x:c>
      <x:c r="K2679" t="str">
        <x:v>Source min 34,51 m ; max 34,51 m ; modèle 34 × 51 m ; niveaux 0. Détails dans catalogue-existant.json.</x:v>
      </x:c>
    </x:row>
    <x:row r="2680">
      <x:c r="A2680" t="str">
        <x:v>DW-2675</x:v>
      </x:c>
      <x:c r="B2680" t="str">
        <x:v>DW-0838</x:v>
      </x:c>
      <x:c r="C2680" t="str">
        <x:v>Composition héritée</x:v>
      </x:c>
      <x:c r="D2680" t="str">
        <x:v>industrie</x:v>
      </x:c>
      <x:c r="E2680" t="str">
        <x:v>Garage automobile — variante 06 — Atelier et artisanat / relais temporaire envisagé</x:v>
      </x:c>
      <x:c r="F2680" t="n">
        <x:v>8</x:v>
      </x:c>
      <x:c r="G2680" t="n">
        <x:v>5</x:v>
      </x:c>
      <x:c r="H2680" t="n">
        <x:v>0</x:v>
      </x:c>
      <x:c r="I2680" t="str">
        <x:v>À qualifier par lieu</x:v>
      </x:c>
      <x:c r="J2680" t="str">
        <x:v>https://github.com/darknigthmare/deadwall-last-enclosure/blob/1b3b9c5ba232734b1bda3453b4e20a0481bcdd74/codex-3000/compositions/industrie/DW-2675.md</x:v>
      </x:c>
      <x:c r="K2680" t="str">
        <x:v>Source min 45,14 m ; max 45,14 m ; modèle 45 × 22 m ; niveaux 0. Détails dans catalogue-existant.json.</x:v>
      </x:c>
    </x:row>
    <x:row r="2681">
      <x:c r="A2681" t="str">
        <x:v>DW-2676</x:v>
      </x:c>
      <x:c r="B2681" t="str">
        <x:v>DW-0838</x:v>
      </x:c>
      <x:c r="C2681" t="str">
        <x:v>Composition héritée</x:v>
      </x:c>
      <x:c r="D2681" t="str">
        <x:v>industrie</x:v>
      </x:c>
      <x:c r="E2681" t="str">
        <x:v>Garage automobile — variante 06 — Gare et fret / évacuation interrompue</x:v>
      </x:c>
      <x:c r="F2681" t="n">
        <x:v>10</x:v>
      </x:c>
      <x:c r="G2681" t="n">
        <x:v>5</x:v>
      </x:c>
      <x:c r="H2681" t="n">
        <x:v>0</x:v>
      </x:c>
      <x:c r="I2681" t="str">
        <x:v>À qualifier par lieu</x:v>
      </x:c>
      <x:c r="J2681" t="str">
        <x:v>https://github.com/darknigthmare/deadwall-last-enclosure/blob/1b3b9c5ba232734b1bda3453b4e20a0481bcdd74/codex-3000/compositions/industrie/DW-2676.md</x:v>
      </x:c>
      <x:c r="K2681" t="str">
        <x:v>Source min 45,14 m ; max 45,14 m ; modèle 45 × 22 m ; niveaux 0. Détails dans catalogue-existant.json.</x:v>
      </x:c>
    </x:row>
    <x:row r="2682">
      <x:c r="A2682" t="str">
        <x:v>DW-2677</x:v>
      </x:c>
      <x:c r="B2682" t="str">
        <x:v>DW-0839</x:v>
      </x:c>
      <x:c r="C2682" t="str">
        <x:v>Composition héritée</x:v>
      </x:c>
      <x:c r="D2682" t="str">
        <x:v>industrie</x:v>
      </x:c>
      <x:c r="E2682" t="str">
        <x:v>Entrepôt logistique — variante 06 — Entrepôt et plateforme logistique / réseau principal coupé</x:v>
      </x:c>
      <x:c r="F2682" t="n">
        <x:v>8</x:v>
      </x:c>
      <x:c r="G2682" t="n">
        <x:v>5</x:v>
      </x:c>
      <x:c r="H2682" t="n">
        <x:v>0</x:v>
      </x:c>
      <x:c r="I2682" t="str">
        <x:v>À qualifier par lieu</x:v>
      </x:c>
      <x:c r="J2682" t="str">
        <x:v>https://github.com/darknigthmare/deadwall-last-enclosure/blob/1b3b9c5ba232734b1bda3453b4e20a0481bcdd74/codex-3000/compositions/industrie/DW-2677.md</x:v>
      </x:c>
      <x:c r="K2682" t="str">
        <x:v>Source min 56,31 m ; max 56,31 m ; modèle 56 × 31 m ; niveaux 0. Détails dans catalogue-existant.json.</x:v>
      </x:c>
    </x:row>
    <x:row r="2683">
      <x:c r="A2683" t="str">
        <x:v>DW-2678</x:v>
      </x:c>
      <x:c r="B2683" t="str">
        <x:v>DW-0839</x:v>
      </x:c>
      <x:c r="C2683" t="str">
        <x:v>Composition héritée</x:v>
      </x:c>
      <x:c r="D2683" t="str">
        <x:v>industrie</x:v>
      </x:c>
      <x:c r="E2683" t="str">
        <x:v>Entrepôt logistique — variante 06 — Zone industrielle / arrêt de maintenance</x:v>
      </x:c>
      <x:c r="F2683" t="n">
        <x:v>8</x:v>
      </x:c>
      <x:c r="G2683" t="n">
        <x:v>5</x:v>
      </x:c>
      <x:c r="H2683" t="n">
        <x:v>0</x:v>
      </x:c>
      <x:c r="I2683" t="str">
        <x:v>À qualifier par lieu</x:v>
      </x:c>
      <x:c r="J2683" t="str">
        <x:v>https://github.com/darknigthmare/deadwall-last-enclosure/blob/1b3b9c5ba232734b1bda3453b4e20a0481bcdd74/codex-3000/compositions/industrie/DW-2678.md</x:v>
      </x:c>
      <x:c r="K2683" t="str">
        <x:v>Source min 56,31 m ; max 56,31 m ; modèle 56 × 31 m ; niveaux 0. Détails dans catalogue-existant.json.</x:v>
      </x:c>
    </x:row>
    <x:row r="2684">
      <x:c r="A2684" t="str">
        <x:v>DW-2679</x:v>
      </x:c>
      <x:c r="B2684" t="str">
        <x:v>DW-0840</x:v>
      </x:c>
      <x:c r="C2684" t="str">
        <x:v>Composition héritée</x:v>
      </x:c>
      <x:c r="D2684" t="str">
        <x:v>industrie</x:v>
      </x:c>
      <x:c r="E2684" t="str">
        <x:v>Petite usine — variante 06 — Gare et fret / repli organisé interrompu</x:v>
      </x:c>
      <x:c r="F2684" t="n">
        <x:v>10</x:v>
      </x:c>
      <x:c r="G2684" t="n">
        <x:v>5</x:v>
      </x:c>
      <x:c r="H2684" t="n">
        <x:v>0</x:v>
      </x:c>
      <x:c r="I2684" t="str">
        <x:v>À qualifier par lieu</x:v>
      </x:c>
      <x:c r="J2684" t="str">
        <x:v>https://github.com/darknigthmare/deadwall-last-enclosure/blob/1b3b9c5ba232734b1bda3453b4e20a0481bcdd74/codex-3000/compositions/industrie/DW-2679.md</x:v>
      </x:c>
      <x:c r="K2684" t="str">
        <x:v>Source min 67,48 m ; max 67,48 m ; modèle 67 × 48 m ; niveaux 0. Détails dans catalogue-existant.json.</x:v>
      </x:c>
    </x:row>
    <x:row r="2685">
      <x:c r="A2685" t="str">
        <x:v>DW-2680</x:v>
      </x:c>
      <x:c r="B2685" t="str">
        <x:v>DW-0840</x:v>
      </x:c>
      <x:c r="C2685" t="str">
        <x:v>Composition héritée</x:v>
      </x:c>
      <x:c r="D2685" t="str">
        <x:v>industrie</x:v>
      </x:c>
      <x:c r="E2685" t="str">
        <x:v>Petite usine — variante 06 — Atelier et artisanat / première récupération passée</x:v>
      </x:c>
      <x:c r="F2685" t="n">
        <x:v>8</x:v>
      </x:c>
      <x:c r="G2685" t="n">
        <x:v>5</x:v>
      </x:c>
      <x:c r="H2685" t="n">
        <x:v>0</x:v>
      </x:c>
      <x:c r="I2685" t="str">
        <x:v>À qualifier par lieu</x:v>
      </x:c>
      <x:c r="J2685" t="str">
        <x:v>https://github.com/darknigthmare/deadwall-last-enclosure/blob/1b3b9c5ba232734b1bda3453b4e20a0481bcdd74/codex-3000/compositions/industrie/DW-2680.md</x:v>
      </x:c>
      <x:c r="K2685" t="str">
        <x:v>Source min 67,48 m ; max 67,48 m ; modèle 67 × 48 m ; niveaux 0. Détails dans catalogue-existant.json.</x:v>
      </x:c>
    </x:row>
    <x:row r="2686">
      <x:c r="A2686" t="str">
        <x:v>DW-2681</x:v>
      </x:c>
      <x:c r="B2686" t="str">
        <x:v>DW-0841</x:v>
      </x:c>
      <x:c r="C2686" t="str">
        <x:v>Composition héritée</x:v>
      </x:c>
      <x:c r="D2686" t="str">
        <x:v>industrie</x:v>
      </x:c>
      <x:c r="E2686" t="str">
        <x:v>Carrière — variante 06 — Zone industrielle / évacuation interrompue</x:v>
      </x:c>
      <x:c r="F2686" t="n">
        <x:v>8</x:v>
      </x:c>
      <x:c r="G2686" t="n">
        <x:v>5</x:v>
      </x:c>
      <x:c r="H2686" t="n">
        <x:v>0</x:v>
      </x:c>
      <x:c r="I2686" t="str">
        <x:v>À qualifier par lieu</x:v>
      </x:c>
      <x:c r="J2686" t="str">
        <x:v>https://github.com/darknigthmare/deadwall-last-enclosure/blob/1b3b9c5ba232734b1bda3453b4e20a0481bcdd74/codex-3000/compositions/industrie/DW-2681.md</x:v>
      </x:c>
      <x:c r="K2686" t="str">
        <x:v>Source min 78,11 m ; max 78,11 m ; modèle 78 × 22 m ; niveaux 0. Détails dans catalogue-existant.json.</x:v>
      </x:c>
    </x:row>
    <x:row r="2687">
      <x:c r="A2687" t="str">
        <x:v>DW-2682</x:v>
      </x:c>
      <x:c r="B2687" t="str">
        <x:v>DW-0841</x:v>
      </x:c>
      <x:c r="C2687" t="str">
        <x:v>Composition héritée</x:v>
      </x:c>
      <x:c r="D2687" t="str">
        <x:v>industrie</x:v>
      </x:c>
      <x:c r="E2687" t="str">
        <x:v>Carrière — variante 06 — Entrepôt et plateforme logistique / service déplacé à l’arrière</x:v>
      </x:c>
      <x:c r="F2687" t="n">
        <x:v>8</x:v>
      </x:c>
      <x:c r="G2687" t="n">
        <x:v>5</x:v>
      </x:c>
      <x:c r="H2687" t="n">
        <x:v>0</x:v>
      </x:c>
      <x:c r="I2687" t="str">
        <x:v>À qualifier par lieu</x:v>
      </x:c>
      <x:c r="J2687" t="str">
        <x:v>https://github.com/darknigthmare/deadwall-last-enclosure/blob/1b3b9c5ba232734b1bda3453b4e20a0481bcdd74/codex-3000/compositions/industrie/DW-2682.md</x:v>
      </x:c>
      <x:c r="K2687" t="str">
        <x:v>Source min 78,11 m ; max 78,11 m ; modèle 78 × 22 m ; niveaux 0. Détails dans catalogue-existant.json.</x:v>
      </x:c>
    </x:row>
    <x:row r="2688">
      <x:c r="A2688" t="str">
        <x:v>DW-2683</x:v>
      </x:c>
      <x:c r="B2688" t="str">
        <x:v>DW-0842</x:v>
      </x:c>
      <x:c r="C2688" t="str">
        <x:v>Composition héritée</x:v>
      </x:c>
      <x:c r="D2688" t="str">
        <x:v>industrie</x:v>
      </x:c>
      <x:c r="E2688" t="str">
        <x:v>Mine — variante 06 — Atelier et artisanat / arrêt de maintenance</x:v>
      </x:c>
      <x:c r="F2688" t="n">
        <x:v>8</x:v>
      </x:c>
      <x:c r="G2688" t="n">
        <x:v>6</x:v>
      </x:c>
      <x:c r="H2688" t="n">
        <x:v>0</x:v>
      </x:c>
      <x:c r="I2688" t="str">
        <x:v>À qualifier par lieu</x:v>
      </x:c>
      <x:c r="J2688" t="str">
        <x:v>https://github.com/darknigthmare/deadwall-last-enclosure/blob/1b3b9c5ba232734b1bda3453b4e20a0481bcdd74/codex-3000/compositions/industrie/DW-2683.md</x:v>
      </x:c>
      <x:c r="K2688" t="str">
        <x:v>Source min 17,28 m ; max 17,28 m ; modèle 28 × 28 m ; niveaux 0. Détails dans catalogue-existant.json.</x:v>
      </x:c>
    </x:row>
    <x:row r="2689">
      <x:c r="A2689" t="str">
        <x:v>DW-2684</x:v>
      </x:c>
      <x:c r="B2689" t="str">
        <x:v>DW-0842</x:v>
      </x:c>
      <x:c r="C2689" t="str">
        <x:v>Composition héritée</x:v>
      </x:c>
      <x:c r="D2689" t="str">
        <x:v>industrie</x:v>
      </x:c>
      <x:c r="E2689" t="str">
        <x:v>Mine — variante 06 — Gare et fret / reprise progressive de la végétation</x:v>
      </x:c>
      <x:c r="F2689" t="n">
        <x:v>10</x:v>
      </x:c>
      <x:c r="G2689" t="n">
        <x:v>6</x:v>
      </x:c>
      <x:c r="H2689" t="n">
        <x:v>0</x:v>
      </x:c>
      <x:c r="I2689" t="str">
        <x:v>À qualifier par lieu</x:v>
      </x:c>
      <x:c r="J2689" t="str">
        <x:v>https://github.com/darknigthmare/deadwall-last-enclosure/blob/1b3b9c5ba232734b1bda3453b4e20a0481bcdd74/codex-3000/compositions/industrie/DW-2684.md</x:v>
      </x:c>
      <x:c r="K2689" t="str">
        <x:v>Source min 17,28 m ; max 17,28 m ; modèle 28 × 28 m ; niveaux 0. Détails dans catalogue-existant.json.</x:v>
      </x:c>
    </x:row>
    <x:row r="2690">
      <x:c r="A2690" t="str">
        <x:v>DW-2685</x:v>
      </x:c>
      <x:c r="B2690" t="str">
        <x:v>DW-0843</x:v>
      </x:c>
      <x:c r="C2690" t="str">
        <x:v>Composition héritée</x:v>
      </x:c>
      <x:c r="D2690" t="str">
        <x:v>industrie</x:v>
      </x:c>
      <x:c r="E2690" t="str">
        <x:v>Centrale locale — variante 06 — Entrepôt et plateforme logistique / première récupération passée</x:v>
      </x:c>
      <x:c r="F2690" t="n">
        <x:v>8</x:v>
      </x:c>
      <x:c r="G2690" t="n">
        <x:v>5</x:v>
      </x:c>
      <x:c r="H2690" t="n">
        <x:v>0</x:v>
      </x:c>
      <x:c r="I2690" t="str">
        <x:v>À qualifier par lieu</x:v>
      </x:c>
      <x:c r="J2690" t="str">
        <x:v>https://github.com/darknigthmare/deadwall-last-enclosure/blob/1b3b9c5ba232734b1bda3453b4e20a0481bcdd74/codex-3000/compositions/industrie/DW-2685.md</x:v>
      </x:c>
      <x:c r="K2690" t="str">
        <x:v>Source min 28,45 m ; max 28,45 m ; modèle 28 × 45 m ; niveaux 0. Détails dans catalogue-existant.json.</x:v>
      </x:c>
    </x:row>
    <x:row r="2691">
      <x:c r="A2691" t="str">
        <x:v>DW-2686</x:v>
      </x:c>
      <x:c r="B2691" t="str">
        <x:v>DW-0843</x:v>
      </x:c>
      <x:c r="C2691" t="str">
        <x:v>Composition héritée</x:v>
      </x:c>
      <x:c r="D2691" t="str">
        <x:v>industrie</x:v>
      </x:c>
      <x:c r="E2691" t="str">
        <x:v>Centrale locale — variante 06 — Zone industrielle / relais temporaire envisagé</x:v>
      </x:c>
      <x:c r="F2691" t="n">
        <x:v>8</x:v>
      </x:c>
      <x:c r="G2691" t="n">
        <x:v>5</x:v>
      </x:c>
      <x:c r="H2691" t="n">
        <x:v>0</x:v>
      </x:c>
      <x:c r="I2691" t="str">
        <x:v>À qualifier par lieu</x:v>
      </x:c>
      <x:c r="J2691" t="str">
        <x:v>https://github.com/darknigthmare/deadwall-last-enclosure/blob/1b3b9c5ba232734b1bda3453b4e20a0481bcdd74/codex-3000/compositions/industrie/DW-2686.md</x:v>
      </x:c>
      <x:c r="K2691" t="str">
        <x:v>Source min 28,45 m ; max 28,45 m ; modèle 28 × 45 m ; niveaux 0. Détails dans catalogue-existant.json.</x:v>
      </x:c>
    </x:row>
    <x:row r="2692">
      <x:c r="A2692" t="str">
        <x:v>DW-2687</x:v>
      </x:c>
      <x:c r="B2692" t="str">
        <x:v>DW-0844</x:v>
      </x:c>
      <x:c r="C2692" t="str">
        <x:v>Composition héritée</x:v>
      </x:c>
      <x:c r="D2692" t="str">
        <x:v>industrie</x:v>
      </x:c>
      <x:c r="E2692" t="str">
        <x:v>Station de pompage — variante 06 — Gare et fret / service déplacé à l’arrière</x:v>
      </x:c>
      <x:c r="F2692" t="n">
        <x:v>10</x:v>
      </x:c>
      <x:c r="G2692" t="n">
        <x:v>5</x:v>
      </x:c>
      <x:c r="H2692" t="n">
        <x:v>0</x:v>
      </x:c>
      <x:c r="I2692" t="str">
        <x:v>À qualifier par lieu</x:v>
      </x:c>
      <x:c r="J2692" t="str">
        <x:v>https://github.com/darknigthmare/deadwall-last-enclosure/blob/1b3b9c5ba232734b1bda3453b4e20a0481bcdd74/codex-3000/compositions/industrie/DW-2687.md</x:v>
      </x:c>
      <x:c r="K2692" t="str">
        <x:v>Source min 39,62 m ; max 39,62 m ; modèle 39 × 62 m ; niveaux 0. Détails dans catalogue-existant.json.</x:v>
      </x:c>
    </x:row>
    <x:row r="2693">
      <x:c r="A2693" t="str">
        <x:v>DW-2688</x:v>
      </x:c>
      <x:c r="B2693" t="str">
        <x:v>DW-0844</x:v>
      </x:c>
      <x:c r="C2693" t="str">
        <x:v>Composition héritée</x:v>
      </x:c>
      <x:c r="D2693" t="str">
        <x:v>industrie</x:v>
      </x:c>
      <x:c r="E2693" t="str">
        <x:v>Station de pompage — variante 06 — Atelier et artisanat / réseau principal coupé</x:v>
      </x:c>
      <x:c r="F2693" t="n">
        <x:v>8</x:v>
      </x:c>
      <x:c r="G2693" t="n">
        <x:v>5</x:v>
      </x:c>
      <x:c r="H2693" t="n">
        <x:v>0</x:v>
      </x:c>
      <x:c r="I2693" t="str">
        <x:v>À qualifier par lieu</x:v>
      </x:c>
      <x:c r="J2693" t="str">
        <x:v>https://github.com/darknigthmare/deadwall-last-enclosure/blob/1b3b9c5ba232734b1bda3453b4e20a0481bcdd74/codex-3000/compositions/industrie/DW-2688.md</x:v>
      </x:c>
      <x:c r="K2693" t="str">
        <x:v>Source min 39,62 m ; max 39,62 m ; modèle 39 × 62 m ; niveaux 0. Détails dans catalogue-existant.json.</x:v>
      </x:c>
    </x:row>
    <x:row r="2694">
      <x:c r="A2694" t="str">
        <x:v>DW-2689</x:v>
      </x:c>
      <x:c r="B2694" t="str">
        <x:v>DW-0845</x:v>
      </x:c>
      <x:c r="C2694" t="str">
        <x:v>Composition héritée</x:v>
      </x:c>
      <x:c r="D2694" t="str">
        <x:v>public</x:v>
      </x:c>
      <x:c r="E2694" t="str">
        <x:v>École — variante 06 — École, mairie et bâtiments civiques / reprise progressive de la végétation</x:v>
      </x:c>
      <x:c r="F2694" t="n">
        <x:v>8</x:v>
      </x:c>
      <x:c r="G2694" t="n">
        <x:v>5</x:v>
      </x:c>
      <x:c r="H2694" t="n">
        <x:v>0</x:v>
      </x:c>
      <x:c r="I2694" t="str">
        <x:v>À qualifier par lieu</x:v>
      </x:c>
      <x:c r="J2694" t="str">
        <x:v>https://github.com/darknigthmare/deadwall-last-enclosure/blob/1b3b9c5ba232734b1bda3453b4e20a0481bcdd74/codex-3000/compositions/public/DW-2689.md</x:v>
      </x:c>
      <x:c r="K2694" t="str">
        <x:v>Source min 50,25 m ; max 50,25 m ; modèle 50 × 25 m ; niveaux 0, 1. Détails dans catalogue-existant.json.</x:v>
      </x:c>
    </x:row>
    <x:row r="2695">
      <x:c r="A2695" t="str">
        <x:v>DW-2690</x:v>
      </x:c>
      <x:c r="B2695" t="str">
        <x:v>DW-0845</x:v>
      </x:c>
      <x:c r="C2695" t="str">
        <x:v>Composition héritée</x:v>
      </x:c>
      <x:c r="D2695" t="str">
        <x:v>public</x:v>
      </x:c>
      <x:c r="E2695" t="str">
        <x:v>École — variante 06 — Village et bourg / repli organisé interrompu</x:v>
      </x:c>
      <x:c r="F2695" t="n">
        <x:v>8</x:v>
      </x:c>
      <x:c r="G2695" t="n">
        <x:v>5</x:v>
      </x:c>
      <x:c r="H2695" t="n">
        <x:v>0</x:v>
      </x:c>
      <x:c r="I2695" t="str">
        <x:v>À qualifier par lieu</x:v>
      </x:c>
      <x:c r="J2695" t="str">
        <x:v>https://github.com/darknigthmare/deadwall-last-enclosure/blob/1b3b9c5ba232734b1bda3453b4e20a0481bcdd74/codex-3000/compositions/public/DW-2690.md</x:v>
      </x:c>
      <x:c r="K2695" t="str">
        <x:v>Source min 50,25 m ; max 50,25 m ; modèle 50 × 25 m ; niveaux 0, 1. Détails dans catalogue-existant.json.</x:v>
      </x:c>
    </x:row>
    <x:row r="2696">
      <x:c r="A2696" t="str">
        <x:v>DW-2691</x:v>
      </x:c>
      <x:c r="B2696" t="str">
        <x:v>DW-0846</x:v>
      </x:c>
      <x:c r="C2696" t="str">
        <x:v>Composition héritée</x:v>
      </x:c>
      <x:c r="D2696" t="str">
        <x:v>public</x:v>
      </x:c>
      <x:c r="E2696" t="str">
        <x:v>Mairie — variante 06 — Ville moyenne / relais temporaire envisagé</x:v>
      </x:c>
      <x:c r="F2696" t="n">
        <x:v>8</x:v>
      </x:c>
      <x:c r="G2696" t="n">
        <x:v>5</x:v>
      </x:c>
      <x:c r="H2696" t="n">
        <x:v>0</x:v>
      </x:c>
      <x:c r="I2696" t="str">
        <x:v>À qualifier par lieu</x:v>
      </x:c>
      <x:c r="J2696" t="str">
        <x:v>https://github.com/darknigthmare/deadwall-last-enclosure/blob/1b3b9c5ba232734b1bda3453b4e20a0481bcdd74/codex-3000/compositions/public/DW-2691.md</x:v>
      </x:c>
      <x:c r="K2696" t="str">
        <x:v>Source min 61,42 m ; max 61,42 m ; modèle 61 × 42 m ; niveaux 0. Détails dans catalogue-existant.json.</x:v>
      </x:c>
    </x:row>
    <x:row r="2697">
      <x:c r="A2697" t="str">
        <x:v>DW-2692</x:v>
      </x:c>
      <x:c r="B2697" t="str">
        <x:v>DW-0846</x:v>
      </x:c>
      <x:c r="C2697" t="str">
        <x:v>Composition héritée</x:v>
      </x:c>
      <x:c r="D2697" t="str">
        <x:v>public</x:v>
      </x:c>
      <x:c r="E2697" t="str">
        <x:v>Mairie — variante 06 — Centre d’évacuation abandonné / évacuation interrompue</x:v>
      </x:c>
      <x:c r="F2697" t="n">
        <x:v>8</x:v>
      </x:c>
      <x:c r="G2697" t="n">
        <x:v>5</x:v>
      </x:c>
      <x:c r="H2697" t="n">
        <x:v>0</x:v>
      </x:c>
      <x:c r="I2697" t="str">
        <x:v>À qualifier par lieu</x:v>
      </x:c>
      <x:c r="J2697" t="str">
        <x:v>https://github.com/darknigthmare/deadwall-last-enclosure/blob/1b3b9c5ba232734b1bda3453b4e20a0481bcdd74/codex-3000/compositions/public/DW-2692.md</x:v>
      </x:c>
      <x:c r="K2697" t="str">
        <x:v>Source min 61,42 m ; max 61,42 m ; modèle 61 × 42 m ; niveaux 0. Détails dans catalogue-existant.json.</x:v>
      </x:c>
    </x:row>
    <x:row r="2698">
      <x:c r="A2698" t="str">
        <x:v>DW-2693</x:v>
      </x:c>
      <x:c r="B2698" t="str">
        <x:v>DW-0847</x:v>
      </x:c>
      <x:c r="C2698" t="str">
        <x:v>Composition héritée</x:v>
      </x:c>
      <x:c r="D2698" t="str">
        <x:v>public</x:v>
      </x:c>
      <x:c r="E2698" t="str">
        <x:v>Clinique — variante 06 — Village et bourg / réseau principal coupé</x:v>
      </x:c>
      <x:c r="F2698" t="n">
        <x:v>8</x:v>
      </x:c>
      <x:c r="G2698" t="n">
        <x:v>6</x:v>
      </x:c>
      <x:c r="H2698" t="n">
        <x:v>0</x:v>
      </x:c>
      <x:c r="I2698" t="str">
        <x:v>À qualifier par lieu</x:v>
      </x:c>
      <x:c r="J2698" t="str">
        <x:v>https://github.com/darknigthmare/deadwall-last-enclosure/blob/1b3b9c5ba232734b1bda3453b4e20a0481bcdd74/codex-3000/compositions/public/DW-2693.md</x:v>
      </x:c>
      <x:c r="K2698" t="str">
        <x:v>Source min 72,59 m ; max 72,59 m ; modèle 72 × 59 m ; niveaux 0. Détails dans catalogue-existant.json.</x:v>
      </x:c>
    </x:row>
    <x:row r="2699">
      <x:c r="A2699" t="str">
        <x:v>DW-2694</x:v>
      </x:c>
      <x:c r="B2699" t="str">
        <x:v>DW-0847</x:v>
      </x:c>
      <x:c r="C2699" t="str">
        <x:v>Composition héritée</x:v>
      </x:c>
      <x:c r="D2699" t="str">
        <x:v>public</x:v>
      </x:c>
      <x:c r="E2699" t="str">
        <x:v>Clinique — variante 06 — École, mairie et bâtiments civiques / arrêt de maintenance</x:v>
      </x:c>
      <x:c r="F2699" t="n">
        <x:v>8</x:v>
      </x:c>
      <x:c r="G2699" t="n">
        <x:v>6</x:v>
      </x:c>
      <x:c r="H2699" t="n">
        <x:v>0</x:v>
      </x:c>
      <x:c r="I2699" t="str">
        <x:v>À qualifier par lieu</x:v>
      </x:c>
      <x:c r="J2699" t="str">
        <x:v>https://github.com/darknigthmare/deadwall-last-enclosure/blob/1b3b9c5ba232734b1bda3453b4e20a0481bcdd74/codex-3000/compositions/public/DW-2694.md</x:v>
      </x:c>
      <x:c r="K2699" t="str">
        <x:v>Source min 72,59 m ; max 72,59 m ; modèle 72 × 59 m ; niveaux 0. Détails dans catalogue-existant.json.</x:v>
      </x:c>
    </x:row>
    <x:row r="2700">
      <x:c r="A2700" t="str">
        <x:v>DW-2695</x:v>
      </x:c>
      <x:c r="B2700" t="str">
        <x:v>DW-0848</x:v>
      </x:c>
      <x:c r="C2700" t="str">
        <x:v>Composition héritée</x:v>
      </x:c>
      <x:c r="D2700" t="str">
        <x:v>public</x:v>
      </x:c>
      <x:c r="E2700" t="str">
        <x:v>Caserne de pompiers — variante 06 — Centre d’évacuation abandonné / repli organisé interrompu</x:v>
      </x:c>
      <x:c r="F2700" t="n">
        <x:v>8</x:v>
      </x:c>
      <x:c r="G2700" t="n">
        <x:v>6</x:v>
      </x:c>
      <x:c r="H2700" t="n">
        <x:v>0</x:v>
      </x:c>
      <x:c r="I2700" t="str">
        <x:v>À qualifier par lieu</x:v>
      </x:c>
      <x:c r="J2700" t="str">
        <x:v>https://github.com/darknigthmare/deadwall-last-enclosure/blob/1b3b9c5ba232734b1bda3453b4e20a0481bcdd74/codex-3000/compositions/public/DW-2695.md</x:v>
      </x:c>
      <x:c r="K2700" t="str">
        <x:v>Source min 11,22 m ; max 11,22 m ; modèle 28 × 22 m ; niveaux 0. Détails dans catalogue-existant.json.</x:v>
      </x:c>
    </x:row>
    <x:row r="2701">
      <x:c r="A2701" t="str">
        <x:v>DW-2696</x:v>
      </x:c>
      <x:c r="B2701" t="str">
        <x:v>DW-0848</x:v>
      </x:c>
      <x:c r="C2701" t="str">
        <x:v>Composition héritée</x:v>
      </x:c>
      <x:c r="D2701" t="str">
        <x:v>public</x:v>
      </x:c>
      <x:c r="E2701" t="str">
        <x:v>Caserne de pompiers — variante 06 — Ville moyenne / première récupération passée</x:v>
      </x:c>
      <x:c r="F2701" t="n">
        <x:v>8</x:v>
      </x:c>
      <x:c r="G2701" t="n">
        <x:v>6</x:v>
      </x:c>
      <x:c r="H2701" t="n">
        <x:v>0</x:v>
      </x:c>
      <x:c r="I2701" t="str">
        <x:v>À qualifier par lieu</x:v>
      </x:c>
      <x:c r="J2701" t="str">
        <x:v>https://github.com/darknigthmare/deadwall-last-enclosure/blob/1b3b9c5ba232734b1bda3453b4e20a0481bcdd74/codex-3000/compositions/public/DW-2696.md</x:v>
      </x:c>
      <x:c r="K2701" t="str">
        <x:v>Source min 11,22 m ; max 11,22 m ; modèle 28 × 22 m ; niveaux 0. Détails dans catalogue-existant.json.</x:v>
      </x:c>
    </x:row>
    <x:row r="2702">
      <x:c r="A2702" t="str">
        <x:v>DW-2697</x:v>
      </x:c>
      <x:c r="B2702" t="str">
        <x:v>DW-0849</x:v>
      </x:c>
      <x:c r="C2702" t="str">
        <x:v>Composition héritée</x:v>
      </x:c>
      <x:c r="D2702" t="str">
        <x:v>public</x:v>
      </x:c>
      <x:c r="E2702" t="str">
        <x:v>Poste de police — variante 06 — École, mairie et bâtiments civiques / évacuation interrompue</x:v>
      </x:c>
      <x:c r="F2702" t="n">
        <x:v>8</x:v>
      </x:c>
      <x:c r="G2702" t="n">
        <x:v>5</x:v>
      </x:c>
      <x:c r="H2702" t="n">
        <x:v>0</x:v>
      </x:c>
      <x:c r="I2702" t="str">
        <x:v>À qualifier par lieu</x:v>
      </x:c>
      <x:c r="J2702" t="str">
        <x:v>https://github.com/darknigthmare/deadwall-last-enclosure/blob/1b3b9c5ba232734b1bda3453b4e20a0481bcdd74/codex-3000/compositions/public/DW-2697.md</x:v>
      </x:c>
      <x:c r="K2702" t="str">
        <x:v>Source min 22,39 m ; max 22,39 m ; modèle 26 × 39 m ; niveaux 0, 1. Détails dans catalogue-existant.json.</x:v>
      </x:c>
    </x:row>
    <x:row r="2703">
      <x:c r="A2703" t="str">
        <x:v>DW-2698</x:v>
      </x:c>
      <x:c r="B2703" t="str">
        <x:v>DW-0849</x:v>
      </x:c>
      <x:c r="C2703" t="str">
        <x:v>Composition héritée</x:v>
      </x:c>
      <x:c r="D2703" t="str">
        <x:v>public</x:v>
      </x:c>
      <x:c r="E2703" t="str">
        <x:v>Poste de police — variante 06 — Village et bourg / service déplacé à l’arrière</x:v>
      </x:c>
      <x:c r="F2703" t="n">
        <x:v>8</x:v>
      </x:c>
      <x:c r="G2703" t="n">
        <x:v>5</x:v>
      </x:c>
      <x:c r="H2703" t="n">
        <x:v>0</x:v>
      </x:c>
      <x:c r="I2703" t="str">
        <x:v>À qualifier par lieu</x:v>
      </x:c>
      <x:c r="J2703" t="str">
        <x:v>https://github.com/darknigthmare/deadwall-last-enclosure/blob/1b3b9c5ba232734b1bda3453b4e20a0481bcdd74/codex-3000/compositions/public/DW-2698.md</x:v>
      </x:c>
      <x:c r="K2703" t="str">
        <x:v>Source min 22,39 m ; max 22,39 m ; modèle 26 × 39 m ; niveaux 0, 1. Détails dans catalogue-existant.json.</x:v>
      </x:c>
    </x:row>
    <x:row r="2704">
      <x:c r="A2704" t="str">
        <x:v>DW-2699</x:v>
      </x:c>
      <x:c r="B2704" t="str">
        <x:v>DW-0850</x:v>
      </x:c>
      <x:c r="C2704" t="str">
        <x:v>Composition héritée</x:v>
      </x:c>
      <x:c r="D2704" t="str">
        <x:v>public</x:v>
      </x:c>
      <x:c r="E2704" t="str">
        <x:v>Bibliothèque — variante 06 — Ville moyenne / arrêt de maintenance</x:v>
      </x:c>
      <x:c r="F2704" t="n">
        <x:v>8</x:v>
      </x:c>
      <x:c r="G2704" t="n">
        <x:v>5</x:v>
      </x:c>
      <x:c r="H2704" t="n">
        <x:v>0</x:v>
      </x:c>
      <x:c r="I2704" t="str">
        <x:v>À qualifier par lieu</x:v>
      </x:c>
      <x:c r="J2704" t="str">
        <x:v>https://github.com/darknigthmare/deadwall-last-enclosure/blob/1b3b9c5ba232734b1bda3453b4e20a0481bcdd74/codex-3000/compositions/public/DW-2699.md</x:v>
      </x:c>
      <x:c r="K2704" t="str">
        <x:v>Source min 33,56 m ; max 33,56 m ; modèle 33 × 56 m ; niveaux 0. Détails dans catalogue-existant.json.</x:v>
      </x:c>
    </x:row>
    <x:row r="2705">
      <x:c r="A2705" t="str">
        <x:v>DW-2700</x:v>
      </x:c>
      <x:c r="B2705" t="str">
        <x:v>DW-0850</x:v>
      </x:c>
      <x:c r="C2705" t="str">
        <x:v>Composition héritée</x:v>
      </x:c>
      <x:c r="D2705" t="str">
        <x:v>public</x:v>
      </x:c>
      <x:c r="E2705" t="str">
        <x:v>Bibliothèque — variante 06 — Centre d’évacuation abandonné / reprise progressive de la végétation</x:v>
      </x:c>
      <x:c r="F2705" t="n">
        <x:v>8</x:v>
      </x:c>
      <x:c r="G2705" t="n">
        <x:v>5</x:v>
      </x:c>
      <x:c r="H2705" t="n">
        <x:v>0</x:v>
      </x:c>
      <x:c r="I2705" t="str">
        <x:v>À qualifier par lieu</x:v>
      </x:c>
      <x:c r="J2705" t="str">
        <x:v>https://github.com/darknigthmare/deadwall-last-enclosure/blob/1b3b9c5ba232734b1bda3453b4e20a0481bcdd74/codex-3000/compositions/public/DW-2700.md</x:v>
      </x:c>
      <x:c r="K2705" t="str">
        <x:v>Source min 33,56 m ; max 33,56 m ; modèle 33 × 56 m ; niveaux 0. Détails dans catalogue-existant.json.</x:v>
      </x:c>
    </x:row>
    <x:row r="2706">
      <x:c r="A2706" t="str">
        <x:v>DW-2701</x:v>
      </x:c>
      <x:c r="B2706" t="str">
        <x:v>DW-0851</x:v>
      </x:c>
      <x:c r="C2706" t="str">
        <x:v>Composition héritée</x:v>
      </x:c>
      <x:c r="D2706" t="str">
        <x:v>public</x:v>
      </x:c>
      <x:c r="E2706" t="str">
        <x:v>Salle des fêtes — variante 06 — Village et bourg / première récupération passée</x:v>
      </x:c>
      <x:c r="F2706" t="n">
        <x:v>8</x:v>
      </x:c>
      <x:c r="G2706" t="n">
        <x:v>5</x:v>
      </x:c>
      <x:c r="H2706" t="n">
        <x:v>0</x:v>
      </x:c>
      <x:c r="I2706" t="str">
        <x:v>À qualifier par lieu</x:v>
      </x:c>
      <x:c r="J2706" t="str">
        <x:v>https://github.com/darknigthmare/deadwall-last-enclosure/blob/1b3b9c5ba232734b1bda3453b4e20a0481bcdd74/codex-3000/compositions/public/DW-2701.md</x:v>
      </x:c>
      <x:c r="K2706" t="str">
        <x:v>Source min 44,19 m ; max 44,19 m ; modèle 44 × 22 m ; niveaux 0. Détails dans catalogue-existant.json.</x:v>
      </x:c>
    </x:row>
    <x:row r="2707">
      <x:c r="A2707" t="str">
        <x:v>DW-2702</x:v>
      </x:c>
      <x:c r="B2707" t="str">
        <x:v>DW-0851</x:v>
      </x:c>
      <x:c r="C2707" t="str">
        <x:v>Composition héritée</x:v>
      </x:c>
      <x:c r="D2707" t="str">
        <x:v>public</x:v>
      </x:c>
      <x:c r="E2707" t="str">
        <x:v>Salle des fêtes — variante 06 — École, mairie et bâtiments civiques / relais temporaire envisagé</x:v>
      </x:c>
      <x:c r="F2707" t="n">
        <x:v>8</x:v>
      </x:c>
      <x:c r="G2707" t="n">
        <x:v>5</x:v>
      </x:c>
      <x:c r="H2707" t="n">
        <x:v>0</x:v>
      </x:c>
      <x:c r="I2707" t="str">
        <x:v>À qualifier par lieu</x:v>
      </x:c>
      <x:c r="J2707" t="str">
        <x:v>https://github.com/darknigthmare/deadwall-last-enclosure/blob/1b3b9c5ba232734b1bda3453b4e20a0481bcdd74/codex-3000/compositions/public/DW-2702.md</x:v>
      </x:c>
      <x:c r="K2707" t="str">
        <x:v>Source min 44,19 m ; max 44,19 m ; modèle 44 × 22 m ; niveaux 0. Détails dans catalogue-existant.json.</x:v>
      </x:c>
    </x:row>
    <x:row r="2708">
      <x:c r="A2708" t="str">
        <x:v>DW-2703</x:v>
      </x:c>
      <x:c r="B2708" t="str">
        <x:v>DW-0852</x:v>
      </x:c>
      <x:c r="C2708" t="str">
        <x:v>Composition héritée</x:v>
      </x:c>
      <x:c r="D2708" t="str">
        <x:v>public</x:v>
      </x:c>
      <x:c r="E2708" t="str">
        <x:v>Église et presbytère — variante 06 — Centre d’évacuation abandonné / service déplacé à l’arrière</x:v>
      </x:c>
      <x:c r="F2708" t="n">
        <x:v>8</x:v>
      </x:c>
      <x:c r="G2708" t="n">
        <x:v>5</x:v>
      </x:c>
      <x:c r="H2708" t="n">
        <x:v>0</x:v>
      </x:c>
      <x:c r="I2708" t="str">
        <x:v>À qualifier par lieu</x:v>
      </x:c>
      <x:c r="J2708" t="str">
        <x:v>https://github.com/darknigthmare/deadwall-last-enclosure/blob/1b3b9c5ba232734b1bda3453b4e20a0481bcdd74/codex-3000/compositions/public/DW-2703.md</x:v>
      </x:c>
      <x:c r="K2708" t="str">
        <x:v>Source min 55,36 m ; max 55,36 m ; modèle 55 × 36 m ; niveaux 0. Détails dans catalogue-existant.json.</x:v>
      </x:c>
    </x:row>
    <x:row r="2709">
      <x:c r="A2709" t="str">
        <x:v>DW-2704</x:v>
      </x:c>
      <x:c r="B2709" t="str">
        <x:v>DW-0852</x:v>
      </x:c>
      <x:c r="C2709" t="str">
        <x:v>Composition héritée</x:v>
      </x:c>
      <x:c r="D2709" t="str">
        <x:v>public</x:v>
      </x:c>
      <x:c r="E2709" t="str">
        <x:v>Église et presbytère — variante 06 — Ville moyenne / réseau principal coupé</x:v>
      </x:c>
      <x:c r="F2709" t="n">
        <x:v>8</x:v>
      </x:c>
      <x:c r="G2709" t="n">
        <x:v>5</x:v>
      </x:c>
      <x:c r="H2709" t="n">
        <x:v>0</x:v>
      </x:c>
      <x:c r="I2709" t="str">
        <x:v>À qualifier par lieu</x:v>
      </x:c>
      <x:c r="J2709" t="str">
        <x:v>https://github.com/darknigthmare/deadwall-last-enclosure/blob/1b3b9c5ba232734b1bda3453b4e20a0481bcdd74/codex-3000/compositions/public/DW-2704.md</x:v>
      </x:c>
      <x:c r="K2709" t="str">
        <x:v>Source min 55,36 m ; max 55,36 m ; modèle 55 × 36 m ; niveaux 0. Détails dans catalogue-existant.json.</x:v>
      </x:c>
    </x:row>
    <x:row r="2710">
      <x:c r="A2710" t="str">
        <x:v>DW-2705</x:v>
      </x:c>
      <x:c r="B2710" t="str">
        <x:v>DW-0853</x:v>
      </x:c>
      <x:c r="C2710" t="str">
        <x:v>Composition héritée</x:v>
      </x:c>
      <x:c r="D2710" t="str">
        <x:v>rural</x:v>
      </x:c>
      <x:c r="E2710" t="str">
        <x:v>Hameau agricole — variante 06 — Ferme, verger et pâtures / reprise progressive de la végétation</x:v>
      </x:c>
      <x:c r="F2710" t="n">
        <x:v>8</x:v>
      </x:c>
      <x:c r="G2710" t="n">
        <x:v>6</x:v>
      </x:c>
      <x:c r="H2710" t="n">
        <x:v>0</x:v>
      </x:c>
      <x:c r="I2710" t="str">
        <x:v>À qualifier par lieu</x:v>
      </x:c>
      <x:c r="J2710" t="str">
        <x:v>https://github.com/darknigthmare/deadwall-last-enclosure/blob/1b3b9c5ba232734b1bda3453b4e20a0481bcdd74/codex-3000/compositions/rural/DW-2705.md</x:v>
      </x:c>
      <x:c r="K2710" t="str">
        <x:v>Source min 66,53 m ; max 66,53 m ; modèle 66 × 53 m ; niveaux 0. Détails dans catalogue-existant.json.</x:v>
      </x:c>
    </x:row>
    <x:row r="2711">
      <x:c r="A2711" t="str">
        <x:v>DW-2706</x:v>
      </x:c>
      <x:c r="B2711" t="str">
        <x:v>DW-0853</x:v>
      </x:c>
      <x:c r="C2711" t="str">
        <x:v>Composition héritée</x:v>
      </x:c>
      <x:c r="D2711" t="str">
        <x:v>rural</x:v>
      </x:c>
      <x:c r="E2711" t="str">
        <x:v>Hameau agricole — variante 06 — Petit bois et lisière / repli organisé interrompu</x:v>
      </x:c>
      <x:c r="F2711" t="n">
        <x:v>8</x:v>
      </x:c>
      <x:c r="G2711" t="n">
        <x:v>6</x:v>
      </x:c>
      <x:c r="H2711" t="n">
        <x:v>0</x:v>
      </x:c>
      <x:c r="I2711" t="str">
        <x:v>À qualifier par lieu</x:v>
      </x:c>
      <x:c r="J2711" t="str">
        <x:v>https://github.com/darknigthmare/deadwall-last-enclosure/blob/1b3b9c5ba232734b1bda3453b4e20a0481bcdd74/codex-3000/compositions/rural/DW-2706.md</x:v>
      </x:c>
      <x:c r="K2711" t="str">
        <x:v>Source min 66,53 m ; max 66,53 m ; modèle 66 × 53 m ; niveaux 0. Détails dans catalogue-existant.json.</x:v>
      </x:c>
    </x:row>
    <x:row r="2712">
      <x:c r="A2712" t="str">
        <x:v>DW-2707</x:v>
      </x:c>
      <x:c r="B2712" t="str">
        <x:v>DW-0854</x:v>
      </x:c>
      <x:c r="C2712" t="str">
        <x:v>Composition héritée</x:v>
      </x:c>
      <x:c r="D2712" t="str">
        <x:v>rural</x:v>
      </x:c>
      <x:c r="E2712" t="str">
        <x:v>Cabane forestière — variante 06 — Prairie et friche ouverte / relais temporaire envisagé</x:v>
      </x:c>
      <x:c r="F2712" t="n">
        <x:v>8</x:v>
      </x:c>
      <x:c r="G2712" t="n">
        <x:v>4</x:v>
      </x:c>
      <x:c r="H2712" t="n">
        <x:v>0</x:v>
      </x:c>
      <x:c r="I2712" t="str">
        <x:v>À qualifier par lieu</x:v>
      </x:c>
      <x:c r="J2712" t="str">
        <x:v>https://github.com/darknigthmare/deadwall-last-enclosure/blob/1b3b9c5ba232734b1bda3453b4e20a0481bcdd74/codex-3000/compositions/rural/DW-2707.md</x:v>
      </x:c>
      <x:c r="K2712" t="str">
        <x:v>Source min 77,16 m ; max 77,16 m ; modèle 77 × 18 m ; niveaux 0. Détails dans catalogue-existant.json.</x:v>
      </x:c>
    </x:row>
    <x:row r="2713">
      <x:c r="A2713" t="str">
        <x:v>DW-2708</x:v>
      </x:c>
      <x:c r="B2713" t="str">
        <x:v>DW-0854</x:v>
      </x:c>
      <x:c r="C2713" t="str">
        <x:v>Composition héritée</x:v>
      </x:c>
      <x:c r="D2713" t="str">
        <x:v>rural</x:v>
      </x:c>
      <x:c r="E2713" t="str">
        <x:v>Cabane forestière — variante 06 — Hameau / évacuation interrompue</x:v>
      </x:c>
      <x:c r="F2713" t="n">
        <x:v>8</x:v>
      </x:c>
      <x:c r="G2713" t="n">
        <x:v>4</x:v>
      </x:c>
      <x:c r="H2713" t="n">
        <x:v>0</x:v>
      </x:c>
      <x:c r="I2713" t="str">
        <x:v>À qualifier par lieu</x:v>
      </x:c>
      <x:c r="J2713" t="str">
        <x:v>https://github.com/darknigthmare/deadwall-last-enclosure/blob/1b3b9c5ba232734b1bda3453b4e20a0481bcdd74/codex-3000/compositions/rural/DW-2708.md</x:v>
      </x:c>
      <x:c r="K2713" t="str">
        <x:v>Source min 77,16 m ; max 77,16 m ; modèle 77 × 18 m ; niveaux 0. Détails dans catalogue-existant.json.</x:v>
      </x:c>
    </x:row>
    <x:row r="2714">
      <x:c r="A2714" t="str">
        <x:v>DW-2709</x:v>
      </x:c>
      <x:c r="B2714" t="str">
        <x:v>DW-0855</x:v>
      </x:c>
      <x:c r="C2714" t="str">
        <x:v>Composition héritée</x:v>
      </x:c>
      <x:c r="D2714" t="str">
        <x:v>rural</x:v>
      </x:c>
      <x:c r="E2714" t="str">
        <x:v>Dépôt forestier — variante 06 — Petit bois et lisière / réseau principal coupé</x:v>
      </x:c>
      <x:c r="F2714" t="n">
        <x:v>8</x:v>
      </x:c>
      <x:c r="G2714" t="n">
        <x:v>5</x:v>
      </x:c>
      <x:c r="H2714" t="n">
        <x:v>0</x:v>
      </x:c>
      <x:c r="I2714" t="str">
        <x:v>À qualifier par lieu</x:v>
      </x:c>
      <x:c r="J2714" t="str">
        <x:v>https://github.com/darknigthmare/deadwall-last-enclosure/blob/1b3b9c5ba232734b1bda3453b4e20a0481bcdd74/codex-3000/compositions/rural/DW-2709.md</x:v>
      </x:c>
      <x:c r="K2714" t="str">
        <x:v>Source min 16,33 m ; max 16,33 m ; modèle 26 × 33 m ; niveaux 0. Détails dans catalogue-existant.json.</x:v>
      </x:c>
    </x:row>
    <x:row r="2715">
      <x:c r="A2715" t="str">
        <x:v>DW-2710</x:v>
      </x:c>
      <x:c r="B2715" t="str">
        <x:v>DW-0855</x:v>
      </x:c>
      <x:c r="C2715" t="str">
        <x:v>Composition héritée</x:v>
      </x:c>
      <x:c r="D2715" t="str">
        <x:v>rural</x:v>
      </x:c>
      <x:c r="E2715" t="str">
        <x:v>Dépôt forestier — variante 06 — Ferme, verger et pâtures / arrêt de maintenance</x:v>
      </x:c>
      <x:c r="F2715" t="n">
        <x:v>8</x:v>
      </x:c>
      <x:c r="G2715" t="n">
        <x:v>5</x:v>
      </x:c>
      <x:c r="H2715" t="n">
        <x:v>0</x:v>
      </x:c>
      <x:c r="I2715" t="str">
        <x:v>À qualifier par lieu</x:v>
      </x:c>
      <x:c r="J2715" t="str">
        <x:v>https://github.com/darknigthmare/deadwall-last-enclosure/blob/1b3b9c5ba232734b1bda3453b4e20a0481bcdd74/codex-3000/compositions/rural/DW-2710.md</x:v>
      </x:c>
      <x:c r="K2715" t="str">
        <x:v>Source min 16,33 m ; max 16,33 m ; modèle 26 × 33 m ; niveaux 0. Détails dans catalogue-existant.json.</x:v>
      </x:c>
    </x:row>
    <x:row r="2716">
      <x:c r="A2716" t="str">
        <x:v>DW-2711</x:v>
      </x:c>
      <x:c r="B2716" t="str">
        <x:v>DW-0856</x:v>
      </x:c>
      <x:c r="C2716" t="str">
        <x:v>Composition héritée</x:v>
      </x:c>
      <x:c r="D2716" t="str">
        <x:v>rural</x:v>
      </x:c>
      <x:c r="E2716" t="str">
        <x:v>Ferme céréalière — variante 06 — Hameau / repli organisé interrompu</x:v>
      </x:c>
      <x:c r="F2716" t="n">
        <x:v>8</x:v>
      </x:c>
      <x:c r="G2716" t="n">
        <x:v>5</x:v>
      </x:c>
      <x:c r="H2716" t="n">
        <x:v>0</x:v>
      </x:c>
      <x:c r="I2716" t="str">
        <x:v>À qualifier par lieu</x:v>
      </x:c>
      <x:c r="J2716" t="str">
        <x:v>https://github.com/darknigthmare/deadwall-last-enclosure/blob/1b3b9c5ba232734b1bda3453b4e20a0481bcdd74/codex-3000/compositions/rural/DW-2711.md</x:v>
      </x:c>
      <x:c r="K2716" t="str">
        <x:v>Source min 27,50 m ; max 27,50 m ; modèle 27 × 50 m ; niveaux 0. Détails dans catalogue-existant.json.</x:v>
      </x:c>
    </x:row>
    <x:row r="2717">
      <x:c r="A2717" t="str">
        <x:v>DW-2712</x:v>
      </x:c>
      <x:c r="B2717" t="str">
        <x:v>DW-0856</x:v>
      </x:c>
      <x:c r="C2717" t="str">
        <x:v>Composition héritée</x:v>
      </x:c>
      <x:c r="D2717" t="str">
        <x:v>rural</x:v>
      </x:c>
      <x:c r="E2717" t="str">
        <x:v>Ferme céréalière — variante 06 — Prairie et friche ouverte / première récupération passée</x:v>
      </x:c>
      <x:c r="F2717" t="n">
        <x:v>8</x:v>
      </x:c>
      <x:c r="G2717" t="n">
        <x:v>5</x:v>
      </x:c>
      <x:c r="H2717" t="n">
        <x:v>0</x:v>
      </x:c>
      <x:c r="I2717" t="str">
        <x:v>À qualifier par lieu</x:v>
      </x:c>
      <x:c r="J2717" t="str">
        <x:v>https://github.com/darknigthmare/deadwall-last-enclosure/blob/1b3b9c5ba232734b1bda3453b4e20a0481bcdd74/codex-3000/compositions/rural/DW-2712.md</x:v>
      </x:c>
      <x:c r="K2717" t="str">
        <x:v>Source min 27,50 m ; max 27,50 m ; modèle 27 × 50 m ; niveaux 0. Détails dans catalogue-existant.json.</x:v>
      </x:c>
    </x:row>
    <x:row r="2718">
      <x:c r="A2718" t="str">
        <x:v>DW-2713</x:v>
      </x:c>
      <x:c r="B2718" t="str">
        <x:v>DW-0857</x:v>
      </x:c>
      <x:c r="C2718" t="str">
        <x:v>Composition héritée</x:v>
      </x:c>
      <x:c r="D2718" t="str">
        <x:v>rural</x:v>
      </x:c>
      <x:c r="E2718" t="str">
        <x:v>Ferme d'élevage — variante 06 — Ferme, verger et pâtures / évacuation interrompue</x:v>
      </x:c>
      <x:c r="F2718" t="n">
        <x:v>8</x:v>
      </x:c>
      <x:c r="G2718" t="n">
        <x:v>5</x:v>
      </x:c>
      <x:c r="H2718" t="n">
        <x:v>0</x:v>
      </x:c>
      <x:c r="I2718" t="str">
        <x:v>À qualifier par lieu</x:v>
      </x:c>
      <x:c r="J2718" t="str">
        <x:v>https://github.com/darknigthmare/deadwall-last-enclosure/blob/1b3b9c5ba232734b1bda3453b4e20a0481bcdd74/codex-3000/compositions/rural/DW-2713.md</x:v>
      </x:c>
      <x:c r="K2718" t="str">
        <x:v>Source min 38,13 m ; max 38,13 m ; modèle 38 × 22 m ; niveaux 0. Détails dans catalogue-existant.json.</x:v>
      </x:c>
    </x:row>
    <x:row r="2719">
      <x:c r="A2719" t="str">
        <x:v>DW-2714</x:v>
      </x:c>
      <x:c r="B2719" t="str">
        <x:v>DW-0857</x:v>
      </x:c>
      <x:c r="C2719" t="str">
        <x:v>Composition héritée</x:v>
      </x:c>
      <x:c r="D2719" t="str">
        <x:v>rural</x:v>
      </x:c>
      <x:c r="E2719" t="str">
        <x:v>Ferme d'élevage — variante 06 — Petit bois et lisière / service déplacé à l’arrière</x:v>
      </x:c>
      <x:c r="F2719" t="n">
        <x:v>8</x:v>
      </x:c>
      <x:c r="G2719" t="n">
        <x:v>5</x:v>
      </x:c>
      <x:c r="H2719" t="n">
        <x:v>0</x:v>
      </x:c>
      <x:c r="I2719" t="str">
        <x:v>À qualifier par lieu</x:v>
      </x:c>
      <x:c r="J2719" t="str">
        <x:v>https://github.com/darknigthmare/deadwall-last-enclosure/blob/1b3b9c5ba232734b1bda3453b4e20a0481bcdd74/codex-3000/compositions/rural/DW-2714.md</x:v>
      </x:c>
      <x:c r="K2719" t="str">
        <x:v>Source min 38,13 m ; max 38,13 m ; modèle 38 × 22 m ; niveaux 0. Détails dans catalogue-existant.json.</x:v>
      </x:c>
    </x:row>
    <x:row r="2720">
      <x:c r="A2720" t="str">
        <x:v>DW-2715</x:v>
      </x:c>
      <x:c r="B2720" t="str">
        <x:v>DW-0858</x:v>
      </x:c>
      <x:c r="C2720" t="str">
        <x:v>Composition héritée</x:v>
      </x:c>
      <x:c r="D2720" t="str">
        <x:v>rural</x:v>
      </x:c>
      <x:c r="E2720" t="str">
        <x:v>Relais de chasse — variante 06 — Prairie et friche ouverte / arrêt de maintenance</x:v>
      </x:c>
      <x:c r="F2720" t="n">
        <x:v>8</x:v>
      </x:c>
      <x:c r="G2720" t="n">
        <x:v>4</x:v>
      </x:c>
      <x:c r="H2720" t="n">
        <x:v>0</x:v>
      </x:c>
      <x:c r="I2720" t="str">
        <x:v>À qualifier par lieu</x:v>
      </x:c>
      <x:c r="J2720" t="str">
        <x:v>https://github.com/darknigthmare/deadwall-last-enclosure/blob/1b3b9c5ba232734b1bda3453b4e20a0481bcdd74/codex-3000/compositions/rural/DW-2715.md</x:v>
      </x:c>
      <x:c r="K2720" t="str">
        <x:v>Source min 49,30 m ; max 49,30 m ; modèle 49 × 30 m ; niveaux 0. Détails dans catalogue-existant.json.</x:v>
      </x:c>
    </x:row>
    <x:row r="2721">
      <x:c r="A2721" t="str">
        <x:v>DW-2716</x:v>
      </x:c>
      <x:c r="B2721" t="str">
        <x:v>DW-0858</x:v>
      </x:c>
      <x:c r="C2721" t="str">
        <x:v>Composition héritée</x:v>
      </x:c>
      <x:c r="D2721" t="str">
        <x:v>rural</x:v>
      </x:c>
      <x:c r="E2721" t="str">
        <x:v>Relais de chasse — variante 06 — Hameau / reprise progressive de la végétation</x:v>
      </x:c>
      <x:c r="F2721" t="n">
        <x:v>8</x:v>
      </x:c>
      <x:c r="G2721" t="n">
        <x:v>4</x:v>
      </x:c>
      <x:c r="H2721" t="n">
        <x:v>0</x:v>
      </x:c>
      <x:c r="I2721" t="str">
        <x:v>À qualifier par lieu</x:v>
      </x:c>
      <x:c r="J2721" t="str">
        <x:v>https://github.com/darknigthmare/deadwall-last-enclosure/blob/1b3b9c5ba232734b1bda3453b4e20a0481bcdd74/codex-3000/compositions/rural/DW-2716.md</x:v>
      </x:c>
      <x:c r="K2721" t="str">
        <x:v>Source min 49,30 m ; max 49,30 m ; modèle 49 × 30 m ; niveaux 0. Détails dans catalogue-existant.json.</x:v>
      </x:c>
    </x:row>
    <x:row r="2722">
      <x:c r="A2722" t="str">
        <x:v>DW-2717</x:v>
      </x:c>
      <x:c r="B2722" t="str">
        <x:v>DW-0859</x:v>
      </x:c>
      <x:c r="C2722" t="str">
        <x:v>Composition héritée</x:v>
      </x:c>
      <x:c r="D2722" t="str">
        <x:v>rural</x:v>
      </x:c>
      <x:c r="E2722" t="str">
        <x:v>Moulin rural — variante 06 — Petit bois et lisière / première récupération passée</x:v>
      </x:c>
      <x:c r="F2722" t="n">
        <x:v>8</x:v>
      </x:c>
      <x:c r="G2722" t="n">
        <x:v>4</x:v>
      </x:c>
      <x:c r="H2722" t="n">
        <x:v>0</x:v>
      </x:c>
      <x:c r="I2722" t="str">
        <x:v>À qualifier par lieu</x:v>
      </x:c>
      <x:c r="J2722" t="str">
        <x:v>https://github.com/darknigthmare/deadwall-last-enclosure/blob/1b3b9c5ba232734b1bda3453b4e20a0481bcdd74/codex-3000/compositions/rural/DW-2717.md</x:v>
      </x:c>
      <x:c r="K2722" t="str">
        <x:v>Source min 60,47 m ; max 60,47 m ; modèle 60 × 47 m ; niveaux 0. Détails dans catalogue-existant.json.</x:v>
      </x:c>
    </x:row>
    <x:row r="2723">
      <x:c r="A2723" t="str">
        <x:v>DW-2718</x:v>
      </x:c>
      <x:c r="B2723" t="str">
        <x:v>DW-0859</x:v>
      </x:c>
      <x:c r="C2723" t="str">
        <x:v>Composition héritée</x:v>
      </x:c>
      <x:c r="D2723" t="str">
        <x:v>rural</x:v>
      </x:c>
      <x:c r="E2723" t="str">
        <x:v>Moulin rural — variante 06 — Ferme, verger et pâtures / relais temporaire envisagé</x:v>
      </x:c>
      <x:c r="F2723" t="n">
        <x:v>8</x:v>
      </x:c>
      <x:c r="G2723" t="n">
        <x:v>4</x:v>
      </x:c>
      <x:c r="H2723" t="n">
        <x:v>0</x:v>
      </x:c>
      <x:c r="I2723" t="str">
        <x:v>À qualifier par lieu</x:v>
      </x:c>
      <x:c r="J2723" t="str">
        <x:v>https://github.com/darknigthmare/deadwall-last-enclosure/blob/1b3b9c5ba232734b1bda3453b4e20a0481bcdd74/codex-3000/compositions/rural/DW-2718.md</x:v>
      </x:c>
      <x:c r="K2723" t="str">
        <x:v>Source min 60,47 m ; max 60,47 m ; modèle 60 × 47 m ; niveaux 0. Détails dans catalogue-existant.json.</x:v>
      </x:c>
    </x:row>
    <x:row r="2724">
      <x:c r="A2724" t="str">
        <x:v>DW-2719</x:v>
      </x:c>
      <x:c r="B2724" t="str">
        <x:v>DW-0860</x:v>
      </x:c>
      <x:c r="C2724" t="str">
        <x:v>Composition héritée</x:v>
      </x:c>
      <x:c r="D2724" t="str">
        <x:v>rural</x:v>
      </x:c>
      <x:c r="E2724" t="str">
        <x:v>Serres maraîchères — variante 06 — Hameau / service déplacé à l’arrière</x:v>
      </x:c>
      <x:c r="F2724" t="n">
        <x:v>8</x:v>
      </x:c>
      <x:c r="G2724" t="n">
        <x:v>5</x:v>
      </x:c>
      <x:c r="H2724" t="n">
        <x:v>0</x:v>
      </x:c>
      <x:c r="I2724" t="str">
        <x:v>À qualifier par lieu</x:v>
      </x:c>
      <x:c r="J2724" t="str">
        <x:v>https://github.com/darknigthmare/deadwall-last-enclosure/blob/1b3b9c5ba232734b1bda3453b4e20a0481bcdd74/codex-3000/compositions/rural/DW-2719.md</x:v>
      </x:c>
      <x:c r="K2724" t="str">
        <x:v>Source min 71,10 m ; max 71,10 m ; modèle 71 × 22 m ; niveaux 0. Détails dans catalogue-existant.json.</x:v>
      </x:c>
    </x:row>
    <x:row r="2725">
      <x:c r="A2725" t="str">
        <x:v>DW-2720</x:v>
      </x:c>
      <x:c r="B2725" t="str">
        <x:v>DW-0860</x:v>
      </x:c>
      <x:c r="C2725" t="str">
        <x:v>Composition héritée</x:v>
      </x:c>
      <x:c r="D2725" t="str">
        <x:v>rural</x:v>
      </x:c>
      <x:c r="E2725" t="str">
        <x:v>Serres maraîchères — variante 06 — Prairie et friche ouverte / réseau principal coupé</x:v>
      </x:c>
      <x:c r="F2725" t="n">
        <x:v>8</x:v>
      </x:c>
      <x:c r="G2725" t="n">
        <x:v>5</x:v>
      </x:c>
      <x:c r="H2725" t="n">
        <x:v>0</x:v>
      </x:c>
      <x:c r="I2725" t="str">
        <x:v>À qualifier par lieu</x:v>
      </x:c>
      <x:c r="J2725" t="str">
        <x:v>https://github.com/darknigthmare/deadwall-last-enclosure/blob/1b3b9c5ba232734b1bda3453b4e20a0481bcdd74/codex-3000/compositions/rural/DW-2720.md</x:v>
      </x:c>
      <x:c r="K2725" t="str">
        <x:v>Source min 71,10 m ; max 71,10 m ; modèle 71 × 22 m ; niveaux 0. Détails dans catalogue-existant.json.</x:v>
      </x:c>
    </x:row>
    <x:row r="2726">
      <x:c r="A2726" t="str">
        <x:v>DW-2721</x:v>
      </x:c>
      <x:c r="B2726" t="str">
        <x:v>DW-0861</x:v>
      </x:c>
      <x:c r="C2726" t="str">
        <x:v>Composition héritée</x:v>
      </x:c>
      <x:c r="D2726" t="str">
        <x:v>militaire</x:v>
      </x:c>
      <x:c r="E2726" t="str">
        <x:v>Bunker de défense civile — variante 06 — Grand camp allié / reprise progressive de la végétation</x:v>
      </x:c>
      <x:c r="F2726" t="n">
        <x:v>10</x:v>
      </x:c>
      <x:c r="G2726" t="n">
        <x:v>6</x:v>
      </x:c>
      <x:c r="H2726" t="n">
        <x:v>0</x:v>
      </x:c>
      <x:c r="I2726" t="str">
        <x:v>À qualifier par lieu</x:v>
      </x:c>
      <x:c r="J2726" t="str">
        <x:v>https://github.com/darknigthmare/deadwall-last-enclosure/blob/1b3b9c5ba232734b1bda3453b4e20a0481bcdd74/codex-3000/compositions/militaire/DW-2721.md</x:v>
      </x:c>
      <x:c r="K2726" t="str">
        <x:v>Source min 10,27 m ; max 10,27 m ; modèle 28 × 27 m ; niveaux 0, 1. Détails dans catalogue-existant.json.</x:v>
      </x:c>
    </x:row>
    <x:row r="2727">
      <x:c r="A2727" t="str">
        <x:v>DW-2722</x:v>
      </x:c>
      <x:c r="B2727" t="str">
        <x:v>DW-0861</x:v>
      </x:c>
      <x:c r="C2727" t="str">
        <x:v>Composition héritée</x:v>
      </x:c>
      <x:c r="D2727" t="str">
        <x:v>militaire</x:v>
      </x:c>
      <x:c r="E2727" t="str">
        <x:v>Bunker de défense civile — variante 06 — Camp de fortune / repli organisé interrompu</x:v>
      </x:c>
      <x:c r="F2727" t="n">
        <x:v>8</x:v>
      </x:c>
      <x:c r="G2727" t="n">
        <x:v>6</x:v>
      </x:c>
      <x:c r="H2727" t="n">
        <x:v>0</x:v>
      </x:c>
      <x:c r="I2727" t="str">
        <x:v>À qualifier par lieu</x:v>
      </x:c>
      <x:c r="J2727" t="str">
        <x:v>https://github.com/darknigthmare/deadwall-last-enclosure/blob/1b3b9c5ba232734b1bda3453b4e20a0481bcdd74/codex-3000/compositions/militaire/DW-2722.md</x:v>
      </x:c>
      <x:c r="K2727" t="str">
        <x:v>Source min 10,27 m ; max 10,27 m ; modèle 28 × 27 m ; niveaux 0, 1. Détails dans catalogue-existant.json.</x:v>
      </x:c>
    </x:row>
    <x:row r="2728">
      <x:c r="A2728" t="str">
        <x:v>DW-2723</x:v>
      </x:c>
      <x:c r="B2728" t="str">
        <x:v>DW-0862</x:v>
      </x:c>
      <x:c r="C2728" t="str">
        <x:v>Composition héritée</x:v>
      </x:c>
      <x:c r="D2728" t="str">
        <x:v>militaire</x:v>
      </x:c>
      <x:c r="E2728" t="str">
        <x:v>Dépôt militaire — variante 06 — Camp hostile / relais temporaire envisagé</x:v>
      </x:c>
      <x:c r="F2728" t="n">
        <x:v>10</x:v>
      </x:c>
      <x:c r="G2728" t="n">
        <x:v>5</x:v>
      </x:c>
      <x:c r="H2728" t="n">
        <x:v>0</x:v>
      </x:c>
      <x:c r="I2728" t="str">
        <x:v>À qualifier par lieu</x:v>
      </x:c>
      <x:c r="J2728" t="str">
        <x:v>https://github.com/darknigthmare/deadwall-last-enclosure/blob/1b3b9c5ba232734b1bda3453b4e20a0481bcdd74/codex-3000/compositions/militaire/DW-2723.md</x:v>
      </x:c>
      <x:c r="K2728" t="str">
        <x:v>Source min 21,44 m ; max 21,44 m ; modèle 26 × 44 m ; niveaux 0. Détails dans catalogue-existant.json.</x:v>
      </x:c>
    </x:row>
    <x:row r="2729">
      <x:c r="A2729" t="str">
        <x:v>DW-2724</x:v>
      </x:c>
      <x:c r="B2729" t="str">
        <x:v>DW-0862</x:v>
      </x:c>
      <x:c r="C2729" t="str">
        <x:v>Composition héritée</x:v>
      </x:c>
      <x:c r="D2729" t="str">
        <x:v>militaire</x:v>
      </x:c>
      <x:c r="E2729" t="str">
        <x:v>Dépôt militaire — variante 06 — Centre d’évacuation abandonné / évacuation interrompue</x:v>
      </x:c>
      <x:c r="F2729" t="n">
        <x:v>8</x:v>
      </x:c>
      <x:c r="G2729" t="n">
        <x:v>5</x:v>
      </x:c>
      <x:c r="H2729" t="n">
        <x:v>0</x:v>
      </x:c>
      <x:c r="I2729" t="str">
        <x:v>À qualifier par lieu</x:v>
      </x:c>
      <x:c r="J2729" t="str">
        <x:v>https://github.com/darknigthmare/deadwall-last-enclosure/blob/1b3b9c5ba232734b1bda3453b4e20a0481bcdd74/codex-3000/compositions/militaire/DW-2724.md</x:v>
      </x:c>
      <x:c r="K2729" t="str">
        <x:v>Source min 21,44 m ; max 21,44 m ; modèle 26 × 44 m ; niveaux 0. Détails dans catalogue-existant.json.</x:v>
      </x:c>
    </x:row>
    <x:row r="2730">
      <x:c r="A2730" t="str">
        <x:v>DW-2725</x:v>
      </x:c>
      <x:c r="B2730" t="str">
        <x:v>DW-0863</x:v>
      </x:c>
      <x:c r="C2730" t="str">
        <x:v>Composition héritée</x:v>
      </x:c>
      <x:c r="D2730" t="str">
        <x:v>militaire</x:v>
      </x:c>
      <x:c r="E2730" t="str">
        <x:v>Poste de contrôle — variante 06 — Camp de fortune / réseau principal coupé</x:v>
      </x:c>
      <x:c r="F2730" t="n">
        <x:v>8</x:v>
      </x:c>
      <x:c r="G2730" t="n">
        <x:v>5</x:v>
      </x:c>
      <x:c r="H2730" t="n">
        <x:v>0</x:v>
      </x:c>
      <x:c r="I2730" t="str">
        <x:v>À qualifier par lieu</x:v>
      </x:c>
      <x:c r="J2730" t="str">
        <x:v>https://github.com/darknigthmare/deadwall-last-enclosure/blob/1b3b9c5ba232734b1bda3453b4e20a0481bcdd74/codex-3000/compositions/militaire/DW-2725.md</x:v>
      </x:c>
      <x:c r="K2730" t="str">
        <x:v>Source min 32,61 m ; max 32,61 m ; modèle 32 × 61 m ; niveaux 0. Détails dans catalogue-existant.json.</x:v>
      </x:c>
    </x:row>
    <x:row r="2731">
      <x:c r="A2731" t="str">
        <x:v>DW-2726</x:v>
      </x:c>
      <x:c r="B2731" t="str">
        <x:v>DW-0863</x:v>
      </x:c>
      <x:c r="C2731" t="str">
        <x:v>Composition héritée</x:v>
      </x:c>
      <x:c r="D2731" t="str">
        <x:v>militaire</x:v>
      </x:c>
      <x:c r="E2731" t="str">
        <x:v>Poste de contrôle — variante 06 — Grand camp allié / arrêt de maintenance</x:v>
      </x:c>
      <x:c r="F2731" t="n">
        <x:v>10</x:v>
      </x:c>
      <x:c r="G2731" t="n">
        <x:v>5</x:v>
      </x:c>
      <x:c r="H2731" t="n">
        <x:v>0</x:v>
      </x:c>
      <x:c r="I2731" t="str">
        <x:v>À qualifier par lieu</x:v>
      </x:c>
      <x:c r="J2731" t="str">
        <x:v>https://github.com/darknigthmare/deadwall-last-enclosure/blob/1b3b9c5ba232734b1bda3453b4e20a0481bcdd74/codex-3000/compositions/militaire/DW-2726.md</x:v>
      </x:c>
      <x:c r="K2731" t="str">
        <x:v>Source min 32,61 m ; max 32,61 m ; modèle 32 × 61 m ; niveaux 0. Détails dans catalogue-existant.json.</x:v>
      </x:c>
    </x:row>
    <x:row r="2732">
      <x:c r="A2732" t="str">
        <x:v>DW-2727</x:v>
      </x:c>
      <x:c r="B2732" t="str">
        <x:v>DW-0864</x:v>
      </x:c>
      <x:c r="C2732" t="str">
        <x:v>Composition héritée</x:v>
      </x:c>
      <x:c r="D2732" t="str">
        <x:v>militaire</x:v>
      </x:c>
      <x:c r="E2732" t="str">
        <x:v>Camp retranché abandonné — variante 06 — Centre d’évacuation abandonné / repli organisé interrompu</x:v>
      </x:c>
      <x:c r="F2732" t="n">
        <x:v>8</x:v>
      </x:c>
      <x:c r="G2732" t="n">
        <x:v>5</x:v>
      </x:c>
      <x:c r="H2732" t="n">
        <x:v>0</x:v>
      </x:c>
      <x:c r="I2732" t="str">
        <x:v>À qualifier par lieu</x:v>
      </x:c>
      <x:c r="J2732" t="str">
        <x:v>https://github.com/darknigthmare/deadwall-last-enclosure/blob/1b3b9c5ba232734b1bda3453b4e20a0481bcdd74/codex-3000/compositions/militaire/DW-2727.md</x:v>
      </x:c>
      <x:c r="K2732" t="str">
        <x:v>Source min 43,24 m ; max 43,24 m ; modèle 43 × 24 m ; niveaux 0. Détails dans catalogue-existant.json.</x:v>
      </x:c>
    </x:row>
    <x:row r="2733">
      <x:c r="A2733" t="str">
        <x:v>DW-2728</x:v>
      </x:c>
      <x:c r="B2733" t="str">
        <x:v>DW-0864</x:v>
      </x:c>
      <x:c r="C2733" t="str">
        <x:v>Composition héritée</x:v>
      </x:c>
      <x:c r="D2733" t="str">
        <x:v>militaire</x:v>
      </x:c>
      <x:c r="E2733" t="str">
        <x:v>Camp retranché abandonné — variante 06 — Camp hostile / première récupération passée</x:v>
      </x:c>
      <x:c r="F2733" t="n">
        <x:v>10</x:v>
      </x:c>
      <x:c r="G2733" t="n">
        <x:v>5</x:v>
      </x:c>
      <x:c r="H2733" t="n">
        <x:v>0</x:v>
      </x:c>
      <x:c r="I2733" t="str">
        <x:v>À qualifier par lieu</x:v>
      </x:c>
      <x:c r="J2733" t="str">
        <x:v>https://github.com/darknigthmare/deadwall-last-enclosure/blob/1b3b9c5ba232734b1bda3453b4e20a0481bcdd74/codex-3000/compositions/militaire/DW-2728.md</x:v>
      </x:c>
      <x:c r="K2733" t="str">
        <x:v>Source min 43,24 m ; max 43,24 m ; modèle 43 × 24 m ; niveaux 0. Détails dans catalogue-existant.json.</x:v>
      </x:c>
    </x:row>
    <x:row r="2734">
      <x:c r="A2734" t="str">
        <x:v>DW-2729</x:v>
      </x:c>
      <x:c r="B2734" t="str">
        <x:v>DW-0865</x:v>
      </x:c>
      <x:c r="C2734" t="str">
        <x:v>Composition héritée</x:v>
      </x:c>
      <x:c r="D2734" t="str">
        <x:v>militaire</x:v>
      </x:c>
      <x:c r="E2734" t="str">
        <x:v>Abri ferroviaire — variante 06 — Grand camp allié / évacuation interrompue</x:v>
      </x:c>
      <x:c r="F2734" t="n">
        <x:v>10</x:v>
      </x:c>
      <x:c r="G2734" t="n">
        <x:v>4</x:v>
      </x:c>
      <x:c r="H2734" t="n">
        <x:v>0</x:v>
      </x:c>
      <x:c r="I2734" t="str">
        <x:v>À qualifier par lieu</x:v>
      </x:c>
      <x:c r="J2734" t="str">
        <x:v>https://github.com/darknigthmare/deadwall-last-enclosure/blob/1b3b9c5ba232734b1bda3453b4e20a0481bcdd74/codex-3000/compositions/militaire/DW-2729.md</x:v>
      </x:c>
      <x:c r="K2734" t="str">
        <x:v>Source min 54,41 m ; max 54,41 m ; modèle 54 × 41 m ; niveaux 0. Détails dans catalogue-existant.json.</x:v>
      </x:c>
    </x:row>
    <x:row r="2735">
      <x:c r="A2735" t="str">
        <x:v>DW-2730</x:v>
      </x:c>
      <x:c r="B2735" t="str">
        <x:v>DW-0865</x:v>
      </x:c>
      <x:c r="C2735" t="str">
        <x:v>Composition héritée</x:v>
      </x:c>
      <x:c r="D2735" t="str">
        <x:v>militaire</x:v>
      </x:c>
      <x:c r="E2735" t="str">
        <x:v>Abri ferroviaire — variante 06 — Camp de fortune / service déplacé à l’arrière</x:v>
      </x:c>
      <x:c r="F2735" t="n">
        <x:v>8</x:v>
      </x:c>
      <x:c r="G2735" t="n">
        <x:v>4</x:v>
      </x:c>
      <x:c r="H2735" t="n">
        <x:v>0</x:v>
      </x:c>
      <x:c r="I2735" t="str">
        <x:v>À qualifier par lieu</x:v>
      </x:c>
      <x:c r="J2735" t="str">
        <x:v>https://github.com/darknigthmare/deadwall-last-enclosure/blob/1b3b9c5ba232734b1bda3453b4e20a0481bcdd74/codex-3000/compositions/militaire/DW-2730.md</x:v>
      </x:c>
      <x:c r="K2735" t="str">
        <x:v>Source min 54,41 m ; max 54,41 m ; modèle 54 × 41 m ; niveaux 0. Détails dans catalogue-existant.json.</x:v>
      </x:c>
    </x:row>
    <x:row r="2736">
      <x:c r="A2736" t="str">
        <x:v>DW-2731</x:v>
      </x:c>
      <x:c r="B2736" t="str">
        <x:v>DW-0866</x:v>
      </x:c>
      <x:c r="C2736" t="str">
        <x:v>Composition héritée</x:v>
      </x:c>
      <x:c r="D2736" t="str">
        <x:v>militaire</x:v>
      </x:c>
      <x:c r="E2736" t="str">
        <x:v>Site radar — variante 06 — Camp hostile / arrêt de maintenance</x:v>
      </x:c>
      <x:c r="F2736" t="n">
        <x:v>10</x:v>
      </x:c>
      <x:c r="G2736" t="n">
        <x:v>5</x:v>
      </x:c>
      <x:c r="H2736" t="n">
        <x:v>0</x:v>
      </x:c>
      <x:c r="I2736" t="str">
        <x:v>À qualifier par lieu</x:v>
      </x:c>
      <x:c r="J2736" t="str">
        <x:v>https://github.com/darknigthmare/deadwall-last-enclosure/blob/1b3b9c5ba232734b1bda3453b4e20a0481bcdd74/codex-3000/compositions/militaire/DW-2731.md</x:v>
      </x:c>
      <x:c r="K2736" t="str">
        <x:v>Source min 65,58 m ; max 65,58 m ; modèle 65 × 58 m ; niveaux 0. Détails dans catalogue-existant.json.</x:v>
      </x:c>
    </x:row>
    <x:row r="2737">
      <x:c r="A2737" t="str">
        <x:v>DW-2732</x:v>
      </x:c>
      <x:c r="B2737" t="str">
        <x:v>DW-0866</x:v>
      </x:c>
      <x:c r="C2737" t="str">
        <x:v>Composition héritée</x:v>
      </x:c>
      <x:c r="D2737" t="str">
        <x:v>militaire</x:v>
      </x:c>
      <x:c r="E2737" t="str">
        <x:v>Site radar — variante 06 — Centre d’évacuation abandonné / reprise progressive de la végétation</x:v>
      </x:c>
      <x:c r="F2737" t="n">
        <x:v>8</x:v>
      </x:c>
      <x:c r="G2737" t="n">
        <x:v>5</x:v>
      </x:c>
      <x:c r="H2737" t="n">
        <x:v>0</x:v>
      </x:c>
      <x:c r="I2737" t="str">
        <x:v>À qualifier par lieu</x:v>
      </x:c>
      <x:c r="J2737" t="str">
        <x:v>https://github.com/darknigthmare/deadwall-last-enclosure/blob/1b3b9c5ba232734b1bda3453b4e20a0481bcdd74/codex-3000/compositions/militaire/DW-2732.md</x:v>
      </x:c>
      <x:c r="K2737" t="str">
        <x:v>Source min 65,58 m ; max 65,58 m ; modèle 65 × 58 m ; niveaux 0. Détails dans catalogue-existant.json.</x:v>
      </x:c>
    </x:row>
    <x:row r="2738">
      <x:c r="A2738" t="str">
        <x:v>DW-2733</x:v>
      </x:c>
      <x:c r="B2738" t="str">
        <x:v>DW-0867</x:v>
      </x:c>
      <x:c r="C2738" t="str">
        <x:v>Composition héritée</x:v>
      </x:c>
      <x:c r="D2738" t="str">
        <x:v>militaire</x:v>
      </x:c>
      <x:c r="E2738" t="str">
        <x:v>Batterie côtière — variante 06 — Camp de fortune / première récupération passée</x:v>
      </x:c>
      <x:c r="F2738" t="n">
        <x:v>8</x:v>
      </x:c>
      <x:c r="G2738" t="n">
        <x:v>4</x:v>
      </x:c>
      <x:c r="H2738" t="n">
        <x:v>0</x:v>
      </x:c>
      <x:c r="I2738" t="str">
        <x:v>À qualifier par lieu</x:v>
      </x:c>
      <x:c r="J2738" t="str">
        <x:v>https://github.com/darknigthmare/deadwall-last-enclosure/blob/1b3b9c5ba232734b1bda3453b4e20a0481bcdd74/codex-3000/compositions/militaire/DW-2733.md</x:v>
      </x:c>
      <x:c r="K2738" t="str">
        <x:v>Source min 76,21 m ; max 76,21 m ; modèle 76 × 21 m ; niveaux 0. Détails dans catalogue-existant.json.</x:v>
      </x:c>
    </x:row>
    <x:row r="2739">
      <x:c r="A2739" t="str">
        <x:v>DW-2734</x:v>
      </x:c>
      <x:c r="B2739" t="str">
        <x:v>DW-0867</x:v>
      </x:c>
      <x:c r="C2739" t="str">
        <x:v>Composition héritée</x:v>
      </x:c>
      <x:c r="D2739" t="str">
        <x:v>militaire</x:v>
      </x:c>
      <x:c r="E2739" t="str">
        <x:v>Batterie côtière — variante 06 — Grand camp allié / relais temporaire envisagé</x:v>
      </x:c>
      <x:c r="F2739" t="n">
        <x:v>10</x:v>
      </x:c>
      <x:c r="G2739" t="n">
        <x:v>4</x:v>
      </x:c>
      <x:c r="H2739" t="n">
        <x:v>0</x:v>
      </x:c>
      <x:c r="I2739" t="str">
        <x:v>À qualifier par lieu</x:v>
      </x:c>
      <x:c r="J2739" t="str">
        <x:v>https://github.com/darknigthmare/deadwall-last-enclosure/blob/1b3b9c5ba232734b1bda3453b4e20a0481bcdd74/codex-3000/compositions/militaire/DW-2734.md</x:v>
      </x:c>
      <x:c r="K2739" t="str">
        <x:v>Source min 76,21 m ; max 76,21 m ; modèle 76 × 21 m ; niveaux 0. Détails dans catalogue-existant.json.</x:v>
      </x:c>
    </x:row>
    <x:row r="2740">
      <x:c r="A2740" t="str">
        <x:v>DW-2735</x:v>
      </x:c>
      <x:c r="B2740" t="str">
        <x:v>DW-0868</x:v>
      </x:c>
      <x:c r="C2740" t="str">
        <x:v>Composition héritée</x:v>
      </x:c>
      <x:c r="D2740" t="str">
        <x:v>militaire</x:v>
      </x:c>
      <x:c r="E2740" t="str">
        <x:v>Dépôt carburant sécurisé — variante 06 — Centre d’évacuation abandonné / service déplacé à l’arrière</x:v>
      </x:c>
      <x:c r="F2740" t="n">
        <x:v>8</x:v>
      </x:c>
      <x:c r="G2740" t="n">
        <x:v>5</x:v>
      </x:c>
      <x:c r="H2740" t="n">
        <x:v>0</x:v>
      </x:c>
      <x:c r="I2740" t="str">
        <x:v>À qualifier par lieu</x:v>
      </x:c>
      <x:c r="J2740" t="str">
        <x:v>https://github.com/darknigthmare/deadwall-last-enclosure/blob/1b3b9c5ba232734b1bda3453b4e20a0481bcdd74/codex-3000/compositions/militaire/DW-2735.md</x:v>
      </x:c>
      <x:c r="K2740" t="str">
        <x:v>Source min 15,38 m ; max 15,38 m ; modèle 26 × 38 m ; niveaux 0. Détails dans catalogue-existant.json.</x:v>
      </x:c>
    </x:row>
    <x:row r="2741">
      <x:c r="A2741" t="str">
        <x:v>DW-2736</x:v>
      </x:c>
      <x:c r="B2741" t="str">
        <x:v>DW-0868</x:v>
      </x:c>
      <x:c r="C2741" t="str">
        <x:v>Composition héritée</x:v>
      </x:c>
      <x:c r="D2741" t="str">
        <x:v>militaire</x:v>
      </x:c>
      <x:c r="E2741" t="str">
        <x:v>Dépôt carburant sécurisé — variante 06 — Camp hostile / réseau principal coupé</x:v>
      </x:c>
      <x:c r="F2741" t="n">
        <x:v>10</x:v>
      </x:c>
      <x:c r="G2741" t="n">
        <x:v>5</x:v>
      </x:c>
      <x:c r="H2741" t="n">
        <x:v>0</x:v>
      </x:c>
      <x:c r="I2741" t="str">
        <x:v>À qualifier par lieu</x:v>
      </x:c>
      <x:c r="J2741" t="str">
        <x:v>https://github.com/darknigthmare/deadwall-last-enclosure/blob/1b3b9c5ba232734b1bda3453b4e20a0481bcdd74/codex-3000/compositions/militaire/DW-2736.md</x:v>
      </x:c>
      <x:c r="K2741" t="str">
        <x:v>Source min 15,38 m ; max 15,38 m ; modèle 26 × 38 m ; niveaux 0. Détails dans catalogue-existant.json.</x:v>
      </x:c>
    </x:row>
    <x:row r="2742">
      <x:c r="A2742" t="str">
        <x:v>DW-2737</x:v>
      </x:c>
      <x:c r="B2742" t="str">
        <x:v>DW-0869</x:v>
      </x:c>
      <x:c r="C2742" t="str">
        <x:v>Composition héritée</x:v>
      </x:c>
      <x:c r="D2742" t="str">
        <x:v>transport</x:v>
      </x:c>
      <x:c r="E2742" t="str">
        <x:v>Gare routière — variante 06 — Station-service et aire routière / reprise progressive de la végétation</x:v>
      </x:c>
      <x:c r="F2742" t="n">
        <x:v>8</x:v>
      </x:c>
      <x:c r="G2742" t="n">
        <x:v>5</x:v>
      </x:c>
      <x:c r="H2742" t="n">
        <x:v>0</x:v>
      </x:c>
      <x:c r="I2742" t="str">
        <x:v>À qualifier par lieu</x:v>
      </x:c>
      <x:c r="J2742" t="str">
        <x:v>https://github.com/darknigthmare/deadwall-last-enclosure/blob/1b3b9c5ba232734b1bda3453b4e20a0481bcdd74/codex-3000/compositions/transport/DW-2737.md</x:v>
      </x:c>
      <x:c r="K2742" t="str">
        <x:v>Source min 26,55 m ; max 26,55 m ; modèle 26 × 55 m ; niveaux 0. Détails dans catalogue-existant.json.</x:v>
      </x:c>
    </x:row>
    <x:row r="2743">
      <x:c r="A2743" t="str">
        <x:v>DW-2738</x:v>
      </x:c>
      <x:c r="B2743" t="str">
        <x:v>DW-0869</x:v>
      </x:c>
      <x:c r="C2743" t="str">
        <x:v>Composition héritée</x:v>
      </x:c>
      <x:c r="D2743" t="str">
        <x:v>transport</x:v>
      </x:c>
      <x:c r="E2743" t="str">
        <x:v>Gare routière — variante 06 — Port marchand / repli organisé interrompu</x:v>
      </x:c>
      <x:c r="F2743" t="n">
        <x:v>10</x:v>
      </x:c>
      <x:c r="G2743" t="n">
        <x:v>5</x:v>
      </x:c>
      <x:c r="H2743" t="n">
        <x:v>0</x:v>
      </x:c>
      <x:c r="I2743" t="str">
        <x:v>À qualifier par lieu</x:v>
      </x:c>
      <x:c r="J2743" t="str">
        <x:v>https://github.com/darknigthmare/deadwall-last-enclosure/blob/1b3b9c5ba232734b1bda3453b4e20a0481bcdd74/codex-3000/compositions/transport/DW-2738.md</x:v>
      </x:c>
      <x:c r="K2743" t="str">
        <x:v>Source min 26,55 m ; max 26,55 m ; modèle 26 × 55 m ; niveaux 0. Détails dans catalogue-existant.json.</x:v>
      </x:c>
    </x:row>
    <x:row r="2744">
      <x:c r="A2744" t="str">
        <x:v>DW-2739</x:v>
      </x:c>
      <x:c r="B2744" t="str">
        <x:v>DW-0870</x:v>
      </x:c>
      <x:c r="C2744" t="str">
        <x:v>Composition héritée</x:v>
      </x:c>
      <x:c r="D2744" t="str">
        <x:v>transport</x:v>
      </x:c>
      <x:c r="E2744" t="str">
        <x:v>Dépôt de bus — variante 06 — Gare et fret / relais temporaire envisagé</x:v>
      </x:c>
      <x:c r="F2744" t="n">
        <x:v>10</x:v>
      </x:c>
      <x:c r="G2744" t="n">
        <x:v>5</x:v>
      </x:c>
      <x:c r="H2744" t="n">
        <x:v>0</x:v>
      </x:c>
      <x:c r="I2744" t="str">
        <x:v>À qualifier par lieu</x:v>
      </x:c>
      <x:c r="J2744" t="str">
        <x:v>https://github.com/darknigthmare/deadwall-last-enclosure/blob/1b3b9c5ba232734b1bda3453b4e20a0481bcdd74/codex-3000/compositions/transport/DW-2739.md</x:v>
      </x:c>
      <x:c r="K2744" t="str">
        <x:v>Source min 37,18 m ; max 37,18 m ; modèle 37 × 22 m ; niveaux 0. Détails dans catalogue-existant.json.</x:v>
      </x:c>
    </x:row>
    <x:row r="2745">
      <x:c r="A2745" t="str">
        <x:v>DW-2740</x:v>
      </x:c>
      <x:c r="B2745" t="str">
        <x:v>DW-0870</x:v>
      </x:c>
      <x:c r="C2745" t="str">
        <x:v>Composition héritée</x:v>
      </x:c>
      <x:c r="D2745" t="str">
        <x:v>transport</x:v>
      </x:c>
      <x:c r="E2745" t="str">
        <x:v>Dépôt de bus — variante 06 — Routes et coutures territoriales / évacuation interrompue</x:v>
      </x:c>
      <x:c r="F2745" t="n">
        <x:v>10</x:v>
      </x:c>
      <x:c r="G2745" t="n">
        <x:v>5</x:v>
      </x:c>
      <x:c r="H2745" t="n">
        <x:v>0</x:v>
      </x:c>
      <x:c r="I2745" t="str">
        <x:v>À qualifier par lieu</x:v>
      </x:c>
      <x:c r="J2745" t="str">
        <x:v>https://github.com/darknigthmare/deadwall-last-enclosure/blob/1b3b9c5ba232734b1bda3453b4e20a0481bcdd74/codex-3000/compositions/transport/DW-2740.md</x:v>
      </x:c>
      <x:c r="K2745" t="str">
        <x:v>Source min 37,18 m ; max 37,18 m ; modèle 37 × 22 m ; niveaux 0. Détails dans catalogue-existant.json.</x:v>
      </x:c>
    </x:row>
    <x:row r="2746">
      <x:c r="A2746" t="str">
        <x:v>DW-2741</x:v>
      </x:c>
      <x:c r="B2746" t="str">
        <x:v>DW-0871</x:v>
      </x:c>
      <x:c r="C2746" t="str">
        <x:v>Composition héritée</x:v>
      </x:c>
      <x:c r="D2746" t="str">
        <x:v>transport</x:v>
      </x:c>
      <x:c r="E2746" t="str">
        <x:v>Gare ferroviaire — variante 06 — Port marchand / réseau principal coupé</x:v>
      </x:c>
      <x:c r="F2746" t="n">
        <x:v>10</x:v>
      </x:c>
      <x:c r="G2746" t="n">
        <x:v>5</x:v>
      </x:c>
      <x:c r="H2746" t="n">
        <x:v>0</x:v>
      </x:c>
      <x:c r="I2746" t="str">
        <x:v>À qualifier par lieu</x:v>
      </x:c>
      <x:c r="J2746" t="str">
        <x:v>https://github.com/darknigthmare/deadwall-last-enclosure/blob/1b3b9c5ba232734b1bda3453b4e20a0481bcdd74/codex-3000/compositions/transport/DW-2741.md</x:v>
      </x:c>
      <x:c r="K2746" t="str">
        <x:v>Source min 48,35 m ; max 48,35 m ; modèle 48 × 35 m ; niveaux 0. Détails dans catalogue-existant.json.</x:v>
      </x:c>
    </x:row>
    <x:row r="2747">
      <x:c r="A2747" t="str">
        <x:v>DW-2742</x:v>
      </x:c>
      <x:c r="B2747" t="str">
        <x:v>DW-0871</x:v>
      </x:c>
      <x:c r="C2747" t="str">
        <x:v>Composition héritée</x:v>
      </x:c>
      <x:c r="D2747" t="str">
        <x:v>transport</x:v>
      </x:c>
      <x:c r="E2747" t="str">
        <x:v>Gare ferroviaire — variante 06 — Station-service et aire routière / arrêt de maintenance</x:v>
      </x:c>
      <x:c r="F2747" t="n">
        <x:v>8</x:v>
      </x:c>
      <x:c r="G2747" t="n">
        <x:v>5</x:v>
      </x:c>
      <x:c r="H2747" t="n">
        <x:v>0</x:v>
      </x:c>
      <x:c r="I2747" t="str">
        <x:v>À qualifier par lieu</x:v>
      </x:c>
      <x:c r="J2747" t="str">
        <x:v>https://github.com/darknigthmare/deadwall-last-enclosure/blob/1b3b9c5ba232734b1bda3453b4e20a0481bcdd74/codex-3000/compositions/transport/DW-2742.md</x:v>
      </x:c>
      <x:c r="K2747" t="str">
        <x:v>Source min 48,35 m ; max 48,35 m ; modèle 48 × 35 m ; niveaux 0. Détails dans catalogue-existant.json.</x:v>
      </x:c>
    </x:row>
    <x:row r="2748">
      <x:c r="A2748" t="str">
        <x:v>DW-2743</x:v>
      </x:c>
      <x:c r="B2748" t="str">
        <x:v>DW-0872</x:v>
      </x:c>
      <x:c r="C2748" t="str">
        <x:v>Composition héritée</x:v>
      </x:c>
      <x:c r="D2748" t="str">
        <x:v>transport</x:v>
      </x:c>
      <x:c r="E2748" t="str">
        <x:v>Aire d'autoroute — variante 06 — Routes et coutures territoriales / repli organisé interrompu</x:v>
      </x:c>
      <x:c r="F2748" t="n">
        <x:v>10</x:v>
      </x:c>
      <x:c r="G2748" t="n">
        <x:v>5</x:v>
      </x:c>
      <x:c r="H2748" t="n">
        <x:v>0</x:v>
      </x:c>
      <x:c r="I2748" t="str">
        <x:v>À qualifier par lieu</x:v>
      </x:c>
      <x:c r="J2748" t="str">
        <x:v>https://github.com/darknigthmare/deadwall-last-enclosure/blob/1b3b9c5ba232734b1bda3453b4e20a0481bcdd74/codex-3000/compositions/transport/DW-2743.md</x:v>
      </x:c>
      <x:c r="K2748" t="str">
        <x:v>Source min 59,52 m ; max 59,52 m ; modèle 59 × 52 m ; niveaux 0. Détails dans catalogue-existant.json.</x:v>
      </x:c>
    </x:row>
    <x:row r="2749">
      <x:c r="A2749" t="str">
        <x:v>DW-2744</x:v>
      </x:c>
      <x:c r="B2749" t="str">
        <x:v>DW-0872</x:v>
      </x:c>
      <x:c r="C2749" t="str">
        <x:v>Composition héritée</x:v>
      </x:c>
      <x:c r="D2749" t="str">
        <x:v>transport</x:v>
      </x:c>
      <x:c r="E2749" t="str">
        <x:v>Aire d'autoroute — variante 06 — Gare et fret / première récupération passée</x:v>
      </x:c>
      <x:c r="F2749" t="n">
        <x:v>10</x:v>
      </x:c>
      <x:c r="G2749" t="n">
        <x:v>5</x:v>
      </x:c>
      <x:c r="H2749" t="n">
        <x:v>0</x:v>
      </x:c>
      <x:c r="I2749" t="str">
        <x:v>À qualifier par lieu</x:v>
      </x:c>
      <x:c r="J2749" t="str">
        <x:v>https://github.com/darknigthmare/deadwall-last-enclosure/blob/1b3b9c5ba232734b1bda3453b4e20a0481bcdd74/codex-3000/compositions/transport/DW-2744.md</x:v>
      </x:c>
      <x:c r="K2749" t="str">
        <x:v>Source min 59,52 m ; max 59,52 m ; modèle 59 × 52 m ; niveaux 0. Détails dans catalogue-existant.json.</x:v>
      </x:c>
    </x:row>
    <x:row r="2750">
      <x:c r="A2750" t="str">
        <x:v>DW-2745</x:v>
      </x:c>
      <x:c r="B2750" t="str">
        <x:v>DW-0873</x:v>
      </x:c>
      <x:c r="C2750" t="str">
        <x:v>Composition héritée</x:v>
      </x:c>
      <x:c r="D2750" t="str">
        <x:v>transport</x:v>
      </x:c>
      <x:c r="E2750" t="str">
        <x:v>Parking silo — variante 06 — Station-service et aire routière / évacuation interrompue</x:v>
      </x:c>
      <x:c r="F2750" t="n">
        <x:v>8</x:v>
      </x:c>
      <x:c r="G2750" t="n">
        <x:v>4</x:v>
      </x:c>
      <x:c r="H2750" t="n">
        <x:v>0</x:v>
      </x:c>
      <x:c r="I2750" t="str">
        <x:v>À qualifier par lieu</x:v>
      </x:c>
      <x:c r="J2750" t="str">
        <x:v>https://github.com/darknigthmare/deadwall-last-enclosure/blob/1b3b9c5ba232734b1bda3453b4e20a0481bcdd74/codex-3000/compositions/transport/DW-2745.md</x:v>
      </x:c>
      <x:c r="K2750" t="str">
        <x:v>Source min 70,15 m ; max 70,15 m ; modèle 70 × 18 m ; niveaux 0. Détails dans catalogue-existant.json.</x:v>
      </x:c>
    </x:row>
    <x:row r="2751">
      <x:c r="A2751" t="str">
        <x:v>DW-2746</x:v>
      </x:c>
      <x:c r="B2751" t="str">
        <x:v>DW-0873</x:v>
      </x:c>
      <x:c r="C2751" t="str">
        <x:v>Composition héritée</x:v>
      </x:c>
      <x:c r="D2751" t="str">
        <x:v>transport</x:v>
      </x:c>
      <x:c r="E2751" t="str">
        <x:v>Parking silo — variante 06 — Port marchand / service déplacé à l’arrière</x:v>
      </x:c>
      <x:c r="F2751" t="n">
        <x:v>10</x:v>
      </x:c>
      <x:c r="G2751" t="n">
        <x:v>4</x:v>
      </x:c>
      <x:c r="H2751" t="n">
        <x:v>0</x:v>
      </x:c>
      <x:c r="I2751" t="str">
        <x:v>À qualifier par lieu</x:v>
      </x:c>
      <x:c r="J2751" t="str">
        <x:v>https://github.com/darknigthmare/deadwall-last-enclosure/blob/1b3b9c5ba232734b1bda3453b4e20a0481bcdd74/codex-3000/compositions/transport/DW-2746.md</x:v>
      </x:c>
      <x:c r="K2751" t="str">
        <x:v>Source min 70,15 m ; max 70,15 m ; modèle 70 × 18 m ; niveaux 0. Détails dans catalogue-existant.json.</x:v>
      </x:c>
    </x:row>
    <x:row r="2752">
      <x:c r="A2752" t="str">
        <x:v>DW-2747</x:v>
      </x:c>
      <x:c r="B2752" t="str">
        <x:v>DW-0874</x:v>
      </x:c>
      <x:c r="C2752" t="str">
        <x:v>Composition héritée</x:v>
      </x:c>
      <x:c r="D2752" t="str">
        <x:v>transport</x:v>
      </x:c>
      <x:c r="E2752" t="str">
        <x:v>Terminal poids lourds — variante 06 — Gare et fret / arrêt de maintenance</x:v>
      </x:c>
      <x:c r="F2752" t="n">
        <x:v>10</x:v>
      </x:c>
      <x:c r="G2752" t="n">
        <x:v>5</x:v>
      </x:c>
      <x:c r="H2752" t="n">
        <x:v>0</x:v>
      </x:c>
      <x:c r="I2752" t="str">
        <x:v>À qualifier par lieu</x:v>
      </x:c>
      <x:c r="J2752" t="str">
        <x:v>https://github.com/darknigthmare/deadwall-last-enclosure/blob/1b3b9c5ba232734b1bda3453b4e20a0481bcdd74/codex-3000/compositions/transport/DW-2747.md</x:v>
      </x:c>
      <x:c r="K2752" t="str">
        <x:v>Source min 81,32 m ; max 81,32 m ; modèle 78 × 32 m ; niveaux 0. Détails dans catalogue-existant.json.</x:v>
      </x:c>
    </x:row>
    <x:row r="2753">
      <x:c r="A2753" t="str">
        <x:v>DW-2748</x:v>
      </x:c>
      <x:c r="B2753" t="str">
        <x:v>DW-0874</x:v>
      </x:c>
      <x:c r="C2753" t="str">
        <x:v>Composition héritée</x:v>
      </x:c>
      <x:c r="D2753" t="str">
        <x:v>transport</x:v>
      </x:c>
      <x:c r="E2753" t="str">
        <x:v>Terminal poids lourds — variante 06 — Routes et coutures territoriales / reprise progressive de la végétation</x:v>
      </x:c>
      <x:c r="F2753" t="n">
        <x:v>10</x:v>
      </x:c>
      <x:c r="G2753" t="n">
        <x:v>5</x:v>
      </x:c>
      <x:c r="H2753" t="n">
        <x:v>0</x:v>
      </x:c>
      <x:c r="I2753" t="str">
        <x:v>À qualifier par lieu</x:v>
      </x:c>
      <x:c r="J2753" t="str">
        <x:v>https://github.com/darknigthmare/deadwall-last-enclosure/blob/1b3b9c5ba232734b1bda3453b4e20a0481bcdd74/codex-3000/compositions/transport/DW-2748.md</x:v>
      </x:c>
      <x:c r="K2753" t="str">
        <x:v>Source min 81,32 m ; max 81,32 m ; modèle 78 × 32 m ; niveaux 0. Détails dans catalogue-existant.json.</x:v>
      </x:c>
    </x:row>
    <x:row r="2754">
      <x:c r="A2754" t="str">
        <x:v>DW-2749</x:v>
      </x:c>
      <x:c r="B2754" t="str">
        <x:v>DW-0875</x:v>
      </x:c>
      <x:c r="C2754" t="str">
        <x:v>Composition héritée</x:v>
      </x:c>
      <x:c r="D2754" t="str">
        <x:v>transport</x:v>
      </x:c>
      <x:c r="E2754" t="str">
        <x:v>Port de plaisance — variante 06 — Port marchand / première récupération passée</x:v>
      </x:c>
      <x:c r="F2754" t="n">
        <x:v>10</x:v>
      </x:c>
      <x:c r="G2754" t="n">
        <x:v>5</x:v>
      </x:c>
      <x:c r="H2754" t="n">
        <x:v>0</x:v>
      </x:c>
      <x:c r="I2754" t="str">
        <x:v>À qualifier par lieu</x:v>
      </x:c>
      <x:c r="J2754" t="str">
        <x:v>https://github.com/darknigthmare/deadwall-last-enclosure/blob/1b3b9c5ba232734b1bda3453b4e20a0481bcdd74/codex-3000/compositions/transport/DW-2749.md</x:v>
      </x:c>
      <x:c r="K2754" t="str">
        <x:v>Source min 20,49 m ; max 20,49 m ; modèle 26 × 49 m ; niveaux 0. Détails dans catalogue-existant.json.</x:v>
      </x:c>
    </x:row>
    <x:row r="2755">
      <x:c r="A2755" t="str">
        <x:v>DW-2750</x:v>
      </x:c>
      <x:c r="B2755" t="str">
        <x:v>DW-0875</x:v>
      </x:c>
      <x:c r="C2755" t="str">
        <x:v>Composition héritée</x:v>
      </x:c>
      <x:c r="D2755" t="str">
        <x:v>transport</x:v>
      </x:c>
      <x:c r="E2755" t="str">
        <x:v>Port de plaisance — variante 06 — Station-service et aire routière / relais temporaire envisagé</x:v>
      </x:c>
      <x:c r="F2755" t="n">
        <x:v>8</x:v>
      </x:c>
      <x:c r="G2755" t="n">
        <x:v>5</x:v>
      </x:c>
      <x:c r="H2755" t="n">
        <x:v>0</x:v>
      </x:c>
      <x:c r="I2755" t="str">
        <x:v>À qualifier par lieu</x:v>
      </x:c>
      <x:c r="J2755" t="str">
        <x:v>https://github.com/darknigthmare/deadwall-last-enclosure/blob/1b3b9c5ba232734b1bda3453b4e20a0481bcdd74/codex-3000/compositions/transport/DW-2750.md</x:v>
      </x:c>
      <x:c r="K2755" t="str">
        <x:v>Source min 20,49 m ; max 20,49 m ; modèle 26 × 49 m ; niveaux 0. Détails dans catalogue-existant.json.</x:v>
      </x:c>
    </x:row>
    <x:row r="2756">
      <x:c r="A2756" t="str">
        <x:v>DW-2751</x:v>
      </x:c>
      <x:c r="B2756" t="str">
        <x:v>DW-0876</x:v>
      </x:c>
      <x:c r="C2756" t="str">
        <x:v>Composition héritée</x:v>
      </x:c>
      <x:c r="D2756" t="str">
        <x:v>transport</x:v>
      </x:c>
      <x:c r="E2756" t="str">
        <x:v>Petit aérodrome — variante 06 — Routes et coutures territoriales / service déplacé à l’arrière</x:v>
      </x:c>
      <x:c r="F2756" t="n">
        <x:v>10</x:v>
      </x:c>
      <x:c r="G2756" t="n">
        <x:v>5</x:v>
      </x:c>
      <x:c r="H2756" t="n">
        <x:v>0</x:v>
      </x:c>
      <x:c r="I2756" t="str">
        <x:v>À qualifier par lieu</x:v>
      </x:c>
      <x:c r="J2756" t="str">
        <x:v>https://github.com/darknigthmare/deadwall-last-enclosure/blob/1b3b9c5ba232734b1bda3453b4e20a0481bcdd74/codex-3000/compositions/transport/DW-2751.md</x:v>
      </x:c>
      <x:c r="K2756" t="str">
        <x:v>Source min 31,12 m ; max 31,12 m ; modèle 31 × 22 m ; niveaux 0. Détails dans catalogue-existant.json.</x:v>
      </x:c>
    </x:row>
    <x:row r="2757">
      <x:c r="A2757" t="str">
        <x:v>DW-2752</x:v>
      </x:c>
      <x:c r="B2757" t="str">
        <x:v>DW-0876</x:v>
      </x:c>
      <x:c r="C2757" t="str">
        <x:v>Composition héritée</x:v>
      </x:c>
      <x:c r="D2757" t="str">
        <x:v>transport</x:v>
      </x:c>
      <x:c r="E2757" t="str">
        <x:v>Petit aérodrome — variante 06 — Gare et fret / réseau principal coupé</x:v>
      </x:c>
      <x:c r="F2757" t="n">
        <x:v>10</x:v>
      </x:c>
      <x:c r="G2757" t="n">
        <x:v>5</x:v>
      </x:c>
      <x:c r="H2757" t="n">
        <x:v>0</x:v>
      </x:c>
      <x:c r="I2757" t="str">
        <x:v>À qualifier par lieu</x:v>
      </x:c>
      <x:c r="J2757" t="str">
        <x:v>https://github.com/darknigthmare/deadwall-last-enclosure/blob/1b3b9c5ba232734b1bda3453b4e20a0481bcdd74/codex-3000/compositions/transport/DW-2752.md</x:v>
      </x:c>
      <x:c r="K2757" t="str">
        <x:v>Source min 31,12 m ; max 31,12 m ; modèle 31 × 22 m ; niveaux 0. Détails dans catalogue-existant.json.</x:v>
      </x:c>
    </x:row>
    <x:row r="2758">
      <x:c r="A2758" t="str">
        <x:v>DW-2753</x:v>
      </x:c>
      <x:c r="B2758" t="str">
        <x:v>DW-0877</x:v>
      </x:c>
      <x:c r="C2758" t="str">
        <x:v>Composition héritée</x:v>
      </x:c>
      <x:c r="D2758" t="str">
        <x:v>ruines</x:v>
      </x:c>
      <x:c r="E2758" t="str">
        <x:v>Maison incendiée — variante 06 — Ruine envahie et reprise végétale / reprise progressive de la végétation</x:v>
      </x:c>
      <x:c r="F2758" t="n">
        <x:v>8</x:v>
      </x:c>
      <x:c r="G2758" t="n">
        <x:v>3</x:v>
      </x:c>
      <x:c r="H2758" t="n">
        <x:v>0</x:v>
      </x:c>
      <x:c r="I2758" t="str">
        <x:v>À qualifier par lieu</x:v>
      </x:c>
      <x:c r="J2758" t="str">
        <x:v>https://github.com/darknigthmare/deadwall-last-enclosure/blob/1b3b9c5ba232734b1bda3453b4e20a0481bcdd74/codex-3000/compositions/ruines/DW-2753.md</x:v>
      </x:c>
      <x:c r="K2758" t="str">
        <x:v>Source min 42,29 m ; max 42,29 m ; modèle 42 × 29 m ; niveaux 0, 1. Détails dans catalogue-existant.json.</x:v>
      </x:c>
    </x:row>
    <x:row r="2759">
      <x:c r="A2759" t="str">
        <x:v>DW-2754</x:v>
      </x:c>
      <x:c r="B2759" t="str">
        <x:v>DW-0877</x:v>
      </x:c>
      <x:c r="C2759" t="str">
        <x:v>Composition héritée</x:v>
      </x:c>
      <x:c r="D2759" t="str">
        <x:v>ruines</x:v>
      </x:c>
      <x:c r="E2759" t="str">
        <x:v>Maison incendiée — variante 06 — Zone industrielle / repli organisé interrompu</x:v>
      </x:c>
      <x:c r="F2759" t="n">
        <x:v>8</x:v>
      </x:c>
      <x:c r="G2759" t="n">
        <x:v>3</x:v>
      </x:c>
      <x:c r="H2759" t="n">
        <x:v>0</x:v>
      </x:c>
      <x:c r="I2759" t="str">
        <x:v>À qualifier par lieu</x:v>
      </x:c>
      <x:c r="J2759" t="str">
        <x:v>https://github.com/darknigthmare/deadwall-last-enclosure/blob/1b3b9c5ba232734b1bda3453b4e20a0481bcdd74/codex-3000/compositions/ruines/DW-2754.md</x:v>
      </x:c>
      <x:c r="K2759" t="str">
        <x:v>Source min 42,29 m ; max 42,29 m ; modèle 42 × 29 m ; niveaux 0, 1. Détails dans catalogue-existant.json.</x:v>
      </x:c>
    </x:row>
    <x:row r="2760">
      <x:c r="A2760" t="str">
        <x:v>DW-2755</x:v>
      </x:c>
      <x:c r="B2760" t="str">
        <x:v>DW-0878</x:v>
      </x:c>
      <x:c r="C2760" t="str">
        <x:v>Composition héritée</x:v>
      </x:c>
      <x:c r="D2760" t="str">
        <x:v>ruines</x:v>
      </x:c>
      <x:c r="E2760" t="str">
        <x:v>Immeuble éventré — variante 06 — Centre ancien / relais temporaire envisagé</x:v>
      </x:c>
      <x:c r="F2760" t="n">
        <x:v>8</x:v>
      </x:c>
      <x:c r="G2760" t="n">
        <x:v>4</x:v>
      </x:c>
      <x:c r="H2760" t="n">
        <x:v>0</x:v>
      </x:c>
      <x:c r="I2760" t="str">
        <x:v>À qualifier par lieu</x:v>
      </x:c>
      <x:c r="J2760" t="str">
        <x:v>https://github.com/darknigthmare/deadwall-last-enclosure/blob/1b3b9c5ba232734b1bda3453b4e20a0481bcdd74/codex-3000/compositions/ruines/DW-2755.md</x:v>
      </x:c>
      <x:c r="K2760" t="str">
        <x:v>Source min 53,46 m ; max 53,46 m ; modèle 53 × 46 m ; niveaux 0, 1, 2. Détails dans catalogue-existant.json.</x:v>
      </x:c>
    </x:row>
    <x:row r="2761">
      <x:c r="A2761" t="str">
        <x:v>DW-2756</x:v>
      </x:c>
      <x:c r="B2761" t="str">
        <x:v>DW-0878</x:v>
      </x:c>
      <x:c r="C2761" t="str">
        <x:v>Composition héritée</x:v>
      </x:c>
      <x:c r="D2761" t="str">
        <x:v>ruines</x:v>
      </x:c>
      <x:c r="E2761" t="str">
        <x:v>Immeuble éventré — variante 06 — Petit bois et lisière / évacuation interrompue</x:v>
      </x:c>
      <x:c r="F2761" t="n">
        <x:v>8</x:v>
      </x:c>
      <x:c r="G2761" t="n">
        <x:v>4</x:v>
      </x:c>
      <x:c r="H2761" t="n">
        <x:v>0</x:v>
      </x:c>
      <x:c r="I2761" t="str">
        <x:v>À qualifier par lieu</x:v>
      </x:c>
      <x:c r="J2761" t="str">
        <x:v>https://github.com/darknigthmare/deadwall-last-enclosure/blob/1b3b9c5ba232734b1bda3453b4e20a0481bcdd74/codex-3000/compositions/ruines/DW-2756.md</x:v>
      </x:c>
      <x:c r="K2761" t="str">
        <x:v>Source min 53,46 m ; max 53,46 m ; modèle 53 × 46 m ; niveaux 0, 1, 2. Détails dans catalogue-existant.json.</x:v>
      </x:c>
    </x:row>
    <x:row r="2762">
      <x:c r="A2762" t="str">
        <x:v>DW-2757</x:v>
      </x:c>
      <x:c r="B2762" t="str">
        <x:v>DW-0879</x:v>
      </x:c>
      <x:c r="C2762" t="str">
        <x:v>Composition héritée</x:v>
      </x:c>
      <x:c r="D2762" t="str">
        <x:v>ruines</x:v>
      </x:c>
      <x:c r="E2762" t="str">
        <x:v>Commerce pillé — variante 06 — Zone industrielle / réseau principal coupé</x:v>
      </x:c>
      <x:c r="F2762" t="n">
        <x:v>8</x:v>
      </x:c>
      <x:c r="G2762" t="n">
        <x:v>4</x:v>
      </x:c>
      <x:c r="H2762" t="n">
        <x:v>0</x:v>
      </x:c>
      <x:c r="I2762" t="str">
        <x:v>À qualifier par lieu</x:v>
      </x:c>
      <x:c r="J2762" t="str">
        <x:v>https://github.com/darknigthmare/deadwall-last-enclosure/blob/1b3b9c5ba232734b1bda3453b4e20a0481bcdd74/codex-3000/compositions/ruines/DW-2757.md</x:v>
      </x:c>
      <x:c r="K2762" t="str">
        <x:v>Source min 64,9 m ; max 64,9 m ; modèle 64 × 18 m ; niveaux 0. Détails dans catalogue-existant.json.</x:v>
      </x:c>
    </x:row>
    <x:row r="2763">
      <x:c r="A2763" t="str">
        <x:v>DW-2758</x:v>
      </x:c>
      <x:c r="B2763" t="str">
        <x:v>DW-0879</x:v>
      </x:c>
      <x:c r="C2763" t="str">
        <x:v>Composition héritée</x:v>
      </x:c>
      <x:c r="D2763" t="str">
        <x:v>ruines</x:v>
      </x:c>
      <x:c r="E2763" t="str">
        <x:v>Commerce pillé — variante 06 — Ruine envahie et reprise végétale / arrêt de maintenance</x:v>
      </x:c>
      <x:c r="F2763" t="n">
        <x:v>8</x:v>
      </x:c>
      <x:c r="G2763" t="n">
        <x:v>4</x:v>
      </x:c>
      <x:c r="H2763" t="n">
        <x:v>0</x:v>
      </x:c>
      <x:c r="I2763" t="str">
        <x:v>À qualifier par lieu</x:v>
      </x:c>
      <x:c r="J2763" t="str">
        <x:v>https://github.com/darknigthmare/deadwall-last-enclosure/blob/1b3b9c5ba232734b1bda3453b4e20a0481bcdd74/codex-3000/compositions/ruines/DW-2758.md</x:v>
      </x:c>
      <x:c r="K2763" t="str">
        <x:v>Source min 64,9 m ; max 64,9 m ; modèle 64 × 18 m ; niveaux 0. Détails dans catalogue-existant.json.</x:v>
      </x:c>
    </x:row>
    <x:row r="2764">
      <x:c r="A2764" t="str">
        <x:v>DW-2759</x:v>
      </x:c>
      <x:c r="B2764" t="str">
        <x:v>DW-0880</x:v>
      </x:c>
      <x:c r="C2764" t="str">
        <x:v>Composition héritée</x:v>
      </x:c>
      <x:c r="D2764" t="str">
        <x:v>ruines</x:v>
      </x:c>
      <x:c r="E2764" t="str">
        <x:v>Usine sinistrée — variante 06 — Petit bois et lisière / repli organisé interrompu</x:v>
      </x:c>
      <x:c r="F2764" t="n">
        <x:v>8</x:v>
      </x:c>
      <x:c r="G2764" t="n">
        <x:v>4</x:v>
      </x:c>
      <x:c r="H2764" t="n">
        <x:v>0</x:v>
      </x:c>
      <x:c r="I2764" t="str">
        <x:v>À qualifier par lieu</x:v>
      </x:c>
      <x:c r="J2764" t="str">
        <x:v>https://github.com/darknigthmare/deadwall-last-enclosure/blob/1b3b9c5ba232734b1bda3453b4e20a0481bcdd74/codex-3000/compositions/ruines/DW-2759.md</x:v>
      </x:c>
      <x:c r="K2764" t="str">
        <x:v>Source min 75,26 m ; max 75,26 m ; modèle 75 × 26 m ; niveaux 0. Détails dans catalogue-existant.json.</x:v>
      </x:c>
    </x:row>
    <x:row r="2765">
      <x:c r="A2765" t="str">
        <x:v>DW-2760</x:v>
      </x:c>
      <x:c r="B2765" t="str">
        <x:v>DW-0880</x:v>
      </x:c>
      <x:c r="C2765" t="str">
        <x:v>Composition héritée</x:v>
      </x:c>
      <x:c r="D2765" t="str">
        <x:v>ruines</x:v>
      </x:c>
      <x:c r="E2765" t="str">
        <x:v>Usine sinistrée — variante 06 — Centre ancien / première récupération passée</x:v>
      </x:c>
      <x:c r="F2765" t="n">
        <x:v>8</x:v>
      </x:c>
      <x:c r="G2765" t="n">
        <x:v>4</x:v>
      </x:c>
      <x:c r="H2765" t="n">
        <x:v>0</x:v>
      </x:c>
      <x:c r="I2765" t="str">
        <x:v>À qualifier par lieu</x:v>
      </x:c>
      <x:c r="J2765" t="str">
        <x:v>https://github.com/darknigthmare/deadwall-last-enclosure/blob/1b3b9c5ba232734b1bda3453b4e20a0481bcdd74/codex-3000/compositions/ruines/DW-2760.md</x:v>
      </x:c>
      <x:c r="K2765" t="str">
        <x:v>Source min 75,26 m ; max 75,26 m ; modèle 75 × 26 m ; niveaux 0. Détails dans catalogue-existant.json.</x:v>
      </x:c>
    </x:row>
    <x:row r="2766">
      <x:c r="A2766" t="str">
        <x:v>DW-2761</x:v>
      </x:c>
      <x:c r="B2766" t="str">
        <x:v>DW-0881</x:v>
      </x:c>
      <x:c r="C2766" t="str">
        <x:v>Composition héritée</x:v>
      </x:c>
      <x:c r="D2766" t="str">
        <x:v>ruines</x:v>
      </x:c>
      <x:c r="E2766" t="str">
        <x:v>Hôtel abandonné — variante 06 — Ruine envahie et reprise végétale / évacuation interrompue</x:v>
      </x:c>
      <x:c r="F2766" t="n">
        <x:v>8</x:v>
      </x:c>
      <x:c r="G2766" t="n">
        <x:v>5</x:v>
      </x:c>
      <x:c r="H2766" t="n">
        <x:v>0</x:v>
      </x:c>
      <x:c r="I2766" t="str">
        <x:v>À qualifier par lieu</x:v>
      </x:c>
      <x:c r="J2766" t="str">
        <x:v>https://github.com/darknigthmare/deadwall-last-enclosure/blob/1b3b9c5ba232734b1bda3453b4e20a0481bcdd74/codex-3000/compositions/ruines/DW-2761.md</x:v>
      </x:c>
      <x:c r="K2766" t="str">
        <x:v>Source min 14,43 m ; max 14,43 m ; modèle 26 × 43 m ; niveaux 0, 1. Détails dans catalogue-existant.json.</x:v>
      </x:c>
    </x:row>
    <x:row r="2767">
      <x:c r="A2767" t="str">
        <x:v>DW-2762</x:v>
      </x:c>
      <x:c r="B2767" t="str">
        <x:v>DW-0881</x:v>
      </x:c>
      <x:c r="C2767" t="str">
        <x:v>Composition héritée</x:v>
      </x:c>
      <x:c r="D2767" t="str">
        <x:v>ruines</x:v>
      </x:c>
      <x:c r="E2767" t="str">
        <x:v>Hôtel abandonné — variante 06 — Zone industrielle / service déplacé à l’arrière</x:v>
      </x:c>
      <x:c r="F2767" t="n">
        <x:v>8</x:v>
      </x:c>
      <x:c r="G2767" t="n">
        <x:v>5</x:v>
      </x:c>
      <x:c r="H2767" t="n">
        <x:v>0</x:v>
      </x:c>
      <x:c r="I2767" t="str">
        <x:v>À qualifier par lieu</x:v>
      </x:c>
      <x:c r="J2767" t="str">
        <x:v>https://github.com/darknigthmare/deadwall-last-enclosure/blob/1b3b9c5ba232734b1bda3453b4e20a0481bcdd74/codex-3000/compositions/ruines/DW-2762.md</x:v>
      </x:c>
      <x:c r="K2767" t="str">
        <x:v>Source min 14,43 m ; max 14,43 m ; modèle 26 × 43 m ; niveaux 0, 1. Détails dans catalogue-existant.json.</x:v>
      </x:c>
    </x:row>
    <x:row r="2768">
      <x:c r="A2768" t="str">
        <x:v>DW-2763</x:v>
      </x:c>
      <x:c r="B2768" t="str">
        <x:v>DW-0882</x:v>
      </x:c>
      <x:c r="C2768" t="str">
        <x:v>Composition héritée</x:v>
      </x:c>
      <x:c r="D2768" t="str">
        <x:v>ruines</x:v>
      </x:c>
      <x:c r="E2768" t="str">
        <x:v>Lotissement ravagé — variante 06 — Centre ancien / arrêt de maintenance</x:v>
      </x:c>
      <x:c r="F2768" t="n">
        <x:v>8</x:v>
      </x:c>
      <x:c r="G2768" t="n">
        <x:v>4</x:v>
      </x:c>
      <x:c r="H2768" t="n">
        <x:v>0</x:v>
      </x:c>
      <x:c r="I2768" t="str">
        <x:v>À qualifier par lieu</x:v>
      </x:c>
      <x:c r="J2768" t="str">
        <x:v>https://github.com/darknigthmare/deadwall-last-enclosure/blob/1b3b9c5ba232734b1bda3453b4e20a0481bcdd74/codex-3000/compositions/ruines/DW-2763.md</x:v>
      </x:c>
      <x:c r="K2768" t="str">
        <x:v>Source min 25,60 m ; max 25,60 m ; modèle 25 × 60 m ; niveaux 0. Détails dans catalogue-existant.json.</x:v>
      </x:c>
    </x:row>
    <x:row r="2769">
      <x:c r="A2769" t="str">
        <x:v>DW-2764</x:v>
      </x:c>
      <x:c r="B2769" t="str">
        <x:v>DW-0882</x:v>
      </x:c>
      <x:c r="C2769" t="str">
        <x:v>Composition héritée</x:v>
      </x:c>
      <x:c r="D2769" t="str">
        <x:v>ruines</x:v>
      </x:c>
      <x:c r="E2769" t="str">
        <x:v>Lotissement ravagé — variante 06 — Petit bois et lisière / reprise progressive de la végétation</x:v>
      </x:c>
      <x:c r="F2769" t="n">
        <x:v>8</x:v>
      </x:c>
      <x:c r="G2769" t="n">
        <x:v>4</x:v>
      </x:c>
      <x:c r="H2769" t="n">
        <x:v>0</x:v>
      </x:c>
      <x:c r="I2769" t="str">
        <x:v>À qualifier par lieu</x:v>
      </x:c>
      <x:c r="J2769" t="str">
        <x:v>https://github.com/darknigthmare/deadwall-last-enclosure/blob/1b3b9c5ba232734b1bda3453b4e20a0481bcdd74/codex-3000/compositions/ruines/DW-2764.md</x:v>
      </x:c>
      <x:c r="K2769" t="str">
        <x:v>Source min 25,60 m ; max 25,60 m ; modèle 25 × 60 m ; niveaux 0. Détails dans catalogue-existant.json.</x:v>
      </x:c>
    </x:row>
    <x:row r="2770">
      <x:c r="A2770" t="str">
        <x:v>DW-2765</x:v>
      </x:c>
      <x:c r="B2770" t="str">
        <x:v>DW-0883</x:v>
      </x:c>
      <x:c r="C2770" t="str">
        <x:v>Composition héritée</x:v>
      </x:c>
      <x:c r="D2770" t="str">
        <x:v>ruines</x:v>
      </x:c>
      <x:c r="E2770" t="str">
        <x:v>Village déserté — variante 06 — Zone industrielle / première récupération passée</x:v>
      </x:c>
      <x:c r="F2770" t="n">
        <x:v>8</x:v>
      </x:c>
      <x:c r="G2770" t="n">
        <x:v>5</x:v>
      </x:c>
      <x:c r="H2770" t="n">
        <x:v>0</x:v>
      </x:c>
      <x:c r="I2770" t="str">
        <x:v>À qualifier par lieu</x:v>
      </x:c>
      <x:c r="J2770" t="str">
        <x:v>https://github.com/darknigthmare/deadwall-last-enclosure/blob/1b3b9c5ba232734b1bda3453b4e20a0481bcdd74/codex-3000/compositions/ruines/DW-2765.md</x:v>
      </x:c>
      <x:c r="K2770" t="str">
        <x:v>Source min 36,23 m ; max 36,23 m ; modèle 36 × 23 m ; niveaux 0. Détails dans catalogue-existant.json.</x:v>
      </x:c>
    </x:row>
    <x:row r="2771">
      <x:c r="A2771" t="str">
        <x:v>DW-2766</x:v>
      </x:c>
      <x:c r="B2771" t="str">
        <x:v>DW-0883</x:v>
      </x:c>
      <x:c r="C2771" t="str">
        <x:v>Composition héritée</x:v>
      </x:c>
      <x:c r="D2771" t="str">
        <x:v>ruines</x:v>
      </x:c>
      <x:c r="E2771" t="str">
        <x:v>Village déserté — variante 06 — Ruine envahie et reprise végétale / relais temporaire envisagé</x:v>
      </x:c>
      <x:c r="F2771" t="n">
        <x:v>8</x:v>
      </x:c>
      <x:c r="G2771" t="n">
        <x:v>5</x:v>
      </x:c>
      <x:c r="H2771" t="n">
        <x:v>0</x:v>
      </x:c>
      <x:c r="I2771" t="str">
        <x:v>À qualifier par lieu</x:v>
      </x:c>
      <x:c r="J2771" t="str">
        <x:v>https://github.com/darknigthmare/deadwall-last-enclosure/blob/1b3b9c5ba232734b1bda3453b4e20a0481bcdd74/codex-3000/compositions/ruines/DW-2766.md</x:v>
      </x:c>
      <x:c r="K2771" t="str">
        <x:v>Source min 36,23 m ; max 36,23 m ; modèle 36 × 23 m ; niveaux 0. Détails dans catalogue-existant.json.</x:v>
      </x:c>
    </x:row>
    <x:row r="2772">
      <x:c r="A2772" t="str">
        <x:v>DW-2767</x:v>
      </x:c>
      <x:c r="B2772" t="str">
        <x:v>DW-0884</x:v>
      </x:c>
      <x:c r="C2772" t="str">
        <x:v>Composition héritée</x:v>
      </x:c>
      <x:c r="D2772" t="str">
        <x:v>ruines</x:v>
      </x:c>
      <x:c r="E2772" t="str">
        <x:v>Centre commercial effondré — variante 06 — Petit bois et lisière / service déplacé à l’arrière</x:v>
      </x:c>
      <x:c r="F2772" t="n">
        <x:v>8</x:v>
      </x:c>
      <x:c r="G2772" t="n">
        <x:v>5</x:v>
      </x:c>
      <x:c r="H2772" t="n">
        <x:v>0</x:v>
      </x:c>
      <x:c r="I2772" t="str">
        <x:v>À qualifier par lieu</x:v>
      </x:c>
      <x:c r="J2772" t="str">
        <x:v>https://github.com/darknigthmare/deadwall-last-enclosure/blob/1b3b9c5ba232734b1bda3453b4e20a0481bcdd74/codex-3000/compositions/ruines/DW-2767.md</x:v>
      </x:c>
      <x:c r="K2772" t="str">
        <x:v>Source min 47,40 m ; max 47,40 m ; modèle 47 × 40 m ; niveaux 0. Détails dans catalogue-existant.json.</x:v>
      </x:c>
    </x:row>
    <x:row r="2773">
      <x:c r="A2773" t="str">
        <x:v>DW-2768</x:v>
      </x:c>
      <x:c r="B2773" t="str">
        <x:v>DW-0884</x:v>
      </x:c>
      <x:c r="C2773" t="str">
        <x:v>Composition héritée</x:v>
      </x:c>
      <x:c r="D2773" t="str">
        <x:v>ruines</x:v>
      </x:c>
      <x:c r="E2773" t="str">
        <x:v>Centre commercial effondré — variante 06 — Centre ancien / réseau principal coupé</x:v>
      </x:c>
      <x:c r="F2773" t="n">
        <x:v>8</x:v>
      </x:c>
      <x:c r="G2773" t="n">
        <x:v>5</x:v>
      </x:c>
      <x:c r="H2773" t="n">
        <x:v>0</x:v>
      </x:c>
      <x:c r="I2773" t="str">
        <x:v>À qualifier par lieu</x:v>
      </x:c>
      <x:c r="J2773" t="str">
        <x:v>https://github.com/darknigthmare/deadwall-last-enclosure/blob/1b3b9c5ba232734b1bda3453b4e20a0481bcdd74/codex-3000/compositions/ruines/DW-2768.md</x:v>
      </x:c>
      <x:c r="K2773" t="str">
        <x:v>Source min 47,40 m ; max 47,40 m ; modèle 47 × 40 m ; niveaux 0. Détails dans catalogue-existant.json.</x:v>
      </x:c>
    </x:row>
    <x:row r="2774">
      <x:c r="A2774" t="str">
        <x:v>DW-2769</x:v>
      </x:c>
      <x:c r="B2774" t="str">
        <x:v>DW-0885</x:v>
      </x:c>
      <x:c r="C2774" t="str">
        <x:v>Composition héritée</x:v>
      </x:c>
      <x:c r="D2774" t="str">
        <x:v>habitat</x:v>
      </x:c>
      <x:c r="E2774" t="str">
        <x:v>Maison de lotissement — variante 07 — Quartier pavillonnaire / reprise progressive de la végétation</x:v>
      </x:c>
      <x:c r="F2774" t="n">
        <x:v>8</x:v>
      </x:c>
      <x:c r="G2774" t="n">
        <x:v>5</x:v>
      </x:c>
      <x:c r="H2774" t="n">
        <x:v>0</x:v>
      </x:c>
      <x:c r="I2774" t="str">
        <x:v>À qualifier par lieu</x:v>
      </x:c>
      <x:c r="J2774" t="str">
        <x:v>https://github.com/darknigthmare/deadwall-last-enclosure/blob/1b3b9c5ba232734b1bda3453b4e20a0481bcdd74/codex-3000/compositions/habitat/DW-2769.md</x:v>
      </x:c>
      <x:c r="K2774" t="str">
        <x:v>Source min 58,57 m ; max 58,57 m ; modèle 58 × 57 m ; niveaux 0, 1. Détails dans catalogue-existant.json.</x:v>
      </x:c>
    </x:row>
    <x:row r="2775">
      <x:c r="A2775" t="str">
        <x:v>DW-2770</x:v>
      </x:c>
      <x:c r="B2775" t="str">
        <x:v>DW-0885</x:v>
      </x:c>
      <x:c r="C2775" t="str">
        <x:v>Composition héritée</x:v>
      </x:c>
      <x:c r="D2775" t="str">
        <x:v>habitat</x:v>
      </x:c>
      <x:c r="E2775" t="str">
        <x:v>Maison de lotissement — variante 07 — Village et bourg / repli organisé interrompu</x:v>
      </x:c>
      <x:c r="F2775" t="n">
        <x:v>8</x:v>
      </x:c>
      <x:c r="G2775" t="n">
        <x:v>5</x:v>
      </x:c>
      <x:c r="H2775" t="n">
        <x:v>0</x:v>
      </x:c>
      <x:c r="I2775" t="str">
        <x:v>À qualifier par lieu</x:v>
      </x:c>
      <x:c r="J2775" t="str">
        <x:v>https://github.com/darknigthmare/deadwall-last-enclosure/blob/1b3b9c5ba232734b1bda3453b4e20a0481bcdd74/codex-3000/compositions/habitat/DW-2770.md</x:v>
      </x:c>
      <x:c r="K2775" t="str">
        <x:v>Source min 58,57 m ; max 58,57 m ; modèle 58 × 57 m ; niveaux 0, 1. Détails dans catalogue-existant.json.</x:v>
      </x:c>
    </x:row>
    <x:row r="2776">
      <x:c r="A2776" t="str">
        <x:v>DW-2771</x:v>
      </x:c>
      <x:c r="B2776" t="str">
        <x:v>DW-0886</x:v>
      </x:c>
      <x:c r="C2776" t="str">
        <x:v>Composition héritée</x:v>
      </x:c>
      <x:c r="D2776" t="str">
        <x:v>habitat</x:v>
      </x:c>
      <x:c r="E2776" t="str">
        <x:v>Maison mitoyenne — variante 07 — Hameau / relais temporaire envisagé</x:v>
      </x:c>
      <x:c r="F2776" t="n">
        <x:v>8</x:v>
      </x:c>
      <x:c r="G2776" t="n">
        <x:v>5</x:v>
      </x:c>
      <x:c r="H2776" t="n">
        <x:v>0</x:v>
      </x:c>
      <x:c r="I2776" t="str">
        <x:v>À qualifier par lieu</x:v>
      </x:c>
      <x:c r="J2776" t="str">
        <x:v>https://github.com/darknigthmare/deadwall-last-enclosure/blob/1b3b9c5ba232734b1bda3453b4e20a0481bcdd74/codex-3000/compositions/habitat/DW-2771.md</x:v>
      </x:c>
      <x:c r="K2776" t="str">
        <x:v>Source min 69,20 m ; max 69,20 m ; modèle 69 × 22 m ; niveaux 0. Détails dans catalogue-existant.json.</x:v>
      </x:c>
    </x:row>
    <x:row r="2777">
      <x:c r="A2777" t="str">
        <x:v>DW-2772</x:v>
      </x:c>
      <x:c r="B2777" t="str">
        <x:v>DW-0886</x:v>
      </x:c>
      <x:c r="C2777" t="str">
        <x:v>Composition héritée</x:v>
      </x:c>
      <x:c r="D2777" t="str">
        <x:v>habitat</x:v>
      </x:c>
      <x:c r="E2777" t="str">
        <x:v>Maison mitoyenne — variante 07 — Quartier collectif / évacuation interrompue</x:v>
      </x:c>
      <x:c r="F2777" t="n">
        <x:v>8</x:v>
      </x:c>
      <x:c r="G2777" t="n">
        <x:v>5</x:v>
      </x:c>
      <x:c r="H2777" t="n">
        <x:v>0</x:v>
      </x:c>
      <x:c r="I2777" t="str">
        <x:v>À qualifier par lieu</x:v>
      </x:c>
      <x:c r="J2777" t="str">
        <x:v>https://github.com/darknigthmare/deadwall-last-enclosure/blob/1b3b9c5ba232734b1bda3453b4e20a0481bcdd74/codex-3000/compositions/habitat/DW-2772.md</x:v>
      </x:c>
      <x:c r="K2777" t="str">
        <x:v>Source min 69,20 m ; max 69,20 m ; modèle 69 × 22 m ; niveaux 0. Détails dans catalogue-existant.json.</x:v>
      </x:c>
    </x:row>
    <x:row r="2778">
      <x:c r="A2778" t="str">
        <x:v>DW-2773</x:v>
      </x:c>
      <x:c r="B2778" t="str">
        <x:v>DW-0887</x:v>
      </x:c>
      <x:c r="C2778" t="str">
        <x:v>Composition héritée</x:v>
      </x:c>
      <x:c r="D2778" t="str">
        <x:v>habitat</x:v>
      </x:c>
      <x:c r="E2778" t="str">
        <x:v>Villa isolée — variante 07 — Village et bourg / réseau principal coupé</x:v>
      </x:c>
      <x:c r="F2778" t="n">
        <x:v>8</x:v>
      </x:c>
      <x:c r="G2778" t="n">
        <x:v>7</x:v>
      </x:c>
      <x:c r="H2778" t="n">
        <x:v>0</x:v>
      </x:c>
      <x:c r="I2778" t="str">
        <x:v>À qualifier par lieu</x:v>
      </x:c>
      <x:c r="J2778" t="str">
        <x:v>https://github.com/darknigthmare/deadwall-last-enclosure/blob/1b3b9c5ba232734b1bda3453b4e20a0481bcdd74/codex-3000/compositions/habitat/DW-2773.md</x:v>
      </x:c>
      <x:c r="K2778" t="str">
        <x:v>Source min 80,37 m ; max 80,37 m ; modèle 78 × 37 m ; niveaux 0. Détails dans catalogue-existant.json.</x:v>
      </x:c>
    </x:row>
    <x:row r="2779">
      <x:c r="A2779" t="str">
        <x:v>DW-2774</x:v>
      </x:c>
      <x:c r="B2779" t="str">
        <x:v>DW-0887</x:v>
      </x:c>
      <x:c r="C2779" t="str">
        <x:v>Composition héritée</x:v>
      </x:c>
      <x:c r="D2779" t="str">
        <x:v>habitat</x:v>
      </x:c>
      <x:c r="E2779" t="str">
        <x:v>Villa isolée — variante 07 — Quartier pavillonnaire / arrêt de maintenance</x:v>
      </x:c>
      <x:c r="F2779" t="n">
        <x:v>8</x:v>
      </x:c>
      <x:c r="G2779" t="n">
        <x:v>7</x:v>
      </x:c>
      <x:c r="H2779" t="n">
        <x:v>0</x:v>
      </x:c>
      <x:c r="I2779" t="str">
        <x:v>À qualifier par lieu</x:v>
      </x:c>
      <x:c r="J2779" t="str">
        <x:v>https://github.com/darknigthmare/deadwall-last-enclosure/blob/1b3b9c5ba232734b1bda3453b4e20a0481bcdd74/codex-3000/compositions/habitat/DW-2774.md</x:v>
      </x:c>
      <x:c r="K2779" t="str">
        <x:v>Source min 80,37 m ; max 80,37 m ; modèle 78 × 37 m ; niveaux 0. Détails dans catalogue-existant.json.</x:v>
      </x:c>
    </x:row>
    <x:row r="2780">
      <x:c r="A2780" t="str">
        <x:v>DW-2775</x:v>
      </x:c>
      <x:c r="B2780" t="str">
        <x:v>DW-0888</x:v>
      </x:c>
      <x:c r="C2780" t="str">
        <x:v>Composition héritée</x:v>
      </x:c>
      <x:c r="D2780" t="str">
        <x:v>habitat</x:v>
      </x:c>
      <x:c r="E2780" t="str">
        <x:v>Ferme familiale — variante 07 — Quartier collectif / repli organisé interrompu</x:v>
      </x:c>
      <x:c r="F2780" t="n">
        <x:v>8</x:v>
      </x:c>
      <x:c r="G2780" t="n">
        <x:v>6</x:v>
      </x:c>
      <x:c r="H2780" t="n">
        <x:v>0</x:v>
      </x:c>
      <x:c r="I2780" t="str">
        <x:v>À qualifier par lieu</x:v>
      </x:c>
      <x:c r="J2780" t="str">
        <x:v>https://github.com/darknigthmare/deadwall-last-enclosure/blob/1b3b9c5ba232734b1bda3453b4e20a0481bcdd74/codex-3000/compositions/habitat/DW-2775.md</x:v>
      </x:c>
      <x:c r="K2780" t="str">
        <x:v>Source min 19,54 m ; max 19,54 m ; modèle 28 × 54 m ; niveaux 0. Détails dans catalogue-existant.json.</x:v>
      </x:c>
    </x:row>
    <x:row r="2781">
      <x:c r="A2781" t="str">
        <x:v>DW-2776</x:v>
      </x:c>
      <x:c r="B2781" t="str">
        <x:v>DW-0888</x:v>
      </x:c>
      <x:c r="C2781" t="str">
        <x:v>Composition héritée</x:v>
      </x:c>
      <x:c r="D2781" t="str">
        <x:v>habitat</x:v>
      </x:c>
      <x:c r="E2781" t="str">
        <x:v>Ferme familiale — variante 07 — Hameau / première récupération passée</x:v>
      </x:c>
      <x:c r="F2781" t="n">
        <x:v>8</x:v>
      </x:c>
      <x:c r="G2781" t="n">
        <x:v>6</x:v>
      </x:c>
      <x:c r="H2781" t="n">
        <x:v>0</x:v>
      </x:c>
      <x:c r="I2781" t="str">
        <x:v>À qualifier par lieu</x:v>
      </x:c>
      <x:c r="J2781" t="str">
        <x:v>https://github.com/darknigthmare/deadwall-last-enclosure/blob/1b3b9c5ba232734b1bda3453b4e20a0481bcdd74/codex-3000/compositions/habitat/DW-2776.md</x:v>
      </x:c>
      <x:c r="K2781" t="str">
        <x:v>Source min 19,54 m ; max 19,54 m ; modèle 28 × 54 m ; niveaux 0. Détails dans catalogue-existant.json.</x:v>
      </x:c>
    </x:row>
    <x:row r="2782">
      <x:c r="A2782" t="str">
        <x:v>DW-2777</x:v>
      </x:c>
      <x:c r="B2782" t="str">
        <x:v>DW-0889</x:v>
      </x:c>
      <x:c r="C2782" t="str">
        <x:v>Composition héritée</x:v>
      </x:c>
      <x:c r="D2782" t="str">
        <x:v>habitat</x:v>
      </x:c>
      <x:c r="E2782" t="str">
        <x:v>Immeuble résidentiel — variante 07 — Quartier pavillonnaire / évacuation interrompue</x:v>
      </x:c>
      <x:c r="F2782" t="n">
        <x:v>8</x:v>
      </x:c>
      <x:c r="G2782" t="n">
        <x:v>5</x:v>
      </x:c>
      <x:c r="H2782" t="n">
        <x:v>0</x:v>
      </x:c>
      <x:c r="I2782" t="str">
        <x:v>À qualifier par lieu</x:v>
      </x:c>
      <x:c r="J2782" t="str">
        <x:v>https://github.com/darknigthmare/deadwall-last-enclosure/blob/1b3b9c5ba232734b1bda3453b4e20a0481bcdd74/codex-3000/compositions/habitat/DW-2777.md</x:v>
      </x:c>
      <x:c r="K2782" t="str">
        <x:v>Source min 30,17 m ; max 30,17 m ; modèle 30 × 22 m ; niveaux 0, 1, 2. Détails dans catalogue-existant.json.</x:v>
      </x:c>
    </x:row>
    <x:row r="2783">
      <x:c r="A2783" t="str">
        <x:v>DW-2778</x:v>
      </x:c>
      <x:c r="B2783" t="str">
        <x:v>DW-0889</x:v>
      </x:c>
      <x:c r="C2783" t="str">
        <x:v>Composition héritée</x:v>
      </x:c>
      <x:c r="D2783" t="str">
        <x:v>habitat</x:v>
      </x:c>
      <x:c r="E2783" t="str">
        <x:v>Immeuble résidentiel — variante 07 — Village et bourg / service déplacé à l’arrière</x:v>
      </x:c>
      <x:c r="F2783" t="n">
        <x:v>8</x:v>
      </x:c>
      <x:c r="G2783" t="n">
        <x:v>5</x:v>
      </x:c>
      <x:c r="H2783" t="n">
        <x:v>0</x:v>
      </x:c>
      <x:c r="I2783" t="str">
        <x:v>À qualifier par lieu</x:v>
      </x:c>
      <x:c r="J2783" t="str">
        <x:v>https://github.com/darknigthmare/deadwall-last-enclosure/blob/1b3b9c5ba232734b1bda3453b4e20a0481bcdd74/codex-3000/compositions/habitat/DW-2778.md</x:v>
      </x:c>
      <x:c r="K2783" t="str">
        <x:v>Source min 30,17 m ; max 30,17 m ; modèle 30 × 22 m ; niveaux 0, 1, 2. Détails dans catalogue-existant.json.</x:v>
      </x:c>
    </x:row>
    <x:row r="2784">
      <x:c r="A2784" t="str">
        <x:v>DW-2779</x:v>
      </x:c>
      <x:c r="B2784" t="str">
        <x:v>DW-0890</x:v>
      </x:c>
      <x:c r="C2784" t="str">
        <x:v>Composition héritée</x:v>
      </x:c>
      <x:c r="D2784" t="str">
        <x:v>habitat</x:v>
      </x:c>
      <x:c r="E2784" t="str">
        <x:v>Barre de logements — variante 07 — Hameau / arrêt de maintenance</x:v>
      </x:c>
      <x:c r="F2784" t="n">
        <x:v>8</x:v>
      </x:c>
      <x:c r="G2784" t="n">
        <x:v>5</x:v>
      </x:c>
      <x:c r="H2784" t="n">
        <x:v>0</x:v>
      </x:c>
      <x:c r="I2784" t="str">
        <x:v>À qualifier par lieu</x:v>
      </x:c>
      <x:c r="J2784" t="str">
        <x:v>https://github.com/darknigthmare/deadwall-last-enclosure/blob/1b3b9c5ba232734b1bda3453b4e20a0481bcdd74/codex-3000/compositions/habitat/DW-2779.md</x:v>
      </x:c>
      <x:c r="K2784" t="str">
        <x:v>Source min 41,34 m ; max 41,34 m ; modèle 41 × 34 m ; niveaux 0, 1, 2. Détails dans catalogue-existant.json.</x:v>
      </x:c>
    </x:row>
    <x:row r="2785">
      <x:c r="A2785" t="str">
        <x:v>DW-2780</x:v>
      </x:c>
      <x:c r="B2785" t="str">
        <x:v>DW-0890</x:v>
      </x:c>
      <x:c r="C2785" t="str">
        <x:v>Composition héritée</x:v>
      </x:c>
      <x:c r="D2785" t="str">
        <x:v>habitat</x:v>
      </x:c>
      <x:c r="E2785" t="str">
        <x:v>Barre de logements — variante 07 — Quartier collectif / reprise progressive de la végétation</x:v>
      </x:c>
      <x:c r="F2785" t="n">
        <x:v>8</x:v>
      </x:c>
      <x:c r="G2785" t="n">
        <x:v>5</x:v>
      </x:c>
      <x:c r="H2785" t="n">
        <x:v>0</x:v>
      </x:c>
      <x:c r="I2785" t="str">
        <x:v>À qualifier par lieu</x:v>
      </x:c>
      <x:c r="J2785" t="str">
        <x:v>https://github.com/darknigthmare/deadwall-last-enclosure/blob/1b3b9c5ba232734b1bda3453b4e20a0481bcdd74/codex-3000/compositions/habitat/DW-2780.md</x:v>
      </x:c>
      <x:c r="K2785" t="str">
        <x:v>Source min 41,34 m ; max 41,34 m ; modèle 41 × 34 m ; niveaux 0, 1, 2. Détails dans catalogue-existant.json.</x:v>
      </x:c>
    </x:row>
    <x:row r="2786">
      <x:c r="A2786" t="str">
        <x:v>DW-2781</x:v>
      </x:c>
      <x:c r="B2786" t="str">
        <x:v>DW-0891</x:v>
      </x:c>
      <x:c r="C2786" t="str">
        <x:v>Composition héritée</x:v>
      </x:c>
      <x:c r="D2786" t="str">
        <x:v>habitat</x:v>
      </x:c>
      <x:c r="E2786" t="str">
        <x:v>Résidence senior — variante 07 — Village et bourg / première récupération passée</x:v>
      </x:c>
      <x:c r="F2786" t="n">
        <x:v>8</x:v>
      </x:c>
      <x:c r="G2786" t="n">
        <x:v>5</x:v>
      </x:c>
      <x:c r="H2786" t="n">
        <x:v>0</x:v>
      </x:c>
      <x:c r="I2786" t="str">
        <x:v>À qualifier par lieu</x:v>
      </x:c>
      <x:c r="J2786" t="str">
        <x:v>https://github.com/darknigthmare/deadwall-last-enclosure/blob/1b3b9c5ba232734b1bda3453b4e20a0481bcdd74/codex-3000/compositions/habitat/DW-2781.md</x:v>
      </x:c>
      <x:c r="K2786" t="str">
        <x:v>Source min 52,51 m ; max 52,51 m ; modèle 52 × 51 m ; niveaux 0, 1. Détails dans catalogue-existant.json.</x:v>
      </x:c>
    </x:row>
    <x:row r="2787">
      <x:c r="A2787" t="str">
        <x:v>DW-2782</x:v>
      </x:c>
      <x:c r="B2787" t="str">
        <x:v>DW-0891</x:v>
      </x:c>
      <x:c r="C2787" t="str">
        <x:v>Composition héritée</x:v>
      </x:c>
      <x:c r="D2787" t="str">
        <x:v>habitat</x:v>
      </x:c>
      <x:c r="E2787" t="str">
        <x:v>Résidence senior — variante 07 — Quartier pavillonnaire / relais temporaire envisagé</x:v>
      </x:c>
      <x:c r="F2787" t="n">
        <x:v>8</x:v>
      </x:c>
      <x:c r="G2787" t="n">
        <x:v>5</x:v>
      </x:c>
      <x:c r="H2787" t="n">
        <x:v>0</x:v>
      </x:c>
      <x:c r="I2787" t="str">
        <x:v>À qualifier par lieu</x:v>
      </x:c>
      <x:c r="J2787" t="str">
        <x:v>https://github.com/darknigthmare/deadwall-last-enclosure/blob/1b3b9c5ba232734b1bda3453b4e20a0481bcdd74/codex-3000/compositions/habitat/DW-2782.md</x:v>
      </x:c>
      <x:c r="K2787" t="str">
        <x:v>Source min 52,51 m ; max 52,51 m ; modèle 52 × 51 m ; niveaux 0, 1. Détails dans catalogue-existant.json.</x:v>
      </x:c>
    </x:row>
    <x:row r="2788">
      <x:c r="A2788" t="str">
        <x:v>DW-2783</x:v>
      </x:c>
      <x:c r="B2788" t="str">
        <x:v>DW-0892</x:v>
      </x:c>
      <x:c r="C2788" t="str">
        <x:v>Composition héritée</x:v>
      </x:c>
      <x:c r="D2788" t="str">
        <x:v>habitat</x:v>
      </x:c>
      <x:c r="E2788" t="str">
        <x:v>Maison avec sous-sol — variante 07 — Quartier collectif / service déplacé à l’arrière</x:v>
      </x:c>
      <x:c r="F2788" t="n">
        <x:v>8</x:v>
      </x:c>
      <x:c r="G2788" t="n">
        <x:v>5</x:v>
      </x:c>
      <x:c r="H2788" t="n">
        <x:v>0</x:v>
      </x:c>
      <x:c r="I2788" t="str">
        <x:v>À qualifier par lieu</x:v>
      </x:c>
      <x:c r="J2788" t="str">
        <x:v>https://github.com/darknigthmare/deadwall-last-enclosure/blob/1b3b9c5ba232734b1bda3453b4e20a0481bcdd74/codex-3000/compositions/habitat/DW-2783.md</x:v>
      </x:c>
      <x:c r="K2788" t="str">
        <x:v>Source min 63,14 m ; max 63,14 m ; modèle 63 × 22 m ; niveaux 0. Détails dans catalogue-existant.json.</x:v>
      </x:c>
    </x:row>
    <x:row r="2789">
      <x:c r="A2789" t="str">
        <x:v>DW-2784</x:v>
      </x:c>
      <x:c r="B2789" t="str">
        <x:v>DW-0892</x:v>
      </x:c>
      <x:c r="C2789" t="str">
        <x:v>Composition héritée</x:v>
      </x:c>
      <x:c r="D2789" t="str">
        <x:v>habitat</x:v>
      </x:c>
      <x:c r="E2789" t="str">
        <x:v>Maison avec sous-sol — variante 07 — Hameau / réseau principal coupé</x:v>
      </x:c>
      <x:c r="F2789" t="n">
        <x:v>8</x:v>
      </x:c>
      <x:c r="G2789" t="n">
        <x:v>5</x:v>
      </x:c>
      <x:c r="H2789" t="n">
        <x:v>0</x:v>
      </x:c>
      <x:c r="I2789" t="str">
        <x:v>À qualifier par lieu</x:v>
      </x:c>
      <x:c r="J2789" t="str">
        <x:v>https://github.com/darknigthmare/deadwall-last-enclosure/blob/1b3b9c5ba232734b1bda3453b4e20a0481bcdd74/codex-3000/compositions/habitat/DW-2784.md</x:v>
      </x:c>
      <x:c r="K2789" t="str">
        <x:v>Source min 63,14 m ; max 63,14 m ; modèle 63 × 22 m ; niveaux 0. Détails dans catalogue-existant.json.</x:v>
      </x:c>
    </x:row>
    <x:row r="2790">
      <x:c r="A2790" t="str">
        <x:v>DW-2785</x:v>
      </x:c>
      <x:c r="B2790" t="str">
        <x:v>DW-0893</x:v>
      </x:c>
      <x:c r="C2790" t="str">
        <x:v>Composition héritée</x:v>
      </x:c>
      <x:c r="D2790" t="str">
        <x:v>commerce</x:v>
      </x:c>
      <x:c r="E2790" t="str">
        <x:v>Supérette — variante 07 — Zone commerciale / reprise progressive de la végétation</x:v>
      </x:c>
      <x:c r="F2790" t="n">
        <x:v>8</x:v>
      </x:c>
      <x:c r="G2790" t="n">
        <x:v>5</x:v>
      </x:c>
      <x:c r="H2790" t="n">
        <x:v>0</x:v>
      </x:c>
      <x:c r="I2790" t="str">
        <x:v>À qualifier par lieu</x:v>
      </x:c>
      <x:c r="J2790" t="str">
        <x:v>https://github.com/darknigthmare/deadwall-last-enclosure/blob/1b3b9c5ba232734b1bda3453b4e20a0481bcdd74/codex-3000/compositions/commerce/DW-2785.md</x:v>
      </x:c>
      <x:c r="K2790" t="str">
        <x:v>Source min 74,31 m ; max 74,31 m ; modèle 74 × 31 m ; niveaux 0, 1. Détails dans catalogue-existant.json.</x:v>
      </x:c>
    </x:row>
    <x:row r="2791">
      <x:c r="A2791" t="str">
        <x:v>DW-2786</x:v>
      </x:c>
      <x:c r="B2791" t="str">
        <x:v>DW-0893</x:v>
      </x:c>
      <x:c r="C2791" t="str">
        <x:v>Composition héritée</x:v>
      </x:c>
      <x:c r="D2791" t="str">
        <x:v>commerce</x:v>
      </x:c>
      <x:c r="E2791" t="str">
        <x:v>Supérette — variante 07 — Village et bourg / repli organisé interrompu</x:v>
      </x:c>
      <x:c r="F2791" t="n">
        <x:v>8</x:v>
      </x:c>
      <x:c r="G2791" t="n">
        <x:v>5</x:v>
      </x:c>
      <x:c r="H2791" t="n">
        <x:v>0</x:v>
      </x:c>
      <x:c r="I2791" t="str">
        <x:v>À qualifier par lieu</x:v>
      </x:c>
      <x:c r="J2791" t="str">
        <x:v>https://github.com/darknigthmare/deadwall-last-enclosure/blob/1b3b9c5ba232734b1bda3453b4e20a0481bcdd74/codex-3000/compositions/commerce/DW-2786.md</x:v>
      </x:c>
      <x:c r="K2791" t="str">
        <x:v>Source min 74,31 m ; max 74,31 m ; modèle 74 × 31 m ; niveaux 0, 1. Détails dans catalogue-existant.json.</x:v>
      </x:c>
    </x:row>
    <x:row r="2792">
      <x:c r="A2792" t="str">
        <x:v>DW-2787</x:v>
      </x:c>
      <x:c r="B2792" t="str">
        <x:v>DW-0894</x:v>
      </x:c>
      <x:c r="C2792" t="str">
        <x:v>Composition héritée</x:v>
      </x:c>
      <x:c r="D2792" t="str">
        <x:v>commerce</x:v>
      </x:c>
      <x:c r="E2792" t="str">
        <x:v>Centre commercial — variante 07 — Ville moyenne / relais temporaire envisagé</x:v>
      </x:c>
      <x:c r="F2792" t="n">
        <x:v>8</x:v>
      </x:c>
      <x:c r="G2792" t="n">
        <x:v>6</x:v>
      </x:c>
      <x:c r="H2792" t="n">
        <x:v>0</x:v>
      </x:c>
      <x:c r="I2792" t="str">
        <x:v>À qualifier par lieu</x:v>
      </x:c>
      <x:c r="J2792" t="str">
        <x:v>https://github.com/darknigthmare/deadwall-last-enclosure/blob/1b3b9c5ba232734b1bda3453b4e20a0481bcdd74/codex-3000/compositions/commerce/DW-2787.md</x:v>
      </x:c>
      <x:c r="K2792" t="str">
        <x:v>Source min 13,48 m ; max 13,48 m ; modèle 28 × 48 m ; niveaux 0. Détails dans catalogue-existant.json.</x:v>
      </x:c>
    </x:row>
    <x:row r="2793">
      <x:c r="A2793" t="str">
        <x:v>DW-2788</x:v>
      </x:c>
      <x:c r="B2793" t="str">
        <x:v>DW-0894</x:v>
      </x:c>
      <x:c r="C2793" t="str">
        <x:v>Composition héritée</x:v>
      </x:c>
      <x:c r="D2793" t="str">
        <x:v>commerce</x:v>
      </x:c>
      <x:c r="E2793" t="str">
        <x:v>Centre commercial — variante 07 — Grande ville et métropole / évacuation interrompue</x:v>
      </x:c>
      <x:c r="F2793" t="n">
        <x:v>8</x:v>
      </x:c>
      <x:c r="G2793" t="n">
        <x:v>6</x:v>
      </x:c>
      <x:c r="H2793" t="n">
        <x:v>0</x:v>
      </x:c>
      <x:c r="I2793" t="str">
        <x:v>À qualifier par lieu</x:v>
      </x:c>
      <x:c r="J2793" t="str">
        <x:v>https://github.com/darknigthmare/deadwall-last-enclosure/blob/1b3b9c5ba232734b1bda3453b4e20a0481bcdd74/codex-3000/compositions/commerce/DW-2788.md</x:v>
      </x:c>
      <x:c r="K2793" t="str">
        <x:v>Source min 13,48 m ; max 13,48 m ; modèle 28 × 48 m ; niveaux 0. Détails dans catalogue-existant.json.</x:v>
      </x:c>
    </x:row>
    <x:row r="2794">
      <x:c r="A2794" t="str">
        <x:v>DW-2789</x:v>
      </x:c>
      <x:c r="B2794" t="str">
        <x:v>DW-0895</x:v>
      </x:c>
      <x:c r="C2794" t="str">
        <x:v>Composition héritée</x:v>
      </x:c>
      <x:c r="D2794" t="str">
        <x:v>commerce</x:v>
      </x:c>
      <x:c r="E2794" t="str">
        <x:v>Supermarché — variante 07 — Village et bourg / réseau principal coupé</x:v>
      </x:c>
      <x:c r="F2794" t="n">
        <x:v>8</x:v>
      </x:c>
      <x:c r="G2794" t="n">
        <x:v>7</x:v>
      </x:c>
      <x:c r="H2794" t="n">
        <x:v>0</x:v>
      </x:c>
      <x:c r="I2794" t="str">
        <x:v>À qualifier par lieu</x:v>
      </x:c>
      <x:c r="J2794" t="str">
        <x:v>https://github.com/darknigthmare/deadwall-last-enclosure/blob/1b3b9c5ba232734b1bda3453b4e20a0481bcdd74/codex-3000/compositions/commerce/DW-2789.md</x:v>
      </x:c>
      <x:c r="K2794" t="str">
        <x:v>Source min 24,11 m ; max 24,11 m ; modèle 29 × 29 m ; niveaux 0. Détails dans catalogue-existant.json.</x:v>
      </x:c>
    </x:row>
    <x:row r="2795">
      <x:c r="A2795" t="str">
        <x:v>DW-2790</x:v>
      </x:c>
      <x:c r="B2795" t="str">
        <x:v>DW-0895</x:v>
      </x:c>
      <x:c r="C2795" t="str">
        <x:v>Composition héritée</x:v>
      </x:c>
      <x:c r="D2795" t="str">
        <x:v>commerce</x:v>
      </x:c>
      <x:c r="E2795" t="str">
        <x:v>Supermarché — variante 07 — Zone commerciale / arrêt de maintenance</x:v>
      </x:c>
      <x:c r="F2795" t="n">
        <x:v>8</x:v>
      </x:c>
      <x:c r="G2795" t="n">
        <x:v>7</x:v>
      </x:c>
      <x:c r="H2795" t="n">
        <x:v>0</x:v>
      </x:c>
      <x:c r="I2795" t="str">
        <x:v>À qualifier par lieu</x:v>
      </x:c>
      <x:c r="J2795" t="str">
        <x:v>https://github.com/darknigthmare/deadwall-last-enclosure/blob/1b3b9c5ba232734b1bda3453b4e20a0481bcdd74/codex-3000/compositions/commerce/DW-2790.md</x:v>
      </x:c>
      <x:c r="K2795" t="str">
        <x:v>Source min 24,11 m ; max 24,11 m ; modèle 29 × 29 m ; niveaux 0. Détails dans catalogue-existant.json.</x:v>
      </x:c>
    </x:row>
    <x:row r="2796">
      <x:c r="A2796" t="str">
        <x:v>DW-2791</x:v>
      </x:c>
      <x:c r="B2796" t="str">
        <x:v>DW-0896</x:v>
      </x:c>
      <x:c r="C2796" t="str">
        <x:v>Composition héritée</x:v>
      </x:c>
      <x:c r="D2796" t="str">
        <x:v>commerce</x:v>
      </x:c>
      <x:c r="E2796" t="str">
        <x:v>Magasin de bricolage — variante 07 — Grande ville et métropole / repli organisé interrompu</x:v>
      </x:c>
      <x:c r="F2796" t="n">
        <x:v>8</x:v>
      </x:c>
      <x:c r="G2796" t="n">
        <x:v>5</x:v>
      </x:c>
      <x:c r="H2796" t="n">
        <x:v>0</x:v>
      </x:c>
      <x:c r="I2796" t="str">
        <x:v>À qualifier par lieu</x:v>
      </x:c>
      <x:c r="J2796" t="str">
        <x:v>https://github.com/darknigthmare/deadwall-last-enclosure/blob/1b3b9c5ba232734b1bda3453b4e20a0481bcdd74/codex-3000/compositions/commerce/DW-2791.md</x:v>
      </x:c>
      <x:c r="K2796" t="str">
        <x:v>Source min 35,28 m ; max 35,28 m ; modèle 35 × 28 m ; niveaux 0. Détails dans catalogue-existant.json.</x:v>
      </x:c>
    </x:row>
    <x:row r="2797">
      <x:c r="A2797" t="str">
        <x:v>DW-2792</x:v>
      </x:c>
      <x:c r="B2797" t="str">
        <x:v>DW-0896</x:v>
      </x:c>
      <x:c r="C2797" t="str">
        <x:v>Composition héritée</x:v>
      </x:c>
      <x:c r="D2797" t="str">
        <x:v>commerce</x:v>
      </x:c>
      <x:c r="E2797" t="str">
        <x:v>Magasin de bricolage — variante 07 — Ville moyenne / première récupération passée</x:v>
      </x:c>
      <x:c r="F2797" t="n">
        <x:v>8</x:v>
      </x:c>
      <x:c r="G2797" t="n">
        <x:v>5</x:v>
      </x:c>
      <x:c r="H2797" t="n">
        <x:v>0</x:v>
      </x:c>
      <x:c r="I2797" t="str">
        <x:v>À qualifier par lieu</x:v>
      </x:c>
      <x:c r="J2797" t="str">
        <x:v>https://github.com/darknigthmare/deadwall-last-enclosure/blob/1b3b9c5ba232734b1bda3453b4e20a0481bcdd74/codex-3000/compositions/commerce/DW-2792.md</x:v>
      </x:c>
      <x:c r="K2797" t="str">
        <x:v>Source min 35,28 m ; max 35,28 m ; modèle 35 × 28 m ; niveaux 0. Détails dans catalogue-existant.json.</x:v>
      </x:c>
    </x:row>
    <x:row r="2798">
      <x:c r="A2798" t="str">
        <x:v>DW-2793</x:v>
      </x:c>
      <x:c r="B2798" t="str">
        <x:v>DW-0897</x:v>
      </x:c>
      <x:c r="C2798" t="str">
        <x:v>Composition héritée</x:v>
      </x:c>
      <x:c r="D2798" t="str">
        <x:v>commerce</x:v>
      </x:c>
      <x:c r="E2798" t="str">
        <x:v>Pharmacie — variante 07 — Zone commerciale / évacuation interrompue</x:v>
      </x:c>
      <x:c r="F2798" t="n">
        <x:v>8</x:v>
      </x:c>
      <x:c r="G2798" t="n">
        <x:v>4</x:v>
      </x:c>
      <x:c r="H2798" t="n">
        <x:v>0</x:v>
      </x:c>
      <x:c r="I2798" t="str">
        <x:v>À qualifier par lieu</x:v>
      </x:c>
      <x:c r="J2798" t="str">
        <x:v>https://github.com/darknigthmare/deadwall-last-enclosure/blob/1b3b9c5ba232734b1bda3453b4e20a0481bcdd74/codex-3000/compositions/commerce/DW-2793.md</x:v>
      </x:c>
      <x:c r="K2798" t="str">
        <x:v>Source min 46,45 m ; max 46,45 m ; modèle 46 × 45 m ; niveaux 0, 1. Détails dans catalogue-existant.json.</x:v>
      </x:c>
    </x:row>
    <x:row r="2799">
      <x:c r="A2799" t="str">
        <x:v>DW-2794</x:v>
      </x:c>
      <x:c r="B2799" t="str">
        <x:v>DW-0897</x:v>
      </x:c>
      <x:c r="C2799" t="str">
        <x:v>Composition héritée</x:v>
      </x:c>
      <x:c r="D2799" t="str">
        <x:v>commerce</x:v>
      </x:c>
      <x:c r="E2799" t="str">
        <x:v>Pharmacie — variante 07 — Village et bourg / service déplacé à l’arrière</x:v>
      </x:c>
      <x:c r="F2799" t="n">
        <x:v>8</x:v>
      </x:c>
      <x:c r="G2799" t="n">
        <x:v>4</x:v>
      </x:c>
      <x:c r="H2799" t="n">
        <x:v>0</x:v>
      </x:c>
      <x:c r="I2799" t="str">
        <x:v>À qualifier par lieu</x:v>
      </x:c>
      <x:c r="J2799" t="str">
        <x:v>https://github.com/darknigthmare/deadwall-last-enclosure/blob/1b3b9c5ba232734b1bda3453b4e20a0481bcdd74/codex-3000/compositions/commerce/DW-2794.md</x:v>
      </x:c>
      <x:c r="K2799" t="str">
        <x:v>Source min 46,45 m ; max 46,45 m ; modèle 46 × 45 m ; niveaux 0, 1. Détails dans catalogue-existant.json.</x:v>
      </x:c>
    </x:row>
    <x:row r="2800">
      <x:c r="A2800" t="str">
        <x:v>DW-2795</x:v>
      </x:c>
      <x:c r="B2800" t="str">
        <x:v>DW-0898</x:v>
      </x:c>
      <x:c r="C2800" t="str">
        <x:v>Composition héritée</x:v>
      </x:c>
      <x:c r="D2800" t="str">
        <x:v>commerce</x:v>
      </x:c>
      <x:c r="E2800" t="str">
        <x:v>Station-service — variante 07 — Ville moyenne / arrêt de maintenance</x:v>
      </x:c>
      <x:c r="F2800" t="n">
        <x:v>8</x:v>
      </x:c>
      <x:c r="G2800" t="n">
        <x:v>5</x:v>
      </x:c>
      <x:c r="H2800" t="n">
        <x:v>0</x:v>
      </x:c>
      <x:c r="I2800" t="str">
        <x:v>À qualifier par lieu</x:v>
      </x:c>
      <x:c r="J2800" t="str">
        <x:v>https://github.com/darknigthmare/deadwall-last-enclosure/blob/1b3b9c5ba232734b1bda3453b4e20a0481bcdd74/codex-3000/compositions/commerce/DW-2795.md</x:v>
      </x:c>
      <x:c r="K2800" t="str">
        <x:v>Source min 57,62 m ; max 57,62 m ; modèle 57 × 62 m ; niveaux 0. Détails dans catalogue-existant.json.</x:v>
      </x:c>
    </x:row>
    <x:row r="2801">
      <x:c r="A2801" t="str">
        <x:v>DW-2796</x:v>
      </x:c>
      <x:c r="B2801" t="str">
        <x:v>DW-0898</x:v>
      </x:c>
      <x:c r="C2801" t="str">
        <x:v>Composition héritée</x:v>
      </x:c>
      <x:c r="D2801" t="str">
        <x:v>commerce</x:v>
      </x:c>
      <x:c r="E2801" t="str">
        <x:v>Station-service — variante 07 — Grande ville et métropole / reprise progressive de la végétation</x:v>
      </x:c>
      <x:c r="F2801" t="n">
        <x:v>8</x:v>
      </x:c>
      <x:c r="G2801" t="n">
        <x:v>5</x:v>
      </x:c>
      <x:c r="H2801" t="n">
        <x:v>0</x:v>
      </x:c>
      <x:c r="I2801" t="str">
        <x:v>À qualifier par lieu</x:v>
      </x:c>
      <x:c r="J2801" t="str">
        <x:v>https://github.com/darknigthmare/deadwall-last-enclosure/blob/1b3b9c5ba232734b1bda3453b4e20a0481bcdd74/codex-3000/compositions/commerce/DW-2796.md</x:v>
      </x:c>
      <x:c r="K2801" t="str">
        <x:v>Source min 57,62 m ; max 57,62 m ; modèle 57 × 62 m ; niveaux 0. Détails dans catalogue-existant.json.</x:v>
      </x:c>
    </x:row>
    <x:row r="2802">
      <x:c r="A2802" t="str">
        <x:v>DW-2797</x:v>
      </x:c>
      <x:c r="B2802" t="str">
        <x:v>DW-0899</x:v>
      </x:c>
      <x:c r="C2802" t="str">
        <x:v>Composition héritée</x:v>
      </x:c>
      <x:c r="D2802" t="str">
        <x:v>commerce</x:v>
      </x:c>
      <x:c r="E2802" t="str">
        <x:v>Restaurant routier — variante 07 — Village et bourg / première récupération passée</x:v>
      </x:c>
      <x:c r="F2802" t="n">
        <x:v>8</x:v>
      </x:c>
      <x:c r="G2802" t="n">
        <x:v>5</x:v>
      </x:c>
      <x:c r="H2802" t="n">
        <x:v>0</x:v>
      </x:c>
      <x:c r="I2802" t="str">
        <x:v>À qualifier par lieu</x:v>
      </x:c>
      <x:c r="J2802" t="str">
        <x:v>https://github.com/darknigthmare/deadwall-last-enclosure/blob/1b3b9c5ba232734b1bda3453b4e20a0481bcdd74/codex-3000/compositions/commerce/DW-2797.md</x:v>
      </x:c>
      <x:c r="K2802" t="str">
        <x:v>Source min 68,25 m ; max 68,25 m ; modèle 68 × 25 m ; niveaux 0. Détails dans catalogue-existant.json.</x:v>
      </x:c>
    </x:row>
    <x:row r="2803">
      <x:c r="A2803" t="str">
        <x:v>DW-2798</x:v>
      </x:c>
      <x:c r="B2803" t="str">
        <x:v>DW-0899</x:v>
      </x:c>
      <x:c r="C2803" t="str">
        <x:v>Composition héritée</x:v>
      </x:c>
      <x:c r="D2803" t="str">
        <x:v>commerce</x:v>
      </x:c>
      <x:c r="E2803" t="str">
        <x:v>Restaurant routier — variante 07 — Zone commerciale / relais temporaire envisagé</x:v>
      </x:c>
      <x:c r="F2803" t="n">
        <x:v>8</x:v>
      </x:c>
      <x:c r="G2803" t="n">
        <x:v>5</x:v>
      </x:c>
      <x:c r="H2803" t="n">
        <x:v>0</x:v>
      </x:c>
      <x:c r="I2803" t="str">
        <x:v>À qualifier par lieu</x:v>
      </x:c>
      <x:c r="J2803" t="str">
        <x:v>https://github.com/darknigthmare/deadwall-last-enclosure/blob/1b3b9c5ba232734b1bda3453b4e20a0481bcdd74/codex-3000/compositions/commerce/DW-2798.md</x:v>
      </x:c>
      <x:c r="K2803" t="str">
        <x:v>Source min 68,25 m ; max 68,25 m ; modèle 68 × 25 m ; niveaux 0. Détails dans catalogue-existant.json.</x:v>
      </x:c>
    </x:row>
    <x:row r="2804">
      <x:c r="A2804" t="str">
        <x:v>DW-2799</x:v>
      </x:c>
      <x:c r="B2804" t="str">
        <x:v>DW-0900</x:v>
      </x:c>
      <x:c r="C2804" t="str">
        <x:v>Composition héritée</x:v>
      </x:c>
      <x:c r="D2804" t="str">
        <x:v>commerce</x:v>
      </x:c>
      <x:c r="E2804" t="str">
        <x:v>Hôtel — variante 07 — Grande ville et métropole / service déplacé à l’arrière</x:v>
      </x:c>
      <x:c r="F2804" t="n">
        <x:v>8</x:v>
      </x:c>
      <x:c r="G2804" t="n">
        <x:v>6</x:v>
      </x:c>
      <x:c r="H2804" t="n">
        <x:v>0</x:v>
      </x:c>
      <x:c r="I2804" t="str">
        <x:v>À qualifier par lieu</x:v>
      </x:c>
      <x:c r="J2804" t="str">
        <x:v>https://github.com/darknigthmare/deadwall-last-enclosure/blob/1b3b9c5ba232734b1bda3453b4e20a0481bcdd74/codex-3000/compositions/commerce/DW-2799.md</x:v>
      </x:c>
      <x:c r="K2804" t="str">
        <x:v>Source min 79,42 m ; max 79,42 m ; modèle 78 × 42 m ; niveaux 0. Détails dans catalogue-existant.json.</x:v>
      </x:c>
    </x:row>
    <x:row r="2805">
      <x:c r="A2805" t="str">
        <x:v>DW-2800</x:v>
      </x:c>
      <x:c r="B2805" t="str">
        <x:v>DW-0900</x:v>
      </x:c>
      <x:c r="C2805" t="str">
        <x:v>Composition héritée</x:v>
      </x:c>
      <x:c r="D2805" t="str">
        <x:v>commerce</x:v>
      </x:c>
      <x:c r="E2805" t="str">
        <x:v>Hôtel — variante 07 — Ville moyenne / réseau principal coupé</x:v>
      </x:c>
      <x:c r="F2805" t="n">
        <x:v>8</x:v>
      </x:c>
      <x:c r="G2805" t="n">
        <x:v>6</x:v>
      </x:c>
      <x:c r="H2805" t="n">
        <x:v>0</x:v>
      </x:c>
      <x:c r="I2805" t="str">
        <x:v>À qualifier par lieu</x:v>
      </x:c>
      <x:c r="J2805" t="str">
        <x:v>https://github.com/darknigthmare/deadwall-last-enclosure/blob/1b3b9c5ba232734b1bda3453b4e20a0481bcdd74/codex-3000/compositions/commerce/DW-2800.md</x:v>
      </x:c>
      <x:c r="K2805" t="str">
        <x:v>Source min 79,42 m ; max 79,42 m ; modèle 78 × 42 m ; niveaux 0. Détails dans catalogue-existant.json.</x:v>
      </x:c>
    </x:row>
    <x:row r="2806">
      <x:c r="A2806" t="str">
        <x:v>DW-2801</x:v>
      </x:c>
      <x:c r="B2806" t="str">
        <x:v>DW-0901</x:v>
      </x:c>
      <x:c r="C2806" t="str">
        <x:v>Composition héritée</x:v>
      </x:c>
      <x:c r="D2806" t="str">
        <x:v>industrie</x:v>
      </x:c>
      <x:c r="E2806" t="str">
        <x:v>Scierie — variante 07 — Zone industrielle / reprise progressive de la végétation</x:v>
      </x:c>
      <x:c r="F2806" t="n">
        <x:v>8</x:v>
      </x:c>
      <x:c r="G2806" t="n">
        <x:v>5</x:v>
      </x:c>
      <x:c r="H2806" t="n">
        <x:v>0</x:v>
      </x:c>
      <x:c r="I2806" t="str">
        <x:v>À qualifier par lieu</x:v>
      </x:c>
      <x:c r="J2806" t="str">
        <x:v>https://github.com/darknigthmare/deadwall-last-enclosure/blob/1b3b9c5ba232734b1bda3453b4e20a0481bcdd74/codex-3000/compositions/industrie/DW-2801.md</x:v>
      </x:c>
      <x:c r="K2806" t="str">
        <x:v>Source min 18,59 m ; max 18,59 m ; modèle 26 × 59 m ; niveaux 0. Détails dans catalogue-existant.json.</x:v>
      </x:c>
    </x:row>
    <x:row r="2807">
      <x:c r="A2807" t="str">
        <x:v>DW-2802</x:v>
      </x:c>
      <x:c r="B2807" t="str">
        <x:v>DW-0901</x:v>
      </x:c>
      <x:c r="C2807" t="str">
        <x:v>Composition héritée</x:v>
      </x:c>
      <x:c r="D2807" t="str">
        <x:v>industrie</x:v>
      </x:c>
      <x:c r="E2807" t="str">
        <x:v>Scierie — variante 07 — Entrepôt et plateforme logistique / repli organisé interrompu</x:v>
      </x:c>
      <x:c r="F2807" t="n">
        <x:v>8</x:v>
      </x:c>
      <x:c r="G2807" t="n">
        <x:v>5</x:v>
      </x:c>
      <x:c r="H2807" t="n">
        <x:v>0</x:v>
      </x:c>
      <x:c r="I2807" t="str">
        <x:v>À qualifier par lieu</x:v>
      </x:c>
      <x:c r="J2807" t="str">
        <x:v>https://github.com/darknigthmare/deadwall-last-enclosure/blob/1b3b9c5ba232734b1bda3453b4e20a0481bcdd74/codex-3000/compositions/industrie/DW-2802.md</x:v>
      </x:c>
      <x:c r="K2807" t="str">
        <x:v>Source min 18,59 m ; max 18,59 m ; modèle 26 × 59 m ; niveaux 0. Détails dans catalogue-existant.json.</x:v>
      </x:c>
    </x:row>
    <x:row r="2808">
      <x:c r="A2808" t="str">
        <x:v>DW-2803</x:v>
      </x:c>
      <x:c r="B2808" t="str">
        <x:v>DW-0902</x:v>
      </x:c>
      <x:c r="C2808" t="str">
        <x:v>Composition héritée</x:v>
      </x:c>
      <x:c r="D2808" t="str">
        <x:v>industrie</x:v>
      </x:c>
      <x:c r="E2808" t="str">
        <x:v>Garage automobile — variante 07 — Atelier et artisanat / relais temporaire envisagé</x:v>
      </x:c>
      <x:c r="F2808" t="n">
        <x:v>8</x:v>
      </x:c>
      <x:c r="G2808" t="n">
        <x:v>5</x:v>
      </x:c>
      <x:c r="H2808" t="n">
        <x:v>0</x:v>
      </x:c>
      <x:c r="I2808" t="str">
        <x:v>À qualifier par lieu</x:v>
      </x:c>
      <x:c r="J2808" t="str">
        <x:v>https://github.com/darknigthmare/deadwall-last-enclosure/blob/1b3b9c5ba232734b1bda3453b4e20a0481bcdd74/codex-3000/compositions/industrie/DW-2803.md</x:v>
      </x:c>
      <x:c r="K2808" t="str">
        <x:v>Source min 29,22 m ; max 29,22 m ; modèle 29 × 22 m ; niveaux 0. Détails dans catalogue-existant.json.</x:v>
      </x:c>
    </x:row>
    <x:row r="2809">
      <x:c r="A2809" t="str">
        <x:v>DW-2804</x:v>
      </x:c>
      <x:c r="B2809" t="str">
        <x:v>DW-0902</x:v>
      </x:c>
      <x:c r="C2809" t="str">
        <x:v>Composition héritée</x:v>
      </x:c>
      <x:c r="D2809" t="str">
        <x:v>industrie</x:v>
      </x:c>
      <x:c r="E2809" t="str">
        <x:v>Garage automobile — variante 07 — Gare et fret / évacuation interrompue</x:v>
      </x:c>
      <x:c r="F2809" t="n">
        <x:v>10</x:v>
      </x:c>
      <x:c r="G2809" t="n">
        <x:v>5</x:v>
      </x:c>
      <x:c r="H2809" t="n">
        <x:v>0</x:v>
      </x:c>
      <x:c r="I2809" t="str">
        <x:v>À qualifier par lieu</x:v>
      </x:c>
      <x:c r="J2809" t="str">
        <x:v>https://github.com/darknigthmare/deadwall-last-enclosure/blob/1b3b9c5ba232734b1bda3453b4e20a0481bcdd74/codex-3000/compositions/industrie/DW-2804.md</x:v>
      </x:c>
      <x:c r="K2809" t="str">
        <x:v>Source min 29,22 m ; max 29,22 m ; modèle 29 × 22 m ; niveaux 0. Détails dans catalogue-existant.json.</x:v>
      </x:c>
    </x:row>
    <x:row r="2810">
      <x:c r="A2810" t="str">
        <x:v>DW-2805</x:v>
      </x:c>
      <x:c r="B2810" t="str">
        <x:v>DW-0903</x:v>
      </x:c>
      <x:c r="C2810" t="str">
        <x:v>Composition héritée</x:v>
      </x:c>
      <x:c r="D2810" t="str">
        <x:v>industrie</x:v>
      </x:c>
      <x:c r="E2810" t="str">
        <x:v>Entrepôt logistique — variante 07 — Entrepôt et plateforme logistique / réseau principal coupé</x:v>
      </x:c>
      <x:c r="F2810" t="n">
        <x:v>8</x:v>
      </x:c>
      <x:c r="G2810" t="n">
        <x:v>5</x:v>
      </x:c>
      <x:c r="H2810" t="n">
        <x:v>0</x:v>
      </x:c>
      <x:c r="I2810" t="str">
        <x:v>À qualifier par lieu</x:v>
      </x:c>
      <x:c r="J2810" t="str">
        <x:v>https://github.com/darknigthmare/deadwall-last-enclosure/blob/1b3b9c5ba232734b1bda3453b4e20a0481bcdd74/codex-3000/compositions/industrie/DW-2805.md</x:v>
      </x:c>
      <x:c r="K2810" t="str">
        <x:v>Source min 40,39 m ; max 40,39 m ; modèle 40 × 39 m ; niveaux 0. Détails dans catalogue-existant.json.</x:v>
      </x:c>
    </x:row>
    <x:row r="2811">
      <x:c r="A2811" t="str">
        <x:v>DW-2806</x:v>
      </x:c>
      <x:c r="B2811" t="str">
        <x:v>DW-0903</x:v>
      </x:c>
      <x:c r="C2811" t="str">
        <x:v>Composition héritée</x:v>
      </x:c>
      <x:c r="D2811" t="str">
        <x:v>industrie</x:v>
      </x:c>
      <x:c r="E2811" t="str">
        <x:v>Entrepôt logistique — variante 07 — Zone industrielle / arrêt de maintenance</x:v>
      </x:c>
      <x:c r="F2811" t="n">
        <x:v>8</x:v>
      </x:c>
      <x:c r="G2811" t="n">
        <x:v>5</x:v>
      </x:c>
      <x:c r="H2811" t="n">
        <x:v>0</x:v>
      </x:c>
      <x:c r="I2811" t="str">
        <x:v>À qualifier par lieu</x:v>
      </x:c>
      <x:c r="J2811" t="str">
        <x:v>https://github.com/darknigthmare/deadwall-last-enclosure/blob/1b3b9c5ba232734b1bda3453b4e20a0481bcdd74/codex-3000/compositions/industrie/DW-2806.md</x:v>
      </x:c>
      <x:c r="K2811" t="str">
        <x:v>Source min 40,39 m ; max 40,39 m ; modèle 40 × 39 m ; niveaux 0. Détails dans catalogue-existant.json.</x:v>
      </x:c>
    </x:row>
    <x:row r="2812">
      <x:c r="A2812" t="str">
        <x:v>DW-2807</x:v>
      </x:c>
      <x:c r="B2812" t="str">
        <x:v>DW-0904</x:v>
      </x:c>
      <x:c r="C2812" t="str">
        <x:v>Composition héritée</x:v>
      </x:c>
      <x:c r="D2812" t="str">
        <x:v>industrie</x:v>
      </x:c>
      <x:c r="E2812" t="str">
        <x:v>Petite usine — variante 07 — Gare et fret / repli organisé interrompu</x:v>
      </x:c>
      <x:c r="F2812" t="n">
        <x:v>10</x:v>
      </x:c>
      <x:c r="G2812" t="n">
        <x:v>5</x:v>
      </x:c>
      <x:c r="H2812" t="n">
        <x:v>0</x:v>
      </x:c>
      <x:c r="I2812" t="str">
        <x:v>À qualifier par lieu</x:v>
      </x:c>
      <x:c r="J2812" t="str">
        <x:v>https://github.com/darknigthmare/deadwall-last-enclosure/blob/1b3b9c5ba232734b1bda3453b4e20a0481bcdd74/codex-3000/compositions/industrie/DW-2807.md</x:v>
      </x:c>
      <x:c r="K2812" t="str">
        <x:v>Source min 51,56 m ; max 51,56 m ; modèle 51 × 56 m ; niveaux 0. Détails dans catalogue-existant.json.</x:v>
      </x:c>
    </x:row>
    <x:row r="2813">
      <x:c r="A2813" t="str">
        <x:v>DW-2808</x:v>
      </x:c>
      <x:c r="B2813" t="str">
        <x:v>DW-0904</x:v>
      </x:c>
      <x:c r="C2813" t="str">
        <x:v>Composition héritée</x:v>
      </x:c>
      <x:c r="D2813" t="str">
        <x:v>industrie</x:v>
      </x:c>
      <x:c r="E2813" t="str">
        <x:v>Petite usine — variante 07 — Atelier et artisanat / première récupération passée</x:v>
      </x:c>
      <x:c r="F2813" t="n">
        <x:v>8</x:v>
      </x:c>
      <x:c r="G2813" t="n">
        <x:v>5</x:v>
      </x:c>
      <x:c r="H2813" t="n">
        <x:v>0</x:v>
      </x:c>
      <x:c r="I2813" t="str">
        <x:v>À qualifier par lieu</x:v>
      </x:c>
      <x:c r="J2813" t="str">
        <x:v>https://github.com/darknigthmare/deadwall-last-enclosure/blob/1b3b9c5ba232734b1bda3453b4e20a0481bcdd74/codex-3000/compositions/industrie/DW-2808.md</x:v>
      </x:c>
      <x:c r="K2813" t="str">
        <x:v>Source min 51,56 m ; max 51,56 m ; modèle 51 × 56 m ; niveaux 0. Détails dans catalogue-existant.json.</x:v>
      </x:c>
    </x:row>
    <x:row r="2814">
      <x:c r="A2814" t="str">
        <x:v>DW-2809</x:v>
      </x:c>
      <x:c r="B2814" t="str">
        <x:v>DW-0905</x:v>
      </x:c>
      <x:c r="C2814" t="str">
        <x:v>Composition héritée</x:v>
      </x:c>
      <x:c r="D2814" t="str">
        <x:v>industrie</x:v>
      </x:c>
      <x:c r="E2814" t="str">
        <x:v>Carrière — variante 07 — Zone industrielle / évacuation interrompue</x:v>
      </x:c>
      <x:c r="F2814" t="n">
        <x:v>8</x:v>
      </x:c>
      <x:c r="G2814" t="n">
        <x:v>5</x:v>
      </x:c>
      <x:c r="H2814" t="n">
        <x:v>0</x:v>
      </x:c>
      <x:c r="I2814" t="str">
        <x:v>À qualifier par lieu</x:v>
      </x:c>
      <x:c r="J2814" t="str">
        <x:v>https://github.com/darknigthmare/deadwall-last-enclosure/blob/1b3b9c5ba232734b1bda3453b4e20a0481bcdd74/codex-3000/compositions/industrie/DW-2809.md</x:v>
      </x:c>
      <x:c r="K2814" t="str">
        <x:v>Source min 62,19 m ; max 62,19 m ; modèle 62 × 22 m ; niveaux 0. Détails dans catalogue-existant.json.</x:v>
      </x:c>
    </x:row>
    <x:row r="2815">
      <x:c r="A2815" t="str">
        <x:v>DW-2810</x:v>
      </x:c>
      <x:c r="B2815" t="str">
        <x:v>DW-0905</x:v>
      </x:c>
      <x:c r="C2815" t="str">
        <x:v>Composition héritée</x:v>
      </x:c>
      <x:c r="D2815" t="str">
        <x:v>industrie</x:v>
      </x:c>
      <x:c r="E2815" t="str">
        <x:v>Carrière — variante 07 — Entrepôt et plateforme logistique / service déplacé à l’arrière</x:v>
      </x:c>
      <x:c r="F2815" t="n">
        <x:v>8</x:v>
      </x:c>
      <x:c r="G2815" t="n">
        <x:v>5</x:v>
      </x:c>
      <x:c r="H2815" t="n">
        <x:v>0</x:v>
      </x:c>
      <x:c r="I2815" t="str">
        <x:v>À qualifier par lieu</x:v>
      </x:c>
      <x:c r="J2815" t="str">
        <x:v>https://github.com/darknigthmare/deadwall-last-enclosure/blob/1b3b9c5ba232734b1bda3453b4e20a0481bcdd74/codex-3000/compositions/industrie/DW-2810.md</x:v>
      </x:c>
      <x:c r="K2815" t="str">
        <x:v>Source min 62,19 m ; max 62,19 m ; modèle 62 × 22 m ; niveaux 0. Détails dans catalogue-existant.json.</x:v>
      </x:c>
    </x:row>
    <x:row r="2816">
      <x:c r="A2816" t="str">
        <x:v>DW-2811</x:v>
      </x:c>
      <x:c r="B2816" t="str">
        <x:v>DW-0906</x:v>
      </x:c>
      <x:c r="C2816" t="str">
        <x:v>Composition héritée</x:v>
      </x:c>
      <x:c r="D2816" t="str">
        <x:v>industrie</x:v>
      </x:c>
      <x:c r="E2816" t="str">
        <x:v>Mine — variante 07 — Atelier et artisanat / arrêt de maintenance</x:v>
      </x:c>
      <x:c r="F2816" t="n">
        <x:v>8</x:v>
      </x:c>
      <x:c r="G2816" t="n">
        <x:v>6</x:v>
      </x:c>
      <x:c r="H2816" t="n">
        <x:v>0</x:v>
      </x:c>
      <x:c r="I2816" t="str">
        <x:v>À qualifier par lieu</x:v>
      </x:c>
      <x:c r="J2816" t="str">
        <x:v>https://github.com/darknigthmare/deadwall-last-enclosure/blob/1b3b9c5ba232734b1bda3453b4e20a0481bcdd74/codex-3000/compositions/industrie/DW-2811.md</x:v>
      </x:c>
      <x:c r="K2816" t="str">
        <x:v>Source min 73,36 m ; max 73,36 m ; modèle 73 × 36 m ; niveaux 0. Détails dans catalogue-existant.json.</x:v>
      </x:c>
    </x:row>
    <x:row r="2817">
      <x:c r="A2817" t="str">
        <x:v>DW-2812</x:v>
      </x:c>
      <x:c r="B2817" t="str">
        <x:v>DW-0906</x:v>
      </x:c>
      <x:c r="C2817" t="str">
        <x:v>Composition héritée</x:v>
      </x:c>
      <x:c r="D2817" t="str">
        <x:v>industrie</x:v>
      </x:c>
      <x:c r="E2817" t="str">
        <x:v>Mine — variante 07 — Gare et fret / reprise progressive de la végétation</x:v>
      </x:c>
      <x:c r="F2817" t="n">
        <x:v>10</x:v>
      </x:c>
      <x:c r="G2817" t="n">
        <x:v>6</x:v>
      </x:c>
      <x:c r="H2817" t="n">
        <x:v>0</x:v>
      </x:c>
      <x:c r="I2817" t="str">
        <x:v>À qualifier par lieu</x:v>
      </x:c>
      <x:c r="J2817" t="str">
        <x:v>https://github.com/darknigthmare/deadwall-last-enclosure/blob/1b3b9c5ba232734b1bda3453b4e20a0481bcdd74/codex-3000/compositions/industrie/DW-2812.md</x:v>
      </x:c>
      <x:c r="K2817" t="str">
        <x:v>Source min 73,36 m ; max 73,36 m ; modèle 73 × 36 m ; niveaux 0. Détails dans catalogue-existant.json.</x:v>
      </x:c>
    </x:row>
    <x:row r="2818">
      <x:c r="A2818" t="str">
        <x:v>DW-2813</x:v>
      </x:c>
      <x:c r="B2818" t="str">
        <x:v>DW-0907</x:v>
      </x:c>
      <x:c r="C2818" t="str">
        <x:v>Composition héritée</x:v>
      </x:c>
      <x:c r="D2818" t="str">
        <x:v>industrie</x:v>
      </x:c>
      <x:c r="E2818" t="str">
        <x:v>Centrale locale — variante 07 — Entrepôt et plateforme logistique / première récupération passée</x:v>
      </x:c>
      <x:c r="F2818" t="n">
        <x:v>8</x:v>
      </x:c>
      <x:c r="G2818" t="n">
        <x:v>5</x:v>
      </x:c>
      <x:c r="H2818" t="n">
        <x:v>0</x:v>
      </x:c>
      <x:c r="I2818" t="str">
        <x:v>À qualifier par lieu</x:v>
      </x:c>
      <x:c r="J2818" t="str">
        <x:v>https://github.com/darknigthmare/deadwall-last-enclosure/blob/1b3b9c5ba232734b1bda3453b4e20a0481bcdd74/codex-3000/compositions/industrie/DW-2813.md</x:v>
      </x:c>
      <x:c r="K2818" t="str">
        <x:v>Source min 12,53 m ; max 12,53 m ; modèle 26 × 53 m ; niveaux 0. Détails dans catalogue-existant.json.</x:v>
      </x:c>
    </x:row>
    <x:row r="2819">
      <x:c r="A2819" t="str">
        <x:v>DW-2814</x:v>
      </x:c>
      <x:c r="B2819" t="str">
        <x:v>DW-0907</x:v>
      </x:c>
      <x:c r="C2819" t="str">
        <x:v>Composition héritée</x:v>
      </x:c>
      <x:c r="D2819" t="str">
        <x:v>industrie</x:v>
      </x:c>
      <x:c r="E2819" t="str">
        <x:v>Centrale locale — variante 07 — Zone industrielle / relais temporaire envisagé</x:v>
      </x:c>
      <x:c r="F2819" t="n">
        <x:v>8</x:v>
      </x:c>
      <x:c r="G2819" t="n">
        <x:v>5</x:v>
      </x:c>
      <x:c r="H2819" t="n">
        <x:v>0</x:v>
      </x:c>
      <x:c r="I2819" t="str">
        <x:v>À qualifier par lieu</x:v>
      </x:c>
      <x:c r="J2819" t="str">
        <x:v>https://github.com/darknigthmare/deadwall-last-enclosure/blob/1b3b9c5ba232734b1bda3453b4e20a0481bcdd74/codex-3000/compositions/industrie/DW-2814.md</x:v>
      </x:c>
      <x:c r="K2819" t="str">
        <x:v>Source min 12,53 m ; max 12,53 m ; modèle 26 × 53 m ; niveaux 0. Détails dans catalogue-existant.json.</x:v>
      </x:c>
    </x:row>
    <x:row r="2820">
      <x:c r="A2820" t="str">
        <x:v>DW-2815</x:v>
      </x:c>
      <x:c r="B2820" t="str">
        <x:v>DW-0908</x:v>
      </x:c>
      <x:c r="C2820" t="str">
        <x:v>Composition héritée</x:v>
      </x:c>
      <x:c r="D2820" t="str">
        <x:v>industrie</x:v>
      </x:c>
      <x:c r="E2820" t="str">
        <x:v>Station de pompage — variante 07 — Gare et fret / service déplacé à l’arrière</x:v>
      </x:c>
      <x:c r="F2820" t="n">
        <x:v>10</x:v>
      </x:c>
      <x:c r="G2820" t="n">
        <x:v>5</x:v>
      </x:c>
      <x:c r="H2820" t="n">
        <x:v>0</x:v>
      </x:c>
      <x:c r="I2820" t="str">
        <x:v>À qualifier par lieu</x:v>
      </x:c>
      <x:c r="J2820" t="str">
        <x:v>https://github.com/darknigthmare/deadwall-last-enclosure/blob/1b3b9c5ba232734b1bda3453b4e20a0481bcdd74/codex-3000/compositions/industrie/DW-2815.md</x:v>
      </x:c>
      <x:c r="K2820" t="str">
        <x:v>Source min 23,16 m ; max 23,16 m ; modèle 26 × 22 m ; niveaux 0. Détails dans catalogue-existant.json.</x:v>
      </x:c>
    </x:row>
    <x:row r="2821">
      <x:c r="A2821" t="str">
        <x:v>DW-2816</x:v>
      </x:c>
      <x:c r="B2821" t="str">
        <x:v>DW-0908</x:v>
      </x:c>
      <x:c r="C2821" t="str">
        <x:v>Composition héritée</x:v>
      </x:c>
      <x:c r="D2821" t="str">
        <x:v>industrie</x:v>
      </x:c>
      <x:c r="E2821" t="str">
        <x:v>Station de pompage — variante 07 — Atelier et artisanat / réseau principal coupé</x:v>
      </x:c>
      <x:c r="F2821" t="n">
        <x:v>8</x:v>
      </x:c>
      <x:c r="G2821" t="n">
        <x:v>5</x:v>
      </x:c>
      <x:c r="H2821" t="n">
        <x:v>0</x:v>
      </x:c>
      <x:c r="I2821" t="str">
        <x:v>À qualifier par lieu</x:v>
      </x:c>
      <x:c r="J2821" t="str">
        <x:v>https://github.com/darknigthmare/deadwall-last-enclosure/blob/1b3b9c5ba232734b1bda3453b4e20a0481bcdd74/codex-3000/compositions/industrie/DW-2816.md</x:v>
      </x:c>
      <x:c r="K2821" t="str">
        <x:v>Source min 23,16 m ; max 23,16 m ; modèle 26 × 22 m ; niveaux 0. Détails dans catalogue-existant.json.</x:v>
      </x:c>
    </x:row>
    <x:row r="2822">
      <x:c r="A2822" t="str">
        <x:v>DW-2817</x:v>
      </x:c>
      <x:c r="B2822" t="str">
        <x:v>DW-0909</x:v>
      </x:c>
      <x:c r="C2822" t="str">
        <x:v>Composition héritée</x:v>
      </x:c>
      <x:c r="D2822" t="str">
        <x:v>public</x:v>
      </x:c>
      <x:c r="E2822" t="str">
        <x:v>École — variante 07 — École, mairie et bâtiments civiques / reprise progressive de la végétation</x:v>
      </x:c>
      <x:c r="F2822" t="n">
        <x:v>8</x:v>
      </x:c>
      <x:c r="G2822" t="n">
        <x:v>5</x:v>
      </x:c>
      <x:c r="H2822" t="n">
        <x:v>0</x:v>
      </x:c>
      <x:c r="I2822" t="str">
        <x:v>À qualifier par lieu</x:v>
      </x:c>
      <x:c r="J2822" t="str">
        <x:v>https://github.com/darknigthmare/deadwall-last-enclosure/blob/1b3b9c5ba232734b1bda3453b4e20a0481bcdd74/codex-3000/compositions/public/DW-2817.md</x:v>
      </x:c>
      <x:c r="K2822" t="str">
        <x:v>Source min 34,33 m ; max 34,33 m ; modèle 34 × 33 m ; niveaux 0, 1. Détails dans catalogue-existant.json.</x:v>
      </x:c>
    </x:row>
    <x:row r="2823">
      <x:c r="A2823" t="str">
        <x:v>DW-2818</x:v>
      </x:c>
      <x:c r="B2823" t="str">
        <x:v>DW-0909</x:v>
      </x:c>
      <x:c r="C2823" t="str">
        <x:v>Composition héritée</x:v>
      </x:c>
      <x:c r="D2823" t="str">
        <x:v>public</x:v>
      </x:c>
      <x:c r="E2823" t="str">
        <x:v>École — variante 07 — Village et bourg / repli organisé interrompu</x:v>
      </x:c>
      <x:c r="F2823" t="n">
        <x:v>8</x:v>
      </x:c>
      <x:c r="G2823" t="n">
        <x:v>5</x:v>
      </x:c>
      <x:c r="H2823" t="n">
        <x:v>0</x:v>
      </x:c>
      <x:c r="I2823" t="str">
        <x:v>À qualifier par lieu</x:v>
      </x:c>
      <x:c r="J2823" t="str">
        <x:v>https://github.com/darknigthmare/deadwall-last-enclosure/blob/1b3b9c5ba232734b1bda3453b4e20a0481bcdd74/codex-3000/compositions/public/DW-2818.md</x:v>
      </x:c>
      <x:c r="K2823" t="str">
        <x:v>Source min 34,33 m ; max 34,33 m ; modèle 34 × 33 m ; niveaux 0, 1. Détails dans catalogue-existant.json.</x:v>
      </x:c>
    </x:row>
    <x:row r="2824">
      <x:c r="A2824" t="str">
        <x:v>DW-2819</x:v>
      </x:c>
      <x:c r="B2824" t="str">
        <x:v>DW-0910</x:v>
      </x:c>
      <x:c r="C2824" t="str">
        <x:v>Composition héritée</x:v>
      </x:c>
      <x:c r="D2824" t="str">
        <x:v>public</x:v>
      </x:c>
      <x:c r="E2824" t="str">
        <x:v>Mairie — variante 07 — Ville moyenne / relais temporaire envisagé</x:v>
      </x:c>
      <x:c r="F2824" t="n">
        <x:v>8</x:v>
      </x:c>
      <x:c r="G2824" t="n">
        <x:v>5</x:v>
      </x:c>
      <x:c r="H2824" t="n">
        <x:v>0</x:v>
      </x:c>
      <x:c r="I2824" t="str">
        <x:v>À qualifier par lieu</x:v>
      </x:c>
      <x:c r="J2824" t="str">
        <x:v>https://github.com/darknigthmare/deadwall-last-enclosure/blob/1b3b9c5ba232734b1bda3453b4e20a0481bcdd74/codex-3000/compositions/public/DW-2819.md</x:v>
      </x:c>
      <x:c r="K2824" t="str">
        <x:v>Source min 45,50 m ; max 45,50 m ; modèle 45 × 50 m ; niveaux 0. Détails dans catalogue-existant.json.</x:v>
      </x:c>
    </x:row>
    <x:row r="2825">
      <x:c r="A2825" t="str">
        <x:v>DW-2820</x:v>
      </x:c>
      <x:c r="B2825" t="str">
        <x:v>DW-0910</x:v>
      </x:c>
      <x:c r="C2825" t="str">
        <x:v>Composition héritée</x:v>
      </x:c>
      <x:c r="D2825" t="str">
        <x:v>public</x:v>
      </x:c>
      <x:c r="E2825" t="str">
        <x:v>Mairie — variante 07 — Centre d’évacuation abandonné / évacuation interrompue</x:v>
      </x:c>
      <x:c r="F2825" t="n">
        <x:v>8</x:v>
      </x:c>
      <x:c r="G2825" t="n">
        <x:v>5</x:v>
      </x:c>
      <x:c r="H2825" t="n">
        <x:v>0</x:v>
      </x:c>
      <x:c r="I2825" t="str">
        <x:v>À qualifier par lieu</x:v>
      </x:c>
      <x:c r="J2825" t="str">
        <x:v>https://github.com/darknigthmare/deadwall-last-enclosure/blob/1b3b9c5ba232734b1bda3453b4e20a0481bcdd74/codex-3000/compositions/public/DW-2820.md</x:v>
      </x:c>
      <x:c r="K2825" t="str">
        <x:v>Source min 45,50 m ; max 45,50 m ; modèle 45 × 50 m ; niveaux 0. Détails dans catalogue-existant.json.</x:v>
      </x:c>
    </x:row>
    <x:row r="2826">
      <x:c r="A2826" t="str">
        <x:v>DW-2821</x:v>
      </x:c>
      <x:c r="B2826" t="str">
        <x:v>DW-0911</x:v>
      </x:c>
      <x:c r="C2826" t="str">
        <x:v>Composition héritée</x:v>
      </x:c>
      <x:c r="D2826" t="str">
        <x:v>public</x:v>
      </x:c>
      <x:c r="E2826" t="str">
        <x:v>Clinique — variante 07 — Village et bourg / réseau principal coupé</x:v>
      </x:c>
      <x:c r="F2826" t="n">
        <x:v>8</x:v>
      </x:c>
      <x:c r="G2826" t="n">
        <x:v>6</x:v>
      </x:c>
      <x:c r="H2826" t="n">
        <x:v>0</x:v>
      </x:c>
      <x:c r="I2826" t="str">
        <x:v>À qualifier par lieu</x:v>
      </x:c>
      <x:c r="J2826" t="str">
        <x:v>https://github.com/darknigthmare/deadwall-last-enclosure/blob/1b3b9c5ba232734b1bda3453b4e20a0481bcdd74/codex-3000/compositions/public/DW-2821.md</x:v>
      </x:c>
      <x:c r="K2826" t="str">
        <x:v>Source min 56,13 m ; max 56,13 m ; modèle 56 × 22 m ; niveaux 0. Détails dans catalogue-existant.json.</x:v>
      </x:c>
    </x:row>
    <x:row r="2827">
      <x:c r="A2827" t="str">
        <x:v>DW-2822</x:v>
      </x:c>
      <x:c r="B2827" t="str">
        <x:v>DW-0911</x:v>
      </x:c>
      <x:c r="C2827" t="str">
        <x:v>Composition héritée</x:v>
      </x:c>
      <x:c r="D2827" t="str">
        <x:v>public</x:v>
      </x:c>
      <x:c r="E2827" t="str">
        <x:v>Clinique — variante 07 — École, mairie et bâtiments civiques / arrêt de maintenance</x:v>
      </x:c>
      <x:c r="F2827" t="n">
        <x:v>8</x:v>
      </x:c>
      <x:c r="G2827" t="n">
        <x:v>6</x:v>
      </x:c>
      <x:c r="H2827" t="n">
        <x:v>0</x:v>
      </x:c>
      <x:c r="I2827" t="str">
        <x:v>À qualifier par lieu</x:v>
      </x:c>
      <x:c r="J2827" t="str">
        <x:v>https://github.com/darknigthmare/deadwall-last-enclosure/blob/1b3b9c5ba232734b1bda3453b4e20a0481bcdd74/codex-3000/compositions/public/DW-2822.md</x:v>
      </x:c>
      <x:c r="K2827" t="str">
        <x:v>Source min 56,13 m ; max 56,13 m ; modèle 56 × 22 m ; niveaux 0. Détails dans catalogue-existant.json.</x:v>
      </x:c>
    </x:row>
    <x:row r="2828">
      <x:c r="A2828" t="str">
        <x:v>DW-2823</x:v>
      </x:c>
      <x:c r="B2828" t="str">
        <x:v>DW-0912</x:v>
      </x:c>
      <x:c r="C2828" t="str">
        <x:v>Composition héritée</x:v>
      </x:c>
      <x:c r="D2828" t="str">
        <x:v>public</x:v>
      </x:c>
      <x:c r="E2828" t="str">
        <x:v>Caserne de pompiers — variante 07 — Centre d’évacuation abandonné / repli organisé interrompu</x:v>
      </x:c>
      <x:c r="F2828" t="n">
        <x:v>8</x:v>
      </x:c>
      <x:c r="G2828" t="n">
        <x:v>6</x:v>
      </x:c>
      <x:c r="H2828" t="n">
        <x:v>0</x:v>
      </x:c>
      <x:c r="I2828" t="str">
        <x:v>À qualifier par lieu</x:v>
      </x:c>
      <x:c r="J2828" t="str">
        <x:v>https://github.com/darknigthmare/deadwall-last-enclosure/blob/1b3b9c5ba232734b1bda3453b4e20a0481bcdd74/codex-3000/compositions/public/DW-2823.md</x:v>
      </x:c>
      <x:c r="K2828" t="str">
        <x:v>Source min 67,30 m ; max 67,30 m ; modèle 67 × 30 m ; niveaux 0. Détails dans catalogue-existant.json.</x:v>
      </x:c>
    </x:row>
    <x:row r="2829">
      <x:c r="A2829" t="str">
        <x:v>DW-2824</x:v>
      </x:c>
      <x:c r="B2829" t="str">
        <x:v>DW-0912</x:v>
      </x:c>
      <x:c r="C2829" t="str">
        <x:v>Composition héritée</x:v>
      </x:c>
      <x:c r="D2829" t="str">
        <x:v>public</x:v>
      </x:c>
      <x:c r="E2829" t="str">
        <x:v>Caserne de pompiers — variante 07 — Ville moyenne / première récupération passée</x:v>
      </x:c>
      <x:c r="F2829" t="n">
        <x:v>8</x:v>
      </x:c>
      <x:c r="G2829" t="n">
        <x:v>6</x:v>
      </x:c>
      <x:c r="H2829" t="n">
        <x:v>0</x:v>
      </x:c>
      <x:c r="I2829" t="str">
        <x:v>À qualifier par lieu</x:v>
      </x:c>
      <x:c r="J2829" t="str">
        <x:v>https://github.com/darknigthmare/deadwall-last-enclosure/blob/1b3b9c5ba232734b1bda3453b4e20a0481bcdd74/codex-3000/compositions/public/DW-2824.md</x:v>
      </x:c>
      <x:c r="K2829" t="str">
        <x:v>Source min 67,30 m ; max 67,30 m ; modèle 67 × 30 m ; niveaux 0. Détails dans catalogue-existant.json.</x:v>
      </x:c>
    </x:row>
    <x:row r="2830">
      <x:c r="A2830" t="str">
        <x:v>DW-2825</x:v>
      </x:c>
      <x:c r="B2830" t="str">
        <x:v>DW-0913</x:v>
      </x:c>
      <x:c r="C2830" t="str">
        <x:v>Composition héritée</x:v>
      </x:c>
      <x:c r="D2830" t="str">
        <x:v>public</x:v>
      </x:c>
      <x:c r="E2830" t="str">
        <x:v>Poste de police — variante 07 — École, mairie et bâtiments civiques / évacuation interrompue</x:v>
      </x:c>
      <x:c r="F2830" t="n">
        <x:v>8</x:v>
      </x:c>
      <x:c r="G2830" t="n">
        <x:v>5</x:v>
      </x:c>
      <x:c r="H2830" t="n">
        <x:v>0</x:v>
      </x:c>
      <x:c r="I2830" t="str">
        <x:v>À qualifier par lieu</x:v>
      </x:c>
      <x:c r="J2830" t="str">
        <x:v>https://github.com/darknigthmare/deadwall-last-enclosure/blob/1b3b9c5ba232734b1bda3453b4e20a0481bcdd74/codex-3000/compositions/public/DW-2825.md</x:v>
      </x:c>
      <x:c r="K2830" t="str">
        <x:v>Source min 78,47 m ; max 78,47 m ; modèle 78 × 47 m ; niveaux 0, 1. Détails dans catalogue-existant.json.</x:v>
      </x:c>
    </x:row>
    <x:row r="2831">
      <x:c r="A2831" t="str">
        <x:v>DW-2826</x:v>
      </x:c>
      <x:c r="B2831" t="str">
        <x:v>DW-0913</x:v>
      </x:c>
      <x:c r="C2831" t="str">
        <x:v>Composition héritée</x:v>
      </x:c>
      <x:c r="D2831" t="str">
        <x:v>public</x:v>
      </x:c>
      <x:c r="E2831" t="str">
        <x:v>Poste de police — variante 07 — Village et bourg / service déplacé à l’arrière</x:v>
      </x:c>
      <x:c r="F2831" t="n">
        <x:v>8</x:v>
      </x:c>
      <x:c r="G2831" t="n">
        <x:v>5</x:v>
      </x:c>
      <x:c r="H2831" t="n">
        <x:v>0</x:v>
      </x:c>
      <x:c r="I2831" t="str">
        <x:v>À qualifier par lieu</x:v>
      </x:c>
      <x:c r="J2831" t="str">
        <x:v>https://github.com/darknigthmare/deadwall-last-enclosure/blob/1b3b9c5ba232734b1bda3453b4e20a0481bcdd74/codex-3000/compositions/public/DW-2826.md</x:v>
      </x:c>
      <x:c r="K2831" t="str">
        <x:v>Source min 78,47 m ; max 78,47 m ; modèle 78 × 47 m ; niveaux 0, 1. Détails dans catalogue-existant.json.</x:v>
      </x:c>
    </x:row>
    <x:row r="2832">
      <x:c r="A2832" t="str">
        <x:v>DW-2827</x:v>
      </x:c>
      <x:c r="B2832" t="str">
        <x:v>DW-0914</x:v>
      </x:c>
      <x:c r="C2832" t="str">
        <x:v>Composition héritée</x:v>
      </x:c>
      <x:c r="D2832" t="str">
        <x:v>public</x:v>
      </x:c>
      <x:c r="E2832" t="str">
        <x:v>Bibliothèque — variante 07 — Ville moyenne / arrêt de maintenance</x:v>
      </x:c>
      <x:c r="F2832" t="n">
        <x:v>8</x:v>
      </x:c>
      <x:c r="G2832" t="n">
        <x:v>5</x:v>
      </x:c>
      <x:c r="H2832" t="n">
        <x:v>0</x:v>
      </x:c>
      <x:c r="I2832" t="str">
        <x:v>À qualifier par lieu</x:v>
      </x:c>
      <x:c r="J2832" t="str">
        <x:v>https://github.com/darknigthmare/deadwall-last-enclosure/blob/1b3b9c5ba232734b1bda3453b4e20a0481bcdd74/codex-3000/compositions/public/DW-2827.md</x:v>
      </x:c>
      <x:c r="K2832" t="str">
        <x:v>Source min 17,10 m ; max 17,10 m ; modèle 26 × 22 m ; niveaux 0. Détails dans catalogue-existant.json.</x:v>
      </x:c>
    </x:row>
    <x:row r="2833">
      <x:c r="A2833" t="str">
        <x:v>DW-2828</x:v>
      </x:c>
      <x:c r="B2833" t="str">
        <x:v>DW-0914</x:v>
      </x:c>
      <x:c r="C2833" t="str">
        <x:v>Composition héritée</x:v>
      </x:c>
      <x:c r="D2833" t="str">
        <x:v>public</x:v>
      </x:c>
      <x:c r="E2833" t="str">
        <x:v>Bibliothèque — variante 07 — Centre d’évacuation abandonné / reprise progressive de la végétation</x:v>
      </x:c>
      <x:c r="F2833" t="n">
        <x:v>8</x:v>
      </x:c>
      <x:c r="G2833" t="n">
        <x:v>5</x:v>
      </x:c>
      <x:c r="H2833" t="n">
        <x:v>0</x:v>
      </x:c>
      <x:c r="I2833" t="str">
        <x:v>À qualifier par lieu</x:v>
      </x:c>
      <x:c r="J2833" t="str">
        <x:v>https://github.com/darknigthmare/deadwall-last-enclosure/blob/1b3b9c5ba232734b1bda3453b4e20a0481bcdd74/codex-3000/compositions/public/DW-2828.md</x:v>
      </x:c>
      <x:c r="K2833" t="str">
        <x:v>Source min 17,10 m ; max 17,10 m ; modèle 26 × 22 m ; niveaux 0. Détails dans catalogue-existant.json.</x:v>
      </x:c>
    </x:row>
    <x:row r="2834">
      <x:c r="A2834" t="str">
        <x:v>DW-2829</x:v>
      </x:c>
      <x:c r="B2834" t="str">
        <x:v>DW-0915</x:v>
      </x:c>
      <x:c r="C2834" t="str">
        <x:v>Composition héritée</x:v>
      </x:c>
      <x:c r="D2834" t="str">
        <x:v>public</x:v>
      </x:c>
      <x:c r="E2834" t="str">
        <x:v>Salle des fêtes — variante 07 — Village et bourg / première récupération passée</x:v>
      </x:c>
      <x:c r="F2834" t="n">
        <x:v>8</x:v>
      </x:c>
      <x:c r="G2834" t="n">
        <x:v>5</x:v>
      </x:c>
      <x:c r="H2834" t="n">
        <x:v>0</x:v>
      </x:c>
      <x:c r="I2834" t="str">
        <x:v>À qualifier par lieu</x:v>
      </x:c>
      <x:c r="J2834" t="str">
        <x:v>https://github.com/darknigthmare/deadwall-last-enclosure/blob/1b3b9c5ba232734b1bda3453b4e20a0481bcdd74/codex-3000/compositions/public/DW-2829.md</x:v>
      </x:c>
      <x:c r="K2834" t="str">
        <x:v>Source min 28,27 m ; max 28,27 m ; modèle 28 × 27 m ; niveaux 0. Détails dans catalogue-existant.json.</x:v>
      </x:c>
    </x:row>
    <x:row r="2835">
      <x:c r="A2835" t="str">
        <x:v>DW-2830</x:v>
      </x:c>
      <x:c r="B2835" t="str">
        <x:v>DW-0915</x:v>
      </x:c>
      <x:c r="C2835" t="str">
        <x:v>Composition héritée</x:v>
      </x:c>
      <x:c r="D2835" t="str">
        <x:v>public</x:v>
      </x:c>
      <x:c r="E2835" t="str">
        <x:v>Salle des fêtes — variante 07 — École, mairie et bâtiments civiques / relais temporaire envisagé</x:v>
      </x:c>
      <x:c r="F2835" t="n">
        <x:v>8</x:v>
      </x:c>
      <x:c r="G2835" t="n">
        <x:v>5</x:v>
      </x:c>
      <x:c r="H2835" t="n">
        <x:v>0</x:v>
      </x:c>
      <x:c r="I2835" t="str">
        <x:v>À qualifier par lieu</x:v>
      </x:c>
      <x:c r="J2835" t="str">
        <x:v>https://github.com/darknigthmare/deadwall-last-enclosure/blob/1b3b9c5ba232734b1bda3453b4e20a0481bcdd74/codex-3000/compositions/public/DW-2830.md</x:v>
      </x:c>
      <x:c r="K2835" t="str">
        <x:v>Source min 28,27 m ; max 28,27 m ; modèle 28 × 27 m ; niveaux 0. Détails dans catalogue-existant.json.</x:v>
      </x:c>
    </x:row>
    <x:row r="2836">
      <x:c r="A2836" t="str">
        <x:v>DW-2831</x:v>
      </x:c>
      <x:c r="B2836" t="str">
        <x:v>DW-0916</x:v>
      </x:c>
      <x:c r="C2836" t="str">
        <x:v>Composition héritée</x:v>
      </x:c>
      <x:c r="D2836" t="str">
        <x:v>public</x:v>
      </x:c>
      <x:c r="E2836" t="str">
        <x:v>Église et presbytère — variante 07 — Centre d’évacuation abandonné / service déplacé à l’arrière</x:v>
      </x:c>
      <x:c r="F2836" t="n">
        <x:v>8</x:v>
      </x:c>
      <x:c r="G2836" t="n">
        <x:v>5</x:v>
      </x:c>
      <x:c r="H2836" t="n">
        <x:v>0</x:v>
      </x:c>
      <x:c r="I2836" t="str">
        <x:v>À qualifier par lieu</x:v>
      </x:c>
      <x:c r="J2836" t="str">
        <x:v>https://github.com/darknigthmare/deadwall-last-enclosure/blob/1b3b9c5ba232734b1bda3453b4e20a0481bcdd74/codex-3000/compositions/public/DW-2831.md</x:v>
      </x:c>
      <x:c r="K2836" t="str">
        <x:v>Source min 39,44 m ; max 39,44 m ; modèle 39 × 44 m ; niveaux 0. Détails dans catalogue-existant.json.</x:v>
      </x:c>
    </x:row>
    <x:row r="2837">
      <x:c r="A2837" t="str">
        <x:v>DW-2832</x:v>
      </x:c>
      <x:c r="B2837" t="str">
        <x:v>DW-0916</x:v>
      </x:c>
      <x:c r="C2837" t="str">
        <x:v>Composition héritée</x:v>
      </x:c>
      <x:c r="D2837" t="str">
        <x:v>public</x:v>
      </x:c>
      <x:c r="E2837" t="str">
        <x:v>Église et presbytère — variante 07 — Ville moyenne / réseau principal coupé</x:v>
      </x:c>
      <x:c r="F2837" t="n">
        <x:v>8</x:v>
      </x:c>
      <x:c r="G2837" t="n">
        <x:v>5</x:v>
      </x:c>
      <x:c r="H2837" t="n">
        <x:v>0</x:v>
      </x:c>
      <x:c r="I2837" t="str">
        <x:v>À qualifier par lieu</x:v>
      </x:c>
      <x:c r="J2837" t="str">
        <x:v>https://github.com/darknigthmare/deadwall-last-enclosure/blob/1b3b9c5ba232734b1bda3453b4e20a0481bcdd74/codex-3000/compositions/public/DW-2832.md</x:v>
      </x:c>
      <x:c r="K2837" t="str">
        <x:v>Source min 39,44 m ; max 39,44 m ; modèle 39 × 44 m ; niveaux 0. Détails dans catalogue-existant.json.</x:v>
      </x:c>
    </x:row>
    <x:row r="2838">
      <x:c r="A2838" t="str">
        <x:v>DW-2833</x:v>
      </x:c>
      <x:c r="B2838" t="str">
        <x:v>DW-0917</x:v>
      </x:c>
      <x:c r="C2838" t="str">
        <x:v>Composition héritée</x:v>
      </x:c>
      <x:c r="D2838" t="str">
        <x:v>rural</x:v>
      </x:c>
      <x:c r="E2838" t="str">
        <x:v>Hameau agricole — variante 07 — Ferme, verger et pâtures / reprise progressive de la végétation</x:v>
      </x:c>
      <x:c r="F2838" t="n">
        <x:v>8</x:v>
      </x:c>
      <x:c r="G2838" t="n">
        <x:v>6</x:v>
      </x:c>
      <x:c r="H2838" t="n">
        <x:v>0</x:v>
      </x:c>
      <x:c r="I2838" t="str">
        <x:v>À qualifier par lieu</x:v>
      </x:c>
      <x:c r="J2838" t="str">
        <x:v>https://github.com/darknigthmare/deadwall-last-enclosure/blob/1b3b9c5ba232734b1bda3453b4e20a0481bcdd74/codex-3000/compositions/rural/DW-2833.md</x:v>
      </x:c>
      <x:c r="K2838" t="str">
        <x:v>Source min 50,61 m ; max 50,61 m ; modèle 50 × 61 m ; niveaux 0. Détails dans catalogue-existant.json.</x:v>
      </x:c>
    </x:row>
    <x:row r="2839">
      <x:c r="A2839" t="str">
        <x:v>DW-2834</x:v>
      </x:c>
      <x:c r="B2839" t="str">
        <x:v>DW-0917</x:v>
      </x:c>
      <x:c r="C2839" t="str">
        <x:v>Composition héritée</x:v>
      </x:c>
      <x:c r="D2839" t="str">
        <x:v>rural</x:v>
      </x:c>
      <x:c r="E2839" t="str">
        <x:v>Hameau agricole — variante 07 — Petit bois et lisière / repli organisé interrompu</x:v>
      </x:c>
      <x:c r="F2839" t="n">
        <x:v>8</x:v>
      </x:c>
      <x:c r="G2839" t="n">
        <x:v>6</x:v>
      </x:c>
      <x:c r="H2839" t="n">
        <x:v>0</x:v>
      </x:c>
      <x:c r="I2839" t="str">
        <x:v>À qualifier par lieu</x:v>
      </x:c>
      <x:c r="J2839" t="str">
        <x:v>https://github.com/darknigthmare/deadwall-last-enclosure/blob/1b3b9c5ba232734b1bda3453b4e20a0481bcdd74/codex-3000/compositions/rural/DW-2834.md</x:v>
      </x:c>
      <x:c r="K2839" t="str">
        <x:v>Source min 50,61 m ; max 50,61 m ; modèle 50 × 61 m ; niveaux 0. Détails dans catalogue-existant.json.</x:v>
      </x:c>
    </x:row>
    <x:row r="2840">
      <x:c r="A2840" t="str">
        <x:v>DW-2835</x:v>
      </x:c>
      <x:c r="B2840" t="str">
        <x:v>DW-0918</x:v>
      </x:c>
      <x:c r="C2840" t="str">
        <x:v>Composition héritée</x:v>
      </x:c>
      <x:c r="D2840" t="str">
        <x:v>rural</x:v>
      </x:c>
      <x:c r="E2840" t="str">
        <x:v>Cabane forestière — variante 07 — Prairie et friche ouverte / relais temporaire envisagé</x:v>
      </x:c>
      <x:c r="F2840" t="n">
        <x:v>8</x:v>
      </x:c>
      <x:c r="G2840" t="n">
        <x:v>4</x:v>
      </x:c>
      <x:c r="H2840" t="n">
        <x:v>0</x:v>
      </x:c>
      <x:c r="I2840" t="str">
        <x:v>À qualifier par lieu</x:v>
      </x:c>
      <x:c r="J2840" t="str">
        <x:v>https://github.com/darknigthmare/deadwall-last-enclosure/blob/1b3b9c5ba232734b1bda3453b4e20a0481bcdd74/codex-3000/compositions/rural/DW-2835.md</x:v>
      </x:c>
      <x:c r="K2840" t="str">
        <x:v>Source min 61,24 m ; max 61,24 m ; modèle 61 × 24 m ; niveaux 0. Détails dans catalogue-existant.json.</x:v>
      </x:c>
    </x:row>
    <x:row r="2841">
      <x:c r="A2841" t="str">
        <x:v>DW-2836</x:v>
      </x:c>
      <x:c r="B2841" t="str">
        <x:v>DW-0918</x:v>
      </x:c>
      <x:c r="C2841" t="str">
        <x:v>Composition héritée</x:v>
      </x:c>
      <x:c r="D2841" t="str">
        <x:v>rural</x:v>
      </x:c>
      <x:c r="E2841" t="str">
        <x:v>Cabane forestière — variante 07 — Hameau / évacuation interrompue</x:v>
      </x:c>
      <x:c r="F2841" t="n">
        <x:v>8</x:v>
      </x:c>
      <x:c r="G2841" t="n">
        <x:v>4</x:v>
      </x:c>
      <x:c r="H2841" t="n">
        <x:v>0</x:v>
      </x:c>
      <x:c r="I2841" t="str">
        <x:v>À qualifier par lieu</x:v>
      </x:c>
      <x:c r="J2841" t="str">
        <x:v>https://github.com/darknigthmare/deadwall-last-enclosure/blob/1b3b9c5ba232734b1bda3453b4e20a0481bcdd74/codex-3000/compositions/rural/DW-2836.md</x:v>
      </x:c>
      <x:c r="K2841" t="str">
        <x:v>Source min 61,24 m ; max 61,24 m ; modèle 61 × 24 m ; niveaux 0. Détails dans catalogue-existant.json.</x:v>
      </x:c>
    </x:row>
    <x:row r="2842">
      <x:c r="A2842" t="str">
        <x:v>DW-2837</x:v>
      </x:c>
      <x:c r="B2842" t="str">
        <x:v>DW-0919</x:v>
      </x:c>
      <x:c r="C2842" t="str">
        <x:v>Composition héritée</x:v>
      </x:c>
      <x:c r="D2842" t="str">
        <x:v>rural</x:v>
      </x:c>
      <x:c r="E2842" t="str">
        <x:v>Dépôt forestier — variante 07 — Petit bois et lisière / réseau principal coupé</x:v>
      </x:c>
      <x:c r="F2842" t="n">
        <x:v>8</x:v>
      </x:c>
      <x:c r="G2842" t="n">
        <x:v>5</x:v>
      </x:c>
      <x:c r="H2842" t="n">
        <x:v>0</x:v>
      </x:c>
      <x:c r="I2842" t="str">
        <x:v>À qualifier par lieu</x:v>
      </x:c>
      <x:c r="J2842" t="str">
        <x:v>https://github.com/darknigthmare/deadwall-last-enclosure/blob/1b3b9c5ba232734b1bda3453b4e20a0481bcdd74/codex-3000/compositions/rural/DW-2837.md</x:v>
      </x:c>
      <x:c r="K2842" t="str">
        <x:v>Source min 72,41 m ; max 72,41 m ; modèle 72 × 41 m ; niveaux 0. Détails dans catalogue-existant.json.</x:v>
      </x:c>
    </x:row>
    <x:row r="2843">
      <x:c r="A2843" t="str">
        <x:v>DW-2838</x:v>
      </x:c>
      <x:c r="B2843" t="str">
        <x:v>DW-0919</x:v>
      </x:c>
      <x:c r="C2843" t="str">
        <x:v>Composition héritée</x:v>
      </x:c>
      <x:c r="D2843" t="str">
        <x:v>rural</x:v>
      </x:c>
      <x:c r="E2843" t="str">
        <x:v>Dépôt forestier — variante 07 — Ferme, verger et pâtures / arrêt de maintenance</x:v>
      </x:c>
      <x:c r="F2843" t="n">
        <x:v>8</x:v>
      </x:c>
      <x:c r="G2843" t="n">
        <x:v>5</x:v>
      </x:c>
      <x:c r="H2843" t="n">
        <x:v>0</x:v>
      </x:c>
      <x:c r="I2843" t="str">
        <x:v>À qualifier par lieu</x:v>
      </x:c>
      <x:c r="J2843" t="str">
        <x:v>https://github.com/darknigthmare/deadwall-last-enclosure/blob/1b3b9c5ba232734b1bda3453b4e20a0481bcdd74/codex-3000/compositions/rural/DW-2838.md</x:v>
      </x:c>
      <x:c r="K2843" t="str">
        <x:v>Source min 72,41 m ; max 72,41 m ; modèle 72 × 41 m ; niveaux 0. Détails dans catalogue-existant.json.</x:v>
      </x:c>
    </x:row>
    <x:row r="2844">
      <x:c r="A2844" t="str">
        <x:v>DW-2839</x:v>
      </x:c>
      <x:c r="B2844" t="str">
        <x:v>DW-0920</x:v>
      </x:c>
      <x:c r="C2844" t="str">
        <x:v>Composition héritée</x:v>
      </x:c>
      <x:c r="D2844" t="str">
        <x:v>rural</x:v>
      </x:c>
      <x:c r="E2844" t="str">
        <x:v>Ferme céréalière — variante 07 — Hameau / repli organisé interrompu</x:v>
      </x:c>
      <x:c r="F2844" t="n">
        <x:v>8</x:v>
      </x:c>
      <x:c r="G2844" t="n">
        <x:v>5</x:v>
      </x:c>
      <x:c r="H2844" t="n">
        <x:v>0</x:v>
      </x:c>
      <x:c r="I2844" t="str">
        <x:v>À qualifier par lieu</x:v>
      </x:c>
      <x:c r="J2844" t="str">
        <x:v>https://github.com/darknigthmare/deadwall-last-enclosure/blob/1b3b9c5ba232734b1bda3453b4e20a0481bcdd74/codex-3000/compositions/rural/DW-2839.md</x:v>
      </x:c>
      <x:c r="K2844" t="str">
        <x:v>Source min 11,58 m ; max 11,58 m ; modèle 26 × 58 m ; niveaux 0. Détails dans catalogue-existant.json.</x:v>
      </x:c>
    </x:row>
    <x:row r="2845">
      <x:c r="A2845" t="str">
        <x:v>DW-2840</x:v>
      </x:c>
      <x:c r="B2845" t="str">
        <x:v>DW-0920</x:v>
      </x:c>
      <x:c r="C2845" t="str">
        <x:v>Composition héritée</x:v>
      </x:c>
      <x:c r="D2845" t="str">
        <x:v>rural</x:v>
      </x:c>
      <x:c r="E2845" t="str">
        <x:v>Ferme céréalière — variante 07 — Prairie et friche ouverte / première récupération passée</x:v>
      </x:c>
      <x:c r="F2845" t="n">
        <x:v>8</x:v>
      </x:c>
      <x:c r="G2845" t="n">
        <x:v>5</x:v>
      </x:c>
      <x:c r="H2845" t="n">
        <x:v>0</x:v>
      </x:c>
      <x:c r="I2845" t="str">
        <x:v>À qualifier par lieu</x:v>
      </x:c>
      <x:c r="J2845" t="str">
        <x:v>https://github.com/darknigthmare/deadwall-last-enclosure/blob/1b3b9c5ba232734b1bda3453b4e20a0481bcdd74/codex-3000/compositions/rural/DW-2840.md</x:v>
      </x:c>
      <x:c r="K2845" t="str">
        <x:v>Source min 11,58 m ; max 11,58 m ; modèle 26 × 58 m ; niveaux 0. Détails dans catalogue-existant.json.</x:v>
      </x:c>
    </x:row>
    <x:row r="2846">
      <x:c r="A2846" t="str">
        <x:v>DW-2841</x:v>
      </x:c>
      <x:c r="B2846" t="str">
        <x:v>DW-0921</x:v>
      </x:c>
      <x:c r="C2846" t="str">
        <x:v>Composition héritée</x:v>
      </x:c>
      <x:c r="D2846" t="str">
        <x:v>rural</x:v>
      </x:c>
      <x:c r="E2846" t="str">
        <x:v>Ferme d'élevage — variante 07 — Ferme, verger et pâtures / évacuation interrompue</x:v>
      </x:c>
      <x:c r="F2846" t="n">
        <x:v>8</x:v>
      </x:c>
      <x:c r="G2846" t="n">
        <x:v>5</x:v>
      </x:c>
      <x:c r="H2846" t="n">
        <x:v>0</x:v>
      </x:c>
      <x:c r="I2846" t="str">
        <x:v>À qualifier par lieu</x:v>
      </x:c>
      <x:c r="J2846" t="str">
        <x:v>https://github.com/darknigthmare/deadwall-last-enclosure/blob/1b3b9c5ba232734b1bda3453b4e20a0481bcdd74/codex-3000/compositions/rural/DW-2841.md</x:v>
      </x:c>
      <x:c r="K2846" t="str">
        <x:v>Source min 22,21 m ; max 22,21 m ; modèle 26 × 22 m ; niveaux 0. Détails dans catalogue-existant.json.</x:v>
      </x:c>
    </x:row>
    <x:row r="2847">
      <x:c r="A2847" t="str">
        <x:v>DW-2842</x:v>
      </x:c>
      <x:c r="B2847" t="str">
        <x:v>DW-0921</x:v>
      </x:c>
      <x:c r="C2847" t="str">
        <x:v>Composition héritée</x:v>
      </x:c>
      <x:c r="D2847" t="str">
        <x:v>rural</x:v>
      </x:c>
      <x:c r="E2847" t="str">
        <x:v>Ferme d'élevage — variante 07 — Petit bois et lisière / service déplacé à l’arrière</x:v>
      </x:c>
      <x:c r="F2847" t="n">
        <x:v>8</x:v>
      </x:c>
      <x:c r="G2847" t="n">
        <x:v>5</x:v>
      </x:c>
      <x:c r="H2847" t="n">
        <x:v>0</x:v>
      </x:c>
      <x:c r="I2847" t="str">
        <x:v>À qualifier par lieu</x:v>
      </x:c>
      <x:c r="J2847" t="str">
        <x:v>https://github.com/darknigthmare/deadwall-last-enclosure/blob/1b3b9c5ba232734b1bda3453b4e20a0481bcdd74/codex-3000/compositions/rural/DW-2842.md</x:v>
      </x:c>
      <x:c r="K2847" t="str">
        <x:v>Source min 22,21 m ; max 22,21 m ; modèle 26 × 22 m ; niveaux 0. Détails dans catalogue-existant.json.</x:v>
      </x:c>
    </x:row>
    <x:row r="2848">
      <x:c r="A2848" t="str">
        <x:v>DW-2843</x:v>
      </x:c>
      <x:c r="B2848" t="str">
        <x:v>DW-0922</x:v>
      </x:c>
      <x:c r="C2848" t="str">
        <x:v>Composition héritée</x:v>
      </x:c>
      <x:c r="D2848" t="str">
        <x:v>rural</x:v>
      </x:c>
      <x:c r="E2848" t="str">
        <x:v>Relais de chasse — variante 07 — Prairie et friche ouverte / arrêt de maintenance</x:v>
      </x:c>
      <x:c r="F2848" t="n">
        <x:v>8</x:v>
      </x:c>
      <x:c r="G2848" t="n">
        <x:v>4</x:v>
      </x:c>
      <x:c r="H2848" t="n">
        <x:v>0</x:v>
      </x:c>
      <x:c r="I2848" t="str">
        <x:v>À qualifier par lieu</x:v>
      </x:c>
      <x:c r="J2848" t="str">
        <x:v>https://github.com/darknigthmare/deadwall-last-enclosure/blob/1b3b9c5ba232734b1bda3453b4e20a0481bcdd74/codex-3000/compositions/rural/DW-2843.md</x:v>
      </x:c>
      <x:c r="K2848" t="str">
        <x:v>Source min 33,38 m ; max 33,38 m ; modèle 33 × 38 m ; niveaux 0. Détails dans catalogue-existant.json.</x:v>
      </x:c>
    </x:row>
    <x:row r="2849">
      <x:c r="A2849" t="str">
        <x:v>DW-2844</x:v>
      </x:c>
      <x:c r="B2849" t="str">
        <x:v>DW-0922</x:v>
      </x:c>
      <x:c r="C2849" t="str">
        <x:v>Composition héritée</x:v>
      </x:c>
      <x:c r="D2849" t="str">
        <x:v>rural</x:v>
      </x:c>
      <x:c r="E2849" t="str">
        <x:v>Relais de chasse — variante 07 — Hameau / reprise progressive de la végétation</x:v>
      </x:c>
      <x:c r="F2849" t="n">
        <x:v>8</x:v>
      </x:c>
      <x:c r="G2849" t="n">
        <x:v>4</x:v>
      </x:c>
      <x:c r="H2849" t="n">
        <x:v>0</x:v>
      </x:c>
      <x:c r="I2849" t="str">
        <x:v>À qualifier par lieu</x:v>
      </x:c>
      <x:c r="J2849" t="str">
        <x:v>https://github.com/darknigthmare/deadwall-last-enclosure/blob/1b3b9c5ba232734b1bda3453b4e20a0481bcdd74/codex-3000/compositions/rural/DW-2844.md</x:v>
      </x:c>
      <x:c r="K2849" t="str">
        <x:v>Source min 33,38 m ; max 33,38 m ; modèle 33 × 38 m ; niveaux 0. Détails dans catalogue-existant.json.</x:v>
      </x:c>
    </x:row>
    <x:row r="2850">
      <x:c r="A2850" t="str">
        <x:v>DW-2845</x:v>
      </x:c>
      <x:c r="B2850" t="str">
        <x:v>DW-0923</x:v>
      </x:c>
      <x:c r="C2850" t="str">
        <x:v>Composition héritée</x:v>
      </x:c>
      <x:c r="D2850" t="str">
        <x:v>rural</x:v>
      </x:c>
      <x:c r="E2850" t="str">
        <x:v>Moulin rural — variante 07 — Petit bois et lisière / première récupération passée</x:v>
      </x:c>
      <x:c r="F2850" t="n">
        <x:v>8</x:v>
      </x:c>
      <x:c r="G2850" t="n">
        <x:v>4</x:v>
      </x:c>
      <x:c r="H2850" t="n">
        <x:v>0</x:v>
      </x:c>
      <x:c r="I2850" t="str">
        <x:v>À qualifier par lieu</x:v>
      </x:c>
      <x:c r="J2850" t="str">
        <x:v>https://github.com/darknigthmare/deadwall-last-enclosure/blob/1b3b9c5ba232734b1bda3453b4e20a0481bcdd74/codex-3000/compositions/rural/DW-2845.md</x:v>
      </x:c>
      <x:c r="K2850" t="str">
        <x:v>Source min 44,55 m ; max 44,55 m ; modèle 44 × 55 m ; niveaux 0. Détails dans catalogue-existant.json.</x:v>
      </x:c>
    </x:row>
    <x:row r="2851">
      <x:c r="A2851" t="str">
        <x:v>DW-2846</x:v>
      </x:c>
      <x:c r="B2851" t="str">
        <x:v>DW-0923</x:v>
      </x:c>
      <x:c r="C2851" t="str">
        <x:v>Composition héritée</x:v>
      </x:c>
      <x:c r="D2851" t="str">
        <x:v>rural</x:v>
      </x:c>
      <x:c r="E2851" t="str">
        <x:v>Moulin rural — variante 07 — Ferme, verger et pâtures / relais temporaire envisagé</x:v>
      </x:c>
      <x:c r="F2851" t="n">
        <x:v>8</x:v>
      </x:c>
      <x:c r="G2851" t="n">
        <x:v>4</x:v>
      </x:c>
      <x:c r="H2851" t="n">
        <x:v>0</x:v>
      </x:c>
      <x:c r="I2851" t="str">
        <x:v>À qualifier par lieu</x:v>
      </x:c>
      <x:c r="J2851" t="str">
        <x:v>https://github.com/darknigthmare/deadwall-last-enclosure/blob/1b3b9c5ba232734b1bda3453b4e20a0481bcdd74/codex-3000/compositions/rural/DW-2846.md</x:v>
      </x:c>
      <x:c r="K2851" t="str">
        <x:v>Source min 44,55 m ; max 44,55 m ; modèle 44 × 55 m ; niveaux 0. Détails dans catalogue-existant.json.</x:v>
      </x:c>
    </x:row>
    <x:row r="2852">
      <x:c r="A2852" t="str">
        <x:v>DW-2847</x:v>
      </x:c>
      <x:c r="B2852" t="str">
        <x:v>DW-0924</x:v>
      </x:c>
      <x:c r="C2852" t="str">
        <x:v>Composition héritée</x:v>
      </x:c>
      <x:c r="D2852" t="str">
        <x:v>rural</x:v>
      </x:c>
      <x:c r="E2852" t="str">
        <x:v>Serres maraîchères — variante 07 — Hameau / service déplacé à l’arrière</x:v>
      </x:c>
      <x:c r="F2852" t="n">
        <x:v>8</x:v>
      </x:c>
      <x:c r="G2852" t="n">
        <x:v>5</x:v>
      </x:c>
      <x:c r="H2852" t="n">
        <x:v>0</x:v>
      </x:c>
      <x:c r="I2852" t="str">
        <x:v>À qualifier par lieu</x:v>
      </x:c>
      <x:c r="J2852" t="str">
        <x:v>https://github.com/darknigthmare/deadwall-last-enclosure/blob/1b3b9c5ba232734b1bda3453b4e20a0481bcdd74/codex-3000/compositions/rural/DW-2847.md</x:v>
      </x:c>
      <x:c r="K2852" t="str">
        <x:v>Source min 55,18 m ; max 55,18 m ; modèle 55 × 22 m ; niveaux 0. Détails dans catalogue-existant.json.</x:v>
      </x:c>
    </x:row>
    <x:row r="2853">
      <x:c r="A2853" t="str">
        <x:v>DW-2848</x:v>
      </x:c>
      <x:c r="B2853" t="str">
        <x:v>DW-0924</x:v>
      </x:c>
      <x:c r="C2853" t="str">
        <x:v>Composition héritée</x:v>
      </x:c>
      <x:c r="D2853" t="str">
        <x:v>rural</x:v>
      </x:c>
      <x:c r="E2853" t="str">
        <x:v>Serres maraîchères — variante 07 — Prairie et friche ouverte / réseau principal coupé</x:v>
      </x:c>
      <x:c r="F2853" t="n">
        <x:v>8</x:v>
      </x:c>
      <x:c r="G2853" t="n">
        <x:v>5</x:v>
      </x:c>
      <x:c r="H2853" t="n">
        <x:v>0</x:v>
      </x:c>
      <x:c r="I2853" t="str">
        <x:v>À qualifier par lieu</x:v>
      </x:c>
      <x:c r="J2853" t="str">
        <x:v>https://github.com/darknigthmare/deadwall-last-enclosure/blob/1b3b9c5ba232734b1bda3453b4e20a0481bcdd74/codex-3000/compositions/rural/DW-2848.md</x:v>
      </x:c>
      <x:c r="K2853" t="str">
        <x:v>Source min 55,18 m ; max 55,18 m ; modèle 55 × 22 m ; niveaux 0. Détails dans catalogue-existant.json.</x:v>
      </x:c>
    </x:row>
    <x:row r="2854">
      <x:c r="A2854" t="str">
        <x:v>DW-2849</x:v>
      </x:c>
      <x:c r="B2854" t="str">
        <x:v>DW-0925</x:v>
      </x:c>
      <x:c r="C2854" t="str">
        <x:v>Composition héritée</x:v>
      </x:c>
      <x:c r="D2854" t="str">
        <x:v>militaire</x:v>
      </x:c>
      <x:c r="E2854" t="str">
        <x:v>Bunker de défense civile — variante 07 — Grand camp allié / reprise progressive de la végétation</x:v>
      </x:c>
      <x:c r="F2854" t="n">
        <x:v>10</x:v>
      </x:c>
      <x:c r="G2854" t="n">
        <x:v>6</x:v>
      </x:c>
      <x:c r="H2854" t="n">
        <x:v>0</x:v>
      </x:c>
      <x:c r="I2854" t="str">
        <x:v>À qualifier par lieu</x:v>
      </x:c>
      <x:c r="J2854" t="str">
        <x:v>https://github.com/darknigthmare/deadwall-last-enclosure/blob/1b3b9c5ba232734b1bda3453b4e20a0481bcdd74/codex-3000/compositions/militaire/DW-2849.md</x:v>
      </x:c>
      <x:c r="K2854" t="str">
        <x:v>Source min 66,35 m ; max 66,35 m ; modèle 66 × 35 m ; niveaux 0, 1. Détails dans catalogue-existant.json.</x:v>
      </x:c>
    </x:row>
    <x:row r="2855">
      <x:c r="A2855" t="str">
        <x:v>DW-2850</x:v>
      </x:c>
      <x:c r="B2855" t="str">
        <x:v>DW-0925</x:v>
      </x:c>
      <x:c r="C2855" t="str">
        <x:v>Composition héritée</x:v>
      </x:c>
      <x:c r="D2855" t="str">
        <x:v>militaire</x:v>
      </x:c>
      <x:c r="E2855" t="str">
        <x:v>Bunker de défense civile — variante 07 — Camp de fortune / repli organisé interrompu</x:v>
      </x:c>
      <x:c r="F2855" t="n">
        <x:v>8</x:v>
      </x:c>
      <x:c r="G2855" t="n">
        <x:v>6</x:v>
      </x:c>
      <x:c r="H2855" t="n">
        <x:v>0</x:v>
      </x:c>
      <x:c r="I2855" t="str">
        <x:v>À qualifier par lieu</x:v>
      </x:c>
      <x:c r="J2855" t="str">
        <x:v>https://github.com/darknigthmare/deadwall-last-enclosure/blob/1b3b9c5ba232734b1bda3453b4e20a0481bcdd74/codex-3000/compositions/militaire/DW-2850.md</x:v>
      </x:c>
      <x:c r="K2855" t="str">
        <x:v>Source min 66,35 m ; max 66,35 m ; modèle 66 × 35 m ; niveaux 0, 1. Détails dans catalogue-existant.json.</x:v>
      </x:c>
    </x:row>
    <x:row r="2856">
      <x:c r="A2856" t="str">
        <x:v>DW-2851</x:v>
      </x:c>
      <x:c r="B2856" t="str">
        <x:v>DW-0926</x:v>
      </x:c>
      <x:c r="C2856" t="str">
        <x:v>Composition héritée</x:v>
      </x:c>
      <x:c r="D2856" t="str">
        <x:v>militaire</x:v>
      </x:c>
      <x:c r="E2856" t="str">
        <x:v>Dépôt militaire — variante 07 — Camp hostile / relais temporaire envisagé</x:v>
      </x:c>
      <x:c r="F2856" t="n">
        <x:v>10</x:v>
      </x:c>
      <x:c r="G2856" t="n">
        <x:v>5</x:v>
      </x:c>
      <x:c r="H2856" t="n">
        <x:v>0</x:v>
      </x:c>
      <x:c r="I2856" t="str">
        <x:v>À qualifier par lieu</x:v>
      </x:c>
      <x:c r="J2856" t="str">
        <x:v>https://github.com/darknigthmare/deadwall-last-enclosure/blob/1b3b9c5ba232734b1bda3453b4e20a0481bcdd74/codex-3000/compositions/militaire/DW-2851.md</x:v>
      </x:c>
      <x:c r="K2856" t="str">
        <x:v>Source min 77,52 m ; max 77,52 m ; modèle 77 × 52 m ; niveaux 0. Détails dans catalogue-existant.json.</x:v>
      </x:c>
    </x:row>
    <x:row r="2857">
      <x:c r="A2857" t="str">
        <x:v>DW-2852</x:v>
      </x:c>
      <x:c r="B2857" t="str">
        <x:v>DW-0926</x:v>
      </x:c>
      <x:c r="C2857" t="str">
        <x:v>Composition héritée</x:v>
      </x:c>
      <x:c r="D2857" t="str">
        <x:v>militaire</x:v>
      </x:c>
      <x:c r="E2857" t="str">
        <x:v>Dépôt militaire — variante 07 — Centre d’évacuation abandonné / évacuation interrompue</x:v>
      </x:c>
      <x:c r="F2857" t="n">
        <x:v>8</x:v>
      </x:c>
      <x:c r="G2857" t="n">
        <x:v>5</x:v>
      </x:c>
      <x:c r="H2857" t="n">
        <x:v>0</x:v>
      </x:c>
      <x:c r="I2857" t="str">
        <x:v>À qualifier par lieu</x:v>
      </x:c>
      <x:c r="J2857" t="str">
        <x:v>https://github.com/darknigthmare/deadwall-last-enclosure/blob/1b3b9c5ba232734b1bda3453b4e20a0481bcdd74/codex-3000/compositions/militaire/DW-2852.md</x:v>
      </x:c>
      <x:c r="K2857" t="str">
        <x:v>Source min 77,52 m ; max 77,52 m ; modèle 77 × 52 m ; niveaux 0. Détails dans catalogue-existant.json.</x:v>
      </x:c>
    </x:row>
    <x:row r="2858">
      <x:c r="A2858" t="str">
        <x:v>DW-2853</x:v>
      </x:c>
      <x:c r="B2858" t="str">
        <x:v>DW-0927</x:v>
      </x:c>
      <x:c r="C2858" t="str">
        <x:v>Composition héritée</x:v>
      </x:c>
      <x:c r="D2858" t="str">
        <x:v>militaire</x:v>
      </x:c>
      <x:c r="E2858" t="str">
        <x:v>Poste de contrôle — variante 07 — Camp de fortune / réseau principal coupé</x:v>
      </x:c>
      <x:c r="F2858" t="n">
        <x:v>8</x:v>
      </x:c>
      <x:c r="G2858" t="n">
        <x:v>5</x:v>
      </x:c>
      <x:c r="H2858" t="n">
        <x:v>0</x:v>
      </x:c>
      <x:c r="I2858" t="str">
        <x:v>À qualifier par lieu</x:v>
      </x:c>
      <x:c r="J2858" t="str">
        <x:v>https://github.com/darknigthmare/deadwall-last-enclosure/blob/1b3b9c5ba232734b1bda3453b4e20a0481bcdd74/codex-3000/compositions/militaire/DW-2853.md</x:v>
      </x:c>
      <x:c r="K2858" t="str">
        <x:v>Source min 16,15 m ; max 16,15 m ; modèle 26 × 22 m ; niveaux 0. Détails dans catalogue-existant.json.</x:v>
      </x:c>
    </x:row>
    <x:row r="2859">
      <x:c r="A2859" t="str">
        <x:v>DW-2854</x:v>
      </x:c>
      <x:c r="B2859" t="str">
        <x:v>DW-0927</x:v>
      </x:c>
      <x:c r="C2859" t="str">
        <x:v>Composition héritée</x:v>
      </x:c>
      <x:c r="D2859" t="str">
        <x:v>militaire</x:v>
      </x:c>
      <x:c r="E2859" t="str">
        <x:v>Poste de contrôle — variante 07 — Grand camp allié / arrêt de maintenance</x:v>
      </x:c>
      <x:c r="F2859" t="n">
        <x:v>10</x:v>
      </x:c>
      <x:c r="G2859" t="n">
        <x:v>5</x:v>
      </x:c>
      <x:c r="H2859" t="n">
        <x:v>0</x:v>
      </x:c>
      <x:c r="I2859" t="str">
        <x:v>À qualifier par lieu</x:v>
      </x:c>
      <x:c r="J2859" t="str">
        <x:v>https://github.com/darknigthmare/deadwall-last-enclosure/blob/1b3b9c5ba232734b1bda3453b4e20a0481bcdd74/codex-3000/compositions/militaire/DW-2854.md</x:v>
      </x:c>
      <x:c r="K2859" t="str">
        <x:v>Source min 16,15 m ; max 16,15 m ; modèle 26 × 22 m ; niveaux 0. Détails dans catalogue-existant.json.</x:v>
      </x:c>
    </x:row>
    <x:row r="2860">
      <x:c r="A2860" t="str">
        <x:v>DW-2855</x:v>
      </x:c>
      <x:c r="B2860" t="str">
        <x:v>DW-0928</x:v>
      </x:c>
      <x:c r="C2860" t="str">
        <x:v>Composition héritée</x:v>
      </x:c>
      <x:c r="D2860" t="str">
        <x:v>militaire</x:v>
      </x:c>
      <x:c r="E2860" t="str">
        <x:v>Camp retranché abandonné — variante 07 — Centre d’évacuation abandonné / repli organisé interrompu</x:v>
      </x:c>
      <x:c r="F2860" t="n">
        <x:v>8</x:v>
      </x:c>
      <x:c r="G2860" t="n">
        <x:v>5</x:v>
      </x:c>
      <x:c r="H2860" t="n">
        <x:v>0</x:v>
      </x:c>
      <x:c r="I2860" t="str">
        <x:v>À qualifier par lieu</x:v>
      </x:c>
      <x:c r="J2860" t="str">
        <x:v>https://github.com/darknigthmare/deadwall-last-enclosure/blob/1b3b9c5ba232734b1bda3453b4e20a0481bcdd74/codex-3000/compositions/militaire/DW-2855.md</x:v>
      </x:c>
      <x:c r="K2860" t="str">
        <x:v>Source min 27,32 m ; max 27,32 m ; modèle 27 × 32 m ; niveaux 0. Détails dans catalogue-existant.json.</x:v>
      </x:c>
    </x:row>
    <x:row r="2861">
      <x:c r="A2861" t="str">
        <x:v>DW-2856</x:v>
      </x:c>
      <x:c r="B2861" t="str">
        <x:v>DW-0928</x:v>
      </x:c>
      <x:c r="C2861" t="str">
        <x:v>Composition héritée</x:v>
      </x:c>
      <x:c r="D2861" t="str">
        <x:v>militaire</x:v>
      </x:c>
      <x:c r="E2861" t="str">
        <x:v>Camp retranché abandonné — variante 07 — Camp hostile / première récupération passée</x:v>
      </x:c>
      <x:c r="F2861" t="n">
        <x:v>10</x:v>
      </x:c>
      <x:c r="G2861" t="n">
        <x:v>5</x:v>
      </x:c>
      <x:c r="H2861" t="n">
        <x:v>0</x:v>
      </x:c>
      <x:c r="I2861" t="str">
        <x:v>À qualifier par lieu</x:v>
      </x:c>
      <x:c r="J2861" t="str">
        <x:v>https://github.com/darknigthmare/deadwall-last-enclosure/blob/1b3b9c5ba232734b1bda3453b4e20a0481bcdd74/codex-3000/compositions/militaire/DW-2856.md</x:v>
      </x:c>
      <x:c r="K2861" t="str">
        <x:v>Source min 27,32 m ; max 27,32 m ; modèle 27 × 32 m ; niveaux 0. Détails dans catalogue-existant.json.</x:v>
      </x:c>
    </x:row>
    <x:row r="2862">
      <x:c r="A2862" t="str">
        <x:v>DW-2857</x:v>
      </x:c>
      <x:c r="B2862" t="str">
        <x:v>DW-0929</x:v>
      </x:c>
      <x:c r="C2862" t="str">
        <x:v>Composition héritée</x:v>
      </x:c>
      <x:c r="D2862" t="str">
        <x:v>militaire</x:v>
      </x:c>
      <x:c r="E2862" t="str">
        <x:v>Abri ferroviaire — variante 07 — Grand camp allié / évacuation interrompue</x:v>
      </x:c>
      <x:c r="F2862" t="n">
        <x:v>10</x:v>
      </x:c>
      <x:c r="G2862" t="n">
        <x:v>4</x:v>
      </x:c>
      <x:c r="H2862" t="n">
        <x:v>0</x:v>
      </x:c>
      <x:c r="I2862" t="str">
        <x:v>À qualifier par lieu</x:v>
      </x:c>
      <x:c r="J2862" t="str">
        <x:v>https://github.com/darknigthmare/deadwall-last-enclosure/blob/1b3b9c5ba232734b1bda3453b4e20a0481bcdd74/codex-3000/compositions/militaire/DW-2857.md</x:v>
      </x:c>
      <x:c r="K2862" t="str">
        <x:v>Source min 38,49 m ; max 38,49 m ; modèle 38 × 49 m ; niveaux 0. Détails dans catalogue-existant.json.</x:v>
      </x:c>
    </x:row>
    <x:row r="2863">
      <x:c r="A2863" t="str">
        <x:v>DW-2858</x:v>
      </x:c>
      <x:c r="B2863" t="str">
        <x:v>DW-0929</x:v>
      </x:c>
      <x:c r="C2863" t="str">
        <x:v>Composition héritée</x:v>
      </x:c>
      <x:c r="D2863" t="str">
        <x:v>militaire</x:v>
      </x:c>
      <x:c r="E2863" t="str">
        <x:v>Abri ferroviaire — variante 07 — Camp de fortune / service déplacé à l’arrière</x:v>
      </x:c>
      <x:c r="F2863" t="n">
        <x:v>8</x:v>
      </x:c>
      <x:c r="G2863" t="n">
        <x:v>4</x:v>
      </x:c>
      <x:c r="H2863" t="n">
        <x:v>0</x:v>
      </x:c>
      <x:c r="I2863" t="str">
        <x:v>À qualifier par lieu</x:v>
      </x:c>
      <x:c r="J2863" t="str">
        <x:v>https://github.com/darknigthmare/deadwall-last-enclosure/blob/1b3b9c5ba232734b1bda3453b4e20a0481bcdd74/codex-3000/compositions/militaire/DW-2858.md</x:v>
      </x:c>
      <x:c r="K2863" t="str">
        <x:v>Source min 38,49 m ; max 38,49 m ; modèle 38 × 49 m ; niveaux 0. Détails dans catalogue-existant.json.</x:v>
      </x:c>
    </x:row>
    <x:row r="2864">
      <x:c r="A2864" t="str">
        <x:v>DW-2859</x:v>
      </x:c>
      <x:c r="B2864" t="str">
        <x:v>DW-0930</x:v>
      </x:c>
      <x:c r="C2864" t="str">
        <x:v>Composition héritée</x:v>
      </x:c>
      <x:c r="D2864" t="str">
        <x:v>militaire</x:v>
      </x:c>
      <x:c r="E2864" t="str">
        <x:v>Site radar — variante 07 — Camp hostile / arrêt de maintenance</x:v>
      </x:c>
      <x:c r="F2864" t="n">
        <x:v>10</x:v>
      </x:c>
      <x:c r="G2864" t="n">
        <x:v>5</x:v>
      </x:c>
      <x:c r="H2864" t="n">
        <x:v>0</x:v>
      </x:c>
      <x:c r="I2864" t="str">
        <x:v>À qualifier par lieu</x:v>
      </x:c>
      <x:c r="J2864" t="str">
        <x:v>https://github.com/darknigthmare/deadwall-last-enclosure/blob/1b3b9c5ba232734b1bda3453b4e20a0481bcdd74/codex-3000/compositions/militaire/DW-2859.md</x:v>
      </x:c>
      <x:c r="K2864" t="str">
        <x:v>Source min 49,12 m ; max 49,12 m ; modèle 49 × 22 m ; niveaux 0. Détails dans catalogue-existant.json.</x:v>
      </x:c>
    </x:row>
    <x:row r="2865">
      <x:c r="A2865" t="str">
        <x:v>DW-2860</x:v>
      </x:c>
      <x:c r="B2865" t="str">
        <x:v>DW-0930</x:v>
      </x:c>
      <x:c r="C2865" t="str">
        <x:v>Composition héritée</x:v>
      </x:c>
      <x:c r="D2865" t="str">
        <x:v>militaire</x:v>
      </x:c>
      <x:c r="E2865" t="str">
        <x:v>Site radar — variante 07 — Centre d’évacuation abandonné / reprise progressive de la végétation</x:v>
      </x:c>
      <x:c r="F2865" t="n">
        <x:v>8</x:v>
      </x:c>
      <x:c r="G2865" t="n">
        <x:v>5</x:v>
      </x:c>
      <x:c r="H2865" t="n">
        <x:v>0</x:v>
      </x:c>
      <x:c r="I2865" t="str">
        <x:v>À qualifier par lieu</x:v>
      </x:c>
      <x:c r="J2865" t="str">
        <x:v>https://github.com/darknigthmare/deadwall-last-enclosure/blob/1b3b9c5ba232734b1bda3453b4e20a0481bcdd74/codex-3000/compositions/militaire/DW-2860.md</x:v>
      </x:c>
      <x:c r="K2865" t="str">
        <x:v>Source min 49,12 m ; max 49,12 m ; modèle 49 × 22 m ; niveaux 0. Détails dans catalogue-existant.json.</x:v>
      </x:c>
    </x:row>
    <x:row r="2866">
      <x:c r="A2866" t="str">
        <x:v>DW-2861</x:v>
      </x:c>
      <x:c r="B2866" t="str">
        <x:v>DW-0931</x:v>
      </x:c>
      <x:c r="C2866" t="str">
        <x:v>Composition héritée</x:v>
      </x:c>
      <x:c r="D2866" t="str">
        <x:v>militaire</x:v>
      </x:c>
      <x:c r="E2866" t="str">
        <x:v>Batterie côtière — variante 07 — Camp de fortune / première récupération passée</x:v>
      </x:c>
      <x:c r="F2866" t="n">
        <x:v>8</x:v>
      </x:c>
      <x:c r="G2866" t="n">
        <x:v>4</x:v>
      </x:c>
      <x:c r="H2866" t="n">
        <x:v>0</x:v>
      </x:c>
      <x:c r="I2866" t="str">
        <x:v>À qualifier par lieu</x:v>
      </x:c>
      <x:c r="J2866" t="str">
        <x:v>https://github.com/darknigthmare/deadwall-last-enclosure/blob/1b3b9c5ba232734b1bda3453b4e20a0481bcdd74/codex-3000/compositions/militaire/DW-2861.md</x:v>
      </x:c>
      <x:c r="K2866" t="str">
        <x:v>Source min 60,29 m ; max 60,29 m ; modèle 60 × 29 m ; niveaux 0. Détails dans catalogue-existant.json.</x:v>
      </x:c>
    </x:row>
    <x:row r="2867">
      <x:c r="A2867" t="str">
        <x:v>DW-2862</x:v>
      </x:c>
      <x:c r="B2867" t="str">
        <x:v>DW-0931</x:v>
      </x:c>
      <x:c r="C2867" t="str">
        <x:v>Composition héritée</x:v>
      </x:c>
      <x:c r="D2867" t="str">
        <x:v>militaire</x:v>
      </x:c>
      <x:c r="E2867" t="str">
        <x:v>Batterie côtière — variante 07 — Grand camp allié / relais temporaire envisagé</x:v>
      </x:c>
      <x:c r="F2867" t="n">
        <x:v>10</x:v>
      </x:c>
      <x:c r="G2867" t="n">
        <x:v>4</x:v>
      </x:c>
      <x:c r="H2867" t="n">
        <x:v>0</x:v>
      </x:c>
      <x:c r="I2867" t="str">
        <x:v>À qualifier par lieu</x:v>
      </x:c>
      <x:c r="J2867" t="str">
        <x:v>https://github.com/darknigthmare/deadwall-last-enclosure/blob/1b3b9c5ba232734b1bda3453b4e20a0481bcdd74/codex-3000/compositions/militaire/DW-2862.md</x:v>
      </x:c>
      <x:c r="K2867" t="str">
        <x:v>Source min 60,29 m ; max 60,29 m ; modèle 60 × 29 m ; niveaux 0. Détails dans catalogue-existant.json.</x:v>
      </x:c>
    </x:row>
    <x:row r="2868">
      <x:c r="A2868" t="str">
        <x:v>DW-2863</x:v>
      </x:c>
      <x:c r="B2868" t="str">
        <x:v>DW-0932</x:v>
      </x:c>
      <x:c r="C2868" t="str">
        <x:v>Composition héritée</x:v>
      </x:c>
      <x:c r="D2868" t="str">
        <x:v>militaire</x:v>
      </x:c>
      <x:c r="E2868" t="str">
        <x:v>Dépôt carburant sécurisé — variante 07 — Centre d’évacuation abandonné / service déplacé à l’arrière</x:v>
      </x:c>
      <x:c r="F2868" t="n">
        <x:v>8</x:v>
      </x:c>
      <x:c r="G2868" t="n">
        <x:v>5</x:v>
      </x:c>
      <x:c r="H2868" t="n">
        <x:v>0</x:v>
      </x:c>
      <x:c r="I2868" t="str">
        <x:v>À qualifier par lieu</x:v>
      </x:c>
      <x:c r="J2868" t="str">
        <x:v>https://github.com/darknigthmare/deadwall-last-enclosure/blob/1b3b9c5ba232734b1bda3453b4e20a0481bcdd74/codex-3000/compositions/militaire/DW-2863.md</x:v>
      </x:c>
      <x:c r="K2868" t="str">
        <x:v>Source min 71,46 m ; max 71,46 m ; modèle 71 × 46 m ; niveaux 0. Détails dans catalogue-existant.json.</x:v>
      </x:c>
    </x:row>
    <x:row r="2869">
      <x:c r="A2869" t="str">
        <x:v>DW-2864</x:v>
      </x:c>
      <x:c r="B2869" t="str">
        <x:v>DW-0932</x:v>
      </x:c>
      <x:c r="C2869" t="str">
        <x:v>Composition héritée</x:v>
      </x:c>
      <x:c r="D2869" t="str">
        <x:v>militaire</x:v>
      </x:c>
      <x:c r="E2869" t="str">
        <x:v>Dépôt carburant sécurisé — variante 07 — Camp hostile / réseau principal coupé</x:v>
      </x:c>
      <x:c r="F2869" t="n">
        <x:v>10</x:v>
      </x:c>
      <x:c r="G2869" t="n">
        <x:v>5</x:v>
      </x:c>
      <x:c r="H2869" t="n">
        <x:v>0</x:v>
      </x:c>
      <x:c r="I2869" t="str">
        <x:v>À qualifier par lieu</x:v>
      </x:c>
      <x:c r="J2869" t="str">
        <x:v>https://github.com/darknigthmare/deadwall-last-enclosure/blob/1b3b9c5ba232734b1bda3453b4e20a0481bcdd74/codex-3000/compositions/militaire/DW-2864.md</x:v>
      </x:c>
      <x:c r="K2869" t="str">
        <x:v>Source min 71,46 m ; max 71,46 m ; modèle 71 × 46 m ; niveaux 0. Détails dans catalogue-existant.json.</x:v>
      </x:c>
    </x:row>
    <x:row r="2870">
      <x:c r="A2870" t="str">
        <x:v>DW-2865</x:v>
      </x:c>
      <x:c r="B2870" t="str">
        <x:v>DW-0933</x:v>
      </x:c>
      <x:c r="C2870" t="str">
        <x:v>Composition héritée</x:v>
      </x:c>
      <x:c r="D2870" t="str">
        <x:v>transport</x:v>
      </x:c>
      <x:c r="E2870" t="str">
        <x:v>Gare routière — variante 07 — Station-service et aire routière / reprise progressive de la végétation</x:v>
      </x:c>
      <x:c r="F2870" t="n">
        <x:v>8</x:v>
      </x:c>
      <x:c r="G2870" t="n">
        <x:v>5</x:v>
      </x:c>
      <x:c r="H2870" t="n">
        <x:v>0</x:v>
      </x:c>
      <x:c r="I2870" t="str">
        <x:v>À qualifier par lieu</x:v>
      </x:c>
      <x:c r="J2870" t="str">
        <x:v>https://github.com/darknigthmare/deadwall-last-enclosure/blob/1b3b9c5ba232734b1bda3453b4e20a0481bcdd74/codex-3000/compositions/transport/DW-2865.md</x:v>
      </x:c>
      <x:c r="K2870" t="str">
        <x:v>Source min 10,9 m ; max 10,9 m ; modèle 26 × 22 m ; niveaux 0. Détails dans catalogue-existant.json.</x:v>
      </x:c>
    </x:row>
    <x:row r="2871">
      <x:c r="A2871" t="str">
        <x:v>DW-2866</x:v>
      </x:c>
      <x:c r="B2871" t="str">
        <x:v>DW-0933</x:v>
      </x:c>
      <x:c r="C2871" t="str">
        <x:v>Composition héritée</x:v>
      </x:c>
      <x:c r="D2871" t="str">
        <x:v>transport</x:v>
      </x:c>
      <x:c r="E2871" t="str">
        <x:v>Gare routière — variante 07 — Port marchand / repli organisé interrompu</x:v>
      </x:c>
      <x:c r="F2871" t="n">
        <x:v>10</x:v>
      </x:c>
      <x:c r="G2871" t="n">
        <x:v>5</x:v>
      </x:c>
      <x:c r="H2871" t="n">
        <x:v>0</x:v>
      </x:c>
      <x:c r="I2871" t="str">
        <x:v>À qualifier par lieu</x:v>
      </x:c>
      <x:c r="J2871" t="str">
        <x:v>https://github.com/darknigthmare/deadwall-last-enclosure/blob/1b3b9c5ba232734b1bda3453b4e20a0481bcdd74/codex-3000/compositions/transport/DW-2866.md</x:v>
      </x:c>
      <x:c r="K2871" t="str">
        <x:v>Source min 10,9 m ; max 10,9 m ; modèle 26 × 22 m ; niveaux 0. Détails dans catalogue-existant.json.</x:v>
      </x:c>
    </x:row>
    <x:row r="2872">
      <x:c r="A2872" t="str">
        <x:v>DW-2867</x:v>
      </x:c>
      <x:c r="B2872" t="str">
        <x:v>DW-0934</x:v>
      </x:c>
      <x:c r="C2872" t="str">
        <x:v>Composition héritée</x:v>
      </x:c>
      <x:c r="D2872" t="str">
        <x:v>transport</x:v>
      </x:c>
      <x:c r="E2872" t="str">
        <x:v>Dépôt de bus — variante 07 — Gare et fret / relais temporaire envisagé</x:v>
      </x:c>
      <x:c r="F2872" t="n">
        <x:v>10</x:v>
      </x:c>
      <x:c r="G2872" t="n">
        <x:v>5</x:v>
      </x:c>
      <x:c r="H2872" t="n">
        <x:v>0</x:v>
      </x:c>
      <x:c r="I2872" t="str">
        <x:v>À qualifier par lieu</x:v>
      </x:c>
      <x:c r="J2872" t="str">
        <x:v>https://github.com/darknigthmare/deadwall-last-enclosure/blob/1b3b9c5ba232734b1bda3453b4e20a0481bcdd74/codex-3000/compositions/transport/DW-2867.md</x:v>
      </x:c>
      <x:c r="K2872" t="str">
        <x:v>Source min 21,26 m ; max 21,26 m ; modèle 26 × 26 m ; niveaux 0. Détails dans catalogue-existant.json.</x:v>
      </x:c>
    </x:row>
    <x:row r="2873">
      <x:c r="A2873" t="str">
        <x:v>DW-2868</x:v>
      </x:c>
      <x:c r="B2873" t="str">
        <x:v>DW-0934</x:v>
      </x:c>
      <x:c r="C2873" t="str">
        <x:v>Composition héritée</x:v>
      </x:c>
      <x:c r="D2873" t="str">
        <x:v>transport</x:v>
      </x:c>
      <x:c r="E2873" t="str">
        <x:v>Dépôt de bus — variante 07 — Routes et coutures territoriales / évacuation interrompue</x:v>
      </x:c>
      <x:c r="F2873" t="n">
        <x:v>10</x:v>
      </x:c>
      <x:c r="G2873" t="n">
        <x:v>5</x:v>
      </x:c>
      <x:c r="H2873" t="n">
        <x:v>0</x:v>
      </x:c>
      <x:c r="I2873" t="str">
        <x:v>À qualifier par lieu</x:v>
      </x:c>
      <x:c r="J2873" t="str">
        <x:v>https://github.com/darknigthmare/deadwall-last-enclosure/blob/1b3b9c5ba232734b1bda3453b4e20a0481bcdd74/codex-3000/compositions/transport/DW-2868.md</x:v>
      </x:c>
      <x:c r="K2873" t="str">
        <x:v>Source min 21,26 m ; max 21,26 m ; modèle 26 × 26 m ; niveaux 0. Détails dans catalogue-existant.json.</x:v>
      </x:c>
    </x:row>
    <x:row r="2874">
      <x:c r="A2874" t="str">
        <x:v>DW-2869</x:v>
      </x:c>
      <x:c r="B2874" t="str">
        <x:v>DW-0935</x:v>
      </x:c>
      <x:c r="C2874" t="str">
        <x:v>Composition héritée</x:v>
      </x:c>
      <x:c r="D2874" t="str">
        <x:v>transport</x:v>
      </x:c>
      <x:c r="E2874" t="str">
        <x:v>Gare ferroviaire — variante 07 — Port marchand / réseau principal coupé</x:v>
      </x:c>
      <x:c r="F2874" t="n">
        <x:v>10</x:v>
      </x:c>
      <x:c r="G2874" t="n">
        <x:v>5</x:v>
      </x:c>
      <x:c r="H2874" t="n">
        <x:v>0</x:v>
      </x:c>
      <x:c r="I2874" t="str">
        <x:v>À qualifier par lieu</x:v>
      </x:c>
      <x:c r="J2874" t="str">
        <x:v>https://github.com/darknigthmare/deadwall-last-enclosure/blob/1b3b9c5ba232734b1bda3453b4e20a0481bcdd74/codex-3000/compositions/transport/DW-2869.md</x:v>
      </x:c>
      <x:c r="K2874" t="str">
        <x:v>Source min 32,43 m ; max 32,43 m ; modèle 32 × 43 m ; niveaux 0. Détails dans catalogue-existant.json.</x:v>
      </x:c>
    </x:row>
    <x:row r="2875">
      <x:c r="A2875" t="str">
        <x:v>DW-2870</x:v>
      </x:c>
      <x:c r="B2875" t="str">
        <x:v>DW-0935</x:v>
      </x:c>
      <x:c r="C2875" t="str">
        <x:v>Composition héritée</x:v>
      </x:c>
      <x:c r="D2875" t="str">
        <x:v>transport</x:v>
      </x:c>
      <x:c r="E2875" t="str">
        <x:v>Gare ferroviaire — variante 07 — Station-service et aire routière / arrêt de maintenance</x:v>
      </x:c>
      <x:c r="F2875" t="n">
        <x:v>8</x:v>
      </x:c>
      <x:c r="G2875" t="n">
        <x:v>5</x:v>
      </x:c>
      <x:c r="H2875" t="n">
        <x:v>0</x:v>
      </x:c>
      <x:c r="I2875" t="str">
        <x:v>À qualifier par lieu</x:v>
      </x:c>
      <x:c r="J2875" t="str">
        <x:v>https://github.com/darknigthmare/deadwall-last-enclosure/blob/1b3b9c5ba232734b1bda3453b4e20a0481bcdd74/codex-3000/compositions/transport/DW-2870.md</x:v>
      </x:c>
      <x:c r="K2875" t="str">
        <x:v>Source min 32,43 m ; max 32,43 m ; modèle 32 × 43 m ; niveaux 0. Détails dans catalogue-existant.json.</x:v>
      </x:c>
    </x:row>
    <x:row r="2876">
      <x:c r="A2876" t="str">
        <x:v>DW-2871</x:v>
      </x:c>
      <x:c r="B2876" t="str">
        <x:v>DW-0936</x:v>
      </x:c>
      <x:c r="C2876" t="str">
        <x:v>Composition héritée</x:v>
      </x:c>
      <x:c r="D2876" t="str">
        <x:v>transport</x:v>
      </x:c>
      <x:c r="E2876" t="str">
        <x:v>Aire d'autoroute — variante 07 — Routes et coutures territoriales / repli organisé interrompu</x:v>
      </x:c>
      <x:c r="F2876" t="n">
        <x:v>10</x:v>
      </x:c>
      <x:c r="G2876" t="n">
        <x:v>5</x:v>
      </x:c>
      <x:c r="H2876" t="n">
        <x:v>0</x:v>
      </x:c>
      <x:c r="I2876" t="str">
        <x:v>À qualifier par lieu</x:v>
      </x:c>
      <x:c r="J2876" t="str">
        <x:v>https://github.com/darknigthmare/deadwall-last-enclosure/blob/1b3b9c5ba232734b1bda3453b4e20a0481bcdd74/codex-3000/compositions/transport/DW-2871.md</x:v>
      </x:c>
      <x:c r="K2876" t="str">
        <x:v>Source min 43,60 m ; max 43,60 m ; modèle 43 × 60 m ; niveaux 0. Détails dans catalogue-existant.json.</x:v>
      </x:c>
    </x:row>
    <x:row r="2877">
      <x:c r="A2877" t="str">
        <x:v>DW-2872</x:v>
      </x:c>
      <x:c r="B2877" t="str">
        <x:v>DW-0936</x:v>
      </x:c>
      <x:c r="C2877" t="str">
        <x:v>Composition héritée</x:v>
      </x:c>
      <x:c r="D2877" t="str">
        <x:v>transport</x:v>
      </x:c>
      <x:c r="E2877" t="str">
        <x:v>Aire d'autoroute — variante 07 — Gare et fret / première récupération passée</x:v>
      </x:c>
      <x:c r="F2877" t="n">
        <x:v>10</x:v>
      </x:c>
      <x:c r="G2877" t="n">
        <x:v>5</x:v>
      </x:c>
      <x:c r="H2877" t="n">
        <x:v>0</x:v>
      </x:c>
      <x:c r="I2877" t="str">
        <x:v>À qualifier par lieu</x:v>
      </x:c>
      <x:c r="J2877" t="str">
        <x:v>https://github.com/darknigthmare/deadwall-last-enclosure/blob/1b3b9c5ba232734b1bda3453b4e20a0481bcdd74/codex-3000/compositions/transport/DW-2872.md</x:v>
      </x:c>
      <x:c r="K2877" t="str">
        <x:v>Source min 43,60 m ; max 43,60 m ; modèle 43 × 60 m ; niveaux 0. Détails dans catalogue-existant.json.</x:v>
      </x:c>
    </x:row>
    <x:row r="2878">
      <x:c r="A2878" t="str">
        <x:v>DW-2873</x:v>
      </x:c>
      <x:c r="B2878" t="str">
        <x:v>DW-0937</x:v>
      </x:c>
      <x:c r="C2878" t="str">
        <x:v>Composition héritée</x:v>
      </x:c>
      <x:c r="D2878" t="str">
        <x:v>transport</x:v>
      </x:c>
      <x:c r="E2878" t="str">
        <x:v>Parking silo — variante 07 — Station-service et aire routière / évacuation interrompue</x:v>
      </x:c>
      <x:c r="F2878" t="n">
        <x:v>8</x:v>
      </x:c>
      <x:c r="G2878" t="n">
        <x:v>4</x:v>
      </x:c>
      <x:c r="H2878" t="n">
        <x:v>0</x:v>
      </x:c>
      <x:c r="I2878" t="str">
        <x:v>À qualifier par lieu</x:v>
      </x:c>
      <x:c r="J2878" t="str">
        <x:v>https://github.com/darknigthmare/deadwall-last-enclosure/blob/1b3b9c5ba232734b1bda3453b4e20a0481bcdd74/codex-3000/compositions/transport/DW-2873.md</x:v>
      </x:c>
      <x:c r="K2878" t="str">
        <x:v>Source min 54,23 m ; max 54,23 m ; modèle 54 × 23 m ; niveaux 0. Détails dans catalogue-existant.json.</x:v>
      </x:c>
    </x:row>
    <x:row r="2879">
      <x:c r="A2879" t="str">
        <x:v>DW-2874</x:v>
      </x:c>
      <x:c r="B2879" t="str">
        <x:v>DW-0937</x:v>
      </x:c>
      <x:c r="C2879" t="str">
        <x:v>Composition héritée</x:v>
      </x:c>
      <x:c r="D2879" t="str">
        <x:v>transport</x:v>
      </x:c>
      <x:c r="E2879" t="str">
        <x:v>Parking silo — variante 07 — Port marchand / service déplacé à l’arrière</x:v>
      </x:c>
      <x:c r="F2879" t="n">
        <x:v>10</x:v>
      </x:c>
      <x:c r="G2879" t="n">
        <x:v>4</x:v>
      </x:c>
      <x:c r="H2879" t="n">
        <x:v>0</x:v>
      </x:c>
      <x:c r="I2879" t="str">
        <x:v>À qualifier par lieu</x:v>
      </x:c>
      <x:c r="J2879" t="str">
        <x:v>https://github.com/darknigthmare/deadwall-last-enclosure/blob/1b3b9c5ba232734b1bda3453b4e20a0481bcdd74/codex-3000/compositions/transport/DW-2874.md</x:v>
      </x:c>
      <x:c r="K2879" t="str">
        <x:v>Source min 54,23 m ; max 54,23 m ; modèle 54 × 23 m ; niveaux 0. Détails dans catalogue-existant.json.</x:v>
      </x:c>
    </x:row>
    <x:row r="2880">
      <x:c r="A2880" t="str">
        <x:v>DW-2875</x:v>
      </x:c>
      <x:c r="B2880" t="str">
        <x:v>DW-0938</x:v>
      </x:c>
      <x:c r="C2880" t="str">
        <x:v>Composition héritée</x:v>
      </x:c>
      <x:c r="D2880" t="str">
        <x:v>transport</x:v>
      </x:c>
      <x:c r="E2880" t="str">
        <x:v>Terminal poids lourds — variante 07 — Gare et fret / arrêt de maintenance</x:v>
      </x:c>
      <x:c r="F2880" t="n">
        <x:v>10</x:v>
      </x:c>
      <x:c r="G2880" t="n">
        <x:v>5</x:v>
      </x:c>
      <x:c r="H2880" t="n">
        <x:v>0</x:v>
      </x:c>
      <x:c r="I2880" t="str">
        <x:v>À qualifier par lieu</x:v>
      </x:c>
      <x:c r="J2880" t="str">
        <x:v>https://github.com/darknigthmare/deadwall-last-enclosure/blob/1b3b9c5ba232734b1bda3453b4e20a0481bcdd74/codex-3000/compositions/transport/DW-2875.md</x:v>
      </x:c>
      <x:c r="K2880" t="str">
        <x:v>Source min 65,40 m ; max 65,40 m ; modèle 65 × 40 m ; niveaux 0. Détails dans catalogue-existant.json.</x:v>
      </x:c>
    </x:row>
    <x:row r="2881">
      <x:c r="A2881" t="str">
        <x:v>DW-2876</x:v>
      </x:c>
      <x:c r="B2881" t="str">
        <x:v>DW-0938</x:v>
      </x:c>
      <x:c r="C2881" t="str">
        <x:v>Composition héritée</x:v>
      </x:c>
      <x:c r="D2881" t="str">
        <x:v>transport</x:v>
      </x:c>
      <x:c r="E2881" t="str">
        <x:v>Terminal poids lourds — variante 07 — Routes et coutures territoriales / reprise progressive de la végétation</x:v>
      </x:c>
      <x:c r="F2881" t="n">
        <x:v>10</x:v>
      </x:c>
      <x:c r="G2881" t="n">
        <x:v>5</x:v>
      </x:c>
      <x:c r="H2881" t="n">
        <x:v>0</x:v>
      </x:c>
      <x:c r="I2881" t="str">
        <x:v>À qualifier par lieu</x:v>
      </x:c>
      <x:c r="J2881" t="str">
        <x:v>https://github.com/darknigthmare/deadwall-last-enclosure/blob/1b3b9c5ba232734b1bda3453b4e20a0481bcdd74/codex-3000/compositions/transport/DW-2876.md</x:v>
      </x:c>
      <x:c r="K2881" t="str">
        <x:v>Source min 65,40 m ; max 65,40 m ; modèle 65 × 40 m ; niveaux 0. Détails dans catalogue-existant.json.</x:v>
      </x:c>
    </x:row>
    <x:row r="2882">
      <x:c r="A2882" t="str">
        <x:v>DW-2877</x:v>
      </x:c>
      <x:c r="B2882" t="str">
        <x:v>DW-0939</x:v>
      </x:c>
      <x:c r="C2882" t="str">
        <x:v>Composition héritée</x:v>
      </x:c>
      <x:c r="D2882" t="str">
        <x:v>transport</x:v>
      </x:c>
      <x:c r="E2882" t="str">
        <x:v>Port de plaisance — variante 07 — Port marchand / première récupération passée</x:v>
      </x:c>
      <x:c r="F2882" t="n">
        <x:v>10</x:v>
      </x:c>
      <x:c r="G2882" t="n">
        <x:v>5</x:v>
      </x:c>
      <x:c r="H2882" t="n">
        <x:v>0</x:v>
      </x:c>
      <x:c r="I2882" t="str">
        <x:v>À qualifier par lieu</x:v>
      </x:c>
      <x:c r="J2882" t="str">
        <x:v>https://github.com/darknigthmare/deadwall-last-enclosure/blob/1b3b9c5ba232734b1bda3453b4e20a0481bcdd74/codex-3000/compositions/transport/DW-2877.md</x:v>
      </x:c>
      <x:c r="K2882" t="str">
        <x:v>Source min 76,57 m ; max 76,57 m ; modèle 76 × 57 m ; niveaux 0. Détails dans catalogue-existant.json.</x:v>
      </x:c>
    </x:row>
    <x:row r="2883">
      <x:c r="A2883" t="str">
        <x:v>DW-2878</x:v>
      </x:c>
      <x:c r="B2883" t="str">
        <x:v>DW-0939</x:v>
      </x:c>
      <x:c r="C2883" t="str">
        <x:v>Composition héritée</x:v>
      </x:c>
      <x:c r="D2883" t="str">
        <x:v>transport</x:v>
      </x:c>
      <x:c r="E2883" t="str">
        <x:v>Port de plaisance — variante 07 — Station-service et aire routière / relais temporaire envisagé</x:v>
      </x:c>
      <x:c r="F2883" t="n">
        <x:v>8</x:v>
      </x:c>
      <x:c r="G2883" t="n">
        <x:v>5</x:v>
      </x:c>
      <x:c r="H2883" t="n">
        <x:v>0</x:v>
      </x:c>
      <x:c r="I2883" t="str">
        <x:v>À qualifier par lieu</x:v>
      </x:c>
      <x:c r="J2883" t="str">
        <x:v>https://github.com/darknigthmare/deadwall-last-enclosure/blob/1b3b9c5ba232734b1bda3453b4e20a0481bcdd74/codex-3000/compositions/transport/DW-2878.md</x:v>
      </x:c>
      <x:c r="K2883" t="str">
        <x:v>Source min 76,57 m ; max 76,57 m ; modèle 76 × 57 m ; niveaux 0. Détails dans catalogue-existant.json.</x:v>
      </x:c>
    </x:row>
    <x:row r="2884">
      <x:c r="A2884" t="str">
        <x:v>DW-2879</x:v>
      </x:c>
      <x:c r="B2884" t="str">
        <x:v>DW-0940</x:v>
      </x:c>
      <x:c r="C2884" t="str">
        <x:v>Composition héritée</x:v>
      </x:c>
      <x:c r="D2884" t="str">
        <x:v>transport</x:v>
      </x:c>
      <x:c r="E2884" t="str">
        <x:v>Petit aérodrome — variante 07 — Routes et coutures territoriales / service déplacé à l’arrière</x:v>
      </x:c>
      <x:c r="F2884" t="n">
        <x:v>10</x:v>
      </x:c>
      <x:c r="G2884" t="n">
        <x:v>5</x:v>
      </x:c>
      <x:c r="H2884" t="n">
        <x:v>0</x:v>
      </x:c>
      <x:c r="I2884" t="str">
        <x:v>À qualifier par lieu</x:v>
      </x:c>
      <x:c r="J2884" t="str">
        <x:v>https://github.com/darknigthmare/deadwall-last-enclosure/blob/1b3b9c5ba232734b1bda3453b4e20a0481bcdd74/codex-3000/compositions/transport/DW-2879.md</x:v>
      </x:c>
      <x:c r="K2884" t="str">
        <x:v>Source min 15,20 m ; max 15,20 m ; modèle 26 × 22 m ; niveaux 0. Détails dans catalogue-existant.json.</x:v>
      </x:c>
    </x:row>
    <x:row r="2885">
      <x:c r="A2885" t="str">
        <x:v>DW-2880</x:v>
      </x:c>
      <x:c r="B2885" t="str">
        <x:v>DW-0940</x:v>
      </x:c>
      <x:c r="C2885" t="str">
        <x:v>Composition héritée</x:v>
      </x:c>
      <x:c r="D2885" t="str">
        <x:v>transport</x:v>
      </x:c>
      <x:c r="E2885" t="str">
        <x:v>Petit aérodrome — variante 07 — Gare et fret / réseau principal coupé</x:v>
      </x:c>
      <x:c r="F2885" t="n">
        <x:v>10</x:v>
      </x:c>
      <x:c r="G2885" t="n">
        <x:v>5</x:v>
      </x:c>
      <x:c r="H2885" t="n">
        <x:v>0</x:v>
      </x:c>
      <x:c r="I2885" t="str">
        <x:v>À qualifier par lieu</x:v>
      </x:c>
      <x:c r="J2885" t="str">
        <x:v>https://github.com/darknigthmare/deadwall-last-enclosure/blob/1b3b9c5ba232734b1bda3453b4e20a0481bcdd74/codex-3000/compositions/transport/DW-2880.md</x:v>
      </x:c>
      <x:c r="K2885" t="str">
        <x:v>Source min 15,20 m ; max 15,20 m ; modèle 26 × 22 m ; niveaux 0. Détails dans catalogue-existant.json.</x:v>
      </x:c>
    </x:row>
    <x:row r="2886">
      <x:c r="A2886" t="str">
        <x:v>DW-2881</x:v>
      </x:c>
      <x:c r="B2886" t="str">
        <x:v>DW-0941</x:v>
      </x:c>
      <x:c r="C2886" t="str">
        <x:v>Composition héritée</x:v>
      </x:c>
      <x:c r="D2886" t="str">
        <x:v>ruines</x:v>
      </x:c>
      <x:c r="E2886" t="str">
        <x:v>Maison incendiée — variante 07 — Ruine envahie et reprise végétale / reprise progressive de la végétation</x:v>
      </x:c>
      <x:c r="F2886" t="n">
        <x:v>8</x:v>
      </x:c>
      <x:c r="G2886" t="n">
        <x:v>3</x:v>
      </x:c>
      <x:c r="H2886" t="n">
        <x:v>0</x:v>
      </x:c>
      <x:c r="I2886" t="str">
        <x:v>À qualifier par lieu</x:v>
      </x:c>
      <x:c r="J2886" t="str">
        <x:v>https://github.com/darknigthmare/deadwall-last-enclosure/blob/1b3b9c5ba232734b1bda3453b4e20a0481bcdd74/codex-3000/compositions/ruines/DW-2881.md</x:v>
      </x:c>
      <x:c r="K2886" t="str">
        <x:v>Source min 26,37 m ; max 26,37 m ; modèle 26 × 37 m ; niveaux 0, 1. Détails dans catalogue-existant.json.</x:v>
      </x:c>
    </x:row>
    <x:row r="2887">
      <x:c r="A2887" t="str">
        <x:v>DW-2882</x:v>
      </x:c>
      <x:c r="B2887" t="str">
        <x:v>DW-0941</x:v>
      </x:c>
      <x:c r="C2887" t="str">
        <x:v>Composition héritée</x:v>
      </x:c>
      <x:c r="D2887" t="str">
        <x:v>ruines</x:v>
      </x:c>
      <x:c r="E2887" t="str">
        <x:v>Maison incendiée — variante 07 — Zone industrielle / repli organisé interrompu</x:v>
      </x:c>
      <x:c r="F2887" t="n">
        <x:v>8</x:v>
      </x:c>
      <x:c r="G2887" t="n">
        <x:v>3</x:v>
      </x:c>
      <x:c r="H2887" t="n">
        <x:v>0</x:v>
      </x:c>
      <x:c r="I2887" t="str">
        <x:v>À qualifier par lieu</x:v>
      </x:c>
      <x:c r="J2887" t="str">
        <x:v>https://github.com/darknigthmare/deadwall-last-enclosure/blob/1b3b9c5ba232734b1bda3453b4e20a0481bcdd74/codex-3000/compositions/ruines/DW-2882.md</x:v>
      </x:c>
      <x:c r="K2887" t="str">
        <x:v>Source min 26,37 m ; max 26,37 m ; modèle 26 × 37 m ; niveaux 0, 1. Détails dans catalogue-existant.json.</x:v>
      </x:c>
    </x:row>
    <x:row r="2888">
      <x:c r="A2888" t="str">
        <x:v>DW-2883</x:v>
      </x:c>
      <x:c r="B2888" t="str">
        <x:v>DW-0942</x:v>
      </x:c>
      <x:c r="C2888" t="str">
        <x:v>Composition héritée</x:v>
      </x:c>
      <x:c r="D2888" t="str">
        <x:v>ruines</x:v>
      </x:c>
      <x:c r="E2888" t="str">
        <x:v>Immeuble éventré — variante 07 — Centre ancien / relais temporaire envisagé</x:v>
      </x:c>
      <x:c r="F2888" t="n">
        <x:v>8</x:v>
      </x:c>
      <x:c r="G2888" t="n">
        <x:v>4</x:v>
      </x:c>
      <x:c r="H2888" t="n">
        <x:v>0</x:v>
      </x:c>
      <x:c r="I2888" t="str">
        <x:v>À qualifier par lieu</x:v>
      </x:c>
      <x:c r="J2888" t="str">
        <x:v>https://github.com/darknigthmare/deadwall-last-enclosure/blob/1b3b9c5ba232734b1bda3453b4e20a0481bcdd74/codex-3000/compositions/ruines/DW-2883.md</x:v>
      </x:c>
      <x:c r="K2888" t="str">
        <x:v>Source min 37,54 m ; max 37,54 m ; modèle 37 × 54 m ; niveaux 0, 1. Détails dans catalogue-existant.json.</x:v>
      </x:c>
    </x:row>
    <x:row r="2889">
      <x:c r="A2889" t="str">
        <x:v>DW-2884</x:v>
      </x:c>
      <x:c r="B2889" t="str">
        <x:v>DW-0942</x:v>
      </x:c>
      <x:c r="C2889" t="str">
        <x:v>Composition héritée</x:v>
      </x:c>
      <x:c r="D2889" t="str">
        <x:v>ruines</x:v>
      </x:c>
      <x:c r="E2889" t="str">
        <x:v>Immeuble éventré — variante 07 — Petit bois et lisière / évacuation interrompue</x:v>
      </x:c>
      <x:c r="F2889" t="n">
        <x:v>8</x:v>
      </x:c>
      <x:c r="G2889" t="n">
        <x:v>4</x:v>
      </x:c>
      <x:c r="H2889" t="n">
        <x:v>0</x:v>
      </x:c>
      <x:c r="I2889" t="str">
        <x:v>À qualifier par lieu</x:v>
      </x:c>
      <x:c r="J2889" t="str">
        <x:v>https://github.com/darknigthmare/deadwall-last-enclosure/blob/1b3b9c5ba232734b1bda3453b4e20a0481bcdd74/codex-3000/compositions/ruines/DW-2884.md</x:v>
      </x:c>
      <x:c r="K2889" t="str">
        <x:v>Source min 37,54 m ; max 37,54 m ; modèle 37 × 54 m ; niveaux 0, 1. Détails dans catalogue-existant.json.</x:v>
      </x:c>
    </x:row>
    <x:row r="2890">
      <x:c r="A2890" t="str">
        <x:v>DW-2885</x:v>
      </x:c>
      <x:c r="B2890" t="str">
        <x:v>DW-0943</x:v>
      </x:c>
      <x:c r="C2890" t="str">
        <x:v>Composition héritée</x:v>
      </x:c>
      <x:c r="D2890" t="str">
        <x:v>ruines</x:v>
      </x:c>
      <x:c r="E2890" t="str">
        <x:v>Commerce pillé — variante 07 — Zone industrielle / réseau principal coupé</x:v>
      </x:c>
      <x:c r="F2890" t="n">
        <x:v>8</x:v>
      </x:c>
      <x:c r="G2890" t="n">
        <x:v>4</x:v>
      </x:c>
      <x:c r="H2890" t="n">
        <x:v>0</x:v>
      </x:c>
      <x:c r="I2890" t="str">
        <x:v>À qualifier par lieu</x:v>
      </x:c>
      <x:c r="J2890" t="str">
        <x:v>https://github.com/darknigthmare/deadwall-last-enclosure/blob/1b3b9c5ba232734b1bda3453b4e20a0481bcdd74/codex-3000/compositions/ruines/DW-2885.md</x:v>
      </x:c>
      <x:c r="K2890" t="str">
        <x:v>Source min 48,17 m ; max 48,17 m ; modèle 48 × 18 m ; niveaux 0. Détails dans catalogue-existant.json.</x:v>
      </x:c>
    </x:row>
    <x:row r="2891">
      <x:c r="A2891" t="str">
        <x:v>DW-2886</x:v>
      </x:c>
      <x:c r="B2891" t="str">
        <x:v>DW-0943</x:v>
      </x:c>
      <x:c r="C2891" t="str">
        <x:v>Composition héritée</x:v>
      </x:c>
      <x:c r="D2891" t="str">
        <x:v>ruines</x:v>
      </x:c>
      <x:c r="E2891" t="str">
        <x:v>Commerce pillé — variante 07 — Ruine envahie et reprise végétale / arrêt de maintenance</x:v>
      </x:c>
      <x:c r="F2891" t="n">
        <x:v>8</x:v>
      </x:c>
      <x:c r="G2891" t="n">
        <x:v>4</x:v>
      </x:c>
      <x:c r="H2891" t="n">
        <x:v>0</x:v>
      </x:c>
      <x:c r="I2891" t="str">
        <x:v>À qualifier par lieu</x:v>
      </x:c>
      <x:c r="J2891" t="str">
        <x:v>https://github.com/darknigthmare/deadwall-last-enclosure/blob/1b3b9c5ba232734b1bda3453b4e20a0481bcdd74/codex-3000/compositions/ruines/DW-2886.md</x:v>
      </x:c>
      <x:c r="K2891" t="str">
        <x:v>Source min 48,17 m ; max 48,17 m ; modèle 48 × 18 m ; niveaux 0. Détails dans catalogue-existant.json.</x:v>
      </x:c>
    </x:row>
    <x:row r="2892">
      <x:c r="A2892" t="str">
        <x:v>DW-2887</x:v>
      </x:c>
      <x:c r="B2892" t="str">
        <x:v>DW-0944</x:v>
      </x:c>
      <x:c r="C2892" t="str">
        <x:v>Composition héritée</x:v>
      </x:c>
      <x:c r="D2892" t="str">
        <x:v>ruines</x:v>
      </x:c>
      <x:c r="E2892" t="str">
        <x:v>Usine sinistrée — variante 07 — Petit bois et lisière / repli organisé interrompu</x:v>
      </x:c>
      <x:c r="F2892" t="n">
        <x:v>8</x:v>
      </x:c>
      <x:c r="G2892" t="n">
        <x:v>4</x:v>
      </x:c>
      <x:c r="H2892" t="n">
        <x:v>0</x:v>
      </x:c>
      <x:c r="I2892" t="str">
        <x:v>À qualifier par lieu</x:v>
      </x:c>
      <x:c r="J2892" t="str">
        <x:v>https://github.com/darknigthmare/deadwall-last-enclosure/blob/1b3b9c5ba232734b1bda3453b4e20a0481bcdd74/codex-3000/compositions/ruines/DW-2887.md</x:v>
      </x:c>
      <x:c r="K2892" t="str">
        <x:v>Source min 59,34 m ; max 59,34 m ; modèle 59 × 34 m ; niveaux 0. Détails dans catalogue-existant.json.</x:v>
      </x:c>
    </x:row>
    <x:row r="2893">
      <x:c r="A2893" t="str">
        <x:v>DW-2888</x:v>
      </x:c>
      <x:c r="B2893" t="str">
        <x:v>DW-0944</x:v>
      </x:c>
      <x:c r="C2893" t="str">
        <x:v>Composition héritée</x:v>
      </x:c>
      <x:c r="D2893" t="str">
        <x:v>ruines</x:v>
      </x:c>
      <x:c r="E2893" t="str">
        <x:v>Usine sinistrée — variante 07 — Centre ancien / première récupération passée</x:v>
      </x:c>
      <x:c r="F2893" t="n">
        <x:v>8</x:v>
      </x:c>
      <x:c r="G2893" t="n">
        <x:v>4</x:v>
      </x:c>
      <x:c r="H2893" t="n">
        <x:v>0</x:v>
      </x:c>
      <x:c r="I2893" t="str">
        <x:v>À qualifier par lieu</x:v>
      </x:c>
      <x:c r="J2893" t="str">
        <x:v>https://github.com/darknigthmare/deadwall-last-enclosure/blob/1b3b9c5ba232734b1bda3453b4e20a0481bcdd74/codex-3000/compositions/ruines/DW-2888.md</x:v>
      </x:c>
      <x:c r="K2893" t="str">
        <x:v>Source min 59,34 m ; max 59,34 m ; modèle 59 × 34 m ; niveaux 0. Détails dans catalogue-existant.json.</x:v>
      </x:c>
    </x:row>
    <x:row r="2894">
      <x:c r="A2894" t="str">
        <x:v>DW-2889</x:v>
      </x:c>
      <x:c r="B2894" t="str">
        <x:v>DW-0945</x:v>
      </x:c>
      <x:c r="C2894" t="str">
        <x:v>Composition héritée</x:v>
      </x:c>
      <x:c r="D2894" t="str">
        <x:v>ruines</x:v>
      </x:c>
      <x:c r="E2894" t="str">
        <x:v>Hôtel abandonné — variante 07 — Ruine envahie et reprise végétale / évacuation interrompue</x:v>
      </x:c>
      <x:c r="F2894" t="n">
        <x:v>8</x:v>
      </x:c>
      <x:c r="G2894" t="n">
        <x:v>5</x:v>
      </x:c>
      <x:c r="H2894" t="n">
        <x:v>0</x:v>
      </x:c>
      <x:c r="I2894" t="str">
        <x:v>À qualifier par lieu</x:v>
      </x:c>
      <x:c r="J2894" t="str">
        <x:v>https://github.com/darknigthmare/deadwall-last-enclosure/blob/1b3b9c5ba232734b1bda3453b4e20a0481bcdd74/codex-3000/compositions/ruines/DW-2889.md</x:v>
      </x:c>
      <x:c r="K2894" t="str">
        <x:v>Source min 70,51 m ; max 70,51 m ; modèle 70 × 51 m ; niveaux 0, 1. Détails dans catalogue-existant.json.</x:v>
      </x:c>
    </x:row>
    <x:row r="2895">
      <x:c r="A2895" t="str">
        <x:v>DW-2890</x:v>
      </x:c>
      <x:c r="B2895" t="str">
        <x:v>DW-0945</x:v>
      </x:c>
      <x:c r="C2895" t="str">
        <x:v>Composition héritée</x:v>
      </x:c>
      <x:c r="D2895" t="str">
        <x:v>ruines</x:v>
      </x:c>
      <x:c r="E2895" t="str">
        <x:v>Hôtel abandonné — variante 07 — Zone industrielle / service déplacé à l’arrière</x:v>
      </x:c>
      <x:c r="F2895" t="n">
        <x:v>8</x:v>
      </x:c>
      <x:c r="G2895" t="n">
        <x:v>5</x:v>
      </x:c>
      <x:c r="H2895" t="n">
        <x:v>0</x:v>
      </x:c>
      <x:c r="I2895" t="str">
        <x:v>À qualifier par lieu</x:v>
      </x:c>
      <x:c r="J2895" t="str">
        <x:v>https://github.com/darknigthmare/deadwall-last-enclosure/blob/1b3b9c5ba232734b1bda3453b4e20a0481bcdd74/codex-3000/compositions/ruines/DW-2890.md</x:v>
      </x:c>
      <x:c r="K2895" t="str">
        <x:v>Source min 70,51 m ; max 70,51 m ; modèle 70 × 51 m ; niveaux 0, 1. Détails dans catalogue-existant.json.</x:v>
      </x:c>
    </x:row>
    <x:row r="2896">
      <x:c r="A2896" t="str">
        <x:v>DW-2891</x:v>
      </x:c>
      <x:c r="B2896" t="str">
        <x:v>DW-0946</x:v>
      </x:c>
      <x:c r="C2896" t="str">
        <x:v>Composition héritée</x:v>
      </x:c>
      <x:c r="D2896" t="str">
        <x:v>ruines</x:v>
      </x:c>
      <x:c r="E2896" t="str">
        <x:v>Lotissement ravagé — variante 07 — Centre ancien / arrêt de maintenance</x:v>
      </x:c>
      <x:c r="F2896" t="n">
        <x:v>8</x:v>
      </x:c>
      <x:c r="G2896" t="n">
        <x:v>4</x:v>
      </x:c>
      <x:c r="H2896" t="n">
        <x:v>0</x:v>
      </x:c>
      <x:c r="I2896" t="str">
        <x:v>À qualifier par lieu</x:v>
      </x:c>
      <x:c r="J2896" t="str">
        <x:v>https://github.com/darknigthmare/deadwall-last-enclosure/blob/1b3b9c5ba232734b1bda3453b4e20a0481bcdd74/codex-3000/compositions/ruines/DW-2891.md</x:v>
      </x:c>
      <x:c r="K2896" t="str">
        <x:v>Source min 81,14 m ; max 81,14 m ; modèle 78 × 18 m ; niveaux 0. Détails dans catalogue-existant.json.</x:v>
      </x:c>
    </x:row>
    <x:row r="2897">
      <x:c r="A2897" t="str">
        <x:v>DW-2892</x:v>
      </x:c>
      <x:c r="B2897" t="str">
        <x:v>DW-0946</x:v>
      </x:c>
      <x:c r="C2897" t="str">
        <x:v>Composition héritée</x:v>
      </x:c>
      <x:c r="D2897" t="str">
        <x:v>ruines</x:v>
      </x:c>
      <x:c r="E2897" t="str">
        <x:v>Lotissement ravagé — variante 07 — Petit bois et lisière / reprise progressive de la végétation</x:v>
      </x:c>
      <x:c r="F2897" t="n">
        <x:v>8</x:v>
      </x:c>
      <x:c r="G2897" t="n">
        <x:v>4</x:v>
      </x:c>
      <x:c r="H2897" t="n">
        <x:v>0</x:v>
      </x:c>
      <x:c r="I2897" t="str">
        <x:v>À qualifier par lieu</x:v>
      </x:c>
      <x:c r="J2897" t="str">
        <x:v>https://github.com/darknigthmare/deadwall-last-enclosure/blob/1b3b9c5ba232734b1bda3453b4e20a0481bcdd74/codex-3000/compositions/ruines/DW-2892.md</x:v>
      </x:c>
      <x:c r="K2897" t="str">
        <x:v>Source min 81,14 m ; max 81,14 m ; modèle 78 × 18 m ; niveaux 0. Détails dans catalogue-existant.json.</x:v>
      </x:c>
    </x:row>
    <x:row r="2898">
      <x:c r="A2898" t="str">
        <x:v>DW-2893</x:v>
      </x:c>
      <x:c r="B2898" t="str">
        <x:v>DW-0947</x:v>
      </x:c>
      <x:c r="C2898" t="str">
        <x:v>Composition héritée</x:v>
      </x:c>
      <x:c r="D2898" t="str">
        <x:v>ruines</x:v>
      </x:c>
      <x:c r="E2898" t="str">
        <x:v>Village déserté — variante 07 — Zone industrielle / première récupération passée</x:v>
      </x:c>
      <x:c r="F2898" t="n">
        <x:v>8</x:v>
      </x:c>
      <x:c r="G2898" t="n">
        <x:v>5</x:v>
      </x:c>
      <x:c r="H2898" t="n">
        <x:v>0</x:v>
      </x:c>
      <x:c r="I2898" t="str">
        <x:v>À qualifier par lieu</x:v>
      </x:c>
      <x:c r="J2898" t="str">
        <x:v>https://github.com/darknigthmare/deadwall-last-enclosure/blob/1b3b9c5ba232734b1bda3453b4e20a0481bcdd74/codex-3000/compositions/ruines/DW-2893.md</x:v>
      </x:c>
      <x:c r="K2898" t="str">
        <x:v>Source min 20,31 m ; max 20,31 m ; modèle 26 × 31 m ; niveaux 0. Détails dans catalogue-existant.json.</x:v>
      </x:c>
    </x:row>
    <x:row r="2899">
      <x:c r="A2899" t="str">
        <x:v>DW-2894</x:v>
      </x:c>
      <x:c r="B2899" t="str">
        <x:v>DW-0947</x:v>
      </x:c>
      <x:c r="C2899" t="str">
        <x:v>Composition héritée</x:v>
      </x:c>
      <x:c r="D2899" t="str">
        <x:v>ruines</x:v>
      </x:c>
      <x:c r="E2899" t="str">
        <x:v>Village déserté — variante 07 — Ruine envahie et reprise végétale / relais temporaire envisagé</x:v>
      </x:c>
      <x:c r="F2899" t="n">
        <x:v>8</x:v>
      </x:c>
      <x:c r="G2899" t="n">
        <x:v>5</x:v>
      </x:c>
      <x:c r="H2899" t="n">
        <x:v>0</x:v>
      </x:c>
      <x:c r="I2899" t="str">
        <x:v>À qualifier par lieu</x:v>
      </x:c>
      <x:c r="J2899" t="str">
        <x:v>https://github.com/darknigthmare/deadwall-last-enclosure/blob/1b3b9c5ba232734b1bda3453b4e20a0481bcdd74/codex-3000/compositions/ruines/DW-2894.md</x:v>
      </x:c>
      <x:c r="K2899" t="str">
        <x:v>Source min 20,31 m ; max 20,31 m ; modèle 26 × 31 m ; niveaux 0. Détails dans catalogue-existant.json.</x:v>
      </x:c>
    </x:row>
    <x:row r="2900">
      <x:c r="A2900" t="str">
        <x:v>DW-2895</x:v>
      </x:c>
      <x:c r="B2900" t="str">
        <x:v>DW-0948</x:v>
      </x:c>
      <x:c r="C2900" t="str">
        <x:v>Composition héritée</x:v>
      </x:c>
      <x:c r="D2900" t="str">
        <x:v>ruines</x:v>
      </x:c>
      <x:c r="E2900" t="str">
        <x:v>Centre commercial effondré — variante 07 — Petit bois et lisière / service déplacé à l’arrière</x:v>
      </x:c>
      <x:c r="F2900" t="n">
        <x:v>8</x:v>
      </x:c>
      <x:c r="G2900" t="n">
        <x:v>5</x:v>
      </x:c>
      <x:c r="H2900" t="n">
        <x:v>0</x:v>
      </x:c>
      <x:c r="I2900" t="str">
        <x:v>À qualifier par lieu</x:v>
      </x:c>
      <x:c r="J2900" t="str">
        <x:v>https://github.com/darknigthmare/deadwall-last-enclosure/blob/1b3b9c5ba232734b1bda3453b4e20a0481bcdd74/codex-3000/compositions/ruines/DW-2895.md</x:v>
      </x:c>
      <x:c r="K2900" t="str">
        <x:v>Source min 31,48 m ; max 31,48 m ; modèle 31 × 48 m ; niveaux 0. Détails dans catalogue-existant.json.</x:v>
      </x:c>
    </x:row>
    <x:row r="2901">
      <x:c r="A2901" t="str">
        <x:v>DW-2896</x:v>
      </x:c>
      <x:c r="B2901" t="str">
        <x:v>DW-0948</x:v>
      </x:c>
      <x:c r="C2901" t="str">
        <x:v>Composition héritée</x:v>
      </x:c>
      <x:c r="D2901" t="str">
        <x:v>ruines</x:v>
      </x:c>
      <x:c r="E2901" t="str">
        <x:v>Centre commercial effondré — variante 07 — Centre ancien / réseau principal coupé</x:v>
      </x:c>
      <x:c r="F2901" t="n">
        <x:v>8</x:v>
      </x:c>
      <x:c r="G2901" t="n">
        <x:v>5</x:v>
      </x:c>
      <x:c r="H2901" t="n">
        <x:v>0</x:v>
      </x:c>
      <x:c r="I2901" t="str">
        <x:v>À qualifier par lieu</x:v>
      </x:c>
      <x:c r="J2901" t="str">
        <x:v>https://github.com/darknigthmare/deadwall-last-enclosure/blob/1b3b9c5ba232734b1bda3453b4e20a0481bcdd74/codex-3000/compositions/ruines/DW-2896.md</x:v>
      </x:c>
      <x:c r="K2901" t="str">
        <x:v>Source min 31,48 m ; max 31,48 m ; modèle 31 × 48 m ; niveaux 0. Détails dans catalogue-existant.json.</x:v>
      </x:c>
    </x:row>
    <x:row r="2902">
      <x:c r="A2902" t="str">
        <x:v>DW-2897</x:v>
      </x:c>
      <x:c r="B2902" t="str">
        <x:v>DW-0949</x:v>
      </x:c>
      <x:c r="C2902" t="str">
        <x:v>Composition héritée</x:v>
      </x:c>
      <x:c r="D2902" t="str">
        <x:v>habitat</x:v>
      </x:c>
      <x:c r="E2902" t="str">
        <x:v>Maison de lotissement — variante 08 — Quartier pavillonnaire / reprise progressive de la végétation</x:v>
      </x:c>
      <x:c r="F2902" t="n">
        <x:v>8</x:v>
      </x:c>
      <x:c r="G2902" t="n">
        <x:v>5</x:v>
      </x:c>
      <x:c r="H2902" t="n">
        <x:v>0</x:v>
      </x:c>
      <x:c r="I2902" t="str">
        <x:v>À qualifier par lieu</x:v>
      </x:c>
      <x:c r="J2902" t="str">
        <x:v>https://github.com/darknigthmare/deadwall-last-enclosure/blob/1b3b9c5ba232734b1bda3453b4e20a0481bcdd74/codex-3000/compositions/habitat/DW-2897.md</x:v>
      </x:c>
      <x:c r="K2902" t="str">
        <x:v>Source min 42,11 m ; max 42,11 m ; modèle 42 × 22 m ; niveaux 0, 1. Détails dans catalogue-existant.json.</x:v>
      </x:c>
    </x:row>
    <x:row r="2903">
      <x:c r="A2903" t="str">
        <x:v>DW-2898</x:v>
      </x:c>
      <x:c r="B2903" t="str">
        <x:v>DW-0949</x:v>
      </x:c>
      <x:c r="C2903" t="str">
        <x:v>Composition héritée</x:v>
      </x:c>
      <x:c r="D2903" t="str">
        <x:v>habitat</x:v>
      </x:c>
      <x:c r="E2903" t="str">
        <x:v>Maison de lotissement — variante 08 — Village et bourg / repli organisé interrompu</x:v>
      </x:c>
      <x:c r="F2903" t="n">
        <x:v>8</x:v>
      </x:c>
      <x:c r="G2903" t="n">
        <x:v>5</x:v>
      </x:c>
      <x:c r="H2903" t="n">
        <x:v>0</x:v>
      </x:c>
      <x:c r="I2903" t="str">
        <x:v>À qualifier par lieu</x:v>
      </x:c>
      <x:c r="J2903" t="str">
        <x:v>https://github.com/darknigthmare/deadwall-last-enclosure/blob/1b3b9c5ba232734b1bda3453b4e20a0481bcdd74/codex-3000/compositions/habitat/DW-2898.md</x:v>
      </x:c>
      <x:c r="K2903" t="str">
        <x:v>Source min 42,11 m ; max 42,11 m ; modèle 42 × 22 m ; niveaux 0, 1. Détails dans catalogue-existant.json.</x:v>
      </x:c>
    </x:row>
    <x:row r="2904">
      <x:c r="A2904" t="str">
        <x:v>DW-2899</x:v>
      </x:c>
      <x:c r="B2904" t="str">
        <x:v>DW-0950</x:v>
      </x:c>
      <x:c r="C2904" t="str">
        <x:v>Composition héritée</x:v>
      </x:c>
      <x:c r="D2904" t="str">
        <x:v>habitat</x:v>
      </x:c>
      <x:c r="E2904" t="str">
        <x:v>Maison mitoyenne — variante 08 — Hameau / relais temporaire envisagé</x:v>
      </x:c>
      <x:c r="F2904" t="n">
        <x:v>8</x:v>
      </x:c>
      <x:c r="G2904" t="n">
        <x:v>5</x:v>
      </x:c>
      <x:c r="H2904" t="n">
        <x:v>0</x:v>
      </x:c>
      <x:c r="I2904" t="str">
        <x:v>À qualifier par lieu</x:v>
      </x:c>
      <x:c r="J2904" t="str">
        <x:v>https://github.com/darknigthmare/deadwall-last-enclosure/blob/1b3b9c5ba232734b1bda3453b4e20a0481bcdd74/codex-3000/compositions/habitat/DW-2899.md</x:v>
      </x:c>
      <x:c r="K2904" t="str">
        <x:v>Source min 53,28 m ; max 53,28 m ; modèle 53 × 28 m ; niveaux 0. Détails dans catalogue-existant.json.</x:v>
      </x:c>
    </x:row>
    <x:row r="2905">
      <x:c r="A2905" t="str">
        <x:v>DW-2900</x:v>
      </x:c>
      <x:c r="B2905" t="str">
        <x:v>DW-0950</x:v>
      </x:c>
      <x:c r="C2905" t="str">
        <x:v>Composition héritée</x:v>
      </x:c>
      <x:c r="D2905" t="str">
        <x:v>habitat</x:v>
      </x:c>
      <x:c r="E2905" t="str">
        <x:v>Maison mitoyenne — variante 08 — Quartier collectif / évacuation interrompue</x:v>
      </x:c>
      <x:c r="F2905" t="n">
        <x:v>8</x:v>
      </x:c>
      <x:c r="G2905" t="n">
        <x:v>5</x:v>
      </x:c>
      <x:c r="H2905" t="n">
        <x:v>0</x:v>
      </x:c>
      <x:c r="I2905" t="str">
        <x:v>À qualifier par lieu</x:v>
      </x:c>
      <x:c r="J2905" t="str">
        <x:v>https://github.com/darknigthmare/deadwall-last-enclosure/blob/1b3b9c5ba232734b1bda3453b4e20a0481bcdd74/codex-3000/compositions/habitat/DW-2900.md</x:v>
      </x:c>
      <x:c r="K2905" t="str">
        <x:v>Source min 53,28 m ; max 53,28 m ; modèle 53 × 28 m ; niveaux 0. Détails dans catalogue-existant.json.</x:v>
      </x:c>
    </x:row>
    <x:row r="2906">
      <x:c r="A2906" t="str">
        <x:v>DW-2901</x:v>
      </x:c>
      <x:c r="B2906" t="str">
        <x:v>DW-0951</x:v>
      </x:c>
      <x:c r="C2906" t="str">
        <x:v>Composition héritée</x:v>
      </x:c>
      <x:c r="D2906" t="str">
        <x:v>habitat</x:v>
      </x:c>
      <x:c r="E2906" t="str">
        <x:v>Villa isolée — variante 08 — Village et bourg / réseau principal coupé</x:v>
      </x:c>
      <x:c r="F2906" t="n">
        <x:v>8</x:v>
      </x:c>
      <x:c r="G2906" t="n">
        <x:v>7</x:v>
      </x:c>
      <x:c r="H2906" t="n">
        <x:v>0</x:v>
      </x:c>
      <x:c r="I2906" t="str">
        <x:v>À qualifier par lieu</x:v>
      </x:c>
      <x:c r="J2906" t="str">
        <x:v>https://github.com/darknigthmare/deadwall-last-enclosure/blob/1b3b9c5ba232734b1bda3453b4e20a0481bcdd74/codex-3000/compositions/habitat/DW-2901.md</x:v>
      </x:c>
      <x:c r="K2906" t="str">
        <x:v>Source min 64,45 m ; max 64,45 m ; modèle 64 × 45 m ; niveaux 0. Détails dans catalogue-existant.json.</x:v>
      </x:c>
    </x:row>
    <x:row r="2907">
      <x:c r="A2907" t="str">
        <x:v>DW-2902</x:v>
      </x:c>
      <x:c r="B2907" t="str">
        <x:v>DW-0951</x:v>
      </x:c>
      <x:c r="C2907" t="str">
        <x:v>Composition héritée</x:v>
      </x:c>
      <x:c r="D2907" t="str">
        <x:v>habitat</x:v>
      </x:c>
      <x:c r="E2907" t="str">
        <x:v>Villa isolée — variante 08 — Quartier pavillonnaire / arrêt de maintenance</x:v>
      </x:c>
      <x:c r="F2907" t="n">
        <x:v>8</x:v>
      </x:c>
      <x:c r="G2907" t="n">
        <x:v>7</x:v>
      </x:c>
      <x:c r="H2907" t="n">
        <x:v>0</x:v>
      </x:c>
      <x:c r="I2907" t="str">
        <x:v>À qualifier par lieu</x:v>
      </x:c>
      <x:c r="J2907" t="str">
        <x:v>https://github.com/darknigthmare/deadwall-last-enclosure/blob/1b3b9c5ba232734b1bda3453b4e20a0481bcdd74/codex-3000/compositions/habitat/DW-2902.md</x:v>
      </x:c>
      <x:c r="K2907" t="str">
        <x:v>Source min 64,45 m ; max 64,45 m ; modèle 64 × 45 m ; niveaux 0. Détails dans catalogue-existant.json.</x:v>
      </x:c>
    </x:row>
    <x:row r="2908">
      <x:c r="A2908" t="str">
        <x:v>DW-2903</x:v>
      </x:c>
      <x:c r="B2908" t="str">
        <x:v>DW-0952</x:v>
      </x:c>
      <x:c r="C2908" t="str">
        <x:v>Composition héritée</x:v>
      </x:c>
      <x:c r="D2908" t="str">
        <x:v>habitat</x:v>
      </x:c>
      <x:c r="E2908" t="str">
        <x:v>Ferme familiale — variante 08 — Quartier collectif / repli organisé interrompu</x:v>
      </x:c>
      <x:c r="F2908" t="n">
        <x:v>8</x:v>
      </x:c>
      <x:c r="G2908" t="n">
        <x:v>6</x:v>
      </x:c>
      <x:c r="H2908" t="n">
        <x:v>0</x:v>
      </x:c>
      <x:c r="I2908" t="str">
        <x:v>À qualifier par lieu</x:v>
      </x:c>
      <x:c r="J2908" t="str">
        <x:v>https://github.com/darknigthmare/deadwall-last-enclosure/blob/1b3b9c5ba232734b1bda3453b4e20a0481bcdd74/codex-3000/compositions/habitat/DW-2903.md</x:v>
      </x:c>
      <x:c r="K2908" t="str">
        <x:v>Source min 75,62 m ; max 75,62 m ; modèle 75 × 62 m ; niveaux 0. Détails dans catalogue-existant.json.</x:v>
      </x:c>
    </x:row>
    <x:row r="2909">
      <x:c r="A2909" t="str">
        <x:v>DW-2904</x:v>
      </x:c>
      <x:c r="B2909" t="str">
        <x:v>DW-0952</x:v>
      </x:c>
      <x:c r="C2909" t="str">
        <x:v>Composition héritée</x:v>
      </x:c>
      <x:c r="D2909" t="str">
        <x:v>habitat</x:v>
      </x:c>
      <x:c r="E2909" t="str">
        <x:v>Ferme familiale — variante 08 — Hameau / première récupération passée</x:v>
      </x:c>
      <x:c r="F2909" t="n">
        <x:v>8</x:v>
      </x:c>
      <x:c r="G2909" t="n">
        <x:v>6</x:v>
      </x:c>
      <x:c r="H2909" t="n">
        <x:v>0</x:v>
      </x:c>
      <x:c r="I2909" t="str">
        <x:v>À qualifier par lieu</x:v>
      </x:c>
      <x:c r="J2909" t="str">
        <x:v>https://github.com/darknigthmare/deadwall-last-enclosure/blob/1b3b9c5ba232734b1bda3453b4e20a0481bcdd74/codex-3000/compositions/habitat/DW-2904.md</x:v>
      </x:c>
      <x:c r="K2909" t="str">
        <x:v>Source min 75,62 m ; max 75,62 m ; modèle 75 × 62 m ; niveaux 0. Détails dans catalogue-existant.json.</x:v>
      </x:c>
    </x:row>
    <x:row r="2910">
      <x:c r="A2910" t="str">
        <x:v>DW-2905</x:v>
      </x:c>
      <x:c r="B2910" t="str">
        <x:v>DW-0953</x:v>
      </x:c>
      <x:c r="C2910" t="str">
        <x:v>Composition héritée</x:v>
      </x:c>
      <x:c r="D2910" t="str">
        <x:v>habitat</x:v>
      </x:c>
      <x:c r="E2910" t="str">
        <x:v>Immeuble résidentiel — variante 08 — Quartier pavillonnaire / évacuation interrompue</x:v>
      </x:c>
      <x:c r="F2910" t="n">
        <x:v>8</x:v>
      </x:c>
      <x:c r="G2910" t="n">
        <x:v>5</x:v>
      </x:c>
      <x:c r="H2910" t="n">
        <x:v>0</x:v>
      </x:c>
      <x:c r="I2910" t="str">
        <x:v>À qualifier par lieu</x:v>
      </x:c>
      <x:c r="J2910" t="str">
        <x:v>https://github.com/darknigthmare/deadwall-last-enclosure/blob/1b3b9c5ba232734b1bda3453b4e20a0481bcdd74/codex-3000/compositions/habitat/DW-2905.md</x:v>
      </x:c>
      <x:c r="K2910" t="str">
        <x:v>Source min 14,25 m ; max 14,25 m ; modèle 26 × 25 m ; niveaux 0, 1, 2. Détails dans catalogue-existant.json.</x:v>
      </x:c>
    </x:row>
    <x:row r="2911">
      <x:c r="A2911" t="str">
        <x:v>DW-2906</x:v>
      </x:c>
      <x:c r="B2911" t="str">
        <x:v>DW-0953</x:v>
      </x:c>
      <x:c r="C2911" t="str">
        <x:v>Composition héritée</x:v>
      </x:c>
      <x:c r="D2911" t="str">
        <x:v>habitat</x:v>
      </x:c>
      <x:c r="E2911" t="str">
        <x:v>Immeuble résidentiel — variante 08 — Village et bourg / service déplacé à l’arrière</x:v>
      </x:c>
      <x:c r="F2911" t="n">
        <x:v>8</x:v>
      </x:c>
      <x:c r="G2911" t="n">
        <x:v>5</x:v>
      </x:c>
      <x:c r="H2911" t="n">
        <x:v>0</x:v>
      </x:c>
      <x:c r="I2911" t="str">
        <x:v>À qualifier par lieu</x:v>
      </x:c>
      <x:c r="J2911" t="str">
        <x:v>https://github.com/darknigthmare/deadwall-last-enclosure/blob/1b3b9c5ba232734b1bda3453b4e20a0481bcdd74/codex-3000/compositions/habitat/DW-2906.md</x:v>
      </x:c>
      <x:c r="K2911" t="str">
        <x:v>Source min 14,25 m ; max 14,25 m ; modèle 26 × 25 m ; niveaux 0, 1, 2. Détails dans catalogue-existant.json.</x:v>
      </x:c>
    </x:row>
    <x:row r="2912">
      <x:c r="A2912" t="str">
        <x:v>DW-2907</x:v>
      </x:c>
      <x:c r="B2912" t="str">
        <x:v>DW-0954</x:v>
      </x:c>
      <x:c r="C2912" t="str">
        <x:v>Composition héritée</x:v>
      </x:c>
      <x:c r="D2912" t="str">
        <x:v>habitat</x:v>
      </x:c>
      <x:c r="E2912" t="str">
        <x:v>Barre de logements — variante 08 — Hameau / arrêt de maintenance</x:v>
      </x:c>
      <x:c r="F2912" t="n">
        <x:v>8</x:v>
      </x:c>
      <x:c r="G2912" t="n">
        <x:v>5</x:v>
      </x:c>
      <x:c r="H2912" t="n">
        <x:v>0</x:v>
      </x:c>
      <x:c r="I2912" t="str">
        <x:v>À qualifier par lieu</x:v>
      </x:c>
      <x:c r="J2912" t="str">
        <x:v>https://github.com/darknigthmare/deadwall-last-enclosure/blob/1b3b9c5ba232734b1bda3453b4e20a0481bcdd74/codex-3000/compositions/habitat/DW-2907.md</x:v>
      </x:c>
      <x:c r="K2912" t="str">
        <x:v>Source min 25,42 m ; max 25,42 m ; modèle 26 × 42 m ; niveaux 0, 1. Détails dans catalogue-existant.json.</x:v>
      </x:c>
    </x:row>
    <x:row r="2913">
      <x:c r="A2913" t="str">
        <x:v>DW-2908</x:v>
      </x:c>
      <x:c r="B2913" t="str">
        <x:v>DW-0954</x:v>
      </x:c>
      <x:c r="C2913" t="str">
        <x:v>Composition héritée</x:v>
      </x:c>
      <x:c r="D2913" t="str">
        <x:v>habitat</x:v>
      </x:c>
      <x:c r="E2913" t="str">
        <x:v>Barre de logements — variante 08 — Quartier collectif / reprise progressive de la végétation</x:v>
      </x:c>
      <x:c r="F2913" t="n">
        <x:v>8</x:v>
      </x:c>
      <x:c r="G2913" t="n">
        <x:v>5</x:v>
      </x:c>
      <x:c r="H2913" t="n">
        <x:v>0</x:v>
      </x:c>
      <x:c r="I2913" t="str">
        <x:v>À qualifier par lieu</x:v>
      </x:c>
      <x:c r="J2913" t="str">
        <x:v>https://github.com/darknigthmare/deadwall-last-enclosure/blob/1b3b9c5ba232734b1bda3453b4e20a0481bcdd74/codex-3000/compositions/habitat/DW-2908.md</x:v>
      </x:c>
      <x:c r="K2913" t="str">
        <x:v>Source min 25,42 m ; max 25,42 m ; modèle 26 × 42 m ; niveaux 0, 1. Détails dans catalogue-existant.json.</x:v>
      </x:c>
    </x:row>
    <x:row r="2914">
      <x:c r="A2914" t="str">
        <x:v>DW-2909</x:v>
      </x:c>
      <x:c r="B2914" t="str">
        <x:v>DW-0955</x:v>
      </x:c>
      <x:c r="C2914" t="str">
        <x:v>Composition héritée</x:v>
      </x:c>
      <x:c r="D2914" t="str">
        <x:v>habitat</x:v>
      </x:c>
      <x:c r="E2914" t="str">
        <x:v>Résidence senior — variante 08 — Village et bourg / première récupération passée</x:v>
      </x:c>
      <x:c r="F2914" t="n">
        <x:v>8</x:v>
      </x:c>
      <x:c r="G2914" t="n">
        <x:v>5</x:v>
      </x:c>
      <x:c r="H2914" t="n">
        <x:v>0</x:v>
      </x:c>
      <x:c r="I2914" t="str">
        <x:v>À qualifier par lieu</x:v>
      </x:c>
      <x:c r="J2914" t="str">
        <x:v>https://github.com/darknigthmare/deadwall-last-enclosure/blob/1b3b9c5ba232734b1bda3453b4e20a0481bcdd74/codex-3000/compositions/habitat/DW-2909.md</x:v>
      </x:c>
      <x:c r="K2914" t="str">
        <x:v>Source min 36,59 m ; max 36,59 m ; modèle 36 × 59 m ; niveaux 0, 1, 2. Détails dans catalogue-existant.json.</x:v>
      </x:c>
    </x:row>
    <x:row r="2915">
      <x:c r="A2915" t="str">
        <x:v>DW-2910</x:v>
      </x:c>
      <x:c r="B2915" t="str">
        <x:v>DW-0955</x:v>
      </x:c>
      <x:c r="C2915" t="str">
        <x:v>Composition héritée</x:v>
      </x:c>
      <x:c r="D2915" t="str">
        <x:v>habitat</x:v>
      </x:c>
      <x:c r="E2915" t="str">
        <x:v>Résidence senior — variante 08 — Quartier pavillonnaire / relais temporaire envisagé</x:v>
      </x:c>
      <x:c r="F2915" t="n">
        <x:v>8</x:v>
      </x:c>
      <x:c r="G2915" t="n">
        <x:v>5</x:v>
      </x:c>
      <x:c r="H2915" t="n">
        <x:v>0</x:v>
      </x:c>
      <x:c r="I2915" t="str">
        <x:v>À qualifier par lieu</x:v>
      </x:c>
      <x:c r="J2915" t="str">
        <x:v>https://github.com/darknigthmare/deadwall-last-enclosure/blob/1b3b9c5ba232734b1bda3453b4e20a0481bcdd74/codex-3000/compositions/habitat/DW-2910.md</x:v>
      </x:c>
      <x:c r="K2915" t="str">
        <x:v>Source min 36,59 m ; max 36,59 m ; modèle 36 × 59 m ; niveaux 0, 1, 2. Détails dans catalogue-existant.json.</x:v>
      </x:c>
    </x:row>
    <x:row r="2916">
      <x:c r="A2916" t="str">
        <x:v>DW-2911</x:v>
      </x:c>
      <x:c r="B2916" t="str">
        <x:v>DW-0956</x:v>
      </x:c>
      <x:c r="C2916" t="str">
        <x:v>Composition héritée</x:v>
      </x:c>
      <x:c r="D2916" t="str">
        <x:v>habitat</x:v>
      </x:c>
      <x:c r="E2916" t="str">
        <x:v>Maison avec sous-sol — variante 08 — Quartier collectif / service déplacé à l’arrière</x:v>
      </x:c>
      <x:c r="F2916" t="n">
        <x:v>8</x:v>
      </x:c>
      <x:c r="G2916" t="n">
        <x:v>5</x:v>
      </x:c>
      <x:c r="H2916" t="n">
        <x:v>0</x:v>
      </x:c>
      <x:c r="I2916" t="str">
        <x:v>À qualifier par lieu</x:v>
      </x:c>
      <x:c r="J2916" t="str">
        <x:v>https://github.com/darknigthmare/deadwall-last-enclosure/blob/1b3b9c5ba232734b1bda3453b4e20a0481bcdd74/codex-3000/compositions/habitat/DW-2911.md</x:v>
      </x:c>
      <x:c r="K2916" t="str">
        <x:v>Source min 47,22 m ; max 47,22 m ; modèle 47 × 22 m ; niveaux 0. Détails dans catalogue-existant.json.</x:v>
      </x:c>
    </x:row>
    <x:row r="2917">
      <x:c r="A2917" t="str">
        <x:v>DW-2912</x:v>
      </x:c>
      <x:c r="B2917" t="str">
        <x:v>DW-0956</x:v>
      </x:c>
      <x:c r="C2917" t="str">
        <x:v>Composition héritée</x:v>
      </x:c>
      <x:c r="D2917" t="str">
        <x:v>habitat</x:v>
      </x:c>
      <x:c r="E2917" t="str">
        <x:v>Maison avec sous-sol — variante 08 — Hameau / réseau principal coupé</x:v>
      </x:c>
      <x:c r="F2917" t="n">
        <x:v>8</x:v>
      </x:c>
      <x:c r="G2917" t="n">
        <x:v>5</x:v>
      </x:c>
      <x:c r="H2917" t="n">
        <x:v>0</x:v>
      </x:c>
      <x:c r="I2917" t="str">
        <x:v>À qualifier par lieu</x:v>
      </x:c>
      <x:c r="J2917" t="str">
        <x:v>https://github.com/darknigthmare/deadwall-last-enclosure/blob/1b3b9c5ba232734b1bda3453b4e20a0481bcdd74/codex-3000/compositions/habitat/DW-2912.md</x:v>
      </x:c>
      <x:c r="K2917" t="str">
        <x:v>Source min 47,22 m ; max 47,22 m ; modèle 47 × 22 m ; niveaux 0. Détails dans catalogue-existant.json.</x:v>
      </x:c>
    </x:row>
    <x:row r="2918">
      <x:c r="A2918" t="str">
        <x:v>DW-2913</x:v>
      </x:c>
      <x:c r="B2918" t="str">
        <x:v>DW-0957</x:v>
      </x:c>
      <x:c r="C2918" t="str">
        <x:v>Composition héritée</x:v>
      </x:c>
      <x:c r="D2918" t="str">
        <x:v>commerce</x:v>
      </x:c>
      <x:c r="E2918" t="str">
        <x:v>Supérette — variante 08 — Zone commerciale / reprise progressive de la végétation</x:v>
      </x:c>
      <x:c r="F2918" t="n">
        <x:v>8</x:v>
      </x:c>
      <x:c r="G2918" t="n">
        <x:v>5</x:v>
      </x:c>
      <x:c r="H2918" t="n">
        <x:v>0</x:v>
      </x:c>
      <x:c r="I2918" t="str">
        <x:v>À qualifier par lieu</x:v>
      </x:c>
      <x:c r="J2918" t="str">
        <x:v>https://github.com/darknigthmare/deadwall-last-enclosure/blob/1b3b9c5ba232734b1bda3453b4e20a0481bcdd74/codex-3000/compositions/commerce/DW-2913.md</x:v>
      </x:c>
      <x:c r="K2918" t="str">
        <x:v>Source min 58,39 m ; max 58,39 m ; modèle 58 × 39 m ; niveaux 0, 1. Détails dans catalogue-existant.json.</x:v>
      </x:c>
    </x:row>
    <x:row r="2919">
      <x:c r="A2919" t="str">
        <x:v>DW-2914</x:v>
      </x:c>
      <x:c r="B2919" t="str">
        <x:v>DW-0957</x:v>
      </x:c>
      <x:c r="C2919" t="str">
        <x:v>Composition héritée</x:v>
      </x:c>
      <x:c r="D2919" t="str">
        <x:v>commerce</x:v>
      </x:c>
      <x:c r="E2919" t="str">
        <x:v>Supérette — variante 08 — Village et bourg / repli organisé interrompu</x:v>
      </x:c>
      <x:c r="F2919" t="n">
        <x:v>8</x:v>
      </x:c>
      <x:c r="G2919" t="n">
        <x:v>5</x:v>
      </x:c>
      <x:c r="H2919" t="n">
        <x:v>0</x:v>
      </x:c>
      <x:c r="I2919" t="str">
        <x:v>À qualifier par lieu</x:v>
      </x:c>
      <x:c r="J2919" t="str">
        <x:v>https://github.com/darknigthmare/deadwall-last-enclosure/blob/1b3b9c5ba232734b1bda3453b4e20a0481bcdd74/codex-3000/compositions/commerce/DW-2914.md</x:v>
      </x:c>
      <x:c r="K2919" t="str">
        <x:v>Source min 58,39 m ; max 58,39 m ; modèle 58 × 39 m ; niveaux 0, 1. Détails dans catalogue-existant.json.</x:v>
      </x:c>
    </x:row>
    <x:row r="2920">
      <x:c r="A2920" t="str">
        <x:v>DW-2915</x:v>
      </x:c>
      <x:c r="B2920" t="str">
        <x:v>DW-0958</x:v>
      </x:c>
      <x:c r="C2920" t="str">
        <x:v>Composition héritée</x:v>
      </x:c>
      <x:c r="D2920" t="str">
        <x:v>commerce</x:v>
      </x:c>
      <x:c r="E2920" t="str">
        <x:v>Centre commercial — variante 08 — Ville moyenne / relais temporaire envisagé</x:v>
      </x:c>
      <x:c r="F2920" t="n">
        <x:v>8</x:v>
      </x:c>
      <x:c r="G2920" t="n">
        <x:v>6</x:v>
      </x:c>
      <x:c r="H2920" t="n">
        <x:v>0</x:v>
      </x:c>
      <x:c r="I2920" t="str">
        <x:v>À qualifier par lieu</x:v>
      </x:c>
      <x:c r="J2920" t="str">
        <x:v>https://github.com/darknigthmare/deadwall-last-enclosure/blob/1b3b9c5ba232734b1bda3453b4e20a0481bcdd74/codex-3000/compositions/commerce/DW-2915.md</x:v>
      </x:c>
      <x:c r="K2920" t="str">
        <x:v>Source min 69,56 m ; max 69,56 m ; modèle 69 × 56 m ; niveaux 0. Détails dans catalogue-existant.json.</x:v>
      </x:c>
    </x:row>
    <x:row r="2921">
      <x:c r="A2921" t="str">
        <x:v>DW-2916</x:v>
      </x:c>
      <x:c r="B2921" t="str">
        <x:v>DW-0958</x:v>
      </x:c>
      <x:c r="C2921" t="str">
        <x:v>Composition héritée</x:v>
      </x:c>
      <x:c r="D2921" t="str">
        <x:v>commerce</x:v>
      </x:c>
      <x:c r="E2921" t="str">
        <x:v>Centre commercial — variante 08 — Grande ville et métropole / évacuation interrompue</x:v>
      </x:c>
      <x:c r="F2921" t="n">
        <x:v>8</x:v>
      </x:c>
      <x:c r="G2921" t="n">
        <x:v>6</x:v>
      </x:c>
      <x:c r="H2921" t="n">
        <x:v>0</x:v>
      </x:c>
      <x:c r="I2921" t="str">
        <x:v>À qualifier par lieu</x:v>
      </x:c>
      <x:c r="J2921" t="str">
        <x:v>https://github.com/darknigthmare/deadwall-last-enclosure/blob/1b3b9c5ba232734b1bda3453b4e20a0481bcdd74/codex-3000/compositions/commerce/DW-2916.md</x:v>
      </x:c>
      <x:c r="K2921" t="str">
        <x:v>Source min 69,56 m ; max 69,56 m ; modèle 69 × 56 m ; niveaux 0. Détails dans catalogue-existant.json.</x:v>
      </x:c>
    </x:row>
    <x:row r="2922">
      <x:c r="A2922" t="str">
        <x:v>DW-2917</x:v>
      </x:c>
      <x:c r="B2922" t="str">
        <x:v>DW-0959</x:v>
      </x:c>
      <x:c r="C2922" t="str">
        <x:v>Composition héritée</x:v>
      </x:c>
      <x:c r="D2922" t="str">
        <x:v>commerce</x:v>
      </x:c>
      <x:c r="E2922" t="str">
        <x:v>Supermarché — variante 08 — Village et bourg / réseau principal coupé</x:v>
      </x:c>
      <x:c r="F2922" t="n">
        <x:v>8</x:v>
      </x:c>
      <x:c r="G2922" t="n">
        <x:v>7</x:v>
      </x:c>
      <x:c r="H2922" t="n">
        <x:v>0</x:v>
      </x:c>
      <x:c r="I2922" t="str">
        <x:v>À qualifier par lieu</x:v>
      </x:c>
      <x:c r="J2922" t="str">
        <x:v>https://github.com/darknigthmare/deadwall-last-enclosure/blob/1b3b9c5ba232734b1bda3453b4e20a0481bcdd74/codex-3000/compositions/commerce/DW-2917.md</x:v>
      </x:c>
      <x:c r="K2922" t="str">
        <x:v>Source min 80,19 m ; max 80,19 m ; modèle 78 × 29 m ; niveaux 0. Détails dans catalogue-existant.json.</x:v>
      </x:c>
    </x:row>
    <x:row r="2923">
      <x:c r="A2923" t="str">
        <x:v>DW-2918</x:v>
      </x:c>
      <x:c r="B2923" t="str">
        <x:v>DW-0959</x:v>
      </x:c>
      <x:c r="C2923" t="str">
        <x:v>Composition héritée</x:v>
      </x:c>
      <x:c r="D2923" t="str">
        <x:v>commerce</x:v>
      </x:c>
      <x:c r="E2923" t="str">
        <x:v>Supermarché — variante 08 — Zone commerciale / arrêt de maintenance</x:v>
      </x:c>
      <x:c r="F2923" t="n">
        <x:v>8</x:v>
      </x:c>
      <x:c r="G2923" t="n">
        <x:v>7</x:v>
      </x:c>
      <x:c r="H2923" t="n">
        <x:v>0</x:v>
      </x:c>
      <x:c r="I2923" t="str">
        <x:v>À qualifier par lieu</x:v>
      </x:c>
      <x:c r="J2923" t="str">
        <x:v>https://github.com/darknigthmare/deadwall-last-enclosure/blob/1b3b9c5ba232734b1bda3453b4e20a0481bcdd74/codex-3000/compositions/commerce/DW-2918.md</x:v>
      </x:c>
      <x:c r="K2923" t="str">
        <x:v>Source min 80,19 m ; max 80,19 m ; modèle 78 × 29 m ; niveaux 0. Détails dans catalogue-existant.json.</x:v>
      </x:c>
    </x:row>
    <x:row r="2924">
      <x:c r="A2924" t="str">
        <x:v>DW-2919</x:v>
      </x:c>
      <x:c r="B2924" t="str">
        <x:v>DW-0960</x:v>
      </x:c>
      <x:c r="C2924" t="str">
        <x:v>Composition héritée</x:v>
      </x:c>
      <x:c r="D2924" t="str">
        <x:v>commerce</x:v>
      </x:c>
      <x:c r="E2924" t="str">
        <x:v>Magasin de bricolage — variante 08 — Grande ville et métropole / repli organisé interrompu</x:v>
      </x:c>
      <x:c r="F2924" t="n">
        <x:v>8</x:v>
      </x:c>
      <x:c r="G2924" t="n">
        <x:v>5</x:v>
      </x:c>
      <x:c r="H2924" t="n">
        <x:v>0</x:v>
      </x:c>
      <x:c r="I2924" t="str">
        <x:v>À qualifier par lieu</x:v>
      </x:c>
      <x:c r="J2924" t="str">
        <x:v>https://github.com/darknigthmare/deadwall-last-enclosure/blob/1b3b9c5ba232734b1bda3453b4e20a0481bcdd74/codex-3000/compositions/commerce/DW-2919.md</x:v>
      </x:c>
      <x:c r="K2924" t="str">
        <x:v>Source min 19,36 m ; max 19,36 m ; modèle 26 × 36 m ; niveaux 0. Détails dans catalogue-existant.json.</x:v>
      </x:c>
    </x:row>
    <x:row r="2925">
      <x:c r="A2925" t="str">
        <x:v>DW-2920</x:v>
      </x:c>
      <x:c r="B2925" t="str">
        <x:v>DW-0960</x:v>
      </x:c>
      <x:c r="C2925" t="str">
        <x:v>Composition héritée</x:v>
      </x:c>
      <x:c r="D2925" t="str">
        <x:v>commerce</x:v>
      </x:c>
      <x:c r="E2925" t="str">
        <x:v>Magasin de bricolage — variante 08 — Ville moyenne / première récupération passée</x:v>
      </x:c>
      <x:c r="F2925" t="n">
        <x:v>8</x:v>
      </x:c>
      <x:c r="G2925" t="n">
        <x:v>5</x:v>
      </x:c>
      <x:c r="H2925" t="n">
        <x:v>0</x:v>
      </x:c>
      <x:c r="I2925" t="str">
        <x:v>À qualifier par lieu</x:v>
      </x:c>
      <x:c r="J2925" t="str">
        <x:v>https://github.com/darknigthmare/deadwall-last-enclosure/blob/1b3b9c5ba232734b1bda3453b4e20a0481bcdd74/codex-3000/compositions/commerce/DW-2920.md</x:v>
      </x:c>
      <x:c r="K2925" t="str">
        <x:v>Source min 19,36 m ; max 19,36 m ; modèle 26 × 36 m ; niveaux 0. Détails dans catalogue-existant.json.</x:v>
      </x:c>
    </x:row>
    <x:row r="2926">
      <x:c r="A2926" t="str">
        <x:v>DW-2921</x:v>
      </x:c>
      <x:c r="B2926" t="str">
        <x:v>DW-0961</x:v>
      </x:c>
      <x:c r="C2926" t="str">
        <x:v>Composition héritée</x:v>
      </x:c>
      <x:c r="D2926" t="str">
        <x:v>commerce</x:v>
      </x:c>
      <x:c r="E2926" t="str">
        <x:v>Pharmacie — variante 08 — Zone commerciale / évacuation interrompue</x:v>
      </x:c>
      <x:c r="F2926" t="n">
        <x:v>8</x:v>
      </x:c>
      <x:c r="G2926" t="n">
        <x:v>4</x:v>
      </x:c>
      <x:c r="H2926" t="n">
        <x:v>0</x:v>
      </x:c>
      <x:c r="I2926" t="str">
        <x:v>À qualifier par lieu</x:v>
      </x:c>
      <x:c r="J2926" t="str">
        <x:v>https://github.com/darknigthmare/deadwall-last-enclosure/blob/1b3b9c5ba232734b1bda3453b4e20a0481bcdd74/codex-3000/compositions/commerce/DW-2921.md</x:v>
      </x:c>
      <x:c r="K2926" t="str">
        <x:v>Source min 30,53 m ; max 30,53 m ; modèle 30 × 53 m ; niveaux 0, 1. Détails dans catalogue-existant.json.</x:v>
      </x:c>
    </x:row>
    <x:row r="2927">
      <x:c r="A2927" t="str">
        <x:v>DW-2922</x:v>
      </x:c>
      <x:c r="B2927" t="str">
        <x:v>DW-0961</x:v>
      </x:c>
      <x:c r="C2927" t="str">
        <x:v>Composition héritée</x:v>
      </x:c>
      <x:c r="D2927" t="str">
        <x:v>commerce</x:v>
      </x:c>
      <x:c r="E2927" t="str">
        <x:v>Pharmacie — variante 08 — Village et bourg / service déplacé à l’arrière</x:v>
      </x:c>
      <x:c r="F2927" t="n">
        <x:v>8</x:v>
      </x:c>
      <x:c r="G2927" t="n">
        <x:v>4</x:v>
      </x:c>
      <x:c r="H2927" t="n">
        <x:v>0</x:v>
      </x:c>
      <x:c r="I2927" t="str">
        <x:v>À qualifier par lieu</x:v>
      </x:c>
      <x:c r="J2927" t="str">
        <x:v>https://github.com/darknigthmare/deadwall-last-enclosure/blob/1b3b9c5ba232734b1bda3453b4e20a0481bcdd74/codex-3000/compositions/commerce/DW-2922.md</x:v>
      </x:c>
      <x:c r="K2927" t="str">
        <x:v>Source min 30,53 m ; max 30,53 m ; modèle 30 × 53 m ; niveaux 0, 1. Détails dans catalogue-existant.json.</x:v>
      </x:c>
    </x:row>
    <x:row r="2928">
      <x:c r="A2928" t="str">
        <x:v>DW-2923</x:v>
      </x:c>
      <x:c r="B2928" t="str">
        <x:v>DW-0962</x:v>
      </x:c>
      <x:c r="C2928" t="str">
        <x:v>Composition héritée</x:v>
      </x:c>
      <x:c r="D2928" t="str">
        <x:v>commerce</x:v>
      </x:c>
      <x:c r="E2928" t="str">
        <x:v>Station-service — variante 08 — Ville moyenne / arrêt de maintenance</x:v>
      </x:c>
      <x:c r="F2928" t="n">
        <x:v>8</x:v>
      </x:c>
      <x:c r="G2928" t="n">
        <x:v>5</x:v>
      </x:c>
      <x:c r="H2928" t="n">
        <x:v>0</x:v>
      </x:c>
      <x:c r="I2928" t="str">
        <x:v>À qualifier par lieu</x:v>
      </x:c>
      <x:c r="J2928" t="str">
        <x:v>https://github.com/darknigthmare/deadwall-last-enclosure/blob/1b3b9c5ba232734b1bda3453b4e20a0481bcdd74/codex-3000/compositions/commerce/DW-2923.md</x:v>
      </x:c>
      <x:c r="K2928" t="str">
        <x:v>Source min 41,16 m ; max 41,16 m ; modèle 41 × 22 m ; niveaux 0. Détails dans catalogue-existant.json.</x:v>
      </x:c>
    </x:row>
    <x:row r="2929">
      <x:c r="A2929" t="str">
        <x:v>DW-2924</x:v>
      </x:c>
      <x:c r="B2929" t="str">
        <x:v>DW-0962</x:v>
      </x:c>
      <x:c r="C2929" t="str">
        <x:v>Composition héritée</x:v>
      </x:c>
      <x:c r="D2929" t="str">
        <x:v>commerce</x:v>
      </x:c>
      <x:c r="E2929" t="str">
        <x:v>Station-service — variante 08 — Grande ville et métropole / reprise progressive de la végétation</x:v>
      </x:c>
      <x:c r="F2929" t="n">
        <x:v>8</x:v>
      </x:c>
      <x:c r="G2929" t="n">
        <x:v>5</x:v>
      </x:c>
      <x:c r="H2929" t="n">
        <x:v>0</x:v>
      </x:c>
      <x:c r="I2929" t="str">
        <x:v>À qualifier par lieu</x:v>
      </x:c>
      <x:c r="J2929" t="str">
        <x:v>https://github.com/darknigthmare/deadwall-last-enclosure/blob/1b3b9c5ba232734b1bda3453b4e20a0481bcdd74/codex-3000/compositions/commerce/DW-2924.md</x:v>
      </x:c>
      <x:c r="K2929" t="str">
        <x:v>Source min 41,16 m ; max 41,16 m ; modèle 41 × 22 m ; niveaux 0. Détails dans catalogue-existant.json.</x:v>
      </x:c>
    </x:row>
    <x:row r="2930">
      <x:c r="A2930" t="str">
        <x:v>DW-2925</x:v>
      </x:c>
      <x:c r="B2930" t="str">
        <x:v>DW-0963</x:v>
      </x:c>
      <x:c r="C2930" t="str">
        <x:v>Composition héritée</x:v>
      </x:c>
      <x:c r="D2930" t="str">
        <x:v>commerce</x:v>
      </x:c>
      <x:c r="E2930" t="str">
        <x:v>Restaurant routier — variante 08 — Village et bourg / première récupération passée</x:v>
      </x:c>
      <x:c r="F2930" t="n">
        <x:v>8</x:v>
      </x:c>
      <x:c r="G2930" t="n">
        <x:v>5</x:v>
      </x:c>
      <x:c r="H2930" t="n">
        <x:v>0</x:v>
      </x:c>
      <x:c r="I2930" t="str">
        <x:v>À qualifier par lieu</x:v>
      </x:c>
      <x:c r="J2930" t="str">
        <x:v>https://github.com/darknigthmare/deadwall-last-enclosure/blob/1b3b9c5ba232734b1bda3453b4e20a0481bcdd74/codex-3000/compositions/commerce/DW-2925.md</x:v>
      </x:c>
      <x:c r="K2930" t="str">
        <x:v>Source min 52,33 m ; max 52,33 m ; modèle 52 × 33 m ; niveaux 0. Détails dans catalogue-existant.json.</x:v>
      </x:c>
    </x:row>
    <x:row r="2931">
      <x:c r="A2931" t="str">
        <x:v>DW-2926</x:v>
      </x:c>
      <x:c r="B2931" t="str">
        <x:v>DW-0963</x:v>
      </x:c>
      <x:c r="C2931" t="str">
        <x:v>Composition héritée</x:v>
      </x:c>
      <x:c r="D2931" t="str">
        <x:v>commerce</x:v>
      </x:c>
      <x:c r="E2931" t="str">
        <x:v>Restaurant routier — variante 08 — Zone commerciale / relais temporaire envisagé</x:v>
      </x:c>
      <x:c r="F2931" t="n">
        <x:v>8</x:v>
      </x:c>
      <x:c r="G2931" t="n">
        <x:v>5</x:v>
      </x:c>
      <x:c r="H2931" t="n">
        <x:v>0</x:v>
      </x:c>
      <x:c r="I2931" t="str">
        <x:v>À qualifier par lieu</x:v>
      </x:c>
      <x:c r="J2931" t="str">
        <x:v>https://github.com/darknigthmare/deadwall-last-enclosure/blob/1b3b9c5ba232734b1bda3453b4e20a0481bcdd74/codex-3000/compositions/commerce/DW-2926.md</x:v>
      </x:c>
      <x:c r="K2931" t="str">
        <x:v>Source min 52,33 m ; max 52,33 m ; modèle 52 × 33 m ; niveaux 0. Détails dans catalogue-existant.json.</x:v>
      </x:c>
    </x:row>
    <x:row r="2932">
      <x:c r="A2932" t="str">
        <x:v>DW-2927</x:v>
      </x:c>
      <x:c r="B2932" t="str">
        <x:v>DW-0964</x:v>
      </x:c>
      <x:c r="C2932" t="str">
        <x:v>Composition héritée</x:v>
      </x:c>
      <x:c r="D2932" t="str">
        <x:v>commerce</x:v>
      </x:c>
      <x:c r="E2932" t="str">
        <x:v>Hôtel — variante 08 — Grande ville et métropole / service déplacé à l’arrière</x:v>
      </x:c>
      <x:c r="F2932" t="n">
        <x:v>8</x:v>
      </x:c>
      <x:c r="G2932" t="n">
        <x:v>6</x:v>
      </x:c>
      <x:c r="H2932" t="n">
        <x:v>0</x:v>
      </x:c>
      <x:c r="I2932" t="str">
        <x:v>À qualifier par lieu</x:v>
      </x:c>
      <x:c r="J2932" t="str">
        <x:v>https://github.com/darknigthmare/deadwall-last-enclosure/blob/1b3b9c5ba232734b1bda3453b4e20a0481bcdd74/codex-3000/compositions/commerce/DW-2927.md</x:v>
      </x:c>
      <x:c r="K2932" t="str">
        <x:v>Source min 63,50 m ; max 63,50 m ; modèle 63 × 50 m ; niveaux 0. Détails dans catalogue-existant.json.</x:v>
      </x:c>
    </x:row>
    <x:row r="2933">
      <x:c r="A2933" t="str">
        <x:v>DW-2928</x:v>
      </x:c>
      <x:c r="B2933" t="str">
        <x:v>DW-0964</x:v>
      </x:c>
      <x:c r="C2933" t="str">
        <x:v>Composition héritée</x:v>
      </x:c>
      <x:c r="D2933" t="str">
        <x:v>commerce</x:v>
      </x:c>
      <x:c r="E2933" t="str">
        <x:v>Hôtel — variante 08 — Ville moyenne / réseau principal coupé</x:v>
      </x:c>
      <x:c r="F2933" t="n">
        <x:v>8</x:v>
      </x:c>
      <x:c r="G2933" t="n">
        <x:v>6</x:v>
      </x:c>
      <x:c r="H2933" t="n">
        <x:v>0</x:v>
      </x:c>
      <x:c r="I2933" t="str">
        <x:v>À qualifier par lieu</x:v>
      </x:c>
      <x:c r="J2933" t="str">
        <x:v>https://github.com/darknigthmare/deadwall-last-enclosure/blob/1b3b9c5ba232734b1bda3453b4e20a0481bcdd74/codex-3000/compositions/commerce/DW-2928.md</x:v>
      </x:c>
      <x:c r="K2933" t="str">
        <x:v>Source min 63,50 m ; max 63,50 m ; modèle 63 × 50 m ; niveaux 0. Détails dans catalogue-existant.json.</x:v>
      </x:c>
    </x:row>
    <x:row r="2934">
      <x:c r="A2934" t="str">
        <x:v>DW-2929</x:v>
      </x:c>
      <x:c r="B2934" t="str">
        <x:v>DW-0965</x:v>
      </x:c>
      <x:c r="C2934" t="str">
        <x:v>Composition héritée</x:v>
      </x:c>
      <x:c r="D2934" t="str">
        <x:v>industrie</x:v>
      </x:c>
      <x:c r="E2934" t="str">
        <x:v>Scierie — variante 08 — Zone industrielle / reprise progressive de la végétation</x:v>
      </x:c>
      <x:c r="F2934" t="n">
        <x:v>8</x:v>
      </x:c>
      <x:c r="G2934" t="n">
        <x:v>5</x:v>
      </x:c>
      <x:c r="H2934" t="n">
        <x:v>0</x:v>
      </x:c>
      <x:c r="I2934" t="str">
        <x:v>À qualifier par lieu</x:v>
      </x:c>
      <x:c r="J2934" t="str">
        <x:v>https://github.com/darknigthmare/deadwall-last-enclosure/blob/1b3b9c5ba232734b1bda3453b4e20a0481bcdd74/codex-3000/compositions/industrie/DW-2929.md</x:v>
      </x:c>
      <x:c r="K2934" t="str">
        <x:v>Source min 74,13 m ; max 74,13 m ; modèle 74 × 22 m ; niveaux 0. Détails dans catalogue-existant.json.</x:v>
      </x:c>
    </x:row>
    <x:row r="2935">
      <x:c r="A2935" t="str">
        <x:v>DW-2930</x:v>
      </x:c>
      <x:c r="B2935" t="str">
        <x:v>DW-0965</x:v>
      </x:c>
      <x:c r="C2935" t="str">
        <x:v>Composition héritée</x:v>
      </x:c>
      <x:c r="D2935" t="str">
        <x:v>industrie</x:v>
      </x:c>
      <x:c r="E2935" t="str">
        <x:v>Scierie — variante 08 — Entrepôt et plateforme logistique / repli organisé interrompu</x:v>
      </x:c>
      <x:c r="F2935" t="n">
        <x:v>8</x:v>
      </x:c>
      <x:c r="G2935" t="n">
        <x:v>5</x:v>
      </x:c>
      <x:c r="H2935" t="n">
        <x:v>0</x:v>
      </x:c>
      <x:c r="I2935" t="str">
        <x:v>À qualifier par lieu</x:v>
      </x:c>
      <x:c r="J2935" t="str">
        <x:v>https://github.com/darknigthmare/deadwall-last-enclosure/blob/1b3b9c5ba232734b1bda3453b4e20a0481bcdd74/codex-3000/compositions/industrie/DW-2930.md</x:v>
      </x:c>
      <x:c r="K2935" t="str">
        <x:v>Source min 74,13 m ; max 74,13 m ; modèle 74 × 22 m ; niveaux 0. Détails dans catalogue-existant.json.</x:v>
      </x:c>
    </x:row>
    <x:row r="2936">
      <x:c r="A2936" t="str">
        <x:v>DW-2931</x:v>
      </x:c>
      <x:c r="B2936" t="str">
        <x:v>DW-0966</x:v>
      </x:c>
      <x:c r="C2936" t="str">
        <x:v>Composition héritée</x:v>
      </x:c>
      <x:c r="D2936" t="str">
        <x:v>industrie</x:v>
      </x:c>
      <x:c r="E2936" t="str">
        <x:v>Garage automobile — variante 08 — Atelier et artisanat / relais temporaire envisagé</x:v>
      </x:c>
      <x:c r="F2936" t="n">
        <x:v>8</x:v>
      </x:c>
      <x:c r="G2936" t="n">
        <x:v>5</x:v>
      </x:c>
      <x:c r="H2936" t="n">
        <x:v>0</x:v>
      </x:c>
      <x:c r="I2936" t="str">
        <x:v>À qualifier par lieu</x:v>
      </x:c>
      <x:c r="J2936" t="str">
        <x:v>https://github.com/darknigthmare/deadwall-last-enclosure/blob/1b3b9c5ba232734b1bda3453b4e20a0481bcdd74/codex-3000/compositions/industrie/DW-2931.md</x:v>
      </x:c>
      <x:c r="K2936" t="str">
        <x:v>Source min 13,30 m ; max 13,30 m ; modèle 26 × 30 m ; niveaux 0. Détails dans catalogue-existant.json.</x:v>
      </x:c>
    </x:row>
    <x:row r="2937">
      <x:c r="A2937" t="str">
        <x:v>DW-2932</x:v>
      </x:c>
      <x:c r="B2937" t="str">
        <x:v>DW-0966</x:v>
      </x:c>
      <x:c r="C2937" t="str">
        <x:v>Composition héritée</x:v>
      </x:c>
      <x:c r="D2937" t="str">
        <x:v>industrie</x:v>
      </x:c>
      <x:c r="E2937" t="str">
        <x:v>Garage automobile — variante 08 — Gare et fret / évacuation interrompue</x:v>
      </x:c>
      <x:c r="F2937" t="n">
        <x:v>10</x:v>
      </x:c>
      <x:c r="G2937" t="n">
        <x:v>5</x:v>
      </x:c>
      <x:c r="H2937" t="n">
        <x:v>0</x:v>
      </x:c>
      <x:c r="I2937" t="str">
        <x:v>À qualifier par lieu</x:v>
      </x:c>
      <x:c r="J2937" t="str">
        <x:v>https://github.com/darknigthmare/deadwall-last-enclosure/blob/1b3b9c5ba232734b1bda3453b4e20a0481bcdd74/codex-3000/compositions/industrie/DW-2932.md</x:v>
      </x:c>
      <x:c r="K2937" t="str">
        <x:v>Source min 13,30 m ; max 13,30 m ; modèle 26 × 30 m ; niveaux 0. Détails dans catalogue-existant.json.</x:v>
      </x:c>
    </x:row>
    <x:row r="2938">
      <x:c r="A2938" t="str">
        <x:v>DW-2933</x:v>
      </x:c>
      <x:c r="B2938" t="str">
        <x:v>DW-0967</x:v>
      </x:c>
      <x:c r="C2938" t="str">
        <x:v>Composition héritée</x:v>
      </x:c>
      <x:c r="D2938" t="str">
        <x:v>industrie</x:v>
      </x:c>
      <x:c r="E2938" t="str">
        <x:v>Entrepôt logistique — variante 08 — Entrepôt et plateforme logistique / réseau principal coupé</x:v>
      </x:c>
      <x:c r="F2938" t="n">
        <x:v>8</x:v>
      </x:c>
      <x:c r="G2938" t="n">
        <x:v>5</x:v>
      </x:c>
      <x:c r="H2938" t="n">
        <x:v>0</x:v>
      </x:c>
      <x:c r="I2938" t="str">
        <x:v>À qualifier par lieu</x:v>
      </x:c>
      <x:c r="J2938" t="str">
        <x:v>https://github.com/darknigthmare/deadwall-last-enclosure/blob/1b3b9c5ba232734b1bda3453b4e20a0481bcdd74/codex-3000/compositions/industrie/DW-2933.md</x:v>
      </x:c>
      <x:c r="K2938" t="str">
        <x:v>Source min 24,47 m ; max 24,47 m ; modèle 26 × 47 m ; niveaux 0. Détails dans catalogue-existant.json.</x:v>
      </x:c>
    </x:row>
    <x:row r="2939">
      <x:c r="A2939" t="str">
        <x:v>DW-2934</x:v>
      </x:c>
      <x:c r="B2939" t="str">
        <x:v>DW-0967</x:v>
      </x:c>
      <x:c r="C2939" t="str">
        <x:v>Composition héritée</x:v>
      </x:c>
      <x:c r="D2939" t="str">
        <x:v>industrie</x:v>
      </x:c>
      <x:c r="E2939" t="str">
        <x:v>Entrepôt logistique — variante 08 — Zone industrielle / arrêt de maintenance</x:v>
      </x:c>
      <x:c r="F2939" t="n">
        <x:v>8</x:v>
      </x:c>
      <x:c r="G2939" t="n">
        <x:v>5</x:v>
      </x:c>
      <x:c r="H2939" t="n">
        <x:v>0</x:v>
      </x:c>
      <x:c r="I2939" t="str">
        <x:v>À qualifier par lieu</x:v>
      </x:c>
      <x:c r="J2939" t="str">
        <x:v>https://github.com/darknigthmare/deadwall-last-enclosure/blob/1b3b9c5ba232734b1bda3453b4e20a0481bcdd74/codex-3000/compositions/industrie/DW-2934.md</x:v>
      </x:c>
      <x:c r="K2939" t="str">
        <x:v>Source min 24,47 m ; max 24,47 m ; modèle 26 × 47 m ; niveaux 0. Détails dans catalogue-existant.json.</x:v>
      </x:c>
    </x:row>
    <x:row r="2940">
      <x:c r="A2940" t="str">
        <x:v>DW-2935</x:v>
      </x:c>
      <x:c r="B2940" t="str">
        <x:v>DW-0968</x:v>
      </x:c>
      <x:c r="C2940" t="str">
        <x:v>Composition héritée</x:v>
      </x:c>
      <x:c r="D2940" t="str">
        <x:v>industrie</x:v>
      </x:c>
      <x:c r="E2940" t="str">
        <x:v>Petite usine — variante 08 — Gare et fret / repli organisé interrompu</x:v>
      </x:c>
      <x:c r="F2940" t="n">
        <x:v>10</x:v>
      </x:c>
      <x:c r="G2940" t="n">
        <x:v>5</x:v>
      </x:c>
      <x:c r="H2940" t="n">
        <x:v>0</x:v>
      </x:c>
      <x:c r="I2940" t="str">
        <x:v>À qualifier par lieu</x:v>
      </x:c>
      <x:c r="J2940" t="str">
        <x:v>https://github.com/darknigthmare/deadwall-last-enclosure/blob/1b3b9c5ba232734b1bda3453b4e20a0481bcdd74/codex-3000/compositions/industrie/DW-2935.md</x:v>
      </x:c>
      <x:c r="K2940" t="str">
        <x:v>Source min 35,10 m ; max 35,10 m ; modèle 35 × 22 m ; niveaux 0. Détails dans catalogue-existant.json.</x:v>
      </x:c>
    </x:row>
    <x:row r="2941">
      <x:c r="A2941" t="str">
        <x:v>DW-2936</x:v>
      </x:c>
      <x:c r="B2941" t="str">
        <x:v>DW-0968</x:v>
      </x:c>
      <x:c r="C2941" t="str">
        <x:v>Composition héritée</x:v>
      </x:c>
      <x:c r="D2941" t="str">
        <x:v>industrie</x:v>
      </x:c>
      <x:c r="E2941" t="str">
        <x:v>Petite usine — variante 08 — Atelier et artisanat / première récupération passée</x:v>
      </x:c>
      <x:c r="F2941" t="n">
        <x:v>8</x:v>
      </x:c>
      <x:c r="G2941" t="n">
        <x:v>5</x:v>
      </x:c>
      <x:c r="H2941" t="n">
        <x:v>0</x:v>
      </x:c>
      <x:c r="I2941" t="str">
        <x:v>À qualifier par lieu</x:v>
      </x:c>
      <x:c r="J2941" t="str">
        <x:v>https://github.com/darknigthmare/deadwall-last-enclosure/blob/1b3b9c5ba232734b1bda3453b4e20a0481bcdd74/codex-3000/compositions/industrie/DW-2936.md</x:v>
      </x:c>
      <x:c r="K2941" t="str">
        <x:v>Source min 35,10 m ; max 35,10 m ; modèle 35 × 22 m ; niveaux 0. Détails dans catalogue-existant.json.</x:v>
      </x:c>
    </x:row>
    <x:row r="2942">
      <x:c r="A2942" t="str">
        <x:v>DW-2937</x:v>
      </x:c>
      <x:c r="B2942" t="str">
        <x:v>DW-0969</x:v>
      </x:c>
      <x:c r="C2942" t="str">
        <x:v>Composition héritée</x:v>
      </x:c>
      <x:c r="D2942" t="str">
        <x:v>industrie</x:v>
      </x:c>
      <x:c r="E2942" t="str">
        <x:v>Carrière — variante 08 — Zone industrielle / évacuation interrompue</x:v>
      </x:c>
      <x:c r="F2942" t="n">
        <x:v>8</x:v>
      </x:c>
      <x:c r="G2942" t="n">
        <x:v>5</x:v>
      </x:c>
      <x:c r="H2942" t="n">
        <x:v>0</x:v>
      </x:c>
      <x:c r="I2942" t="str">
        <x:v>À qualifier par lieu</x:v>
      </x:c>
      <x:c r="J2942" t="str">
        <x:v>https://github.com/darknigthmare/deadwall-last-enclosure/blob/1b3b9c5ba232734b1bda3453b4e20a0481bcdd74/codex-3000/compositions/industrie/DW-2937.md</x:v>
      </x:c>
      <x:c r="K2942" t="str">
        <x:v>Source min 46,27 m ; max 46,27 m ; modèle 46 × 27 m ; niveaux 0. Détails dans catalogue-existant.json.</x:v>
      </x:c>
    </x:row>
    <x:row r="2943">
      <x:c r="A2943" t="str">
        <x:v>DW-2938</x:v>
      </x:c>
      <x:c r="B2943" t="str">
        <x:v>DW-0969</x:v>
      </x:c>
      <x:c r="C2943" t="str">
        <x:v>Composition héritée</x:v>
      </x:c>
      <x:c r="D2943" t="str">
        <x:v>industrie</x:v>
      </x:c>
      <x:c r="E2943" t="str">
        <x:v>Carrière — variante 08 — Entrepôt et plateforme logistique / service déplacé à l’arrière</x:v>
      </x:c>
      <x:c r="F2943" t="n">
        <x:v>8</x:v>
      </x:c>
      <x:c r="G2943" t="n">
        <x:v>5</x:v>
      </x:c>
      <x:c r="H2943" t="n">
        <x:v>0</x:v>
      </x:c>
      <x:c r="I2943" t="str">
        <x:v>À qualifier par lieu</x:v>
      </x:c>
      <x:c r="J2943" t="str">
        <x:v>https://github.com/darknigthmare/deadwall-last-enclosure/blob/1b3b9c5ba232734b1bda3453b4e20a0481bcdd74/codex-3000/compositions/industrie/DW-2938.md</x:v>
      </x:c>
      <x:c r="K2943" t="str">
        <x:v>Source min 46,27 m ; max 46,27 m ; modèle 46 × 27 m ; niveaux 0. Détails dans catalogue-existant.json.</x:v>
      </x:c>
    </x:row>
    <x:row r="2944">
      <x:c r="A2944" t="str">
        <x:v>DW-2939</x:v>
      </x:c>
      <x:c r="B2944" t="str">
        <x:v>DW-0970</x:v>
      </x:c>
      <x:c r="C2944" t="str">
        <x:v>Composition héritée</x:v>
      </x:c>
      <x:c r="D2944" t="str">
        <x:v>industrie</x:v>
      </x:c>
      <x:c r="E2944" t="str">
        <x:v>Mine — variante 08 — Atelier et artisanat / arrêt de maintenance</x:v>
      </x:c>
      <x:c r="F2944" t="n">
        <x:v>8</x:v>
      </x:c>
      <x:c r="G2944" t="n">
        <x:v>6</x:v>
      </x:c>
      <x:c r="H2944" t="n">
        <x:v>0</x:v>
      </x:c>
      <x:c r="I2944" t="str">
        <x:v>À qualifier par lieu</x:v>
      </x:c>
      <x:c r="J2944" t="str">
        <x:v>https://github.com/darknigthmare/deadwall-last-enclosure/blob/1b3b9c5ba232734b1bda3453b4e20a0481bcdd74/codex-3000/compositions/industrie/DW-2939.md</x:v>
      </x:c>
      <x:c r="K2944" t="str">
        <x:v>Source min 57,44 m ; max 57,44 m ; modèle 57 × 44 m ; niveaux 0. Détails dans catalogue-existant.json.</x:v>
      </x:c>
    </x:row>
    <x:row r="2945">
      <x:c r="A2945" t="str">
        <x:v>DW-2940</x:v>
      </x:c>
      <x:c r="B2945" t="str">
        <x:v>DW-0970</x:v>
      </x:c>
      <x:c r="C2945" t="str">
        <x:v>Composition héritée</x:v>
      </x:c>
      <x:c r="D2945" t="str">
        <x:v>industrie</x:v>
      </x:c>
      <x:c r="E2945" t="str">
        <x:v>Mine — variante 08 — Gare et fret / reprise progressive de la végétation</x:v>
      </x:c>
      <x:c r="F2945" t="n">
        <x:v>10</x:v>
      </x:c>
      <x:c r="G2945" t="n">
        <x:v>6</x:v>
      </x:c>
      <x:c r="H2945" t="n">
        <x:v>0</x:v>
      </x:c>
      <x:c r="I2945" t="str">
        <x:v>À qualifier par lieu</x:v>
      </x:c>
      <x:c r="J2945" t="str">
        <x:v>https://github.com/darknigthmare/deadwall-last-enclosure/blob/1b3b9c5ba232734b1bda3453b4e20a0481bcdd74/codex-3000/compositions/industrie/DW-2940.md</x:v>
      </x:c>
      <x:c r="K2945" t="str">
        <x:v>Source min 57,44 m ; max 57,44 m ; modèle 57 × 44 m ; niveaux 0. Détails dans catalogue-existant.json.</x:v>
      </x:c>
    </x:row>
    <x:row r="2946">
      <x:c r="A2946" t="str">
        <x:v>DW-2941</x:v>
      </x:c>
      <x:c r="B2946" t="str">
        <x:v>DW-0971</x:v>
      </x:c>
      <x:c r="C2946" t="str">
        <x:v>Composition héritée</x:v>
      </x:c>
      <x:c r="D2946" t="str">
        <x:v>industrie</x:v>
      </x:c>
      <x:c r="E2946" t="str">
        <x:v>Centrale locale — variante 08 — Entrepôt et plateforme logistique / première récupération passée</x:v>
      </x:c>
      <x:c r="F2946" t="n">
        <x:v>8</x:v>
      </x:c>
      <x:c r="G2946" t="n">
        <x:v>5</x:v>
      </x:c>
      <x:c r="H2946" t="n">
        <x:v>0</x:v>
      </x:c>
      <x:c r="I2946" t="str">
        <x:v>À qualifier par lieu</x:v>
      </x:c>
      <x:c r="J2946" t="str">
        <x:v>https://github.com/darknigthmare/deadwall-last-enclosure/blob/1b3b9c5ba232734b1bda3453b4e20a0481bcdd74/codex-3000/compositions/industrie/DW-2941.md</x:v>
      </x:c>
      <x:c r="K2946" t="str">
        <x:v>Source min 68,61 m ; max 68,61 m ; modèle 68 × 61 m ; niveaux 0. Détails dans catalogue-existant.json.</x:v>
      </x:c>
    </x:row>
    <x:row r="2947">
      <x:c r="A2947" t="str">
        <x:v>DW-2942</x:v>
      </x:c>
      <x:c r="B2947" t="str">
        <x:v>DW-0971</x:v>
      </x:c>
      <x:c r="C2947" t="str">
        <x:v>Composition héritée</x:v>
      </x:c>
      <x:c r="D2947" t="str">
        <x:v>industrie</x:v>
      </x:c>
      <x:c r="E2947" t="str">
        <x:v>Centrale locale — variante 08 — Zone industrielle / relais temporaire envisagé</x:v>
      </x:c>
      <x:c r="F2947" t="n">
        <x:v>8</x:v>
      </x:c>
      <x:c r="G2947" t="n">
        <x:v>5</x:v>
      </x:c>
      <x:c r="H2947" t="n">
        <x:v>0</x:v>
      </x:c>
      <x:c r="I2947" t="str">
        <x:v>À qualifier par lieu</x:v>
      </x:c>
      <x:c r="J2947" t="str">
        <x:v>https://github.com/darknigthmare/deadwall-last-enclosure/blob/1b3b9c5ba232734b1bda3453b4e20a0481bcdd74/codex-3000/compositions/industrie/DW-2942.md</x:v>
      </x:c>
      <x:c r="K2947" t="str">
        <x:v>Source min 68,61 m ; max 68,61 m ; modèle 68 × 61 m ; niveaux 0. Détails dans catalogue-existant.json.</x:v>
      </x:c>
    </x:row>
    <x:row r="2948">
      <x:c r="A2948" t="str">
        <x:v>DW-2943</x:v>
      </x:c>
      <x:c r="B2948" t="str">
        <x:v>DW-0972</x:v>
      </x:c>
      <x:c r="C2948" t="str">
        <x:v>Composition héritée</x:v>
      </x:c>
      <x:c r="D2948" t="str">
        <x:v>industrie</x:v>
      </x:c>
      <x:c r="E2948" t="str">
        <x:v>Station de pompage — variante 08 — Gare et fret / service déplacé à l’arrière</x:v>
      </x:c>
      <x:c r="F2948" t="n">
        <x:v>10</x:v>
      </x:c>
      <x:c r="G2948" t="n">
        <x:v>5</x:v>
      </x:c>
      <x:c r="H2948" t="n">
        <x:v>0</x:v>
      </x:c>
      <x:c r="I2948" t="str">
        <x:v>À qualifier par lieu</x:v>
      </x:c>
      <x:c r="J2948" t="str">
        <x:v>https://github.com/darknigthmare/deadwall-last-enclosure/blob/1b3b9c5ba232734b1bda3453b4e20a0481bcdd74/codex-3000/compositions/industrie/DW-2943.md</x:v>
      </x:c>
      <x:c r="K2948" t="str">
        <x:v>Source min 79,24 m ; max 79,24 m ; modèle 78 × 24 m ; niveaux 0. Détails dans catalogue-existant.json.</x:v>
      </x:c>
    </x:row>
    <x:row r="2949">
      <x:c r="A2949" t="str">
        <x:v>DW-2944</x:v>
      </x:c>
      <x:c r="B2949" t="str">
        <x:v>DW-0972</x:v>
      </x:c>
      <x:c r="C2949" t="str">
        <x:v>Composition héritée</x:v>
      </x:c>
      <x:c r="D2949" t="str">
        <x:v>industrie</x:v>
      </x:c>
      <x:c r="E2949" t="str">
        <x:v>Station de pompage — variante 08 — Atelier et artisanat / réseau principal coupé</x:v>
      </x:c>
      <x:c r="F2949" t="n">
        <x:v>8</x:v>
      </x:c>
      <x:c r="G2949" t="n">
        <x:v>5</x:v>
      </x:c>
      <x:c r="H2949" t="n">
        <x:v>0</x:v>
      </x:c>
      <x:c r="I2949" t="str">
        <x:v>À qualifier par lieu</x:v>
      </x:c>
      <x:c r="J2949" t="str">
        <x:v>https://github.com/darknigthmare/deadwall-last-enclosure/blob/1b3b9c5ba232734b1bda3453b4e20a0481bcdd74/codex-3000/compositions/industrie/DW-2944.md</x:v>
      </x:c>
      <x:c r="K2949" t="str">
        <x:v>Source min 79,24 m ; max 79,24 m ; modèle 78 × 24 m ; niveaux 0. Détails dans catalogue-existant.json.</x:v>
      </x:c>
    </x:row>
    <x:row r="2950">
      <x:c r="A2950" t="str">
        <x:v>DW-2945</x:v>
      </x:c>
      <x:c r="B2950" t="str">
        <x:v>DW-0973</x:v>
      </x:c>
      <x:c r="C2950" t="str">
        <x:v>Composition héritée</x:v>
      </x:c>
      <x:c r="D2950" t="str">
        <x:v>public</x:v>
      </x:c>
      <x:c r="E2950" t="str">
        <x:v>École — variante 08 — École, mairie et bâtiments civiques / reprise progressive de la végétation</x:v>
      </x:c>
      <x:c r="F2950" t="n">
        <x:v>8</x:v>
      </x:c>
      <x:c r="G2950" t="n">
        <x:v>5</x:v>
      </x:c>
      <x:c r="H2950" t="n">
        <x:v>0</x:v>
      </x:c>
      <x:c r="I2950" t="str">
        <x:v>À qualifier par lieu</x:v>
      </x:c>
      <x:c r="J2950" t="str">
        <x:v>https://github.com/darknigthmare/deadwall-last-enclosure/blob/1b3b9c5ba232734b1bda3453b4e20a0481bcdd74/codex-3000/compositions/public/DW-2945.md</x:v>
      </x:c>
      <x:c r="K2950" t="str">
        <x:v>Source min 18,41 m ; max 18,41 m ; modèle 26 × 41 m ; niveaux 0, 1. Détails dans catalogue-existant.json.</x:v>
      </x:c>
    </x:row>
    <x:row r="2951">
      <x:c r="A2951" t="str">
        <x:v>DW-2946</x:v>
      </x:c>
      <x:c r="B2951" t="str">
        <x:v>DW-0973</x:v>
      </x:c>
      <x:c r="C2951" t="str">
        <x:v>Composition héritée</x:v>
      </x:c>
      <x:c r="D2951" t="str">
        <x:v>public</x:v>
      </x:c>
      <x:c r="E2951" t="str">
        <x:v>École — variante 08 — Village et bourg / repli organisé interrompu</x:v>
      </x:c>
      <x:c r="F2951" t="n">
        <x:v>8</x:v>
      </x:c>
      <x:c r="G2951" t="n">
        <x:v>5</x:v>
      </x:c>
      <x:c r="H2951" t="n">
        <x:v>0</x:v>
      </x:c>
      <x:c r="I2951" t="str">
        <x:v>À qualifier par lieu</x:v>
      </x:c>
      <x:c r="J2951" t="str">
        <x:v>https://github.com/darknigthmare/deadwall-last-enclosure/blob/1b3b9c5ba232734b1bda3453b4e20a0481bcdd74/codex-3000/compositions/public/DW-2946.md</x:v>
      </x:c>
      <x:c r="K2951" t="str">
        <x:v>Source min 18,41 m ; max 18,41 m ; modèle 26 × 41 m ; niveaux 0, 1. Détails dans catalogue-existant.json.</x:v>
      </x:c>
    </x:row>
    <x:row r="2952">
      <x:c r="A2952" t="str">
        <x:v>DW-2947</x:v>
      </x:c>
      <x:c r="B2952" t="str">
        <x:v>DW-0974</x:v>
      </x:c>
      <x:c r="C2952" t="str">
        <x:v>Composition héritée</x:v>
      </x:c>
      <x:c r="D2952" t="str">
        <x:v>public</x:v>
      </x:c>
      <x:c r="E2952" t="str">
        <x:v>Mairie — variante 08 — Ville moyenne / relais temporaire envisagé</x:v>
      </x:c>
      <x:c r="F2952" t="n">
        <x:v>8</x:v>
      </x:c>
      <x:c r="G2952" t="n">
        <x:v>5</x:v>
      </x:c>
      <x:c r="H2952" t="n">
        <x:v>0</x:v>
      </x:c>
      <x:c r="I2952" t="str">
        <x:v>À qualifier par lieu</x:v>
      </x:c>
      <x:c r="J2952" t="str">
        <x:v>https://github.com/darknigthmare/deadwall-last-enclosure/blob/1b3b9c5ba232734b1bda3453b4e20a0481bcdd74/codex-3000/compositions/public/DW-2947.md</x:v>
      </x:c>
      <x:c r="K2952" t="str">
        <x:v>Source min 29,58 m ; max 29,58 m ; modèle 29 × 58 m ; niveaux 0. Détails dans catalogue-existant.json.</x:v>
      </x:c>
    </x:row>
    <x:row r="2953">
      <x:c r="A2953" t="str">
        <x:v>DW-2948</x:v>
      </x:c>
      <x:c r="B2953" t="str">
        <x:v>DW-0974</x:v>
      </x:c>
      <x:c r="C2953" t="str">
        <x:v>Composition héritée</x:v>
      </x:c>
      <x:c r="D2953" t="str">
        <x:v>public</x:v>
      </x:c>
      <x:c r="E2953" t="str">
        <x:v>Mairie — variante 08 — Centre d’évacuation abandonné / évacuation interrompue</x:v>
      </x:c>
      <x:c r="F2953" t="n">
        <x:v>8</x:v>
      </x:c>
      <x:c r="G2953" t="n">
        <x:v>5</x:v>
      </x:c>
      <x:c r="H2953" t="n">
        <x:v>0</x:v>
      </x:c>
      <x:c r="I2953" t="str">
        <x:v>À qualifier par lieu</x:v>
      </x:c>
      <x:c r="J2953" t="str">
        <x:v>https://github.com/darknigthmare/deadwall-last-enclosure/blob/1b3b9c5ba232734b1bda3453b4e20a0481bcdd74/codex-3000/compositions/public/DW-2948.md</x:v>
      </x:c>
      <x:c r="K2953" t="str">
        <x:v>Source min 29,58 m ; max 29,58 m ; modèle 29 × 58 m ; niveaux 0. Détails dans catalogue-existant.json.</x:v>
      </x:c>
    </x:row>
    <x:row r="2954">
      <x:c r="A2954" t="str">
        <x:v>DW-2949</x:v>
      </x:c>
      <x:c r="B2954" t="str">
        <x:v>DW-0975</x:v>
      </x:c>
      <x:c r="C2954" t="str">
        <x:v>Composition héritée</x:v>
      </x:c>
      <x:c r="D2954" t="str">
        <x:v>public</x:v>
      </x:c>
      <x:c r="E2954" t="str">
        <x:v>Clinique — variante 08 — Village et bourg / réseau principal coupé</x:v>
      </x:c>
      <x:c r="F2954" t="n">
        <x:v>8</x:v>
      </x:c>
      <x:c r="G2954" t="n">
        <x:v>6</x:v>
      </x:c>
      <x:c r="H2954" t="n">
        <x:v>0</x:v>
      </x:c>
      <x:c r="I2954" t="str">
        <x:v>À qualifier par lieu</x:v>
      </x:c>
      <x:c r="J2954" t="str">
        <x:v>https://github.com/darknigthmare/deadwall-last-enclosure/blob/1b3b9c5ba232734b1bda3453b4e20a0481bcdd74/codex-3000/compositions/public/DW-2949.md</x:v>
      </x:c>
      <x:c r="K2954" t="str">
        <x:v>Source min 40,21 m ; max 40,21 m ; modèle 40 × 22 m ; niveaux 0. Détails dans catalogue-existant.json.</x:v>
      </x:c>
    </x:row>
    <x:row r="2955">
      <x:c r="A2955" t="str">
        <x:v>DW-2950</x:v>
      </x:c>
      <x:c r="B2955" t="str">
        <x:v>DW-0975</x:v>
      </x:c>
      <x:c r="C2955" t="str">
        <x:v>Composition héritée</x:v>
      </x:c>
      <x:c r="D2955" t="str">
        <x:v>public</x:v>
      </x:c>
      <x:c r="E2955" t="str">
        <x:v>Clinique — variante 08 — École, mairie et bâtiments civiques / arrêt de maintenance</x:v>
      </x:c>
      <x:c r="F2955" t="n">
        <x:v>8</x:v>
      </x:c>
      <x:c r="G2955" t="n">
        <x:v>6</x:v>
      </x:c>
      <x:c r="H2955" t="n">
        <x:v>0</x:v>
      </x:c>
      <x:c r="I2955" t="str">
        <x:v>À qualifier par lieu</x:v>
      </x:c>
      <x:c r="J2955" t="str">
        <x:v>https://github.com/darknigthmare/deadwall-last-enclosure/blob/1b3b9c5ba232734b1bda3453b4e20a0481bcdd74/codex-3000/compositions/public/DW-2950.md</x:v>
      </x:c>
      <x:c r="K2955" t="str">
        <x:v>Source min 40,21 m ; max 40,21 m ; modèle 40 × 22 m ; niveaux 0. Détails dans catalogue-existant.json.</x:v>
      </x:c>
    </x:row>
    <x:row r="2956">
      <x:c r="A2956" t="str">
        <x:v>DW-2951</x:v>
      </x:c>
      <x:c r="B2956" t="str">
        <x:v>DW-0976</x:v>
      </x:c>
      <x:c r="C2956" t="str">
        <x:v>Composition héritée</x:v>
      </x:c>
      <x:c r="D2956" t="str">
        <x:v>public</x:v>
      </x:c>
      <x:c r="E2956" t="str">
        <x:v>Caserne de pompiers — variante 08 — Centre d’évacuation abandonné / repli organisé interrompu</x:v>
      </x:c>
      <x:c r="F2956" t="n">
        <x:v>8</x:v>
      </x:c>
      <x:c r="G2956" t="n">
        <x:v>6</x:v>
      </x:c>
      <x:c r="H2956" t="n">
        <x:v>0</x:v>
      </x:c>
      <x:c r="I2956" t="str">
        <x:v>À qualifier par lieu</x:v>
      </x:c>
      <x:c r="J2956" t="str">
        <x:v>https://github.com/darknigthmare/deadwall-last-enclosure/blob/1b3b9c5ba232734b1bda3453b4e20a0481bcdd74/codex-3000/compositions/public/DW-2951.md</x:v>
      </x:c>
      <x:c r="K2956" t="str">
        <x:v>Source min 51,38 m ; max 51,38 m ; modèle 51 × 38 m ; niveaux 0. Détails dans catalogue-existant.json.</x:v>
      </x:c>
    </x:row>
    <x:row r="2957">
      <x:c r="A2957" t="str">
        <x:v>DW-2952</x:v>
      </x:c>
      <x:c r="B2957" t="str">
        <x:v>DW-0976</x:v>
      </x:c>
      <x:c r="C2957" t="str">
        <x:v>Composition héritée</x:v>
      </x:c>
      <x:c r="D2957" t="str">
        <x:v>public</x:v>
      </x:c>
      <x:c r="E2957" t="str">
        <x:v>Caserne de pompiers — variante 08 — Ville moyenne / première récupération passée</x:v>
      </x:c>
      <x:c r="F2957" t="n">
        <x:v>8</x:v>
      </x:c>
      <x:c r="G2957" t="n">
        <x:v>6</x:v>
      </x:c>
      <x:c r="H2957" t="n">
        <x:v>0</x:v>
      </x:c>
      <x:c r="I2957" t="str">
        <x:v>À qualifier par lieu</x:v>
      </x:c>
      <x:c r="J2957" t="str">
        <x:v>https://github.com/darknigthmare/deadwall-last-enclosure/blob/1b3b9c5ba232734b1bda3453b4e20a0481bcdd74/codex-3000/compositions/public/DW-2952.md</x:v>
      </x:c>
      <x:c r="K2957" t="str">
        <x:v>Source min 51,38 m ; max 51,38 m ; modèle 51 × 38 m ; niveaux 0. Détails dans catalogue-existant.json.</x:v>
      </x:c>
    </x:row>
    <x:row r="2958">
      <x:c r="A2958" t="str">
        <x:v>DW-2953</x:v>
      </x:c>
      <x:c r="B2958" t="str">
        <x:v>DW-0977</x:v>
      </x:c>
      <x:c r="C2958" t="str">
        <x:v>Composition héritée</x:v>
      </x:c>
      <x:c r="D2958" t="str">
        <x:v>public</x:v>
      </x:c>
      <x:c r="E2958" t="str">
        <x:v>Poste de police — variante 08 — École, mairie et bâtiments civiques / évacuation interrompue</x:v>
      </x:c>
      <x:c r="F2958" t="n">
        <x:v>8</x:v>
      </x:c>
      <x:c r="G2958" t="n">
        <x:v>5</x:v>
      </x:c>
      <x:c r="H2958" t="n">
        <x:v>0</x:v>
      </x:c>
      <x:c r="I2958" t="str">
        <x:v>À qualifier par lieu</x:v>
      </x:c>
      <x:c r="J2958" t="str">
        <x:v>https://github.com/darknigthmare/deadwall-last-enclosure/blob/1b3b9c5ba232734b1bda3453b4e20a0481bcdd74/codex-3000/compositions/public/DW-2953.md</x:v>
      </x:c>
      <x:c r="K2958" t="str">
        <x:v>Source min 62,55 m ; max 62,55 m ; modèle 62 × 55 m ; niveaux 0, 1. Détails dans catalogue-existant.json.</x:v>
      </x:c>
    </x:row>
    <x:row r="2959">
      <x:c r="A2959" t="str">
        <x:v>DW-2954</x:v>
      </x:c>
      <x:c r="B2959" t="str">
        <x:v>DW-0977</x:v>
      </x:c>
      <x:c r="C2959" t="str">
        <x:v>Composition héritée</x:v>
      </x:c>
      <x:c r="D2959" t="str">
        <x:v>public</x:v>
      </x:c>
      <x:c r="E2959" t="str">
        <x:v>Poste de police — variante 08 — Village et bourg / service déplacé à l’arrière</x:v>
      </x:c>
      <x:c r="F2959" t="n">
        <x:v>8</x:v>
      </x:c>
      <x:c r="G2959" t="n">
        <x:v>5</x:v>
      </x:c>
      <x:c r="H2959" t="n">
        <x:v>0</x:v>
      </x:c>
      <x:c r="I2959" t="str">
        <x:v>À qualifier par lieu</x:v>
      </x:c>
      <x:c r="J2959" t="str">
        <x:v>https://github.com/darknigthmare/deadwall-last-enclosure/blob/1b3b9c5ba232734b1bda3453b4e20a0481bcdd74/codex-3000/compositions/public/DW-2954.md</x:v>
      </x:c>
      <x:c r="K2959" t="str">
        <x:v>Source min 62,55 m ; max 62,55 m ; modèle 62 × 55 m ; niveaux 0, 1. Détails dans catalogue-existant.json.</x:v>
      </x:c>
    </x:row>
    <x:row r="2960">
      <x:c r="A2960" t="str">
        <x:v>DW-2955</x:v>
      </x:c>
      <x:c r="B2960" t="str">
        <x:v>DW-0978</x:v>
      </x:c>
      <x:c r="C2960" t="str">
        <x:v>Composition héritée</x:v>
      </x:c>
      <x:c r="D2960" t="str">
        <x:v>public</x:v>
      </x:c>
      <x:c r="E2960" t="str">
        <x:v>Bibliothèque — variante 08 — Ville moyenne / arrêt de maintenance</x:v>
      </x:c>
      <x:c r="F2960" t="n">
        <x:v>8</x:v>
      </x:c>
      <x:c r="G2960" t="n">
        <x:v>5</x:v>
      </x:c>
      <x:c r="H2960" t="n">
        <x:v>0</x:v>
      </x:c>
      <x:c r="I2960" t="str">
        <x:v>À qualifier par lieu</x:v>
      </x:c>
      <x:c r="J2960" t="str">
        <x:v>https://github.com/darknigthmare/deadwall-last-enclosure/blob/1b3b9c5ba232734b1bda3453b4e20a0481bcdd74/codex-3000/compositions/public/DW-2955.md</x:v>
      </x:c>
      <x:c r="K2960" t="str">
        <x:v>Source min 73,18 m ; max 73,18 m ; modèle 73 × 22 m ; niveaux 0. Détails dans catalogue-existant.json.</x:v>
      </x:c>
    </x:row>
    <x:row r="2961">
      <x:c r="A2961" t="str">
        <x:v>DW-2956</x:v>
      </x:c>
      <x:c r="B2961" t="str">
        <x:v>DW-0978</x:v>
      </x:c>
      <x:c r="C2961" t="str">
        <x:v>Composition héritée</x:v>
      </x:c>
      <x:c r="D2961" t="str">
        <x:v>public</x:v>
      </x:c>
      <x:c r="E2961" t="str">
        <x:v>Bibliothèque — variante 08 — Centre d’évacuation abandonné / reprise progressive de la végétation</x:v>
      </x:c>
      <x:c r="F2961" t="n">
        <x:v>8</x:v>
      </x:c>
      <x:c r="G2961" t="n">
        <x:v>5</x:v>
      </x:c>
      <x:c r="H2961" t="n">
        <x:v>0</x:v>
      </x:c>
      <x:c r="I2961" t="str">
        <x:v>À qualifier par lieu</x:v>
      </x:c>
      <x:c r="J2961" t="str">
        <x:v>https://github.com/darknigthmare/deadwall-last-enclosure/blob/1b3b9c5ba232734b1bda3453b4e20a0481bcdd74/codex-3000/compositions/public/DW-2956.md</x:v>
      </x:c>
      <x:c r="K2961" t="str">
        <x:v>Source min 73,18 m ; max 73,18 m ; modèle 73 × 22 m ; niveaux 0. Détails dans catalogue-existant.json.</x:v>
      </x:c>
    </x:row>
    <x:row r="2962">
      <x:c r="A2962" t="str">
        <x:v>DW-2957</x:v>
      </x:c>
      <x:c r="B2962" t="str">
        <x:v>DW-0979</x:v>
      </x:c>
      <x:c r="C2962" t="str">
        <x:v>Composition héritée</x:v>
      </x:c>
      <x:c r="D2962" t="str">
        <x:v>public</x:v>
      </x:c>
      <x:c r="E2962" t="str">
        <x:v>Salle des fêtes — variante 08 — Village et bourg / première récupération passée</x:v>
      </x:c>
      <x:c r="F2962" t="n">
        <x:v>8</x:v>
      </x:c>
      <x:c r="G2962" t="n">
        <x:v>5</x:v>
      </x:c>
      <x:c r="H2962" t="n">
        <x:v>0</x:v>
      </x:c>
      <x:c r="I2962" t="str">
        <x:v>À qualifier par lieu</x:v>
      </x:c>
      <x:c r="J2962" t="str">
        <x:v>https://github.com/darknigthmare/deadwall-last-enclosure/blob/1b3b9c5ba232734b1bda3453b4e20a0481bcdd74/codex-3000/compositions/public/DW-2957.md</x:v>
      </x:c>
      <x:c r="K2962" t="str">
        <x:v>Source min 12,35 m ; max 12,35 m ; modèle 26 × 35 m ; niveaux 0. Détails dans catalogue-existant.json.</x:v>
      </x:c>
    </x:row>
    <x:row r="2963">
      <x:c r="A2963" t="str">
        <x:v>DW-2958</x:v>
      </x:c>
      <x:c r="B2963" t="str">
        <x:v>DW-0979</x:v>
      </x:c>
      <x:c r="C2963" t="str">
        <x:v>Composition héritée</x:v>
      </x:c>
      <x:c r="D2963" t="str">
        <x:v>public</x:v>
      </x:c>
      <x:c r="E2963" t="str">
        <x:v>Salle des fêtes — variante 08 — École, mairie et bâtiments civiques / relais temporaire envisagé</x:v>
      </x:c>
      <x:c r="F2963" t="n">
        <x:v>8</x:v>
      </x:c>
      <x:c r="G2963" t="n">
        <x:v>5</x:v>
      </x:c>
      <x:c r="H2963" t="n">
        <x:v>0</x:v>
      </x:c>
      <x:c r="I2963" t="str">
        <x:v>À qualifier par lieu</x:v>
      </x:c>
      <x:c r="J2963" t="str">
        <x:v>https://github.com/darknigthmare/deadwall-last-enclosure/blob/1b3b9c5ba232734b1bda3453b4e20a0481bcdd74/codex-3000/compositions/public/DW-2958.md</x:v>
      </x:c>
      <x:c r="K2963" t="str">
        <x:v>Source min 12,35 m ; max 12,35 m ; modèle 26 × 35 m ; niveaux 0. Détails dans catalogue-existant.json.</x:v>
      </x:c>
    </x:row>
    <x:row r="2964">
      <x:c r="A2964" t="str">
        <x:v>DW-2959</x:v>
      </x:c>
      <x:c r="B2964" t="str">
        <x:v>DW-0980</x:v>
      </x:c>
      <x:c r="C2964" t="str">
        <x:v>Composition héritée</x:v>
      </x:c>
      <x:c r="D2964" t="str">
        <x:v>public</x:v>
      </x:c>
      <x:c r="E2964" t="str">
        <x:v>Église et presbytère — variante 08 — Centre d’évacuation abandonné / service déplacé à l’arrière</x:v>
      </x:c>
      <x:c r="F2964" t="n">
        <x:v>8</x:v>
      </x:c>
      <x:c r="G2964" t="n">
        <x:v>5</x:v>
      </x:c>
      <x:c r="H2964" t="n">
        <x:v>0</x:v>
      </x:c>
      <x:c r="I2964" t="str">
        <x:v>À qualifier par lieu</x:v>
      </x:c>
      <x:c r="J2964" t="str">
        <x:v>https://github.com/darknigthmare/deadwall-last-enclosure/blob/1b3b9c5ba232734b1bda3453b4e20a0481bcdd74/codex-3000/compositions/public/DW-2959.md</x:v>
      </x:c>
      <x:c r="K2964" t="str">
        <x:v>Source min 23,52 m ; max 23,52 m ; modèle 26 × 52 m ; niveaux 0. Détails dans catalogue-existant.json.</x:v>
      </x:c>
    </x:row>
    <x:row r="2965">
      <x:c r="A2965" t="str">
        <x:v>DW-2960</x:v>
      </x:c>
      <x:c r="B2965" t="str">
        <x:v>DW-0980</x:v>
      </x:c>
      <x:c r="C2965" t="str">
        <x:v>Composition héritée</x:v>
      </x:c>
      <x:c r="D2965" t="str">
        <x:v>public</x:v>
      </x:c>
      <x:c r="E2965" t="str">
        <x:v>Église et presbytère — variante 08 — Ville moyenne / réseau principal coupé</x:v>
      </x:c>
      <x:c r="F2965" t="n">
        <x:v>8</x:v>
      </x:c>
      <x:c r="G2965" t="n">
        <x:v>5</x:v>
      </x:c>
      <x:c r="H2965" t="n">
        <x:v>0</x:v>
      </x:c>
      <x:c r="I2965" t="str">
        <x:v>À qualifier par lieu</x:v>
      </x:c>
      <x:c r="J2965" t="str">
        <x:v>https://github.com/darknigthmare/deadwall-last-enclosure/blob/1b3b9c5ba232734b1bda3453b4e20a0481bcdd74/codex-3000/compositions/public/DW-2960.md</x:v>
      </x:c>
      <x:c r="K2965" t="str">
        <x:v>Source min 23,52 m ; max 23,52 m ; modèle 26 × 52 m ; niveaux 0. Détails dans catalogue-existant.json.</x:v>
      </x:c>
    </x:row>
    <x:row r="2966">
      <x:c r="A2966" t="str">
        <x:v>DW-2961</x:v>
      </x:c>
      <x:c r="B2966" t="str">
        <x:v>DW-0981</x:v>
      </x:c>
      <x:c r="C2966" t="str">
        <x:v>Composition héritée</x:v>
      </x:c>
      <x:c r="D2966" t="str">
        <x:v>rural</x:v>
      </x:c>
      <x:c r="E2966" t="str">
        <x:v>Hameau agricole — variante 08 — Ferme, verger et pâtures / reprise progressive de la végétation</x:v>
      </x:c>
      <x:c r="F2966" t="n">
        <x:v>8</x:v>
      </x:c>
      <x:c r="G2966" t="n">
        <x:v>6</x:v>
      </x:c>
      <x:c r="H2966" t="n">
        <x:v>0</x:v>
      </x:c>
      <x:c r="I2966" t="str">
        <x:v>À qualifier par lieu</x:v>
      </x:c>
      <x:c r="J2966" t="str">
        <x:v>https://github.com/darknigthmare/deadwall-last-enclosure/blob/1b3b9c5ba232734b1bda3453b4e20a0481bcdd74/codex-3000/compositions/rural/DW-2961.md</x:v>
      </x:c>
      <x:c r="K2966" t="str">
        <x:v>Source min 34,15 m ; max 34,15 m ; modèle 34 × 22 m ; niveaux 0. Détails dans catalogue-existant.json.</x:v>
      </x:c>
    </x:row>
    <x:row r="2967">
      <x:c r="A2967" t="str">
        <x:v>DW-2962</x:v>
      </x:c>
      <x:c r="B2967" t="str">
        <x:v>DW-0981</x:v>
      </x:c>
      <x:c r="C2967" t="str">
        <x:v>Composition héritée</x:v>
      </x:c>
      <x:c r="D2967" t="str">
        <x:v>rural</x:v>
      </x:c>
      <x:c r="E2967" t="str">
        <x:v>Hameau agricole — variante 08 — Petit bois et lisière / repli organisé interrompu</x:v>
      </x:c>
      <x:c r="F2967" t="n">
        <x:v>8</x:v>
      </x:c>
      <x:c r="G2967" t="n">
        <x:v>6</x:v>
      </x:c>
      <x:c r="H2967" t="n">
        <x:v>0</x:v>
      </x:c>
      <x:c r="I2967" t="str">
        <x:v>À qualifier par lieu</x:v>
      </x:c>
      <x:c r="J2967" t="str">
        <x:v>https://github.com/darknigthmare/deadwall-last-enclosure/blob/1b3b9c5ba232734b1bda3453b4e20a0481bcdd74/codex-3000/compositions/rural/DW-2962.md</x:v>
      </x:c>
      <x:c r="K2967" t="str">
        <x:v>Source min 34,15 m ; max 34,15 m ; modèle 34 × 22 m ; niveaux 0. Détails dans catalogue-existant.json.</x:v>
      </x:c>
    </x:row>
    <x:row r="2968">
      <x:c r="A2968" t="str">
        <x:v>DW-2963</x:v>
      </x:c>
      <x:c r="B2968" t="str">
        <x:v>DW-0982</x:v>
      </x:c>
      <x:c r="C2968" t="str">
        <x:v>Composition héritée</x:v>
      </x:c>
      <x:c r="D2968" t="str">
        <x:v>rural</x:v>
      </x:c>
      <x:c r="E2968" t="str">
        <x:v>Cabane forestière — variante 08 — Prairie et friche ouverte / relais temporaire envisagé</x:v>
      </x:c>
      <x:c r="F2968" t="n">
        <x:v>8</x:v>
      </x:c>
      <x:c r="G2968" t="n">
        <x:v>4</x:v>
      </x:c>
      <x:c r="H2968" t="n">
        <x:v>0</x:v>
      </x:c>
      <x:c r="I2968" t="str">
        <x:v>À qualifier par lieu</x:v>
      </x:c>
      <x:c r="J2968" t="str">
        <x:v>https://github.com/darknigthmare/deadwall-last-enclosure/blob/1b3b9c5ba232734b1bda3453b4e20a0481bcdd74/codex-3000/compositions/rural/DW-2963.md</x:v>
      </x:c>
      <x:c r="K2968" t="str">
        <x:v>Source min 45,32 m ; max 45,32 m ; modèle 45 × 32 m ; niveaux 0. Détails dans catalogue-existant.json.</x:v>
      </x:c>
    </x:row>
    <x:row r="2969">
      <x:c r="A2969" t="str">
        <x:v>DW-2964</x:v>
      </x:c>
      <x:c r="B2969" t="str">
        <x:v>DW-0982</x:v>
      </x:c>
      <x:c r="C2969" t="str">
        <x:v>Composition héritée</x:v>
      </x:c>
      <x:c r="D2969" t="str">
        <x:v>rural</x:v>
      </x:c>
      <x:c r="E2969" t="str">
        <x:v>Cabane forestière — variante 08 — Hameau / évacuation interrompue</x:v>
      </x:c>
      <x:c r="F2969" t="n">
        <x:v>8</x:v>
      </x:c>
      <x:c r="G2969" t="n">
        <x:v>4</x:v>
      </x:c>
      <x:c r="H2969" t="n">
        <x:v>0</x:v>
      </x:c>
      <x:c r="I2969" t="str">
        <x:v>À qualifier par lieu</x:v>
      </x:c>
      <x:c r="J2969" t="str">
        <x:v>https://github.com/darknigthmare/deadwall-last-enclosure/blob/1b3b9c5ba232734b1bda3453b4e20a0481bcdd74/codex-3000/compositions/rural/DW-2964.md</x:v>
      </x:c>
      <x:c r="K2969" t="str">
        <x:v>Source min 45,32 m ; max 45,32 m ; modèle 45 × 32 m ; niveaux 0. Détails dans catalogue-existant.json.</x:v>
      </x:c>
    </x:row>
    <x:row r="2970">
      <x:c r="A2970" t="str">
        <x:v>DW-2965</x:v>
      </x:c>
      <x:c r="B2970" t="str">
        <x:v>DW-0983</x:v>
      </x:c>
      <x:c r="C2970" t="str">
        <x:v>Composition héritée</x:v>
      </x:c>
      <x:c r="D2970" t="str">
        <x:v>rural</x:v>
      </x:c>
      <x:c r="E2970" t="str">
        <x:v>Dépôt forestier — variante 08 — Petit bois et lisière / réseau principal coupé</x:v>
      </x:c>
      <x:c r="F2970" t="n">
        <x:v>8</x:v>
      </x:c>
      <x:c r="G2970" t="n">
        <x:v>5</x:v>
      </x:c>
      <x:c r="H2970" t="n">
        <x:v>0</x:v>
      </x:c>
      <x:c r="I2970" t="str">
        <x:v>À qualifier par lieu</x:v>
      </x:c>
      <x:c r="J2970" t="str">
        <x:v>https://github.com/darknigthmare/deadwall-last-enclosure/blob/1b3b9c5ba232734b1bda3453b4e20a0481bcdd74/codex-3000/compositions/rural/DW-2965.md</x:v>
      </x:c>
      <x:c r="K2970" t="str">
        <x:v>Source min 56,49 m ; max 56,49 m ; modèle 56 × 49 m ; niveaux 0. Détails dans catalogue-existant.json.</x:v>
      </x:c>
    </x:row>
    <x:row r="2971">
      <x:c r="A2971" t="str">
        <x:v>DW-2966</x:v>
      </x:c>
      <x:c r="B2971" t="str">
        <x:v>DW-0983</x:v>
      </x:c>
      <x:c r="C2971" t="str">
        <x:v>Composition héritée</x:v>
      </x:c>
      <x:c r="D2971" t="str">
        <x:v>rural</x:v>
      </x:c>
      <x:c r="E2971" t="str">
        <x:v>Dépôt forestier — variante 08 — Ferme, verger et pâtures / arrêt de maintenance</x:v>
      </x:c>
      <x:c r="F2971" t="n">
        <x:v>8</x:v>
      </x:c>
      <x:c r="G2971" t="n">
        <x:v>5</x:v>
      </x:c>
      <x:c r="H2971" t="n">
        <x:v>0</x:v>
      </x:c>
      <x:c r="I2971" t="str">
        <x:v>À qualifier par lieu</x:v>
      </x:c>
      <x:c r="J2971" t="str">
        <x:v>https://github.com/darknigthmare/deadwall-last-enclosure/blob/1b3b9c5ba232734b1bda3453b4e20a0481bcdd74/codex-3000/compositions/rural/DW-2966.md</x:v>
      </x:c>
      <x:c r="K2971" t="str">
        <x:v>Source min 56,49 m ; max 56,49 m ; modèle 56 × 49 m ; niveaux 0. Détails dans catalogue-existant.json.</x:v>
      </x:c>
    </x:row>
    <x:row r="2972">
      <x:c r="A2972" t="str">
        <x:v>DW-2967</x:v>
      </x:c>
      <x:c r="B2972" t="str">
        <x:v>DW-0984</x:v>
      </x:c>
      <x:c r="C2972" t="str">
        <x:v>Composition héritée</x:v>
      </x:c>
      <x:c r="D2972" t="str">
        <x:v>rural</x:v>
      </x:c>
      <x:c r="E2972" t="str">
        <x:v>Ferme céréalière — variante 08 — Hameau / repli organisé interrompu</x:v>
      </x:c>
      <x:c r="F2972" t="n">
        <x:v>8</x:v>
      </x:c>
      <x:c r="G2972" t="n">
        <x:v>5</x:v>
      </x:c>
      <x:c r="H2972" t="n">
        <x:v>0</x:v>
      </x:c>
      <x:c r="I2972" t="str">
        <x:v>À qualifier par lieu</x:v>
      </x:c>
      <x:c r="J2972" t="str">
        <x:v>https://github.com/darknigthmare/deadwall-last-enclosure/blob/1b3b9c5ba232734b1bda3453b4e20a0481bcdd74/codex-3000/compositions/rural/DW-2967.md</x:v>
      </x:c>
      <x:c r="K2972" t="str">
        <x:v>Source min 67,12 m ; max 67,12 m ; modèle 67 × 22 m ; niveaux 0. Détails dans catalogue-existant.json.</x:v>
      </x:c>
    </x:row>
    <x:row r="2973">
      <x:c r="A2973" t="str">
        <x:v>DW-2968</x:v>
      </x:c>
      <x:c r="B2973" t="str">
        <x:v>DW-0984</x:v>
      </x:c>
      <x:c r="C2973" t="str">
        <x:v>Composition héritée</x:v>
      </x:c>
      <x:c r="D2973" t="str">
        <x:v>rural</x:v>
      </x:c>
      <x:c r="E2973" t="str">
        <x:v>Ferme céréalière — variante 08 — Prairie et friche ouverte / première récupération passée</x:v>
      </x:c>
      <x:c r="F2973" t="n">
        <x:v>8</x:v>
      </x:c>
      <x:c r="G2973" t="n">
        <x:v>5</x:v>
      </x:c>
      <x:c r="H2973" t="n">
        <x:v>0</x:v>
      </x:c>
      <x:c r="I2973" t="str">
        <x:v>À qualifier par lieu</x:v>
      </x:c>
      <x:c r="J2973" t="str">
        <x:v>https://github.com/darknigthmare/deadwall-last-enclosure/blob/1b3b9c5ba232734b1bda3453b4e20a0481bcdd74/codex-3000/compositions/rural/DW-2968.md</x:v>
      </x:c>
      <x:c r="K2973" t="str">
        <x:v>Source min 67,12 m ; max 67,12 m ; modèle 67 × 22 m ; niveaux 0. Détails dans catalogue-existant.json.</x:v>
      </x:c>
    </x:row>
    <x:row r="2974">
      <x:c r="A2974" t="str">
        <x:v>DW-2969</x:v>
      </x:c>
      <x:c r="B2974" t="str">
        <x:v>DW-0985</x:v>
      </x:c>
      <x:c r="C2974" t="str">
        <x:v>Composition héritée</x:v>
      </x:c>
      <x:c r="D2974" t="str">
        <x:v>rural</x:v>
      </x:c>
      <x:c r="E2974" t="str">
        <x:v>Ferme d'élevage — variante 08 — Ferme, verger et pâtures / évacuation interrompue</x:v>
      </x:c>
      <x:c r="F2974" t="n">
        <x:v>8</x:v>
      </x:c>
      <x:c r="G2974" t="n">
        <x:v>5</x:v>
      </x:c>
      <x:c r="H2974" t="n">
        <x:v>0</x:v>
      </x:c>
      <x:c r="I2974" t="str">
        <x:v>À qualifier par lieu</x:v>
      </x:c>
      <x:c r="J2974" t="str">
        <x:v>https://github.com/darknigthmare/deadwall-last-enclosure/blob/1b3b9c5ba232734b1bda3453b4e20a0481bcdd74/codex-3000/compositions/rural/DW-2969.md</x:v>
      </x:c>
      <x:c r="K2974" t="str">
        <x:v>Source min 78,29 m ; max 78,29 m ; modèle 78 × 29 m ; niveaux 0. Détails dans catalogue-existant.json.</x:v>
      </x:c>
    </x:row>
    <x:row r="2975">
      <x:c r="A2975" t="str">
        <x:v>DW-2970</x:v>
      </x:c>
      <x:c r="B2975" t="str">
        <x:v>DW-0985</x:v>
      </x:c>
      <x:c r="C2975" t="str">
        <x:v>Composition héritée</x:v>
      </x:c>
      <x:c r="D2975" t="str">
        <x:v>rural</x:v>
      </x:c>
      <x:c r="E2975" t="str">
        <x:v>Ferme d'élevage — variante 08 — Petit bois et lisière / service déplacé à l’arrière</x:v>
      </x:c>
      <x:c r="F2975" t="n">
        <x:v>8</x:v>
      </x:c>
      <x:c r="G2975" t="n">
        <x:v>5</x:v>
      </x:c>
      <x:c r="H2975" t="n">
        <x:v>0</x:v>
      </x:c>
      <x:c r="I2975" t="str">
        <x:v>À qualifier par lieu</x:v>
      </x:c>
      <x:c r="J2975" t="str">
        <x:v>https://github.com/darknigthmare/deadwall-last-enclosure/blob/1b3b9c5ba232734b1bda3453b4e20a0481bcdd74/codex-3000/compositions/rural/DW-2970.md</x:v>
      </x:c>
      <x:c r="K2975" t="str">
        <x:v>Source min 78,29 m ; max 78,29 m ; modèle 78 × 29 m ; niveaux 0. Détails dans catalogue-existant.json.</x:v>
      </x:c>
    </x:row>
    <x:row r="2976">
      <x:c r="A2976" t="str">
        <x:v>DW-2971</x:v>
      </x:c>
      <x:c r="B2976" t="str">
        <x:v>DW-0986</x:v>
      </x:c>
      <x:c r="C2976" t="str">
        <x:v>Composition héritée</x:v>
      </x:c>
      <x:c r="D2976" t="str">
        <x:v>rural</x:v>
      </x:c>
      <x:c r="E2976" t="str">
        <x:v>Relais de chasse — variante 08 — Prairie et friche ouverte / arrêt de maintenance</x:v>
      </x:c>
      <x:c r="F2976" t="n">
        <x:v>8</x:v>
      </x:c>
      <x:c r="G2976" t="n">
        <x:v>4</x:v>
      </x:c>
      <x:c r="H2976" t="n">
        <x:v>0</x:v>
      </x:c>
      <x:c r="I2976" t="str">
        <x:v>À qualifier par lieu</x:v>
      </x:c>
      <x:c r="J2976" t="str">
        <x:v>https://github.com/darknigthmare/deadwall-last-enclosure/blob/1b3b9c5ba232734b1bda3453b4e20a0481bcdd74/codex-3000/compositions/rural/DW-2971.md</x:v>
      </x:c>
      <x:c r="K2976" t="str">
        <x:v>Source min 17,46 m ; max 17,46 m ; modèle 25 × 46 m ; niveaux 0. Détails dans catalogue-existant.json.</x:v>
      </x:c>
    </x:row>
    <x:row r="2977">
      <x:c r="A2977" t="str">
        <x:v>DW-2972</x:v>
      </x:c>
      <x:c r="B2977" t="str">
        <x:v>DW-0986</x:v>
      </x:c>
      <x:c r="C2977" t="str">
        <x:v>Composition héritée</x:v>
      </x:c>
      <x:c r="D2977" t="str">
        <x:v>rural</x:v>
      </x:c>
      <x:c r="E2977" t="str">
        <x:v>Relais de chasse — variante 08 — Hameau / reprise progressive de la végétation</x:v>
      </x:c>
      <x:c r="F2977" t="n">
        <x:v>8</x:v>
      </x:c>
      <x:c r="G2977" t="n">
        <x:v>4</x:v>
      </x:c>
      <x:c r="H2977" t="n">
        <x:v>0</x:v>
      </x:c>
      <x:c r="I2977" t="str">
        <x:v>À qualifier par lieu</x:v>
      </x:c>
      <x:c r="J2977" t="str">
        <x:v>https://github.com/darknigthmare/deadwall-last-enclosure/blob/1b3b9c5ba232734b1bda3453b4e20a0481bcdd74/codex-3000/compositions/rural/DW-2972.md</x:v>
      </x:c>
      <x:c r="K2977" t="str">
        <x:v>Source min 17,46 m ; max 17,46 m ; modèle 25 × 46 m ; niveaux 0. Détails dans catalogue-existant.json.</x:v>
      </x:c>
    </x:row>
    <x:row r="2978">
      <x:c r="A2978" t="str">
        <x:v>DW-2973</x:v>
      </x:c>
      <x:c r="B2978" t="str">
        <x:v>DW-0987</x:v>
      </x:c>
      <x:c r="C2978" t="str">
        <x:v>Composition héritée</x:v>
      </x:c>
      <x:c r="D2978" t="str">
        <x:v>rural</x:v>
      </x:c>
      <x:c r="E2978" t="str">
        <x:v>Moulin rural — variante 08 — Petit bois et lisière / première récupération passée</x:v>
      </x:c>
      <x:c r="F2978" t="n">
        <x:v>8</x:v>
      </x:c>
      <x:c r="G2978" t="n">
        <x:v>4</x:v>
      </x:c>
      <x:c r="H2978" t="n">
        <x:v>0</x:v>
      </x:c>
      <x:c r="I2978" t="str">
        <x:v>À qualifier par lieu</x:v>
      </x:c>
      <x:c r="J2978" t="str">
        <x:v>https://github.com/darknigthmare/deadwall-last-enclosure/blob/1b3b9c5ba232734b1bda3453b4e20a0481bcdd74/codex-3000/compositions/rural/DW-2973.md</x:v>
      </x:c>
      <x:c r="K2978" t="str">
        <x:v>Source min 28,9 m ; max 28,9 m ; modèle 28 × 18 m ; niveaux 0. Détails dans catalogue-existant.json.</x:v>
      </x:c>
    </x:row>
    <x:row r="2979">
      <x:c r="A2979" t="str">
        <x:v>DW-2974</x:v>
      </x:c>
      <x:c r="B2979" t="str">
        <x:v>DW-0987</x:v>
      </x:c>
      <x:c r="C2979" t="str">
        <x:v>Composition héritée</x:v>
      </x:c>
      <x:c r="D2979" t="str">
        <x:v>rural</x:v>
      </x:c>
      <x:c r="E2979" t="str">
        <x:v>Moulin rural — variante 08 — Ferme, verger et pâtures / relais temporaire envisagé</x:v>
      </x:c>
      <x:c r="F2979" t="n">
        <x:v>8</x:v>
      </x:c>
      <x:c r="G2979" t="n">
        <x:v>4</x:v>
      </x:c>
      <x:c r="H2979" t="n">
        <x:v>0</x:v>
      </x:c>
      <x:c r="I2979" t="str">
        <x:v>À qualifier par lieu</x:v>
      </x:c>
      <x:c r="J2979" t="str">
        <x:v>https://github.com/darknigthmare/deadwall-last-enclosure/blob/1b3b9c5ba232734b1bda3453b4e20a0481bcdd74/codex-3000/compositions/rural/DW-2974.md</x:v>
      </x:c>
      <x:c r="K2979" t="str">
        <x:v>Source min 28,9 m ; max 28,9 m ; modèle 28 × 18 m ; niveaux 0. Détails dans catalogue-existant.json.</x:v>
      </x:c>
    </x:row>
    <x:row r="2980">
      <x:c r="A2980" t="str">
        <x:v>DW-2975</x:v>
      </x:c>
      <x:c r="B2980" t="str">
        <x:v>DW-0988</x:v>
      </x:c>
      <x:c r="C2980" t="str">
        <x:v>Composition héritée</x:v>
      </x:c>
      <x:c r="D2980" t="str">
        <x:v>rural</x:v>
      </x:c>
      <x:c r="E2980" t="str">
        <x:v>Serres maraîchères — variante 08 — Hameau / service déplacé à l’arrière</x:v>
      </x:c>
      <x:c r="F2980" t="n">
        <x:v>8</x:v>
      </x:c>
      <x:c r="G2980" t="n">
        <x:v>5</x:v>
      </x:c>
      <x:c r="H2980" t="n">
        <x:v>0</x:v>
      </x:c>
      <x:c r="I2980" t="str">
        <x:v>À qualifier par lieu</x:v>
      </x:c>
      <x:c r="J2980" t="str">
        <x:v>https://github.com/darknigthmare/deadwall-last-enclosure/blob/1b3b9c5ba232734b1bda3453b4e20a0481bcdd74/codex-3000/compositions/rural/DW-2975.md</x:v>
      </x:c>
      <x:c r="K2980" t="str">
        <x:v>Source min 39,26 m ; max 39,26 m ; modèle 39 × 26 m ; niveaux 0. Détails dans catalogue-existant.json.</x:v>
      </x:c>
    </x:row>
    <x:row r="2981">
      <x:c r="A2981" t="str">
        <x:v>DW-2976</x:v>
      </x:c>
      <x:c r="B2981" t="str">
        <x:v>DW-0988</x:v>
      </x:c>
      <x:c r="C2981" t="str">
        <x:v>Composition héritée</x:v>
      </x:c>
      <x:c r="D2981" t="str">
        <x:v>rural</x:v>
      </x:c>
      <x:c r="E2981" t="str">
        <x:v>Serres maraîchères — variante 08 — Prairie et friche ouverte / réseau principal coupé</x:v>
      </x:c>
      <x:c r="F2981" t="n">
        <x:v>8</x:v>
      </x:c>
      <x:c r="G2981" t="n">
        <x:v>5</x:v>
      </x:c>
      <x:c r="H2981" t="n">
        <x:v>0</x:v>
      </x:c>
      <x:c r="I2981" t="str">
        <x:v>À qualifier par lieu</x:v>
      </x:c>
      <x:c r="J2981" t="str">
        <x:v>https://github.com/darknigthmare/deadwall-last-enclosure/blob/1b3b9c5ba232734b1bda3453b4e20a0481bcdd74/codex-3000/compositions/rural/DW-2976.md</x:v>
      </x:c>
      <x:c r="K2981" t="str">
        <x:v>Source min 39,26 m ; max 39,26 m ; modèle 39 × 26 m ; niveaux 0. Détails dans catalogue-existant.json.</x:v>
      </x:c>
    </x:row>
    <x:row r="2982">
      <x:c r="A2982" t="str">
        <x:v>DW-2977</x:v>
      </x:c>
      <x:c r="B2982" t="str">
        <x:v>DW-0989</x:v>
      </x:c>
      <x:c r="C2982" t="str">
        <x:v>Composition héritée</x:v>
      </x:c>
      <x:c r="D2982" t="str">
        <x:v>militaire</x:v>
      </x:c>
      <x:c r="E2982" t="str">
        <x:v>Bunker de défense civile — variante 08 — Grand camp allié / reprise progressive de la végétation</x:v>
      </x:c>
      <x:c r="F2982" t="n">
        <x:v>10</x:v>
      </x:c>
      <x:c r="G2982" t="n">
        <x:v>6</x:v>
      </x:c>
      <x:c r="H2982" t="n">
        <x:v>0</x:v>
      </x:c>
      <x:c r="I2982" t="str">
        <x:v>À qualifier par lieu</x:v>
      </x:c>
      <x:c r="J2982" t="str">
        <x:v>https://github.com/darknigthmare/deadwall-last-enclosure/blob/1b3b9c5ba232734b1bda3453b4e20a0481bcdd74/codex-3000/compositions/militaire/DW-2977.md</x:v>
      </x:c>
      <x:c r="K2982" t="str">
        <x:v>Source min 50,43 m ; max 50,43 m ; modèle 50 × 43 m ; niveaux 0, 1. Détails dans catalogue-existant.json.</x:v>
      </x:c>
    </x:row>
    <x:row r="2983">
      <x:c r="A2983" t="str">
        <x:v>DW-2978</x:v>
      </x:c>
      <x:c r="B2983" t="str">
        <x:v>DW-0989</x:v>
      </x:c>
      <x:c r="C2983" t="str">
        <x:v>Composition héritée</x:v>
      </x:c>
      <x:c r="D2983" t="str">
        <x:v>militaire</x:v>
      </x:c>
      <x:c r="E2983" t="str">
        <x:v>Bunker de défense civile — variante 08 — Camp de fortune / repli organisé interrompu</x:v>
      </x:c>
      <x:c r="F2983" t="n">
        <x:v>8</x:v>
      </x:c>
      <x:c r="G2983" t="n">
        <x:v>6</x:v>
      </x:c>
      <x:c r="H2983" t="n">
        <x:v>0</x:v>
      </x:c>
      <x:c r="I2983" t="str">
        <x:v>À qualifier par lieu</x:v>
      </x:c>
      <x:c r="J2983" t="str">
        <x:v>https://github.com/darknigthmare/deadwall-last-enclosure/blob/1b3b9c5ba232734b1bda3453b4e20a0481bcdd74/codex-3000/compositions/militaire/DW-2978.md</x:v>
      </x:c>
      <x:c r="K2983" t="str">
        <x:v>Source min 50,43 m ; max 50,43 m ; modèle 50 × 43 m ; niveaux 0, 1. Détails dans catalogue-existant.json.</x:v>
      </x:c>
    </x:row>
    <x:row r="2984">
      <x:c r="A2984" t="str">
        <x:v>DW-2979</x:v>
      </x:c>
      <x:c r="B2984" t="str">
        <x:v>DW-0990</x:v>
      </x:c>
      <x:c r="C2984" t="str">
        <x:v>Composition héritée</x:v>
      </x:c>
      <x:c r="D2984" t="str">
        <x:v>militaire</x:v>
      </x:c>
      <x:c r="E2984" t="str">
        <x:v>Dépôt militaire — variante 08 — Camp hostile / relais temporaire envisagé</x:v>
      </x:c>
      <x:c r="F2984" t="n">
        <x:v>10</x:v>
      </x:c>
      <x:c r="G2984" t="n">
        <x:v>5</x:v>
      </x:c>
      <x:c r="H2984" t="n">
        <x:v>0</x:v>
      </x:c>
      <x:c r="I2984" t="str">
        <x:v>À qualifier par lieu</x:v>
      </x:c>
      <x:c r="J2984" t="str">
        <x:v>https://github.com/darknigthmare/deadwall-last-enclosure/blob/1b3b9c5ba232734b1bda3453b4e20a0481bcdd74/codex-3000/compositions/militaire/DW-2979.md</x:v>
      </x:c>
      <x:c r="K2984" t="str">
        <x:v>Source min 61,60 m ; max 61,60 m ; modèle 61 × 60 m ; niveaux 0. Détails dans catalogue-existant.json.</x:v>
      </x:c>
    </x:row>
    <x:row r="2985">
      <x:c r="A2985" t="str">
        <x:v>DW-2980</x:v>
      </x:c>
      <x:c r="B2985" t="str">
        <x:v>DW-0990</x:v>
      </x:c>
      <x:c r="C2985" t="str">
        <x:v>Composition héritée</x:v>
      </x:c>
      <x:c r="D2985" t="str">
        <x:v>militaire</x:v>
      </x:c>
      <x:c r="E2985" t="str">
        <x:v>Dépôt militaire — variante 08 — Centre d’évacuation abandonné / évacuation interrompue</x:v>
      </x:c>
      <x:c r="F2985" t="n">
        <x:v>8</x:v>
      </x:c>
      <x:c r="G2985" t="n">
        <x:v>5</x:v>
      </x:c>
      <x:c r="H2985" t="n">
        <x:v>0</x:v>
      </x:c>
      <x:c r="I2985" t="str">
        <x:v>À qualifier par lieu</x:v>
      </x:c>
      <x:c r="J2985" t="str">
        <x:v>https://github.com/darknigthmare/deadwall-last-enclosure/blob/1b3b9c5ba232734b1bda3453b4e20a0481bcdd74/codex-3000/compositions/militaire/DW-2980.md</x:v>
      </x:c>
      <x:c r="K2985" t="str">
        <x:v>Source min 61,60 m ; max 61,60 m ; modèle 61 × 60 m ; niveaux 0. Détails dans catalogue-existant.json.</x:v>
      </x:c>
    </x:row>
    <x:row r="2986">
      <x:c r="A2986" t="str">
        <x:v>DW-2981</x:v>
      </x:c>
      <x:c r="B2986" t="str">
        <x:v>DW-0991</x:v>
      </x:c>
      <x:c r="C2986" t="str">
        <x:v>Composition héritée</x:v>
      </x:c>
      <x:c r="D2986" t="str">
        <x:v>militaire</x:v>
      </x:c>
      <x:c r="E2986" t="str">
        <x:v>Poste de contrôle — variante 08 — Camp de fortune / réseau principal coupé</x:v>
      </x:c>
      <x:c r="F2986" t="n">
        <x:v>8</x:v>
      </x:c>
      <x:c r="G2986" t="n">
        <x:v>5</x:v>
      </x:c>
      <x:c r="H2986" t="n">
        <x:v>0</x:v>
      </x:c>
      <x:c r="I2986" t="str">
        <x:v>À qualifier par lieu</x:v>
      </x:c>
      <x:c r="J2986" t="str">
        <x:v>https://github.com/darknigthmare/deadwall-last-enclosure/blob/1b3b9c5ba232734b1bda3453b4e20a0481bcdd74/codex-3000/compositions/militaire/DW-2981.md</x:v>
      </x:c>
      <x:c r="K2986" t="str">
        <x:v>Source min 72,23 m ; max 72,23 m ; modèle 72 × 23 m ; niveaux 0. Détails dans catalogue-existant.json.</x:v>
      </x:c>
    </x:row>
    <x:row r="2987">
      <x:c r="A2987" t="str">
        <x:v>DW-2982</x:v>
      </x:c>
      <x:c r="B2987" t="str">
        <x:v>DW-0991</x:v>
      </x:c>
      <x:c r="C2987" t="str">
        <x:v>Composition héritée</x:v>
      </x:c>
      <x:c r="D2987" t="str">
        <x:v>militaire</x:v>
      </x:c>
      <x:c r="E2987" t="str">
        <x:v>Poste de contrôle — variante 08 — Grand camp allié / arrêt de maintenance</x:v>
      </x:c>
      <x:c r="F2987" t="n">
        <x:v>10</x:v>
      </x:c>
      <x:c r="G2987" t="n">
        <x:v>5</x:v>
      </x:c>
      <x:c r="H2987" t="n">
        <x:v>0</x:v>
      </x:c>
      <x:c r="I2987" t="str">
        <x:v>À qualifier par lieu</x:v>
      </x:c>
      <x:c r="J2987" t="str">
        <x:v>https://github.com/darknigthmare/deadwall-last-enclosure/blob/1b3b9c5ba232734b1bda3453b4e20a0481bcdd74/codex-3000/compositions/militaire/DW-2982.md</x:v>
      </x:c>
      <x:c r="K2987" t="str">
        <x:v>Source min 72,23 m ; max 72,23 m ; modèle 72 × 23 m ; niveaux 0. Détails dans catalogue-existant.json.</x:v>
      </x:c>
    </x:row>
    <x:row r="2988">
      <x:c r="A2988" t="str">
        <x:v>DW-2983</x:v>
      </x:c>
      <x:c r="B2988" t="str">
        <x:v>DW-0992</x:v>
      </x:c>
      <x:c r="C2988" t="str">
        <x:v>Composition héritée</x:v>
      </x:c>
      <x:c r="D2988" t="str">
        <x:v>militaire</x:v>
      </x:c>
      <x:c r="E2988" t="str">
        <x:v>Camp retranché abandonné — variante 08 — Centre d’évacuation abandonné / repli organisé interrompu</x:v>
      </x:c>
      <x:c r="F2988" t="n">
        <x:v>8</x:v>
      </x:c>
      <x:c r="G2988" t="n">
        <x:v>5</x:v>
      </x:c>
      <x:c r="H2988" t="n">
        <x:v>0</x:v>
      </x:c>
      <x:c r="I2988" t="str">
        <x:v>À qualifier par lieu</x:v>
      </x:c>
      <x:c r="J2988" t="str">
        <x:v>https://github.com/darknigthmare/deadwall-last-enclosure/blob/1b3b9c5ba232734b1bda3453b4e20a0481bcdd74/codex-3000/compositions/militaire/DW-2983.md</x:v>
      </x:c>
      <x:c r="K2988" t="str">
        <x:v>Source min 11,40 m ; max 11,40 m ; modèle 26 × 40 m ; niveaux 0. Détails dans catalogue-existant.json.</x:v>
      </x:c>
    </x:row>
    <x:row r="2989">
      <x:c r="A2989" t="str">
        <x:v>DW-2984</x:v>
      </x:c>
      <x:c r="B2989" t="str">
        <x:v>DW-0992</x:v>
      </x:c>
      <x:c r="C2989" t="str">
        <x:v>Composition héritée</x:v>
      </x:c>
      <x:c r="D2989" t="str">
        <x:v>militaire</x:v>
      </x:c>
      <x:c r="E2989" t="str">
        <x:v>Camp retranché abandonné — variante 08 — Camp hostile / première récupération passée</x:v>
      </x:c>
      <x:c r="F2989" t="n">
        <x:v>10</x:v>
      </x:c>
      <x:c r="G2989" t="n">
        <x:v>5</x:v>
      </x:c>
      <x:c r="H2989" t="n">
        <x:v>0</x:v>
      </x:c>
      <x:c r="I2989" t="str">
        <x:v>À qualifier par lieu</x:v>
      </x:c>
      <x:c r="J2989" t="str">
        <x:v>https://github.com/darknigthmare/deadwall-last-enclosure/blob/1b3b9c5ba232734b1bda3453b4e20a0481bcdd74/codex-3000/compositions/militaire/DW-2984.md</x:v>
      </x:c>
      <x:c r="K2989" t="str">
        <x:v>Source min 11,40 m ; max 11,40 m ; modèle 26 × 40 m ; niveaux 0. Détails dans catalogue-existant.json.</x:v>
      </x:c>
    </x:row>
    <x:row r="2990">
      <x:c r="A2990" t="str">
        <x:v>DW-2985</x:v>
      </x:c>
      <x:c r="B2990" t="str">
        <x:v>DW-0993</x:v>
      </x:c>
      <x:c r="C2990" t="str">
        <x:v>Composition héritée</x:v>
      </x:c>
      <x:c r="D2990" t="str">
        <x:v>militaire</x:v>
      </x:c>
      <x:c r="E2990" t="str">
        <x:v>Abri ferroviaire — variante 08 — Grand camp allié / évacuation interrompue</x:v>
      </x:c>
      <x:c r="F2990" t="n">
        <x:v>10</x:v>
      </x:c>
      <x:c r="G2990" t="n">
        <x:v>4</x:v>
      </x:c>
      <x:c r="H2990" t="n">
        <x:v>0</x:v>
      </x:c>
      <x:c r="I2990" t="str">
        <x:v>À qualifier par lieu</x:v>
      </x:c>
      <x:c r="J2990" t="str">
        <x:v>https://github.com/darknigthmare/deadwall-last-enclosure/blob/1b3b9c5ba232734b1bda3453b4e20a0481bcdd74/codex-3000/compositions/militaire/DW-2985.md</x:v>
      </x:c>
      <x:c r="K2990" t="str">
        <x:v>Source min 22,57 m ; max 22,57 m ; modèle 25 × 57 m ; niveaux 0. Détails dans catalogue-existant.json.</x:v>
      </x:c>
    </x:row>
    <x:row r="2991">
      <x:c r="A2991" t="str">
        <x:v>DW-2986</x:v>
      </x:c>
      <x:c r="B2991" t="str">
        <x:v>DW-0993</x:v>
      </x:c>
      <x:c r="C2991" t="str">
        <x:v>Composition héritée</x:v>
      </x:c>
      <x:c r="D2991" t="str">
        <x:v>militaire</x:v>
      </x:c>
      <x:c r="E2991" t="str">
        <x:v>Abri ferroviaire — variante 08 — Camp de fortune / service déplacé à l’arrière</x:v>
      </x:c>
      <x:c r="F2991" t="n">
        <x:v>8</x:v>
      </x:c>
      <x:c r="G2991" t="n">
        <x:v>4</x:v>
      </x:c>
      <x:c r="H2991" t="n">
        <x:v>0</x:v>
      </x:c>
      <x:c r="I2991" t="str">
        <x:v>À qualifier par lieu</x:v>
      </x:c>
      <x:c r="J2991" t="str">
        <x:v>https://github.com/darknigthmare/deadwall-last-enclosure/blob/1b3b9c5ba232734b1bda3453b4e20a0481bcdd74/codex-3000/compositions/militaire/DW-2986.md</x:v>
      </x:c>
      <x:c r="K2991" t="str">
        <x:v>Source min 22,57 m ; max 22,57 m ; modèle 25 × 57 m ; niveaux 0. Détails dans catalogue-existant.json.</x:v>
      </x:c>
    </x:row>
    <x:row r="2992">
      <x:c r="A2992" t="str">
        <x:v>DW-2987</x:v>
      </x:c>
      <x:c r="B2992" t="str">
        <x:v>DW-0994</x:v>
      </x:c>
      <x:c r="C2992" t="str">
        <x:v>Composition héritée</x:v>
      </x:c>
      <x:c r="D2992" t="str">
        <x:v>militaire</x:v>
      </x:c>
      <x:c r="E2992" t="str">
        <x:v>Site radar — variante 08 — Camp hostile / arrêt de maintenance</x:v>
      </x:c>
      <x:c r="F2992" t="n">
        <x:v>10</x:v>
      </x:c>
      <x:c r="G2992" t="n">
        <x:v>5</x:v>
      </x:c>
      <x:c r="H2992" t="n">
        <x:v>0</x:v>
      </x:c>
      <x:c r="I2992" t="str">
        <x:v>À qualifier par lieu</x:v>
      </x:c>
      <x:c r="J2992" t="str">
        <x:v>https://github.com/darknigthmare/deadwall-last-enclosure/blob/1b3b9c5ba232734b1bda3453b4e20a0481bcdd74/codex-3000/compositions/militaire/DW-2987.md</x:v>
      </x:c>
      <x:c r="K2992" t="str">
        <x:v>Source min 33,20 m ; max 33,20 m ; modèle 33 × 22 m ; niveaux 0. Détails dans catalogue-existant.json.</x:v>
      </x:c>
    </x:row>
    <x:row r="2993">
      <x:c r="A2993" t="str">
        <x:v>DW-2988</x:v>
      </x:c>
      <x:c r="B2993" t="str">
        <x:v>DW-0994</x:v>
      </x:c>
      <x:c r="C2993" t="str">
        <x:v>Composition héritée</x:v>
      </x:c>
      <x:c r="D2993" t="str">
        <x:v>militaire</x:v>
      </x:c>
      <x:c r="E2993" t="str">
        <x:v>Site radar — variante 08 — Centre d’évacuation abandonné / reprise progressive de la végétation</x:v>
      </x:c>
      <x:c r="F2993" t="n">
        <x:v>8</x:v>
      </x:c>
      <x:c r="G2993" t="n">
        <x:v>5</x:v>
      </x:c>
      <x:c r="H2993" t="n">
        <x:v>0</x:v>
      </x:c>
      <x:c r="I2993" t="str">
        <x:v>À qualifier par lieu</x:v>
      </x:c>
      <x:c r="J2993" t="str">
        <x:v>https://github.com/darknigthmare/deadwall-last-enclosure/blob/1b3b9c5ba232734b1bda3453b4e20a0481bcdd74/codex-3000/compositions/militaire/DW-2988.md</x:v>
      </x:c>
      <x:c r="K2993" t="str">
        <x:v>Source min 33,20 m ; max 33,20 m ; modèle 33 × 22 m ; niveaux 0. Détails dans catalogue-existant.json.</x:v>
      </x:c>
    </x:row>
    <x:row r="2994">
      <x:c r="A2994" t="str">
        <x:v>DW-2989</x:v>
      </x:c>
      <x:c r="B2994" t="str">
        <x:v>DW-0995</x:v>
      </x:c>
      <x:c r="C2994" t="str">
        <x:v>Composition héritée</x:v>
      </x:c>
      <x:c r="D2994" t="str">
        <x:v>militaire</x:v>
      </x:c>
      <x:c r="E2994" t="str">
        <x:v>Batterie côtière — variante 08 — Camp de fortune / première récupération passée</x:v>
      </x:c>
      <x:c r="F2994" t="n">
        <x:v>8</x:v>
      </x:c>
      <x:c r="G2994" t="n">
        <x:v>4</x:v>
      </x:c>
      <x:c r="H2994" t="n">
        <x:v>0</x:v>
      </x:c>
      <x:c r="I2994" t="str">
        <x:v>À qualifier par lieu</x:v>
      </x:c>
      <x:c r="J2994" t="str">
        <x:v>https://github.com/darknigthmare/deadwall-last-enclosure/blob/1b3b9c5ba232734b1bda3453b4e20a0481bcdd74/codex-3000/compositions/militaire/DW-2989.md</x:v>
      </x:c>
      <x:c r="K2994" t="str">
        <x:v>Source min 44,37 m ; max 44,37 m ; modèle 44 × 37 m ; niveaux 0. Détails dans catalogue-existant.json.</x:v>
      </x:c>
    </x:row>
    <x:row r="2995">
      <x:c r="A2995" t="str">
        <x:v>DW-2990</x:v>
      </x:c>
      <x:c r="B2995" t="str">
        <x:v>DW-0995</x:v>
      </x:c>
      <x:c r="C2995" t="str">
        <x:v>Composition héritée</x:v>
      </x:c>
      <x:c r="D2995" t="str">
        <x:v>militaire</x:v>
      </x:c>
      <x:c r="E2995" t="str">
        <x:v>Batterie côtière — variante 08 — Grand camp allié / relais temporaire envisagé</x:v>
      </x:c>
      <x:c r="F2995" t="n">
        <x:v>10</x:v>
      </x:c>
      <x:c r="G2995" t="n">
        <x:v>4</x:v>
      </x:c>
      <x:c r="H2995" t="n">
        <x:v>0</x:v>
      </x:c>
      <x:c r="I2995" t="str">
        <x:v>À qualifier par lieu</x:v>
      </x:c>
      <x:c r="J2995" t="str">
        <x:v>https://github.com/darknigthmare/deadwall-last-enclosure/blob/1b3b9c5ba232734b1bda3453b4e20a0481bcdd74/codex-3000/compositions/militaire/DW-2990.md</x:v>
      </x:c>
      <x:c r="K2995" t="str">
        <x:v>Source min 44,37 m ; max 44,37 m ; modèle 44 × 37 m ; niveaux 0. Détails dans catalogue-existant.json.</x:v>
      </x:c>
    </x:row>
    <x:row r="2996">
      <x:c r="A2996" t="str">
        <x:v>DW-2991</x:v>
      </x:c>
      <x:c r="B2996" t="str">
        <x:v>DW-0996</x:v>
      </x:c>
      <x:c r="C2996" t="str">
        <x:v>Composition héritée</x:v>
      </x:c>
      <x:c r="D2996" t="str">
        <x:v>militaire</x:v>
      </x:c>
      <x:c r="E2996" t="str">
        <x:v>Dépôt carburant sécurisé — variante 08 — Centre d’évacuation abandonné / service déplacé à l’arrière</x:v>
      </x:c>
      <x:c r="F2996" t="n">
        <x:v>8</x:v>
      </x:c>
      <x:c r="G2996" t="n">
        <x:v>5</x:v>
      </x:c>
      <x:c r="H2996" t="n">
        <x:v>0</x:v>
      </x:c>
      <x:c r="I2996" t="str">
        <x:v>À qualifier par lieu</x:v>
      </x:c>
      <x:c r="J2996" t="str">
        <x:v>https://github.com/darknigthmare/deadwall-last-enclosure/blob/1b3b9c5ba232734b1bda3453b4e20a0481bcdd74/codex-3000/compositions/militaire/DW-2991.md</x:v>
      </x:c>
      <x:c r="K2996" t="str">
        <x:v>Source min 55,54 m ; max 55,54 m ; modèle 55 × 54 m ; niveaux 0. Détails dans catalogue-existant.json.</x:v>
      </x:c>
    </x:row>
    <x:row r="2997">
      <x:c r="A2997" t="str">
        <x:v>DW-2992</x:v>
      </x:c>
      <x:c r="B2997" t="str">
        <x:v>DW-0996</x:v>
      </x:c>
      <x:c r="C2997" t="str">
        <x:v>Composition héritée</x:v>
      </x:c>
      <x:c r="D2997" t="str">
        <x:v>militaire</x:v>
      </x:c>
      <x:c r="E2997" t="str">
        <x:v>Dépôt carburant sécurisé — variante 08 — Camp hostile / réseau principal coupé</x:v>
      </x:c>
      <x:c r="F2997" t="n">
        <x:v>10</x:v>
      </x:c>
      <x:c r="G2997" t="n">
        <x:v>5</x:v>
      </x:c>
      <x:c r="H2997" t="n">
        <x:v>0</x:v>
      </x:c>
      <x:c r="I2997" t="str">
        <x:v>À qualifier par lieu</x:v>
      </x:c>
      <x:c r="J2997" t="str">
        <x:v>https://github.com/darknigthmare/deadwall-last-enclosure/blob/1b3b9c5ba232734b1bda3453b4e20a0481bcdd74/codex-3000/compositions/militaire/DW-2992.md</x:v>
      </x:c>
      <x:c r="K2997" t="str">
        <x:v>Source min 55,54 m ; max 55,54 m ; modèle 55 × 54 m ; niveaux 0. Détails dans catalogue-existant.json.</x:v>
      </x:c>
    </x:row>
    <x:row r="2998">
      <x:c r="A2998" t="str">
        <x:v>DW-2993</x:v>
      </x:c>
      <x:c r="B2998" t="str">
        <x:v>DW-0997</x:v>
      </x:c>
      <x:c r="C2998" t="str">
        <x:v>Composition héritée</x:v>
      </x:c>
      <x:c r="D2998" t="str">
        <x:v>transport</x:v>
      </x:c>
      <x:c r="E2998" t="str">
        <x:v>Gare routière — variante 08 — Station-service et aire routière / reprise progressive de la végétation</x:v>
      </x:c>
      <x:c r="F2998" t="n">
        <x:v>8</x:v>
      </x:c>
      <x:c r="G2998" t="n">
        <x:v>5</x:v>
      </x:c>
      <x:c r="H2998" t="n">
        <x:v>0</x:v>
      </x:c>
      <x:c r="I2998" t="str">
        <x:v>À qualifier par lieu</x:v>
      </x:c>
      <x:c r="J2998" t="str">
        <x:v>https://github.com/darknigthmare/deadwall-last-enclosure/blob/1b3b9c5ba232734b1bda3453b4e20a0481bcdd74/codex-3000/compositions/transport/DW-2993.md</x:v>
      </x:c>
      <x:c r="K2998" t="str">
        <x:v>Source min 66,17 m ; max 66,17 m ; modèle 66 × 22 m ; niveaux 0. Détails dans catalogue-existant.json.</x:v>
      </x:c>
    </x:row>
    <x:row r="2999">
      <x:c r="A2999" t="str">
        <x:v>DW-2994</x:v>
      </x:c>
      <x:c r="B2999" t="str">
        <x:v>DW-0997</x:v>
      </x:c>
      <x:c r="C2999" t="str">
        <x:v>Composition héritée</x:v>
      </x:c>
      <x:c r="D2999" t="str">
        <x:v>transport</x:v>
      </x:c>
      <x:c r="E2999" t="str">
        <x:v>Gare routière — variante 08 — Port marchand / repli organisé interrompu</x:v>
      </x:c>
      <x:c r="F2999" t="n">
        <x:v>10</x:v>
      </x:c>
      <x:c r="G2999" t="n">
        <x:v>5</x:v>
      </x:c>
      <x:c r="H2999" t="n">
        <x:v>0</x:v>
      </x:c>
      <x:c r="I2999" t="str">
        <x:v>À qualifier par lieu</x:v>
      </x:c>
      <x:c r="J2999" t="str">
        <x:v>https://github.com/darknigthmare/deadwall-last-enclosure/blob/1b3b9c5ba232734b1bda3453b4e20a0481bcdd74/codex-3000/compositions/transport/DW-2994.md</x:v>
      </x:c>
      <x:c r="K2999" t="str">
        <x:v>Source min 66,17 m ; max 66,17 m ; modèle 66 × 22 m ; niveaux 0. Détails dans catalogue-existant.json.</x:v>
      </x:c>
    </x:row>
    <x:row r="3000">
      <x:c r="A3000" t="str">
        <x:v>DW-2995</x:v>
      </x:c>
      <x:c r="B3000" t="str">
        <x:v>DW-0998</x:v>
      </x:c>
      <x:c r="C3000" t="str">
        <x:v>Composition héritée</x:v>
      </x:c>
      <x:c r="D3000" t="str">
        <x:v>transport</x:v>
      </x:c>
      <x:c r="E3000" t="str">
        <x:v>Dépôt de bus — variante 08 — Gare et fret / relais temporaire envisagé</x:v>
      </x:c>
      <x:c r="F3000" t="n">
        <x:v>10</x:v>
      </x:c>
      <x:c r="G3000" t="n">
        <x:v>5</x:v>
      </x:c>
      <x:c r="H3000" t="n">
        <x:v>0</x:v>
      </x:c>
      <x:c r="I3000" t="str">
        <x:v>À qualifier par lieu</x:v>
      </x:c>
      <x:c r="J3000" t="str">
        <x:v>https://github.com/darknigthmare/deadwall-last-enclosure/blob/1b3b9c5ba232734b1bda3453b4e20a0481bcdd74/codex-3000/compositions/transport/DW-2995.md</x:v>
      </x:c>
      <x:c r="K3000" t="str">
        <x:v>Source min 77,34 m ; max 77,34 m ; modèle 77 × 34 m ; niveaux 0. Détails dans catalogue-existant.json.</x:v>
      </x:c>
    </x:row>
    <x:row r="3001">
      <x:c r="A3001" t="str">
        <x:v>DW-2996</x:v>
      </x:c>
      <x:c r="B3001" t="str">
        <x:v>DW-0998</x:v>
      </x:c>
      <x:c r="C3001" t="str">
        <x:v>Composition héritée</x:v>
      </x:c>
      <x:c r="D3001" t="str">
        <x:v>transport</x:v>
      </x:c>
      <x:c r="E3001" t="str">
        <x:v>Dépôt de bus — variante 08 — Routes et coutures territoriales / évacuation interrompue</x:v>
      </x:c>
      <x:c r="F3001" t="n">
        <x:v>10</x:v>
      </x:c>
      <x:c r="G3001" t="n">
        <x:v>5</x:v>
      </x:c>
      <x:c r="H3001" t="n">
        <x:v>0</x:v>
      </x:c>
      <x:c r="I3001" t="str">
        <x:v>À qualifier par lieu</x:v>
      </x:c>
      <x:c r="J3001" t="str">
        <x:v>https://github.com/darknigthmare/deadwall-last-enclosure/blob/1b3b9c5ba232734b1bda3453b4e20a0481bcdd74/codex-3000/compositions/transport/DW-2996.md</x:v>
      </x:c>
      <x:c r="K3001" t="str">
        <x:v>Source min 77,34 m ; max 77,34 m ; modèle 77 × 34 m ; niveaux 0. Détails dans catalogue-existant.json.</x:v>
      </x:c>
    </x:row>
    <x:row r="3002">
      <x:c r="A3002" t="str">
        <x:v>DW-2997</x:v>
      </x:c>
      <x:c r="B3002" t="str">
        <x:v>DW-0999</x:v>
      </x:c>
      <x:c r="C3002" t="str">
        <x:v>Composition héritée</x:v>
      </x:c>
      <x:c r="D3002" t="str">
        <x:v>transport</x:v>
      </x:c>
      <x:c r="E3002" t="str">
        <x:v>Gare ferroviaire — variante 08 — Port marchand / réseau principal coupé</x:v>
      </x:c>
      <x:c r="F3002" t="n">
        <x:v>10</x:v>
      </x:c>
      <x:c r="G3002" t="n">
        <x:v>5</x:v>
      </x:c>
      <x:c r="H3002" t="n">
        <x:v>0</x:v>
      </x:c>
      <x:c r="I3002" t="str">
        <x:v>À qualifier par lieu</x:v>
      </x:c>
      <x:c r="J3002" t="str">
        <x:v>https://github.com/darknigthmare/deadwall-last-enclosure/blob/1b3b9c5ba232734b1bda3453b4e20a0481bcdd74/codex-3000/compositions/transport/DW-2997.md</x:v>
      </x:c>
      <x:c r="K3002" t="str">
        <x:v>Source min 16,51 m ; max 16,51 m ; modèle 26 × 51 m ; niveaux 0. Détails dans catalogue-existant.json.</x:v>
      </x:c>
    </x:row>
    <x:row r="3003">
      <x:c r="A3003" t="str">
        <x:v>DW-2998</x:v>
      </x:c>
      <x:c r="B3003" t="str">
        <x:v>DW-0999</x:v>
      </x:c>
      <x:c r="C3003" t="str">
        <x:v>Composition héritée</x:v>
      </x:c>
      <x:c r="D3003" t="str">
        <x:v>transport</x:v>
      </x:c>
      <x:c r="E3003" t="str">
        <x:v>Gare ferroviaire — variante 08 — Station-service et aire routière / arrêt de maintenance</x:v>
      </x:c>
      <x:c r="F3003" t="n">
        <x:v>8</x:v>
      </x:c>
      <x:c r="G3003" t="n">
        <x:v>5</x:v>
      </x:c>
      <x:c r="H3003" t="n">
        <x:v>0</x:v>
      </x:c>
      <x:c r="I3003" t="str">
        <x:v>À qualifier par lieu</x:v>
      </x:c>
      <x:c r="J3003" t="str">
        <x:v>https://github.com/darknigthmare/deadwall-last-enclosure/blob/1b3b9c5ba232734b1bda3453b4e20a0481bcdd74/codex-3000/compositions/transport/DW-2998.md</x:v>
      </x:c>
      <x:c r="K3003" t="str">
        <x:v>Source min 16,51 m ; max 16,51 m ; modèle 26 × 51 m ; niveaux 0. Détails dans catalogue-existant.json.</x:v>
      </x:c>
    </x:row>
    <x:row r="3004">
      <x:c r="A3004" t="str">
        <x:v>DW-2999</x:v>
      </x:c>
      <x:c r="B3004" t="str">
        <x:v>DW-1000</x:v>
      </x:c>
      <x:c r="C3004" t="str">
        <x:v>Composition héritée</x:v>
      </x:c>
      <x:c r="D3004" t="str">
        <x:v>transport</x:v>
      </x:c>
      <x:c r="E3004" t="str">
        <x:v>Aire d'autoroute — variante 08 — Routes et coutures territoriales / repli organisé interrompu</x:v>
      </x:c>
      <x:c r="F3004" t="n">
        <x:v>10</x:v>
      </x:c>
      <x:c r="G3004" t="n">
        <x:v>5</x:v>
      </x:c>
      <x:c r="H3004" t="n">
        <x:v>0</x:v>
      </x:c>
      <x:c r="I3004" t="str">
        <x:v>À qualifier par lieu</x:v>
      </x:c>
      <x:c r="J3004" t="str">
        <x:v>https://github.com/darknigthmare/deadwall-last-enclosure/blob/1b3b9c5ba232734b1bda3453b4e20a0481bcdd74/codex-3000/compositions/transport/DW-2999.md</x:v>
      </x:c>
      <x:c r="K3004" t="str">
        <x:v>Source min 27,14 m ; max 27,14 m ; modèle 27 × 22 m ; niveaux 0. Détails dans catalogue-existant.json.</x:v>
      </x:c>
    </x:row>
    <x:row r="3005">
      <x:c r="A3005" t="str">
        <x:v>DW-3000</x:v>
      </x:c>
      <x:c r="B3005" t="str">
        <x:v>DW-1000</x:v>
      </x:c>
      <x:c r="C3005" t="str">
        <x:v>Composition héritée</x:v>
      </x:c>
      <x:c r="D3005" t="str">
        <x:v>transport</x:v>
      </x:c>
      <x:c r="E3005" t="str">
        <x:v>Aire d'autoroute — variante 08 — Gare et fret / première récupération passée</x:v>
      </x:c>
      <x:c r="F3005" t="n">
        <x:v>10</x:v>
      </x:c>
      <x:c r="G3005" t="n">
        <x:v>5</x:v>
      </x:c>
      <x:c r="H3005" t="n">
        <x:v>0</x:v>
      </x:c>
      <x:c r="I3005" t="str">
        <x:v>À qualifier par lieu</x:v>
      </x:c>
      <x:c r="J3005" t="str">
        <x:v>https://github.com/darknigthmare/deadwall-last-enclosure/blob/1b3b9c5ba232734b1bda3453b4e20a0481bcdd74/codex-3000/compositions/transport/DW-3000.md</x:v>
      </x:c>
      <x:c r="K3005" t="str">
        <x:v>Source min 27,14 m ; max 27,14 m ; modèle 27 × 22 m ; niveaux 0. Détails dans catalogue-existant.json.</x:v>
      </x:c>
    </x:row>
    <x:row r="3006">
      <x:c r="A3006" t="str">
        <x:v>DW-3001</x:v>
      </x:c>
      <x:c r="B3006" t="str">
        <x:v>DW-3001</x:v>
      </x:c>
      <x:c r="C3006" t="str">
        <x:v>Parent indépendant 1.58</x:v>
      </x:c>
      <x:c r="D3006" t="str">
        <x:v>Habitat individuel</x:v>
      </x:c>
      <x:c r="E3006" t="str">
        <x:v>Maison-atelier de reliure</x:v>
      </x:c>
      <x:c r="F3006" t="n">
        <x:v>9</x:v>
      </x:c>
      <x:c r="G3006" t="n">
        <x:v>8</x:v>
      </x:c>
      <x:c r="H3006" t="n">
        <x:v>8</x:v>
      </x:c>
      <x:c r="I3006" t="str">
        <x:v>À qualifier par lieu</x:v>
      </x:c>
      <x:c r="J3006" t="str">
        <x:v>https://github.com/darknigthmare/deadwall-last-enclosure/blob/1b3b9c5ba232734b1bda3453b4e20a0481bcdd74/codex-3000/addendum-1.58/PROGRAMMES_A.json</x:v>
      </x:c>
      <x:c r="K3006" t="str">
        <x:v>Source min 32,36 m ; max 32,36 m ; modèle 32 × 36 m ; niveaux 0, 1. Détails dans catalogue-existant.json.</x:v>
      </x:c>
    </x:row>
    <x:row r="3007">
      <x:c r="A3007" t="str">
        <x:v>DW-3002</x:v>
      </x:c>
      <x:c r="B3007" t="str">
        <x:v>DW-3002</x:v>
      </x:c>
      <x:c r="C3007" t="str">
        <x:v>Parent indépendant 1.58</x:v>
      </x:c>
      <x:c r="D3007" t="str">
        <x:v>Habitat individuel</x:v>
      </x:c>
      <x:c r="E3007" t="str">
        <x:v>Maison-atelier de lutherie</x:v>
      </x:c>
      <x:c r="F3007" t="n">
        <x:v>9</x:v>
      </x:c>
      <x:c r="G3007" t="n">
        <x:v>8</x:v>
      </x:c>
      <x:c r="H3007" t="n">
        <x:v>8</x:v>
      </x:c>
      <x:c r="I3007" t="str">
        <x:v>À qualifier par lieu</x:v>
      </x:c>
      <x:c r="J3007" t="str">
        <x:v>https://github.com/darknigthmare/deadwall-last-enclosure/blob/1b3b9c5ba232734b1bda3453b4e20a0481bcdd74/codex-3000/addendum-1.58/PROGRAMMES_A.json</x:v>
      </x:c>
      <x:c r="K3007" t="str">
        <x:v>Source min 32,36 m ; max 32,36 m ; modèle 32 × 36 m ; niveaux 0, 1. Détails dans catalogue-existant.json.</x:v>
      </x:c>
    </x:row>
    <x:row r="3008">
      <x:c r="A3008" t="str">
        <x:v>DW-3003</x:v>
      </x:c>
      <x:c r="B3008" t="str">
        <x:v>DW-3003</x:v>
      </x:c>
      <x:c r="C3008" t="str">
        <x:v>Parent indépendant 1.58</x:v>
      </x:c>
      <x:c r="D3008" t="str">
        <x:v>Habitat individuel</x:v>
      </x:c>
      <x:c r="E3008" t="str">
        <x:v>Habitat de restauration du papier</x:v>
      </x:c>
      <x:c r="F3008" t="n">
        <x:v>9</x:v>
      </x:c>
      <x:c r="G3008" t="n">
        <x:v>8</x:v>
      </x:c>
      <x:c r="H3008" t="n">
        <x:v>8</x:v>
      </x:c>
      <x:c r="I3008" t="str">
        <x:v>À qualifier par lieu</x:v>
      </x:c>
      <x:c r="J3008" t="str">
        <x:v>https://github.com/darknigthmare/deadwall-last-enclosure/blob/1b3b9c5ba232734b1bda3453b4e20a0481bcdd74/codex-3000/addendum-1.58/PROGRAMMES_A.json</x:v>
      </x:c>
      <x:c r="K3008" t="str">
        <x:v>Source min 32,36 m ; max 32,36 m ; modèle 32 × 36 m ; niveaux 0, 1. Détails dans catalogue-existant.json.</x:v>
      </x:c>
    </x:row>
    <x:row r="3009">
      <x:c r="A3009" t="str">
        <x:v>DW-3004</x:v>
      </x:c>
      <x:c r="B3009" t="str">
        <x:v>DW-3004</x:v>
      </x:c>
      <x:c r="C3009" t="str">
        <x:v>Parent indépendant 1.58</x:v>
      </x:c>
      <x:c r="D3009" t="str">
        <x:v>Habitat individuel</x:v>
      </x:c>
      <x:c r="E3009" t="str">
        <x:v>Maison de cartographie artisanale</x:v>
      </x:c>
      <x:c r="F3009" t="n">
        <x:v>9</x:v>
      </x:c>
      <x:c r="G3009" t="n">
        <x:v>8</x:v>
      </x:c>
      <x:c r="H3009" t="n">
        <x:v>8</x:v>
      </x:c>
      <x:c r="I3009" t="str">
        <x:v>À qualifier par lieu</x:v>
      </x:c>
      <x:c r="J3009" t="str">
        <x:v>https://github.com/darknigthmare/deadwall-last-enclosure/blob/1b3b9c5ba232734b1bda3453b4e20a0481bcdd74/codex-3000/addendum-1.58/PROGRAMMES_A.json</x:v>
      </x:c>
      <x:c r="K3009" t="str">
        <x:v>Source min 32,36 m ; max 32,36 m ; modèle 32 × 36 m ; niveaux 0, 1. Détails dans catalogue-existant.json.</x:v>
      </x:c>
    </x:row>
    <x:row r="3010">
      <x:c r="A3010" t="str">
        <x:v>DW-3005</x:v>
      </x:c>
      <x:c r="B3010" t="str">
        <x:v>DW-3005</x:v>
      </x:c>
      <x:c r="C3010" t="str">
        <x:v>Parent indépendant 1.58</x:v>
      </x:c>
      <x:c r="D3010" t="str">
        <x:v>Habitat individuel</x:v>
      </x:c>
      <x:c r="E3010" t="str">
        <x:v>Maison-atelier de gravure</x:v>
      </x:c>
      <x:c r="F3010" t="n">
        <x:v>9</x:v>
      </x:c>
      <x:c r="G3010" t="n">
        <x:v>8</x:v>
      </x:c>
      <x:c r="H3010" t="n">
        <x:v>8</x:v>
      </x:c>
      <x:c r="I3010" t="str">
        <x:v>À qualifier par lieu</x:v>
      </x:c>
      <x:c r="J3010" t="str">
        <x:v>https://github.com/darknigthmare/deadwall-last-enclosure/blob/1b3b9c5ba232734b1bda3453b4e20a0481bcdd74/codex-3000/addendum-1.58/PROGRAMMES_A.json</x:v>
      </x:c>
      <x:c r="K3010" t="str">
        <x:v>Source min 32,36 m ; max 32,36 m ; modèle 32 × 36 m ; niveaux 0, 1. Détails dans catalogue-existant.json.</x:v>
      </x:c>
    </x:row>
    <x:row r="3011">
      <x:c r="A3011" t="str">
        <x:v>DW-3006</x:v>
      </x:c>
      <x:c r="B3011" t="str">
        <x:v>DW-3006</x:v>
      </x:c>
      <x:c r="C3011" t="str">
        <x:v>Parent indépendant 1.58</x:v>
      </x:c>
      <x:c r="D3011" t="str">
        <x:v>Habitat individuel</x:v>
      </x:c>
      <x:c r="E3011" t="str">
        <x:v>Logement d'horloger réparateur</x:v>
      </x:c>
      <x:c r="F3011" t="n">
        <x:v>9</x:v>
      </x:c>
      <x:c r="G3011" t="n">
        <x:v>8</x:v>
      </x:c>
      <x:c r="H3011" t="n">
        <x:v>8</x:v>
      </x:c>
      <x:c r="I3011" t="str">
        <x:v>À qualifier par lieu</x:v>
      </x:c>
      <x:c r="J3011" t="str">
        <x:v>https://github.com/darknigthmare/deadwall-last-enclosure/blob/1b3b9c5ba232734b1bda3453b4e20a0481bcdd74/codex-3000/addendum-1.58/PROGRAMMES_A.json</x:v>
      </x:c>
      <x:c r="K3011" t="str">
        <x:v>Source min 32,36 m ; max 32,36 m ; modèle 32 × 36 m ; niveaux 0, 1. Détails dans catalogue-existant.json.</x:v>
      </x:c>
    </x:row>
    <x:row r="3012">
      <x:c r="A3012" t="str">
        <x:v>DW-3007</x:v>
      </x:c>
      <x:c r="B3012" t="str">
        <x:v>DW-3007</x:v>
      </x:c>
      <x:c r="C3012" t="str">
        <x:v>Parent indépendant 1.58</x:v>
      </x:c>
      <x:c r="D3012" t="str">
        <x:v>Habitat individuel</x:v>
      </x:c>
      <x:c r="E3012" t="str">
        <x:v>Maison de potier domestique</x:v>
      </x:c>
      <x:c r="F3012" t="n">
        <x:v>9</x:v>
      </x:c>
      <x:c r="G3012" t="n">
        <x:v>8</x:v>
      </x:c>
      <x:c r="H3012" t="n">
        <x:v>8</x:v>
      </x:c>
      <x:c r="I3012" t="str">
        <x:v>À qualifier par lieu</x:v>
      </x:c>
      <x:c r="J3012" t="str">
        <x:v>https://github.com/darknigthmare/deadwall-last-enclosure/blob/1b3b9c5ba232734b1bda3453b4e20a0481bcdd74/codex-3000/addendum-1.58/PROGRAMMES_A.json</x:v>
      </x:c>
      <x:c r="K3012" t="str">
        <x:v>Source min 32,36 m ; max 32,36 m ; modèle 32 × 36 m ; niveaux 0, 1. Détails dans catalogue-existant.json.</x:v>
      </x:c>
    </x:row>
    <x:row r="3013">
      <x:c r="A3013" t="str">
        <x:v>DW-3008</x:v>
      </x:c>
      <x:c r="B3013" t="str">
        <x:v>DW-3008</x:v>
      </x:c>
      <x:c r="C3013" t="str">
        <x:v>Parent indépendant 1.58</x:v>
      </x:c>
      <x:c r="D3013" t="str">
        <x:v>Habitat individuel</x:v>
      </x:c>
      <x:c r="E3013" t="str">
        <x:v>Habitat de vannerie</x:v>
      </x:c>
      <x:c r="F3013" t="n">
        <x:v>9</x:v>
      </x:c>
      <x:c r="G3013" t="n">
        <x:v>8</x:v>
      </x:c>
      <x:c r="H3013" t="n">
        <x:v>8</x:v>
      </x:c>
      <x:c r="I3013" t="str">
        <x:v>À qualifier par lieu</x:v>
      </x:c>
      <x:c r="J3013" t="str">
        <x:v>https://github.com/darknigthmare/deadwall-last-enclosure/blob/1b3b9c5ba232734b1bda3453b4e20a0481bcdd74/codex-3000/addendum-1.58/PROGRAMMES_A.json</x:v>
      </x:c>
      <x:c r="K3013" t="str">
        <x:v>Source min 32,36 m ; max 32,36 m ; modèle 32 × 36 m ; niveaux 0, 1. Détails dans catalogue-existant.json.</x:v>
      </x:c>
    </x:row>
    <x:row r="3014">
      <x:c r="A3014" t="str">
        <x:v>DW-3009</x:v>
      </x:c>
      <x:c r="B3014" t="str">
        <x:v>DW-3009</x:v>
      </x:c>
      <x:c r="C3014" t="str">
        <x:v>Parent indépendant 1.58</x:v>
      </x:c>
      <x:c r="D3014" t="str">
        <x:v>Habitat individuel</x:v>
      </x:c>
      <x:c r="E3014" t="str">
        <x:v>Maison de broderie artisanale</x:v>
      </x:c>
      <x:c r="F3014" t="n">
        <x:v>9</x:v>
      </x:c>
      <x:c r="G3014" t="n">
        <x:v>8</x:v>
      </x:c>
      <x:c r="H3014" t="n">
        <x:v>8</x:v>
      </x:c>
      <x:c r="I3014" t="str">
        <x:v>À qualifier par lieu</x:v>
      </x:c>
      <x:c r="J3014" t="str">
        <x:v>https://github.com/darknigthmare/deadwall-last-enclosure/blob/1b3b9c5ba232734b1bda3453b4e20a0481bcdd74/codex-3000/addendum-1.58/PROGRAMMES_A.json</x:v>
      </x:c>
      <x:c r="K3014" t="str">
        <x:v>Source min 32,36 m ; max 32,36 m ; modèle 32 × 36 m ; niveaux 0, 1. Détails dans catalogue-existant.json.</x:v>
      </x:c>
    </x:row>
    <x:row r="3015">
      <x:c r="A3015" t="str">
        <x:v>DW-3010</x:v>
      </x:c>
      <x:c r="B3015" t="str">
        <x:v>DW-3010</x:v>
      </x:c>
      <x:c r="C3015" t="str">
        <x:v>Parent indépendant 1.58</x:v>
      </x:c>
      <x:c r="D3015" t="str">
        <x:v>Habitat individuel</x:v>
      </x:c>
      <x:c r="E3015" t="str">
        <x:v>Logement-atelier de modiste</x:v>
      </x:c>
      <x:c r="F3015" t="n">
        <x:v>9</x:v>
      </x:c>
      <x:c r="G3015" t="n">
        <x:v>8</x:v>
      </x:c>
      <x:c r="H3015" t="n">
        <x:v>8</x:v>
      </x:c>
      <x:c r="I3015" t="str">
        <x:v>À qualifier par lieu</x:v>
      </x:c>
      <x:c r="J3015" t="str">
        <x:v>https://github.com/darknigthmare/deadwall-last-enclosure/blob/1b3b9c5ba232734b1bda3453b4e20a0481bcdd74/codex-3000/addendum-1.58/PROGRAMMES_A.json</x:v>
      </x:c>
      <x:c r="K3015" t="str">
        <x:v>Source min 32,36 m ; max 32,36 m ; modèle 32 × 36 m ; niveaux 0, 1. Détails dans catalogue-existant.json.</x:v>
      </x:c>
    </x:row>
    <x:row r="3016">
      <x:c r="A3016" t="str">
        <x:v>DW-3011</x:v>
      </x:c>
      <x:c r="B3016" t="str">
        <x:v>DW-3011</x:v>
      </x:c>
      <x:c r="C3016" t="str">
        <x:v>Parent indépendant 1.58</x:v>
      </x:c>
      <x:c r="D3016" t="str">
        <x:v>Habitat individuel</x:v>
      </x:c>
      <x:c r="E3016" t="str">
        <x:v>Maison de tapissier décorateur</x:v>
      </x:c>
      <x:c r="F3016" t="n">
        <x:v>9</x:v>
      </x:c>
      <x:c r="G3016" t="n">
        <x:v>8</x:v>
      </x:c>
      <x:c r="H3016" t="n">
        <x:v>8</x:v>
      </x:c>
      <x:c r="I3016" t="str">
        <x:v>À qualifier par lieu</x:v>
      </x:c>
      <x:c r="J3016" t="str">
        <x:v>https://github.com/darknigthmare/deadwall-last-enclosure/blob/1b3b9c5ba232734b1bda3453b4e20a0481bcdd74/codex-3000/addendum-1.58/PROGRAMMES_A.json</x:v>
      </x:c>
      <x:c r="K3016" t="str">
        <x:v>Source min 32,36 m ; max 32,36 m ; modèle 32 × 36 m ; niveaux 0, 1. Détails dans catalogue-existant.json.</x:v>
      </x:c>
    </x:row>
    <x:row r="3017">
      <x:c r="A3017" t="str">
        <x:v>DW-3012</x:v>
      </x:c>
      <x:c r="B3017" t="str">
        <x:v>DW-3012</x:v>
      </x:c>
      <x:c r="C3017" t="str">
        <x:v>Parent indépendant 1.58</x:v>
      </x:c>
      <x:c r="D3017" t="str">
        <x:v>Habitat individuel</x:v>
      </x:c>
      <x:c r="E3017" t="str">
        <x:v>Habitat de vitrailliste</x:v>
      </x:c>
      <x:c r="F3017" t="n">
        <x:v>9</x:v>
      </x:c>
      <x:c r="G3017" t="n">
        <x:v>8</x:v>
      </x:c>
      <x:c r="H3017" t="n">
        <x:v>8</x:v>
      </x:c>
      <x:c r="I3017" t="str">
        <x:v>À qualifier par lieu</x:v>
      </x:c>
      <x:c r="J3017" t="str">
        <x:v>https://github.com/darknigthmare/deadwall-last-enclosure/blob/1b3b9c5ba232734b1bda3453b4e20a0481bcdd74/codex-3000/addendum-1.58/PROGRAMMES_A.json</x:v>
      </x:c>
      <x:c r="K3017" t="str">
        <x:v>Source min 32,36 m ; max 32,36 m ; modèle 32 × 36 m ; niveaux 0, 1. Détails dans catalogue-existant.json.</x:v>
      </x:c>
    </x:row>
    <x:row r="3018">
      <x:c r="A3018" t="str">
        <x:v>DW-3013</x:v>
      </x:c>
      <x:c r="B3018" t="str">
        <x:v>DW-3013</x:v>
      </x:c>
      <x:c r="C3018" t="str">
        <x:v>Parent indépendant 1.58</x:v>
      </x:c>
      <x:c r="D3018" t="str">
        <x:v>Habitat individuel</x:v>
      </x:c>
      <x:c r="E3018" t="str">
        <x:v>Maison-atelier de ciselure</x:v>
      </x:c>
      <x:c r="F3018" t="n">
        <x:v>9</x:v>
      </x:c>
      <x:c r="G3018" t="n">
        <x:v>8</x:v>
      </x:c>
      <x:c r="H3018" t="n">
        <x:v>8</x:v>
      </x:c>
      <x:c r="I3018" t="str">
        <x:v>À qualifier par lieu</x:v>
      </x:c>
      <x:c r="J3018" t="str">
        <x:v>https://github.com/darknigthmare/deadwall-last-enclosure/blob/1b3b9c5ba232734b1bda3453b4e20a0481bcdd74/codex-3000/addendum-1.58/PROGRAMMES_A.json</x:v>
      </x:c>
      <x:c r="K3018" t="str">
        <x:v>Source min 32,36 m ; max 32,36 m ; modèle 32 × 36 m ; niveaux 0, 1. Détails dans catalogue-existant.json.</x:v>
      </x:c>
    </x:row>
    <x:row r="3019">
      <x:c r="A3019" t="str">
        <x:v>DW-3014</x:v>
      </x:c>
      <x:c r="B3019" t="str">
        <x:v>DW-3014</x:v>
      </x:c>
      <x:c r="C3019" t="str">
        <x:v>Parent indépendant 1.58</x:v>
      </x:c>
      <x:c r="D3019" t="str">
        <x:v>Habitat individuel</x:v>
      </x:c>
      <x:c r="E3019" t="str">
        <x:v>Logement de réparation de jouets</x:v>
      </x:c>
      <x:c r="F3019" t="n">
        <x:v>9</x:v>
      </x:c>
      <x:c r="G3019" t="n">
        <x:v>8</x:v>
      </x:c>
      <x:c r="H3019" t="n">
        <x:v>8</x:v>
      </x:c>
      <x:c r="I3019" t="str">
        <x:v>À qualifier par lieu</x:v>
      </x:c>
      <x:c r="J3019" t="str">
        <x:v>https://github.com/darknigthmare/deadwall-last-enclosure/blob/1b3b9c5ba232734b1bda3453b4e20a0481bcdd74/codex-3000/addendum-1.58/PROGRAMMES_A.json</x:v>
      </x:c>
      <x:c r="K3019" t="str">
        <x:v>Source min 32,36 m ; max 32,36 m ; modèle 32 × 36 m ; niveaux 0, 1. Détails dans catalogue-existant.json.</x:v>
      </x:c>
    </x:row>
    <x:row r="3020">
      <x:c r="A3020" t="str">
        <x:v>DW-3015</x:v>
      </x:c>
      <x:c r="B3020" t="str">
        <x:v>DW-3015</x:v>
      </x:c>
      <x:c r="C3020" t="str">
        <x:v>Parent indépendant 1.58</x:v>
      </x:c>
      <x:c r="D3020" t="str">
        <x:v>Habitat individuel</x:v>
      </x:c>
      <x:c r="E3020" t="str">
        <x:v>Maison de fabrication d'étuis</x:v>
      </x:c>
      <x:c r="F3020" t="n">
        <x:v>9</x:v>
      </x:c>
      <x:c r="G3020" t="n">
        <x:v>8</x:v>
      </x:c>
      <x:c r="H3020" t="n">
        <x:v>8</x:v>
      </x:c>
      <x:c r="I3020" t="str">
        <x:v>À qualifier par lieu</x:v>
      </x:c>
      <x:c r="J3020" t="str">
        <x:v>https://github.com/darknigthmare/deadwall-last-enclosure/blob/1b3b9c5ba232734b1bda3453b4e20a0481bcdd74/codex-3000/addendum-1.58/PROGRAMMES_A.json</x:v>
      </x:c>
      <x:c r="K3020" t="str">
        <x:v>Source min 32,36 m ; max 32,36 m ; modèle 32 × 36 m ; niveaux 0, 1. Détails dans catalogue-existant.json.</x:v>
      </x:c>
    </x:row>
    <x:row r="3021">
      <x:c r="A3021" t="str">
        <x:v>DW-3016</x:v>
      </x:c>
      <x:c r="B3021" t="str">
        <x:v>DW-3016</x:v>
      </x:c>
      <x:c r="C3021" t="str">
        <x:v>Parent indépendant 1.58</x:v>
      </x:c>
      <x:c r="D3021" t="str">
        <x:v>Habitat individuel</x:v>
      </x:c>
      <x:c r="E3021" t="str">
        <x:v>Habitat de réparation d'instruments à vent</x:v>
      </x:c>
      <x:c r="F3021" t="n">
        <x:v>9</x:v>
      </x:c>
      <x:c r="G3021" t="n">
        <x:v>8</x:v>
      </x:c>
      <x:c r="H3021" t="n">
        <x:v>8</x:v>
      </x:c>
      <x:c r="I3021" t="str">
        <x:v>À qualifier par lieu</x:v>
      </x:c>
      <x:c r="J3021" t="str">
        <x:v>https://github.com/darknigthmare/deadwall-last-enclosure/blob/1b3b9c5ba232734b1bda3453b4e20a0481bcdd74/codex-3000/addendum-1.58/PROGRAMMES_A.json</x:v>
      </x:c>
      <x:c r="K3021" t="str">
        <x:v>Source min 32,36 m ; max 32,36 m ; modèle 32 × 36 m ; niveaux 0, 1. Détails dans catalogue-existant.json.</x:v>
      </x:c>
    </x:row>
    <x:row r="3022">
      <x:c r="A3022" t="str">
        <x:v>DW-3017</x:v>
      </x:c>
      <x:c r="B3022" t="str">
        <x:v>DW-3017</x:v>
      </x:c>
      <x:c r="C3022" t="str">
        <x:v>Parent indépendant 1.58</x:v>
      </x:c>
      <x:c r="D3022" t="str">
        <x:v>Habitat individuel</x:v>
      </x:c>
      <x:c r="E3022" t="str">
        <x:v>Maison de coutelier artisanal</x:v>
      </x:c>
      <x:c r="F3022" t="n">
        <x:v>9</x:v>
      </x:c>
      <x:c r="G3022" t="n">
        <x:v>8</x:v>
      </x:c>
      <x:c r="H3022" t="n">
        <x:v>8</x:v>
      </x:c>
      <x:c r="I3022" t="str">
        <x:v>À qualifier par lieu</x:v>
      </x:c>
      <x:c r="J3022" t="str">
        <x:v>https://github.com/darknigthmare/deadwall-last-enclosure/blob/1b3b9c5ba232734b1bda3453b4e20a0481bcdd74/codex-3000/addendum-1.58/PROGRAMMES_A.json</x:v>
      </x:c>
      <x:c r="K3022" t="str">
        <x:v>Source min 32,36 m ; max 32,36 m ; modèle 32 × 36 m ; niveaux 0, 1. Détails dans catalogue-existant.json.</x:v>
      </x:c>
    </x:row>
    <x:row r="3023">
      <x:c r="A3023" t="str">
        <x:v>DW-3018</x:v>
      </x:c>
      <x:c r="B3023" t="str">
        <x:v>DW-3018</x:v>
      </x:c>
      <x:c r="C3023" t="str">
        <x:v>Parent indépendant 1.58</x:v>
      </x:c>
      <x:c r="D3023" t="str">
        <x:v>Habitat individuel</x:v>
      </x:c>
      <x:c r="E3023" t="str">
        <x:v>Logement-atelier de sellerie</x:v>
      </x:c>
      <x:c r="F3023" t="n">
        <x:v>9</x:v>
      </x:c>
      <x:c r="G3023" t="n">
        <x:v>8</x:v>
      </x:c>
      <x:c r="H3023" t="n">
        <x:v>8</x:v>
      </x:c>
      <x:c r="I3023" t="str">
        <x:v>À qualifier par lieu</x:v>
      </x:c>
      <x:c r="J3023" t="str">
        <x:v>https://github.com/darknigthmare/deadwall-last-enclosure/blob/1b3b9c5ba232734b1bda3453b4e20a0481bcdd74/codex-3000/addendum-1.58/PROGRAMMES_A.json</x:v>
      </x:c>
      <x:c r="K3023" t="str">
        <x:v>Source min 32,36 m ; max 32,36 m ; modèle 32 × 36 m ; niveaux 0, 1. Détails dans catalogue-existant.json.</x:v>
      </x:c>
    </x:row>
    <x:row r="3024">
      <x:c r="A3024" t="str">
        <x:v>DW-3019</x:v>
      </x:c>
      <x:c r="B3024" t="str">
        <x:v>DW-3019</x:v>
      </x:c>
      <x:c r="C3024" t="str">
        <x:v>Parent indépendant 1.58</x:v>
      </x:c>
      <x:c r="D3024" t="str">
        <x:v>Habitat individuel</x:v>
      </x:c>
      <x:c r="E3024" t="str">
        <x:v>Maison de ganterie</x:v>
      </x:c>
      <x:c r="F3024" t="n">
        <x:v>9</x:v>
      </x:c>
      <x:c r="G3024" t="n">
        <x:v>8</x:v>
      </x:c>
      <x:c r="H3024" t="n">
        <x:v>8</x:v>
      </x:c>
      <x:c r="I3024" t="str">
        <x:v>À qualifier par lieu</x:v>
      </x:c>
      <x:c r="J3024" t="str">
        <x:v>https://github.com/darknigthmare/deadwall-last-enclosure/blob/1b3b9c5ba232734b1bda3453b4e20a0481bcdd74/codex-3000/addendum-1.58/PROGRAMMES_A.json</x:v>
      </x:c>
      <x:c r="K3024" t="str">
        <x:v>Source min 32,36 m ; max 32,36 m ; modèle 32 × 36 m ; niveaux 0, 1. Détails dans catalogue-existant.json.</x:v>
      </x:c>
    </x:row>
    <x:row r="3025">
      <x:c r="A3025" t="str">
        <x:v>DW-3020</x:v>
      </x:c>
      <x:c r="B3025" t="str">
        <x:v>DW-3020</x:v>
      </x:c>
      <x:c r="C3025" t="str">
        <x:v>Parent indépendant 1.58</x:v>
      </x:c>
      <x:c r="D3025" t="str">
        <x:v>Habitat individuel</x:v>
      </x:c>
      <x:c r="E3025" t="str">
        <x:v>Habitat d'enluminure</x:v>
      </x:c>
      <x:c r="F3025" t="n">
        <x:v>9</x:v>
      </x:c>
      <x:c r="G3025" t="n">
        <x:v>8</x:v>
      </x:c>
      <x:c r="H3025" t="n">
        <x:v>8</x:v>
      </x:c>
      <x:c r="I3025" t="str">
        <x:v>À qualifier par lieu</x:v>
      </x:c>
      <x:c r="J3025" t="str">
        <x:v>https://github.com/darknigthmare/deadwall-last-enclosure/blob/1b3b9c5ba232734b1bda3453b4e20a0481bcdd74/codex-3000/addendum-1.58/PROGRAMMES_A.json</x:v>
      </x:c>
      <x:c r="K3025" t="str">
        <x:v>Source min 32,36 m ; max 32,36 m ; modèle 32 × 36 m ; niveaux 0, 1. Détails dans catalogue-existant.json.</x:v>
      </x:c>
    </x:row>
    <x:row r="3026">
      <x:c r="A3026" t="str">
        <x:v>DW-3021</x:v>
      </x:c>
      <x:c r="B3026" t="str">
        <x:v>DW-3021</x:v>
      </x:c>
      <x:c r="C3026" t="str">
        <x:v>Parent indépendant 1.58</x:v>
      </x:c>
      <x:c r="D3026" t="str">
        <x:v>Habitat individuel</x:v>
      </x:c>
      <x:c r="E3026" t="str">
        <x:v>Maison de garde d'enfants partagée</x:v>
      </x:c>
      <x:c r="F3026" t="n">
        <x:v>9</x:v>
      </x:c>
      <x:c r="G3026" t="n">
        <x:v>8</x:v>
      </x:c>
      <x:c r="H3026" t="n">
        <x:v>8</x:v>
      </x:c>
      <x:c r="I3026" t="str">
        <x:v>À qualifier par lieu</x:v>
      </x:c>
      <x:c r="J3026" t="str">
        <x:v>https://github.com/darknigthmare/deadwall-last-enclosure/blob/1b3b9c5ba232734b1bda3453b4e20a0481bcdd74/codex-3000/addendum-1.58/PROGRAMMES_A.json</x:v>
      </x:c>
      <x:c r="K3026" t="str">
        <x:v>Source min 32,36 m ; max 32,36 m ; modèle 32 × 36 m ; niveaux 0, 1. Détails dans catalogue-existant.json.</x:v>
      </x:c>
    </x:row>
    <x:row r="3027">
      <x:c r="A3027" t="str">
        <x:v>DW-3022</x:v>
      </x:c>
      <x:c r="B3027" t="str">
        <x:v>DW-3022</x:v>
      </x:c>
      <x:c r="C3027" t="str">
        <x:v>Parent indépendant 1.58</x:v>
      </x:c>
      <x:c r="D3027" t="str">
        <x:v>Habitat individuel</x:v>
      </x:c>
      <x:c r="E3027" t="str">
        <x:v>Habitat à chambre de veille</x:v>
      </x:c>
      <x:c r="F3027" t="n">
        <x:v>9</x:v>
      </x:c>
      <x:c r="G3027" t="n">
        <x:v>8</x:v>
      </x:c>
      <x:c r="H3027" t="n">
        <x:v>8</x:v>
      </x:c>
      <x:c r="I3027" t="str">
        <x:v>À qualifier par lieu</x:v>
      </x:c>
      <x:c r="J3027" t="str">
        <x:v>https://github.com/darknigthmare/deadwall-last-enclosure/blob/1b3b9c5ba232734b1bda3453b4e20a0481bcdd74/codex-3000/addendum-1.58/PROGRAMMES_A.json</x:v>
      </x:c>
      <x:c r="K3027" t="str">
        <x:v>Source min 32,36 m ; max 32,36 m ; modèle 32 × 36 m ; niveaux 0, 1. Détails dans catalogue-existant.json.</x:v>
      </x:c>
    </x:row>
    <x:row r="3028">
      <x:c r="A3028" t="str">
        <x:v>DW-3023</x:v>
      </x:c>
      <x:c r="B3028" t="str">
        <x:v>DW-3023</x:v>
      </x:c>
      <x:c r="C3028" t="str">
        <x:v>Parent indépendant 1.58</x:v>
      </x:c>
      <x:c r="D3028" t="str">
        <x:v>Habitat individuel</x:v>
      </x:c>
      <x:c r="E3028" t="str">
        <x:v>Maison d'accueil de fratries</x:v>
      </x:c>
      <x:c r="F3028" t="n">
        <x:v>9</x:v>
      </x:c>
      <x:c r="G3028" t="n">
        <x:v>8</x:v>
      </x:c>
      <x:c r="H3028" t="n">
        <x:v>8</x:v>
      </x:c>
      <x:c r="I3028" t="str">
        <x:v>À qualifier par lieu</x:v>
      </x:c>
      <x:c r="J3028" t="str">
        <x:v>https://github.com/darknigthmare/deadwall-last-enclosure/blob/1b3b9c5ba232734b1bda3453b4e20a0481bcdd74/codex-3000/addendum-1.58/PROGRAMMES_A.json</x:v>
      </x:c>
      <x:c r="K3028" t="str">
        <x:v>Source min 32,36 m ; max 32,36 m ; modèle 32 × 36 m ; niveaux 0, 1. Détails dans catalogue-existant.json.</x:v>
      </x:c>
    </x:row>
    <x:row r="3029">
      <x:c r="A3029" t="str">
        <x:v>DW-3024</x:v>
      </x:c>
      <x:c r="B3029" t="str">
        <x:v>DW-3024</x:v>
      </x:c>
      <x:c r="C3029" t="str">
        <x:v>Parent indépendant 1.58</x:v>
      </x:c>
      <x:c r="D3029" t="str">
        <x:v>Habitat individuel</x:v>
      </x:c>
      <x:c r="E3029" t="str">
        <x:v>Habitat de garde alternée familiale</x:v>
      </x:c>
      <x:c r="F3029" t="n">
        <x:v>9</x:v>
      </x:c>
      <x:c r="G3029" t="n">
        <x:v>8</x:v>
      </x:c>
      <x:c r="H3029" t="n">
        <x:v>8</x:v>
      </x:c>
      <x:c r="I3029" t="str">
        <x:v>À qualifier par lieu</x:v>
      </x:c>
      <x:c r="J3029" t="str">
        <x:v>https://github.com/darknigthmare/deadwall-last-enclosure/blob/1b3b9c5ba232734b1bda3453b4e20a0481bcdd74/codex-3000/addendum-1.58/PROGRAMMES_A.json</x:v>
      </x:c>
      <x:c r="K3029" t="str">
        <x:v>Source min 32,36 m ; max 32,36 m ; modèle 32 × 36 m ; niveaux 0, 1. Détails dans catalogue-existant.json.</x:v>
      </x:c>
    </x:row>
    <x:row r="3030">
      <x:c r="A3030" t="str">
        <x:v>DW-3025</x:v>
      </x:c>
      <x:c r="B3030" t="str">
        <x:v>DW-3025</x:v>
      </x:c>
      <x:c r="C3030" t="str">
        <x:v>Parent indépendant 1.58</x:v>
      </x:c>
      <x:c r="D3030" t="str">
        <x:v>Habitat individuel</x:v>
      </x:c>
      <x:c r="E3030" t="str">
        <x:v>Maison de familles recomposées</x:v>
      </x:c>
      <x:c r="F3030" t="n">
        <x:v>9</x:v>
      </x:c>
      <x:c r="G3030" t="n">
        <x:v>8</x:v>
      </x:c>
      <x:c r="H3030" t="n">
        <x:v>8</x:v>
      </x:c>
      <x:c r="I3030" t="str">
        <x:v>À qualifier par lieu</x:v>
      </x:c>
      <x:c r="J3030" t="str">
        <x:v>https://github.com/darknigthmare/deadwall-last-enclosure/blob/1b3b9c5ba232734b1bda3453b4e20a0481bcdd74/codex-3000/addendum-1.58/PROGRAMMES_A.json</x:v>
      </x:c>
      <x:c r="K3030" t="str">
        <x:v>Source min 32,36 m ; max 32,36 m ; modèle 32 × 36 m ; niveaux 0, 1. Détails dans catalogue-existant.json.</x:v>
      </x:c>
    </x:row>
    <x:row r="3031">
      <x:c r="A3031" t="str">
        <x:v>DW-3026</x:v>
      </x:c>
      <x:c r="B3031" t="str">
        <x:v>DW-3026</x:v>
      </x:c>
      <x:c r="C3031" t="str">
        <x:v>Parent indépendant 1.58</x:v>
      </x:c>
      <x:c r="D3031" t="str">
        <x:v>Habitat individuel</x:v>
      </x:c>
      <x:c r="E3031" t="str">
        <x:v>Maison de retour de convalescence</x:v>
      </x:c>
      <x:c r="F3031" t="n">
        <x:v>9</x:v>
      </x:c>
      <x:c r="G3031" t="n">
        <x:v>8</x:v>
      </x:c>
      <x:c r="H3031" t="n">
        <x:v>8</x:v>
      </x:c>
      <x:c r="I3031" t="str">
        <x:v>À qualifier par lieu</x:v>
      </x:c>
      <x:c r="J3031" t="str">
        <x:v>https://github.com/darknigthmare/deadwall-last-enclosure/blob/1b3b9c5ba232734b1bda3453b4e20a0481bcdd74/codex-3000/addendum-1.58/PROGRAMMES_A.json</x:v>
      </x:c>
      <x:c r="K3031" t="str">
        <x:v>Source min 32,36 m ; max 32,36 m ; modèle 32 × 36 m ; niveaux 0, 1. Détails dans catalogue-existant.json.</x:v>
      </x:c>
    </x:row>
    <x:row r="3032">
      <x:c r="A3032" t="str">
        <x:v>DW-3027</x:v>
      </x:c>
      <x:c r="B3032" t="str">
        <x:v>DW-3027</x:v>
      </x:c>
      <x:c r="C3032" t="str">
        <x:v>Parent indépendant 1.58</x:v>
      </x:c>
      <x:c r="D3032" t="str">
        <x:v>Habitat individuel</x:v>
      </x:c>
      <x:c r="E3032" t="str">
        <x:v>Habitat de lecture tactile</x:v>
      </x:c>
      <x:c r="F3032" t="n">
        <x:v>9</x:v>
      </x:c>
      <x:c r="G3032" t="n">
        <x:v>8</x:v>
      </x:c>
      <x:c r="H3032" t="n">
        <x:v>8</x:v>
      </x:c>
      <x:c r="I3032" t="str">
        <x:v>À qualifier par lieu</x:v>
      </x:c>
      <x:c r="J3032" t="str">
        <x:v>https://github.com/darknigthmare/deadwall-last-enclosure/blob/1b3b9c5ba232734b1bda3453b4e20a0481bcdd74/codex-3000/addendum-1.58/PROGRAMMES_A.json</x:v>
      </x:c>
      <x:c r="K3032" t="str">
        <x:v>Source min 32,36 m ; max 32,36 m ; modèle 32 × 36 m ; niveaux 0, 1. Détails dans catalogue-existant.json.</x:v>
      </x:c>
    </x:row>
    <x:row r="3033">
      <x:c r="A3033" t="str">
        <x:v>DW-3028</x:v>
      </x:c>
      <x:c r="B3033" t="str">
        <x:v>DW-3028</x:v>
      </x:c>
      <x:c r="C3033" t="str">
        <x:v>Parent indépendant 1.58</x:v>
      </x:c>
      <x:c r="D3033" t="str">
        <x:v>Habitat individuel</x:v>
      </x:c>
      <x:c r="E3033" t="str">
        <x:v>Maison de mobilité accompagnée</x:v>
      </x:c>
      <x:c r="F3033" t="n">
        <x:v>9</x:v>
      </x:c>
      <x:c r="G3033" t="n">
        <x:v>8</x:v>
      </x:c>
      <x:c r="H3033" t="n">
        <x:v>8</x:v>
      </x:c>
      <x:c r="I3033" t="str">
        <x:v>À qualifier par lieu</x:v>
      </x:c>
      <x:c r="J3033" t="str">
        <x:v>https://github.com/darknigthmare/deadwall-last-enclosure/blob/1b3b9c5ba232734b1bda3453b4e20a0481bcdd74/codex-3000/addendum-1.58/PROGRAMMES_A.json</x:v>
      </x:c>
      <x:c r="K3033" t="str">
        <x:v>Source min 32,36 m ; max 32,36 m ; modèle 32 × 36 m ; niveaux 0, 1. Détails dans catalogue-existant.json.</x:v>
      </x:c>
    </x:row>
    <x:row r="3034">
      <x:c r="A3034" t="str">
        <x:v>DW-3029</x:v>
      </x:c>
      <x:c r="B3034" t="str">
        <x:v>DW-3029</x:v>
      </x:c>
      <x:c r="C3034" t="str">
        <x:v>Parent indépendant 1.58</x:v>
      </x:c>
      <x:c r="D3034" t="str">
        <x:v>Habitat individuel</x:v>
      </x:c>
      <x:c r="E3034" t="str">
        <x:v>Habitat à cuisine nutritionnelle</x:v>
      </x:c>
      <x:c r="F3034" t="n">
        <x:v>9</x:v>
      </x:c>
      <x:c r="G3034" t="n">
        <x:v>8</x:v>
      </x:c>
      <x:c r="H3034" t="n">
        <x:v>8</x:v>
      </x:c>
      <x:c r="I3034" t="str">
        <x:v>À qualifier par lieu</x:v>
      </x:c>
      <x:c r="J3034" t="str">
        <x:v>https://github.com/darknigthmare/deadwall-last-enclosure/blob/1b3b9c5ba232734b1bda3453b4e20a0481bcdd74/codex-3000/addendum-1.58/PROGRAMMES_A.json</x:v>
      </x:c>
      <x:c r="K3034" t="str">
        <x:v>Source min 32,36 m ; max 32,36 m ; modèle 32 × 36 m ; niveaux 0, 1. Détails dans catalogue-existant.json.</x:v>
      </x:c>
    </x:row>
    <x:row r="3035">
      <x:c r="A3035" t="str">
        <x:v>DW-3030</x:v>
      </x:c>
      <x:c r="B3035" t="str">
        <x:v>DW-3030</x:v>
      </x:c>
      <x:c r="C3035" t="str">
        <x:v>Parent indépendant 1.58</x:v>
      </x:c>
      <x:c r="D3035" t="str">
        <x:v>Habitat individuel</x:v>
      </x:c>
      <x:c r="E3035" t="str">
        <x:v>Maison de repas intergénérationnels</x:v>
      </x:c>
      <x:c r="F3035" t="n">
        <x:v>9</x:v>
      </x:c>
      <x:c r="G3035" t="n">
        <x:v>8</x:v>
      </x:c>
      <x:c r="H3035" t="n">
        <x:v>8</x:v>
      </x:c>
      <x:c r="I3035" t="str">
        <x:v>À qualifier par lieu</x:v>
      </x:c>
      <x:c r="J3035" t="str">
        <x:v>https://github.com/darknigthmare/deadwall-last-enclosure/blob/1b3b9c5ba232734b1bda3453b4e20a0481bcdd74/codex-3000/addendum-1.58/PROGRAMMES_A.json</x:v>
      </x:c>
      <x:c r="K3035" t="str">
        <x:v>Source min 32,36 m ; max 32,36 m ; modèle 32 × 36 m ; niveaux 0, 1. Détails dans catalogue-existant.json.</x:v>
      </x:c>
    </x:row>
    <x:row r="3036">
      <x:c r="A3036" t="str">
        <x:v>DW-3031</x:v>
      </x:c>
      <x:c r="B3036" t="str">
        <x:v>DW-3031</x:v>
      </x:c>
      <x:c r="C3036" t="str">
        <x:v>Parent indépendant 1.58</x:v>
      </x:c>
      <x:c r="D3036" t="str">
        <x:v>Habitat individuel</x:v>
      </x:c>
      <x:c r="E3036" t="str">
        <x:v>Maison de mémoire familiale</x:v>
      </x:c>
      <x:c r="F3036" t="n">
        <x:v>9</x:v>
      </x:c>
      <x:c r="G3036" t="n">
        <x:v>8</x:v>
      </x:c>
      <x:c r="H3036" t="n">
        <x:v>8</x:v>
      </x:c>
      <x:c r="I3036" t="str">
        <x:v>À qualifier par lieu</x:v>
      </x:c>
      <x:c r="J3036" t="str">
        <x:v>https://github.com/darknigthmare/deadwall-last-enclosure/blob/1b3b9c5ba232734b1bda3453b4e20a0481bcdd74/codex-3000/addendum-1.58/PROGRAMMES_A.json</x:v>
      </x:c>
      <x:c r="K3036" t="str">
        <x:v>Source min 32,36 m ; max 32,36 m ; modèle 32 × 36 m ; niveaux 0, 1. Détails dans catalogue-existant.json.</x:v>
      </x:c>
    </x:row>
    <x:row r="3037">
      <x:c r="A3037" t="str">
        <x:v>DW-3032</x:v>
      </x:c>
      <x:c r="B3037" t="str">
        <x:v>DW-3032</x:v>
      </x:c>
      <x:c r="C3037" t="str">
        <x:v>Parent indépendant 1.58</x:v>
      </x:c>
      <x:c r="D3037" t="str">
        <x:v>Habitat individuel</x:v>
      </x:c>
      <x:c r="E3037" t="str">
        <x:v>Habitation de traduction à domicile</x:v>
      </x:c>
      <x:c r="F3037" t="n">
        <x:v>9</x:v>
      </x:c>
      <x:c r="G3037" t="n">
        <x:v>8</x:v>
      </x:c>
      <x:c r="H3037" t="n">
        <x:v>8</x:v>
      </x:c>
      <x:c r="I3037" t="str">
        <x:v>À qualifier par lieu</x:v>
      </x:c>
      <x:c r="J3037" t="str">
        <x:v>https://github.com/darknigthmare/deadwall-last-enclosure/blob/1b3b9c5ba232734b1bda3453b4e20a0481bcdd74/codex-3000/addendum-1.58/PROGRAMMES_A.json</x:v>
      </x:c>
      <x:c r="K3037" t="str">
        <x:v>Source min 32,36 m ; max 32,36 m ; modèle 32 × 36 m ; niveaux 0, 1. Détails dans catalogue-existant.json.</x:v>
      </x:c>
    </x:row>
    <x:row r="3038">
      <x:c r="A3038" t="str">
        <x:v>DW-3033</x:v>
      </x:c>
      <x:c r="B3038" t="str">
        <x:v>DW-3033</x:v>
      </x:c>
      <x:c r="C3038" t="str">
        <x:v>Parent indépendant 1.58</x:v>
      </x:c>
      <x:c r="D3038" t="str">
        <x:v>Habitat individuel</x:v>
      </x:c>
      <x:c r="E3038" t="str">
        <x:v>Maison d'étude acoustique domestique</x:v>
      </x:c>
      <x:c r="F3038" t="n">
        <x:v>9</x:v>
      </x:c>
      <x:c r="G3038" t="n">
        <x:v>8</x:v>
      </x:c>
      <x:c r="H3038" t="n">
        <x:v>8</x:v>
      </x:c>
      <x:c r="I3038" t="str">
        <x:v>À qualifier par lieu</x:v>
      </x:c>
      <x:c r="J3038" t="str">
        <x:v>https://github.com/darknigthmare/deadwall-last-enclosure/blob/1b3b9c5ba232734b1bda3453b4e20a0481bcdd74/codex-3000/addendum-1.58/PROGRAMMES_A.json</x:v>
      </x:c>
      <x:c r="K3038" t="str">
        <x:v>Source min 32,36 m ; max 32,36 m ; modèle 32 × 36 m ; niveaux 0, 1. Détails dans catalogue-existant.json.</x:v>
      </x:c>
    </x:row>
    <x:row r="3039">
      <x:c r="A3039" t="str">
        <x:v>DW-3034</x:v>
      </x:c>
      <x:c r="B3039" t="str">
        <x:v>DW-3034</x:v>
      </x:c>
      <x:c r="C3039" t="str">
        <x:v>Parent indépendant 1.58</x:v>
      </x:c>
      <x:c r="D3039" t="str">
        <x:v>Habitat individuel</x:v>
      </x:c>
      <x:c r="E3039" t="str">
        <x:v>Habitat de couture partagée</x:v>
      </x:c>
      <x:c r="F3039" t="n">
        <x:v>9</x:v>
      </x:c>
      <x:c r="G3039" t="n">
        <x:v>8</x:v>
      </x:c>
      <x:c r="H3039" t="n">
        <x:v>8</x:v>
      </x:c>
      <x:c r="I3039" t="str">
        <x:v>À qualifier par lieu</x:v>
      </x:c>
      <x:c r="J3039" t="str">
        <x:v>https://github.com/darknigthmare/deadwall-last-enclosure/blob/1b3b9c5ba232734b1bda3453b4e20a0481bcdd74/codex-3000/addendum-1.58/PROGRAMMES_A.json</x:v>
      </x:c>
      <x:c r="K3039" t="str">
        <x:v>Source min 32,36 m ; max 32,36 m ; modèle 32 × 36 m ; niveaux 0, 1. Détails dans catalogue-existant.json.</x:v>
      </x:c>
    </x:row>
    <x:row r="3040">
      <x:c r="A3040" t="str">
        <x:v>DW-3035</x:v>
      </x:c>
      <x:c r="B3040" t="str">
        <x:v>DW-3035</x:v>
      </x:c>
      <x:c r="C3040" t="str">
        <x:v>Parent indépendant 1.58</x:v>
      </x:c>
      <x:c r="D3040" t="str">
        <x:v>Habitat individuel</x:v>
      </x:c>
      <x:c r="E3040" t="str">
        <x:v>Maison de conservation de semences</x:v>
      </x:c>
      <x:c r="F3040" t="n">
        <x:v>9</x:v>
      </x:c>
      <x:c r="G3040" t="n">
        <x:v>8</x:v>
      </x:c>
      <x:c r="H3040" t="n">
        <x:v>8</x:v>
      </x:c>
      <x:c r="I3040" t="str">
        <x:v>À qualifier par lieu</x:v>
      </x:c>
      <x:c r="J3040" t="str">
        <x:v>https://github.com/darknigthmare/deadwall-last-enclosure/blob/1b3b9c5ba232734b1bda3453b4e20a0481bcdd74/codex-3000/addendum-1.58/PROGRAMMES_A.json</x:v>
      </x:c>
      <x:c r="K3040" t="str">
        <x:v>Source min 32,36 m ; max 32,36 m ; modèle 32 × 36 m ; niveaux 0, 1. Détails dans catalogue-existant.json.</x:v>
      </x:c>
    </x:row>
    <x:row r="3041">
      <x:c r="A3041" t="str">
        <x:v>DW-3036</x:v>
      </x:c>
      <x:c r="B3041" t="str">
        <x:v>DW-3036</x:v>
      </x:c>
      <x:c r="C3041" t="str">
        <x:v>Parent indépendant 1.58</x:v>
      </x:c>
      <x:c r="D3041" t="str">
        <x:v>Habitat individuel</x:v>
      </x:c>
      <x:c r="E3041" t="str">
        <x:v>Habitation de jardinier de collections</x:v>
      </x:c>
      <x:c r="F3041" t="n">
        <x:v>9</x:v>
      </x:c>
      <x:c r="G3041" t="n">
        <x:v>8</x:v>
      </x:c>
      <x:c r="H3041" t="n">
        <x:v>8</x:v>
      </x:c>
      <x:c r="I3041" t="str">
        <x:v>À qualifier par lieu</x:v>
      </x:c>
      <x:c r="J3041" t="str">
        <x:v>https://github.com/darknigthmare/deadwall-last-enclosure/blob/1b3b9c5ba232734b1bda3453b4e20a0481bcdd74/codex-3000/addendum-1.58/PROGRAMMES_A.json</x:v>
      </x:c>
      <x:c r="K3041" t="str">
        <x:v>Source min 32,36 m ; max 32,36 m ; modèle 32 × 36 m ; niveaux 0, 1. Détails dans catalogue-existant.json.</x:v>
      </x:c>
    </x:row>
    <x:row r="3042">
      <x:c r="A3042" t="str">
        <x:v>DW-3037</x:v>
      </x:c>
      <x:c r="B3042" t="str">
        <x:v>DW-3037</x:v>
      </x:c>
      <x:c r="C3042" t="str">
        <x:v>Parent indépendant 1.58</x:v>
      </x:c>
      <x:c r="D3042" t="str">
        <x:v>Habitat individuel</x:v>
      </x:c>
      <x:c r="E3042" t="str">
        <x:v>Maison de préparation de randonnées</x:v>
      </x:c>
      <x:c r="F3042" t="n">
        <x:v>9</x:v>
      </x:c>
      <x:c r="G3042" t="n">
        <x:v>8</x:v>
      </x:c>
      <x:c r="H3042" t="n">
        <x:v>8</x:v>
      </x:c>
      <x:c r="I3042" t="str">
        <x:v>À qualifier par lieu</x:v>
      </x:c>
      <x:c r="J3042" t="str">
        <x:v>https://github.com/darknigthmare/deadwall-last-enclosure/blob/1b3b9c5ba232734b1bda3453b4e20a0481bcdd74/codex-3000/addendum-1.58/PROGRAMMES_A.json</x:v>
      </x:c>
      <x:c r="K3042" t="str">
        <x:v>Source min 32,36 m ; max 32,36 m ; modèle 32 × 36 m ; niveaux 0, 1. Détails dans catalogue-existant.json.</x:v>
      </x:c>
    </x:row>
    <x:row r="3043">
      <x:c r="A3043" t="str">
        <x:v>DW-3038</x:v>
      </x:c>
      <x:c r="B3043" t="str">
        <x:v>DW-3038</x:v>
      </x:c>
      <x:c r="C3043" t="str">
        <x:v>Parent indépendant 1.58</x:v>
      </x:c>
      <x:c r="D3043" t="str">
        <x:v>Habitat individuel</x:v>
      </x:c>
      <x:c r="E3043" t="str">
        <x:v>Habitat d'entretien de cycles familiaux</x:v>
      </x:c>
      <x:c r="F3043" t="n">
        <x:v>9</x:v>
      </x:c>
      <x:c r="G3043" t="n">
        <x:v>8</x:v>
      </x:c>
      <x:c r="H3043" t="n">
        <x:v>8</x:v>
      </x:c>
      <x:c r="I3043" t="str">
        <x:v>À qualifier par lieu</x:v>
      </x:c>
      <x:c r="J3043" t="str">
        <x:v>https://github.com/darknigthmare/deadwall-last-enclosure/blob/1b3b9c5ba232734b1bda3453b4e20a0481bcdd74/codex-3000/addendum-1.58/PROGRAMMES_A.json</x:v>
      </x:c>
      <x:c r="K3043" t="str">
        <x:v>Source min 32,36 m ; max 32,36 m ; modèle 32 × 36 m ; niveaux 0, 1. Détails dans catalogue-existant.json.</x:v>
      </x:c>
    </x:row>
    <x:row r="3044">
      <x:c r="A3044" t="str">
        <x:v>DW-3039</x:v>
      </x:c>
      <x:c r="B3044" t="str">
        <x:v>DW-3039</x:v>
      </x:c>
      <x:c r="C3044" t="str">
        <x:v>Parent indépendant 1.58</x:v>
      </x:c>
      <x:c r="D3044" t="str">
        <x:v>Habitat individuel</x:v>
      </x:c>
      <x:c r="E3044" t="str">
        <x:v>Maison de cuisine de bocaux</x:v>
      </x:c>
      <x:c r="F3044" t="n">
        <x:v>9</x:v>
      </x:c>
      <x:c r="G3044" t="n">
        <x:v>8</x:v>
      </x:c>
      <x:c r="H3044" t="n">
        <x:v>8</x:v>
      </x:c>
      <x:c r="I3044" t="str">
        <x:v>À qualifier par lieu</x:v>
      </x:c>
      <x:c r="J3044" t="str">
        <x:v>https://github.com/darknigthmare/deadwall-last-enclosure/blob/1b3b9c5ba232734b1bda3453b4e20a0481bcdd74/codex-3000/addendum-1.58/PROGRAMMES_A.json</x:v>
      </x:c>
      <x:c r="K3044" t="str">
        <x:v>Source min 32,36 m ; max 32,36 m ; modèle 32 × 36 m ; niveaux 0, 1. Détails dans catalogue-existant.json.</x:v>
      </x:c>
    </x:row>
    <x:row r="3045">
      <x:c r="A3045" t="str">
        <x:v>DW-3040</x:v>
      </x:c>
      <x:c r="B3045" t="str">
        <x:v>DW-3040</x:v>
      </x:c>
      <x:c r="C3045" t="str">
        <x:v>Parent indépendant 1.58</x:v>
      </x:c>
      <x:c r="D3045" t="str">
        <x:v>Habitat individuel</x:v>
      </x:c>
      <x:c r="E3045" t="str">
        <x:v>Habitat de photographie argentique</x:v>
      </x:c>
      <x:c r="F3045" t="n">
        <x:v>9</x:v>
      </x:c>
      <x:c r="G3045" t="n">
        <x:v>8</x:v>
      </x:c>
      <x:c r="H3045" t="n">
        <x:v>8</x:v>
      </x:c>
      <x:c r="I3045" t="str">
        <x:v>À qualifier par lieu</x:v>
      </x:c>
      <x:c r="J3045" t="str">
        <x:v>https://github.com/darknigthmare/deadwall-last-enclosure/blob/1b3b9c5ba232734b1bda3453b4e20a0481bcdd74/codex-3000/addendum-1.58/PROGRAMMES_A.json</x:v>
      </x:c>
      <x:c r="K3045" t="str">
        <x:v>Source min 32,36 m ; max 32,36 m ; modèle 32 × 36 m ; niveaux 0, 1. Détails dans catalogue-existant.json.</x:v>
      </x:c>
    </x:row>
    <x:row r="3046">
      <x:c r="A3046" t="str">
        <x:v>DW-3041</x:v>
      </x:c>
      <x:c r="B3046" t="str">
        <x:v>DW-3041</x:v>
      </x:c>
      <x:c r="C3046" t="str">
        <x:v>Parent indépendant 1.58</x:v>
      </x:c>
      <x:c r="D3046" t="str">
        <x:v>Habitat collectif</x:v>
      </x:c>
      <x:c r="E3046" t="str">
        <x:v>Résidence de personnels de nuit</x:v>
      </x:c>
      <x:c r="F3046" t="n">
        <x:v>9</x:v>
      </x:c>
      <x:c r="G3046" t="n">
        <x:v>8</x:v>
      </x:c>
      <x:c r="H3046" t="n">
        <x:v>8</x:v>
      </x:c>
      <x:c r="I3046" t="str">
        <x:v>À qualifier par lieu</x:v>
      </x:c>
      <x:c r="J3046" t="str">
        <x:v>https://github.com/darknigthmare/deadwall-last-enclosure/blob/1b3b9c5ba232734b1bda3453b4e20a0481bcdd74/codex-3000/addendum-1.58/PROGRAMMES_A.json</x:v>
      </x:c>
      <x:c r="K3046" t="str">
        <x:v>Source min 38,36 m ; max 38,36 m ; modèle 38 × 36 m ; niveaux 0, 1. Détails dans catalogue-existant.json.</x:v>
      </x:c>
    </x:row>
    <x:row r="3047">
      <x:c r="A3047" t="str">
        <x:v>DW-3042</x:v>
      </x:c>
      <x:c r="B3047" t="str">
        <x:v>DW-3042</x:v>
      </x:c>
      <x:c r="C3047" t="str">
        <x:v>Parent indépendant 1.58</x:v>
      </x:c>
      <x:c r="D3047" t="str">
        <x:v>Habitat collectif</x:v>
      </x:c>
      <x:c r="E3047" t="str">
        <x:v>Logements d'astreinte électrique</x:v>
      </x:c>
      <x:c r="F3047" t="n">
        <x:v>9</x:v>
      </x:c>
      <x:c r="G3047" t="n">
        <x:v>8</x:v>
      </x:c>
      <x:c r="H3047" t="n">
        <x:v>8</x:v>
      </x:c>
      <x:c r="I3047" t="str">
        <x:v>À qualifier par lieu</x:v>
      </x:c>
      <x:c r="J3047" t="str">
        <x:v>https://github.com/darknigthmare/deadwall-last-enclosure/blob/1b3b9c5ba232734b1bda3453b4e20a0481bcdd74/codex-3000/addendum-1.58/PROGRAMMES_A.json</x:v>
      </x:c>
      <x:c r="K3047" t="str">
        <x:v>Source min 38,36 m ; max 38,36 m ; modèle 38 × 36 m ; niveaux 0, 1. Détails dans catalogue-existant.json.</x:v>
      </x:c>
    </x:row>
    <x:row r="3048">
      <x:c r="A3048" t="str">
        <x:v>DW-3043</x:v>
      </x:c>
      <x:c r="B3048" t="str">
        <x:v>DW-3043</x:v>
      </x:c>
      <x:c r="C3048" t="str">
        <x:v>Parent indépendant 1.58</x:v>
      </x:c>
      <x:c r="D3048" t="str">
        <x:v>Habitat collectif</x:v>
      </x:c>
      <x:c r="E3048" t="str">
        <x:v>Foyer de marins à terre</x:v>
      </x:c>
      <x:c r="F3048" t="n">
        <x:v>9</x:v>
      </x:c>
      <x:c r="G3048" t="n">
        <x:v>8</x:v>
      </x:c>
      <x:c r="H3048" t="n">
        <x:v>8</x:v>
      </x:c>
      <x:c r="I3048" t="str">
        <x:v>À qualifier par lieu</x:v>
      </x:c>
      <x:c r="J3048" t="str">
        <x:v>https://github.com/darknigthmare/deadwall-last-enclosure/blob/1b3b9c5ba232734b1bda3453b4e20a0481bcdd74/codex-3000/addendum-1.58/PROGRAMMES_A.json</x:v>
      </x:c>
      <x:c r="K3048" t="str">
        <x:v>Source min 38,36 m ; max 38,36 m ; modèle 38 × 36 m ; niveaux 0, 1. Détails dans catalogue-existant.json.</x:v>
      </x:c>
    </x:row>
    <x:row r="3049">
      <x:c r="A3049" t="str">
        <x:v>DW-3044</x:v>
      </x:c>
      <x:c r="B3049" t="str">
        <x:v>DW-3044</x:v>
      </x:c>
      <x:c r="C3049" t="str">
        <x:v>Parent indépendant 1.58</x:v>
      </x:c>
      <x:c r="D3049" t="str">
        <x:v>Habitat collectif</x:v>
      </x:c>
      <x:c r="E3049" t="str">
        <x:v>Habitat de travailleurs du froid</x:v>
      </x:c>
      <x:c r="F3049" t="n">
        <x:v>9</x:v>
      </x:c>
      <x:c r="G3049" t="n">
        <x:v>8</x:v>
      </x:c>
      <x:c r="H3049" t="n">
        <x:v>8</x:v>
      </x:c>
      <x:c r="I3049" t="str">
        <x:v>À qualifier par lieu</x:v>
      </x:c>
      <x:c r="J3049" t="str">
        <x:v>https://github.com/darknigthmare/deadwall-last-enclosure/blob/1b3b9c5ba232734b1bda3453b4e20a0481bcdd74/codex-3000/addendum-1.58/PROGRAMMES_A.json</x:v>
      </x:c>
      <x:c r="K3049" t="str">
        <x:v>Source min 38,36 m ; max 38,36 m ; modèle 38 × 36 m ; niveaux 0, 1. Détails dans catalogue-existant.json.</x:v>
      </x:c>
    </x:row>
    <x:row r="3050">
      <x:c r="A3050" t="str">
        <x:v>DW-3045</x:v>
      </x:c>
      <x:c r="B3050" t="str">
        <x:v>DW-3045</x:v>
      </x:c>
      <x:c r="C3050" t="str">
        <x:v>Parent indépendant 1.58</x:v>
      </x:c>
      <x:c r="D3050" t="str">
        <x:v>Habitat collectif</x:v>
      </x:c>
      <x:c r="E3050" t="str">
        <x:v>Résidence de tourneurs itinérants</x:v>
      </x:c>
      <x:c r="F3050" t="n">
        <x:v>9</x:v>
      </x:c>
      <x:c r="G3050" t="n">
        <x:v>8</x:v>
      </x:c>
      <x:c r="H3050" t="n">
        <x:v>8</x:v>
      </x:c>
      <x:c r="I3050" t="str">
        <x:v>À qualifier par lieu</x:v>
      </x:c>
      <x:c r="J3050" t="str">
        <x:v>https://github.com/darknigthmare/deadwall-last-enclosure/blob/1b3b9c5ba232734b1bda3453b4e20a0481bcdd74/codex-3000/addendum-1.58/PROGRAMMES_A.json</x:v>
      </x:c>
      <x:c r="K3050" t="str">
        <x:v>Source min 38,36 m ; max 38,36 m ; modèle 38 × 36 m ; niveaux 0, 1. Détails dans catalogue-existant.json.</x:v>
      </x:c>
    </x:row>
    <x:row r="3051">
      <x:c r="A3051" t="str">
        <x:v>DW-3046</x:v>
      </x:c>
      <x:c r="B3051" t="str">
        <x:v>DW-3046</x:v>
      </x:c>
      <x:c r="C3051" t="str">
        <x:v>Parent indépendant 1.58</x:v>
      </x:c>
      <x:c r="D3051" t="str">
        <x:v>Habitat collectif</x:v>
      </x:c>
      <x:c r="E3051" t="str">
        <x:v>Logements de mineurs en rotation</x:v>
      </x:c>
      <x:c r="F3051" t="n">
        <x:v>9</x:v>
      </x:c>
      <x:c r="G3051" t="n">
        <x:v>8</x:v>
      </x:c>
      <x:c r="H3051" t="n">
        <x:v>8</x:v>
      </x:c>
      <x:c r="I3051" t="str">
        <x:v>À qualifier par lieu</x:v>
      </x:c>
      <x:c r="J3051" t="str">
        <x:v>https://github.com/darknigthmare/deadwall-last-enclosure/blob/1b3b9c5ba232734b1bda3453b4e20a0481bcdd74/codex-3000/addendum-1.58/PROGRAMMES_A.json</x:v>
      </x:c>
      <x:c r="K3051" t="str">
        <x:v>Source min 38,36 m ; max 38,36 m ; modèle 38 × 36 m ; niveaux 0, 1. Détails dans catalogue-existant.json.</x:v>
      </x:c>
    </x:row>
    <x:row r="3052">
      <x:c r="A3052" t="str">
        <x:v>DW-3047</x:v>
      </x:c>
      <x:c r="B3052" t="str">
        <x:v>DW-3047</x:v>
      </x:c>
      <x:c r="C3052" t="str">
        <x:v>Parent indépendant 1.58</x:v>
      </x:c>
      <x:c r="D3052" t="str">
        <x:v>Habitat collectif</x:v>
      </x:c>
      <x:c r="E3052" t="str">
        <x:v>Foyer de machinistes de théâtre</x:v>
      </x:c>
      <x:c r="F3052" t="n">
        <x:v>9</x:v>
      </x:c>
      <x:c r="G3052" t="n">
        <x:v>8</x:v>
      </x:c>
      <x:c r="H3052" t="n">
        <x:v>8</x:v>
      </x:c>
      <x:c r="I3052" t="str">
        <x:v>À qualifier par lieu</x:v>
      </x:c>
      <x:c r="J3052" t="str">
        <x:v>https://github.com/darknigthmare/deadwall-last-enclosure/blob/1b3b9c5ba232734b1bda3453b4e20a0481bcdd74/codex-3000/addendum-1.58/PROGRAMMES_A.json</x:v>
      </x:c>
      <x:c r="K3052" t="str">
        <x:v>Source min 38,36 m ; max 38,36 m ; modèle 38 × 36 m ; niveaux 0, 1. Détails dans catalogue-existant.json.</x:v>
      </x:c>
    </x:row>
    <x:row r="3053">
      <x:c r="A3053" t="str">
        <x:v>DW-3048</x:v>
      </x:c>
      <x:c r="B3053" t="str">
        <x:v>DW-3048</x:v>
      </x:c>
      <x:c r="C3053" t="str">
        <x:v>Parent indépendant 1.58</x:v>
      </x:c>
      <x:c r="D3053" t="str">
        <x:v>Habitat collectif</x:v>
      </x:c>
      <x:c r="E3053" t="str">
        <x:v>Résidence de saisonniers de verger</x:v>
      </x:c>
      <x:c r="F3053" t="n">
        <x:v>9</x:v>
      </x:c>
      <x:c r="G3053" t="n">
        <x:v>8</x:v>
      </x:c>
      <x:c r="H3053" t="n">
        <x:v>8</x:v>
      </x:c>
      <x:c r="I3053" t="str">
        <x:v>À qualifier par lieu</x:v>
      </x:c>
      <x:c r="J3053" t="str">
        <x:v>https://github.com/darknigthmare/deadwall-last-enclosure/blob/1b3b9c5ba232734b1bda3453b4e20a0481bcdd74/codex-3000/addendum-1.58/PROGRAMMES_A.json</x:v>
      </x:c>
      <x:c r="K3053" t="str">
        <x:v>Source min 38,36 m ; max 38,36 m ; modèle 38 × 36 m ; niveaux 0, 1. Détails dans catalogue-existant.json.</x:v>
      </x:c>
    </x:row>
    <x:row r="3054">
      <x:c r="A3054" t="str">
        <x:v>DW-3049</x:v>
      </x:c>
      <x:c r="B3054" t="str">
        <x:v>DW-3049</x:v>
      </x:c>
      <x:c r="C3054" t="str">
        <x:v>Parent indépendant 1.58</x:v>
      </x:c>
      <x:c r="D3054" t="str">
        <x:v>Habitat collectif</x:v>
      </x:c>
      <x:c r="E3054" t="str">
        <x:v>Logements d'apprentis boulangers</x:v>
      </x:c>
      <x:c r="F3054" t="n">
        <x:v>9</x:v>
      </x:c>
      <x:c r="G3054" t="n">
        <x:v>8</x:v>
      </x:c>
      <x:c r="H3054" t="n">
        <x:v>8</x:v>
      </x:c>
      <x:c r="I3054" t="str">
        <x:v>À qualifier par lieu</x:v>
      </x:c>
      <x:c r="J3054" t="str">
        <x:v>https://github.com/darknigthmare/deadwall-last-enclosure/blob/1b3b9c5ba232734b1bda3453b4e20a0481bcdd74/codex-3000/addendum-1.58/PROGRAMMES_A.json</x:v>
      </x:c>
      <x:c r="K3054" t="str">
        <x:v>Source min 38,36 m ; max 38,36 m ; modèle 38 × 36 m ; niveaux 0, 1. Détails dans catalogue-existant.json.</x:v>
      </x:c>
    </x:row>
    <x:row r="3055">
      <x:c r="A3055" t="str">
        <x:v>DW-3050</x:v>
      </x:c>
      <x:c r="B3055" t="str">
        <x:v>DW-3050</x:v>
      </x:c>
      <x:c r="C3055" t="str">
        <x:v>Parent indépendant 1.58</x:v>
      </x:c>
      <x:c r="D3055" t="str">
        <x:v>Habitat collectif</x:v>
      </x:c>
      <x:c r="E3055" t="str">
        <x:v>Habitat de compagnons charpentiers</x:v>
      </x:c>
      <x:c r="F3055" t="n">
        <x:v>9</x:v>
      </x:c>
      <x:c r="G3055" t="n">
        <x:v>8</x:v>
      </x:c>
      <x:c r="H3055" t="n">
        <x:v>8</x:v>
      </x:c>
      <x:c r="I3055" t="str">
        <x:v>À qualifier par lieu</x:v>
      </x:c>
      <x:c r="J3055" t="str">
        <x:v>https://github.com/darknigthmare/deadwall-last-enclosure/blob/1b3b9c5ba232734b1bda3453b4e20a0481bcdd74/codex-3000/addendum-1.58/PROGRAMMES_A.json</x:v>
      </x:c>
      <x:c r="K3055" t="str">
        <x:v>Source min 38,36 m ; max 38,36 m ; modèle 38 × 36 m ; niveaux 0, 1. Détails dans catalogue-existant.json.</x:v>
      </x:c>
    </x:row>
    <x:row r="3056">
      <x:c r="A3056" t="str">
        <x:v>DW-3051</x:v>
      </x:c>
      <x:c r="B3056" t="str">
        <x:v>DW-3051</x:v>
      </x:c>
      <x:c r="C3056" t="str">
        <x:v>Parent indépendant 1.58</x:v>
      </x:c>
      <x:c r="D3056" t="str">
        <x:v>Habitat collectif</x:v>
      </x:c>
      <x:c r="E3056" t="str">
        <x:v>Résidence de chauffeurs en relève</x:v>
      </x:c>
      <x:c r="F3056" t="n">
        <x:v>9</x:v>
      </x:c>
      <x:c r="G3056" t="n">
        <x:v>8</x:v>
      </x:c>
      <x:c r="H3056" t="n">
        <x:v>8</x:v>
      </x:c>
      <x:c r="I3056" t="str">
        <x:v>À qualifier par lieu</x:v>
      </x:c>
      <x:c r="J3056" t="str">
        <x:v>https://github.com/darknigthmare/deadwall-last-enclosure/blob/1b3b9c5ba232734b1bda3453b4e20a0481bcdd74/codex-3000/addendum-1.58/PROGRAMMES_A.json</x:v>
      </x:c>
      <x:c r="K3056" t="str">
        <x:v>Source min 38,36 m ; max 38,36 m ; modèle 38 × 36 m ; niveaux 0, 1. Détails dans catalogue-existant.json.</x:v>
      </x:c>
    </x:row>
    <x:row r="3057">
      <x:c r="A3057" t="str">
        <x:v>DW-3052</x:v>
      </x:c>
      <x:c r="B3057" t="str">
        <x:v>DW-3052</x:v>
      </x:c>
      <x:c r="C3057" t="str">
        <x:v>Parent indépendant 1.58</x:v>
      </x:c>
      <x:c r="D3057" t="str">
        <x:v>Habitat collectif</x:v>
      </x:c>
      <x:c r="E3057" t="str">
        <x:v>Logements de convoyeurs civils</x:v>
      </x:c>
      <x:c r="F3057" t="n">
        <x:v>9</x:v>
      </x:c>
      <x:c r="G3057" t="n">
        <x:v>8</x:v>
      </x:c>
      <x:c r="H3057" t="n">
        <x:v>8</x:v>
      </x:c>
      <x:c r="I3057" t="str">
        <x:v>À qualifier par lieu</x:v>
      </x:c>
      <x:c r="J3057" t="str">
        <x:v>https://github.com/darknigthmare/deadwall-last-enclosure/blob/1b3b9c5ba232734b1bda3453b4e20a0481bcdd74/codex-3000/addendum-1.58/PROGRAMMES_A.json</x:v>
      </x:c>
      <x:c r="K3057" t="str">
        <x:v>Source min 38,36 m ; max 38,36 m ; modèle 38 × 36 m ; niveaux 0, 1. Détails dans catalogue-existant.json.</x:v>
      </x:c>
    </x:row>
    <x:row r="3058">
      <x:c r="A3058" t="str">
        <x:v>DW-3053</x:v>
      </x:c>
      <x:c r="B3058" t="str">
        <x:v>DW-3053</x:v>
      </x:c>
      <x:c r="C3058" t="str">
        <x:v>Parent indépendant 1.58</x:v>
      </x:c>
      <x:c r="D3058" t="str">
        <x:v>Habitat collectif</x:v>
      </x:c>
      <x:c r="E3058" t="str">
        <x:v>Habitat de restaurateurs d'archives</x:v>
      </x:c>
      <x:c r="F3058" t="n">
        <x:v>9</x:v>
      </x:c>
      <x:c r="G3058" t="n">
        <x:v>8</x:v>
      </x:c>
      <x:c r="H3058" t="n">
        <x:v>8</x:v>
      </x:c>
      <x:c r="I3058" t="str">
        <x:v>À qualifier par lieu</x:v>
      </x:c>
      <x:c r="J3058" t="str">
        <x:v>https://github.com/darknigthmare/deadwall-last-enclosure/blob/1b3b9c5ba232734b1bda3453b4e20a0481bcdd74/codex-3000/addendum-1.58/PROGRAMMES_A.json</x:v>
      </x:c>
      <x:c r="K3058" t="str">
        <x:v>Source min 38,36 m ; max 38,36 m ; modèle 38 × 36 m ; niveaux 0, 1. Détails dans catalogue-existant.json.</x:v>
      </x:c>
    </x:row>
    <x:row r="3059">
      <x:c r="A3059" t="str">
        <x:v>DW-3054</x:v>
      </x:c>
      <x:c r="B3059" t="str">
        <x:v>DW-3054</x:v>
      </x:c>
      <x:c r="C3059" t="str">
        <x:v>Parent indépendant 1.58</x:v>
      </x:c>
      <x:c r="D3059" t="str">
        <x:v>Habitat collectif</x:v>
      </x:c>
      <x:c r="E3059" t="str">
        <x:v>Résidence d'équipes de cartographie</x:v>
      </x:c>
      <x:c r="F3059" t="n">
        <x:v>9</x:v>
      </x:c>
      <x:c r="G3059" t="n">
        <x:v>8</x:v>
      </x:c>
      <x:c r="H3059" t="n">
        <x:v>8</x:v>
      </x:c>
      <x:c r="I3059" t="str">
        <x:v>À qualifier par lieu</x:v>
      </x:c>
      <x:c r="J3059" t="str">
        <x:v>https://github.com/darknigthmare/deadwall-last-enclosure/blob/1b3b9c5ba232734b1bda3453b4e20a0481bcdd74/codex-3000/addendum-1.58/PROGRAMMES_A.json</x:v>
      </x:c>
      <x:c r="K3059" t="str">
        <x:v>Source min 38,36 m ; max 38,36 m ; modèle 38 × 36 m ; niveaux 0, 1. Détails dans catalogue-existant.json.</x:v>
      </x:c>
    </x:row>
    <x:row r="3060">
      <x:c r="A3060" t="str">
        <x:v>DW-3055</x:v>
      </x:c>
      <x:c r="B3060" t="str">
        <x:v>DW-3055</x:v>
      </x:c>
      <x:c r="C3060" t="str">
        <x:v>Parent indépendant 1.58</x:v>
      </x:c>
      <x:c r="D3060" t="str">
        <x:v>Habitat collectif</x:v>
      </x:c>
      <x:c r="E3060" t="str">
        <x:v>Foyer d'opérateurs de téléphonie</x:v>
      </x:c>
      <x:c r="F3060" t="n">
        <x:v>9</x:v>
      </x:c>
      <x:c r="G3060" t="n">
        <x:v>8</x:v>
      </x:c>
      <x:c r="H3060" t="n">
        <x:v>8</x:v>
      </x:c>
      <x:c r="I3060" t="str">
        <x:v>À qualifier par lieu</x:v>
      </x:c>
      <x:c r="J3060" t="str">
        <x:v>https://github.com/darknigthmare/deadwall-last-enclosure/blob/1b3b9c5ba232734b1bda3453b4e20a0481bcdd74/codex-3000/addendum-1.58/PROGRAMMES_A.json</x:v>
      </x:c>
      <x:c r="K3060" t="str">
        <x:v>Source min 38,36 m ; max 38,36 m ; modèle 38 × 36 m ; niveaux 0, 1. Détails dans catalogue-existant.json.</x:v>
      </x:c>
    </x:row>
    <x:row r="3061">
      <x:c r="A3061" t="str">
        <x:v>DW-3056</x:v>
      </x:c>
      <x:c r="B3061" t="str">
        <x:v>DW-3056</x:v>
      </x:c>
      <x:c r="C3061" t="str">
        <x:v>Parent indépendant 1.58</x:v>
      </x:c>
      <x:c r="D3061" t="str">
        <x:v>Habitat collectif</x:v>
      </x:c>
      <x:c r="E3061" t="str">
        <x:v>Logements de gardes de musée</x:v>
      </x:c>
      <x:c r="F3061" t="n">
        <x:v>9</x:v>
      </x:c>
      <x:c r="G3061" t="n">
        <x:v>8</x:v>
      </x:c>
      <x:c r="H3061" t="n">
        <x:v>8</x:v>
      </x:c>
      <x:c r="I3061" t="str">
        <x:v>À qualifier par lieu</x:v>
      </x:c>
      <x:c r="J3061" t="str">
        <x:v>https://github.com/darknigthmare/deadwall-last-enclosure/blob/1b3b9c5ba232734b1bda3453b4e20a0481bcdd74/codex-3000/addendum-1.58/PROGRAMMES_A.json</x:v>
      </x:c>
      <x:c r="K3061" t="str">
        <x:v>Source min 38,36 m ; max 38,36 m ; modèle 38 × 36 m ; niveaux 0, 1. Détails dans catalogue-existant.json.</x:v>
      </x:c>
    </x:row>
    <x:row r="3062">
      <x:c r="A3062" t="str">
        <x:v>DW-3057</x:v>
      </x:c>
      <x:c r="B3062" t="str">
        <x:v>DW-3057</x:v>
      </x:c>
      <x:c r="C3062" t="str">
        <x:v>Parent indépendant 1.58</x:v>
      </x:c>
      <x:c r="D3062" t="str">
        <x:v>Habitat collectif</x:v>
      </x:c>
      <x:c r="E3062" t="str">
        <x:v>Résidence de techniciens d'imagerie</x:v>
      </x:c>
      <x:c r="F3062" t="n">
        <x:v>9</x:v>
      </x:c>
      <x:c r="G3062" t="n">
        <x:v>8</x:v>
      </x:c>
      <x:c r="H3062" t="n">
        <x:v>8</x:v>
      </x:c>
      <x:c r="I3062" t="str">
        <x:v>À qualifier par lieu</x:v>
      </x:c>
      <x:c r="J3062" t="str">
        <x:v>https://github.com/darknigthmare/deadwall-last-enclosure/blob/1b3b9c5ba232734b1bda3453b4e20a0481bcdd74/codex-3000/addendum-1.58/PROGRAMMES_A.json</x:v>
      </x:c>
      <x:c r="K3062" t="str">
        <x:v>Source min 38,36 m ; max 38,36 m ; modèle 38 × 36 m ; niveaux 0, 1. Détails dans catalogue-existant.json.</x:v>
      </x:c>
    </x:row>
    <x:row r="3063">
      <x:c r="A3063" t="str">
        <x:v>DW-3058</x:v>
      </x:c>
      <x:c r="B3063" t="str">
        <x:v>DW-3058</x:v>
      </x:c>
      <x:c r="C3063" t="str">
        <x:v>Parent indépendant 1.58</x:v>
      </x:c>
      <x:c r="D3063" t="str">
        <x:v>Habitat collectif</x:v>
      </x:c>
      <x:c r="E3063" t="str">
        <x:v>Habitat de préparateurs pharmaceutiques</x:v>
      </x:c>
      <x:c r="F3063" t="n">
        <x:v>9</x:v>
      </x:c>
      <x:c r="G3063" t="n">
        <x:v>8</x:v>
      </x:c>
      <x:c r="H3063" t="n">
        <x:v>8</x:v>
      </x:c>
      <x:c r="I3063" t="str">
        <x:v>À qualifier par lieu</x:v>
      </x:c>
      <x:c r="J3063" t="str">
        <x:v>https://github.com/darknigthmare/deadwall-last-enclosure/blob/1b3b9c5ba232734b1bda3453b4e20a0481bcdd74/codex-3000/addendum-1.58/PROGRAMMES_A.json</x:v>
      </x:c>
      <x:c r="K3063" t="str">
        <x:v>Source min 38,36 m ; max 38,36 m ; modèle 38 × 36 m ; niveaux 0, 1. Détails dans catalogue-existant.json.</x:v>
      </x:c>
    </x:row>
    <x:row r="3064">
      <x:c r="A3064" t="str">
        <x:v>DW-3059</x:v>
      </x:c>
      <x:c r="B3064" t="str">
        <x:v>DW-3059</x:v>
      </x:c>
      <x:c r="C3064" t="str">
        <x:v>Parent indépendant 1.58</x:v>
      </x:c>
      <x:c r="D3064" t="str">
        <x:v>Habitat collectif</x:v>
      </x:c>
      <x:c r="E3064" t="str">
        <x:v>Foyer d'aides à domicile</x:v>
      </x:c>
      <x:c r="F3064" t="n">
        <x:v>9</x:v>
      </x:c>
      <x:c r="G3064" t="n">
        <x:v>8</x:v>
      </x:c>
      <x:c r="H3064" t="n">
        <x:v>8</x:v>
      </x:c>
      <x:c r="I3064" t="str">
        <x:v>À qualifier par lieu</x:v>
      </x:c>
      <x:c r="J3064" t="str">
        <x:v>https://github.com/darknigthmare/deadwall-last-enclosure/blob/1b3b9c5ba232734b1bda3453b4e20a0481bcdd74/codex-3000/addendum-1.58/PROGRAMMES_A.json</x:v>
      </x:c>
      <x:c r="K3064" t="str">
        <x:v>Source min 38,36 m ; max 38,36 m ; modèle 38 × 36 m ; niveaux 0, 1. Détails dans catalogue-existant.json.</x:v>
      </x:c>
    </x:row>
    <x:row r="3065">
      <x:c r="A3065" t="str">
        <x:v>DW-3060</x:v>
      </x:c>
      <x:c r="B3065" t="str">
        <x:v>DW-3060</x:v>
      </x:c>
      <x:c r="C3065" t="str">
        <x:v>Parent indépendant 1.58</x:v>
      </x:c>
      <x:c r="D3065" t="str">
        <x:v>Habitat collectif</x:v>
      </x:c>
      <x:c r="E3065" t="str">
        <x:v>Logements de cuisiniers de collectivité</x:v>
      </x:c>
      <x:c r="F3065" t="n">
        <x:v>9</x:v>
      </x:c>
      <x:c r="G3065" t="n">
        <x:v>8</x:v>
      </x:c>
      <x:c r="H3065" t="n">
        <x:v>8</x:v>
      </x:c>
      <x:c r="I3065" t="str">
        <x:v>À qualifier par lieu</x:v>
      </x:c>
      <x:c r="J3065" t="str">
        <x:v>https://github.com/darknigthmare/deadwall-last-enclosure/blob/1b3b9c5ba232734b1bda3453b4e20a0481bcdd74/codex-3000/addendum-1.58/PROGRAMMES_A.json</x:v>
      </x:c>
      <x:c r="K3065" t="str">
        <x:v>Source min 38,36 m ; max 38,36 m ; modèle 38 × 36 m ; niveaux 0, 1. Détails dans catalogue-existant.json.</x:v>
      </x:c>
    </x:row>
    <x:row r="3066">
      <x:c r="A3066" t="str">
        <x:v>DW-3061</x:v>
      </x:c>
      <x:c r="B3066" t="str">
        <x:v>DW-3061</x:v>
      </x:c>
      <x:c r="C3066" t="str">
        <x:v>Parent indépendant 1.58</x:v>
      </x:c>
      <x:c r="D3066" t="str">
        <x:v>Habitat collectif</x:v>
      </x:c>
      <x:c r="E3066" t="str">
        <x:v>Résidence de médiateurs linguistiques</x:v>
      </x:c>
      <x:c r="F3066" t="n">
        <x:v>9</x:v>
      </x:c>
      <x:c r="G3066" t="n">
        <x:v>8</x:v>
      </x:c>
      <x:c r="H3066" t="n">
        <x:v>8</x:v>
      </x:c>
      <x:c r="I3066" t="str">
        <x:v>À qualifier par lieu</x:v>
      </x:c>
      <x:c r="J3066" t="str">
        <x:v>https://github.com/darknigthmare/deadwall-last-enclosure/blob/1b3b9c5ba232734b1bda3453b4e20a0481bcdd74/codex-3000/addendum-1.58/PROGRAMMES_A.json</x:v>
      </x:c>
      <x:c r="K3066" t="str">
        <x:v>Source min 38,36 m ; max 38,36 m ; modèle 38 × 36 m ; niveaux 0, 1. Détails dans catalogue-existant.json.</x:v>
      </x:c>
    </x:row>
    <x:row r="3067">
      <x:c r="A3067" t="str">
        <x:v>DW-3062</x:v>
      </x:c>
      <x:c r="B3067" t="str">
        <x:v>DW-3062</x:v>
      </x:c>
      <x:c r="C3067" t="str">
        <x:v>Parent indépendant 1.58</x:v>
      </x:c>
      <x:c r="D3067" t="str">
        <x:v>Habitat collectif</x:v>
      </x:c>
      <x:c r="E3067" t="str">
        <x:v>Logements de soigneurs animaliers</x:v>
      </x:c>
      <x:c r="F3067" t="n">
        <x:v>9</x:v>
      </x:c>
      <x:c r="G3067" t="n">
        <x:v>8</x:v>
      </x:c>
      <x:c r="H3067" t="n">
        <x:v>8</x:v>
      </x:c>
      <x:c r="I3067" t="str">
        <x:v>À qualifier par lieu</x:v>
      </x:c>
      <x:c r="J3067" t="str">
        <x:v>https://github.com/darknigthmare/deadwall-last-enclosure/blob/1b3b9c5ba232734b1bda3453b4e20a0481bcdd74/codex-3000/addendum-1.58/PROGRAMMES_A.json</x:v>
      </x:c>
      <x:c r="K3067" t="str">
        <x:v>Source min 38,36 m ; max 38,36 m ; modèle 38 × 36 m ; niveaux 0, 1. Détails dans catalogue-existant.json.</x:v>
      </x:c>
    </x:row>
    <x:row r="3068">
      <x:c r="A3068" t="str">
        <x:v>DW-3063</x:v>
      </x:c>
      <x:c r="B3068" t="str">
        <x:v>DW-3063</x:v>
      </x:c>
      <x:c r="C3068" t="str">
        <x:v>Parent indépendant 1.58</x:v>
      </x:c>
      <x:c r="D3068" t="str">
        <x:v>Habitat collectif</x:v>
      </x:c>
      <x:c r="E3068" t="str">
        <x:v>Habitat de réparateurs de cycles</x:v>
      </x:c>
      <x:c r="F3068" t="n">
        <x:v>9</x:v>
      </x:c>
      <x:c r="G3068" t="n">
        <x:v>8</x:v>
      </x:c>
      <x:c r="H3068" t="n">
        <x:v>8</x:v>
      </x:c>
      <x:c r="I3068" t="str">
        <x:v>À qualifier par lieu</x:v>
      </x:c>
      <x:c r="J3068" t="str">
        <x:v>https://github.com/darknigthmare/deadwall-last-enclosure/blob/1b3b9c5ba232734b1bda3453b4e20a0481bcdd74/codex-3000/addendum-1.58/PROGRAMMES_A.json</x:v>
      </x:c>
      <x:c r="K3068" t="str">
        <x:v>Source min 38,36 m ; max 38,36 m ; modèle 38 × 36 m ; niveaux 0, 1. Détails dans catalogue-existant.json.</x:v>
      </x:c>
    </x:row>
    <x:row r="3069">
      <x:c r="A3069" t="str">
        <x:v>DW-3064</x:v>
      </x:c>
      <x:c r="B3069" t="str">
        <x:v>DW-3064</x:v>
      </x:c>
      <x:c r="C3069" t="str">
        <x:v>Parent indépendant 1.58</x:v>
      </x:c>
      <x:c r="D3069" t="str">
        <x:v>Habitat collectif</x:v>
      </x:c>
      <x:c r="E3069" t="str">
        <x:v>Foyer de travailleurs des serres</x:v>
      </x:c>
      <x:c r="F3069" t="n">
        <x:v>9</x:v>
      </x:c>
      <x:c r="G3069" t="n">
        <x:v>8</x:v>
      </x:c>
      <x:c r="H3069" t="n">
        <x:v>8</x:v>
      </x:c>
      <x:c r="I3069" t="str">
        <x:v>À qualifier par lieu</x:v>
      </x:c>
      <x:c r="J3069" t="str">
        <x:v>https://github.com/darknigthmare/deadwall-last-enclosure/blob/1b3b9c5ba232734b1bda3453b4e20a0481bcdd74/codex-3000/addendum-1.58/PROGRAMMES_A.json</x:v>
      </x:c>
      <x:c r="K3069" t="str">
        <x:v>Source min 38,36 m ; max 38,36 m ; modèle 38 × 36 m ; niveaux 0, 1. Détails dans catalogue-existant.json.</x:v>
      </x:c>
    </x:row>
    <x:row r="3070">
      <x:c r="A3070" t="str">
        <x:v>DW-3065</x:v>
      </x:c>
      <x:c r="B3070" t="str">
        <x:v>DW-3065</x:v>
      </x:c>
      <x:c r="C3070" t="str">
        <x:v>Parent indépendant 1.58</x:v>
      </x:c>
      <x:c r="D3070" t="str">
        <x:v>Habitat collectif</x:v>
      </x:c>
      <x:c r="E3070" t="str">
        <x:v>Logements de gardiens de dépôt</x:v>
      </x:c>
      <x:c r="F3070" t="n">
        <x:v>9</x:v>
      </x:c>
      <x:c r="G3070" t="n">
        <x:v>8</x:v>
      </x:c>
      <x:c r="H3070" t="n">
        <x:v>8</x:v>
      </x:c>
      <x:c r="I3070" t="str">
        <x:v>À qualifier par lieu</x:v>
      </x:c>
      <x:c r="J3070" t="str">
        <x:v>https://github.com/darknigthmare/deadwall-last-enclosure/blob/1b3b9c5ba232734b1bda3453b4e20a0481bcdd74/codex-3000/addendum-1.58/PROGRAMMES_A.json</x:v>
      </x:c>
      <x:c r="K3070" t="str">
        <x:v>Source min 38,36 m ; max 38,36 m ; modèle 38 × 36 m ; niveaux 0, 1. Détails dans catalogue-existant.json.</x:v>
      </x:c>
    </x:row>
    <x:row r="3071">
      <x:c r="A3071" t="str">
        <x:v>DW-3066</x:v>
      </x:c>
      <x:c r="B3071" t="str">
        <x:v>DW-3066</x:v>
      </x:c>
      <x:c r="C3071" t="str">
        <x:v>Parent indépendant 1.58</x:v>
      </x:c>
      <x:c r="D3071" t="str">
        <x:v>Habitat collectif</x:v>
      </x:c>
      <x:c r="E3071" t="str">
        <x:v>Résidence de manutentionnaires du textile</x:v>
      </x:c>
      <x:c r="F3071" t="n">
        <x:v>9</x:v>
      </x:c>
      <x:c r="G3071" t="n">
        <x:v>8</x:v>
      </x:c>
      <x:c r="H3071" t="n">
        <x:v>8</x:v>
      </x:c>
      <x:c r="I3071" t="str">
        <x:v>À qualifier par lieu</x:v>
      </x:c>
      <x:c r="J3071" t="str">
        <x:v>https://github.com/darknigthmare/deadwall-last-enclosure/blob/1b3b9c5ba232734b1bda3453b4e20a0481bcdd74/codex-3000/addendum-1.58/PROGRAMMES_A.json</x:v>
      </x:c>
      <x:c r="K3071" t="str">
        <x:v>Source min 38,36 m ; max 38,36 m ; modèle 38 × 36 m ; niveaux 0, 1. Détails dans catalogue-existant.json.</x:v>
      </x:c>
    </x:row>
    <x:row r="3072">
      <x:c r="A3072" t="str">
        <x:v>DW-3067</x:v>
      </x:c>
      <x:c r="B3072" t="str">
        <x:v>DW-3067</x:v>
      </x:c>
      <x:c r="C3072" t="str">
        <x:v>Parent indépendant 1.58</x:v>
      </x:c>
      <x:c r="D3072" t="str">
        <x:v>Habitat collectif</x:v>
      </x:c>
      <x:c r="E3072" t="str">
        <x:v>Habitat de réparateurs de toiture</x:v>
      </x:c>
      <x:c r="F3072" t="n">
        <x:v>9</x:v>
      </x:c>
      <x:c r="G3072" t="n">
        <x:v>8</x:v>
      </x:c>
      <x:c r="H3072" t="n">
        <x:v>8</x:v>
      </x:c>
      <x:c r="I3072" t="str">
        <x:v>À qualifier par lieu</x:v>
      </x:c>
      <x:c r="J3072" t="str">
        <x:v>https://github.com/darknigthmare/deadwall-last-enclosure/blob/1b3b9c5ba232734b1bda3453b4e20a0481bcdd74/codex-3000/addendum-1.58/PROGRAMMES_A.json</x:v>
      </x:c>
      <x:c r="K3072" t="str">
        <x:v>Source min 38,36 m ; max 38,36 m ; modèle 38 × 36 m ; niveaux 0, 1. Détails dans catalogue-existant.json.</x:v>
      </x:c>
    </x:row>
    <x:row r="3073">
      <x:c r="A3073" t="str">
        <x:v>DW-3068</x:v>
      </x:c>
      <x:c r="B3073" t="str">
        <x:v>DW-3068</x:v>
      </x:c>
      <x:c r="C3073" t="str">
        <x:v>Parent indépendant 1.58</x:v>
      </x:c>
      <x:c r="D3073" t="str">
        <x:v>Habitat collectif</x:v>
      </x:c>
      <x:c r="E3073" t="str">
        <x:v>Logements d'agents du courrier</x:v>
      </x:c>
      <x:c r="F3073" t="n">
        <x:v>9</x:v>
      </x:c>
      <x:c r="G3073" t="n">
        <x:v>8</x:v>
      </x:c>
      <x:c r="H3073" t="n">
        <x:v>8</x:v>
      </x:c>
      <x:c r="I3073" t="str">
        <x:v>À qualifier par lieu</x:v>
      </x:c>
      <x:c r="J3073" t="str">
        <x:v>https://github.com/darknigthmare/deadwall-last-enclosure/blob/1b3b9c5ba232734b1bda3453b4e20a0481bcdd74/codex-3000/addendum-1.58/PROGRAMMES_A.json</x:v>
      </x:c>
      <x:c r="K3073" t="str">
        <x:v>Source min 38,36 m ; max 38,36 m ; modèle 38 × 36 m ; niveaux 0, 1. Détails dans catalogue-existant.json.</x:v>
      </x:c>
    </x:row>
    <x:row r="3074">
      <x:c r="A3074" t="str">
        <x:v>DW-3069</x:v>
      </x:c>
      <x:c r="B3074" t="str">
        <x:v>DW-3069</x:v>
      </x:c>
      <x:c r="C3074" t="str">
        <x:v>Parent indépendant 1.58</x:v>
      </x:c>
      <x:c r="D3074" t="str">
        <x:v>Habitat collectif</x:v>
      </x:c>
      <x:c r="E3074" t="str">
        <x:v>Résidence de contrôleurs des sols</x:v>
      </x:c>
      <x:c r="F3074" t="n">
        <x:v>9</x:v>
      </x:c>
      <x:c r="G3074" t="n">
        <x:v>8</x:v>
      </x:c>
      <x:c r="H3074" t="n">
        <x:v>8</x:v>
      </x:c>
      <x:c r="I3074" t="str">
        <x:v>À qualifier par lieu</x:v>
      </x:c>
      <x:c r="J3074" t="str">
        <x:v>https://github.com/darknigthmare/deadwall-last-enclosure/blob/1b3b9c5ba232734b1bda3453b4e20a0481bcdd74/codex-3000/addendum-1.58/PROGRAMMES_A.json</x:v>
      </x:c>
      <x:c r="K3074" t="str">
        <x:v>Source min 38,36 m ; max 38,36 m ; modèle 38 × 36 m ; niveaux 0, 1. Détails dans catalogue-existant.json.</x:v>
      </x:c>
    </x:row>
    <x:row r="3075">
      <x:c r="A3075" t="str">
        <x:v>DW-3070</x:v>
      </x:c>
      <x:c r="B3075" t="str">
        <x:v>DW-3070</x:v>
      </x:c>
      <x:c r="C3075" t="str">
        <x:v>Parent indépendant 1.58</x:v>
      </x:c>
      <x:c r="D3075" t="str">
        <x:v>Habitat collectif</x:v>
      </x:c>
      <x:c r="E3075" t="str">
        <x:v>Foyer de conducteurs d'engins</x:v>
      </x:c>
      <x:c r="F3075" t="n">
        <x:v>9</x:v>
      </x:c>
      <x:c r="G3075" t="n">
        <x:v>8</x:v>
      </x:c>
      <x:c r="H3075" t="n">
        <x:v>8</x:v>
      </x:c>
      <x:c r="I3075" t="str">
        <x:v>À qualifier par lieu</x:v>
      </x:c>
      <x:c r="J3075" t="str">
        <x:v>https://github.com/darknigthmare/deadwall-last-enclosure/blob/1b3b9c5ba232734b1bda3453b4e20a0481bcdd74/codex-3000/addendum-1.58/PROGRAMMES_A.json</x:v>
      </x:c>
      <x:c r="K3075" t="str">
        <x:v>Source min 38,36 m ; max 38,36 m ; modèle 38 × 36 m ; niveaux 0, 1. Détails dans catalogue-existant.json.</x:v>
      </x:c>
    </x:row>
    <x:row r="3076">
      <x:c r="A3076" t="str">
        <x:v>DW-3071</x:v>
      </x:c>
      <x:c r="B3076" t="str">
        <x:v>DW-3071</x:v>
      </x:c>
      <x:c r="C3076" t="str">
        <x:v>Parent indépendant 1.58</x:v>
      </x:c>
      <x:c r="D3076" t="str">
        <x:v>Habitat collectif</x:v>
      </x:c>
      <x:c r="E3076" t="str">
        <x:v>Habitat à cuisines familiales séparées</x:v>
      </x:c>
      <x:c r="F3076" t="n">
        <x:v>9</x:v>
      </x:c>
      <x:c r="G3076" t="n">
        <x:v>8</x:v>
      </x:c>
      <x:c r="H3076" t="n">
        <x:v>8</x:v>
      </x:c>
      <x:c r="I3076" t="str">
        <x:v>À qualifier par lieu</x:v>
      </x:c>
      <x:c r="J3076" t="str">
        <x:v>https://github.com/darknigthmare/deadwall-last-enclosure/blob/1b3b9c5ba232734b1bda3453b4e20a0481bcdd74/codex-3000/addendum-1.58/PROGRAMMES_A.json</x:v>
      </x:c>
      <x:c r="K3076" t="str">
        <x:v>Source min 38,36 m ; max 38,36 m ; modèle 38 × 36 m ; niveaux 0, 1. Détails dans catalogue-existant.json.</x:v>
      </x:c>
    </x:row>
    <x:row r="3077">
      <x:c r="A3077" t="str">
        <x:v>DW-3072</x:v>
      </x:c>
      <x:c r="B3077" t="str">
        <x:v>DW-3072</x:v>
      </x:c>
      <x:c r="C3077" t="str">
        <x:v>Parent indépendant 1.58</x:v>
      </x:c>
      <x:c r="D3077" t="str">
        <x:v>Habitat collectif</x:v>
      </x:c>
      <x:c r="E3077" t="str">
        <x:v>Résidence à buanderie commune</x:v>
      </x:c>
      <x:c r="F3077" t="n">
        <x:v>9</x:v>
      </x:c>
      <x:c r="G3077" t="n">
        <x:v>8</x:v>
      </x:c>
      <x:c r="H3077" t="n">
        <x:v>8</x:v>
      </x:c>
      <x:c r="I3077" t="str">
        <x:v>À qualifier par lieu</x:v>
      </x:c>
      <x:c r="J3077" t="str">
        <x:v>https://github.com/darknigthmare/deadwall-last-enclosure/blob/1b3b9c5ba232734b1bda3453b4e20a0481bcdd74/codex-3000/addendum-1.58/PROGRAMMES_A.json</x:v>
      </x:c>
      <x:c r="K3077" t="str">
        <x:v>Source min 38,36 m ; max 38,36 m ; modèle 38 × 36 m ; niveaux 0, 1. Détails dans catalogue-existant.json.</x:v>
      </x:c>
    </x:row>
    <x:row r="3078">
      <x:c r="A3078" t="str">
        <x:v>DW-3073</x:v>
      </x:c>
      <x:c r="B3078" t="str">
        <x:v>DW-3073</x:v>
      </x:c>
      <x:c r="C3078" t="str">
        <x:v>Parent indépendant 1.58</x:v>
      </x:c>
      <x:c r="D3078" t="str">
        <x:v>Habitat collectif</x:v>
      </x:c>
      <x:c r="E3078" t="str">
        <x:v>Habitat à réparation domestique commune</x:v>
      </x:c>
      <x:c r="F3078" t="n">
        <x:v>9</x:v>
      </x:c>
      <x:c r="G3078" t="n">
        <x:v>8</x:v>
      </x:c>
      <x:c r="H3078" t="n">
        <x:v>8</x:v>
      </x:c>
      <x:c r="I3078" t="str">
        <x:v>À qualifier par lieu</x:v>
      </x:c>
      <x:c r="J3078" t="str">
        <x:v>https://github.com/darknigthmare/deadwall-last-enclosure/blob/1b3b9c5ba232734b1bda3453b4e20a0481bcdd74/codex-3000/addendum-1.58/PROGRAMMES_A.json</x:v>
      </x:c>
      <x:c r="K3078" t="str">
        <x:v>Source min 38,36 m ; max 38,36 m ; modèle 38 × 36 m ; niveaux 0, 1. Détails dans catalogue-existant.json.</x:v>
      </x:c>
    </x:row>
    <x:row r="3079">
      <x:c r="A3079" t="str">
        <x:v>DW-3074</x:v>
      </x:c>
      <x:c r="B3079" t="str">
        <x:v>DW-3074</x:v>
      </x:c>
      <x:c r="C3079" t="str">
        <x:v>Parent indépendant 1.58</x:v>
      </x:c>
      <x:c r="D3079" t="str">
        <x:v>Habitat collectif</x:v>
      </x:c>
      <x:c r="E3079" t="str">
        <x:v>Logements d'auto-construction accompagnée</x:v>
      </x:c>
      <x:c r="F3079" t="n">
        <x:v>9</x:v>
      </x:c>
      <x:c r="G3079" t="n">
        <x:v>8</x:v>
      </x:c>
      <x:c r="H3079" t="n">
        <x:v>8</x:v>
      </x:c>
      <x:c r="I3079" t="str">
        <x:v>À qualifier par lieu</x:v>
      </x:c>
      <x:c r="J3079" t="str">
        <x:v>https://github.com/darknigthmare/deadwall-last-enclosure/blob/1b3b9c5ba232734b1bda3453b4e20a0481bcdd74/codex-3000/addendum-1.58/PROGRAMMES_A.json</x:v>
      </x:c>
      <x:c r="K3079" t="str">
        <x:v>Source min 38,36 m ; max 38,36 m ; modèle 38 × 36 m ; niveaux 0, 1. Détails dans catalogue-existant.json.</x:v>
      </x:c>
    </x:row>
    <x:row r="3080">
      <x:c r="A3080" t="str">
        <x:v>DW-3075</x:v>
      </x:c>
      <x:c r="B3080" t="str">
        <x:v>DW-3075</x:v>
      </x:c>
      <x:c r="C3080" t="str">
        <x:v>Parent indépendant 1.58</x:v>
      </x:c>
      <x:c r="D3080" t="str">
        <x:v>Habitat collectif</x:v>
      </x:c>
      <x:c r="E3080" t="str">
        <x:v>Habitat à archives domestiques communes</x:v>
      </x:c>
      <x:c r="F3080" t="n">
        <x:v>9</x:v>
      </x:c>
      <x:c r="G3080" t="n">
        <x:v>8</x:v>
      </x:c>
      <x:c r="H3080" t="n">
        <x:v>8</x:v>
      </x:c>
      <x:c r="I3080" t="str">
        <x:v>À qualifier par lieu</x:v>
      </x:c>
      <x:c r="J3080" t="str">
        <x:v>https://github.com/darknigthmare/deadwall-last-enclosure/blob/1b3b9c5ba232734b1bda3453b4e20a0481bcdd74/codex-3000/addendum-1.58/PROGRAMMES_A.json</x:v>
      </x:c>
      <x:c r="K3080" t="str">
        <x:v>Source min 38,36 m ; max 38,36 m ; modèle 38 × 36 m ; niveaux 0, 1. Détails dans catalogue-existant.json.</x:v>
      </x:c>
    </x:row>
    <x:row r="3081">
      <x:c r="A3081" t="str">
        <x:v>DW-3076</x:v>
      </x:c>
      <x:c r="B3081" t="str">
        <x:v>DW-3076</x:v>
      </x:c>
      <x:c r="C3081" t="str">
        <x:v>Parent indépendant 1.58</x:v>
      </x:c>
      <x:c r="D3081" t="str">
        <x:v>Habitat collectif</x:v>
      </x:c>
      <x:c r="E3081" t="str">
        <x:v>Logements à garde-meubles mutualisé</x:v>
      </x:c>
      <x:c r="F3081" t="n">
        <x:v>9</x:v>
      </x:c>
      <x:c r="G3081" t="n">
        <x:v>8</x:v>
      </x:c>
      <x:c r="H3081" t="n">
        <x:v>8</x:v>
      </x:c>
      <x:c r="I3081" t="str">
        <x:v>À qualifier par lieu</x:v>
      </x:c>
      <x:c r="J3081" t="str">
        <x:v>https://github.com/darknigthmare/deadwall-last-enclosure/blob/1b3b9c5ba232734b1bda3453b4e20a0481bcdd74/codex-3000/addendum-1.58/PROGRAMMES_A.json</x:v>
      </x:c>
      <x:c r="K3081" t="str">
        <x:v>Source min 38,36 m ; max 38,36 m ; modèle 38 × 36 m ; niveaux 0, 1. Détails dans catalogue-existant.json.</x:v>
      </x:c>
    </x:row>
    <x:row r="3082">
      <x:c r="A3082" t="str">
        <x:v>DW-3077</x:v>
      </x:c>
      <x:c r="B3082" t="str">
        <x:v>DW-3077</x:v>
      </x:c>
      <x:c r="C3082" t="str">
        <x:v>Parent indépendant 1.58</x:v>
      </x:c>
      <x:c r="D3082" t="str">
        <x:v>Habitat collectif</x:v>
      </x:c>
      <x:c r="E3082" t="str">
        <x:v>Résidence à bureaux isolés</x:v>
      </x:c>
      <x:c r="F3082" t="n">
        <x:v>9</x:v>
      </x:c>
      <x:c r="G3082" t="n">
        <x:v>8</x:v>
      </x:c>
      <x:c r="H3082" t="n">
        <x:v>8</x:v>
      </x:c>
      <x:c r="I3082" t="str">
        <x:v>À qualifier par lieu</x:v>
      </x:c>
      <x:c r="J3082" t="str">
        <x:v>https://github.com/darknigthmare/deadwall-last-enclosure/blob/1b3b9c5ba232734b1bda3453b4e20a0481bcdd74/codex-3000/addendum-1.58/PROGRAMMES_A.json</x:v>
      </x:c>
      <x:c r="K3082" t="str">
        <x:v>Source min 38,36 m ; max 38,36 m ; modèle 38 × 36 m ; niveaux 0, 1. Détails dans catalogue-existant.json.</x:v>
      </x:c>
    </x:row>
    <x:row r="3083">
      <x:c r="A3083" t="str">
        <x:v>DW-3078</x:v>
      </x:c>
      <x:c r="B3083" t="str">
        <x:v>DW-3078</x:v>
      </x:c>
      <x:c r="C3083" t="str">
        <x:v>Parent indépendant 1.58</x:v>
      </x:c>
      <x:c r="D3083" t="str">
        <x:v>Habitat collectif</x:v>
      </x:c>
      <x:c r="E3083" t="str">
        <x:v>Habitat à répétition musicale résidentielle</x:v>
      </x:c>
      <x:c r="F3083" t="n">
        <x:v>9</x:v>
      </x:c>
      <x:c r="G3083" t="n">
        <x:v>8</x:v>
      </x:c>
      <x:c r="H3083" t="n">
        <x:v>8</x:v>
      </x:c>
      <x:c r="I3083" t="str">
        <x:v>À qualifier par lieu</x:v>
      </x:c>
      <x:c r="J3083" t="str">
        <x:v>https://github.com/darknigthmare/deadwall-last-enclosure/blob/1b3b9c5ba232734b1bda3453b4e20a0481bcdd74/codex-3000/addendum-1.58/PROGRAMMES_A.json</x:v>
      </x:c>
      <x:c r="K3083" t="str">
        <x:v>Source min 38,36 m ; max 38,36 m ; modèle 38 × 36 m ; niveaux 0, 1. Détails dans catalogue-existant.json.</x:v>
      </x:c>
    </x:row>
    <x:row r="3084">
      <x:c r="A3084" t="str">
        <x:v>DW-3079</x:v>
      </x:c>
      <x:c r="B3084" t="str">
        <x:v>DW-3079</x:v>
      </x:c>
      <x:c r="C3084" t="str">
        <x:v>Parent indépendant 1.58</x:v>
      </x:c>
      <x:c r="D3084" t="str">
        <x:v>Habitat collectif</x:v>
      </x:c>
      <x:c r="E3084" t="str">
        <x:v>Logements d'accueil de familles migrantes</x:v>
      </x:c>
      <x:c r="F3084" t="n">
        <x:v>9</x:v>
      </x:c>
      <x:c r="G3084" t="n">
        <x:v>8</x:v>
      </x:c>
      <x:c r="H3084" t="n">
        <x:v>8</x:v>
      </x:c>
      <x:c r="I3084" t="str">
        <x:v>À qualifier par lieu</x:v>
      </x:c>
      <x:c r="J3084" t="str">
        <x:v>https://github.com/darknigthmare/deadwall-last-enclosure/blob/1b3b9c5ba232734b1bda3453b4e20a0481bcdd74/codex-3000/addendum-1.58/PROGRAMMES_A.json</x:v>
      </x:c>
      <x:c r="K3084" t="str">
        <x:v>Source min 38,36 m ; max 38,36 m ; modèle 38 × 36 m ; niveaux 0, 1. Détails dans catalogue-existant.json.</x:v>
      </x:c>
    </x:row>
    <x:row r="3085">
      <x:c r="A3085" t="str">
        <x:v>DW-3080</x:v>
      </x:c>
      <x:c r="B3085" t="str">
        <x:v>DW-3080</x:v>
      </x:c>
      <x:c r="C3085" t="str">
        <x:v>Parent indépendant 1.58</x:v>
      </x:c>
      <x:c r="D3085" t="str">
        <x:v>Habitat collectif</x:v>
      </x:c>
      <x:c r="E3085" t="str">
        <x:v>Maison résidentielle de familles relais</x:v>
      </x:c>
      <x:c r="F3085" t="n">
        <x:v>9</x:v>
      </x:c>
      <x:c r="G3085" t="n">
        <x:v>8</x:v>
      </x:c>
      <x:c r="H3085" t="n">
        <x:v>8</x:v>
      </x:c>
      <x:c r="I3085" t="str">
        <x:v>À qualifier par lieu</x:v>
      </x:c>
      <x:c r="J3085" t="str">
        <x:v>https://github.com/darknigthmare/deadwall-last-enclosure/blob/1b3b9c5ba232734b1bda3453b4e20a0481bcdd74/codex-3000/addendum-1.58/PROGRAMMES_A.json</x:v>
      </x:c>
      <x:c r="K3085" t="str">
        <x:v>Source min 38,36 m ; max 38,36 m ; modèle 38 × 36 m ; niveaux 0, 1. Détails dans catalogue-existant.json.</x:v>
      </x:c>
    </x:row>
    <x:row r="3086">
      <x:c r="A3086" t="str">
        <x:v>DW-3081</x:v>
      </x:c>
      <x:c r="B3086" t="str">
        <x:v>DW-3081</x:v>
      </x:c>
      <x:c r="C3086" t="str">
        <x:v>Parent indépendant 1.58</x:v>
      </x:c>
      <x:c r="D3086" t="str">
        <x:v>Habitat collectif</x:v>
      </x:c>
      <x:c r="E3086" t="str">
        <x:v>Habitat de voisinage intergénérationnel</x:v>
      </x:c>
      <x:c r="F3086" t="n">
        <x:v>9</x:v>
      </x:c>
      <x:c r="G3086" t="n">
        <x:v>8</x:v>
      </x:c>
      <x:c r="H3086" t="n">
        <x:v>8</x:v>
      </x:c>
      <x:c r="I3086" t="str">
        <x:v>À qualifier par lieu</x:v>
      </x:c>
      <x:c r="J3086" t="str">
        <x:v>https://github.com/darknigthmare/deadwall-last-enclosure/blob/1b3b9c5ba232734b1bda3453b4e20a0481bcdd74/codex-3000/addendum-1.58/PROGRAMMES_A.json</x:v>
      </x:c>
      <x:c r="K3086" t="str">
        <x:v>Source min 38,36 m ; max 38,36 m ; modèle 38 × 36 m ; niveaux 0, 1. Détails dans catalogue-existant.json.</x:v>
      </x:c>
    </x:row>
    <x:row r="3087">
      <x:c r="A3087" t="str">
        <x:v>DW-3082</x:v>
      </x:c>
      <x:c r="B3087" t="str">
        <x:v>DW-3082</x:v>
      </x:c>
      <x:c r="C3087" t="str">
        <x:v>Parent indépendant 1.58</x:v>
      </x:c>
      <x:c r="D3087" t="str">
        <x:v>Habitat collectif</x:v>
      </x:c>
      <x:c r="E3087" t="str">
        <x:v>Résidence de fratries autonomes</x:v>
      </x:c>
      <x:c r="F3087" t="n">
        <x:v>9</x:v>
      </x:c>
      <x:c r="G3087" t="n">
        <x:v>8</x:v>
      </x:c>
      <x:c r="H3087" t="n">
        <x:v>8</x:v>
      </x:c>
      <x:c r="I3087" t="str">
        <x:v>À qualifier par lieu</x:v>
      </x:c>
      <x:c r="J3087" t="str">
        <x:v>https://github.com/darknigthmare/deadwall-last-enclosure/blob/1b3b9c5ba232734b1bda3453b4e20a0481bcdd74/codex-3000/addendum-1.58/PROGRAMMES_A.json</x:v>
      </x:c>
      <x:c r="K3087" t="str">
        <x:v>Source min 38,36 m ; max 38,36 m ; modèle 38 × 36 m ; niveaux 0, 1. Détails dans catalogue-existant.json.</x:v>
      </x:c>
    </x:row>
    <x:row r="3088">
      <x:c r="A3088" t="str">
        <x:v>DW-3083</x:v>
      </x:c>
      <x:c r="B3088" t="str">
        <x:v>DW-3083</x:v>
      </x:c>
      <x:c r="C3088" t="str">
        <x:v>Parent indépendant 1.58</x:v>
      </x:c>
      <x:c r="D3088" t="str">
        <x:v>Habitat collectif</x:v>
      </x:c>
      <x:c r="E3088" t="str">
        <x:v>Habitat à préparation cycliste commune</x:v>
      </x:c>
      <x:c r="F3088" t="n">
        <x:v>9</x:v>
      </x:c>
      <x:c r="G3088" t="n">
        <x:v>8</x:v>
      </x:c>
      <x:c r="H3088" t="n">
        <x:v>8</x:v>
      </x:c>
      <x:c r="I3088" t="str">
        <x:v>À qualifier par lieu</x:v>
      </x:c>
      <x:c r="J3088" t="str">
        <x:v>https://github.com/darknigthmare/deadwall-last-enclosure/blob/1b3b9c5ba232734b1bda3453b4e20a0481bcdd74/codex-3000/addendum-1.58/PROGRAMMES_A.json</x:v>
      </x:c>
      <x:c r="K3088" t="str">
        <x:v>Source min 38,36 m ; max 38,36 m ; modèle 38 × 36 m ; niveaux 0, 1. Détails dans catalogue-existant.json.</x:v>
      </x:c>
    </x:row>
    <x:row r="3089">
      <x:c r="A3089" t="str">
        <x:v>DW-3084</x:v>
      </x:c>
      <x:c r="B3089" t="str">
        <x:v>DW-3084</x:v>
      </x:c>
      <x:c r="C3089" t="str">
        <x:v>Parent indépendant 1.58</x:v>
      </x:c>
      <x:c r="D3089" t="str">
        <x:v>Habitat collectif</x:v>
      </x:c>
      <x:c r="E3089" t="str">
        <x:v>Logements à préparation alimentaire adaptée</x:v>
      </x:c>
      <x:c r="F3089" t="n">
        <x:v>9</x:v>
      </x:c>
      <x:c r="G3089" t="n">
        <x:v>8</x:v>
      </x:c>
      <x:c r="H3089" t="n">
        <x:v>8</x:v>
      </x:c>
      <x:c r="I3089" t="str">
        <x:v>À qualifier par lieu</x:v>
      </x:c>
      <x:c r="J3089" t="str">
        <x:v>https://github.com/darknigthmare/deadwall-last-enclosure/blob/1b3b9c5ba232734b1bda3453b4e20a0481bcdd74/codex-3000/addendum-1.58/PROGRAMMES_A.json</x:v>
      </x:c>
      <x:c r="K3089" t="str">
        <x:v>Source min 38,36 m ; max 38,36 m ; modèle 38 × 36 m ; niveaux 0, 1. Détails dans catalogue-existant.json.</x:v>
      </x:c>
    </x:row>
    <x:row r="3090">
      <x:c r="A3090" t="str">
        <x:v>DW-3085</x:v>
      </x:c>
      <x:c r="B3090" t="str">
        <x:v>DW-3085</x:v>
      </x:c>
      <x:c r="C3090" t="str">
        <x:v>Parent indépendant 1.58</x:v>
      </x:c>
      <x:c r="D3090" t="str">
        <x:v>Habitat collectif</x:v>
      </x:c>
      <x:c r="E3090" t="str">
        <x:v>Résidence à veille parentale commune</x:v>
      </x:c>
      <x:c r="F3090" t="n">
        <x:v>9</x:v>
      </x:c>
      <x:c r="G3090" t="n">
        <x:v>8</x:v>
      </x:c>
      <x:c r="H3090" t="n">
        <x:v>8</x:v>
      </x:c>
      <x:c r="I3090" t="str">
        <x:v>À qualifier par lieu</x:v>
      </x:c>
      <x:c r="J3090" t="str">
        <x:v>https://github.com/darknigthmare/deadwall-last-enclosure/blob/1b3b9c5ba232734b1bda3453b4e20a0481bcdd74/codex-3000/addendum-1.58/PROGRAMMES_A.json</x:v>
      </x:c>
      <x:c r="K3090" t="str">
        <x:v>Source min 38,36 m ; max 38,36 m ; modèle 38 × 36 m ; niveaux 0, 1. Détails dans catalogue-existant.json.</x:v>
      </x:c>
    </x:row>
    <x:row r="3091">
      <x:c r="A3091" t="str">
        <x:v>DW-3086</x:v>
      </x:c>
      <x:c r="B3091" t="str">
        <x:v>DW-3086</x:v>
      </x:c>
      <x:c r="C3091" t="str">
        <x:v>Parent indépendant 1.58</x:v>
      </x:c>
      <x:c r="D3091" t="str">
        <x:v>Habitat collectif</x:v>
      </x:c>
      <x:c r="E3091" t="str">
        <x:v>Habitat à cuisines d'essai communes</x:v>
      </x:c>
      <x:c r="F3091" t="n">
        <x:v>9</x:v>
      </x:c>
      <x:c r="G3091" t="n">
        <x:v>8</x:v>
      </x:c>
      <x:c r="H3091" t="n">
        <x:v>8</x:v>
      </x:c>
      <x:c r="I3091" t="str">
        <x:v>À qualifier par lieu</x:v>
      </x:c>
      <x:c r="J3091" t="str">
        <x:v>https://github.com/darknigthmare/deadwall-last-enclosure/blob/1b3b9c5ba232734b1bda3453b4e20a0481bcdd74/codex-3000/addendum-1.58/PROGRAMMES_A.json</x:v>
      </x:c>
      <x:c r="K3091" t="str">
        <x:v>Source min 38,36 m ; max 38,36 m ; modèle 38 × 36 m ; niveaux 0, 1. Détails dans catalogue-existant.json.</x:v>
      </x:c>
    </x:row>
    <x:row r="3092">
      <x:c r="A3092" t="str">
        <x:v>DW-3087</x:v>
      </x:c>
      <x:c r="B3092" t="str">
        <x:v>DW-3087</x:v>
      </x:c>
      <x:c r="C3092" t="str">
        <x:v>Parent indépendant 1.58</x:v>
      </x:c>
      <x:c r="D3092" t="str">
        <x:v>Habitat collectif</x:v>
      </x:c>
      <x:c r="E3092" t="str">
        <x:v>Logements de collecte botanique</x:v>
      </x:c>
      <x:c r="F3092" t="n">
        <x:v>9</x:v>
      </x:c>
      <x:c r="G3092" t="n">
        <x:v>8</x:v>
      </x:c>
      <x:c r="H3092" t="n">
        <x:v>8</x:v>
      </x:c>
      <x:c r="I3092" t="str">
        <x:v>À qualifier par lieu</x:v>
      </x:c>
      <x:c r="J3092" t="str">
        <x:v>https://github.com/darknigthmare/deadwall-last-enclosure/blob/1b3b9c5ba232734b1bda3453b4e20a0481bcdd74/codex-3000/addendum-1.58/PROGRAMMES_A.json</x:v>
      </x:c>
      <x:c r="K3092" t="str">
        <x:v>Source min 38,36 m ; max 38,36 m ; modèle 38 × 36 m ; niveaux 0, 1. Détails dans catalogue-existant.json.</x:v>
      </x:c>
    </x:row>
    <x:row r="3093">
      <x:c r="A3093" t="str">
        <x:v>DW-3088</x:v>
      </x:c>
      <x:c r="B3093" t="str">
        <x:v>DW-3088</x:v>
      </x:c>
      <x:c r="C3093" t="str">
        <x:v>Parent indépendant 1.58</x:v>
      </x:c>
      <x:c r="D3093" t="str">
        <x:v>Habitat collectif</x:v>
      </x:c>
      <x:c r="E3093" t="str">
        <x:v>Résidence de coopération artisanale</x:v>
      </x:c>
      <x:c r="F3093" t="n">
        <x:v>9</x:v>
      </x:c>
      <x:c r="G3093" t="n">
        <x:v>8</x:v>
      </x:c>
      <x:c r="H3093" t="n">
        <x:v>8</x:v>
      </x:c>
      <x:c r="I3093" t="str">
        <x:v>À qualifier par lieu</x:v>
      </x:c>
      <x:c r="J3093" t="str">
        <x:v>https://github.com/darknigthmare/deadwall-last-enclosure/blob/1b3b9c5ba232734b1bda3453b4e20a0481bcdd74/codex-3000/addendum-1.58/PROGRAMMES_A.json</x:v>
      </x:c>
      <x:c r="K3093" t="str">
        <x:v>Source min 38,36 m ; max 38,36 m ; modèle 38 × 36 m ; niveaux 0, 1. Détails dans catalogue-existant.json.</x:v>
      </x:c>
    </x:row>
    <x:row r="3094">
      <x:c r="A3094" t="str">
        <x:v>DW-3089</x:v>
      </x:c>
      <x:c r="B3094" t="str">
        <x:v>DW-3089</x:v>
      </x:c>
      <x:c r="C3094" t="str">
        <x:v>Parent indépendant 1.58</x:v>
      </x:c>
      <x:c r="D3094" t="str">
        <x:v>Habitat collectif</x:v>
      </x:c>
      <x:c r="E3094" t="str">
        <x:v>Habitat de mobilité saisonnière</x:v>
      </x:c>
      <x:c r="F3094" t="n">
        <x:v>9</x:v>
      </x:c>
      <x:c r="G3094" t="n">
        <x:v>8</x:v>
      </x:c>
      <x:c r="H3094" t="n">
        <x:v>8</x:v>
      </x:c>
      <x:c r="I3094" t="str">
        <x:v>À qualifier par lieu</x:v>
      </x:c>
      <x:c r="J3094" t="str">
        <x:v>https://github.com/darknigthmare/deadwall-last-enclosure/blob/1b3b9c5ba232734b1bda3453b4e20a0481bcdd74/codex-3000/addendum-1.58/PROGRAMMES_A.json</x:v>
      </x:c>
      <x:c r="K3094" t="str">
        <x:v>Source min 38,36 m ; max 38,36 m ; modèle 38 × 36 m ; niveaux 0, 1. Détails dans catalogue-existant.json.</x:v>
      </x:c>
    </x:row>
    <x:row r="3095">
      <x:c r="A3095" t="str">
        <x:v>DW-3090</x:v>
      </x:c>
      <x:c r="B3095" t="str">
        <x:v>DW-3090</x:v>
      </x:c>
      <x:c r="C3095" t="str">
        <x:v>Parent indépendant 1.58</x:v>
      </x:c>
      <x:c r="D3095" t="str">
        <x:v>Habitat collectif</x:v>
      </x:c>
      <x:c r="E3095" t="str">
        <x:v>Logements à vestiaire de chantier commun</x:v>
      </x:c>
      <x:c r="F3095" t="n">
        <x:v>9</x:v>
      </x:c>
      <x:c r="G3095" t="n">
        <x:v>8</x:v>
      </x:c>
      <x:c r="H3095" t="n">
        <x:v>8</x:v>
      </x:c>
      <x:c r="I3095" t="str">
        <x:v>À qualifier par lieu</x:v>
      </x:c>
      <x:c r="J3095" t="str">
        <x:v>https://github.com/darknigthmare/deadwall-last-enclosure/blob/1b3b9c5ba232734b1bda3453b4e20a0481bcdd74/codex-3000/addendum-1.58/PROGRAMMES_A.json</x:v>
      </x:c>
      <x:c r="K3095" t="str">
        <x:v>Source min 38,36 m ; max 38,36 m ; modèle 38 × 36 m ; niveaux 0, 1. Détails dans catalogue-existant.json.</x:v>
      </x:c>
    </x:row>
    <x:row r="3096">
      <x:c r="A3096" t="str">
        <x:v>DW-3091</x:v>
      </x:c>
      <x:c r="B3096" t="str">
        <x:v>DW-3091</x:v>
      </x:c>
      <x:c r="C3096" t="str">
        <x:v>Parent indépendant 1.58</x:v>
      </x:c>
      <x:c r="D3096" t="str">
        <x:v>Santé</x:v>
      </x:c>
      <x:c r="E3096" t="str">
        <x:v>Centre d'orthoptie</x:v>
      </x:c>
      <x:c r="F3096" t="n">
        <x:v>9</x:v>
      </x:c>
      <x:c r="G3096" t="n">
        <x:v>8</x:v>
      </x:c>
      <x:c r="H3096" t="n">
        <x:v>8</x:v>
      </x:c>
      <x:c r="I3096" t="str">
        <x:v>À qualifier par lieu</x:v>
      </x:c>
      <x:c r="J3096" t="str">
        <x:v>https://github.com/darknigthmare/deadwall-last-enclosure/blob/1b3b9c5ba232734b1bda3453b4e20a0481bcdd74/codex-3000/addendum-1.58/PROGRAMMES_A.json</x:v>
      </x:c>
      <x:c r="K3096" t="str">
        <x:v>Source min 36,40 m ; max 36,40 m ; modèle 36 × 40 m ; niveaux 0. Détails dans catalogue-existant.json.</x:v>
      </x:c>
    </x:row>
    <x:row r="3097">
      <x:c r="A3097" t="str">
        <x:v>DW-3092</x:v>
      </x:c>
      <x:c r="B3097" t="str">
        <x:v>DW-3092</x:v>
      </x:c>
      <x:c r="C3097" t="str">
        <x:v>Parent indépendant 1.58</x:v>
      </x:c>
      <x:c r="D3097" t="str">
        <x:v>Santé</x:v>
      </x:c>
      <x:c r="E3097" t="str">
        <x:v>Cabinet d'audiométrie</x:v>
      </x:c>
      <x:c r="F3097" t="n">
        <x:v>9</x:v>
      </x:c>
      <x:c r="G3097" t="n">
        <x:v>8</x:v>
      </x:c>
      <x:c r="H3097" t="n">
        <x:v>8</x:v>
      </x:c>
      <x:c r="I3097" t="str">
        <x:v>À qualifier par lieu</x:v>
      </x:c>
      <x:c r="J3097" t="str">
        <x:v>https://github.com/darknigthmare/deadwall-last-enclosure/blob/1b3b9c5ba232734b1bda3453b4e20a0481bcdd74/codex-3000/addendum-1.58/PROGRAMMES_A.json</x:v>
      </x:c>
      <x:c r="K3097" t="str">
        <x:v>Source min 36,40 m ; max 36,40 m ; modèle 36 × 40 m ; niveaux 0. Détails dans catalogue-existant.json.</x:v>
      </x:c>
    </x:row>
    <x:row r="3098">
      <x:c r="A3098" t="str">
        <x:v>DW-3093</x:v>
      </x:c>
      <x:c r="B3098" t="str">
        <x:v>DW-3093</x:v>
      </x:c>
      <x:c r="C3098" t="str">
        <x:v>Parent indépendant 1.58</x:v>
      </x:c>
      <x:c r="D3098" t="str">
        <x:v>Santé</x:v>
      </x:c>
      <x:c r="E3098" t="str">
        <x:v>Centre d'orthophonie</x:v>
      </x:c>
      <x:c r="F3098" t="n">
        <x:v>9</x:v>
      </x:c>
      <x:c r="G3098" t="n">
        <x:v>8</x:v>
      </x:c>
      <x:c r="H3098" t="n">
        <x:v>8</x:v>
      </x:c>
      <x:c r="I3098" t="str">
        <x:v>À qualifier par lieu</x:v>
      </x:c>
      <x:c r="J3098" t="str">
        <x:v>https://github.com/darknigthmare/deadwall-last-enclosure/blob/1b3b9c5ba232734b1bda3453b4e20a0481bcdd74/codex-3000/addendum-1.58/PROGRAMMES_A.json</x:v>
      </x:c>
      <x:c r="K3098" t="str">
        <x:v>Source min 36,40 m ; max 36,40 m ; modèle 36 × 40 m ; niveaux 0. Détails dans catalogue-existant.json.</x:v>
      </x:c>
    </x:row>
    <x:row r="3099">
      <x:c r="A3099" t="str">
        <x:v>DW-3094</x:v>
      </x:c>
      <x:c r="B3099" t="str">
        <x:v>DW-3094</x:v>
      </x:c>
      <x:c r="C3099" t="str">
        <x:v>Parent indépendant 1.58</x:v>
      </x:c>
      <x:c r="D3099" t="str">
        <x:v>Santé</x:v>
      </x:c>
      <x:c r="E3099" t="str">
        <x:v>Cabinet de podologie</x:v>
      </x:c>
      <x:c r="F3099" t="n">
        <x:v>9</x:v>
      </x:c>
      <x:c r="G3099" t="n">
        <x:v>8</x:v>
      </x:c>
      <x:c r="H3099" t="n">
        <x:v>8</x:v>
      </x:c>
      <x:c r="I3099" t="str">
        <x:v>À qualifier par lieu</x:v>
      </x:c>
      <x:c r="J3099" t="str">
        <x:v>https://github.com/darknigthmare/deadwall-last-enclosure/blob/1b3b9c5ba232734b1bda3453b4e20a0481bcdd74/codex-3000/addendum-1.58/PROGRAMMES_A.json</x:v>
      </x:c>
      <x:c r="K3099" t="str">
        <x:v>Source min 36,40 m ; max 36,40 m ; modèle 36 × 40 m ; niveaux 0. Détails dans catalogue-existant.json.</x:v>
      </x:c>
    </x:row>
    <x:row r="3100">
      <x:c r="A3100" t="str">
        <x:v>DW-3095</x:v>
      </x:c>
      <x:c r="B3100" t="str">
        <x:v>DW-3095</x:v>
      </x:c>
      <x:c r="C3100" t="str">
        <x:v>Parent indépendant 1.58</x:v>
      </x:c>
      <x:c r="D3100" t="str">
        <x:v>Santé</x:v>
      </x:c>
      <x:c r="E3100" t="str">
        <x:v>Centre de dermatologie ambulatoire</x:v>
      </x:c>
      <x:c r="F3100" t="n">
        <x:v>9</x:v>
      </x:c>
      <x:c r="G3100" t="n">
        <x:v>8</x:v>
      </x:c>
      <x:c r="H3100" t="n">
        <x:v>8</x:v>
      </x:c>
      <x:c r="I3100" t="str">
        <x:v>À qualifier par lieu</x:v>
      </x:c>
      <x:c r="J3100" t="str">
        <x:v>https://github.com/darknigthmare/deadwall-last-enclosure/blob/1b3b9c5ba232734b1bda3453b4e20a0481bcdd74/codex-3000/addendum-1.58/PROGRAMMES_A.json</x:v>
      </x:c>
      <x:c r="K3100" t="str">
        <x:v>Source min 36,40 m ; max 36,40 m ; modèle 36 × 40 m ; niveaux 0. Détails dans catalogue-existant.json.</x:v>
      </x:c>
    </x:row>
    <x:row r="3101">
      <x:c r="A3101" t="str">
        <x:v>DW-3096</x:v>
      </x:c>
      <x:c r="B3101" t="str">
        <x:v>DW-3096</x:v>
      </x:c>
      <x:c r="C3101" t="str">
        <x:v>Parent indépendant 1.58</x:v>
      </x:c>
      <x:c r="D3101" t="str">
        <x:v>Santé</x:v>
      </x:c>
      <x:c r="E3101" t="str">
        <x:v>Centre d'allergologie</x:v>
      </x:c>
      <x:c r="F3101" t="n">
        <x:v>9</x:v>
      </x:c>
      <x:c r="G3101" t="n">
        <x:v>8</x:v>
      </x:c>
      <x:c r="H3101" t="n">
        <x:v>8</x:v>
      </x:c>
      <x:c r="I3101" t="str">
        <x:v>À qualifier par lieu</x:v>
      </x:c>
      <x:c r="J3101" t="str">
        <x:v>https://github.com/darknigthmare/deadwall-last-enclosure/blob/1b3b9c5ba232734b1bda3453b4e20a0481bcdd74/codex-3000/addendum-1.58/PROGRAMMES_A.json</x:v>
      </x:c>
      <x:c r="K3101" t="str">
        <x:v>Source min 36,40 m ; max 36,40 m ; modèle 36 × 40 m ; niveaux 0. Détails dans catalogue-existant.json.</x:v>
      </x:c>
    </x:row>
    <x:row r="3102">
      <x:c r="A3102" t="str">
        <x:v>DW-3097</x:v>
      </x:c>
      <x:c r="B3102" t="str">
        <x:v>DW-3097</x:v>
      </x:c>
      <x:c r="C3102" t="str">
        <x:v>Parent indépendant 1.58</x:v>
      </x:c>
      <x:c r="D3102" t="str">
        <x:v>Santé</x:v>
      </x:c>
      <x:c r="E3102" t="str">
        <x:v>Consultation d'endocrinologie</x:v>
      </x:c>
      <x:c r="F3102" t="n">
        <x:v>9</x:v>
      </x:c>
      <x:c r="G3102" t="n">
        <x:v>8</x:v>
      </x:c>
      <x:c r="H3102" t="n">
        <x:v>8</x:v>
      </x:c>
      <x:c r="I3102" t="str">
        <x:v>À qualifier par lieu</x:v>
      </x:c>
      <x:c r="J3102" t="str">
        <x:v>https://github.com/darknigthmare/deadwall-last-enclosure/blob/1b3b9c5ba232734b1bda3453b4e20a0481bcdd74/codex-3000/addendum-1.58/PROGRAMMES_A.json</x:v>
      </x:c>
      <x:c r="K3102" t="str">
        <x:v>Source min 36,40 m ; max 36,40 m ; modèle 36 × 40 m ; niveaux 0. Détails dans catalogue-existant.json.</x:v>
      </x:c>
    </x:row>
    <x:row r="3103">
      <x:c r="A3103" t="str">
        <x:v>DW-3098</x:v>
      </x:c>
      <x:c r="B3103" t="str">
        <x:v>DW-3098</x:v>
      </x:c>
      <x:c r="C3103" t="str">
        <x:v>Parent indépendant 1.58</x:v>
      </x:c>
      <x:c r="D3103" t="str">
        <x:v>Santé</x:v>
      </x:c>
      <x:c r="E3103" t="str">
        <x:v>Centre de cardiologie ambulatoire</x:v>
      </x:c>
      <x:c r="F3103" t="n">
        <x:v>9</x:v>
      </x:c>
      <x:c r="G3103" t="n">
        <x:v>8</x:v>
      </x:c>
      <x:c r="H3103" t="n">
        <x:v>8</x:v>
      </x:c>
      <x:c r="I3103" t="str">
        <x:v>À qualifier par lieu</x:v>
      </x:c>
      <x:c r="J3103" t="str">
        <x:v>https://github.com/darknigthmare/deadwall-last-enclosure/blob/1b3b9c5ba232734b1bda3453b4e20a0481bcdd74/codex-3000/addendum-1.58/PROGRAMMES_A.json</x:v>
      </x:c>
      <x:c r="K3103" t="str">
        <x:v>Source min 36,40 m ; max 36,40 m ; modèle 36 × 40 m ; niveaux 0. Détails dans catalogue-existant.json.</x:v>
      </x:c>
    </x:row>
    <x:row r="3104">
      <x:c r="A3104" t="str">
        <x:v>DW-3099</x:v>
      </x:c>
      <x:c r="B3104" t="str">
        <x:v>DW-3099</x:v>
      </x:c>
      <x:c r="C3104" t="str">
        <x:v>Parent indépendant 1.58</x:v>
      </x:c>
      <x:c r="D3104" t="str">
        <x:v>Santé</x:v>
      </x:c>
      <x:c r="E3104" t="str">
        <x:v>Centre de pneumologie</x:v>
      </x:c>
      <x:c r="F3104" t="n">
        <x:v>9</x:v>
      </x:c>
      <x:c r="G3104" t="n">
        <x:v>8</x:v>
      </x:c>
      <x:c r="H3104" t="n">
        <x:v>8</x:v>
      </x:c>
      <x:c r="I3104" t="str">
        <x:v>À qualifier par lieu</x:v>
      </x:c>
      <x:c r="J3104" t="str">
        <x:v>https://github.com/darknigthmare/deadwall-last-enclosure/blob/1b3b9c5ba232734b1bda3453b4e20a0481bcdd74/codex-3000/addendum-1.58/PROGRAMMES_A.json</x:v>
      </x:c>
      <x:c r="K3104" t="str">
        <x:v>Source min 36,40 m ; max 36,40 m ; modèle 36 × 40 m ; niveaux 0. Détails dans catalogue-existant.json.</x:v>
      </x:c>
    </x:row>
    <x:row r="3105">
      <x:c r="A3105" t="str">
        <x:v>DW-3100</x:v>
      </x:c>
      <x:c r="B3105" t="str">
        <x:v>DW-3100</x:v>
      </x:c>
      <x:c r="C3105" t="str">
        <x:v>Parent indépendant 1.58</x:v>
      </x:c>
      <x:c r="D3105" t="str">
        <x:v>Santé</x:v>
      </x:c>
      <x:c r="E3105" t="str">
        <x:v>Consultation de gastroentérologie</x:v>
      </x:c>
      <x:c r="F3105" t="n">
        <x:v>9</x:v>
      </x:c>
      <x:c r="G3105" t="n">
        <x:v>8</x:v>
      </x:c>
      <x:c r="H3105" t="n">
        <x:v>8</x:v>
      </x:c>
      <x:c r="I3105" t="str">
        <x:v>À qualifier par lieu</x:v>
      </x:c>
      <x:c r="J3105" t="str">
        <x:v>https://github.com/darknigthmare/deadwall-last-enclosure/blob/1b3b9c5ba232734b1bda3453b4e20a0481bcdd74/codex-3000/addendum-1.58/PROGRAMMES_A.json</x:v>
      </x:c>
      <x:c r="K3105" t="str">
        <x:v>Source min 36,40 m ; max 36,40 m ; modèle 36 × 40 m ; niveaux 0. Détails dans catalogue-existant.json.</x:v>
      </x:c>
    </x:row>
    <x:row r="3106">
      <x:c r="A3106" t="str">
        <x:v>DW-3101</x:v>
      </x:c>
      <x:c r="B3106" t="str">
        <x:v>DW-3101</x:v>
      </x:c>
      <x:c r="C3106" t="str">
        <x:v>Parent indépendant 1.58</x:v>
      </x:c>
      <x:c r="D3106" t="str">
        <x:v>Santé</x:v>
      </x:c>
      <x:c r="E3106" t="str">
        <x:v>Centre d'examen du sommeil</x:v>
      </x:c>
      <x:c r="F3106" t="n">
        <x:v>9</x:v>
      </x:c>
      <x:c r="G3106" t="n">
        <x:v>8</x:v>
      </x:c>
      <x:c r="H3106" t="n">
        <x:v>8</x:v>
      </x:c>
      <x:c r="I3106" t="str">
        <x:v>À qualifier par lieu</x:v>
      </x:c>
      <x:c r="J3106" t="str">
        <x:v>https://github.com/darknigthmare/deadwall-last-enclosure/blob/1b3b9c5ba232734b1bda3453b4e20a0481bcdd74/codex-3000/addendum-1.58/PROGRAMMES_A.json</x:v>
      </x:c>
      <x:c r="K3106" t="str">
        <x:v>Source min 36,40 m ; max 36,40 m ; modèle 36 × 40 m ; niveaux 0. Détails dans catalogue-existant.json.</x:v>
      </x:c>
    </x:row>
    <x:row r="3107">
      <x:c r="A3107" t="str">
        <x:v>DW-3102</x:v>
      </x:c>
      <x:c r="B3107" t="str">
        <x:v>DW-3102</x:v>
      </x:c>
      <x:c r="C3107" t="str">
        <x:v>Parent indépendant 1.58</x:v>
      </x:c>
      <x:c r="D3107" t="str">
        <x:v>Santé</x:v>
      </x:c>
      <x:c r="E3107" t="str">
        <x:v>Consultation de neurologie</x:v>
      </x:c>
      <x:c r="F3107" t="n">
        <x:v>9</x:v>
      </x:c>
      <x:c r="G3107" t="n">
        <x:v>8</x:v>
      </x:c>
      <x:c r="H3107" t="n">
        <x:v>8</x:v>
      </x:c>
      <x:c r="I3107" t="str">
        <x:v>À qualifier par lieu</x:v>
      </x:c>
      <x:c r="J3107" t="str">
        <x:v>https://github.com/darknigthmare/deadwall-last-enclosure/blob/1b3b9c5ba232734b1bda3453b4e20a0481bcdd74/codex-3000/addendum-1.58/PROGRAMMES_A.json</x:v>
      </x:c>
      <x:c r="K3107" t="str">
        <x:v>Source min 36,40 m ; max 36,40 m ; modèle 36 × 40 m ; niveaux 0. Détails dans catalogue-existant.json.</x:v>
      </x:c>
    </x:row>
    <x:row r="3108">
      <x:c r="A3108" t="str">
        <x:v>DW-3103</x:v>
      </x:c>
      <x:c r="B3108" t="str">
        <x:v>DW-3103</x:v>
      </x:c>
      <x:c r="C3108" t="str">
        <x:v>Parent indépendant 1.58</x:v>
      </x:c>
      <x:c r="D3108" t="str">
        <x:v>Santé</x:v>
      </x:c>
      <x:c r="E3108" t="str">
        <x:v>Consultation gynécologique ambulatoire</x:v>
      </x:c>
      <x:c r="F3108" t="n">
        <x:v>9</x:v>
      </x:c>
      <x:c r="G3108" t="n">
        <x:v>8</x:v>
      </x:c>
      <x:c r="H3108" t="n">
        <x:v>8</x:v>
      </x:c>
      <x:c r="I3108" t="str">
        <x:v>À qualifier par lieu</x:v>
      </x:c>
      <x:c r="J3108" t="str">
        <x:v>https://github.com/darknigthmare/deadwall-last-enclosure/blob/1b3b9c5ba232734b1bda3453b4e20a0481bcdd74/codex-3000/addendum-1.58/PROGRAMMES_A.json</x:v>
      </x:c>
      <x:c r="K3108" t="str">
        <x:v>Source min 36,40 m ; max 36,40 m ; modèle 36 × 40 m ; niveaux 0. Détails dans catalogue-existant.json.</x:v>
      </x:c>
    </x:row>
    <x:row r="3109">
      <x:c r="A3109" t="str">
        <x:v>DW-3104</x:v>
      </x:c>
      <x:c r="B3109" t="str">
        <x:v>DW-3104</x:v>
      </x:c>
      <x:c r="C3109" t="str">
        <x:v>Parent indépendant 1.58</x:v>
      </x:c>
      <x:c r="D3109" t="str">
        <x:v>Santé</x:v>
      </x:c>
      <x:c r="E3109" t="str">
        <x:v>Centre de suivi orthopédique</x:v>
      </x:c>
      <x:c r="F3109" t="n">
        <x:v>9</x:v>
      </x:c>
      <x:c r="G3109" t="n">
        <x:v>8</x:v>
      </x:c>
      <x:c r="H3109" t="n">
        <x:v>8</x:v>
      </x:c>
      <x:c r="I3109" t="str">
        <x:v>À qualifier par lieu</x:v>
      </x:c>
      <x:c r="J3109" t="str">
        <x:v>https://github.com/darknigthmare/deadwall-last-enclosure/blob/1b3b9c5ba232734b1bda3453b4e20a0481bcdd74/codex-3000/addendum-1.58/PROGRAMMES_A.json</x:v>
      </x:c>
      <x:c r="K3109" t="str">
        <x:v>Source min 36,40 m ; max 36,40 m ; modèle 36 × 40 m ; niveaux 0. Détails dans catalogue-existant.json.</x:v>
      </x:c>
    </x:row>
    <x:row r="3110">
      <x:c r="A3110" t="str">
        <x:v>DW-3105</x:v>
      </x:c>
      <x:c r="B3110" t="str">
        <x:v>DW-3105</x:v>
      </x:c>
      <x:c r="C3110" t="str">
        <x:v>Parent indépendant 1.58</x:v>
      </x:c>
      <x:c r="D3110" t="str">
        <x:v>Santé</x:v>
      </x:c>
      <x:c r="E3110" t="str">
        <x:v>Centre de nutrition clinique</x:v>
      </x:c>
      <x:c r="F3110" t="n">
        <x:v>9</x:v>
      </x:c>
      <x:c r="G3110" t="n">
        <x:v>8</x:v>
      </x:c>
      <x:c r="H3110" t="n">
        <x:v>8</x:v>
      </x:c>
      <x:c r="I3110" t="str">
        <x:v>À qualifier par lieu</x:v>
      </x:c>
      <x:c r="J3110" t="str">
        <x:v>https://github.com/darknigthmare/deadwall-last-enclosure/blob/1b3b9c5ba232734b1bda3453b4e20a0481bcdd74/codex-3000/addendum-1.58/PROGRAMMES_A.json</x:v>
      </x:c>
      <x:c r="K3110" t="str">
        <x:v>Source min 36,40 m ; max 36,40 m ; modèle 36 × 40 m ; niveaux 0. Détails dans catalogue-existant.json.</x:v>
      </x:c>
    </x:row>
    <x:row r="3111">
      <x:c r="A3111" t="str">
        <x:v>DW-3106</x:v>
      </x:c>
      <x:c r="B3111" t="str">
        <x:v>DW-3106</x:v>
      </x:c>
      <x:c r="C3111" t="str">
        <x:v>Parent indépendant 1.58</x:v>
      </x:c>
      <x:c r="D3111" t="str">
        <x:v>Santé</x:v>
      </x:c>
      <x:c r="E3111" t="str">
        <x:v>Consultation de diabétologie</x:v>
      </x:c>
      <x:c r="F3111" t="n">
        <x:v>9</x:v>
      </x:c>
      <x:c r="G3111" t="n">
        <x:v>8</x:v>
      </x:c>
      <x:c r="H3111" t="n">
        <x:v>8</x:v>
      </x:c>
      <x:c r="I3111" t="str">
        <x:v>À qualifier par lieu</x:v>
      </x:c>
      <x:c r="J3111" t="str">
        <x:v>https://github.com/darknigthmare/deadwall-last-enclosure/blob/1b3b9c5ba232734b1bda3453b4e20a0481bcdd74/codex-3000/addendum-1.58/PROGRAMMES_A.json</x:v>
      </x:c>
      <x:c r="K3111" t="str">
        <x:v>Source min 36,40 m ; max 36,40 m ; modèle 36 × 40 m ; niveaux 0. Détails dans catalogue-existant.json.</x:v>
      </x:c>
    </x:row>
    <x:row r="3112">
      <x:c r="A3112" t="str">
        <x:v>DW-3107</x:v>
      </x:c>
      <x:c r="B3112" t="str">
        <x:v>DW-3107</x:v>
      </x:c>
      <x:c r="C3112" t="str">
        <x:v>Parent indépendant 1.58</x:v>
      </x:c>
      <x:c r="D3112" t="str">
        <x:v>Santé</x:v>
      </x:c>
      <x:c r="E3112" t="str">
        <x:v>Centre d'urologie ambulatoire</x:v>
      </x:c>
      <x:c r="F3112" t="n">
        <x:v>9</x:v>
      </x:c>
      <x:c r="G3112" t="n">
        <x:v>8</x:v>
      </x:c>
      <x:c r="H3112" t="n">
        <x:v>8</x:v>
      </x:c>
      <x:c r="I3112" t="str">
        <x:v>À qualifier par lieu</x:v>
      </x:c>
      <x:c r="J3112" t="str">
        <x:v>https://github.com/darknigthmare/deadwall-last-enclosure/blob/1b3b9c5ba232734b1bda3453b4e20a0481bcdd74/codex-3000/addendum-1.58/PROGRAMMES_A.json</x:v>
      </x:c>
      <x:c r="K3112" t="str">
        <x:v>Source min 36,40 m ; max 36,40 m ; modèle 36 × 40 m ; niveaux 0. Détails dans catalogue-existant.json.</x:v>
      </x:c>
    </x:row>
    <x:row r="3113">
      <x:c r="A3113" t="str">
        <x:v>DW-3108</x:v>
      </x:c>
      <x:c r="B3113" t="str">
        <x:v>DW-3108</x:v>
      </x:c>
      <x:c r="C3113" t="str">
        <x:v>Parent indépendant 1.58</x:v>
      </x:c>
      <x:c r="D3113" t="str">
        <x:v>Santé</x:v>
      </x:c>
      <x:c r="E3113" t="str">
        <x:v>Consultation de rhumatologie</x:v>
      </x:c>
      <x:c r="F3113" t="n">
        <x:v>9</x:v>
      </x:c>
      <x:c r="G3113" t="n">
        <x:v>8</x:v>
      </x:c>
      <x:c r="H3113" t="n">
        <x:v>8</x:v>
      </x:c>
      <x:c r="I3113" t="str">
        <x:v>À qualifier par lieu</x:v>
      </x:c>
      <x:c r="J3113" t="str">
        <x:v>https://github.com/darknigthmare/deadwall-last-enclosure/blob/1b3b9c5ba232734b1bda3453b4e20a0481bcdd74/codex-3000/addendum-1.58/PROGRAMMES_A.json</x:v>
      </x:c>
      <x:c r="K3113" t="str">
        <x:v>Source min 36,40 m ; max 36,40 m ; modèle 36 × 40 m ; niveaux 0. Détails dans catalogue-existant.json.</x:v>
      </x:c>
    </x:row>
    <x:row r="3114">
      <x:c r="A3114" t="str">
        <x:v>DW-3109</x:v>
      </x:c>
      <x:c r="B3114" t="str">
        <x:v>DW-3109</x:v>
      </x:c>
      <x:c r="C3114" t="str">
        <x:v>Parent indépendant 1.58</x:v>
      </x:c>
      <x:c r="D3114" t="str">
        <x:v>Santé</x:v>
      </x:c>
      <x:c r="E3114" t="str">
        <x:v>Centre d'évaluation de la douleur</x:v>
      </x:c>
      <x:c r="F3114" t="n">
        <x:v>9</x:v>
      </x:c>
      <x:c r="G3114" t="n">
        <x:v>8</x:v>
      </x:c>
      <x:c r="H3114" t="n">
        <x:v>8</x:v>
      </x:c>
      <x:c r="I3114" t="str">
        <x:v>À qualifier par lieu</x:v>
      </x:c>
      <x:c r="J3114" t="str">
        <x:v>https://github.com/darknigthmare/deadwall-last-enclosure/blob/1b3b9c5ba232734b1bda3453b4e20a0481bcdd74/codex-3000/addendum-1.58/PROGRAMMES_A.json</x:v>
      </x:c>
      <x:c r="K3114" t="str">
        <x:v>Source min 36,40 m ; max 36,40 m ; modèle 36 × 40 m ; niveaux 0. Détails dans catalogue-existant.json.</x:v>
      </x:c>
    </x:row>
    <x:row r="3115">
      <x:c r="A3115" t="str">
        <x:v>DW-3110</x:v>
      </x:c>
      <x:c r="B3115" t="str">
        <x:v>DW-3110</x:v>
      </x:c>
      <x:c r="C3115" t="str">
        <x:v>Parent indépendant 1.58</x:v>
      </x:c>
      <x:c r="D3115" t="str">
        <x:v>Santé</x:v>
      </x:c>
      <x:c r="E3115" t="str">
        <x:v>Centre de médecine du travail</x:v>
      </x:c>
      <x:c r="F3115" t="n">
        <x:v>9</x:v>
      </x:c>
      <x:c r="G3115" t="n">
        <x:v>8</x:v>
      </x:c>
      <x:c r="H3115" t="n">
        <x:v>8</x:v>
      </x:c>
      <x:c r="I3115" t="str">
        <x:v>À qualifier par lieu</x:v>
      </x:c>
      <x:c r="J3115" t="str">
        <x:v>https://github.com/darknigthmare/deadwall-last-enclosure/blob/1b3b9c5ba232734b1bda3453b4e20a0481bcdd74/codex-3000/addendum-1.58/PROGRAMMES_A.json</x:v>
      </x:c>
      <x:c r="K3115" t="str">
        <x:v>Source min 36,40 m ; max 36,40 m ; modèle 36 × 40 m ; niveaux 0. Détails dans catalogue-existant.json.</x:v>
      </x:c>
    </x:row>
    <x:row r="3116">
      <x:c r="A3116" t="str">
        <x:v>DW-3111</x:v>
      </x:c>
      <x:c r="B3116" t="str">
        <x:v>DW-3111</x:v>
      </x:c>
      <x:c r="C3116" t="str">
        <x:v>Parent indépendant 1.58</x:v>
      </x:c>
      <x:c r="D3116" t="str">
        <x:v>Santé</x:v>
      </x:c>
      <x:c r="E3116" t="str">
        <x:v>Hôpital de jour oncologique</x:v>
      </x:c>
      <x:c r="F3116" t="n">
        <x:v>9</x:v>
      </x:c>
      <x:c r="G3116" t="n">
        <x:v>8</x:v>
      </x:c>
      <x:c r="H3116" t="n">
        <x:v>8</x:v>
      </x:c>
      <x:c r="I3116" t="str">
        <x:v>À qualifier par lieu</x:v>
      </x:c>
      <x:c r="J3116" t="str">
        <x:v>https://github.com/darknigthmare/deadwall-last-enclosure/blob/1b3b9c5ba232734b1bda3453b4e20a0481bcdd74/codex-3000/addendum-1.58/PROGRAMMES_A.json</x:v>
      </x:c>
      <x:c r="K3116" t="str">
        <x:v>Source min 36,40 m ; max 36,40 m ; modèle 36 × 40 m ; niveaux 0. Détails dans catalogue-existant.json.</x:v>
      </x:c>
    </x:row>
    <x:row r="3117">
      <x:c r="A3117" t="str">
        <x:v>DW-3112</x:v>
      </x:c>
      <x:c r="B3117" t="str">
        <x:v>DW-3112</x:v>
      </x:c>
      <x:c r="C3117" t="str">
        <x:v>Parent indépendant 1.58</x:v>
      </x:c>
      <x:c r="D3117" t="str">
        <x:v>Santé</x:v>
      </x:c>
      <x:c r="E3117" t="str">
        <x:v>Centre de santé des adolescents</x:v>
      </x:c>
      <x:c r="F3117" t="n">
        <x:v>9</x:v>
      </x:c>
      <x:c r="G3117" t="n">
        <x:v>8</x:v>
      </x:c>
      <x:c r="H3117" t="n">
        <x:v>8</x:v>
      </x:c>
      <x:c r="I3117" t="str">
        <x:v>À qualifier par lieu</x:v>
      </x:c>
      <x:c r="J3117" t="str">
        <x:v>https://github.com/darknigthmare/deadwall-last-enclosure/blob/1b3b9c5ba232734b1bda3453b4e20a0481bcdd74/codex-3000/addendum-1.58/PROGRAMMES_A.json</x:v>
      </x:c>
      <x:c r="K3117" t="str">
        <x:v>Source min 36,40 m ; max 36,40 m ; modèle 36 × 40 m ; niveaux 0. Détails dans catalogue-existant.json.</x:v>
      </x:c>
    </x:row>
    <x:row r="3118">
      <x:c r="A3118" t="str">
        <x:v>DW-3113</x:v>
      </x:c>
      <x:c r="B3118" t="str">
        <x:v>DW-3113</x:v>
      </x:c>
      <x:c r="C3118" t="str">
        <x:v>Parent indépendant 1.58</x:v>
      </x:c>
      <x:c r="D3118" t="str">
        <x:v>Santé</x:v>
      </x:c>
      <x:c r="E3118" t="str">
        <x:v>Consultation de génétique clinique</x:v>
      </x:c>
      <x:c r="F3118" t="n">
        <x:v>9</x:v>
      </x:c>
      <x:c r="G3118" t="n">
        <x:v>8</x:v>
      </x:c>
      <x:c r="H3118" t="n">
        <x:v>8</x:v>
      </x:c>
      <x:c r="I3118" t="str">
        <x:v>À qualifier par lieu</x:v>
      </x:c>
      <x:c r="J3118" t="str">
        <x:v>https://github.com/darknigthmare/deadwall-last-enclosure/blob/1b3b9c5ba232734b1bda3453b4e20a0481bcdd74/codex-3000/addendum-1.58/PROGRAMMES_A.json</x:v>
      </x:c>
      <x:c r="K3118" t="str">
        <x:v>Source min 36,40 m ; max 36,40 m ; modèle 36 × 40 m ; niveaux 0. Détails dans catalogue-existant.json.</x:v>
      </x:c>
    </x:row>
    <x:row r="3119">
      <x:c r="A3119" t="str">
        <x:v>DW-3114</x:v>
      </x:c>
      <x:c r="B3119" t="str">
        <x:v>DW-3114</x:v>
      </x:c>
      <x:c r="C3119" t="str">
        <x:v>Parent indépendant 1.58</x:v>
      </x:c>
      <x:c r="D3119" t="str">
        <x:v>Santé</x:v>
      </x:c>
      <x:c r="E3119" t="str">
        <x:v>Centre de suivi des plaies</x:v>
      </x:c>
      <x:c r="F3119" t="n">
        <x:v>9</x:v>
      </x:c>
      <x:c r="G3119" t="n">
        <x:v>8</x:v>
      </x:c>
      <x:c r="H3119" t="n">
        <x:v>8</x:v>
      </x:c>
      <x:c r="I3119" t="str">
        <x:v>À qualifier par lieu</x:v>
      </x:c>
      <x:c r="J3119" t="str">
        <x:v>https://github.com/darknigthmare/deadwall-last-enclosure/blob/1b3b9c5ba232734b1bda3453b4e20a0481bcdd74/codex-3000/addendum-1.58/PROGRAMMES_A.json</x:v>
      </x:c>
      <x:c r="K3119" t="str">
        <x:v>Source min 36,40 m ; max 36,40 m ; modèle 36 × 40 m ; niveaux 0. Détails dans catalogue-existant.json.</x:v>
      </x:c>
    </x:row>
    <x:row r="3120">
      <x:c r="A3120" t="str">
        <x:v>DW-3115</x:v>
      </x:c>
      <x:c r="B3120" t="str">
        <x:v>DW-3115</x:v>
      </x:c>
      <x:c r="C3120" t="str">
        <x:v>Parent indépendant 1.58</x:v>
      </x:c>
      <x:c r="D3120" t="str">
        <x:v>Santé</x:v>
      </x:c>
      <x:c r="E3120" t="str">
        <x:v>Consultation des brûlures légères</x:v>
      </x:c>
      <x:c r="F3120" t="n">
        <x:v>9</x:v>
      </x:c>
      <x:c r="G3120" t="n">
        <x:v>8</x:v>
      </x:c>
      <x:c r="H3120" t="n">
        <x:v>8</x:v>
      </x:c>
      <x:c r="I3120" t="str">
        <x:v>À qualifier par lieu</x:v>
      </x:c>
      <x:c r="J3120" t="str">
        <x:v>https://github.com/darknigthmare/deadwall-last-enclosure/blob/1b3b9c5ba232734b1bda3453b4e20a0481bcdd74/codex-3000/addendum-1.58/PROGRAMMES_A.json</x:v>
      </x:c>
      <x:c r="K3120" t="str">
        <x:v>Source min 36,40 m ; max 36,40 m ; modèle 36 × 40 m ; niveaux 0. Détails dans catalogue-existant.json.</x:v>
      </x:c>
    </x:row>
    <x:row r="3121">
      <x:c r="A3121" t="str">
        <x:v>DW-3116</x:v>
      </x:c>
      <x:c r="B3121" t="str">
        <x:v>DW-3116</x:v>
      </x:c>
      <x:c r="C3121" t="str">
        <x:v>Parent indépendant 1.58</x:v>
      </x:c>
      <x:c r="D3121" t="str">
        <x:v>Santé</x:v>
      </x:c>
      <x:c r="E3121" t="str">
        <x:v>Centre d'explorations vasculaires</x:v>
      </x:c>
      <x:c r="F3121" t="n">
        <x:v>9</x:v>
      </x:c>
      <x:c r="G3121" t="n">
        <x:v>8</x:v>
      </x:c>
      <x:c r="H3121" t="n">
        <x:v>8</x:v>
      </x:c>
      <x:c r="I3121" t="str">
        <x:v>À qualifier par lieu</x:v>
      </x:c>
      <x:c r="J3121" t="str">
        <x:v>https://github.com/darknigthmare/deadwall-last-enclosure/blob/1b3b9c5ba232734b1bda3453b4e20a0481bcdd74/codex-3000/addendum-1.58/PROGRAMMES_A.json</x:v>
      </x:c>
      <x:c r="K3121" t="str">
        <x:v>Source min 36,40 m ; max 36,40 m ; modèle 36 × 40 m ; niveaux 0. Détails dans catalogue-existant.json.</x:v>
      </x:c>
    </x:row>
    <x:row r="3122">
      <x:c r="A3122" t="str">
        <x:v>DW-3117</x:v>
      </x:c>
      <x:c r="B3122" t="str">
        <x:v>DW-3117</x:v>
      </x:c>
      <x:c r="C3122" t="str">
        <x:v>Parent indépendant 1.58</x:v>
      </x:c>
      <x:c r="D3122" t="str">
        <x:v>Santé</x:v>
      </x:c>
      <x:c r="E3122" t="str">
        <x:v>Centre d'ophtalmologie ambulatoire</x:v>
      </x:c>
      <x:c r="F3122" t="n">
        <x:v>9</x:v>
      </x:c>
      <x:c r="G3122" t="n">
        <x:v>8</x:v>
      </x:c>
      <x:c r="H3122" t="n">
        <x:v>8</x:v>
      </x:c>
      <x:c r="I3122" t="str">
        <x:v>À qualifier par lieu</x:v>
      </x:c>
      <x:c r="J3122" t="str">
        <x:v>https://github.com/darknigthmare/deadwall-last-enclosure/blob/1b3b9c5ba232734b1bda3453b4e20a0481bcdd74/codex-3000/addendum-1.58/PROGRAMMES_A.json</x:v>
      </x:c>
      <x:c r="K3122" t="str">
        <x:v>Source min 36,40 m ; max 36,40 m ; modèle 36 × 40 m ; niveaux 0. Détails dans catalogue-existant.json.</x:v>
      </x:c>
    </x:row>
    <x:row r="3123">
      <x:c r="A3123" t="str">
        <x:v>DW-3118</x:v>
      </x:c>
      <x:c r="B3123" t="str">
        <x:v>DW-3118</x:v>
      </x:c>
      <x:c r="C3123" t="str">
        <x:v>Parent indépendant 1.58</x:v>
      </x:c>
      <x:c r="D3123" t="str">
        <x:v>Santé</x:v>
      </x:c>
      <x:c r="E3123" t="str">
        <x:v>Unité de petite chirurgie ambulatoire</x:v>
      </x:c>
      <x:c r="F3123" t="n">
        <x:v>9</x:v>
      </x:c>
      <x:c r="G3123" t="n">
        <x:v>8</x:v>
      </x:c>
      <x:c r="H3123" t="n">
        <x:v>8</x:v>
      </x:c>
      <x:c r="I3123" t="str">
        <x:v>À qualifier par lieu</x:v>
      </x:c>
      <x:c r="J3123" t="str">
        <x:v>https://github.com/darknigthmare/deadwall-last-enclosure/blob/1b3b9c5ba232734b1bda3453b4e20a0481bcdd74/codex-3000/addendum-1.58/PROGRAMMES_A.json</x:v>
      </x:c>
      <x:c r="K3123" t="str">
        <x:v>Source min 36,40 m ; max 36,40 m ; modèle 36 × 40 m ; niveaux 0. Détails dans catalogue-existant.json.</x:v>
      </x:c>
    </x:row>
    <x:row r="3124">
      <x:c r="A3124" t="str">
        <x:v>DW-3119</x:v>
      </x:c>
      <x:c r="B3124" t="str">
        <x:v>DW-3119</x:v>
      </x:c>
      <x:c r="C3124" t="str">
        <x:v>Parent indépendant 1.58</x:v>
      </x:c>
      <x:c r="D3124" t="str">
        <x:v>Santé</x:v>
      </x:c>
      <x:c r="E3124" t="str">
        <x:v>Centre d'ergothérapie</x:v>
      </x:c>
      <x:c r="F3124" t="n">
        <x:v>9</x:v>
      </x:c>
      <x:c r="G3124" t="n">
        <x:v>8</x:v>
      </x:c>
      <x:c r="H3124" t="n">
        <x:v>8</x:v>
      </x:c>
      <x:c r="I3124" t="str">
        <x:v>À qualifier par lieu</x:v>
      </x:c>
      <x:c r="J3124" t="str">
        <x:v>https://github.com/darknigthmare/deadwall-last-enclosure/blob/1b3b9c5ba232734b1bda3453b4e20a0481bcdd74/codex-3000/addendum-1.58/PROGRAMMES_A.json</x:v>
      </x:c>
      <x:c r="K3124" t="str">
        <x:v>Source min 36,40 m ; max 36,40 m ; modèle 36 × 40 m ; niveaux 0. Détails dans catalogue-existant.json.</x:v>
      </x:c>
    </x:row>
    <x:row r="3125">
      <x:c r="A3125" t="str">
        <x:v>DW-3120</x:v>
      </x:c>
      <x:c r="B3125" t="str">
        <x:v>DW-3120</x:v>
      </x:c>
      <x:c r="C3125" t="str">
        <x:v>Parent indépendant 1.58</x:v>
      </x:c>
      <x:c r="D3125" t="str">
        <x:v>Santé</x:v>
      </x:c>
      <x:c r="E3125" t="str">
        <x:v>Centre de kinésithérapie pédiatrique</x:v>
      </x:c>
      <x:c r="F3125" t="n">
        <x:v>9</x:v>
      </x:c>
      <x:c r="G3125" t="n">
        <x:v>8</x:v>
      </x:c>
      <x:c r="H3125" t="n">
        <x:v>8</x:v>
      </x:c>
      <x:c r="I3125" t="str">
        <x:v>À qualifier par lieu</x:v>
      </x:c>
      <x:c r="J3125" t="str">
        <x:v>https://github.com/darknigthmare/deadwall-last-enclosure/blob/1b3b9c5ba232734b1bda3453b4e20a0481bcdd74/codex-3000/addendum-1.58/PROGRAMMES_A.json</x:v>
      </x:c>
      <x:c r="K3125" t="str">
        <x:v>Source min 36,40 m ; max 36,40 m ; modèle 36 × 40 m ; niveaux 0. Détails dans catalogue-existant.json.</x:v>
      </x:c>
    </x:row>
    <x:row r="3126">
      <x:c r="A3126" t="str">
        <x:v>DW-3121</x:v>
      </x:c>
      <x:c r="B3126" t="str">
        <x:v>DW-3121</x:v>
      </x:c>
      <x:c r="C3126" t="str">
        <x:v>Parent indépendant 1.58</x:v>
      </x:c>
      <x:c r="D3126" t="str">
        <x:v>Santé</x:v>
      </x:c>
      <x:c r="E3126" t="str">
        <x:v>Centre de réadaptation respiratoire</x:v>
      </x:c>
      <x:c r="F3126" t="n">
        <x:v>9</x:v>
      </x:c>
      <x:c r="G3126" t="n">
        <x:v>8</x:v>
      </x:c>
      <x:c r="H3126" t="n">
        <x:v>8</x:v>
      </x:c>
      <x:c r="I3126" t="str">
        <x:v>À qualifier par lieu</x:v>
      </x:c>
      <x:c r="J3126" t="str">
        <x:v>https://github.com/darknigthmare/deadwall-last-enclosure/blob/1b3b9c5ba232734b1bda3453b4e20a0481bcdd74/codex-3000/addendum-1.58/PROGRAMMES_A.json</x:v>
      </x:c>
      <x:c r="K3126" t="str">
        <x:v>Source min 36,40 m ; max 36,40 m ; modèle 36 × 40 m ; niveaux 0. Détails dans catalogue-existant.json.</x:v>
      </x:c>
    </x:row>
    <x:row r="3127">
      <x:c r="A3127" t="str">
        <x:v>DW-3122</x:v>
      </x:c>
      <x:c r="B3127" t="str">
        <x:v>DW-3122</x:v>
      </x:c>
      <x:c r="C3127" t="str">
        <x:v>Parent indépendant 1.58</x:v>
      </x:c>
      <x:c r="D3127" t="str">
        <x:v>Santé</x:v>
      </x:c>
      <x:c r="E3127" t="str">
        <x:v>Centre d'évaluation sensorielle</x:v>
      </x:c>
      <x:c r="F3127" t="n">
        <x:v>9</x:v>
      </x:c>
      <x:c r="G3127" t="n">
        <x:v>8</x:v>
      </x:c>
      <x:c r="H3127" t="n">
        <x:v>8</x:v>
      </x:c>
      <x:c r="I3127" t="str">
        <x:v>À qualifier par lieu</x:v>
      </x:c>
      <x:c r="J3127" t="str">
        <x:v>https://github.com/darknigthmare/deadwall-last-enclosure/blob/1b3b9c5ba232734b1bda3453b4e20a0481bcdd74/codex-3000/addendum-1.58/PROGRAMMES_A.json</x:v>
      </x:c>
      <x:c r="K3127" t="str">
        <x:v>Source min 36,40 m ; max 36,40 m ; modèle 36 × 40 m ; niveaux 0. Détails dans catalogue-existant.json.</x:v>
      </x:c>
    </x:row>
    <x:row r="3128">
      <x:c r="A3128" t="str">
        <x:v>DW-3123</x:v>
      </x:c>
      <x:c r="B3128" t="str">
        <x:v>DW-3123</x:v>
      </x:c>
      <x:c r="C3128" t="str">
        <x:v>Parent indépendant 1.58</x:v>
      </x:c>
      <x:c r="D3128" t="str">
        <x:v>Santé</x:v>
      </x:c>
      <x:c r="E3128" t="str">
        <x:v>Atelier clinique d'orthèses</x:v>
      </x:c>
      <x:c r="F3128" t="n">
        <x:v>9</x:v>
      </x:c>
      <x:c r="G3128" t="n">
        <x:v>8</x:v>
      </x:c>
      <x:c r="H3128" t="n">
        <x:v>8</x:v>
      </x:c>
      <x:c r="I3128" t="str">
        <x:v>À qualifier par lieu</x:v>
      </x:c>
      <x:c r="J3128" t="str">
        <x:v>https://github.com/darknigthmare/deadwall-last-enclosure/blob/1b3b9c5ba232734b1bda3453b4e20a0481bcdd74/codex-3000/addendum-1.58/PROGRAMMES_A.json</x:v>
      </x:c>
      <x:c r="K3128" t="str">
        <x:v>Source min 36,40 m ; max 36,40 m ; modèle 36 × 40 m ; niveaux 0. Détails dans catalogue-existant.json.</x:v>
      </x:c>
    </x:row>
    <x:row r="3129">
      <x:c r="A3129" t="str">
        <x:v>DW-3124</x:v>
      </x:c>
      <x:c r="B3129" t="str">
        <x:v>DW-3124</x:v>
      </x:c>
      <x:c r="C3129" t="str">
        <x:v>Parent indépendant 1.58</x:v>
      </x:c>
      <x:c r="D3129" t="str">
        <x:v>Santé</x:v>
      </x:c>
      <x:c r="E3129" t="str">
        <x:v>Laboratoire de prothèses dentaires</x:v>
      </x:c>
      <x:c r="F3129" t="n">
        <x:v>9</x:v>
      </x:c>
      <x:c r="G3129" t="n">
        <x:v>8</x:v>
      </x:c>
      <x:c r="H3129" t="n">
        <x:v>8</x:v>
      </x:c>
      <x:c r="I3129" t="str">
        <x:v>À qualifier par lieu</x:v>
      </x:c>
      <x:c r="J3129" t="str">
        <x:v>https://github.com/darknigthmare/deadwall-last-enclosure/blob/1b3b9c5ba232734b1bda3453b4e20a0481bcdd74/codex-3000/addendum-1.58/PROGRAMMES_A.json</x:v>
      </x:c>
      <x:c r="K3129" t="str">
        <x:v>Source min 36,40 m ; max 36,40 m ; modèle 36 × 40 m ; niveaux 0. Détails dans catalogue-existant.json.</x:v>
      </x:c>
    </x:row>
    <x:row r="3130">
      <x:c r="A3130" t="str">
        <x:v>DW-3125</x:v>
      </x:c>
      <x:c r="B3130" t="str">
        <x:v>DW-3125</x:v>
      </x:c>
      <x:c r="C3130" t="str">
        <x:v>Parent indépendant 1.58</x:v>
      </x:c>
      <x:c r="D3130" t="str">
        <x:v>Santé</x:v>
      </x:c>
      <x:c r="E3130" t="str">
        <x:v>Centre d'audioprothèse</x:v>
      </x:c>
      <x:c r="F3130" t="n">
        <x:v>9</x:v>
      </x:c>
      <x:c r="G3130" t="n">
        <x:v>8</x:v>
      </x:c>
      <x:c r="H3130" t="n">
        <x:v>8</x:v>
      </x:c>
      <x:c r="I3130" t="str">
        <x:v>À qualifier par lieu</x:v>
      </x:c>
      <x:c r="J3130" t="str">
        <x:v>https://github.com/darknigthmare/deadwall-last-enclosure/blob/1b3b9c5ba232734b1bda3453b4e20a0481bcdd74/codex-3000/addendum-1.58/PROGRAMMES_A.json</x:v>
      </x:c>
      <x:c r="K3130" t="str">
        <x:v>Source min 36,40 m ; max 36,40 m ; modèle 36 × 40 m ; niveaux 0. Détails dans catalogue-existant.json.</x:v>
      </x:c>
    </x:row>
    <x:row r="3131">
      <x:c r="A3131" t="str">
        <x:v>DW-3126</x:v>
      </x:c>
      <x:c r="B3131" t="str">
        <x:v>DW-3126</x:v>
      </x:c>
      <x:c r="C3131" t="str">
        <x:v>Parent indépendant 1.58</x:v>
      </x:c>
      <x:c r="D3131" t="str">
        <x:v>Santé</x:v>
      </x:c>
      <x:c r="E3131" t="str">
        <x:v>Centre d'hygiène dentaire</x:v>
      </x:c>
      <x:c r="F3131" t="n">
        <x:v>9</x:v>
      </x:c>
      <x:c r="G3131" t="n">
        <x:v>8</x:v>
      </x:c>
      <x:c r="H3131" t="n">
        <x:v>8</x:v>
      </x:c>
      <x:c r="I3131" t="str">
        <x:v>À qualifier par lieu</x:v>
      </x:c>
      <x:c r="J3131" t="str">
        <x:v>https://github.com/darknigthmare/deadwall-last-enclosure/blob/1b3b9c5ba232734b1bda3453b4e20a0481bcdd74/codex-3000/addendum-1.58/PROGRAMMES_A.json</x:v>
      </x:c>
      <x:c r="K3131" t="str">
        <x:v>Source min 36,40 m ; max 36,40 m ; modèle 36 × 40 m ; niveaux 0. Détails dans catalogue-existant.json.</x:v>
      </x:c>
    </x:row>
    <x:row r="3132">
      <x:c r="A3132" t="str">
        <x:v>DW-3127</x:v>
      </x:c>
      <x:c r="B3132" t="str">
        <x:v>DW-3127</x:v>
      </x:c>
      <x:c r="C3132" t="str">
        <x:v>Parent indépendant 1.58</x:v>
      </x:c>
      <x:c r="D3132" t="str">
        <x:v>Santé</x:v>
      </x:c>
      <x:c r="E3132" t="str">
        <x:v>Unité de stérilisation ambulatoire</x:v>
      </x:c>
      <x:c r="F3132" t="n">
        <x:v>9</x:v>
      </x:c>
      <x:c r="G3132" t="n">
        <x:v>8</x:v>
      </x:c>
      <x:c r="H3132" t="n">
        <x:v>8</x:v>
      </x:c>
      <x:c r="I3132" t="str">
        <x:v>À qualifier par lieu</x:v>
      </x:c>
      <x:c r="J3132" t="str">
        <x:v>https://github.com/darknigthmare/deadwall-last-enclosure/blob/1b3b9c5ba232734b1bda3453b4e20a0481bcdd74/codex-3000/addendum-1.58/PROGRAMMES_A.json</x:v>
      </x:c>
      <x:c r="K3132" t="str">
        <x:v>Source min 36,40 m ; max 36,40 m ; modèle 36 × 40 m ; niveaux 0. Détails dans catalogue-existant.json.</x:v>
      </x:c>
    </x:row>
    <x:row r="3133">
      <x:c r="A3133" t="str">
        <x:v>DW-3128</x:v>
      </x:c>
      <x:c r="B3133" t="str">
        <x:v>DW-3128</x:v>
      </x:c>
      <x:c r="C3133" t="str">
        <x:v>Parent indépendant 1.58</x:v>
      </x:c>
      <x:c r="D3133" t="str">
        <x:v>Santé</x:v>
      </x:c>
      <x:c r="E3133" t="str">
        <x:v>Centre de dépôt d'échantillons cliniques</x:v>
      </x:c>
      <x:c r="F3133" t="n">
        <x:v>9</x:v>
      </x:c>
      <x:c r="G3133" t="n">
        <x:v>8</x:v>
      </x:c>
      <x:c r="H3133" t="n">
        <x:v>8</x:v>
      </x:c>
      <x:c r="I3133" t="str">
        <x:v>À qualifier par lieu</x:v>
      </x:c>
      <x:c r="J3133" t="str">
        <x:v>https://github.com/darknigthmare/deadwall-last-enclosure/blob/1b3b9c5ba232734b1bda3453b4e20a0481bcdd74/codex-3000/addendum-1.58/PROGRAMMES_A.json</x:v>
      </x:c>
      <x:c r="K3133" t="str">
        <x:v>Source min 36,40 m ; max 36,40 m ; modèle 36 × 40 m ; niveaux 0. Détails dans catalogue-existant.json.</x:v>
      </x:c>
    </x:row>
    <x:row r="3134">
      <x:c r="A3134" t="str">
        <x:v>DW-3129</x:v>
      </x:c>
      <x:c r="B3134" t="str">
        <x:v>DW-3129</x:v>
      </x:c>
      <x:c r="C3134" t="str">
        <x:v>Parent indépendant 1.58</x:v>
      </x:c>
      <x:c r="D3134" t="str">
        <x:v>Santé</x:v>
      </x:c>
      <x:c r="E3134" t="str">
        <x:v>Réserve biologique de recherche clinique</x:v>
      </x:c>
      <x:c r="F3134" t="n">
        <x:v>9</x:v>
      </x:c>
      <x:c r="G3134" t="n">
        <x:v>8</x:v>
      </x:c>
      <x:c r="H3134" t="n">
        <x:v>8</x:v>
      </x:c>
      <x:c r="I3134" t="str">
        <x:v>À qualifier par lieu</x:v>
      </x:c>
      <x:c r="J3134" t="str">
        <x:v>https://github.com/darknigthmare/deadwall-last-enclosure/blob/1b3b9c5ba232734b1bda3453b4e20a0481bcdd74/codex-3000/addendum-1.58/PROGRAMMES_A.json</x:v>
      </x:c>
      <x:c r="K3134" t="str">
        <x:v>Source min 36,40 m ; max 36,40 m ; modèle 36 × 40 m ; niveaux 0. Détails dans catalogue-existant.json.</x:v>
      </x:c>
    </x:row>
    <x:row r="3135">
      <x:c r="A3135" t="str">
        <x:v>DW-3130</x:v>
      </x:c>
      <x:c r="B3135" t="str">
        <x:v>DW-3130</x:v>
      </x:c>
      <x:c r="C3135" t="str">
        <x:v>Parent indépendant 1.58</x:v>
      </x:c>
      <x:c r="D3135" t="str">
        <x:v>Santé</x:v>
      </x:c>
      <x:c r="E3135" t="str">
        <x:v>Unité de préparation de kits médicaux</x:v>
      </x:c>
      <x:c r="F3135" t="n">
        <x:v>9</x:v>
      </x:c>
      <x:c r="G3135" t="n">
        <x:v>8</x:v>
      </x:c>
      <x:c r="H3135" t="n">
        <x:v>8</x:v>
      </x:c>
      <x:c r="I3135" t="str">
        <x:v>À qualifier par lieu</x:v>
      </x:c>
      <x:c r="J3135" t="str">
        <x:v>https://github.com/darknigthmare/deadwall-last-enclosure/blob/1b3b9c5ba232734b1bda3453b4e20a0481bcdd74/codex-3000/addendum-1.58/PROGRAMMES_A.json</x:v>
      </x:c>
      <x:c r="K3135" t="str">
        <x:v>Source min 36,40 m ; max 36,40 m ; modèle 36 × 40 m ; niveaux 0. Détails dans catalogue-existant.json.</x:v>
      </x:c>
    </x:row>
    <x:row r="3136">
      <x:c r="A3136" t="str">
        <x:v>DW-3131</x:v>
      </x:c>
      <x:c r="B3136" t="str">
        <x:v>DW-3131</x:v>
      </x:c>
      <x:c r="C3136" t="str">
        <x:v>Parent indépendant 1.58</x:v>
      </x:c>
      <x:c r="D3136" t="str">
        <x:v>Administration et communauté</x:v>
      </x:c>
      <x:c r="E3136" t="str">
        <x:v>Maison de médiation familiale</x:v>
      </x:c>
      <x:c r="F3136" t="n">
        <x:v>9</x:v>
      </x:c>
      <x:c r="G3136" t="n">
        <x:v>8</x:v>
      </x:c>
      <x:c r="H3136" t="n">
        <x:v>8</x:v>
      </x:c>
      <x:c r="I3136" t="str">
        <x:v>À qualifier par lieu</x:v>
      </x:c>
      <x:c r="J3136" t="str">
        <x:v>https://github.com/darknigthmare/deadwall-last-enclosure/blob/1b3b9c5ba232734b1bda3453b4e20a0481bcdd74/codex-3000/addendum-1.58/PROGRAMMES_A.json</x:v>
      </x:c>
      <x:c r="K3136" t="str">
        <x:v>Source min 36,40 m ; max 36,40 m ; modèle 36 × 40 m ; niveaux 0. Détails dans catalogue-existant.json.</x:v>
      </x:c>
    </x:row>
    <x:row r="3137">
      <x:c r="A3137" t="str">
        <x:v>DW-3132</x:v>
      </x:c>
      <x:c r="B3137" t="str">
        <x:v>DW-3132</x:v>
      </x:c>
      <x:c r="C3137" t="str">
        <x:v>Parent indépendant 1.58</x:v>
      </x:c>
      <x:c r="D3137" t="str">
        <x:v>Administration et communauté</x:v>
      </x:c>
      <x:c r="E3137" t="str">
        <x:v>Relais d'aide aux aidants</x:v>
      </x:c>
      <x:c r="F3137" t="n">
        <x:v>9</x:v>
      </x:c>
      <x:c r="G3137" t="n">
        <x:v>8</x:v>
      </x:c>
      <x:c r="H3137" t="n">
        <x:v>8</x:v>
      </x:c>
      <x:c r="I3137" t="str">
        <x:v>À qualifier par lieu</x:v>
      </x:c>
      <x:c r="J3137" t="str">
        <x:v>https://github.com/darknigthmare/deadwall-last-enclosure/blob/1b3b9c5ba232734b1bda3453b4e20a0481bcdd74/codex-3000/addendum-1.58/PROGRAMMES_A.json</x:v>
      </x:c>
      <x:c r="K3137" t="str">
        <x:v>Source min 36,40 m ; max 36,40 m ; modèle 36 × 40 m ; niveaux 0. Détails dans catalogue-existant.json.</x:v>
      </x:c>
    </x:row>
    <x:row r="3138">
      <x:c r="A3138" t="str">
        <x:v>DW-3133</x:v>
      </x:c>
      <x:c r="B3138" t="str">
        <x:v>DW-3133</x:v>
      </x:c>
      <x:c r="C3138" t="str">
        <x:v>Parent indépendant 1.58</x:v>
      </x:c>
      <x:c r="D3138" t="str">
        <x:v>Administration et communauté</x:v>
      </x:c>
      <x:c r="E3138" t="str">
        <x:v>Maison de soutien à la parentalité</x:v>
      </x:c>
      <x:c r="F3138" t="n">
        <x:v>9</x:v>
      </x:c>
      <x:c r="G3138" t="n">
        <x:v>8</x:v>
      </x:c>
      <x:c r="H3138" t="n">
        <x:v>8</x:v>
      </x:c>
      <x:c r="I3138" t="str">
        <x:v>À qualifier par lieu</x:v>
      </x:c>
      <x:c r="J3138" t="str">
        <x:v>https://github.com/darknigthmare/deadwall-last-enclosure/blob/1b3b9c5ba232734b1bda3453b4e20a0481bcdd74/codex-3000/addendum-1.58/PROGRAMMES_A.json</x:v>
      </x:c>
      <x:c r="K3138" t="str">
        <x:v>Source min 36,40 m ; max 36,40 m ; modèle 36 × 40 m ; niveaux 0. Détails dans catalogue-existant.json.</x:v>
      </x:c>
    </x:row>
    <x:row r="3139">
      <x:c r="A3139" t="str">
        <x:v>DW-3134</x:v>
      </x:c>
      <x:c r="B3139" t="str">
        <x:v>DW-3134</x:v>
      </x:c>
      <x:c r="C3139" t="str">
        <x:v>Parent indépendant 1.58</x:v>
      </x:c>
      <x:c r="D3139" t="str">
        <x:v>Administration et communauté</x:v>
      </x:c>
      <x:c r="E3139" t="str">
        <x:v>Centre d'orientation vers le logement</x:v>
      </x:c>
      <x:c r="F3139" t="n">
        <x:v>9</x:v>
      </x:c>
      <x:c r="G3139" t="n">
        <x:v>8</x:v>
      </x:c>
      <x:c r="H3139" t="n">
        <x:v>8</x:v>
      </x:c>
      <x:c r="I3139" t="str">
        <x:v>À qualifier par lieu</x:v>
      </x:c>
      <x:c r="J3139" t="str">
        <x:v>https://github.com/darknigthmare/deadwall-last-enclosure/blob/1b3b9c5ba232734b1bda3453b4e20a0481bcdd74/codex-3000/addendum-1.58/PROGRAMMES_A.json</x:v>
      </x:c>
      <x:c r="K3139" t="str">
        <x:v>Source min 36,40 m ; max 36,40 m ; modèle 36 × 40 m ; niveaux 0. Détails dans catalogue-existant.json.</x:v>
      </x:c>
    </x:row>
    <x:row r="3140">
      <x:c r="A3140" t="str">
        <x:v>DW-3135</x:v>
      </x:c>
      <x:c r="B3140" t="str">
        <x:v>DW-3135</x:v>
      </x:c>
      <x:c r="C3140" t="str">
        <x:v>Parent indépendant 1.58</x:v>
      </x:c>
      <x:c r="D3140" t="str">
        <x:v>Administration et communauté</x:v>
      </x:c>
      <x:c r="E3140" t="str">
        <x:v>Relais d'accueil des personnes isolées</x:v>
      </x:c>
      <x:c r="F3140" t="n">
        <x:v>9</x:v>
      </x:c>
      <x:c r="G3140" t="n">
        <x:v>8</x:v>
      </x:c>
      <x:c r="H3140" t="n">
        <x:v>8</x:v>
      </x:c>
      <x:c r="I3140" t="str">
        <x:v>À qualifier par lieu</x:v>
      </x:c>
      <x:c r="J3140" t="str">
        <x:v>https://github.com/darknigthmare/deadwall-last-enclosure/blob/1b3b9c5ba232734b1bda3453b4e20a0481bcdd74/codex-3000/addendum-1.58/PROGRAMMES_A.json</x:v>
      </x:c>
      <x:c r="K3140" t="str">
        <x:v>Source min 36,40 m ; max 36,40 m ; modèle 36 × 40 m ; niveaux 0. Détails dans catalogue-existant.json.</x:v>
      </x:c>
    </x:row>
    <x:row r="3141">
      <x:c r="A3141" t="str">
        <x:v>DW-3136</x:v>
      </x:c>
      <x:c r="B3141" t="str">
        <x:v>DW-3136</x:v>
      </x:c>
      <x:c r="C3141" t="str">
        <x:v>Parent indépendant 1.58</x:v>
      </x:c>
      <x:c r="D3141" t="str">
        <x:v>Administration et communauté</x:v>
      </x:c>
      <x:c r="E3141" t="str">
        <x:v>Centre de distribution de vêtements</x:v>
      </x:c>
      <x:c r="F3141" t="n">
        <x:v>9</x:v>
      </x:c>
      <x:c r="G3141" t="n">
        <x:v>8</x:v>
      </x:c>
      <x:c r="H3141" t="n">
        <x:v>8</x:v>
      </x:c>
      <x:c r="I3141" t="str">
        <x:v>À qualifier par lieu</x:v>
      </x:c>
      <x:c r="J3141" t="str">
        <x:v>https://github.com/darknigthmare/deadwall-last-enclosure/blob/1b3b9c5ba232734b1bda3453b4e20a0481bcdd74/codex-3000/addendum-1.58/PROGRAMMES_A.json</x:v>
      </x:c>
      <x:c r="K3141" t="str">
        <x:v>Source min 36,40 m ; max 36,40 m ; modèle 36 × 40 m ; niveaux 0. Détails dans catalogue-existant.json.</x:v>
      </x:c>
    </x:row>
    <x:row r="3142">
      <x:c r="A3142" t="str">
        <x:v>DW-3137</x:v>
      </x:c>
      <x:c r="B3142" t="str">
        <x:v>DW-3137</x:v>
      </x:c>
      <x:c r="C3142" t="str">
        <x:v>Parent indépendant 1.58</x:v>
      </x:c>
      <x:c r="D3142" t="str">
        <x:v>Administration et communauté</x:v>
      </x:c>
      <x:c r="E3142" t="str">
        <x:v>Maison d'accès aux droits sociaux</x:v>
      </x:c>
      <x:c r="F3142" t="n">
        <x:v>9</x:v>
      </x:c>
      <x:c r="G3142" t="n">
        <x:v>8</x:v>
      </x:c>
      <x:c r="H3142" t="n">
        <x:v>8</x:v>
      </x:c>
      <x:c r="I3142" t="str">
        <x:v>À qualifier par lieu</x:v>
      </x:c>
      <x:c r="J3142" t="str">
        <x:v>https://github.com/darknigthmare/deadwall-last-enclosure/blob/1b3b9c5ba232734b1bda3453b4e20a0481bcdd74/codex-3000/addendum-1.58/PROGRAMMES_A.json</x:v>
      </x:c>
      <x:c r="K3142" t="str">
        <x:v>Source min 36,40 m ; max 36,40 m ; modèle 36 × 40 m ; niveaux 0. Détails dans catalogue-existant.json.</x:v>
      </x:c>
    </x:row>
    <x:row r="3143">
      <x:c r="A3143" t="str">
        <x:v>DW-3138</x:v>
      </x:c>
      <x:c r="B3143" t="str">
        <x:v>DW-3138</x:v>
      </x:c>
      <x:c r="C3143" t="str">
        <x:v>Parent indépendant 1.58</x:v>
      </x:c>
      <x:c r="D3143" t="str">
        <x:v>Administration et communauté</x:v>
      </x:c>
      <x:c r="E3143" t="str">
        <x:v>Relais d'accompagnement du handicap</x:v>
      </x:c>
      <x:c r="F3143" t="n">
        <x:v>9</x:v>
      </x:c>
      <x:c r="G3143" t="n">
        <x:v>8</x:v>
      </x:c>
      <x:c r="H3143" t="n">
        <x:v>8</x:v>
      </x:c>
      <x:c r="I3143" t="str">
        <x:v>À qualifier par lieu</x:v>
      </x:c>
      <x:c r="J3143" t="str">
        <x:v>https://github.com/darknigthmare/deadwall-last-enclosure/blob/1b3b9c5ba232734b1bda3453b4e20a0481bcdd74/codex-3000/addendum-1.58/PROGRAMMES_A.json</x:v>
      </x:c>
      <x:c r="K3143" t="str">
        <x:v>Source min 36,40 m ; max 36,40 m ; modèle 36 × 40 m ; niveaux 0. Détails dans catalogue-existant.json.</x:v>
      </x:c>
    </x:row>
    <x:row r="3144">
      <x:c r="A3144" t="str">
        <x:v>DW-3139</x:v>
      </x:c>
      <x:c r="B3144" t="str">
        <x:v>DW-3139</x:v>
      </x:c>
      <x:c r="C3144" t="str">
        <x:v>Parent indépendant 1.58</x:v>
      </x:c>
      <x:c r="D3144" t="str">
        <x:v>Administration et communauté</x:v>
      </x:c>
      <x:c r="E3144" t="str">
        <x:v>Maison d'accompagnement du deuil</x:v>
      </x:c>
      <x:c r="F3144" t="n">
        <x:v>9</x:v>
      </x:c>
      <x:c r="G3144" t="n">
        <x:v>8</x:v>
      </x:c>
      <x:c r="H3144" t="n">
        <x:v>8</x:v>
      </x:c>
      <x:c r="I3144" t="str">
        <x:v>À qualifier par lieu</x:v>
      </x:c>
      <x:c r="J3144" t="str">
        <x:v>https://github.com/darknigthmare/deadwall-last-enclosure/blob/1b3b9c5ba232734b1bda3453b4e20a0481bcdd74/codex-3000/addendum-1.58/PROGRAMMES_A.json</x:v>
      </x:c>
      <x:c r="K3144" t="str">
        <x:v>Source min 36,40 m ; max 36,40 m ; modèle 36 × 40 m ; niveaux 0. Détails dans catalogue-existant.json.</x:v>
      </x:c>
    </x:row>
    <x:row r="3145">
      <x:c r="A3145" t="str">
        <x:v>DW-3140</x:v>
      </x:c>
      <x:c r="B3145" t="str">
        <x:v>DW-3140</x:v>
      </x:c>
      <x:c r="C3145" t="str">
        <x:v>Parent indépendant 1.58</x:v>
      </x:c>
      <x:c r="D3145" t="str">
        <x:v>Administration et communauté</x:v>
      </x:c>
      <x:c r="E3145" t="str">
        <x:v>Espace de rencontres familiales encadrées</x:v>
      </x:c>
      <x:c r="F3145" t="n">
        <x:v>9</x:v>
      </x:c>
      <x:c r="G3145" t="n">
        <x:v>8</x:v>
      </x:c>
      <x:c r="H3145" t="n">
        <x:v>8</x:v>
      </x:c>
      <x:c r="I3145" t="str">
        <x:v>À qualifier par lieu</x:v>
      </x:c>
      <x:c r="J3145" t="str">
        <x:v>https://github.com/darknigthmare/deadwall-last-enclosure/blob/1b3b9c5ba232734b1bda3453b4e20a0481bcdd74/codex-3000/addendum-1.58/PROGRAMMES_A.json</x:v>
      </x:c>
      <x:c r="K3145" t="str">
        <x:v>Source min 36,40 m ; max 36,40 m ; modèle 36 × 40 m ; niveaux 0. Détails dans catalogue-existant.json.</x:v>
      </x:c>
    </x:row>
    <x:row r="3146">
      <x:c r="A3146" t="str">
        <x:v>DW-3141</x:v>
      </x:c>
      <x:c r="B3146" t="str">
        <x:v>DW-3141</x:v>
      </x:c>
      <x:c r="C3146" t="str">
        <x:v>Parent indépendant 1.58</x:v>
      </x:c>
      <x:c r="D3146" t="str">
        <x:v>Administration et communauté</x:v>
      </x:c>
      <x:c r="E3146" t="str">
        <x:v>Maison d'orientation professionnelle</x:v>
      </x:c>
      <x:c r="F3146" t="n">
        <x:v>9</x:v>
      </x:c>
      <x:c r="G3146" t="n">
        <x:v>8</x:v>
      </x:c>
      <x:c r="H3146" t="n">
        <x:v>8</x:v>
      </x:c>
      <x:c r="I3146" t="str">
        <x:v>À qualifier par lieu</x:v>
      </x:c>
      <x:c r="J3146" t="str">
        <x:v>https://github.com/darknigthmare/deadwall-last-enclosure/blob/1b3b9c5ba232734b1bda3453b4e20a0481bcdd74/codex-3000/addendum-1.58/PROGRAMMES_A.json</x:v>
      </x:c>
      <x:c r="K3146" t="str">
        <x:v>Source min 36,40 m ; max 36,40 m ; modèle 36 × 40 m ; niveaux 0. Détails dans catalogue-existant.json.</x:v>
      </x:c>
    </x:row>
    <x:row r="3147">
      <x:c r="A3147" t="str">
        <x:v>DW-3142</x:v>
      </x:c>
      <x:c r="B3147" t="str">
        <x:v>DW-3142</x:v>
      </x:c>
      <x:c r="C3147" t="str">
        <x:v>Parent indépendant 1.58</x:v>
      </x:c>
      <x:c r="D3147" t="str">
        <x:v>Administration et communauté</x:v>
      </x:c>
      <x:c r="E3147" t="str">
        <x:v>Centre de conseil budgétaire</x:v>
      </x:c>
      <x:c r="F3147" t="n">
        <x:v>9</x:v>
      </x:c>
      <x:c r="G3147" t="n">
        <x:v>8</x:v>
      </x:c>
      <x:c r="H3147" t="n">
        <x:v>8</x:v>
      </x:c>
      <x:c r="I3147" t="str">
        <x:v>À qualifier par lieu</x:v>
      </x:c>
      <x:c r="J3147" t="str">
        <x:v>https://github.com/darknigthmare/deadwall-last-enclosure/blob/1b3b9c5ba232734b1bda3453b4e20a0481bcdd74/codex-3000/addendum-1.58/PROGRAMMES_A.json</x:v>
      </x:c>
      <x:c r="K3147" t="str">
        <x:v>Source min 36,40 m ; max 36,40 m ; modèle 36 × 40 m ; niveaux 0. Détails dans catalogue-existant.json.</x:v>
      </x:c>
    </x:row>
    <x:row r="3148">
      <x:c r="A3148" t="str">
        <x:v>DW-3143</x:v>
      </x:c>
      <x:c r="B3148" t="str">
        <x:v>DW-3143</x:v>
      </x:c>
      <x:c r="C3148" t="str">
        <x:v>Parent indépendant 1.58</x:v>
      </x:c>
      <x:c r="D3148" t="str">
        <x:v>Administration et communauté</x:v>
      </x:c>
      <x:c r="E3148" t="str">
        <x:v>Relais de protection de l'enfance</x:v>
      </x:c>
      <x:c r="F3148" t="n">
        <x:v>9</x:v>
      </x:c>
      <x:c r="G3148" t="n">
        <x:v>8</x:v>
      </x:c>
      <x:c r="H3148" t="n">
        <x:v>8</x:v>
      </x:c>
      <x:c r="I3148" t="str">
        <x:v>À qualifier par lieu</x:v>
      </x:c>
      <x:c r="J3148" t="str">
        <x:v>https://github.com/darknigthmare/deadwall-last-enclosure/blob/1b3b9c5ba232734b1bda3453b4e20a0481bcdd74/codex-3000/addendum-1.58/PROGRAMMES_A.json</x:v>
      </x:c>
      <x:c r="K3148" t="str">
        <x:v>Source min 36,40 m ; max 36,40 m ; modèle 36 × 40 m ; niveaux 0. Détails dans catalogue-existant.json.</x:v>
      </x:c>
    </x:row>
    <x:row r="3149">
      <x:c r="A3149" t="str">
        <x:v>DW-3144</x:v>
      </x:c>
      <x:c r="B3149" t="str">
        <x:v>DW-3144</x:v>
      </x:c>
      <x:c r="C3149" t="str">
        <x:v>Parent indépendant 1.58</x:v>
      </x:c>
      <x:c r="D3149" t="str">
        <x:v>Administration et communauté</x:v>
      </x:c>
      <x:c r="E3149" t="str">
        <x:v>Maison d'entraide des consommateurs</x:v>
      </x:c>
      <x:c r="F3149" t="n">
        <x:v>9</x:v>
      </x:c>
      <x:c r="G3149" t="n">
        <x:v>8</x:v>
      </x:c>
      <x:c r="H3149" t="n">
        <x:v>8</x:v>
      </x:c>
      <x:c r="I3149" t="str">
        <x:v>À qualifier par lieu</x:v>
      </x:c>
      <x:c r="J3149" t="str">
        <x:v>https://github.com/darknigthmare/deadwall-last-enclosure/blob/1b3b9c5ba232734b1bda3453b4e20a0481bcdd74/codex-3000/addendum-1.58/PROGRAMMES_A.json</x:v>
      </x:c>
      <x:c r="K3149" t="str">
        <x:v>Source min 36,40 m ; max 36,40 m ; modèle 36 × 40 m ; niveaux 0. Détails dans catalogue-existant.json.</x:v>
      </x:c>
    </x:row>
    <x:row r="3150">
      <x:c r="A3150" t="str">
        <x:v>DW-3145</x:v>
      </x:c>
      <x:c r="B3150" t="str">
        <x:v>DW-3145</x:v>
      </x:c>
      <x:c r="C3150" t="str">
        <x:v>Parent indépendant 1.58</x:v>
      </x:c>
      <x:c r="D3150" t="str">
        <x:v>Administration et communauté</x:v>
      </x:c>
      <x:c r="E3150" t="str">
        <x:v>Relais de communication adaptée</x:v>
      </x:c>
      <x:c r="F3150" t="n">
        <x:v>9</x:v>
      </x:c>
      <x:c r="G3150" t="n">
        <x:v>8</x:v>
      </x:c>
      <x:c r="H3150" t="n">
        <x:v>8</x:v>
      </x:c>
      <x:c r="I3150" t="str">
        <x:v>À qualifier par lieu</x:v>
      </x:c>
      <x:c r="J3150" t="str">
        <x:v>https://github.com/darknigthmare/deadwall-last-enclosure/blob/1b3b9c5ba232734b1bda3453b4e20a0481bcdd74/codex-3000/addendum-1.58/PROGRAMMES_A.json</x:v>
      </x:c>
      <x:c r="K3150" t="str">
        <x:v>Source min 36,40 m ; max 36,40 m ; modèle 36 × 40 m ; niveaux 0. Détails dans catalogue-existant.json.</x:v>
      </x:c>
    </x:row>
    <x:row r="3151">
      <x:c r="A3151" t="str">
        <x:v>DW-3146</x:v>
      </x:c>
      <x:c r="B3151" t="str">
        <x:v>DW-3146</x:v>
      </x:c>
      <x:c r="C3151" t="str">
        <x:v>Parent indépendant 1.58</x:v>
      </x:c>
      <x:c r="D3151" t="str">
        <x:v>Administration et communauté</x:v>
      </x:c>
      <x:c r="E3151" t="str">
        <x:v>Maison d'orientation des jeunes majeurs</x:v>
      </x:c>
      <x:c r="F3151" t="n">
        <x:v>9</x:v>
      </x:c>
      <x:c r="G3151" t="n">
        <x:v>8</x:v>
      </x:c>
      <x:c r="H3151" t="n">
        <x:v>8</x:v>
      </x:c>
      <x:c r="I3151" t="str">
        <x:v>À qualifier par lieu</x:v>
      </x:c>
      <x:c r="J3151" t="str">
        <x:v>https://github.com/darknigthmare/deadwall-last-enclosure/blob/1b3b9c5ba232734b1bda3453b4e20a0481bcdd74/codex-3000/addendum-1.58/PROGRAMMES_A.json</x:v>
      </x:c>
      <x:c r="K3151" t="str">
        <x:v>Source min 36,40 m ; max 36,40 m ; modèle 36 × 40 m ; niveaux 0. Détails dans catalogue-existant.json.</x:v>
      </x:c>
    </x:row>
    <x:row r="3152">
      <x:c r="A3152" t="str">
        <x:v>DW-3147</x:v>
      </x:c>
      <x:c r="B3152" t="str">
        <x:v>DW-3147</x:v>
      </x:c>
      <x:c r="C3152" t="str">
        <x:v>Parent indépendant 1.58</x:v>
      </x:c>
      <x:c r="D3152" t="str">
        <x:v>Administration et communauté</x:v>
      </x:c>
      <x:c r="E3152" t="str">
        <x:v>Relais de visite aux personnes âgées</x:v>
      </x:c>
      <x:c r="F3152" t="n">
        <x:v>9</x:v>
      </x:c>
      <x:c r="G3152" t="n">
        <x:v>8</x:v>
      </x:c>
      <x:c r="H3152" t="n">
        <x:v>8</x:v>
      </x:c>
      <x:c r="I3152" t="str">
        <x:v>À qualifier par lieu</x:v>
      </x:c>
      <x:c r="J3152" t="str">
        <x:v>https://github.com/darknigthmare/deadwall-last-enclosure/blob/1b3b9c5ba232734b1bda3453b4e20a0481bcdd74/codex-3000/addendum-1.58/PROGRAMMES_A.json</x:v>
      </x:c>
      <x:c r="K3152" t="str">
        <x:v>Source min 36,40 m ; max 36,40 m ; modèle 36 × 40 m ; niveaux 0. Détails dans catalogue-existant.json.</x:v>
      </x:c>
    </x:row>
    <x:row r="3153">
      <x:c r="A3153" t="str">
        <x:v>DW-3148</x:v>
      </x:c>
      <x:c r="B3153" t="str">
        <x:v>DW-3148</x:v>
      </x:c>
      <x:c r="C3153" t="str">
        <x:v>Parent indépendant 1.58</x:v>
      </x:c>
      <x:c r="D3153" t="str">
        <x:v>Administration et communauté</x:v>
      </x:c>
      <x:c r="E3153" t="str">
        <x:v>Centre d'accueil linguistique social</x:v>
      </x:c>
      <x:c r="F3153" t="n">
        <x:v>9</x:v>
      </x:c>
      <x:c r="G3153" t="n">
        <x:v>8</x:v>
      </x:c>
      <x:c r="H3153" t="n">
        <x:v>8</x:v>
      </x:c>
      <x:c r="I3153" t="str">
        <x:v>À qualifier par lieu</x:v>
      </x:c>
      <x:c r="J3153" t="str">
        <x:v>https://github.com/darknigthmare/deadwall-last-enclosure/blob/1b3b9c5ba232734b1bda3453b4e20a0481bcdd74/codex-3000/addendum-1.58/PROGRAMMES_A.json</x:v>
      </x:c>
      <x:c r="K3153" t="str">
        <x:v>Source min 36,40 m ; max 36,40 m ; modèle 36 × 40 m ; niveaux 0. Détails dans catalogue-existant.json.</x:v>
      </x:c>
    </x:row>
    <x:row r="3154">
      <x:c r="A3154" t="str">
        <x:v>DW-3149</x:v>
      </x:c>
      <x:c r="B3154" t="str">
        <x:v>DW-3149</x:v>
      </x:c>
      <x:c r="C3154" t="str">
        <x:v>Parent indépendant 1.58</x:v>
      </x:c>
      <x:c r="D3154" t="str">
        <x:v>Administration et communauté</x:v>
      </x:c>
      <x:c r="E3154" t="str">
        <x:v>Maison de préparation au retour à l'emploi</x:v>
      </x:c>
      <x:c r="F3154" t="n">
        <x:v>9</x:v>
      </x:c>
      <x:c r="G3154" t="n">
        <x:v>8</x:v>
      </x:c>
      <x:c r="H3154" t="n">
        <x:v>8</x:v>
      </x:c>
      <x:c r="I3154" t="str">
        <x:v>À qualifier par lieu</x:v>
      </x:c>
      <x:c r="J3154" t="str">
        <x:v>https://github.com/darknigthmare/deadwall-last-enclosure/blob/1b3b9c5ba232734b1bda3453b4e20a0481bcdd74/codex-3000/addendum-1.58/PROGRAMMES_A.json</x:v>
      </x:c>
      <x:c r="K3154" t="str">
        <x:v>Source min 36,40 m ; max 36,40 m ; modèle 36 × 40 m ; niveaux 0. Détails dans catalogue-existant.json.</x:v>
      </x:c>
    </x:row>
    <x:row r="3155">
      <x:c r="A3155" t="str">
        <x:v>DW-3150</x:v>
      </x:c>
      <x:c r="B3155" t="str">
        <x:v>DW-3150</x:v>
      </x:c>
      <x:c r="C3155" t="str">
        <x:v>Parent indépendant 1.58</x:v>
      </x:c>
      <x:c r="D3155" t="str">
        <x:v>Administration et communauté</x:v>
      </x:c>
      <x:c r="E3155" t="str">
        <x:v>Relais d'accompagnement des sans-abri</x:v>
      </x:c>
      <x:c r="F3155" t="n">
        <x:v>9</x:v>
      </x:c>
      <x:c r="G3155" t="n">
        <x:v>8</x:v>
      </x:c>
      <x:c r="H3155" t="n">
        <x:v>8</x:v>
      </x:c>
      <x:c r="I3155" t="str">
        <x:v>À qualifier par lieu</x:v>
      </x:c>
      <x:c r="J3155" t="str">
        <x:v>https://github.com/darknigthmare/deadwall-last-enclosure/blob/1b3b9c5ba232734b1bda3453b4e20a0481bcdd74/codex-3000/addendum-1.58/PROGRAMMES_A.json</x:v>
      </x:c>
      <x:c r="K3155" t="str">
        <x:v>Source min 36,40 m ; max 36,40 m ; modèle 36 × 40 m ; niveaux 0. Détails dans catalogue-existant.json.</x:v>
      </x:c>
    </x:row>
    <x:row r="3156">
      <x:c r="A3156" t="str">
        <x:v>DW-3151</x:v>
      </x:c>
      <x:c r="B3156" t="str">
        <x:v>DW-3151</x:v>
      </x:c>
      <x:c r="C3156" t="str">
        <x:v>Parent indépendant 1.58</x:v>
      </x:c>
      <x:c r="D3156" t="str">
        <x:v>Administration et communauté</x:v>
      </x:c>
      <x:c r="E3156" t="str">
        <x:v>Centre de remise de colis alimentaires</x:v>
      </x:c>
      <x:c r="F3156" t="n">
        <x:v>9</x:v>
      </x:c>
      <x:c r="G3156" t="n">
        <x:v>8</x:v>
      </x:c>
      <x:c r="H3156" t="n">
        <x:v>8</x:v>
      </x:c>
      <x:c r="I3156" t="str">
        <x:v>À qualifier par lieu</x:v>
      </x:c>
      <x:c r="J3156" t="str">
        <x:v>https://github.com/darknigthmare/deadwall-last-enclosure/blob/1b3b9c5ba232734b1bda3453b4e20a0481bcdd74/codex-3000/addendum-1.58/PROGRAMMES_A.json</x:v>
      </x:c>
      <x:c r="K3156" t="str">
        <x:v>Source min 36,40 m ; max 36,40 m ; modèle 36 × 40 m ; niveaux 0. Détails dans catalogue-existant.json.</x:v>
      </x:c>
    </x:row>
    <x:row r="3157">
      <x:c r="A3157" t="str">
        <x:v>DW-3152</x:v>
      </x:c>
      <x:c r="B3157" t="str">
        <x:v>DW-3152</x:v>
      </x:c>
      <x:c r="C3157" t="str">
        <x:v>Parent indépendant 1.58</x:v>
      </x:c>
      <x:c r="D3157" t="str">
        <x:v>Administration et communauté</x:v>
      </x:c>
      <x:c r="E3157" t="str">
        <x:v>Maison d'entraide des familles nombreuses</x:v>
      </x:c>
      <x:c r="F3157" t="n">
        <x:v>9</x:v>
      </x:c>
      <x:c r="G3157" t="n">
        <x:v>8</x:v>
      </x:c>
      <x:c r="H3157" t="n">
        <x:v>8</x:v>
      </x:c>
      <x:c r="I3157" t="str">
        <x:v>À qualifier par lieu</x:v>
      </x:c>
      <x:c r="J3157" t="str">
        <x:v>https://github.com/darknigthmare/deadwall-last-enclosure/blob/1b3b9c5ba232734b1bda3453b4e20a0481bcdd74/codex-3000/addendum-1.58/PROGRAMMES_A.json</x:v>
      </x:c>
      <x:c r="K3157" t="str">
        <x:v>Source min 36,40 m ; max 36,40 m ; modèle 36 × 40 m ; niveaux 0. Détails dans catalogue-existant.json.</x:v>
      </x:c>
    </x:row>
    <x:row r="3158">
      <x:c r="A3158" t="str">
        <x:v>DW-3153</x:v>
      </x:c>
      <x:c r="B3158" t="str">
        <x:v>DW-3153</x:v>
      </x:c>
      <x:c r="C3158" t="str">
        <x:v>Parent indépendant 1.58</x:v>
      </x:c>
      <x:c r="D3158" t="str">
        <x:v>Administration et communauté</x:v>
      </x:c>
      <x:c r="E3158" t="str">
        <x:v>Relais de préparation de déménagement social</x:v>
      </x:c>
      <x:c r="F3158" t="n">
        <x:v>9</x:v>
      </x:c>
      <x:c r="G3158" t="n">
        <x:v>8</x:v>
      </x:c>
      <x:c r="H3158" t="n">
        <x:v>8</x:v>
      </x:c>
      <x:c r="I3158" t="str">
        <x:v>À qualifier par lieu</x:v>
      </x:c>
      <x:c r="J3158" t="str">
        <x:v>https://github.com/darknigthmare/deadwall-last-enclosure/blob/1b3b9c5ba232734b1bda3453b4e20a0481bcdd74/codex-3000/addendum-1.58/PROGRAMMES_A.json</x:v>
      </x:c>
      <x:c r="K3158" t="str">
        <x:v>Source min 36,40 m ; max 36,40 m ; modèle 36 × 40 m ; niveaux 0. Détails dans catalogue-existant.json.</x:v>
      </x:c>
    </x:row>
    <x:row r="3159">
      <x:c r="A3159" t="str">
        <x:v>DW-3154</x:v>
      </x:c>
      <x:c r="B3159" t="str">
        <x:v>DW-3154</x:v>
      </x:c>
      <x:c r="C3159" t="str">
        <x:v>Parent indépendant 1.58</x:v>
      </x:c>
      <x:c r="D3159" t="str">
        <x:v>Administration et communauté</x:v>
      </x:c>
      <x:c r="E3159" t="str">
        <x:v>Maison de soutien aux travailleurs précaires</x:v>
      </x:c>
      <x:c r="F3159" t="n">
        <x:v>9</x:v>
      </x:c>
      <x:c r="G3159" t="n">
        <x:v>8</x:v>
      </x:c>
      <x:c r="H3159" t="n">
        <x:v>8</x:v>
      </x:c>
      <x:c r="I3159" t="str">
        <x:v>À qualifier par lieu</x:v>
      </x:c>
      <x:c r="J3159" t="str">
        <x:v>https://github.com/darknigthmare/deadwall-last-enclosure/blob/1b3b9c5ba232734b1bda3453b4e20a0481bcdd74/codex-3000/addendum-1.58/PROGRAMMES_A.json</x:v>
      </x:c>
      <x:c r="K3159" t="str">
        <x:v>Source min 36,40 m ; max 36,40 m ; modèle 36 × 40 m ; niveaux 0. Détails dans catalogue-existant.json.</x:v>
      </x:c>
    </x:row>
    <x:row r="3160">
      <x:c r="A3160" t="str">
        <x:v>DW-3155</x:v>
      </x:c>
      <x:c r="B3160" t="str">
        <x:v>DW-3155</x:v>
      </x:c>
      <x:c r="C3160" t="str">
        <x:v>Parent indépendant 1.58</x:v>
      </x:c>
      <x:c r="D3160" t="str">
        <x:v>Administration et communauté</x:v>
      </x:c>
      <x:c r="E3160" t="str">
        <x:v>Relais de soutien aux familles déplacées</x:v>
      </x:c>
      <x:c r="F3160" t="n">
        <x:v>9</x:v>
      </x:c>
      <x:c r="G3160" t="n">
        <x:v>8</x:v>
      </x:c>
      <x:c r="H3160" t="n">
        <x:v>8</x:v>
      </x:c>
      <x:c r="I3160" t="str">
        <x:v>À qualifier par lieu</x:v>
      </x:c>
      <x:c r="J3160" t="str">
        <x:v>https://github.com/darknigthmare/deadwall-last-enclosure/blob/1b3b9c5ba232734b1bda3453b4e20a0481bcdd74/codex-3000/addendum-1.58/PROGRAMMES_A.json</x:v>
      </x:c>
      <x:c r="K3160" t="str">
        <x:v>Source min 36,40 m ; max 36,40 m ; modèle 36 × 40 m ; niveaux 0. Détails dans catalogue-existant.json.</x:v>
      </x:c>
    </x:row>
    <x:row r="3161">
      <x:c r="A3161" t="str">
        <x:v>DW-3156</x:v>
      </x:c>
      <x:c r="B3161" t="str">
        <x:v>DW-3156</x:v>
      </x:c>
      <x:c r="C3161" t="str">
        <x:v>Parent indépendant 1.58</x:v>
      </x:c>
      <x:c r="D3161" t="str">
        <x:v>Hôtellerie et hébergement</x:v>
      </x:c>
      <x:c r="E3161" t="str">
        <x:v>Hostellerie de pèlerins</x:v>
      </x:c>
      <x:c r="F3161" t="n">
        <x:v>9</x:v>
      </x:c>
      <x:c r="G3161" t="n">
        <x:v>8</x:v>
      </x:c>
      <x:c r="H3161" t="n">
        <x:v>8</x:v>
      </x:c>
      <x:c r="I3161" t="str">
        <x:v>À qualifier par lieu</x:v>
      </x:c>
      <x:c r="J3161" t="str">
        <x:v>https://github.com/darknigthmare/deadwall-last-enclosure/blob/1b3b9c5ba232734b1bda3453b4e20a0481bcdd74/codex-3000/addendum-1.58/PROGRAMMES_A.json</x:v>
      </x:c>
      <x:c r="K3161" t="str">
        <x:v>Source min 40,36 m ; max 40,36 m ; modèle 40 × 36 m ; niveaux 0, 1. Détails dans catalogue-existant.json.</x:v>
      </x:c>
    </x:row>
    <x:row r="3162">
      <x:c r="A3162" t="str">
        <x:v>DW-3157</x:v>
      </x:c>
      <x:c r="B3162" t="str">
        <x:v>DW-3157</x:v>
      </x:c>
      <x:c r="C3162" t="str">
        <x:v>Parent indépendant 1.58</x:v>
      </x:c>
      <x:c r="D3162" t="str">
        <x:v>Hôtellerie et hébergement</x:v>
      </x:c>
      <x:c r="E3162" t="str">
        <x:v>Maison d'étape cyclotouriste</x:v>
      </x:c>
      <x:c r="F3162" t="n">
        <x:v>9</x:v>
      </x:c>
      <x:c r="G3162" t="n">
        <x:v>8</x:v>
      </x:c>
      <x:c r="H3162" t="n">
        <x:v>8</x:v>
      </x:c>
      <x:c r="I3162" t="str">
        <x:v>À qualifier par lieu</x:v>
      </x:c>
      <x:c r="J3162" t="str">
        <x:v>https://github.com/darknigthmare/deadwall-last-enclosure/blob/1b3b9c5ba232734b1bda3453b4e20a0481bcdd74/codex-3000/addendum-1.58/PROGRAMMES_A.json</x:v>
      </x:c>
      <x:c r="K3162" t="str">
        <x:v>Source min 40,36 m ; max 40,36 m ; modèle 40 × 36 m ; niveaux 0, 1. Détails dans catalogue-existant.json.</x:v>
      </x:c>
    </x:row>
    <x:row r="3163">
      <x:c r="A3163" t="str">
        <x:v>DW-3158</x:v>
      </x:c>
      <x:c r="B3163" t="str">
        <x:v>DW-3158</x:v>
      </x:c>
      <x:c r="C3163" t="str">
        <x:v>Parent indépendant 1.58</x:v>
      </x:c>
      <x:c r="D3163" t="str">
        <x:v>Hôtellerie et hébergement</x:v>
      </x:c>
      <x:c r="E3163" t="str">
        <x:v>Hébergement d'équipes de chantier</x:v>
      </x:c>
      <x:c r="F3163" t="n">
        <x:v>9</x:v>
      </x:c>
      <x:c r="G3163" t="n">
        <x:v>8</x:v>
      </x:c>
      <x:c r="H3163" t="n">
        <x:v>8</x:v>
      </x:c>
      <x:c r="I3163" t="str">
        <x:v>À qualifier par lieu</x:v>
      </x:c>
      <x:c r="J3163" t="str">
        <x:v>https://github.com/darknigthmare/deadwall-last-enclosure/blob/1b3b9c5ba232734b1bda3453b4e20a0481bcdd74/codex-3000/addendum-1.58/PROGRAMMES_A.json</x:v>
      </x:c>
      <x:c r="K3163" t="str">
        <x:v>Source min 40,36 m ; max 40,36 m ; modèle 40 × 36 m ; niveaux 0, 1. Détails dans catalogue-existant.json.</x:v>
      </x:c>
    </x:row>
    <x:row r="3164">
      <x:c r="A3164" t="str">
        <x:v>DW-3159</x:v>
      </x:c>
      <x:c r="B3164" t="str">
        <x:v>DW-3159</x:v>
      </x:c>
      <x:c r="C3164" t="str">
        <x:v>Parent indépendant 1.58</x:v>
      </x:c>
      <x:c r="D3164" t="str">
        <x:v>Hôtellerie et hébergement</x:v>
      </x:c>
      <x:c r="E3164" t="str">
        <x:v>Pension de longues missions civiles</x:v>
      </x:c>
      <x:c r="F3164" t="n">
        <x:v>9</x:v>
      </x:c>
      <x:c r="G3164" t="n">
        <x:v>8</x:v>
      </x:c>
      <x:c r="H3164" t="n">
        <x:v>8</x:v>
      </x:c>
      <x:c r="I3164" t="str">
        <x:v>À qualifier par lieu</x:v>
      </x:c>
      <x:c r="J3164" t="str">
        <x:v>https://github.com/darknigthmare/deadwall-last-enclosure/blob/1b3b9c5ba232734b1bda3453b4e20a0481bcdd74/codex-3000/addendum-1.58/PROGRAMMES_A.json</x:v>
      </x:c>
      <x:c r="K3164" t="str">
        <x:v>Source min 40,36 m ; max 40,36 m ; modèle 40 × 36 m ; niveaux 0, 1. Détails dans catalogue-existant.json.</x:v>
      </x:c>
    </x:row>
    <x:row r="3165">
      <x:c r="A3165" t="str">
        <x:v>DW-3160</x:v>
      </x:c>
      <x:c r="B3165" t="str">
        <x:v>DW-3160</x:v>
      </x:c>
      <x:c r="C3165" t="str">
        <x:v>Parent indépendant 1.58</x:v>
      </x:c>
      <x:c r="D3165" t="str">
        <x:v>Hôtellerie et hébergement</x:v>
      </x:c>
      <x:c r="E3165" t="str">
        <x:v>Halte d'accompagnants de patients</x:v>
      </x:c>
      <x:c r="F3165" t="n">
        <x:v>9</x:v>
      </x:c>
      <x:c r="G3165" t="n">
        <x:v>8</x:v>
      </x:c>
      <x:c r="H3165" t="n">
        <x:v>8</x:v>
      </x:c>
      <x:c r="I3165" t="str">
        <x:v>À qualifier par lieu</x:v>
      </x:c>
      <x:c r="J3165" t="str">
        <x:v>https://github.com/darknigthmare/deadwall-last-enclosure/blob/1b3b9c5ba232734b1bda3453b4e20a0481bcdd74/codex-3000/addendum-1.58/PROGRAMMES_A.json</x:v>
      </x:c>
      <x:c r="K3165" t="str">
        <x:v>Source min 40,36 m ; max 40,36 m ; modèle 40 × 36 m ; niveaux 0, 1. Détails dans catalogue-existant.json.</x:v>
      </x:c>
    </x:row>
    <x:row r="3166">
      <x:c r="A3166" t="str">
        <x:v>DW-3161</x:v>
      </x:c>
      <x:c r="B3166" t="str">
        <x:v>DW-3161</x:v>
      </x:c>
      <x:c r="C3166" t="str">
        <x:v>Parent indépendant 1.58</x:v>
      </x:c>
      <x:c r="D3166" t="str">
        <x:v>Hôtellerie et hébergement</x:v>
      </x:c>
      <x:c r="E3166" t="str">
        <x:v>Pension d'équipes de tournage</x:v>
      </x:c>
      <x:c r="F3166" t="n">
        <x:v>9</x:v>
      </x:c>
      <x:c r="G3166" t="n">
        <x:v>8</x:v>
      </x:c>
      <x:c r="H3166" t="n">
        <x:v>8</x:v>
      </x:c>
      <x:c r="I3166" t="str">
        <x:v>À qualifier par lieu</x:v>
      </x:c>
      <x:c r="J3166" t="str">
        <x:v>https://github.com/darknigthmare/deadwall-last-enclosure/blob/1b3b9c5ba232734b1bda3453b4e20a0481bcdd74/codex-3000/addendum-1.58/PROGRAMMES_A.json</x:v>
      </x:c>
      <x:c r="K3166" t="str">
        <x:v>Source min 40,36 m ; max 40,36 m ; modèle 40 × 36 m ; niveaux 0, 1. Détails dans catalogue-existant.json.</x:v>
      </x:c>
    </x:row>
    <x:row r="3167">
      <x:c r="A3167" t="str">
        <x:v>DW-3162</x:v>
      </x:c>
      <x:c r="B3167" t="str">
        <x:v>DW-3162</x:v>
      </x:c>
      <x:c r="C3167" t="str">
        <x:v>Parent indépendant 1.58</x:v>
      </x:c>
      <x:c r="D3167" t="str">
        <x:v>Hôtellerie et hébergement</x:v>
      </x:c>
      <x:c r="E3167" t="str">
        <x:v>Hébergement de musiciens en tournée</x:v>
      </x:c>
      <x:c r="F3167" t="n">
        <x:v>9</x:v>
      </x:c>
      <x:c r="G3167" t="n">
        <x:v>8</x:v>
      </x:c>
      <x:c r="H3167" t="n">
        <x:v>8</x:v>
      </x:c>
      <x:c r="I3167" t="str">
        <x:v>À qualifier par lieu</x:v>
      </x:c>
      <x:c r="J3167" t="str">
        <x:v>https://github.com/darknigthmare/deadwall-last-enclosure/blob/1b3b9c5ba232734b1bda3453b4e20a0481bcdd74/codex-3000/addendum-1.58/PROGRAMMES_A.json</x:v>
      </x:c>
      <x:c r="K3167" t="str">
        <x:v>Source min 40,36 m ; max 40,36 m ; modèle 40 × 36 m ; niveaux 0, 1. Détails dans catalogue-existant.json.</x:v>
      </x:c>
    </x:row>
    <x:row r="3168">
      <x:c r="A3168" t="str">
        <x:v>DW-3163</x:v>
      </x:c>
      <x:c r="B3168" t="str">
        <x:v>DW-3163</x:v>
      </x:c>
      <x:c r="C3168" t="str">
        <x:v>Parent indépendant 1.58</x:v>
      </x:c>
      <x:c r="D3168" t="str">
        <x:v>Hôtellerie et hébergement</x:v>
      </x:c>
      <x:c r="E3168" t="str">
        <x:v>Halte d'équipes de compétition</x:v>
      </x:c>
      <x:c r="F3168" t="n">
        <x:v>9</x:v>
      </x:c>
      <x:c r="G3168" t="n">
        <x:v>8</x:v>
      </x:c>
      <x:c r="H3168" t="n">
        <x:v>8</x:v>
      </x:c>
      <x:c r="I3168" t="str">
        <x:v>À qualifier par lieu</x:v>
      </x:c>
      <x:c r="J3168" t="str">
        <x:v>https://github.com/darknigthmare/deadwall-last-enclosure/blob/1b3b9c5ba232734b1bda3453b4e20a0481bcdd74/codex-3000/addendum-1.58/PROGRAMMES_A.json</x:v>
      </x:c>
      <x:c r="K3168" t="str">
        <x:v>Source min 40,36 m ; max 40,36 m ; modèle 40 × 36 m ; niveaux 0, 1. Détails dans catalogue-existant.json.</x:v>
      </x:c>
    </x:row>
    <x:row r="3169">
      <x:c r="A3169" t="str">
        <x:v>DW-3164</x:v>
      </x:c>
      <x:c r="B3169" t="str">
        <x:v>DW-3164</x:v>
      </x:c>
      <x:c r="C3169" t="str">
        <x:v>Parent indépendant 1.58</x:v>
      </x:c>
      <x:c r="D3169" t="str">
        <x:v>Hôtellerie et hébergement</x:v>
      </x:c>
      <x:c r="E3169" t="str">
        <x:v>Pension de guides de terrain</x:v>
      </x:c>
      <x:c r="F3169" t="n">
        <x:v>9</x:v>
      </x:c>
      <x:c r="G3169" t="n">
        <x:v>8</x:v>
      </x:c>
      <x:c r="H3169" t="n">
        <x:v>8</x:v>
      </x:c>
      <x:c r="I3169" t="str">
        <x:v>À qualifier par lieu</x:v>
      </x:c>
      <x:c r="J3169" t="str">
        <x:v>https://github.com/darknigthmare/deadwall-last-enclosure/blob/1b3b9c5ba232734b1bda3453b4e20a0481bcdd74/codex-3000/addendum-1.58/PROGRAMMES_A.json</x:v>
      </x:c>
      <x:c r="K3169" t="str">
        <x:v>Source min 40,36 m ; max 40,36 m ; modèle 40 × 36 m ; niveaux 0, 1. Détails dans catalogue-existant.json.</x:v>
      </x:c>
    </x:row>
    <x:row r="3170">
      <x:c r="A3170" t="str">
        <x:v>DW-3165</x:v>
      </x:c>
      <x:c r="B3170" t="str">
        <x:v>DW-3165</x:v>
      </x:c>
      <x:c r="C3170" t="str">
        <x:v>Parent indépendant 1.58</x:v>
      </x:c>
      <x:c r="D3170" t="str">
        <x:v>Hôtellerie et hébergement</x:v>
      </x:c>
      <x:c r="E3170" t="str">
        <x:v>Maison de séjour d'artistes plasticiens</x:v>
      </x:c>
      <x:c r="F3170" t="n">
        <x:v>9</x:v>
      </x:c>
      <x:c r="G3170" t="n">
        <x:v>8</x:v>
      </x:c>
      <x:c r="H3170" t="n">
        <x:v>8</x:v>
      </x:c>
      <x:c r="I3170" t="str">
        <x:v>À qualifier par lieu</x:v>
      </x:c>
      <x:c r="J3170" t="str">
        <x:v>https://github.com/darknigthmare/deadwall-last-enclosure/blob/1b3b9c5ba232734b1bda3453b4e20a0481bcdd74/codex-3000/addendum-1.58/PROGRAMMES_A.json</x:v>
      </x:c>
      <x:c r="K3170" t="str">
        <x:v>Source min 40,36 m ; max 40,36 m ; modèle 40 × 36 m ; niveaux 0, 1. Détails dans catalogue-existant.json.</x:v>
      </x:c>
    </x:row>
    <x:row r="3171">
      <x:c r="A3171" t="str">
        <x:v>DW-3166</x:v>
      </x:c>
      <x:c r="B3171" t="str">
        <x:v>DW-3166</x:v>
      </x:c>
      <x:c r="C3171" t="str">
        <x:v>Parent indépendant 1.58</x:v>
      </x:c>
      <x:c r="D3171" t="str">
        <x:v>Hôtellerie et hébergement</x:v>
      </x:c>
      <x:c r="E3171" t="str">
        <x:v>Hébergement d'équipes de fouille civile</x:v>
      </x:c>
      <x:c r="F3171" t="n">
        <x:v>9</x:v>
      </x:c>
      <x:c r="G3171" t="n">
        <x:v>8</x:v>
      </x:c>
      <x:c r="H3171" t="n">
        <x:v>8</x:v>
      </x:c>
      <x:c r="I3171" t="str">
        <x:v>À qualifier par lieu</x:v>
      </x:c>
      <x:c r="J3171" t="str">
        <x:v>https://github.com/darknigthmare/deadwall-last-enclosure/blob/1b3b9c5ba232734b1bda3453b4e20a0481bcdd74/codex-3000/addendum-1.58/PROGRAMMES_A.json</x:v>
      </x:c>
      <x:c r="K3171" t="str">
        <x:v>Source min 40,36 m ; max 40,36 m ; modèle 40 × 36 m ; niveaux 0, 1. Détails dans catalogue-existant.json.</x:v>
      </x:c>
    </x:row>
    <x:row r="3172">
      <x:c r="A3172" t="str">
        <x:v>DW-3167</x:v>
      </x:c>
      <x:c r="B3172" t="str">
        <x:v>DW-3167</x:v>
      </x:c>
      <x:c r="C3172" t="str">
        <x:v>Parent indépendant 1.58</x:v>
      </x:c>
      <x:c r="D3172" t="str">
        <x:v>Hôtellerie et hébergement</x:v>
      </x:c>
      <x:c r="E3172" t="str">
        <x:v>Pension d'équipes de recensement</x:v>
      </x:c>
      <x:c r="F3172" t="n">
        <x:v>9</x:v>
      </x:c>
      <x:c r="G3172" t="n">
        <x:v>8</x:v>
      </x:c>
      <x:c r="H3172" t="n">
        <x:v>8</x:v>
      </x:c>
      <x:c r="I3172" t="str">
        <x:v>À qualifier par lieu</x:v>
      </x:c>
      <x:c r="J3172" t="str">
        <x:v>https://github.com/darknigthmare/deadwall-last-enclosure/blob/1b3b9c5ba232734b1bda3453b4e20a0481bcdd74/codex-3000/addendum-1.58/PROGRAMMES_A.json</x:v>
      </x:c>
      <x:c r="K3172" t="str">
        <x:v>Source min 40,36 m ; max 40,36 m ; modèle 40 × 36 m ; niveaux 0, 1. Détails dans catalogue-existant.json.</x:v>
      </x:c>
    </x:row>
    <x:row r="3173">
      <x:c r="A3173" t="str">
        <x:v>DW-3168</x:v>
      </x:c>
      <x:c r="B3173" t="str">
        <x:v>DW-3168</x:v>
      </x:c>
      <x:c r="C3173" t="str">
        <x:v>Parent indépendant 1.58</x:v>
      </x:c>
      <x:c r="D3173" t="str">
        <x:v>Hôtellerie et hébergement</x:v>
      </x:c>
      <x:c r="E3173" t="str">
        <x:v>Halte de bénévoles de secours civil</x:v>
      </x:c>
      <x:c r="F3173" t="n">
        <x:v>9</x:v>
      </x:c>
      <x:c r="G3173" t="n">
        <x:v>8</x:v>
      </x:c>
      <x:c r="H3173" t="n">
        <x:v>8</x:v>
      </x:c>
      <x:c r="I3173" t="str">
        <x:v>À qualifier par lieu</x:v>
      </x:c>
      <x:c r="J3173" t="str">
        <x:v>https://github.com/darknigthmare/deadwall-last-enclosure/blob/1b3b9c5ba232734b1bda3453b4e20a0481bcdd74/codex-3000/addendum-1.58/PROGRAMMES_A.json</x:v>
      </x:c>
      <x:c r="K3173" t="str">
        <x:v>Source min 40,36 m ; max 40,36 m ; modèle 40 × 36 m ; niveaux 0, 1. Détails dans catalogue-existant.json.</x:v>
      </x:c>
    </x:row>
    <x:row r="3174">
      <x:c r="A3174" t="str">
        <x:v>DW-3169</x:v>
      </x:c>
      <x:c r="B3174" t="str">
        <x:v>DW-3169</x:v>
      </x:c>
      <x:c r="C3174" t="str">
        <x:v>Parent indépendant 1.58</x:v>
      </x:c>
      <x:c r="D3174" t="str">
        <x:v>Hôtellerie et hébergement</x:v>
      </x:c>
      <x:c r="E3174" t="str">
        <x:v>Maison de séjour de formateurs itinérants</x:v>
      </x:c>
      <x:c r="F3174" t="n">
        <x:v>9</x:v>
      </x:c>
      <x:c r="G3174" t="n">
        <x:v>8</x:v>
      </x:c>
      <x:c r="H3174" t="n">
        <x:v>8</x:v>
      </x:c>
      <x:c r="I3174" t="str">
        <x:v>À qualifier par lieu</x:v>
      </x:c>
      <x:c r="J3174" t="str">
        <x:v>https://github.com/darknigthmare/deadwall-last-enclosure/blob/1b3b9c5ba232734b1bda3453b4e20a0481bcdd74/codex-3000/addendum-1.58/PROGRAMMES_A.json</x:v>
      </x:c>
      <x:c r="K3174" t="str">
        <x:v>Source min 40,36 m ; max 40,36 m ; modèle 40 × 36 m ; niveaux 0, 1. Détails dans catalogue-existant.json.</x:v>
      </x:c>
    </x:row>
    <x:row r="3175">
      <x:c r="A3175" t="str">
        <x:v>DW-3170</x:v>
      </x:c>
      <x:c r="B3175" t="str">
        <x:v>DW-3170</x:v>
      </x:c>
      <x:c r="C3175" t="str">
        <x:v>Parent indépendant 1.58</x:v>
      </x:c>
      <x:c r="D3175" t="str">
        <x:v>Hôtellerie et hébergement</x:v>
      </x:c>
      <x:c r="E3175" t="str">
        <x:v>Pension de vendeurs de marché</x:v>
      </x:c>
      <x:c r="F3175" t="n">
        <x:v>9</x:v>
      </x:c>
      <x:c r="G3175" t="n">
        <x:v>8</x:v>
      </x:c>
      <x:c r="H3175" t="n">
        <x:v>8</x:v>
      </x:c>
      <x:c r="I3175" t="str">
        <x:v>À qualifier par lieu</x:v>
      </x:c>
      <x:c r="J3175" t="str">
        <x:v>https://github.com/darknigthmare/deadwall-last-enclosure/blob/1b3b9c5ba232734b1bda3453b4e20a0481bcdd74/codex-3000/addendum-1.58/PROGRAMMES_A.json</x:v>
      </x:c>
      <x:c r="K3175" t="str">
        <x:v>Source min 40,36 m ; max 40,36 m ; modèle 40 × 36 m ; niveaux 0, 1. Détails dans catalogue-existant.json.</x:v>
      </x:c>
    </x:row>
    <x:row r="3176">
      <x:c r="A3176" t="str">
        <x:v>DW-3171</x:v>
      </x:c>
      <x:c r="B3176" t="str">
        <x:v>DW-3171</x:v>
      </x:c>
      <x:c r="C3176" t="str">
        <x:v>Parent indépendant 1.58</x:v>
      </x:c>
      <x:c r="D3176" t="str">
        <x:v>Hôtellerie et hébergement</x:v>
      </x:c>
      <x:c r="E3176" t="str">
        <x:v>Hébergement de techniciens de festival</x:v>
      </x:c>
      <x:c r="F3176" t="n">
        <x:v>9</x:v>
      </x:c>
      <x:c r="G3176" t="n">
        <x:v>8</x:v>
      </x:c>
      <x:c r="H3176" t="n">
        <x:v>8</x:v>
      </x:c>
      <x:c r="I3176" t="str">
        <x:v>À qualifier par lieu</x:v>
      </x:c>
      <x:c r="J3176" t="str">
        <x:v>https://github.com/darknigthmare/deadwall-last-enclosure/blob/1b3b9c5ba232734b1bda3453b4e20a0481bcdd74/codex-3000/addendum-1.58/PROGRAMMES_A.json</x:v>
      </x:c>
      <x:c r="K3176" t="str">
        <x:v>Source min 40,36 m ; max 40,36 m ; modèle 40 × 36 m ; niveaux 0, 1. Détails dans catalogue-existant.json.</x:v>
      </x:c>
    </x:row>
    <x:row r="3177">
      <x:c r="A3177" t="str">
        <x:v>DW-3172</x:v>
      </x:c>
      <x:c r="B3177" t="str">
        <x:v>DW-3172</x:v>
      </x:c>
      <x:c r="C3177" t="str">
        <x:v>Parent indépendant 1.58</x:v>
      </x:c>
      <x:c r="D3177" t="str">
        <x:v>Hôtellerie et hébergement</x:v>
      </x:c>
      <x:c r="E3177" t="str">
        <x:v>Halte d'équipes vétérinaires mobiles</x:v>
      </x:c>
      <x:c r="F3177" t="n">
        <x:v>9</x:v>
      </x:c>
      <x:c r="G3177" t="n">
        <x:v>8</x:v>
      </x:c>
      <x:c r="H3177" t="n">
        <x:v>8</x:v>
      </x:c>
      <x:c r="I3177" t="str">
        <x:v>À qualifier par lieu</x:v>
      </x:c>
      <x:c r="J3177" t="str">
        <x:v>https://github.com/darknigthmare/deadwall-last-enclosure/blob/1b3b9c5ba232734b1bda3453b4e20a0481bcdd74/codex-3000/addendum-1.58/PROGRAMMES_A.json</x:v>
      </x:c>
      <x:c r="K3177" t="str">
        <x:v>Source min 40,36 m ; max 40,36 m ; modèle 40 × 36 m ; niveaux 0, 1. Détails dans catalogue-existant.json.</x:v>
      </x:c>
    </x:row>
    <x:row r="3178">
      <x:c r="A3178" t="str">
        <x:v>DW-3173</x:v>
      </x:c>
      <x:c r="B3178" t="str">
        <x:v>DW-3173</x:v>
      </x:c>
      <x:c r="C3178" t="str">
        <x:v>Parent indépendant 1.58</x:v>
      </x:c>
      <x:c r="D3178" t="str">
        <x:v>Hôtellerie et hébergement</x:v>
      </x:c>
      <x:c r="E3178" t="str">
        <x:v>Pension de chercheurs en botanique</x:v>
      </x:c>
      <x:c r="F3178" t="n">
        <x:v>9</x:v>
      </x:c>
      <x:c r="G3178" t="n">
        <x:v>8</x:v>
      </x:c>
      <x:c r="H3178" t="n">
        <x:v>8</x:v>
      </x:c>
      <x:c r="I3178" t="str">
        <x:v>À qualifier par lieu</x:v>
      </x:c>
      <x:c r="J3178" t="str">
        <x:v>https://github.com/darknigthmare/deadwall-last-enclosure/blob/1b3b9c5ba232734b1bda3453b4e20a0481bcdd74/codex-3000/addendum-1.58/PROGRAMMES_A.json</x:v>
      </x:c>
      <x:c r="K3178" t="str">
        <x:v>Source min 40,36 m ; max 40,36 m ; modèle 40 × 36 m ; niveaux 0, 1. Détails dans catalogue-existant.json.</x:v>
      </x:c>
    </x:row>
    <x:row r="3179">
      <x:c r="A3179" t="str">
        <x:v>DW-3174</x:v>
      </x:c>
      <x:c r="B3179" t="str">
        <x:v>DW-3174</x:v>
      </x:c>
      <x:c r="C3179" t="str">
        <x:v>Parent indépendant 1.58</x:v>
      </x:c>
      <x:c r="D3179" t="str">
        <x:v>Hôtellerie et hébergement</x:v>
      </x:c>
      <x:c r="E3179" t="str">
        <x:v>Maison d'accueil de jurys itinérants</x:v>
      </x:c>
      <x:c r="F3179" t="n">
        <x:v>9</x:v>
      </x:c>
      <x:c r="G3179" t="n">
        <x:v>8</x:v>
      </x:c>
      <x:c r="H3179" t="n">
        <x:v>8</x:v>
      </x:c>
      <x:c r="I3179" t="str">
        <x:v>À qualifier par lieu</x:v>
      </x:c>
      <x:c r="J3179" t="str">
        <x:v>https://github.com/darknigthmare/deadwall-last-enclosure/blob/1b3b9c5ba232734b1bda3453b4e20a0481bcdd74/codex-3000/addendum-1.58/PROGRAMMES_A.json</x:v>
      </x:c>
      <x:c r="K3179" t="str">
        <x:v>Source min 40,36 m ; max 40,36 m ; modèle 40 × 36 m ; niveaux 0, 1. Détails dans catalogue-existant.json.</x:v>
      </x:c>
    </x:row>
    <x:row r="3180">
      <x:c r="A3180" t="str">
        <x:v>DW-3175</x:v>
      </x:c>
      <x:c r="B3180" t="str">
        <x:v>DW-3175</x:v>
      </x:c>
      <x:c r="C3180" t="str">
        <x:v>Parent indépendant 1.58</x:v>
      </x:c>
      <x:c r="D3180" t="str">
        <x:v>Hôtellerie et hébergement</x:v>
      </x:c>
      <x:c r="E3180" t="str">
        <x:v>Hébergement d'équipes de réparation itinérante</x:v>
      </x:c>
      <x:c r="F3180" t="n">
        <x:v>9</x:v>
      </x:c>
      <x:c r="G3180" t="n">
        <x:v>8</x:v>
      </x:c>
      <x:c r="H3180" t="n">
        <x:v>8</x:v>
      </x:c>
      <x:c r="I3180" t="str">
        <x:v>À qualifier par lieu</x:v>
      </x:c>
      <x:c r="J3180" t="str">
        <x:v>https://github.com/darknigthmare/deadwall-last-enclosure/blob/1b3b9c5ba232734b1bda3453b4e20a0481bcdd74/codex-3000/addendum-1.58/PROGRAMMES_A.json</x:v>
      </x:c>
      <x:c r="K3180" t="str">
        <x:v>Source min 40,36 m ; max 40,36 m ; modèle 40 × 36 m ; niveaux 0, 1. Détails dans catalogue-existant.json.</x:v>
      </x:c>
    </x:row>
    <x:row r="3181">
      <x:c r="A3181" t="str">
        <x:v>DW-3176</x:v>
      </x:c>
      <x:c r="B3181" t="str">
        <x:v>DW-3176</x:v>
      </x:c>
      <x:c r="C3181" t="str">
        <x:v>Parent indépendant 1.58</x:v>
      </x:c>
      <x:c r="D3181" t="str">
        <x:v>Alimentation et restauration</x:v>
      </x:c>
      <x:c r="E3181" t="str">
        <x:v>Comptoir de soupes de quartier</x:v>
      </x:c>
      <x:c r="F3181" t="n">
        <x:v>9</x:v>
      </x:c>
      <x:c r="G3181" t="n">
        <x:v>8</x:v>
      </x:c>
      <x:c r="H3181" t="n">
        <x:v>8</x:v>
      </x:c>
      <x:c r="I3181" t="str">
        <x:v>À qualifier par lieu</x:v>
      </x:c>
      <x:c r="J3181" t="str">
        <x:v>https://github.com/darknigthmare/deadwall-last-enclosure/blob/1b3b9c5ba232734b1bda3453b4e20a0481bcdd74/codex-3000/addendum-1.58/PROGRAMMES_A.json</x:v>
      </x:c>
      <x:c r="K3181" t="str">
        <x:v>Source min 40,40 m ; max 40,40 m ; modèle 40 × 40 m ; niveaux 0. Détails dans catalogue-existant.json.</x:v>
      </x:c>
    </x:row>
    <x:row r="3182">
      <x:c r="A3182" t="str">
        <x:v>DW-3177</x:v>
      </x:c>
      <x:c r="B3182" t="str">
        <x:v>DW-3177</x:v>
      </x:c>
      <x:c r="C3182" t="str">
        <x:v>Parent indépendant 1.58</x:v>
      </x:c>
      <x:c r="D3182" t="str">
        <x:v>Alimentation et restauration</x:v>
      </x:c>
      <x:c r="E3182" t="str">
        <x:v>Restaurant de grill et maturation</x:v>
      </x:c>
      <x:c r="F3182" t="n">
        <x:v>9</x:v>
      </x:c>
      <x:c r="G3182" t="n">
        <x:v>8</x:v>
      </x:c>
      <x:c r="H3182" t="n">
        <x:v>8</x:v>
      </x:c>
      <x:c r="I3182" t="str">
        <x:v>À qualifier par lieu</x:v>
      </x:c>
      <x:c r="J3182" t="str">
        <x:v>https://github.com/darknigthmare/deadwall-last-enclosure/blob/1b3b9c5ba232734b1bda3453b4e20a0481bcdd74/codex-3000/addendum-1.58/PROGRAMMES_A.json</x:v>
      </x:c>
      <x:c r="K3182" t="str">
        <x:v>Source min 40,40 m ; max 40,40 m ; modèle 40 × 40 m ; niveaux 0. Détails dans catalogue-existant.json.</x:v>
      </x:c>
    </x:row>
    <x:row r="3183">
      <x:c r="A3183" t="str">
        <x:v>DW-3178</x:v>
      </x:c>
      <x:c r="B3183" t="str">
        <x:v>DW-3178</x:v>
      </x:c>
      <x:c r="C3183" t="str">
        <x:v>Parent indépendant 1.58</x:v>
      </x:c>
      <x:c r="D3183" t="str">
        <x:v>Alimentation et restauration</x:v>
      </x:c>
      <x:c r="E3183" t="str">
        <x:v>Atelier de pâtes fraîches avec salle de repas</x:v>
      </x:c>
      <x:c r="F3183" t="n">
        <x:v>9</x:v>
      </x:c>
      <x:c r="G3183" t="n">
        <x:v>8</x:v>
      </x:c>
      <x:c r="H3183" t="n">
        <x:v>8</x:v>
      </x:c>
      <x:c r="I3183" t="str">
        <x:v>À qualifier par lieu</x:v>
      </x:c>
      <x:c r="J3183" t="str">
        <x:v>https://github.com/darknigthmare/deadwall-last-enclosure/blob/1b3b9c5ba232734b1bda3453b4e20a0481bcdd74/codex-3000/addendum-1.58/PROGRAMMES_A.json</x:v>
      </x:c>
      <x:c r="K3183" t="str">
        <x:v>Source min 40,40 m ; max 40,40 m ; modèle 40 × 40 m ; niveaux 0. Détails dans catalogue-existant.json.</x:v>
      </x:c>
    </x:row>
    <x:row r="3184">
      <x:c r="A3184" t="str">
        <x:v>DW-3179</x:v>
      </x:c>
      <x:c r="B3184" t="str">
        <x:v>DW-3179</x:v>
      </x:c>
      <x:c r="C3184" t="str">
        <x:v>Parent indépendant 1.58</x:v>
      </x:c>
      <x:c r="D3184" t="str">
        <x:v>Alimentation et restauration</x:v>
      </x:c>
      <x:c r="E3184" t="str">
        <x:v>Restaurant de cuisson vapeur</x:v>
      </x:c>
      <x:c r="F3184" t="n">
        <x:v>9</x:v>
      </x:c>
      <x:c r="G3184" t="n">
        <x:v>8</x:v>
      </x:c>
      <x:c r="H3184" t="n">
        <x:v>8</x:v>
      </x:c>
      <x:c r="I3184" t="str">
        <x:v>À qualifier par lieu</x:v>
      </x:c>
      <x:c r="J3184" t="str">
        <x:v>https://github.com/darknigthmare/deadwall-last-enclosure/blob/1b3b9c5ba232734b1bda3453b4e20a0481bcdd74/codex-3000/addendum-1.58/PROGRAMMES_A.json</x:v>
      </x:c>
      <x:c r="K3184" t="str">
        <x:v>Source min 40,40 m ; max 40,40 m ; modèle 40 × 40 m ; niveaux 0. Détails dans catalogue-existant.json.</x:v>
      </x:c>
    </x:row>
    <x:row r="3185">
      <x:c r="A3185" t="str">
        <x:v>DW-3180</x:v>
      </x:c>
      <x:c r="B3185" t="str">
        <x:v>DW-3180</x:v>
      </x:c>
      <x:c r="C3185" t="str">
        <x:v>Parent indépendant 1.58</x:v>
      </x:c>
      <x:c r="D3185" t="str">
        <x:v>Alimentation et restauration</x:v>
      </x:c>
      <x:c r="E3185" t="str">
        <x:v>Rôtisserie à service de portions</x:v>
      </x:c>
      <x:c r="F3185" t="n">
        <x:v>9</x:v>
      </x:c>
      <x:c r="G3185" t="n">
        <x:v>8</x:v>
      </x:c>
      <x:c r="H3185" t="n">
        <x:v>8</x:v>
      </x:c>
      <x:c r="I3185" t="str">
        <x:v>À qualifier par lieu</x:v>
      </x:c>
      <x:c r="J3185" t="str">
        <x:v>https://github.com/darknigthmare/deadwall-last-enclosure/blob/1b3b9c5ba232734b1bda3453b4e20a0481bcdd74/codex-3000/addendum-1.58/PROGRAMMES_A.json</x:v>
      </x:c>
      <x:c r="K3185" t="str">
        <x:v>Source min 40,40 m ; max 40,40 m ; modèle 40 × 40 m ; niveaux 0. Détails dans catalogue-existant.json.</x:v>
      </x:c>
    </x:row>
    <x:row r="3186">
      <x:c r="A3186" t="str">
        <x:v>DW-3181</x:v>
      </x:c>
      <x:c r="B3186" t="str">
        <x:v>DW-3181</x:v>
      </x:c>
      <x:c r="C3186" t="str">
        <x:v>Parent indépendant 1.58</x:v>
      </x:c>
      <x:c r="D3186" t="str">
        <x:v>Alimentation et restauration</x:v>
      </x:c>
      <x:c r="E3186" t="str">
        <x:v>Cantine de repas individuels conditionnés</x:v>
      </x:c>
      <x:c r="F3186" t="n">
        <x:v>9</x:v>
      </x:c>
      <x:c r="G3186" t="n">
        <x:v>8</x:v>
      </x:c>
      <x:c r="H3186" t="n">
        <x:v>8</x:v>
      </x:c>
      <x:c r="I3186" t="str">
        <x:v>À qualifier par lieu</x:v>
      </x:c>
      <x:c r="J3186" t="str">
        <x:v>https://github.com/darknigthmare/deadwall-last-enclosure/blob/1b3b9c5ba232734b1bda3453b4e20a0481bcdd74/codex-3000/addendum-1.58/PROGRAMMES_A.json</x:v>
      </x:c>
      <x:c r="K3186" t="str">
        <x:v>Source min 40,40 m ; max 40,40 m ; modèle 40 × 40 m ; niveaux 0. Détails dans catalogue-existant.json.</x:v>
      </x:c>
    </x:row>
    <x:row r="3187">
      <x:c r="A3187" t="str">
        <x:v>DW-3182</x:v>
      </x:c>
      <x:c r="B3187" t="str">
        <x:v>DW-3182</x:v>
      </x:c>
      <x:c r="C3187" t="str">
        <x:v>Parent indépendant 1.58</x:v>
      </x:c>
      <x:c r="D3187" t="str">
        <x:v>Alimentation et restauration</x:v>
      </x:c>
      <x:c r="E3187" t="str">
        <x:v>Table d'entraide alimentaire locale</x:v>
      </x:c>
      <x:c r="F3187" t="n">
        <x:v>9</x:v>
      </x:c>
      <x:c r="G3187" t="n">
        <x:v>8</x:v>
      </x:c>
      <x:c r="H3187" t="n">
        <x:v>8</x:v>
      </x:c>
      <x:c r="I3187" t="str">
        <x:v>À qualifier par lieu</x:v>
      </x:c>
      <x:c r="J3187" t="str">
        <x:v>https://github.com/darknigthmare/deadwall-last-enclosure/blob/1b3b9c5ba232734b1bda3453b4e20a0481bcdd74/codex-3000/addendum-1.58/PROGRAMMES_A.json</x:v>
      </x:c>
      <x:c r="K3187" t="str">
        <x:v>Source min 40,40 m ; max 40,40 m ; modèle 40 × 40 m ; niveaux 0. Détails dans catalogue-existant.json.</x:v>
      </x:c>
    </x:row>
    <x:row r="3188">
      <x:c r="A3188" t="str">
        <x:v>DW-3183</x:v>
      </x:c>
      <x:c r="B3188" t="str">
        <x:v>DW-3183</x:v>
      </x:c>
      <x:c r="C3188" t="str">
        <x:v>Parent indépendant 1.58</x:v>
      </x:c>
      <x:c r="D3188" t="str">
        <x:v>Alimentation et restauration</x:v>
      </x:c>
      <x:c r="E3188" t="str">
        <x:v>Maison de fermentation alimentaire</x:v>
      </x:c>
      <x:c r="F3188" t="n">
        <x:v>9</x:v>
      </x:c>
      <x:c r="G3188" t="n">
        <x:v>8</x:v>
      </x:c>
      <x:c r="H3188" t="n">
        <x:v>8</x:v>
      </x:c>
      <x:c r="I3188" t="str">
        <x:v>À qualifier par lieu</x:v>
      </x:c>
      <x:c r="J3188" t="str">
        <x:v>https://github.com/darknigthmare/deadwall-last-enclosure/blob/1b3b9c5ba232734b1bda3453b4e20a0481bcdd74/codex-3000/addendum-1.58/PROGRAMMES_A.json</x:v>
      </x:c>
      <x:c r="K3188" t="str">
        <x:v>Source min 40,40 m ; max 40,40 m ; modèle 40 × 40 m ; niveaux 0. Détails dans catalogue-existant.json.</x:v>
      </x:c>
    </x:row>
    <x:row r="3189">
      <x:c r="A3189" t="str">
        <x:v>DW-3184</x:v>
      </x:c>
      <x:c r="B3189" t="str">
        <x:v>DW-3184</x:v>
      </x:c>
      <x:c r="C3189" t="str">
        <x:v>Parent indépendant 1.58</x:v>
      </x:c>
      <x:c r="D3189" t="str">
        <x:v>Alimentation et restauration</x:v>
      </x:c>
      <x:c r="E3189" t="str">
        <x:v>Atelier de ravioles avec comptoir</x:v>
      </x:c>
      <x:c r="F3189" t="n">
        <x:v>9</x:v>
      </x:c>
      <x:c r="G3189" t="n">
        <x:v>8</x:v>
      </x:c>
      <x:c r="H3189" t="n">
        <x:v>8</x:v>
      </x:c>
      <x:c r="I3189" t="str">
        <x:v>À qualifier par lieu</x:v>
      </x:c>
      <x:c r="J3189" t="str">
        <x:v>https://github.com/darknigthmare/deadwall-last-enclosure/blob/1b3b9c5ba232734b1bda3453b4e20a0481bcdd74/codex-3000/addendum-1.58/PROGRAMMES_A.json</x:v>
      </x:c>
      <x:c r="K3189" t="str">
        <x:v>Source min 40,40 m ; max 40,40 m ; modèle 40 × 40 m ; niveaux 0. Détails dans catalogue-existant.json.</x:v>
      </x:c>
    </x:row>
    <x:row r="3190">
      <x:c r="A3190" t="str">
        <x:v>DW-3185</x:v>
      </x:c>
      <x:c r="B3190" t="str">
        <x:v>DW-3185</x:v>
      </x:c>
      <x:c r="C3190" t="str">
        <x:v>Parent indépendant 1.58</x:v>
      </x:c>
      <x:c r="D3190" t="str">
        <x:v>Alimentation et restauration</x:v>
      </x:c>
      <x:c r="E3190" t="str">
        <x:v>Restaurant de galettes à préparation visible</x:v>
      </x:c>
      <x:c r="F3190" t="n">
        <x:v>9</x:v>
      </x:c>
      <x:c r="G3190" t="n">
        <x:v>8</x:v>
      </x:c>
      <x:c r="H3190" t="n">
        <x:v>8</x:v>
      </x:c>
      <x:c r="I3190" t="str">
        <x:v>À qualifier par lieu</x:v>
      </x:c>
      <x:c r="J3190" t="str">
        <x:v>https://github.com/darknigthmare/deadwall-last-enclosure/blob/1b3b9c5ba232734b1bda3453b4e20a0481bcdd74/codex-3000/addendum-1.58/PROGRAMMES_A.json</x:v>
      </x:c>
      <x:c r="K3190" t="str">
        <x:v>Source min 40,40 m ; max 40,40 m ; modèle 40 × 40 m ; niveaux 0. Détails dans catalogue-existant.json.</x:v>
      </x:c>
    </x:row>
    <x:row r="3191">
      <x:c r="A3191" t="str">
        <x:v>DW-3186</x:v>
      </x:c>
      <x:c r="B3191" t="str">
        <x:v>DW-3186</x:v>
      </x:c>
      <x:c r="C3191" t="str">
        <x:v>Parent indépendant 1.58</x:v>
      </x:c>
      <x:c r="D3191" t="str">
        <x:v>Alimentation et restauration</x:v>
      </x:c>
      <x:c r="E3191" t="str">
        <x:v>Comptoir de repas froids assemblés</x:v>
      </x:c>
      <x:c r="F3191" t="n">
        <x:v>9</x:v>
      </x:c>
      <x:c r="G3191" t="n">
        <x:v>8</x:v>
      </x:c>
      <x:c r="H3191" t="n">
        <x:v>8</x:v>
      </x:c>
      <x:c r="I3191" t="str">
        <x:v>À qualifier par lieu</x:v>
      </x:c>
      <x:c r="J3191" t="str">
        <x:v>https://github.com/darknigthmare/deadwall-last-enclosure/blob/1b3b9c5ba232734b1bda3453b4e20a0481bcdd74/codex-3000/addendum-1.58/PROGRAMMES_A.json</x:v>
      </x:c>
      <x:c r="K3191" t="str">
        <x:v>Source min 40,40 m ; max 40,40 m ; modèle 40 × 40 m ; niveaux 0. Détails dans catalogue-existant.json.</x:v>
      </x:c>
    </x:row>
    <x:row r="3192">
      <x:c r="A3192" t="str">
        <x:v>DW-3187</x:v>
      </x:c>
      <x:c r="B3192" t="str">
        <x:v>DW-3187</x:v>
      </x:c>
      <x:c r="C3192" t="str">
        <x:v>Parent indépendant 1.58</x:v>
      </x:c>
      <x:c r="D3192" t="str">
        <x:v>Alimentation et restauration</x:v>
      </x:c>
      <x:c r="E3192" t="str">
        <x:v>Restaurant de cuisson au four de terre</x:v>
      </x:c>
      <x:c r="F3192" t="n">
        <x:v>9</x:v>
      </x:c>
      <x:c r="G3192" t="n">
        <x:v>8</x:v>
      </x:c>
      <x:c r="H3192" t="n">
        <x:v>8</x:v>
      </x:c>
      <x:c r="I3192" t="str">
        <x:v>À qualifier par lieu</x:v>
      </x:c>
      <x:c r="J3192" t="str">
        <x:v>https://github.com/darknigthmare/deadwall-last-enclosure/blob/1b3b9c5ba232734b1bda3453b4e20a0481bcdd74/codex-3000/addendum-1.58/PROGRAMMES_A.json</x:v>
      </x:c>
      <x:c r="K3192" t="str">
        <x:v>Source min 40,40 m ; max 40,40 m ; modèle 40 × 40 m ; niveaux 0. Détails dans catalogue-existant.json.</x:v>
      </x:c>
    </x:row>
    <x:row r="3193">
      <x:c r="A3193" t="str">
        <x:v>DW-3188</x:v>
      </x:c>
      <x:c r="B3193" t="str">
        <x:v>DW-3188</x:v>
      </x:c>
      <x:c r="C3193" t="str">
        <x:v>Parent indépendant 1.58</x:v>
      </x:c>
      <x:c r="D3193" t="str">
        <x:v>Alimentation et restauration</x:v>
      </x:c>
      <x:c r="E3193" t="str">
        <x:v>Maison de préparation de repas de deuil</x:v>
      </x:c>
      <x:c r="F3193" t="n">
        <x:v>9</x:v>
      </x:c>
      <x:c r="G3193" t="n">
        <x:v>8</x:v>
      </x:c>
      <x:c r="H3193" t="n">
        <x:v>8</x:v>
      </x:c>
      <x:c r="I3193" t="str">
        <x:v>À qualifier par lieu</x:v>
      </x:c>
      <x:c r="J3193" t="str">
        <x:v>https://github.com/darknigthmare/deadwall-last-enclosure/blob/1b3b9c5ba232734b1bda3453b4e20a0481bcdd74/codex-3000/addendum-1.58/PROGRAMMES_A.json</x:v>
      </x:c>
      <x:c r="K3193" t="str">
        <x:v>Source min 40,40 m ; max 40,40 m ; modèle 40 × 40 m ; niveaux 0. Détails dans catalogue-existant.json.</x:v>
      </x:c>
    </x:row>
    <x:row r="3194">
      <x:c r="A3194" t="str">
        <x:v>DW-3189</x:v>
      </x:c>
      <x:c r="B3194" t="str">
        <x:v>DW-3189</x:v>
      </x:c>
      <x:c r="C3194" t="str">
        <x:v>Parent indépendant 1.58</x:v>
      </x:c>
      <x:c r="D3194" t="str">
        <x:v>Alimentation et restauration</x:v>
      </x:c>
      <x:c r="E3194" t="str">
        <x:v>Atelier de desserts glacés</x:v>
      </x:c>
      <x:c r="F3194" t="n">
        <x:v>9</x:v>
      </x:c>
      <x:c r="G3194" t="n">
        <x:v>8</x:v>
      </x:c>
      <x:c r="H3194" t="n">
        <x:v>8</x:v>
      </x:c>
      <x:c r="I3194" t="str">
        <x:v>À qualifier par lieu</x:v>
      </x:c>
      <x:c r="J3194" t="str">
        <x:v>https://github.com/darknigthmare/deadwall-last-enclosure/blob/1b3b9c5ba232734b1bda3453b4e20a0481bcdd74/codex-3000/addendum-1.58/PROGRAMMES_A.json</x:v>
      </x:c>
      <x:c r="K3194" t="str">
        <x:v>Source min 40,40 m ; max 40,40 m ; modèle 40 × 40 m ; niveaux 0. Détails dans catalogue-existant.json.</x:v>
      </x:c>
    </x:row>
    <x:row r="3195">
      <x:c r="A3195" t="str">
        <x:v>DW-3190</x:v>
      </x:c>
      <x:c r="B3195" t="str">
        <x:v>DW-3190</x:v>
      </x:c>
      <x:c r="C3195" t="str">
        <x:v>Parent indépendant 1.58</x:v>
      </x:c>
      <x:c r="D3195" t="str">
        <x:v>Alimentation et restauration</x:v>
      </x:c>
      <x:c r="E3195" t="str">
        <x:v>Maison de thés et infusions préparées</x:v>
      </x:c>
      <x:c r="F3195" t="n">
        <x:v>9</x:v>
      </x:c>
      <x:c r="G3195" t="n">
        <x:v>8</x:v>
      </x:c>
      <x:c r="H3195" t="n">
        <x:v>8</x:v>
      </x:c>
      <x:c r="I3195" t="str">
        <x:v>À qualifier par lieu</x:v>
      </x:c>
      <x:c r="J3195" t="str">
        <x:v>https://github.com/darknigthmare/deadwall-last-enclosure/blob/1b3b9c5ba232734b1bda3453b4e20a0481bcdd74/codex-3000/addendum-1.58/PROGRAMMES_A.json</x:v>
      </x:c>
      <x:c r="K3195" t="str">
        <x:v>Source min 40,40 m ; max 40,40 m ; modèle 40 × 40 m ; niveaux 0. Détails dans catalogue-existant.json.</x:v>
      </x:c>
    </x:row>
    <x:row r="3196">
      <x:c r="A3196" t="str">
        <x:v>DW-3191</x:v>
      </x:c>
      <x:c r="B3196" t="str">
        <x:v>DW-3191</x:v>
      </x:c>
      <x:c r="C3196" t="str">
        <x:v>Parent indépendant 1.58</x:v>
      </x:c>
      <x:c r="D3196" t="str">
        <x:v>Alimentation et restauration</x:v>
      </x:c>
      <x:c r="E3196" t="str">
        <x:v>Comptoir de boissons pressées</x:v>
      </x:c>
      <x:c r="F3196" t="n">
        <x:v>9</x:v>
      </x:c>
      <x:c r="G3196" t="n">
        <x:v>8</x:v>
      </x:c>
      <x:c r="H3196" t="n">
        <x:v>8</x:v>
      </x:c>
      <x:c r="I3196" t="str">
        <x:v>À qualifier par lieu</x:v>
      </x:c>
      <x:c r="J3196" t="str">
        <x:v>https://github.com/darknigthmare/deadwall-last-enclosure/blob/1b3b9c5ba232734b1bda3453b4e20a0481bcdd74/codex-3000/addendum-1.58/PROGRAMMES_A.json</x:v>
      </x:c>
      <x:c r="K3196" t="str">
        <x:v>Source min 40,40 m ; max 40,40 m ; modèle 40 × 40 m ; niveaux 0. Détails dans catalogue-existant.json.</x:v>
      </x:c>
    </x:row>
    <x:row r="3197">
      <x:c r="A3197" t="str">
        <x:v>DW-3192</x:v>
      </x:c>
      <x:c r="B3197" t="str">
        <x:v>DW-3192</x:v>
      </x:c>
      <x:c r="C3197" t="str">
        <x:v>Parent indépendant 1.58</x:v>
      </x:c>
      <x:c r="D3197" t="str">
        <x:v>Alimentation et restauration</x:v>
      </x:c>
      <x:c r="E3197" t="str">
        <x:v>Atelier de casse-croûtes de voyage</x:v>
      </x:c>
      <x:c r="F3197" t="n">
        <x:v>9</x:v>
      </x:c>
      <x:c r="G3197" t="n">
        <x:v>8</x:v>
      </x:c>
      <x:c r="H3197" t="n">
        <x:v>8</x:v>
      </x:c>
      <x:c r="I3197" t="str">
        <x:v>À qualifier par lieu</x:v>
      </x:c>
      <x:c r="J3197" t="str">
        <x:v>https://github.com/darknigthmare/deadwall-last-enclosure/blob/1b3b9c5ba232734b1bda3453b4e20a0481bcdd74/codex-3000/addendum-1.58/PROGRAMMES_A.json</x:v>
      </x:c>
      <x:c r="K3197" t="str">
        <x:v>Source min 40,40 m ; max 40,40 m ; modèle 40 × 40 m ; niveaux 0. Détails dans catalogue-existant.json.</x:v>
      </x:c>
    </x:row>
    <x:row r="3198">
      <x:c r="A3198" t="str">
        <x:v>DW-3193</x:v>
      </x:c>
      <x:c r="B3198" t="str">
        <x:v>DW-3193</x:v>
      </x:c>
      <x:c r="C3198" t="str">
        <x:v>Parent indépendant 1.58</x:v>
      </x:c>
      <x:c r="D3198" t="str">
        <x:v>Alimentation et restauration</x:v>
      </x:c>
      <x:c r="E3198" t="str">
        <x:v>Restaurant à marmites communes</x:v>
      </x:c>
      <x:c r="F3198" t="n">
        <x:v>9</x:v>
      </x:c>
      <x:c r="G3198" t="n">
        <x:v>8</x:v>
      </x:c>
      <x:c r="H3198" t="n">
        <x:v>8</x:v>
      </x:c>
      <x:c r="I3198" t="str">
        <x:v>À qualifier par lieu</x:v>
      </x:c>
      <x:c r="J3198" t="str">
        <x:v>https://github.com/darknigthmare/deadwall-last-enclosure/blob/1b3b9c5ba232734b1bda3453b4e20a0481bcdd74/codex-3000/addendum-1.58/PROGRAMMES_A.json</x:v>
      </x:c>
      <x:c r="K3198" t="str">
        <x:v>Source min 40,40 m ; max 40,40 m ; modèle 40 × 40 m ; niveaux 0. Détails dans catalogue-existant.json.</x:v>
      </x:c>
    </x:row>
    <x:row r="3199">
      <x:c r="A3199" t="str">
        <x:v>DW-3194</x:v>
      </x:c>
      <x:c r="B3199" t="str">
        <x:v>DW-3194</x:v>
      </x:c>
      <x:c r="C3199" t="str">
        <x:v>Parent indépendant 1.58</x:v>
      </x:c>
      <x:c r="D3199" t="str">
        <x:v>Alimentation et restauration</x:v>
      </x:c>
      <x:c r="E3199" t="str">
        <x:v>Atelier de crèmes et desserts cuits</x:v>
      </x:c>
      <x:c r="F3199" t="n">
        <x:v>9</x:v>
      </x:c>
      <x:c r="G3199" t="n">
        <x:v>8</x:v>
      </x:c>
      <x:c r="H3199" t="n">
        <x:v>8</x:v>
      </x:c>
      <x:c r="I3199" t="str">
        <x:v>À qualifier par lieu</x:v>
      </x:c>
      <x:c r="J3199" t="str">
        <x:v>https://github.com/darknigthmare/deadwall-last-enclosure/blob/1b3b9c5ba232734b1bda3453b4e20a0481bcdd74/codex-3000/addendum-1.58/PROGRAMMES_A.json</x:v>
      </x:c>
      <x:c r="K3199" t="str">
        <x:v>Source min 40,40 m ; max 40,40 m ; modèle 40 × 40 m ; niveaux 0. Détails dans catalogue-existant.json.</x:v>
      </x:c>
    </x:row>
    <x:row r="3200">
      <x:c r="A3200" t="str">
        <x:v>DW-3195</x:v>
      </x:c>
      <x:c r="B3200" t="str">
        <x:v>DW-3195</x:v>
      </x:c>
      <x:c r="C3200" t="str">
        <x:v>Parent indépendant 1.58</x:v>
      </x:c>
      <x:c r="D3200" t="str">
        <x:v>Alimentation et restauration</x:v>
      </x:c>
      <x:c r="E3200" t="str">
        <x:v>Maison de dégustation de conserves</x:v>
      </x:c>
      <x:c r="F3200" t="n">
        <x:v>9</x:v>
      </x:c>
      <x:c r="G3200" t="n">
        <x:v>8</x:v>
      </x:c>
      <x:c r="H3200" t="n">
        <x:v>8</x:v>
      </x:c>
      <x:c r="I3200" t="str">
        <x:v>À qualifier par lieu</x:v>
      </x:c>
      <x:c r="J3200" t="str">
        <x:v>https://github.com/darknigthmare/deadwall-last-enclosure/blob/1b3b9c5ba232734b1bda3453b4e20a0481bcdd74/codex-3000/addendum-1.58/PROGRAMMES_A.json</x:v>
      </x:c>
      <x:c r="K3200" t="str">
        <x:v>Source min 40,40 m ; max 40,40 m ; modèle 40 × 40 m ; niveaux 0. Détails dans catalogue-existant.json.</x:v>
      </x:c>
    </x:row>
    <x:row r="3201">
      <x:c r="A3201" t="str">
        <x:v>DW-3196</x:v>
      </x:c>
      <x:c r="B3201" t="str">
        <x:v>DW-3196</x:v>
      </x:c>
      <x:c r="C3201" t="str">
        <x:v>Parent indépendant 1.58</x:v>
      </x:c>
      <x:c r="D3201" t="str">
        <x:v>Alimentation et restauration</x:v>
      </x:c>
      <x:c r="E3201" t="str">
        <x:v>Comptoir de repas à emporter collectifs</x:v>
      </x:c>
      <x:c r="F3201" t="n">
        <x:v>9</x:v>
      </x:c>
      <x:c r="G3201" t="n">
        <x:v>8</x:v>
      </x:c>
      <x:c r="H3201" t="n">
        <x:v>8</x:v>
      </x:c>
      <x:c r="I3201" t="str">
        <x:v>À qualifier par lieu</x:v>
      </x:c>
      <x:c r="J3201" t="str">
        <x:v>https://github.com/darknigthmare/deadwall-last-enclosure/blob/1b3b9c5ba232734b1bda3453b4e20a0481bcdd74/codex-3000/addendum-1.58/PROGRAMMES_A.json</x:v>
      </x:c>
      <x:c r="K3201" t="str">
        <x:v>Source min 40,40 m ; max 40,40 m ; modèle 40 × 40 m ; niveaux 0. Détails dans catalogue-existant.json.</x:v>
      </x:c>
    </x:row>
    <x:row r="3202">
      <x:c r="A3202" t="str">
        <x:v>DW-3197</x:v>
      </x:c>
      <x:c r="B3202" t="str">
        <x:v>DW-3197</x:v>
      </x:c>
      <x:c r="C3202" t="str">
        <x:v>Parent indépendant 1.58</x:v>
      </x:c>
      <x:c r="D3202" t="str">
        <x:v>Alimentation et restauration</x:v>
      </x:c>
      <x:c r="E3202" t="str">
        <x:v>Restaurant de plats mijotés de saison</x:v>
      </x:c>
      <x:c r="F3202" t="n">
        <x:v>9</x:v>
      </x:c>
      <x:c r="G3202" t="n">
        <x:v>8</x:v>
      </x:c>
      <x:c r="H3202" t="n">
        <x:v>8</x:v>
      </x:c>
      <x:c r="I3202" t="str">
        <x:v>À qualifier par lieu</x:v>
      </x:c>
      <x:c r="J3202" t="str">
        <x:v>https://github.com/darknigthmare/deadwall-last-enclosure/blob/1b3b9c5ba232734b1bda3453b4e20a0481bcdd74/codex-3000/addendum-1.58/PROGRAMMES_A.json</x:v>
      </x:c>
      <x:c r="K3202" t="str">
        <x:v>Source min 40,40 m ; max 40,40 m ; modèle 40 × 40 m ; niveaux 0. Détails dans catalogue-existant.json.</x:v>
      </x:c>
    </x:row>
    <x:row r="3203">
      <x:c r="A3203" t="str">
        <x:v>DW-3198</x:v>
      </x:c>
      <x:c r="B3203" t="str">
        <x:v>DW-3198</x:v>
      </x:c>
      <x:c r="C3203" t="str">
        <x:v>Parent indépendant 1.58</x:v>
      </x:c>
      <x:c r="D3203" t="str">
        <x:v>Alimentation et restauration</x:v>
      </x:c>
      <x:c r="E3203" t="str">
        <x:v>Atelier de tartes salées avec salle de service</x:v>
      </x:c>
      <x:c r="F3203" t="n">
        <x:v>9</x:v>
      </x:c>
      <x:c r="G3203" t="n">
        <x:v>8</x:v>
      </x:c>
      <x:c r="H3203" t="n">
        <x:v>8</x:v>
      </x:c>
      <x:c r="I3203" t="str">
        <x:v>À qualifier par lieu</x:v>
      </x:c>
      <x:c r="J3203" t="str">
        <x:v>https://github.com/darknigthmare/deadwall-last-enclosure/blob/1b3b9c5ba232734b1bda3453b4e20a0481bcdd74/codex-3000/addendum-1.58/PROGRAMMES_A.json</x:v>
      </x:c>
      <x:c r="K3203" t="str">
        <x:v>Source min 40,40 m ; max 40,40 m ; modèle 40 × 40 m ; niveaux 0. Détails dans catalogue-existant.json.</x:v>
      </x:c>
    </x:row>
    <x:row r="3204">
      <x:c r="A3204" t="str">
        <x:v>DW-3199</x:v>
      </x:c>
      <x:c r="B3204" t="str">
        <x:v>DW-3199</x:v>
      </x:c>
      <x:c r="C3204" t="str">
        <x:v>Parent indépendant 1.58</x:v>
      </x:c>
      <x:c r="D3204" t="str">
        <x:v>Alimentation et restauration</x:v>
      </x:c>
      <x:c r="E3204" t="str">
        <x:v>Maison de paniers-repas pour excursions</x:v>
      </x:c>
      <x:c r="F3204" t="n">
        <x:v>9</x:v>
      </x:c>
      <x:c r="G3204" t="n">
        <x:v>8</x:v>
      </x:c>
      <x:c r="H3204" t="n">
        <x:v>8</x:v>
      </x:c>
      <x:c r="I3204" t="str">
        <x:v>À qualifier par lieu</x:v>
      </x:c>
      <x:c r="J3204" t="str">
        <x:v>https://github.com/darknigthmare/deadwall-last-enclosure/blob/1b3b9c5ba232734b1bda3453b4e20a0481bcdd74/codex-3000/addendum-1.58/PROGRAMMES_A.json</x:v>
      </x:c>
      <x:c r="K3204" t="str">
        <x:v>Source min 40,40 m ; max 40,40 m ; modèle 40 × 40 m ; niveaux 0. Détails dans catalogue-existant.json.</x:v>
      </x:c>
    </x:row>
    <x:row r="3205">
      <x:c r="A3205" t="str">
        <x:v>DW-3200</x:v>
      </x:c>
      <x:c r="B3205" t="str">
        <x:v>DW-3200</x:v>
      </x:c>
      <x:c r="C3205" t="str">
        <x:v>Parent indépendant 1.58</x:v>
      </x:c>
      <x:c r="D3205" t="str">
        <x:v>Alimentation et restauration</x:v>
      </x:c>
      <x:c r="E3205" t="str">
        <x:v>Restaurant d'accueil de groupes scolaires</x:v>
      </x:c>
      <x:c r="F3205" t="n">
        <x:v>9</x:v>
      </x:c>
      <x:c r="G3205" t="n">
        <x:v>8</x:v>
      </x:c>
      <x:c r="H3205" t="n">
        <x:v>8</x:v>
      </x:c>
      <x:c r="I3205" t="str">
        <x:v>À qualifier par lieu</x:v>
      </x:c>
      <x:c r="J3205" t="str">
        <x:v>https://github.com/darknigthmare/deadwall-last-enclosure/blob/1b3b9c5ba232734b1bda3453b4e20a0481bcdd74/codex-3000/addendum-1.58/PROGRAMMES_A.json</x:v>
      </x:c>
      <x:c r="K3205" t="str">
        <x:v>Source min 40,40 m ; max 40,40 m ; modèle 40 × 40 m ; niveaux 0. Détails dans catalogue-existant.json.</x:v>
      </x:c>
    </x:row>
    <x:row r="3206">
      <x:c r="A3206" t="str">
        <x:v>DW-3201</x:v>
      </x:c>
      <x:c r="B3206" t="str">
        <x:v>DW-3201</x:v>
      </x:c>
      <x:c r="C3206" t="str">
        <x:v>Parent indépendant 1.58</x:v>
      </x:c>
      <x:c r="D3206" t="str">
        <x:v>Éducation et connaissance</x:v>
      </x:c>
      <x:c r="E3206" t="str">
        <x:v>Centre de formation en plomberie</x:v>
      </x:c>
      <x:c r="F3206" t="n">
        <x:v>9</x:v>
      </x:c>
      <x:c r="G3206" t="n">
        <x:v>8</x:v>
      </x:c>
      <x:c r="H3206" t="n">
        <x:v>8</x:v>
      </x:c>
      <x:c r="I3206" t="str">
        <x:v>À qualifier par lieu</x:v>
      </x:c>
      <x:c r="J3206" t="str">
        <x:v>https://github.com/darknigthmare/deadwall-last-enclosure/blob/1b3b9c5ba232734b1bda3453b4e20a0481bcdd74/codex-3000/addendum-1.58/PROGRAMMES_A.json</x:v>
      </x:c>
      <x:c r="K3206" t="str">
        <x:v>Source min 42,36 m ; max 42,36 m ; modèle 42 × 36 m ; niveaux 0, 1. Détails dans catalogue-existant.json.</x:v>
      </x:c>
    </x:row>
    <x:row r="3207">
      <x:c r="A3207" t="str">
        <x:v>DW-3202</x:v>
      </x:c>
      <x:c r="B3207" t="str">
        <x:v>DW-3202</x:v>
      </x:c>
      <x:c r="C3207" t="str">
        <x:v>Parent indépendant 1.58</x:v>
      </x:c>
      <x:c r="D3207" t="str">
        <x:v>Éducation et connaissance</x:v>
      </x:c>
      <x:c r="E3207" t="str">
        <x:v>École d'installation électrique</x:v>
      </x:c>
      <x:c r="F3207" t="n">
        <x:v>9</x:v>
      </x:c>
      <x:c r="G3207" t="n">
        <x:v>8</x:v>
      </x:c>
      <x:c r="H3207" t="n">
        <x:v>8</x:v>
      </x:c>
      <x:c r="I3207" t="str">
        <x:v>À qualifier par lieu</x:v>
      </x:c>
      <x:c r="J3207" t="str">
        <x:v>https://github.com/darknigthmare/deadwall-last-enclosure/blob/1b3b9c5ba232734b1bda3453b4e20a0481bcdd74/codex-3000/addendum-1.58/PROGRAMMES_A.json</x:v>
      </x:c>
      <x:c r="K3207" t="str">
        <x:v>Source min 42,36 m ; max 42,36 m ; modèle 42 × 36 m ; niveaux 0, 1. Détails dans catalogue-existant.json.</x:v>
      </x:c>
    </x:row>
    <x:row r="3208">
      <x:c r="A3208" t="str">
        <x:v>DW-3203</x:v>
      </x:c>
      <x:c r="B3208" t="str">
        <x:v>DW-3203</x:v>
      </x:c>
      <x:c r="C3208" t="str">
        <x:v>Parent indépendant 1.58</x:v>
      </x:c>
      <x:c r="D3208" t="str">
        <x:v>Éducation et connaissance</x:v>
      </x:c>
      <x:c r="E3208" t="str">
        <x:v>Centre d'apprentissage de maçonnerie</x:v>
      </x:c>
      <x:c r="F3208" t="n">
        <x:v>9</x:v>
      </x:c>
      <x:c r="G3208" t="n">
        <x:v>8</x:v>
      </x:c>
      <x:c r="H3208" t="n">
        <x:v>8</x:v>
      </x:c>
      <x:c r="I3208" t="str">
        <x:v>À qualifier par lieu</x:v>
      </x:c>
      <x:c r="J3208" t="str">
        <x:v>https://github.com/darknigthmare/deadwall-last-enclosure/blob/1b3b9c5ba232734b1bda3453b4e20a0481bcdd74/codex-3000/addendum-1.58/PROGRAMMES_A.json</x:v>
      </x:c>
      <x:c r="K3208" t="str">
        <x:v>Source min 42,36 m ; max 42,36 m ; modèle 42 × 36 m ; niveaux 0, 1. Détails dans catalogue-existant.json.</x:v>
      </x:c>
    </x:row>
    <x:row r="3209">
      <x:c r="A3209" t="str">
        <x:v>DW-3204</x:v>
      </x:c>
      <x:c r="B3209" t="str">
        <x:v>DW-3204</x:v>
      </x:c>
      <x:c r="C3209" t="str">
        <x:v>Parent indépendant 1.58</x:v>
      </x:c>
      <x:c r="D3209" t="str">
        <x:v>Éducation et connaissance</x:v>
      </x:c>
      <x:c r="E3209" t="str">
        <x:v>École de taille de pierre</x:v>
      </x:c>
      <x:c r="F3209" t="n">
        <x:v>9</x:v>
      </x:c>
      <x:c r="G3209" t="n">
        <x:v>8</x:v>
      </x:c>
      <x:c r="H3209" t="n">
        <x:v>8</x:v>
      </x:c>
      <x:c r="I3209" t="str">
        <x:v>À qualifier par lieu</x:v>
      </x:c>
      <x:c r="J3209" t="str">
        <x:v>https://github.com/darknigthmare/deadwall-last-enclosure/blob/1b3b9c5ba232734b1bda3453b4e20a0481bcdd74/codex-3000/addendum-1.58/PROGRAMMES_A.json</x:v>
      </x:c>
      <x:c r="K3209" t="str">
        <x:v>Source min 42,36 m ; max 42,36 m ; modèle 42 × 36 m ; niveaux 0, 1. Détails dans catalogue-existant.json.</x:v>
      </x:c>
    </x:row>
    <x:row r="3210">
      <x:c r="A3210" t="str">
        <x:v>DW-3205</x:v>
      </x:c>
      <x:c r="B3210" t="str">
        <x:v>DW-3205</x:v>
      </x:c>
      <x:c r="C3210" t="str">
        <x:v>Parent indépendant 1.58</x:v>
      </x:c>
      <x:c r="D3210" t="str">
        <x:v>Éducation et connaissance</x:v>
      </x:c>
      <x:c r="E3210" t="str">
        <x:v>Centre de formation en soudage</x:v>
      </x:c>
      <x:c r="F3210" t="n">
        <x:v>9</x:v>
      </x:c>
      <x:c r="G3210" t="n">
        <x:v>8</x:v>
      </x:c>
      <x:c r="H3210" t="n">
        <x:v>8</x:v>
      </x:c>
      <x:c r="I3210" t="str">
        <x:v>À qualifier par lieu</x:v>
      </x:c>
      <x:c r="J3210" t="str">
        <x:v>https://github.com/darknigthmare/deadwall-last-enclosure/blob/1b3b9c5ba232734b1bda3453b4e20a0481bcdd74/codex-3000/addendum-1.58/PROGRAMMES_A.json</x:v>
      </x:c>
      <x:c r="K3210" t="str">
        <x:v>Source min 42,36 m ; max 42,36 m ; modèle 42 × 36 m ; niveaux 0, 1. Détails dans catalogue-existant.json.</x:v>
      </x:c>
    </x:row>
    <x:row r="3211">
      <x:c r="A3211" t="str">
        <x:v>DW-3206</x:v>
      </x:c>
      <x:c r="B3211" t="str">
        <x:v>DW-3206</x:v>
      </x:c>
      <x:c r="C3211" t="str">
        <x:v>Parent indépendant 1.58</x:v>
      </x:c>
      <x:c r="D3211" t="str">
        <x:v>Éducation et connaissance</x:v>
      </x:c>
      <x:c r="E3211" t="str">
        <x:v>École de ferronnerie d'ornement</x:v>
      </x:c>
      <x:c r="F3211" t="n">
        <x:v>9</x:v>
      </x:c>
      <x:c r="G3211" t="n">
        <x:v>8</x:v>
      </x:c>
      <x:c r="H3211" t="n">
        <x:v>8</x:v>
      </x:c>
      <x:c r="I3211" t="str">
        <x:v>À qualifier par lieu</x:v>
      </x:c>
      <x:c r="J3211" t="str">
        <x:v>https://github.com/darknigthmare/deadwall-last-enclosure/blob/1b3b9c5ba232734b1bda3453b4e20a0481bcdd74/codex-3000/addendum-1.58/PROGRAMMES_A.json</x:v>
      </x:c>
      <x:c r="K3211" t="str">
        <x:v>Source min 42,36 m ; max 42,36 m ; modèle 42 × 36 m ; niveaux 0, 1. Détails dans catalogue-existant.json.</x:v>
      </x:c>
    </x:row>
    <x:row r="3212">
      <x:c r="A3212" t="str">
        <x:v>DW-3207</x:v>
      </x:c>
      <x:c r="B3212" t="str">
        <x:v>DW-3207</x:v>
      </x:c>
      <x:c r="C3212" t="str">
        <x:v>Parent indépendant 1.58</x:v>
      </x:c>
      <x:c r="D3212" t="str">
        <x:v>Éducation et connaissance</x:v>
      </x:c>
      <x:c r="E3212" t="str">
        <x:v>Centre d'apprentissage de couverture</x:v>
      </x:c>
      <x:c r="F3212" t="n">
        <x:v>9</x:v>
      </x:c>
      <x:c r="G3212" t="n">
        <x:v>8</x:v>
      </x:c>
      <x:c r="H3212" t="n">
        <x:v>8</x:v>
      </x:c>
      <x:c r="I3212" t="str">
        <x:v>À qualifier par lieu</x:v>
      </x:c>
      <x:c r="J3212" t="str">
        <x:v>https://github.com/darknigthmare/deadwall-last-enclosure/blob/1b3b9c5ba232734b1bda3453b4e20a0481bcdd74/codex-3000/addendum-1.58/PROGRAMMES_A.json</x:v>
      </x:c>
      <x:c r="K3212" t="str">
        <x:v>Source min 42,36 m ; max 42,36 m ; modèle 42 × 36 m ; niveaux 0, 1. Détails dans catalogue-existant.json.</x:v>
      </x:c>
    </x:row>
    <x:row r="3213">
      <x:c r="A3213" t="str">
        <x:v>DW-3208</x:v>
      </x:c>
      <x:c r="B3213" t="str">
        <x:v>DW-3208</x:v>
      </x:c>
      <x:c r="C3213" t="str">
        <x:v>Parent indépendant 1.58</x:v>
      </x:c>
      <x:c r="D3213" t="str">
        <x:v>Éducation et connaissance</x:v>
      </x:c>
      <x:c r="E3213" t="str">
        <x:v>École de serrurerie de bâtiment</x:v>
      </x:c>
      <x:c r="F3213" t="n">
        <x:v>9</x:v>
      </x:c>
      <x:c r="G3213" t="n">
        <x:v>8</x:v>
      </x:c>
      <x:c r="H3213" t="n">
        <x:v>8</x:v>
      </x:c>
      <x:c r="I3213" t="str">
        <x:v>À qualifier par lieu</x:v>
      </x:c>
      <x:c r="J3213" t="str">
        <x:v>https://github.com/darknigthmare/deadwall-last-enclosure/blob/1b3b9c5ba232734b1bda3453b4e20a0481bcdd74/codex-3000/addendum-1.58/PROGRAMMES_A.json</x:v>
      </x:c>
      <x:c r="K3213" t="str">
        <x:v>Source min 42,36 m ; max 42,36 m ; modèle 42 × 36 m ; niveaux 0, 1. Détails dans catalogue-existant.json.</x:v>
      </x:c>
    </x:row>
    <x:row r="3214">
      <x:c r="A3214" t="str">
        <x:v>DW-3209</x:v>
      </x:c>
      <x:c r="B3214" t="str">
        <x:v>DW-3209</x:v>
      </x:c>
      <x:c r="C3214" t="str">
        <x:v>Parent indépendant 1.58</x:v>
      </x:c>
      <x:c r="D3214" t="str">
        <x:v>Éducation et connaissance</x:v>
      </x:c>
      <x:c r="E3214" t="str">
        <x:v>Centre de formation de mécanique cycliste</x:v>
      </x:c>
      <x:c r="F3214" t="n">
        <x:v>9</x:v>
      </x:c>
      <x:c r="G3214" t="n">
        <x:v>8</x:v>
      </x:c>
      <x:c r="H3214" t="n">
        <x:v>8</x:v>
      </x:c>
      <x:c r="I3214" t="str">
        <x:v>À qualifier par lieu</x:v>
      </x:c>
      <x:c r="J3214" t="str">
        <x:v>https://github.com/darknigthmare/deadwall-last-enclosure/blob/1b3b9c5ba232734b1bda3453b4e20a0481bcdd74/codex-3000/addendum-1.58/PROGRAMMES_A.json</x:v>
      </x:c>
      <x:c r="K3214" t="str">
        <x:v>Source min 42,36 m ; max 42,36 m ; modèle 42 × 36 m ; niveaux 0, 1. Détails dans catalogue-existant.json.</x:v>
      </x:c>
    </x:row>
    <x:row r="3215">
      <x:c r="A3215" t="str">
        <x:v>DW-3210</x:v>
      </x:c>
      <x:c r="B3215" t="str">
        <x:v>DW-3210</x:v>
      </x:c>
      <x:c r="C3215" t="str">
        <x:v>Parent indépendant 1.58</x:v>
      </x:c>
      <x:c r="D3215" t="str">
        <x:v>Éducation et connaissance</x:v>
      </x:c>
      <x:c r="E3215" t="str">
        <x:v>École de carrosserie légère</x:v>
      </x:c>
      <x:c r="F3215" t="n">
        <x:v>9</x:v>
      </x:c>
      <x:c r="G3215" t="n">
        <x:v>8</x:v>
      </x:c>
      <x:c r="H3215" t="n">
        <x:v>8</x:v>
      </x:c>
      <x:c r="I3215" t="str">
        <x:v>À qualifier par lieu</x:v>
      </x:c>
      <x:c r="J3215" t="str">
        <x:v>https://github.com/darknigthmare/deadwall-last-enclosure/blob/1b3b9c5ba232734b1bda3453b4e20a0481bcdd74/codex-3000/addendum-1.58/PROGRAMMES_A.json</x:v>
      </x:c>
      <x:c r="K3215" t="str">
        <x:v>Source min 42,36 m ; max 42,36 m ; modèle 42 × 36 m ; niveaux 0, 1. Détails dans catalogue-existant.json.</x:v>
      </x:c>
    </x:row>
    <x:row r="3216">
      <x:c r="A3216" t="str">
        <x:v>DW-3211</x:v>
      </x:c>
      <x:c r="B3216" t="str">
        <x:v>DW-3211</x:v>
      </x:c>
      <x:c r="C3216" t="str">
        <x:v>Parent indépendant 1.58</x:v>
      </x:c>
      <x:c r="D3216" t="str">
        <x:v>Éducation et connaissance</x:v>
      </x:c>
      <x:c r="E3216" t="str">
        <x:v>École de reliure documentaire</x:v>
      </x:c>
      <x:c r="F3216" t="n">
        <x:v>9</x:v>
      </x:c>
      <x:c r="G3216" t="n">
        <x:v>8</x:v>
      </x:c>
      <x:c r="H3216" t="n">
        <x:v>8</x:v>
      </x:c>
      <x:c r="I3216" t="str">
        <x:v>À qualifier par lieu</x:v>
      </x:c>
      <x:c r="J3216" t="str">
        <x:v>https://github.com/darknigthmare/deadwall-last-enclosure/blob/1b3b9c5ba232734b1bda3453b4e20a0481bcdd74/codex-3000/addendum-1.58/PROGRAMMES_A.json</x:v>
      </x:c>
      <x:c r="K3216" t="str">
        <x:v>Source min 42,36 m ; max 42,36 m ; modèle 42 × 36 m ; niveaux 0, 1. Détails dans catalogue-existant.json.</x:v>
      </x:c>
    </x:row>
    <x:row r="3217">
      <x:c r="A3217" t="str">
        <x:v>DW-3212</x:v>
      </x:c>
      <x:c r="B3217" t="str">
        <x:v>DW-3212</x:v>
      </x:c>
      <x:c r="C3217" t="str">
        <x:v>Parent indépendant 1.58</x:v>
      </x:c>
      <x:c r="D3217" t="str">
        <x:v>Éducation et connaissance</x:v>
      </x:c>
      <x:c r="E3217" t="str">
        <x:v>Centre d'apprentissage de l'impression offset</x:v>
      </x:c>
      <x:c r="F3217" t="n">
        <x:v>9</x:v>
      </x:c>
      <x:c r="G3217" t="n">
        <x:v>8</x:v>
      </x:c>
      <x:c r="H3217" t="n">
        <x:v>8</x:v>
      </x:c>
      <x:c r="I3217" t="str">
        <x:v>À qualifier par lieu</x:v>
      </x:c>
      <x:c r="J3217" t="str">
        <x:v>https://github.com/darknigthmare/deadwall-last-enclosure/blob/1b3b9c5ba232734b1bda3453b4e20a0481bcdd74/codex-3000/addendum-1.58/PROGRAMMES_A.json</x:v>
      </x:c>
      <x:c r="K3217" t="str">
        <x:v>Source min 42,36 m ; max 42,36 m ; modèle 42 × 36 m ; niveaux 0, 1. Détails dans catalogue-existant.json.</x:v>
      </x:c>
    </x:row>
    <x:row r="3218">
      <x:c r="A3218" t="str">
        <x:v>DW-3213</x:v>
      </x:c>
      <x:c r="B3218" t="str">
        <x:v>DW-3213</x:v>
      </x:c>
      <x:c r="C3218" t="str">
        <x:v>Parent indépendant 1.58</x:v>
      </x:c>
      <x:c r="D3218" t="str">
        <x:v>Éducation et connaissance</x:v>
      </x:c>
      <x:c r="E3218" t="str">
        <x:v>École de typographie manuelle</x:v>
      </x:c>
      <x:c r="F3218" t="n">
        <x:v>9</x:v>
      </x:c>
      <x:c r="G3218" t="n">
        <x:v>8</x:v>
      </x:c>
      <x:c r="H3218" t="n">
        <x:v>8</x:v>
      </x:c>
      <x:c r="I3218" t="str">
        <x:v>À qualifier par lieu</x:v>
      </x:c>
      <x:c r="J3218" t="str">
        <x:v>https://github.com/darknigthmare/deadwall-last-enclosure/blob/1b3b9c5ba232734b1bda3453b4e20a0481bcdd74/codex-3000/addendum-1.58/PROGRAMMES_A.json</x:v>
      </x:c>
      <x:c r="K3218" t="str">
        <x:v>Source min 42,36 m ; max 42,36 m ; modèle 42 × 36 m ; niveaux 0, 1. Détails dans catalogue-existant.json.</x:v>
      </x:c>
    </x:row>
    <x:row r="3219">
      <x:c r="A3219" t="str">
        <x:v>DW-3214</x:v>
      </x:c>
      <x:c r="B3219" t="str">
        <x:v>DW-3214</x:v>
      </x:c>
      <x:c r="C3219" t="str">
        <x:v>Parent indépendant 1.58</x:v>
      </x:c>
      <x:c r="D3219" t="str">
        <x:v>Éducation et connaissance</x:v>
      </x:c>
      <x:c r="E3219" t="str">
        <x:v>Institut de conservation des livres</x:v>
      </x:c>
      <x:c r="F3219" t="n">
        <x:v>9</x:v>
      </x:c>
      <x:c r="G3219" t="n">
        <x:v>8</x:v>
      </x:c>
      <x:c r="H3219" t="n">
        <x:v>8</x:v>
      </x:c>
      <x:c r="I3219" t="str">
        <x:v>À qualifier par lieu</x:v>
      </x:c>
      <x:c r="J3219" t="str">
        <x:v>https://github.com/darknigthmare/deadwall-last-enclosure/blob/1b3b9c5ba232734b1bda3453b4e20a0481bcdd74/codex-3000/addendum-1.58/PROGRAMMES_A.json</x:v>
      </x:c>
      <x:c r="K3219" t="str">
        <x:v>Source min 42,36 m ; max 42,36 m ; modèle 42 × 36 m ; niveaux 0, 1. Détails dans catalogue-existant.json.</x:v>
      </x:c>
    </x:row>
    <x:row r="3220">
      <x:c r="A3220" t="str">
        <x:v>DW-3215</x:v>
      </x:c>
      <x:c r="B3220" t="str">
        <x:v>DW-3215</x:v>
      </x:c>
      <x:c r="C3220" t="str">
        <x:v>Parent indépendant 1.58</x:v>
      </x:c>
      <x:c r="D3220" t="str">
        <x:v>Éducation et connaissance</x:v>
      </x:c>
      <x:c r="E3220" t="str">
        <x:v>Centre de formation aux archives numériques</x:v>
      </x:c>
      <x:c r="F3220" t="n">
        <x:v>9</x:v>
      </x:c>
      <x:c r="G3220" t="n">
        <x:v>8</x:v>
      </x:c>
      <x:c r="H3220" t="n">
        <x:v>8</x:v>
      </x:c>
      <x:c r="I3220" t="str">
        <x:v>À qualifier par lieu</x:v>
      </x:c>
      <x:c r="J3220" t="str">
        <x:v>https://github.com/darknigthmare/deadwall-last-enclosure/blob/1b3b9c5ba232734b1bda3453b4e20a0481bcdd74/codex-3000/addendum-1.58/PROGRAMMES_A.json</x:v>
      </x:c>
      <x:c r="K3220" t="str">
        <x:v>Source min 42,36 m ; max 42,36 m ; modèle 42 × 36 m ; niveaux 0, 1. Détails dans catalogue-existant.json.</x:v>
      </x:c>
    </x:row>
    <x:row r="3221">
      <x:c r="A3221" t="str">
        <x:v>DW-3216</x:v>
      </x:c>
      <x:c r="B3221" t="str">
        <x:v>DW-3216</x:v>
      </x:c>
      <x:c r="C3221" t="str">
        <x:v>Parent indépendant 1.58</x:v>
      </x:c>
      <x:c r="D3221" t="str">
        <x:v>Éducation et connaissance</x:v>
      </x:c>
      <x:c r="E3221" t="str">
        <x:v>École de cartographie de terrain</x:v>
      </x:c>
      <x:c r="F3221" t="n">
        <x:v>9</x:v>
      </x:c>
      <x:c r="G3221" t="n">
        <x:v>8</x:v>
      </x:c>
      <x:c r="H3221" t="n">
        <x:v>8</x:v>
      </x:c>
      <x:c r="I3221" t="str">
        <x:v>À qualifier par lieu</x:v>
      </x:c>
      <x:c r="J3221" t="str">
        <x:v>https://github.com/darknigthmare/deadwall-last-enclosure/blob/1b3b9c5ba232734b1bda3453b4e20a0481bcdd74/codex-3000/addendum-1.58/PROGRAMMES_A.json</x:v>
      </x:c>
      <x:c r="K3221" t="str">
        <x:v>Source min 42,36 m ; max 42,36 m ; modèle 42 × 36 m ; niveaux 0, 1. Détails dans catalogue-existant.json.</x:v>
      </x:c>
    </x:row>
    <x:row r="3222">
      <x:c r="A3222" t="str">
        <x:v>DW-3217</x:v>
      </x:c>
      <x:c r="B3222" t="str">
        <x:v>DW-3217</x:v>
      </x:c>
      <x:c r="C3222" t="str">
        <x:v>Parent indépendant 1.58</x:v>
      </x:c>
      <x:c r="D3222" t="str">
        <x:v>Éducation et connaissance</x:v>
      </x:c>
      <x:c r="E3222" t="str">
        <x:v>Centre d'enseignement topographique</x:v>
      </x:c>
      <x:c r="F3222" t="n">
        <x:v>9</x:v>
      </x:c>
      <x:c r="G3222" t="n">
        <x:v>8</x:v>
      </x:c>
      <x:c r="H3222" t="n">
        <x:v>8</x:v>
      </x:c>
      <x:c r="I3222" t="str">
        <x:v>À qualifier par lieu</x:v>
      </x:c>
      <x:c r="J3222" t="str">
        <x:v>https://github.com/darknigthmare/deadwall-last-enclosure/blob/1b3b9c5ba232734b1bda3453b4e20a0481bcdd74/codex-3000/addendum-1.58/PROGRAMMES_A.json</x:v>
      </x:c>
      <x:c r="K3222" t="str">
        <x:v>Source min 42,36 m ; max 42,36 m ; modèle 42 × 36 m ; niveaux 0, 1. Détails dans catalogue-existant.json.</x:v>
      </x:c>
    </x:row>
    <x:row r="3223">
      <x:c r="A3223" t="str">
        <x:v>DW-3218</x:v>
      </x:c>
      <x:c r="B3223" t="str">
        <x:v>DW-3218</x:v>
      </x:c>
      <x:c r="C3223" t="str">
        <x:v>Parent indépendant 1.58</x:v>
      </x:c>
      <x:c r="D3223" t="str">
        <x:v>Éducation et connaissance</x:v>
      </x:c>
      <x:c r="E3223" t="str">
        <x:v>Maison pédagogique de météorologie</x:v>
      </x:c>
      <x:c r="F3223" t="n">
        <x:v>9</x:v>
      </x:c>
      <x:c r="G3223" t="n">
        <x:v>8</x:v>
      </x:c>
      <x:c r="H3223" t="n">
        <x:v>8</x:v>
      </x:c>
      <x:c r="I3223" t="str">
        <x:v>À qualifier par lieu</x:v>
      </x:c>
      <x:c r="J3223" t="str">
        <x:v>https://github.com/darknigthmare/deadwall-last-enclosure/blob/1b3b9c5ba232734b1bda3453b4e20a0481bcdd74/codex-3000/addendum-1.58/PROGRAMMES_A.json</x:v>
      </x:c>
      <x:c r="K3223" t="str">
        <x:v>Source min 42,36 m ; max 42,36 m ; modèle 42 × 36 m ; niveaux 0, 1. Détails dans catalogue-existant.json.</x:v>
      </x:c>
    </x:row>
    <x:row r="3224">
      <x:c r="A3224" t="str">
        <x:v>DW-3219</x:v>
      </x:c>
      <x:c r="B3224" t="str">
        <x:v>DW-3219</x:v>
      </x:c>
      <x:c r="C3224" t="str">
        <x:v>Parent indépendant 1.58</x:v>
      </x:c>
      <x:c r="D3224" t="str">
        <x:v>Éducation et connaissance</x:v>
      </x:c>
      <x:c r="E3224" t="str">
        <x:v>École de botanique appliquée</x:v>
      </x:c>
      <x:c r="F3224" t="n">
        <x:v>9</x:v>
      </x:c>
      <x:c r="G3224" t="n">
        <x:v>8</x:v>
      </x:c>
      <x:c r="H3224" t="n">
        <x:v>8</x:v>
      </x:c>
      <x:c r="I3224" t="str">
        <x:v>À qualifier par lieu</x:v>
      </x:c>
      <x:c r="J3224" t="str">
        <x:v>https://github.com/darknigthmare/deadwall-last-enclosure/blob/1b3b9c5ba232734b1bda3453b4e20a0481bcdd74/codex-3000/addendum-1.58/PROGRAMMES_A.json</x:v>
      </x:c>
      <x:c r="K3224" t="str">
        <x:v>Source min 42,36 m ; max 42,36 m ; modèle 42 × 36 m ; niveaux 0, 1. Détails dans catalogue-existant.json.</x:v>
      </x:c>
    </x:row>
    <x:row r="3225">
      <x:c r="A3225" t="str">
        <x:v>DW-3220</x:v>
      </x:c>
      <x:c r="B3225" t="str">
        <x:v>DW-3220</x:v>
      </x:c>
      <x:c r="C3225" t="str">
        <x:v>Parent indépendant 1.58</x:v>
      </x:c>
      <x:c r="D3225" t="str">
        <x:v>Éducation et connaissance</x:v>
      </x:c>
      <x:c r="E3225" t="str">
        <x:v>Centre de formation aux semences</x:v>
      </x:c>
      <x:c r="F3225" t="n">
        <x:v>9</x:v>
      </x:c>
      <x:c r="G3225" t="n">
        <x:v>8</x:v>
      </x:c>
      <x:c r="H3225" t="n">
        <x:v>8</x:v>
      </x:c>
      <x:c r="I3225" t="str">
        <x:v>À qualifier par lieu</x:v>
      </x:c>
      <x:c r="J3225" t="str">
        <x:v>https://github.com/darknigthmare/deadwall-last-enclosure/blob/1b3b9c5ba232734b1bda3453b4e20a0481bcdd74/codex-3000/addendum-1.58/PROGRAMMES_A.json</x:v>
      </x:c>
      <x:c r="K3225" t="str">
        <x:v>Source min 42,36 m ; max 42,36 m ; modèle 42 × 36 m ; niveaux 0, 1. Détails dans catalogue-existant.json.</x:v>
      </x:c>
    </x:row>
    <x:row r="3226">
      <x:c r="A3226" t="str">
        <x:v>DW-3221</x:v>
      </x:c>
      <x:c r="B3226" t="str">
        <x:v>DW-3221</x:v>
      </x:c>
      <x:c r="C3226" t="str">
        <x:v>Parent indépendant 1.58</x:v>
      </x:c>
      <x:c r="D3226" t="str">
        <x:v>Éducation et connaissance</x:v>
      </x:c>
      <x:c r="E3226" t="str">
        <x:v>École d'interprétation linguistique</x:v>
      </x:c>
      <x:c r="F3226" t="n">
        <x:v>9</x:v>
      </x:c>
      <x:c r="G3226" t="n">
        <x:v>8</x:v>
      </x:c>
      <x:c r="H3226" t="n">
        <x:v>8</x:v>
      </x:c>
      <x:c r="I3226" t="str">
        <x:v>À qualifier par lieu</x:v>
      </x:c>
      <x:c r="J3226" t="str">
        <x:v>https://github.com/darknigthmare/deadwall-last-enclosure/blob/1b3b9c5ba232734b1bda3453b4e20a0481bcdd74/codex-3000/addendum-1.58/PROGRAMMES_A.json</x:v>
      </x:c>
      <x:c r="K3226" t="str">
        <x:v>Source min 42,36 m ; max 42,36 m ; modèle 42 × 36 m ; niveaux 0, 1. Détails dans catalogue-existant.json.</x:v>
      </x:c>
    </x:row>
    <x:row r="3227">
      <x:c r="A3227" t="str">
        <x:v>DW-3222</x:v>
      </x:c>
      <x:c r="B3227" t="str">
        <x:v>DW-3222</x:v>
      </x:c>
      <x:c r="C3227" t="str">
        <x:v>Parent indépendant 1.58</x:v>
      </x:c>
      <x:c r="D3227" t="str">
        <x:v>Éducation et connaissance</x:v>
      </x:c>
      <x:c r="E3227" t="str">
        <x:v>Centre de formation radiophonique</x:v>
      </x:c>
      <x:c r="F3227" t="n">
        <x:v>9</x:v>
      </x:c>
      <x:c r="G3227" t="n">
        <x:v>8</x:v>
      </x:c>
      <x:c r="H3227" t="n">
        <x:v>8</x:v>
      </x:c>
      <x:c r="I3227" t="str">
        <x:v>À qualifier par lieu</x:v>
      </x:c>
      <x:c r="J3227" t="str">
        <x:v>https://github.com/darknigthmare/deadwall-last-enclosure/blob/1b3b9c5ba232734b1bda3453b4e20a0481bcdd74/codex-3000/addendum-1.58/PROGRAMMES_A.json</x:v>
      </x:c>
      <x:c r="K3227" t="str">
        <x:v>Source min 42,36 m ; max 42,36 m ; modèle 42 × 36 m ; niveaux 0, 1. Détails dans catalogue-existant.json.</x:v>
      </x:c>
    </x:row>
    <x:row r="3228">
      <x:c r="A3228" t="str">
        <x:v>DW-3223</x:v>
      </x:c>
      <x:c r="B3228" t="str">
        <x:v>DW-3223</x:v>
      </x:c>
      <x:c r="C3228" t="str">
        <x:v>Parent indépendant 1.58</x:v>
      </x:c>
      <x:c r="D3228" t="str">
        <x:v>Éducation et connaissance</x:v>
      </x:c>
      <x:c r="E3228" t="str">
        <x:v>École de montage sonore</x:v>
      </x:c>
      <x:c r="F3228" t="n">
        <x:v>9</x:v>
      </x:c>
      <x:c r="G3228" t="n">
        <x:v>8</x:v>
      </x:c>
      <x:c r="H3228" t="n">
        <x:v>8</x:v>
      </x:c>
      <x:c r="I3228" t="str">
        <x:v>À qualifier par lieu</x:v>
      </x:c>
      <x:c r="J3228" t="str">
        <x:v>https://github.com/darknigthmare/deadwall-last-enclosure/blob/1b3b9c5ba232734b1bda3453b4e20a0481bcdd74/codex-3000/addendum-1.58/PROGRAMMES_A.json</x:v>
      </x:c>
      <x:c r="K3228" t="str">
        <x:v>Source min 42,36 m ; max 42,36 m ; modèle 42 × 36 m ; niveaux 0, 1. Détails dans catalogue-existant.json.</x:v>
      </x:c>
    </x:row>
    <x:row r="3229">
      <x:c r="A3229" t="str">
        <x:v>DW-3224</x:v>
      </x:c>
      <x:c r="B3229" t="str">
        <x:v>DW-3224</x:v>
      </x:c>
      <x:c r="C3229" t="str">
        <x:v>Parent indépendant 1.58</x:v>
      </x:c>
      <x:c r="D3229" t="str">
        <x:v>Éducation et connaissance</x:v>
      </x:c>
      <x:c r="E3229" t="str">
        <x:v>Centre de formation à la prise de vue</x:v>
      </x:c>
      <x:c r="F3229" t="n">
        <x:v>9</x:v>
      </x:c>
      <x:c r="G3229" t="n">
        <x:v>8</x:v>
      </x:c>
      <x:c r="H3229" t="n">
        <x:v>8</x:v>
      </x:c>
      <x:c r="I3229" t="str">
        <x:v>À qualifier par lieu</x:v>
      </x:c>
      <x:c r="J3229" t="str">
        <x:v>https://github.com/darknigthmare/deadwall-last-enclosure/blob/1b3b9c5ba232734b1bda3453b4e20a0481bcdd74/codex-3000/addendum-1.58/PROGRAMMES_A.json</x:v>
      </x:c>
      <x:c r="K3229" t="str">
        <x:v>Source min 42,36 m ; max 42,36 m ; modèle 42 × 36 m ; niveaux 0, 1. Détails dans catalogue-existant.json.</x:v>
      </x:c>
    </x:row>
    <x:row r="3230">
      <x:c r="A3230" t="str">
        <x:v>DW-3225</x:v>
      </x:c>
      <x:c r="B3230" t="str">
        <x:v>DW-3225</x:v>
      </x:c>
      <x:c r="C3230" t="str">
        <x:v>Parent indépendant 1.58</x:v>
      </x:c>
      <x:c r="D3230" t="str">
        <x:v>Éducation et connaissance</x:v>
      </x:c>
      <x:c r="E3230" t="str">
        <x:v>École de photographie de laboratoire</x:v>
      </x:c>
      <x:c r="F3230" t="n">
        <x:v>9</x:v>
      </x:c>
      <x:c r="G3230" t="n">
        <x:v>8</x:v>
      </x:c>
      <x:c r="H3230" t="n">
        <x:v>8</x:v>
      </x:c>
      <x:c r="I3230" t="str">
        <x:v>À qualifier par lieu</x:v>
      </x:c>
      <x:c r="J3230" t="str">
        <x:v>https://github.com/darknigthmare/deadwall-last-enclosure/blob/1b3b9c5ba232734b1bda3453b4e20a0481bcdd74/codex-3000/addendum-1.58/PROGRAMMES_A.json</x:v>
      </x:c>
      <x:c r="K3230" t="str">
        <x:v>Source min 42,36 m ; max 42,36 m ; modèle 42 × 36 m ; niveaux 0, 1. Détails dans catalogue-existant.json.</x:v>
      </x:c>
    </x:row>
    <x:row r="3231">
      <x:c r="A3231" t="str">
        <x:v>DW-3226</x:v>
      </x:c>
      <x:c r="B3231" t="str">
        <x:v>DW-3226</x:v>
      </x:c>
      <x:c r="C3231" t="str">
        <x:v>Parent indépendant 1.58</x:v>
      </x:c>
      <x:c r="D3231" t="str">
        <x:v>Éducation et connaissance</x:v>
      </x:c>
      <x:c r="E3231" t="str">
        <x:v>Atelier-école d'animation image par image</x:v>
      </x:c>
      <x:c r="F3231" t="n">
        <x:v>9</x:v>
      </x:c>
      <x:c r="G3231" t="n">
        <x:v>8</x:v>
      </x:c>
      <x:c r="H3231" t="n">
        <x:v>8</x:v>
      </x:c>
      <x:c r="I3231" t="str">
        <x:v>À qualifier par lieu</x:v>
      </x:c>
      <x:c r="J3231" t="str">
        <x:v>https://github.com/darknigthmare/deadwall-last-enclosure/blob/1b3b9c5ba232734b1bda3453b4e20a0481bcdd74/codex-3000/addendum-1.58/PROGRAMMES_A.json</x:v>
      </x:c>
      <x:c r="K3231" t="str">
        <x:v>Source min 42,36 m ; max 42,36 m ; modèle 42 × 36 m ; niveaux 0, 1. Détails dans catalogue-existant.json.</x:v>
      </x:c>
    </x:row>
    <x:row r="3232">
      <x:c r="A3232" t="str">
        <x:v>DW-3227</x:v>
      </x:c>
      <x:c r="B3232" t="str">
        <x:v>DW-3227</x:v>
      </x:c>
      <x:c r="C3232" t="str">
        <x:v>Parent indépendant 1.58</x:v>
      </x:c>
      <x:c r="D3232" t="str">
        <x:v>Éducation et connaissance</x:v>
      </x:c>
      <x:c r="E3232" t="str">
        <x:v>Centre de composition sonore électronique</x:v>
      </x:c>
      <x:c r="F3232" t="n">
        <x:v>9</x:v>
      </x:c>
      <x:c r="G3232" t="n">
        <x:v>8</x:v>
      </x:c>
      <x:c r="H3232" t="n">
        <x:v>8</x:v>
      </x:c>
      <x:c r="I3232" t="str">
        <x:v>À qualifier par lieu</x:v>
      </x:c>
      <x:c r="J3232" t="str">
        <x:v>https://github.com/darknigthmare/deadwall-last-enclosure/blob/1b3b9c5ba232734b1bda3453b4e20a0481bcdd74/codex-3000/addendum-1.58/PROGRAMMES_A.json</x:v>
      </x:c>
      <x:c r="K3232" t="str">
        <x:v>Source min 42,36 m ; max 42,36 m ; modèle 42 × 36 m ; niveaux 0, 1. Détails dans catalogue-existant.json.</x:v>
      </x:c>
    </x:row>
    <x:row r="3233">
      <x:c r="A3233" t="str">
        <x:v>DW-3228</x:v>
      </x:c>
      <x:c r="B3233" t="str">
        <x:v>DW-3228</x:v>
      </x:c>
      <x:c r="C3233" t="str">
        <x:v>Parent indépendant 1.58</x:v>
      </x:c>
      <x:c r="D3233" t="str">
        <x:v>Éducation et connaissance</x:v>
      </x:c>
      <x:c r="E3233" t="str">
        <x:v>École de régie lumineuse</x:v>
      </x:c>
      <x:c r="F3233" t="n">
        <x:v>9</x:v>
      </x:c>
      <x:c r="G3233" t="n">
        <x:v>8</x:v>
      </x:c>
      <x:c r="H3233" t="n">
        <x:v>8</x:v>
      </x:c>
      <x:c r="I3233" t="str">
        <x:v>À qualifier par lieu</x:v>
      </x:c>
      <x:c r="J3233" t="str">
        <x:v>https://github.com/darknigthmare/deadwall-last-enclosure/blob/1b3b9c5ba232734b1bda3453b4e20a0481bcdd74/codex-3000/addendum-1.58/PROGRAMMES_A.json</x:v>
      </x:c>
      <x:c r="K3233" t="str">
        <x:v>Source min 42,36 m ; max 42,36 m ; modèle 42 × 36 m ; niveaux 0, 1. Détails dans catalogue-existant.json.</x:v>
      </x:c>
    </x:row>
    <x:row r="3234">
      <x:c r="A3234" t="str">
        <x:v>DW-3229</x:v>
      </x:c>
      <x:c r="B3234" t="str">
        <x:v>DW-3229</x:v>
      </x:c>
      <x:c r="C3234" t="str">
        <x:v>Parent indépendant 1.58</x:v>
      </x:c>
      <x:c r="D3234" t="str">
        <x:v>Éducation et connaissance</x:v>
      </x:c>
      <x:c r="E3234" t="str">
        <x:v>Centre d'apprentissage de scénographie</x:v>
      </x:c>
      <x:c r="F3234" t="n">
        <x:v>9</x:v>
      </x:c>
      <x:c r="G3234" t="n">
        <x:v>8</x:v>
      </x:c>
      <x:c r="H3234" t="n">
        <x:v>8</x:v>
      </x:c>
      <x:c r="I3234" t="str">
        <x:v>À qualifier par lieu</x:v>
      </x:c>
      <x:c r="J3234" t="str">
        <x:v>https://github.com/darknigthmare/deadwall-last-enclosure/blob/1b3b9c5ba232734b1bda3453b4e20a0481bcdd74/codex-3000/addendum-1.58/PROGRAMMES_A.json</x:v>
      </x:c>
      <x:c r="K3234" t="str">
        <x:v>Source min 42,36 m ; max 42,36 m ; modèle 42 × 36 m ; niveaux 0, 1. Détails dans catalogue-existant.json.</x:v>
      </x:c>
    </x:row>
    <x:row r="3235">
      <x:c r="A3235" t="str">
        <x:v>DW-3230</x:v>
      </x:c>
      <x:c r="B3235" t="str">
        <x:v>DW-3230</x:v>
      </x:c>
      <x:c r="C3235" t="str">
        <x:v>Parent indépendant 1.58</x:v>
      </x:c>
      <x:c r="D3235" t="str">
        <x:v>Éducation et connaissance</x:v>
      </x:c>
      <x:c r="E3235" t="str">
        <x:v>École de costume de scène</x:v>
      </x:c>
      <x:c r="F3235" t="n">
        <x:v>9</x:v>
      </x:c>
      <x:c r="G3235" t="n">
        <x:v>8</x:v>
      </x:c>
      <x:c r="H3235" t="n">
        <x:v>8</x:v>
      </x:c>
      <x:c r="I3235" t="str">
        <x:v>À qualifier par lieu</x:v>
      </x:c>
      <x:c r="J3235" t="str">
        <x:v>https://github.com/darknigthmare/deadwall-last-enclosure/blob/1b3b9c5ba232734b1bda3453b4e20a0481bcdd74/codex-3000/addendum-1.58/PROGRAMMES_A.json</x:v>
      </x:c>
      <x:c r="K3235" t="str">
        <x:v>Source min 42,36 m ; max 42,36 m ; modèle 42 × 36 m ; niveaux 0, 1. Détails dans catalogue-existant.json.</x:v>
      </x:c>
    </x:row>
    <x:row r="3236">
      <x:c r="A3236" t="str">
        <x:v>DW-3231</x:v>
      </x:c>
      <x:c r="B3236" t="str">
        <x:v>DW-3231</x:v>
      </x:c>
      <x:c r="C3236" t="str">
        <x:v>Parent indépendant 1.58</x:v>
      </x:c>
      <x:c r="D3236" t="str">
        <x:v>Éducation et connaissance</x:v>
      </x:c>
      <x:c r="E3236" t="str">
        <x:v>Centre de formation au froid technique</x:v>
      </x:c>
      <x:c r="F3236" t="n">
        <x:v>9</x:v>
      </x:c>
      <x:c r="G3236" t="n">
        <x:v>8</x:v>
      </x:c>
      <x:c r="H3236" t="n">
        <x:v>8</x:v>
      </x:c>
      <x:c r="I3236" t="str">
        <x:v>À qualifier par lieu</x:v>
      </x:c>
      <x:c r="J3236" t="str">
        <x:v>https://github.com/darknigthmare/deadwall-last-enclosure/blob/1b3b9c5ba232734b1bda3453b4e20a0481bcdd74/codex-3000/addendum-1.58/PROGRAMMES_A.json</x:v>
      </x:c>
      <x:c r="K3236" t="str">
        <x:v>Source min 42,36 m ; max 42,36 m ; modèle 42 × 36 m ; niveaux 0, 1. Détails dans catalogue-existant.json.</x:v>
      </x:c>
    </x:row>
    <x:row r="3237">
      <x:c r="A3237" t="str">
        <x:v>DW-3232</x:v>
      </x:c>
      <x:c r="B3237" t="str">
        <x:v>DW-3232</x:v>
      </x:c>
      <x:c r="C3237" t="str">
        <x:v>Parent indépendant 1.58</x:v>
      </x:c>
      <x:c r="D3237" t="str">
        <x:v>Éducation et connaissance</x:v>
      </x:c>
      <x:c r="E3237" t="str">
        <x:v>École de maintenance d'ascenseurs</x:v>
      </x:c>
      <x:c r="F3237" t="n">
        <x:v>9</x:v>
      </x:c>
      <x:c r="G3237" t="n">
        <x:v>8</x:v>
      </x:c>
      <x:c r="H3237" t="n">
        <x:v>8</x:v>
      </x:c>
      <x:c r="I3237" t="str">
        <x:v>À qualifier par lieu</x:v>
      </x:c>
      <x:c r="J3237" t="str">
        <x:v>https://github.com/darknigthmare/deadwall-last-enclosure/blob/1b3b9c5ba232734b1bda3453b4e20a0481bcdd74/codex-3000/addendum-1.58/PROGRAMMES_A.json</x:v>
      </x:c>
      <x:c r="K3237" t="str">
        <x:v>Source min 42,36 m ; max 42,36 m ; modèle 42 × 36 m ; niveaux 0, 1. Détails dans catalogue-existant.json.</x:v>
      </x:c>
    </x:row>
    <x:row r="3238">
      <x:c r="A3238" t="str">
        <x:v>DW-3233</x:v>
      </x:c>
      <x:c r="B3238" t="str">
        <x:v>DW-3233</x:v>
      </x:c>
      <x:c r="C3238" t="str">
        <x:v>Parent indépendant 1.58</x:v>
      </x:c>
      <x:c r="D3238" t="str">
        <x:v>Éducation et connaissance</x:v>
      </x:c>
      <x:c r="E3238" t="str">
        <x:v>Centre de réparation d'électroménager pédagogique</x:v>
      </x:c>
      <x:c r="F3238" t="n">
        <x:v>9</x:v>
      </x:c>
      <x:c r="G3238" t="n">
        <x:v>8</x:v>
      </x:c>
      <x:c r="H3238" t="n">
        <x:v>8</x:v>
      </x:c>
      <x:c r="I3238" t="str">
        <x:v>À qualifier par lieu</x:v>
      </x:c>
      <x:c r="J3238" t="str">
        <x:v>https://github.com/darknigthmare/deadwall-last-enclosure/blob/1b3b9c5ba232734b1bda3453b4e20a0481bcdd74/codex-3000/addendum-1.58/PROGRAMMES_A.json</x:v>
      </x:c>
      <x:c r="K3238" t="str">
        <x:v>Source min 42,36 m ; max 42,36 m ; modèle 42 × 36 m ; niveaux 0, 1. Détails dans catalogue-existant.json.</x:v>
      </x:c>
    </x:row>
    <x:row r="3239">
      <x:c r="A3239" t="str">
        <x:v>DW-3234</x:v>
      </x:c>
      <x:c r="B3239" t="str">
        <x:v>DW-3234</x:v>
      </x:c>
      <x:c r="C3239" t="str">
        <x:v>Parent indépendant 1.58</x:v>
      </x:c>
      <x:c r="D3239" t="str">
        <x:v>Éducation et connaissance</x:v>
      </x:c>
      <x:c r="E3239" t="str">
        <x:v>École de câblage informatique</x:v>
      </x:c>
      <x:c r="F3239" t="n">
        <x:v>9</x:v>
      </x:c>
      <x:c r="G3239" t="n">
        <x:v>8</x:v>
      </x:c>
      <x:c r="H3239" t="n">
        <x:v>8</x:v>
      </x:c>
      <x:c r="I3239" t="str">
        <x:v>À qualifier par lieu</x:v>
      </x:c>
      <x:c r="J3239" t="str">
        <x:v>https://github.com/darknigthmare/deadwall-last-enclosure/blob/1b3b9c5ba232734b1bda3453b4e20a0481bcdd74/codex-3000/addendum-1.58/PROGRAMMES_A.json</x:v>
      </x:c>
      <x:c r="K3239" t="str">
        <x:v>Source min 42,36 m ; max 42,36 m ; modèle 42 × 36 m ; niveaux 0, 1. Détails dans catalogue-existant.json.</x:v>
      </x:c>
    </x:row>
    <x:row r="3240">
      <x:c r="A3240" t="str">
        <x:v>DW-3235</x:v>
      </x:c>
      <x:c r="B3240" t="str">
        <x:v>DW-3235</x:v>
      </x:c>
      <x:c r="C3240" t="str">
        <x:v>Parent indépendant 1.58</x:v>
      </x:c>
      <x:c r="D3240" t="str">
        <x:v>Éducation et connaissance</x:v>
      </x:c>
      <x:c r="E3240" t="str">
        <x:v>Maison de formation radioamateur</x:v>
      </x:c>
      <x:c r="F3240" t="n">
        <x:v>9</x:v>
      </x:c>
      <x:c r="G3240" t="n">
        <x:v>8</x:v>
      </x:c>
      <x:c r="H3240" t="n">
        <x:v>8</x:v>
      </x:c>
      <x:c r="I3240" t="str">
        <x:v>À qualifier par lieu</x:v>
      </x:c>
      <x:c r="J3240" t="str">
        <x:v>https://github.com/darknigthmare/deadwall-last-enclosure/blob/1b3b9c5ba232734b1bda3453b4e20a0481bcdd74/codex-3000/addendum-1.58/PROGRAMMES_A.json</x:v>
      </x:c>
      <x:c r="K3240" t="str">
        <x:v>Source min 42,36 m ; max 42,36 m ; modèle 42 × 36 m ; niveaux 0, 1. Détails dans catalogue-existant.json.</x:v>
      </x:c>
    </x:row>
    <x:row r="3241">
      <x:c r="A3241" t="str">
        <x:v>DW-3236</x:v>
      </x:c>
      <x:c r="B3241" t="str">
        <x:v>DW-3236</x:v>
      </x:c>
      <x:c r="C3241" t="str">
        <x:v>Parent indépendant 1.58</x:v>
      </x:c>
      <x:c r="D3241" t="str">
        <x:v>Éducation et connaissance</x:v>
      </x:c>
      <x:c r="E3241" t="str">
        <x:v>École de maintenance des pompes</x:v>
      </x:c>
      <x:c r="F3241" t="n">
        <x:v>9</x:v>
      </x:c>
      <x:c r="G3241" t="n">
        <x:v>8</x:v>
      </x:c>
      <x:c r="H3241" t="n">
        <x:v>8</x:v>
      </x:c>
      <x:c r="I3241" t="str">
        <x:v>À qualifier par lieu</x:v>
      </x:c>
      <x:c r="J3241" t="str">
        <x:v>https://github.com/darknigthmare/deadwall-last-enclosure/blob/1b3b9c5ba232734b1bda3453b4e20a0481bcdd74/codex-3000/addendum-1.58/PROGRAMMES_A.json</x:v>
      </x:c>
      <x:c r="K3241" t="str">
        <x:v>Source min 42,36 m ; max 42,36 m ; modèle 42 × 36 m ; niveaux 0, 1. Détails dans catalogue-existant.json.</x:v>
      </x:c>
    </x:row>
    <x:row r="3242">
      <x:c r="A3242" t="str">
        <x:v>DW-3237</x:v>
      </x:c>
      <x:c r="B3242" t="str">
        <x:v>DW-3237</x:v>
      </x:c>
      <x:c r="C3242" t="str">
        <x:v>Parent indépendant 1.58</x:v>
      </x:c>
      <x:c r="D3242" t="str">
        <x:v>Éducation et connaissance</x:v>
      </x:c>
      <x:c r="E3242" t="str">
        <x:v>Centre de formation au tissage</x:v>
      </x:c>
      <x:c r="F3242" t="n">
        <x:v>9</x:v>
      </x:c>
      <x:c r="G3242" t="n">
        <x:v>8</x:v>
      </x:c>
      <x:c r="H3242" t="n">
        <x:v>8</x:v>
      </x:c>
      <x:c r="I3242" t="str">
        <x:v>À qualifier par lieu</x:v>
      </x:c>
      <x:c r="J3242" t="str">
        <x:v>https://github.com/darknigthmare/deadwall-last-enclosure/blob/1b3b9c5ba232734b1bda3453b4e20a0481bcdd74/codex-3000/addendum-1.58/PROGRAMMES_A.json</x:v>
      </x:c>
      <x:c r="K3242" t="str">
        <x:v>Source min 42,36 m ; max 42,36 m ; modèle 42 × 36 m ; niveaux 0, 1. Détails dans catalogue-existant.json.</x:v>
      </x:c>
    </x:row>
    <x:row r="3243">
      <x:c r="A3243" t="str">
        <x:v>DW-3238</x:v>
      </x:c>
      <x:c r="B3243" t="str">
        <x:v>DW-3238</x:v>
      </x:c>
      <x:c r="C3243" t="str">
        <x:v>Parent indépendant 1.58</x:v>
      </x:c>
      <x:c r="D3243" t="str">
        <x:v>Éducation et connaissance</x:v>
      </x:c>
      <x:c r="E3243" t="str">
        <x:v>École de maroquinerie</x:v>
      </x:c>
      <x:c r="F3243" t="n">
        <x:v>9</x:v>
      </x:c>
      <x:c r="G3243" t="n">
        <x:v>8</x:v>
      </x:c>
      <x:c r="H3243" t="n">
        <x:v>8</x:v>
      </x:c>
      <x:c r="I3243" t="str">
        <x:v>À qualifier par lieu</x:v>
      </x:c>
      <x:c r="J3243" t="str">
        <x:v>https://github.com/darknigthmare/deadwall-last-enclosure/blob/1b3b9c5ba232734b1bda3453b4e20a0481bcdd74/codex-3000/addendum-1.58/PROGRAMMES_A.json</x:v>
      </x:c>
      <x:c r="K3243" t="str">
        <x:v>Source min 42,36 m ; max 42,36 m ; modèle 42 × 36 m ; niveaux 0, 1. Détails dans catalogue-existant.json.</x:v>
      </x:c>
    </x:row>
    <x:row r="3244">
      <x:c r="A3244" t="str">
        <x:v>DW-3239</x:v>
      </x:c>
      <x:c r="B3244" t="str">
        <x:v>DW-3239</x:v>
      </x:c>
      <x:c r="C3244" t="str">
        <x:v>Parent indépendant 1.58</x:v>
      </x:c>
      <x:c r="D3244" t="str">
        <x:v>Éducation et connaissance</x:v>
      </x:c>
      <x:c r="E3244" t="str">
        <x:v>Centre d'apprentissage de céramique</x:v>
      </x:c>
      <x:c r="F3244" t="n">
        <x:v>9</x:v>
      </x:c>
      <x:c r="G3244" t="n">
        <x:v>8</x:v>
      </x:c>
      <x:c r="H3244" t="n">
        <x:v>8</x:v>
      </x:c>
      <x:c r="I3244" t="str">
        <x:v>À qualifier par lieu</x:v>
      </x:c>
      <x:c r="J3244" t="str">
        <x:v>https://github.com/darknigthmare/deadwall-last-enclosure/blob/1b3b9c5ba232734b1bda3453b4e20a0481bcdd74/codex-3000/addendum-1.58/PROGRAMMES_A.json</x:v>
      </x:c>
      <x:c r="K3244" t="str">
        <x:v>Source min 42,36 m ; max 42,36 m ; modèle 42 × 36 m ; niveaux 0, 1. Détails dans catalogue-existant.json.</x:v>
      </x:c>
    </x:row>
    <x:row r="3245">
      <x:c r="A3245" t="str">
        <x:v>DW-3240</x:v>
      </x:c>
      <x:c r="B3245" t="str">
        <x:v>DW-3240</x:v>
      </x:c>
      <x:c r="C3245" t="str">
        <x:v>Parent indépendant 1.58</x:v>
      </x:c>
      <x:c r="D3245" t="str">
        <x:v>Éducation et connaissance</x:v>
      </x:c>
      <x:c r="E3245" t="str">
        <x:v>École de restauration du mobilier</x:v>
      </x:c>
      <x:c r="F3245" t="n">
        <x:v>9</x:v>
      </x:c>
      <x:c r="G3245" t="n">
        <x:v>8</x:v>
      </x:c>
      <x:c r="H3245" t="n">
        <x:v>8</x:v>
      </x:c>
      <x:c r="I3245" t="str">
        <x:v>À qualifier par lieu</x:v>
      </x:c>
      <x:c r="J3245" t="str">
        <x:v>https://github.com/darknigthmare/deadwall-last-enclosure/blob/1b3b9c5ba232734b1bda3453b4e20a0481bcdd74/codex-3000/addendum-1.58/PROGRAMMES_A.json</x:v>
      </x:c>
      <x:c r="K3245" t="str">
        <x:v>Source min 42,36 m ; max 42,36 m ; modèle 42 × 36 m ; niveaux 0, 1. Détails dans catalogue-existant.json.</x:v>
      </x:c>
    </x:row>
    <x:row r="3246">
      <x:c r="A3246" t="str">
        <x:v>DW-3241</x:v>
      </x:c>
      <x:c r="B3246" t="str">
        <x:v>DW-3241</x:v>
      </x:c>
      <x:c r="C3246" t="str">
        <x:v>Parent indépendant 1.58</x:v>
      </x:c>
      <x:c r="D3246" t="str">
        <x:v>Éducation et connaissance</x:v>
      </x:c>
      <x:c r="E3246" t="str">
        <x:v>Centre de formation en horlogerie</x:v>
      </x:c>
      <x:c r="F3246" t="n">
        <x:v>9</x:v>
      </x:c>
      <x:c r="G3246" t="n">
        <x:v>8</x:v>
      </x:c>
      <x:c r="H3246" t="n">
        <x:v>8</x:v>
      </x:c>
      <x:c r="I3246" t="str">
        <x:v>À qualifier par lieu</x:v>
      </x:c>
      <x:c r="J3246" t="str">
        <x:v>https://github.com/darknigthmare/deadwall-last-enclosure/blob/1b3b9c5ba232734b1bda3453b4e20a0481bcdd74/codex-3000/addendum-1.58/PROGRAMMES_A.json</x:v>
      </x:c>
      <x:c r="K3246" t="str">
        <x:v>Source min 42,36 m ; max 42,36 m ; modèle 42 × 36 m ; niveaux 0, 1. Détails dans catalogue-existant.json.</x:v>
      </x:c>
    </x:row>
    <x:row r="3247">
      <x:c r="A3247" t="str">
        <x:v>DW-3242</x:v>
      </x:c>
      <x:c r="B3247" t="str">
        <x:v>DW-3242</x:v>
      </x:c>
      <x:c r="C3247" t="str">
        <x:v>Parent indépendant 1.58</x:v>
      </x:c>
      <x:c r="D3247" t="str">
        <x:v>Éducation et connaissance</x:v>
      </x:c>
      <x:c r="E3247" t="str">
        <x:v>École d'ajustage de prothèses</x:v>
      </x:c>
      <x:c r="F3247" t="n">
        <x:v>9</x:v>
      </x:c>
      <x:c r="G3247" t="n">
        <x:v>8</x:v>
      </x:c>
      <x:c r="H3247" t="n">
        <x:v>8</x:v>
      </x:c>
      <x:c r="I3247" t="str">
        <x:v>À qualifier par lieu</x:v>
      </x:c>
      <x:c r="J3247" t="str">
        <x:v>https://github.com/darknigthmare/deadwall-last-enclosure/blob/1b3b9c5ba232734b1bda3453b4e20a0481bcdd74/codex-3000/addendum-1.58/PROGRAMMES_A.json</x:v>
      </x:c>
      <x:c r="K3247" t="str">
        <x:v>Source min 42,36 m ; max 42,36 m ; modèle 42 × 36 m ; niveaux 0, 1. Détails dans catalogue-existant.json.</x:v>
      </x:c>
    </x:row>
    <x:row r="3248">
      <x:c r="A3248" t="str">
        <x:v>DW-3243</x:v>
      </x:c>
      <x:c r="B3248" t="str">
        <x:v>DW-3243</x:v>
      </x:c>
      <x:c r="C3248" t="str">
        <x:v>Parent indépendant 1.58</x:v>
      </x:c>
      <x:c r="D3248" t="str">
        <x:v>Éducation et connaissance</x:v>
      </x:c>
      <x:c r="E3248" t="str">
        <x:v>Centre d'apprentissage d'aides auditives</x:v>
      </x:c>
      <x:c r="F3248" t="n">
        <x:v>9</x:v>
      </x:c>
      <x:c r="G3248" t="n">
        <x:v>8</x:v>
      </x:c>
      <x:c r="H3248" t="n">
        <x:v>8</x:v>
      </x:c>
      <x:c r="I3248" t="str">
        <x:v>À qualifier par lieu</x:v>
      </x:c>
      <x:c r="J3248" t="str">
        <x:v>https://github.com/darknigthmare/deadwall-last-enclosure/blob/1b3b9c5ba232734b1bda3453b4e20a0481bcdd74/codex-3000/addendum-1.58/PROGRAMMES_A.json</x:v>
      </x:c>
      <x:c r="K3248" t="str">
        <x:v>Source min 42,36 m ; max 42,36 m ; modèle 42 × 36 m ; niveaux 0, 1. Détails dans catalogue-existant.json.</x:v>
      </x:c>
    </x:row>
    <x:row r="3249">
      <x:c r="A3249" t="str">
        <x:v>DW-3244</x:v>
      </x:c>
      <x:c r="B3249" t="str">
        <x:v>DW-3244</x:v>
      </x:c>
      <x:c r="C3249" t="str">
        <x:v>Parent indépendant 1.58</x:v>
      </x:c>
      <x:c r="D3249" t="str">
        <x:v>Éducation et connaissance</x:v>
      </x:c>
      <x:c r="E3249" t="str">
        <x:v>École de préparation des repas collectifs</x:v>
      </x:c>
      <x:c r="F3249" t="n">
        <x:v>9</x:v>
      </x:c>
      <x:c r="G3249" t="n">
        <x:v>8</x:v>
      </x:c>
      <x:c r="H3249" t="n">
        <x:v>8</x:v>
      </x:c>
      <x:c r="I3249" t="str">
        <x:v>À qualifier par lieu</x:v>
      </x:c>
      <x:c r="J3249" t="str">
        <x:v>https://github.com/darknigthmare/deadwall-last-enclosure/blob/1b3b9c5ba232734b1bda3453b4e20a0481bcdd74/codex-3000/addendum-1.58/PROGRAMMES_A.json</x:v>
      </x:c>
      <x:c r="K3249" t="str">
        <x:v>Source min 42,36 m ; max 42,36 m ; modèle 42 × 36 m ; niveaux 0, 1. Détails dans catalogue-existant.json.</x:v>
      </x:c>
    </x:row>
    <x:row r="3250">
      <x:c r="A3250" t="str">
        <x:v>DW-3245</x:v>
      </x:c>
      <x:c r="B3250" t="str">
        <x:v>DW-3245</x:v>
      </x:c>
      <x:c r="C3250" t="str">
        <x:v>Parent indépendant 1.58</x:v>
      </x:c>
      <x:c r="D3250" t="str">
        <x:v>Éducation et connaissance</x:v>
      </x:c>
      <x:c r="E3250" t="str">
        <x:v>Centre de formation à la conservation alimentaire</x:v>
      </x:c>
      <x:c r="F3250" t="n">
        <x:v>9</x:v>
      </x:c>
      <x:c r="G3250" t="n">
        <x:v>8</x:v>
      </x:c>
      <x:c r="H3250" t="n">
        <x:v>8</x:v>
      </x:c>
      <x:c r="I3250" t="str">
        <x:v>À qualifier par lieu</x:v>
      </x:c>
      <x:c r="J3250" t="str">
        <x:v>https://github.com/darknigthmare/deadwall-last-enclosure/blob/1b3b9c5ba232734b1bda3453b4e20a0481bcdd74/codex-3000/addendum-1.58/PROGRAMMES_A.json</x:v>
      </x:c>
      <x:c r="K3250" t="str">
        <x:v>Source min 42,36 m ; max 42,36 m ; modèle 42 × 36 m ; niveaux 0, 1. Détails dans catalogue-existant.json.</x:v>
      </x:c>
    </x:row>
    <x:row r="3251">
      <x:c r="A3251" t="str">
        <x:v>DW-3246</x:v>
      </x:c>
      <x:c r="B3251" t="str">
        <x:v>DW-3246</x:v>
      </x:c>
      <x:c r="C3251" t="str">
        <x:v>Parent indépendant 1.58</x:v>
      </x:c>
      <x:c r="D3251" t="str">
        <x:v>Éducation et connaissance</x:v>
      </x:c>
      <x:c r="E3251" t="str">
        <x:v>École de préparation du café</x:v>
      </x:c>
      <x:c r="F3251" t="n">
        <x:v>9</x:v>
      </x:c>
      <x:c r="G3251" t="n">
        <x:v>8</x:v>
      </x:c>
      <x:c r="H3251" t="n">
        <x:v>8</x:v>
      </x:c>
      <x:c r="I3251" t="str">
        <x:v>À qualifier par lieu</x:v>
      </x:c>
      <x:c r="J3251" t="str">
        <x:v>https://github.com/darknigthmare/deadwall-last-enclosure/blob/1b3b9c5ba232734b1bda3453b4e20a0481bcdd74/codex-3000/addendum-1.58/PROGRAMMES_A.json</x:v>
      </x:c>
      <x:c r="K3251" t="str">
        <x:v>Source min 42,36 m ; max 42,36 m ; modèle 42 × 36 m ; niveaux 0, 1. Détails dans catalogue-existant.json.</x:v>
      </x:c>
    </x:row>
    <x:row r="3252">
      <x:c r="A3252" t="str">
        <x:v>DW-3247</x:v>
      </x:c>
      <x:c r="B3252" t="str">
        <x:v>DW-3247</x:v>
      </x:c>
      <x:c r="C3252" t="str">
        <x:v>Parent indépendant 1.58</x:v>
      </x:c>
      <x:c r="D3252" t="str">
        <x:v>Éducation et connaissance</x:v>
      </x:c>
      <x:c r="E3252" t="str">
        <x:v>Centre d'apprentissage de logistique de colis</x:v>
      </x:c>
      <x:c r="F3252" t="n">
        <x:v>9</x:v>
      </x:c>
      <x:c r="G3252" t="n">
        <x:v>8</x:v>
      </x:c>
      <x:c r="H3252" t="n">
        <x:v>8</x:v>
      </x:c>
      <x:c r="I3252" t="str">
        <x:v>À qualifier par lieu</x:v>
      </x:c>
      <x:c r="J3252" t="str">
        <x:v>https://github.com/darknigthmare/deadwall-last-enclosure/blob/1b3b9c5ba232734b1bda3453b4e20a0481bcdd74/codex-3000/addendum-1.58/PROGRAMMES_A.json</x:v>
      </x:c>
      <x:c r="K3252" t="str">
        <x:v>Source min 42,36 m ; max 42,36 m ; modèle 42 × 36 m ; niveaux 0, 1. Détails dans catalogue-existant.json.</x:v>
      </x:c>
    </x:row>
    <x:row r="3253">
      <x:c r="A3253" t="str">
        <x:v>DW-3248</x:v>
      </x:c>
      <x:c r="B3253" t="str">
        <x:v>DW-3248</x:v>
      </x:c>
      <x:c r="C3253" t="str">
        <x:v>Parent indépendant 1.58</x:v>
      </x:c>
      <x:c r="D3253" t="str">
        <x:v>Éducation et connaissance</x:v>
      </x:c>
      <x:c r="E3253" t="str">
        <x:v>École de classement textile</x:v>
      </x:c>
      <x:c r="F3253" t="n">
        <x:v>9</x:v>
      </x:c>
      <x:c r="G3253" t="n">
        <x:v>8</x:v>
      </x:c>
      <x:c r="H3253" t="n">
        <x:v>8</x:v>
      </x:c>
      <x:c r="I3253" t="str">
        <x:v>À qualifier par lieu</x:v>
      </x:c>
      <x:c r="J3253" t="str">
        <x:v>https://github.com/darknigthmare/deadwall-last-enclosure/blob/1b3b9c5ba232734b1bda3453b4e20a0481bcdd74/codex-3000/addendum-1.58/PROGRAMMES_A.json</x:v>
      </x:c>
      <x:c r="K3253" t="str">
        <x:v>Source min 42,36 m ; max 42,36 m ; modèle 42 × 36 m ; niveaux 0, 1. Détails dans catalogue-existant.json.</x:v>
      </x:c>
    </x:row>
    <x:row r="3254">
      <x:c r="A3254" t="str">
        <x:v>DW-3249</x:v>
      </x:c>
      <x:c r="B3254" t="str">
        <x:v>DW-3249</x:v>
      </x:c>
      <x:c r="C3254" t="str">
        <x:v>Parent indépendant 1.58</x:v>
      </x:c>
      <x:c r="D3254" t="str">
        <x:v>Éducation et connaissance</x:v>
      </x:c>
      <x:c r="E3254" t="str">
        <x:v>Centre de formation à la maintenance de jardins</x:v>
      </x:c>
      <x:c r="F3254" t="n">
        <x:v>9</x:v>
      </x:c>
      <x:c r="G3254" t="n">
        <x:v>8</x:v>
      </x:c>
      <x:c r="H3254" t="n">
        <x:v>8</x:v>
      </x:c>
      <x:c r="I3254" t="str">
        <x:v>À qualifier par lieu</x:v>
      </x:c>
      <x:c r="J3254" t="str">
        <x:v>https://github.com/darknigthmare/deadwall-last-enclosure/blob/1b3b9c5ba232734b1bda3453b4e20a0481bcdd74/codex-3000/addendum-1.58/PROGRAMMES_A.json</x:v>
      </x:c>
      <x:c r="K3254" t="str">
        <x:v>Source min 42,36 m ; max 42,36 m ; modèle 42 × 36 m ; niveaux 0, 1. Détails dans catalogue-existant.json.</x:v>
      </x:c>
    </x:row>
    <x:row r="3255">
      <x:c r="A3255" t="str">
        <x:v>DW-3250</x:v>
      </x:c>
      <x:c r="B3255" t="str">
        <x:v>DW-3250</x:v>
      </x:c>
      <x:c r="C3255" t="str">
        <x:v>Parent indépendant 1.58</x:v>
      </x:c>
      <x:c r="D3255" t="str">
        <x:v>Éducation et connaissance</x:v>
      </x:c>
      <x:c r="E3255" t="str">
        <x:v>École de fabrication de caisses en bois</x:v>
      </x:c>
      <x:c r="F3255" t="n">
        <x:v>9</x:v>
      </x:c>
      <x:c r="G3255" t="n">
        <x:v>8</x:v>
      </x:c>
      <x:c r="H3255" t="n">
        <x:v>8</x:v>
      </x:c>
      <x:c r="I3255" t="str">
        <x:v>À qualifier par lieu</x:v>
      </x:c>
      <x:c r="J3255" t="str">
        <x:v>https://github.com/darknigthmare/deadwall-last-enclosure/blob/1b3b9c5ba232734b1bda3453b4e20a0481bcdd74/codex-3000/addendum-1.58/PROGRAMMES_A.json</x:v>
      </x:c>
      <x:c r="K3255" t="str">
        <x:v>Source min 42,36 m ; max 42,36 m ; modèle 42 × 36 m ; niveaux 0, 1. Détails dans catalogue-existant.json.</x:v>
      </x:c>
    </x:row>
    <x:row r="3256">
      <x:c r="A3256" t="str">
        <x:v>DW-3251</x:v>
      </x:c>
      <x:c r="B3256" t="str">
        <x:v>DW-3251</x:v>
      </x:c>
      <x:c r="C3256" t="str">
        <x:v>Parent indépendant 1.58</x:v>
      </x:c>
      <x:c r="D3256" t="str">
        <x:v>Services et petits ateliers</x:v>
      </x:c>
      <x:c r="E3256" t="str">
        <x:v>Atelier de réparation de casques audio</x:v>
      </x:c>
      <x:c r="F3256" t="n">
        <x:v>9</x:v>
      </x:c>
      <x:c r="G3256" t="n">
        <x:v>6</x:v>
      </x:c>
      <x:c r="H3256" t="n">
        <x:v>6</x:v>
      </x:c>
      <x:c r="I3256" t="str">
        <x:v>À qualifier par lieu</x:v>
      </x:c>
      <x:c r="J3256" t="str">
        <x:v>https://github.com/darknigthmare/deadwall-last-enclosure/blob/1b3b9c5ba232734b1bda3453b4e20a0481bcdd74/codex-3000/addendum-1.58/PROGRAMMES_B.json</x:v>
      </x:c>
      <x:c r="K3256" t="str">
        <x:v>Source min 30,28 m ; max 30,28 m ; modèle 30 × 28 m ; niveaux 0, 1. Détails dans catalogue-existant.json.</x:v>
      </x:c>
    </x:row>
    <x:row r="3257">
      <x:c r="A3257" t="str">
        <x:v>DW-3252</x:v>
      </x:c>
      <x:c r="B3257" t="str">
        <x:v>DW-3252</x:v>
      </x:c>
      <x:c r="C3257" t="str">
        <x:v>Parent indépendant 1.58</x:v>
      </x:c>
      <x:c r="D3257" t="str">
        <x:v>Services et petits ateliers</x:v>
      </x:c>
      <x:c r="E3257" t="str">
        <x:v>Accorderie de pianos</x:v>
      </x:c>
      <x:c r="F3257" t="n">
        <x:v>9</x:v>
      </x:c>
      <x:c r="G3257" t="n">
        <x:v>6</x:v>
      </x:c>
      <x:c r="H3257" t="n">
        <x:v>6</x:v>
      </x:c>
      <x:c r="I3257" t="str">
        <x:v>À qualifier par lieu</x:v>
      </x:c>
      <x:c r="J3257" t="str">
        <x:v>https://github.com/darknigthmare/deadwall-last-enclosure/blob/1b3b9c5ba232734b1bda3453b4e20a0481bcdd74/codex-3000/addendum-1.58/PROGRAMMES_B.json</x:v>
      </x:c>
      <x:c r="K3257" t="str">
        <x:v>Source min 34,39 m ; max 34,39 m ; modèle 34 × 39 m ; niveaux 0. Détails dans catalogue-existant.json.</x:v>
      </x:c>
    </x:row>
    <x:row r="3258">
      <x:c r="A3258" t="str">
        <x:v>DW-3253</x:v>
      </x:c>
      <x:c r="B3258" t="str">
        <x:v>DW-3253</x:v>
      </x:c>
      <x:c r="C3258" t="str">
        <x:v>Parent indépendant 1.58</x:v>
      </x:c>
      <x:c r="D3258" t="str">
        <x:v>Services et petits ateliers</x:v>
      </x:c>
      <x:c r="E3258" t="str">
        <x:v>Atelier d'entretien des cuivres musicaux</x:v>
      </x:c>
      <x:c r="F3258" t="n">
        <x:v>9</x:v>
      </x:c>
      <x:c r="G3258" t="n">
        <x:v>6</x:v>
      </x:c>
      <x:c r="H3258" t="n">
        <x:v>6</x:v>
      </x:c>
      <x:c r="I3258" t="str">
        <x:v>À qualifier par lieu</x:v>
      </x:c>
      <x:c r="J3258" t="str">
        <x:v>https://github.com/darknigthmare/deadwall-last-enclosure/blob/1b3b9c5ba232734b1bda3453b4e20a0481bcdd74/codex-3000/addendum-1.58/PROGRAMMES_B.json</x:v>
      </x:c>
      <x:c r="K3258" t="str">
        <x:v>Source min 38,42 m ; max 38,42 m ; modèle 38 × 42 m ; niveaux 0. Détails dans catalogue-existant.json.</x:v>
      </x:c>
    </x:row>
    <x:row r="3259">
      <x:c r="A3259" t="str">
        <x:v>DW-3254</x:v>
      </x:c>
      <x:c r="B3259" t="str">
        <x:v>DW-3254</x:v>
      </x:c>
      <x:c r="C3259" t="str">
        <x:v>Parent indépendant 1.58</x:v>
      </x:c>
      <x:c r="D3259" t="str">
        <x:v>Services et petits ateliers</x:v>
      </x:c>
      <x:c r="E3259" t="str">
        <x:v>Atelier de réglage des accordéons</x:v>
      </x:c>
      <x:c r="F3259" t="n">
        <x:v>9</x:v>
      </x:c>
      <x:c r="G3259" t="n">
        <x:v>6</x:v>
      </x:c>
      <x:c r="H3259" t="n">
        <x:v>6</x:v>
      </x:c>
      <x:c r="I3259" t="str">
        <x:v>À qualifier par lieu</x:v>
      </x:c>
      <x:c r="J3259" t="str">
        <x:v>https://github.com/darknigthmare/deadwall-last-enclosure/blob/1b3b9c5ba232734b1bda3453b4e20a0481bcdd74/codex-3000/addendum-1.58/PROGRAMMES_B.json</x:v>
      </x:c>
      <x:c r="K3259" t="str">
        <x:v>Source min 42,28 m ; max 42,28 m ; modèle 42 × 28 m ; niveaux 0, 1. Détails dans catalogue-existant.json.</x:v>
      </x:c>
    </x:row>
    <x:row r="3260">
      <x:c r="A3260" t="str">
        <x:v>DW-3255</x:v>
      </x:c>
      <x:c r="B3260" t="str">
        <x:v>DW-3255</x:v>
      </x:c>
      <x:c r="C3260" t="str">
        <x:v>Parent indépendant 1.58</x:v>
      </x:c>
      <x:c r="D3260" t="str">
        <x:v>Services et petits ateliers</x:v>
      </x:c>
      <x:c r="E3260" t="str">
        <x:v>Atelier de remise en crin des archets</x:v>
      </x:c>
      <x:c r="F3260" t="n">
        <x:v>9</x:v>
      </x:c>
      <x:c r="G3260" t="n">
        <x:v>6</x:v>
      </x:c>
      <x:c r="H3260" t="n">
        <x:v>6</x:v>
      </x:c>
      <x:c r="I3260" t="str">
        <x:v>À qualifier par lieu</x:v>
      </x:c>
      <x:c r="J3260" t="str">
        <x:v>https://github.com/darknigthmare/deadwall-last-enclosure/blob/1b3b9c5ba232734b1bda3453b4e20a0481bcdd74/codex-3000/addendum-1.58/PROGRAMMES_B.json</x:v>
      </x:c>
      <x:c r="K3260" t="str">
        <x:v>Source min 30,36 m ; max 30,36 m ; modèle 30 × 36 m ; niveaux 0. Détails dans catalogue-existant.json.</x:v>
      </x:c>
    </x:row>
    <x:row r="3261">
      <x:c r="A3261" t="str">
        <x:v>DW-3256</x:v>
      </x:c>
      <x:c r="B3261" t="str">
        <x:v>DW-3256</x:v>
      </x:c>
      <x:c r="C3261" t="str">
        <x:v>Parent indépendant 1.58</x:v>
      </x:c>
      <x:c r="D3261" t="str">
        <x:v>Services et petits ateliers</x:v>
      </x:c>
      <x:c r="E3261" t="str">
        <x:v>Atelier d'entretien des orgues de salon</x:v>
      </x:c>
      <x:c r="F3261" t="n">
        <x:v>9</x:v>
      </x:c>
      <x:c r="G3261" t="n">
        <x:v>6</x:v>
      </x:c>
      <x:c r="H3261" t="n">
        <x:v>6</x:v>
      </x:c>
      <x:c r="I3261" t="str">
        <x:v>À qualifier par lieu</x:v>
      </x:c>
      <x:c r="J3261" t="str">
        <x:v>https://github.com/darknigthmare/deadwall-last-enclosure/blob/1b3b9c5ba232734b1bda3453b4e20a0481bcdd74/codex-3000/addendum-1.58/PROGRAMMES_B.json</x:v>
      </x:c>
      <x:c r="K3261" t="str">
        <x:v>Source min 34,39 m ; max 34,39 m ; modèle 34 × 39 m ; niveaux 0. Détails dans catalogue-existant.json.</x:v>
      </x:c>
    </x:row>
    <x:row r="3262">
      <x:c r="A3262" t="str">
        <x:v>DW-3257</x:v>
      </x:c>
      <x:c r="B3262" t="str">
        <x:v>DW-3257</x:v>
      </x:c>
      <x:c r="C3262" t="str">
        <x:v>Parent indépendant 1.58</x:v>
      </x:c>
      <x:c r="D3262" t="str">
        <x:v>Services et petits ateliers</x:v>
      </x:c>
      <x:c r="E3262" t="str">
        <x:v>Service de restauration de magnétophones</x:v>
      </x:c>
      <x:c r="F3262" t="n">
        <x:v>9</x:v>
      </x:c>
      <x:c r="G3262" t="n">
        <x:v>6</x:v>
      </x:c>
      <x:c r="H3262" t="n">
        <x:v>6</x:v>
      </x:c>
      <x:c r="I3262" t="str">
        <x:v>À qualifier par lieu</x:v>
      </x:c>
      <x:c r="J3262" t="str">
        <x:v>https://github.com/darknigthmare/deadwall-last-enclosure/blob/1b3b9c5ba232734b1bda3453b4e20a0481bcdd74/codex-3000/addendum-1.58/PROGRAMMES_B.json</x:v>
      </x:c>
      <x:c r="K3262" t="str">
        <x:v>Source min 38,28 m ; max 38,28 m ; modèle 38 × 28 m ; niveaux 0, 1. Détails dans catalogue-existant.json.</x:v>
      </x:c>
    </x:row>
    <x:row r="3263">
      <x:c r="A3263" t="str">
        <x:v>DW-3258</x:v>
      </x:c>
      <x:c r="B3263" t="str">
        <x:v>DW-3258</x:v>
      </x:c>
      <x:c r="C3263" t="str">
        <x:v>Parent indépendant 1.58</x:v>
      </x:c>
      <x:c r="D3263" t="str">
        <x:v>Services et petits ateliers</x:v>
      </x:c>
      <x:c r="E3263" t="str">
        <x:v>Laboratoire de tirages photographiques familiaux</x:v>
      </x:c>
      <x:c r="F3263" t="n">
        <x:v>9</x:v>
      </x:c>
      <x:c r="G3263" t="n">
        <x:v>6</x:v>
      </x:c>
      <x:c r="H3263" t="n">
        <x:v>6</x:v>
      </x:c>
      <x:c r="I3263" t="str">
        <x:v>À qualifier par lieu</x:v>
      </x:c>
      <x:c r="J3263" t="str">
        <x:v>https://github.com/darknigthmare/deadwall-last-enclosure/blob/1b3b9c5ba232734b1bda3453b4e20a0481bcdd74/codex-3000/addendum-1.58/PROGRAMMES_B.json</x:v>
      </x:c>
      <x:c r="K3263" t="str">
        <x:v>Source min 42,45 m ; max 42,45 m ; modèle 42 × 45 m ; niveaux 0. Détails dans catalogue-existant.json.</x:v>
      </x:c>
    </x:row>
    <x:row r="3264">
      <x:c r="A3264" t="str">
        <x:v>DW-3259</x:v>
      </x:c>
      <x:c r="B3264" t="str">
        <x:v>DW-3259</x:v>
      </x:c>
      <x:c r="C3264" t="str">
        <x:v>Parent indépendant 1.58</x:v>
      </x:c>
      <x:c r="D3264" t="str">
        <x:v>Services et petits ateliers</x:v>
      </x:c>
      <x:c r="E3264" t="str">
        <x:v>Atelier de restauration de films familiaux</x:v>
      </x:c>
      <x:c r="F3264" t="n">
        <x:v>9</x:v>
      </x:c>
      <x:c r="G3264" t="n">
        <x:v>6</x:v>
      </x:c>
      <x:c r="H3264" t="n">
        <x:v>6</x:v>
      </x:c>
      <x:c r="I3264" t="str">
        <x:v>À qualifier par lieu</x:v>
      </x:c>
      <x:c r="J3264" t="str">
        <x:v>https://github.com/darknigthmare/deadwall-last-enclosure/blob/1b3b9c5ba232734b1bda3453b4e20a0481bcdd74/codex-3000/addendum-1.58/PROGRAMMES_B.json</x:v>
      </x:c>
      <x:c r="K3264" t="str">
        <x:v>Source min 30,36 m ; max 30,36 m ; modèle 30 × 36 m ; niveaux 0. Détails dans catalogue-existant.json.</x:v>
      </x:c>
    </x:row>
    <x:row r="3265">
      <x:c r="A3265" t="str">
        <x:v>DW-3260</x:v>
      </x:c>
      <x:c r="B3265" t="str">
        <x:v>DW-3260</x:v>
      </x:c>
      <x:c r="C3265" t="str">
        <x:v>Parent indépendant 1.58</x:v>
      </x:c>
      <x:c r="D3265" t="str">
        <x:v>Services et petits ateliers</x:v>
      </x:c>
      <x:c r="E3265" t="str">
        <x:v>Service de transfert de cassettes vidéo</x:v>
      </x:c>
      <x:c r="F3265" t="n">
        <x:v>9</x:v>
      </x:c>
      <x:c r="G3265" t="n">
        <x:v>6</x:v>
      </x:c>
      <x:c r="H3265" t="n">
        <x:v>6</x:v>
      </x:c>
      <x:c r="I3265" t="str">
        <x:v>À qualifier par lieu</x:v>
      </x:c>
      <x:c r="J3265" t="str">
        <x:v>https://github.com/darknigthmare/deadwall-last-enclosure/blob/1b3b9c5ba232734b1bda3453b4e20a0481bcdd74/codex-3000/addendum-1.58/PROGRAMMES_B.json</x:v>
      </x:c>
      <x:c r="K3265" t="str">
        <x:v>Source min 34,28 m ; max 34,28 m ; modèle 34 × 28 m ; niveaux 0, 1. Détails dans catalogue-existant.json.</x:v>
      </x:c>
    </x:row>
    <x:row r="3266">
      <x:c r="A3266" t="str">
        <x:v>DW-3261</x:v>
      </x:c>
      <x:c r="B3266" t="str">
        <x:v>DW-3261</x:v>
      </x:c>
      <x:c r="C3266" t="str">
        <x:v>Parent indépendant 1.58</x:v>
      </x:c>
      <x:c r="D3266" t="str">
        <x:v>Services et petits ateliers</x:v>
      </x:c>
      <x:c r="E3266" t="str">
        <x:v>Atelier de reliure de documents privés</x:v>
      </x:c>
      <x:c r="F3266" t="n">
        <x:v>9</x:v>
      </x:c>
      <x:c r="G3266" t="n">
        <x:v>6</x:v>
      </x:c>
      <x:c r="H3266" t="n">
        <x:v>6</x:v>
      </x:c>
      <x:c r="I3266" t="str">
        <x:v>À qualifier par lieu</x:v>
      </x:c>
      <x:c r="J3266" t="str">
        <x:v>https://github.com/darknigthmare/deadwall-last-enclosure/blob/1b3b9c5ba232734b1bda3453b4e20a0481bcdd74/codex-3000/addendum-1.58/PROGRAMMES_B.json</x:v>
      </x:c>
      <x:c r="K3266" t="str">
        <x:v>Source min 38,42 m ; max 38,42 m ; modèle 38 × 42 m ; niveaux 0. Détails dans catalogue-existant.json.</x:v>
      </x:c>
    </x:row>
    <x:row r="3267">
      <x:c r="A3267" t="str">
        <x:v>DW-3262</x:v>
      </x:c>
      <x:c r="B3267" t="str">
        <x:v>DW-3262</x:v>
      </x:c>
      <x:c r="C3267" t="str">
        <x:v>Parent indépendant 1.58</x:v>
      </x:c>
      <x:c r="D3267" t="str">
        <x:v>Services et petits ateliers</x:v>
      </x:c>
      <x:c r="E3267" t="str">
        <x:v>Atelier de cachets professionnels</x:v>
      </x:c>
      <x:c r="F3267" t="n">
        <x:v>9</x:v>
      </x:c>
      <x:c r="G3267" t="n">
        <x:v>6</x:v>
      </x:c>
      <x:c r="H3267" t="n">
        <x:v>6</x:v>
      </x:c>
      <x:c r="I3267" t="str">
        <x:v>À qualifier par lieu</x:v>
      </x:c>
      <x:c r="J3267" t="str">
        <x:v>https://github.com/darknigthmare/deadwall-last-enclosure/blob/1b3b9c5ba232734b1bda3453b4e20a0481bcdd74/codex-3000/addendum-1.58/PROGRAMMES_B.json</x:v>
      </x:c>
      <x:c r="K3267" t="str">
        <x:v>Source min 42,45 m ; max 42,45 m ; modèle 42 × 45 m ; niveaux 0. Détails dans catalogue-existant.json.</x:v>
      </x:c>
    </x:row>
    <x:row r="3268">
      <x:c r="A3268" t="str">
        <x:v>DW-3263</x:v>
      </x:c>
      <x:c r="B3268" t="str">
        <x:v>DW-3263</x:v>
      </x:c>
      <x:c r="C3268" t="str">
        <x:v>Parent indépendant 1.58</x:v>
      </x:c>
      <x:c r="D3268" t="str">
        <x:v>Services et petits ateliers</x:v>
      </x:c>
      <x:c r="E3268" t="str">
        <x:v>Service de nettoyage des enseignes</x:v>
      </x:c>
      <x:c r="F3268" t="n">
        <x:v>9</x:v>
      </x:c>
      <x:c r="G3268" t="n">
        <x:v>6</x:v>
      </x:c>
      <x:c r="H3268" t="n">
        <x:v>6</x:v>
      </x:c>
      <x:c r="I3268" t="str">
        <x:v>À qualifier par lieu</x:v>
      </x:c>
      <x:c r="J3268" t="str">
        <x:v>https://github.com/darknigthmare/deadwall-last-enclosure/blob/1b3b9c5ba232734b1bda3453b4e20a0481bcdd74/codex-3000/addendum-1.58/PROGRAMMES_B.json</x:v>
      </x:c>
      <x:c r="K3268" t="str">
        <x:v>Source min 30,28 m ; max 30,28 m ; modèle 30 × 28 m ; niveaux 0, 1. Détails dans catalogue-existant.json.</x:v>
      </x:c>
    </x:row>
    <x:row r="3269">
      <x:c r="A3269" t="str">
        <x:v>DW-3264</x:v>
      </x:c>
      <x:c r="B3269" t="str">
        <x:v>DW-3264</x:v>
      </x:c>
      <x:c r="C3269" t="str">
        <x:v>Parent indépendant 1.58</x:v>
      </x:c>
      <x:c r="D3269" t="str">
        <x:v>Services et petits ateliers</x:v>
      </x:c>
      <x:c r="E3269" t="str">
        <x:v>Atelier de duplication de badges d'accès</x:v>
      </x:c>
      <x:c r="F3269" t="n">
        <x:v>9</x:v>
      </x:c>
      <x:c r="G3269" t="n">
        <x:v>6</x:v>
      </x:c>
      <x:c r="H3269" t="n">
        <x:v>6</x:v>
      </x:c>
      <x:c r="I3269" t="str">
        <x:v>À qualifier par lieu</x:v>
      </x:c>
      <x:c r="J3269" t="str">
        <x:v>https://github.com/darknigthmare/deadwall-last-enclosure/blob/1b3b9c5ba232734b1bda3453b4e20a0481bcdd74/codex-3000/addendum-1.58/PROGRAMMES_B.json</x:v>
      </x:c>
      <x:c r="K3269" t="str">
        <x:v>Source min 34,39 m ; max 34,39 m ; modèle 34 × 39 m ; niveaux 0. Détails dans catalogue-existant.json.</x:v>
      </x:c>
    </x:row>
    <x:row r="3270">
      <x:c r="A3270" t="str">
        <x:v>DW-3265</x:v>
      </x:c>
      <x:c r="B3270" t="str">
        <x:v>DW-3265</x:v>
      </x:c>
      <x:c r="C3270" t="str">
        <x:v>Parent indépendant 1.58</x:v>
      </x:c>
      <x:c r="D3270" t="str">
        <x:v>Services et petits ateliers</x:v>
      </x:c>
      <x:c r="E3270" t="str">
        <x:v>Bureau de déménagement adapté</x:v>
      </x:c>
      <x:c r="F3270" t="n">
        <x:v>9</x:v>
      </x:c>
      <x:c r="G3270" t="n">
        <x:v>6</x:v>
      </x:c>
      <x:c r="H3270" t="n">
        <x:v>6</x:v>
      </x:c>
      <x:c r="I3270" t="str">
        <x:v>À qualifier par lieu</x:v>
      </x:c>
      <x:c r="J3270" t="str">
        <x:v>https://github.com/darknigthmare/deadwall-last-enclosure/blob/1b3b9c5ba232734b1bda3453b4e20a0481bcdd74/codex-3000/addendum-1.58/PROGRAMMES_B.json</x:v>
      </x:c>
      <x:c r="K3270" t="str">
        <x:v>Source min 38,42 m ; max 38,42 m ; modèle 38 × 42 m ; niveaux 0. Détails dans catalogue-existant.json.</x:v>
      </x:c>
    </x:row>
    <x:row r="3271">
      <x:c r="A3271" t="str">
        <x:v>DW-3266</x:v>
      </x:c>
      <x:c r="B3271" t="str">
        <x:v>DW-3266</x:v>
      </x:c>
      <x:c r="C3271" t="str">
        <x:v>Parent indépendant 1.58</x:v>
      </x:c>
      <x:c r="D3271" t="str">
        <x:v>Services et petits ateliers</x:v>
      </x:c>
      <x:c r="E3271" t="str">
        <x:v>Conciergerie de clefs locatives</x:v>
      </x:c>
      <x:c r="F3271" t="n">
        <x:v>9</x:v>
      </x:c>
      <x:c r="G3271" t="n">
        <x:v>6</x:v>
      </x:c>
      <x:c r="H3271" t="n">
        <x:v>6</x:v>
      </x:c>
      <x:c r="I3271" t="str">
        <x:v>À qualifier par lieu</x:v>
      </x:c>
      <x:c r="J3271" t="str">
        <x:v>https://github.com/darknigthmare/deadwall-last-enclosure/blob/1b3b9c5ba232734b1bda3453b4e20a0481bcdd74/codex-3000/addendum-1.58/PROGRAMMES_B.json</x:v>
      </x:c>
      <x:c r="K3271" t="str">
        <x:v>Source min 42,28 m ; max 42,28 m ; modèle 42 × 28 m ; niveaux 0, 1. Détails dans catalogue-existant.json.</x:v>
      </x:c>
    </x:row>
    <x:row r="3272">
      <x:c r="A3272" t="str">
        <x:v>DW-3267</x:v>
      </x:c>
      <x:c r="B3272" t="str">
        <x:v>DW-3267</x:v>
      </x:c>
      <x:c r="C3272" t="str">
        <x:v>Parent indépendant 1.58</x:v>
      </x:c>
      <x:c r="D3272" t="str">
        <x:v>Services et petits ateliers</x:v>
      </x:c>
      <x:c r="E3272" t="str">
        <x:v>Centre de prêt d'outillage domestique</x:v>
      </x:c>
      <x:c r="F3272" t="n">
        <x:v>9</x:v>
      </x:c>
      <x:c r="G3272" t="n">
        <x:v>6</x:v>
      </x:c>
      <x:c r="H3272" t="n">
        <x:v>6</x:v>
      </x:c>
      <x:c r="I3272" t="str">
        <x:v>À qualifier par lieu</x:v>
      </x:c>
      <x:c r="J3272" t="str">
        <x:v>https://github.com/darknigthmare/deadwall-last-enclosure/blob/1b3b9c5ba232734b1bda3453b4e20a0481bcdd74/codex-3000/addendum-1.58/PROGRAMMES_B.json</x:v>
      </x:c>
      <x:c r="K3272" t="str">
        <x:v>Source min 30,36 m ; max 30,36 m ; modèle 30 × 36 m ; niveaux 0. Détails dans catalogue-existant.json.</x:v>
      </x:c>
    </x:row>
    <x:row r="3273">
      <x:c r="A3273" t="str">
        <x:v>DW-3268</x:v>
      </x:c>
      <x:c r="B3273" t="str">
        <x:v>DW-3268</x:v>
      </x:c>
      <x:c r="C3273" t="str">
        <x:v>Parent indépendant 1.58</x:v>
      </x:c>
      <x:c r="D3273" t="str">
        <x:v>Services et petits ateliers</x:v>
      </x:c>
      <x:c r="E3273" t="str">
        <x:v>Service de contrôle de sièges enfants</x:v>
      </x:c>
      <x:c r="F3273" t="n">
        <x:v>9</x:v>
      </x:c>
      <x:c r="G3273" t="n">
        <x:v>6</x:v>
      </x:c>
      <x:c r="H3273" t="n">
        <x:v>6</x:v>
      </x:c>
      <x:c r="I3273" t="str">
        <x:v>À qualifier par lieu</x:v>
      </x:c>
      <x:c r="J3273" t="str">
        <x:v>https://github.com/darknigthmare/deadwall-last-enclosure/blob/1b3b9c5ba232734b1bda3453b4e20a0481bcdd74/codex-3000/addendum-1.58/PROGRAMMES_B.json</x:v>
      </x:c>
      <x:c r="K3273" t="str">
        <x:v>Source min 34,39 m ; max 34,39 m ; modèle 34 × 39 m ; niveaux 0. Détails dans catalogue-existant.json.</x:v>
      </x:c>
    </x:row>
    <x:row r="3274">
      <x:c r="A3274" t="str">
        <x:v>DW-3269</x:v>
      </x:c>
      <x:c r="B3274" t="str">
        <x:v>DW-3269</x:v>
      </x:c>
      <x:c r="C3274" t="str">
        <x:v>Parent indépendant 1.58</x:v>
      </x:c>
      <x:c r="D3274" t="str">
        <x:v>Services et petits ateliers</x:v>
      </x:c>
      <x:c r="E3274" t="str">
        <x:v>Atelier de réglage de poussettes</x:v>
      </x:c>
      <x:c r="F3274" t="n">
        <x:v>9</x:v>
      </x:c>
      <x:c r="G3274" t="n">
        <x:v>6</x:v>
      </x:c>
      <x:c r="H3274" t="n">
        <x:v>6</x:v>
      </x:c>
      <x:c r="I3274" t="str">
        <x:v>À qualifier par lieu</x:v>
      </x:c>
      <x:c r="J3274" t="str">
        <x:v>https://github.com/darknigthmare/deadwall-last-enclosure/blob/1b3b9c5ba232734b1bda3453b4e20a0481bcdd74/codex-3000/addendum-1.58/PROGRAMMES_B.json</x:v>
      </x:c>
      <x:c r="K3274" t="str">
        <x:v>Source min 38,28 m ; max 38,28 m ; modèle 38 × 28 m ; niveaux 0, 1. Détails dans catalogue-existant.json.</x:v>
      </x:c>
    </x:row>
    <x:row r="3275">
      <x:c r="A3275" t="str">
        <x:v>DW-3270</x:v>
      </x:c>
      <x:c r="B3275" t="str">
        <x:v>DW-3270</x:v>
      </x:c>
      <x:c r="C3275" t="str">
        <x:v>Parent indépendant 1.58</x:v>
      </x:c>
      <x:c r="D3275" t="str">
        <x:v>Services et petits ateliers</x:v>
      </x:c>
      <x:c r="E3275" t="str">
        <x:v>Maison de location de matériel de réception</x:v>
      </x:c>
      <x:c r="F3275" t="n">
        <x:v>9</x:v>
      </x:c>
      <x:c r="G3275" t="n">
        <x:v>6</x:v>
      </x:c>
      <x:c r="H3275" t="n">
        <x:v>6</x:v>
      </x:c>
      <x:c r="I3275" t="str">
        <x:v>À qualifier par lieu</x:v>
      </x:c>
      <x:c r="J3275" t="str">
        <x:v>https://github.com/darknigthmare/deadwall-last-enclosure/blob/1b3b9c5ba232734b1bda3453b4e20a0481bcdd74/codex-3000/addendum-1.58/PROGRAMMES_B.json</x:v>
      </x:c>
      <x:c r="K3275" t="str">
        <x:v>Source min 42,45 m ; max 42,45 m ; modèle 42 × 45 m ; niveaux 0. Détails dans catalogue-existant.json.</x:v>
      </x:c>
    </x:row>
    <x:row r="3276">
      <x:c r="A3276" t="str">
        <x:v>DW-3271</x:v>
      </x:c>
      <x:c r="B3276" t="str">
        <x:v>DW-3271</x:v>
      </x:c>
      <x:c r="C3276" t="str">
        <x:v>Parent indépendant 1.58</x:v>
      </x:c>
      <x:c r="D3276" t="str">
        <x:v>Services et petits ateliers</x:v>
      </x:c>
      <x:c r="E3276" t="str">
        <x:v>Atelier de réparation de jeux de société</x:v>
      </x:c>
      <x:c r="F3276" t="n">
        <x:v>9</x:v>
      </x:c>
      <x:c r="G3276" t="n">
        <x:v>6</x:v>
      </x:c>
      <x:c r="H3276" t="n">
        <x:v>6</x:v>
      </x:c>
      <x:c r="I3276" t="str">
        <x:v>À qualifier par lieu</x:v>
      </x:c>
      <x:c r="J3276" t="str">
        <x:v>https://github.com/darknigthmare/deadwall-last-enclosure/blob/1b3b9c5ba232734b1bda3453b4e20a0481bcdd74/codex-3000/addendum-1.58/PROGRAMMES_B.json</x:v>
      </x:c>
      <x:c r="K3276" t="str">
        <x:v>Source min 30,36 m ; max 30,36 m ; modèle 30 × 36 m ; niveaux 0. Détails dans catalogue-existant.json.</x:v>
      </x:c>
    </x:row>
    <x:row r="3277">
      <x:c r="A3277" t="str">
        <x:v>DW-3272</x:v>
      </x:c>
      <x:c r="B3277" t="str">
        <x:v>DW-3272</x:v>
      </x:c>
      <x:c r="C3277" t="str">
        <x:v>Parent indépendant 1.58</x:v>
      </x:c>
      <x:c r="D3277" t="str">
        <x:v>Services et petits ateliers</x:v>
      </x:c>
      <x:c r="E3277" t="str">
        <x:v>Atelier de réparation de parapluies</x:v>
      </x:c>
      <x:c r="F3277" t="n">
        <x:v>9</x:v>
      </x:c>
      <x:c r="G3277" t="n">
        <x:v>6</x:v>
      </x:c>
      <x:c r="H3277" t="n">
        <x:v>6</x:v>
      </x:c>
      <x:c r="I3277" t="str">
        <x:v>À qualifier par lieu</x:v>
      </x:c>
      <x:c r="J3277" t="str">
        <x:v>https://github.com/darknigthmare/deadwall-last-enclosure/blob/1b3b9c5ba232734b1bda3453b4e20a0481bcdd74/codex-3000/addendum-1.58/PROGRAMMES_B.json</x:v>
      </x:c>
      <x:c r="K3277" t="str">
        <x:v>Source min 34,28 m ; max 34,28 m ; modèle 34 × 28 m ; niveaux 0, 1. Détails dans catalogue-existant.json.</x:v>
      </x:c>
    </x:row>
    <x:row r="3278">
      <x:c r="A3278" t="str">
        <x:v>DW-3273</x:v>
      </x:c>
      <x:c r="B3278" t="str">
        <x:v>DW-3273</x:v>
      </x:c>
      <x:c r="C3278" t="str">
        <x:v>Parent indépendant 1.58</x:v>
      </x:c>
      <x:c r="D3278" t="str">
        <x:v>Services et petits ateliers</x:v>
      </x:c>
      <x:c r="E3278" t="str">
        <x:v>Atelier d'entretien de bagages</x:v>
      </x:c>
      <x:c r="F3278" t="n">
        <x:v>9</x:v>
      </x:c>
      <x:c r="G3278" t="n">
        <x:v>6</x:v>
      </x:c>
      <x:c r="H3278" t="n">
        <x:v>6</x:v>
      </x:c>
      <x:c r="I3278" t="str">
        <x:v>À qualifier par lieu</x:v>
      </x:c>
      <x:c r="J3278" t="str">
        <x:v>https://github.com/darknigthmare/deadwall-last-enclosure/blob/1b3b9c5ba232734b1bda3453b4e20a0481bcdd74/codex-3000/addendum-1.58/PROGRAMMES_B.json</x:v>
      </x:c>
      <x:c r="K3278" t="str">
        <x:v>Source min 38,42 m ; max 38,42 m ; modèle 38 × 42 m ; niveaux 0. Détails dans catalogue-existant.json.</x:v>
      </x:c>
    </x:row>
    <x:row r="3279">
      <x:c r="A3279" t="str">
        <x:v>DW-3274</x:v>
      </x:c>
      <x:c r="B3279" t="str">
        <x:v>DW-3274</x:v>
      </x:c>
      <x:c r="C3279" t="str">
        <x:v>Parent indépendant 1.58</x:v>
      </x:c>
      <x:c r="D3279" t="str">
        <x:v>Services et petits ateliers</x:v>
      </x:c>
      <x:c r="E3279" t="str">
        <x:v>Atelier de retension de fauteuils</x:v>
      </x:c>
      <x:c r="F3279" t="n">
        <x:v>9</x:v>
      </x:c>
      <x:c r="G3279" t="n">
        <x:v>6</x:v>
      </x:c>
      <x:c r="H3279" t="n">
        <x:v>6</x:v>
      </x:c>
      <x:c r="I3279" t="str">
        <x:v>À qualifier par lieu</x:v>
      </x:c>
      <x:c r="J3279" t="str">
        <x:v>https://github.com/darknigthmare/deadwall-last-enclosure/blob/1b3b9c5ba232734b1bda3453b4e20a0481bcdd74/codex-3000/addendum-1.58/PROGRAMMES_B.json</x:v>
      </x:c>
      <x:c r="K3279" t="str">
        <x:v>Source min 42,45 m ; max 42,45 m ; modèle 42 × 45 m ; niveaux 0. Détails dans catalogue-existant.json.</x:v>
      </x:c>
    </x:row>
    <x:row r="3280">
      <x:c r="A3280" t="str">
        <x:v>DW-3275</x:v>
      </x:c>
      <x:c r="B3280" t="str">
        <x:v>DW-3275</x:v>
      </x:c>
      <x:c r="C3280" t="str">
        <x:v>Parent indépendant 1.58</x:v>
      </x:c>
      <x:c r="D3280" t="str">
        <x:v>Services et petits ateliers</x:v>
      </x:c>
      <x:c r="E3280" t="str">
        <x:v>Atelier de réparation de volets manuels</x:v>
      </x:c>
      <x:c r="F3280" t="n">
        <x:v>9</x:v>
      </x:c>
      <x:c r="G3280" t="n">
        <x:v>6</x:v>
      </x:c>
      <x:c r="H3280" t="n">
        <x:v>6</x:v>
      </x:c>
      <x:c r="I3280" t="str">
        <x:v>À qualifier par lieu</x:v>
      </x:c>
      <x:c r="J3280" t="str">
        <x:v>https://github.com/darknigthmare/deadwall-last-enclosure/blob/1b3b9c5ba232734b1bda3453b4e20a0481bcdd74/codex-3000/addendum-1.58/PROGRAMMES_B.json</x:v>
      </x:c>
      <x:c r="K3280" t="str">
        <x:v>Source min 30,28 m ; max 30,28 m ; modèle 30 × 28 m ; niveaux 0, 1. Détails dans catalogue-existant.json.</x:v>
      </x:c>
    </x:row>
    <x:row r="3281">
      <x:c r="A3281" t="str">
        <x:v>DW-3276</x:v>
      </x:c>
      <x:c r="B3281" t="str">
        <x:v>DW-3276</x:v>
      </x:c>
      <x:c r="C3281" t="str">
        <x:v>Parent indépendant 1.58</x:v>
      </x:c>
      <x:c r="D3281" t="str">
        <x:v>Services et petits ateliers</x:v>
      </x:c>
      <x:c r="E3281" t="str">
        <x:v>Atelier d'ajustage de stores intérieurs</x:v>
      </x:c>
      <x:c r="F3281" t="n">
        <x:v>9</x:v>
      </x:c>
      <x:c r="G3281" t="n">
        <x:v>6</x:v>
      </x:c>
      <x:c r="H3281" t="n">
        <x:v>6</x:v>
      </x:c>
      <x:c r="I3281" t="str">
        <x:v>À qualifier par lieu</x:v>
      </x:c>
      <x:c r="J3281" t="str">
        <x:v>https://github.com/darknigthmare/deadwall-last-enclosure/blob/1b3b9c5ba232734b1bda3453b4e20a0481bcdd74/codex-3000/addendum-1.58/PROGRAMMES_B.json</x:v>
      </x:c>
      <x:c r="K3281" t="str">
        <x:v>Source min 34,39 m ; max 34,39 m ; modèle 34 × 39 m ; niveaux 0. Détails dans catalogue-existant.json.</x:v>
      </x:c>
    </x:row>
    <x:row r="3282">
      <x:c r="A3282" t="str">
        <x:v>DW-3277</x:v>
      </x:c>
      <x:c r="B3282" t="str">
        <x:v>DW-3277</x:v>
      </x:c>
      <x:c r="C3282" t="str">
        <x:v>Parent indépendant 1.58</x:v>
      </x:c>
      <x:c r="D3282" t="str">
        <x:v>Services et petits ateliers</x:v>
      </x:c>
      <x:c r="E3282" t="str">
        <x:v>Atelier d'entretien de machines à coudre</x:v>
      </x:c>
      <x:c r="F3282" t="n">
        <x:v>9</x:v>
      </x:c>
      <x:c r="G3282" t="n">
        <x:v>6</x:v>
      </x:c>
      <x:c r="H3282" t="n">
        <x:v>6</x:v>
      </x:c>
      <x:c r="I3282" t="str">
        <x:v>À qualifier par lieu</x:v>
      </x:c>
      <x:c r="J3282" t="str">
        <x:v>https://github.com/darknigthmare/deadwall-last-enclosure/blob/1b3b9c5ba232734b1bda3453b4e20a0481bcdd74/codex-3000/addendum-1.58/PROGRAMMES_B.json</x:v>
      </x:c>
      <x:c r="K3282" t="str">
        <x:v>Source min 38,42 m ; max 38,42 m ; modèle 38 × 42 m ; niveaux 0. Détails dans catalogue-existant.json.</x:v>
      </x:c>
    </x:row>
    <x:row r="3283">
      <x:c r="A3283" t="str">
        <x:v>DW-3278</x:v>
      </x:c>
      <x:c r="B3283" t="str">
        <x:v>DW-3278</x:v>
      </x:c>
      <x:c r="C3283" t="str">
        <x:v>Parent indépendant 1.58</x:v>
      </x:c>
      <x:c r="D3283" t="str">
        <x:v>Services et petits ateliers</x:v>
      </x:c>
      <x:c r="E3283" t="str">
        <x:v>Service d'affûtage de ciseaux de coiffure</x:v>
      </x:c>
      <x:c r="F3283" t="n">
        <x:v>9</x:v>
      </x:c>
      <x:c r="G3283" t="n">
        <x:v>6</x:v>
      </x:c>
      <x:c r="H3283" t="n">
        <x:v>6</x:v>
      </x:c>
      <x:c r="I3283" t="str">
        <x:v>À qualifier par lieu</x:v>
      </x:c>
      <x:c r="J3283" t="str">
        <x:v>https://github.com/darknigthmare/deadwall-last-enclosure/blob/1b3b9c5ba232734b1bda3453b4e20a0481bcdd74/codex-3000/addendum-1.58/PROGRAMMES_B.json</x:v>
      </x:c>
      <x:c r="K3283" t="str">
        <x:v>Source min 42,28 m ; max 42,28 m ; modèle 42 × 28 m ; niveaux 0, 1. Détails dans catalogue-existant.json.</x:v>
      </x:c>
    </x:row>
    <x:row r="3284">
      <x:c r="A3284" t="str">
        <x:v>DW-3279</x:v>
      </x:c>
      <x:c r="B3284" t="str">
        <x:v>DW-3279</x:v>
      </x:c>
      <x:c r="C3284" t="str">
        <x:v>Parent indépendant 1.58</x:v>
      </x:c>
      <x:c r="D3284" t="str">
        <x:v>Services et petits ateliers</x:v>
      </x:c>
      <x:c r="E3284" t="str">
        <x:v>Atelier de repolissage d'argenterie</x:v>
      </x:c>
      <x:c r="F3284" t="n">
        <x:v>9</x:v>
      </x:c>
      <x:c r="G3284" t="n">
        <x:v>6</x:v>
      </x:c>
      <x:c r="H3284" t="n">
        <x:v>6</x:v>
      </x:c>
      <x:c r="I3284" t="str">
        <x:v>À qualifier par lieu</x:v>
      </x:c>
      <x:c r="J3284" t="str">
        <x:v>https://github.com/darknigthmare/deadwall-last-enclosure/blob/1b3b9c5ba232734b1bda3453b4e20a0481bcdd74/codex-3000/addendum-1.58/PROGRAMMES_B.json</x:v>
      </x:c>
      <x:c r="K3284" t="str">
        <x:v>Source min 30,36 m ; max 30,36 m ; modèle 30 × 36 m ; niveaux 0. Détails dans catalogue-existant.json.</x:v>
      </x:c>
    </x:row>
    <x:row r="3285">
      <x:c r="A3285" t="str">
        <x:v>DW-3280</x:v>
      </x:c>
      <x:c r="B3285" t="str">
        <x:v>DW-3280</x:v>
      </x:c>
      <x:c r="C3285" t="str">
        <x:v>Parent indépendant 1.58</x:v>
      </x:c>
      <x:c r="D3285" t="str">
        <x:v>Services et petits ateliers</x:v>
      </x:c>
      <x:c r="E3285" t="str">
        <x:v>Service de restauration de tapis</x:v>
      </x:c>
      <x:c r="F3285" t="n">
        <x:v>9</x:v>
      </x:c>
      <x:c r="G3285" t="n">
        <x:v>6</x:v>
      </x:c>
      <x:c r="H3285" t="n">
        <x:v>6</x:v>
      </x:c>
      <x:c r="I3285" t="str">
        <x:v>À qualifier par lieu</x:v>
      </x:c>
      <x:c r="J3285" t="str">
        <x:v>https://github.com/darknigthmare/deadwall-last-enclosure/blob/1b3b9c5ba232734b1bda3453b4e20a0481bcdd74/codex-3000/addendum-1.58/PROGRAMMES_B.json</x:v>
      </x:c>
      <x:c r="K3285" t="str">
        <x:v>Source min 34,39 m ; max 34,39 m ; modèle 34 × 39 m ; niveaux 0. Détails dans catalogue-existant.json.</x:v>
      </x:c>
    </x:row>
    <x:row r="3286">
      <x:c r="A3286" t="str">
        <x:v>DW-3281</x:v>
      </x:c>
      <x:c r="B3286" t="str">
        <x:v>DW-3281</x:v>
      </x:c>
      <x:c r="C3286" t="str">
        <x:v>Parent indépendant 1.58</x:v>
      </x:c>
      <x:c r="D3286" t="str">
        <x:v>Services et petits ateliers</x:v>
      </x:c>
      <x:c r="E3286" t="str">
        <x:v>Atelier d'encadrement sur mesure</x:v>
      </x:c>
      <x:c r="F3286" t="n">
        <x:v>9</x:v>
      </x:c>
      <x:c r="G3286" t="n">
        <x:v>6</x:v>
      </x:c>
      <x:c r="H3286" t="n">
        <x:v>6</x:v>
      </x:c>
      <x:c r="I3286" t="str">
        <x:v>À qualifier par lieu</x:v>
      </x:c>
      <x:c r="J3286" t="str">
        <x:v>https://github.com/darknigthmare/deadwall-last-enclosure/blob/1b3b9c5ba232734b1bda3453b4e20a0481bcdd74/codex-3000/addendum-1.58/PROGRAMMES_B.json</x:v>
      </x:c>
      <x:c r="K3286" t="str">
        <x:v>Source min 38,28 m ; max 38,28 m ; modèle 38 × 28 m ; niveaux 0, 1. Détails dans catalogue-existant.json.</x:v>
      </x:c>
    </x:row>
    <x:row r="3287">
      <x:c r="A3287" t="str">
        <x:v>DW-3282</x:v>
      </x:c>
      <x:c r="B3287" t="str">
        <x:v>DW-3282</x:v>
      </x:c>
      <x:c r="C3287" t="str">
        <x:v>Parent indépendant 1.58</x:v>
      </x:c>
      <x:c r="D3287" t="str">
        <x:v>Services et petits ateliers</x:v>
      </x:c>
      <x:c r="E3287" t="str">
        <x:v>Atelier de réparation de vitraux domestiques</x:v>
      </x:c>
      <x:c r="F3287" t="n">
        <x:v>9</x:v>
      </x:c>
      <x:c r="G3287" t="n">
        <x:v>6</x:v>
      </x:c>
      <x:c r="H3287" t="n">
        <x:v>6</x:v>
      </x:c>
      <x:c r="I3287" t="str">
        <x:v>À qualifier par lieu</x:v>
      </x:c>
      <x:c r="J3287" t="str">
        <x:v>https://github.com/darknigthmare/deadwall-last-enclosure/blob/1b3b9c5ba232734b1bda3453b4e20a0481bcdd74/codex-3000/addendum-1.58/PROGRAMMES_B.json</x:v>
      </x:c>
      <x:c r="K3287" t="str">
        <x:v>Source min 42,45 m ; max 42,45 m ; modèle 42 × 45 m ; niveaux 0. Détails dans catalogue-existant.json.</x:v>
      </x:c>
    </x:row>
    <x:row r="3288">
      <x:c r="A3288" t="str">
        <x:v>DW-3283</x:v>
      </x:c>
      <x:c r="B3288" t="str">
        <x:v>DW-3283</x:v>
      </x:c>
      <x:c r="C3288" t="str">
        <x:v>Parent indépendant 1.58</x:v>
      </x:c>
      <x:c r="D3288" t="str">
        <x:v>Services et petits ateliers</x:v>
      </x:c>
      <x:c r="E3288" t="str">
        <x:v>Atelier de réveils mécaniques</x:v>
      </x:c>
      <x:c r="F3288" t="n">
        <x:v>9</x:v>
      </x:c>
      <x:c r="G3288" t="n">
        <x:v>6</x:v>
      </x:c>
      <x:c r="H3288" t="n">
        <x:v>6</x:v>
      </x:c>
      <x:c r="I3288" t="str">
        <x:v>À qualifier par lieu</x:v>
      </x:c>
      <x:c r="J3288" t="str">
        <x:v>https://github.com/darknigthmare/deadwall-last-enclosure/blob/1b3b9c5ba232734b1bda3453b4e20a0481bcdd74/codex-3000/addendum-1.58/PROGRAMMES_B.json</x:v>
      </x:c>
      <x:c r="K3288" t="str">
        <x:v>Source min 30,36 m ; max 30,36 m ; modèle 30 × 36 m ; niveaux 0. Détails dans catalogue-existant.json.</x:v>
      </x:c>
    </x:row>
    <x:row r="3289">
      <x:c r="A3289" t="str">
        <x:v>DW-3284</x:v>
      </x:c>
      <x:c r="B3289" t="str">
        <x:v>DW-3284</x:v>
      </x:c>
      <x:c r="C3289" t="str">
        <x:v>Parent indépendant 1.58</x:v>
      </x:c>
      <x:c r="D3289" t="str">
        <x:v>Services et petits ateliers</x:v>
      </x:c>
      <x:c r="E3289" t="str">
        <x:v>Service de bracelets de montres</x:v>
      </x:c>
      <x:c r="F3289" t="n">
        <x:v>9</x:v>
      </x:c>
      <x:c r="G3289" t="n">
        <x:v>6</x:v>
      </x:c>
      <x:c r="H3289" t="n">
        <x:v>6</x:v>
      </x:c>
      <x:c r="I3289" t="str">
        <x:v>À qualifier par lieu</x:v>
      </x:c>
      <x:c r="J3289" t="str">
        <x:v>https://github.com/darknigthmare/deadwall-last-enclosure/blob/1b3b9c5ba232734b1bda3453b4e20a0481bcdd74/codex-3000/addendum-1.58/PROGRAMMES_B.json</x:v>
      </x:c>
      <x:c r="K3289" t="str">
        <x:v>Source min 34,28 m ; max 34,28 m ; modèle 34 × 28 m ; niveaux 0, 1. Détails dans catalogue-existant.json.</x:v>
      </x:c>
    </x:row>
    <x:row r="3290">
      <x:c r="A3290" t="str">
        <x:v>DW-3285</x:v>
      </x:c>
      <x:c r="B3290" t="str">
        <x:v>DW-3285</x:v>
      </x:c>
      <x:c r="C3290" t="str">
        <x:v>Parent indépendant 1.58</x:v>
      </x:c>
      <x:c r="D3290" t="str">
        <x:v>Services et petits ateliers</x:v>
      </x:c>
      <x:c r="E3290" t="str">
        <x:v>Atelier de médailles et distinctions</x:v>
      </x:c>
      <x:c r="F3290" t="n">
        <x:v>9</x:v>
      </x:c>
      <x:c r="G3290" t="n">
        <x:v>6</x:v>
      </x:c>
      <x:c r="H3290" t="n">
        <x:v>6</x:v>
      </x:c>
      <x:c r="I3290" t="str">
        <x:v>À qualifier par lieu</x:v>
      </x:c>
      <x:c r="J3290" t="str">
        <x:v>https://github.com/darknigthmare/deadwall-last-enclosure/blob/1b3b9c5ba232734b1bda3453b4e20a0481bcdd74/codex-3000/addendum-1.58/PROGRAMMES_B.json</x:v>
      </x:c>
      <x:c r="K3290" t="str">
        <x:v>Source min 38,42 m ; max 38,42 m ; modèle 38 × 42 m ; niveaux 0. Détails dans catalogue-existant.json.</x:v>
      </x:c>
    </x:row>
    <x:row r="3291">
      <x:c r="A3291" t="str">
        <x:v>DW-3286</x:v>
      </x:c>
      <x:c r="B3291" t="str">
        <x:v>DW-3286</x:v>
      </x:c>
      <x:c r="C3291" t="str">
        <x:v>Parent indépendant 1.58</x:v>
      </x:c>
      <x:c r="D3291" t="str">
        <x:v>Services et petits ateliers</x:v>
      </x:c>
      <x:c r="E3291" t="str">
        <x:v>Bureau de diagnostics d'humidité</x:v>
      </x:c>
      <x:c r="F3291" t="n">
        <x:v>9</x:v>
      </x:c>
      <x:c r="G3291" t="n">
        <x:v>6</x:v>
      </x:c>
      <x:c r="H3291" t="n">
        <x:v>6</x:v>
      </x:c>
      <x:c r="I3291" t="str">
        <x:v>À qualifier par lieu</x:v>
      </x:c>
      <x:c r="J3291" t="str">
        <x:v>https://github.com/darknigthmare/deadwall-last-enclosure/blob/1b3b9c5ba232734b1bda3453b4e20a0481bcdd74/codex-3000/addendum-1.58/PROGRAMMES_B.json</x:v>
      </x:c>
      <x:c r="K3291" t="str">
        <x:v>Source min 42,45 m ; max 42,45 m ; modèle 42 × 45 m ; niveaux 0. Détails dans catalogue-existant.json.</x:v>
      </x:c>
    </x:row>
    <x:row r="3292">
      <x:c r="A3292" t="str">
        <x:v>DW-3287</x:v>
      </x:c>
      <x:c r="B3292" t="str">
        <x:v>DW-3287</x:v>
      </x:c>
      <x:c r="C3292" t="str">
        <x:v>Parent indépendant 1.58</x:v>
      </x:c>
      <x:c r="D3292" t="str">
        <x:v>Services et petits ateliers</x:v>
      </x:c>
      <x:c r="E3292" t="str">
        <x:v>Bureau de plans d'accessibilité</x:v>
      </x:c>
      <x:c r="F3292" t="n">
        <x:v>9</x:v>
      </x:c>
      <x:c r="G3292" t="n">
        <x:v>6</x:v>
      </x:c>
      <x:c r="H3292" t="n">
        <x:v>6</x:v>
      </x:c>
      <x:c r="I3292" t="str">
        <x:v>À qualifier par lieu</x:v>
      </x:c>
      <x:c r="J3292" t="str">
        <x:v>https://github.com/darknigthmare/deadwall-last-enclosure/blob/1b3b9c5ba232734b1bda3453b4e20a0481bcdd74/codex-3000/addendum-1.58/PROGRAMMES_B.json</x:v>
      </x:c>
      <x:c r="K3292" t="str">
        <x:v>Source min 30,28 m ; max 30,28 m ; modèle 30 × 28 m ; niveaux 0, 1. Détails dans catalogue-existant.json.</x:v>
      </x:c>
    </x:row>
    <x:row r="3293">
      <x:c r="A3293" t="str">
        <x:v>DW-3288</x:v>
      </x:c>
      <x:c r="B3293" t="str">
        <x:v>DW-3288</x:v>
      </x:c>
      <x:c r="C3293" t="str">
        <x:v>Parent indépendant 1.58</x:v>
      </x:c>
      <x:c r="D3293" t="str">
        <x:v>Services et petits ateliers</x:v>
      </x:c>
      <x:c r="E3293" t="str">
        <x:v>Cabinet d'acoustique de l'habitat</x:v>
      </x:c>
      <x:c r="F3293" t="n">
        <x:v>9</x:v>
      </x:c>
      <x:c r="G3293" t="n">
        <x:v>6</x:v>
      </x:c>
      <x:c r="H3293" t="n">
        <x:v>6</x:v>
      </x:c>
      <x:c r="I3293" t="str">
        <x:v>À qualifier par lieu</x:v>
      </x:c>
      <x:c r="J3293" t="str">
        <x:v>https://github.com/darknigthmare/deadwall-last-enclosure/blob/1b3b9c5ba232734b1bda3453b4e20a0481bcdd74/codex-3000/addendum-1.58/PROGRAMMES_B.json</x:v>
      </x:c>
      <x:c r="K3293" t="str">
        <x:v>Source min 34,39 m ; max 34,39 m ; modèle 34 × 39 m ; niveaux 0. Détails dans catalogue-existant.json.</x:v>
      </x:c>
    </x:row>
    <x:row r="3294">
      <x:c r="A3294" t="str">
        <x:v>DW-3289</x:v>
      </x:c>
      <x:c r="B3294" t="str">
        <x:v>DW-3289</x:v>
      </x:c>
      <x:c r="C3294" t="str">
        <x:v>Parent indépendant 1.58</x:v>
      </x:c>
      <x:c r="D3294" t="str">
        <x:v>Services et petits ateliers</x:v>
      </x:c>
      <x:c r="E3294" t="str">
        <x:v>Centre de relevés thermographiques</x:v>
      </x:c>
      <x:c r="F3294" t="n">
        <x:v>9</x:v>
      </x:c>
      <x:c r="G3294" t="n">
        <x:v>6</x:v>
      </x:c>
      <x:c r="H3294" t="n">
        <x:v>6</x:v>
      </x:c>
      <x:c r="I3294" t="str">
        <x:v>À qualifier par lieu</x:v>
      </x:c>
      <x:c r="J3294" t="str">
        <x:v>https://github.com/darknigthmare/deadwall-last-enclosure/blob/1b3b9c5ba232734b1bda3453b4e20a0481bcdd74/codex-3000/addendum-1.58/PROGRAMMES_B.json</x:v>
      </x:c>
      <x:c r="K3294" t="str">
        <x:v>Source min 38,42 m ; max 38,42 m ; modèle 38 × 42 m ; niveaux 0. Détails dans catalogue-existant.json.</x:v>
      </x:c>
    </x:row>
    <x:row r="3295">
      <x:c r="A3295" t="str">
        <x:v>DW-3290</x:v>
      </x:c>
      <x:c r="B3295" t="str">
        <x:v>DW-3290</x:v>
      </x:c>
      <x:c r="C3295" t="str">
        <x:v>Parent indépendant 1.58</x:v>
      </x:c>
      <x:c r="D3295" t="str">
        <x:v>Services et petits ateliers</x:v>
      </x:c>
      <x:c r="E3295" t="str">
        <x:v>Bureau de dossiers de repérage du bâti</x:v>
      </x:c>
      <x:c r="F3295" t="n">
        <x:v>9</x:v>
      </x:c>
      <x:c r="G3295" t="n">
        <x:v>6</x:v>
      </x:c>
      <x:c r="H3295" t="n">
        <x:v>6</x:v>
      </x:c>
      <x:c r="I3295" t="str">
        <x:v>À qualifier par lieu</x:v>
      </x:c>
      <x:c r="J3295" t="str">
        <x:v>https://github.com/darknigthmare/deadwall-last-enclosure/blob/1b3b9c5ba232734b1bda3453b4e20a0481bcdd74/codex-3000/addendum-1.58/PROGRAMMES_B.json</x:v>
      </x:c>
      <x:c r="K3295" t="str">
        <x:v>Source min 42,28 m ; max 42,28 m ; modèle 42 × 28 m ; niveaux 0, 1. Détails dans catalogue-existant.json.</x:v>
      </x:c>
    </x:row>
    <x:row r="3296">
      <x:c r="A3296" t="str">
        <x:v>DW-3291</x:v>
      </x:c>
      <x:c r="B3296" t="str">
        <x:v>DW-3291</x:v>
      </x:c>
      <x:c r="C3296" t="str">
        <x:v>Parent indépendant 1.58</x:v>
      </x:c>
      <x:c r="D3296" t="str">
        <x:v>Services et petits ateliers</x:v>
      </x:c>
      <x:c r="E3296" t="str">
        <x:v>Studio d'applications accessibles</x:v>
      </x:c>
      <x:c r="F3296" t="n">
        <x:v>9</x:v>
      </x:c>
      <x:c r="G3296" t="n">
        <x:v>6</x:v>
      </x:c>
      <x:c r="H3296" t="n">
        <x:v>6</x:v>
      </x:c>
      <x:c r="I3296" t="str">
        <x:v>À qualifier par lieu</x:v>
      </x:c>
      <x:c r="J3296" t="str">
        <x:v>https://github.com/darknigthmare/deadwall-last-enclosure/blob/1b3b9c5ba232734b1bda3453b4e20a0481bcdd74/codex-3000/addendum-1.58/PROGRAMMES_B.json</x:v>
      </x:c>
      <x:c r="K3296" t="str">
        <x:v>Source min 30,36 m ; max 30,36 m ; modèle 30 × 36 m ; niveaux 0. Détails dans catalogue-existant.json.</x:v>
      </x:c>
    </x:row>
    <x:row r="3297">
      <x:c r="A3297" t="str">
        <x:v>DW-3292</x:v>
      </x:c>
      <x:c r="B3297" t="str">
        <x:v>DW-3292</x:v>
      </x:c>
      <x:c r="C3297" t="str">
        <x:v>Parent indépendant 1.58</x:v>
      </x:c>
      <x:c r="D3297" t="str">
        <x:v>Services et petits ateliers</x:v>
      </x:c>
      <x:c r="E3297" t="str">
        <x:v>Bureau de logiciels domestiques embarqués</x:v>
      </x:c>
      <x:c r="F3297" t="n">
        <x:v>9</x:v>
      </x:c>
      <x:c r="G3297" t="n">
        <x:v>6</x:v>
      </x:c>
      <x:c r="H3297" t="n">
        <x:v>6</x:v>
      </x:c>
      <x:c r="I3297" t="str">
        <x:v>À qualifier par lieu</x:v>
      </x:c>
      <x:c r="J3297" t="str">
        <x:v>https://github.com/darknigthmare/deadwall-last-enclosure/blob/1b3b9c5ba232734b1bda3453b4e20a0481bcdd74/codex-3000/addendum-1.58/PROGRAMMES_B.json</x:v>
      </x:c>
      <x:c r="K3297" t="str">
        <x:v>Source min 34,39 m ; max 34,39 m ; modèle 34 × 39 m ; niveaux 0. Détails dans catalogue-existant.json.</x:v>
      </x:c>
    </x:row>
    <x:row r="3298">
      <x:c r="A3298" t="str">
        <x:v>DW-3293</x:v>
      </x:c>
      <x:c r="B3298" t="str">
        <x:v>DW-3293</x:v>
      </x:c>
      <x:c r="C3298" t="str">
        <x:v>Parent indépendant 1.58</x:v>
      </x:c>
      <x:c r="D3298" t="str">
        <x:v>Services et petits ateliers</x:v>
      </x:c>
      <x:c r="E3298" t="str">
        <x:v>Atelier d'essais d'interfaces mobiles</x:v>
      </x:c>
      <x:c r="F3298" t="n">
        <x:v>9</x:v>
      </x:c>
      <x:c r="G3298" t="n">
        <x:v>6</x:v>
      </x:c>
      <x:c r="H3298" t="n">
        <x:v>6</x:v>
      </x:c>
      <x:c r="I3298" t="str">
        <x:v>À qualifier par lieu</x:v>
      </x:c>
      <x:c r="J3298" t="str">
        <x:v>https://github.com/darknigthmare/deadwall-last-enclosure/blob/1b3b9c5ba232734b1bda3453b4e20a0481bcdd74/codex-3000/addendum-1.58/PROGRAMMES_B.json</x:v>
      </x:c>
      <x:c r="K3298" t="str">
        <x:v>Source min 38,28 m ; max 38,28 m ; modèle 38 × 28 m ; niveaux 0, 1. Détails dans catalogue-existant.json.</x:v>
      </x:c>
    </x:row>
    <x:row r="3299">
      <x:c r="A3299" t="str">
        <x:v>DW-3294</x:v>
      </x:c>
      <x:c r="B3299" t="str">
        <x:v>DW-3294</x:v>
      </x:c>
      <x:c r="C3299" t="str">
        <x:v>Parent indépendant 1.58</x:v>
      </x:c>
      <x:c r="D3299" t="str">
        <x:v>Services et petits ateliers</x:v>
      </x:c>
      <x:c r="E3299" t="str">
        <x:v>Studio de tableaux de bord hors ligne</x:v>
      </x:c>
      <x:c r="F3299" t="n">
        <x:v>9</x:v>
      </x:c>
      <x:c r="G3299" t="n">
        <x:v>6</x:v>
      </x:c>
      <x:c r="H3299" t="n">
        <x:v>6</x:v>
      </x:c>
      <x:c r="I3299" t="str">
        <x:v>À qualifier par lieu</x:v>
      </x:c>
      <x:c r="J3299" t="str">
        <x:v>https://github.com/darknigthmare/deadwall-last-enclosure/blob/1b3b9c5ba232734b1bda3453b4e20a0481bcdd74/codex-3000/addendum-1.58/PROGRAMMES_B.json</x:v>
      </x:c>
      <x:c r="K3299" t="str">
        <x:v>Source min 42,45 m ; max 42,45 m ; modèle 42 × 45 m ; niveaux 0. Détails dans catalogue-existant.json.</x:v>
      </x:c>
    </x:row>
    <x:row r="3300">
      <x:c r="A3300" t="str">
        <x:v>DW-3295</x:v>
      </x:c>
      <x:c r="B3300" t="str">
        <x:v>DW-3295</x:v>
      </x:c>
      <x:c r="C3300" t="str">
        <x:v>Parent indépendant 1.58</x:v>
      </x:c>
      <x:c r="D3300" t="str">
        <x:v>Services et petits ateliers</x:v>
      </x:c>
      <x:c r="E3300" t="str">
        <x:v>Atelier de logiciels cartographiques</x:v>
      </x:c>
      <x:c r="F3300" t="n">
        <x:v>9</x:v>
      </x:c>
      <x:c r="G3300" t="n">
        <x:v>6</x:v>
      </x:c>
      <x:c r="H3300" t="n">
        <x:v>6</x:v>
      </x:c>
      <x:c r="I3300" t="str">
        <x:v>À qualifier par lieu</x:v>
      </x:c>
      <x:c r="J3300" t="str">
        <x:v>https://github.com/darknigthmare/deadwall-last-enclosure/blob/1b3b9c5ba232734b1bda3453b4e20a0481bcdd74/codex-3000/addendum-1.58/PROGRAMMES_B.json</x:v>
      </x:c>
      <x:c r="K3300" t="str">
        <x:v>Source min 30,36 m ; max 30,36 m ; modèle 30 × 36 m ; niveaux 0. Détails dans catalogue-existant.json.</x:v>
      </x:c>
    </x:row>
    <x:row r="3301">
      <x:c r="A3301" t="str">
        <x:v>DW-3296</x:v>
      </x:c>
      <x:c r="B3301" t="str">
        <x:v>DW-3296</x:v>
      </x:c>
      <x:c r="C3301" t="str">
        <x:v>Parent indépendant 1.58</x:v>
      </x:c>
      <x:c r="D3301" t="str">
        <x:v>Services et petits ateliers</x:v>
      </x:c>
      <x:c r="E3301" t="str">
        <x:v>Centre de récupération de données personnelles</x:v>
      </x:c>
      <x:c r="F3301" t="n">
        <x:v>9</x:v>
      </x:c>
      <x:c r="G3301" t="n">
        <x:v>6</x:v>
      </x:c>
      <x:c r="H3301" t="n">
        <x:v>6</x:v>
      </x:c>
      <x:c r="I3301" t="str">
        <x:v>À qualifier par lieu</x:v>
      </x:c>
      <x:c r="J3301" t="str">
        <x:v>https://github.com/darknigthmare/deadwall-last-enclosure/blob/1b3b9c5ba232734b1bda3453b4e20a0481bcdd74/codex-3000/addendum-1.58/PROGRAMMES_B.json</x:v>
      </x:c>
      <x:c r="K3301" t="str">
        <x:v>Source min 34,28 m ; max 34,28 m ; modèle 34 × 28 m ; niveaux 0, 1. Détails dans catalogue-existant.json.</x:v>
      </x:c>
    </x:row>
    <x:row r="3302">
      <x:c r="A3302" t="str">
        <x:v>DW-3297</x:v>
      </x:c>
      <x:c r="B3302" t="str">
        <x:v>DW-3297</x:v>
      </x:c>
      <x:c r="C3302" t="str">
        <x:v>Parent indépendant 1.58</x:v>
      </x:c>
      <x:c r="D3302" t="str">
        <x:v>Services et petits ateliers</x:v>
      </x:c>
      <x:c r="E3302" t="str">
        <x:v>Bureau d'archives familiales</x:v>
      </x:c>
      <x:c r="F3302" t="n">
        <x:v>9</x:v>
      </x:c>
      <x:c r="G3302" t="n">
        <x:v>6</x:v>
      </x:c>
      <x:c r="H3302" t="n">
        <x:v>6</x:v>
      </x:c>
      <x:c r="I3302" t="str">
        <x:v>À qualifier par lieu</x:v>
      </x:c>
      <x:c r="J3302" t="str">
        <x:v>https://github.com/darknigthmare/deadwall-last-enclosure/blob/1b3b9c5ba232734b1bda3453b4e20a0481bcdd74/codex-3000/addendum-1.58/PROGRAMMES_B.json</x:v>
      </x:c>
      <x:c r="K3302" t="str">
        <x:v>Source min 38,42 m ; max 38,42 m ; modèle 38 × 42 m ; niveaux 0. Détails dans catalogue-existant.json.</x:v>
      </x:c>
    </x:row>
    <x:row r="3303">
      <x:c r="A3303" t="str">
        <x:v>DW-3298</x:v>
      </x:c>
      <x:c r="B3303" t="str">
        <x:v>DW-3298</x:v>
      </x:c>
      <x:c r="C3303" t="str">
        <x:v>Parent indépendant 1.58</x:v>
      </x:c>
      <x:c r="D3303" t="str">
        <x:v>Services et petits ateliers</x:v>
      </x:c>
      <x:c r="E3303" t="str">
        <x:v>Service de numérisation de plans anciens</x:v>
      </x:c>
      <x:c r="F3303" t="n">
        <x:v>9</x:v>
      </x:c>
      <x:c r="G3303" t="n">
        <x:v>6</x:v>
      </x:c>
      <x:c r="H3303" t="n">
        <x:v>6</x:v>
      </x:c>
      <x:c r="I3303" t="str">
        <x:v>À qualifier par lieu</x:v>
      </x:c>
      <x:c r="J3303" t="str">
        <x:v>https://github.com/darknigthmare/deadwall-last-enclosure/blob/1b3b9c5ba232734b1bda3453b4e20a0481bcdd74/codex-3000/addendum-1.58/PROGRAMMES_B.json</x:v>
      </x:c>
      <x:c r="K3303" t="str">
        <x:v>Source min 42,45 m ; max 42,45 m ; modèle 42 × 45 m ; niveaux 0. Détails dans catalogue-existant.json.</x:v>
      </x:c>
    </x:row>
    <x:row r="3304">
      <x:c r="A3304" t="str">
        <x:v>DW-3299</x:v>
      </x:c>
      <x:c r="B3304" t="str">
        <x:v>DW-3299</x:v>
      </x:c>
      <x:c r="C3304" t="str">
        <x:v>Parent indépendant 1.58</x:v>
      </x:c>
      <x:c r="D3304" t="str">
        <x:v>Services et petits ateliers</x:v>
      </x:c>
      <x:c r="E3304" t="str">
        <x:v>Atelier d'assistance informatique aux seniors</x:v>
      </x:c>
      <x:c r="F3304" t="n">
        <x:v>9</x:v>
      </x:c>
      <x:c r="G3304" t="n">
        <x:v>6</x:v>
      </x:c>
      <x:c r="H3304" t="n">
        <x:v>6</x:v>
      </x:c>
      <x:c r="I3304" t="str">
        <x:v>À qualifier par lieu</x:v>
      </x:c>
      <x:c r="J3304" t="str">
        <x:v>https://github.com/darknigthmare/deadwall-last-enclosure/blob/1b3b9c5ba232734b1bda3453b4e20a0481bcdd74/codex-3000/addendum-1.58/PROGRAMMES_B.json</x:v>
      </x:c>
      <x:c r="K3304" t="str">
        <x:v>Source min 30,28 m ; max 30,28 m ; modèle 30 × 28 m ; niveaux 0, 1. Détails dans catalogue-existant.json.</x:v>
      </x:c>
    </x:row>
    <x:row r="3305">
      <x:c r="A3305" t="str">
        <x:v>DW-3300</x:v>
      </x:c>
      <x:c r="B3305" t="str">
        <x:v>DW-3300</x:v>
      </x:c>
      <x:c r="C3305" t="str">
        <x:v>Parent indépendant 1.58</x:v>
      </x:c>
      <x:c r="D3305" t="str">
        <x:v>Services et petits ateliers</x:v>
      </x:c>
      <x:c r="E3305" t="str">
        <x:v>Centre de tri de cartouches d'impression</x:v>
      </x:c>
      <x:c r="F3305" t="n">
        <x:v>9</x:v>
      </x:c>
      <x:c r="G3305" t="n">
        <x:v>6</x:v>
      </x:c>
      <x:c r="H3305" t="n">
        <x:v>6</x:v>
      </x:c>
      <x:c r="I3305" t="str">
        <x:v>À qualifier par lieu</x:v>
      </x:c>
      <x:c r="J3305" t="str">
        <x:v>https://github.com/darknigthmare/deadwall-last-enclosure/blob/1b3b9c5ba232734b1bda3453b4e20a0481bcdd74/codex-3000/addendum-1.58/PROGRAMMES_B.json</x:v>
      </x:c>
      <x:c r="K3305" t="str">
        <x:v>Source min 34,39 m ; max 34,39 m ; modèle 34 × 39 m ; niveaux 0. Détails dans catalogue-existant.json.</x:v>
      </x:c>
    </x:row>
    <x:row r="3306">
      <x:c r="A3306" t="str">
        <x:v>DW-3301</x:v>
      </x:c>
      <x:c r="B3306" t="str">
        <x:v>DW-3301</x:v>
      </x:c>
      <x:c r="C3306" t="str">
        <x:v>Parent indépendant 1.58</x:v>
      </x:c>
      <x:c r="D3306" t="str">
        <x:v>Services et petits ateliers</x:v>
      </x:c>
      <x:c r="E3306" t="str">
        <x:v>Atelier de maintenance d'imprimantes domestiques</x:v>
      </x:c>
      <x:c r="F3306" t="n">
        <x:v>9</x:v>
      </x:c>
      <x:c r="G3306" t="n">
        <x:v>6</x:v>
      </x:c>
      <x:c r="H3306" t="n">
        <x:v>6</x:v>
      </x:c>
      <x:c r="I3306" t="str">
        <x:v>À qualifier par lieu</x:v>
      </x:c>
      <x:c r="J3306" t="str">
        <x:v>https://github.com/darknigthmare/deadwall-last-enclosure/blob/1b3b9c5ba232734b1bda3453b4e20a0481bcdd74/codex-3000/addendum-1.58/PROGRAMMES_B.json</x:v>
      </x:c>
      <x:c r="K3306" t="str">
        <x:v>Source min 38,42 m ; max 38,42 m ; modèle 38 × 42 m ; niveaux 0. Détails dans catalogue-existant.json.</x:v>
      </x:c>
    </x:row>
    <x:row r="3307">
      <x:c r="A3307" t="str">
        <x:v>DW-3302</x:v>
      </x:c>
      <x:c r="B3307" t="str">
        <x:v>DW-3302</x:v>
      </x:c>
      <x:c r="C3307" t="str">
        <x:v>Parent indépendant 1.58</x:v>
      </x:c>
      <x:c r="D3307" t="str">
        <x:v>Services et petits ateliers</x:v>
      </x:c>
      <x:c r="E3307" t="str">
        <x:v>Bureau d'organisation d'inventaires</x:v>
      </x:c>
      <x:c r="F3307" t="n">
        <x:v>9</x:v>
      </x:c>
      <x:c r="G3307" t="n">
        <x:v>6</x:v>
      </x:c>
      <x:c r="H3307" t="n">
        <x:v>6</x:v>
      </x:c>
      <x:c r="I3307" t="str">
        <x:v>À qualifier par lieu</x:v>
      </x:c>
      <x:c r="J3307" t="str">
        <x:v>https://github.com/darknigthmare/deadwall-last-enclosure/blob/1b3b9c5ba232734b1bda3453b4e20a0481bcdd74/codex-3000/addendum-1.58/PROGRAMMES_B.json</x:v>
      </x:c>
      <x:c r="K3307" t="str">
        <x:v>Source min 42,28 m ; max 42,28 m ; modèle 42 × 28 m ; niveaux 0, 1. Détails dans catalogue-existant.json.</x:v>
      </x:c>
    </x:row>
    <x:row r="3308">
      <x:c r="A3308" t="str">
        <x:v>DW-3303</x:v>
      </x:c>
      <x:c r="B3308" t="str">
        <x:v>DW-3303</x:v>
      </x:c>
      <x:c r="C3308" t="str">
        <x:v>Parent indépendant 1.58</x:v>
      </x:c>
      <x:c r="D3308" t="str">
        <x:v>Services et petits ateliers</x:v>
      </x:c>
      <x:c r="E3308" t="str">
        <x:v>Cabinet de médiation numérique</x:v>
      </x:c>
      <x:c r="F3308" t="n">
        <x:v>9</x:v>
      </x:c>
      <x:c r="G3308" t="n">
        <x:v>6</x:v>
      </x:c>
      <x:c r="H3308" t="n">
        <x:v>6</x:v>
      </x:c>
      <x:c r="I3308" t="str">
        <x:v>À qualifier par lieu</x:v>
      </x:c>
      <x:c r="J3308" t="str">
        <x:v>https://github.com/darknigthmare/deadwall-last-enclosure/blob/1b3b9c5ba232734b1bda3453b4e20a0481bcdd74/codex-3000/addendum-1.58/PROGRAMMES_B.json</x:v>
      </x:c>
      <x:c r="K3308" t="str">
        <x:v>Source min 30,36 m ; max 30,36 m ; modèle 30 × 36 m ; niveaux 0. Détails dans catalogue-existant.json.</x:v>
      </x:c>
    </x:row>
    <x:row r="3309">
      <x:c r="A3309" t="str">
        <x:v>DW-3304</x:v>
      </x:c>
      <x:c r="B3309" t="str">
        <x:v>DW-3304</x:v>
      </x:c>
      <x:c r="C3309" t="str">
        <x:v>Parent indépendant 1.58</x:v>
      </x:c>
      <x:c r="D3309" t="str">
        <x:v>Services et petits ateliers</x:v>
      </x:c>
      <x:c r="E3309" t="str">
        <x:v>Service de transcription et sous-titrage</x:v>
      </x:c>
      <x:c r="F3309" t="n">
        <x:v>9</x:v>
      </x:c>
      <x:c r="G3309" t="n">
        <x:v>6</x:v>
      </x:c>
      <x:c r="H3309" t="n">
        <x:v>6</x:v>
      </x:c>
      <x:c r="I3309" t="str">
        <x:v>À qualifier par lieu</x:v>
      </x:c>
      <x:c r="J3309" t="str">
        <x:v>https://github.com/darknigthmare/deadwall-last-enclosure/blob/1b3b9c5ba232734b1bda3453b4e20a0481bcdd74/codex-3000/addendum-1.58/PROGRAMMES_B.json</x:v>
      </x:c>
      <x:c r="K3309" t="str">
        <x:v>Source min 34,39 m ; max 34,39 m ; modèle 34 × 39 m ; niveaux 0. Détails dans catalogue-existant.json.</x:v>
      </x:c>
    </x:row>
    <x:row r="3310">
      <x:c r="A3310" t="str">
        <x:v>DW-3305</x:v>
      </x:c>
      <x:c r="B3310" t="str">
        <x:v>DW-3305</x:v>
      </x:c>
      <x:c r="C3310" t="str">
        <x:v>Parent indépendant 1.58</x:v>
      </x:c>
      <x:c r="D3310" t="str">
        <x:v>Services et petits ateliers</x:v>
      </x:c>
      <x:c r="E3310" t="str">
        <x:v>Atelier de livres tactiles</x:v>
      </x:c>
      <x:c r="F3310" t="n">
        <x:v>9</x:v>
      </x:c>
      <x:c r="G3310" t="n">
        <x:v>6</x:v>
      </x:c>
      <x:c r="H3310" t="n">
        <x:v>6</x:v>
      </x:c>
      <x:c r="I3310" t="str">
        <x:v>À qualifier par lieu</x:v>
      </x:c>
      <x:c r="J3310" t="str">
        <x:v>https://github.com/darknigthmare/deadwall-last-enclosure/blob/1b3b9c5ba232734b1bda3453b4e20a0481bcdd74/codex-3000/addendum-1.58/PROGRAMMES_B.json</x:v>
      </x:c>
      <x:c r="K3310" t="str">
        <x:v>Source min 38,28 m ; max 38,28 m ; modèle 38 × 28 m ; niveaux 0, 1. Détails dans catalogue-existant.json.</x:v>
      </x:c>
    </x:row>
    <x:row r="3311">
      <x:c r="A3311" t="str">
        <x:v>DW-3306</x:v>
      </x:c>
      <x:c r="B3311" t="str">
        <x:v>DW-3306</x:v>
      </x:c>
      <x:c r="C3311" t="str">
        <x:v>Parent indépendant 1.58</x:v>
      </x:c>
      <x:c r="D3311" t="str">
        <x:v>Services et petits ateliers</x:v>
      </x:c>
      <x:c r="E3311" t="str">
        <x:v>Studio de transcription braille</x:v>
      </x:c>
      <x:c r="F3311" t="n">
        <x:v>9</x:v>
      </x:c>
      <x:c r="G3311" t="n">
        <x:v>6</x:v>
      </x:c>
      <x:c r="H3311" t="n">
        <x:v>6</x:v>
      </x:c>
      <x:c r="I3311" t="str">
        <x:v>À qualifier par lieu</x:v>
      </x:c>
      <x:c r="J3311" t="str">
        <x:v>https://github.com/darknigthmare/deadwall-last-enclosure/blob/1b3b9c5ba232734b1bda3453b4e20a0481bcdd74/codex-3000/addendum-1.58/PROGRAMMES_B.json</x:v>
      </x:c>
      <x:c r="K3311" t="str">
        <x:v>Source min 42,45 m ; max 42,45 m ; modèle 42 × 45 m ; niveaux 0. Détails dans catalogue-existant.json.</x:v>
      </x:c>
    </x:row>
    <x:row r="3312">
      <x:c r="A3312" t="str">
        <x:v>DW-3307</x:v>
      </x:c>
      <x:c r="B3312" t="str">
        <x:v>DW-3307</x:v>
      </x:c>
      <x:c r="C3312" t="str">
        <x:v>Parent indépendant 1.58</x:v>
      </x:c>
      <x:c r="D3312" t="str">
        <x:v>Services et petits ateliers</x:v>
      </x:c>
      <x:c r="E3312" t="str">
        <x:v>Bureau d'interprétation de proximité</x:v>
      </x:c>
      <x:c r="F3312" t="n">
        <x:v>9</x:v>
      </x:c>
      <x:c r="G3312" t="n">
        <x:v>6</x:v>
      </x:c>
      <x:c r="H3312" t="n">
        <x:v>6</x:v>
      </x:c>
      <x:c r="I3312" t="str">
        <x:v>À qualifier par lieu</x:v>
      </x:c>
      <x:c r="J3312" t="str">
        <x:v>https://github.com/darknigthmare/deadwall-last-enclosure/blob/1b3b9c5ba232734b1bda3453b4e20a0481bcdd74/codex-3000/addendum-1.58/PROGRAMMES_B.json</x:v>
      </x:c>
      <x:c r="K3312" t="str">
        <x:v>Source min 30,36 m ; max 30,36 m ; modèle 30 × 36 m ; niveaux 0. Détails dans catalogue-existant.json.</x:v>
      </x:c>
    </x:row>
    <x:row r="3313">
      <x:c r="A3313" t="str">
        <x:v>DW-3308</x:v>
      </x:c>
      <x:c r="B3313" t="str">
        <x:v>DW-3308</x:v>
      </x:c>
      <x:c r="C3313" t="str">
        <x:v>Parent indépendant 1.58</x:v>
      </x:c>
      <x:c r="D3313" t="str">
        <x:v>Services et petits ateliers</x:v>
      </x:c>
      <x:c r="E3313" t="str">
        <x:v>Centre de transcription de comptes rendus</x:v>
      </x:c>
      <x:c r="F3313" t="n">
        <x:v>9</x:v>
      </x:c>
      <x:c r="G3313" t="n">
        <x:v>6</x:v>
      </x:c>
      <x:c r="H3313" t="n">
        <x:v>6</x:v>
      </x:c>
      <x:c r="I3313" t="str">
        <x:v>À qualifier par lieu</x:v>
      </x:c>
      <x:c r="J3313" t="str">
        <x:v>https://github.com/darknigthmare/deadwall-last-enclosure/blob/1b3b9c5ba232734b1bda3453b4e20a0481bcdd74/codex-3000/addendum-1.58/PROGRAMMES_B.json</x:v>
      </x:c>
      <x:c r="K3313" t="str">
        <x:v>Source min 34,28 m ; max 34,28 m ; modèle 34 × 28 m ; niveaux 0, 1. Détails dans catalogue-existant.json.</x:v>
      </x:c>
    </x:row>
    <x:row r="3314">
      <x:c r="A3314" t="str">
        <x:v>DW-3309</x:v>
      </x:c>
      <x:c r="B3314" t="str">
        <x:v>DW-3309</x:v>
      </x:c>
      <x:c r="C3314" t="str">
        <x:v>Parent indépendant 1.58</x:v>
      </x:c>
      <x:c r="D3314" t="str">
        <x:v>Services et petits ateliers</x:v>
      </x:c>
      <x:c r="E3314" t="str">
        <x:v>Atelier de restauration de jouets mécaniques</x:v>
      </x:c>
      <x:c r="F3314" t="n">
        <x:v>9</x:v>
      </x:c>
      <x:c r="G3314" t="n">
        <x:v>6</x:v>
      </x:c>
      <x:c r="H3314" t="n">
        <x:v>6</x:v>
      </x:c>
      <x:c r="I3314" t="str">
        <x:v>À qualifier par lieu</x:v>
      </x:c>
      <x:c r="J3314" t="str">
        <x:v>https://github.com/darknigthmare/deadwall-last-enclosure/blob/1b3b9c5ba232734b1bda3453b4e20a0481bcdd74/codex-3000/addendum-1.58/PROGRAMMES_B.json</x:v>
      </x:c>
      <x:c r="K3314" t="str">
        <x:v>Source min 38,42 m ; max 38,42 m ; modèle 38 × 42 m ; niveaux 0. Détails dans catalogue-existant.json.</x:v>
      </x:c>
    </x:row>
    <x:row r="3315">
      <x:c r="A3315" t="str">
        <x:v>DW-3310</x:v>
      </x:c>
      <x:c r="B3315" t="str">
        <x:v>DW-3310</x:v>
      </x:c>
      <x:c r="C3315" t="str">
        <x:v>Parent indépendant 1.58</x:v>
      </x:c>
      <x:c r="D3315" t="str">
        <x:v>Services et petits ateliers</x:v>
      </x:c>
      <x:c r="E3315" t="str">
        <x:v>Service d'adaptation de poignées domestiques</x:v>
      </x:c>
      <x:c r="F3315" t="n">
        <x:v>9</x:v>
      </x:c>
      <x:c r="G3315" t="n">
        <x:v>6</x:v>
      </x:c>
      <x:c r="H3315" t="n">
        <x:v>6</x:v>
      </x:c>
      <x:c r="I3315" t="str">
        <x:v>À qualifier par lieu</x:v>
      </x:c>
      <x:c r="J3315" t="str">
        <x:v>https://github.com/darknigthmare/deadwall-last-enclosure/blob/1b3b9c5ba232734b1bda3453b4e20a0481bcdd74/codex-3000/addendum-1.58/PROGRAMMES_B.json</x:v>
      </x:c>
      <x:c r="K3315" t="str">
        <x:v>Source min 42,45 m ; max 42,45 m ; modèle 42 × 45 m ; niveaux 0. Détails dans catalogue-existant.json.</x:v>
      </x:c>
    </x:row>
    <x:row r="3316">
      <x:c r="A3316" t="str">
        <x:v>DW-3311</x:v>
      </x:c>
      <x:c r="B3316" t="str">
        <x:v>DW-3311</x:v>
      </x:c>
      <x:c r="C3316" t="str">
        <x:v>Parent indépendant 1.58</x:v>
      </x:c>
      <x:c r="D3316" t="str">
        <x:v>Commerces non alimentaires</x:v>
      </x:c>
      <x:c r="E3316" t="str">
        <x:v>Comptoir de fournitures de couture</x:v>
      </x:c>
      <x:c r="F3316" t="n">
        <x:v>9</x:v>
      </x:c>
      <x:c r="G3316" t="n">
        <x:v>6</x:v>
      </x:c>
      <x:c r="H3316" t="n">
        <x:v>6</x:v>
      </x:c>
      <x:c r="I3316" t="str">
        <x:v>À qualifier par lieu</x:v>
      </x:c>
      <x:c r="J3316" t="str">
        <x:v>https://github.com/darknigthmare/deadwall-last-enclosure/blob/1b3b9c5ba232734b1bda3453b4e20a0481bcdd74/codex-3000/addendum-1.58/PROGRAMMES_B.json</x:v>
      </x:c>
      <x:c r="K3316" t="str">
        <x:v>Source min 30,28 m ; max 30,28 m ; modèle 30 × 28 m ; niveaux 0, 1. Détails dans catalogue-existant.json.</x:v>
      </x:c>
    </x:row>
    <x:row r="3317">
      <x:c r="A3317" t="str">
        <x:v>DW-3312</x:v>
      </x:c>
      <x:c r="B3317" t="str">
        <x:v>DW-3312</x:v>
      </x:c>
      <x:c r="C3317" t="str">
        <x:v>Parent indépendant 1.58</x:v>
      </x:c>
      <x:c r="D3317" t="str">
        <x:v>Commerces non alimentaires</x:v>
      </x:c>
      <x:c r="E3317" t="str">
        <x:v>Boutique de laines et tricot</x:v>
      </x:c>
      <x:c r="F3317" t="n">
        <x:v>9</x:v>
      </x:c>
      <x:c r="G3317" t="n">
        <x:v>6</x:v>
      </x:c>
      <x:c r="H3317" t="n">
        <x:v>6</x:v>
      </x:c>
      <x:c r="I3317" t="str">
        <x:v>À qualifier par lieu</x:v>
      </x:c>
      <x:c r="J3317" t="str">
        <x:v>https://github.com/darknigthmare/deadwall-last-enclosure/blob/1b3b9c5ba232734b1bda3453b4e20a0481bcdd74/codex-3000/addendum-1.58/PROGRAMMES_B.json</x:v>
      </x:c>
      <x:c r="K3317" t="str">
        <x:v>Source min 34,39 m ; max 34,39 m ; modèle 34 × 39 m ; niveaux 0. Détails dans catalogue-existant.json.</x:v>
      </x:c>
    </x:row>
    <x:row r="3318">
      <x:c r="A3318" t="str">
        <x:v>DW-3313</x:v>
      </x:c>
      <x:c r="B3318" t="str">
        <x:v>DW-3313</x:v>
      </x:c>
      <x:c r="C3318" t="str">
        <x:v>Parent indépendant 1.58</x:v>
      </x:c>
      <x:c r="D3318" t="str">
        <x:v>Commerces non alimentaires</x:v>
      </x:c>
      <x:c r="E3318" t="str">
        <x:v>Magasin de textiles d'ameublement</x:v>
      </x:c>
      <x:c r="F3318" t="n">
        <x:v>9</x:v>
      </x:c>
      <x:c r="G3318" t="n">
        <x:v>6</x:v>
      </x:c>
      <x:c r="H3318" t="n">
        <x:v>6</x:v>
      </x:c>
      <x:c r="I3318" t="str">
        <x:v>À qualifier par lieu</x:v>
      </x:c>
      <x:c r="J3318" t="str">
        <x:v>https://github.com/darknigthmare/deadwall-last-enclosure/blob/1b3b9c5ba232734b1bda3453b4e20a0481bcdd74/codex-3000/addendum-1.58/PROGRAMMES_B.json</x:v>
      </x:c>
      <x:c r="K3318" t="str">
        <x:v>Source min 38,42 m ; max 38,42 m ; modèle 38 × 42 m ; niveaux 0. Détails dans catalogue-existant.json.</x:v>
      </x:c>
    </x:row>
    <x:row r="3319">
      <x:c r="A3319" t="str">
        <x:v>DW-3314</x:v>
      </x:c>
      <x:c r="B3319" t="str">
        <x:v>DW-3314</x:v>
      </x:c>
      <x:c r="C3319" t="str">
        <x:v>Parent indépendant 1.58</x:v>
      </x:c>
      <x:c r="D3319" t="str">
        <x:v>Commerces non alimentaires</x:v>
      </x:c>
      <x:c r="E3319" t="str">
        <x:v>Boutique de linge de maison</x:v>
      </x:c>
      <x:c r="F3319" t="n">
        <x:v>9</x:v>
      </x:c>
      <x:c r="G3319" t="n">
        <x:v>6</x:v>
      </x:c>
      <x:c r="H3319" t="n">
        <x:v>6</x:v>
      </x:c>
      <x:c r="I3319" t="str">
        <x:v>À qualifier par lieu</x:v>
      </x:c>
      <x:c r="J3319" t="str">
        <x:v>https://github.com/darknigthmare/deadwall-last-enclosure/blob/1b3b9c5ba232734b1bda3453b4e20a0481bcdd74/codex-3000/addendum-1.58/PROGRAMMES_B.json</x:v>
      </x:c>
      <x:c r="K3319" t="str">
        <x:v>Source min 42,28 m ; max 42,28 m ; modèle 42 × 28 m ; niveaux 0, 1. Détails dans catalogue-existant.json.</x:v>
      </x:c>
    </x:row>
    <x:row r="3320">
      <x:c r="A3320" t="str">
        <x:v>DW-3315</x:v>
      </x:c>
      <x:c r="B3320" t="str">
        <x:v>DW-3315</x:v>
      </x:c>
      <x:c r="C3320" t="str">
        <x:v>Parent indépendant 1.58</x:v>
      </x:c>
      <x:c r="D3320" t="str">
        <x:v>Commerces non alimentaires</x:v>
      </x:c>
      <x:c r="E3320" t="str">
        <x:v>Comptoir de vêtements de travail</x:v>
      </x:c>
      <x:c r="F3320" t="n">
        <x:v>9</x:v>
      </x:c>
      <x:c r="G3320" t="n">
        <x:v>6</x:v>
      </x:c>
      <x:c r="H3320" t="n">
        <x:v>6</x:v>
      </x:c>
      <x:c r="I3320" t="str">
        <x:v>À qualifier par lieu</x:v>
      </x:c>
      <x:c r="J3320" t="str">
        <x:v>https://github.com/darknigthmare/deadwall-last-enclosure/blob/1b3b9c5ba232734b1bda3453b4e20a0481bcdd74/codex-3000/addendum-1.58/PROGRAMMES_B.json</x:v>
      </x:c>
      <x:c r="K3320" t="str">
        <x:v>Source min 30,36 m ; max 30,36 m ; modèle 30 × 36 m ; niveaux 0. Détails dans catalogue-existant.json.</x:v>
      </x:c>
    </x:row>
    <x:row r="3321">
      <x:c r="A3321" t="str">
        <x:v>DW-3316</x:v>
      </x:c>
      <x:c r="B3321" t="str">
        <x:v>DW-3316</x:v>
      </x:c>
      <x:c r="C3321" t="str">
        <x:v>Parent indépendant 1.58</x:v>
      </x:c>
      <x:c r="D3321" t="str">
        <x:v>Commerces non alimentaires</x:v>
      </x:c>
      <x:c r="E3321" t="str">
        <x:v>Boutique de chaussures adaptées</x:v>
      </x:c>
      <x:c r="F3321" t="n">
        <x:v>9</x:v>
      </x:c>
      <x:c r="G3321" t="n">
        <x:v>6</x:v>
      </x:c>
      <x:c r="H3321" t="n">
        <x:v>6</x:v>
      </x:c>
      <x:c r="I3321" t="str">
        <x:v>À qualifier par lieu</x:v>
      </x:c>
      <x:c r="J3321" t="str">
        <x:v>https://github.com/darknigthmare/deadwall-last-enclosure/blob/1b3b9c5ba232734b1bda3453b4e20a0481bcdd74/codex-3000/addendum-1.58/PROGRAMMES_B.json</x:v>
      </x:c>
      <x:c r="K3321" t="str">
        <x:v>Source min 34,39 m ; max 34,39 m ; modèle 34 × 39 m ; niveaux 0. Détails dans catalogue-existant.json.</x:v>
      </x:c>
    </x:row>
    <x:row r="3322">
      <x:c r="A3322" t="str">
        <x:v>DW-3317</x:v>
      </x:c>
      <x:c r="B3322" t="str">
        <x:v>DW-3317</x:v>
      </x:c>
      <x:c r="C3322" t="str">
        <x:v>Parent indépendant 1.58</x:v>
      </x:c>
      <x:c r="D3322" t="str">
        <x:v>Commerces non alimentaires</x:v>
      </x:c>
      <x:c r="E3322" t="str">
        <x:v>Magasin de tissus imperméables</x:v>
      </x:c>
      <x:c r="F3322" t="n">
        <x:v>9</x:v>
      </x:c>
      <x:c r="G3322" t="n">
        <x:v>6</x:v>
      </x:c>
      <x:c r="H3322" t="n">
        <x:v>6</x:v>
      </x:c>
      <x:c r="I3322" t="str">
        <x:v>À qualifier par lieu</x:v>
      </x:c>
      <x:c r="J3322" t="str">
        <x:v>https://github.com/darknigthmare/deadwall-last-enclosure/blob/1b3b9c5ba232734b1bda3453b4e20a0481bcdd74/codex-3000/addendum-1.58/PROGRAMMES_B.json</x:v>
      </x:c>
      <x:c r="K3322" t="str">
        <x:v>Source min 38,28 m ; max 38,28 m ; modèle 38 × 28 m ; niveaux 0, 1. Détails dans catalogue-existant.json.</x:v>
      </x:c>
    </x:row>
    <x:row r="3323">
      <x:c r="A3323" t="str">
        <x:v>DW-3318</x:v>
      </x:c>
      <x:c r="B3323" t="str">
        <x:v>DW-3318</x:v>
      </x:c>
      <x:c r="C3323" t="str">
        <x:v>Parent indépendant 1.58</x:v>
      </x:c>
      <x:c r="D3323" t="str">
        <x:v>Commerces non alimentaires</x:v>
      </x:c>
      <x:c r="E3323" t="str">
        <x:v>Boutique de chapeaux et coiffes</x:v>
      </x:c>
      <x:c r="F3323" t="n">
        <x:v>9</x:v>
      </x:c>
      <x:c r="G3323" t="n">
        <x:v>6</x:v>
      </x:c>
      <x:c r="H3323" t="n">
        <x:v>6</x:v>
      </x:c>
      <x:c r="I3323" t="str">
        <x:v>À qualifier par lieu</x:v>
      </x:c>
      <x:c r="J3323" t="str">
        <x:v>https://github.com/darknigthmare/deadwall-last-enclosure/blob/1b3b9c5ba232734b1bda3453b4e20a0481bcdd74/codex-3000/addendum-1.58/PROGRAMMES_B.json</x:v>
      </x:c>
      <x:c r="K3323" t="str">
        <x:v>Source min 42,45 m ; max 42,45 m ; modèle 42 × 45 m ; niveaux 0. Détails dans catalogue-existant.json.</x:v>
      </x:c>
    </x:row>
    <x:row r="3324">
      <x:c r="A3324" t="str">
        <x:v>DW-3319</x:v>
      </x:c>
      <x:c r="B3324" t="str">
        <x:v>DW-3319</x:v>
      </x:c>
      <x:c r="C3324" t="str">
        <x:v>Parent indépendant 1.58</x:v>
      </x:c>
      <x:c r="D3324" t="str">
        <x:v>Commerces non alimentaires</x:v>
      </x:c>
      <x:c r="E3324" t="str">
        <x:v>Comptoir de vêtements cérémoniels</x:v>
      </x:c>
      <x:c r="F3324" t="n">
        <x:v>9</x:v>
      </x:c>
      <x:c r="G3324" t="n">
        <x:v>6</x:v>
      </x:c>
      <x:c r="H3324" t="n">
        <x:v>6</x:v>
      </x:c>
      <x:c r="I3324" t="str">
        <x:v>À qualifier par lieu</x:v>
      </x:c>
      <x:c r="J3324" t="str">
        <x:v>https://github.com/darknigthmare/deadwall-last-enclosure/blob/1b3b9c5ba232734b1bda3453b4e20a0481bcdd74/codex-3000/addendum-1.58/PROGRAMMES_B.json</x:v>
      </x:c>
      <x:c r="K3324" t="str">
        <x:v>Source min 30,36 m ; max 30,36 m ; modèle 30 × 36 m ; niveaux 0. Détails dans catalogue-existant.json.</x:v>
      </x:c>
    </x:row>
    <x:row r="3325">
      <x:c r="A3325" t="str">
        <x:v>DW-3320</x:v>
      </x:c>
      <x:c r="B3325" t="str">
        <x:v>DW-3320</x:v>
      </x:c>
      <x:c r="C3325" t="str">
        <x:v>Parent indépendant 1.58</x:v>
      </x:c>
      <x:c r="D3325" t="str">
        <x:v>Commerces non alimentaires</x:v>
      </x:c>
      <x:c r="E3325" t="str">
        <x:v>Magasin de fournitures de cordonnerie</x:v>
      </x:c>
      <x:c r="F3325" t="n">
        <x:v>9</x:v>
      </x:c>
      <x:c r="G3325" t="n">
        <x:v>6</x:v>
      </x:c>
      <x:c r="H3325" t="n">
        <x:v>6</x:v>
      </x:c>
      <x:c r="I3325" t="str">
        <x:v>À qualifier par lieu</x:v>
      </x:c>
      <x:c r="J3325" t="str">
        <x:v>https://github.com/darknigthmare/deadwall-last-enclosure/blob/1b3b9c5ba232734b1bda3453b4e20a0481bcdd74/codex-3000/addendum-1.58/PROGRAMMES_B.json</x:v>
      </x:c>
      <x:c r="K3325" t="str">
        <x:v>Source min 34,28 m ; max 34,28 m ; modèle 34 × 28 m ; niveaux 0, 1. Détails dans catalogue-existant.json.</x:v>
      </x:c>
    </x:row>
    <x:row r="3326">
      <x:c r="A3326" t="str">
        <x:v>DW-3321</x:v>
      </x:c>
      <x:c r="B3326" t="str">
        <x:v>DW-3321</x:v>
      </x:c>
      <x:c r="C3326" t="str">
        <x:v>Parent indépendant 1.58</x:v>
      </x:c>
      <x:c r="D3326" t="str">
        <x:v>Commerces non alimentaires</x:v>
      </x:c>
      <x:c r="E3326" t="str">
        <x:v>Boutique d'éclairage domestique</x:v>
      </x:c>
      <x:c r="F3326" t="n">
        <x:v>9</x:v>
      </x:c>
      <x:c r="G3326" t="n">
        <x:v>6</x:v>
      </x:c>
      <x:c r="H3326" t="n">
        <x:v>6</x:v>
      </x:c>
      <x:c r="I3326" t="str">
        <x:v>À qualifier par lieu</x:v>
      </x:c>
      <x:c r="J3326" t="str">
        <x:v>https://github.com/darknigthmare/deadwall-last-enclosure/blob/1b3b9c5ba232734b1bda3453b4e20a0481bcdd74/codex-3000/addendum-1.58/PROGRAMMES_B.json</x:v>
      </x:c>
      <x:c r="K3326" t="str">
        <x:v>Source min 38,42 m ; max 38,42 m ; modèle 38 × 42 m ; niveaux 0. Détails dans catalogue-existant.json.</x:v>
      </x:c>
    </x:row>
    <x:row r="3327">
      <x:c r="A3327" t="str">
        <x:v>DW-3322</x:v>
      </x:c>
      <x:c r="B3327" t="str">
        <x:v>DW-3322</x:v>
      </x:c>
      <x:c r="C3327" t="str">
        <x:v>Parent indépendant 1.58</x:v>
      </x:c>
      <x:c r="D3327" t="str">
        <x:v>Commerces non alimentaires</x:v>
      </x:c>
      <x:c r="E3327" t="str">
        <x:v>Comptoir de poignées et ferrures</x:v>
      </x:c>
      <x:c r="F3327" t="n">
        <x:v>9</x:v>
      </x:c>
      <x:c r="G3327" t="n">
        <x:v>6</x:v>
      </x:c>
      <x:c r="H3327" t="n">
        <x:v>6</x:v>
      </x:c>
      <x:c r="I3327" t="str">
        <x:v>À qualifier par lieu</x:v>
      </x:c>
      <x:c r="J3327" t="str">
        <x:v>https://github.com/darknigthmare/deadwall-last-enclosure/blob/1b3b9c5ba232734b1bda3453b4e20a0481bcdd74/codex-3000/addendum-1.58/PROGRAMMES_B.json</x:v>
      </x:c>
      <x:c r="K3327" t="str">
        <x:v>Source min 42,45 m ; max 42,45 m ; modèle 42 × 45 m ; niveaux 0. Détails dans catalogue-existant.json.</x:v>
      </x:c>
    </x:row>
    <x:row r="3328">
      <x:c r="A3328" t="str">
        <x:v>DW-3323</x:v>
      </x:c>
      <x:c r="B3328" t="str">
        <x:v>DW-3323</x:v>
      </x:c>
      <x:c r="C3328" t="str">
        <x:v>Parent indépendant 1.58</x:v>
      </x:c>
      <x:c r="D3328" t="str">
        <x:v>Commerces non alimentaires</x:v>
      </x:c>
      <x:c r="E3328" t="str">
        <x:v>Magasin de stores et voilages</x:v>
      </x:c>
      <x:c r="F3328" t="n">
        <x:v>9</x:v>
      </x:c>
      <x:c r="G3328" t="n">
        <x:v>6</x:v>
      </x:c>
      <x:c r="H3328" t="n">
        <x:v>6</x:v>
      </x:c>
      <x:c r="I3328" t="str">
        <x:v>À qualifier par lieu</x:v>
      </x:c>
      <x:c r="J3328" t="str">
        <x:v>https://github.com/darknigthmare/deadwall-last-enclosure/blob/1b3b9c5ba232734b1bda3453b4e20a0481bcdd74/codex-3000/addendum-1.58/PROGRAMMES_B.json</x:v>
      </x:c>
      <x:c r="K3328" t="str">
        <x:v>Source min 30,28 m ; max 30,28 m ; modèle 30 × 28 m ; niveaux 0, 1. Détails dans catalogue-existant.json.</x:v>
      </x:c>
    </x:row>
    <x:row r="3329">
      <x:c r="A3329" t="str">
        <x:v>DW-3324</x:v>
      </x:c>
      <x:c r="B3329" t="str">
        <x:v>DW-3324</x:v>
      </x:c>
      <x:c r="C3329" t="str">
        <x:v>Parent indépendant 1.58</x:v>
      </x:c>
      <x:c r="D3329" t="str">
        <x:v>Commerces non alimentaires</x:v>
      </x:c>
      <x:c r="E3329" t="str">
        <x:v>Showroom de cuisines démontables</x:v>
      </x:c>
      <x:c r="F3329" t="n">
        <x:v>9</x:v>
      </x:c>
      <x:c r="G3329" t="n">
        <x:v>6</x:v>
      </x:c>
      <x:c r="H3329" t="n">
        <x:v>6</x:v>
      </x:c>
      <x:c r="I3329" t="str">
        <x:v>À qualifier par lieu</x:v>
      </x:c>
      <x:c r="J3329" t="str">
        <x:v>https://github.com/darknigthmare/deadwall-last-enclosure/blob/1b3b9c5ba232734b1bda3453b4e20a0481bcdd74/codex-3000/addendum-1.58/PROGRAMMES_B.json</x:v>
      </x:c>
      <x:c r="K3329" t="str">
        <x:v>Source min 34,39 m ; max 34,39 m ; modèle 34 × 39 m ; niveaux 0. Détails dans catalogue-existant.json.</x:v>
      </x:c>
    </x:row>
    <x:row r="3330">
      <x:c r="A3330" t="str">
        <x:v>DW-3325</x:v>
      </x:c>
      <x:c r="B3330" t="str">
        <x:v>DW-3325</x:v>
      </x:c>
      <x:c r="C3330" t="str">
        <x:v>Parent indépendant 1.58</x:v>
      </x:c>
      <x:c r="D3330" t="str">
        <x:v>Commerces non alimentaires</x:v>
      </x:c>
      <x:c r="E3330" t="str">
        <x:v>Magasin de revêtements de sol souples</x:v>
      </x:c>
      <x:c r="F3330" t="n">
        <x:v>9</x:v>
      </x:c>
      <x:c r="G3330" t="n">
        <x:v>6</x:v>
      </x:c>
      <x:c r="H3330" t="n">
        <x:v>6</x:v>
      </x:c>
      <x:c r="I3330" t="str">
        <x:v>À qualifier par lieu</x:v>
      </x:c>
      <x:c r="J3330" t="str">
        <x:v>https://github.com/darknigthmare/deadwall-last-enclosure/blob/1b3b9c5ba232734b1bda3453b4e20a0481bcdd74/codex-3000/addendum-1.58/PROGRAMMES_B.json</x:v>
      </x:c>
      <x:c r="K3330" t="str">
        <x:v>Source min 38,42 m ; max 38,42 m ; modèle 38 × 42 m ; niveaux 0. Détails dans catalogue-existant.json.</x:v>
      </x:c>
    </x:row>
    <x:row r="3331">
      <x:c r="A3331" t="str">
        <x:v>DW-3326</x:v>
      </x:c>
      <x:c r="B3331" t="str">
        <x:v>DW-3326</x:v>
      </x:c>
      <x:c r="C3331" t="str">
        <x:v>Parent indépendant 1.58</x:v>
      </x:c>
      <x:c r="D3331" t="str">
        <x:v>Commerces non alimentaires</x:v>
      </x:c>
      <x:c r="E3331" t="str">
        <x:v>Comptoir de panneaux acoustiques</x:v>
      </x:c>
      <x:c r="F3331" t="n">
        <x:v>9</x:v>
      </x:c>
      <x:c r="G3331" t="n">
        <x:v>6</x:v>
      </x:c>
      <x:c r="H3331" t="n">
        <x:v>6</x:v>
      </x:c>
      <x:c r="I3331" t="str">
        <x:v>À qualifier par lieu</x:v>
      </x:c>
      <x:c r="J3331" t="str">
        <x:v>https://github.com/darknigthmare/deadwall-last-enclosure/blob/1b3b9c5ba232734b1bda3453b4e20a0481bcdd74/codex-3000/addendum-1.58/PROGRAMMES_B.json</x:v>
      </x:c>
      <x:c r="K3331" t="str">
        <x:v>Source min 42,28 m ; max 42,28 m ; modèle 42 × 28 m ; niveaux 0, 1. Détails dans catalogue-existant.json.</x:v>
      </x:c>
    </x:row>
    <x:row r="3332">
      <x:c r="A3332" t="str">
        <x:v>DW-3327</x:v>
      </x:c>
      <x:c r="B3332" t="str">
        <x:v>DW-3327</x:v>
      </x:c>
      <x:c r="C3332" t="str">
        <x:v>Parent indépendant 1.58</x:v>
      </x:c>
      <x:c r="D3332" t="str">
        <x:v>Commerces non alimentaires</x:v>
      </x:c>
      <x:c r="E3332" t="str">
        <x:v>Magasin de papier peint</x:v>
      </x:c>
      <x:c r="F3332" t="n">
        <x:v>9</x:v>
      </x:c>
      <x:c r="G3332" t="n">
        <x:v>6</x:v>
      </x:c>
      <x:c r="H3332" t="n">
        <x:v>6</x:v>
      </x:c>
      <x:c r="I3332" t="str">
        <x:v>À qualifier par lieu</x:v>
      </x:c>
      <x:c r="J3332" t="str">
        <x:v>https://github.com/darknigthmare/deadwall-last-enclosure/blob/1b3b9c5ba232734b1bda3453b4e20a0481bcdd74/codex-3000/addendum-1.58/PROGRAMMES_B.json</x:v>
      </x:c>
      <x:c r="K3332" t="str">
        <x:v>Source min 30,36 m ; max 30,36 m ; modèle 30 × 36 m ; niveaux 0. Détails dans catalogue-existant.json.</x:v>
      </x:c>
    </x:row>
    <x:row r="3333">
      <x:c r="A3333" t="str">
        <x:v>DW-3328</x:v>
      </x:c>
      <x:c r="B3333" t="str">
        <x:v>DW-3328</x:v>
      </x:c>
      <x:c r="C3333" t="str">
        <x:v>Parent indépendant 1.58</x:v>
      </x:c>
      <x:c r="D3333" t="str">
        <x:v>Commerces non alimentaires</x:v>
      </x:c>
      <x:c r="E3333" t="str">
        <x:v>Boutique de miroirs et vitrages décoratifs</x:v>
      </x:c>
      <x:c r="F3333" t="n">
        <x:v>9</x:v>
      </x:c>
      <x:c r="G3333" t="n">
        <x:v>6</x:v>
      </x:c>
      <x:c r="H3333" t="n">
        <x:v>6</x:v>
      </x:c>
      <x:c r="I3333" t="str">
        <x:v>À qualifier par lieu</x:v>
      </x:c>
      <x:c r="J3333" t="str">
        <x:v>https://github.com/darknigthmare/deadwall-last-enclosure/blob/1b3b9c5ba232734b1bda3453b4e20a0481bcdd74/codex-3000/addendum-1.58/PROGRAMMES_B.json</x:v>
      </x:c>
      <x:c r="K3333" t="str">
        <x:v>Source min 34,39 m ; max 34,39 m ; modèle 34 × 39 m ; niveaux 0. Détails dans catalogue-existant.json.</x:v>
      </x:c>
    </x:row>
    <x:row r="3334">
      <x:c r="A3334" t="str">
        <x:v>DW-3329</x:v>
      </x:c>
      <x:c r="B3334" t="str">
        <x:v>DW-3329</x:v>
      </x:c>
      <x:c r="C3334" t="str">
        <x:v>Parent indépendant 1.58</x:v>
      </x:c>
      <x:c r="D3334" t="str">
        <x:v>Commerces non alimentaires</x:v>
      </x:c>
      <x:c r="E3334" t="str">
        <x:v>Comptoir de filtres domestiques</x:v>
      </x:c>
      <x:c r="F3334" t="n">
        <x:v>9</x:v>
      </x:c>
      <x:c r="G3334" t="n">
        <x:v>6</x:v>
      </x:c>
      <x:c r="H3334" t="n">
        <x:v>6</x:v>
      </x:c>
      <x:c r="I3334" t="str">
        <x:v>À qualifier par lieu</x:v>
      </x:c>
      <x:c r="J3334" t="str">
        <x:v>https://github.com/darknigthmare/deadwall-last-enclosure/blob/1b3b9c5ba232734b1bda3453b4e20a0481bcdd74/codex-3000/addendum-1.58/PROGRAMMES_B.json</x:v>
      </x:c>
      <x:c r="K3334" t="str">
        <x:v>Source min 38,28 m ; max 38,28 m ; modèle 38 × 28 m ; niveaux 0, 1. Détails dans catalogue-existant.json.</x:v>
      </x:c>
    </x:row>
    <x:row r="3335">
      <x:c r="A3335" t="str">
        <x:v>DW-3330</x:v>
      </x:c>
      <x:c r="B3335" t="str">
        <x:v>DW-3330</x:v>
      </x:c>
      <x:c r="C3335" t="str">
        <x:v>Parent indépendant 1.58</x:v>
      </x:c>
      <x:c r="D3335" t="str">
        <x:v>Commerces non alimentaires</x:v>
      </x:c>
      <x:c r="E3335" t="str">
        <x:v>Showroom de rangements modulaires</x:v>
      </x:c>
      <x:c r="F3335" t="n">
        <x:v>9</x:v>
      </x:c>
      <x:c r="G3335" t="n">
        <x:v>6</x:v>
      </x:c>
      <x:c r="H3335" t="n">
        <x:v>6</x:v>
      </x:c>
      <x:c r="I3335" t="str">
        <x:v>À qualifier par lieu</x:v>
      </x:c>
      <x:c r="J3335" t="str">
        <x:v>https://github.com/darknigthmare/deadwall-last-enclosure/blob/1b3b9c5ba232734b1bda3453b4e20a0481bcdd74/codex-3000/addendum-1.58/PROGRAMMES_B.json</x:v>
      </x:c>
      <x:c r="K3335" t="str">
        <x:v>Source min 42,45 m ; max 42,45 m ; modèle 42 × 45 m ; niveaux 0. Détails dans catalogue-existant.json.</x:v>
      </x:c>
    </x:row>
    <x:row r="3336">
      <x:c r="A3336" t="str">
        <x:v>DW-3331</x:v>
      </x:c>
      <x:c r="B3336" t="str">
        <x:v>DW-3331</x:v>
      </x:c>
      <x:c r="C3336" t="str">
        <x:v>Parent indépendant 1.58</x:v>
      </x:c>
      <x:c r="D3336" t="str">
        <x:v>Commerces non alimentaires</x:v>
      </x:c>
      <x:c r="E3336" t="str">
        <x:v>Boutique de modélisme ferroviaire</x:v>
      </x:c>
      <x:c r="F3336" t="n">
        <x:v>9</x:v>
      </x:c>
      <x:c r="G3336" t="n">
        <x:v>6</x:v>
      </x:c>
      <x:c r="H3336" t="n">
        <x:v>6</x:v>
      </x:c>
      <x:c r="I3336" t="str">
        <x:v>À qualifier par lieu</x:v>
      </x:c>
      <x:c r="J3336" t="str">
        <x:v>https://github.com/darknigthmare/deadwall-last-enclosure/blob/1b3b9c5ba232734b1bda3453b4e20a0481bcdd74/codex-3000/addendum-1.58/PROGRAMMES_B.json</x:v>
      </x:c>
      <x:c r="K3336" t="str">
        <x:v>Source min 30,36 m ; max 30,36 m ; modèle 30 × 36 m ; niveaux 0. Détails dans catalogue-existant.json.</x:v>
      </x:c>
    </x:row>
    <x:row r="3337">
      <x:c r="A3337" t="str">
        <x:v>DW-3332</x:v>
      </x:c>
      <x:c r="B3337" t="str">
        <x:v>DW-3332</x:v>
      </x:c>
      <x:c r="C3337" t="str">
        <x:v>Parent indépendant 1.58</x:v>
      </x:c>
      <x:c r="D3337" t="str">
        <x:v>Commerces non alimentaires</x:v>
      </x:c>
      <x:c r="E3337" t="str">
        <x:v>Comptoir de maquettes navales</x:v>
      </x:c>
      <x:c r="F3337" t="n">
        <x:v>9</x:v>
      </x:c>
      <x:c r="G3337" t="n">
        <x:v>6</x:v>
      </x:c>
      <x:c r="H3337" t="n">
        <x:v>6</x:v>
      </x:c>
      <x:c r="I3337" t="str">
        <x:v>À qualifier par lieu</x:v>
      </x:c>
      <x:c r="J3337" t="str">
        <x:v>https://github.com/darknigthmare/deadwall-last-enclosure/blob/1b3b9c5ba232734b1bda3453b4e20a0481bcdd74/codex-3000/addendum-1.58/PROGRAMMES_B.json</x:v>
      </x:c>
      <x:c r="K3337" t="str">
        <x:v>Source min 34,28 m ; max 34,28 m ; modèle 34 × 28 m ; niveaux 0, 1. Détails dans catalogue-existant.json.</x:v>
      </x:c>
    </x:row>
    <x:row r="3338">
      <x:c r="A3338" t="str">
        <x:v>DW-3333</x:v>
      </x:c>
      <x:c r="B3338" t="str">
        <x:v>DW-3333</x:v>
      </x:c>
      <x:c r="C3338" t="str">
        <x:v>Parent indépendant 1.58</x:v>
      </x:c>
      <x:c r="D3338" t="str">
        <x:v>Commerces non alimentaires</x:v>
      </x:c>
      <x:c r="E3338" t="str">
        <x:v>Boutique de jeux de rôle sur table</x:v>
      </x:c>
      <x:c r="F3338" t="n">
        <x:v>9</x:v>
      </x:c>
      <x:c r="G3338" t="n">
        <x:v>6</x:v>
      </x:c>
      <x:c r="H3338" t="n">
        <x:v>6</x:v>
      </x:c>
      <x:c r="I3338" t="str">
        <x:v>À qualifier par lieu</x:v>
      </x:c>
      <x:c r="J3338" t="str">
        <x:v>https://github.com/darknigthmare/deadwall-last-enclosure/blob/1b3b9c5ba232734b1bda3453b4e20a0481bcdd74/codex-3000/addendum-1.58/PROGRAMMES_B.json</x:v>
      </x:c>
      <x:c r="K3338" t="str">
        <x:v>Source min 38,42 m ; max 38,42 m ; modèle 38 × 42 m ; niveaux 0. Détails dans catalogue-existant.json.</x:v>
      </x:c>
    </x:row>
    <x:row r="3339">
      <x:c r="A3339" t="str">
        <x:v>DW-3334</x:v>
      </x:c>
      <x:c r="B3339" t="str">
        <x:v>DW-3334</x:v>
      </x:c>
      <x:c r="C3339" t="str">
        <x:v>Parent indépendant 1.58</x:v>
      </x:c>
      <x:c r="D3339" t="str">
        <x:v>Commerces non alimentaires</x:v>
      </x:c>
      <x:c r="E3339" t="str">
        <x:v>Magasin de puzzles et casse-têtes</x:v>
      </x:c>
      <x:c r="F3339" t="n">
        <x:v>9</x:v>
      </x:c>
      <x:c r="G3339" t="n">
        <x:v>6</x:v>
      </x:c>
      <x:c r="H3339" t="n">
        <x:v>6</x:v>
      </x:c>
      <x:c r="I3339" t="str">
        <x:v>À qualifier par lieu</x:v>
      </x:c>
      <x:c r="J3339" t="str">
        <x:v>https://github.com/darknigthmare/deadwall-last-enclosure/blob/1b3b9c5ba232734b1bda3453b4e20a0481bcdd74/codex-3000/addendum-1.58/PROGRAMMES_B.json</x:v>
      </x:c>
      <x:c r="K3339" t="str">
        <x:v>Source min 42,45 m ; max 42,45 m ; modèle 42 × 45 m ; niveaux 0. Détails dans catalogue-existant.json.</x:v>
      </x:c>
    </x:row>
    <x:row r="3340">
      <x:c r="A3340" t="str">
        <x:v>DW-3335</x:v>
      </x:c>
      <x:c r="B3340" t="str">
        <x:v>DW-3335</x:v>
      </x:c>
      <x:c r="C3340" t="str">
        <x:v>Parent indépendant 1.58</x:v>
      </x:c>
      <x:c r="D3340" t="str">
        <x:v>Commerces non alimentaires</x:v>
      </x:c>
      <x:c r="E3340" t="str">
        <x:v>Boutique de matériaux de beaux-arts</x:v>
      </x:c>
      <x:c r="F3340" t="n">
        <x:v>9</x:v>
      </x:c>
      <x:c r="G3340" t="n">
        <x:v>6</x:v>
      </x:c>
      <x:c r="H3340" t="n">
        <x:v>6</x:v>
      </x:c>
      <x:c r="I3340" t="str">
        <x:v>À qualifier par lieu</x:v>
      </x:c>
      <x:c r="J3340" t="str">
        <x:v>https://github.com/darknigthmare/deadwall-last-enclosure/blob/1b3b9c5ba232734b1bda3453b4e20a0481bcdd74/codex-3000/addendum-1.58/PROGRAMMES_B.json</x:v>
      </x:c>
      <x:c r="K3340" t="str">
        <x:v>Source min 30,28 m ; max 30,28 m ; modèle 30 × 28 m ; niveaux 0, 1. Détails dans catalogue-existant.json.</x:v>
      </x:c>
    </x:row>
    <x:row r="3341">
      <x:c r="A3341" t="str">
        <x:v>DW-3336</x:v>
      </x:c>
      <x:c r="B3341" t="str">
        <x:v>DW-3336</x:v>
      </x:c>
      <x:c r="C3341" t="str">
        <x:v>Parent indépendant 1.58</x:v>
      </x:c>
      <x:c r="D3341" t="str">
        <x:v>Commerces non alimentaires</x:v>
      </x:c>
      <x:c r="E3341" t="str">
        <x:v>Comptoir de céramique de loisir</x:v>
      </x:c>
      <x:c r="F3341" t="n">
        <x:v>9</x:v>
      </x:c>
      <x:c r="G3341" t="n">
        <x:v>6</x:v>
      </x:c>
      <x:c r="H3341" t="n">
        <x:v>6</x:v>
      </x:c>
      <x:c r="I3341" t="str">
        <x:v>À qualifier par lieu</x:v>
      </x:c>
      <x:c r="J3341" t="str">
        <x:v>https://github.com/darknigthmare/deadwall-last-enclosure/blob/1b3b9c5ba232734b1bda3453b4e20a0481bcdd74/codex-3000/addendum-1.58/PROGRAMMES_B.json</x:v>
      </x:c>
      <x:c r="K3341" t="str">
        <x:v>Source min 34,39 m ; max 34,39 m ; modèle 34 × 39 m ; niveaux 0. Détails dans catalogue-existant.json.</x:v>
      </x:c>
    </x:row>
    <x:row r="3342">
      <x:c r="A3342" t="str">
        <x:v>DW-3337</x:v>
      </x:c>
      <x:c r="B3342" t="str">
        <x:v>DW-3337</x:v>
      </x:c>
      <x:c r="C3342" t="str">
        <x:v>Parent indépendant 1.58</x:v>
      </x:c>
      <x:c r="D3342" t="str">
        <x:v>Commerces non alimentaires</x:v>
      </x:c>
      <x:c r="E3342" t="str">
        <x:v>Boutique de fournitures de calligraphie</x:v>
      </x:c>
      <x:c r="F3342" t="n">
        <x:v>9</x:v>
      </x:c>
      <x:c r="G3342" t="n">
        <x:v>6</x:v>
      </x:c>
      <x:c r="H3342" t="n">
        <x:v>6</x:v>
      </x:c>
      <x:c r="I3342" t="str">
        <x:v>À qualifier par lieu</x:v>
      </x:c>
      <x:c r="J3342" t="str">
        <x:v>https://github.com/darknigthmare/deadwall-last-enclosure/blob/1b3b9c5ba232734b1bda3453b4e20a0481bcdd74/codex-3000/addendum-1.58/PROGRAMMES_B.json</x:v>
      </x:c>
      <x:c r="K3342" t="str">
        <x:v>Source min 38,42 m ; max 38,42 m ; modèle 38 × 42 m ; niveaux 0. Détails dans catalogue-existant.json.</x:v>
      </x:c>
    </x:row>
    <x:row r="3343">
      <x:c r="A3343" t="str">
        <x:v>DW-3338</x:v>
      </x:c>
      <x:c r="B3343" t="str">
        <x:v>DW-3338</x:v>
      </x:c>
      <x:c r="C3343" t="str">
        <x:v>Parent indépendant 1.58</x:v>
      </x:c>
      <x:c r="D3343" t="str">
        <x:v>Commerces non alimentaires</x:v>
      </x:c>
      <x:c r="E3343" t="str">
        <x:v>Magasin d'accessoires photographiques</x:v>
      </x:c>
      <x:c r="F3343" t="n">
        <x:v>9</x:v>
      </x:c>
      <x:c r="G3343" t="n">
        <x:v>6</x:v>
      </x:c>
      <x:c r="H3343" t="n">
        <x:v>6</x:v>
      </x:c>
      <x:c r="I3343" t="str">
        <x:v>À qualifier par lieu</x:v>
      </x:c>
      <x:c r="J3343" t="str">
        <x:v>https://github.com/darknigthmare/deadwall-last-enclosure/blob/1b3b9c5ba232734b1bda3453b4e20a0481bcdd74/codex-3000/addendum-1.58/PROGRAMMES_B.json</x:v>
      </x:c>
      <x:c r="K3343" t="str">
        <x:v>Source min 42,28 m ; max 42,28 m ; modèle 42 × 28 m ; niveaux 0, 1. Détails dans catalogue-existant.json.</x:v>
      </x:c>
    </x:row>
    <x:row r="3344">
      <x:c r="A3344" t="str">
        <x:v>DW-3339</x:v>
      </x:c>
      <x:c r="B3344" t="str">
        <x:v>DW-3339</x:v>
      </x:c>
      <x:c r="C3344" t="str">
        <x:v>Parent indépendant 1.58</x:v>
      </x:c>
      <x:c r="D3344" t="str">
        <x:v>Commerces non alimentaires</x:v>
      </x:c>
      <x:c r="E3344" t="str">
        <x:v>Comptoir d'instruments à cordes</x:v>
      </x:c>
      <x:c r="F3344" t="n">
        <x:v>9</x:v>
      </x:c>
      <x:c r="G3344" t="n">
        <x:v>6</x:v>
      </x:c>
      <x:c r="H3344" t="n">
        <x:v>6</x:v>
      </x:c>
      <x:c r="I3344" t="str">
        <x:v>À qualifier par lieu</x:v>
      </x:c>
      <x:c r="J3344" t="str">
        <x:v>https://github.com/darknigthmare/deadwall-last-enclosure/blob/1b3b9c5ba232734b1bda3453b4e20a0481bcdd74/codex-3000/addendum-1.58/PROGRAMMES_B.json</x:v>
      </x:c>
      <x:c r="K3344" t="str">
        <x:v>Source min 30,36 m ; max 30,36 m ; modèle 30 × 36 m ; niveaux 0. Détails dans catalogue-existant.json.</x:v>
      </x:c>
    </x:row>
    <x:row r="3345">
      <x:c r="A3345" t="str">
        <x:v>DW-3340</x:v>
      </x:c>
      <x:c r="B3345" t="str">
        <x:v>DW-3340</x:v>
      </x:c>
      <x:c r="C3345" t="str">
        <x:v>Parent indépendant 1.58</x:v>
      </x:c>
      <x:c r="D3345" t="str">
        <x:v>Commerces non alimentaires</x:v>
      </x:c>
      <x:c r="E3345" t="str">
        <x:v>Boutique de percussions</x:v>
      </x:c>
      <x:c r="F3345" t="n">
        <x:v>9</x:v>
      </x:c>
      <x:c r="G3345" t="n">
        <x:v>6</x:v>
      </x:c>
      <x:c r="H3345" t="n">
        <x:v>6</x:v>
      </x:c>
      <x:c r="I3345" t="str">
        <x:v>À qualifier par lieu</x:v>
      </x:c>
      <x:c r="J3345" t="str">
        <x:v>https://github.com/darknigthmare/deadwall-last-enclosure/blob/1b3b9c5ba232734b1bda3453b4e20a0481bcdd74/codex-3000/addendum-1.58/PROGRAMMES_B.json</x:v>
      </x:c>
      <x:c r="K3345" t="str">
        <x:v>Source min 34,39 m ; max 34,39 m ; modèle 34 × 39 m ; niveaux 0. Détails dans catalogue-existant.json.</x:v>
      </x:c>
    </x:row>
    <x:row r="3346">
      <x:c r="A3346" t="str">
        <x:v>DW-3341</x:v>
      </x:c>
      <x:c r="B3346" t="str">
        <x:v>DW-3341</x:v>
      </x:c>
      <x:c r="C3346" t="str">
        <x:v>Parent indépendant 1.58</x:v>
      </x:c>
      <x:c r="D3346" t="str">
        <x:v>Commerces non alimentaires</x:v>
      </x:c>
      <x:c r="E3346" t="str">
        <x:v>Magasin d'accessoires pour vélos</x:v>
      </x:c>
      <x:c r="F3346" t="n">
        <x:v>9</x:v>
      </x:c>
      <x:c r="G3346" t="n">
        <x:v>6</x:v>
      </x:c>
      <x:c r="H3346" t="n">
        <x:v>6</x:v>
      </x:c>
      <x:c r="I3346" t="str">
        <x:v>À qualifier par lieu</x:v>
      </x:c>
      <x:c r="J3346" t="str">
        <x:v>https://github.com/darknigthmare/deadwall-last-enclosure/blob/1b3b9c5ba232734b1bda3453b4e20a0481bcdd74/codex-3000/addendum-1.58/PROGRAMMES_B.json</x:v>
      </x:c>
      <x:c r="K3346" t="str">
        <x:v>Source min 38,28 m ; max 38,28 m ; modèle 38 × 28 m ; niveaux 0, 1. Détails dans catalogue-existant.json.</x:v>
      </x:c>
    </x:row>
    <x:row r="3347">
      <x:c r="A3347" t="str">
        <x:v>DW-3342</x:v>
      </x:c>
      <x:c r="B3347" t="str">
        <x:v>DW-3342</x:v>
      </x:c>
      <x:c r="C3347" t="str">
        <x:v>Parent indépendant 1.58</x:v>
      </x:c>
      <x:c r="D3347" t="str">
        <x:v>Commerces non alimentaires</x:v>
      </x:c>
      <x:c r="E3347" t="str">
        <x:v>Comptoir de bagagerie de randonnée</x:v>
      </x:c>
      <x:c r="F3347" t="n">
        <x:v>9</x:v>
      </x:c>
      <x:c r="G3347" t="n">
        <x:v>6</x:v>
      </x:c>
      <x:c r="H3347" t="n">
        <x:v>6</x:v>
      </x:c>
      <x:c r="I3347" t="str">
        <x:v>À qualifier par lieu</x:v>
      </x:c>
      <x:c r="J3347" t="str">
        <x:v>https://github.com/darknigthmare/deadwall-last-enclosure/blob/1b3b9c5ba232734b1bda3453b4e20a0481bcdd74/codex-3000/addendum-1.58/PROGRAMMES_B.json</x:v>
      </x:c>
      <x:c r="K3347" t="str">
        <x:v>Source min 42,45 m ; max 42,45 m ; modèle 42 × 45 m ; niveaux 0. Détails dans catalogue-existant.json.</x:v>
      </x:c>
    </x:row>
    <x:row r="3348">
      <x:c r="A3348" t="str">
        <x:v>DW-3343</x:v>
      </x:c>
      <x:c r="B3348" t="str">
        <x:v>DW-3343</x:v>
      </x:c>
      <x:c r="C3348" t="str">
        <x:v>Parent indépendant 1.58</x:v>
      </x:c>
      <x:c r="D3348" t="str">
        <x:v>Commerces non alimentaires</x:v>
      </x:c>
      <x:c r="E3348" t="str">
        <x:v>Boutique de matériel d'orientation</x:v>
      </x:c>
      <x:c r="F3348" t="n">
        <x:v>9</x:v>
      </x:c>
      <x:c r="G3348" t="n">
        <x:v>6</x:v>
      </x:c>
      <x:c r="H3348" t="n">
        <x:v>6</x:v>
      </x:c>
      <x:c r="I3348" t="str">
        <x:v>À qualifier par lieu</x:v>
      </x:c>
      <x:c r="J3348" t="str">
        <x:v>https://github.com/darknigthmare/deadwall-last-enclosure/blob/1b3b9c5ba232734b1bda3453b4e20a0481bcdd74/codex-3000/addendum-1.58/PROGRAMMES_B.json</x:v>
      </x:c>
      <x:c r="K3348" t="str">
        <x:v>Source min 30,36 m ; max 30,36 m ; modèle 30 × 36 m ; niveaux 0. Détails dans catalogue-existant.json.</x:v>
      </x:c>
    </x:row>
    <x:row r="3349">
      <x:c r="A3349" t="str">
        <x:v>DW-3344</x:v>
      </x:c>
      <x:c r="B3349" t="str">
        <x:v>DW-3344</x:v>
      </x:c>
      <x:c r="C3349" t="str">
        <x:v>Parent indépendant 1.58</x:v>
      </x:c>
      <x:c r="D3349" t="str">
        <x:v>Commerces non alimentaires</x:v>
      </x:c>
      <x:c r="E3349" t="str">
        <x:v>Magasin d'équipement de camping léger</x:v>
      </x:c>
      <x:c r="F3349" t="n">
        <x:v>9</x:v>
      </x:c>
      <x:c r="G3349" t="n">
        <x:v>6</x:v>
      </x:c>
      <x:c r="H3349" t="n">
        <x:v>6</x:v>
      </x:c>
      <x:c r="I3349" t="str">
        <x:v>À qualifier par lieu</x:v>
      </x:c>
      <x:c r="J3349" t="str">
        <x:v>https://github.com/darknigthmare/deadwall-last-enclosure/blob/1b3b9c5ba232734b1bda3453b4e20a0481bcdd74/codex-3000/addendum-1.58/PROGRAMMES_B.json</x:v>
      </x:c>
      <x:c r="K3349" t="str">
        <x:v>Source min 34,28 m ; max 34,28 m ; modèle 34 × 28 m ; niveaux 0, 1. Détails dans catalogue-existant.json.</x:v>
      </x:c>
    </x:row>
    <x:row r="3350">
      <x:c r="A3350" t="str">
        <x:v>DW-3345</x:v>
      </x:c>
      <x:c r="B3350" t="str">
        <x:v>DW-3345</x:v>
      </x:c>
      <x:c r="C3350" t="str">
        <x:v>Parent indépendant 1.58</x:v>
      </x:c>
      <x:c r="D3350" t="str">
        <x:v>Commerces non alimentaires</x:v>
      </x:c>
      <x:c r="E3350" t="str">
        <x:v>Comptoir de cordages de plein air</x:v>
      </x:c>
      <x:c r="F3350" t="n">
        <x:v>9</x:v>
      </x:c>
      <x:c r="G3350" t="n">
        <x:v>6</x:v>
      </x:c>
      <x:c r="H3350" t="n">
        <x:v>6</x:v>
      </x:c>
      <x:c r="I3350" t="str">
        <x:v>À qualifier par lieu</x:v>
      </x:c>
      <x:c r="J3350" t="str">
        <x:v>https://github.com/darknigthmare/deadwall-last-enclosure/blob/1b3b9c5ba232734b1bda3453b4e20a0481bcdd74/codex-3000/addendum-1.58/PROGRAMMES_B.json</x:v>
      </x:c>
      <x:c r="K3350" t="str">
        <x:v>Source min 38,42 m ; max 38,42 m ; modèle 38 × 42 m ; niveaux 0. Détails dans catalogue-existant.json.</x:v>
      </x:c>
    </x:row>
    <x:row r="3351">
      <x:c r="A3351" t="str">
        <x:v>DW-3346</x:v>
      </x:c>
      <x:c r="B3351" t="str">
        <x:v>DW-3346</x:v>
      </x:c>
      <x:c r="C3351" t="str">
        <x:v>Parent indépendant 1.58</x:v>
      </x:c>
      <x:c r="D3351" t="str">
        <x:v>Commerces non alimentaires</x:v>
      </x:c>
      <x:c r="E3351" t="str">
        <x:v>Boutique de protections de skating</x:v>
      </x:c>
      <x:c r="F3351" t="n">
        <x:v>9</x:v>
      </x:c>
      <x:c r="G3351" t="n">
        <x:v>6</x:v>
      </x:c>
      <x:c r="H3351" t="n">
        <x:v>6</x:v>
      </x:c>
      <x:c r="I3351" t="str">
        <x:v>À qualifier par lieu</x:v>
      </x:c>
      <x:c r="J3351" t="str">
        <x:v>https://github.com/darknigthmare/deadwall-last-enclosure/blob/1b3b9c5ba232734b1bda3453b4e20a0481bcdd74/codex-3000/addendum-1.58/PROGRAMMES_B.json</x:v>
      </x:c>
      <x:c r="K3351" t="str">
        <x:v>Source min 42,45 m ; max 42,45 m ; modèle 42 × 45 m ; niveaux 0. Détails dans catalogue-existant.json.</x:v>
      </x:c>
    </x:row>
    <x:row r="3352">
      <x:c r="A3352" t="str">
        <x:v>DW-3347</x:v>
      </x:c>
      <x:c r="B3352" t="str">
        <x:v>DW-3347</x:v>
      </x:c>
      <x:c r="C3352" t="str">
        <x:v>Parent indépendant 1.58</x:v>
      </x:c>
      <x:c r="D3352" t="str">
        <x:v>Commerces non alimentaires</x:v>
      </x:c>
      <x:c r="E3352" t="str">
        <x:v>Magasin de matériel de pêche à la mouche</x:v>
      </x:c>
      <x:c r="F3352" t="n">
        <x:v>9</x:v>
      </x:c>
      <x:c r="G3352" t="n">
        <x:v>6</x:v>
      </x:c>
      <x:c r="H3352" t="n">
        <x:v>6</x:v>
      </x:c>
      <x:c r="I3352" t="str">
        <x:v>À qualifier par lieu</x:v>
      </x:c>
      <x:c r="J3352" t="str">
        <x:v>https://github.com/darknigthmare/deadwall-last-enclosure/blob/1b3b9c5ba232734b1bda3453b4e20a0481bcdd74/codex-3000/addendum-1.58/PROGRAMMES_B.json</x:v>
      </x:c>
      <x:c r="K3352" t="str">
        <x:v>Source min 30,28 m ; max 30,28 m ; modèle 30 × 28 m ; niveaux 0, 1. Détails dans catalogue-existant.json.</x:v>
      </x:c>
    </x:row>
    <x:row r="3353">
      <x:c r="A3353" t="str">
        <x:v>DW-3348</x:v>
      </x:c>
      <x:c r="B3353" t="str">
        <x:v>DW-3348</x:v>
      </x:c>
      <x:c r="C3353" t="str">
        <x:v>Parent indépendant 1.58</x:v>
      </x:c>
      <x:c r="D3353" t="str">
        <x:v>Commerces non alimentaires</x:v>
      </x:c>
      <x:c r="E3353" t="str">
        <x:v>Comptoir de protections de navigation</x:v>
      </x:c>
      <x:c r="F3353" t="n">
        <x:v>9</x:v>
      </x:c>
      <x:c r="G3353" t="n">
        <x:v>6</x:v>
      </x:c>
      <x:c r="H3353" t="n">
        <x:v>6</x:v>
      </x:c>
      <x:c r="I3353" t="str">
        <x:v>À qualifier par lieu</x:v>
      </x:c>
      <x:c r="J3353" t="str">
        <x:v>https://github.com/darknigthmare/deadwall-last-enclosure/blob/1b3b9c5ba232734b1bda3453b4e20a0481bcdd74/codex-3000/addendum-1.58/PROGRAMMES_B.json</x:v>
      </x:c>
      <x:c r="K3353" t="str">
        <x:v>Source min 34,39 m ; max 34,39 m ; modèle 34 × 39 m ; niveaux 0. Détails dans catalogue-existant.json.</x:v>
      </x:c>
    </x:row>
    <x:row r="3354">
      <x:c r="A3354" t="str">
        <x:v>DW-3349</x:v>
      </x:c>
      <x:c r="B3354" t="str">
        <x:v>DW-3349</x:v>
      </x:c>
      <x:c r="C3354" t="str">
        <x:v>Parent indépendant 1.58</x:v>
      </x:c>
      <x:c r="D3354" t="str">
        <x:v>Commerces non alimentaires</x:v>
      </x:c>
      <x:c r="E3354" t="str">
        <x:v>Boutique d'accessoires équestres</x:v>
      </x:c>
      <x:c r="F3354" t="n">
        <x:v>9</x:v>
      </x:c>
      <x:c r="G3354" t="n">
        <x:v>6</x:v>
      </x:c>
      <x:c r="H3354" t="n">
        <x:v>6</x:v>
      </x:c>
      <x:c r="I3354" t="str">
        <x:v>À qualifier par lieu</x:v>
      </x:c>
      <x:c r="J3354" t="str">
        <x:v>https://github.com/darknigthmare/deadwall-last-enclosure/blob/1b3b9c5ba232734b1bda3453b4e20a0481bcdd74/codex-3000/addendum-1.58/PROGRAMMES_B.json</x:v>
      </x:c>
      <x:c r="K3354" t="str">
        <x:v>Source min 38,42 m ; max 38,42 m ; modèle 38 × 42 m ; niveaux 0. Détails dans catalogue-existant.json.</x:v>
      </x:c>
    </x:row>
    <x:row r="3355">
      <x:c r="A3355" t="str">
        <x:v>DW-3350</x:v>
      </x:c>
      <x:c r="B3355" t="str">
        <x:v>DW-3350</x:v>
      </x:c>
      <x:c r="C3355" t="str">
        <x:v>Parent indépendant 1.58</x:v>
      </x:c>
      <x:c r="D3355" t="str">
        <x:v>Commerces non alimentaires</x:v>
      </x:c>
      <x:c r="E3355" t="str">
        <x:v>Magasin de pièces de trottinettes</x:v>
      </x:c>
      <x:c r="F3355" t="n">
        <x:v>9</x:v>
      </x:c>
      <x:c r="G3355" t="n">
        <x:v>6</x:v>
      </x:c>
      <x:c r="H3355" t="n">
        <x:v>6</x:v>
      </x:c>
      <x:c r="I3355" t="str">
        <x:v>À qualifier par lieu</x:v>
      </x:c>
      <x:c r="J3355" t="str">
        <x:v>https://github.com/darknigthmare/deadwall-last-enclosure/blob/1b3b9c5ba232734b1bda3453b4e20a0481bcdd74/codex-3000/addendum-1.58/PROGRAMMES_B.json</x:v>
      </x:c>
      <x:c r="K3355" t="str">
        <x:v>Source min 42,28 m ; max 42,28 m ; modèle 42 × 28 m ; niveaux 0, 1. Détails dans catalogue-existant.json.</x:v>
      </x:c>
    </x:row>
    <x:row r="3356">
      <x:c r="A3356" t="str">
        <x:v>DW-3351</x:v>
      </x:c>
      <x:c r="B3356" t="str">
        <x:v>DW-3351</x:v>
      </x:c>
      <x:c r="C3356" t="str">
        <x:v>Parent indépendant 1.58</x:v>
      </x:c>
      <x:c r="D3356" t="str">
        <x:v>Commerces non alimentaires</x:v>
      </x:c>
      <x:c r="E3356" t="str">
        <x:v>Boutique de graines potagères</x:v>
      </x:c>
      <x:c r="F3356" t="n">
        <x:v>9</x:v>
      </x:c>
      <x:c r="G3356" t="n">
        <x:v>6</x:v>
      </x:c>
      <x:c r="H3356" t="n">
        <x:v>6</x:v>
      </x:c>
      <x:c r="I3356" t="str">
        <x:v>À qualifier par lieu</x:v>
      </x:c>
      <x:c r="J3356" t="str">
        <x:v>https://github.com/darknigthmare/deadwall-last-enclosure/blob/1b3b9c5ba232734b1bda3453b4e20a0481bcdd74/codex-3000/addendum-1.58/PROGRAMMES_B.json</x:v>
      </x:c>
      <x:c r="K3356" t="str">
        <x:v>Source min 30,36 m ; max 30,36 m ; modèle 30 × 36 m ; niveaux 0. Détails dans catalogue-existant.json.</x:v>
      </x:c>
    </x:row>
    <x:row r="3357">
      <x:c r="A3357" t="str">
        <x:v>DW-3352</x:v>
      </x:c>
      <x:c r="B3357" t="str">
        <x:v>DW-3352</x:v>
      </x:c>
      <x:c r="C3357" t="str">
        <x:v>Parent indépendant 1.58</x:v>
      </x:c>
      <x:c r="D3357" t="str">
        <x:v>Commerces non alimentaires</x:v>
      </x:c>
      <x:c r="E3357" t="str">
        <x:v>Comptoir d'irrigation domestique</x:v>
      </x:c>
      <x:c r="F3357" t="n">
        <x:v>9</x:v>
      </x:c>
      <x:c r="G3357" t="n">
        <x:v>6</x:v>
      </x:c>
      <x:c r="H3357" t="n">
        <x:v>6</x:v>
      </x:c>
      <x:c r="I3357" t="str">
        <x:v>À qualifier par lieu</x:v>
      </x:c>
      <x:c r="J3357" t="str">
        <x:v>https://github.com/darknigthmare/deadwall-last-enclosure/blob/1b3b9c5ba232734b1bda3453b4e20a0481bcdd74/codex-3000/addendum-1.58/PROGRAMMES_B.json</x:v>
      </x:c>
      <x:c r="K3357" t="str">
        <x:v>Source min 34,39 m ; max 34,39 m ; modèle 34 × 39 m ; niveaux 0. Détails dans catalogue-existant.json.</x:v>
      </x:c>
    </x:row>
    <x:row r="3358">
      <x:c r="A3358" t="str">
        <x:v>DW-3353</x:v>
      </x:c>
      <x:c r="B3358" t="str">
        <x:v>DW-3353</x:v>
      </x:c>
      <x:c r="C3358" t="str">
        <x:v>Parent indépendant 1.58</x:v>
      </x:c>
      <x:c r="D3358" t="str">
        <x:v>Commerces non alimentaires</x:v>
      </x:c>
      <x:c r="E3358" t="str">
        <x:v>Magasin de composteurs domestiques</x:v>
      </x:c>
      <x:c r="F3358" t="n">
        <x:v>9</x:v>
      </x:c>
      <x:c r="G3358" t="n">
        <x:v>6</x:v>
      </x:c>
      <x:c r="H3358" t="n">
        <x:v>6</x:v>
      </x:c>
      <x:c r="I3358" t="str">
        <x:v>À qualifier par lieu</x:v>
      </x:c>
      <x:c r="J3358" t="str">
        <x:v>https://github.com/darknigthmare/deadwall-last-enclosure/blob/1b3b9c5ba232734b1bda3453b4e20a0481bcdd74/codex-3000/addendum-1.58/PROGRAMMES_B.json</x:v>
      </x:c>
      <x:c r="K3358" t="str">
        <x:v>Source min 38,28 m ; max 38,28 m ; modèle 38 × 28 m ; niveaux 0, 1. Détails dans catalogue-existant.json.</x:v>
      </x:c>
    </x:row>
    <x:row r="3359">
      <x:c r="A3359" t="str">
        <x:v>DW-3354</x:v>
      </x:c>
      <x:c r="B3359" t="str">
        <x:v>DW-3354</x:v>
      </x:c>
      <x:c r="C3359" t="str">
        <x:v>Parent indépendant 1.58</x:v>
      </x:c>
      <x:c r="D3359" t="str">
        <x:v>Commerces non alimentaires</x:v>
      </x:c>
      <x:c r="E3359" t="str">
        <x:v>Boutique d'outils de taille</x:v>
      </x:c>
      <x:c r="F3359" t="n">
        <x:v>9</x:v>
      </x:c>
      <x:c r="G3359" t="n">
        <x:v>6</x:v>
      </x:c>
      <x:c r="H3359" t="n">
        <x:v>6</x:v>
      </x:c>
      <x:c r="I3359" t="str">
        <x:v>À qualifier par lieu</x:v>
      </x:c>
      <x:c r="J3359" t="str">
        <x:v>https://github.com/darknigthmare/deadwall-last-enclosure/blob/1b3b9c5ba232734b1bda3453b4e20a0481bcdd74/codex-3000/addendum-1.58/PROGRAMMES_B.json</x:v>
      </x:c>
      <x:c r="K3359" t="str">
        <x:v>Source min 42,45 m ; max 42,45 m ; modèle 42 × 45 m ; niveaux 0. Détails dans catalogue-existant.json.</x:v>
      </x:c>
    </x:row>
    <x:row r="3360">
      <x:c r="A3360" t="str">
        <x:v>DW-3355</x:v>
      </x:c>
      <x:c r="B3360" t="str">
        <x:v>DW-3355</x:v>
      </x:c>
      <x:c r="C3360" t="str">
        <x:v>Parent indépendant 1.58</x:v>
      </x:c>
      <x:c r="D3360" t="str">
        <x:v>Commerces non alimentaires</x:v>
      </x:c>
      <x:c r="E3360" t="str">
        <x:v>Comptoir d'accessoires apicoles</x:v>
      </x:c>
      <x:c r="F3360" t="n">
        <x:v>9</x:v>
      </x:c>
      <x:c r="G3360" t="n">
        <x:v>6</x:v>
      </x:c>
      <x:c r="H3360" t="n">
        <x:v>6</x:v>
      </x:c>
      <x:c r="I3360" t="str">
        <x:v>À qualifier par lieu</x:v>
      </x:c>
      <x:c r="J3360" t="str">
        <x:v>https://github.com/darknigthmare/deadwall-last-enclosure/blob/1b3b9c5ba232734b1bda3453b4e20a0481bcdd74/codex-3000/addendum-1.58/PROGRAMMES_B.json</x:v>
      </x:c>
      <x:c r="K3360" t="str">
        <x:v>Source min 30,36 m ; max 30,36 m ; modèle 30 × 36 m ; niveaux 0. Détails dans catalogue-existant.json.</x:v>
      </x:c>
    </x:row>
    <x:row r="3361">
      <x:c r="A3361" t="str">
        <x:v>DW-3356</x:v>
      </x:c>
      <x:c r="B3361" t="str">
        <x:v>DW-3356</x:v>
      </x:c>
      <x:c r="C3361" t="str">
        <x:v>Parent indépendant 1.58</x:v>
      </x:c>
      <x:c r="D3361" t="str">
        <x:v>Commerces non alimentaires</x:v>
      </x:c>
      <x:c r="E3361" t="str">
        <x:v>Magasin de nichoirs et mangeoires</x:v>
      </x:c>
      <x:c r="F3361" t="n">
        <x:v>9</x:v>
      </x:c>
      <x:c r="G3361" t="n">
        <x:v>6</x:v>
      </x:c>
      <x:c r="H3361" t="n">
        <x:v>6</x:v>
      </x:c>
      <x:c r="I3361" t="str">
        <x:v>À qualifier par lieu</x:v>
      </x:c>
      <x:c r="J3361" t="str">
        <x:v>https://github.com/darknigthmare/deadwall-last-enclosure/blob/1b3b9c5ba232734b1bda3453b4e20a0481bcdd74/codex-3000/addendum-1.58/PROGRAMMES_B.json</x:v>
      </x:c>
      <x:c r="K3361" t="str">
        <x:v>Source min 34,28 m ; max 34,28 m ; modèle 34 × 28 m ; niveaux 0, 1. Détails dans catalogue-existant.json.</x:v>
      </x:c>
    </x:row>
    <x:row r="3362">
      <x:c r="A3362" t="str">
        <x:v>DW-3357</x:v>
      </x:c>
      <x:c r="B3362" t="str">
        <x:v>DW-3357</x:v>
      </x:c>
      <x:c r="C3362" t="str">
        <x:v>Parent indépendant 1.58</x:v>
      </x:c>
      <x:c r="D3362" t="str">
        <x:v>Commerces non alimentaires</x:v>
      </x:c>
      <x:c r="E3362" t="str">
        <x:v>Boutique de plantes aquatiques domestiques</x:v>
      </x:c>
      <x:c r="F3362" t="n">
        <x:v>9</x:v>
      </x:c>
      <x:c r="G3362" t="n">
        <x:v>6</x:v>
      </x:c>
      <x:c r="H3362" t="n">
        <x:v>6</x:v>
      </x:c>
      <x:c r="I3362" t="str">
        <x:v>À qualifier par lieu</x:v>
      </x:c>
      <x:c r="J3362" t="str">
        <x:v>https://github.com/darknigthmare/deadwall-last-enclosure/blob/1b3b9c5ba232734b1bda3453b4e20a0481bcdd74/codex-3000/addendum-1.58/PROGRAMMES_B.json</x:v>
      </x:c>
      <x:c r="K3362" t="str">
        <x:v>Source min 38,42 m ; max 38,42 m ; modèle 38 × 42 m ; niveaux 0. Détails dans catalogue-existant.json.</x:v>
      </x:c>
    </x:row>
    <x:row r="3363">
      <x:c r="A3363" t="str">
        <x:v>DW-3358</x:v>
      </x:c>
      <x:c r="B3363" t="str">
        <x:v>DW-3358</x:v>
      </x:c>
      <x:c r="C3363" t="str">
        <x:v>Parent indépendant 1.58</x:v>
      </x:c>
      <x:c r="D3363" t="str">
        <x:v>Commerces non alimentaires</x:v>
      </x:c>
      <x:c r="E3363" t="str">
        <x:v>Comptoir de mobilier de jardin pliant</x:v>
      </x:c>
      <x:c r="F3363" t="n">
        <x:v>9</x:v>
      </x:c>
      <x:c r="G3363" t="n">
        <x:v>6</x:v>
      </x:c>
      <x:c r="H3363" t="n">
        <x:v>6</x:v>
      </x:c>
      <x:c r="I3363" t="str">
        <x:v>À qualifier par lieu</x:v>
      </x:c>
      <x:c r="J3363" t="str">
        <x:v>https://github.com/darknigthmare/deadwall-last-enclosure/blob/1b3b9c5ba232734b1bda3453b4e20a0481bcdd74/codex-3000/addendum-1.58/PROGRAMMES_B.json</x:v>
      </x:c>
      <x:c r="K3363" t="str">
        <x:v>Source min 42,45 m ; max 42,45 m ; modèle 42 × 45 m ; niveaux 0. Détails dans catalogue-existant.json.</x:v>
      </x:c>
    </x:row>
    <x:row r="3364">
      <x:c r="A3364" t="str">
        <x:v>DW-3359</x:v>
      </x:c>
      <x:c r="B3364" t="str">
        <x:v>DW-3359</x:v>
      </x:c>
      <x:c r="C3364" t="str">
        <x:v>Parent indépendant 1.58</x:v>
      </x:c>
      <x:c r="D3364" t="str">
        <x:v>Commerces non alimentaires</x:v>
      </x:c>
      <x:c r="E3364" t="str">
        <x:v>Magasin de clôtures de jardin</x:v>
      </x:c>
      <x:c r="F3364" t="n">
        <x:v>9</x:v>
      </x:c>
      <x:c r="G3364" t="n">
        <x:v>6</x:v>
      </x:c>
      <x:c r="H3364" t="n">
        <x:v>6</x:v>
      </x:c>
      <x:c r="I3364" t="str">
        <x:v>À qualifier par lieu</x:v>
      </x:c>
      <x:c r="J3364" t="str">
        <x:v>https://github.com/darknigthmare/deadwall-last-enclosure/blob/1b3b9c5ba232734b1bda3453b4e20a0481bcdd74/codex-3000/addendum-1.58/PROGRAMMES_B.json</x:v>
      </x:c>
      <x:c r="K3364" t="str">
        <x:v>Source min 30,28 m ; max 30,28 m ; modèle 30 × 28 m ; niveaux 0, 1. Détails dans catalogue-existant.json.</x:v>
      </x:c>
    </x:row>
    <x:row r="3365">
      <x:c r="A3365" t="str">
        <x:v>DW-3360</x:v>
      </x:c>
      <x:c r="B3365" t="str">
        <x:v>DW-3360</x:v>
      </x:c>
      <x:c r="C3365" t="str">
        <x:v>Parent indépendant 1.58</x:v>
      </x:c>
      <x:c r="D3365" t="str">
        <x:v>Commerces non alimentaires</x:v>
      </x:c>
      <x:c r="E3365" t="str">
        <x:v>Boutique d'accessoires de serre</x:v>
      </x:c>
      <x:c r="F3365" t="n">
        <x:v>9</x:v>
      </x:c>
      <x:c r="G3365" t="n">
        <x:v>6</x:v>
      </x:c>
      <x:c r="H3365" t="n">
        <x:v>6</x:v>
      </x:c>
      <x:c r="I3365" t="str">
        <x:v>À qualifier par lieu</x:v>
      </x:c>
      <x:c r="J3365" t="str">
        <x:v>https://github.com/darknigthmare/deadwall-last-enclosure/blob/1b3b9c5ba232734b1bda3453b4e20a0481bcdd74/codex-3000/addendum-1.58/PROGRAMMES_B.json</x:v>
      </x:c>
      <x:c r="K3365" t="str">
        <x:v>Source min 34,39 m ; max 34,39 m ; modèle 34 × 39 m ; niveaux 0. Détails dans catalogue-existant.json.</x:v>
      </x:c>
    </x:row>
    <x:row r="3366">
      <x:c r="A3366" t="str">
        <x:v>DW-3361</x:v>
      </x:c>
      <x:c r="B3366" t="str">
        <x:v>DW-3361</x:v>
      </x:c>
      <x:c r="C3366" t="str">
        <x:v>Parent indépendant 1.58</x:v>
      </x:c>
      <x:c r="D3366" t="str">
        <x:v>Commerces non alimentaires</x:v>
      </x:c>
      <x:c r="E3366" t="str">
        <x:v>Comptoir de radios de terrain</x:v>
      </x:c>
      <x:c r="F3366" t="n">
        <x:v>9</x:v>
      </x:c>
      <x:c r="G3366" t="n">
        <x:v>6</x:v>
      </x:c>
      <x:c r="H3366" t="n">
        <x:v>6</x:v>
      </x:c>
      <x:c r="I3366" t="str">
        <x:v>À qualifier par lieu</x:v>
      </x:c>
      <x:c r="J3366" t="str">
        <x:v>https://github.com/darknigthmare/deadwall-last-enclosure/blob/1b3b9c5ba232734b1bda3453b4e20a0481bcdd74/codex-3000/addendum-1.58/PROGRAMMES_B.json</x:v>
      </x:c>
      <x:c r="K3366" t="str">
        <x:v>Source min 38,42 m ; max 38,42 m ; modèle 38 × 42 m ; niveaux 0. Détails dans catalogue-existant.json.</x:v>
      </x:c>
    </x:row>
    <x:row r="3367">
      <x:c r="A3367" t="str">
        <x:v>DW-3362</x:v>
      </x:c>
      <x:c r="B3367" t="str">
        <x:v>DW-3362</x:v>
      </x:c>
      <x:c r="C3367" t="str">
        <x:v>Parent indépendant 1.58</x:v>
      </x:c>
      <x:c r="D3367" t="str">
        <x:v>Commerces non alimentaires</x:v>
      </x:c>
      <x:c r="E3367" t="str">
        <x:v>Boutique de composants électroniques amateurs</x:v>
      </x:c>
      <x:c r="F3367" t="n">
        <x:v>9</x:v>
      </x:c>
      <x:c r="G3367" t="n">
        <x:v>6</x:v>
      </x:c>
      <x:c r="H3367" t="n">
        <x:v>6</x:v>
      </x:c>
      <x:c r="I3367" t="str">
        <x:v>À qualifier par lieu</x:v>
      </x:c>
      <x:c r="J3367" t="str">
        <x:v>https://github.com/darknigthmare/deadwall-last-enclosure/blob/1b3b9c5ba232734b1bda3453b4e20a0481bcdd74/codex-3000/addendum-1.58/PROGRAMMES_B.json</x:v>
      </x:c>
      <x:c r="K3367" t="str">
        <x:v>Source min 42,28 m ; max 42,28 m ; modèle 42 × 28 m ; niveaux 0, 1. Détails dans catalogue-existant.json.</x:v>
      </x:c>
    </x:row>
    <x:row r="3368">
      <x:c r="A3368" t="str">
        <x:v>DW-3363</x:v>
      </x:c>
      <x:c r="B3368" t="str">
        <x:v>DW-3363</x:v>
      </x:c>
      <x:c r="C3368" t="str">
        <x:v>Parent indépendant 1.58</x:v>
      </x:c>
      <x:c r="D3368" t="str">
        <x:v>Commerces non alimentaires</x:v>
      </x:c>
      <x:c r="E3368" t="str">
        <x:v>Magasin d'accessoires de réseau domestique</x:v>
      </x:c>
      <x:c r="F3368" t="n">
        <x:v>9</x:v>
      </x:c>
      <x:c r="G3368" t="n">
        <x:v>6</x:v>
      </x:c>
      <x:c r="H3368" t="n">
        <x:v>6</x:v>
      </x:c>
      <x:c r="I3368" t="str">
        <x:v>À qualifier par lieu</x:v>
      </x:c>
      <x:c r="J3368" t="str">
        <x:v>https://github.com/darknigthmare/deadwall-last-enclosure/blob/1b3b9c5ba232734b1bda3453b4e20a0481bcdd74/codex-3000/addendum-1.58/PROGRAMMES_B.json</x:v>
      </x:c>
      <x:c r="K3368" t="str">
        <x:v>Source min 30,36 m ; max 30,36 m ; modèle 30 × 36 m ; niveaux 0. Détails dans catalogue-existant.json.</x:v>
      </x:c>
    </x:row>
    <x:row r="3369">
      <x:c r="A3369" t="str">
        <x:v>DW-3364</x:v>
      </x:c>
      <x:c r="B3369" t="str">
        <x:v>DW-3364</x:v>
      </x:c>
      <x:c r="C3369" t="str">
        <x:v>Parent indépendant 1.58</x:v>
      </x:c>
      <x:c r="D3369" t="str">
        <x:v>Commerces non alimentaires</x:v>
      </x:c>
      <x:c r="E3369" t="str">
        <x:v>Comptoir de claviers adaptés</x:v>
      </x:c>
      <x:c r="F3369" t="n">
        <x:v>9</x:v>
      </x:c>
      <x:c r="G3369" t="n">
        <x:v>6</x:v>
      </x:c>
      <x:c r="H3369" t="n">
        <x:v>6</x:v>
      </x:c>
      <x:c r="I3369" t="str">
        <x:v>À qualifier par lieu</x:v>
      </x:c>
      <x:c r="J3369" t="str">
        <x:v>https://github.com/darknigthmare/deadwall-last-enclosure/blob/1b3b9c5ba232734b1bda3453b4e20a0481bcdd74/codex-3000/addendum-1.58/PROGRAMMES_B.json</x:v>
      </x:c>
      <x:c r="K3369" t="str">
        <x:v>Source min 34,39 m ; max 34,39 m ; modèle 34 × 39 m ; niveaux 0. Détails dans catalogue-existant.json.</x:v>
      </x:c>
    </x:row>
    <x:row r="3370">
      <x:c r="A3370" t="str">
        <x:v>DW-3365</x:v>
      </x:c>
      <x:c r="B3370" t="str">
        <x:v>DW-3365</x:v>
      </x:c>
      <x:c r="C3370" t="str">
        <x:v>Parent indépendant 1.58</x:v>
      </x:c>
      <x:c r="D3370" t="str">
        <x:v>Commerces non alimentaires</x:v>
      </x:c>
      <x:c r="E3370" t="str">
        <x:v>Boutique de supports numériques archivables</x:v>
      </x:c>
      <x:c r="F3370" t="n">
        <x:v>9</x:v>
      </x:c>
      <x:c r="G3370" t="n">
        <x:v>6</x:v>
      </x:c>
      <x:c r="H3370" t="n">
        <x:v>6</x:v>
      </x:c>
      <x:c r="I3370" t="str">
        <x:v>À qualifier par lieu</x:v>
      </x:c>
      <x:c r="J3370" t="str">
        <x:v>https://github.com/darknigthmare/deadwall-last-enclosure/blob/1b3b9c5ba232734b1bda3453b4e20a0481bcdd74/codex-3000/addendum-1.58/PROGRAMMES_B.json</x:v>
      </x:c>
      <x:c r="K3370" t="str">
        <x:v>Source min 38,28 m ; max 38,28 m ; modèle 38 × 28 m ; niveaux 0, 1. Détails dans catalogue-existant.json.</x:v>
      </x:c>
    </x:row>
    <x:row r="3371">
      <x:c r="A3371" t="str">
        <x:v>DW-3366</x:v>
      </x:c>
      <x:c r="B3371" t="str">
        <x:v>DW-3366</x:v>
      </x:c>
      <x:c r="C3371" t="str">
        <x:v>Parent indépendant 1.58</x:v>
      </x:c>
      <x:c r="D3371" t="str">
        <x:v>Commerces non alimentaires</x:v>
      </x:c>
      <x:c r="E3371" t="str">
        <x:v>Magasin de consommables d'impression</x:v>
      </x:c>
      <x:c r="F3371" t="n">
        <x:v>9</x:v>
      </x:c>
      <x:c r="G3371" t="n">
        <x:v>6</x:v>
      </x:c>
      <x:c r="H3371" t="n">
        <x:v>6</x:v>
      </x:c>
      <x:c r="I3371" t="str">
        <x:v>À qualifier par lieu</x:v>
      </x:c>
      <x:c r="J3371" t="str">
        <x:v>https://github.com/darknigthmare/deadwall-last-enclosure/blob/1b3b9c5ba232734b1bda3453b4e20a0481bcdd74/codex-3000/addendum-1.58/PROGRAMMES_B.json</x:v>
      </x:c>
      <x:c r="K3371" t="str">
        <x:v>Source min 42,45 m ; max 42,45 m ; modèle 42 × 45 m ; niveaux 0. Détails dans catalogue-existant.json.</x:v>
      </x:c>
    </x:row>
    <x:row r="3372">
      <x:c r="A3372" t="str">
        <x:v>DW-3367</x:v>
      </x:c>
      <x:c r="B3372" t="str">
        <x:v>DW-3367</x:v>
      </x:c>
      <x:c r="C3372" t="str">
        <x:v>Parent indépendant 1.58</x:v>
      </x:c>
      <x:c r="D3372" t="str">
        <x:v>Commerces non alimentaires</x:v>
      </x:c>
      <x:c r="E3372" t="str">
        <x:v>Comptoir de connectique audiovisuelle</x:v>
      </x:c>
      <x:c r="F3372" t="n">
        <x:v>9</x:v>
      </x:c>
      <x:c r="G3372" t="n">
        <x:v>6</x:v>
      </x:c>
      <x:c r="H3372" t="n">
        <x:v>6</x:v>
      </x:c>
      <x:c r="I3372" t="str">
        <x:v>À qualifier par lieu</x:v>
      </x:c>
      <x:c r="J3372" t="str">
        <x:v>https://github.com/darknigthmare/deadwall-last-enclosure/blob/1b3b9c5ba232734b1bda3453b4e20a0481bcdd74/codex-3000/addendum-1.58/PROGRAMMES_B.json</x:v>
      </x:c>
      <x:c r="K3372" t="str">
        <x:v>Source min 30,36 m ; max 30,36 m ; modèle 30 × 36 m ; niveaux 0. Détails dans catalogue-existant.json.</x:v>
      </x:c>
    </x:row>
    <x:row r="3373">
      <x:c r="A3373" t="str">
        <x:v>DW-3368</x:v>
      </x:c>
      <x:c r="B3373" t="str">
        <x:v>DW-3368</x:v>
      </x:c>
      <x:c r="C3373" t="str">
        <x:v>Parent indépendant 1.58</x:v>
      </x:c>
      <x:c r="D3373" t="str">
        <x:v>Commerces non alimentaires</x:v>
      </x:c>
      <x:c r="E3373" t="str">
        <x:v>Boutique de lampes de lecture</x:v>
      </x:c>
      <x:c r="F3373" t="n">
        <x:v>9</x:v>
      </x:c>
      <x:c r="G3373" t="n">
        <x:v>6</x:v>
      </x:c>
      <x:c r="H3373" t="n">
        <x:v>6</x:v>
      </x:c>
      <x:c r="I3373" t="str">
        <x:v>À qualifier par lieu</x:v>
      </x:c>
      <x:c r="J3373" t="str">
        <x:v>https://github.com/darknigthmare/deadwall-last-enclosure/blob/1b3b9c5ba232734b1bda3453b4e20a0481bcdd74/codex-3000/addendum-1.58/PROGRAMMES_B.json</x:v>
      </x:c>
      <x:c r="K3373" t="str">
        <x:v>Source min 34,28 m ; max 34,28 m ; modèle 34 × 28 m ; niveaux 0, 1. Détails dans catalogue-existant.json.</x:v>
      </x:c>
    </x:row>
    <x:row r="3374">
      <x:c r="A3374" t="str">
        <x:v>DW-3369</x:v>
      </x:c>
      <x:c r="B3374" t="str">
        <x:v>DW-3369</x:v>
      </x:c>
      <x:c r="C3374" t="str">
        <x:v>Parent indépendant 1.58</x:v>
      </x:c>
      <x:c r="D3374" t="str">
        <x:v>Commerces non alimentaires</x:v>
      </x:c>
      <x:c r="E3374" t="str">
        <x:v>Magasin de rangements de médias</x:v>
      </x:c>
      <x:c r="F3374" t="n">
        <x:v>9</x:v>
      </x:c>
      <x:c r="G3374" t="n">
        <x:v>6</x:v>
      </x:c>
      <x:c r="H3374" t="n">
        <x:v>6</x:v>
      </x:c>
      <x:c r="I3374" t="str">
        <x:v>À qualifier par lieu</x:v>
      </x:c>
      <x:c r="J3374" t="str">
        <x:v>https://github.com/darknigthmare/deadwall-last-enclosure/blob/1b3b9c5ba232734b1bda3453b4e20a0481bcdd74/codex-3000/addendum-1.58/PROGRAMMES_B.json</x:v>
      </x:c>
      <x:c r="K3374" t="str">
        <x:v>Source min 38,42 m ; max 38,42 m ; modèle 38 × 42 m ; niveaux 0. Détails dans catalogue-existant.json.</x:v>
      </x:c>
    </x:row>
    <x:row r="3375">
      <x:c r="A3375" t="str">
        <x:v>DW-3370</x:v>
      </x:c>
      <x:c r="B3375" t="str">
        <x:v>DW-3370</x:v>
      </x:c>
      <x:c r="C3375" t="str">
        <x:v>Parent indépendant 1.58</x:v>
      </x:c>
      <x:c r="D3375" t="str">
        <x:v>Commerces non alimentaires</x:v>
      </x:c>
      <x:c r="E3375" t="str">
        <x:v>Comptoir de mobilier informatique réglable</x:v>
      </x:c>
      <x:c r="F3375" t="n">
        <x:v>9</x:v>
      </x:c>
      <x:c r="G3375" t="n">
        <x:v>6</x:v>
      </x:c>
      <x:c r="H3375" t="n">
        <x:v>6</x:v>
      </x:c>
      <x:c r="I3375" t="str">
        <x:v>À qualifier par lieu</x:v>
      </x:c>
      <x:c r="J3375" t="str">
        <x:v>https://github.com/darknigthmare/deadwall-last-enclosure/blob/1b3b9c5ba232734b1bda3453b4e20a0481bcdd74/codex-3000/addendum-1.58/PROGRAMMES_B.json</x:v>
      </x:c>
      <x:c r="K3375" t="str">
        <x:v>Source min 42,45 m ; max 42,45 m ; modèle 42 × 45 m ; niveaux 0. Détails dans catalogue-existant.json.</x:v>
      </x:c>
    </x:row>
    <x:row r="3376">
      <x:c r="A3376" t="str">
        <x:v>DW-3371</x:v>
      </x:c>
      <x:c r="B3376" t="str">
        <x:v>DW-3371</x:v>
      </x:c>
      <x:c r="C3376" t="str">
        <x:v>Parent indépendant 1.58</x:v>
      </x:c>
      <x:c r="D3376" t="str">
        <x:v>Commerces non alimentaires</x:v>
      </x:c>
      <x:c r="E3376" t="str">
        <x:v>Boutique de balances de cuisine</x:v>
      </x:c>
      <x:c r="F3376" t="n">
        <x:v>9</x:v>
      </x:c>
      <x:c r="G3376" t="n">
        <x:v>6</x:v>
      </x:c>
      <x:c r="H3376" t="n">
        <x:v>6</x:v>
      </x:c>
      <x:c r="I3376" t="str">
        <x:v>À qualifier par lieu</x:v>
      </x:c>
      <x:c r="J3376" t="str">
        <x:v>https://github.com/darknigthmare/deadwall-last-enclosure/blob/1b3b9c5ba232734b1bda3453b4e20a0481bcdd74/codex-3000/addendum-1.58/PROGRAMMES_B.json</x:v>
      </x:c>
      <x:c r="K3376" t="str">
        <x:v>Source min 30,28 m ; max 30,28 m ; modèle 30 × 28 m ; niveaux 0, 1. Détails dans catalogue-existant.json.</x:v>
      </x:c>
    </x:row>
    <x:row r="3377">
      <x:c r="A3377" t="str">
        <x:v>DW-3372</x:v>
      </x:c>
      <x:c r="B3377" t="str">
        <x:v>DW-3372</x:v>
      </x:c>
      <x:c r="C3377" t="str">
        <x:v>Parent indépendant 1.58</x:v>
      </x:c>
      <x:c r="D3377" t="str">
        <x:v>Commerces non alimentaires</x:v>
      </x:c>
      <x:c r="E3377" t="str">
        <x:v>Comptoir de contenants alimentaires réutilisables</x:v>
      </x:c>
      <x:c r="F3377" t="n">
        <x:v>9</x:v>
      </x:c>
      <x:c r="G3377" t="n">
        <x:v>6</x:v>
      </x:c>
      <x:c r="H3377" t="n">
        <x:v>6</x:v>
      </x:c>
      <x:c r="I3377" t="str">
        <x:v>À qualifier par lieu</x:v>
      </x:c>
      <x:c r="J3377" t="str">
        <x:v>https://github.com/darknigthmare/deadwall-last-enclosure/blob/1b3b9c5ba232734b1bda3453b4e20a0481bcdd74/codex-3000/addendum-1.58/PROGRAMMES_B.json</x:v>
      </x:c>
      <x:c r="K3377" t="str">
        <x:v>Source min 34,39 m ; max 34,39 m ; modèle 34 × 39 m ; niveaux 0. Détails dans catalogue-existant.json.</x:v>
      </x:c>
    </x:row>
    <x:row r="3378">
      <x:c r="A3378" t="str">
        <x:v>DW-3373</x:v>
      </x:c>
      <x:c r="B3378" t="str">
        <x:v>DW-3373</x:v>
      </x:c>
      <x:c r="C3378" t="str">
        <x:v>Parent indépendant 1.58</x:v>
      </x:c>
      <x:c r="D3378" t="str">
        <x:v>Commerces non alimentaires</x:v>
      </x:c>
      <x:c r="E3378" t="str">
        <x:v>Boutique d'ustensiles de pâtisserie</x:v>
      </x:c>
      <x:c r="F3378" t="n">
        <x:v>9</x:v>
      </x:c>
      <x:c r="G3378" t="n">
        <x:v>6</x:v>
      </x:c>
      <x:c r="H3378" t="n">
        <x:v>6</x:v>
      </x:c>
      <x:c r="I3378" t="str">
        <x:v>À qualifier par lieu</x:v>
      </x:c>
      <x:c r="J3378" t="str">
        <x:v>https://github.com/darknigthmare/deadwall-last-enclosure/blob/1b3b9c5ba232734b1bda3453b4e20a0481bcdd74/codex-3000/addendum-1.58/PROGRAMMES_B.json</x:v>
      </x:c>
      <x:c r="K3378" t="str">
        <x:v>Source min 38,42 m ; max 38,42 m ; modèle 38 × 42 m ; niveaux 0. Détails dans catalogue-existant.json.</x:v>
      </x:c>
    </x:row>
    <x:row r="3379">
      <x:c r="A3379" t="str">
        <x:v>DW-3374</x:v>
      </x:c>
      <x:c r="B3379" t="str">
        <x:v>DW-3374</x:v>
      </x:c>
      <x:c r="C3379" t="str">
        <x:v>Parent indépendant 1.58</x:v>
      </x:c>
      <x:c r="D3379" t="str">
        <x:v>Commerces non alimentaires</x:v>
      </x:c>
      <x:c r="E3379" t="str">
        <x:v>Magasin d'articles de conservation domestique</x:v>
      </x:c>
      <x:c r="F3379" t="n">
        <x:v>9</x:v>
      </x:c>
      <x:c r="G3379" t="n">
        <x:v>6</x:v>
      </x:c>
      <x:c r="H3379" t="n">
        <x:v>6</x:v>
      </x:c>
      <x:c r="I3379" t="str">
        <x:v>À qualifier par lieu</x:v>
      </x:c>
      <x:c r="J3379" t="str">
        <x:v>https://github.com/darknigthmare/deadwall-last-enclosure/blob/1b3b9c5ba232734b1bda3453b4e20a0481bcdd74/codex-3000/addendum-1.58/PROGRAMMES_B.json</x:v>
      </x:c>
      <x:c r="K3379" t="str">
        <x:v>Source min 42,28 m ; max 42,28 m ; modèle 42 × 28 m ; niveaux 0, 1. Détails dans catalogue-existant.json.</x:v>
      </x:c>
    </x:row>
    <x:row r="3380">
      <x:c r="A3380" t="str">
        <x:v>DW-3375</x:v>
      </x:c>
      <x:c r="B3380" t="str">
        <x:v>DW-3375</x:v>
      </x:c>
      <x:c r="C3380" t="str">
        <x:v>Parent indépendant 1.58</x:v>
      </x:c>
      <x:c r="D3380" t="str">
        <x:v>Commerces non alimentaires</x:v>
      </x:c>
      <x:c r="E3380" t="str">
        <x:v>Comptoir de vaisselle de collectivité</x:v>
      </x:c>
      <x:c r="F3380" t="n">
        <x:v>9</x:v>
      </x:c>
      <x:c r="G3380" t="n">
        <x:v>6</x:v>
      </x:c>
      <x:c r="H3380" t="n">
        <x:v>6</x:v>
      </x:c>
      <x:c r="I3380" t="str">
        <x:v>À qualifier par lieu</x:v>
      </x:c>
      <x:c r="J3380" t="str">
        <x:v>https://github.com/darknigthmare/deadwall-last-enclosure/blob/1b3b9c5ba232734b1bda3453b4e20a0481bcdd74/codex-3000/addendum-1.58/PROGRAMMES_B.json</x:v>
      </x:c>
      <x:c r="K3380" t="str">
        <x:v>Source min 30,36 m ; max 30,36 m ; modèle 30 × 36 m ; niveaux 0. Détails dans catalogue-existant.json.</x:v>
      </x:c>
    </x:row>
    <x:row r="3381">
      <x:c r="A3381" t="str">
        <x:v>DW-3376</x:v>
      </x:c>
      <x:c r="B3381" t="str">
        <x:v>DW-3376</x:v>
      </x:c>
      <x:c r="C3381" t="str">
        <x:v>Parent indépendant 1.58</x:v>
      </x:c>
      <x:c r="D3381" t="str">
        <x:v>Commerces non alimentaires</x:v>
      </x:c>
      <x:c r="E3381" t="str">
        <x:v>Boutique d'ustensiles de cuisson extérieure</x:v>
      </x:c>
      <x:c r="F3381" t="n">
        <x:v>9</x:v>
      </x:c>
      <x:c r="G3381" t="n">
        <x:v>6</x:v>
      </x:c>
      <x:c r="H3381" t="n">
        <x:v>6</x:v>
      </x:c>
      <x:c r="I3381" t="str">
        <x:v>À qualifier par lieu</x:v>
      </x:c>
      <x:c r="J3381" t="str">
        <x:v>https://github.com/darknigthmare/deadwall-last-enclosure/blob/1b3b9c5ba232734b1bda3453b4e20a0481bcdd74/codex-3000/addendum-1.58/PROGRAMMES_B.json</x:v>
      </x:c>
      <x:c r="K3381" t="str">
        <x:v>Source min 34,39 m ; max 34,39 m ; modèle 34 × 39 m ; niveaux 0. Détails dans catalogue-existant.json.</x:v>
      </x:c>
    </x:row>
    <x:row r="3382">
      <x:c r="A3382" t="str">
        <x:v>DW-3377</x:v>
      </x:c>
      <x:c r="B3382" t="str">
        <x:v>DW-3377</x:v>
      </x:c>
      <x:c r="C3382" t="str">
        <x:v>Parent indépendant 1.58</x:v>
      </x:c>
      <x:c r="D3382" t="str">
        <x:v>Commerces non alimentaires</x:v>
      </x:c>
      <x:c r="E3382" t="str">
        <x:v>Magasin de brosses et entretien manuel</x:v>
      </x:c>
      <x:c r="F3382" t="n">
        <x:v>9</x:v>
      </x:c>
      <x:c r="G3382" t="n">
        <x:v>6</x:v>
      </x:c>
      <x:c r="H3382" t="n">
        <x:v>6</x:v>
      </x:c>
      <x:c r="I3382" t="str">
        <x:v>À qualifier par lieu</x:v>
      </x:c>
      <x:c r="J3382" t="str">
        <x:v>https://github.com/darknigthmare/deadwall-last-enclosure/blob/1b3b9c5ba232734b1bda3453b4e20a0481bcdd74/codex-3000/addendum-1.58/PROGRAMMES_B.json</x:v>
      </x:c>
      <x:c r="K3382" t="str">
        <x:v>Source min 38,28 m ; max 38,28 m ; modèle 38 × 28 m ; niveaux 0, 1. Détails dans catalogue-existant.json.</x:v>
      </x:c>
    </x:row>
    <x:row r="3383">
      <x:c r="A3383" t="str">
        <x:v>DW-3378</x:v>
      </x:c>
      <x:c r="B3383" t="str">
        <x:v>DW-3378</x:v>
      </x:c>
      <x:c r="C3383" t="str">
        <x:v>Parent indépendant 1.58</x:v>
      </x:c>
      <x:c r="D3383" t="str">
        <x:v>Commerces non alimentaires</x:v>
      </x:c>
      <x:c r="E3383" t="str">
        <x:v>Comptoir de fournitures de réparation textile</x:v>
      </x:c>
      <x:c r="F3383" t="n">
        <x:v>9</x:v>
      </x:c>
      <x:c r="G3383" t="n">
        <x:v>6</x:v>
      </x:c>
      <x:c r="H3383" t="n">
        <x:v>6</x:v>
      </x:c>
      <x:c r="I3383" t="str">
        <x:v>À qualifier par lieu</x:v>
      </x:c>
      <x:c r="J3383" t="str">
        <x:v>https://github.com/darknigthmare/deadwall-last-enclosure/blob/1b3b9c5ba232734b1bda3453b4e20a0481bcdd74/codex-3000/addendum-1.58/PROGRAMMES_B.json</x:v>
      </x:c>
      <x:c r="K3383" t="str">
        <x:v>Source min 42,45 m ; max 42,45 m ; modèle 42 × 45 m ; niveaux 0. Détails dans catalogue-existant.json.</x:v>
      </x:c>
    </x:row>
    <x:row r="3384">
      <x:c r="A3384" t="str">
        <x:v>DW-3379</x:v>
      </x:c>
      <x:c r="B3384" t="str">
        <x:v>DW-3379</x:v>
      </x:c>
      <x:c r="C3384" t="str">
        <x:v>Parent indépendant 1.58</x:v>
      </x:c>
      <x:c r="D3384" t="str">
        <x:v>Commerces non alimentaires</x:v>
      </x:c>
      <x:c r="E3384" t="str">
        <x:v>Boutique d'emballages de réemploi</x:v>
      </x:c>
      <x:c r="F3384" t="n">
        <x:v>9</x:v>
      </x:c>
      <x:c r="G3384" t="n">
        <x:v>6</x:v>
      </x:c>
      <x:c r="H3384" t="n">
        <x:v>6</x:v>
      </x:c>
      <x:c r="I3384" t="str">
        <x:v>À qualifier par lieu</x:v>
      </x:c>
      <x:c r="J3384" t="str">
        <x:v>https://github.com/darknigthmare/deadwall-last-enclosure/blob/1b3b9c5ba232734b1bda3453b4e20a0481bcdd74/codex-3000/addendum-1.58/PROGRAMMES_B.json</x:v>
      </x:c>
      <x:c r="K3384" t="str">
        <x:v>Source min 30,36 m ; max 30,36 m ; modèle 30 × 36 m ; niveaux 0. Détails dans catalogue-existant.json.</x:v>
      </x:c>
    </x:row>
    <x:row r="3385">
      <x:c r="A3385" t="str">
        <x:v>DW-3380</x:v>
      </x:c>
      <x:c r="B3385" t="str">
        <x:v>DW-3380</x:v>
      </x:c>
      <x:c r="C3385" t="str">
        <x:v>Parent indépendant 1.58</x:v>
      </x:c>
      <x:c r="D3385" t="str">
        <x:v>Commerces non alimentaires</x:v>
      </x:c>
      <x:c r="E3385" t="str">
        <x:v>Magasin d'accessoires pour animaux âgés</x:v>
      </x:c>
      <x:c r="F3385" t="n">
        <x:v>9</x:v>
      </x:c>
      <x:c r="G3385" t="n">
        <x:v>6</x:v>
      </x:c>
      <x:c r="H3385" t="n">
        <x:v>6</x:v>
      </x:c>
      <x:c r="I3385" t="str">
        <x:v>À qualifier par lieu</x:v>
      </x:c>
      <x:c r="J3385" t="str">
        <x:v>https://github.com/darknigthmare/deadwall-last-enclosure/blob/1b3b9c5ba232734b1bda3453b4e20a0481bcdd74/codex-3000/addendum-1.58/PROGRAMMES_B.json</x:v>
      </x:c>
      <x:c r="K3385" t="str">
        <x:v>Source min 34,28 m ; max 34,28 m ; modèle 34 × 28 m ; niveaux 0, 1. Détails dans catalogue-existant.json.</x:v>
      </x:c>
    </x:row>
    <x:row r="3386">
      <x:c r="A3386" t="str">
        <x:v>DW-3381</x:v>
      </x:c>
      <x:c r="B3386" t="str">
        <x:v>DW-3381</x:v>
      </x:c>
      <x:c r="C3386" t="str">
        <x:v>Parent indépendant 1.58</x:v>
      </x:c>
      <x:c r="D3386" t="str">
        <x:v>Loisirs et culture</x:v>
      </x:c>
      <x:c r="E3386" t="str">
        <x:v>Maison de mémoire orale</x:v>
      </x:c>
      <x:c r="F3386" t="n">
        <x:v>9</x:v>
      </x:c>
      <x:c r="G3386" t="n">
        <x:v>6</x:v>
      </x:c>
      <x:c r="H3386" t="n">
        <x:v>6</x:v>
      </x:c>
      <x:c r="I3386" t="str">
        <x:v>À qualifier par lieu</x:v>
      </x:c>
      <x:c r="J3386" t="str">
        <x:v>https://github.com/darknigthmare/deadwall-last-enclosure/blob/1b3b9c5ba232734b1bda3453b4e20a0481bcdd74/codex-3000/addendum-1.58/PROGRAMMES_B.json</x:v>
      </x:c>
      <x:c r="K3386" t="str">
        <x:v>Source min 38,31 m ; max 38,31 m ; modèle 38 × 31 m ; niveaux 0, 1. Détails dans catalogue-existant.json.</x:v>
      </x:c>
    </x:row>
    <x:row r="3387">
      <x:c r="A3387" t="str">
        <x:v>DW-3382</x:v>
      </x:c>
      <x:c r="B3387" t="str">
        <x:v>DW-3382</x:v>
      </x:c>
      <x:c r="C3387" t="str">
        <x:v>Parent indépendant 1.58</x:v>
      </x:c>
      <x:c r="D3387" t="str">
        <x:v>Loisirs et culture</x:v>
      </x:c>
      <x:c r="E3387" t="str">
        <x:v>Centre de conservation de cartes postales</x:v>
      </x:c>
      <x:c r="F3387" t="n">
        <x:v>9</x:v>
      </x:c>
      <x:c r="G3387" t="n">
        <x:v>6</x:v>
      </x:c>
      <x:c r="H3387" t="n">
        <x:v>6</x:v>
      </x:c>
      <x:c r="I3387" t="str">
        <x:v>À qualifier par lieu</x:v>
      </x:c>
      <x:c r="J3387" t="str">
        <x:v>https://github.com/darknigthmare/deadwall-last-enclosure/blob/1b3b9c5ba232734b1bda3453b4e20a0481bcdd74/codex-3000/addendum-1.58/PROGRAMMES_B.json</x:v>
      </x:c>
      <x:c r="K3387" t="str">
        <x:v>Source min 42,34 m ; max 42,34 m ; modèle 42 × 34 m ; niveaux 0, 1. Détails dans catalogue-existant.json.</x:v>
      </x:c>
    </x:row>
    <x:row r="3388">
      <x:c r="A3388" t="str">
        <x:v>DW-3383</x:v>
      </x:c>
      <x:c r="B3388" t="str">
        <x:v>DW-3383</x:v>
      </x:c>
      <x:c r="C3388" t="str">
        <x:v>Parent indépendant 1.58</x:v>
      </x:c>
      <x:c r="D3388" t="str">
        <x:v>Loisirs et culture</x:v>
      </x:c>
      <x:c r="E3388" t="str">
        <x:v>Archives de photographie de quartier</x:v>
      </x:c>
      <x:c r="F3388" t="n">
        <x:v>9</x:v>
      </x:c>
      <x:c r="G3388" t="n">
        <x:v>6</x:v>
      </x:c>
      <x:c r="H3388" t="n">
        <x:v>6</x:v>
      </x:c>
      <x:c r="I3388" t="str">
        <x:v>À qualifier par lieu</x:v>
      </x:c>
      <x:c r="J3388" t="str">
        <x:v>https://github.com/darknigthmare/deadwall-last-enclosure/blob/1b3b9c5ba232734b1bda3453b4e20a0481bcdd74/codex-3000/addendum-1.58/PROGRAMMES_B.json</x:v>
      </x:c>
      <x:c r="K3388" t="str">
        <x:v>Source min 30,28 m ; max 30,28 m ; modèle 30 × 28 m ; niveaux 0, 1. Détails dans catalogue-existant.json.</x:v>
      </x:c>
    </x:row>
    <x:row r="3389">
      <x:c r="A3389" t="str">
        <x:v>DW-3384</x:v>
      </x:c>
      <x:c r="B3389" t="str">
        <x:v>DW-3384</x:v>
      </x:c>
      <x:c r="C3389" t="str">
        <x:v>Parent indépendant 1.58</x:v>
      </x:c>
      <x:c r="D3389" t="str">
        <x:v>Loisirs et culture</x:v>
      </x:c>
      <x:c r="E3389" t="str">
        <x:v>Atelier patrimonial de marionnettes</x:v>
      </x:c>
      <x:c r="F3389" t="n">
        <x:v>9</x:v>
      </x:c>
      <x:c r="G3389" t="n">
        <x:v>6</x:v>
      </x:c>
      <x:c r="H3389" t="n">
        <x:v>6</x:v>
      </x:c>
      <x:c r="I3389" t="str">
        <x:v>À qualifier par lieu</x:v>
      </x:c>
      <x:c r="J3389" t="str">
        <x:v>https://github.com/darknigthmare/deadwall-last-enclosure/blob/1b3b9c5ba232734b1bda3453b4e20a0481bcdd74/codex-3000/addendum-1.58/PROGRAMMES_B.json</x:v>
      </x:c>
      <x:c r="K3389" t="str">
        <x:v>Source min 34,31 m ; max 34,31 m ; modèle 34 × 31 m ; niveaux 0, 1. Détails dans catalogue-existant.json.</x:v>
      </x:c>
    </x:row>
    <x:row r="3390">
      <x:c r="A3390" t="str">
        <x:v>DW-3385</x:v>
      </x:c>
      <x:c r="B3390" t="str">
        <x:v>DW-3385</x:v>
      </x:c>
      <x:c r="C3390" t="str">
        <x:v>Parent indépendant 1.58</x:v>
      </x:c>
      <x:c r="D3390" t="str">
        <x:v>Loisirs et culture</x:v>
      </x:c>
      <x:c r="E3390" t="str">
        <x:v>Réserve de costumes de spectacle</x:v>
      </x:c>
      <x:c r="F3390" t="n">
        <x:v>9</x:v>
      </x:c>
      <x:c r="G3390" t="n">
        <x:v>6</x:v>
      </x:c>
      <x:c r="H3390" t="n">
        <x:v>6</x:v>
      </x:c>
      <x:c r="I3390" t="str">
        <x:v>À qualifier par lieu</x:v>
      </x:c>
      <x:c r="J3390" t="str">
        <x:v>https://github.com/darknigthmare/deadwall-last-enclosure/blob/1b3b9c5ba232734b1bda3453b4e20a0481bcdd74/codex-3000/addendum-1.58/PROGRAMMES_B.json</x:v>
      </x:c>
      <x:c r="K3390" t="str">
        <x:v>Source min 38,34 m ; max 38,34 m ; modèle 38 × 34 m ; niveaux 0, 1. Détails dans catalogue-existant.json.</x:v>
      </x:c>
    </x:row>
    <x:row r="3391">
      <x:c r="A3391" t="str">
        <x:v>DW-3386</x:v>
      </x:c>
      <x:c r="B3391" t="str">
        <x:v>DW-3386</x:v>
      </x:c>
      <x:c r="C3391" t="str">
        <x:v>Parent indépendant 1.58</x:v>
      </x:c>
      <x:c r="D3391" t="str">
        <x:v>Loisirs et culture</x:v>
      </x:c>
      <x:c r="E3391" t="str">
        <x:v>Maison des décors miniatures</x:v>
      </x:c>
      <x:c r="F3391" t="n">
        <x:v>9</x:v>
      </x:c>
      <x:c r="G3391" t="n">
        <x:v>6</x:v>
      </x:c>
      <x:c r="H3391" t="n">
        <x:v>6</x:v>
      </x:c>
      <x:c r="I3391" t="str">
        <x:v>À qualifier par lieu</x:v>
      </x:c>
      <x:c r="J3391" t="str">
        <x:v>https://github.com/darknigthmare/deadwall-last-enclosure/blob/1b3b9c5ba232734b1bda3453b4e20a0481bcdd74/codex-3000/addendum-1.58/PROGRAMMES_B.json</x:v>
      </x:c>
      <x:c r="K3391" t="str">
        <x:v>Source min 42,28 m ; max 42,28 m ; modèle 42 × 28 m ; niveaux 0, 1. Détails dans catalogue-existant.json.</x:v>
      </x:c>
    </x:row>
    <x:row r="3392">
      <x:c r="A3392" t="str">
        <x:v>DW-3387</x:v>
      </x:c>
      <x:c r="B3392" t="str">
        <x:v>DW-3387</x:v>
      </x:c>
      <x:c r="C3392" t="str">
        <x:v>Parent indépendant 1.58</x:v>
      </x:c>
      <x:c r="D3392" t="str">
        <x:v>Loisirs et culture</x:v>
      </x:c>
      <x:c r="E3392" t="str">
        <x:v>Centre de restauration de livres illustrés</x:v>
      </x:c>
      <x:c r="F3392" t="n">
        <x:v>9</x:v>
      </x:c>
      <x:c r="G3392" t="n">
        <x:v>6</x:v>
      </x:c>
      <x:c r="H3392" t="n">
        <x:v>6</x:v>
      </x:c>
      <x:c r="I3392" t="str">
        <x:v>À qualifier par lieu</x:v>
      </x:c>
      <x:c r="J3392" t="str">
        <x:v>https://github.com/darknigthmare/deadwall-last-enclosure/blob/1b3b9c5ba232734b1bda3453b4e20a0481bcdd74/codex-3000/addendum-1.58/PROGRAMMES_B.json</x:v>
      </x:c>
      <x:c r="K3392" t="str">
        <x:v>Source min 30,31 m ; max 30,31 m ; modèle 30 × 31 m ; niveaux 0, 1. Détails dans catalogue-existant.json.</x:v>
      </x:c>
    </x:row>
    <x:row r="3393">
      <x:c r="A3393" t="str">
        <x:v>DW-3388</x:v>
      </x:c>
      <x:c r="B3393" t="str">
        <x:v>DW-3388</x:v>
      </x:c>
      <x:c r="C3393" t="str">
        <x:v>Parent indépendant 1.58</x:v>
      </x:c>
      <x:c r="D3393" t="str">
        <x:v>Loisirs et culture</x:v>
      </x:c>
      <x:c r="E3393" t="str">
        <x:v>Atelier de gravure d'art</x:v>
      </x:c>
      <x:c r="F3393" t="n">
        <x:v>9</x:v>
      </x:c>
      <x:c r="G3393" t="n">
        <x:v>6</x:v>
      </x:c>
      <x:c r="H3393" t="n">
        <x:v>6</x:v>
      </x:c>
      <x:c r="I3393" t="str">
        <x:v>À qualifier par lieu</x:v>
      </x:c>
      <x:c r="J3393" t="str">
        <x:v>https://github.com/darknigthmare/deadwall-last-enclosure/blob/1b3b9c5ba232734b1bda3453b4e20a0481bcdd74/codex-3000/addendum-1.58/PROGRAMMES_B.json</x:v>
      </x:c>
      <x:c r="K3393" t="str">
        <x:v>Source min 34,34 m ; max 34,34 m ; modèle 34 × 34 m ; niveaux 0, 1. Détails dans catalogue-existant.json.</x:v>
      </x:c>
    </x:row>
    <x:row r="3394">
      <x:c r="A3394" t="str">
        <x:v>DW-3389</x:v>
      </x:c>
      <x:c r="B3394" t="str">
        <x:v>DW-3389</x:v>
      </x:c>
      <x:c r="C3394" t="str">
        <x:v>Parent indépendant 1.58</x:v>
      </x:c>
      <x:c r="D3394" t="str">
        <x:v>Loisirs et culture</x:v>
      </x:c>
      <x:c r="E3394" t="str">
        <x:v>Maison de l'estampe populaire</x:v>
      </x:c>
      <x:c r="F3394" t="n">
        <x:v>9</x:v>
      </x:c>
      <x:c r="G3394" t="n">
        <x:v>6</x:v>
      </x:c>
      <x:c r="H3394" t="n">
        <x:v>6</x:v>
      </x:c>
      <x:c r="I3394" t="str">
        <x:v>À qualifier par lieu</x:v>
      </x:c>
      <x:c r="J3394" t="str">
        <x:v>https://github.com/darknigthmare/deadwall-last-enclosure/blob/1b3b9c5ba232734b1bda3453b4e20a0481bcdd74/codex-3000/addendum-1.58/PROGRAMMES_B.json</x:v>
      </x:c>
      <x:c r="K3394" t="str">
        <x:v>Source min 38,28 m ; max 38,28 m ; modèle 38 × 28 m ; niveaux 0, 1. Détails dans catalogue-existant.json.</x:v>
      </x:c>
    </x:row>
    <x:row r="3395">
      <x:c r="A3395" t="str">
        <x:v>DW-3390</x:v>
      </x:c>
      <x:c r="B3395" t="str">
        <x:v>DW-3390</x:v>
      </x:c>
      <x:c r="C3395" t="str">
        <x:v>Parent indépendant 1.58</x:v>
      </x:c>
      <x:c r="D3395" t="str">
        <x:v>Loisirs et culture</x:v>
      </x:c>
      <x:c r="E3395" t="str">
        <x:v>Centre de conservation de sculptures</x:v>
      </x:c>
      <x:c r="F3395" t="n">
        <x:v>9</x:v>
      </x:c>
      <x:c r="G3395" t="n">
        <x:v>6</x:v>
      </x:c>
      <x:c r="H3395" t="n">
        <x:v>6</x:v>
      </x:c>
      <x:c r="I3395" t="str">
        <x:v>À qualifier par lieu</x:v>
      </x:c>
      <x:c r="J3395" t="str">
        <x:v>https://github.com/darknigthmare/deadwall-last-enclosure/blob/1b3b9c5ba232734b1bda3453b4e20a0481bcdd74/codex-3000/addendum-1.58/PROGRAMMES_B.json</x:v>
      </x:c>
      <x:c r="K3395" t="str">
        <x:v>Source min 42,31 m ; max 42,31 m ; modèle 42 × 31 m ; niveaux 0, 1. Détails dans catalogue-existant.json.</x:v>
      </x:c>
    </x:row>
    <x:row r="3396">
      <x:c r="A3396" t="str">
        <x:v>DW-3391</x:v>
      </x:c>
      <x:c r="B3396" t="str">
        <x:v>DW-3391</x:v>
      </x:c>
      <x:c r="C3396" t="str">
        <x:v>Parent indépendant 1.58</x:v>
      </x:c>
      <x:c r="D3396" t="str">
        <x:v>Loisirs et culture</x:v>
      </x:c>
      <x:c r="E3396" t="str">
        <x:v>Atelier de mosaïque patrimoniale</x:v>
      </x:c>
      <x:c r="F3396" t="n">
        <x:v>9</x:v>
      </x:c>
      <x:c r="G3396" t="n">
        <x:v>6</x:v>
      </x:c>
      <x:c r="H3396" t="n">
        <x:v>6</x:v>
      </x:c>
      <x:c r="I3396" t="str">
        <x:v>À qualifier par lieu</x:v>
      </x:c>
      <x:c r="J3396" t="str">
        <x:v>https://github.com/darknigthmare/deadwall-last-enclosure/blob/1b3b9c5ba232734b1bda3453b4e20a0481bcdd74/codex-3000/addendum-1.58/PROGRAMMES_B.json</x:v>
      </x:c>
      <x:c r="K3396" t="str">
        <x:v>Source min 30,34 m ; max 30,34 m ; modèle 30 × 34 m ; niveaux 0, 1. Détails dans catalogue-existant.json.</x:v>
      </x:c>
    </x:row>
    <x:row r="3397">
      <x:c r="A3397" t="str">
        <x:v>DW-3392</x:v>
      </x:c>
      <x:c r="B3397" t="str">
        <x:v>DW-3392</x:v>
      </x:c>
      <x:c r="C3397" t="str">
        <x:v>Parent indépendant 1.58</x:v>
      </x:c>
      <x:c r="D3397" t="str">
        <x:v>Loisirs et culture</x:v>
      </x:c>
      <x:c r="E3397" t="str">
        <x:v>Maison des métiers du papier</x:v>
      </x:c>
      <x:c r="F3397" t="n">
        <x:v>9</x:v>
      </x:c>
      <x:c r="G3397" t="n">
        <x:v>6</x:v>
      </x:c>
      <x:c r="H3397" t="n">
        <x:v>6</x:v>
      </x:c>
      <x:c r="I3397" t="str">
        <x:v>À qualifier par lieu</x:v>
      </x:c>
      <x:c r="J3397" t="str">
        <x:v>https://github.com/darknigthmare/deadwall-last-enclosure/blob/1b3b9c5ba232734b1bda3453b4e20a0481bcdd74/codex-3000/addendum-1.58/PROGRAMMES_B.json</x:v>
      </x:c>
      <x:c r="K3397" t="str">
        <x:v>Source min 34,28 m ; max 34,28 m ; modèle 34 × 28 m ; niveaux 0, 1. Détails dans catalogue-existant.json.</x:v>
      </x:c>
    </x:row>
    <x:row r="3398">
      <x:c r="A3398" t="str">
        <x:v>DW-3393</x:v>
      </x:c>
      <x:c r="B3398" t="str">
        <x:v>DW-3393</x:v>
      </x:c>
      <x:c r="C3398" t="str">
        <x:v>Parent indépendant 1.58</x:v>
      </x:c>
      <x:c r="D3398" t="str">
        <x:v>Loisirs et culture</x:v>
      </x:c>
      <x:c r="E3398" t="str">
        <x:v>Conservatoire de partitions</x:v>
      </x:c>
      <x:c r="F3398" t="n">
        <x:v>9</x:v>
      </x:c>
      <x:c r="G3398" t="n">
        <x:v>6</x:v>
      </x:c>
      <x:c r="H3398" t="n">
        <x:v>6</x:v>
      </x:c>
      <x:c r="I3398" t="str">
        <x:v>À qualifier par lieu</x:v>
      </x:c>
      <x:c r="J3398" t="str">
        <x:v>https://github.com/darknigthmare/deadwall-last-enclosure/blob/1b3b9c5ba232734b1bda3453b4e20a0481bcdd74/codex-3000/addendum-1.58/PROGRAMMES_B.json</x:v>
      </x:c>
      <x:c r="K3398" t="str">
        <x:v>Source min 38,31 m ; max 38,31 m ; modèle 38 × 31 m ; niveaux 0, 1. Détails dans catalogue-existant.json.</x:v>
      </x:c>
    </x:row>
    <x:row r="3399">
      <x:c r="A3399" t="str">
        <x:v>DW-3394</x:v>
      </x:c>
      <x:c r="B3399" t="str">
        <x:v>DW-3394</x:v>
      </x:c>
      <x:c r="C3399" t="str">
        <x:v>Parent indépendant 1.58</x:v>
      </x:c>
      <x:c r="D3399" t="str">
        <x:v>Loisirs et culture</x:v>
      </x:c>
      <x:c r="E3399" t="str">
        <x:v>Centre d'écoute de musique enregistrée</x:v>
      </x:c>
      <x:c r="F3399" t="n">
        <x:v>9</x:v>
      </x:c>
      <x:c r="G3399" t="n">
        <x:v>6</x:v>
      </x:c>
      <x:c r="H3399" t="n">
        <x:v>6</x:v>
      </x:c>
      <x:c r="I3399" t="str">
        <x:v>À qualifier par lieu</x:v>
      </x:c>
      <x:c r="J3399" t="str">
        <x:v>https://github.com/darknigthmare/deadwall-last-enclosure/blob/1b3b9c5ba232734b1bda3453b4e20a0481bcdd74/codex-3000/addendum-1.58/PROGRAMMES_B.json</x:v>
      </x:c>
      <x:c r="K3399" t="str">
        <x:v>Source min 42,34 m ; max 42,34 m ; modèle 42 × 34 m ; niveaux 0, 1. Détails dans catalogue-existant.json.</x:v>
      </x:c>
    </x:row>
    <x:row r="3400">
      <x:c r="A3400" t="str">
        <x:v>DW-3395</x:v>
      </x:c>
      <x:c r="B3400" t="str">
        <x:v>DW-3395</x:v>
      </x:c>
      <x:c r="C3400" t="str">
        <x:v>Parent indépendant 1.58</x:v>
      </x:c>
      <x:c r="D3400" t="str">
        <x:v>Loisirs et culture</x:v>
      </x:c>
      <x:c r="E3400" t="str">
        <x:v>Atelier de fabrication de décors sonores</x:v>
      </x:c>
      <x:c r="F3400" t="n">
        <x:v>9</x:v>
      </x:c>
      <x:c r="G3400" t="n">
        <x:v>6</x:v>
      </x:c>
      <x:c r="H3400" t="n">
        <x:v>6</x:v>
      </x:c>
      <x:c r="I3400" t="str">
        <x:v>À qualifier par lieu</x:v>
      </x:c>
      <x:c r="J3400" t="str">
        <x:v>https://github.com/darknigthmare/deadwall-last-enclosure/blob/1b3b9c5ba232734b1bda3453b4e20a0481bcdd74/codex-3000/addendum-1.58/PROGRAMMES_B.json</x:v>
      </x:c>
      <x:c r="K3400" t="str">
        <x:v>Source min 30,28 m ; max 30,28 m ; modèle 30 × 28 m ; niveaux 0, 1. Détails dans catalogue-existant.json.</x:v>
      </x:c>
    </x:row>
    <x:row r="3401">
      <x:c r="A3401" t="str">
        <x:v>DW-3396</x:v>
      </x:c>
      <x:c r="B3401" t="str">
        <x:v>DW-3396</x:v>
      </x:c>
      <x:c r="C3401" t="str">
        <x:v>Parent indépendant 1.58</x:v>
      </x:c>
      <x:c r="D3401" t="str">
        <x:v>Loisirs et culture</x:v>
      </x:c>
      <x:c r="E3401" t="str">
        <x:v>Maison de la voix parlée</x:v>
      </x:c>
      <x:c r="F3401" t="n">
        <x:v>9</x:v>
      </x:c>
      <x:c r="G3401" t="n">
        <x:v>6</x:v>
      </x:c>
      <x:c r="H3401" t="n">
        <x:v>6</x:v>
      </x:c>
      <x:c r="I3401" t="str">
        <x:v>À qualifier par lieu</x:v>
      </x:c>
      <x:c r="J3401" t="str">
        <x:v>https://github.com/darknigthmare/deadwall-last-enclosure/blob/1b3b9c5ba232734b1bda3453b4e20a0481bcdd74/codex-3000/addendum-1.58/PROGRAMMES_B.json</x:v>
      </x:c>
      <x:c r="K3401" t="str">
        <x:v>Source min 34,31 m ; max 34,31 m ; modèle 34 × 31 m ; niveaux 0, 1. Détails dans catalogue-existant.json.</x:v>
      </x:c>
    </x:row>
    <x:row r="3402">
      <x:c r="A3402" t="str">
        <x:v>DW-3397</x:v>
      </x:c>
      <x:c r="B3402" t="str">
        <x:v>DW-3397</x:v>
      </x:c>
      <x:c r="C3402" t="str">
        <x:v>Parent indépendant 1.58</x:v>
      </x:c>
      <x:c r="D3402" t="str">
        <x:v>Loisirs et culture</x:v>
      </x:c>
      <x:c r="E3402" t="str">
        <x:v>Studio de doublage artisanal</x:v>
      </x:c>
      <x:c r="F3402" t="n">
        <x:v>9</x:v>
      </x:c>
      <x:c r="G3402" t="n">
        <x:v>6</x:v>
      </x:c>
      <x:c r="H3402" t="n">
        <x:v>6</x:v>
      </x:c>
      <x:c r="I3402" t="str">
        <x:v>À qualifier par lieu</x:v>
      </x:c>
      <x:c r="J3402" t="str">
        <x:v>https://github.com/darknigthmare/deadwall-last-enclosure/blob/1b3b9c5ba232734b1bda3453b4e20a0481bcdd74/codex-3000/addendum-1.58/PROGRAMMES_B.json</x:v>
      </x:c>
      <x:c r="K3402" t="str">
        <x:v>Source min 38,34 m ; max 38,34 m ; modèle 38 × 34 m ; niveaux 0, 1. Détails dans catalogue-existant.json.</x:v>
      </x:c>
    </x:row>
    <x:row r="3403">
      <x:c r="A3403" t="str">
        <x:v>DW-3398</x:v>
      </x:c>
      <x:c r="B3403" t="str">
        <x:v>DW-3398</x:v>
      </x:c>
      <x:c r="C3403" t="str">
        <x:v>Parent indépendant 1.58</x:v>
      </x:c>
      <x:c r="D3403" t="str">
        <x:v>Loisirs et culture</x:v>
      </x:c>
      <x:c r="E3403" t="str">
        <x:v>Centre de sous-titrage culturel</x:v>
      </x:c>
      <x:c r="F3403" t="n">
        <x:v>9</x:v>
      </x:c>
      <x:c r="G3403" t="n">
        <x:v>6</x:v>
      </x:c>
      <x:c r="H3403" t="n">
        <x:v>6</x:v>
      </x:c>
      <x:c r="I3403" t="str">
        <x:v>À qualifier par lieu</x:v>
      </x:c>
      <x:c r="J3403" t="str">
        <x:v>https://github.com/darknigthmare/deadwall-last-enclosure/blob/1b3b9c5ba232734b1bda3453b4e20a0481bcdd74/codex-3000/addendum-1.58/PROGRAMMES_B.json</x:v>
      </x:c>
      <x:c r="K3403" t="str">
        <x:v>Source min 42,28 m ; max 42,28 m ; modèle 42 × 28 m ; niveaux 0, 1. Détails dans catalogue-existant.json.</x:v>
      </x:c>
    </x:row>
    <x:row r="3404">
      <x:c r="A3404" t="str">
        <x:v>DW-3399</x:v>
      </x:c>
      <x:c r="B3404" t="str">
        <x:v>DW-3399</x:v>
      </x:c>
      <x:c r="C3404" t="str">
        <x:v>Parent indépendant 1.58</x:v>
      </x:c>
      <x:c r="D3404" t="str">
        <x:v>Loisirs et culture</x:v>
      </x:c>
      <x:c r="E3404" t="str">
        <x:v>Atelier de stop-motion</x:v>
      </x:c>
      <x:c r="F3404" t="n">
        <x:v>9</x:v>
      </x:c>
      <x:c r="G3404" t="n">
        <x:v>6</x:v>
      </x:c>
      <x:c r="H3404" t="n">
        <x:v>6</x:v>
      </x:c>
      <x:c r="I3404" t="str">
        <x:v>À qualifier par lieu</x:v>
      </x:c>
      <x:c r="J3404" t="str">
        <x:v>https://github.com/darknigthmare/deadwall-last-enclosure/blob/1b3b9c5ba232734b1bda3453b4e20a0481bcdd74/codex-3000/addendum-1.58/PROGRAMMES_B.json</x:v>
      </x:c>
      <x:c r="K3404" t="str">
        <x:v>Source min 30,31 m ; max 30,31 m ; modèle 30 × 31 m ; niveaux 0, 1. Détails dans catalogue-existant.json.</x:v>
      </x:c>
    </x:row>
    <x:row r="3405">
      <x:c r="A3405" t="str">
        <x:v>DW-3400</x:v>
      </x:c>
      <x:c r="B3405" t="str">
        <x:v>DW-3400</x:v>
      </x:c>
      <x:c r="C3405" t="str">
        <x:v>Parent indépendant 1.58</x:v>
      </x:c>
      <x:c r="D3405" t="str">
        <x:v>Loisirs et culture</x:v>
      </x:c>
      <x:c r="E3405" t="str">
        <x:v>Maison du documentaire local</x:v>
      </x:c>
      <x:c r="F3405" t="n">
        <x:v>9</x:v>
      </x:c>
      <x:c r="G3405" t="n">
        <x:v>6</x:v>
      </x:c>
      <x:c r="H3405" t="n">
        <x:v>6</x:v>
      </x:c>
      <x:c r="I3405" t="str">
        <x:v>À qualifier par lieu</x:v>
      </x:c>
      <x:c r="J3405" t="str">
        <x:v>https://github.com/darknigthmare/deadwall-last-enclosure/blob/1b3b9c5ba232734b1bda3453b4e20a0481bcdd74/codex-3000/addendum-1.58/PROGRAMMES_B.json</x:v>
      </x:c>
      <x:c r="K3405" t="str">
        <x:v>Source min 34,34 m ; max 34,34 m ; modèle 34 × 34 m ; niveaux 0, 1. Détails dans catalogue-existant.json.</x:v>
      </x:c>
    </x:row>
    <x:row r="3406">
      <x:c r="A3406" t="str">
        <x:v>DW-3401</x:v>
      </x:c>
      <x:c r="B3406" t="str">
        <x:v>DW-3401</x:v>
      </x:c>
      <x:c r="C3406" t="str">
        <x:v>Parent indépendant 1.58</x:v>
      </x:c>
      <x:c r="D3406" t="str">
        <x:v>Loisirs et culture</x:v>
      </x:c>
      <x:c r="E3406" t="str">
        <x:v>Centre de cartographie culturelle</x:v>
      </x:c>
      <x:c r="F3406" t="n">
        <x:v>9</x:v>
      </x:c>
      <x:c r="G3406" t="n">
        <x:v>6</x:v>
      </x:c>
      <x:c r="H3406" t="n">
        <x:v>6</x:v>
      </x:c>
      <x:c r="I3406" t="str">
        <x:v>À qualifier par lieu</x:v>
      </x:c>
      <x:c r="J3406" t="str">
        <x:v>https://github.com/darknigthmare/deadwall-last-enclosure/blob/1b3b9c5ba232734b1bda3453b4e20a0481bcdd74/codex-3000/addendum-1.58/PROGRAMMES_B.json</x:v>
      </x:c>
      <x:c r="K3406" t="str">
        <x:v>Source min 38,28 m ; max 38,28 m ; modèle 38 × 28 m ; niveaux 0, 1. Détails dans catalogue-existant.json.</x:v>
      </x:c>
    </x:row>
    <x:row r="3407">
      <x:c r="A3407" t="str">
        <x:v>DW-3402</x:v>
      </x:c>
      <x:c r="B3407" t="str">
        <x:v>DW-3402</x:v>
      </x:c>
      <x:c r="C3407" t="str">
        <x:v>Parent indépendant 1.58</x:v>
      </x:c>
      <x:c r="D3407" t="str">
        <x:v>Loisirs et culture</x:v>
      </x:c>
      <x:c r="E3407" t="str">
        <x:v>Maison des correspondances d'écrivains</x:v>
      </x:c>
      <x:c r="F3407" t="n">
        <x:v>9</x:v>
      </x:c>
      <x:c r="G3407" t="n">
        <x:v>6</x:v>
      </x:c>
      <x:c r="H3407" t="n">
        <x:v>6</x:v>
      </x:c>
      <x:c r="I3407" t="str">
        <x:v>À qualifier par lieu</x:v>
      </x:c>
      <x:c r="J3407" t="str">
        <x:v>https://github.com/darknigthmare/deadwall-last-enclosure/blob/1b3b9c5ba232734b1bda3453b4e20a0481bcdd74/codex-3000/addendum-1.58/PROGRAMMES_B.json</x:v>
      </x:c>
      <x:c r="K3407" t="str">
        <x:v>Source min 42,31 m ; max 42,31 m ; modèle 42 × 31 m ; niveaux 0, 1. Détails dans catalogue-existant.json.</x:v>
      </x:c>
    </x:row>
    <x:row r="3408">
      <x:c r="A3408" t="str">
        <x:v>DW-3403</x:v>
      </x:c>
      <x:c r="B3408" t="str">
        <x:v>DW-3403</x:v>
      </x:c>
      <x:c r="C3408" t="str">
        <x:v>Parent indépendant 1.58</x:v>
      </x:c>
      <x:c r="D3408" t="str">
        <x:v>Loisirs et culture</x:v>
      </x:c>
      <x:c r="E3408" t="str">
        <x:v>Atelier de traduction littéraire</x:v>
      </x:c>
      <x:c r="F3408" t="n">
        <x:v>9</x:v>
      </x:c>
      <x:c r="G3408" t="n">
        <x:v>6</x:v>
      </x:c>
      <x:c r="H3408" t="n">
        <x:v>6</x:v>
      </x:c>
      <x:c r="I3408" t="str">
        <x:v>À qualifier par lieu</x:v>
      </x:c>
      <x:c r="J3408" t="str">
        <x:v>https://github.com/darknigthmare/deadwall-last-enclosure/blob/1b3b9c5ba232734b1bda3453b4e20a0481bcdd74/codex-3000/addendum-1.58/PROGRAMMES_B.json</x:v>
      </x:c>
      <x:c r="K3408" t="str">
        <x:v>Source min 30,34 m ; max 30,34 m ; modèle 30 × 34 m ; niveaux 0, 1. Détails dans catalogue-existant.json.</x:v>
      </x:c>
    </x:row>
    <x:row r="3409">
      <x:c r="A3409" t="str">
        <x:v>DW-3404</x:v>
      </x:c>
      <x:c r="B3409" t="str">
        <x:v>DW-3404</x:v>
      </x:c>
      <x:c r="C3409" t="str">
        <x:v>Parent indépendant 1.58</x:v>
      </x:c>
      <x:c r="D3409" t="str">
        <x:v>Loisirs et culture</x:v>
      </x:c>
      <x:c r="E3409" t="str">
        <x:v>Centre de livres sonores</x:v>
      </x:c>
      <x:c r="F3409" t="n">
        <x:v>9</x:v>
      </x:c>
      <x:c r="G3409" t="n">
        <x:v>6</x:v>
      </x:c>
      <x:c r="H3409" t="n">
        <x:v>6</x:v>
      </x:c>
      <x:c r="I3409" t="str">
        <x:v>À qualifier par lieu</x:v>
      </x:c>
      <x:c r="J3409" t="str">
        <x:v>https://github.com/darknigthmare/deadwall-last-enclosure/blob/1b3b9c5ba232734b1bda3453b4e20a0481bcdd74/codex-3000/addendum-1.58/PROGRAMMES_B.json</x:v>
      </x:c>
      <x:c r="K3409" t="str">
        <x:v>Source min 34,28 m ; max 34,28 m ; modèle 34 × 28 m ; niveaux 0, 1. Détails dans catalogue-existant.json.</x:v>
      </x:c>
    </x:row>
    <x:row r="3410">
      <x:c r="A3410" t="str">
        <x:v>DW-3405</x:v>
      </x:c>
      <x:c r="B3410" t="str">
        <x:v>DW-3405</x:v>
      </x:c>
      <x:c r="C3410" t="str">
        <x:v>Parent indépendant 1.58</x:v>
      </x:c>
      <x:c r="D3410" t="str">
        <x:v>Loisirs et culture</x:v>
      </x:c>
      <x:c r="E3410" t="str">
        <x:v>Maison des jeux traditionnels</x:v>
      </x:c>
      <x:c r="F3410" t="n">
        <x:v>9</x:v>
      </x:c>
      <x:c r="G3410" t="n">
        <x:v>6</x:v>
      </x:c>
      <x:c r="H3410" t="n">
        <x:v>6</x:v>
      </x:c>
      <x:c r="I3410" t="str">
        <x:v>À qualifier par lieu</x:v>
      </x:c>
      <x:c r="J3410" t="str">
        <x:v>https://github.com/darknigthmare/deadwall-last-enclosure/blob/1b3b9c5ba232734b1bda3453b4e20a0481bcdd74/codex-3000/addendum-1.58/PROGRAMMES_B.json</x:v>
      </x:c>
      <x:c r="K3410" t="str">
        <x:v>Source min 38,31 m ; max 38,31 m ; modèle 38 × 31 m ; niveaux 0, 1. Détails dans catalogue-existant.json.</x:v>
      </x:c>
    </x:row>
    <x:row r="3411">
      <x:c r="A3411" t="str">
        <x:v>DW-3406</x:v>
      </x:c>
      <x:c r="B3411" t="str">
        <x:v>DW-3406</x:v>
      </x:c>
      <x:c r="C3411" t="str">
        <x:v>Parent indépendant 1.58</x:v>
      </x:c>
      <x:c r="D3411" t="str">
        <x:v>Loisirs et culture</x:v>
      </x:c>
      <x:c r="E3411" t="str">
        <x:v>Atelier de restauration de jouets patrimoniaux</x:v>
      </x:c>
      <x:c r="F3411" t="n">
        <x:v>9</x:v>
      </x:c>
      <x:c r="G3411" t="n">
        <x:v>6</x:v>
      </x:c>
      <x:c r="H3411" t="n">
        <x:v>6</x:v>
      </x:c>
      <x:c r="I3411" t="str">
        <x:v>À qualifier par lieu</x:v>
      </x:c>
      <x:c r="J3411" t="str">
        <x:v>https://github.com/darknigthmare/deadwall-last-enclosure/blob/1b3b9c5ba232734b1bda3453b4e20a0481bcdd74/codex-3000/addendum-1.58/PROGRAMMES_B.json</x:v>
      </x:c>
      <x:c r="K3411" t="str">
        <x:v>Source min 42,34 m ; max 42,34 m ; modèle 42 × 34 m ; niveaux 0, 1. Détails dans catalogue-existant.json.</x:v>
      </x:c>
    </x:row>
    <x:row r="3412">
      <x:c r="A3412" t="str">
        <x:v>DW-3407</x:v>
      </x:c>
      <x:c r="B3412" t="str">
        <x:v>DW-3407</x:v>
      </x:c>
      <x:c r="C3412" t="str">
        <x:v>Parent indépendant 1.58</x:v>
      </x:c>
      <x:c r="D3412" t="str">
        <x:v>Loisirs et culture</x:v>
      </x:c>
      <x:c r="E3412" t="str">
        <x:v>Centre d'histoire de l'affiche</x:v>
      </x:c>
      <x:c r="F3412" t="n">
        <x:v>9</x:v>
      </x:c>
      <x:c r="G3412" t="n">
        <x:v>6</x:v>
      </x:c>
      <x:c r="H3412" t="n">
        <x:v>6</x:v>
      </x:c>
      <x:c r="I3412" t="str">
        <x:v>À qualifier par lieu</x:v>
      </x:c>
      <x:c r="J3412" t="str">
        <x:v>https://github.com/darknigthmare/deadwall-last-enclosure/blob/1b3b9c5ba232734b1bda3453b4e20a0481bcdd74/codex-3000/addendum-1.58/PROGRAMMES_B.json</x:v>
      </x:c>
      <x:c r="K3412" t="str">
        <x:v>Source min 30,28 m ; max 30,28 m ; modèle 30 × 28 m ; niveaux 0, 1. Détails dans catalogue-existant.json.</x:v>
      </x:c>
    </x:row>
    <x:row r="3413">
      <x:c r="A3413" t="str">
        <x:v>DW-3408</x:v>
      </x:c>
      <x:c r="B3413" t="str">
        <x:v>DW-3408</x:v>
      </x:c>
      <x:c r="C3413" t="str">
        <x:v>Parent indépendant 1.58</x:v>
      </x:c>
      <x:c r="D3413" t="str">
        <x:v>Loisirs et culture</x:v>
      </x:c>
      <x:c r="E3413" t="str">
        <x:v>Maison des enseignes anciennes</x:v>
      </x:c>
      <x:c r="F3413" t="n">
        <x:v>9</x:v>
      </x:c>
      <x:c r="G3413" t="n">
        <x:v>6</x:v>
      </x:c>
      <x:c r="H3413" t="n">
        <x:v>6</x:v>
      </x:c>
      <x:c r="I3413" t="str">
        <x:v>À qualifier par lieu</x:v>
      </x:c>
      <x:c r="J3413" t="str">
        <x:v>https://github.com/darknigthmare/deadwall-last-enclosure/blob/1b3b9c5ba232734b1bda3453b4e20a0481bcdd74/codex-3000/addendum-1.58/PROGRAMMES_B.json</x:v>
      </x:c>
      <x:c r="K3413" t="str">
        <x:v>Source min 34,31 m ; max 34,31 m ; modèle 34 × 31 m ; niveaux 0, 1. Détails dans catalogue-existant.json.</x:v>
      </x:c>
    </x:row>
    <x:row r="3414">
      <x:c r="A3414" t="str">
        <x:v>DW-3409</x:v>
      </x:c>
      <x:c r="B3414" t="str">
        <x:v>DW-3409</x:v>
      </x:c>
      <x:c r="C3414" t="str">
        <x:v>Parent indépendant 1.58</x:v>
      </x:c>
      <x:c r="D3414" t="str">
        <x:v>Loisirs et culture</x:v>
      </x:c>
      <x:c r="E3414" t="str">
        <x:v>Atelier de conservation de vitraux</x:v>
      </x:c>
      <x:c r="F3414" t="n">
        <x:v>9</x:v>
      </x:c>
      <x:c r="G3414" t="n">
        <x:v>6</x:v>
      </x:c>
      <x:c r="H3414" t="n">
        <x:v>6</x:v>
      </x:c>
      <x:c r="I3414" t="str">
        <x:v>À qualifier par lieu</x:v>
      </x:c>
      <x:c r="J3414" t="str">
        <x:v>https://github.com/darknigthmare/deadwall-last-enclosure/blob/1b3b9c5ba232734b1bda3453b4e20a0481bcdd74/codex-3000/addendum-1.58/PROGRAMMES_B.json</x:v>
      </x:c>
      <x:c r="K3414" t="str">
        <x:v>Source min 38,34 m ; max 38,34 m ; modèle 38 × 34 m ; niveaux 0, 1. Détails dans catalogue-existant.json.</x:v>
      </x:c>
    </x:row>
    <x:row r="3415">
      <x:c r="A3415" t="str">
        <x:v>DW-3410</x:v>
      </x:c>
      <x:c r="B3415" t="str">
        <x:v>DW-3410</x:v>
      </x:c>
      <x:c r="C3415" t="str">
        <x:v>Parent indépendant 1.58</x:v>
      </x:c>
      <x:c r="D3415" t="str">
        <x:v>Loisirs et culture</x:v>
      </x:c>
      <x:c r="E3415" t="str">
        <x:v>Centre de mémoire des migrations</x:v>
      </x:c>
      <x:c r="F3415" t="n">
        <x:v>9</x:v>
      </x:c>
      <x:c r="G3415" t="n">
        <x:v>6</x:v>
      </x:c>
      <x:c r="H3415" t="n">
        <x:v>6</x:v>
      </x:c>
      <x:c r="I3415" t="str">
        <x:v>À qualifier par lieu</x:v>
      </x:c>
      <x:c r="J3415" t="str">
        <x:v>https://github.com/darknigthmare/deadwall-last-enclosure/blob/1b3b9c5ba232734b1bda3453b4e20a0481bcdd74/codex-3000/addendum-1.58/PROGRAMMES_B.json</x:v>
      </x:c>
      <x:c r="K3415" t="str">
        <x:v>Source min 42,28 m ; max 42,28 m ; modèle 42 × 28 m ; niveaux 0, 1. Détails dans catalogue-existant.json.</x:v>
      </x:c>
    </x:row>
    <x:row r="3416">
      <x:c r="A3416" t="str">
        <x:v>DW-3411</x:v>
      </x:c>
      <x:c r="B3416" t="str">
        <x:v>DW-3411</x:v>
      </x:c>
      <x:c r="C3416" t="str">
        <x:v>Parent indépendant 1.58</x:v>
      </x:c>
      <x:c r="D3416" t="str">
        <x:v>Loisirs et culture</x:v>
      </x:c>
      <x:c r="E3416" t="str">
        <x:v>Maison des pratiques culinaires patrimoniales</x:v>
      </x:c>
      <x:c r="F3416" t="n">
        <x:v>9</x:v>
      </x:c>
      <x:c r="G3416" t="n">
        <x:v>6</x:v>
      </x:c>
      <x:c r="H3416" t="n">
        <x:v>6</x:v>
      </x:c>
      <x:c r="I3416" t="str">
        <x:v>À qualifier par lieu</x:v>
      </x:c>
      <x:c r="J3416" t="str">
        <x:v>https://github.com/darknigthmare/deadwall-last-enclosure/blob/1b3b9c5ba232734b1bda3453b4e20a0481bcdd74/codex-3000/addendum-1.58/PROGRAMMES_B.json</x:v>
      </x:c>
      <x:c r="K3416" t="str">
        <x:v>Source min 30,31 m ; max 30,31 m ; modèle 30 × 31 m ; niveaux 0, 1. Détails dans catalogue-existant.json.</x:v>
      </x:c>
    </x:row>
    <x:row r="3417">
      <x:c r="A3417" t="str">
        <x:v>DW-3412</x:v>
      </x:c>
      <x:c r="B3417" t="str">
        <x:v>DW-3412</x:v>
      </x:c>
      <x:c r="C3417" t="str">
        <x:v>Parent indépendant 1.58</x:v>
      </x:c>
      <x:c r="D3417" t="str">
        <x:v>Loisirs et culture</x:v>
      </x:c>
      <x:c r="E3417" t="str">
        <x:v>Atelier de conservation de textiles</x:v>
      </x:c>
      <x:c r="F3417" t="n">
        <x:v>9</x:v>
      </x:c>
      <x:c r="G3417" t="n">
        <x:v>6</x:v>
      </x:c>
      <x:c r="H3417" t="n">
        <x:v>6</x:v>
      </x:c>
      <x:c r="I3417" t="str">
        <x:v>À qualifier par lieu</x:v>
      </x:c>
      <x:c r="J3417" t="str">
        <x:v>https://github.com/darknigthmare/deadwall-last-enclosure/blob/1b3b9c5ba232734b1bda3453b4e20a0481bcdd74/codex-3000/addendum-1.58/PROGRAMMES_B.json</x:v>
      </x:c>
      <x:c r="K3417" t="str">
        <x:v>Source min 34,34 m ; max 34,34 m ; modèle 34 × 34 m ; niveaux 0, 1. Détails dans catalogue-existant.json.</x:v>
      </x:c>
    </x:row>
    <x:row r="3418">
      <x:c r="A3418" t="str">
        <x:v>DW-3413</x:v>
      </x:c>
      <x:c r="B3418" t="str">
        <x:v>DW-3413</x:v>
      </x:c>
      <x:c r="C3418" t="str">
        <x:v>Parent indépendant 1.58</x:v>
      </x:c>
      <x:c r="D3418" t="str">
        <x:v>Loisirs et culture</x:v>
      </x:c>
      <x:c r="E3418" t="str">
        <x:v>Centre de mémoire du travail domestique</x:v>
      </x:c>
      <x:c r="F3418" t="n">
        <x:v>9</x:v>
      </x:c>
      <x:c r="G3418" t="n">
        <x:v>6</x:v>
      </x:c>
      <x:c r="H3418" t="n">
        <x:v>6</x:v>
      </x:c>
      <x:c r="I3418" t="str">
        <x:v>À qualifier par lieu</x:v>
      </x:c>
      <x:c r="J3418" t="str">
        <x:v>https://github.com/darknigthmare/deadwall-last-enclosure/blob/1b3b9c5ba232734b1bda3453b4e20a0481bcdd74/codex-3000/addendum-1.58/PROGRAMMES_B.json</x:v>
      </x:c>
      <x:c r="K3418" t="str">
        <x:v>Source min 38,28 m ; max 38,28 m ; modèle 38 × 28 m ; niveaux 0, 1. Détails dans catalogue-existant.json.</x:v>
      </x:c>
    </x:row>
    <x:row r="3419">
      <x:c r="A3419" t="str">
        <x:v>DW-3414</x:v>
      </x:c>
      <x:c r="B3419" t="str">
        <x:v>DW-3414</x:v>
      </x:c>
      <x:c r="C3419" t="str">
        <x:v>Parent indépendant 1.58</x:v>
      </x:c>
      <x:c r="D3419" t="str">
        <x:v>Loisirs et culture</x:v>
      </x:c>
      <x:c r="E3419" t="str">
        <x:v>Maison des métiers de la rue</x:v>
      </x:c>
      <x:c r="F3419" t="n">
        <x:v>9</x:v>
      </x:c>
      <x:c r="G3419" t="n">
        <x:v>6</x:v>
      </x:c>
      <x:c r="H3419" t="n">
        <x:v>6</x:v>
      </x:c>
      <x:c r="I3419" t="str">
        <x:v>À qualifier par lieu</x:v>
      </x:c>
      <x:c r="J3419" t="str">
        <x:v>https://github.com/darknigthmare/deadwall-last-enclosure/blob/1b3b9c5ba232734b1bda3453b4e20a0481bcdd74/codex-3000/addendum-1.58/PROGRAMMES_B.json</x:v>
      </x:c>
      <x:c r="K3419" t="str">
        <x:v>Source min 42,31 m ; max 42,31 m ; modèle 42 × 31 m ; niveaux 0, 1. Détails dans catalogue-existant.json.</x:v>
      </x:c>
    </x:row>
    <x:row r="3420">
      <x:c r="A3420" t="str">
        <x:v>DW-3415</x:v>
      </x:c>
      <x:c r="B3420" t="str">
        <x:v>DW-3415</x:v>
      </x:c>
      <x:c r="C3420" t="str">
        <x:v>Parent indépendant 1.58</x:v>
      </x:c>
      <x:c r="D3420" t="str">
        <x:v>Loisirs et culture</x:v>
      </x:c>
      <x:c r="E3420" t="str">
        <x:v>Centre de lecture de bandes dessinées</x:v>
      </x:c>
      <x:c r="F3420" t="n">
        <x:v>9</x:v>
      </x:c>
      <x:c r="G3420" t="n">
        <x:v>6</x:v>
      </x:c>
      <x:c r="H3420" t="n">
        <x:v>6</x:v>
      </x:c>
      <x:c r="I3420" t="str">
        <x:v>À qualifier par lieu</x:v>
      </x:c>
      <x:c r="J3420" t="str">
        <x:v>https://github.com/darknigthmare/deadwall-last-enclosure/blob/1b3b9c5ba232734b1bda3453b4e20a0481bcdd74/codex-3000/addendum-1.58/PROGRAMMES_B.json</x:v>
      </x:c>
      <x:c r="K3420" t="str">
        <x:v>Source min 30,34 m ; max 30,34 m ; modèle 30 × 34 m ; niveaux 0, 1. Détails dans catalogue-existant.json.</x:v>
      </x:c>
    </x:row>
    <x:row r="3421">
      <x:c r="A3421" t="str">
        <x:v>DW-3416</x:v>
      </x:c>
      <x:c r="B3421" t="str">
        <x:v>DW-3416</x:v>
      </x:c>
      <x:c r="C3421" t="str">
        <x:v>Parent indépendant 1.58</x:v>
      </x:c>
      <x:c r="D3421" t="str">
        <x:v>Loisirs et culture</x:v>
      </x:c>
      <x:c r="E3421" t="str">
        <x:v>Atelier de fanzines</x:v>
      </x:c>
      <x:c r="F3421" t="n">
        <x:v>9</x:v>
      </x:c>
      <x:c r="G3421" t="n">
        <x:v>6</x:v>
      </x:c>
      <x:c r="H3421" t="n">
        <x:v>6</x:v>
      </x:c>
      <x:c r="I3421" t="str">
        <x:v>À qualifier par lieu</x:v>
      </x:c>
      <x:c r="J3421" t="str">
        <x:v>https://github.com/darknigthmare/deadwall-last-enclosure/blob/1b3b9c5ba232734b1bda3453b4e20a0481bcdd74/codex-3000/addendum-1.58/PROGRAMMES_B.json</x:v>
      </x:c>
      <x:c r="K3421" t="str">
        <x:v>Source min 34,28 m ; max 34,28 m ; modèle 34 × 28 m ; niveaux 0, 1. Détails dans catalogue-existant.json.</x:v>
      </x:c>
    </x:row>
    <x:row r="3422">
      <x:c r="A3422" t="str">
        <x:v>DW-3417</x:v>
      </x:c>
      <x:c r="B3422" t="str">
        <x:v>DW-3417</x:v>
      </x:c>
      <x:c r="C3422" t="str">
        <x:v>Parent indépendant 1.58</x:v>
      </x:c>
      <x:c r="D3422" t="str">
        <x:v>Loisirs et culture</x:v>
      </x:c>
      <x:c r="E3422" t="str">
        <x:v>Maison de l'art postal</x:v>
      </x:c>
      <x:c r="F3422" t="n">
        <x:v>9</x:v>
      </x:c>
      <x:c r="G3422" t="n">
        <x:v>6</x:v>
      </x:c>
      <x:c r="H3422" t="n">
        <x:v>6</x:v>
      </x:c>
      <x:c r="I3422" t="str">
        <x:v>À qualifier par lieu</x:v>
      </x:c>
      <x:c r="J3422" t="str">
        <x:v>https://github.com/darknigthmare/deadwall-last-enclosure/blob/1b3b9c5ba232734b1bda3453b4e20a0481bcdd74/codex-3000/addendum-1.58/PROGRAMMES_B.json</x:v>
      </x:c>
      <x:c r="K3422" t="str">
        <x:v>Source min 38,31 m ; max 38,31 m ; modèle 38 × 31 m ; niveaux 0, 1. Détails dans catalogue-existant.json.</x:v>
      </x:c>
    </x:row>
    <x:row r="3423">
      <x:c r="A3423" t="str">
        <x:v>DW-3418</x:v>
      </x:c>
      <x:c r="B3423" t="str">
        <x:v>DW-3418</x:v>
      </x:c>
      <x:c r="C3423" t="str">
        <x:v>Parent indépendant 1.58</x:v>
      </x:c>
      <x:c r="D3423" t="str">
        <x:v>Loisirs et culture</x:v>
      </x:c>
      <x:c r="E3423" t="str">
        <x:v>Centre d'exposition de céramique</x:v>
      </x:c>
      <x:c r="F3423" t="n">
        <x:v>9</x:v>
      </x:c>
      <x:c r="G3423" t="n">
        <x:v>6</x:v>
      </x:c>
      <x:c r="H3423" t="n">
        <x:v>6</x:v>
      </x:c>
      <x:c r="I3423" t="str">
        <x:v>À qualifier par lieu</x:v>
      </x:c>
      <x:c r="J3423" t="str">
        <x:v>https://github.com/darknigthmare/deadwall-last-enclosure/blob/1b3b9c5ba232734b1bda3453b4e20a0481bcdd74/codex-3000/addendum-1.58/PROGRAMMES_B.json</x:v>
      </x:c>
      <x:c r="K3423" t="str">
        <x:v>Source min 42,34 m ; max 42,34 m ; modèle 42 × 34 m ; niveaux 0, 1. Détails dans catalogue-existant.json.</x:v>
      </x:c>
    </x:row>
    <x:row r="3424">
      <x:c r="A3424" t="str">
        <x:v>DW-3419</x:v>
      </x:c>
      <x:c r="B3424" t="str">
        <x:v>DW-3419</x:v>
      </x:c>
      <x:c r="C3424" t="str">
        <x:v>Parent indépendant 1.58</x:v>
      </x:c>
      <x:c r="D3424" t="str">
        <x:v>Loisirs et culture</x:v>
      </x:c>
      <x:c r="E3424" t="str">
        <x:v>Atelier de restauration de mobilier patrimonial</x:v>
      </x:c>
      <x:c r="F3424" t="n">
        <x:v>9</x:v>
      </x:c>
      <x:c r="G3424" t="n">
        <x:v>6</x:v>
      </x:c>
      <x:c r="H3424" t="n">
        <x:v>6</x:v>
      </x:c>
      <x:c r="I3424" t="str">
        <x:v>À qualifier par lieu</x:v>
      </x:c>
      <x:c r="J3424" t="str">
        <x:v>https://github.com/darknigthmare/deadwall-last-enclosure/blob/1b3b9c5ba232734b1bda3453b4e20a0481bcdd74/codex-3000/addendum-1.58/PROGRAMMES_B.json</x:v>
      </x:c>
      <x:c r="K3424" t="str">
        <x:v>Source min 30,28 m ; max 30,28 m ; modèle 30 × 28 m ; niveaux 0, 1. Détails dans catalogue-existant.json.</x:v>
      </x:c>
    </x:row>
    <x:row r="3425">
      <x:c r="A3425" t="str">
        <x:v>DW-3420</x:v>
      </x:c>
      <x:c r="B3425" t="str">
        <x:v>DW-3420</x:v>
      </x:c>
      <x:c r="C3425" t="str">
        <x:v>Parent indépendant 1.58</x:v>
      </x:c>
      <x:c r="D3425" t="str">
        <x:v>Loisirs et culture</x:v>
      </x:c>
      <x:c r="E3425" t="str">
        <x:v>Maison du dessin d'architecture</x:v>
      </x:c>
      <x:c r="F3425" t="n">
        <x:v>9</x:v>
      </x:c>
      <x:c r="G3425" t="n">
        <x:v>6</x:v>
      </x:c>
      <x:c r="H3425" t="n">
        <x:v>6</x:v>
      </x:c>
      <x:c r="I3425" t="str">
        <x:v>À qualifier par lieu</x:v>
      </x:c>
      <x:c r="J3425" t="str">
        <x:v>https://github.com/darknigthmare/deadwall-last-enclosure/blob/1b3b9c5ba232734b1bda3453b4e20a0481bcdd74/codex-3000/addendum-1.58/PROGRAMMES_B.json</x:v>
      </x:c>
      <x:c r="K3425" t="str">
        <x:v>Source min 34,31 m ; max 34,31 m ; modèle 34 × 31 m ; niveaux 0, 1. Détails dans catalogue-existant.json.</x:v>
      </x:c>
    </x:row>
    <x:row r="3426">
      <x:c r="A3426" t="str">
        <x:v>DW-3421</x:v>
      </x:c>
      <x:c r="B3426" t="str">
        <x:v>DW-3421</x:v>
      </x:c>
      <x:c r="C3426" t="str">
        <x:v>Parent indépendant 1.58</x:v>
      </x:c>
      <x:c r="D3426" t="str">
        <x:v>Loisirs et culture</x:v>
      </x:c>
      <x:c r="E3426" t="str">
        <x:v>Centre de mémoire des transports quotidiens</x:v>
      </x:c>
      <x:c r="F3426" t="n">
        <x:v>9</x:v>
      </x:c>
      <x:c r="G3426" t="n">
        <x:v>6</x:v>
      </x:c>
      <x:c r="H3426" t="n">
        <x:v>6</x:v>
      </x:c>
      <x:c r="I3426" t="str">
        <x:v>À qualifier par lieu</x:v>
      </x:c>
      <x:c r="J3426" t="str">
        <x:v>https://github.com/darknigthmare/deadwall-last-enclosure/blob/1b3b9c5ba232734b1bda3453b4e20a0481bcdd74/codex-3000/addendum-1.58/PROGRAMMES_B.json</x:v>
      </x:c>
      <x:c r="K3426" t="str">
        <x:v>Source min 38,34 m ; max 38,34 m ; modèle 38 × 34 m ; niveaux 0, 1. Détails dans catalogue-existant.json.</x:v>
      </x:c>
    </x:row>
    <x:row r="3427">
      <x:c r="A3427" t="str">
        <x:v>DW-3422</x:v>
      </x:c>
      <x:c r="B3427" t="str">
        <x:v>DW-3422</x:v>
      </x:c>
      <x:c r="C3427" t="str">
        <x:v>Parent indépendant 1.58</x:v>
      </x:c>
      <x:c r="D3427" t="str">
        <x:v>Loisirs et culture</x:v>
      </x:c>
      <x:c r="E3427" t="str">
        <x:v>Atelier de scénographie d'exposition</x:v>
      </x:c>
      <x:c r="F3427" t="n">
        <x:v>9</x:v>
      </x:c>
      <x:c r="G3427" t="n">
        <x:v>6</x:v>
      </x:c>
      <x:c r="H3427" t="n">
        <x:v>6</x:v>
      </x:c>
      <x:c r="I3427" t="str">
        <x:v>À qualifier par lieu</x:v>
      </x:c>
      <x:c r="J3427" t="str">
        <x:v>https://github.com/darknigthmare/deadwall-last-enclosure/blob/1b3b9c5ba232734b1bda3453b4e20a0481bcdd74/codex-3000/addendum-1.58/PROGRAMMES_B.json</x:v>
      </x:c>
      <x:c r="K3427" t="str">
        <x:v>Source min 42,28 m ; max 42,28 m ; modèle 42 × 28 m ; niveaux 0, 1. Détails dans catalogue-existant.json.</x:v>
      </x:c>
    </x:row>
    <x:row r="3428">
      <x:c r="A3428" t="str">
        <x:v>DW-3423</x:v>
      </x:c>
      <x:c r="B3428" t="str">
        <x:v>DW-3423</x:v>
      </x:c>
      <x:c r="C3428" t="str">
        <x:v>Parent indépendant 1.58</x:v>
      </x:c>
      <x:c r="D3428" t="str">
        <x:v>Loisirs et culture</x:v>
      </x:c>
      <x:c r="E3428" t="str">
        <x:v>Maison des cartes et atlas historiques</x:v>
      </x:c>
      <x:c r="F3428" t="n">
        <x:v>9</x:v>
      </x:c>
      <x:c r="G3428" t="n">
        <x:v>6</x:v>
      </x:c>
      <x:c r="H3428" t="n">
        <x:v>6</x:v>
      </x:c>
      <x:c r="I3428" t="str">
        <x:v>À qualifier par lieu</x:v>
      </x:c>
      <x:c r="J3428" t="str">
        <x:v>https://github.com/darknigthmare/deadwall-last-enclosure/blob/1b3b9c5ba232734b1bda3453b4e20a0481bcdd74/codex-3000/addendum-1.58/PROGRAMMES_B.json</x:v>
      </x:c>
      <x:c r="K3428" t="str">
        <x:v>Source min 30,31 m ; max 30,31 m ; modèle 30 × 31 m ; niveaux 0, 1. Détails dans catalogue-existant.json.</x:v>
      </x:c>
    </x:row>
    <x:row r="3429">
      <x:c r="A3429" t="str">
        <x:v>DW-3424</x:v>
      </x:c>
      <x:c r="B3429" t="str">
        <x:v>DW-3424</x:v>
      </x:c>
      <x:c r="C3429" t="str">
        <x:v>Parent indépendant 1.58</x:v>
      </x:c>
      <x:c r="D3429" t="str">
        <x:v>Loisirs et culture</x:v>
      </x:c>
      <x:c r="E3429" t="str">
        <x:v>Centre de mémoire des jardins</x:v>
      </x:c>
      <x:c r="F3429" t="n">
        <x:v>9</x:v>
      </x:c>
      <x:c r="G3429" t="n">
        <x:v>6</x:v>
      </x:c>
      <x:c r="H3429" t="n">
        <x:v>6</x:v>
      </x:c>
      <x:c r="I3429" t="str">
        <x:v>À qualifier par lieu</x:v>
      </x:c>
      <x:c r="J3429" t="str">
        <x:v>https://github.com/darknigthmare/deadwall-last-enclosure/blob/1b3b9c5ba232734b1bda3453b4e20a0481bcdd74/codex-3000/addendum-1.58/PROGRAMMES_B.json</x:v>
      </x:c>
      <x:c r="K3429" t="str">
        <x:v>Source min 34,34 m ; max 34,34 m ; modèle 34 × 34 m ; niveaux 0, 1. Détails dans catalogue-existant.json.</x:v>
      </x:c>
    </x:row>
    <x:row r="3430">
      <x:c r="A3430" t="str">
        <x:v>DW-3425</x:v>
      </x:c>
      <x:c r="B3430" t="str">
        <x:v>DW-3425</x:v>
      </x:c>
      <x:c r="C3430" t="str">
        <x:v>Parent indépendant 1.58</x:v>
      </x:c>
      <x:c r="D3430" t="str">
        <x:v>Loisirs et culture</x:v>
      </x:c>
      <x:c r="E3430" t="str">
        <x:v>Atelier de conservation de photographies sur verre</x:v>
      </x:c>
      <x:c r="F3430" t="n">
        <x:v>9</x:v>
      </x:c>
      <x:c r="G3430" t="n">
        <x:v>6</x:v>
      </x:c>
      <x:c r="H3430" t="n">
        <x:v>6</x:v>
      </x:c>
      <x:c r="I3430" t="str">
        <x:v>À qualifier par lieu</x:v>
      </x:c>
      <x:c r="J3430" t="str">
        <x:v>https://github.com/darknigthmare/deadwall-last-enclosure/blob/1b3b9c5ba232734b1bda3453b4e20a0481bcdd74/codex-3000/addendum-1.58/PROGRAMMES_B.json</x:v>
      </x:c>
      <x:c r="K3430" t="str">
        <x:v>Source min 38,28 m ; max 38,28 m ; modèle 38 × 28 m ; niveaux 0, 1. Détails dans catalogue-existant.json.</x:v>
      </x:c>
    </x:row>
    <x:row r="3431">
      <x:c r="A3431" t="str">
        <x:v>DW-3426</x:v>
      </x:c>
      <x:c r="B3431" t="str">
        <x:v>DW-3426</x:v>
      </x:c>
      <x:c r="C3431" t="str">
        <x:v>Parent indépendant 1.58</x:v>
      </x:c>
      <x:c r="D3431" t="str">
        <x:v>Loisirs et culture</x:v>
      </x:c>
      <x:c r="E3431" t="str">
        <x:v>Salle de pratique du tir à l'arc</x:v>
      </x:c>
      <x:c r="F3431" t="n">
        <x:v>9</x:v>
      </x:c>
      <x:c r="G3431" t="n">
        <x:v>6</x:v>
      </x:c>
      <x:c r="H3431" t="n">
        <x:v>6</x:v>
      </x:c>
      <x:c r="I3431" t="str">
        <x:v>À qualifier par lieu</x:v>
      </x:c>
      <x:c r="J3431" t="str">
        <x:v>https://github.com/darknigthmare/deadwall-last-enclosure/blob/1b3b9c5ba232734b1bda3453b4e20a0481bcdd74/codex-3000/addendum-1.58/PROGRAMMES_B.json</x:v>
      </x:c>
      <x:c r="K3431" t="str">
        <x:v>Source min 52,45 m ; max 52,45 m ; modèle 52 × 45 m ; niveaux 0. Détails dans catalogue-existant.json.</x:v>
      </x:c>
    </x:row>
    <x:row r="3432">
      <x:c r="A3432" t="str">
        <x:v>DW-3427</x:v>
      </x:c>
      <x:c r="B3432" t="str">
        <x:v>DW-3427</x:v>
      </x:c>
      <x:c r="C3432" t="str">
        <x:v>Parent indépendant 1.58</x:v>
      </x:c>
      <x:c r="D3432" t="str">
        <x:v>Loisirs et culture</x:v>
      </x:c>
      <x:c r="E3432" t="str">
        <x:v>Salle d'escrime</x:v>
      </x:c>
      <x:c r="F3432" t="n">
        <x:v>9</x:v>
      </x:c>
      <x:c r="G3432" t="n">
        <x:v>6</x:v>
      </x:c>
      <x:c r="H3432" t="n">
        <x:v>6</x:v>
      </x:c>
      <x:c r="I3432" t="str">
        <x:v>À qualifier par lieu</x:v>
      </x:c>
      <x:c r="J3432" t="str">
        <x:v>https://github.com/darknigthmare/deadwall-last-enclosure/blob/1b3b9c5ba232734b1bda3453b4e20a0481bcdd74/codex-3000/addendum-1.58/PROGRAMMES_B.json</x:v>
      </x:c>
      <x:c r="K3432" t="str">
        <x:v>Source min 56,36 m ; max 56,36 m ; modèle 56 × 36 m ; niveaux 0. Détails dans catalogue-existant.json.</x:v>
      </x:c>
    </x:row>
    <x:row r="3433">
      <x:c r="A3433" t="str">
        <x:v>DW-3428</x:v>
      </x:c>
      <x:c r="B3433" t="str">
        <x:v>DW-3428</x:v>
      </x:c>
      <x:c r="C3433" t="str">
        <x:v>Parent indépendant 1.58</x:v>
      </x:c>
      <x:c r="D3433" t="str">
        <x:v>Loisirs et culture</x:v>
      </x:c>
      <x:c r="E3433" t="str">
        <x:v>Salle de judo</x:v>
      </x:c>
      <x:c r="F3433" t="n">
        <x:v>9</x:v>
      </x:c>
      <x:c r="G3433" t="n">
        <x:v>6</x:v>
      </x:c>
      <x:c r="H3433" t="n">
        <x:v>6</x:v>
      </x:c>
      <x:c r="I3433" t="str">
        <x:v>À qualifier par lieu</x:v>
      </x:c>
      <x:c r="J3433" t="str">
        <x:v>https://github.com/darknigthmare/deadwall-last-enclosure/blob/1b3b9c5ba232734b1bda3453b4e20a0481bcdd74/codex-3000/addendum-1.58/PROGRAMMES_B.json</x:v>
      </x:c>
      <x:c r="K3433" t="str">
        <x:v>Source min 48,39 m ; max 48,39 m ; modèle 48 × 39 m ; niveaux 0. Détails dans catalogue-existant.json.</x:v>
      </x:c>
    </x:row>
    <x:row r="3434">
      <x:c r="A3434" t="str">
        <x:v>DW-3429</x:v>
      </x:c>
      <x:c r="B3434" t="str">
        <x:v>DW-3429</x:v>
      </x:c>
      <x:c r="C3434" t="str">
        <x:v>Parent indépendant 1.58</x:v>
      </x:c>
      <x:c r="D3434" t="str">
        <x:v>Loisirs et culture</x:v>
      </x:c>
      <x:c r="E3434" t="str">
        <x:v>Salle de boxe éducative</x:v>
      </x:c>
      <x:c r="F3434" t="n">
        <x:v>9</x:v>
      </x:c>
      <x:c r="G3434" t="n">
        <x:v>6</x:v>
      </x:c>
      <x:c r="H3434" t="n">
        <x:v>6</x:v>
      </x:c>
      <x:c r="I3434" t="str">
        <x:v>À qualifier par lieu</x:v>
      </x:c>
      <x:c r="J3434" t="str">
        <x:v>https://github.com/darknigthmare/deadwall-last-enclosure/blob/1b3b9c5ba232734b1bda3453b4e20a0481bcdd74/codex-3000/addendum-1.58/PROGRAMMES_B.json</x:v>
      </x:c>
      <x:c r="K3434" t="str">
        <x:v>Source min 52,42 m ; max 52,42 m ; modèle 52 × 42 m ; niveaux 0. Détails dans catalogue-existant.json.</x:v>
      </x:c>
    </x:row>
    <x:row r="3435">
      <x:c r="A3435" t="str">
        <x:v>DW-3430</x:v>
      </x:c>
      <x:c r="B3435" t="str">
        <x:v>DW-3430</x:v>
      </x:c>
      <x:c r="C3435" t="str">
        <x:v>Parent indépendant 1.58</x:v>
      </x:c>
      <x:c r="D3435" t="str">
        <x:v>Loisirs et culture</x:v>
      </x:c>
      <x:c r="E3435" t="str">
        <x:v>Salle de gymnastique douce</x:v>
      </x:c>
      <x:c r="F3435" t="n">
        <x:v>9</x:v>
      </x:c>
      <x:c r="G3435" t="n">
        <x:v>6</x:v>
      </x:c>
      <x:c r="H3435" t="n">
        <x:v>6</x:v>
      </x:c>
      <x:c r="I3435" t="str">
        <x:v>À qualifier par lieu</x:v>
      </x:c>
      <x:c r="J3435" t="str">
        <x:v>https://github.com/darknigthmare/deadwall-last-enclosure/blob/1b3b9c5ba232734b1bda3453b4e20a0481bcdd74/codex-3000/addendum-1.58/PROGRAMMES_B.json</x:v>
      </x:c>
      <x:c r="K3435" t="str">
        <x:v>Source min 56,45 m ; max 56,45 m ; modèle 56 × 45 m ; niveaux 0. Détails dans catalogue-existant.json.</x:v>
      </x:c>
    </x:row>
    <x:row r="3436">
      <x:c r="A3436" t="str">
        <x:v>DW-3431</x:v>
      </x:c>
      <x:c r="B3436" t="str">
        <x:v>DW-3431</x:v>
      </x:c>
      <x:c r="C3436" t="str">
        <x:v>Parent indépendant 1.58</x:v>
      </x:c>
      <x:c r="D3436" t="str">
        <x:v>Loisirs et culture</x:v>
      </x:c>
      <x:c r="E3436" t="str">
        <x:v>Centre d'entraînement de tennis de table</x:v>
      </x:c>
      <x:c r="F3436" t="n">
        <x:v>9</x:v>
      </x:c>
      <x:c r="G3436" t="n">
        <x:v>6</x:v>
      </x:c>
      <x:c r="H3436" t="n">
        <x:v>6</x:v>
      </x:c>
      <x:c r="I3436" t="str">
        <x:v>À qualifier par lieu</x:v>
      </x:c>
      <x:c r="J3436" t="str">
        <x:v>https://github.com/darknigthmare/deadwall-last-enclosure/blob/1b3b9c5ba232734b1bda3453b4e20a0481bcdd74/codex-3000/addendum-1.58/PROGRAMMES_B.json</x:v>
      </x:c>
      <x:c r="K3436" t="str">
        <x:v>Source min 48,36 m ; max 48,36 m ; modèle 48 × 36 m ; niveaux 0. Détails dans catalogue-existant.json.</x:v>
      </x:c>
    </x:row>
    <x:row r="3437">
      <x:c r="A3437" t="str">
        <x:v>DW-3432</x:v>
      </x:c>
      <x:c r="B3437" t="str">
        <x:v>DW-3432</x:v>
      </x:c>
      <x:c r="C3437" t="str">
        <x:v>Parent indépendant 1.58</x:v>
      </x:c>
      <x:c r="D3437" t="str">
        <x:v>Loisirs et culture</x:v>
      </x:c>
      <x:c r="E3437" t="str">
        <x:v>Salle de badminton</x:v>
      </x:c>
      <x:c r="F3437" t="n">
        <x:v>9</x:v>
      </x:c>
      <x:c r="G3437" t="n">
        <x:v>6</x:v>
      </x:c>
      <x:c r="H3437" t="n">
        <x:v>6</x:v>
      </x:c>
      <x:c r="I3437" t="str">
        <x:v>À qualifier par lieu</x:v>
      </x:c>
      <x:c r="J3437" t="str">
        <x:v>https://github.com/darknigthmare/deadwall-last-enclosure/blob/1b3b9c5ba232734b1bda3453b4e20a0481bcdd74/codex-3000/addendum-1.58/PROGRAMMES_B.json</x:v>
      </x:c>
      <x:c r="K3437" t="str">
        <x:v>Source min 52,39 m ; max 52,39 m ; modèle 52 × 39 m ; niveaux 0. Détails dans catalogue-existant.json.</x:v>
      </x:c>
    </x:row>
    <x:row r="3438">
      <x:c r="A3438" t="str">
        <x:v>DW-3433</x:v>
      </x:c>
      <x:c r="B3438" t="str">
        <x:v>DW-3433</x:v>
      </x:c>
      <x:c r="C3438" t="str">
        <x:v>Parent indépendant 1.58</x:v>
      </x:c>
      <x:c r="D3438" t="str">
        <x:v>Loisirs et culture</x:v>
      </x:c>
      <x:c r="E3438" t="str">
        <x:v>Salle de squash</x:v>
      </x:c>
      <x:c r="F3438" t="n">
        <x:v>9</x:v>
      </x:c>
      <x:c r="G3438" t="n">
        <x:v>6</x:v>
      </x:c>
      <x:c r="H3438" t="n">
        <x:v>6</x:v>
      </x:c>
      <x:c r="I3438" t="str">
        <x:v>À qualifier par lieu</x:v>
      </x:c>
      <x:c r="J3438" t="str">
        <x:v>https://github.com/darknigthmare/deadwall-last-enclosure/blob/1b3b9c5ba232734b1bda3453b4e20a0481bcdd74/codex-3000/addendum-1.58/PROGRAMMES_B.json</x:v>
      </x:c>
      <x:c r="K3438" t="str">
        <x:v>Source min 56,42 m ; max 56,42 m ; modèle 56 × 42 m ; niveaux 0. Détails dans catalogue-existant.json.</x:v>
      </x:c>
    </x:row>
    <x:row r="3439">
      <x:c r="A3439" t="str">
        <x:v>DW-3434</x:v>
      </x:c>
      <x:c r="B3439" t="str">
        <x:v>DW-3434</x:v>
      </x:c>
      <x:c r="C3439" t="str">
        <x:v>Parent indépendant 1.58</x:v>
      </x:c>
      <x:c r="D3439" t="str">
        <x:v>Loisirs et culture</x:v>
      </x:c>
      <x:c r="E3439" t="str">
        <x:v>Salle de danse sportive</x:v>
      </x:c>
      <x:c r="F3439" t="n">
        <x:v>9</x:v>
      </x:c>
      <x:c r="G3439" t="n">
        <x:v>6</x:v>
      </x:c>
      <x:c r="H3439" t="n">
        <x:v>6</x:v>
      </x:c>
      <x:c r="I3439" t="str">
        <x:v>À qualifier par lieu</x:v>
      </x:c>
      <x:c r="J3439" t="str">
        <x:v>https://github.com/darknigthmare/deadwall-last-enclosure/blob/1b3b9c5ba232734b1bda3453b4e20a0481bcdd74/codex-3000/addendum-1.58/PROGRAMMES_B.json</x:v>
      </x:c>
      <x:c r="K3439" t="str">
        <x:v>Source min 48,45 m ; max 48,45 m ; modèle 48 × 45 m ; niveaux 0. Détails dans catalogue-existant.json.</x:v>
      </x:c>
    </x:row>
    <x:row r="3440">
      <x:c r="A3440" t="str">
        <x:v>DW-3435</x:v>
      </x:c>
      <x:c r="B3440" t="str">
        <x:v>DW-3435</x:v>
      </x:c>
      <x:c r="C3440" t="str">
        <x:v>Parent indépendant 1.58</x:v>
      </x:c>
      <x:c r="D3440" t="str">
        <x:v>Loisirs et culture</x:v>
      </x:c>
      <x:c r="E3440" t="str">
        <x:v>Salle de yoga associatif</x:v>
      </x:c>
      <x:c r="F3440" t="n">
        <x:v>9</x:v>
      </x:c>
      <x:c r="G3440" t="n">
        <x:v>6</x:v>
      </x:c>
      <x:c r="H3440" t="n">
        <x:v>6</x:v>
      </x:c>
      <x:c r="I3440" t="str">
        <x:v>À qualifier par lieu</x:v>
      </x:c>
      <x:c r="J3440" t="str">
        <x:v>https://github.com/darknigthmare/deadwall-last-enclosure/blob/1b3b9c5ba232734b1bda3453b4e20a0481bcdd74/codex-3000/addendum-1.58/PROGRAMMES_B.json</x:v>
      </x:c>
      <x:c r="K3440" t="str">
        <x:v>Source min 52,36 m ; max 52,36 m ; modèle 52 × 36 m ; niveaux 0. Détails dans catalogue-existant.json.</x:v>
      </x:c>
    </x:row>
    <x:row r="3441">
      <x:c r="A3441" t="str">
        <x:v>DW-3436</x:v>
      </x:c>
      <x:c r="B3441" t="str">
        <x:v>DW-3436</x:v>
      </x:c>
      <x:c r="C3441" t="str">
        <x:v>Parent indépendant 1.58</x:v>
      </x:c>
      <x:c r="D3441" t="str">
        <x:v>Loisirs et culture</x:v>
      </x:c>
      <x:c r="E3441" t="str">
        <x:v>Atelier de préparation de patins</x:v>
      </x:c>
      <x:c r="F3441" t="n">
        <x:v>9</x:v>
      </x:c>
      <x:c r="G3441" t="n">
        <x:v>6</x:v>
      </x:c>
      <x:c r="H3441" t="n">
        <x:v>6</x:v>
      </x:c>
      <x:c r="I3441" t="str">
        <x:v>À qualifier par lieu</x:v>
      </x:c>
      <x:c r="J3441" t="str">
        <x:v>https://github.com/darknigthmare/deadwall-last-enclosure/blob/1b3b9c5ba232734b1bda3453b4e20a0481bcdd74/codex-3000/addendum-1.58/PROGRAMMES_B.json</x:v>
      </x:c>
      <x:c r="K3441" t="str">
        <x:v>Source min 56,39 m ; max 56,39 m ; modèle 56 × 39 m ; niveaux 0. Détails dans catalogue-existant.json.</x:v>
      </x:c>
    </x:row>
    <x:row r="3442">
      <x:c r="A3442" t="str">
        <x:v>DW-3437</x:v>
      </x:c>
      <x:c r="B3442" t="str">
        <x:v>DW-3437</x:v>
      </x:c>
      <x:c r="C3442" t="str">
        <x:v>Parent indépendant 1.58</x:v>
      </x:c>
      <x:c r="D3442" t="str">
        <x:v>Loisirs et culture</x:v>
      </x:c>
      <x:c r="E3442" t="str">
        <x:v>Maison de club de course d'orientation</x:v>
      </x:c>
      <x:c r="F3442" t="n">
        <x:v>9</x:v>
      </x:c>
      <x:c r="G3442" t="n">
        <x:v>6</x:v>
      </x:c>
      <x:c r="H3442" t="n">
        <x:v>6</x:v>
      </x:c>
      <x:c r="I3442" t="str">
        <x:v>À qualifier par lieu</x:v>
      </x:c>
      <x:c r="J3442" t="str">
        <x:v>https://github.com/darknigthmare/deadwall-last-enclosure/blob/1b3b9c5ba232734b1bda3453b4e20a0481bcdd74/codex-3000/addendum-1.58/PROGRAMMES_B.json</x:v>
      </x:c>
      <x:c r="K3442" t="str">
        <x:v>Source min 48,42 m ; max 48,42 m ; modèle 48 × 42 m ; niveaux 0. Détails dans catalogue-existant.json.</x:v>
      </x:c>
    </x:row>
    <x:row r="3443">
      <x:c r="A3443" t="str">
        <x:v>DW-3438</x:v>
      </x:c>
      <x:c r="B3443" t="str">
        <x:v>DW-3438</x:v>
      </x:c>
      <x:c r="C3443" t="str">
        <x:v>Parent indépendant 1.58</x:v>
      </x:c>
      <x:c r="D3443" t="str">
        <x:v>Loisirs et culture</x:v>
      </x:c>
      <x:c r="E3443" t="str">
        <x:v>Local de club de randonnée</x:v>
      </x:c>
      <x:c r="F3443" t="n">
        <x:v>9</x:v>
      </x:c>
      <x:c r="G3443" t="n">
        <x:v>6</x:v>
      </x:c>
      <x:c r="H3443" t="n">
        <x:v>6</x:v>
      </x:c>
      <x:c r="I3443" t="str">
        <x:v>À qualifier par lieu</x:v>
      </x:c>
      <x:c r="J3443" t="str">
        <x:v>https://github.com/darknigthmare/deadwall-last-enclosure/blob/1b3b9c5ba232734b1bda3453b4e20a0481bcdd74/codex-3000/addendum-1.58/PROGRAMMES_B.json</x:v>
      </x:c>
      <x:c r="K3443" t="str">
        <x:v>Source min 52,45 m ; max 52,45 m ; modèle 52 × 45 m ; niveaux 0. Détails dans catalogue-existant.json.</x:v>
      </x:c>
    </x:row>
    <x:row r="3444">
      <x:c r="A3444" t="str">
        <x:v>DW-3439</x:v>
      </x:c>
      <x:c r="B3444" t="str">
        <x:v>DW-3439</x:v>
      </x:c>
      <x:c r="C3444" t="str">
        <x:v>Parent indépendant 1.58</x:v>
      </x:c>
      <x:c r="D3444" t="str">
        <x:v>Loisirs et culture</x:v>
      </x:c>
      <x:c r="E3444" t="str">
        <x:v>Maison de club de marche nordique</x:v>
      </x:c>
      <x:c r="F3444" t="n">
        <x:v>9</x:v>
      </x:c>
      <x:c r="G3444" t="n">
        <x:v>6</x:v>
      </x:c>
      <x:c r="H3444" t="n">
        <x:v>6</x:v>
      </x:c>
      <x:c r="I3444" t="str">
        <x:v>À qualifier par lieu</x:v>
      </x:c>
      <x:c r="J3444" t="str">
        <x:v>https://github.com/darknigthmare/deadwall-last-enclosure/blob/1b3b9c5ba232734b1bda3453b4e20a0481bcdd74/codex-3000/addendum-1.58/PROGRAMMES_B.json</x:v>
      </x:c>
      <x:c r="K3444" t="str">
        <x:v>Source min 56,36 m ; max 56,36 m ; modèle 56 × 36 m ; niveaux 0. Détails dans catalogue-existant.json.</x:v>
      </x:c>
    </x:row>
    <x:row r="3445">
      <x:c r="A3445" t="str">
        <x:v>DW-3440</x:v>
      </x:c>
      <x:c r="B3445" t="str">
        <x:v>DW-3440</x:v>
      </x:c>
      <x:c r="C3445" t="str">
        <x:v>Parent indépendant 1.58</x:v>
      </x:c>
      <x:c r="D3445" t="str">
        <x:v>Loisirs et culture</x:v>
      </x:c>
      <x:c r="E3445" t="str">
        <x:v>Salle de préparation au cyclotourisme</x:v>
      </x:c>
      <x:c r="F3445" t="n">
        <x:v>9</x:v>
      </x:c>
      <x:c r="G3445" t="n">
        <x:v>6</x:v>
      </x:c>
      <x:c r="H3445" t="n">
        <x:v>6</x:v>
      </x:c>
      <x:c r="I3445" t="str">
        <x:v>À qualifier par lieu</x:v>
      </x:c>
      <x:c r="J3445" t="str">
        <x:v>https://github.com/darknigthmare/deadwall-last-enclosure/blob/1b3b9c5ba232734b1bda3453b4e20a0481bcdd74/codex-3000/addendum-1.58/PROGRAMMES_B.json</x:v>
      </x:c>
      <x:c r="K3445" t="str">
        <x:v>Source min 48,39 m ; max 48,39 m ; modèle 48 × 39 m ; niveaux 0. Détails dans catalogue-existant.json.</x:v>
      </x:c>
    </x:row>
    <x:row r="3446">
      <x:c r="A3446" t="str">
        <x:v>DW-3441</x:v>
      </x:c>
      <x:c r="B3446" t="str">
        <x:v>DW-3441</x:v>
      </x:c>
      <x:c r="C3446" t="str">
        <x:v>Parent indépendant 1.58</x:v>
      </x:c>
      <x:c r="D3446" t="str">
        <x:v>Loisirs et culture</x:v>
      </x:c>
      <x:c r="E3446" t="str">
        <x:v>Local de préparation de vélo de montagne</x:v>
      </x:c>
      <x:c r="F3446" t="n">
        <x:v>9</x:v>
      </x:c>
      <x:c r="G3446" t="n">
        <x:v>6</x:v>
      </x:c>
      <x:c r="H3446" t="n">
        <x:v>6</x:v>
      </x:c>
      <x:c r="I3446" t="str">
        <x:v>À qualifier par lieu</x:v>
      </x:c>
      <x:c r="J3446" t="str">
        <x:v>https://github.com/darknigthmare/deadwall-last-enclosure/blob/1b3b9c5ba232734b1bda3453b4e20a0481bcdd74/codex-3000/addendum-1.58/PROGRAMMES_B.json</x:v>
      </x:c>
      <x:c r="K3446" t="str">
        <x:v>Source min 52,42 m ; max 52,42 m ; modèle 52 × 42 m ; niveaux 0. Détails dans catalogue-existant.json.</x:v>
      </x:c>
    </x:row>
    <x:row r="3447">
      <x:c r="A3447" t="str">
        <x:v>DW-3442</x:v>
      </x:c>
      <x:c r="B3447" t="str">
        <x:v>DW-3442</x:v>
      </x:c>
      <x:c r="C3447" t="str">
        <x:v>Parent indépendant 1.58</x:v>
      </x:c>
      <x:c r="D3447" t="str">
        <x:v>Loisirs et culture</x:v>
      </x:c>
      <x:c r="E3447" t="str">
        <x:v>Maison des officiels de compétition</x:v>
      </x:c>
      <x:c r="F3447" t="n">
        <x:v>9</x:v>
      </x:c>
      <x:c r="G3447" t="n">
        <x:v>6</x:v>
      </x:c>
      <x:c r="H3447" t="n">
        <x:v>6</x:v>
      </x:c>
      <x:c r="I3447" t="str">
        <x:v>À qualifier par lieu</x:v>
      </x:c>
      <x:c r="J3447" t="str">
        <x:v>https://github.com/darknigthmare/deadwall-last-enclosure/blob/1b3b9c5ba232734b1bda3453b4e20a0481bcdd74/codex-3000/addendum-1.58/PROGRAMMES_B.json</x:v>
      </x:c>
      <x:c r="K3447" t="str">
        <x:v>Source min 56,45 m ; max 56,45 m ; modèle 56 × 45 m ; niveaux 0. Détails dans catalogue-existant.json.</x:v>
      </x:c>
    </x:row>
    <x:row r="3448">
      <x:c r="A3448" t="str">
        <x:v>DW-3443</x:v>
      </x:c>
      <x:c r="B3448" t="str">
        <x:v>DW-3443</x:v>
      </x:c>
      <x:c r="C3448" t="str">
        <x:v>Parent indépendant 1.58</x:v>
      </x:c>
      <x:c r="D3448" t="str">
        <x:v>Loisirs et culture</x:v>
      </x:c>
      <x:c r="E3448" t="str">
        <x:v>Centre de préparation de chronométrage sportif</x:v>
      </x:c>
      <x:c r="F3448" t="n">
        <x:v>9</x:v>
      </x:c>
      <x:c r="G3448" t="n">
        <x:v>6</x:v>
      </x:c>
      <x:c r="H3448" t="n">
        <x:v>6</x:v>
      </x:c>
      <x:c r="I3448" t="str">
        <x:v>À qualifier par lieu</x:v>
      </x:c>
      <x:c r="J3448" t="str">
        <x:v>https://github.com/darknigthmare/deadwall-last-enclosure/blob/1b3b9c5ba232734b1bda3453b4e20a0481bcdd74/codex-3000/addendum-1.58/PROGRAMMES_B.json</x:v>
      </x:c>
      <x:c r="K3448" t="str">
        <x:v>Source min 48,36 m ; max 48,36 m ; modèle 48 × 36 m ; niveaux 0. Détails dans catalogue-existant.json.</x:v>
      </x:c>
    </x:row>
    <x:row r="3449">
      <x:c r="A3449" t="str">
        <x:v>DW-3444</x:v>
      </x:c>
      <x:c r="B3449" t="str">
        <x:v>DW-3444</x:v>
      </x:c>
      <x:c r="C3449" t="str">
        <x:v>Parent indépendant 1.58</x:v>
      </x:c>
      <x:c r="D3449" t="str">
        <x:v>Loisirs et culture</x:v>
      </x:c>
      <x:c r="E3449" t="str">
        <x:v>Salle d'entraînement de force associative</x:v>
      </x:c>
      <x:c r="F3449" t="n">
        <x:v>9</x:v>
      </x:c>
      <x:c r="G3449" t="n">
        <x:v>6</x:v>
      </x:c>
      <x:c r="H3449" t="n">
        <x:v>6</x:v>
      </x:c>
      <x:c r="I3449" t="str">
        <x:v>À qualifier par lieu</x:v>
      </x:c>
      <x:c r="J3449" t="str">
        <x:v>https://github.com/darknigthmare/deadwall-last-enclosure/blob/1b3b9c5ba232734b1bda3453b4e20a0481bcdd74/codex-3000/addendum-1.58/PROGRAMMES_B.json</x:v>
      </x:c>
      <x:c r="K3449" t="str">
        <x:v>Source min 52,39 m ; max 52,39 m ; modèle 52 × 39 m ; niveaux 0. Détails dans catalogue-existant.json.</x:v>
      </x:c>
    </x:row>
    <x:row r="3450">
      <x:c r="A3450" t="str">
        <x:v>DW-3445</x:v>
      </x:c>
      <x:c r="B3450" t="str">
        <x:v>DW-3445</x:v>
      </x:c>
      <x:c r="C3450" t="str">
        <x:v>Parent indépendant 1.58</x:v>
      </x:c>
      <x:c r="D3450" t="str">
        <x:v>Loisirs et culture</x:v>
      </x:c>
      <x:c r="E3450" t="str">
        <x:v>Salle de préparation physique de grimpe</x:v>
      </x:c>
      <x:c r="F3450" t="n">
        <x:v>9</x:v>
      </x:c>
      <x:c r="G3450" t="n">
        <x:v>6</x:v>
      </x:c>
      <x:c r="H3450" t="n">
        <x:v>6</x:v>
      </x:c>
      <x:c r="I3450" t="str">
        <x:v>À qualifier par lieu</x:v>
      </x:c>
      <x:c r="J3450" t="str">
        <x:v>https://github.com/darknigthmare/deadwall-last-enclosure/blob/1b3b9c5ba232734b1bda3453b4e20a0481bcdd74/codex-3000/addendum-1.58/PROGRAMMES_B.json</x:v>
      </x:c>
      <x:c r="K3450" t="str">
        <x:v>Source min 56,42 m ; max 56,42 m ; modèle 56 × 42 m ; niveaux 0. Détails dans catalogue-existant.json.</x:v>
      </x:c>
    </x:row>
    <x:row r="3451">
      <x:c r="A3451" t="str">
        <x:v>DW-3446</x:v>
      </x:c>
      <x:c r="B3451" t="str">
        <x:v>DW-3446</x:v>
      </x:c>
      <x:c r="C3451" t="str">
        <x:v>Parent indépendant 1.58</x:v>
      </x:c>
      <x:c r="D3451" t="str">
        <x:v>Loisirs et culture</x:v>
      </x:c>
      <x:c r="E3451" t="str">
        <x:v>Atelier de réparation de filets sportifs</x:v>
      </x:c>
      <x:c r="F3451" t="n">
        <x:v>9</x:v>
      </x:c>
      <x:c r="G3451" t="n">
        <x:v>6</x:v>
      </x:c>
      <x:c r="H3451" t="n">
        <x:v>6</x:v>
      </x:c>
      <x:c r="I3451" t="str">
        <x:v>À qualifier par lieu</x:v>
      </x:c>
      <x:c r="J3451" t="str">
        <x:v>https://github.com/darknigthmare/deadwall-last-enclosure/blob/1b3b9c5ba232734b1bda3453b4e20a0481bcdd74/codex-3000/addendum-1.58/PROGRAMMES_B.json</x:v>
      </x:c>
      <x:c r="K3451" t="str">
        <x:v>Source min 48,45 m ; max 48,45 m ; modèle 48 × 45 m ; niveaux 0. Détails dans catalogue-existant.json.</x:v>
      </x:c>
    </x:row>
    <x:row r="3452">
      <x:c r="A3452" t="str">
        <x:v>DW-3447</x:v>
      </x:c>
      <x:c r="B3452" t="str">
        <x:v>DW-3447</x:v>
      </x:c>
      <x:c r="C3452" t="str">
        <x:v>Parent indépendant 1.58</x:v>
      </x:c>
      <x:c r="D3452" t="str">
        <x:v>Loisirs et culture</x:v>
      </x:c>
      <x:c r="E3452" t="str">
        <x:v>Maison de club de pétanque</x:v>
      </x:c>
      <x:c r="F3452" t="n">
        <x:v>9</x:v>
      </x:c>
      <x:c r="G3452" t="n">
        <x:v>6</x:v>
      </x:c>
      <x:c r="H3452" t="n">
        <x:v>6</x:v>
      </x:c>
      <x:c r="I3452" t="str">
        <x:v>À qualifier par lieu</x:v>
      </x:c>
      <x:c r="J3452" t="str">
        <x:v>https://github.com/darknigthmare/deadwall-last-enclosure/blob/1b3b9c5ba232734b1bda3453b4e20a0481bcdd74/codex-3000/addendum-1.58/PROGRAMMES_B.json</x:v>
      </x:c>
      <x:c r="K3452" t="str">
        <x:v>Source min 52,36 m ; max 52,36 m ; modèle 52 × 36 m ; niveaux 0. Détails dans catalogue-existant.json.</x:v>
      </x:c>
    </x:row>
    <x:row r="3453">
      <x:c r="A3453" t="str">
        <x:v>DW-3448</x:v>
      </x:c>
      <x:c r="B3453" t="str">
        <x:v>DW-3448</x:v>
      </x:c>
      <x:c r="C3453" t="str">
        <x:v>Parent indépendant 1.58</x:v>
      </x:c>
      <x:c r="D3453" t="str">
        <x:v>Loisirs et culture</x:v>
      </x:c>
      <x:c r="E3453" t="str">
        <x:v>Local de club de palets</x:v>
      </x:c>
      <x:c r="F3453" t="n">
        <x:v>9</x:v>
      </x:c>
      <x:c r="G3453" t="n">
        <x:v>6</x:v>
      </x:c>
      <x:c r="H3453" t="n">
        <x:v>6</x:v>
      </x:c>
      <x:c r="I3453" t="str">
        <x:v>À qualifier par lieu</x:v>
      </x:c>
      <x:c r="J3453" t="str">
        <x:v>https://github.com/darknigthmare/deadwall-last-enclosure/blob/1b3b9c5ba232734b1bda3453b4e20a0481bcdd74/codex-3000/addendum-1.58/PROGRAMMES_B.json</x:v>
      </x:c>
      <x:c r="K3453" t="str">
        <x:v>Source min 56,39 m ; max 56,39 m ; modèle 56 × 39 m ; niveaux 0. Détails dans catalogue-existant.json.</x:v>
      </x:c>
    </x:row>
    <x:row r="3454">
      <x:c r="A3454" t="str">
        <x:v>DW-3449</x:v>
      </x:c>
      <x:c r="B3454" t="str">
        <x:v>DW-3449</x:v>
      </x:c>
      <x:c r="C3454" t="str">
        <x:v>Parent indépendant 1.58</x:v>
      </x:c>
      <x:c r="D3454" t="str">
        <x:v>Loisirs et culture</x:v>
      </x:c>
      <x:c r="E3454" t="str">
        <x:v>Salle de préparation d'aviron en intérieur</x:v>
      </x:c>
      <x:c r="F3454" t="n">
        <x:v>9</x:v>
      </x:c>
      <x:c r="G3454" t="n">
        <x:v>6</x:v>
      </x:c>
      <x:c r="H3454" t="n">
        <x:v>6</x:v>
      </x:c>
      <x:c r="I3454" t="str">
        <x:v>À qualifier par lieu</x:v>
      </x:c>
      <x:c r="J3454" t="str">
        <x:v>https://github.com/darknigthmare/deadwall-last-enclosure/blob/1b3b9c5ba232734b1bda3453b4e20a0481bcdd74/codex-3000/addendum-1.58/PROGRAMMES_B.json</x:v>
      </x:c>
      <x:c r="K3454" t="str">
        <x:v>Source min 48,42 m ; max 48,42 m ; modèle 48 × 42 m ; niveaux 0. Détails dans catalogue-existant.json.</x:v>
      </x:c>
    </x:row>
    <x:row r="3455">
      <x:c r="A3455" t="str">
        <x:v>DW-3450</x:v>
      </x:c>
      <x:c r="B3455" t="str">
        <x:v>DW-3450</x:v>
      </x:c>
      <x:c r="C3455" t="str">
        <x:v>Parent indépendant 1.58</x:v>
      </x:c>
      <x:c r="D3455" t="str">
        <x:v>Loisirs et culture</x:v>
      </x:c>
      <x:c r="E3455" t="str">
        <x:v>Local de club de kayak terrestre</x:v>
      </x:c>
      <x:c r="F3455" t="n">
        <x:v>9</x:v>
      </x:c>
      <x:c r="G3455" t="n">
        <x:v>6</x:v>
      </x:c>
      <x:c r="H3455" t="n">
        <x:v>6</x:v>
      </x:c>
      <x:c r="I3455" t="str">
        <x:v>À qualifier par lieu</x:v>
      </x:c>
      <x:c r="J3455" t="str">
        <x:v>https://github.com/darknigthmare/deadwall-last-enclosure/blob/1b3b9c5ba232734b1bda3453b4e20a0481bcdd74/codex-3000/addendum-1.58/PROGRAMMES_B.json</x:v>
      </x:c>
      <x:c r="K3455" t="str">
        <x:v>Source min 52,45 m ; max 52,45 m ; modèle 52 × 45 m ; niveaux 0. Détails dans catalogue-existant.json.</x:v>
      </x:c>
    </x:row>
    <x:row r="3456">
      <x:c r="A3456" t="str">
        <x:v>DW-3451</x:v>
      </x:c>
      <x:c r="B3456" t="str">
        <x:v>DW-3451</x:v>
      </x:c>
      <x:c r="C3456" t="str">
        <x:v>Parent indépendant 1.58</x:v>
      </x:c>
      <x:c r="D3456" t="str">
        <x:v>Loisirs et culture</x:v>
      </x:c>
      <x:c r="E3456" t="str">
        <x:v>Maison de club de voile terrestre</x:v>
      </x:c>
      <x:c r="F3456" t="n">
        <x:v>9</x:v>
      </x:c>
      <x:c r="G3456" t="n">
        <x:v>6</x:v>
      </x:c>
      <x:c r="H3456" t="n">
        <x:v>6</x:v>
      </x:c>
      <x:c r="I3456" t="str">
        <x:v>À qualifier par lieu</x:v>
      </x:c>
      <x:c r="J3456" t="str">
        <x:v>https://github.com/darknigthmare/deadwall-last-enclosure/blob/1b3b9c5ba232734b1bda3453b4e20a0481bcdd74/codex-3000/addendum-1.58/PROGRAMMES_B.json</x:v>
      </x:c>
      <x:c r="K3456" t="str">
        <x:v>Source min 56,36 m ; max 56,36 m ; modèle 56 × 36 m ; niveaux 0. Détails dans catalogue-existant.json.</x:v>
      </x:c>
    </x:row>
    <x:row r="3457">
      <x:c r="A3457" t="str">
        <x:v>DW-3452</x:v>
      </x:c>
      <x:c r="B3457" t="str">
        <x:v>DW-3452</x:v>
      </x:c>
      <x:c r="C3457" t="str">
        <x:v>Parent indépendant 1.58</x:v>
      </x:c>
      <x:c r="D3457" t="str">
        <x:v>Loisirs et culture</x:v>
      </x:c>
      <x:c r="E3457" t="str">
        <x:v>Salle d'entraînement d'équilibre</x:v>
      </x:c>
      <x:c r="F3457" t="n">
        <x:v>9</x:v>
      </x:c>
      <x:c r="G3457" t="n">
        <x:v>6</x:v>
      </x:c>
      <x:c r="H3457" t="n">
        <x:v>6</x:v>
      </x:c>
      <x:c r="I3457" t="str">
        <x:v>À qualifier par lieu</x:v>
      </x:c>
      <x:c r="J3457" t="str">
        <x:v>https://github.com/darknigthmare/deadwall-last-enclosure/blob/1b3b9c5ba232734b1bda3453b4e20a0481bcdd74/codex-3000/addendum-1.58/PROGRAMMES_B.json</x:v>
      </x:c>
      <x:c r="K3457" t="str">
        <x:v>Source min 48,39 m ; max 48,39 m ; modèle 48 × 39 m ; niveaux 0. Détails dans catalogue-existant.json.</x:v>
      </x:c>
    </x:row>
    <x:row r="3458">
      <x:c r="A3458" t="str">
        <x:v>DW-3453</x:v>
      </x:c>
      <x:c r="B3458" t="str">
        <x:v>DW-3453</x:v>
      </x:c>
      <x:c r="C3458" t="str">
        <x:v>Parent indépendant 1.58</x:v>
      </x:c>
      <x:c r="D3458" t="str">
        <x:v>Loisirs et culture</x:v>
      </x:c>
      <x:c r="E3458" t="str">
        <x:v>Centre de préparation de handisport</x:v>
      </x:c>
      <x:c r="F3458" t="n">
        <x:v>9</x:v>
      </x:c>
      <x:c r="G3458" t="n">
        <x:v>6</x:v>
      </x:c>
      <x:c r="H3458" t="n">
        <x:v>6</x:v>
      </x:c>
      <x:c r="I3458" t="str">
        <x:v>À qualifier par lieu</x:v>
      </x:c>
      <x:c r="J3458" t="str">
        <x:v>https://github.com/darknigthmare/deadwall-last-enclosure/blob/1b3b9c5ba232734b1bda3453b4e20a0481bcdd74/codex-3000/addendum-1.58/PROGRAMMES_B.json</x:v>
      </x:c>
      <x:c r="K3458" t="str">
        <x:v>Source min 52,42 m ; max 52,42 m ; modèle 52 × 42 m ; niveaux 0. Détails dans catalogue-existant.json.</x:v>
      </x:c>
    </x:row>
    <x:row r="3459">
      <x:c r="A3459" t="str">
        <x:v>DW-3454</x:v>
      </x:c>
      <x:c r="B3459" t="str">
        <x:v>DW-3454</x:v>
      </x:c>
      <x:c r="C3459" t="str">
        <x:v>Parent indépendant 1.58</x:v>
      </x:c>
      <x:c r="D3459" t="str">
        <x:v>Loisirs et culture</x:v>
      </x:c>
      <x:c r="E3459" t="str">
        <x:v>Salle de pratique de boccia</x:v>
      </x:c>
      <x:c r="F3459" t="n">
        <x:v>9</x:v>
      </x:c>
      <x:c r="G3459" t="n">
        <x:v>6</x:v>
      </x:c>
      <x:c r="H3459" t="n">
        <x:v>6</x:v>
      </x:c>
      <x:c r="I3459" t="str">
        <x:v>À qualifier par lieu</x:v>
      </x:c>
      <x:c r="J3459" t="str">
        <x:v>https://github.com/darknigthmare/deadwall-last-enclosure/blob/1b3b9c5ba232734b1bda3453b4e20a0481bcdd74/codex-3000/addendum-1.58/PROGRAMMES_B.json</x:v>
      </x:c>
      <x:c r="K3459" t="str">
        <x:v>Source min 56,45 m ; max 56,45 m ; modèle 56 × 45 m ; niveaux 0. Détails dans catalogue-existant.json.</x:v>
      </x:c>
    </x:row>
    <x:row r="3460">
      <x:c r="A3460" t="str">
        <x:v>DW-3455</x:v>
      </x:c>
      <x:c r="B3460" t="str">
        <x:v>DW-3455</x:v>
      </x:c>
      <x:c r="C3460" t="str">
        <x:v>Parent indépendant 1.58</x:v>
      </x:c>
      <x:c r="D3460" t="str">
        <x:v>Loisirs et culture</x:v>
      </x:c>
      <x:c r="E3460" t="str">
        <x:v>Maison de bénévoles de course pédestre</x:v>
      </x:c>
      <x:c r="F3460" t="n">
        <x:v>9</x:v>
      </x:c>
      <x:c r="G3460" t="n">
        <x:v>6</x:v>
      </x:c>
      <x:c r="H3460" t="n">
        <x:v>6</x:v>
      </x:c>
      <x:c r="I3460" t="str">
        <x:v>À qualifier par lieu</x:v>
      </x:c>
      <x:c r="J3460" t="str">
        <x:v>https://github.com/darknigthmare/deadwall-last-enclosure/blob/1b3b9c5ba232734b1bda3453b4e20a0481bcdd74/codex-3000/addendum-1.58/PROGRAMMES_B.json</x:v>
      </x:c>
      <x:c r="K3460" t="str">
        <x:v>Source min 48,36 m ; max 48,36 m ; modèle 48 × 36 m ; niveaux 0. Détails dans catalogue-existant.json.</x:v>
      </x:c>
    </x:row>
    <x:row r="3461">
      <x:c r="A3461" t="str">
        <x:v>DW-3456</x:v>
      </x:c>
      <x:c r="B3461" t="str">
        <x:v>DW-3456</x:v>
      </x:c>
      <x:c r="C3461" t="str">
        <x:v>Parent indépendant 1.58</x:v>
      </x:c>
      <x:c r="D3461" t="str">
        <x:v>Loisirs et culture</x:v>
      </x:c>
      <x:c r="E3461" t="str">
        <x:v>Salle de répétition de sport chorégraphié</x:v>
      </x:c>
      <x:c r="F3461" t="n">
        <x:v>9</x:v>
      </x:c>
      <x:c r="G3461" t="n">
        <x:v>6</x:v>
      </x:c>
      <x:c r="H3461" t="n">
        <x:v>6</x:v>
      </x:c>
      <x:c r="I3461" t="str">
        <x:v>À qualifier par lieu</x:v>
      </x:c>
      <x:c r="J3461" t="str">
        <x:v>https://github.com/darknigthmare/deadwall-last-enclosure/blob/1b3b9c5ba232734b1bda3453b4e20a0481bcdd74/codex-3000/addendum-1.58/PROGRAMMES_B.json</x:v>
      </x:c>
      <x:c r="K3461" t="str">
        <x:v>Source min 52,39 m ; max 52,39 m ; modèle 52 × 39 m ; niveaux 0. Détails dans catalogue-existant.json.</x:v>
      </x:c>
    </x:row>
    <x:row r="3462">
      <x:c r="A3462" t="str">
        <x:v>DW-3457</x:v>
      </x:c>
      <x:c r="B3462" t="str">
        <x:v>DW-3457</x:v>
      </x:c>
      <x:c r="C3462" t="str">
        <x:v>Parent indépendant 1.58</x:v>
      </x:c>
      <x:c r="D3462" t="str">
        <x:v>Loisirs et culture</x:v>
      </x:c>
      <x:c r="E3462" t="str">
        <x:v>Atelier d'entretien de protections sportives</x:v>
      </x:c>
      <x:c r="F3462" t="n">
        <x:v>9</x:v>
      </x:c>
      <x:c r="G3462" t="n">
        <x:v>6</x:v>
      </x:c>
      <x:c r="H3462" t="n">
        <x:v>6</x:v>
      </x:c>
      <x:c r="I3462" t="str">
        <x:v>À qualifier par lieu</x:v>
      </x:c>
      <x:c r="J3462" t="str">
        <x:v>https://github.com/darknigthmare/deadwall-last-enclosure/blob/1b3b9c5ba232734b1bda3453b4e20a0481bcdd74/codex-3000/addendum-1.58/PROGRAMMES_B.json</x:v>
      </x:c>
      <x:c r="K3462" t="str">
        <x:v>Source min 56,42 m ; max 56,42 m ; modèle 56 × 42 m ; niveaux 0. Détails dans catalogue-existant.json.</x:v>
      </x:c>
    </x:row>
    <x:row r="3463">
      <x:c r="A3463" t="str">
        <x:v>DW-3458</x:v>
      </x:c>
      <x:c r="B3463" t="str">
        <x:v>DW-3458</x:v>
      </x:c>
      <x:c r="C3463" t="str">
        <x:v>Parent indépendant 1.58</x:v>
      </x:c>
      <x:c r="D3463" t="str">
        <x:v>Loisirs et culture</x:v>
      </x:c>
      <x:c r="E3463" t="str">
        <x:v>Local de club de disc-golf</x:v>
      </x:c>
      <x:c r="F3463" t="n">
        <x:v>9</x:v>
      </x:c>
      <x:c r="G3463" t="n">
        <x:v>6</x:v>
      </x:c>
      <x:c r="H3463" t="n">
        <x:v>6</x:v>
      </x:c>
      <x:c r="I3463" t="str">
        <x:v>À qualifier par lieu</x:v>
      </x:c>
      <x:c r="J3463" t="str">
        <x:v>https://github.com/darknigthmare/deadwall-last-enclosure/blob/1b3b9c5ba232734b1bda3453b4e20a0481bcdd74/codex-3000/addendum-1.58/PROGRAMMES_B.json</x:v>
      </x:c>
      <x:c r="K3463" t="str">
        <x:v>Source min 48,45 m ; max 48,45 m ; modèle 48 × 45 m ; niveaux 0. Détails dans catalogue-existant.json.</x:v>
      </x:c>
    </x:row>
    <x:row r="3464">
      <x:c r="A3464" t="str">
        <x:v>DW-3459</x:v>
      </x:c>
      <x:c r="B3464" t="str">
        <x:v>DW-3459</x:v>
      </x:c>
      <x:c r="C3464" t="str">
        <x:v>Parent indépendant 1.58</x:v>
      </x:c>
      <x:c r="D3464" t="str">
        <x:v>Loisirs et culture</x:v>
      </x:c>
      <x:c r="E3464" t="str">
        <x:v>Maison de club de course à pied</x:v>
      </x:c>
      <x:c r="F3464" t="n">
        <x:v>9</x:v>
      </x:c>
      <x:c r="G3464" t="n">
        <x:v>6</x:v>
      </x:c>
      <x:c r="H3464" t="n">
        <x:v>6</x:v>
      </x:c>
      <x:c r="I3464" t="str">
        <x:v>À qualifier par lieu</x:v>
      </x:c>
      <x:c r="J3464" t="str">
        <x:v>https://github.com/darknigthmare/deadwall-last-enclosure/blob/1b3b9c5ba232734b1bda3453b4e20a0481bcdd74/codex-3000/addendum-1.58/PROGRAMMES_B.json</x:v>
      </x:c>
      <x:c r="K3464" t="str">
        <x:v>Source min 52,36 m ; max 52,36 m ; modèle 52 × 36 m ; niveaux 0. Détails dans catalogue-existant.json.</x:v>
      </x:c>
    </x:row>
    <x:row r="3465">
      <x:c r="A3465" t="str">
        <x:v>DW-3460</x:v>
      </x:c>
      <x:c r="B3465" t="str">
        <x:v>DW-3460</x:v>
      </x:c>
      <x:c r="C3465" t="str">
        <x:v>Parent indépendant 1.58</x:v>
      </x:c>
      <x:c r="D3465" t="str">
        <x:v>Loisirs et culture</x:v>
      </x:c>
      <x:c r="E3465" t="str">
        <x:v>Centre de prêt de matériel sportif adapté</x:v>
      </x:c>
      <x:c r="F3465" t="n">
        <x:v>9</x:v>
      </x:c>
      <x:c r="G3465" t="n">
        <x:v>6</x:v>
      </x:c>
      <x:c r="H3465" t="n">
        <x:v>6</x:v>
      </x:c>
      <x:c r="I3465" t="str">
        <x:v>À qualifier par lieu</x:v>
      </x:c>
      <x:c r="J3465" t="str">
        <x:v>https://github.com/darknigthmare/deadwall-last-enclosure/blob/1b3b9c5ba232734b1bda3453b4e20a0481bcdd74/codex-3000/addendum-1.58/PROGRAMMES_B.json</x:v>
      </x:c>
      <x:c r="K3465" t="str">
        <x:v>Source min 56,39 m ; max 56,39 m ; modèle 56 × 39 m ; niveaux 0. Détails dans catalogue-existant.json.</x:v>
      </x:c>
    </x:row>
    <x:row r="3466">
      <x:c r="A3466" t="str">
        <x:v>DW-3461</x:v>
      </x:c>
      <x:c r="B3466" t="str">
        <x:v>DW-3461</x:v>
      </x:c>
      <x:c r="C3466" t="str">
        <x:v>Parent indépendant 1.58</x:v>
      </x:c>
      <x:c r="D3466" t="str">
        <x:v>Administration et communauté</x:v>
      </x:c>
      <x:c r="E3466" t="str">
        <x:v>Office communal de médiation de voisinage</x:v>
      </x:c>
      <x:c r="F3466" t="n">
        <x:v>9</x:v>
      </x:c>
      <x:c r="G3466" t="n">
        <x:v>6</x:v>
      </x:c>
      <x:c r="H3466" t="n">
        <x:v>6</x:v>
      </x:c>
      <x:c r="I3466" t="str">
        <x:v>À qualifier par lieu</x:v>
      </x:c>
      <x:c r="J3466" t="str">
        <x:v>https://github.com/darknigthmare/deadwall-last-enclosure/blob/1b3b9c5ba232734b1bda3453b4e20a0481bcdd74/codex-3000/addendum-1.58/PROGRAMMES_B.json</x:v>
      </x:c>
      <x:c r="K3466" t="str">
        <x:v>Source min 38,28 m ; max 38,28 m ; modèle 38 × 28 m ; niveaux 0, 1. Détails dans catalogue-existant.json.</x:v>
      </x:c>
    </x:row>
    <x:row r="3467">
      <x:c r="A3467" t="str">
        <x:v>DW-3462</x:v>
      </x:c>
      <x:c r="B3467" t="str">
        <x:v>DW-3462</x:v>
      </x:c>
      <x:c r="C3467" t="str">
        <x:v>Parent indépendant 1.58</x:v>
      </x:c>
      <x:c r="D3467" t="str">
        <x:v>Administration et communauté</x:v>
      </x:c>
      <x:c r="E3467" t="str">
        <x:v>Guichet de domiciliation administrative</x:v>
      </x:c>
      <x:c r="F3467" t="n">
        <x:v>9</x:v>
      </x:c>
      <x:c r="G3467" t="n">
        <x:v>6</x:v>
      </x:c>
      <x:c r="H3467" t="n">
        <x:v>6</x:v>
      </x:c>
      <x:c r="I3467" t="str">
        <x:v>À qualifier par lieu</x:v>
      </x:c>
      <x:c r="J3467" t="str">
        <x:v>https://github.com/darknigthmare/deadwall-last-enclosure/blob/1b3b9c5ba232734b1bda3453b4e20a0481bcdd74/codex-3000/addendum-1.58/PROGRAMMES_B.json</x:v>
      </x:c>
      <x:c r="K3467" t="str">
        <x:v>Source min 42,31 m ; max 42,31 m ; modèle 42 × 31 m ; niveaux 0, 1. Détails dans catalogue-existant.json.</x:v>
      </x:c>
    </x:row>
    <x:row r="3468">
      <x:c r="A3468" t="str">
        <x:v>DW-3463</x:v>
      </x:c>
      <x:c r="B3468" t="str">
        <x:v>DW-3463</x:v>
      </x:c>
      <x:c r="C3468" t="str">
        <x:v>Parent indépendant 1.58</x:v>
      </x:c>
      <x:c r="D3468" t="str">
        <x:v>Administration et communauté</x:v>
      </x:c>
      <x:c r="E3468" t="str">
        <x:v>Maison des dossiers de logement</x:v>
      </x:c>
      <x:c r="F3468" t="n">
        <x:v>9</x:v>
      </x:c>
      <x:c r="G3468" t="n">
        <x:v>6</x:v>
      </x:c>
      <x:c r="H3468" t="n">
        <x:v>6</x:v>
      </x:c>
      <x:c r="I3468" t="str">
        <x:v>À qualifier par lieu</x:v>
      </x:c>
      <x:c r="J3468" t="str">
        <x:v>https://github.com/darknigthmare/deadwall-last-enclosure/blob/1b3b9c5ba232734b1bda3453b4e20a0481bcdd74/codex-3000/addendum-1.58/PROGRAMMES_B.json</x:v>
      </x:c>
      <x:c r="K3468" t="str">
        <x:v>Source min 30,34 m ; max 30,34 m ; modèle 30 × 34 m ; niveaux 0, 1. Détails dans catalogue-existant.json.</x:v>
      </x:c>
    </x:row>
    <x:row r="3469">
      <x:c r="A3469" t="str">
        <x:v>DW-3464</x:v>
      </x:c>
      <x:c r="B3469" t="str">
        <x:v>DW-3464</x:v>
      </x:c>
      <x:c r="C3469" t="str">
        <x:v>Parent indépendant 1.58</x:v>
      </x:c>
      <x:c r="D3469" t="str">
        <x:v>Administration et communauté</x:v>
      </x:c>
      <x:c r="E3469" t="str">
        <x:v>Office d'attribution de jardins partagés</x:v>
      </x:c>
      <x:c r="F3469" t="n">
        <x:v>9</x:v>
      </x:c>
      <x:c r="G3469" t="n">
        <x:v>6</x:v>
      </x:c>
      <x:c r="H3469" t="n">
        <x:v>6</x:v>
      </x:c>
      <x:c r="I3469" t="str">
        <x:v>À qualifier par lieu</x:v>
      </x:c>
      <x:c r="J3469" t="str">
        <x:v>https://github.com/darknigthmare/deadwall-last-enclosure/blob/1b3b9c5ba232734b1bda3453b4e20a0481bcdd74/codex-3000/addendum-1.58/PROGRAMMES_B.json</x:v>
      </x:c>
      <x:c r="K3469" t="str">
        <x:v>Source min 34,28 m ; max 34,28 m ; modèle 34 × 28 m ; niveaux 0, 1. Détails dans catalogue-existant.json.</x:v>
      </x:c>
    </x:row>
    <x:row r="3470">
      <x:c r="A3470" t="str">
        <x:v>DW-3465</x:v>
      </x:c>
      <x:c r="B3470" t="str">
        <x:v>DW-3465</x:v>
      </x:c>
      <x:c r="C3470" t="str">
        <x:v>Parent indépendant 1.58</x:v>
      </x:c>
      <x:c r="D3470" t="str">
        <x:v>Administration et communauté</x:v>
      </x:c>
      <x:c r="E3470" t="str">
        <x:v>Centre de dossiers d'urbanisme</x:v>
      </x:c>
      <x:c r="F3470" t="n">
        <x:v>9</x:v>
      </x:c>
      <x:c r="G3470" t="n">
        <x:v>6</x:v>
      </x:c>
      <x:c r="H3470" t="n">
        <x:v>6</x:v>
      </x:c>
      <x:c r="I3470" t="str">
        <x:v>À qualifier par lieu</x:v>
      </x:c>
      <x:c r="J3470" t="str">
        <x:v>https://github.com/darknigthmare/deadwall-last-enclosure/blob/1b3b9c5ba232734b1bda3453b4e20a0481bcdd74/codex-3000/addendum-1.58/PROGRAMMES_B.json</x:v>
      </x:c>
      <x:c r="K3470" t="str">
        <x:v>Source min 38,31 m ; max 38,31 m ; modèle 38 × 31 m ; niveaux 0, 1. Détails dans catalogue-existant.json.</x:v>
      </x:c>
    </x:row>
    <x:row r="3471">
      <x:c r="A3471" t="str">
        <x:v>DW-3466</x:v>
      </x:c>
      <x:c r="B3471" t="str">
        <x:v>DW-3466</x:v>
      </x:c>
      <x:c r="C3471" t="str">
        <x:v>Parent indépendant 1.58</x:v>
      </x:c>
      <x:c r="D3471" t="str">
        <x:v>Administration et communauté</x:v>
      </x:c>
      <x:c r="E3471" t="str">
        <x:v>Office des relevés cadastraux</x:v>
      </x:c>
      <x:c r="F3471" t="n">
        <x:v>9</x:v>
      </x:c>
      <x:c r="G3471" t="n">
        <x:v>6</x:v>
      </x:c>
      <x:c r="H3471" t="n">
        <x:v>6</x:v>
      </x:c>
      <x:c r="I3471" t="str">
        <x:v>À qualifier par lieu</x:v>
      </x:c>
      <x:c r="J3471" t="str">
        <x:v>https://github.com/darknigthmare/deadwall-last-enclosure/blob/1b3b9c5ba232734b1bda3453b4e20a0481bcdd74/codex-3000/addendum-1.58/PROGRAMMES_B.json</x:v>
      </x:c>
      <x:c r="K3471" t="str">
        <x:v>Source min 42,34 m ; max 42,34 m ; modèle 42 × 34 m ; niveaux 0, 1. Détails dans catalogue-existant.json.</x:v>
      </x:c>
    </x:row>
    <x:row r="3472">
      <x:c r="A3472" t="str">
        <x:v>DW-3467</x:v>
      </x:c>
      <x:c r="B3472" t="str">
        <x:v>DW-3467</x:v>
      </x:c>
      <x:c r="C3472" t="str">
        <x:v>Parent indépendant 1.58</x:v>
      </x:c>
      <x:c r="D3472" t="str">
        <x:v>Administration et communauté</x:v>
      </x:c>
      <x:c r="E3472" t="str">
        <x:v>Maison des concessions funéraires</x:v>
      </x:c>
      <x:c r="F3472" t="n">
        <x:v>9</x:v>
      </x:c>
      <x:c r="G3472" t="n">
        <x:v>6</x:v>
      </x:c>
      <x:c r="H3472" t="n">
        <x:v>6</x:v>
      </x:c>
      <x:c r="I3472" t="str">
        <x:v>À qualifier par lieu</x:v>
      </x:c>
      <x:c r="J3472" t="str">
        <x:v>https://github.com/darknigthmare/deadwall-last-enclosure/blob/1b3b9c5ba232734b1bda3453b4e20a0481bcdd74/codex-3000/addendum-1.58/PROGRAMMES_B.json</x:v>
      </x:c>
      <x:c r="K3472" t="str">
        <x:v>Source min 30,28 m ; max 30,28 m ; modèle 30 × 28 m ; niveaux 0, 1. Détails dans catalogue-existant.json.</x:v>
      </x:c>
    </x:row>
    <x:row r="3473">
      <x:c r="A3473" t="str">
        <x:v>DW-3468</x:v>
      </x:c>
      <x:c r="B3473" t="str">
        <x:v>DW-3468</x:v>
      </x:c>
      <x:c r="C3473" t="str">
        <x:v>Parent indépendant 1.58</x:v>
      </x:c>
      <x:c r="D3473" t="str">
        <x:v>Administration et communauté</x:v>
      </x:c>
      <x:c r="E3473" t="str">
        <x:v>Centre des dossiers d'état civil</x:v>
      </x:c>
      <x:c r="F3473" t="n">
        <x:v>9</x:v>
      </x:c>
      <x:c r="G3473" t="n">
        <x:v>6</x:v>
      </x:c>
      <x:c r="H3473" t="n">
        <x:v>6</x:v>
      </x:c>
      <x:c r="I3473" t="str">
        <x:v>À qualifier par lieu</x:v>
      </x:c>
      <x:c r="J3473" t="str">
        <x:v>https://github.com/darknigthmare/deadwall-last-enclosure/blob/1b3b9c5ba232734b1bda3453b4e20a0481bcdd74/codex-3000/addendum-1.58/PROGRAMMES_B.json</x:v>
      </x:c>
      <x:c r="K3473" t="str">
        <x:v>Source min 34,31 m ; max 34,31 m ; modèle 34 × 31 m ; niveaux 0, 1. Détails dans catalogue-existant.json.</x:v>
      </x:c>
    </x:row>
    <x:row r="3474">
      <x:c r="A3474" t="str">
        <x:v>DW-3469</x:v>
      </x:c>
      <x:c r="B3474" t="str">
        <x:v>DW-3469</x:v>
      </x:c>
      <x:c r="C3474" t="str">
        <x:v>Parent indépendant 1.58</x:v>
      </x:c>
      <x:c r="D3474" t="str">
        <x:v>Administration et communauté</x:v>
      </x:c>
      <x:c r="E3474" t="str">
        <x:v>Office des associations sportives</x:v>
      </x:c>
      <x:c r="F3474" t="n">
        <x:v>9</x:v>
      </x:c>
      <x:c r="G3474" t="n">
        <x:v>6</x:v>
      </x:c>
      <x:c r="H3474" t="n">
        <x:v>6</x:v>
      </x:c>
      <x:c r="I3474" t="str">
        <x:v>À qualifier par lieu</x:v>
      </x:c>
      <x:c r="J3474" t="str">
        <x:v>https://github.com/darknigthmare/deadwall-last-enclosure/blob/1b3b9c5ba232734b1bda3453b4e20a0481bcdd74/codex-3000/addendum-1.58/PROGRAMMES_B.json</x:v>
      </x:c>
      <x:c r="K3474" t="str">
        <x:v>Source min 38,34 m ; max 38,34 m ; modèle 38 × 34 m ; niveaux 0, 1. Détails dans catalogue-existant.json.</x:v>
      </x:c>
    </x:row>
    <x:row r="3475">
      <x:c r="A3475" t="str">
        <x:v>DW-3470</x:v>
      </x:c>
      <x:c r="B3475" t="str">
        <x:v>DW-3470</x:v>
      </x:c>
      <x:c r="C3475" t="str">
        <x:v>Parent indépendant 1.58</x:v>
      </x:c>
      <x:c r="D3475" t="str">
        <x:v>Administration et communauté</x:v>
      </x:c>
      <x:c r="E3475" t="str">
        <x:v>Centre des réservations de salles publiques</x:v>
      </x:c>
      <x:c r="F3475" t="n">
        <x:v>9</x:v>
      </x:c>
      <x:c r="G3475" t="n">
        <x:v>6</x:v>
      </x:c>
      <x:c r="H3475" t="n">
        <x:v>6</x:v>
      </x:c>
      <x:c r="I3475" t="str">
        <x:v>À qualifier par lieu</x:v>
      </x:c>
      <x:c r="J3475" t="str">
        <x:v>https://github.com/darknigthmare/deadwall-last-enclosure/blob/1b3b9c5ba232734b1bda3453b4e20a0481bcdd74/codex-3000/addendum-1.58/PROGRAMMES_B.json</x:v>
      </x:c>
      <x:c r="K3475" t="str">
        <x:v>Source min 42,28 m ; max 42,28 m ; modèle 42 × 28 m ; niveaux 0, 1. Détails dans catalogue-existant.json.</x:v>
      </x:c>
    </x:row>
    <x:row r="3476">
      <x:c r="A3476" t="str">
        <x:v>DW-3471</x:v>
      </x:c>
      <x:c r="B3476" t="str">
        <x:v>DW-3471</x:v>
      </x:c>
      <x:c r="C3476" t="str">
        <x:v>Parent indépendant 1.58</x:v>
      </x:c>
      <x:c r="D3476" t="str">
        <x:v>Administration et communauté</x:v>
      </x:c>
      <x:c r="E3476" t="str">
        <x:v>Office des marchés municipaux</x:v>
      </x:c>
      <x:c r="F3476" t="n">
        <x:v>9</x:v>
      </x:c>
      <x:c r="G3476" t="n">
        <x:v>6</x:v>
      </x:c>
      <x:c r="H3476" t="n">
        <x:v>6</x:v>
      </x:c>
      <x:c r="I3476" t="str">
        <x:v>À qualifier par lieu</x:v>
      </x:c>
      <x:c r="J3476" t="str">
        <x:v>https://github.com/darknigthmare/deadwall-last-enclosure/blob/1b3b9c5ba232734b1bda3453b4e20a0481bcdd74/codex-3000/addendum-1.58/PROGRAMMES_B.json</x:v>
      </x:c>
      <x:c r="K3476" t="str">
        <x:v>Source min 30,31 m ; max 30,31 m ; modèle 30 × 31 m ; niveaux 0, 1. Détails dans catalogue-existant.json.</x:v>
      </x:c>
    </x:row>
    <x:row r="3477">
      <x:c r="A3477" t="str">
        <x:v>DW-3472</x:v>
      </x:c>
      <x:c r="B3477" t="str">
        <x:v>DW-3472</x:v>
      </x:c>
      <x:c r="C3477" t="str">
        <x:v>Parent indépendant 1.58</x:v>
      </x:c>
      <x:c r="D3477" t="str">
        <x:v>Administration et communauté</x:v>
      </x:c>
      <x:c r="E3477" t="str">
        <x:v>Maison des recours administratifs</x:v>
      </x:c>
      <x:c r="F3477" t="n">
        <x:v>9</x:v>
      </x:c>
      <x:c r="G3477" t="n">
        <x:v>6</x:v>
      </x:c>
      <x:c r="H3477" t="n">
        <x:v>6</x:v>
      </x:c>
      <x:c r="I3477" t="str">
        <x:v>À qualifier par lieu</x:v>
      </x:c>
      <x:c r="J3477" t="str">
        <x:v>https://github.com/darknigthmare/deadwall-last-enclosure/blob/1b3b9c5ba232734b1bda3453b4e20a0481bcdd74/codex-3000/addendum-1.58/PROGRAMMES_B.json</x:v>
      </x:c>
      <x:c r="K3477" t="str">
        <x:v>Source min 34,34 m ; max 34,34 m ; modèle 34 × 34 m ; niveaux 0, 1. Détails dans catalogue-existant.json.</x:v>
      </x:c>
    </x:row>
    <x:row r="3478">
      <x:c r="A3478" t="str">
        <x:v>DW-3473</x:v>
      </x:c>
      <x:c r="B3478" t="str">
        <x:v>DW-3473</x:v>
      </x:c>
      <x:c r="C3478" t="str">
        <x:v>Parent indépendant 1.58</x:v>
      </x:c>
      <x:c r="D3478" t="str">
        <x:v>Administration et communauté</x:v>
      </x:c>
      <x:c r="E3478" t="str">
        <x:v>Centre de consultation des enquêtes publiques</x:v>
      </x:c>
      <x:c r="F3478" t="n">
        <x:v>9</x:v>
      </x:c>
      <x:c r="G3478" t="n">
        <x:v>6</x:v>
      </x:c>
      <x:c r="H3478" t="n">
        <x:v>6</x:v>
      </x:c>
      <x:c r="I3478" t="str">
        <x:v>À qualifier par lieu</x:v>
      </x:c>
      <x:c r="J3478" t="str">
        <x:v>https://github.com/darknigthmare/deadwall-last-enclosure/blob/1b3b9c5ba232734b1bda3453b4e20a0481bcdd74/codex-3000/addendum-1.58/PROGRAMMES_B.json</x:v>
      </x:c>
      <x:c r="K3478" t="str">
        <x:v>Source min 38,28 m ; max 38,28 m ; modèle 38 × 28 m ; niveaux 0, 1. Détails dans catalogue-existant.json.</x:v>
      </x:c>
    </x:row>
    <x:row r="3479">
      <x:c r="A3479" t="str">
        <x:v>DW-3474</x:v>
      </x:c>
      <x:c r="B3479" t="str">
        <x:v>DW-3474</x:v>
      </x:c>
      <x:c r="C3479" t="str">
        <x:v>Parent indépendant 1.58</x:v>
      </x:c>
      <x:c r="D3479" t="str">
        <x:v>Administration et communauté</x:v>
      </x:c>
      <x:c r="E3479" t="str">
        <x:v>Office de suivi des bâtiments communaux</x:v>
      </x:c>
      <x:c r="F3479" t="n">
        <x:v>9</x:v>
      </x:c>
      <x:c r="G3479" t="n">
        <x:v>6</x:v>
      </x:c>
      <x:c r="H3479" t="n">
        <x:v>6</x:v>
      </x:c>
      <x:c r="I3479" t="str">
        <x:v>À qualifier par lieu</x:v>
      </x:c>
      <x:c r="J3479" t="str">
        <x:v>https://github.com/darknigthmare/deadwall-last-enclosure/blob/1b3b9c5ba232734b1bda3453b4e20a0481bcdd74/codex-3000/addendum-1.58/PROGRAMMES_B.json</x:v>
      </x:c>
      <x:c r="K3479" t="str">
        <x:v>Source min 42,31 m ; max 42,31 m ; modèle 42 × 31 m ; niveaux 0, 1. Détails dans catalogue-existant.json.</x:v>
      </x:c>
    </x:row>
    <x:row r="3480">
      <x:c r="A3480" t="str">
        <x:v>DW-3475</x:v>
      </x:c>
      <x:c r="B3480" t="str">
        <x:v>DW-3475</x:v>
      </x:c>
      <x:c r="C3480" t="str">
        <x:v>Parent indépendant 1.58</x:v>
      </x:c>
      <x:c r="D3480" t="str">
        <x:v>Administration et communauté</x:v>
      </x:c>
      <x:c r="E3480" t="str">
        <x:v>Maison des dossiers d'énergie des foyers</x:v>
      </x:c>
      <x:c r="F3480" t="n">
        <x:v>9</x:v>
      </x:c>
      <x:c r="G3480" t="n">
        <x:v>6</x:v>
      </x:c>
      <x:c r="H3480" t="n">
        <x:v>6</x:v>
      </x:c>
      <x:c r="I3480" t="str">
        <x:v>À qualifier par lieu</x:v>
      </x:c>
      <x:c r="J3480" t="str">
        <x:v>https://github.com/darknigthmare/deadwall-last-enclosure/blob/1b3b9c5ba232734b1bda3453b4e20a0481bcdd74/codex-3000/addendum-1.58/PROGRAMMES_B.json</x:v>
      </x:c>
      <x:c r="K3480" t="str">
        <x:v>Source min 30,34 m ; max 30,34 m ; modèle 30 × 34 m ; niveaux 0, 1. Détails dans catalogue-existant.json.</x:v>
      </x:c>
    </x:row>
    <x:row r="3481">
      <x:c r="A3481" t="str">
        <x:v>DW-3476</x:v>
      </x:c>
      <x:c r="B3481" t="str">
        <x:v>DW-3476</x:v>
      </x:c>
      <x:c r="C3481" t="str">
        <x:v>Parent indépendant 1.58</x:v>
      </x:c>
      <x:c r="D3481" t="str">
        <x:v>Administration et communauté</x:v>
      </x:c>
      <x:c r="E3481" t="str">
        <x:v>Centre de coordination des collectes de quartier</x:v>
      </x:c>
      <x:c r="F3481" t="n">
        <x:v>9</x:v>
      </x:c>
      <x:c r="G3481" t="n">
        <x:v>6</x:v>
      </x:c>
      <x:c r="H3481" t="n">
        <x:v>6</x:v>
      </x:c>
      <x:c r="I3481" t="str">
        <x:v>À qualifier par lieu</x:v>
      </x:c>
      <x:c r="J3481" t="str">
        <x:v>https://github.com/darknigthmare/deadwall-last-enclosure/blob/1b3b9c5ba232734b1bda3453b4e20a0481bcdd74/codex-3000/addendum-1.58/PROGRAMMES_B.json</x:v>
      </x:c>
      <x:c r="K3481" t="str">
        <x:v>Source min 34,28 m ; max 34,28 m ; modèle 34 × 28 m ; niveaux 0, 1. Détails dans catalogue-existant.json.</x:v>
      </x:c>
    </x:row>
    <x:row r="3482">
      <x:c r="A3482" t="str">
        <x:v>DW-3477</x:v>
      </x:c>
      <x:c r="B3482" t="str">
        <x:v>DW-3477</x:v>
      </x:c>
      <x:c r="C3482" t="str">
        <x:v>Parent indépendant 1.58</x:v>
      </x:c>
      <x:c r="D3482" t="str">
        <x:v>Administration et communauté</x:v>
      </x:c>
      <x:c r="E3482" t="str">
        <x:v>Office de demandes de mobilier urbain</x:v>
      </x:c>
      <x:c r="F3482" t="n">
        <x:v>9</x:v>
      </x:c>
      <x:c r="G3482" t="n">
        <x:v>6</x:v>
      </x:c>
      <x:c r="H3482" t="n">
        <x:v>6</x:v>
      </x:c>
      <x:c r="I3482" t="str">
        <x:v>À qualifier par lieu</x:v>
      </x:c>
      <x:c r="J3482" t="str">
        <x:v>https://github.com/darknigthmare/deadwall-last-enclosure/blob/1b3b9c5ba232734b1bda3453b4e20a0481bcdd74/codex-3000/addendum-1.58/PROGRAMMES_B.json</x:v>
      </x:c>
      <x:c r="K3482" t="str">
        <x:v>Source min 38,31 m ; max 38,31 m ; modèle 38 × 31 m ; niveaux 0, 1. Détails dans catalogue-existant.json.</x:v>
      </x:c>
    </x:row>
    <x:row r="3483">
      <x:c r="A3483" t="str">
        <x:v>DW-3478</x:v>
      </x:c>
      <x:c r="B3483" t="str">
        <x:v>DW-3478</x:v>
      </x:c>
      <x:c r="C3483" t="str">
        <x:v>Parent indépendant 1.58</x:v>
      </x:c>
      <x:c r="D3483" t="str">
        <x:v>Administration et communauté</x:v>
      </x:c>
      <x:c r="E3483" t="str">
        <x:v>Maison des conseils de quartier</x:v>
      </x:c>
      <x:c r="F3483" t="n">
        <x:v>9</x:v>
      </x:c>
      <x:c r="G3483" t="n">
        <x:v>6</x:v>
      </x:c>
      <x:c r="H3483" t="n">
        <x:v>6</x:v>
      </x:c>
      <x:c r="I3483" t="str">
        <x:v>À qualifier par lieu</x:v>
      </x:c>
      <x:c r="J3483" t="str">
        <x:v>https://github.com/darknigthmare/deadwall-last-enclosure/blob/1b3b9c5ba232734b1bda3453b4e20a0481bcdd74/codex-3000/addendum-1.58/PROGRAMMES_B.json</x:v>
      </x:c>
      <x:c r="K3483" t="str">
        <x:v>Source min 42,34 m ; max 42,34 m ; modèle 42 × 34 m ; niveaux 0, 1. Détails dans catalogue-existant.json.</x:v>
      </x:c>
    </x:row>
    <x:row r="3484">
      <x:c r="A3484" t="str">
        <x:v>DW-3479</x:v>
      </x:c>
      <x:c r="B3484" t="str">
        <x:v>DW-3479</x:v>
      </x:c>
      <x:c r="C3484" t="str">
        <x:v>Parent indépendant 1.58</x:v>
      </x:c>
      <x:c r="D3484" t="str">
        <x:v>Administration et communauté</x:v>
      </x:c>
      <x:c r="E3484" t="str">
        <x:v>Centre des budgets participatifs</x:v>
      </x:c>
      <x:c r="F3484" t="n">
        <x:v>9</x:v>
      </x:c>
      <x:c r="G3484" t="n">
        <x:v>6</x:v>
      </x:c>
      <x:c r="H3484" t="n">
        <x:v>6</x:v>
      </x:c>
      <x:c r="I3484" t="str">
        <x:v>À qualifier par lieu</x:v>
      </x:c>
      <x:c r="J3484" t="str">
        <x:v>https://github.com/darknigthmare/deadwall-last-enclosure/blob/1b3b9c5ba232734b1bda3453b4e20a0481bcdd74/codex-3000/addendum-1.58/PROGRAMMES_B.json</x:v>
      </x:c>
      <x:c r="K3484" t="str">
        <x:v>Source min 30,28 m ; max 30,28 m ; modèle 30 × 28 m ; niveaux 0, 1. Détails dans catalogue-existant.json.</x:v>
      </x:c>
    </x:row>
    <x:row r="3485">
      <x:c r="A3485" t="str">
        <x:v>DW-3480</x:v>
      </x:c>
      <x:c r="B3485" t="str">
        <x:v>DW-3480</x:v>
      </x:c>
      <x:c r="C3485" t="str">
        <x:v>Parent indépendant 1.58</x:v>
      </x:c>
      <x:c r="D3485" t="str">
        <x:v>Administration et communauté</x:v>
      </x:c>
      <x:c r="E3485" t="str">
        <x:v>Office des jumelages communaux</x:v>
      </x:c>
      <x:c r="F3485" t="n">
        <x:v>9</x:v>
      </x:c>
      <x:c r="G3485" t="n">
        <x:v>6</x:v>
      </x:c>
      <x:c r="H3485" t="n">
        <x:v>6</x:v>
      </x:c>
      <x:c r="I3485" t="str">
        <x:v>À qualifier par lieu</x:v>
      </x:c>
      <x:c r="J3485" t="str">
        <x:v>https://github.com/darknigthmare/deadwall-last-enclosure/blob/1b3b9c5ba232734b1bda3453b4e20a0481bcdd74/codex-3000/addendum-1.58/PROGRAMMES_B.json</x:v>
      </x:c>
      <x:c r="K3485" t="str">
        <x:v>Source min 34,31 m ; max 34,31 m ; modèle 34 × 31 m ; niveaux 0, 1. Détails dans catalogue-existant.json.</x:v>
      </x:c>
    </x:row>
    <x:row r="3486">
      <x:c r="A3486" t="str">
        <x:v>DW-3481</x:v>
      </x:c>
      <x:c r="B3486" t="str">
        <x:v>DW-3481</x:v>
      </x:c>
      <x:c r="C3486" t="str">
        <x:v>Parent indépendant 1.58</x:v>
      </x:c>
      <x:c r="D3486" t="str">
        <x:v>Administration et communauté</x:v>
      </x:c>
      <x:c r="E3486" t="str">
        <x:v>Maison des dons de matériel associatif</x:v>
      </x:c>
      <x:c r="F3486" t="n">
        <x:v>9</x:v>
      </x:c>
      <x:c r="G3486" t="n">
        <x:v>6</x:v>
      </x:c>
      <x:c r="H3486" t="n">
        <x:v>6</x:v>
      </x:c>
      <x:c r="I3486" t="str">
        <x:v>À qualifier par lieu</x:v>
      </x:c>
      <x:c r="J3486" t="str">
        <x:v>https://github.com/darknigthmare/deadwall-last-enclosure/blob/1b3b9c5ba232734b1bda3453b4e20a0481bcdd74/codex-3000/addendum-1.58/PROGRAMMES_B.json</x:v>
      </x:c>
      <x:c r="K3486" t="str">
        <x:v>Source min 38,34 m ; max 38,34 m ; modèle 38 × 34 m ; niveaux 0, 1. Détails dans catalogue-existant.json.</x:v>
      </x:c>
    </x:row>
    <x:row r="3487">
      <x:c r="A3487" t="str">
        <x:v>DW-3482</x:v>
      </x:c>
      <x:c r="B3487" t="str">
        <x:v>DW-3482</x:v>
      </x:c>
      <x:c r="C3487" t="str">
        <x:v>Parent indépendant 1.58</x:v>
      </x:c>
      <x:c r="D3487" t="str">
        <x:v>Administration et communauté</x:v>
      </x:c>
      <x:c r="E3487" t="str">
        <x:v>Centre d'inscription des bénévoles</x:v>
      </x:c>
      <x:c r="F3487" t="n">
        <x:v>9</x:v>
      </x:c>
      <x:c r="G3487" t="n">
        <x:v>6</x:v>
      </x:c>
      <x:c r="H3487" t="n">
        <x:v>6</x:v>
      </x:c>
      <x:c r="I3487" t="str">
        <x:v>À qualifier par lieu</x:v>
      </x:c>
      <x:c r="J3487" t="str">
        <x:v>https://github.com/darknigthmare/deadwall-last-enclosure/blob/1b3b9c5ba232734b1bda3453b4e20a0481bcdd74/codex-3000/addendum-1.58/PROGRAMMES_B.json</x:v>
      </x:c>
      <x:c r="K3487" t="str">
        <x:v>Source min 42,28 m ; max 42,28 m ; modèle 42 × 28 m ; niveaux 0, 1. Détails dans catalogue-existant.json.</x:v>
      </x:c>
    </x:row>
    <x:row r="3488">
      <x:c r="A3488" t="str">
        <x:v>DW-3483</x:v>
      </x:c>
      <x:c r="B3488" t="str">
        <x:v>DW-3483</x:v>
      </x:c>
      <x:c r="C3488" t="str">
        <x:v>Parent indépendant 1.58</x:v>
      </x:c>
      <x:c r="D3488" t="str">
        <x:v>Administration et communauté</x:v>
      </x:c>
      <x:c r="E3488" t="str">
        <x:v>Office des transports scolaires</x:v>
      </x:c>
      <x:c r="F3488" t="n">
        <x:v>9</x:v>
      </x:c>
      <x:c r="G3488" t="n">
        <x:v>6</x:v>
      </x:c>
      <x:c r="H3488" t="n">
        <x:v>6</x:v>
      </x:c>
      <x:c r="I3488" t="str">
        <x:v>À qualifier par lieu</x:v>
      </x:c>
      <x:c r="J3488" t="str">
        <x:v>https://github.com/darknigthmare/deadwall-last-enclosure/blob/1b3b9c5ba232734b1bda3453b4e20a0481bcdd74/codex-3000/addendum-1.58/PROGRAMMES_B.json</x:v>
      </x:c>
      <x:c r="K3488" t="str">
        <x:v>Source min 30,31 m ; max 30,31 m ; modèle 30 × 31 m ; niveaux 0, 1. Détails dans catalogue-existant.json.</x:v>
      </x:c>
    </x:row>
    <x:row r="3489">
      <x:c r="A3489" t="str">
        <x:v>DW-3484</x:v>
      </x:c>
      <x:c r="B3489" t="str">
        <x:v>DW-3484</x:v>
      </x:c>
      <x:c r="C3489" t="str">
        <x:v>Parent indépendant 1.58</x:v>
      </x:c>
      <x:c r="D3489" t="str">
        <x:v>Administration et communauté</x:v>
      </x:c>
      <x:c r="E3489" t="str">
        <x:v>Maison des démarches de mobilité réduite</x:v>
      </x:c>
      <x:c r="F3489" t="n">
        <x:v>9</x:v>
      </x:c>
      <x:c r="G3489" t="n">
        <x:v>6</x:v>
      </x:c>
      <x:c r="H3489" t="n">
        <x:v>6</x:v>
      </x:c>
      <x:c r="I3489" t="str">
        <x:v>À qualifier par lieu</x:v>
      </x:c>
      <x:c r="J3489" t="str">
        <x:v>https://github.com/darknigthmare/deadwall-last-enclosure/blob/1b3b9c5ba232734b1bda3453b4e20a0481bcdd74/codex-3000/addendum-1.58/PROGRAMMES_B.json</x:v>
      </x:c>
      <x:c r="K3489" t="str">
        <x:v>Source min 34,34 m ; max 34,34 m ; modèle 34 × 34 m ; niveaux 0, 1. Détails dans catalogue-existant.json.</x:v>
      </x:c>
    </x:row>
    <x:row r="3490">
      <x:c r="A3490" t="str">
        <x:v>DW-3485</x:v>
      </x:c>
      <x:c r="B3490" t="str">
        <x:v>DW-3485</x:v>
      </x:c>
      <x:c r="C3490" t="str">
        <x:v>Parent indépendant 1.58</x:v>
      </x:c>
      <x:c r="D3490" t="str">
        <x:v>Administration et communauté</x:v>
      </x:c>
      <x:c r="E3490" t="str">
        <x:v>Centre de dossiers de voirie</x:v>
      </x:c>
      <x:c r="F3490" t="n">
        <x:v>9</x:v>
      </x:c>
      <x:c r="G3490" t="n">
        <x:v>6</x:v>
      </x:c>
      <x:c r="H3490" t="n">
        <x:v>6</x:v>
      </x:c>
      <x:c r="I3490" t="str">
        <x:v>À qualifier par lieu</x:v>
      </x:c>
      <x:c r="J3490" t="str">
        <x:v>https://github.com/darknigthmare/deadwall-last-enclosure/blob/1b3b9c5ba232734b1bda3453b4e20a0481bcdd74/codex-3000/addendum-1.58/PROGRAMMES_B.json</x:v>
      </x:c>
      <x:c r="K3490" t="str">
        <x:v>Source min 38,28 m ; max 38,28 m ; modèle 38 × 28 m ; niveaux 0, 1. Détails dans catalogue-existant.json.</x:v>
      </x:c>
    </x:row>
    <x:row r="3491">
      <x:c r="A3491" t="str">
        <x:v>DW-3486</x:v>
      </x:c>
      <x:c r="B3491" t="str">
        <x:v>DW-3486</x:v>
      </x:c>
      <x:c r="C3491" t="str">
        <x:v>Parent indépendant 1.58</x:v>
      </x:c>
      <x:c r="D3491" t="str">
        <x:v>Administration et communauté</x:v>
      </x:c>
      <x:c r="E3491" t="str">
        <x:v>Office des signalements d'éclairage public</x:v>
      </x:c>
      <x:c r="F3491" t="n">
        <x:v>9</x:v>
      </x:c>
      <x:c r="G3491" t="n">
        <x:v>6</x:v>
      </x:c>
      <x:c r="H3491" t="n">
        <x:v>6</x:v>
      </x:c>
      <x:c r="I3491" t="str">
        <x:v>À qualifier par lieu</x:v>
      </x:c>
      <x:c r="J3491" t="str">
        <x:v>https://github.com/darknigthmare/deadwall-last-enclosure/blob/1b3b9c5ba232734b1bda3453b4e20a0481bcdd74/codex-3000/addendum-1.58/PROGRAMMES_B.json</x:v>
      </x:c>
      <x:c r="K3491" t="str">
        <x:v>Source min 42,31 m ; max 42,31 m ; modèle 42 × 31 m ; niveaux 0, 1. Détails dans catalogue-existant.json.</x:v>
      </x:c>
    </x:row>
    <x:row r="3492">
      <x:c r="A3492" t="str">
        <x:v>DW-3487</x:v>
      </x:c>
      <x:c r="B3492" t="str">
        <x:v>DW-3487</x:v>
      </x:c>
      <x:c r="C3492" t="str">
        <x:v>Parent indépendant 1.58</x:v>
      </x:c>
      <x:c r="D3492" t="str">
        <x:v>Administration et communauté</x:v>
      </x:c>
      <x:c r="E3492" t="str">
        <x:v>Maison des dossiers de bruit de voisinage</x:v>
      </x:c>
      <x:c r="F3492" t="n">
        <x:v>9</x:v>
      </x:c>
      <x:c r="G3492" t="n">
        <x:v>6</x:v>
      </x:c>
      <x:c r="H3492" t="n">
        <x:v>6</x:v>
      </x:c>
      <x:c r="I3492" t="str">
        <x:v>À qualifier par lieu</x:v>
      </x:c>
      <x:c r="J3492" t="str">
        <x:v>https://github.com/darknigthmare/deadwall-last-enclosure/blob/1b3b9c5ba232734b1bda3453b4e20a0481bcdd74/codex-3000/addendum-1.58/PROGRAMMES_B.json</x:v>
      </x:c>
      <x:c r="K3492" t="str">
        <x:v>Source min 30,34 m ; max 30,34 m ; modèle 30 × 34 m ; niveaux 0, 1. Détails dans catalogue-existant.json.</x:v>
      </x:c>
    </x:row>
    <x:row r="3493">
      <x:c r="A3493" t="str">
        <x:v>DW-3488</x:v>
      </x:c>
      <x:c r="B3493" t="str">
        <x:v>DW-3488</x:v>
      </x:c>
      <x:c r="C3493" t="str">
        <x:v>Parent indépendant 1.58</x:v>
      </x:c>
      <x:c r="D3493" t="str">
        <x:v>Administration et communauté</x:v>
      </x:c>
      <x:c r="E3493" t="str">
        <x:v>Centre des demandes d'occupation commerciale</x:v>
      </x:c>
      <x:c r="F3493" t="n">
        <x:v>9</x:v>
      </x:c>
      <x:c r="G3493" t="n">
        <x:v>6</x:v>
      </x:c>
      <x:c r="H3493" t="n">
        <x:v>6</x:v>
      </x:c>
      <x:c r="I3493" t="str">
        <x:v>À qualifier par lieu</x:v>
      </x:c>
      <x:c r="J3493" t="str">
        <x:v>https://github.com/darknigthmare/deadwall-last-enclosure/blob/1b3b9c5ba232734b1bda3453b4e20a0481bcdd74/codex-3000/addendum-1.58/PROGRAMMES_B.json</x:v>
      </x:c>
      <x:c r="K3493" t="str">
        <x:v>Source min 34,28 m ; max 34,28 m ; modèle 34 × 28 m ; niveaux 0, 1. Détails dans catalogue-existant.json.</x:v>
      </x:c>
    </x:row>
    <x:row r="3494">
      <x:c r="A3494" t="str">
        <x:v>DW-3489</x:v>
      </x:c>
      <x:c r="B3494" t="str">
        <x:v>DW-3489</x:v>
      </x:c>
      <x:c r="C3494" t="str">
        <x:v>Parent indépendant 1.58</x:v>
      </x:c>
      <x:c r="D3494" t="str">
        <x:v>Administration et communauté</x:v>
      </x:c>
      <x:c r="E3494" t="str">
        <x:v>Office des licences d'événement local</x:v>
      </x:c>
      <x:c r="F3494" t="n">
        <x:v>9</x:v>
      </x:c>
      <x:c r="G3494" t="n">
        <x:v>6</x:v>
      </x:c>
      <x:c r="H3494" t="n">
        <x:v>6</x:v>
      </x:c>
      <x:c r="I3494" t="str">
        <x:v>À qualifier par lieu</x:v>
      </x:c>
      <x:c r="J3494" t="str">
        <x:v>https://github.com/darknigthmare/deadwall-last-enclosure/blob/1b3b9c5ba232734b1bda3453b4e20a0481bcdd74/codex-3000/addendum-1.58/PROGRAMMES_B.json</x:v>
      </x:c>
      <x:c r="K3494" t="str">
        <x:v>Source min 38,31 m ; max 38,31 m ; modèle 38 × 31 m ; niveaux 0, 1. Détails dans catalogue-existant.json.</x:v>
      </x:c>
    </x:row>
    <x:row r="3495">
      <x:c r="A3495" t="str">
        <x:v>DW-3490</x:v>
      </x:c>
      <x:c r="B3495" t="str">
        <x:v>DW-3490</x:v>
      </x:c>
      <x:c r="C3495" t="str">
        <x:v>Parent indépendant 1.58</x:v>
      </x:c>
      <x:c r="D3495" t="str">
        <x:v>Administration et communauté</x:v>
      </x:c>
      <x:c r="E3495" t="str">
        <x:v>Maison des projets de patrimoine bâti</x:v>
      </x:c>
      <x:c r="F3495" t="n">
        <x:v>9</x:v>
      </x:c>
      <x:c r="G3495" t="n">
        <x:v>6</x:v>
      </x:c>
      <x:c r="H3495" t="n">
        <x:v>6</x:v>
      </x:c>
      <x:c r="I3495" t="str">
        <x:v>À qualifier par lieu</x:v>
      </x:c>
      <x:c r="J3495" t="str">
        <x:v>https://github.com/darknigthmare/deadwall-last-enclosure/blob/1b3b9c5ba232734b1bda3453b4e20a0481bcdd74/codex-3000/addendum-1.58/PROGRAMMES_B.json</x:v>
      </x:c>
      <x:c r="K3495" t="str">
        <x:v>Source min 42,34 m ; max 42,34 m ; modèle 42 × 34 m ; niveaux 0, 1. Détails dans catalogue-existant.json.</x:v>
      </x:c>
    </x:row>
    <x:row r="3496">
      <x:c r="A3496" t="str">
        <x:v>DW-3491</x:v>
      </x:c>
      <x:c r="B3496" t="str">
        <x:v>DW-3491</x:v>
      </x:c>
      <x:c r="C3496" t="str">
        <x:v>Parent indépendant 1.58</x:v>
      </x:c>
      <x:c r="D3496" t="str">
        <x:v>Administration et communauté</x:v>
      </x:c>
      <x:c r="E3496" t="str">
        <x:v>Centre d'accueil des nouveaux habitants</x:v>
      </x:c>
      <x:c r="F3496" t="n">
        <x:v>9</x:v>
      </x:c>
      <x:c r="G3496" t="n">
        <x:v>6</x:v>
      </x:c>
      <x:c r="H3496" t="n">
        <x:v>6</x:v>
      </x:c>
      <x:c r="I3496" t="str">
        <x:v>À qualifier par lieu</x:v>
      </x:c>
      <x:c r="J3496" t="str">
        <x:v>https://github.com/darknigthmare/deadwall-last-enclosure/blob/1b3b9c5ba232734b1bda3453b4e20a0481bcdd74/codex-3000/addendum-1.58/PROGRAMMES_B.json</x:v>
      </x:c>
      <x:c r="K3496" t="str">
        <x:v>Source min 30,28 m ; max 30,28 m ; modèle 30 × 28 m ; niveaux 0, 1. Détails dans catalogue-existant.json.</x:v>
      </x:c>
    </x:row>
    <x:row r="3497">
      <x:c r="A3497" t="str">
        <x:v>DW-3492</x:v>
      </x:c>
      <x:c r="B3497" t="str">
        <x:v>DW-3492</x:v>
      </x:c>
      <x:c r="C3497" t="str">
        <x:v>Parent indépendant 1.58</x:v>
      </x:c>
      <x:c r="D3497" t="str">
        <x:v>Administration et communauté</x:v>
      </x:c>
      <x:c r="E3497" t="str">
        <x:v>Office des déclarations d'animaux domestiques</x:v>
      </x:c>
      <x:c r="F3497" t="n">
        <x:v>9</x:v>
      </x:c>
      <x:c r="G3497" t="n">
        <x:v>6</x:v>
      </x:c>
      <x:c r="H3497" t="n">
        <x:v>6</x:v>
      </x:c>
      <x:c r="I3497" t="str">
        <x:v>À qualifier par lieu</x:v>
      </x:c>
      <x:c r="J3497" t="str">
        <x:v>https://github.com/darknigthmare/deadwall-last-enclosure/blob/1b3b9c5ba232734b1bda3453b4e20a0481bcdd74/codex-3000/addendum-1.58/PROGRAMMES_B.json</x:v>
      </x:c>
      <x:c r="K3497" t="str">
        <x:v>Source min 34,31 m ; max 34,31 m ; modèle 34 × 31 m ; niveaux 0, 1. Détails dans catalogue-existant.json.</x:v>
      </x:c>
    </x:row>
    <x:row r="3498">
      <x:c r="A3498" t="str">
        <x:v>DW-3493</x:v>
      </x:c>
      <x:c r="B3498" t="str">
        <x:v>DW-3493</x:v>
      </x:c>
      <x:c r="C3498" t="str">
        <x:v>Parent indépendant 1.58</x:v>
      </x:c>
      <x:c r="D3498" t="str">
        <x:v>Administration et communauté</x:v>
      </x:c>
      <x:c r="E3498" t="str">
        <x:v>Maison des démarches de succession communale</x:v>
      </x:c>
      <x:c r="F3498" t="n">
        <x:v>9</x:v>
      </x:c>
      <x:c r="G3498" t="n">
        <x:v>6</x:v>
      </x:c>
      <x:c r="H3498" t="n">
        <x:v>6</x:v>
      </x:c>
      <x:c r="I3498" t="str">
        <x:v>À qualifier par lieu</x:v>
      </x:c>
      <x:c r="J3498" t="str">
        <x:v>https://github.com/darknigthmare/deadwall-last-enclosure/blob/1b3b9c5ba232734b1bda3453b4e20a0481bcdd74/codex-3000/addendum-1.58/PROGRAMMES_B.json</x:v>
      </x:c>
      <x:c r="K3498" t="str">
        <x:v>Source min 38,34 m ; max 38,34 m ; modèle 38 × 34 m ; niveaux 0, 1. Détails dans catalogue-existant.json.</x:v>
      </x:c>
    </x:row>
    <x:row r="3499">
      <x:c r="A3499" t="str">
        <x:v>DW-3494</x:v>
      </x:c>
      <x:c r="B3499" t="str">
        <x:v>DW-3494</x:v>
      </x:c>
      <x:c r="C3499" t="str">
        <x:v>Parent indépendant 1.58</x:v>
      </x:c>
      <x:c r="D3499" t="str">
        <x:v>Administration et communauté</x:v>
      </x:c>
      <x:c r="E3499" t="str">
        <x:v>Centre des objets trouvés documentés</x:v>
      </x:c>
      <x:c r="F3499" t="n">
        <x:v>9</x:v>
      </x:c>
      <x:c r="G3499" t="n">
        <x:v>6</x:v>
      </x:c>
      <x:c r="H3499" t="n">
        <x:v>6</x:v>
      </x:c>
      <x:c r="I3499" t="str">
        <x:v>À qualifier par lieu</x:v>
      </x:c>
      <x:c r="J3499" t="str">
        <x:v>https://github.com/darknigthmare/deadwall-last-enclosure/blob/1b3b9c5ba232734b1bda3453b4e20a0481bcdd74/codex-3000/addendum-1.58/PROGRAMMES_B.json</x:v>
      </x:c>
      <x:c r="K3499" t="str">
        <x:v>Source min 42,28 m ; max 42,28 m ; modèle 42 × 28 m ; niveaux 0, 1. Détails dans catalogue-existant.json.</x:v>
      </x:c>
    </x:row>
    <x:row r="3500">
      <x:c r="A3500" t="str">
        <x:v>DW-3495</x:v>
      </x:c>
      <x:c r="B3500" t="str">
        <x:v>DW-3495</x:v>
      </x:c>
      <x:c r="C3500" t="str">
        <x:v>Parent indépendant 1.58</x:v>
      </x:c>
      <x:c r="D3500" t="str">
        <x:v>Administration et communauté</x:v>
      </x:c>
      <x:c r="E3500" t="str">
        <x:v>Office des inscriptions électorales</x:v>
      </x:c>
      <x:c r="F3500" t="n">
        <x:v>9</x:v>
      </x:c>
      <x:c r="G3500" t="n">
        <x:v>6</x:v>
      </x:c>
      <x:c r="H3500" t="n">
        <x:v>6</x:v>
      </x:c>
      <x:c r="I3500" t="str">
        <x:v>À qualifier par lieu</x:v>
      </x:c>
      <x:c r="J3500" t="str">
        <x:v>https://github.com/darknigthmare/deadwall-last-enclosure/blob/1b3b9c5ba232734b1bda3453b4e20a0481bcdd74/codex-3000/addendum-1.58/PROGRAMMES_B.json</x:v>
      </x:c>
      <x:c r="K3500" t="str">
        <x:v>Source min 30,31 m ; max 30,31 m ; modèle 30 × 31 m ; niveaux 0, 1. Détails dans catalogue-existant.json.</x:v>
      </x:c>
    </x:row>
    <x:row r="3501">
      <x:c r="A3501" t="str">
        <x:v>DW-3496</x:v>
      </x:c>
      <x:c r="B3501" t="str">
        <x:v>DW-3496</x:v>
      </x:c>
      <x:c r="C3501" t="str">
        <x:v>Parent indépendant 1.58</x:v>
      </x:c>
      <x:c r="D3501" t="str">
        <x:v>Administration et communauté</x:v>
      </x:c>
      <x:c r="E3501" t="str">
        <x:v>Maison des procurations civiles</x:v>
      </x:c>
      <x:c r="F3501" t="n">
        <x:v>9</x:v>
      </x:c>
      <x:c r="G3501" t="n">
        <x:v>6</x:v>
      </x:c>
      <x:c r="H3501" t="n">
        <x:v>6</x:v>
      </x:c>
      <x:c r="I3501" t="str">
        <x:v>À qualifier par lieu</x:v>
      </x:c>
      <x:c r="J3501" t="str">
        <x:v>https://github.com/darknigthmare/deadwall-last-enclosure/blob/1b3b9c5ba232734b1bda3453b4e20a0481bcdd74/codex-3000/addendum-1.58/PROGRAMMES_B.json</x:v>
      </x:c>
      <x:c r="K3501" t="str">
        <x:v>Source min 34,34 m ; max 34,34 m ; modèle 34 × 34 m ; niveaux 0, 1. Détails dans catalogue-existant.json.</x:v>
      </x:c>
    </x:row>
    <x:row r="3502">
      <x:c r="A3502" t="str">
        <x:v>DW-3497</x:v>
      </x:c>
      <x:c r="B3502" t="str">
        <x:v>DW-3497</x:v>
      </x:c>
      <x:c r="C3502" t="str">
        <x:v>Parent indépendant 1.58</x:v>
      </x:c>
      <x:c r="D3502" t="str">
        <x:v>Administration et communauté</x:v>
      </x:c>
      <x:c r="E3502" t="str">
        <x:v>Centre de dossiers des cantines publiques</x:v>
      </x:c>
      <x:c r="F3502" t="n">
        <x:v>9</x:v>
      </x:c>
      <x:c r="G3502" t="n">
        <x:v>6</x:v>
      </x:c>
      <x:c r="H3502" t="n">
        <x:v>6</x:v>
      </x:c>
      <x:c r="I3502" t="str">
        <x:v>À qualifier par lieu</x:v>
      </x:c>
      <x:c r="J3502" t="str">
        <x:v>https://github.com/darknigthmare/deadwall-last-enclosure/blob/1b3b9c5ba232734b1bda3453b4e20a0481bcdd74/codex-3000/addendum-1.58/PROGRAMMES_B.json</x:v>
      </x:c>
      <x:c r="K3502" t="str">
        <x:v>Source min 38,28 m ; max 38,28 m ; modèle 38 × 28 m ; niveaux 0, 1. Détails dans catalogue-existant.json.</x:v>
      </x:c>
    </x:row>
    <x:row r="3503">
      <x:c r="A3503" t="str">
        <x:v>DW-3498</x:v>
      </x:c>
      <x:c r="B3503" t="str">
        <x:v>DW-3498</x:v>
      </x:c>
      <x:c r="C3503" t="str">
        <x:v>Parent indépendant 1.58</x:v>
      </x:c>
      <x:c r="D3503" t="str">
        <x:v>Administration et communauté</x:v>
      </x:c>
      <x:c r="E3503" t="str">
        <x:v>Office des demandes d'eau des immeubles</x:v>
      </x:c>
      <x:c r="F3503" t="n">
        <x:v>9</x:v>
      </x:c>
      <x:c r="G3503" t="n">
        <x:v>6</x:v>
      </x:c>
      <x:c r="H3503" t="n">
        <x:v>6</x:v>
      </x:c>
      <x:c r="I3503" t="str">
        <x:v>À qualifier par lieu</x:v>
      </x:c>
      <x:c r="J3503" t="str">
        <x:v>https://github.com/darknigthmare/deadwall-last-enclosure/blob/1b3b9c5ba232734b1bda3453b4e20a0481bcdd74/codex-3000/addendum-1.58/PROGRAMMES_B.json</x:v>
      </x:c>
      <x:c r="K3503" t="str">
        <x:v>Source min 42,31 m ; max 42,31 m ; modèle 42 × 31 m ; niveaux 0, 1. Détails dans catalogue-existant.json.</x:v>
      </x:c>
    </x:row>
    <x:row r="3504">
      <x:c r="A3504" t="str">
        <x:v>DW-3499</x:v>
      </x:c>
      <x:c r="B3504" t="str">
        <x:v>DW-3499</x:v>
      </x:c>
      <x:c r="C3504" t="str">
        <x:v>Parent indépendant 1.58</x:v>
      </x:c>
      <x:c r="D3504" t="str">
        <x:v>Administration et communauté</x:v>
      </x:c>
      <x:c r="E3504" t="str">
        <x:v>Maison des démarches de restitution de logement</x:v>
      </x:c>
      <x:c r="F3504" t="n">
        <x:v>9</x:v>
      </x:c>
      <x:c r="G3504" t="n">
        <x:v>6</x:v>
      </x:c>
      <x:c r="H3504" t="n">
        <x:v>6</x:v>
      </x:c>
      <x:c r="I3504" t="str">
        <x:v>À qualifier par lieu</x:v>
      </x:c>
      <x:c r="J3504" t="str">
        <x:v>https://github.com/darknigthmare/deadwall-last-enclosure/blob/1b3b9c5ba232734b1bda3453b4e20a0481bcdd74/codex-3000/addendum-1.58/PROGRAMMES_B.json</x:v>
      </x:c>
      <x:c r="K3504" t="str">
        <x:v>Source min 30,34 m ; max 30,34 m ; modèle 30 × 34 m ; niveaux 0, 1. Détails dans catalogue-existant.json.</x:v>
      </x:c>
    </x:row>
    <x:row r="3505">
      <x:c r="A3505" t="str">
        <x:v>DW-3500</x:v>
      </x:c>
      <x:c r="B3505" t="str">
        <x:v>DW-3500</x:v>
      </x:c>
      <x:c r="C3505" t="str">
        <x:v>Parent indépendant 1.58</x:v>
      </x:c>
      <x:c r="D3505" t="str">
        <x:v>Administration et communauté</x:v>
      </x:c>
      <x:c r="E3505" t="str">
        <x:v>Centre de documentation des décisions communales</x:v>
      </x:c>
      <x:c r="F3505" t="n">
        <x:v>9</x:v>
      </x:c>
      <x:c r="G3505" t="n">
        <x:v>6</x:v>
      </x:c>
      <x:c r="H3505" t="n">
        <x:v>6</x:v>
      </x:c>
      <x:c r="I3505" t="str">
        <x:v>À qualifier par lieu</x:v>
      </x:c>
      <x:c r="J3505" t="str">
        <x:v>https://github.com/darknigthmare/deadwall-last-enclosure/blob/1b3b9c5ba232734b1bda3453b4e20a0481bcdd74/codex-3000/addendum-1.58/PROGRAMMES_B.json</x:v>
      </x:c>
      <x:c r="K3505" t="str">
        <x:v>Source min 34,28 m ; max 34,28 m ; modèle 34 × 28 m ; niveaux 0, 1. Détails dans catalogue-existant.json.</x:v>
      </x:c>
    </x:row>
    <x:row r="3506">
      <x:c r="A3506" t="str">
        <x:v>DW-3501</x:v>
      </x:c>
      <x:c r="B3506" t="str">
        <x:v>DW-3501</x:v>
      </x:c>
      <x:c r="C3506" t="str">
        <x:v>Parent indépendant 1.58</x:v>
      </x:c>
      <x:c r="D3506" t="str">
        <x:v>Industrie et production</x:v>
      </x:c>
      <x:c r="E3506" t="str">
        <x:v>Atelier de redressage de châssis agricoles</x:v>
      </x:c>
      <x:c r="F3506" t="n">
        <x:v>9</x:v>
      </x:c>
      <x:c r="G3506" t="n">
        <x:v>8</x:v>
      </x:c>
      <x:c r="H3506" t="n">
        <x:v>8</x:v>
      </x:c>
      <x:c r="I3506" t="str">
        <x:v>À qualifier par lieu</x:v>
      </x:c>
      <x:c r="J3506" t="str">
        <x:v>https://github.com/darknigthmare/deadwall-last-enclosure/blob/1b3b9c5ba232734b1bda3453b4e20a0481bcdd74/codex-3000/addendum-1.58/PROGRAMMES_C.json</x:v>
      </x:c>
      <x:c r="K3506" t="str">
        <x:v>Source min 40,36 m ; max 40,36 m ; modèle 40 × 36 m ; niveaux 0. Détails dans catalogue-existant.json.</x:v>
      </x:c>
    </x:row>
    <x:row r="3507">
      <x:c r="A3507" t="str">
        <x:v>DW-3502</x:v>
      </x:c>
      <x:c r="B3507" t="str">
        <x:v>DW-3502</x:v>
      </x:c>
      <x:c r="C3507" t="str">
        <x:v>Parent indépendant 1.58</x:v>
      </x:c>
      <x:c r="D3507" t="str">
        <x:v>Industrie et production</x:v>
      </x:c>
      <x:c r="E3507" t="str">
        <x:v>Forge de ferrures de clôture</x:v>
      </x:c>
      <x:c r="F3507" t="n">
        <x:v>9</x:v>
      </x:c>
      <x:c r="G3507" t="n">
        <x:v>8</x:v>
      </x:c>
      <x:c r="H3507" t="n">
        <x:v>8</x:v>
      </x:c>
      <x:c r="I3507" t="str">
        <x:v>À qualifier par lieu</x:v>
      </x:c>
      <x:c r="J3507" t="str">
        <x:v>https://github.com/darknigthmare/deadwall-last-enclosure/blob/1b3b9c5ba232734b1bda3453b4e20a0481bcdd74/codex-3000/addendum-1.58/PROGRAMMES_C.json</x:v>
      </x:c>
      <x:c r="K3507" t="str">
        <x:v>Source min 45,36 m ; max 45,36 m ; modèle 45 × 36 m ; niveaux 0. Détails dans catalogue-existant.json.</x:v>
      </x:c>
    </x:row>
    <x:row r="3508">
      <x:c r="A3508" t="str">
        <x:v>DW-3503</x:v>
      </x:c>
      <x:c r="B3508" t="str">
        <x:v>DW-3503</x:v>
      </x:c>
      <x:c r="C3508" t="str">
        <x:v>Parent indépendant 1.58</x:v>
      </x:c>
      <x:c r="D3508" t="str">
        <x:v>Industrie et production</x:v>
      </x:c>
      <x:c r="E3508" t="str">
        <x:v>Manufacture de ressorts mécaniques</x:v>
      </x:c>
      <x:c r="F3508" t="n">
        <x:v>9</x:v>
      </x:c>
      <x:c r="G3508" t="n">
        <x:v>8</x:v>
      </x:c>
      <x:c r="H3508" t="n">
        <x:v>8</x:v>
      </x:c>
      <x:c r="I3508" t="str">
        <x:v>À qualifier par lieu</x:v>
      </x:c>
      <x:c r="J3508" t="str">
        <x:v>https://github.com/darknigthmare/deadwall-last-enclosure/blob/1b3b9c5ba232734b1bda3453b4e20a0481bcdd74/codex-3000/addendum-1.58/PROGRAMMES_C.json</x:v>
      </x:c>
      <x:c r="K3508" t="str">
        <x:v>Source min 50,30 m ; max 50,30 m ; modèle 50 × 30 m ; niveaux 0, 1. Détails dans catalogue-existant.json.</x:v>
      </x:c>
    </x:row>
    <x:row r="3509">
      <x:c r="A3509" t="str">
        <x:v>DW-3504</x:v>
      </x:c>
      <x:c r="B3509" t="str">
        <x:v>DW-3504</x:v>
      </x:c>
      <x:c r="C3509" t="str">
        <x:v>Parent indépendant 1.58</x:v>
      </x:c>
      <x:c r="D3509" t="str">
        <x:v>Industrie et production</x:v>
      </x:c>
      <x:c r="E3509" t="str">
        <x:v>Atelier de roulements reconditionnés</x:v>
      </x:c>
      <x:c r="F3509" t="n">
        <x:v>9</x:v>
      </x:c>
      <x:c r="G3509" t="n">
        <x:v>8</x:v>
      </x:c>
      <x:c r="H3509" t="n">
        <x:v>8</x:v>
      </x:c>
      <x:c r="I3509" t="str">
        <x:v>À qualifier par lieu</x:v>
      </x:c>
      <x:c r="J3509" t="str">
        <x:v>https://github.com/darknigthmare/deadwall-last-enclosure/blob/1b3b9c5ba232734b1bda3453b4e20a0481bcdd74/codex-3000/addendum-1.58/PROGRAMMES_C.json</x:v>
      </x:c>
      <x:c r="K3509" t="str">
        <x:v>Source min 55,36 m ; max 55,36 m ; modèle 55 × 36 m ; niveaux 0. Détails dans catalogue-existant.json.</x:v>
      </x:c>
    </x:row>
    <x:row r="3510">
      <x:c r="A3510" t="str">
        <x:v>DW-3505</x:v>
      </x:c>
      <x:c r="B3510" t="str">
        <x:v>DW-3505</x:v>
      </x:c>
      <x:c r="C3510" t="str">
        <x:v>Parent indépendant 1.58</x:v>
      </x:c>
      <x:c r="D3510" t="str">
        <x:v>Industrie et production</x:v>
      </x:c>
      <x:c r="E3510" t="str">
        <x:v>Halle de galvanisation à froid</x:v>
      </x:c>
      <x:c r="F3510" t="n">
        <x:v>9</x:v>
      </x:c>
      <x:c r="G3510" t="n">
        <x:v>8</x:v>
      </x:c>
      <x:c r="H3510" t="n">
        <x:v>8</x:v>
      </x:c>
      <x:c r="I3510" t="str">
        <x:v>À qualifier par lieu</x:v>
      </x:c>
      <x:c r="J3510" t="str">
        <x:v>https://github.com/darknigthmare/deadwall-last-enclosure/blob/1b3b9c5ba232734b1bda3453b4e20a0481bcdd74/codex-3000/addendum-1.58/PROGRAMMES_C.json</x:v>
      </x:c>
      <x:c r="K3510" t="str">
        <x:v>Source min 60,36 m ; max 60,36 m ; modèle 60 × 36 m ; niveaux 0. Détails dans catalogue-existant.json.</x:v>
      </x:c>
    </x:row>
    <x:row r="3511">
      <x:c r="A3511" t="str">
        <x:v>DW-3506</x:v>
      </x:c>
      <x:c r="B3511" t="str">
        <x:v>DW-3506</x:v>
      </x:c>
      <x:c r="C3511" t="str">
        <x:v>Parent indépendant 1.58</x:v>
      </x:c>
      <x:c r="D3511" t="str">
        <x:v>Industrie et production</x:v>
      </x:c>
      <x:c r="E3511" t="str">
        <x:v>Atelier de tuyauterie cintrée</x:v>
      </x:c>
      <x:c r="F3511" t="n">
        <x:v>9</x:v>
      </x:c>
      <x:c r="G3511" t="n">
        <x:v>8</x:v>
      </x:c>
      <x:c r="H3511" t="n">
        <x:v>8</x:v>
      </x:c>
      <x:c r="I3511" t="str">
        <x:v>À qualifier par lieu</x:v>
      </x:c>
      <x:c r="J3511" t="str">
        <x:v>https://github.com/darknigthmare/deadwall-last-enclosure/blob/1b3b9c5ba232734b1bda3453b4e20a0481bcdd74/codex-3000/addendum-1.58/PROGRAMMES_C.json</x:v>
      </x:c>
      <x:c r="K3511" t="str">
        <x:v>Source min 40,40 m ; max 40,40 m ; modèle 40 × 40 m ; niveaux 0. Détails dans catalogue-existant.json.</x:v>
      </x:c>
    </x:row>
    <x:row r="3512">
      <x:c r="A3512" t="str">
        <x:v>DW-3507</x:v>
      </x:c>
      <x:c r="B3512" t="str">
        <x:v>DW-3507</x:v>
      </x:c>
      <x:c r="C3512" t="str">
        <x:v>Parent indépendant 1.58</x:v>
      </x:c>
      <x:c r="D3512" t="str">
        <x:v>Industrie et production</x:v>
      </x:c>
      <x:c r="E3512" t="str">
        <x:v>Manufacture de vannes manuelles</x:v>
      </x:c>
      <x:c r="F3512" t="n">
        <x:v>9</x:v>
      </x:c>
      <x:c r="G3512" t="n">
        <x:v>8</x:v>
      </x:c>
      <x:c r="H3512" t="n">
        <x:v>8</x:v>
      </x:c>
      <x:c r="I3512" t="str">
        <x:v>À qualifier par lieu</x:v>
      </x:c>
      <x:c r="J3512" t="str">
        <x:v>https://github.com/darknigthmare/deadwall-last-enclosure/blob/1b3b9c5ba232734b1bda3453b4e20a0481bcdd74/codex-3000/addendum-1.58/PROGRAMMES_C.json</x:v>
      </x:c>
      <x:c r="K3512" t="str">
        <x:v>Source min 45,40 m ; max 45,40 m ; modèle 45 × 40 m ; niveaux 0. Détails dans catalogue-existant.json.</x:v>
      </x:c>
    </x:row>
    <x:row r="3513">
      <x:c r="A3513" t="str">
        <x:v>DW-3508</x:v>
      </x:c>
      <x:c r="B3513" t="str">
        <x:v>DW-3508</x:v>
      </x:c>
      <x:c r="C3513" t="str">
        <x:v>Parent indépendant 1.58</x:v>
      </x:c>
      <x:c r="D3513" t="str">
        <x:v>Industrie et production</x:v>
      </x:c>
      <x:c r="E3513" t="str">
        <x:v>Atelier de chaînes de transmission</x:v>
      </x:c>
      <x:c r="F3513" t="n">
        <x:v>9</x:v>
      </x:c>
      <x:c r="G3513" t="n">
        <x:v>8</x:v>
      </x:c>
      <x:c r="H3513" t="n">
        <x:v>8</x:v>
      </x:c>
      <x:c r="I3513" t="str">
        <x:v>À qualifier par lieu</x:v>
      </x:c>
      <x:c r="J3513" t="str">
        <x:v>https://github.com/darknigthmare/deadwall-last-enclosure/blob/1b3b9c5ba232734b1bda3453b4e20a0481bcdd74/codex-3000/addendum-1.58/PROGRAMMES_C.json</x:v>
      </x:c>
      <x:c r="K3513" t="str">
        <x:v>Source min 50,34 m ; max 50,34 m ; modèle 50 × 34 m ; niveaux 0, 1. Détails dans catalogue-existant.json.</x:v>
      </x:c>
    </x:row>
    <x:row r="3514">
      <x:c r="A3514" t="str">
        <x:v>DW-3509</x:v>
      </x:c>
      <x:c r="B3514" t="str">
        <x:v>DW-3509</x:v>
      </x:c>
      <x:c r="C3514" t="str">
        <x:v>Parent indépendant 1.58</x:v>
      </x:c>
      <x:c r="D3514" t="str">
        <x:v>Industrie et production</x:v>
      </x:c>
      <x:c r="E3514" t="str">
        <x:v>Atelier de lames de scie</x:v>
      </x:c>
      <x:c r="F3514" t="n">
        <x:v>9</x:v>
      </x:c>
      <x:c r="G3514" t="n">
        <x:v>8</x:v>
      </x:c>
      <x:c r="H3514" t="n">
        <x:v>8</x:v>
      </x:c>
      <x:c r="I3514" t="str">
        <x:v>À qualifier par lieu</x:v>
      </x:c>
      <x:c r="J3514" t="str">
        <x:v>https://github.com/darknigthmare/deadwall-last-enclosure/blob/1b3b9c5ba232734b1bda3453b4e20a0481bcdd74/codex-3000/addendum-1.58/PROGRAMMES_C.json</x:v>
      </x:c>
      <x:c r="K3514" t="str">
        <x:v>Source min 55,40 m ; max 55,40 m ; modèle 55 × 40 m ; niveaux 0. Détails dans catalogue-existant.json.</x:v>
      </x:c>
    </x:row>
    <x:row r="3515">
      <x:c r="A3515" t="str">
        <x:v>DW-3510</x:v>
      </x:c>
      <x:c r="B3515" t="str">
        <x:v>DW-3510</x:v>
      </x:c>
      <x:c r="C3515" t="str">
        <x:v>Parent indépendant 1.58</x:v>
      </x:c>
      <x:c r="D3515" t="str">
        <x:v>Industrie et production</x:v>
      </x:c>
      <x:c r="E3515" t="str">
        <x:v>Atelier de poinçons d'emboutissage</x:v>
      </x:c>
      <x:c r="F3515" t="n">
        <x:v>9</x:v>
      </x:c>
      <x:c r="G3515" t="n">
        <x:v>8</x:v>
      </x:c>
      <x:c r="H3515" t="n">
        <x:v>8</x:v>
      </x:c>
      <x:c r="I3515" t="str">
        <x:v>À qualifier par lieu</x:v>
      </x:c>
      <x:c r="J3515" t="str">
        <x:v>https://github.com/darknigthmare/deadwall-last-enclosure/blob/1b3b9c5ba232734b1bda3453b4e20a0481bcdd74/codex-3000/addendum-1.58/PROGRAMMES_C.json</x:v>
      </x:c>
      <x:c r="K3515" t="str">
        <x:v>Source min 60,40 m ; max 60,40 m ; modèle 60 × 40 m ; niveaux 0. Détails dans catalogue-existant.json.</x:v>
      </x:c>
    </x:row>
    <x:row r="3516">
      <x:c r="A3516" t="str">
        <x:v>DW-3511</x:v>
      </x:c>
      <x:c r="B3516" t="str">
        <x:v>DW-3511</x:v>
      </x:c>
      <x:c r="C3516" t="str">
        <x:v>Parent indépendant 1.58</x:v>
      </x:c>
      <x:c r="D3516" t="str">
        <x:v>Industrie et production</x:v>
      </x:c>
      <x:c r="E3516" t="str">
        <x:v>Atelier de grilles de ventilation</x:v>
      </x:c>
      <x:c r="F3516" t="n">
        <x:v>9</x:v>
      </x:c>
      <x:c r="G3516" t="n">
        <x:v>8</x:v>
      </x:c>
      <x:c r="H3516" t="n">
        <x:v>8</x:v>
      </x:c>
      <x:c r="I3516" t="str">
        <x:v>À qualifier par lieu</x:v>
      </x:c>
      <x:c r="J3516" t="str">
        <x:v>https://github.com/darknigthmare/deadwall-last-enclosure/blob/1b3b9c5ba232734b1bda3453b4e20a0481bcdd74/codex-3000/addendum-1.58/PROGRAMMES_C.json</x:v>
      </x:c>
      <x:c r="K3516" t="str">
        <x:v>Source min 40,44 m ; max 40,44 m ; modèle 40 × 44 m ; niveaux 0. Détails dans catalogue-existant.json.</x:v>
      </x:c>
    </x:row>
    <x:row r="3517">
      <x:c r="A3517" t="str">
        <x:v>DW-3512</x:v>
      </x:c>
      <x:c r="B3517" t="str">
        <x:v>DW-3512</x:v>
      </x:c>
      <x:c r="C3517" t="str">
        <x:v>Parent indépendant 1.58</x:v>
      </x:c>
      <x:c r="D3517" t="str">
        <x:v>Industrie et production</x:v>
      </x:c>
      <x:c r="E3517" t="str">
        <x:v>Fabrique de rivets et entretoises</x:v>
      </x:c>
      <x:c r="F3517" t="n">
        <x:v>9</x:v>
      </x:c>
      <x:c r="G3517" t="n">
        <x:v>8</x:v>
      </x:c>
      <x:c r="H3517" t="n">
        <x:v>8</x:v>
      </x:c>
      <x:c r="I3517" t="str">
        <x:v>À qualifier par lieu</x:v>
      </x:c>
      <x:c r="J3517" t="str">
        <x:v>https://github.com/darknigthmare/deadwall-last-enclosure/blob/1b3b9c5ba232734b1bda3453b4e20a0481bcdd74/codex-3000/addendum-1.58/PROGRAMMES_C.json</x:v>
      </x:c>
      <x:c r="K3517" t="str">
        <x:v>Source min 45,44 m ; max 45,44 m ; modèle 45 × 44 m ; niveaux 0. Détails dans catalogue-existant.json.</x:v>
      </x:c>
    </x:row>
    <x:row r="3518">
      <x:c r="A3518" t="str">
        <x:v>DW-3513</x:v>
      </x:c>
      <x:c r="B3518" t="str">
        <x:v>DW-3513</x:v>
      </x:c>
      <x:c r="C3518" t="str">
        <x:v>Parent indépendant 1.58</x:v>
      </x:c>
      <x:c r="D3518" t="str">
        <x:v>Industrie et production</x:v>
      </x:c>
      <x:c r="E3518" t="str">
        <x:v>Atelier de balances mécaniques</x:v>
      </x:c>
      <x:c r="F3518" t="n">
        <x:v>9</x:v>
      </x:c>
      <x:c r="G3518" t="n">
        <x:v>8</x:v>
      </x:c>
      <x:c r="H3518" t="n">
        <x:v>8</x:v>
      </x:c>
      <x:c r="I3518" t="str">
        <x:v>À qualifier par lieu</x:v>
      </x:c>
      <x:c r="J3518" t="str">
        <x:v>https://github.com/darknigthmare/deadwall-last-enclosure/blob/1b3b9c5ba232734b1bda3453b4e20a0481bcdd74/codex-3000/addendum-1.58/PROGRAMMES_C.json</x:v>
      </x:c>
      <x:c r="K3518" t="str">
        <x:v>Source min 50,38 m ; max 50,38 m ; modèle 50 × 38 m ; niveaux 0, 1. Détails dans catalogue-existant.json.</x:v>
      </x:c>
    </x:row>
    <x:row r="3519">
      <x:c r="A3519" t="str">
        <x:v>DW-3514</x:v>
      </x:c>
      <x:c r="B3519" t="str">
        <x:v>DW-3514</x:v>
      </x:c>
      <x:c r="C3519" t="str">
        <x:v>Parent indépendant 1.58</x:v>
      </x:c>
      <x:c r="D3519" t="str">
        <x:v>Industrie et production</x:v>
      </x:c>
      <x:c r="E3519" t="str">
        <x:v>Atelier de serrures à clés</x:v>
      </x:c>
      <x:c r="F3519" t="n">
        <x:v>9</x:v>
      </x:c>
      <x:c r="G3519" t="n">
        <x:v>8</x:v>
      </x:c>
      <x:c r="H3519" t="n">
        <x:v>8</x:v>
      </x:c>
      <x:c r="I3519" t="str">
        <x:v>À qualifier par lieu</x:v>
      </x:c>
      <x:c r="J3519" t="str">
        <x:v>https://github.com/darknigthmare/deadwall-last-enclosure/blob/1b3b9c5ba232734b1bda3453b4e20a0481bcdd74/codex-3000/addendum-1.58/PROGRAMMES_C.json</x:v>
      </x:c>
      <x:c r="K3519" t="str">
        <x:v>Source min 55,44 m ; max 55,44 m ; modèle 55 × 44 m ; niveaux 0. Détails dans catalogue-existant.json.</x:v>
      </x:c>
    </x:row>
    <x:row r="3520">
      <x:c r="A3520" t="str">
        <x:v>DW-3515</x:v>
      </x:c>
      <x:c r="B3520" t="str">
        <x:v>DW-3515</x:v>
      </x:c>
      <x:c r="C3520" t="str">
        <x:v>Parent indépendant 1.58</x:v>
      </x:c>
      <x:c r="D3520" t="str">
        <x:v>Industrie et production</x:v>
      </x:c>
      <x:c r="E3520" t="str">
        <x:v>Halle de contrôle des cordons soudés</x:v>
      </x:c>
      <x:c r="F3520" t="n">
        <x:v>9</x:v>
      </x:c>
      <x:c r="G3520" t="n">
        <x:v>8</x:v>
      </x:c>
      <x:c r="H3520" t="n">
        <x:v>8</x:v>
      </x:c>
      <x:c r="I3520" t="str">
        <x:v>À qualifier par lieu</x:v>
      </x:c>
      <x:c r="J3520" t="str">
        <x:v>https://github.com/darknigthmare/deadwall-last-enclosure/blob/1b3b9c5ba232734b1bda3453b4e20a0481bcdd74/codex-3000/addendum-1.58/PROGRAMMES_C.json</x:v>
      </x:c>
      <x:c r="K3520" t="str">
        <x:v>Source min 60,44 m ; max 60,44 m ; modèle 60 × 44 m ; niveaux 0. Détails dans catalogue-existant.json.</x:v>
      </x:c>
    </x:row>
    <x:row r="3521">
      <x:c r="A3521" t="str">
        <x:v>DW-3516</x:v>
      </x:c>
      <x:c r="B3521" t="str">
        <x:v>DW-3516</x:v>
      </x:c>
      <x:c r="C3521" t="str">
        <x:v>Parent indépendant 1.58</x:v>
      </x:c>
      <x:c r="D3521" t="str">
        <x:v>Industrie et production</x:v>
      </x:c>
      <x:c r="E3521" t="str">
        <x:v>Atelier de pompes à piston</x:v>
      </x:c>
      <x:c r="F3521" t="n">
        <x:v>9</x:v>
      </x:c>
      <x:c r="G3521" t="n">
        <x:v>8</x:v>
      </x:c>
      <x:c r="H3521" t="n">
        <x:v>8</x:v>
      </x:c>
      <x:c r="I3521" t="str">
        <x:v>À qualifier par lieu</x:v>
      </x:c>
      <x:c r="J3521" t="str">
        <x:v>https://github.com/darknigthmare/deadwall-last-enclosure/blob/1b3b9c5ba232734b1bda3453b4e20a0481bcdd74/codex-3000/addendum-1.58/PROGRAMMES_C.json</x:v>
      </x:c>
      <x:c r="K3521" t="str">
        <x:v>Source min 40,48 m ; max 40,48 m ; modèle 40 × 48 m ; niveaux 0. Détails dans catalogue-existant.json.</x:v>
      </x:c>
    </x:row>
    <x:row r="3522">
      <x:c r="A3522" t="str">
        <x:v>DW-3517</x:v>
      </x:c>
      <x:c r="B3522" t="str">
        <x:v>DW-3517</x:v>
      </x:c>
      <x:c r="C3522" t="str">
        <x:v>Parent indépendant 1.58</x:v>
      </x:c>
      <x:c r="D3522" t="str">
        <x:v>Industrie et production</x:v>
      </x:c>
      <x:c r="E3522" t="str">
        <x:v>Atelier de compresseurs à courroie</x:v>
      </x:c>
      <x:c r="F3522" t="n">
        <x:v>9</x:v>
      </x:c>
      <x:c r="G3522" t="n">
        <x:v>8</x:v>
      </x:c>
      <x:c r="H3522" t="n">
        <x:v>8</x:v>
      </x:c>
      <x:c r="I3522" t="str">
        <x:v>À qualifier par lieu</x:v>
      </x:c>
      <x:c r="J3522" t="str">
        <x:v>https://github.com/darknigthmare/deadwall-last-enclosure/blob/1b3b9c5ba232734b1bda3453b4e20a0481bcdd74/codex-3000/addendum-1.58/PROGRAMMES_C.json</x:v>
      </x:c>
      <x:c r="K3522" t="str">
        <x:v>Source min 45,48 m ; max 45,48 m ; modèle 45 × 48 m ; niveaux 0. Détails dans catalogue-existant.json.</x:v>
      </x:c>
    </x:row>
    <x:row r="3523">
      <x:c r="A3523" t="str">
        <x:v>DW-3518</x:v>
      </x:c>
      <x:c r="B3523" t="str">
        <x:v>DW-3518</x:v>
      </x:c>
      <x:c r="C3523" t="str">
        <x:v>Parent indépendant 1.58</x:v>
      </x:c>
      <x:c r="D3523" t="str">
        <x:v>Industrie et production</x:v>
      </x:c>
      <x:c r="E3523" t="str">
        <x:v>Manufacture de poignées métalliques</x:v>
      </x:c>
      <x:c r="F3523" t="n">
        <x:v>9</x:v>
      </x:c>
      <x:c r="G3523" t="n">
        <x:v>8</x:v>
      </x:c>
      <x:c r="H3523" t="n">
        <x:v>8</x:v>
      </x:c>
      <x:c r="I3523" t="str">
        <x:v>À qualifier par lieu</x:v>
      </x:c>
      <x:c r="J3523" t="str">
        <x:v>https://github.com/darknigthmare/deadwall-last-enclosure/blob/1b3b9c5ba232734b1bda3453b4e20a0481bcdd74/codex-3000/addendum-1.58/PROGRAMMES_C.json</x:v>
      </x:c>
      <x:c r="K3523" t="str">
        <x:v>Source min 50,42 m ; max 50,42 m ; modèle 50 × 42 m ; niveaux 0, 1. Détails dans catalogue-existant.json.</x:v>
      </x:c>
    </x:row>
    <x:row r="3524">
      <x:c r="A3524" t="str">
        <x:v>DW-3519</x:v>
      </x:c>
      <x:c r="B3524" t="str">
        <x:v>DW-3519</x:v>
      </x:c>
      <x:c r="C3524" t="str">
        <x:v>Parent indépendant 1.58</x:v>
      </x:c>
      <x:c r="D3524" t="str">
        <x:v>Industrie et production</x:v>
      </x:c>
      <x:c r="E3524" t="str">
        <x:v>Atelier de cages de sécurité</x:v>
      </x:c>
      <x:c r="F3524" t="n">
        <x:v>9</x:v>
      </x:c>
      <x:c r="G3524" t="n">
        <x:v>8</x:v>
      </x:c>
      <x:c r="H3524" t="n">
        <x:v>8</x:v>
      </x:c>
      <x:c r="I3524" t="str">
        <x:v>À qualifier par lieu</x:v>
      </x:c>
      <x:c r="J3524" t="str">
        <x:v>https://github.com/darknigthmare/deadwall-last-enclosure/blob/1b3b9c5ba232734b1bda3453b4e20a0481bcdd74/codex-3000/addendum-1.58/PROGRAMMES_C.json</x:v>
      </x:c>
      <x:c r="K3524" t="str">
        <x:v>Source min 55,48 m ; max 55,48 m ; modèle 55 × 48 m ; niveaux 0. Détails dans catalogue-existant.json.</x:v>
      </x:c>
    </x:row>
    <x:row r="3525">
      <x:c r="A3525" t="str">
        <x:v>DW-3520</x:v>
      </x:c>
      <x:c r="B3525" t="str">
        <x:v>DW-3520</x:v>
      </x:c>
      <x:c r="C3525" t="str">
        <x:v>Parent indépendant 1.58</x:v>
      </x:c>
      <x:c r="D3525" t="str">
        <x:v>Industrie et production</x:v>
      </x:c>
      <x:c r="E3525" t="str">
        <x:v>Atelier de réparations de treuils</x:v>
      </x:c>
      <x:c r="F3525" t="n">
        <x:v>9</x:v>
      </x:c>
      <x:c r="G3525" t="n">
        <x:v>8</x:v>
      </x:c>
      <x:c r="H3525" t="n">
        <x:v>8</x:v>
      </x:c>
      <x:c r="I3525" t="str">
        <x:v>À qualifier par lieu</x:v>
      </x:c>
      <x:c r="J3525" t="str">
        <x:v>https://github.com/darknigthmare/deadwall-last-enclosure/blob/1b3b9c5ba232734b1bda3453b4e20a0481bcdd74/codex-3000/addendum-1.58/PROGRAMMES_C.json</x:v>
      </x:c>
      <x:c r="K3525" t="str">
        <x:v>Source min 60,48 m ; max 60,48 m ; modèle 60 × 48 m ; niveaux 0. Détails dans catalogue-existant.json.</x:v>
      </x:c>
    </x:row>
    <x:row r="3526">
      <x:c r="A3526" t="str">
        <x:v>DW-3521</x:v>
      </x:c>
      <x:c r="B3526" t="str">
        <x:v>DW-3521</x:v>
      </x:c>
      <x:c r="C3526" t="str">
        <x:v>Parent indépendant 1.58</x:v>
      </x:c>
      <x:c r="D3526" t="str">
        <x:v>Industrie et production</x:v>
      </x:c>
      <x:c r="E3526" t="str">
        <x:v>Manufacture de joints découpés</x:v>
      </x:c>
      <x:c r="F3526" t="n">
        <x:v>9</x:v>
      </x:c>
      <x:c r="G3526" t="n">
        <x:v>8</x:v>
      </x:c>
      <x:c r="H3526" t="n">
        <x:v>8</x:v>
      </x:c>
      <x:c r="I3526" t="str">
        <x:v>À qualifier par lieu</x:v>
      </x:c>
      <x:c r="J3526" t="str">
        <x:v>https://github.com/darknigthmare/deadwall-last-enclosure/blob/1b3b9c5ba232734b1bda3453b4e20a0481bcdd74/codex-3000/addendum-1.58/PROGRAMMES_C.json</x:v>
      </x:c>
      <x:c r="K3526" t="str">
        <x:v>Source min 40,36 m ; max 40,36 m ; modèle 40 × 36 m ; niveaux 0. Détails dans catalogue-existant.json.</x:v>
      </x:c>
    </x:row>
    <x:row r="3527">
      <x:c r="A3527" t="str">
        <x:v>DW-3522</x:v>
      </x:c>
      <x:c r="B3527" t="str">
        <x:v>DW-3522</x:v>
      </x:c>
      <x:c r="C3527" t="str">
        <x:v>Parent indépendant 1.58</x:v>
      </x:c>
      <x:c r="D3527" t="str">
        <x:v>Industrie et production</x:v>
      </x:c>
      <x:c r="E3527" t="str">
        <x:v>Atelier de gaines textiles techniques</x:v>
      </x:c>
      <x:c r="F3527" t="n">
        <x:v>9</x:v>
      </x:c>
      <x:c r="G3527" t="n">
        <x:v>8</x:v>
      </x:c>
      <x:c r="H3527" t="n">
        <x:v>8</x:v>
      </x:c>
      <x:c r="I3527" t="str">
        <x:v>À qualifier par lieu</x:v>
      </x:c>
      <x:c r="J3527" t="str">
        <x:v>https://github.com/darknigthmare/deadwall-last-enclosure/blob/1b3b9c5ba232734b1bda3453b4e20a0481bcdd74/codex-3000/addendum-1.58/PROGRAMMES_C.json</x:v>
      </x:c>
      <x:c r="K3527" t="str">
        <x:v>Source min 45,36 m ; max 45,36 m ; modèle 45 × 36 m ; niveaux 0. Détails dans catalogue-existant.json.</x:v>
      </x:c>
    </x:row>
    <x:row r="3528">
      <x:c r="A3528" t="str">
        <x:v>DW-3523</x:v>
      </x:c>
      <x:c r="B3528" t="str">
        <x:v>DW-3523</x:v>
      </x:c>
      <x:c r="C3528" t="str">
        <x:v>Parent indépendant 1.58</x:v>
      </x:c>
      <x:c r="D3528" t="str">
        <x:v>Industrie et production</x:v>
      </x:c>
      <x:c r="E3528" t="str">
        <x:v>Atelier de filtres de ventilation</x:v>
      </x:c>
      <x:c r="F3528" t="n">
        <x:v>9</x:v>
      </x:c>
      <x:c r="G3528" t="n">
        <x:v>8</x:v>
      </x:c>
      <x:c r="H3528" t="n">
        <x:v>8</x:v>
      </x:c>
      <x:c r="I3528" t="str">
        <x:v>À qualifier par lieu</x:v>
      </x:c>
      <x:c r="J3528" t="str">
        <x:v>https://github.com/darknigthmare/deadwall-last-enclosure/blob/1b3b9c5ba232734b1bda3453b4e20a0481bcdd74/codex-3000/addendum-1.58/PROGRAMMES_C.json</x:v>
      </x:c>
      <x:c r="K3528" t="str">
        <x:v>Source min 50,30 m ; max 50,30 m ; modèle 50 × 30 m ; niveaux 0, 1. Détails dans catalogue-existant.json.</x:v>
      </x:c>
    </x:row>
    <x:row r="3529">
      <x:c r="A3529" t="str">
        <x:v>DW-3524</x:v>
      </x:c>
      <x:c r="B3529" t="str">
        <x:v>DW-3524</x:v>
      </x:c>
      <x:c r="C3529" t="str">
        <x:v>Parent indépendant 1.58</x:v>
      </x:c>
      <x:c r="D3529" t="str">
        <x:v>Industrie et production</x:v>
      </x:c>
      <x:c r="E3529" t="str">
        <x:v>Fabrique de courroies cousues</x:v>
      </x:c>
      <x:c r="F3529" t="n">
        <x:v>9</x:v>
      </x:c>
      <x:c r="G3529" t="n">
        <x:v>8</x:v>
      </x:c>
      <x:c r="H3529" t="n">
        <x:v>8</x:v>
      </x:c>
      <x:c r="I3529" t="str">
        <x:v>À qualifier par lieu</x:v>
      </x:c>
      <x:c r="J3529" t="str">
        <x:v>https://github.com/darknigthmare/deadwall-last-enclosure/blob/1b3b9c5ba232734b1bda3453b4e20a0481bcdd74/codex-3000/addendum-1.58/PROGRAMMES_C.json</x:v>
      </x:c>
      <x:c r="K3529" t="str">
        <x:v>Source min 55,36 m ; max 55,36 m ; modèle 55 × 36 m ; niveaux 0. Détails dans catalogue-existant.json.</x:v>
      </x:c>
    </x:row>
    <x:row r="3530">
      <x:c r="A3530" t="str">
        <x:v>DW-3525</x:v>
      </x:c>
      <x:c r="B3530" t="str">
        <x:v>DW-3525</x:v>
      </x:c>
      <x:c r="C3530" t="str">
        <x:v>Parent indépendant 1.58</x:v>
      </x:c>
      <x:c r="D3530" t="str">
        <x:v>Industrie et production</x:v>
      </x:c>
      <x:c r="E3530" t="str">
        <x:v>Atelier de bâches de camion</x:v>
      </x:c>
      <x:c r="F3530" t="n">
        <x:v>9</x:v>
      </x:c>
      <x:c r="G3530" t="n">
        <x:v>8</x:v>
      </x:c>
      <x:c r="H3530" t="n">
        <x:v>8</x:v>
      </x:c>
      <x:c r="I3530" t="str">
        <x:v>À qualifier par lieu</x:v>
      </x:c>
      <x:c r="J3530" t="str">
        <x:v>https://github.com/darknigthmare/deadwall-last-enclosure/blob/1b3b9c5ba232734b1bda3453b4e20a0481bcdd74/codex-3000/addendum-1.58/PROGRAMMES_C.json</x:v>
      </x:c>
      <x:c r="K3530" t="str">
        <x:v>Source min 60,36 m ; max 60,36 m ; modèle 60 × 36 m ; niveaux 0. Détails dans catalogue-existant.json.</x:v>
      </x:c>
    </x:row>
    <x:row r="3531">
      <x:c r="A3531" t="str">
        <x:v>DW-3526</x:v>
      </x:c>
      <x:c r="B3531" t="str">
        <x:v>DW-3526</x:v>
      </x:c>
      <x:c r="C3531" t="str">
        <x:v>Parent indépendant 1.58</x:v>
      </x:c>
      <x:c r="D3531" t="str">
        <x:v>Industrie et production</x:v>
      </x:c>
      <x:c r="E3531" t="str">
        <x:v>Manufacture de filets de manutention</x:v>
      </x:c>
      <x:c r="F3531" t="n">
        <x:v>9</x:v>
      </x:c>
      <x:c r="G3531" t="n">
        <x:v>8</x:v>
      </x:c>
      <x:c r="H3531" t="n">
        <x:v>8</x:v>
      </x:c>
      <x:c r="I3531" t="str">
        <x:v>À qualifier par lieu</x:v>
      </x:c>
      <x:c r="J3531" t="str">
        <x:v>https://github.com/darknigthmare/deadwall-last-enclosure/blob/1b3b9c5ba232734b1bda3453b4e20a0481bcdd74/codex-3000/addendum-1.58/PROGRAMMES_C.json</x:v>
      </x:c>
      <x:c r="K3531" t="str">
        <x:v>Source min 40,40 m ; max 40,40 m ; modèle 40 × 40 m ; niveaux 0. Détails dans catalogue-existant.json.</x:v>
      </x:c>
    </x:row>
    <x:row r="3532">
      <x:c r="A3532" t="str">
        <x:v>DW-3527</x:v>
      </x:c>
      <x:c r="B3532" t="str">
        <x:v>DW-3527</x:v>
      </x:c>
      <x:c r="C3532" t="str">
        <x:v>Parent indépendant 1.58</x:v>
      </x:c>
      <x:c r="D3532" t="str">
        <x:v>Industrie et production</x:v>
      </x:c>
      <x:c r="E3532" t="str">
        <x:v>Atelier de sellerie utilitaire</x:v>
      </x:c>
      <x:c r="F3532" t="n">
        <x:v>9</x:v>
      </x:c>
      <x:c r="G3532" t="n">
        <x:v>8</x:v>
      </x:c>
      <x:c r="H3532" t="n">
        <x:v>8</x:v>
      </x:c>
      <x:c r="I3532" t="str">
        <x:v>À qualifier par lieu</x:v>
      </x:c>
      <x:c r="J3532" t="str">
        <x:v>https://github.com/darknigthmare/deadwall-last-enclosure/blob/1b3b9c5ba232734b1bda3453b4e20a0481bcdd74/codex-3000/addendum-1.58/PROGRAMMES_C.json</x:v>
      </x:c>
      <x:c r="K3532" t="str">
        <x:v>Source min 45,40 m ; max 45,40 m ; modèle 45 × 40 m ; niveaux 0. Détails dans catalogue-existant.json.</x:v>
      </x:c>
    </x:row>
    <x:row r="3533">
      <x:c r="A3533" t="str">
        <x:v>DW-3528</x:v>
      </x:c>
      <x:c r="B3533" t="str">
        <x:v>DW-3528</x:v>
      </x:c>
      <x:c r="C3533" t="str">
        <x:v>Parent indépendant 1.58</x:v>
      </x:c>
      <x:c r="D3533" t="str">
        <x:v>Industrie et production</x:v>
      </x:c>
      <x:c r="E3533" t="str">
        <x:v>Atelier de vêtements de soudage</x:v>
      </x:c>
      <x:c r="F3533" t="n">
        <x:v>9</x:v>
      </x:c>
      <x:c r="G3533" t="n">
        <x:v>8</x:v>
      </x:c>
      <x:c r="H3533" t="n">
        <x:v>8</x:v>
      </x:c>
      <x:c r="I3533" t="str">
        <x:v>À qualifier par lieu</x:v>
      </x:c>
      <x:c r="J3533" t="str">
        <x:v>https://github.com/darknigthmare/deadwall-last-enclosure/blob/1b3b9c5ba232734b1bda3453b4e20a0481bcdd74/codex-3000/addendum-1.58/PROGRAMMES_C.json</x:v>
      </x:c>
      <x:c r="K3533" t="str">
        <x:v>Source min 50,34 m ; max 50,34 m ; modèle 50 × 34 m ; niveaux 0, 1. Détails dans catalogue-existant.json.</x:v>
      </x:c>
    </x:row>
    <x:row r="3534">
      <x:c r="A3534" t="str">
        <x:v>DW-3529</x:v>
      </x:c>
      <x:c r="B3534" t="str">
        <x:v>DW-3529</x:v>
      </x:c>
      <x:c r="C3534" t="str">
        <x:v>Parent indépendant 1.58</x:v>
      </x:c>
      <x:c r="D3534" t="str">
        <x:v>Industrie et production</x:v>
      </x:c>
      <x:c r="E3534" t="str">
        <x:v>Fabrique de matelas de dortoir</x:v>
      </x:c>
      <x:c r="F3534" t="n">
        <x:v>9</x:v>
      </x:c>
      <x:c r="G3534" t="n">
        <x:v>8</x:v>
      </x:c>
      <x:c r="H3534" t="n">
        <x:v>8</x:v>
      </x:c>
      <x:c r="I3534" t="str">
        <x:v>À qualifier par lieu</x:v>
      </x:c>
      <x:c r="J3534" t="str">
        <x:v>https://github.com/darknigthmare/deadwall-last-enclosure/blob/1b3b9c5ba232734b1bda3453b4e20a0481bcdd74/codex-3000/addendum-1.58/PROGRAMMES_C.json</x:v>
      </x:c>
      <x:c r="K3534" t="str">
        <x:v>Source min 55,40 m ; max 55,40 m ; modèle 55 × 40 m ; niveaux 0. Détails dans catalogue-existant.json.</x:v>
      </x:c>
    </x:row>
    <x:row r="3535">
      <x:c r="A3535" t="str">
        <x:v>DW-3530</x:v>
      </x:c>
      <x:c r="B3535" t="str">
        <x:v>DW-3530</x:v>
      </x:c>
      <x:c r="C3535" t="str">
        <x:v>Parent indépendant 1.58</x:v>
      </x:c>
      <x:c r="D3535" t="str">
        <x:v>Industrie et production</x:v>
      </x:c>
      <x:c r="E3535" t="str">
        <x:v>Atelier de réparation de tentes</x:v>
      </x:c>
      <x:c r="F3535" t="n">
        <x:v>9</x:v>
      </x:c>
      <x:c r="G3535" t="n">
        <x:v>8</x:v>
      </x:c>
      <x:c r="H3535" t="n">
        <x:v>8</x:v>
      </x:c>
      <x:c r="I3535" t="str">
        <x:v>À qualifier par lieu</x:v>
      </x:c>
      <x:c r="J3535" t="str">
        <x:v>https://github.com/darknigthmare/deadwall-last-enclosure/blob/1b3b9c5ba232734b1bda3453b4e20a0481bcdd74/codex-3000/addendum-1.58/PROGRAMMES_C.json</x:v>
      </x:c>
      <x:c r="K3535" t="str">
        <x:v>Source min 60,40 m ; max 60,40 m ; modèle 60 × 40 m ; niveaux 0. Détails dans catalogue-existant.json.</x:v>
      </x:c>
    </x:row>
    <x:row r="3536">
      <x:c r="A3536" t="str">
        <x:v>DW-3531</x:v>
      </x:c>
      <x:c r="B3536" t="str">
        <x:v>DW-3531</x:v>
      </x:c>
      <x:c r="C3536" t="str">
        <x:v>Parent indépendant 1.58</x:v>
      </x:c>
      <x:c r="D3536" t="str">
        <x:v>Industrie et production</x:v>
      </x:c>
      <x:c r="E3536" t="str">
        <x:v>Atelier de cordages tressés</x:v>
      </x:c>
      <x:c r="F3536" t="n">
        <x:v>9</x:v>
      </x:c>
      <x:c r="G3536" t="n">
        <x:v>8</x:v>
      </x:c>
      <x:c r="H3536" t="n">
        <x:v>8</x:v>
      </x:c>
      <x:c r="I3536" t="str">
        <x:v>À qualifier par lieu</x:v>
      </x:c>
      <x:c r="J3536" t="str">
        <x:v>https://github.com/darknigthmare/deadwall-last-enclosure/blob/1b3b9c5ba232734b1bda3453b4e20a0481bcdd74/codex-3000/addendum-1.58/PROGRAMMES_C.json</x:v>
      </x:c>
      <x:c r="K3536" t="str">
        <x:v>Source min 40,44 m ; max 40,44 m ; modèle 40 × 44 m ; niveaux 0. Détails dans catalogue-existant.json.</x:v>
      </x:c>
    </x:row>
    <x:row r="3537">
      <x:c r="A3537" t="str">
        <x:v>DW-3532</x:v>
      </x:c>
      <x:c r="B3537" t="str">
        <x:v>DW-3532</x:v>
      </x:c>
      <x:c r="C3537" t="str">
        <x:v>Parent indépendant 1.58</x:v>
      </x:c>
      <x:c r="D3537" t="str">
        <x:v>Industrie et production</x:v>
      </x:c>
      <x:c r="E3537" t="str">
        <x:v>Manufacture de sacs de récolte</x:v>
      </x:c>
      <x:c r="F3537" t="n">
        <x:v>9</x:v>
      </x:c>
      <x:c r="G3537" t="n">
        <x:v>8</x:v>
      </x:c>
      <x:c r="H3537" t="n">
        <x:v>8</x:v>
      </x:c>
      <x:c r="I3537" t="str">
        <x:v>À qualifier par lieu</x:v>
      </x:c>
      <x:c r="J3537" t="str">
        <x:v>https://github.com/darknigthmare/deadwall-last-enclosure/blob/1b3b9c5ba232734b1bda3453b4e20a0481bcdd74/codex-3000/addendum-1.58/PROGRAMMES_C.json</x:v>
      </x:c>
      <x:c r="K3537" t="str">
        <x:v>Source min 45,44 m ; max 45,44 m ; modèle 45 × 44 m ; niveaux 0. Détails dans catalogue-existant.json.</x:v>
      </x:c>
    </x:row>
    <x:row r="3538">
      <x:c r="A3538" t="str">
        <x:v>DW-3533</x:v>
      </x:c>
      <x:c r="B3538" t="str">
        <x:v>DW-3533</x:v>
      </x:c>
      <x:c r="C3538" t="str">
        <x:v>Parent indépendant 1.58</x:v>
      </x:c>
      <x:c r="D3538" t="str">
        <x:v>Industrie et production</x:v>
      </x:c>
      <x:c r="E3538" t="str">
        <x:v>Atelier de feutres isolants</x:v>
      </x:c>
      <x:c r="F3538" t="n">
        <x:v>9</x:v>
      </x:c>
      <x:c r="G3538" t="n">
        <x:v>8</x:v>
      </x:c>
      <x:c r="H3538" t="n">
        <x:v>8</x:v>
      </x:c>
      <x:c r="I3538" t="str">
        <x:v>À qualifier par lieu</x:v>
      </x:c>
      <x:c r="J3538" t="str">
        <x:v>https://github.com/darknigthmare/deadwall-last-enclosure/blob/1b3b9c5ba232734b1bda3453b4e20a0481bcdd74/codex-3000/addendum-1.58/PROGRAMMES_C.json</x:v>
      </x:c>
      <x:c r="K3538" t="str">
        <x:v>Source min 50,38 m ; max 50,38 m ; modèle 50 × 38 m ; niveaux 0, 1. Détails dans catalogue-existant.json.</x:v>
      </x:c>
    </x:row>
    <x:row r="3539">
      <x:c r="A3539" t="str">
        <x:v>DW-3534</x:v>
      </x:c>
      <x:c r="B3539" t="str">
        <x:v>DW-3534</x:v>
      </x:c>
      <x:c r="C3539" t="str">
        <x:v>Parent indépendant 1.58</x:v>
      </x:c>
      <x:c r="D3539" t="str">
        <x:v>Industrie et production</x:v>
      </x:c>
      <x:c r="E3539" t="str">
        <x:v>Atelier de rideaux occultants</x:v>
      </x:c>
      <x:c r="F3539" t="n">
        <x:v>9</x:v>
      </x:c>
      <x:c r="G3539" t="n">
        <x:v>8</x:v>
      </x:c>
      <x:c r="H3539" t="n">
        <x:v>8</x:v>
      </x:c>
      <x:c r="I3539" t="str">
        <x:v>À qualifier par lieu</x:v>
      </x:c>
      <x:c r="J3539" t="str">
        <x:v>https://github.com/darknigthmare/deadwall-last-enclosure/blob/1b3b9c5ba232734b1bda3453b4e20a0481bcdd74/codex-3000/addendum-1.58/PROGRAMMES_C.json</x:v>
      </x:c>
      <x:c r="K3539" t="str">
        <x:v>Source min 55,44 m ; max 55,44 m ; modèle 55 × 44 m ; niveaux 0. Détails dans catalogue-existant.json.</x:v>
      </x:c>
    </x:row>
    <x:row r="3540">
      <x:c r="A3540" t="str">
        <x:v>DW-3535</x:v>
      </x:c>
      <x:c r="B3540" t="str">
        <x:v>DW-3535</x:v>
      </x:c>
      <x:c r="C3540" t="str">
        <x:v>Parent indépendant 1.58</x:v>
      </x:c>
      <x:c r="D3540" t="str">
        <x:v>Industrie et production</x:v>
      </x:c>
      <x:c r="E3540" t="str">
        <x:v>Fabrique de manchons de canalisation</x:v>
      </x:c>
      <x:c r="F3540" t="n">
        <x:v>9</x:v>
      </x:c>
      <x:c r="G3540" t="n">
        <x:v>8</x:v>
      </x:c>
      <x:c r="H3540" t="n">
        <x:v>8</x:v>
      </x:c>
      <x:c r="I3540" t="str">
        <x:v>À qualifier par lieu</x:v>
      </x:c>
      <x:c r="J3540" t="str">
        <x:v>https://github.com/darknigthmare/deadwall-last-enclosure/blob/1b3b9c5ba232734b1bda3453b4e20a0481bcdd74/codex-3000/addendum-1.58/PROGRAMMES_C.json</x:v>
      </x:c>
      <x:c r="K3540" t="str">
        <x:v>Source min 60,44 m ; max 60,44 m ; modèle 60 × 44 m ; niveaux 0. Détails dans catalogue-existant.json.</x:v>
      </x:c>
    </x:row>
    <x:row r="3541">
      <x:c r="A3541" t="str">
        <x:v>DW-3536</x:v>
      </x:c>
      <x:c r="B3541" t="str">
        <x:v>DW-3536</x:v>
      </x:c>
      <x:c r="C3541" t="str">
        <x:v>Parent indépendant 1.58</x:v>
      </x:c>
      <x:c r="D3541" t="str">
        <x:v>Industrie et production</x:v>
      </x:c>
      <x:c r="E3541" t="str">
        <x:v>Atelier de rempaillage de sièges</x:v>
      </x:c>
      <x:c r="F3541" t="n">
        <x:v>9</x:v>
      </x:c>
      <x:c r="G3541" t="n">
        <x:v>8</x:v>
      </x:c>
      <x:c r="H3541" t="n">
        <x:v>8</x:v>
      </x:c>
      <x:c r="I3541" t="str">
        <x:v>À qualifier par lieu</x:v>
      </x:c>
      <x:c r="J3541" t="str">
        <x:v>https://github.com/darknigthmare/deadwall-last-enclosure/blob/1b3b9c5ba232734b1bda3453b4e20a0481bcdd74/codex-3000/addendum-1.58/PROGRAMMES_C.json</x:v>
      </x:c>
      <x:c r="K3541" t="str">
        <x:v>Source min 40,48 m ; max 40,48 m ; modèle 40 × 48 m ; niveaux 0. Détails dans catalogue-existant.json.</x:v>
      </x:c>
    </x:row>
    <x:row r="3542">
      <x:c r="A3542" t="str">
        <x:v>DW-3537</x:v>
      </x:c>
      <x:c r="B3542" t="str">
        <x:v>DW-3537</x:v>
      </x:c>
      <x:c r="C3542" t="str">
        <x:v>Parent indépendant 1.58</x:v>
      </x:c>
      <x:c r="D3542" t="str">
        <x:v>Industrie et production</x:v>
      </x:c>
      <x:c r="E3542" t="str">
        <x:v>Manufacture de fenêtres à guillotine</x:v>
      </x:c>
      <x:c r="F3542" t="n">
        <x:v>9</x:v>
      </x:c>
      <x:c r="G3542" t="n">
        <x:v>8</x:v>
      </x:c>
      <x:c r="H3542" t="n">
        <x:v>8</x:v>
      </x:c>
      <x:c r="I3542" t="str">
        <x:v>À qualifier par lieu</x:v>
      </x:c>
      <x:c r="J3542" t="str">
        <x:v>https://github.com/darknigthmare/deadwall-last-enclosure/blob/1b3b9c5ba232734b1bda3453b4e20a0481bcdd74/codex-3000/addendum-1.58/PROGRAMMES_C.json</x:v>
      </x:c>
      <x:c r="K3542" t="str">
        <x:v>Source min 45,48 m ; max 45,48 m ; modèle 45 × 48 m ; niveaux 0. Détails dans catalogue-existant.json.</x:v>
      </x:c>
    </x:row>
    <x:row r="3543">
      <x:c r="A3543" t="str">
        <x:v>DW-3538</x:v>
      </x:c>
      <x:c r="B3543" t="str">
        <x:v>DW-3538</x:v>
      </x:c>
      <x:c r="C3543" t="str">
        <x:v>Parent indépendant 1.58</x:v>
      </x:c>
      <x:c r="D3543" t="str">
        <x:v>Industrie et production</x:v>
      </x:c>
      <x:c r="E3543" t="str">
        <x:v>Atelier de charpentes à chevilles</x:v>
      </x:c>
      <x:c r="F3543" t="n">
        <x:v>9</x:v>
      </x:c>
      <x:c r="G3543" t="n">
        <x:v>8</x:v>
      </x:c>
      <x:c r="H3543" t="n">
        <x:v>8</x:v>
      </x:c>
      <x:c r="I3543" t="str">
        <x:v>À qualifier par lieu</x:v>
      </x:c>
      <x:c r="J3543" t="str">
        <x:v>https://github.com/darknigthmare/deadwall-last-enclosure/blob/1b3b9c5ba232734b1bda3453b4e20a0481bcdd74/codex-3000/addendum-1.58/PROGRAMMES_C.json</x:v>
      </x:c>
      <x:c r="K3543" t="str">
        <x:v>Source min 50,42 m ; max 50,42 m ; modèle 50 × 42 m ; niveaux 0, 1. Détails dans catalogue-existant.json.</x:v>
      </x:c>
    </x:row>
    <x:row r="3544">
      <x:c r="A3544" t="str">
        <x:v>DW-3539</x:v>
      </x:c>
      <x:c r="B3544" t="str">
        <x:v>DW-3539</x:v>
      </x:c>
      <x:c r="C3544" t="str">
        <x:v>Parent indépendant 1.58</x:v>
      </x:c>
      <x:c r="D3544" t="str">
        <x:v>Industrie et production</x:v>
      </x:c>
      <x:c r="E3544" t="str">
        <x:v>Atelier de bardeaux de bois</x:v>
      </x:c>
      <x:c r="F3544" t="n">
        <x:v>9</x:v>
      </x:c>
      <x:c r="G3544" t="n">
        <x:v>8</x:v>
      </x:c>
      <x:c r="H3544" t="n">
        <x:v>8</x:v>
      </x:c>
      <x:c r="I3544" t="str">
        <x:v>À qualifier par lieu</x:v>
      </x:c>
      <x:c r="J3544" t="str">
        <x:v>https://github.com/darknigthmare/deadwall-last-enclosure/blob/1b3b9c5ba232734b1bda3453b4e20a0481bcdd74/codex-3000/addendum-1.58/PROGRAMMES_C.json</x:v>
      </x:c>
      <x:c r="K3544" t="str">
        <x:v>Source min 55,48 m ; max 55,48 m ; modèle 55 × 48 m ; niveaux 0. Détails dans catalogue-existant.json.</x:v>
      </x:c>
    </x:row>
    <x:row r="3545">
      <x:c r="A3545" t="str">
        <x:v>DW-3540</x:v>
      </x:c>
      <x:c r="B3545" t="str">
        <x:v>DW-3540</x:v>
      </x:c>
      <x:c r="C3545" t="str">
        <x:v>Parent indépendant 1.58</x:v>
      </x:c>
      <x:c r="D3545" t="str">
        <x:v>Industrie et production</x:v>
      </x:c>
      <x:c r="E3545" t="str">
        <x:v>Atelier de caisses de transport</x:v>
      </x:c>
      <x:c r="F3545" t="n">
        <x:v>9</x:v>
      </x:c>
      <x:c r="G3545" t="n">
        <x:v>8</x:v>
      </x:c>
      <x:c r="H3545" t="n">
        <x:v>8</x:v>
      </x:c>
      <x:c r="I3545" t="str">
        <x:v>À qualifier par lieu</x:v>
      </x:c>
      <x:c r="J3545" t="str">
        <x:v>https://github.com/darknigthmare/deadwall-last-enclosure/blob/1b3b9c5ba232734b1bda3453b4e20a0481bcdd74/codex-3000/addendum-1.58/PROGRAMMES_C.json</x:v>
      </x:c>
      <x:c r="K3545" t="str">
        <x:v>Source min 60,48 m ; max 60,48 m ; modèle 60 × 48 m ; niveaux 0. Détails dans catalogue-existant.json.</x:v>
      </x:c>
    </x:row>
    <x:row r="3546">
      <x:c r="A3546" t="str">
        <x:v>DW-3541</x:v>
      </x:c>
      <x:c r="B3546" t="str">
        <x:v>DW-3541</x:v>
      </x:c>
      <x:c r="C3546" t="str">
        <x:v>Parent indépendant 1.58</x:v>
      </x:c>
      <x:c r="D3546" t="str">
        <x:v>Industrie et production</x:v>
      </x:c>
      <x:c r="E3546" t="str">
        <x:v>Atelier de manches d'outils</x:v>
      </x:c>
      <x:c r="F3546" t="n">
        <x:v>9</x:v>
      </x:c>
      <x:c r="G3546" t="n">
        <x:v>8</x:v>
      </x:c>
      <x:c r="H3546" t="n">
        <x:v>8</x:v>
      </x:c>
      <x:c r="I3546" t="str">
        <x:v>À qualifier par lieu</x:v>
      </x:c>
      <x:c r="J3546" t="str">
        <x:v>https://github.com/darknigthmare/deadwall-last-enclosure/blob/1b3b9c5ba232734b1bda3453b4e20a0481bcdd74/codex-3000/addendum-1.58/PROGRAMMES_C.json</x:v>
      </x:c>
      <x:c r="K3546" t="str">
        <x:v>Source min 40,36 m ; max 40,36 m ; modèle 40 × 36 m ; niveaux 0. Détails dans catalogue-existant.json.</x:v>
      </x:c>
    </x:row>
    <x:row r="3547">
      <x:c r="A3547" t="str">
        <x:v>DW-3542</x:v>
      </x:c>
      <x:c r="B3547" t="str">
        <x:v>DW-3542</x:v>
      </x:c>
      <x:c r="C3547" t="str">
        <x:v>Parent indépendant 1.58</x:v>
      </x:c>
      <x:c r="D3547" t="str">
        <x:v>Industrie et production</x:v>
      </x:c>
      <x:c r="E3547" t="str">
        <x:v>Fabrique de volets pliants</x:v>
      </x:c>
      <x:c r="F3547" t="n">
        <x:v>9</x:v>
      </x:c>
      <x:c r="G3547" t="n">
        <x:v>8</x:v>
      </x:c>
      <x:c r="H3547" t="n">
        <x:v>8</x:v>
      </x:c>
      <x:c r="I3547" t="str">
        <x:v>À qualifier par lieu</x:v>
      </x:c>
      <x:c r="J3547" t="str">
        <x:v>https://github.com/darknigthmare/deadwall-last-enclosure/blob/1b3b9c5ba232734b1bda3453b4e20a0481bcdd74/codex-3000/addendum-1.58/PROGRAMMES_C.json</x:v>
      </x:c>
      <x:c r="K3547" t="str">
        <x:v>Source min 45,36 m ; max 45,36 m ; modèle 45 × 36 m ; niveaux 0. Détails dans catalogue-existant.json.</x:v>
      </x:c>
    </x:row>
    <x:row r="3548">
      <x:c r="A3548" t="str">
        <x:v>DW-3543</x:v>
      </x:c>
      <x:c r="B3548" t="str">
        <x:v>DW-3543</x:v>
      </x:c>
      <x:c r="C3548" t="str">
        <x:v>Parent indépendant 1.58</x:v>
      </x:c>
      <x:c r="D3548" t="str">
        <x:v>Industrie et production</x:v>
      </x:c>
      <x:c r="E3548" t="str">
        <x:v>Atelier de réparation de tonneaux</x:v>
      </x:c>
      <x:c r="F3548" t="n">
        <x:v>9</x:v>
      </x:c>
      <x:c r="G3548" t="n">
        <x:v>8</x:v>
      </x:c>
      <x:c r="H3548" t="n">
        <x:v>8</x:v>
      </x:c>
      <x:c r="I3548" t="str">
        <x:v>À qualifier par lieu</x:v>
      </x:c>
      <x:c r="J3548" t="str">
        <x:v>https://github.com/darknigthmare/deadwall-last-enclosure/blob/1b3b9c5ba232734b1bda3453b4e20a0481bcdd74/codex-3000/addendum-1.58/PROGRAMMES_C.json</x:v>
      </x:c>
      <x:c r="K3548" t="str">
        <x:v>Source min 50,30 m ; max 50,30 m ; modèle 50 × 30 m ; niveaux 0, 1. Détails dans catalogue-existant.json.</x:v>
      </x:c>
    </x:row>
    <x:row r="3549">
      <x:c r="A3549" t="str">
        <x:v>DW-3544</x:v>
      </x:c>
      <x:c r="B3549" t="str">
        <x:v>DW-3544</x:v>
      </x:c>
      <x:c r="C3549" t="str">
        <x:v>Parent indépendant 1.58</x:v>
      </x:c>
      <x:c r="D3549" t="str">
        <x:v>Industrie et production</x:v>
      </x:c>
      <x:c r="E3549" t="str">
        <x:v>Atelier d'escaliers modulaires en bois</x:v>
      </x:c>
      <x:c r="F3549" t="n">
        <x:v>9</x:v>
      </x:c>
      <x:c r="G3549" t="n">
        <x:v>8</x:v>
      </x:c>
      <x:c r="H3549" t="n">
        <x:v>8</x:v>
      </x:c>
      <x:c r="I3549" t="str">
        <x:v>À qualifier par lieu</x:v>
      </x:c>
      <x:c r="J3549" t="str">
        <x:v>https://github.com/darknigthmare/deadwall-last-enclosure/blob/1b3b9c5ba232734b1bda3453b4e20a0481bcdd74/codex-3000/addendum-1.58/PROGRAMMES_C.json</x:v>
      </x:c>
      <x:c r="K3549" t="str">
        <x:v>Source min 55,36 m ; max 55,36 m ; modèle 55 × 36 m ; niveaux 0. Détails dans catalogue-existant.json.</x:v>
      </x:c>
    </x:row>
    <x:row r="3550">
      <x:c r="A3550" t="str">
        <x:v>DW-3545</x:v>
      </x:c>
      <x:c r="B3550" t="str">
        <x:v>DW-3545</x:v>
      </x:c>
      <x:c r="C3550" t="str">
        <x:v>Parent indépendant 1.58</x:v>
      </x:c>
      <x:c r="D3550" t="str">
        <x:v>Industrie et production</x:v>
      </x:c>
      <x:c r="E3550" t="str">
        <x:v>Manufacture de coffrages réemployables</x:v>
      </x:c>
      <x:c r="F3550" t="n">
        <x:v>9</x:v>
      </x:c>
      <x:c r="G3550" t="n">
        <x:v>8</x:v>
      </x:c>
      <x:c r="H3550" t="n">
        <x:v>8</x:v>
      </x:c>
      <x:c r="I3550" t="str">
        <x:v>À qualifier par lieu</x:v>
      </x:c>
      <x:c r="J3550" t="str">
        <x:v>https://github.com/darknigthmare/deadwall-last-enclosure/blob/1b3b9c5ba232734b1bda3453b4e20a0481bcdd74/codex-3000/addendum-1.58/PROGRAMMES_C.json</x:v>
      </x:c>
      <x:c r="K3550" t="str">
        <x:v>Source min 60,36 m ; max 60,36 m ; modèle 60 × 36 m ; niveaux 0. Détails dans catalogue-existant.json.</x:v>
      </x:c>
    </x:row>
    <x:row r="3551">
      <x:c r="A3551" t="str">
        <x:v>DW-3546</x:v>
      </x:c>
      <x:c r="B3551" t="str">
        <x:v>DW-3546</x:v>
      </x:c>
      <x:c r="C3551" t="str">
        <x:v>Parent indépendant 1.58</x:v>
      </x:c>
      <x:c r="D3551" t="str">
        <x:v>Industrie et production</x:v>
      </x:c>
      <x:c r="E3551" t="str">
        <x:v>Atelier de plinthes profilées</x:v>
      </x:c>
      <x:c r="F3551" t="n">
        <x:v>9</x:v>
      </x:c>
      <x:c r="G3551" t="n">
        <x:v>8</x:v>
      </x:c>
      <x:c r="H3551" t="n">
        <x:v>8</x:v>
      </x:c>
      <x:c r="I3551" t="str">
        <x:v>À qualifier par lieu</x:v>
      </x:c>
      <x:c r="J3551" t="str">
        <x:v>https://github.com/darknigthmare/deadwall-last-enclosure/blob/1b3b9c5ba232734b1bda3453b4e20a0481bcdd74/codex-3000/addendum-1.58/PROGRAMMES_C.json</x:v>
      </x:c>
      <x:c r="K3551" t="str">
        <x:v>Source min 40,40 m ; max 40,40 m ; modèle 40 × 40 m ; niveaux 0. Détails dans catalogue-existant.json.</x:v>
      </x:c>
    </x:row>
    <x:row r="3552">
      <x:c r="A3552" t="str">
        <x:v>DW-3547</x:v>
      </x:c>
      <x:c r="B3552" t="str">
        <x:v>DW-3547</x:v>
      </x:c>
      <x:c r="C3552" t="str">
        <x:v>Parent indépendant 1.58</x:v>
      </x:c>
      <x:c r="D3552" t="str">
        <x:v>Industrie et production</x:v>
      </x:c>
      <x:c r="E3552" t="str">
        <x:v>Atelier de meubles de laboratoire</x:v>
      </x:c>
      <x:c r="F3552" t="n">
        <x:v>9</x:v>
      </x:c>
      <x:c r="G3552" t="n">
        <x:v>8</x:v>
      </x:c>
      <x:c r="H3552" t="n">
        <x:v>8</x:v>
      </x:c>
      <x:c r="I3552" t="str">
        <x:v>À qualifier par lieu</x:v>
      </x:c>
      <x:c r="J3552" t="str">
        <x:v>https://github.com/darknigthmare/deadwall-last-enclosure/blob/1b3b9c5ba232734b1bda3453b4e20a0481bcdd74/codex-3000/addendum-1.58/PROGRAMMES_C.json</x:v>
      </x:c>
      <x:c r="K3552" t="str">
        <x:v>Source min 45,40 m ; max 45,40 m ; modèle 45 × 40 m ; niveaux 0. Détails dans catalogue-existant.json.</x:v>
      </x:c>
    </x:row>
    <x:row r="3553">
      <x:c r="A3553" t="str">
        <x:v>DW-3548</x:v>
      </x:c>
      <x:c r="B3553" t="str">
        <x:v>DW-3548</x:v>
      </x:c>
      <x:c r="C3553" t="str">
        <x:v>Parent indépendant 1.58</x:v>
      </x:c>
      <x:c r="D3553" t="str">
        <x:v>Industrie et production</x:v>
      </x:c>
      <x:c r="E3553" t="str">
        <x:v>Manufacture de rayonnages en bois</x:v>
      </x:c>
      <x:c r="F3553" t="n">
        <x:v>9</x:v>
      </x:c>
      <x:c r="G3553" t="n">
        <x:v>8</x:v>
      </x:c>
      <x:c r="H3553" t="n">
        <x:v>8</x:v>
      </x:c>
      <x:c r="I3553" t="str">
        <x:v>À qualifier par lieu</x:v>
      </x:c>
      <x:c r="J3553" t="str">
        <x:v>https://github.com/darknigthmare/deadwall-last-enclosure/blob/1b3b9c5ba232734b1bda3453b4e20a0481bcdd74/codex-3000/addendum-1.58/PROGRAMMES_C.json</x:v>
      </x:c>
      <x:c r="K3553" t="str">
        <x:v>Source min 50,34 m ; max 50,34 m ; modèle 50 × 34 m ; niveaux 0, 1. Détails dans catalogue-existant.json.</x:v>
      </x:c>
    </x:row>
    <x:row r="3554">
      <x:c r="A3554" t="str">
        <x:v>DW-3549</x:v>
      </x:c>
      <x:c r="B3554" t="str">
        <x:v>DW-3549</x:v>
      </x:c>
      <x:c r="C3554" t="str">
        <x:v>Parent indépendant 1.58</x:v>
      </x:c>
      <x:c r="D3554" t="str">
        <x:v>Industrie et production</x:v>
      </x:c>
      <x:c r="E3554" t="str">
        <x:v>Atelier de roues de charrette</x:v>
      </x:c>
      <x:c r="F3554" t="n">
        <x:v>9</x:v>
      </x:c>
      <x:c r="G3554" t="n">
        <x:v>8</x:v>
      </x:c>
      <x:c r="H3554" t="n">
        <x:v>8</x:v>
      </x:c>
      <x:c r="I3554" t="str">
        <x:v>À qualifier par lieu</x:v>
      </x:c>
      <x:c r="J3554" t="str">
        <x:v>https://github.com/darknigthmare/deadwall-last-enclosure/blob/1b3b9c5ba232734b1bda3453b4e20a0481bcdd74/codex-3000/addendum-1.58/PROGRAMMES_C.json</x:v>
      </x:c>
      <x:c r="K3554" t="str">
        <x:v>Source min 55,40 m ; max 55,40 m ; modèle 55 × 40 m ; niveaux 0. Détails dans catalogue-existant.json.</x:v>
      </x:c>
    </x:row>
    <x:row r="3555">
      <x:c r="A3555" t="str">
        <x:v>DW-3550</x:v>
      </x:c>
      <x:c r="B3555" t="str">
        <x:v>DW-3550</x:v>
      </x:c>
      <x:c r="C3555" t="str">
        <x:v>Parent indépendant 1.58</x:v>
      </x:c>
      <x:c r="D3555" t="str">
        <x:v>Industrie et production</x:v>
      </x:c>
      <x:c r="E3555" t="str">
        <x:v>Atelier de cadres d'affichage</x:v>
      </x:c>
      <x:c r="F3555" t="n">
        <x:v>9</x:v>
      </x:c>
      <x:c r="G3555" t="n">
        <x:v>8</x:v>
      </x:c>
      <x:c r="H3555" t="n">
        <x:v>8</x:v>
      </x:c>
      <x:c r="I3555" t="str">
        <x:v>À qualifier par lieu</x:v>
      </x:c>
      <x:c r="J3555" t="str">
        <x:v>https://github.com/darknigthmare/deadwall-last-enclosure/blob/1b3b9c5ba232734b1bda3453b4e20a0481bcdd74/codex-3000/addendum-1.58/PROGRAMMES_C.json</x:v>
      </x:c>
      <x:c r="K3555" t="str">
        <x:v>Source min 60,40 m ; max 60,40 m ; modèle 60 × 40 m ; niveaux 0. Détails dans catalogue-existant.json.</x:v>
      </x:c>
    </x:row>
    <x:row r="3556">
      <x:c r="A3556" t="str">
        <x:v>DW-3551</x:v>
      </x:c>
      <x:c r="B3556" t="str">
        <x:v>DW-3551</x:v>
      </x:c>
      <x:c r="C3556" t="str">
        <x:v>Parent indépendant 1.58</x:v>
      </x:c>
      <x:c r="D3556" t="str">
        <x:v>Industrie et production</x:v>
      </x:c>
      <x:c r="E3556" t="str">
        <x:v>Atelier de reliure à dos cousu</x:v>
      </x:c>
      <x:c r="F3556" t="n">
        <x:v>9</x:v>
      </x:c>
      <x:c r="G3556" t="n">
        <x:v>8</x:v>
      </x:c>
      <x:c r="H3556" t="n">
        <x:v>8</x:v>
      </x:c>
      <x:c r="I3556" t="str">
        <x:v>À qualifier par lieu</x:v>
      </x:c>
      <x:c r="J3556" t="str">
        <x:v>https://github.com/darknigthmare/deadwall-last-enclosure/blob/1b3b9c5ba232734b1bda3453b4e20a0481bcdd74/codex-3000/addendum-1.58/PROGRAMMES_C.json</x:v>
      </x:c>
      <x:c r="K3556" t="str">
        <x:v>Source min 40,44 m ; max 40,44 m ; modèle 40 × 44 m ; niveaux 0. Détails dans catalogue-existant.json.</x:v>
      </x:c>
    </x:row>
    <x:row r="3557">
      <x:c r="A3557" t="str">
        <x:v>DW-3552</x:v>
      </x:c>
      <x:c r="B3557" t="str">
        <x:v>DW-3552</x:v>
      </x:c>
      <x:c r="C3557" t="str">
        <x:v>Parent indépendant 1.58</x:v>
      </x:c>
      <x:c r="D3557" t="str">
        <x:v>Industrie et production</x:v>
      </x:c>
      <x:c r="E3557" t="str">
        <x:v>Atelier de clichés typographiques</x:v>
      </x:c>
      <x:c r="F3557" t="n">
        <x:v>9</x:v>
      </x:c>
      <x:c r="G3557" t="n">
        <x:v>8</x:v>
      </x:c>
      <x:c r="H3557" t="n">
        <x:v>8</x:v>
      </x:c>
      <x:c r="I3557" t="str">
        <x:v>À qualifier par lieu</x:v>
      </x:c>
      <x:c r="J3557" t="str">
        <x:v>https://github.com/darknigthmare/deadwall-last-enclosure/blob/1b3b9c5ba232734b1bda3453b4e20a0481bcdd74/codex-3000/addendum-1.58/PROGRAMMES_C.json</x:v>
      </x:c>
      <x:c r="K3557" t="str">
        <x:v>Source min 45,44 m ; max 45,44 m ; modèle 45 × 44 m ; niveaux 0. Détails dans catalogue-existant.json.</x:v>
      </x:c>
    </x:row>
    <x:row r="3558">
      <x:c r="A3558" t="str">
        <x:v>DW-3553</x:v>
      </x:c>
      <x:c r="B3558" t="str">
        <x:v>DW-3553</x:v>
      </x:c>
      <x:c r="C3558" t="str">
        <x:v>Parent indépendant 1.58</x:v>
      </x:c>
      <x:c r="D3558" t="str">
        <x:v>Industrie et production</x:v>
      </x:c>
      <x:c r="E3558" t="str">
        <x:v>Fabrique de boîtes pliantes</x:v>
      </x:c>
      <x:c r="F3558" t="n">
        <x:v>9</x:v>
      </x:c>
      <x:c r="G3558" t="n">
        <x:v>8</x:v>
      </x:c>
      <x:c r="H3558" t="n">
        <x:v>8</x:v>
      </x:c>
      <x:c r="I3558" t="str">
        <x:v>À qualifier par lieu</x:v>
      </x:c>
      <x:c r="J3558" t="str">
        <x:v>https://github.com/darknigthmare/deadwall-last-enclosure/blob/1b3b9c5ba232734b1bda3453b4e20a0481bcdd74/codex-3000/addendum-1.58/PROGRAMMES_C.json</x:v>
      </x:c>
      <x:c r="K3558" t="str">
        <x:v>Source min 50,38 m ; max 50,38 m ; modèle 50 × 38 m ; niveaux 0, 1. Détails dans catalogue-existant.json.</x:v>
      </x:c>
    </x:row>
    <x:row r="3559">
      <x:c r="A3559" t="str">
        <x:v>DW-3554</x:v>
      </x:c>
      <x:c r="B3559" t="str">
        <x:v>DW-3554</x:v>
      </x:c>
      <x:c r="C3559" t="str">
        <x:v>Parent indépendant 1.58</x:v>
      </x:c>
      <x:c r="D3559" t="str">
        <x:v>Industrie et production</x:v>
      </x:c>
      <x:c r="E3559" t="str">
        <x:v>Atelier de sacs en papier kraft</x:v>
      </x:c>
      <x:c r="F3559" t="n">
        <x:v>9</x:v>
      </x:c>
      <x:c r="G3559" t="n">
        <x:v>8</x:v>
      </x:c>
      <x:c r="H3559" t="n">
        <x:v>8</x:v>
      </x:c>
      <x:c r="I3559" t="str">
        <x:v>À qualifier par lieu</x:v>
      </x:c>
      <x:c r="J3559" t="str">
        <x:v>https://github.com/darknigthmare/deadwall-last-enclosure/blob/1b3b9c5ba232734b1bda3453b4e20a0481bcdd74/codex-3000/addendum-1.58/PROGRAMMES_C.json</x:v>
      </x:c>
      <x:c r="K3559" t="str">
        <x:v>Source min 55,44 m ; max 55,44 m ; modèle 55 × 44 m ; niveaux 0. Détails dans catalogue-existant.json.</x:v>
      </x:c>
    </x:row>
    <x:row r="3560">
      <x:c r="A3560" t="str">
        <x:v>DW-3555</x:v>
      </x:c>
      <x:c r="B3560" t="str">
        <x:v>DW-3555</x:v>
      </x:c>
      <x:c r="C3560" t="str">
        <x:v>Parent indépendant 1.58</x:v>
      </x:c>
      <x:c r="D3560" t="str">
        <x:v>Industrie et production</x:v>
      </x:c>
      <x:c r="E3560" t="str">
        <x:v>Atelier de tampons encreurs</x:v>
      </x:c>
      <x:c r="F3560" t="n">
        <x:v>9</x:v>
      </x:c>
      <x:c r="G3560" t="n">
        <x:v>8</x:v>
      </x:c>
      <x:c r="H3560" t="n">
        <x:v>8</x:v>
      </x:c>
      <x:c r="I3560" t="str">
        <x:v>À qualifier par lieu</x:v>
      </x:c>
      <x:c r="J3560" t="str">
        <x:v>https://github.com/darknigthmare/deadwall-last-enclosure/blob/1b3b9c5ba232734b1bda3453b4e20a0481bcdd74/codex-3000/addendum-1.58/PROGRAMMES_C.json</x:v>
      </x:c>
      <x:c r="K3560" t="str">
        <x:v>Source min 60,44 m ; max 60,44 m ; modèle 60 × 44 m ; niveaux 0. Détails dans catalogue-existant.json.</x:v>
      </x:c>
    </x:row>
    <x:row r="3561">
      <x:c r="A3561" t="str">
        <x:v>DW-3556</x:v>
      </x:c>
      <x:c r="B3561" t="str">
        <x:v>DW-3556</x:v>
      </x:c>
      <x:c r="C3561" t="str">
        <x:v>Parent indépendant 1.58</x:v>
      </x:c>
      <x:c r="D3561" t="str">
        <x:v>Industrie et production</x:v>
      </x:c>
      <x:c r="E3561" t="str">
        <x:v>Atelier d'étiquettes de traçabilité</x:v>
      </x:c>
      <x:c r="F3561" t="n">
        <x:v>9</x:v>
      </x:c>
      <x:c r="G3561" t="n">
        <x:v>8</x:v>
      </x:c>
      <x:c r="H3561" t="n">
        <x:v>8</x:v>
      </x:c>
      <x:c r="I3561" t="str">
        <x:v>À qualifier par lieu</x:v>
      </x:c>
      <x:c r="J3561" t="str">
        <x:v>https://github.com/darknigthmare/deadwall-last-enclosure/blob/1b3b9c5ba232734b1bda3453b4e20a0481bcdd74/codex-3000/addendum-1.58/PROGRAMMES_C.json</x:v>
      </x:c>
      <x:c r="K3561" t="str">
        <x:v>Source min 40,48 m ; max 40,48 m ; modèle 40 × 48 m ; niveaux 0. Détails dans catalogue-existant.json.</x:v>
      </x:c>
    </x:row>
    <x:row r="3562">
      <x:c r="A3562" t="str">
        <x:v>DW-3557</x:v>
      </x:c>
      <x:c r="B3562" t="str">
        <x:v>DW-3557</x:v>
      </x:c>
      <x:c r="C3562" t="str">
        <x:v>Parent indépendant 1.58</x:v>
      </x:c>
      <x:c r="D3562" t="str">
        <x:v>Industrie et production</x:v>
      </x:c>
      <x:c r="E3562" t="str">
        <x:v>Atelier de réparation de presses manuelles</x:v>
      </x:c>
      <x:c r="F3562" t="n">
        <x:v>9</x:v>
      </x:c>
      <x:c r="G3562" t="n">
        <x:v>8</x:v>
      </x:c>
      <x:c r="H3562" t="n">
        <x:v>8</x:v>
      </x:c>
      <x:c r="I3562" t="str">
        <x:v>À qualifier par lieu</x:v>
      </x:c>
      <x:c r="J3562" t="str">
        <x:v>https://github.com/darknigthmare/deadwall-last-enclosure/blob/1b3b9c5ba232734b1bda3453b4e20a0481bcdd74/codex-3000/addendum-1.58/PROGRAMMES_C.json</x:v>
      </x:c>
      <x:c r="K3562" t="str">
        <x:v>Source min 45,48 m ; max 45,48 m ; modèle 45 × 48 m ; niveaux 0. Détails dans catalogue-existant.json.</x:v>
      </x:c>
    </x:row>
    <x:row r="3563">
      <x:c r="A3563" t="str">
        <x:v>DW-3558</x:v>
      </x:c>
      <x:c r="B3563" t="str">
        <x:v>DW-3558</x:v>
      </x:c>
      <x:c r="C3563" t="str">
        <x:v>Parent indépendant 1.58</x:v>
      </x:c>
      <x:c r="D3563" t="str">
        <x:v>Industrie et production</x:v>
      </x:c>
      <x:c r="E3563" t="str">
        <x:v>Manufacture de chemises d'archives</x:v>
      </x:c>
      <x:c r="F3563" t="n">
        <x:v>9</x:v>
      </x:c>
      <x:c r="G3563" t="n">
        <x:v>8</x:v>
      </x:c>
      <x:c r="H3563" t="n">
        <x:v>8</x:v>
      </x:c>
      <x:c r="I3563" t="str">
        <x:v>À qualifier par lieu</x:v>
      </x:c>
      <x:c r="J3563" t="str">
        <x:v>https://github.com/darknigthmare/deadwall-last-enclosure/blob/1b3b9c5ba232734b1bda3453b4e20a0481bcdd74/codex-3000/addendum-1.58/PROGRAMMES_C.json</x:v>
      </x:c>
      <x:c r="K3563" t="str">
        <x:v>Source min 50,42 m ; max 50,42 m ; modèle 50 × 42 m ; niveaux 0, 1. Détails dans catalogue-existant.json.</x:v>
      </x:c>
    </x:row>
    <x:row r="3564">
      <x:c r="A3564" t="str">
        <x:v>DW-3559</x:v>
      </x:c>
      <x:c r="B3564" t="str">
        <x:v>DW-3559</x:v>
      </x:c>
      <x:c r="C3564" t="str">
        <x:v>Parent indépendant 1.58</x:v>
      </x:c>
      <x:c r="D3564" t="str">
        <x:v>Industrie et production</x:v>
      </x:c>
      <x:c r="E3564" t="str">
        <x:v>Atelier de signalétique peinte</x:v>
      </x:c>
      <x:c r="F3564" t="n">
        <x:v>9</x:v>
      </x:c>
      <x:c r="G3564" t="n">
        <x:v>8</x:v>
      </x:c>
      <x:c r="H3564" t="n">
        <x:v>8</x:v>
      </x:c>
      <x:c r="I3564" t="str">
        <x:v>À qualifier par lieu</x:v>
      </x:c>
      <x:c r="J3564" t="str">
        <x:v>https://github.com/darknigthmare/deadwall-last-enclosure/blob/1b3b9c5ba232734b1bda3453b4e20a0481bcdd74/codex-3000/addendum-1.58/PROGRAMMES_C.json</x:v>
      </x:c>
      <x:c r="K3564" t="str">
        <x:v>Source min 55,48 m ; max 55,48 m ; modèle 55 × 48 m ; niveaux 0. Détails dans catalogue-existant.json.</x:v>
      </x:c>
    </x:row>
    <x:row r="3565">
      <x:c r="A3565" t="str">
        <x:v>DW-3560</x:v>
      </x:c>
      <x:c r="B3565" t="str">
        <x:v>DW-3560</x:v>
      </x:c>
      <x:c r="C3565" t="str">
        <x:v>Parent indépendant 1.58</x:v>
      </x:c>
      <x:c r="D3565" t="str">
        <x:v>Industrie et production</x:v>
      </x:c>
      <x:c r="E3565" t="str">
        <x:v>Atelier de gravure de plaques de machine</x:v>
      </x:c>
      <x:c r="F3565" t="n">
        <x:v>9</x:v>
      </x:c>
      <x:c r="G3565" t="n">
        <x:v>8</x:v>
      </x:c>
      <x:c r="H3565" t="n">
        <x:v>8</x:v>
      </x:c>
      <x:c r="I3565" t="str">
        <x:v>À qualifier par lieu</x:v>
      </x:c>
      <x:c r="J3565" t="str">
        <x:v>https://github.com/darknigthmare/deadwall-last-enclosure/blob/1b3b9c5ba232734b1bda3453b4e20a0481bcdd74/codex-3000/addendum-1.58/PROGRAMMES_C.json</x:v>
      </x:c>
      <x:c r="K3565" t="str">
        <x:v>Source min 60,48 m ; max 60,48 m ; modèle 60 × 48 m ; niveaux 0. Détails dans catalogue-existant.json.</x:v>
      </x:c>
    </x:row>
    <x:row r="3566">
      <x:c r="A3566" t="str">
        <x:v>DW-3561</x:v>
      </x:c>
      <x:c r="B3566" t="str">
        <x:v>DW-3561</x:v>
      </x:c>
      <x:c r="C3566" t="str">
        <x:v>Parent indépendant 1.58</x:v>
      </x:c>
      <x:c r="D3566" t="str">
        <x:v>Industrie et production</x:v>
      </x:c>
      <x:c r="E3566" t="str">
        <x:v>Atelier de bobinage de moteurs</x:v>
      </x:c>
      <x:c r="F3566" t="n">
        <x:v>9</x:v>
      </x:c>
      <x:c r="G3566" t="n">
        <x:v>8</x:v>
      </x:c>
      <x:c r="H3566" t="n">
        <x:v>8</x:v>
      </x:c>
      <x:c r="I3566" t="str">
        <x:v>À qualifier par lieu</x:v>
      </x:c>
      <x:c r="J3566" t="str">
        <x:v>https://github.com/darknigthmare/deadwall-last-enclosure/blob/1b3b9c5ba232734b1bda3453b4e20a0481bcdd74/codex-3000/addendum-1.58/PROGRAMMES_C.json</x:v>
      </x:c>
      <x:c r="K3566" t="str">
        <x:v>Source min 40,36 m ; max 40,36 m ; modèle 40 × 36 m ; niveaux 0. Détails dans catalogue-existant.json.</x:v>
      </x:c>
    </x:row>
    <x:row r="3567">
      <x:c r="A3567" t="str">
        <x:v>DW-3562</x:v>
      </x:c>
      <x:c r="B3567" t="str">
        <x:v>DW-3562</x:v>
      </x:c>
      <x:c r="C3567" t="str">
        <x:v>Parent indépendant 1.58</x:v>
      </x:c>
      <x:c r="D3567" t="str">
        <x:v>Industrie et production</x:v>
      </x:c>
      <x:c r="E3567" t="str">
        <x:v>Atelier de transformateurs de commande</x:v>
      </x:c>
      <x:c r="F3567" t="n">
        <x:v>9</x:v>
      </x:c>
      <x:c r="G3567" t="n">
        <x:v>8</x:v>
      </x:c>
      <x:c r="H3567" t="n">
        <x:v>8</x:v>
      </x:c>
      <x:c r="I3567" t="str">
        <x:v>À qualifier par lieu</x:v>
      </x:c>
      <x:c r="J3567" t="str">
        <x:v>https://github.com/darknigthmare/deadwall-last-enclosure/blob/1b3b9c5ba232734b1bda3453b4e20a0481bcdd74/codex-3000/addendum-1.58/PROGRAMMES_C.json</x:v>
      </x:c>
      <x:c r="K3567" t="str">
        <x:v>Source min 45,36 m ; max 45,36 m ; modèle 45 × 36 m ; niveaux 0. Détails dans catalogue-existant.json.</x:v>
      </x:c>
    </x:row>
    <x:row r="3568">
      <x:c r="A3568" t="str">
        <x:v>DW-3563</x:v>
      </x:c>
      <x:c r="B3568" t="str">
        <x:v>DW-3563</x:v>
      </x:c>
      <x:c r="C3568" t="str">
        <x:v>Parent indépendant 1.58</x:v>
      </x:c>
      <x:c r="D3568" t="str">
        <x:v>Industrie et production</x:v>
      </x:c>
      <x:c r="E3568" t="str">
        <x:v>Atelier de faisceaux de câblage</x:v>
      </x:c>
      <x:c r="F3568" t="n">
        <x:v>9</x:v>
      </x:c>
      <x:c r="G3568" t="n">
        <x:v>8</x:v>
      </x:c>
      <x:c r="H3568" t="n">
        <x:v>8</x:v>
      </x:c>
      <x:c r="I3568" t="str">
        <x:v>À qualifier par lieu</x:v>
      </x:c>
      <x:c r="J3568" t="str">
        <x:v>https://github.com/darknigthmare/deadwall-last-enclosure/blob/1b3b9c5ba232734b1bda3453b4e20a0481bcdd74/codex-3000/addendum-1.58/PROGRAMMES_C.json</x:v>
      </x:c>
      <x:c r="K3568" t="str">
        <x:v>Source min 50,30 m ; max 50,30 m ; modèle 50 × 30 m ; niveaux 0, 1. Détails dans catalogue-existant.json.</x:v>
      </x:c>
    </x:row>
    <x:row r="3569">
      <x:c r="A3569" t="str">
        <x:v>DW-3564</x:v>
      </x:c>
      <x:c r="B3569" t="str">
        <x:v>DW-3564</x:v>
      </x:c>
      <x:c r="C3569" t="str">
        <x:v>Parent indépendant 1.58</x:v>
      </x:c>
      <x:c r="D3569" t="str">
        <x:v>Industrie et production</x:v>
      </x:c>
      <x:c r="E3569" t="str">
        <x:v>Atelier de lampes de chantier</x:v>
      </x:c>
      <x:c r="F3569" t="n">
        <x:v>9</x:v>
      </x:c>
      <x:c r="G3569" t="n">
        <x:v>8</x:v>
      </x:c>
      <x:c r="H3569" t="n">
        <x:v>8</x:v>
      </x:c>
      <x:c r="I3569" t="str">
        <x:v>À qualifier par lieu</x:v>
      </x:c>
      <x:c r="J3569" t="str">
        <x:v>https://github.com/darknigthmare/deadwall-last-enclosure/blob/1b3b9c5ba232734b1bda3453b4e20a0481bcdd74/codex-3000/addendum-1.58/PROGRAMMES_C.json</x:v>
      </x:c>
      <x:c r="K3569" t="str">
        <x:v>Source min 55,36 m ; max 55,36 m ; modèle 55 × 36 m ; niveaux 0. Détails dans catalogue-existant.json.</x:v>
      </x:c>
    </x:row>
    <x:row r="3570">
      <x:c r="A3570" t="str">
        <x:v>DW-3565</x:v>
      </x:c>
      <x:c r="B3570" t="str">
        <x:v>DW-3565</x:v>
      </x:c>
      <x:c r="C3570" t="str">
        <x:v>Parent indépendant 1.58</x:v>
      </x:c>
      <x:c r="D3570" t="str">
        <x:v>Industrie et production</x:v>
      </x:c>
      <x:c r="E3570" t="str">
        <x:v>Atelier de postes radio analogiques</x:v>
      </x:c>
      <x:c r="F3570" t="n">
        <x:v>9</x:v>
      </x:c>
      <x:c r="G3570" t="n">
        <x:v>8</x:v>
      </x:c>
      <x:c r="H3570" t="n">
        <x:v>8</x:v>
      </x:c>
      <x:c r="I3570" t="str">
        <x:v>À qualifier par lieu</x:v>
      </x:c>
      <x:c r="J3570" t="str">
        <x:v>https://github.com/darknigthmare/deadwall-last-enclosure/blob/1b3b9c5ba232734b1bda3453b4e20a0481bcdd74/codex-3000/addendum-1.58/PROGRAMMES_C.json</x:v>
      </x:c>
      <x:c r="K3570" t="str">
        <x:v>Source min 60,36 m ; max 60,36 m ; modèle 60 × 36 m ; niveaux 0. Détails dans catalogue-existant.json.</x:v>
      </x:c>
    </x:row>
    <x:row r="3571">
      <x:c r="A3571" t="str">
        <x:v>DW-3566</x:v>
      </x:c>
      <x:c r="B3571" t="str">
        <x:v>DW-3566</x:v>
      </x:c>
      <x:c r="C3571" t="str">
        <x:v>Parent indépendant 1.58</x:v>
      </x:c>
      <x:c r="D3571" t="str">
        <x:v>Industrie et production</x:v>
      </x:c>
      <x:c r="E3571" t="str">
        <x:v>Atelier d'instruments à aiguille</x:v>
      </x:c>
      <x:c r="F3571" t="n">
        <x:v>9</x:v>
      </x:c>
      <x:c r="G3571" t="n">
        <x:v>8</x:v>
      </x:c>
      <x:c r="H3571" t="n">
        <x:v>8</x:v>
      </x:c>
      <x:c r="I3571" t="str">
        <x:v>À qualifier par lieu</x:v>
      </x:c>
      <x:c r="J3571" t="str">
        <x:v>https://github.com/darknigthmare/deadwall-last-enclosure/blob/1b3b9c5ba232734b1bda3453b4e20a0481bcdd74/codex-3000/addendum-1.58/PROGRAMMES_C.json</x:v>
      </x:c>
      <x:c r="K3571" t="str">
        <x:v>Source min 40,40 m ; max 40,40 m ; modèle 40 × 40 m ; niveaux 0. Détails dans catalogue-existant.json.</x:v>
      </x:c>
    </x:row>
    <x:row r="3572">
      <x:c r="A3572" t="str">
        <x:v>DW-3567</x:v>
      </x:c>
      <x:c r="B3572" t="str">
        <x:v>DW-3567</x:v>
      </x:c>
      <x:c r="C3572" t="str">
        <x:v>Parent indépendant 1.58</x:v>
      </x:c>
      <x:c r="D3572" t="str">
        <x:v>Industrie et production</x:v>
      </x:c>
      <x:c r="E3572" t="str">
        <x:v>Atelier de batteries à boîtiers démontables</x:v>
      </x:c>
      <x:c r="F3572" t="n">
        <x:v>9</x:v>
      </x:c>
      <x:c r="G3572" t="n">
        <x:v>8</x:v>
      </x:c>
      <x:c r="H3572" t="n">
        <x:v>8</x:v>
      </x:c>
      <x:c r="I3572" t="str">
        <x:v>À qualifier par lieu</x:v>
      </x:c>
      <x:c r="J3572" t="str">
        <x:v>https://github.com/darknigthmare/deadwall-last-enclosure/blob/1b3b9c5ba232734b1bda3453b4e20a0481bcdd74/codex-3000/addendum-1.58/PROGRAMMES_C.json</x:v>
      </x:c>
      <x:c r="K3572" t="str">
        <x:v>Source min 45,40 m ; max 45,40 m ; modèle 45 × 40 m ; niveaux 0. Détails dans catalogue-existant.json.</x:v>
      </x:c>
    </x:row>
    <x:row r="3573">
      <x:c r="A3573" t="str">
        <x:v>DW-3568</x:v>
      </x:c>
      <x:c r="B3573" t="str">
        <x:v>DW-3568</x:v>
      </x:c>
      <x:c r="C3573" t="str">
        <x:v>Parent indépendant 1.58</x:v>
      </x:c>
      <x:c r="D3573" t="str">
        <x:v>Industrie et production</x:v>
      </x:c>
      <x:c r="E3573" t="str">
        <x:v>Atelier de connecteurs industriels</x:v>
      </x:c>
      <x:c r="F3573" t="n">
        <x:v>9</x:v>
      </x:c>
      <x:c r="G3573" t="n">
        <x:v>8</x:v>
      </x:c>
      <x:c r="H3573" t="n">
        <x:v>8</x:v>
      </x:c>
      <x:c r="I3573" t="str">
        <x:v>À qualifier par lieu</x:v>
      </x:c>
      <x:c r="J3573" t="str">
        <x:v>https://github.com/darknigthmare/deadwall-last-enclosure/blob/1b3b9c5ba232734b1bda3453b4e20a0481bcdd74/codex-3000/addendum-1.58/PROGRAMMES_C.json</x:v>
      </x:c>
      <x:c r="K3573" t="str">
        <x:v>Source min 50,34 m ; max 50,34 m ; modèle 50 × 34 m ; niveaux 0, 1. Détails dans catalogue-existant.json.</x:v>
      </x:c>
    </x:row>
    <x:row r="3574">
      <x:c r="A3574" t="str">
        <x:v>DW-3569</x:v>
      </x:c>
      <x:c r="B3574" t="str">
        <x:v>DW-3569</x:v>
      </x:c>
      <x:c r="C3574" t="str">
        <x:v>Parent indépendant 1.58</x:v>
      </x:c>
      <x:c r="D3574" t="str">
        <x:v>Industrie et production</x:v>
      </x:c>
      <x:c r="E3574" t="str">
        <x:v>Atelier de ventilateurs de toiture</x:v>
      </x:c>
      <x:c r="F3574" t="n">
        <x:v>9</x:v>
      </x:c>
      <x:c r="G3574" t="n">
        <x:v>8</x:v>
      </x:c>
      <x:c r="H3574" t="n">
        <x:v>8</x:v>
      </x:c>
      <x:c r="I3574" t="str">
        <x:v>À qualifier par lieu</x:v>
      </x:c>
      <x:c r="J3574" t="str">
        <x:v>https://github.com/darknigthmare/deadwall-last-enclosure/blob/1b3b9c5ba232734b1bda3453b4e20a0481bcdd74/codex-3000/addendum-1.58/PROGRAMMES_C.json</x:v>
      </x:c>
      <x:c r="K3574" t="str">
        <x:v>Source min 55,40 m ; max 55,40 m ; modèle 55 × 40 m ; niveaux 0. Détails dans catalogue-existant.json.</x:v>
      </x:c>
    </x:row>
    <x:row r="3575">
      <x:c r="A3575" t="str">
        <x:v>DW-3570</x:v>
      </x:c>
      <x:c r="B3575" t="str">
        <x:v>DW-3570</x:v>
      </x:c>
      <x:c r="C3575" t="str">
        <x:v>Parent indépendant 1.58</x:v>
      </x:c>
      <x:c r="D3575" t="str">
        <x:v>Industrie et production</x:v>
      </x:c>
      <x:c r="E3575" t="str">
        <x:v>Atelier de minuteries mécaniques</x:v>
      </x:c>
      <x:c r="F3575" t="n">
        <x:v>9</x:v>
      </x:c>
      <x:c r="G3575" t="n">
        <x:v>8</x:v>
      </x:c>
      <x:c r="H3575" t="n">
        <x:v>8</x:v>
      </x:c>
      <x:c r="I3575" t="str">
        <x:v>À qualifier par lieu</x:v>
      </x:c>
      <x:c r="J3575" t="str">
        <x:v>https://github.com/darknigthmare/deadwall-last-enclosure/blob/1b3b9c5ba232734b1bda3453b4e20a0481bcdd74/codex-3000/addendum-1.58/PROGRAMMES_C.json</x:v>
      </x:c>
      <x:c r="K3575" t="str">
        <x:v>Source min 60,40 m ; max 60,40 m ; modèle 60 × 40 m ; niveaux 0. Détails dans catalogue-existant.json.</x:v>
      </x:c>
    </x:row>
    <x:row r="3576">
      <x:c r="A3576" t="str">
        <x:v>DW-3571</x:v>
      </x:c>
      <x:c r="B3576" t="str">
        <x:v>DW-3571</x:v>
      </x:c>
      <x:c r="C3576" t="str">
        <x:v>Parent indépendant 1.58</x:v>
      </x:c>
      <x:c r="D3576" t="str">
        <x:v>Industrie et production</x:v>
      </x:c>
      <x:c r="E3576" t="str">
        <x:v>Atelier de carreaux de ciment</x:v>
      </x:c>
      <x:c r="F3576" t="n">
        <x:v>9</x:v>
      </x:c>
      <x:c r="G3576" t="n">
        <x:v>8</x:v>
      </x:c>
      <x:c r="H3576" t="n">
        <x:v>8</x:v>
      </x:c>
      <x:c r="I3576" t="str">
        <x:v>À qualifier par lieu</x:v>
      </x:c>
      <x:c r="J3576" t="str">
        <x:v>https://github.com/darknigthmare/deadwall-last-enclosure/blob/1b3b9c5ba232734b1bda3453b4e20a0481bcdd74/codex-3000/addendum-1.58/PROGRAMMES_C.json</x:v>
      </x:c>
      <x:c r="K3576" t="str">
        <x:v>Source min 40,44 m ; max 40,44 m ; modèle 40 × 44 m ; niveaux 0. Détails dans catalogue-existant.json.</x:v>
      </x:c>
    </x:row>
    <x:row r="3577">
      <x:c r="A3577" t="str">
        <x:v>DW-3572</x:v>
      </x:c>
      <x:c r="B3577" t="str">
        <x:v>DW-3572</x:v>
      </x:c>
      <x:c r="C3577" t="str">
        <x:v>Parent indépendant 1.58</x:v>
      </x:c>
      <x:c r="D3577" t="str">
        <x:v>Industrie et production</x:v>
      </x:c>
      <x:c r="E3577" t="str">
        <x:v>Atelier de briques réfractaires</x:v>
      </x:c>
      <x:c r="F3577" t="n">
        <x:v>9</x:v>
      </x:c>
      <x:c r="G3577" t="n">
        <x:v>8</x:v>
      </x:c>
      <x:c r="H3577" t="n">
        <x:v>8</x:v>
      </x:c>
      <x:c r="I3577" t="str">
        <x:v>À qualifier par lieu</x:v>
      </x:c>
      <x:c r="J3577" t="str">
        <x:v>https://github.com/darknigthmare/deadwall-last-enclosure/blob/1b3b9c5ba232734b1bda3453b4e20a0481bcdd74/codex-3000/addendum-1.58/PROGRAMMES_C.json</x:v>
      </x:c>
      <x:c r="K3577" t="str">
        <x:v>Source min 45,44 m ; max 45,44 m ; modèle 45 × 44 m ; niveaux 0. Détails dans catalogue-existant.json.</x:v>
      </x:c>
    </x:row>
    <x:row r="3578">
      <x:c r="A3578" t="str">
        <x:v>DW-3573</x:v>
      </x:c>
      <x:c r="B3578" t="str">
        <x:v>DW-3573</x:v>
      </x:c>
      <x:c r="C3578" t="str">
        <x:v>Parent indépendant 1.58</x:v>
      </x:c>
      <x:c r="D3578" t="str">
        <x:v>Industrie et production</x:v>
      </x:c>
      <x:c r="E3578" t="str">
        <x:v>Atelier de vitraux de protection</x:v>
      </x:c>
      <x:c r="F3578" t="n">
        <x:v>9</x:v>
      </x:c>
      <x:c r="G3578" t="n">
        <x:v>8</x:v>
      </x:c>
      <x:c r="H3578" t="n">
        <x:v>8</x:v>
      </x:c>
      <x:c r="I3578" t="str">
        <x:v>À qualifier par lieu</x:v>
      </x:c>
      <x:c r="J3578" t="str">
        <x:v>https://github.com/darknigthmare/deadwall-last-enclosure/blob/1b3b9c5ba232734b1bda3453b4e20a0481bcdd74/codex-3000/addendum-1.58/PROGRAMMES_C.json</x:v>
      </x:c>
      <x:c r="K3578" t="str">
        <x:v>Source min 50,38 m ; max 50,38 m ; modèle 50 × 38 m ; niveaux 0, 1. Détails dans catalogue-existant.json.</x:v>
      </x:c>
    </x:row>
    <x:row r="3579">
      <x:c r="A3579" t="str">
        <x:v>DW-3574</x:v>
      </x:c>
      <x:c r="B3579" t="str">
        <x:v>DW-3574</x:v>
      </x:c>
      <x:c r="C3579" t="str">
        <x:v>Parent indépendant 1.58</x:v>
      </x:c>
      <x:c r="D3579" t="str">
        <x:v>Industrie et production</x:v>
      </x:c>
      <x:c r="E3579" t="str">
        <x:v>Atelier de doubles vitrages démontables</x:v>
      </x:c>
      <x:c r="F3579" t="n">
        <x:v>9</x:v>
      </x:c>
      <x:c r="G3579" t="n">
        <x:v>8</x:v>
      </x:c>
      <x:c r="H3579" t="n">
        <x:v>8</x:v>
      </x:c>
      <x:c r="I3579" t="str">
        <x:v>À qualifier par lieu</x:v>
      </x:c>
      <x:c r="J3579" t="str">
        <x:v>https://github.com/darknigthmare/deadwall-last-enclosure/blob/1b3b9c5ba232734b1bda3453b4e20a0481bcdd74/codex-3000/addendum-1.58/PROGRAMMES_C.json</x:v>
      </x:c>
      <x:c r="K3579" t="str">
        <x:v>Source min 55,44 m ; max 55,44 m ; modèle 55 × 44 m ; niveaux 0. Détails dans catalogue-existant.json.</x:v>
      </x:c>
    </x:row>
    <x:row r="3580">
      <x:c r="A3580" t="str">
        <x:v>DW-3575</x:v>
      </x:c>
      <x:c r="B3580" t="str">
        <x:v>DW-3575</x:v>
      </x:c>
      <x:c r="C3580" t="str">
        <x:v>Parent indépendant 1.58</x:v>
      </x:c>
      <x:c r="D3580" t="str">
        <x:v>Industrie et production</x:v>
      </x:c>
      <x:c r="E3580" t="str">
        <x:v>Atelier de tubes de verre gradués</x:v>
      </x:c>
      <x:c r="F3580" t="n">
        <x:v>9</x:v>
      </x:c>
      <x:c r="G3580" t="n">
        <x:v>8</x:v>
      </x:c>
      <x:c r="H3580" t="n">
        <x:v>8</x:v>
      </x:c>
      <x:c r="I3580" t="str">
        <x:v>À qualifier par lieu</x:v>
      </x:c>
      <x:c r="J3580" t="str">
        <x:v>https://github.com/darknigthmare/deadwall-last-enclosure/blob/1b3b9c5ba232734b1bda3453b4e20a0481bcdd74/codex-3000/addendum-1.58/PROGRAMMES_C.json</x:v>
      </x:c>
      <x:c r="K3580" t="str">
        <x:v>Source min 60,44 m ; max 60,44 m ; modèle 60 × 44 m ; niveaux 0. Détails dans catalogue-existant.json.</x:v>
      </x:c>
    </x:row>
    <x:row r="3581">
      <x:c r="A3581" t="str">
        <x:v>DW-3576</x:v>
      </x:c>
      <x:c r="B3581" t="str">
        <x:v>DW-3576</x:v>
      </x:c>
      <x:c r="C3581" t="str">
        <x:v>Parent indépendant 1.58</x:v>
      </x:c>
      <x:c r="D3581" t="str">
        <x:v>Industrie et production</x:v>
      </x:c>
      <x:c r="E3581" t="str">
        <x:v>Manufacture de pièces isolantes en céramique</x:v>
      </x:c>
      <x:c r="F3581" t="n">
        <x:v>9</x:v>
      </x:c>
      <x:c r="G3581" t="n">
        <x:v>8</x:v>
      </x:c>
      <x:c r="H3581" t="n">
        <x:v>8</x:v>
      </x:c>
      <x:c r="I3581" t="str">
        <x:v>À qualifier par lieu</x:v>
      </x:c>
      <x:c r="J3581" t="str">
        <x:v>https://github.com/darknigthmare/deadwall-last-enclosure/blob/1b3b9c5ba232734b1bda3453b4e20a0481bcdd74/codex-3000/addendum-1.58/PROGRAMMES_C.json</x:v>
      </x:c>
      <x:c r="K3581" t="str">
        <x:v>Source min 40,48 m ; max 40,48 m ; modèle 40 × 48 m ; niveaux 0. Détails dans catalogue-existant.json.</x:v>
      </x:c>
    </x:row>
    <x:row r="3582">
      <x:c r="A3582" t="str">
        <x:v>DW-3577</x:v>
      </x:c>
      <x:c r="B3582" t="str">
        <x:v>DW-3577</x:v>
      </x:c>
      <x:c r="C3582" t="str">
        <x:v>Parent indépendant 1.58</x:v>
      </x:c>
      <x:c r="D3582" t="str">
        <x:v>Industrie et production</x:v>
      </x:c>
      <x:c r="E3582" t="str">
        <x:v>Atelier de mortiers de réparation</x:v>
      </x:c>
      <x:c r="F3582" t="n">
        <x:v>9</x:v>
      </x:c>
      <x:c r="G3582" t="n">
        <x:v>8</x:v>
      </x:c>
      <x:c r="H3582" t="n">
        <x:v>8</x:v>
      </x:c>
      <x:c r="I3582" t="str">
        <x:v>À qualifier par lieu</x:v>
      </x:c>
      <x:c r="J3582" t="str">
        <x:v>https://github.com/darknigthmare/deadwall-last-enclosure/blob/1b3b9c5ba232734b1bda3453b4e20a0481bcdd74/codex-3000/addendum-1.58/PROGRAMMES_C.json</x:v>
      </x:c>
      <x:c r="K3582" t="str">
        <x:v>Source min 45,48 m ; max 45,48 m ; modèle 45 × 48 m ; niveaux 0. Détails dans catalogue-existant.json.</x:v>
      </x:c>
    </x:row>
    <x:row r="3583">
      <x:c r="A3583" t="str">
        <x:v>DW-3578</x:v>
      </x:c>
      <x:c r="B3583" t="str">
        <x:v>DW-3578</x:v>
      </x:c>
      <x:c r="C3583" t="str">
        <x:v>Parent indépendant 1.58</x:v>
      </x:c>
      <x:c r="D3583" t="str">
        <x:v>Industrie et production</x:v>
      </x:c>
      <x:c r="E3583" t="str">
        <x:v>Atelier de dalles de terrasse moulées</x:v>
      </x:c>
      <x:c r="F3583" t="n">
        <x:v>9</x:v>
      </x:c>
      <x:c r="G3583" t="n">
        <x:v>8</x:v>
      </x:c>
      <x:c r="H3583" t="n">
        <x:v>8</x:v>
      </x:c>
      <x:c r="I3583" t="str">
        <x:v>À qualifier par lieu</x:v>
      </x:c>
      <x:c r="J3583" t="str">
        <x:v>https://github.com/darknigthmare/deadwall-last-enclosure/blob/1b3b9c5ba232734b1bda3453b4e20a0481bcdd74/codex-3000/addendum-1.58/PROGRAMMES_C.json</x:v>
      </x:c>
      <x:c r="K3583" t="str">
        <x:v>Source min 50,42 m ; max 50,42 m ; modèle 50 × 42 m ; niveaux 0, 1. Détails dans catalogue-existant.json.</x:v>
      </x:c>
    </x:row>
    <x:row r="3584">
      <x:c r="A3584" t="str">
        <x:v>DW-3579</x:v>
      </x:c>
      <x:c r="B3584" t="str">
        <x:v>DW-3579</x:v>
      </x:c>
      <x:c r="C3584" t="str">
        <x:v>Parent indépendant 1.58</x:v>
      </x:c>
      <x:c r="D3584" t="str">
        <x:v>Industrie et production</x:v>
      </x:c>
      <x:c r="E3584" t="str">
        <x:v>Atelier de mosaïques utilitaires</x:v>
      </x:c>
      <x:c r="F3584" t="n">
        <x:v>9</x:v>
      </x:c>
      <x:c r="G3584" t="n">
        <x:v>8</x:v>
      </x:c>
      <x:c r="H3584" t="n">
        <x:v>8</x:v>
      </x:c>
      <x:c r="I3584" t="str">
        <x:v>À qualifier par lieu</x:v>
      </x:c>
      <x:c r="J3584" t="str">
        <x:v>https://github.com/darknigthmare/deadwall-last-enclosure/blob/1b3b9c5ba232734b1bda3453b4e20a0481bcdd74/codex-3000/addendum-1.58/PROGRAMMES_C.json</x:v>
      </x:c>
      <x:c r="K3584" t="str">
        <x:v>Source min 55,48 m ; max 55,48 m ; modèle 55 × 48 m ; niveaux 0. Détails dans catalogue-existant.json.</x:v>
      </x:c>
    </x:row>
    <x:row r="3585">
      <x:c r="A3585" t="str">
        <x:v>DW-3580</x:v>
      </x:c>
      <x:c r="B3585" t="str">
        <x:v>DW-3580</x:v>
      </x:c>
      <x:c r="C3585" t="str">
        <x:v>Parent indépendant 1.58</x:v>
      </x:c>
      <x:c r="D3585" t="str">
        <x:v>Industrie et production</x:v>
      </x:c>
      <x:c r="E3585" t="str">
        <x:v>Atelier de conduits de cheminée en terre</x:v>
      </x:c>
      <x:c r="F3585" t="n">
        <x:v>9</x:v>
      </x:c>
      <x:c r="G3585" t="n">
        <x:v>8</x:v>
      </x:c>
      <x:c r="H3585" t="n">
        <x:v>8</x:v>
      </x:c>
      <x:c r="I3585" t="str">
        <x:v>À qualifier par lieu</x:v>
      </x:c>
      <x:c r="J3585" t="str">
        <x:v>https://github.com/darknigthmare/deadwall-last-enclosure/blob/1b3b9c5ba232734b1bda3453b4e20a0481bcdd74/codex-3000/addendum-1.58/PROGRAMMES_C.json</x:v>
      </x:c>
      <x:c r="K3585" t="str">
        <x:v>Source min 60,48 m ; max 60,48 m ; modèle 60 × 48 m ; niveaux 0. Détails dans catalogue-existant.json.</x:v>
      </x:c>
    </x:row>
    <x:row r="3586">
      <x:c r="A3586" t="str">
        <x:v>DW-3581</x:v>
      </x:c>
      <x:c r="B3586" t="str">
        <x:v>DW-3581</x:v>
      </x:c>
      <x:c r="C3586" t="str">
        <x:v>Parent indépendant 1.58</x:v>
      </x:c>
      <x:c r="D3586" t="str">
        <x:v>Industrie et production</x:v>
      </x:c>
      <x:c r="E3586" t="str">
        <x:v>Atelier de coffres à outils roulants</x:v>
      </x:c>
      <x:c r="F3586" t="n">
        <x:v>9</x:v>
      </x:c>
      <x:c r="G3586" t="n">
        <x:v>8</x:v>
      </x:c>
      <x:c r="H3586" t="n">
        <x:v>8</x:v>
      </x:c>
      <x:c r="I3586" t="str">
        <x:v>À qualifier par lieu</x:v>
      </x:c>
      <x:c r="J3586" t="str">
        <x:v>https://github.com/darknigthmare/deadwall-last-enclosure/blob/1b3b9c5ba232734b1bda3453b4e20a0481bcdd74/codex-3000/addendum-1.58/PROGRAMMES_C.json</x:v>
      </x:c>
      <x:c r="K3586" t="str">
        <x:v>Source min 40,36 m ; max 40,36 m ; modèle 40 × 36 m ; niveaux 0. Détails dans catalogue-existant.json.</x:v>
      </x:c>
    </x:row>
    <x:row r="3587">
      <x:c r="A3587" t="str">
        <x:v>DW-3582</x:v>
      </x:c>
      <x:c r="B3587" t="str">
        <x:v>DW-3582</x:v>
      </x:c>
      <x:c r="C3587" t="str">
        <x:v>Parent indépendant 1.58</x:v>
      </x:c>
      <x:c r="D3587" t="str">
        <x:v>Industrie et production</x:v>
      </x:c>
      <x:c r="E3587" t="str">
        <x:v>Atelier de transpalettes manuels</x:v>
      </x:c>
      <x:c r="F3587" t="n">
        <x:v>9</x:v>
      </x:c>
      <x:c r="G3587" t="n">
        <x:v>8</x:v>
      </x:c>
      <x:c r="H3587" t="n">
        <x:v>8</x:v>
      </x:c>
      <x:c r="I3587" t="str">
        <x:v>À qualifier par lieu</x:v>
      </x:c>
      <x:c r="J3587" t="str">
        <x:v>https://github.com/darknigthmare/deadwall-last-enclosure/blob/1b3b9c5ba232734b1bda3453b4e20a0481bcdd74/codex-3000/addendum-1.58/PROGRAMMES_C.json</x:v>
      </x:c>
      <x:c r="K3587" t="str">
        <x:v>Source min 45,36 m ; max 45,36 m ; modèle 45 × 36 m ; niveaux 0. Détails dans catalogue-existant.json.</x:v>
      </x:c>
    </x:row>
    <x:row r="3588">
      <x:c r="A3588" t="str">
        <x:v>DW-3583</x:v>
      </x:c>
      <x:c r="B3588" t="str">
        <x:v>DW-3583</x:v>
      </x:c>
      <x:c r="C3588" t="str">
        <x:v>Parent indépendant 1.58</x:v>
      </x:c>
      <x:c r="D3588" t="str">
        <x:v>Industrie et production</x:v>
      </x:c>
      <x:c r="E3588" t="str">
        <x:v>Atelier de charnières de porte blindée</x:v>
      </x:c>
      <x:c r="F3588" t="n">
        <x:v>9</x:v>
      </x:c>
      <x:c r="G3588" t="n">
        <x:v>8</x:v>
      </x:c>
      <x:c r="H3588" t="n">
        <x:v>8</x:v>
      </x:c>
      <x:c r="I3588" t="str">
        <x:v>À qualifier par lieu</x:v>
      </x:c>
      <x:c r="J3588" t="str">
        <x:v>https://github.com/darknigthmare/deadwall-last-enclosure/blob/1b3b9c5ba232734b1bda3453b4e20a0481bcdd74/codex-3000/addendum-1.58/PROGRAMMES_C.json</x:v>
      </x:c>
      <x:c r="K3588" t="str">
        <x:v>Source min 50,30 m ; max 50,30 m ; modèle 50 × 30 m ; niveaux 0, 1. Détails dans catalogue-existant.json.</x:v>
      </x:c>
    </x:row>
    <x:row r="3589">
      <x:c r="A3589" t="str">
        <x:v>DW-3584</x:v>
      </x:c>
      <x:c r="B3589" t="str">
        <x:v>DW-3584</x:v>
      </x:c>
      <x:c r="C3589" t="str">
        <x:v>Parent indépendant 1.58</x:v>
      </x:c>
      <x:c r="D3589" t="str">
        <x:v>Industrie et production</x:v>
      </x:c>
      <x:c r="E3589" t="str">
        <x:v>Atelier de poêles à combustion lente</x:v>
      </x:c>
      <x:c r="F3589" t="n">
        <x:v>9</x:v>
      </x:c>
      <x:c r="G3589" t="n">
        <x:v>8</x:v>
      </x:c>
      <x:c r="H3589" t="n">
        <x:v>8</x:v>
      </x:c>
      <x:c r="I3589" t="str">
        <x:v>À qualifier par lieu</x:v>
      </x:c>
      <x:c r="J3589" t="str">
        <x:v>https://github.com/darknigthmare/deadwall-last-enclosure/blob/1b3b9c5ba232734b1bda3453b4e20a0481bcdd74/codex-3000/addendum-1.58/PROGRAMMES_C.json</x:v>
      </x:c>
      <x:c r="K3589" t="str">
        <x:v>Source min 55,36 m ; max 55,36 m ; modèle 55 × 36 m ; niveaux 0. Détails dans catalogue-existant.json.</x:v>
      </x:c>
    </x:row>
    <x:row r="3590">
      <x:c r="A3590" t="str">
        <x:v>DW-3585</x:v>
      </x:c>
      <x:c r="B3590" t="str">
        <x:v>DW-3585</x:v>
      </x:c>
      <x:c r="C3590" t="str">
        <x:v>Parent indépendant 1.58</x:v>
      </x:c>
      <x:c r="D3590" t="str">
        <x:v>Industrie et production</x:v>
      </x:c>
      <x:c r="E3590" t="str">
        <x:v>Atelier de coffrets de secours portatifs</x:v>
      </x:c>
      <x:c r="F3590" t="n">
        <x:v>9</x:v>
      </x:c>
      <x:c r="G3590" t="n">
        <x:v>8</x:v>
      </x:c>
      <x:c r="H3590" t="n">
        <x:v>8</x:v>
      </x:c>
      <x:c r="I3590" t="str">
        <x:v>À qualifier par lieu</x:v>
      </x:c>
      <x:c r="J3590" t="str">
        <x:v>https://github.com/darknigthmare/deadwall-last-enclosure/blob/1b3b9c5ba232734b1bda3453b4e20a0481bcdd74/codex-3000/addendum-1.58/PROGRAMMES_C.json</x:v>
      </x:c>
      <x:c r="K3590" t="str">
        <x:v>Source min 60,36 m ; max 60,36 m ; modèle 60 × 36 m ; niveaux 0. Détails dans catalogue-existant.json.</x:v>
      </x:c>
    </x:row>
    <x:row r="3591">
      <x:c r="A3591" t="str">
        <x:v>DW-3586</x:v>
      </x:c>
      <x:c r="B3591" t="str">
        <x:v>DW-3586</x:v>
      </x:c>
      <x:c r="C3591" t="str">
        <x:v>Parent indépendant 1.58</x:v>
      </x:c>
      <x:c r="D3591" t="str">
        <x:v>Agriculture</x:v>
      </x:c>
      <x:c r="E3591" t="str">
        <x:v>Station de nettoyage des semences</x:v>
      </x:c>
      <x:c r="F3591" t="n">
        <x:v>9</x:v>
      </x:c>
      <x:c r="G3591" t="n">
        <x:v>8</x:v>
      </x:c>
      <x:c r="H3591" t="n">
        <x:v>8</x:v>
      </x:c>
      <x:c r="I3591" t="str">
        <x:v>À qualifier par lieu</x:v>
      </x:c>
      <x:c r="J3591" t="str">
        <x:v>https://github.com/darknigthmare/deadwall-last-enclosure/blob/1b3b9c5ba232734b1bda3453b4e20a0481bcdd74/codex-3000/addendum-1.58/PROGRAMMES_C.json</x:v>
      </x:c>
      <x:c r="K3591" t="str">
        <x:v>Source min 34,40 m ; max 34,40 m ; modèle 34 × 40 m ; niveaux 0. Détails dans catalogue-existant.json.</x:v>
      </x:c>
    </x:row>
    <x:row r="3592">
      <x:c r="A3592" t="str">
        <x:v>DW-3587</x:v>
      </x:c>
      <x:c r="B3592" t="str">
        <x:v>DW-3587</x:v>
      </x:c>
      <x:c r="C3592" t="str">
        <x:v>Parent indépendant 1.58</x:v>
      </x:c>
      <x:c r="D3592" t="str">
        <x:v>Agriculture</x:v>
      </x:c>
      <x:c r="E3592" t="str">
        <x:v>Maison de conservation des graines paysannes</x:v>
      </x:c>
      <x:c r="F3592" t="n">
        <x:v>9</x:v>
      </x:c>
      <x:c r="G3592" t="n">
        <x:v>8</x:v>
      </x:c>
      <x:c r="H3592" t="n">
        <x:v>8</x:v>
      </x:c>
      <x:c r="I3592" t="str">
        <x:v>À qualifier par lieu</x:v>
      </x:c>
      <x:c r="J3592" t="str">
        <x:v>https://github.com/darknigthmare/deadwall-last-enclosure/blob/1b3b9c5ba232734b1bda3453b4e20a0481bcdd74/codex-3000/addendum-1.58/PROGRAMMES_C.json</x:v>
      </x:c>
      <x:c r="K3592" t="str">
        <x:v>Source min 39,40 m ; max 39,40 m ; modèle 39 × 40 m ; niveaux 0. Détails dans catalogue-existant.json.</x:v>
      </x:c>
    </x:row>
    <x:row r="3593">
      <x:c r="A3593" t="str">
        <x:v>DW-3588</x:v>
      </x:c>
      <x:c r="B3593" t="str">
        <x:v>DW-3588</x:v>
      </x:c>
      <x:c r="C3593" t="str">
        <x:v>Parent indépendant 1.58</x:v>
      </x:c>
      <x:c r="D3593" t="str">
        <x:v>Agriculture</x:v>
      </x:c>
      <x:c r="E3593" t="str">
        <x:v>Laboratoire de germination rurale</x:v>
      </x:c>
      <x:c r="F3593" t="n">
        <x:v>9</x:v>
      </x:c>
      <x:c r="G3593" t="n">
        <x:v>8</x:v>
      </x:c>
      <x:c r="H3593" t="n">
        <x:v>8</x:v>
      </x:c>
      <x:c r="I3593" t="str">
        <x:v>À qualifier par lieu</x:v>
      </x:c>
      <x:c r="J3593" t="str">
        <x:v>https://github.com/darknigthmare/deadwall-last-enclosure/blob/1b3b9c5ba232734b1bda3453b4e20a0481bcdd74/codex-3000/addendum-1.58/PROGRAMMES_C.json</x:v>
      </x:c>
      <x:c r="K3593" t="str">
        <x:v>Source min 44,34 m ; max 44,34 m ; modèle 44 × 34 m ; niveaux 0, 1. Détails dans catalogue-existant.json.</x:v>
      </x:c>
    </x:row>
    <x:row r="3594">
      <x:c r="A3594" t="str">
        <x:v>DW-3589</x:v>
      </x:c>
      <x:c r="B3594" t="str">
        <x:v>DW-3589</x:v>
      </x:c>
      <x:c r="C3594" t="str">
        <x:v>Parent indépendant 1.58</x:v>
      </x:c>
      <x:c r="D3594" t="str">
        <x:v>Agriculture</x:v>
      </x:c>
      <x:c r="E3594" t="str">
        <x:v>Halle de greffage arboricole</x:v>
      </x:c>
      <x:c r="F3594" t="n">
        <x:v>9</x:v>
      </x:c>
      <x:c r="G3594" t="n">
        <x:v>8</x:v>
      </x:c>
      <x:c r="H3594" t="n">
        <x:v>8</x:v>
      </x:c>
      <x:c r="I3594" t="str">
        <x:v>À qualifier par lieu</x:v>
      </x:c>
      <x:c r="J3594" t="str">
        <x:v>https://github.com/darknigthmare/deadwall-last-enclosure/blob/1b3b9c5ba232734b1bda3453b4e20a0481bcdd74/codex-3000/addendum-1.58/PROGRAMMES_C.json</x:v>
      </x:c>
      <x:c r="K3594" t="str">
        <x:v>Source min 49,40 m ; max 49,40 m ; modèle 49 × 40 m ; niveaux 0. Détails dans catalogue-existant.json.</x:v>
      </x:c>
    </x:row>
    <x:row r="3595">
      <x:c r="A3595" t="str">
        <x:v>DW-3590</x:v>
      </x:c>
      <x:c r="B3595" t="str">
        <x:v>DW-3590</x:v>
      </x:c>
      <x:c r="C3595" t="str">
        <x:v>Parent indépendant 1.58</x:v>
      </x:c>
      <x:c r="D3595" t="str">
        <x:v>Agriculture</x:v>
      </x:c>
      <x:c r="E3595" t="str">
        <x:v>Atelier de bouturage de haies</x:v>
      </x:c>
      <x:c r="F3595" t="n">
        <x:v>9</x:v>
      </x:c>
      <x:c r="G3595" t="n">
        <x:v>8</x:v>
      </x:c>
      <x:c r="H3595" t="n">
        <x:v>8</x:v>
      </x:c>
      <x:c r="I3595" t="str">
        <x:v>À qualifier par lieu</x:v>
      </x:c>
      <x:c r="J3595" t="str">
        <x:v>https://github.com/darknigthmare/deadwall-last-enclosure/blob/1b3b9c5ba232734b1bda3453b4e20a0481bcdd74/codex-3000/addendum-1.58/PROGRAMMES_C.json</x:v>
      </x:c>
      <x:c r="K3595" t="str">
        <x:v>Source min 54,40 m ; max 54,40 m ; modèle 54 × 40 m ; niveaux 0. Détails dans catalogue-existant.json.</x:v>
      </x:c>
    </x:row>
    <x:row r="3596">
      <x:c r="A3596" t="str">
        <x:v>DW-3591</x:v>
      </x:c>
      <x:c r="B3596" t="str">
        <x:v>DW-3591</x:v>
      </x:c>
      <x:c r="C3596" t="str">
        <x:v>Parent indépendant 1.58</x:v>
      </x:c>
      <x:c r="D3596" t="str">
        <x:v>Agriculture</x:v>
      </x:c>
      <x:c r="E3596" t="str">
        <x:v>Pépinière de restauration bocagère</x:v>
      </x:c>
      <x:c r="F3596" t="n">
        <x:v>9</x:v>
      </x:c>
      <x:c r="G3596" t="n">
        <x:v>8</x:v>
      </x:c>
      <x:c r="H3596" t="n">
        <x:v>8</x:v>
      </x:c>
      <x:c r="I3596" t="str">
        <x:v>À qualifier par lieu</x:v>
      </x:c>
      <x:c r="J3596" t="str">
        <x:v>https://github.com/darknigthmare/deadwall-last-enclosure/blob/1b3b9c5ba232734b1bda3453b4e20a0481bcdd74/codex-3000/addendum-1.58/PROGRAMMES_C.json</x:v>
      </x:c>
      <x:c r="K3596" t="str">
        <x:v>Source min 34,44 m ; max 34,44 m ; modèle 34 × 44 m ; niveaux 0. Détails dans catalogue-existant.json.</x:v>
      </x:c>
    </x:row>
    <x:row r="3597">
      <x:c r="A3597" t="str">
        <x:v>DW-3592</x:v>
      </x:c>
      <x:c r="B3597" t="str">
        <x:v>DW-3592</x:v>
      </x:c>
      <x:c r="C3597" t="str">
        <x:v>Parent indépendant 1.58</x:v>
      </x:c>
      <x:c r="D3597" t="str">
        <x:v>Agriculture</x:v>
      </x:c>
      <x:c r="E3597" t="str">
        <x:v>Serre de multiplication des porte-greffes</x:v>
      </x:c>
      <x:c r="F3597" t="n">
        <x:v>9</x:v>
      </x:c>
      <x:c r="G3597" t="n">
        <x:v>8</x:v>
      </x:c>
      <x:c r="H3597" t="n">
        <x:v>8</x:v>
      </x:c>
      <x:c r="I3597" t="str">
        <x:v>À qualifier par lieu</x:v>
      </x:c>
      <x:c r="J3597" t="str">
        <x:v>https://github.com/darknigthmare/deadwall-last-enclosure/blob/1b3b9c5ba232734b1bda3453b4e20a0481bcdd74/codex-3000/addendum-1.58/PROGRAMMES_C.json</x:v>
      </x:c>
      <x:c r="K3597" t="str">
        <x:v>Source min 39,44 m ; max 39,44 m ; modèle 39 × 44 m ; niveaux 0. Détails dans catalogue-existant.json.</x:v>
      </x:c>
    </x:row>
    <x:row r="3598">
      <x:c r="A3598" t="str">
        <x:v>DW-3593</x:v>
      </x:c>
      <x:c r="B3598" t="str">
        <x:v>DW-3593</x:v>
      </x:c>
      <x:c r="C3598" t="str">
        <x:v>Parent indépendant 1.58</x:v>
      </x:c>
      <x:c r="D3598" t="str">
        <x:v>Agriculture</x:v>
      </x:c>
      <x:c r="E3598" t="str">
        <x:v>Maison des stolons de fraisiers</x:v>
      </x:c>
      <x:c r="F3598" t="n">
        <x:v>9</x:v>
      </x:c>
      <x:c r="G3598" t="n">
        <x:v>8</x:v>
      </x:c>
      <x:c r="H3598" t="n">
        <x:v>8</x:v>
      </x:c>
      <x:c r="I3598" t="str">
        <x:v>À qualifier par lieu</x:v>
      </x:c>
      <x:c r="J3598" t="str">
        <x:v>https://github.com/darknigthmare/deadwall-last-enclosure/blob/1b3b9c5ba232734b1bda3453b4e20a0481bcdd74/codex-3000/addendum-1.58/PROGRAMMES_C.json</x:v>
      </x:c>
      <x:c r="K3598" t="str">
        <x:v>Source min 44,38 m ; max 44,38 m ; modèle 44 × 38 m ; niveaux 0, 1. Détails dans catalogue-existant.json.</x:v>
      </x:c>
    </x:row>
    <x:row r="3599">
      <x:c r="A3599" t="str">
        <x:v>DW-3594</x:v>
      </x:c>
      <x:c r="B3599" t="str">
        <x:v>DW-3594</x:v>
      </x:c>
      <x:c r="C3599" t="str">
        <x:v>Parent indépendant 1.58</x:v>
      </x:c>
      <x:c r="D3599" t="str">
        <x:v>Agriculture</x:v>
      </x:c>
      <x:c r="E3599" t="str">
        <x:v>Serre d'hivernage des plants sensibles</x:v>
      </x:c>
      <x:c r="F3599" t="n">
        <x:v>9</x:v>
      </x:c>
      <x:c r="G3599" t="n">
        <x:v>8</x:v>
      </x:c>
      <x:c r="H3599" t="n">
        <x:v>8</x:v>
      </x:c>
      <x:c r="I3599" t="str">
        <x:v>À qualifier par lieu</x:v>
      </x:c>
      <x:c r="J3599" t="str">
        <x:v>https://github.com/darknigthmare/deadwall-last-enclosure/blob/1b3b9c5ba232734b1bda3453b4e20a0481bcdd74/codex-3000/addendum-1.58/PROGRAMMES_C.json</x:v>
      </x:c>
      <x:c r="K3599" t="str">
        <x:v>Source min 49,44 m ; max 49,44 m ; modèle 49 × 44 m ; niveaux 0. Détails dans catalogue-existant.json.</x:v>
      </x:c>
    </x:row>
    <x:row r="3600">
      <x:c r="A3600" t="str">
        <x:v>DW-3595</x:v>
      </x:c>
      <x:c r="B3600" t="str">
        <x:v>DW-3595</x:v>
      </x:c>
      <x:c r="C3600" t="str">
        <x:v>Parent indépendant 1.58</x:v>
      </x:c>
      <x:c r="D3600" t="str">
        <x:v>Agriculture</x:v>
      </x:c>
      <x:c r="E3600" t="str">
        <x:v>Serre de reprise des plants repiqués</x:v>
      </x:c>
      <x:c r="F3600" t="n">
        <x:v>9</x:v>
      </x:c>
      <x:c r="G3600" t="n">
        <x:v>8</x:v>
      </x:c>
      <x:c r="H3600" t="n">
        <x:v>8</x:v>
      </x:c>
      <x:c r="I3600" t="str">
        <x:v>À qualifier par lieu</x:v>
      </x:c>
      <x:c r="J3600" t="str">
        <x:v>https://github.com/darknigthmare/deadwall-last-enclosure/blob/1b3b9c5ba232734b1bda3453b4e20a0481bcdd74/codex-3000/addendum-1.58/PROGRAMMES_C.json</x:v>
      </x:c>
      <x:c r="K3600" t="str">
        <x:v>Source min 54,44 m ; max 54,44 m ; modèle 54 × 44 m ; niveaux 0. Détails dans catalogue-existant.json.</x:v>
      </x:c>
    </x:row>
    <x:row r="3601">
      <x:c r="A3601" t="str">
        <x:v>DW-3596</x:v>
      </x:c>
      <x:c r="B3601" t="str">
        <x:v>DW-3596</x:v>
      </x:c>
      <x:c r="C3601" t="str">
        <x:v>Parent indépendant 1.58</x:v>
      </x:c>
      <x:c r="D3601" t="str">
        <x:v>Agriculture</x:v>
      </x:c>
      <x:c r="E3601" t="str">
        <x:v>Atelier de composts horticoles tamisés</x:v>
      </x:c>
      <x:c r="F3601" t="n">
        <x:v>9</x:v>
      </x:c>
      <x:c r="G3601" t="n">
        <x:v>8</x:v>
      </x:c>
      <x:c r="H3601" t="n">
        <x:v>8</x:v>
      </x:c>
      <x:c r="I3601" t="str">
        <x:v>À qualifier par lieu</x:v>
      </x:c>
      <x:c r="J3601" t="str">
        <x:v>https://github.com/darknigthmare/deadwall-last-enclosure/blob/1b3b9c5ba232734b1bda3453b4e20a0481bcdd74/codex-3000/addendum-1.58/PROGRAMMES_C.json</x:v>
      </x:c>
      <x:c r="K3601" t="str">
        <x:v>Source min 34,48 m ; max 34,48 m ; modèle 34 × 48 m ; niveaux 0. Détails dans catalogue-existant.json.</x:v>
      </x:c>
    </x:row>
    <x:row r="3602">
      <x:c r="A3602" t="str">
        <x:v>DW-3597</x:v>
      </x:c>
      <x:c r="B3602" t="str">
        <x:v>DW-3597</x:v>
      </x:c>
      <x:c r="C3602" t="str">
        <x:v>Parent indépendant 1.58</x:v>
      </x:c>
      <x:c r="D3602" t="str">
        <x:v>Agriculture</x:v>
      </x:c>
      <x:c r="E3602" t="str">
        <x:v>Station de dosage des substrats</x:v>
      </x:c>
      <x:c r="F3602" t="n">
        <x:v>9</x:v>
      </x:c>
      <x:c r="G3602" t="n">
        <x:v>8</x:v>
      </x:c>
      <x:c r="H3602" t="n">
        <x:v>8</x:v>
      </x:c>
      <x:c r="I3602" t="str">
        <x:v>À qualifier par lieu</x:v>
      </x:c>
      <x:c r="J3602" t="str">
        <x:v>https://github.com/darknigthmare/deadwall-last-enclosure/blob/1b3b9c5ba232734b1bda3453b4e20a0481bcdd74/codex-3000/addendum-1.58/PROGRAMMES_C.json</x:v>
      </x:c>
      <x:c r="K3602" t="str">
        <x:v>Source min 39,48 m ; max 39,48 m ; modèle 39 × 48 m ; niveaux 0. Détails dans catalogue-existant.json.</x:v>
      </x:c>
    </x:row>
    <x:row r="3603">
      <x:c r="A3603" t="str">
        <x:v>DW-3598</x:v>
      </x:c>
      <x:c r="B3603" t="str">
        <x:v>DW-3598</x:v>
      </x:c>
      <x:c r="C3603" t="str">
        <x:v>Parent indépendant 1.58</x:v>
      </x:c>
      <x:c r="D3603" t="str">
        <x:v>Agriculture</x:v>
      </x:c>
      <x:c r="E3603" t="str">
        <x:v>Atelier de motteuses maraîchères</x:v>
      </x:c>
      <x:c r="F3603" t="n">
        <x:v>9</x:v>
      </x:c>
      <x:c r="G3603" t="n">
        <x:v>8</x:v>
      </x:c>
      <x:c r="H3603" t="n">
        <x:v>8</x:v>
      </x:c>
      <x:c r="I3603" t="str">
        <x:v>À qualifier par lieu</x:v>
      </x:c>
      <x:c r="J3603" t="str">
        <x:v>https://github.com/darknigthmare/deadwall-last-enclosure/blob/1b3b9c5ba232734b1bda3453b4e20a0481bcdd74/codex-3000/addendum-1.58/PROGRAMMES_C.json</x:v>
      </x:c>
      <x:c r="K3603" t="str">
        <x:v>Source min 44,42 m ; max 44,42 m ; modèle 44 × 42 m ; niveaux 0, 1. Détails dans catalogue-existant.json.</x:v>
      </x:c>
    </x:row>
    <x:row r="3604">
      <x:c r="A3604" t="str">
        <x:v>DW-3599</x:v>
      </x:c>
      <x:c r="B3604" t="str">
        <x:v>DW-3599</x:v>
      </x:c>
      <x:c r="C3604" t="str">
        <x:v>Parent indépendant 1.58</x:v>
      </x:c>
      <x:c r="D3604" t="str">
        <x:v>Agriculture</x:v>
      </x:c>
      <x:c r="E3604" t="str">
        <x:v>Station de lavage des caisses de récolte</x:v>
      </x:c>
      <x:c r="F3604" t="n">
        <x:v>9</x:v>
      </x:c>
      <x:c r="G3604" t="n">
        <x:v>8</x:v>
      </x:c>
      <x:c r="H3604" t="n">
        <x:v>8</x:v>
      </x:c>
      <x:c r="I3604" t="str">
        <x:v>À qualifier par lieu</x:v>
      </x:c>
      <x:c r="J3604" t="str">
        <x:v>https://github.com/darknigthmare/deadwall-last-enclosure/blob/1b3b9c5ba232734b1bda3453b4e20a0481bcdd74/codex-3000/addendum-1.58/PROGRAMMES_C.json</x:v>
      </x:c>
      <x:c r="K3604" t="str">
        <x:v>Source min 49,48 m ; max 49,48 m ; modèle 49 × 48 m ; niveaux 0. Détails dans catalogue-existant.json.</x:v>
      </x:c>
    </x:row>
    <x:row r="3605">
      <x:c r="A3605" t="str">
        <x:v>DW-3600</x:v>
      </x:c>
      <x:c r="B3605" t="str">
        <x:v>DW-3600</x:v>
      </x:c>
      <x:c r="C3605" t="str">
        <x:v>Parent indépendant 1.58</x:v>
      </x:c>
      <x:c r="D3605" t="str">
        <x:v>Agriculture</x:v>
      </x:c>
      <x:c r="E3605" t="str">
        <x:v>Halle de pesée des récoltes partagées</x:v>
      </x:c>
      <x:c r="F3605" t="n">
        <x:v>9</x:v>
      </x:c>
      <x:c r="G3605" t="n">
        <x:v>8</x:v>
      </x:c>
      <x:c r="H3605" t="n">
        <x:v>8</x:v>
      </x:c>
      <x:c r="I3605" t="str">
        <x:v>À qualifier par lieu</x:v>
      </x:c>
      <x:c r="J3605" t="str">
        <x:v>https://github.com/darknigthmare/deadwall-last-enclosure/blob/1b3b9c5ba232734b1bda3453b4e20a0481bcdd74/codex-3000/addendum-1.58/PROGRAMMES_C.json</x:v>
      </x:c>
      <x:c r="K3605" t="str">
        <x:v>Source min 54,48 m ; max 54,48 m ; modèle 54 × 48 m ; niveaux 0. Détails dans catalogue-existant.json.</x:v>
      </x:c>
    </x:row>
    <x:row r="3606">
      <x:c r="A3606" t="str">
        <x:v>DW-3601</x:v>
      </x:c>
      <x:c r="B3606" t="str">
        <x:v>DW-3601</x:v>
      </x:c>
      <x:c r="C3606" t="str">
        <x:v>Parent indépendant 1.58</x:v>
      </x:c>
      <x:c r="D3606" t="str">
        <x:v>Agriculture</x:v>
      </x:c>
      <x:c r="E3606" t="str">
        <x:v>Bureau de diagnostic des sols</x:v>
      </x:c>
      <x:c r="F3606" t="n">
        <x:v>9</x:v>
      </x:c>
      <x:c r="G3606" t="n">
        <x:v>8</x:v>
      </x:c>
      <x:c r="H3606" t="n">
        <x:v>8</x:v>
      </x:c>
      <x:c r="I3606" t="str">
        <x:v>À qualifier par lieu</x:v>
      </x:c>
      <x:c r="J3606" t="str">
        <x:v>https://github.com/darknigthmare/deadwall-last-enclosure/blob/1b3b9c5ba232734b1bda3453b4e20a0481bcdd74/codex-3000/addendum-1.58/PROGRAMMES_C.json</x:v>
      </x:c>
      <x:c r="K3606" t="str">
        <x:v>Source min 34,36 m ; max 34,36 m ; modèle 34 × 36 m ; niveaux 0. Détails dans catalogue-existant.json.</x:v>
      </x:c>
    </x:row>
    <x:row r="3607">
      <x:c r="A3607" t="str">
        <x:v>DW-3602</x:v>
      </x:c>
      <x:c r="B3607" t="str">
        <x:v>DW-3602</x:v>
      </x:c>
      <x:c r="C3607" t="str">
        <x:v>Parent indépendant 1.58</x:v>
      </x:c>
      <x:c r="D3607" t="str">
        <x:v>Agriculture</x:v>
      </x:c>
      <x:c r="E3607" t="str">
        <x:v>Atelier d'entretien des outils de greffe</x:v>
      </x:c>
      <x:c r="F3607" t="n">
        <x:v>9</x:v>
      </x:c>
      <x:c r="G3607" t="n">
        <x:v>8</x:v>
      </x:c>
      <x:c r="H3607" t="n">
        <x:v>8</x:v>
      </x:c>
      <x:c r="I3607" t="str">
        <x:v>À qualifier par lieu</x:v>
      </x:c>
      <x:c r="J3607" t="str">
        <x:v>https://github.com/darknigthmare/deadwall-last-enclosure/blob/1b3b9c5ba232734b1bda3453b4e20a0481bcdd74/codex-3000/addendum-1.58/PROGRAMMES_C.json</x:v>
      </x:c>
      <x:c r="K3607" t="str">
        <x:v>Source min 39,36 m ; max 39,36 m ; modèle 39 × 36 m ; niveaux 0. Détails dans catalogue-existant.json.</x:v>
      </x:c>
    </x:row>
    <x:row r="3608">
      <x:c r="A3608" t="str">
        <x:v>DW-3603</x:v>
      </x:c>
      <x:c r="B3608" t="str">
        <x:v>DW-3603</x:v>
      </x:c>
      <x:c r="C3608" t="str">
        <x:v>Parent indépendant 1.58</x:v>
      </x:c>
      <x:c r="D3608" t="str">
        <x:v>Agriculture</x:v>
      </x:c>
      <x:c r="E3608" t="str">
        <x:v>Dépôt de supports pour cultures grimpantes</x:v>
      </x:c>
      <x:c r="F3608" t="n">
        <x:v>9</x:v>
      </x:c>
      <x:c r="G3608" t="n">
        <x:v>8</x:v>
      </x:c>
      <x:c r="H3608" t="n">
        <x:v>8</x:v>
      </x:c>
      <x:c r="I3608" t="str">
        <x:v>À qualifier par lieu</x:v>
      </x:c>
      <x:c r="J3608" t="str">
        <x:v>https://github.com/darknigthmare/deadwall-last-enclosure/blob/1b3b9c5ba232734b1bda3453b4e20a0481bcdd74/codex-3000/addendum-1.58/PROGRAMMES_C.json</x:v>
      </x:c>
      <x:c r="K3608" t="str">
        <x:v>Source min 44,30 m ; max 44,30 m ; modèle 44 × 30 m ; niveaux 0, 1. Détails dans catalogue-existant.json.</x:v>
      </x:c>
    </x:row>
    <x:row r="3609">
      <x:c r="A3609" t="str">
        <x:v>DW-3604</x:v>
      </x:c>
      <x:c r="B3609" t="str">
        <x:v>DW-3604</x:v>
      </x:c>
      <x:c r="C3609" t="str">
        <x:v>Parent indépendant 1.58</x:v>
      </x:c>
      <x:c r="D3609" t="str">
        <x:v>Agriculture</x:v>
      </x:c>
      <x:c r="E3609" t="str">
        <x:v>Halle de séchage des gerbes</x:v>
      </x:c>
      <x:c r="F3609" t="n">
        <x:v>9</x:v>
      </x:c>
      <x:c r="G3609" t="n">
        <x:v>8</x:v>
      </x:c>
      <x:c r="H3609" t="n">
        <x:v>8</x:v>
      </x:c>
      <x:c r="I3609" t="str">
        <x:v>À qualifier par lieu</x:v>
      </x:c>
      <x:c r="J3609" t="str">
        <x:v>https://github.com/darknigthmare/deadwall-last-enclosure/blob/1b3b9c5ba232734b1bda3453b4e20a0481bcdd74/codex-3000/addendum-1.58/PROGRAMMES_C.json</x:v>
      </x:c>
      <x:c r="K3609" t="str">
        <x:v>Source min 49,36 m ; max 49,36 m ; modèle 49 × 36 m ; niveaux 0. Détails dans catalogue-existant.json.</x:v>
      </x:c>
    </x:row>
    <x:row r="3610">
      <x:c r="A3610" t="str">
        <x:v>DW-3605</x:v>
      </x:c>
      <x:c r="B3610" t="str">
        <x:v>DW-3605</x:v>
      </x:c>
      <x:c r="C3610" t="str">
        <x:v>Parent indépendant 1.58</x:v>
      </x:c>
      <x:c r="D3610" t="str">
        <x:v>Agriculture</x:v>
      </x:c>
      <x:c r="E3610" t="str">
        <x:v>Grange de battage des petites récoltes</x:v>
      </x:c>
      <x:c r="F3610" t="n">
        <x:v>9</x:v>
      </x:c>
      <x:c r="G3610" t="n">
        <x:v>8</x:v>
      </x:c>
      <x:c r="H3610" t="n">
        <x:v>8</x:v>
      </x:c>
      <x:c r="I3610" t="str">
        <x:v>À qualifier par lieu</x:v>
      </x:c>
      <x:c r="J3610" t="str">
        <x:v>https://github.com/darknigthmare/deadwall-last-enclosure/blob/1b3b9c5ba232734b1bda3453b4e20a0481bcdd74/codex-3000/addendum-1.58/PROGRAMMES_C.json</x:v>
      </x:c>
      <x:c r="K3610" t="str">
        <x:v>Source min 54,36 m ; max 54,36 m ; modèle 54 × 36 m ; niveaux 0. Détails dans catalogue-existant.json.</x:v>
      </x:c>
    </x:row>
    <x:row r="3611">
      <x:c r="A3611" t="str">
        <x:v>DW-3606</x:v>
      </x:c>
      <x:c r="B3611" t="str">
        <x:v>DW-3606</x:v>
      </x:c>
      <x:c r="C3611" t="str">
        <x:v>Parent indépendant 1.58</x:v>
      </x:c>
      <x:c r="D3611" t="str">
        <x:v>Agriculture</x:v>
      </x:c>
      <x:c r="E3611" t="str">
        <x:v>Station de décorticage des semences</x:v>
      </x:c>
      <x:c r="F3611" t="n">
        <x:v>9</x:v>
      </x:c>
      <x:c r="G3611" t="n">
        <x:v>8</x:v>
      </x:c>
      <x:c r="H3611" t="n">
        <x:v>8</x:v>
      </x:c>
      <x:c r="I3611" t="str">
        <x:v>À qualifier par lieu</x:v>
      </x:c>
      <x:c r="J3611" t="str">
        <x:v>https://github.com/darknigthmare/deadwall-last-enclosure/blob/1b3b9c5ba232734b1bda3453b4e20a0481bcdd74/codex-3000/addendum-1.58/PROGRAMMES_C.json</x:v>
      </x:c>
      <x:c r="K3611" t="str">
        <x:v>Source min 34,40 m ; max 34,40 m ; modèle 34 × 40 m ; niveaux 0. Détails dans catalogue-existant.json.</x:v>
      </x:c>
    </x:row>
    <x:row r="3612">
      <x:c r="A3612" t="str">
        <x:v>DW-3607</x:v>
      </x:c>
      <x:c r="B3612" t="str">
        <x:v>DW-3607</x:v>
      </x:c>
      <x:c r="C3612" t="str">
        <x:v>Parent indépendant 1.58</x:v>
      </x:c>
      <x:c r="D3612" t="str">
        <x:v>Agriculture</x:v>
      </x:c>
      <x:c r="E3612" t="str">
        <x:v>Atelier de nettoyage des fibres de chanvre</x:v>
      </x:c>
      <x:c r="F3612" t="n">
        <x:v>9</x:v>
      </x:c>
      <x:c r="G3612" t="n">
        <x:v>8</x:v>
      </x:c>
      <x:c r="H3612" t="n">
        <x:v>8</x:v>
      </x:c>
      <x:c r="I3612" t="str">
        <x:v>À qualifier par lieu</x:v>
      </x:c>
      <x:c r="J3612" t="str">
        <x:v>https://github.com/darknigthmare/deadwall-last-enclosure/blob/1b3b9c5ba232734b1bda3453b4e20a0481bcdd74/codex-3000/addendum-1.58/PROGRAMMES_C.json</x:v>
      </x:c>
      <x:c r="K3612" t="str">
        <x:v>Source min 39,40 m ; max 39,40 m ; modèle 39 × 40 m ; niveaux 0. Détails dans catalogue-existant.json.</x:v>
      </x:c>
    </x:row>
    <x:row r="3613">
      <x:c r="A3613" t="str">
        <x:v>DW-3608</x:v>
      </x:c>
      <x:c r="B3613" t="str">
        <x:v>DW-3608</x:v>
      </x:c>
      <x:c r="C3613" t="str">
        <x:v>Parent indépendant 1.58</x:v>
      </x:c>
      <x:c r="D3613" t="str">
        <x:v>Agriculture</x:v>
      </x:c>
      <x:c r="E3613" t="str">
        <x:v>Halle de fanage sous couverture</x:v>
      </x:c>
      <x:c r="F3613" t="n">
        <x:v>9</x:v>
      </x:c>
      <x:c r="G3613" t="n">
        <x:v>8</x:v>
      </x:c>
      <x:c r="H3613" t="n">
        <x:v>8</x:v>
      </x:c>
      <x:c r="I3613" t="str">
        <x:v>À qualifier par lieu</x:v>
      </x:c>
      <x:c r="J3613" t="str">
        <x:v>https://github.com/darknigthmare/deadwall-last-enclosure/blob/1b3b9c5ba232734b1bda3453b4e20a0481bcdd74/codex-3000/addendum-1.58/PROGRAMMES_C.json</x:v>
      </x:c>
      <x:c r="K3613" t="str">
        <x:v>Source min 44,34 m ; max 44,34 m ; modèle 44 × 34 m ; niveaux 0, 1. Détails dans catalogue-existant.json.</x:v>
      </x:c>
    </x:row>
    <x:row r="3614">
      <x:c r="A3614" t="str">
        <x:v>DW-3609</x:v>
      </x:c>
      <x:c r="B3614" t="str">
        <x:v>DW-3609</x:v>
      </x:c>
      <x:c r="C3614" t="str">
        <x:v>Parent indépendant 1.58</x:v>
      </x:c>
      <x:c r="D3614" t="str">
        <x:v>Agriculture</x:v>
      </x:c>
      <x:c r="E3614" t="str">
        <x:v>Grange de stockage des pailles de litière</x:v>
      </x:c>
      <x:c r="F3614" t="n">
        <x:v>9</x:v>
      </x:c>
      <x:c r="G3614" t="n">
        <x:v>8</x:v>
      </x:c>
      <x:c r="H3614" t="n">
        <x:v>8</x:v>
      </x:c>
      <x:c r="I3614" t="str">
        <x:v>À qualifier par lieu</x:v>
      </x:c>
      <x:c r="J3614" t="str">
        <x:v>https://github.com/darknigthmare/deadwall-last-enclosure/blob/1b3b9c5ba232734b1bda3453b4e20a0481bcdd74/codex-3000/addendum-1.58/PROGRAMMES_C.json</x:v>
      </x:c>
      <x:c r="K3614" t="str">
        <x:v>Source min 49,40 m ; max 49,40 m ; modèle 49 × 40 m ; niveaux 0. Détails dans catalogue-existant.json.</x:v>
      </x:c>
    </x:row>
    <x:row r="3615">
      <x:c r="A3615" t="str">
        <x:v>DW-3610</x:v>
      </x:c>
      <x:c r="B3615" t="str">
        <x:v>DW-3610</x:v>
      </x:c>
      <x:c r="C3615" t="str">
        <x:v>Parent indépendant 1.58</x:v>
      </x:c>
      <x:c r="D3615" t="str">
        <x:v>Agriculture</x:v>
      </x:c>
      <x:c r="E3615" t="str">
        <x:v>Atelier de bouchons de fourrage</x:v>
      </x:c>
      <x:c r="F3615" t="n">
        <x:v>9</x:v>
      </x:c>
      <x:c r="G3615" t="n">
        <x:v>8</x:v>
      </x:c>
      <x:c r="H3615" t="n">
        <x:v>8</x:v>
      </x:c>
      <x:c r="I3615" t="str">
        <x:v>À qualifier par lieu</x:v>
      </x:c>
      <x:c r="J3615" t="str">
        <x:v>https://github.com/darknigthmare/deadwall-last-enclosure/blob/1b3b9c5ba232734b1bda3453b4e20a0481bcdd74/codex-3000/addendum-1.58/PROGRAMMES_C.json</x:v>
      </x:c>
      <x:c r="K3615" t="str">
        <x:v>Source min 54,40 m ; max 54,40 m ; modèle 54 × 40 m ; niveaux 0. Détails dans catalogue-existant.json.</x:v>
      </x:c>
    </x:row>
    <x:row r="3616">
      <x:c r="A3616" t="str">
        <x:v>DW-3611</x:v>
      </x:c>
      <x:c r="B3616" t="str">
        <x:v>DW-3611</x:v>
      </x:c>
      <x:c r="C3616" t="str">
        <x:v>Parent indépendant 1.58</x:v>
      </x:c>
      <x:c r="D3616" t="str">
        <x:v>Agriculture</x:v>
      </x:c>
      <x:c r="E3616" t="str">
        <x:v>Station de rationnement des élevages</x:v>
      </x:c>
      <x:c r="F3616" t="n">
        <x:v>9</x:v>
      </x:c>
      <x:c r="G3616" t="n">
        <x:v>8</x:v>
      </x:c>
      <x:c r="H3616" t="n">
        <x:v>8</x:v>
      </x:c>
      <x:c r="I3616" t="str">
        <x:v>À qualifier par lieu</x:v>
      </x:c>
      <x:c r="J3616" t="str">
        <x:v>https://github.com/darknigthmare/deadwall-last-enclosure/blob/1b3b9c5ba232734b1bda3453b4e20a0481bcdd74/codex-3000/addendum-1.58/PROGRAMMES_C.json</x:v>
      </x:c>
      <x:c r="K3616" t="str">
        <x:v>Source min 34,44 m ; max 34,44 m ; modèle 34 × 44 m ; niveaux 0. Détails dans catalogue-existant.json.</x:v>
      </x:c>
    </x:row>
    <x:row r="3617">
      <x:c r="A3617" t="str">
        <x:v>DW-3612</x:v>
      </x:c>
      <x:c r="B3617" t="str">
        <x:v>DW-3612</x:v>
      </x:c>
      <x:c r="C3617" t="str">
        <x:v>Parent indépendant 1.58</x:v>
      </x:c>
      <x:c r="D3617" t="str">
        <x:v>Agriculture</x:v>
      </x:c>
      <x:c r="E3617" t="str">
        <x:v>Maison des analyses de fourrages</x:v>
      </x:c>
      <x:c r="F3617" t="n">
        <x:v>9</x:v>
      </x:c>
      <x:c r="G3617" t="n">
        <x:v>8</x:v>
      </x:c>
      <x:c r="H3617" t="n">
        <x:v>8</x:v>
      </x:c>
      <x:c r="I3617" t="str">
        <x:v>À qualifier par lieu</x:v>
      </x:c>
      <x:c r="J3617" t="str">
        <x:v>https://github.com/darknigthmare/deadwall-last-enclosure/blob/1b3b9c5ba232734b1bda3453b4e20a0481bcdd74/codex-3000/addendum-1.58/PROGRAMMES_C.json</x:v>
      </x:c>
      <x:c r="K3617" t="str">
        <x:v>Source min 39,44 m ; max 39,44 m ; modèle 39 × 44 m ; niveaux 0. Détails dans catalogue-existant.json.</x:v>
      </x:c>
    </x:row>
    <x:row r="3618">
      <x:c r="A3618" t="str">
        <x:v>DW-3613</x:v>
      </x:c>
      <x:c r="B3618" t="str">
        <x:v>DW-3613</x:v>
      </x:c>
      <x:c r="C3618" t="str">
        <x:v>Parent indépendant 1.58</x:v>
      </x:c>
      <x:c r="D3618" t="str">
        <x:v>Agriculture</x:v>
      </x:c>
      <x:c r="E3618" t="str">
        <x:v>Halle de conditionnement des œufs fermiers</x:v>
      </x:c>
      <x:c r="F3618" t="n">
        <x:v>9</x:v>
      </x:c>
      <x:c r="G3618" t="n">
        <x:v>8</x:v>
      </x:c>
      <x:c r="H3618" t="n">
        <x:v>8</x:v>
      </x:c>
      <x:c r="I3618" t="str">
        <x:v>À qualifier par lieu</x:v>
      </x:c>
      <x:c r="J3618" t="str">
        <x:v>https://github.com/darknigthmare/deadwall-last-enclosure/blob/1b3b9c5ba232734b1bda3453b4e20a0481bcdd74/codex-3000/addendum-1.58/PROGRAMMES_C.json</x:v>
      </x:c>
      <x:c r="K3618" t="str">
        <x:v>Source min 44,38 m ; max 44,38 m ; modèle 44 × 38 m ; niveaux 0, 1. Détails dans catalogue-existant.json.</x:v>
      </x:c>
    </x:row>
    <x:row r="3619">
      <x:c r="A3619" t="str">
        <x:v>DW-3614</x:v>
      </x:c>
      <x:c r="B3619" t="str">
        <x:v>DW-3614</x:v>
      </x:c>
      <x:c r="C3619" t="str">
        <x:v>Parent indépendant 1.58</x:v>
      </x:c>
      <x:c r="D3619" t="str">
        <x:v>Agriculture</x:v>
      </x:c>
      <x:c r="E3619" t="str">
        <x:v>Bâtiment de soins des poules blessées</x:v>
      </x:c>
      <x:c r="F3619" t="n">
        <x:v>9</x:v>
      </x:c>
      <x:c r="G3619" t="n">
        <x:v>8</x:v>
      </x:c>
      <x:c r="H3619" t="n">
        <x:v>8</x:v>
      </x:c>
      <x:c r="I3619" t="str">
        <x:v>À qualifier par lieu</x:v>
      </x:c>
      <x:c r="J3619" t="str">
        <x:v>https://github.com/darknigthmare/deadwall-last-enclosure/blob/1b3b9c5ba232734b1bda3453b4e20a0481bcdd74/codex-3000/addendum-1.58/PROGRAMMES_C.json</x:v>
      </x:c>
      <x:c r="K3619" t="str">
        <x:v>Source min 49,44 m ; max 49,44 m ; modèle 49 × 44 m ; niveaux 0. Détails dans catalogue-existant.json.</x:v>
      </x:c>
    </x:row>
    <x:row r="3620">
      <x:c r="A3620" t="str">
        <x:v>DW-3615</x:v>
      </x:c>
      <x:c r="B3620" t="str">
        <x:v>DW-3615</x:v>
      </x:c>
      <x:c r="C3620" t="str">
        <x:v>Parent indépendant 1.58</x:v>
      </x:c>
      <x:c r="D3620" t="str">
        <x:v>Agriculture</x:v>
      </x:c>
      <x:c r="E3620" t="str">
        <x:v>Poussinière de démarrage avicole</x:v>
      </x:c>
      <x:c r="F3620" t="n">
        <x:v>9</x:v>
      </x:c>
      <x:c r="G3620" t="n">
        <x:v>8</x:v>
      </x:c>
      <x:c r="H3620" t="n">
        <x:v>8</x:v>
      </x:c>
      <x:c r="I3620" t="str">
        <x:v>À qualifier par lieu</x:v>
      </x:c>
      <x:c r="J3620" t="str">
        <x:v>https://github.com/darknigthmare/deadwall-last-enclosure/blob/1b3b9c5ba232734b1bda3453b4e20a0481bcdd74/codex-3000/addendum-1.58/PROGRAMMES_C.json</x:v>
      </x:c>
      <x:c r="K3620" t="str">
        <x:v>Source min 54,44 m ; max 54,44 m ; modèle 54 × 44 m ; niveaux 0. Détails dans catalogue-existant.json.</x:v>
      </x:c>
    </x:row>
    <x:row r="3621">
      <x:c r="A3621" t="str">
        <x:v>DW-3616</x:v>
      </x:c>
      <x:c r="B3621" t="str">
        <x:v>DW-3616</x:v>
      </x:c>
      <x:c r="C3621" t="str">
        <x:v>Parent indépendant 1.58</x:v>
      </x:c>
      <x:c r="D3621" t="str">
        <x:v>Agriculture</x:v>
      </x:c>
      <x:c r="E3621" t="str">
        <x:v>Maison de couvaison fermière</x:v>
      </x:c>
      <x:c r="F3621" t="n">
        <x:v>9</x:v>
      </x:c>
      <x:c r="G3621" t="n">
        <x:v>8</x:v>
      </x:c>
      <x:c r="H3621" t="n">
        <x:v>8</x:v>
      </x:c>
      <x:c r="I3621" t="str">
        <x:v>À qualifier par lieu</x:v>
      </x:c>
      <x:c r="J3621" t="str">
        <x:v>https://github.com/darknigthmare/deadwall-last-enclosure/blob/1b3b9c5ba232734b1bda3453b4e20a0481bcdd74/codex-3000/addendum-1.58/PROGRAMMES_C.json</x:v>
      </x:c>
      <x:c r="K3621" t="str">
        <x:v>Source min 34,48 m ; max 34,48 m ; modèle 34 × 48 m ; niveaux 0. Détails dans catalogue-existant.json.</x:v>
      </x:c>
    </x:row>
    <x:row r="3622">
      <x:c r="A3622" t="str">
        <x:v>DW-3617</x:v>
      </x:c>
      <x:c r="B3622" t="str">
        <x:v>DW-3617</x:v>
      </x:c>
      <x:c r="C3622" t="str">
        <x:v>Parent indépendant 1.58</x:v>
      </x:c>
      <x:c r="D3622" t="str">
        <x:v>Agriculture</x:v>
      </x:c>
      <x:c r="E3622" t="str">
        <x:v>Atelier de réparation des ruches</x:v>
      </x:c>
      <x:c r="F3622" t="n">
        <x:v>9</x:v>
      </x:c>
      <x:c r="G3622" t="n">
        <x:v>8</x:v>
      </x:c>
      <x:c r="H3622" t="n">
        <x:v>8</x:v>
      </x:c>
      <x:c r="I3622" t="str">
        <x:v>À qualifier par lieu</x:v>
      </x:c>
      <x:c r="J3622" t="str">
        <x:v>https://github.com/darknigthmare/deadwall-last-enclosure/blob/1b3b9c5ba232734b1bda3453b4e20a0481bcdd74/codex-3000/addendum-1.58/PROGRAMMES_C.json</x:v>
      </x:c>
      <x:c r="K3622" t="str">
        <x:v>Source min 39,48 m ; max 39,48 m ; modèle 39 × 48 m ; niveaux 0. Détails dans catalogue-existant.json.</x:v>
      </x:c>
    </x:row>
    <x:row r="3623">
      <x:c r="A3623" t="str">
        <x:v>DW-3618</x:v>
      </x:c>
      <x:c r="B3623" t="str">
        <x:v>DW-3618</x:v>
      </x:c>
      <x:c r="C3623" t="str">
        <x:v>Parent indépendant 1.58</x:v>
      </x:c>
      <x:c r="D3623" t="str">
        <x:v>Agriculture</x:v>
      </x:c>
      <x:c r="E3623" t="str">
        <x:v>Maison de préparation des cadres apicoles</x:v>
      </x:c>
      <x:c r="F3623" t="n">
        <x:v>9</x:v>
      </x:c>
      <x:c r="G3623" t="n">
        <x:v>8</x:v>
      </x:c>
      <x:c r="H3623" t="n">
        <x:v>8</x:v>
      </x:c>
      <x:c r="I3623" t="str">
        <x:v>À qualifier par lieu</x:v>
      </x:c>
      <x:c r="J3623" t="str">
        <x:v>https://github.com/darknigthmare/deadwall-last-enclosure/blob/1b3b9c5ba232734b1bda3453b4e20a0481bcdd74/codex-3000/addendum-1.58/PROGRAMMES_C.json</x:v>
      </x:c>
      <x:c r="K3623" t="str">
        <x:v>Source min 44,42 m ; max 44,42 m ; modèle 44 × 42 m ; niveaux 0, 1. Détails dans catalogue-existant.json.</x:v>
      </x:c>
    </x:row>
    <x:row r="3624">
      <x:c r="A3624" t="str">
        <x:v>DW-3619</x:v>
      </x:c>
      <x:c r="B3624" t="str">
        <x:v>DW-3619</x:v>
      </x:c>
      <x:c r="C3624" t="str">
        <x:v>Parent indépendant 1.58</x:v>
      </x:c>
      <x:c r="D3624" t="str">
        <x:v>Agriculture</x:v>
      </x:c>
      <x:c r="E3624" t="str">
        <x:v>Centre de mise en quarantaine du matériel apicole</x:v>
      </x:c>
      <x:c r="F3624" t="n">
        <x:v>9</x:v>
      </x:c>
      <x:c r="G3624" t="n">
        <x:v>8</x:v>
      </x:c>
      <x:c r="H3624" t="n">
        <x:v>8</x:v>
      </x:c>
      <x:c r="I3624" t="str">
        <x:v>À qualifier par lieu</x:v>
      </x:c>
      <x:c r="J3624" t="str">
        <x:v>https://github.com/darknigthmare/deadwall-last-enclosure/blob/1b3b9c5ba232734b1bda3453b4e20a0481bcdd74/codex-3000/addendum-1.58/PROGRAMMES_C.json</x:v>
      </x:c>
      <x:c r="K3624" t="str">
        <x:v>Source min 49,48 m ; max 49,48 m ; modèle 49 × 48 m ; niveaux 0. Détails dans catalogue-existant.json.</x:v>
      </x:c>
    </x:row>
    <x:row r="3625">
      <x:c r="A3625" t="str">
        <x:v>DW-3620</x:v>
      </x:c>
      <x:c r="B3625" t="str">
        <x:v>DW-3620</x:v>
      </x:c>
      <x:c r="C3625" t="str">
        <x:v>Parent indépendant 1.58</x:v>
      </x:c>
      <x:c r="D3625" t="str">
        <x:v>Agriculture</x:v>
      </x:c>
      <x:c r="E3625" t="str">
        <x:v>Bâtiment de tonte des ovins</x:v>
      </x:c>
      <x:c r="F3625" t="n">
        <x:v>9</x:v>
      </x:c>
      <x:c r="G3625" t="n">
        <x:v>8</x:v>
      </x:c>
      <x:c r="H3625" t="n">
        <x:v>8</x:v>
      </x:c>
      <x:c r="I3625" t="str">
        <x:v>À qualifier par lieu</x:v>
      </x:c>
      <x:c r="J3625" t="str">
        <x:v>https://github.com/darknigthmare/deadwall-last-enclosure/blob/1b3b9c5ba232734b1bda3453b4e20a0481bcdd74/codex-3000/addendum-1.58/PROGRAMMES_C.json</x:v>
      </x:c>
      <x:c r="K3625" t="str">
        <x:v>Source min 54,48 m ; max 54,48 m ; modèle 54 × 48 m ; niveaux 0. Détails dans catalogue-existant.json.</x:v>
      </x:c>
    </x:row>
    <x:row r="3626">
      <x:c r="A3626" t="str">
        <x:v>DW-3621</x:v>
      </x:c>
      <x:c r="B3626" t="str">
        <x:v>DW-3621</x:v>
      </x:c>
      <x:c r="C3626" t="str">
        <x:v>Parent indépendant 1.58</x:v>
      </x:c>
      <x:c r="D3626" t="str">
        <x:v>Agriculture</x:v>
      </x:c>
      <x:c r="E3626" t="str">
        <x:v>Halle de classement des laines brutes</x:v>
      </x:c>
      <x:c r="F3626" t="n">
        <x:v>9</x:v>
      </x:c>
      <x:c r="G3626" t="n">
        <x:v>8</x:v>
      </x:c>
      <x:c r="H3626" t="n">
        <x:v>8</x:v>
      </x:c>
      <x:c r="I3626" t="str">
        <x:v>À qualifier par lieu</x:v>
      </x:c>
      <x:c r="J3626" t="str">
        <x:v>https://github.com/darknigthmare/deadwall-last-enclosure/blob/1b3b9c5ba232734b1bda3453b4e20a0481bcdd74/codex-3000/addendum-1.58/PROGRAMMES_C.json</x:v>
      </x:c>
      <x:c r="K3626" t="str">
        <x:v>Source min 34,36 m ; max 34,36 m ; modèle 34 × 36 m ; niveaux 0. Détails dans catalogue-existant.json.</x:v>
      </x:c>
    </x:row>
    <x:row r="3627">
      <x:c r="A3627" t="str">
        <x:v>DW-3622</x:v>
      </x:c>
      <x:c r="B3627" t="str">
        <x:v>DW-3622</x:v>
      </x:c>
      <x:c r="C3627" t="str">
        <x:v>Parent indépendant 1.58</x:v>
      </x:c>
      <x:c r="D3627" t="str">
        <x:v>Agriculture</x:v>
      </x:c>
      <x:c r="E3627" t="str">
        <x:v>Bergerie de mise bas compartimentée</x:v>
      </x:c>
      <x:c r="F3627" t="n">
        <x:v>9</x:v>
      </x:c>
      <x:c r="G3627" t="n">
        <x:v>8</x:v>
      </x:c>
      <x:c r="H3627" t="n">
        <x:v>8</x:v>
      </x:c>
      <x:c r="I3627" t="str">
        <x:v>À qualifier par lieu</x:v>
      </x:c>
      <x:c r="J3627" t="str">
        <x:v>https://github.com/darknigthmare/deadwall-last-enclosure/blob/1b3b9c5ba232734b1bda3453b4e20a0481bcdd74/codex-3000/addendum-1.58/PROGRAMMES_C.json</x:v>
      </x:c>
      <x:c r="K3627" t="str">
        <x:v>Source min 39,36 m ; max 39,36 m ; modèle 39 × 36 m ; niveaux 0. Détails dans catalogue-existant.json.</x:v>
      </x:c>
    </x:row>
    <x:row r="3628">
      <x:c r="A3628" t="str">
        <x:v>DW-3623</x:v>
      </x:c>
      <x:c r="B3628" t="str">
        <x:v>DW-3623</x:v>
      </x:c>
      <x:c r="C3628" t="str">
        <x:v>Parent indépendant 1.58</x:v>
      </x:c>
      <x:c r="D3628" t="str">
        <x:v>Agriculture</x:v>
      </x:c>
      <x:c r="E3628" t="str">
        <x:v>Chevrerie de soins aux jeunes animaux</x:v>
      </x:c>
      <x:c r="F3628" t="n">
        <x:v>9</x:v>
      </x:c>
      <x:c r="G3628" t="n">
        <x:v>8</x:v>
      </x:c>
      <x:c r="H3628" t="n">
        <x:v>8</x:v>
      </x:c>
      <x:c r="I3628" t="str">
        <x:v>À qualifier par lieu</x:v>
      </x:c>
      <x:c r="J3628" t="str">
        <x:v>https://github.com/darknigthmare/deadwall-last-enclosure/blob/1b3b9c5ba232734b1bda3453b4e20a0481bcdd74/codex-3000/addendum-1.58/PROGRAMMES_C.json</x:v>
      </x:c>
      <x:c r="K3628" t="str">
        <x:v>Source min 44,36 m ; max 44,36 m ; modèle 44 × 36 m ; niveaux 0. Détails dans catalogue-existant.json.</x:v>
      </x:c>
    </x:row>
    <x:row r="3629">
      <x:c r="A3629" t="str">
        <x:v>DW-3624</x:v>
      </x:c>
      <x:c r="B3629" t="str">
        <x:v>DW-3624</x:v>
      </x:c>
      <x:c r="C3629" t="str">
        <x:v>Parent indépendant 1.58</x:v>
      </x:c>
      <x:c r="D3629" t="str">
        <x:v>Agriculture</x:v>
      </x:c>
      <x:c r="E3629" t="str">
        <x:v>Bâtiment de parage des sabots</x:v>
      </x:c>
      <x:c r="F3629" t="n">
        <x:v>9</x:v>
      </x:c>
      <x:c r="G3629" t="n">
        <x:v>8</x:v>
      </x:c>
      <x:c r="H3629" t="n">
        <x:v>8</x:v>
      </x:c>
      <x:c r="I3629" t="str">
        <x:v>À qualifier par lieu</x:v>
      </x:c>
      <x:c r="J3629" t="str">
        <x:v>https://github.com/darknigthmare/deadwall-last-enclosure/blob/1b3b9c5ba232734b1bda3453b4e20a0481bcdd74/codex-3000/addendum-1.58/PROGRAMMES_C.json</x:v>
      </x:c>
      <x:c r="K3629" t="str">
        <x:v>Source min 49,36 m ; max 49,36 m ; modèle 49 × 36 m ; niveaux 0. Détails dans catalogue-existant.json.</x:v>
      </x:c>
    </x:row>
    <x:row r="3630">
      <x:c r="A3630" t="str">
        <x:v>DW-3625</x:v>
      </x:c>
      <x:c r="B3630" t="str">
        <x:v>DW-3625</x:v>
      </x:c>
      <x:c r="C3630" t="str">
        <x:v>Parent indépendant 1.58</x:v>
      </x:c>
      <x:c r="D3630" t="str">
        <x:v>Agriculture</x:v>
      </x:c>
      <x:c r="E3630" t="str">
        <x:v>Maison de consultation vétérinaire d'élevage</x:v>
      </x:c>
      <x:c r="F3630" t="n">
        <x:v>9</x:v>
      </x:c>
      <x:c r="G3630" t="n">
        <x:v>8</x:v>
      </x:c>
      <x:c r="H3630" t="n">
        <x:v>8</x:v>
      </x:c>
      <x:c r="I3630" t="str">
        <x:v>À qualifier par lieu</x:v>
      </x:c>
      <x:c r="J3630" t="str">
        <x:v>https://github.com/darknigthmare/deadwall-last-enclosure/blob/1b3b9c5ba232734b1bda3453b4e20a0481bcdd74/codex-3000/addendum-1.58/PROGRAMMES_C.json</x:v>
      </x:c>
      <x:c r="K3630" t="str">
        <x:v>Source min 54,36 m ; max 54,36 m ; modèle 54 × 36 m ; niveaux 0. Détails dans catalogue-existant.json.</x:v>
      </x:c>
    </x:row>
    <x:row r="3631">
      <x:c r="A3631" t="str">
        <x:v>DW-3626</x:v>
      </x:c>
      <x:c r="B3631" t="str">
        <x:v>DW-3626</x:v>
      </x:c>
      <x:c r="C3631" t="str">
        <x:v>Parent indépendant 1.58</x:v>
      </x:c>
      <x:c r="D3631" t="str">
        <x:v>Agriculture</x:v>
      </x:c>
      <x:c r="E3631" t="str">
        <x:v>Dépôt de pharmacie vétérinaire rurale</x:v>
      </x:c>
      <x:c r="F3631" t="n">
        <x:v>9</x:v>
      </x:c>
      <x:c r="G3631" t="n">
        <x:v>8</x:v>
      </x:c>
      <x:c r="H3631" t="n">
        <x:v>8</x:v>
      </x:c>
      <x:c r="I3631" t="str">
        <x:v>À qualifier par lieu</x:v>
      </x:c>
      <x:c r="J3631" t="str">
        <x:v>https://github.com/darknigthmare/deadwall-last-enclosure/blob/1b3b9c5ba232734b1bda3453b4e20a0481bcdd74/codex-3000/addendum-1.58/PROGRAMMES_C.json</x:v>
      </x:c>
      <x:c r="K3631" t="str">
        <x:v>Source min 34,40 m ; max 34,40 m ; modèle 34 × 40 m ; niveaux 0. Détails dans catalogue-existant.json.</x:v>
      </x:c>
    </x:row>
    <x:row r="3632">
      <x:c r="A3632" t="str">
        <x:v>DW-3627</x:v>
      </x:c>
      <x:c r="B3632" t="str">
        <x:v>DW-3627</x:v>
      </x:c>
      <x:c r="C3632" t="str">
        <x:v>Parent indépendant 1.58</x:v>
      </x:c>
      <x:c r="D3632" t="str">
        <x:v>Agriculture</x:v>
      </x:c>
      <x:c r="E3632" t="str">
        <x:v>Bâtiment de collecte du lait en petits lots</x:v>
      </x:c>
      <x:c r="F3632" t="n">
        <x:v>9</x:v>
      </x:c>
      <x:c r="G3632" t="n">
        <x:v>8</x:v>
      </x:c>
      <x:c r="H3632" t="n">
        <x:v>8</x:v>
      </x:c>
      <x:c r="I3632" t="str">
        <x:v>À qualifier par lieu</x:v>
      </x:c>
      <x:c r="J3632" t="str">
        <x:v>https://github.com/darknigthmare/deadwall-last-enclosure/blob/1b3b9c5ba232734b1bda3453b4e20a0481bcdd74/codex-3000/addendum-1.58/PROGRAMMES_C.json</x:v>
      </x:c>
      <x:c r="K3632" t="str">
        <x:v>Source min 39,40 m ; max 39,40 m ; modèle 39 × 40 m ; niveaux 0. Détails dans catalogue-existant.json.</x:v>
      </x:c>
    </x:row>
    <x:row r="3633">
      <x:c r="A3633" t="str">
        <x:v>DW-3628</x:v>
      </x:c>
      <x:c r="B3633" t="str">
        <x:v>DW-3628</x:v>
      </x:c>
      <x:c r="C3633" t="str">
        <x:v>Parent indépendant 1.58</x:v>
      </x:c>
      <x:c r="D3633" t="str">
        <x:v>Agriculture</x:v>
      </x:c>
      <x:c r="E3633" t="str">
        <x:v>Salle de traite pédagogique démontée</x:v>
      </x:c>
      <x:c r="F3633" t="n">
        <x:v>9</x:v>
      </x:c>
      <x:c r="G3633" t="n">
        <x:v>8</x:v>
      </x:c>
      <x:c r="H3633" t="n">
        <x:v>8</x:v>
      </x:c>
      <x:c r="I3633" t="str">
        <x:v>À qualifier par lieu</x:v>
      </x:c>
      <x:c r="J3633" t="str">
        <x:v>https://github.com/darknigthmare/deadwall-last-enclosure/blob/1b3b9c5ba232734b1bda3453b4e20a0481bcdd74/codex-3000/addendum-1.58/PROGRAMMES_C.json</x:v>
      </x:c>
      <x:c r="K3633" t="str">
        <x:v>Source min 44,34 m ; max 44,34 m ; modèle 44 × 34 m ; niveaux 0, 1. Détails dans catalogue-existant.json.</x:v>
      </x:c>
    </x:row>
    <x:row r="3634">
      <x:c r="A3634" t="str">
        <x:v>DW-3629</x:v>
      </x:c>
      <x:c r="B3634" t="str">
        <x:v>DW-3629</x:v>
      </x:c>
      <x:c r="C3634" t="str">
        <x:v>Parent indépendant 1.58</x:v>
      </x:c>
      <x:c r="D3634" t="str">
        <x:v>Agriculture</x:v>
      </x:c>
      <x:c r="E3634" t="str">
        <x:v>Nurserie bovine à cases séparées</x:v>
      </x:c>
      <x:c r="F3634" t="n">
        <x:v>9</x:v>
      </x:c>
      <x:c r="G3634" t="n">
        <x:v>8</x:v>
      </x:c>
      <x:c r="H3634" t="n">
        <x:v>8</x:v>
      </x:c>
      <x:c r="I3634" t="str">
        <x:v>À qualifier par lieu</x:v>
      </x:c>
      <x:c r="J3634" t="str">
        <x:v>https://github.com/darknigthmare/deadwall-last-enclosure/blob/1b3b9c5ba232734b1bda3453b4e20a0481bcdd74/codex-3000/addendum-1.58/PROGRAMMES_C.json</x:v>
      </x:c>
      <x:c r="K3634" t="str">
        <x:v>Source min 49,40 m ; max 49,40 m ; modèle 49 × 40 m ; niveaux 0. Détails dans catalogue-existant.json.</x:v>
      </x:c>
    </x:row>
    <x:row r="3635">
      <x:c r="A3635" t="str">
        <x:v>DW-3630</x:v>
      </x:c>
      <x:c r="B3635" t="str">
        <x:v>DW-3630</x:v>
      </x:c>
      <x:c r="C3635" t="str">
        <x:v>Parent indépendant 1.58</x:v>
      </x:c>
      <x:c r="D3635" t="str">
        <x:v>Agriculture</x:v>
      </x:c>
      <x:c r="E3635" t="str">
        <x:v>Bâtiment de surveillance des vêlages</x:v>
      </x:c>
      <x:c r="F3635" t="n">
        <x:v>9</x:v>
      </x:c>
      <x:c r="G3635" t="n">
        <x:v>8</x:v>
      </x:c>
      <x:c r="H3635" t="n">
        <x:v>8</x:v>
      </x:c>
      <x:c r="I3635" t="str">
        <x:v>À qualifier par lieu</x:v>
      </x:c>
      <x:c r="J3635" t="str">
        <x:v>https://github.com/darknigthmare/deadwall-last-enclosure/blob/1b3b9c5ba232734b1bda3453b4e20a0481bcdd74/codex-3000/addendum-1.58/PROGRAMMES_C.json</x:v>
      </x:c>
      <x:c r="K3635" t="str">
        <x:v>Source min 54,40 m ; max 54,40 m ; modèle 54 × 40 m ; niveaux 0. Détails dans catalogue-existant.json.</x:v>
      </x:c>
    </x:row>
    <x:row r="3636">
      <x:c r="A3636" t="str">
        <x:v>DW-3631</x:v>
      </x:c>
      <x:c r="B3636" t="str">
        <x:v>DW-3631</x:v>
      </x:c>
      <x:c r="C3636" t="str">
        <x:v>Parent indépendant 1.58</x:v>
      </x:c>
      <x:c r="D3636" t="str">
        <x:v>Agriculture</x:v>
      </x:c>
      <x:c r="E3636" t="str">
        <x:v>Maison de rééducation des chevaux de travail</x:v>
      </x:c>
      <x:c r="F3636" t="n">
        <x:v>9</x:v>
      </x:c>
      <x:c r="G3636" t="n">
        <x:v>8</x:v>
      </x:c>
      <x:c r="H3636" t="n">
        <x:v>8</x:v>
      </x:c>
      <x:c r="I3636" t="str">
        <x:v>À qualifier par lieu</x:v>
      </x:c>
      <x:c r="J3636" t="str">
        <x:v>https://github.com/darknigthmare/deadwall-last-enclosure/blob/1b3b9c5ba232734b1bda3453b4e20a0481bcdd74/codex-3000/addendum-1.58/PROGRAMMES_C.json</x:v>
      </x:c>
      <x:c r="K3636" t="str">
        <x:v>Source min 34,44 m ; max 34,44 m ; modèle 34 × 44 m ; niveaux 0. Détails dans catalogue-existant.json.</x:v>
      </x:c>
    </x:row>
    <x:row r="3637">
      <x:c r="A3637" t="str">
        <x:v>DW-3632</x:v>
      </x:c>
      <x:c r="B3637" t="str">
        <x:v>DW-3632</x:v>
      </x:c>
      <x:c r="C3637" t="str">
        <x:v>Parent indépendant 1.58</x:v>
      </x:c>
      <x:c r="D3637" t="str">
        <x:v>Agriculture</x:v>
      </x:c>
      <x:c r="E3637" t="str">
        <x:v>Atelier de réparation des jougs</x:v>
      </x:c>
      <x:c r="F3637" t="n">
        <x:v>9</x:v>
      </x:c>
      <x:c r="G3637" t="n">
        <x:v>8</x:v>
      </x:c>
      <x:c r="H3637" t="n">
        <x:v>8</x:v>
      </x:c>
      <x:c r="I3637" t="str">
        <x:v>À qualifier par lieu</x:v>
      </x:c>
      <x:c r="J3637" t="str">
        <x:v>https://github.com/darknigthmare/deadwall-last-enclosure/blob/1b3b9c5ba232734b1bda3453b4e20a0481bcdd74/codex-3000/addendum-1.58/PROGRAMMES_C.json</x:v>
      </x:c>
      <x:c r="K3637" t="str">
        <x:v>Source min 39,44 m ; max 39,44 m ; modèle 39 × 44 m ; niveaux 0. Détails dans catalogue-existant.json.</x:v>
      </x:c>
    </x:row>
    <x:row r="3638">
      <x:c r="A3638" t="str">
        <x:v>DW-3633</x:v>
      </x:c>
      <x:c r="B3638" t="str">
        <x:v>DW-3633</x:v>
      </x:c>
      <x:c r="C3638" t="str">
        <x:v>Parent indépendant 1.58</x:v>
      </x:c>
      <x:c r="D3638" t="str">
        <x:v>Agriculture</x:v>
      </x:c>
      <x:c r="E3638" t="str">
        <x:v>Écurie de pansage des animaux de trait</x:v>
      </x:c>
      <x:c r="F3638" t="n">
        <x:v>9</x:v>
      </x:c>
      <x:c r="G3638" t="n">
        <x:v>8</x:v>
      </x:c>
      <x:c r="H3638" t="n">
        <x:v>8</x:v>
      </x:c>
      <x:c r="I3638" t="str">
        <x:v>À qualifier par lieu</x:v>
      </x:c>
      <x:c r="J3638" t="str">
        <x:v>https://github.com/darknigthmare/deadwall-last-enclosure/blob/1b3b9c5ba232734b1bda3453b4e20a0481bcdd74/codex-3000/addendum-1.58/PROGRAMMES_C.json</x:v>
      </x:c>
      <x:c r="K3638" t="str">
        <x:v>Source min 44,44 m ; max 44,44 m ; modèle 44 × 44 m ; niveaux 0. Détails dans catalogue-existant.json.</x:v>
      </x:c>
    </x:row>
    <x:row r="3639">
      <x:c r="A3639" t="str">
        <x:v>DW-3634</x:v>
      </x:c>
      <x:c r="B3639" t="str">
        <x:v>DW-3634</x:v>
      </x:c>
      <x:c r="C3639" t="str">
        <x:v>Parent indépendant 1.58</x:v>
      </x:c>
      <x:c r="D3639" t="str">
        <x:v>Agriculture</x:v>
      </x:c>
      <x:c r="E3639" t="str">
        <x:v>Bâtiment de pesée des animaux d'élevage</x:v>
      </x:c>
      <x:c r="F3639" t="n">
        <x:v>9</x:v>
      </x:c>
      <x:c r="G3639" t="n">
        <x:v>8</x:v>
      </x:c>
      <x:c r="H3639" t="n">
        <x:v>8</x:v>
      </x:c>
      <x:c r="I3639" t="str">
        <x:v>À qualifier par lieu</x:v>
      </x:c>
      <x:c r="J3639" t="str">
        <x:v>https://github.com/darknigthmare/deadwall-last-enclosure/blob/1b3b9c5ba232734b1bda3453b4e20a0481bcdd74/codex-3000/addendum-1.58/PROGRAMMES_C.json</x:v>
      </x:c>
      <x:c r="K3639" t="str">
        <x:v>Source min 49,44 m ; max 49,44 m ; modèle 49 × 44 m ; niveaux 0. Détails dans catalogue-existant.json.</x:v>
      </x:c>
    </x:row>
    <x:row r="3640">
      <x:c r="A3640" t="str">
        <x:v>DW-3635</x:v>
      </x:c>
      <x:c r="B3640" t="str">
        <x:v>DW-3635</x:v>
      </x:c>
      <x:c r="C3640" t="str">
        <x:v>Parent indépendant 1.58</x:v>
      </x:c>
      <x:c r="D3640" t="str">
        <x:v>Agriculture</x:v>
      </x:c>
      <x:c r="E3640" t="str">
        <x:v>Maison d'identification des troupeaux</x:v>
      </x:c>
      <x:c r="F3640" t="n">
        <x:v>9</x:v>
      </x:c>
      <x:c r="G3640" t="n">
        <x:v>8</x:v>
      </x:c>
      <x:c r="H3640" t="n">
        <x:v>8</x:v>
      </x:c>
      <x:c r="I3640" t="str">
        <x:v>À qualifier par lieu</x:v>
      </x:c>
      <x:c r="J3640" t="str">
        <x:v>https://github.com/darknigthmare/deadwall-last-enclosure/blob/1b3b9c5ba232734b1bda3453b4e20a0481bcdd74/codex-3000/addendum-1.58/PROGRAMMES_C.json</x:v>
      </x:c>
      <x:c r="K3640" t="str">
        <x:v>Source min 54,44 m ; max 54,44 m ; modèle 54 × 44 m ; niveaux 0. Détails dans catalogue-existant.json.</x:v>
      </x:c>
    </x:row>
    <x:row r="3641">
      <x:c r="A3641" t="str">
        <x:v>DW-3636</x:v>
      </x:c>
      <x:c r="B3641" t="str">
        <x:v>DW-3636</x:v>
      </x:c>
      <x:c r="C3641" t="str">
        <x:v>Parent indépendant 1.58</x:v>
      </x:c>
      <x:c r="D3641" t="str">
        <x:v>Agriculture</x:v>
      </x:c>
      <x:c r="E3641" t="str">
        <x:v>Atelier de lavage des équipements de traite</x:v>
      </x:c>
      <x:c r="F3641" t="n">
        <x:v>9</x:v>
      </x:c>
      <x:c r="G3641" t="n">
        <x:v>8</x:v>
      </x:c>
      <x:c r="H3641" t="n">
        <x:v>8</x:v>
      </x:c>
      <x:c r="I3641" t="str">
        <x:v>À qualifier par lieu</x:v>
      </x:c>
      <x:c r="J3641" t="str">
        <x:v>https://github.com/darknigthmare/deadwall-last-enclosure/blob/1b3b9c5ba232734b1bda3453b4e20a0481bcdd74/codex-3000/addendum-1.58/PROGRAMMES_C.json</x:v>
      </x:c>
      <x:c r="K3641" t="str">
        <x:v>Source min 34,48 m ; max 34,48 m ; modèle 34 × 48 m ; niveaux 0. Détails dans catalogue-existant.json.</x:v>
      </x:c>
    </x:row>
    <x:row r="3642">
      <x:c r="A3642" t="str">
        <x:v>DW-3637</x:v>
      </x:c>
      <x:c r="B3642" t="str">
        <x:v>DW-3637</x:v>
      </x:c>
      <x:c r="C3642" t="str">
        <x:v>Parent indépendant 1.58</x:v>
      </x:c>
      <x:c r="D3642" t="str">
        <x:v>Agriculture</x:v>
      </x:c>
      <x:c r="E3642" t="str">
        <x:v>Station de collecte des prélèvements vétérinaires</x:v>
      </x:c>
      <x:c r="F3642" t="n">
        <x:v>9</x:v>
      </x:c>
      <x:c r="G3642" t="n">
        <x:v>8</x:v>
      </x:c>
      <x:c r="H3642" t="n">
        <x:v>8</x:v>
      </x:c>
      <x:c r="I3642" t="str">
        <x:v>À qualifier par lieu</x:v>
      </x:c>
      <x:c r="J3642" t="str">
        <x:v>https://github.com/darknigthmare/deadwall-last-enclosure/blob/1b3b9c5ba232734b1bda3453b4e20a0481bcdd74/codex-3000/addendum-1.58/PROGRAMMES_C.json</x:v>
      </x:c>
      <x:c r="K3642" t="str">
        <x:v>Source min 39,48 m ; max 39,48 m ; modèle 39 × 48 m ; niveaux 0. Détails dans catalogue-existant.json.</x:v>
      </x:c>
    </x:row>
    <x:row r="3643">
      <x:c r="A3643" t="str">
        <x:v>DW-3638</x:v>
      </x:c>
      <x:c r="B3643" t="str">
        <x:v>DW-3638</x:v>
      </x:c>
      <x:c r="C3643" t="str">
        <x:v>Parent indépendant 1.58</x:v>
      </x:c>
      <x:c r="D3643" t="str">
        <x:v>Agriculture</x:v>
      </x:c>
      <x:c r="E3643" t="str">
        <x:v>Bâtiment de quarantaine des outils d'élevage</x:v>
      </x:c>
      <x:c r="F3643" t="n">
        <x:v>9</x:v>
      </x:c>
      <x:c r="G3643" t="n">
        <x:v>8</x:v>
      </x:c>
      <x:c r="H3643" t="n">
        <x:v>8</x:v>
      </x:c>
      <x:c r="I3643" t="str">
        <x:v>À qualifier par lieu</x:v>
      </x:c>
      <x:c r="J3643" t="str">
        <x:v>https://github.com/darknigthmare/deadwall-last-enclosure/blob/1b3b9c5ba232734b1bda3453b4e20a0481bcdd74/codex-3000/addendum-1.58/PROGRAMMES_C.json</x:v>
      </x:c>
      <x:c r="K3643" t="str">
        <x:v>Source min 44,42 m ; max 44,42 m ; modèle 44 × 42 m ; niveaux 0, 1. Détails dans catalogue-existant.json.</x:v>
      </x:c>
    </x:row>
    <x:row r="3644">
      <x:c r="A3644" t="str">
        <x:v>DW-3639</x:v>
      </x:c>
      <x:c r="B3644" t="str">
        <x:v>DW-3639</x:v>
      </x:c>
      <x:c r="C3644" t="str">
        <x:v>Parent indépendant 1.58</x:v>
      </x:c>
      <x:c r="D3644" t="str">
        <x:v>Agriculture</x:v>
      </x:c>
      <x:c r="E3644" t="str">
        <x:v>Maison des bergers itinérants</x:v>
      </x:c>
      <x:c r="F3644" t="n">
        <x:v>9</x:v>
      </x:c>
      <x:c r="G3644" t="n">
        <x:v>8</x:v>
      </x:c>
      <x:c r="H3644" t="n">
        <x:v>8</x:v>
      </x:c>
      <x:c r="I3644" t="str">
        <x:v>À qualifier par lieu</x:v>
      </x:c>
      <x:c r="J3644" t="str">
        <x:v>https://github.com/darknigthmare/deadwall-last-enclosure/blob/1b3b9c5ba232734b1bda3453b4e20a0481bcdd74/codex-3000/addendum-1.58/PROGRAMMES_C.json</x:v>
      </x:c>
      <x:c r="K3644" t="str">
        <x:v>Source min 49,48 m ; max 49,48 m ; modèle 49 × 48 m ; niveaux 0. Détails dans catalogue-existant.json.</x:v>
      </x:c>
    </x:row>
    <x:row r="3645">
      <x:c r="A3645" t="str">
        <x:v>DW-3640</x:v>
      </x:c>
      <x:c r="B3645" t="str">
        <x:v>DW-3640</x:v>
      </x:c>
      <x:c r="C3645" t="str">
        <x:v>Parent indépendant 1.58</x:v>
      </x:c>
      <x:c r="D3645" t="str">
        <x:v>Agriculture</x:v>
      </x:c>
      <x:c r="E3645" t="str">
        <x:v>Dépôt de clôtures mobiles pastorales</x:v>
      </x:c>
      <x:c r="F3645" t="n">
        <x:v>9</x:v>
      </x:c>
      <x:c r="G3645" t="n">
        <x:v>8</x:v>
      </x:c>
      <x:c r="H3645" t="n">
        <x:v>8</x:v>
      </x:c>
      <x:c r="I3645" t="str">
        <x:v>À qualifier par lieu</x:v>
      </x:c>
      <x:c r="J3645" t="str">
        <x:v>https://github.com/darknigthmare/deadwall-last-enclosure/blob/1b3b9c5ba232734b1bda3453b4e20a0481bcdd74/codex-3000/addendum-1.58/PROGRAMMES_C.json</x:v>
      </x:c>
      <x:c r="K3645" t="str">
        <x:v>Source min 54,48 m ; max 54,48 m ; modèle 54 × 48 m ; niveaux 0. Détails dans catalogue-existant.json.</x:v>
      </x:c>
    </x:row>
    <x:row r="3646">
      <x:c r="A3646" t="str">
        <x:v>DW-3641</x:v>
      </x:c>
      <x:c r="B3646" t="str">
        <x:v>DW-3641</x:v>
      </x:c>
      <x:c r="C3646" t="str">
        <x:v>Parent indépendant 1.58</x:v>
      </x:c>
      <x:c r="D3646" t="str">
        <x:v>Agriculture</x:v>
      </x:c>
      <x:c r="E3646" t="str">
        <x:v>Atelier de nourrisseurs gravitaires</x:v>
      </x:c>
      <x:c r="F3646" t="n">
        <x:v>9</x:v>
      </x:c>
      <x:c r="G3646" t="n">
        <x:v>8</x:v>
      </x:c>
      <x:c r="H3646" t="n">
        <x:v>8</x:v>
      </x:c>
      <x:c r="I3646" t="str">
        <x:v>À qualifier par lieu</x:v>
      </x:c>
      <x:c r="J3646" t="str">
        <x:v>https://github.com/darknigthmare/deadwall-last-enclosure/blob/1b3b9c5ba232734b1bda3453b4e20a0481bcdd74/codex-3000/addendum-1.58/PROGRAMMES_C.json</x:v>
      </x:c>
      <x:c r="K3646" t="str">
        <x:v>Source min 34,36 m ; max 34,36 m ; modèle 34 × 36 m ; niveaux 0. Détails dans catalogue-existant.json.</x:v>
      </x:c>
    </x:row>
    <x:row r="3647">
      <x:c r="A3647" t="str">
        <x:v>DW-3642</x:v>
      </x:c>
      <x:c r="B3647" t="str">
        <x:v>DW-3642</x:v>
      </x:c>
      <x:c r="C3647" t="str">
        <x:v>Parent indépendant 1.58</x:v>
      </x:c>
      <x:c r="D3647" t="str">
        <x:v>Agriculture</x:v>
      </x:c>
      <x:c r="E3647" t="str">
        <x:v>Centre de calibrage des semoirs</x:v>
      </x:c>
      <x:c r="F3647" t="n">
        <x:v>9</x:v>
      </x:c>
      <x:c r="G3647" t="n">
        <x:v>8</x:v>
      </x:c>
      <x:c r="H3647" t="n">
        <x:v>8</x:v>
      </x:c>
      <x:c r="I3647" t="str">
        <x:v>À qualifier par lieu</x:v>
      </x:c>
      <x:c r="J3647" t="str">
        <x:v>https://github.com/darknigthmare/deadwall-last-enclosure/blob/1b3b9c5ba232734b1bda3453b4e20a0481bcdd74/codex-3000/addendum-1.58/PROGRAMMES_C.json</x:v>
      </x:c>
      <x:c r="K3647" t="str">
        <x:v>Source min 39,36 m ; max 39,36 m ; modèle 39 × 36 m ; niveaux 0. Détails dans catalogue-existant.json.</x:v>
      </x:c>
    </x:row>
    <x:row r="3648">
      <x:c r="A3648" t="str">
        <x:v>DW-3643</x:v>
      </x:c>
      <x:c r="B3648" t="str">
        <x:v>DW-3643</x:v>
      </x:c>
      <x:c r="C3648" t="str">
        <x:v>Parent indépendant 1.58</x:v>
      </x:c>
      <x:c r="D3648" t="str">
        <x:v>Agriculture</x:v>
      </x:c>
      <x:c r="E3648" t="str">
        <x:v>Atelier de réparation des sécateurs agricoles</x:v>
      </x:c>
      <x:c r="F3648" t="n">
        <x:v>9</x:v>
      </x:c>
      <x:c r="G3648" t="n">
        <x:v>8</x:v>
      </x:c>
      <x:c r="H3648" t="n">
        <x:v>8</x:v>
      </x:c>
      <x:c r="I3648" t="str">
        <x:v>À qualifier par lieu</x:v>
      </x:c>
      <x:c r="J3648" t="str">
        <x:v>https://github.com/darknigthmare/deadwall-last-enclosure/blob/1b3b9c5ba232734b1bda3453b4e20a0481bcdd74/codex-3000/addendum-1.58/PROGRAMMES_C.json</x:v>
      </x:c>
      <x:c r="K3648" t="str">
        <x:v>Source min 44,30 m ; max 44,30 m ; modèle 44 × 30 m ; niveaux 0, 1. Détails dans catalogue-existant.json.</x:v>
      </x:c>
    </x:row>
    <x:row r="3649">
      <x:c r="A3649" t="str">
        <x:v>DW-3644</x:v>
      </x:c>
      <x:c r="B3649" t="str">
        <x:v>DW-3644</x:v>
      </x:c>
      <x:c r="C3649" t="str">
        <x:v>Parent indépendant 1.58</x:v>
      </x:c>
      <x:c r="D3649" t="str">
        <x:v>Agriculture</x:v>
      </x:c>
      <x:c r="E3649" t="str">
        <x:v>Halle de réglage des pulvérisateurs démontés</x:v>
      </x:c>
      <x:c r="F3649" t="n">
        <x:v>9</x:v>
      </x:c>
      <x:c r="G3649" t="n">
        <x:v>8</x:v>
      </x:c>
      <x:c r="H3649" t="n">
        <x:v>8</x:v>
      </x:c>
      <x:c r="I3649" t="str">
        <x:v>À qualifier par lieu</x:v>
      </x:c>
      <x:c r="J3649" t="str">
        <x:v>https://github.com/darknigthmare/deadwall-last-enclosure/blob/1b3b9c5ba232734b1bda3453b4e20a0481bcdd74/codex-3000/addendum-1.58/PROGRAMMES_C.json</x:v>
      </x:c>
      <x:c r="K3649" t="str">
        <x:v>Source min 49,36 m ; max 49,36 m ; modèle 49 × 36 m ; niveaux 0. Détails dans catalogue-existant.json.</x:v>
      </x:c>
    </x:row>
    <x:row r="3650">
      <x:c r="A3650" t="str">
        <x:v>DW-3645</x:v>
      </x:c>
      <x:c r="B3650" t="str">
        <x:v>DW-3645</x:v>
      </x:c>
      <x:c r="C3650" t="str">
        <x:v>Parent indépendant 1.58</x:v>
      </x:c>
      <x:c r="D3650" t="str">
        <x:v>Agriculture</x:v>
      </x:c>
      <x:c r="E3650" t="str">
        <x:v>Atelier de conduites d'irrigation démontables</x:v>
      </x:c>
      <x:c r="F3650" t="n">
        <x:v>9</x:v>
      </x:c>
      <x:c r="G3650" t="n">
        <x:v>8</x:v>
      </x:c>
      <x:c r="H3650" t="n">
        <x:v>8</x:v>
      </x:c>
      <x:c r="I3650" t="str">
        <x:v>À qualifier par lieu</x:v>
      </x:c>
      <x:c r="J3650" t="str">
        <x:v>https://github.com/darknigthmare/deadwall-last-enclosure/blob/1b3b9c5ba232734b1bda3453b4e20a0481bcdd74/codex-3000/addendum-1.58/PROGRAMMES_C.json</x:v>
      </x:c>
      <x:c r="K3650" t="str">
        <x:v>Source min 54,36 m ; max 54,36 m ; modèle 54 × 36 m ; niveaux 0. Détails dans catalogue-existant.json.</x:v>
      </x:c>
    </x:row>
    <x:row r="3651">
      <x:c r="A3651" t="str">
        <x:v>DW-3646</x:v>
      </x:c>
      <x:c r="B3651" t="str">
        <x:v>DW-3646</x:v>
      </x:c>
      <x:c r="C3651" t="str">
        <x:v>Parent indépendant 1.58</x:v>
      </x:c>
      <x:c r="D3651" t="str">
        <x:v>Agriculture</x:v>
      </x:c>
      <x:c r="E3651" t="str">
        <x:v>Dépôt de caisses-palettes agricoles</x:v>
      </x:c>
      <x:c r="F3651" t="n">
        <x:v>9</x:v>
      </x:c>
      <x:c r="G3651" t="n">
        <x:v>8</x:v>
      </x:c>
      <x:c r="H3651" t="n">
        <x:v>8</x:v>
      </x:c>
      <x:c r="I3651" t="str">
        <x:v>À qualifier par lieu</x:v>
      </x:c>
      <x:c r="J3651" t="str">
        <x:v>https://github.com/darknigthmare/deadwall-last-enclosure/blob/1b3b9c5ba232734b1bda3453b4e20a0481bcdd74/codex-3000/addendum-1.58/PROGRAMMES_C.json</x:v>
      </x:c>
      <x:c r="K3651" t="str">
        <x:v>Source min 34,40 m ; max 34,40 m ; modèle 34 × 40 m ; niveaux 0. Détails dans catalogue-existant.json.</x:v>
      </x:c>
    </x:row>
    <x:row r="3652">
      <x:c r="A3652" t="str">
        <x:v>DW-3647</x:v>
      </x:c>
      <x:c r="B3652" t="str">
        <x:v>DW-3647</x:v>
      </x:c>
      <x:c r="C3652" t="str">
        <x:v>Parent indépendant 1.58</x:v>
      </x:c>
      <x:c r="D3652" t="str">
        <x:v>Agriculture</x:v>
      </x:c>
      <x:c r="E3652" t="str">
        <x:v>Atelier de roues de brouettes</x:v>
      </x:c>
      <x:c r="F3652" t="n">
        <x:v>9</x:v>
      </x:c>
      <x:c r="G3652" t="n">
        <x:v>8</x:v>
      </x:c>
      <x:c r="H3652" t="n">
        <x:v>8</x:v>
      </x:c>
      <x:c r="I3652" t="str">
        <x:v>À qualifier par lieu</x:v>
      </x:c>
      <x:c r="J3652" t="str">
        <x:v>https://github.com/darknigthmare/deadwall-last-enclosure/blob/1b3b9c5ba232734b1bda3453b4e20a0481bcdd74/codex-3000/addendum-1.58/PROGRAMMES_C.json</x:v>
      </x:c>
      <x:c r="K3652" t="str">
        <x:v>Source min 39,40 m ; max 39,40 m ; modèle 39 × 40 m ; niveaux 0. Détails dans catalogue-existant.json.</x:v>
      </x:c>
    </x:row>
    <x:row r="3653">
      <x:c r="A3653" t="str">
        <x:v>DW-3648</x:v>
      </x:c>
      <x:c r="B3653" t="str">
        <x:v>DW-3648</x:v>
      </x:c>
      <x:c r="C3653" t="str">
        <x:v>Parent indépendant 1.58</x:v>
      </x:c>
      <x:c r="D3653" t="str">
        <x:v>Agriculture</x:v>
      </x:c>
      <x:c r="E3653" t="str">
        <x:v>Maison de prêt des outils maraîchers</x:v>
      </x:c>
      <x:c r="F3653" t="n">
        <x:v>9</x:v>
      </x:c>
      <x:c r="G3653" t="n">
        <x:v>8</x:v>
      </x:c>
      <x:c r="H3653" t="n">
        <x:v>8</x:v>
      </x:c>
      <x:c r="I3653" t="str">
        <x:v>À qualifier par lieu</x:v>
      </x:c>
      <x:c r="J3653" t="str">
        <x:v>https://github.com/darknigthmare/deadwall-last-enclosure/blob/1b3b9c5ba232734b1bda3453b4e20a0481bcdd74/codex-3000/addendum-1.58/PROGRAMMES_C.json</x:v>
      </x:c>
      <x:c r="K3653" t="str">
        <x:v>Source min 44,34 m ; max 44,34 m ; modèle 44 × 34 m ; niveaux 0, 1. Détails dans catalogue-existant.json.</x:v>
      </x:c>
    </x:row>
    <x:row r="3654">
      <x:c r="A3654" t="str">
        <x:v>DW-3649</x:v>
      </x:c>
      <x:c r="B3654" t="str">
        <x:v>DW-3649</x:v>
      </x:c>
      <x:c r="C3654" t="str">
        <x:v>Parent indépendant 1.58</x:v>
      </x:c>
      <x:c r="D3654" t="str">
        <x:v>Agriculture</x:v>
      </x:c>
      <x:c r="E3654" t="str">
        <x:v>Halle de nettoyage des bulbes conservés</x:v>
      </x:c>
      <x:c r="F3654" t="n">
        <x:v>9</x:v>
      </x:c>
      <x:c r="G3654" t="n">
        <x:v>8</x:v>
      </x:c>
      <x:c r="H3654" t="n">
        <x:v>8</x:v>
      </x:c>
      <x:c r="I3654" t="str">
        <x:v>À qualifier par lieu</x:v>
      </x:c>
      <x:c r="J3654" t="str">
        <x:v>https://github.com/darknigthmare/deadwall-last-enclosure/blob/1b3b9c5ba232734b1bda3453b4e20a0481bcdd74/codex-3000/addendum-1.58/PROGRAMMES_C.json</x:v>
      </x:c>
      <x:c r="K3654" t="str">
        <x:v>Source min 49,40 m ; max 49,40 m ; modèle 49 × 40 m ; niveaux 0. Détails dans catalogue-existant.json.</x:v>
      </x:c>
    </x:row>
    <x:row r="3655">
      <x:c r="A3655" t="str">
        <x:v>DW-3650</x:v>
      </x:c>
      <x:c r="B3655" t="str">
        <x:v>DW-3650</x:v>
      </x:c>
      <x:c r="C3655" t="str">
        <x:v>Parent indépendant 1.58</x:v>
      </x:c>
      <x:c r="D3655" t="str">
        <x:v>Agriculture</x:v>
      </x:c>
      <x:c r="E3655" t="str">
        <x:v>Station de cure des tubercules</x:v>
      </x:c>
      <x:c r="F3655" t="n">
        <x:v>9</x:v>
      </x:c>
      <x:c r="G3655" t="n">
        <x:v>8</x:v>
      </x:c>
      <x:c r="H3655" t="n">
        <x:v>8</x:v>
      </x:c>
      <x:c r="I3655" t="str">
        <x:v>À qualifier par lieu</x:v>
      </x:c>
      <x:c r="J3655" t="str">
        <x:v>https://github.com/darknigthmare/deadwall-last-enclosure/blob/1b3b9c5ba232734b1bda3453b4e20a0481bcdd74/codex-3000/addendum-1.58/PROGRAMMES_C.json</x:v>
      </x:c>
      <x:c r="K3655" t="str">
        <x:v>Source min 54,40 m ; max 54,40 m ; modèle 54 × 40 m ; niveaux 0. Détails dans catalogue-existant.json.</x:v>
      </x:c>
    </x:row>
    <x:row r="3656">
      <x:c r="A3656" t="str">
        <x:v>DW-3651</x:v>
      </x:c>
      <x:c r="B3656" t="str">
        <x:v>DW-3651</x:v>
      </x:c>
      <x:c r="C3656" t="str">
        <x:v>Parent indépendant 1.58</x:v>
      </x:c>
      <x:c r="D3656" t="str">
        <x:v>Agriculture</x:v>
      </x:c>
      <x:c r="E3656" t="str">
        <x:v>Maison de séchage des plantes médicinales</x:v>
      </x:c>
      <x:c r="F3656" t="n">
        <x:v>9</x:v>
      </x:c>
      <x:c r="G3656" t="n">
        <x:v>8</x:v>
      </x:c>
      <x:c r="H3656" t="n">
        <x:v>8</x:v>
      </x:c>
      <x:c r="I3656" t="str">
        <x:v>À qualifier par lieu</x:v>
      </x:c>
      <x:c r="J3656" t="str">
        <x:v>https://github.com/darknigthmare/deadwall-last-enclosure/blob/1b3b9c5ba232734b1bda3453b4e20a0481bcdd74/codex-3000/addendum-1.58/PROGRAMMES_C.json</x:v>
      </x:c>
      <x:c r="K3656" t="str">
        <x:v>Source min 34,44 m ; max 34,44 m ; modèle 34 × 44 m ; niveaux 0. Détails dans catalogue-existant.json.</x:v>
      </x:c>
    </x:row>
    <x:row r="3657">
      <x:c r="A3657" t="str">
        <x:v>DW-3652</x:v>
      </x:c>
      <x:c r="B3657" t="str">
        <x:v>DW-3652</x:v>
      </x:c>
      <x:c r="C3657" t="str">
        <x:v>Parent indépendant 1.58</x:v>
      </x:c>
      <x:c r="D3657" t="str">
        <x:v>Agriculture</x:v>
      </x:c>
      <x:c r="E3657" t="str">
        <x:v>Atelier de tri des fruits à pépins</x:v>
      </x:c>
      <x:c r="F3657" t="n">
        <x:v>9</x:v>
      </x:c>
      <x:c r="G3657" t="n">
        <x:v>8</x:v>
      </x:c>
      <x:c r="H3657" t="n">
        <x:v>8</x:v>
      </x:c>
      <x:c r="I3657" t="str">
        <x:v>À qualifier par lieu</x:v>
      </x:c>
      <x:c r="J3657" t="str">
        <x:v>https://github.com/darknigthmare/deadwall-last-enclosure/blob/1b3b9c5ba232734b1bda3453b4e20a0481bcdd74/codex-3000/addendum-1.58/PROGRAMMES_C.json</x:v>
      </x:c>
      <x:c r="K3657" t="str">
        <x:v>Source min 39,44 m ; max 39,44 m ; modèle 39 × 44 m ; niveaux 0. Détails dans catalogue-existant.json.</x:v>
      </x:c>
    </x:row>
    <x:row r="3658">
      <x:c r="A3658" t="str">
        <x:v>DW-3653</x:v>
      </x:c>
      <x:c r="B3658" t="str">
        <x:v>DW-3653</x:v>
      </x:c>
      <x:c r="C3658" t="str">
        <x:v>Parent indépendant 1.58</x:v>
      </x:c>
      <x:c r="D3658" t="str">
        <x:v>Agriculture</x:v>
      </x:c>
      <x:c r="E3658" t="str">
        <x:v>Halle de stockage des racines en bacs</x:v>
      </x:c>
      <x:c r="F3658" t="n">
        <x:v>9</x:v>
      </x:c>
      <x:c r="G3658" t="n">
        <x:v>8</x:v>
      </x:c>
      <x:c r="H3658" t="n">
        <x:v>8</x:v>
      </x:c>
      <x:c r="I3658" t="str">
        <x:v>À qualifier par lieu</x:v>
      </x:c>
      <x:c r="J3658" t="str">
        <x:v>https://github.com/darknigthmare/deadwall-last-enclosure/blob/1b3b9c5ba232734b1bda3453b4e20a0481bcdd74/codex-3000/addendum-1.58/PROGRAMMES_C.json</x:v>
      </x:c>
      <x:c r="K3658" t="str">
        <x:v>Source min 44,38 m ; max 44,38 m ; modèle 44 × 38 m ; niveaux 0, 1. Détails dans catalogue-existant.json.</x:v>
      </x:c>
    </x:row>
    <x:row r="3659">
      <x:c r="A3659" t="str">
        <x:v>DW-3654</x:v>
      </x:c>
      <x:c r="B3659" t="str">
        <x:v>DW-3654</x:v>
      </x:c>
      <x:c r="C3659" t="str">
        <x:v>Parent indépendant 1.58</x:v>
      </x:c>
      <x:c r="D3659" t="str">
        <x:v>Agriculture</x:v>
      </x:c>
      <x:c r="E3659" t="str">
        <x:v>Station de lavage des légumes terreux</x:v>
      </x:c>
      <x:c r="F3659" t="n">
        <x:v>9</x:v>
      </x:c>
      <x:c r="G3659" t="n">
        <x:v>8</x:v>
      </x:c>
      <x:c r="H3659" t="n">
        <x:v>8</x:v>
      </x:c>
      <x:c r="I3659" t="str">
        <x:v>À qualifier par lieu</x:v>
      </x:c>
      <x:c r="J3659" t="str">
        <x:v>https://github.com/darknigthmare/deadwall-last-enclosure/blob/1b3b9c5ba232734b1bda3453b4e20a0481bcdd74/codex-3000/addendum-1.58/PROGRAMMES_C.json</x:v>
      </x:c>
      <x:c r="K3659" t="str">
        <x:v>Source min 49,44 m ; max 49,44 m ; modèle 49 × 44 m ; niveaux 0. Détails dans catalogue-existant.json.</x:v>
      </x:c>
    </x:row>
    <x:row r="3660">
      <x:c r="A3660" t="str">
        <x:v>DW-3655</x:v>
      </x:c>
      <x:c r="B3660" t="str">
        <x:v>DW-3655</x:v>
      </x:c>
      <x:c r="C3660" t="str">
        <x:v>Parent indépendant 1.58</x:v>
      </x:c>
      <x:c r="D3660" t="str">
        <x:v>Agriculture</x:v>
      </x:c>
      <x:c r="E3660" t="str">
        <x:v>Atelier de préparation des bouquets maraîchers</x:v>
      </x:c>
      <x:c r="F3660" t="n">
        <x:v>9</x:v>
      </x:c>
      <x:c r="G3660" t="n">
        <x:v>8</x:v>
      </x:c>
      <x:c r="H3660" t="n">
        <x:v>8</x:v>
      </x:c>
      <x:c r="I3660" t="str">
        <x:v>À qualifier par lieu</x:v>
      </x:c>
      <x:c r="J3660" t="str">
        <x:v>https://github.com/darknigthmare/deadwall-last-enclosure/blob/1b3b9c5ba232734b1bda3453b4e20a0481bcdd74/codex-3000/addendum-1.58/PROGRAMMES_C.json</x:v>
      </x:c>
      <x:c r="K3660" t="str">
        <x:v>Source min 54,44 m ; max 54,44 m ; modèle 54 × 44 m ; niveaux 0. Détails dans catalogue-existant.json.</x:v>
      </x:c>
    </x:row>
    <x:row r="3661">
      <x:c r="A3661" t="str">
        <x:v>DW-3656</x:v>
      </x:c>
      <x:c r="B3661" t="str">
        <x:v>DW-3656</x:v>
      </x:c>
      <x:c r="C3661" t="str">
        <x:v>Parent indépendant 1.58</x:v>
      </x:c>
      <x:c r="D3661" t="str">
        <x:v>Agriculture</x:v>
      </x:c>
      <x:c r="E3661" t="str">
        <x:v>Maison des récoltes communautaires</x:v>
      </x:c>
      <x:c r="F3661" t="n">
        <x:v>9</x:v>
      </x:c>
      <x:c r="G3661" t="n">
        <x:v>8</x:v>
      </x:c>
      <x:c r="H3661" t="n">
        <x:v>8</x:v>
      </x:c>
      <x:c r="I3661" t="str">
        <x:v>À qualifier par lieu</x:v>
      </x:c>
      <x:c r="J3661" t="str">
        <x:v>https://github.com/darknigthmare/deadwall-last-enclosure/blob/1b3b9c5ba232734b1bda3453b4e20a0481bcdd74/codex-3000/addendum-1.58/PROGRAMMES_C.json</x:v>
      </x:c>
      <x:c r="K3661" t="str">
        <x:v>Source min 34,48 m ; max 34,48 m ; modèle 34 × 48 m ; niveaux 0. Détails dans catalogue-existant.json.</x:v>
      </x:c>
    </x:row>
    <x:row r="3662">
      <x:c r="A3662" t="str">
        <x:v>DW-3657</x:v>
      </x:c>
      <x:c r="B3662" t="str">
        <x:v>DW-3657</x:v>
      </x:c>
      <x:c r="C3662" t="str">
        <x:v>Parent indépendant 1.58</x:v>
      </x:c>
      <x:c r="D3662" t="str">
        <x:v>Agriculture</x:v>
      </x:c>
      <x:c r="E3662" t="str">
        <x:v>Atelier de sacs de semis contrôlés</x:v>
      </x:c>
      <x:c r="F3662" t="n">
        <x:v>9</x:v>
      </x:c>
      <x:c r="G3662" t="n">
        <x:v>8</x:v>
      </x:c>
      <x:c r="H3662" t="n">
        <x:v>8</x:v>
      </x:c>
      <x:c r="I3662" t="str">
        <x:v>À qualifier par lieu</x:v>
      </x:c>
      <x:c r="J3662" t="str">
        <x:v>https://github.com/darknigthmare/deadwall-last-enclosure/blob/1b3b9c5ba232734b1bda3453b4e20a0481bcdd74/codex-3000/addendum-1.58/PROGRAMMES_C.json</x:v>
      </x:c>
      <x:c r="K3662" t="str">
        <x:v>Source min 39,48 m ; max 39,48 m ; modèle 39 × 48 m ; niveaux 0. Détails dans catalogue-existant.json.</x:v>
      </x:c>
    </x:row>
    <x:row r="3663">
      <x:c r="A3663" t="str">
        <x:v>DW-3658</x:v>
      </x:c>
      <x:c r="B3663" t="str">
        <x:v>DW-3658</x:v>
      </x:c>
      <x:c r="C3663" t="str">
        <x:v>Parent indépendant 1.58</x:v>
      </x:c>
      <x:c r="D3663" t="str">
        <x:v>Agriculture</x:v>
      </x:c>
      <x:c r="E3663" t="str">
        <x:v>Station de surveillance des ravageurs</x:v>
      </x:c>
      <x:c r="F3663" t="n">
        <x:v>9</x:v>
      </x:c>
      <x:c r="G3663" t="n">
        <x:v>8</x:v>
      </x:c>
      <x:c r="H3663" t="n">
        <x:v>8</x:v>
      </x:c>
      <x:c r="I3663" t="str">
        <x:v>À qualifier par lieu</x:v>
      </x:c>
      <x:c r="J3663" t="str">
        <x:v>https://github.com/darknigthmare/deadwall-last-enclosure/blob/1b3b9c5ba232734b1bda3453b4e20a0481bcdd74/codex-3000/addendum-1.58/PROGRAMMES_C.json</x:v>
      </x:c>
      <x:c r="K3663" t="str">
        <x:v>Source min 44,42 m ; max 44,42 m ; modèle 44 × 42 m ; niveaux 0, 1. Détails dans catalogue-existant.json.</x:v>
      </x:c>
    </x:row>
    <x:row r="3664">
      <x:c r="A3664" t="str">
        <x:v>DW-3659</x:v>
      </x:c>
      <x:c r="B3664" t="str">
        <x:v>DW-3659</x:v>
      </x:c>
      <x:c r="C3664" t="str">
        <x:v>Parent indépendant 1.58</x:v>
      </x:c>
      <x:c r="D3664" t="str">
        <x:v>Agriculture</x:v>
      </x:c>
      <x:c r="E3664" t="str">
        <x:v>Maison de suivi des pollinisateurs</x:v>
      </x:c>
      <x:c r="F3664" t="n">
        <x:v>9</x:v>
      </x:c>
      <x:c r="G3664" t="n">
        <x:v>8</x:v>
      </x:c>
      <x:c r="H3664" t="n">
        <x:v>8</x:v>
      </x:c>
      <x:c r="I3664" t="str">
        <x:v>À qualifier par lieu</x:v>
      </x:c>
      <x:c r="J3664" t="str">
        <x:v>https://github.com/darknigthmare/deadwall-last-enclosure/blob/1b3b9c5ba232734b1bda3453b4e20a0481bcdd74/codex-3000/addendum-1.58/PROGRAMMES_C.json</x:v>
      </x:c>
      <x:c r="K3664" t="str">
        <x:v>Source min 49,48 m ; max 49,48 m ; modèle 49 × 48 m ; niveaux 0. Détails dans catalogue-existant.json.</x:v>
      </x:c>
    </x:row>
    <x:row r="3665">
      <x:c r="A3665" t="str">
        <x:v>DW-3660</x:v>
      </x:c>
      <x:c r="B3665" t="str">
        <x:v>DW-3660</x:v>
      </x:c>
      <x:c r="C3665" t="str">
        <x:v>Parent indépendant 1.58</x:v>
      </x:c>
      <x:c r="D3665" t="str">
        <x:v>Agriculture</x:v>
      </x:c>
      <x:c r="E3665" t="str">
        <x:v>Atelier de nichoirs pour auxiliaires agricoles</x:v>
      </x:c>
      <x:c r="F3665" t="n">
        <x:v>9</x:v>
      </x:c>
      <x:c r="G3665" t="n">
        <x:v>8</x:v>
      </x:c>
      <x:c r="H3665" t="n">
        <x:v>8</x:v>
      </x:c>
      <x:c r="I3665" t="str">
        <x:v>À qualifier par lieu</x:v>
      </x:c>
      <x:c r="J3665" t="str">
        <x:v>https://github.com/darknigthmare/deadwall-last-enclosure/blob/1b3b9c5ba232734b1bda3453b4e20a0481bcdd74/codex-3000/addendum-1.58/PROGRAMMES_C.json</x:v>
      </x:c>
      <x:c r="K3665" t="str">
        <x:v>Source min 54,48 m ; max 54,48 m ; modèle 54 × 48 m ; niveaux 0. Détails dans catalogue-existant.json.</x:v>
      </x:c>
    </x:row>
    <x:row r="3666">
      <x:c r="A3666" t="str">
        <x:v>DW-3661</x:v>
      </x:c>
      <x:c r="B3666" t="str">
        <x:v>DW-3661</x:v>
      </x:c>
      <x:c r="C3666" t="str">
        <x:v>Parent indépendant 1.58</x:v>
      </x:c>
      <x:c r="D3666" t="str">
        <x:v>Agriculture</x:v>
      </x:c>
      <x:c r="E3666" t="str">
        <x:v>Maison de repérage des haies bocagères</x:v>
      </x:c>
      <x:c r="F3666" t="n">
        <x:v>9</x:v>
      </x:c>
      <x:c r="G3666" t="n">
        <x:v>8</x:v>
      </x:c>
      <x:c r="H3666" t="n">
        <x:v>8</x:v>
      </x:c>
      <x:c r="I3666" t="str">
        <x:v>À qualifier par lieu</x:v>
      </x:c>
      <x:c r="J3666" t="str">
        <x:v>https://github.com/darknigthmare/deadwall-last-enclosure/blob/1b3b9c5ba232734b1bda3453b4e20a0481bcdd74/codex-3000/addendum-1.58/PROGRAMMES_C.json</x:v>
      </x:c>
      <x:c r="K3666" t="str">
        <x:v>Source min 34,36 m ; max 34,36 m ; modèle 34 × 36 m ; niveaux 0. Détails dans catalogue-existant.json.</x:v>
      </x:c>
    </x:row>
    <x:row r="3667">
      <x:c r="A3667" t="str">
        <x:v>DW-3662</x:v>
      </x:c>
      <x:c r="B3667" t="str">
        <x:v>DW-3662</x:v>
      </x:c>
      <x:c r="C3667" t="str">
        <x:v>Parent indépendant 1.58</x:v>
      </x:c>
      <x:c r="D3667" t="str">
        <x:v>Agriculture</x:v>
      </x:c>
      <x:c r="E3667" t="str">
        <x:v>Station de contrôle des fruits destinés au stockage</x:v>
      </x:c>
      <x:c r="F3667" t="n">
        <x:v>9</x:v>
      </x:c>
      <x:c r="G3667" t="n">
        <x:v>8</x:v>
      </x:c>
      <x:c r="H3667" t="n">
        <x:v>8</x:v>
      </x:c>
      <x:c r="I3667" t="str">
        <x:v>À qualifier par lieu</x:v>
      </x:c>
      <x:c r="J3667" t="str">
        <x:v>https://github.com/darknigthmare/deadwall-last-enclosure/blob/1b3b9c5ba232734b1bda3453b4e20a0481bcdd74/codex-3000/addendum-1.58/PROGRAMMES_C.json</x:v>
      </x:c>
      <x:c r="K3667" t="str">
        <x:v>Source min 39,36 m ; max 39,36 m ; modèle 39 × 36 m ; niveaux 0. Détails dans catalogue-existant.json.</x:v>
      </x:c>
    </x:row>
    <x:row r="3668">
      <x:c r="A3668" t="str">
        <x:v>DW-3663</x:v>
      </x:c>
      <x:c r="B3668" t="str">
        <x:v>DW-3663</x:v>
      </x:c>
      <x:c r="C3668" t="str">
        <x:v>Parent indépendant 1.58</x:v>
      </x:c>
      <x:c r="D3668" t="str">
        <x:v>Agriculture</x:v>
      </x:c>
      <x:c r="E3668" t="str">
        <x:v>Atelier de réparation des filets de verger</x:v>
      </x:c>
      <x:c r="F3668" t="n">
        <x:v>9</x:v>
      </x:c>
      <x:c r="G3668" t="n">
        <x:v>8</x:v>
      </x:c>
      <x:c r="H3668" t="n">
        <x:v>8</x:v>
      </x:c>
      <x:c r="I3668" t="str">
        <x:v>À qualifier par lieu</x:v>
      </x:c>
      <x:c r="J3668" t="str">
        <x:v>https://github.com/darknigthmare/deadwall-last-enclosure/blob/1b3b9c5ba232734b1bda3453b4e20a0481bcdd74/codex-3000/addendum-1.58/PROGRAMMES_C.json</x:v>
      </x:c>
      <x:c r="K3668" t="str">
        <x:v>Source min 44,30 m ; max 44,30 m ; modèle 44 × 30 m ; niveaux 0, 1. Détails dans catalogue-existant.json.</x:v>
      </x:c>
    </x:row>
    <x:row r="3669">
      <x:c r="A3669" t="str">
        <x:v>DW-3664</x:v>
      </x:c>
      <x:c r="B3669" t="str">
        <x:v>DW-3664</x:v>
      </x:c>
      <x:c r="C3669" t="str">
        <x:v>Parent indépendant 1.58</x:v>
      </x:c>
      <x:c r="D3669" t="str">
        <x:v>Agriculture</x:v>
      </x:c>
      <x:c r="E3669" t="str">
        <x:v>Halle de tri des copeaux de litière</x:v>
      </x:c>
      <x:c r="F3669" t="n">
        <x:v>9</x:v>
      </x:c>
      <x:c r="G3669" t="n">
        <x:v>8</x:v>
      </x:c>
      <x:c r="H3669" t="n">
        <x:v>8</x:v>
      </x:c>
      <x:c r="I3669" t="str">
        <x:v>À qualifier par lieu</x:v>
      </x:c>
      <x:c r="J3669" t="str">
        <x:v>https://github.com/darknigthmare/deadwall-last-enclosure/blob/1b3b9c5ba232734b1bda3453b4e20a0481bcdd74/codex-3000/addendum-1.58/PROGRAMMES_C.json</x:v>
      </x:c>
      <x:c r="K3669" t="str">
        <x:v>Source min 49,36 m ; max 49,36 m ; modèle 49 × 36 m ; niveaux 0. Détails dans catalogue-existant.json.</x:v>
      </x:c>
    </x:row>
    <x:row r="3670">
      <x:c r="A3670" t="str">
        <x:v>DW-3665</x:v>
      </x:c>
      <x:c r="B3670" t="str">
        <x:v>DW-3665</x:v>
      </x:c>
      <x:c r="C3670" t="str">
        <x:v>Parent indépendant 1.58</x:v>
      </x:c>
      <x:c r="D3670" t="str">
        <x:v>Agriculture</x:v>
      </x:c>
      <x:c r="E3670" t="str">
        <x:v>Maison des comptes de récolte solidaire</x:v>
      </x:c>
      <x:c r="F3670" t="n">
        <x:v>9</x:v>
      </x:c>
      <x:c r="G3670" t="n">
        <x:v>8</x:v>
      </x:c>
      <x:c r="H3670" t="n">
        <x:v>8</x:v>
      </x:c>
      <x:c r="I3670" t="str">
        <x:v>À qualifier par lieu</x:v>
      </x:c>
      <x:c r="J3670" t="str">
        <x:v>https://github.com/darknigthmare/deadwall-last-enclosure/blob/1b3b9c5ba232734b1bda3453b4e20a0481bcdd74/codex-3000/addendum-1.58/PROGRAMMES_C.json</x:v>
      </x:c>
      <x:c r="K3670" t="str">
        <x:v>Source min 54,36 m ; max 54,36 m ; modèle 54 × 36 m ; niveaux 0. Détails dans catalogue-existant.json.</x:v>
      </x:c>
    </x:row>
    <x:row r="3671">
      <x:c r="A3671" t="str">
        <x:v>DW-3666</x:v>
      </x:c>
      <x:c r="B3671" t="str">
        <x:v>DW-3666</x:v>
      </x:c>
      <x:c r="C3671" t="str">
        <x:v>Parent indépendant 1.58</x:v>
      </x:c>
      <x:c r="D3671" t="str">
        <x:v>Énergie et communication</x:v>
      </x:c>
      <x:c r="E3671" t="str">
        <x:v>Atelier de pompes de captage déposées</x:v>
      </x:c>
      <x:c r="F3671" t="n">
        <x:v>9</x:v>
      </x:c>
      <x:c r="G3671" t="n">
        <x:v>8</x:v>
      </x:c>
      <x:c r="H3671" t="n">
        <x:v>8</x:v>
      </x:c>
      <x:c r="I3671" t="str">
        <x:v>À qualifier par lieu</x:v>
      </x:c>
      <x:c r="J3671" t="str">
        <x:v>https://github.com/darknigthmare/deadwall-last-enclosure/blob/1b3b9c5ba232734b1bda3453b4e20a0481bcdd74/codex-3000/addendum-1.58/PROGRAMMES_C.json</x:v>
      </x:c>
      <x:c r="K3671" t="str">
        <x:v>Source min 38,40 m ; max 38,40 m ; modèle 38 × 40 m ; niveaux 0. Détails dans catalogue-existant.json.</x:v>
      </x:c>
    </x:row>
    <x:row r="3672">
      <x:c r="A3672" t="str">
        <x:v>DW-3667</x:v>
      </x:c>
      <x:c r="B3672" t="str">
        <x:v>DW-3667</x:v>
      </x:c>
      <x:c r="C3672" t="str">
        <x:v>Parent indépendant 1.58</x:v>
      </x:c>
      <x:c r="D3672" t="str">
        <x:v>Énergie et communication</x:v>
      </x:c>
      <x:c r="E3672" t="str">
        <x:v>Maison d'échantillonnage de l'eau brute</x:v>
      </x:c>
      <x:c r="F3672" t="n">
        <x:v>9</x:v>
      </x:c>
      <x:c r="G3672" t="n">
        <x:v>8</x:v>
      </x:c>
      <x:c r="H3672" t="n">
        <x:v>8</x:v>
      </x:c>
      <x:c r="I3672" t="str">
        <x:v>À qualifier par lieu</x:v>
      </x:c>
      <x:c r="J3672" t="str">
        <x:v>https://github.com/darknigthmare/deadwall-last-enclosure/blob/1b3b9c5ba232734b1bda3453b4e20a0481bcdd74/codex-3000/addendum-1.58/PROGRAMMES_C.json</x:v>
      </x:c>
      <x:c r="K3672" t="str">
        <x:v>Source min 43,40 m ; max 43,40 m ; modèle 43 × 40 m ; niveaux 0. Détails dans catalogue-existant.json.</x:v>
      </x:c>
    </x:row>
    <x:row r="3673">
      <x:c r="A3673" t="str">
        <x:v>DW-3668</x:v>
      </x:c>
      <x:c r="B3673" t="str">
        <x:v>DW-3668</x:v>
      </x:c>
      <x:c r="C3673" t="str">
        <x:v>Parent indépendant 1.58</x:v>
      </x:c>
      <x:c r="D3673" t="str">
        <x:v>Énergie et communication</x:v>
      </x:c>
      <x:c r="E3673" t="str">
        <x:v>Station terrestre de filtres à cartouche</x:v>
      </x:c>
      <x:c r="F3673" t="n">
        <x:v>9</x:v>
      </x:c>
      <x:c r="G3673" t="n">
        <x:v>8</x:v>
      </x:c>
      <x:c r="H3673" t="n">
        <x:v>8</x:v>
      </x:c>
      <x:c r="I3673" t="str">
        <x:v>À qualifier par lieu</x:v>
      </x:c>
      <x:c r="J3673" t="str">
        <x:v>https://github.com/darknigthmare/deadwall-last-enclosure/blob/1b3b9c5ba232734b1bda3453b4e20a0481bcdd74/codex-3000/addendum-1.58/PROGRAMMES_C.json</x:v>
      </x:c>
      <x:c r="K3673" t="str">
        <x:v>Source min 48,34 m ; max 48,34 m ; modèle 48 × 34 m ; niveaux 0, 1. Détails dans catalogue-existant.json.</x:v>
      </x:c>
    </x:row>
    <x:row r="3674">
      <x:c r="A3674" t="str">
        <x:v>DW-3669</x:v>
      </x:c>
      <x:c r="B3674" t="str">
        <x:v>DW-3669</x:v>
      </x:c>
      <x:c r="C3674" t="str">
        <x:v>Parent indépendant 1.58</x:v>
      </x:c>
      <x:c r="D3674" t="str">
        <x:v>Énergie et communication</x:v>
      </x:c>
      <x:c r="E3674" t="str">
        <x:v>Bâtiment de commande de surpression</x:v>
      </x:c>
      <x:c r="F3674" t="n">
        <x:v>9</x:v>
      </x:c>
      <x:c r="G3674" t="n">
        <x:v>8</x:v>
      </x:c>
      <x:c r="H3674" t="n">
        <x:v>8</x:v>
      </x:c>
      <x:c r="I3674" t="str">
        <x:v>À qualifier par lieu</x:v>
      </x:c>
      <x:c r="J3674" t="str">
        <x:v>https://github.com/darknigthmare/deadwall-last-enclosure/blob/1b3b9c5ba232734b1bda3453b4e20a0481bcdd74/codex-3000/addendum-1.58/PROGRAMMES_C.json</x:v>
      </x:c>
      <x:c r="K3674" t="str">
        <x:v>Source min 53,40 m ; max 53,40 m ; modèle 53 × 40 m ; niveaux 0. Détails dans catalogue-existant.json.</x:v>
      </x:c>
    </x:row>
    <x:row r="3675">
      <x:c r="A3675" t="str">
        <x:v>DW-3670</x:v>
      </x:c>
      <x:c r="B3675" t="str">
        <x:v>DW-3670</x:v>
      </x:c>
      <x:c r="C3675" t="str">
        <x:v>Parent indépendant 1.58</x:v>
      </x:c>
      <x:c r="D3675" t="str">
        <x:v>Énergie et communication</x:v>
      </x:c>
      <x:c r="E3675" t="str">
        <x:v>Atelier de compteurs d'eau démontés</x:v>
      </x:c>
      <x:c r="F3675" t="n">
        <x:v>9</x:v>
      </x:c>
      <x:c r="G3675" t="n">
        <x:v>8</x:v>
      </x:c>
      <x:c r="H3675" t="n">
        <x:v>8</x:v>
      </x:c>
      <x:c r="I3675" t="str">
        <x:v>À qualifier par lieu</x:v>
      </x:c>
      <x:c r="J3675" t="str">
        <x:v>https://github.com/darknigthmare/deadwall-last-enclosure/blob/1b3b9c5ba232734b1bda3453b4e20a0481bcdd74/codex-3000/addendum-1.58/PROGRAMMES_C.json</x:v>
      </x:c>
      <x:c r="K3675" t="str">
        <x:v>Source min 58,40 m ; max 58,40 m ; modèle 58 × 40 m ; niveaux 0. Détails dans catalogue-existant.json.</x:v>
      </x:c>
    </x:row>
    <x:row r="3676">
      <x:c r="A3676" t="str">
        <x:v>DW-3671</x:v>
      </x:c>
      <x:c r="B3676" t="str">
        <x:v>DW-3671</x:v>
      </x:c>
      <x:c r="C3676" t="str">
        <x:v>Parent indépendant 1.58</x:v>
      </x:c>
      <x:c r="D3676" t="str">
        <x:v>Énergie et communication</x:v>
      </x:c>
      <x:c r="E3676" t="str">
        <x:v>Station de stockage de raccords hydrauliques</x:v>
      </x:c>
      <x:c r="F3676" t="n">
        <x:v>9</x:v>
      </x:c>
      <x:c r="G3676" t="n">
        <x:v>8</x:v>
      </x:c>
      <x:c r="H3676" t="n">
        <x:v>8</x:v>
      </x:c>
      <x:c r="I3676" t="str">
        <x:v>À qualifier par lieu</x:v>
      </x:c>
      <x:c r="J3676" t="str">
        <x:v>https://github.com/darknigthmare/deadwall-last-enclosure/blob/1b3b9c5ba232734b1bda3453b4e20a0481bcdd74/codex-3000/addendum-1.58/PROGRAMMES_C.json</x:v>
      </x:c>
      <x:c r="K3676" t="str">
        <x:v>Source min 38,44 m ; max 38,44 m ; modèle 38 × 44 m ; niveaux 0. Détails dans catalogue-existant.json.</x:v>
      </x:c>
    </x:row>
    <x:row r="3677">
      <x:c r="A3677" t="str">
        <x:v>DW-3672</x:v>
      </x:c>
      <x:c r="B3677" t="str">
        <x:v>DW-3672</x:v>
      </x:c>
      <x:c r="C3677" t="str">
        <x:v>Parent indépendant 1.58</x:v>
      </x:c>
      <x:c r="D3677" t="str">
        <x:v>Énergie et communication</x:v>
      </x:c>
      <x:c r="E3677" t="str">
        <x:v>Maison des essais de joints hydrauliques</x:v>
      </x:c>
      <x:c r="F3677" t="n">
        <x:v>9</x:v>
      </x:c>
      <x:c r="G3677" t="n">
        <x:v>8</x:v>
      </x:c>
      <x:c r="H3677" t="n">
        <x:v>8</x:v>
      </x:c>
      <x:c r="I3677" t="str">
        <x:v>À qualifier par lieu</x:v>
      </x:c>
      <x:c r="J3677" t="str">
        <x:v>https://github.com/darknigthmare/deadwall-last-enclosure/blob/1b3b9c5ba232734b1bda3453b4e20a0481bcdd74/codex-3000/addendum-1.58/PROGRAMMES_C.json</x:v>
      </x:c>
      <x:c r="K3677" t="str">
        <x:v>Source min 43,44 m ; max 43,44 m ; modèle 43 × 44 m ; niveaux 0. Détails dans catalogue-existant.json.</x:v>
      </x:c>
    </x:row>
    <x:row r="3678">
      <x:c r="A3678" t="str">
        <x:v>DW-3673</x:v>
      </x:c>
      <x:c r="B3678" t="str">
        <x:v>DW-3673</x:v>
      </x:c>
      <x:c r="C3678" t="str">
        <x:v>Parent indépendant 1.58</x:v>
      </x:c>
      <x:c r="D3678" t="str">
        <x:v>Énergie et communication</x:v>
      </x:c>
      <x:c r="E3678" t="str">
        <x:v>Bâtiment de membranes filtrantes déposées</x:v>
      </x:c>
      <x:c r="F3678" t="n">
        <x:v>9</x:v>
      </x:c>
      <x:c r="G3678" t="n">
        <x:v>8</x:v>
      </x:c>
      <x:c r="H3678" t="n">
        <x:v>8</x:v>
      </x:c>
      <x:c r="I3678" t="str">
        <x:v>À qualifier par lieu</x:v>
      </x:c>
      <x:c r="J3678" t="str">
        <x:v>https://github.com/darknigthmare/deadwall-last-enclosure/blob/1b3b9c5ba232734b1bda3453b4e20a0481bcdd74/codex-3000/addendum-1.58/PROGRAMMES_C.json</x:v>
      </x:c>
      <x:c r="K3678" t="str">
        <x:v>Source min 48,38 m ; max 48,38 m ; modèle 48 × 38 m ; niveaux 0, 1. Détails dans catalogue-existant.json.</x:v>
      </x:c>
    </x:row>
    <x:row r="3679">
      <x:c r="A3679" t="str">
        <x:v>DW-3674</x:v>
      </x:c>
      <x:c r="B3679" t="str">
        <x:v>DW-3674</x:v>
      </x:c>
      <x:c r="C3679" t="str">
        <x:v>Parent indépendant 1.58</x:v>
      </x:c>
      <x:c r="D3679" t="str">
        <x:v>Énergie et communication</x:v>
      </x:c>
      <x:c r="E3679" t="str">
        <x:v>Atelier de réparation des fontaines manuelles</x:v>
      </x:c>
      <x:c r="F3679" t="n">
        <x:v>9</x:v>
      </x:c>
      <x:c r="G3679" t="n">
        <x:v>8</x:v>
      </x:c>
      <x:c r="H3679" t="n">
        <x:v>8</x:v>
      </x:c>
      <x:c r="I3679" t="str">
        <x:v>À qualifier par lieu</x:v>
      </x:c>
      <x:c r="J3679" t="str">
        <x:v>https://github.com/darknigthmare/deadwall-last-enclosure/blob/1b3b9c5ba232734b1bda3453b4e20a0481bcdd74/codex-3000/addendum-1.58/PROGRAMMES_C.json</x:v>
      </x:c>
      <x:c r="K3679" t="str">
        <x:v>Source min 53,44 m ; max 53,44 m ; modèle 53 × 44 m ; niveaux 0. Détails dans catalogue-existant.json.</x:v>
      </x:c>
    </x:row>
    <x:row r="3680">
      <x:c r="A3680" t="str">
        <x:v>DW-3675</x:v>
      </x:c>
      <x:c r="B3680" t="str">
        <x:v>DW-3675</x:v>
      </x:c>
      <x:c r="C3680" t="str">
        <x:v>Parent indépendant 1.58</x:v>
      </x:c>
      <x:c r="D3680" t="str">
        <x:v>Énergie et communication</x:v>
      </x:c>
      <x:c r="E3680" t="str">
        <x:v>Station des matériels de désinfection arrêtés</x:v>
      </x:c>
      <x:c r="F3680" t="n">
        <x:v>9</x:v>
      </x:c>
      <x:c r="G3680" t="n">
        <x:v>8</x:v>
      </x:c>
      <x:c r="H3680" t="n">
        <x:v>8</x:v>
      </x:c>
      <x:c r="I3680" t="str">
        <x:v>À qualifier par lieu</x:v>
      </x:c>
      <x:c r="J3680" t="str">
        <x:v>https://github.com/darknigthmare/deadwall-last-enclosure/blob/1b3b9c5ba232734b1bda3453b4e20a0481bcdd74/codex-3000/addendum-1.58/PROGRAMMES_C.json</x:v>
      </x:c>
      <x:c r="K3680" t="str">
        <x:v>Source min 58,44 m ; max 58,44 m ; modèle 58 × 44 m ; niveaux 0. Détails dans catalogue-existant.json.</x:v>
      </x:c>
    </x:row>
    <x:row r="3681">
      <x:c r="A3681" t="str">
        <x:v>DW-3676</x:v>
      </x:c>
      <x:c r="B3681" t="str">
        <x:v>DW-3676</x:v>
      </x:c>
      <x:c r="C3681" t="str">
        <x:v>Parent indépendant 1.58</x:v>
      </x:c>
      <x:c r="D3681" t="str">
        <x:v>Énergie et communication</x:v>
      </x:c>
      <x:c r="E3681" t="str">
        <x:v>Bâtiment de lavage des petits filtres</x:v>
      </x:c>
      <x:c r="F3681" t="n">
        <x:v>9</x:v>
      </x:c>
      <x:c r="G3681" t="n">
        <x:v>8</x:v>
      </x:c>
      <x:c r="H3681" t="n">
        <x:v>8</x:v>
      </x:c>
      <x:c r="I3681" t="str">
        <x:v>À qualifier par lieu</x:v>
      </x:c>
      <x:c r="J3681" t="str">
        <x:v>https://github.com/darknigthmare/deadwall-last-enclosure/blob/1b3b9c5ba232734b1bda3453b4e20a0481bcdd74/codex-3000/addendum-1.58/PROGRAMMES_C.json</x:v>
      </x:c>
      <x:c r="K3681" t="str">
        <x:v>Source min 38,48 m ; max 38,48 m ; modèle 38 × 48 m ; niveaux 0. Détails dans catalogue-existant.json.</x:v>
      </x:c>
    </x:row>
    <x:row r="3682">
      <x:c r="A3682" t="str">
        <x:v>DW-3677</x:v>
      </x:c>
      <x:c r="B3682" t="str">
        <x:v>DW-3677</x:v>
      </x:c>
      <x:c r="C3682" t="str">
        <x:v>Parent indépendant 1.58</x:v>
      </x:c>
      <x:c r="D3682" t="str">
        <x:v>Énergie et communication</x:v>
      </x:c>
      <x:c r="E3682" t="str">
        <x:v>Maison de suivi des pertes de conduites</x:v>
      </x:c>
      <x:c r="F3682" t="n">
        <x:v>9</x:v>
      </x:c>
      <x:c r="G3682" t="n">
        <x:v>8</x:v>
      </x:c>
      <x:c r="H3682" t="n">
        <x:v>8</x:v>
      </x:c>
      <x:c r="I3682" t="str">
        <x:v>À qualifier par lieu</x:v>
      </x:c>
      <x:c r="J3682" t="str">
        <x:v>https://github.com/darknigthmare/deadwall-last-enclosure/blob/1b3b9c5ba232734b1bda3453b4e20a0481bcdd74/codex-3000/addendum-1.58/PROGRAMMES_C.json</x:v>
      </x:c>
      <x:c r="K3682" t="str">
        <x:v>Source min 43,48 m ; max 43,48 m ; modèle 43 × 48 m ; niveaux 0. Détails dans catalogue-existant.json.</x:v>
      </x:c>
    </x:row>
    <x:row r="3683">
      <x:c r="A3683" t="str">
        <x:v>DW-3678</x:v>
      </x:c>
      <x:c r="B3683" t="str">
        <x:v>DW-3678</x:v>
      </x:c>
      <x:c r="C3683" t="str">
        <x:v>Parent indépendant 1.58</x:v>
      </x:c>
      <x:c r="D3683" t="str">
        <x:v>Énergie et communication</x:v>
      </x:c>
      <x:c r="E3683" t="str">
        <x:v>Atelier de tubes de distribution sertis</x:v>
      </x:c>
      <x:c r="F3683" t="n">
        <x:v>9</x:v>
      </x:c>
      <x:c r="G3683" t="n">
        <x:v>8</x:v>
      </x:c>
      <x:c r="H3683" t="n">
        <x:v>8</x:v>
      </x:c>
      <x:c r="I3683" t="str">
        <x:v>À qualifier par lieu</x:v>
      </x:c>
      <x:c r="J3683" t="str">
        <x:v>https://github.com/darknigthmare/deadwall-last-enclosure/blob/1b3b9c5ba232734b1bda3453b4e20a0481bcdd74/codex-3000/addendum-1.58/PROGRAMMES_C.json</x:v>
      </x:c>
      <x:c r="K3683" t="str">
        <x:v>Source min 48,42 m ; max 48,42 m ; modèle 48 × 42 m ; niveaux 0, 1. Détails dans catalogue-existant.json.</x:v>
      </x:c>
    </x:row>
    <x:row r="3684">
      <x:c r="A3684" t="str">
        <x:v>DW-3679</x:v>
      </x:c>
      <x:c r="B3684" t="str">
        <x:v>DW-3679</x:v>
      </x:c>
      <x:c r="C3684" t="str">
        <x:v>Parent indépendant 1.58</x:v>
      </x:c>
      <x:c r="D3684" t="str">
        <x:v>Énergie et communication</x:v>
      </x:c>
      <x:c r="E3684" t="str">
        <x:v>Station de conditionnement des flacons de terrain</x:v>
      </x:c>
      <x:c r="F3684" t="n">
        <x:v>9</x:v>
      </x:c>
      <x:c r="G3684" t="n">
        <x:v>8</x:v>
      </x:c>
      <x:c r="H3684" t="n">
        <x:v>8</x:v>
      </x:c>
      <x:c r="I3684" t="str">
        <x:v>À qualifier par lieu</x:v>
      </x:c>
      <x:c r="J3684" t="str">
        <x:v>https://github.com/darknigthmare/deadwall-last-enclosure/blob/1b3b9c5ba232734b1bda3453b4e20a0481bcdd74/codex-3000/addendum-1.58/PROGRAMMES_C.json</x:v>
      </x:c>
      <x:c r="K3684" t="str">
        <x:v>Source min 53,48 m ; max 53,48 m ; modèle 53 × 48 m ; niveaux 0. Détails dans catalogue-existant.json.</x:v>
      </x:c>
    </x:row>
    <x:row r="3685">
      <x:c r="A3685" t="str">
        <x:v>DW-3680</x:v>
      </x:c>
      <x:c r="B3685" t="str">
        <x:v>DW-3680</x:v>
      </x:c>
      <x:c r="C3685" t="str">
        <x:v>Parent indépendant 1.58</x:v>
      </x:c>
      <x:c r="D3685" t="str">
        <x:v>Énergie et communication</x:v>
      </x:c>
      <x:c r="E3685" t="str">
        <x:v>Bâtiment de commande de drainage fermé</x:v>
      </x:c>
      <x:c r="F3685" t="n">
        <x:v>9</x:v>
      </x:c>
      <x:c r="G3685" t="n">
        <x:v>8</x:v>
      </x:c>
      <x:c r="H3685" t="n">
        <x:v>8</x:v>
      </x:c>
      <x:c r="I3685" t="str">
        <x:v>À qualifier par lieu</x:v>
      </x:c>
      <x:c r="J3685" t="str">
        <x:v>https://github.com/darknigthmare/deadwall-last-enclosure/blob/1b3b9c5ba232734b1bda3453b4e20a0481bcdd74/codex-3000/addendum-1.58/PROGRAMMES_C.json</x:v>
      </x:c>
      <x:c r="K3685" t="str">
        <x:v>Source min 58,48 m ; max 58,48 m ; modèle 58 × 48 m ; niveaux 0. Détails dans catalogue-existant.json.</x:v>
      </x:c>
    </x:row>
    <x:row r="3686">
      <x:c r="A3686" t="str">
        <x:v>DW-3681</x:v>
      </x:c>
      <x:c r="B3686" t="str">
        <x:v>DW-3681</x:v>
      </x:c>
      <x:c r="C3686" t="str">
        <x:v>Parent indépendant 1.58</x:v>
      </x:c>
      <x:c r="D3686" t="str">
        <x:v>Énergie et communication</x:v>
      </x:c>
      <x:c r="E3686" t="str">
        <x:v>Maison des archives de prélèvement hydraulique</x:v>
      </x:c>
      <x:c r="F3686" t="n">
        <x:v>9</x:v>
      </x:c>
      <x:c r="G3686" t="n">
        <x:v>8</x:v>
      </x:c>
      <x:c r="H3686" t="n">
        <x:v>8</x:v>
      </x:c>
      <x:c r="I3686" t="str">
        <x:v>À qualifier par lieu</x:v>
      </x:c>
      <x:c r="J3686" t="str">
        <x:v>https://github.com/darknigthmare/deadwall-last-enclosure/blob/1b3b9c5ba232734b1bda3453b4e20a0481bcdd74/codex-3000/addendum-1.58/PROGRAMMES_C.json</x:v>
      </x:c>
      <x:c r="K3686" t="str">
        <x:v>Source min 38,36 m ; max 38,36 m ; modèle 38 × 36 m ; niveaux 0. Détails dans catalogue-existant.json.</x:v>
      </x:c>
    </x:row>
    <x:row r="3687">
      <x:c r="A3687" t="str">
        <x:v>DW-3682</x:v>
      </x:c>
      <x:c r="B3687" t="str">
        <x:v>DW-3682</x:v>
      </x:c>
      <x:c r="C3687" t="str">
        <x:v>Parent indépendant 1.58</x:v>
      </x:c>
      <x:c r="D3687" t="str">
        <x:v>Énergie et communication</x:v>
      </x:c>
      <x:c r="E3687" t="str">
        <x:v>Atelier de réparation des flexibles alimentaires</x:v>
      </x:c>
      <x:c r="F3687" t="n">
        <x:v>9</x:v>
      </x:c>
      <x:c r="G3687" t="n">
        <x:v>8</x:v>
      </x:c>
      <x:c r="H3687" t="n">
        <x:v>8</x:v>
      </x:c>
      <x:c r="I3687" t="str">
        <x:v>À qualifier par lieu</x:v>
      </x:c>
      <x:c r="J3687" t="str">
        <x:v>https://github.com/darknigthmare/deadwall-last-enclosure/blob/1b3b9c5ba232734b1bda3453b4e20a0481bcdd74/codex-3000/addendum-1.58/PROGRAMMES_C.json</x:v>
      </x:c>
      <x:c r="K3687" t="str">
        <x:v>Source min 43,36 m ; max 43,36 m ; modèle 43 × 36 m ; niveaux 0. Détails dans catalogue-existant.json.</x:v>
      </x:c>
    </x:row>
    <x:row r="3688">
      <x:c r="A3688" t="str">
        <x:v>DW-3683</x:v>
      </x:c>
      <x:c r="B3688" t="str">
        <x:v>DW-3683</x:v>
      </x:c>
      <x:c r="C3688" t="str">
        <x:v>Parent indépendant 1.58</x:v>
      </x:c>
      <x:c r="D3688" t="str">
        <x:v>Industrie et production</x:v>
      </x:c>
      <x:c r="E3688" t="str">
        <x:v>Station de réemploi des cuves portatives</x:v>
      </x:c>
      <x:c r="F3688" t="n">
        <x:v>9</x:v>
      </x:c>
      <x:c r="G3688" t="n">
        <x:v>8</x:v>
      </x:c>
      <x:c r="H3688" t="n">
        <x:v>8</x:v>
      </x:c>
      <x:c r="I3688" t="str">
        <x:v>À qualifier par lieu</x:v>
      </x:c>
      <x:c r="J3688" t="str">
        <x:v>https://github.com/darknigthmare/deadwall-last-enclosure/blob/1b3b9c5ba232734b1bda3453b4e20a0481bcdd74/codex-3000/addendum-1.58/PROGRAMMES_C.json</x:v>
      </x:c>
      <x:c r="K3688" t="str">
        <x:v>Source min 48,30 m ; max 48,30 m ; modèle 48 × 30 m ; niveaux 0, 1. Détails dans catalogue-existant.json.</x:v>
      </x:c>
    </x:row>
    <x:row r="3689">
      <x:c r="A3689" t="str">
        <x:v>DW-3684</x:v>
      </x:c>
      <x:c r="B3689" t="str">
        <x:v>DW-3684</x:v>
      </x:c>
      <x:c r="C3689" t="str">
        <x:v>Parent indépendant 1.58</x:v>
      </x:c>
      <x:c r="D3689" t="str">
        <x:v>Énergie et communication</x:v>
      </x:c>
      <x:c r="E3689" t="str">
        <x:v>Bâtiment de distribution de bidons scellés</x:v>
      </x:c>
      <x:c r="F3689" t="n">
        <x:v>9</x:v>
      </x:c>
      <x:c r="G3689" t="n">
        <x:v>8</x:v>
      </x:c>
      <x:c r="H3689" t="n">
        <x:v>8</x:v>
      </x:c>
      <x:c r="I3689" t="str">
        <x:v>À qualifier par lieu</x:v>
      </x:c>
      <x:c r="J3689" t="str">
        <x:v>https://github.com/darknigthmare/deadwall-last-enclosure/blob/1b3b9c5ba232734b1bda3453b4e20a0481bcdd74/codex-3000/addendum-1.58/PROGRAMMES_C.json</x:v>
      </x:c>
      <x:c r="K3689" t="str">
        <x:v>Source min 53,36 m ; max 53,36 m ; modèle 53 × 36 m ; niveaux 0. Détails dans catalogue-existant.json.</x:v>
      </x:c>
    </x:row>
    <x:row r="3690">
      <x:c r="A3690" t="str">
        <x:v>DW-3685</x:v>
      </x:c>
      <x:c r="B3690" t="str">
        <x:v>DW-3685</x:v>
      </x:c>
      <x:c r="C3690" t="str">
        <x:v>Parent indépendant 1.58</x:v>
      </x:c>
      <x:c r="D3690" t="str">
        <x:v>Énergie et communication</x:v>
      </x:c>
      <x:c r="E3690" t="str">
        <x:v>Maison des relevés de réseau sanitaire</x:v>
      </x:c>
      <x:c r="F3690" t="n">
        <x:v>9</x:v>
      </x:c>
      <x:c r="G3690" t="n">
        <x:v>8</x:v>
      </x:c>
      <x:c r="H3690" t="n">
        <x:v>8</x:v>
      </x:c>
      <x:c r="I3690" t="str">
        <x:v>À qualifier par lieu</x:v>
      </x:c>
      <x:c r="J3690" t="str">
        <x:v>https://github.com/darknigthmare/deadwall-last-enclosure/blob/1b3b9c5ba232734b1bda3453b4e20a0481bcdd74/codex-3000/addendum-1.58/PROGRAMMES_C.json</x:v>
      </x:c>
      <x:c r="K3690" t="str">
        <x:v>Source min 58,36 m ; max 58,36 m ; modèle 58 × 36 m ; niveaux 0. Détails dans catalogue-existant.json.</x:v>
      </x:c>
    </x:row>
    <x:row r="3691">
      <x:c r="A3691" t="str">
        <x:v>DW-3686</x:v>
      </x:c>
      <x:c r="B3691" t="str">
        <x:v>DW-3686</x:v>
      </x:c>
      <x:c r="C3691" t="str">
        <x:v>Parent indépendant 1.58</x:v>
      </x:c>
      <x:c r="D3691" t="str">
        <x:v>Énergie et communication</x:v>
      </x:c>
      <x:c r="E3691" t="str">
        <x:v>Atelier de parafoudres de réseau déposés</x:v>
      </x:c>
      <x:c r="F3691" t="n">
        <x:v>9</x:v>
      </x:c>
      <x:c r="G3691" t="n">
        <x:v>8</x:v>
      </x:c>
      <x:c r="H3691" t="n">
        <x:v>8</x:v>
      </x:c>
      <x:c r="I3691" t="str">
        <x:v>À qualifier par lieu</x:v>
      </x:c>
      <x:c r="J3691" t="str">
        <x:v>https://github.com/darknigthmare/deadwall-last-enclosure/blob/1b3b9c5ba232734b1bda3453b4e20a0481bcdd74/codex-3000/addendum-1.58/PROGRAMMES_C.json</x:v>
      </x:c>
      <x:c r="K3691" t="str">
        <x:v>Source min 38,40 m ; max 38,40 m ; modèle 38 × 40 m ; niveaux 0. Détails dans catalogue-existant.json.</x:v>
      </x:c>
    </x:row>
    <x:row r="3692">
      <x:c r="A3692" t="str">
        <x:v>DW-3687</x:v>
      </x:c>
      <x:c r="B3692" t="str">
        <x:v>DW-3687</x:v>
      </x:c>
      <x:c r="C3692" t="str">
        <x:v>Parent indépendant 1.58</x:v>
      </x:c>
      <x:c r="D3692" t="str">
        <x:v>Énergie et communication</x:v>
      </x:c>
      <x:c r="E3692" t="str">
        <x:v>Maison de contrôle des onduleurs arrêtés</x:v>
      </x:c>
      <x:c r="F3692" t="n">
        <x:v>9</x:v>
      </x:c>
      <x:c r="G3692" t="n">
        <x:v>8</x:v>
      </x:c>
      <x:c r="H3692" t="n">
        <x:v>8</x:v>
      </x:c>
      <x:c r="I3692" t="str">
        <x:v>À qualifier par lieu</x:v>
      </x:c>
      <x:c r="J3692" t="str">
        <x:v>https://github.com/darknigthmare/deadwall-last-enclosure/blob/1b3b9c5ba232734b1bda3453b4e20a0481bcdd74/codex-3000/addendum-1.58/PROGRAMMES_C.json</x:v>
      </x:c>
      <x:c r="K3692" t="str">
        <x:v>Source min 43,40 m ; max 43,40 m ; modèle 43 × 40 m ; niveaux 0. Détails dans catalogue-existant.json.</x:v>
      </x:c>
    </x:row>
    <x:row r="3693">
      <x:c r="A3693" t="str">
        <x:v>DW-3688</x:v>
      </x:c>
      <x:c r="B3693" t="str">
        <x:v>DW-3688</x:v>
      </x:c>
      <x:c r="C3693" t="str">
        <x:v>Parent indépendant 1.58</x:v>
      </x:c>
      <x:c r="D3693" t="str">
        <x:v>Énergie et communication</x:v>
      </x:c>
      <x:c r="E3693" t="str">
        <x:v>Atelier de coffrets de coupure électrique</x:v>
      </x:c>
      <x:c r="F3693" t="n">
        <x:v>9</x:v>
      </x:c>
      <x:c r="G3693" t="n">
        <x:v>8</x:v>
      </x:c>
      <x:c r="H3693" t="n">
        <x:v>8</x:v>
      </x:c>
      <x:c r="I3693" t="str">
        <x:v>À qualifier par lieu</x:v>
      </x:c>
      <x:c r="J3693" t="str">
        <x:v>https://github.com/darknigthmare/deadwall-last-enclosure/blob/1b3b9c5ba232734b1bda3453b4e20a0481bcdd74/codex-3000/addendum-1.58/PROGRAMMES_C.json</x:v>
      </x:c>
      <x:c r="K3693" t="str">
        <x:v>Source min 48,34 m ; max 48,34 m ; modèle 48 × 34 m ; niveaux 0, 1. Détails dans catalogue-existant.json.</x:v>
      </x:c>
    </x:row>
    <x:row r="3694">
      <x:c r="A3694" t="str">
        <x:v>DW-3689</x:v>
      </x:c>
      <x:c r="B3694" t="str">
        <x:v>DW-3689</x:v>
      </x:c>
      <x:c r="C3694" t="str">
        <x:v>Parent indépendant 1.58</x:v>
      </x:c>
      <x:c r="D3694" t="str">
        <x:v>Énergie et communication</x:v>
      </x:c>
      <x:c r="E3694" t="str">
        <x:v>Bâtiment de stockage des câbles de secours</x:v>
      </x:c>
      <x:c r="F3694" t="n">
        <x:v>9</x:v>
      </x:c>
      <x:c r="G3694" t="n">
        <x:v>8</x:v>
      </x:c>
      <x:c r="H3694" t="n">
        <x:v>8</x:v>
      </x:c>
      <x:c r="I3694" t="str">
        <x:v>À qualifier par lieu</x:v>
      </x:c>
      <x:c r="J3694" t="str">
        <x:v>https://github.com/darknigthmare/deadwall-last-enclosure/blob/1b3b9c5ba232734b1bda3453b4e20a0481bcdd74/codex-3000/addendum-1.58/PROGRAMMES_C.json</x:v>
      </x:c>
      <x:c r="K3694" t="str">
        <x:v>Source min 53,40 m ; max 53,40 m ; modèle 53 × 40 m ; niveaux 0. Détails dans catalogue-existant.json.</x:v>
      </x:c>
    </x:row>
    <x:row r="3695">
      <x:c r="A3695" t="str">
        <x:v>DW-3690</x:v>
      </x:c>
      <x:c r="B3695" t="str">
        <x:v>DW-3690</x:v>
      </x:c>
      <x:c r="C3695" t="str">
        <x:v>Parent indépendant 1.58</x:v>
      </x:c>
      <x:c r="D3695" t="str">
        <x:v>Énergie et communication</x:v>
      </x:c>
      <x:c r="E3695" t="str">
        <x:v>Maison de maintenance des panneaux solaires déposés</x:v>
      </x:c>
      <x:c r="F3695" t="n">
        <x:v>9</x:v>
      </x:c>
      <x:c r="G3695" t="n">
        <x:v>8</x:v>
      </x:c>
      <x:c r="H3695" t="n">
        <x:v>8</x:v>
      </x:c>
      <x:c r="I3695" t="str">
        <x:v>À qualifier par lieu</x:v>
      </x:c>
      <x:c r="J3695" t="str">
        <x:v>https://github.com/darknigthmare/deadwall-last-enclosure/blob/1b3b9c5ba232734b1bda3453b4e20a0481bcdd74/codex-3000/addendum-1.58/PROGRAMMES_C.json</x:v>
      </x:c>
      <x:c r="K3695" t="str">
        <x:v>Source min 58,40 m ; max 58,40 m ; modèle 58 × 40 m ; niveaux 0. Détails dans catalogue-existant.json.</x:v>
      </x:c>
    </x:row>
    <x:row r="3696">
      <x:c r="A3696" t="str">
        <x:v>DW-3691</x:v>
      </x:c>
      <x:c r="B3696" t="str">
        <x:v>DW-3691</x:v>
      </x:c>
      <x:c r="C3696" t="str">
        <x:v>Parent indépendant 1.58</x:v>
      </x:c>
      <x:c r="D3696" t="str">
        <x:v>Énergie et communication</x:v>
      </x:c>
      <x:c r="E3696" t="str">
        <x:v>Atelier de pales d'éoliennes démontées</x:v>
      </x:c>
      <x:c r="F3696" t="n">
        <x:v>9</x:v>
      </x:c>
      <x:c r="G3696" t="n">
        <x:v>8</x:v>
      </x:c>
      <x:c r="H3696" t="n">
        <x:v>8</x:v>
      </x:c>
      <x:c r="I3696" t="str">
        <x:v>À qualifier par lieu</x:v>
      </x:c>
      <x:c r="J3696" t="str">
        <x:v>https://github.com/darknigthmare/deadwall-last-enclosure/blob/1b3b9c5ba232734b1bda3453b4e20a0481bcdd74/codex-3000/addendum-1.58/PROGRAMMES_C.json</x:v>
      </x:c>
      <x:c r="K3696" t="str">
        <x:v>Source min 38,44 m ; max 38,44 m ; modèle 38 × 44 m ; niveaux 0. Détails dans catalogue-existant.json.</x:v>
      </x:c>
    </x:row>
    <x:row r="3697">
      <x:c r="A3697" t="str">
        <x:v>DW-3692</x:v>
      </x:c>
      <x:c r="B3697" t="str">
        <x:v>DW-3692</x:v>
      </x:c>
      <x:c r="C3697" t="str">
        <x:v>Parent indépendant 1.58</x:v>
      </x:c>
      <x:c r="D3697" t="str">
        <x:v>Énergie et communication</x:v>
      </x:c>
      <x:c r="E3697" t="str">
        <x:v>Bâtiment de synchronisation électrique hors service</x:v>
      </x:c>
      <x:c r="F3697" t="n">
        <x:v>9</x:v>
      </x:c>
      <x:c r="G3697" t="n">
        <x:v>8</x:v>
      </x:c>
      <x:c r="H3697" t="n">
        <x:v>8</x:v>
      </x:c>
      <x:c r="I3697" t="str">
        <x:v>À qualifier par lieu</x:v>
      </x:c>
      <x:c r="J3697" t="str">
        <x:v>https://github.com/darknigthmare/deadwall-last-enclosure/blob/1b3b9c5ba232734b1bda3453b4e20a0481bcdd74/codex-3000/addendum-1.58/PROGRAMMES_C.json</x:v>
      </x:c>
      <x:c r="K3697" t="str">
        <x:v>Source min 43,44 m ; max 43,44 m ; modèle 43 × 44 m ; niveaux 0. Détails dans catalogue-existant.json.</x:v>
      </x:c>
    </x:row>
    <x:row r="3698">
      <x:c r="A3698" t="str">
        <x:v>DW-3693</x:v>
      </x:c>
      <x:c r="B3698" t="str">
        <x:v>DW-3693</x:v>
      </x:c>
      <x:c r="C3698" t="str">
        <x:v>Parent indépendant 1.58</x:v>
      </x:c>
      <x:c r="D3698" t="str">
        <x:v>Énergie et communication</x:v>
      </x:c>
      <x:c r="E3698" t="str">
        <x:v>Atelier de refroidisseurs de transformateurs</x:v>
      </x:c>
      <x:c r="F3698" t="n">
        <x:v>9</x:v>
      </x:c>
      <x:c r="G3698" t="n">
        <x:v>8</x:v>
      </x:c>
      <x:c r="H3698" t="n">
        <x:v>8</x:v>
      </x:c>
      <x:c r="I3698" t="str">
        <x:v>À qualifier par lieu</x:v>
      </x:c>
      <x:c r="J3698" t="str">
        <x:v>https://github.com/darknigthmare/deadwall-last-enclosure/blob/1b3b9c5ba232734b1bda3453b4e20a0481bcdd74/codex-3000/addendum-1.58/PROGRAMMES_C.json</x:v>
      </x:c>
      <x:c r="K3698" t="str">
        <x:v>Source min 48,38 m ; max 48,38 m ; modèle 48 × 38 m ; niveaux 0, 1. Détails dans catalogue-existant.json.</x:v>
      </x:c>
    </x:row>
    <x:row r="3699">
      <x:c r="A3699" t="str">
        <x:v>DW-3694</x:v>
      </x:c>
      <x:c r="B3699" t="str">
        <x:v>DW-3694</x:v>
      </x:c>
      <x:c r="C3699" t="str">
        <x:v>Parent indépendant 1.58</x:v>
      </x:c>
      <x:c r="D3699" t="str">
        <x:v>Énergie et communication</x:v>
      </x:c>
      <x:c r="E3699" t="str">
        <x:v>Maison des étalons de tension</x:v>
      </x:c>
      <x:c r="F3699" t="n">
        <x:v>9</x:v>
      </x:c>
      <x:c r="G3699" t="n">
        <x:v>8</x:v>
      </x:c>
      <x:c r="H3699" t="n">
        <x:v>8</x:v>
      </x:c>
      <x:c r="I3699" t="str">
        <x:v>À qualifier par lieu</x:v>
      </x:c>
      <x:c r="J3699" t="str">
        <x:v>https://github.com/darknigthmare/deadwall-last-enclosure/blob/1b3b9c5ba232734b1bda3453b4e20a0481bcdd74/codex-3000/addendum-1.58/PROGRAMMES_C.json</x:v>
      </x:c>
      <x:c r="K3699" t="str">
        <x:v>Source min 53,44 m ; max 53,44 m ; modèle 53 × 44 m ; niveaux 0. Détails dans catalogue-existant.json.</x:v>
      </x:c>
    </x:row>
    <x:row r="3700">
      <x:c r="A3700" t="str">
        <x:v>DW-3695</x:v>
      </x:c>
      <x:c r="B3700" t="str">
        <x:v>DW-3695</x:v>
      </x:c>
      <x:c r="C3700" t="str">
        <x:v>Parent indépendant 1.58</x:v>
      </x:c>
      <x:c r="D3700" t="str">
        <x:v>Énergie et communication</x:v>
      </x:c>
      <x:c r="E3700" t="str">
        <x:v>Station de réparation des prises de recharge</x:v>
      </x:c>
      <x:c r="F3700" t="n">
        <x:v>9</x:v>
      </x:c>
      <x:c r="G3700" t="n">
        <x:v>8</x:v>
      </x:c>
      <x:c r="H3700" t="n">
        <x:v>8</x:v>
      </x:c>
      <x:c r="I3700" t="str">
        <x:v>À qualifier par lieu</x:v>
      </x:c>
      <x:c r="J3700" t="str">
        <x:v>https://github.com/darknigthmare/deadwall-last-enclosure/blob/1b3b9c5ba232734b1bda3453b4e20a0481bcdd74/codex-3000/addendum-1.58/PROGRAMMES_C.json</x:v>
      </x:c>
      <x:c r="K3700" t="str">
        <x:v>Source min 58,44 m ; max 58,44 m ; modèle 58 × 44 m ; niveaux 0. Détails dans catalogue-existant.json.</x:v>
      </x:c>
    </x:row>
    <x:row r="3701">
      <x:c r="A3701" t="str">
        <x:v>DW-3696</x:v>
      </x:c>
      <x:c r="B3701" t="str">
        <x:v>DW-3696</x:v>
      </x:c>
      <x:c r="C3701" t="str">
        <x:v>Parent indépendant 1.58</x:v>
      </x:c>
      <x:c r="D3701" t="str">
        <x:v>Énergie et communication</x:v>
      </x:c>
      <x:c r="E3701" t="str">
        <x:v>Atelier de groupes électrogènes portatifs</x:v>
      </x:c>
      <x:c r="F3701" t="n">
        <x:v>9</x:v>
      </x:c>
      <x:c r="G3701" t="n">
        <x:v>8</x:v>
      </x:c>
      <x:c r="H3701" t="n">
        <x:v>8</x:v>
      </x:c>
      <x:c r="I3701" t="str">
        <x:v>À qualifier par lieu</x:v>
      </x:c>
      <x:c r="J3701" t="str">
        <x:v>https://github.com/darknigthmare/deadwall-last-enclosure/blob/1b3b9c5ba232734b1bda3453b4e20a0481bcdd74/codex-3000/addendum-1.58/PROGRAMMES_C.json</x:v>
      </x:c>
      <x:c r="K3701" t="str">
        <x:v>Source min 38,48 m ; max 38,48 m ; modèle 38 × 48 m ; niveaux 0. Détails dans catalogue-existant.json.</x:v>
      </x:c>
    </x:row>
    <x:row r="3702">
      <x:c r="A3702" t="str">
        <x:v>DW-3697</x:v>
      </x:c>
      <x:c r="B3702" t="str">
        <x:v>DW-3697</x:v>
      </x:c>
      <x:c r="C3702" t="str">
        <x:v>Parent indépendant 1.58</x:v>
      </x:c>
      <x:c r="D3702" t="str">
        <x:v>Énergie et communication</x:v>
      </x:c>
      <x:c r="E3702" t="str">
        <x:v>Dépôt de carburants pour groupes de secours</x:v>
      </x:c>
      <x:c r="F3702" t="n">
        <x:v>9</x:v>
      </x:c>
      <x:c r="G3702" t="n">
        <x:v>8</x:v>
      </x:c>
      <x:c r="H3702" t="n">
        <x:v>8</x:v>
      </x:c>
      <x:c r="I3702" t="str">
        <x:v>À qualifier par lieu</x:v>
      </x:c>
      <x:c r="J3702" t="str">
        <x:v>https://github.com/darknigthmare/deadwall-last-enclosure/blob/1b3b9c5ba232734b1bda3453b4e20a0481bcdd74/codex-3000/addendum-1.58/PROGRAMMES_C.json</x:v>
      </x:c>
      <x:c r="K3702" t="str">
        <x:v>Source min 43,48 m ; max 43,48 m ; modèle 43 × 48 m ; niveaux 0. Détails dans catalogue-existant.json.</x:v>
      </x:c>
    </x:row>
    <x:row r="3703">
      <x:c r="A3703" t="str">
        <x:v>DW-3698</x:v>
      </x:c>
      <x:c r="B3703" t="str">
        <x:v>DW-3698</x:v>
      </x:c>
      <x:c r="C3703" t="str">
        <x:v>Parent indépendant 1.58</x:v>
      </x:c>
      <x:c r="D3703" t="str">
        <x:v>Énergie et communication</x:v>
      </x:c>
      <x:c r="E3703" t="str">
        <x:v>Maison des automatismes de commutation</x:v>
      </x:c>
      <x:c r="F3703" t="n">
        <x:v>9</x:v>
      </x:c>
      <x:c r="G3703" t="n">
        <x:v>8</x:v>
      </x:c>
      <x:c r="H3703" t="n">
        <x:v>8</x:v>
      </x:c>
      <x:c r="I3703" t="str">
        <x:v>À qualifier par lieu</x:v>
      </x:c>
      <x:c r="J3703" t="str">
        <x:v>https://github.com/darknigthmare/deadwall-last-enclosure/blob/1b3b9c5ba232734b1bda3453b4e20a0481bcdd74/codex-3000/addendum-1.58/PROGRAMMES_C.json</x:v>
      </x:c>
      <x:c r="K3703" t="str">
        <x:v>Source min 48,42 m ; max 48,42 m ; modèle 48 × 42 m ; niveaux 0, 1. Détails dans catalogue-existant.json.</x:v>
      </x:c>
    </x:row>
    <x:row r="3704">
      <x:c r="A3704" t="str">
        <x:v>DW-3699</x:v>
      </x:c>
      <x:c r="B3704" t="str">
        <x:v>DW-3699</x:v>
      </x:c>
      <x:c r="C3704" t="str">
        <x:v>Parent indépendant 1.58</x:v>
      </x:c>
      <x:c r="D3704" t="str">
        <x:v>Énergie et communication</x:v>
      </x:c>
      <x:c r="E3704" t="str">
        <x:v>Atelier de projecteurs autonomes déposés</x:v>
      </x:c>
      <x:c r="F3704" t="n">
        <x:v>9</x:v>
      </x:c>
      <x:c r="G3704" t="n">
        <x:v>8</x:v>
      </x:c>
      <x:c r="H3704" t="n">
        <x:v>8</x:v>
      </x:c>
      <x:c r="I3704" t="str">
        <x:v>À qualifier par lieu</x:v>
      </x:c>
      <x:c r="J3704" t="str">
        <x:v>https://github.com/darknigthmare/deadwall-last-enclosure/blob/1b3b9c5ba232734b1bda3453b4e20a0481bcdd74/codex-3000/addendum-1.58/PROGRAMMES_C.json</x:v>
      </x:c>
      <x:c r="K3704" t="str">
        <x:v>Source min 53,48 m ; max 53,48 m ; modèle 53 × 48 m ; niveaux 0. Détails dans catalogue-existant.json.</x:v>
      </x:c>
    </x:row>
    <x:row r="3705">
      <x:c r="A3705" t="str">
        <x:v>DW-3700</x:v>
      </x:c>
      <x:c r="B3705" t="str">
        <x:v>DW-3700</x:v>
      </x:c>
      <x:c r="C3705" t="str">
        <x:v>Parent indépendant 1.58</x:v>
      </x:c>
      <x:c r="D3705" t="str">
        <x:v>Énergie et communication</x:v>
      </x:c>
      <x:c r="E3705" t="str">
        <x:v>Bâtiment de maintenance des coffres de batteries</x:v>
      </x:c>
      <x:c r="F3705" t="n">
        <x:v>9</x:v>
      </x:c>
      <x:c r="G3705" t="n">
        <x:v>8</x:v>
      </x:c>
      <x:c r="H3705" t="n">
        <x:v>8</x:v>
      </x:c>
      <x:c r="I3705" t="str">
        <x:v>À qualifier par lieu</x:v>
      </x:c>
      <x:c r="J3705" t="str">
        <x:v>https://github.com/darknigthmare/deadwall-last-enclosure/blob/1b3b9c5ba232734b1bda3453b4e20a0481bcdd74/codex-3000/addendum-1.58/PROGRAMMES_C.json</x:v>
      </x:c>
      <x:c r="K3705" t="str">
        <x:v>Source min 58,48 m ; max 58,48 m ; modèle 58 × 48 m ; niveaux 0. Détails dans catalogue-existant.json.</x:v>
      </x:c>
    </x:row>
    <x:row r="3706">
      <x:c r="A3706" t="str">
        <x:v>DW-3701</x:v>
      </x:c>
      <x:c r="B3706" t="str">
        <x:v>DW-3701</x:v>
      </x:c>
      <x:c r="C3706" t="str">
        <x:v>Parent indépendant 1.58</x:v>
      </x:c>
      <x:c r="D3706" t="str">
        <x:v>Énergie et communication</x:v>
      </x:c>
      <x:c r="E3706" t="str">
        <x:v>Atelier de capteurs météorologiques arrêtés</x:v>
      </x:c>
      <x:c r="F3706" t="n">
        <x:v>9</x:v>
      </x:c>
      <x:c r="G3706" t="n">
        <x:v>8</x:v>
      </x:c>
      <x:c r="H3706" t="n">
        <x:v>8</x:v>
      </x:c>
      <x:c r="I3706" t="str">
        <x:v>À qualifier par lieu</x:v>
      </x:c>
      <x:c r="J3706" t="str">
        <x:v>https://github.com/darknigthmare/deadwall-last-enclosure/blob/1b3b9c5ba232734b1bda3453b4e20a0481bcdd74/codex-3000/addendum-1.58/PROGRAMMES_C.json</x:v>
      </x:c>
      <x:c r="K3706" t="str">
        <x:v>Source min 38,36 m ; max 38,36 m ; modèle 38 × 36 m ; niveaux 0. Détails dans catalogue-existant.json.</x:v>
      </x:c>
    </x:row>
    <x:row r="3707">
      <x:c r="A3707" t="str">
        <x:v>DW-3702</x:v>
      </x:c>
      <x:c r="B3707" t="str">
        <x:v>DW-3702</x:v>
      </x:c>
      <x:c r="C3707" t="str">
        <x:v>Parent indépendant 1.58</x:v>
      </x:c>
      <x:c r="D3707" t="str">
        <x:v>Énergie et communication</x:v>
      </x:c>
      <x:c r="E3707" t="str">
        <x:v>Maison des équipements de télécommande de réseau</x:v>
      </x:c>
      <x:c r="F3707" t="n">
        <x:v>9</x:v>
      </x:c>
      <x:c r="G3707" t="n">
        <x:v>8</x:v>
      </x:c>
      <x:c r="H3707" t="n">
        <x:v>8</x:v>
      </x:c>
      <x:c r="I3707" t="str">
        <x:v>À qualifier par lieu</x:v>
      </x:c>
      <x:c r="J3707" t="str">
        <x:v>https://github.com/darknigthmare/deadwall-last-enclosure/blob/1b3b9c5ba232734b1bda3453b4e20a0481bcdd74/codex-3000/addendum-1.58/PROGRAMMES_C.json</x:v>
      </x:c>
      <x:c r="K3707" t="str">
        <x:v>Source min 43,36 m ; max 43,36 m ; modèle 43 × 36 m ; niveaux 0. Détails dans catalogue-existant.json.</x:v>
      </x:c>
    </x:row>
    <x:row r="3708">
      <x:c r="A3708" t="str">
        <x:v>DW-3703</x:v>
      </x:c>
      <x:c r="B3708" t="str">
        <x:v>DW-3703</x:v>
      </x:c>
      <x:c r="C3708" t="str">
        <x:v>Parent indépendant 1.58</x:v>
      </x:c>
      <x:c r="D3708" t="str">
        <x:v>Énergie et communication</x:v>
      </x:c>
      <x:c r="E3708" t="str">
        <x:v>Atelier de tresses de mise à la terre</x:v>
      </x:c>
      <x:c r="F3708" t="n">
        <x:v>9</x:v>
      </x:c>
      <x:c r="G3708" t="n">
        <x:v>8</x:v>
      </x:c>
      <x:c r="H3708" t="n">
        <x:v>8</x:v>
      </x:c>
      <x:c r="I3708" t="str">
        <x:v>À qualifier par lieu</x:v>
      </x:c>
      <x:c r="J3708" t="str">
        <x:v>https://github.com/darknigthmare/deadwall-last-enclosure/blob/1b3b9c5ba232734b1bda3453b4e20a0481bcdd74/codex-3000/addendum-1.58/PROGRAMMES_C.json</x:v>
      </x:c>
      <x:c r="K3708" t="str">
        <x:v>Source min 48,30 m ; max 48,30 m ; modèle 48 × 30 m ; niveaux 0, 1. Détails dans catalogue-existant.json.</x:v>
      </x:c>
    </x:row>
    <x:row r="3709">
      <x:c r="A3709" t="str">
        <x:v>DW-3704</x:v>
      </x:c>
      <x:c r="B3709" t="str">
        <x:v>DW-3704</x:v>
      </x:c>
      <x:c r="C3709" t="str">
        <x:v>Parent indépendant 1.58</x:v>
      </x:c>
      <x:c r="D3709" t="str">
        <x:v>Énergie et communication</x:v>
      </x:c>
      <x:c r="E3709" t="str">
        <x:v>Station de préparation des kits de panne</x:v>
      </x:c>
      <x:c r="F3709" t="n">
        <x:v>9</x:v>
      </x:c>
      <x:c r="G3709" t="n">
        <x:v>8</x:v>
      </x:c>
      <x:c r="H3709" t="n">
        <x:v>8</x:v>
      </x:c>
      <x:c r="I3709" t="str">
        <x:v>À qualifier par lieu</x:v>
      </x:c>
      <x:c r="J3709" t="str">
        <x:v>https://github.com/darknigthmare/deadwall-last-enclosure/blob/1b3b9c5ba232734b1bda3453b4e20a0481bcdd74/codex-3000/addendum-1.58/PROGRAMMES_C.json</x:v>
      </x:c>
      <x:c r="K3709" t="str">
        <x:v>Source min 53,36 m ; max 53,36 m ; modèle 53 × 36 m ; niveaux 0. Détails dans catalogue-existant.json.</x:v>
      </x:c>
    </x:row>
    <x:row r="3710">
      <x:c r="A3710" t="str">
        <x:v>DW-3705</x:v>
      </x:c>
      <x:c r="B3710" t="str">
        <x:v>DW-3705</x:v>
      </x:c>
      <x:c r="C3710" t="str">
        <x:v>Parent indépendant 1.58</x:v>
      </x:c>
      <x:c r="D3710" t="str">
        <x:v>Énergie et communication</x:v>
      </x:c>
      <x:c r="E3710" t="str">
        <x:v>Maison des plans de répartition énergétique</x:v>
      </x:c>
      <x:c r="F3710" t="n">
        <x:v>9</x:v>
      </x:c>
      <x:c r="G3710" t="n">
        <x:v>8</x:v>
      </x:c>
      <x:c r="H3710" t="n">
        <x:v>8</x:v>
      </x:c>
      <x:c r="I3710" t="str">
        <x:v>À qualifier par lieu</x:v>
      </x:c>
      <x:c r="J3710" t="str">
        <x:v>https://github.com/darknigthmare/deadwall-last-enclosure/blob/1b3b9c5ba232734b1bda3453b4e20a0481bcdd74/codex-3000/addendum-1.58/PROGRAMMES_C.json</x:v>
      </x:c>
      <x:c r="K3710" t="str">
        <x:v>Source min 58,36 m ; max 58,36 m ; modèle 58 × 36 m ; niveaux 0. Détails dans catalogue-existant.json.</x:v>
      </x:c>
    </x:row>
    <x:row r="3711">
      <x:c r="A3711" t="str">
        <x:v>DW-3706</x:v>
      </x:c>
      <x:c r="B3711" t="str">
        <x:v>DW-3706</x:v>
      </x:c>
      <x:c r="C3711" t="str">
        <x:v>Parent indépendant 1.58</x:v>
      </x:c>
      <x:c r="D3711" t="str">
        <x:v>Industrie et production</x:v>
      </x:c>
      <x:c r="E3711" t="str">
        <x:v>Atelier de tri des métaux de récupération</x:v>
      </x:c>
      <x:c r="F3711" t="n">
        <x:v>9</x:v>
      </x:c>
      <x:c r="G3711" t="n">
        <x:v>8</x:v>
      </x:c>
      <x:c r="H3711" t="n">
        <x:v>8</x:v>
      </x:c>
      <x:c r="I3711" t="str">
        <x:v>À qualifier par lieu</x:v>
      </x:c>
      <x:c r="J3711" t="str">
        <x:v>https://github.com/darknigthmare/deadwall-last-enclosure/blob/1b3b9c5ba232734b1bda3453b4e20a0481bcdd74/codex-3000/addendum-1.58/PROGRAMMES_C.json</x:v>
      </x:c>
      <x:c r="K3711" t="str">
        <x:v>Source min 38,40 m ; max 38,40 m ; modèle 38 × 40 m ; niveaux 0. Détails dans catalogue-existant.json.</x:v>
      </x:c>
    </x:row>
    <x:row r="3712">
      <x:c r="A3712" t="str">
        <x:v>DW-3707</x:v>
      </x:c>
      <x:c r="B3712" t="str">
        <x:v>DW-3707</x:v>
      </x:c>
      <x:c r="C3712" t="str">
        <x:v>Parent indépendant 1.58</x:v>
      </x:c>
      <x:c r="D3712" t="str">
        <x:v>Énergie et communication</x:v>
      </x:c>
      <x:c r="E3712" t="str">
        <x:v>Maison de démontage des appareils électroménagers</x:v>
      </x:c>
      <x:c r="F3712" t="n">
        <x:v>9</x:v>
      </x:c>
      <x:c r="G3712" t="n">
        <x:v>8</x:v>
      </x:c>
      <x:c r="H3712" t="n">
        <x:v>8</x:v>
      </x:c>
      <x:c r="I3712" t="str">
        <x:v>À qualifier par lieu</x:v>
      </x:c>
      <x:c r="J3712" t="str">
        <x:v>https://github.com/darknigthmare/deadwall-last-enclosure/blob/1b3b9c5ba232734b1bda3453b4e20a0481bcdd74/codex-3000/addendum-1.58/PROGRAMMES_C.json</x:v>
      </x:c>
      <x:c r="K3712" t="str">
        <x:v>Source min 43,40 m ; max 43,40 m ; modèle 43 × 40 m ; niveaux 0. Détails dans catalogue-existant.json.</x:v>
      </x:c>
    </x:row>
    <x:row r="3713">
      <x:c r="A3713" t="str">
        <x:v>DW-3708</x:v>
      </x:c>
      <x:c r="B3713" t="str">
        <x:v>DW-3708</x:v>
      </x:c>
      <x:c r="C3713" t="str">
        <x:v>Parent indépendant 1.58</x:v>
      </x:c>
      <x:c r="D3713" t="str">
        <x:v>Industrie et production</x:v>
      </x:c>
      <x:c r="E3713" t="str">
        <x:v>Halle de réemploi des matériaux de construction</x:v>
      </x:c>
      <x:c r="F3713" t="n">
        <x:v>9</x:v>
      </x:c>
      <x:c r="G3713" t="n">
        <x:v>8</x:v>
      </x:c>
      <x:c r="H3713" t="n">
        <x:v>8</x:v>
      </x:c>
      <x:c r="I3713" t="str">
        <x:v>À qualifier par lieu</x:v>
      </x:c>
      <x:c r="J3713" t="str">
        <x:v>https://github.com/darknigthmare/deadwall-last-enclosure/blob/1b3b9c5ba232734b1bda3453b4e20a0481bcdd74/codex-3000/addendum-1.58/PROGRAMMES_C.json</x:v>
      </x:c>
      <x:c r="K3713" t="str">
        <x:v>Source min 48,34 m ; max 48,34 m ; modèle 48 × 34 m ; niveaux 0, 1. Détails dans catalogue-existant.json.</x:v>
      </x:c>
    </x:row>
    <x:row r="3714">
      <x:c r="A3714" t="str">
        <x:v>DW-3709</x:v>
      </x:c>
      <x:c r="B3714" t="str">
        <x:v>DW-3709</x:v>
      </x:c>
      <x:c r="C3714" t="str">
        <x:v>Parent indépendant 1.58</x:v>
      </x:c>
      <x:c r="D3714" t="str">
        <x:v>Industrie et production</x:v>
      </x:c>
      <x:c r="E3714" t="str">
        <x:v>Atelier de reconditionnement des bidons industriels</x:v>
      </x:c>
      <x:c r="F3714" t="n">
        <x:v>9</x:v>
      </x:c>
      <x:c r="G3714" t="n">
        <x:v>8</x:v>
      </x:c>
      <x:c r="H3714" t="n">
        <x:v>8</x:v>
      </x:c>
      <x:c r="I3714" t="str">
        <x:v>À qualifier par lieu</x:v>
      </x:c>
      <x:c r="J3714" t="str">
        <x:v>https://github.com/darknigthmare/deadwall-last-enclosure/blob/1b3b9c5ba232734b1bda3453b4e20a0481bcdd74/codex-3000/addendum-1.58/PROGRAMMES_C.json</x:v>
      </x:c>
      <x:c r="K3714" t="str">
        <x:v>Source min 53,40 m ; max 53,40 m ; modèle 53 × 40 m ; niveaux 0. Détails dans catalogue-existant.json.</x:v>
      </x:c>
    </x:row>
    <x:row r="3715">
      <x:c r="A3715" t="str">
        <x:v>DW-3710</x:v>
      </x:c>
      <x:c r="B3715" t="str">
        <x:v>DW-3710</x:v>
      </x:c>
      <x:c r="C3715" t="str">
        <x:v>Parent indépendant 1.58</x:v>
      </x:c>
      <x:c r="D3715" t="str">
        <x:v>Énergie et communication</x:v>
      </x:c>
      <x:c r="E3715" t="str">
        <x:v>Station terrestre de matériel de compostage</x:v>
      </x:c>
      <x:c r="F3715" t="n">
        <x:v>9</x:v>
      </x:c>
      <x:c r="G3715" t="n">
        <x:v>8</x:v>
      </x:c>
      <x:c r="H3715" t="n">
        <x:v>8</x:v>
      </x:c>
      <x:c r="I3715" t="str">
        <x:v>À qualifier par lieu</x:v>
      </x:c>
      <x:c r="J3715" t="str">
        <x:v>https://github.com/darknigthmare/deadwall-last-enclosure/blob/1b3b9c5ba232734b1bda3453b4e20a0481bcdd74/codex-3000/addendum-1.58/PROGRAMMES_C.json</x:v>
      </x:c>
      <x:c r="K3715" t="str">
        <x:v>Source min 58,40 m ; max 58,40 m ; modèle 58 × 40 m ; niveaux 0. Détails dans catalogue-existant.json.</x:v>
      </x:c>
    </x:row>
    <x:row r="3716">
      <x:c r="A3716" t="str">
        <x:v>DW-3711</x:v>
      </x:c>
      <x:c r="B3716" t="str">
        <x:v>DW-3711</x:v>
      </x:c>
      <x:c r="C3716" t="str">
        <x:v>Parent indépendant 1.58</x:v>
      </x:c>
      <x:c r="D3716" t="str">
        <x:v>Industrie et production</x:v>
      </x:c>
      <x:c r="E3716" t="str">
        <x:v>Bâtiment de tri des textiles de récupération</x:v>
      </x:c>
      <x:c r="F3716" t="n">
        <x:v>9</x:v>
      </x:c>
      <x:c r="G3716" t="n">
        <x:v>8</x:v>
      </x:c>
      <x:c r="H3716" t="n">
        <x:v>8</x:v>
      </x:c>
      <x:c r="I3716" t="str">
        <x:v>À qualifier par lieu</x:v>
      </x:c>
      <x:c r="J3716" t="str">
        <x:v>https://github.com/darknigthmare/deadwall-last-enclosure/blob/1b3b9c5ba232734b1bda3453b4e20a0481bcdd74/codex-3000/addendum-1.58/PROGRAMMES_C.json</x:v>
      </x:c>
      <x:c r="K3716" t="str">
        <x:v>Source min 38,44 m ; max 38,44 m ; modèle 38 × 44 m ; niveaux 0. Détails dans catalogue-existant.json.</x:v>
      </x:c>
    </x:row>
    <x:row r="3717">
      <x:c r="A3717" t="str">
        <x:v>DW-3712</x:v>
      </x:c>
      <x:c r="B3717" t="str">
        <x:v>DW-3712</x:v>
      </x:c>
      <x:c r="C3717" t="str">
        <x:v>Parent indépendant 1.58</x:v>
      </x:c>
      <x:c r="D3717" t="str">
        <x:v>Industrie et production</x:v>
      </x:c>
      <x:c r="E3717" t="str">
        <x:v>Atelier de démontage des fenêtres récupérées</x:v>
      </x:c>
      <x:c r="F3717" t="n">
        <x:v>9</x:v>
      </x:c>
      <x:c r="G3717" t="n">
        <x:v>8</x:v>
      </x:c>
      <x:c r="H3717" t="n">
        <x:v>8</x:v>
      </x:c>
      <x:c r="I3717" t="str">
        <x:v>À qualifier par lieu</x:v>
      </x:c>
      <x:c r="J3717" t="str">
        <x:v>https://github.com/darknigthmare/deadwall-last-enclosure/blob/1b3b9c5ba232734b1bda3453b4e20a0481bcdd74/codex-3000/addendum-1.58/PROGRAMMES_C.json</x:v>
      </x:c>
      <x:c r="K3717" t="str">
        <x:v>Source min 43,44 m ; max 43,44 m ; modèle 43 × 44 m ; niveaux 0. Détails dans catalogue-existant.json.</x:v>
      </x:c>
    </x:row>
    <x:row r="3718">
      <x:c r="A3718" t="str">
        <x:v>DW-3713</x:v>
      </x:c>
      <x:c r="B3718" t="str">
        <x:v>DW-3713</x:v>
      </x:c>
      <x:c r="C3718" t="str">
        <x:v>Parent indépendant 1.58</x:v>
      </x:c>
      <x:c r="D3718" t="str">
        <x:v>Industrie et production</x:v>
      </x:c>
      <x:c r="E3718" t="str">
        <x:v>Maison de classement des outils récupérés</x:v>
      </x:c>
      <x:c r="F3718" t="n">
        <x:v>9</x:v>
      </x:c>
      <x:c r="G3718" t="n">
        <x:v>8</x:v>
      </x:c>
      <x:c r="H3718" t="n">
        <x:v>8</x:v>
      </x:c>
      <x:c r="I3718" t="str">
        <x:v>À qualifier par lieu</x:v>
      </x:c>
      <x:c r="J3718" t="str">
        <x:v>https://github.com/darknigthmare/deadwall-last-enclosure/blob/1b3b9c5ba232734b1bda3453b4e20a0481bcdd74/codex-3000/addendum-1.58/PROGRAMMES_C.json</x:v>
      </x:c>
      <x:c r="K3718" t="str">
        <x:v>Source min 48,38 m ; max 48,38 m ; modèle 48 × 38 m ; niveaux 0, 1. Détails dans catalogue-existant.json.</x:v>
      </x:c>
    </x:row>
    <x:row r="3719">
      <x:c r="A3719" t="str">
        <x:v>DW-3714</x:v>
      </x:c>
      <x:c r="B3719" t="str">
        <x:v>DW-3714</x:v>
      </x:c>
      <x:c r="C3719" t="str">
        <x:v>Parent indépendant 1.58</x:v>
      </x:c>
      <x:c r="D3719" t="str">
        <x:v>Industrie et production</x:v>
      </x:c>
      <x:c r="E3719" t="str">
        <x:v>Halle de tri des emballages rigides</x:v>
      </x:c>
      <x:c r="F3719" t="n">
        <x:v>9</x:v>
      </x:c>
      <x:c r="G3719" t="n">
        <x:v>8</x:v>
      </x:c>
      <x:c r="H3719" t="n">
        <x:v>8</x:v>
      </x:c>
      <x:c r="I3719" t="str">
        <x:v>À qualifier par lieu</x:v>
      </x:c>
      <x:c r="J3719" t="str">
        <x:v>https://github.com/darknigthmare/deadwall-last-enclosure/blob/1b3b9c5ba232734b1bda3453b4e20a0481bcdd74/codex-3000/addendum-1.58/PROGRAMMES_C.json</x:v>
      </x:c>
      <x:c r="K3719" t="str">
        <x:v>Source min 53,44 m ; max 53,44 m ; modèle 53 × 44 m ; niveaux 0. Détails dans catalogue-existant.json.</x:v>
      </x:c>
    </x:row>
    <x:row r="3720">
      <x:c r="A3720" t="str">
        <x:v>DW-3715</x:v>
      </x:c>
      <x:c r="B3720" t="str">
        <x:v>DW-3715</x:v>
      </x:c>
      <x:c r="C3720" t="str">
        <x:v>Parent indépendant 1.58</x:v>
      </x:c>
      <x:c r="D3720" t="str">
        <x:v>Industrie et production</x:v>
      </x:c>
      <x:c r="E3720" t="str">
        <x:v>Atelier de remise en état des meubles collectés</x:v>
      </x:c>
      <x:c r="F3720" t="n">
        <x:v>9</x:v>
      </x:c>
      <x:c r="G3720" t="n">
        <x:v>8</x:v>
      </x:c>
      <x:c r="H3720" t="n">
        <x:v>8</x:v>
      </x:c>
      <x:c r="I3720" t="str">
        <x:v>À qualifier par lieu</x:v>
      </x:c>
      <x:c r="J3720" t="str">
        <x:v>https://github.com/darknigthmare/deadwall-last-enclosure/blob/1b3b9c5ba232734b1bda3453b4e20a0481bcdd74/codex-3000/addendum-1.58/PROGRAMMES_C.json</x:v>
      </x:c>
      <x:c r="K3720" t="str">
        <x:v>Source min 58,44 m ; max 58,44 m ; modèle 58 × 44 m ; niveaux 0. Détails dans catalogue-existant.json.</x:v>
      </x:c>
    </x:row>
    <x:row r="3721">
      <x:c r="A3721" t="str">
        <x:v>DW-3716</x:v>
      </x:c>
      <x:c r="B3721" t="str">
        <x:v>DW-3716</x:v>
      </x:c>
      <x:c r="C3721" t="str">
        <x:v>Parent indépendant 1.58</x:v>
      </x:c>
      <x:c r="D3721" t="str">
        <x:v>Industrie et production</x:v>
      </x:c>
      <x:c r="E3721" t="str">
        <x:v>Maison de collecte des lampes hors service</x:v>
      </x:c>
      <x:c r="F3721" t="n">
        <x:v>9</x:v>
      </x:c>
      <x:c r="G3721" t="n">
        <x:v>8</x:v>
      </x:c>
      <x:c r="H3721" t="n">
        <x:v>8</x:v>
      </x:c>
      <x:c r="I3721" t="str">
        <x:v>À qualifier par lieu</x:v>
      </x:c>
      <x:c r="J3721" t="str">
        <x:v>https://github.com/darknigthmare/deadwall-last-enclosure/blob/1b3b9c5ba232734b1bda3453b4e20a0481bcdd74/codex-3000/addendum-1.58/PROGRAMMES_C.json</x:v>
      </x:c>
      <x:c r="K3721" t="str">
        <x:v>Source min 38,48 m ; max 38,48 m ; modèle 38 × 48 m ; niveaux 0. Détails dans catalogue-existant.json.</x:v>
      </x:c>
    </x:row>
    <x:row r="3722">
      <x:c r="A3722" t="str">
        <x:v>DW-3717</x:v>
      </x:c>
      <x:c r="B3722" t="str">
        <x:v>DW-3717</x:v>
      </x:c>
      <x:c r="C3722" t="str">
        <x:v>Parent indépendant 1.58</x:v>
      </x:c>
      <x:c r="D3722" t="str">
        <x:v>Industrie et production</x:v>
      </x:c>
      <x:c r="E3722" t="str">
        <x:v>Bâtiment d'isolement des déchets dangereux scellés</x:v>
      </x:c>
      <x:c r="F3722" t="n">
        <x:v>9</x:v>
      </x:c>
      <x:c r="G3722" t="n">
        <x:v>8</x:v>
      </x:c>
      <x:c r="H3722" t="n">
        <x:v>8</x:v>
      </x:c>
      <x:c r="I3722" t="str">
        <x:v>À qualifier par lieu</x:v>
      </x:c>
      <x:c r="J3722" t="str">
        <x:v>https://github.com/darknigthmare/deadwall-last-enclosure/blob/1b3b9c5ba232734b1bda3453b4e20a0481bcdd74/codex-3000/addendum-1.58/PROGRAMMES_C.json</x:v>
      </x:c>
      <x:c r="K3722" t="str">
        <x:v>Source min 43,48 m ; max 43,48 m ; modèle 43 × 48 m ; niveaux 0. Détails dans catalogue-existant.json.</x:v>
      </x:c>
    </x:row>
    <x:row r="3723">
      <x:c r="A3723" t="str">
        <x:v>DW-3718</x:v>
      </x:c>
      <x:c r="B3723" t="str">
        <x:v>DW-3718</x:v>
      </x:c>
      <x:c r="C3723" t="str">
        <x:v>Parent indépendant 1.58</x:v>
      </x:c>
      <x:c r="D3723" t="str">
        <x:v>Industrie et production</x:v>
      </x:c>
      <x:c r="E3723" t="str">
        <x:v>Atelier de reconditionnement des bobines de câble</x:v>
      </x:c>
      <x:c r="F3723" t="n">
        <x:v>9</x:v>
      </x:c>
      <x:c r="G3723" t="n">
        <x:v>8</x:v>
      </x:c>
      <x:c r="H3723" t="n">
        <x:v>8</x:v>
      </x:c>
      <x:c r="I3723" t="str">
        <x:v>À qualifier par lieu</x:v>
      </x:c>
      <x:c r="J3723" t="str">
        <x:v>https://github.com/darknigthmare/deadwall-last-enclosure/blob/1b3b9c5ba232734b1bda3453b4e20a0481bcdd74/codex-3000/addendum-1.58/PROGRAMMES_C.json</x:v>
      </x:c>
      <x:c r="K3723" t="str">
        <x:v>Source min 48,42 m ; max 48,42 m ; modèle 48 × 42 m ; niveaux 0, 1. Détails dans catalogue-existant.json.</x:v>
      </x:c>
    </x:row>
    <x:row r="3724">
      <x:c r="A3724" t="str">
        <x:v>DW-3719</x:v>
      </x:c>
      <x:c r="B3724" t="str">
        <x:v>DW-3719</x:v>
      </x:c>
      <x:c r="C3724" t="str">
        <x:v>Parent indépendant 1.58</x:v>
      </x:c>
      <x:c r="D3724" t="str">
        <x:v>Industrie et production</x:v>
      </x:c>
      <x:c r="E3724" t="str">
        <x:v>Maison de récupération des pièces de chauffage</x:v>
      </x:c>
      <x:c r="F3724" t="n">
        <x:v>9</x:v>
      </x:c>
      <x:c r="G3724" t="n">
        <x:v>8</x:v>
      </x:c>
      <x:c r="H3724" t="n">
        <x:v>8</x:v>
      </x:c>
      <x:c r="I3724" t="str">
        <x:v>À qualifier par lieu</x:v>
      </x:c>
      <x:c r="J3724" t="str">
        <x:v>https://github.com/darknigthmare/deadwall-last-enclosure/blob/1b3b9c5ba232734b1bda3453b4e20a0481bcdd74/codex-3000/addendum-1.58/PROGRAMMES_C.json</x:v>
      </x:c>
      <x:c r="K3724" t="str">
        <x:v>Source min 53,48 m ; max 53,48 m ; modèle 53 × 48 m ; niveaux 0. Détails dans catalogue-existant.json.</x:v>
      </x:c>
    </x:row>
    <x:row r="3725">
      <x:c r="A3725" t="str">
        <x:v>DW-3720</x:v>
      </x:c>
      <x:c r="B3725" t="str">
        <x:v>DW-3720</x:v>
      </x:c>
      <x:c r="C3725" t="str">
        <x:v>Parent indépendant 1.58</x:v>
      </x:c>
      <x:c r="D3725" t="str">
        <x:v>Industrie et production</x:v>
      </x:c>
      <x:c r="E3725" t="str">
        <x:v>Station de réparation des bacs de collecte</x:v>
      </x:c>
      <x:c r="F3725" t="n">
        <x:v>9</x:v>
      </x:c>
      <x:c r="G3725" t="n">
        <x:v>8</x:v>
      </x:c>
      <x:c r="H3725" t="n">
        <x:v>8</x:v>
      </x:c>
      <x:c r="I3725" t="str">
        <x:v>À qualifier par lieu</x:v>
      </x:c>
      <x:c r="J3725" t="str">
        <x:v>https://github.com/darknigthmare/deadwall-last-enclosure/blob/1b3b9c5ba232734b1bda3453b4e20a0481bcdd74/codex-3000/addendum-1.58/PROGRAMMES_C.json</x:v>
      </x:c>
      <x:c r="K3725" t="str">
        <x:v>Source min 58,48 m ; max 58,48 m ; modèle 58 × 48 m ; niveaux 0. Détails dans catalogue-existant.json.</x:v>
      </x:c>
    </x:row>
    <x:row r="3726">
      <x:c r="A3726" t="str">
        <x:v>DW-3721</x:v>
      </x:c>
      <x:c r="B3726" t="str">
        <x:v>DW-3721</x:v>
      </x:c>
      <x:c r="C3726" t="str">
        <x:v>Parent indépendant 1.58</x:v>
      </x:c>
      <x:c r="D3726" t="str">
        <x:v>Alimentation et restauration</x:v>
      </x:c>
      <x:c r="E3726" t="str">
        <x:v>Atelier de pâtes sèches laminées</x:v>
      </x:c>
      <x:c r="F3726" t="n">
        <x:v>9</x:v>
      </x:c>
      <x:c r="G3726" t="n">
        <x:v>8</x:v>
      </x:c>
      <x:c r="H3726" t="n">
        <x:v>8</x:v>
      </x:c>
      <x:c r="I3726" t="str">
        <x:v>À qualifier par lieu</x:v>
      </x:c>
      <x:c r="J3726" t="str">
        <x:v>https://github.com/darknigthmare/deadwall-last-enclosure/blob/1b3b9c5ba232734b1bda3453b4e20a0481bcdd74/codex-3000/addendum-1.58/PROGRAMMES_C.json</x:v>
      </x:c>
      <x:c r="K3726" t="str">
        <x:v>Source min 38,36 m ; max 38,36 m ; modèle 38 × 36 m ; niveaux 0. Détails dans catalogue-existant.json.</x:v>
      </x:c>
    </x:row>
    <x:row r="3727">
      <x:c r="A3727" t="str">
        <x:v>DW-3722</x:v>
      </x:c>
      <x:c r="B3727" t="str">
        <x:v>DW-3722</x:v>
      </x:c>
      <x:c r="C3727" t="str">
        <x:v>Parent indépendant 1.58</x:v>
      </x:c>
      <x:c r="D3727" t="str">
        <x:v>Alimentation et restauration</x:v>
      </x:c>
      <x:c r="E3727" t="str">
        <x:v>Biscuiterie de rationnement</x:v>
      </x:c>
      <x:c r="F3727" t="n">
        <x:v>9</x:v>
      </x:c>
      <x:c r="G3727" t="n">
        <x:v>8</x:v>
      </x:c>
      <x:c r="H3727" t="n">
        <x:v>8</x:v>
      </x:c>
      <x:c r="I3727" t="str">
        <x:v>À qualifier par lieu</x:v>
      </x:c>
      <x:c r="J3727" t="str">
        <x:v>https://github.com/darknigthmare/deadwall-last-enclosure/blob/1b3b9c5ba232734b1bda3453b4e20a0481bcdd74/codex-3000/addendum-1.58/PROGRAMMES_C.json</x:v>
      </x:c>
      <x:c r="K3727" t="str">
        <x:v>Source min 43,36 m ; max 43,36 m ; modèle 43 × 36 m ; niveaux 0. Détails dans catalogue-existant.json.</x:v>
      </x:c>
    </x:row>
    <x:row r="3728">
      <x:c r="A3728" t="str">
        <x:v>DW-3723</x:v>
      </x:c>
      <x:c r="B3728" t="str">
        <x:v>DW-3723</x:v>
      </x:c>
      <x:c r="C3728" t="str">
        <x:v>Parent indépendant 1.58</x:v>
      </x:c>
      <x:c r="D3728" t="str">
        <x:v>Alimentation et restauration</x:v>
      </x:c>
      <x:c r="E3728" t="str">
        <x:v>Atelier de galettes de conservation</x:v>
      </x:c>
      <x:c r="F3728" t="n">
        <x:v>9</x:v>
      </x:c>
      <x:c r="G3728" t="n">
        <x:v>8</x:v>
      </x:c>
      <x:c r="H3728" t="n">
        <x:v>8</x:v>
      </x:c>
      <x:c r="I3728" t="str">
        <x:v>À qualifier par lieu</x:v>
      </x:c>
      <x:c r="J3728" t="str">
        <x:v>https://github.com/darknigthmare/deadwall-last-enclosure/blob/1b3b9c5ba232734b1bda3453b4e20a0481bcdd74/codex-3000/addendum-1.58/PROGRAMMES_C.json</x:v>
      </x:c>
      <x:c r="K3728" t="str">
        <x:v>Source min 48,30 m ; max 48,30 m ; modèle 48 × 30 m ; niveaux 0, 1. Détails dans catalogue-existant.json.</x:v>
      </x:c>
    </x:row>
    <x:row r="3729">
      <x:c r="A3729" t="str">
        <x:v>DW-3724</x:v>
      </x:c>
      <x:c r="B3729" t="str">
        <x:v>DW-3724</x:v>
      </x:c>
      <x:c r="C3729" t="str">
        <x:v>Parent indépendant 1.58</x:v>
      </x:c>
      <x:c r="D3729" t="str">
        <x:v>Alimentation et restauration</x:v>
      </x:c>
      <x:c r="E3729" t="str">
        <x:v>Halle de déshydratation des légumes</x:v>
      </x:c>
      <x:c r="F3729" t="n">
        <x:v>9</x:v>
      </x:c>
      <x:c r="G3729" t="n">
        <x:v>8</x:v>
      </x:c>
      <x:c r="H3729" t="n">
        <x:v>8</x:v>
      </x:c>
      <x:c r="I3729" t="str">
        <x:v>À qualifier par lieu</x:v>
      </x:c>
      <x:c r="J3729" t="str">
        <x:v>https://github.com/darknigthmare/deadwall-last-enclosure/blob/1b3b9c5ba232734b1bda3453b4e20a0481bcdd74/codex-3000/addendum-1.58/PROGRAMMES_C.json</x:v>
      </x:c>
      <x:c r="K3729" t="str">
        <x:v>Source min 53,36 m ; max 53,36 m ; modèle 53 × 36 m ; niveaux 0. Détails dans catalogue-existant.json.</x:v>
      </x:c>
    </x:row>
    <x:row r="3730">
      <x:c r="A3730" t="str">
        <x:v>DW-3725</x:v>
      </x:c>
      <x:c r="B3730" t="str">
        <x:v>DW-3725</x:v>
      </x:c>
      <x:c r="C3730" t="str">
        <x:v>Parent indépendant 1.58</x:v>
      </x:c>
      <x:c r="D3730" t="str">
        <x:v>Alimentation et restauration</x:v>
      </x:c>
      <x:c r="E3730" t="str">
        <x:v>Atelier de fruits séchés en tranches</x:v>
      </x:c>
      <x:c r="F3730" t="n">
        <x:v>9</x:v>
      </x:c>
      <x:c r="G3730" t="n">
        <x:v>8</x:v>
      </x:c>
      <x:c r="H3730" t="n">
        <x:v>8</x:v>
      </x:c>
      <x:c r="I3730" t="str">
        <x:v>À qualifier par lieu</x:v>
      </x:c>
      <x:c r="J3730" t="str">
        <x:v>https://github.com/darknigthmare/deadwall-last-enclosure/blob/1b3b9c5ba232734b1bda3453b4e20a0481bcdd74/codex-3000/addendum-1.58/PROGRAMMES_C.json</x:v>
      </x:c>
      <x:c r="K3730" t="str">
        <x:v>Source min 58,36 m ; max 58,36 m ; modèle 58 × 36 m ; niveaux 0. Détails dans catalogue-existant.json.</x:v>
      </x:c>
    </x:row>
    <x:row r="3731">
      <x:c r="A3731" t="str">
        <x:v>DW-3726</x:v>
      </x:c>
      <x:c r="B3731" t="str">
        <x:v>DW-3726</x:v>
      </x:c>
      <x:c r="C3731" t="str">
        <x:v>Parent indépendant 1.58</x:v>
      </x:c>
      <x:c r="D3731" t="str">
        <x:v>Alimentation et restauration</x:v>
      </x:c>
      <x:c r="E3731" t="str">
        <x:v>Maison de pressage des oléagineux</x:v>
      </x:c>
      <x:c r="F3731" t="n">
        <x:v>9</x:v>
      </x:c>
      <x:c r="G3731" t="n">
        <x:v>8</x:v>
      </x:c>
      <x:c r="H3731" t="n">
        <x:v>8</x:v>
      </x:c>
      <x:c r="I3731" t="str">
        <x:v>À qualifier par lieu</x:v>
      </x:c>
      <x:c r="J3731" t="str">
        <x:v>https://github.com/darknigthmare/deadwall-last-enclosure/blob/1b3b9c5ba232734b1bda3453b4e20a0481bcdd74/codex-3000/addendum-1.58/PROGRAMMES_C.json</x:v>
      </x:c>
      <x:c r="K3731" t="str">
        <x:v>Source min 38,40 m ; max 38,40 m ; modèle 38 × 40 m ; niveaux 0. Détails dans catalogue-existant.json.</x:v>
      </x:c>
    </x:row>
    <x:row r="3732">
      <x:c r="A3732" t="str">
        <x:v>DW-3727</x:v>
      </x:c>
      <x:c r="B3732" t="str">
        <x:v>DW-3727</x:v>
      </x:c>
      <x:c r="C3732" t="str">
        <x:v>Parent indépendant 1.58</x:v>
      </x:c>
      <x:c r="D3732" t="str">
        <x:v>Alimentation et restauration</x:v>
      </x:c>
      <x:c r="E3732" t="str">
        <x:v>Atelier de pâte de graines alimentaires</x:v>
      </x:c>
      <x:c r="F3732" t="n">
        <x:v>9</x:v>
      </x:c>
      <x:c r="G3732" t="n">
        <x:v>8</x:v>
      </x:c>
      <x:c r="H3732" t="n">
        <x:v>8</x:v>
      </x:c>
      <x:c r="I3732" t="str">
        <x:v>À qualifier par lieu</x:v>
      </x:c>
      <x:c r="J3732" t="str">
        <x:v>https://github.com/darknigthmare/deadwall-last-enclosure/blob/1b3b9c5ba232734b1bda3453b4e20a0481bcdd74/codex-3000/addendum-1.58/PROGRAMMES_C.json</x:v>
      </x:c>
      <x:c r="K3732" t="str">
        <x:v>Source min 43,40 m ; max 43,40 m ; modèle 43 × 40 m ; niveaux 0. Détails dans catalogue-existant.json.</x:v>
      </x:c>
    </x:row>
    <x:row r="3733">
      <x:c r="A3733" t="str">
        <x:v>DW-3728</x:v>
      </x:c>
      <x:c r="B3733" t="str">
        <x:v>DW-3728</x:v>
      </x:c>
      <x:c r="C3733" t="str">
        <x:v>Parent indépendant 1.58</x:v>
      </x:c>
      <x:c r="D3733" t="str">
        <x:v>Alimentation et restauration</x:v>
      </x:c>
      <x:c r="E3733" t="str">
        <x:v>Atelier de farines de légumineuses</x:v>
      </x:c>
      <x:c r="F3733" t="n">
        <x:v>9</x:v>
      </x:c>
      <x:c r="G3733" t="n">
        <x:v>8</x:v>
      </x:c>
      <x:c r="H3733" t="n">
        <x:v>8</x:v>
      </x:c>
      <x:c r="I3733" t="str">
        <x:v>À qualifier par lieu</x:v>
      </x:c>
      <x:c r="J3733" t="str">
        <x:v>https://github.com/darknigthmare/deadwall-last-enclosure/blob/1b3b9c5ba232734b1bda3453b4e20a0481bcdd74/codex-3000/addendum-1.58/PROGRAMMES_C.json</x:v>
      </x:c>
      <x:c r="K3733" t="str">
        <x:v>Source min 48,34 m ; max 48,34 m ; modèle 48 × 34 m ; niveaux 0, 1. Détails dans catalogue-existant.json.</x:v>
      </x:c>
    </x:row>
    <x:row r="3734">
      <x:c r="A3734" t="str">
        <x:v>DW-3729</x:v>
      </x:c>
      <x:c r="B3734" t="str">
        <x:v>DW-3729</x:v>
      </x:c>
      <x:c r="C3734" t="str">
        <x:v>Parent indépendant 1.58</x:v>
      </x:c>
      <x:c r="D3734" t="str">
        <x:v>Alimentation et restauration</x:v>
      </x:c>
      <x:c r="E3734" t="str">
        <x:v>Halle de semoules calibrées</x:v>
      </x:c>
      <x:c r="F3734" t="n">
        <x:v>9</x:v>
      </x:c>
      <x:c r="G3734" t="n">
        <x:v>8</x:v>
      </x:c>
      <x:c r="H3734" t="n">
        <x:v>8</x:v>
      </x:c>
      <x:c r="I3734" t="str">
        <x:v>À qualifier par lieu</x:v>
      </x:c>
      <x:c r="J3734" t="str">
        <x:v>https://github.com/darknigthmare/deadwall-last-enclosure/blob/1b3b9c5ba232734b1bda3453b4e20a0481bcdd74/codex-3000/addendum-1.58/PROGRAMMES_C.json</x:v>
      </x:c>
      <x:c r="K3734" t="str">
        <x:v>Source min 53,40 m ; max 53,40 m ; modèle 53 × 40 m ; niveaux 0. Détails dans catalogue-existant.json.</x:v>
      </x:c>
    </x:row>
    <x:row r="3735">
      <x:c r="A3735" t="str">
        <x:v>DW-3730</x:v>
      </x:c>
      <x:c r="B3735" t="str">
        <x:v>DW-3730</x:v>
      </x:c>
      <x:c r="C3735" t="str">
        <x:v>Parent indépendant 1.58</x:v>
      </x:c>
      <x:c r="D3735" t="str">
        <x:v>Alimentation et restauration</x:v>
      </x:c>
      <x:c r="E3735" t="str">
        <x:v>Atelier de torréfaction des céréales</x:v>
      </x:c>
      <x:c r="F3735" t="n">
        <x:v>9</x:v>
      </x:c>
      <x:c r="G3735" t="n">
        <x:v>8</x:v>
      </x:c>
      <x:c r="H3735" t="n">
        <x:v>8</x:v>
      </x:c>
      <x:c r="I3735" t="str">
        <x:v>À qualifier par lieu</x:v>
      </x:c>
      <x:c r="J3735" t="str">
        <x:v>https://github.com/darknigthmare/deadwall-last-enclosure/blob/1b3b9c5ba232734b1bda3453b4e20a0481bcdd74/codex-3000/addendum-1.58/PROGRAMMES_C.json</x:v>
      </x:c>
      <x:c r="K3735" t="str">
        <x:v>Source min 58,40 m ; max 58,40 m ; modèle 58 × 40 m ; niveaux 0. Détails dans catalogue-existant.json.</x:v>
      </x:c>
    </x:row>
    <x:row r="3736">
      <x:c r="A3736" t="str">
        <x:v>DW-3731</x:v>
      </x:c>
      <x:c r="B3736" t="str">
        <x:v>DW-3731</x:v>
      </x:c>
      <x:c r="C3736" t="str">
        <x:v>Parent indépendant 1.58</x:v>
      </x:c>
      <x:c r="D3736" t="str">
        <x:v>Alimentation et restauration</x:v>
      </x:c>
      <x:c r="E3736" t="str">
        <x:v>Maison de conserves lactofermentées</x:v>
      </x:c>
      <x:c r="F3736" t="n">
        <x:v>9</x:v>
      </x:c>
      <x:c r="G3736" t="n">
        <x:v>8</x:v>
      </x:c>
      <x:c r="H3736" t="n">
        <x:v>8</x:v>
      </x:c>
      <x:c r="I3736" t="str">
        <x:v>À qualifier par lieu</x:v>
      </x:c>
      <x:c r="J3736" t="str">
        <x:v>https://github.com/darknigthmare/deadwall-last-enclosure/blob/1b3b9c5ba232734b1bda3453b4e20a0481bcdd74/codex-3000/addendum-1.58/PROGRAMMES_C.json</x:v>
      </x:c>
      <x:c r="K3736" t="str">
        <x:v>Source min 38,44 m ; max 38,44 m ; modèle 38 × 44 m ; niveaux 0. Détails dans catalogue-existant.json.</x:v>
      </x:c>
    </x:row>
    <x:row r="3737">
      <x:c r="A3737" t="str">
        <x:v>DW-3732</x:v>
      </x:c>
      <x:c r="B3737" t="str">
        <x:v>DW-3732</x:v>
      </x:c>
      <x:c r="C3737" t="str">
        <x:v>Parent indépendant 1.58</x:v>
      </x:c>
      <x:c r="D3737" t="str">
        <x:v>Alimentation et restauration</x:v>
      </x:c>
      <x:c r="E3737" t="str">
        <x:v>Atelier de saumures alimentaires</x:v>
      </x:c>
      <x:c r="F3737" t="n">
        <x:v>9</x:v>
      </x:c>
      <x:c r="G3737" t="n">
        <x:v>8</x:v>
      </x:c>
      <x:c r="H3737" t="n">
        <x:v>8</x:v>
      </x:c>
      <x:c r="I3737" t="str">
        <x:v>À qualifier par lieu</x:v>
      </x:c>
      <x:c r="J3737" t="str">
        <x:v>https://github.com/darknigthmare/deadwall-last-enclosure/blob/1b3b9c5ba232734b1bda3453b4e20a0481bcdd74/codex-3000/addendum-1.58/PROGRAMMES_C.json</x:v>
      </x:c>
      <x:c r="K3737" t="str">
        <x:v>Source min 43,44 m ; max 43,44 m ; modèle 43 × 44 m ; niveaux 0. Détails dans catalogue-existant.json.</x:v>
      </x:c>
    </x:row>
    <x:row r="3738">
      <x:c r="A3738" t="str">
        <x:v>DW-3733</x:v>
      </x:c>
      <x:c r="B3738" t="str">
        <x:v>DW-3733</x:v>
      </x:c>
      <x:c r="C3738" t="str">
        <x:v>Parent indépendant 1.58</x:v>
      </x:c>
      <x:c r="D3738" t="str">
        <x:v>Alimentation et restauration</x:v>
      </x:c>
      <x:c r="E3738" t="str">
        <x:v>Atelier de condiments en pots</x:v>
      </x:c>
      <x:c r="F3738" t="n">
        <x:v>9</x:v>
      </x:c>
      <x:c r="G3738" t="n">
        <x:v>8</x:v>
      </x:c>
      <x:c r="H3738" t="n">
        <x:v>8</x:v>
      </x:c>
      <x:c r="I3738" t="str">
        <x:v>À qualifier par lieu</x:v>
      </x:c>
      <x:c r="J3738" t="str">
        <x:v>https://github.com/darknigthmare/deadwall-last-enclosure/blob/1b3b9c5ba232734b1bda3453b4e20a0481bcdd74/codex-3000/addendum-1.58/PROGRAMMES_C.json</x:v>
      </x:c>
      <x:c r="K3738" t="str">
        <x:v>Source min 48,38 m ; max 48,38 m ; modèle 48 × 38 m ; niveaux 0, 1. Détails dans catalogue-existant.json.</x:v>
      </x:c>
    </x:row>
    <x:row r="3739">
      <x:c r="A3739" t="str">
        <x:v>DW-3734</x:v>
      </x:c>
      <x:c r="B3739" t="str">
        <x:v>DW-3734</x:v>
      </x:c>
      <x:c r="C3739" t="str">
        <x:v>Parent indépendant 1.58</x:v>
      </x:c>
      <x:c r="D3739" t="str">
        <x:v>Alimentation et restauration</x:v>
      </x:c>
      <x:c r="E3739" t="str">
        <x:v>Maison de confitures de garde</x:v>
      </x:c>
      <x:c r="F3739" t="n">
        <x:v>9</x:v>
      </x:c>
      <x:c r="G3739" t="n">
        <x:v>8</x:v>
      </x:c>
      <x:c r="H3739" t="n">
        <x:v>8</x:v>
      </x:c>
      <x:c r="I3739" t="str">
        <x:v>À qualifier par lieu</x:v>
      </x:c>
      <x:c r="J3739" t="str">
        <x:v>https://github.com/darknigthmare/deadwall-last-enclosure/blob/1b3b9c5ba232734b1bda3453b4e20a0481bcdd74/codex-3000/addendum-1.58/PROGRAMMES_C.json</x:v>
      </x:c>
      <x:c r="K3739" t="str">
        <x:v>Source min 53,44 m ; max 53,44 m ; modèle 53 × 44 m ; niveaux 0. Détails dans catalogue-existant.json.</x:v>
      </x:c>
    </x:row>
    <x:row r="3740">
      <x:c r="A3740" t="str">
        <x:v>DW-3735</x:v>
      </x:c>
      <x:c r="B3740" t="str">
        <x:v>DW-3735</x:v>
      </x:c>
      <x:c r="C3740" t="str">
        <x:v>Parent indépendant 1.58</x:v>
      </x:c>
      <x:c r="D3740" t="str">
        <x:v>Alimentation et restauration</x:v>
      </x:c>
      <x:c r="E3740" t="str">
        <x:v>Atelier de gelées de fruits filtrées</x:v>
      </x:c>
      <x:c r="F3740" t="n">
        <x:v>9</x:v>
      </x:c>
      <x:c r="G3740" t="n">
        <x:v>8</x:v>
      </x:c>
      <x:c r="H3740" t="n">
        <x:v>8</x:v>
      </x:c>
      <x:c r="I3740" t="str">
        <x:v>À qualifier par lieu</x:v>
      </x:c>
      <x:c r="J3740" t="str">
        <x:v>https://github.com/darknigthmare/deadwall-last-enclosure/blob/1b3b9c5ba232734b1bda3453b4e20a0481bcdd74/codex-3000/addendum-1.58/PROGRAMMES_C.json</x:v>
      </x:c>
      <x:c r="K3740" t="str">
        <x:v>Source min 58,44 m ; max 58,44 m ; modèle 58 × 44 m ; niveaux 0. Détails dans catalogue-existant.json.</x:v>
      </x:c>
    </x:row>
    <x:row r="3741">
      <x:c r="A3741" t="str">
        <x:v>DW-3736</x:v>
      </x:c>
      <x:c r="B3741" t="str">
        <x:v>DW-3736</x:v>
      </x:c>
      <x:c r="C3741" t="str">
        <x:v>Parent indépendant 1.58</x:v>
      </x:c>
      <x:c r="D3741" t="str">
        <x:v>Alimentation et restauration</x:v>
      </x:c>
      <x:c r="E3741" t="str">
        <x:v>Atelier de fruits au sirop</x:v>
      </x:c>
      <x:c r="F3741" t="n">
        <x:v>9</x:v>
      </x:c>
      <x:c r="G3741" t="n">
        <x:v>8</x:v>
      </x:c>
      <x:c r="H3741" t="n">
        <x:v>8</x:v>
      </x:c>
      <x:c r="I3741" t="str">
        <x:v>À qualifier par lieu</x:v>
      </x:c>
      <x:c r="J3741" t="str">
        <x:v>https://github.com/darknigthmare/deadwall-last-enclosure/blob/1b3b9c5ba232734b1bda3453b4e20a0481bcdd74/codex-3000/addendum-1.58/PROGRAMMES_C.json</x:v>
      </x:c>
      <x:c r="K3741" t="str">
        <x:v>Source min 38,48 m ; max 38,48 m ; modèle 38 × 48 m ; niveaux 0. Détails dans catalogue-existant.json.</x:v>
      </x:c>
    </x:row>
    <x:row r="3742">
      <x:c r="A3742" t="str">
        <x:v>DW-3737</x:v>
      </x:c>
      <x:c r="B3742" t="str">
        <x:v>DW-3737</x:v>
      </x:c>
      <x:c r="C3742" t="str">
        <x:v>Parent indépendant 1.58</x:v>
      </x:c>
      <x:c r="D3742" t="str">
        <x:v>Alimentation et restauration</x:v>
      </x:c>
      <x:c r="E3742" t="str">
        <x:v>Maison de miel conditionné</x:v>
      </x:c>
      <x:c r="F3742" t="n">
        <x:v>9</x:v>
      </x:c>
      <x:c r="G3742" t="n">
        <x:v>8</x:v>
      </x:c>
      <x:c r="H3742" t="n">
        <x:v>8</x:v>
      </x:c>
      <x:c r="I3742" t="str">
        <x:v>À qualifier par lieu</x:v>
      </x:c>
      <x:c r="J3742" t="str">
        <x:v>https://github.com/darknigthmare/deadwall-last-enclosure/blob/1b3b9c5ba232734b1bda3453b4e20a0481bcdd74/codex-3000/addendum-1.58/PROGRAMMES_C.json</x:v>
      </x:c>
      <x:c r="K3742" t="str">
        <x:v>Source min 43,48 m ; max 43,48 m ; modèle 43 × 48 m ; niveaux 0. Détails dans catalogue-existant.json.</x:v>
      </x:c>
    </x:row>
    <x:row r="3743">
      <x:c r="A3743" t="str">
        <x:v>DW-3738</x:v>
      </x:c>
      <x:c r="B3743" t="str">
        <x:v>DW-3738</x:v>
      </x:c>
      <x:c r="C3743" t="str">
        <x:v>Parent indépendant 1.58</x:v>
      </x:c>
      <x:c r="D3743" t="str">
        <x:v>Alimentation et restauration</x:v>
      </x:c>
      <x:c r="E3743" t="str">
        <x:v>Atelier de blocs de sucre de ration</x:v>
      </x:c>
      <x:c r="F3743" t="n">
        <x:v>9</x:v>
      </x:c>
      <x:c r="G3743" t="n">
        <x:v>8</x:v>
      </x:c>
      <x:c r="H3743" t="n">
        <x:v>8</x:v>
      </x:c>
      <x:c r="I3743" t="str">
        <x:v>À qualifier par lieu</x:v>
      </x:c>
      <x:c r="J3743" t="str">
        <x:v>https://github.com/darknigthmare/deadwall-last-enclosure/blob/1b3b9c5ba232734b1bda3453b4e20a0481bcdd74/codex-3000/addendum-1.58/PROGRAMMES_C.json</x:v>
      </x:c>
      <x:c r="K3743" t="str">
        <x:v>Source min 48,42 m ; max 48,42 m ; modèle 48 × 42 m ; niveaux 0, 1. Détails dans catalogue-existant.json.</x:v>
      </x:c>
    </x:row>
    <x:row r="3744">
      <x:c r="A3744" t="str">
        <x:v>DW-3739</x:v>
      </x:c>
      <x:c r="B3744" t="str">
        <x:v>DW-3739</x:v>
      </x:c>
      <x:c r="C3744" t="str">
        <x:v>Parent indépendant 1.58</x:v>
      </x:c>
      <x:c r="D3744" t="str">
        <x:v>Alimentation et restauration</x:v>
      </x:c>
      <x:c r="E3744" t="str">
        <x:v>Atelier de lait en poudre conditionné</x:v>
      </x:c>
      <x:c r="F3744" t="n">
        <x:v>9</x:v>
      </x:c>
      <x:c r="G3744" t="n">
        <x:v>8</x:v>
      </x:c>
      <x:c r="H3744" t="n">
        <x:v>8</x:v>
      </x:c>
      <x:c r="I3744" t="str">
        <x:v>À qualifier par lieu</x:v>
      </x:c>
      <x:c r="J3744" t="str">
        <x:v>https://github.com/darknigthmare/deadwall-last-enclosure/blob/1b3b9c5ba232734b1bda3453b4e20a0481bcdd74/codex-3000/addendum-1.58/PROGRAMMES_C.json</x:v>
      </x:c>
      <x:c r="K3744" t="str">
        <x:v>Source min 53,48 m ; max 53,48 m ; modèle 53 × 48 m ; niveaux 0. Détails dans catalogue-existant.json.</x:v>
      </x:c>
    </x:row>
    <x:row r="3745">
      <x:c r="A3745" t="str">
        <x:v>DW-3740</x:v>
      </x:c>
      <x:c r="B3745" t="str">
        <x:v>DW-3740</x:v>
      </x:c>
      <x:c r="C3745" t="str">
        <x:v>Parent indépendant 1.58</x:v>
      </x:c>
      <x:c r="D3745" t="str">
        <x:v>Alimentation et restauration</x:v>
      </x:c>
      <x:c r="E3745" t="str">
        <x:v>Fromagerie de pressage des tommes</x:v>
      </x:c>
      <x:c r="F3745" t="n">
        <x:v>9</x:v>
      </x:c>
      <x:c r="G3745" t="n">
        <x:v>8</x:v>
      </x:c>
      <x:c r="H3745" t="n">
        <x:v>8</x:v>
      </x:c>
      <x:c r="I3745" t="str">
        <x:v>À qualifier par lieu</x:v>
      </x:c>
      <x:c r="J3745" t="str">
        <x:v>https://github.com/darknigthmare/deadwall-last-enclosure/blob/1b3b9c5ba232734b1bda3453b4e20a0481bcdd74/codex-3000/addendum-1.58/PROGRAMMES_C.json</x:v>
      </x:c>
      <x:c r="K3745" t="str">
        <x:v>Source min 58,48 m ; max 58,48 m ; modèle 58 × 48 m ; niveaux 0. Détails dans catalogue-existant.json.</x:v>
      </x:c>
    </x:row>
    <x:row r="3746">
      <x:c r="A3746" t="str">
        <x:v>DW-3741</x:v>
      </x:c>
      <x:c r="B3746" t="str">
        <x:v>DW-3741</x:v>
      </x:c>
      <x:c r="C3746" t="str">
        <x:v>Parent indépendant 1.58</x:v>
      </x:c>
      <x:c r="D3746" t="str">
        <x:v>Alimentation et restauration</x:v>
      </x:c>
      <x:c r="E3746" t="str">
        <x:v>Atelier de beurre en pains</x:v>
      </x:c>
      <x:c r="F3746" t="n">
        <x:v>9</x:v>
      </x:c>
      <x:c r="G3746" t="n">
        <x:v>8</x:v>
      </x:c>
      <x:c r="H3746" t="n">
        <x:v>8</x:v>
      </x:c>
      <x:c r="I3746" t="str">
        <x:v>À qualifier par lieu</x:v>
      </x:c>
      <x:c r="J3746" t="str">
        <x:v>https://github.com/darknigthmare/deadwall-last-enclosure/blob/1b3b9c5ba232734b1bda3453b4e20a0481bcdd74/codex-3000/addendum-1.58/PROGRAMMES_C.json</x:v>
      </x:c>
      <x:c r="K3746" t="str">
        <x:v>Source min 38,36 m ; max 38,36 m ; modèle 38 × 36 m ; niveaux 0. Détails dans catalogue-existant.json.</x:v>
      </x:c>
    </x:row>
    <x:row r="3747">
      <x:c r="A3747" t="str">
        <x:v>DW-3742</x:v>
      </x:c>
      <x:c r="B3747" t="str">
        <x:v>DW-3742</x:v>
      </x:c>
      <x:c r="C3747" t="str">
        <x:v>Parent indépendant 1.58</x:v>
      </x:c>
      <x:c r="D3747" t="str">
        <x:v>Alimentation et restauration</x:v>
      </x:c>
      <x:c r="E3747" t="str">
        <x:v>Maison de séchage des fromages</x:v>
      </x:c>
      <x:c r="F3747" t="n">
        <x:v>9</x:v>
      </x:c>
      <x:c r="G3747" t="n">
        <x:v>8</x:v>
      </x:c>
      <x:c r="H3747" t="n">
        <x:v>8</x:v>
      </x:c>
      <x:c r="I3747" t="str">
        <x:v>À qualifier par lieu</x:v>
      </x:c>
      <x:c r="J3747" t="str">
        <x:v>https://github.com/darknigthmare/deadwall-last-enclosure/blob/1b3b9c5ba232734b1bda3453b4e20a0481bcdd74/codex-3000/addendum-1.58/PROGRAMMES_C.json</x:v>
      </x:c>
      <x:c r="K3747" t="str">
        <x:v>Source min 43,36 m ; max 43,36 m ; modèle 43 × 36 m ; niveaux 0. Détails dans catalogue-existant.json.</x:v>
      </x:c>
    </x:row>
    <x:row r="3748">
      <x:c r="A3748" t="str">
        <x:v>DW-3743</x:v>
      </x:c>
      <x:c r="B3748" t="str">
        <x:v>DW-3743</x:v>
      </x:c>
      <x:c r="C3748" t="str">
        <x:v>Parent indépendant 1.58</x:v>
      </x:c>
      <x:c r="D3748" t="str">
        <x:v>Alimentation et restauration</x:v>
      </x:c>
      <x:c r="E3748" t="str">
        <x:v>Atelier de viandes séchées emballées</x:v>
      </x:c>
      <x:c r="F3748" t="n">
        <x:v>9</x:v>
      </x:c>
      <x:c r="G3748" t="n">
        <x:v>8</x:v>
      </x:c>
      <x:c r="H3748" t="n">
        <x:v>8</x:v>
      </x:c>
      <x:c r="I3748" t="str">
        <x:v>À qualifier par lieu</x:v>
      </x:c>
      <x:c r="J3748" t="str">
        <x:v>https://github.com/darknigthmare/deadwall-last-enclosure/blob/1b3b9c5ba232734b1bda3453b4e20a0481bcdd74/codex-3000/addendum-1.58/PROGRAMMES_C.json</x:v>
      </x:c>
      <x:c r="K3748" t="str">
        <x:v>Source min 48,30 m ; max 48,30 m ; modèle 48 × 30 m ; niveaux 0, 1. Détails dans catalogue-existant.json.</x:v>
      </x:c>
    </x:row>
    <x:row r="3749">
      <x:c r="A3749" t="str">
        <x:v>DW-3744</x:v>
      </x:c>
      <x:c r="B3749" t="str">
        <x:v>DW-3744</x:v>
      </x:c>
      <x:c r="C3749" t="str">
        <x:v>Parent indépendant 1.58</x:v>
      </x:c>
      <x:c r="D3749" t="str">
        <x:v>Alimentation et restauration</x:v>
      </x:c>
      <x:c r="E3749" t="str">
        <x:v>Atelier de poissons en bocaux</x:v>
      </x:c>
      <x:c r="F3749" t="n">
        <x:v>9</x:v>
      </x:c>
      <x:c r="G3749" t="n">
        <x:v>8</x:v>
      </x:c>
      <x:c r="H3749" t="n">
        <x:v>8</x:v>
      </x:c>
      <x:c r="I3749" t="str">
        <x:v>À qualifier par lieu</x:v>
      </x:c>
      <x:c r="J3749" t="str">
        <x:v>https://github.com/darknigthmare/deadwall-last-enclosure/blob/1b3b9c5ba232734b1bda3453b4e20a0481bcdd74/codex-3000/addendum-1.58/PROGRAMMES_C.json</x:v>
      </x:c>
      <x:c r="K3749" t="str">
        <x:v>Source min 53,36 m ; max 53,36 m ; modèle 53 × 36 m ; niveaux 0. Détails dans catalogue-existant.json.</x:v>
      </x:c>
    </x:row>
    <x:row r="3750">
      <x:c r="A3750" t="str">
        <x:v>DW-3745</x:v>
      </x:c>
      <x:c r="B3750" t="str">
        <x:v>DW-3745</x:v>
      </x:c>
      <x:c r="C3750" t="str">
        <x:v>Parent indépendant 1.58</x:v>
      </x:c>
      <x:c r="D3750" t="str">
        <x:v>Alimentation et restauration</x:v>
      </x:c>
      <x:c r="E3750" t="str">
        <x:v>Halle de repas de secours en barquettes</x:v>
      </x:c>
      <x:c r="F3750" t="n">
        <x:v>9</x:v>
      </x:c>
      <x:c r="G3750" t="n">
        <x:v>8</x:v>
      </x:c>
      <x:c r="H3750" t="n">
        <x:v>8</x:v>
      </x:c>
      <x:c r="I3750" t="str">
        <x:v>À qualifier par lieu</x:v>
      </x:c>
      <x:c r="J3750" t="str">
        <x:v>https://github.com/darknigthmare/deadwall-last-enclosure/blob/1b3b9c5ba232734b1bda3453b4e20a0481bcdd74/codex-3000/addendum-1.58/PROGRAMMES_C.json</x:v>
      </x:c>
      <x:c r="K3750" t="str">
        <x:v>Source min 58,36 m ; max 58,36 m ; modèle 58 × 36 m ; niveaux 0. Détails dans catalogue-existant.json.</x:v>
      </x:c>
    </x:row>
    <x:row r="3751">
      <x:c r="A3751" t="str">
        <x:v>DW-3746</x:v>
      </x:c>
      <x:c r="B3751" t="str">
        <x:v>DW-3746</x:v>
      </x:c>
      <x:c r="C3751" t="str">
        <x:v>Parent indépendant 1.58</x:v>
      </x:c>
      <x:c r="D3751" t="str">
        <x:v>Alimentation et restauration</x:v>
      </x:c>
      <x:c r="E3751" t="str">
        <x:v>Atelier de bouillons concentrés</x:v>
      </x:c>
      <x:c r="F3751" t="n">
        <x:v>9</x:v>
      </x:c>
      <x:c r="G3751" t="n">
        <x:v>8</x:v>
      </x:c>
      <x:c r="H3751" t="n">
        <x:v>8</x:v>
      </x:c>
      <x:c r="I3751" t="str">
        <x:v>À qualifier par lieu</x:v>
      </x:c>
      <x:c r="J3751" t="str">
        <x:v>https://github.com/darknigthmare/deadwall-last-enclosure/blob/1b3b9c5ba232734b1bda3453b4e20a0481bcdd74/codex-3000/addendum-1.58/PROGRAMMES_C.json</x:v>
      </x:c>
      <x:c r="K3751" t="str">
        <x:v>Source min 38,40 m ; max 38,40 m ; modèle 38 × 40 m ; niveaux 0. Détails dans catalogue-existant.json.</x:v>
      </x:c>
    </x:row>
    <x:row r="3752">
      <x:c r="A3752" t="str">
        <x:v>DW-3747</x:v>
      </x:c>
      <x:c r="B3752" t="str">
        <x:v>DW-3747</x:v>
      </x:c>
      <x:c r="C3752" t="str">
        <x:v>Parent indépendant 1.58</x:v>
      </x:c>
      <x:c r="D3752" t="str">
        <x:v>Alimentation et restauration</x:v>
      </x:c>
      <x:c r="E3752" t="str">
        <x:v>Atelier d'herbes culinaires conditionnées</x:v>
      </x:c>
      <x:c r="F3752" t="n">
        <x:v>9</x:v>
      </x:c>
      <x:c r="G3752" t="n">
        <x:v>8</x:v>
      </x:c>
      <x:c r="H3752" t="n">
        <x:v>8</x:v>
      </x:c>
      <x:c r="I3752" t="str">
        <x:v>À qualifier par lieu</x:v>
      </x:c>
      <x:c r="J3752" t="str">
        <x:v>https://github.com/darknigthmare/deadwall-last-enclosure/blob/1b3b9c5ba232734b1bda3453b4e20a0481bcdd74/codex-3000/addendum-1.58/PROGRAMMES_C.json</x:v>
      </x:c>
      <x:c r="K3752" t="str">
        <x:v>Source min 43,40 m ; max 43,40 m ; modèle 43 × 40 m ; niveaux 0. Détails dans catalogue-existant.json.</x:v>
      </x:c>
    </x:row>
    <x:row r="3753">
      <x:c r="A3753" t="str">
        <x:v>DW-3748</x:v>
      </x:c>
      <x:c r="B3753" t="str">
        <x:v>DW-3748</x:v>
      </x:c>
      <x:c r="C3753" t="str">
        <x:v>Parent indépendant 1.58</x:v>
      </x:c>
      <x:c r="D3753" t="str">
        <x:v>Alimentation et restauration</x:v>
      </x:c>
      <x:c r="E3753" t="str">
        <x:v>Maison de mélanges d'épices</x:v>
      </x:c>
      <x:c r="F3753" t="n">
        <x:v>9</x:v>
      </x:c>
      <x:c r="G3753" t="n">
        <x:v>8</x:v>
      </x:c>
      <x:c r="H3753" t="n">
        <x:v>8</x:v>
      </x:c>
      <x:c r="I3753" t="str">
        <x:v>À qualifier par lieu</x:v>
      </x:c>
      <x:c r="J3753" t="str">
        <x:v>https://github.com/darknigthmare/deadwall-last-enclosure/blob/1b3b9c5ba232734b1bda3453b4e20a0481bcdd74/codex-3000/addendum-1.58/PROGRAMMES_C.json</x:v>
      </x:c>
      <x:c r="K3753" t="str">
        <x:v>Source min 48,34 m ; max 48,34 m ; modèle 48 × 34 m ; niveaux 0, 1. Détails dans catalogue-existant.json.</x:v>
      </x:c>
    </x:row>
    <x:row r="3754">
      <x:c r="A3754" t="str">
        <x:v>DW-3749</x:v>
      </x:c>
      <x:c r="B3754" t="str">
        <x:v>DW-3749</x:v>
      </x:c>
      <x:c r="C3754" t="str">
        <x:v>Parent indépendant 1.58</x:v>
      </x:c>
      <x:c r="D3754" t="str">
        <x:v>Alimentation et restauration</x:v>
      </x:c>
      <x:c r="E3754" t="str">
        <x:v>Atelier de rations de marche compressées</x:v>
      </x:c>
      <x:c r="F3754" t="n">
        <x:v>9</x:v>
      </x:c>
      <x:c r="G3754" t="n">
        <x:v>8</x:v>
      </x:c>
      <x:c r="H3754" t="n">
        <x:v>8</x:v>
      </x:c>
      <x:c r="I3754" t="str">
        <x:v>À qualifier par lieu</x:v>
      </x:c>
      <x:c r="J3754" t="str">
        <x:v>https://github.com/darknigthmare/deadwall-last-enclosure/blob/1b3b9c5ba232734b1bda3453b4e20a0481bcdd74/codex-3000/addendum-1.58/PROGRAMMES_C.json</x:v>
      </x:c>
      <x:c r="K3754" t="str">
        <x:v>Source min 53,40 m ; max 53,40 m ; modèle 53 × 40 m ; niveaux 0. Détails dans catalogue-existant.json.</x:v>
      </x:c>
    </x:row>
    <x:row r="3755">
      <x:c r="A3755" t="str">
        <x:v>DW-3750</x:v>
      </x:c>
      <x:c r="B3755" t="str">
        <x:v>DW-3750</x:v>
      </x:c>
      <x:c r="C3755" t="str">
        <x:v>Parent indépendant 1.58</x:v>
      </x:c>
      <x:c r="D3755" t="str">
        <x:v>Alimentation et restauration</x:v>
      </x:c>
      <x:c r="E3755" t="str">
        <x:v>Bâtiment de contrôle des conserves de secours</x:v>
      </x:c>
      <x:c r="F3755" t="n">
        <x:v>9</x:v>
      </x:c>
      <x:c r="G3755" t="n">
        <x:v>8</x:v>
      </x:c>
      <x:c r="H3755" t="n">
        <x:v>8</x:v>
      </x:c>
      <x:c r="I3755" t="str">
        <x:v>À qualifier par lieu</x:v>
      </x:c>
      <x:c r="J3755" t="str">
        <x:v>https://github.com/darknigthmare/deadwall-last-enclosure/blob/1b3b9c5ba232734b1bda3453b4e20a0481bcdd74/codex-3000/addendum-1.58/PROGRAMMES_C.json</x:v>
      </x:c>
      <x:c r="K3755" t="str">
        <x:v>Source min 58,40 m ; max 58,40 m ; modèle 58 × 40 m ; niveaux 0. Détails dans catalogue-existant.json.</x:v>
      </x:c>
    </x:row>
    <x:row r="3756">
      <x:c r="A3756" t="str">
        <x:v>DW-3751</x:v>
      </x:c>
      <x:c r="B3756" t="str">
        <x:v>DW-3751</x:v>
      </x:c>
      <x:c r="C3756" t="str">
        <x:v>Parent indépendant 1.58</x:v>
      </x:c>
      <x:c r="D3756" t="str">
        <x:v>Entrepôts et réserves</x:v>
      </x:c>
      <x:c r="E3756" t="str">
        <x:v>Maison des caisses réemployables</x:v>
      </x:c>
      <x:c r="F3756" t="n">
        <x:v>9</x:v>
      </x:c>
      <x:c r="G3756" t="n">
        <x:v>8</x:v>
      </x:c>
      <x:c r="H3756" t="n">
        <x:v>8</x:v>
      </x:c>
      <x:c r="I3756" t="str">
        <x:v>À qualifier par lieu</x:v>
      </x:c>
      <x:c r="J3756" t="str">
        <x:v>https://github.com/darknigthmare/deadwall-last-enclosure/blob/1b3b9c5ba232734b1bda3453b4e20a0481bcdd74/codex-3000/addendum-1.58/PROGRAMMES_D.json</x:v>
      </x:c>
      <x:c r="K3756" t="str">
        <x:v>Source min 46,42 m ; max 46,42 m ; modèle 46 × 42 m ; niveaux 0. Détails dans catalogue-existant.json.</x:v>
      </x:c>
    </x:row>
    <x:row r="3757">
      <x:c r="A3757" t="str">
        <x:v>DW-3752</x:v>
      </x:c>
      <x:c r="B3757" t="str">
        <x:v>DW-3752</x:v>
      </x:c>
      <x:c r="C3757" t="str">
        <x:v>Parent indépendant 1.58</x:v>
      </x:c>
      <x:c r="D3757" t="str">
        <x:v>Entrepôts et réserves</x:v>
      </x:c>
      <x:c r="E3757" t="str">
        <x:v>Centre des palettes réparables</x:v>
      </x:c>
      <x:c r="F3757" t="n">
        <x:v>9</x:v>
      </x:c>
      <x:c r="G3757" t="n">
        <x:v>8</x:v>
      </x:c>
      <x:c r="H3757" t="n">
        <x:v>8</x:v>
      </x:c>
      <x:c r="I3757" t="str">
        <x:v>À qualifier par lieu</x:v>
      </x:c>
      <x:c r="J3757" t="str">
        <x:v>https://github.com/darknigthmare/deadwall-last-enclosure/blob/1b3b9c5ba232734b1bda3453b4e20a0481bcdd74/codex-3000/addendum-1.58/PROGRAMMES_D.json</x:v>
      </x:c>
      <x:c r="K3757" t="str">
        <x:v>Source min 50,46 m ; max 50,46 m ; modèle 50 × 46 m ; niveaux 0. Détails dans catalogue-existant.json.</x:v>
      </x:c>
    </x:row>
    <x:row r="3758">
      <x:c r="A3758" t="str">
        <x:v>DW-3753</x:v>
      </x:c>
      <x:c r="B3758" t="str">
        <x:v>DW-3753</x:v>
      </x:c>
      <x:c r="C3758" t="str">
        <x:v>Parent indépendant 1.58</x:v>
      </x:c>
      <x:c r="D3758" t="str">
        <x:v>Entrepôts et réserves</x:v>
      </x:c>
      <x:c r="E3758" t="str">
        <x:v>Halle des bacs navettes</x:v>
      </x:c>
      <x:c r="F3758" t="n">
        <x:v>9</x:v>
      </x:c>
      <x:c r="G3758" t="n">
        <x:v>8</x:v>
      </x:c>
      <x:c r="H3758" t="n">
        <x:v>8</x:v>
      </x:c>
      <x:c r="I3758" t="str">
        <x:v>À qualifier par lieu</x:v>
      </x:c>
      <x:c r="J3758" t="str">
        <x:v>https://github.com/darknigthmare/deadwall-last-enclosure/blob/1b3b9c5ba232734b1bda3453b4e20a0481bcdd74/codex-3000/addendum-1.58/PROGRAMMES_D.json</x:v>
      </x:c>
      <x:c r="K3758" t="str">
        <x:v>Source min 54,50 m ; max 54,50 m ; modèle 54 × 50 m ; niveaux 0. Détails dans catalogue-existant.json.</x:v>
      </x:c>
    </x:row>
    <x:row r="3759">
      <x:c r="A3759" t="str">
        <x:v>DW-3754</x:v>
      </x:c>
      <x:c r="B3759" t="str">
        <x:v>DW-3754</x:v>
      </x:c>
      <x:c r="C3759" t="str">
        <x:v>Parent indépendant 1.58</x:v>
      </x:c>
      <x:c r="D3759" t="str">
        <x:v>Entrepôts et réserves</x:v>
      </x:c>
      <x:c r="E3759" t="str">
        <x:v>Dépôt des rolls de livraison</x:v>
      </x:c>
      <x:c r="F3759" t="n">
        <x:v>9</x:v>
      </x:c>
      <x:c r="G3759" t="n">
        <x:v>8</x:v>
      </x:c>
      <x:c r="H3759" t="n">
        <x:v>8</x:v>
      </x:c>
      <x:c r="I3759" t="str">
        <x:v>À qualifier par lieu</x:v>
      </x:c>
      <x:c r="J3759" t="str">
        <x:v>https://github.com/darknigthmare/deadwall-last-enclosure/blob/1b3b9c5ba232734b1bda3453b4e20a0481bcdd74/codex-3000/addendum-1.58/PROGRAMMES_D.json</x:v>
      </x:c>
      <x:c r="K3759" t="str">
        <x:v>Source min 46,42 m ; max 46,42 m ; modèle 46 × 42 m ; niveaux 0. Détails dans catalogue-existant.json.</x:v>
      </x:c>
    </x:row>
    <x:row r="3760">
      <x:c r="A3760" t="str">
        <x:v>DW-3755</x:v>
      </x:c>
      <x:c r="B3760" t="str">
        <x:v>DW-3755</x:v>
      </x:c>
      <x:c r="C3760" t="str">
        <x:v>Parent indépendant 1.58</x:v>
      </x:c>
      <x:c r="D3760" t="str">
        <x:v>Entrepôts et réserves</x:v>
      </x:c>
      <x:c r="E3760" t="str">
        <x:v>Centre de calage des colis fragiles</x:v>
      </x:c>
      <x:c r="F3760" t="n">
        <x:v>9</x:v>
      </x:c>
      <x:c r="G3760" t="n">
        <x:v>8</x:v>
      </x:c>
      <x:c r="H3760" t="n">
        <x:v>8</x:v>
      </x:c>
      <x:c r="I3760" t="str">
        <x:v>À qualifier par lieu</x:v>
      </x:c>
      <x:c r="J3760" t="str">
        <x:v>https://github.com/darknigthmare/deadwall-last-enclosure/blob/1b3b9c5ba232734b1bda3453b4e20a0481bcdd74/codex-3000/addendum-1.58/PROGRAMMES_D.json</x:v>
      </x:c>
      <x:c r="K3760" t="str">
        <x:v>Source min 50,46 m ; max 50,46 m ; modèle 50 × 46 m ; niveaux 0. Détails dans catalogue-existant.json.</x:v>
      </x:c>
    </x:row>
    <x:row r="3761">
      <x:c r="A3761" t="str">
        <x:v>DW-3756</x:v>
      </x:c>
      <x:c r="B3761" t="str">
        <x:v>DW-3756</x:v>
      </x:c>
      <x:c r="C3761" t="str">
        <x:v>Parent indépendant 1.58</x:v>
      </x:c>
      <x:c r="D3761" t="str">
        <x:v>Entrepôts et réserves</x:v>
      </x:c>
      <x:c r="E3761" t="str">
        <x:v>Réserve des couvertures de déménagement</x:v>
      </x:c>
      <x:c r="F3761" t="n">
        <x:v>9</x:v>
      </x:c>
      <x:c r="G3761" t="n">
        <x:v>8</x:v>
      </x:c>
      <x:c r="H3761" t="n">
        <x:v>8</x:v>
      </x:c>
      <x:c r="I3761" t="str">
        <x:v>À qualifier par lieu</x:v>
      </x:c>
      <x:c r="J3761" t="str">
        <x:v>https://github.com/darknigthmare/deadwall-last-enclosure/blob/1b3b9c5ba232734b1bda3453b4e20a0481bcdd74/codex-3000/addendum-1.58/PROGRAMMES_D.json</x:v>
      </x:c>
      <x:c r="K3761" t="str">
        <x:v>Source min 54,50 m ; max 54,50 m ; modèle 54 × 50 m ; niveaux 0. Détails dans catalogue-existant.json.</x:v>
      </x:c>
    </x:row>
    <x:row r="3762">
      <x:c r="A3762" t="str">
        <x:v>DW-3757</x:v>
      </x:c>
      <x:c r="B3762" t="str">
        <x:v>DW-3757</x:v>
      </x:c>
      <x:c r="C3762" t="str">
        <x:v>Parent indépendant 1.58</x:v>
      </x:c>
      <x:c r="D3762" t="str">
        <x:v>Entrepôts et réserves</x:v>
      </x:c>
      <x:c r="E3762" t="str">
        <x:v>Atelier des caisses de voyage technique</x:v>
      </x:c>
      <x:c r="F3762" t="n">
        <x:v>9</x:v>
      </x:c>
      <x:c r="G3762" t="n">
        <x:v>8</x:v>
      </x:c>
      <x:c r="H3762" t="n">
        <x:v>8</x:v>
      </x:c>
      <x:c r="I3762" t="str">
        <x:v>À qualifier par lieu</x:v>
      </x:c>
      <x:c r="J3762" t="str">
        <x:v>https://github.com/darknigthmare/deadwall-last-enclosure/blob/1b3b9c5ba232734b1bda3453b4e20a0481bcdd74/codex-3000/addendum-1.58/PROGRAMMES_D.json</x:v>
      </x:c>
      <x:c r="K3762" t="str">
        <x:v>Source min 46,42 m ; max 46,42 m ; modèle 46 × 42 m ; niveaux 0. Détails dans catalogue-existant.json.</x:v>
      </x:c>
    </x:row>
    <x:row r="3763">
      <x:c r="A3763" t="str">
        <x:v>DW-3758</x:v>
      </x:c>
      <x:c r="B3763" t="str">
        <x:v>DW-3758</x:v>
      </x:c>
      <x:c r="C3763" t="str">
        <x:v>Parent indépendant 1.58</x:v>
      </x:c>
      <x:c r="D3763" t="str">
        <x:v>Entrepôts et réserves</x:v>
      </x:c>
      <x:c r="E3763" t="str">
        <x:v>Centre des archives à déplacer</x:v>
      </x:c>
      <x:c r="F3763" t="n">
        <x:v>9</x:v>
      </x:c>
      <x:c r="G3763" t="n">
        <x:v>8</x:v>
      </x:c>
      <x:c r="H3763" t="n">
        <x:v>8</x:v>
      </x:c>
      <x:c r="I3763" t="str">
        <x:v>À qualifier par lieu</x:v>
      </x:c>
      <x:c r="J3763" t="str">
        <x:v>https://github.com/darknigthmare/deadwall-last-enclosure/blob/1b3b9c5ba232734b1bda3453b4e20a0481bcdd74/codex-3000/addendum-1.58/PROGRAMMES_D.json</x:v>
      </x:c>
      <x:c r="K3763" t="str">
        <x:v>Source min 50,46 m ; max 50,46 m ; modèle 50 × 46 m ; niveaux 0. Détails dans catalogue-existant.json.</x:v>
      </x:c>
    </x:row>
    <x:row r="3764">
      <x:c r="A3764" t="str">
        <x:v>DW-3759</x:v>
      </x:c>
      <x:c r="B3764" t="str">
        <x:v>DW-3759</x:v>
      </x:c>
      <x:c r="C3764" t="str">
        <x:v>Parent indépendant 1.58</x:v>
      </x:c>
      <x:c r="D3764" t="str">
        <x:v>Entrepôts et réserves</x:v>
      </x:c>
      <x:c r="E3764" t="str">
        <x:v>Halle de préparation des œuvres en transit</x:v>
      </x:c>
      <x:c r="F3764" t="n">
        <x:v>9</x:v>
      </x:c>
      <x:c r="G3764" t="n">
        <x:v>8</x:v>
      </x:c>
      <x:c r="H3764" t="n">
        <x:v>8</x:v>
      </x:c>
      <x:c r="I3764" t="str">
        <x:v>À qualifier par lieu</x:v>
      </x:c>
      <x:c r="J3764" t="str">
        <x:v>https://github.com/darknigthmare/deadwall-last-enclosure/blob/1b3b9c5ba232734b1bda3453b4e20a0481bcdd74/codex-3000/addendum-1.58/PROGRAMMES_D.json</x:v>
      </x:c>
      <x:c r="K3764" t="str">
        <x:v>Source min 54,50 m ; max 54,50 m ; modèle 54 × 50 m ; niveaux 0. Détails dans catalogue-existant.json.</x:v>
      </x:c>
    </x:row>
    <x:row r="3765">
      <x:c r="A3765" t="str">
        <x:v>DW-3760</x:v>
      </x:c>
      <x:c r="B3765" t="str">
        <x:v>DW-3760</x:v>
      </x:c>
      <x:c r="C3765" t="str">
        <x:v>Parent indépendant 1.58</x:v>
      </x:c>
      <x:c r="D3765" t="str">
        <x:v>Entrepôts et réserves</x:v>
      </x:c>
      <x:c r="E3765" t="str">
        <x:v>Maison du regroupement des dons matériels</x:v>
      </x:c>
      <x:c r="F3765" t="n">
        <x:v>9</x:v>
      </x:c>
      <x:c r="G3765" t="n">
        <x:v>8</x:v>
      </x:c>
      <x:c r="H3765" t="n">
        <x:v>8</x:v>
      </x:c>
      <x:c r="I3765" t="str">
        <x:v>À qualifier par lieu</x:v>
      </x:c>
      <x:c r="J3765" t="str">
        <x:v>https://github.com/darknigthmare/deadwall-last-enclosure/blob/1b3b9c5ba232734b1bda3453b4e20a0481bcdd74/codex-3000/addendum-1.58/PROGRAMMES_D.json</x:v>
      </x:c>
      <x:c r="K3765" t="str">
        <x:v>Source min 46,42 m ; max 46,42 m ; modèle 46 × 42 m ; niveaux 0. Détails dans catalogue-existant.json.</x:v>
      </x:c>
    </x:row>
    <x:row r="3766">
      <x:c r="A3766" t="str">
        <x:v>DW-3761</x:v>
      </x:c>
      <x:c r="B3766" t="str">
        <x:v>DW-3761</x:v>
      </x:c>
      <x:c r="C3766" t="str">
        <x:v>Parent indépendant 1.58</x:v>
      </x:c>
      <x:c r="D3766" t="str">
        <x:v>Entrepôts et réserves</x:v>
      </x:c>
      <x:c r="E3766" t="str">
        <x:v>Centre des retours de location d'outils</x:v>
      </x:c>
      <x:c r="F3766" t="n">
        <x:v>9</x:v>
      </x:c>
      <x:c r="G3766" t="n">
        <x:v>8</x:v>
      </x:c>
      <x:c r="H3766" t="n">
        <x:v>8</x:v>
      </x:c>
      <x:c r="I3766" t="str">
        <x:v>À qualifier par lieu</x:v>
      </x:c>
      <x:c r="J3766" t="str">
        <x:v>https://github.com/darknigthmare/deadwall-last-enclosure/blob/1b3b9c5ba232734b1bda3453b4e20a0481bcdd74/codex-3000/addendum-1.58/PROGRAMMES_D.json</x:v>
      </x:c>
      <x:c r="K3766" t="str">
        <x:v>Source min 50,46 m ; max 50,46 m ; modèle 50 × 46 m ; niveaux 0. Détails dans catalogue-existant.json.</x:v>
      </x:c>
    </x:row>
    <x:row r="3767">
      <x:c r="A3767" t="str">
        <x:v>DW-3762</x:v>
      </x:c>
      <x:c r="B3767" t="str">
        <x:v>DW-3762</x:v>
      </x:c>
      <x:c r="C3767" t="str">
        <x:v>Parent indépendant 1.58</x:v>
      </x:c>
      <x:c r="D3767" t="str">
        <x:v>Entrepôts et réserves</x:v>
      </x:c>
      <x:c r="E3767" t="str">
        <x:v>Halle des emballages de grande longueur</x:v>
      </x:c>
      <x:c r="F3767" t="n">
        <x:v>9</x:v>
      </x:c>
      <x:c r="G3767" t="n">
        <x:v>8</x:v>
      </x:c>
      <x:c r="H3767" t="n">
        <x:v>8</x:v>
      </x:c>
      <x:c r="I3767" t="str">
        <x:v>À qualifier par lieu</x:v>
      </x:c>
      <x:c r="J3767" t="str">
        <x:v>https://github.com/darknigthmare/deadwall-last-enclosure/blob/1b3b9c5ba232734b1bda3453b4e20a0481bcdd74/codex-3000/addendum-1.58/PROGRAMMES_D.json</x:v>
      </x:c>
      <x:c r="K3767" t="str">
        <x:v>Source min 54,50 m ; max 54,50 m ; modèle 54 × 50 m ; niveaux 0. Détails dans catalogue-existant.json.</x:v>
      </x:c>
    </x:row>
    <x:row r="3768">
      <x:c r="A3768" t="str">
        <x:v>DW-3763</x:v>
      </x:c>
      <x:c r="B3768" t="str">
        <x:v>DW-3763</x:v>
      </x:c>
      <x:c r="C3768" t="str">
        <x:v>Parent indépendant 1.58</x:v>
      </x:c>
      <x:c r="D3768" t="str">
        <x:v>Entrepôts et réserves</x:v>
      </x:c>
      <x:c r="E3768" t="str">
        <x:v>Réserve des colis à contrôler</x:v>
      </x:c>
      <x:c r="F3768" t="n">
        <x:v>9</x:v>
      </x:c>
      <x:c r="G3768" t="n">
        <x:v>8</x:v>
      </x:c>
      <x:c r="H3768" t="n">
        <x:v>8</x:v>
      </x:c>
      <x:c r="I3768" t="str">
        <x:v>À qualifier par lieu</x:v>
      </x:c>
      <x:c r="J3768" t="str">
        <x:v>https://github.com/darknigthmare/deadwall-last-enclosure/blob/1b3b9c5ba232734b1bda3453b4e20a0481bcdd74/codex-3000/addendum-1.58/PROGRAMMES_D.json</x:v>
      </x:c>
      <x:c r="K3768" t="str">
        <x:v>Source min 46,42 m ; max 46,42 m ; modèle 46 × 42 m ; niveaux 0. Détails dans catalogue-existant.json.</x:v>
      </x:c>
    </x:row>
    <x:row r="3769">
      <x:c r="A3769" t="str">
        <x:v>DW-3764</x:v>
      </x:c>
      <x:c r="B3769" t="str">
        <x:v>DW-3764</x:v>
      </x:c>
      <x:c r="C3769" t="str">
        <x:v>Parent indépendant 1.58</x:v>
      </x:c>
      <x:c r="D3769" t="str">
        <x:v>Entrepôts et réserves</x:v>
      </x:c>
      <x:c r="E3769" t="str">
        <x:v>Maison du recyclage des mousses de calage</x:v>
      </x:c>
      <x:c r="F3769" t="n">
        <x:v>9</x:v>
      </x:c>
      <x:c r="G3769" t="n">
        <x:v>8</x:v>
      </x:c>
      <x:c r="H3769" t="n">
        <x:v>8</x:v>
      </x:c>
      <x:c r="I3769" t="str">
        <x:v>À qualifier par lieu</x:v>
      </x:c>
      <x:c r="J3769" t="str">
        <x:v>https://github.com/darknigthmare/deadwall-last-enclosure/blob/1b3b9c5ba232734b1bda3453b4e20a0481bcdd74/codex-3000/addendum-1.58/PROGRAMMES_D.json</x:v>
      </x:c>
      <x:c r="K3769" t="str">
        <x:v>Source min 50,46 m ; max 50,46 m ; modèle 50 × 46 m ; niveaux 0. Détails dans catalogue-existant.json.</x:v>
      </x:c>
    </x:row>
    <x:row r="3770">
      <x:c r="A3770" t="str">
        <x:v>DW-3765</x:v>
      </x:c>
      <x:c r="B3770" t="str">
        <x:v>DW-3765</x:v>
      </x:c>
      <x:c r="C3770" t="str">
        <x:v>Parent indépendant 1.58</x:v>
      </x:c>
      <x:c r="D3770" t="str">
        <x:v>Entrepôts et réserves</x:v>
      </x:c>
      <x:c r="E3770" t="str">
        <x:v>Halle des caissons démontables</x:v>
      </x:c>
      <x:c r="F3770" t="n">
        <x:v>9</x:v>
      </x:c>
      <x:c r="G3770" t="n">
        <x:v>8</x:v>
      </x:c>
      <x:c r="H3770" t="n">
        <x:v>8</x:v>
      </x:c>
      <x:c r="I3770" t="str">
        <x:v>À qualifier par lieu</x:v>
      </x:c>
      <x:c r="J3770" t="str">
        <x:v>https://github.com/darknigthmare/deadwall-last-enclosure/blob/1b3b9c5ba232734b1bda3453b4e20a0481bcdd74/codex-3000/addendum-1.58/PROGRAMMES_D.json</x:v>
      </x:c>
      <x:c r="K3770" t="str">
        <x:v>Source min 54,50 m ; max 54,50 m ; modèle 54 × 50 m ; niveaux 0. Détails dans catalogue-existant.json.</x:v>
      </x:c>
    </x:row>
    <x:row r="3771">
      <x:c r="A3771" t="str">
        <x:v>DW-3766</x:v>
      </x:c>
      <x:c r="B3771" t="str">
        <x:v>DW-3766</x:v>
      </x:c>
      <x:c r="C3771" t="str">
        <x:v>Parent indépendant 1.58</x:v>
      </x:c>
      <x:c r="D3771" t="str">
        <x:v>Entrepôts et réserves</x:v>
      </x:c>
      <x:c r="E3771" t="str">
        <x:v>Centre des repas en portage</x:v>
      </x:c>
      <x:c r="F3771" t="n">
        <x:v>9</x:v>
      </x:c>
      <x:c r="G3771" t="n">
        <x:v>8</x:v>
      </x:c>
      <x:c r="H3771" t="n">
        <x:v>8</x:v>
      </x:c>
      <x:c r="I3771" t="str">
        <x:v>À qualifier par lieu</x:v>
      </x:c>
      <x:c r="J3771" t="str">
        <x:v>https://github.com/darknigthmare/deadwall-last-enclosure/blob/1b3b9c5ba232734b1bda3453b4e20a0481bcdd74/codex-3000/addendum-1.58/PROGRAMMES_D.json</x:v>
      </x:c>
      <x:c r="K3771" t="str">
        <x:v>Source min 46,42 m ; max 46,42 m ; modèle 46 × 42 m ; niveaux 0. Détails dans catalogue-existant.json.</x:v>
      </x:c>
    </x:row>
    <x:row r="3772">
      <x:c r="A3772" t="str">
        <x:v>DW-3767</x:v>
      </x:c>
      <x:c r="B3772" t="str">
        <x:v>DW-3767</x:v>
      </x:c>
      <x:c r="C3772" t="str">
        <x:v>Parent indépendant 1.58</x:v>
      </x:c>
      <x:c r="D3772" t="str">
        <x:v>Entrepôts et réserves</x:v>
      </x:c>
      <x:c r="E3772" t="str">
        <x:v>Halle des produits à chaîne froide</x:v>
      </x:c>
      <x:c r="F3772" t="n">
        <x:v>9</x:v>
      </x:c>
      <x:c r="G3772" t="n">
        <x:v>8</x:v>
      </x:c>
      <x:c r="H3772" t="n">
        <x:v>8</x:v>
      </x:c>
      <x:c r="I3772" t="str">
        <x:v>À qualifier par lieu</x:v>
      </x:c>
      <x:c r="J3772" t="str">
        <x:v>https://github.com/darknigthmare/deadwall-last-enclosure/blob/1b3b9c5ba232734b1bda3453b4e20a0481bcdd74/codex-3000/addendum-1.58/PROGRAMMES_D.json</x:v>
      </x:c>
      <x:c r="K3772" t="str">
        <x:v>Source min 50,46 m ; max 50,46 m ; modèle 50 × 46 m ; niveaux 0. Détails dans catalogue-existant.json.</x:v>
      </x:c>
    </x:row>
    <x:row r="3773">
      <x:c r="A3773" t="str">
        <x:v>DW-3768</x:v>
      </x:c>
      <x:c r="B3773" t="str">
        <x:v>DW-3768</x:v>
      </x:c>
      <x:c r="C3773" t="str">
        <x:v>Parent indépendant 1.58</x:v>
      </x:c>
      <x:c r="D3773" t="str">
        <x:v>Entrepôts et réserves</x:v>
      </x:c>
      <x:c r="E3773" t="str">
        <x:v>Réserve des ingrédients allergènes</x:v>
      </x:c>
      <x:c r="F3773" t="n">
        <x:v>9</x:v>
      </x:c>
      <x:c r="G3773" t="n">
        <x:v>8</x:v>
      </x:c>
      <x:c r="H3773" t="n">
        <x:v>8</x:v>
      </x:c>
      <x:c r="I3773" t="str">
        <x:v>À qualifier par lieu</x:v>
      </x:c>
      <x:c r="J3773" t="str">
        <x:v>https://github.com/darknigthmare/deadwall-last-enclosure/blob/1b3b9c5ba232734b1bda3453b4e20a0481bcdd74/codex-3000/addendum-1.58/PROGRAMMES_D.json</x:v>
      </x:c>
      <x:c r="K3773" t="str">
        <x:v>Source min 54,50 m ; max 54,50 m ; modèle 54 × 50 m ; niveaux 0. Détails dans catalogue-existant.json.</x:v>
      </x:c>
    </x:row>
    <x:row r="3774">
      <x:c r="A3774" t="str">
        <x:v>DW-3769</x:v>
      </x:c>
      <x:c r="B3774" t="str">
        <x:v>DW-3769</x:v>
      </x:c>
      <x:c r="C3774" t="str">
        <x:v>Parent indépendant 1.58</x:v>
      </x:c>
      <x:c r="D3774" t="str">
        <x:v>Entrepôts et réserves</x:v>
      </x:c>
      <x:c r="E3774" t="str">
        <x:v>Dépôt des rations de randonnée</x:v>
      </x:c>
      <x:c r="F3774" t="n">
        <x:v>9</x:v>
      </x:c>
      <x:c r="G3774" t="n">
        <x:v>8</x:v>
      </x:c>
      <x:c r="H3774" t="n">
        <x:v>8</x:v>
      </x:c>
      <x:c r="I3774" t="str">
        <x:v>À qualifier par lieu</x:v>
      </x:c>
      <x:c r="J3774" t="str">
        <x:v>https://github.com/darknigthmare/deadwall-last-enclosure/blob/1b3b9c5ba232734b1bda3453b4e20a0481bcdd74/codex-3000/addendum-1.58/PROGRAMMES_D.json</x:v>
      </x:c>
      <x:c r="K3774" t="str">
        <x:v>Source min 46,42 m ; max 46,42 m ; modèle 46 × 42 m ; niveaux 0. Détails dans catalogue-existant.json.</x:v>
      </x:c>
    </x:row>
    <x:row r="3775">
      <x:c r="A3775" t="str">
        <x:v>DW-3770</x:v>
      </x:c>
      <x:c r="B3775" t="str">
        <x:v>DW-3770</x:v>
      </x:c>
      <x:c r="C3775" t="str">
        <x:v>Parent indépendant 1.58</x:v>
      </x:c>
      <x:c r="D3775" t="str">
        <x:v>Entrepôts et réserves</x:v>
      </x:c>
      <x:c r="E3775" t="str">
        <x:v>Centre des consommables de laboratoire</x:v>
      </x:c>
      <x:c r="F3775" t="n">
        <x:v>9</x:v>
      </x:c>
      <x:c r="G3775" t="n">
        <x:v>8</x:v>
      </x:c>
      <x:c r="H3775" t="n">
        <x:v>8</x:v>
      </x:c>
      <x:c r="I3775" t="str">
        <x:v>À qualifier par lieu</x:v>
      </x:c>
      <x:c r="J3775" t="str">
        <x:v>https://github.com/darknigthmare/deadwall-last-enclosure/blob/1b3b9c5ba232734b1bda3453b4e20a0481bcdd74/codex-3000/addendum-1.58/PROGRAMMES_D.json</x:v>
      </x:c>
      <x:c r="K3775" t="str">
        <x:v>Source min 50,46 m ; max 50,46 m ; modèle 50 × 46 m ; niveaux 0. Détails dans catalogue-existant.json.</x:v>
      </x:c>
    </x:row>
    <x:row r="3776">
      <x:c r="A3776" t="str">
        <x:v>DW-3771</x:v>
      </x:c>
      <x:c r="B3776" t="str">
        <x:v>DW-3771</x:v>
      </x:c>
      <x:c r="C3776" t="str">
        <x:v>Parent indépendant 1.58</x:v>
      </x:c>
      <x:c r="D3776" t="str">
        <x:v>Entrepôts et réserves</x:v>
      </x:c>
      <x:c r="E3776" t="str">
        <x:v>Réserve des pansements de campagne</x:v>
      </x:c>
      <x:c r="F3776" t="n">
        <x:v>9</x:v>
      </x:c>
      <x:c r="G3776" t="n">
        <x:v>8</x:v>
      </x:c>
      <x:c r="H3776" t="n">
        <x:v>8</x:v>
      </x:c>
      <x:c r="I3776" t="str">
        <x:v>À qualifier par lieu</x:v>
      </x:c>
      <x:c r="J3776" t="str">
        <x:v>https://github.com/darknigthmare/deadwall-last-enclosure/blob/1b3b9c5ba232734b1bda3453b4e20a0481bcdd74/codex-3000/addendum-1.58/PROGRAMMES_D.json</x:v>
      </x:c>
      <x:c r="K3776" t="str">
        <x:v>Source min 54,50 m ; max 54,50 m ; modèle 54 × 50 m ; niveaux 0. Détails dans catalogue-existant.json.</x:v>
      </x:c>
    </x:row>
    <x:row r="3777">
      <x:c r="A3777" t="str">
        <x:v>DW-3772</x:v>
      </x:c>
      <x:c r="B3777" t="str">
        <x:v>DW-3772</x:v>
      </x:c>
      <x:c r="C3777" t="str">
        <x:v>Parent indépendant 1.58</x:v>
      </x:c>
      <x:c r="D3777" t="str">
        <x:v>Entrepôts et réserves</x:v>
      </x:c>
      <x:c r="E3777" t="str">
        <x:v>Halle des fournitures d'évacuation</x:v>
      </x:c>
      <x:c r="F3777" t="n">
        <x:v>9</x:v>
      </x:c>
      <x:c r="G3777" t="n">
        <x:v>8</x:v>
      </x:c>
      <x:c r="H3777" t="n">
        <x:v>8</x:v>
      </x:c>
      <x:c r="I3777" t="str">
        <x:v>À qualifier par lieu</x:v>
      </x:c>
      <x:c r="J3777" t="str">
        <x:v>https://github.com/darknigthmare/deadwall-last-enclosure/blob/1b3b9c5ba232734b1bda3453b4e20a0481bcdd74/codex-3000/addendum-1.58/PROGRAMMES_D.json</x:v>
      </x:c>
      <x:c r="K3777" t="str">
        <x:v>Source min 46,42 m ; max 46,42 m ; modèle 46 × 42 m ; niveaux 0. Détails dans catalogue-existant.json.</x:v>
      </x:c>
    </x:row>
    <x:row r="3778">
      <x:c r="A3778" t="str">
        <x:v>DW-3773</x:v>
      </x:c>
      <x:c r="B3778" t="str">
        <x:v>DW-3773</x:v>
      </x:c>
      <x:c r="C3778" t="str">
        <x:v>Parent indépendant 1.58</x:v>
      </x:c>
      <x:c r="D3778" t="str">
        <x:v>Entrepôts et réserves</x:v>
      </x:c>
      <x:c r="E3778" t="str">
        <x:v>Dépôt des pièces de pompage</x:v>
      </x:c>
      <x:c r="F3778" t="n">
        <x:v>9</x:v>
      </x:c>
      <x:c r="G3778" t="n">
        <x:v>8</x:v>
      </x:c>
      <x:c r="H3778" t="n">
        <x:v>8</x:v>
      </x:c>
      <x:c r="I3778" t="str">
        <x:v>À qualifier par lieu</x:v>
      </x:c>
      <x:c r="J3778" t="str">
        <x:v>https://github.com/darknigthmare/deadwall-last-enclosure/blob/1b3b9c5ba232734b1bda3453b4e20a0481bcdd74/codex-3000/addendum-1.58/PROGRAMMES_D.json</x:v>
      </x:c>
      <x:c r="K3778" t="str">
        <x:v>Source min 50,46 m ; max 50,46 m ; modèle 50 × 46 m ; niveaux 0. Détails dans catalogue-existant.json.</x:v>
      </x:c>
    </x:row>
    <x:row r="3779">
      <x:c r="A3779" t="str">
        <x:v>DW-3774</x:v>
      </x:c>
      <x:c r="B3779" t="str">
        <x:v>DW-3774</x:v>
      </x:c>
      <x:c r="C3779" t="str">
        <x:v>Parent indépendant 1.58</x:v>
      </x:c>
      <x:c r="D3779" t="str">
        <x:v>Entrepôts et réserves</x:v>
      </x:c>
      <x:c r="E3779" t="str">
        <x:v>Réserve des filtres de ventilation</x:v>
      </x:c>
      <x:c r="F3779" t="n">
        <x:v>9</x:v>
      </x:c>
      <x:c r="G3779" t="n">
        <x:v>8</x:v>
      </x:c>
      <x:c r="H3779" t="n">
        <x:v>8</x:v>
      </x:c>
      <x:c r="I3779" t="str">
        <x:v>À qualifier par lieu</x:v>
      </x:c>
      <x:c r="J3779" t="str">
        <x:v>https://github.com/darknigthmare/deadwall-last-enclosure/blob/1b3b9c5ba232734b1bda3453b4e20a0481bcdd74/codex-3000/addendum-1.58/PROGRAMMES_D.json</x:v>
      </x:c>
      <x:c r="K3779" t="str">
        <x:v>Source min 54,50 m ; max 54,50 m ; modèle 54 × 50 m ; niveaux 0. Détails dans catalogue-existant.json.</x:v>
      </x:c>
    </x:row>
    <x:row r="3780">
      <x:c r="A3780" t="str">
        <x:v>DW-3775</x:v>
      </x:c>
      <x:c r="B3780" t="str">
        <x:v>DW-3775</x:v>
      </x:c>
      <x:c r="C3780" t="str">
        <x:v>Parent indépendant 1.58</x:v>
      </x:c>
      <x:c r="D3780" t="str">
        <x:v>Entrepôts et réserves</x:v>
      </x:c>
      <x:c r="E3780" t="str">
        <x:v>Centre des pièces de voirie</x:v>
      </x:c>
      <x:c r="F3780" t="n">
        <x:v>9</x:v>
      </x:c>
      <x:c r="G3780" t="n">
        <x:v>8</x:v>
      </x:c>
      <x:c r="H3780" t="n">
        <x:v>8</x:v>
      </x:c>
      <x:c r="I3780" t="str">
        <x:v>À qualifier par lieu</x:v>
      </x:c>
      <x:c r="J3780" t="str">
        <x:v>https://github.com/darknigthmare/deadwall-last-enclosure/blob/1b3b9c5ba232734b1bda3453b4e20a0481bcdd74/codex-3000/addendum-1.58/PROGRAMMES_D.json</x:v>
      </x:c>
      <x:c r="K3780" t="str">
        <x:v>Source min 46,42 m ; max 46,42 m ; modèle 46 × 42 m ; niveaux 0. Détails dans catalogue-existant.json.</x:v>
      </x:c>
    </x:row>
    <x:row r="3781">
      <x:c r="A3781" t="str">
        <x:v>DW-3776</x:v>
      </x:c>
      <x:c r="B3781" t="str">
        <x:v>DW-3776</x:v>
      </x:c>
      <x:c r="C3781" t="str">
        <x:v>Parent indépendant 1.58</x:v>
      </x:c>
      <x:c r="D3781" t="str">
        <x:v>Entrepôts et réserves</x:v>
      </x:c>
      <x:c r="E3781" t="str">
        <x:v>Halle des fournitures de signalisation</x:v>
      </x:c>
      <x:c r="F3781" t="n">
        <x:v>9</x:v>
      </x:c>
      <x:c r="G3781" t="n">
        <x:v>8</x:v>
      </x:c>
      <x:c r="H3781" t="n">
        <x:v>8</x:v>
      </x:c>
      <x:c r="I3781" t="str">
        <x:v>À qualifier par lieu</x:v>
      </x:c>
      <x:c r="J3781" t="str">
        <x:v>https://github.com/darknigthmare/deadwall-last-enclosure/blob/1b3b9c5ba232734b1bda3453b4e20a0481bcdd74/codex-3000/addendum-1.58/PROGRAMMES_D.json</x:v>
      </x:c>
      <x:c r="K3781" t="str">
        <x:v>Source min 50,46 m ; max 50,46 m ; modèle 50 × 46 m ; niveaux 0. Détails dans catalogue-existant.json.</x:v>
      </x:c>
    </x:row>
    <x:row r="3782">
      <x:c r="A3782" t="str">
        <x:v>DW-3777</x:v>
      </x:c>
      <x:c r="B3782" t="str">
        <x:v>DW-3777</x:v>
      </x:c>
      <x:c r="C3782" t="str">
        <x:v>Parent indépendant 1.58</x:v>
      </x:c>
      <x:c r="D3782" t="str">
        <x:v>Entrepôts et réserves</x:v>
      </x:c>
      <x:c r="E3782" t="str">
        <x:v>Réserve des câbles de remplacement</x:v>
      </x:c>
      <x:c r="F3782" t="n">
        <x:v>9</x:v>
      </x:c>
      <x:c r="G3782" t="n">
        <x:v>8</x:v>
      </x:c>
      <x:c r="H3782" t="n">
        <x:v>8</x:v>
      </x:c>
      <x:c r="I3782" t="str">
        <x:v>À qualifier par lieu</x:v>
      </x:c>
      <x:c r="J3782" t="str">
        <x:v>https://github.com/darknigthmare/deadwall-last-enclosure/blob/1b3b9c5ba232734b1bda3453b4e20a0481bcdd74/codex-3000/addendum-1.58/PROGRAMMES_D.json</x:v>
      </x:c>
      <x:c r="K3782" t="str">
        <x:v>Source min 54,50 m ; max 54,50 m ; modèle 54 × 50 m ; niveaux 0. Détails dans catalogue-existant.json.</x:v>
      </x:c>
    </x:row>
    <x:row r="3783">
      <x:c r="A3783" t="str">
        <x:v>DW-3778</x:v>
      </x:c>
      <x:c r="B3783" t="str">
        <x:v>DW-3778</x:v>
      </x:c>
      <x:c r="C3783" t="str">
        <x:v>Parent indépendant 1.58</x:v>
      </x:c>
      <x:c r="D3783" t="str">
        <x:v>Entrepôts et réserves</x:v>
      </x:c>
      <x:c r="E3783" t="str">
        <x:v>Dépôt des pièces d'irrigation</x:v>
      </x:c>
      <x:c r="F3783" t="n">
        <x:v>9</x:v>
      </x:c>
      <x:c r="G3783" t="n">
        <x:v>8</x:v>
      </x:c>
      <x:c r="H3783" t="n">
        <x:v>8</x:v>
      </x:c>
      <x:c r="I3783" t="str">
        <x:v>À qualifier par lieu</x:v>
      </x:c>
      <x:c r="J3783" t="str">
        <x:v>https://github.com/darknigthmare/deadwall-last-enclosure/blob/1b3b9c5ba232734b1bda3453b4e20a0481bcdd74/codex-3000/addendum-1.58/PROGRAMMES_D.json</x:v>
      </x:c>
      <x:c r="K3783" t="str">
        <x:v>Source min 46,42 m ; max 46,42 m ; modèle 46 × 42 m ; niveaux 0. Détails dans catalogue-existant.json.</x:v>
      </x:c>
    </x:row>
    <x:row r="3784">
      <x:c r="A3784" t="str">
        <x:v>DW-3779</x:v>
      </x:c>
      <x:c r="B3784" t="str">
        <x:v>DW-3779</x:v>
      </x:c>
      <x:c r="C3784" t="str">
        <x:v>Parent indépendant 1.58</x:v>
      </x:c>
      <x:c r="D3784" t="str">
        <x:v>Entrepôts et réserves</x:v>
      </x:c>
      <x:c r="E3784" t="str">
        <x:v>Halle des équipements de balisage</x:v>
      </x:c>
      <x:c r="F3784" t="n">
        <x:v>9</x:v>
      </x:c>
      <x:c r="G3784" t="n">
        <x:v>8</x:v>
      </x:c>
      <x:c r="H3784" t="n">
        <x:v>8</x:v>
      </x:c>
      <x:c r="I3784" t="str">
        <x:v>À qualifier par lieu</x:v>
      </x:c>
      <x:c r="J3784" t="str">
        <x:v>https://github.com/darknigthmare/deadwall-last-enclosure/blob/1b3b9c5ba232734b1bda3453b4e20a0481bcdd74/codex-3000/addendum-1.58/PROGRAMMES_D.json</x:v>
      </x:c>
      <x:c r="K3784" t="str">
        <x:v>Source min 50,46 m ; max 50,46 m ; modèle 50 × 46 m ; niveaux 0. Détails dans catalogue-existant.json.</x:v>
      </x:c>
    </x:row>
    <x:row r="3785">
      <x:c r="A3785" t="str">
        <x:v>DW-3780</x:v>
      </x:c>
      <x:c r="B3785" t="str">
        <x:v>DW-3780</x:v>
      </x:c>
      <x:c r="C3785" t="str">
        <x:v>Parent indépendant 1.58</x:v>
      </x:c>
      <x:c r="D3785" t="str">
        <x:v>Entrepôts et réserves</x:v>
      </x:c>
      <x:c r="E3785" t="str">
        <x:v>Réserve des fournitures de relogement</x:v>
      </x:c>
      <x:c r="F3785" t="n">
        <x:v>9</x:v>
      </x:c>
      <x:c r="G3785" t="n">
        <x:v>8</x:v>
      </x:c>
      <x:c r="H3785" t="n">
        <x:v>8</x:v>
      </x:c>
      <x:c r="I3785" t="str">
        <x:v>À qualifier par lieu</x:v>
      </x:c>
      <x:c r="J3785" t="str">
        <x:v>https://github.com/darknigthmare/deadwall-last-enclosure/blob/1b3b9c5ba232734b1bda3453b4e20a0481bcdd74/codex-3000/addendum-1.58/PROGRAMMES_D.json</x:v>
      </x:c>
      <x:c r="K3785" t="str">
        <x:v>Source min 54,50 m ; max 54,50 m ; modèle 54 × 50 m ; niveaux 0. Détails dans catalogue-existant.json.</x:v>
      </x:c>
    </x:row>
    <x:row r="3786">
      <x:c r="A3786" t="str">
        <x:v>DW-3781</x:v>
      </x:c>
      <x:c r="B3786" t="str">
        <x:v>DW-3781</x:v>
      </x:c>
      <x:c r="C3786" t="str">
        <x:v>Parent indépendant 1.58</x:v>
      </x:c>
      <x:c r="D3786" t="str">
        <x:v>Entrepôts et réserves</x:v>
      </x:c>
      <x:c r="E3786" t="str">
        <x:v>Maison des scellés de fret</x:v>
      </x:c>
      <x:c r="F3786" t="n">
        <x:v>9</x:v>
      </x:c>
      <x:c r="G3786" t="n">
        <x:v>8</x:v>
      </x:c>
      <x:c r="H3786" t="n">
        <x:v>8</x:v>
      </x:c>
      <x:c r="I3786" t="str">
        <x:v>À qualifier par lieu</x:v>
      </x:c>
      <x:c r="J3786" t="str">
        <x:v>https://github.com/darknigthmare/deadwall-last-enclosure/blob/1b3b9c5ba232734b1bda3453b4e20a0481bcdd74/codex-3000/addendum-1.58/PROGRAMMES_D.json</x:v>
      </x:c>
      <x:c r="K3786" t="str">
        <x:v>Source min 46,42 m ; max 46,42 m ; modèle 46 × 42 m ; niveaux 0, 1. Détails dans catalogue-existant.json.</x:v>
      </x:c>
    </x:row>
    <x:row r="3787">
      <x:c r="A3787" t="str">
        <x:v>DW-3782</x:v>
      </x:c>
      <x:c r="B3787" t="str">
        <x:v>DW-3782</x:v>
      </x:c>
      <x:c r="C3787" t="str">
        <x:v>Parent indépendant 1.58</x:v>
      </x:c>
      <x:c r="D3787" t="str">
        <x:v>Entrepôts et réserves</x:v>
      </x:c>
      <x:c r="E3787" t="str">
        <x:v>Centre de mesure des colis</x:v>
      </x:c>
      <x:c r="F3787" t="n">
        <x:v>9</x:v>
      </x:c>
      <x:c r="G3787" t="n">
        <x:v>8</x:v>
      </x:c>
      <x:c r="H3787" t="n">
        <x:v>8</x:v>
      </x:c>
      <x:c r="I3787" t="str">
        <x:v>À qualifier par lieu</x:v>
      </x:c>
      <x:c r="J3787" t="str">
        <x:v>https://github.com/darknigthmare/deadwall-last-enclosure/blob/1b3b9c5ba232734b1bda3453b4e20a0481bcdd74/codex-3000/addendum-1.58/PROGRAMMES_D.json</x:v>
      </x:c>
      <x:c r="K3787" t="str">
        <x:v>Source min 50,46 m ; max 50,46 m ; modèle 50 × 46 m ; niveaux 0, 1. Détails dans catalogue-existant.json.</x:v>
      </x:c>
    </x:row>
    <x:row r="3788">
      <x:c r="A3788" t="str">
        <x:v>DW-3783</x:v>
      </x:c>
      <x:c r="B3788" t="str">
        <x:v>DW-3783</x:v>
      </x:c>
      <x:c r="C3788" t="str">
        <x:v>Parent indépendant 1.58</x:v>
      </x:c>
      <x:c r="D3788" t="str">
        <x:v>Entrepôts et réserves</x:v>
      </x:c>
      <x:c r="E3788" t="str">
        <x:v>Bureau de groupage des tournées</x:v>
      </x:c>
      <x:c r="F3788" t="n">
        <x:v>9</x:v>
      </x:c>
      <x:c r="G3788" t="n">
        <x:v>8</x:v>
      </x:c>
      <x:c r="H3788" t="n">
        <x:v>8</x:v>
      </x:c>
      <x:c r="I3788" t="str">
        <x:v>À qualifier par lieu</x:v>
      </x:c>
      <x:c r="J3788" t="str">
        <x:v>https://github.com/darknigthmare/deadwall-last-enclosure/blob/1b3b9c5ba232734b1bda3453b4e20a0481bcdd74/codex-3000/addendum-1.58/PROGRAMMES_D.json</x:v>
      </x:c>
      <x:c r="K3788" t="str">
        <x:v>Source min 54,50 m ; max 54,50 m ; modèle 54 × 50 m ; niveaux 0, 1. Détails dans catalogue-existant.json.</x:v>
      </x:c>
    </x:row>
    <x:row r="3789">
      <x:c r="A3789" t="str">
        <x:v>DW-3784</x:v>
      </x:c>
      <x:c r="B3789" t="str">
        <x:v>DW-3784</x:v>
      </x:c>
      <x:c r="C3789" t="str">
        <x:v>Parent indépendant 1.58</x:v>
      </x:c>
      <x:c r="D3789" t="str">
        <x:v>Entrepôts et réserves</x:v>
      </x:c>
      <x:c r="E3789" t="str">
        <x:v>Maison de contrôle des marchandises confiées</x:v>
      </x:c>
      <x:c r="F3789" t="n">
        <x:v>9</x:v>
      </x:c>
      <x:c r="G3789" t="n">
        <x:v>8</x:v>
      </x:c>
      <x:c r="H3789" t="n">
        <x:v>8</x:v>
      </x:c>
      <x:c r="I3789" t="str">
        <x:v>À qualifier par lieu</x:v>
      </x:c>
      <x:c r="J3789" t="str">
        <x:v>https://github.com/darknigthmare/deadwall-last-enclosure/blob/1b3b9c5ba232734b1bda3453b4e20a0481bcdd74/codex-3000/addendum-1.58/PROGRAMMES_D.json</x:v>
      </x:c>
      <x:c r="K3789" t="str">
        <x:v>Source min 46,42 m ; max 46,42 m ; modèle 46 × 42 m ; niveaux 0, 1. Détails dans catalogue-existant.json.</x:v>
      </x:c>
    </x:row>
    <x:row r="3790">
      <x:c r="A3790" t="str">
        <x:v>DW-3785</x:v>
      </x:c>
      <x:c r="B3790" t="str">
        <x:v>DW-3785</x:v>
      </x:c>
      <x:c r="C3790" t="str">
        <x:v>Parent indépendant 1.58</x:v>
      </x:c>
      <x:c r="D3790" t="str">
        <x:v>Entrepôts et réserves</x:v>
      </x:c>
      <x:c r="E3790" t="str">
        <x:v>Centre de réception des achats collectifs</x:v>
      </x:c>
      <x:c r="F3790" t="n">
        <x:v>9</x:v>
      </x:c>
      <x:c r="G3790" t="n">
        <x:v>8</x:v>
      </x:c>
      <x:c r="H3790" t="n">
        <x:v>8</x:v>
      </x:c>
      <x:c r="I3790" t="str">
        <x:v>À qualifier par lieu</x:v>
      </x:c>
      <x:c r="J3790" t="str">
        <x:v>https://github.com/darknigthmare/deadwall-last-enclosure/blob/1b3b9c5ba232734b1bda3453b4e20a0481bcdd74/codex-3000/addendum-1.58/PROGRAMMES_D.json</x:v>
      </x:c>
      <x:c r="K3790" t="str">
        <x:v>Source min 50,46 m ; max 50,46 m ; modèle 50 × 46 m ; niveaux 0, 1. Détails dans catalogue-existant.json.</x:v>
      </x:c>
    </x:row>
    <x:row r="3791">
      <x:c r="A3791" t="str">
        <x:v>DW-3786</x:v>
      </x:c>
      <x:c r="B3791" t="str">
        <x:v>DW-3786</x:v>
      </x:c>
      <x:c r="C3791" t="str">
        <x:v>Parent indépendant 1.58</x:v>
      </x:c>
      <x:c r="D3791" t="str">
        <x:v>Entrepôts et réserves</x:v>
      </x:c>
      <x:c r="E3791" t="str">
        <x:v>Halle de contrôle des expéditions humanitaires</x:v>
      </x:c>
      <x:c r="F3791" t="n">
        <x:v>9</x:v>
      </x:c>
      <x:c r="G3791" t="n">
        <x:v>8</x:v>
      </x:c>
      <x:c r="H3791" t="n">
        <x:v>8</x:v>
      </x:c>
      <x:c r="I3791" t="str">
        <x:v>À qualifier par lieu</x:v>
      </x:c>
      <x:c r="J3791" t="str">
        <x:v>https://github.com/darknigthmare/deadwall-last-enclosure/blob/1b3b9c5ba232734b1bda3453b4e20a0481bcdd74/codex-3000/addendum-1.58/PROGRAMMES_D.json</x:v>
      </x:c>
      <x:c r="K3791" t="str">
        <x:v>Source min 54,50 m ; max 54,50 m ; modèle 54 × 50 m ; niveaux 0, 1. Détails dans catalogue-existant.json.</x:v>
      </x:c>
    </x:row>
    <x:row r="3792">
      <x:c r="A3792" t="str">
        <x:v>DW-3787</x:v>
      </x:c>
      <x:c r="B3792" t="str">
        <x:v>DW-3787</x:v>
      </x:c>
      <x:c r="C3792" t="str">
        <x:v>Parent indépendant 1.58</x:v>
      </x:c>
      <x:c r="D3792" t="str">
        <x:v>Entrepôts et réserves</x:v>
      </x:c>
      <x:c r="E3792" t="str">
        <x:v>Maison des plannings de quai</x:v>
      </x:c>
      <x:c r="F3792" t="n">
        <x:v>9</x:v>
      </x:c>
      <x:c r="G3792" t="n">
        <x:v>8</x:v>
      </x:c>
      <x:c r="H3792" t="n">
        <x:v>8</x:v>
      </x:c>
      <x:c r="I3792" t="str">
        <x:v>À qualifier par lieu</x:v>
      </x:c>
      <x:c r="J3792" t="str">
        <x:v>https://github.com/darknigthmare/deadwall-last-enclosure/blob/1b3b9c5ba232734b1bda3453b4e20a0481bcdd74/codex-3000/addendum-1.58/PROGRAMMES_D.json</x:v>
      </x:c>
      <x:c r="K3792" t="str">
        <x:v>Source min 46,42 m ; max 46,42 m ; modèle 46 × 42 m ; niveaux 0, 1. Détails dans catalogue-existant.json.</x:v>
      </x:c>
    </x:row>
    <x:row r="3793">
      <x:c r="A3793" t="str">
        <x:v>DW-3788</x:v>
      </x:c>
      <x:c r="B3793" t="str">
        <x:v>DW-3788</x:v>
      </x:c>
      <x:c r="C3793" t="str">
        <x:v>Parent indépendant 1.58</x:v>
      </x:c>
      <x:c r="D3793" t="str">
        <x:v>Entrepôts et réserves</x:v>
      </x:c>
      <x:c r="E3793" t="str">
        <x:v>Centre de conservation des pièces de douane</x:v>
      </x:c>
      <x:c r="F3793" t="n">
        <x:v>9</x:v>
      </x:c>
      <x:c r="G3793" t="n">
        <x:v>8</x:v>
      </x:c>
      <x:c r="H3793" t="n">
        <x:v>8</x:v>
      </x:c>
      <x:c r="I3793" t="str">
        <x:v>À qualifier par lieu</x:v>
      </x:c>
      <x:c r="J3793" t="str">
        <x:v>https://github.com/darknigthmare/deadwall-last-enclosure/blob/1b3b9c5ba232734b1bda3453b4e20a0481bcdd74/codex-3000/addendum-1.58/PROGRAMMES_D.json</x:v>
      </x:c>
      <x:c r="K3793" t="str">
        <x:v>Source min 50,46 m ; max 50,46 m ; modèle 50 × 46 m ; niveaux 0, 1. Détails dans catalogue-existant.json.</x:v>
      </x:c>
    </x:row>
    <x:row r="3794">
      <x:c r="A3794" t="str">
        <x:v>DW-3789</x:v>
      </x:c>
      <x:c r="B3794" t="str">
        <x:v>DW-3789</x:v>
      </x:c>
      <x:c r="C3794" t="str">
        <x:v>Parent indépendant 1.58</x:v>
      </x:c>
      <x:c r="D3794" t="str">
        <x:v>Entrepôts et réserves</x:v>
      </x:c>
      <x:c r="E3794" t="str">
        <x:v>Maison du suivi des contenants consignés</x:v>
      </x:c>
      <x:c r="F3794" t="n">
        <x:v>9</x:v>
      </x:c>
      <x:c r="G3794" t="n">
        <x:v>8</x:v>
      </x:c>
      <x:c r="H3794" t="n">
        <x:v>8</x:v>
      </x:c>
      <x:c r="I3794" t="str">
        <x:v>À qualifier par lieu</x:v>
      </x:c>
      <x:c r="J3794" t="str">
        <x:v>https://github.com/darknigthmare/deadwall-last-enclosure/blob/1b3b9c5ba232734b1bda3453b4e20a0481bcdd74/codex-3000/addendum-1.58/PROGRAMMES_D.json</x:v>
      </x:c>
      <x:c r="K3794" t="str">
        <x:v>Source min 54,50 m ; max 54,50 m ; modèle 54 × 50 m ; niveaux 0, 1. Détails dans catalogue-existant.json.</x:v>
      </x:c>
    </x:row>
    <x:row r="3795">
      <x:c r="A3795" t="str">
        <x:v>DW-3790</x:v>
      </x:c>
      <x:c r="B3795" t="str">
        <x:v>DW-3790</x:v>
      </x:c>
      <x:c r="C3795" t="str">
        <x:v>Parent indépendant 1.58</x:v>
      </x:c>
      <x:c r="D3795" t="str">
        <x:v>Entrepôts et réserves</x:v>
      </x:c>
      <x:c r="E3795" t="str">
        <x:v>Centre de préparation des inventaires</x:v>
      </x:c>
      <x:c r="F3795" t="n">
        <x:v>9</x:v>
      </x:c>
      <x:c r="G3795" t="n">
        <x:v>8</x:v>
      </x:c>
      <x:c r="H3795" t="n">
        <x:v>8</x:v>
      </x:c>
      <x:c r="I3795" t="str">
        <x:v>À qualifier par lieu</x:v>
      </x:c>
      <x:c r="J3795" t="str">
        <x:v>https://github.com/darknigthmare/deadwall-last-enclosure/blob/1b3b9c5ba232734b1bda3453b4e20a0481bcdd74/codex-3000/addendum-1.58/PROGRAMMES_D.json</x:v>
      </x:c>
      <x:c r="K3795" t="str">
        <x:v>Source min 46,42 m ; max 46,42 m ; modèle 46 × 42 m ; niveaux 0, 1. Détails dans catalogue-existant.json.</x:v>
      </x:c>
    </x:row>
    <x:row r="3796">
      <x:c r="A3796" t="str">
        <x:v>DW-3791</x:v>
      </x:c>
      <x:c r="B3796" t="str">
        <x:v>DW-3791</x:v>
      </x:c>
      <x:c r="C3796" t="str">
        <x:v>Parent indépendant 1.58</x:v>
      </x:c>
      <x:c r="D3796" t="str">
        <x:v>Entrepôts et réserves</x:v>
      </x:c>
      <x:c r="E3796" t="str">
        <x:v>Maison des réservations de manutention</x:v>
      </x:c>
      <x:c r="F3796" t="n">
        <x:v>9</x:v>
      </x:c>
      <x:c r="G3796" t="n">
        <x:v>8</x:v>
      </x:c>
      <x:c r="H3796" t="n">
        <x:v>8</x:v>
      </x:c>
      <x:c r="I3796" t="str">
        <x:v>À qualifier par lieu</x:v>
      </x:c>
      <x:c r="J3796" t="str">
        <x:v>https://github.com/darknigthmare/deadwall-last-enclosure/blob/1b3b9c5ba232734b1bda3453b4e20a0481bcdd74/codex-3000/addendum-1.58/PROGRAMMES_D.json</x:v>
      </x:c>
      <x:c r="K3796" t="str">
        <x:v>Source min 50,46 m ; max 50,46 m ; modèle 50 × 46 m ; niveaux 0, 1. Détails dans catalogue-existant.json.</x:v>
      </x:c>
    </x:row>
    <x:row r="3797">
      <x:c r="A3797" t="str">
        <x:v>DW-3792</x:v>
      </x:c>
      <x:c r="B3797" t="str">
        <x:v>DW-3792</x:v>
      </x:c>
      <x:c r="C3797" t="str">
        <x:v>Parent indépendant 1.58</x:v>
      </x:c>
      <x:c r="D3797" t="str">
        <x:v>Entrepôts et réserves</x:v>
      </x:c>
      <x:c r="E3797" t="str">
        <x:v>Centre du suivi des colis perdus</x:v>
      </x:c>
      <x:c r="F3797" t="n">
        <x:v>9</x:v>
      </x:c>
      <x:c r="G3797" t="n">
        <x:v>8</x:v>
      </x:c>
      <x:c r="H3797" t="n">
        <x:v>8</x:v>
      </x:c>
      <x:c r="I3797" t="str">
        <x:v>À qualifier par lieu</x:v>
      </x:c>
      <x:c r="J3797" t="str">
        <x:v>https://github.com/darknigthmare/deadwall-last-enclosure/blob/1b3b9c5ba232734b1bda3453b4e20a0481bcdd74/codex-3000/addendum-1.58/PROGRAMMES_D.json</x:v>
      </x:c>
      <x:c r="K3797" t="str">
        <x:v>Source min 54,50 m ; max 54,50 m ; modèle 54 × 50 m ; niveaux 0, 1. Détails dans catalogue-existant.json.</x:v>
      </x:c>
    </x:row>
    <x:row r="3798">
      <x:c r="A3798" t="str">
        <x:v>DW-3793</x:v>
      </x:c>
      <x:c r="B3798" t="str">
        <x:v>DW-3793</x:v>
      </x:c>
      <x:c r="C3798" t="str">
        <x:v>Parent indépendant 1.58</x:v>
      </x:c>
      <x:c r="D3798" t="str">
        <x:v>Entrepôts et réserves</x:v>
      </x:c>
      <x:c r="E3798" t="str">
        <x:v>Maison des retours de matériel prêté</x:v>
      </x:c>
      <x:c r="F3798" t="n">
        <x:v>9</x:v>
      </x:c>
      <x:c r="G3798" t="n">
        <x:v>8</x:v>
      </x:c>
      <x:c r="H3798" t="n">
        <x:v>8</x:v>
      </x:c>
      <x:c r="I3798" t="str">
        <x:v>À qualifier par lieu</x:v>
      </x:c>
      <x:c r="J3798" t="str">
        <x:v>https://github.com/darknigthmare/deadwall-last-enclosure/blob/1b3b9c5ba232734b1bda3453b4e20a0481bcdd74/codex-3000/addendum-1.58/PROGRAMMES_D.json</x:v>
      </x:c>
      <x:c r="K3798" t="str">
        <x:v>Source min 46,42 m ; max 46,42 m ; modèle 46 × 42 m ; niveaux 0, 1. Détails dans catalogue-existant.json.</x:v>
      </x:c>
    </x:row>
    <x:row r="3799">
      <x:c r="A3799" t="str">
        <x:v>DW-3794</x:v>
      </x:c>
      <x:c r="B3799" t="str">
        <x:v>DW-3794</x:v>
      </x:c>
      <x:c r="C3799" t="str">
        <x:v>Parent indépendant 1.58</x:v>
      </x:c>
      <x:c r="D3799" t="str">
        <x:v>Entrepôts et réserves</x:v>
      </x:c>
      <x:c r="E3799" t="str">
        <x:v>Centre de préparation des convoiements</x:v>
      </x:c>
      <x:c r="F3799" t="n">
        <x:v>9</x:v>
      </x:c>
      <x:c r="G3799" t="n">
        <x:v>8</x:v>
      </x:c>
      <x:c r="H3799" t="n">
        <x:v>8</x:v>
      </x:c>
      <x:c r="I3799" t="str">
        <x:v>À qualifier par lieu</x:v>
      </x:c>
      <x:c r="J3799" t="str">
        <x:v>https://github.com/darknigthmare/deadwall-last-enclosure/blob/1b3b9c5ba232734b1bda3453b4e20a0481bcdd74/codex-3000/addendum-1.58/PROGRAMMES_D.json</x:v>
      </x:c>
      <x:c r="K3799" t="str">
        <x:v>Source min 50,46 m ; max 50,46 m ; modèle 50 × 46 m ; niveaux 0, 1. Détails dans catalogue-existant.json.</x:v>
      </x:c>
    </x:row>
    <x:row r="3800">
      <x:c r="A3800" t="str">
        <x:v>DW-3795</x:v>
      </x:c>
      <x:c r="B3800" t="str">
        <x:v>DW-3795</x:v>
      </x:c>
      <x:c r="C3800" t="str">
        <x:v>Parent indépendant 1.58</x:v>
      </x:c>
      <x:c r="D3800" t="str">
        <x:v>Entrepôts et réserves</x:v>
      </x:c>
      <x:c r="E3800" t="str">
        <x:v>Maison de contrôle des stocks de secours</x:v>
      </x:c>
      <x:c r="F3800" t="n">
        <x:v>9</x:v>
      </x:c>
      <x:c r="G3800" t="n">
        <x:v>8</x:v>
      </x:c>
      <x:c r="H3800" t="n">
        <x:v>8</x:v>
      </x:c>
      <x:c r="I3800" t="str">
        <x:v>À qualifier par lieu</x:v>
      </x:c>
      <x:c r="J3800" t="str">
        <x:v>https://github.com/darknigthmare/deadwall-last-enclosure/blob/1b3b9c5ba232734b1bda3453b4e20a0481bcdd74/codex-3000/addendum-1.58/PROGRAMMES_D.json</x:v>
      </x:c>
      <x:c r="K3800" t="str">
        <x:v>Source min 54,50 m ; max 54,50 m ; modèle 54 × 50 m ; niveaux 0, 1. Détails dans catalogue-existant.json.</x:v>
      </x:c>
    </x:row>
    <x:row r="3801">
      <x:c r="A3801" t="str">
        <x:v>DW-3796</x:v>
      </x:c>
      <x:c r="B3801" t="str">
        <x:v>DW-3796</x:v>
      </x:c>
      <x:c r="C3801" t="str">
        <x:v>Parent indépendant 1.58</x:v>
      </x:c>
      <x:c r="D3801" t="str">
        <x:v>Services et petits ateliers</x:v>
      </x:c>
      <x:c r="E3801" t="str">
        <x:v>Atelier des transpalettes manuels</x:v>
      </x:c>
      <x:c r="F3801" t="n">
        <x:v>9</x:v>
      </x:c>
      <x:c r="G3801" t="n">
        <x:v>8</x:v>
      </x:c>
      <x:c r="H3801" t="n">
        <x:v>8</x:v>
      </x:c>
      <x:c r="I3801" t="str">
        <x:v>À qualifier par lieu</x:v>
      </x:c>
      <x:c r="J3801" t="str">
        <x:v>https://github.com/darknigthmare/deadwall-last-enclosure/blob/1b3b9c5ba232734b1bda3453b4e20a0481bcdd74/codex-3000/addendum-1.58/PROGRAMMES_D.json</x:v>
      </x:c>
      <x:c r="K3801" t="str">
        <x:v>Source min 46,42 m ; max 46,42 m ; modèle 46 × 42 m ; niveaux 0. Détails dans catalogue-existant.json.</x:v>
      </x:c>
    </x:row>
    <x:row r="3802">
      <x:c r="A3802" t="str">
        <x:v>DW-3797</x:v>
      </x:c>
      <x:c r="B3802" t="str">
        <x:v>DW-3797</x:v>
      </x:c>
      <x:c r="C3802" t="str">
        <x:v>Parent indépendant 1.58</x:v>
      </x:c>
      <x:c r="D3802" t="str">
        <x:v>Services et petits ateliers</x:v>
      </x:c>
      <x:c r="E3802" t="str">
        <x:v>Centre des chariots de magasin</x:v>
      </x:c>
      <x:c r="F3802" t="n">
        <x:v>9</x:v>
      </x:c>
      <x:c r="G3802" t="n">
        <x:v>8</x:v>
      </x:c>
      <x:c r="H3802" t="n">
        <x:v>8</x:v>
      </x:c>
      <x:c r="I3802" t="str">
        <x:v>À qualifier par lieu</x:v>
      </x:c>
      <x:c r="J3802" t="str">
        <x:v>https://github.com/darknigthmare/deadwall-last-enclosure/blob/1b3b9c5ba232734b1bda3453b4e20a0481bcdd74/codex-3000/addendum-1.58/PROGRAMMES_D.json</x:v>
      </x:c>
      <x:c r="K3802" t="str">
        <x:v>Source min 50,46 m ; max 50,46 m ; modèle 50 × 46 m ; niveaux 0. Détails dans catalogue-existant.json.</x:v>
      </x:c>
    </x:row>
    <x:row r="3803">
      <x:c r="A3803" t="str">
        <x:v>DW-3798</x:v>
      </x:c>
      <x:c r="B3803" t="str">
        <x:v>DW-3798</x:v>
      </x:c>
      <x:c r="C3803" t="str">
        <x:v>Parent indépendant 1.58</x:v>
      </x:c>
      <x:c r="D3803" t="str">
        <x:v>Services et petits ateliers</x:v>
      </x:c>
      <x:c r="E3803" t="str">
        <x:v>Atelier des tables élévatrices</x:v>
      </x:c>
      <x:c r="F3803" t="n">
        <x:v>9</x:v>
      </x:c>
      <x:c r="G3803" t="n">
        <x:v>8</x:v>
      </x:c>
      <x:c r="H3803" t="n">
        <x:v>8</x:v>
      </x:c>
      <x:c r="I3803" t="str">
        <x:v>À qualifier par lieu</x:v>
      </x:c>
      <x:c r="J3803" t="str">
        <x:v>https://github.com/darknigthmare/deadwall-last-enclosure/blob/1b3b9c5ba232734b1bda3453b4e20a0481bcdd74/codex-3000/addendum-1.58/PROGRAMMES_D.json</x:v>
      </x:c>
      <x:c r="K3803" t="str">
        <x:v>Source min 54,50 m ; max 54,50 m ; modèle 54 × 50 m ; niveaux 0. Détails dans catalogue-existant.json.</x:v>
      </x:c>
    </x:row>
    <x:row r="3804">
      <x:c r="A3804" t="str">
        <x:v>DW-3799</x:v>
      </x:c>
      <x:c r="B3804" t="str">
        <x:v>DW-3799</x:v>
      </x:c>
      <x:c r="C3804" t="str">
        <x:v>Parent indépendant 1.58</x:v>
      </x:c>
      <x:c r="D3804" t="str">
        <x:v>Services et petits ateliers</x:v>
      </x:c>
      <x:c r="E3804" t="str">
        <x:v>Maison des sangles de charge</x:v>
      </x:c>
      <x:c r="F3804" t="n">
        <x:v>9</x:v>
      </x:c>
      <x:c r="G3804" t="n">
        <x:v>8</x:v>
      </x:c>
      <x:c r="H3804" t="n">
        <x:v>8</x:v>
      </x:c>
      <x:c r="I3804" t="str">
        <x:v>À qualifier par lieu</x:v>
      </x:c>
      <x:c r="J3804" t="str">
        <x:v>https://github.com/darknigthmare/deadwall-last-enclosure/blob/1b3b9c5ba232734b1bda3453b4e20a0481bcdd74/codex-3000/addendum-1.58/PROGRAMMES_D.json</x:v>
      </x:c>
      <x:c r="K3804" t="str">
        <x:v>Source min 46,42 m ; max 46,42 m ; modèle 46 × 42 m ; niveaux 0. Détails dans catalogue-existant.json.</x:v>
      </x:c>
    </x:row>
    <x:row r="3805">
      <x:c r="A3805" t="str">
        <x:v>DW-3800</x:v>
      </x:c>
      <x:c r="B3805" t="str">
        <x:v>DW-3800</x:v>
      </x:c>
      <x:c r="C3805" t="str">
        <x:v>Parent indépendant 1.58</x:v>
      </x:c>
      <x:c r="D3805" t="str">
        <x:v>Services et petits ateliers</x:v>
      </x:c>
      <x:c r="E3805" t="str">
        <x:v>Atelier des chaînes de levage</x:v>
      </x:c>
      <x:c r="F3805" t="n">
        <x:v>9</x:v>
      </x:c>
      <x:c r="G3805" t="n">
        <x:v>8</x:v>
      </x:c>
      <x:c r="H3805" t="n">
        <x:v>8</x:v>
      </x:c>
      <x:c r="I3805" t="str">
        <x:v>À qualifier par lieu</x:v>
      </x:c>
      <x:c r="J3805" t="str">
        <x:v>https://github.com/darknigthmare/deadwall-last-enclosure/blob/1b3b9c5ba232734b1bda3453b4e20a0481bcdd74/codex-3000/addendum-1.58/PROGRAMMES_D.json</x:v>
      </x:c>
      <x:c r="K3805" t="str">
        <x:v>Source min 50,46 m ; max 50,46 m ; modèle 50 × 46 m ; niveaux 0. Détails dans catalogue-existant.json.</x:v>
      </x:c>
    </x:row>
    <x:row r="3806">
      <x:c r="A3806" t="str">
        <x:v>DW-3801</x:v>
      </x:c>
      <x:c r="B3806" t="str">
        <x:v>DW-3801</x:v>
      </x:c>
      <x:c r="C3806" t="str">
        <x:v>Parent indépendant 1.58</x:v>
      </x:c>
      <x:c r="D3806" t="str">
        <x:v>Services et petits ateliers</x:v>
      </x:c>
      <x:c r="E3806" t="str">
        <x:v>Centre des ventouses de manutention</x:v>
      </x:c>
      <x:c r="F3806" t="n">
        <x:v>9</x:v>
      </x:c>
      <x:c r="G3806" t="n">
        <x:v>8</x:v>
      </x:c>
      <x:c r="H3806" t="n">
        <x:v>8</x:v>
      </x:c>
      <x:c r="I3806" t="str">
        <x:v>À qualifier par lieu</x:v>
      </x:c>
      <x:c r="J3806" t="str">
        <x:v>https://github.com/darknigthmare/deadwall-last-enclosure/blob/1b3b9c5ba232734b1bda3453b4e20a0481bcdd74/codex-3000/addendum-1.58/PROGRAMMES_D.json</x:v>
      </x:c>
      <x:c r="K3806" t="str">
        <x:v>Source min 54,50 m ; max 54,50 m ; modèle 54 × 50 m ; niveaux 0. Détails dans catalogue-existant.json.</x:v>
      </x:c>
    </x:row>
    <x:row r="3807">
      <x:c r="A3807" t="str">
        <x:v>DW-3802</x:v>
      </x:c>
      <x:c r="B3807" t="str">
        <x:v>DW-3802</x:v>
      </x:c>
      <x:c r="C3807" t="str">
        <x:v>Parent indépendant 1.58</x:v>
      </x:c>
      <x:c r="D3807" t="str">
        <x:v>Services et petits ateliers</x:v>
      </x:c>
      <x:c r="E3807" t="str">
        <x:v>Atelier des rouleaux de convoyage</x:v>
      </x:c>
      <x:c r="F3807" t="n">
        <x:v>9</x:v>
      </x:c>
      <x:c r="G3807" t="n">
        <x:v>8</x:v>
      </x:c>
      <x:c r="H3807" t="n">
        <x:v>8</x:v>
      </x:c>
      <x:c r="I3807" t="str">
        <x:v>À qualifier par lieu</x:v>
      </x:c>
      <x:c r="J3807" t="str">
        <x:v>https://github.com/darknigthmare/deadwall-last-enclosure/blob/1b3b9c5ba232734b1bda3453b4e20a0481bcdd74/codex-3000/addendum-1.58/PROGRAMMES_D.json</x:v>
      </x:c>
      <x:c r="K3807" t="str">
        <x:v>Source min 46,42 m ; max 46,42 m ; modèle 46 × 42 m ; niveaux 0. Détails dans catalogue-existant.json.</x:v>
      </x:c>
    </x:row>
    <x:row r="3808">
      <x:c r="A3808" t="str">
        <x:v>DW-3803</x:v>
      </x:c>
      <x:c r="B3808" t="str">
        <x:v>DW-3803</x:v>
      </x:c>
      <x:c r="C3808" t="str">
        <x:v>Parent indépendant 1.58</x:v>
      </x:c>
      <x:c r="D3808" t="str">
        <x:v>Services et petits ateliers</x:v>
      </x:c>
      <x:c r="E3808" t="str">
        <x:v>Centre des rampes de chargement portables</x:v>
      </x:c>
      <x:c r="F3808" t="n">
        <x:v>9</x:v>
      </x:c>
      <x:c r="G3808" t="n">
        <x:v>8</x:v>
      </x:c>
      <x:c r="H3808" t="n">
        <x:v>8</x:v>
      </x:c>
      <x:c r="I3808" t="str">
        <x:v>À qualifier par lieu</x:v>
      </x:c>
      <x:c r="J3808" t="str">
        <x:v>https://github.com/darknigthmare/deadwall-last-enclosure/blob/1b3b9c5ba232734b1bda3453b4e20a0481bcdd74/codex-3000/addendum-1.58/PROGRAMMES_D.json</x:v>
      </x:c>
      <x:c r="K3808" t="str">
        <x:v>Source min 50,46 m ; max 50,46 m ; modèle 50 × 46 m ; niveaux 0. Détails dans catalogue-existant.json.</x:v>
      </x:c>
    </x:row>
    <x:row r="3809">
      <x:c r="A3809" t="str">
        <x:v>DW-3804</x:v>
      </x:c>
      <x:c r="B3809" t="str">
        <x:v>DW-3804</x:v>
      </x:c>
      <x:c r="C3809" t="str">
        <x:v>Parent indépendant 1.58</x:v>
      </x:c>
      <x:c r="D3809" t="str">
        <x:v>Services et petits ateliers</x:v>
      </x:c>
      <x:c r="E3809" t="str">
        <x:v>Atelier des balances de plateforme</x:v>
      </x:c>
      <x:c r="F3809" t="n">
        <x:v>9</x:v>
      </x:c>
      <x:c r="G3809" t="n">
        <x:v>8</x:v>
      </x:c>
      <x:c r="H3809" t="n">
        <x:v>8</x:v>
      </x:c>
      <x:c r="I3809" t="str">
        <x:v>À qualifier par lieu</x:v>
      </x:c>
      <x:c r="J3809" t="str">
        <x:v>https://github.com/darknigthmare/deadwall-last-enclosure/blob/1b3b9c5ba232734b1bda3453b4e20a0481bcdd74/codex-3000/addendum-1.58/PROGRAMMES_D.json</x:v>
      </x:c>
      <x:c r="K3809" t="str">
        <x:v>Source min 54,50 m ; max 54,50 m ; modèle 54 × 50 m ; niveaux 0. Détails dans catalogue-existant.json.</x:v>
      </x:c>
    </x:row>
    <x:row r="3810">
      <x:c r="A3810" t="str">
        <x:v>DW-3805</x:v>
      </x:c>
      <x:c r="B3810" t="str">
        <x:v>DW-3805</x:v>
      </x:c>
      <x:c r="C3810" t="str">
        <x:v>Parent indépendant 1.58</x:v>
      </x:c>
      <x:c r="D3810" t="str">
        <x:v>Services et petits ateliers</x:v>
      </x:c>
      <x:c r="E3810" t="str">
        <x:v>Maison des protections d'angle de fret</x:v>
      </x:c>
      <x:c r="F3810" t="n">
        <x:v>9</x:v>
      </x:c>
      <x:c r="G3810" t="n">
        <x:v>8</x:v>
      </x:c>
      <x:c r="H3810" t="n">
        <x:v>8</x:v>
      </x:c>
      <x:c r="I3810" t="str">
        <x:v>À qualifier par lieu</x:v>
      </x:c>
      <x:c r="J3810" t="str">
        <x:v>https://github.com/darknigthmare/deadwall-last-enclosure/blob/1b3b9c5ba232734b1bda3453b4e20a0481bcdd74/codex-3000/addendum-1.58/PROGRAMMES_D.json</x:v>
      </x:c>
      <x:c r="K3810" t="str">
        <x:v>Source min 46,42 m ; max 46,42 m ; modèle 46 × 42 m ; niveaux 0. Détails dans catalogue-existant.json.</x:v>
      </x:c>
    </x:row>
    <x:row r="3811">
      <x:c r="A3811" t="str">
        <x:v>DW-3806</x:v>
      </x:c>
      <x:c r="B3811" t="str">
        <x:v>DW-3806</x:v>
      </x:c>
      <x:c r="C3811" t="str">
        <x:v>Parent indépendant 1.58</x:v>
      </x:c>
      <x:c r="D3811" t="str">
        <x:v>Services et petits ateliers</x:v>
      </x:c>
      <x:c r="E3811" t="str">
        <x:v>Atelier des diables de portage</x:v>
      </x:c>
      <x:c r="F3811" t="n">
        <x:v>9</x:v>
      </x:c>
      <x:c r="G3811" t="n">
        <x:v>8</x:v>
      </x:c>
      <x:c r="H3811" t="n">
        <x:v>8</x:v>
      </x:c>
      <x:c r="I3811" t="str">
        <x:v>À qualifier par lieu</x:v>
      </x:c>
      <x:c r="J3811" t="str">
        <x:v>https://github.com/darknigthmare/deadwall-last-enclosure/blob/1b3b9c5ba232734b1bda3453b4e20a0481bcdd74/codex-3000/addendum-1.58/PROGRAMMES_D.json</x:v>
      </x:c>
      <x:c r="K3811" t="str">
        <x:v>Source min 50,46 m ; max 50,46 m ; modèle 50 × 46 m ; niveaux 0. Détails dans catalogue-existant.json.</x:v>
      </x:c>
    </x:row>
    <x:row r="3812">
      <x:c r="A3812" t="str">
        <x:v>DW-3807</x:v>
      </x:c>
      <x:c r="B3812" t="str">
        <x:v>DW-3807</x:v>
      </x:c>
      <x:c r="C3812" t="str">
        <x:v>Parent indépendant 1.58</x:v>
      </x:c>
      <x:c r="D3812" t="str">
        <x:v>Services et petits ateliers</x:v>
      </x:c>
      <x:c r="E3812" t="str">
        <x:v>Centre des supports de bobine</x:v>
      </x:c>
      <x:c r="F3812" t="n">
        <x:v>9</x:v>
      </x:c>
      <x:c r="G3812" t="n">
        <x:v>8</x:v>
      </x:c>
      <x:c r="H3812" t="n">
        <x:v>8</x:v>
      </x:c>
      <x:c r="I3812" t="str">
        <x:v>À qualifier par lieu</x:v>
      </x:c>
      <x:c r="J3812" t="str">
        <x:v>https://github.com/darknigthmare/deadwall-last-enclosure/blob/1b3b9c5ba232734b1bda3453b4e20a0481bcdd74/codex-3000/addendum-1.58/PROGRAMMES_D.json</x:v>
      </x:c>
      <x:c r="K3812" t="str">
        <x:v>Source min 54,50 m ; max 54,50 m ; modèle 54 × 50 m ; niveaux 0. Détails dans catalogue-existant.json.</x:v>
      </x:c>
    </x:row>
    <x:row r="3813">
      <x:c r="A3813" t="str">
        <x:v>DW-3808</x:v>
      </x:c>
      <x:c r="B3813" t="str">
        <x:v>DW-3808</x:v>
      </x:c>
      <x:c r="C3813" t="str">
        <x:v>Parent indépendant 1.58</x:v>
      </x:c>
      <x:c r="D3813" t="str">
        <x:v>Services et petits ateliers</x:v>
      </x:c>
      <x:c r="E3813" t="str">
        <x:v>Atelier des verrous de caisse mobile</x:v>
      </x:c>
      <x:c r="F3813" t="n">
        <x:v>9</x:v>
      </x:c>
      <x:c r="G3813" t="n">
        <x:v>8</x:v>
      </x:c>
      <x:c r="H3813" t="n">
        <x:v>8</x:v>
      </x:c>
      <x:c r="I3813" t="str">
        <x:v>À qualifier par lieu</x:v>
      </x:c>
      <x:c r="J3813" t="str">
        <x:v>https://github.com/darknigthmare/deadwall-last-enclosure/blob/1b3b9c5ba232734b1bda3453b4e20a0481bcdd74/codex-3000/addendum-1.58/PROGRAMMES_D.json</x:v>
      </x:c>
      <x:c r="K3813" t="str">
        <x:v>Source min 46,42 m ; max 46,42 m ; modèle 46 × 42 m ; niveaux 0. Détails dans catalogue-existant.json.</x:v>
      </x:c>
    </x:row>
    <x:row r="3814">
      <x:c r="A3814" t="str">
        <x:v>DW-3809</x:v>
      </x:c>
      <x:c r="B3814" t="str">
        <x:v>DW-3809</x:v>
      </x:c>
      <x:c r="C3814" t="str">
        <x:v>Parent indépendant 1.58</x:v>
      </x:c>
      <x:c r="D3814" t="str">
        <x:v>Services et petits ateliers</x:v>
      </x:c>
      <x:c r="E3814" t="str">
        <x:v>Maison des filets de maintien de charge</x:v>
      </x:c>
      <x:c r="F3814" t="n">
        <x:v>9</x:v>
      </x:c>
      <x:c r="G3814" t="n">
        <x:v>8</x:v>
      </x:c>
      <x:c r="H3814" t="n">
        <x:v>8</x:v>
      </x:c>
      <x:c r="I3814" t="str">
        <x:v>À qualifier par lieu</x:v>
      </x:c>
      <x:c r="J3814" t="str">
        <x:v>https://github.com/darknigthmare/deadwall-last-enclosure/blob/1b3b9c5ba232734b1bda3453b4e20a0481bcdd74/codex-3000/addendum-1.58/PROGRAMMES_D.json</x:v>
      </x:c>
      <x:c r="K3814" t="str">
        <x:v>Source min 50,46 m ; max 50,46 m ; modèle 50 × 46 m ; niveaux 0. Détails dans catalogue-existant.json.</x:v>
      </x:c>
    </x:row>
    <x:row r="3815">
      <x:c r="A3815" t="str">
        <x:v>DW-3810</x:v>
      </x:c>
      <x:c r="B3815" t="str">
        <x:v>DW-3810</x:v>
      </x:c>
      <x:c r="C3815" t="str">
        <x:v>Parent indépendant 1.58</x:v>
      </x:c>
      <x:c r="D3815" t="str">
        <x:v>Services et petits ateliers</x:v>
      </x:c>
      <x:c r="E3815" t="str">
        <x:v>Centre des barres de blocage de fret</x:v>
      </x:c>
      <x:c r="F3815" t="n">
        <x:v>9</x:v>
      </x:c>
      <x:c r="G3815" t="n">
        <x:v>8</x:v>
      </x:c>
      <x:c r="H3815" t="n">
        <x:v>8</x:v>
      </x:c>
      <x:c r="I3815" t="str">
        <x:v>À qualifier par lieu</x:v>
      </x:c>
      <x:c r="J3815" t="str">
        <x:v>https://github.com/darknigthmare/deadwall-last-enclosure/blob/1b3b9c5ba232734b1bda3453b4e20a0481bcdd74/codex-3000/addendum-1.58/PROGRAMMES_D.json</x:v>
      </x:c>
      <x:c r="K3815" t="str">
        <x:v>Source min 54,50 m ; max 54,50 m ; modèle 54 × 50 m ; niveaux 0. Détails dans catalogue-existant.json.</x:v>
      </x:c>
    </x:row>
    <x:row r="3816">
      <x:c r="A3816" t="str">
        <x:v>DW-3811</x:v>
      </x:c>
      <x:c r="B3816" t="str">
        <x:v>DW-3811</x:v>
      </x:c>
      <x:c r="C3816" t="str">
        <x:v>Parent indépendant 1.58</x:v>
      </x:c>
      <x:c r="D3816" t="str">
        <x:v>Entrepôts et réserves</x:v>
      </x:c>
      <x:c r="E3816" t="str">
        <x:v>Halle des chapiteaux démontés</x:v>
      </x:c>
      <x:c r="F3816" t="n">
        <x:v>9</x:v>
      </x:c>
      <x:c r="G3816" t="n">
        <x:v>8</x:v>
      </x:c>
      <x:c r="H3816" t="n">
        <x:v>8</x:v>
      </x:c>
      <x:c r="I3816" t="str">
        <x:v>À qualifier par lieu</x:v>
      </x:c>
      <x:c r="J3816" t="str">
        <x:v>https://github.com/darknigthmare/deadwall-last-enclosure/blob/1b3b9c5ba232734b1bda3453b4e20a0481bcdd74/codex-3000/addendum-1.58/PROGRAMMES_D.json</x:v>
      </x:c>
      <x:c r="K3816" t="str">
        <x:v>Source min 46,42 m ; max 46,42 m ; modèle 46 × 42 m ; niveaux 0. Détails dans catalogue-existant.json.</x:v>
      </x:c>
    </x:row>
    <x:row r="3817">
      <x:c r="A3817" t="str">
        <x:v>DW-3812</x:v>
      </x:c>
      <x:c r="B3817" t="str">
        <x:v>DW-3812</x:v>
      </x:c>
      <x:c r="C3817" t="str">
        <x:v>Parent indépendant 1.58</x:v>
      </x:c>
      <x:c r="D3817" t="str">
        <x:v>Entrepôts et réserves</x:v>
      </x:c>
      <x:c r="E3817" t="str">
        <x:v>Réserve des barrières de foule</x:v>
      </x:c>
      <x:c r="F3817" t="n">
        <x:v>9</x:v>
      </x:c>
      <x:c r="G3817" t="n">
        <x:v>8</x:v>
      </x:c>
      <x:c r="H3817" t="n">
        <x:v>8</x:v>
      </x:c>
      <x:c r="I3817" t="str">
        <x:v>À qualifier par lieu</x:v>
      </x:c>
      <x:c r="J3817" t="str">
        <x:v>https://github.com/darknigthmare/deadwall-last-enclosure/blob/1b3b9c5ba232734b1bda3453b4e20a0481bcdd74/codex-3000/addendum-1.58/PROGRAMMES_D.json</x:v>
      </x:c>
      <x:c r="K3817" t="str">
        <x:v>Source min 50,46 m ; max 50,46 m ; modèle 50 × 46 m ; niveaux 0. Détails dans catalogue-existant.json.</x:v>
      </x:c>
    </x:row>
    <x:row r="3818">
      <x:c r="A3818" t="str">
        <x:v>DW-3813</x:v>
      </x:c>
      <x:c r="B3818" t="str">
        <x:v>DW-3813</x:v>
      </x:c>
      <x:c r="C3818" t="str">
        <x:v>Parent indépendant 1.58</x:v>
      </x:c>
      <x:c r="D3818" t="str">
        <x:v>Entrepôts et réserves</x:v>
      </x:c>
      <x:c r="E3818" t="str">
        <x:v>Dépôt des gradins démontables</x:v>
      </x:c>
      <x:c r="F3818" t="n">
        <x:v>9</x:v>
      </x:c>
      <x:c r="G3818" t="n">
        <x:v>8</x:v>
      </x:c>
      <x:c r="H3818" t="n">
        <x:v>8</x:v>
      </x:c>
      <x:c r="I3818" t="str">
        <x:v>À qualifier par lieu</x:v>
      </x:c>
      <x:c r="J3818" t="str">
        <x:v>https://github.com/darknigthmare/deadwall-last-enclosure/blob/1b3b9c5ba232734b1bda3453b4e20a0481bcdd74/codex-3000/addendum-1.58/PROGRAMMES_D.json</x:v>
      </x:c>
      <x:c r="K3818" t="str">
        <x:v>Source min 54,50 m ; max 54,50 m ; modèle 54 × 50 m ; niveaux 0. Détails dans catalogue-existant.json.</x:v>
      </x:c>
    </x:row>
    <x:row r="3819">
      <x:c r="A3819" t="str">
        <x:v>DW-3814</x:v>
      </x:c>
      <x:c r="B3819" t="str">
        <x:v>DW-3814</x:v>
      </x:c>
      <x:c r="C3819" t="str">
        <x:v>Parent indépendant 1.58</x:v>
      </x:c>
      <x:c r="D3819" t="str">
        <x:v>Entrepôts et réserves</x:v>
      </x:c>
      <x:c r="E3819" t="str">
        <x:v>Halle des échafaudages roulants</x:v>
      </x:c>
      <x:c r="F3819" t="n">
        <x:v>9</x:v>
      </x:c>
      <x:c r="G3819" t="n">
        <x:v>8</x:v>
      </x:c>
      <x:c r="H3819" t="n">
        <x:v>8</x:v>
      </x:c>
      <x:c r="I3819" t="str">
        <x:v>À qualifier par lieu</x:v>
      </x:c>
      <x:c r="J3819" t="str">
        <x:v>https://github.com/darknigthmare/deadwall-last-enclosure/blob/1b3b9c5ba232734b1bda3453b4e20a0481bcdd74/codex-3000/addendum-1.58/PROGRAMMES_D.json</x:v>
      </x:c>
      <x:c r="K3819" t="str">
        <x:v>Source min 46,42 m ; max 46,42 m ; modèle 46 × 42 m ; niveaux 0. Détails dans catalogue-existant.json.</x:v>
      </x:c>
    </x:row>
    <x:row r="3820">
      <x:c r="A3820" t="str">
        <x:v>DW-3815</x:v>
      </x:c>
      <x:c r="B3820" t="str">
        <x:v>DW-3815</x:v>
      </x:c>
      <x:c r="C3820" t="str">
        <x:v>Parent indépendant 1.58</x:v>
      </x:c>
      <x:c r="D3820" t="str">
        <x:v>Entrepôts et réserves</x:v>
      </x:c>
      <x:c r="E3820" t="str">
        <x:v>Réserve des cloisons de chantier</x:v>
      </x:c>
      <x:c r="F3820" t="n">
        <x:v>9</x:v>
      </x:c>
      <x:c r="G3820" t="n">
        <x:v>8</x:v>
      </x:c>
      <x:c r="H3820" t="n">
        <x:v>8</x:v>
      </x:c>
      <x:c r="I3820" t="str">
        <x:v>À qualifier par lieu</x:v>
      </x:c>
      <x:c r="J3820" t="str">
        <x:v>https://github.com/darknigthmare/deadwall-last-enclosure/blob/1b3b9c5ba232734b1bda3453b4e20a0481bcdd74/codex-3000/addendum-1.58/PROGRAMMES_D.json</x:v>
      </x:c>
      <x:c r="K3820" t="str">
        <x:v>Source min 50,46 m ; max 50,46 m ; modèle 50 × 46 m ; niveaux 0. Détails dans catalogue-existant.json.</x:v>
      </x:c>
    </x:row>
    <x:row r="3821">
      <x:c r="A3821" t="str">
        <x:v>DW-3816</x:v>
      </x:c>
      <x:c r="B3821" t="str">
        <x:v>DW-3816</x:v>
      </x:c>
      <x:c r="C3821" t="str">
        <x:v>Parent indépendant 1.58</x:v>
      </x:c>
      <x:c r="D3821" t="str">
        <x:v>Entrepôts et réserves</x:v>
      </x:c>
      <x:c r="E3821" t="str">
        <x:v>Dépôt des protections de sol d'événement</x:v>
      </x:c>
      <x:c r="F3821" t="n">
        <x:v>9</x:v>
      </x:c>
      <x:c r="G3821" t="n">
        <x:v>8</x:v>
      </x:c>
      <x:c r="H3821" t="n">
        <x:v>8</x:v>
      </x:c>
      <x:c r="I3821" t="str">
        <x:v>À qualifier par lieu</x:v>
      </x:c>
      <x:c r="J3821" t="str">
        <x:v>https://github.com/darknigthmare/deadwall-last-enclosure/blob/1b3b9c5ba232734b1bda3453b4e20a0481bcdd74/codex-3000/addendum-1.58/PROGRAMMES_D.json</x:v>
      </x:c>
      <x:c r="K3821" t="str">
        <x:v>Source min 54,50 m ; max 54,50 m ; modèle 54 × 50 m ; niveaux 0. Détails dans catalogue-existant.json.</x:v>
      </x:c>
    </x:row>
    <x:row r="3822">
      <x:c r="A3822" t="str">
        <x:v>DW-3817</x:v>
      </x:c>
      <x:c r="B3822" t="str">
        <x:v>DW-3817</x:v>
      </x:c>
      <x:c r="C3822" t="str">
        <x:v>Parent indépendant 1.58</x:v>
      </x:c>
      <x:c r="D3822" t="str">
        <x:v>Entrepôts et réserves</x:v>
      </x:c>
      <x:c r="E3822" t="str">
        <x:v>Halle des tapis de passage lourd</x:v>
      </x:c>
      <x:c r="F3822" t="n">
        <x:v>9</x:v>
      </x:c>
      <x:c r="G3822" t="n">
        <x:v>8</x:v>
      </x:c>
      <x:c r="H3822" t="n">
        <x:v>8</x:v>
      </x:c>
      <x:c r="I3822" t="str">
        <x:v>À qualifier par lieu</x:v>
      </x:c>
      <x:c r="J3822" t="str">
        <x:v>https://github.com/darknigthmare/deadwall-last-enclosure/blob/1b3b9c5ba232734b1bda3453b4e20a0481bcdd74/codex-3000/addendum-1.58/PROGRAMMES_D.json</x:v>
      </x:c>
      <x:c r="K3822" t="str">
        <x:v>Source min 46,42 m ; max 46,42 m ; modèle 46 × 42 m ; niveaux 0. Détails dans catalogue-existant.json.</x:v>
      </x:c>
    </x:row>
    <x:row r="3823">
      <x:c r="A3823" t="str">
        <x:v>DW-3818</x:v>
      </x:c>
      <x:c r="B3823" t="str">
        <x:v>DW-3818</x:v>
      </x:c>
      <x:c r="C3823" t="str">
        <x:v>Parent indépendant 1.58</x:v>
      </x:c>
      <x:c r="D3823" t="str">
        <x:v>Entrepôts et réserves</x:v>
      </x:c>
      <x:c r="E3823" t="str">
        <x:v>Réserve des passerelles de chantier démontées</x:v>
      </x:c>
      <x:c r="F3823" t="n">
        <x:v>9</x:v>
      </x:c>
      <x:c r="G3823" t="n">
        <x:v>8</x:v>
      </x:c>
      <x:c r="H3823" t="n">
        <x:v>8</x:v>
      </x:c>
      <x:c r="I3823" t="str">
        <x:v>À qualifier par lieu</x:v>
      </x:c>
      <x:c r="J3823" t="str">
        <x:v>https://github.com/darknigthmare/deadwall-last-enclosure/blob/1b3b9c5ba232734b1bda3453b4e20a0481bcdd74/codex-3000/addendum-1.58/PROGRAMMES_D.json</x:v>
      </x:c>
      <x:c r="K3823" t="str">
        <x:v>Source min 50,46 m ; max 50,46 m ; modèle 50 × 46 m ; niveaux 0. Détails dans catalogue-existant.json.</x:v>
      </x:c>
    </x:row>
    <x:row r="3824">
      <x:c r="A3824" t="str">
        <x:v>DW-3819</x:v>
      </x:c>
      <x:c r="B3824" t="str">
        <x:v>DW-3819</x:v>
      </x:c>
      <x:c r="C3824" t="str">
        <x:v>Parent indépendant 1.58</x:v>
      </x:c>
      <x:c r="D3824" t="str">
        <x:v>Entrepôts et réserves</x:v>
      </x:c>
      <x:c r="E3824" t="str">
        <x:v>Dépôt des réservoirs souples vides</x:v>
      </x:c>
      <x:c r="F3824" t="n">
        <x:v>9</x:v>
      </x:c>
      <x:c r="G3824" t="n">
        <x:v>8</x:v>
      </x:c>
      <x:c r="H3824" t="n">
        <x:v>8</x:v>
      </x:c>
      <x:c r="I3824" t="str">
        <x:v>À qualifier par lieu</x:v>
      </x:c>
      <x:c r="J3824" t="str">
        <x:v>https://github.com/darknigthmare/deadwall-last-enclosure/blob/1b3b9c5ba232734b1bda3453b4e20a0481bcdd74/codex-3000/addendum-1.58/PROGRAMMES_D.json</x:v>
      </x:c>
      <x:c r="K3824" t="str">
        <x:v>Source min 54,50 m ; max 54,50 m ; modèle 54 × 50 m ; niveaux 0. Détails dans catalogue-existant.json.</x:v>
      </x:c>
    </x:row>
    <x:row r="3825">
      <x:c r="A3825" t="str">
        <x:v>DW-3820</x:v>
      </x:c>
      <x:c r="B3825" t="str">
        <x:v>DW-3820</x:v>
      </x:c>
      <x:c r="C3825" t="str">
        <x:v>Parent indépendant 1.58</x:v>
      </x:c>
      <x:c r="D3825" t="str">
        <x:v>Entrepôts et réserves</x:v>
      </x:c>
      <x:c r="E3825" t="str">
        <x:v>Halle des abris de chantier pliants</x:v>
      </x:c>
      <x:c r="F3825" t="n">
        <x:v>9</x:v>
      </x:c>
      <x:c r="G3825" t="n">
        <x:v>8</x:v>
      </x:c>
      <x:c r="H3825" t="n">
        <x:v>8</x:v>
      </x:c>
      <x:c r="I3825" t="str">
        <x:v>À qualifier par lieu</x:v>
      </x:c>
      <x:c r="J3825" t="str">
        <x:v>https://github.com/darknigthmare/deadwall-last-enclosure/blob/1b3b9c5ba232734b1bda3453b4e20a0481bcdd74/codex-3000/addendum-1.58/PROGRAMMES_D.json</x:v>
      </x:c>
      <x:c r="K3825" t="str">
        <x:v>Source min 46,42 m ; max 46,42 m ; modèle 46 × 42 m ; niveaux 0. Détails dans catalogue-existant.json.</x:v>
      </x:c>
    </x:row>
    <x:row r="3826">
      <x:c r="A3826" t="str">
        <x:v>DW-3821</x:v>
      </x:c>
      <x:c r="B3826" t="str">
        <x:v>DW-3821</x:v>
      </x:c>
      <x:c r="C3826" t="str">
        <x:v>Parent indépendant 1.58</x:v>
      </x:c>
      <x:c r="D3826" t="str">
        <x:v>Entrepôts et réserves</x:v>
      </x:c>
      <x:c r="E3826" t="str">
        <x:v>Réserve des équipements de portage collectif</x:v>
      </x:c>
      <x:c r="F3826" t="n">
        <x:v>9</x:v>
      </x:c>
      <x:c r="G3826" t="n">
        <x:v>8</x:v>
      </x:c>
      <x:c r="H3826" t="n">
        <x:v>8</x:v>
      </x:c>
      <x:c r="I3826" t="str">
        <x:v>À qualifier par lieu</x:v>
      </x:c>
      <x:c r="J3826" t="str">
        <x:v>https://github.com/darknigthmare/deadwall-last-enclosure/blob/1b3b9c5ba232734b1bda3453b4e20a0481bcdd74/codex-3000/addendum-1.58/PROGRAMMES_D.json</x:v>
      </x:c>
      <x:c r="K3826" t="str">
        <x:v>Source min 50,46 m ; max 50,46 m ; modèle 50 × 46 m ; niveaux 0. Détails dans catalogue-existant.json.</x:v>
      </x:c>
    </x:row>
    <x:row r="3827">
      <x:c r="A3827" t="str">
        <x:v>DW-3822</x:v>
      </x:c>
      <x:c r="B3827" t="str">
        <x:v>DW-3822</x:v>
      </x:c>
      <x:c r="C3827" t="str">
        <x:v>Parent indépendant 1.58</x:v>
      </x:c>
      <x:c r="D3827" t="str">
        <x:v>Entrepôts et réserves</x:v>
      </x:c>
      <x:c r="E3827" t="str">
        <x:v>Dépôt des caisses de sonorisation</x:v>
      </x:c>
      <x:c r="F3827" t="n">
        <x:v>9</x:v>
      </x:c>
      <x:c r="G3827" t="n">
        <x:v>8</x:v>
      </x:c>
      <x:c r="H3827" t="n">
        <x:v>8</x:v>
      </x:c>
      <x:c r="I3827" t="str">
        <x:v>À qualifier par lieu</x:v>
      </x:c>
      <x:c r="J3827" t="str">
        <x:v>https://github.com/darknigthmare/deadwall-last-enclosure/blob/1b3b9c5ba232734b1bda3453b4e20a0481bcdd74/codex-3000/addendum-1.58/PROGRAMMES_D.json</x:v>
      </x:c>
      <x:c r="K3827" t="str">
        <x:v>Source min 54,50 m ; max 54,50 m ; modèle 54 × 50 m ; niveaux 0. Détails dans catalogue-existant.json.</x:v>
      </x:c>
    </x:row>
    <x:row r="3828">
      <x:c r="A3828" t="str">
        <x:v>DW-3823</x:v>
      </x:c>
      <x:c r="B3828" t="str">
        <x:v>DW-3823</x:v>
      </x:c>
      <x:c r="C3828" t="str">
        <x:v>Parent indépendant 1.58</x:v>
      </x:c>
      <x:c r="D3828" t="str">
        <x:v>Entrepôts et réserves</x:v>
      </x:c>
      <x:c r="E3828" t="str">
        <x:v>Halle des assises d'urgence</x:v>
      </x:c>
      <x:c r="F3828" t="n">
        <x:v>9</x:v>
      </x:c>
      <x:c r="G3828" t="n">
        <x:v>8</x:v>
      </x:c>
      <x:c r="H3828" t="n">
        <x:v>8</x:v>
      </x:c>
      <x:c r="I3828" t="str">
        <x:v>À qualifier par lieu</x:v>
      </x:c>
      <x:c r="J3828" t="str">
        <x:v>https://github.com/darknigthmare/deadwall-last-enclosure/blob/1b3b9c5ba232734b1bda3453b4e20a0481bcdd74/codex-3000/addendum-1.58/PROGRAMMES_D.json</x:v>
      </x:c>
      <x:c r="K3828" t="str">
        <x:v>Source min 46,42 m ; max 46,42 m ; modèle 46 × 42 m ; niveaux 0. Détails dans catalogue-existant.json.</x:v>
      </x:c>
    </x:row>
    <x:row r="3829">
      <x:c r="A3829" t="str">
        <x:v>DW-3824</x:v>
      </x:c>
      <x:c r="B3829" t="str">
        <x:v>DW-3824</x:v>
      </x:c>
      <x:c r="C3829" t="str">
        <x:v>Parent indépendant 1.58</x:v>
      </x:c>
      <x:c r="D3829" t="str">
        <x:v>Entrepôts et réserves</x:v>
      </x:c>
      <x:c r="E3829" t="str">
        <x:v>Réserve des plaques de couverture provisoire</x:v>
      </x:c>
      <x:c r="F3829" t="n">
        <x:v>9</x:v>
      </x:c>
      <x:c r="G3829" t="n">
        <x:v>8</x:v>
      </x:c>
      <x:c r="H3829" t="n">
        <x:v>8</x:v>
      </x:c>
      <x:c r="I3829" t="str">
        <x:v>À qualifier par lieu</x:v>
      </x:c>
      <x:c r="J3829" t="str">
        <x:v>https://github.com/darknigthmare/deadwall-last-enclosure/blob/1b3b9c5ba232734b1bda3453b4e20a0481bcdd74/codex-3000/addendum-1.58/PROGRAMMES_D.json</x:v>
      </x:c>
      <x:c r="K3829" t="str">
        <x:v>Source min 50,46 m ; max 50,46 m ; modèle 50 × 46 m ; niveaux 0. Détails dans catalogue-existant.json.</x:v>
      </x:c>
    </x:row>
    <x:row r="3830">
      <x:c r="A3830" t="str">
        <x:v>DW-3825</x:v>
      </x:c>
      <x:c r="B3830" t="str">
        <x:v>DW-3825</x:v>
      </x:c>
      <x:c r="C3830" t="str">
        <x:v>Parent indépendant 1.58</x:v>
      </x:c>
      <x:c r="D3830" t="str">
        <x:v>Entrepôts et réserves</x:v>
      </x:c>
      <x:c r="E3830" t="str">
        <x:v>Dépôt des caissons de ravitaillement itinérant</x:v>
      </x:c>
      <x:c r="F3830" t="n">
        <x:v>9</x:v>
      </x:c>
      <x:c r="G3830" t="n">
        <x:v>8</x:v>
      </x:c>
      <x:c r="H3830" t="n">
        <x:v>8</x:v>
      </x:c>
      <x:c r="I3830" t="str">
        <x:v>À qualifier par lieu</x:v>
      </x:c>
      <x:c r="J3830" t="str">
        <x:v>https://github.com/darknigthmare/deadwall-last-enclosure/blob/1b3b9c5ba232734b1bda3453b4e20a0481bcdd74/codex-3000/addendum-1.58/PROGRAMMES_D.json</x:v>
      </x:c>
      <x:c r="K3830" t="str">
        <x:v>Source min 54,50 m ; max 54,50 m ; modèle 54 × 50 m ; niveaux 0. Détails dans catalogue-existant.json.</x:v>
      </x:c>
    </x:row>
    <x:row r="3831">
      <x:c r="A3831" t="str">
        <x:v>DW-3826</x:v>
      </x:c>
      <x:c r="B3831" t="str">
        <x:v>DW-3826</x:v>
      </x:c>
      <x:c r="C3831" t="str">
        <x:v>Parent indépendant 1.58</x:v>
      </x:c>
      <x:c r="D3831" t="str">
        <x:v>Automobile et carburant</x:v>
      </x:c>
      <x:c r="E3831" t="str">
        <x:v>Maison de régulation des navettes</x:v>
      </x:c>
      <x:c r="F3831" t="n">
        <x:v>9</x:v>
      </x:c>
      <x:c r="G3831" t="n">
        <x:v>8</x:v>
      </x:c>
      <x:c r="H3831" t="n">
        <x:v>8</x:v>
      </x:c>
      <x:c r="I3831" t="str">
        <x:v>À qualifier par lieu</x:v>
      </x:c>
      <x:c r="J3831" t="str">
        <x:v>https://github.com/darknigthmare/deadwall-last-enclosure/blob/1b3b9c5ba232734b1bda3453b4e20a0481bcdd74/codex-3000/addendum-1.58/PROGRAMMES_D.json</x:v>
      </x:c>
      <x:c r="K3831" t="str">
        <x:v>Source min 38,38 m ; max 38,38 m ; modèle 38 × 38 m ; niveaux 0. Détails dans catalogue-existant.json.</x:v>
      </x:c>
    </x:row>
    <x:row r="3832">
      <x:c r="A3832" t="str">
        <x:v>DW-3827</x:v>
      </x:c>
      <x:c r="B3832" t="str">
        <x:v>DW-3827</x:v>
      </x:c>
      <x:c r="C3832" t="str">
        <x:v>Parent indépendant 1.58</x:v>
      </x:c>
      <x:c r="D3832" t="str">
        <x:v>Automobile et carburant</x:v>
      </x:c>
      <x:c r="E3832" t="str">
        <x:v>Centre des transports scolaires</x:v>
      </x:c>
      <x:c r="F3832" t="n">
        <x:v>9</x:v>
      </x:c>
      <x:c r="G3832" t="n">
        <x:v>8</x:v>
      </x:c>
      <x:c r="H3832" t="n">
        <x:v>8</x:v>
      </x:c>
      <x:c r="I3832" t="str">
        <x:v>À qualifier par lieu</x:v>
      </x:c>
      <x:c r="J3832" t="str">
        <x:v>https://github.com/darknigthmare/deadwall-last-enclosure/blob/1b3b9c5ba232734b1bda3453b4e20a0481bcdd74/codex-3000/addendum-1.58/PROGRAMMES_D.json</x:v>
      </x:c>
      <x:c r="K3832" t="str">
        <x:v>Source min 42,42 m ; max 42,42 m ; modèle 42 × 42 m ; niveaux 0. Détails dans catalogue-existant.json.</x:v>
      </x:c>
    </x:row>
    <x:row r="3833">
      <x:c r="A3833" t="str">
        <x:v>DW-3828</x:v>
      </x:c>
      <x:c r="B3833" t="str">
        <x:v>DW-3828</x:v>
      </x:c>
      <x:c r="C3833" t="str">
        <x:v>Parent indépendant 1.58</x:v>
      </x:c>
      <x:c r="D3833" t="str">
        <x:v>Automobile et carburant</x:v>
      </x:c>
      <x:c r="E3833" t="str">
        <x:v>Maison du transport accompagné</x:v>
      </x:c>
      <x:c r="F3833" t="n">
        <x:v>9</x:v>
      </x:c>
      <x:c r="G3833" t="n">
        <x:v>8</x:v>
      </x:c>
      <x:c r="H3833" t="n">
        <x:v>8</x:v>
      </x:c>
      <x:c r="I3833" t="str">
        <x:v>À qualifier par lieu</x:v>
      </x:c>
      <x:c r="J3833" t="str">
        <x:v>https://github.com/darknigthmare/deadwall-last-enclosure/blob/1b3b9c5ba232734b1bda3453b4e20a0481bcdd74/codex-3000/addendum-1.58/PROGRAMMES_D.json</x:v>
      </x:c>
      <x:c r="K3833" t="str">
        <x:v>Source min 46,46 m ; max 46,46 m ; modèle 46 × 46 m ; niveaux 0. Détails dans catalogue-existant.json.</x:v>
      </x:c>
    </x:row>
    <x:row r="3834">
      <x:c r="A3834" t="str">
        <x:v>DW-3829</x:v>
      </x:c>
      <x:c r="B3834" t="str">
        <x:v>DW-3829</x:v>
      </x:c>
      <x:c r="C3834" t="str">
        <x:v>Parent indépendant 1.58</x:v>
      </x:c>
      <x:c r="D3834" t="str">
        <x:v>Automobile et carburant</x:v>
      </x:c>
      <x:c r="E3834" t="str">
        <x:v>Centre des minibus associatifs</x:v>
      </x:c>
      <x:c r="F3834" t="n">
        <x:v>9</x:v>
      </x:c>
      <x:c r="G3834" t="n">
        <x:v>8</x:v>
      </x:c>
      <x:c r="H3834" t="n">
        <x:v>8</x:v>
      </x:c>
      <x:c r="I3834" t="str">
        <x:v>À qualifier par lieu</x:v>
      </x:c>
      <x:c r="J3834" t="str">
        <x:v>https://github.com/darknigthmare/deadwall-last-enclosure/blob/1b3b9c5ba232734b1bda3453b4e20a0481bcdd74/codex-3000/addendum-1.58/PROGRAMMES_D.json</x:v>
      </x:c>
      <x:c r="K3834" t="str">
        <x:v>Source min 38,38 m ; max 38,38 m ; modèle 38 × 38 m ; niveaux 0. Détails dans catalogue-existant.json.</x:v>
      </x:c>
    </x:row>
    <x:row r="3835">
      <x:c r="A3835" t="str">
        <x:v>DW-3830</x:v>
      </x:c>
      <x:c r="B3835" t="str">
        <x:v>DW-3830</x:v>
      </x:c>
      <x:c r="C3835" t="str">
        <x:v>Parent indépendant 1.58</x:v>
      </x:c>
      <x:c r="D3835" t="str">
        <x:v>Automobile et carburant</x:v>
      </x:c>
      <x:c r="E3835" t="str">
        <x:v>Maison des autocars de remplacement</x:v>
      </x:c>
      <x:c r="F3835" t="n">
        <x:v>9</x:v>
      </x:c>
      <x:c r="G3835" t="n">
        <x:v>8</x:v>
      </x:c>
      <x:c r="H3835" t="n">
        <x:v>8</x:v>
      </x:c>
      <x:c r="I3835" t="str">
        <x:v>À qualifier par lieu</x:v>
      </x:c>
      <x:c r="J3835" t="str">
        <x:v>https://github.com/darknigthmare/deadwall-last-enclosure/blob/1b3b9c5ba232734b1bda3453b4e20a0481bcdd74/codex-3000/addendum-1.58/PROGRAMMES_D.json</x:v>
      </x:c>
      <x:c r="K3835" t="str">
        <x:v>Source min 42,42 m ; max 42,42 m ; modèle 42 × 42 m ; niveaux 0. Détails dans catalogue-existant.json.</x:v>
      </x:c>
    </x:row>
    <x:row r="3836">
      <x:c r="A3836" t="str">
        <x:v>DW-3831</x:v>
      </x:c>
      <x:c r="B3836" t="str">
        <x:v>DW-3831</x:v>
      </x:c>
      <x:c r="C3836" t="str">
        <x:v>Parent indépendant 1.58</x:v>
      </x:c>
      <x:c r="D3836" t="str">
        <x:v>Automobile et carburant</x:v>
      </x:c>
      <x:c r="E3836" t="str">
        <x:v>Centre des tournées de messagerie urbaine</x:v>
      </x:c>
      <x:c r="F3836" t="n">
        <x:v>9</x:v>
      </x:c>
      <x:c r="G3836" t="n">
        <x:v>8</x:v>
      </x:c>
      <x:c r="H3836" t="n">
        <x:v>8</x:v>
      </x:c>
      <x:c r="I3836" t="str">
        <x:v>À qualifier par lieu</x:v>
      </x:c>
      <x:c r="J3836" t="str">
        <x:v>https://github.com/darknigthmare/deadwall-last-enclosure/blob/1b3b9c5ba232734b1bda3453b4e20a0481bcdd74/codex-3000/addendum-1.58/PROGRAMMES_D.json</x:v>
      </x:c>
      <x:c r="K3836" t="str">
        <x:v>Source min 46,46 m ; max 46,46 m ; modèle 46 × 46 m ; niveaux 0. Détails dans catalogue-existant.json.</x:v>
      </x:c>
    </x:row>
    <x:row r="3837">
      <x:c r="A3837" t="str">
        <x:v>DW-3832</x:v>
      </x:c>
      <x:c r="B3837" t="str">
        <x:v>DW-3832</x:v>
      </x:c>
      <x:c r="C3837" t="str">
        <x:v>Parent indépendant 1.58</x:v>
      </x:c>
      <x:c r="D3837" t="str">
        <x:v>Automobile et carburant</x:v>
      </x:c>
      <x:c r="E3837" t="str">
        <x:v>Maison des coursiers à vélo cargo</x:v>
      </x:c>
      <x:c r="F3837" t="n">
        <x:v>9</x:v>
      </x:c>
      <x:c r="G3837" t="n">
        <x:v>8</x:v>
      </x:c>
      <x:c r="H3837" t="n">
        <x:v>8</x:v>
      </x:c>
      <x:c r="I3837" t="str">
        <x:v>À qualifier par lieu</x:v>
      </x:c>
      <x:c r="J3837" t="str">
        <x:v>https://github.com/darknigthmare/deadwall-last-enclosure/blob/1b3b9c5ba232734b1bda3453b4e20a0481bcdd74/codex-3000/addendum-1.58/PROGRAMMES_D.json</x:v>
      </x:c>
      <x:c r="K3837" t="str">
        <x:v>Source min 38,38 m ; max 38,38 m ; modèle 38 × 38 m ; niveaux 0. Détails dans catalogue-existant.json.</x:v>
      </x:c>
    </x:row>
    <x:row r="3838">
      <x:c r="A3838" t="str">
        <x:v>DW-3833</x:v>
      </x:c>
      <x:c r="B3838" t="str">
        <x:v>DW-3833</x:v>
      </x:c>
      <x:c r="C3838" t="str">
        <x:v>Parent indépendant 1.58</x:v>
      </x:c>
      <x:c r="D3838" t="str">
        <x:v>Automobile et carburant</x:v>
      </x:c>
      <x:c r="E3838" t="str">
        <x:v>Centre des transports funéraires</x:v>
      </x:c>
      <x:c r="F3838" t="n">
        <x:v>9</x:v>
      </x:c>
      <x:c r="G3838" t="n">
        <x:v>8</x:v>
      </x:c>
      <x:c r="H3838" t="n">
        <x:v>8</x:v>
      </x:c>
      <x:c r="I3838" t="str">
        <x:v>À qualifier par lieu</x:v>
      </x:c>
      <x:c r="J3838" t="str">
        <x:v>https://github.com/darknigthmare/deadwall-last-enclosure/blob/1b3b9c5ba232734b1bda3453b4e20a0481bcdd74/codex-3000/addendum-1.58/PROGRAMMES_D.json</x:v>
      </x:c>
      <x:c r="K3838" t="str">
        <x:v>Source min 42,42 m ; max 42,42 m ; modèle 42 × 42 m ; niveaux 0. Détails dans catalogue-existant.json.</x:v>
      </x:c>
    </x:row>
    <x:row r="3839">
      <x:c r="A3839" t="str">
        <x:v>DW-3834</x:v>
      </x:c>
      <x:c r="B3839" t="str">
        <x:v>DW-3834</x:v>
      </x:c>
      <x:c r="C3839" t="str">
        <x:v>Parent indépendant 1.58</x:v>
      </x:c>
      <x:c r="D3839" t="str">
        <x:v>Automobile et carburant</x:v>
      </x:c>
      <x:c r="E3839" t="str">
        <x:v>Maison des convoyeurs automobiles</x:v>
      </x:c>
      <x:c r="F3839" t="n">
        <x:v>9</x:v>
      </x:c>
      <x:c r="G3839" t="n">
        <x:v>8</x:v>
      </x:c>
      <x:c r="H3839" t="n">
        <x:v>8</x:v>
      </x:c>
      <x:c r="I3839" t="str">
        <x:v>À qualifier par lieu</x:v>
      </x:c>
      <x:c r="J3839" t="str">
        <x:v>https://github.com/darknigthmare/deadwall-last-enclosure/blob/1b3b9c5ba232734b1bda3453b4e20a0481bcdd74/codex-3000/addendum-1.58/PROGRAMMES_D.json</x:v>
      </x:c>
      <x:c r="K3839" t="str">
        <x:v>Source min 46,46 m ; max 46,46 m ; modèle 46 × 46 m ; niveaux 0. Détails dans catalogue-existant.json.</x:v>
      </x:c>
    </x:row>
    <x:row r="3840">
      <x:c r="A3840" t="str">
        <x:v>DW-3835</x:v>
      </x:c>
      <x:c r="B3840" t="str">
        <x:v>DW-3835</x:v>
      </x:c>
      <x:c r="C3840" t="str">
        <x:v>Parent indépendant 1.58</x:v>
      </x:c>
      <x:c r="D3840" t="str">
        <x:v>Automobile et carburant</x:v>
      </x:c>
      <x:c r="E3840" t="str">
        <x:v>Centre des liaisons de chantier</x:v>
      </x:c>
      <x:c r="F3840" t="n">
        <x:v>9</x:v>
      </x:c>
      <x:c r="G3840" t="n">
        <x:v>8</x:v>
      </x:c>
      <x:c r="H3840" t="n">
        <x:v>8</x:v>
      </x:c>
      <x:c r="I3840" t="str">
        <x:v>À qualifier par lieu</x:v>
      </x:c>
      <x:c r="J3840" t="str">
        <x:v>https://github.com/darknigthmare/deadwall-last-enclosure/blob/1b3b9c5ba232734b1bda3453b4e20a0481bcdd74/codex-3000/addendum-1.58/PROGRAMMES_D.json</x:v>
      </x:c>
      <x:c r="K3840" t="str">
        <x:v>Source min 38,38 m ; max 38,38 m ; modèle 38 × 38 m ; niveaux 0. Détails dans catalogue-existant.json.</x:v>
      </x:c>
    </x:row>
    <x:row r="3841">
      <x:c r="A3841" t="str">
        <x:v>DW-3836</x:v>
      </x:c>
      <x:c r="B3841" t="str">
        <x:v>DW-3836</x:v>
      </x:c>
      <x:c r="C3841" t="str">
        <x:v>Parent indépendant 1.58</x:v>
      </x:c>
      <x:c r="D3841" t="str">
        <x:v>Automobile et carburant</x:v>
      </x:c>
      <x:c r="E3841" t="str">
        <x:v>Maison des transports à horaires décalés</x:v>
      </x:c>
      <x:c r="F3841" t="n">
        <x:v>9</x:v>
      </x:c>
      <x:c r="G3841" t="n">
        <x:v>8</x:v>
      </x:c>
      <x:c r="H3841" t="n">
        <x:v>8</x:v>
      </x:c>
      <x:c r="I3841" t="str">
        <x:v>À qualifier par lieu</x:v>
      </x:c>
      <x:c r="J3841" t="str">
        <x:v>https://github.com/darknigthmare/deadwall-last-enclosure/blob/1b3b9c5ba232734b1bda3453b4e20a0481bcdd74/codex-3000/addendum-1.58/PROGRAMMES_D.json</x:v>
      </x:c>
      <x:c r="K3841" t="str">
        <x:v>Source min 42,42 m ; max 42,42 m ; modèle 42 × 42 m ; niveaux 0. Détails dans catalogue-existant.json.</x:v>
      </x:c>
    </x:row>
    <x:row r="3842">
      <x:c r="A3842" t="str">
        <x:v>DW-3837</x:v>
      </x:c>
      <x:c r="B3842" t="str">
        <x:v>DW-3837</x:v>
      </x:c>
      <x:c r="C3842" t="str">
        <x:v>Parent indépendant 1.58</x:v>
      </x:c>
      <x:c r="D3842" t="str">
        <x:v>Automobile et carburant</x:v>
      </x:c>
      <x:c r="E3842" t="str">
        <x:v>Centre des transferts interétablissements</x:v>
      </x:c>
      <x:c r="F3842" t="n">
        <x:v>9</x:v>
      </x:c>
      <x:c r="G3842" t="n">
        <x:v>8</x:v>
      </x:c>
      <x:c r="H3842" t="n">
        <x:v>8</x:v>
      </x:c>
      <x:c r="I3842" t="str">
        <x:v>À qualifier par lieu</x:v>
      </x:c>
      <x:c r="J3842" t="str">
        <x:v>https://github.com/darknigthmare/deadwall-last-enclosure/blob/1b3b9c5ba232734b1bda3453b4e20a0481bcdd74/codex-3000/addendum-1.58/PROGRAMMES_D.json</x:v>
      </x:c>
      <x:c r="K3842" t="str">
        <x:v>Source min 46,46 m ; max 46,46 m ; modèle 46 × 46 m ; niveaux 0. Détails dans catalogue-existant.json.</x:v>
      </x:c>
    </x:row>
    <x:row r="3843">
      <x:c r="A3843" t="str">
        <x:v>DW-3838</x:v>
      </x:c>
      <x:c r="B3843" t="str">
        <x:v>DW-3838</x:v>
      </x:c>
      <x:c r="C3843" t="str">
        <x:v>Parent indépendant 1.58</x:v>
      </x:c>
      <x:c r="D3843" t="str">
        <x:v>Automobile et carburant</x:v>
      </x:c>
      <x:c r="E3843" t="str">
        <x:v>Maison des véhicules partagés communaux</x:v>
      </x:c>
      <x:c r="F3843" t="n">
        <x:v>9</x:v>
      </x:c>
      <x:c r="G3843" t="n">
        <x:v>8</x:v>
      </x:c>
      <x:c r="H3843" t="n">
        <x:v>8</x:v>
      </x:c>
      <x:c r="I3843" t="str">
        <x:v>À qualifier par lieu</x:v>
      </x:c>
      <x:c r="J3843" t="str">
        <x:v>https://github.com/darknigthmare/deadwall-last-enclosure/blob/1b3b9c5ba232734b1bda3453b4e20a0481bcdd74/codex-3000/addendum-1.58/PROGRAMMES_D.json</x:v>
      </x:c>
      <x:c r="K3843" t="str">
        <x:v>Source min 38,38 m ; max 38,38 m ; modèle 38 × 38 m ; niveaux 0. Détails dans catalogue-existant.json.</x:v>
      </x:c>
    </x:row>
    <x:row r="3844">
      <x:c r="A3844" t="str">
        <x:v>DW-3839</x:v>
      </x:c>
      <x:c r="B3844" t="str">
        <x:v>DW-3839</x:v>
      </x:c>
      <x:c r="C3844" t="str">
        <x:v>Parent indépendant 1.58</x:v>
      </x:c>
      <x:c r="D3844" t="str">
        <x:v>Services et petits ateliers</x:v>
      </x:c>
      <x:c r="E3844" t="str">
        <x:v>Atelier des hayons de livraison</x:v>
      </x:c>
      <x:c r="F3844" t="n">
        <x:v>9</x:v>
      </x:c>
      <x:c r="G3844" t="n">
        <x:v>8</x:v>
      </x:c>
      <x:c r="H3844" t="n">
        <x:v>8</x:v>
      </x:c>
      <x:c r="I3844" t="str">
        <x:v>À qualifier par lieu</x:v>
      </x:c>
      <x:c r="J3844" t="str">
        <x:v>https://github.com/darknigthmare/deadwall-last-enclosure/blob/1b3b9c5ba232734b1bda3453b4e20a0481bcdd74/codex-3000/addendum-1.58/PROGRAMMES_D.json</x:v>
      </x:c>
      <x:c r="K3844" t="str">
        <x:v>Source min 42,42 m ; max 42,42 m ; modèle 42 × 42 m ; niveaux 0. Détails dans catalogue-existant.json.</x:v>
      </x:c>
    </x:row>
    <x:row r="3845">
      <x:c r="A3845" t="str">
        <x:v>DW-3840</x:v>
      </x:c>
      <x:c r="B3845" t="str">
        <x:v>DW-3840</x:v>
      </x:c>
      <x:c r="C3845" t="str">
        <x:v>Parent indépendant 1.58</x:v>
      </x:c>
      <x:c r="D3845" t="str">
        <x:v>Services et petits ateliers</x:v>
      </x:c>
      <x:c r="E3845" t="str">
        <x:v>Centre des compartiments isothermes</x:v>
      </x:c>
      <x:c r="F3845" t="n">
        <x:v>9</x:v>
      </x:c>
      <x:c r="G3845" t="n">
        <x:v>8</x:v>
      </x:c>
      <x:c r="H3845" t="n">
        <x:v>8</x:v>
      </x:c>
      <x:c r="I3845" t="str">
        <x:v>À qualifier par lieu</x:v>
      </x:c>
      <x:c r="J3845" t="str">
        <x:v>https://github.com/darknigthmare/deadwall-last-enclosure/blob/1b3b9c5ba232734b1bda3453b4e20a0481bcdd74/codex-3000/addendum-1.58/PROGRAMMES_D.json</x:v>
      </x:c>
      <x:c r="K3845" t="str">
        <x:v>Source min 46,46 m ; max 46,46 m ; modèle 46 × 46 m ; niveaux 0. Détails dans catalogue-existant.json.</x:v>
      </x:c>
    </x:row>
    <x:row r="3846">
      <x:c r="A3846" t="str">
        <x:v>DW-3841</x:v>
      </x:c>
      <x:c r="B3846" t="str">
        <x:v>DW-3841</x:v>
      </x:c>
      <x:c r="C3846" t="str">
        <x:v>Parent indépendant 1.58</x:v>
      </x:c>
      <x:c r="D3846" t="str">
        <x:v>Services et petits ateliers</x:v>
      </x:c>
      <x:c r="E3846" t="str">
        <x:v>Atelier des galeries utilitaires</x:v>
      </x:c>
      <x:c r="F3846" t="n">
        <x:v>9</x:v>
      </x:c>
      <x:c r="G3846" t="n">
        <x:v>8</x:v>
      </x:c>
      <x:c r="H3846" t="n">
        <x:v>8</x:v>
      </x:c>
      <x:c r="I3846" t="str">
        <x:v>À qualifier par lieu</x:v>
      </x:c>
      <x:c r="J3846" t="str">
        <x:v>https://github.com/darknigthmare/deadwall-last-enclosure/blob/1b3b9c5ba232734b1bda3453b4e20a0481bcdd74/codex-3000/addendum-1.58/PROGRAMMES_D.json</x:v>
      </x:c>
      <x:c r="K3846" t="str">
        <x:v>Source min 38,38 m ; max 38,38 m ; modèle 38 × 38 m ; niveaux 0. Détails dans catalogue-existant.json.</x:v>
      </x:c>
    </x:row>
    <x:row r="3847">
      <x:c r="A3847" t="str">
        <x:v>DW-3842</x:v>
      </x:c>
      <x:c r="B3847" t="str">
        <x:v>DW-3842</x:v>
      </x:c>
      <x:c r="C3847" t="str">
        <x:v>Parent indépendant 1.58</x:v>
      </x:c>
      <x:c r="D3847" t="str">
        <x:v>Services et petits ateliers</x:v>
      </x:c>
      <x:c r="E3847" t="str">
        <x:v>Centre des sièges de transport collectif</x:v>
      </x:c>
      <x:c r="F3847" t="n">
        <x:v>9</x:v>
      </x:c>
      <x:c r="G3847" t="n">
        <x:v>8</x:v>
      </x:c>
      <x:c r="H3847" t="n">
        <x:v>8</x:v>
      </x:c>
      <x:c r="I3847" t="str">
        <x:v>À qualifier par lieu</x:v>
      </x:c>
      <x:c r="J3847" t="str">
        <x:v>https://github.com/darknigthmare/deadwall-last-enclosure/blob/1b3b9c5ba232734b1bda3453b4e20a0481bcdd74/codex-3000/addendum-1.58/PROGRAMMES_D.json</x:v>
      </x:c>
      <x:c r="K3847" t="str">
        <x:v>Source min 42,42 m ; max 42,42 m ; modèle 42 × 42 m ; niveaux 0. Détails dans catalogue-existant.json.</x:v>
      </x:c>
    </x:row>
    <x:row r="3848">
      <x:c r="A3848" t="str">
        <x:v>DW-3843</x:v>
      </x:c>
      <x:c r="B3848" t="str">
        <x:v>DW-3843</x:v>
      </x:c>
      <x:c r="C3848" t="str">
        <x:v>Parent indépendant 1.58</x:v>
      </x:c>
      <x:c r="D3848" t="str">
        <x:v>Services et petits ateliers</x:v>
      </x:c>
      <x:c r="E3848" t="str">
        <x:v>Atelier des rampes d'accès embarquées</x:v>
      </x:c>
      <x:c r="F3848" t="n">
        <x:v>9</x:v>
      </x:c>
      <x:c r="G3848" t="n">
        <x:v>8</x:v>
      </x:c>
      <x:c r="H3848" t="n">
        <x:v>8</x:v>
      </x:c>
      <x:c r="I3848" t="str">
        <x:v>À qualifier par lieu</x:v>
      </x:c>
      <x:c r="J3848" t="str">
        <x:v>https://github.com/darknigthmare/deadwall-last-enclosure/blob/1b3b9c5ba232734b1bda3453b4e20a0481bcdd74/codex-3000/addendum-1.58/PROGRAMMES_D.json</x:v>
      </x:c>
      <x:c r="K3848" t="str">
        <x:v>Source min 46,46 m ; max 46,46 m ; modèle 46 × 46 m ; niveaux 0. Détails dans catalogue-existant.json.</x:v>
      </x:c>
    </x:row>
    <x:row r="3849">
      <x:c r="A3849" t="str">
        <x:v>DW-3844</x:v>
      </x:c>
      <x:c r="B3849" t="str">
        <x:v>DW-3844</x:v>
      </x:c>
      <x:c r="C3849" t="str">
        <x:v>Parent indépendant 1.58</x:v>
      </x:c>
      <x:c r="D3849" t="str">
        <x:v>Services et petits ateliers</x:v>
      </x:c>
      <x:c r="E3849" t="str">
        <x:v>Centre des portes coulissantes utilitaires</x:v>
      </x:c>
      <x:c r="F3849" t="n">
        <x:v>9</x:v>
      </x:c>
      <x:c r="G3849" t="n">
        <x:v>8</x:v>
      </x:c>
      <x:c r="H3849" t="n">
        <x:v>8</x:v>
      </x:c>
      <x:c r="I3849" t="str">
        <x:v>À qualifier par lieu</x:v>
      </x:c>
      <x:c r="J3849" t="str">
        <x:v>https://github.com/darknigthmare/deadwall-last-enclosure/blob/1b3b9c5ba232734b1bda3453b4e20a0481bcdd74/codex-3000/addendum-1.58/PROGRAMMES_D.json</x:v>
      </x:c>
      <x:c r="K3849" t="str">
        <x:v>Source min 38,38 m ; max 38,38 m ; modèle 38 × 38 m ; niveaux 0. Détails dans catalogue-existant.json.</x:v>
      </x:c>
    </x:row>
    <x:row r="3850">
      <x:c r="A3850" t="str">
        <x:v>DW-3845</x:v>
      </x:c>
      <x:c r="B3850" t="str">
        <x:v>DW-3845</x:v>
      </x:c>
      <x:c r="C3850" t="str">
        <x:v>Parent indépendant 1.58</x:v>
      </x:c>
      <x:c r="D3850" t="str">
        <x:v>Services et petits ateliers</x:v>
      </x:c>
      <x:c r="E3850" t="str">
        <x:v>Atelier des faisceaux de remorque</x:v>
      </x:c>
      <x:c r="F3850" t="n">
        <x:v>9</x:v>
      </x:c>
      <x:c r="G3850" t="n">
        <x:v>8</x:v>
      </x:c>
      <x:c r="H3850" t="n">
        <x:v>8</x:v>
      </x:c>
      <x:c r="I3850" t="str">
        <x:v>À qualifier par lieu</x:v>
      </x:c>
      <x:c r="J3850" t="str">
        <x:v>https://github.com/darknigthmare/deadwall-last-enclosure/blob/1b3b9c5ba232734b1bda3453b4e20a0481bcdd74/codex-3000/addendum-1.58/PROGRAMMES_D.json</x:v>
      </x:c>
      <x:c r="K3850" t="str">
        <x:v>Source min 42,42 m ; max 42,42 m ; modèle 42 × 42 m ; niveaux 0. Détails dans catalogue-existant.json.</x:v>
      </x:c>
    </x:row>
    <x:row r="3851">
      <x:c r="A3851" t="str">
        <x:v>DW-3846</x:v>
      </x:c>
      <x:c r="B3851" t="str">
        <x:v>DW-3846</x:v>
      </x:c>
      <x:c r="C3851" t="str">
        <x:v>Parent indépendant 1.58</x:v>
      </x:c>
      <x:c r="D3851" t="str">
        <x:v>Services et petits ateliers</x:v>
      </x:c>
      <x:c r="E3851" t="str">
        <x:v>Centre des attelages démontés</x:v>
      </x:c>
      <x:c r="F3851" t="n">
        <x:v>9</x:v>
      </x:c>
      <x:c r="G3851" t="n">
        <x:v>8</x:v>
      </x:c>
      <x:c r="H3851" t="n">
        <x:v>8</x:v>
      </x:c>
      <x:c r="I3851" t="str">
        <x:v>À qualifier par lieu</x:v>
      </x:c>
      <x:c r="J3851" t="str">
        <x:v>https://github.com/darknigthmare/deadwall-last-enclosure/blob/1b3b9c5ba232734b1bda3453b4e20a0481bcdd74/codex-3000/addendum-1.58/PROGRAMMES_D.json</x:v>
      </x:c>
      <x:c r="K3851" t="str">
        <x:v>Source min 46,46 m ; max 46,46 m ; modèle 46 × 46 m ; niveaux 0. Détails dans catalogue-existant.json.</x:v>
      </x:c>
    </x:row>
    <x:row r="3852">
      <x:c r="A3852" t="str">
        <x:v>DW-3847</x:v>
      </x:c>
      <x:c r="B3852" t="str">
        <x:v>DW-3847</x:v>
      </x:c>
      <x:c r="C3852" t="str">
        <x:v>Parent indépendant 1.58</x:v>
      </x:c>
      <x:c r="D3852" t="str">
        <x:v>Services et petits ateliers</x:v>
      </x:c>
      <x:c r="E3852" t="str">
        <x:v>Atelier des coffres de toit</x:v>
      </x:c>
      <x:c r="F3852" t="n">
        <x:v>9</x:v>
      </x:c>
      <x:c r="G3852" t="n">
        <x:v>8</x:v>
      </x:c>
      <x:c r="H3852" t="n">
        <x:v>8</x:v>
      </x:c>
      <x:c r="I3852" t="str">
        <x:v>À qualifier par lieu</x:v>
      </x:c>
      <x:c r="J3852" t="str">
        <x:v>https://github.com/darknigthmare/deadwall-last-enclosure/blob/1b3b9c5ba232734b1bda3453b4e20a0481bcdd74/codex-3000/addendum-1.58/PROGRAMMES_D.json</x:v>
      </x:c>
      <x:c r="K3852" t="str">
        <x:v>Source min 38,38 m ; max 38,38 m ; modèle 38 × 38 m ; niveaux 0. Détails dans catalogue-existant.json.</x:v>
      </x:c>
    </x:row>
    <x:row r="3853">
      <x:c r="A3853" t="str">
        <x:v>DW-3848</x:v>
      </x:c>
      <x:c r="B3853" t="str">
        <x:v>DW-3848</x:v>
      </x:c>
      <x:c r="C3853" t="str">
        <x:v>Parent indépendant 1.58</x:v>
      </x:c>
      <x:c r="D3853" t="str">
        <x:v>Services et petits ateliers</x:v>
      </x:c>
      <x:c r="E3853" t="str">
        <x:v>Centre des chronotachygraphes déposés</x:v>
      </x:c>
      <x:c r="F3853" t="n">
        <x:v>9</x:v>
      </x:c>
      <x:c r="G3853" t="n">
        <x:v>8</x:v>
      </x:c>
      <x:c r="H3853" t="n">
        <x:v>8</x:v>
      </x:c>
      <x:c r="I3853" t="str">
        <x:v>À qualifier par lieu</x:v>
      </x:c>
      <x:c r="J3853" t="str">
        <x:v>https://github.com/darknigthmare/deadwall-last-enclosure/blob/1b3b9c5ba232734b1bda3453b4e20a0481bcdd74/codex-3000/addendum-1.58/PROGRAMMES_D.json</x:v>
      </x:c>
      <x:c r="K3853" t="str">
        <x:v>Source min 42,42 m ; max 42,42 m ; modèle 42 × 42 m ; niveaux 0. Détails dans catalogue-existant.json.</x:v>
      </x:c>
    </x:row>
    <x:row r="3854">
      <x:c r="A3854" t="str">
        <x:v>DW-3849</x:v>
      </x:c>
      <x:c r="B3854" t="str">
        <x:v>DW-3849</x:v>
      </x:c>
      <x:c r="C3854" t="str">
        <x:v>Parent indépendant 1.58</x:v>
      </x:c>
      <x:c r="D3854" t="str">
        <x:v>Services et petits ateliers</x:v>
      </x:c>
      <x:c r="E3854" t="str">
        <x:v>Atelier des rétroviseurs de poids lourd</x:v>
      </x:c>
      <x:c r="F3854" t="n">
        <x:v>9</x:v>
      </x:c>
      <x:c r="G3854" t="n">
        <x:v>8</x:v>
      </x:c>
      <x:c r="H3854" t="n">
        <x:v>8</x:v>
      </x:c>
      <x:c r="I3854" t="str">
        <x:v>À qualifier par lieu</x:v>
      </x:c>
      <x:c r="J3854" t="str">
        <x:v>https://github.com/darknigthmare/deadwall-last-enclosure/blob/1b3b9c5ba232734b1bda3453b4e20a0481bcdd74/codex-3000/addendum-1.58/PROGRAMMES_D.json</x:v>
      </x:c>
      <x:c r="K3854" t="str">
        <x:v>Source min 46,46 m ; max 46,46 m ; modèle 46 × 46 m ; niveaux 0. Détails dans catalogue-existant.json.</x:v>
      </x:c>
    </x:row>
    <x:row r="3855">
      <x:c r="A3855" t="str">
        <x:v>DW-3850</x:v>
      </x:c>
      <x:c r="B3855" t="str">
        <x:v>DW-3850</x:v>
      </x:c>
      <x:c r="C3855" t="str">
        <x:v>Parent indépendant 1.58</x:v>
      </x:c>
      <x:c r="D3855" t="str">
        <x:v>Services et petits ateliers</x:v>
      </x:c>
      <x:c r="E3855" t="str">
        <x:v>Centre des coupe-batteries de flotte</x:v>
      </x:c>
      <x:c r="F3855" t="n">
        <x:v>9</x:v>
      </x:c>
      <x:c r="G3855" t="n">
        <x:v>8</x:v>
      </x:c>
      <x:c r="H3855" t="n">
        <x:v>8</x:v>
      </x:c>
      <x:c r="I3855" t="str">
        <x:v>À qualifier par lieu</x:v>
      </x:c>
      <x:c r="J3855" t="str">
        <x:v>https://github.com/darknigthmare/deadwall-last-enclosure/blob/1b3b9c5ba232734b1bda3453b4e20a0481bcdd74/codex-3000/addendum-1.58/PROGRAMMES_D.json</x:v>
      </x:c>
      <x:c r="K3855" t="str">
        <x:v>Source min 38,38 m ; max 38,38 m ; modèle 38 × 38 m ; niveaux 0. Détails dans catalogue-existant.json.</x:v>
      </x:c>
    </x:row>
    <x:row r="3856">
      <x:c r="A3856" t="str">
        <x:v>DW-3851</x:v>
      </x:c>
      <x:c r="B3856" t="str">
        <x:v>DW-3851</x:v>
      </x:c>
      <x:c r="C3856" t="str">
        <x:v>Parent indépendant 1.58</x:v>
      </x:c>
      <x:c r="D3856" t="str">
        <x:v>Services et petits ateliers</x:v>
      </x:c>
      <x:c r="E3856" t="str">
        <x:v>Atelier des capots de machine mobile</x:v>
      </x:c>
      <x:c r="F3856" t="n">
        <x:v>9</x:v>
      </x:c>
      <x:c r="G3856" t="n">
        <x:v>8</x:v>
      </x:c>
      <x:c r="H3856" t="n">
        <x:v>8</x:v>
      </x:c>
      <x:c r="I3856" t="str">
        <x:v>À qualifier par lieu</x:v>
      </x:c>
      <x:c r="J3856" t="str">
        <x:v>https://github.com/darknigthmare/deadwall-last-enclosure/blob/1b3b9c5ba232734b1bda3453b4e20a0481bcdd74/codex-3000/addendum-1.58/PROGRAMMES_D.json</x:v>
      </x:c>
      <x:c r="K3856" t="str">
        <x:v>Source min 42,42 m ; max 42,42 m ; modèle 42 × 42 m ; niveaux 0. Détails dans catalogue-existant.json.</x:v>
      </x:c>
    </x:row>
    <x:row r="3857">
      <x:c r="A3857" t="str">
        <x:v>DW-3852</x:v>
      </x:c>
      <x:c r="B3857" t="str">
        <x:v>DW-3852</x:v>
      </x:c>
      <x:c r="C3857" t="str">
        <x:v>Parent indépendant 1.58</x:v>
      </x:c>
      <x:c r="D3857" t="str">
        <x:v>Services et petits ateliers</x:v>
      </x:c>
      <x:c r="E3857" t="str">
        <x:v>Atelier des pupitres ferroviaires déposés</x:v>
      </x:c>
      <x:c r="F3857" t="n">
        <x:v>9</x:v>
      </x:c>
      <x:c r="G3857" t="n">
        <x:v>8</x:v>
      </x:c>
      <x:c r="H3857" t="n">
        <x:v>8</x:v>
      </x:c>
      <x:c r="I3857" t="str">
        <x:v>À qualifier par lieu</x:v>
      </x:c>
      <x:c r="J3857" t="str">
        <x:v>https://github.com/darknigthmare/deadwall-last-enclosure/blob/1b3b9c5ba232734b1bda3453b4e20a0481bcdd74/codex-3000/addendum-1.58/PROGRAMMES_D.json</x:v>
      </x:c>
      <x:c r="K3857" t="str">
        <x:v>Source min 46,46 m ; max 46,46 m ; modèle 46 × 46 m ; niveaux 0. Détails dans catalogue-existant.json.</x:v>
      </x:c>
    </x:row>
    <x:row r="3858">
      <x:c r="A3858" t="str">
        <x:v>DW-3853</x:v>
      </x:c>
      <x:c r="B3858" t="str">
        <x:v>DW-3853</x:v>
      </x:c>
      <x:c r="C3858" t="str">
        <x:v>Parent indépendant 1.58</x:v>
      </x:c>
      <x:c r="D3858" t="str">
        <x:v>Services et petits ateliers</x:v>
      </x:c>
      <x:c r="E3858" t="str">
        <x:v>Centre des lampes de signal ferroviaire</x:v>
      </x:c>
      <x:c r="F3858" t="n">
        <x:v>9</x:v>
      </x:c>
      <x:c r="G3858" t="n">
        <x:v>8</x:v>
      </x:c>
      <x:c r="H3858" t="n">
        <x:v>8</x:v>
      </x:c>
      <x:c r="I3858" t="str">
        <x:v>À qualifier par lieu</x:v>
      </x:c>
      <x:c r="J3858" t="str">
        <x:v>https://github.com/darknigthmare/deadwall-last-enclosure/blob/1b3b9c5ba232734b1bda3453b4e20a0481bcdd74/codex-3000/addendum-1.58/PROGRAMMES_D.json</x:v>
      </x:c>
      <x:c r="K3858" t="str">
        <x:v>Source min 38,38 m ; max 38,38 m ; modèle 38 × 38 m ; niveaux 0. Détails dans catalogue-existant.json.</x:v>
      </x:c>
    </x:row>
    <x:row r="3859">
      <x:c r="A3859" t="str">
        <x:v>DW-3854</x:v>
      </x:c>
      <x:c r="B3859" t="str">
        <x:v>DW-3854</x:v>
      </x:c>
      <x:c r="C3859" t="str">
        <x:v>Parent indépendant 1.58</x:v>
      </x:c>
      <x:c r="D3859" t="str">
        <x:v>Services et petits ateliers</x:v>
      </x:c>
      <x:c r="E3859" t="str">
        <x:v>Atelier des sièges de rame déposés</x:v>
      </x:c>
      <x:c r="F3859" t="n">
        <x:v>9</x:v>
      </x:c>
      <x:c r="G3859" t="n">
        <x:v>8</x:v>
      </x:c>
      <x:c r="H3859" t="n">
        <x:v>8</x:v>
      </x:c>
      <x:c r="I3859" t="str">
        <x:v>À qualifier par lieu</x:v>
      </x:c>
      <x:c r="J3859" t="str">
        <x:v>https://github.com/darknigthmare/deadwall-last-enclosure/blob/1b3b9c5ba232734b1bda3453b4e20a0481bcdd74/codex-3000/addendum-1.58/PROGRAMMES_D.json</x:v>
      </x:c>
      <x:c r="K3859" t="str">
        <x:v>Source min 42,42 m ; max 42,42 m ; modèle 42 × 42 m ; niveaux 0. Détails dans catalogue-existant.json.</x:v>
      </x:c>
    </x:row>
    <x:row r="3860">
      <x:c r="A3860" t="str">
        <x:v>DW-3855</x:v>
      </x:c>
      <x:c r="B3860" t="str">
        <x:v>DW-3855</x:v>
      </x:c>
      <x:c r="C3860" t="str">
        <x:v>Parent indépendant 1.58</x:v>
      </x:c>
      <x:c r="D3860" t="str">
        <x:v>Services et petits ateliers</x:v>
      </x:c>
      <x:c r="E3860" t="str">
        <x:v>Centre des portes de rame démontées</x:v>
      </x:c>
      <x:c r="F3860" t="n">
        <x:v>9</x:v>
      </x:c>
      <x:c r="G3860" t="n">
        <x:v>8</x:v>
      </x:c>
      <x:c r="H3860" t="n">
        <x:v>8</x:v>
      </x:c>
      <x:c r="I3860" t="str">
        <x:v>À qualifier par lieu</x:v>
      </x:c>
      <x:c r="J3860" t="str">
        <x:v>https://github.com/darknigthmare/deadwall-last-enclosure/blob/1b3b9c5ba232734b1bda3453b4e20a0481bcdd74/codex-3000/addendum-1.58/PROGRAMMES_D.json</x:v>
      </x:c>
      <x:c r="K3860" t="str">
        <x:v>Source min 46,46 m ; max 46,46 m ; modèle 46 × 46 m ; niveaux 0. Détails dans catalogue-existant.json.</x:v>
      </x:c>
    </x:row>
    <x:row r="3861">
      <x:c r="A3861" t="str">
        <x:v>DW-3856</x:v>
      </x:c>
      <x:c r="B3861" t="str">
        <x:v>DW-3856</x:v>
      </x:c>
      <x:c r="C3861" t="str">
        <x:v>Parent indépendant 1.58</x:v>
      </x:c>
      <x:c r="D3861" t="str">
        <x:v>Services et petits ateliers</x:v>
      </x:c>
      <x:c r="E3861" t="str">
        <x:v>Atelier des boîtiers d'aiguillage déposés</x:v>
      </x:c>
      <x:c r="F3861" t="n">
        <x:v>9</x:v>
      </x:c>
      <x:c r="G3861" t="n">
        <x:v>8</x:v>
      </x:c>
      <x:c r="H3861" t="n">
        <x:v>8</x:v>
      </x:c>
      <x:c r="I3861" t="str">
        <x:v>À qualifier par lieu</x:v>
      </x:c>
      <x:c r="J3861" t="str">
        <x:v>https://github.com/darknigthmare/deadwall-last-enclosure/blob/1b3b9c5ba232734b1bda3453b4e20a0481bcdd74/codex-3000/addendum-1.58/PROGRAMMES_D.json</x:v>
      </x:c>
      <x:c r="K3861" t="str">
        <x:v>Source min 38,38 m ; max 38,38 m ; modèle 38 × 38 m ; niveaux 0. Détails dans catalogue-existant.json.</x:v>
      </x:c>
    </x:row>
    <x:row r="3862">
      <x:c r="A3862" t="str">
        <x:v>DW-3857</x:v>
      </x:c>
      <x:c r="B3862" t="str">
        <x:v>DW-3857</x:v>
      </x:c>
      <x:c r="C3862" t="str">
        <x:v>Parent indépendant 1.58</x:v>
      </x:c>
      <x:c r="D3862" t="str">
        <x:v>Services et petits ateliers</x:v>
      </x:c>
      <x:c r="E3862" t="str">
        <x:v>Centre des freins de wagon déposés</x:v>
      </x:c>
      <x:c r="F3862" t="n">
        <x:v>9</x:v>
      </x:c>
      <x:c r="G3862" t="n">
        <x:v>8</x:v>
      </x:c>
      <x:c r="H3862" t="n">
        <x:v>8</x:v>
      </x:c>
      <x:c r="I3862" t="str">
        <x:v>À qualifier par lieu</x:v>
      </x:c>
      <x:c r="J3862" t="str">
        <x:v>https://github.com/darknigthmare/deadwall-last-enclosure/blob/1b3b9c5ba232734b1bda3453b4e20a0481bcdd74/codex-3000/addendum-1.58/PROGRAMMES_D.json</x:v>
      </x:c>
      <x:c r="K3862" t="str">
        <x:v>Source min 42,42 m ; max 42,42 m ; modèle 42 × 42 m ; niveaux 0. Détails dans catalogue-existant.json.</x:v>
      </x:c>
    </x:row>
    <x:row r="3863">
      <x:c r="A3863" t="str">
        <x:v>DW-3858</x:v>
      </x:c>
      <x:c r="B3863" t="str">
        <x:v>DW-3858</x:v>
      </x:c>
      <x:c r="C3863" t="str">
        <x:v>Parent indépendant 1.58</x:v>
      </x:c>
      <x:c r="D3863" t="str">
        <x:v>Services et petits ateliers</x:v>
      </x:c>
      <x:c r="E3863" t="str">
        <x:v>Atelier des marchepieds de rame</x:v>
      </x:c>
      <x:c r="F3863" t="n">
        <x:v>9</x:v>
      </x:c>
      <x:c r="G3863" t="n">
        <x:v>8</x:v>
      </x:c>
      <x:c r="H3863" t="n">
        <x:v>8</x:v>
      </x:c>
      <x:c r="I3863" t="str">
        <x:v>À qualifier par lieu</x:v>
      </x:c>
      <x:c r="J3863" t="str">
        <x:v>https://github.com/darknigthmare/deadwall-last-enclosure/blob/1b3b9c5ba232734b1bda3453b4e20a0481bcdd74/codex-3000/addendum-1.58/PROGRAMMES_D.json</x:v>
      </x:c>
      <x:c r="K3863" t="str">
        <x:v>Source min 46,46 m ; max 46,46 m ; modèle 46 × 46 m ; niveaux 0. Détails dans catalogue-existant.json.</x:v>
      </x:c>
    </x:row>
    <x:row r="3864">
      <x:c r="A3864" t="str">
        <x:v>DW-3859</x:v>
      </x:c>
      <x:c r="B3864" t="str">
        <x:v>DW-3859</x:v>
      </x:c>
      <x:c r="C3864" t="str">
        <x:v>Parent indépendant 1.58</x:v>
      </x:c>
      <x:c r="D3864" t="str">
        <x:v>Services et petits ateliers</x:v>
      </x:c>
      <x:c r="E3864" t="str">
        <x:v>Centre des soufflets de liaison déposés</x:v>
      </x:c>
      <x:c r="F3864" t="n">
        <x:v>9</x:v>
      </x:c>
      <x:c r="G3864" t="n">
        <x:v>8</x:v>
      </x:c>
      <x:c r="H3864" t="n">
        <x:v>8</x:v>
      </x:c>
      <x:c r="I3864" t="str">
        <x:v>À qualifier par lieu</x:v>
      </x:c>
      <x:c r="J3864" t="str">
        <x:v>https://github.com/darknigthmare/deadwall-last-enclosure/blob/1b3b9c5ba232734b1bda3453b4e20a0481bcdd74/codex-3000/addendum-1.58/PROGRAMMES_D.json</x:v>
      </x:c>
      <x:c r="K3864" t="str">
        <x:v>Source min 38,38 m ; max 38,38 m ; modèle 38 × 38 m ; niveaux 0. Détails dans catalogue-existant.json.</x:v>
      </x:c>
    </x:row>
    <x:row r="3865">
      <x:c r="A3865" t="str">
        <x:v>DW-3860</x:v>
      </x:c>
      <x:c r="B3865" t="str">
        <x:v>DW-3860</x:v>
      </x:c>
      <x:c r="C3865" t="str">
        <x:v>Parent indépendant 1.58</x:v>
      </x:c>
      <x:c r="D3865" t="str">
        <x:v>Services et petits ateliers</x:v>
      </x:c>
      <x:c r="E3865" t="str">
        <x:v>Atelier des vitrages de rame stockés</x:v>
      </x:c>
      <x:c r="F3865" t="n">
        <x:v>9</x:v>
      </x:c>
      <x:c r="G3865" t="n">
        <x:v>8</x:v>
      </x:c>
      <x:c r="H3865" t="n">
        <x:v>8</x:v>
      </x:c>
      <x:c r="I3865" t="str">
        <x:v>À qualifier par lieu</x:v>
      </x:c>
      <x:c r="J3865" t="str">
        <x:v>https://github.com/darknigthmare/deadwall-last-enclosure/blob/1b3b9c5ba232734b1bda3453b4e20a0481bcdd74/codex-3000/addendum-1.58/PROGRAMMES_D.json</x:v>
      </x:c>
      <x:c r="K3865" t="str">
        <x:v>Source min 42,42 m ; max 42,42 m ; modèle 42 × 42 m ; niveaux 0. Détails dans catalogue-existant.json.</x:v>
      </x:c>
    </x:row>
    <x:row r="3866">
      <x:c r="A3866" t="str">
        <x:v>DW-3861</x:v>
      </x:c>
      <x:c r="B3866" t="str">
        <x:v>DW-3861</x:v>
      </x:c>
      <x:c r="C3866" t="str">
        <x:v>Parent indépendant 1.58</x:v>
      </x:c>
      <x:c r="D3866" t="str">
        <x:v>Services et petits ateliers</x:v>
      </x:c>
      <x:c r="E3866" t="str">
        <x:v>Centre des panneaux d'information déposés</x:v>
      </x:c>
      <x:c r="F3866" t="n">
        <x:v>9</x:v>
      </x:c>
      <x:c r="G3866" t="n">
        <x:v>8</x:v>
      </x:c>
      <x:c r="H3866" t="n">
        <x:v>8</x:v>
      </x:c>
      <x:c r="I3866" t="str">
        <x:v>À qualifier par lieu</x:v>
      </x:c>
      <x:c r="J3866" t="str">
        <x:v>https://github.com/darknigthmare/deadwall-last-enclosure/blob/1b3b9c5ba232734b1bda3453b4e20a0481bcdd74/codex-3000/addendum-1.58/PROGRAMMES_D.json</x:v>
      </x:c>
      <x:c r="K3866" t="str">
        <x:v>Source min 46,46 m ; max 46,46 m ; modèle 46 × 46 m ; niveaux 0. Détails dans catalogue-existant.json.</x:v>
      </x:c>
    </x:row>
    <x:row r="3867">
      <x:c r="A3867" t="str">
        <x:v>DW-3862</x:v>
      </x:c>
      <x:c r="B3867" t="str">
        <x:v>DW-3862</x:v>
      </x:c>
      <x:c r="C3867" t="str">
        <x:v>Parent indépendant 1.58</x:v>
      </x:c>
      <x:c r="D3867" t="str">
        <x:v>Services et petits ateliers</x:v>
      </x:c>
      <x:c r="E3867" t="str">
        <x:v>Atelier des serrures de compartiment</x:v>
      </x:c>
      <x:c r="F3867" t="n">
        <x:v>9</x:v>
      </x:c>
      <x:c r="G3867" t="n">
        <x:v>8</x:v>
      </x:c>
      <x:c r="H3867" t="n">
        <x:v>8</x:v>
      </x:c>
      <x:c r="I3867" t="str">
        <x:v>À qualifier par lieu</x:v>
      </x:c>
      <x:c r="J3867" t="str">
        <x:v>https://github.com/darknigthmare/deadwall-last-enclosure/blob/1b3b9c5ba232734b1bda3453b4e20a0481bcdd74/codex-3000/addendum-1.58/PROGRAMMES_D.json</x:v>
      </x:c>
      <x:c r="K3867" t="str">
        <x:v>Source min 38,38 m ; max 38,38 m ; modèle 38 × 38 m ; niveaux 0. Détails dans catalogue-existant.json.</x:v>
      </x:c>
    </x:row>
    <x:row r="3868">
      <x:c r="A3868" t="str">
        <x:v>DW-3863</x:v>
      </x:c>
      <x:c r="B3868" t="str">
        <x:v>DW-3863</x:v>
      </x:c>
      <x:c r="C3868" t="str">
        <x:v>Parent indépendant 1.58</x:v>
      </x:c>
      <x:c r="D3868" t="str">
        <x:v>Services et petits ateliers</x:v>
      </x:c>
      <x:c r="E3868" t="str">
        <x:v>Centre des boîtes de roulement déposées</x:v>
      </x:c>
      <x:c r="F3868" t="n">
        <x:v>9</x:v>
      </x:c>
      <x:c r="G3868" t="n">
        <x:v>8</x:v>
      </x:c>
      <x:c r="H3868" t="n">
        <x:v>8</x:v>
      </x:c>
      <x:c r="I3868" t="str">
        <x:v>À qualifier par lieu</x:v>
      </x:c>
      <x:c r="J3868" t="str">
        <x:v>https://github.com/darknigthmare/deadwall-last-enclosure/blob/1b3b9c5ba232734b1bda3453b4e20a0481bcdd74/codex-3000/addendum-1.58/PROGRAMMES_D.json</x:v>
      </x:c>
      <x:c r="K3868" t="str">
        <x:v>Source min 42,42 m ; max 42,42 m ; modèle 42 × 42 m ; niveaux 0. Détails dans catalogue-existant.json.</x:v>
      </x:c>
    </x:row>
    <x:row r="3869">
      <x:c r="A3869" t="str">
        <x:v>DW-3864</x:v>
      </x:c>
      <x:c r="B3869" t="str">
        <x:v>DW-3864</x:v>
      </x:c>
      <x:c r="C3869" t="str">
        <x:v>Parent indépendant 1.58</x:v>
      </x:c>
      <x:c r="D3869" t="str">
        <x:v>Services et petits ateliers</x:v>
      </x:c>
      <x:c r="E3869" t="str">
        <x:v>Maison des pièces de caténaire déposées</x:v>
      </x:c>
      <x:c r="F3869" t="n">
        <x:v>9</x:v>
      </x:c>
      <x:c r="G3869" t="n">
        <x:v>8</x:v>
      </x:c>
      <x:c r="H3869" t="n">
        <x:v>8</x:v>
      </x:c>
      <x:c r="I3869" t="str">
        <x:v>À qualifier par lieu</x:v>
      </x:c>
      <x:c r="J3869" t="str">
        <x:v>https://github.com/darknigthmare/deadwall-last-enclosure/blob/1b3b9c5ba232734b1bda3453b4e20a0481bcdd74/codex-3000/addendum-1.58/PROGRAMMES_D.json</x:v>
      </x:c>
      <x:c r="K3869" t="str">
        <x:v>Source min 46,46 m ; max 46,46 m ; modèle 46 × 46 m ; niveaux 0. Détails dans catalogue-existant.json.</x:v>
      </x:c>
    </x:row>
    <x:row r="3870">
      <x:c r="A3870" t="str">
        <x:v>DW-3865</x:v>
      </x:c>
      <x:c r="B3870" t="str">
        <x:v>DW-3865</x:v>
      </x:c>
      <x:c r="C3870" t="str">
        <x:v>Parent indépendant 1.58</x:v>
      </x:c>
      <x:c r="D3870" t="str">
        <x:v>Services et petits ateliers</x:v>
      </x:c>
      <x:c r="E3870" t="str">
        <x:v>Atelier des têtes de feu de circulation</x:v>
      </x:c>
      <x:c r="F3870" t="n">
        <x:v>9</x:v>
      </x:c>
      <x:c r="G3870" t="n">
        <x:v>8</x:v>
      </x:c>
      <x:c r="H3870" t="n">
        <x:v>8</x:v>
      </x:c>
      <x:c r="I3870" t="str">
        <x:v>À qualifier par lieu</x:v>
      </x:c>
      <x:c r="J3870" t="str">
        <x:v>https://github.com/darknigthmare/deadwall-last-enclosure/blob/1b3b9c5ba232734b1bda3453b4e20a0481bcdd74/codex-3000/addendum-1.58/PROGRAMMES_D.json</x:v>
      </x:c>
      <x:c r="K3870" t="str">
        <x:v>Source min 38,38 m ; max 38,38 m ; modèle 38 × 38 m ; niveaux 0. Détails dans catalogue-existant.json.</x:v>
      </x:c>
    </x:row>
    <x:row r="3871">
      <x:c r="A3871" t="str">
        <x:v>DW-3866</x:v>
      </x:c>
      <x:c r="B3871" t="str">
        <x:v>DW-3866</x:v>
      </x:c>
      <x:c r="C3871" t="str">
        <x:v>Parent indépendant 1.58</x:v>
      </x:c>
      <x:c r="D3871" t="str">
        <x:v>Services et petits ateliers</x:v>
      </x:c>
      <x:c r="E3871" t="str">
        <x:v>Centre des armoires de carrefour</x:v>
      </x:c>
      <x:c r="F3871" t="n">
        <x:v>9</x:v>
      </x:c>
      <x:c r="G3871" t="n">
        <x:v>8</x:v>
      </x:c>
      <x:c r="H3871" t="n">
        <x:v>8</x:v>
      </x:c>
      <x:c r="I3871" t="str">
        <x:v>À qualifier par lieu</x:v>
      </x:c>
      <x:c r="J3871" t="str">
        <x:v>https://github.com/darknigthmare/deadwall-last-enclosure/blob/1b3b9c5ba232734b1bda3453b4e20a0481bcdd74/codex-3000/addendum-1.58/PROGRAMMES_D.json</x:v>
      </x:c>
      <x:c r="K3871" t="str">
        <x:v>Source min 42,42 m ; max 42,42 m ; modèle 42 × 42 m ; niveaux 0. Détails dans catalogue-existant.json.</x:v>
      </x:c>
    </x:row>
    <x:row r="3872">
      <x:c r="A3872" t="str">
        <x:v>DW-3867</x:v>
      </x:c>
      <x:c r="B3872" t="str">
        <x:v>DW-3867</x:v>
      </x:c>
      <x:c r="C3872" t="str">
        <x:v>Parent indépendant 1.58</x:v>
      </x:c>
      <x:c r="D3872" t="str">
        <x:v>Services et petits ateliers</x:v>
      </x:c>
      <x:c r="E3872" t="str">
        <x:v>Atelier des bornes de stationnement</x:v>
      </x:c>
      <x:c r="F3872" t="n">
        <x:v>9</x:v>
      </x:c>
      <x:c r="G3872" t="n">
        <x:v>8</x:v>
      </x:c>
      <x:c r="H3872" t="n">
        <x:v>8</x:v>
      </x:c>
      <x:c r="I3872" t="str">
        <x:v>À qualifier par lieu</x:v>
      </x:c>
      <x:c r="J3872" t="str">
        <x:v>https://github.com/darknigthmare/deadwall-last-enclosure/blob/1b3b9c5ba232734b1bda3453b4e20a0481bcdd74/codex-3000/addendum-1.58/PROGRAMMES_D.json</x:v>
      </x:c>
      <x:c r="K3872" t="str">
        <x:v>Source min 46,46 m ; max 46,46 m ; modèle 46 × 46 m ; niveaux 0. Détails dans catalogue-existant.json.</x:v>
      </x:c>
    </x:row>
    <x:row r="3873">
      <x:c r="A3873" t="str">
        <x:v>DW-3868</x:v>
      </x:c>
      <x:c r="B3873" t="str">
        <x:v>DW-3868</x:v>
      </x:c>
      <x:c r="C3873" t="str">
        <x:v>Parent indépendant 1.58</x:v>
      </x:c>
      <x:c r="D3873" t="str">
        <x:v>Services et petits ateliers</x:v>
      </x:c>
      <x:c r="E3873" t="str">
        <x:v>Centre des panneaux à message variable</x:v>
      </x:c>
      <x:c r="F3873" t="n">
        <x:v>9</x:v>
      </x:c>
      <x:c r="G3873" t="n">
        <x:v>8</x:v>
      </x:c>
      <x:c r="H3873" t="n">
        <x:v>8</x:v>
      </x:c>
      <x:c r="I3873" t="str">
        <x:v>À qualifier par lieu</x:v>
      </x:c>
      <x:c r="J3873" t="str">
        <x:v>https://github.com/darknigthmare/deadwall-last-enclosure/blob/1b3b9c5ba232734b1bda3453b4e20a0481bcdd74/codex-3000/addendum-1.58/PROGRAMMES_D.json</x:v>
      </x:c>
      <x:c r="K3873" t="str">
        <x:v>Source min 38,38 m ; max 38,38 m ; modèle 38 × 38 m ; niveaux 0. Détails dans catalogue-existant.json.</x:v>
      </x:c>
    </x:row>
    <x:row r="3874">
      <x:c r="A3874" t="str">
        <x:v>DW-3869</x:v>
      </x:c>
      <x:c r="B3874" t="str">
        <x:v>DW-3869</x:v>
      </x:c>
      <x:c r="C3874" t="str">
        <x:v>Parent indépendant 1.58</x:v>
      </x:c>
      <x:c r="D3874" t="str">
        <x:v>Services et petits ateliers</x:v>
      </x:c>
      <x:c r="E3874" t="str">
        <x:v>Atelier des barrières d'accès levantes</x:v>
      </x:c>
      <x:c r="F3874" t="n">
        <x:v>9</x:v>
      </x:c>
      <x:c r="G3874" t="n">
        <x:v>8</x:v>
      </x:c>
      <x:c r="H3874" t="n">
        <x:v>8</x:v>
      </x:c>
      <x:c r="I3874" t="str">
        <x:v>À qualifier par lieu</x:v>
      </x:c>
      <x:c r="J3874" t="str">
        <x:v>https://github.com/darknigthmare/deadwall-last-enclosure/blob/1b3b9c5ba232734b1bda3453b4e20a0481bcdd74/codex-3000/addendum-1.58/PROGRAMMES_D.json</x:v>
      </x:c>
      <x:c r="K3874" t="str">
        <x:v>Source min 42,42 m ; max 42,42 m ; modèle 42 × 42 m ; niveaux 0. Détails dans catalogue-existant.json.</x:v>
      </x:c>
    </x:row>
    <x:row r="3875">
      <x:c r="A3875" t="str">
        <x:v>DW-3870</x:v>
      </x:c>
      <x:c r="B3875" t="str">
        <x:v>DW-3870</x:v>
      </x:c>
      <x:c r="C3875" t="str">
        <x:v>Parent indépendant 1.58</x:v>
      </x:c>
      <x:c r="D3875" t="str">
        <x:v>Services et petits ateliers</x:v>
      </x:c>
      <x:c r="E3875" t="str">
        <x:v>Centre des capteurs de chaussée</x:v>
      </x:c>
      <x:c r="F3875" t="n">
        <x:v>9</x:v>
      </x:c>
      <x:c r="G3875" t="n">
        <x:v>8</x:v>
      </x:c>
      <x:c r="H3875" t="n">
        <x:v>8</x:v>
      </x:c>
      <x:c r="I3875" t="str">
        <x:v>À qualifier par lieu</x:v>
      </x:c>
      <x:c r="J3875" t="str">
        <x:v>https://github.com/darknigthmare/deadwall-last-enclosure/blob/1b3b9c5ba232734b1bda3453b4e20a0481bcdd74/codex-3000/addendum-1.58/PROGRAMMES_D.json</x:v>
      </x:c>
      <x:c r="K3875" t="str">
        <x:v>Source min 46,46 m ; max 46,46 m ; modèle 46 × 46 m ; niveaux 0. Détails dans catalogue-existant.json.</x:v>
      </x:c>
    </x:row>
    <x:row r="3876">
      <x:c r="A3876" t="str">
        <x:v>DW-3871</x:v>
      </x:c>
      <x:c r="B3876" t="str">
        <x:v>DW-3871</x:v>
      </x:c>
      <x:c r="C3876" t="str">
        <x:v>Parent indépendant 1.58</x:v>
      </x:c>
      <x:c r="D3876" t="str">
        <x:v>Services et petits ateliers</x:v>
      </x:c>
      <x:c r="E3876" t="str">
        <x:v>Atelier des balayeuses de voirie déposées</x:v>
      </x:c>
      <x:c r="F3876" t="n">
        <x:v>9</x:v>
      </x:c>
      <x:c r="G3876" t="n">
        <x:v>8</x:v>
      </x:c>
      <x:c r="H3876" t="n">
        <x:v>8</x:v>
      </x:c>
      <x:c r="I3876" t="str">
        <x:v>À qualifier par lieu</x:v>
      </x:c>
      <x:c r="J3876" t="str">
        <x:v>https://github.com/darknigthmare/deadwall-last-enclosure/blob/1b3b9c5ba232734b1bda3453b4e20a0481bcdd74/codex-3000/addendum-1.58/PROGRAMMES_D.json</x:v>
      </x:c>
      <x:c r="K3876" t="str">
        <x:v>Source min 38,38 m ; max 38,38 m ; modèle 38 × 38 m ; niveaux 0. Détails dans catalogue-existant.json.</x:v>
      </x:c>
    </x:row>
    <x:row r="3877">
      <x:c r="A3877" t="str">
        <x:v>DW-3872</x:v>
      </x:c>
      <x:c r="B3877" t="str">
        <x:v>DW-3872</x:v>
      </x:c>
      <x:c r="C3877" t="str">
        <x:v>Parent indépendant 1.58</x:v>
      </x:c>
      <x:c r="D3877" t="str">
        <x:v>Services et petits ateliers</x:v>
      </x:c>
      <x:c r="E3877" t="str">
        <x:v>Centre des têtes de marquage routier</x:v>
      </x:c>
      <x:c r="F3877" t="n">
        <x:v>9</x:v>
      </x:c>
      <x:c r="G3877" t="n">
        <x:v>8</x:v>
      </x:c>
      <x:c r="H3877" t="n">
        <x:v>8</x:v>
      </x:c>
      <x:c r="I3877" t="str">
        <x:v>À qualifier par lieu</x:v>
      </x:c>
      <x:c r="J3877" t="str">
        <x:v>https://github.com/darknigthmare/deadwall-last-enclosure/blob/1b3b9c5ba232734b1bda3453b4e20a0481bcdd74/codex-3000/addendum-1.58/PROGRAMMES_D.json</x:v>
      </x:c>
      <x:c r="K3877" t="str">
        <x:v>Source min 42,42 m ; max 42,42 m ; modèle 42 × 42 m ; niveaux 0. Détails dans catalogue-existant.json.</x:v>
      </x:c>
    </x:row>
    <x:row r="3878">
      <x:c r="A3878" t="str">
        <x:v>DW-3873</x:v>
      </x:c>
      <x:c r="B3878" t="str">
        <x:v>DW-3873</x:v>
      </x:c>
      <x:c r="C3878" t="str">
        <x:v>Parent indépendant 1.58</x:v>
      </x:c>
      <x:c r="D3878" t="str">
        <x:v>Services et petits ateliers</x:v>
      </x:c>
      <x:c r="E3878" t="str">
        <x:v>Atelier des saleuses de chaussée</x:v>
      </x:c>
      <x:c r="F3878" t="n">
        <x:v>9</x:v>
      </x:c>
      <x:c r="G3878" t="n">
        <x:v>8</x:v>
      </x:c>
      <x:c r="H3878" t="n">
        <x:v>8</x:v>
      </x:c>
      <x:c r="I3878" t="str">
        <x:v>À qualifier par lieu</x:v>
      </x:c>
      <x:c r="J3878" t="str">
        <x:v>https://github.com/darknigthmare/deadwall-last-enclosure/blob/1b3b9c5ba232734b1bda3453b4e20a0481bcdd74/codex-3000/addendum-1.58/PROGRAMMES_D.json</x:v>
      </x:c>
      <x:c r="K3878" t="str">
        <x:v>Source min 46,46 m ; max 46,46 m ; modèle 46 × 46 m ; niveaux 0. Détails dans catalogue-existant.json.</x:v>
      </x:c>
    </x:row>
    <x:row r="3879">
      <x:c r="A3879" t="str">
        <x:v>DW-3874</x:v>
      </x:c>
      <x:c r="B3879" t="str">
        <x:v>DW-3874</x:v>
      </x:c>
      <x:c r="C3879" t="str">
        <x:v>Parent indépendant 1.58</x:v>
      </x:c>
      <x:c r="D3879" t="str">
        <x:v>Services et petits ateliers</x:v>
      </x:c>
      <x:c r="E3879" t="str">
        <x:v>Centre des buses de curage routier</x:v>
      </x:c>
      <x:c r="F3879" t="n">
        <x:v>9</x:v>
      </x:c>
      <x:c r="G3879" t="n">
        <x:v>8</x:v>
      </x:c>
      <x:c r="H3879" t="n">
        <x:v>8</x:v>
      </x:c>
      <x:c r="I3879" t="str">
        <x:v>À qualifier par lieu</x:v>
      </x:c>
      <x:c r="J3879" t="str">
        <x:v>https://github.com/darknigthmare/deadwall-last-enclosure/blob/1b3b9c5ba232734b1bda3453b4e20a0481bcdd74/codex-3000/addendum-1.58/PROGRAMMES_D.json</x:v>
      </x:c>
      <x:c r="K3879" t="str">
        <x:v>Source min 38,38 m ; max 38,38 m ; modèle 38 × 38 m ; niveaux 0. Détails dans catalogue-existant.json.</x:v>
      </x:c>
    </x:row>
    <x:row r="3880">
      <x:c r="A3880" t="str">
        <x:v>DW-3875</x:v>
      </x:c>
      <x:c r="B3880" t="str">
        <x:v>DW-3875</x:v>
      </x:c>
      <x:c r="C3880" t="str">
        <x:v>Parent indépendant 1.58</x:v>
      </x:c>
      <x:c r="D3880" t="str">
        <x:v>Services et petits ateliers</x:v>
      </x:c>
      <x:c r="E3880" t="str">
        <x:v>Atelier des plaques de ralentisseur</x:v>
      </x:c>
      <x:c r="F3880" t="n">
        <x:v>9</x:v>
      </x:c>
      <x:c r="G3880" t="n">
        <x:v>8</x:v>
      </x:c>
      <x:c r="H3880" t="n">
        <x:v>8</x:v>
      </x:c>
      <x:c r="I3880" t="str">
        <x:v>À qualifier par lieu</x:v>
      </x:c>
      <x:c r="J3880" t="str">
        <x:v>https://github.com/darknigthmare/deadwall-last-enclosure/blob/1b3b9c5ba232734b1bda3453b4e20a0481bcdd74/codex-3000/addendum-1.58/PROGRAMMES_D.json</x:v>
      </x:c>
      <x:c r="K3880" t="str">
        <x:v>Source min 42,42 m ; max 42,42 m ; modèle 42 × 42 m ; niveaux 0. Détails dans catalogue-existant.json.</x:v>
      </x:c>
    </x:row>
    <x:row r="3881">
      <x:c r="A3881" t="str">
        <x:v>DW-3876</x:v>
      </x:c>
      <x:c r="B3881" t="str">
        <x:v>DW-3876</x:v>
      </x:c>
      <x:c r="C3881" t="str">
        <x:v>Parent indépendant 1.58</x:v>
      </x:c>
      <x:c r="D3881" t="str">
        <x:v>Services et petits ateliers</x:v>
      </x:c>
      <x:c r="E3881" t="str">
        <x:v>Centre des abris de signalisation temporaire</x:v>
      </x:c>
      <x:c r="F3881" t="n">
        <x:v>9</x:v>
      </x:c>
      <x:c r="G3881" t="n">
        <x:v>8</x:v>
      </x:c>
      <x:c r="H3881" t="n">
        <x:v>8</x:v>
      </x:c>
      <x:c r="I3881" t="str">
        <x:v>À qualifier par lieu</x:v>
      </x:c>
      <x:c r="J3881" t="str">
        <x:v>https://github.com/darknigthmare/deadwall-last-enclosure/blob/1b3b9c5ba232734b1bda3453b4e20a0481bcdd74/codex-3000/addendum-1.58/PROGRAMMES_D.json</x:v>
      </x:c>
      <x:c r="K3881" t="str">
        <x:v>Source min 46,46 m ; max 46,46 m ; modèle 46 × 46 m ; niveaux 0. Détails dans catalogue-existant.json.</x:v>
      </x:c>
    </x:row>
    <x:row r="3882">
      <x:c r="A3882" t="str">
        <x:v>DW-3877</x:v>
      </x:c>
      <x:c r="B3882" t="str">
        <x:v>DW-3877</x:v>
      </x:c>
      <x:c r="C3882" t="str">
        <x:v>Parent indépendant 1.58</x:v>
      </x:c>
      <x:c r="D3882" t="str">
        <x:v>Services et petits ateliers</x:v>
      </x:c>
      <x:c r="E3882" t="str">
        <x:v>Maison des équipements de comptage routier</x:v>
      </x:c>
      <x:c r="F3882" t="n">
        <x:v>9</x:v>
      </x:c>
      <x:c r="G3882" t="n">
        <x:v>8</x:v>
      </x:c>
      <x:c r="H3882" t="n">
        <x:v>8</x:v>
      </x:c>
      <x:c r="I3882" t="str">
        <x:v>À qualifier par lieu</x:v>
      </x:c>
      <x:c r="J3882" t="str">
        <x:v>https://github.com/darknigthmare/deadwall-last-enclosure/blob/1b3b9c5ba232734b1bda3453b4e20a0481bcdd74/codex-3000/addendum-1.58/PROGRAMMES_D.json</x:v>
      </x:c>
      <x:c r="K3882" t="str">
        <x:v>Source min 38,38 m ; max 38,38 m ; modèle 38 × 38 m ; niveaux 0. Détails dans catalogue-existant.json.</x:v>
      </x:c>
    </x:row>
    <x:row r="3883">
      <x:c r="A3883" t="str">
        <x:v>DW-3878</x:v>
      </x:c>
      <x:c r="B3883" t="str">
        <x:v>DW-3878</x:v>
      </x:c>
      <x:c r="C3883" t="str">
        <x:v>Parent indépendant 1.58</x:v>
      </x:c>
      <x:c r="D3883" t="str">
        <x:v>Administration et communauté</x:v>
      </x:c>
      <x:c r="E3883" t="str">
        <x:v>Maison des plans de détour de chantier</x:v>
      </x:c>
      <x:c r="F3883" t="n">
        <x:v>9</x:v>
      </x:c>
      <x:c r="G3883" t="n">
        <x:v>8</x:v>
      </x:c>
      <x:c r="H3883" t="n">
        <x:v>8</x:v>
      </x:c>
      <x:c r="I3883" t="str">
        <x:v>À qualifier par lieu</x:v>
      </x:c>
      <x:c r="J3883" t="str">
        <x:v>https://github.com/darknigthmare/deadwall-last-enclosure/blob/1b3b9c5ba232734b1bda3453b4e20a0481bcdd74/codex-3000/addendum-1.58/PROGRAMMES_D.json</x:v>
      </x:c>
      <x:c r="K3883" t="str">
        <x:v>Source min 42,42 m ; max 42,42 m ; modèle 42 × 42 m ; niveaux 0, 1. Détails dans catalogue-existant.json.</x:v>
      </x:c>
    </x:row>
    <x:row r="3884">
      <x:c r="A3884" t="str">
        <x:v>DW-3879</x:v>
      </x:c>
      <x:c r="B3884" t="str">
        <x:v>DW-3879</x:v>
      </x:c>
      <x:c r="C3884" t="str">
        <x:v>Parent indépendant 1.58</x:v>
      </x:c>
      <x:c r="D3884" t="str">
        <x:v>Administration et communauté</x:v>
      </x:c>
      <x:c r="E3884" t="str">
        <x:v>Centre des constats d'accident de flotte</x:v>
      </x:c>
      <x:c r="F3884" t="n">
        <x:v>9</x:v>
      </x:c>
      <x:c r="G3884" t="n">
        <x:v>8</x:v>
      </x:c>
      <x:c r="H3884" t="n">
        <x:v>8</x:v>
      </x:c>
      <x:c r="I3884" t="str">
        <x:v>À qualifier par lieu</x:v>
      </x:c>
      <x:c r="J3884" t="str">
        <x:v>https://github.com/darknigthmare/deadwall-last-enclosure/blob/1b3b9c5ba232734b1bda3453b4e20a0481bcdd74/codex-3000/addendum-1.58/PROGRAMMES_D.json</x:v>
      </x:c>
      <x:c r="K3884" t="str">
        <x:v>Source min 46,46 m ; max 46,46 m ; modèle 46 × 46 m ; niveaux 0, 1. Détails dans catalogue-existant.json.</x:v>
      </x:c>
    </x:row>
    <x:row r="3885">
      <x:c r="A3885" t="str">
        <x:v>DW-3880</x:v>
      </x:c>
      <x:c r="B3885" t="str">
        <x:v>DW-3880</x:v>
      </x:c>
      <x:c r="C3885" t="str">
        <x:v>Parent indépendant 1.58</x:v>
      </x:c>
      <x:c r="D3885" t="str">
        <x:v>Administration et communauté</x:v>
      </x:c>
      <x:c r="E3885" t="str">
        <x:v>Maison des formations de chargement</x:v>
      </x:c>
      <x:c r="F3885" t="n">
        <x:v>9</x:v>
      </x:c>
      <x:c r="G3885" t="n">
        <x:v>8</x:v>
      </x:c>
      <x:c r="H3885" t="n">
        <x:v>8</x:v>
      </x:c>
      <x:c r="I3885" t="str">
        <x:v>À qualifier par lieu</x:v>
      </x:c>
      <x:c r="J3885" t="str">
        <x:v>https://github.com/darknigthmare/deadwall-last-enclosure/blob/1b3b9c5ba232734b1bda3453b4e20a0481bcdd74/codex-3000/addendum-1.58/PROGRAMMES_D.json</x:v>
      </x:c>
      <x:c r="K3885" t="str">
        <x:v>Source min 38,38 m ; max 38,38 m ; modèle 38 × 38 m ; niveaux 0, 1. Détails dans catalogue-existant.json.</x:v>
      </x:c>
    </x:row>
    <x:row r="3886">
      <x:c r="A3886" t="str">
        <x:v>DW-3881</x:v>
      </x:c>
      <x:c r="B3886" t="str">
        <x:v>DW-3881</x:v>
      </x:c>
      <x:c r="C3886" t="str">
        <x:v>Parent indépendant 1.58</x:v>
      </x:c>
      <x:c r="D3886" t="str">
        <x:v>Administration et communauté</x:v>
      </x:c>
      <x:c r="E3886" t="str">
        <x:v>Centre de préparation des parcours accessibles</x:v>
      </x:c>
      <x:c r="F3886" t="n">
        <x:v>9</x:v>
      </x:c>
      <x:c r="G3886" t="n">
        <x:v>8</x:v>
      </x:c>
      <x:c r="H3886" t="n">
        <x:v>8</x:v>
      </x:c>
      <x:c r="I3886" t="str">
        <x:v>À qualifier par lieu</x:v>
      </x:c>
      <x:c r="J3886" t="str">
        <x:v>https://github.com/darknigthmare/deadwall-last-enclosure/blob/1b3b9c5ba232734b1bda3453b4e20a0481bcdd74/codex-3000/addendum-1.58/PROGRAMMES_D.json</x:v>
      </x:c>
      <x:c r="K3886" t="str">
        <x:v>Source min 42,42 m ; max 42,42 m ; modèle 42 × 42 m ; niveaux 0, 1. Détails dans catalogue-existant.json.</x:v>
      </x:c>
    </x:row>
    <x:row r="3887">
      <x:c r="A3887" t="str">
        <x:v>DW-3882</x:v>
      </x:c>
      <x:c r="B3887" t="str">
        <x:v>DW-3882</x:v>
      </x:c>
      <x:c r="C3887" t="str">
        <x:v>Parent indépendant 1.58</x:v>
      </x:c>
      <x:c r="D3887" t="str">
        <x:v>Administration et communauté</x:v>
      </x:c>
      <x:c r="E3887" t="str">
        <x:v>Maison des autorisations de convoi exceptionnel</x:v>
      </x:c>
      <x:c r="F3887" t="n">
        <x:v>9</x:v>
      </x:c>
      <x:c r="G3887" t="n">
        <x:v>8</x:v>
      </x:c>
      <x:c r="H3887" t="n">
        <x:v>8</x:v>
      </x:c>
      <x:c r="I3887" t="str">
        <x:v>À qualifier par lieu</x:v>
      </x:c>
      <x:c r="J3887" t="str">
        <x:v>https://github.com/darknigthmare/deadwall-last-enclosure/blob/1b3b9c5ba232734b1bda3453b4e20a0481bcdd74/codex-3000/addendum-1.58/PROGRAMMES_D.json</x:v>
      </x:c>
      <x:c r="K3887" t="str">
        <x:v>Source min 46,46 m ; max 46,46 m ; modèle 46 × 46 m ; niveaux 0, 1. Détails dans catalogue-existant.json.</x:v>
      </x:c>
    </x:row>
    <x:row r="3888">
      <x:c r="A3888" t="str">
        <x:v>DW-3883</x:v>
      </x:c>
      <x:c r="B3888" t="str">
        <x:v>DW-3883</x:v>
      </x:c>
      <x:c r="C3888" t="str">
        <x:v>Parent indépendant 1.58</x:v>
      </x:c>
      <x:c r="D3888" t="str">
        <x:v>Administration et communauté</x:v>
      </x:c>
      <x:c r="E3888" t="str">
        <x:v>Centre des contrôles de documents de flotte</x:v>
      </x:c>
      <x:c r="F3888" t="n">
        <x:v>9</x:v>
      </x:c>
      <x:c r="G3888" t="n">
        <x:v>8</x:v>
      </x:c>
      <x:c r="H3888" t="n">
        <x:v>8</x:v>
      </x:c>
      <x:c r="I3888" t="str">
        <x:v>À qualifier par lieu</x:v>
      </x:c>
      <x:c r="J3888" t="str">
        <x:v>https://github.com/darknigthmare/deadwall-last-enclosure/blob/1b3b9c5ba232734b1bda3453b4e20a0481bcdd74/codex-3000/addendum-1.58/PROGRAMMES_D.json</x:v>
      </x:c>
      <x:c r="K3888" t="str">
        <x:v>Source min 38,38 m ; max 38,38 m ; modèle 38 × 38 m ; niveaux 0, 1. Détails dans catalogue-existant.json.</x:v>
      </x:c>
    </x:row>
    <x:row r="3889">
      <x:c r="A3889" t="str">
        <x:v>DW-3884</x:v>
      </x:c>
      <x:c r="B3889" t="str">
        <x:v>DW-3884</x:v>
      </x:c>
      <x:c r="C3889" t="str">
        <x:v>Parent indépendant 1.58</x:v>
      </x:c>
      <x:c r="D3889" t="str">
        <x:v>Administration et communauté</x:v>
      </x:c>
      <x:c r="E3889" t="str">
        <x:v>Maison des simulations de conduite sur table</x:v>
      </x:c>
      <x:c r="F3889" t="n">
        <x:v>9</x:v>
      </x:c>
      <x:c r="G3889" t="n">
        <x:v>8</x:v>
      </x:c>
      <x:c r="H3889" t="n">
        <x:v>8</x:v>
      </x:c>
      <x:c r="I3889" t="str">
        <x:v>À qualifier par lieu</x:v>
      </x:c>
      <x:c r="J3889" t="str">
        <x:v>https://github.com/darknigthmare/deadwall-last-enclosure/blob/1b3b9c5ba232734b1bda3453b4e20a0481bcdd74/codex-3000/addendum-1.58/PROGRAMMES_D.json</x:v>
      </x:c>
      <x:c r="K3889" t="str">
        <x:v>Source min 42,42 m ; max 42,42 m ; modèle 42 × 42 m ; niveaux 0, 1. Détails dans catalogue-existant.json.</x:v>
      </x:c>
    </x:row>
    <x:row r="3890">
      <x:c r="A3890" t="str">
        <x:v>DW-3885</x:v>
      </x:c>
      <x:c r="B3890" t="str">
        <x:v>DW-3885</x:v>
      </x:c>
      <x:c r="C3890" t="str">
        <x:v>Parent indépendant 1.58</x:v>
      </x:c>
      <x:c r="D3890" t="str">
        <x:v>Administration et communauté</x:v>
      </x:c>
      <x:c r="E3890" t="str">
        <x:v>Centre des appels de dépannage routier</x:v>
      </x:c>
      <x:c r="F3890" t="n">
        <x:v>9</x:v>
      </x:c>
      <x:c r="G3890" t="n">
        <x:v>8</x:v>
      </x:c>
      <x:c r="H3890" t="n">
        <x:v>8</x:v>
      </x:c>
      <x:c r="I3890" t="str">
        <x:v>À qualifier par lieu</x:v>
      </x:c>
      <x:c r="J3890" t="str">
        <x:v>https://github.com/darknigthmare/deadwall-last-enclosure/blob/1b3b9c5ba232734b1bda3453b4e20a0481bcdd74/codex-3000/addendum-1.58/PROGRAMMES_D.json</x:v>
      </x:c>
      <x:c r="K3890" t="str">
        <x:v>Source min 46,46 m ; max 46,46 m ; modèle 46 × 46 m ; niveaux 0, 1. Détails dans catalogue-existant.json.</x:v>
      </x:c>
    </x:row>
    <x:row r="3891">
      <x:c r="A3891" t="str">
        <x:v>DW-3886</x:v>
      </x:c>
      <x:c r="B3891" t="str">
        <x:v>DW-3886</x:v>
      </x:c>
      <x:c r="C3891" t="str">
        <x:v>Parent indépendant 1.58</x:v>
      </x:c>
      <x:c r="D3891" t="str">
        <x:v>Administration et communauté</x:v>
      </x:c>
      <x:c r="E3891" t="str">
        <x:v>Maison des garanties de transport de biens</x:v>
      </x:c>
      <x:c r="F3891" t="n">
        <x:v>9</x:v>
      </x:c>
      <x:c r="G3891" t="n">
        <x:v>8</x:v>
      </x:c>
      <x:c r="H3891" t="n">
        <x:v>8</x:v>
      </x:c>
      <x:c r="I3891" t="str">
        <x:v>À qualifier par lieu</x:v>
      </x:c>
      <x:c r="J3891" t="str">
        <x:v>https://github.com/darknigthmare/deadwall-last-enclosure/blob/1b3b9c5ba232734b1bda3453b4e20a0481bcdd74/codex-3000/addendum-1.58/PROGRAMMES_D.json</x:v>
      </x:c>
      <x:c r="K3891" t="str">
        <x:v>Source min 38,38 m ; max 38,38 m ; modèle 38 × 38 m ; niveaux 0, 1. Détails dans catalogue-existant.json.</x:v>
      </x:c>
    </x:row>
    <x:row r="3892">
      <x:c r="A3892" t="str">
        <x:v>DW-3887</x:v>
      </x:c>
      <x:c r="B3892" t="str">
        <x:v>DW-3887</x:v>
      </x:c>
      <x:c r="C3892" t="str">
        <x:v>Parent indépendant 1.58</x:v>
      </x:c>
      <x:c r="D3892" t="str">
        <x:v>Administration et communauté</x:v>
      </x:c>
      <x:c r="E3892" t="str">
        <x:v>Centre des objets trouvés en transport</x:v>
      </x:c>
      <x:c r="F3892" t="n">
        <x:v>9</x:v>
      </x:c>
      <x:c r="G3892" t="n">
        <x:v>8</x:v>
      </x:c>
      <x:c r="H3892" t="n">
        <x:v>8</x:v>
      </x:c>
      <x:c r="I3892" t="str">
        <x:v>À qualifier par lieu</x:v>
      </x:c>
      <x:c r="J3892" t="str">
        <x:v>https://github.com/darknigthmare/deadwall-last-enclosure/blob/1b3b9c5ba232734b1bda3453b4e20a0481bcdd74/codex-3000/addendum-1.58/PROGRAMMES_D.json</x:v>
      </x:c>
      <x:c r="K3892" t="str">
        <x:v>Source min 42,42 m ; max 42,42 m ; modèle 42 × 42 m ; niveaux 0, 1. Détails dans catalogue-existant.json.</x:v>
      </x:c>
    </x:row>
    <x:row r="3893">
      <x:c r="A3893" t="str">
        <x:v>DW-3888</x:v>
      </x:c>
      <x:c r="B3893" t="str">
        <x:v>DW-3888</x:v>
      </x:c>
      <x:c r="C3893" t="str">
        <x:v>Parent indépendant 1.58</x:v>
      </x:c>
      <x:c r="D3893" t="str">
        <x:v>Administration et communauté</x:v>
      </x:c>
      <x:c r="E3893" t="str">
        <x:v>Maison des cartes de parcours papier</x:v>
      </x:c>
      <x:c r="F3893" t="n">
        <x:v>9</x:v>
      </x:c>
      <x:c r="G3893" t="n">
        <x:v>8</x:v>
      </x:c>
      <x:c r="H3893" t="n">
        <x:v>8</x:v>
      </x:c>
      <x:c r="I3893" t="str">
        <x:v>À qualifier par lieu</x:v>
      </x:c>
      <x:c r="J3893" t="str">
        <x:v>https://github.com/darknigthmare/deadwall-last-enclosure/blob/1b3b9c5ba232734b1bda3453b4e20a0481bcdd74/codex-3000/addendum-1.58/PROGRAMMES_D.json</x:v>
      </x:c>
      <x:c r="K3893" t="str">
        <x:v>Source min 46,46 m ; max 46,46 m ; modèle 46 × 46 m ; niveaux 0, 1. Détails dans catalogue-existant.json.</x:v>
      </x:c>
    </x:row>
    <x:row r="3894">
      <x:c r="A3894" t="str">
        <x:v>DW-3889</x:v>
      </x:c>
      <x:c r="B3894" t="str">
        <x:v>DW-3889</x:v>
      </x:c>
      <x:c r="C3894" t="str">
        <x:v>Parent indépendant 1.58</x:v>
      </x:c>
      <x:c r="D3894" t="str">
        <x:v>Administration et communauté</x:v>
      </x:c>
      <x:c r="E3894" t="str">
        <x:v>Centre des équipements de contrôle de gabarit</x:v>
      </x:c>
      <x:c r="F3894" t="n">
        <x:v>9</x:v>
      </x:c>
      <x:c r="G3894" t="n">
        <x:v>8</x:v>
      </x:c>
      <x:c r="H3894" t="n">
        <x:v>8</x:v>
      </x:c>
      <x:c r="I3894" t="str">
        <x:v>À qualifier par lieu</x:v>
      </x:c>
      <x:c r="J3894" t="str">
        <x:v>https://github.com/darknigthmare/deadwall-last-enclosure/blob/1b3b9c5ba232734b1bda3453b4e20a0481bcdd74/codex-3000/addendum-1.58/PROGRAMMES_D.json</x:v>
      </x:c>
      <x:c r="K3894" t="str">
        <x:v>Source min 38,38 m ; max 38,38 m ; modèle 38 × 38 m ; niveaux 0, 1. Détails dans catalogue-existant.json.</x:v>
      </x:c>
    </x:row>
    <x:row r="3895">
      <x:c r="A3895" t="str">
        <x:v>DW-3890</x:v>
      </x:c>
      <x:c r="B3895" t="str">
        <x:v>DW-3890</x:v>
      </x:c>
      <x:c r="C3895" t="str">
        <x:v>Parent indépendant 1.58</x:v>
      </x:c>
      <x:c r="D3895" t="str">
        <x:v>Administration et communauté</x:v>
      </x:c>
      <x:c r="E3895" t="str">
        <x:v>Maison des exercices d'évacuation routière</x:v>
      </x:c>
      <x:c r="F3895" t="n">
        <x:v>9</x:v>
      </x:c>
      <x:c r="G3895" t="n">
        <x:v>8</x:v>
      </x:c>
      <x:c r="H3895" t="n">
        <x:v>8</x:v>
      </x:c>
      <x:c r="I3895" t="str">
        <x:v>À qualifier par lieu</x:v>
      </x:c>
      <x:c r="J3895" t="str">
        <x:v>https://github.com/darknigthmare/deadwall-last-enclosure/blob/1b3b9c5ba232734b1bda3453b4e20a0481bcdd74/codex-3000/addendum-1.58/PROGRAMMES_D.json</x:v>
      </x:c>
      <x:c r="K3895" t="str">
        <x:v>Source min 42,42 m ; max 42,42 m ; modèle 42 × 42 m ; niveaux 0, 1. Détails dans catalogue-existant.json.</x:v>
      </x:c>
    </x:row>
    <x:row r="3896">
      <x:c r="A3896" t="str">
        <x:v>DW-3891</x:v>
      </x:c>
      <x:c r="B3896" t="str">
        <x:v>DW-3891</x:v>
      </x:c>
      <x:c r="C3896" t="str">
        <x:v>Parent indépendant 1.58</x:v>
      </x:c>
      <x:c r="D3896" t="str">
        <x:v>Secours et protection civile</x:v>
      </x:c>
      <x:c r="E3896" t="str">
        <x:v>Atelier des tuyaux de lutte contre le feu</x:v>
      </x:c>
      <x:c r="F3896" t="n">
        <x:v>9</x:v>
      </x:c>
      <x:c r="G3896" t="n">
        <x:v>8</x:v>
      </x:c>
      <x:c r="H3896" t="n">
        <x:v>8</x:v>
      </x:c>
      <x:c r="I3896" t="str">
        <x:v>À qualifier par lieu</x:v>
      </x:c>
      <x:c r="J3896" t="str">
        <x:v>https://github.com/darknigthmare/deadwall-last-enclosure/blob/1b3b9c5ba232734b1bda3453b4e20a0481bcdd74/codex-3000/addendum-1.58/PROGRAMMES_D.json</x:v>
      </x:c>
      <x:c r="K3896" t="str">
        <x:v>Source min 44,44 m ; max 44,44 m ; modèle 44 × 44 m ; niveaux 0, 1. Détails dans catalogue-existant.json.</x:v>
      </x:c>
    </x:row>
    <x:row r="3897">
      <x:c r="A3897" t="str">
        <x:v>DW-3892</x:v>
      </x:c>
      <x:c r="B3897" t="str">
        <x:v>DW-3892</x:v>
      </x:c>
      <x:c r="C3897" t="str">
        <x:v>Parent indépendant 1.58</x:v>
      </x:c>
      <x:c r="D3897" t="str">
        <x:v>Secours et protection civile</x:v>
      </x:c>
      <x:c r="E3897" t="str">
        <x:v>Centre des appareils respiratoires de secours</x:v>
      </x:c>
      <x:c r="F3897" t="n">
        <x:v>9</x:v>
      </x:c>
      <x:c r="G3897" t="n">
        <x:v>8</x:v>
      </x:c>
      <x:c r="H3897" t="n">
        <x:v>8</x:v>
      </x:c>
      <x:c r="I3897" t="str">
        <x:v>À qualifier par lieu</x:v>
      </x:c>
      <x:c r="J3897" t="str">
        <x:v>https://github.com/darknigthmare/deadwall-last-enclosure/blob/1b3b9c5ba232734b1bda3453b4e20a0481bcdd74/codex-3000/addendum-1.58/PROGRAMMES_D.json</x:v>
      </x:c>
      <x:c r="K3897" t="str">
        <x:v>Source min 36,36 m ; max 36,36 m ; modèle 36 × 36 m ; niveaux 0, 1. Détails dans catalogue-existant.json.</x:v>
      </x:c>
    </x:row>
    <x:row r="3898">
      <x:c r="A3898" t="str">
        <x:v>DW-3893</x:v>
      </x:c>
      <x:c r="B3898" t="str">
        <x:v>DW-3893</x:v>
      </x:c>
      <x:c r="C3898" t="str">
        <x:v>Parent indépendant 1.58</x:v>
      </x:c>
      <x:c r="D3898" t="str">
        <x:v>Secours et protection civile</x:v>
      </x:c>
      <x:c r="E3898" t="str">
        <x:v>Atelier des civières de portage</x:v>
      </x:c>
      <x:c r="F3898" t="n">
        <x:v>9</x:v>
      </x:c>
      <x:c r="G3898" t="n">
        <x:v>8</x:v>
      </x:c>
      <x:c r="H3898" t="n">
        <x:v>8</x:v>
      </x:c>
      <x:c r="I3898" t="str">
        <x:v>À qualifier par lieu</x:v>
      </x:c>
      <x:c r="J3898" t="str">
        <x:v>https://github.com/darknigthmare/deadwall-last-enclosure/blob/1b3b9c5ba232734b1bda3453b4e20a0481bcdd74/codex-3000/addendum-1.58/PROGRAMMES_D.json</x:v>
      </x:c>
      <x:c r="K3898" t="str">
        <x:v>Source min 40,40 m ; max 40,40 m ; modèle 40 × 40 m ; niveaux 0, 1. Détails dans catalogue-existant.json.</x:v>
      </x:c>
    </x:row>
    <x:row r="3899">
      <x:c r="A3899" t="str">
        <x:v>DW-3894</x:v>
      </x:c>
      <x:c r="B3899" t="str">
        <x:v>DW-3894</x:v>
      </x:c>
      <x:c r="C3899" t="str">
        <x:v>Parent indépendant 1.58</x:v>
      </x:c>
      <x:c r="D3899" t="str">
        <x:v>Secours et protection civile</x:v>
      </x:c>
      <x:c r="E3899" t="str">
        <x:v>Centre des échelles de secours démontées</x:v>
      </x:c>
      <x:c r="F3899" t="n">
        <x:v>9</x:v>
      </x:c>
      <x:c r="G3899" t="n">
        <x:v>8</x:v>
      </x:c>
      <x:c r="H3899" t="n">
        <x:v>8</x:v>
      </x:c>
      <x:c r="I3899" t="str">
        <x:v>À qualifier par lieu</x:v>
      </x:c>
      <x:c r="J3899" t="str">
        <x:v>https://github.com/darknigthmare/deadwall-last-enclosure/blob/1b3b9c5ba232734b1bda3453b4e20a0481bcdd74/codex-3000/addendum-1.58/PROGRAMMES_D.json</x:v>
      </x:c>
      <x:c r="K3899" t="str">
        <x:v>Source min 44,44 m ; max 44,44 m ; modèle 44 × 44 m ; niveaux 0, 1. Détails dans catalogue-existant.json.</x:v>
      </x:c>
    </x:row>
    <x:row r="3900">
      <x:c r="A3900" t="str">
        <x:v>DW-3895</x:v>
      </x:c>
      <x:c r="B3900" t="str">
        <x:v>DW-3895</x:v>
      </x:c>
      <x:c r="C3900" t="str">
        <x:v>Parent indépendant 1.58</x:v>
      </x:c>
      <x:c r="D3900" t="str">
        <x:v>Secours et protection civile</x:v>
      </x:c>
      <x:c r="E3900" t="str">
        <x:v>Atelier des treuils de récupération</x:v>
      </x:c>
      <x:c r="F3900" t="n">
        <x:v>9</x:v>
      </x:c>
      <x:c r="G3900" t="n">
        <x:v>8</x:v>
      </x:c>
      <x:c r="H3900" t="n">
        <x:v>8</x:v>
      </x:c>
      <x:c r="I3900" t="str">
        <x:v>À qualifier par lieu</x:v>
      </x:c>
      <x:c r="J3900" t="str">
        <x:v>https://github.com/darknigthmare/deadwall-last-enclosure/blob/1b3b9c5ba232734b1bda3453b4e20a0481bcdd74/codex-3000/addendum-1.58/PROGRAMMES_D.json</x:v>
      </x:c>
      <x:c r="K3900" t="str">
        <x:v>Source min 36,36 m ; max 36,36 m ; modèle 36 × 36 m ; niveaux 0, 1. Détails dans catalogue-existant.json.</x:v>
      </x:c>
    </x:row>
    <x:row r="3901">
      <x:c r="A3901" t="str">
        <x:v>DW-3896</x:v>
      </x:c>
      <x:c r="B3901" t="str">
        <x:v>DW-3896</x:v>
      </x:c>
      <x:c r="C3901" t="str">
        <x:v>Parent indépendant 1.58</x:v>
      </x:c>
      <x:c r="D3901" t="str">
        <x:v>Secours et protection civile</x:v>
      </x:c>
      <x:c r="E3901" t="str">
        <x:v>Centre des coussins de levage</x:v>
      </x:c>
      <x:c r="F3901" t="n">
        <x:v>9</x:v>
      </x:c>
      <x:c r="G3901" t="n">
        <x:v>8</x:v>
      </x:c>
      <x:c r="H3901" t="n">
        <x:v>8</x:v>
      </x:c>
      <x:c r="I3901" t="str">
        <x:v>À qualifier par lieu</x:v>
      </x:c>
      <x:c r="J3901" t="str">
        <x:v>https://github.com/darknigthmare/deadwall-last-enclosure/blob/1b3b9c5ba232734b1bda3453b4e20a0481bcdd74/codex-3000/addendum-1.58/PROGRAMMES_D.json</x:v>
      </x:c>
      <x:c r="K3901" t="str">
        <x:v>Source min 40,40 m ; max 40,40 m ; modèle 40 × 40 m ; niveaux 0, 1. Détails dans catalogue-existant.json.</x:v>
      </x:c>
    </x:row>
    <x:row r="3902">
      <x:c r="A3902" t="str">
        <x:v>DW-3897</x:v>
      </x:c>
      <x:c r="B3902" t="str">
        <x:v>DW-3897</x:v>
      </x:c>
      <x:c r="C3902" t="str">
        <x:v>Parent indépendant 1.58</x:v>
      </x:c>
      <x:c r="D3902" t="str">
        <x:v>Secours et protection civile</x:v>
      </x:c>
      <x:c r="E3902" t="str">
        <x:v>Atelier des pinces de désincarcération</x:v>
      </x:c>
      <x:c r="F3902" t="n">
        <x:v>9</x:v>
      </x:c>
      <x:c r="G3902" t="n">
        <x:v>8</x:v>
      </x:c>
      <x:c r="H3902" t="n">
        <x:v>8</x:v>
      </x:c>
      <x:c r="I3902" t="str">
        <x:v>À qualifier par lieu</x:v>
      </x:c>
      <x:c r="J3902" t="str">
        <x:v>https://github.com/darknigthmare/deadwall-last-enclosure/blob/1b3b9c5ba232734b1bda3453b4e20a0481bcdd74/codex-3000/addendum-1.58/PROGRAMMES_D.json</x:v>
      </x:c>
      <x:c r="K3902" t="str">
        <x:v>Source min 44,44 m ; max 44,44 m ; modèle 44 × 44 m ; niveaux 0, 1. Détails dans catalogue-existant.json.</x:v>
      </x:c>
    </x:row>
    <x:row r="3903">
      <x:c r="A3903" t="str">
        <x:v>DW-3898</x:v>
      </x:c>
      <x:c r="B3903" t="str">
        <x:v>DW-3898</x:v>
      </x:c>
      <x:c r="C3903" t="str">
        <x:v>Parent indépendant 1.58</x:v>
      </x:c>
      <x:c r="D3903" t="str">
        <x:v>Secours et protection civile</x:v>
      </x:c>
      <x:c r="E3903" t="str">
        <x:v>Centre des tronçonneuses de secours déposées</x:v>
      </x:c>
      <x:c r="F3903" t="n">
        <x:v>9</x:v>
      </x:c>
      <x:c r="G3903" t="n">
        <x:v>8</x:v>
      </x:c>
      <x:c r="H3903" t="n">
        <x:v>8</x:v>
      </x:c>
      <x:c r="I3903" t="str">
        <x:v>À qualifier par lieu</x:v>
      </x:c>
      <x:c r="J3903" t="str">
        <x:v>https://github.com/darknigthmare/deadwall-last-enclosure/blob/1b3b9c5ba232734b1bda3453b4e20a0481bcdd74/codex-3000/addendum-1.58/PROGRAMMES_D.json</x:v>
      </x:c>
      <x:c r="K3903" t="str">
        <x:v>Source min 36,36 m ; max 36,36 m ; modèle 36 × 36 m ; niveaux 0, 1. Détails dans catalogue-existant.json.</x:v>
      </x:c>
    </x:row>
    <x:row r="3904">
      <x:c r="A3904" t="str">
        <x:v>DW-3899</x:v>
      </x:c>
      <x:c r="B3904" t="str">
        <x:v>DW-3899</x:v>
      </x:c>
      <x:c r="C3904" t="str">
        <x:v>Parent indépendant 1.58</x:v>
      </x:c>
      <x:c r="D3904" t="str">
        <x:v>Secours et protection civile</x:v>
      </x:c>
      <x:c r="E3904" t="str">
        <x:v>Atelier des projecteurs d'intervention</x:v>
      </x:c>
      <x:c r="F3904" t="n">
        <x:v>9</x:v>
      </x:c>
      <x:c r="G3904" t="n">
        <x:v>8</x:v>
      </x:c>
      <x:c r="H3904" t="n">
        <x:v>8</x:v>
      </x:c>
      <x:c r="I3904" t="str">
        <x:v>À qualifier par lieu</x:v>
      </x:c>
      <x:c r="J3904" t="str">
        <x:v>https://github.com/darknigthmare/deadwall-last-enclosure/blob/1b3b9c5ba232734b1bda3453b4e20a0481bcdd74/codex-3000/addendum-1.58/PROGRAMMES_D.json</x:v>
      </x:c>
      <x:c r="K3904" t="str">
        <x:v>Source min 40,40 m ; max 40,40 m ; modèle 40 × 40 m ; niveaux 0, 1. Détails dans catalogue-existant.json.</x:v>
      </x:c>
    </x:row>
    <x:row r="3905">
      <x:c r="A3905" t="str">
        <x:v>DW-3900</x:v>
      </x:c>
      <x:c r="B3905" t="str">
        <x:v>DW-3900</x:v>
      </x:c>
      <x:c r="C3905" t="str">
        <x:v>Parent indépendant 1.58</x:v>
      </x:c>
      <x:c r="D3905" t="str">
        <x:v>Secours et protection civile</x:v>
      </x:c>
      <x:c r="E3905" t="str">
        <x:v>Centre des pompes d'épuisement déposées</x:v>
      </x:c>
      <x:c r="F3905" t="n">
        <x:v>9</x:v>
      </x:c>
      <x:c r="G3905" t="n">
        <x:v>8</x:v>
      </x:c>
      <x:c r="H3905" t="n">
        <x:v>8</x:v>
      </x:c>
      <x:c r="I3905" t="str">
        <x:v>À qualifier par lieu</x:v>
      </x:c>
      <x:c r="J3905" t="str">
        <x:v>https://github.com/darknigthmare/deadwall-last-enclosure/blob/1b3b9c5ba232734b1bda3453b4e20a0481bcdd74/codex-3000/addendum-1.58/PROGRAMMES_D.json</x:v>
      </x:c>
      <x:c r="K3905" t="str">
        <x:v>Source min 44,44 m ; max 44,44 m ; modèle 44 × 44 m ; niveaux 0, 1. Détails dans catalogue-existant.json.</x:v>
      </x:c>
    </x:row>
    <x:row r="3906">
      <x:c r="A3906" t="str">
        <x:v>DW-3901</x:v>
      </x:c>
      <x:c r="B3906" t="str">
        <x:v>DW-3901</x:v>
      </x:c>
      <x:c r="C3906" t="str">
        <x:v>Parent indépendant 1.58</x:v>
      </x:c>
      <x:c r="D3906" t="str">
        <x:v>Secours et protection civile</x:v>
      </x:c>
      <x:c r="E3906" t="str">
        <x:v>Atelier des détecteurs portables de secours</x:v>
      </x:c>
      <x:c r="F3906" t="n">
        <x:v>9</x:v>
      </x:c>
      <x:c r="G3906" t="n">
        <x:v>8</x:v>
      </x:c>
      <x:c r="H3906" t="n">
        <x:v>8</x:v>
      </x:c>
      <x:c r="I3906" t="str">
        <x:v>À qualifier par lieu</x:v>
      </x:c>
      <x:c r="J3906" t="str">
        <x:v>https://github.com/darknigthmare/deadwall-last-enclosure/blob/1b3b9c5ba232734b1bda3453b4e20a0481bcdd74/codex-3000/addendum-1.58/PROGRAMMES_D.json</x:v>
      </x:c>
      <x:c r="K3906" t="str">
        <x:v>Source min 36,36 m ; max 36,36 m ; modèle 36 × 36 m ; niveaux 0, 1. Détails dans catalogue-existant.json.</x:v>
      </x:c>
    </x:row>
    <x:row r="3907">
      <x:c r="A3907" t="str">
        <x:v>DW-3902</x:v>
      </x:c>
      <x:c r="B3907" t="str">
        <x:v>DW-3902</x:v>
      </x:c>
      <x:c r="C3907" t="str">
        <x:v>Parent indépendant 1.58</x:v>
      </x:c>
      <x:c r="D3907" t="str">
        <x:v>Secours et protection civile</x:v>
      </x:c>
      <x:c r="E3907" t="str">
        <x:v>Centre des tenues de protection d'intervention</x:v>
      </x:c>
      <x:c r="F3907" t="n">
        <x:v>9</x:v>
      </x:c>
      <x:c r="G3907" t="n">
        <x:v>8</x:v>
      </x:c>
      <x:c r="H3907" t="n">
        <x:v>8</x:v>
      </x:c>
      <x:c r="I3907" t="str">
        <x:v>À qualifier par lieu</x:v>
      </x:c>
      <x:c r="J3907" t="str">
        <x:v>https://github.com/darknigthmare/deadwall-last-enclosure/blob/1b3b9c5ba232734b1bda3453b4e20a0481bcdd74/codex-3000/addendum-1.58/PROGRAMMES_D.json</x:v>
      </x:c>
      <x:c r="K3907" t="str">
        <x:v>Source min 40,40 m ; max 40,40 m ; modèle 40 × 40 m ; niveaux 0, 1. Détails dans catalogue-existant.json.</x:v>
      </x:c>
    </x:row>
    <x:row r="3908">
      <x:c r="A3908" t="str">
        <x:v>DW-3903</x:v>
      </x:c>
      <x:c r="B3908" t="str">
        <x:v>DW-3903</x:v>
      </x:c>
      <x:c r="C3908" t="str">
        <x:v>Parent indépendant 1.58</x:v>
      </x:c>
      <x:c r="D3908" t="str">
        <x:v>Secours et protection civile</x:v>
      </x:c>
      <x:c r="E3908" t="str">
        <x:v>Atelier des casques de secours</x:v>
      </x:c>
      <x:c r="F3908" t="n">
        <x:v>9</x:v>
      </x:c>
      <x:c r="G3908" t="n">
        <x:v>8</x:v>
      </x:c>
      <x:c r="H3908" t="n">
        <x:v>8</x:v>
      </x:c>
      <x:c r="I3908" t="str">
        <x:v>À qualifier par lieu</x:v>
      </x:c>
      <x:c r="J3908" t="str">
        <x:v>https://github.com/darknigthmare/deadwall-last-enclosure/blob/1b3b9c5ba232734b1bda3453b4e20a0481bcdd74/codex-3000/addendum-1.58/PROGRAMMES_D.json</x:v>
      </x:c>
      <x:c r="K3908" t="str">
        <x:v>Source min 44,44 m ; max 44,44 m ; modèle 44 × 44 m ; niveaux 0, 1. Détails dans catalogue-existant.json.</x:v>
      </x:c>
    </x:row>
    <x:row r="3909">
      <x:c r="A3909" t="str">
        <x:v>DW-3904</x:v>
      </x:c>
      <x:c r="B3909" t="str">
        <x:v>DW-3904</x:v>
      </x:c>
      <x:c r="C3909" t="str">
        <x:v>Parent indépendant 1.58</x:v>
      </x:c>
      <x:c r="D3909" t="str">
        <x:v>Secours et protection civile</x:v>
      </x:c>
      <x:c r="E3909" t="str">
        <x:v>Centre des bouées de sauvetage stockées</x:v>
      </x:c>
      <x:c r="F3909" t="n">
        <x:v>9</x:v>
      </x:c>
      <x:c r="G3909" t="n">
        <x:v>8</x:v>
      </x:c>
      <x:c r="H3909" t="n">
        <x:v>8</x:v>
      </x:c>
      <x:c r="I3909" t="str">
        <x:v>À qualifier par lieu</x:v>
      </x:c>
      <x:c r="J3909" t="str">
        <x:v>https://github.com/darknigthmare/deadwall-last-enclosure/blob/1b3b9c5ba232734b1bda3453b4e20a0481bcdd74/codex-3000/addendum-1.58/PROGRAMMES_D.json</x:v>
      </x:c>
      <x:c r="K3909" t="str">
        <x:v>Source min 36,36 m ; max 36,36 m ; modèle 36 × 36 m ; niveaux 0, 1. Détails dans catalogue-existant.json.</x:v>
      </x:c>
    </x:row>
    <x:row r="3910">
      <x:c r="A3910" t="str">
        <x:v>DW-3905</x:v>
      </x:c>
      <x:c r="B3910" t="str">
        <x:v>DW-3905</x:v>
      </x:c>
      <x:c r="C3910" t="str">
        <x:v>Parent indépendant 1.58</x:v>
      </x:c>
      <x:c r="D3910" t="str">
        <x:v>Secours et protection civile</x:v>
      </x:c>
      <x:c r="E3910" t="str">
        <x:v>Atelier des brancards pliants</x:v>
      </x:c>
      <x:c r="F3910" t="n">
        <x:v>9</x:v>
      </x:c>
      <x:c r="G3910" t="n">
        <x:v>8</x:v>
      </x:c>
      <x:c r="H3910" t="n">
        <x:v>8</x:v>
      </x:c>
      <x:c r="I3910" t="str">
        <x:v>À qualifier par lieu</x:v>
      </x:c>
      <x:c r="J3910" t="str">
        <x:v>https://github.com/darknigthmare/deadwall-last-enclosure/blob/1b3b9c5ba232734b1bda3453b4e20a0481bcdd74/codex-3000/addendum-1.58/PROGRAMMES_D.json</x:v>
      </x:c>
      <x:c r="K3910" t="str">
        <x:v>Source min 40,40 m ; max 40,40 m ; modèle 40 × 40 m ; niveaux 0, 1. Détails dans catalogue-existant.json.</x:v>
      </x:c>
    </x:row>
    <x:row r="3911">
      <x:c r="A3911" t="str">
        <x:v>DW-3906</x:v>
      </x:c>
      <x:c r="B3911" t="str">
        <x:v>DW-3906</x:v>
      </x:c>
      <x:c r="C3911" t="str">
        <x:v>Parent indépendant 1.58</x:v>
      </x:c>
      <x:c r="D3911" t="str">
        <x:v>Secours et protection civile</x:v>
      </x:c>
      <x:c r="E3911" t="str">
        <x:v>Maison des exercices de recherche terrestre</x:v>
      </x:c>
      <x:c r="F3911" t="n">
        <x:v>9</x:v>
      </x:c>
      <x:c r="G3911" t="n">
        <x:v>8</x:v>
      </x:c>
      <x:c r="H3911" t="n">
        <x:v>8</x:v>
      </x:c>
      <x:c r="I3911" t="str">
        <x:v>À qualifier par lieu</x:v>
      </x:c>
      <x:c r="J3911" t="str">
        <x:v>https://github.com/darknigthmare/deadwall-last-enclosure/blob/1b3b9c5ba232734b1bda3453b4e20a0481bcdd74/codex-3000/addendum-1.58/PROGRAMMES_D.json</x:v>
      </x:c>
      <x:c r="K3911" t="str">
        <x:v>Source min 44,44 m ; max 44,44 m ; modèle 44 × 44 m ; niveaux 0, 1. Détails dans catalogue-existant.json.</x:v>
      </x:c>
    </x:row>
    <x:row r="3912">
      <x:c r="A3912" t="str">
        <x:v>DW-3907</x:v>
      </x:c>
      <x:c r="B3912" t="str">
        <x:v>DW-3907</x:v>
      </x:c>
      <x:c r="C3912" t="str">
        <x:v>Parent indépendant 1.58</x:v>
      </x:c>
      <x:c r="D3912" t="str">
        <x:v>Secours et protection civile</x:v>
      </x:c>
      <x:c r="E3912" t="str">
        <x:v>Centre de préparation des équipes de déblaiement</x:v>
      </x:c>
      <x:c r="F3912" t="n">
        <x:v>9</x:v>
      </x:c>
      <x:c r="G3912" t="n">
        <x:v>8</x:v>
      </x:c>
      <x:c r="H3912" t="n">
        <x:v>8</x:v>
      </x:c>
      <x:c r="I3912" t="str">
        <x:v>À qualifier par lieu</x:v>
      </x:c>
      <x:c r="J3912" t="str">
        <x:v>https://github.com/darknigthmare/deadwall-last-enclosure/blob/1b3b9c5ba232734b1bda3453b4e20a0481bcdd74/codex-3000/addendum-1.58/PROGRAMMES_D.json</x:v>
      </x:c>
      <x:c r="K3912" t="str">
        <x:v>Source min 36,36 m ; max 36,36 m ; modèle 36 × 36 m ; niveaux 0, 1. Détails dans catalogue-existant.json.</x:v>
      </x:c>
    </x:row>
    <x:row r="3913">
      <x:c r="A3913" t="str">
        <x:v>DW-3908</x:v>
      </x:c>
      <x:c r="B3913" t="str">
        <x:v>DW-3908</x:v>
      </x:c>
      <x:c r="C3913" t="str">
        <x:v>Parent indépendant 1.58</x:v>
      </x:c>
      <x:c r="D3913" t="str">
        <x:v>Secours et protection civile</x:v>
      </x:c>
      <x:c r="E3913" t="str">
        <x:v>Maison des exercices de feu domestique</x:v>
      </x:c>
      <x:c r="F3913" t="n">
        <x:v>9</x:v>
      </x:c>
      <x:c r="G3913" t="n">
        <x:v>8</x:v>
      </x:c>
      <x:c r="H3913" t="n">
        <x:v>8</x:v>
      </x:c>
      <x:c r="I3913" t="str">
        <x:v>À qualifier par lieu</x:v>
      </x:c>
      <x:c r="J3913" t="str">
        <x:v>https://github.com/darknigthmare/deadwall-last-enclosure/blob/1b3b9c5ba232734b1bda3453b4e20a0481bcdd74/codex-3000/addendum-1.58/PROGRAMMES_D.json</x:v>
      </x:c>
      <x:c r="K3913" t="str">
        <x:v>Source min 40,40 m ; max 40,40 m ; modèle 40 × 40 m ; niveaux 0, 1. Détails dans catalogue-existant.json.</x:v>
      </x:c>
    </x:row>
    <x:row r="3914">
      <x:c r="A3914" t="str">
        <x:v>DW-3909</x:v>
      </x:c>
      <x:c r="B3914" t="str">
        <x:v>DW-3909</x:v>
      </x:c>
      <x:c r="C3914" t="str">
        <x:v>Parent indépendant 1.58</x:v>
      </x:c>
      <x:c r="D3914" t="str">
        <x:v>Secours et protection civile</x:v>
      </x:c>
      <x:c r="E3914" t="str">
        <x:v>Centre de préparation des secours en hauteur</x:v>
      </x:c>
      <x:c r="F3914" t="n">
        <x:v>9</x:v>
      </x:c>
      <x:c r="G3914" t="n">
        <x:v>8</x:v>
      </x:c>
      <x:c r="H3914" t="n">
        <x:v>8</x:v>
      </x:c>
      <x:c r="I3914" t="str">
        <x:v>À qualifier par lieu</x:v>
      </x:c>
      <x:c r="J3914" t="str">
        <x:v>https://github.com/darknigthmare/deadwall-last-enclosure/blob/1b3b9c5ba232734b1bda3453b4e20a0481bcdd74/codex-3000/addendum-1.58/PROGRAMMES_D.json</x:v>
      </x:c>
      <x:c r="K3914" t="str">
        <x:v>Source min 44,44 m ; max 44,44 m ; modèle 44 × 44 m ; niveaux 0, 1. Détails dans catalogue-existant.json.</x:v>
      </x:c>
    </x:row>
    <x:row r="3915">
      <x:c r="A3915" t="str">
        <x:v>DW-3910</x:v>
      </x:c>
      <x:c r="B3915" t="str">
        <x:v>DW-3910</x:v>
      </x:c>
      <x:c r="C3915" t="str">
        <x:v>Parent indépendant 1.58</x:v>
      </x:c>
      <x:c r="D3915" t="str">
        <x:v>Secours et protection civile</x:v>
      </x:c>
      <x:c r="E3915" t="str">
        <x:v>Maison des exercices de panne collective</x:v>
      </x:c>
      <x:c r="F3915" t="n">
        <x:v>9</x:v>
      </x:c>
      <x:c r="G3915" t="n">
        <x:v>8</x:v>
      </x:c>
      <x:c r="H3915" t="n">
        <x:v>8</x:v>
      </x:c>
      <x:c r="I3915" t="str">
        <x:v>À qualifier par lieu</x:v>
      </x:c>
      <x:c r="J3915" t="str">
        <x:v>https://github.com/darknigthmare/deadwall-last-enclosure/blob/1b3b9c5ba232734b1bda3453b4e20a0481bcdd74/codex-3000/addendum-1.58/PROGRAMMES_D.json</x:v>
      </x:c>
      <x:c r="K3915" t="str">
        <x:v>Source min 36,36 m ; max 36,36 m ; modèle 36 × 36 m ; niveaux 0, 1. Détails dans catalogue-existant.json.</x:v>
      </x:c>
    </x:row>
    <x:row r="3916">
      <x:c r="A3916" t="str">
        <x:v>DW-3911</x:v>
      </x:c>
      <x:c r="B3916" t="str">
        <x:v>DW-3911</x:v>
      </x:c>
      <x:c r="C3916" t="str">
        <x:v>Parent indépendant 1.58</x:v>
      </x:c>
      <x:c r="D3916" t="str">
        <x:v>Secours et protection civile</x:v>
      </x:c>
      <x:c r="E3916" t="str">
        <x:v>Centre de préparation des recherches en forêt</x:v>
      </x:c>
      <x:c r="F3916" t="n">
        <x:v>9</x:v>
      </x:c>
      <x:c r="G3916" t="n">
        <x:v>8</x:v>
      </x:c>
      <x:c r="H3916" t="n">
        <x:v>8</x:v>
      </x:c>
      <x:c r="I3916" t="str">
        <x:v>À qualifier par lieu</x:v>
      </x:c>
      <x:c r="J3916" t="str">
        <x:v>https://github.com/darknigthmare/deadwall-last-enclosure/blob/1b3b9c5ba232734b1bda3453b4e20a0481bcdd74/codex-3000/addendum-1.58/PROGRAMMES_D.json</x:v>
      </x:c>
      <x:c r="K3916" t="str">
        <x:v>Source min 40,40 m ; max 40,40 m ; modèle 40 × 40 m ; niveaux 0, 1. Détails dans catalogue-existant.json.</x:v>
      </x:c>
    </x:row>
    <x:row r="3917">
      <x:c r="A3917" t="str">
        <x:v>DW-3912</x:v>
      </x:c>
      <x:c r="B3917" t="str">
        <x:v>DW-3912</x:v>
      </x:c>
      <x:c r="C3917" t="str">
        <x:v>Parent indépendant 1.58</x:v>
      </x:c>
      <x:c r="D3917" t="str">
        <x:v>Secours et protection civile</x:v>
      </x:c>
      <x:c r="E3917" t="str">
        <x:v>Maison des exercices de secours mécanique</x:v>
      </x:c>
      <x:c r="F3917" t="n">
        <x:v>9</x:v>
      </x:c>
      <x:c r="G3917" t="n">
        <x:v>8</x:v>
      </x:c>
      <x:c r="H3917" t="n">
        <x:v>8</x:v>
      </x:c>
      <x:c r="I3917" t="str">
        <x:v>À qualifier par lieu</x:v>
      </x:c>
      <x:c r="J3917" t="str">
        <x:v>https://github.com/darknigthmare/deadwall-last-enclosure/blob/1b3b9c5ba232734b1bda3453b4e20a0481bcdd74/codex-3000/addendum-1.58/PROGRAMMES_D.json</x:v>
      </x:c>
      <x:c r="K3917" t="str">
        <x:v>Source min 44,44 m ; max 44,44 m ; modèle 44 × 44 m ; niveaux 0, 1. Détails dans catalogue-existant.json.</x:v>
      </x:c>
    </x:row>
    <x:row r="3918">
      <x:c r="A3918" t="str">
        <x:v>DW-3913</x:v>
      </x:c>
      <x:c r="B3918" t="str">
        <x:v>DW-3913</x:v>
      </x:c>
      <x:c r="C3918" t="str">
        <x:v>Parent indépendant 1.58</x:v>
      </x:c>
      <x:c r="D3918" t="str">
        <x:v>Secours et protection civile</x:v>
      </x:c>
      <x:c r="E3918" t="str">
        <x:v>Centre de préparation des secours routiers</x:v>
      </x:c>
      <x:c r="F3918" t="n">
        <x:v>9</x:v>
      </x:c>
      <x:c r="G3918" t="n">
        <x:v>8</x:v>
      </x:c>
      <x:c r="H3918" t="n">
        <x:v>8</x:v>
      </x:c>
      <x:c r="I3918" t="str">
        <x:v>À qualifier par lieu</x:v>
      </x:c>
      <x:c r="J3918" t="str">
        <x:v>https://github.com/darknigthmare/deadwall-last-enclosure/blob/1b3b9c5ba232734b1bda3453b4e20a0481bcdd74/codex-3000/addendum-1.58/PROGRAMMES_D.json</x:v>
      </x:c>
      <x:c r="K3918" t="str">
        <x:v>Source min 36,36 m ; max 36,36 m ; modèle 36 × 36 m ; niveaux 0, 1. Détails dans catalogue-existant.json.</x:v>
      </x:c>
    </x:row>
    <x:row r="3919">
      <x:c r="A3919" t="str">
        <x:v>DW-3914</x:v>
      </x:c>
      <x:c r="B3919" t="str">
        <x:v>DW-3914</x:v>
      </x:c>
      <x:c r="C3919" t="str">
        <x:v>Parent indépendant 1.58</x:v>
      </x:c>
      <x:c r="D3919" t="str">
        <x:v>Secours et protection civile</x:v>
      </x:c>
      <x:c r="E3919" t="str">
        <x:v>Maison des exercices de rupture de canalisation</x:v>
      </x:c>
      <x:c r="F3919" t="n">
        <x:v>9</x:v>
      </x:c>
      <x:c r="G3919" t="n">
        <x:v>8</x:v>
      </x:c>
      <x:c r="H3919" t="n">
        <x:v>8</x:v>
      </x:c>
      <x:c r="I3919" t="str">
        <x:v>À qualifier par lieu</x:v>
      </x:c>
      <x:c r="J3919" t="str">
        <x:v>https://github.com/darknigthmare/deadwall-last-enclosure/blob/1b3b9c5ba232734b1bda3453b4e20a0481bcdd74/codex-3000/addendum-1.58/PROGRAMMES_D.json</x:v>
      </x:c>
      <x:c r="K3919" t="str">
        <x:v>Source min 40,40 m ; max 40,40 m ; modèle 40 × 40 m ; niveaux 0, 1. Détails dans catalogue-existant.json.</x:v>
      </x:c>
    </x:row>
    <x:row r="3920">
      <x:c r="A3920" t="str">
        <x:v>DW-3915</x:v>
      </x:c>
      <x:c r="B3920" t="str">
        <x:v>DW-3915</x:v>
      </x:c>
      <x:c r="C3920" t="str">
        <x:v>Parent indépendant 1.58</x:v>
      </x:c>
      <x:c r="D3920" t="str">
        <x:v>Secours et protection civile</x:v>
      </x:c>
      <x:c r="E3920" t="str">
        <x:v>Centre de préparation des interventions de tempête</x:v>
      </x:c>
      <x:c r="F3920" t="n">
        <x:v>9</x:v>
      </x:c>
      <x:c r="G3920" t="n">
        <x:v>8</x:v>
      </x:c>
      <x:c r="H3920" t="n">
        <x:v>8</x:v>
      </x:c>
      <x:c r="I3920" t="str">
        <x:v>À qualifier par lieu</x:v>
      </x:c>
      <x:c r="J3920" t="str">
        <x:v>https://github.com/darknigthmare/deadwall-last-enclosure/blob/1b3b9c5ba232734b1bda3453b4e20a0481bcdd74/codex-3000/addendum-1.58/PROGRAMMES_D.json</x:v>
      </x:c>
      <x:c r="K3920" t="str">
        <x:v>Source min 44,44 m ; max 44,44 m ; modèle 44 × 44 m ; niveaux 0, 1. Détails dans catalogue-existant.json.</x:v>
      </x:c>
    </x:row>
    <x:row r="3921">
      <x:c r="A3921" t="str">
        <x:v>DW-3916</x:v>
      </x:c>
      <x:c r="B3921" t="str">
        <x:v>DW-3916</x:v>
      </x:c>
      <x:c r="C3921" t="str">
        <x:v>Parent indépendant 1.58</x:v>
      </x:c>
      <x:c r="D3921" t="str">
        <x:v>Secours et protection civile</x:v>
      </x:c>
      <x:c r="E3921" t="str">
        <x:v>Maison des exercices de confinement civil</x:v>
      </x:c>
      <x:c r="F3921" t="n">
        <x:v>9</x:v>
      </x:c>
      <x:c r="G3921" t="n">
        <x:v>8</x:v>
      </x:c>
      <x:c r="H3921" t="n">
        <x:v>8</x:v>
      </x:c>
      <x:c r="I3921" t="str">
        <x:v>À qualifier par lieu</x:v>
      </x:c>
      <x:c r="J3921" t="str">
        <x:v>https://github.com/darknigthmare/deadwall-last-enclosure/blob/1b3b9c5ba232734b1bda3453b4e20a0481bcdd74/codex-3000/addendum-1.58/PROGRAMMES_D.json</x:v>
      </x:c>
      <x:c r="K3921" t="str">
        <x:v>Source min 36,36 m ; max 36,36 m ; modèle 36 × 36 m ; niveaux 0, 1. Détails dans catalogue-existant.json.</x:v>
      </x:c>
    </x:row>
    <x:row r="3922">
      <x:c r="A3922" t="str">
        <x:v>DW-3917</x:v>
      </x:c>
      <x:c r="B3922" t="str">
        <x:v>DW-3917</x:v>
      </x:c>
      <x:c r="C3922" t="str">
        <x:v>Parent indépendant 1.58</x:v>
      </x:c>
      <x:c r="D3922" t="str">
        <x:v>Secours et protection civile</x:v>
      </x:c>
      <x:c r="E3922" t="str">
        <x:v>Centre de préparation des évacuations d'école</x:v>
      </x:c>
      <x:c r="F3922" t="n">
        <x:v>9</x:v>
      </x:c>
      <x:c r="G3922" t="n">
        <x:v>8</x:v>
      </x:c>
      <x:c r="H3922" t="n">
        <x:v>8</x:v>
      </x:c>
      <x:c r="I3922" t="str">
        <x:v>À qualifier par lieu</x:v>
      </x:c>
      <x:c r="J3922" t="str">
        <x:v>https://github.com/darknigthmare/deadwall-last-enclosure/blob/1b3b9c5ba232734b1bda3453b4e20a0481bcdd74/codex-3000/addendum-1.58/PROGRAMMES_D.json</x:v>
      </x:c>
      <x:c r="K3922" t="str">
        <x:v>Source min 40,40 m ; max 40,40 m ; modèle 40 × 40 m ; niveaux 0, 1. Détails dans catalogue-existant.json.</x:v>
      </x:c>
    </x:row>
    <x:row r="3923">
      <x:c r="A3923" t="str">
        <x:v>DW-3918</x:v>
      </x:c>
      <x:c r="B3923" t="str">
        <x:v>DW-3918</x:v>
      </x:c>
      <x:c r="C3923" t="str">
        <x:v>Parent indépendant 1.58</x:v>
      </x:c>
      <x:c r="D3923" t="str">
        <x:v>Secours et protection civile</x:v>
      </x:c>
      <x:c r="E3923" t="str">
        <x:v>Maison des exercices de secours rural</x:v>
      </x:c>
      <x:c r="F3923" t="n">
        <x:v>9</x:v>
      </x:c>
      <x:c r="G3923" t="n">
        <x:v>8</x:v>
      </x:c>
      <x:c r="H3923" t="n">
        <x:v>8</x:v>
      </x:c>
      <x:c r="I3923" t="str">
        <x:v>À qualifier par lieu</x:v>
      </x:c>
      <x:c r="J3923" t="str">
        <x:v>https://github.com/darknigthmare/deadwall-last-enclosure/blob/1b3b9c5ba232734b1bda3453b4e20a0481bcdd74/codex-3000/addendum-1.58/PROGRAMMES_D.json</x:v>
      </x:c>
      <x:c r="K3923" t="str">
        <x:v>Source min 44,44 m ; max 44,44 m ; modèle 44 × 44 m ; niveaux 0, 1. Détails dans catalogue-existant.json.</x:v>
      </x:c>
    </x:row>
    <x:row r="3924">
      <x:c r="A3924" t="str">
        <x:v>DW-3919</x:v>
      </x:c>
      <x:c r="B3924" t="str">
        <x:v>DW-3919</x:v>
      </x:c>
      <x:c r="C3924" t="str">
        <x:v>Parent indépendant 1.58</x:v>
      </x:c>
      <x:c r="D3924" t="str">
        <x:v>Secours et protection civile</x:v>
      </x:c>
      <x:c r="E3924" t="str">
        <x:v>Centre de préparation des exercices de quartier</x:v>
      </x:c>
      <x:c r="F3924" t="n">
        <x:v>9</x:v>
      </x:c>
      <x:c r="G3924" t="n">
        <x:v>8</x:v>
      </x:c>
      <x:c r="H3924" t="n">
        <x:v>8</x:v>
      </x:c>
      <x:c r="I3924" t="str">
        <x:v>À qualifier par lieu</x:v>
      </x:c>
      <x:c r="J3924" t="str">
        <x:v>https://github.com/darknigthmare/deadwall-last-enclosure/blob/1b3b9c5ba232734b1bda3453b4e20a0481bcdd74/codex-3000/addendum-1.58/PROGRAMMES_D.json</x:v>
      </x:c>
      <x:c r="K3924" t="str">
        <x:v>Source min 36,36 m ; max 36,36 m ; modèle 36 × 36 m ; niveaux 0, 1. Détails dans catalogue-existant.json.</x:v>
      </x:c>
    </x:row>
    <x:row r="3925">
      <x:c r="A3925" t="str">
        <x:v>DW-3920</x:v>
      </x:c>
      <x:c r="B3925" t="str">
        <x:v>DW-3920</x:v>
      </x:c>
      <x:c r="C3925" t="str">
        <x:v>Parent indépendant 1.58</x:v>
      </x:c>
      <x:c r="D3925" t="str">
        <x:v>Secours et protection civile</x:v>
      </x:c>
      <x:c r="E3925" t="str">
        <x:v>Maison des démonstrations de gestes de sécurité</x:v>
      </x:c>
      <x:c r="F3925" t="n">
        <x:v>9</x:v>
      </x:c>
      <x:c r="G3925" t="n">
        <x:v>8</x:v>
      </x:c>
      <x:c r="H3925" t="n">
        <x:v>8</x:v>
      </x:c>
      <x:c r="I3925" t="str">
        <x:v>À qualifier par lieu</x:v>
      </x:c>
      <x:c r="J3925" t="str">
        <x:v>https://github.com/darknigthmare/deadwall-last-enclosure/blob/1b3b9c5ba232734b1bda3453b4e20a0481bcdd74/codex-3000/addendum-1.58/PROGRAMMES_D.json</x:v>
      </x:c>
      <x:c r="K3925" t="str">
        <x:v>Source min 40,40 m ; max 40,40 m ; modèle 40 × 40 m ; niveaux 0, 1. Détails dans catalogue-existant.json.</x:v>
      </x:c>
    </x:row>
    <x:row r="3926">
      <x:c r="A3926" t="str">
        <x:v>DW-3921</x:v>
      </x:c>
      <x:c r="B3926" t="str">
        <x:v>DW-3921</x:v>
      </x:c>
      <x:c r="C3926" t="str">
        <x:v>Parent indépendant 1.58</x:v>
      </x:c>
      <x:c r="D3926" t="str">
        <x:v>Secours et protection civile</x:v>
      </x:c>
      <x:c r="E3926" t="str">
        <x:v>Centre des relevés de stabilité après sinistre</x:v>
      </x:c>
      <x:c r="F3926" t="n">
        <x:v>9</x:v>
      </x:c>
      <x:c r="G3926" t="n">
        <x:v>8</x:v>
      </x:c>
      <x:c r="H3926" t="n">
        <x:v>8</x:v>
      </x:c>
      <x:c r="I3926" t="str">
        <x:v>À qualifier par lieu</x:v>
      </x:c>
      <x:c r="J3926" t="str">
        <x:v>https://github.com/darknigthmare/deadwall-last-enclosure/blob/1b3b9c5ba232734b1bda3453b4e20a0481bcdd74/codex-3000/addendum-1.58/PROGRAMMES_D.json</x:v>
      </x:c>
      <x:c r="K3926" t="str">
        <x:v>Source min 44,44 m ; max 44,44 m ; modèle 44 × 44 m ; niveaux 0, 1. Détails dans catalogue-existant.json.</x:v>
      </x:c>
    </x:row>
    <x:row r="3927">
      <x:c r="A3927" t="str">
        <x:v>DW-3922</x:v>
      </x:c>
      <x:c r="B3927" t="str">
        <x:v>DW-3922</x:v>
      </x:c>
      <x:c r="C3927" t="str">
        <x:v>Parent indépendant 1.58</x:v>
      </x:c>
      <x:c r="D3927" t="str">
        <x:v>Secours et protection civile</x:v>
      </x:c>
      <x:c r="E3927" t="str">
        <x:v>Maison de coordination des accueils d'urgence</x:v>
      </x:c>
      <x:c r="F3927" t="n">
        <x:v>9</x:v>
      </x:c>
      <x:c r="G3927" t="n">
        <x:v>8</x:v>
      </x:c>
      <x:c r="H3927" t="n">
        <x:v>8</x:v>
      </x:c>
      <x:c r="I3927" t="str">
        <x:v>À qualifier par lieu</x:v>
      </x:c>
      <x:c r="J3927" t="str">
        <x:v>https://github.com/darknigthmare/deadwall-last-enclosure/blob/1b3b9c5ba232734b1bda3453b4e20a0481bcdd74/codex-3000/addendum-1.58/PROGRAMMES_D.json</x:v>
      </x:c>
      <x:c r="K3927" t="str">
        <x:v>Source min 36,36 m ; max 36,36 m ; modèle 36 × 36 m ; niveaux 0, 1. Détails dans catalogue-existant.json.</x:v>
      </x:c>
    </x:row>
    <x:row r="3928">
      <x:c r="A3928" t="str">
        <x:v>DW-3923</x:v>
      </x:c>
      <x:c r="B3928" t="str">
        <x:v>DW-3923</x:v>
      </x:c>
      <x:c r="C3928" t="str">
        <x:v>Parent indépendant 1.58</x:v>
      </x:c>
      <x:c r="D3928" t="str">
        <x:v>Secours et protection civile</x:v>
      </x:c>
      <x:c r="E3928" t="str">
        <x:v>Centre de préparation des tours de veille</x:v>
      </x:c>
      <x:c r="F3928" t="n">
        <x:v>9</x:v>
      </x:c>
      <x:c r="G3928" t="n">
        <x:v>8</x:v>
      </x:c>
      <x:c r="H3928" t="n">
        <x:v>8</x:v>
      </x:c>
      <x:c r="I3928" t="str">
        <x:v>À qualifier par lieu</x:v>
      </x:c>
      <x:c r="J3928" t="str">
        <x:v>https://github.com/darknigthmare/deadwall-last-enclosure/blob/1b3b9c5ba232734b1bda3453b4e20a0481bcdd74/codex-3000/addendum-1.58/PROGRAMMES_D.json</x:v>
      </x:c>
      <x:c r="K3928" t="str">
        <x:v>Source min 40,40 m ; max 40,40 m ; modèle 40 × 40 m ; niveaux 0, 1. Détails dans catalogue-existant.json.</x:v>
      </x:c>
    </x:row>
    <x:row r="3929">
      <x:c r="A3929" t="str">
        <x:v>DW-3924</x:v>
      </x:c>
      <x:c r="B3929" t="str">
        <x:v>DW-3924</x:v>
      </x:c>
      <x:c r="C3929" t="str">
        <x:v>Parent indépendant 1.58</x:v>
      </x:c>
      <x:c r="D3929" t="str">
        <x:v>Secours et protection civile</x:v>
      </x:c>
      <x:c r="E3929" t="str">
        <x:v>Maison de restitution des clés de site</x:v>
      </x:c>
      <x:c r="F3929" t="n">
        <x:v>9</x:v>
      </x:c>
      <x:c r="G3929" t="n">
        <x:v>8</x:v>
      </x:c>
      <x:c r="H3929" t="n">
        <x:v>8</x:v>
      </x:c>
      <x:c r="I3929" t="str">
        <x:v>À qualifier par lieu</x:v>
      </x:c>
      <x:c r="J3929" t="str">
        <x:v>https://github.com/darknigthmare/deadwall-last-enclosure/blob/1b3b9c5ba232734b1bda3453b4e20a0481bcdd74/codex-3000/addendum-1.58/PROGRAMMES_D.json</x:v>
      </x:c>
      <x:c r="K3929" t="str">
        <x:v>Source min 44,44 m ; max 44,44 m ; modèle 44 × 44 m ; niveaux 0, 1. Détails dans catalogue-existant.json.</x:v>
      </x:c>
    </x:row>
    <x:row r="3930">
      <x:c r="A3930" t="str">
        <x:v>DW-3925</x:v>
      </x:c>
      <x:c r="B3930" t="str">
        <x:v>DW-3925</x:v>
      </x:c>
      <x:c r="C3930" t="str">
        <x:v>Parent indépendant 1.58</x:v>
      </x:c>
      <x:c r="D3930" t="str">
        <x:v>Secours et protection civile</x:v>
      </x:c>
      <x:c r="E3930" t="str">
        <x:v>Centre de préparation des fermetures provisoires</x:v>
      </x:c>
      <x:c r="F3930" t="n">
        <x:v>9</x:v>
      </x:c>
      <x:c r="G3930" t="n">
        <x:v>8</x:v>
      </x:c>
      <x:c r="H3930" t="n">
        <x:v>8</x:v>
      </x:c>
      <x:c r="I3930" t="str">
        <x:v>À qualifier par lieu</x:v>
      </x:c>
      <x:c r="J3930" t="str">
        <x:v>https://github.com/darknigthmare/deadwall-last-enclosure/blob/1b3b9c5ba232734b1bda3453b4e20a0481bcdd74/codex-3000/addendum-1.58/PROGRAMMES_D.json</x:v>
      </x:c>
      <x:c r="K3930" t="str">
        <x:v>Source min 36,36 m ; max 36,36 m ; modèle 36 × 36 m ; niveaux 0, 1. Détails dans catalogue-existant.json.</x:v>
      </x:c>
    </x:row>
    <x:row r="3931">
      <x:c r="A3931" t="str">
        <x:v>DW-3926</x:v>
      </x:c>
      <x:c r="B3931" t="str">
        <x:v>DW-3926</x:v>
      </x:c>
      <x:c r="C3931" t="str">
        <x:v>Parent indépendant 1.58</x:v>
      </x:c>
      <x:c r="D3931" t="str">
        <x:v>Secours et protection civile</x:v>
      </x:c>
      <x:c r="E3931" t="str">
        <x:v>Maison des enquêtes de départ de feu</x:v>
      </x:c>
      <x:c r="F3931" t="n">
        <x:v>9</x:v>
      </x:c>
      <x:c r="G3931" t="n">
        <x:v>8</x:v>
      </x:c>
      <x:c r="H3931" t="n">
        <x:v>8</x:v>
      </x:c>
      <x:c r="I3931" t="str">
        <x:v>À qualifier par lieu</x:v>
      </x:c>
      <x:c r="J3931" t="str">
        <x:v>https://github.com/darknigthmare/deadwall-last-enclosure/blob/1b3b9c5ba232734b1bda3453b4e20a0481bcdd74/codex-3000/addendum-1.58/PROGRAMMES_D.json</x:v>
      </x:c>
      <x:c r="K3931" t="str">
        <x:v>Source min 40,40 m ; max 40,40 m ; modèle 40 × 40 m ; niveaux 0, 1. Détails dans catalogue-existant.json.</x:v>
      </x:c>
    </x:row>
    <x:row r="3932">
      <x:c r="A3932" t="str">
        <x:v>DW-3927</x:v>
      </x:c>
      <x:c r="B3932" t="str">
        <x:v>DW-3927</x:v>
      </x:c>
      <x:c r="C3932" t="str">
        <x:v>Parent indépendant 1.58</x:v>
      </x:c>
      <x:c r="D3932" t="str">
        <x:v>Secours et protection civile</x:v>
      </x:c>
      <x:c r="E3932" t="str">
        <x:v>Centre des archives de passage de gardiennage</x:v>
      </x:c>
      <x:c r="F3932" t="n">
        <x:v>9</x:v>
      </x:c>
      <x:c r="G3932" t="n">
        <x:v>8</x:v>
      </x:c>
      <x:c r="H3932" t="n">
        <x:v>8</x:v>
      </x:c>
      <x:c r="I3932" t="str">
        <x:v>À qualifier par lieu</x:v>
      </x:c>
      <x:c r="J3932" t="str">
        <x:v>https://github.com/darknigthmare/deadwall-last-enclosure/blob/1b3b9c5ba232734b1bda3453b4e20a0481bcdd74/codex-3000/addendum-1.58/PROGRAMMES_D.json</x:v>
      </x:c>
      <x:c r="K3932" t="str">
        <x:v>Source min 44,44 m ; max 44,44 m ; modèle 44 × 44 m ; niveaux 0, 1. Détails dans catalogue-existant.json.</x:v>
      </x:c>
    </x:row>
    <x:row r="3933">
      <x:c r="A3933" t="str">
        <x:v>DW-3928</x:v>
      </x:c>
      <x:c r="B3933" t="str">
        <x:v>DW-3928</x:v>
      </x:c>
      <x:c r="C3933" t="str">
        <x:v>Parent indépendant 1.58</x:v>
      </x:c>
      <x:c r="D3933" t="str">
        <x:v>Secours et protection civile</x:v>
      </x:c>
      <x:c r="E3933" t="str">
        <x:v>Maison de préparation des postes de contrôle civils</x:v>
      </x:c>
      <x:c r="F3933" t="n">
        <x:v>9</x:v>
      </x:c>
      <x:c r="G3933" t="n">
        <x:v>8</x:v>
      </x:c>
      <x:c r="H3933" t="n">
        <x:v>8</x:v>
      </x:c>
      <x:c r="I3933" t="str">
        <x:v>À qualifier par lieu</x:v>
      </x:c>
      <x:c r="J3933" t="str">
        <x:v>https://github.com/darknigthmare/deadwall-last-enclosure/blob/1b3b9c5ba232734b1bda3453b4e20a0481bcdd74/codex-3000/addendum-1.58/PROGRAMMES_D.json</x:v>
      </x:c>
      <x:c r="K3933" t="str">
        <x:v>Source min 36,36 m ; max 36,36 m ; modèle 36 × 36 m ; niveaux 0, 1. Détails dans catalogue-existant.json.</x:v>
      </x:c>
    </x:row>
    <x:row r="3934">
      <x:c r="A3934" t="str">
        <x:v>DW-3929</x:v>
      </x:c>
      <x:c r="B3934" t="str">
        <x:v>DW-3929</x:v>
      </x:c>
      <x:c r="C3934" t="str">
        <x:v>Parent indépendant 1.58</x:v>
      </x:c>
      <x:c r="D3934" t="str">
        <x:v>Secours et protection civile</x:v>
      </x:c>
      <x:c r="E3934" t="str">
        <x:v>Centre des constats de brèche d'enceinte</x:v>
      </x:c>
      <x:c r="F3934" t="n">
        <x:v>9</x:v>
      </x:c>
      <x:c r="G3934" t="n">
        <x:v>8</x:v>
      </x:c>
      <x:c r="H3934" t="n">
        <x:v>8</x:v>
      </x:c>
      <x:c r="I3934" t="str">
        <x:v>À qualifier par lieu</x:v>
      </x:c>
      <x:c r="J3934" t="str">
        <x:v>https://github.com/darknigthmare/deadwall-last-enclosure/blob/1b3b9c5ba232734b1bda3453b4e20a0481bcdd74/codex-3000/addendum-1.58/PROGRAMMES_D.json</x:v>
      </x:c>
      <x:c r="K3934" t="str">
        <x:v>Source min 40,40 m ; max 40,40 m ; modèle 40 × 40 m ; niveaux 0, 1. Détails dans catalogue-existant.json.</x:v>
      </x:c>
    </x:row>
    <x:row r="3935">
      <x:c r="A3935" t="str">
        <x:v>DW-3930</x:v>
      </x:c>
      <x:c r="B3935" t="str">
        <x:v>DW-3930</x:v>
      </x:c>
      <x:c r="C3935" t="str">
        <x:v>Parent indépendant 1.58</x:v>
      </x:c>
      <x:c r="D3935" t="str">
        <x:v>Secours et protection civile</x:v>
      </x:c>
      <x:c r="E3935" t="str">
        <x:v>Maison de coordination du relogement temporaire</x:v>
      </x:c>
      <x:c r="F3935" t="n">
        <x:v>9</x:v>
      </x:c>
      <x:c r="G3935" t="n">
        <x:v>8</x:v>
      </x:c>
      <x:c r="H3935" t="n">
        <x:v>8</x:v>
      </x:c>
      <x:c r="I3935" t="str">
        <x:v>À qualifier par lieu</x:v>
      </x:c>
      <x:c r="J3935" t="str">
        <x:v>https://github.com/darknigthmare/deadwall-last-enclosure/blob/1b3b9c5ba232734b1bda3453b4e20a0481bcdd74/codex-3000/addendum-1.58/PROGRAMMES_D.json</x:v>
      </x:c>
      <x:c r="K3935" t="str">
        <x:v>Source min 44,44 m ; max 44,44 m ; modèle 44 × 44 m ; niveaux 0, 1. Détails dans catalogue-existant.json.</x:v>
      </x:c>
    </x:row>
    <x:row r="3936">
      <x:c r="A3936" t="str">
        <x:v>DW-3931</x:v>
      </x:c>
      <x:c r="B3936" t="str">
        <x:v>DW-3931</x:v>
      </x:c>
      <x:c r="C3936" t="str">
        <x:v>Parent indépendant 1.58</x:v>
      </x:c>
      <x:c r="D3936" t="str">
        <x:v>Secours et protection civile</x:v>
      </x:c>
      <x:c r="E3936" t="str">
        <x:v>Centre des appels de secours archivés</x:v>
      </x:c>
      <x:c r="F3936" t="n">
        <x:v>9</x:v>
      </x:c>
      <x:c r="G3936" t="n">
        <x:v>8</x:v>
      </x:c>
      <x:c r="H3936" t="n">
        <x:v>8</x:v>
      </x:c>
      <x:c r="I3936" t="str">
        <x:v>À qualifier par lieu</x:v>
      </x:c>
      <x:c r="J3936" t="str">
        <x:v>https://github.com/darknigthmare/deadwall-last-enclosure/blob/1b3b9c5ba232734b1bda3453b4e20a0481bcdd74/codex-3000/addendum-1.58/PROGRAMMES_D.json</x:v>
      </x:c>
      <x:c r="K3936" t="str">
        <x:v>Source min 36,36 m ; max 36,36 m ; modèle 36 × 36 m ; niveaux 0, 1. Détails dans catalogue-existant.json.</x:v>
      </x:c>
    </x:row>
    <x:row r="3937">
      <x:c r="A3937" t="str">
        <x:v>DW-3932</x:v>
      </x:c>
      <x:c r="B3937" t="str">
        <x:v>DW-3932</x:v>
      </x:c>
      <x:c r="C3937" t="str">
        <x:v>Parent indépendant 1.58</x:v>
      </x:c>
      <x:c r="D3937" t="str">
        <x:v>Secours et protection civile</x:v>
      </x:c>
      <x:c r="E3937" t="str">
        <x:v>Maison des inspections de matériel de garde</x:v>
      </x:c>
      <x:c r="F3937" t="n">
        <x:v>9</x:v>
      </x:c>
      <x:c r="G3937" t="n">
        <x:v>8</x:v>
      </x:c>
      <x:c r="H3937" t="n">
        <x:v>8</x:v>
      </x:c>
      <x:c r="I3937" t="str">
        <x:v>À qualifier par lieu</x:v>
      </x:c>
      <x:c r="J3937" t="str">
        <x:v>https://github.com/darknigthmare/deadwall-last-enclosure/blob/1b3b9c5ba232734b1bda3453b4e20a0481bcdd74/codex-3000/addendum-1.58/PROGRAMMES_D.json</x:v>
      </x:c>
      <x:c r="K3937" t="str">
        <x:v>Source min 40,40 m ; max 40,40 m ; modèle 40 × 40 m ; niveaux 0, 1. Détails dans catalogue-existant.json.</x:v>
      </x:c>
    </x:row>
    <x:row r="3938">
      <x:c r="A3938" t="str">
        <x:v>DW-3933</x:v>
      </x:c>
      <x:c r="B3938" t="str">
        <x:v>DW-3933</x:v>
      </x:c>
      <x:c r="C3938" t="str">
        <x:v>Parent indépendant 1.58</x:v>
      </x:c>
      <x:c r="D3938" t="str">
        <x:v>Secours et protection civile</x:v>
      </x:c>
      <x:c r="E3938" t="str">
        <x:v>Centre des déclarations de secteur évacué</x:v>
      </x:c>
      <x:c r="F3938" t="n">
        <x:v>9</x:v>
      </x:c>
      <x:c r="G3938" t="n">
        <x:v>8</x:v>
      </x:c>
      <x:c r="H3938" t="n">
        <x:v>8</x:v>
      </x:c>
      <x:c r="I3938" t="str">
        <x:v>À qualifier par lieu</x:v>
      </x:c>
      <x:c r="J3938" t="str">
        <x:v>https://github.com/darknigthmare/deadwall-last-enclosure/blob/1b3b9c5ba232734b1bda3453b4e20a0481bcdd74/codex-3000/addendum-1.58/PROGRAMMES_D.json</x:v>
      </x:c>
      <x:c r="K3938" t="str">
        <x:v>Source min 44,44 m ; max 44,44 m ; modèle 44 × 44 m ; niveaux 0, 1. Détails dans catalogue-existant.json.</x:v>
      </x:c>
    </x:row>
    <x:row r="3939">
      <x:c r="A3939" t="str">
        <x:v>DW-3934</x:v>
      </x:c>
      <x:c r="B3939" t="str">
        <x:v>DW-3934</x:v>
      </x:c>
      <x:c r="C3939" t="str">
        <x:v>Parent indépendant 1.58</x:v>
      </x:c>
      <x:c r="D3939" t="str">
        <x:v>Secours et protection civile</x:v>
      </x:c>
      <x:c r="E3939" t="str">
        <x:v>Maison des réserves de serrurerie de protection</x:v>
      </x:c>
      <x:c r="F3939" t="n">
        <x:v>9</x:v>
      </x:c>
      <x:c r="G3939" t="n">
        <x:v>8</x:v>
      </x:c>
      <x:c r="H3939" t="n">
        <x:v>8</x:v>
      </x:c>
      <x:c r="I3939" t="str">
        <x:v>À qualifier par lieu</x:v>
      </x:c>
      <x:c r="J3939" t="str">
        <x:v>https://github.com/darknigthmare/deadwall-last-enclosure/blob/1b3b9c5ba232734b1bda3453b4e20a0481bcdd74/codex-3000/addendum-1.58/PROGRAMMES_D.json</x:v>
      </x:c>
      <x:c r="K3939" t="str">
        <x:v>Source min 36,36 m ; max 36,36 m ; modèle 36 × 36 m ; niveaux 0, 1. Détails dans catalogue-existant.json.</x:v>
      </x:c>
    </x:row>
    <x:row r="3940">
      <x:c r="A3940" t="str">
        <x:v>DW-3935</x:v>
      </x:c>
      <x:c r="B3940" t="str">
        <x:v>DW-3935</x:v>
      </x:c>
      <x:c r="C3940" t="str">
        <x:v>Parent indépendant 1.58</x:v>
      </x:c>
      <x:c r="D3940" t="str">
        <x:v>Secours et protection civile</x:v>
      </x:c>
      <x:c r="E3940" t="str">
        <x:v>Centre des registres de matériel sensible</x:v>
      </x:c>
      <x:c r="F3940" t="n">
        <x:v>9</x:v>
      </x:c>
      <x:c r="G3940" t="n">
        <x:v>8</x:v>
      </x:c>
      <x:c r="H3940" t="n">
        <x:v>8</x:v>
      </x:c>
      <x:c r="I3940" t="str">
        <x:v>À qualifier par lieu</x:v>
      </x:c>
      <x:c r="J3940" t="str">
        <x:v>https://github.com/darknigthmare/deadwall-last-enclosure/blob/1b3b9c5ba232734b1bda3453b4e20a0481bcdd74/codex-3000/addendum-1.58/PROGRAMMES_D.json</x:v>
      </x:c>
      <x:c r="K3940" t="str">
        <x:v>Source min 40,40 m ; max 40,40 m ; modèle 40 × 40 m ; niveaux 0, 1. Détails dans catalogue-existant.json.</x:v>
      </x:c>
    </x:row>
    <x:row r="3941">
      <x:c r="A3941" t="str">
        <x:v>DW-3936</x:v>
      </x:c>
      <x:c r="B3941" t="str">
        <x:v>DW-3936</x:v>
      </x:c>
      <x:c r="C3941" t="str">
        <x:v>Parent indépendant 1.58</x:v>
      </x:c>
      <x:c r="D3941" t="str">
        <x:v>Secours et protection civile</x:v>
      </x:c>
      <x:c r="E3941" t="str">
        <x:v>Réserve des lits de centre d'accueil</x:v>
      </x:c>
      <x:c r="F3941" t="n">
        <x:v>9</x:v>
      </x:c>
      <x:c r="G3941" t="n">
        <x:v>8</x:v>
      </x:c>
      <x:c r="H3941" t="n">
        <x:v>8</x:v>
      </x:c>
      <x:c r="I3941" t="str">
        <x:v>À qualifier par lieu</x:v>
      </x:c>
      <x:c r="J3941" t="str">
        <x:v>https://github.com/darknigthmare/deadwall-last-enclosure/blob/1b3b9c5ba232734b1bda3453b4e20a0481bcdd74/codex-3000/addendum-1.58/PROGRAMMES_D.json</x:v>
      </x:c>
      <x:c r="K3941" t="str">
        <x:v>Source min 44,44 m ; max 44,44 m ; modèle 44 × 44 m ; niveaux 0, 1. Détails dans catalogue-existant.json.</x:v>
      </x:c>
    </x:row>
    <x:row r="3942">
      <x:c r="A3942" t="str">
        <x:v>DW-3937</x:v>
      </x:c>
      <x:c r="B3942" t="str">
        <x:v>DW-3937</x:v>
      </x:c>
      <x:c r="C3942" t="str">
        <x:v>Parent indépendant 1.58</x:v>
      </x:c>
      <x:c r="D3942" t="str">
        <x:v>Secours et protection civile</x:v>
      </x:c>
      <x:c r="E3942" t="str">
        <x:v>Centre des modules de lavage d'urgence</x:v>
      </x:c>
      <x:c r="F3942" t="n">
        <x:v>9</x:v>
      </x:c>
      <x:c r="G3942" t="n">
        <x:v>8</x:v>
      </x:c>
      <x:c r="H3942" t="n">
        <x:v>8</x:v>
      </x:c>
      <x:c r="I3942" t="str">
        <x:v>À qualifier par lieu</x:v>
      </x:c>
      <x:c r="J3942" t="str">
        <x:v>https://github.com/darknigthmare/deadwall-last-enclosure/blob/1b3b9c5ba232734b1bda3453b4e20a0481bcdd74/codex-3000/addendum-1.58/PROGRAMMES_D.json</x:v>
      </x:c>
      <x:c r="K3942" t="str">
        <x:v>Source min 36,36 m ; max 36,36 m ; modèle 36 × 36 m ; niveaux 0, 1. Détails dans catalogue-existant.json.</x:v>
      </x:c>
    </x:row>
    <x:row r="3943">
      <x:c r="A3943" t="str">
        <x:v>DW-3938</x:v>
      </x:c>
      <x:c r="B3943" t="str">
        <x:v>DW-3938</x:v>
      </x:c>
      <x:c r="C3943" t="str">
        <x:v>Parent indépendant 1.58</x:v>
      </x:c>
      <x:c r="D3943" t="str">
        <x:v>Secours et protection civile</x:v>
      </x:c>
      <x:c r="E3943" t="str">
        <x:v>Dépôt des générateurs de secours déposés</x:v>
      </x:c>
      <x:c r="F3943" t="n">
        <x:v>9</x:v>
      </x:c>
      <x:c r="G3943" t="n">
        <x:v>8</x:v>
      </x:c>
      <x:c r="H3943" t="n">
        <x:v>8</x:v>
      </x:c>
      <x:c r="I3943" t="str">
        <x:v>À qualifier par lieu</x:v>
      </x:c>
      <x:c r="J3943" t="str">
        <x:v>https://github.com/darknigthmare/deadwall-last-enclosure/blob/1b3b9c5ba232734b1bda3453b4e20a0481bcdd74/codex-3000/addendum-1.58/PROGRAMMES_D.json</x:v>
      </x:c>
      <x:c r="K3943" t="str">
        <x:v>Source min 40,40 m ; max 40,40 m ; modèle 40 × 40 m ; niveaux 0, 1. Détails dans catalogue-existant.json.</x:v>
      </x:c>
    </x:row>
    <x:row r="3944">
      <x:c r="A3944" t="str">
        <x:v>DW-3939</x:v>
      </x:c>
      <x:c r="B3944" t="str">
        <x:v>DW-3939</x:v>
      </x:c>
      <x:c r="C3944" t="str">
        <x:v>Parent indépendant 1.58</x:v>
      </x:c>
      <x:c r="D3944" t="str">
        <x:v>Secours et protection civile</x:v>
      </x:c>
      <x:c r="E3944" t="str">
        <x:v>Réserve des lampes de balisage de crise</x:v>
      </x:c>
      <x:c r="F3944" t="n">
        <x:v>9</x:v>
      </x:c>
      <x:c r="G3944" t="n">
        <x:v>8</x:v>
      </x:c>
      <x:c r="H3944" t="n">
        <x:v>8</x:v>
      </x:c>
      <x:c r="I3944" t="str">
        <x:v>À qualifier par lieu</x:v>
      </x:c>
      <x:c r="J3944" t="str">
        <x:v>https://github.com/darknigthmare/deadwall-last-enclosure/blob/1b3b9c5ba232734b1bda3453b4e20a0481bcdd74/codex-3000/addendum-1.58/PROGRAMMES_D.json</x:v>
      </x:c>
      <x:c r="K3944" t="str">
        <x:v>Source min 44,44 m ; max 44,44 m ; modèle 44 × 44 m ; niveaux 0, 1. Détails dans catalogue-existant.json.</x:v>
      </x:c>
    </x:row>
    <x:row r="3945">
      <x:c r="A3945" t="str">
        <x:v>DW-3940</x:v>
      </x:c>
      <x:c r="B3945" t="str">
        <x:v>DW-3940</x:v>
      </x:c>
      <x:c r="C3945" t="str">
        <x:v>Parent indépendant 1.58</x:v>
      </x:c>
      <x:c r="D3945" t="str">
        <x:v>Secours et protection civile</x:v>
      </x:c>
      <x:c r="E3945" t="str">
        <x:v>Centre des cuisines d'accueil démontées</x:v>
      </x:c>
      <x:c r="F3945" t="n">
        <x:v>9</x:v>
      </x:c>
      <x:c r="G3945" t="n">
        <x:v>8</x:v>
      </x:c>
      <x:c r="H3945" t="n">
        <x:v>8</x:v>
      </x:c>
      <x:c r="I3945" t="str">
        <x:v>À qualifier par lieu</x:v>
      </x:c>
      <x:c r="J3945" t="str">
        <x:v>https://github.com/darknigthmare/deadwall-last-enclosure/blob/1b3b9c5ba232734b1bda3453b4e20a0481bcdd74/codex-3000/addendum-1.58/PROGRAMMES_D.json</x:v>
      </x:c>
      <x:c r="K3945" t="str">
        <x:v>Source min 36,36 m ; max 36,36 m ; modèle 36 × 36 m ; niveaux 0, 1. Détails dans catalogue-existant.json.</x:v>
      </x:c>
    </x:row>
    <x:row r="3946">
      <x:c r="A3946" t="str">
        <x:v>DW-3941</x:v>
      </x:c>
      <x:c r="B3946" t="str">
        <x:v>DW-3941</x:v>
      </x:c>
      <x:c r="C3946" t="str">
        <x:v>Parent indépendant 1.58</x:v>
      </x:c>
      <x:c r="D3946" t="str">
        <x:v>Secours et protection civile</x:v>
      </x:c>
      <x:c r="E3946" t="str">
        <x:v>Dépôt des couvertures de réserve civile</x:v>
      </x:c>
      <x:c r="F3946" t="n">
        <x:v>9</x:v>
      </x:c>
      <x:c r="G3946" t="n">
        <x:v>8</x:v>
      </x:c>
      <x:c r="H3946" t="n">
        <x:v>8</x:v>
      </x:c>
      <x:c r="I3946" t="str">
        <x:v>À qualifier par lieu</x:v>
      </x:c>
      <x:c r="J3946" t="str">
        <x:v>https://github.com/darknigthmare/deadwall-last-enclosure/blob/1b3b9c5ba232734b1bda3453b4e20a0481bcdd74/codex-3000/addendum-1.58/PROGRAMMES_D.json</x:v>
      </x:c>
      <x:c r="K3946" t="str">
        <x:v>Source min 40,40 m ; max 40,40 m ; modèle 40 × 40 m ; niveaux 0, 1. Détails dans catalogue-existant.json.</x:v>
      </x:c>
    </x:row>
    <x:row r="3947">
      <x:c r="A3947" t="str">
        <x:v>DW-3942</x:v>
      </x:c>
      <x:c r="B3947" t="str">
        <x:v>DW-3942</x:v>
      </x:c>
      <x:c r="C3947" t="str">
        <x:v>Parent indépendant 1.58</x:v>
      </x:c>
      <x:c r="D3947" t="str">
        <x:v>Secours et protection civile</x:v>
      </x:c>
      <x:c r="E3947" t="str">
        <x:v>Réserve des sanitaires démontables</x:v>
      </x:c>
      <x:c r="F3947" t="n">
        <x:v>9</x:v>
      </x:c>
      <x:c r="G3947" t="n">
        <x:v>8</x:v>
      </x:c>
      <x:c r="H3947" t="n">
        <x:v>8</x:v>
      </x:c>
      <x:c r="I3947" t="str">
        <x:v>À qualifier par lieu</x:v>
      </x:c>
      <x:c r="J3947" t="str">
        <x:v>https://github.com/darknigthmare/deadwall-last-enclosure/blob/1b3b9c5ba232734b1bda3453b4e20a0481bcdd74/codex-3000/addendum-1.58/PROGRAMMES_D.json</x:v>
      </x:c>
      <x:c r="K3947" t="str">
        <x:v>Source min 44,44 m ; max 44,44 m ; modèle 44 × 44 m ; niveaux 0, 1. Détails dans catalogue-existant.json.</x:v>
      </x:c>
    </x:row>
    <x:row r="3948">
      <x:c r="A3948" t="str">
        <x:v>DW-3943</x:v>
      </x:c>
      <x:c r="B3948" t="str">
        <x:v>DW-3943</x:v>
      </x:c>
      <x:c r="C3948" t="str">
        <x:v>Parent indépendant 1.58</x:v>
      </x:c>
      <x:c r="D3948" t="str">
        <x:v>Secours et protection civile</x:v>
      </x:c>
      <x:c r="E3948" t="str">
        <x:v>Centre des dispositifs de fermeture d'abri</x:v>
      </x:c>
      <x:c r="F3948" t="n">
        <x:v>9</x:v>
      </x:c>
      <x:c r="G3948" t="n">
        <x:v>8</x:v>
      </x:c>
      <x:c r="H3948" t="n">
        <x:v>8</x:v>
      </x:c>
      <x:c r="I3948" t="str">
        <x:v>À qualifier par lieu</x:v>
      </x:c>
      <x:c r="J3948" t="str">
        <x:v>https://github.com/darknigthmare/deadwall-last-enclosure/blob/1b3b9c5ba232734b1bda3453b4e20a0481bcdd74/codex-3000/addendum-1.58/PROGRAMMES_D.json</x:v>
      </x:c>
      <x:c r="K3948" t="str">
        <x:v>Source min 36,36 m ; max 36,36 m ; modèle 36 × 36 m ; niveaux 0, 1. Détails dans catalogue-existant.json.</x:v>
      </x:c>
    </x:row>
    <x:row r="3949">
      <x:c r="A3949" t="str">
        <x:v>DW-3944</x:v>
      </x:c>
      <x:c r="B3949" t="str">
        <x:v>DW-3944</x:v>
      </x:c>
      <x:c r="C3949" t="str">
        <x:v>Parent indépendant 1.58</x:v>
      </x:c>
      <x:c r="D3949" t="str">
        <x:v>Secours et protection civile</x:v>
      </x:c>
      <x:c r="E3949" t="str">
        <x:v>Dépôt des caissons de continuité documentaire</x:v>
      </x:c>
      <x:c r="F3949" t="n">
        <x:v>9</x:v>
      </x:c>
      <x:c r="G3949" t="n">
        <x:v>8</x:v>
      </x:c>
      <x:c r="H3949" t="n">
        <x:v>8</x:v>
      </x:c>
      <x:c r="I3949" t="str">
        <x:v>À qualifier par lieu</x:v>
      </x:c>
      <x:c r="J3949" t="str">
        <x:v>https://github.com/darknigthmare/deadwall-last-enclosure/blob/1b3b9c5ba232734b1bda3453b4e20a0481bcdd74/codex-3000/addendum-1.58/PROGRAMMES_D.json</x:v>
      </x:c>
      <x:c r="K3949" t="str">
        <x:v>Source min 40,40 m ; max 40,40 m ; modèle 40 × 40 m ; niveaux 0, 1. Détails dans catalogue-existant.json.</x:v>
      </x:c>
    </x:row>
    <x:row r="3950">
      <x:c r="A3950" t="str">
        <x:v>DW-3945</x:v>
      </x:c>
      <x:c r="B3950" t="str">
        <x:v>DW-3945</x:v>
      </x:c>
      <x:c r="C3950" t="str">
        <x:v>Parent indépendant 1.58</x:v>
      </x:c>
      <x:c r="D3950" t="str">
        <x:v>Secours et protection civile</x:v>
      </x:c>
      <x:c r="E3950" t="str">
        <x:v>Réserve des moyens de distribution d'eau</x:v>
      </x:c>
      <x:c r="F3950" t="n">
        <x:v>9</x:v>
      </x:c>
      <x:c r="G3950" t="n">
        <x:v>8</x:v>
      </x:c>
      <x:c r="H3950" t="n">
        <x:v>8</x:v>
      </x:c>
      <x:c r="I3950" t="str">
        <x:v>À qualifier par lieu</x:v>
      </x:c>
      <x:c r="J3950" t="str">
        <x:v>https://github.com/darknigthmare/deadwall-last-enclosure/blob/1b3b9c5ba232734b1bda3453b4e20a0481bcdd74/codex-3000/addendum-1.58/PROGRAMMES_D.json</x:v>
      </x:c>
      <x:c r="K3950" t="str">
        <x:v>Source min 44,44 m ; max 44,44 m ; modèle 44 × 44 m ; niveaux 0, 1. Détails dans catalogue-existant.json.</x:v>
      </x:c>
    </x:row>
    <x:row r="3951">
      <x:c r="A3951" t="str">
        <x:v>DW-3946</x:v>
      </x:c>
      <x:c r="B3951" t="str">
        <x:v>DW-3946</x:v>
      </x:c>
      <x:c r="C3951" t="str">
        <x:v>Parent indépendant 1.58</x:v>
      </x:c>
      <x:c r="D3951" t="str">
        <x:v>Secours et protection civile</x:v>
      </x:c>
      <x:c r="E3951" t="str">
        <x:v>Centre des postes d'accueil mobiles démontés</x:v>
      </x:c>
      <x:c r="F3951" t="n">
        <x:v>9</x:v>
      </x:c>
      <x:c r="G3951" t="n">
        <x:v>8</x:v>
      </x:c>
      <x:c r="H3951" t="n">
        <x:v>8</x:v>
      </x:c>
      <x:c r="I3951" t="str">
        <x:v>À qualifier par lieu</x:v>
      </x:c>
      <x:c r="J3951" t="str">
        <x:v>https://github.com/darknigthmare/deadwall-last-enclosure/blob/1b3b9c5ba232734b1bda3453b4e20a0481bcdd74/codex-3000/addendum-1.58/PROGRAMMES_D.json</x:v>
      </x:c>
      <x:c r="K3951" t="str">
        <x:v>Source min 36,36 m ; max 36,36 m ; modèle 36 × 36 m ; niveaux 0, 1. Détails dans catalogue-existant.json.</x:v>
      </x:c>
    </x:row>
    <x:row r="3952">
      <x:c r="A3952" t="str">
        <x:v>DW-3947</x:v>
      </x:c>
      <x:c r="B3952" t="str">
        <x:v>DW-3947</x:v>
      </x:c>
      <x:c r="C3952" t="str">
        <x:v>Parent indépendant 1.58</x:v>
      </x:c>
      <x:c r="D3952" t="str">
        <x:v>Secours et protection civile</x:v>
      </x:c>
      <x:c r="E3952" t="str">
        <x:v>Dépôt des équipements d'identification d'équipe</x:v>
      </x:c>
      <x:c r="F3952" t="n">
        <x:v>9</x:v>
      </x:c>
      <x:c r="G3952" t="n">
        <x:v>8</x:v>
      </x:c>
      <x:c r="H3952" t="n">
        <x:v>8</x:v>
      </x:c>
      <x:c r="I3952" t="str">
        <x:v>À qualifier par lieu</x:v>
      </x:c>
      <x:c r="J3952" t="str">
        <x:v>https://github.com/darknigthmare/deadwall-last-enclosure/blob/1b3b9c5ba232734b1bda3453b4e20a0481bcdd74/codex-3000/addendum-1.58/PROGRAMMES_D.json</x:v>
      </x:c>
      <x:c r="K3952" t="str">
        <x:v>Source min 40,40 m ; max 40,40 m ; modèle 40 × 40 m ; niveaux 0, 1. Détails dans catalogue-existant.json.</x:v>
      </x:c>
    </x:row>
    <x:row r="3953">
      <x:c r="A3953" t="str">
        <x:v>DW-3948</x:v>
      </x:c>
      <x:c r="B3953" t="str">
        <x:v>DW-3948</x:v>
      </x:c>
      <x:c r="C3953" t="str">
        <x:v>Parent indépendant 1.58</x:v>
      </x:c>
      <x:c r="D3953" t="str">
        <x:v>Secours et protection civile</x:v>
      </x:c>
      <x:c r="E3953" t="str">
        <x:v>Réserve des séparations d'accueil collectif</x:v>
      </x:c>
      <x:c r="F3953" t="n">
        <x:v>9</x:v>
      </x:c>
      <x:c r="G3953" t="n">
        <x:v>8</x:v>
      </x:c>
      <x:c r="H3953" t="n">
        <x:v>8</x:v>
      </x:c>
      <x:c r="I3953" t="str">
        <x:v>À qualifier par lieu</x:v>
      </x:c>
      <x:c r="J3953" t="str">
        <x:v>https://github.com/darknigthmare/deadwall-last-enclosure/blob/1b3b9c5ba232734b1bda3453b4e20a0481bcdd74/codex-3000/addendum-1.58/PROGRAMMES_D.json</x:v>
      </x:c>
      <x:c r="K3953" t="str">
        <x:v>Source min 44,44 m ; max 44,44 m ; modèle 44 × 44 m ; niveaux 0, 1. Détails dans catalogue-existant.json.</x:v>
      </x:c>
    </x:row>
    <x:row r="3954">
      <x:c r="A3954" t="str">
        <x:v>DW-3949</x:v>
      </x:c>
      <x:c r="B3954" t="str">
        <x:v>DW-3949</x:v>
      </x:c>
      <x:c r="C3954" t="str">
        <x:v>Parent indépendant 1.58</x:v>
      </x:c>
      <x:c r="D3954" t="str">
        <x:v>Secours et protection civile</x:v>
      </x:c>
      <x:c r="E3954" t="str">
        <x:v>Centre des matériels de fermeture de vitrage</x:v>
      </x:c>
      <x:c r="F3954" t="n">
        <x:v>9</x:v>
      </x:c>
      <x:c r="G3954" t="n">
        <x:v>8</x:v>
      </x:c>
      <x:c r="H3954" t="n">
        <x:v>8</x:v>
      </x:c>
      <x:c r="I3954" t="str">
        <x:v>À qualifier par lieu</x:v>
      </x:c>
      <x:c r="J3954" t="str">
        <x:v>https://github.com/darknigthmare/deadwall-last-enclosure/blob/1b3b9c5ba232734b1bda3453b4e20a0481bcdd74/codex-3000/addendum-1.58/PROGRAMMES_D.json</x:v>
      </x:c>
      <x:c r="K3954" t="str">
        <x:v>Source min 36,36 m ; max 36,36 m ; modèle 36 × 36 m ; niveaux 0, 1. Détails dans catalogue-existant.json.</x:v>
      </x:c>
    </x:row>
    <x:row r="3955">
      <x:c r="A3955" t="str">
        <x:v>DW-3950</x:v>
      </x:c>
      <x:c r="B3955" t="str">
        <x:v>DW-3950</x:v>
      </x:c>
      <x:c r="C3955" t="str">
        <x:v>Parent indépendant 1.58</x:v>
      </x:c>
      <x:c r="D3955" t="str">
        <x:v>Secours et protection civile</x:v>
      </x:c>
      <x:c r="E3955" t="str">
        <x:v>Dépôt des mallettes de maintien de service</x:v>
      </x:c>
      <x:c r="F3955" t="n">
        <x:v>9</x:v>
      </x:c>
      <x:c r="G3955" t="n">
        <x:v>8</x:v>
      </x:c>
      <x:c r="H3955" t="n">
        <x:v>8</x:v>
      </x:c>
      <x:c r="I3955" t="str">
        <x:v>À qualifier par lieu</x:v>
      </x:c>
      <x:c r="J3955" t="str">
        <x:v>https://github.com/darknigthmare/deadwall-last-enclosure/blob/1b3b9c5ba232734b1bda3453b4e20a0481bcdd74/codex-3000/addendum-1.58/PROGRAMMES_D.json</x:v>
      </x:c>
      <x:c r="K3955" t="str">
        <x:v>Source min 40,40 m ; max 40,40 m ; modèle 40 × 40 m ; niveaux 0, 1. Détails dans catalogue-existant.json.</x:v>
      </x:c>
    </x:row>
    <x:row r="3956">
      <x:c r="A3956" t="str">
        <x:v>DW-3951</x:v>
      </x:c>
      <x:c r="B3956" t="str">
        <x:v>DW-3951</x:v>
      </x:c>
      <x:c r="C3956" t="str">
        <x:v>Parent indépendant 1.58</x:v>
      </x:c>
      <x:c r="D3956" t="str">
        <x:v>Énergie et communication</x:v>
      </x:c>
      <x:c r="E3956" t="str">
        <x:v>Maison des réparations de répartiteur téléphonique</x:v>
      </x:c>
      <x:c r="F3956" t="n">
        <x:v>9</x:v>
      </x:c>
      <x:c r="G3956" t="n">
        <x:v>8</x:v>
      </x:c>
      <x:c r="H3956" t="n">
        <x:v>8</x:v>
      </x:c>
      <x:c r="I3956" t="str">
        <x:v>À qualifier par lieu</x:v>
      </x:c>
      <x:c r="J3956" t="str">
        <x:v>https://github.com/darknigthmare/deadwall-last-enclosure/blob/1b3b9c5ba232734b1bda3453b4e20a0481bcdd74/codex-3000/addendum-1.58/PROGRAMMES_D.json</x:v>
      </x:c>
      <x:c r="K3956" t="str">
        <x:v>Source min 42,42 m ; max 42,42 m ; modèle 42 × 42 m ; niveaux 0, 1. Détails dans catalogue-existant.json.</x:v>
      </x:c>
    </x:row>
    <x:row r="3957">
      <x:c r="A3957" t="str">
        <x:v>DW-3952</x:v>
      </x:c>
      <x:c r="B3957" t="str">
        <x:v>DW-3952</x:v>
      </x:c>
      <x:c r="C3957" t="str">
        <x:v>Parent indépendant 1.58</x:v>
      </x:c>
      <x:c r="D3957" t="str">
        <x:v>Énergie et communication</x:v>
      </x:c>
      <x:c r="E3957" t="str">
        <x:v>Centre des armoires de fibre optique</x:v>
      </x:c>
      <x:c r="F3957" t="n">
        <x:v>9</x:v>
      </x:c>
      <x:c r="G3957" t="n">
        <x:v>8</x:v>
      </x:c>
      <x:c r="H3957" t="n">
        <x:v>8</x:v>
      </x:c>
      <x:c r="I3957" t="str">
        <x:v>À qualifier par lieu</x:v>
      </x:c>
      <x:c r="J3957" t="str">
        <x:v>https://github.com/darknigthmare/deadwall-last-enclosure/blob/1b3b9c5ba232734b1bda3453b4e20a0481bcdd74/codex-3000/addendum-1.58/PROGRAMMES_D.json</x:v>
      </x:c>
      <x:c r="K3957" t="str">
        <x:v>Source min 34,34 m ; max 34,34 m ; modèle 34 × 34 m ; niveaux 0, 1. Détails dans catalogue-existant.json.</x:v>
      </x:c>
    </x:row>
    <x:row r="3958">
      <x:c r="A3958" t="str">
        <x:v>DW-3953</x:v>
      </x:c>
      <x:c r="B3958" t="str">
        <x:v>DW-3953</x:v>
      </x:c>
      <x:c r="C3958" t="str">
        <x:v>Parent indépendant 1.58</x:v>
      </x:c>
      <x:c r="D3958" t="str">
        <x:v>Énergie et communication</x:v>
      </x:c>
      <x:c r="E3958" t="str">
        <x:v>Atelier des antennes terrestres déposées</x:v>
      </x:c>
      <x:c r="F3958" t="n">
        <x:v>9</x:v>
      </x:c>
      <x:c r="G3958" t="n">
        <x:v>8</x:v>
      </x:c>
      <x:c r="H3958" t="n">
        <x:v>8</x:v>
      </x:c>
      <x:c r="I3958" t="str">
        <x:v>À qualifier par lieu</x:v>
      </x:c>
      <x:c r="J3958" t="str">
        <x:v>https://github.com/darknigthmare/deadwall-last-enclosure/blob/1b3b9c5ba232734b1bda3453b4e20a0481bcdd74/codex-3000/addendum-1.58/PROGRAMMES_D.json</x:v>
      </x:c>
      <x:c r="K3958" t="str">
        <x:v>Source min 38,38 m ; max 38,38 m ; modèle 38 × 38 m ; niveaux 0, 1. Détails dans catalogue-existant.json.</x:v>
      </x:c>
    </x:row>
    <x:row r="3959">
      <x:c r="A3959" t="str">
        <x:v>DW-3954</x:v>
      </x:c>
      <x:c r="B3959" t="str">
        <x:v>DW-3954</x:v>
      </x:c>
      <x:c r="C3959" t="str">
        <x:v>Parent indépendant 1.58</x:v>
      </x:c>
      <x:c r="D3959" t="str">
        <x:v>Énergie et communication</x:v>
      </x:c>
      <x:c r="E3959" t="str">
        <x:v>Maison des relais radio de maintenance</x:v>
      </x:c>
      <x:c r="F3959" t="n">
        <x:v>9</x:v>
      </x:c>
      <x:c r="G3959" t="n">
        <x:v>8</x:v>
      </x:c>
      <x:c r="H3959" t="n">
        <x:v>8</x:v>
      </x:c>
      <x:c r="I3959" t="str">
        <x:v>À qualifier par lieu</x:v>
      </x:c>
      <x:c r="J3959" t="str">
        <x:v>https://github.com/darknigthmare/deadwall-last-enclosure/blob/1b3b9c5ba232734b1bda3453b4e20a0481bcdd74/codex-3000/addendum-1.58/PROGRAMMES_D.json</x:v>
      </x:c>
      <x:c r="K3959" t="str">
        <x:v>Source min 42,42 m ; max 42,42 m ; modèle 42 × 42 m ; niveaux 0, 1. Détails dans catalogue-existant.json.</x:v>
      </x:c>
    </x:row>
    <x:row r="3960">
      <x:c r="A3960" t="str">
        <x:v>DW-3955</x:v>
      </x:c>
      <x:c r="B3960" t="str">
        <x:v>DW-3955</x:v>
      </x:c>
      <x:c r="C3960" t="str">
        <x:v>Parent indépendant 1.58</x:v>
      </x:c>
      <x:c r="D3960" t="str">
        <x:v>Énergie et communication</x:v>
      </x:c>
      <x:c r="E3960" t="str">
        <x:v>Centre des postes téléphoniques de service</x:v>
      </x:c>
      <x:c r="F3960" t="n">
        <x:v>9</x:v>
      </x:c>
      <x:c r="G3960" t="n">
        <x:v>8</x:v>
      </x:c>
      <x:c r="H3960" t="n">
        <x:v>8</x:v>
      </x:c>
      <x:c r="I3960" t="str">
        <x:v>À qualifier par lieu</x:v>
      </x:c>
      <x:c r="J3960" t="str">
        <x:v>https://github.com/darknigthmare/deadwall-last-enclosure/blob/1b3b9c5ba232734b1bda3453b4e20a0481bcdd74/codex-3000/addendum-1.58/PROGRAMMES_D.json</x:v>
      </x:c>
      <x:c r="K3960" t="str">
        <x:v>Source min 34,34 m ; max 34,34 m ; modèle 34 × 34 m ; niveaux 0, 1. Détails dans catalogue-existant.json.</x:v>
      </x:c>
    </x:row>
    <x:row r="3961">
      <x:c r="A3961" t="str">
        <x:v>DW-3956</x:v>
      </x:c>
      <x:c r="B3961" t="str">
        <x:v>DW-3956</x:v>
      </x:c>
      <x:c r="C3961" t="str">
        <x:v>Parent indépendant 1.58</x:v>
      </x:c>
      <x:c r="D3961" t="str">
        <x:v>Énergie et communication</x:v>
      </x:c>
      <x:c r="E3961" t="str">
        <x:v>Atelier des boîtiers de raccord cuivre</x:v>
      </x:c>
      <x:c r="F3961" t="n">
        <x:v>9</x:v>
      </x:c>
      <x:c r="G3961" t="n">
        <x:v>8</x:v>
      </x:c>
      <x:c r="H3961" t="n">
        <x:v>8</x:v>
      </x:c>
      <x:c r="I3961" t="str">
        <x:v>À qualifier par lieu</x:v>
      </x:c>
      <x:c r="J3961" t="str">
        <x:v>https://github.com/darknigthmare/deadwall-last-enclosure/blob/1b3b9c5ba232734b1bda3453b4e20a0481bcdd74/codex-3000/addendum-1.58/PROGRAMMES_D.json</x:v>
      </x:c>
      <x:c r="K3961" t="str">
        <x:v>Source min 38,38 m ; max 38,38 m ; modèle 38 × 38 m ; niveaux 0, 1. Détails dans catalogue-existant.json.</x:v>
      </x:c>
    </x:row>
    <x:row r="3962">
      <x:c r="A3962" t="str">
        <x:v>DW-3957</x:v>
      </x:c>
      <x:c r="B3962" t="str">
        <x:v>DW-3957</x:v>
      </x:c>
      <x:c r="C3962" t="str">
        <x:v>Parent indépendant 1.58</x:v>
      </x:c>
      <x:c r="D3962" t="str">
        <x:v>Énergie et communication</x:v>
      </x:c>
      <x:c r="E3962" t="str">
        <x:v>Maison des radios de chantier confiées</x:v>
      </x:c>
      <x:c r="F3962" t="n">
        <x:v>9</x:v>
      </x:c>
      <x:c r="G3962" t="n">
        <x:v>8</x:v>
      </x:c>
      <x:c r="H3962" t="n">
        <x:v>8</x:v>
      </x:c>
      <x:c r="I3962" t="str">
        <x:v>À qualifier par lieu</x:v>
      </x:c>
      <x:c r="J3962" t="str">
        <x:v>https://github.com/darknigthmare/deadwall-last-enclosure/blob/1b3b9c5ba232734b1bda3453b4e20a0481bcdd74/codex-3000/addendum-1.58/PROGRAMMES_D.json</x:v>
      </x:c>
      <x:c r="K3962" t="str">
        <x:v>Source min 42,42 m ; max 42,42 m ; modèle 42 × 42 m ; niveaux 0, 1. Détails dans catalogue-existant.json.</x:v>
      </x:c>
    </x:row>
    <x:row r="3963">
      <x:c r="A3963" t="str">
        <x:v>DW-3958</x:v>
      </x:c>
      <x:c r="B3963" t="str">
        <x:v>DW-3958</x:v>
      </x:c>
      <x:c r="C3963" t="str">
        <x:v>Parent indépendant 1.58</x:v>
      </x:c>
      <x:c r="D3963" t="str">
        <x:v>Énergie et communication</x:v>
      </x:c>
      <x:c r="E3963" t="str">
        <x:v>Centre des baies de brassage déposées</x:v>
      </x:c>
      <x:c r="F3963" t="n">
        <x:v>9</x:v>
      </x:c>
      <x:c r="G3963" t="n">
        <x:v>8</x:v>
      </x:c>
      <x:c r="H3963" t="n">
        <x:v>8</x:v>
      </x:c>
      <x:c r="I3963" t="str">
        <x:v>À qualifier par lieu</x:v>
      </x:c>
      <x:c r="J3963" t="str">
        <x:v>https://github.com/darknigthmare/deadwall-last-enclosure/blob/1b3b9c5ba232734b1bda3453b4e20a0481bcdd74/codex-3000/addendum-1.58/PROGRAMMES_D.json</x:v>
      </x:c>
      <x:c r="K3963" t="str">
        <x:v>Source min 34,34 m ; max 34,34 m ; modèle 34 × 34 m ; niveaux 0, 1. Détails dans catalogue-existant.json.</x:v>
      </x:c>
    </x:row>
    <x:row r="3964">
      <x:c r="A3964" t="str">
        <x:v>DW-3959</x:v>
      </x:c>
      <x:c r="B3964" t="str">
        <x:v>DW-3959</x:v>
      </x:c>
      <x:c r="C3964" t="str">
        <x:v>Parent indépendant 1.58</x:v>
      </x:c>
      <x:c r="D3964" t="str">
        <x:v>Énergie et communication</x:v>
      </x:c>
      <x:c r="E3964" t="str">
        <x:v>Atelier des boîtiers d'interphone démontés</x:v>
      </x:c>
      <x:c r="F3964" t="n">
        <x:v>9</x:v>
      </x:c>
      <x:c r="G3964" t="n">
        <x:v>8</x:v>
      </x:c>
      <x:c r="H3964" t="n">
        <x:v>8</x:v>
      </x:c>
      <x:c r="I3964" t="str">
        <x:v>À qualifier par lieu</x:v>
      </x:c>
      <x:c r="J3964" t="str">
        <x:v>https://github.com/darknigthmare/deadwall-last-enclosure/blob/1b3b9c5ba232734b1bda3453b4e20a0481bcdd74/codex-3000/addendum-1.58/PROGRAMMES_D.json</x:v>
      </x:c>
      <x:c r="K3964" t="str">
        <x:v>Source min 38,38 m ; max 38,38 m ; modèle 38 × 38 m ; niveaux 0, 1. Détails dans catalogue-existant.json.</x:v>
      </x:c>
    </x:row>
    <x:row r="3965">
      <x:c r="A3965" t="str">
        <x:v>DW-3960</x:v>
      </x:c>
      <x:c r="B3965" t="str">
        <x:v>DW-3960</x:v>
      </x:c>
      <x:c r="C3965" t="str">
        <x:v>Parent indépendant 1.58</x:v>
      </x:c>
      <x:c r="D3965" t="str">
        <x:v>Énergie et communication</x:v>
      </x:c>
      <x:c r="E3965" t="str">
        <x:v>Maison des coffrets de liaison de secours</x:v>
      </x:c>
      <x:c r="F3965" t="n">
        <x:v>9</x:v>
      </x:c>
      <x:c r="G3965" t="n">
        <x:v>8</x:v>
      </x:c>
      <x:c r="H3965" t="n">
        <x:v>8</x:v>
      </x:c>
      <x:c r="I3965" t="str">
        <x:v>À qualifier par lieu</x:v>
      </x:c>
      <x:c r="J3965" t="str">
        <x:v>https://github.com/darknigthmare/deadwall-last-enclosure/blob/1b3b9c5ba232734b1bda3453b4e20a0481bcdd74/codex-3000/addendum-1.58/PROGRAMMES_D.json</x:v>
      </x:c>
      <x:c r="K3965" t="str">
        <x:v>Source min 42,42 m ; max 42,42 m ; modèle 42 × 42 m ; niveaux 0, 1. Détails dans catalogue-existant.json.</x:v>
      </x:c>
    </x:row>
    <x:row r="3966">
      <x:c r="A3966" t="str">
        <x:v>DW-3961</x:v>
      </x:c>
      <x:c r="B3966" t="str">
        <x:v>DW-3961</x:v>
      </x:c>
      <x:c r="C3966" t="str">
        <x:v>Parent indépendant 1.58</x:v>
      </x:c>
      <x:c r="D3966" t="str">
        <x:v>Industrie et production</x:v>
      </x:c>
      <x:c r="E3966" t="str">
        <x:v>Laboratoire des contacts électriques</x:v>
      </x:c>
      <x:c r="F3966" t="n">
        <x:v>9</x:v>
      </x:c>
      <x:c r="G3966" t="n">
        <x:v>8</x:v>
      </x:c>
      <x:c r="H3966" t="n">
        <x:v>8</x:v>
      </x:c>
      <x:c r="I3966" t="str">
        <x:v>À qualifier par lieu</x:v>
      </x:c>
      <x:c r="J3966" t="str">
        <x:v>https://github.com/darknigthmare/deadwall-last-enclosure/blob/1b3b9c5ba232734b1bda3453b4e20a0481bcdd74/codex-3000/addendum-1.58/PROGRAMMES_D.json</x:v>
      </x:c>
      <x:c r="K3966" t="str">
        <x:v>Source min 34,34 m ; max 34,34 m ; modèle 34 × 34 m ; niveaux 0, 1. Détails dans catalogue-existant.json.</x:v>
      </x:c>
    </x:row>
    <x:row r="3967">
      <x:c r="A3967" t="str">
        <x:v>DW-3962</x:v>
      </x:c>
      <x:c r="B3967" t="str">
        <x:v>DW-3962</x:v>
      </x:c>
      <x:c r="C3967" t="str">
        <x:v>Parent indépendant 1.58</x:v>
      </x:c>
      <x:c r="D3967" t="str">
        <x:v>Industrie et production</x:v>
      </x:c>
      <x:c r="E3967" t="str">
        <x:v>Laboratoire des isolants de câble</x:v>
      </x:c>
      <x:c r="F3967" t="n">
        <x:v>9</x:v>
      </x:c>
      <x:c r="G3967" t="n">
        <x:v>8</x:v>
      </x:c>
      <x:c r="H3967" t="n">
        <x:v>8</x:v>
      </x:c>
      <x:c r="I3967" t="str">
        <x:v>À qualifier par lieu</x:v>
      </x:c>
      <x:c r="J3967" t="str">
        <x:v>https://github.com/darknigthmare/deadwall-last-enclosure/blob/1b3b9c5ba232734b1bda3453b4e20a0481bcdd74/codex-3000/addendum-1.58/PROGRAMMES_D.json</x:v>
      </x:c>
      <x:c r="K3967" t="str">
        <x:v>Source min 38,38 m ; max 38,38 m ; modèle 38 × 38 m ; niveaux 0, 1. Détails dans catalogue-existant.json.</x:v>
      </x:c>
    </x:row>
    <x:row r="3968">
      <x:c r="A3968" t="str">
        <x:v>DW-3963</x:v>
      </x:c>
      <x:c r="B3968" t="str">
        <x:v>DW-3963</x:v>
      </x:c>
      <x:c r="C3968" t="str">
        <x:v>Parent indépendant 1.58</x:v>
      </x:c>
      <x:c r="D3968" t="str">
        <x:v>Industrie et production</x:v>
      </x:c>
      <x:c r="E3968" t="str">
        <x:v>Centre des essais de connecteur</x:v>
      </x:c>
      <x:c r="F3968" t="n">
        <x:v>9</x:v>
      </x:c>
      <x:c r="G3968" t="n">
        <x:v>8</x:v>
      </x:c>
      <x:c r="H3968" t="n">
        <x:v>8</x:v>
      </x:c>
      <x:c r="I3968" t="str">
        <x:v>À qualifier par lieu</x:v>
      </x:c>
      <x:c r="J3968" t="str">
        <x:v>https://github.com/darknigthmare/deadwall-last-enclosure/blob/1b3b9c5ba232734b1bda3453b4e20a0481bcdd74/codex-3000/addendum-1.58/PROGRAMMES_D.json</x:v>
      </x:c>
      <x:c r="K3968" t="str">
        <x:v>Source min 42,42 m ; max 42,42 m ; modèle 42 × 42 m ; niveaux 0, 1. Détails dans catalogue-existant.json.</x:v>
      </x:c>
    </x:row>
    <x:row r="3969">
      <x:c r="A3969" t="str">
        <x:v>DW-3964</x:v>
      </x:c>
      <x:c r="B3969" t="str">
        <x:v>DW-3964</x:v>
      </x:c>
      <x:c r="C3969" t="str">
        <x:v>Parent indépendant 1.58</x:v>
      </x:c>
      <x:c r="D3969" t="str">
        <x:v>Industrie et production</x:v>
      </x:c>
      <x:c r="E3969" t="str">
        <x:v>Laboratoire des assemblages de circuit</x:v>
      </x:c>
      <x:c r="F3969" t="n">
        <x:v>9</x:v>
      </x:c>
      <x:c r="G3969" t="n">
        <x:v>8</x:v>
      </x:c>
      <x:c r="H3969" t="n">
        <x:v>8</x:v>
      </x:c>
      <x:c r="I3969" t="str">
        <x:v>À qualifier par lieu</x:v>
      </x:c>
      <x:c r="J3969" t="str">
        <x:v>https://github.com/darknigthmare/deadwall-last-enclosure/blob/1b3b9c5ba232734b1bda3453b4e20a0481bcdd74/codex-3000/addendum-1.58/PROGRAMMES_D.json</x:v>
      </x:c>
      <x:c r="K3969" t="str">
        <x:v>Source min 34,34 m ; max 34,34 m ; modèle 34 × 34 m ; niveaux 0, 1. Détails dans catalogue-existant.json.</x:v>
      </x:c>
    </x:row>
    <x:row r="3970">
      <x:c r="A3970" t="str">
        <x:v>DW-3965</x:v>
      </x:c>
      <x:c r="B3970" t="str">
        <x:v>DW-3965</x:v>
      </x:c>
      <x:c r="C3970" t="str">
        <x:v>Parent indépendant 1.58</x:v>
      </x:c>
      <x:c r="D3970" t="str">
        <x:v>Industrie et production</x:v>
      </x:c>
      <x:c r="E3970" t="str">
        <x:v>Centre des essais de capteur de pression</x:v>
      </x:c>
      <x:c r="F3970" t="n">
        <x:v>9</x:v>
      </x:c>
      <x:c r="G3970" t="n">
        <x:v>8</x:v>
      </x:c>
      <x:c r="H3970" t="n">
        <x:v>8</x:v>
      </x:c>
      <x:c r="I3970" t="str">
        <x:v>À qualifier par lieu</x:v>
      </x:c>
      <x:c r="J3970" t="str">
        <x:v>https://github.com/darknigthmare/deadwall-last-enclosure/blob/1b3b9c5ba232734b1bda3453b4e20a0481bcdd74/codex-3000/addendum-1.58/PROGRAMMES_D.json</x:v>
      </x:c>
      <x:c r="K3970" t="str">
        <x:v>Source min 38,38 m ; max 38,38 m ; modèle 38 × 38 m ; niveaux 0, 1. Détails dans catalogue-existant.json.</x:v>
      </x:c>
    </x:row>
    <x:row r="3971">
      <x:c r="A3971" t="str">
        <x:v>DW-3966</x:v>
      </x:c>
      <x:c r="B3971" t="str">
        <x:v>DW-3966</x:v>
      </x:c>
      <x:c r="C3971" t="str">
        <x:v>Parent indépendant 1.58</x:v>
      </x:c>
      <x:c r="D3971" t="str">
        <x:v>Industrie et production</x:v>
      </x:c>
      <x:c r="E3971" t="str">
        <x:v>Laboratoire des petits moteurs électriques</x:v>
      </x:c>
      <x:c r="F3971" t="n">
        <x:v>9</x:v>
      </x:c>
      <x:c r="G3971" t="n">
        <x:v>8</x:v>
      </x:c>
      <x:c r="H3971" t="n">
        <x:v>8</x:v>
      </x:c>
      <x:c r="I3971" t="str">
        <x:v>À qualifier par lieu</x:v>
      </x:c>
      <x:c r="J3971" t="str">
        <x:v>https://github.com/darknigthmare/deadwall-last-enclosure/blob/1b3b9c5ba232734b1bda3453b4e20a0481bcdd74/codex-3000/addendum-1.58/PROGRAMMES_D.json</x:v>
      </x:c>
      <x:c r="K3971" t="str">
        <x:v>Source min 42,42 m ; max 42,42 m ; modèle 42 × 42 m ; niveaux 0, 1. Détails dans catalogue-existant.json.</x:v>
      </x:c>
    </x:row>
    <x:row r="3972">
      <x:c r="A3972" t="str">
        <x:v>DW-3967</x:v>
      </x:c>
      <x:c r="B3972" t="str">
        <x:v>DW-3967</x:v>
      </x:c>
      <x:c r="C3972" t="str">
        <x:v>Parent indépendant 1.58</x:v>
      </x:c>
      <x:c r="D3972" t="str">
        <x:v>Industrie et production</x:v>
      </x:c>
      <x:c r="E3972" t="str">
        <x:v>Centre des essais de protection électrique</x:v>
      </x:c>
      <x:c r="F3972" t="n">
        <x:v>9</x:v>
      </x:c>
      <x:c r="G3972" t="n">
        <x:v>8</x:v>
      </x:c>
      <x:c r="H3972" t="n">
        <x:v>8</x:v>
      </x:c>
      <x:c r="I3972" t="str">
        <x:v>À qualifier par lieu</x:v>
      </x:c>
      <x:c r="J3972" t="str">
        <x:v>https://github.com/darknigthmare/deadwall-last-enclosure/blob/1b3b9c5ba232734b1bda3453b4e20a0481bcdd74/codex-3000/addendum-1.58/PROGRAMMES_D.json</x:v>
      </x:c>
      <x:c r="K3972" t="str">
        <x:v>Source min 34,34 m ; max 34,34 m ; modèle 34 × 34 m ; niveaux 0, 1. Détails dans catalogue-existant.json.</x:v>
      </x:c>
    </x:row>
    <x:row r="3973">
      <x:c r="A3973" t="str">
        <x:v>DW-3968</x:v>
      </x:c>
      <x:c r="B3973" t="str">
        <x:v>DW-3968</x:v>
      </x:c>
      <x:c r="C3973" t="str">
        <x:v>Parent indépendant 1.58</x:v>
      </x:c>
      <x:c r="D3973" t="str">
        <x:v>Industrie et production</x:v>
      </x:c>
      <x:c r="E3973" t="str">
        <x:v>Laboratoire des dissipateurs thermiques</x:v>
      </x:c>
      <x:c r="F3973" t="n">
        <x:v>9</x:v>
      </x:c>
      <x:c r="G3973" t="n">
        <x:v>8</x:v>
      </x:c>
      <x:c r="H3973" t="n">
        <x:v>8</x:v>
      </x:c>
      <x:c r="I3973" t="str">
        <x:v>À qualifier par lieu</x:v>
      </x:c>
      <x:c r="J3973" t="str">
        <x:v>https://github.com/darknigthmare/deadwall-last-enclosure/blob/1b3b9c5ba232734b1bda3453b4e20a0481bcdd74/codex-3000/addendum-1.58/PROGRAMMES_D.json</x:v>
      </x:c>
      <x:c r="K3973" t="str">
        <x:v>Source min 38,38 m ; max 38,38 m ; modèle 38 × 38 m ; niveaux 0, 1. Détails dans catalogue-existant.json.</x:v>
      </x:c>
    </x:row>
    <x:row r="3974">
      <x:c r="A3974" t="str">
        <x:v>DW-3969</x:v>
      </x:c>
      <x:c r="B3974" t="str">
        <x:v>DW-3969</x:v>
      </x:c>
      <x:c r="C3974" t="str">
        <x:v>Parent indépendant 1.58</x:v>
      </x:c>
      <x:c r="D3974" t="str">
        <x:v>Industrie et production</x:v>
      </x:c>
      <x:c r="E3974" t="str">
        <x:v>Centre des essais de transformateur déposé</x:v>
      </x:c>
      <x:c r="F3974" t="n">
        <x:v>9</x:v>
      </x:c>
      <x:c r="G3974" t="n">
        <x:v>8</x:v>
      </x:c>
      <x:c r="H3974" t="n">
        <x:v>8</x:v>
      </x:c>
      <x:c r="I3974" t="str">
        <x:v>À qualifier par lieu</x:v>
      </x:c>
      <x:c r="J3974" t="str">
        <x:v>https://github.com/darknigthmare/deadwall-last-enclosure/blob/1b3b9c5ba232734b1bda3453b4e20a0481bcdd74/codex-3000/addendum-1.58/PROGRAMMES_D.json</x:v>
      </x:c>
      <x:c r="K3974" t="str">
        <x:v>Source min 42,42 m ; max 42,42 m ; modèle 42 × 42 m ; niveaux 0, 1. Détails dans catalogue-existant.json.</x:v>
      </x:c>
    </x:row>
    <x:row r="3975">
      <x:c r="A3975" t="str">
        <x:v>DW-3970</x:v>
      </x:c>
      <x:c r="B3975" t="str">
        <x:v>DW-3970</x:v>
      </x:c>
      <x:c r="C3975" t="str">
        <x:v>Parent indépendant 1.58</x:v>
      </x:c>
      <x:c r="D3975" t="str">
        <x:v>Industrie et production</x:v>
      </x:c>
      <x:c r="E3975" t="str">
        <x:v>Laboratoire des contacts de batterie</x:v>
      </x:c>
      <x:c r="F3975" t="n">
        <x:v>9</x:v>
      </x:c>
      <x:c r="G3975" t="n">
        <x:v>8</x:v>
      </x:c>
      <x:c r="H3975" t="n">
        <x:v>8</x:v>
      </x:c>
      <x:c r="I3975" t="str">
        <x:v>À qualifier par lieu</x:v>
      </x:c>
      <x:c r="J3975" t="str">
        <x:v>https://github.com/darknigthmare/deadwall-last-enclosure/blob/1b3b9c5ba232734b1bda3453b4e20a0481bcdd74/codex-3000/addendum-1.58/PROGRAMMES_D.json</x:v>
      </x:c>
      <x:c r="K3975" t="str">
        <x:v>Source min 34,34 m ; max 34,34 m ; modèle 34 × 34 m ; niveaux 0, 1. Détails dans catalogue-existant.json.</x:v>
      </x:c>
    </x:row>
    <x:row r="3976">
      <x:c r="A3976" t="str">
        <x:v>DW-3971</x:v>
      </x:c>
      <x:c r="B3976" t="str">
        <x:v>DW-3971</x:v>
      </x:c>
      <x:c r="C3976" t="str">
        <x:v>Parent indépendant 1.58</x:v>
      </x:c>
      <x:c r="D3976" t="str">
        <x:v>Éducation et connaissance</x:v>
      </x:c>
      <x:c r="E3976" t="str">
        <x:v>Laboratoire des lentilles de mesure</x:v>
      </x:c>
      <x:c r="F3976" t="n">
        <x:v>9</x:v>
      </x:c>
      <x:c r="G3976" t="n">
        <x:v>8</x:v>
      </x:c>
      <x:c r="H3976" t="n">
        <x:v>8</x:v>
      </x:c>
      <x:c r="I3976" t="str">
        <x:v>À qualifier par lieu</x:v>
      </x:c>
      <x:c r="J3976" t="str">
        <x:v>https://github.com/darknigthmare/deadwall-last-enclosure/blob/1b3b9c5ba232734b1bda3453b4e20a0481bcdd74/codex-3000/addendum-1.58/PROGRAMMES_D.json</x:v>
      </x:c>
      <x:c r="K3976" t="str">
        <x:v>Source min 38,38 m ; max 38,38 m ; modèle 38 × 38 m ; niveaux 0, 1. Détails dans catalogue-existant.json.</x:v>
      </x:c>
    </x:row>
    <x:row r="3977">
      <x:c r="A3977" t="str">
        <x:v>DW-3972</x:v>
      </x:c>
      <x:c r="B3977" t="str">
        <x:v>DW-3972</x:v>
      </x:c>
      <x:c r="C3977" t="str">
        <x:v>Parent indépendant 1.58</x:v>
      </x:c>
      <x:c r="D3977" t="str">
        <x:v>Éducation et connaissance</x:v>
      </x:c>
      <x:c r="E3977" t="str">
        <x:v>Centre des essais de miroir technique</x:v>
      </x:c>
      <x:c r="F3977" t="n">
        <x:v>9</x:v>
      </x:c>
      <x:c r="G3977" t="n">
        <x:v>8</x:v>
      </x:c>
      <x:c r="H3977" t="n">
        <x:v>8</x:v>
      </x:c>
      <x:c r="I3977" t="str">
        <x:v>À qualifier par lieu</x:v>
      </x:c>
      <x:c r="J3977" t="str">
        <x:v>https://github.com/darknigthmare/deadwall-last-enclosure/blob/1b3b9c5ba232734b1bda3453b4e20a0481bcdd74/codex-3000/addendum-1.58/PROGRAMMES_D.json</x:v>
      </x:c>
      <x:c r="K3977" t="str">
        <x:v>Source min 42,42 m ; max 42,42 m ; modèle 42 × 42 m ; niveaux 0, 1. Détails dans catalogue-existant.json.</x:v>
      </x:c>
    </x:row>
    <x:row r="3978">
      <x:c r="A3978" t="str">
        <x:v>DW-3973</x:v>
      </x:c>
      <x:c r="B3978" t="str">
        <x:v>DW-3973</x:v>
      </x:c>
      <x:c r="C3978" t="str">
        <x:v>Parent indépendant 1.58</x:v>
      </x:c>
      <x:c r="D3978" t="str">
        <x:v>Éducation et connaissance</x:v>
      </x:c>
      <x:c r="E3978" t="str">
        <x:v>Laboratoire des fibres lumineuses</x:v>
      </x:c>
      <x:c r="F3978" t="n">
        <x:v>9</x:v>
      </x:c>
      <x:c r="G3978" t="n">
        <x:v>8</x:v>
      </x:c>
      <x:c r="H3978" t="n">
        <x:v>8</x:v>
      </x:c>
      <x:c r="I3978" t="str">
        <x:v>À qualifier par lieu</x:v>
      </x:c>
      <x:c r="J3978" t="str">
        <x:v>https://github.com/darknigthmare/deadwall-last-enclosure/blob/1b3b9c5ba232734b1bda3453b4e20a0481bcdd74/codex-3000/addendum-1.58/PROGRAMMES_D.json</x:v>
      </x:c>
      <x:c r="K3978" t="str">
        <x:v>Source min 34,34 m ; max 34,34 m ; modèle 34 × 34 m ; niveaux 0, 1. Détails dans catalogue-existant.json.</x:v>
      </x:c>
    </x:row>
    <x:row r="3979">
      <x:c r="A3979" t="str">
        <x:v>DW-3974</x:v>
      </x:c>
      <x:c r="B3979" t="str">
        <x:v>DW-3974</x:v>
      </x:c>
      <x:c r="C3979" t="str">
        <x:v>Parent indépendant 1.58</x:v>
      </x:c>
      <x:c r="D3979" t="str">
        <x:v>Éducation et connaissance</x:v>
      </x:c>
      <x:c r="E3979" t="str">
        <x:v>Centre des essais de boîtier photographique</x:v>
      </x:c>
      <x:c r="F3979" t="n">
        <x:v>9</x:v>
      </x:c>
      <x:c r="G3979" t="n">
        <x:v>8</x:v>
      </x:c>
      <x:c r="H3979" t="n">
        <x:v>8</x:v>
      </x:c>
      <x:c r="I3979" t="str">
        <x:v>À qualifier par lieu</x:v>
      </x:c>
      <x:c r="J3979" t="str">
        <x:v>https://github.com/darknigthmare/deadwall-last-enclosure/blob/1b3b9c5ba232734b1bda3453b4e20a0481bcdd74/codex-3000/addendum-1.58/PROGRAMMES_D.json</x:v>
      </x:c>
      <x:c r="K3979" t="str">
        <x:v>Source min 38,38 m ; max 38,38 m ; modèle 38 × 38 m ; niveaux 0, 1. Détails dans catalogue-existant.json.</x:v>
      </x:c>
    </x:row>
    <x:row r="3980">
      <x:c r="A3980" t="str">
        <x:v>DW-3975</x:v>
      </x:c>
      <x:c r="B3980" t="str">
        <x:v>DW-3975</x:v>
      </x:c>
      <x:c r="C3980" t="str">
        <x:v>Parent indépendant 1.58</x:v>
      </x:c>
      <x:c r="D3980" t="str">
        <x:v>Éducation et connaissance</x:v>
      </x:c>
      <x:c r="E3980" t="str">
        <x:v>Laboratoire des diaphragmes optiques</x:v>
      </x:c>
      <x:c r="F3980" t="n">
        <x:v>9</x:v>
      </x:c>
      <x:c r="G3980" t="n">
        <x:v>8</x:v>
      </x:c>
      <x:c r="H3980" t="n">
        <x:v>8</x:v>
      </x:c>
      <x:c r="I3980" t="str">
        <x:v>À qualifier par lieu</x:v>
      </x:c>
      <x:c r="J3980" t="str">
        <x:v>https://github.com/darknigthmare/deadwall-last-enclosure/blob/1b3b9c5ba232734b1bda3453b4e20a0481bcdd74/codex-3000/addendum-1.58/PROGRAMMES_D.json</x:v>
      </x:c>
      <x:c r="K3980" t="str">
        <x:v>Source min 42,42 m ; max 42,42 m ; modèle 42 × 42 m ; niveaux 0, 1. Détails dans catalogue-existant.json.</x:v>
      </x:c>
    </x:row>
    <x:row r="3981">
      <x:c r="A3981" t="str">
        <x:v>DW-3976</x:v>
      </x:c>
      <x:c r="B3981" t="str">
        <x:v>DW-3976</x:v>
      </x:c>
      <x:c r="C3981" t="str">
        <x:v>Parent indépendant 1.58</x:v>
      </x:c>
      <x:c r="D3981" t="str">
        <x:v>Éducation et connaissance</x:v>
      </x:c>
      <x:c r="E3981" t="str">
        <x:v>Centre des essais de filtre optique</x:v>
      </x:c>
      <x:c r="F3981" t="n">
        <x:v>9</x:v>
      </x:c>
      <x:c r="G3981" t="n">
        <x:v>8</x:v>
      </x:c>
      <x:c r="H3981" t="n">
        <x:v>8</x:v>
      </x:c>
      <x:c r="I3981" t="str">
        <x:v>À qualifier par lieu</x:v>
      </x:c>
      <x:c r="J3981" t="str">
        <x:v>https://github.com/darknigthmare/deadwall-last-enclosure/blob/1b3b9c5ba232734b1bda3453b4e20a0481bcdd74/codex-3000/addendum-1.58/PROGRAMMES_D.json</x:v>
      </x:c>
      <x:c r="K3981" t="str">
        <x:v>Source min 34,34 m ; max 34,34 m ; modèle 34 × 34 m ; niveaux 0, 1. Détails dans catalogue-existant.json.</x:v>
      </x:c>
    </x:row>
    <x:row r="3982">
      <x:c r="A3982" t="str">
        <x:v>DW-3977</x:v>
      </x:c>
      <x:c r="B3982" t="str">
        <x:v>DW-3977</x:v>
      </x:c>
      <x:c r="C3982" t="str">
        <x:v>Parent indépendant 1.58</x:v>
      </x:c>
      <x:c r="D3982" t="str">
        <x:v>Éducation et connaissance</x:v>
      </x:c>
      <x:c r="E3982" t="str">
        <x:v>Laboratoire des viseurs d'inspection civile</x:v>
      </x:c>
      <x:c r="F3982" t="n">
        <x:v>9</x:v>
      </x:c>
      <x:c r="G3982" t="n">
        <x:v>8</x:v>
      </x:c>
      <x:c r="H3982" t="n">
        <x:v>8</x:v>
      </x:c>
      <x:c r="I3982" t="str">
        <x:v>À qualifier par lieu</x:v>
      </x:c>
      <x:c r="J3982" t="str">
        <x:v>https://github.com/darknigthmare/deadwall-last-enclosure/blob/1b3b9c5ba232734b1bda3453b4e20a0481bcdd74/codex-3000/addendum-1.58/PROGRAMMES_D.json</x:v>
      </x:c>
      <x:c r="K3982" t="str">
        <x:v>Source min 38,38 m ; max 38,38 m ; modèle 38 × 38 m ; niveaux 0, 1. Détails dans catalogue-existant.json.</x:v>
      </x:c>
    </x:row>
    <x:row r="3983">
      <x:c r="A3983" t="str">
        <x:v>DW-3978</x:v>
      </x:c>
      <x:c r="B3983" t="str">
        <x:v>DW-3978</x:v>
      </x:c>
      <x:c r="C3983" t="str">
        <x:v>Parent indépendant 1.58</x:v>
      </x:c>
      <x:c r="D3983" t="str">
        <x:v>Éducation et connaissance</x:v>
      </x:c>
      <x:c r="E3983" t="str">
        <x:v>Centre des essais de fenêtre d'instrument</x:v>
      </x:c>
      <x:c r="F3983" t="n">
        <x:v>9</x:v>
      </x:c>
      <x:c r="G3983" t="n">
        <x:v>8</x:v>
      </x:c>
      <x:c r="H3983" t="n">
        <x:v>8</x:v>
      </x:c>
      <x:c r="I3983" t="str">
        <x:v>À qualifier par lieu</x:v>
      </x:c>
      <x:c r="J3983" t="str">
        <x:v>https://github.com/darknigthmare/deadwall-last-enclosure/blob/1b3b9c5ba232734b1bda3453b4e20a0481bcdd74/codex-3000/addendum-1.58/PROGRAMMES_D.json</x:v>
      </x:c>
      <x:c r="K3983" t="str">
        <x:v>Source min 42,42 m ; max 42,42 m ; modèle 42 × 42 m ; niveaux 0, 1. Détails dans catalogue-existant.json.</x:v>
      </x:c>
    </x:row>
    <x:row r="3984">
      <x:c r="A3984" t="str">
        <x:v>DW-3979</x:v>
      </x:c>
      <x:c r="B3984" t="str">
        <x:v>DW-3979</x:v>
      </x:c>
      <x:c r="C3984" t="str">
        <x:v>Parent indépendant 1.58</x:v>
      </x:c>
      <x:c r="D3984" t="str">
        <x:v>Éducation et connaissance</x:v>
      </x:c>
      <x:c r="E3984" t="str">
        <x:v>Laboratoire des supports de microscope</x:v>
      </x:c>
      <x:c r="F3984" t="n">
        <x:v>9</x:v>
      </x:c>
      <x:c r="G3984" t="n">
        <x:v>8</x:v>
      </x:c>
      <x:c r="H3984" t="n">
        <x:v>8</x:v>
      </x:c>
      <x:c r="I3984" t="str">
        <x:v>À qualifier par lieu</x:v>
      </x:c>
      <x:c r="J3984" t="str">
        <x:v>https://github.com/darknigthmare/deadwall-last-enclosure/blob/1b3b9c5ba232734b1bda3453b4e20a0481bcdd74/codex-3000/addendum-1.58/PROGRAMMES_D.json</x:v>
      </x:c>
      <x:c r="K3984" t="str">
        <x:v>Source min 34,34 m ; max 34,34 m ; modèle 34 × 34 m ; niveaux 0, 1. Détails dans catalogue-existant.json.</x:v>
      </x:c>
    </x:row>
    <x:row r="3985">
      <x:c r="A3985" t="str">
        <x:v>DW-3980</x:v>
      </x:c>
      <x:c r="B3985" t="str">
        <x:v>DW-3980</x:v>
      </x:c>
      <x:c r="C3985" t="str">
        <x:v>Parent indépendant 1.58</x:v>
      </x:c>
      <x:c r="D3985" t="str">
        <x:v>Éducation et connaissance</x:v>
      </x:c>
      <x:c r="E3985" t="str">
        <x:v>Centre des essais d'éclairage d'inspection</x:v>
      </x:c>
      <x:c r="F3985" t="n">
        <x:v>9</x:v>
      </x:c>
      <x:c r="G3985" t="n">
        <x:v>8</x:v>
      </x:c>
      <x:c r="H3985" t="n">
        <x:v>8</x:v>
      </x:c>
      <x:c r="I3985" t="str">
        <x:v>À qualifier par lieu</x:v>
      </x:c>
      <x:c r="J3985" t="str">
        <x:v>https://github.com/darknigthmare/deadwall-last-enclosure/blob/1b3b9c5ba232734b1bda3453b4e20a0481bcdd74/codex-3000/addendum-1.58/PROGRAMMES_D.json</x:v>
      </x:c>
      <x:c r="K3985" t="str">
        <x:v>Source min 38,38 m ; max 38,38 m ; modèle 38 × 38 m ; niveaux 0, 1. Détails dans catalogue-existant.json.</x:v>
      </x:c>
    </x:row>
    <x:row r="3986">
      <x:c r="A3986" t="str">
        <x:v>DW-3981</x:v>
      </x:c>
      <x:c r="B3986" t="str">
        <x:v>DW-3981</x:v>
      </x:c>
      <x:c r="C3986" t="str">
        <x:v>Parent indépendant 1.58</x:v>
      </x:c>
      <x:c r="D3986" t="str">
        <x:v>Industrie et production</x:v>
      </x:c>
      <x:c r="E3986" t="str">
        <x:v>Laboratoire des joints de dilatation</x:v>
      </x:c>
      <x:c r="F3986" t="n">
        <x:v>9</x:v>
      </x:c>
      <x:c r="G3986" t="n">
        <x:v>8</x:v>
      </x:c>
      <x:c r="H3986" t="n">
        <x:v>8</x:v>
      </x:c>
      <x:c r="I3986" t="str">
        <x:v>À qualifier par lieu</x:v>
      </x:c>
      <x:c r="J3986" t="str">
        <x:v>https://github.com/darknigthmare/deadwall-last-enclosure/blob/1b3b9c5ba232734b1bda3453b4e20a0481bcdd74/codex-3000/addendum-1.58/PROGRAMMES_D.json</x:v>
      </x:c>
      <x:c r="K3986" t="str">
        <x:v>Source min 42,42 m ; max 42,42 m ; modèle 42 × 42 m ; niveaux 0, 1. Détails dans catalogue-existant.json.</x:v>
      </x:c>
    </x:row>
    <x:row r="3987">
      <x:c r="A3987" t="str">
        <x:v>DW-3982</x:v>
      </x:c>
      <x:c r="B3987" t="str">
        <x:v>DW-3982</x:v>
      </x:c>
      <x:c r="C3987" t="str">
        <x:v>Parent indépendant 1.58</x:v>
      </x:c>
      <x:c r="D3987" t="str">
        <x:v>Industrie et production</x:v>
      </x:c>
      <x:c r="E3987" t="str">
        <x:v>Centre des essais de colle d'assemblage</x:v>
      </x:c>
      <x:c r="F3987" t="n">
        <x:v>9</x:v>
      </x:c>
      <x:c r="G3987" t="n">
        <x:v>8</x:v>
      </x:c>
      <x:c r="H3987" t="n">
        <x:v>8</x:v>
      </x:c>
      <x:c r="I3987" t="str">
        <x:v>À qualifier par lieu</x:v>
      </x:c>
      <x:c r="J3987" t="str">
        <x:v>https://github.com/darknigthmare/deadwall-last-enclosure/blob/1b3b9c5ba232734b1bda3453b4e20a0481bcdd74/codex-3000/addendum-1.58/PROGRAMMES_D.json</x:v>
      </x:c>
      <x:c r="K3987" t="str">
        <x:v>Source min 34,34 m ; max 34,34 m ; modèle 34 × 34 m ; niveaux 0, 1. Détails dans catalogue-existant.json.</x:v>
      </x:c>
    </x:row>
    <x:row r="3988">
      <x:c r="A3988" t="str">
        <x:v>DW-3983</x:v>
      </x:c>
      <x:c r="B3988" t="str">
        <x:v>DW-3983</x:v>
      </x:c>
      <x:c r="C3988" t="str">
        <x:v>Parent indépendant 1.58</x:v>
      </x:c>
      <x:c r="D3988" t="str">
        <x:v>Industrie et production</x:v>
      </x:c>
      <x:c r="E3988" t="str">
        <x:v>Laboratoire des revêtements anticorrosion</x:v>
      </x:c>
      <x:c r="F3988" t="n">
        <x:v>9</x:v>
      </x:c>
      <x:c r="G3988" t="n">
        <x:v>8</x:v>
      </x:c>
      <x:c r="H3988" t="n">
        <x:v>8</x:v>
      </x:c>
      <x:c r="I3988" t="str">
        <x:v>À qualifier par lieu</x:v>
      </x:c>
      <x:c r="J3988" t="str">
        <x:v>https://github.com/darknigthmare/deadwall-last-enclosure/blob/1b3b9c5ba232734b1bda3453b4e20a0481bcdd74/codex-3000/addendum-1.58/PROGRAMMES_D.json</x:v>
      </x:c>
      <x:c r="K3988" t="str">
        <x:v>Source min 38,38 m ; max 38,38 m ; modèle 38 × 38 m ; niveaux 0, 1. Détails dans catalogue-existant.json.</x:v>
      </x:c>
    </x:row>
    <x:row r="3989">
      <x:c r="A3989" t="str">
        <x:v>DW-3984</x:v>
      </x:c>
      <x:c r="B3989" t="str">
        <x:v>DW-3984</x:v>
      </x:c>
      <x:c r="C3989" t="str">
        <x:v>Parent indépendant 1.58</x:v>
      </x:c>
      <x:c r="D3989" t="str">
        <x:v>Industrie et production</x:v>
      </x:c>
      <x:c r="E3989" t="str">
        <x:v>Centre des essais de textile technique</x:v>
      </x:c>
      <x:c r="F3989" t="n">
        <x:v>9</x:v>
      </x:c>
      <x:c r="G3989" t="n">
        <x:v>8</x:v>
      </x:c>
      <x:c r="H3989" t="n">
        <x:v>8</x:v>
      </x:c>
      <x:c r="I3989" t="str">
        <x:v>À qualifier par lieu</x:v>
      </x:c>
      <x:c r="J3989" t="str">
        <x:v>https://github.com/darknigthmare/deadwall-last-enclosure/blob/1b3b9c5ba232734b1bda3453b4e20a0481bcdd74/codex-3000/addendum-1.58/PROGRAMMES_D.json</x:v>
      </x:c>
      <x:c r="K3989" t="str">
        <x:v>Source min 42,42 m ; max 42,42 m ; modèle 42 × 42 m ; niveaux 0, 1. Détails dans catalogue-existant.json.</x:v>
      </x:c>
    </x:row>
    <x:row r="3990">
      <x:c r="A3990" t="str">
        <x:v>DW-3985</x:v>
      </x:c>
      <x:c r="B3990" t="str">
        <x:v>DW-3985</x:v>
      </x:c>
      <x:c r="C3990" t="str">
        <x:v>Parent indépendant 1.58</x:v>
      </x:c>
      <x:c r="D3990" t="str">
        <x:v>Industrie et production</x:v>
      </x:c>
      <x:c r="E3990" t="str">
        <x:v>Laboratoire des garnitures de friction</x:v>
      </x:c>
      <x:c r="F3990" t="n">
        <x:v>9</x:v>
      </x:c>
      <x:c r="G3990" t="n">
        <x:v>8</x:v>
      </x:c>
      <x:c r="H3990" t="n">
        <x:v>8</x:v>
      </x:c>
      <x:c r="I3990" t="str">
        <x:v>À qualifier par lieu</x:v>
      </x:c>
      <x:c r="J3990" t="str">
        <x:v>https://github.com/darknigthmare/deadwall-last-enclosure/blob/1b3b9c5ba232734b1bda3453b4e20a0481bcdd74/codex-3000/addendum-1.58/PROGRAMMES_D.json</x:v>
      </x:c>
      <x:c r="K3990" t="str">
        <x:v>Source min 34,34 m ; max 34,34 m ; modèle 34 × 34 m ; niveaux 0, 1. Détails dans catalogue-existant.json.</x:v>
      </x:c>
    </x:row>
    <x:row r="3991">
      <x:c r="A3991" t="str">
        <x:v>DW-3986</x:v>
      </x:c>
      <x:c r="B3991" t="str">
        <x:v>DW-3986</x:v>
      </x:c>
      <x:c r="C3991" t="str">
        <x:v>Parent indépendant 1.58</x:v>
      </x:c>
      <x:c r="D3991" t="str">
        <x:v>Industrie et production</x:v>
      </x:c>
      <x:c r="E3991" t="str">
        <x:v>Centre des essais de mousse isolante</x:v>
      </x:c>
      <x:c r="F3991" t="n">
        <x:v>9</x:v>
      </x:c>
      <x:c r="G3991" t="n">
        <x:v>8</x:v>
      </x:c>
      <x:c r="H3991" t="n">
        <x:v>8</x:v>
      </x:c>
      <x:c r="I3991" t="str">
        <x:v>À qualifier par lieu</x:v>
      </x:c>
      <x:c r="J3991" t="str">
        <x:v>https://github.com/darknigthmare/deadwall-last-enclosure/blob/1b3b9c5ba232734b1bda3453b4e20a0481bcdd74/codex-3000/addendum-1.58/PROGRAMMES_D.json</x:v>
      </x:c>
      <x:c r="K3991" t="str">
        <x:v>Source min 38,38 m ; max 38,38 m ; modèle 38 × 38 m ; niveaux 0, 1. Détails dans catalogue-existant.json.</x:v>
      </x:c>
    </x:row>
    <x:row r="3992">
      <x:c r="A3992" t="str">
        <x:v>DW-3987</x:v>
      </x:c>
      <x:c r="B3992" t="str">
        <x:v>DW-3987</x:v>
      </x:c>
      <x:c r="C3992" t="str">
        <x:v>Parent indépendant 1.58</x:v>
      </x:c>
      <x:c r="D3992" t="str">
        <x:v>Industrie et production</x:v>
      </x:c>
      <x:c r="E3992" t="str">
        <x:v>Laboratoire des assemblages boulonnés</x:v>
      </x:c>
      <x:c r="F3992" t="n">
        <x:v>9</x:v>
      </x:c>
      <x:c r="G3992" t="n">
        <x:v>8</x:v>
      </x:c>
      <x:c r="H3992" t="n">
        <x:v>8</x:v>
      </x:c>
      <x:c r="I3992" t="str">
        <x:v>À qualifier par lieu</x:v>
      </x:c>
      <x:c r="J3992" t="str">
        <x:v>https://github.com/darknigthmare/deadwall-last-enclosure/blob/1b3b9c5ba232734b1bda3453b4e20a0481bcdd74/codex-3000/addendum-1.58/PROGRAMMES_D.json</x:v>
      </x:c>
      <x:c r="K3992" t="str">
        <x:v>Source min 42,42 m ; max 42,42 m ; modèle 42 × 42 m ; niveaux 0, 1. Détails dans catalogue-existant.json.</x:v>
      </x:c>
    </x:row>
    <x:row r="3993">
      <x:c r="A3993" t="str">
        <x:v>DW-3988</x:v>
      </x:c>
      <x:c r="B3993" t="str">
        <x:v>DW-3988</x:v>
      </x:c>
      <x:c r="C3993" t="str">
        <x:v>Parent indépendant 1.58</x:v>
      </x:c>
      <x:c r="D3993" t="str">
        <x:v>Industrie et production</x:v>
      </x:c>
      <x:c r="E3993" t="str">
        <x:v>Centre des essais de membrane souple</x:v>
      </x:c>
      <x:c r="F3993" t="n">
        <x:v>9</x:v>
      </x:c>
      <x:c r="G3993" t="n">
        <x:v>8</x:v>
      </x:c>
      <x:c r="H3993" t="n">
        <x:v>8</x:v>
      </x:c>
      <x:c r="I3993" t="str">
        <x:v>À qualifier par lieu</x:v>
      </x:c>
      <x:c r="J3993" t="str">
        <x:v>https://github.com/darknigthmare/deadwall-last-enclosure/blob/1b3b9c5ba232734b1bda3453b4e20a0481bcdd74/codex-3000/addendum-1.58/PROGRAMMES_D.json</x:v>
      </x:c>
      <x:c r="K3993" t="str">
        <x:v>Source min 34,34 m ; max 34,34 m ; modèle 34 × 34 m ; niveaux 0, 1. Détails dans catalogue-existant.json.</x:v>
      </x:c>
    </x:row>
    <x:row r="3994">
      <x:c r="A3994" t="str">
        <x:v>DW-3989</x:v>
      </x:c>
      <x:c r="B3994" t="str">
        <x:v>DW-3989</x:v>
      </x:c>
      <x:c r="C3994" t="str">
        <x:v>Parent indépendant 1.58</x:v>
      </x:c>
      <x:c r="D3994" t="str">
        <x:v>Industrie et production</x:v>
      </x:c>
      <x:c r="E3994" t="str">
        <x:v>Laboratoire des fibres de renfort civil</x:v>
      </x:c>
      <x:c r="F3994" t="n">
        <x:v>9</x:v>
      </x:c>
      <x:c r="G3994" t="n">
        <x:v>8</x:v>
      </x:c>
      <x:c r="H3994" t="n">
        <x:v>8</x:v>
      </x:c>
      <x:c r="I3994" t="str">
        <x:v>À qualifier par lieu</x:v>
      </x:c>
      <x:c r="J3994" t="str">
        <x:v>https://github.com/darknigthmare/deadwall-last-enclosure/blob/1b3b9c5ba232734b1bda3453b4e20a0481bcdd74/codex-3000/addendum-1.58/PROGRAMMES_D.json</x:v>
      </x:c>
      <x:c r="K3994" t="str">
        <x:v>Source min 38,38 m ; max 38,38 m ; modèle 38 × 38 m ; niveaux 0, 1. Détails dans catalogue-existant.json.</x:v>
      </x:c>
    </x:row>
    <x:row r="3995">
      <x:c r="A3995" t="str">
        <x:v>DW-3990</x:v>
      </x:c>
      <x:c r="B3995" t="str">
        <x:v>DW-3990</x:v>
      </x:c>
      <x:c r="C3995" t="str">
        <x:v>Parent indépendant 1.58</x:v>
      </x:c>
      <x:c r="D3995" t="str">
        <x:v>Industrie et production</x:v>
      </x:c>
      <x:c r="E3995" t="str">
        <x:v>Centre des essais de surface de roulement</x:v>
      </x:c>
      <x:c r="F3995" t="n">
        <x:v>9</x:v>
      </x:c>
      <x:c r="G3995" t="n">
        <x:v>8</x:v>
      </x:c>
      <x:c r="H3995" t="n">
        <x:v>8</x:v>
      </x:c>
      <x:c r="I3995" t="str">
        <x:v>À qualifier par lieu</x:v>
      </x:c>
      <x:c r="J3995" t="str">
        <x:v>https://github.com/darknigthmare/deadwall-last-enclosure/blob/1b3b9c5ba232734b1bda3453b4e20a0481bcdd74/codex-3000/addendum-1.58/PROGRAMMES_D.json</x:v>
      </x:c>
      <x:c r="K3995" t="str">
        <x:v>Source min 42,42 m ; max 42,42 m ; modèle 42 × 42 m ; niveaux 0, 1. Détails dans catalogue-existant.json.</x:v>
      </x:c>
    </x:row>
    <x:row r="3996">
      <x:c r="A3996" t="str">
        <x:v>DW-3991</x:v>
      </x:c>
      <x:c r="B3996" t="str">
        <x:v>DW-3991</x:v>
      </x:c>
      <x:c r="C3996" t="str">
        <x:v>Parent indépendant 1.58</x:v>
      </x:c>
      <x:c r="D3996" t="str">
        <x:v>Éducation et connaissance</x:v>
      </x:c>
      <x:c r="E3996" t="str">
        <x:v>Laboratoire des échanges thermiques civils</x:v>
      </x:c>
      <x:c r="F3996" t="n">
        <x:v>9</x:v>
      </x:c>
      <x:c r="G3996" t="n">
        <x:v>8</x:v>
      </x:c>
      <x:c r="H3996" t="n">
        <x:v>8</x:v>
      </x:c>
      <x:c r="I3996" t="str">
        <x:v>À qualifier par lieu</x:v>
      </x:c>
      <x:c r="J3996" t="str">
        <x:v>https://github.com/darknigthmare/deadwall-last-enclosure/blob/1b3b9c5ba232734b1bda3453b4e20a0481bcdd74/codex-3000/addendum-1.58/PROGRAMMES_D.json</x:v>
      </x:c>
      <x:c r="K3996" t="str">
        <x:v>Source min 34,34 m ; max 34,34 m ; modèle 34 × 34 m ; niveaux 0, 1. Détails dans catalogue-existant.json.</x:v>
      </x:c>
    </x:row>
    <x:row r="3997">
      <x:c r="A3997" t="str">
        <x:v>DW-3992</x:v>
      </x:c>
      <x:c r="B3997" t="str">
        <x:v>DW-3992</x:v>
      </x:c>
      <x:c r="C3997" t="str">
        <x:v>Parent indépendant 1.58</x:v>
      </x:c>
      <x:c r="D3997" t="str">
        <x:v>Éducation et connaissance</x:v>
      </x:c>
      <x:c r="E3997" t="str">
        <x:v>Centre des essais d'étanchéité de boîtier</x:v>
      </x:c>
      <x:c r="F3997" t="n">
        <x:v>9</x:v>
      </x:c>
      <x:c r="G3997" t="n">
        <x:v>8</x:v>
      </x:c>
      <x:c r="H3997" t="n">
        <x:v>8</x:v>
      </x:c>
      <x:c r="I3997" t="str">
        <x:v>À qualifier par lieu</x:v>
      </x:c>
      <x:c r="J3997" t="str">
        <x:v>https://github.com/darknigthmare/deadwall-last-enclosure/blob/1b3b9c5ba232734b1bda3453b4e20a0481bcdd74/codex-3000/addendum-1.58/PROGRAMMES_D.json</x:v>
      </x:c>
      <x:c r="K3997" t="str">
        <x:v>Source min 38,38 m ; max 38,38 m ; modèle 38 × 38 m ; niveaux 0, 1. Détails dans catalogue-existant.json.</x:v>
      </x:c>
    </x:row>
    <x:row r="3998">
      <x:c r="A3998" t="str">
        <x:v>DW-3993</x:v>
      </x:c>
      <x:c r="B3998" t="str">
        <x:v>DW-3993</x:v>
      </x:c>
      <x:c r="C3998" t="str">
        <x:v>Parent indépendant 1.58</x:v>
      </x:c>
      <x:c r="D3998" t="str">
        <x:v>Éducation et connaissance</x:v>
      </x:c>
      <x:c r="E3998" t="str">
        <x:v>Laboratoire des clapets de ventilation</x:v>
      </x:c>
      <x:c r="F3998" t="n">
        <x:v>9</x:v>
      </x:c>
      <x:c r="G3998" t="n">
        <x:v>8</x:v>
      </x:c>
      <x:c r="H3998" t="n">
        <x:v>8</x:v>
      </x:c>
      <x:c r="I3998" t="str">
        <x:v>À qualifier par lieu</x:v>
      </x:c>
      <x:c r="J3998" t="str">
        <x:v>https://github.com/darknigthmare/deadwall-last-enclosure/blob/1b3b9c5ba232734b1bda3453b4e20a0481bcdd74/codex-3000/addendum-1.58/PROGRAMMES_D.json</x:v>
      </x:c>
      <x:c r="K3998" t="str">
        <x:v>Source min 42,42 m ; max 42,42 m ; modèle 42 × 42 m ; niveaux 0, 1. Détails dans catalogue-existant.json.</x:v>
      </x:c>
    </x:row>
    <x:row r="3999">
      <x:c r="A3999" t="str">
        <x:v>DW-3994</x:v>
      </x:c>
      <x:c r="B3999" t="str">
        <x:v>DW-3994</x:v>
      </x:c>
      <x:c r="C3999" t="str">
        <x:v>Parent indépendant 1.58</x:v>
      </x:c>
      <x:c r="D3999" t="str">
        <x:v>Éducation et connaissance</x:v>
      </x:c>
      <x:c r="E3999" t="str">
        <x:v>Centre des essais de filtre à poussière</x:v>
      </x:c>
      <x:c r="F3999" t="n">
        <x:v>9</x:v>
      </x:c>
      <x:c r="G3999" t="n">
        <x:v>8</x:v>
      </x:c>
      <x:c r="H3999" t="n">
        <x:v>8</x:v>
      </x:c>
      <x:c r="I3999" t="str">
        <x:v>À qualifier par lieu</x:v>
      </x:c>
      <x:c r="J3999" t="str">
        <x:v>https://github.com/darknigthmare/deadwall-last-enclosure/blob/1b3b9c5ba232734b1bda3453b4e20a0481bcdd74/codex-3000/addendum-1.58/PROGRAMMES_D.json</x:v>
      </x:c>
      <x:c r="K3999" t="str">
        <x:v>Source min 34,34 m ; max 34,34 m ; modèle 34 × 34 m ; niveaux 0, 1. Détails dans catalogue-existant.json.</x:v>
      </x:c>
    </x:row>
    <x:row r="4000">
      <x:c r="A4000" t="str">
        <x:v>DW-3995</x:v>
      </x:c>
      <x:c r="B4000" t="str">
        <x:v>DW-3995</x:v>
      </x:c>
      <x:c r="C4000" t="str">
        <x:v>Parent indépendant 1.58</x:v>
      </x:c>
      <x:c r="D4000" t="str">
        <x:v>Éducation et connaissance</x:v>
      </x:c>
      <x:c r="E4000" t="str">
        <x:v>Laboratoire des boîtiers météorologiques</x:v>
      </x:c>
      <x:c r="F4000" t="n">
        <x:v>9</x:v>
      </x:c>
      <x:c r="G4000" t="n">
        <x:v>8</x:v>
      </x:c>
      <x:c r="H4000" t="n">
        <x:v>8</x:v>
      </x:c>
      <x:c r="I4000" t="str">
        <x:v>À qualifier par lieu</x:v>
      </x:c>
      <x:c r="J4000" t="str">
        <x:v>https://github.com/darknigthmare/deadwall-last-enclosure/blob/1b3b9c5ba232734b1bda3453b4e20a0481bcdd74/codex-3000/addendum-1.58/PROGRAMMES_D.json</x:v>
      </x:c>
      <x:c r="K4000" t="str">
        <x:v>Source min 38,38 m ; max 38,38 m ; modèle 38 × 38 m ; niveaux 0, 1. Détails dans catalogue-existant.json.</x:v>
      </x:c>
    </x:row>
    <x:row r="4001">
      <x:c r="A4001" t="str">
        <x:v>DW-3996</x:v>
      </x:c>
      <x:c r="B4001" t="str">
        <x:v>DW-3996</x:v>
      </x:c>
      <x:c r="C4001" t="str">
        <x:v>Parent indépendant 1.58</x:v>
      </x:c>
      <x:c r="D4001" t="str">
        <x:v>Éducation et connaissance</x:v>
      </x:c>
      <x:c r="E4001" t="str">
        <x:v>Centre des essais de sonde de sol</x:v>
      </x:c>
      <x:c r="F4001" t="n">
        <x:v>9</x:v>
      </x:c>
      <x:c r="G4001" t="n">
        <x:v>8</x:v>
      </x:c>
      <x:c r="H4001" t="n">
        <x:v>8</x:v>
      </x:c>
      <x:c r="I4001" t="str">
        <x:v>À qualifier par lieu</x:v>
      </x:c>
      <x:c r="J4001" t="str">
        <x:v>https://github.com/darknigthmare/deadwall-last-enclosure/blob/1b3b9c5ba232734b1bda3453b4e20a0481bcdd74/codex-3000/addendum-1.58/PROGRAMMES_D.json</x:v>
      </x:c>
      <x:c r="K4001" t="str">
        <x:v>Source min 42,42 m ; max 42,42 m ; modèle 42 × 42 m ; niveaux 0, 1. Détails dans catalogue-existant.json.</x:v>
      </x:c>
    </x:row>
    <x:row r="4002">
      <x:c r="A4002" t="str">
        <x:v>DW-3997</x:v>
      </x:c>
      <x:c r="B4002" t="str">
        <x:v>DW-3997</x:v>
      </x:c>
      <x:c r="C4002" t="str">
        <x:v>Parent indépendant 1.58</x:v>
      </x:c>
      <x:c r="D4002" t="str">
        <x:v>Éducation et connaissance</x:v>
      </x:c>
      <x:c r="E4002" t="str">
        <x:v>Laboratoire des garnitures de pompe civile</x:v>
      </x:c>
      <x:c r="F4002" t="n">
        <x:v>9</x:v>
      </x:c>
      <x:c r="G4002" t="n">
        <x:v>8</x:v>
      </x:c>
      <x:c r="H4002" t="n">
        <x:v>8</x:v>
      </x:c>
      <x:c r="I4002" t="str">
        <x:v>À qualifier par lieu</x:v>
      </x:c>
      <x:c r="J4002" t="str">
        <x:v>https://github.com/darknigthmare/deadwall-last-enclosure/blob/1b3b9c5ba232734b1bda3453b4e20a0481bcdd74/codex-3000/addendum-1.58/PROGRAMMES_D.json</x:v>
      </x:c>
      <x:c r="K4002" t="str">
        <x:v>Source min 34,34 m ; max 34,34 m ; modèle 34 × 34 m ; niveaux 0, 1. Détails dans catalogue-existant.json.</x:v>
      </x:c>
    </x:row>
    <x:row r="4003">
      <x:c r="A4003" t="str">
        <x:v>DW-3998</x:v>
      </x:c>
      <x:c r="B4003" t="str">
        <x:v>DW-3998</x:v>
      </x:c>
      <x:c r="C4003" t="str">
        <x:v>Parent indépendant 1.58</x:v>
      </x:c>
      <x:c r="D4003" t="str">
        <x:v>Éducation et connaissance</x:v>
      </x:c>
      <x:c r="E4003" t="str">
        <x:v>Centre des essais d'emballage thermique</x:v>
      </x:c>
      <x:c r="F4003" t="n">
        <x:v>9</x:v>
      </x:c>
      <x:c r="G4003" t="n">
        <x:v>8</x:v>
      </x:c>
      <x:c r="H4003" t="n">
        <x:v>8</x:v>
      </x:c>
      <x:c r="I4003" t="str">
        <x:v>À qualifier par lieu</x:v>
      </x:c>
      <x:c r="J4003" t="str">
        <x:v>https://github.com/darknigthmare/deadwall-last-enclosure/blob/1b3b9c5ba232734b1bda3453b4e20a0481bcdd74/codex-3000/addendum-1.58/PROGRAMMES_D.json</x:v>
      </x:c>
      <x:c r="K4003" t="str">
        <x:v>Source min 38,38 m ; max 38,38 m ; modèle 38 × 38 m ; niveaux 0, 1. Détails dans catalogue-existant.json.</x:v>
      </x:c>
    </x:row>
    <x:row r="4004">
      <x:c r="A4004" t="str">
        <x:v>DW-3999</x:v>
      </x:c>
      <x:c r="B4004" t="str">
        <x:v>DW-3999</x:v>
      </x:c>
      <x:c r="C4004" t="str">
        <x:v>Parent indépendant 1.58</x:v>
      </x:c>
      <x:c r="D4004" t="str">
        <x:v>Éducation et connaissance</x:v>
      </x:c>
      <x:c r="E4004" t="str">
        <x:v>Laboratoire des supports de mesure vibratoire</x:v>
      </x:c>
      <x:c r="F4004" t="n">
        <x:v>9</x:v>
      </x:c>
      <x:c r="G4004" t="n">
        <x:v>8</x:v>
      </x:c>
      <x:c r="H4004" t="n">
        <x:v>8</x:v>
      </x:c>
      <x:c r="I4004" t="str">
        <x:v>À qualifier par lieu</x:v>
      </x:c>
      <x:c r="J4004" t="str">
        <x:v>https://github.com/darknigthmare/deadwall-last-enclosure/blob/1b3b9c5ba232734b1bda3453b4e20a0481bcdd74/codex-3000/addendum-1.58/PROGRAMMES_D.json</x:v>
      </x:c>
      <x:c r="K4004" t="str">
        <x:v>Source min 42,42 m ; max 42,42 m ; modèle 42 × 42 m ; niveaux 0, 1. Détails dans catalogue-existant.json.</x:v>
      </x:c>
    </x:row>
    <x:row r="4005">
      <x:c r="A4005" t="str">
        <x:v>DW-4000</x:v>
      </x:c>
      <x:c r="B4005" t="str">
        <x:v>DW-4000</x:v>
      </x:c>
      <x:c r="C4005" t="str">
        <x:v>Parent indépendant 1.58</x:v>
      </x:c>
      <x:c r="D4005" t="str">
        <x:v>Éducation et connaissance</x:v>
      </x:c>
      <x:c r="E4005" t="str">
        <x:v>Centre des essais de protection solaire de façade</x:v>
      </x:c>
      <x:c r="F4005" t="n">
        <x:v>9</x:v>
      </x:c>
      <x:c r="G4005" t="n">
        <x:v>8</x:v>
      </x:c>
      <x:c r="H4005" t="n">
        <x:v>8</x:v>
      </x:c>
      <x:c r="I4005" t="str">
        <x:v>À qualifier par lieu</x:v>
      </x:c>
      <x:c r="J4005" t="str">
        <x:v>https://github.com/darknigthmare/deadwall-last-enclosure/blob/1b3b9c5ba232734b1bda3453b4e20a0481bcdd74/codex-3000/addendum-1.58/PROGRAMMES_D.json</x:v>
      </x:c>
      <x:c r="K4005" t="str">
        <x:v>Source min 34,34 m ; max 34,34 m ; modèle 34 × 34 m ; niveaux 0, 1. Détails dans catalogue-existant.json.</x:v>
      </x:c>
    </x:row>
  </x:sheetData>
  <x:mergeCells>
    <x:mergeCell ref="A1:K1"/>
    <x:mergeCell ref="A2:K3"/>
  </x:mergeCells>
  <x:pageMargins left="0.7" right="0.7" top="0.75" bottom="0.75" header="0.3" footer="0.3"/>
  <x:tableParts count="1">
    <x:tablePart xmlns:r="http://schemas.openxmlformats.org/officeDocument/2006/relationships" r:id="R12089eeab20c490c"/>
  </x:tableParts>
</x:worksheet>
</file>

<file path=xl/worksheets/sheet3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8" hidden="0" customWidth="1"/>
    <x:col min="3" max="3" width="40" hidden="0" customWidth="1"/>
    <x:col min="4" max="4" width="20" hidden="0" customWidth="1"/>
    <x:col min="5" max="5" width="24" hidden="0" customWidth="1"/>
    <x:col min="6" max="6" width="50" hidden="0" customWidth="1"/>
    <x:col min="7" max="7" width="44" hidden="0" customWidth="1"/>
    <x:col min="8" max="8" width="58" hidden="0" customWidth="1"/>
    <x:col min="9" max="9" width="24" hidden="0" customWidth="1"/>
    <x:col min="10" max="10" width="28" hidden="0" customWidth="1"/>
    <x:col min="11" max="11" width="24" hidden="0" customWidth="1"/>
    <x:col min="12" max="12" width="20" hidden="0" customWidth="1"/>
  </x:cols>
  <x:sheetData>
    <x:row r="1" ht="32" customHeight="1">
      <x:c r="A1" s="3" t="str">
        <x:v>06  /  EXTENSION — 80 OBJECTIFS DE PRODUCTION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</x:row>
    <x:row r="2" ht="20" customHeight="1">
      <x:c r="A2" s="9" t="str">
        <x:v>Ces typologies sont un périmètre à concevoir. Les 50 variantes demandées par type sont des objectifs : aucun modèle, plan de référence ou dimension réelle n’est prétendu réalisé.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  <x:c r="L3" s="9"/>
    </x:row>
    <x:row r="5" ht="34" customHeight="1">
      <x:c r="A5" s="112" t="str">
        <x:v>ID typologie</x:v>
      </x:c>
      <x:c r="B5" s="112" t="str">
        <x:v>Domaine</x:v>
      </x:c>
      <x:c r="C5" s="112" t="str">
        <x:v>Typologie</x:v>
      </x:c>
      <x:c r="D5" s="112" t="str">
        <x:v>Variantes demandées</x:v>
      </x:c>
      <x:c r="E5" s="112" t="str">
        <x:v>Statut conception</x:v>
      </x:c>
      <x:c r="F5" s="112" t="str">
        <x:v>Espaces à détailler</x:v>
      </x:c>
      <x:c r="G5" s="112" t="str">
        <x:v>Réseaux à raccorder</x:v>
      </x:c>
      <x:c r="H5" s="112" t="str">
        <x:v>Règle d’implantation</x:v>
      </x:c>
      <x:c r="I5" s="112" t="str">
        <x:v>Cotes / gabarit auteur (m)</x:v>
      </x:c>
      <x:c r="J5" s="112" t="str">
        <x:v>Plan de référence</x:v>
      </x:c>
      <x:c r="K5" s="112" t="str">
        <x:v>Intégration</x:v>
      </x:c>
      <x:c r="L5" s="112" t="str">
        <x:v>Variantes suivies</x:v>
      </x:c>
    </x:row>
    <x:row r="6" ht="96" customHeight="1">
      <x:c r="A6" s="16" t="str">
        <x:v>EXT-MONDE-T001</x:v>
      </x:c>
      <x:c r="B6" s="16" t="str">
        <x:v>Lacs</x:v>
      </x:c>
      <x:c r="C6" s="16" t="str">
        <x:v>Base nautique lacustre</x:v>
      </x:c>
      <x:c r="D6" s="16" t="n">
        <x:v>50</x:v>
      </x:c>
      <x:c r="E6" s="16" t="str">
        <x:v>Inspection physique</x:v>
      </x:c>
      <x:c r="F6" s="16" t="str">
        <x:v>berge; pontons; accueil; vestiaires; hangar à bateaux; atelier; sanitaires</x:v>
      </x:c>
      <x:c r="G6" s="16" t="str">
        <x:v>eau douce; chemin; route locale</x:v>
      </x:c>
      <x:c r="H6" s="16" t="str">
        <x:v>Rive et profondeur compatibles ; retour terrestre praticable ; aucun ponton flottant sans support.</x:v>
      </x:c>
      <x:c r="I6" s="16" t="str">
        <x:v>Emprise 242–298 × 200–264 m ; hauteur 5,4–6 m ; choix de composition auteur ; dimensions réelles à documenter.</x:v>
      </x:c>
      <x:c r="J6" s="16" t="str">
        <x:v>https://github.com/darknigthmare/deadwall-last-enclosure/blob/1b3b9c5ba232734b1bda3453b4e20a0481bcdd74/docs/codex/suivi-monde2026/LACUSTRE_2026.md</x:v>
      </x:c>
      <x:c r="K6" s="16" t="str">
        <x:v>50 plans inspectables dans le Guide auteur ; géométrie partielle et campagne encore ouvertes.</x:v>
      </x:c>
      <x:c r="L6" s="16" t="n">
        <x:f>COUNTIF('Variantes à concevoir'!$B$6:$B$4005,A6)</x:f>
        <x:v>50</x:v>
      </x:c>
    </x:row>
    <x:row r="7" ht="96" customHeight="1">
      <x:c r="A7" s="16" t="str">
        <x:v>EXT-MONDE-T002</x:v>
      </x:c>
      <x:c r="B7" s="16" t="str">
        <x:v>Lacs</x:v>
      </x:c>
      <x:c r="C7" s="16" t="str">
        <x:v>Village de pêche lacustre</x:v>
      </x:c>
      <x:c r="D7" s="16" t="n">
        <x:v>50</x:v>
      </x:c>
      <x:c r="E7" s="16" t="str">
        <x:v>Inspection physique</x:v>
      </x:c>
      <x:c r="F7" s="16" t="str">
        <x:v>berge; pontons; accueil; vestiaires; hangar à bateaux; atelier; sanitaires</x:v>
      </x:c>
      <x:c r="G7" s="16" t="str">
        <x:v>eau douce; chemin; route locale</x:v>
      </x:c>
      <x:c r="H7" s="16" t="str">
        <x:v>Rive et profondeur compatibles ; retour terrestre praticable ; aucun ponton flottant sans support.</x:v>
      </x:c>
      <x:c r="I7" s="16" t="str">
        <x:v>Emprise 242–298 × 200–264 m ; hauteur 4,6–5,2 m ; choix de composition auteur ; dimensions réelles à documenter.</x:v>
      </x:c>
      <x:c r="J7" s="16" t="str">
        <x:v>https://github.com/darknigthmare/deadwall-last-enclosure/blob/1b3b9c5ba232734b1bda3453b4e20a0481bcdd74/docs/codex/suivi-monde2026/LACUSTRE_2026.md</x:v>
      </x:c>
      <x:c r="K7" s="16" t="str">
        <x:v>50 plans inspectables dans le Guide auteur ; géométrie partielle et campagne encore ouvertes.</x:v>
      </x:c>
      <x:c r="L7" s="16" t="n">
        <x:f>COUNTIF('Variantes à concevoir'!$B$6:$B$4005,A7)</x:f>
        <x:v>50</x:v>
      </x:c>
    </x:row>
    <x:row r="8" ht="96" customHeight="1">
      <x:c r="A8" s="16" t="str">
        <x:v>EXT-MONDE-T003</x:v>
      </x:c>
      <x:c r="B8" s="16" t="str">
        <x:v>Lacs</x:v>
      </x:c>
      <x:c r="C8" s="16" t="str">
        <x:v>Station limnologique</x:v>
      </x:c>
      <x:c r="D8" s="16" t="n">
        <x:v>50</x:v>
      </x:c>
      <x:c r="E8" s="16" t="str">
        <x:v>Inspection physique</x:v>
      </x:c>
      <x:c r="F8" s="16" t="str">
        <x:v>berge; pontons; accueil; vestiaires; hangar à bateaux; atelier; sanitaires</x:v>
      </x:c>
      <x:c r="G8" s="16" t="str">
        <x:v>eau douce; chemin; route locale</x:v>
      </x:c>
      <x:c r="H8" s="16" t="str">
        <x:v>Rive et profondeur compatibles ; retour terrestre praticable ; aucun ponton flottant sans support.</x:v>
      </x:c>
      <x:c r="I8" s="16" t="str">
        <x:v>Emprise 242–298 × 200–264 m ; hauteur 4,2–4,8 m ; choix de composition auteur ; dimensions réelles à documenter.</x:v>
      </x:c>
      <x:c r="J8" s="16" t="str">
        <x:v>https://github.com/darknigthmare/deadwall-last-enclosure/blob/1b3b9c5ba232734b1bda3453b4e20a0481bcdd74/docs/codex/suivi-monde2026/LACUSTRE_2026.md</x:v>
      </x:c>
      <x:c r="K8" s="16" t="str">
        <x:v>50 plans inspectables dans le Guide auteur ; géométrie partielle et campagne encore ouvertes.</x:v>
      </x:c>
      <x:c r="L8" s="16" t="n">
        <x:f>COUNTIF('Variantes à concevoir'!$B$6:$B$4005,A8)</x:f>
        <x:v>50</x:v>
      </x:c>
    </x:row>
    <x:row r="9" ht="96" customHeight="1">
      <x:c r="A9" s="16" t="str">
        <x:v>EXT-MONDE-T004</x:v>
      </x:c>
      <x:c r="B9" s="16" t="str">
        <x:v>Lacs</x:v>
      </x:c>
      <x:c r="C9" s="16" t="str">
        <x:v>Camping de rive</x:v>
      </x:c>
      <x:c r="D9" s="16" t="n">
        <x:v>50</x:v>
      </x:c>
      <x:c r="E9" s="16" t="str">
        <x:v>Inspection physique</x:v>
      </x:c>
      <x:c r="F9" s="16" t="str">
        <x:v>berge; pontons; accueil; vestiaires; hangar à bateaux; atelier; sanitaires</x:v>
      </x:c>
      <x:c r="G9" s="16" t="str">
        <x:v>eau douce; chemin; route locale</x:v>
      </x:c>
      <x:c r="H9" s="16" t="str">
        <x:v>Rive et profondeur compatibles ; retour terrestre praticable ; aucun ponton flottant sans support.</x:v>
      </x:c>
      <x:c r="I9" s="16" t="str">
        <x:v>Emprise 242–298 × 200–264 m ; hauteur 3,8–4,4 m ; choix de composition auteur ; dimensions réelles à documenter.</x:v>
      </x:c>
      <x:c r="J9" s="16" t="str">
        <x:v>https://github.com/darknigthmare/deadwall-last-enclosure/blob/1b3b9c5ba232734b1bda3453b4e20a0481bcdd74/docs/codex/suivi-monde2026/LACUSTRE_2026.md</x:v>
      </x:c>
      <x:c r="K9" s="16" t="str">
        <x:v>50 plans inspectables dans le Guide auteur ; géométrie partielle et campagne encore ouvertes.</x:v>
      </x:c>
      <x:c r="L9" s="16" t="n">
        <x:f>COUNTIF('Variantes à concevoir'!$B$6:$B$4005,A9)</x:f>
        <x:v>50</x:v>
      </x:c>
    </x:row>
    <x:row r="10" ht="65" customHeight="1">
      <x:c r="A10" s="16" t="str">
        <x:v>EXT-MONDE-T005</x:v>
      </x:c>
      <x:c r="B10" s="16" t="str">
        <x:v>Navires de haute mer</x:v>
      </x:c>
      <x:c r="C10" s="16" t="str">
        <x:v>Cargo polyvalent</x:v>
      </x:c>
      <x:c r="D10" s="16" t="n">
        <x:v>50</x:v>
      </x:c>
      <x:c r="E10" s="16" t="str">
        <x:v>Inspection physique</x:v>
      </x:c>
      <x:c r="F10" s="16" t="str">
        <x:v>pont extérieur; passerelle; locaux de repos; circulations; atelier; réserve; machine</x:v>
      </x:c>
      <x:c r="G10" s="16" t="str">
        <x:v>chenal; accès nautique; liaison de quai</x:v>
      </x:c>
      <x:c r="H10" s="16" t="str">
        <x:v>Tirant d’eau, compartiments et accès à vérifier par type ; aucune circulation piétonne sur eau.</x:v>
      </x:c>
      <x:c r="I10" s="16" t="str">
        <x:v>L 86,6 ; l 15,2 ; hauteur inconnue ; tirant 6,55 m ; longueur/largeur/tirant sourcés ; hauteur totale réelle inconnue</x:v>
      </x:c>
      <x:c r="J10" s="16" t="str">
        <x:v>https://github.com/darknigthmare/deadwall-last-enclosure/blob/1b3b9c5ba232734b1bda3453b4e20a0481bcdd74/docs/codex/suivi-monde2026/references-metriques2026.json</x:v>
      </x:c>
      <x:c r="K10" s="16" t="str">
        <x:v>50 plans inspectables dans le Guide auteur ; géométrie partielle et campagne encore ouvertes.</x:v>
      </x:c>
      <x:c r="L10" s="16" t="n">
        <x:f>COUNTIF('Variantes à concevoir'!$B$6:$B$4005,A10)</x:f>
        <x:v>50</x:v>
      </x:c>
    </x:row>
    <x:row r="11" ht="65" customHeight="1">
      <x:c r="A11" s="16" t="str">
        <x:v>EXT-MONDE-T006</x:v>
      </x:c>
      <x:c r="B11" s="16" t="str">
        <x:v>Navires de haute mer</x:v>
      </x:c>
      <x:c r="C11" s="16" t="str">
        <x:v>Pétrolier océanique</x:v>
      </x:c>
      <x:c r="D11" s="16" t="n">
        <x:v>50</x:v>
      </x:c>
      <x:c r="E11" s="16" t="str">
        <x:v>Inspection physique</x:v>
      </x:c>
      <x:c r="F11" s="16" t="str">
        <x:v>pont extérieur; passerelle; locaux de repos; circulations; atelier; réserve; machine</x:v>
      </x:c>
      <x:c r="G11" s="16" t="str">
        <x:v>chenal; accès nautique; liaison de quai</x:v>
      </x:c>
      <x:c r="H11" s="16" t="str">
        <x:v>Tirant d’eau, compartiments et accès à vérifier par type ; aucune circulation piétonne sur eau.</x:v>
      </x:c>
      <x:c r="I11" s="16" t="str">
        <x:v>L 183,06 ; l 32,2 ; hauteur inconnue ; tirant 13,258 m ; longueur/largeur/tirant sourcés ; hauteur totale réelle inconnue</x:v>
      </x:c>
      <x:c r="J11" s="16" t="str">
        <x:v>https://github.com/darknigthmare/deadwall-last-enclosure/blob/1b3b9c5ba232734b1bda3453b4e20a0481bcdd74/docs/codex/suivi-monde2026/references-metriques2026.json</x:v>
      </x:c>
      <x:c r="K11" s="16" t="str">
        <x:v>50 plans inspectables dans le Guide auteur ; géométrie partielle et campagne encore ouvertes.</x:v>
      </x:c>
      <x:c r="L11" s="16" t="n">
        <x:f>COUNTIF('Variantes à concevoir'!$B$6:$B$4005,A11)</x:f>
        <x:v>50</x:v>
      </x:c>
    </x:row>
    <x:row r="12" ht="65" customHeight="1">
      <x:c r="A12" s="16" t="str">
        <x:v>EXT-MONDE-T007</x:v>
      </x:c>
      <x:c r="B12" s="16" t="str">
        <x:v>Navires de haute mer</x:v>
      </x:c>
      <x:c r="C12" s="16" t="str">
        <x:v>Croiseur militaire abandonné</x:v>
      </x:c>
      <x:c r="D12" s="16" t="n">
        <x:v>50</x:v>
      </x:c>
      <x:c r="E12" s="16" t="str">
        <x:v>Inspection physique</x:v>
      </x:c>
      <x:c r="F12" s="16" t="str">
        <x:v>pont extérieur; passerelle; locaux de repos; circulations; atelier; réserve; machine</x:v>
      </x:c>
      <x:c r="G12" s="16" t="str">
        <x:v>chenal; accès nautique; liaison de quai</x:v>
      </x:c>
      <x:c r="H12" s="16" t="str">
        <x:v>Tirant d’eau, compartiments et accès à vérifier par type ; aucune circulation piétonne sur eau.</x:v>
      </x:c>
      <x:c r="I12" s="16" t="str">
        <x:v>L 185,928 ; l 20,117 ; hauteur inconnue ; tirant 7,62 m ; longueur/largeur/tirant sourcés ; hauteur totale réelle inconnue</x:v>
      </x:c>
      <x:c r="J12" s="16" t="str">
        <x:v>https://github.com/darknigthmare/deadwall-last-enclosure/blob/1b3b9c5ba232734b1bda3453b4e20a0481bcdd74/docs/codex/suivi-monde2026/references-metriques2026.json</x:v>
      </x:c>
      <x:c r="K12" s="16" t="str">
        <x:v>50 plans inspectables dans le Guide auteur ; géométrie partielle et campagne encore ouvertes.</x:v>
      </x:c>
      <x:c r="L12" s="16" t="n">
        <x:f>COUNTIF('Variantes à concevoir'!$B$6:$B$4005,A12)</x:f>
        <x:v>50</x:v>
      </x:c>
    </x:row>
    <x:row r="13" ht="65" customHeight="1">
      <x:c r="A13" s="16" t="str">
        <x:v>EXT-MONDE-T008</x:v>
      </x:c>
      <x:c r="B13" s="16" t="str">
        <x:v>Navires de haute mer</x:v>
      </x:c>
      <x:c r="C13" s="16" t="str">
        <x:v>Sous-marin en surface</x:v>
      </x:c>
      <x:c r="D13" s="16" t="n">
        <x:v>50</x:v>
      </x:c>
      <x:c r="E13" s="16" t="str">
        <x:v>Inspection physique</x:v>
      </x:c>
      <x:c r="F13" s="16" t="str">
        <x:v>pont extérieur; passerelle; locaux de repos; circulations; atelier; réserve; machine</x:v>
      </x:c>
      <x:c r="G13" s="16" t="str">
        <x:v>chenal; accès nautique; liaison de quai</x:v>
      </x:c>
      <x:c r="H13" s="16" t="str">
        <x:v>Tirant d’eau, compartiments et accès à vérifier par type ; aucune circulation piétonne sur eau.</x:v>
      </x:c>
      <x:c r="I13" s="16" t="str">
        <x:v>L 94,996 ; l 8,306 ; hauteur inconnue ; tirant 4,699 m ; longueur/largeur/tirant sourcés ; hauteur totale réelle inconnue</x:v>
      </x:c>
      <x:c r="J13" s="16" t="str">
        <x:v>https://github.com/darknigthmare/deadwall-last-enclosure/blob/1b3b9c5ba232734b1bda3453b4e20a0481bcdd74/docs/codex/suivi-monde2026/references-metriques2026.json</x:v>
      </x:c>
      <x:c r="K13" s="16" t="str">
        <x:v>50 plans inspectables dans le Guide auteur ; géométrie partielle et campagne encore ouvertes.</x:v>
      </x:c>
      <x:c r="L13" s="16" t="n">
        <x:f>COUNTIF('Variantes à concevoir'!$B$6:$B$4005,A13)</x:f>
        <x:v>50</x:v>
      </x:c>
    </x:row>
    <x:row r="14" ht="96" customHeight="1">
      <x:c r="A14" s="16" t="str">
        <x:v>EXT-MONDE-T009</x:v>
      </x:c>
      <x:c r="B14" s="16" t="str">
        <x:v>Offshore</x:v>
      </x:c>
      <x:c r="C14" s="16" t="str">
        <x:v>Plateforme pétrolière fixe</x:v>
      </x:c>
      <x:c r="D14" s="16" t="n">
        <x:v>50</x:v>
      </x:c>
      <x:c r="E14" s="16" t="str">
        <x:v>Inspection physique</x:v>
      </x:c>
      <x:c r="F14" s="16" t="str">
        <x:v>pont de service; poste de contrôle; hébergement; atelier; réserves; accès vertical</x:v>
      </x:c>
      <x:c r="G14" s="16" t="str">
        <x:v>mer profonde; liaison nautique; énergie</x:v>
      </x:c>
      <x:c r="H14" s="16" t="str">
        <x:v>Structure maritime réservée ; appuis et niveaux indépendants ; pas de production automatique.</x:v>
      </x:c>
      <x:c r="I14" s="16" t="str">
        <x:v>Emprise 356–412 × 296–344 m ; hauteur 52–52 m ; choix de composition auteur ; dimensions réelles à documenter.</x:v>
      </x:c>
      <x:c r="J14" s="16" t="str">
        <x:v>https://github.com/darknigthmare/deadwall-last-enclosure/blob/1b3b9c5ba232734b1bda3453b4e20a0481bcdd74/docs/codex/suivi-monde2026/PORTS_ILES_2026.md</x:v>
      </x:c>
      <x:c r="K14" s="16" t="str">
        <x:v>50 plans inspectables dans le Guide auteur ; géométrie partielle et campagne encore ouvertes.</x:v>
      </x:c>
      <x:c r="L14" s="16" t="n">
        <x:f>COUNTIF('Variantes à concevoir'!$B$6:$B$4005,A14)</x:f>
        <x:v>50</x:v>
      </x:c>
    </x:row>
    <x:row r="15" ht="96" customHeight="1">
      <x:c r="A15" s="16" t="str">
        <x:v>EXT-MONDE-T010</x:v>
      </x:c>
      <x:c r="B15" s="16" t="str">
        <x:v>Offshore</x:v>
      </x:c>
      <x:c r="C15" s="16" t="str">
        <x:v>Plateforme semi-submersible</x:v>
      </x:c>
      <x:c r="D15" s="16" t="n">
        <x:v>50</x:v>
      </x:c>
      <x:c r="E15" s="16" t="str">
        <x:v>Inspection physique</x:v>
      </x:c>
      <x:c r="F15" s="16" t="str">
        <x:v>pont de service; poste de contrôle; hébergement; atelier; réserves; accès vertical</x:v>
      </x:c>
      <x:c r="G15" s="16" t="str">
        <x:v>mer profonde; liaison nautique; énergie</x:v>
      </x:c>
      <x:c r="H15" s="16" t="str">
        <x:v>Structure maritime réservée ; appuis et niveaux indépendants ; pas de production automatique.</x:v>
      </x:c>
      <x:c r="I15" s="16" t="str">
        <x:v>Emprise 376–432 × 316–364 m ; hauteur 12–12 m ; choix de composition auteur ; dimensions réelles à documenter.</x:v>
      </x:c>
      <x:c r="J15" s="16" t="str">
        <x:v>https://github.com/darknigthmare/deadwall-last-enclosure/blob/1b3b9c5ba232734b1bda3453b4e20a0481bcdd74/docs/codex/suivi-monde2026/PORTS_ILES_2026.md</x:v>
      </x:c>
      <x:c r="K15" s="16" t="str">
        <x:v>50 plans inspectables dans le Guide auteur ; géométrie partielle et campagne encore ouvertes.</x:v>
      </x:c>
      <x:c r="L15" s="16" t="n">
        <x:f>COUNTIF('Variantes à concevoir'!$B$6:$B$4005,A15)</x:f>
        <x:v>50</x:v>
      </x:c>
    </x:row>
    <x:row r="16" ht="65" customHeight="1">
      <x:c r="A16" s="16" t="str">
        <x:v>EXT-MONDE-T011</x:v>
      </x:c>
      <x:c r="B16" s="16" t="str">
        <x:v>Offshore</x:v>
      </x:c>
      <x:c r="C16" s="16" t="str">
        <x:v>Navire de soutien offshore</x:v>
      </x:c>
      <x:c r="D16" s="16" t="n">
        <x:v>50</x:v>
      </x:c>
      <x:c r="E16" s="16" t="str">
        <x:v>Inspection physique</x:v>
      </x:c>
      <x:c r="F16" s="16" t="str">
        <x:v>pont de service; poste de contrôle; hébergement; atelier; réserves; accès vertical</x:v>
      </x:c>
      <x:c r="G16" s="16" t="str">
        <x:v>mer profonde; liaison nautique; énergie</x:v>
      </x:c>
      <x:c r="H16" s="16" t="str">
        <x:v>Structure maritime réservée ; appuis et niveaux indépendants ; pas de production automatique.</x:v>
      </x:c>
      <x:c r="I16" s="16" t="str">
        <x:v>L 80 ; l 16,2 ; hauteur inconnue ; tirant 6,15 m ; longueur/largeur/tirant sourcés ; hauteur totale réelle inconnue</x:v>
      </x:c>
      <x:c r="J16" s="16" t="str">
        <x:v>https://github.com/darknigthmare/deadwall-last-enclosure/blob/1b3b9c5ba232734b1bda3453b4e20a0481bcdd74/docs/codex/suivi-monde2026/references-metriques2026.json</x:v>
      </x:c>
      <x:c r="K16" s="16" t="str">
        <x:v>50 plans inspectables dans le Guide auteur ; géométrie partielle et campagne encore ouvertes.</x:v>
      </x:c>
      <x:c r="L16" s="16" t="n">
        <x:f>COUNTIF('Variantes à concevoir'!$B$6:$B$4005,A16)</x:f>
        <x:v>50</x:v>
      </x:c>
    </x:row>
    <x:row r="17" ht="96" customHeight="1">
      <x:c r="A17" s="16" t="str">
        <x:v>EXT-MONDE-T012</x:v>
      </x:c>
      <x:c r="B17" s="16" t="str">
        <x:v>Offshore</x:v>
      </x:c>
      <x:c r="C17" s="16" t="str">
        <x:v>Station scientifique marine</x:v>
      </x:c>
      <x:c r="D17" s="16" t="n">
        <x:v>50</x:v>
      </x:c>
      <x:c r="E17" s="16" t="str">
        <x:v>Inspection physique</x:v>
      </x:c>
      <x:c r="F17" s="16" t="str">
        <x:v>pont de service; poste de contrôle; hébergement; atelier; réserves; accès vertical</x:v>
      </x:c>
      <x:c r="G17" s="16" t="str">
        <x:v>mer profonde; liaison nautique; énergie</x:v>
      </x:c>
      <x:c r="H17" s="16" t="str">
        <x:v>Structure maritime réservée ; appuis et niveaux indépendants ; pas de production automatique.</x:v>
      </x:c>
      <x:c r="I17" s="16" t="str">
        <x:v>Emprise 356–412 × 296–344 m ; hauteur 26–26 m ; choix de composition auteur ; dimensions réelles à documenter.</x:v>
      </x:c>
      <x:c r="J17" s="16" t="str">
        <x:v>https://github.com/darknigthmare/deadwall-last-enclosure/blob/1b3b9c5ba232734b1bda3453b4e20a0481bcdd74/docs/codex/suivi-monde2026/PORTS_ILES_2026.md</x:v>
      </x:c>
      <x:c r="K17" s="16" t="str">
        <x:v>50 plans inspectables dans le Guide auteur ; géométrie partielle et campagne encore ouvertes.</x:v>
      </x:c>
      <x:c r="L17" s="16" t="n">
        <x:f>COUNTIF('Variantes à concevoir'!$B$6:$B$4005,A17)</x:f>
        <x:v>50</x:v>
      </x:c>
    </x:row>
    <x:row r="18" ht="96" customHeight="1">
      <x:c r="A18" s="16" t="str">
        <x:v>EXT-MONDE-T013</x:v>
      </x:c>
      <x:c r="B18" s="16" t="str">
        <x:v>Ports</x:v>
      </x:c>
      <x:c r="C18" s="16" t="str">
        <x:v>Port de pêche</x:v>
      </x:c>
      <x:c r="D18" s="16" t="n">
        <x:v>50</x:v>
      </x:c>
      <x:c r="E18" s="16" t="str">
        <x:v>Inspection physique</x:v>
      </x:c>
      <x:c r="F18" s="16" t="str">
        <x:v>quais; capitainerie; entrepôts; accueil; atelier; sanitaires; cour de service</x:v>
      </x:c>
      <x:c r="G18" s="16" t="str">
        <x:v>route; chenal; fret selon type</x:v>
      </x:c>
      <x:c r="H18" s="16" t="str">
        <x:v>Côté terre/eau explicite ; chenal connecté ; manutention et visiteurs séparés.</x:v>
      </x:c>
      <x:c r="I18" s="16" t="str">
        <x:v>Emprise 344–400 × 444–492 m ; hauteur 10–10 m ; choix de composition auteur ; dimensions réelles à documenter.</x:v>
      </x:c>
      <x:c r="J18" s="16" t="str">
        <x:v>https://github.com/darknigthmare/deadwall-last-enclosure/blob/1b3b9c5ba232734b1bda3453b4e20a0481bcdd74/docs/codex/suivi-monde2026/PORTS_ILES_2026.md</x:v>
      </x:c>
      <x:c r="K18" s="16" t="str">
        <x:v>50 plans inspectables dans le Guide auteur ; géométrie partielle et campagne encore ouvertes.</x:v>
      </x:c>
      <x:c r="L18" s="16" t="n">
        <x:f>COUNTIF('Variantes à concevoir'!$B$6:$B$4005,A18)</x:f>
        <x:v>50</x:v>
      </x:c>
    </x:row>
    <x:row r="19" ht="96" customHeight="1">
      <x:c r="A19" s="16" t="str">
        <x:v>EXT-MONDE-T014</x:v>
      </x:c>
      <x:c r="B19" s="16" t="str">
        <x:v>Ports</x:v>
      </x:c>
      <x:c r="C19" s="16" t="str">
        <x:v>Marina</x:v>
      </x:c>
      <x:c r="D19" s="16" t="n">
        <x:v>50</x:v>
      </x:c>
      <x:c r="E19" s="16" t="str">
        <x:v>Inspection physique</x:v>
      </x:c>
      <x:c r="F19" s="16" t="str">
        <x:v>quais; capitainerie; entrepôts; accueil; atelier; sanitaires; cour de service</x:v>
      </x:c>
      <x:c r="G19" s="16" t="str">
        <x:v>route; chenal; fret selon type</x:v>
      </x:c>
      <x:c r="H19" s="16" t="str">
        <x:v>Côté terre/eau explicite ; chenal connecté ; manutention et visiteurs séparés.</x:v>
      </x:c>
      <x:c r="I19" s="16" t="str">
        <x:v>Emprise 324–380 × 424–472 m ; hauteur 10–10 m ; choix de composition auteur ; dimensions réelles à documenter.</x:v>
      </x:c>
      <x:c r="J19" s="16" t="str">
        <x:v>https://github.com/darknigthmare/deadwall-last-enclosure/blob/1b3b9c5ba232734b1bda3453b4e20a0481bcdd74/docs/codex/suivi-monde2026/PORTS_ILES_2026.md</x:v>
      </x:c>
      <x:c r="K19" s="16" t="str">
        <x:v>50 plans inspectables dans le Guide auteur ; géométrie partielle et campagne encore ouvertes.</x:v>
      </x:c>
      <x:c r="L19" s="16" t="n">
        <x:f>COUNTIF('Variantes à concevoir'!$B$6:$B$4005,A19)</x:f>
        <x:v>50</x:v>
      </x:c>
    </x:row>
    <x:row r="20" ht="96" customHeight="1">
      <x:c r="A20" s="16" t="str">
        <x:v>EXT-MONDE-T015</x:v>
      </x:c>
      <x:c r="B20" s="16" t="str">
        <x:v>Ports</x:v>
      </x:c>
      <x:c r="C20" s="16" t="str">
        <x:v>Terminal conteneurs</x:v>
      </x:c>
      <x:c r="D20" s="16" t="n">
        <x:v>50</x:v>
      </x:c>
      <x:c r="E20" s="16" t="str">
        <x:v>Inspection physique</x:v>
      </x:c>
      <x:c r="F20" s="16" t="str">
        <x:v>quais; capitainerie; entrepôts; accueil; atelier; sanitaires; cour de service</x:v>
      </x:c>
      <x:c r="G20" s="16" t="str">
        <x:v>route; chenal; fret selon type</x:v>
      </x:c>
      <x:c r="H20" s="16" t="str">
        <x:v>Côté terre/eau explicite ; chenal connecté ; manutention et visiteurs séparés.</x:v>
      </x:c>
      <x:c r="I20" s="16" t="str">
        <x:v>Emprise 424–480 × 564–612 m ; hauteur 36–36 m ; choix de composition auteur ; dimensions réelles à documenter.</x:v>
      </x:c>
      <x:c r="J20" s="16" t="str">
        <x:v>https://github.com/darknigthmare/deadwall-last-enclosure/blob/1b3b9c5ba232734b1bda3453b4e20a0481bcdd74/docs/codex/suivi-monde2026/PORTS_ILES_2026.md</x:v>
      </x:c>
      <x:c r="K20" s="16" t="str">
        <x:v>50 plans inspectables dans le Guide auteur ; géométrie partielle et campagne encore ouvertes.</x:v>
      </x:c>
      <x:c r="L20" s="16" t="n">
        <x:f>COUNTIF('Variantes à concevoir'!$B$6:$B$4005,A20)</x:f>
        <x:v>50</x:v>
      </x:c>
    </x:row>
    <x:row r="21" ht="96" customHeight="1">
      <x:c r="A21" s="16" t="str">
        <x:v>EXT-MONDE-T016</x:v>
      </x:c>
      <x:c r="B21" s="16" t="str">
        <x:v>Ports</x:v>
      </x:c>
      <x:c r="C21" s="16" t="str">
        <x:v>Terminal ferry</x:v>
      </x:c>
      <x:c r="D21" s="16" t="n">
        <x:v>50</x:v>
      </x:c>
      <x:c r="E21" s="16" t="str">
        <x:v>Inspection physique</x:v>
      </x:c>
      <x:c r="F21" s="16" t="str">
        <x:v>quais; capitainerie; entrepôts; accueil; atelier; sanitaires; cour de service</x:v>
      </x:c>
      <x:c r="G21" s="16" t="str">
        <x:v>route; chenal; fret selon type</x:v>
      </x:c>
      <x:c r="H21" s="16" t="str">
        <x:v>Côté terre/eau explicite ; chenal connecté ; manutention et visiteurs séparés.</x:v>
      </x:c>
      <x:c r="I21" s="16" t="str">
        <x:v>Emprise 364–420 × 484–532 m ; hauteur 5–5 m ; choix de composition auteur ; dimensions réelles à documenter.</x:v>
      </x:c>
      <x:c r="J21" s="16" t="str">
        <x:v>https://github.com/darknigthmare/deadwall-last-enclosure/blob/1b3b9c5ba232734b1bda3453b4e20a0481bcdd74/docs/codex/suivi-monde2026/PORTS_ILES_2026.md</x:v>
      </x:c>
      <x:c r="K21" s="16" t="str">
        <x:v>50 plans inspectables dans le Guide auteur ; géométrie partielle et campagne encore ouvertes.</x:v>
      </x:c>
      <x:c r="L21" s="16" t="n">
        <x:f>COUNTIF('Variantes à concevoir'!$B$6:$B$4005,A21)</x:f>
        <x:v>50</x:v>
      </x:c>
    </x:row>
    <x:row r="22" ht="96" customHeight="1">
      <x:c r="A22" s="16" t="str">
        <x:v>EXT-MONDE-T017</x:v>
      </x:c>
      <x:c r="B22" s="16" t="str">
        <x:v>Littoral</x:v>
      </x:c>
      <x:c r="C22" s="16" t="str">
        <x:v>Phare et logements</x:v>
      </x:c>
      <x:c r="D22" s="16" t="n">
        <x:v>50</x:v>
      </x:c>
      <x:c r="E22" s="16" t="str">
        <x:v>Inspection physique</x:v>
      </x:c>
      <x:c r="F22" s="16" t="str">
        <x:v>accueil; postes de service; réserves; sanitaires; chemins; locaux techniques</x:v>
      </x:c>
      <x:c r="G22" s="16" t="str">
        <x:v>route locale; littoral; chemins</x:v>
      </x:c>
      <x:c r="H22" s="16" t="str">
        <x:v>Adapter les pièces à l’usage ; relief, marée nominale et rivage avant implantation.</x:v>
      </x:c>
      <x:c r="I22" s="16" t="str">
        <x:v>Emprise 270–342 × 230–294 m ; hauteur 28–36 m ; choix de composition auteur ; dimensions réelles à documenter.</x:v>
      </x:c>
      <x:c r="J22" s="16" t="str">
        <x:v>https://github.com/darknigthmare/deadwall-last-enclosure/blob/1b3b9c5ba232734b1bda3453b4e20a0481bcdd74/docs/codex/suivi-monde2026/LITTORAL_2026.md</x:v>
      </x:c>
      <x:c r="K22" s="16" t="str">
        <x:v>50 plans inspectables dans le Guide auteur ; géométrie partielle et campagne encore ouvertes.</x:v>
      </x:c>
      <x:c r="L22" s="16" t="n">
        <x:f>COUNTIF('Variantes à concevoir'!$B$6:$B$4005,A22)</x:f>
        <x:v>50</x:v>
      </x:c>
    </x:row>
    <x:row r="23" ht="96" customHeight="1">
      <x:c r="A23" s="16" t="str">
        <x:v>EXT-MONDE-T018</x:v>
      </x:c>
      <x:c r="B23" s="16" t="str">
        <x:v>Littoral</x:v>
      </x:c>
      <x:c r="C23" s="16" t="str">
        <x:v>Fête foraine portuaire</x:v>
      </x:c>
      <x:c r="D23" s="16" t="n">
        <x:v>50</x:v>
      </x:c>
      <x:c r="E23" s="16" t="str">
        <x:v>Inspection physique</x:v>
      </x:c>
      <x:c r="F23" s="16" t="str">
        <x:v>accueil; postes de service; réserves; sanitaires; chemins; locaux techniques</x:v>
      </x:c>
      <x:c r="G23" s="16" t="str">
        <x:v>route locale; littoral; chemins</x:v>
      </x:c>
      <x:c r="H23" s="16" t="str">
        <x:v>Adapter les pièces à l’usage ; relief, marée nominale et rivage avant implantation.</x:v>
      </x:c>
      <x:c r="I23" s="16" t="str">
        <x:v>Emprise 270–342 × 230–294 m ; hauteur 24–24 m ; choix de composition auteur ; dimensions réelles à documenter.</x:v>
      </x:c>
      <x:c r="J23" s="16" t="str">
        <x:v>https://github.com/darknigthmare/deadwall-last-enclosure/blob/1b3b9c5ba232734b1bda3453b4e20a0481bcdd74/docs/codex/suivi-monde2026/LITTORAL_2026.md</x:v>
      </x:c>
      <x:c r="K23" s="16" t="str">
        <x:v>50 plans inspectables dans le Guide auteur ; géométrie partielle et campagne encore ouvertes.</x:v>
      </x:c>
      <x:c r="L23" s="16" t="n">
        <x:f>COUNTIF('Variantes à concevoir'!$B$6:$B$4005,A23)</x:f>
        <x:v>50</x:v>
      </x:c>
    </x:row>
    <x:row r="24" ht="96" customHeight="1">
      <x:c r="A24" s="16" t="str">
        <x:v>EXT-MONDE-T019</x:v>
      </x:c>
      <x:c r="B24" s="16" t="str">
        <x:v>Littoral</x:v>
      </x:c>
      <x:c r="C24" s="16" t="str">
        <x:v>Chantier naval côtier</x:v>
      </x:c>
      <x:c r="D24" s="16" t="n">
        <x:v>50</x:v>
      </x:c>
      <x:c r="E24" s="16" t="str">
        <x:v>Inspection physique</x:v>
      </x:c>
      <x:c r="F24" s="16" t="str">
        <x:v>accueil; postes de service; réserves; sanitaires; chemins; locaux techniques</x:v>
      </x:c>
      <x:c r="G24" s="16" t="str">
        <x:v>route locale; littoral; chemins</x:v>
      </x:c>
      <x:c r="H24" s="16" t="str">
        <x:v>Adapter les pièces à l’usage ; relief, marée nominale et rivage avant implantation.</x:v>
      </x:c>
      <x:c r="I24" s="16" t="str">
        <x:v>Emprise 270–342 × 230–294 m ; hauteur 18–18 m ; choix de composition auteur ; dimensions réelles à documenter.</x:v>
      </x:c>
      <x:c r="J24" s="16" t="str">
        <x:v>https://github.com/darknigthmare/deadwall-last-enclosure/blob/1b3b9c5ba232734b1bda3453b4e20a0481bcdd74/docs/codex/suivi-monde2026/LITTORAL_2026.md</x:v>
      </x:c>
      <x:c r="K24" s="16" t="str">
        <x:v>50 plans inspectables dans le Guide auteur ; géométrie partielle et campagne encore ouvertes.</x:v>
      </x:c>
      <x:c r="L24" s="16" t="n">
        <x:f>COUNTIF('Variantes à concevoir'!$B$6:$B$4005,A24)</x:f>
        <x:v>50</x:v>
      </x:c>
    </x:row>
    <x:row r="25" ht="96" customHeight="1">
      <x:c r="A25" s="16" t="str">
        <x:v>EXT-MONDE-T020</x:v>
      </x:c>
      <x:c r="B25" s="16" t="str">
        <x:v>Littoral</x:v>
      </x:c>
      <x:c r="C25" s="16" t="str">
        <x:v>Baie avec village côtier</x:v>
      </x:c>
      <x:c r="D25" s="16" t="n">
        <x:v>50</x:v>
      </x:c>
      <x:c r="E25" s="16" t="str">
        <x:v>Inspection physique</x:v>
      </x:c>
      <x:c r="F25" s="16" t="str">
        <x:v>accueil; postes de service; réserves; sanitaires; chemins; locaux techniques</x:v>
      </x:c>
      <x:c r="G25" s="16" t="str">
        <x:v>route locale; littoral; chemins</x:v>
      </x:c>
      <x:c r="H25" s="16" t="str">
        <x:v>Adapter les pièces à l’usage ; relief, marée nominale et rivage avant implantation.</x:v>
      </x:c>
      <x:c r="I25" s="16" t="str">
        <x:v>Emprise 270–342 × 230–294 m ; hauteur 4,4–4,4 m ; choix de composition auteur ; dimensions réelles à documenter.</x:v>
      </x:c>
      <x:c r="J25" s="16" t="str">
        <x:v>https://github.com/darknigthmare/deadwall-last-enclosure/blob/1b3b9c5ba232734b1bda3453b4e20a0481bcdd74/docs/codex/suivi-monde2026/LITTORAL_2026.md</x:v>
      </x:c>
      <x:c r="K25" s="16" t="str">
        <x:v>50 plans inspectables dans le Guide auteur ; géométrie partielle et campagne encore ouvertes.</x:v>
      </x:c>
      <x:c r="L25" s="16" t="n">
        <x:f>COUNTIF('Variantes à concevoir'!$B$6:$B$4005,A25)</x:f>
        <x:v>50</x:v>
      </x:c>
    </x:row>
    <x:row r="26" ht="96" customHeight="1">
      <x:c r="A26" s="16" t="str">
        <x:v>EXT-MONDE-T021</x:v>
      </x:c>
      <x:c r="B26" s="16" t="str">
        <x:v>Fermes élevage</x:v>
      </x:c>
      <x:c r="C26" s="16" t="str">
        <x:v>Ferme laitière</x:v>
      </x:c>
      <x:c r="D26" s="16" t="n">
        <x:v>50</x:v>
      </x:c>
      <x:c r="E26" s="16" t="str">
        <x:v>Inspection physique</x:v>
      </x:c>
      <x:c r="F26" s="16" t="str">
        <x:v>habitation; étable ou boxes; réserve de fourrage; atelier; cour; point d’eau</x:v>
      </x:c>
      <x:c r="G26" s="16" t="str">
        <x:v>voie agricole; eau; électricité</x:v>
      </x:c>
      <x:c r="H26" s="16" t="str">
        <x:v>Enclos compatibles avec espèces ; alimentation finie ; animaux, visiteurs et livraisons séparés.</x:v>
      </x:c>
      <x:c r="I26" s="16" t="str">
        <x:v>Emprise 260–340 × 224–320 m ; hauteur 8,2–8,2 m ; choix de composition auteur ; dimensions réelles à documenter.</x:v>
      </x:c>
      <x:c r="J26" s="16" t="str">
        <x:v>https://github.com/darknigthmare/deadwall-last-enclosure/blob/1b3b9c5ba232734b1bda3453b4e20a0481bcdd74/docs/codex/suivi-monde2026/AGRICULTURE_2026.md</x:v>
      </x:c>
      <x:c r="K26" s="16" t="str">
        <x:v>50 plans inspectables dans le Guide auteur ; géométrie partielle et campagne encore ouvertes.</x:v>
      </x:c>
      <x:c r="L26" s="16" t="n">
        <x:f>COUNTIF('Variantes à concevoir'!$B$6:$B$4005,A26)</x:f>
        <x:v>50</x:v>
      </x:c>
    </x:row>
    <x:row r="27" ht="96" customHeight="1">
      <x:c r="A27" s="16" t="str">
        <x:v>EXT-MONDE-T022</x:v>
      </x:c>
      <x:c r="B27" s="16" t="str">
        <x:v>Fermes élevage</x:v>
      </x:c>
      <x:c r="C27" s="16" t="str">
        <x:v>Élevage ovin</x:v>
      </x:c>
      <x:c r="D27" s="16" t="n">
        <x:v>50</x:v>
      </x:c>
      <x:c r="E27" s="16" t="str">
        <x:v>Inspection physique</x:v>
      </x:c>
      <x:c r="F27" s="16" t="str">
        <x:v>habitation; étable ou boxes; réserve de fourrage; atelier; cour; point d’eau</x:v>
      </x:c>
      <x:c r="G27" s="16" t="str">
        <x:v>voie agricole; eau; électricité</x:v>
      </x:c>
      <x:c r="H27" s="16" t="str">
        <x:v>Enclos compatibles avec espèces ; alimentation finie ; animaux, visiteurs et livraisons séparés.</x:v>
      </x:c>
      <x:c r="I27" s="16" t="str">
        <x:v>Emprise 260–340 × 224–320 m ; hauteur 7–7,3 m ; choix de composition auteur ; dimensions réelles à documenter.</x:v>
      </x:c>
      <x:c r="J27" s="16" t="str">
        <x:v>https://github.com/darknigthmare/deadwall-last-enclosure/blob/1b3b9c5ba232734b1bda3453b4e20a0481bcdd74/docs/codex/suivi-monde2026/AGRICULTURE_2026.md</x:v>
      </x:c>
      <x:c r="K27" s="16" t="str">
        <x:v>50 plans inspectables dans le Guide auteur ; géométrie partielle et campagne encore ouvertes.</x:v>
      </x:c>
      <x:c r="L27" s="16" t="n">
        <x:f>COUNTIF('Variantes à concevoir'!$B$6:$B$4005,A27)</x:f>
        <x:v>50</x:v>
      </x:c>
    </x:row>
    <x:row r="28" ht="96" customHeight="1">
      <x:c r="A28" s="16" t="str">
        <x:v>EXT-MONDE-T023</x:v>
      </x:c>
      <x:c r="B28" s="16" t="str">
        <x:v>Fermes élevage</x:v>
      </x:c>
      <x:c r="C28" s="16" t="str">
        <x:v>Ferme avicole</x:v>
      </x:c>
      <x:c r="D28" s="16" t="n">
        <x:v>50</x:v>
      </x:c>
      <x:c r="E28" s="16" t="str">
        <x:v>Inspection physique</x:v>
      </x:c>
      <x:c r="F28" s="16" t="str">
        <x:v>habitation; étable ou boxes; réserve de fourrage; atelier; cour; point d’eau</x:v>
      </x:c>
      <x:c r="G28" s="16" t="str">
        <x:v>voie agricole; eau; électricité</x:v>
      </x:c>
      <x:c r="H28" s="16" t="str">
        <x:v>Enclos compatibles avec espèces ; alimentation finie ; animaux, visiteurs et livraisons séparés.</x:v>
      </x:c>
      <x:c r="I28" s="16" t="str">
        <x:v>Emprise 260–340 × 224–320 m ; hauteur 6,8–7,3 m ; choix de composition auteur ; dimensions réelles à documenter.</x:v>
      </x:c>
      <x:c r="J28" s="16" t="str">
        <x:v>https://github.com/darknigthmare/deadwall-last-enclosure/blob/1b3b9c5ba232734b1bda3453b4e20a0481bcdd74/docs/codex/suivi-monde2026/AGRICULTURE_2026.md</x:v>
      </x:c>
      <x:c r="K28" s="16" t="str">
        <x:v>50 plans inspectables dans le Guide auteur ; géométrie partielle et campagne encore ouvertes.</x:v>
      </x:c>
      <x:c r="L28" s="16" t="n">
        <x:f>COUNTIF('Variantes à concevoir'!$B$6:$B$4005,A28)</x:f>
        <x:v>50</x:v>
      </x:c>
    </x:row>
    <x:row r="29" ht="96" customHeight="1">
      <x:c r="A29" s="16" t="str">
        <x:v>EXT-MONDE-T024</x:v>
      </x:c>
      <x:c r="B29" s="16" t="str">
        <x:v>Fermes élevage</x:v>
      </x:c>
      <x:c r="C29" s="16" t="str">
        <x:v>Centre équestre rural</x:v>
      </x:c>
      <x:c r="D29" s="16" t="n">
        <x:v>50</x:v>
      </x:c>
      <x:c r="E29" s="16" t="str">
        <x:v>Inspection physique</x:v>
      </x:c>
      <x:c r="F29" s="16" t="str">
        <x:v>habitation; étable ou boxes; réserve de fourrage; atelier; cour; point d’eau</x:v>
      </x:c>
      <x:c r="G29" s="16" t="str">
        <x:v>voie agricole; eau; électricité</x:v>
      </x:c>
      <x:c r="H29" s="16" t="str">
        <x:v>Enclos compatibles avec espèces ; alimentation finie ; animaux, visiteurs et livraisons séparés.</x:v>
      </x:c>
      <x:c r="I29" s="16" t="str">
        <x:v>Emprise 260–340 × 224–320 m ; hauteur 6,5–7,3 m ; choix de composition auteur ; dimensions réelles à documenter.</x:v>
      </x:c>
      <x:c r="J29" s="16" t="str">
        <x:v>https://github.com/darknigthmare/deadwall-last-enclosure/blob/1b3b9c5ba232734b1bda3453b4e20a0481bcdd74/docs/codex/suivi-monde2026/AGRICULTURE_2026.md</x:v>
      </x:c>
      <x:c r="K29" s="16" t="str">
        <x:v>50 plans inspectables dans le Guide auteur ; géométrie partielle et campagne encore ouvertes.</x:v>
      </x:c>
      <x:c r="L29" s="16" t="n">
        <x:f>COUNTIF('Variantes à concevoir'!$B$6:$B$4005,A29)</x:f>
        <x:v>50</x:v>
      </x:c>
    </x:row>
    <x:row r="30" ht="96" customHeight="1">
      <x:c r="A30" s="16" t="str">
        <x:v>EXT-MONDE-T025</x:v>
      </x:c>
      <x:c r="B30" s="16" t="str">
        <x:v>Fermes cultures</x:v>
      </x:c>
      <x:c r="C30" s="16" t="str">
        <x:v>Exploitation céréalière</x:v>
      </x:c>
      <x:c r="D30" s="16" t="n">
        <x:v>50</x:v>
      </x:c>
      <x:c r="E30" s="16" t="str">
        <x:v>Inspection physique</x:v>
      </x:c>
      <x:c r="F30" s="16" t="str">
        <x:v>maison; hangar; atelier; stockage; parcelles; local de préparation; sanitaires</x:v>
      </x:c>
      <x:c r="G30" s="16" t="str">
        <x:v>voie agricole; irrigation; route locale</x:v>
      </x:c>
      <x:c r="H30" s="16" t="str">
        <x:v>Cultures adaptées au terrain ; parcelles contiguës ; pas de stock renouvelé par visite.</x:v>
      </x:c>
      <x:c r="I30" s="16" t="str">
        <x:v>Emprise 260–340 × 224–320 m ; hauteur 10,2–10,2 m ; choix de composition auteur ; dimensions réelles à documenter.</x:v>
      </x:c>
      <x:c r="J30" s="16" t="str">
        <x:v>https://github.com/darknigthmare/deadwall-last-enclosure/blob/1b3b9c5ba232734b1bda3453b4e20a0481bcdd74/docs/codex/suivi-monde2026/AGRICULTURE_2026.md</x:v>
      </x:c>
      <x:c r="K30" s="16" t="str">
        <x:v>50 plans inspectables dans le Guide auteur ; géométrie partielle et campagne encore ouvertes.</x:v>
      </x:c>
      <x:c r="L30" s="16" t="n">
        <x:f>COUNTIF('Variantes à concevoir'!$B$6:$B$4005,A30)</x:f>
        <x:v>50</x:v>
      </x:c>
    </x:row>
    <x:row r="31" ht="96" customHeight="1">
      <x:c r="A31" s="16" t="str">
        <x:v>EXT-MONDE-T026</x:v>
      </x:c>
      <x:c r="B31" s="16" t="str">
        <x:v>Fermes cultures</x:v>
      </x:c>
      <x:c r="C31" s="16" t="str">
        <x:v>Domaine viticole</x:v>
      </x:c>
      <x:c r="D31" s="16" t="n">
        <x:v>50</x:v>
      </x:c>
      <x:c r="E31" s="16" t="str">
        <x:v>Inspection physique</x:v>
      </x:c>
      <x:c r="F31" s="16" t="str">
        <x:v>maison; hangar; atelier; stockage; parcelles; local de préparation; sanitaires</x:v>
      </x:c>
      <x:c r="G31" s="16" t="str">
        <x:v>voie agricole; irrigation; route locale</x:v>
      </x:c>
      <x:c r="H31" s="16" t="str">
        <x:v>Cultures adaptées au terrain ; parcelles contiguës ; pas de stock renouvelé par visite.</x:v>
      </x:c>
      <x:c r="I31" s="16" t="str">
        <x:v>Emprise 260–340 × 224–320 m ; hauteur 6,5–7,3 m ; choix de composition auteur ; dimensions réelles à documenter.</x:v>
      </x:c>
      <x:c r="J31" s="16" t="str">
        <x:v>https://github.com/darknigthmare/deadwall-last-enclosure/blob/1b3b9c5ba232734b1bda3453b4e20a0481bcdd74/docs/codex/suivi-monde2026/AGRICULTURE_2026.md</x:v>
      </x:c>
      <x:c r="K31" s="16" t="str">
        <x:v>50 plans inspectables dans le Guide auteur ; géométrie partielle et campagne encore ouvertes.</x:v>
      </x:c>
      <x:c r="L31" s="16" t="n">
        <x:f>COUNTIF('Variantes à concevoir'!$B$6:$B$4005,A31)</x:f>
        <x:v>50</x:v>
      </x:c>
    </x:row>
    <x:row r="32" ht="96" customHeight="1">
      <x:c r="A32" s="16" t="str">
        <x:v>EXT-MONDE-T027</x:v>
      </x:c>
      <x:c r="B32" s="16" t="str">
        <x:v>Fermes cultures</x:v>
      </x:c>
      <x:c r="C32" s="16" t="str">
        <x:v>Ferme maraîchère</x:v>
      </x:c>
      <x:c r="D32" s="16" t="n">
        <x:v>50</x:v>
      </x:c>
      <x:c r="E32" s="16" t="str">
        <x:v>Inspection physique</x:v>
      </x:c>
      <x:c r="F32" s="16" t="str">
        <x:v>maison; hangar; atelier; stockage; parcelles; local de préparation; sanitaires</x:v>
      </x:c>
      <x:c r="G32" s="16" t="str">
        <x:v>voie agricole; irrigation; route locale</x:v>
      </x:c>
      <x:c r="H32" s="16" t="str">
        <x:v>Cultures adaptées au terrain ; parcelles contiguës ; pas de stock renouvelé par visite.</x:v>
      </x:c>
      <x:c r="I32" s="16" t="str">
        <x:v>Emprise 260–340 × 224–320 m ; hauteur 6,5–7,3 m ; choix de composition auteur ; dimensions réelles à documenter.</x:v>
      </x:c>
      <x:c r="J32" s="16" t="str">
        <x:v>https://github.com/darknigthmare/deadwall-last-enclosure/blob/1b3b9c5ba232734b1bda3453b4e20a0481bcdd74/docs/codex/suivi-monde2026/AGRICULTURE_2026.md</x:v>
      </x:c>
      <x:c r="K32" s="16" t="str">
        <x:v>50 plans inspectables dans le Guide auteur ; géométrie partielle et campagne encore ouvertes.</x:v>
      </x:c>
      <x:c r="L32" s="16" t="n">
        <x:f>COUNTIF('Variantes à concevoir'!$B$6:$B$4005,A32)</x:f>
        <x:v>50</x:v>
      </x:c>
    </x:row>
    <x:row r="33" ht="96" customHeight="1">
      <x:c r="A33" s="16" t="str">
        <x:v>EXT-MONDE-T028</x:v>
      </x:c>
      <x:c r="B33" s="16" t="str">
        <x:v>Fermes cultures</x:v>
      </x:c>
      <x:c r="C33" s="16" t="str">
        <x:v>Verger avec conditionnement</x:v>
      </x:c>
      <x:c r="D33" s="16" t="n">
        <x:v>50</x:v>
      </x:c>
      <x:c r="E33" s="16" t="str">
        <x:v>Inspection physique</x:v>
      </x:c>
      <x:c r="F33" s="16" t="str">
        <x:v>maison; hangar; atelier; stockage; parcelles; local de préparation; sanitaires</x:v>
      </x:c>
      <x:c r="G33" s="16" t="str">
        <x:v>voie agricole; irrigation; route locale</x:v>
      </x:c>
      <x:c r="H33" s="16" t="str">
        <x:v>Cultures adaptées au terrain ; parcelles contiguës ; pas de stock renouvelé par visite.</x:v>
      </x:c>
      <x:c r="I33" s="16" t="str">
        <x:v>Emprise 260–340 × 224–320 m ; hauteur 6,5–7,3 m ; choix de composition auteur ; dimensions réelles à documenter.</x:v>
      </x:c>
      <x:c r="J33" s="16" t="str">
        <x:v>https://github.com/darknigthmare/deadwall-last-enclosure/blob/1b3b9c5ba232734b1bda3453b4e20a0481bcdd74/docs/codex/suivi-monde2026/AGRICULTURE_2026.md</x:v>
      </x:c>
      <x:c r="K33" s="16" t="str">
        <x:v>50 plans inspectables dans le Guide auteur ; géométrie partielle et campagne encore ouvertes.</x:v>
      </x:c>
      <x:c r="L33" s="16" t="n">
        <x:f>COUNTIF('Variantes à concevoir'!$B$6:$B$4005,A33)</x:f>
        <x:v>50</x:v>
      </x:c>
    </x:row>
    <x:row r="34" ht="96" customHeight="1">
      <x:c r="A34" s="16" t="str">
        <x:v>EXT-MONDE-T029</x:v>
      </x:c>
      <x:c r="B34" s="16" t="str">
        <x:v>Ponts</x:v>
      </x:c>
      <x:c r="C34" s="16" t="str">
        <x:v>Pont routier à poutres</x:v>
      </x:c>
      <x:c r="D34" s="16" t="n">
        <x:v>50</x:v>
      </x:c>
      <x:c r="E34" s="16" t="str">
        <x:v>Inspection physique</x:v>
      </x:c>
      <x:c r="F34" s="16" t="str">
        <x:v>tablier; appuis; culées; accès de maintenance; passage inférieur</x:v>
      </x:c>
      <x:c r="G34" s="16" t="str">
        <x:v>route ou rail; franchissement; chemin inférieur</x:v>
      </x:c>
      <x:c r="H34" s="16" t="str">
        <x:v>Gabarit libre sous tablier ; extrémités raccordées ; aucun nœud entre voies superposées.</x:v>
      </x:c>
      <x:c r="I34" s="16" t="str">
        <x:v>Emprise 620–940 × 800–1440 m ; hauteur 8,2–8,56 m ; choix de composition auteur ; dimensions réelles à documenter.</x:v>
      </x:c>
      <x:c r="J34" s="16" t="str">
        <x:v>https://github.com/darknigthmare/deadwall-last-enclosure/blob/1b3b9c5ba232734b1bda3453b4e20a0481bcdd74/docs/codex/suivi-monde2026/PONTS_ECHANGEURS_2026.md</x:v>
      </x:c>
      <x:c r="K34" s="16" t="str">
        <x:v>50 plans inspectables dans le Guide auteur ; géométrie partielle et campagne encore ouvertes.</x:v>
      </x:c>
      <x:c r="L34" s="16" t="n">
        <x:f>COUNTIF('Variantes à concevoir'!$B$6:$B$4005,A34)</x:f>
        <x:v>50</x:v>
      </x:c>
    </x:row>
    <x:row r="35" ht="96" customHeight="1">
      <x:c r="A35" s="16" t="str">
        <x:v>EXT-MONDE-T030</x:v>
      </x:c>
      <x:c r="B35" s="16" t="str">
        <x:v>Ponts</x:v>
      </x:c>
      <x:c r="C35" s="16" t="str">
        <x:v>Pont à arches</x:v>
      </x:c>
      <x:c r="D35" s="16" t="n">
        <x:v>50</x:v>
      </x:c>
      <x:c r="E35" s="16" t="str">
        <x:v>Inspection physique</x:v>
      </x:c>
      <x:c r="F35" s="16" t="str">
        <x:v>tablier; appuis; culées; accès de maintenance; passage inférieur</x:v>
      </x:c>
      <x:c r="G35" s="16" t="str">
        <x:v>route ou rail; franchissement; chemin inférieur</x:v>
      </x:c>
      <x:c r="H35" s="16" t="str">
        <x:v>Gabarit libre sous tablier ; extrémités raccordées ; aucun nœud entre voies superposées.</x:v>
      </x:c>
      <x:c r="I35" s="16" t="str">
        <x:v>Emprise 680–1000 × 1000–1640 m ; hauteur 12–12,36 m ; choix de composition auteur ; dimensions réelles à documenter.</x:v>
      </x:c>
      <x:c r="J35" s="16" t="str">
        <x:v>https://github.com/darknigthmare/deadwall-last-enclosure/blob/1b3b9c5ba232734b1bda3453b4e20a0481bcdd74/docs/codex/suivi-monde2026/PONTS_ECHANGEURS_2026.md</x:v>
      </x:c>
      <x:c r="K35" s="16" t="str">
        <x:v>50 plans inspectables dans le Guide auteur ; géométrie partielle et campagne encore ouvertes.</x:v>
      </x:c>
      <x:c r="L35" s="16" t="n">
        <x:f>COUNTIF('Variantes à concevoir'!$B$6:$B$4005,A35)</x:f>
        <x:v>50</x:v>
      </x:c>
    </x:row>
    <x:row r="36" ht="96" customHeight="1">
      <x:c r="A36" s="115" t="str">
        <x:v>EXT-MONDE-T031</x:v>
      </x:c>
      <x:c r="B36" s="115" t="str">
        <x:v>Ponts</x:v>
      </x:c>
      <x:c r="C36" s="115" t="str">
        <x:v>Pont levant portuaire</x:v>
      </x:c>
      <x:c r="D36" s="115" t="n">
        <x:v>50</x:v>
      </x:c>
      <x:c r="E36" s="115" t="str">
        <x:v>Inspection physique</x:v>
      </x:c>
      <x:c r="F36" s="115" t="str">
        <x:v>tablier; appuis; culées; accès de maintenance; passage inférieur</x:v>
      </x:c>
      <x:c r="G36" s="115" t="str">
        <x:v>route ou rail; franchissement; chemin inférieur</x:v>
      </x:c>
      <x:c r="H36" s="115" t="str">
        <x:v>Gabarit libre sous tablier ; extrémités raccordées ; aucun nœud entre voies superposées.</x:v>
      </x:c>
      <x:c r="I36" s="115" t="str">
        <x:v>Emprise 660–980 × 900–1540 m ; hauteur 28,5–36,86 m ; choix de composition auteur ; dimensions réelles à documenter.</x:v>
      </x:c>
      <x:c r="J36" s="115" t="str">
        <x:v>https://github.com/darknigthmare/deadwall-last-enclosure/blob/1b3b9c5ba232734b1bda3453b4e20a0481bcdd74/docs/codex/suivi-monde2026/PONTS_ECHANGEURS_2026.md</x:v>
      </x:c>
      <x:c r="K36" s="115" t="str">
        <x:v>50 plans inspectables dans le Guide auteur ; géométrie partielle et campagne encore ouvertes.</x:v>
      </x:c>
      <x:c r="L36" t="n">
        <x:f>COUNTIF('Variantes à concevoir'!$B$6:$B$4005,A36)</x:f>
        <x:v>50</x:v>
      </x:c>
    </x:row>
    <x:row r="37" ht="96" customHeight="1">
      <x:c r="A37" s="115" t="str">
        <x:v>EXT-MONDE-T032</x:v>
      </x:c>
      <x:c r="B37" s="115" t="str">
        <x:v>Ponts</x:v>
      </x:c>
      <x:c r="C37" s="115" t="str">
        <x:v>Viaduc ferroviaire</x:v>
      </x:c>
      <x:c r="D37" s="115" t="n">
        <x:v>50</x:v>
      </x:c>
      <x:c r="E37" s="115" t="str">
        <x:v>Inspection physique</x:v>
      </x:c>
      <x:c r="F37" s="115" t="str">
        <x:v>tablier; appuis; culées; accès de maintenance; passage inférieur</x:v>
      </x:c>
      <x:c r="G37" s="115" t="str">
        <x:v>route ou rail; franchissement; chemin inférieur</x:v>
      </x:c>
      <x:c r="H37" s="115" t="str">
        <x:v>Gabarit libre sous tablier ; extrémités raccordées ; aucun nœud entre voies superposées.</x:v>
      </x:c>
      <x:c r="I37" s="115" t="str">
        <x:v>Emprise 800–1120 × 2600–4200 m ; hauteur 18–18,36 m ; choix de composition auteur ; dimensions réelles à documenter.</x:v>
      </x:c>
      <x:c r="J37" s="115" t="str">
        <x:v>https://github.com/darknigthmare/deadwall-last-enclosure/blob/1b3b9c5ba232734b1bda3453b4e20a0481bcdd74/docs/codex/suivi-monde2026/PONTS_ECHANGEURS_2026.md</x:v>
      </x:c>
      <x:c r="K37" s="115" t="str">
        <x:v>50 plans inspectables dans le Guide auteur ; géométrie partielle et campagne encore ouvertes.</x:v>
      </x:c>
      <x:c r="L37" t="n">
        <x:f>COUNTIF('Variantes à concevoir'!$B$6:$B$4005,A37)</x:f>
        <x:v>50</x:v>
      </x:c>
    </x:row>
    <x:row r="38" ht="96" customHeight="1">
      <x:c r="A38" s="115" t="str">
        <x:v>EXT-MONDE-T033</x:v>
      </x:c>
      <x:c r="B38" s="115" t="str">
        <x:v>Échangeurs</x:v>
      </x:c>
      <x:c r="C38" s="115" t="str">
        <x:v>Échangeur en losange</x:v>
      </x:c>
      <x:c r="D38" s="115" t="n">
        <x:v>50</x:v>
      </x:c>
      <x:c r="E38" s="115" t="str">
        <x:v>Inspection physique</x:v>
      </x:c>
      <x:c r="F38" s="115" t="str">
        <x:v>chaussées principales; bretelles; ouvrages; accotements; accès de maintenance</x:v>
      </x:c>
      <x:c r="G38" s="115" t="str">
        <x:v>autoroute; routes structurantes</x:v>
      </x:c>
      <x:c r="H38" s="115" t="str">
        <x:v>Classes de routes et raccords progressifs ; rayons, pentes et emprises à valider avant génération.</x:v>
      </x:c>
      <x:c r="I38" s="115" t="str">
        <x:v>Emprise 1200–1520 × 1200–1840 m ; hauteur 8–8 m ; choix de composition auteur ; dimensions réelles à documenter.</x:v>
      </x:c>
      <x:c r="J38" s="115" t="str">
        <x:v>https://github.com/darknigthmare/deadwall-last-enclosure/blob/1b3b9c5ba232734b1bda3453b4e20a0481bcdd74/docs/codex/suivi-monde2026/PONTS_ECHANGEURS_2026.md</x:v>
      </x:c>
      <x:c r="K38" s="115" t="str">
        <x:v>50 plans inspectables dans le Guide auteur ; géométrie partielle et campagne encore ouvertes.</x:v>
      </x:c>
      <x:c r="L38" t="n">
        <x:f>COUNTIF('Variantes à concevoir'!$B$6:$B$4005,A38)</x:f>
        <x:v>50</x:v>
      </x:c>
    </x:row>
    <x:row r="39" ht="96" customHeight="1">
      <x:c r="A39" s="115" t="str">
        <x:v>EXT-MONDE-T034</x:v>
      </x:c>
      <x:c r="B39" s="115" t="str">
        <x:v>Échangeurs</x:v>
      </x:c>
      <x:c r="C39" s="115" t="str">
        <x:v>Échangeur en trompette</x:v>
      </x:c>
      <x:c r="D39" s="115" t="n">
        <x:v>50</x:v>
      </x:c>
      <x:c r="E39" s="115" t="str">
        <x:v>Inspection physique</x:v>
      </x:c>
      <x:c r="F39" s="115" t="str">
        <x:v>chaussées principales; bretelles; ouvrages; accotements; accès de maintenance</x:v>
      </x:c>
      <x:c r="G39" s="115" t="str">
        <x:v>autoroute; routes structurantes</x:v>
      </x:c>
      <x:c r="H39" s="115" t="str">
        <x:v>Classes de routes et raccords progressifs ; rayons, pentes et emprises à valider avant génération.</x:v>
      </x:c>
      <x:c r="I39" s="115" t="str">
        <x:v>Emprise 1200–1520 × 1200–1840 m ; hauteur 8–8 m ; choix de composition auteur ; dimensions réelles à documenter.</x:v>
      </x:c>
      <x:c r="J39" s="115" t="str">
        <x:v>https://github.com/darknigthmare/deadwall-last-enclosure/blob/1b3b9c5ba232734b1bda3453b4e20a0481bcdd74/docs/codex/suivi-monde2026/PONTS_ECHANGEURS_2026.md</x:v>
      </x:c>
      <x:c r="K39" s="115" t="str">
        <x:v>50 plans inspectables dans le Guide auteur ; géométrie partielle et campagne encore ouvertes.</x:v>
      </x:c>
      <x:c r="L39" t="n">
        <x:f>COUNTIF('Variantes à concevoir'!$B$6:$B$4005,A39)</x:f>
        <x:v>50</x:v>
      </x:c>
    </x:row>
    <x:row r="40" ht="96" customHeight="1">
      <x:c r="A40" s="115" t="str">
        <x:v>EXT-MONDE-T035</x:v>
      </x:c>
      <x:c r="B40" s="115" t="str">
        <x:v>Échangeurs</x:v>
      </x:c>
      <x:c r="C40" s="115" t="str">
        <x:v>Trèfle autoroutier</x:v>
      </x:c>
      <x:c r="D40" s="115" t="n">
        <x:v>50</x:v>
      </x:c>
      <x:c r="E40" s="115" t="str">
        <x:v>Inspection physique</x:v>
      </x:c>
      <x:c r="F40" s="115" t="str">
        <x:v>chaussées principales; bretelles; ouvrages; accotements; accès de maintenance</x:v>
      </x:c>
      <x:c r="G40" s="115" t="str">
        <x:v>autoroute; routes structurantes</x:v>
      </x:c>
      <x:c r="H40" s="115" t="str">
        <x:v>Classes de routes et raccords progressifs ; rayons, pentes et emprises à valider avant génération.</x:v>
      </x:c>
      <x:c r="I40" s="115" t="str">
        <x:v>Emprise 1400–1720 × 1400–2040 m ; hauteur 8–8 m ; choix de composition auteur ; dimensions réelles à documenter.</x:v>
      </x:c>
      <x:c r="J40" s="115" t="str">
        <x:v>https://github.com/darknigthmare/deadwall-last-enclosure/blob/1b3b9c5ba232734b1bda3453b4e20a0481bcdd74/docs/codex/suivi-monde2026/PONTS_ECHANGEURS_2026.md</x:v>
      </x:c>
      <x:c r="K40" s="115" t="str">
        <x:v>50 plans inspectables dans le Guide auteur ; géométrie partielle et campagne encore ouvertes.</x:v>
      </x:c>
      <x:c r="L40" t="n">
        <x:f>COUNTIF('Variantes à concevoir'!$B$6:$B$4005,A40)</x:f>
        <x:v>50</x:v>
      </x:c>
    </x:row>
    <x:row r="41" ht="96" customHeight="1">
      <x:c r="A41" s="115" t="str">
        <x:v>EXT-MONDE-T036</x:v>
      </x:c>
      <x:c r="B41" s="115" t="str">
        <x:v>Échangeurs</x:v>
      </x:c>
      <x:c r="C41" s="115" t="str">
        <x:v>Échangeur directionnel</x:v>
      </x:c>
      <x:c r="D41" s="115" t="n">
        <x:v>50</x:v>
      </x:c>
      <x:c r="E41" s="115" t="str">
        <x:v>Inspection physique</x:v>
      </x:c>
      <x:c r="F41" s="115" t="str">
        <x:v>chaussées principales; bretelles; ouvrages; accotements; accès de maintenance</x:v>
      </x:c>
      <x:c r="G41" s="115" t="str">
        <x:v>autoroute; routes structurantes</x:v>
      </x:c>
      <x:c r="H41" s="115" t="str">
        <x:v>Classes de routes et raccords progressifs ; rayons, pentes et emprises à valider avant génération.</x:v>
      </x:c>
      <x:c r="I41" s="115" t="str">
        <x:v>Emprise 1400–1720 × 1400–2040 m ; hauteur 8–8 m ; choix de composition auteur ; dimensions réelles à documenter.</x:v>
      </x:c>
      <x:c r="J41" s="115" t="str">
        <x:v>https://github.com/darknigthmare/deadwall-last-enclosure/blob/1b3b9c5ba232734b1bda3453b4e20a0481bcdd74/docs/codex/suivi-monde2026/PONTS_ECHANGEURS_2026.md</x:v>
      </x:c>
      <x:c r="K41" s="115" t="str">
        <x:v>50 plans inspectables dans le Guide auteur ; géométrie partielle et campagne encore ouvertes.</x:v>
      </x:c>
      <x:c r="L41" t="n">
        <x:f>COUNTIF('Variantes à concevoir'!$B$6:$B$4005,A41)</x:f>
        <x:v>50</x:v>
      </x:c>
    </x:row>
    <x:row r="42" ht="96" customHeight="1">
      <x:c r="A42" s="115" t="str">
        <x:v>EXT-MONDE-T037</x:v>
      </x:c>
      <x:c r="B42" s="115" t="str">
        <x:v>Égouts</x:v>
      </x:c>
      <x:c r="C42" s="115" t="str">
        <x:v>Collecteur urbain</x:v>
      </x:c>
      <x:c r="D42" s="115" t="n">
        <x:v>50</x:v>
      </x:c>
      <x:c r="E42" s="115" t="str">
        <x:v>Inspection physique</x:v>
      </x:c>
      <x:c r="F42" s="115" t="str">
        <x:v>regards; galeries; chambres de visite; local électrique; pompage; accès</x:v>
      </x:c>
      <x:c r="G42" s="115" t="str">
        <x:v>réseau hydraulique; exutoires; surface</x:v>
      </x:c>
      <x:c r="H42" s="115" t="str">
        <x:v>Graphe dirigé vers exutoire ; jonctions explicites ; niveaux et accès de secours sans téléportation.</x:v>
      </x:c>
      <x:c r="I42" s="115" t="str">
        <x:v>Emprise 180–238 × 200–254,3 m ; hauteur 3–3 m ; choix de composition auteur ; dimensions réelles à documenter.</x:v>
      </x:c>
      <x:c r="J42" s="115" t="str">
        <x:v>https://github.com/darknigthmare/deadwall-last-enclosure/blob/1b3b9c5ba232734b1bda3453b4e20a0481bcdd74/docs/codex/suivi-monde2026/HLM_ASSAINISSEMENT_2026.md</x:v>
      </x:c>
      <x:c r="K42" s="115" t="str">
        <x:v>50 plans inspectables dans le Guide auteur ; géométrie partielle et campagne encore ouvertes.</x:v>
      </x:c>
      <x:c r="L42" t="n">
        <x:f>COUNTIF('Variantes à concevoir'!$B$6:$B$4005,A42)</x:f>
        <x:v>50</x:v>
      </x:c>
    </x:row>
    <x:row r="43" ht="96" customHeight="1">
      <x:c r="A43" s="115" t="str">
        <x:v>EXT-MONDE-T038</x:v>
      </x:c>
      <x:c r="B43" s="115" t="str">
        <x:v>Égouts</x:v>
      </x:c>
      <x:c r="C43" s="115" t="str">
        <x:v>Réseau unitaire ancien</x:v>
      </x:c>
      <x:c r="D43" s="115" t="n">
        <x:v>50</x:v>
      </x:c>
      <x:c r="E43" s="115" t="str">
        <x:v>Inspection physique</x:v>
      </x:c>
      <x:c r="F43" s="115" t="str">
        <x:v>regards; galeries; chambres de visite; local électrique; pompage; accès</x:v>
      </x:c>
      <x:c r="G43" s="115" t="str">
        <x:v>réseau hydraulique; exutoires; surface</x:v>
      </x:c>
      <x:c r="H43" s="115" t="str">
        <x:v>Graphe dirigé vers exutoire ; jonctions explicites ; niveaux et accès de secours sans téléportation.</x:v>
      </x:c>
      <x:c r="I43" s="115" t="str">
        <x:v>Emprise 180–238 × 200–254,3 m ; hauteur 3–3 m ; choix de composition auteur ; dimensions réelles à documenter.</x:v>
      </x:c>
      <x:c r="J43" s="115" t="str">
        <x:v>https://github.com/darknigthmare/deadwall-last-enclosure/blob/1b3b9c5ba232734b1bda3453b4e20a0481bcdd74/docs/codex/suivi-monde2026/HLM_ASSAINISSEMENT_2026.md</x:v>
      </x:c>
      <x:c r="K43" s="115" t="str">
        <x:v>50 plans inspectables dans le Guide auteur ; géométrie partielle et campagne encore ouvertes.</x:v>
      </x:c>
      <x:c r="L43" t="n">
        <x:f>COUNTIF('Variantes à concevoir'!$B$6:$B$4005,A43)</x:f>
        <x:v>50</x:v>
      </x:c>
    </x:row>
    <x:row r="44" ht="96" customHeight="1">
      <x:c r="A44" s="115" t="str">
        <x:v>EXT-MONDE-T039</x:v>
      </x:c>
      <x:c r="B44" s="115" t="str">
        <x:v>Égouts</x:v>
      </x:c>
      <x:c r="C44" s="115" t="str">
        <x:v>Galerie pluviale</x:v>
      </x:c>
      <x:c r="D44" s="115" t="n">
        <x:v>50</x:v>
      </x:c>
      <x:c r="E44" s="115" t="str">
        <x:v>Inspection physique</x:v>
      </x:c>
      <x:c r="F44" s="115" t="str">
        <x:v>regards; galeries; chambres de visite; local électrique; pompage; accès</x:v>
      </x:c>
      <x:c r="G44" s="115" t="str">
        <x:v>réseau hydraulique; exutoires; surface</x:v>
      </x:c>
      <x:c r="H44" s="115" t="str">
        <x:v>Graphe dirigé vers exutoire ; jonctions explicites ; niveaux et accès de secours sans téléportation.</x:v>
      </x:c>
      <x:c r="I44" s="115" t="str">
        <x:v>Emprise 180–238 × 200–254,3 m ; hauteur 3–3 m ; choix de composition auteur ; dimensions réelles à documenter.</x:v>
      </x:c>
      <x:c r="J44" s="115" t="str">
        <x:v>https://github.com/darknigthmare/deadwall-last-enclosure/blob/1b3b9c5ba232734b1bda3453b4e20a0481bcdd74/docs/codex/suivi-monde2026/HLM_ASSAINISSEMENT_2026.md</x:v>
      </x:c>
      <x:c r="K44" s="115" t="str">
        <x:v>50 plans inspectables dans le Guide auteur ; géométrie partielle et campagne encore ouvertes.</x:v>
      </x:c>
      <x:c r="L44" t="n">
        <x:f>COUNTIF('Variantes à concevoir'!$B$6:$B$4005,A44)</x:f>
        <x:v>50</x:v>
      </x:c>
    </x:row>
    <x:row r="45" ht="96" customHeight="1">
      <x:c r="A45" s="115" t="str">
        <x:v>EXT-MONDE-T040</x:v>
      </x:c>
      <x:c r="B45" s="115" t="str">
        <x:v>Égouts</x:v>
      </x:c>
      <x:c r="C45" s="115" t="str">
        <x:v>Station souterraine de relevage</x:v>
      </x:c>
      <x:c r="D45" s="115" t="n">
        <x:v>50</x:v>
      </x:c>
      <x:c r="E45" s="115" t="str">
        <x:v>Inspection physique</x:v>
      </x:c>
      <x:c r="F45" s="115" t="str">
        <x:v>regards; galeries; chambres de visite; local électrique; pompage; accès</x:v>
      </x:c>
      <x:c r="G45" s="115" t="str">
        <x:v>réseau hydraulique; exutoires; surface</x:v>
      </x:c>
      <x:c r="H45" s="115" t="str">
        <x:v>Graphe dirigé vers exutoire ; jonctions explicites ; niveaux et accès de secours sans téléportation.</x:v>
      </x:c>
      <x:c r="I45" s="115" t="str">
        <x:v>Emprise 180–238 × 200–254,3 m ; hauteur 3–3 m ; choix de composition auteur ; dimensions réelles à documenter.</x:v>
      </x:c>
      <x:c r="J45" s="115" t="str">
        <x:v>https://github.com/darknigthmare/deadwall-last-enclosure/blob/1b3b9c5ba232734b1bda3453b4e20a0481bcdd74/docs/codex/suivi-monde2026/HLM_ASSAINISSEMENT_2026.md</x:v>
      </x:c>
      <x:c r="K45" s="115" t="str">
        <x:v>50 plans inspectables dans le Guide auteur ; géométrie partielle et campagne encore ouvertes.</x:v>
      </x:c>
      <x:c r="L45" t="n">
        <x:f>COUNTIF('Variantes à concevoir'!$B$6:$B$4005,A45)</x:f>
        <x:v>50</x:v>
      </x:c>
    </x:row>
    <x:row r="46" ht="96" customHeight="1">
      <x:c r="A46" s="115" t="str">
        <x:v>EXT-MONDE-T041</x:v>
      </x:c>
      <x:c r="B46" s="115" t="str">
        <x:v>HLM visitables</x:v>
      </x:c>
      <x:c r="C46" s="115" t="str">
        <x:v>Barre HLM</x:v>
      </x:c>
      <x:c r="D46" s="115" t="n">
        <x:v>50</x:v>
      </x:c>
      <x:c r="E46" s="115" t="str">
        <x:v>Inspection physique</x:v>
      </x:c>
      <x:c r="F46" s="115" t="str">
        <x:v>halls; logements; cuisines; salles d’eau; paliers; escaliers; caves; locaux communs</x:v>
      </x:c>
      <x:c r="G46" s="115" t="str">
        <x:v>rue; piétons; eau; électricité; assainissement</x:v>
      </x:c>
      <x:c r="H46" s="115" t="str">
        <x:v>Logements répétés réellement ; portes vers circulation ; cages continues ; locaux techniques dédiés.</x:v>
      </x:c>
      <x:c r="I46" s="115" t="str">
        <x:v>Emprise 77–81,05 × 84,8–100,34 m ; hauteur 9,35–21,55 m ; choix de composition auteur ; dimensions réelles à documenter.</x:v>
      </x:c>
      <x:c r="J46" s="115" t="str">
        <x:v>https://github.com/darknigthmare/deadwall-last-enclosure/blob/1b3b9c5ba232734b1bda3453b4e20a0481bcdd74/docs/codex/suivi-monde2026/HLM_ASSAINISSEMENT_2026.md</x:v>
      </x:c>
      <x:c r="K46" s="115" t="str">
        <x:v>50 plans inspectables dans le Guide auteur ; géométrie partielle et campagne encore ouvertes.</x:v>
      </x:c>
      <x:c r="L46" t="n">
        <x:f>COUNTIF('Variantes à concevoir'!$B$6:$B$4005,A46)</x:f>
        <x:v>50</x:v>
      </x:c>
    </x:row>
    <x:row r="47" ht="96" customHeight="1">
      <x:c r="A47" s="115" t="str">
        <x:v>EXT-MONDE-T042</x:v>
      </x:c>
      <x:c r="B47" s="115" t="str">
        <x:v>HLM visitables</x:v>
      </x:c>
      <x:c r="C47" s="115" t="str">
        <x:v>Tour HLM</x:v>
      </x:c>
      <x:c r="D47" s="115" t="n">
        <x:v>50</x:v>
      </x:c>
      <x:c r="E47" s="115" t="str">
        <x:v>Inspection physique</x:v>
      </x:c>
      <x:c r="F47" s="115" t="str">
        <x:v>halls; logements; cuisines; salles d’eau; paliers; escaliers; caves; locaux communs</x:v>
      </x:c>
      <x:c r="G47" s="115" t="str">
        <x:v>rue; piétons; eau; électricité; assainissement</x:v>
      </x:c>
      <x:c r="H47" s="115" t="str">
        <x:v>Logements répétés réellement ; portes vers circulation ; cages continues ; locaux techniques dédiés.</x:v>
      </x:c>
      <x:c r="I47" s="115" t="str">
        <x:v>Emprise 77–81,05 × 84,8–88,46 m ; hauteur 21,35–33,55 m ; choix de composition auteur ; dimensions réelles à documenter.</x:v>
      </x:c>
      <x:c r="J47" s="115" t="str">
        <x:v>https://github.com/darknigthmare/deadwall-last-enclosure/blob/1b3b9c5ba232734b1bda3453b4e20a0481bcdd74/docs/codex/suivi-monde2026/HLM_ASSAINISSEMENT_2026.md</x:v>
      </x:c>
      <x:c r="K47" s="115" t="str">
        <x:v>50 plans inspectables dans le Guide auteur ; géométrie partielle et campagne encore ouvertes.</x:v>
      </x:c>
      <x:c r="L47" t="n">
        <x:f>COUNTIF('Variantes à concevoir'!$B$6:$B$4005,A47)</x:f>
        <x:v>50</x:v>
      </x:c>
    </x:row>
    <x:row r="48" ht="96" customHeight="1">
      <x:c r="A48" s="115" t="str">
        <x:v>EXT-MONDE-T043</x:v>
      </x:c>
      <x:c r="B48" s="115" t="str">
        <x:v>HLM visitables</x:v>
      </x:c>
      <x:c r="C48" s="115" t="str">
        <x:v>Résidence en cour</x:v>
      </x:c>
      <x:c r="D48" s="115" t="n">
        <x:v>50</x:v>
      </x:c>
      <x:c r="E48" s="115" t="str">
        <x:v>Inspection physique</x:v>
      </x:c>
      <x:c r="F48" s="115" t="str">
        <x:v>halls; logements; cuisines; salles d’eau; paliers; escaliers; caves; locaux communs</x:v>
      </x:c>
      <x:c r="G48" s="115" t="str">
        <x:v>rue; piétons; eau; électricité; assainissement</x:v>
      </x:c>
      <x:c r="H48" s="115" t="str">
        <x:v>Logements répétés réellement ; portes vers circulation ; cages continues ; locaux techniques dédiés.</x:v>
      </x:c>
      <x:c r="I48" s="115" t="str">
        <x:v>Emprise 133–140,65 × 84,8–148,92 m ; hauteur 12,35–15,55 m ; choix de composition auteur ; dimensions réelles à documenter.</x:v>
      </x:c>
      <x:c r="J48" s="115" t="str">
        <x:v>https://github.com/darknigthmare/deadwall-last-enclosure/blob/1b3b9c5ba232734b1bda3453b4e20a0481bcdd74/docs/codex/suivi-monde2026/HLM_ASSAINISSEMENT_2026.md</x:v>
      </x:c>
      <x:c r="K48" s="115" t="str">
        <x:v>50 plans inspectables dans le Guide auteur ; géométrie partielle et campagne encore ouvertes.</x:v>
      </x:c>
      <x:c r="L48" t="n">
        <x:f>COUNTIF('Variantes à concevoir'!$B$6:$B$4005,A48)</x:f>
        <x:v>50</x:v>
      </x:c>
    </x:row>
    <x:row r="49" ht="96" customHeight="1">
      <x:c r="A49" s="115" t="str">
        <x:v>EXT-MONDE-T044</x:v>
      </x:c>
      <x:c r="B49" s="115" t="str">
        <x:v>HLM visitables</x:v>
      </x:c>
      <x:c r="C49" s="115" t="str">
        <x:v>Ensemble HLM mixte</x:v>
      </x:c>
      <x:c r="D49" s="115" t="n">
        <x:v>50</x:v>
      </x:c>
      <x:c r="E49" s="115" t="str">
        <x:v>Inspection physique</x:v>
      </x:c>
      <x:c r="F49" s="115" t="str">
        <x:v>halls; logements; cuisines; salles d’eau; paliers; escaliers; caves; locaux communs</x:v>
      </x:c>
      <x:c r="G49" s="115" t="str">
        <x:v>rue; piétons; eau; électricité; assainissement</x:v>
      </x:c>
      <x:c r="H49" s="115" t="str">
        <x:v>Logements répétés réellement ; portes vers circulation ; cages continues ; locaux techniques dédiés.</x:v>
      </x:c>
      <x:c r="I49" s="115" t="str">
        <x:v>Emprise 135–137,25 × 145,6–153,82 m ; hauteur 18,35–24,55 m ; choix de composition auteur ; dimensions réelles à documenter.</x:v>
      </x:c>
      <x:c r="J49" s="115" t="str">
        <x:v>https://github.com/darknigthmare/deadwall-last-enclosure/blob/1b3b9c5ba232734b1bda3453b4e20a0481bcdd74/docs/codex/suivi-monde2026/HLM_ASSAINISSEMENT_2026.md</x:v>
      </x:c>
      <x:c r="K49" s="115" t="str">
        <x:v>50 plans inspectables dans le Guide auteur ; géométrie partielle et campagne encore ouvertes.</x:v>
      </x:c>
      <x:c r="L49" t="n">
        <x:f>COUNTIF('Variantes à concevoir'!$B$6:$B$4005,A49)</x:f>
        <x:v>50</x:v>
      </x:c>
    </x:row>
    <x:row r="50" ht="96" customHeight="1">
      <x:c r="A50" s="115" t="str">
        <x:v>EXT-MONDE-T045</x:v>
      </x:c>
      <x:c r="B50" s="115" t="str">
        <x:v>Trailer parks</x:v>
      </x:c>
      <x:c r="C50" s="115" t="str">
        <x:v>Parc résidentiel de mobil-homes</x:v>
      </x:c>
      <x:c r="D50" s="115" t="n">
        <x:v>50</x:v>
      </x:c>
      <x:c r="E50" s="115" t="str">
        <x:v>Inspection physique</x:v>
      </x:c>
      <x:c r="F50" s="115" t="str">
        <x:v>unités habitées; accueil; sanitaires; buanderie; service; voies internes</x:v>
      </x:c>
      <x:c r="G50" s="115" t="str">
        <x:v>route locale; boucle interne; eau; électricité</x:v>
      </x:c>
      <x:c r="H50" s="115" t="str">
        <x:v>Accès individuel des lots ; distances et dégagements vérifiés ; réseau interne raccordé à une entrée réelle.</x:v>
      </x:c>
      <x:c r="I50" s="115" t="str">
        <x:v>Emprise 84–184 × 118–154 m ; hauteur 3,2–3,2 m ; choix de composition auteur ; dimensions réelles à documenter.</x:v>
      </x:c>
      <x:c r="J50" s="115" t="str">
        <x:v>https://github.com/darknigthmare/deadwall-last-enclosure/blob/1b3b9c5ba232734b1bda3453b4e20a0481bcdd74/docs/codex/suivi-monde2026/RESIDENTIEL_2026.md</x:v>
      </x:c>
      <x:c r="K50" s="115" t="str">
        <x:v>50 plans inspectables dans le Guide auteur ; géométrie partielle et campagne encore ouvertes.</x:v>
      </x:c>
      <x:c r="L50" t="n">
        <x:f>COUNTIF('Variantes à concevoir'!$B$6:$B$4005,A50)</x:f>
        <x:v>50</x:v>
      </x:c>
    </x:row>
    <x:row r="51" ht="96" customHeight="1">
      <x:c r="A51" s="115" t="str">
        <x:v>EXT-MONDE-T046</x:v>
      </x:c>
      <x:c r="B51" s="115" t="str">
        <x:v>Trailer parks</x:v>
      </x:c>
      <x:c r="C51" s="115" t="str">
        <x:v>Camping caravanes</x:v>
      </x:c>
      <x:c r="D51" s="115" t="n">
        <x:v>50</x:v>
      </x:c>
      <x:c r="E51" s="115" t="str">
        <x:v>Inspection physique</x:v>
      </x:c>
      <x:c r="F51" s="115" t="str">
        <x:v>unités habitées; accueil; sanitaires; buanderie; service; voies internes</x:v>
      </x:c>
      <x:c r="G51" s="115" t="str">
        <x:v>route locale; boucle interne; eau; électricité</x:v>
      </x:c>
      <x:c r="H51" s="115" t="str">
        <x:v>Accès individuel des lots ; distances et dégagements vérifiés ; réseau interne raccordé à une entrée réelle.</x:v>
      </x:c>
      <x:c r="I51" s="115" t="str">
        <x:v>Emprise 84–184 × 118–154 m ; hauteur 3,2–3,2 m ; choix de composition auteur ; dimensions réelles à documenter.</x:v>
      </x:c>
      <x:c r="J51" s="115" t="str">
        <x:v>https://github.com/darknigthmare/deadwall-last-enclosure/blob/1b3b9c5ba232734b1bda3453b4e20a0481bcdd74/docs/codex/suivi-monde2026/RESIDENTIEL_2026.md</x:v>
      </x:c>
      <x:c r="K51" s="115" t="str">
        <x:v>50 plans inspectables dans le Guide auteur ; géométrie partielle et campagne encore ouvertes.</x:v>
      </x:c>
      <x:c r="L51" t="n">
        <x:f>COUNTIF('Variantes à concevoir'!$B$6:$B$4005,A51)</x:f>
        <x:v>50</x:v>
      </x:c>
    </x:row>
    <x:row r="52" ht="96" customHeight="1">
      <x:c r="A52" s="115" t="str">
        <x:v>EXT-MONDE-T047</x:v>
      </x:c>
      <x:c r="B52" s="115" t="str">
        <x:v>Trailer parks</x:v>
      </x:c>
      <x:c r="C52" s="115" t="str">
        <x:v>Camp de travailleurs</x:v>
      </x:c>
      <x:c r="D52" s="115" t="n">
        <x:v>50</x:v>
      </x:c>
      <x:c r="E52" s="115" t="str">
        <x:v>Inspection physique</x:v>
      </x:c>
      <x:c r="F52" s="115" t="str">
        <x:v>unités habitées; accueil; sanitaires; buanderie; service; voies internes</x:v>
      </x:c>
      <x:c r="G52" s="115" t="str">
        <x:v>route locale; boucle interne; eau; électricité</x:v>
      </x:c>
      <x:c r="H52" s="115" t="str">
        <x:v>Accès individuel des lots ; distances et dégagements vérifiés ; réseau interne raccordé à une entrée réelle.</x:v>
      </x:c>
      <x:c r="I52" s="115" t="str">
        <x:v>Emprise 84–184 × 118–154 m ; hauteur 3,4–3,4 m ; choix de composition auteur ; dimensions réelles à documenter.</x:v>
      </x:c>
      <x:c r="J52" s="115" t="str">
        <x:v>https://github.com/darknigthmare/deadwall-last-enclosure/blob/1b3b9c5ba232734b1bda3453b4e20a0481bcdd74/docs/codex/suivi-monde2026/RESIDENTIEL_2026.md</x:v>
      </x:c>
      <x:c r="K52" s="115" t="str">
        <x:v>50 plans inspectables dans le Guide auteur ; géométrie partielle et campagne encore ouvertes.</x:v>
      </x:c>
      <x:c r="L52" t="n">
        <x:f>COUNTIF('Variantes à concevoir'!$B$6:$B$4005,A52)</x:f>
        <x:v>50</x:v>
      </x:c>
    </x:row>
    <x:row r="53" ht="96" customHeight="1">
      <x:c r="A53" s="115" t="str">
        <x:v>EXT-MONDE-T048</x:v>
      </x:c>
      <x:c r="B53" s="115" t="str">
        <x:v>Trailer parks</x:v>
      </x:c>
      <x:c r="C53" s="115" t="str">
        <x:v>Parc de caravanes abandonné</x:v>
      </x:c>
      <x:c r="D53" s="115" t="n">
        <x:v>50</x:v>
      </x:c>
      <x:c r="E53" s="115" t="str">
        <x:v>Inspection physique</x:v>
      </x:c>
      <x:c r="F53" s="115" t="str">
        <x:v>unités habitées; accueil; sanitaires; buanderie; service; voies internes</x:v>
      </x:c>
      <x:c r="G53" s="115" t="str">
        <x:v>route locale; boucle interne; eau; électricité</x:v>
      </x:c>
      <x:c r="H53" s="115" t="str">
        <x:v>Accès individuel des lots ; distances et dégagements vérifiés ; réseau interne raccordé à une entrée réelle.</x:v>
      </x:c>
      <x:c r="I53" s="115" t="str">
        <x:v>Emprise 84–184 × 118–154 m ; hauteur 3,2–3,2 m ; choix de composition auteur ; dimensions réelles à documenter.</x:v>
      </x:c>
      <x:c r="J53" s="115" t="str">
        <x:v>https://github.com/darknigthmare/deadwall-last-enclosure/blob/1b3b9c5ba232734b1bda3453b4e20a0481bcdd74/docs/codex/suivi-monde2026/RESIDENTIEL_2026.md</x:v>
      </x:c>
      <x:c r="K53" s="115" t="str">
        <x:v>50 plans inspectables dans le Guide auteur ; géométrie partielle et campagne encore ouvertes.</x:v>
      </x:c>
      <x:c r="L53" t="n">
        <x:f>COUNTIF('Variantes à concevoir'!$B$6:$B$4005,A53)</x:f>
        <x:v>50</x:v>
      </x:c>
    </x:row>
    <x:row r="54" ht="96" customHeight="1">
      <x:c r="A54" s="115" t="str">
        <x:v>EXT-MONDE-T049</x:v>
      </x:c>
      <x:c r="B54" s="115" t="str">
        <x:v>Parcs attractions</x:v>
      </x:c>
      <x:c r="C54" s="115" t="str">
        <x:v>Parc familial</x:v>
      </x:c>
      <x:c r="D54" s="115" t="n">
        <x:v>50</x:v>
      </x:c>
      <x:c r="E54" s="115" t="str">
        <x:v>Inspection physique</x:v>
      </x:c>
      <x:c r="F54" s="115" t="str">
        <x:v>entrée; files; attractions; secours; restaurants; sanitaires; atelier; réserves</x:v>
      </x:c>
      <x:c r="G54" s="115" t="str">
        <x:v>route; piétons; service; eau; électricité</x:v>
      </x:c>
      <x:c r="H54" s="115" t="str">
        <x:v>Flux visiteurs/service séparés ; voies de retour ; attractions à l’échelle sans simple compression graphique.</x:v>
      </x:c>
      <x:c r="I54" s="115" t="str">
        <x:v>Emprise 362–410 × 458–490 m ; hauteur 18–18 m ; choix de composition auteur ; dimensions réelles à documenter.</x:v>
      </x:c>
      <x:c r="J54" s="115" t="str">
        <x:v>https://github.com/darknigthmare/deadwall-last-enclosure/blob/1b3b9c5ba232734b1bda3453b4e20a0481bcdd74/docs/codex/suivi-monde2026/PARCS_SPORTS_2026.md</x:v>
      </x:c>
      <x:c r="K54" s="115" t="str">
        <x:v>50 plans inspectables dans le Guide auteur ; géométrie partielle et campagne encore ouvertes.</x:v>
      </x:c>
      <x:c r="L54" t="n">
        <x:f>COUNTIF('Variantes à concevoir'!$B$6:$B$4005,A54)</x:f>
        <x:v>50</x:v>
      </x:c>
    </x:row>
    <x:row r="55" ht="96" customHeight="1">
      <x:c r="A55" s="115" t="str">
        <x:v>EXT-MONDE-T050</x:v>
      </x:c>
      <x:c r="B55" s="115" t="str">
        <x:v>Parcs attractions</x:v>
      </x:c>
      <x:c r="C55" s="115" t="str">
        <x:v>Parc à sensations</x:v>
      </x:c>
      <x:c r="D55" s="115" t="n">
        <x:v>50</x:v>
      </x:c>
      <x:c r="E55" s="115" t="str">
        <x:v>Inspection physique</x:v>
      </x:c>
      <x:c r="F55" s="115" t="str">
        <x:v>entrée; files; attractions; secours; restaurants; sanitaires; atelier; réserves</x:v>
      </x:c>
      <x:c r="G55" s="115" t="str">
        <x:v>route; piétons; service; eau; électricité</x:v>
      </x:c>
      <x:c r="H55" s="115" t="str">
        <x:v>Flux visiteurs/service séparés ; voies de retour ; attractions à l’échelle sans simple compression graphique.</x:v>
      </x:c>
      <x:c r="I55" s="115" t="str">
        <x:v>Emprise 488–536 × 614–646 m ; hauteur 58–58 m ; choix de composition auteur ; dimensions réelles à documenter.</x:v>
      </x:c>
      <x:c r="J55" s="115" t="str">
        <x:v>https://github.com/darknigthmare/deadwall-last-enclosure/blob/1b3b9c5ba232734b1bda3453b4e20a0481bcdd74/docs/codex/suivi-monde2026/PARCS_SPORTS_2026.md</x:v>
      </x:c>
      <x:c r="K55" s="115" t="str">
        <x:v>50 plans inspectables dans le Guide auteur ; géométrie partielle et campagne encore ouvertes.</x:v>
      </x:c>
      <x:c r="L55" t="n">
        <x:f>COUNTIF('Variantes à concevoir'!$B$6:$B$4005,A55)</x:f>
        <x:v>50</x:v>
      </x:c>
    </x:row>
    <x:row r="56" ht="96" customHeight="1">
      <x:c r="A56" s="115" t="str">
        <x:v>EXT-MONDE-T051</x:v>
      </x:c>
      <x:c r="B56" s="115" t="str">
        <x:v>Parcs attractions</x:v>
      </x:c>
      <x:c r="C56" s="115" t="str">
        <x:v>Parc aquatique</x:v>
      </x:c>
      <x:c r="D56" s="115" t="n">
        <x:v>50</x:v>
      </x:c>
      <x:c r="E56" s="115" t="str">
        <x:v>Inspection physique</x:v>
      </x:c>
      <x:c r="F56" s="115" t="str">
        <x:v>entrée; files; attractions; secours; restaurants; sanitaires; atelier; réserves</x:v>
      </x:c>
      <x:c r="G56" s="115" t="str">
        <x:v>route; piétons; service; eau; électricité</x:v>
      </x:c>
      <x:c r="H56" s="115" t="str">
        <x:v>Flux visiteurs/service séparés ; voies de retour ; attractions à l’échelle sans simple compression graphique.</x:v>
      </x:c>
      <x:c r="I56" s="115" t="str">
        <x:v>Emprise 362–410 × 446–478 m ; hauteur 18–18 m ; choix de composition auteur ; dimensions réelles à documenter.</x:v>
      </x:c>
      <x:c r="J56" s="115" t="str">
        <x:v>https://github.com/darknigthmare/deadwall-last-enclosure/blob/1b3b9c5ba232734b1bda3453b4e20a0481bcdd74/docs/codex/suivi-monde2026/PARCS_SPORTS_2026.md</x:v>
      </x:c>
      <x:c r="K56" s="115" t="str">
        <x:v>50 plans inspectables dans le Guide auteur ; géométrie partielle et campagne encore ouvertes.</x:v>
      </x:c>
      <x:c r="L56" t="n">
        <x:f>COUNTIF('Variantes à concevoir'!$B$6:$B$4005,A56)</x:f>
        <x:v>50</x:v>
      </x:c>
    </x:row>
    <x:row r="57" ht="96" customHeight="1">
      <x:c r="A57" s="115" t="str">
        <x:v>EXT-MONDE-T052</x:v>
      </x:c>
      <x:c r="B57" s="115" t="str">
        <x:v>Parcs attractions</x:v>
      </x:c>
      <x:c r="C57" s="115" t="str">
        <x:v>Parc thématique abandonné</x:v>
      </x:c>
      <x:c r="D57" s="115" t="n">
        <x:v>50</x:v>
      </x:c>
      <x:c r="E57" s="115" t="str">
        <x:v>Inspection physique</x:v>
      </x:c>
      <x:c r="F57" s="115" t="str">
        <x:v>entrée; files; attractions; secours; restaurants; sanitaires; atelier; réserves</x:v>
      </x:c>
      <x:c r="G57" s="115" t="str">
        <x:v>route; piétons; service; eau; électricité</x:v>
      </x:c>
      <x:c r="H57" s="115" t="str">
        <x:v>Flux visiteurs/service séparés ; voies de retour ; attractions à l’échelle sans simple compression graphique.</x:v>
      </x:c>
      <x:c r="I57" s="115" t="str">
        <x:v>Emprise 362–410 × 502–534 m ; hauteur 24–24 m ; choix de composition auteur ; dimensions réelles à documenter.</x:v>
      </x:c>
      <x:c r="J57" s="115" t="str">
        <x:v>https://github.com/darknigthmare/deadwall-last-enclosure/blob/1b3b9c5ba232734b1bda3453b4e20a0481bcdd74/docs/codex/suivi-monde2026/PARCS_SPORTS_2026.md</x:v>
      </x:c>
      <x:c r="K57" s="115" t="str">
        <x:v>50 plans inspectables dans le Guide auteur ; géométrie partielle et campagne encore ouvertes.</x:v>
      </x:c>
      <x:c r="L57" t="n">
        <x:f>COUNTIF('Variantes à concevoir'!$B$6:$B$4005,A57)</x:f>
        <x:v>50</x:v>
      </x:c>
    </x:row>
    <x:row r="58" ht="96" customHeight="1">
      <x:c r="A58" s="115" t="str">
        <x:v>EXT-MONDE-T053</x:v>
      </x:c>
      <x:c r="B58" s="115" t="str">
        <x:v>Usines</x:v>
      </x:c>
      <x:c r="C58" s="115" t="str">
        <x:v>Usine agroalimentaire</x:v>
      </x:c>
      <x:c r="D58" s="115" t="n">
        <x:v>50</x:v>
      </x:c>
      <x:c r="E58" s="115" t="str">
        <x:v>Inspection physique</x:v>
      </x:c>
      <x:c r="F58" s="115" t="str">
        <x:v>réception; production; atelier; entrepôts; bureaux; vestiaires; chargement</x:v>
      </x:c>
      <x:c r="G58" s="115" t="str">
        <x:v>route de fret; rail si raccordé; énergie; eau</x:v>
      </x:c>
      <x:c r="H58" s="115" t="str">
        <x:v>Processus logique entrée-sortie ; machines et maintenance dégagées ; aucune production gratuite.</x:v>
      </x:c>
      <x:c r="I58" s="115" t="str">
        <x:v>Emprise 350–422 × 320–416 m ; hauteur 6,2–7,2 m ; choix de composition auteur ; dimensions réelles à documenter.</x:v>
      </x:c>
      <x:c r="J58" s="115" t="str">
        <x:v>https://github.com/darknigthmare/deadwall-last-enclosure/blob/1b3b9c5ba232734b1bda3453b4e20a0481bcdd74/docs/codex/suivi-monde2026/INDUSTRIE_2026.md</x:v>
      </x:c>
      <x:c r="K58" s="115" t="str">
        <x:v>50 plans inspectables dans le Guide auteur ; géométrie partielle et campagne encore ouvertes.</x:v>
      </x:c>
      <x:c r="L58" t="n">
        <x:f>COUNTIF('Variantes à concevoir'!$B$6:$B$4005,A58)</x:f>
        <x:v>50</x:v>
      </x:c>
    </x:row>
    <x:row r="59" ht="96" customHeight="1">
      <x:c r="A59" s="115" t="str">
        <x:v>EXT-MONDE-T054</x:v>
      </x:c>
      <x:c r="B59" s="115" t="str">
        <x:v>Usines</x:v>
      </x:c>
      <x:c r="C59" s="115" t="str">
        <x:v>Usine de mécanique</x:v>
      </x:c>
      <x:c r="D59" s="115" t="n">
        <x:v>50</x:v>
      </x:c>
      <x:c r="E59" s="115" t="str">
        <x:v>Inspection physique</x:v>
      </x:c>
      <x:c r="F59" s="115" t="str">
        <x:v>réception; production; atelier; entrepôts; bureaux; vestiaires; chargement</x:v>
      </x:c>
      <x:c r="G59" s="115" t="str">
        <x:v>route de fret; rail si raccordé; énergie; eau</x:v>
      </x:c>
      <x:c r="H59" s="115" t="str">
        <x:v>Processus logique entrée-sortie ; machines et maintenance dégagées ; aucune production gratuite.</x:v>
      </x:c>
      <x:c r="I59" s="115" t="str">
        <x:v>Emprise 350–422 × 320–416 m ; hauteur 7,2–8,2 m ; choix de composition auteur ; dimensions réelles à documenter.</x:v>
      </x:c>
      <x:c r="J59" s="115" t="str">
        <x:v>https://github.com/darknigthmare/deadwall-last-enclosure/blob/1b3b9c5ba232734b1bda3453b4e20a0481bcdd74/docs/codex/suivi-monde2026/INDUSTRIE_2026.md</x:v>
      </x:c>
      <x:c r="K59" s="115" t="str">
        <x:v>50 plans inspectables dans le Guide auteur ; géométrie partielle et campagne encore ouvertes.</x:v>
      </x:c>
      <x:c r="L59" t="n">
        <x:f>COUNTIF('Variantes à concevoir'!$B$6:$B$4005,A59)</x:f>
        <x:v>50</x:v>
      </x:c>
    </x:row>
    <x:row r="60" ht="96" customHeight="1">
      <x:c r="A60" s="115" t="str">
        <x:v>EXT-MONDE-T055</x:v>
      </x:c>
      <x:c r="B60" s="115" t="str">
        <x:v>Usines</x:v>
      </x:c>
      <x:c r="C60" s="115" t="str">
        <x:v>Usine textile</x:v>
      </x:c>
      <x:c r="D60" s="115" t="n">
        <x:v>50</x:v>
      </x:c>
      <x:c r="E60" s="115" t="str">
        <x:v>Inspection physique</x:v>
      </x:c>
      <x:c r="F60" s="115" t="str">
        <x:v>réception; production; atelier; entrepôts; bureaux; vestiaires; chargement</x:v>
      </x:c>
      <x:c r="G60" s="115" t="str">
        <x:v>route de fret; rail si raccordé; énergie; eau</x:v>
      </x:c>
      <x:c r="H60" s="115" t="str">
        <x:v>Processus logique entrée-sortie ; machines et maintenance dégagées ; aucune production gratuite.</x:v>
      </x:c>
      <x:c r="I60" s="115" t="str">
        <x:v>Emprise 350–422 × 320–416 m ; hauteur 5,8–6,8 m ; choix de composition auteur ; dimensions réelles à documenter.</x:v>
      </x:c>
      <x:c r="J60" s="115" t="str">
        <x:v>https://github.com/darknigthmare/deadwall-last-enclosure/blob/1b3b9c5ba232734b1bda3453b4e20a0481bcdd74/docs/codex/suivi-monde2026/INDUSTRIE_2026.md</x:v>
      </x:c>
      <x:c r="K60" s="115" t="str">
        <x:v>50 plans inspectables dans le Guide auteur ; géométrie partielle et campagne encore ouvertes.</x:v>
      </x:c>
      <x:c r="L60" t="n">
        <x:f>COUNTIF('Variantes à concevoir'!$B$6:$B$4005,A60)</x:f>
        <x:v>50</x:v>
      </x:c>
    </x:row>
    <x:row r="61" ht="96" customHeight="1">
      <x:c r="A61" s="115" t="str">
        <x:v>EXT-MONDE-T056</x:v>
      </x:c>
      <x:c r="B61" s="115" t="str">
        <x:v>Usines</x:v>
      </x:c>
      <x:c r="C61" s="115" t="str">
        <x:v>Usine de matériaux</x:v>
      </x:c>
      <x:c r="D61" s="115" t="n">
        <x:v>50</x:v>
      </x:c>
      <x:c r="E61" s="115" t="str">
        <x:v>Inspection physique</x:v>
      </x:c>
      <x:c r="F61" s="115" t="str">
        <x:v>réception; production; atelier; entrepôts; bureaux; vestiaires; chargement</x:v>
      </x:c>
      <x:c r="G61" s="115" t="str">
        <x:v>route de fret; rail si raccordé; énergie; eau</x:v>
      </x:c>
      <x:c r="H61" s="115" t="str">
        <x:v>Processus logique entrée-sortie ; machines et maintenance dégagées ; aucune production gratuite.</x:v>
      </x:c>
      <x:c r="I61" s="115" t="str">
        <x:v>Emprise 350–422 × 320–416 m ; hauteur 10,6–10,6 m ; choix de composition auteur ; dimensions réelles à documenter.</x:v>
      </x:c>
      <x:c r="J61" s="115" t="str">
        <x:v>https://github.com/darknigthmare/deadwall-last-enclosure/blob/1b3b9c5ba232734b1bda3453b4e20a0481bcdd74/docs/codex/suivi-monde2026/INDUSTRIE_2026.md</x:v>
      </x:c>
      <x:c r="K61" s="115" t="str">
        <x:v>50 plans inspectables dans le Guide auteur ; géométrie partielle et campagne encore ouvertes.</x:v>
      </x:c>
      <x:c r="L61" t="n">
        <x:f>COUNTIF('Variantes à concevoir'!$B$6:$B$4005,A61)</x:f>
        <x:v>50</x:v>
      </x:c>
    </x:row>
    <x:row r="62" ht="96" customHeight="1">
      <x:c r="A62" s="115" t="str">
        <x:v>EXT-MONDE-T057</x:v>
      </x:c>
      <x:c r="B62" s="115" t="str">
        <x:v>Énergie</x:v>
      </x:c>
      <x:c r="C62" s="115" t="str">
        <x:v>Centrale thermique</x:v>
      </x:c>
      <x:c r="D62" s="115" t="n">
        <x:v>50</x:v>
      </x:c>
      <x:c r="E62" s="115" t="str">
        <x:v>Inspection physique</x:v>
      </x:c>
      <x:c r="F62" s="115" t="str">
        <x:v>commande; conversion; distribution; maintenance; stockage; voies de service</x:v>
      </x:c>
      <x:c r="G62" s="115" t="str">
        <x:v>électricité; route de service; eau selon type</x:v>
      </x:c>
      <x:c r="H62" s="115" t="str">
        <x:v>Chaîne production-distribution-consommateurs ; coupure sauvegardée ; pas de courant créé par un sprite.</x:v>
      </x:c>
      <x:c r="I62" s="115" t="str">
        <x:v>Emprise 430–502 × 440–520 m ; hauteur 24–24 m ; choix de composition auteur ; dimensions réelles à documenter.</x:v>
      </x:c>
      <x:c r="J62" s="115" t="str">
        <x:v>https://github.com/darknigthmare/deadwall-last-enclosure/blob/1b3b9c5ba232734b1bda3453b4e20a0481bcdd74/docs/codex/suivi-monde2026/EAU_ENERGIE_2026.md</x:v>
      </x:c>
      <x:c r="K62" s="115" t="str">
        <x:v>50 plans inspectables dans le Guide auteur ; géométrie partielle et campagne encore ouvertes.</x:v>
      </x:c>
      <x:c r="L62" t="n">
        <x:f>COUNTIF('Variantes à concevoir'!$B$6:$B$4005,A62)</x:f>
        <x:v>50</x:v>
      </x:c>
    </x:row>
    <x:row r="63" ht="96" customHeight="1">
      <x:c r="A63" s="115" t="str">
        <x:v>EXT-MONDE-T058</x:v>
      </x:c>
      <x:c r="B63" s="115" t="str">
        <x:v>Énergie</x:v>
      </x:c>
      <x:c r="C63" s="115" t="str">
        <x:v>Centrale hydroélectrique</x:v>
      </x:c>
      <x:c r="D63" s="115" t="n">
        <x:v>50</x:v>
      </x:c>
      <x:c r="E63" s="115" t="str">
        <x:v>Inspection physique</x:v>
      </x:c>
      <x:c r="F63" s="115" t="str">
        <x:v>commande; conversion; distribution; maintenance; stockage; voies de service</x:v>
      </x:c>
      <x:c r="G63" s="115" t="str">
        <x:v>électricité; route de service; eau selon type</x:v>
      </x:c>
      <x:c r="H63" s="115" t="str">
        <x:v>Chaîne production-distribution-consommateurs ; coupure sauvegardée ; pas de courant créé par un sprite.</x:v>
      </x:c>
      <x:c r="I63" s="115" t="str">
        <x:v>Emprise 430–502 × 440–520 m ; hauteur 9–9,8 m ; choix de composition auteur ; dimensions réelles à documenter.</x:v>
      </x:c>
      <x:c r="J63" s="115" t="str">
        <x:v>https://github.com/darknigthmare/deadwall-last-enclosure/blob/1b3b9c5ba232734b1bda3453b4e20a0481bcdd74/docs/codex/suivi-monde2026/EAU_ENERGIE_2026.md</x:v>
      </x:c>
      <x:c r="K63" s="115" t="str">
        <x:v>50 plans inspectables dans le Guide auteur ; géométrie partielle et campagne encore ouvertes.</x:v>
      </x:c>
      <x:c r="L63" t="n">
        <x:f>COUNTIF('Variantes à concevoir'!$B$6:$B$4005,A63)</x:f>
        <x:v>50</x:v>
      </x:c>
    </x:row>
    <x:row r="64" ht="96" customHeight="1">
      <x:c r="A64" s="115" t="str">
        <x:v>EXT-MONDE-T059</x:v>
      </x:c>
      <x:c r="B64" s="115" t="str">
        <x:v>Énergie</x:v>
      </x:c>
      <x:c r="C64" s="115" t="str">
        <x:v>Poste électrique régional</x:v>
      </x:c>
      <x:c r="D64" s="115" t="n">
        <x:v>50</x:v>
      </x:c>
      <x:c r="E64" s="115" t="str">
        <x:v>Inspection physique</x:v>
      </x:c>
      <x:c r="F64" s="115" t="str">
        <x:v>commande; conversion; distribution; maintenance; stockage; voies de service</x:v>
      </x:c>
      <x:c r="G64" s="115" t="str">
        <x:v>électricité; route de service; eau selon type</x:v>
      </x:c>
      <x:c r="H64" s="115" t="str">
        <x:v>Chaîne production-distribution-consommateurs ; coupure sauvegardée ; pas de courant créé par un sprite.</x:v>
      </x:c>
      <x:c r="I64" s="115" t="str">
        <x:v>Emprise 430–502 × 440–520 m ; hauteur 6–6 m ; choix de composition auteur ; dimensions réelles à documenter.</x:v>
      </x:c>
      <x:c r="J64" s="115" t="str">
        <x:v>https://github.com/darknigthmare/deadwall-last-enclosure/blob/1b3b9c5ba232734b1bda3453b4e20a0481bcdd74/docs/codex/suivi-monde2026/EAU_ENERGIE_2026.md</x:v>
      </x:c>
      <x:c r="K64" s="115" t="str">
        <x:v>50 plans inspectables dans le Guide auteur ; géométrie partielle et campagne encore ouvertes.</x:v>
      </x:c>
      <x:c r="L64" t="n">
        <x:f>COUNTIF('Variantes à concevoir'!$B$6:$B$4005,A64)</x:f>
        <x:v>50</x:v>
      </x:c>
    </x:row>
    <x:row r="65" ht="65" customHeight="1">
      <x:c r="A65" t="str">
        <x:v>EXT-MONDE-T060</x:v>
      </x:c>
      <x:c r="B65" t="str">
        <x:v>Énergie</x:v>
      </x:c>
      <x:c r="C65" t="str">
        <x:v>Champ d’éoliennes</x:v>
      </x:c>
      <x:c r="D65" t="n">
        <x:v>50</x:v>
      </x:c>
      <x:c r="E65" t="str">
        <x:v>Inspection physique</x:v>
      </x:c>
      <x:c r="F65" t="str">
        <x:v>commande; conversion; distribution; maintenance; stockage; voies de service</x:v>
      </x:c>
      <x:c r="G65" t="str">
        <x:v>électricité; route de service; eau selon type</x:v>
      </x:c>
      <x:c r="H65" t="str">
        <x:v>Chaîne production-distribution-consommateurs ; coupure sauvegardée ; pas de courant créé par un sprite.</x:v>
      </x:c>
      <x:c r="I65" t="str">
        <x:v>Emprise 280–1780 × 1280–4430 m ; hauteur 180–241 m ; emprise auteur, non relevé complet d’un lieu réel.</x:v>
      </x:c>
      <x:c r="J65" t="str">
        <x:v>https://github.com/darknigthmare/deadwall-last-enclosure/blob/1b3b9c5ba232734b1bda3453b4e20a0481bcdd74/docs/codex/suivi-monde2026/references-metriques2026.json</x:v>
      </x:c>
      <x:c r="K65" t="str">
        <x:v>50 plans inspectables dans le Guide auteur ; géométrie partielle et campagne encore ouvertes.</x:v>
      </x:c>
      <x:c r="L65" t="n">
        <x:f>COUNTIF('Variantes à concevoir'!$B$6:$B$4005,A65)</x:f>
        <x:v>50</x:v>
      </x:c>
    </x:row>
    <x:row r="66" ht="96" customHeight="1">
      <x:c r="A66" s="115" t="str">
        <x:v>EXT-MONDE-T061</x:v>
      </x:c>
      <x:c r="B66" s="115" t="str">
        <x:v>Épuration</x:v>
      </x:c>
      <x:c r="C66" s="115" t="str">
        <x:v>Station d’épuration urbaine</x:v>
      </x:c>
      <x:c r="D66" s="115" t="n">
        <x:v>50</x:v>
      </x:c>
      <x:c r="E66" s="115" t="str">
        <x:v>Inspection physique</x:v>
      </x:c>
      <x:c r="F66" s="115" t="str">
        <x:v>arrivée; traitement; bassins; pompage; contrôle; laboratoire; atelier</x:v>
      </x:c>
      <x:c r="G66" s="115" t="str">
        <x:v>eau; assainissement; électricité; route de service</x:v>
      </x:c>
      <x:c r="H66" s="115" t="str">
        <x:v>Eau potable et eaux usées séparées ; entrée et exutoire cohérents ; bassins non traversables.</x:v>
      </x:c>
      <x:c r="I66" s="115" t="str">
        <x:v>Emprise 430–502 × 440–520 m ; hauteur 12–12 m ; choix de composition auteur ; dimensions réelles à documenter.</x:v>
      </x:c>
      <x:c r="J66" s="115" t="str">
        <x:v>https://github.com/darknigthmare/deadwall-last-enclosure/blob/1b3b9c5ba232734b1bda3453b4e20a0481bcdd74/docs/codex/suivi-monde2026/EAU_ENERGIE_2026.md</x:v>
      </x:c>
      <x:c r="K66" s="115" t="str">
        <x:v>50 plans inspectables dans le Guide auteur ; géométrie partielle et campagne encore ouvertes.</x:v>
      </x:c>
      <x:c r="L66" t="n">
        <x:f>COUNTIF('Variantes à concevoir'!$B$6:$B$4005,A66)</x:f>
        <x:v>50</x:v>
      </x:c>
    </x:row>
    <x:row r="67" ht="96" customHeight="1">
      <x:c r="A67" s="115" t="str">
        <x:v>EXT-MONDE-T062</x:v>
      </x:c>
      <x:c r="B67" s="115" t="str">
        <x:v>Épuration</x:v>
      </x:c>
      <x:c r="C67" s="115" t="str">
        <x:v>Station de lagunage</x:v>
      </x:c>
      <x:c r="D67" s="115" t="n">
        <x:v>50</x:v>
      </x:c>
      <x:c r="E67" s="115" t="str">
        <x:v>Inspection physique</x:v>
      </x:c>
      <x:c r="F67" s="115" t="str">
        <x:v>arrivée; traitement; bassins; pompage; contrôle; laboratoire; atelier</x:v>
      </x:c>
      <x:c r="G67" s="115" t="str">
        <x:v>eau; assainissement; électricité; route de service</x:v>
      </x:c>
      <x:c r="H67" s="115" t="str">
        <x:v>Eau potable et eaux usées séparées ; entrée et exutoire cohérents ; bassins non traversables.</x:v>
      </x:c>
      <x:c r="I67" s="115" t="str">
        <x:v>Emprise 430–502 × 440–520 m ; hauteur 5–5,8 m ; choix de composition auteur ; dimensions réelles à documenter.</x:v>
      </x:c>
      <x:c r="J67" s="115" t="str">
        <x:v>https://github.com/darknigthmare/deadwall-last-enclosure/blob/1b3b9c5ba232734b1bda3453b4e20a0481bcdd74/docs/codex/suivi-monde2026/EAU_ENERGIE_2026.md</x:v>
      </x:c>
      <x:c r="K67" s="115" t="str">
        <x:v>50 plans inspectables dans le Guide auteur ; géométrie partielle et campagne encore ouvertes.</x:v>
      </x:c>
      <x:c r="L67" t="n">
        <x:f>COUNTIF('Variantes à concevoir'!$B$6:$B$4005,A67)</x:f>
        <x:v>50</x:v>
      </x:c>
    </x:row>
    <x:row r="68" ht="96" customHeight="1">
      <x:c r="A68" s="115" t="str">
        <x:v>EXT-MONDE-T063</x:v>
      </x:c>
      <x:c r="B68" s="115" t="str">
        <x:v>Épuration</x:v>
      </x:c>
      <x:c r="C68" s="115" t="str">
        <x:v>Traitement des eaux industrielles</x:v>
      </x:c>
      <x:c r="D68" s="115" t="n">
        <x:v>50</x:v>
      </x:c>
      <x:c r="E68" s="115" t="str">
        <x:v>Inspection physique</x:v>
      </x:c>
      <x:c r="F68" s="115" t="str">
        <x:v>arrivée; traitement; bassins; pompage; contrôle; laboratoire; atelier</x:v>
      </x:c>
      <x:c r="G68" s="115" t="str">
        <x:v>eau; assainissement; électricité; route de service</x:v>
      </x:c>
      <x:c r="H68" s="115" t="str">
        <x:v>Eau potable et eaux usées séparées ; entrée et exutoire cohérents ; bassins non traversables.</x:v>
      </x:c>
      <x:c r="I68" s="115" t="str">
        <x:v>Emprise 430–502 × 440–520 m ; hauteur 5,5–6,3 m ; choix de composition auteur ; dimensions réelles à documenter.</x:v>
      </x:c>
      <x:c r="J68" s="115" t="str">
        <x:v>https://github.com/darknigthmare/deadwall-last-enclosure/blob/1b3b9c5ba232734b1bda3453b4e20a0481bcdd74/docs/codex/suivi-monde2026/EAU_ENERGIE_2026.md</x:v>
      </x:c>
      <x:c r="K68" s="115" t="str">
        <x:v>50 plans inspectables dans le Guide auteur ; géométrie partielle et campagne encore ouvertes.</x:v>
      </x:c>
      <x:c r="L68" t="n">
        <x:f>COUNTIF('Variantes à concevoir'!$B$6:$B$4005,A68)</x:f>
        <x:v>50</x:v>
      </x:c>
    </x:row>
    <x:row r="69" ht="96" customHeight="1">
      <x:c r="A69" s="115" t="str">
        <x:v>EXT-MONDE-T064</x:v>
      </x:c>
      <x:c r="B69" s="115" t="str">
        <x:v>Épuration</x:v>
      </x:c>
      <x:c r="C69" s="115" t="str">
        <x:v>Usine de potabilisation</x:v>
      </x:c>
      <x:c r="D69" s="115" t="n">
        <x:v>50</x:v>
      </x:c>
      <x:c r="E69" s="115" t="str">
        <x:v>Inspection physique</x:v>
      </x:c>
      <x:c r="F69" s="115" t="str">
        <x:v>arrivée; traitement; bassins; pompage; contrôle; laboratoire; atelier</x:v>
      </x:c>
      <x:c r="G69" s="115" t="str">
        <x:v>eau; assainissement; électricité; route de service</x:v>
      </x:c>
      <x:c r="H69" s="115" t="str">
        <x:v>Eau potable et eaux usées séparées ; entrée et exutoire cohérents ; bassins non traversables.</x:v>
      </x:c>
      <x:c r="I69" s="115" t="str">
        <x:v>Emprise 430–502 × 440–520 m ; hauteur 6–6,3 m ; choix de composition auteur ; dimensions réelles à documenter.</x:v>
      </x:c>
      <x:c r="J69" s="115" t="str">
        <x:v>https://github.com/darknigthmare/deadwall-last-enclosure/blob/1b3b9c5ba232734b1bda3453b4e20a0481bcdd74/docs/codex/suivi-monde2026/EAU_ENERGIE_2026.md</x:v>
      </x:c>
      <x:c r="K69" s="115" t="str">
        <x:v>50 plans inspectables dans le Guide auteur ; géométrie partielle et campagne encore ouvertes.</x:v>
      </x:c>
      <x:c r="L69" t="n">
        <x:f>COUNTIF('Variantes à concevoir'!$B$6:$B$4005,A69)</x:f>
        <x:v>50</x:v>
      </x:c>
    </x:row>
    <x:row r="70" ht="65" customHeight="1">
      <x:c r="A70" t="str">
        <x:v>EXT-MONDE-T065</x:v>
      </x:c>
      <x:c r="B70" t="str">
        <x:v>Stades</x:v>
      </x:c>
      <x:c r="C70" t="str">
        <x:v>Stade municipal</x:v>
      </x:c>
      <x:c r="D70" t="n">
        <x:v>50</x:v>
      </x:c>
      <x:c r="E70" t="str">
        <x:v>Inspection physique</x:v>
      </x:c>
      <x:c r="F70" t="str">
        <x:v>terrain; pistes ou gradins; vestiaires; secours; sanitaires; restauration; réserves</x:v>
      </x:c>
      <x:c r="G70" t="str">
        <x:v>routes; piétons; électricité; eau</x:v>
      </x:c>
      <x:c r="H70" t="str">
        <x:v>Anneaux de circulation et sorties ; gradins par niveau ; accès terrain distincts des locaux.</x:v>
      </x:c>
      <x:c r="I70" t="str">
        <x:v>Emprise 162–230 × 201–269 m ; hauteur 7–15 m ; emprise auteur, non relevé complet d’un lieu réel.</x:v>
      </x:c>
      <x:c r="J70" t="str">
        <x:v>https://github.com/darknigthmare/deadwall-last-enclosure/blob/1b3b9c5ba232734b1bda3453b4e20a0481bcdd74/docs/codex/suivi-monde2026/references-metriques2026.json</x:v>
      </x:c>
      <x:c r="K70" t="str">
        <x:v>50 plans inspectables dans le Guide auteur ; géométrie partielle et campagne encore ouvertes.</x:v>
      </x:c>
      <x:c r="L70" t="n">
        <x:f>COUNTIF('Variantes à concevoir'!$B$6:$B$4005,A70)</x:f>
        <x:v>50</x:v>
      </x:c>
    </x:row>
    <x:row r="71" ht="65" customHeight="1">
      <x:c r="A71" t="str">
        <x:v>EXT-MONDE-T066</x:v>
      </x:c>
      <x:c r="B71" t="str">
        <x:v>Stades</x:v>
      </x:c>
      <x:c r="C71" t="str">
        <x:v>Grand stade couvert</x:v>
      </x:c>
      <x:c r="D71" t="n">
        <x:v>50</x:v>
      </x:c>
      <x:c r="E71" t="str">
        <x:v>Inspection physique</x:v>
      </x:c>
      <x:c r="F71" t="str">
        <x:v>terrain; pistes ou gradins; vestiaires; secours; sanitaires; restauration; réserves</x:v>
      </x:c>
      <x:c r="G71" t="str">
        <x:v>routes; piétons; électricité; eau</x:v>
      </x:c>
      <x:c r="H71" t="str">
        <x:v>Anneaux de circulation et sorties ; gradins par niveau ; accès terrain distincts des locaux.</x:v>
      </x:c>
      <x:c r="I71" t="str">
        <x:v>Emprise 180–280 × 219–319 m ; hauteur 36–52 m ; emprise auteur, non relevé complet d’un lieu réel.</x:v>
      </x:c>
      <x:c r="J71" t="str">
        <x:v>https://github.com/darknigthmare/deadwall-last-enclosure/blob/1b3b9c5ba232734b1bda3453b4e20a0481bcdd74/docs/codex/suivi-monde2026/references-metriques2026.json</x:v>
      </x:c>
      <x:c r="K71" t="str">
        <x:v>50 plans inspectables dans le Guide auteur ; géométrie partielle et campagne encore ouvertes.</x:v>
      </x:c>
      <x:c r="L71" t="n">
        <x:f>COUNTIF('Variantes à concevoir'!$B$6:$B$4005,A71)</x:f>
        <x:v>50</x:v>
      </x:c>
    </x:row>
    <x:row r="72" ht="96" customHeight="1">
      <x:c r="A72" s="115" t="str">
        <x:v>EXT-MONDE-T067</x:v>
      </x:c>
      <x:c r="B72" s="115" t="str">
        <x:v>Stades</x:v>
      </x:c>
      <x:c r="C72" s="115" t="str">
        <x:v>Vélodrome</x:v>
      </x:c>
      <x:c r="D72" s="115" t="n">
        <x:v>50</x:v>
      </x:c>
      <x:c r="E72" s="115" t="str">
        <x:v>Inspection physique</x:v>
      </x:c>
      <x:c r="F72" s="115" t="str">
        <x:v>terrain; pistes ou gradins; vestiaires; secours; sanitaires; restauration; réserves</x:v>
      </x:c>
      <x:c r="G72" s="115" t="str">
        <x:v>routes; piétons; électricité; eau</x:v>
      </x:c>
      <x:c r="H72" s="115" t="str">
        <x:v>Anneaux de circulation et sorties ; gradins par niveau ; accès terrain distincts des locaux.</x:v>
      </x:c>
      <x:c r="I72" s="115" t="str">
        <x:v>Emprise 434–482 × 590–622 m ; hauteur 16–16 m ; choix de composition auteur ; dimensions réelles à documenter.</x:v>
      </x:c>
      <x:c r="J72" s="115" t="str">
        <x:v>https://github.com/darknigthmare/deadwall-last-enclosure/blob/1b3b9c5ba232734b1bda3453b4e20a0481bcdd74/docs/codex/suivi-monde2026/PARCS_SPORTS_2026.md</x:v>
      </x:c>
      <x:c r="K72" s="115" t="str">
        <x:v>50 plans inspectables dans le Guide auteur ; géométrie partielle et campagne encore ouvertes.</x:v>
      </x:c>
      <x:c r="L72" t="n">
        <x:f>COUNTIF('Variantes à concevoir'!$B$6:$B$4005,A72)</x:f>
        <x:v>50</x:v>
      </x:c>
    </x:row>
    <x:row r="73" ht="96" customHeight="1">
      <x:c r="A73" s="115" t="str">
        <x:v>EXT-MONDE-T068</x:v>
      </x:c>
      <x:c r="B73" s="115" t="str">
        <x:v>Stades</x:v>
      </x:c>
      <x:c r="C73" s="115" t="str">
        <x:v>Complexe sportif</x:v>
      </x:c>
      <x:c r="D73" s="115" t="n">
        <x:v>50</x:v>
      </x:c>
      <x:c r="E73" s="115" t="str">
        <x:v>Inspection physique</x:v>
      </x:c>
      <x:c r="F73" s="115" t="str">
        <x:v>terrain; pistes ou gradins; vestiaires; secours; sanitaires; restauration; réserves</x:v>
      </x:c>
      <x:c r="G73" s="115" t="str">
        <x:v>routes; piétons; électricité; eau</x:v>
      </x:c>
      <x:c r="H73" s="115" t="str">
        <x:v>Anneaux de circulation et sorties ; gradins par niveau ; accès terrain distincts des locaux.</x:v>
      </x:c>
      <x:c r="I73" s="115" t="str">
        <x:v>Emprise 362–410 × 570–602 m ; hauteur 10–10 m ; choix de composition auteur ; dimensions réelles à documenter.</x:v>
      </x:c>
      <x:c r="J73" s="115" t="str">
        <x:v>https://github.com/darknigthmare/deadwall-last-enclosure/blob/1b3b9c5ba232734b1bda3453b4e20a0481bcdd74/docs/codex/suivi-monde2026/PARCS_SPORTS_2026.md</x:v>
      </x:c>
      <x:c r="K73" s="115" t="str">
        <x:v>50 plans inspectables dans le Guide auteur ; géométrie partielle et campagne encore ouvertes.</x:v>
      </x:c>
      <x:c r="L73" t="n">
        <x:f>COUNTIF('Variantes à concevoir'!$B$6:$B$4005,A73)</x:f>
        <x:v>50</x:v>
      </x:c>
    </x:row>
    <x:row r="74" ht="96" customHeight="1">
      <x:c r="A74" s="115" t="str">
        <x:v>EXT-MONDE-T069</x:v>
      </x:c>
      <x:c r="B74" s="115" t="str">
        <x:v>Aéroports</x:v>
      </x:c>
      <x:c r="C74" s="115" t="str">
        <x:v>Aérodrome régional</x:v>
      </x:c>
      <x:c r="D74" s="115" t="n">
        <x:v>50</x:v>
      </x:c>
      <x:c r="E74" s="115" t="str">
        <x:v>Inspection physique</x:v>
      </x:c>
      <x:c r="F74" s="115" t="str">
        <x:v>pistes; voies de circulation; aires avions; terminal; hangars; tour; maintenance</x:v>
      </x:c>
      <x:c r="G74" s="115" t="str">
        <x:v>piste; taxiways; route; rail si raccordé</x:v>
      </x:c>
      <x:c r="H74" s="115" t="str">
        <x:v>Continuité piste-taxiway-apron ; obstacles et bâtiments hors réserves ; grandes emprises non comprimées.</x:v>
      </x:c>
      <x:c r="I74" s="115" t="str">
        <x:v>Emprise 1100–1100 × 1600–2000 m ; hauteur 18–26 m ; choix de composition auteur ; dimensions réelles à documenter.</x:v>
      </x:c>
      <x:c r="J74" s="115" t="str">
        <x:v>https://github.com/darknigthmare/deadwall-last-enclosure/blob/1b3b9c5ba232734b1bda3453b4e20a0481bcdd74/docs/codex/suivi-monde2026/AEROPORTS_RAIL_2026.md</x:v>
      </x:c>
      <x:c r="K74" s="115" t="str">
        <x:v>50 plans inspectables dans le Guide auteur ; géométrie partielle et campagne encore ouvertes.</x:v>
      </x:c>
      <x:c r="L74" t="n">
        <x:f>COUNTIF('Variantes à concevoir'!$B$6:$B$4005,A74)</x:f>
        <x:v>50</x:v>
      </x:c>
    </x:row>
    <x:row r="75" ht="96" customHeight="1">
      <x:c r="A75" s="115" t="str">
        <x:v>EXT-MONDE-T070</x:v>
      </x:c>
      <x:c r="B75" s="115" t="str">
        <x:v>Aéroports</x:v>
      </x:c>
      <x:c r="C75" s="115" t="str">
        <x:v>Aéroport international</x:v>
      </x:c>
      <x:c r="D75" s="115" t="n">
        <x:v>50</x:v>
      </x:c>
      <x:c r="E75" s="115" t="str">
        <x:v>Inspection physique</x:v>
      </x:c>
      <x:c r="F75" s="115" t="str">
        <x:v>pistes; voies de circulation; aires avions; terminal; hangars; tour; maintenance</x:v>
      </x:c>
      <x:c r="G75" s="115" t="str">
        <x:v>piste; taxiways; route; rail si raccordé</x:v>
      </x:c>
      <x:c r="H75" s="115" t="str">
        <x:v>Continuité piste-taxiway-apron ; obstacles et bâtiments hors réserves ; grandes emprises non comprimées.</x:v>
      </x:c>
      <x:c r="I75" s="115" t="str">
        <x:v>Emprise 1460–1460 × 3000–3800 m ; hauteur 36–44 m ; choix de composition auteur ; dimensions réelles à documenter.</x:v>
      </x:c>
      <x:c r="J75" s="115" t="str">
        <x:v>https://github.com/darknigthmare/deadwall-last-enclosure/blob/1b3b9c5ba232734b1bda3453b4e20a0481bcdd74/docs/codex/suivi-monde2026/AEROPORTS_RAIL_2026.md</x:v>
      </x:c>
      <x:c r="K75" s="115" t="str">
        <x:v>50 plans inspectables dans le Guide auteur ; géométrie partielle et campagne encore ouvertes.</x:v>
      </x:c>
      <x:c r="L75" t="n">
        <x:f>COUNTIF('Variantes à concevoir'!$B$6:$B$4005,A75)</x:f>
        <x:v>50</x:v>
      </x:c>
    </x:row>
    <x:row r="76" ht="96" customHeight="1">
      <x:c r="A76" s="115" t="str">
        <x:v>EXT-MONDE-T071</x:v>
      </x:c>
      <x:c r="B76" s="115" t="str">
        <x:v>Aéroports</x:v>
      </x:c>
      <x:c r="C76" s="115" t="str">
        <x:v>Aéroport de fret</x:v>
      </x:c>
      <x:c r="D76" s="115" t="n">
        <x:v>50</x:v>
      </x:c>
      <x:c r="E76" s="115" t="str">
        <x:v>Inspection physique</x:v>
      </x:c>
      <x:c r="F76" s="115" t="str">
        <x:v>pistes; voies de circulation; aires avions; terminal; hangars; tour; maintenance</x:v>
      </x:c>
      <x:c r="G76" s="115" t="str">
        <x:v>piste; taxiways; route; rail si raccordé</x:v>
      </x:c>
      <x:c r="H76" s="115" t="str">
        <x:v>Continuité piste-taxiway-apron ; obstacles et bâtiments hors réserves ; grandes emprises non comprimées.</x:v>
      </x:c>
      <x:c r="I76" s="115" t="str">
        <x:v>Emprise 1100–1100 × 2600–3400 m ; hauteur 28–36 m ; choix de composition auteur ; dimensions réelles à documenter.</x:v>
      </x:c>
      <x:c r="J76" s="115" t="str">
        <x:v>https://github.com/darknigthmare/deadwall-last-enclosure/blob/1b3b9c5ba232734b1bda3453b4e20a0481bcdd74/docs/codex/suivi-monde2026/AEROPORTS_RAIL_2026.md</x:v>
      </x:c>
      <x:c r="K76" s="115" t="str">
        <x:v>50 plans inspectables dans le Guide auteur ; géométrie partielle et campagne encore ouvertes.</x:v>
      </x:c>
      <x:c r="L76" t="n">
        <x:f>COUNTIF('Variantes à concevoir'!$B$6:$B$4005,A76)</x:f>
        <x:v>50</x:v>
      </x:c>
    </x:row>
    <x:row r="77" ht="96" customHeight="1">
      <x:c r="A77" s="115" t="str">
        <x:v>EXT-MONDE-T072</x:v>
      </x:c>
      <x:c r="B77" s="115" t="str">
        <x:v>Aéroports</x:v>
      </x:c>
      <x:c r="C77" s="115" t="str">
        <x:v>Aérodrome insulaire</x:v>
      </x:c>
      <x:c r="D77" s="115" t="n">
        <x:v>50</x:v>
      </x:c>
      <x:c r="E77" s="115" t="str">
        <x:v>Inspection physique</x:v>
      </x:c>
      <x:c r="F77" s="115" t="str">
        <x:v>pistes; voies de circulation; aires avions; terminal; hangars; tour; maintenance</x:v>
      </x:c>
      <x:c r="G77" s="115" t="str">
        <x:v>piste; taxiways; route; rail si raccordé</x:v>
      </x:c>
      <x:c r="H77" s="115" t="str">
        <x:v>Continuité piste-taxiway-apron ; obstacles et bâtiments hors réserves ; grandes emprises non comprimées.</x:v>
      </x:c>
      <x:c r="I77" s="115" t="str">
        <x:v>Emprise 1100–1100 × 1300–1700 m ; hauteur 14–22 m ; choix de composition auteur ; dimensions réelles à documenter.</x:v>
      </x:c>
      <x:c r="J77" s="115" t="str">
        <x:v>https://github.com/darknigthmare/deadwall-last-enclosure/blob/1b3b9c5ba232734b1bda3453b4e20a0481bcdd74/docs/codex/suivi-monde2026/AEROPORTS_RAIL_2026.md</x:v>
      </x:c>
      <x:c r="K77" s="115" t="str">
        <x:v>50 plans inspectables dans le Guide auteur ; géométrie partielle et campagne encore ouvertes.</x:v>
      </x:c>
      <x:c r="L77" t="n">
        <x:f>COUNTIF('Variantes à concevoir'!$B$6:$B$4005,A77)</x:f>
        <x:v>50</x:v>
      </x:c>
    </x:row>
    <x:row r="78" ht="96" customHeight="1">
      <x:c r="A78" s="115" t="str">
        <x:v>EXT-MONDE-T073</x:v>
      </x:c>
      <x:c r="B78" s="115" t="str">
        <x:v>Ferroviaire</x:v>
      </x:c>
      <x:c r="C78" s="115" t="str">
        <x:v>Gare de passage</x:v>
      </x:c>
      <x:c r="D78" s="115" t="n">
        <x:v>50</x:v>
      </x:c>
      <x:c r="E78" s="115" t="str">
        <x:v>Inspection physique</x:v>
      </x:c>
      <x:c r="F78" s="115" t="str">
        <x:v>voies; quais; hall; ateliers; aiguillages; réserves; accès voyageurs</x:v>
      </x:c>
      <x:c r="G78" s="115" t="str">
        <x:v>rail continu; fret; route; piétons</x:v>
      </x:c>
      <x:c r="H78" s="115" t="str">
        <x:v>Chaque voie possède destination ou butoir ; aiguilles explicites ; niveau des croisements respecté.</x:v>
      </x:c>
      <x:c r="I78" s="115" t="str">
        <x:v>Emprise 800–800 × 1700–2340 m ; hauteur 7–7,8 m ; choix de composition auteur ; dimensions réelles à documenter.</x:v>
      </x:c>
      <x:c r="J78" s="115" t="str">
        <x:v>https://github.com/darknigthmare/deadwall-last-enclosure/blob/1b3b9c5ba232734b1bda3453b4e20a0481bcdd74/docs/codex/suivi-monde2026/AEROPORTS_RAIL_2026.md</x:v>
      </x:c>
      <x:c r="K78" s="115" t="str">
        <x:v>50 plans inspectables dans le Guide auteur ; géométrie partielle et campagne encore ouvertes.</x:v>
      </x:c>
      <x:c r="L78" t="n">
        <x:f>COUNTIF('Variantes à concevoir'!$B$6:$B$4005,A78)</x:f>
        <x:v>50</x:v>
      </x:c>
    </x:row>
    <x:row r="79" ht="96" customHeight="1">
      <x:c r="A79" s="115" t="str">
        <x:v>EXT-MONDE-T074</x:v>
      </x:c>
      <x:c r="B79" s="115" t="str">
        <x:v>Ferroviaire</x:v>
      </x:c>
      <x:c r="C79" s="115" t="str">
        <x:v>Gare terminus</x:v>
      </x:c>
      <x:c r="D79" s="115" t="n">
        <x:v>50</x:v>
      </x:c>
      <x:c r="E79" s="115" t="str">
        <x:v>Inspection physique</x:v>
      </x:c>
      <x:c r="F79" s="115" t="str">
        <x:v>voies; quais; hall; ateliers; aiguillages; réserves; accès voyageurs</x:v>
      </x:c>
      <x:c r="G79" s="115" t="str">
        <x:v>rail continu; fret; route; piétons</x:v>
      </x:c>
      <x:c r="H79" s="115" t="str">
        <x:v>Chaque voie possède destination ou butoir ; aiguilles explicites ; niveau des croisements respecté.</x:v>
      </x:c>
      <x:c r="I79" s="115" t="str">
        <x:v>Emprise 800–800 × 1900–2700 m ; hauteur 7–7,8 m ; choix de composition auteur ; dimensions réelles à documenter.</x:v>
      </x:c>
      <x:c r="J79" s="115" t="str">
        <x:v>https://github.com/darknigthmare/deadwall-last-enclosure/blob/1b3b9c5ba232734b1bda3453b4e20a0481bcdd74/docs/codex/suivi-monde2026/AEROPORTS_RAIL_2026.md</x:v>
      </x:c>
      <x:c r="K79" s="115" t="str">
        <x:v>50 plans inspectables dans le Guide auteur ; géométrie partielle et campagne encore ouvertes.</x:v>
      </x:c>
      <x:c r="L79" t="n">
        <x:f>COUNTIF('Variantes à concevoir'!$B$6:$B$4005,A79)</x:f>
        <x:v>50</x:v>
      </x:c>
    </x:row>
    <x:row r="80" ht="96" customHeight="1">
      <x:c r="A80" s="115" t="str">
        <x:v>EXT-MONDE-T075</x:v>
      </x:c>
      <x:c r="B80" s="115" t="str">
        <x:v>Ferroviaire</x:v>
      </x:c>
      <x:c r="C80" s="115" t="str">
        <x:v>Gare de triage</x:v>
      </x:c>
      <x:c r="D80" s="115" t="n">
        <x:v>50</x:v>
      </x:c>
      <x:c r="E80" s="115" t="str">
        <x:v>Inspection physique</x:v>
      </x:c>
      <x:c r="F80" s="115" t="str">
        <x:v>voies; quais; hall; ateliers; aiguillages; réserves; accès voyageurs</x:v>
      </x:c>
      <x:c r="G80" s="115" t="str">
        <x:v>rail continu; fret; route; piétons</x:v>
      </x:c>
      <x:c r="H80" s="115" t="str">
        <x:v>Chaque voie possède destination ou butoir ; aiguilles explicites ; niveau des croisements respecté.</x:v>
      </x:c>
      <x:c r="I80" s="115" t="str">
        <x:v>Emprise 800–800 × 2500–3300 m ; hauteur 7–7,8 m ; choix de composition auteur ; dimensions réelles à documenter.</x:v>
      </x:c>
      <x:c r="J80" s="115" t="str">
        <x:v>https://github.com/darknigthmare/deadwall-last-enclosure/blob/1b3b9c5ba232734b1bda3453b4e20a0481bcdd74/docs/codex/suivi-monde2026/AEROPORTS_RAIL_2026.md</x:v>
      </x:c>
      <x:c r="K80" s="115" t="str">
        <x:v>50 plans inspectables dans le Guide auteur ; géométrie partielle et campagne encore ouvertes.</x:v>
      </x:c>
      <x:c r="L80" t="n">
        <x:f>COUNTIF('Variantes à concevoir'!$B$6:$B$4005,A80)</x:f>
        <x:v>50</x:v>
      </x:c>
    </x:row>
    <x:row r="81" ht="96" customHeight="1">
      <x:c r="A81" s="115" t="str">
        <x:v>EXT-MONDE-T076</x:v>
      </x:c>
      <x:c r="B81" s="115" t="str">
        <x:v>Ferroviaire</x:v>
      </x:c>
      <x:c r="C81" s="115" t="str">
        <x:v>Dépôt ferroviaire</x:v>
      </x:c>
      <x:c r="D81" s="115" t="n">
        <x:v>50</x:v>
      </x:c>
      <x:c r="E81" s="115" t="str">
        <x:v>Inspection physique</x:v>
      </x:c>
      <x:c r="F81" s="115" t="str">
        <x:v>voies; quais; hall; ateliers; aiguillages; réserves; accès voyageurs</x:v>
      </x:c>
      <x:c r="G81" s="115" t="str">
        <x:v>rail continu; fret; route; piétons</x:v>
      </x:c>
      <x:c r="H81" s="115" t="str">
        <x:v>Chaque voie possède destination ou butoir ; aiguilles explicites ; niveau des croisements respecté.</x:v>
      </x:c>
      <x:c r="I81" s="115" t="str">
        <x:v>Emprise 800–800 × 2100–2740 m ; hauteur 7–7,8 m ; choix de composition auteur ; dimensions réelles à documenter.</x:v>
      </x:c>
      <x:c r="J81" s="115" t="str">
        <x:v>https://github.com/darknigthmare/deadwall-last-enclosure/blob/1b3b9c5ba232734b1bda3453b4e20a0481bcdd74/docs/codex/suivi-monde2026/AEROPORTS_RAIL_2026.md</x:v>
      </x:c>
      <x:c r="K81" s="115" t="str">
        <x:v>50 plans inspectables dans le Guide auteur ; géométrie partielle et campagne encore ouvertes.</x:v>
      </x:c>
      <x:c r="L81" t="n">
        <x:f>COUNTIF('Variantes à concevoir'!$B$6:$B$4005,A81)</x:f>
        <x:v>50</x:v>
      </x:c>
    </x:row>
    <x:row r="82" ht="96" customHeight="1">
      <x:c r="A82" s="115" t="str">
        <x:v>EXT-MONDE-T077</x:v>
      </x:c>
      <x:c r="B82" s="115" t="str">
        <x:v>Îles</x:v>
      </x:c>
      <x:c r="C82" s="115" t="str">
        <x:v>Îlot de phare</x:v>
      </x:c>
      <x:c r="D82" s="115" t="n">
        <x:v>50</x:v>
      </x:c>
      <x:c r="E82" s="115" t="str">
        <x:v>Inspection physique</x:v>
      </x:c>
      <x:c r="F82" s="115" t="str">
        <x:v>littoral; relief; accès; habitats; réserves; services; chemins internes</x:v>
      </x:c>
      <x:c r="G82" s="115" t="str">
        <x:v>liaison nautique; pont si prévu; réseaux locaux</x:v>
      </x:c>
      <x:c r="H82" s="115" t="str">
        <x:v>Taille réelle de l’île et rivage avant bâtiments ; ressources et accès autonomes sans réseaux vers le vide.</x:v>
      </x:c>
      <x:c r="I82" s="115" t="str">
        <x:v>Emprise 336–392 × 276–324 m ; hauteur 32–32 m ; choix de composition auteur ; dimensions réelles à documenter.</x:v>
      </x:c>
      <x:c r="J82" s="115" t="str">
        <x:v>https://github.com/darknigthmare/deadwall-last-enclosure/blob/1b3b9c5ba232734b1bda3453b4e20a0481bcdd74/docs/codex/suivi-monde2026/PORTS_ILES_2026.md</x:v>
      </x:c>
      <x:c r="K82" s="115" t="str">
        <x:v>50 plans inspectables dans le Guide auteur ; géométrie partielle et campagne encore ouvertes.</x:v>
      </x:c>
      <x:c r="L82" t="n">
        <x:f>COUNTIF('Variantes à concevoir'!$B$6:$B$4005,A82)</x:f>
        <x:v>50</x:v>
      </x:c>
    </x:row>
    <x:row r="83" ht="96" customHeight="1">
      <x:c r="A83" s="115" t="str">
        <x:v>EXT-MONDE-T078</x:v>
      </x:c>
      <x:c r="B83" s="115" t="str">
        <x:v>Îles</x:v>
      </x:c>
      <x:c r="C83" s="115" t="str">
        <x:v>Île agricole habitée</x:v>
      </x:c>
      <x:c r="D83" s="115" t="n">
        <x:v>50</x:v>
      </x:c>
      <x:c r="E83" s="115" t="str">
        <x:v>Inspection physique</x:v>
      </x:c>
      <x:c r="F83" s="115" t="str">
        <x:v>littoral; relief; accès; habitats; réserves; services; chemins internes</x:v>
      </x:c>
      <x:c r="G83" s="115" t="str">
        <x:v>liaison nautique; pont si prévu; réseaux locaux</x:v>
      </x:c>
      <x:c r="H83" s="115" t="str">
        <x:v>Taille réelle de l’île et rivage avant bâtiments ; ressources et accès autonomes sans réseaux vers le vide.</x:v>
      </x:c>
      <x:c r="I83" s="115" t="str">
        <x:v>Emprise 576–632 × 556–604 m ; hauteur 14–14 m ; choix de composition auteur ; dimensions réelles à documenter.</x:v>
      </x:c>
      <x:c r="J83" s="115" t="str">
        <x:v>https://github.com/darknigthmare/deadwall-last-enclosure/blob/1b3b9c5ba232734b1bda3453b4e20a0481bcdd74/docs/codex/suivi-monde2026/PORTS_ILES_2026.md</x:v>
      </x:c>
      <x:c r="K83" s="115" t="str">
        <x:v>50 plans inspectables dans le Guide auteur ; géométrie partielle et campagne encore ouvertes.</x:v>
      </x:c>
      <x:c r="L83" t="n">
        <x:f>COUNTIF('Variantes à concevoir'!$B$6:$B$4005,A83)</x:f>
        <x:v>50</x:v>
      </x:c>
    </x:row>
    <x:row r="84" ht="96" customHeight="1">
      <x:c r="A84" s="115" t="str">
        <x:v>EXT-MONDE-T079</x:v>
      </x:c>
      <x:c r="B84" s="115" t="str">
        <x:v>Îles</x:v>
      </x:c>
      <x:c r="C84" s="115" t="str">
        <x:v>Île portuaire industrielle</x:v>
      </x:c>
      <x:c r="D84" s="115" t="n">
        <x:v>50</x:v>
      </x:c>
      <x:c r="E84" s="115" t="str">
        <x:v>Inspection physique</x:v>
      </x:c>
      <x:c r="F84" s="115" t="str">
        <x:v>littoral; relief; accès; habitats; réserves; services; chemins internes</x:v>
      </x:c>
      <x:c r="G84" s="115" t="str">
        <x:v>liaison nautique; pont si prévu; réseaux locaux</x:v>
      </x:c>
      <x:c r="H84" s="115" t="str">
        <x:v>Taille réelle de l’île et rivage avant bâtiments ; ressources et accès autonomes sans réseaux vers le vide.</x:v>
      </x:c>
      <x:c r="I84" s="115" t="str">
        <x:v>Emprise 696–752 × 716–764 m ; hauteur 30–30 m ; choix de composition auteur ; dimensions réelles à documenter.</x:v>
      </x:c>
      <x:c r="J84" s="115" t="str">
        <x:v>https://github.com/darknigthmare/deadwall-last-enclosure/blob/1b3b9c5ba232734b1bda3453b4e20a0481bcdd74/docs/codex/suivi-monde2026/PORTS_ILES_2026.md</x:v>
      </x:c>
      <x:c r="K84" s="115" t="str">
        <x:v>50 plans inspectables dans le Guide auteur ; géométrie partielle et campagne encore ouvertes.</x:v>
      </x:c>
      <x:c r="L84" t="n">
        <x:f>COUNTIF('Variantes à concevoir'!$B$6:$B$4005,A84)</x:f>
        <x:v>50</x:v>
      </x:c>
    </x:row>
    <x:row r="85" ht="96" customHeight="1">
      <x:c r="A85" s="115" t="str">
        <x:v>EXT-MONDE-T080</x:v>
      </x:c>
      <x:c r="B85" s="115" t="str">
        <x:v>Îles</x:v>
      </x:c>
      <x:c r="C85" s="115" t="str">
        <x:v>Grande île mixte</x:v>
      </x:c>
      <x:c r="D85" s="115" t="n">
        <x:v>50</x:v>
      </x:c>
      <x:c r="E85" s="115" t="str">
        <x:v>Inspection physique</x:v>
      </x:c>
      <x:c r="F85" s="115" t="str">
        <x:v>littoral; relief; accès; habitats; réserves; services; chemins internes</x:v>
      </x:c>
      <x:c r="G85" s="115" t="str">
        <x:v>liaison nautique; pont si prévu; réseaux locaux</x:v>
      </x:c>
      <x:c r="H85" s="115" t="str">
        <x:v>Taille réelle de l’île et rivage avant bâtiments ; ressources et accès autonomes sans réseaux vers le vide.</x:v>
      </x:c>
      <x:c r="I85" s="115" t="str">
        <x:v>Emprise 856–912 × 896–944 m ; hauteur 8–8 m ; choix de composition auteur ; dimensions réelles à documenter.</x:v>
      </x:c>
      <x:c r="J85" s="115" t="str">
        <x:v>https://github.com/darknigthmare/deadwall-last-enclosure/blob/1b3b9c5ba232734b1bda3453b4e20a0481bcdd74/docs/codex/suivi-monde2026/PORTS_ILES_2026.md</x:v>
      </x:c>
      <x:c r="K85" s="115" t="str">
        <x:v>50 plans inspectables dans le Guide auteur ; géométrie partielle et campagne encore ouvertes.</x:v>
      </x:c>
      <x:c r="L85" t="n">
        <x:f>COUNTIF('Variantes à concevoir'!$B$6:$B$4005,A85)</x:f>
        <x:v>50</x:v>
      </x:c>
    </x:row>
  </x:sheetData>
  <x:mergeCells>
    <x:mergeCell ref="A1:L1"/>
    <x:mergeCell ref="A2:L3"/>
  </x:mergeCells>
  <x:pageMargins left="0.7" right="0.7" top="0.75" bottom="0.75" header="0.3" footer="0.3"/>
  <x:tableParts count="1">
    <x:tablePart xmlns:r="http://schemas.openxmlformats.org/officeDocument/2006/relationships" r:id="R57446aab44eb4ea6"/>
  </x:tableParts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24" hidden="0" customWidth="1"/>
    <x:col min="3" max="3" width="28" hidden="0" customWidth="1"/>
    <x:col min="4" max="4" width="40" hidden="0" customWidth="1"/>
    <x:col min="5" max="5" width="16" hidden="0" customWidth="1"/>
    <x:col min="6" max="6" width="22" hidden="0" customWidth="1"/>
    <x:col min="7" max="7" width="24" hidden="0" customWidth="1"/>
    <x:col min="8" max="8" width="24" hidden="0" customWidth="1"/>
    <x:col min="9" max="9" width="24" hidden="0" customWidth="1"/>
    <x:col min="10" max="10" width="22" hidden="0" customWidth="1"/>
    <x:col min="11" max="11" width="55" hidden="0" customWidth="1"/>
  </x:cols>
  <x:sheetData>
    <x:row r="1" ht="32" customHeight="1">
      <x:c r="A1" s="3" t="str">
        <x:v>07  /  4 000 VARIANTES CIBLES — AUCUNE COMPLÉTION PRÉSUMÉE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20" customHeight="1">
      <x:c r="A2" s="9" t="str">
        <x:v>Chaque ligne réserve un identifiant de suivi non injecté dans le moteur. Architecture, emprise, poids de spawn et contenu détaillé restent à produire.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  <x:c r="K3" s="9"/>
    </x:row>
    <x:row r="5" ht="34" customHeight="1">
      <x:c r="A5" s="112" t="str">
        <x:v>ID cible</x:v>
      </x:c>
      <x:c r="B5" s="112" t="str">
        <x:v>Typologie ID</x:v>
      </x:c>
      <x:c r="C5" s="112" t="str">
        <x:v>Domaine</x:v>
      </x:c>
      <x:c r="D5" s="112" t="str">
        <x:v>Typologie</x:v>
      </x:c>
      <x:c r="E5" s="112" t="str">
        <x:v>N° variante</x:v>
      </x:c>
      <x:c r="F5" s="112" t="str">
        <x:v>Statut</x:v>
      </x:c>
      <x:c r="G5" s="112" t="str">
        <x:v>Architecture</x:v>
      </x:c>
      <x:c r="H5" s="112" t="str">
        <x:v>Dimensions (m)</x:v>
      </x:c>
      <x:c r="I5" s="112" t="str">
        <x:v>Poids de spawn</x:v>
      </x:c>
      <x:c r="J5" s="112" t="str">
        <x:v>Jouable validé</x:v>
      </x:c>
      <x:c r="K5" s="112" t="str">
        <x:v>Limite</x:v>
      </x:c>
    </x:row>
    <x:row r="6" ht="96" customHeight="1">
      <x:c r="A6" s="16" t="str">
        <x:v>EXT-MONDE-T001-V01</x:v>
      </x:c>
      <x:c r="B6" s="16" t="str">
        <x:v>EXT-MONDE-T001</x:v>
      </x:c>
      <x:c r="C6" s="16" t="str">
        <x:v>Lacs</x:v>
      </x:c>
      <x:c r="D6" s="16" t="str">
        <x:v>Base nautique lacustre</x:v>
      </x:c>
      <x:c r="E6" s="16" t="n">
        <x:v>1</x:v>
      </x:c>
      <x:c r="F6" s="16" t="str">
        <x:v>Inspection physique</x:v>
      </x:c>
      <x:c r="G6" s="16" t="str">
        <x:v>1 niveaux ; 26 pièces ; 198 segments de mur ; 0 transitions. Inspection physique ; architecture complète encore ouverte.</x:v>
      </x:c>
      <x:c r="H6" s="16" t="str">
        <x:v>L 242 ; l 200 ; hauteur 5,4 m ; choix de composition auteur ; dimensions réelles à documenter</x:v>
      </x:c>
      <x:c r="I6" s="16" t="str">
        <x:v>À équilibrer</x:v>
      </x:c>
      <x:c r="J6" s="16" t="str">
        <x:v>Non</x:v>
      </x:c>
      <x:c r="K6" s="16" t="str">
        <x:v>Pièces décrites, murs, portes, niveaux et mobilier inspectables à l’échelle. Volumes réservés, raccord au seed, butin, rencontres et services de campagne restent à terminer.</x:v>
      </x:c>
    </x:row>
    <x:row r="7" ht="96" customHeight="1">
      <x:c r="A7" s="16" t="str">
        <x:v>EXT-MONDE-T001-V02</x:v>
      </x:c>
      <x:c r="B7" s="16" t="str">
        <x:v>EXT-MONDE-T001</x:v>
      </x:c>
      <x:c r="C7" s="16" t="str">
        <x:v>Lacs</x:v>
      </x:c>
      <x:c r="D7" s="16" t="str">
        <x:v>Base nautique lacustre</x:v>
      </x:c>
      <x:c r="E7" s="16" t="n">
        <x:v>2</x:v>
      </x:c>
      <x:c r="F7" s="16" t="str">
        <x:v>Inspection physique</x:v>
      </x:c>
      <x:c r="G7" s="16" t="str">
        <x:v>1 niveaux ; 26 pièces ; 198 segments de mur ; 0 transitions. Inspection physique ; architecture complète encore ouverte.</x:v>
      </x:c>
      <x:c r="H7" s="16" t="str">
        <x:v>L 242 ; l 200 ; hauteur 5,4 m ; choix de composition auteur ; dimensions réelles à documenter</x:v>
      </x:c>
      <x:c r="I7" s="16" t="str">
        <x:v>À équilibrer</x:v>
      </x:c>
      <x:c r="J7" s="16" t="str">
        <x:v>Non</x:v>
      </x:c>
      <x:c r="K7" s="16" t="str">
        <x:v>Pièces décrites, murs, portes, niveaux et mobilier inspectables à l’échelle. Volumes réservés, raccord au seed, butin, rencontres et services de campagne restent à terminer.</x:v>
      </x:c>
    </x:row>
    <x:row r="8" ht="96" customHeight="1">
      <x:c r="A8" s="16" t="str">
        <x:v>EXT-MONDE-T001-V03</x:v>
      </x:c>
      <x:c r="B8" s="16" t="str">
        <x:v>EXT-MONDE-T001</x:v>
      </x:c>
      <x:c r="C8" s="16" t="str">
        <x:v>Lacs</x:v>
      </x:c>
      <x:c r="D8" s="16" t="str">
        <x:v>Base nautique lacustre</x:v>
      </x:c>
      <x:c r="E8" s="16" t="n">
        <x:v>3</x:v>
      </x:c>
      <x:c r="F8" s="16" t="str">
        <x:v>Inspection physique</x:v>
      </x:c>
      <x:c r="G8" s="16" t="str">
        <x:v>1 niveaux ; 26 pièces ; 198 segments de mur ; 0 transitions. Inspection physique ; architecture complète encore ouverte.</x:v>
      </x:c>
      <x:c r="H8" s="16" t="str">
        <x:v>L 242 ; l 200 ; hauteur 5,4 m ; choix de composition auteur ; dimensions réelles à documenter</x:v>
      </x:c>
      <x:c r="I8" s="16" t="str">
        <x:v>À équilibrer</x:v>
      </x:c>
      <x:c r="J8" s="16" t="str">
        <x:v>Non</x:v>
      </x:c>
      <x:c r="K8" s="16" t="str">
        <x:v>Pièces décrites, murs, portes, niveaux et mobilier inspectables à l’échelle. Volumes réservés, raccord au seed, butin, rencontres et services de campagne restent à terminer.</x:v>
      </x:c>
    </x:row>
    <x:row r="9" ht="96" customHeight="1">
      <x:c r="A9" s="16" t="str">
        <x:v>EXT-MONDE-T001-V04</x:v>
      </x:c>
      <x:c r="B9" s="16" t="str">
        <x:v>EXT-MONDE-T001</x:v>
      </x:c>
      <x:c r="C9" s="16" t="str">
        <x:v>Lacs</x:v>
      </x:c>
      <x:c r="D9" s="16" t="str">
        <x:v>Base nautique lacustre</x:v>
      </x:c>
      <x:c r="E9" s="16" t="n">
        <x:v>4</x:v>
      </x:c>
      <x:c r="F9" s="16" t="str">
        <x:v>Inspection physique</x:v>
      </x:c>
      <x:c r="G9" s="16" t="str">
        <x:v>1 niveaux ; 26 pièces ; 198 segments de mur ; 0 transitions. Inspection physique ; architecture complète encore ouverte.</x:v>
      </x:c>
      <x:c r="H9" s="16" t="str">
        <x:v>L 242 ; l 200 ; hauteur 5,4 m ; choix de composition auteur ; dimensions réelles à documenter</x:v>
      </x:c>
      <x:c r="I9" s="16" t="str">
        <x:v>À équilibrer</x:v>
      </x:c>
      <x:c r="J9" s="16" t="str">
        <x:v>Non</x:v>
      </x:c>
      <x:c r="K9" s="16" t="str">
        <x:v>Pièces décrites, murs, portes, niveaux et mobilier inspectables à l’échelle. Volumes réservés, raccord au seed, butin, rencontres et services de campagne restent à terminer.</x:v>
      </x:c>
    </x:row>
    <x:row r="10" ht="96" customHeight="1">
      <x:c r="A10" s="16" t="str">
        <x:v>EXT-MONDE-T001-V05</x:v>
      </x:c>
      <x:c r="B10" s="16" t="str">
        <x:v>EXT-MONDE-T001</x:v>
      </x:c>
      <x:c r="C10" s="16" t="str">
        <x:v>Lacs</x:v>
      </x:c>
      <x:c r="D10" s="16" t="str">
        <x:v>Base nautique lacustre</x:v>
      </x:c>
      <x:c r="E10" s="16" t="n">
        <x:v>5</x:v>
      </x:c>
      <x:c r="F10" s="16" t="str">
        <x:v>Inspection physique</x:v>
      </x:c>
      <x:c r="G10" s="16" t="str">
        <x:v>1 niveaux ; 26 pièces ; 198 segments de mur ; 0 transitions. Inspection physique ; architecture complète encore ouverte.</x:v>
      </x:c>
      <x:c r="H10" s="16" t="str">
        <x:v>L 242 ; l 200 ; hauteur 5,4 m ; choix de composition auteur ; dimensions réelles à documenter</x:v>
      </x:c>
      <x:c r="I10" s="16" t="str">
        <x:v>À équilibrer</x:v>
      </x:c>
      <x:c r="J10" s="16" t="str">
        <x:v>Non</x:v>
      </x:c>
      <x:c r="K10" s="16" t="str">
        <x:v>Pièces décrites, murs, portes, niveaux et mobilier inspectables à l’échelle. Volumes réservés, raccord au seed, butin, rencontres et services de campagne restent à terminer.</x:v>
      </x:c>
    </x:row>
    <x:row r="11" ht="96" customHeight="1">
      <x:c r="A11" s="16" t="str">
        <x:v>EXT-MONDE-T001-V06</x:v>
      </x:c>
      <x:c r="B11" s="16" t="str">
        <x:v>EXT-MONDE-T001</x:v>
      </x:c>
      <x:c r="C11" s="16" t="str">
        <x:v>Lacs</x:v>
      </x:c>
      <x:c r="D11" s="16" t="str">
        <x:v>Base nautique lacustre</x:v>
      </x:c>
      <x:c r="E11" s="16" t="n">
        <x:v>6</x:v>
      </x:c>
      <x:c r="F11" s="16" t="str">
        <x:v>Inspection physique</x:v>
      </x:c>
      <x:c r="G11" s="16" t="str">
        <x:v>1 niveaux ; 26 pièces ; 198 segments de mur ; 0 transitions. Inspection physique ; architecture complète encore ouverte.</x:v>
      </x:c>
      <x:c r="H11" s="16" t="str">
        <x:v>L 242 ; l 200 ; hauteur 5,4 m ; choix de composition auteur ; dimensions réelles à documenter</x:v>
      </x:c>
      <x:c r="I11" s="16" t="str">
        <x:v>À équilibrer</x:v>
      </x:c>
      <x:c r="J11" s="16" t="str">
        <x:v>Non</x:v>
      </x:c>
      <x:c r="K11" s="16" t="str">
        <x:v>Pièces décrites, murs, portes, niveaux et mobilier inspectables à l’échelle. Volumes réservés, raccord au seed, butin, rencontres et services de campagne restent à terminer.</x:v>
      </x:c>
    </x:row>
    <x:row r="12" ht="96" customHeight="1">
      <x:c r="A12" s="16" t="str">
        <x:v>EXT-MONDE-T001-V07</x:v>
      </x:c>
      <x:c r="B12" s="16" t="str">
        <x:v>EXT-MONDE-T001</x:v>
      </x:c>
      <x:c r="C12" s="16" t="str">
        <x:v>Lacs</x:v>
      </x:c>
      <x:c r="D12" s="16" t="str">
        <x:v>Base nautique lacustre</x:v>
      </x:c>
      <x:c r="E12" s="16" t="n">
        <x:v>7</x:v>
      </x:c>
      <x:c r="F12" s="16" t="str">
        <x:v>Inspection physique</x:v>
      </x:c>
      <x:c r="G12" s="16" t="str">
        <x:v>1 niveaux ; 26 pièces ; 198 segments de mur ; 0 transitions. Inspection physique ; architecture complète encore ouverte.</x:v>
      </x:c>
      <x:c r="H12" s="16" t="str">
        <x:v>L 242 ; l 200 ; hauteur 5,4 m ; choix de composition auteur ; dimensions réelles à documenter</x:v>
      </x:c>
      <x:c r="I12" s="16" t="str">
        <x:v>À équilibrer</x:v>
      </x:c>
      <x:c r="J12" s="16" t="str">
        <x:v>Non</x:v>
      </x:c>
      <x:c r="K12" s="16" t="str">
        <x:v>Pièces décrites, murs, portes, niveaux et mobilier inspectables à l’échelle. Volumes réservés, raccord au seed, butin, rencontres et services de campagne restent à terminer.</x:v>
      </x:c>
    </x:row>
    <x:row r="13" ht="96" customHeight="1">
      <x:c r="A13" s="16" t="str">
        <x:v>EXT-MONDE-T001-V08</x:v>
      </x:c>
      <x:c r="B13" s="16" t="str">
        <x:v>EXT-MONDE-T001</x:v>
      </x:c>
      <x:c r="C13" s="16" t="str">
        <x:v>Lacs</x:v>
      </x:c>
      <x:c r="D13" s="16" t="str">
        <x:v>Base nautique lacustre</x:v>
      </x:c>
      <x:c r="E13" s="16" t="n">
        <x:v>8</x:v>
      </x:c>
      <x:c r="F13" s="16" t="str">
        <x:v>Inspection physique</x:v>
      </x:c>
      <x:c r="G13" s="16" t="str">
        <x:v>1 niveaux ; 26 pièces ; 198 segments de mur ; 0 transitions. Inspection physique ; architecture complète encore ouverte.</x:v>
      </x:c>
      <x:c r="H13" s="16" t="str">
        <x:v>L 242 ; l 200 ; hauteur 5,4 m ; choix de composition auteur ; dimensions réelles à documenter</x:v>
      </x:c>
      <x:c r="I13" s="16" t="str">
        <x:v>À équilibrer</x:v>
      </x:c>
      <x:c r="J13" s="16" t="str">
        <x:v>Non</x:v>
      </x:c>
      <x:c r="K13" s="16" t="str">
        <x:v>Pièces décrites, murs, portes, niveaux et mobilier inspectables à l’échelle. Volumes réservés, raccord au seed, butin, rencontres et services de campagne restent à terminer.</x:v>
      </x:c>
    </x:row>
    <x:row r="14" ht="96" customHeight="1">
      <x:c r="A14" s="16" t="str">
        <x:v>EXT-MONDE-T001-V09</x:v>
      </x:c>
      <x:c r="B14" s="16" t="str">
        <x:v>EXT-MONDE-T001</x:v>
      </x:c>
      <x:c r="C14" s="16" t="str">
        <x:v>Lacs</x:v>
      </x:c>
      <x:c r="D14" s="16" t="str">
        <x:v>Base nautique lacustre</x:v>
      </x:c>
      <x:c r="E14" s="16" t="n">
        <x:v>9</x:v>
      </x:c>
      <x:c r="F14" s="16" t="str">
        <x:v>Inspection physique</x:v>
      </x:c>
      <x:c r="G14" s="16" t="str">
        <x:v>1 niveaux ; 26 pièces ; 198 segments de mur ; 0 transitions. Inspection physique ; architecture complète encore ouverte.</x:v>
      </x:c>
      <x:c r="H14" s="16" t="str">
        <x:v>L 242 ; l 200 ; hauteur 5,4 m ; choix de composition auteur ; dimensions réelles à documenter</x:v>
      </x:c>
      <x:c r="I14" s="16" t="str">
        <x:v>À équilibrer</x:v>
      </x:c>
      <x:c r="J14" s="16" t="str">
        <x:v>Non</x:v>
      </x:c>
      <x:c r="K14" s="16" t="str">
        <x:v>Pièces décrites, murs, portes, niveaux et mobilier inspectables à l’échelle. Volumes réservés, raccord au seed, butin, rencontres et services de campagne restent à terminer.</x:v>
      </x:c>
    </x:row>
    <x:row r="15" ht="96" customHeight="1">
      <x:c r="A15" s="16" t="str">
        <x:v>EXT-MONDE-T001-V10</x:v>
      </x:c>
      <x:c r="B15" s="16" t="str">
        <x:v>EXT-MONDE-T001</x:v>
      </x:c>
      <x:c r="C15" s="16" t="str">
        <x:v>Lacs</x:v>
      </x:c>
      <x:c r="D15" s="16" t="str">
        <x:v>Base nautique lacustre</x:v>
      </x:c>
      <x:c r="E15" s="16" t="n">
        <x:v>10</x:v>
      </x:c>
      <x:c r="F15" s="16" t="str">
        <x:v>Inspection physique</x:v>
      </x:c>
      <x:c r="G15" s="16" t="str">
        <x:v>1 niveaux ; 26 pièces ; 198 segments de mur ; 0 transitions. Inspection physique ; architecture complète encore ouverte.</x:v>
      </x:c>
      <x:c r="H15" s="16" t="str">
        <x:v>L 242 ; l 200 ; hauteur 5,4 m ; choix de composition auteur ; dimensions réelles à documenter</x:v>
      </x:c>
      <x:c r="I15" s="16" t="str">
        <x:v>À équilibrer</x:v>
      </x:c>
      <x:c r="J15" s="16" t="str">
        <x:v>Non</x:v>
      </x:c>
      <x:c r="K15" s="16" t="str">
        <x:v>Pièces décrites, murs, portes, niveaux et mobilier inspectables à l’échelle. Volumes réservés, raccord au seed, butin, rencontres et services de campagne restent à terminer.</x:v>
      </x:c>
    </x:row>
    <x:row r="16" ht="96" customHeight="1">
      <x:c r="A16" s="16" t="str">
        <x:v>EXT-MONDE-T001-V11</x:v>
      </x:c>
      <x:c r="B16" s="16" t="str">
        <x:v>EXT-MONDE-T001</x:v>
      </x:c>
      <x:c r="C16" s="16" t="str">
        <x:v>Lacs</x:v>
      </x:c>
      <x:c r="D16" s="16" t="str">
        <x:v>Base nautique lacustre</x:v>
      </x:c>
      <x:c r="E16" s="16" t="n">
        <x:v>11</x:v>
      </x:c>
      <x:c r="F16" s="16" t="str">
        <x:v>Inspection physique</x:v>
      </x:c>
      <x:c r="G16" s="16" t="str">
        <x:v>1 niveaux ; 26 pièces ; 198 segments de mur ; 0 transitions. Inspection physique ; architecture complète encore ouverte.</x:v>
      </x:c>
      <x:c r="H16" s="16" t="str">
        <x:v>L 256 ; l 216 ; hauteur 5,55 m ; choix de composition auteur ; dimensions réelles à documenter</x:v>
      </x:c>
      <x:c r="I16" s="16" t="str">
        <x:v>À équilibrer</x:v>
      </x:c>
      <x:c r="J16" s="16" t="str">
        <x:v>Non</x:v>
      </x:c>
      <x:c r="K16" s="16" t="str">
        <x:v>Pièces décrites, murs, portes, niveaux et mobilier inspectables à l’échelle. Volumes réservés, raccord au seed, butin, rencontres et services de campagne restent à terminer.</x:v>
      </x:c>
    </x:row>
    <x:row r="17" ht="96" customHeight="1">
      <x:c r="A17" s="16" t="str">
        <x:v>EXT-MONDE-T001-V12</x:v>
      </x:c>
      <x:c r="B17" s="16" t="str">
        <x:v>EXT-MONDE-T001</x:v>
      </x:c>
      <x:c r="C17" s="16" t="str">
        <x:v>Lacs</x:v>
      </x:c>
      <x:c r="D17" s="16" t="str">
        <x:v>Base nautique lacustre</x:v>
      </x:c>
      <x:c r="E17" s="16" t="n">
        <x:v>12</x:v>
      </x:c>
      <x:c r="F17" s="16" t="str">
        <x:v>Inspection physique</x:v>
      </x:c>
      <x:c r="G17" s="16" t="str">
        <x:v>1 niveaux ; 26 pièces ; 198 segments de mur ; 0 transitions. Inspection physique ; architecture complète encore ouverte.</x:v>
      </x:c>
      <x:c r="H17" s="16" t="str">
        <x:v>L 256 ; l 216 ; hauteur 5,55 m ; choix de composition auteur ; dimensions réelles à documenter</x:v>
      </x:c>
      <x:c r="I17" s="16" t="str">
        <x:v>À équilibrer</x:v>
      </x:c>
      <x:c r="J17" s="16" t="str">
        <x:v>Non</x:v>
      </x:c>
      <x:c r="K17" s="16" t="str">
        <x:v>Pièces décrites, murs, portes, niveaux et mobilier inspectables à l’échelle. Volumes réservés, raccord au seed, butin, rencontres et services de campagne restent à terminer.</x:v>
      </x:c>
    </x:row>
    <x:row r="18" ht="96" customHeight="1">
      <x:c r="A18" s="16" t="str">
        <x:v>EXT-MONDE-T001-V13</x:v>
      </x:c>
      <x:c r="B18" s="16" t="str">
        <x:v>EXT-MONDE-T001</x:v>
      </x:c>
      <x:c r="C18" s="16" t="str">
        <x:v>Lacs</x:v>
      </x:c>
      <x:c r="D18" s="16" t="str">
        <x:v>Base nautique lacustre</x:v>
      </x:c>
      <x:c r="E18" s="16" t="n">
        <x:v>13</x:v>
      </x:c>
      <x:c r="F18" s="16" t="str">
        <x:v>Inspection physique</x:v>
      </x:c>
      <x:c r="G18" s="16" t="str">
        <x:v>1 niveaux ; 26 pièces ; 198 segments de mur ; 0 transitions. Inspection physique ; architecture complète encore ouverte.</x:v>
      </x:c>
      <x:c r="H18" s="16" t="str">
        <x:v>L 256 ; l 216 ; hauteur 5,55 m ; choix de composition auteur ; dimensions réelles à documenter</x:v>
      </x:c>
      <x:c r="I18" s="16" t="str">
        <x:v>À équilibrer</x:v>
      </x:c>
      <x:c r="J18" s="16" t="str">
        <x:v>Non</x:v>
      </x:c>
      <x:c r="K18" s="16" t="str">
        <x:v>Pièces décrites, murs, portes, niveaux et mobilier inspectables à l’échelle. Volumes réservés, raccord au seed, butin, rencontres et services de campagne restent à terminer.</x:v>
      </x:c>
    </x:row>
    <x:row r="19" ht="96" customHeight="1">
      <x:c r="A19" s="16" t="str">
        <x:v>EXT-MONDE-T001-V14</x:v>
      </x:c>
      <x:c r="B19" s="16" t="str">
        <x:v>EXT-MONDE-T001</x:v>
      </x:c>
      <x:c r="C19" s="16" t="str">
        <x:v>Lacs</x:v>
      </x:c>
      <x:c r="D19" s="16" t="str">
        <x:v>Base nautique lacustre</x:v>
      </x:c>
      <x:c r="E19" s="16" t="n">
        <x:v>14</x:v>
      </x:c>
      <x:c r="F19" s="16" t="str">
        <x:v>Inspection physique</x:v>
      </x:c>
      <x:c r="G19" s="16" t="str">
        <x:v>1 niveaux ; 26 pièces ; 198 segments de mur ; 0 transitions. Inspection physique ; architecture complète encore ouverte.</x:v>
      </x:c>
      <x:c r="H19" s="16" t="str">
        <x:v>L 256 ; l 216 ; hauteur 5,55 m ; choix de composition auteur ; dimensions réelles à documenter</x:v>
      </x:c>
      <x:c r="I19" s="16" t="str">
        <x:v>À équilibrer</x:v>
      </x:c>
      <x:c r="J19" s="16" t="str">
        <x:v>Non</x:v>
      </x:c>
      <x:c r="K19" s="16" t="str">
        <x:v>Pièces décrites, murs, portes, niveaux et mobilier inspectables à l’échelle. Volumes réservés, raccord au seed, butin, rencontres et services de campagne restent à terminer.</x:v>
      </x:c>
    </x:row>
    <x:row r="20" ht="96" customHeight="1">
      <x:c r="A20" s="16" t="str">
        <x:v>EXT-MONDE-T001-V15</x:v>
      </x:c>
      <x:c r="B20" s="16" t="str">
        <x:v>EXT-MONDE-T001</x:v>
      </x:c>
      <x:c r="C20" s="16" t="str">
        <x:v>Lacs</x:v>
      </x:c>
      <x:c r="D20" s="16" t="str">
        <x:v>Base nautique lacustre</x:v>
      </x:c>
      <x:c r="E20" s="16" t="n">
        <x:v>15</x:v>
      </x:c>
      <x:c r="F20" s="16" t="str">
        <x:v>Inspection physique</x:v>
      </x:c>
      <x:c r="G20" s="16" t="str">
        <x:v>1 niveaux ; 26 pièces ; 198 segments de mur ; 0 transitions. Inspection physique ; architecture complète encore ouverte.</x:v>
      </x:c>
      <x:c r="H20" s="16" t="str">
        <x:v>L 256 ; l 216 ; hauteur 5,55 m ; choix de composition auteur ; dimensions réelles à documenter</x:v>
      </x:c>
      <x:c r="I20" s="16" t="str">
        <x:v>À équilibrer</x:v>
      </x:c>
      <x:c r="J20" s="16" t="str">
        <x:v>Non</x:v>
      </x:c>
      <x:c r="K20" s="16" t="str">
        <x:v>Pièces décrites, murs, portes, niveaux et mobilier inspectables à l’échelle. Volumes réservés, raccord au seed, butin, rencontres et services de campagne restent à terminer.</x:v>
      </x:c>
    </x:row>
    <x:row r="21" ht="96" customHeight="1">
      <x:c r="A21" s="16" t="str">
        <x:v>EXT-MONDE-T001-V16</x:v>
      </x:c>
      <x:c r="B21" s="16" t="str">
        <x:v>EXT-MONDE-T001</x:v>
      </x:c>
      <x:c r="C21" s="16" t="str">
        <x:v>Lacs</x:v>
      </x:c>
      <x:c r="D21" s="16" t="str">
        <x:v>Base nautique lacustre</x:v>
      </x:c>
      <x:c r="E21" s="16" t="n">
        <x:v>16</x:v>
      </x:c>
      <x:c r="F21" s="16" t="str">
        <x:v>Inspection physique</x:v>
      </x:c>
      <x:c r="G21" s="16" t="str">
        <x:v>1 niveaux ; 26 pièces ; 198 segments de mur ; 0 transitions. Inspection physique ; architecture complète encore ouverte.</x:v>
      </x:c>
      <x:c r="H21" s="16" t="str">
        <x:v>L 256 ; l 216 ; hauteur 5,55 m ; choix de composition auteur ; dimensions réelles à documenter</x:v>
      </x:c>
      <x:c r="I21" s="16" t="str">
        <x:v>À équilibrer</x:v>
      </x:c>
      <x:c r="J21" s="16" t="str">
        <x:v>Non</x:v>
      </x:c>
      <x:c r="K21" s="16" t="str">
        <x:v>Pièces décrites, murs, portes, niveaux et mobilier inspectables à l’échelle. Volumes réservés, raccord au seed, butin, rencontres et services de campagne restent à terminer.</x:v>
      </x:c>
    </x:row>
    <x:row r="22" ht="96" customHeight="1">
      <x:c r="A22" s="16" t="str">
        <x:v>EXT-MONDE-T001-V17</x:v>
      </x:c>
      <x:c r="B22" s="16" t="str">
        <x:v>EXT-MONDE-T001</x:v>
      </x:c>
      <x:c r="C22" s="16" t="str">
        <x:v>Lacs</x:v>
      </x:c>
      <x:c r="D22" s="16" t="str">
        <x:v>Base nautique lacustre</x:v>
      </x:c>
      <x:c r="E22" s="16" t="n">
        <x:v>17</x:v>
      </x:c>
      <x:c r="F22" s="16" t="str">
        <x:v>Inspection physique</x:v>
      </x:c>
      <x:c r="G22" s="16" t="str">
        <x:v>1 niveaux ; 26 pièces ; 198 segments de mur ; 0 transitions. Inspection physique ; architecture complète encore ouverte.</x:v>
      </x:c>
      <x:c r="H22" s="16" t="str">
        <x:v>L 256 ; l 216 ; hauteur 5,55 m ; choix de composition auteur ; dimensions réelles à documenter</x:v>
      </x:c>
      <x:c r="I22" s="16" t="str">
        <x:v>À équilibrer</x:v>
      </x:c>
      <x:c r="J22" s="16" t="str">
        <x:v>Non</x:v>
      </x:c>
      <x:c r="K22" s="16" t="str">
        <x:v>Pièces décrites, murs, portes, niveaux et mobilier inspectables à l’échelle. Volumes réservés, raccord au seed, butin, rencontres et services de campagne restent à terminer.</x:v>
      </x:c>
    </x:row>
    <x:row r="23" ht="96" customHeight="1">
      <x:c r="A23" s="16" t="str">
        <x:v>EXT-MONDE-T001-V18</x:v>
      </x:c>
      <x:c r="B23" s="16" t="str">
        <x:v>EXT-MONDE-T001</x:v>
      </x:c>
      <x:c r="C23" s="16" t="str">
        <x:v>Lacs</x:v>
      </x:c>
      <x:c r="D23" s="16" t="str">
        <x:v>Base nautique lacustre</x:v>
      </x:c>
      <x:c r="E23" s="16" t="n">
        <x:v>18</x:v>
      </x:c>
      <x:c r="F23" s="16" t="str">
        <x:v>Inspection physique</x:v>
      </x:c>
      <x:c r="G23" s="16" t="str">
        <x:v>1 niveaux ; 26 pièces ; 198 segments de mur ; 0 transitions. Inspection physique ; architecture complète encore ouverte.</x:v>
      </x:c>
      <x:c r="H23" s="16" t="str">
        <x:v>L 256 ; l 216 ; hauteur 5,55 m ; choix de composition auteur ; dimensions réelles à documenter</x:v>
      </x:c>
      <x:c r="I23" s="16" t="str">
        <x:v>À équilibrer</x:v>
      </x:c>
      <x:c r="J23" s="16" t="str">
        <x:v>Non</x:v>
      </x:c>
      <x:c r="K23" s="16" t="str">
        <x:v>Pièces décrites, murs, portes, niveaux et mobilier inspectables à l’échelle. Volumes réservés, raccord au seed, butin, rencontres et services de campagne restent à terminer.</x:v>
      </x:c>
    </x:row>
    <x:row r="24" ht="96" customHeight="1">
      <x:c r="A24" s="16" t="str">
        <x:v>EXT-MONDE-T001-V19</x:v>
      </x:c>
      <x:c r="B24" s="16" t="str">
        <x:v>EXT-MONDE-T001</x:v>
      </x:c>
      <x:c r="C24" s="16" t="str">
        <x:v>Lacs</x:v>
      </x:c>
      <x:c r="D24" s="16" t="str">
        <x:v>Base nautique lacustre</x:v>
      </x:c>
      <x:c r="E24" s="16" t="n">
        <x:v>19</x:v>
      </x:c>
      <x:c r="F24" s="16" t="str">
        <x:v>Inspection physique</x:v>
      </x:c>
      <x:c r="G24" s="16" t="str">
        <x:v>1 niveaux ; 26 pièces ; 198 segments de mur ; 0 transitions. Inspection physique ; architecture complète encore ouverte.</x:v>
      </x:c>
      <x:c r="H24" s="16" t="str">
        <x:v>L 256 ; l 216 ; hauteur 5,55 m ; choix de composition auteur ; dimensions réelles à documenter</x:v>
      </x:c>
      <x:c r="I24" s="16" t="str">
        <x:v>À équilibrer</x:v>
      </x:c>
      <x:c r="J24" s="16" t="str">
        <x:v>Non</x:v>
      </x:c>
      <x:c r="K24" s="16" t="str">
        <x:v>Pièces décrites, murs, portes, niveaux et mobilier inspectables à l’échelle. Volumes réservés, raccord au seed, butin, rencontres et services de campagne restent à terminer.</x:v>
      </x:c>
    </x:row>
    <x:row r="25" ht="96" customHeight="1">
      <x:c r="A25" s="16" t="str">
        <x:v>EXT-MONDE-T001-V20</x:v>
      </x:c>
      <x:c r="B25" s="16" t="str">
        <x:v>EXT-MONDE-T001</x:v>
      </x:c>
      <x:c r="C25" s="16" t="str">
        <x:v>Lacs</x:v>
      </x:c>
      <x:c r="D25" s="16" t="str">
        <x:v>Base nautique lacustre</x:v>
      </x:c>
      <x:c r="E25" s="16" t="n">
        <x:v>20</x:v>
      </x:c>
      <x:c r="F25" s="16" t="str">
        <x:v>Inspection physique</x:v>
      </x:c>
      <x:c r="G25" s="16" t="str">
        <x:v>1 niveaux ; 26 pièces ; 198 segments de mur ; 0 transitions. Inspection physique ; architecture complète encore ouverte.</x:v>
      </x:c>
      <x:c r="H25" s="16" t="str">
        <x:v>L 256 ; l 216 ; hauteur 5,55 m ; choix de composition auteur ; dimensions réelles à documenter</x:v>
      </x:c>
      <x:c r="I25" s="16" t="str">
        <x:v>À équilibrer</x:v>
      </x:c>
      <x:c r="J25" s="16" t="str">
        <x:v>Non</x:v>
      </x:c>
      <x:c r="K25" s="16" t="str">
        <x:v>Pièces décrites, murs, portes, niveaux et mobilier inspectables à l’échelle. Volumes réservés, raccord au seed, butin, rencontres et services de campagne restent à terminer.</x:v>
      </x:c>
    </x:row>
    <x:row r="26" ht="96" customHeight="1">
      <x:c r="A26" s="16" t="str">
        <x:v>EXT-MONDE-T001-V21</x:v>
      </x:c>
      <x:c r="B26" s="16" t="str">
        <x:v>EXT-MONDE-T001</x:v>
      </x:c>
      <x:c r="C26" s="16" t="str">
        <x:v>Lacs</x:v>
      </x:c>
      <x:c r="D26" s="16" t="str">
        <x:v>Base nautique lacustre</x:v>
      </x:c>
      <x:c r="E26" s="16" t="n">
        <x:v>21</x:v>
      </x:c>
      <x:c r="F26" s="16" t="str">
        <x:v>Inspection physique</x:v>
      </x:c>
      <x:c r="G26" s="16" t="str">
        <x:v>1 niveaux ; 26 pièces ; 198 segments de mur ; 0 transitions. Inspection physique ; architecture complète encore ouverte.</x:v>
      </x:c>
      <x:c r="H26" s="16" t="str">
        <x:v>L 270 ; l 232 ; hauteur 5,7 m ; choix de composition auteur ; dimensions réelles à documenter</x:v>
      </x:c>
      <x:c r="I26" s="16" t="str">
        <x:v>À équilibrer</x:v>
      </x:c>
      <x:c r="J26" s="16" t="str">
        <x:v>Non</x:v>
      </x:c>
      <x:c r="K26" s="16" t="str">
        <x:v>Pièces décrites, murs, portes, niveaux et mobilier inspectables à l’échelle. Volumes réservés, raccord au seed, butin, rencontres et services de campagne restent à terminer.</x:v>
      </x:c>
    </x:row>
    <x:row r="27" ht="96" customHeight="1">
      <x:c r="A27" s="16" t="str">
        <x:v>EXT-MONDE-T001-V22</x:v>
      </x:c>
      <x:c r="B27" s="16" t="str">
        <x:v>EXT-MONDE-T001</x:v>
      </x:c>
      <x:c r="C27" s="16" t="str">
        <x:v>Lacs</x:v>
      </x:c>
      <x:c r="D27" s="16" t="str">
        <x:v>Base nautique lacustre</x:v>
      </x:c>
      <x:c r="E27" s="16" t="n">
        <x:v>22</x:v>
      </x:c>
      <x:c r="F27" s="16" t="str">
        <x:v>Inspection physique</x:v>
      </x:c>
      <x:c r="G27" s="16" t="str">
        <x:v>1 niveaux ; 26 pièces ; 198 segments de mur ; 0 transitions. Inspection physique ; architecture complète encore ouverte.</x:v>
      </x:c>
      <x:c r="H27" s="16" t="str">
        <x:v>L 270 ; l 232 ; hauteur 5,7 m ; choix de composition auteur ; dimensions réelles à documenter</x:v>
      </x:c>
      <x:c r="I27" s="16" t="str">
        <x:v>À équilibrer</x:v>
      </x:c>
      <x:c r="J27" s="16" t="str">
        <x:v>Non</x:v>
      </x:c>
      <x:c r="K27" s="16" t="str">
        <x:v>Pièces décrites, murs, portes, niveaux et mobilier inspectables à l’échelle. Volumes réservés, raccord au seed, butin, rencontres et services de campagne restent à terminer.</x:v>
      </x:c>
    </x:row>
    <x:row r="28" ht="96" customHeight="1">
      <x:c r="A28" s="16" t="str">
        <x:v>EXT-MONDE-T001-V23</x:v>
      </x:c>
      <x:c r="B28" s="16" t="str">
        <x:v>EXT-MONDE-T001</x:v>
      </x:c>
      <x:c r="C28" s="16" t="str">
        <x:v>Lacs</x:v>
      </x:c>
      <x:c r="D28" s="16" t="str">
        <x:v>Base nautique lacustre</x:v>
      </x:c>
      <x:c r="E28" s="16" t="n">
        <x:v>23</x:v>
      </x:c>
      <x:c r="F28" s="16" t="str">
        <x:v>Inspection physique</x:v>
      </x:c>
      <x:c r="G28" s="16" t="str">
        <x:v>1 niveaux ; 26 pièces ; 198 segments de mur ; 0 transitions. Inspection physique ; architecture complète encore ouverte.</x:v>
      </x:c>
      <x:c r="H28" s="16" t="str">
        <x:v>L 270 ; l 232 ; hauteur 5,7 m ; choix de composition auteur ; dimensions réelles à documenter</x:v>
      </x:c>
      <x:c r="I28" s="16" t="str">
        <x:v>À équilibrer</x:v>
      </x:c>
      <x:c r="J28" s="16" t="str">
        <x:v>Non</x:v>
      </x:c>
      <x:c r="K28" s="16" t="str">
        <x:v>Pièces décrites, murs, portes, niveaux et mobilier inspectables à l’échelle. Volumes réservés, raccord au seed, butin, rencontres et services de campagne restent à terminer.</x:v>
      </x:c>
    </x:row>
    <x:row r="29" ht="96" customHeight="1">
      <x:c r="A29" s="16" t="str">
        <x:v>EXT-MONDE-T001-V24</x:v>
      </x:c>
      <x:c r="B29" s="16" t="str">
        <x:v>EXT-MONDE-T001</x:v>
      </x:c>
      <x:c r="C29" s="16" t="str">
        <x:v>Lacs</x:v>
      </x:c>
      <x:c r="D29" s="16" t="str">
        <x:v>Base nautique lacustre</x:v>
      </x:c>
      <x:c r="E29" s="16" t="n">
        <x:v>24</x:v>
      </x:c>
      <x:c r="F29" s="16" t="str">
        <x:v>Inspection physique</x:v>
      </x:c>
      <x:c r="G29" s="16" t="str">
        <x:v>1 niveaux ; 26 pièces ; 198 segments de mur ; 0 transitions. Inspection physique ; architecture complète encore ouverte.</x:v>
      </x:c>
      <x:c r="H29" s="16" t="str">
        <x:v>L 270 ; l 232 ; hauteur 5,7 m ; choix de composition auteur ; dimensions réelles à documenter</x:v>
      </x:c>
      <x:c r="I29" s="16" t="str">
        <x:v>À équilibrer</x:v>
      </x:c>
      <x:c r="J29" s="16" t="str">
        <x:v>Non</x:v>
      </x:c>
      <x:c r="K29" s="16" t="str">
        <x:v>Pièces décrites, murs, portes, niveaux et mobilier inspectables à l’échelle. Volumes réservés, raccord au seed, butin, rencontres et services de campagne restent à terminer.</x:v>
      </x:c>
    </x:row>
    <x:row r="30" ht="96" customHeight="1">
      <x:c r="A30" s="16" t="str">
        <x:v>EXT-MONDE-T001-V25</x:v>
      </x:c>
      <x:c r="B30" s="16" t="str">
        <x:v>EXT-MONDE-T001</x:v>
      </x:c>
      <x:c r="C30" s="16" t="str">
        <x:v>Lacs</x:v>
      </x:c>
      <x:c r="D30" s="16" t="str">
        <x:v>Base nautique lacustre</x:v>
      </x:c>
      <x:c r="E30" s="16" t="n">
        <x:v>25</x:v>
      </x:c>
      <x:c r="F30" s="16" t="str">
        <x:v>Inspection physique</x:v>
      </x:c>
      <x:c r="G30" s="16" t="str">
        <x:v>1 niveaux ; 26 pièces ; 198 segments de mur ; 0 transitions. Inspection physique ; architecture complète encore ouverte.</x:v>
      </x:c>
      <x:c r="H30" s="16" t="str">
        <x:v>L 270 ; l 232 ; hauteur 5,7 m ; choix de composition auteur ; dimensions réelles à documenter</x:v>
      </x:c>
      <x:c r="I30" s="16" t="str">
        <x:v>À équilibrer</x:v>
      </x:c>
      <x:c r="J30" s="16" t="str">
        <x:v>Non</x:v>
      </x:c>
      <x:c r="K30" s="16" t="str">
        <x:v>Pièces décrites, murs, portes, niveaux et mobilier inspectables à l’échelle. Volumes réservés, raccord au seed, butin, rencontres et services de campagne restent à terminer.</x:v>
      </x:c>
    </x:row>
    <x:row r="31" ht="96" customHeight="1">
      <x:c r="A31" s="16" t="str">
        <x:v>EXT-MONDE-T001-V26</x:v>
      </x:c>
      <x:c r="B31" s="16" t="str">
        <x:v>EXT-MONDE-T001</x:v>
      </x:c>
      <x:c r="C31" s="16" t="str">
        <x:v>Lacs</x:v>
      </x:c>
      <x:c r="D31" s="16" t="str">
        <x:v>Base nautique lacustre</x:v>
      </x:c>
      <x:c r="E31" s="16" t="n">
        <x:v>26</x:v>
      </x:c>
      <x:c r="F31" s="16" t="str">
        <x:v>Inspection physique</x:v>
      </x:c>
      <x:c r="G31" s="16" t="str">
        <x:v>1 niveaux ; 26 pièces ; 198 segments de mur ; 0 transitions. Inspection physique ; architecture complète encore ouverte.</x:v>
      </x:c>
      <x:c r="H31" s="16" t="str">
        <x:v>L 270 ; l 232 ; hauteur 5,7 m ; choix de composition auteur ; dimensions réelles à documenter</x:v>
      </x:c>
      <x:c r="I31" s="16" t="str">
        <x:v>À équilibrer</x:v>
      </x:c>
      <x:c r="J31" s="16" t="str">
        <x:v>Non</x:v>
      </x:c>
      <x:c r="K31" s="16" t="str">
        <x:v>Pièces décrites, murs, portes, niveaux et mobilier inspectables à l’échelle. Volumes réservés, raccord au seed, butin, rencontres et services de campagne restent à terminer.</x:v>
      </x:c>
    </x:row>
    <x:row r="32" ht="96" customHeight="1">
      <x:c r="A32" s="16" t="str">
        <x:v>EXT-MONDE-T001-V27</x:v>
      </x:c>
      <x:c r="B32" s="16" t="str">
        <x:v>EXT-MONDE-T001</x:v>
      </x:c>
      <x:c r="C32" s="16" t="str">
        <x:v>Lacs</x:v>
      </x:c>
      <x:c r="D32" s="16" t="str">
        <x:v>Base nautique lacustre</x:v>
      </x:c>
      <x:c r="E32" s="16" t="n">
        <x:v>27</x:v>
      </x:c>
      <x:c r="F32" s="16" t="str">
        <x:v>Inspection physique</x:v>
      </x:c>
      <x:c r="G32" s="16" t="str">
        <x:v>1 niveaux ; 26 pièces ; 198 segments de mur ; 0 transitions. Inspection physique ; architecture complète encore ouverte.</x:v>
      </x:c>
      <x:c r="H32" s="16" t="str">
        <x:v>L 270 ; l 232 ; hauteur 5,7 m ; choix de composition auteur ; dimensions réelles à documenter</x:v>
      </x:c>
      <x:c r="I32" s="16" t="str">
        <x:v>À équilibrer</x:v>
      </x:c>
      <x:c r="J32" s="16" t="str">
        <x:v>Non</x:v>
      </x:c>
      <x:c r="K32" s="16" t="str">
        <x:v>Pièces décrites, murs, portes, niveaux et mobilier inspectables à l’échelle. Volumes réservés, raccord au seed, butin, rencontres et services de campagne restent à terminer.</x:v>
      </x:c>
    </x:row>
    <x:row r="33" ht="96" customHeight="1">
      <x:c r="A33" s="16" t="str">
        <x:v>EXT-MONDE-T001-V28</x:v>
      </x:c>
      <x:c r="B33" s="16" t="str">
        <x:v>EXT-MONDE-T001</x:v>
      </x:c>
      <x:c r="C33" s="16" t="str">
        <x:v>Lacs</x:v>
      </x:c>
      <x:c r="D33" s="16" t="str">
        <x:v>Base nautique lacustre</x:v>
      </x:c>
      <x:c r="E33" s="16" t="n">
        <x:v>28</x:v>
      </x:c>
      <x:c r="F33" s="16" t="str">
        <x:v>Inspection physique</x:v>
      </x:c>
      <x:c r="G33" s="16" t="str">
        <x:v>1 niveaux ; 26 pièces ; 198 segments de mur ; 0 transitions. Inspection physique ; architecture complète encore ouverte.</x:v>
      </x:c>
      <x:c r="H33" s="16" t="str">
        <x:v>L 270 ; l 232 ; hauteur 5,7 m ; choix de composition auteur ; dimensions réelles à documenter</x:v>
      </x:c>
      <x:c r="I33" s="16" t="str">
        <x:v>À équilibrer</x:v>
      </x:c>
      <x:c r="J33" s="16" t="str">
        <x:v>Non</x:v>
      </x:c>
      <x:c r="K33" s="16" t="str">
        <x:v>Pièces décrites, murs, portes, niveaux et mobilier inspectables à l’échelle. Volumes réservés, raccord au seed, butin, rencontres et services de campagne restent à terminer.</x:v>
      </x:c>
    </x:row>
    <x:row r="34" ht="96" customHeight="1">
      <x:c r="A34" s="16" t="str">
        <x:v>EXT-MONDE-T001-V29</x:v>
      </x:c>
      <x:c r="B34" s="16" t="str">
        <x:v>EXT-MONDE-T001</x:v>
      </x:c>
      <x:c r="C34" s="16" t="str">
        <x:v>Lacs</x:v>
      </x:c>
      <x:c r="D34" s="16" t="str">
        <x:v>Base nautique lacustre</x:v>
      </x:c>
      <x:c r="E34" s="16" t="n">
        <x:v>29</x:v>
      </x:c>
      <x:c r="F34" s="16" t="str">
        <x:v>Inspection physique</x:v>
      </x:c>
      <x:c r="G34" s="16" t="str">
        <x:v>1 niveaux ; 26 pièces ; 198 segments de mur ; 0 transitions. Inspection physique ; architecture complète encore ouverte.</x:v>
      </x:c>
      <x:c r="H34" s="16" t="str">
        <x:v>L 270 ; l 232 ; hauteur 5,7 m ; choix de composition auteur ; dimensions réelles à documenter</x:v>
      </x:c>
      <x:c r="I34" s="16" t="str">
        <x:v>À équilibrer</x:v>
      </x:c>
      <x:c r="J34" s="16" t="str">
        <x:v>Non</x:v>
      </x:c>
      <x:c r="K34" s="16" t="str">
        <x:v>Pièces décrites, murs, portes, niveaux et mobilier inspectables à l’échelle. Volumes réservés, raccord au seed, butin, rencontres et services de campagne restent à terminer.</x:v>
      </x:c>
    </x:row>
    <x:row r="35" ht="96" customHeight="1">
      <x:c r="A35" s="16" t="str">
        <x:v>EXT-MONDE-T001-V30</x:v>
      </x:c>
      <x:c r="B35" s="16" t="str">
        <x:v>EXT-MONDE-T001</x:v>
      </x:c>
      <x:c r="C35" s="16" t="str">
        <x:v>Lacs</x:v>
      </x:c>
      <x:c r="D35" s="16" t="str">
        <x:v>Base nautique lacustre</x:v>
      </x:c>
      <x:c r="E35" s="16" t="n">
        <x:v>30</x:v>
      </x:c>
      <x:c r="F35" s="16" t="str">
        <x:v>Inspection physique</x:v>
      </x:c>
      <x:c r="G35" s="16" t="str">
        <x:v>1 niveaux ; 26 pièces ; 198 segments de mur ; 0 transitions. Inspection physique ; architecture complète encore ouverte.</x:v>
      </x:c>
      <x:c r="H35" s="16" t="str">
        <x:v>L 270 ; l 232 ; hauteur 5,7 m ; choix de composition auteur ; dimensions réelles à documenter</x:v>
      </x:c>
      <x:c r="I35" s="16" t="str">
        <x:v>À équilibrer</x:v>
      </x:c>
      <x:c r="J35" s="16" t="str">
        <x:v>Non</x:v>
      </x:c>
      <x:c r="K35" s="16" t="str">
        <x:v>Pièces décrites, murs, portes, niveaux et mobilier inspectables à l’échelle. Volumes réservés, raccord au seed, butin, rencontres et services de campagne restent à terminer.</x:v>
      </x:c>
    </x:row>
    <x:row r="36" ht="96" customHeight="1">
      <x:c r="A36" s="115" t="str">
        <x:v>EXT-MONDE-T001-V31</x:v>
      </x:c>
      <x:c r="B36" s="115" t="str">
        <x:v>EXT-MONDE-T001</x:v>
      </x:c>
      <x:c r="C36" s="115" t="str">
        <x:v>Lacs</x:v>
      </x:c>
      <x:c r="D36" s="115" t="str">
        <x:v>Base nautique lacustre</x:v>
      </x:c>
      <x:c r="E36" s="115" t="n">
        <x:v>31</x:v>
      </x:c>
      <x:c r="F36" s="115" t="str">
        <x:v>Inspection physique</x:v>
      </x:c>
      <x:c r="G36" s="115" t="str">
        <x:v>1 niveaux ; 26 pièces ; 198 segments de mur ; 0 transitions. Inspection physique ; architecture complète encore ouverte.</x:v>
      </x:c>
      <x:c r="H36" s="115" t="str">
        <x:v>L 284 ; l 248 ; hauteur 5,85 m ; choix de composition auteur ; dimensions réelles à documenter</x:v>
      </x:c>
      <x:c r="I36" s="115" t="str">
        <x:v>À équilibrer</x:v>
      </x:c>
      <x:c r="J36" s="115" t="str">
        <x:v>Non</x:v>
      </x:c>
      <x:c r="K36" s="115" t="str">
        <x:v>Pièces décrites, murs, portes, niveaux et mobilier inspectables à l’échelle. Volumes réservés, raccord au seed, butin, rencontres et services de campagne restent à terminer.</x:v>
      </x:c>
    </x:row>
    <x:row r="37" ht="96" customHeight="1">
      <x:c r="A37" s="115" t="str">
        <x:v>EXT-MONDE-T001-V32</x:v>
      </x:c>
      <x:c r="B37" s="115" t="str">
        <x:v>EXT-MONDE-T001</x:v>
      </x:c>
      <x:c r="C37" s="115" t="str">
        <x:v>Lacs</x:v>
      </x:c>
      <x:c r="D37" s="115" t="str">
        <x:v>Base nautique lacustre</x:v>
      </x:c>
      <x:c r="E37" s="115" t="n">
        <x:v>32</x:v>
      </x:c>
      <x:c r="F37" s="115" t="str">
        <x:v>Inspection physique</x:v>
      </x:c>
      <x:c r="G37" s="115" t="str">
        <x:v>1 niveaux ; 26 pièces ; 198 segments de mur ; 0 transitions. Inspection physique ; architecture complète encore ouverte.</x:v>
      </x:c>
      <x:c r="H37" s="115" t="str">
        <x:v>L 284 ; l 248 ; hauteur 5,85 m ; choix de composition auteur ; dimensions réelles à documenter</x:v>
      </x:c>
      <x:c r="I37" s="115" t="str">
        <x:v>À équilibrer</x:v>
      </x:c>
      <x:c r="J37" s="115" t="str">
        <x:v>Non</x:v>
      </x:c>
      <x:c r="K37" s="115" t="str">
        <x:v>Pièces décrites, murs, portes, niveaux et mobilier inspectables à l’échelle. Volumes réservés, raccord au seed, butin, rencontres et services de campagne restent à terminer.</x:v>
      </x:c>
    </x:row>
    <x:row r="38" ht="96" customHeight="1">
      <x:c r="A38" s="115" t="str">
        <x:v>EXT-MONDE-T001-V33</x:v>
      </x:c>
      <x:c r="B38" s="115" t="str">
        <x:v>EXT-MONDE-T001</x:v>
      </x:c>
      <x:c r="C38" s="115" t="str">
        <x:v>Lacs</x:v>
      </x:c>
      <x:c r="D38" s="115" t="str">
        <x:v>Base nautique lacustre</x:v>
      </x:c>
      <x:c r="E38" s="115" t="n">
        <x:v>33</x:v>
      </x:c>
      <x:c r="F38" s="115" t="str">
        <x:v>Inspection physique</x:v>
      </x:c>
      <x:c r="G38" s="115" t="str">
        <x:v>1 niveaux ; 26 pièces ; 198 segments de mur ; 0 transitions. Inspection physique ; architecture complète encore ouverte.</x:v>
      </x:c>
      <x:c r="H38" s="115" t="str">
        <x:v>L 284 ; l 248 ; hauteur 5,85 m ; choix de composition auteur ; dimensions réelles à documenter</x:v>
      </x:c>
      <x:c r="I38" s="115" t="str">
        <x:v>À équilibrer</x:v>
      </x:c>
      <x:c r="J38" s="115" t="str">
        <x:v>Non</x:v>
      </x:c>
      <x:c r="K38" s="115" t="str">
        <x:v>Pièces décrites, murs, portes, niveaux et mobilier inspectables à l’échelle. Volumes réservés, raccord au seed, butin, rencontres et services de campagne restent à terminer.</x:v>
      </x:c>
    </x:row>
    <x:row r="39" ht="96" customHeight="1">
      <x:c r="A39" s="115" t="str">
        <x:v>EXT-MONDE-T001-V34</x:v>
      </x:c>
      <x:c r="B39" s="115" t="str">
        <x:v>EXT-MONDE-T001</x:v>
      </x:c>
      <x:c r="C39" s="115" t="str">
        <x:v>Lacs</x:v>
      </x:c>
      <x:c r="D39" s="115" t="str">
        <x:v>Base nautique lacustre</x:v>
      </x:c>
      <x:c r="E39" s="115" t="n">
        <x:v>34</x:v>
      </x:c>
      <x:c r="F39" s="115" t="str">
        <x:v>Inspection physique</x:v>
      </x:c>
      <x:c r="G39" s="115" t="str">
        <x:v>1 niveaux ; 26 pièces ; 198 segments de mur ; 0 transitions. Inspection physique ; architecture complète encore ouverte.</x:v>
      </x:c>
      <x:c r="H39" s="115" t="str">
        <x:v>L 284 ; l 248 ; hauteur 5,85 m ; choix de composition auteur ; dimensions réelles à documenter</x:v>
      </x:c>
      <x:c r="I39" s="115" t="str">
        <x:v>À équilibrer</x:v>
      </x:c>
      <x:c r="J39" s="115" t="str">
        <x:v>Non</x:v>
      </x:c>
      <x:c r="K39" s="115" t="str">
        <x:v>Pièces décrites, murs, portes, niveaux et mobilier inspectables à l’échelle. Volumes réservés, raccord au seed, butin, rencontres et services de campagne restent à terminer.</x:v>
      </x:c>
    </x:row>
    <x:row r="40" ht="96" customHeight="1">
      <x:c r="A40" s="115" t="str">
        <x:v>EXT-MONDE-T001-V35</x:v>
      </x:c>
      <x:c r="B40" s="115" t="str">
        <x:v>EXT-MONDE-T001</x:v>
      </x:c>
      <x:c r="C40" s="115" t="str">
        <x:v>Lacs</x:v>
      </x:c>
      <x:c r="D40" s="115" t="str">
        <x:v>Base nautique lacustre</x:v>
      </x:c>
      <x:c r="E40" s="115" t="n">
        <x:v>35</x:v>
      </x:c>
      <x:c r="F40" s="115" t="str">
        <x:v>Inspection physique</x:v>
      </x:c>
      <x:c r="G40" s="115" t="str">
        <x:v>1 niveaux ; 26 pièces ; 198 segments de mur ; 0 transitions. Inspection physique ; architecture complète encore ouverte.</x:v>
      </x:c>
      <x:c r="H40" s="115" t="str">
        <x:v>L 284 ; l 248 ; hauteur 5,85 m ; choix de composition auteur ; dimensions réelles à documenter</x:v>
      </x:c>
      <x:c r="I40" s="115" t="str">
        <x:v>À équilibrer</x:v>
      </x:c>
      <x:c r="J40" s="115" t="str">
        <x:v>Non</x:v>
      </x:c>
      <x:c r="K40" s="115" t="str">
        <x:v>Pièces décrites, murs, portes, niveaux et mobilier inspectables à l’échelle. Volumes réservés, raccord au seed, butin, rencontres et services de campagne restent à terminer.</x:v>
      </x:c>
    </x:row>
    <x:row r="41" ht="96" customHeight="1">
      <x:c r="A41" s="115" t="str">
        <x:v>EXT-MONDE-T001-V36</x:v>
      </x:c>
      <x:c r="B41" s="115" t="str">
        <x:v>EXT-MONDE-T001</x:v>
      </x:c>
      <x:c r="C41" s="115" t="str">
        <x:v>Lacs</x:v>
      </x:c>
      <x:c r="D41" s="115" t="str">
        <x:v>Base nautique lacustre</x:v>
      </x:c>
      <x:c r="E41" s="115" t="n">
        <x:v>36</x:v>
      </x:c>
      <x:c r="F41" s="115" t="str">
        <x:v>Inspection physique</x:v>
      </x:c>
      <x:c r="G41" s="115" t="str">
        <x:v>1 niveaux ; 26 pièces ; 198 segments de mur ; 0 transitions. Inspection physique ; architecture complète encore ouverte.</x:v>
      </x:c>
      <x:c r="H41" s="115" t="str">
        <x:v>L 284 ; l 248 ; hauteur 5,85 m ; choix de composition auteur ; dimensions réelles à documenter</x:v>
      </x:c>
      <x:c r="I41" s="115" t="str">
        <x:v>À équilibrer</x:v>
      </x:c>
      <x:c r="J41" s="115" t="str">
        <x:v>Non</x:v>
      </x:c>
      <x:c r="K41" s="115" t="str">
        <x:v>Pièces décrites, murs, portes, niveaux et mobilier inspectables à l’échelle. Volumes réservés, raccord au seed, butin, rencontres et services de campagne restent à terminer.</x:v>
      </x:c>
    </x:row>
    <x:row r="42" ht="96" customHeight="1">
      <x:c r="A42" s="115" t="str">
        <x:v>EXT-MONDE-T001-V37</x:v>
      </x:c>
      <x:c r="B42" s="115" t="str">
        <x:v>EXT-MONDE-T001</x:v>
      </x:c>
      <x:c r="C42" s="115" t="str">
        <x:v>Lacs</x:v>
      </x:c>
      <x:c r="D42" s="115" t="str">
        <x:v>Base nautique lacustre</x:v>
      </x:c>
      <x:c r="E42" s="115" t="n">
        <x:v>37</x:v>
      </x:c>
      <x:c r="F42" s="115" t="str">
        <x:v>Inspection physique</x:v>
      </x:c>
      <x:c r="G42" s="115" t="str">
        <x:v>1 niveaux ; 26 pièces ; 198 segments de mur ; 0 transitions. Inspection physique ; architecture complète encore ouverte.</x:v>
      </x:c>
      <x:c r="H42" s="115" t="str">
        <x:v>L 284 ; l 248 ; hauteur 5,85 m ; choix de composition auteur ; dimensions réelles à documenter</x:v>
      </x:c>
      <x:c r="I42" s="115" t="str">
        <x:v>À équilibrer</x:v>
      </x:c>
      <x:c r="J42" s="115" t="str">
        <x:v>Non</x:v>
      </x:c>
      <x:c r="K42" s="115" t="str">
        <x:v>Pièces décrites, murs, portes, niveaux et mobilier inspectables à l’échelle. Volumes réservés, raccord au seed, butin, rencontres et services de campagne restent à terminer.</x:v>
      </x:c>
    </x:row>
    <x:row r="43" ht="96" customHeight="1">
      <x:c r="A43" s="115" t="str">
        <x:v>EXT-MONDE-T001-V38</x:v>
      </x:c>
      <x:c r="B43" s="115" t="str">
        <x:v>EXT-MONDE-T001</x:v>
      </x:c>
      <x:c r="C43" s="115" t="str">
        <x:v>Lacs</x:v>
      </x:c>
      <x:c r="D43" s="115" t="str">
        <x:v>Base nautique lacustre</x:v>
      </x:c>
      <x:c r="E43" s="115" t="n">
        <x:v>38</x:v>
      </x:c>
      <x:c r="F43" s="115" t="str">
        <x:v>Inspection physique</x:v>
      </x:c>
      <x:c r="G43" s="115" t="str">
        <x:v>1 niveaux ; 26 pièces ; 198 segments de mur ; 0 transitions. Inspection physique ; architecture complète encore ouverte.</x:v>
      </x:c>
      <x:c r="H43" s="115" t="str">
        <x:v>L 284 ; l 248 ; hauteur 5,85 m ; choix de composition auteur ; dimensions réelles à documenter</x:v>
      </x:c>
      <x:c r="I43" s="115" t="str">
        <x:v>À équilibrer</x:v>
      </x:c>
      <x:c r="J43" s="115" t="str">
        <x:v>Non</x:v>
      </x:c>
      <x:c r="K43" s="115" t="str">
        <x:v>Pièces décrites, murs, portes, niveaux et mobilier inspectables à l’échelle. Volumes réservés, raccord au seed, butin, rencontres et services de campagne restent à terminer.</x:v>
      </x:c>
    </x:row>
    <x:row r="44" ht="96" customHeight="1">
      <x:c r="A44" s="115" t="str">
        <x:v>EXT-MONDE-T001-V39</x:v>
      </x:c>
      <x:c r="B44" s="115" t="str">
        <x:v>EXT-MONDE-T001</x:v>
      </x:c>
      <x:c r="C44" s="115" t="str">
        <x:v>Lacs</x:v>
      </x:c>
      <x:c r="D44" s="115" t="str">
        <x:v>Base nautique lacustre</x:v>
      </x:c>
      <x:c r="E44" s="115" t="n">
        <x:v>39</x:v>
      </x:c>
      <x:c r="F44" s="115" t="str">
        <x:v>Inspection physique</x:v>
      </x:c>
      <x:c r="G44" s="115" t="str">
        <x:v>1 niveaux ; 26 pièces ; 198 segments de mur ; 0 transitions. Inspection physique ; architecture complète encore ouverte.</x:v>
      </x:c>
      <x:c r="H44" s="115" t="str">
        <x:v>L 284 ; l 248 ; hauteur 5,85 m ; choix de composition auteur ; dimensions réelles à documenter</x:v>
      </x:c>
      <x:c r="I44" s="115" t="str">
        <x:v>À équilibrer</x:v>
      </x:c>
      <x:c r="J44" s="115" t="str">
        <x:v>Non</x:v>
      </x:c>
      <x:c r="K44" s="115" t="str">
        <x:v>Pièces décrites, murs, portes, niveaux et mobilier inspectables à l’échelle. Volumes réservés, raccord au seed, butin, rencontres et services de campagne restent à terminer.</x:v>
      </x:c>
    </x:row>
    <x:row r="45" ht="96" customHeight="1">
      <x:c r="A45" s="115" t="str">
        <x:v>EXT-MONDE-T001-V40</x:v>
      </x:c>
      <x:c r="B45" s="115" t="str">
        <x:v>EXT-MONDE-T001</x:v>
      </x:c>
      <x:c r="C45" s="115" t="str">
        <x:v>Lacs</x:v>
      </x:c>
      <x:c r="D45" s="115" t="str">
        <x:v>Base nautique lacustre</x:v>
      </x:c>
      <x:c r="E45" s="115" t="n">
        <x:v>40</x:v>
      </x:c>
      <x:c r="F45" s="115" t="str">
        <x:v>Inspection physique</x:v>
      </x:c>
      <x:c r="G45" s="115" t="str">
        <x:v>1 niveaux ; 26 pièces ; 198 segments de mur ; 0 transitions. Inspection physique ; architecture complète encore ouverte.</x:v>
      </x:c>
      <x:c r="H45" s="115" t="str">
        <x:v>L 284 ; l 248 ; hauteur 5,85 m ; choix de composition auteur ; dimensions réelles à documenter</x:v>
      </x:c>
      <x:c r="I45" s="115" t="str">
        <x:v>À équilibrer</x:v>
      </x:c>
      <x:c r="J45" s="115" t="str">
        <x:v>Non</x:v>
      </x:c>
      <x:c r="K45" s="115" t="str">
        <x:v>Pièces décrites, murs, portes, niveaux et mobilier inspectables à l’échelle. Volumes réservés, raccord au seed, butin, rencontres et services de campagne restent à terminer.</x:v>
      </x:c>
    </x:row>
    <x:row r="46" ht="96" customHeight="1">
      <x:c r="A46" s="115" t="str">
        <x:v>EXT-MONDE-T001-V41</x:v>
      </x:c>
      <x:c r="B46" s="115" t="str">
        <x:v>EXT-MONDE-T001</x:v>
      </x:c>
      <x:c r="C46" s="115" t="str">
        <x:v>Lacs</x:v>
      </x:c>
      <x:c r="D46" s="115" t="str">
        <x:v>Base nautique lacustre</x:v>
      </x:c>
      <x:c r="E46" s="115" t="n">
        <x:v>41</x:v>
      </x:c>
      <x:c r="F46" s="115" t="str">
        <x:v>Inspection physique</x:v>
      </x:c>
      <x:c r="G46" s="115" t="str">
        <x:v>1 niveaux ; 26 pièces ; 198 segments de mur ; 0 transitions. Inspection physique ; architecture complète encore ouverte.</x:v>
      </x:c>
      <x:c r="H46" s="115" t="str">
        <x:v>L 298 ; l 264 ; hauteur 6 m ; choix de composition auteur ; dimensions réelles à documenter</x:v>
      </x:c>
      <x:c r="I46" s="115" t="str">
        <x:v>À équilibrer</x:v>
      </x:c>
      <x:c r="J46" s="115" t="str">
        <x:v>Non</x:v>
      </x:c>
      <x:c r="K46" s="115" t="str">
        <x:v>Pièces décrites, murs, portes, niveaux et mobilier inspectables à l’échelle. Volumes réservés, raccord au seed, butin, rencontres et services de campagne restent à terminer.</x:v>
      </x:c>
    </x:row>
    <x:row r="47" ht="96" customHeight="1">
      <x:c r="A47" s="115" t="str">
        <x:v>EXT-MONDE-T001-V42</x:v>
      </x:c>
      <x:c r="B47" s="115" t="str">
        <x:v>EXT-MONDE-T001</x:v>
      </x:c>
      <x:c r="C47" s="115" t="str">
        <x:v>Lacs</x:v>
      </x:c>
      <x:c r="D47" s="115" t="str">
        <x:v>Base nautique lacustre</x:v>
      </x:c>
      <x:c r="E47" s="115" t="n">
        <x:v>42</x:v>
      </x:c>
      <x:c r="F47" s="115" t="str">
        <x:v>Inspection physique</x:v>
      </x:c>
      <x:c r="G47" s="115" t="str">
        <x:v>1 niveaux ; 26 pièces ; 198 segments de mur ; 0 transitions. Inspection physique ; architecture complète encore ouverte.</x:v>
      </x:c>
      <x:c r="H47" s="115" t="str">
        <x:v>L 298 ; l 264 ; hauteur 6 m ; choix de composition auteur ; dimensions réelles à documenter</x:v>
      </x:c>
      <x:c r="I47" s="115" t="str">
        <x:v>À équilibrer</x:v>
      </x:c>
      <x:c r="J47" s="115" t="str">
        <x:v>Non</x:v>
      </x:c>
      <x:c r="K47" s="115" t="str">
        <x:v>Pièces décrites, murs, portes, niveaux et mobilier inspectables à l’échelle. Volumes réservés, raccord au seed, butin, rencontres et services de campagne restent à terminer.</x:v>
      </x:c>
    </x:row>
    <x:row r="48" ht="96" customHeight="1">
      <x:c r="A48" s="115" t="str">
        <x:v>EXT-MONDE-T001-V43</x:v>
      </x:c>
      <x:c r="B48" s="115" t="str">
        <x:v>EXT-MONDE-T001</x:v>
      </x:c>
      <x:c r="C48" s="115" t="str">
        <x:v>Lacs</x:v>
      </x:c>
      <x:c r="D48" s="115" t="str">
        <x:v>Base nautique lacustre</x:v>
      </x:c>
      <x:c r="E48" s="115" t="n">
        <x:v>43</x:v>
      </x:c>
      <x:c r="F48" s="115" t="str">
        <x:v>Inspection physique</x:v>
      </x:c>
      <x:c r="G48" s="115" t="str">
        <x:v>1 niveaux ; 26 pièces ; 198 segments de mur ; 0 transitions. Inspection physique ; architecture complète encore ouverte.</x:v>
      </x:c>
      <x:c r="H48" s="115" t="str">
        <x:v>L 298 ; l 264 ; hauteur 6 m ; choix de composition auteur ; dimensions réelles à documenter</x:v>
      </x:c>
      <x:c r="I48" s="115" t="str">
        <x:v>À équilibrer</x:v>
      </x:c>
      <x:c r="J48" s="115" t="str">
        <x:v>Non</x:v>
      </x:c>
      <x:c r="K48" s="115" t="str">
        <x:v>Pièces décrites, murs, portes, niveaux et mobilier inspectables à l’échelle. Volumes réservés, raccord au seed, butin, rencontres et services de campagne restent à terminer.</x:v>
      </x:c>
    </x:row>
    <x:row r="49" ht="96" customHeight="1">
      <x:c r="A49" s="115" t="str">
        <x:v>EXT-MONDE-T001-V44</x:v>
      </x:c>
      <x:c r="B49" s="115" t="str">
        <x:v>EXT-MONDE-T001</x:v>
      </x:c>
      <x:c r="C49" s="115" t="str">
        <x:v>Lacs</x:v>
      </x:c>
      <x:c r="D49" s="115" t="str">
        <x:v>Base nautique lacustre</x:v>
      </x:c>
      <x:c r="E49" s="115" t="n">
        <x:v>44</x:v>
      </x:c>
      <x:c r="F49" s="115" t="str">
        <x:v>Inspection physique</x:v>
      </x:c>
      <x:c r="G49" s="115" t="str">
        <x:v>1 niveaux ; 26 pièces ; 198 segments de mur ; 0 transitions. Inspection physique ; architecture complète encore ouverte.</x:v>
      </x:c>
      <x:c r="H49" s="115" t="str">
        <x:v>L 298 ; l 264 ; hauteur 6 m ; choix de composition auteur ; dimensions réelles à documenter</x:v>
      </x:c>
      <x:c r="I49" s="115" t="str">
        <x:v>À équilibrer</x:v>
      </x:c>
      <x:c r="J49" s="115" t="str">
        <x:v>Non</x:v>
      </x:c>
      <x:c r="K49" s="115" t="str">
        <x:v>Pièces décrites, murs, portes, niveaux et mobilier inspectables à l’échelle. Volumes réservés, raccord au seed, butin, rencontres et services de campagne restent à terminer.</x:v>
      </x:c>
    </x:row>
    <x:row r="50" ht="96" customHeight="1">
      <x:c r="A50" s="115" t="str">
        <x:v>EXT-MONDE-T001-V45</x:v>
      </x:c>
      <x:c r="B50" s="115" t="str">
        <x:v>EXT-MONDE-T001</x:v>
      </x:c>
      <x:c r="C50" s="115" t="str">
        <x:v>Lacs</x:v>
      </x:c>
      <x:c r="D50" s="115" t="str">
        <x:v>Base nautique lacustre</x:v>
      </x:c>
      <x:c r="E50" s="115" t="n">
        <x:v>45</x:v>
      </x:c>
      <x:c r="F50" s="115" t="str">
        <x:v>Inspection physique</x:v>
      </x:c>
      <x:c r="G50" s="115" t="str">
        <x:v>1 niveaux ; 26 pièces ; 198 segments de mur ; 0 transitions. Inspection physique ; architecture complète encore ouverte.</x:v>
      </x:c>
      <x:c r="H50" s="115" t="str">
        <x:v>L 298 ; l 264 ; hauteur 6 m ; choix de composition auteur ; dimensions réelles à documenter</x:v>
      </x:c>
      <x:c r="I50" s="115" t="str">
        <x:v>À équilibrer</x:v>
      </x:c>
      <x:c r="J50" s="115" t="str">
        <x:v>Non</x:v>
      </x:c>
      <x:c r="K50" s="115" t="str">
        <x:v>Pièces décrites, murs, portes, niveaux et mobilier inspectables à l’échelle. Volumes réservés, raccord au seed, butin, rencontres et services de campagne restent à terminer.</x:v>
      </x:c>
    </x:row>
    <x:row r="51" ht="96" customHeight="1">
      <x:c r="A51" s="115" t="str">
        <x:v>EXT-MONDE-T001-V46</x:v>
      </x:c>
      <x:c r="B51" s="115" t="str">
        <x:v>EXT-MONDE-T001</x:v>
      </x:c>
      <x:c r="C51" s="115" t="str">
        <x:v>Lacs</x:v>
      </x:c>
      <x:c r="D51" s="115" t="str">
        <x:v>Base nautique lacustre</x:v>
      </x:c>
      <x:c r="E51" s="115" t="n">
        <x:v>46</x:v>
      </x:c>
      <x:c r="F51" s="115" t="str">
        <x:v>Inspection physique</x:v>
      </x:c>
      <x:c r="G51" s="115" t="str">
        <x:v>1 niveaux ; 26 pièces ; 198 segments de mur ; 0 transitions. Inspection physique ; architecture complète encore ouverte.</x:v>
      </x:c>
      <x:c r="H51" s="115" t="str">
        <x:v>L 298 ; l 264 ; hauteur 6 m ; choix de composition auteur ; dimensions réelles à documenter</x:v>
      </x:c>
      <x:c r="I51" s="115" t="str">
        <x:v>À équilibrer</x:v>
      </x:c>
      <x:c r="J51" s="115" t="str">
        <x:v>Non</x:v>
      </x:c>
      <x:c r="K51" s="115" t="str">
        <x:v>Pièces décrites, murs, portes, niveaux et mobilier inspectables à l’échelle. Volumes réservés, raccord au seed, butin, rencontres et services de campagne restent à terminer.</x:v>
      </x:c>
    </x:row>
    <x:row r="52" ht="96" customHeight="1">
      <x:c r="A52" s="115" t="str">
        <x:v>EXT-MONDE-T001-V47</x:v>
      </x:c>
      <x:c r="B52" s="115" t="str">
        <x:v>EXT-MONDE-T001</x:v>
      </x:c>
      <x:c r="C52" s="115" t="str">
        <x:v>Lacs</x:v>
      </x:c>
      <x:c r="D52" s="115" t="str">
        <x:v>Base nautique lacustre</x:v>
      </x:c>
      <x:c r="E52" s="115" t="n">
        <x:v>47</x:v>
      </x:c>
      <x:c r="F52" s="115" t="str">
        <x:v>Inspection physique</x:v>
      </x:c>
      <x:c r="G52" s="115" t="str">
        <x:v>1 niveaux ; 26 pièces ; 198 segments de mur ; 0 transitions. Inspection physique ; architecture complète encore ouverte.</x:v>
      </x:c>
      <x:c r="H52" s="115" t="str">
        <x:v>L 298 ; l 264 ; hauteur 6 m ; choix de composition auteur ; dimensions réelles à documenter</x:v>
      </x:c>
      <x:c r="I52" s="115" t="str">
        <x:v>À équilibrer</x:v>
      </x:c>
      <x:c r="J52" s="115" t="str">
        <x:v>Non</x:v>
      </x:c>
      <x:c r="K52" s="115" t="str">
        <x:v>Pièces décrites, murs, portes, niveaux et mobilier inspectables à l’échelle. Volumes réservés, raccord au seed, butin, rencontres et services de campagne restent à terminer.</x:v>
      </x:c>
    </x:row>
    <x:row r="53" ht="96" customHeight="1">
      <x:c r="A53" s="115" t="str">
        <x:v>EXT-MONDE-T001-V48</x:v>
      </x:c>
      <x:c r="B53" s="115" t="str">
        <x:v>EXT-MONDE-T001</x:v>
      </x:c>
      <x:c r="C53" s="115" t="str">
        <x:v>Lacs</x:v>
      </x:c>
      <x:c r="D53" s="115" t="str">
        <x:v>Base nautique lacustre</x:v>
      </x:c>
      <x:c r="E53" s="115" t="n">
        <x:v>48</x:v>
      </x:c>
      <x:c r="F53" s="115" t="str">
        <x:v>Inspection physique</x:v>
      </x:c>
      <x:c r="G53" s="115" t="str">
        <x:v>1 niveaux ; 26 pièces ; 198 segments de mur ; 0 transitions. Inspection physique ; architecture complète encore ouverte.</x:v>
      </x:c>
      <x:c r="H53" s="115" t="str">
        <x:v>L 298 ; l 264 ; hauteur 6 m ; choix de composition auteur ; dimensions réelles à documenter</x:v>
      </x:c>
      <x:c r="I53" s="115" t="str">
        <x:v>À équilibrer</x:v>
      </x:c>
      <x:c r="J53" s="115" t="str">
        <x:v>Non</x:v>
      </x:c>
      <x:c r="K53" s="115" t="str">
        <x:v>Pièces décrites, murs, portes, niveaux et mobilier inspectables à l’échelle. Volumes réservés, raccord au seed, butin, rencontres et services de campagne restent à terminer.</x:v>
      </x:c>
    </x:row>
    <x:row r="54" ht="96" customHeight="1">
      <x:c r="A54" s="115" t="str">
        <x:v>EXT-MONDE-T001-V49</x:v>
      </x:c>
      <x:c r="B54" s="115" t="str">
        <x:v>EXT-MONDE-T001</x:v>
      </x:c>
      <x:c r="C54" s="115" t="str">
        <x:v>Lacs</x:v>
      </x:c>
      <x:c r="D54" s="115" t="str">
        <x:v>Base nautique lacustre</x:v>
      </x:c>
      <x:c r="E54" s="115" t="n">
        <x:v>49</x:v>
      </x:c>
      <x:c r="F54" s="115" t="str">
        <x:v>Inspection physique</x:v>
      </x:c>
      <x:c r="G54" s="115" t="str">
        <x:v>1 niveaux ; 26 pièces ; 198 segments de mur ; 0 transitions. Inspection physique ; architecture complète encore ouverte.</x:v>
      </x:c>
      <x:c r="H54" s="115" t="str">
        <x:v>L 298 ; l 264 ; hauteur 6 m ; choix de composition auteur ; dimensions réelles à documenter</x:v>
      </x:c>
      <x:c r="I54" s="115" t="str">
        <x:v>À équilibrer</x:v>
      </x:c>
      <x:c r="J54" s="115" t="str">
        <x:v>Non</x:v>
      </x:c>
      <x:c r="K54" s="115" t="str">
        <x:v>Pièces décrites, murs, portes, niveaux et mobilier inspectables à l’échelle. Volumes réservés, raccord au seed, butin, rencontres et services de campagne restent à terminer.</x:v>
      </x:c>
    </x:row>
    <x:row r="55" ht="96" customHeight="1">
      <x:c r="A55" s="115" t="str">
        <x:v>EXT-MONDE-T001-V50</x:v>
      </x:c>
      <x:c r="B55" s="115" t="str">
        <x:v>EXT-MONDE-T001</x:v>
      </x:c>
      <x:c r="C55" s="115" t="str">
        <x:v>Lacs</x:v>
      </x:c>
      <x:c r="D55" s="115" t="str">
        <x:v>Base nautique lacustre</x:v>
      </x:c>
      <x:c r="E55" s="115" t="n">
        <x:v>50</x:v>
      </x:c>
      <x:c r="F55" s="115" t="str">
        <x:v>Inspection physique</x:v>
      </x:c>
      <x:c r="G55" s="115" t="str">
        <x:v>1 niveaux ; 26 pièces ; 198 segments de mur ; 0 transitions. Inspection physique ; architecture complète encore ouverte.</x:v>
      </x:c>
      <x:c r="H55" s="115" t="str">
        <x:v>L 298 ; l 264 ; hauteur 6 m ; choix de composition auteur ; dimensions réelles à documenter</x:v>
      </x:c>
      <x:c r="I55" s="115" t="str">
        <x:v>À équilibrer</x:v>
      </x:c>
      <x:c r="J55" s="115" t="str">
        <x:v>Non</x:v>
      </x:c>
      <x:c r="K55" s="115" t="str">
        <x:v>Pièces décrites, murs, portes, niveaux et mobilier inspectables à l’échelle. Volumes réservés, raccord au seed, butin, rencontres et services de campagne restent à terminer.</x:v>
      </x:c>
    </x:row>
    <x:row r="56" ht="96" customHeight="1">
      <x:c r="A56" s="115" t="str">
        <x:v>EXT-MONDE-T002-V01</x:v>
      </x:c>
      <x:c r="B56" s="115" t="str">
        <x:v>EXT-MONDE-T002</x:v>
      </x:c>
      <x:c r="C56" s="115" t="str">
        <x:v>Lacs</x:v>
      </x:c>
      <x:c r="D56" s="115" t="str">
        <x:v>Village de pêche lacustre</x:v>
      </x:c>
      <x:c r="E56" s="115" t="n">
        <x:v>1</x:v>
      </x:c>
      <x:c r="F56" s="115" t="str">
        <x:v>Inspection physique</x:v>
      </x:c>
      <x:c r="G56" s="115" t="str">
        <x:v>1 niveaux ; 24 pièces ; 186 segments de mur ; 0 transitions. Inspection physique ; architecture complète encore ouverte.</x:v>
      </x:c>
      <x:c r="H56" s="115" t="str">
        <x:v>L 242 ; l 200 ; hauteur 4,6 m ; choix de composition auteur ; dimensions réelles à documenter</x:v>
      </x:c>
      <x:c r="I56" s="115" t="str">
        <x:v>À équilibrer</x:v>
      </x:c>
      <x:c r="J56" s="115" t="str">
        <x:v>Non</x:v>
      </x:c>
      <x:c r="K56" s="115" t="str">
        <x:v>Pièces décrites, murs, portes, niveaux et mobilier inspectables à l’échelle. Volumes réservés, raccord au seed, butin, rencontres et services de campagne restent à terminer.</x:v>
      </x:c>
    </x:row>
    <x:row r="57" ht="96" customHeight="1">
      <x:c r="A57" s="115" t="str">
        <x:v>EXT-MONDE-T002-V02</x:v>
      </x:c>
      <x:c r="B57" s="115" t="str">
        <x:v>EXT-MONDE-T002</x:v>
      </x:c>
      <x:c r="C57" s="115" t="str">
        <x:v>Lacs</x:v>
      </x:c>
      <x:c r="D57" s="115" t="str">
        <x:v>Village de pêche lacustre</x:v>
      </x:c>
      <x:c r="E57" s="115" t="n">
        <x:v>2</x:v>
      </x:c>
      <x:c r="F57" s="115" t="str">
        <x:v>Inspection physique</x:v>
      </x:c>
      <x:c r="G57" s="115" t="str">
        <x:v>1 niveaux ; 24 pièces ; 186 segments de mur ; 0 transitions. Inspection physique ; architecture complète encore ouverte.</x:v>
      </x:c>
      <x:c r="H57" s="115" t="str">
        <x:v>L 242 ; l 200 ; hauteur 4,6 m ; choix de composition auteur ; dimensions réelles à documenter</x:v>
      </x:c>
      <x:c r="I57" s="115" t="str">
        <x:v>À équilibrer</x:v>
      </x:c>
      <x:c r="J57" s="115" t="str">
        <x:v>Non</x:v>
      </x:c>
      <x:c r="K57" s="115" t="str">
        <x:v>Pièces décrites, murs, portes, niveaux et mobilier inspectables à l’échelle. Volumes réservés, raccord au seed, butin, rencontres et services de campagne restent à terminer.</x:v>
      </x:c>
    </x:row>
    <x:row r="58" ht="96" customHeight="1">
      <x:c r="A58" s="115" t="str">
        <x:v>EXT-MONDE-T002-V03</x:v>
      </x:c>
      <x:c r="B58" s="115" t="str">
        <x:v>EXT-MONDE-T002</x:v>
      </x:c>
      <x:c r="C58" s="115" t="str">
        <x:v>Lacs</x:v>
      </x:c>
      <x:c r="D58" s="115" t="str">
        <x:v>Village de pêche lacustre</x:v>
      </x:c>
      <x:c r="E58" s="115" t="n">
        <x:v>3</x:v>
      </x:c>
      <x:c r="F58" s="115" t="str">
        <x:v>Inspection physique</x:v>
      </x:c>
      <x:c r="G58" s="115" t="str">
        <x:v>1 niveaux ; 24 pièces ; 186 segments de mur ; 0 transitions. Inspection physique ; architecture complète encore ouverte.</x:v>
      </x:c>
      <x:c r="H58" s="115" t="str">
        <x:v>L 242 ; l 200 ; hauteur 4,6 m ; choix de composition auteur ; dimensions réelles à documenter</x:v>
      </x:c>
      <x:c r="I58" s="115" t="str">
        <x:v>À équilibrer</x:v>
      </x:c>
      <x:c r="J58" s="115" t="str">
        <x:v>Non</x:v>
      </x:c>
      <x:c r="K58" s="115" t="str">
        <x:v>Pièces décrites, murs, portes, niveaux et mobilier inspectables à l’échelle. Volumes réservés, raccord au seed, butin, rencontres et services de campagne restent à terminer.</x:v>
      </x:c>
    </x:row>
    <x:row r="59" ht="96" customHeight="1">
      <x:c r="A59" s="115" t="str">
        <x:v>EXT-MONDE-T002-V04</x:v>
      </x:c>
      <x:c r="B59" s="115" t="str">
        <x:v>EXT-MONDE-T002</x:v>
      </x:c>
      <x:c r="C59" s="115" t="str">
        <x:v>Lacs</x:v>
      </x:c>
      <x:c r="D59" s="115" t="str">
        <x:v>Village de pêche lacustre</x:v>
      </x:c>
      <x:c r="E59" s="115" t="n">
        <x:v>4</x:v>
      </x:c>
      <x:c r="F59" s="115" t="str">
        <x:v>Inspection physique</x:v>
      </x:c>
      <x:c r="G59" s="115" t="str">
        <x:v>1 niveaux ; 24 pièces ; 186 segments de mur ; 0 transitions. Inspection physique ; architecture complète encore ouverte.</x:v>
      </x:c>
      <x:c r="H59" s="115" t="str">
        <x:v>L 242 ; l 200 ; hauteur 4,6 m ; choix de composition auteur ; dimensions réelles à documenter</x:v>
      </x:c>
      <x:c r="I59" s="115" t="str">
        <x:v>À équilibrer</x:v>
      </x:c>
      <x:c r="J59" s="115" t="str">
        <x:v>Non</x:v>
      </x:c>
      <x:c r="K59" s="115" t="str">
        <x:v>Pièces décrites, murs, portes, niveaux et mobilier inspectables à l’échelle. Volumes réservés, raccord au seed, butin, rencontres et services de campagne restent à terminer.</x:v>
      </x:c>
    </x:row>
    <x:row r="60" ht="96" customHeight="1">
      <x:c r="A60" s="115" t="str">
        <x:v>EXT-MONDE-T002-V05</x:v>
      </x:c>
      <x:c r="B60" s="115" t="str">
        <x:v>EXT-MONDE-T002</x:v>
      </x:c>
      <x:c r="C60" s="115" t="str">
        <x:v>Lacs</x:v>
      </x:c>
      <x:c r="D60" s="115" t="str">
        <x:v>Village de pêche lacustre</x:v>
      </x:c>
      <x:c r="E60" s="115" t="n">
        <x:v>5</x:v>
      </x:c>
      <x:c r="F60" s="115" t="str">
        <x:v>Inspection physique</x:v>
      </x:c>
      <x:c r="G60" s="115" t="str">
        <x:v>1 niveaux ; 24 pièces ; 186 segments de mur ; 0 transitions. Inspection physique ; architecture complète encore ouverte.</x:v>
      </x:c>
      <x:c r="H60" s="115" t="str">
        <x:v>L 242 ; l 200 ; hauteur 4,6 m ; choix de composition auteur ; dimensions réelles à documenter</x:v>
      </x:c>
      <x:c r="I60" s="115" t="str">
        <x:v>À équilibrer</x:v>
      </x:c>
      <x:c r="J60" s="115" t="str">
        <x:v>Non</x:v>
      </x:c>
      <x:c r="K60" s="115" t="str">
        <x:v>Pièces décrites, murs, portes, niveaux et mobilier inspectables à l’échelle. Volumes réservés, raccord au seed, butin, rencontres et services de campagne restent à terminer.</x:v>
      </x:c>
    </x:row>
    <x:row r="61" ht="96" customHeight="1">
      <x:c r="A61" s="115" t="str">
        <x:v>EXT-MONDE-T002-V06</x:v>
      </x:c>
      <x:c r="B61" s="115" t="str">
        <x:v>EXT-MONDE-T002</x:v>
      </x:c>
      <x:c r="C61" s="115" t="str">
        <x:v>Lacs</x:v>
      </x:c>
      <x:c r="D61" s="115" t="str">
        <x:v>Village de pêche lacustre</x:v>
      </x:c>
      <x:c r="E61" s="115" t="n">
        <x:v>6</x:v>
      </x:c>
      <x:c r="F61" s="115" t="str">
        <x:v>Inspection physique</x:v>
      </x:c>
      <x:c r="G61" s="115" t="str">
        <x:v>1 niveaux ; 24 pièces ; 186 segments de mur ; 0 transitions. Inspection physique ; architecture complète encore ouverte.</x:v>
      </x:c>
      <x:c r="H61" s="115" t="str">
        <x:v>L 242 ; l 200 ; hauteur 4,6 m ; choix de composition auteur ; dimensions réelles à documenter</x:v>
      </x:c>
      <x:c r="I61" s="115" t="str">
        <x:v>À équilibrer</x:v>
      </x:c>
      <x:c r="J61" s="115" t="str">
        <x:v>Non</x:v>
      </x:c>
      <x:c r="K61" s="115" t="str">
        <x:v>Pièces décrites, murs, portes, niveaux et mobilier inspectables à l’échelle. Volumes réservés, raccord au seed, butin, rencontres et services de campagne restent à terminer.</x:v>
      </x:c>
    </x:row>
    <x:row r="62" ht="96" customHeight="1">
      <x:c r="A62" s="115" t="str">
        <x:v>EXT-MONDE-T002-V07</x:v>
      </x:c>
      <x:c r="B62" s="115" t="str">
        <x:v>EXT-MONDE-T002</x:v>
      </x:c>
      <x:c r="C62" s="115" t="str">
        <x:v>Lacs</x:v>
      </x:c>
      <x:c r="D62" s="115" t="str">
        <x:v>Village de pêche lacustre</x:v>
      </x:c>
      <x:c r="E62" s="115" t="n">
        <x:v>7</x:v>
      </x:c>
      <x:c r="F62" s="115" t="str">
        <x:v>Inspection physique</x:v>
      </x:c>
      <x:c r="G62" s="115" t="str">
        <x:v>1 niveaux ; 24 pièces ; 186 segments de mur ; 0 transitions. Inspection physique ; architecture complète encore ouverte.</x:v>
      </x:c>
      <x:c r="H62" s="115" t="str">
        <x:v>L 242 ; l 200 ; hauteur 4,6 m ; choix de composition auteur ; dimensions réelles à documenter</x:v>
      </x:c>
      <x:c r="I62" s="115" t="str">
        <x:v>À équilibrer</x:v>
      </x:c>
      <x:c r="J62" s="115" t="str">
        <x:v>Non</x:v>
      </x:c>
      <x:c r="K62" s="115" t="str">
        <x:v>Pièces décrites, murs, portes, niveaux et mobilier inspectables à l’échelle. Volumes réservés, raccord au seed, butin, rencontres et services de campagne restent à terminer.</x:v>
      </x:c>
    </x:row>
    <x:row r="63" ht="96" customHeight="1">
      <x:c r="A63" s="115" t="str">
        <x:v>EXT-MONDE-T002-V08</x:v>
      </x:c>
      <x:c r="B63" s="115" t="str">
        <x:v>EXT-MONDE-T002</x:v>
      </x:c>
      <x:c r="C63" s="115" t="str">
        <x:v>Lacs</x:v>
      </x:c>
      <x:c r="D63" s="115" t="str">
        <x:v>Village de pêche lacustre</x:v>
      </x:c>
      <x:c r="E63" s="115" t="n">
        <x:v>8</x:v>
      </x:c>
      <x:c r="F63" s="115" t="str">
        <x:v>Inspection physique</x:v>
      </x:c>
      <x:c r="G63" s="115" t="str">
        <x:v>1 niveaux ; 24 pièces ; 186 segments de mur ; 0 transitions. Inspection physique ; architecture complète encore ouverte.</x:v>
      </x:c>
      <x:c r="H63" s="115" t="str">
        <x:v>L 242 ; l 200 ; hauteur 4,6 m ; choix de composition auteur ; dimensions réelles à documenter</x:v>
      </x:c>
      <x:c r="I63" s="115" t="str">
        <x:v>À équilibrer</x:v>
      </x:c>
      <x:c r="J63" s="115" t="str">
        <x:v>Non</x:v>
      </x:c>
      <x:c r="K63" s="115" t="str">
        <x:v>Pièces décrites, murs, portes, niveaux et mobilier inspectables à l’échelle. Volumes réservés, raccord au seed, butin, rencontres et services de campagne restent à terminer.</x:v>
      </x:c>
    </x:row>
    <x:row r="64" ht="96" customHeight="1">
      <x:c r="A64" s="115" t="str">
        <x:v>EXT-MONDE-T002-V09</x:v>
      </x:c>
      <x:c r="B64" s="115" t="str">
        <x:v>EXT-MONDE-T002</x:v>
      </x:c>
      <x:c r="C64" s="115" t="str">
        <x:v>Lacs</x:v>
      </x:c>
      <x:c r="D64" s="115" t="str">
        <x:v>Village de pêche lacustre</x:v>
      </x:c>
      <x:c r="E64" s="115" t="n">
        <x:v>9</x:v>
      </x:c>
      <x:c r="F64" s="115" t="str">
        <x:v>Inspection physique</x:v>
      </x:c>
      <x:c r="G64" s="115" t="str">
        <x:v>1 niveaux ; 24 pièces ; 186 segments de mur ; 0 transitions. Inspection physique ; architecture complète encore ouverte.</x:v>
      </x:c>
      <x:c r="H64" s="115" t="str">
        <x:v>L 242 ; l 200 ; hauteur 4,6 m ; choix de composition auteur ; dimensions réelles à documenter</x:v>
      </x:c>
      <x:c r="I64" s="115" t="str">
        <x:v>À équilibrer</x:v>
      </x:c>
      <x:c r="J64" s="115" t="str">
        <x:v>Non</x:v>
      </x:c>
      <x:c r="K64" s="115" t="str">
        <x:v>Pièces décrites, murs, portes, niveaux et mobilier inspectables à l’échelle. Volumes réservés, raccord au seed, butin, rencontres et services de campagne restent à terminer.</x:v>
      </x:c>
    </x:row>
    <x:row r="65" ht="96" customHeight="1">
      <x:c r="A65" s="115" t="str">
        <x:v>EXT-MONDE-T002-V10</x:v>
      </x:c>
      <x:c r="B65" s="115" t="str">
        <x:v>EXT-MONDE-T002</x:v>
      </x:c>
      <x:c r="C65" s="115" t="str">
        <x:v>Lacs</x:v>
      </x:c>
      <x:c r="D65" s="115" t="str">
        <x:v>Village de pêche lacustre</x:v>
      </x:c>
      <x:c r="E65" s="115" t="n">
        <x:v>10</x:v>
      </x:c>
      <x:c r="F65" s="115" t="str">
        <x:v>Inspection physique</x:v>
      </x:c>
      <x:c r="G65" s="115" t="str">
        <x:v>1 niveaux ; 24 pièces ; 186 segments de mur ; 0 transitions. Inspection physique ; architecture complète encore ouverte.</x:v>
      </x:c>
      <x:c r="H65" s="115" t="str">
        <x:v>L 242 ; l 200 ; hauteur 4,6 m ; choix de composition auteur ; dimensions réelles à documenter</x:v>
      </x:c>
      <x:c r="I65" s="115" t="str">
        <x:v>À équilibrer</x:v>
      </x:c>
      <x:c r="J65" s="115" t="str">
        <x:v>Non</x:v>
      </x:c>
      <x:c r="K65" s="115" t="str">
        <x:v>Pièces décrites, murs, portes, niveaux et mobilier inspectables à l’échelle. Volumes réservés, raccord au seed, butin, rencontres et services de campagne restent à terminer.</x:v>
      </x:c>
    </x:row>
    <x:row r="66" ht="96" customHeight="1">
      <x:c r="A66" s="115" t="str">
        <x:v>EXT-MONDE-T002-V11</x:v>
      </x:c>
      <x:c r="B66" s="115" t="str">
        <x:v>EXT-MONDE-T002</x:v>
      </x:c>
      <x:c r="C66" s="115" t="str">
        <x:v>Lacs</x:v>
      </x:c>
      <x:c r="D66" s="115" t="str">
        <x:v>Village de pêche lacustre</x:v>
      </x:c>
      <x:c r="E66" s="115" t="n">
        <x:v>11</x:v>
      </x:c>
      <x:c r="F66" s="115" t="str">
        <x:v>Inspection physique</x:v>
      </x:c>
      <x:c r="G66" s="115" t="str">
        <x:v>1 niveaux ; 24 pièces ; 186 segments de mur ; 0 transitions. Inspection physique ; architecture complète encore ouverte.</x:v>
      </x:c>
      <x:c r="H66" s="115" t="str">
        <x:v>L 256 ; l 216 ; hauteur 4,75 m ; choix de composition auteur ; dimensions réelles à documenter</x:v>
      </x:c>
      <x:c r="I66" s="115" t="str">
        <x:v>À équilibrer</x:v>
      </x:c>
      <x:c r="J66" s="115" t="str">
        <x:v>Non</x:v>
      </x:c>
      <x:c r="K66" s="115" t="str">
        <x:v>Pièces décrites, murs, portes, niveaux et mobilier inspectables à l’échelle. Volumes réservés, raccord au seed, butin, rencontres et services de campagne restent à terminer.</x:v>
      </x:c>
    </x:row>
    <x:row r="67" ht="96" customHeight="1">
      <x:c r="A67" s="115" t="str">
        <x:v>EXT-MONDE-T002-V12</x:v>
      </x:c>
      <x:c r="B67" s="115" t="str">
        <x:v>EXT-MONDE-T002</x:v>
      </x:c>
      <x:c r="C67" s="115" t="str">
        <x:v>Lacs</x:v>
      </x:c>
      <x:c r="D67" s="115" t="str">
        <x:v>Village de pêche lacustre</x:v>
      </x:c>
      <x:c r="E67" s="115" t="n">
        <x:v>12</x:v>
      </x:c>
      <x:c r="F67" s="115" t="str">
        <x:v>Inspection physique</x:v>
      </x:c>
      <x:c r="G67" s="115" t="str">
        <x:v>1 niveaux ; 24 pièces ; 186 segments de mur ; 0 transitions. Inspection physique ; architecture complète encore ouverte.</x:v>
      </x:c>
      <x:c r="H67" s="115" t="str">
        <x:v>L 256 ; l 216 ; hauteur 4,75 m ; choix de composition auteur ; dimensions réelles à documenter</x:v>
      </x:c>
      <x:c r="I67" s="115" t="str">
        <x:v>À équilibrer</x:v>
      </x:c>
      <x:c r="J67" s="115" t="str">
        <x:v>Non</x:v>
      </x:c>
      <x:c r="K67" s="115" t="str">
        <x:v>Pièces décrites, murs, portes, niveaux et mobilier inspectables à l’échelle. Volumes réservés, raccord au seed, butin, rencontres et services de campagne restent à terminer.</x:v>
      </x:c>
    </x:row>
    <x:row r="68" ht="96" customHeight="1">
      <x:c r="A68" s="115" t="str">
        <x:v>EXT-MONDE-T002-V13</x:v>
      </x:c>
      <x:c r="B68" s="115" t="str">
        <x:v>EXT-MONDE-T002</x:v>
      </x:c>
      <x:c r="C68" s="115" t="str">
        <x:v>Lacs</x:v>
      </x:c>
      <x:c r="D68" s="115" t="str">
        <x:v>Village de pêche lacustre</x:v>
      </x:c>
      <x:c r="E68" s="115" t="n">
        <x:v>13</x:v>
      </x:c>
      <x:c r="F68" s="115" t="str">
        <x:v>Inspection physique</x:v>
      </x:c>
      <x:c r="G68" s="115" t="str">
        <x:v>1 niveaux ; 24 pièces ; 186 segments de mur ; 0 transitions. Inspection physique ; architecture complète encore ouverte.</x:v>
      </x:c>
      <x:c r="H68" s="115" t="str">
        <x:v>L 256 ; l 216 ; hauteur 4,75 m ; choix de composition auteur ; dimensions réelles à documenter</x:v>
      </x:c>
      <x:c r="I68" s="115" t="str">
        <x:v>À équilibrer</x:v>
      </x:c>
      <x:c r="J68" s="115" t="str">
        <x:v>Non</x:v>
      </x:c>
      <x:c r="K68" s="115" t="str">
        <x:v>Pièces décrites, murs, portes, niveaux et mobilier inspectables à l’échelle. Volumes réservés, raccord au seed, butin, rencontres et services de campagne restent à terminer.</x:v>
      </x:c>
    </x:row>
    <x:row r="69" ht="96" customHeight="1">
      <x:c r="A69" s="115" t="str">
        <x:v>EXT-MONDE-T002-V14</x:v>
      </x:c>
      <x:c r="B69" s="115" t="str">
        <x:v>EXT-MONDE-T002</x:v>
      </x:c>
      <x:c r="C69" s="115" t="str">
        <x:v>Lacs</x:v>
      </x:c>
      <x:c r="D69" s="115" t="str">
        <x:v>Village de pêche lacustre</x:v>
      </x:c>
      <x:c r="E69" s="115" t="n">
        <x:v>14</x:v>
      </x:c>
      <x:c r="F69" s="115" t="str">
        <x:v>Inspection physique</x:v>
      </x:c>
      <x:c r="G69" s="115" t="str">
        <x:v>1 niveaux ; 24 pièces ; 186 segments de mur ; 0 transitions. Inspection physique ; architecture complète encore ouverte.</x:v>
      </x:c>
      <x:c r="H69" s="115" t="str">
        <x:v>L 256 ; l 216 ; hauteur 4,75 m ; choix de composition auteur ; dimensions réelles à documenter</x:v>
      </x:c>
      <x:c r="I69" s="115" t="str">
        <x:v>À équilibrer</x:v>
      </x:c>
      <x:c r="J69" s="115" t="str">
        <x:v>Non</x:v>
      </x:c>
      <x:c r="K69" s="115" t="str">
        <x:v>Pièces décrites, murs, portes, niveaux et mobilier inspectables à l’échelle. Volumes réservés, raccord au seed, butin, rencontres et services de campagne restent à terminer.</x:v>
      </x:c>
    </x:row>
    <x:row r="70" ht="96" customHeight="1">
      <x:c r="A70" s="115" t="str">
        <x:v>EXT-MONDE-T002-V15</x:v>
      </x:c>
      <x:c r="B70" s="115" t="str">
        <x:v>EXT-MONDE-T002</x:v>
      </x:c>
      <x:c r="C70" s="115" t="str">
        <x:v>Lacs</x:v>
      </x:c>
      <x:c r="D70" s="115" t="str">
        <x:v>Village de pêche lacustre</x:v>
      </x:c>
      <x:c r="E70" s="115" t="n">
        <x:v>15</x:v>
      </x:c>
      <x:c r="F70" s="115" t="str">
        <x:v>Inspection physique</x:v>
      </x:c>
      <x:c r="G70" s="115" t="str">
        <x:v>1 niveaux ; 24 pièces ; 186 segments de mur ; 0 transitions. Inspection physique ; architecture complète encore ouverte.</x:v>
      </x:c>
      <x:c r="H70" s="115" t="str">
        <x:v>L 256 ; l 216 ; hauteur 4,75 m ; choix de composition auteur ; dimensions réelles à documenter</x:v>
      </x:c>
      <x:c r="I70" s="115" t="str">
        <x:v>À équilibrer</x:v>
      </x:c>
      <x:c r="J70" s="115" t="str">
        <x:v>Non</x:v>
      </x:c>
      <x:c r="K70" s="115" t="str">
        <x:v>Pièces décrites, murs, portes, niveaux et mobilier inspectables à l’échelle. Volumes réservés, raccord au seed, butin, rencontres et services de campagne restent à terminer.</x:v>
      </x:c>
    </x:row>
    <x:row r="71" ht="96" customHeight="1">
      <x:c r="A71" s="115" t="str">
        <x:v>EXT-MONDE-T002-V16</x:v>
      </x:c>
      <x:c r="B71" s="115" t="str">
        <x:v>EXT-MONDE-T002</x:v>
      </x:c>
      <x:c r="C71" s="115" t="str">
        <x:v>Lacs</x:v>
      </x:c>
      <x:c r="D71" s="115" t="str">
        <x:v>Village de pêche lacustre</x:v>
      </x:c>
      <x:c r="E71" s="115" t="n">
        <x:v>16</x:v>
      </x:c>
      <x:c r="F71" s="115" t="str">
        <x:v>Inspection physique</x:v>
      </x:c>
      <x:c r="G71" s="115" t="str">
        <x:v>1 niveaux ; 24 pièces ; 186 segments de mur ; 0 transitions. Inspection physique ; architecture complète encore ouverte.</x:v>
      </x:c>
      <x:c r="H71" s="115" t="str">
        <x:v>L 256 ; l 216 ; hauteur 4,75 m ; choix de composition auteur ; dimensions réelles à documenter</x:v>
      </x:c>
      <x:c r="I71" s="115" t="str">
        <x:v>À équilibrer</x:v>
      </x:c>
      <x:c r="J71" s="115" t="str">
        <x:v>Non</x:v>
      </x:c>
      <x:c r="K71" s="115" t="str">
        <x:v>Pièces décrites, murs, portes, niveaux et mobilier inspectables à l’échelle. Volumes réservés, raccord au seed, butin, rencontres et services de campagne restent à terminer.</x:v>
      </x:c>
    </x:row>
    <x:row r="72" ht="96" customHeight="1">
      <x:c r="A72" s="115" t="str">
        <x:v>EXT-MONDE-T002-V17</x:v>
      </x:c>
      <x:c r="B72" s="115" t="str">
        <x:v>EXT-MONDE-T002</x:v>
      </x:c>
      <x:c r="C72" s="115" t="str">
        <x:v>Lacs</x:v>
      </x:c>
      <x:c r="D72" s="115" t="str">
        <x:v>Village de pêche lacustre</x:v>
      </x:c>
      <x:c r="E72" s="115" t="n">
        <x:v>17</x:v>
      </x:c>
      <x:c r="F72" s="115" t="str">
        <x:v>Inspection physique</x:v>
      </x:c>
      <x:c r="G72" s="115" t="str">
        <x:v>1 niveaux ; 24 pièces ; 186 segments de mur ; 0 transitions. Inspection physique ; architecture complète encore ouverte.</x:v>
      </x:c>
      <x:c r="H72" s="115" t="str">
        <x:v>L 256 ; l 216 ; hauteur 4,75 m ; choix de composition auteur ; dimensions réelles à documenter</x:v>
      </x:c>
      <x:c r="I72" s="115" t="str">
        <x:v>À équilibrer</x:v>
      </x:c>
      <x:c r="J72" s="115" t="str">
        <x:v>Non</x:v>
      </x:c>
      <x:c r="K72" s="115" t="str">
        <x:v>Pièces décrites, murs, portes, niveaux et mobilier inspectables à l’échelle. Volumes réservés, raccord au seed, butin, rencontres et services de campagne restent à terminer.</x:v>
      </x:c>
    </x:row>
    <x:row r="73" ht="96" customHeight="1">
      <x:c r="A73" s="115" t="str">
        <x:v>EXT-MONDE-T002-V18</x:v>
      </x:c>
      <x:c r="B73" s="115" t="str">
        <x:v>EXT-MONDE-T002</x:v>
      </x:c>
      <x:c r="C73" s="115" t="str">
        <x:v>Lacs</x:v>
      </x:c>
      <x:c r="D73" s="115" t="str">
        <x:v>Village de pêche lacustre</x:v>
      </x:c>
      <x:c r="E73" s="115" t="n">
        <x:v>18</x:v>
      </x:c>
      <x:c r="F73" s="115" t="str">
        <x:v>Inspection physique</x:v>
      </x:c>
      <x:c r="G73" s="115" t="str">
        <x:v>1 niveaux ; 24 pièces ; 186 segments de mur ; 0 transitions. Inspection physique ; architecture complète encore ouverte.</x:v>
      </x:c>
      <x:c r="H73" s="115" t="str">
        <x:v>L 256 ; l 216 ; hauteur 4,75 m ; choix de composition auteur ; dimensions réelles à documenter</x:v>
      </x:c>
      <x:c r="I73" s="115" t="str">
        <x:v>À équilibrer</x:v>
      </x:c>
      <x:c r="J73" s="115" t="str">
        <x:v>Non</x:v>
      </x:c>
      <x:c r="K73" s="115" t="str">
        <x:v>Pièces décrites, murs, portes, niveaux et mobilier inspectables à l’échelle. Volumes réservés, raccord au seed, butin, rencontres et services de campagne restent à terminer.</x:v>
      </x:c>
    </x:row>
    <x:row r="74" ht="96" customHeight="1">
      <x:c r="A74" s="115" t="str">
        <x:v>EXT-MONDE-T002-V19</x:v>
      </x:c>
      <x:c r="B74" s="115" t="str">
        <x:v>EXT-MONDE-T002</x:v>
      </x:c>
      <x:c r="C74" s="115" t="str">
        <x:v>Lacs</x:v>
      </x:c>
      <x:c r="D74" s="115" t="str">
        <x:v>Village de pêche lacustre</x:v>
      </x:c>
      <x:c r="E74" s="115" t="n">
        <x:v>19</x:v>
      </x:c>
      <x:c r="F74" s="115" t="str">
        <x:v>Inspection physique</x:v>
      </x:c>
      <x:c r="G74" s="115" t="str">
        <x:v>1 niveaux ; 24 pièces ; 186 segments de mur ; 0 transitions. Inspection physique ; architecture complète encore ouverte.</x:v>
      </x:c>
      <x:c r="H74" s="115" t="str">
        <x:v>L 256 ; l 216 ; hauteur 4,75 m ; choix de composition auteur ; dimensions réelles à documenter</x:v>
      </x:c>
      <x:c r="I74" s="115" t="str">
        <x:v>À équilibrer</x:v>
      </x:c>
      <x:c r="J74" s="115" t="str">
        <x:v>Non</x:v>
      </x:c>
      <x:c r="K74" s="115" t="str">
        <x:v>Pièces décrites, murs, portes, niveaux et mobilier inspectables à l’échelle. Volumes réservés, raccord au seed, butin, rencontres et services de campagne restent à terminer.</x:v>
      </x:c>
    </x:row>
    <x:row r="75" ht="96" customHeight="1">
      <x:c r="A75" s="115" t="str">
        <x:v>EXT-MONDE-T002-V20</x:v>
      </x:c>
      <x:c r="B75" s="115" t="str">
        <x:v>EXT-MONDE-T002</x:v>
      </x:c>
      <x:c r="C75" s="115" t="str">
        <x:v>Lacs</x:v>
      </x:c>
      <x:c r="D75" s="115" t="str">
        <x:v>Village de pêche lacustre</x:v>
      </x:c>
      <x:c r="E75" s="115" t="n">
        <x:v>20</x:v>
      </x:c>
      <x:c r="F75" s="115" t="str">
        <x:v>Inspection physique</x:v>
      </x:c>
      <x:c r="G75" s="115" t="str">
        <x:v>1 niveaux ; 24 pièces ; 186 segments de mur ; 0 transitions. Inspection physique ; architecture complète encore ouverte.</x:v>
      </x:c>
      <x:c r="H75" s="115" t="str">
        <x:v>L 256 ; l 216 ; hauteur 4,75 m ; choix de composition auteur ; dimensions réelles à documenter</x:v>
      </x:c>
      <x:c r="I75" s="115" t="str">
        <x:v>À équilibrer</x:v>
      </x:c>
      <x:c r="J75" s="115" t="str">
        <x:v>Non</x:v>
      </x:c>
      <x:c r="K75" s="115" t="str">
        <x:v>Pièces décrites, murs, portes, niveaux et mobilier inspectables à l’échelle. Volumes réservés, raccord au seed, butin, rencontres et services de campagne restent à terminer.</x:v>
      </x:c>
    </x:row>
    <x:row r="76" ht="96" customHeight="1">
      <x:c r="A76" s="115" t="str">
        <x:v>EXT-MONDE-T002-V21</x:v>
      </x:c>
      <x:c r="B76" s="115" t="str">
        <x:v>EXT-MONDE-T002</x:v>
      </x:c>
      <x:c r="C76" s="115" t="str">
        <x:v>Lacs</x:v>
      </x:c>
      <x:c r="D76" s="115" t="str">
        <x:v>Village de pêche lacustre</x:v>
      </x:c>
      <x:c r="E76" s="115" t="n">
        <x:v>21</x:v>
      </x:c>
      <x:c r="F76" s="115" t="str">
        <x:v>Inspection physique</x:v>
      </x:c>
      <x:c r="G76" s="115" t="str">
        <x:v>1 niveaux ; 24 pièces ; 186 segments de mur ; 0 transitions. Inspection physique ; architecture complète encore ouverte.</x:v>
      </x:c>
      <x:c r="H76" s="115" t="str">
        <x:v>L 270 ; l 232 ; hauteur 4,9 m ; choix de composition auteur ; dimensions réelles à documenter</x:v>
      </x:c>
      <x:c r="I76" s="115" t="str">
        <x:v>À équilibrer</x:v>
      </x:c>
      <x:c r="J76" s="115" t="str">
        <x:v>Non</x:v>
      </x:c>
      <x:c r="K76" s="115" t="str">
        <x:v>Pièces décrites, murs, portes, niveaux et mobilier inspectables à l’échelle. Volumes réservés, raccord au seed, butin, rencontres et services de campagne restent à terminer.</x:v>
      </x:c>
    </x:row>
    <x:row r="77" ht="96" customHeight="1">
      <x:c r="A77" s="115" t="str">
        <x:v>EXT-MONDE-T002-V22</x:v>
      </x:c>
      <x:c r="B77" s="115" t="str">
        <x:v>EXT-MONDE-T002</x:v>
      </x:c>
      <x:c r="C77" s="115" t="str">
        <x:v>Lacs</x:v>
      </x:c>
      <x:c r="D77" s="115" t="str">
        <x:v>Village de pêche lacustre</x:v>
      </x:c>
      <x:c r="E77" s="115" t="n">
        <x:v>22</x:v>
      </x:c>
      <x:c r="F77" s="115" t="str">
        <x:v>Inspection physique</x:v>
      </x:c>
      <x:c r="G77" s="115" t="str">
        <x:v>1 niveaux ; 24 pièces ; 186 segments de mur ; 0 transitions. Inspection physique ; architecture complète encore ouverte.</x:v>
      </x:c>
      <x:c r="H77" s="115" t="str">
        <x:v>L 270 ; l 232 ; hauteur 4,9 m ; choix de composition auteur ; dimensions réelles à documenter</x:v>
      </x:c>
      <x:c r="I77" s="115" t="str">
        <x:v>À équilibrer</x:v>
      </x:c>
      <x:c r="J77" s="115" t="str">
        <x:v>Non</x:v>
      </x:c>
      <x:c r="K77" s="115" t="str">
        <x:v>Pièces décrites, murs, portes, niveaux et mobilier inspectables à l’échelle. Volumes réservés, raccord au seed, butin, rencontres et services de campagne restent à terminer.</x:v>
      </x:c>
    </x:row>
    <x:row r="78" ht="96" customHeight="1">
      <x:c r="A78" s="115" t="str">
        <x:v>EXT-MONDE-T002-V23</x:v>
      </x:c>
      <x:c r="B78" s="115" t="str">
        <x:v>EXT-MONDE-T002</x:v>
      </x:c>
      <x:c r="C78" s="115" t="str">
        <x:v>Lacs</x:v>
      </x:c>
      <x:c r="D78" s="115" t="str">
        <x:v>Village de pêche lacustre</x:v>
      </x:c>
      <x:c r="E78" s="115" t="n">
        <x:v>23</x:v>
      </x:c>
      <x:c r="F78" s="115" t="str">
        <x:v>Inspection physique</x:v>
      </x:c>
      <x:c r="G78" s="115" t="str">
        <x:v>1 niveaux ; 24 pièces ; 186 segments de mur ; 0 transitions. Inspection physique ; architecture complète encore ouverte.</x:v>
      </x:c>
      <x:c r="H78" s="115" t="str">
        <x:v>L 270 ; l 232 ; hauteur 4,9 m ; choix de composition auteur ; dimensions réelles à documenter</x:v>
      </x:c>
      <x:c r="I78" s="115" t="str">
        <x:v>À équilibrer</x:v>
      </x:c>
      <x:c r="J78" s="115" t="str">
        <x:v>Non</x:v>
      </x:c>
      <x:c r="K78" s="115" t="str">
        <x:v>Pièces décrites, murs, portes, niveaux et mobilier inspectables à l’échelle. Volumes réservés, raccord au seed, butin, rencontres et services de campagne restent à terminer.</x:v>
      </x:c>
    </x:row>
    <x:row r="79" ht="96" customHeight="1">
      <x:c r="A79" s="115" t="str">
        <x:v>EXT-MONDE-T002-V24</x:v>
      </x:c>
      <x:c r="B79" s="115" t="str">
        <x:v>EXT-MONDE-T002</x:v>
      </x:c>
      <x:c r="C79" s="115" t="str">
        <x:v>Lacs</x:v>
      </x:c>
      <x:c r="D79" s="115" t="str">
        <x:v>Village de pêche lacustre</x:v>
      </x:c>
      <x:c r="E79" s="115" t="n">
        <x:v>24</x:v>
      </x:c>
      <x:c r="F79" s="115" t="str">
        <x:v>Inspection physique</x:v>
      </x:c>
      <x:c r="G79" s="115" t="str">
        <x:v>1 niveaux ; 24 pièces ; 186 segments de mur ; 0 transitions. Inspection physique ; architecture complète encore ouverte.</x:v>
      </x:c>
      <x:c r="H79" s="115" t="str">
        <x:v>L 270 ; l 232 ; hauteur 4,9 m ; choix de composition auteur ; dimensions réelles à documenter</x:v>
      </x:c>
      <x:c r="I79" s="115" t="str">
        <x:v>À équilibrer</x:v>
      </x:c>
      <x:c r="J79" s="115" t="str">
        <x:v>Non</x:v>
      </x:c>
      <x:c r="K79" s="115" t="str">
        <x:v>Pièces décrites, murs, portes, niveaux et mobilier inspectables à l’échelle. Volumes réservés, raccord au seed, butin, rencontres et services de campagne restent à terminer.</x:v>
      </x:c>
    </x:row>
    <x:row r="80" ht="96" customHeight="1">
      <x:c r="A80" s="115" t="str">
        <x:v>EXT-MONDE-T002-V25</x:v>
      </x:c>
      <x:c r="B80" s="115" t="str">
        <x:v>EXT-MONDE-T002</x:v>
      </x:c>
      <x:c r="C80" s="115" t="str">
        <x:v>Lacs</x:v>
      </x:c>
      <x:c r="D80" s="115" t="str">
        <x:v>Village de pêche lacustre</x:v>
      </x:c>
      <x:c r="E80" s="115" t="n">
        <x:v>25</x:v>
      </x:c>
      <x:c r="F80" s="115" t="str">
        <x:v>Inspection physique</x:v>
      </x:c>
      <x:c r="G80" s="115" t="str">
        <x:v>1 niveaux ; 24 pièces ; 186 segments de mur ; 0 transitions. Inspection physique ; architecture complète encore ouverte.</x:v>
      </x:c>
      <x:c r="H80" s="115" t="str">
        <x:v>L 270 ; l 232 ; hauteur 4,9 m ; choix de composition auteur ; dimensions réelles à documenter</x:v>
      </x:c>
      <x:c r="I80" s="115" t="str">
        <x:v>À équilibrer</x:v>
      </x:c>
      <x:c r="J80" s="115" t="str">
        <x:v>Non</x:v>
      </x:c>
      <x:c r="K80" s="115" t="str">
        <x:v>Pièces décrites, murs, portes, niveaux et mobilier inspectables à l’échelle. Volumes réservés, raccord au seed, butin, rencontres et services de campagne restent à terminer.</x:v>
      </x:c>
    </x:row>
    <x:row r="81" ht="96" customHeight="1">
      <x:c r="A81" s="115" t="str">
        <x:v>EXT-MONDE-T002-V26</x:v>
      </x:c>
      <x:c r="B81" s="115" t="str">
        <x:v>EXT-MONDE-T002</x:v>
      </x:c>
      <x:c r="C81" s="115" t="str">
        <x:v>Lacs</x:v>
      </x:c>
      <x:c r="D81" s="115" t="str">
        <x:v>Village de pêche lacustre</x:v>
      </x:c>
      <x:c r="E81" s="115" t="n">
        <x:v>26</x:v>
      </x:c>
      <x:c r="F81" s="115" t="str">
        <x:v>Inspection physique</x:v>
      </x:c>
      <x:c r="G81" s="115" t="str">
        <x:v>1 niveaux ; 24 pièces ; 186 segments de mur ; 0 transitions. Inspection physique ; architecture complète encore ouverte.</x:v>
      </x:c>
      <x:c r="H81" s="115" t="str">
        <x:v>L 270 ; l 232 ; hauteur 4,9 m ; choix de composition auteur ; dimensions réelles à documenter</x:v>
      </x:c>
      <x:c r="I81" s="115" t="str">
        <x:v>À équilibrer</x:v>
      </x:c>
      <x:c r="J81" s="115" t="str">
        <x:v>Non</x:v>
      </x:c>
      <x:c r="K81" s="115" t="str">
        <x:v>Pièces décrites, murs, portes, niveaux et mobilier inspectables à l’échelle. Volumes réservés, raccord au seed, butin, rencontres et services de campagne restent à terminer.</x:v>
      </x:c>
    </x:row>
    <x:row r="82" ht="96" customHeight="1">
      <x:c r="A82" s="115" t="str">
        <x:v>EXT-MONDE-T002-V27</x:v>
      </x:c>
      <x:c r="B82" s="115" t="str">
        <x:v>EXT-MONDE-T002</x:v>
      </x:c>
      <x:c r="C82" s="115" t="str">
        <x:v>Lacs</x:v>
      </x:c>
      <x:c r="D82" s="115" t="str">
        <x:v>Village de pêche lacustre</x:v>
      </x:c>
      <x:c r="E82" s="115" t="n">
        <x:v>27</x:v>
      </x:c>
      <x:c r="F82" s="115" t="str">
        <x:v>Inspection physique</x:v>
      </x:c>
      <x:c r="G82" s="115" t="str">
        <x:v>1 niveaux ; 24 pièces ; 186 segments de mur ; 0 transitions. Inspection physique ; architecture complète encore ouverte.</x:v>
      </x:c>
      <x:c r="H82" s="115" t="str">
        <x:v>L 270 ; l 232 ; hauteur 4,9 m ; choix de composition auteur ; dimensions réelles à documenter</x:v>
      </x:c>
      <x:c r="I82" s="115" t="str">
        <x:v>À équilibrer</x:v>
      </x:c>
      <x:c r="J82" s="115" t="str">
        <x:v>Non</x:v>
      </x:c>
      <x:c r="K82" s="115" t="str">
        <x:v>Pièces décrites, murs, portes, niveaux et mobilier inspectables à l’échelle. Volumes réservés, raccord au seed, butin, rencontres et services de campagne restent à terminer.</x:v>
      </x:c>
    </x:row>
    <x:row r="83" ht="96" customHeight="1">
      <x:c r="A83" s="115" t="str">
        <x:v>EXT-MONDE-T002-V28</x:v>
      </x:c>
      <x:c r="B83" s="115" t="str">
        <x:v>EXT-MONDE-T002</x:v>
      </x:c>
      <x:c r="C83" s="115" t="str">
        <x:v>Lacs</x:v>
      </x:c>
      <x:c r="D83" s="115" t="str">
        <x:v>Village de pêche lacustre</x:v>
      </x:c>
      <x:c r="E83" s="115" t="n">
        <x:v>28</x:v>
      </x:c>
      <x:c r="F83" s="115" t="str">
        <x:v>Inspection physique</x:v>
      </x:c>
      <x:c r="G83" s="115" t="str">
        <x:v>1 niveaux ; 24 pièces ; 186 segments de mur ; 0 transitions. Inspection physique ; architecture complète encore ouverte.</x:v>
      </x:c>
      <x:c r="H83" s="115" t="str">
        <x:v>L 270 ; l 232 ; hauteur 4,9 m ; choix de composition auteur ; dimensions réelles à documenter</x:v>
      </x:c>
      <x:c r="I83" s="115" t="str">
        <x:v>À équilibrer</x:v>
      </x:c>
      <x:c r="J83" s="115" t="str">
        <x:v>Non</x:v>
      </x:c>
      <x:c r="K83" s="115" t="str">
        <x:v>Pièces décrites, murs, portes, niveaux et mobilier inspectables à l’échelle. Volumes réservés, raccord au seed, butin, rencontres et services de campagne restent à terminer.</x:v>
      </x:c>
    </x:row>
    <x:row r="84" ht="96" customHeight="1">
      <x:c r="A84" s="115" t="str">
        <x:v>EXT-MONDE-T002-V29</x:v>
      </x:c>
      <x:c r="B84" s="115" t="str">
        <x:v>EXT-MONDE-T002</x:v>
      </x:c>
      <x:c r="C84" s="115" t="str">
        <x:v>Lacs</x:v>
      </x:c>
      <x:c r="D84" s="115" t="str">
        <x:v>Village de pêche lacustre</x:v>
      </x:c>
      <x:c r="E84" s="115" t="n">
        <x:v>29</x:v>
      </x:c>
      <x:c r="F84" s="115" t="str">
        <x:v>Inspection physique</x:v>
      </x:c>
      <x:c r="G84" s="115" t="str">
        <x:v>1 niveaux ; 24 pièces ; 186 segments de mur ; 0 transitions. Inspection physique ; architecture complète encore ouverte.</x:v>
      </x:c>
      <x:c r="H84" s="115" t="str">
        <x:v>L 270 ; l 232 ; hauteur 4,9 m ; choix de composition auteur ; dimensions réelles à documenter</x:v>
      </x:c>
      <x:c r="I84" s="115" t="str">
        <x:v>À équilibrer</x:v>
      </x:c>
      <x:c r="J84" s="115" t="str">
        <x:v>Non</x:v>
      </x:c>
      <x:c r="K84" s="115" t="str">
        <x:v>Pièces décrites, murs, portes, niveaux et mobilier inspectables à l’échelle. Volumes réservés, raccord au seed, butin, rencontres et services de campagne restent à terminer.</x:v>
      </x:c>
    </x:row>
    <x:row r="85" ht="96" customHeight="1">
      <x:c r="A85" s="115" t="str">
        <x:v>EXT-MONDE-T002-V30</x:v>
      </x:c>
      <x:c r="B85" s="115" t="str">
        <x:v>EXT-MONDE-T002</x:v>
      </x:c>
      <x:c r="C85" s="115" t="str">
        <x:v>Lacs</x:v>
      </x:c>
      <x:c r="D85" s="115" t="str">
        <x:v>Village de pêche lacustre</x:v>
      </x:c>
      <x:c r="E85" s="115" t="n">
        <x:v>30</x:v>
      </x:c>
      <x:c r="F85" s="115" t="str">
        <x:v>Inspection physique</x:v>
      </x:c>
      <x:c r="G85" s="115" t="str">
        <x:v>1 niveaux ; 24 pièces ; 186 segments de mur ; 0 transitions. Inspection physique ; architecture complète encore ouverte.</x:v>
      </x:c>
      <x:c r="H85" s="115" t="str">
        <x:v>L 270 ; l 232 ; hauteur 4,9 m ; choix de composition auteur ; dimensions réelles à documenter</x:v>
      </x:c>
      <x:c r="I85" s="115" t="str">
        <x:v>À équilibrer</x:v>
      </x:c>
      <x:c r="J85" s="115" t="str">
        <x:v>Non</x:v>
      </x:c>
      <x:c r="K85" s="115" t="str">
        <x:v>Pièces décrites, murs, portes, niveaux et mobilier inspectables à l’échelle. Volumes réservés, raccord au seed, butin, rencontres et services de campagne restent à terminer.</x:v>
      </x:c>
    </x:row>
    <x:row r="86" ht="96" customHeight="1">
      <x:c r="A86" s="115" t="str">
        <x:v>EXT-MONDE-T002-V31</x:v>
      </x:c>
      <x:c r="B86" s="115" t="str">
        <x:v>EXT-MONDE-T002</x:v>
      </x:c>
      <x:c r="C86" s="115" t="str">
        <x:v>Lacs</x:v>
      </x:c>
      <x:c r="D86" s="115" t="str">
        <x:v>Village de pêche lacustre</x:v>
      </x:c>
      <x:c r="E86" s="115" t="n">
        <x:v>31</x:v>
      </x:c>
      <x:c r="F86" s="115" t="str">
        <x:v>Inspection physique</x:v>
      </x:c>
      <x:c r="G86" s="115" t="str">
        <x:v>1 niveaux ; 24 pièces ; 186 segments de mur ; 0 transitions. Inspection physique ; architecture complète encore ouverte.</x:v>
      </x:c>
      <x:c r="H86" s="115" t="str">
        <x:v>L 284 ; l 248 ; hauteur 5,05 m ; choix de composition auteur ; dimensions réelles à documenter</x:v>
      </x:c>
      <x:c r="I86" s="115" t="str">
        <x:v>À équilibrer</x:v>
      </x:c>
      <x:c r="J86" s="115" t="str">
        <x:v>Non</x:v>
      </x:c>
      <x:c r="K86" s="115" t="str">
        <x:v>Pièces décrites, murs, portes, niveaux et mobilier inspectables à l’échelle. Volumes réservés, raccord au seed, butin, rencontres et services de campagne restent à terminer.</x:v>
      </x:c>
    </x:row>
    <x:row r="87" ht="96" customHeight="1">
      <x:c r="A87" s="115" t="str">
        <x:v>EXT-MONDE-T002-V32</x:v>
      </x:c>
      <x:c r="B87" s="115" t="str">
        <x:v>EXT-MONDE-T002</x:v>
      </x:c>
      <x:c r="C87" s="115" t="str">
        <x:v>Lacs</x:v>
      </x:c>
      <x:c r="D87" s="115" t="str">
        <x:v>Village de pêche lacustre</x:v>
      </x:c>
      <x:c r="E87" s="115" t="n">
        <x:v>32</x:v>
      </x:c>
      <x:c r="F87" s="115" t="str">
        <x:v>Inspection physique</x:v>
      </x:c>
      <x:c r="G87" s="115" t="str">
        <x:v>1 niveaux ; 24 pièces ; 186 segments de mur ; 0 transitions. Inspection physique ; architecture complète encore ouverte.</x:v>
      </x:c>
      <x:c r="H87" s="115" t="str">
        <x:v>L 284 ; l 248 ; hauteur 5,05 m ; choix de composition auteur ; dimensions réelles à documenter</x:v>
      </x:c>
      <x:c r="I87" s="115" t="str">
        <x:v>À équilibrer</x:v>
      </x:c>
      <x:c r="J87" s="115" t="str">
        <x:v>Non</x:v>
      </x:c>
      <x:c r="K87" s="115" t="str">
        <x:v>Pièces décrites, murs, portes, niveaux et mobilier inspectables à l’échelle. Volumes réservés, raccord au seed, butin, rencontres et services de campagne restent à terminer.</x:v>
      </x:c>
    </x:row>
    <x:row r="88" ht="96" customHeight="1">
      <x:c r="A88" s="115" t="str">
        <x:v>EXT-MONDE-T002-V33</x:v>
      </x:c>
      <x:c r="B88" s="115" t="str">
        <x:v>EXT-MONDE-T002</x:v>
      </x:c>
      <x:c r="C88" s="115" t="str">
        <x:v>Lacs</x:v>
      </x:c>
      <x:c r="D88" s="115" t="str">
        <x:v>Village de pêche lacustre</x:v>
      </x:c>
      <x:c r="E88" s="115" t="n">
        <x:v>33</x:v>
      </x:c>
      <x:c r="F88" s="115" t="str">
        <x:v>Inspection physique</x:v>
      </x:c>
      <x:c r="G88" s="115" t="str">
        <x:v>1 niveaux ; 24 pièces ; 186 segments de mur ; 0 transitions. Inspection physique ; architecture complète encore ouverte.</x:v>
      </x:c>
      <x:c r="H88" s="115" t="str">
        <x:v>L 284 ; l 248 ; hauteur 5,05 m ; choix de composition auteur ; dimensions réelles à documenter</x:v>
      </x:c>
      <x:c r="I88" s="115" t="str">
        <x:v>À équilibrer</x:v>
      </x:c>
      <x:c r="J88" s="115" t="str">
        <x:v>Non</x:v>
      </x:c>
      <x:c r="K88" s="115" t="str">
        <x:v>Pièces décrites, murs, portes, niveaux et mobilier inspectables à l’échelle. Volumes réservés, raccord au seed, butin, rencontres et services de campagne restent à terminer.</x:v>
      </x:c>
    </x:row>
    <x:row r="89" ht="96" customHeight="1">
      <x:c r="A89" s="115" t="str">
        <x:v>EXT-MONDE-T002-V34</x:v>
      </x:c>
      <x:c r="B89" s="115" t="str">
        <x:v>EXT-MONDE-T002</x:v>
      </x:c>
      <x:c r="C89" s="115" t="str">
        <x:v>Lacs</x:v>
      </x:c>
      <x:c r="D89" s="115" t="str">
        <x:v>Village de pêche lacustre</x:v>
      </x:c>
      <x:c r="E89" s="115" t="n">
        <x:v>34</x:v>
      </x:c>
      <x:c r="F89" s="115" t="str">
        <x:v>Inspection physique</x:v>
      </x:c>
      <x:c r="G89" s="115" t="str">
        <x:v>1 niveaux ; 24 pièces ; 186 segments de mur ; 0 transitions. Inspection physique ; architecture complète encore ouverte.</x:v>
      </x:c>
      <x:c r="H89" s="115" t="str">
        <x:v>L 284 ; l 248 ; hauteur 5,05 m ; choix de composition auteur ; dimensions réelles à documenter</x:v>
      </x:c>
      <x:c r="I89" s="115" t="str">
        <x:v>À équilibrer</x:v>
      </x:c>
      <x:c r="J89" s="115" t="str">
        <x:v>Non</x:v>
      </x:c>
      <x:c r="K89" s="115" t="str">
        <x:v>Pièces décrites, murs, portes, niveaux et mobilier inspectables à l’échelle. Volumes réservés, raccord au seed, butin, rencontres et services de campagne restent à terminer.</x:v>
      </x:c>
    </x:row>
    <x:row r="90" ht="96" customHeight="1">
      <x:c r="A90" s="115" t="str">
        <x:v>EXT-MONDE-T002-V35</x:v>
      </x:c>
      <x:c r="B90" s="115" t="str">
        <x:v>EXT-MONDE-T002</x:v>
      </x:c>
      <x:c r="C90" s="115" t="str">
        <x:v>Lacs</x:v>
      </x:c>
      <x:c r="D90" s="115" t="str">
        <x:v>Village de pêche lacustre</x:v>
      </x:c>
      <x:c r="E90" s="115" t="n">
        <x:v>35</x:v>
      </x:c>
      <x:c r="F90" s="115" t="str">
        <x:v>Inspection physique</x:v>
      </x:c>
      <x:c r="G90" s="115" t="str">
        <x:v>1 niveaux ; 24 pièces ; 186 segments de mur ; 0 transitions. Inspection physique ; architecture complète encore ouverte.</x:v>
      </x:c>
      <x:c r="H90" s="115" t="str">
        <x:v>L 284 ; l 248 ; hauteur 5,05 m ; choix de composition auteur ; dimensions réelles à documenter</x:v>
      </x:c>
      <x:c r="I90" s="115" t="str">
        <x:v>À équilibrer</x:v>
      </x:c>
      <x:c r="J90" s="115" t="str">
        <x:v>Non</x:v>
      </x:c>
      <x:c r="K90" s="115" t="str">
        <x:v>Pièces décrites, murs, portes, niveaux et mobilier inspectables à l’échelle. Volumes réservés, raccord au seed, butin, rencontres et services de campagne restent à terminer.</x:v>
      </x:c>
    </x:row>
    <x:row r="91" ht="96" customHeight="1">
      <x:c r="A91" s="115" t="str">
        <x:v>EXT-MONDE-T002-V36</x:v>
      </x:c>
      <x:c r="B91" s="115" t="str">
        <x:v>EXT-MONDE-T002</x:v>
      </x:c>
      <x:c r="C91" s="115" t="str">
        <x:v>Lacs</x:v>
      </x:c>
      <x:c r="D91" s="115" t="str">
        <x:v>Village de pêche lacustre</x:v>
      </x:c>
      <x:c r="E91" s="115" t="n">
        <x:v>36</x:v>
      </x:c>
      <x:c r="F91" s="115" t="str">
        <x:v>Inspection physique</x:v>
      </x:c>
      <x:c r="G91" s="115" t="str">
        <x:v>1 niveaux ; 24 pièces ; 186 segments de mur ; 0 transitions. Inspection physique ; architecture complète encore ouverte.</x:v>
      </x:c>
      <x:c r="H91" s="115" t="str">
        <x:v>L 284 ; l 248 ; hauteur 5,05 m ; choix de composition auteur ; dimensions réelles à documenter</x:v>
      </x:c>
      <x:c r="I91" s="115" t="str">
        <x:v>À équilibrer</x:v>
      </x:c>
      <x:c r="J91" s="115" t="str">
        <x:v>Non</x:v>
      </x:c>
      <x:c r="K91" s="115" t="str">
        <x:v>Pièces décrites, murs, portes, niveaux et mobilier inspectables à l’échelle. Volumes réservés, raccord au seed, butin, rencontres et services de campagne restent à terminer.</x:v>
      </x:c>
    </x:row>
    <x:row r="92" ht="96" customHeight="1">
      <x:c r="A92" s="115" t="str">
        <x:v>EXT-MONDE-T002-V37</x:v>
      </x:c>
      <x:c r="B92" s="115" t="str">
        <x:v>EXT-MONDE-T002</x:v>
      </x:c>
      <x:c r="C92" s="115" t="str">
        <x:v>Lacs</x:v>
      </x:c>
      <x:c r="D92" s="115" t="str">
        <x:v>Village de pêche lacustre</x:v>
      </x:c>
      <x:c r="E92" s="115" t="n">
        <x:v>37</x:v>
      </x:c>
      <x:c r="F92" s="115" t="str">
        <x:v>Inspection physique</x:v>
      </x:c>
      <x:c r="G92" s="115" t="str">
        <x:v>1 niveaux ; 24 pièces ; 186 segments de mur ; 0 transitions. Inspection physique ; architecture complète encore ouverte.</x:v>
      </x:c>
      <x:c r="H92" s="115" t="str">
        <x:v>L 284 ; l 248 ; hauteur 5,05 m ; choix de composition auteur ; dimensions réelles à documenter</x:v>
      </x:c>
      <x:c r="I92" s="115" t="str">
        <x:v>À équilibrer</x:v>
      </x:c>
      <x:c r="J92" s="115" t="str">
        <x:v>Non</x:v>
      </x:c>
      <x:c r="K92" s="115" t="str">
        <x:v>Pièces décrites, murs, portes, niveaux et mobilier inspectables à l’échelle. Volumes réservés, raccord au seed, butin, rencontres et services de campagne restent à terminer.</x:v>
      </x:c>
    </x:row>
    <x:row r="93" ht="96" customHeight="1">
      <x:c r="A93" s="115" t="str">
        <x:v>EXT-MONDE-T002-V38</x:v>
      </x:c>
      <x:c r="B93" s="115" t="str">
        <x:v>EXT-MONDE-T002</x:v>
      </x:c>
      <x:c r="C93" s="115" t="str">
        <x:v>Lacs</x:v>
      </x:c>
      <x:c r="D93" s="115" t="str">
        <x:v>Village de pêche lacustre</x:v>
      </x:c>
      <x:c r="E93" s="115" t="n">
        <x:v>38</x:v>
      </x:c>
      <x:c r="F93" s="115" t="str">
        <x:v>Inspection physique</x:v>
      </x:c>
      <x:c r="G93" s="115" t="str">
        <x:v>1 niveaux ; 24 pièces ; 186 segments de mur ; 0 transitions. Inspection physique ; architecture complète encore ouverte.</x:v>
      </x:c>
      <x:c r="H93" s="115" t="str">
        <x:v>L 284 ; l 248 ; hauteur 5,05 m ; choix de composition auteur ; dimensions réelles à documenter</x:v>
      </x:c>
      <x:c r="I93" s="115" t="str">
        <x:v>À équilibrer</x:v>
      </x:c>
      <x:c r="J93" s="115" t="str">
        <x:v>Non</x:v>
      </x:c>
      <x:c r="K93" s="115" t="str">
        <x:v>Pièces décrites, murs, portes, niveaux et mobilier inspectables à l’échelle. Volumes réservés, raccord au seed, butin, rencontres et services de campagne restent à terminer.</x:v>
      </x:c>
    </x:row>
    <x:row r="94" ht="96" customHeight="1">
      <x:c r="A94" s="115" t="str">
        <x:v>EXT-MONDE-T002-V39</x:v>
      </x:c>
      <x:c r="B94" s="115" t="str">
        <x:v>EXT-MONDE-T002</x:v>
      </x:c>
      <x:c r="C94" s="115" t="str">
        <x:v>Lacs</x:v>
      </x:c>
      <x:c r="D94" s="115" t="str">
        <x:v>Village de pêche lacustre</x:v>
      </x:c>
      <x:c r="E94" s="115" t="n">
        <x:v>39</x:v>
      </x:c>
      <x:c r="F94" s="115" t="str">
        <x:v>Inspection physique</x:v>
      </x:c>
      <x:c r="G94" s="115" t="str">
        <x:v>1 niveaux ; 24 pièces ; 186 segments de mur ; 0 transitions. Inspection physique ; architecture complète encore ouverte.</x:v>
      </x:c>
      <x:c r="H94" s="115" t="str">
        <x:v>L 284 ; l 248 ; hauteur 5,05 m ; choix de composition auteur ; dimensions réelles à documenter</x:v>
      </x:c>
      <x:c r="I94" s="115" t="str">
        <x:v>À équilibrer</x:v>
      </x:c>
      <x:c r="J94" s="115" t="str">
        <x:v>Non</x:v>
      </x:c>
      <x:c r="K94" s="115" t="str">
        <x:v>Pièces décrites, murs, portes, niveaux et mobilier inspectables à l’échelle. Volumes réservés, raccord au seed, butin, rencontres et services de campagne restent à terminer.</x:v>
      </x:c>
    </x:row>
    <x:row r="95" ht="96" customHeight="1">
      <x:c r="A95" s="115" t="str">
        <x:v>EXT-MONDE-T002-V40</x:v>
      </x:c>
      <x:c r="B95" s="115" t="str">
        <x:v>EXT-MONDE-T002</x:v>
      </x:c>
      <x:c r="C95" s="115" t="str">
        <x:v>Lacs</x:v>
      </x:c>
      <x:c r="D95" s="115" t="str">
        <x:v>Village de pêche lacustre</x:v>
      </x:c>
      <x:c r="E95" s="115" t="n">
        <x:v>40</x:v>
      </x:c>
      <x:c r="F95" s="115" t="str">
        <x:v>Inspection physique</x:v>
      </x:c>
      <x:c r="G95" s="115" t="str">
        <x:v>1 niveaux ; 24 pièces ; 186 segments de mur ; 0 transitions. Inspection physique ; architecture complète encore ouverte.</x:v>
      </x:c>
      <x:c r="H95" s="115" t="str">
        <x:v>L 284 ; l 248 ; hauteur 5,05 m ; choix de composition auteur ; dimensions réelles à documenter</x:v>
      </x:c>
      <x:c r="I95" s="115" t="str">
        <x:v>À équilibrer</x:v>
      </x:c>
      <x:c r="J95" s="115" t="str">
        <x:v>Non</x:v>
      </x:c>
      <x:c r="K95" s="115" t="str">
        <x:v>Pièces décrites, murs, portes, niveaux et mobilier inspectables à l’échelle. Volumes réservés, raccord au seed, butin, rencontres et services de campagne restent à terminer.</x:v>
      </x:c>
    </x:row>
    <x:row r="96" ht="96" customHeight="1">
      <x:c r="A96" s="115" t="str">
        <x:v>EXT-MONDE-T002-V41</x:v>
      </x:c>
      <x:c r="B96" s="115" t="str">
        <x:v>EXT-MONDE-T002</x:v>
      </x:c>
      <x:c r="C96" s="115" t="str">
        <x:v>Lacs</x:v>
      </x:c>
      <x:c r="D96" s="115" t="str">
        <x:v>Village de pêche lacustre</x:v>
      </x:c>
      <x:c r="E96" s="115" t="n">
        <x:v>41</x:v>
      </x:c>
      <x:c r="F96" s="115" t="str">
        <x:v>Inspection physique</x:v>
      </x:c>
      <x:c r="G96" s="115" t="str">
        <x:v>1 niveaux ; 24 pièces ; 186 segments de mur ; 0 transitions. Inspection physique ; architecture complète encore ouverte.</x:v>
      </x:c>
      <x:c r="H96" s="115" t="str">
        <x:v>L 298 ; l 264 ; hauteur 5,2 m ; choix de composition auteur ; dimensions réelles à documenter</x:v>
      </x:c>
      <x:c r="I96" s="115" t="str">
        <x:v>À équilibrer</x:v>
      </x:c>
      <x:c r="J96" s="115" t="str">
        <x:v>Non</x:v>
      </x:c>
      <x:c r="K96" s="115" t="str">
        <x:v>Pièces décrites, murs, portes, niveaux et mobilier inspectables à l’échelle. Volumes réservés, raccord au seed, butin, rencontres et services de campagne restent à terminer.</x:v>
      </x:c>
    </x:row>
    <x:row r="97" ht="96" customHeight="1">
      <x:c r="A97" s="115" t="str">
        <x:v>EXT-MONDE-T002-V42</x:v>
      </x:c>
      <x:c r="B97" s="115" t="str">
        <x:v>EXT-MONDE-T002</x:v>
      </x:c>
      <x:c r="C97" s="115" t="str">
        <x:v>Lacs</x:v>
      </x:c>
      <x:c r="D97" s="115" t="str">
        <x:v>Village de pêche lacustre</x:v>
      </x:c>
      <x:c r="E97" s="115" t="n">
        <x:v>42</x:v>
      </x:c>
      <x:c r="F97" s="115" t="str">
        <x:v>Inspection physique</x:v>
      </x:c>
      <x:c r="G97" s="115" t="str">
        <x:v>1 niveaux ; 24 pièces ; 186 segments de mur ; 0 transitions. Inspection physique ; architecture complète encore ouverte.</x:v>
      </x:c>
      <x:c r="H97" s="115" t="str">
        <x:v>L 298 ; l 264 ; hauteur 5,2 m ; choix de composition auteur ; dimensions réelles à documenter</x:v>
      </x:c>
      <x:c r="I97" s="115" t="str">
        <x:v>À équilibrer</x:v>
      </x:c>
      <x:c r="J97" s="115" t="str">
        <x:v>Non</x:v>
      </x:c>
      <x:c r="K97" s="115" t="str">
        <x:v>Pièces décrites, murs, portes, niveaux et mobilier inspectables à l’échelle. Volumes réservés, raccord au seed, butin, rencontres et services de campagne restent à terminer.</x:v>
      </x:c>
    </x:row>
    <x:row r="98" ht="96" customHeight="1">
      <x:c r="A98" s="115" t="str">
        <x:v>EXT-MONDE-T002-V43</x:v>
      </x:c>
      <x:c r="B98" s="115" t="str">
        <x:v>EXT-MONDE-T002</x:v>
      </x:c>
      <x:c r="C98" s="115" t="str">
        <x:v>Lacs</x:v>
      </x:c>
      <x:c r="D98" s="115" t="str">
        <x:v>Village de pêche lacustre</x:v>
      </x:c>
      <x:c r="E98" s="115" t="n">
        <x:v>43</x:v>
      </x:c>
      <x:c r="F98" s="115" t="str">
        <x:v>Inspection physique</x:v>
      </x:c>
      <x:c r="G98" s="115" t="str">
        <x:v>1 niveaux ; 24 pièces ; 186 segments de mur ; 0 transitions. Inspection physique ; architecture complète encore ouverte.</x:v>
      </x:c>
      <x:c r="H98" s="115" t="str">
        <x:v>L 298 ; l 264 ; hauteur 5,2 m ; choix de composition auteur ; dimensions réelles à documenter</x:v>
      </x:c>
      <x:c r="I98" s="115" t="str">
        <x:v>À équilibrer</x:v>
      </x:c>
      <x:c r="J98" s="115" t="str">
        <x:v>Non</x:v>
      </x:c>
      <x:c r="K98" s="115" t="str">
        <x:v>Pièces décrites, murs, portes, niveaux et mobilier inspectables à l’échelle. Volumes réservés, raccord au seed, butin, rencontres et services de campagne restent à terminer.</x:v>
      </x:c>
    </x:row>
    <x:row r="99" ht="96" customHeight="1">
      <x:c r="A99" s="115" t="str">
        <x:v>EXT-MONDE-T002-V44</x:v>
      </x:c>
      <x:c r="B99" s="115" t="str">
        <x:v>EXT-MONDE-T002</x:v>
      </x:c>
      <x:c r="C99" s="115" t="str">
        <x:v>Lacs</x:v>
      </x:c>
      <x:c r="D99" s="115" t="str">
        <x:v>Village de pêche lacustre</x:v>
      </x:c>
      <x:c r="E99" s="115" t="n">
        <x:v>44</x:v>
      </x:c>
      <x:c r="F99" s="115" t="str">
        <x:v>Inspection physique</x:v>
      </x:c>
      <x:c r="G99" s="115" t="str">
        <x:v>1 niveaux ; 24 pièces ; 186 segments de mur ; 0 transitions. Inspection physique ; architecture complète encore ouverte.</x:v>
      </x:c>
      <x:c r="H99" s="115" t="str">
        <x:v>L 298 ; l 264 ; hauteur 5,2 m ; choix de composition auteur ; dimensions réelles à documenter</x:v>
      </x:c>
      <x:c r="I99" s="115" t="str">
        <x:v>À équilibrer</x:v>
      </x:c>
      <x:c r="J99" s="115" t="str">
        <x:v>Non</x:v>
      </x:c>
      <x:c r="K99" s="115" t="str">
        <x:v>Pièces décrites, murs, portes, niveaux et mobilier inspectables à l’échelle. Volumes réservés, raccord au seed, butin, rencontres et services de campagne restent à terminer.</x:v>
      </x:c>
    </x:row>
    <x:row r="100" ht="96" customHeight="1">
      <x:c r="A100" s="115" t="str">
        <x:v>EXT-MONDE-T002-V45</x:v>
      </x:c>
      <x:c r="B100" s="115" t="str">
        <x:v>EXT-MONDE-T002</x:v>
      </x:c>
      <x:c r="C100" s="115" t="str">
        <x:v>Lacs</x:v>
      </x:c>
      <x:c r="D100" s="115" t="str">
        <x:v>Village de pêche lacustre</x:v>
      </x:c>
      <x:c r="E100" s="115" t="n">
        <x:v>45</x:v>
      </x:c>
      <x:c r="F100" s="115" t="str">
        <x:v>Inspection physique</x:v>
      </x:c>
      <x:c r="G100" s="115" t="str">
        <x:v>1 niveaux ; 24 pièces ; 186 segments de mur ; 0 transitions. Inspection physique ; architecture complète encore ouverte.</x:v>
      </x:c>
      <x:c r="H100" s="115" t="str">
        <x:v>L 298 ; l 264 ; hauteur 5,2 m ; choix de composition auteur ; dimensions réelles à documenter</x:v>
      </x:c>
      <x:c r="I100" s="115" t="str">
        <x:v>À équilibrer</x:v>
      </x:c>
      <x:c r="J100" s="115" t="str">
        <x:v>Non</x:v>
      </x:c>
      <x:c r="K100" s="115" t="str">
        <x:v>Pièces décrites, murs, portes, niveaux et mobilier inspectables à l’échelle. Volumes réservés, raccord au seed, butin, rencontres et services de campagne restent à terminer.</x:v>
      </x:c>
    </x:row>
    <x:row r="101" ht="96" customHeight="1">
      <x:c r="A101" s="115" t="str">
        <x:v>EXT-MONDE-T002-V46</x:v>
      </x:c>
      <x:c r="B101" s="115" t="str">
        <x:v>EXT-MONDE-T002</x:v>
      </x:c>
      <x:c r="C101" s="115" t="str">
        <x:v>Lacs</x:v>
      </x:c>
      <x:c r="D101" s="115" t="str">
        <x:v>Village de pêche lacustre</x:v>
      </x:c>
      <x:c r="E101" s="115" t="n">
        <x:v>46</x:v>
      </x:c>
      <x:c r="F101" s="115" t="str">
        <x:v>Inspection physique</x:v>
      </x:c>
      <x:c r="G101" s="115" t="str">
        <x:v>1 niveaux ; 24 pièces ; 186 segments de mur ; 0 transitions. Inspection physique ; architecture complète encore ouverte.</x:v>
      </x:c>
      <x:c r="H101" s="115" t="str">
        <x:v>L 298 ; l 264 ; hauteur 5,2 m ; choix de composition auteur ; dimensions réelles à documenter</x:v>
      </x:c>
      <x:c r="I101" s="115" t="str">
        <x:v>À équilibrer</x:v>
      </x:c>
      <x:c r="J101" s="115" t="str">
        <x:v>Non</x:v>
      </x:c>
      <x:c r="K101" s="115" t="str">
        <x:v>Pièces décrites, murs, portes, niveaux et mobilier inspectables à l’échelle. Volumes réservés, raccord au seed, butin, rencontres et services de campagne restent à terminer.</x:v>
      </x:c>
    </x:row>
    <x:row r="102" ht="96" customHeight="1">
      <x:c r="A102" s="115" t="str">
        <x:v>EXT-MONDE-T002-V47</x:v>
      </x:c>
      <x:c r="B102" s="115" t="str">
        <x:v>EXT-MONDE-T002</x:v>
      </x:c>
      <x:c r="C102" s="115" t="str">
        <x:v>Lacs</x:v>
      </x:c>
      <x:c r="D102" s="115" t="str">
        <x:v>Village de pêche lacustre</x:v>
      </x:c>
      <x:c r="E102" s="115" t="n">
        <x:v>47</x:v>
      </x:c>
      <x:c r="F102" s="115" t="str">
        <x:v>Inspection physique</x:v>
      </x:c>
      <x:c r="G102" s="115" t="str">
        <x:v>1 niveaux ; 24 pièces ; 186 segments de mur ; 0 transitions. Inspection physique ; architecture complète encore ouverte.</x:v>
      </x:c>
      <x:c r="H102" s="115" t="str">
        <x:v>L 298 ; l 264 ; hauteur 5,2 m ; choix de composition auteur ; dimensions réelles à documenter</x:v>
      </x:c>
      <x:c r="I102" s="115" t="str">
        <x:v>À équilibrer</x:v>
      </x:c>
      <x:c r="J102" s="115" t="str">
        <x:v>Non</x:v>
      </x:c>
      <x:c r="K102" s="115" t="str">
        <x:v>Pièces décrites, murs, portes, niveaux et mobilier inspectables à l’échelle. Volumes réservés, raccord au seed, butin, rencontres et services de campagne restent à terminer.</x:v>
      </x:c>
    </x:row>
    <x:row r="103" ht="96" customHeight="1">
      <x:c r="A103" s="115" t="str">
        <x:v>EXT-MONDE-T002-V48</x:v>
      </x:c>
      <x:c r="B103" s="115" t="str">
        <x:v>EXT-MONDE-T002</x:v>
      </x:c>
      <x:c r="C103" s="115" t="str">
        <x:v>Lacs</x:v>
      </x:c>
      <x:c r="D103" s="115" t="str">
        <x:v>Village de pêche lacustre</x:v>
      </x:c>
      <x:c r="E103" s="115" t="n">
        <x:v>48</x:v>
      </x:c>
      <x:c r="F103" s="115" t="str">
        <x:v>Inspection physique</x:v>
      </x:c>
      <x:c r="G103" s="115" t="str">
        <x:v>1 niveaux ; 24 pièces ; 186 segments de mur ; 0 transitions. Inspection physique ; architecture complète encore ouverte.</x:v>
      </x:c>
      <x:c r="H103" s="115" t="str">
        <x:v>L 298 ; l 264 ; hauteur 5,2 m ; choix de composition auteur ; dimensions réelles à documenter</x:v>
      </x:c>
      <x:c r="I103" s="115" t="str">
        <x:v>À équilibrer</x:v>
      </x:c>
      <x:c r="J103" s="115" t="str">
        <x:v>Non</x:v>
      </x:c>
      <x:c r="K103" s="115" t="str">
        <x:v>Pièces décrites, murs, portes, niveaux et mobilier inspectables à l’échelle. Volumes réservés, raccord au seed, butin, rencontres et services de campagne restent à terminer.</x:v>
      </x:c>
    </x:row>
    <x:row r="104" ht="96" customHeight="1">
      <x:c r="A104" s="115" t="str">
        <x:v>EXT-MONDE-T002-V49</x:v>
      </x:c>
      <x:c r="B104" s="115" t="str">
        <x:v>EXT-MONDE-T002</x:v>
      </x:c>
      <x:c r="C104" s="115" t="str">
        <x:v>Lacs</x:v>
      </x:c>
      <x:c r="D104" s="115" t="str">
        <x:v>Village de pêche lacustre</x:v>
      </x:c>
      <x:c r="E104" s="115" t="n">
        <x:v>49</x:v>
      </x:c>
      <x:c r="F104" s="115" t="str">
        <x:v>Inspection physique</x:v>
      </x:c>
      <x:c r="G104" s="115" t="str">
        <x:v>1 niveaux ; 24 pièces ; 186 segments de mur ; 0 transitions. Inspection physique ; architecture complète encore ouverte.</x:v>
      </x:c>
      <x:c r="H104" s="115" t="str">
        <x:v>L 298 ; l 264 ; hauteur 5,2 m ; choix de composition auteur ; dimensions réelles à documenter</x:v>
      </x:c>
      <x:c r="I104" s="115" t="str">
        <x:v>À équilibrer</x:v>
      </x:c>
      <x:c r="J104" s="115" t="str">
        <x:v>Non</x:v>
      </x:c>
      <x:c r="K104" s="115" t="str">
        <x:v>Pièces décrites, murs, portes, niveaux et mobilier inspectables à l’échelle. Volumes réservés, raccord au seed, butin, rencontres et services de campagne restent à terminer.</x:v>
      </x:c>
    </x:row>
    <x:row r="105" ht="96" customHeight="1">
      <x:c r="A105" s="115" t="str">
        <x:v>EXT-MONDE-T002-V50</x:v>
      </x:c>
      <x:c r="B105" s="115" t="str">
        <x:v>EXT-MONDE-T002</x:v>
      </x:c>
      <x:c r="C105" s="115" t="str">
        <x:v>Lacs</x:v>
      </x:c>
      <x:c r="D105" s="115" t="str">
        <x:v>Village de pêche lacustre</x:v>
      </x:c>
      <x:c r="E105" s="115" t="n">
        <x:v>50</x:v>
      </x:c>
      <x:c r="F105" s="115" t="str">
        <x:v>Inspection physique</x:v>
      </x:c>
      <x:c r="G105" s="115" t="str">
        <x:v>1 niveaux ; 24 pièces ; 186 segments de mur ; 0 transitions. Inspection physique ; architecture complète encore ouverte.</x:v>
      </x:c>
      <x:c r="H105" s="115" t="str">
        <x:v>L 298 ; l 264 ; hauteur 5,2 m ; choix de composition auteur ; dimensions réelles à documenter</x:v>
      </x:c>
      <x:c r="I105" s="115" t="str">
        <x:v>À équilibrer</x:v>
      </x:c>
      <x:c r="J105" s="115" t="str">
        <x:v>Non</x:v>
      </x:c>
      <x:c r="K105" s="115" t="str">
        <x:v>Pièces décrites, murs, portes, niveaux et mobilier inspectables à l’échelle. Volumes réservés, raccord au seed, butin, rencontres et services de campagne restent à terminer.</x:v>
      </x:c>
    </x:row>
    <x:row r="106" ht="96" customHeight="1">
      <x:c r="A106" s="115" t="str">
        <x:v>EXT-MONDE-T003-V01</x:v>
      </x:c>
      <x:c r="B106" s="115" t="str">
        <x:v>EXT-MONDE-T003</x:v>
      </x:c>
      <x:c r="C106" s="115" t="str">
        <x:v>Lacs</x:v>
      </x:c>
      <x:c r="D106" s="115" t="str">
        <x:v>Station limnologique</x:v>
      </x:c>
      <x:c r="E106" s="115" t="n">
        <x:v>1</x:v>
      </x:c>
      <x:c r="F106" s="115" t="str">
        <x:v>Inspection physique</x:v>
      </x:c>
      <x:c r="G106" s="115" t="str">
        <x:v>1 niveaux ; 24 pièces ; 186 segments de mur ; 0 transitions. Inspection physique ; architecture complète encore ouverte.</x:v>
      </x:c>
      <x:c r="H106" s="115" t="str">
        <x:v>L 242 ; l 200 ; hauteur 4,2 m ; choix de composition auteur ; dimensions réelles à documenter</x:v>
      </x:c>
      <x:c r="I106" s="115" t="str">
        <x:v>À équilibrer</x:v>
      </x:c>
      <x:c r="J106" s="115" t="str">
        <x:v>Non</x:v>
      </x:c>
      <x:c r="K106" s="115" t="str">
        <x:v>Pièces décrites, murs, portes, niveaux et mobilier inspectables à l’échelle. Volumes réservés, raccord au seed, butin, rencontres et services de campagne restent à terminer.</x:v>
      </x:c>
    </x:row>
    <x:row r="107" ht="96" customHeight="1">
      <x:c r="A107" s="115" t="str">
        <x:v>EXT-MONDE-T003-V02</x:v>
      </x:c>
      <x:c r="B107" s="115" t="str">
        <x:v>EXT-MONDE-T003</x:v>
      </x:c>
      <x:c r="C107" s="115" t="str">
        <x:v>Lacs</x:v>
      </x:c>
      <x:c r="D107" s="115" t="str">
        <x:v>Station limnologique</x:v>
      </x:c>
      <x:c r="E107" s="115" t="n">
        <x:v>2</x:v>
      </x:c>
      <x:c r="F107" s="115" t="str">
        <x:v>Inspection physique</x:v>
      </x:c>
      <x:c r="G107" s="115" t="str">
        <x:v>1 niveaux ; 24 pièces ; 186 segments de mur ; 0 transitions. Inspection physique ; architecture complète encore ouverte.</x:v>
      </x:c>
      <x:c r="H107" s="115" t="str">
        <x:v>L 242 ; l 200 ; hauteur 4,2 m ; choix de composition auteur ; dimensions réelles à documenter</x:v>
      </x:c>
      <x:c r="I107" s="115" t="str">
        <x:v>À équilibrer</x:v>
      </x:c>
      <x:c r="J107" s="115" t="str">
        <x:v>Non</x:v>
      </x:c>
      <x:c r="K107" s="115" t="str">
        <x:v>Pièces décrites, murs, portes, niveaux et mobilier inspectables à l’échelle. Volumes réservés, raccord au seed, butin, rencontres et services de campagne restent à terminer.</x:v>
      </x:c>
    </x:row>
    <x:row r="108" ht="96" customHeight="1">
      <x:c r="A108" s="115" t="str">
        <x:v>EXT-MONDE-T003-V03</x:v>
      </x:c>
      <x:c r="B108" s="115" t="str">
        <x:v>EXT-MONDE-T003</x:v>
      </x:c>
      <x:c r="C108" s="115" t="str">
        <x:v>Lacs</x:v>
      </x:c>
      <x:c r="D108" s="115" t="str">
        <x:v>Station limnologique</x:v>
      </x:c>
      <x:c r="E108" s="115" t="n">
        <x:v>3</x:v>
      </x:c>
      <x:c r="F108" s="115" t="str">
        <x:v>Inspection physique</x:v>
      </x:c>
      <x:c r="G108" s="115" t="str">
        <x:v>1 niveaux ; 24 pièces ; 186 segments de mur ; 0 transitions. Inspection physique ; architecture complète encore ouverte.</x:v>
      </x:c>
      <x:c r="H108" s="115" t="str">
        <x:v>L 242 ; l 200 ; hauteur 4,2 m ; choix de composition auteur ; dimensions réelles à documenter</x:v>
      </x:c>
      <x:c r="I108" s="115" t="str">
        <x:v>À équilibrer</x:v>
      </x:c>
      <x:c r="J108" s="115" t="str">
        <x:v>Non</x:v>
      </x:c>
      <x:c r="K108" s="115" t="str">
        <x:v>Pièces décrites, murs, portes, niveaux et mobilier inspectables à l’échelle. Volumes réservés, raccord au seed, butin, rencontres et services de campagne restent à terminer.</x:v>
      </x:c>
    </x:row>
    <x:row r="109" ht="96" customHeight="1">
      <x:c r="A109" s="115" t="str">
        <x:v>EXT-MONDE-T003-V04</x:v>
      </x:c>
      <x:c r="B109" s="115" t="str">
        <x:v>EXT-MONDE-T003</x:v>
      </x:c>
      <x:c r="C109" s="115" t="str">
        <x:v>Lacs</x:v>
      </x:c>
      <x:c r="D109" s="115" t="str">
        <x:v>Station limnologique</x:v>
      </x:c>
      <x:c r="E109" s="115" t="n">
        <x:v>4</x:v>
      </x:c>
      <x:c r="F109" s="115" t="str">
        <x:v>Inspection physique</x:v>
      </x:c>
      <x:c r="G109" s="115" t="str">
        <x:v>1 niveaux ; 24 pièces ; 186 segments de mur ; 0 transitions. Inspection physique ; architecture complète encore ouverte.</x:v>
      </x:c>
      <x:c r="H109" s="115" t="str">
        <x:v>L 242 ; l 200 ; hauteur 4,2 m ; choix de composition auteur ; dimensions réelles à documenter</x:v>
      </x:c>
      <x:c r="I109" s="115" t="str">
        <x:v>À équilibrer</x:v>
      </x:c>
      <x:c r="J109" s="115" t="str">
        <x:v>Non</x:v>
      </x:c>
      <x:c r="K109" s="115" t="str">
        <x:v>Pièces décrites, murs, portes, niveaux et mobilier inspectables à l’échelle. Volumes réservés, raccord au seed, butin, rencontres et services de campagne restent à terminer.</x:v>
      </x:c>
    </x:row>
    <x:row r="110" ht="96" customHeight="1">
      <x:c r="A110" s="115" t="str">
        <x:v>EXT-MONDE-T003-V05</x:v>
      </x:c>
      <x:c r="B110" s="115" t="str">
        <x:v>EXT-MONDE-T003</x:v>
      </x:c>
      <x:c r="C110" s="115" t="str">
        <x:v>Lacs</x:v>
      </x:c>
      <x:c r="D110" s="115" t="str">
        <x:v>Station limnologique</x:v>
      </x:c>
      <x:c r="E110" s="115" t="n">
        <x:v>5</x:v>
      </x:c>
      <x:c r="F110" s="115" t="str">
        <x:v>Inspection physique</x:v>
      </x:c>
      <x:c r="G110" s="115" t="str">
        <x:v>1 niveaux ; 24 pièces ; 186 segments de mur ; 0 transitions. Inspection physique ; architecture complète encore ouverte.</x:v>
      </x:c>
      <x:c r="H110" s="115" t="str">
        <x:v>L 242 ; l 200 ; hauteur 4,2 m ; choix de composition auteur ; dimensions réelles à documenter</x:v>
      </x:c>
      <x:c r="I110" s="115" t="str">
        <x:v>À équilibrer</x:v>
      </x:c>
      <x:c r="J110" s="115" t="str">
        <x:v>Non</x:v>
      </x:c>
      <x:c r="K110" s="115" t="str">
        <x:v>Pièces décrites, murs, portes, niveaux et mobilier inspectables à l’échelle. Volumes réservés, raccord au seed, butin, rencontres et services de campagne restent à terminer.</x:v>
      </x:c>
    </x:row>
    <x:row r="111" ht="96" customHeight="1">
      <x:c r="A111" s="115" t="str">
        <x:v>EXT-MONDE-T003-V06</x:v>
      </x:c>
      <x:c r="B111" s="115" t="str">
        <x:v>EXT-MONDE-T003</x:v>
      </x:c>
      <x:c r="C111" s="115" t="str">
        <x:v>Lacs</x:v>
      </x:c>
      <x:c r="D111" s="115" t="str">
        <x:v>Station limnologique</x:v>
      </x:c>
      <x:c r="E111" s="115" t="n">
        <x:v>6</x:v>
      </x:c>
      <x:c r="F111" s="115" t="str">
        <x:v>Inspection physique</x:v>
      </x:c>
      <x:c r="G111" s="115" t="str">
        <x:v>1 niveaux ; 24 pièces ; 186 segments de mur ; 0 transitions. Inspection physique ; architecture complète encore ouverte.</x:v>
      </x:c>
      <x:c r="H111" s="115" t="str">
        <x:v>L 242 ; l 200 ; hauteur 4,2 m ; choix de composition auteur ; dimensions réelles à documenter</x:v>
      </x:c>
      <x:c r="I111" s="115" t="str">
        <x:v>À équilibrer</x:v>
      </x:c>
      <x:c r="J111" s="115" t="str">
        <x:v>Non</x:v>
      </x:c>
      <x:c r="K111" s="115" t="str">
        <x:v>Pièces décrites, murs, portes, niveaux et mobilier inspectables à l’échelle. Volumes réservés, raccord au seed, butin, rencontres et services de campagne restent à terminer.</x:v>
      </x:c>
    </x:row>
    <x:row r="112" ht="96" customHeight="1">
      <x:c r="A112" s="115" t="str">
        <x:v>EXT-MONDE-T003-V07</x:v>
      </x:c>
      <x:c r="B112" s="115" t="str">
        <x:v>EXT-MONDE-T003</x:v>
      </x:c>
      <x:c r="C112" s="115" t="str">
        <x:v>Lacs</x:v>
      </x:c>
      <x:c r="D112" s="115" t="str">
        <x:v>Station limnologique</x:v>
      </x:c>
      <x:c r="E112" s="115" t="n">
        <x:v>7</x:v>
      </x:c>
      <x:c r="F112" s="115" t="str">
        <x:v>Inspection physique</x:v>
      </x:c>
      <x:c r="G112" s="115" t="str">
        <x:v>1 niveaux ; 24 pièces ; 186 segments de mur ; 0 transitions. Inspection physique ; architecture complète encore ouverte.</x:v>
      </x:c>
      <x:c r="H112" s="115" t="str">
        <x:v>L 242 ; l 200 ; hauteur 4,2 m ; choix de composition auteur ; dimensions réelles à documenter</x:v>
      </x:c>
      <x:c r="I112" s="115" t="str">
        <x:v>À équilibrer</x:v>
      </x:c>
      <x:c r="J112" s="115" t="str">
        <x:v>Non</x:v>
      </x:c>
      <x:c r="K112" s="115" t="str">
        <x:v>Pièces décrites, murs, portes, niveaux et mobilier inspectables à l’échelle. Volumes réservés, raccord au seed, butin, rencontres et services de campagne restent à terminer.</x:v>
      </x:c>
    </x:row>
    <x:row r="113" ht="96" customHeight="1">
      <x:c r="A113" s="115" t="str">
        <x:v>EXT-MONDE-T003-V08</x:v>
      </x:c>
      <x:c r="B113" s="115" t="str">
        <x:v>EXT-MONDE-T003</x:v>
      </x:c>
      <x:c r="C113" s="115" t="str">
        <x:v>Lacs</x:v>
      </x:c>
      <x:c r="D113" s="115" t="str">
        <x:v>Station limnologique</x:v>
      </x:c>
      <x:c r="E113" s="115" t="n">
        <x:v>8</x:v>
      </x:c>
      <x:c r="F113" s="115" t="str">
        <x:v>Inspection physique</x:v>
      </x:c>
      <x:c r="G113" s="115" t="str">
        <x:v>1 niveaux ; 24 pièces ; 186 segments de mur ; 0 transitions. Inspection physique ; architecture complète encore ouverte.</x:v>
      </x:c>
      <x:c r="H113" s="115" t="str">
        <x:v>L 242 ; l 200 ; hauteur 4,2 m ; choix de composition auteur ; dimensions réelles à documenter</x:v>
      </x:c>
      <x:c r="I113" s="115" t="str">
        <x:v>À équilibrer</x:v>
      </x:c>
      <x:c r="J113" s="115" t="str">
        <x:v>Non</x:v>
      </x:c>
      <x:c r="K113" s="115" t="str">
        <x:v>Pièces décrites, murs, portes, niveaux et mobilier inspectables à l’échelle. Volumes réservés, raccord au seed, butin, rencontres et services de campagne restent à terminer.</x:v>
      </x:c>
    </x:row>
    <x:row r="114" ht="96" customHeight="1">
      <x:c r="A114" s="115" t="str">
        <x:v>EXT-MONDE-T003-V09</x:v>
      </x:c>
      <x:c r="B114" s="115" t="str">
        <x:v>EXT-MONDE-T003</x:v>
      </x:c>
      <x:c r="C114" s="115" t="str">
        <x:v>Lacs</x:v>
      </x:c>
      <x:c r="D114" s="115" t="str">
        <x:v>Station limnologique</x:v>
      </x:c>
      <x:c r="E114" s="115" t="n">
        <x:v>9</x:v>
      </x:c>
      <x:c r="F114" s="115" t="str">
        <x:v>Inspection physique</x:v>
      </x:c>
      <x:c r="G114" s="115" t="str">
        <x:v>1 niveaux ; 24 pièces ; 186 segments de mur ; 0 transitions. Inspection physique ; architecture complète encore ouverte.</x:v>
      </x:c>
      <x:c r="H114" s="115" t="str">
        <x:v>L 242 ; l 200 ; hauteur 4,2 m ; choix de composition auteur ; dimensions réelles à documenter</x:v>
      </x:c>
      <x:c r="I114" s="115" t="str">
        <x:v>À équilibrer</x:v>
      </x:c>
      <x:c r="J114" s="115" t="str">
        <x:v>Non</x:v>
      </x:c>
      <x:c r="K114" s="115" t="str">
        <x:v>Pièces décrites, murs, portes, niveaux et mobilier inspectables à l’échelle. Volumes réservés, raccord au seed, butin, rencontres et services de campagne restent à terminer.</x:v>
      </x:c>
    </x:row>
    <x:row r="115" ht="96" customHeight="1">
      <x:c r="A115" s="115" t="str">
        <x:v>EXT-MONDE-T003-V10</x:v>
      </x:c>
      <x:c r="B115" s="115" t="str">
        <x:v>EXT-MONDE-T003</x:v>
      </x:c>
      <x:c r="C115" s="115" t="str">
        <x:v>Lacs</x:v>
      </x:c>
      <x:c r="D115" s="115" t="str">
        <x:v>Station limnologique</x:v>
      </x:c>
      <x:c r="E115" s="115" t="n">
        <x:v>10</x:v>
      </x:c>
      <x:c r="F115" s="115" t="str">
        <x:v>Inspection physique</x:v>
      </x:c>
      <x:c r="G115" s="115" t="str">
        <x:v>1 niveaux ; 24 pièces ; 186 segments de mur ; 0 transitions. Inspection physique ; architecture complète encore ouverte.</x:v>
      </x:c>
      <x:c r="H115" s="115" t="str">
        <x:v>L 242 ; l 200 ; hauteur 4,2 m ; choix de composition auteur ; dimensions réelles à documenter</x:v>
      </x:c>
      <x:c r="I115" s="115" t="str">
        <x:v>À équilibrer</x:v>
      </x:c>
      <x:c r="J115" s="115" t="str">
        <x:v>Non</x:v>
      </x:c>
      <x:c r="K115" s="115" t="str">
        <x:v>Pièces décrites, murs, portes, niveaux et mobilier inspectables à l’échelle. Volumes réservés, raccord au seed, butin, rencontres et services de campagne restent à terminer.</x:v>
      </x:c>
    </x:row>
    <x:row r="116" ht="96" customHeight="1">
      <x:c r="A116" s="115" t="str">
        <x:v>EXT-MONDE-T003-V11</x:v>
      </x:c>
      <x:c r="B116" s="115" t="str">
        <x:v>EXT-MONDE-T003</x:v>
      </x:c>
      <x:c r="C116" s="115" t="str">
        <x:v>Lacs</x:v>
      </x:c>
      <x:c r="D116" s="115" t="str">
        <x:v>Station limnologique</x:v>
      </x:c>
      <x:c r="E116" s="115" t="n">
        <x:v>11</x:v>
      </x:c>
      <x:c r="F116" s="115" t="str">
        <x:v>Inspection physique</x:v>
      </x:c>
      <x:c r="G116" s="115" t="str">
        <x:v>1 niveaux ; 24 pièces ; 186 segments de mur ; 0 transitions. Inspection physique ; architecture complète encore ouverte.</x:v>
      </x:c>
      <x:c r="H116" s="115" t="str">
        <x:v>L 256 ; l 216 ; hauteur 4,35 m ; choix de composition auteur ; dimensions réelles à documenter</x:v>
      </x:c>
      <x:c r="I116" s="115" t="str">
        <x:v>À équilibrer</x:v>
      </x:c>
      <x:c r="J116" s="115" t="str">
        <x:v>Non</x:v>
      </x:c>
      <x:c r="K116" s="115" t="str">
        <x:v>Pièces décrites, murs, portes, niveaux et mobilier inspectables à l’échelle. Volumes réservés, raccord au seed, butin, rencontres et services de campagne restent à terminer.</x:v>
      </x:c>
    </x:row>
    <x:row r="117" ht="96" customHeight="1">
      <x:c r="A117" s="115" t="str">
        <x:v>EXT-MONDE-T003-V12</x:v>
      </x:c>
      <x:c r="B117" s="115" t="str">
        <x:v>EXT-MONDE-T003</x:v>
      </x:c>
      <x:c r="C117" s="115" t="str">
        <x:v>Lacs</x:v>
      </x:c>
      <x:c r="D117" s="115" t="str">
        <x:v>Station limnologique</x:v>
      </x:c>
      <x:c r="E117" s="115" t="n">
        <x:v>12</x:v>
      </x:c>
      <x:c r="F117" s="115" t="str">
        <x:v>Inspection physique</x:v>
      </x:c>
      <x:c r="G117" s="115" t="str">
        <x:v>1 niveaux ; 24 pièces ; 186 segments de mur ; 0 transitions. Inspection physique ; architecture complète encore ouverte.</x:v>
      </x:c>
      <x:c r="H117" s="115" t="str">
        <x:v>L 256 ; l 216 ; hauteur 4,35 m ; choix de composition auteur ; dimensions réelles à documenter</x:v>
      </x:c>
      <x:c r="I117" s="115" t="str">
        <x:v>À équilibrer</x:v>
      </x:c>
      <x:c r="J117" s="115" t="str">
        <x:v>Non</x:v>
      </x:c>
      <x:c r="K117" s="115" t="str">
        <x:v>Pièces décrites, murs, portes, niveaux et mobilier inspectables à l’échelle. Volumes réservés, raccord au seed, butin, rencontres et services de campagne restent à terminer.</x:v>
      </x:c>
    </x:row>
    <x:row r="118" ht="96" customHeight="1">
      <x:c r="A118" s="115" t="str">
        <x:v>EXT-MONDE-T003-V13</x:v>
      </x:c>
      <x:c r="B118" s="115" t="str">
        <x:v>EXT-MONDE-T003</x:v>
      </x:c>
      <x:c r="C118" s="115" t="str">
        <x:v>Lacs</x:v>
      </x:c>
      <x:c r="D118" s="115" t="str">
        <x:v>Station limnologique</x:v>
      </x:c>
      <x:c r="E118" s="115" t="n">
        <x:v>13</x:v>
      </x:c>
      <x:c r="F118" s="115" t="str">
        <x:v>Inspection physique</x:v>
      </x:c>
      <x:c r="G118" s="115" t="str">
        <x:v>1 niveaux ; 24 pièces ; 186 segments de mur ; 0 transitions. Inspection physique ; architecture complète encore ouverte.</x:v>
      </x:c>
      <x:c r="H118" s="115" t="str">
        <x:v>L 256 ; l 216 ; hauteur 4,35 m ; choix de composition auteur ; dimensions réelles à documenter</x:v>
      </x:c>
      <x:c r="I118" s="115" t="str">
        <x:v>À équilibrer</x:v>
      </x:c>
      <x:c r="J118" s="115" t="str">
        <x:v>Non</x:v>
      </x:c>
      <x:c r="K118" s="115" t="str">
        <x:v>Pièces décrites, murs, portes, niveaux et mobilier inspectables à l’échelle. Volumes réservés, raccord au seed, butin, rencontres et services de campagne restent à terminer.</x:v>
      </x:c>
    </x:row>
    <x:row r="119" ht="96" customHeight="1">
      <x:c r="A119" s="115" t="str">
        <x:v>EXT-MONDE-T003-V14</x:v>
      </x:c>
      <x:c r="B119" s="115" t="str">
        <x:v>EXT-MONDE-T003</x:v>
      </x:c>
      <x:c r="C119" s="115" t="str">
        <x:v>Lacs</x:v>
      </x:c>
      <x:c r="D119" s="115" t="str">
        <x:v>Station limnologique</x:v>
      </x:c>
      <x:c r="E119" s="115" t="n">
        <x:v>14</x:v>
      </x:c>
      <x:c r="F119" s="115" t="str">
        <x:v>Inspection physique</x:v>
      </x:c>
      <x:c r="G119" s="115" t="str">
        <x:v>1 niveaux ; 24 pièces ; 186 segments de mur ; 0 transitions. Inspection physique ; architecture complète encore ouverte.</x:v>
      </x:c>
      <x:c r="H119" s="115" t="str">
        <x:v>L 256 ; l 216 ; hauteur 4,35 m ; choix de composition auteur ; dimensions réelles à documenter</x:v>
      </x:c>
      <x:c r="I119" s="115" t="str">
        <x:v>À équilibrer</x:v>
      </x:c>
      <x:c r="J119" s="115" t="str">
        <x:v>Non</x:v>
      </x:c>
      <x:c r="K119" s="115" t="str">
        <x:v>Pièces décrites, murs, portes, niveaux et mobilier inspectables à l’échelle. Volumes réservés, raccord au seed, butin, rencontres et services de campagne restent à terminer.</x:v>
      </x:c>
    </x:row>
    <x:row r="120" ht="96" customHeight="1">
      <x:c r="A120" s="115" t="str">
        <x:v>EXT-MONDE-T003-V15</x:v>
      </x:c>
      <x:c r="B120" s="115" t="str">
        <x:v>EXT-MONDE-T003</x:v>
      </x:c>
      <x:c r="C120" s="115" t="str">
        <x:v>Lacs</x:v>
      </x:c>
      <x:c r="D120" s="115" t="str">
        <x:v>Station limnologique</x:v>
      </x:c>
      <x:c r="E120" s="115" t="n">
        <x:v>15</x:v>
      </x:c>
      <x:c r="F120" s="115" t="str">
        <x:v>Inspection physique</x:v>
      </x:c>
      <x:c r="G120" s="115" t="str">
        <x:v>1 niveaux ; 24 pièces ; 186 segments de mur ; 0 transitions. Inspection physique ; architecture complète encore ouverte.</x:v>
      </x:c>
      <x:c r="H120" s="115" t="str">
        <x:v>L 256 ; l 216 ; hauteur 4,35 m ; choix de composition auteur ; dimensions réelles à documenter</x:v>
      </x:c>
      <x:c r="I120" s="115" t="str">
        <x:v>À équilibrer</x:v>
      </x:c>
      <x:c r="J120" s="115" t="str">
        <x:v>Non</x:v>
      </x:c>
      <x:c r="K120" s="115" t="str">
        <x:v>Pièces décrites, murs, portes, niveaux et mobilier inspectables à l’échelle. Volumes réservés, raccord au seed, butin, rencontres et services de campagne restent à terminer.</x:v>
      </x:c>
    </x:row>
    <x:row r="121" ht="96" customHeight="1">
      <x:c r="A121" s="115" t="str">
        <x:v>EXT-MONDE-T003-V16</x:v>
      </x:c>
      <x:c r="B121" s="115" t="str">
        <x:v>EXT-MONDE-T003</x:v>
      </x:c>
      <x:c r="C121" s="115" t="str">
        <x:v>Lacs</x:v>
      </x:c>
      <x:c r="D121" s="115" t="str">
        <x:v>Station limnologique</x:v>
      </x:c>
      <x:c r="E121" s="115" t="n">
        <x:v>16</x:v>
      </x:c>
      <x:c r="F121" s="115" t="str">
        <x:v>Inspection physique</x:v>
      </x:c>
      <x:c r="G121" s="115" t="str">
        <x:v>1 niveaux ; 24 pièces ; 186 segments de mur ; 0 transitions. Inspection physique ; architecture complète encore ouverte.</x:v>
      </x:c>
      <x:c r="H121" s="115" t="str">
        <x:v>L 256 ; l 216 ; hauteur 4,35 m ; choix de composition auteur ; dimensions réelles à documenter</x:v>
      </x:c>
      <x:c r="I121" s="115" t="str">
        <x:v>À équilibrer</x:v>
      </x:c>
      <x:c r="J121" s="115" t="str">
        <x:v>Non</x:v>
      </x:c>
      <x:c r="K121" s="115" t="str">
        <x:v>Pièces décrites, murs, portes, niveaux et mobilier inspectables à l’échelle. Volumes réservés, raccord au seed, butin, rencontres et services de campagne restent à terminer.</x:v>
      </x:c>
    </x:row>
    <x:row r="122" ht="96" customHeight="1">
      <x:c r="A122" s="115" t="str">
        <x:v>EXT-MONDE-T003-V17</x:v>
      </x:c>
      <x:c r="B122" s="115" t="str">
        <x:v>EXT-MONDE-T003</x:v>
      </x:c>
      <x:c r="C122" s="115" t="str">
        <x:v>Lacs</x:v>
      </x:c>
      <x:c r="D122" s="115" t="str">
        <x:v>Station limnologique</x:v>
      </x:c>
      <x:c r="E122" s="115" t="n">
        <x:v>17</x:v>
      </x:c>
      <x:c r="F122" s="115" t="str">
        <x:v>Inspection physique</x:v>
      </x:c>
      <x:c r="G122" s="115" t="str">
        <x:v>1 niveaux ; 24 pièces ; 186 segments de mur ; 0 transitions. Inspection physique ; architecture complète encore ouverte.</x:v>
      </x:c>
      <x:c r="H122" s="115" t="str">
        <x:v>L 256 ; l 216 ; hauteur 4,35 m ; choix de composition auteur ; dimensions réelles à documenter</x:v>
      </x:c>
      <x:c r="I122" s="115" t="str">
        <x:v>À équilibrer</x:v>
      </x:c>
      <x:c r="J122" s="115" t="str">
        <x:v>Non</x:v>
      </x:c>
      <x:c r="K122" s="115" t="str">
        <x:v>Pièces décrites, murs, portes, niveaux et mobilier inspectables à l’échelle. Volumes réservés, raccord au seed, butin, rencontres et services de campagne restent à terminer.</x:v>
      </x:c>
    </x:row>
    <x:row r="123" ht="96" customHeight="1">
      <x:c r="A123" s="115" t="str">
        <x:v>EXT-MONDE-T003-V18</x:v>
      </x:c>
      <x:c r="B123" s="115" t="str">
        <x:v>EXT-MONDE-T003</x:v>
      </x:c>
      <x:c r="C123" s="115" t="str">
        <x:v>Lacs</x:v>
      </x:c>
      <x:c r="D123" s="115" t="str">
        <x:v>Station limnologique</x:v>
      </x:c>
      <x:c r="E123" s="115" t="n">
        <x:v>18</x:v>
      </x:c>
      <x:c r="F123" s="115" t="str">
        <x:v>Inspection physique</x:v>
      </x:c>
      <x:c r="G123" s="115" t="str">
        <x:v>1 niveaux ; 24 pièces ; 186 segments de mur ; 0 transitions. Inspection physique ; architecture complète encore ouverte.</x:v>
      </x:c>
      <x:c r="H123" s="115" t="str">
        <x:v>L 256 ; l 216 ; hauteur 4,35 m ; choix de composition auteur ; dimensions réelles à documenter</x:v>
      </x:c>
      <x:c r="I123" s="115" t="str">
        <x:v>À équilibrer</x:v>
      </x:c>
      <x:c r="J123" s="115" t="str">
        <x:v>Non</x:v>
      </x:c>
      <x:c r="K123" s="115" t="str">
        <x:v>Pièces décrites, murs, portes, niveaux et mobilier inspectables à l’échelle. Volumes réservés, raccord au seed, butin, rencontres et services de campagne restent à terminer.</x:v>
      </x:c>
    </x:row>
    <x:row r="124" ht="96" customHeight="1">
      <x:c r="A124" s="115" t="str">
        <x:v>EXT-MONDE-T003-V19</x:v>
      </x:c>
      <x:c r="B124" s="115" t="str">
        <x:v>EXT-MONDE-T003</x:v>
      </x:c>
      <x:c r="C124" s="115" t="str">
        <x:v>Lacs</x:v>
      </x:c>
      <x:c r="D124" s="115" t="str">
        <x:v>Station limnologique</x:v>
      </x:c>
      <x:c r="E124" s="115" t="n">
        <x:v>19</x:v>
      </x:c>
      <x:c r="F124" s="115" t="str">
        <x:v>Inspection physique</x:v>
      </x:c>
      <x:c r="G124" s="115" t="str">
        <x:v>1 niveaux ; 24 pièces ; 186 segments de mur ; 0 transitions. Inspection physique ; architecture complète encore ouverte.</x:v>
      </x:c>
      <x:c r="H124" s="115" t="str">
        <x:v>L 256 ; l 216 ; hauteur 4,35 m ; choix de composition auteur ; dimensions réelles à documenter</x:v>
      </x:c>
      <x:c r="I124" s="115" t="str">
        <x:v>À équilibrer</x:v>
      </x:c>
      <x:c r="J124" s="115" t="str">
        <x:v>Non</x:v>
      </x:c>
      <x:c r="K124" s="115" t="str">
        <x:v>Pièces décrites, murs, portes, niveaux et mobilier inspectables à l’échelle. Volumes réservés, raccord au seed, butin, rencontres et services de campagne restent à terminer.</x:v>
      </x:c>
    </x:row>
    <x:row r="125" ht="96" customHeight="1">
      <x:c r="A125" s="115" t="str">
        <x:v>EXT-MONDE-T003-V20</x:v>
      </x:c>
      <x:c r="B125" s="115" t="str">
        <x:v>EXT-MONDE-T003</x:v>
      </x:c>
      <x:c r="C125" s="115" t="str">
        <x:v>Lacs</x:v>
      </x:c>
      <x:c r="D125" s="115" t="str">
        <x:v>Station limnologique</x:v>
      </x:c>
      <x:c r="E125" s="115" t="n">
        <x:v>20</x:v>
      </x:c>
      <x:c r="F125" s="115" t="str">
        <x:v>Inspection physique</x:v>
      </x:c>
      <x:c r="G125" s="115" t="str">
        <x:v>1 niveaux ; 24 pièces ; 186 segments de mur ; 0 transitions. Inspection physique ; architecture complète encore ouverte.</x:v>
      </x:c>
      <x:c r="H125" s="115" t="str">
        <x:v>L 256 ; l 216 ; hauteur 4,35 m ; choix de composition auteur ; dimensions réelles à documenter</x:v>
      </x:c>
      <x:c r="I125" s="115" t="str">
        <x:v>À équilibrer</x:v>
      </x:c>
      <x:c r="J125" s="115" t="str">
        <x:v>Non</x:v>
      </x:c>
      <x:c r="K125" s="115" t="str">
        <x:v>Pièces décrites, murs, portes, niveaux et mobilier inspectables à l’échelle. Volumes réservés, raccord au seed, butin, rencontres et services de campagne restent à terminer.</x:v>
      </x:c>
    </x:row>
    <x:row r="126" ht="96" customHeight="1">
      <x:c r="A126" s="115" t="str">
        <x:v>EXT-MONDE-T003-V21</x:v>
      </x:c>
      <x:c r="B126" s="115" t="str">
        <x:v>EXT-MONDE-T003</x:v>
      </x:c>
      <x:c r="C126" s="115" t="str">
        <x:v>Lacs</x:v>
      </x:c>
      <x:c r="D126" s="115" t="str">
        <x:v>Station limnologique</x:v>
      </x:c>
      <x:c r="E126" s="115" t="n">
        <x:v>21</x:v>
      </x:c>
      <x:c r="F126" s="115" t="str">
        <x:v>Inspection physique</x:v>
      </x:c>
      <x:c r="G126" s="115" t="str">
        <x:v>1 niveaux ; 24 pièces ; 186 segments de mur ; 0 transitions. Inspection physique ; architecture complète encore ouverte.</x:v>
      </x:c>
      <x:c r="H126" s="115" t="str">
        <x:v>L 270 ; l 232 ; hauteur 4,5 m ; choix de composition auteur ; dimensions réelles à documenter</x:v>
      </x:c>
      <x:c r="I126" s="115" t="str">
        <x:v>À équilibrer</x:v>
      </x:c>
      <x:c r="J126" s="115" t="str">
        <x:v>Non</x:v>
      </x:c>
      <x:c r="K126" s="115" t="str">
        <x:v>Pièces décrites, murs, portes, niveaux et mobilier inspectables à l’échelle. Volumes réservés, raccord au seed, butin, rencontres et services de campagne restent à terminer.</x:v>
      </x:c>
    </x:row>
    <x:row r="127" ht="96" customHeight="1">
      <x:c r="A127" s="115" t="str">
        <x:v>EXT-MONDE-T003-V22</x:v>
      </x:c>
      <x:c r="B127" s="115" t="str">
        <x:v>EXT-MONDE-T003</x:v>
      </x:c>
      <x:c r="C127" s="115" t="str">
        <x:v>Lacs</x:v>
      </x:c>
      <x:c r="D127" s="115" t="str">
        <x:v>Station limnologique</x:v>
      </x:c>
      <x:c r="E127" s="115" t="n">
        <x:v>22</x:v>
      </x:c>
      <x:c r="F127" s="115" t="str">
        <x:v>Inspection physique</x:v>
      </x:c>
      <x:c r="G127" s="115" t="str">
        <x:v>1 niveaux ; 24 pièces ; 186 segments de mur ; 0 transitions. Inspection physique ; architecture complète encore ouverte.</x:v>
      </x:c>
      <x:c r="H127" s="115" t="str">
        <x:v>L 270 ; l 232 ; hauteur 4,5 m ; choix de composition auteur ; dimensions réelles à documenter</x:v>
      </x:c>
      <x:c r="I127" s="115" t="str">
        <x:v>À équilibrer</x:v>
      </x:c>
      <x:c r="J127" s="115" t="str">
        <x:v>Non</x:v>
      </x:c>
      <x:c r="K127" s="115" t="str">
        <x:v>Pièces décrites, murs, portes, niveaux et mobilier inspectables à l’échelle. Volumes réservés, raccord au seed, butin, rencontres et services de campagne restent à terminer.</x:v>
      </x:c>
    </x:row>
    <x:row r="128" ht="96" customHeight="1">
      <x:c r="A128" s="115" t="str">
        <x:v>EXT-MONDE-T003-V23</x:v>
      </x:c>
      <x:c r="B128" s="115" t="str">
        <x:v>EXT-MONDE-T003</x:v>
      </x:c>
      <x:c r="C128" s="115" t="str">
        <x:v>Lacs</x:v>
      </x:c>
      <x:c r="D128" s="115" t="str">
        <x:v>Station limnologique</x:v>
      </x:c>
      <x:c r="E128" s="115" t="n">
        <x:v>23</x:v>
      </x:c>
      <x:c r="F128" s="115" t="str">
        <x:v>Inspection physique</x:v>
      </x:c>
      <x:c r="G128" s="115" t="str">
        <x:v>1 niveaux ; 24 pièces ; 186 segments de mur ; 0 transitions. Inspection physique ; architecture complète encore ouverte.</x:v>
      </x:c>
      <x:c r="H128" s="115" t="str">
        <x:v>L 270 ; l 232 ; hauteur 4,5 m ; choix de composition auteur ; dimensions réelles à documenter</x:v>
      </x:c>
      <x:c r="I128" s="115" t="str">
        <x:v>À équilibrer</x:v>
      </x:c>
      <x:c r="J128" s="115" t="str">
        <x:v>Non</x:v>
      </x:c>
      <x:c r="K128" s="115" t="str">
        <x:v>Pièces décrites, murs, portes, niveaux et mobilier inspectables à l’échelle. Volumes réservés, raccord au seed, butin, rencontres et services de campagne restent à terminer.</x:v>
      </x:c>
    </x:row>
    <x:row r="129" ht="96" customHeight="1">
      <x:c r="A129" s="115" t="str">
        <x:v>EXT-MONDE-T003-V24</x:v>
      </x:c>
      <x:c r="B129" s="115" t="str">
        <x:v>EXT-MONDE-T003</x:v>
      </x:c>
      <x:c r="C129" s="115" t="str">
        <x:v>Lacs</x:v>
      </x:c>
      <x:c r="D129" s="115" t="str">
        <x:v>Station limnologique</x:v>
      </x:c>
      <x:c r="E129" s="115" t="n">
        <x:v>24</x:v>
      </x:c>
      <x:c r="F129" s="115" t="str">
        <x:v>Inspection physique</x:v>
      </x:c>
      <x:c r="G129" s="115" t="str">
        <x:v>1 niveaux ; 24 pièces ; 186 segments de mur ; 0 transitions. Inspection physique ; architecture complète encore ouverte.</x:v>
      </x:c>
      <x:c r="H129" s="115" t="str">
        <x:v>L 270 ; l 232 ; hauteur 4,5 m ; choix de composition auteur ; dimensions réelles à documenter</x:v>
      </x:c>
      <x:c r="I129" s="115" t="str">
        <x:v>À équilibrer</x:v>
      </x:c>
      <x:c r="J129" s="115" t="str">
        <x:v>Non</x:v>
      </x:c>
      <x:c r="K129" s="115" t="str">
        <x:v>Pièces décrites, murs, portes, niveaux et mobilier inspectables à l’échelle. Volumes réservés, raccord au seed, butin, rencontres et services de campagne restent à terminer.</x:v>
      </x:c>
    </x:row>
    <x:row r="130" ht="96" customHeight="1">
      <x:c r="A130" s="115" t="str">
        <x:v>EXT-MONDE-T003-V25</x:v>
      </x:c>
      <x:c r="B130" s="115" t="str">
        <x:v>EXT-MONDE-T003</x:v>
      </x:c>
      <x:c r="C130" s="115" t="str">
        <x:v>Lacs</x:v>
      </x:c>
      <x:c r="D130" s="115" t="str">
        <x:v>Station limnologique</x:v>
      </x:c>
      <x:c r="E130" s="115" t="n">
        <x:v>25</x:v>
      </x:c>
      <x:c r="F130" s="115" t="str">
        <x:v>Inspection physique</x:v>
      </x:c>
      <x:c r="G130" s="115" t="str">
        <x:v>1 niveaux ; 24 pièces ; 186 segments de mur ; 0 transitions. Inspection physique ; architecture complète encore ouverte.</x:v>
      </x:c>
      <x:c r="H130" s="115" t="str">
        <x:v>L 270 ; l 232 ; hauteur 4,5 m ; choix de composition auteur ; dimensions réelles à documenter</x:v>
      </x:c>
      <x:c r="I130" s="115" t="str">
        <x:v>À équilibrer</x:v>
      </x:c>
      <x:c r="J130" s="115" t="str">
        <x:v>Non</x:v>
      </x:c>
      <x:c r="K130" s="115" t="str">
        <x:v>Pièces décrites, murs, portes, niveaux et mobilier inspectables à l’échelle. Volumes réservés, raccord au seed, butin, rencontres et services de campagne restent à terminer.</x:v>
      </x:c>
    </x:row>
    <x:row r="131" ht="96" customHeight="1">
      <x:c r="A131" s="115" t="str">
        <x:v>EXT-MONDE-T003-V26</x:v>
      </x:c>
      <x:c r="B131" s="115" t="str">
        <x:v>EXT-MONDE-T003</x:v>
      </x:c>
      <x:c r="C131" s="115" t="str">
        <x:v>Lacs</x:v>
      </x:c>
      <x:c r="D131" s="115" t="str">
        <x:v>Station limnologique</x:v>
      </x:c>
      <x:c r="E131" s="115" t="n">
        <x:v>26</x:v>
      </x:c>
      <x:c r="F131" s="115" t="str">
        <x:v>Inspection physique</x:v>
      </x:c>
      <x:c r="G131" s="115" t="str">
        <x:v>1 niveaux ; 24 pièces ; 186 segments de mur ; 0 transitions. Inspection physique ; architecture complète encore ouverte.</x:v>
      </x:c>
      <x:c r="H131" s="115" t="str">
        <x:v>L 270 ; l 232 ; hauteur 4,5 m ; choix de composition auteur ; dimensions réelles à documenter</x:v>
      </x:c>
      <x:c r="I131" s="115" t="str">
        <x:v>À équilibrer</x:v>
      </x:c>
      <x:c r="J131" s="115" t="str">
        <x:v>Non</x:v>
      </x:c>
      <x:c r="K131" s="115" t="str">
        <x:v>Pièces décrites, murs, portes, niveaux et mobilier inspectables à l’échelle. Volumes réservés, raccord au seed, butin, rencontres et services de campagne restent à terminer.</x:v>
      </x:c>
    </x:row>
    <x:row r="132" ht="96" customHeight="1">
      <x:c r="A132" s="115" t="str">
        <x:v>EXT-MONDE-T003-V27</x:v>
      </x:c>
      <x:c r="B132" s="115" t="str">
        <x:v>EXT-MONDE-T003</x:v>
      </x:c>
      <x:c r="C132" s="115" t="str">
        <x:v>Lacs</x:v>
      </x:c>
      <x:c r="D132" s="115" t="str">
        <x:v>Station limnologique</x:v>
      </x:c>
      <x:c r="E132" s="115" t="n">
        <x:v>27</x:v>
      </x:c>
      <x:c r="F132" s="115" t="str">
        <x:v>Inspection physique</x:v>
      </x:c>
      <x:c r="G132" s="115" t="str">
        <x:v>1 niveaux ; 24 pièces ; 186 segments de mur ; 0 transitions. Inspection physique ; architecture complète encore ouverte.</x:v>
      </x:c>
      <x:c r="H132" s="115" t="str">
        <x:v>L 270 ; l 232 ; hauteur 4,5 m ; choix de composition auteur ; dimensions réelles à documenter</x:v>
      </x:c>
      <x:c r="I132" s="115" t="str">
        <x:v>À équilibrer</x:v>
      </x:c>
      <x:c r="J132" s="115" t="str">
        <x:v>Non</x:v>
      </x:c>
      <x:c r="K132" s="115" t="str">
        <x:v>Pièces décrites, murs, portes, niveaux et mobilier inspectables à l’échelle. Volumes réservés, raccord au seed, butin, rencontres et services de campagne restent à terminer.</x:v>
      </x:c>
    </x:row>
    <x:row r="133" ht="96" customHeight="1">
      <x:c r="A133" s="115" t="str">
        <x:v>EXT-MONDE-T003-V28</x:v>
      </x:c>
      <x:c r="B133" s="115" t="str">
        <x:v>EXT-MONDE-T003</x:v>
      </x:c>
      <x:c r="C133" s="115" t="str">
        <x:v>Lacs</x:v>
      </x:c>
      <x:c r="D133" s="115" t="str">
        <x:v>Station limnologique</x:v>
      </x:c>
      <x:c r="E133" s="115" t="n">
        <x:v>28</x:v>
      </x:c>
      <x:c r="F133" s="115" t="str">
        <x:v>Inspection physique</x:v>
      </x:c>
      <x:c r="G133" s="115" t="str">
        <x:v>1 niveaux ; 24 pièces ; 186 segments de mur ; 0 transitions. Inspection physique ; architecture complète encore ouverte.</x:v>
      </x:c>
      <x:c r="H133" s="115" t="str">
        <x:v>L 270 ; l 232 ; hauteur 4,5 m ; choix de composition auteur ; dimensions réelles à documenter</x:v>
      </x:c>
      <x:c r="I133" s="115" t="str">
        <x:v>À équilibrer</x:v>
      </x:c>
      <x:c r="J133" s="115" t="str">
        <x:v>Non</x:v>
      </x:c>
      <x:c r="K133" s="115" t="str">
        <x:v>Pièces décrites, murs, portes, niveaux et mobilier inspectables à l’échelle. Volumes réservés, raccord au seed, butin, rencontres et services de campagne restent à terminer.</x:v>
      </x:c>
    </x:row>
    <x:row r="134" ht="96" customHeight="1">
      <x:c r="A134" s="115" t="str">
        <x:v>EXT-MONDE-T003-V29</x:v>
      </x:c>
      <x:c r="B134" s="115" t="str">
        <x:v>EXT-MONDE-T003</x:v>
      </x:c>
      <x:c r="C134" s="115" t="str">
        <x:v>Lacs</x:v>
      </x:c>
      <x:c r="D134" s="115" t="str">
        <x:v>Station limnologique</x:v>
      </x:c>
      <x:c r="E134" s="115" t="n">
        <x:v>29</x:v>
      </x:c>
      <x:c r="F134" s="115" t="str">
        <x:v>Inspection physique</x:v>
      </x:c>
      <x:c r="G134" s="115" t="str">
        <x:v>1 niveaux ; 24 pièces ; 186 segments de mur ; 0 transitions. Inspection physique ; architecture complète encore ouverte.</x:v>
      </x:c>
      <x:c r="H134" s="115" t="str">
        <x:v>L 270 ; l 232 ; hauteur 4,5 m ; choix de composition auteur ; dimensions réelles à documenter</x:v>
      </x:c>
      <x:c r="I134" s="115" t="str">
        <x:v>À équilibrer</x:v>
      </x:c>
      <x:c r="J134" s="115" t="str">
        <x:v>Non</x:v>
      </x:c>
      <x:c r="K134" s="115" t="str">
        <x:v>Pièces décrites, murs, portes, niveaux et mobilier inspectables à l’échelle. Volumes réservés, raccord au seed, butin, rencontres et services de campagne restent à terminer.</x:v>
      </x:c>
    </x:row>
    <x:row r="135" ht="96" customHeight="1">
      <x:c r="A135" s="115" t="str">
        <x:v>EXT-MONDE-T003-V30</x:v>
      </x:c>
      <x:c r="B135" s="115" t="str">
        <x:v>EXT-MONDE-T003</x:v>
      </x:c>
      <x:c r="C135" s="115" t="str">
        <x:v>Lacs</x:v>
      </x:c>
      <x:c r="D135" s="115" t="str">
        <x:v>Station limnologique</x:v>
      </x:c>
      <x:c r="E135" s="115" t="n">
        <x:v>30</x:v>
      </x:c>
      <x:c r="F135" s="115" t="str">
        <x:v>Inspection physique</x:v>
      </x:c>
      <x:c r="G135" s="115" t="str">
        <x:v>1 niveaux ; 24 pièces ; 186 segments de mur ; 0 transitions. Inspection physique ; architecture complète encore ouverte.</x:v>
      </x:c>
      <x:c r="H135" s="115" t="str">
        <x:v>L 270 ; l 232 ; hauteur 4,5 m ; choix de composition auteur ; dimensions réelles à documenter</x:v>
      </x:c>
      <x:c r="I135" s="115" t="str">
        <x:v>À équilibrer</x:v>
      </x:c>
      <x:c r="J135" s="115" t="str">
        <x:v>Non</x:v>
      </x:c>
      <x:c r="K135" s="115" t="str">
        <x:v>Pièces décrites, murs, portes, niveaux et mobilier inspectables à l’échelle. Volumes réservés, raccord au seed, butin, rencontres et services de campagne restent à terminer.</x:v>
      </x:c>
    </x:row>
    <x:row r="136" ht="96" customHeight="1">
      <x:c r="A136" s="115" t="str">
        <x:v>EXT-MONDE-T003-V31</x:v>
      </x:c>
      <x:c r="B136" s="115" t="str">
        <x:v>EXT-MONDE-T003</x:v>
      </x:c>
      <x:c r="C136" s="115" t="str">
        <x:v>Lacs</x:v>
      </x:c>
      <x:c r="D136" s="115" t="str">
        <x:v>Station limnologique</x:v>
      </x:c>
      <x:c r="E136" s="115" t="n">
        <x:v>31</x:v>
      </x:c>
      <x:c r="F136" s="115" t="str">
        <x:v>Inspection physique</x:v>
      </x:c>
      <x:c r="G136" s="115" t="str">
        <x:v>1 niveaux ; 24 pièces ; 186 segments de mur ; 0 transitions. Inspection physique ; architecture complète encore ouverte.</x:v>
      </x:c>
      <x:c r="H136" s="115" t="str">
        <x:v>L 284 ; l 248 ; hauteur 4,65 m ; choix de composition auteur ; dimensions réelles à documenter</x:v>
      </x:c>
      <x:c r="I136" s="115" t="str">
        <x:v>À équilibrer</x:v>
      </x:c>
      <x:c r="J136" s="115" t="str">
        <x:v>Non</x:v>
      </x:c>
      <x:c r="K136" s="115" t="str">
        <x:v>Pièces décrites, murs, portes, niveaux et mobilier inspectables à l’échelle. Volumes réservés, raccord au seed, butin, rencontres et services de campagne restent à terminer.</x:v>
      </x:c>
    </x:row>
    <x:row r="137" ht="96" customHeight="1">
      <x:c r="A137" s="115" t="str">
        <x:v>EXT-MONDE-T003-V32</x:v>
      </x:c>
      <x:c r="B137" s="115" t="str">
        <x:v>EXT-MONDE-T003</x:v>
      </x:c>
      <x:c r="C137" s="115" t="str">
        <x:v>Lacs</x:v>
      </x:c>
      <x:c r="D137" s="115" t="str">
        <x:v>Station limnologique</x:v>
      </x:c>
      <x:c r="E137" s="115" t="n">
        <x:v>32</x:v>
      </x:c>
      <x:c r="F137" s="115" t="str">
        <x:v>Inspection physique</x:v>
      </x:c>
      <x:c r="G137" s="115" t="str">
        <x:v>1 niveaux ; 24 pièces ; 186 segments de mur ; 0 transitions. Inspection physique ; architecture complète encore ouverte.</x:v>
      </x:c>
      <x:c r="H137" s="115" t="str">
        <x:v>L 284 ; l 248 ; hauteur 4,65 m ; choix de composition auteur ; dimensions réelles à documenter</x:v>
      </x:c>
      <x:c r="I137" s="115" t="str">
        <x:v>À équilibrer</x:v>
      </x:c>
      <x:c r="J137" s="115" t="str">
        <x:v>Non</x:v>
      </x:c>
      <x:c r="K137" s="115" t="str">
        <x:v>Pièces décrites, murs, portes, niveaux et mobilier inspectables à l’échelle. Volumes réservés, raccord au seed, butin, rencontres et services de campagne restent à terminer.</x:v>
      </x:c>
    </x:row>
    <x:row r="138" ht="96" customHeight="1">
      <x:c r="A138" s="115" t="str">
        <x:v>EXT-MONDE-T003-V33</x:v>
      </x:c>
      <x:c r="B138" s="115" t="str">
        <x:v>EXT-MONDE-T003</x:v>
      </x:c>
      <x:c r="C138" s="115" t="str">
        <x:v>Lacs</x:v>
      </x:c>
      <x:c r="D138" s="115" t="str">
        <x:v>Station limnologique</x:v>
      </x:c>
      <x:c r="E138" s="115" t="n">
        <x:v>33</x:v>
      </x:c>
      <x:c r="F138" s="115" t="str">
        <x:v>Inspection physique</x:v>
      </x:c>
      <x:c r="G138" s="115" t="str">
        <x:v>1 niveaux ; 24 pièces ; 186 segments de mur ; 0 transitions. Inspection physique ; architecture complète encore ouverte.</x:v>
      </x:c>
      <x:c r="H138" s="115" t="str">
        <x:v>L 284 ; l 248 ; hauteur 4,65 m ; choix de composition auteur ; dimensions réelles à documenter</x:v>
      </x:c>
      <x:c r="I138" s="115" t="str">
        <x:v>À équilibrer</x:v>
      </x:c>
      <x:c r="J138" s="115" t="str">
        <x:v>Non</x:v>
      </x:c>
      <x:c r="K138" s="115" t="str">
        <x:v>Pièces décrites, murs, portes, niveaux et mobilier inspectables à l’échelle. Volumes réservés, raccord au seed, butin, rencontres et services de campagne restent à terminer.</x:v>
      </x:c>
    </x:row>
    <x:row r="139" ht="96" customHeight="1">
      <x:c r="A139" s="115" t="str">
        <x:v>EXT-MONDE-T003-V34</x:v>
      </x:c>
      <x:c r="B139" s="115" t="str">
        <x:v>EXT-MONDE-T003</x:v>
      </x:c>
      <x:c r="C139" s="115" t="str">
        <x:v>Lacs</x:v>
      </x:c>
      <x:c r="D139" s="115" t="str">
        <x:v>Station limnologique</x:v>
      </x:c>
      <x:c r="E139" s="115" t="n">
        <x:v>34</x:v>
      </x:c>
      <x:c r="F139" s="115" t="str">
        <x:v>Inspection physique</x:v>
      </x:c>
      <x:c r="G139" s="115" t="str">
        <x:v>1 niveaux ; 24 pièces ; 186 segments de mur ; 0 transitions. Inspection physique ; architecture complète encore ouverte.</x:v>
      </x:c>
      <x:c r="H139" s="115" t="str">
        <x:v>L 284 ; l 248 ; hauteur 4,65 m ; choix de composition auteur ; dimensions réelles à documenter</x:v>
      </x:c>
      <x:c r="I139" s="115" t="str">
        <x:v>À équilibrer</x:v>
      </x:c>
      <x:c r="J139" s="115" t="str">
        <x:v>Non</x:v>
      </x:c>
      <x:c r="K139" s="115" t="str">
        <x:v>Pièces décrites, murs, portes, niveaux et mobilier inspectables à l’échelle. Volumes réservés, raccord au seed, butin, rencontres et services de campagne restent à terminer.</x:v>
      </x:c>
    </x:row>
    <x:row r="140" ht="96" customHeight="1">
      <x:c r="A140" s="115" t="str">
        <x:v>EXT-MONDE-T003-V35</x:v>
      </x:c>
      <x:c r="B140" s="115" t="str">
        <x:v>EXT-MONDE-T003</x:v>
      </x:c>
      <x:c r="C140" s="115" t="str">
        <x:v>Lacs</x:v>
      </x:c>
      <x:c r="D140" s="115" t="str">
        <x:v>Station limnologique</x:v>
      </x:c>
      <x:c r="E140" s="115" t="n">
        <x:v>35</x:v>
      </x:c>
      <x:c r="F140" s="115" t="str">
        <x:v>Inspection physique</x:v>
      </x:c>
      <x:c r="G140" s="115" t="str">
        <x:v>1 niveaux ; 24 pièces ; 186 segments de mur ; 0 transitions. Inspection physique ; architecture complète encore ouverte.</x:v>
      </x:c>
      <x:c r="H140" s="115" t="str">
        <x:v>L 284 ; l 248 ; hauteur 4,65 m ; choix de composition auteur ; dimensions réelles à documenter</x:v>
      </x:c>
      <x:c r="I140" s="115" t="str">
        <x:v>À équilibrer</x:v>
      </x:c>
      <x:c r="J140" s="115" t="str">
        <x:v>Non</x:v>
      </x:c>
      <x:c r="K140" s="115" t="str">
        <x:v>Pièces décrites, murs, portes, niveaux et mobilier inspectables à l’échelle. Volumes réservés, raccord au seed, butin, rencontres et services de campagne restent à terminer.</x:v>
      </x:c>
    </x:row>
    <x:row r="141" ht="96" customHeight="1">
      <x:c r="A141" s="115" t="str">
        <x:v>EXT-MONDE-T003-V36</x:v>
      </x:c>
      <x:c r="B141" s="115" t="str">
        <x:v>EXT-MONDE-T003</x:v>
      </x:c>
      <x:c r="C141" s="115" t="str">
        <x:v>Lacs</x:v>
      </x:c>
      <x:c r="D141" s="115" t="str">
        <x:v>Station limnologique</x:v>
      </x:c>
      <x:c r="E141" s="115" t="n">
        <x:v>36</x:v>
      </x:c>
      <x:c r="F141" s="115" t="str">
        <x:v>Inspection physique</x:v>
      </x:c>
      <x:c r="G141" s="115" t="str">
        <x:v>1 niveaux ; 24 pièces ; 186 segments de mur ; 0 transitions. Inspection physique ; architecture complète encore ouverte.</x:v>
      </x:c>
      <x:c r="H141" s="115" t="str">
        <x:v>L 284 ; l 248 ; hauteur 4,65 m ; choix de composition auteur ; dimensions réelles à documenter</x:v>
      </x:c>
      <x:c r="I141" s="115" t="str">
        <x:v>À équilibrer</x:v>
      </x:c>
      <x:c r="J141" s="115" t="str">
        <x:v>Non</x:v>
      </x:c>
      <x:c r="K141" s="115" t="str">
        <x:v>Pièces décrites, murs, portes, niveaux et mobilier inspectables à l’échelle. Volumes réservés, raccord au seed, butin, rencontres et services de campagne restent à terminer.</x:v>
      </x:c>
    </x:row>
    <x:row r="142" ht="96" customHeight="1">
      <x:c r="A142" s="115" t="str">
        <x:v>EXT-MONDE-T003-V37</x:v>
      </x:c>
      <x:c r="B142" s="115" t="str">
        <x:v>EXT-MONDE-T003</x:v>
      </x:c>
      <x:c r="C142" s="115" t="str">
        <x:v>Lacs</x:v>
      </x:c>
      <x:c r="D142" s="115" t="str">
        <x:v>Station limnologique</x:v>
      </x:c>
      <x:c r="E142" s="115" t="n">
        <x:v>37</x:v>
      </x:c>
      <x:c r="F142" s="115" t="str">
        <x:v>Inspection physique</x:v>
      </x:c>
      <x:c r="G142" s="115" t="str">
        <x:v>1 niveaux ; 24 pièces ; 186 segments de mur ; 0 transitions. Inspection physique ; architecture complète encore ouverte.</x:v>
      </x:c>
      <x:c r="H142" s="115" t="str">
        <x:v>L 284 ; l 248 ; hauteur 4,65 m ; choix de composition auteur ; dimensions réelles à documenter</x:v>
      </x:c>
      <x:c r="I142" s="115" t="str">
        <x:v>À équilibrer</x:v>
      </x:c>
      <x:c r="J142" s="115" t="str">
        <x:v>Non</x:v>
      </x:c>
      <x:c r="K142" s="115" t="str">
        <x:v>Pièces décrites, murs, portes, niveaux et mobilier inspectables à l’échelle. Volumes réservés, raccord au seed, butin, rencontres et services de campagne restent à terminer.</x:v>
      </x:c>
    </x:row>
    <x:row r="143" ht="96" customHeight="1">
      <x:c r="A143" s="115" t="str">
        <x:v>EXT-MONDE-T003-V38</x:v>
      </x:c>
      <x:c r="B143" s="115" t="str">
        <x:v>EXT-MONDE-T003</x:v>
      </x:c>
      <x:c r="C143" s="115" t="str">
        <x:v>Lacs</x:v>
      </x:c>
      <x:c r="D143" s="115" t="str">
        <x:v>Station limnologique</x:v>
      </x:c>
      <x:c r="E143" s="115" t="n">
        <x:v>38</x:v>
      </x:c>
      <x:c r="F143" s="115" t="str">
        <x:v>Inspection physique</x:v>
      </x:c>
      <x:c r="G143" s="115" t="str">
        <x:v>1 niveaux ; 24 pièces ; 186 segments de mur ; 0 transitions. Inspection physique ; architecture complète encore ouverte.</x:v>
      </x:c>
      <x:c r="H143" s="115" t="str">
        <x:v>L 284 ; l 248 ; hauteur 4,65 m ; choix de composition auteur ; dimensions réelles à documenter</x:v>
      </x:c>
      <x:c r="I143" s="115" t="str">
        <x:v>À équilibrer</x:v>
      </x:c>
      <x:c r="J143" s="115" t="str">
        <x:v>Non</x:v>
      </x:c>
      <x:c r="K143" s="115" t="str">
        <x:v>Pièces décrites, murs, portes, niveaux et mobilier inspectables à l’échelle. Volumes réservés, raccord au seed, butin, rencontres et services de campagne restent à terminer.</x:v>
      </x:c>
    </x:row>
    <x:row r="144" ht="96" customHeight="1">
      <x:c r="A144" s="115" t="str">
        <x:v>EXT-MONDE-T003-V39</x:v>
      </x:c>
      <x:c r="B144" s="115" t="str">
        <x:v>EXT-MONDE-T003</x:v>
      </x:c>
      <x:c r="C144" s="115" t="str">
        <x:v>Lacs</x:v>
      </x:c>
      <x:c r="D144" s="115" t="str">
        <x:v>Station limnologique</x:v>
      </x:c>
      <x:c r="E144" s="115" t="n">
        <x:v>39</x:v>
      </x:c>
      <x:c r="F144" s="115" t="str">
        <x:v>Inspection physique</x:v>
      </x:c>
      <x:c r="G144" s="115" t="str">
        <x:v>1 niveaux ; 24 pièces ; 186 segments de mur ; 0 transitions. Inspection physique ; architecture complète encore ouverte.</x:v>
      </x:c>
      <x:c r="H144" s="115" t="str">
        <x:v>L 284 ; l 248 ; hauteur 4,65 m ; choix de composition auteur ; dimensions réelles à documenter</x:v>
      </x:c>
      <x:c r="I144" s="115" t="str">
        <x:v>À équilibrer</x:v>
      </x:c>
      <x:c r="J144" s="115" t="str">
        <x:v>Non</x:v>
      </x:c>
      <x:c r="K144" s="115" t="str">
        <x:v>Pièces décrites, murs, portes, niveaux et mobilier inspectables à l’échelle. Volumes réservés, raccord au seed, butin, rencontres et services de campagne restent à terminer.</x:v>
      </x:c>
    </x:row>
    <x:row r="145" ht="96" customHeight="1">
      <x:c r="A145" s="115" t="str">
        <x:v>EXT-MONDE-T003-V40</x:v>
      </x:c>
      <x:c r="B145" s="115" t="str">
        <x:v>EXT-MONDE-T003</x:v>
      </x:c>
      <x:c r="C145" s="115" t="str">
        <x:v>Lacs</x:v>
      </x:c>
      <x:c r="D145" s="115" t="str">
        <x:v>Station limnologique</x:v>
      </x:c>
      <x:c r="E145" s="115" t="n">
        <x:v>40</x:v>
      </x:c>
      <x:c r="F145" s="115" t="str">
        <x:v>Inspection physique</x:v>
      </x:c>
      <x:c r="G145" s="115" t="str">
        <x:v>1 niveaux ; 24 pièces ; 186 segments de mur ; 0 transitions. Inspection physique ; architecture complète encore ouverte.</x:v>
      </x:c>
      <x:c r="H145" s="115" t="str">
        <x:v>L 284 ; l 248 ; hauteur 4,65 m ; choix de composition auteur ; dimensions réelles à documenter</x:v>
      </x:c>
      <x:c r="I145" s="115" t="str">
        <x:v>À équilibrer</x:v>
      </x:c>
      <x:c r="J145" s="115" t="str">
        <x:v>Non</x:v>
      </x:c>
      <x:c r="K145" s="115" t="str">
        <x:v>Pièces décrites, murs, portes, niveaux et mobilier inspectables à l’échelle. Volumes réservés, raccord au seed, butin, rencontres et services de campagne restent à terminer.</x:v>
      </x:c>
    </x:row>
    <x:row r="146" ht="96" customHeight="1">
      <x:c r="A146" s="115" t="str">
        <x:v>EXT-MONDE-T003-V41</x:v>
      </x:c>
      <x:c r="B146" s="115" t="str">
        <x:v>EXT-MONDE-T003</x:v>
      </x:c>
      <x:c r="C146" s="115" t="str">
        <x:v>Lacs</x:v>
      </x:c>
      <x:c r="D146" s="115" t="str">
        <x:v>Station limnologique</x:v>
      </x:c>
      <x:c r="E146" s="115" t="n">
        <x:v>41</x:v>
      </x:c>
      <x:c r="F146" s="115" t="str">
        <x:v>Inspection physique</x:v>
      </x:c>
      <x:c r="G146" s="115" t="str">
        <x:v>1 niveaux ; 24 pièces ; 186 segments de mur ; 0 transitions. Inspection physique ; architecture complète encore ouverte.</x:v>
      </x:c>
      <x:c r="H146" s="115" t="str">
        <x:v>L 298 ; l 264 ; hauteur 4,8 m ; choix de composition auteur ; dimensions réelles à documenter</x:v>
      </x:c>
      <x:c r="I146" s="115" t="str">
        <x:v>À équilibrer</x:v>
      </x:c>
      <x:c r="J146" s="115" t="str">
        <x:v>Non</x:v>
      </x:c>
      <x:c r="K146" s="115" t="str">
        <x:v>Pièces décrites, murs, portes, niveaux et mobilier inspectables à l’échelle. Volumes réservés, raccord au seed, butin, rencontres et services de campagne restent à terminer.</x:v>
      </x:c>
    </x:row>
    <x:row r="147" ht="96" customHeight="1">
      <x:c r="A147" s="115" t="str">
        <x:v>EXT-MONDE-T003-V42</x:v>
      </x:c>
      <x:c r="B147" s="115" t="str">
        <x:v>EXT-MONDE-T003</x:v>
      </x:c>
      <x:c r="C147" s="115" t="str">
        <x:v>Lacs</x:v>
      </x:c>
      <x:c r="D147" s="115" t="str">
        <x:v>Station limnologique</x:v>
      </x:c>
      <x:c r="E147" s="115" t="n">
        <x:v>42</x:v>
      </x:c>
      <x:c r="F147" s="115" t="str">
        <x:v>Inspection physique</x:v>
      </x:c>
      <x:c r="G147" s="115" t="str">
        <x:v>1 niveaux ; 24 pièces ; 186 segments de mur ; 0 transitions. Inspection physique ; architecture complète encore ouverte.</x:v>
      </x:c>
      <x:c r="H147" s="115" t="str">
        <x:v>L 298 ; l 264 ; hauteur 4,8 m ; choix de composition auteur ; dimensions réelles à documenter</x:v>
      </x:c>
      <x:c r="I147" s="115" t="str">
        <x:v>À équilibrer</x:v>
      </x:c>
      <x:c r="J147" s="115" t="str">
        <x:v>Non</x:v>
      </x:c>
      <x:c r="K147" s="115" t="str">
        <x:v>Pièces décrites, murs, portes, niveaux et mobilier inspectables à l’échelle. Volumes réservés, raccord au seed, butin, rencontres et services de campagne restent à terminer.</x:v>
      </x:c>
    </x:row>
    <x:row r="148" ht="96" customHeight="1">
      <x:c r="A148" s="115" t="str">
        <x:v>EXT-MONDE-T003-V43</x:v>
      </x:c>
      <x:c r="B148" s="115" t="str">
        <x:v>EXT-MONDE-T003</x:v>
      </x:c>
      <x:c r="C148" s="115" t="str">
        <x:v>Lacs</x:v>
      </x:c>
      <x:c r="D148" s="115" t="str">
        <x:v>Station limnologique</x:v>
      </x:c>
      <x:c r="E148" s="115" t="n">
        <x:v>43</x:v>
      </x:c>
      <x:c r="F148" s="115" t="str">
        <x:v>Inspection physique</x:v>
      </x:c>
      <x:c r="G148" s="115" t="str">
        <x:v>1 niveaux ; 24 pièces ; 186 segments de mur ; 0 transitions. Inspection physique ; architecture complète encore ouverte.</x:v>
      </x:c>
      <x:c r="H148" s="115" t="str">
        <x:v>L 298 ; l 264 ; hauteur 4,8 m ; choix de composition auteur ; dimensions réelles à documenter</x:v>
      </x:c>
      <x:c r="I148" s="115" t="str">
        <x:v>À équilibrer</x:v>
      </x:c>
      <x:c r="J148" s="115" t="str">
        <x:v>Non</x:v>
      </x:c>
      <x:c r="K148" s="115" t="str">
        <x:v>Pièces décrites, murs, portes, niveaux et mobilier inspectables à l’échelle. Volumes réservés, raccord au seed, butin, rencontres et services de campagne restent à terminer.</x:v>
      </x:c>
    </x:row>
    <x:row r="149" ht="96" customHeight="1">
      <x:c r="A149" s="115" t="str">
        <x:v>EXT-MONDE-T003-V44</x:v>
      </x:c>
      <x:c r="B149" s="115" t="str">
        <x:v>EXT-MONDE-T003</x:v>
      </x:c>
      <x:c r="C149" s="115" t="str">
        <x:v>Lacs</x:v>
      </x:c>
      <x:c r="D149" s="115" t="str">
        <x:v>Station limnologique</x:v>
      </x:c>
      <x:c r="E149" s="115" t="n">
        <x:v>44</x:v>
      </x:c>
      <x:c r="F149" s="115" t="str">
        <x:v>Inspection physique</x:v>
      </x:c>
      <x:c r="G149" s="115" t="str">
        <x:v>1 niveaux ; 24 pièces ; 186 segments de mur ; 0 transitions. Inspection physique ; architecture complète encore ouverte.</x:v>
      </x:c>
      <x:c r="H149" s="115" t="str">
        <x:v>L 298 ; l 264 ; hauteur 4,8 m ; choix de composition auteur ; dimensions réelles à documenter</x:v>
      </x:c>
      <x:c r="I149" s="115" t="str">
        <x:v>À équilibrer</x:v>
      </x:c>
      <x:c r="J149" s="115" t="str">
        <x:v>Non</x:v>
      </x:c>
      <x:c r="K149" s="115" t="str">
        <x:v>Pièces décrites, murs, portes, niveaux et mobilier inspectables à l’échelle. Volumes réservés, raccord au seed, butin, rencontres et services de campagne restent à terminer.</x:v>
      </x:c>
    </x:row>
    <x:row r="150" ht="96" customHeight="1">
      <x:c r="A150" s="115" t="str">
        <x:v>EXT-MONDE-T003-V45</x:v>
      </x:c>
      <x:c r="B150" s="115" t="str">
        <x:v>EXT-MONDE-T003</x:v>
      </x:c>
      <x:c r="C150" s="115" t="str">
        <x:v>Lacs</x:v>
      </x:c>
      <x:c r="D150" s="115" t="str">
        <x:v>Station limnologique</x:v>
      </x:c>
      <x:c r="E150" s="115" t="n">
        <x:v>45</x:v>
      </x:c>
      <x:c r="F150" s="115" t="str">
        <x:v>Inspection physique</x:v>
      </x:c>
      <x:c r="G150" s="115" t="str">
        <x:v>1 niveaux ; 24 pièces ; 186 segments de mur ; 0 transitions. Inspection physique ; architecture complète encore ouverte.</x:v>
      </x:c>
      <x:c r="H150" s="115" t="str">
        <x:v>L 298 ; l 264 ; hauteur 4,8 m ; choix de composition auteur ; dimensions réelles à documenter</x:v>
      </x:c>
      <x:c r="I150" s="115" t="str">
        <x:v>À équilibrer</x:v>
      </x:c>
      <x:c r="J150" s="115" t="str">
        <x:v>Non</x:v>
      </x:c>
      <x:c r="K150" s="115" t="str">
        <x:v>Pièces décrites, murs, portes, niveaux et mobilier inspectables à l’échelle. Volumes réservés, raccord au seed, butin, rencontres et services de campagne restent à terminer.</x:v>
      </x:c>
    </x:row>
    <x:row r="151" ht="96" customHeight="1">
      <x:c r="A151" s="115" t="str">
        <x:v>EXT-MONDE-T003-V46</x:v>
      </x:c>
      <x:c r="B151" s="115" t="str">
        <x:v>EXT-MONDE-T003</x:v>
      </x:c>
      <x:c r="C151" s="115" t="str">
        <x:v>Lacs</x:v>
      </x:c>
      <x:c r="D151" s="115" t="str">
        <x:v>Station limnologique</x:v>
      </x:c>
      <x:c r="E151" s="115" t="n">
        <x:v>46</x:v>
      </x:c>
      <x:c r="F151" s="115" t="str">
        <x:v>Inspection physique</x:v>
      </x:c>
      <x:c r="G151" s="115" t="str">
        <x:v>1 niveaux ; 24 pièces ; 186 segments de mur ; 0 transitions. Inspection physique ; architecture complète encore ouverte.</x:v>
      </x:c>
      <x:c r="H151" s="115" t="str">
        <x:v>L 298 ; l 264 ; hauteur 4,8 m ; choix de composition auteur ; dimensions réelles à documenter</x:v>
      </x:c>
      <x:c r="I151" s="115" t="str">
        <x:v>À équilibrer</x:v>
      </x:c>
      <x:c r="J151" s="115" t="str">
        <x:v>Non</x:v>
      </x:c>
      <x:c r="K151" s="115" t="str">
        <x:v>Pièces décrites, murs, portes, niveaux et mobilier inspectables à l’échelle. Volumes réservés, raccord au seed, butin, rencontres et services de campagne restent à terminer.</x:v>
      </x:c>
    </x:row>
    <x:row r="152" ht="96" customHeight="1">
      <x:c r="A152" s="115" t="str">
        <x:v>EXT-MONDE-T003-V47</x:v>
      </x:c>
      <x:c r="B152" s="115" t="str">
        <x:v>EXT-MONDE-T003</x:v>
      </x:c>
      <x:c r="C152" s="115" t="str">
        <x:v>Lacs</x:v>
      </x:c>
      <x:c r="D152" s="115" t="str">
        <x:v>Station limnologique</x:v>
      </x:c>
      <x:c r="E152" s="115" t="n">
        <x:v>47</x:v>
      </x:c>
      <x:c r="F152" s="115" t="str">
        <x:v>Inspection physique</x:v>
      </x:c>
      <x:c r="G152" s="115" t="str">
        <x:v>1 niveaux ; 24 pièces ; 186 segments de mur ; 0 transitions. Inspection physique ; architecture complète encore ouverte.</x:v>
      </x:c>
      <x:c r="H152" s="115" t="str">
        <x:v>L 298 ; l 264 ; hauteur 4,8 m ; choix de composition auteur ; dimensions réelles à documenter</x:v>
      </x:c>
      <x:c r="I152" s="115" t="str">
        <x:v>À équilibrer</x:v>
      </x:c>
      <x:c r="J152" s="115" t="str">
        <x:v>Non</x:v>
      </x:c>
      <x:c r="K152" s="115" t="str">
        <x:v>Pièces décrites, murs, portes, niveaux et mobilier inspectables à l’échelle. Volumes réservés, raccord au seed, butin, rencontres et services de campagne restent à terminer.</x:v>
      </x:c>
    </x:row>
    <x:row r="153" ht="96" customHeight="1">
      <x:c r="A153" s="115" t="str">
        <x:v>EXT-MONDE-T003-V48</x:v>
      </x:c>
      <x:c r="B153" s="115" t="str">
        <x:v>EXT-MONDE-T003</x:v>
      </x:c>
      <x:c r="C153" s="115" t="str">
        <x:v>Lacs</x:v>
      </x:c>
      <x:c r="D153" s="115" t="str">
        <x:v>Station limnologique</x:v>
      </x:c>
      <x:c r="E153" s="115" t="n">
        <x:v>48</x:v>
      </x:c>
      <x:c r="F153" s="115" t="str">
        <x:v>Inspection physique</x:v>
      </x:c>
      <x:c r="G153" s="115" t="str">
        <x:v>1 niveaux ; 24 pièces ; 186 segments de mur ; 0 transitions. Inspection physique ; architecture complète encore ouverte.</x:v>
      </x:c>
      <x:c r="H153" s="115" t="str">
        <x:v>L 298 ; l 264 ; hauteur 4,8 m ; choix de composition auteur ; dimensions réelles à documenter</x:v>
      </x:c>
      <x:c r="I153" s="115" t="str">
        <x:v>À équilibrer</x:v>
      </x:c>
      <x:c r="J153" s="115" t="str">
        <x:v>Non</x:v>
      </x:c>
      <x:c r="K153" s="115" t="str">
        <x:v>Pièces décrites, murs, portes, niveaux et mobilier inspectables à l’échelle. Volumes réservés, raccord au seed, butin, rencontres et services de campagne restent à terminer.</x:v>
      </x:c>
    </x:row>
    <x:row r="154" ht="96" customHeight="1">
      <x:c r="A154" s="115" t="str">
        <x:v>EXT-MONDE-T003-V49</x:v>
      </x:c>
      <x:c r="B154" s="115" t="str">
        <x:v>EXT-MONDE-T003</x:v>
      </x:c>
      <x:c r="C154" s="115" t="str">
        <x:v>Lacs</x:v>
      </x:c>
      <x:c r="D154" s="115" t="str">
        <x:v>Station limnologique</x:v>
      </x:c>
      <x:c r="E154" s="115" t="n">
        <x:v>49</x:v>
      </x:c>
      <x:c r="F154" s="115" t="str">
        <x:v>Inspection physique</x:v>
      </x:c>
      <x:c r="G154" s="115" t="str">
        <x:v>1 niveaux ; 24 pièces ; 186 segments de mur ; 0 transitions. Inspection physique ; architecture complète encore ouverte.</x:v>
      </x:c>
      <x:c r="H154" s="115" t="str">
        <x:v>L 298 ; l 264 ; hauteur 4,8 m ; choix de composition auteur ; dimensions réelles à documenter</x:v>
      </x:c>
      <x:c r="I154" s="115" t="str">
        <x:v>À équilibrer</x:v>
      </x:c>
      <x:c r="J154" s="115" t="str">
        <x:v>Non</x:v>
      </x:c>
      <x:c r="K154" s="115" t="str">
        <x:v>Pièces décrites, murs, portes, niveaux et mobilier inspectables à l’échelle. Volumes réservés, raccord au seed, butin, rencontres et services de campagne restent à terminer.</x:v>
      </x:c>
    </x:row>
    <x:row r="155" ht="96" customHeight="1">
      <x:c r="A155" s="115" t="str">
        <x:v>EXT-MONDE-T003-V50</x:v>
      </x:c>
      <x:c r="B155" s="115" t="str">
        <x:v>EXT-MONDE-T003</x:v>
      </x:c>
      <x:c r="C155" s="115" t="str">
        <x:v>Lacs</x:v>
      </x:c>
      <x:c r="D155" s="115" t="str">
        <x:v>Station limnologique</x:v>
      </x:c>
      <x:c r="E155" s="115" t="n">
        <x:v>50</x:v>
      </x:c>
      <x:c r="F155" s="115" t="str">
        <x:v>Inspection physique</x:v>
      </x:c>
      <x:c r="G155" s="115" t="str">
        <x:v>1 niveaux ; 24 pièces ; 186 segments de mur ; 0 transitions. Inspection physique ; architecture complète encore ouverte.</x:v>
      </x:c>
      <x:c r="H155" s="115" t="str">
        <x:v>L 298 ; l 264 ; hauteur 4,8 m ; choix de composition auteur ; dimensions réelles à documenter</x:v>
      </x:c>
      <x:c r="I155" s="115" t="str">
        <x:v>À équilibrer</x:v>
      </x:c>
      <x:c r="J155" s="115" t="str">
        <x:v>Non</x:v>
      </x:c>
      <x:c r="K155" s="115" t="str">
        <x:v>Pièces décrites, murs, portes, niveaux et mobilier inspectables à l’échelle. Volumes réservés, raccord au seed, butin, rencontres et services de campagne restent à terminer.</x:v>
      </x:c>
    </x:row>
    <x:row r="156" ht="96" customHeight="1">
      <x:c r="A156" s="115" t="str">
        <x:v>EXT-MONDE-T004-V01</x:v>
      </x:c>
      <x:c r="B156" s="115" t="str">
        <x:v>EXT-MONDE-T004</x:v>
      </x:c>
      <x:c r="C156" s="115" t="str">
        <x:v>Lacs</x:v>
      </x:c>
      <x:c r="D156" s="115" t="str">
        <x:v>Camping de rive</x:v>
      </x:c>
      <x:c r="E156" s="115" t="n">
        <x:v>1</x:v>
      </x:c>
      <x:c r="F156" s="115" t="str">
        <x:v>Inspection physique</x:v>
      </x:c>
      <x:c r="G156" s="115" t="str">
        <x:v>1 niveaux ; 26 pièces ; 198 segments de mur ; 0 transitions. Inspection physique ; architecture complète encore ouverte.</x:v>
      </x:c>
      <x:c r="H156" s="115" t="str">
        <x:v>L 242 ; l 200 ; hauteur 3,8 m ; choix de composition auteur ; dimensions réelles à documenter</x:v>
      </x:c>
      <x:c r="I156" s="115" t="str">
        <x:v>À équilibrer</x:v>
      </x:c>
      <x:c r="J156" s="115" t="str">
        <x:v>Non</x:v>
      </x:c>
      <x:c r="K156" s="115" t="str">
        <x:v>Pièces décrites, murs, portes, niveaux et mobilier inspectables à l’échelle. Volumes réservés, raccord au seed, butin, rencontres et services de campagne restent à terminer.</x:v>
      </x:c>
    </x:row>
    <x:row r="157" ht="96" customHeight="1">
      <x:c r="A157" s="115" t="str">
        <x:v>EXT-MONDE-T004-V02</x:v>
      </x:c>
      <x:c r="B157" s="115" t="str">
        <x:v>EXT-MONDE-T004</x:v>
      </x:c>
      <x:c r="C157" s="115" t="str">
        <x:v>Lacs</x:v>
      </x:c>
      <x:c r="D157" s="115" t="str">
        <x:v>Camping de rive</x:v>
      </x:c>
      <x:c r="E157" s="115" t="n">
        <x:v>2</x:v>
      </x:c>
      <x:c r="F157" s="115" t="str">
        <x:v>Inspection physique</x:v>
      </x:c>
      <x:c r="G157" s="115" t="str">
        <x:v>1 niveaux ; 26 pièces ; 198 segments de mur ; 0 transitions. Inspection physique ; architecture complète encore ouverte.</x:v>
      </x:c>
      <x:c r="H157" s="115" t="str">
        <x:v>L 242 ; l 200 ; hauteur 3,8 m ; choix de composition auteur ; dimensions réelles à documenter</x:v>
      </x:c>
      <x:c r="I157" s="115" t="str">
        <x:v>À équilibrer</x:v>
      </x:c>
      <x:c r="J157" s="115" t="str">
        <x:v>Non</x:v>
      </x:c>
      <x:c r="K157" s="115" t="str">
        <x:v>Pièces décrites, murs, portes, niveaux et mobilier inspectables à l’échelle. Volumes réservés, raccord au seed, butin, rencontres et services de campagne restent à terminer.</x:v>
      </x:c>
    </x:row>
    <x:row r="158" ht="96" customHeight="1">
      <x:c r="A158" s="115" t="str">
        <x:v>EXT-MONDE-T004-V03</x:v>
      </x:c>
      <x:c r="B158" s="115" t="str">
        <x:v>EXT-MONDE-T004</x:v>
      </x:c>
      <x:c r="C158" s="115" t="str">
        <x:v>Lacs</x:v>
      </x:c>
      <x:c r="D158" s="115" t="str">
        <x:v>Camping de rive</x:v>
      </x:c>
      <x:c r="E158" s="115" t="n">
        <x:v>3</x:v>
      </x:c>
      <x:c r="F158" s="115" t="str">
        <x:v>Inspection physique</x:v>
      </x:c>
      <x:c r="G158" s="115" t="str">
        <x:v>1 niveaux ; 26 pièces ; 198 segments de mur ; 0 transitions. Inspection physique ; architecture complète encore ouverte.</x:v>
      </x:c>
      <x:c r="H158" s="115" t="str">
        <x:v>L 242 ; l 200 ; hauteur 3,8 m ; choix de composition auteur ; dimensions réelles à documenter</x:v>
      </x:c>
      <x:c r="I158" s="115" t="str">
        <x:v>À équilibrer</x:v>
      </x:c>
      <x:c r="J158" s="115" t="str">
        <x:v>Non</x:v>
      </x:c>
      <x:c r="K158" s="115" t="str">
        <x:v>Pièces décrites, murs, portes, niveaux et mobilier inspectables à l’échelle. Volumes réservés, raccord au seed, butin, rencontres et services de campagne restent à terminer.</x:v>
      </x:c>
    </x:row>
    <x:row r="159" ht="96" customHeight="1">
      <x:c r="A159" s="115" t="str">
        <x:v>EXT-MONDE-T004-V04</x:v>
      </x:c>
      <x:c r="B159" s="115" t="str">
        <x:v>EXT-MONDE-T004</x:v>
      </x:c>
      <x:c r="C159" s="115" t="str">
        <x:v>Lacs</x:v>
      </x:c>
      <x:c r="D159" s="115" t="str">
        <x:v>Camping de rive</x:v>
      </x:c>
      <x:c r="E159" s="115" t="n">
        <x:v>4</x:v>
      </x:c>
      <x:c r="F159" s="115" t="str">
        <x:v>Inspection physique</x:v>
      </x:c>
      <x:c r="G159" s="115" t="str">
        <x:v>1 niveaux ; 26 pièces ; 198 segments de mur ; 0 transitions. Inspection physique ; architecture complète encore ouverte.</x:v>
      </x:c>
      <x:c r="H159" s="115" t="str">
        <x:v>L 242 ; l 200 ; hauteur 3,8 m ; choix de composition auteur ; dimensions réelles à documenter</x:v>
      </x:c>
      <x:c r="I159" s="115" t="str">
        <x:v>À équilibrer</x:v>
      </x:c>
      <x:c r="J159" s="115" t="str">
        <x:v>Non</x:v>
      </x:c>
      <x:c r="K159" s="115" t="str">
        <x:v>Pièces décrites, murs, portes, niveaux et mobilier inspectables à l’échelle. Volumes réservés, raccord au seed, butin, rencontres et services de campagne restent à terminer.</x:v>
      </x:c>
    </x:row>
    <x:row r="160" ht="96" customHeight="1">
      <x:c r="A160" s="115" t="str">
        <x:v>EXT-MONDE-T004-V05</x:v>
      </x:c>
      <x:c r="B160" s="115" t="str">
        <x:v>EXT-MONDE-T004</x:v>
      </x:c>
      <x:c r="C160" s="115" t="str">
        <x:v>Lacs</x:v>
      </x:c>
      <x:c r="D160" s="115" t="str">
        <x:v>Camping de rive</x:v>
      </x:c>
      <x:c r="E160" s="115" t="n">
        <x:v>5</x:v>
      </x:c>
      <x:c r="F160" s="115" t="str">
        <x:v>Inspection physique</x:v>
      </x:c>
      <x:c r="G160" s="115" t="str">
        <x:v>1 niveaux ; 26 pièces ; 198 segments de mur ; 0 transitions. Inspection physique ; architecture complète encore ouverte.</x:v>
      </x:c>
      <x:c r="H160" s="115" t="str">
        <x:v>L 242 ; l 200 ; hauteur 3,8 m ; choix de composition auteur ; dimensions réelles à documenter</x:v>
      </x:c>
      <x:c r="I160" s="115" t="str">
        <x:v>À équilibrer</x:v>
      </x:c>
      <x:c r="J160" s="115" t="str">
        <x:v>Non</x:v>
      </x:c>
      <x:c r="K160" s="115" t="str">
        <x:v>Pièces décrites, murs, portes, niveaux et mobilier inspectables à l’échelle. Volumes réservés, raccord au seed, butin, rencontres et services de campagne restent à terminer.</x:v>
      </x:c>
    </x:row>
    <x:row r="161" ht="96" customHeight="1">
      <x:c r="A161" s="115" t="str">
        <x:v>EXT-MONDE-T004-V06</x:v>
      </x:c>
      <x:c r="B161" s="115" t="str">
        <x:v>EXT-MONDE-T004</x:v>
      </x:c>
      <x:c r="C161" s="115" t="str">
        <x:v>Lacs</x:v>
      </x:c>
      <x:c r="D161" s="115" t="str">
        <x:v>Camping de rive</x:v>
      </x:c>
      <x:c r="E161" s="115" t="n">
        <x:v>6</x:v>
      </x:c>
      <x:c r="F161" s="115" t="str">
        <x:v>Inspection physique</x:v>
      </x:c>
      <x:c r="G161" s="115" t="str">
        <x:v>1 niveaux ; 26 pièces ; 198 segments de mur ; 0 transitions. Inspection physique ; architecture complète encore ouverte.</x:v>
      </x:c>
      <x:c r="H161" s="115" t="str">
        <x:v>L 242 ; l 200 ; hauteur 3,8 m ; choix de composition auteur ; dimensions réelles à documenter</x:v>
      </x:c>
      <x:c r="I161" s="115" t="str">
        <x:v>À équilibrer</x:v>
      </x:c>
      <x:c r="J161" s="115" t="str">
        <x:v>Non</x:v>
      </x:c>
      <x:c r="K161" s="115" t="str">
        <x:v>Pièces décrites, murs, portes, niveaux et mobilier inspectables à l’échelle. Volumes réservés, raccord au seed, butin, rencontres et services de campagne restent à terminer.</x:v>
      </x:c>
    </x:row>
    <x:row r="162" ht="96" customHeight="1">
      <x:c r="A162" s="115" t="str">
        <x:v>EXT-MONDE-T004-V07</x:v>
      </x:c>
      <x:c r="B162" s="115" t="str">
        <x:v>EXT-MONDE-T004</x:v>
      </x:c>
      <x:c r="C162" s="115" t="str">
        <x:v>Lacs</x:v>
      </x:c>
      <x:c r="D162" s="115" t="str">
        <x:v>Camping de rive</x:v>
      </x:c>
      <x:c r="E162" s="115" t="n">
        <x:v>7</x:v>
      </x:c>
      <x:c r="F162" s="115" t="str">
        <x:v>Inspection physique</x:v>
      </x:c>
      <x:c r="G162" s="115" t="str">
        <x:v>1 niveaux ; 26 pièces ; 198 segments de mur ; 0 transitions. Inspection physique ; architecture complète encore ouverte.</x:v>
      </x:c>
      <x:c r="H162" s="115" t="str">
        <x:v>L 242 ; l 200 ; hauteur 3,8 m ; choix de composition auteur ; dimensions réelles à documenter</x:v>
      </x:c>
      <x:c r="I162" s="115" t="str">
        <x:v>À équilibrer</x:v>
      </x:c>
      <x:c r="J162" s="115" t="str">
        <x:v>Non</x:v>
      </x:c>
      <x:c r="K162" s="115" t="str">
        <x:v>Pièces décrites, murs, portes, niveaux et mobilier inspectables à l’échelle. Volumes réservés, raccord au seed, butin, rencontres et services de campagne restent à terminer.</x:v>
      </x:c>
    </x:row>
    <x:row r="163" ht="96" customHeight="1">
      <x:c r="A163" s="115" t="str">
        <x:v>EXT-MONDE-T004-V08</x:v>
      </x:c>
      <x:c r="B163" s="115" t="str">
        <x:v>EXT-MONDE-T004</x:v>
      </x:c>
      <x:c r="C163" s="115" t="str">
        <x:v>Lacs</x:v>
      </x:c>
      <x:c r="D163" s="115" t="str">
        <x:v>Camping de rive</x:v>
      </x:c>
      <x:c r="E163" s="115" t="n">
        <x:v>8</x:v>
      </x:c>
      <x:c r="F163" s="115" t="str">
        <x:v>Inspection physique</x:v>
      </x:c>
      <x:c r="G163" s="115" t="str">
        <x:v>1 niveaux ; 26 pièces ; 198 segments de mur ; 0 transitions. Inspection physique ; architecture complète encore ouverte.</x:v>
      </x:c>
      <x:c r="H163" s="115" t="str">
        <x:v>L 242 ; l 200 ; hauteur 3,8 m ; choix de composition auteur ; dimensions réelles à documenter</x:v>
      </x:c>
      <x:c r="I163" s="115" t="str">
        <x:v>À équilibrer</x:v>
      </x:c>
      <x:c r="J163" s="115" t="str">
        <x:v>Non</x:v>
      </x:c>
      <x:c r="K163" s="115" t="str">
        <x:v>Pièces décrites, murs, portes, niveaux et mobilier inspectables à l’échelle. Volumes réservés, raccord au seed, butin, rencontres et services de campagne restent à terminer.</x:v>
      </x:c>
    </x:row>
    <x:row r="164" ht="96" customHeight="1">
      <x:c r="A164" s="115" t="str">
        <x:v>EXT-MONDE-T004-V09</x:v>
      </x:c>
      <x:c r="B164" s="115" t="str">
        <x:v>EXT-MONDE-T004</x:v>
      </x:c>
      <x:c r="C164" s="115" t="str">
        <x:v>Lacs</x:v>
      </x:c>
      <x:c r="D164" s="115" t="str">
        <x:v>Camping de rive</x:v>
      </x:c>
      <x:c r="E164" s="115" t="n">
        <x:v>9</x:v>
      </x:c>
      <x:c r="F164" s="115" t="str">
        <x:v>Inspection physique</x:v>
      </x:c>
      <x:c r="G164" s="115" t="str">
        <x:v>1 niveaux ; 26 pièces ; 198 segments de mur ; 0 transitions. Inspection physique ; architecture complète encore ouverte.</x:v>
      </x:c>
      <x:c r="H164" s="115" t="str">
        <x:v>L 242 ; l 200 ; hauteur 3,8 m ; choix de composition auteur ; dimensions réelles à documenter</x:v>
      </x:c>
      <x:c r="I164" s="115" t="str">
        <x:v>À équilibrer</x:v>
      </x:c>
      <x:c r="J164" s="115" t="str">
        <x:v>Non</x:v>
      </x:c>
      <x:c r="K164" s="115" t="str">
        <x:v>Pièces décrites, murs, portes, niveaux et mobilier inspectables à l’échelle. Volumes réservés, raccord au seed, butin, rencontres et services de campagne restent à terminer.</x:v>
      </x:c>
    </x:row>
    <x:row r="165" ht="96" customHeight="1">
      <x:c r="A165" s="115" t="str">
        <x:v>EXT-MONDE-T004-V10</x:v>
      </x:c>
      <x:c r="B165" s="115" t="str">
        <x:v>EXT-MONDE-T004</x:v>
      </x:c>
      <x:c r="C165" s="115" t="str">
        <x:v>Lacs</x:v>
      </x:c>
      <x:c r="D165" s="115" t="str">
        <x:v>Camping de rive</x:v>
      </x:c>
      <x:c r="E165" s="115" t="n">
        <x:v>10</x:v>
      </x:c>
      <x:c r="F165" s="115" t="str">
        <x:v>Inspection physique</x:v>
      </x:c>
      <x:c r="G165" s="115" t="str">
        <x:v>1 niveaux ; 26 pièces ; 198 segments de mur ; 0 transitions. Inspection physique ; architecture complète encore ouverte.</x:v>
      </x:c>
      <x:c r="H165" s="115" t="str">
        <x:v>L 242 ; l 200 ; hauteur 3,8 m ; choix de composition auteur ; dimensions réelles à documenter</x:v>
      </x:c>
      <x:c r="I165" s="115" t="str">
        <x:v>À équilibrer</x:v>
      </x:c>
      <x:c r="J165" s="115" t="str">
        <x:v>Non</x:v>
      </x:c>
      <x:c r="K165" s="115" t="str">
        <x:v>Pièces décrites, murs, portes, niveaux et mobilier inspectables à l’échelle. Volumes réservés, raccord au seed, butin, rencontres et services de campagne restent à terminer.</x:v>
      </x:c>
    </x:row>
    <x:row r="166" ht="96" customHeight="1">
      <x:c r="A166" s="115" t="str">
        <x:v>EXT-MONDE-T004-V11</x:v>
      </x:c>
      <x:c r="B166" s="115" t="str">
        <x:v>EXT-MONDE-T004</x:v>
      </x:c>
      <x:c r="C166" s="115" t="str">
        <x:v>Lacs</x:v>
      </x:c>
      <x:c r="D166" s="115" t="str">
        <x:v>Camping de rive</x:v>
      </x:c>
      <x:c r="E166" s="115" t="n">
        <x:v>11</x:v>
      </x:c>
      <x:c r="F166" s="115" t="str">
        <x:v>Inspection physique</x:v>
      </x:c>
      <x:c r="G166" s="115" t="str">
        <x:v>1 niveaux ; 26 pièces ; 198 segments de mur ; 0 transitions. Inspection physique ; architecture complète encore ouverte.</x:v>
      </x:c>
      <x:c r="H166" s="115" t="str">
        <x:v>L 256 ; l 216 ; hauteur 3,95 m ; choix de composition auteur ; dimensions réelles à documenter</x:v>
      </x:c>
      <x:c r="I166" s="115" t="str">
        <x:v>À équilibrer</x:v>
      </x:c>
      <x:c r="J166" s="115" t="str">
        <x:v>Non</x:v>
      </x:c>
      <x:c r="K166" s="115" t="str">
        <x:v>Pièces décrites, murs, portes, niveaux et mobilier inspectables à l’échelle. Volumes réservés, raccord au seed, butin, rencontres et services de campagne restent à terminer.</x:v>
      </x:c>
    </x:row>
    <x:row r="167" ht="96" customHeight="1">
      <x:c r="A167" s="115" t="str">
        <x:v>EXT-MONDE-T004-V12</x:v>
      </x:c>
      <x:c r="B167" s="115" t="str">
        <x:v>EXT-MONDE-T004</x:v>
      </x:c>
      <x:c r="C167" s="115" t="str">
        <x:v>Lacs</x:v>
      </x:c>
      <x:c r="D167" s="115" t="str">
        <x:v>Camping de rive</x:v>
      </x:c>
      <x:c r="E167" s="115" t="n">
        <x:v>12</x:v>
      </x:c>
      <x:c r="F167" s="115" t="str">
        <x:v>Inspection physique</x:v>
      </x:c>
      <x:c r="G167" s="115" t="str">
        <x:v>1 niveaux ; 26 pièces ; 198 segments de mur ; 0 transitions. Inspection physique ; architecture complète encore ouverte.</x:v>
      </x:c>
      <x:c r="H167" s="115" t="str">
        <x:v>L 256 ; l 216 ; hauteur 3,95 m ; choix de composition auteur ; dimensions réelles à documenter</x:v>
      </x:c>
      <x:c r="I167" s="115" t="str">
        <x:v>À équilibrer</x:v>
      </x:c>
      <x:c r="J167" s="115" t="str">
        <x:v>Non</x:v>
      </x:c>
      <x:c r="K167" s="115" t="str">
        <x:v>Pièces décrites, murs, portes, niveaux et mobilier inspectables à l’échelle. Volumes réservés, raccord au seed, butin, rencontres et services de campagne restent à terminer.</x:v>
      </x:c>
    </x:row>
    <x:row r="168" ht="96" customHeight="1">
      <x:c r="A168" s="115" t="str">
        <x:v>EXT-MONDE-T004-V13</x:v>
      </x:c>
      <x:c r="B168" s="115" t="str">
        <x:v>EXT-MONDE-T004</x:v>
      </x:c>
      <x:c r="C168" s="115" t="str">
        <x:v>Lacs</x:v>
      </x:c>
      <x:c r="D168" s="115" t="str">
        <x:v>Camping de rive</x:v>
      </x:c>
      <x:c r="E168" s="115" t="n">
        <x:v>13</x:v>
      </x:c>
      <x:c r="F168" s="115" t="str">
        <x:v>Inspection physique</x:v>
      </x:c>
      <x:c r="G168" s="115" t="str">
        <x:v>1 niveaux ; 26 pièces ; 198 segments de mur ; 0 transitions. Inspection physique ; architecture complète encore ouverte.</x:v>
      </x:c>
      <x:c r="H168" s="115" t="str">
        <x:v>L 256 ; l 216 ; hauteur 3,95 m ; choix de composition auteur ; dimensions réelles à documenter</x:v>
      </x:c>
      <x:c r="I168" s="115" t="str">
        <x:v>À équilibrer</x:v>
      </x:c>
      <x:c r="J168" s="115" t="str">
        <x:v>Non</x:v>
      </x:c>
      <x:c r="K168" s="115" t="str">
        <x:v>Pièces décrites, murs, portes, niveaux et mobilier inspectables à l’échelle. Volumes réservés, raccord au seed, butin, rencontres et services de campagne restent à terminer.</x:v>
      </x:c>
    </x:row>
    <x:row r="169" ht="96" customHeight="1">
      <x:c r="A169" s="115" t="str">
        <x:v>EXT-MONDE-T004-V14</x:v>
      </x:c>
      <x:c r="B169" s="115" t="str">
        <x:v>EXT-MONDE-T004</x:v>
      </x:c>
      <x:c r="C169" s="115" t="str">
        <x:v>Lacs</x:v>
      </x:c>
      <x:c r="D169" s="115" t="str">
        <x:v>Camping de rive</x:v>
      </x:c>
      <x:c r="E169" s="115" t="n">
        <x:v>14</x:v>
      </x:c>
      <x:c r="F169" s="115" t="str">
        <x:v>Inspection physique</x:v>
      </x:c>
      <x:c r="G169" s="115" t="str">
        <x:v>1 niveaux ; 26 pièces ; 198 segments de mur ; 0 transitions. Inspection physique ; architecture complète encore ouverte.</x:v>
      </x:c>
      <x:c r="H169" s="115" t="str">
        <x:v>L 256 ; l 216 ; hauteur 3,95 m ; choix de composition auteur ; dimensions réelles à documenter</x:v>
      </x:c>
      <x:c r="I169" s="115" t="str">
        <x:v>À équilibrer</x:v>
      </x:c>
      <x:c r="J169" s="115" t="str">
        <x:v>Non</x:v>
      </x:c>
      <x:c r="K169" s="115" t="str">
        <x:v>Pièces décrites, murs, portes, niveaux et mobilier inspectables à l’échelle. Volumes réservés, raccord au seed, butin, rencontres et services de campagne restent à terminer.</x:v>
      </x:c>
    </x:row>
    <x:row r="170" ht="96" customHeight="1">
      <x:c r="A170" s="115" t="str">
        <x:v>EXT-MONDE-T004-V15</x:v>
      </x:c>
      <x:c r="B170" s="115" t="str">
        <x:v>EXT-MONDE-T004</x:v>
      </x:c>
      <x:c r="C170" s="115" t="str">
        <x:v>Lacs</x:v>
      </x:c>
      <x:c r="D170" s="115" t="str">
        <x:v>Camping de rive</x:v>
      </x:c>
      <x:c r="E170" s="115" t="n">
        <x:v>15</x:v>
      </x:c>
      <x:c r="F170" s="115" t="str">
        <x:v>Inspection physique</x:v>
      </x:c>
      <x:c r="G170" s="115" t="str">
        <x:v>1 niveaux ; 26 pièces ; 198 segments de mur ; 0 transitions. Inspection physique ; architecture complète encore ouverte.</x:v>
      </x:c>
      <x:c r="H170" s="115" t="str">
        <x:v>L 256 ; l 216 ; hauteur 3,95 m ; choix de composition auteur ; dimensions réelles à documenter</x:v>
      </x:c>
      <x:c r="I170" s="115" t="str">
        <x:v>À équilibrer</x:v>
      </x:c>
      <x:c r="J170" s="115" t="str">
        <x:v>Non</x:v>
      </x:c>
      <x:c r="K170" s="115" t="str">
        <x:v>Pièces décrites, murs, portes, niveaux et mobilier inspectables à l’échelle. Volumes réservés, raccord au seed, butin, rencontres et services de campagne restent à terminer.</x:v>
      </x:c>
    </x:row>
    <x:row r="171" ht="96" customHeight="1">
      <x:c r="A171" s="115" t="str">
        <x:v>EXT-MONDE-T004-V16</x:v>
      </x:c>
      <x:c r="B171" s="115" t="str">
        <x:v>EXT-MONDE-T004</x:v>
      </x:c>
      <x:c r="C171" s="115" t="str">
        <x:v>Lacs</x:v>
      </x:c>
      <x:c r="D171" s="115" t="str">
        <x:v>Camping de rive</x:v>
      </x:c>
      <x:c r="E171" s="115" t="n">
        <x:v>16</x:v>
      </x:c>
      <x:c r="F171" s="115" t="str">
        <x:v>Inspection physique</x:v>
      </x:c>
      <x:c r="G171" s="115" t="str">
        <x:v>1 niveaux ; 26 pièces ; 198 segments de mur ; 0 transitions. Inspection physique ; architecture complète encore ouverte.</x:v>
      </x:c>
      <x:c r="H171" s="115" t="str">
        <x:v>L 256 ; l 216 ; hauteur 3,95 m ; choix de composition auteur ; dimensions réelles à documenter</x:v>
      </x:c>
      <x:c r="I171" s="115" t="str">
        <x:v>À équilibrer</x:v>
      </x:c>
      <x:c r="J171" s="115" t="str">
        <x:v>Non</x:v>
      </x:c>
      <x:c r="K171" s="115" t="str">
        <x:v>Pièces décrites, murs, portes, niveaux et mobilier inspectables à l’échelle. Volumes réservés, raccord au seed, butin, rencontres et services de campagne restent à terminer.</x:v>
      </x:c>
    </x:row>
    <x:row r="172" ht="96" customHeight="1">
      <x:c r="A172" s="115" t="str">
        <x:v>EXT-MONDE-T004-V17</x:v>
      </x:c>
      <x:c r="B172" s="115" t="str">
        <x:v>EXT-MONDE-T004</x:v>
      </x:c>
      <x:c r="C172" s="115" t="str">
        <x:v>Lacs</x:v>
      </x:c>
      <x:c r="D172" s="115" t="str">
        <x:v>Camping de rive</x:v>
      </x:c>
      <x:c r="E172" s="115" t="n">
        <x:v>17</x:v>
      </x:c>
      <x:c r="F172" s="115" t="str">
        <x:v>Inspection physique</x:v>
      </x:c>
      <x:c r="G172" s="115" t="str">
        <x:v>1 niveaux ; 26 pièces ; 198 segments de mur ; 0 transitions. Inspection physique ; architecture complète encore ouverte.</x:v>
      </x:c>
      <x:c r="H172" s="115" t="str">
        <x:v>L 256 ; l 216 ; hauteur 3,95 m ; choix de composition auteur ; dimensions réelles à documenter</x:v>
      </x:c>
      <x:c r="I172" s="115" t="str">
        <x:v>À équilibrer</x:v>
      </x:c>
      <x:c r="J172" s="115" t="str">
        <x:v>Non</x:v>
      </x:c>
      <x:c r="K172" s="115" t="str">
        <x:v>Pièces décrites, murs, portes, niveaux et mobilier inspectables à l’échelle. Volumes réservés, raccord au seed, butin, rencontres et services de campagne restent à terminer.</x:v>
      </x:c>
    </x:row>
    <x:row r="173" ht="96" customHeight="1">
      <x:c r="A173" s="115" t="str">
        <x:v>EXT-MONDE-T004-V18</x:v>
      </x:c>
      <x:c r="B173" s="115" t="str">
        <x:v>EXT-MONDE-T004</x:v>
      </x:c>
      <x:c r="C173" s="115" t="str">
        <x:v>Lacs</x:v>
      </x:c>
      <x:c r="D173" s="115" t="str">
        <x:v>Camping de rive</x:v>
      </x:c>
      <x:c r="E173" s="115" t="n">
        <x:v>18</x:v>
      </x:c>
      <x:c r="F173" s="115" t="str">
        <x:v>Inspection physique</x:v>
      </x:c>
      <x:c r="G173" s="115" t="str">
        <x:v>1 niveaux ; 26 pièces ; 198 segments de mur ; 0 transitions. Inspection physique ; architecture complète encore ouverte.</x:v>
      </x:c>
      <x:c r="H173" s="115" t="str">
        <x:v>L 256 ; l 216 ; hauteur 3,95 m ; choix de composition auteur ; dimensions réelles à documenter</x:v>
      </x:c>
      <x:c r="I173" s="115" t="str">
        <x:v>À équilibrer</x:v>
      </x:c>
      <x:c r="J173" s="115" t="str">
        <x:v>Non</x:v>
      </x:c>
      <x:c r="K173" s="115" t="str">
        <x:v>Pièces décrites, murs, portes, niveaux et mobilier inspectables à l’échelle. Volumes réservés, raccord au seed, butin, rencontres et services de campagne restent à terminer.</x:v>
      </x:c>
    </x:row>
    <x:row r="174" ht="96" customHeight="1">
      <x:c r="A174" s="115" t="str">
        <x:v>EXT-MONDE-T004-V19</x:v>
      </x:c>
      <x:c r="B174" s="115" t="str">
        <x:v>EXT-MONDE-T004</x:v>
      </x:c>
      <x:c r="C174" s="115" t="str">
        <x:v>Lacs</x:v>
      </x:c>
      <x:c r="D174" s="115" t="str">
        <x:v>Camping de rive</x:v>
      </x:c>
      <x:c r="E174" s="115" t="n">
        <x:v>19</x:v>
      </x:c>
      <x:c r="F174" s="115" t="str">
        <x:v>Inspection physique</x:v>
      </x:c>
      <x:c r="G174" s="115" t="str">
        <x:v>1 niveaux ; 26 pièces ; 198 segments de mur ; 0 transitions. Inspection physique ; architecture complète encore ouverte.</x:v>
      </x:c>
      <x:c r="H174" s="115" t="str">
        <x:v>L 256 ; l 216 ; hauteur 3,95 m ; choix de composition auteur ; dimensions réelles à documenter</x:v>
      </x:c>
      <x:c r="I174" s="115" t="str">
        <x:v>À équilibrer</x:v>
      </x:c>
      <x:c r="J174" s="115" t="str">
        <x:v>Non</x:v>
      </x:c>
      <x:c r="K174" s="115" t="str">
        <x:v>Pièces décrites, murs, portes, niveaux et mobilier inspectables à l’échelle. Volumes réservés, raccord au seed, butin, rencontres et services de campagne restent à terminer.</x:v>
      </x:c>
    </x:row>
    <x:row r="175" ht="96" customHeight="1">
      <x:c r="A175" s="115" t="str">
        <x:v>EXT-MONDE-T004-V20</x:v>
      </x:c>
      <x:c r="B175" s="115" t="str">
        <x:v>EXT-MONDE-T004</x:v>
      </x:c>
      <x:c r="C175" s="115" t="str">
        <x:v>Lacs</x:v>
      </x:c>
      <x:c r="D175" s="115" t="str">
        <x:v>Camping de rive</x:v>
      </x:c>
      <x:c r="E175" s="115" t="n">
        <x:v>20</x:v>
      </x:c>
      <x:c r="F175" s="115" t="str">
        <x:v>Inspection physique</x:v>
      </x:c>
      <x:c r="G175" s="115" t="str">
        <x:v>1 niveaux ; 26 pièces ; 198 segments de mur ; 0 transitions. Inspection physique ; architecture complète encore ouverte.</x:v>
      </x:c>
      <x:c r="H175" s="115" t="str">
        <x:v>L 256 ; l 216 ; hauteur 3,95 m ; choix de composition auteur ; dimensions réelles à documenter</x:v>
      </x:c>
      <x:c r="I175" s="115" t="str">
        <x:v>À équilibrer</x:v>
      </x:c>
      <x:c r="J175" s="115" t="str">
        <x:v>Non</x:v>
      </x:c>
      <x:c r="K175" s="115" t="str">
        <x:v>Pièces décrites, murs, portes, niveaux et mobilier inspectables à l’échelle. Volumes réservés, raccord au seed, butin, rencontres et services de campagne restent à terminer.</x:v>
      </x:c>
    </x:row>
    <x:row r="176" ht="96" customHeight="1">
      <x:c r="A176" s="115" t="str">
        <x:v>EXT-MONDE-T004-V21</x:v>
      </x:c>
      <x:c r="B176" s="115" t="str">
        <x:v>EXT-MONDE-T004</x:v>
      </x:c>
      <x:c r="C176" s="115" t="str">
        <x:v>Lacs</x:v>
      </x:c>
      <x:c r="D176" s="115" t="str">
        <x:v>Camping de rive</x:v>
      </x:c>
      <x:c r="E176" s="115" t="n">
        <x:v>21</x:v>
      </x:c>
      <x:c r="F176" s="115" t="str">
        <x:v>Inspection physique</x:v>
      </x:c>
      <x:c r="G176" s="115" t="str">
        <x:v>1 niveaux ; 26 pièces ; 198 segments de mur ; 0 transitions. Inspection physique ; architecture complète encore ouverte.</x:v>
      </x:c>
      <x:c r="H176" s="115" t="str">
        <x:v>L 270 ; l 232 ; hauteur 4,1 m ; choix de composition auteur ; dimensions réelles à documenter</x:v>
      </x:c>
      <x:c r="I176" s="115" t="str">
        <x:v>À équilibrer</x:v>
      </x:c>
      <x:c r="J176" s="115" t="str">
        <x:v>Non</x:v>
      </x:c>
      <x:c r="K176" s="115" t="str">
        <x:v>Pièces décrites, murs, portes, niveaux et mobilier inspectables à l’échelle. Volumes réservés, raccord au seed, butin, rencontres et services de campagne restent à terminer.</x:v>
      </x:c>
    </x:row>
    <x:row r="177" ht="96" customHeight="1">
      <x:c r="A177" s="115" t="str">
        <x:v>EXT-MONDE-T004-V22</x:v>
      </x:c>
      <x:c r="B177" s="115" t="str">
        <x:v>EXT-MONDE-T004</x:v>
      </x:c>
      <x:c r="C177" s="115" t="str">
        <x:v>Lacs</x:v>
      </x:c>
      <x:c r="D177" s="115" t="str">
        <x:v>Camping de rive</x:v>
      </x:c>
      <x:c r="E177" s="115" t="n">
        <x:v>22</x:v>
      </x:c>
      <x:c r="F177" s="115" t="str">
        <x:v>Inspection physique</x:v>
      </x:c>
      <x:c r="G177" s="115" t="str">
        <x:v>1 niveaux ; 26 pièces ; 198 segments de mur ; 0 transitions. Inspection physique ; architecture complète encore ouverte.</x:v>
      </x:c>
      <x:c r="H177" s="115" t="str">
        <x:v>L 270 ; l 232 ; hauteur 4,1 m ; choix de composition auteur ; dimensions réelles à documenter</x:v>
      </x:c>
      <x:c r="I177" s="115" t="str">
        <x:v>À équilibrer</x:v>
      </x:c>
      <x:c r="J177" s="115" t="str">
        <x:v>Non</x:v>
      </x:c>
      <x:c r="K177" s="115" t="str">
        <x:v>Pièces décrites, murs, portes, niveaux et mobilier inspectables à l’échelle. Volumes réservés, raccord au seed, butin, rencontres et services de campagne restent à terminer.</x:v>
      </x:c>
    </x:row>
    <x:row r="178" ht="96" customHeight="1">
      <x:c r="A178" s="115" t="str">
        <x:v>EXT-MONDE-T004-V23</x:v>
      </x:c>
      <x:c r="B178" s="115" t="str">
        <x:v>EXT-MONDE-T004</x:v>
      </x:c>
      <x:c r="C178" s="115" t="str">
        <x:v>Lacs</x:v>
      </x:c>
      <x:c r="D178" s="115" t="str">
        <x:v>Camping de rive</x:v>
      </x:c>
      <x:c r="E178" s="115" t="n">
        <x:v>23</x:v>
      </x:c>
      <x:c r="F178" s="115" t="str">
        <x:v>Inspection physique</x:v>
      </x:c>
      <x:c r="G178" s="115" t="str">
        <x:v>1 niveaux ; 26 pièces ; 198 segments de mur ; 0 transitions. Inspection physique ; architecture complète encore ouverte.</x:v>
      </x:c>
      <x:c r="H178" s="115" t="str">
        <x:v>L 270 ; l 232 ; hauteur 4,1 m ; choix de composition auteur ; dimensions réelles à documenter</x:v>
      </x:c>
      <x:c r="I178" s="115" t="str">
        <x:v>À équilibrer</x:v>
      </x:c>
      <x:c r="J178" s="115" t="str">
        <x:v>Non</x:v>
      </x:c>
      <x:c r="K178" s="115" t="str">
        <x:v>Pièces décrites, murs, portes, niveaux et mobilier inspectables à l’échelle. Volumes réservés, raccord au seed, butin, rencontres et services de campagne restent à terminer.</x:v>
      </x:c>
    </x:row>
    <x:row r="179" ht="96" customHeight="1">
      <x:c r="A179" s="115" t="str">
        <x:v>EXT-MONDE-T004-V24</x:v>
      </x:c>
      <x:c r="B179" s="115" t="str">
        <x:v>EXT-MONDE-T004</x:v>
      </x:c>
      <x:c r="C179" s="115" t="str">
        <x:v>Lacs</x:v>
      </x:c>
      <x:c r="D179" s="115" t="str">
        <x:v>Camping de rive</x:v>
      </x:c>
      <x:c r="E179" s="115" t="n">
        <x:v>24</x:v>
      </x:c>
      <x:c r="F179" s="115" t="str">
        <x:v>Inspection physique</x:v>
      </x:c>
      <x:c r="G179" s="115" t="str">
        <x:v>1 niveaux ; 26 pièces ; 198 segments de mur ; 0 transitions. Inspection physique ; architecture complète encore ouverte.</x:v>
      </x:c>
      <x:c r="H179" s="115" t="str">
        <x:v>L 270 ; l 232 ; hauteur 4,1 m ; choix de composition auteur ; dimensions réelles à documenter</x:v>
      </x:c>
      <x:c r="I179" s="115" t="str">
        <x:v>À équilibrer</x:v>
      </x:c>
      <x:c r="J179" s="115" t="str">
        <x:v>Non</x:v>
      </x:c>
      <x:c r="K179" s="115" t="str">
        <x:v>Pièces décrites, murs, portes, niveaux et mobilier inspectables à l’échelle. Volumes réservés, raccord au seed, butin, rencontres et services de campagne restent à terminer.</x:v>
      </x:c>
    </x:row>
    <x:row r="180" ht="96" customHeight="1">
      <x:c r="A180" s="115" t="str">
        <x:v>EXT-MONDE-T004-V25</x:v>
      </x:c>
      <x:c r="B180" s="115" t="str">
        <x:v>EXT-MONDE-T004</x:v>
      </x:c>
      <x:c r="C180" s="115" t="str">
        <x:v>Lacs</x:v>
      </x:c>
      <x:c r="D180" s="115" t="str">
        <x:v>Camping de rive</x:v>
      </x:c>
      <x:c r="E180" s="115" t="n">
        <x:v>25</x:v>
      </x:c>
      <x:c r="F180" s="115" t="str">
        <x:v>Inspection physique</x:v>
      </x:c>
      <x:c r="G180" s="115" t="str">
        <x:v>1 niveaux ; 26 pièces ; 198 segments de mur ; 0 transitions. Inspection physique ; architecture complète encore ouverte.</x:v>
      </x:c>
      <x:c r="H180" s="115" t="str">
        <x:v>L 270 ; l 232 ; hauteur 4,1 m ; choix de composition auteur ; dimensions réelles à documenter</x:v>
      </x:c>
      <x:c r="I180" s="115" t="str">
        <x:v>À équilibrer</x:v>
      </x:c>
      <x:c r="J180" s="115" t="str">
        <x:v>Non</x:v>
      </x:c>
      <x:c r="K180" s="115" t="str">
        <x:v>Pièces décrites, murs, portes, niveaux et mobilier inspectables à l’échelle. Volumes réservés, raccord au seed, butin, rencontres et services de campagne restent à terminer.</x:v>
      </x:c>
    </x:row>
    <x:row r="181" ht="96" customHeight="1">
      <x:c r="A181" s="115" t="str">
        <x:v>EXT-MONDE-T004-V26</x:v>
      </x:c>
      <x:c r="B181" s="115" t="str">
        <x:v>EXT-MONDE-T004</x:v>
      </x:c>
      <x:c r="C181" s="115" t="str">
        <x:v>Lacs</x:v>
      </x:c>
      <x:c r="D181" s="115" t="str">
        <x:v>Camping de rive</x:v>
      </x:c>
      <x:c r="E181" s="115" t="n">
        <x:v>26</x:v>
      </x:c>
      <x:c r="F181" s="115" t="str">
        <x:v>Inspection physique</x:v>
      </x:c>
      <x:c r="G181" s="115" t="str">
        <x:v>1 niveaux ; 26 pièces ; 198 segments de mur ; 0 transitions. Inspection physique ; architecture complète encore ouverte.</x:v>
      </x:c>
      <x:c r="H181" s="115" t="str">
        <x:v>L 270 ; l 232 ; hauteur 4,1 m ; choix de composition auteur ; dimensions réelles à documenter</x:v>
      </x:c>
      <x:c r="I181" s="115" t="str">
        <x:v>À équilibrer</x:v>
      </x:c>
      <x:c r="J181" s="115" t="str">
        <x:v>Non</x:v>
      </x:c>
      <x:c r="K181" s="115" t="str">
        <x:v>Pièces décrites, murs, portes, niveaux et mobilier inspectables à l’échelle. Volumes réservés, raccord au seed, butin, rencontres et services de campagne restent à terminer.</x:v>
      </x:c>
    </x:row>
    <x:row r="182" ht="96" customHeight="1">
      <x:c r="A182" s="115" t="str">
        <x:v>EXT-MONDE-T004-V27</x:v>
      </x:c>
      <x:c r="B182" s="115" t="str">
        <x:v>EXT-MONDE-T004</x:v>
      </x:c>
      <x:c r="C182" s="115" t="str">
        <x:v>Lacs</x:v>
      </x:c>
      <x:c r="D182" s="115" t="str">
        <x:v>Camping de rive</x:v>
      </x:c>
      <x:c r="E182" s="115" t="n">
        <x:v>27</x:v>
      </x:c>
      <x:c r="F182" s="115" t="str">
        <x:v>Inspection physique</x:v>
      </x:c>
      <x:c r="G182" s="115" t="str">
        <x:v>1 niveaux ; 26 pièces ; 198 segments de mur ; 0 transitions. Inspection physique ; architecture complète encore ouverte.</x:v>
      </x:c>
      <x:c r="H182" s="115" t="str">
        <x:v>L 270 ; l 232 ; hauteur 4,1 m ; choix de composition auteur ; dimensions réelles à documenter</x:v>
      </x:c>
      <x:c r="I182" s="115" t="str">
        <x:v>À équilibrer</x:v>
      </x:c>
      <x:c r="J182" s="115" t="str">
        <x:v>Non</x:v>
      </x:c>
      <x:c r="K182" s="115" t="str">
        <x:v>Pièces décrites, murs, portes, niveaux et mobilier inspectables à l’échelle. Volumes réservés, raccord au seed, butin, rencontres et services de campagne restent à terminer.</x:v>
      </x:c>
    </x:row>
    <x:row r="183" ht="96" customHeight="1">
      <x:c r="A183" s="115" t="str">
        <x:v>EXT-MONDE-T004-V28</x:v>
      </x:c>
      <x:c r="B183" s="115" t="str">
        <x:v>EXT-MONDE-T004</x:v>
      </x:c>
      <x:c r="C183" s="115" t="str">
        <x:v>Lacs</x:v>
      </x:c>
      <x:c r="D183" s="115" t="str">
        <x:v>Camping de rive</x:v>
      </x:c>
      <x:c r="E183" s="115" t="n">
        <x:v>28</x:v>
      </x:c>
      <x:c r="F183" s="115" t="str">
        <x:v>Inspection physique</x:v>
      </x:c>
      <x:c r="G183" s="115" t="str">
        <x:v>1 niveaux ; 26 pièces ; 198 segments de mur ; 0 transitions. Inspection physique ; architecture complète encore ouverte.</x:v>
      </x:c>
      <x:c r="H183" s="115" t="str">
        <x:v>L 270 ; l 232 ; hauteur 4,1 m ; choix de composition auteur ; dimensions réelles à documenter</x:v>
      </x:c>
      <x:c r="I183" s="115" t="str">
        <x:v>À équilibrer</x:v>
      </x:c>
      <x:c r="J183" s="115" t="str">
        <x:v>Non</x:v>
      </x:c>
      <x:c r="K183" s="115" t="str">
        <x:v>Pièces décrites, murs, portes, niveaux et mobilier inspectables à l’échelle. Volumes réservés, raccord au seed, butin, rencontres et services de campagne restent à terminer.</x:v>
      </x:c>
    </x:row>
    <x:row r="184" ht="96" customHeight="1">
      <x:c r="A184" s="115" t="str">
        <x:v>EXT-MONDE-T004-V29</x:v>
      </x:c>
      <x:c r="B184" s="115" t="str">
        <x:v>EXT-MONDE-T004</x:v>
      </x:c>
      <x:c r="C184" s="115" t="str">
        <x:v>Lacs</x:v>
      </x:c>
      <x:c r="D184" s="115" t="str">
        <x:v>Camping de rive</x:v>
      </x:c>
      <x:c r="E184" s="115" t="n">
        <x:v>29</x:v>
      </x:c>
      <x:c r="F184" s="115" t="str">
        <x:v>Inspection physique</x:v>
      </x:c>
      <x:c r="G184" s="115" t="str">
        <x:v>1 niveaux ; 26 pièces ; 198 segments de mur ; 0 transitions. Inspection physique ; architecture complète encore ouverte.</x:v>
      </x:c>
      <x:c r="H184" s="115" t="str">
        <x:v>L 270 ; l 232 ; hauteur 4,1 m ; choix de composition auteur ; dimensions réelles à documenter</x:v>
      </x:c>
      <x:c r="I184" s="115" t="str">
        <x:v>À équilibrer</x:v>
      </x:c>
      <x:c r="J184" s="115" t="str">
        <x:v>Non</x:v>
      </x:c>
      <x:c r="K184" s="115" t="str">
        <x:v>Pièces décrites, murs, portes, niveaux et mobilier inspectables à l’échelle. Volumes réservés, raccord au seed, butin, rencontres et services de campagne restent à terminer.</x:v>
      </x:c>
    </x:row>
    <x:row r="185" ht="96" customHeight="1">
      <x:c r="A185" s="115" t="str">
        <x:v>EXT-MONDE-T004-V30</x:v>
      </x:c>
      <x:c r="B185" s="115" t="str">
        <x:v>EXT-MONDE-T004</x:v>
      </x:c>
      <x:c r="C185" s="115" t="str">
        <x:v>Lacs</x:v>
      </x:c>
      <x:c r="D185" s="115" t="str">
        <x:v>Camping de rive</x:v>
      </x:c>
      <x:c r="E185" s="115" t="n">
        <x:v>30</x:v>
      </x:c>
      <x:c r="F185" s="115" t="str">
        <x:v>Inspection physique</x:v>
      </x:c>
      <x:c r="G185" s="115" t="str">
        <x:v>1 niveaux ; 26 pièces ; 198 segments de mur ; 0 transitions. Inspection physique ; architecture complète encore ouverte.</x:v>
      </x:c>
      <x:c r="H185" s="115" t="str">
        <x:v>L 270 ; l 232 ; hauteur 4,1 m ; choix de composition auteur ; dimensions réelles à documenter</x:v>
      </x:c>
      <x:c r="I185" s="115" t="str">
        <x:v>À équilibrer</x:v>
      </x:c>
      <x:c r="J185" s="115" t="str">
        <x:v>Non</x:v>
      </x:c>
      <x:c r="K185" s="115" t="str">
        <x:v>Pièces décrites, murs, portes, niveaux et mobilier inspectables à l’échelle. Volumes réservés, raccord au seed, butin, rencontres et services de campagne restent à terminer.</x:v>
      </x:c>
    </x:row>
    <x:row r="186" ht="96" customHeight="1">
      <x:c r="A186" s="115" t="str">
        <x:v>EXT-MONDE-T004-V31</x:v>
      </x:c>
      <x:c r="B186" s="115" t="str">
        <x:v>EXT-MONDE-T004</x:v>
      </x:c>
      <x:c r="C186" s="115" t="str">
        <x:v>Lacs</x:v>
      </x:c>
      <x:c r="D186" s="115" t="str">
        <x:v>Camping de rive</x:v>
      </x:c>
      <x:c r="E186" s="115" t="n">
        <x:v>31</x:v>
      </x:c>
      <x:c r="F186" s="115" t="str">
        <x:v>Inspection physique</x:v>
      </x:c>
      <x:c r="G186" s="115" t="str">
        <x:v>1 niveaux ; 26 pièces ; 198 segments de mur ; 0 transitions. Inspection physique ; architecture complète encore ouverte.</x:v>
      </x:c>
      <x:c r="H186" s="115" t="str">
        <x:v>L 284 ; l 248 ; hauteur 4,25 m ; choix de composition auteur ; dimensions réelles à documenter</x:v>
      </x:c>
      <x:c r="I186" s="115" t="str">
        <x:v>À équilibrer</x:v>
      </x:c>
      <x:c r="J186" s="115" t="str">
        <x:v>Non</x:v>
      </x:c>
      <x:c r="K186" s="115" t="str">
        <x:v>Pièces décrites, murs, portes, niveaux et mobilier inspectables à l’échelle. Volumes réservés, raccord au seed, butin, rencontres et services de campagne restent à terminer.</x:v>
      </x:c>
    </x:row>
    <x:row r="187" ht="96" customHeight="1">
      <x:c r="A187" s="115" t="str">
        <x:v>EXT-MONDE-T004-V32</x:v>
      </x:c>
      <x:c r="B187" s="115" t="str">
        <x:v>EXT-MONDE-T004</x:v>
      </x:c>
      <x:c r="C187" s="115" t="str">
        <x:v>Lacs</x:v>
      </x:c>
      <x:c r="D187" s="115" t="str">
        <x:v>Camping de rive</x:v>
      </x:c>
      <x:c r="E187" s="115" t="n">
        <x:v>32</x:v>
      </x:c>
      <x:c r="F187" s="115" t="str">
        <x:v>Inspection physique</x:v>
      </x:c>
      <x:c r="G187" s="115" t="str">
        <x:v>1 niveaux ; 26 pièces ; 198 segments de mur ; 0 transitions. Inspection physique ; architecture complète encore ouverte.</x:v>
      </x:c>
      <x:c r="H187" s="115" t="str">
        <x:v>L 284 ; l 248 ; hauteur 4,25 m ; choix de composition auteur ; dimensions réelles à documenter</x:v>
      </x:c>
      <x:c r="I187" s="115" t="str">
        <x:v>À équilibrer</x:v>
      </x:c>
      <x:c r="J187" s="115" t="str">
        <x:v>Non</x:v>
      </x:c>
      <x:c r="K187" s="115" t="str">
        <x:v>Pièces décrites, murs, portes, niveaux et mobilier inspectables à l’échelle. Volumes réservés, raccord au seed, butin, rencontres et services de campagne restent à terminer.</x:v>
      </x:c>
    </x:row>
    <x:row r="188" ht="96" customHeight="1">
      <x:c r="A188" s="115" t="str">
        <x:v>EXT-MONDE-T004-V33</x:v>
      </x:c>
      <x:c r="B188" s="115" t="str">
        <x:v>EXT-MONDE-T004</x:v>
      </x:c>
      <x:c r="C188" s="115" t="str">
        <x:v>Lacs</x:v>
      </x:c>
      <x:c r="D188" s="115" t="str">
        <x:v>Camping de rive</x:v>
      </x:c>
      <x:c r="E188" s="115" t="n">
        <x:v>33</x:v>
      </x:c>
      <x:c r="F188" s="115" t="str">
        <x:v>Inspection physique</x:v>
      </x:c>
      <x:c r="G188" s="115" t="str">
        <x:v>1 niveaux ; 26 pièces ; 198 segments de mur ; 0 transitions. Inspection physique ; architecture complète encore ouverte.</x:v>
      </x:c>
      <x:c r="H188" s="115" t="str">
        <x:v>L 284 ; l 248 ; hauteur 4,25 m ; choix de composition auteur ; dimensions réelles à documenter</x:v>
      </x:c>
      <x:c r="I188" s="115" t="str">
        <x:v>À équilibrer</x:v>
      </x:c>
      <x:c r="J188" s="115" t="str">
        <x:v>Non</x:v>
      </x:c>
      <x:c r="K188" s="115" t="str">
        <x:v>Pièces décrites, murs, portes, niveaux et mobilier inspectables à l’échelle. Volumes réservés, raccord au seed, butin, rencontres et services de campagne restent à terminer.</x:v>
      </x:c>
    </x:row>
    <x:row r="189" ht="96" customHeight="1">
      <x:c r="A189" s="115" t="str">
        <x:v>EXT-MONDE-T004-V34</x:v>
      </x:c>
      <x:c r="B189" s="115" t="str">
        <x:v>EXT-MONDE-T004</x:v>
      </x:c>
      <x:c r="C189" s="115" t="str">
        <x:v>Lacs</x:v>
      </x:c>
      <x:c r="D189" s="115" t="str">
        <x:v>Camping de rive</x:v>
      </x:c>
      <x:c r="E189" s="115" t="n">
        <x:v>34</x:v>
      </x:c>
      <x:c r="F189" s="115" t="str">
        <x:v>Inspection physique</x:v>
      </x:c>
      <x:c r="G189" s="115" t="str">
        <x:v>1 niveaux ; 26 pièces ; 198 segments de mur ; 0 transitions. Inspection physique ; architecture complète encore ouverte.</x:v>
      </x:c>
      <x:c r="H189" s="115" t="str">
        <x:v>L 284 ; l 248 ; hauteur 4,25 m ; choix de composition auteur ; dimensions réelles à documenter</x:v>
      </x:c>
      <x:c r="I189" s="115" t="str">
        <x:v>À équilibrer</x:v>
      </x:c>
      <x:c r="J189" s="115" t="str">
        <x:v>Non</x:v>
      </x:c>
      <x:c r="K189" s="115" t="str">
        <x:v>Pièces décrites, murs, portes, niveaux et mobilier inspectables à l’échelle. Volumes réservés, raccord au seed, butin, rencontres et services de campagne restent à terminer.</x:v>
      </x:c>
    </x:row>
    <x:row r="190" ht="96" customHeight="1">
      <x:c r="A190" s="115" t="str">
        <x:v>EXT-MONDE-T004-V35</x:v>
      </x:c>
      <x:c r="B190" s="115" t="str">
        <x:v>EXT-MONDE-T004</x:v>
      </x:c>
      <x:c r="C190" s="115" t="str">
        <x:v>Lacs</x:v>
      </x:c>
      <x:c r="D190" s="115" t="str">
        <x:v>Camping de rive</x:v>
      </x:c>
      <x:c r="E190" s="115" t="n">
        <x:v>35</x:v>
      </x:c>
      <x:c r="F190" s="115" t="str">
        <x:v>Inspection physique</x:v>
      </x:c>
      <x:c r="G190" s="115" t="str">
        <x:v>1 niveaux ; 26 pièces ; 198 segments de mur ; 0 transitions. Inspection physique ; architecture complète encore ouverte.</x:v>
      </x:c>
      <x:c r="H190" s="115" t="str">
        <x:v>L 284 ; l 248 ; hauteur 4,25 m ; choix de composition auteur ; dimensions réelles à documenter</x:v>
      </x:c>
      <x:c r="I190" s="115" t="str">
        <x:v>À équilibrer</x:v>
      </x:c>
      <x:c r="J190" s="115" t="str">
        <x:v>Non</x:v>
      </x:c>
      <x:c r="K190" s="115" t="str">
        <x:v>Pièces décrites, murs, portes, niveaux et mobilier inspectables à l’échelle. Volumes réservés, raccord au seed, butin, rencontres et services de campagne restent à terminer.</x:v>
      </x:c>
    </x:row>
    <x:row r="191" ht="96" customHeight="1">
      <x:c r="A191" s="115" t="str">
        <x:v>EXT-MONDE-T004-V36</x:v>
      </x:c>
      <x:c r="B191" s="115" t="str">
        <x:v>EXT-MONDE-T004</x:v>
      </x:c>
      <x:c r="C191" s="115" t="str">
        <x:v>Lacs</x:v>
      </x:c>
      <x:c r="D191" s="115" t="str">
        <x:v>Camping de rive</x:v>
      </x:c>
      <x:c r="E191" s="115" t="n">
        <x:v>36</x:v>
      </x:c>
      <x:c r="F191" s="115" t="str">
        <x:v>Inspection physique</x:v>
      </x:c>
      <x:c r="G191" s="115" t="str">
        <x:v>1 niveaux ; 26 pièces ; 198 segments de mur ; 0 transitions. Inspection physique ; architecture complète encore ouverte.</x:v>
      </x:c>
      <x:c r="H191" s="115" t="str">
        <x:v>L 284 ; l 248 ; hauteur 4,25 m ; choix de composition auteur ; dimensions réelles à documenter</x:v>
      </x:c>
      <x:c r="I191" s="115" t="str">
        <x:v>À équilibrer</x:v>
      </x:c>
      <x:c r="J191" s="115" t="str">
        <x:v>Non</x:v>
      </x:c>
      <x:c r="K191" s="115" t="str">
        <x:v>Pièces décrites, murs, portes, niveaux et mobilier inspectables à l’échelle. Volumes réservés, raccord au seed, butin, rencontres et services de campagne restent à terminer.</x:v>
      </x:c>
    </x:row>
    <x:row r="192" ht="96" customHeight="1">
      <x:c r="A192" s="115" t="str">
        <x:v>EXT-MONDE-T004-V37</x:v>
      </x:c>
      <x:c r="B192" s="115" t="str">
        <x:v>EXT-MONDE-T004</x:v>
      </x:c>
      <x:c r="C192" s="115" t="str">
        <x:v>Lacs</x:v>
      </x:c>
      <x:c r="D192" s="115" t="str">
        <x:v>Camping de rive</x:v>
      </x:c>
      <x:c r="E192" s="115" t="n">
        <x:v>37</x:v>
      </x:c>
      <x:c r="F192" s="115" t="str">
        <x:v>Inspection physique</x:v>
      </x:c>
      <x:c r="G192" s="115" t="str">
        <x:v>1 niveaux ; 26 pièces ; 198 segments de mur ; 0 transitions. Inspection physique ; architecture complète encore ouverte.</x:v>
      </x:c>
      <x:c r="H192" s="115" t="str">
        <x:v>L 284 ; l 248 ; hauteur 4,25 m ; choix de composition auteur ; dimensions réelles à documenter</x:v>
      </x:c>
      <x:c r="I192" s="115" t="str">
        <x:v>À équilibrer</x:v>
      </x:c>
      <x:c r="J192" s="115" t="str">
        <x:v>Non</x:v>
      </x:c>
      <x:c r="K192" s="115" t="str">
        <x:v>Pièces décrites, murs, portes, niveaux et mobilier inspectables à l’échelle. Volumes réservés, raccord au seed, butin, rencontres et services de campagne restent à terminer.</x:v>
      </x:c>
    </x:row>
    <x:row r="193" ht="96" customHeight="1">
      <x:c r="A193" s="115" t="str">
        <x:v>EXT-MONDE-T004-V38</x:v>
      </x:c>
      <x:c r="B193" s="115" t="str">
        <x:v>EXT-MONDE-T004</x:v>
      </x:c>
      <x:c r="C193" s="115" t="str">
        <x:v>Lacs</x:v>
      </x:c>
      <x:c r="D193" s="115" t="str">
        <x:v>Camping de rive</x:v>
      </x:c>
      <x:c r="E193" s="115" t="n">
        <x:v>38</x:v>
      </x:c>
      <x:c r="F193" s="115" t="str">
        <x:v>Inspection physique</x:v>
      </x:c>
      <x:c r="G193" s="115" t="str">
        <x:v>1 niveaux ; 26 pièces ; 198 segments de mur ; 0 transitions. Inspection physique ; architecture complète encore ouverte.</x:v>
      </x:c>
      <x:c r="H193" s="115" t="str">
        <x:v>L 284 ; l 248 ; hauteur 4,25 m ; choix de composition auteur ; dimensions réelles à documenter</x:v>
      </x:c>
      <x:c r="I193" s="115" t="str">
        <x:v>À équilibrer</x:v>
      </x:c>
      <x:c r="J193" s="115" t="str">
        <x:v>Non</x:v>
      </x:c>
      <x:c r="K193" s="115" t="str">
        <x:v>Pièces décrites, murs, portes, niveaux et mobilier inspectables à l’échelle. Volumes réservés, raccord au seed, butin, rencontres et services de campagne restent à terminer.</x:v>
      </x:c>
    </x:row>
    <x:row r="194" ht="96" customHeight="1">
      <x:c r="A194" s="115" t="str">
        <x:v>EXT-MONDE-T004-V39</x:v>
      </x:c>
      <x:c r="B194" s="115" t="str">
        <x:v>EXT-MONDE-T004</x:v>
      </x:c>
      <x:c r="C194" s="115" t="str">
        <x:v>Lacs</x:v>
      </x:c>
      <x:c r="D194" s="115" t="str">
        <x:v>Camping de rive</x:v>
      </x:c>
      <x:c r="E194" s="115" t="n">
        <x:v>39</x:v>
      </x:c>
      <x:c r="F194" s="115" t="str">
        <x:v>Inspection physique</x:v>
      </x:c>
      <x:c r="G194" s="115" t="str">
        <x:v>1 niveaux ; 26 pièces ; 198 segments de mur ; 0 transitions. Inspection physique ; architecture complète encore ouverte.</x:v>
      </x:c>
      <x:c r="H194" s="115" t="str">
        <x:v>L 284 ; l 248 ; hauteur 4,25 m ; choix de composition auteur ; dimensions réelles à documenter</x:v>
      </x:c>
      <x:c r="I194" s="115" t="str">
        <x:v>À équilibrer</x:v>
      </x:c>
      <x:c r="J194" s="115" t="str">
        <x:v>Non</x:v>
      </x:c>
      <x:c r="K194" s="115" t="str">
        <x:v>Pièces décrites, murs, portes, niveaux et mobilier inspectables à l’échelle. Volumes réservés, raccord au seed, butin, rencontres et services de campagne restent à terminer.</x:v>
      </x:c>
    </x:row>
    <x:row r="195" ht="96" customHeight="1">
      <x:c r="A195" s="115" t="str">
        <x:v>EXT-MONDE-T004-V40</x:v>
      </x:c>
      <x:c r="B195" s="115" t="str">
        <x:v>EXT-MONDE-T004</x:v>
      </x:c>
      <x:c r="C195" s="115" t="str">
        <x:v>Lacs</x:v>
      </x:c>
      <x:c r="D195" s="115" t="str">
        <x:v>Camping de rive</x:v>
      </x:c>
      <x:c r="E195" s="115" t="n">
        <x:v>40</x:v>
      </x:c>
      <x:c r="F195" s="115" t="str">
        <x:v>Inspection physique</x:v>
      </x:c>
      <x:c r="G195" s="115" t="str">
        <x:v>1 niveaux ; 26 pièces ; 198 segments de mur ; 0 transitions. Inspection physique ; architecture complète encore ouverte.</x:v>
      </x:c>
      <x:c r="H195" s="115" t="str">
        <x:v>L 284 ; l 248 ; hauteur 4,25 m ; choix de composition auteur ; dimensions réelles à documenter</x:v>
      </x:c>
      <x:c r="I195" s="115" t="str">
        <x:v>À équilibrer</x:v>
      </x:c>
      <x:c r="J195" s="115" t="str">
        <x:v>Non</x:v>
      </x:c>
      <x:c r="K195" s="115" t="str">
        <x:v>Pièces décrites, murs, portes, niveaux et mobilier inspectables à l’échelle. Volumes réservés, raccord au seed, butin, rencontres et services de campagne restent à terminer.</x:v>
      </x:c>
    </x:row>
    <x:row r="196" ht="96" customHeight="1">
      <x:c r="A196" s="115" t="str">
        <x:v>EXT-MONDE-T004-V41</x:v>
      </x:c>
      <x:c r="B196" s="115" t="str">
        <x:v>EXT-MONDE-T004</x:v>
      </x:c>
      <x:c r="C196" s="115" t="str">
        <x:v>Lacs</x:v>
      </x:c>
      <x:c r="D196" s="115" t="str">
        <x:v>Camping de rive</x:v>
      </x:c>
      <x:c r="E196" s="115" t="n">
        <x:v>41</x:v>
      </x:c>
      <x:c r="F196" s="115" t="str">
        <x:v>Inspection physique</x:v>
      </x:c>
      <x:c r="G196" s="115" t="str">
        <x:v>1 niveaux ; 26 pièces ; 198 segments de mur ; 0 transitions. Inspection physique ; architecture complète encore ouverte.</x:v>
      </x:c>
      <x:c r="H196" s="115" t="str">
        <x:v>L 298 ; l 264 ; hauteur 4,4 m ; choix de composition auteur ; dimensions réelles à documenter</x:v>
      </x:c>
      <x:c r="I196" s="115" t="str">
        <x:v>À équilibrer</x:v>
      </x:c>
      <x:c r="J196" s="115" t="str">
        <x:v>Non</x:v>
      </x:c>
      <x:c r="K196" s="115" t="str">
        <x:v>Pièces décrites, murs, portes, niveaux et mobilier inspectables à l’échelle. Volumes réservés, raccord au seed, butin, rencontres et services de campagne restent à terminer.</x:v>
      </x:c>
    </x:row>
    <x:row r="197" ht="96" customHeight="1">
      <x:c r="A197" s="115" t="str">
        <x:v>EXT-MONDE-T004-V42</x:v>
      </x:c>
      <x:c r="B197" s="115" t="str">
        <x:v>EXT-MONDE-T004</x:v>
      </x:c>
      <x:c r="C197" s="115" t="str">
        <x:v>Lacs</x:v>
      </x:c>
      <x:c r="D197" s="115" t="str">
        <x:v>Camping de rive</x:v>
      </x:c>
      <x:c r="E197" s="115" t="n">
        <x:v>42</x:v>
      </x:c>
      <x:c r="F197" s="115" t="str">
        <x:v>Inspection physique</x:v>
      </x:c>
      <x:c r="G197" s="115" t="str">
        <x:v>1 niveaux ; 26 pièces ; 198 segments de mur ; 0 transitions. Inspection physique ; architecture complète encore ouverte.</x:v>
      </x:c>
      <x:c r="H197" s="115" t="str">
        <x:v>L 298 ; l 264 ; hauteur 4,4 m ; choix de composition auteur ; dimensions réelles à documenter</x:v>
      </x:c>
      <x:c r="I197" s="115" t="str">
        <x:v>À équilibrer</x:v>
      </x:c>
      <x:c r="J197" s="115" t="str">
        <x:v>Non</x:v>
      </x:c>
      <x:c r="K197" s="115" t="str">
        <x:v>Pièces décrites, murs, portes, niveaux et mobilier inspectables à l’échelle. Volumes réservés, raccord au seed, butin, rencontres et services de campagne restent à terminer.</x:v>
      </x:c>
    </x:row>
    <x:row r="198" ht="96" customHeight="1">
      <x:c r="A198" s="115" t="str">
        <x:v>EXT-MONDE-T004-V43</x:v>
      </x:c>
      <x:c r="B198" s="115" t="str">
        <x:v>EXT-MONDE-T004</x:v>
      </x:c>
      <x:c r="C198" s="115" t="str">
        <x:v>Lacs</x:v>
      </x:c>
      <x:c r="D198" s="115" t="str">
        <x:v>Camping de rive</x:v>
      </x:c>
      <x:c r="E198" s="115" t="n">
        <x:v>43</x:v>
      </x:c>
      <x:c r="F198" s="115" t="str">
        <x:v>Inspection physique</x:v>
      </x:c>
      <x:c r="G198" s="115" t="str">
        <x:v>1 niveaux ; 26 pièces ; 198 segments de mur ; 0 transitions. Inspection physique ; architecture complète encore ouverte.</x:v>
      </x:c>
      <x:c r="H198" s="115" t="str">
        <x:v>L 298 ; l 264 ; hauteur 4,4 m ; choix de composition auteur ; dimensions réelles à documenter</x:v>
      </x:c>
      <x:c r="I198" s="115" t="str">
        <x:v>À équilibrer</x:v>
      </x:c>
      <x:c r="J198" s="115" t="str">
        <x:v>Non</x:v>
      </x:c>
      <x:c r="K198" s="115" t="str">
        <x:v>Pièces décrites, murs, portes, niveaux et mobilier inspectables à l’échelle. Volumes réservés, raccord au seed, butin, rencontres et services de campagne restent à terminer.</x:v>
      </x:c>
    </x:row>
    <x:row r="199" ht="96" customHeight="1">
      <x:c r="A199" s="115" t="str">
        <x:v>EXT-MONDE-T004-V44</x:v>
      </x:c>
      <x:c r="B199" s="115" t="str">
        <x:v>EXT-MONDE-T004</x:v>
      </x:c>
      <x:c r="C199" s="115" t="str">
        <x:v>Lacs</x:v>
      </x:c>
      <x:c r="D199" s="115" t="str">
        <x:v>Camping de rive</x:v>
      </x:c>
      <x:c r="E199" s="115" t="n">
        <x:v>44</x:v>
      </x:c>
      <x:c r="F199" s="115" t="str">
        <x:v>Inspection physique</x:v>
      </x:c>
      <x:c r="G199" s="115" t="str">
        <x:v>1 niveaux ; 26 pièces ; 198 segments de mur ; 0 transitions. Inspection physique ; architecture complète encore ouverte.</x:v>
      </x:c>
      <x:c r="H199" s="115" t="str">
        <x:v>L 298 ; l 264 ; hauteur 4,4 m ; choix de composition auteur ; dimensions réelles à documenter</x:v>
      </x:c>
      <x:c r="I199" s="115" t="str">
        <x:v>À équilibrer</x:v>
      </x:c>
      <x:c r="J199" s="115" t="str">
        <x:v>Non</x:v>
      </x:c>
      <x:c r="K199" s="115" t="str">
        <x:v>Pièces décrites, murs, portes, niveaux et mobilier inspectables à l’échelle. Volumes réservés, raccord au seed, butin, rencontres et services de campagne restent à terminer.</x:v>
      </x:c>
    </x:row>
    <x:row r="200" ht="96" customHeight="1">
      <x:c r="A200" s="115" t="str">
        <x:v>EXT-MONDE-T004-V45</x:v>
      </x:c>
      <x:c r="B200" s="115" t="str">
        <x:v>EXT-MONDE-T004</x:v>
      </x:c>
      <x:c r="C200" s="115" t="str">
        <x:v>Lacs</x:v>
      </x:c>
      <x:c r="D200" s="115" t="str">
        <x:v>Camping de rive</x:v>
      </x:c>
      <x:c r="E200" s="115" t="n">
        <x:v>45</x:v>
      </x:c>
      <x:c r="F200" s="115" t="str">
        <x:v>Inspection physique</x:v>
      </x:c>
      <x:c r="G200" s="115" t="str">
        <x:v>1 niveaux ; 26 pièces ; 198 segments de mur ; 0 transitions. Inspection physique ; architecture complète encore ouverte.</x:v>
      </x:c>
      <x:c r="H200" s="115" t="str">
        <x:v>L 298 ; l 264 ; hauteur 4,4 m ; choix de composition auteur ; dimensions réelles à documenter</x:v>
      </x:c>
      <x:c r="I200" s="115" t="str">
        <x:v>À équilibrer</x:v>
      </x:c>
      <x:c r="J200" s="115" t="str">
        <x:v>Non</x:v>
      </x:c>
      <x:c r="K200" s="115" t="str">
        <x:v>Pièces décrites, murs, portes, niveaux et mobilier inspectables à l’échelle. Volumes réservés, raccord au seed, butin, rencontres et services de campagne restent à terminer.</x:v>
      </x:c>
    </x:row>
    <x:row r="201" ht="96" customHeight="1">
      <x:c r="A201" s="115" t="str">
        <x:v>EXT-MONDE-T004-V46</x:v>
      </x:c>
      <x:c r="B201" s="115" t="str">
        <x:v>EXT-MONDE-T004</x:v>
      </x:c>
      <x:c r="C201" s="115" t="str">
        <x:v>Lacs</x:v>
      </x:c>
      <x:c r="D201" s="115" t="str">
        <x:v>Camping de rive</x:v>
      </x:c>
      <x:c r="E201" s="115" t="n">
        <x:v>46</x:v>
      </x:c>
      <x:c r="F201" s="115" t="str">
        <x:v>Inspection physique</x:v>
      </x:c>
      <x:c r="G201" s="115" t="str">
        <x:v>1 niveaux ; 26 pièces ; 198 segments de mur ; 0 transitions. Inspection physique ; architecture complète encore ouverte.</x:v>
      </x:c>
      <x:c r="H201" s="115" t="str">
        <x:v>L 298 ; l 264 ; hauteur 4,4 m ; choix de composition auteur ; dimensions réelles à documenter</x:v>
      </x:c>
      <x:c r="I201" s="115" t="str">
        <x:v>À équilibrer</x:v>
      </x:c>
      <x:c r="J201" s="115" t="str">
        <x:v>Non</x:v>
      </x:c>
      <x:c r="K201" s="115" t="str">
        <x:v>Pièces décrites, murs, portes, niveaux et mobilier inspectables à l’échelle. Volumes réservés, raccord au seed, butin, rencontres et services de campagne restent à terminer.</x:v>
      </x:c>
    </x:row>
    <x:row r="202" ht="96" customHeight="1">
      <x:c r="A202" s="115" t="str">
        <x:v>EXT-MONDE-T004-V47</x:v>
      </x:c>
      <x:c r="B202" s="115" t="str">
        <x:v>EXT-MONDE-T004</x:v>
      </x:c>
      <x:c r="C202" s="115" t="str">
        <x:v>Lacs</x:v>
      </x:c>
      <x:c r="D202" s="115" t="str">
        <x:v>Camping de rive</x:v>
      </x:c>
      <x:c r="E202" s="115" t="n">
        <x:v>47</x:v>
      </x:c>
      <x:c r="F202" s="115" t="str">
        <x:v>Inspection physique</x:v>
      </x:c>
      <x:c r="G202" s="115" t="str">
        <x:v>1 niveaux ; 26 pièces ; 198 segments de mur ; 0 transitions. Inspection physique ; architecture complète encore ouverte.</x:v>
      </x:c>
      <x:c r="H202" s="115" t="str">
        <x:v>L 298 ; l 264 ; hauteur 4,4 m ; choix de composition auteur ; dimensions réelles à documenter</x:v>
      </x:c>
      <x:c r="I202" s="115" t="str">
        <x:v>À équilibrer</x:v>
      </x:c>
      <x:c r="J202" s="115" t="str">
        <x:v>Non</x:v>
      </x:c>
      <x:c r="K202" s="115" t="str">
        <x:v>Pièces décrites, murs, portes, niveaux et mobilier inspectables à l’échelle. Volumes réservés, raccord au seed, butin, rencontres et services de campagne restent à terminer.</x:v>
      </x:c>
    </x:row>
    <x:row r="203" ht="96" customHeight="1">
      <x:c r="A203" s="115" t="str">
        <x:v>EXT-MONDE-T004-V48</x:v>
      </x:c>
      <x:c r="B203" s="115" t="str">
        <x:v>EXT-MONDE-T004</x:v>
      </x:c>
      <x:c r="C203" s="115" t="str">
        <x:v>Lacs</x:v>
      </x:c>
      <x:c r="D203" s="115" t="str">
        <x:v>Camping de rive</x:v>
      </x:c>
      <x:c r="E203" s="115" t="n">
        <x:v>48</x:v>
      </x:c>
      <x:c r="F203" s="115" t="str">
        <x:v>Inspection physique</x:v>
      </x:c>
      <x:c r="G203" s="115" t="str">
        <x:v>1 niveaux ; 26 pièces ; 198 segments de mur ; 0 transitions. Inspection physique ; architecture complète encore ouverte.</x:v>
      </x:c>
      <x:c r="H203" s="115" t="str">
        <x:v>L 298 ; l 264 ; hauteur 4,4 m ; choix de composition auteur ; dimensions réelles à documenter</x:v>
      </x:c>
      <x:c r="I203" s="115" t="str">
        <x:v>À équilibrer</x:v>
      </x:c>
      <x:c r="J203" s="115" t="str">
        <x:v>Non</x:v>
      </x:c>
      <x:c r="K203" s="115" t="str">
        <x:v>Pièces décrites, murs, portes, niveaux et mobilier inspectables à l’échelle. Volumes réservés, raccord au seed, butin, rencontres et services de campagne restent à terminer.</x:v>
      </x:c>
    </x:row>
    <x:row r="204" ht="96" customHeight="1">
      <x:c r="A204" s="115" t="str">
        <x:v>EXT-MONDE-T004-V49</x:v>
      </x:c>
      <x:c r="B204" s="115" t="str">
        <x:v>EXT-MONDE-T004</x:v>
      </x:c>
      <x:c r="C204" s="115" t="str">
        <x:v>Lacs</x:v>
      </x:c>
      <x:c r="D204" s="115" t="str">
        <x:v>Camping de rive</x:v>
      </x:c>
      <x:c r="E204" s="115" t="n">
        <x:v>49</x:v>
      </x:c>
      <x:c r="F204" s="115" t="str">
        <x:v>Inspection physique</x:v>
      </x:c>
      <x:c r="G204" s="115" t="str">
        <x:v>1 niveaux ; 26 pièces ; 198 segments de mur ; 0 transitions. Inspection physique ; architecture complète encore ouverte.</x:v>
      </x:c>
      <x:c r="H204" s="115" t="str">
        <x:v>L 298 ; l 264 ; hauteur 4,4 m ; choix de composition auteur ; dimensions réelles à documenter</x:v>
      </x:c>
      <x:c r="I204" s="115" t="str">
        <x:v>À équilibrer</x:v>
      </x:c>
      <x:c r="J204" s="115" t="str">
        <x:v>Non</x:v>
      </x:c>
      <x:c r="K204" s="115" t="str">
        <x:v>Pièces décrites, murs, portes, niveaux et mobilier inspectables à l’échelle. Volumes réservés, raccord au seed, butin, rencontres et services de campagne restent à terminer.</x:v>
      </x:c>
    </x:row>
    <x:row r="205" ht="96" customHeight="1">
      <x:c r="A205" s="115" t="str">
        <x:v>EXT-MONDE-T004-V50</x:v>
      </x:c>
      <x:c r="B205" s="115" t="str">
        <x:v>EXT-MONDE-T004</x:v>
      </x:c>
      <x:c r="C205" s="115" t="str">
        <x:v>Lacs</x:v>
      </x:c>
      <x:c r="D205" s="115" t="str">
        <x:v>Camping de rive</x:v>
      </x:c>
      <x:c r="E205" s="115" t="n">
        <x:v>50</x:v>
      </x:c>
      <x:c r="F205" s="115" t="str">
        <x:v>Inspection physique</x:v>
      </x:c>
      <x:c r="G205" s="115" t="str">
        <x:v>1 niveaux ; 26 pièces ; 198 segments de mur ; 0 transitions. Inspection physique ; architecture complète encore ouverte.</x:v>
      </x:c>
      <x:c r="H205" s="115" t="str">
        <x:v>L 298 ; l 264 ; hauteur 4,4 m ; choix de composition auteur ; dimensions réelles à documenter</x:v>
      </x:c>
      <x:c r="I205" s="115" t="str">
        <x:v>À équilibrer</x:v>
      </x:c>
      <x:c r="J205" s="115" t="str">
        <x:v>Non</x:v>
      </x:c>
      <x:c r="K205" s="115" t="str">
        <x:v>Pièces décrites, murs, portes, niveaux et mobilier inspectables à l’échelle. Volumes réservés, raccord au seed, butin, rencontres et services de campagne restent à terminer.</x:v>
      </x:c>
    </x:row>
    <x:row r="206">
      <x:c r="A206" t="str">
        <x:v>EXT-MONDE-T005-V01</x:v>
      </x:c>
      <x:c r="B206" t="str">
        <x:v>EXT-MONDE-T005</x:v>
      </x:c>
      <x:c r="C206" t="str">
        <x:v>Navires de haute mer</x:v>
      </x:c>
      <x:c r="D206" t="str">
        <x:v>Cargo polyvalent</x:v>
      </x:c>
      <x:c r="E206" t="n">
        <x:v>1</x:v>
      </x:c>
      <x:c r="F206" t="str">
        <x:v>Inspection physique</x:v>
      </x:c>
      <x:c r="G206" t="str">
        <x:v>6 niveaux ; 24 pièces ; 168 segments de mur ; 5 transitions. Inspection physique ; architecture complète encore ouverte.</x:v>
      </x:c>
      <x:c r="H206" t="str">
        <x:v>L 86,6 ; l 15,2 ; hauteur inconnue ; tirant 6,55 ; hauteur émergée auteur 16,25 m ; longueur/largeur/tirant sourcés ; hauteur totale réelle inconnue</x:v>
      </x:c>
      <x:c r="I206" t="str">
        <x:v>À équilibrer</x:v>
      </x:c>
      <x:c r="J206" t="str">
        <x:v>Non</x:v>
      </x:c>
      <x:c r="K206" t="str">
        <x:v>Pièces décrites, murs, portes, niveaux et mobilier inspectables à l’échelle. Volumes réservés, raccord au seed, butin, rencontres et services de campagne restent à terminer.</x:v>
      </x:c>
    </x:row>
    <x:row r="207">
      <x:c r="A207" t="str">
        <x:v>EXT-MONDE-T005-V02</x:v>
      </x:c>
      <x:c r="B207" t="str">
        <x:v>EXT-MONDE-T005</x:v>
      </x:c>
      <x:c r="C207" t="str">
        <x:v>Navires de haute mer</x:v>
      </x:c>
      <x:c r="D207" t="str">
        <x:v>Cargo polyvalent</x:v>
      </x:c>
      <x:c r="E207" t="n">
        <x:v>2</x:v>
      </x:c>
      <x:c r="F207" t="str">
        <x:v>Inspection physique</x:v>
      </x:c>
      <x:c r="G207" t="str">
        <x:v>6 niveaux ; 24 pièces ; 168 segments de mur ; 5 transitions. Inspection physique ; architecture complète encore ouverte.</x:v>
      </x:c>
      <x:c r="H207" t="str">
        <x:v>L 86,6 ; l 15,2 ; hauteur inconnue ; tirant 6,55 ; hauteur émergée auteur 16,25 m ; longueur/largeur/tirant sourcés ; hauteur totale réelle inconnue</x:v>
      </x:c>
      <x:c r="I207" t="str">
        <x:v>À équilibrer</x:v>
      </x:c>
      <x:c r="J207" t="str">
        <x:v>Non</x:v>
      </x:c>
      <x:c r="K207" t="str">
        <x:v>Pièces décrites, murs, portes, niveaux et mobilier inspectables à l’échelle. Volumes réservés, raccord au seed, butin, rencontres et services de campagne restent à terminer.</x:v>
      </x:c>
    </x:row>
    <x:row r="208">
      <x:c r="A208" t="str">
        <x:v>EXT-MONDE-T005-V03</x:v>
      </x:c>
      <x:c r="B208" t="str">
        <x:v>EXT-MONDE-T005</x:v>
      </x:c>
      <x:c r="C208" t="str">
        <x:v>Navires de haute mer</x:v>
      </x:c>
      <x:c r="D208" t="str">
        <x:v>Cargo polyvalent</x:v>
      </x:c>
      <x:c r="E208" t="n">
        <x:v>3</x:v>
      </x:c>
      <x:c r="F208" t="str">
        <x:v>Inspection physique</x:v>
      </x:c>
      <x:c r="G208" t="str">
        <x:v>6 niveaux ; 24 pièces ; 168 segments de mur ; 5 transitions. Inspection physique ; architecture complète encore ouverte.</x:v>
      </x:c>
      <x:c r="H208" t="str">
        <x:v>L 86,6 ; l 15,2 ; hauteur inconnue ; tirant 6,55 ; hauteur émergée auteur 16,25 m ; longueur/largeur/tirant sourcés ; hauteur totale réelle inconnue</x:v>
      </x:c>
      <x:c r="I208" t="str">
        <x:v>À équilibrer</x:v>
      </x:c>
      <x:c r="J208" t="str">
        <x:v>Non</x:v>
      </x:c>
      <x:c r="K208" t="str">
        <x:v>Pièces décrites, murs, portes, niveaux et mobilier inspectables à l’échelle. Volumes réservés, raccord au seed, butin, rencontres et services de campagne restent à terminer.</x:v>
      </x:c>
    </x:row>
    <x:row r="209">
      <x:c r="A209" t="str">
        <x:v>EXT-MONDE-T005-V04</x:v>
      </x:c>
      <x:c r="B209" t="str">
        <x:v>EXT-MONDE-T005</x:v>
      </x:c>
      <x:c r="C209" t="str">
        <x:v>Navires de haute mer</x:v>
      </x:c>
      <x:c r="D209" t="str">
        <x:v>Cargo polyvalent</x:v>
      </x:c>
      <x:c r="E209" t="n">
        <x:v>4</x:v>
      </x:c>
      <x:c r="F209" t="str">
        <x:v>Inspection physique</x:v>
      </x:c>
      <x:c r="G209" t="str">
        <x:v>6 niveaux ; 24 pièces ; 168 segments de mur ; 5 transitions. Inspection physique ; architecture complète encore ouverte.</x:v>
      </x:c>
      <x:c r="H209" t="str">
        <x:v>L 86,6 ; l 15,2 ; hauteur inconnue ; tirant 6,55 ; hauteur émergée auteur 16,25 m ; longueur/largeur/tirant sourcés ; hauteur totale réelle inconnue</x:v>
      </x:c>
      <x:c r="I209" t="str">
        <x:v>À équilibrer</x:v>
      </x:c>
      <x:c r="J209" t="str">
        <x:v>Non</x:v>
      </x:c>
      <x:c r="K209" t="str">
        <x:v>Pièces décrites, murs, portes, niveaux et mobilier inspectables à l’échelle. Volumes réservés, raccord au seed, butin, rencontres et services de campagne restent à terminer.</x:v>
      </x:c>
    </x:row>
    <x:row r="210">
      <x:c r="A210" t="str">
        <x:v>EXT-MONDE-T005-V05</x:v>
      </x:c>
      <x:c r="B210" t="str">
        <x:v>EXT-MONDE-T005</x:v>
      </x:c>
      <x:c r="C210" t="str">
        <x:v>Navires de haute mer</x:v>
      </x:c>
      <x:c r="D210" t="str">
        <x:v>Cargo polyvalent</x:v>
      </x:c>
      <x:c r="E210" t="n">
        <x:v>5</x:v>
      </x:c>
      <x:c r="F210" t="str">
        <x:v>Inspection physique</x:v>
      </x:c>
      <x:c r="G210" t="str">
        <x:v>6 niveaux ; 24 pièces ; 168 segments de mur ; 5 transitions. Inspection physique ; architecture complète encore ouverte.</x:v>
      </x:c>
      <x:c r="H210" t="str">
        <x:v>L 86,6 ; l 15,2 ; hauteur inconnue ; tirant 6,55 ; hauteur émergée auteur 16,25 m ; longueur/largeur/tirant sourcés ; hauteur totale réelle inconnue</x:v>
      </x:c>
      <x:c r="I210" t="str">
        <x:v>À équilibrer</x:v>
      </x:c>
      <x:c r="J210" t="str">
        <x:v>Non</x:v>
      </x:c>
      <x:c r="K210" t="str">
        <x:v>Pièces décrites, murs, portes, niveaux et mobilier inspectables à l’échelle. Volumes réservés, raccord au seed, butin, rencontres et services de campagne restent à terminer.</x:v>
      </x:c>
    </x:row>
    <x:row r="211">
      <x:c r="A211" t="str">
        <x:v>EXT-MONDE-T005-V06</x:v>
      </x:c>
      <x:c r="B211" t="str">
        <x:v>EXT-MONDE-T005</x:v>
      </x:c>
      <x:c r="C211" t="str">
        <x:v>Navires de haute mer</x:v>
      </x:c>
      <x:c r="D211" t="str">
        <x:v>Cargo polyvalent</x:v>
      </x:c>
      <x:c r="E211" t="n">
        <x:v>6</x:v>
      </x:c>
      <x:c r="F211" t="str">
        <x:v>Inspection physique</x:v>
      </x:c>
      <x:c r="G211" t="str">
        <x:v>6 niveaux ; 24 pièces ; 168 segments de mur ; 5 transitions. Inspection physique ; architecture complète encore ouverte.</x:v>
      </x:c>
      <x:c r="H211" t="str">
        <x:v>L 86,6 ; l 15,2 ; hauteur inconnue ; tirant 6,55 ; hauteur émergée auteur 16,25 m ; longueur/largeur/tirant sourcés ; hauteur totale réelle inconnue</x:v>
      </x:c>
      <x:c r="I211" t="str">
        <x:v>À équilibrer</x:v>
      </x:c>
      <x:c r="J211" t="str">
        <x:v>Non</x:v>
      </x:c>
      <x:c r="K211" t="str">
        <x:v>Pièces décrites, murs, portes, niveaux et mobilier inspectables à l’échelle. Volumes réservés, raccord au seed, butin, rencontres et services de campagne restent à terminer.</x:v>
      </x:c>
    </x:row>
    <x:row r="212">
      <x:c r="A212" t="str">
        <x:v>EXT-MONDE-T005-V07</x:v>
      </x:c>
      <x:c r="B212" t="str">
        <x:v>EXT-MONDE-T005</x:v>
      </x:c>
      <x:c r="C212" t="str">
        <x:v>Navires de haute mer</x:v>
      </x:c>
      <x:c r="D212" t="str">
        <x:v>Cargo polyvalent</x:v>
      </x:c>
      <x:c r="E212" t="n">
        <x:v>7</x:v>
      </x:c>
      <x:c r="F212" t="str">
        <x:v>Inspection physique</x:v>
      </x:c>
      <x:c r="G212" t="str">
        <x:v>6 niveaux ; 24 pièces ; 168 segments de mur ; 5 transitions. Inspection physique ; architecture complète encore ouverte.</x:v>
      </x:c>
      <x:c r="H212" t="str">
        <x:v>L 86,6 ; l 15,2 ; hauteur inconnue ; tirant 6,55 ; hauteur émergée auteur 16,25 m ; longueur/largeur/tirant sourcés ; hauteur totale réelle inconnue</x:v>
      </x:c>
      <x:c r="I212" t="str">
        <x:v>À équilibrer</x:v>
      </x:c>
      <x:c r="J212" t="str">
        <x:v>Non</x:v>
      </x:c>
      <x:c r="K212" t="str">
        <x:v>Pièces décrites, murs, portes, niveaux et mobilier inspectables à l’échelle. Volumes réservés, raccord au seed, butin, rencontres et services de campagne restent à terminer.</x:v>
      </x:c>
    </x:row>
    <x:row r="213">
      <x:c r="A213" t="str">
        <x:v>EXT-MONDE-T005-V08</x:v>
      </x:c>
      <x:c r="B213" t="str">
        <x:v>EXT-MONDE-T005</x:v>
      </x:c>
      <x:c r="C213" t="str">
        <x:v>Navires de haute mer</x:v>
      </x:c>
      <x:c r="D213" t="str">
        <x:v>Cargo polyvalent</x:v>
      </x:c>
      <x:c r="E213" t="n">
        <x:v>8</x:v>
      </x:c>
      <x:c r="F213" t="str">
        <x:v>Inspection physique</x:v>
      </x:c>
      <x:c r="G213" t="str">
        <x:v>6 niveaux ; 24 pièces ; 168 segments de mur ; 5 transitions. Inspection physique ; architecture complète encore ouverte.</x:v>
      </x:c>
      <x:c r="H213" t="str">
        <x:v>L 86,6 ; l 15,2 ; hauteur inconnue ; tirant 6,55 ; hauteur émergée auteur 16,25 m ; longueur/largeur/tirant sourcés ; hauteur totale réelle inconnue</x:v>
      </x:c>
      <x:c r="I213" t="str">
        <x:v>À équilibrer</x:v>
      </x:c>
      <x:c r="J213" t="str">
        <x:v>Non</x:v>
      </x:c>
      <x:c r="K213" t="str">
        <x:v>Pièces décrites, murs, portes, niveaux et mobilier inspectables à l’échelle. Volumes réservés, raccord au seed, butin, rencontres et services de campagne restent à terminer.</x:v>
      </x:c>
    </x:row>
    <x:row r="214">
      <x:c r="A214" t="str">
        <x:v>EXT-MONDE-T005-V09</x:v>
      </x:c>
      <x:c r="B214" t="str">
        <x:v>EXT-MONDE-T005</x:v>
      </x:c>
      <x:c r="C214" t="str">
        <x:v>Navires de haute mer</x:v>
      </x:c>
      <x:c r="D214" t="str">
        <x:v>Cargo polyvalent</x:v>
      </x:c>
      <x:c r="E214" t="n">
        <x:v>9</x:v>
      </x:c>
      <x:c r="F214" t="str">
        <x:v>Inspection physique</x:v>
      </x:c>
      <x:c r="G214" t="str">
        <x:v>6 niveaux ; 24 pièces ; 168 segments de mur ; 5 transitions. Inspection physique ; architecture complète encore ouverte.</x:v>
      </x:c>
      <x:c r="H214" t="str">
        <x:v>L 86,6 ; l 15,2 ; hauteur inconnue ; tirant 6,55 ; hauteur émergée auteur 16,25 m ; longueur/largeur/tirant sourcés ; hauteur totale réelle inconnue</x:v>
      </x:c>
      <x:c r="I214" t="str">
        <x:v>À équilibrer</x:v>
      </x:c>
      <x:c r="J214" t="str">
        <x:v>Non</x:v>
      </x:c>
      <x:c r="K214" t="str">
        <x:v>Pièces décrites, murs, portes, niveaux et mobilier inspectables à l’échelle. Volumes réservés, raccord au seed, butin, rencontres et services de campagne restent à terminer.</x:v>
      </x:c>
    </x:row>
    <x:row r="215">
      <x:c r="A215" t="str">
        <x:v>EXT-MONDE-T005-V10</x:v>
      </x:c>
      <x:c r="B215" t="str">
        <x:v>EXT-MONDE-T005</x:v>
      </x:c>
      <x:c r="C215" t="str">
        <x:v>Navires de haute mer</x:v>
      </x:c>
      <x:c r="D215" t="str">
        <x:v>Cargo polyvalent</x:v>
      </x:c>
      <x:c r="E215" t="n">
        <x:v>10</x:v>
      </x:c>
      <x:c r="F215" t="str">
        <x:v>Inspection physique</x:v>
      </x:c>
      <x:c r="G215" t="str">
        <x:v>6 niveaux ; 24 pièces ; 168 segments de mur ; 5 transitions. Inspection physique ; architecture complète encore ouverte.</x:v>
      </x:c>
      <x:c r="H215" t="str">
        <x:v>L 86,6 ; l 15,2 ; hauteur inconnue ; tirant 6,55 ; hauteur émergée auteur 16,25 m ; longueur/largeur/tirant sourcés ; hauteur totale réelle inconnue</x:v>
      </x:c>
      <x:c r="I215" t="str">
        <x:v>À équilibrer</x:v>
      </x:c>
      <x:c r="J215" t="str">
        <x:v>Non</x:v>
      </x:c>
      <x:c r="K215" t="str">
        <x:v>Pièces décrites, murs, portes, niveaux et mobilier inspectables à l’échelle. Volumes réservés, raccord au seed, butin, rencontres et services de campagne restent à terminer.</x:v>
      </x:c>
    </x:row>
    <x:row r="216">
      <x:c r="A216" t="str">
        <x:v>EXT-MONDE-T005-V11</x:v>
      </x:c>
      <x:c r="B216" t="str">
        <x:v>EXT-MONDE-T005</x:v>
      </x:c>
      <x:c r="C216" t="str">
        <x:v>Navires de haute mer</x:v>
      </x:c>
      <x:c r="D216" t="str">
        <x:v>Cargo polyvalent</x:v>
      </x:c>
      <x:c r="E216" t="n">
        <x:v>11</x:v>
      </x:c>
      <x:c r="F216" t="str">
        <x:v>Inspection physique</x:v>
      </x:c>
      <x:c r="G216" t="str">
        <x:v>6 niveaux ; 24 pièces ; 168 segments de mur ; 5 transitions. Inspection physique ; architecture complète encore ouverte.</x:v>
      </x:c>
      <x:c r="H216" t="str">
        <x:v>L 86,6 ; l 15,2 ; hauteur inconnue ; tirant 6,55 ; hauteur émergée auteur 16,25 m ; longueur/largeur/tirant sourcés ; hauteur totale réelle inconnue</x:v>
      </x:c>
      <x:c r="I216" t="str">
        <x:v>À équilibrer</x:v>
      </x:c>
      <x:c r="J216" t="str">
        <x:v>Non</x:v>
      </x:c>
      <x:c r="K216" t="str">
        <x:v>Pièces décrites, murs, portes, niveaux et mobilier inspectables à l’échelle. Volumes réservés, raccord au seed, butin, rencontres et services de campagne restent à terminer.</x:v>
      </x:c>
    </x:row>
    <x:row r="217">
      <x:c r="A217" t="str">
        <x:v>EXT-MONDE-T005-V12</x:v>
      </x:c>
      <x:c r="B217" t="str">
        <x:v>EXT-MONDE-T005</x:v>
      </x:c>
      <x:c r="C217" t="str">
        <x:v>Navires de haute mer</x:v>
      </x:c>
      <x:c r="D217" t="str">
        <x:v>Cargo polyvalent</x:v>
      </x:c>
      <x:c r="E217" t="n">
        <x:v>12</x:v>
      </x:c>
      <x:c r="F217" t="str">
        <x:v>Inspection physique</x:v>
      </x:c>
      <x:c r="G217" t="str">
        <x:v>6 niveaux ; 24 pièces ; 168 segments de mur ; 5 transitions. Inspection physique ; architecture complète encore ouverte.</x:v>
      </x:c>
      <x:c r="H217" t="str">
        <x:v>L 86,6 ; l 15,2 ; hauteur inconnue ; tirant 6,55 ; hauteur émergée auteur 16,25 m ; longueur/largeur/tirant sourcés ; hauteur totale réelle inconnue</x:v>
      </x:c>
      <x:c r="I217" t="str">
        <x:v>À équilibrer</x:v>
      </x:c>
      <x:c r="J217" t="str">
        <x:v>Non</x:v>
      </x:c>
      <x:c r="K217" t="str">
        <x:v>Pièces décrites, murs, portes, niveaux et mobilier inspectables à l’échelle. Volumes réservés, raccord au seed, butin, rencontres et services de campagne restent à terminer.</x:v>
      </x:c>
    </x:row>
    <x:row r="218">
      <x:c r="A218" t="str">
        <x:v>EXT-MONDE-T005-V13</x:v>
      </x:c>
      <x:c r="B218" t="str">
        <x:v>EXT-MONDE-T005</x:v>
      </x:c>
      <x:c r="C218" t="str">
        <x:v>Navires de haute mer</x:v>
      </x:c>
      <x:c r="D218" t="str">
        <x:v>Cargo polyvalent</x:v>
      </x:c>
      <x:c r="E218" t="n">
        <x:v>13</x:v>
      </x:c>
      <x:c r="F218" t="str">
        <x:v>Inspection physique</x:v>
      </x:c>
      <x:c r="G218" t="str">
        <x:v>6 niveaux ; 24 pièces ; 168 segments de mur ; 5 transitions. Inspection physique ; architecture complète encore ouverte.</x:v>
      </x:c>
      <x:c r="H218" t="str">
        <x:v>L 86,6 ; l 15,2 ; hauteur inconnue ; tirant 6,55 ; hauteur émergée auteur 16,25 m ; longueur/largeur/tirant sourcés ; hauteur totale réelle inconnue</x:v>
      </x:c>
      <x:c r="I218" t="str">
        <x:v>À équilibrer</x:v>
      </x:c>
      <x:c r="J218" t="str">
        <x:v>Non</x:v>
      </x:c>
      <x:c r="K218" t="str">
        <x:v>Pièces décrites, murs, portes, niveaux et mobilier inspectables à l’échelle. Volumes réservés, raccord au seed, butin, rencontres et services de campagne restent à terminer.</x:v>
      </x:c>
    </x:row>
    <x:row r="219">
      <x:c r="A219" t="str">
        <x:v>EXT-MONDE-T005-V14</x:v>
      </x:c>
      <x:c r="B219" t="str">
        <x:v>EXT-MONDE-T005</x:v>
      </x:c>
      <x:c r="C219" t="str">
        <x:v>Navires de haute mer</x:v>
      </x:c>
      <x:c r="D219" t="str">
        <x:v>Cargo polyvalent</x:v>
      </x:c>
      <x:c r="E219" t="n">
        <x:v>14</x:v>
      </x:c>
      <x:c r="F219" t="str">
        <x:v>Inspection physique</x:v>
      </x:c>
      <x:c r="G219" t="str">
        <x:v>6 niveaux ; 24 pièces ; 168 segments de mur ; 5 transitions. Inspection physique ; architecture complète encore ouverte.</x:v>
      </x:c>
      <x:c r="H219" t="str">
        <x:v>L 86,6 ; l 15,2 ; hauteur inconnue ; tirant 6,55 ; hauteur émergée auteur 16,25 m ; longueur/largeur/tirant sourcés ; hauteur totale réelle inconnue</x:v>
      </x:c>
      <x:c r="I219" t="str">
        <x:v>À équilibrer</x:v>
      </x:c>
      <x:c r="J219" t="str">
        <x:v>Non</x:v>
      </x:c>
      <x:c r="K219" t="str">
        <x:v>Pièces décrites, murs, portes, niveaux et mobilier inspectables à l’échelle. Volumes réservés, raccord au seed, butin, rencontres et services de campagne restent à terminer.</x:v>
      </x:c>
    </x:row>
    <x:row r="220">
      <x:c r="A220" t="str">
        <x:v>EXT-MONDE-T005-V15</x:v>
      </x:c>
      <x:c r="B220" t="str">
        <x:v>EXT-MONDE-T005</x:v>
      </x:c>
      <x:c r="C220" t="str">
        <x:v>Navires de haute mer</x:v>
      </x:c>
      <x:c r="D220" t="str">
        <x:v>Cargo polyvalent</x:v>
      </x:c>
      <x:c r="E220" t="n">
        <x:v>15</x:v>
      </x:c>
      <x:c r="F220" t="str">
        <x:v>Inspection physique</x:v>
      </x:c>
      <x:c r="G220" t="str">
        <x:v>6 niveaux ; 24 pièces ; 168 segments de mur ; 5 transitions. Inspection physique ; architecture complète encore ouverte.</x:v>
      </x:c>
      <x:c r="H220" t="str">
        <x:v>L 86,6 ; l 15,2 ; hauteur inconnue ; tirant 6,55 ; hauteur émergée auteur 16,25 m ; longueur/largeur/tirant sourcés ; hauteur totale réelle inconnue</x:v>
      </x:c>
      <x:c r="I220" t="str">
        <x:v>À équilibrer</x:v>
      </x:c>
      <x:c r="J220" t="str">
        <x:v>Non</x:v>
      </x:c>
      <x:c r="K220" t="str">
        <x:v>Pièces décrites, murs, portes, niveaux et mobilier inspectables à l’échelle. Volumes réservés, raccord au seed, butin, rencontres et services de campagne restent à terminer.</x:v>
      </x:c>
    </x:row>
    <x:row r="221">
      <x:c r="A221" t="str">
        <x:v>EXT-MONDE-T005-V16</x:v>
      </x:c>
      <x:c r="B221" t="str">
        <x:v>EXT-MONDE-T005</x:v>
      </x:c>
      <x:c r="C221" t="str">
        <x:v>Navires de haute mer</x:v>
      </x:c>
      <x:c r="D221" t="str">
        <x:v>Cargo polyvalent</x:v>
      </x:c>
      <x:c r="E221" t="n">
        <x:v>16</x:v>
      </x:c>
      <x:c r="F221" t="str">
        <x:v>Inspection physique</x:v>
      </x:c>
      <x:c r="G221" t="str">
        <x:v>6 niveaux ; 24 pièces ; 168 segments de mur ; 5 transitions. Inspection physique ; architecture complète encore ouverte.</x:v>
      </x:c>
      <x:c r="H221" t="str">
        <x:v>L 86,6 ; l 15,2 ; hauteur inconnue ; tirant 6,55 ; hauteur émergée auteur 16,25 m ; longueur/largeur/tirant sourcés ; hauteur totale réelle inconnue</x:v>
      </x:c>
      <x:c r="I221" t="str">
        <x:v>À équilibrer</x:v>
      </x:c>
      <x:c r="J221" t="str">
        <x:v>Non</x:v>
      </x:c>
      <x:c r="K221" t="str">
        <x:v>Pièces décrites, murs, portes, niveaux et mobilier inspectables à l’échelle. Volumes réservés, raccord au seed, butin, rencontres et services de campagne restent à terminer.</x:v>
      </x:c>
    </x:row>
    <x:row r="222">
      <x:c r="A222" t="str">
        <x:v>EXT-MONDE-T005-V17</x:v>
      </x:c>
      <x:c r="B222" t="str">
        <x:v>EXT-MONDE-T005</x:v>
      </x:c>
      <x:c r="C222" t="str">
        <x:v>Navires de haute mer</x:v>
      </x:c>
      <x:c r="D222" t="str">
        <x:v>Cargo polyvalent</x:v>
      </x:c>
      <x:c r="E222" t="n">
        <x:v>17</x:v>
      </x:c>
      <x:c r="F222" t="str">
        <x:v>Inspection physique</x:v>
      </x:c>
      <x:c r="G222" t="str">
        <x:v>6 niveaux ; 24 pièces ; 168 segments de mur ; 5 transitions. Inspection physique ; architecture complète encore ouverte.</x:v>
      </x:c>
      <x:c r="H222" t="str">
        <x:v>L 86,6 ; l 15,2 ; hauteur inconnue ; tirant 6,55 ; hauteur émergée auteur 16,25 m ; longueur/largeur/tirant sourcés ; hauteur totale réelle inconnue</x:v>
      </x:c>
      <x:c r="I222" t="str">
        <x:v>À équilibrer</x:v>
      </x:c>
      <x:c r="J222" t="str">
        <x:v>Non</x:v>
      </x:c>
      <x:c r="K222" t="str">
        <x:v>Pièces décrites, murs, portes, niveaux et mobilier inspectables à l’échelle. Volumes réservés, raccord au seed, butin, rencontres et services de campagne restent à terminer.</x:v>
      </x:c>
    </x:row>
    <x:row r="223">
      <x:c r="A223" t="str">
        <x:v>EXT-MONDE-T005-V18</x:v>
      </x:c>
      <x:c r="B223" t="str">
        <x:v>EXT-MONDE-T005</x:v>
      </x:c>
      <x:c r="C223" t="str">
        <x:v>Navires de haute mer</x:v>
      </x:c>
      <x:c r="D223" t="str">
        <x:v>Cargo polyvalent</x:v>
      </x:c>
      <x:c r="E223" t="n">
        <x:v>18</x:v>
      </x:c>
      <x:c r="F223" t="str">
        <x:v>Inspection physique</x:v>
      </x:c>
      <x:c r="G223" t="str">
        <x:v>6 niveaux ; 24 pièces ; 168 segments de mur ; 5 transitions. Inspection physique ; architecture complète encore ouverte.</x:v>
      </x:c>
      <x:c r="H223" t="str">
        <x:v>L 86,6 ; l 15,2 ; hauteur inconnue ; tirant 6,55 ; hauteur émergée auteur 16,25 m ; longueur/largeur/tirant sourcés ; hauteur totale réelle inconnue</x:v>
      </x:c>
      <x:c r="I223" t="str">
        <x:v>À équilibrer</x:v>
      </x:c>
      <x:c r="J223" t="str">
        <x:v>Non</x:v>
      </x:c>
      <x:c r="K223" t="str">
        <x:v>Pièces décrites, murs, portes, niveaux et mobilier inspectables à l’échelle. Volumes réservés, raccord au seed, butin, rencontres et services de campagne restent à terminer.</x:v>
      </x:c>
    </x:row>
    <x:row r="224">
      <x:c r="A224" t="str">
        <x:v>EXT-MONDE-T005-V19</x:v>
      </x:c>
      <x:c r="B224" t="str">
        <x:v>EXT-MONDE-T005</x:v>
      </x:c>
      <x:c r="C224" t="str">
        <x:v>Navires de haute mer</x:v>
      </x:c>
      <x:c r="D224" t="str">
        <x:v>Cargo polyvalent</x:v>
      </x:c>
      <x:c r="E224" t="n">
        <x:v>19</x:v>
      </x:c>
      <x:c r="F224" t="str">
        <x:v>Inspection physique</x:v>
      </x:c>
      <x:c r="G224" t="str">
        <x:v>6 niveaux ; 24 pièces ; 168 segments de mur ; 5 transitions. Inspection physique ; architecture complète encore ouverte.</x:v>
      </x:c>
      <x:c r="H224" t="str">
        <x:v>L 86,6 ; l 15,2 ; hauteur inconnue ; tirant 6,55 ; hauteur émergée auteur 16,25 m ; longueur/largeur/tirant sourcés ; hauteur totale réelle inconnue</x:v>
      </x:c>
      <x:c r="I224" t="str">
        <x:v>À équilibrer</x:v>
      </x:c>
      <x:c r="J224" t="str">
        <x:v>Non</x:v>
      </x:c>
      <x:c r="K224" t="str">
        <x:v>Pièces décrites, murs, portes, niveaux et mobilier inspectables à l’échelle. Volumes réservés, raccord au seed, butin, rencontres et services de campagne restent à terminer.</x:v>
      </x:c>
    </x:row>
    <x:row r="225">
      <x:c r="A225" t="str">
        <x:v>EXT-MONDE-T005-V20</x:v>
      </x:c>
      <x:c r="B225" t="str">
        <x:v>EXT-MONDE-T005</x:v>
      </x:c>
      <x:c r="C225" t="str">
        <x:v>Navires de haute mer</x:v>
      </x:c>
      <x:c r="D225" t="str">
        <x:v>Cargo polyvalent</x:v>
      </x:c>
      <x:c r="E225" t="n">
        <x:v>20</x:v>
      </x:c>
      <x:c r="F225" t="str">
        <x:v>Inspection physique</x:v>
      </x:c>
      <x:c r="G225" t="str">
        <x:v>6 niveaux ; 24 pièces ; 168 segments de mur ; 5 transitions. Inspection physique ; architecture complète encore ouverte.</x:v>
      </x:c>
      <x:c r="H225" t="str">
        <x:v>L 86,6 ; l 15,2 ; hauteur inconnue ; tirant 6,55 ; hauteur émergée auteur 16,25 m ; longueur/largeur/tirant sourcés ; hauteur totale réelle inconnue</x:v>
      </x:c>
      <x:c r="I225" t="str">
        <x:v>À équilibrer</x:v>
      </x:c>
      <x:c r="J225" t="str">
        <x:v>Non</x:v>
      </x:c>
      <x:c r="K225" t="str">
        <x:v>Pièces décrites, murs, portes, niveaux et mobilier inspectables à l’échelle. Volumes réservés, raccord au seed, butin, rencontres et services de campagne restent à terminer.</x:v>
      </x:c>
    </x:row>
    <x:row r="226">
      <x:c r="A226" t="str">
        <x:v>EXT-MONDE-T005-V21</x:v>
      </x:c>
      <x:c r="B226" t="str">
        <x:v>EXT-MONDE-T005</x:v>
      </x:c>
      <x:c r="C226" t="str">
        <x:v>Navires de haute mer</x:v>
      </x:c>
      <x:c r="D226" t="str">
        <x:v>Cargo polyvalent</x:v>
      </x:c>
      <x:c r="E226" t="n">
        <x:v>21</x:v>
      </x:c>
      <x:c r="F226" t="str">
        <x:v>Inspection physique</x:v>
      </x:c>
      <x:c r="G226" t="str">
        <x:v>6 niveaux ; 36 pièces ; 240 segments de mur ; 5 transitions. Inspection physique ; architecture complète encore ouverte.</x:v>
      </x:c>
      <x:c r="H226" t="str">
        <x:v>L 86,6 ; l 15,2 ; hauteur inconnue ; tirant 6,55 ; hauteur émergée auteur 16,25 m ; longueur/largeur/tirant sourcés ; hauteur totale réelle inconnue</x:v>
      </x:c>
      <x:c r="I226" t="str">
        <x:v>À équilibrer</x:v>
      </x:c>
      <x:c r="J226" t="str">
        <x:v>Non</x:v>
      </x:c>
      <x:c r="K226" t="str">
        <x:v>Pièces décrites, murs, portes, niveaux et mobilier inspectables à l’échelle. Volumes réservés, raccord au seed, butin, rencontres et services de campagne restent à terminer.</x:v>
      </x:c>
    </x:row>
    <x:row r="227">
      <x:c r="A227" t="str">
        <x:v>EXT-MONDE-T005-V22</x:v>
      </x:c>
      <x:c r="B227" t="str">
        <x:v>EXT-MONDE-T005</x:v>
      </x:c>
      <x:c r="C227" t="str">
        <x:v>Navires de haute mer</x:v>
      </x:c>
      <x:c r="D227" t="str">
        <x:v>Cargo polyvalent</x:v>
      </x:c>
      <x:c r="E227" t="n">
        <x:v>22</x:v>
      </x:c>
      <x:c r="F227" t="str">
        <x:v>Inspection physique</x:v>
      </x:c>
      <x:c r="G227" t="str">
        <x:v>6 niveaux ; 36 pièces ; 240 segments de mur ; 5 transitions. Inspection physique ; architecture complète encore ouverte.</x:v>
      </x:c>
      <x:c r="H227" t="str">
        <x:v>L 86,6 ; l 15,2 ; hauteur inconnue ; tirant 6,55 ; hauteur émergée auteur 16,25 m ; longueur/largeur/tirant sourcés ; hauteur totale réelle inconnue</x:v>
      </x:c>
      <x:c r="I227" t="str">
        <x:v>À équilibrer</x:v>
      </x:c>
      <x:c r="J227" t="str">
        <x:v>Non</x:v>
      </x:c>
      <x:c r="K227" t="str">
        <x:v>Pièces décrites, murs, portes, niveaux et mobilier inspectables à l’échelle. Volumes réservés, raccord au seed, butin, rencontres et services de campagne restent à terminer.</x:v>
      </x:c>
    </x:row>
    <x:row r="228">
      <x:c r="A228" t="str">
        <x:v>EXT-MONDE-T005-V23</x:v>
      </x:c>
      <x:c r="B228" t="str">
        <x:v>EXT-MONDE-T005</x:v>
      </x:c>
      <x:c r="C228" t="str">
        <x:v>Navires de haute mer</x:v>
      </x:c>
      <x:c r="D228" t="str">
        <x:v>Cargo polyvalent</x:v>
      </x:c>
      <x:c r="E228" t="n">
        <x:v>23</x:v>
      </x:c>
      <x:c r="F228" t="str">
        <x:v>Inspection physique</x:v>
      </x:c>
      <x:c r="G228" t="str">
        <x:v>6 niveaux ; 36 pièces ; 240 segments de mur ; 5 transitions. Inspection physique ; architecture complète encore ouverte.</x:v>
      </x:c>
      <x:c r="H228" t="str">
        <x:v>L 86,6 ; l 15,2 ; hauteur inconnue ; tirant 6,55 ; hauteur émergée auteur 16,25 m ; longueur/largeur/tirant sourcés ; hauteur totale réelle inconnue</x:v>
      </x:c>
      <x:c r="I228" t="str">
        <x:v>À équilibrer</x:v>
      </x:c>
      <x:c r="J228" t="str">
        <x:v>Non</x:v>
      </x:c>
      <x:c r="K228" t="str">
        <x:v>Pièces décrites, murs, portes, niveaux et mobilier inspectables à l’échelle. Volumes réservés, raccord au seed, butin, rencontres et services de campagne restent à terminer.</x:v>
      </x:c>
    </x:row>
    <x:row r="229">
      <x:c r="A229" t="str">
        <x:v>EXT-MONDE-T005-V24</x:v>
      </x:c>
      <x:c r="B229" t="str">
        <x:v>EXT-MONDE-T005</x:v>
      </x:c>
      <x:c r="C229" t="str">
        <x:v>Navires de haute mer</x:v>
      </x:c>
      <x:c r="D229" t="str">
        <x:v>Cargo polyvalent</x:v>
      </x:c>
      <x:c r="E229" t="n">
        <x:v>24</x:v>
      </x:c>
      <x:c r="F229" t="str">
        <x:v>Inspection physique</x:v>
      </x:c>
      <x:c r="G229" t="str">
        <x:v>6 niveaux ; 36 pièces ; 240 segments de mur ; 5 transitions. Inspection physique ; architecture complète encore ouverte.</x:v>
      </x:c>
      <x:c r="H229" t="str">
        <x:v>L 86,6 ; l 15,2 ; hauteur inconnue ; tirant 6,55 ; hauteur émergée auteur 16,25 m ; longueur/largeur/tirant sourcés ; hauteur totale réelle inconnue</x:v>
      </x:c>
      <x:c r="I229" t="str">
        <x:v>À équilibrer</x:v>
      </x:c>
      <x:c r="J229" t="str">
        <x:v>Non</x:v>
      </x:c>
      <x:c r="K229" t="str">
        <x:v>Pièces décrites, murs, portes, niveaux et mobilier inspectables à l’échelle. Volumes réservés, raccord au seed, butin, rencontres et services de campagne restent à terminer.</x:v>
      </x:c>
    </x:row>
    <x:row r="230">
      <x:c r="A230" t="str">
        <x:v>EXT-MONDE-T005-V25</x:v>
      </x:c>
      <x:c r="B230" t="str">
        <x:v>EXT-MONDE-T005</x:v>
      </x:c>
      <x:c r="C230" t="str">
        <x:v>Navires de haute mer</x:v>
      </x:c>
      <x:c r="D230" t="str">
        <x:v>Cargo polyvalent</x:v>
      </x:c>
      <x:c r="E230" t="n">
        <x:v>25</x:v>
      </x:c>
      <x:c r="F230" t="str">
        <x:v>Inspection physique</x:v>
      </x:c>
      <x:c r="G230" t="str">
        <x:v>6 niveaux ; 36 pièces ; 240 segments de mur ; 5 transitions. Inspection physique ; architecture complète encore ouverte.</x:v>
      </x:c>
      <x:c r="H230" t="str">
        <x:v>L 86,6 ; l 15,2 ; hauteur inconnue ; tirant 6,55 ; hauteur émergée auteur 16,25 m ; longueur/largeur/tirant sourcés ; hauteur totale réelle inconnue</x:v>
      </x:c>
      <x:c r="I230" t="str">
        <x:v>À équilibrer</x:v>
      </x:c>
      <x:c r="J230" t="str">
        <x:v>Non</x:v>
      </x:c>
      <x:c r="K230" t="str">
        <x:v>Pièces décrites, murs, portes, niveaux et mobilier inspectables à l’échelle. Volumes réservés, raccord au seed, butin, rencontres et services de campagne restent à terminer.</x:v>
      </x:c>
    </x:row>
    <x:row r="231">
      <x:c r="A231" t="str">
        <x:v>EXT-MONDE-T005-V26</x:v>
      </x:c>
      <x:c r="B231" t="str">
        <x:v>EXT-MONDE-T005</x:v>
      </x:c>
      <x:c r="C231" t="str">
        <x:v>Navires de haute mer</x:v>
      </x:c>
      <x:c r="D231" t="str">
        <x:v>Cargo polyvalent</x:v>
      </x:c>
      <x:c r="E231" t="n">
        <x:v>26</x:v>
      </x:c>
      <x:c r="F231" t="str">
        <x:v>Inspection physique</x:v>
      </x:c>
      <x:c r="G231" t="str">
        <x:v>6 niveaux ; 36 pièces ; 240 segments de mur ; 5 transitions. Inspection physique ; architecture complète encore ouverte.</x:v>
      </x:c>
      <x:c r="H231" t="str">
        <x:v>L 86,6 ; l 15,2 ; hauteur inconnue ; tirant 6,55 ; hauteur émergée auteur 16,25 m ; longueur/largeur/tirant sourcés ; hauteur totale réelle inconnue</x:v>
      </x:c>
      <x:c r="I231" t="str">
        <x:v>À équilibrer</x:v>
      </x:c>
      <x:c r="J231" t="str">
        <x:v>Non</x:v>
      </x:c>
      <x:c r="K231" t="str">
        <x:v>Pièces décrites, murs, portes, niveaux et mobilier inspectables à l’échelle. Volumes réservés, raccord au seed, butin, rencontres et services de campagne restent à terminer.</x:v>
      </x:c>
    </x:row>
    <x:row r="232">
      <x:c r="A232" t="str">
        <x:v>EXT-MONDE-T005-V27</x:v>
      </x:c>
      <x:c r="B232" t="str">
        <x:v>EXT-MONDE-T005</x:v>
      </x:c>
      <x:c r="C232" t="str">
        <x:v>Navires de haute mer</x:v>
      </x:c>
      <x:c r="D232" t="str">
        <x:v>Cargo polyvalent</x:v>
      </x:c>
      <x:c r="E232" t="n">
        <x:v>27</x:v>
      </x:c>
      <x:c r="F232" t="str">
        <x:v>Inspection physique</x:v>
      </x:c>
      <x:c r="G232" t="str">
        <x:v>6 niveaux ; 36 pièces ; 240 segments de mur ; 5 transitions. Inspection physique ; architecture complète encore ouverte.</x:v>
      </x:c>
      <x:c r="H232" t="str">
        <x:v>L 86,6 ; l 15,2 ; hauteur inconnue ; tirant 6,55 ; hauteur émergée auteur 16,25 m ; longueur/largeur/tirant sourcés ; hauteur totale réelle inconnue</x:v>
      </x:c>
      <x:c r="I232" t="str">
        <x:v>À équilibrer</x:v>
      </x:c>
      <x:c r="J232" t="str">
        <x:v>Non</x:v>
      </x:c>
      <x:c r="K232" t="str">
        <x:v>Pièces décrites, murs, portes, niveaux et mobilier inspectables à l’échelle. Volumes réservés, raccord au seed, butin, rencontres et services de campagne restent à terminer.</x:v>
      </x:c>
    </x:row>
    <x:row r="233">
      <x:c r="A233" t="str">
        <x:v>EXT-MONDE-T005-V28</x:v>
      </x:c>
      <x:c r="B233" t="str">
        <x:v>EXT-MONDE-T005</x:v>
      </x:c>
      <x:c r="C233" t="str">
        <x:v>Navires de haute mer</x:v>
      </x:c>
      <x:c r="D233" t="str">
        <x:v>Cargo polyvalent</x:v>
      </x:c>
      <x:c r="E233" t="n">
        <x:v>28</x:v>
      </x:c>
      <x:c r="F233" t="str">
        <x:v>Inspection physique</x:v>
      </x:c>
      <x:c r="G233" t="str">
        <x:v>6 niveaux ; 36 pièces ; 240 segments de mur ; 5 transitions. Inspection physique ; architecture complète encore ouverte.</x:v>
      </x:c>
      <x:c r="H233" t="str">
        <x:v>L 86,6 ; l 15,2 ; hauteur inconnue ; tirant 6,55 ; hauteur émergée auteur 16,25 m ; longueur/largeur/tirant sourcés ; hauteur totale réelle inconnue</x:v>
      </x:c>
      <x:c r="I233" t="str">
        <x:v>À équilibrer</x:v>
      </x:c>
      <x:c r="J233" t="str">
        <x:v>Non</x:v>
      </x:c>
      <x:c r="K233" t="str">
        <x:v>Pièces décrites, murs, portes, niveaux et mobilier inspectables à l’échelle. Volumes réservés, raccord au seed, butin, rencontres et services de campagne restent à terminer.</x:v>
      </x:c>
    </x:row>
    <x:row r="234">
      <x:c r="A234" t="str">
        <x:v>EXT-MONDE-T005-V29</x:v>
      </x:c>
      <x:c r="B234" t="str">
        <x:v>EXT-MONDE-T005</x:v>
      </x:c>
      <x:c r="C234" t="str">
        <x:v>Navires de haute mer</x:v>
      </x:c>
      <x:c r="D234" t="str">
        <x:v>Cargo polyvalent</x:v>
      </x:c>
      <x:c r="E234" t="n">
        <x:v>29</x:v>
      </x:c>
      <x:c r="F234" t="str">
        <x:v>Inspection physique</x:v>
      </x:c>
      <x:c r="G234" t="str">
        <x:v>6 niveaux ; 36 pièces ; 240 segments de mur ; 5 transitions. Inspection physique ; architecture complète encore ouverte.</x:v>
      </x:c>
      <x:c r="H234" t="str">
        <x:v>L 86,6 ; l 15,2 ; hauteur inconnue ; tirant 6,55 ; hauteur émergée auteur 16,25 m ; longueur/largeur/tirant sourcés ; hauteur totale réelle inconnue</x:v>
      </x:c>
      <x:c r="I234" t="str">
        <x:v>À équilibrer</x:v>
      </x:c>
      <x:c r="J234" t="str">
        <x:v>Non</x:v>
      </x:c>
      <x:c r="K234" t="str">
        <x:v>Pièces décrites, murs, portes, niveaux et mobilier inspectables à l’échelle. Volumes réservés, raccord au seed, butin, rencontres et services de campagne restent à terminer.</x:v>
      </x:c>
    </x:row>
    <x:row r="235">
      <x:c r="A235" t="str">
        <x:v>EXT-MONDE-T005-V30</x:v>
      </x:c>
      <x:c r="B235" t="str">
        <x:v>EXT-MONDE-T005</x:v>
      </x:c>
      <x:c r="C235" t="str">
        <x:v>Navires de haute mer</x:v>
      </x:c>
      <x:c r="D235" t="str">
        <x:v>Cargo polyvalent</x:v>
      </x:c>
      <x:c r="E235" t="n">
        <x:v>30</x:v>
      </x:c>
      <x:c r="F235" t="str">
        <x:v>Inspection physique</x:v>
      </x:c>
      <x:c r="G235" t="str">
        <x:v>6 niveaux ; 36 pièces ; 240 segments de mur ; 5 transitions. Inspection physique ; architecture complète encore ouverte.</x:v>
      </x:c>
      <x:c r="H235" t="str">
        <x:v>L 86,6 ; l 15,2 ; hauteur inconnue ; tirant 6,55 ; hauteur émergée auteur 16,25 m ; longueur/largeur/tirant sourcés ; hauteur totale réelle inconnue</x:v>
      </x:c>
      <x:c r="I235" t="str">
        <x:v>À équilibrer</x:v>
      </x:c>
      <x:c r="J235" t="str">
        <x:v>Non</x:v>
      </x:c>
      <x:c r="K235" t="str">
        <x:v>Pièces décrites, murs, portes, niveaux et mobilier inspectables à l’échelle. Volumes réservés, raccord au seed, butin, rencontres et services de campagne restent à terminer.</x:v>
      </x:c>
    </x:row>
    <x:row r="236">
      <x:c r="A236" t="str">
        <x:v>EXT-MONDE-T005-V31</x:v>
      </x:c>
      <x:c r="B236" t="str">
        <x:v>EXT-MONDE-T005</x:v>
      </x:c>
      <x:c r="C236" t="str">
        <x:v>Navires de haute mer</x:v>
      </x:c>
      <x:c r="D236" t="str">
        <x:v>Cargo polyvalent</x:v>
      </x:c>
      <x:c r="E236" t="n">
        <x:v>31</x:v>
      </x:c>
      <x:c r="F236" t="str">
        <x:v>Inspection physique</x:v>
      </x:c>
      <x:c r="G236" t="str">
        <x:v>6 niveaux ; 36 pièces ; 240 segments de mur ; 5 transitions. Inspection physique ; architecture complète encore ouverte.</x:v>
      </x:c>
      <x:c r="H236" t="str">
        <x:v>L 86,6 ; l 15,2 ; hauteur inconnue ; tirant 6,55 ; hauteur émergée auteur 16,25 m ; longueur/largeur/tirant sourcés ; hauteur totale réelle inconnue</x:v>
      </x:c>
      <x:c r="I236" t="str">
        <x:v>À équilibrer</x:v>
      </x:c>
      <x:c r="J236" t="str">
        <x:v>Non</x:v>
      </x:c>
      <x:c r="K236" t="str">
        <x:v>Pièces décrites, murs, portes, niveaux et mobilier inspectables à l’échelle. Volumes réservés, raccord au seed, butin, rencontres et services de campagne restent à terminer.</x:v>
      </x:c>
    </x:row>
    <x:row r="237">
      <x:c r="A237" t="str">
        <x:v>EXT-MONDE-T005-V32</x:v>
      </x:c>
      <x:c r="B237" t="str">
        <x:v>EXT-MONDE-T005</x:v>
      </x:c>
      <x:c r="C237" t="str">
        <x:v>Navires de haute mer</x:v>
      </x:c>
      <x:c r="D237" t="str">
        <x:v>Cargo polyvalent</x:v>
      </x:c>
      <x:c r="E237" t="n">
        <x:v>32</x:v>
      </x:c>
      <x:c r="F237" t="str">
        <x:v>Inspection physique</x:v>
      </x:c>
      <x:c r="G237" t="str">
        <x:v>6 niveaux ; 36 pièces ; 240 segments de mur ; 5 transitions. Inspection physique ; architecture complète encore ouverte.</x:v>
      </x:c>
      <x:c r="H237" t="str">
        <x:v>L 86,6 ; l 15,2 ; hauteur inconnue ; tirant 6,55 ; hauteur émergée auteur 16,25 m ; longueur/largeur/tirant sourcés ; hauteur totale réelle inconnue</x:v>
      </x:c>
      <x:c r="I237" t="str">
        <x:v>À équilibrer</x:v>
      </x:c>
      <x:c r="J237" t="str">
        <x:v>Non</x:v>
      </x:c>
      <x:c r="K237" t="str">
        <x:v>Pièces décrites, murs, portes, niveaux et mobilier inspectables à l’échelle. Volumes réservés, raccord au seed, butin, rencontres et services de campagne restent à terminer.</x:v>
      </x:c>
    </x:row>
    <x:row r="238">
      <x:c r="A238" t="str">
        <x:v>EXT-MONDE-T005-V33</x:v>
      </x:c>
      <x:c r="B238" t="str">
        <x:v>EXT-MONDE-T005</x:v>
      </x:c>
      <x:c r="C238" t="str">
        <x:v>Navires de haute mer</x:v>
      </x:c>
      <x:c r="D238" t="str">
        <x:v>Cargo polyvalent</x:v>
      </x:c>
      <x:c r="E238" t="n">
        <x:v>33</x:v>
      </x:c>
      <x:c r="F238" t="str">
        <x:v>Inspection physique</x:v>
      </x:c>
      <x:c r="G238" t="str">
        <x:v>6 niveaux ; 36 pièces ; 240 segments de mur ; 5 transitions. Inspection physique ; architecture complète encore ouverte.</x:v>
      </x:c>
      <x:c r="H238" t="str">
        <x:v>L 86,6 ; l 15,2 ; hauteur inconnue ; tirant 6,55 ; hauteur émergée auteur 16,25 m ; longueur/largeur/tirant sourcés ; hauteur totale réelle inconnue</x:v>
      </x:c>
      <x:c r="I238" t="str">
        <x:v>À équilibrer</x:v>
      </x:c>
      <x:c r="J238" t="str">
        <x:v>Non</x:v>
      </x:c>
      <x:c r="K238" t="str">
        <x:v>Pièces décrites, murs, portes, niveaux et mobilier inspectables à l’échelle. Volumes réservés, raccord au seed, butin, rencontres et services de campagne restent à terminer.</x:v>
      </x:c>
    </x:row>
    <x:row r="239">
      <x:c r="A239" t="str">
        <x:v>EXT-MONDE-T005-V34</x:v>
      </x:c>
      <x:c r="B239" t="str">
        <x:v>EXT-MONDE-T005</x:v>
      </x:c>
      <x:c r="C239" t="str">
        <x:v>Navires de haute mer</x:v>
      </x:c>
      <x:c r="D239" t="str">
        <x:v>Cargo polyvalent</x:v>
      </x:c>
      <x:c r="E239" t="n">
        <x:v>34</x:v>
      </x:c>
      <x:c r="F239" t="str">
        <x:v>Inspection physique</x:v>
      </x:c>
      <x:c r="G239" t="str">
        <x:v>6 niveaux ; 36 pièces ; 240 segments de mur ; 5 transitions. Inspection physique ; architecture complète encore ouverte.</x:v>
      </x:c>
      <x:c r="H239" t="str">
        <x:v>L 86,6 ; l 15,2 ; hauteur inconnue ; tirant 6,55 ; hauteur émergée auteur 16,25 m ; longueur/largeur/tirant sourcés ; hauteur totale réelle inconnue</x:v>
      </x:c>
      <x:c r="I239" t="str">
        <x:v>À équilibrer</x:v>
      </x:c>
      <x:c r="J239" t="str">
        <x:v>Non</x:v>
      </x:c>
      <x:c r="K239" t="str">
        <x:v>Pièces décrites, murs, portes, niveaux et mobilier inspectables à l’échelle. Volumes réservés, raccord au seed, butin, rencontres et services de campagne restent à terminer.</x:v>
      </x:c>
    </x:row>
    <x:row r="240">
      <x:c r="A240" t="str">
        <x:v>EXT-MONDE-T005-V35</x:v>
      </x:c>
      <x:c r="B240" t="str">
        <x:v>EXT-MONDE-T005</x:v>
      </x:c>
      <x:c r="C240" t="str">
        <x:v>Navires de haute mer</x:v>
      </x:c>
      <x:c r="D240" t="str">
        <x:v>Cargo polyvalent</x:v>
      </x:c>
      <x:c r="E240" t="n">
        <x:v>35</x:v>
      </x:c>
      <x:c r="F240" t="str">
        <x:v>Inspection physique</x:v>
      </x:c>
      <x:c r="G240" t="str">
        <x:v>6 niveaux ; 36 pièces ; 240 segments de mur ; 5 transitions. Inspection physique ; architecture complète encore ouverte.</x:v>
      </x:c>
      <x:c r="H240" t="str">
        <x:v>L 86,6 ; l 15,2 ; hauteur inconnue ; tirant 6,55 ; hauteur émergée auteur 16,25 m ; longueur/largeur/tirant sourcés ; hauteur totale réelle inconnue</x:v>
      </x:c>
      <x:c r="I240" t="str">
        <x:v>À équilibrer</x:v>
      </x:c>
      <x:c r="J240" t="str">
        <x:v>Non</x:v>
      </x:c>
      <x:c r="K240" t="str">
        <x:v>Pièces décrites, murs, portes, niveaux et mobilier inspectables à l’échelle. Volumes réservés, raccord au seed, butin, rencontres et services de campagne restent à terminer.</x:v>
      </x:c>
    </x:row>
    <x:row r="241">
      <x:c r="A241" t="str">
        <x:v>EXT-MONDE-T005-V36</x:v>
      </x:c>
      <x:c r="B241" t="str">
        <x:v>EXT-MONDE-T005</x:v>
      </x:c>
      <x:c r="C241" t="str">
        <x:v>Navires de haute mer</x:v>
      </x:c>
      <x:c r="D241" t="str">
        <x:v>Cargo polyvalent</x:v>
      </x:c>
      <x:c r="E241" t="n">
        <x:v>36</x:v>
      </x:c>
      <x:c r="F241" t="str">
        <x:v>Inspection physique</x:v>
      </x:c>
      <x:c r="G241" t="str">
        <x:v>6 niveaux ; 36 pièces ; 240 segments de mur ; 5 transitions. Inspection physique ; architecture complète encore ouverte.</x:v>
      </x:c>
      <x:c r="H241" t="str">
        <x:v>L 86,6 ; l 15,2 ; hauteur inconnue ; tirant 6,55 ; hauteur émergée auteur 16,25 m ; longueur/largeur/tirant sourcés ; hauteur totale réelle inconnue</x:v>
      </x:c>
      <x:c r="I241" t="str">
        <x:v>À équilibrer</x:v>
      </x:c>
      <x:c r="J241" t="str">
        <x:v>Non</x:v>
      </x:c>
      <x:c r="K241" t="str">
        <x:v>Pièces décrites, murs, portes, niveaux et mobilier inspectables à l’échelle. Volumes réservés, raccord au seed, butin, rencontres et services de campagne restent à terminer.</x:v>
      </x:c>
    </x:row>
    <x:row r="242">
      <x:c r="A242" t="str">
        <x:v>EXT-MONDE-T005-V37</x:v>
      </x:c>
      <x:c r="B242" t="str">
        <x:v>EXT-MONDE-T005</x:v>
      </x:c>
      <x:c r="C242" t="str">
        <x:v>Navires de haute mer</x:v>
      </x:c>
      <x:c r="D242" t="str">
        <x:v>Cargo polyvalent</x:v>
      </x:c>
      <x:c r="E242" t="n">
        <x:v>37</x:v>
      </x:c>
      <x:c r="F242" t="str">
        <x:v>Inspection physique</x:v>
      </x:c>
      <x:c r="G242" t="str">
        <x:v>6 niveaux ; 36 pièces ; 240 segments de mur ; 5 transitions. Inspection physique ; architecture complète encore ouverte.</x:v>
      </x:c>
      <x:c r="H242" t="str">
        <x:v>L 86,6 ; l 15,2 ; hauteur inconnue ; tirant 6,55 ; hauteur émergée auteur 16,25 m ; longueur/largeur/tirant sourcés ; hauteur totale réelle inconnue</x:v>
      </x:c>
      <x:c r="I242" t="str">
        <x:v>À équilibrer</x:v>
      </x:c>
      <x:c r="J242" t="str">
        <x:v>Non</x:v>
      </x:c>
      <x:c r="K242" t="str">
        <x:v>Pièces décrites, murs, portes, niveaux et mobilier inspectables à l’échelle. Volumes réservés, raccord au seed, butin, rencontres et services de campagne restent à terminer.</x:v>
      </x:c>
    </x:row>
    <x:row r="243">
      <x:c r="A243" t="str">
        <x:v>EXT-MONDE-T005-V38</x:v>
      </x:c>
      <x:c r="B243" t="str">
        <x:v>EXT-MONDE-T005</x:v>
      </x:c>
      <x:c r="C243" t="str">
        <x:v>Navires de haute mer</x:v>
      </x:c>
      <x:c r="D243" t="str">
        <x:v>Cargo polyvalent</x:v>
      </x:c>
      <x:c r="E243" t="n">
        <x:v>38</x:v>
      </x:c>
      <x:c r="F243" t="str">
        <x:v>Inspection physique</x:v>
      </x:c>
      <x:c r="G243" t="str">
        <x:v>6 niveaux ; 36 pièces ; 240 segments de mur ; 5 transitions. Inspection physique ; architecture complète encore ouverte.</x:v>
      </x:c>
      <x:c r="H243" t="str">
        <x:v>L 86,6 ; l 15,2 ; hauteur inconnue ; tirant 6,55 ; hauteur émergée auteur 16,25 m ; longueur/largeur/tirant sourcés ; hauteur totale réelle inconnue</x:v>
      </x:c>
      <x:c r="I243" t="str">
        <x:v>À équilibrer</x:v>
      </x:c>
      <x:c r="J243" t="str">
        <x:v>Non</x:v>
      </x:c>
      <x:c r="K243" t="str">
        <x:v>Pièces décrites, murs, portes, niveaux et mobilier inspectables à l’échelle. Volumes réservés, raccord au seed, butin, rencontres et services de campagne restent à terminer.</x:v>
      </x:c>
    </x:row>
    <x:row r="244">
      <x:c r="A244" t="str">
        <x:v>EXT-MONDE-T005-V39</x:v>
      </x:c>
      <x:c r="B244" t="str">
        <x:v>EXT-MONDE-T005</x:v>
      </x:c>
      <x:c r="C244" t="str">
        <x:v>Navires de haute mer</x:v>
      </x:c>
      <x:c r="D244" t="str">
        <x:v>Cargo polyvalent</x:v>
      </x:c>
      <x:c r="E244" t="n">
        <x:v>39</x:v>
      </x:c>
      <x:c r="F244" t="str">
        <x:v>Inspection physique</x:v>
      </x:c>
      <x:c r="G244" t="str">
        <x:v>6 niveaux ; 36 pièces ; 240 segments de mur ; 5 transitions. Inspection physique ; architecture complète encore ouverte.</x:v>
      </x:c>
      <x:c r="H244" t="str">
        <x:v>L 86,6 ; l 15,2 ; hauteur inconnue ; tirant 6,55 ; hauteur émergée auteur 16,25 m ; longueur/largeur/tirant sourcés ; hauteur totale réelle inconnue</x:v>
      </x:c>
      <x:c r="I244" t="str">
        <x:v>À équilibrer</x:v>
      </x:c>
      <x:c r="J244" t="str">
        <x:v>Non</x:v>
      </x:c>
      <x:c r="K244" t="str">
        <x:v>Pièces décrites, murs, portes, niveaux et mobilier inspectables à l’échelle. Volumes réservés, raccord au seed, butin, rencontres et services de campagne restent à terminer.</x:v>
      </x:c>
    </x:row>
    <x:row r="245">
      <x:c r="A245" t="str">
        <x:v>EXT-MONDE-T005-V40</x:v>
      </x:c>
      <x:c r="B245" t="str">
        <x:v>EXT-MONDE-T005</x:v>
      </x:c>
      <x:c r="C245" t="str">
        <x:v>Navires de haute mer</x:v>
      </x:c>
      <x:c r="D245" t="str">
        <x:v>Cargo polyvalent</x:v>
      </x:c>
      <x:c r="E245" t="n">
        <x:v>40</x:v>
      </x:c>
      <x:c r="F245" t="str">
        <x:v>Inspection physique</x:v>
      </x:c>
      <x:c r="G245" t="str">
        <x:v>6 niveaux ; 36 pièces ; 240 segments de mur ; 5 transitions. Inspection physique ; architecture complète encore ouverte.</x:v>
      </x:c>
      <x:c r="H245" t="str">
        <x:v>L 86,6 ; l 15,2 ; hauteur inconnue ; tirant 6,55 ; hauteur émergée auteur 16,25 m ; longueur/largeur/tirant sourcés ; hauteur totale réelle inconnue</x:v>
      </x:c>
      <x:c r="I245" t="str">
        <x:v>À équilibrer</x:v>
      </x:c>
      <x:c r="J245" t="str">
        <x:v>Non</x:v>
      </x:c>
      <x:c r="K245" t="str">
        <x:v>Pièces décrites, murs, portes, niveaux et mobilier inspectables à l’échelle. Volumes réservés, raccord au seed, butin, rencontres et services de campagne restent à terminer.</x:v>
      </x:c>
    </x:row>
    <x:row r="246">
      <x:c r="A246" t="str">
        <x:v>EXT-MONDE-T005-V41</x:v>
      </x:c>
      <x:c r="B246" t="str">
        <x:v>EXT-MONDE-T005</x:v>
      </x:c>
      <x:c r="C246" t="str">
        <x:v>Navires de haute mer</x:v>
      </x:c>
      <x:c r="D246" t="str">
        <x:v>Cargo polyvalent</x:v>
      </x:c>
      <x:c r="E246" t="n">
        <x:v>41</x:v>
      </x:c>
      <x:c r="F246" t="str">
        <x:v>Inspection physique</x:v>
      </x:c>
      <x:c r="G246" t="str">
        <x:v>6 niveaux ; 48 pièces ; 312 segments de mur ; 5 transitions. Inspection physique ; architecture complète encore ouverte.</x:v>
      </x:c>
      <x:c r="H246" t="str">
        <x:v>L 86,6 ; l 15,2 ; hauteur inconnue ; tirant 6,55 ; hauteur émergée auteur 16,25 m ; longueur/largeur/tirant sourcés ; hauteur totale réelle inconnue</x:v>
      </x:c>
      <x:c r="I246" t="str">
        <x:v>À équilibrer</x:v>
      </x:c>
      <x:c r="J246" t="str">
        <x:v>Non</x:v>
      </x:c>
      <x:c r="K246" t="str">
        <x:v>Pièces décrites, murs, portes, niveaux et mobilier inspectables à l’échelle. Volumes réservés, raccord au seed, butin, rencontres et services de campagne restent à terminer.</x:v>
      </x:c>
    </x:row>
    <x:row r="247">
      <x:c r="A247" t="str">
        <x:v>EXT-MONDE-T005-V42</x:v>
      </x:c>
      <x:c r="B247" t="str">
        <x:v>EXT-MONDE-T005</x:v>
      </x:c>
      <x:c r="C247" t="str">
        <x:v>Navires de haute mer</x:v>
      </x:c>
      <x:c r="D247" t="str">
        <x:v>Cargo polyvalent</x:v>
      </x:c>
      <x:c r="E247" t="n">
        <x:v>42</x:v>
      </x:c>
      <x:c r="F247" t="str">
        <x:v>Inspection physique</x:v>
      </x:c>
      <x:c r="G247" t="str">
        <x:v>6 niveaux ; 48 pièces ; 312 segments de mur ; 5 transitions. Inspection physique ; architecture complète encore ouverte.</x:v>
      </x:c>
      <x:c r="H247" t="str">
        <x:v>L 86,6 ; l 15,2 ; hauteur inconnue ; tirant 6,55 ; hauteur émergée auteur 16,25 m ; longueur/largeur/tirant sourcés ; hauteur totale réelle inconnue</x:v>
      </x:c>
      <x:c r="I247" t="str">
        <x:v>À équilibrer</x:v>
      </x:c>
      <x:c r="J247" t="str">
        <x:v>Non</x:v>
      </x:c>
      <x:c r="K247" t="str">
        <x:v>Pièces décrites, murs, portes, niveaux et mobilier inspectables à l’échelle. Volumes réservés, raccord au seed, butin, rencontres et services de campagne restent à terminer.</x:v>
      </x:c>
    </x:row>
    <x:row r="248">
      <x:c r="A248" t="str">
        <x:v>EXT-MONDE-T005-V43</x:v>
      </x:c>
      <x:c r="B248" t="str">
        <x:v>EXT-MONDE-T005</x:v>
      </x:c>
      <x:c r="C248" t="str">
        <x:v>Navires de haute mer</x:v>
      </x:c>
      <x:c r="D248" t="str">
        <x:v>Cargo polyvalent</x:v>
      </x:c>
      <x:c r="E248" t="n">
        <x:v>43</x:v>
      </x:c>
      <x:c r="F248" t="str">
        <x:v>Inspection physique</x:v>
      </x:c>
      <x:c r="G248" t="str">
        <x:v>6 niveaux ; 48 pièces ; 312 segments de mur ; 5 transitions. Inspection physique ; architecture complète encore ouverte.</x:v>
      </x:c>
      <x:c r="H248" t="str">
        <x:v>L 86,6 ; l 15,2 ; hauteur inconnue ; tirant 6,55 ; hauteur émergée auteur 16,25 m ; longueur/largeur/tirant sourcés ; hauteur totale réelle inconnue</x:v>
      </x:c>
      <x:c r="I248" t="str">
        <x:v>À équilibrer</x:v>
      </x:c>
      <x:c r="J248" t="str">
        <x:v>Non</x:v>
      </x:c>
      <x:c r="K248" t="str">
        <x:v>Pièces décrites, murs, portes, niveaux et mobilier inspectables à l’échelle. Volumes réservés, raccord au seed, butin, rencontres et services de campagne restent à terminer.</x:v>
      </x:c>
    </x:row>
    <x:row r="249">
      <x:c r="A249" t="str">
        <x:v>EXT-MONDE-T005-V44</x:v>
      </x:c>
      <x:c r="B249" t="str">
        <x:v>EXT-MONDE-T005</x:v>
      </x:c>
      <x:c r="C249" t="str">
        <x:v>Navires de haute mer</x:v>
      </x:c>
      <x:c r="D249" t="str">
        <x:v>Cargo polyvalent</x:v>
      </x:c>
      <x:c r="E249" t="n">
        <x:v>44</x:v>
      </x:c>
      <x:c r="F249" t="str">
        <x:v>Inspection physique</x:v>
      </x:c>
      <x:c r="G249" t="str">
        <x:v>6 niveaux ; 48 pièces ; 312 segments de mur ; 5 transitions. Inspection physique ; architecture complète encore ouverte.</x:v>
      </x:c>
      <x:c r="H249" t="str">
        <x:v>L 86,6 ; l 15,2 ; hauteur inconnue ; tirant 6,55 ; hauteur émergée auteur 16,25 m ; longueur/largeur/tirant sourcés ; hauteur totale réelle inconnue</x:v>
      </x:c>
      <x:c r="I249" t="str">
        <x:v>À équilibrer</x:v>
      </x:c>
      <x:c r="J249" t="str">
        <x:v>Non</x:v>
      </x:c>
      <x:c r="K249" t="str">
        <x:v>Pièces décrites, murs, portes, niveaux et mobilier inspectables à l’échelle. Volumes réservés, raccord au seed, butin, rencontres et services de campagne restent à terminer.</x:v>
      </x:c>
    </x:row>
    <x:row r="250">
      <x:c r="A250" t="str">
        <x:v>EXT-MONDE-T005-V45</x:v>
      </x:c>
      <x:c r="B250" t="str">
        <x:v>EXT-MONDE-T005</x:v>
      </x:c>
      <x:c r="C250" t="str">
        <x:v>Navires de haute mer</x:v>
      </x:c>
      <x:c r="D250" t="str">
        <x:v>Cargo polyvalent</x:v>
      </x:c>
      <x:c r="E250" t="n">
        <x:v>45</x:v>
      </x:c>
      <x:c r="F250" t="str">
        <x:v>Inspection physique</x:v>
      </x:c>
      <x:c r="G250" t="str">
        <x:v>6 niveaux ; 48 pièces ; 312 segments de mur ; 5 transitions. Inspection physique ; architecture complète encore ouverte.</x:v>
      </x:c>
      <x:c r="H250" t="str">
        <x:v>L 86,6 ; l 15,2 ; hauteur inconnue ; tirant 6,55 ; hauteur émergée auteur 16,25 m ; longueur/largeur/tirant sourcés ; hauteur totale réelle inconnue</x:v>
      </x:c>
      <x:c r="I250" t="str">
        <x:v>À équilibrer</x:v>
      </x:c>
      <x:c r="J250" t="str">
        <x:v>Non</x:v>
      </x:c>
      <x:c r="K250" t="str">
        <x:v>Pièces décrites, murs, portes, niveaux et mobilier inspectables à l’échelle. Volumes réservés, raccord au seed, butin, rencontres et services de campagne restent à terminer.</x:v>
      </x:c>
    </x:row>
    <x:row r="251">
      <x:c r="A251" t="str">
        <x:v>EXT-MONDE-T005-V46</x:v>
      </x:c>
      <x:c r="B251" t="str">
        <x:v>EXT-MONDE-T005</x:v>
      </x:c>
      <x:c r="C251" t="str">
        <x:v>Navires de haute mer</x:v>
      </x:c>
      <x:c r="D251" t="str">
        <x:v>Cargo polyvalent</x:v>
      </x:c>
      <x:c r="E251" t="n">
        <x:v>46</x:v>
      </x:c>
      <x:c r="F251" t="str">
        <x:v>Inspection physique</x:v>
      </x:c>
      <x:c r="G251" t="str">
        <x:v>6 niveaux ; 48 pièces ; 312 segments de mur ; 5 transitions. Inspection physique ; architecture complète encore ouverte.</x:v>
      </x:c>
      <x:c r="H251" t="str">
        <x:v>L 86,6 ; l 15,2 ; hauteur inconnue ; tirant 6,55 ; hauteur émergée auteur 16,25 m ; longueur/largeur/tirant sourcés ; hauteur totale réelle inconnue</x:v>
      </x:c>
      <x:c r="I251" t="str">
        <x:v>À équilibrer</x:v>
      </x:c>
      <x:c r="J251" t="str">
        <x:v>Non</x:v>
      </x:c>
      <x:c r="K251" t="str">
        <x:v>Pièces décrites, murs, portes, niveaux et mobilier inspectables à l’échelle. Volumes réservés, raccord au seed, butin, rencontres et services de campagne restent à terminer.</x:v>
      </x:c>
    </x:row>
    <x:row r="252">
      <x:c r="A252" t="str">
        <x:v>EXT-MONDE-T005-V47</x:v>
      </x:c>
      <x:c r="B252" t="str">
        <x:v>EXT-MONDE-T005</x:v>
      </x:c>
      <x:c r="C252" t="str">
        <x:v>Navires de haute mer</x:v>
      </x:c>
      <x:c r="D252" t="str">
        <x:v>Cargo polyvalent</x:v>
      </x:c>
      <x:c r="E252" t="n">
        <x:v>47</x:v>
      </x:c>
      <x:c r="F252" t="str">
        <x:v>Inspection physique</x:v>
      </x:c>
      <x:c r="G252" t="str">
        <x:v>6 niveaux ; 48 pièces ; 312 segments de mur ; 5 transitions. Inspection physique ; architecture complète encore ouverte.</x:v>
      </x:c>
      <x:c r="H252" t="str">
        <x:v>L 86,6 ; l 15,2 ; hauteur inconnue ; tirant 6,55 ; hauteur émergée auteur 16,25 m ; longueur/largeur/tirant sourcés ; hauteur totale réelle inconnue</x:v>
      </x:c>
      <x:c r="I252" t="str">
        <x:v>À équilibrer</x:v>
      </x:c>
      <x:c r="J252" t="str">
        <x:v>Non</x:v>
      </x:c>
      <x:c r="K252" t="str">
        <x:v>Pièces décrites, murs, portes, niveaux et mobilier inspectables à l’échelle. Volumes réservés, raccord au seed, butin, rencontres et services de campagne restent à terminer.</x:v>
      </x:c>
    </x:row>
    <x:row r="253">
      <x:c r="A253" t="str">
        <x:v>EXT-MONDE-T005-V48</x:v>
      </x:c>
      <x:c r="B253" t="str">
        <x:v>EXT-MONDE-T005</x:v>
      </x:c>
      <x:c r="C253" t="str">
        <x:v>Navires de haute mer</x:v>
      </x:c>
      <x:c r="D253" t="str">
        <x:v>Cargo polyvalent</x:v>
      </x:c>
      <x:c r="E253" t="n">
        <x:v>48</x:v>
      </x:c>
      <x:c r="F253" t="str">
        <x:v>Inspection physique</x:v>
      </x:c>
      <x:c r="G253" t="str">
        <x:v>6 niveaux ; 48 pièces ; 312 segments de mur ; 5 transitions. Inspection physique ; architecture complète encore ouverte.</x:v>
      </x:c>
      <x:c r="H253" t="str">
        <x:v>L 86,6 ; l 15,2 ; hauteur inconnue ; tirant 6,55 ; hauteur émergée auteur 16,25 m ; longueur/largeur/tirant sourcés ; hauteur totale réelle inconnue</x:v>
      </x:c>
      <x:c r="I253" t="str">
        <x:v>À équilibrer</x:v>
      </x:c>
      <x:c r="J253" t="str">
        <x:v>Non</x:v>
      </x:c>
      <x:c r="K253" t="str">
        <x:v>Pièces décrites, murs, portes, niveaux et mobilier inspectables à l’échelle. Volumes réservés, raccord au seed, butin, rencontres et services de campagne restent à terminer.</x:v>
      </x:c>
    </x:row>
    <x:row r="254">
      <x:c r="A254" t="str">
        <x:v>EXT-MONDE-T005-V49</x:v>
      </x:c>
      <x:c r="B254" t="str">
        <x:v>EXT-MONDE-T005</x:v>
      </x:c>
      <x:c r="C254" t="str">
        <x:v>Navires de haute mer</x:v>
      </x:c>
      <x:c r="D254" t="str">
        <x:v>Cargo polyvalent</x:v>
      </x:c>
      <x:c r="E254" t="n">
        <x:v>49</x:v>
      </x:c>
      <x:c r="F254" t="str">
        <x:v>Inspection physique</x:v>
      </x:c>
      <x:c r="G254" t="str">
        <x:v>6 niveaux ; 48 pièces ; 312 segments de mur ; 5 transitions. Inspection physique ; architecture complète encore ouverte.</x:v>
      </x:c>
      <x:c r="H254" t="str">
        <x:v>L 86,6 ; l 15,2 ; hauteur inconnue ; tirant 6,55 ; hauteur émergée auteur 16,25 m ; longueur/largeur/tirant sourcés ; hauteur totale réelle inconnue</x:v>
      </x:c>
      <x:c r="I254" t="str">
        <x:v>À équilibrer</x:v>
      </x:c>
      <x:c r="J254" t="str">
        <x:v>Non</x:v>
      </x:c>
      <x:c r="K254" t="str">
        <x:v>Pièces décrites, murs, portes, niveaux et mobilier inspectables à l’échelle. Volumes réservés, raccord au seed, butin, rencontres et services de campagne restent à terminer.</x:v>
      </x:c>
    </x:row>
    <x:row r="255">
      <x:c r="A255" t="str">
        <x:v>EXT-MONDE-T005-V50</x:v>
      </x:c>
      <x:c r="B255" t="str">
        <x:v>EXT-MONDE-T005</x:v>
      </x:c>
      <x:c r="C255" t="str">
        <x:v>Navires de haute mer</x:v>
      </x:c>
      <x:c r="D255" t="str">
        <x:v>Cargo polyvalent</x:v>
      </x:c>
      <x:c r="E255" t="n">
        <x:v>50</x:v>
      </x:c>
      <x:c r="F255" t="str">
        <x:v>Inspection physique</x:v>
      </x:c>
      <x:c r="G255" t="str">
        <x:v>6 niveaux ; 48 pièces ; 312 segments de mur ; 5 transitions. Inspection physique ; architecture complète encore ouverte.</x:v>
      </x:c>
      <x:c r="H255" t="str">
        <x:v>L 86,6 ; l 15,2 ; hauteur inconnue ; tirant 6,55 ; hauteur émergée auteur 16,25 m ; longueur/largeur/tirant sourcés ; hauteur totale réelle inconnue</x:v>
      </x:c>
      <x:c r="I255" t="str">
        <x:v>À équilibrer</x:v>
      </x:c>
      <x:c r="J255" t="str">
        <x:v>Non</x:v>
      </x:c>
      <x:c r="K255" t="str">
        <x:v>Pièces décrites, murs, portes, niveaux et mobilier inspectables à l’échelle. Volumes réservés, raccord au seed, butin, rencontres et services de campagne restent à terminer.</x:v>
      </x:c>
    </x:row>
    <x:row r="256">
      <x:c r="A256" t="str">
        <x:v>EXT-MONDE-T006-V01</x:v>
      </x:c>
      <x:c r="B256" t="str">
        <x:v>EXT-MONDE-T006</x:v>
      </x:c>
      <x:c r="C256" t="str">
        <x:v>Navires de haute mer</x:v>
      </x:c>
      <x:c r="D256" t="str">
        <x:v>Pétrolier océanique</x:v>
      </x:c>
      <x:c r="E256" t="n">
        <x:v>1</x:v>
      </x:c>
      <x:c r="F256" t="str">
        <x:v>Inspection physique</x:v>
      </x:c>
      <x:c r="G256" t="str">
        <x:v>7 niveaux ; 28 pièces ; 196 segments de mur ; 6 transitions. Inspection physique ; architecture complète encore ouverte.</x:v>
      </x:c>
      <x:c r="H256" t="str">
        <x:v>L 183,06 ; l 32,2 ; hauteur inconnue ; tirant 13,258 ; hauteur émergée auteur 16,742 m ; longueur/largeur/tirant sourcés ; hauteur totale réelle inconnue</x:v>
      </x:c>
      <x:c r="I256" t="str">
        <x:v>À équilibrer</x:v>
      </x:c>
      <x:c r="J256" t="str">
        <x:v>Non</x:v>
      </x:c>
      <x:c r="K256" t="str">
        <x:v>Pièces décrites, murs, portes, niveaux et mobilier inspectables à l’échelle. Volumes réservés, raccord au seed, butin, rencontres et services de campagne restent à terminer.</x:v>
      </x:c>
    </x:row>
    <x:row r="257">
      <x:c r="A257" t="str">
        <x:v>EXT-MONDE-T006-V02</x:v>
      </x:c>
      <x:c r="B257" t="str">
        <x:v>EXT-MONDE-T006</x:v>
      </x:c>
      <x:c r="C257" t="str">
        <x:v>Navires de haute mer</x:v>
      </x:c>
      <x:c r="D257" t="str">
        <x:v>Pétrolier océanique</x:v>
      </x:c>
      <x:c r="E257" t="n">
        <x:v>2</x:v>
      </x:c>
      <x:c r="F257" t="str">
        <x:v>Inspection physique</x:v>
      </x:c>
      <x:c r="G257" t="str">
        <x:v>7 niveaux ; 28 pièces ; 196 segments de mur ; 6 transitions. Inspection physique ; architecture complète encore ouverte.</x:v>
      </x:c>
      <x:c r="H257" t="str">
        <x:v>L 183,06 ; l 32,2 ; hauteur inconnue ; tirant 13,258 ; hauteur émergée auteur 16,742 m ; longueur/largeur/tirant sourcés ; hauteur totale réelle inconnue</x:v>
      </x:c>
      <x:c r="I257" t="str">
        <x:v>À équilibrer</x:v>
      </x:c>
      <x:c r="J257" t="str">
        <x:v>Non</x:v>
      </x:c>
      <x:c r="K257" t="str">
        <x:v>Pièces décrites, murs, portes, niveaux et mobilier inspectables à l’échelle. Volumes réservés, raccord au seed, butin, rencontres et services de campagne restent à terminer.</x:v>
      </x:c>
    </x:row>
    <x:row r="258">
      <x:c r="A258" t="str">
        <x:v>EXT-MONDE-T006-V03</x:v>
      </x:c>
      <x:c r="B258" t="str">
        <x:v>EXT-MONDE-T006</x:v>
      </x:c>
      <x:c r="C258" t="str">
        <x:v>Navires de haute mer</x:v>
      </x:c>
      <x:c r="D258" t="str">
        <x:v>Pétrolier océanique</x:v>
      </x:c>
      <x:c r="E258" t="n">
        <x:v>3</x:v>
      </x:c>
      <x:c r="F258" t="str">
        <x:v>Inspection physique</x:v>
      </x:c>
      <x:c r="G258" t="str">
        <x:v>7 niveaux ; 28 pièces ; 196 segments de mur ; 6 transitions. Inspection physique ; architecture complète encore ouverte.</x:v>
      </x:c>
      <x:c r="H258" t="str">
        <x:v>L 183,06 ; l 32,2 ; hauteur inconnue ; tirant 13,258 ; hauteur émergée auteur 16,742 m ; longueur/largeur/tirant sourcés ; hauteur totale réelle inconnue</x:v>
      </x:c>
      <x:c r="I258" t="str">
        <x:v>À équilibrer</x:v>
      </x:c>
      <x:c r="J258" t="str">
        <x:v>Non</x:v>
      </x:c>
      <x:c r="K258" t="str">
        <x:v>Pièces décrites, murs, portes, niveaux et mobilier inspectables à l’échelle. Volumes réservés, raccord au seed, butin, rencontres et services de campagne restent à terminer.</x:v>
      </x:c>
    </x:row>
    <x:row r="259">
      <x:c r="A259" t="str">
        <x:v>EXT-MONDE-T006-V04</x:v>
      </x:c>
      <x:c r="B259" t="str">
        <x:v>EXT-MONDE-T006</x:v>
      </x:c>
      <x:c r="C259" t="str">
        <x:v>Navires de haute mer</x:v>
      </x:c>
      <x:c r="D259" t="str">
        <x:v>Pétrolier océanique</x:v>
      </x:c>
      <x:c r="E259" t="n">
        <x:v>4</x:v>
      </x:c>
      <x:c r="F259" t="str">
        <x:v>Inspection physique</x:v>
      </x:c>
      <x:c r="G259" t="str">
        <x:v>7 niveaux ; 28 pièces ; 196 segments de mur ; 6 transitions. Inspection physique ; architecture complète encore ouverte.</x:v>
      </x:c>
      <x:c r="H259" t="str">
        <x:v>L 183,06 ; l 32,2 ; hauteur inconnue ; tirant 13,258 ; hauteur émergée auteur 16,742 m ; longueur/largeur/tirant sourcés ; hauteur totale réelle inconnue</x:v>
      </x:c>
      <x:c r="I259" t="str">
        <x:v>À équilibrer</x:v>
      </x:c>
      <x:c r="J259" t="str">
        <x:v>Non</x:v>
      </x:c>
      <x:c r="K259" t="str">
        <x:v>Pièces décrites, murs, portes, niveaux et mobilier inspectables à l’échelle. Volumes réservés, raccord au seed, butin, rencontres et services de campagne restent à terminer.</x:v>
      </x:c>
    </x:row>
    <x:row r="260">
      <x:c r="A260" t="str">
        <x:v>EXT-MONDE-T006-V05</x:v>
      </x:c>
      <x:c r="B260" t="str">
        <x:v>EXT-MONDE-T006</x:v>
      </x:c>
      <x:c r="C260" t="str">
        <x:v>Navires de haute mer</x:v>
      </x:c>
      <x:c r="D260" t="str">
        <x:v>Pétrolier océanique</x:v>
      </x:c>
      <x:c r="E260" t="n">
        <x:v>5</x:v>
      </x:c>
      <x:c r="F260" t="str">
        <x:v>Inspection physique</x:v>
      </x:c>
      <x:c r="G260" t="str">
        <x:v>7 niveaux ; 28 pièces ; 196 segments de mur ; 6 transitions. Inspection physique ; architecture complète encore ouverte.</x:v>
      </x:c>
      <x:c r="H260" t="str">
        <x:v>L 183,06 ; l 32,2 ; hauteur inconnue ; tirant 13,258 ; hauteur émergée auteur 16,742 m ; longueur/largeur/tirant sourcés ; hauteur totale réelle inconnue</x:v>
      </x:c>
      <x:c r="I260" t="str">
        <x:v>À équilibrer</x:v>
      </x:c>
      <x:c r="J260" t="str">
        <x:v>Non</x:v>
      </x:c>
      <x:c r="K260" t="str">
        <x:v>Pièces décrites, murs, portes, niveaux et mobilier inspectables à l’échelle. Volumes réservés, raccord au seed, butin, rencontres et services de campagne restent à terminer.</x:v>
      </x:c>
    </x:row>
    <x:row r="261">
      <x:c r="A261" t="str">
        <x:v>EXT-MONDE-T006-V06</x:v>
      </x:c>
      <x:c r="B261" t="str">
        <x:v>EXT-MONDE-T006</x:v>
      </x:c>
      <x:c r="C261" t="str">
        <x:v>Navires de haute mer</x:v>
      </x:c>
      <x:c r="D261" t="str">
        <x:v>Pétrolier océanique</x:v>
      </x:c>
      <x:c r="E261" t="n">
        <x:v>6</x:v>
      </x:c>
      <x:c r="F261" t="str">
        <x:v>Inspection physique</x:v>
      </x:c>
      <x:c r="G261" t="str">
        <x:v>7 niveaux ; 28 pièces ; 196 segments de mur ; 6 transitions. Inspection physique ; architecture complète encore ouverte.</x:v>
      </x:c>
      <x:c r="H261" t="str">
        <x:v>L 183,06 ; l 32,2 ; hauteur inconnue ; tirant 13,258 ; hauteur émergée auteur 16,742 m ; longueur/largeur/tirant sourcés ; hauteur totale réelle inconnue</x:v>
      </x:c>
      <x:c r="I261" t="str">
        <x:v>À équilibrer</x:v>
      </x:c>
      <x:c r="J261" t="str">
        <x:v>Non</x:v>
      </x:c>
      <x:c r="K261" t="str">
        <x:v>Pièces décrites, murs, portes, niveaux et mobilier inspectables à l’échelle. Volumes réservés, raccord au seed, butin, rencontres et services de campagne restent à terminer.</x:v>
      </x:c>
    </x:row>
    <x:row r="262">
      <x:c r="A262" t="str">
        <x:v>EXT-MONDE-T006-V07</x:v>
      </x:c>
      <x:c r="B262" t="str">
        <x:v>EXT-MONDE-T006</x:v>
      </x:c>
      <x:c r="C262" t="str">
        <x:v>Navires de haute mer</x:v>
      </x:c>
      <x:c r="D262" t="str">
        <x:v>Pétrolier océanique</x:v>
      </x:c>
      <x:c r="E262" t="n">
        <x:v>7</x:v>
      </x:c>
      <x:c r="F262" t="str">
        <x:v>Inspection physique</x:v>
      </x:c>
      <x:c r="G262" t="str">
        <x:v>7 niveaux ; 28 pièces ; 196 segments de mur ; 6 transitions. Inspection physique ; architecture complète encore ouverte.</x:v>
      </x:c>
      <x:c r="H262" t="str">
        <x:v>L 183,06 ; l 32,2 ; hauteur inconnue ; tirant 13,258 ; hauteur émergée auteur 16,742 m ; longueur/largeur/tirant sourcés ; hauteur totale réelle inconnue</x:v>
      </x:c>
      <x:c r="I262" t="str">
        <x:v>À équilibrer</x:v>
      </x:c>
      <x:c r="J262" t="str">
        <x:v>Non</x:v>
      </x:c>
      <x:c r="K262" t="str">
        <x:v>Pièces décrites, murs, portes, niveaux et mobilier inspectables à l’échelle. Volumes réservés, raccord au seed, butin, rencontres et services de campagne restent à terminer.</x:v>
      </x:c>
    </x:row>
    <x:row r="263">
      <x:c r="A263" t="str">
        <x:v>EXT-MONDE-T006-V08</x:v>
      </x:c>
      <x:c r="B263" t="str">
        <x:v>EXT-MONDE-T006</x:v>
      </x:c>
      <x:c r="C263" t="str">
        <x:v>Navires de haute mer</x:v>
      </x:c>
      <x:c r="D263" t="str">
        <x:v>Pétrolier océanique</x:v>
      </x:c>
      <x:c r="E263" t="n">
        <x:v>8</x:v>
      </x:c>
      <x:c r="F263" t="str">
        <x:v>Inspection physique</x:v>
      </x:c>
      <x:c r="G263" t="str">
        <x:v>7 niveaux ; 28 pièces ; 196 segments de mur ; 6 transitions. Inspection physique ; architecture complète encore ouverte.</x:v>
      </x:c>
      <x:c r="H263" t="str">
        <x:v>L 183,06 ; l 32,2 ; hauteur inconnue ; tirant 13,258 ; hauteur émergée auteur 16,742 m ; longueur/largeur/tirant sourcés ; hauteur totale réelle inconnue</x:v>
      </x:c>
      <x:c r="I263" t="str">
        <x:v>À équilibrer</x:v>
      </x:c>
      <x:c r="J263" t="str">
        <x:v>Non</x:v>
      </x:c>
      <x:c r="K263" t="str">
        <x:v>Pièces décrites, murs, portes, niveaux et mobilier inspectables à l’échelle. Volumes réservés, raccord au seed, butin, rencontres et services de campagne restent à terminer.</x:v>
      </x:c>
    </x:row>
    <x:row r="264">
      <x:c r="A264" t="str">
        <x:v>EXT-MONDE-T006-V09</x:v>
      </x:c>
      <x:c r="B264" t="str">
        <x:v>EXT-MONDE-T006</x:v>
      </x:c>
      <x:c r="C264" t="str">
        <x:v>Navires de haute mer</x:v>
      </x:c>
      <x:c r="D264" t="str">
        <x:v>Pétrolier océanique</x:v>
      </x:c>
      <x:c r="E264" t="n">
        <x:v>9</x:v>
      </x:c>
      <x:c r="F264" t="str">
        <x:v>Inspection physique</x:v>
      </x:c>
      <x:c r="G264" t="str">
        <x:v>7 niveaux ; 28 pièces ; 196 segments de mur ; 6 transitions. Inspection physique ; architecture complète encore ouverte.</x:v>
      </x:c>
      <x:c r="H264" t="str">
        <x:v>L 183,06 ; l 32,2 ; hauteur inconnue ; tirant 13,258 ; hauteur émergée auteur 16,742 m ; longueur/largeur/tirant sourcés ; hauteur totale réelle inconnue</x:v>
      </x:c>
      <x:c r="I264" t="str">
        <x:v>À équilibrer</x:v>
      </x:c>
      <x:c r="J264" t="str">
        <x:v>Non</x:v>
      </x:c>
      <x:c r="K264" t="str">
        <x:v>Pièces décrites, murs, portes, niveaux et mobilier inspectables à l’échelle. Volumes réservés, raccord au seed, butin, rencontres et services de campagne restent à terminer.</x:v>
      </x:c>
    </x:row>
    <x:row r="265">
      <x:c r="A265" t="str">
        <x:v>EXT-MONDE-T006-V10</x:v>
      </x:c>
      <x:c r="B265" t="str">
        <x:v>EXT-MONDE-T006</x:v>
      </x:c>
      <x:c r="C265" t="str">
        <x:v>Navires de haute mer</x:v>
      </x:c>
      <x:c r="D265" t="str">
        <x:v>Pétrolier océanique</x:v>
      </x:c>
      <x:c r="E265" t="n">
        <x:v>10</x:v>
      </x:c>
      <x:c r="F265" t="str">
        <x:v>Inspection physique</x:v>
      </x:c>
      <x:c r="G265" t="str">
        <x:v>7 niveaux ; 28 pièces ; 196 segments de mur ; 6 transitions. Inspection physique ; architecture complète encore ouverte.</x:v>
      </x:c>
      <x:c r="H265" t="str">
        <x:v>L 183,06 ; l 32,2 ; hauteur inconnue ; tirant 13,258 ; hauteur émergée auteur 16,742 m ; longueur/largeur/tirant sourcés ; hauteur totale réelle inconnue</x:v>
      </x:c>
      <x:c r="I265" t="str">
        <x:v>À équilibrer</x:v>
      </x:c>
      <x:c r="J265" t="str">
        <x:v>Non</x:v>
      </x:c>
      <x:c r="K265" t="str">
        <x:v>Pièces décrites, murs, portes, niveaux et mobilier inspectables à l’échelle. Volumes réservés, raccord au seed, butin, rencontres et services de campagne restent à terminer.</x:v>
      </x:c>
    </x:row>
    <x:row r="266">
      <x:c r="A266" t="str">
        <x:v>EXT-MONDE-T006-V11</x:v>
      </x:c>
      <x:c r="B266" t="str">
        <x:v>EXT-MONDE-T006</x:v>
      </x:c>
      <x:c r="C266" t="str">
        <x:v>Navires de haute mer</x:v>
      </x:c>
      <x:c r="D266" t="str">
        <x:v>Pétrolier océanique</x:v>
      </x:c>
      <x:c r="E266" t="n">
        <x:v>11</x:v>
      </x:c>
      <x:c r="F266" t="str">
        <x:v>Inspection physique</x:v>
      </x:c>
      <x:c r="G266" t="str">
        <x:v>7 niveaux ; 42 pièces ; 280 segments de mur ; 6 transitions. Inspection physique ; architecture complète encore ouverte.</x:v>
      </x:c>
      <x:c r="H266" t="str">
        <x:v>L 183,06 ; l 32,2 ; hauteur inconnue ; tirant 13,258 ; hauteur émergée auteur 16,742 m ; longueur/largeur/tirant sourcés ; hauteur totale réelle inconnue</x:v>
      </x:c>
      <x:c r="I266" t="str">
        <x:v>À équilibrer</x:v>
      </x:c>
      <x:c r="J266" t="str">
        <x:v>Non</x:v>
      </x:c>
      <x:c r="K266" t="str">
        <x:v>Pièces décrites, murs, portes, niveaux et mobilier inspectables à l’échelle. Volumes réservés, raccord au seed, butin, rencontres et services de campagne restent à terminer.</x:v>
      </x:c>
    </x:row>
    <x:row r="267">
      <x:c r="A267" t="str">
        <x:v>EXT-MONDE-T006-V12</x:v>
      </x:c>
      <x:c r="B267" t="str">
        <x:v>EXT-MONDE-T006</x:v>
      </x:c>
      <x:c r="C267" t="str">
        <x:v>Navires de haute mer</x:v>
      </x:c>
      <x:c r="D267" t="str">
        <x:v>Pétrolier océanique</x:v>
      </x:c>
      <x:c r="E267" t="n">
        <x:v>12</x:v>
      </x:c>
      <x:c r="F267" t="str">
        <x:v>Inspection physique</x:v>
      </x:c>
      <x:c r="G267" t="str">
        <x:v>7 niveaux ; 42 pièces ; 280 segments de mur ; 6 transitions. Inspection physique ; architecture complète encore ouverte.</x:v>
      </x:c>
      <x:c r="H267" t="str">
        <x:v>L 183,06 ; l 32,2 ; hauteur inconnue ; tirant 13,258 ; hauteur émergée auteur 16,742 m ; longueur/largeur/tirant sourcés ; hauteur totale réelle inconnue</x:v>
      </x:c>
      <x:c r="I267" t="str">
        <x:v>À équilibrer</x:v>
      </x:c>
      <x:c r="J267" t="str">
        <x:v>Non</x:v>
      </x:c>
      <x:c r="K267" t="str">
        <x:v>Pièces décrites, murs, portes, niveaux et mobilier inspectables à l’échelle. Volumes réservés, raccord au seed, butin, rencontres et services de campagne restent à terminer.</x:v>
      </x:c>
    </x:row>
    <x:row r="268">
      <x:c r="A268" t="str">
        <x:v>EXT-MONDE-T006-V13</x:v>
      </x:c>
      <x:c r="B268" t="str">
        <x:v>EXT-MONDE-T006</x:v>
      </x:c>
      <x:c r="C268" t="str">
        <x:v>Navires de haute mer</x:v>
      </x:c>
      <x:c r="D268" t="str">
        <x:v>Pétrolier océanique</x:v>
      </x:c>
      <x:c r="E268" t="n">
        <x:v>13</x:v>
      </x:c>
      <x:c r="F268" t="str">
        <x:v>Inspection physique</x:v>
      </x:c>
      <x:c r="G268" t="str">
        <x:v>7 niveaux ; 42 pièces ; 280 segments de mur ; 6 transitions. Inspection physique ; architecture complète encore ouverte.</x:v>
      </x:c>
      <x:c r="H268" t="str">
        <x:v>L 183,06 ; l 32,2 ; hauteur inconnue ; tirant 13,258 ; hauteur émergée auteur 16,742 m ; longueur/largeur/tirant sourcés ; hauteur totale réelle inconnue</x:v>
      </x:c>
      <x:c r="I268" t="str">
        <x:v>À équilibrer</x:v>
      </x:c>
      <x:c r="J268" t="str">
        <x:v>Non</x:v>
      </x:c>
      <x:c r="K268" t="str">
        <x:v>Pièces décrites, murs, portes, niveaux et mobilier inspectables à l’échelle. Volumes réservés, raccord au seed, butin, rencontres et services de campagne restent à terminer.</x:v>
      </x:c>
    </x:row>
    <x:row r="269">
      <x:c r="A269" t="str">
        <x:v>EXT-MONDE-T006-V14</x:v>
      </x:c>
      <x:c r="B269" t="str">
        <x:v>EXT-MONDE-T006</x:v>
      </x:c>
      <x:c r="C269" t="str">
        <x:v>Navires de haute mer</x:v>
      </x:c>
      <x:c r="D269" t="str">
        <x:v>Pétrolier océanique</x:v>
      </x:c>
      <x:c r="E269" t="n">
        <x:v>14</x:v>
      </x:c>
      <x:c r="F269" t="str">
        <x:v>Inspection physique</x:v>
      </x:c>
      <x:c r="G269" t="str">
        <x:v>7 niveaux ; 42 pièces ; 280 segments de mur ; 6 transitions. Inspection physique ; architecture complète encore ouverte.</x:v>
      </x:c>
      <x:c r="H269" t="str">
        <x:v>L 183,06 ; l 32,2 ; hauteur inconnue ; tirant 13,258 ; hauteur émergée auteur 16,742 m ; longueur/largeur/tirant sourcés ; hauteur totale réelle inconnue</x:v>
      </x:c>
      <x:c r="I269" t="str">
        <x:v>À équilibrer</x:v>
      </x:c>
      <x:c r="J269" t="str">
        <x:v>Non</x:v>
      </x:c>
      <x:c r="K269" t="str">
        <x:v>Pièces décrites, murs, portes, niveaux et mobilier inspectables à l’échelle. Volumes réservés, raccord au seed, butin, rencontres et services de campagne restent à terminer.</x:v>
      </x:c>
    </x:row>
    <x:row r="270">
      <x:c r="A270" t="str">
        <x:v>EXT-MONDE-T006-V15</x:v>
      </x:c>
      <x:c r="B270" t="str">
        <x:v>EXT-MONDE-T006</x:v>
      </x:c>
      <x:c r="C270" t="str">
        <x:v>Navires de haute mer</x:v>
      </x:c>
      <x:c r="D270" t="str">
        <x:v>Pétrolier océanique</x:v>
      </x:c>
      <x:c r="E270" t="n">
        <x:v>15</x:v>
      </x:c>
      <x:c r="F270" t="str">
        <x:v>Inspection physique</x:v>
      </x:c>
      <x:c r="G270" t="str">
        <x:v>7 niveaux ; 42 pièces ; 280 segments de mur ; 6 transitions. Inspection physique ; architecture complète encore ouverte.</x:v>
      </x:c>
      <x:c r="H270" t="str">
        <x:v>L 183,06 ; l 32,2 ; hauteur inconnue ; tirant 13,258 ; hauteur émergée auteur 16,742 m ; longueur/largeur/tirant sourcés ; hauteur totale réelle inconnue</x:v>
      </x:c>
      <x:c r="I270" t="str">
        <x:v>À équilibrer</x:v>
      </x:c>
      <x:c r="J270" t="str">
        <x:v>Non</x:v>
      </x:c>
      <x:c r="K270" t="str">
        <x:v>Pièces décrites, murs, portes, niveaux et mobilier inspectables à l’échelle. Volumes réservés, raccord au seed, butin, rencontres et services de campagne restent à terminer.</x:v>
      </x:c>
    </x:row>
    <x:row r="271">
      <x:c r="A271" t="str">
        <x:v>EXT-MONDE-T006-V16</x:v>
      </x:c>
      <x:c r="B271" t="str">
        <x:v>EXT-MONDE-T006</x:v>
      </x:c>
      <x:c r="C271" t="str">
        <x:v>Navires de haute mer</x:v>
      </x:c>
      <x:c r="D271" t="str">
        <x:v>Pétrolier océanique</x:v>
      </x:c>
      <x:c r="E271" t="n">
        <x:v>16</x:v>
      </x:c>
      <x:c r="F271" t="str">
        <x:v>Inspection physique</x:v>
      </x:c>
      <x:c r="G271" t="str">
        <x:v>7 niveaux ; 42 pièces ; 280 segments de mur ; 6 transitions. Inspection physique ; architecture complète encore ouverte.</x:v>
      </x:c>
      <x:c r="H271" t="str">
        <x:v>L 183,06 ; l 32,2 ; hauteur inconnue ; tirant 13,258 ; hauteur émergée auteur 16,742 m ; longueur/largeur/tirant sourcés ; hauteur totale réelle inconnue</x:v>
      </x:c>
      <x:c r="I271" t="str">
        <x:v>À équilibrer</x:v>
      </x:c>
      <x:c r="J271" t="str">
        <x:v>Non</x:v>
      </x:c>
      <x:c r="K271" t="str">
        <x:v>Pièces décrites, murs, portes, niveaux et mobilier inspectables à l’échelle. Volumes réservés, raccord au seed, butin, rencontres et services de campagne restent à terminer.</x:v>
      </x:c>
    </x:row>
    <x:row r="272">
      <x:c r="A272" t="str">
        <x:v>EXT-MONDE-T006-V17</x:v>
      </x:c>
      <x:c r="B272" t="str">
        <x:v>EXT-MONDE-T006</x:v>
      </x:c>
      <x:c r="C272" t="str">
        <x:v>Navires de haute mer</x:v>
      </x:c>
      <x:c r="D272" t="str">
        <x:v>Pétrolier océanique</x:v>
      </x:c>
      <x:c r="E272" t="n">
        <x:v>17</x:v>
      </x:c>
      <x:c r="F272" t="str">
        <x:v>Inspection physique</x:v>
      </x:c>
      <x:c r="G272" t="str">
        <x:v>7 niveaux ; 42 pièces ; 280 segments de mur ; 6 transitions. Inspection physique ; architecture complète encore ouverte.</x:v>
      </x:c>
      <x:c r="H272" t="str">
        <x:v>L 183,06 ; l 32,2 ; hauteur inconnue ; tirant 13,258 ; hauteur émergée auteur 16,742 m ; longueur/largeur/tirant sourcés ; hauteur totale réelle inconnue</x:v>
      </x:c>
      <x:c r="I272" t="str">
        <x:v>À équilibrer</x:v>
      </x:c>
      <x:c r="J272" t="str">
        <x:v>Non</x:v>
      </x:c>
      <x:c r="K272" t="str">
        <x:v>Pièces décrites, murs, portes, niveaux et mobilier inspectables à l’échelle. Volumes réservés, raccord au seed, butin, rencontres et services de campagne restent à terminer.</x:v>
      </x:c>
    </x:row>
    <x:row r="273">
      <x:c r="A273" t="str">
        <x:v>EXT-MONDE-T006-V18</x:v>
      </x:c>
      <x:c r="B273" t="str">
        <x:v>EXT-MONDE-T006</x:v>
      </x:c>
      <x:c r="C273" t="str">
        <x:v>Navires de haute mer</x:v>
      </x:c>
      <x:c r="D273" t="str">
        <x:v>Pétrolier océanique</x:v>
      </x:c>
      <x:c r="E273" t="n">
        <x:v>18</x:v>
      </x:c>
      <x:c r="F273" t="str">
        <x:v>Inspection physique</x:v>
      </x:c>
      <x:c r="G273" t="str">
        <x:v>7 niveaux ; 42 pièces ; 280 segments de mur ; 6 transitions. Inspection physique ; architecture complète encore ouverte.</x:v>
      </x:c>
      <x:c r="H273" t="str">
        <x:v>L 183,06 ; l 32,2 ; hauteur inconnue ; tirant 13,258 ; hauteur émergée auteur 16,742 m ; longueur/largeur/tirant sourcés ; hauteur totale réelle inconnue</x:v>
      </x:c>
      <x:c r="I273" t="str">
        <x:v>À équilibrer</x:v>
      </x:c>
      <x:c r="J273" t="str">
        <x:v>Non</x:v>
      </x:c>
      <x:c r="K273" t="str">
        <x:v>Pièces décrites, murs, portes, niveaux et mobilier inspectables à l’échelle. Volumes réservés, raccord au seed, butin, rencontres et services de campagne restent à terminer.</x:v>
      </x:c>
    </x:row>
    <x:row r="274">
      <x:c r="A274" t="str">
        <x:v>EXT-MONDE-T006-V19</x:v>
      </x:c>
      <x:c r="B274" t="str">
        <x:v>EXT-MONDE-T006</x:v>
      </x:c>
      <x:c r="C274" t="str">
        <x:v>Navires de haute mer</x:v>
      </x:c>
      <x:c r="D274" t="str">
        <x:v>Pétrolier océanique</x:v>
      </x:c>
      <x:c r="E274" t="n">
        <x:v>19</x:v>
      </x:c>
      <x:c r="F274" t="str">
        <x:v>Inspection physique</x:v>
      </x:c>
      <x:c r="G274" t="str">
        <x:v>7 niveaux ; 42 pièces ; 280 segments de mur ; 6 transitions. Inspection physique ; architecture complète encore ouverte.</x:v>
      </x:c>
      <x:c r="H274" t="str">
        <x:v>L 183,06 ; l 32,2 ; hauteur inconnue ; tirant 13,258 ; hauteur émergée auteur 16,742 m ; longueur/largeur/tirant sourcés ; hauteur totale réelle inconnue</x:v>
      </x:c>
      <x:c r="I274" t="str">
        <x:v>À équilibrer</x:v>
      </x:c>
      <x:c r="J274" t="str">
        <x:v>Non</x:v>
      </x:c>
      <x:c r="K274" t="str">
        <x:v>Pièces décrites, murs, portes, niveaux et mobilier inspectables à l’échelle. Volumes réservés, raccord au seed, butin, rencontres et services de campagne restent à terminer.</x:v>
      </x:c>
    </x:row>
    <x:row r="275">
      <x:c r="A275" t="str">
        <x:v>EXT-MONDE-T006-V20</x:v>
      </x:c>
      <x:c r="B275" t="str">
        <x:v>EXT-MONDE-T006</x:v>
      </x:c>
      <x:c r="C275" t="str">
        <x:v>Navires de haute mer</x:v>
      </x:c>
      <x:c r="D275" t="str">
        <x:v>Pétrolier océanique</x:v>
      </x:c>
      <x:c r="E275" t="n">
        <x:v>20</x:v>
      </x:c>
      <x:c r="F275" t="str">
        <x:v>Inspection physique</x:v>
      </x:c>
      <x:c r="G275" t="str">
        <x:v>7 niveaux ; 42 pièces ; 280 segments de mur ; 6 transitions. Inspection physique ; architecture complète encore ouverte.</x:v>
      </x:c>
      <x:c r="H275" t="str">
        <x:v>L 183,06 ; l 32,2 ; hauteur inconnue ; tirant 13,258 ; hauteur émergée auteur 16,742 m ; longueur/largeur/tirant sourcés ; hauteur totale réelle inconnue</x:v>
      </x:c>
      <x:c r="I275" t="str">
        <x:v>À équilibrer</x:v>
      </x:c>
      <x:c r="J275" t="str">
        <x:v>Non</x:v>
      </x:c>
      <x:c r="K275" t="str">
        <x:v>Pièces décrites, murs, portes, niveaux et mobilier inspectables à l’échelle. Volumes réservés, raccord au seed, butin, rencontres et services de campagne restent à terminer.</x:v>
      </x:c>
    </x:row>
    <x:row r="276">
      <x:c r="A276" t="str">
        <x:v>EXT-MONDE-T006-V21</x:v>
      </x:c>
      <x:c r="B276" t="str">
        <x:v>EXT-MONDE-T006</x:v>
      </x:c>
      <x:c r="C276" t="str">
        <x:v>Navires de haute mer</x:v>
      </x:c>
      <x:c r="D276" t="str">
        <x:v>Pétrolier océanique</x:v>
      </x:c>
      <x:c r="E276" t="n">
        <x:v>21</x:v>
      </x:c>
      <x:c r="F276" t="str">
        <x:v>Inspection physique</x:v>
      </x:c>
      <x:c r="G276" t="str">
        <x:v>7 niveaux ; 56 pièces ; 364 segments de mur ; 6 transitions. Inspection physique ; architecture complète encore ouverte.</x:v>
      </x:c>
      <x:c r="H276" t="str">
        <x:v>L 183,06 ; l 32,2 ; hauteur inconnue ; tirant 13,258 ; hauteur émergée auteur 16,742 m ; longueur/largeur/tirant sourcés ; hauteur totale réelle inconnue</x:v>
      </x:c>
      <x:c r="I276" t="str">
        <x:v>À équilibrer</x:v>
      </x:c>
      <x:c r="J276" t="str">
        <x:v>Non</x:v>
      </x:c>
      <x:c r="K276" t="str">
        <x:v>Pièces décrites, murs, portes, niveaux et mobilier inspectables à l’échelle. Volumes réservés, raccord au seed, butin, rencontres et services de campagne restent à terminer.</x:v>
      </x:c>
    </x:row>
    <x:row r="277">
      <x:c r="A277" t="str">
        <x:v>EXT-MONDE-T006-V22</x:v>
      </x:c>
      <x:c r="B277" t="str">
        <x:v>EXT-MONDE-T006</x:v>
      </x:c>
      <x:c r="C277" t="str">
        <x:v>Navires de haute mer</x:v>
      </x:c>
      <x:c r="D277" t="str">
        <x:v>Pétrolier océanique</x:v>
      </x:c>
      <x:c r="E277" t="n">
        <x:v>22</x:v>
      </x:c>
      <x:c r="F277" t="str">
        <x:v>Inspection physique</x:v>
      </x:c>
      <x:c r="G277" t="str">
        <x:v>7 niveaux ; 56 pièces ; 364 segments de mur ; 6 transitions. Inspection physique ; architecture complète encore ouverte.</x:v>
      </x:c>
      <x:c r="H277" t="str">
        <x:v>L 183,06 ; l 32,2 ; hauteur inconnue ; tirant 13,258 ; hauteur émergée auteur 16,742 m ; longueur/largeur/tirant sourcés ; hauteur totale réelle inconnue</x:v>
      </x:c>
      <x:c r="I277" t="str">
        <x:v>À équilibrer</x:v>
      </x:c>
      <x:c r="J277" t="str">
        <x:v>Non</x:v>
      </x:c>
      <x:c r="K277" t="str">
        <x:v>Pièces décrites, murs, portes, niveaux et mobilier inspectables à l’échelle. Volumes réservés, raccord au seed, butin, rencontres et services de campagne restent à terminer.</x:v>
      </x:c>
    </x:row>
    <x:row r="278">
      <x:c r="A278" t="str">
        <x:v>EXT-MONDE-T006-V23</x:v>
      </x:c>
      <x:c r="B278" t="str">
        <x:v>EXT-MONDE-T006</x:v>
      </x:c>
      <x:c r="C278" t="str">
        <x:v>Navires de haute mer</x:v>
      </x:c>
      <x:c r="D278" t="str">
        <x:v>Pétrolier océanique</x:v>
      </x:c>
      <x:c r="E278" t="n">
        <x:v>23</x:v>
      </x:c>
      <x:c r="F278" t="str">
        <x:v>Inspection physique</x:v>
      </x:c>
      <x:c r="G278" t="str">
        <x:v>7 niveaux ; 56 pièces ; 364 segments de mur ; 6 transitions. Inspection physique ; architecture complète encore ouverte.</x:v>
      </x:c>
      <x:c r="H278" t="str">
        <x:v>L 183,06 ; l 32,2 ; hauteur inconnue ; tirant 13,258 ; hauteur émergée auteur 16,742 m ; longueur/largeur/tirant sourcés ; hauteur totale réelle inconnue</x:v>
      </x:c>
      <x:c r="I278" t="str">
        <x:v>À équilibrer</x:v>
      </x:c>
      <x:c r="J278" t="str">
        <x:v>Non</x:v>
      </x:c>
      <x:c r="K278" t="str">
        <x:v>Pièces décrites, murs, portes, niveaux et mobilier inspectables à l’échelle. Volumes réservés, raccord au seed, butin, rencontres et services de campagne restent à terminer.</x:v>
      </x:c>
    </x:row>
    <x:row r="279">
      <x:c r="A279" t="str">
        <x:v>EXT-MONDE-T006-V24</x:v>
      </x:c>
      <x:c r="B279" t="str">
        <x:v>EXT-MONDE-T006</x:v>
      </x:c>
      <x:c r="C279" t="str">
        <x:v>Navires de haute mer</x:v>
      </x:c>
      <x:c r="D279" t="str">
        <x:v>Pétrolier océanique</x:v>
      </x:c>
      <x:c r="E279" t="n">
        <x:v>24</x:v>
      </x:c>
      <x:c r="F279" t="str">
        <x:v>Inspection physique</x:v>
      </x:c>
      <x:c r="G279" t="str">
        <x:v>7 niveaux ; 56 pièces ; 364 segments de mur ; 6 transitions. Inspection physique ; architecture complète encore ouverte.</x:v>
      </x:c>
      <x:c r="H279" t="str">
        <x:v>L 183,06 ; l 32,2 ; hauteur inconnue ; tirant 13,258 ; hauteur émergée auteur 16,742 m ; longueur/largeur/tirant sourcés ; hauteur totale réelle inconnue</x:v>
      </x:c>
      <x:c r="I279" t="str">
        <x:v>À équilibrer</x:v>
      </x:c>
      <x:c r="J279" t="str">
        <x:v>Non</x:v>
      </x:c>
      <x:c r="K279" t="str">
        <x:v>Pièces décrites, murs, portes, niveaux et mobilier inspectables à l’échelle. Volumes réservés, raccord au seed, butin, rencontres et services de campagne restent à terminer.</x:v>
      </x:c>
    </x:row>
    <x:row r="280">
      <x:c r="A280" t="str">
        <x:v>EXT-MONDE-T006-V25</x:v>
      </x:c>
      <x:c r="B280" t="str">
        <x:v>EXT-MONDE-T006</x:v>
      </x:c>
      <x:c r="C280" t="str">
        <x:v>Navires de haute mer</x:v>
      </x:c>
      <x:c r="D280" t="str">
        <x:v>Pétrolier océanique</x:v>
      </x:c>
      <x:c r="E280" t="n">
        <x:v>25</x:v>
      </x:c>
      <x:c r="F280" t="str">
        <x:v>Inspection physique</x:v>
      </x:c>
      <x:c r="G280" t="str">
        <x:v>7 niveaux ; 56 pièces ; 364 segments de mur ; 6 transitions. Inspection physique ; architecture complète encore ouverte.</x:v>
      </x:c>
      <x:c r="H280" t="str">
        <x:v>L 183,06 ; l 32,2 ; hauteur inconnue ; tirant 13,258 ; hauteur émergée auteur 16,742 m ; longueur/largeur/tirant sourcés ; hauteur totale réelle inconnue</x:v>
      </x:c>
      <x:c r="I280" t="str">
        <x:v>À équilibrer</x:v>
      </x:c>
      <x:c r="J280" t="str">
        <x:v>Non</x:v>
      </x:c>
      <x:c r="K280" t="str">
        <x:v>Pièces décrites, murs, portes, niveaux et mobilier inspectables à l’échelle. Volumes réservés, raccord au seed, butin, rencontres et services de campagne restent à terminer.</x:v>
      </x:c>
    </x:row>
    <x:row r="281">
      <x:c r="A281" t="str">
        <x:v>EXT-MONDE-T006-V26</x:v>
      </x:c>
      <x:c r="B281" t="str">
        <x:v>EXT-MONDE-T006</x:v>
      </x:c>
      <x:c r="C281" t="str">
        <x:v>Navires de haute mer</x:v>
      </x:c>
      <x:c r="D281" t="str">
        <x:v>Pétrolier océanique</x:v>
      </x:c>
      <x:c r="E281" t="n">
        <x:v>26</x:v>
      </x:c>
      <x:c r="F281" t="str">
        <x:v>Inspection physique</x:v>
      </x:c>
      <x:c r="G281" t="str">
        <x:v>7 niveaux ; 56 pièces ; 364 segments de mur ; 6 transitions. Inspection physique ; architecture complète encore ouverte.</x:v>
      </x:c>
      <x:c r="H281" t="str">
        <x:v>L 183,06 ; l 32,2 ; hauteur inconnue ; tirant 13,258 ; hauteur émergée auteur 16,742 m ; longueur/largeur/tirant sourcés ; hauteur totale réelle inconnue</x:v>
      </x:c>
      <x:c r="I281" t="str">
        <x:v>À équilibrer</x:v>
      </x:c>
      <x:c r="J281" t="str">
        <x:v>Non</x:v>
      </x:c>
      <x:c r="K281" t="str">
        <x:v>Pièces décrites, murs, portes, niveaux et mobilier inspectables à l’échelle. Volumes réservés, raccord au seed, butin, rencontres et services de campagne restent à terminer.</x:v>
      </x:c>
    </x:row>
    <x:row r="282">
      <x:c r="A282" t="str">
        <x:v>EXT-MONDE-T006-V27</x:v>
      </x:c>
      <x:c r="B282" t="str">
        <x:v>EXT-MONDE-T006</x:v>
      </x:c>
      <x:c r="C282" t="str">
        <x:v>Navires de haute mer</x:v>
      </x:c>
      <x:c r="D282" t="str">
        <x:v>Pétrolier océanique</x:v>
      </x:c>
      <x:c r="E282" t="n">
        <x:v>27</x:v>
      </x:c>
      <x:c r="F282" t="str">
        <x:v>Inspection physique</x:v>
      </x:c>
      <x:c r="G282" t="str">
        <x:v>7 niveaux ; 56 pièces ; 364 segments de mur ; 6 transitions. Inspection physique ; architecture complète encore ouverte.</x:v>
      </x:c>
      <x:c r="H282" t="str">
        <x:v>L 183,06 ; l 32,2 ; hauteur inconnue ; tirant 13,258 ; hauteur émergée auteur 16,742 m ; longueur/largeur/tirant sourcés ; hauteur totale réelle inconnue</x:v>
      </x:c>
      <x:c r="I282" t="str">
        <x:v>À équilibrer</x:v>
      </x:c>
      <x:c r="J282" t="str">
        <x:v>Non</x:v>
      </x:c>
      <x:c r="K282" t="str">
        <x:v>Pièces décrites, murs, portes, niveaux et mobilier inspectables à l’échelle. Volumes réservés, raccord au seed, butin, rencontres et services de campagne restent à terminer.</x:v>
      </x:c>
    </x:row>
    <x:row r="283">
      <x:c r="A283" t="str">
        <x:v>EXT-MONDE-T006-V28</x:v>
      </x:c>
      <x:c r="B283" t="str">
        <x:v>EXT-MONDE-T006</x:v>
      </x:c>
      <x:c r="C283" t="str">
        <x:v>Navires de haute mer</x:v>
      </x:c>
      <x:c r="D283" t="str">
        <x:v>Pétrolier océanique</x:v>
      </x:c>
      <x:c r="E283" t="n">
        <x:v>28</x:v>
      </x:c>
      <x:c r="F283" t="str">
        <x:v>Inspection physique</x:v>
      </x:c>
      <x:c r="G283" t="str">
        <x:v>7 niveaux ; 56 pièces ; 364 segments de mur ; 6 transitions. Inspection physique ; architecture complète encore ouverte.</x:v>
      </x:c>
      <x:c r="H283" t="str">
        <x:v>L 183,06 ; l 32,2 ; hauteur inconnue ; tirant 13,258 ; hauteur émergée auteur 16,742 m ; longueur/largeur/tirant sourcés ; hauteur totale réelle inconnue</x:v>
      </x:c>
      <x:c r="I283" t="str">
        <x:v>À équilibrer</x:v>
      </x:c>
      <x:c r="J283" t="str">
        <x:v>Non</x:v>
      </x:c>
      <x:c r="K283" t="str">
        <x:v>Pièces décrites, murs, portes, niveaux et mobilier inspectables à l’échelle. Volumes réservés, raccord au seed, butin, rencontres et services de campagne restent à terminer.</x:v>
      </x:c>
    </x:row>
    <x:row r="284">
      <x:c r="A284" t="str">
        <x:v>EXT-MONDE-T006-V29</x:v>
      </x:c>
      <x:c r="B284" t="str">
        <x:v>EXT-MONDE-T006</x:v>
      </x:c>
      <x:c r="C284" t="str">
        <x:v>Navires de haute mer</x:v>
      </x:c>
      <x:c r="D284" t="str">
        <x:v>Pétrolier océanique</x:v>
      </x:c>
      <x:c r="E284" t="n">
        <x:v>29</x:v>
      </x:c>
      <x:c r="F284" t="str">
        <x:v>Inspection physique</x:v>
      </x:c>
      <x:c r="G284" t="str">
        <x:v>7 niveaux ; 56 pièces ; 364 segments de mur ; 6 transitions. Inspection physique ; architecture complète encore ouverte.</x:v>
      </x:c>
      <x:c r="H284" t="str">
        <x:v>L 183,06 ; l 32,2 ; hauteur inconnue ; tirant 13,258 ; hauteur émergée auteur 16,742 m ; longueur/largeur/tirant sourcés ; hauteur totale réelle inconnue</x:v>
      </x:c>
      <x:c r="I284" t="str">
        <x:v>À équilibrer</x:v>
      </x:c>
      <x:c r="J284" t="str">
        <x:v>Non</x:v>
      </x:c>
      <x:c r="K284" t="str">
        <x:v>Pièces décrites, murs, portes, niveaux et mobilier inspectables à l’échelle. Volumes réservés, raccord au seed, butin, rencontres et services de campagne restent à terminer.</x:v>
      </x:c>
    </x:row>
    <x:row r="285">
      <x:c r="A285" t="str">
        <x:v>EXT-MONDE-T006-V30</x:v>
      </x:c>
      <x:c r="B285" t="str">
        <x:v>EXT-MONDE-T006</x:v>
      </x:c>
      <x:c r="C285" t="str">
        <x:v>Navires de haute mer</x:v>
      </x:c>
      <x:c r="D285" t="str">
        <x:v>Pétrolier océanique</x:v>
      </x:c>
      <x:c r="E285" t="n">
        <x:v>30</x:v>
      </x:c>
      <x:c r="F285" t="str">
        <x:v>Inspection physique</x:v>
      </x:c>
      <x:c r="G285" t="str">
        <x:v>7 niveaux ; 56 pièces ; 364 segments de mur ; 6 transitions. Inspection physique ; architecture complète encore ouverte.</x:v>
      </x:c>
      <x:c r="H285" t="str">
        <x:v>L 183,06 ; l 32,2 ; hauteur inconnue ; tirant 13,258 ; hauteur émergée auteur 16,742 m ; longueur/largeur/tirant sourcés ; hauteur totale réelle inconnue</x:v>
      </x:c>
      <x:c r="I285" t="str">
        <x:v>À équilibrer</x:v>
      </x:c>
      <x:c r="J285" t="str">
        <x:v>Non</x:v>
      </x:c>
      <x:c r="K285" t="str">
        <x:v>Pièces décrites, murs, portes, niveaux et mobilier inspectables à l’échelle. Volumes réservés, raccord au seed, butin, rencontres et services de campagne restent à terminer.</x:v>
      </x:c>
    </x:row>
    <x:row r="286">
      <x:c r="A286" t="str">
        <x:v>EXT-MONDE-T006-V31</x:v>
      </x:c>
      <x:c r="B286" t="str">
        <x:v>EXT-MONDE-T006</x:v>
      </x:c>
      <x:c r="C286" t="str">
        <x:v>Navires de haute mer</x:v>
      </x:c>
      <x:c r="D286" t="str">
        <x:v>Pétrolier océanique</x:v>
      </x:c>
      <x:c r="E286" t="n">
        <x:v>31</x:v>
      </x:c>
      <x:c r="F286" t="str">
        <x:v>Inspection physique</x:v>
      </x:c>
      <x:c r="G286" t="str">
        <x:v>7 niveaux ; 70 pièces ; 448 segments de mur ; 6 transitions. Inspection physique ; architecture complète encore ouverte.</x:v>
      </x:c>
      <x:c r="H286" t="str">
        <x:v>L 183,06 ; l 32,2 ; hauteur inconnue ; tirant 13,258 ; hauteur émergée auteur 16,742 m ; longueur/largeur/tirant sourcés ; hauteur totale réelle inconnue</x:v>
      </x:c>
      <x:c r="I286" t="str">
        <x:v>À équilibrer</x:v>
      </x:c>
      <x:c r="J286" t="str">
        <x:v>Non</x:v>
      </x:c>
      <x:c r="K286" t="str">
        <x:v>Pièces décrites, murs, portes, niveaux et mobilier inspectables à l’échelle. Volumes réservés, raccord au seed, butin, rencontres et services de campagne restent à terminer.</x:v>
      </x:c>
    </x:row>
    <x:row r="287">
      <x:c r="A287" t="str">
        <x:v>EXT-MONDE-T006-V32</x:v>
      </x:c>
      <x:c r="B287" t="str">
        <x:v>EXT-MONDE-T006</x:v>
      </x:c>
      <x:c r="C287" t="str">
        <x:v>Navires de haute mer</x:v>
      </x:c>
      <x:c r="D287" t="str">
        <x:v>Pétrolier océanique</x:v>
      </x:c>
      <x:c r="E287" t="n">
        <x:v>32</x:v>
      </x:c>
      <x:c r="F287" t="str">
        <x:v>Inspection physique</x:v>
      </x:c>
      <x:c r="G287" t="str">
        <x:v>7 niveaux ; 70 pièces ; 448 segments de mur ; 6 transitions. Inspection physique ; architecture complète encore ouverte.</x:v>
      </x:c>
      <x:c r="H287" t="str">
        <x:v>L 183,06 ; l 32,2 ; hauteur inconnue ; tirant 13,258 ; hauteur émergée auteur 16,742 m ; longueur/largeur/tirant sourcés ; hauteur totale réelle inconnue</x:v>
      </x:c>
      <x:c r="I287" t="str">
        <x:v>À équilibrer</x:v>
      </x:c>
      <x:c r="J287" t="str">
        <x:v>Non</x:v>
      </x:c>
      <x:c r="K287" t="str">
        <x:v>Pièces décrites, murs, portes, niveaux et mobilier inspectables à l’échelle. Volumes réservés, raccord au seed, butin, rencontres et services de campagne restent à terminer.</x:v>
      </x:c>
    </x:row>
    <x:row r="288">
      <x:c r="A288" t="str">
        <x:v>EXT-MONDE-T006-V33</x:v>
      </x:c>
      <x:c r="B288" t="str">
        <x:v>EXT-MONDE-T006</x:v>
      </x:c>
      <x:c r="C288" t="str">
        <x:v>Navires de haute mer</x:v>
      </x:c>
      <x:c r="D288" t="str">
        <x:v>Pétrolier océanique</x:v>
      </x:c>
      <x:c r="E288" t="n">
        <x:v>33</x:v>
      </x:c>
      <x:c r="F288" t="str">
        <x:v>Inspection physique</x:v>
      </x:c>
      <x:c r="G288" t="str">
        <x:v>7 niveaux ; 70 pièces ; 448 segments de mur ; 6 transitions. Inspection physique ; architecture complète encore ouverte.</x:v>
      </x:c>
      <x:c r="H288" t="str">
        <x:v>L 183,06 ; l 32,2 ; hauteur inconnue ; tirant 13,258 ; hauteur émergée auteur 16,742 m ; longueur/largeur/tirant sourcés ; hauteur totale réelle inconnue</x:v>
      </x:c>
      <x:c r="I288" t="str">
        <x:v>À équilibrer</x:v>
      </x:c>
      <x:c r="J288" t="str">
        <x:v>Non</x:v>
      </x:c>
      <x:c r="K288" t="str">
        <x:v>Pièces décrites, murs, portes, niveaux et mobilier inspectables à l’échelle. Volumes réservés, raccord au seed, butin, rencontres et services de campagne restent à terminer.</x:v>
      </x:c>
    </x:row>
    <x:row r="289">
      <x:c r="A289" t="str">
        <x:v>EXT-MONDE-T006-V34</x:v>
      </x:c>
      <x:c r="B289" t="str">
        <x:v>EXT-MONDE-T006</x:v>
      </x:c>
      <x:c r="C289" t="str">
        <x:v>Navires de haute mer</x:v>
      </x:c>
      <x:c r="D289" t="str">
        <x:v>Pétrolier océanique</x:v>
      </x:c>
      <x:c r="E289" t="n">
        <x:v>34</x:v>
      </x:c>
      <x:c r="F289" t="str">
        <x:v>Inspection physique</x:v>
      </x:c>
      <x:c r="G289" t="str">
        <x:v>7 niveaux ; 70 pièces ; 448 segments de mur ; 6 transitions. Inspection physique ; architecture complète encore ouverte.</x:v>
      </x:c>
      <x:c r="H289" t="str">
        <x:v>L 183,06 ; l 32,2 ; hauteur inconnue ; tirant 13,258 ; hauteur émergée auteur 16,742 m ; longueur/largeur/tirant sourcés ; hauteur totale réelle inconnue</x:v>
      </x:c>
      <x:c r="I289" t="str">
        <x:v>À équilibrer</x:v>
      </x:c>
      <x:c r="J289" t="str">
        <x:v>Non</x:v>
      </x:c>
      <x:c r="K289" t="str">
        <x:v>Pièces décrites, murs, portes, niveaux et mobilier inspectables à l’échelle. Volumes réservés, raccord au seed, butin, rencontres et services de campagne restent à terminer.</x:v>
      </x:c>
    </x:row>
    <x:row r="290">
      <x:c r="A290" t="str">
        <x:v>EXT-MONDE-T006-V35</x:v>
      </x:c>
      <x:c r="B290" t="str">
        <x:v>EXT-MONDE-T006</x:v>
      </x:c>
      <x:c r="C290" t="str">
        <x:v>Navires de haute mer</x:v>
      </x:c>
      <x:c r="D290" t="str">
        <x:v>Pétrolier océanique</x:v>
      </x:c>
      <x:c r="E290" t="n">
        <x:v>35</x:v>
      </x:c>
      <x:c r="F290" t="str">
        <x:v>Inspection physique</x:v>
      </x:c>
      <x:c r="G290" t="str">
        <x:v>7 niveaux ; 70 pièces ; 448 segments de mur ; 6 transitions. Inspection physique ; architecture complète encore ouverte.</x:v>
      </x:c>
      <x:c r="H290" t="str">
        <x:v>L 183,06 ; l 32,2 ; hauteur inconnue ; tirant 13,258 ; hauteur émergée auteur 16,742 m ; longueur/largeur/tirant sourcés ; hauteur totale réelle inconnue</x:v>
      </x:c>
      <x:c r="I290" t="str">
        <x:v>À équilibrer</x:v>
      </x:c>
      <x:c r="J290" t="str">
        <x:v>Non</x:v>
      </x:c>
      <x:c r="K290" t="str">
        <x:v>Pièces décrites, murs, portes, niveaux et mobilier inspectables à l’échelle. Volumes réservés, raccord au seed, butin, rencontres et services de campagne restent à terminer.</x:v>
      </x:c>
    </x:row>
    <x:row r="291">
      <x:c r="A291" t="str">
        <x:v>EXT-MONDE-T006-V36</x:v>
      </x:c>
      <x:c r="B291" t="str">
        <x:v>EXT-MONDE-T006</x:v>
      </x:c>
      <x:c r="C291" t="str">
        <x:v>Navires de haute mer</x:v>
      </x:c>
      <x:c r="D291" t="str">
        <x:v>Pétrolier océanique</x:v>
      </x:c>
      <x:c r="E291" t="n">
        <x:v>36</x:v>
      </x:c>
      <x:c r="F291" t="str">
        <x:v>Inspection physique</x:v>
      </x:c>
      <x:c r="G291" t="str">
        <x:v>7 niveaux ; 70 pièces ; 448 segments de mur ; 6 transitions. Inspection physique ; architecture complète encore ouverte.</x:v>
      </x:c>
      <x:c r="H291" t="str">
        <x:v>L 183,06 ; l 32,2 ; hauteur inconnue ; tirant 13,258 ; hauteur émergée auteur 16,742 m ; longueur/largeur/tirant sourcés ; hauteur totale réelle inconnue</x:v>
      </x:c>
      <x:c r="I291" t="str">
        <x:v>À équilibrer</x:v>
      </x:c>
      <x:c r="J291" t="str">
        <x:v>Non</x:v>
      </x:c>
      <x:c r="K291" t="str">
        <x:v>Pièces décrites, murs, portes, niveaux et mobilier inspectables à l’échelle. Volumes réservés, raccord au seed, butin, rencontres et services de campagne restent à terminer.</x:v>
      </x:c>
    </x:row>
    <x:row r="292">
      <x:c r="A292" t="str">
        <x:v>EXT-MONDE-T006-V37</x:v>
      </x:c>
      <x:c r="B292" t="str">
        <x:v>EXT-MONDE-T006</x:v>
      </x:c>
      <x:c r="C292" t="str">
        <x:v>Navires de haute mer</x:v>
      </x:c>
      <x:c r="D292" t="str">
        <x:v>Pétrolier océanique</x:v>
      </x:c>
      <x:c r="E292" t="n">
        <x:v>37</x:v>
      </x:c>
      <x:c r="F292" t="str">
        <x:v>Inspection physique</x:v>
      </x:c>
      <x:c r="G292" t="str">
        <x:v>7 niveaux ; 70 pièces ; 448 segments de mur ; 6 transitions. Inspection physique ; architecture complète encore ouverte.</x:v>
      </x:c>
      <x:c r="H292" t="str">
        <x:v>L 183,06 ; l 32,2 ; hauteur inconnue ; tirant 13,258 ; hauteur émergée auteur 16,742 m ; longueur/largeur/tirant sourcés ; hauteur totale réelle inconnue</x:v>
      </x:c>
      <x:c r="I292" t="str">
        <x:v>À équilibrer</x:v>
      </x:c>
      <x:c r="J292" t="str">
        <x:v>Non</x:v>
      </x:c>
      <x:c r="K292" t="str">
        <x:v>Pièces décrites, murs, portes, niveaux et mobilier inspectables à l’échelle. Volumes réservés, raccord au seed, butin, rencontres et services de campagne restent à terminer.</x:v>
      </x:c>
    </x:row>
    <x:row r="293">
      <x:c r="A293" t="str">
        <x:v>EXT-MONDE-T006-V38</x:v>
      </x:c>
      <x:c r="B293" t="str">
        <x:v>EXT-MONDE-T006</x:v>
      </x:c>
      <x:c r="C293" t="str">
        <x:v>Navires de haute mer</x:v>
      </x:c>
      <x:c r="D293" t="str">
        <x:v>Pétrolier océanique</x:v>
      </x:c>
      <x:c r="E293" t="n">
        <x:v>38</x:v>
      </x:c>
      <x:c r="F293" t="str">
        <x:v>Inspection physique</x:v>
      </x:c>
      <x:c r="G293" t="str">
        <x:v>7 niveaux ; 70 pièces ; 448 segments de mur ; 6 transitions. Inspection physique ; architecture complète encore ouverte.</x:v>
      </x:c>
      <x:c r="H293" t="str">
        <x:v>L 183,06 ; l 32,2 ; hauteur inconnue ; tirant 13,258 ; hauteur émergée auteur 16,742 m ; longueur/largeur/tirant sourcés ; hauteur totale réelle inconnue</x:v>
      </x:c>
      <x:c r="I293" t="str">
        <x:v>À équilibrer</x:v>
      </x:c>
      <x:c r="J293" t="str">
        <x:v>Non</x:v>
      </x:c>
      <x:c r="K293" t="str">
        <x:v>Pièces décrites, murs, portes, niveaux et mobilier inspectables à l’échelle. Volumes réservés, raccord au seed, butin, rencontres et services de campagne restent à terminer.</x:v>
      </x:c>
    </x:row>
    <x:row r="294">
      <x:c r="A294" t="str">
        <x:v>EXT-MONDE-T006-V39</x:v>
      </x:c>
      <x:c r="B294" t="str">
        <x:v>EXT-MONDE-T006</x:v>
      </x:c>
      <x:c r="C294" t="str">
        <x:v>Navires de haute mer</x:v>
      </x:c>
      <x:c r="D294" t="str">
        <x:v>Pétrolier océanique</x:v>
      </x:c>
      <x:c r="E294" t="n">
        <x:v>39</x:v>
      </x:c>
      <x:c r="F294" t="str">
        <x:v>Inspection physique</x:v>
      </x:c>
      <x:c r="G294" t="str">
        <x:v>7 niveaux ; 70 pièces ; 448 segments de mur ; 6 transitions. Inspection physique ; architecture complète encore ouverte.</x:v>
      </x:c>
      <x:c r="H294" t="str">
        <x:v>L 183,06 ; l 32,2 ; hauteur inconnue ; tirant 13,258 ; hauteur émergée auteur 16,742 m ; longueur/largeur/tirant sourcés ; hauteur totale réelle inconnue</x:v>
      </x:c>
      <x:c r="I294" t="str">
        <x:v>À équilibrer</x:v>
      </x:c>
      <x:c r="J294" t="str">
        <x:v>Non</x:v>
      </x:c>
      <x:c r="K294" t="str">
        <x:v>Pièces décrites, murs, portes, niveaux et mobilier inspectables à l’échelle. Volumes réservés, raccord au seed, butin, rencontres et services de campagne restent à terminer.</x:v>
      </x:c>
    </x:row>
    <x:row r="295">
      <x:c r="A295" t="str">
        <x:v>EXT-MONDE-T006-V40</x:v>
      </x:c>
      <x:c r="B295" t="str">
        <x:v>EXT-MONDE-T006</x:v>
      </x:c>
      <x:c r="C295" t="str">
        <x:v>Navires de haute mer</x:v>
      </x:c>
      <x:c r="D295" t="str">
        <x:v>Pétrolier océanique</x:v>
      </x:c>
      <x:c r="E295" t="n">
        <x:v>40</x:v>
      </x:c>
      <x:c r="F295" t="str">
        <x:v>Inspection physique</x:v>
      </x:c>
      <x:c r="G295" t="str">
        <x:v>7 niveaux ; 70 pièces ; 448 segments de mur ; 6 transitions. Inspection physique ; architecture complète encore ouverte.</x:v>
      </x:c>
      <x:c r="H295" t="str">
        <x:v>L 183,06 ; l 32,2 ; hauteur inconnue ; tirant 13,258 ; hauteur émergée auteur 16,742 m ; longueur/largeur/tirant sourcés ; hauteur totale réelle inconnue</x:v>
      </x:c>
      <x:c r="I295" t="str">
        <x:v>À équilibrer</x:v>
      </x:c>
      <x:c r="J295" t="str">
        <x:v>Non</x:v>
      </x:c>
      <x:c r="K295" t="str">
        <x:v>Pièces décrites, murs, portes, niveaux et mobilier inspectables à l’échelle. Volumes réservés, raccord au seed, butin, rencontres et services de campagne restent à terminer.</x:v>
      </x:c>
    </x:row>
    <x:row r="296">
      <x:c r="A296" t="str">
        <x:v>EXT-MONDE-T006-V41</x:v>
      </x:c>
      <x:c r="B296" t="str">
        <x:v>EXT-MONDE-T006</x:v>
      </x:c>
      <x:c r="C296" t="str">
        <x:v>Navires de haute mer</x:v>
      </x:c>
      <x:c r="D296" t="str">
        <x:v>Pétrolier océanique</x:v>
      </x:c>
      <x:c r="E296" t="n">
        <x:v>41</x:v>
      </x:c>
      <x:c r="F296" t="str">
        <x:v>Inspection physique</x:v>
      </x:c>
      <x:c r="G296" t="str">
        <x:v>7 niveaux ; 84 pièces ; 532 segments de mur ; 6 transitions. Inspection physique ; architecture complète encore ouverte.</x:v>
      </x:c>
      <x:c r="H296" t="str">
        <x:v>L 183,06 ; l 32,2 ; hauteur inconnue ; tirant 13,258 ; hauteur émergée auteur 16,742 m ; longueur/largeur/tirant sourcés ; hauteur totale réelle inconnue</x:v>
      </x:c>
      <x:c r="I296" t="str">
        <x:v>À équilibrer</x:v>
      </x:c>
      <x:c r="J296" t="str">
        <x:v>Non</x:v>
      </x:c>
      <x:c r="K296" t="str">
        <x:v>Pièces décrites, murs, portes, niveaux et mobilier inspectables à l’échelle. Volumes réservés, raccord au seed, butin, rencontres et services de campagne restent à terminer.</x:v>
      </x:c>
    </x:row>
    <x:row r="297">
      <x:c r="A297" t="str">
        <x:v>EXT-MONDE-T006-V42</x:v>
      </x:c>
      <x:c r="B297" t="str">
        <x:v>EXT-MONDE-T006</x:v>
      </x:c>
      <x:c r="C297" t="str">
        <x:v>Navires de haute mer</x:v>
      </x:c>
      <x:c r="D297" t="str">
        <x:v>Pétrolier océanique</x:v>
      </x:c>
      <x:c r="E297" t="n">
        <x:v>42</x:v>
      </x:c>
      <x:c r="F297" t="str">
        <x:v>Inspection physique</x:v>
      </x:c>
      <x:c r="G297" t="str">
        <x:v>7 niveaux ; 84 pièces ; 532 segments de mur ; 6 transitions. Inspection physique ; architecture complète encore ouverte.</x:v>
      </x:c>
      <x:c r="H297" t="str">
        <x:v>L 183,06 ; l 32,2 ; hauteur inconnue ; tirant 13,258 ; hauteur émergée auteur 16,742 m ; longueur/largeur/tirant sourcés ; hauteur totale réelle inconnue</x:v>
      </x:c>
      <x:c r="I297" t="str">
        <x:v>À équilibrer</x:v>
      </x:c>
      <x:c r="J297" t="str">
        <x:v>Non</x:v>
      </x:c>
      <x:c r="K297" t="str">
        <x:v>Pièces décrites, murs, portes, niveaux et mobilier inspectables à l’échelle. Volumes réservés, raccord au seed, butin, rencontres et services de campagne restent à terminer.</x:v>
      </x:c>
    </x:row>
    <x:row r="298">
      <x:c r="A298" t="str">
        <x:v>EXT-MONDE-T006-V43</x:v>
      </x:c>
      <x:c r="B298" t="str">
        <x:v>EXT-MONDE-T006</x:v>
      </x:c>
      <x:c r="C298" t="str">
        <x:v>Navires de haute mer</x:v>
      </x:c>
      <x:c r="D298" t="str">
        <x:v>Pétrolier océanique</x:v>
      </x:c>
      <x:c r="E298" t="n">
        <x:v>43</x:v>
      </x:c>
      <x:c r="F298" t="str">
        <x:v>Inspection physique</x:v>
      </x:c>
      <x:c r="G298" t="str">
        <x:v>7 niveaux ; 84 pièces ; 532 segments de mur ; 6 transitions. Inspection physique ; architecture complète encore ouverte.</x:v>
      </x:c>
      <x:c r="H298" t="str">
        <x:v>L 183,06 ; l 32,2 ; hauteur inconnue ; tirant 13,258 ; hauteur émergée auteur 16,742 m ; longueur/largeur/tirant sourcés ; hauteur totale réelle inconnue</x:v>
      </x:c>
      <x:c r="I298" t="str">
        <x:v>À équilibrer</x:v>
      </x:c>
      <x:c r="J298" t="str">
        <x:v>Non</x:v>
      </x:c>
      <x:c r="K298" t="str">
        <x:v>Pièces décrites, murs, portes, niveaux et mobilier inspectables à l’échelle. Volumes réservés, raccord au seed, butin, rencontres et services de campagne restent à terminer.</x:v>
      </x:c>
    </x:row>
    <x:row r="299">
      <x:c r="A299" t="str">
        <x:v>EXT-MONDE-T006-V44</x:v>
      </x:c>
      <x:c r="B299" t="str">
        <x:v>EXT-MONDE-T006</x:v>
      </x:c>
      <x:c r="C299" t="str">
        <x:v>Navires de haute mer</x:v>
      </x:c>
      <x:c r="D299" t="str">
        <x:v>Pétrolier océanique</x:v>
      </x:c>
      <x:c r="E299" t="n">
        <x:v>44</x:v>
      </x:c>
      <x:c r="F299" t="str">
        <x:v>Inspection physique</x:v>
      </x:c>
      <x:c r="G299" t="str">
        <x:v>7 niveaux ; 84 pièces ; 532 segments de mur ; 6 transitions. Inspection physique ; architecture complète encore ouverte.</x:v>
      </x:c>
      <x:c r="H299" t="str">
        <x:v>L 183,06 ; l 32,2 ; hauteur inconnue ; tirant 13,258 ; hauteur émergée auteur 16,742 m ; longueur/largeur/tirant sourcés ; hauteur totale réelle inconnue</x:v>
      </x:c>
      <x:c r="I299" t="str">
        <x:v>À équilibrer</x:v>
      </x:c>
      <x:c r="J299" t="str">
        <x:v>Non</x:v>
      </x:c>
      <x:c r="K299" t="str">
        <x:v>Pièces décrites, murs, portes, niveaux et mobilier inspectables à l’échelle. Volumes réservés, raccord au seed, butin, rencontres et services de campagne restent à terminer.</x:v>
      </x:c>
    </x:row>
    <x:row r="300">
      <x:c r="A300" t="str">
        <x:v>EXT-MONDE-T006-V45</x:v>
      </x:c>
      <x:c r="B300" t="str">
        <x:v>EXT-MONDE-T006</x:v>
      </x:c>
      <x:c r="C300" t="str">
        <x:v>Navires de haute mer</x:v>
      </x:c>
      <x:c r="D300" t="str">
        <x:v>Pétrolier océanique</x:v>
      </x:c>
      <x:c r="E300" t="n">
        <x:v>45</x:v>
      </x:c>
      <x:c r="F300" t="str">
        <x:v>Inspection physique</x:v>
      </x:c>
      <x:c r="G300" t="str">
        <x:v>7 niveaux ; 84 pièces ; 532 segments de mur ; 6 transitions. Inspection physique ; architecture complète encore ouverte.</x:v>
      </x:c>
      <x:c r="H300" t="str">
        <x:v>L 183,06 ; l 32,2 ; hauteur inconnue ; tirant 13,258 ; hauteur émergée auteur 16,742 m ; longueur/largeur/tirant sourcés ; hauteur totale réelle inconnue</x:v>
      </x:c>
      <x:c r="I300" t="str">
        <x:v>À équilibrer</x:v>
      </x:c>
      <x:c r="J300" t="str">
        <x:v>Non</x:v>
      </x:c>
      <x:c r="K300" t="str">
        <x:v>Pièces décrites, murs, portes, niveaux et mobilier inspectables à l’échelle. Volumes réservés, raccord au seed, butin, rencontres et services de campagne restent à terminer.</x:v>
      </x:c>
    </x:row>
    <x:row r="301">
      <x:c r="A301" t="str">
        <x:v>EXT-MONDE-T006-V46</x:v>
      </x:c>
      <x:c r="B301" t="str">
        <x:v>EXT-MONDE-T006</x:v>
      </x:c>
      <x:c r="C301" t="str">
        <x:v>Navires de haute mer</x:v>
      </x:c>
      <x:c r="D301" t="str">
        <x:v>Pétrolier océanique</x:v>
      </x:c>
      <x:c r="E301" t="n">
        <x:v>46</x:v>
      </x:c>
      <x:c r="F301" t="str">
        <x:v>Inspection physique</x:v>
      </x:c>
      <x:c r="G301" t="str">
        <x:v>7 niveaux ; 84 pièces ; 532 segments de mur ; 6 transitions. Inspection physique ; architecture complète encore ouverte.</x:v>
      </x:c>
      <x:c r="H301" t="str">
        <x:v>L 183,06 ; l 32,2 ; hauteur inconnue ; tirant 13,258 ; hauteur émergée auteur 16,742 m ; longueur/largeur/tirant sourcés ; hauteur totale réelle inconnue</x:v>
      </x:c>
      <x:c r="I301" t="str">
        <x:v>À équilibrer</x:v>
      </x:c>
      <x:c r="J301" t="str">
        <x:v>Non</x:v>
      </x:c>
      <x:c r="K301" t="str">
        <x:v>Pièces décrites, murs, portes, niveaux et mobilier inspectables à l’échelle. Volumes réservés, raccord au seed, butin, rencontres et services de campagne restent à terminer.</x:v>
      </x:c>
    </x:row>
    <x:row r="302">
      <x:c r="A302" t="str">
        <x:v>EXT-MONDE-T006-V47</x:v>
      </x:c>
      <x:c r="B302" t="str">
        <x:v>EXT-MONDE-T006</x:v>
      </x:c>
      <x:c r="C302" t="str">
        <x:v>Navires de haute mer</x:v>
      </x:c>
      <x:c r="D302" t="str">
        <x:v>Pétrolier océanique</x:v>
      </x:c>
      <x:c r="E302" t="n">
        <x:v>47</x:v>
      </x:c>
      <x:c r="F302" t="str">
        <x:v>Inspection physique</x:v>
      </x:c>
      <x:c r="G302" t="str">
        <x:v>7 niveaux ; 84 pièces ; 532 segments de mur ; 6 transitions. Inspection physique ; architecture complète encore ouverte.</x:v>
      </x:c>
      <x:c r="H302" t="str">
        <x:v>L 183,06 ; l 32,2 ; hauteur inconnue ; tirant 13,258 ; hauteur émergée auteur 16,742 m ; longueur/largeur/tirant sourcés ; hauteur totale réelle inconnue</x:v>
      </x:c>
      <x:c r="I302" t="str">
        <x:v>À équilibrer</x:v>
      </x:c>
      <x:c r="J302" t="str">
        <x:v>Non</x:v>
      </x:c>
      <x:c r="K302" t="str">
        <x:v>Pièces décrites, murs, portes, niveaux et mobilier inspectables à l’échelle. Volumes réservés, raccord au seed, butin, rencontres et services de campagne restent à terminer.</x:v>
      </x:c>
    </x:row>
    <x:row r="303">
      <x:c r="A303" t="str">
        <x:v>EXT-MONDE-T006-V48</x:v>
      </x:c>
      <x:c r="B303" t="str">
        <x:v>EXT-MONDE-T006</x:v>
      </x:c>
      <x:c r="C303" t="str">
        <x:v>Navires de haute mer</x:v>
      </x:c>
      <x:c r="D303" t="str">
        <x:v>Pétrolier océanique</x:v>
      </x:c>
      <x:c r="E303" t="n">
        <x:v>48</x:v>
      </x:c>
      <x:c r="F303" t="str">
        <x:v>Inspection physique</x:v>
      </x:c>
      <x:c r="G303" t="str">
        <x:v>7 niveaux ; 84 pièces ; 532 segments de mur ; 6 transitions. Inspection physique ; architecture complète encore ouverte.</x:v>
      </x:c>
      <x:c r="H303" t="str">
        <x:v>L 183,06 ; l 32,2 ; hauteur inconnue ; tirant 13,258 ; hauteur émergée auteur 16,742 m ; longueur/largeur/tirant sourcés ; hauteur totale réelle inconnue</x:v>
      </x:c>
      <x:c r="I303" t="str">
        <x:v>À équilibrer</x:v>
      </x:c>
      <x:c r="J303" t="str">
        <x:v>Non</x:v>
      </x:c>
      <x:c r="K303" t="str">
        <x:v>Pièces décrites, murs, portes, niveaux et mobilier inspectables à l’échelle. Volumes réservés, raccord au seed, butin, rencontres et services de campagne restent à terminer.</x:v>
      </x:c>
    </x:row>
    <x:row r="304">
      <x:c r="A304" t="str">
        <x:v>EXT-MONDE-T006-V49</x:v>
      </x:c>
      <x:c r="B304" t="str">
        <x:v>EXT-MONDE-T006</x:v>
      </x:c>
      <x:c r="C304" t="str">
        <x:v>Navires de haute mer</x:v>
      </x:c>
      <x:c r="D304" t="str">
        <x:v>Pétrolier océanique</x:v>
      </x:c>
      <x:c r="E304" t="n">
        <x:v>49</x:v>
      </x:c>
      <x:c r="F304" t="str">
        <x:v>Inspection physique</x:v>
      </x:c>
      <x:c r="G304" t="str">
        <x:v>7 niveaux ; 84 pièces ; 532 segments de mur ; 6 transitions. Inspection physique ; architecture complète encore ouverte.</x:v>
      </x:c>
      <x:c r="H304" t="str">
        <x:v>L 183,06 ; l 32,2 ; hauteur inconnue ; tirant 13,258 ; hauteur émergée auteur 16,742 m ; longueur/largeur/tirant sourcés ; hauteur totale réelle inconnue</x:v>
      </x:c>
      <x:c r="I304" t="str">
        <x:v>À équilibrer</x:v>
      </x:c>
      <x:c r="J304" t="str">
        <x:v>Non</x:v>
      </x:c>
      <x:c r="K304" t="str">
        <x:v>Pièces décrites, murs, portes, niveaux et mobilier inspectables à l’échelle. Volumes réservés, raccord au seed, butin, rencontres et services de campagne restent à terminer.</x:v>
      </x:c>
    </x:row>
    <x:row r="305">
      <x:c r="A305" t="str">
        <x:v>EXT-MONDE-T006-V50</x:v>
      </x:c>
      <x:c r="B305" t="str">
        <x:v>EXT-MONDE-T006</x:v>
      </x:c>
      <x:c r="C305" t="str">
        <x:v>Navires de haute mer</x:v>
      </x:c>
      <x:c r="D305" t="str">
        <x:v>Pétrolier océanique</x:v>
      </x:c>
      <x:c r="E305" t="n">
        <x:v>50</x:v>
      </x:c>
      <x:c r="F305" t="str">
        <x:v>Inspection physique</x:v>
      </x:c>
      <x:c r="G305" t="str">
        <x:v>7 niveaux ; 84 pièces ; 532 segments de mur ; 6 transitions. Inspection physique ; architecture complète encore ouverte.</x:v>
      </x:c>
      <x:c r="H305" t="str">
        <x:v>L 183,06 ; l 32,2 ; hauteur inconnue ; tirant 13,258 ; hauteur émergée auteur 16,742 m ; longueur/largeur/tirant sourcés ; hauteur totale réelle inconnue</x:v>
      </x:c>
      <x:c r="I305" t="str">
        <x:v>À équilibrer</x:v>
      </x:c>
      <x:c r="J305" t="str">
        <x:v>Non</x:v>
      </x:c>
      <x:c r="K305" t="str">
        <x:v>Pièces décrites, murs, portes, niveaux et mobilier inspectables à l’échelle. Volumes réservés, raccord au seed, butin, rencontres et services de campagne restent à terminer.</x:v>
      </x:c>
    </x:row>
    <x:row r="306">
      <x:c r="A306" t="str">
        <x:v>EXT-MONDE-T007-V01</x:v>
      </x:c>
      <x:c r="B306" t="str">
        <x:v>EXT-MONDE-T007</x:v>
      </x:c>
      <x:c r="C306" t="str">
        <x:v>Navires de haute mer</x:v>
      </x:c>
      <x:c r="D306" t="str">
        <x:v>Croiseur militaire abandonné</x:v>
      </x:c>
      <x:c r="E306" t="n">
        <x:v>1</x:v>
      </x:c>
      <x:c r="F306" t="str">
        <x:v>Inspection physique</x:v>
      </x:c>
      <x:c r="G306" t="str">
        <x:v>4 niveaux ; 16 pièces ; 112 segments de mur ; 3 transitions. Inspection physique ; architecture complète encore ouverte.</x:v>
      </x:c>
      <x:c r="H306" t="str">
        <x:v>L 185,928 ; l 20,117 ; hauteur inconnue ; tirant 7,62 ; hauteur émergée auteur 10,18 m ; longueur/largeur/tirant sourcés ; hauteur totale réelle inconnue</x:v>
      </x:c>
      <x:c r="I306" t="str">
        <x:v>À équilibrer</x:v>
      </x:c>
      <x:c r="J306" t="str">
        <x:v>Non</x:v>
      </x:c>
      <x:c r="K306" t="str">
        <x:v>Pièces décrites, murs, portes, niveaux et mobilier inspectables à l’échelle. Volumes réservés, raccord au seed, butin, rencontres et services de campagne restent à terminer.</x:v>
      </x:c>
    </x:row>
    <x:row r="307">
      <x:c r="A307" t="str">
        <x:v>EXT-MONDE-T007-V02</x:v>
      </x:c>
      <x:c r="B307" t="str">
        <x:v>EXT-MONDE-T007</x:v>
      </x:c>
      <x:c r="C307" t="str">
        <x:v>Navires de haute mer</x:v>
      </x:c>
      <x:c r="D307" t="str">
        <x:v>Croiseur militaire abandonné</x:v>
      </x:c>
      <x:c r="E307" t="n">
        <x:v>2</x:v>
      </x:c>
      <x:c r="F307" t="str">
        <x:v>Inspection physique</x:v>
      </x:c>
      <x:c r="G307" t="str">
        <x:v>4 niveaux ; 16 pièces ; 112 segments de mur ; 3 transitions. Inspection physique ; architecture complète encore ouverte.</x:v>
      </x:c>
      <x:c r="H307" t="str">
        <x:v>L 185,928 ; l 20,117 ; hauteur inconnue ; tirant 7,62 ; hauteur émergée auteur 10,18 m ; longueur/largeur/tirant sourcés ; hauteur totale réelle inconnue</x:v>
      </x:c>
      <x:c r="I307" t="str">
        <x:v>À équilibrer</x:v>
      </x:c>
      <x:c r="J307" t="str">
        <x:v>Non</x:v>
      </x:c>
      <x:c r="K307" t="str">
        <x:v>Pièces décrites, murs, portes, niveaux et mobilier inspectables à l’échelle. Volumes réservés, raccord au seed, butin, rencontres et services de campagne restent à terminer.</x:v>
      </x:c>
    </x:row>
    <x:row r="308">
      <x:c r="A308" t="str">
        <x:v>EXT-MONDE-T007-V03</x:v>
      </x:c>
      <x:c r="B308" t="str">
        <x:v>EXT-MONDE-T007</x:v>
      </x:c>
      <x:c r="C308" t="str">
        <x:v>Navires de haute mer</x:v>
      </x:c>
      <x:c r="D308" t="str">
        <x:v>Croiseur militaire abandonné</x:v>
      </x:c>
      <x:c r="E308" t="n">
        <x:v>3</x:v>
      </x:c>
      <x:c r="F308" t="str">
        <x:v>Inspection physique</x:v>
      </x:c>
      <x:c r="G308" t="str">
        <x:v>4 niveaux ; 16 pièces ; 112 segments de mur ; 3 transitions. Inspection physique ; architecture complète encore ouverte.</x:v>
      </x:c>
      <x:c r="H308" t="str">
        <x:v>L 185,928 ; l 20,117 ; hauteur inconnue ; tirant 7,62 ; hauteur émergée auteur 10,18 m ; longueur/largeur/tirant sourcés ; hauteur totale réelle inconnue</x:v>
      </x:c>
      <x:c r="I308" t="str">
        <x:v>À équilibrer</x:v>
      </x:c>
      <x:c r="J308" t="str">
        <x:v>Non</x:v>
      </x:c>
      <x:c r="K308" t="str">
        <x:v>Pièces décrites, murs, portes, niveaux et mobilier inspectables à l’échelle. Volumes réservés, raccord au seed, butin, rencontres et services de campagne restent à terminer.</x:v>
      </x:c>
    </x:row>
    <x:row r="309">
      <x:c r="A309" t="str">
        <x:v>EXT-MONDE-T007-V04</x:v>
      </x:c>
      <x:c r="B309" t="str">
        <x:v>EXT-MONDE-T007</x:v>
      </x:c>
      <x:c r="C309" t="str">
        <x:v>Navires de haute mer</x:v>
      </x:c>
      <x:c r="D309" t="str">
        <x:v>Croiseur militaire abandonné</x:v>
      </x:c>
      <x:c r="E309" t="n">
        <x:v>4</x:v>
      </x:c>
      <x:c r="F309" t="str">
        <x:v>Inspection physique</x:v>
      </x:c>
      <x:c r="G309" t="str">
        <x:v>4 niveaux ; 16 pièces ; 112 segments de mur ; 3 transitions. Inspection physique ; architecture complète encore ouverte.</x:v>
      </x:c>
      <x:c r="H309" t="str">
        <x:v>L 185,928 ; l 20,117 ; hauteur inconnue ; tirant 7,62 ; hauteur émergée auteur 10,18 m ; longueur/largeur/tirant sourcés ; hauteur totale réelle inconnue</x:v>
      </x:c>
      <x:c r="I309" t="str">
        <x:v>À équilibrer</x:v>
      </x:c>
      <x:c r="J309" t="str">
        <x:v>Non</x:v>
      </x:c>
      <x:c r="K309" t="str">
        <x:v>Pièces décrites, murs, portes, niveaux et mobilier inspectables à l’échelle. Volumes réservés, raccord au seed, butin, rencontres et services de campagne restent à terminer.</x:v>
      </x:c>
    </x:row>
    <x:row r="310">
      <x:c r="A310" t="str">
        <x:v>EXT-MONDE-T007-V05</x:v>
      </x:c>
      <x:c r="B310" t="str">
        <x:v>EXT-MONDE-T007</x:v>
      </x:c>
      <x:c r="C310" t="str">
        <x:v>Navires de haute mer</x:v>
      </x:c>
      <x:c r="D310" t="str">
        <x:v>Croiseur militaire abandonné</x:v>
      </x:c>
      <x:c r="E310" t="n">
        <x:v>5</x:v>
      </x:c>
      <x:c r="F310" t="str">
        <x:v>Inspection physique</x:v>
      </x:c>
      <x:c r="G310" t="str">
        <x:v>4 niveaux ; 16 pièces ; 112 segments de mur ; 3 transitions. Inspection physique ; architecture complète encore ouverte.</x:v>
      </x:c>
      <x:c r="H310" t="str">
        <x:v>L 185,928 ; l 20,117 ; hauteur inconnue ; tirant 7,62 ; hauteur émergée auteur 10,18 m ; longueur/largeur/tirant sourcés ; hauteur totale réelle inconnue</x:v>
      </x:c>
      <x:c r="I310" t="str">
        <x:v>À équilibrer</x:v>
      </x:c>
      <x:c r="J310" t="str">
        <x:v>Non</x:v>
      </x:c>
      <x:c r="K310" t="str">
        <x:v>Pièces décrites, murs, portes, niveaux et mobilier inspectables à l’échelle. Volumes réservés, raccord au seed, butin, rencontres et services de campagne restent à terminer.</x:v>
      </x:c>
    </x:row>
    <x:row r="311">
      <x:c r="A311" t="str">
        <x:v>EXT-MONDE-T007-V06</x:v>
      </x:c>
      <x:c r="B311" t="str">
        <x:v>EXT-MONDE-T007</x:v>
      </x:c>
      <x:c r="C311" t="str">
        <x:v>Navires de haute mer</x:v>
      </x:c>
      <x:c r="D311" t="str">
        <x:v>Croiseur militaire abandonné</x:v>
      </x:c>
      <x:c r="E311" t="n">
        <x:v>6</x:v>
      </x:c>
      <x:c r="F311" t="str">
        <x:v>Inspection physique</x:v>
      </x:c>
      <x:c r="G311" t="str">
        <x:v>4 niveaux ; 16 pièces ; 112 segments de mur ; 3 transitions. Inspection physique ; architecture complète encore ouverte.</x:v>
      </x:c>
      <x:c r="H311" t="str">
        <x:v>L 185,928 ; l 20,117 ; hauteur inconnue ; tirant 7,62 ; hauteur émergée auteur 10,18 m ; longueur/largeur/tirant sourcés ; hauteur totale réelle inconnue</x:v>
      </x:c>
      <x:c r="I311" t="str">
        <x:v>À équilibrer</x:v>
      </x:c>
      <x:c r="J311" t="str">
        <x:v>Non</x:v>
      </x:c>
      <x:c r="K311" t="str">
        <x:v>Pièces décrites, murs, portes, niveaux et mobilier inspectables à l’échelle. Volumes réservés, raccord au seed, butin, rencontres et services de campagne restent à terminer.</x:v>
      </x:c>
    </x:row>
    <x:row r="312">
      <x:c r="A312" t="str">
        <x:v>EXT-MONDE-T007-V07</x:v>
      </x:c>
      <x:c r="B312" t="str">
        <x:v>EXT-MONDE-T007</x:v>
      </x:c>
      <x:c r="C312" t="str">
        <x:v>Navires de haute mer</x:v>
      </x:c>
      <x:c r="D312" t="str">
        <x:v>Croiseur militaire abandonné</x:v>
      </x:c>
      <x:c r="E312" t="n">
        <x:v>7</x:v>
      </x:c>
      <x:c r="F312" t="str">
        <x:v>Inspection physique</x:v>
      </x:c>
      <x:c r="G312" t="str">
        <x:v>4 niveaux ; 16 pièces ; 112 segments de mur ; 3 transitions. Inspection physique ; architecture complète encore ouverte.</x:v>
      </x:c>
      <x:c r="H312" t="str">
        <x:v>L 185,928 ; l 20,117 ; hauteur inconnue ; tirant 7,62 ; hauteur émergée auteur 10,18 m ; longueur/largeur/tirant sourcés ; hauteur totale réelle inconnue</x:v>
      </x:c>
      <x:c r="I312" t="str">
        <x:v>À équilibrer</x:v>
      </x:c>
      <x:c r="J312" t="str">
        <x:v>Non</x:v>
      </x:c>
      <x:c r="K312" t="str">
        <x:v>Pièces décrites, murs, portes, niveaux et mobilier inspectables à l’échelle. Volumes réservés, raccord au seed, butin, rencontres et services de campagne restent à terminer.</x:v>
      </x:c>
    </x:row>
    <x:row r="313">
      <x:c r="A313" t="str">
        <x:v>EXT-MONDE-T007-V08</x:v>
      </x:c>
      <x:c r="B313" t="str">
        <x:v>EXT-MONDE-T007</x:v>
      </x:c>
      <x:c r="C313" t="str">
        <x:v>Navires de haute mer</x:v>
      </x:c>
      <x:c r="D313" t="str">
        <x:v>Croiseur militaire abandonné</x:v>
      </x:c>
      <x:c r="E313" t="n">
        <x:v>8</x:v>
      </x:c>
      <x:c r="F313" t="str">
        <x:v>Inspection physique</x:v>
      </x:c>
      <x:c r="G313" t="str">
        <x:v>4 niveaux ; 16 pièces ; 112 segments de mur ; 3 transitions. Inspection physique ; architecture complète encore ouverte.</x:v>
      </x:c>
      <x:c r="H313" t="str">
        <x:v>L 185,928 ; l 20,117 ; hauteur inconnue ; tirant 7,62 ; hauteur émergée auteur 10,18 m ; longueur/largeur/tirant sourcés ; hauteur totale réelle inconnue</x:v>
      </x:c>
      <x:c r="I313" t="str">
        <x:v>À équilibrer</x:v>
      </x:c>
      <x:c r="J313" t="str">
        <x:v>Non</x:v>
      </x:c>
      <x:c r="K313" t="str">
        <x:v>Pièces décrites, murs, portes, niveaux et mobilier inspectables à l’échelle. Volumes réservés, raccord au seed, butin, rencontres et services de campagne restent à terminer.</x:v>
      </x:c>
    </x:row>
    <x:row r="314">
      <x:c r="A314" t="str">
        <x:v>EXT-MONDE-T007-V09</x:v>
      </x:c>
      <x:c r="B314" t="str">
        <x:v>EXT-MONDE-T007</x:v>
      </x:c>
      <x:c r="C314" t="str">
        <x:v>Navires de haute mer</x:v>
      </x:c>
      <x:c r="D314" t="str">
        <x:v>Croiseur militaire abandonné</x:v>
      </x:c>
      <x:c r="E314" t="n">
        <x:v>9</x:v>
      </x:c>
      <x:c r="F314" t="str">
        <x:v>Inspection physique</x:v>
      </x:c>
      <x:c r="G314" t="str">
        <x:v>4 niveaux ; 16 pièces ; 112 segments de mur ; 3 transitions. Inspection physique ; architecture complète encore ouverte.</x:v>
      </x:c>
      <x:c r="H314" t="str">
        <x:v>L 185,928 ; l 20,117 ; hauteur inconnue ; tirant 7,62 ; hauteur émergée auteur 10,18 m ; longueur/largeur/tirant sourcés ; hauteur totale réelle inconnue</x:v>
      </x:c>
      <x:c r="I314" t="str">
        <x:v>À équilibrer</x:v>
      </x:c>
      <x:c r="J314" t="str">
        <x:v>Non</x:v>
      </x:c>
      <x:c r="K314" t="str">
        <x:v>Pièces décrites, murs, portes, niveaux et mobilier inspectables à l’échelle. Volumes réservés, raccord au seed, butin, rencontres et services de campagne restent à terminer.</x:v>
      </x:c>
    </x:row>
    <x:row r="315">
      <x:c r="A315" t="str">
        <x:v>EXT-MONDE-T007-V10</x:v>
      </x:c>
      <x:c r="B315" t="str">
        <x:v>EXT-MONDE-T007</x:v>
      </x:c>
      <x:c r="C315" t="str">
        <x:v>Navires de haute mer</x:v>
      </x:c>
      <x:c r="D315" t="str">
        <x:v>Croiseur militaire abandonné</x:v>
      </x:c>
      <x:c r="E315" t="n">
        <x:v>10</x:v>
      </x:c>
      <x:c r="F315" t="str">
        <x:v>Inspection physique</x:v>
      </x:c>
      <x:c r="G315" t="str">
        <x:v>4 niveaux ; 16 pièces ; 112 segments de mur ; 3 transitions. Inspection physique ; architecture complète encore ouverte.</x:v>
      </x:c>
      <x:c r="H315" t="str">
        <x:v>L 185,928 ; l 20,117 ; hauteur inconnue ; tirant 7,62 ; hauteur émergée auteur 10,18 m ; longueur/largeur/tirant sourcés ; hauteur totale réelle inconnue</x:v>
      </x:c>
      <x:c r="I315" t="str">
        <x:v>À équilibrer</x:v>
      </x:c>
      <x:c r="J315" t="str">
        <x:v>Non</x:v>
      </x:c>
      <x:c r="K315" t="str">
        <x:v>Pièces décrites, murs, portes, niveaux et mobilier inspectables à l’échelle. Volumes réservés, raccord au seed, butin, rencontres et services de campagne restent à terminer.</x:v>
      </x:c>
    </x:row>
    <x:row r="316">
      <x:c r="A316" t="str">
        <x:v>EXT-MONDE-T007-V11</x:v>
      </x:c>
      <x:c r="B316" t="str">
        <x:v>EXT-MONDE-T007</x:v>
      </x:c>
      <x:c r="C316" t="str">
        <x:v>Navires de haute mer</x:v>
      </x:c>
      <x:c r="D316" t="str">
        <x:v>Croiseur militaire abandonné</x:v>
      </x:c>
      <x:c r="E316" t="n">
        <x:v>11</x:v>
      </x:c>
      <x:c r="F316" t="str">
        <x:v>Inspection physique</x:v>
      </x:c>
      <x:c r="G316" t="str">
        <x:v>4 niveaux ; 24 pièces ; 160 segments de mur ; 3 transitions. Inspection physique ; architecture complète encore ouverte.</x:v>
      </x:c>
      <x:c r="H316" t="str">
        <x:v>L 185,928 ; l 20,117 ; hauteur inconnue ; tirant 7,62 ; hauteur émergée auteur 10,18 m ; longueur/largeur/tirant sourcés ; hauteur totale réelle inconnue</x:v>
      </x:c>
      <x:c r="I316" t="str">
        <x:v>À équilibrer</x:v>
      </x:c>
      <x:c r="J316" t="str">
        <x:v>Non</x:v>
      </x:c>
      <x:c r="K316" t="str">
        <x:v>Pièces décrites, murs, portes, niveaux et mobilier inspectables à l’échelle. Volumes réservés, raccord au seed, butin, rencontres et services de campagne restent à terminer.</x:v>
      </x:c>
    </x:row>
    <x:row r="317">
      <x:c r="A317" t="str">
        <x:v>EXT-MONDE-T007-V12</x:v>
      </x:c>
      <x:c r="B317" t="str">
        <x:v>EXT-MONDE-T007</x:v>
      </x:c>
      <x:c r="C317" t="str">
        <x:v>Navires de haute mer</x:v>
      </x:c>
      <x:c r="D317" t="str">
        <x:v>Croiseur militaire abandonné</x:v>
      </x:c>
      <x:c r="E317" t="n">
        <x:v>12</x:v>
      </x:c>
      <x:c r="F317" t="str">
        <x:v>Inspection physique</x:v>
      </x:c>
      <x:c r="G317" t="str">
        <x:v>4 niveaux ; 24 pièces ; 160 segments de mur ; 3 transitions. Inspection physique ; architecture complète encore ouverte.</x:v>
      </x:c>
      <x:c r="H317" t="str">
        <x:v>L 185,928 ; l 20,117 ; hauteur inconnue ; tirant 7,62 ; hauteur émergée auteur 10,18 m ; longueur/largeur/tirant sourcés ; hauteur totale réelle inconnue</x:v>
      </x:c>
      <x:c r="I317" t="str">
        <x:v>À équilibrer</x:v>
      </x:c>
      <x:c r="J317" t="str">
        <x:v>Non</x:v>
      </x:c>
      <x:c r="K317" t="str">
        <x:v>Pièces décrites, murs, portes, niveaux et mobilier inspectables à l’échelle. Volumes réservés, raccord au seed, butin, rencontres et services de campagne restent à terminer.</x:v>
      </x:c>
    </x:row>
    <x:row r="318">
      <x:c r="A318" t="str">
        <x:v>EXT-MONDE-T007-V13</x:v>
      </x:c>
      <x:c r="B318" t="str">
        <x:v>EXT-MONDE-T007</x:v>
      </x:c>
      <x:c r="C318" t="str">
        <x:v>Navires de haute mer</x:v>
      </x:c>
      <x:c r="D318" t="str">
        <x:v>Croiseur militaire abandonné</x:v>
      </x:c>
      <x:c r="E318" t="n">
        <x:v>13</x:v>
      </x:c>
      <x:c r="F318" t="str">
        <x:v>Inspection physique</x:v>
      </x:c>
      <x:c r="G318" t="str">
        <x:v>4 niveaux ; 24 pièces ; 160 segments de mur ; 3 transitions. Inspection physique ; architecture complète encore ouverte.</x:v>
      </x:c>
      <x:c r="H318" t="str">
        <x:v>L 185,928 ; l 20,117 ; hauteur inconnue ; tirant 7,62 ; hauteur émergée auteur 10,18 m ; longueur/largeur/tirant sourcés ; hauteur totale réelle inconnue</x:v>
      </x:c>
      <x:c r="I318" t="str">
        <x:v>À équilibrer</x:v>
      </x:c>
      <x:c r="J318" t="str">
        <x:v>Non</x:v>
      </x:c>
      <x:c r="K318" t="str">
        <x:v>Pièces décrites, murs, portes, niveaux et mobilier inspectables à l’échelle. Volumes réservés, raccord au seed, butin, rencontres et services de campagne restent à terminer.</x:v>
      </x:c>
    </x:row>
    <x:row r="319">
      <x:c r="A319" t="str">
        <x:v>EXT-MONDE-T007-V14</x:v>
      </x:c>
      <x:c r="B319" t="str">
        <x:v>EXT-MONDE-T007</x:v>
      </x:c>
      <x:c r="C319" t="str">
        <x:v>Navires de haute mer</x:v>
      </x:c>
      <x:c r="D319" t="str">
        <x:v>Croiseur militaire abandonné</x:v>
      </x:c>
      <x:c r="E319" t="n">
        <x:v>14</x:v>
      </x:c>
      <x:c r="F319" t="str">
        <x:v>Inspection physique</x:v>
      </x:c>
      <x:c r="G319" t="str">
        <x:v>4 niveaux ; 24 pièces ; 160 segments de mur ; 3 transitions. Inspection physique ; architecture complète encore ouverte.</x:v>
      </x:c>
      <x:c r="H319" t="str">
        <x:v>L 185,928 ; l 20,117 ; hauteur inconnue ; tirant 7,62 ; hauteur émergée auteur 10,18 m ; longueur/largeur/tirant sourcés ; hauteur totale réelle inconnue</x:v>
      </x:c>
      <x:c r="I319" t="str">
        <x:v>À équilibrer</x:v>
      </x:c>
      <x:c r="J319" t="str">
        <x:v>Non</x:v>
      </x:c>
      <x:c r="K319" t="str">
        <x:v>Pièces décrites, murs, portes, niveaux et mobilier inspectables à l’échelle. Volumes réservés, raccord au seed, butin, rencontres et services de campagne restent à terminer.</x:v>
      </x:c>
    </x:row>
    <x:row r="320">
      <x:c r="A320" t="str">
        <x:v>EXT-MONDE-T007-V15</x:v>
      </x:c>
      <x:c r="B320" t="str">
        <x:v>EXT-MONDE-T007</x:v>
      </x:c>
      <x:c r="C320" t="str">
        <x:v>Navires de haute mer</x:v>
      </x:c>
      <x:c r="D320" t="str">
        <x:v>Croiseur militaire abandonné</x:v>
      </x:c>
      <x:c r="E320" t="n">
        <x:v>15</x:v>
      </x:c>
      <x:c r="F320" t="str">
        <x:v>Inspection physique</x:v>
      </x:c>
      <x:c r="G320" t="str">
        <x:v>4 niveaux ; 24 pièces ; 160 segments de mur ; 3 transitions. Inspection physique ; architecture complète encore ouverte.</x:v>
      </x:c>
      <x:c r="H320" t="str">
        <x:v>L 185,928 ; l 20,117 ; hauteur inconnue ; tirant 7,62 ; hauteur émergée auteur 10,18 m ; longueur/largeur/tirant sourcés ; hauteur totale réelle inconnue</x:v>
      </x:c>
      <x:c r="I320" t="str">
        <x:v>À équilibrer</x:v>
      </x:c>
      <x:c r="J320" t="str">
        <x:v>Non</x:v>
      </x:c>
      <x:c r="K320" t="str">
        <x:v>Pièces décrites, murs, portes, niveaux et mobilier inspectables à l’échelle. Volumes réservés, raccord au seed, butin, rencontres et services de campagne restent à terminer.</x:v>
      </x:c>
    </x:row>
    <x:row r="321">
      <x:c r="A321" t="str">
        <x:v>EXT-MONDE-T007-V16</x:v>
      </x:c>
      <x:c r="B321" t="str">
        <x:v>EXT-MONDE-T007</x:v>
      </x:c>
      <x:c r="C321" t="str">
        <x:v>Navires de haute mer</x:v>
      </x:c>
      <x:c r="D321" t="str">
        <x:v>Croiseur militaire abandonné</x:v>
      </x:c>
      <x:c r="E321" t="n">
        <x:v>16</x:v>
      </x:c>
      <x:c r="F321" t="str">
        <x:v>Inspection physique</x:v>
      </x:c>
      <x:c r="G321" t="str">
        <x:v>4 niveaux ; 24 pièces ; 160 segments de mur ; 3 transitions. Inspection physique ; architecture complète encore ouverte.</x:v>
      </x:c>
      <x:c r="H321" t="str">
        <x:v>L 185,928 ; l 20,117 ; hauteur inconnue ; tirant 7,62 ; hauteur émergée auteur 10,18 m ; longueur/largeur/tirant sourcés ; hauteur totale réelle inconnue</x:v>
      </x:c>
      <x:c r="I321" t="str">
        <x:v>À équilibrer</x:v>
      </x:c>
      <x:c r="J321" t="str">
        <x:v>Non</x:v>
      </x:c>
      <x:c r="K321" t="str">
        <x:v>Pièces décrites, murs, portes, niveaux et mobilier inspectables à l’échelle. Volumes réservés, raccord au seed, butin, rencontres et services de campagne restent à terminer.</x:v>
      </x:c>
    </x:row>
    <x:row r="322">
      <x:c r="A322" t="str">
        <x:v>EXT-MONDE-T007-V17</x:v>
      </x:c>
      <x:c r="B322" t="str">
        <x:v>EXT-MONDE-T007</x:v>
      </x:c>
      <x:c r="C322" t="str">
        <x:v>Navires de haute mer</x:v>
      </x:c>
      <x:c r="D322" t="str">
        <x:v>Croiseur militaire abandonné</x:v>
      </x:c>
      <x:c r="E322" t="n">
        <x:v>17</x:v>
      </x:c>
      <x:c r="F322" t="str">
        <x:v>Inspection physique</x:v>
      </x:c>
      <x:c r="G322" t="str">
        <x:v>4 niveaux ; 24 pièces ; 160 segments de mur ; 3 transitions. Inspection physique ; architecture complète encore ouverte.</x:v>
      </x:c>
      <x:c r="H322" t="str">
        <x:v>L 185,928 ; l 20,117 ; hauteur inconnue ; tirant 7,62 ; hauteur émergée auteur 10,18 m ; longueur/largeur/tirant sourcés ; hauteur totale réelle inconnue</x:v>
      </x:c>
      <x:c r="I322" t="str">
        <x:v>À équilibrer</x:v>
      </x:c>
      <x:c r="J322" t="str">
        <x:v>Non</x:v>
      </x:c>
      <x:c r="K322" t="str">
        <x:v>Pièces décrites, murs, portes, niveaux et mobilier inspectables à l’échelle. Volumes réservés, raccord au seed, butin, rencontres et services de campagne restent à terminer.</x:v>
      </x:c>
    </x:row>
    <x:row r="323">
      <x:c r="A323" t="str">
        <x:v>EXT-MONDE-T007-V18</x:v>
      </x:c>
      <x:c r="B323" t="str">
        <x:v>EXT-MONDE-T007</x:v>
      </x:c>
      <x:c r="C323" t="str">
        <x:v>Navires de haute mer</x:v>
      </x:c>
      <x:c r="D323" t="str">
        <x:v>Croiseur militaire abandonné</x:v>
      </x:c>
      <x:c r="E323" t="n">
        <x:v>18</x:v>
      </x:c>
      <x:c r="F323" t="str">
        <x:v>Inspection physique</x:v>
      </x:c>
      <x:c r="G323" t="str">
        <x:v>4 niveaux ; 24 pièces ; 160 segments de mur ; 3 transitions. Inspection physique ; architecture complète encore ouverte.</x:v>
      </x:c>
      <x:c r="H323" t="str">
        <x:v>L 185,928 ; l 20,117 ; hauteur inconnue ; tirant 7,62 ; hauteur émergée auteur 10,18 m ; longueur/largeur/tirant sourcés ; hauteur totale réelle inconnue</x:v>
      </x:c>
      <x:c r="I323" t="str">
        <x:v>À équilibrer</x:v>
      </x:c>
      <x:c r="J323" t="str">
        <x:v>Non</x:v>
      </x:c>
      <x:c r="K323" t="str">
        <x:v>Pièces décrites, murs, portes, niveaux et mobilier inspectables à l’échelle. Volumes réservés, raccord au seed, butin, rencontres et services de campagne restent à terminer.</x:v>
      </x:c>
    </x:row>
    <x:row r="324">
      <x:c r="A324" t="str">
        <x:v>EXT-MONDE-T007-V19</x:v>
      </x:c>
      <x:c r="B324" t="str">
        <x:v>EXT-MONDE-T007</x:v>
      </x:c>
      <x:c r="C324" t="str">
        <x:v>Navires de haute mer</x:v>
      </x:c>
      <x:c r="D324" t="str">
        <x:v>Croiseur militaire abandonné</x:v>
      </x:c>
      <x:c r="E324" t="n">
        <x:v>19</x:v>
      </x:c>
      <x:c r="F324" t="str">
        <x:v>Inspection physique</x:v>
      </x:c>
      <x:c r="G324" t="str">
        <x:v>4 niveaux ; 24 pièces ; 160 segments de mur ; 3 transitions. Inspection physique ; architecture complète encore ouverte.</x:v>
      </x:c>
      <x:c r="H324" t="str">
        <x:v>L 185,928 ; l 20,117 ; hauteur inconnue ; tirant 7,62 ; hauteur émergée auteur 10,18 m ; longueur/largeur/tirant sourcés ; hauteur totale réelle inconnue</x:v>
      </x:c>
      <x:c r="I324" t="str">
        <x:v>À équilibrer</x:v>
      </x:c>
      <x:c r="J324" t="str">
        <x:v>Non</x:v>
      </x:c>
      <x:c r="K324" t="str">
        <x:v>Pièces décrites, murs, portes, niveaux et mobilier inspectables à l’échelle. Volumes réservés, raccord au seed, butin, rencontres et services de campagne restent à terminer.</x:v>
      </x:c>
    </x:row>
    <x:row r="325">
      <x:c r="A325" t="str">
        <x:v>EXT-MONDE-T007-V20</x:v>
      </x:c>
      <x:c r="B325" t="str">
        <x:v>EXT-MONDE-T007</x:v>
      </x:c>
      <x:c r="C325" t="str">
        <x:v>Navires de haute mer</x:v>
      </x:c>
      <x:c r="D325" t="str">
        <x:v>Croiseur militaire abandonné</x:v>
      </x:c>
      <x:c r="E325" t="n">
        <x:v>20</x:v>
      </x:c>
      <x:c r="F325" t="str">
        <x:v>Inspection physique</x:v>
      </x:c>
      <x:c r="G325" t="str">
        <x:v>4 niveaux ; 24 pièces ; 160 segments de mur ; 3 transitions. Inspection physique ; architecture complète encore ouverte.</x:v>
      </x:c>
      <x:c r="H325" t="str">
        <x:v>L 185,928 ; l 20,117 ; hauteur inconnue ; tirant 7,62 ; hauteur émergée auteur 10,18 m ; longueur/largeur/tirant sourcés ; hauteur totale réelle inconnue</x:v>
      </x:c>
      <x:c r="I325" t="str">
        <x:v>À équilibrer</x:v>
      </x:c>
      <x:c r="J325" t="str">
        <x:v>Non</x:v>
      </x:c>
      <x:c r="K325" t="str">
        <x:v>Pièces décrites, murs, portes, niveaux et mobilier inspectables à l’échelle. Volumes réservés, raccord au seed, butin, rencontres et services de campagne restent à terminer.</x:v>
      </x:c>
    </x:row>
    <x:row r="326">
      <x:c r="A326" t="str">
        <x:v>EXT-MONDE-T007-V21</x:v>
      </x:c>
      <x:c r="B326" t="str">
        <x:v>EXT-MONDE-T007</x:v>
      </x:c>
      <x:c r="C326" t="str">
        <x:v>Navires de haute mer</x:v>
      </x:c>
      <x:c r="D326" t="str">
        <x:v>Croiseur militaire abandonné</x:v>
      </x:c>
      <x:c r="E326" t="n">
        <x:v>21</x:v>
      </x:c>
      <x:c r="F326" t="str">
        <x:v>Inspection physique</x:v>
      </x:c>
      <x:c r="G326" t="str">
        <x:v>4 niveaux ; 32 pièces ; 208 segments de mur ; 3 transitions. Inspection physique ; architecture complète encore ouverte.</x:v>
      </x:c>
      <x:c r="H326" t="str">
        <x:v>L 185,928 ; l 20,117 ; hauteur inconnue ; tirant 7,62 ; hauteur émergée auteur 10,18 m ; longueur/largeur/tirant sourcés ; hauteur totale réelle inconnue</x:v>
      </x:c>
      <x:c r="I326" t="str">
        <x:v>À équilibrer</x:v>
      </x:c>
      <x:c r="J326" t="str">
        <x:v>Non</x:v>
      </x:c>
      <x:c r="K326" t="str">
        <x:v>Pièces décrites, murs, portes, niveaux et mobilier inspectables à l’échelle. Volumes réservés, raccord au seed, butin, rencontres et services de campagne restent à terminer.</x:v>
      </x:c>
    </x:row>
    <x:row r="327">
      <x:c r="A327" t="str">
        <x:v>EXT-MONDE-T007-V22</x:v>
      </x:c>
      <x:c r="B327" t="str">
        <x:v>EXT-MONDE-T007</x:v>
      </x:c>
      <x:c r="C327" t="str">
        <x:v>Navires de haute mer</x:v>
      </x:c>
      <x:c r="D327" t="str">
        <x:v>Croiseur militaire abandonné</x:v>
      </x:c>
      <x:c r="E327" t="n">
        <x:v>22</x:v>
      </x:c>
      <x:c r="F327" t="str">
        <x:v>Inspection physique</x:v>
      </x:c>
      <x:c r="G327" t="str">
        <x:v>4 niveaux ; 32 pièces ; 208 segments de mur ; 3 transitions. Inspection physique ; architecture complète encore ouverte.</x:v>
      </x:c>
      <x:c r="H327" t="str">
        <x:v>L 185,928 ; l 20,117 ; hauteur inconnue ; tirant 7,62 ; hauteur émergée auteur 10,18 m ; longueur/largeur/tirant sourcés ; hauteur totale réelle inconnue</x:v>
      </x:c>
      <x:c r="I327" t="str">
        <x:v>À équilibrer</x:v>
      </x:c>
      <x:c r="J327" t="str">
        <x:v>Non</x:v>
      </x:c>
      <x:c r="K327" t="str">
        <x:v>Pièces décrites, murs, portes, niveaux et mobilier inspectables à l’échelle. Volumes réservés, raccord au seed, butin, rencontres et services de campagne restent à terminer.</x:v>
      </x:c>
    </x:row>
    <x:row r="328">
      <x:c r="A328" t="str">
        <x:v>EXT-MONDE-T007-V23</x:v>
      </x:c>
      <x:c r="B328" t="str">
        <x:v>EXT-MONDE-T007</x:v>
      </x:c>
      <x:c r="C328" t="str">
        <x:v>Navires de haute mer</x:v>
      </x:c>
      <x:c r="D328" t="str">
        <x:v>Croiseur militaire abandonné</x:v>
      </x:c>
      <x:c r="E328" t="n">
        <x:v>23</x:v>
      </x:c>
      <x:c r="F328" t="str">
        <x:v>Inspection physique</x:v>
      </x:c>
      <x:c r="G328" t="str">
        <x:v>4 niveaux ; 32 pièces ; 208 segments de mur ; 3 transitions. Inspection physique ; architecture complète encore ouverte.</x:v>
      </x:c>
      <x:c r="H328" t="str">
        <x:v>L 185,928 ; l 20,117 ; hauteur inconnue ; tirant 7,62 ; hauteur émergée auteur 10,18 m ; longueur/largeur/tirant sourcés ; hauteur totale réelle inconnue</x:v>
      </x:c>
      <x:c r="I328" t="str">
        <x:v>À équilibrer</x:v>
      </x:c>
      <x:c r="J328" t="str">
        <x:v>Non</x:v>
      </x:c>
      <x:c r="K328" t="str">
        <x:v>Pièces décrites, murs, portes, niveaux et mobilier inspectables à l’échelle. Volumes réservés, raccord au seed, butin, rencontres et services de campagne restent à terminer.</x:v>
      </x:c>
    </x:row>
    <x:row r="329">
      <x:c r="A329" t="str">
        <x:v>EXT-MONDE-T007-V24</x:v>
      </x:c>
      <x:c r="B329" t="str">
        <x:v>EXT-MONDE-T007</x:v>
      </x:c>
      <x:c r="C329" t="str">
        <x:v>Navires de haute mer</x:v>
      </x:c>
      <x:c r="D329" t="str">
        <x:v>Croiseur militaire abandonné</x:v>
      </x:c>
      <x:c r="E329" t="n">
        <x:v>24</x:v>
      </x:c>
      <x:c r="F329" t="str">
        <x:v>Inspection physique</x:v>
      </x:c>
      <x:c r="G329" t="str">
        <x:v>4 niveaux ; 32 pièces ; 208 segments de mur ; 3 transitions. Inspection physique ; architecture complète encore ouverte.</x:v>
      </x:c>
      <x:c r="H329" t="str">
        <x:v>L 185,928 ; l 20,117 ; hauteur inconnue ; tirant 7,62 ; hauteur émergée auteur 10,18 m ; longueur/largeur/tirant sourcés ; hauteur totale réelle inconnue</x:v>
      </x:c>
      <x:c r="I329" t="str">
        <x:v>À équilibrer</x:v>
      </x:c>
      <x:c r="J329" t="str">
        <x:v>Non</x:v>
      </x:c>
      <x:c r="K329" t="str">
        <x:v>Pièces décrites, murs, portes, niveaux et mobilier inspectables à l’échelle. Volumes réservés, raccord au seed, butin, rencontres et services de campagne restent à terminer.</x:v>
      </x:c>
    </x:row>
    <x:row r="330">
      <x:c r="A330" t="str">
        <x:v>EXT-MONDE-T007-V25</x:v>
      </x:c>
      <x:c r="B330" t="str">
        <x:v>EXT-MONDE-T007</x:v>
      </x:c>
      <x:c r="C330" t="str">
        <x:v>Navires de haute mer</x:v>
      </x:c>
      <x:c r="D330" t="str">
        <x:v>Croiseur militaire abandonné</x:v>
      </x:c>
      <x:c r="E330" t="n">
        <x:v>25</x:v>
      </x:c>
      <x:c r="F330" t="str">
        <x:v>Inspection physique</x:v>
      </x:c>
      <x:c r="G330" t="str">
        <x:v>4 niveaux ; 32 pièces ; 208 segments de mur ; 3 transitions. Inspection physique ; architecture complète encore ouverte.</x:v>
      </x:c>
      <x:c r="H330" t="str">
        <x:v>L 185,928 ; l 20,117 ; hauteur inconnue ; tirant 7,62 ; hauteur émergée auteur 10,18 m ; longueur/largeur/tirant sourcés ; hauteur totale réelle inconnue</x:v>
      </x:c>
      <x:c r="I330" t="str">
        <x:v>À équilibrer</x:v>
      </x:c>
      <x:c r="J330" t="str">
        <x:v>Non</x:v>
      </x:c>
      <x:c r="K330" t="str">
        <x:v>Pièces décrites, murs, portes, niveaux et mobilier inspectables à l’échelle. Volumes réservés, raccord au seed, butin, rencontres et services de campagne restent à terminer.</x:v>
      </x:c>
    </x:row>
    <x:row r="331">
      <x:c r="A331" t="str">
        <x:v>EXT-MONDE-T007-V26</x:v>
      </x:c>
      <x:c r="B331" t="str">
        <x:v>EXT-MONDE-T007</x:v>
      </x:c>
      <x:c r="C331" t="str">
        <x:v>Navires de haute mer</x:v>
      </x:c>
      <x:c r="D331" t="str">
        <x:v>Croiseur militaire abandonné</x:v>
      </x:c>
      <x:c r="E331" t="n">
        <x:v>26</x:v>
      </x:c>
      <x:c r="F331" t="str">
        <x:v>Inspection physique</x:v>
      </x:c>
      <x:c r="G331" t="str">
        <x:v>4 niveaux ; 32 pièces ; 208 segments de mur ; 3 transitions. Inspection physique ; architecture complète encore ouverte.</x:v>
      </x:c>
      <x:c r="H331" t="str">
        <x:v>L 185,928 ; l 20,117 ; hauteur inconnue ; tirant 7,62 ; hauteur émergée auteur 10,18 m ; longueur/largeur/tirant sourcés ; hauteur totale réelle inconnue</x:v>
      </x:c>
      <x:c r="I331" t="str">
        <x:v>À équilibrer</x:v>
      </x:c>
      <x:c r="J331" t="str">
        <x:v>Non</x:v>
      </x:c>
      <x:c r="K331" t="str">
        <x:v>Pièces décrites, murs, portes, niveaux et mobilier inspectables à l’échelle. Volumes réservés, raccord au seed, butin, rencontres et services de campagne restent à terminer.</x:v>
      </x:c>
    </x:row>
    <x:row r="332">
      <x:c r="A332" t="str">
        <x:v>EXT-MONDE-T007-V27</x:v>
      </x:c>
      <x:c r="B332" t="str">
        <x:v>EXT-MONDE-T007</x:v>
      </x:c>
      <x:c r="C332" t="str">
        <x:v>Navires de haute mer</x:v>
      </x:c>
      <x:c r="D332" t="str">
        <x:v>Croiseur militaire abandonné</x:v>
      </x:c>
      <x:c r="E332" t="n">
        <x:v>27</x:v>
      </x:c>
      <x:c r="F332" t="str">
        <x:v>Inspection physique</x:v>
      </x:c>
      <x:c r="G332" t="str">
        <x:v>4 niveaux ; 32 pièces ; 208 segments de mur ; 3 transitions. Inspection physique ; architecture complète encore ouverte.</x:v>
      </x:c>
      <x:c r="H332" t="str">
        <x:v>L 185,928 ; l 20,117 ; hauteur inconnue ; tirant 7,62 ; hauteur émergée auteur 10,18 m ; longueur/largeur/tirant sourcés ; hauteur totale réelle inconnue</x:v>
      </x:c>
      <x:c r="I332" t="str">
        <x:v>À équilibrer</x:v>
      </x:c>
      <x:c r="J332" t="str">
        <x:v>Non</x:v>
      </x:c>
      <x:c r="K332" t="str">
        <x:v>Pièces décrites, murs, portes, niveaux et mobilier inspectables à l’échelle. Volumes réservés, raccord au seed, butin, rencontres et services de campagne restent à terminer.</x:v>
      </x:c>
    </x:row>
    <x:row r="333">
      <x:c r="A333" t="str">
        <x:v>EXT-MONDE-T007-V28</x:v>
      </x:c>
      <x:c r="B333" t="str">
        <x:v>EXT-MONDE-T007</x:v>
      </x:c>
      <x:c r="C333" t="str">
        <x:v>Navires de haute mer</x:v>
      </x:c>
      <x:c r="D333" t="str">
        <x:v>Croiseur militaire abandonné</x:v>
      </x:c>
      <x:c r="E333" t="n">
        <x:v>28</x:v>
      </x:c>
      <x:c r="F333" t="str">
        <x:v>Inspection physique</x:v>
      </x:c>
      <x:c r="G333" t="str">
        <x:v>4 niveaux ; 32 pièces ; 208 segments de mur ; 3 transitions. Inspection physique ; architecture complète encore ouverte.</x:v>
      </x:c>
      <x:c r="H333" t="str">
        <x:v>L 185,928 ; l 20,117 ; hauteur inconnue ; tirant 7,62 ; hauteur émergée auteur 10,18 m ; longueur/largeur/tirant sourcés ; hauteur totale réelle inconnue</x:v>
      </x:c>
      <x:c r="I333" t="str">
        <x:v>À équilibrer</x:v>
      </x:c>
      <x:c r="J333" t="str">
        <x:v>Non</x:v>
      </x:c>
      <x:c r="K333" t="str">
        <x:v>Pièces décrites, murs, portes, niveaux et mobilier inspectables à l’échelle. Volumes réservés, raccord au seed, butin, rencontres et services de campagne restent à terminer.</x:v>
      </x:c>
    </x:row>
    <x:row r="334">
      <x:c r="A334" t="str">
        <x:v>EXT-MONDE-T007-V29</x:v>
      </x:c>
      <x:c r="B334" t="str">
        <x:v>EXT-MONDE-T007</x:v>
      </x:c>
      <x:c r="C334" t="str">
        <x:v>Navires de haute mer</x:v>
      </x:c>
      <x:c r="D334" t="str">
        <x:v>Croiseur militaire abandonné</x:v>
      </x:c>
      <x:c r="E334" t="n">
        <x:v>29</x:v>
      </x:c>
      <x:c r="F334" t="str">
        <x:v>Inspection physique</x:v>
      </x:c>
      <x:c r="G334" t="str">
        <x:v>4 niveaux ; 32 pièces ; 208 segments de mur ; 3 transitions. Inspection physique ; architecture complète encore ouverte.</x:v>
      </x:c>
      <x:c r="H334" t="str">
        <x:v>L 185,928 ; l 20,117 ; hauteur inconnue ; tirant 7,62 ; hauteur émergée auteur 10,18 m ; longueur/largeur/tirant sourcés ; hauteur totale réelle inconnue</x:v>
      </x:c>
      <x:c r="I334" t="str">
        <x:v>À équilibrer</x:v>
      </x:c>
      <x:c r="J334" t="str">
        <x:v>Non</x:v>
      </x:c>
      <x:c r="K334" t="str">
        <x:v>Pièces décrites, murs, portes, niveaux et mobilier inspectables à l’échelle. Volumes réservés, raccord au seed, butin, rencontres et services de campagne restent à terminer.</x:v>
      </x:c>
    </x:row>
    <x:row r="335">
      <x:c r="A335" t="str">
        <x:v>EXT-MONDE-T007-V30</x:v>
      </x:c>
      <x:c r="B335" t="str">
        <x:v>EXT-MONDE-T007</x:v>
      </x:c>
      <x:c r="C335" t="str">
        <x:v>Navires de haute mer</x:v>
      </x:c>
      <x:c r="D335" t="str">
        <x:v>Croiseur militaire abandonné</x:v>
      </x:c>
      <x:c r="E335" t="n">
        <x:v>30</x:v>
      </x:c>
      <x:c r="F335" t="str">
        <x:v>Inspection physique</x:v>
      </x:c>
      <x:c r="G335" t="str">
        <x:v>4 niveaux ; 32 pièces ; 208 segments de mur ; 3 transitions. Inspection physique ; architecture complète encore ouverte.</x:v>
      </x:c>
      <x:c r="H335" t="str">
        <x:v>L 185,928 ; l 20,117 ; hauteur inconnue ; tirant 7,62 ; hauteur émergée auteur 10,18 m ; longueur/largeur/tirant sourcés ; hauteur totale réelle inconnue</x:v>
      </x:c>
      <x:c r="I335" t="str">
        <x:v>À équilibrer</x:v>
      </x:c>
      <x:c r="J335" t="str">
        <x:v>Non</x:v>
      </x:c>
      <x:c r="K335" t="str">
        <x:v>Pièces décrites, murs, portes, niveaux et mobilier inspectables à l’échelle. Volumes réservés, raccord au seed, butin, rencontres et services de campagne restent à terminer.</x:v>
      </x:c>
    </x:row>
    <x:row r="336">
      <x:c r="A336" t="str">
        <x:v>EXT-MONDE-T007-V31</x:v>
      </x:c>
      <x:c r="B336" t="str">
        <x:v>EXT-MONDE-T007</x:v>
      </x:c>
      <x:c r="C336" t="str">
        <x:v>Navires de haute mer</x:v>
      </x:c>
      <x:c r="D336" t="str">
        <x:v>Croiseur militaire abandonné</x:v>
      </x:c>
      <x:c r="E336" t="n">
        <x:v>31</x:v>
      </x:c>
      <x:c r="F336" t="str">
        <x:v>Inspection physique</x:v>
      </x:c>
      <x:c r="G336" t="str">
        <x:v>4 niveaux ; 40 pièces ; 256 segments de mur ; 3 transitions. Inspection physique ; architecture complète encore ouverte.</x:v>
      </x:c>
      <x:c r="H336" t="str">
        <x:v>L 185,928 ; l 20,117 ; hauteur inconnue ; tirant 7,62 ; hauteur émergée auteur 10,18 m ; longueur/largeur/tirant sourcés ; hauteur totale réelle inconnue</x:v>
      </x:c>
      <x:c r="I336" t="str">
        <x:v>À équilibrer</x:v>
      </x:c>
      <x:c r="J336" t="str">
        <x:v>Non</x:v>
      </x:c>
      <x:c r="K336" t="str">
        <x:v>Pièces décrites, murs, portes, niveaux et mobilier inspectables à l’échelle. Volumes réservés, raccord au seed, butin, rencontres et services de campagne restent à terminer.</x:v>
      </x:c>
    </x:row>
    <x:row r="337">
      <x:c r="A337" t="str">
        <x:v>EXT-MONDE-T007-V32</x:v>
      </x:c>
      <x:c r="B337" t="str">
        <x:v>EXT-MONDE-T007</x:v>
      </x:c>
      <x:c r="C337" t="str">
        <x:v>Navires de haute mer</x:v>
      </x:c>
      <x:c r="D337" t="str">
        <x:v>Croiseur militaire abandonné</x:v>
      </x:c>
      <x:c r="E337" t="n">
        <x:v>32</x:v>
      </x:c>
      <x:c r="F337" t="str">
        <x:v>Inspection physique</x:v>
      </x:c>
      <x:c r="G337" t="str">
        <x:v>4 niveaux ; 40 pièces ; 256 segments de mur ; 3 transitions. Inspection physique ; architecture complète encore ouverte.</x:v>
      </x:c>
      <x:c r="H337" t="str">
        <x:v>L 185,928 ; l 20,117 ; hauteur inconnue ; tirant 7,62 ; hauteur émergée auteur 10,18 m ; longueur/largeur/tirant sourcés ; hauteur totale réelle inconnue</x:v>
      </x:c>
      <x:c r="I337" t="str">
        <x:v>À équilibrer</x:v>
      </x:c>
      <x:c r="J337" t="str">
        <x:v>Non</x:v>
      </x:c>
      <x:c r="K337" t="str">
        <x:v>Pièces décrites, murs, portes, niveaux et mobilier inspectables à l’échelle. Volumes réservés, raccord au seed, butin, rencontres et services de campagne restent à terminer.</x:v>
      </x:c>
    </x:row>
    <x:row r="338">
      <x:c r="A338" t="str">
        <x:v>EXT-MONDE-T007-V33</x:v>
      </x:c>
      <x:c r="B338" t="str">
        <x:v>EXT-MONDE-T007</x:v>
      </x:c>
      <x:c r="C338" t="str">
        <x:v>Navires de haute mer</x:v>
      </x:c>
      <x:c r="D338" t="str">
        <x:v>Croiseur militaire abandonné</x:v>
      </x:c>
      <x:c r="E338" t="n">
        <x:v>33</x:v>
      </x:c>
      <x:c r="F338" t="str">
        <x:v>Inspection physique</x:v>
      </x:c>
      <x:c r="G338" t="str">
        <x:v>4 niveaux ; 40 pièces ; 256 segments de mur ; 3 transitions. Inspection physique ; architecture complète encore ouverte.</x:v>
      </x:c>
      <x:c r="H338" t="str">
        <x:v>L 185,928 ; l 20,117 ; hauteur inconnue ; tirant 7,62 ; hauteur émergée auteur 10,18 m ; longueur/largeur/tirant sourcés ; hauteur totale réelle inconnue</x:v>
      </x:c>
      <x:c r="I338" t="str">
        <x:v>À équilibrer</x:v>
      </x:c>
      <x:c r="J338" t="str">
        <x:v>Non</x:v>
      </x:c>
      <x:c r="K338" t="str">
        <x:v>Pièces décrites, murs, portes, niveaux et mobilier inspectables à l’échelle. Volumes réservés, raccord au seed, butin, rencontres et services de campagne restent à terminer.</x:v>
      </x:c>
    </x:row>
    <x:row r="339">
      <x:c r="A339" t="str">
        <x:v>EXT-MONDE-T007-V34</x:v>
      </x:c>
      <x:c r="B339" t="str">
        <x:v>EXT-MONDE-T007</x:v>
      </x:c>
      <x:c r="C339" t="str">
        <x:v>Navires de haute mer</x:v>
      </x:c>
      <x:c r="D339" t="str">
        <x:v>Croiseur militaire abandonné</x:v>
      </x:c>
      <x:c r="E339" t="n">
        <x:v>34</x:v>
      </x:c>
      <x:c r="F339" t="str">
        <x:v>Inspection physique</x:v>
      </x:c>
      <x:c r="G339" t="str">
        <x:v>4 niveaux ; 40 pièces ; 256 segments de mur ; 3 transitions. Inspection physique ; architecture complète encore ouverte.</x:v>
      </x:c>
      <x:c r="H339" t="str">
        <x:v>L 185,928 ; l 20,117 ; hauteur inconnue ; tirant 7,62 ; hauteur émergée auteur 10,18 m ; longueur/largeur/tirant sourcés ; hauteur totale réelle inconnue</x:v>
      </x:c>
      <x:c r="I339" t="str">
        <x:v>À équilibrer</x:v>
      </x:c>
      <x:c r="J339" t="str">
        <x:v>Non</x:v>
      </x:c>
      <x:c r="K339" t="str">
        <x:v>Pièces décrites, murs, portes, niveaux et mobilier inspectables à l’échelle. Volumes réservés, raccord au seed, butin, rencontres et services de campagne restent à terminer.</x:v>
      </x:c>
    </x:row>
    <x:row r="340">
      <x:c r="A340" t="str">
        <x:v>EXT-MONDE-T007-V35</x:v>
      </x:c>
      <x:c r="B340" t="str">
        <x:v>EXT-MONDE-T007</x:v>
      </x:c>
      <x:c r="C340" t="str">
        <x:v>Navires de haute mer</x:v>
      </x:c>
      <x:c r="D340" t="str">
        <x:v>Croiseur militaire abandonné</x:v>
      </x:c>
      <x:c r="E340" t="n">
        <x:v>35</x:v>
      </x:c>
      <x:c r="F340" t="str">
        <x:v>Inspection physique</x:v>
      </x:c>
      <x:c r="G340" t="str">
        <x:v>4 niveaux ; 40 pièces ; 256 segments de mur ; 3 transitions. Inspection physique ; architecture complète encore ouverte.</x:v>
      </x:c>
      <x:c r="H340" t="str">
        <x:v>L 185,928 ; l 20,117 ; hauteur inconnue ; tirant 7,62 ; hauteur émergée auteur 10,18 m ; longueur/largeur/tirant sourcés ; hauteur totale réelle inconnue</x:v>
      </x:c>
      <x:c r="I340" t="str">
        <x:v>À équilibrer</x:v>
      </x:c>
      <x:c r="J340" t="str">
        <x:v>Non</x:v>
      </x:c>
      <x:c r="K340" t="str">
        <x:v>Pièces décrites, murs, portes, niveaux et mobilier inspectables à l’échelle. Volumes réservés, raccord au seed, butin, rencontres et services de campagne restent à terminer.</x:v>
      </x:c>
    </x:row>
    <x:row r="341">
      <x:c r="A341" t="str">
        <x:v>EXT-MONDE-T007-V36</x:v>
      </x:c>
      <x:c r="B341" t="str">
        <x:v>EXT-MONDE-T007</x:v>
      </x:c>
      <x:c r="C341" t="str">
        <x:v>Navires de haute mer</x:v>
      </x:c>
      <x:c r="D341" t="str">
        <x:v>Croiseur militaire abandonné</x:v>
      </x:c>
      <x:c r="E341" t="n">
        <x:v>36</x:v>
      </x:c>
      <x:c r="F341" t="str">
        <x:v>Inspection physique</x:v>
      </x:c>
      <x:c r="G341" t="str">
        <x:v>4 niveaux ; 40 pièces ; 256 segments de mur ; 3 transitions. Inspection physique ; architecture complète encore ouverte.</x:v>
      </x:c>
      <x:c r="H341" t="str">
        <x:v>L 185,928 ; l 20,117 ; hauteur inconnue ; tirant 7,62 ; hauteur émergée auteur 10,18 m ; longueur/largeur/tirant sourcés ; hauteur totale réelle inconnue</x:v>
      </x:c>
      <x:c r="I341" t="str">
        <x:v>À équilibrer</x:v>
      </x:c>
      <x:c r="J341" t="str">
        <x:v>Non</x:v>
      </x:c>
      <x:c r="K341" t="str">
        <x:v>Pièces décrites, murs, portes, niveaux et mobilier inspectables à l’échelle. Volumes réservés, raccord au seed, butin, rencontres et services de campagne restent à terminer.</x:v>
      </x:c>
    </x:row>
    <x:row r="342">
      <x:c r="A342" t="str">
        <x:v>EXT-MONDE-T007-V37</x:v>
      </x:c>
      <x:c r="B342" t="str">
        <x:v>EXT-MONDE-T007</x:v>
      </x:c>
      <x:c r="C342" t="str">
        <x:v>Navires de haute mer</x:v>
      </x:c>
      <x:c r="D342" t="str">
        <x:v>Croiseur militaire abandonné</x:v>
      </x:c>
      <x:c r="E342" t="n">
        <x:v>37</x:v>
      </x:c>
      <x:c r="F342" t="str">
        <x:v>Inspection physique</x:v>
      </x:c>
      <x:c r="G342" t="str">
        <x:v>4 niveaux ; 40 pièces ; 256 segments de mur ; 3 transitions. Inspection physique ; architecture complète encore ouverte.</x:v>
      </x:c>
      <x:c r="H342" t="str">
        <x:v>L 185,928 ; l 20,117 ; hauteur inconnue ; tirant 7,62 ; hauteur émergée auteur 10,18 m ; longueur/largeur/tirant sourcés ; hauteur totale réelle inconnue</x:v>
      </x:c>
      <x:c r="I342" t="str">
        <x:v>À équilibrer</x:v>
      </x:c>
      <x:c r="J342" t="str">
        <x:v>Non</x:v>
      </x:c>
      <x:c r="K342" t="str">
        <x:v>Pièces décrites, murs, portes, niveaux et mobilier inspectables à l’échelle. Volumes réservés, raccord au seed, butin, rencontres et services de campagne restent à terminer.</x:v>
      </x:c>
    </x:row>
    <x:row r="343">
      <x:c r="A343" t="str">
        <x:v>EXT-MONDE-T007-V38</x:v>
      </x:c>
      <x:c r="B343" t="str">
        <x:v>EXT-MONDE-T007</x:v>
      </x:c>
      <x:c r="C343" t="str">
        <x:v>Navires de haute mer</x:v>
      </x:c>
      <x:c r="D343" t="str">
        <x:v>Croiseur militaire abandonné</x:v>
      </x:c>
      <x:c r="E343" t="n">
        <x:v>38</x:v>
      </x:c>
      <x:c r="F343" t="str">
        <x:v>Inspection physique</x:v>
      </x:c>
      <x:c r="G343" t="str">
        <x:v>4 niveaux ; 40 pièces ; 256 segments de mur ; 3 transitions. Inspection physique ; architecture complète encore ouverte.</x:v>
      </x:c>
      <x:c r="H343" t="str">
        <x:v>L 185,928 ; l 20,117 ; hauteur inconnue ; tirant 7,62 ; hauteur émergée auteur 10,18 m ; longueur/largeur/tirant sourcés ; hauteur totale réelle inconnue</x:v>
      </x:c>
      <x:c r="I343" t="str">
        <x:v>À équilibrer</x:v>
      </x:c>
      <x:c r="J343" t="str">
        <x:v>Non</x:v>
      </x:c>
      <x:c r="K343" t="str">
        <x:v>Pièces décrites, murs, portes, niveaux et mobilier inspectables à l’échelle. Volumes réservés, raccord au seed, butin, rencontres et services de campagne restent à terminer.</x:v>
      </x:c>
    </x:row>
    <x:row r="344">
      <x:c r="A344" t="str">
        <x:v>EXT-MONDE-T007-V39</x:v>
      </x:c>
      <x:c r="B344" t="str">
        <x:v>EXT-MONDE-T007</x:v>
      </x:c>
      <x:c r="C344" t="str">
        <x:v>Navires de haute mer</x:v>
      </x:c>
      <x:c r="D344" t="str">
        <x:v>Croiseur militaire abandonné</x:v>
      </x:c>
      <x:c r="E344" t="n">
        <x:v>39</x:v>
      </x:c>
      <x:c r="F344" t="str">
        <x:v>Inspection physique</x:v>
      </x:c>
      <x:c r="G344" t="str">
        <x:v>4 niveaux ; 40 pièces ; 256 segments de mur ; 3 transitions. Inspection physique ; architecture complète encore ouverte.</x:v>
      </x:c>
      <x:c r="H344" t="str">
        <x:v>L 185,928 ; l 20,117 ; hauteur inconnue ; tirant 7,62 ; hauteur émergée auteur 10,18 m ; longueur/largeur/tirant sourcés ; hauteur totale réelle inconnue</x:v>
      </x:c>
      <x:c r="I344" t="str">
        <x:v>À équilibrer</x:v>
      </x:c>
      <x:c r="J344" t="str">
        <x:v>Non</x:v>
      </x:c>
      <x:c r="K344" t="str">
        <x:v>Pièces décrites, murs, portes, niveaux et mobilier inspectables à l’échelle. Volumes réservés, raccord au seed, butin, rencontres et services de campagne restent à terminer.</x:v>
      </x:c>
    </x:row>
    <x:row r="345">
      <x:c r="A345" t="str">
        <x:v>EXT-MONDE-T007-V40</x:v>
      </x:c>
      <x:c r="B345" t="str">
        <x:v>EXT-MONDE-T007</x:v>
      </x:c>
      <x:c r="C345" t="str">
        <x:v>Navires de haute mer</x:v>
      </x:c>
      <x:c r="D345" t="str">
        <x:v>Croiseur militaire abandonné</x:v>
      </x:c>
      <x:c r="E345" t="n">
        <x:v>40</x:v>
      </x:c>
      <x:c r="F345" t="str">
        <x:v>Inspection physique</x:v>
      </x:c>
      <x:c r="G345" t="str">
        <x:v>4 niveaux ; 40 pièces ; 256 segments de mur ; 3 transitions. Inspection physique ; architecture complète encore ouverte.</x:v>
      </x:c>
      <x:c r="H345" t="str">
        <x:v>L 185,928 ; l 20,117 ; hauteur inconnue ; tirant 7,62 ; hauteur émergée auteur 10,18 m ; longueur/largeur/tirant sourcés ; hauteur totale réelle inconnue</x:v>
      </x:c>
      <x:c r="I345" t="str">
        <x:v>À équilibrer</x:v>
      </x:c>
      <x:c r="J345" t="str">
        <x:v>Non</x:v>
      </x:c>
      <x:c r="K345" t="str">
        <x:v>Pièces décrites, murs, portes, niveaux et mobilier inspectables à l’échelle. Volumes réservés, raccord au seed, butin, rencontres et services de campagne restent à terminer.</x:v>
      </x:c>
    </x:row>
    <x:row r="346">
      <x:c r="A346" t="str">
        <x:v>EXT-MONDE-T007-V41</x:v>
      </x:c>
      <x:c r="B346" t="str">
        <x:v>EXT-MONDE-T007</x:v>
      </x:c>
      <x:c r="C346" t="str">
        <x:v>Navires de haute mer</x:v>
      </x:c>
      <x:c r="D346" t="str">
        <x:v>Croiseur militaire abandonné</x:v>
      </x:c>
      <x:c r="E346" t="n">
        <x:v>41</x:v>
      </x:c>
      <x:c r="F346" t="str">
        <x:v>Inspection physique</x:v>
      </x:c>
      <x:c r="G346" t="str">
        <x:v>4 niveaux ; 48 pièces ; 304 segments de mur ; 3 transitions. Inspection physique ; architecture complète encore ouverte.</x:v>
      </x:c>
      <x:c r="H346" t="str">
        <x:v>L 185,928 ; l 20,117 ; hauteur inconnue ; tirant 7,62 ; hauteur émergée auteur 10,18 m ; longueur/largeur/tirant sourcés ; hauteur totale réelle inconnue</x:v>
      </x:c>
      <x:c r="I346" t="str">
        <x:v>À équilibrer</x:v>
      </x:c>
      <x:c r="J346" t="str">
        <x:v>Non</x:v>
      </x:c>
      <x:c r="K346" t="str">
        <x:v>Pièces décrites, murs, portes, niveaux et mobilier inspectables à l’échelle. Volumes réservés, raccord au seed, butin, rencontres et services de campagne restent à terminer.</x:v>
      </x:c>
    </x:row>
    <x:row r="347">
      <x:c r="A347" t="str">
        <x:v>EXT-MONDE-T007-V42</x:v>
      </x:c>
      <x:c r="B347" t="str">
        <x:v>EXT-MONDE-T007</x:v>
      </x:c>
      <x:c r="C347" t="str">
        <x:v>Navires de haute mer</x:v>
      </x:c>
      <x:c r="D347" t="str">
        <x:v>Croiseur militaire abandonné</x:v>
      </x:c>
      <x:c r="E347" t="n">
        <x:v>42</x:v>
      </x:c>
      <x:c r="F347" t="str">
        <x:v>Inspection physique</x:v>
      </x:c>
      <x:c r="G347" t="str">
        <x:v>4 niveaux ; 48 pièces ; 304 segments de mur ; 3 transitions. Inspection physique ; architecture complète encore ouverte.</x:v>
      </x:c>
      <x:c r="H347" t="str">
        <x:v>L 185,928 ; l 20,117 ; hauteur inconnue ; tirant 7,62 ; hauteur émergée auteur 10,18 m ; longueur/largeur/tirant sourcés ; hauteur totale réelle inconnue</x:v>
      </x:c>
      <x:c r="I347" t="str">
        <x:v>À équilibrer</x:v>
      </x:c>
      <x:c r="J347" t="str">
        <x:v>Non</x:v>
      </x:c>
      <x:c r="K347" t="str">
        <x:v>Pièces décrites, murs, portes, niveaux et mobilier inspectables à l’échelle. Volumes réservés, raccord au seed, butin, rencontres et services de campagne restent à terminer.</x:v>
      </x:c>
    </x:row>
    <x:row r="348">
      <x:c r="A348" t="str">
        <x:v>EXT-MONDE-T007-V43</x:v>
      </x:c>
      <x:c r="B348" t="str">
        <x:v>EXT-MONDE-T007</x:v>
      </x:c>
      <x:c r="C348" t="str">
        <x:v>Navires de haute mer</x:v>
      </x:c>
      <x:c r="D348" t="str">
        <x:v>Croiseur militaire abandonné</x:v>
      </x:c>
      <x:c r="E348" t="n">
        <x:v>43</x:v>
      </x:c>
      <x:c r="F348" t="str">
        <x:v>Inspection physique</x:v>
      </x:c>
      <x:c r="G348" t="str">
        <x:v>4 niveaux ; 48 pièces ; 304 segments de mur ; 3 transitions. Inspection physique ; architecture complète encore ouverte.</x:v>
      </x:c>
      <x:c r="H348" t="str">
        <x:v>L 185,928 ; l 20,117 ; hauteur inconnue ; tirant 7,62 ; hauteur émergée auteur 10,18 m ; longueur/largeur/tirant sourcés ; hauteur totale réelle inconnue</x:v>
      </x:c>
      <x:c r="I348" t="str">
        <x:v>À équilibrer</x:v>
      </x:c>
      <x:c r="J348" t="str">
        <x:v>Non</x:v>
      </x:c>
      <x:c r="K348" t="str">
        <x:v>Pièces décrites, murs, portes, niveaux et mobilier inspectables à l’échelle. Volumes réservés, raccord au seed, butin, rencontres et services de campagne restent à terminer.</x:v>
      </x:c>
    </x:row>
    <x:row r="349">
      <x:c r="A349" t="str">
        <x:v>EXT-MONDE-T007-V44</x:v>
      </x:c>
      <x:c r="B349" t="str">
        <x:v>EXT-MONDE-T007</x:v>
      </x:c>
      <x:c r="C349" t="str">
        <x:v>Navires de haute mer</x:v>
      </x:c>
      <x:c r="D349" t="str">
        <x:v>Croiseur militaire abandonné</x:v>
      </x:c>
      <x:c r="E349" t="n">
        <x:v>44</x:v>
      </x:c>
      <x:c r="F349" t="str">
        <x:v>Inspection physique</x:v>
      </x:c>
      <x:c r="G349" t="str">
        <x:v>4 niveaux ; 48 pièces ; 304 segments de mur ; 3 transitions. Inspection physique ; architecture complète encore ouverte.</x:v>
      </x:c>
      <x:c r="H349" t="str">
        <x:v>L 185,928 ; l 20,117 ; hauteur inconnue ; tirant 7,62 ; hauteur émergée auteur 10,18 m ; longueur/largeur/tirant sourcés ; hauteur totale réelle inconnue</x:v>
      </x:c>
      <x:c r="I349" t="str">
        <x:v>À équilibrer</x:v>
      </x:c>
      <x:c r="J349" t="str">
        <x:v>Non</x:v>
      </x:c>
      <x:c r="K349" t="str">
        <x:v>Pièces décrites, murs, portes, niveaux et mobilier inspectables à l’échelle. Volumes réservés, raccord au seed, butin, rencontres et services de campagne restent à terminer.</x:v>
      </x:c>
    </x:row>
    <x:row r="350">
      <x:c r="A350" t="str">
        <x:v>EXT-MONDE-T007-V45</x:v>
      </x:c>
      <x:c r="B350" t="str">
        <x:v>EXT-MONDE-T007</x:v>
      </x:c>
      <x:c r="C350" t="str">
        <x:v>Navires de haute mer</x:v>
      </x:c>
      <x:c r="D350" t="str">
        <x:v>Croiseur militaire abandonné</x:v>
      </x:c>
      <x:c r="E350" t="n">
        <x:v>45</x:v>
      </x:c>
      <x:c r="F350" t="str">
        <x:v>Inspection physique</x:v>
      </x:c>
      <x:c r="G350" t="str">
        <x:v>4 niveaux ; 48 pièces ; 304 segments de mur ; 3 transitions. Inspection physique ; architecture complète encore ouverte.</x:v>
      </x:c>
      <x:c r="H350" t="str">
        <x:v>L 185,928 ; l 20,117 ; hauteur inconnue ; tirant 7,62 ; hauteur émergée auteur 10,18 m ; longueur/largeur/tirant sourcés ; hauteur totale réelle inconnue</x:v>
      </x:c>
      <x:c r="I350" t="str">
        <x:v>À équilibrer</x:v>
      </x:c>
      <x:c r="J350" t="str">
        <x:v>Non</x:v>
      </x:c>
      <x:c r="K350" t="str">
        <x:v>Pièces décrites, murs, portes, niveaux et mobilier inspectables à l’échelle. Volumes réservés, raccord au seed, butin, rencontres et services de campagne restent à terminer.</x:v>
      </x:c>
    </x:row>
    <x:row r="351">
      <x:c r="A351" t="str">
        <x:v>EXT-MONDE-T007-V46</x:v>
      </x:c>
      <x:c r="B351" t="str">
        <x:v>EXT-MONDE-T007</x:v>
      </x:c>
      <x:c r="C351" t="str">
        <x:v>Navires de haute mer</x:v>
      </x:c>
      <x:c r="D351" t="str">
        <x:v>Croiseur militaire abandonné</x:v>
      </x:c>
      <x:c r="E351" t="n">
        <x:v>46</x:v>
      </x:c>
      <x:c r="F351" t="str">
        <x:v>Inspection physique</x:v>
      </x:c>
      <x:c r="G351" t="str">
        <x:v>4 niveaux ; 48 pièces ; 304 segments de mur ; 3 transitions. Inspection physique ; architecture complète encore ouverte.</x:v>
      </x:c>
      <x:c r="H351" t="str">
        <x:v>L 185,928 ; l 20,117 ; hauteur inconnue ; tirant 7,62 ; hauteur émergée auteur 10,18 m ; longueur/largeur/tirant sourcés ; hauteur totale réelle inconnue</x:v>
      </x:c>
      <x:c r="I351" t="str">
        <x:v>À équilibrer</x:v>
      </x:c>
      <x:c r="J351" t="str">
        <x:v>Non</x:v>
      </x:c>
      <x:c r="K351" t="str">
        <x:v>Pièces décrites, murs, portes, niveaux et mobilier inspectables à l’échelle. Volumes réservés, raccord au seed, butin, rencontres et services de campagne restent à terminer.</x:v>
      </x:c>
    </x:row>
    <x:row r="352">
      <x:c r="A352" t="str">
        <x:v>EXT-MONDE-T007-V47</x:v>
      </x:c>
      <x:c r="B352" t="str">
        <x:v>EXT-MONDE-T007</x:v>
      </x:c>
      <x:c r="C352" t="str">
        <x:v>Navires de haute mer</x:v>
      </x:c>
      <x:c r="D352" t="str">
        <x:v>Croiseur militaire abandonné</x:v>
      </x:c>
      <x:c r="E352" t="n">
        <x:v>47</x:v>
      </x:c>
      <x:c r="F352" t="str">
        <x:v>Inspection physique</x:v>
      </x:c>
      <x:c r="G352" t="str">
        <x:v>4 niveaux ; 48 pièces ; 304 segments de mur ; 3 transitions. Inspection physique ; architecture complète encore ouverte.</x:v>
      </x:c>
      <x:c r="H352" t="str">
        <x:v>L 185,928 ; l 20,117 ; hauteur inconnue ; tirant 7,62 ; hauteur émergée auteur 10,18 m ; longueur/largeur/tirant sourcés ; hauteur totale réelle inconnue</x:v>
      </x:c>
      <x:c r="I352" t="str">
        <x:v>À équilibrer</x:v>
      </x:c>
      <x:c r="J352" t="str">
        <x:v>Non</x:v>
      </x:c>
      <x:c r="K352" t="str">
        <x:v>Pièces décrites, murs, portes, niveaux et mobilier inspectables à l’échelle. Volumes réservés, raccord au seed, butin, rencontres et services de campagne restent à terminer.</x:v>
      </x:c>
    </x:row>
    <x:row r="353">
      <x:c r="A353" t="str">
        <x:v>EXT-MONDE-T007-V48</x:v>
      </x:c>
      <x:c r="B353" t="str">
        <x:v>EXT-MONDE-T007</x:v>
      </x:c>
      <x:c r="C353" t="str">
        <x:v>Navires de haute mer</x:v>
      </x:c>
      <x:c r="D353" t="str">
        <x:v>Croiseur militaire abandonné</x:v>
      </x:c>
      <x:c r="E353" t="n">
        <x:v>48</x:v>
      </x:c>
      <x:c r="F353" t="str">
        <x:v>Inspection physique</x:v>
      </x:c>
      <x:c r="G353" t="str">
        <x:v>4 niveaux ; 48 pièces ; 304 segments de mur ; 3 transitions. Inspection physique ; architecture complète encore ouverte.</x:v>
      </x:c>
      <x:c r="H353" t="str">
        <x:v>L 185,928 ; l 20,117 ; hauteur inconnue ; tirant 7,62 ; hauteur émergée auteur 10,18 m ; longueur/largeur/tirant sourcés ; hauteur totale réelle inconnue</x:v>
      </x:c>
      <x:c r="I353" t="str">
        <x:v>À équilibrer</x:v>
      </x:c>
      <x:c r="J353" t="str">
        <x:v>Non</x:v>
      </x:c>
      <x:c r="K353" t="str">
        <x:v>Pièces décrites, murs, portes, niveaux et mobilier inspectables à l’échelle. Volumes réservés, raccord au seed, butin, rencontres et services de campagne restent à terminer.</x:v>
      </x:c>
    </x:row>
    <x:row r="354">
      <x:c r="A354" t="str">
        <x:v>EXT-MONDE-T007-V49</x:v>
      </x:c>
      <x:c r="B354" t="str">
        <x:v>EXT-MONDE-T007</x:v>
      </x:c>
      <x:c r="C354" t="str">
        <x:v>Navires de haute mer</x:v>
      </x:c>
      <x:c r="D354" t="str">
        <x:v>Croiseur militaire abandonné</x:v>
      </x:c>
      <x:c r="E354" t="n">
        <x:v>49</x:v>
      </x:c>
      <x:c r="F354" t="str">
        <x:v>Inspection physique</x:v>
      </x:c>
      <x:c r="G354" t="str">
        <x:v>4 niveaux ; 48 pièces ; 304 segments de mur ; 3 transitions. Inspection physique ; architecture complète encore ouverte.</x:v>
      </x:c>
      <x:c r="H354" t="str">
        <x:v>L 185,928 ; l 20,117 ; hauteur inconnue ; tirant 7,62 ; hauteur émergée auteur 10,18 m ; longueur/largeur/tirant sourcés ; hauteur totale réelle inconnue</x:v>
      </x:c>
      <x:c r="I354" t="str">
        <x:v>À équilibrer</x:v>
      </x:c>
      <x:c r="J354" t="str">
        <x:v>Non</x:v>
      </x:c>
      <x:c r="K354" t="str">
        <x:v>Pièces décrites, murs, portes, niveaux et mobilier inspectables à l’échelle. Volumes réservés, raccord au seed, butin, rencontres et services de campagne restent à terminer.</x:v>
      </x:c>
    </x:row>
    <x:row r="355">
      <x:c r="A355" t="str">
        <x:v>EXT-MONDE-T007-V50</x:v>
      </x:c>
      <x:c r="B355" t="str">
        <x:v>EXT-MONDE-T007</x:v>
      </x:c>
      <x:c r="C355" t="str">
        <x:v>Navires de haute mer</x:v>
      </x:c>
      <x:c r="D355" t="str">
        <x:v>Croiseur militaire abandonné</x:v>
      </x:c>
      <x:c r="E355" t="n">
        <x:v>50</x:v>
      </x:c>
      <x:c r="F355" t="str">
        <x:v>Inspection physique</x:v>
      </x:c>
      <x:c r="G355" t="str">
        <x:v>4 niveaux ; 48 pièces ; 304 segments de mur ; 3 transitions. Inspection physique ; architecture complète encore ouverte.</x:v>
      </x:c>
      <x:c r="H355" t="str">
        <x:v>L 185,928 ; l 20,117 ; hauteur inconnue ; tirant 7,62 ; hauteur émergée auteur 10,18 m ; longueur/largeur/tirant sourcés ; hauteur totale réelle inconnue</x:v>
      </x:c>
      <x:c r="I355" t="str">
        <x:v>À équilibrer</x:v>
      </x:c>
      <x:c r="J355" t="str">
        <x:v>Non</x:v>
      </x:c>
      <x:c r="K355" t="str">
        <x:v>Pièces décrites, murs, portes, niveaux et mobilier inspectables à l’échelle. Volumes réservés, raccord au seed, butin, rencontres et services de campagne restent à terminer.</x:v>
      </x:c>
    </x:row>
    <x:row r="356">
      <x:c r="A356" t="str">
        <x:v>EXT-MONDE-T008-V01</x:v>
      </x:c>
      <x:c r="B356" t="str">
        <x:v>EXT-MONDE-T008</x:v>
      </x:c>
      <x:c r="C356" t="str">
        <x:v>Navires de haute mer</x:v>
      </x:c>
      <x:c r="D356" t="str">
        <x:v>Sous-marin en surface</x:v>
      </x:c>
      <x:c r="E356" t="n">
        <x:v>1</x:v>
      </x:c>
      <x:c r="F356" t="str">
        <x:v>Inspection physique</x:v>
      </x:c>
      <x:c r="G356" t="str">
        <x:v>2 niveaux ; 8 pièces ; 52 segments de mur ; 1 transitions. Inspection physique ; architecture complète encore ouverte.</x:v>
      </x:c>
      <x:c r="H356" t="str">
        <x:v>L 94,996 ; l 8,306 ; hauteur inconnue ; tirant 4,699 ; hauteur émergée auteur 5,601 m ; longueur/largeur/tirant sourcés ; hauteur totale réelle inconnue</x:v>
      </x:c>
      <x:c r="I356" t="str">
        <x:v>À équilibrer</x:v>
      </x:c>
      <x:c r="J356" t="str">
        <x:v>Non</x:v>
      </x:c>
      <x:c r="K356" t="str">
        <x:v>Pièces décrites, murs, portes, niveaux et mobilier inspectables à l’échelle. Volumes réservés, raccord au seed, butin, rencontres et services de campagne restent à terminer.</x:v>
      </x:c>
    </x:row>
    <x:row r="357">
      <x:c r="A357" t="str">
        <x:v>EXT-MONDE-T008-V02</x:v>
      </x:c>
      <x:c r="B357" t="str">
        <x:v>EXT-MONDE-T008</x:v>
      </x:c>
      <x:c r="C357" t="str">
        <x:v>Navires de haute mer</x:v>
      </x:c>
      <x:c r="D357" t="str">
        <x:v>Sous-marin en surface</x:v>
      </x:c>
      <x:c r="E357" t="n">
        <x:v>2</x:v>
      </x:c>
      <x:c r="F357" t="str">
        <x:v>Inspection physique</x:v>
      </x:c>
      <x:c r="G357" t="str">
        <x:v>2 niveaux ; 8 pièces ; 52 segments de mur ; 1 transitions. Inspection physique ; architecture complète encore ouverte.</x:v>
      </x:c>
      <x:c r="H357" t="str">
        <x:v>L 94,996 ; l 8,306 ; hauteur inconnue ; tirant 4,699 ; hauteur émergée auteur 5,601 m ; longueur/largeur/tirant sourcés ; hauteur totale réelle inconnue</x:v>
      </x:c>
      <x:c r="I357" t="str">
        <x:v>À équilibrer</x:v>
      </x:c>
      <x:c r="J357" t="str">
        <x:v>Non</x:v>
      </x:c>
      <x:c r="K357" t="str">
        <x:v>Pièces décrites, murs, portes, niveaux et mobilier inspectables à l’échelle. Volumes réservés, raccord au seed, butin, rencontres et services de campagne restent à terminer.</x:v>
      </x:c>
    </x:row>
    <x:row r="358">
      <x:c r="A358" t="str">
        <x:v>EXT-MONDE-T008-V03</x:v>
      </x:c>
      <x:c r="B358" t="str">
        <x:v>EXT-MONDE-T008</x:v>
      </x:c>
      <x:c r="C358" t="str">
        <x:v>Navires de haute mer</x:v>
      </x:c>
      <x:c r="D358" t="str">
        <x:v>Sous-marin en surface</x:v>
      </x:c>
      <x:c r="E358" t="n">
        <x:v>3</x:v>
      </x:c>
      <x:c r="F358" t="str">
        <x:v>Inspection physique</x:v>
      </x:c>
      <x:c r="G358" t="str">
        <x:v>2 niveaux ; 8 pièces ; 52 segments de mur ; 1 transitions. Inspection physique ; architecture complète encore ouverte.</x:v>
      </x:c>
      <x:c r="H358" t="str">
        <x:v>L 94,996 ; l 8,306 ; hauteur inconnue ; tirant 4,699 ; hauteur émergée auteur 5,601 m ; longueur/largeur/tirant sourcés ; hauteur totale réelle inconnue</x:v>
      </x:c>
      <x:c r="I358" t="str">
        <x:v>À équilibrer</x:v>
      </x:c>
      <x:c r="J358" t="str">
        <x:v>Non</x:v>
      </x:c>
      <x:c r="K358" t="str">
        <x:v>Pièces décrites, murs, portes, niveaux et mobilier inspectables à l’échelle. Volumes réservés, raccord au seed, butin, rencontres et services de campagne restent à terminer.</x:v>
      </x:c>
    </x:row>
    <x:row r="359">
      <x:c r="A359" t="str">
        <x:v>EXT-MONDE-T008-V04</x:v>
      </x:c>
      <x:c r="B359" t="str">
        <x:v>EXT-MONDE-T008</x:v>
      </x:c>
      <x:c r="C359" t="str">
        <x:v>Navires de haute mer</x:v>
      </x:c>
      <x:c r="D359" t="str">
        <x:v>Sous-marin en surface</x:v>
      </x:c>
      <x:c r="E359" t="n">
        <x:v>4</x:v>
      </x:c>
      <x:c r="F359" t="str">
        <x:v>Inspection physique</x:v>
      </x:c>
      <x:c r="G359" t="str">
        <x:v>2 niveaux ; 8 pièces ; 52 segments de mur ; 1 transitions. Inspection physique ; architecture complète encore ouverte.</x:v>
      </x:c>
      <x:c r="H359" t="str">
        <x:v>L 94,996 ; l 8,306 ; hauteur inconnue ; tirant 4,699 ; hauteur émergée auteur 5,601 m ; longueur/largeur/tirant sourcés ; hauteur totale réelle inconnue</x:v>
      </x:c>
      <x:c r="I359" t="str">
        <x:v>À équilibrer</x:v>
      </x:c>
      <x:c r="J359" t="str">
        <x:v>Non</x:v>
      </x:c>
      <x:c r="K359" t="str">
        <x:v>Pièces décrites, murs, portes, niveaux et mobilier inspectables à l’échelle. Volumes réservés, raccord au seed, butin, rencontres et services de campagne restent à terminer.</x:v>
      </x:c>
    </x:row>
    <x:row r="360">
      <x:c r="A360" t="str">
        <x:v>EXT-MONDE-T008-V05</x:v>
      </x:c>
      <x:c r="B360" t="str">
        <x:v>EXT-MONDE-T008</x:v>
      </x:c>
      <x:c r="C360" t="str">
        <x:v>Navires de haute mer</x:v>
      </x:c>
      <x:c r="D360" t="str">
        <x:v>Sous-marin en surface</x:v>
      </x:c>
      <x:c r="E360" t="n">
        <x:v>5</x:v>
      </x:c>
      <x:c r="F360" t="str">
        <x:v>Inspection physique</x:v>
      </x:c>
      <x:c r="G360" t="str">
        <x:v>2 niveaux ; 8 pièces ; 52 segments de mur ; 1 transitions. Inspection physique ; architecture complète encore ouverte.</x:v>
      </x:c>
      <x:c r="H360" t="str">
        <x:v>L 94,996 ; l 8,306 ; hauteur inconnue ; tirant 4,699 ; hauteur émergée auteur 5,601 m ; longueur/largeur/tirant sourcés ; hauteur totale réelle inconnue</x:v>
      </x:c>
      <x:c r="I360" t="str">
        <x:v>À équilibrer</x:v>
      </x:c>
      <x:c r="J360" t="str">
        <x:v>Non</x:v>
      </x:c>
      <x:c r="K360" t="str">
        <x:v>Pièces décrites, murs, portes, niveaux et mobilier inspectables à l’échelle. Volumes réservés, raccord au seed, butin, rencontres et services de campagne restent à terminer.</x:v>
      </x:c>
    </x:row>
    <x:row r="361">
      <x:c r="A361" t="str">
        <x:v>EXT-MONDE-T008-V06</x:v>
      </x:c>
      <x:c r="B361" t="str">
        <x:v>EXT-MONDE-T008</x:v>
      </x:c>
      <x:c r="C361" t="str">
        <x:v>Navires de haute mer</x:v>
      </x:c>
      <x:c r="D361" t="str">
        <x:v>Sous-marin en surface</x:v>
      </x:c>
      <x:c r="E361" t="n">
        <x:v>6</x:v>
      </x:c>
      <x:c r="F361" t="str">
        <x:v>Inspection physique</x:v>
      </x:c>
      <x:c r="G361" t="str">
        <x:v>2 niveaux ; 8 pièces ; 52 segments de mur ; 1 transitions. Inspection physique ; architecture complète encore ouverte.</x:v>
      </x:c>
      <x:c r="H361" t="str">
        <x:v>L 94,996 ; l 8,306 ; hauteur inconnue ; tirant 4,699 ; hauteur émergée auteur 5,601 m ; longueur/largeur/tirant sourcés ; hauteur totale réelle inconnue</x:v>
      </x:c>
      <x:c r="I361" t="str">
        <x:v>À équilibrer</x:v>
      </x:c>
      <x:c r="J361" t="str">
        <x:v>Non</x:v>
      </x:c>
      <x:c r="K361" t="str">
        <x:v>Pièces décrites, murs, portes, niveaux et mobilier inspectables à l’échelle. Volumes réservés, raccord au seed, butin, rencontres et services de campagne restent à terminer.</x:v>
      </x:c>
    </x:row>
    <x:row r="362">
      <x:c r="A362" t="str">
        <x:v>EXT-MONDE-T008-V07</x:v>
      </x:c>
      <x:c r="B362" t="str">
        <x:v>EXT-MONDE-T008</x:v>
      </x:c>
      <x:c r="C362" t="str">
        <x:v>Navires de haute mer</x:v>
      </x:c>
      <x:c r="D362" t="str">
        <x:v>Sous-marin en surface</x:v>
      </x:c>
      <x:c r="E362" t="n">
        <x:v>7</x:v>
      </x:c>
      <x:c r="F362" t="str">
        <x:v>Inspection physique</x:v>
      </x:c>
      <x:c r="G362" t="str">
        <x:v>2 niveaux ; 8 pièces ; 52 segments de mur ; 1 transitions. Inspection physique ; architecture complète encore ouverte.</x:v>
      </x:c>
      <x:c r="H362" t="str">
        <x:v>L 94,996 ; l 8,306 ; hauteur inconnue ; tirant 4,699 ; hauteur émergée auteur 5,601 m ; longueur/largeur/tirant sourcés ; hauteur totale réelle inconnue</x:v>
      </x:c>
      <x:c r="I362" t="str">
        <x:v>À équilibrer</x:v>
      </x:c>
      <x:c r="J362" t="str">
        <x:v>Non</x:v>
      </x:c>
      <x:c r="K362" t="str">
        <x:v>Pièces décrites, murs, portes, niveaux et mobilier inspectables à l’échelle. Volumes réservés, raccord au seed, butin, rencontres et services de campagne restent à terminer.</x:v>
      </x:c>
    </x:row>
    <x:row r="363">
      <x:c r="A363" t="str">
        <x:v>EXT-MONDE-T008-V08</x:v>
      </x:c>
      <x:c r="B363" t="str">
        <x:v>EXT-MONDE-T008</x:v>
      </x:c>
      <x:c r="C363" t="str">
        <x:v>Navires de haute mer</x:v>
      </x:c>
      <x:c r="D363" t="str">
        <x:v>Sous-marin en surface</x:v>
      </x:c>
      <x:c r="E363" t="n">
        <x:v>8</x:v>
      </x:c>
      <x:c r="F363" t="str">
        <x:v>Inspection physique</x:v>
      </x:c>
      <x:c r="G363" t="str">
        <x:v>2 niveaux ; 8 pièces ; 52 segments de mur ; 1 transitions. Inspection physique ; architecture complète encore ouverte.</x:v>
      </x:c>
      <x:c r="H363" t="str">
        <x:v>L 94,996 ; l 8,306 ; hauteur inconnue ; tirant 4,699 ; hauteur émergée auteur 5,601 m ; longueur/largeur/tirant sourcés ; hauteur totale réelle inconnue</x:v>
      </x:c>
      <x:c r="I363" t="str">
        <x:v>À équilibrer</x:v>
      </x:c>
      <x:c r="J363" t="str">
        <x:v>Non</x:v>
      </x:c>
      <x:c r="K363" t="str">
        <x:v>Pièces décrites, murs, portes, niveaux et mobilier inspectables à l’échelle. Volumes réservés, raccord au seed, butin, rencontres et services de campagne restent à terminer.</x:v>
      </x:c>
    </x:row>
    <x:row r="364">
      <x:c r="A364" t="str">
        <x:v>EXT-MONDE-T008-V09</x:v>
      </x:c>
      <x:c r="B364" t="str">
        <x:v>EXT-MONDE-T008</x:v>
      </x:c>
      <x:c r="C364" t="str">
        <x:v>Navires de haute mer</x:v>
      </x:c>
      <x:c r="D364" t="str">
        <x:v>Sous-marin en surface</x:v>
      </x:c>
      <x:c r="E364" t="n">
        <x:v>9</x:v>
      </x:c>
      <x:c r="F364" t="str">
        <x:v>Inspection physique</x:v>
      </x:c>
      <x:c r="G364" t="str">
        <x:v>2 niveaux ; 8 pièces ; 52 segments de mur ; 1 transitions. Inspection physique ; architecture complète encore ouverte.</x:v>
      </x:c>
      <x:c r="H364" t="str">
        <x:v>L 94,996 ; l 8,306 ; hauteur inconnue ; tirant 4,699 ; hauteur émergée auteur 5,601 m ; longueur/largeur/tirant sourcés ; hauteur totale réelle inconnue</x:v>
      </x:c>
      <x:c r="I364" t="str">
        <x:v>À équilibrer</x:v>
      </x:c>
      <x:c r="J364" t="str">
        <x:v>Non</x:v>
      </x:c>
      <x:c r="K364" t="str">
        <x:v>Pièces décrites, murs, portes, niveaux et mobilier inspectables à l’échelle. Volumes réservés, raccord au seed, butin, rencontres et services de campagne restent à terminer.</x:v>
      </x:c>
    </x:row>
    <x:row r="365">
      <x:c r="A365" t="str">
        <x:v>EXT-MONDE-T008-V10</x:v>
      </x:c>
      <x:c r="B365" t="str">
        <x:v>EXT-MONDE-T008</x:v>
      </x:c>
      <x:c r="C365" t="str">
        <x:v>Navires de haute mer</x:v>
      </x:c>
      <x:c r="D365" t="str">
        <x:v>Sous-marin en surface</x:v>
      </x:c>
      <x:c r="E365" t="n">
        <x:v>10</x:v>
      </x:c>
      <x:c r="F365" t="str">
        <x:v>Inspection physique</x:v>
      </x:c>
      <x:c r="G365" t="str">
        <x:v>2 niveaux ; 8 pièces ; 52 segments de mur ; 1 transitions. Inspection physique ; architecture complète encore ouverte.</x:v>
      </x:c>
      <x:c r="H365" t="str">
        <x:v>L 94,996 ; l 8,306 ; hauteur inconnue ; tirant 4,699 ; hauteur émergée auteur 5,601 m ; longueur/largeur/tirant sourcés ; hauteur totale réelle inconnue</x:v>
      </x:c>
      <x:c r="I365" t="str">
        <x:v>À équilibrer</x:v>
      </x:c>
      <x:c r="J365" t="str">
        <x:v>Non</x:v>
      </x:c>
      <x:c r="K365" t="str">
        <x:v>Pièces décrites, murs, portes, niveaux et mobilier inspectables à l’échelle. Volumes réservés, raccord au seed, butin, rencontres et services de campagne restent à terminer.</x:v>
      </x:c>
    </x:row>
    <x:row r="366">
      <x:c r="A366" t="str">
        <x:v>EXT-MONDE-T008-V11</x:v>
      </x:c>
      <x:c r="B366" t="str">
        <x:v>EXT-MONDE-T008</x:v>
      </x:c>
      <x:c r="C366" t="str">
        <x:v>Navires de haute mer</x:v>
      </x:c>
      <x:c r="D366" t="str">
        <x:v>Sous-marin en surface</x:v>
      </x:c>
      <x:c r="E366" t="n">
        <x:v>11</x:v>
      </x:c>
      <x:c r="F366" t="str">
        <x:v>Inspection physique</x:v>
      </x:c>
      <x:c r="G366" t="str">
        <x:v>2 niveaux ; 10 pièces ; 64 segments de mur ; 1 transitions. Inspection physique ; architecture complète encore ouverte.</x:v>
      </x:c>
      <x:c r="H366" t="str">
        <x:v>L 94,996 ; l 8,306 ; hauteur inconnue ; tirant 4,699 ; hauteur émergée auteur 5,601 m ; longueur/largeur/tirant sourcés ; hauteur totale réelle inconnue</x:v>
      </x:c>
      <x:c r="I366" t="str">
        <x:v>À équilibrer</x:v>
      </x:c>
      <x:c r="J366" t="str">
        <x:v>Non</x:v>
      </x:c>
      <x:c r="K366" t="str">
        <x:v>Pièces décrites, murs, portes, niveaux et mobilier inspectables à l’échelle. Volumes réservés, raccord au seed, butin, rencontres et services de campagne restent à terminer.</x:v>
      </x:c>
    </x:row>
    <x:row r="367">
      <x:c r="A367" t="str">
        <x:v>EXT-MONDE-T008-V12</x:v>
      </x:c>
      <x:c r="B367" t="str">
        <x:v>EXT-MONDE-T008</x:v>
      </x:c>
      <x:c r="C367" t="str">
        <x:v>Navires de haute mer</x:v>
      </x:c>
      <x:c r="D367" t="str">
        <x:v>Sous-marin en surface</x:v>
      </x:c>
      <x:c r="E367" t="n">
        <x:v>12</x:v>
      </x:c>
      <x:c r="F367" t="str">
        <x:v>Inspection physique</x:v>
      </x:c>
      <x:c r="G367" t="str">
        <x:v>2 niveaux ; 10 pièces ; 64 segments de mur ; 1 transitions. Inspection physique ; architecture complète encore ouverte.</x:v>
      </x:c>
      <x:c r="H367" t="str">
        <x:v>L 94,996 ; l 8,306 ; hauteur inconnue ; tirant 4,699 ; hauteur émergée auteur 5,601 m ; longueur/largeur/tirant sourcés ; hauteur totale réelle inconnue</x:v>
      </x:c>
      <x:c r="I367" t="str">
        <x:v>À équilibrer</x:v>
      </x:c>
      <x:c r="J367" t="str">
        <x:v>Non</x:v>
      </x:c>
      <x:c r="K367" t="str">
        <x:v>Pièces décrites, murs, portes, niveaux et mobilier inspectables à l’échelle. Volumes réservés, raccord au seed, butin, rencontres et services de campagne restent à terminer.</x:v>
      </x:c>
    </x:row>
    <x:row r="368">
      <x:c r="A368" t="str">
        <x:v>EXT-MONDE-T008-V13</x:v>
      </x:c>
      <x:c r="B368" t="str">
        <x:v>EXT-MONDE-T008</x:v>
      </x:c>
      <x:c r="C368" t="str">
        <x:v>Navires de haute mer</x:v>
      </x:c>
      <x:c r="D368" t="str">
        <x:v>Sous-marin en surface</x:v>
      </x:c>
      <x:c r="E368" t="n">
        <x:v>13</x:v>
      </x:c>
      <x:c r="F368" t="str">
        <x:v>Inspection physique</x:v>
      </x:c>
      <x:c r="G368" t="str">
        <x:v>2 niveaux ; 10 pièces ; 64 segments de mur ; 1 transitions. Inspection physique ; architecture complète encore ouverte.</x:v>
      </x:c>
      <x:c r="H368" t="str">
        <x:v>L 94,996 ; l 8,306 ; hauteur inconnue ; tirant 4,699 ; hauteur émergée auteur 5,601 m ; longueur/largeur/tirant sourcés ; hauteur totale réelle inconnue</x:v>
      </x:c>
      <x:c r="I368" t="str">
        <x:v>À équilibrer</x:v>
      </x:c>
      <x:c r="J368" t="str">
        <x:v>Non</x:v>
      </x:c>
      <x:c r="K368" t="str">
        <x:v>Pièces décrites, murs, portes, niveaux et mobilier inspectables à l’échelle. Volumes réservés, raccord au seed, butin, rencontres et services de campagne restent à terminer.</x:v>
      </x:c>
    </x:row>
    <x:row r="369">
      <x:c r="A369" t="str">
        <x:v>EXT-MONDE-T008-V14</x:v>
      </x:c>
      <x:c r="B369" t="str">
        <x:v>EXT-MONDE-T008</x:v>
      </x:c>
      <x:c r="C369" t="str">
        <x:v>Navires de haute mer</x:v>
      </x:c>
      <x:c r="D369" t="str">
        <x:v>Sous-marin en surface</x:v>
      </x:c>
      <x:c r="E369" t="n">
        <x:v>14</x:v>
      </x:c>
      <x:c r="F369" t="str">
        <x:v>Inspection physique</x:v>
      </x:c>
      <x:c r="G369" t="str">
        <x:v>2 niveaux ; 10 pièces ; 64 segments de mur ; 1 transitions. Inspection physique ; architecture complète encore ouverte.</x:v>
      </x:c>
      <x:c r="H369" t="str">
        <x:v>L 94,996 ; l 8,306 ; hauteur inconnue ; tirant 4,699 ; hauteur émergée auteur 5,601 m ; longueur/largeur/tirant sourcés ; hauteur totale réelle inconnue</x:v>
      </x:c>
      <x:c r="I369" t="str">
        <x:v>À équilibrer</x:v>
      </x:c>
      <x:c r="J369" t="str">
        <x:v>Non</x:v>
      </x:c>
      <x:c r="K369" t="str">
        <x:v>Pièces décrites, murs, portes, niveaux et mobilier inspectables à l’échelle. Volumes réservés, raccord au seed, butin, rencontres et services de campagne restent à terminer.</x:v>
      </x:c>
    </x:row>
    <x:row r="370">
      <x:c r="A370" t="str">
        <x:v>EXT-MONDE-T008-V15</x:v>
      </x:c>
      <x:c r="B370" t="str">
        <x:v>EXT-MONDE-T008</x:v>
      </x:c>
      <x:c r="C370" t="str">
        <x:v>Navires de haute mer</x:v>
      </x:c>
      <x:c r="D370" t="str">
        <x:v>Sous-marin en surface</x:v>
      </x:c>
      <x:c r="E370" t="n">
        <x:v>15</x:v>
      </x:c>
      <x:c r="F370" t="str">
        <x:v>Inspection physique</x:v>
      </x:c>
      <x:c r="G370" t="str">
        <x:v>2 niveaux ; 10 pièces ; 64 segments de mur ; 1 transitions. Inspection physique ; architecture complète encore ouverte.</x:v>
      </x:c>
      <x:c r="H370" t="str">
        <x:v>L 94,996 ; l 8,306 ; hauteur inconnue ; tirant 4,699 ; hauteur émergée auteur 5,601 m ; longueur/largeur/tirant sourcés ; hauteur totale réelle inconnue</x:v>
      </x:c>
      <x:c r="I370" t="str">
        <x:v>À équilibrer</x:v>
      </x:c>
      <x:c r="J370" t="str">
        <x:v>Non</x:v>
      </x:c>
      <x:c r="K370" t="str">
        <x:v>Pièces décrites, murs, portes, niveaux et mobilier inspectables à l’échelle. Volumes réservés, raccord au seed, butin, rencontres et services de campagne restent à terminer.</x:v>
      </x:c>
    </x:row>
    <x:row r="371">
      <x:c r="A371" t="str">
        <x:v>EXT-MONDE-T008-V16</x:v>
      </x:c>
      <x:c r="B371" t="str">
        <x:v>EXT-MONDE-T008</x:v>
      </x:c>
      <x:c r="C371" t="str">
        <x:v>Navires de haute mer</x:v>
      </x:c>
      <x:c r="D371" t="str">
        <x:v>Sous-marin en surface</x:v>
      </x:c>
      <x:c r="E371" t="n">
        <x:v>16</x:v>
      </x:c>
      <x:c r="F371" t="str">
        <x:v>Inspection physique</x:v>
      </x:c>
      <x:c r="G371" t="str">
        <x:v>2 niveaux ; 10 pièces ; 64 segments de mur ; 1 transitions. Inspection physique ; architecture complète encore ouverte.</x:v>
      </x:c>
      <x:c r="H371" t="str">
        <x:v>L 94,996 ; l 8,306 ; hauteur inconnue ; tirant 4,699 ; hauteur émergée auteur 5,601 m ; longueur/largeur/tirant sourcés ; hauteur totale réelle inconnue</x:v>
      </x:c>
      <x:c r="I371" t="str">
        <x:v>À équilibrer</x:v>
      </x:c>
      <x:c r="J371" t="str">
        <x:v>Non</x:v>
      </x:c>
      <x:c r="K371" t="str">
        <x:v>Pièces décrites, murs, portes, niveaux et mobilier inspectables à l’échelle. Volumes réservés, raccord au seed, butin, rencontres et services de campagne restent à terminer.</x:v>
      </x:c>
    </x:row>
    <x:row r="372">
      <x:c r="A372" t="str">
        <x:v>EXT-MONDE-T008-V17</x:v>
      </x:c>
      <x:c r="B372" t="str">
        <x:v>EXT-MONDE-T008</x:v>
      </x:c>
      <x:c r="C372" t="str">
        <x:v>Navires de haute mer</x:v>
      </x:c>
      <x:c r="D372" t="str">
        <x:v>Sous-marin en surface</x:v>
      </x:c>
      <x:c r="E372" t="n">
        <x:v>17</x:v>
      </x:c>
      <x:c r="F372" t="str">
        <x:v>Inspection physique</x:v>
      </x:c>
      <x:c r="G372" t="str">
        <x:v>2 niveaux ; 10 pièces ; 64 segments de mur ; 1 transitions. Inspection physique ; architecture complète encore ouverte.</x:v>
      </x:c>
      <x:c r="H372" t="str">
        <x:v>L 94,996 ; l 8,306 ; hauteur inconnue ; tirant 4,699 ; hauteur émergée auteur 5,601 m ; longueur/largeur/tirant sourcés ; hauteur totale réelle inconnue</x:v>
      </x:c>
      <x:c r="I372" t="str">
        <x:v>À équilibrer</x:v>
      </x:c>
      <x:c r="J372" t="str">
        <x:v>Non</x:v>
      </x:c>
      <x:c r="K372" t="str">
        <x:v>Pièces décrites, murs, portes, niveaux et mobilier inspectables à l’échelle. Volumes réservés, raccord au seed, butin, rencontres et services de campagne restent à terminer.</x:v>
      </x:c>
    </x:row>
    <x:row r="373">
      <x:c r="A373" t="str">
        <x:v>EXT-MONDE-T008-V18</x:v>
      </x:c>
      <x:c r="B373" t="str">
        <x:v>EXT-MONDE-T008</x:v>
      </x:c>
      <x:c r="C373" t="str">
        <x:v>Navires de haute mer</x:v>
      </x:c>
      <x:c r="D373" t="str">
        <x:v>Sous-marin en surface</x:v>
      </x:c>
      <x:c r="E373" t="n">
        <x:v>18</x:v>
      </x:c>
      <x:c r="F373" t="str">
        <x:v>Inspection physique</x:v>
      </x:c>
      <x:c r="G373" t="str">
        <x:v>2 niveaux ; 10 pièces ; 64 segments de mur ; 1 transitions. Inspection physique ; architecture complète encore ouverte.</x:v>
      </x:c>
      <x:c r="H373" t="str">
        <x:v>L 94,996 ; l 8,306 ; hauteur inconnue ; tirant 4,699 ; hauteur émergée auteur 5,601 m ; longueur/largeur/tirant sourcés ; hauteur totale réelle inconnue</x:v>
      </x:c>
      <x:c r="I373" t="str">
        <x:v>À équilibrer</x:v>
      </x:c>
      <x:c r="J373" t="str">
        <x:v>Non</x:v>
      </x:c>
      <x:c r="K373" t="str">
        <x:v>Pièces décrites, murs, portes, niveaux et mobilier inspectables à l’échelle. Volumes réservés, raccord au seed, butin, rencontres et services de campagne restent à terminer.</x:v>
      </x:c>
    </x:row>
    <x:row r="374">
      <x:c r="A374" t="str">
        <x:v>EXT-MONDE-T008-V19</x:v>
      </x:c>
      <x:c r="B374" t="str">
        <x:v>EXT-MONDE-T008</x:v>
      </x:c>
      <x:c r="C374" t="str">
        <x:v>Navires de haute mer</x:v>
      </x:c>
      <x:c r="D374" t="str">
        <x:v>Sous-marin en surface</x:v>
      </x:c>
      <x:c r="E374" t="n">
        <x:v>19</x:v>
      </x:c>
      <x:c r="F374" t="str">
        <x:v>Inspection physique</x:v>
      </x:c>
      <x:c r="G374" t="str">
        <x:v>2 niveaux ; 10 pièces ; 64 segments de mur ; 1 transitions. Inspection physique ; architecture complète encore ouverte.</x:v>
      </x:c>
      <x:c r="H374" t="str">
        <x:v>L 94,996 ; l 8,306 ; hauteur inconnue ; tirant 4,699 ; hauteur émergée auteur 5,601 m ; longueur/largeur/tirant sourcés ; hauteur totale réelle inconnue</x:v>
      </x:c>
      <x:c r="I374" t="str">
        <x:v>À équilibrer</x:v>
      </x:c>
      <x:c r="J374" t="str">
        <x:v>Non</x:v>
      </x:c>
      <x:c r="K374" t="str">
        <x:v>Pièces décrites, murs, portes, niveaux et mobilier inspectables à l’échelle. Volumes réservés, raccord au seed, butin, rencontres et services de campagne restent à terminer.</x:v>
      </x:c>
    </x:row>
    <x:row r="375">
      <x:c r="A375" t="str">
        <x:v>EXT-MONDE-T008-V20</x:v>
      </x:c>
      <x:c r="B375" t="str">
        <x:v>EXT-MONDE-T008</x:v>
      </x:c>
      <x:c r="C375" t="str">
        <x:v>Navires de haute mer</x:v>
      </x:c>
      <x:c r="D375" t="str">
        <x:v>Sous-marin en surface</x:v>
      </x:c>
      <x:c r="E375" t="n">
        <x:v>20</x:v>
      </x:c>
      <x:c r="F375" t="str">
        <x:v>Inspection physique</x:v>
      </x:c>
      <x:c r="G375" t="str">
        <x:v>2 niveaux ; 10 pièces ; 64 segments de mur ; 1 transitions. Inspection physique ; architecture complète encore ouverte.</x:v>
      </x:c>
      <x:c r="H375" t="str">
        <x:v>L 94,996 ; l 8,306 ; hauteur inconnue ; tirant 4,699 ; hauteur émergée auteur 5,601 m ; longueur/largeur/tirant sourcés ; hauteur totale réelle inconnue</x:v>
      </x:c>
      <x:c r="I375" t="str">
        <x:v>À équilibrer</x:v>
      </x:c>
      <x:c r="J375" t="str">
        <x:v>Non</x:v>
      </x:c>
      <x:c r="K375" t="str">
        <x:v>Pièces décrites, murs, portes, niveaux et mobilier inspectables à l’échelle. Volumes réservés, raccord au seed, butin, rencontres et services de campagne restent à terminer.</x:v>
      </x:c>
    </x:row>
    <x:row r="376">
      <x:c r="A376" t="str">
        <x:v>EXT-MONDE-T008-V21</x:v>
      </x:c>
      <x:c r="B376" t="str">
        <x:v>EXT-MONDE-T008</x:v>
      </x:c>
      <x:c r="C376" t="str">
        <x:v>Navires de haute mer</x:v>
      </x:c>
      <x:c r="D376" t="str">
        <x:v>Sous-marin en surface</x:v>
      </x:c>
      <x:c r="E376" t="n">
        <x:v>21</x:v>
      </x:c>
      <x:c r="F376" t="str">
        <x:v>Inspection physique</x:v>
      </x:c>
      <x:c r="G376" t="str">
        <x:v>2 niveaux ; 12 pièces ; 76 segments de mur ; 1 transitions. Inspection physique ; architecture complète encore ouverte.</x:v>
      </x:c>
      <x:c r="H376" t="str">
        <x:v>L 94,996 ; l 8,306 ; hauteur inconnue ; tirant 4,699 ; hauteur émergée auteur 5,601 m ; longueur/largeur/tirant sourcés ; hauteur totale réelle inconnue</x:v>
      </x:c>
      <x:c r="I376" t="str">
        <x:v>À équilibrer</x:v>
      </x:c>
      <x:c r="J376" t="str">
        <x:v>Non</x:v>
      </x:c>
      <x:c r="K376" t="str">
        <x:v>Pièces décrites, murs, portes, niveaux et mobilier inspectables à l’échelle. Volumes réservés, raccord au seed, butin, rencontres et services de campagne restent à terminer.</x:v>
      </x:c>
    </x:row>
    <x:row r="377">
      <x:c r="A377" t="str">
        <x:v>EXT-MONDE-T008-V22</x:v>
      </x:c>
      <x:c r="B377" t="str">
        <x:v>EXT-MONDE-T008</x:v>
      </x:c>
      <x:c r="C377" t="str">
        <x:v>Navires de haute mer</x:v>
      </x:c>
      <x:c r="D377" t="str">
        <x:v>Sous-marin en surface</x:v>
      </x:c>
      <x:c r="E377" t="n">
        <x:v>22</x:v>
      </x:c>
      <x:c r="F377" t="str">
        <x:v>Inspection physique</x:v>
      </x:c>
      <x:c r="G377" t="str">
        <x:v>2 niveaux ; 12 pièces ; 76 segments de mur ; 1 transitions. Inspection physique ; architecture complète encore ouverte.</x:v>
      </x:c>
      <x:c r="H377" t="str">
        <x:v>L 94,996 ; l 8,306 ; hauteur inconnue ; tirant 4,699 ; hauteur émergée auteur 5,601 m ; longueur/largeur/tirant sourcés ; hauteur totale réelle inconnue</x:v>
      </x:c>
      <x:c r="I377" t="str">
        <x:v>À équilibrer</x:v>
      </x:c>
      <x:c r="J377" t="str">
        <x:v>Non</x:v>
      </x:c>
      <x:c r="K377" t="str">
        <x:v>Pièces décrites, murs, portes, niveaux et mobilier inspectables à l’échelle. Volumes réservés, raccord au seed, butin, rencontres et services de campagne restent à terminer.</x:v>
      </x:c>
    </x:row>
    <x:row r="378">
      <x:c r="A378" t="str">
        <x:v>EXT-MONDE-T008-V23</x:v>
      </x:c>
      <x:c r="B378" t="str">
        <x:v>EXT-MONDE-T008</x:v>
      </x:c>
      <x:c r="C378" t="str">
        <x:v>Navires de haute mer</x:v>
      </x:c>
      <x:c r="D378" t="str">
        <x:v>Sous-marin en surface</x:v>
      </x:c>
      <x:c r="E378" t="n">
        <x:v>23</x:v>
      </x:c>
      <x:c r="F378" t="str">
        <x:v>Inspection physique</x:v>
      </x:c>
      <x:c r="G378" t="str">
        <x:v>2 niveaux ; 12 pièces ; 76 segments de mur ; 1 transitions. Inspection physique ; architecture complète encore ouverte.</x:v>
      </x:c>
      <x:c r="H378" t="str">
        <x:v>L 94,996 ; l 8,306 ; hauteur inconnue ; tirant 4,699 ; hauteur émergée auteur 5,601 m ; longueur/largeur/tirant sourcés ; hauteur totale réelle inconnue</x:v>
      </x:c>
      <x:c r="I378" t="str">
        <x:v>À équilibrer</x:v>
      </x:c>
      <x:c r="J378" t="str">
        <x:v>Non</x:v>
      </x:c>
      <x:c r="K378" t="str">
        <x:v>Pièces décrites, murs, portes, niveaux et mobilier inspectables à l’échelle. Volumes réservés, raccord au seed, butin, rencontres et services de campagne restent à terminer.</x:v>
      </x:c>
    </x:row>
    <x:row r="379">
      <x:c r="A379" t="str">
        <x:v>EXT-MONDE-T008-V24</x:v>
      </x:c>
      <x:c r="B379" t="str">
        <x:v>EXT-MONDE-T008</x:v>
      </x:c>
      <x:c r="C379" t="str">
        <x:v>Navires de haute mer</x:v>
      </x:c>
      <x:c r="D379" t="str">
        <x:v>Sous-marin en surface</x:v>
      </x:c>
      <x:c r="E379" t="n">
        <x:v>24</x:v>
      </x:c>
      <x:c r="F379" t="str">
        <x:v>Inspection physique</x:v>
      </x:c>
      <x:c r="G379" t="str">
        <x:v>2 niveaux ; 12 pièces ; 76 segments de mur ; 1 transitions. Inspection physique ; architecture complète encore ouverte.</x:v>
      </x:c>
      <x:c r="H379" t="str">
        <x:v>L 94,996 ; l 8,306 ; hauteur inconnue ; tirant 4,699 ; hauteur émergée auteur 5,601 m ; longueur/largeur/tirant sourcés ; hauteur totale réelle inconnue</x:v>
      </x:c>
      <x:c r="I379" t="str">
        <x:v>À équilibrer</x:v>
      </x:c>
      <x:c r="J379" t="str">
        <x:v>Non</x:v>
      </x:c>
      <x:c r="K379" t="str">
        <x:v>Pièces décrites, murs, portes, niveaux et mobilier inspectables à l’échelle. Volumes réservés, raccord au seed, butin, rencontres et services de campagne restent à terminer.</x:v>
      </x:c>
    </x:row>
    <x:row r="380">
      <x:c r="A380" t="str">
        <x:v>EXT-MONDE-T008-V25</x:v>
      </x:c>
      <x:c r="B380" t="str">
        <x:v>EXT-MONDE-T008</x:v>
      </x:c>
      <x:c r="C380" t="str">
        <x:v>Navires de haute mer</x:v>
      </x:c>
      <x:c r="D380" t="str">
        <x:v>Sous-marin en surface</x:v>
      </x:c>
      <x:c r="E380" t="n">
        <x:v>25</x:v>
      </x:c>
      <x:c r="F380" t="str">
        <x:v>Inspection physique</x:v>
      </x:c>
      <x:c r="G380" t="str">
        <x:v>2 niveaux ; 12 pièces ; 76 segments de mur ; 1 transitions. Inspection physique ; architecture complète encore ouverte.</x:v>
      </x:c>
      <x:c r="H380" t="str">
        <x:v>L 94,996 ; l 8,306 ; hauteur inconnue ; tirant 4,699 ; hauteur émergée auteur 5,601 m ; longueur/largeur/tirant sourcés ; hauteur totale réelle inconnue</x:v>
      </x:c>
      <x:c r="I380" t="str">
        <x:v>À équilibrer</x:v>
      </x:c>
      <x:c r="J380" t="str">
        <x:v>Non</x:v>
      </x:c>
      <x:c r="K380" t="str">
        <x:v>Pièces décrites, murs, portes, niveaux et mobilier inspectables à l’échelle. Volumes réservés, raccord au seed, butin, rencontres et services de campagne restent à terminer.</x:v>
      </x:c>
    </x:row>
    <x:row r="381">
      <x:c r="A381" t="str">
        <x:v>EXT-MONDE-T008-V26</x:v>
      </x:c>
      <x:c r="B381" t="str">
        <x:v>EXT-MONDE-T008</x:v>
      </x:c>
      <x:c r="C381" t="str">
        <x:v>Navires de haute mer</x:v>
      </x:c>
      <x:c r="D381" t="str">
        <x:v>Sous-marin en surface</x:v>
      </x:c>
      <x:c r="E381" t="n">
        <x:v>26</x:v>
      </x:c>
      <x:c r="F381" t="str">
        <x:v>Inspection physique</x:v>
      </x:c>
      <x:c r="G381" t="str">
        <x:v>2 niveaux ; 12 pièces ; 76 segments de mur ; 1 transitions. Inspection physique ; architecture complète encore ouverte.</x:v>
      </x:c>
      <x:c r="H381" t="str">
        <x:v>L 94,996 ; l 8,306 ; hauteur inconnue ; tirant 4,699 ; hauteur émergée auteur 5,601 m ; longueur/largeur/tirant sourcés ; hauteur totale réelle inconnue</x:v>
      </x:c>
      <x:c r="I381" t="str">
        <x:v>À équilibrer</x:v>
      </x:c>
      <x:c r="J381" t="str">
        <x:v>Non</x:v>
      </x:c>
      <x:c r="K381" t="str">
        <x:v>Pièces décrites, murs, portes, niveaux et mobilier inspectables à l’échelle. Volumes réservés, raccord au seed, butin, rencontres et services de campagne restent à terminer.</x:v>
      </x:c>
    </x:row>
    <x:row r="382">
      <x:c r="A382" t="str">
        <x:v>EXT-MONDE-T008-V27</x:v>
      </x:c>
      <x:c r="B382" t="str">
        <x:v>EXT-MONDE-T008</x:v>
      </x:c>
      <x:c r="C382" t="str">
        <x:v>Navires de haute mer</x:v>
      </x:c>
      <x:c r="D382" t="str">
        <x:v>Sous-marin en surface</x:v>
      </x:c>
      <x:c r="E382" t="n">
        <x:v>27</x:v>
      </x:c>
      <x:c r="F382" t="str">
        <x:v>Inspection physique</x:v>
      </x:c>
      <x:c r="G382" t="str">
        <x:v>2 niveaux ; 12 pièces ; 76 segments de mur ; 1 transitions. Inspection physique ; architecture complète encore ouverte.</x:v>
      </x:c>
      <x:c r="H382" t="str">
        <x:v>L 94,996 ; l 8,306 ; hauteur inconnue ; tirant 4,699 ; hauteur émergée auteur 5,601 m ; longueur/largeur/tirant sourcés ; hauteur totale réelle inconnue</x:v>
      </x:c>
      <x:c r="I382" t="str">
        <x:v>À équilibrer</x:v>
      </x:c>
      <x:c r="J382" t="str">
        <x:v>Non</x:v>
      </x:c>
      <x:c r="K382" t="str">
        <x:v>Pièces décrites, murs, portes, niveaux et mobilier inspectables à l’échelle. Volumes réservés, raccord au seed, butin, rencontres et services de campagne restent à terminer.</x:v>
      </x:c>
    </x:row>
    <x:row r="383">
      <x:c r="A383" t="str">
        <x:v>EXT-MONDE-T008-V28</x:v>
      </x:c>
      <x:c r="B383" t="str">
        <x:v>EXT-MONDE-T008</x:v>
      </x:c>
      <x:c r="C383" t="str">
        <x:v>Navires de haute mer</x:v>
      </x:c>
      <x:c r="D383" t="str">
        <x:v>Sous-marin en surface</x:v>
      </x:c>
      <x:c r="E383" t="n">
        <x:v>28</x:v>
      </x:c>
      <x:c r="F383" t="str">
        <x:v>Inspection physique</x:v>
      </x:c>
      <x:c r="G383" t="str">
        <x:v>2 niveaux ; 12 pièces ; 76 segments de mur ; 1 transitions. Inspection physique ; architecture complète encore ouverte.</x:v>
      </x:c>
      <x:c r="H383" t="str">
        <x:v>L 94,996 ; l 8,306 ; hauteur inconnue ; tirant 4,699 ; hauteur émergée auteur 5,601 m ; longueur/largeur/tirant sourcés ; hauteur totale réelle inconnue</x:v>
      </x:c>
      <x:c r="I383" t="str">
        <x:v>À équilibrer</x:v>
      </x:c>
      <x:c r="J383" t="str">
        <x:v>Non</x:v>
      </x:c>
      <x:c r="K383" t="str">
        <x:v>Pièces décrites, murs, portes, niveaux et mobilier inspectables à l’échelle. Volumes réservés, raccord au seed, butin, rencontres et services de campagne restent à terminer.</x:v>
      </x:c>
    </x:row>
    <x:row r="384">
      <x:c r="A384" t="str">
        <x:v>EXT-MONDE-T008-V29</x:v>
      </x:c>
      <x:c r="B384" t="str">
        <x:v>EXT-MONDE-T008</x:v>
      </x:c>
      <x:c r="C384" t="str">
        <x:v>Navires de haute mer</x:v>
      </x:c>
      <x:c r="D384" t="str">
        <x:v>Sous-marin en surface</x:v>
      </x:c>
      <x:c r="E384" t="n">
        <x:v>29</x:v>
      </x:c>
      <x:c r="F384" t="str">
        <x:v>Inspection physique</x:v>
      </x:c>
      <x:c r="G384" t="str">
        <x:v>2 niveaux ; 12 pièces ; 76 segments de mur ; 1 transitions. Inspection physique ; architecture complète encore ouverte.</x:v>
      </x:c>
      <x:c r="H384" t="str">
        <x:v>L 94,996 ; l 8,306 ; hauteur inconnue ; tirant 4,699 ; hauteur émergée auteur 5,601 m ; longueur/largeur/tirant sourcés ; hauteur totale réelle inconnue</x:v>
      </x:c>
      <x:c r="I384" t="str">
        <x:v>À équilibrer</x:v>
      </x:c>
      <x:c r="J384" t="str">
        <x:v>Non</x:v>
      </x:c>
      <x:c r="K384" t="str">
        <x:v>Pièces décrites, murs, portes, niveaux et mobilier inspectables à l’échelle. Volumes réservés, raccord au seed, butin, rencontres et services de campagne restent à terminer.</x:v>
      </x:c>
    </x:row>
    <x:row r="385">
      <x:c r="A385" t="str">
        <x:v>EXT-MONDE-T008-V30</x:v>
      </x:c>
      <x:c r="B385" t="str">
        <x:v>EXT-MONDE-T008</x:v>
      </x:c>
      <x:c r="C385" t="str">
        <x:v>Navires de haute mer</x:v>
      </x:c>
      <x:c r="D385" t="str">
        <x:v>Sous-marin en surface</x:v>
      </x:c>
      <x:c r="E385" t="n">
        <x:v>30</x:v>
      </x:c>
      <x:c r="F385" t="str">
        <x:v>Inspection physique</x:v>
      </x:c>
      <x:c r="G385" t="str">
        <x:v>2 niveaux ; 12 pièces ; 76 segments de mur ; 1 transitions. Inspection physique ; architecture complète encore ouverte.</x:v>
      </x:c>
      <x:c r="H385" t="str">
        <x:v>L 94,996 ; l 8,306 ; hauteur inconnue ; tirant 4,699 ; hauteur émergée auteur 5,601 m ; longueur/largeur/tirant sourcés ; hauteur totale réelle inconnue</x:v>
      </x:c>
      <x:c r="I385" t="str">
        <x:v>À équilibrer</x:v>
      </x:c>
      <x:c r="J385" t="str">
        <x:v>Non</x:v>
      </x:c>
      <x:c r="K385" t="str">
        <x:v>Pièces décrites, murs, portes, niveaux et mobilier inspectables à l’échelle. Volumes réservés, raccord au seed, butin, rencontres et services de campagne restent à terminer.</x:v>
      </x:c>
    </x:row>
    <x:row r="386">
      <x:c r="A386" t="str">
        <x:v>EXT-MONDE-T008-V31</x:v>
      </x:c>
      <x:c r="B386" t="str">
        <x:v>EXT-MONDE-T008</x:v>
      </x:c>
      <x:c r="C386" t="str">
        <x:v>Navires de haute mer</x:v>
      </x:c>
      <x:c r="D386" t="str">
        <x:v>Sous-marin en surface</x:v>
      </x:c>
      <x:c r="E386" t="n">
        <x:v>31</x:v>
      </x:c>
      <x:c r="F386" t="str">
        <x:v>Inspection physique</x:v>
      </x:c>
      <x:c r="G386" t="str">
        <x:v>2 niveaux ; 14 pièces ; 88 segments de mur ; 1 transitions. Inspection physique ; architecture complète encore ouverte.</x:v>
      </x:c>
      <x:c r="H386" t="str">
        <x:v>L 94,996 ; l 8,306 ; hauteur inconnue ; tirant 4,699 ; hauteur émergée auteur 5,601 m ; longueur/largeur/tirant sourcés ; hauteur totale réelle inconnue</x:v>
      </x:c>
      <x:c r="I386" t="str">
        <x:v>À équilibrer</x:v>
      </x:c>
      <x:c r="J386" t="str">
        <x:v>Non</x:v>
      </x:c>
      <x:c r="K386" t="str">
        <x:v>Pièces décrites, murs, portes, niveaux et mobilier inspectables à l’échelle. Volumes réservés, raccord au seed, butin, rencontres et services de campagne restent à terminer.</x:v>
      </x:c>
    </x:row>
    <x:row r="387">
      <x:c r="A387" t="str">
        <x:v>EXT-MONDE-T008-V32</x:v>
      </x:c>
      <x:c r="B387" t="str">
        <x:v>EXT-MONDE-T008</x:v>
      </x:c>
      <x:c r="C387" t="str">
        <x:v>Navires de haute mer</x:v>
      </x:c>
      <x:c r="D387" t="str">
        <x:v>Sous-marin en surface</x:v>
      </x:c>
      <x:c r="E387" t="n">
        <x:v>32</x:v>
      </x:c>
      <x:c r="F387" t="str">
        <x:v>Inspection physique</x:v>
      </x:c>
      <x:c r="G387" t="str">
        <x:v>2 niveaux ; 14 pièces ; 88 segments de mur ; 1 transitions. Inspection physique ; architecture complète encore ouverte.</x:v>
      </x:c>
      <x:c r="H387" t="str">
        <x:v>L 94,996 ; l 8,306 ; hauteur inconnue ; tirant 4,699 ; hauteur émergée auteur 5,601 m ; longueur/largeur/tirant sourcés ; hauteur totale réelle inconnue</x:v>
      </x:c>
      <x:c r="I387" t="str">
        <x:v>À équilibrer</x:v>
      </x:c>
      <x:c r="J387" t="str">
        <x:v>Non</x:v>
      </x:c>
      <x:c r="K387" t="str">
        <x:v>Pièces décrites, murs, portes, niveaux et mobilier inspectables à l’échelle. Volumes réservés, raccord au seed, butin, rencontres et services de campagne restent à terminer.</x:v>
      </x:c>
    </x:row>
    <x:row r="388">
      <x:c r="A388" t="str">
        <x:v>EXT-MONDE-T008-V33</x:v>
      </x:c>
      <x:c r="B388" t="str">
        <x:v>EXT-MONDE-T008</x:v>
      </x:c>
      <x:c r="C388" t="str">
        <x:v>Navires de haute mer</x:v>
      </x:c>
      <x:c r="D388" t="str">
        <x:v>Sous-marin en surface</x:v>
      </x:c>
      <x:c r="E388" t="n">
        <x:v>33</x:v>
      </x:c>
      <x:c r="F388" t="str">
        <x:v>Inspection physique</x:v>
      </x:c>
      <x:c r="G388" t="str">
        <x:v>2 niveaux ; 14 pièces ; 88 segments de mur ; 1 transitions. Inspection physique ; architecture complète encore ouverte.</x:v>
      </x:c>
      <x:c r="H388" t="str">
        <x:v>L 94,996 ; l 8,306 ; hauteur inconnue ; tirant 4,699 ; hauteur émergée auteur 5,601 m ; longueur/largeur/tirant sourcés ; hauteur totale réelle inconnue</x:v>
      </x:c>
      <x:c r="I388" t="str">
        <x:v>À équilibrer</x:v>
      </x:c>
      <x:c r="J388" t="str">
        <x:v>Non</x:v>
      </x:c>
      <x:c r="K388" t="str">
        <x:v>Pièces décrites, murs, portes, niveaux et mobilier inspectables à l’échelle. Volumes réservés, raccord au seed, butin, rencontres et services de campagne restent à terminer.</x:v>
      </x:c>
    </x:row>
    <x:row r="389">
      <x:c r="A389" t="str">
        <x:v>EXT-MONDE-T008-V34</x:v>
      </x:c>
      <x:c r="B389" t="str">
        <x:v>EXT-MONDE-T008</x:v>
      </x:c>
      <x:c r="C389" t="str">
        <x:v>Navires de haute mer</x:v>
      </x:c>
      <x:c r="D389" t="str">
        <x:v>Sous-marin en surface</x:v>
      </x:c>
      <x:c r="E389" t="n">
        <x:v>34</x:v>
      </x:c>
      <x:c r="F389" t="str">
        <x:v>Inspection physique</x:v>
      </x:c>
      <x:c r="G389" t="str">
        <x:v>2 niveaux ; 14 pièces ; 88 segments de mur ; 1 transitions. Inspection physique ; architecture complète encore ouverte.</x:v>
      </x:c>
      <x:c r="H389" t="str">
        <x:v>L 94,996 ; l 8,306 ; hauteur inconnue ; tirant 4,699 ; hauteur émergée auteur 5,601 m ; longueur/largeur/tirant sourcés ; hauteur totale réelle inconnue</x:v>
      </x:c>
      <x:c r="I389" t="str">
        <x:v>À équilibrer</x:v>
      </x:c>
      <x:c r="J389" t="str">
        <x:v>Non</x:v>
      </x:c>
      <x:c r="K389" t="str">
        <x:v>Pièces décrites, murs, portes, niveaux et mobilier inspectables à l’échelle. Volumes réservés, raccord au seed, butin, rencontres et services de campagne restent à terminer.</x:v>
      </x:c>
    </x:row>
    <x:row r="390">
      <x:c r="A390" t="str">
        <x:v>EXT-MONDE-T008-V35</x:v>
      </x:c>
      <x:c r="B390" t="str">
        <x:v>EXT-MONDE-T008</x:v>
      </x:c>
      <x:c r="C390" t="str">
        <x:v>Navires de haute mer</x:v>
      </x:c>
      <x:c r="D390" t="str">
        <x:v>Sous-marin en surface</x:v>
      </x:c>
      <x:c r="E390" t="n">
        <x:v>35</x:v>
      </x:c>
      <x:c r="F390" t="str">
        <x:v>Inspection physique</x:v>
      </x:c>
      <x:c r="G390" t="str">
        <x:v>2 niveaux ; 14 pièces ; 88 segments de mur ; 1 transitions. Inspection physique ; architecture complète encore ouverte.</x:v>
      </x:c>
      <x:c r="H390" t="str">
        <x:v>L 94,996 ; l 8,306 ; hauteur inconnue ; tirant 4,699 ; hauteur émergée auteur 5,601 m ; longueur/largeur/tirant sourcés ; hauteur totale réelle inconnue</x:v>
      </x:c>
      <x:c r="I390" t="str">
        <x:v>À équilibrer</x:v>
      </x:c>
      <x:c r="J390" t="str">
        <x:v>Non</x:v>
      </x:c>
      <x:c r="K390" t="str">
        <x:v>Pièces décrites, murs, portes, niveaux et mobilier inspectables à l’échelle. Volumes réservés, raccord au seed, butin, rencontres et services de campagne restent à terminer.</x:v>
      </x:c>
    </x:row>
    <x:row r="391">
      <x:c r="A391" t="str">
        <x:v>EXT-MONDE-T008-V36</x:v>
      </x:c>
      <x:c r="B391" t="str">
        <x:v>EXT-MONDE-T008</x:v>
      </x:c>
      <x:c r="C391" t="str">
        <x:v>Navires de haute mer</x:v>
      </x:c>
      <x:c r="D391" t="str">
        <x:v>Sous-marin en surface</x:v>
      </x:c>
      <x:c r="E391" t="n">
        <x:v>36</x:v>
      </x:c>
      <x:c r="F391" t="str">
        <x:v>Inspection physique</x:v>
      </x:c>
      <x:c r="G391" t="str">
        <x:v>2 niveaux ; 14 pièces ; 88 segments de mur ; 1 transitions. Inspection physique ; architecture complète encore ouverte.</x:v>
      </x:c>
      <x:c r="H391" t="str">
        <x:v>L 94,996 ; l 8,306 ; hauteur inconnue ; tirant 4,699 ; hauteur émergée auteur 5,601 m ; longueur/largeur/tirant sourcés ; hauteur totale réelle inconnue</x:v>
      </x:c>
      <x:c r="I391" t="str">
        <x:v>À équilibrer</x:v>
      </x:c>
      <x:c r="J391" t="str">
        <x:v>Non</x:v>
      </x:c>
      <x:c r="K391" t="str">
        <x:v>Pièces décrites, murs, portes, niveaux et mobilier inspectables à l’échelle. Volumes réservés, raccord au seed, butin, rencontres et services de campagne restent à terminer.</x:v>
      </x:c>
    </x:row>
    <x:row r="392">
      <x:c r="A392" t="str">
        <x:v>EXT-MONDE-T008-V37</x:v>
      </x:c>
      <x:c r="B392" t="str">
        <x:v>EXT-MONDE-T008</x:v>
      </x:c>
      <x:c r="C392" t="str">
        <x:v>Navires de haute mer</x:v>
      </x:c>
      <x:c r="D392" t="str">
        <x:v>Sous-marin en surface</x:v>
      </x:c>
      <x:c r="E392" t="n">
        <x:v>37</x:v>
      </x:c>
      <x:c r="F392" t="str">
        <x:v>Inspection physique</x:v>
      </x:c>
      <x:c r="G392" t="str">
        <x:v>2 niveaux ; 14 pièces ; 88 segments de mur ; 1 transitions. Inspection physique ; architecture complète encore ouverte.</x:v>
      </x:c>
      <x:c r="H392" t="str">
        <x:v>L 94,996 ; l 8,306 ; hauteur inconnue ; tirant 4,699 ; hauteur émergée auteur 5,601 m ; longueur/largeur/tirant sourcés ; hauteur totale réelle inconnue</x:v>
      </x:c>
      <x:c r="I392" t="str">
        <x:v>À équilibrer</x:v>
      </x:c>
      <x:c r="J392" t="str">
        <x:v>Non</x:v>
      </x:c>
      <x:c r="K392" t="str">
        <x:v>Pièces décrites, murs, portes, niveaux et mobilier inspectables à l’échelle. Volumes réservés, raccord au seed, butin, rencontres et services de campagne restent à terminer.</x:v>
      </x:c>
    </x:row>
    <x:row r="393">
      <x:c r="A393" t="str">
        <x:v>EXT-MONDE-T008-V38</x:v>
      </x:c>
      <x:c r="B393" t="str">
        <x:v>EXT-MONDE-T008</x:v>
      </x:c>
      <x:c r="C393" t="str">
        <x:v>Navires de haute mer</x:v>
      </x:c>
      <x:c r="D393" t="str">
        <x:v>Sous-marin en surface</x:v>
      </x:c>
      <x:c r="E393" t="n">
        <x:v>38</x:v>
      </x:c>
      <x:c r="F393" t="str">
        <x:v>Inspection physique</x:v>
      </x:c>
      <x:c r="G393" t="str">
        <x:v>2 niveaux ; 14 pièces ; 88 segments de mur ; 1 transitions. Inspection physique ; architecture complète encore ouverte.</x:v>
      </x:c>
      <x:c r="H393" t="str">
        <x:v>L 94,996 ; l 8,306 ; hauteur inconnue ; tirant 4,699 ; hauteur émergée auteur 5,601 m ; longueur/largeur/tirant sourcés ; hauteur totale réelle inconnue</x:v>
      </x:c>
      <x:c r="I393" t="str">
        <x:v>À équilibrer</x:v>
      </x:c>
      <x:c r="J393" t="str">
        <x:v>Non</x:v>
      </x:c>
      <x:c r="K393" t="str">
        <x:v>Pièces décrites, murs, portes, niveaux et mobilier inspectables à l’échelle. Volumes réservés, raccord au seed, butin, rencontres et services de campagne restent à terminer.</x:v>
      </x:c>
    </x:row>
    <x:row r="394">
      <x:c r="A394" t="str">
        <x:v>EXT-MONDE-T008-V39</x:v>
      </x:c>
      <x:c r="B394" t="str">
        <x:v>EXT-MONDE-T008</x:v>
      </x:c>
      <x:c r="C394" t="str">
        <x:v>Navires de haute mer</x:v>
      </x:c>
      <x:c r="D394" t="str">
        <x:v>Sous-marin en surface</x:v>
      </x:c>
      <x:c r="E394" t="n">
        <x:v>39</x:v>
      </x:c>
      <x:c r="F394" t="str">
        <x:v>Inspection physique</x:v>
      </x:c>
      <x:c r="G394" t="str">
        <x:v>2 niveaux ; 14 pièces ; 88 segments de mur ; 1 transitions. Inspection physique ; architecture complète encore ouverte.</x:v>
      </x:c>
      <x:c r="H394" t="str">
        <x:v>L 94,996 ; l 8,306 ; hauteur inconnue ; tirant 4,699 ; hauteur émergée auteur 5,601 m ; longueur/largeur/tirant sourcés ; hauteur totale réelle inconnue</x:v>
      </x:c>
      <x:c r="I394" t="str">
        <x:v>À équilibrer</x:v>
      </x:c>
      <x:c r="J394" t="str">
        <x:v>Non</x:v>
      </x:c>
      <x:c r="K394" t="str">
        <x:v>Pièces décrites, murs, portes, niveaux et mobilier inspectables à l’échelle. Volumes réservés, raccord au seed, butin, rencontres et services de campagne restent à terminer.</x:v>
      </x:c>
    </x:row>
    <x:row r="395">
      <x:c r="A395" t="str">
        <x:v>EXT-MONDE-T008-V40</x:v>
      </x:c>
      <x:c r="B395" t="str">
        <x:v>EXT-MONDE-T008</x:v>
      </x:c>
      <x:c r="C395" t="str">
        <x:v>Navires de haute mer</x:v>
      </x:c>
      <x:c r="D395" t="str">
        <x:v>Sous-marin en surface</x:v>
      </x:c>
      <x:c r="E395" t="n">
        <x:v>40</x:v>
      </x:c>
      <x:c r="F395" t="str">
        <x:v>Inspection physique</x:v>
      </x:c>
      <x:c r="G395" t="str">
        <x:v>2 niveaux ; 14 pièces ; 88 segments de mur ; 1 transitions. Inspection physique ; architecture complète encore ouverte.</x:v>
      </x:c>
      <x:c r="H395" t="str">
        <x:v>L 94,996 ; l 8,306 ; hauteur inconnue ; tirant 4,699 ; hauteur émergée auteur 5,601 m ; longueur/largeur/tirant sourcés ; hauteur totale réelle inconnue</x:v>
      </x:c>
      <x:c r="I395" t="str">
        <x:v>À équilibrer</x:v>
      </x:c>
      <x:c r="J395" t="str">
        <x:v>Non</x:v>
      </x:c>
      <x:c r="K395" t="str">
        <x:v>Pièces décrites, murs, portes, niveaux et mobilier inspectables à l’échelle. Volumes réservés, raccord au seed, butin, rencontres et services de campagne restent à terminer.</x:v>
      </x:c>
    </x:row>
    <x:row r="396">
      <x:c r="A396" t="str">
        <x:v>EXT-MONDE-T008-V41</x:v>
      </x:c>
      <x:c r="B396" t="str">
        <x:v>EXT-MONDE-T008</x:v>
      </x:c>
      <x:c r="C396" t="str">
        <x:v>Navires de haute mer</x:v>
      </x:c>
      <x:c r="D396" t="str">
        <x:v>Sous-marin en surface</x:v>
      </x:c>
      <x:c r="E396" t="n">
        <x:v>41</x:v>
      </x:c>
      <x:c r="F396" t="str">
        <x:v>Inspection physique</x:v>
      </x:c>
      <x:c r="G396" t="str">
        <x:v>2 niveaux ; 16 pièces ; 100 segments de mur ; 1 transitions. Inspection physique ; architecture complète encore ouverte.</x:v>
      </x:c>
      <x:c r="H396" t="str">
        <x:v>L 94,996 ; l 8,306 ; hauteur inconnue ; tirant 4,699 ; hauteur émergée auteur 5,601 m ; longueur/largeur/tirant sourcés ; hauteur totale réelle inconnue</x:v>
      </x:c>
      <x:c r="I396" t="str">
        <x:v>À équilibrer</x:v>
      </x:c>
      <x:c r="J396" t="str">
        <x:v>Non</x:v>
      </x:c>
      <x:c r="K396" t="str">
        <x:v>Pièces décrites, murs, portes, niveaux et mobilier inspectables à l’échelle. Volumes réservés, raccord au seed, butin, rencontres et services de campagne restent à terminer.</x:v>
      </x:c>
    </x:row>
    <x:row r="397">
      <x:c r="A397" t="str">
        <x:v>EXT-MONDE-T008-V42</x:v>
      </x:c>
      <x:c r="B397" t="str">
        <x:v>EXT-MONDE-T008</x:v>
      </x:c>
      <x:c r="C397" t="str">
        <x:v>Navires de haute mer</x:v>
      </x:c>
      <x:c r="D397" t="str">
        <x:v>Sous-marin en surface</x:v>
      </x:c>
      <x:c r="E397" t="n">
        <x:v>42</x:v>
      </x:c>
      <x:c r="F397" t="str">
        <x:v>Inspection physique</x:v>
      </x:c>
      <x:c r="G397" t="str">
        <x:v>2 niveaux ; 16 pièces ; 100 segments de mur ; 1 transitions. Inspection physique ; architecture complète encore ouverte.</x:v>
      </x:c>
      <x:c r="H397" t="str">
        <x:v>L 94,996 ; l 8,306 ; hauteur inconnue ; tirant 4,699 ; hauteur émergée auteur 5,601 m ; longueur/largeur/tirant sourcés ; hauteur totale réelle inconnue</x:v>
      </x:c>
      <x:c r="I397" t="str">
        <x:v>À équilibrer</x:v>
      </x:c>
      <x:c r="J397" t="str">
        <x:v>Non</x:v>
      </x:c>
      <x:c r="K397" t="str">
        <x:v>Pièces décrites, murs, portes, niveaux et mobilier inspectables à l’échelle. Volumes réservés, raccord au seed, butin, rencontres et services de campagne restent à terminer.</x:v>
      </x:c>
    </x:row>
    <x:row r="398">
      <x:c r="A398" t="str">
        <x:v>EXT-MONDE-T008-V43</x:v>
      </x:c>
      <x:c r="B398" t="str">
        <x:v>EXT-MONDE-T008</x:v>
      </x:c>
      <x:c r="C398" t="str">
        <x:v>Navires de haute mer</x:v>
      </x:c>
      <x:c r="D398" t="str">
        <x:v>Sous-marin en surface</x:v>
      </x:c>
      <x:c r="E398" t="n">
        <x:v>43</x:v>
      </x:c>
      <x:c r="F398" t="str">
        <x:v>Inspection physique</x:v>
      </x:c>
      <x:c r="G398" t="str">
        <x:v>2 niveaux ; 16 pièces ; 100 segments de mur ; 1 transitions. Inspection physique ; architecture complète encore ouverte.</x:v>
      </x:c>
      <x:c r="H398" t="str">
        <x:v>L 94,996 ; l 8,306 ; hauteur inconnue ; tirant 4,699 ; hauteur émergée auteur 5,601 m ; longueur/largeur/tirant sourcés ; hauteur totale réelle inconnue</x:v>
      </x:c>
      <x:c r="I398" t="str">
        <x:v>À équilibrer</x:v>
      </x:c>
      <x:c r="J398" t="str">
        <x:v>Non</x:v>
      </x:c>
      <x:c r="K398" t="str">
        <x:v>Pièces décrites, murs, portes, niveaux et mobilier inspectables à l’échelle. Volumes réservés, raccord au seed, butin, rencontres et services de campagne restent à terminer.</x:v>
      </x:c>
    </x:row>
    <x:row r="399">
      <x:c r="A399" t="str">
        <x:v>EXT-MONDE-T008-V44</x:v>
      </x:c>
      <x:c r="B399" t="str">
        <x:v>EXT-MONDE-T008</x:v>
      </x:c>
      <x:c r="C399" t="str">
        <x:v>Navires de haute mer</x:v>
      </x:c>
      <x:c r="D399" t="str">
        <x:v>Sous-marin en surface</x:v>
      </x:c>
      <x:c r="E399" t="n">
        <x:v>44</x:v>
      </x:c>
      <x:c r="F399" t="str">
        <x:v>Inspection physique</x:v>
      </x:c>
      <x:c r="G399" t="str">
        <x:v>2 niveaux ; 16 pièces ; 100 segments de mur ; 1 transitions. Inspection physique ; architecture complète encore ouverte.</x:v>
      </x:c>
      <x:c r="H399" t="str">
        <x:v>L 94,996 ; l 8,306 ; hauteur inconnue ; tirant 4,699 ; hauteur émergée auteur 5,601 m ; longueur/largeur/tirant sourcés ; hauteur totale réelle inconnue</x:v>
      </x:c>
      <x:c r="I399" t="str">
        <x:v>À équilibrer</x:v>
      </x:c>
      <x:c r="J399" t="str">
        <x:v>Non</x:v>
      </x:c>
      <x:c r="K399" t="str">
        <x:v>Pièces décrites, murs, portes, niveaux et mobilier inspectables à l’échelle. Volumes réservés, raccord au seed, butin, rencontres et services de campagne restent à terminer.</x:v>
      </x:c>
    </x:row>
    <x:row r="400">
      <x:c r="A400" t="str">
        <x:v>EXT-MONDE-T008-V45</x:v>
      </x:c>
      <x:c r="B400" t="str">
        <x:v>EXT-MONDE-T008</x:v>
      </x:c>
      <x:c r="C400" t="str">
        <x:v>Navires de haute mer</x:v>
      </x:c>
      <x:c r="D400" t="str">
        <x:v>Sous-marin en surface</x:v>
      </x:c>
      <x:c r="E400" t="n">
        <x:v>45</x:v>
      </x:c>
      <x:c r="F400" t="str">
        <x:v>Inspection physique</x:v>
      </x:c>
      <x:c r="G400" t="str">
        <x:v>2 niveaux ; 16 pièces ; 100 segments de mur ; 1 transitions. Inspection physique ; architecture complète encore ouverte.</x:v>
      </x:c>
      <x:c r="H400" t="str">
        <x:v>L 94,996 ; l 8,306 ; hauteur inconnue ; tirant 4,699 ; hauteur émergée auteur 5,601 m ; longueur/largeur/tirant sourcés ; hauteur totale réelle inconnue</x:v>
      </x:c>
      <x:c r="I400" t="str">
        <x:v>À équilibrer</x:v>
      </x:c>
      <x:c r="J400" t="str">
        <x:v>Non</x:v>
      </x:c>
      <x:c r="K400" t="str">
        <x:v>Pièces décrites, murs, portes, niveaux et mobilier inspectables à l’échelle. Volumes réservés, raccord au seed, butin, rencontres et services de campagne restent à terminer.</x:v>
      </x:c>
    </x:row>
    <x:row r="401">
      <x:c r="A401" t="str">
        <x:v>EXT-MONDE-T008-V46</x:v>
      </x:c>
      <x:c r="B401" t="str">
        <x:v>EXT-MONDE-T008</x:v>
      </x:c>
      <x:c r="C401" t="str">
        <x:v>Navires de haute mer</x:v>
      </x:c>
      <x:c r="D401" t="str">
        <x:v>Sous-marin en surface</x:v>
      </x:c>
      <x:c r="E401" t="n">
        <x:v>46</x:v>
      </x:c>
      <x:c r="F401" t="str">
        <x:v>Inspection physique</x:v>
      </x:c>
      <x:c r="G401" t="str">
        <x:v>2 niveaux ; 16 pièces ; 100 segments de mur ; 1 transitions. Inspection physique ; architecture complète encore ouverte.</x:v>
      </x:c>
      <x:c r="H401" t="str">
        <x:v>L 94,996 ; l 8,306 ; hauteur inconnue ; tirant 4,699 ; hauteur émergée auteur 5,601 m ; longueur/largeur/tirant sourcés ; hauteur totale réelle inconnue</x:v>
      </x:c>
      <x:c r="I401" t="str">
        <x:v>À équilibrer</x:v>
      </x:c>
      <x:c r="J401" t="str">
        <x:v>Non</x:v>
      </x:c>
      <x:c r="K401" t="str">
        <x:v>Pièces décrites, murs, portes, niveaux et mobilier inspectables à l’échelle. Volumes réservés, raccord au seed, butin, rencontres et services de campagne restent à terminer.</x:v>
      </x:c>
    </x:row>
    <x:row r="402">
      <x:c r="A402" t="str">
        <x:v>EXT-MONDE-T008-V47</x:v>
      </x:c>
      <x:c r="B402" t="str">
        <x:v>EXT-MONDE-T008</x:v>
      </x:c>
      <x:c r="C402" t="str">
        <x:v>Navires de haute mer</x:v>
      </x:c>
      <x:c r="D402" t="str">
        <x:v>Sous-marin en surface</x:v>
      </x:c>
      <x:c r="E402" t="n">
        <x:v>47</x:v>
      </x:c>
      <x:c r="F402" t="str">
        <x:v>Inspection physique</x:v>
      </x:c>
      <x:c r="G402" t="str">
        <x:v>2 niveaux ; 16 pièces ; 100 segments de mur ; 1 transitions. Inspection physique ; architecture complète encore ouverte.</x:v>
      </x:c>
      <x:c r="H402" t="str">
        <x:v>L 94,996 ; l 8,306 ; hauteur inconnue ; tirant 4,699 ; hauteur émergée auteur 5,601 m ; longueur/largeur/tirant sourcés ; hauteur totale réelle inconnue</x:v>
      </x:c>
      <x:c r="I402" t="str">
        <x:v>À équilibrer</x:v>
      </x:c>
      <x:c r="J402" t="str">
        <x:v>Non</x:v>
      </x:c>
      <x:c r="K402" t="str">
        <x:v>Pièces décrites, murs, portes, niveaux et mobilier inspectables à l’échelle. Volumes réservés, raccord au seed, butin, rencontres et services de campagne restent à terminer.</x:v>
      </x:c>
    </x:row>
    <x:row r="403">
      <x:c r="A403" t="str">
        <x:v>EXT-MONDE-T008-V48</x:v>
      </x:c>
      <x:c r="B403" t="str">
        <x:v>EXT-MONDE-T008</x:v>
      </x:c>
      <x:c r="C403" t="str">
        <x:v>Navires de haute mer</x:v>
      </x:c>
      <x:c r="D403" t="str">
        <x:v>Sous-marin en surface</x:v>
      </x:c>
      <x:c r="E403" t="n">
        <x:v>48</x:v>
      </x:c>
      <x:c r="F403" t="str">
        <x:v>Inspection physique</x:v>
      </x:c>
      <x:c r="G403" t="str">
        <x:v>2 niveaux ; 16 pièces ; 100 segments de mur ; 1 transitions. Inspection physique ; architecture complète encore ouverte.</x:v>
      </x:c>
      <x:c r="H403" t="str">
        <x:v>L 94,996 ; l 8,306 ; hauteur inconnue ; tirant 4,699 ; hauteur émergée auteur 5,601 m ; longueur/largeur/tirant sourcés ; hauteur totale réelle inconnue</x:v>
      </x:c>
      <x:c r="I403" t="str">
        <x:v>À équilibrer</x:v>
      </x:c>
      <x:c r="J403" t="str">
        <x:v>Non</x:v>
      </x:c>
      <x:c r="K403" t="str">
        <x:v>Pièces décrites, murs, portes, niveaux et mobilier inspectables à l’échelle. Volumes réservés, raccord au seed, butin, rencontres et services de campagne restent à terminer.</x:v>
      </x:c>
    </x:row>
    <x:row r="404">
      <x:c r="A404" t="str">
        <x:v>EXT-MONDE-T008-V49</x:v>
      </x:c>
      <x:c r="B404" t="str">
        <x:v>EXT-MONDE-T008</x:v>
      </x:c>
      <x:c r="C404" t="str">
        <x:v>Navires de haute mer</x:v>
      </x:c>
      <x:c r="D404" t="str">
        <x:v>Sous-marin en surface</x:v>
      </x:c>
      <x:c r="E404" t="n">
        <x:v>49</x:v>
      </x:c>
      <x:c r="F404" t="str">
        <x:v>Inspection physique</x:v>
      </x:c>
      <x:c r="G404" t="str">
        <x:v>2 niveaux ; 16 pièces ; 100 segments de mur ; 1 transitions. Inspection physique ; architecture complète encore ouverte.</x:v>
      </x:c>
      <x:c r="H404" t="str">
        <x:v>L 94,996 ; l 8,306 ; hauteur inconnue ; tirant 4,699 ; hauteur émergée auteur 5,601 m ; longueur/largeur/tirant sourcés ; hauteur totale réelle inconnue</x:v>
      </x:c>
      <x:c r="I404" t="str">
        <x:v>À équilibrer</x:v>
      </x:c>
      <x:c r="J404" t="str">
        <x:v>Non</x:v>
      </x:c>
      <x:c r="K404" t="str">
        <x:v>Pièces décrites, murs, portes, niveaux et mobilier inspectables à l’échelle. Volumes réservés, raccord au seed, butin, rencontres et services de campagne restent à terminer.</x:v>
      </x:c>
    </x:row>
    <x:row r="405">
      <x:c r="A405" t="str">
        <x:v>EXT-MONDE-T008-V50</x:v>
      </x:c>
      <x:c r="B405" t="str">
        <x:v>EXT-MONDE-T008</x:v>
      </x:c>
      <x:c r="C405" t="str">
        <x:v>Navires de haute mer</x:v>
      </x:c>
      <x:c r="D405" t="str">
        <x:v>Sous-marin en surface</x:v>
      </x:c>
      <x:c r="E405" t="n">
        <x:v>50</x:v>
      </x:c>
      <x:c r="F405" t="str">
        <x:v>Inspection physique</x:v>
      </x:c>
      <x:c r="G405" t="str">
        <x:v>2 niveaux ; 16 pièces ; 100 segments de mur ; 1 transitions. Inspection physique ; architecture complète encore ouverte.</x:v>
      </x:c>
      <x:c r="H405" t="str">
        <x:v>L 94,996 ; l 8,306 ; hauteur inconnue ; tirant 4,699 ; hauteur émergée auteur 5,601 m ; longueur/largeur/tirant sourcés ; hauteur totale réelle inconnue</x:v>
      </x:c>
      <x:c r="I405" t="str">
        <x:v>À équilibrer</x:v>
      </x:c>
      <x:c r="J405" t="str">
        <x:v>Non</x:v>
      </x:c>
      <x:c r="K405" t="str">
        <x:v>Pièces décrites, murs, portes, niveaux et mobilier inspectables à l’échelle. Volumes réservés, raccord au seed, butin, rencontres et services de campagne restent à terminer.</x:v>
      </x:c>
    </x:row>
    <x:row r="406" ht="96" customHeight="1">
      <x:c r="A406" s="115" t="str">
        <x:v>EXT-MONDE-T009-V01</x:v>
      </x:c>
      <x:c r="B406" s="115" t="str">
        <x:v>EXT-MONDE-T009</x:v>
      </x:c>
      <x:c r="C406" s="115" t="str">
        <x:v>Offshore</x:v>
      </x:c>
      <x:c r="D406" s="115" t="str">
        <x:v>Plateforme pétrolière fixe</x:v>
      </x:c>
      <x:c r="E406" s="115" t="n">
        <x:v>1</x:v>
      </x:c>
      <x:c r="F406" s="115" t="str">
        <x:v>Inspection physique</x:v>
      </x:c>
      <x:c r="G406" s="115" t="str">
        <x:v>1 niveaux ; 34 pièces ; 260 segments de mur ; 0 transitions. Inspection physique ; architecture complète encore ouverte.</x:v>
      </x:c>
      <x:c r="H406" s="115" t="str">
        <x:v>L 356 ; l 296 ; hauteur 52 m ; choix de composition auteur ; dimensions réelles à documenter</x:v>
      </x:c>
      <x:c r="I406" s="115" t="str">
        <x:v>À équilibrer</x:v>
      </x:c>
      <x:c r="J406" s="115" t="str">
        <x:v>Non</x:v>
      </x:c>
      <x:c r="K406" s="115" t="str">
        <x:v>Pièces décrites, murs, portes, niveaux et mobilier inspectables à l’échelle. Volumes réservés, raccord au seed, butin, rencontres et services de campagne restent à terminer.</x:v>
      </x:c>
    </x:row>
    <x:row r="407" ht="96" customHeight="1">
      <x:c r="A407" s="115" t="str">
        <x:v>EXT-MONDE-T009-V02</x:v>
      </x:c>
      <x:c r="B407" s="115" t="str">
        <x:v>EXT-MONDE-T009</x:v>
      </x:c>
      <x:c r="C407" s="115" t="str">
        <x:v>Offshore</x:v>
      </x:c>
      <x:c r="D407" s="115" t="str">
        <x:v>Plateforme pétrolière fixe</x:v>
      </x:c>
      <x:c r="E407" s="115" t="n">
        <x:v>2</x:v>
      </x:c>
      <x:c r="F407" s="115" t="str">
        <x:v>Inspection physique</x:v>
      </x:c>
      <x:c r="G407" s="115" t="str">
        <x:v>1 niveaux ; 34 pièces ; 260 segments de mur ; 0 transitions. Inspection physique ; architecture complète encore ouverte.</x:v>
      </x:c>
      <x:c r="H407" s="115" t="str">
        <x:v>L 356 ; l 296 ; hauteur 52 m ; choix de composition auteur ; dimensions réelles à documenter</x:v>
      </x:c>
      <x:c r="I407" s="115" t="str">
        <x:v>À équilibrer</x:v>
      </x:c>
      <x:c r="J407" s="115" t="str">
        <x:v>Non</x:v>
      </x:c>
      <x:c r="K407" s="115" t="str">
        <x:v>Pièces décrites, murs, portes, niveaux et mobilier inspectables à l’échelle. Volumes réservés, raccord au seed, butin, rencontres et services de campagne restent à terminer.</x:v>
      </x:c>
    </x:row>
    <x:row r="408" ht="96" customHeight="1">
      <x:c r="A408" s="115" t="str">
        <x:v>EXT-MONDE-T009-V03</x:v>
      </x:c>
      <x:c r="B408" s="115" t="str">
        <x:v>EXT-MONDE-T009</x:v>
      </x:c>
      <x:c r="C408" s="115" t="str">
        <x:v>Offshore</x:v>
      </x:c>
      <x:c r="D408" s="115" t="str">
        <x:v>Plateforme pétrolière fixe</x:v>
      </x:c>
      <x:c r="E408" s="115" t="n">
        <x:v>3</x:v>
      </x:c>
      <x:c r="F408" s="115" t="str">
        <x:v>Inspection physique</x:v>
      </x:c>
      <x:c r="G408" s="115" t="str">
        <x:v>1 niveaux ; 34 pièces ; 260 segments de mur ; 0 transitions. Inspection physique ; architecture complète encore ouverte.</x:v>
      </x:c>
      <x:c r="H408" s="115" t="str">
        <x:v>L 356 ; l 296 ; hauteur 52 m ; choix de composition auteur ; dimensions réelles à documenter</x:v>
      </x:c>
      <x:c r="I408" s="115" t="str">
        <x:v>À équilibrer</x:v>
      </x:c>
      <x:c r="J408" s="115" t="str">
        <x:v>Non</x:v>
      </x:c>
      <x:c r="K408" s="115" t="str">
        <x:v>Pièces décrites, murs, portes, niveaux et mobilier inspectables à l’échelle. Volumes réservés, raccord au seed, butin, rencontres et services de campagne restent à terminer.</x:v>
      </x:c>
    </x:row>
    <x:row r="409" ht="96" customHeight="1">
      <x:c r="A409" s="115" t="str">
        <x:v>EXT-MONDE-T009-V04</x:v>
      </x:c>
      <x:c r="B409" s="115" t="str">
        <x:v>EXT-MONDE-T009</x:v>
      </x:c>
      <x:c r="C409" s="115" t="str">
        <x:v>Offshore</x:v>
      </x:c>
      <x:c r="D409" s="115" t="str">
        <x:v>Plateforme pétrolière fixe</x:v>
      </x:c>
      <x:c r="E409" s="115" t="n">
        <x:v>4</x:v>
      </x:c>
      <x:c r="F409" s="115" t="str">
        <x:v>Inspection physique</x:v>
      </x:c>
      <x:c r="G409" s="115" t="str">
        <x:v>1 niveaux ; 34 pièces ; 260 segments de mur ; 0 transitions. Inspection physique ; architecture complète encore ouverte.</x:v>
      </x:c>
      <x:c r="H409" s="115" t="str">
        <x:v>L 356 ; l 296 ; hauteur 52 m ; choix de composition auteur ; dimensions réelles à documenter</x:v>
      </x:c>
      <x:c r="I409" s="115" t="str">
        <x:v>À équilibrer</x:v>
      </x:c>
      <x:c r="J409" s="115" t="str">
        <x:v>Non</x:v>
      </x:c>
      <x:c r="K409" s="115" t="str">
        <x:v>Pièces décrites, murs, portes, niveaux et mobilier inspectables à l’échelle. Volumes réservés, raccord au seed, butin, rencontres et services de campagne restent à terminer.</x:v>
      </x:c>
    </x:row>
    <x:row r="410" ht="96" customHeight="1">
      <x:c r="A410" s="115" t="str">
        <x:v>EXT-MONDE-T009-V05</x:v>
      </x:c>
      <x:c r="B410" s="115" t="str">
        <x:v>EXT-MONDE-T009</x:v>
      </x:c>
      <x:c r="C410" s="115" t="str">
        <x:v>Offshore</x:v>
      </x:c>
      <x:c r="D410" s="115" t="str">
        <x:v>Plateforme pétrolière fixe</x:v>
      </x:c>
      <x:c r="E410" s="115" t="n">
        <x:v>5</x:v>
      </x:c>
      <x:c r="F410" s="115" t="str">
        <x:v>Inspection physique</x:v>
      </x:c>
      <x:c r="G410" s="115" t="str">
        <x:v>1 niveaux ; 34 pièces ; 260 segments de mur ; 0 transitions. Inspection physique ; architecture complète encore ouverte.</x:v>
      </x:c>
      <x:c r="H410" s="115" t="str">
        <x:v>L 356 ; l 296 ; hauteur 52 m ; choix de composition auteur ; dimensions réelles à documenter</x:v>
      </x:c>
      <x:c r="I410" s="115" t="str">
        <x:v>À équilibrer</x:v>
      </x:c>
      <x:c r="J410" s="115" t="str">
        <x:v>Non</x:v>
      </x:c>
      <x:c r="K410" s="115" t="str">
        <x:v>Pièces décrites, murs, portes, niveaux et mobilier inspectables à l’échelle. Volumes réservés, raccord au seed, butin, rencontres et services de campagne restent à terminer.</x:v>
      </x:c>
    </x:row>
    <x:row r="411" ht="96" customHeight="1">
      <x:c r="A411" s="115" t="str">
        <x:v>EXT-MONDE-T009-V06</x:v>
      </x:c>
      <x:c r="B411" s="115" t="str">
        <x:v>EXT-MONDE-T009</x:v>
      </x:c>
      <x:c r="C411" s="115" t="str">
        <x:v>Offshore</x:v>
      </x:c>
      <x:c r="D411" s="115" t="str">
        <x:v>Plateforme pétrolière fixe</x:v>
      </x:c>
      <x:c r="E411" s="115" t="n">
        <x:v>6</x:v>
      </x:c>
      <x:c r="F411" s="115" t="str">
        <x:v>Inspection physique</x:v>
      </x:c>
      <x:c r="G411" s="115" t="str">
        <x:v>1 niveaux ; 34 pièces ; 260 segments de mur ; 0 transitions. Inspection physique ; architecture complète encore ouverte.</x:v>
      </x:c>
      <x:c r="H411" s="115" t="str">
        <x:v>L 356 ; l 296 ; hauteur 52 m ; choix de composition auteur ; dimensions réelles à documenter</x:v>
      </x:c>
      <x:c r="I411" s="115" t="str">
        <x:v>À équilibrer</x:v>
      </x:c>
      <x:c r="J411" s="115" t="str">
        <x:v>Non</x:v>
      </x:c>
      <x:c r="K411" s="115" t="str">
        <x:v>Pièces décrites, murs, portes, niveaux et mobilier inspectables à l’échelle. Volumes réservés, raccord au seed, butin, rencontres et services de campagne restent à terminer.</x:v>
      </x:c>
    </x:row>
    <x:row r="412" ht="96" customHeight="1">
      <x:c r="A412" s="115" t="str">
        <x:v>EXT-MONDE-T009-V07</x:v>
      </x:c>
      <x:c r="B412" s="115" t="str">
        <x:v>EXT-MONDE-T009</x:v>
      </x:c>
      <x:c r="C412" s="115" t="str">
        <x:v>Offshore</x:v>
      </x:c>
      <x:c r="D412" s="115" t="str">
        <x:v>Plateforme pétrolière fixe</x:v>
      </x:c>
      <x:c r="E412" s="115" t="n">
        <x:v>7</x:v>
      </x:c>
      <x:c r="F412" s="115" t="str">
        <x:v>Inspection physique</x:v>
      </x:c>
      <x:c r="G412" s="115" t="str">
        <x:v>1 niveaux ; 34 pièces ; 260 segments de mur ; 0 transitions. Inspection physique ; architecture complète encore ouverte.</x:v>
      </x:c>
      <x:c r="H412" s="115" t="str">
        <x:v>L 356 ; l 296 ; hauteur 52 m ; choix de composition auteur ; dimensions réelles à documenter</x:v>
      </x:c>
      <x:c r="I412" s="115" t="str">
        <x:v>À équilibrer</x:v>
      </x:c>
      <x:c r="J412" s="115" t="str">
        <x:v>Non</x:v>
      </x:c>
      <x:c r="K412" s="115" t="str">
        <x:v>Pièces décrites, murs, portes, niveaux et mobilier inspectables à l’échelle. Volumes réservés, raccord au seed, butin, rencontres et services de campagne restent à terminer.</x:v>
      </x:c>
    </x:row>
    <x:row r="413" ht="96" customHeight="1">
      <x:c r="A413" s="115" t="str">
        <x:v>EXT-MONDE-T009-V08</x:v>
      </x:c>
      <x:c r="B413" s="115" t="str">
        <x:v>EXT-MONDE-T009</x:v>
      </x:c>
      <x:c r="C413" s="115" t="str">
        <x:v>Offshore</x:v>
      </x:c>
      <x:c r="D413" s="115" t="str">
        <x:v>Plateforme pétrolière fixe</x:v>
      </x:c>
      <x:c r="E413" s="115" t="n">
        <x:v>8</x:v>
      </x:c>
      <x:c r="F413" s="115" t="str">
        <x:v>Inspection physique</x:v>
      </x:c>
      <x:c r="G413" s="115" t="str">
        <x:v>1 niveaux ; 34 pièces ; 260 segments de mur ; 0 transitions. Inspection physique ; architecture complète encore ouverte.</x:v>
      </x:c>
      <x:c r="H413" s="115" t="str">
        <x:v>L 356 ; l 296 ; hauteur 52 m ; choix de composition auteur ; dimensions réelles à documenter</x:v>
      </x:c>
      <x:c r="I413" s="115" t="str">
        <x:v>À équilibrer</x:v>
      </x:c>
      <x:c r="J413" s="115" t="str">
        <x:v>Non</x:v>
      </x:c>
      <x:c r="K413" s="115" t="str">
        <x:v>Pièces décrites, murs, portes, niveaux et mobilier inspectables à l’échelle. Volumes réservés, raccord au seed, butin, rencontres et services de campagne restent à terminer.</x:v>
      </x:c>
    </x:row>
    <x:row r="414" ht="96" customHeight="1">
      <x:c r="A414" s="115" t="str">
        <x:v>EXT-MONDE-T009-V09</x:v>
      </x:c>
      <x:c r="B414" s="115" t="str">
        <x:v>EXT-MONDE-T009</x:v>
      </x:c>
      <x:c r="C414" s="115" t="str">
        <x:v>Offshore</x:v>
      </x:c>
      <x:c r="D414" s="115" t="str">
        <x:v>Plateforme pétrolière fixe</x:v>
      </x:c>
      <x:c r="E414" s="115" t="n">
        <x:v>9</x:v>
      </x:c>
      <x:c r="F414" s="115" t="str">
        <x:v>Inspection physique</x:v>
      </x:c>
      <x:c r="G414" s="115" t="str">
        <x:v>1 niveaux ; 34 pièces ; 260 segments de mur ; 0 transitions. Inspection physique ; architecture complète encore ouverte.</x:v>
      </x:c>
      <x:c r="H414" s="115" t="str">
        <x:v>L 356 ; l 296 ; hauteur 52 m ; choix de composition auteur ; dimensions réelles à documenter</x:v>
      </x:c>
      <x:c r="I414" s="115" t="str">
        <x:v>À équilibrer</x:v>
      </x:c>
      <x:c r="J414" s="115" t="str">
        <x:v>Non</x:v>
      </x:c>
      <x:c r="K414" s="115" t="str">
        <x:v>Pièces décrites, murs, portes, niveaux et mobilier inspectables à l’échelle. Volumes réservés, raccord au seed, butin, rencontres et services de campagne restent à terminer.</x:v>
      </x:c>
    </x:row>
    <x:row r="415" ht="96" customHeight="1">
      <x:c r="A415" s="115" t="str">
        <x:v>EXT-MONDE-T009-V10</x:v>
      </x:c>
      <x:c r="B415" s="115" t="str">
        <x:v>EXT-MONDE-T009</x:v>
      </x:c>
      <x:c r="C415" s="115" t="str">
        <x:v>Offshore</x:v>
      </x:c>
      <x:c r="D415" s="115" t="str">
        <x:v>Plateforme pétrolière fixe</x:v>
      </x:c>
      <x:c r="E415" s="115" t="n">
        <x:v>10</x:v>
      </x:c>
      <x:c r="F415" s="115" t="str">
        <x:v>Inspection physique</x:v>
      </x:c>
      <x:c r="G415" s="115" t="str">
        <x:v>1 niveaux ; 34 pièces ; 260 segments de mur ; 0 transitions. Inspection physique ; architecture complète encore ouverte.</x:v>
      </x:c>
      <x:c r="H415" s="115" t="str">
        <x:v>L 356 ; l 296 ; hauteur 52 m ; choix de composition auteur ; dimensions réelles à documenter</x:v>
      </x:c>
      <x:c r="I415" s="115" t="str">
        <x:v>À équilibrer</x:v>
      </x:c>
      <x:c r="J415" s="115" t="str">
        <x:v>Non</x:v>
      </x:c>
      <x:c r="K415" s="115" t="str">
        <x:v>Pièces décrites, murs, portes, niveaux et mobilier inspectables à l’échelle. Volumes réservés, raccord au seed, butin, rencontres et services de campagne restent à terminer.</x:v>
      </x:c>
    </x:row>
    <x:row r="416" ht="96" customHeight="1">
      <x:c r="A416" s="115" t="str">
        <x:v>EXT-MONDE-T009-V11</x:v>
      </x:c>
      <x:c r="B416" s="115" t="str">
        <x:v>EXT-MONDE-T009</x:v>
      </x:c>
      <x:c r="C416" s="115" t="str">
        <x:v>Offshore</x:v>
      </x:c>
      <x:c r="D416" s="115" t="str">
        <x:v>Plateforme pétrolière fixe</x:v>
      </x:c>
      <x:c r="E416" s="115" t="n">
        <x:v>11</x:v>
      </x:c>
      <x:c r="F416" s="115" t="str">
        <x:v>Inspection physique</x:v>
      </x:c>
      <x:c r="G416" s="115" t="str">
        <x:v>1 niveaux ; 34 pièces ; 260 segments de mur ; 0 transitions. Inspection physique ; architecture complète encore ouverte.</x:v>
      </x:c>
      <x:c r="H416" s="115" t="str">
        <x:v>L 370 ; l 308 ; hauteur 52 m ; choix de composition auteur ; dimensions réelles à documenter</x:v>
      </x:c>
      <x:c r="I416" s="115" t="str">
        <x:v>À équilibrer</x:v>
      </x:c>
      <x:c r="J416" s="115" t="str">
        <x:v>Non</x:v>
      </x:c>
      <x:c r="K416" s="115" t="str">
        <x:v>Pièces décrites, murs, portes, niveaux et mobilier inspectables à l’échelle. Volumes réservés, raccord au seed, butin, rencontres et services de campagne restent à terminer.</x:v>
      </x:c>
    </x:row>
    <x:row r="417" ht="96" customHeight="1">
      <x:c r="A417" s="115" t="str">
        <x:v>EXT-MONDE-T009-V12</x:v>
      </x:c>
      <x:c r="B417" s="115" t="str">
        <x:v>EXT-MONDE-T009</x:v>
      </x:c>
      <x:c r="C417" s="115" t="str">
        <x:v>Offshore</x:v>
      </x:c>
      <x:c r="D417" s="115" t="str">
        <x:v>Plateforme pétrolière fixe</x:v>
      </x:c>
      <x:c r="E417" s="115" t="n">
        <x:v>12</x:v>
      </x:c>
      <x:c r="F417" s="115" t="str">
        <x:v>Inspection physique</x:v>
      </x:c>
      <x:c r="G417" s="115" t="str">
        <x:v>1 niveaux ; 34 pièces ; 260 segments de mur ; 0 transitions. Inspection physique ; architecture complète encore ouverte.</x:v>
      </x:c>
      <x:c r="H417" s="115" t="str">
        <x:v>L 370 ; l 308 ; hauteur 52 m ; choix de composition auteur ; dimensions réelles à documenter</x:v>
      </x:c>
      <x:c r="I417" s="115" t="str">
        <x:v>À équilibrer</x:v>
      </x:c>
      <x:c r="J417" s="115" t="str">
        <x:v>Non</x:v>
      </x:c>
      <x:c r="K417" s="115" t="str">
        <x:v>Pièces décrites, murs, portes, niveaux et mobilier inspectables à l’échelle. Volumes réservés, raccord au seed, butin, rencontres et services de campagne restent à terminer.</x:v>
      </x:c>
    </x:row>
    <x:row r="418" ht="96" customHeight="1">
      <x:c r="A418" s="115" t="str">
        <x:v>EXT-MONDE-T009-V13</x:v>
      </x:c>
      <x:c r="B418" s="115" t="str">
        <x:v>EXT-MONDE-T009</x:v>
      </x:c>
      <x:c r="C418" s="115" t="str">
        <x:v>Offshore</x:v>
      </x:c>
      <x:c r="D418" s="115" t="str">
        <x:v>Plateforme pétrolière fixe</x:v>
      </x:c>
      <x:c r="E418" s="115" t="n">
        <x:v>13</x:v>
      </x:c>
      <x:c r="F418" s="115" t="str">
        <x:v>Inspection physique</x:v>
      </x:c>
      <x:c r="G418" s="115" t="str">
        <x:v>1 niveaux ; 34 pièces ; 260 segments de mur ; 0 transitions. Inspection physique ; architecture complète encore ouverte.</x:v>
      </x:c>
      <x:c r="H418" s="115" t="str">
        <x:v>L 370 ; l 308 ; hauteur 52 m ; choix de composition auteur ; dimensions réelles à documenter</x:v>
      </x:c>
      <x:c r="I418" s="115" t="str">
        <x:v>À équilibrer</x:v>
      </x:c>
      <x:c r="J418" s="115" t="str">
        <x:v>Non</x:v>
      </x:c>
      <x:c r="K418" s="115" t="str">
        <x:v>Pièces décrites, murs, portes, niveaux et mobilier inspectables à l’échelle. Volumes réservés, raccord au seed, butin, rencontres et services de campagne restent à terminer.</x:v>
      </x:c>
    </x:row>
    <x:row r="419" ht="96" customHeight="1">
      <x:c r="A419" s="115" t="str">
        <x:v>EXT-MONDE-T009-V14</x:v>
      </x:c>
      <x:c r="B419" s="115" t="str">
        <x:v>EXT-MONDE-T009</x:v>
      </x:c>
      <x:c r="C419" s="115" t="str">
        <x:v>Offshore</x:v>
      </x:c>
      <x:c r="D419" s="115" t="str">
        <x:v>Plateforme pétrolière fixe</x:v>
      </x:c>
      <x:c r="E419" s="115" t="n">
        <x:v>14</x:v>
      </x:c>
      <x:c r="F419" s="115" t="str">
        <x:v>Inspection physique</x:v>
      </x:c>
      <x:c r="G419" s="115" t="str">
        <x:v>1 niveaux ; 34 pièces ; 260 segments de mur ; 0 transitions. Inspection physique ; architecture complète encore ouverte.</x:v>
      </x:c>
      <x:c r="H419" s="115" t="str">
        <x:v>L 370 ; l 308 ; hauteur 52 m ; choix de composition auteur ; dimensions réelles à documenter</x:v>
      </x:c>
      <x:c r="I419" s="115" t="str">
        <x:v>À équilibrer</x:v>
      </x:c>
      <x:c r="J419" s="115" t="str">
        <x:v>Non</x:v>
      </x:c>
      <x:c r="K419" s="115" t="str">
        <x:v>Pièces décrites, murs, portes, niveaux et mobilier inspectables à l’échelle. Volumes réservés, raccord au seed, butin, rencontres et services de campagne restent à terminer.</x:v>
      </x:c>
    </x:row>
    <x:row r="420" ht="96" customHeight="1">
      <x:c r="A420" s="115" t="str">
        <x:v>EXT-MONDE-T009-V15</x:v>
      </x:c>
      <x:c r="B420" s="115" t="str">
        <x:v>EXT-MONDE-T009</x:v>
      </x:c>
      <x:c r="C420" s="115" t="str">
        <x:v>Offshore</x:v>
      </x:c>
      <x:c r="D420" s="115" t="str">
        <x:v>Plateforme pétrolière fixe</x:v>
      </x:c>
      <x:c r="E420" s="115" t="n">
        <x:v>15</x:v>
      </x:c>
      <x:c r="F420" s="115" t="str">
        <x:v>Inspection physique</x:v>
      </x:c>
      <x:c r="G420" s="115" t="str">
        <x:v>1 niveaux ; 34 pièces ; 260 segments de mur ; 0 transitions. Inspection physique ; architecture complète encore ouverte.</x:v>
      </x:c>
      <x:c r="H420" s="115" t="str">
        <x:v>L 370 ; l 308 ; hauteur 52 m ; choix de composition auteur ; dimensions réelles à documenter</x:v>
      </x:c>
      <x:c r="I420" s="115" t="str">
        <x:v>À équilibrer</x:v>
      </x:c>
      <x:c r="J420" s="115" t="str">
        <x:v>Non</x:v>
      </x:c>
      <x:c r="K420" s="115" t="str">
        <x:v>Pièces décrites, murs, portes, niveaux et mobilier inspectables à l’échelle. Volumes réservés, raccord au seed, butin, rencontres et services de campagne restent à terminer.</x:v>
      </x:c>
    </x:row>
    <x:row r="421" ht="96" customHeight="1">
      <x:c r="A421" s="115" t="str">
        <x:v>EXT-MONDE-T009-V16</x:v>
      </x:c>
      <x:c r="B421" s="115" t="str">
        <x:v>EXT-MONDE-T009</x:v>
      </x:c>
      <x:c r="C421" s="115" t="str">
        <x:v>Offshore</x:v>
      </x:c>
      <x:c r="D421" s="115" t="str">
        <x:v>Plateforme pétrolière fixe</x:v>
      </x:c>
      <x:c r="E421" s="115" t="n">
        <x:v>16</x:v>
      </x:c>
      <x:c r="F421" s="115" t="str">
        <x:v>Inspection physique</x:v>
      </x:c>
      <x:c r="G421" s="115" t="str">
        <x:v>1 niveaux ; 34 pièces ; 260 segments de mur ; 0 transitions. Inspection physique ; architecture complète encore ouverte.</x:v>
      </x:c>
      <x:c r="H421" s="115" t="str">
        <x:v>L 370 ; l 308 ; hauteur 52 m ; choix de composition auteur ; dimensions réelles à documenter</x:v>
      </x:c>
      <x:c r="I421" s="115" t="str">
        <x:v>À équilibrer</x:v>
      </x:c>
      <x:c r="J421" s="115" t="str">
        <x:v>Non</x:v>
      </x:c>
      <x:c r="K421" s="115" t="str">
        <x:v>Pièces décrites, murs, portes, niveaux et mobilier inspectables à l’échelle. Volumes réservés, raccord au seed, butin, rencontres et services de campagne restent à terminer.</x:v>
      </x:c>
    </x:row>
    <x:row r="422" ht="96" customHeight="1">
      <x:c r="A422" s="115" t="str">
        <x:v>EXT-MONDE-T009-V17</x:v>
      </x:c>
      <x:c r="B422" s="115" t="str">
        <x:v>EXT-MONDE-T009</x:v>
      </x:c>
      <x:c r="C422" s="115" t="str">
        <x:v>Offshore</x:v>
      </x:c>
      <x:c r="D422" s="115" t="str">
        <x:v>Plateforme pétrolière fixe</x:v>
      </x:c>
      <x:c r="E422" s="115" t="n">
        <x:v>17</x:v>
      </x:c>
      <x:c r="F422" s="115" t="str">
        <x:v>Inspection physique</x:v>
      </x:c>
      <x:c r="G422" s="115" t="str">
        <x:v>1 niveaux ; 34 pièces ; 260 segments de mur ; 0 transitions. Inspection physique ; architecture complète encore ouverte.</x:v>
      </x:c>
      <x:c r="H422" s="115" t="str">
        <x:v>L 370 ; l 308 ; hauteur 52 m ; choix de composition auteur ; dimensions réelles à documenter</x:v>
      </x:c>
      <x:c r="I422" s="115" t="str">
        <x:v>À équilibrer</x:v>
      </x:c>
      <x:c r="J422" s="115" t="str">
        <x:v>Non</x:v>
      </x:c>
      <x:c r="K422" s="115" t="str">
        <x:v>Pièces décrites, murs, portes, niveaux et mobilier inspectables à l’échelle. Volumes réservés, raccord au seed, butin, rencontres et services de campagne restent à terminer.</x:v>
      </x:c>
    </x:row>
    <x:row r="423" ht="96" customHeight="1">
      <x:c r="A423" s="115" t="str">
        <x:v>EXT-MONDE-T009-V18</x:v>
      </x:c>
      <x:c r="B423" s="115" t="str">
        <x:v>EXT-MONDE-T009</x:v>
      </x:c>
      <x:c r="C423" s="115" t="str">
        <x:v>Offshore</x:v>
      </x:c>
      <x:c r="D423" s="115" t="str">
        <x:v>Plateforme pétrolière fixe</x:v>
      </x:c>
      <x:c r="E423" s="115" t="n">
        <x:v>18</x:v>
      </x:c>
      <x:c r="F423" s="115" t="str">
        <x:v>Inspection physique</x:v>
      </x:c>
      <x:c r="G423" s="115" t="str">
        <x:v>1 niveaux ; 34 pièces ; 260 segments de mur ; 0 transitions. Inspection physique ; architecture complète encore ouverte.</x:v>
      </x:c>
      <x:c r="H423" s="115" t="str">
        <x:v>L 370 ; l 308 ; hauteur 52 m ; choix de composition auteur ; dimensions réelles à documenter</x:v>
      </x:c>
      <x:c r="I423" s="115" t="str">
        <x:v>À équilibrer</x:v>
      </x:c>
      <x:c r="J423" s="115" t="str">
        <x:v>Non</x:v>
      </x:c>
      <x:c r="K423" s="115" t="str">
        <x:v>Pièces décrites, murs, portes, niveaux et mobilier inspectables à l’échelle. Volumes réservés, raccord au seed, butin, rencontres et services de campagne restent à terminer.</x:v>
      </x:c>
    </x:row>
    <x:row r="424" ht="96" customHeight="1">
      <x:c r="A424" s="115" t="str">
        <x:v>EXT-MONDE-T009-V19</x:v>
      </x:c>
      <x:c r="B424" s="115" t="str">
        <x:v>EXT-MONDE-T009</x:v>
      </x:c>
      <x:c r="C424" s="115" t="str">
        <x:v>Offshore</x:v>
      </x:c>
      <x:c r="D424" s="115" t="str">
        <x:v>Plateforme pétrolière fixe</x:v>
      </x:c>
      <x:c r="E424" s="115" t="n">
        <x:v>19</x:v>
      </x:c>
      <x:c r="F424" s="115" t="str">
        <x:v>Inspection physique</x:v>
      </x:c>
      <x:c r="G424" s="115" t="str">
        <x:v>1 niveaux ; 34 pièces ; 260 segments de mur ; 0 transitions. Inspection physique ; architecture complète encore ouverte.</x:v>
      </x:c>
      <x:c r="H424" s="115" t="str">
        <x:v>L 370 ; l 308 ; hauteur 52 m ; choix de composition auteur ; dimensions réelles à documenter</x:v>
      </x:c>
      <x:c r="I424" s="115" t="str">
        <x:v>À équilibrer</x:v>
      </x:c>
      <x:c r="J424" s="115" t="str">
        <x:v>Non</x:v>
      </x:c>
      <x:c r="K424" s="115" t="str">
        <x:v>Pièces décrites, murs, portes, niveaux et mobilier inspectables à l’échelle. Volumes réservés, raccord au seed, butin, rencontres et services de campagne restent à terminer.</x:v>
      </x:c>
    </x:row>
    <x:row r="425" ht="96" customHeight="1">
      <x:c r="A425" s="115" t="str">
        <x:v>EXT-MONDE-T009-V20</x:v>
      </x:c>
      <x:c r="B425" s="115" t="str">
        <x:v>EXT-MONDE-T009</x:v>
      </x:c>
      <x:c r="C425" s="115" t="str">
        <x:v>Offshore</x:v>
      </x:c>
      <x:c r="D425" s="115" t="str">
        <x:v>Plateforme pétrolière fixe</x:v>
      </x:c>
      <x:c r="E425" s="115" t="n">
        <x:v>20</x:v>
      </x:c>
      <x:c r="F425" s="115" t="str">
        <x:v>Inspection physique</x:v>
      </x:c>
      <x:c r="G425" s="115" t="str">
        <x:v>1 niveaux ; 34 pièces ; 260 segments de mur ; 0 transitions. Inspection physique ; architecture complète encore ouverte.</x:v>
      </x:c>
      <x:c r="H425" s="115" t="str">
        <x:v>L 370 ; l 308 ; hauteur 52 m ; choix de composition auteur ; dimensions réelles à documenter</x:v>
      </x:c>
      <x:c r="I425" s="115" t="str">
        <x:v>À équilibrer</x:v>
      </x:c>
      <x:c r="J425" s="115" t="str">
        <x:v>Non</x:v>
      </x:c>
      <x:c r="K425" s="115" t="str">
        <x:v>Pièces décrites, murs, portes, niveaux et mobilier inspectables à l’échelle. Volumes réservés, raccord au seed, butin, rencontres et services de campagne restent à terminer.</x:v>
      </x:c>
    </x:row>
    <x:row r="426" ht="96" customHeight="1">
      <x:c r="A426" s="115" t="str">
        <x:v>EXT-MONDE-T009-V21</x:v>
      </x:c>
      <x:c r="B426" s="115" t="str">
        <x:v>EXT-MONDE-T009</x:v>
      </x:c>
      <x:c r="C426" s="115" t="str">
        <x:v>Offshore</x:v>
      </x:c>
      <x:c r="D426" s="115" t="str">
        <x:v>Plateforme pétrolière fixe</x:v>
      </x:c>
      <x:c r="E426" s="115" t="n">
        <x:v>21</x:v>
      </x:c>
      <x:c r="F426" s="115" t="str">
        <x:v>Inspection physique</x:v>
      </x:c>
      <x:c r="G426" s="115" t="str">
        <x:v>1 niveaux ; 34 pièces ; 260 segments de mur ; 0 transitions. Inspection physique ; architecture complète encore ouverte.</x:v>
      </x:c>
      <x:c r="H426" s="115" t="str">
        <x:v>L 384 ; l 320 ; hauteur 52 m ; choix de composition auteur ; dimensions réelles à documenter</x:v>
      </x:c>
      <x:c r="I426" s="115" t="str">
        <x:v>À équilibrer</x:v>
      </x:c>
      <x:c r="J426" s="115" t="str">
        <x:v>Non</x:v>
      </x:c>
      <x:c r="K426" s="115" t="str">
        <x:v>Pièces décrites, murs, portes, niveaux et mobilier inspectables à l’échelle. Volumes réservés, raccord au seed, butin, rencontres et services de campagne restent à terminer.</x:v>
      </x:c>
    </x:row>
    <x:row r="427" ht="96" customHeight="1">
      <x:c r="A427" s="115" t="str">
        <x:v>EXT-MONDE-T009-V22</x:v>
      </x:c>
      <x:c r="B427" s="115" t="str">
        <x:v>EXT-MONDE-T009</x:v>
      </x:c>
      <x:c r="C427" s="115" t="str">
        <x:v>Offshore</x:v>
      </x:c>
      <x:c r="D427" s="115" t="str">
        <x:v>Plateforme pétrolière fixe</x:v>
      </x:c>
      <x:c r="E427" s="115" t="n">
        <x:v>22</x:v>
      </x:c>
      <x:c r="F427" s="115" t="str">
        <x:v>Inspection physique</x:v>
      </x:c>
      <x:c r="G427" s="115" t="str">
        <x:v>1 niveaux ; 34 pièces ; 260 segments de mur ; 0 transitions. Inspection physique ; architecture complète encore ouverte.</x:v>
      </x:c>
      <x:c r="H427" s="115" t="str">
        <x:v>L 384 ; l 320 ; hauteur 52 m ; choix de composition auteur ; dimensions réelles à documenter</x:v>
      </x:c>
      <x:c r="I427" s="115" t="str">
        <x:v>À équilibrer</x:v>
      </x:c>
      <x:c r="J427" s="115" t="str">
        <x:v>Non</x:v>
      </x:c>
      <x:c r="K427" s="115" t="str">
        <x:v>Pièces décrites, murs, portes, niveaux et mobilier inspectables à l’échelle. Volumes réservés, raccord au seed, butin, rencontres et services de campagne restent à terminer.</x:v>
      </x:c>
    </x:row>
    <x:row r="428" ht="96" customHeight="1">
      <x:c r="A428" s="115" t="str">
        <x:v>EXT-MONDE-T009-V23</x:v>
      </x:c>
      <x:c r="B428" s="115" t="str">
        <x:v>EXT-MONDE-T009</x:v>
      </x:c>
      <x:c r="C428" s="115" t="str">
        <x:v>Offshore</x:v>
      </x:c>
      <x:c r="D428" s="115" t="str">
        <x:v>Plateforme pétrolière fixe</x:v>
      </x:c>
      <x:c r="E428" s="115" t="n">
        <x:v>23</x:v>
      </x:c>
      <x:c r="F428" s="115" t="str">
        <x:v>Inspection physique</x:v>
      </x:c>
      <x:c r="G428" s="115" t="str">
        <x:v>1 niveaux ; 34 pièces ; 260 segments de mur ; 0 transitions. Inspection physique ; architecture complète encore ouverte.</x:v>
      </x:c>
      <x:c r="H428" s="115" t="str">
        <x:v>L 384 ; l 320 ; hauteur 52 m ; choix de composition auteur ; dimensions réelles à documenter</x:v>
      </x:c>
      <x:c r="I428" s="115" t="str">
        <x:v>À équilibrer</x:v>
      </x:c>
      <x:c r="J428" s="115" t="str">
        <x:v>Non</x:v>
      </x:c>
      <x:c r="K428" s="115" t="str">
        <x:v>Pièces décrites, murs, portes, niveaux et mobilier inspectables à l’échelle. Volumes réservés, raccord au seed, butin, rencontres et services de campagne restent à terminer.</x:v>
      </x:c>
    </x:row>
    <x:row r="429" ht="96" customHeight="1">
      <x:c r="A429" s="115" t="str">
        <x:v>EXT-MONDE-T009-V24</x:v>
      </x:c>
      <x:c r="B429" s="115" t="str">
        <x:v>EXT-MONDE-T009</x:v>
      </x:c>
      <x:c r="C429" s="115" t="str">
        <x:v>Offshore</x:v>
      </x:c>
      <x:c r="D429" s="115" t="str">
        <x:v>Plateforme pétrolière fixe</x:v>
      </x:c>
      <x:c r="E429" s="115" t="n">
        <x:v>24</x:v>
      </x:c>
      <x:c r="F429" s="115" t="str">
        <x:v>Inspection physique</x:v>
      </x:c>
      <x:c r="G429" s="115" t="str">
        <x:v>1 niveaux ; 34 pièces ; 260 segments de mur ; 0 transitions. Inspection physique ; architecture complète encore ouverte.</x:v>
      </x:c>
      <x:c r="H429" s="115" t="str">
        <x:v>L 384 ; l 320 ; hauteur 52 m ; choix de composition auteur ; dimensions réelles à documenter</x:v>
      </x:c>
      <x:c r="I429" s="115" t="str">
        <x:v>À équilibrer</x:v>
      </x:c>
      <x:c r="J429" s="115" t="str">
        <x:v>Non</x:v>
      </x:c>
      <x:c r="K429" s="115" t="str">
        <x:v>Pièces décrites, murs, portes, niveaux et mobilier inspectables à l’échelle. Volumes réservés, raccord au seed, butin, rencontres et services de campagne restent à terminer.</x:v>
      </x:c>
    </x:row>
    <x:row r="430" ht="96" customHeight="1">
      <x:c r="A430" s="115" t="str">
        <x:v>EXT-MONDE-T009-V25</x:v>
      </x:c>
      <x:c r="B430" s="115" t="str">
        <x:v>EXT-MONDE-T009</x:v>
      </x:c>
      <x:c r="C430" s="115" t="str">
        <x:v>Offshore</x:v>
      </x:c>
      <x:c r="D430" s="115" t="str">
        <x:v>Plateforme pétrolière fixe</x:v>
      </x:c>
      <x:c r="E430" s="115" t="n">
        <x:v>25</x:v>
      </x:c>
      <x:c r="F430" s="115" t="str">
        <x:v>Inspection physique</x:v>
      </x:c>
      <x:c r="G430" s="115" t="str">
        <x:v>1 niveaux ; 34 pièces ; 260 segments de mur ; 0 transitions. Inspection physique ; architecture complète encore ouverte.</x:v>
      </x:c>
      <x:c r="H430" s="115" t="str">
        <x:v>L 384 ; l 320 ; hauteur 52 m ; choix de composition auteur ; dimensions réelles à documenter</x:v>
      </x:c>
      <x:c r="I430" s="115" t="str">
        <x:v>À équilibrer</x:v>
      </x:c>
      <x:c r="J430" s="115" t="str">
        <x:v>Non</x:v>
      </x:c>
      <x:c r="K430" s="115" t="str">
        <x:v>Pièces décrites, murs, portes, niveaux et mobilier inspectables à l’échelle. Volumes réservés, raccord au seed, butin, rencontres et services de campagne restent à terminer.</x:v>
      </x:c>
    </x:row>
    <x:row r="431" ht="96" customHeight="1">
      <x:c r="A431" s="115" t="str">
        <x:v>EXT-MONDE-T009-V26</x:v>
      </x:c>
      <x:c r="B431" s="115" t="str">
        <x:v>EXT-MONDE-T009</x:v>
      </x:c>
      <x:c r="C431" s="115" t="str">
        <x:v>Offshore</x:v>
      </x:c>
      <x:c r="D431" s="115" t="str">
        <x:v>Plateforme pétrolière fixe</x:v>
      </x:c>
      <x:c r="E431" s="115" t="n">
        <x:v>26</x:v>
      </x:c>
      <x:c r="F431" s="115" t="str">
        <x:v>Inspection physique</x:v>
      </x:c>
      <x:c r="G431" s="115" t="str">
        <x:v>1 niveaux ; 34 pièces ; 260 segments de mur ; 0 transitions. Inspection physique ; architecture complète encore ouverte.</x:v>
      </x:c>
      <x:c r="H431" s="115" t="str">
        <x:v>L 384 ; l 320 ; hauteur 52 m ; choix de composition auteur ; dimensions réelles à documenter</x:v>
      </x:c>
      <x:c r="I431" s="115" t="str">
        <x:v>À équilibrer</x:v>
      </x:c>
      <x:c r="J431" s="115" t="str">
        <x:v>Non</x:v>
      </x:c>
      <x:c r="K431" s="115" t="str">
        <x:v>Pièces décrites, murs, portes, niveaux et mobilier inspectables à l’échelle. Volumes réservés, raccord au seed, butin, rencontres et services de campagne restent à terminer.</x:v>
      </x:c>
    </x:row>
    <x:row r="432" ht="96" customHeight="1">
      <x:c r="A432" s="115" t="str">
        <x:v>EXT-MONDE-T009-V27</x:v>
      </x:c>
      <x:c r="B432" s="115" t="str">
        <x:v>EXT-MONDE-T009</x:v>
      </x:c>
      <x:c r="C432" s="115" t="str">
        <x:v>Offshore</x:v>
      </x:c>
      <x:c r="D432" s="115" t="str">
        <x:v>Plateforme pétrolière fixe</x:v>
      </x:c>
      <x:c r="E432" s="115" t="n">
        <x:v>27</x:v>
      </x:c>
      <x:c r="F432" s="115" t="str">
        <x:v>Inspection physique</x:v>
      </x:c>
      <x:c r="G432" s="115" t="str">
        <x:v>1 niveaux ; 34 pièces ; 260 segments de mur ; 0 transitions. Inspection physique ; architecture complète encore ouverte.</x:v>
      </x:c>
      <x:c r="H432" s="115" t="str">
        <x:v>L 384 ; l 320 ; hauteur 52 m ; choix de composition auteur ; dimensions réelles à documenter</x:v>
      </x:c>
      <x:c r="I432" s="115" t="str">
        <x:v>À équilibrer</x:v>
      </x:c>
      <x:c r="J432" s="115" t="str">
        <x:v>Non</x:v>
      </x:c>
      <x:c r="K432" s="115" t="str">
        <x:v>Pièces décrites, murs, portes, niveaux et mobilier inspectables à l’échelle. Volumes réservés, raccord au seed, butin, rencontres et services de campagne restent à terminer.</x:v>
      </x:c>
    </x:row>
    <x:row r="433" ht="96" customHeight="1">
      <x:c r="A433" s="115" t="str">
        <x:v>EXT-MONDE-T009-V28</x:v>
      </x:c>
      <x:c r="B433" s="115" t="str">
        <x:v>EXT-MONDE-T009</x:v>
      </x:c>
      <x:c r="C433" s="115" t="str">
        <x:v>Offshore</x:v>
      </x:c>
      <x:c r="D433" s="115" t="str">
        <x:v>Plateforme pétrolière fixe</x:v>
      </x:c>
      <x:c r="E433" s="115" t="n">
        <x:v>28</x:v>
      </x:c>
      <x:c r="F433" s="115" t="str">
        <x:v>Inspection physique</x:v>
      </x:c>
      <x:c r="G433" s="115" t="str">
        <x:v>1 niveaux ; 34 pièces ; 260 segments de mur ; 0 transitions. Inspection physique ; architecture complète encore ouverte.</x:v>
      </x:c>
      <x:c r="H433" s="115" t="str">
        <x:v>L 384 ; l 320 ; hauteur 52 m ; choix de composition auteur ; dimensions réelles à documenter</x:v>
      </x:c>
      <x:c r="I433" s="115" t="str">
        <x:v>À équilibrer</x:v>
      </x:c>
      <x:c r="J433" s="115" t="str">
        <x:v>Non</x:v>
      </x:c>
      <x:c r="K433" s="115" t="str">
        <x:v>Pièces décrites, murs, portes, niveaux et mobilier inspectables à l’échelle. Volumes réservés, raccord au seed, butin, rencontres et services de campagne restent à terminer.</x:v>
      </x:c>
    </x:row>
    <x:row r="434" ht="96" customHeight="1">
      <x:c r="A434" s="115" t="str">
        <x:v>EXT-MONDE-T009-V29</x:v>
      </x:c>
      <x:c r="B434" s="115" t="str">
        <x:v>EXT-MONDE-T009</x:v>
      </x:c>
      <x:c r="C434" s="115" t="str">
        <x:v>Offshore</x:v>
      </x:c>
      <x:c r="D434" s="115" t="str">
        <x:v>Plateforme pétrolière fixe</x:v>
      </x:c>
      <x:c r="E434" s="115" t="n">
        <x:v>29</x:v>
      </x:c>
      <x:c r="F434" s="115" t="str">
        <x:v>Inspection physique</x:v>
      </x:c>
      <x:c r="G434" s="115" t="str">
        <x:v>1 niveaux ; 34 pièces ; 260 segments de mur ; 0 transitions. Inspection physique ; architecture complète encore ouverte.</x:v>
      </x:c>
      <x:c r="H434" s="115" t="str">
        <x:v>L 384 ; l 320 ; hauteur 52 m ; choix de composition auteur ; dimensions réelles à documenter</x:v>
      </x:c>
      <x:c r="I434" s="115" t="str">
        <x:v>À équilibrer</x:v>
      </x:c>
      <x:c r="J434" s="115" t="str">
        <x:v>Non</x:v>
      </x:c>
      <x:c r="K434" s="115" t="str">
        <x:v>Pièces décrites, murs, portes, niveaux et mobilier inspectables à l’échelle. Volumes réservés, raccord au seed, butin, rencontres et services de campagne restent à terminer.</x:v>
      </x:c>
    </x:row>
    <x:row r="435" ht="96" customHeight="1">
      <x:c r="A435" s="115" t="str">
        <x:v>EXT-MONDE-T009-V30</x:v>
      </x:c>
      <x:c r="B435" s="115" t="str">
        <x:v>EXT-MONDE-T009</x:v>
      </x:c>
      <x:c r="C435" s="115" t="str">
        <x:v>Offshore</x:v>
      </x:c>
      <x:c r="D435" s="115" t="str">
        <x:v>Plateforme pétrolière fixe</x:v>
      </x:c>
      <x:c r="E435" s="115" t="n">
        <x:v>30</x:v>
      </x:c>
      <x:c r="F435" s="115" t="str">
        <x:v>Inspection physique</x:v>
      </x:c>
      <x:c r="G435" s="115" t="str">
        <x:v>1 niveaux ; 34 pièces ; 260 segments de mur ; 0 transitions. Inspection physique ; architecture complète encore ouverte.</x:v>
      </x:c>
      <x:c r="H435" s="115" t="str">
        <x:v>L 384 ; l 320 ; hauteur 52 m ; choix de composition auteur ; dimensions réelles à documenter</x:v>
      </x:c>
      <x:c r="I435" s="115" t="str">
        <x:v>À équilibrer</x:v>
      </x:c>
      <x:c r="J435" s="115" t="str">
        <x:v>Non</x:v>
      </x:c>
      <x:c r="K435" s="115" t="str">
        <x:v>Pièces décrites, murs, portes, niveaux et mobilier inspectables à l’échelle. Volumes réservés, raccord au seed, butin, rencontres et services de campagne restent à terminer.</x:v>
      </x:c>
    </x:row>
    <x:row r="436" ht="96" customHeight="1">
      <x:c r="A436" s="115" t="str">
        <x:v>EXT-MONDE-T009-V31</x:v>
      </x:c>
      <x:c r="B436" s="115" t="str">
        <x:v>EXT-MONDE-T009</x:v>
      </x:c>
      <x:c r="C436" s="115" t="str">
        <x:v>Offshore</x:v>
      </x:c>
      <x:c r="D436" s="115" t="str">
        <x:v>Plateforme pétrolière fixe</x:v>
      </x:c>
      <x:c r="E436" s="115" t="n">
        <x:v>31</x:v>
      </x:c>
      <x:c r="F436" s="115" t="str">
        <x:v>Inspection physique</x:v>
      </x:c>
      <x:c r="G436" s="115" t="str">
        <x:v>1 niveaux ; 34 pièces ; 260 segments de mur ; 0 transitions. Inspection physique ; architecture complète encore ouverte.</x:v>
      </x:c>
      <x:c r="H436" s="115" t="str">
        <x:v>L 398 ; l 332 ; hauteur 52 m ; choix de composition auteur ; dimensions réelles à documenter</x:v>
      </x:c>
      <x:c r="I436" s="115" t="str">
        <x:v>À équilibrer</x:v>
      </x:c>
      <x:c r="J436" s="115" t="str">
        <x:v>Non</x:v>
      </x:c>
      <x:c r="K436" s="115" t="str">
        <x:v>Pièces décrites, murs, portes, niveaux et mobilier inspectables à l’échelle. Volumes réservés, raccord au seed, butin, rencontres et services de campagne restent à terminer.</x:v>
      </x:c>
    </x:row>
    <x:row r="437" ht="96" customHeight="1">
      <x:c r="A437" s="115" t="str">
        <x:v>EXT-MONDE-T009-V32</x:v>
      </x:c>
      <x:c r="B437" s="115" t="str">
        <x:v>EXT-MONDE-T009</x:v>
      </x:c>
      <x:c r="C437" s="115" t="str">
        <x:v>Offshore</x:v>
      </x:c>
      <x:c r="D437" s="115" t="str">
        <x:v>Plateforme pétrolière fixe</x:v>
      </x:c>
      <x:c r="E437" s="115" t="n">
        <x:v>32</x:v>
      </x:c>
      <x:c r="F437" s="115" t="str">
        <x:v>Inspection physique</x:v>
      </x:c>
      <x:c r="G437" s="115" t="str">
        <x:v>1 niveaux ; 34 pièces ; 260 segments de mur ; 0 transitions. Inspection physique ; architecture complète encore ouverte.</x:v>
      </x:c>
      <x:c r="H437" s="115" t="str">
        <x:v>L 398 ; l 332 ; hauteur 52 m ; choix de composition auteur ; dimensions réelles à documenter</x:v>
      </x:c>
      <x:c r="I437" s="115" t="str">
        <x:v>À équilibrer</x:v>
      </x:c>
      <x:c r="J437" s="115" t="str">
        <x:v>Non</x:v>
      </x:c>
      <x:c r="K437" s="115" t="str">
        <x:v>Pièces décrites, murs, portes, niveaux et mobilier inspectables à l’échelle. Volumes réservés, raccord au seed, butin, rencontres et services de campagne restent à terminer.</x:v>
      </x:c>
    </x:row>
    <x:row r="438" ht="96" customHeight="1">
      <x:c r="A438" s="115" t="str">
        <x:v>EXT-MONDE-T009-V33</x:v>
      </x:c>
      <x:c r="B438" s="115" t="str">
        <x:v>EXT-MONDE-T009</x:v>
      </x:c>
      <x:c r="C438" s="115" t="str">
        <x:v>Offshore</x:v>
      </x:c>
      <x:c r="D438" s="115" t="str">
        <x:v>Plateforme pétrolière fixe</x:v>
      </x:c>
      <x:c r="E438" s="115" t="n">
        <x:v>33</x:v>
      </x:c>
      <x:c r="F438" s="115" t="str">
        <x:v>Inspection physique</x:v>
      </x:c>
      <x:c r="G438" s="115" t="str">
        <x:v>1 niveaux ; 34 pièces ; 260 segments de mur ; 0 transitions. Inspection physique ; architecture complète encore ouverte.</x:v>
      </x:c>
      <x:c r="H438" s="115" t="str">
        <x:v>L 398 ; l 332 ; hauteur 52 m ; choix de composition auteur ; dimensions réelles à documenter</x:v>
      </x:c>
      <x:c r="I438" s="115" t="str">
        <x:v>À équilibrer</x:v>
      </x:c>
      <x:c r="J438" s="115" t="str">
        <x:v>Non</x:v>
      </x:c>
      <x:c r="K438" s="115" t="str">
        <x:v>Pièces décrites, murs, portes, niveaux et mobilier inspectables à l’échelle. Volumes réservés, raccord au seed, butin, rencontres et services de campagne restent à terminer.</x:v>
      </x:c>
    </x:row>
    <x:row r="439" ht="96" customHeight="1">
      <x:c r="A439" s="115" t="str">
        <x:v>EXT-MONDE-T009-V34</x:v>
      </x:c>
      <x:c r="B439" s="115" t="str">
        <x:v>EXT-MONDE-T009</x:v>
      </x:c>
      <x:c r="C439" s="115" t="str">
        <x:v>Offshore</x:v>
      </x:c>
      <x:c r="D439" s="115" t="str">
        <x:v>Plateforme pétrolière fixe</x:v>
      </x:c>
      <x:c r="E439" s="115" t="n">
        <x:v>34</x:v>
      </x:c>
      <x:c r="F439" s="115" t="str">
        <x:v>Inspection physique</x:v>
      </x:c>
      <x:c r="G439" s="115" t="str">
        <x:v>1 niveaux ; 34 pièces ; 260 segments de mur ; 0 transitions. Inspection physique ; architecture complète encore ouverte.</x:v>
      </x:c>
      <x:c r="H439" s="115" t="str">
        <x:v>L 398 ; l 332 ; hauteur 52 m ; choix de composition auteur ; dimensions réelles à documenter</x:v>
      </x:c>
      <x:c r="I439" s="115" t="str">
        <x:v>À équilibrer</x:v>
      </x:c>
      <x:c r="J439" s="115" t="str">
        <x:v>Non</x:v>
      </x:c>
      <x:c r="K439" s="115" t="str">
        <x:v>Pièces décrites, murs, portes, niveaux et mobilier inspectables à l’échelle. Volumes réservés, raccord au seed, butin, rencontres et services de campagne restent à terminer.</x:v>
      </x:c>
    </x:row>
    <x:row r="440" ht="96" customHeight="1">
      <x:c r="A440" s="115" t="str">
        <x:v>EXT-MONDE-T009-V35</x:v>
      </x:c>
      <x:c r="B440" s="115" t="str">
        <x:v>EXT-MONDE-T009</x:v>
      </x:c>
      <x:c r="C440" s="115" t="str">
        <x:v>Offshore</x:v>
      </x:c>
      <x:c r="D440" s="115" t="str">
        <x:v>Plateforme pétrolière fixe</x:v>
      </x:c>
      <x:c r="E440" s="115" t="n">
        <x:v>35</x:v>
      </x:c>
      <x:c r="F440" s="115" t="str">
        <x:v>Inspection physique</x:v>
      </x:c>
      <x:c r="G440" s="115" t="str">
        <x:v>1 niveaux ; 34 pièces ; 260 segments de mur ; 0 transitions. Inspection physique ; architecture complète encore ouverte.</x:v>
      </x:c>
      <x:c r="H440" s="115" t="str">
        <x:v>L 398 ; l 332 ; hauteur 52 m ; choix de composition auteur ; dimensions réelles à documenter</x:v>
      </x:c>
      <x:c r="I440" s="115" t="str">
        <x:v>À équilibrer</x:v>
      </x:c>
      <x:c r="J440" s="115" t="str">
        <x:v>Non</x:v>
      </x:c>
      <x:c r="K440" s="115" t="str">
        <x:v>Pièces décrites, murs, portes, niveaux et mobilier inspectables à l’échelle. Volumes réservés, raccord au seed, butin, rencontres et services de campagne restent à terminer.</x:v>
      </x:c>
    </x:row>
    <x:row r="441" ht="96" customHeight="1">
      <x:c r="A441" s="115" t="str">
        <x:v>EXT-MONDE-T009-V36</x:v>
      </x:c>
      <x:c r="B441" s="115" t="str">
        <x:v>EXT-MONDE-T009</x:v>
      </x:c>
      <x:c r="C441" s="115" t="str">
        <x:v>Offshore</x:v>
      </x:c>
      <x:c r="D441" s="115" t="str">
        <x:v>Plateforme pétrolière fixe</x:v>
      </x:c>
      <x:c r="E441" s="115" t="n">
        <x:v>36</x:v>
      </x:c>
      <x:c r="F441" s="115" t="str">
        <x:v>Inspection physique</x:v>
      </x:c>
      <x:c r="G441" s="115" t="str">
        <x:v>1 niveaux ; 34 pièces ; 260 segments de mur ; 0 transitions. Inspection physique ; architecture complète encore ouverte.</x:v>
      </x:c>
      <x:c r="H441" s="115" t="str">
        <x:v>L 398 ; l 332 ; hauteur 52 m ; choix de composition auteur ; dimensions réelles à documenter</x:v>
      </x:c>
      <x:c r="I441" s="115" t="str">
        <x:v>À équilibrer</x:v>
      </x:c>
      <x:c r="J441" s="115" t="str">
        <x:v>Non</x:v>
      </x:c>
      <x:c r="K441" s="115" t="str">
        <x:v>Pièces décrites, murs, portes, niveaux et mobilier inspectables à l’échelle. Volumes réservés, raccord au seed, butin, rencontres et services de campagne restent à terminer.</x:v>
      </x:c>
    </x:row>
    <x:row r="442" ht="96" customHeight="1">
      <x:c r="A442" s="115" t="str">
        <x:v>EXT-MONDE-T009-V37</x:v>
      </x:c>
      <x:c r="B442" s="115" t="str">
        <x:v>EXT-MONDE-T009</x:v>
      </x:c>
      <x:c r="C442" s="115" t="str">
        <x:v>Offshore</x:v>
      </x:c>
      <x:c r="D442" s="115" t="str">
        <x:v>Plateforme pétrolière fixe</x:v>
      </x:c>
      <x:c r="E442" s="115" t="n">
        <x:v>37</x:v>
      </x:c>
      <x:c r="F442" s="115" t="str">
        <x:v>Inspection physique</x:v>
      </x:c>
      <x:c r="G442" s="115" t="str">
        <x:v>1 niveaux ; 34 pièces ; 260 segments de mur ; 0 transitions. Inspection physique ; architecture complète encore ouverte.</x:v>
      </x:c>
      <x:c r="H442" s="115" t="str">
        <x:v>L 398 ; l 332 ; hauteur 52 m ; choix de composition auteur ; dimensions réelles à documenter</x:v>
      </x:c>
      <x:c r="I442" s="115" t="str">
        <x:v>À équilibrer</x:v>
      </x:c>
      <x:c r="J442" s="115" t="str">
        <x:v>Non</x:v>
      </x:c>
      <x:c r="K442" s="115" t="str">
        <x:v>Pièces décrites, murs, portes, niveaux et mobilier inspectables à l’échelle. Volumes réservés, raccord au seed, butin, rencontres et services de campagne restent à terminer.</x:v>
      </x:c>
    </x:row>
    <x:row r="443" ht="96" customHeight="1">
      <x:c r="A443" s="115" t="str">
        <x:v>EXT-MONDE-T009-V38</x:v>
      </x:c>
      <x:c r="B443" s="115" t="str">
        <x:v>EXT-MONDE-T009</x:v>
      </x:c>
      <x:c r="C443" s="115" t="str">
        <x:v>Offshore</x:v>
      </x:c>
      <x:c r="D443" s="115" t="str">
        <x:v>Plateforme pétrolière fixe</x:v>
      </x:c>
      <x:c r="E443" s="115" t="n">
        <x:v>38</x:v>
      </x:c>
      <x:c r="F443" s="115" t="str">
        <x:v>Inspection physique</x:v>
      </x:c>
      <x:c r="G443" s="115" t="str">
        <x:v>1 niveaux ; 34 pièces ; 260 segments de mur ; 0 transitions. Inspection physique ; architecture complète encore ouverte.</x:v>
      </x:c>
      <x:c r="H443" s="115" t="str">
        <x:v>L 398 ; l 332 ; hauteur 52 m ; choix de composition auteur ; dimensions réelles à documenter</x:v>
      </x:c>
      <x:c r="I443" s="115" t="str">
        <x:v>À équilibrer</x:v>
      </x:c>
      <x:c r="J443" s="115" t="str">
        <x:v>Non</x:v>
      </x:c>
      <x:c r="K443" s="115" t="str">
        <x:v>Pièces décrites, murs, portes, niveaux et mobilier inspectables à l’échelle. Volumes réservés, raccord au seed, butin, rencontres et services de campagne restent à terminer.</x:v>
      </x:c>
    </x:row>
    <x:row r="444" ht="96" customHeight="1">
      <x:c r="A444" s="115" t="str">
        <x:v>EXT-MONDE-T009-V39</x:v>
      </x:c>
      <x:c r="B444" s="115" t="str">
        <x:v>EXT-MONDE-T009</x:v>
      </x:c>
      <x:c r="C444" s="115" t="str">
        <x:v>Offshore</x:v>
      </x:c>
      <x:c r="D444" s="115" t="str">
        <x:v>Plateforme pétrolière fixe</x:v>
      </x:c>
      <x:c r="E444" s="115" t="n">
        <x:v>39</x:v>
      </x:c>
      <x:c r="F444" s="115" t="str">
        <x:v>Inspection physique</x:v>
      </x:c>
      <x:c r="G444" s="115" t="str">
        <x:v>1 niveaux ; 34 pièces ; 260 segments de mur ; 0 transitions. Inspection physique ; architecture complète encore ouverte.</x:v>
      </x:c>
      <x:c r="H444" s="115" t="str">
        <x:v>L 398 ; l 332 ; hauteur 52 m ; choix de composition auteur ; dimensions réelles à documenter</x:v>
      </x:c>
      <x:c r="I444" s="115" t="str">
        <x:v>À équilibrer</x:v>
      </x:c>
      <x:c r="J444" s="115" t="str">
        <x:v>Non</x:v>
      </x:c>
      <x:c r="K444" s="115" t="str">
        <x:v>Pièces décrites, murs, portes, niveaux et mobilier inspectables à l’échelle. Volumes réservés, raccord au seed, butin, rencontres et services de campagne restent à terminer.</x:v>
      </x:c>
    </x:row>
    <x:row r="445" ht="96" customHeight="1">
      <x:c r="A445" s="115" t="str">
        <x:v>EXT-MONDE-T009-V40</x:v>
      </x:c>
      <x:c r="B445" s="115" t="str">
        <x:v>EXT-MONDE-T009</x:v>
      </x:c>
      <x:c r="C445" s="115" t="str">
        <x:v>Offshore</x:v>
      </x:c>
      <x:c r="D445" s="115" t="str">
        <x:v>Plateforme pétrolière fixe</x:v>
      </x:c>
      <x:c r="E445" s="115" t="n">
        <x:v>40</x:v>
      </x:c>
      <x:c r="F445" s="115" t="str">
        <x:v>Inspection physique</x:v>
      </x:c>
      <x:c r="G445" s="115" t="str">
        <x:v>1 niveaux ; 34 pièces ; 260 segments de mur ; 0 transitions. Inspection physique ; architecture complète encore ouverte.</x:v>
      </x:c>
      <x:c r="H445" s="115" t="str">
        <x:v>L 398 ; l 332 ; hauteur 52 m ; choix de composition auteur ; dimensions réelles à documenter</x:v>
      </x:c>
      <x:c r="I445" s="115" t="str">
        <x:v>À équilibrer</x:v>
      </x:c>
      <x:c r="J445" s="115" t="str">
        <x:v>Non</x:v>
      </x:c>
      <x:c r="K445" s="115" t="str">
        <x:v>Pièces décrites, murs, portes, niveaux et mobilier inspectables à l’échelle. Volumes réservés, raccord au seed, butin, rencontres et services de campagne restent à terminer.</x:v>
      </x:c>
    </x:row>
    <x:row r="446" ht="96" customHeight="1">
      <x:c r="A446" s="115" t="str">
        <x:v>EXT-MONDE-T009-V41</x:v>
      </x:c>
      <x:c r="B446" s="115" t="str">
        <x:v>EXT-MONDE-T009</x:v>
      </x:c>
      <x:c r="C446" s="115" t="str">
        <x:v>Offshore</x:v>
      </x:c>
      <x:c r="D446" s="115" t="str">
        <x:v>Plateforme pétrolière fixe</x:v>
      </x:c>
      <x:c r="E446" s="115" t="n">
        <x:v>41</x:v>
      </x:c>
      <x:c r="F446" s="115" t="str">
        <x:v>Inspection physique</x:v>
      </x:c>
      <x:c r="G446" s="115" t="str">
        <x:v>1 niveaux ; 34 pièces ; 260 segments de mur ; 0 transitions. Inspection physique ; architecture complète encore ouverte.</x:v>
      </x:c>
      <x:c r="H446" s="115" t="str">
        <x:v>L 412 ; l 344 ; hauteur 52 m ; choix de composition auteur ; dimensions réelles à documenter</x:v>
      </x:c>
      <x:c r="I446" s="115" t="str">
        <x:v>À équilibrer</x:v>
      </x:c>
      <x:c r="J446" s="115" t="str">
        <x:v>Non</x:v>
      </x:c>
      <x:c r="K446" s="115" t="str">
        <x:v>Pièces décrites, murs, portes, niveaux et mobilier inspectables à l’échelle. Volumes réservés, raccord au seed, butin, rencontres et services de campagne restent à terminer.</x:v>
      </x:c>
    </x:row>
    <x:row r="447" ht="96" customHeight="1">
      <x:c r="A447" s="115" t="str">
        <x:v>EXT-MONDE-T009-V42</x:v>
      </x:c>
      <x:c r="B447" s="115" t="str">
        <x:v>EXT-MONDE-T009</x:v>
      </x:c>
      <x:c r="C447" s="115" t="str">
        <x:v>Offshore</x:v>
      </x:c>
      <x:c r="D447" s="115" t="str">
        <x:v>Plateforme pétrolière fixe</x:v>
      </x:c>
      <x:c r="E447" s="115" t="n">
        <x:v>42</x:v>
      </x:c>
      <x:c r="F447" s="115" t="str">
        <x:v>Inspection physique</x:v>
      </x:c>
      <x:c r="G447" s="115" t="str">
        <x:v>1 niveaux ; 34 pièces ; 260 segments de mur ; 0 transitions. Inspection physique ; architecture complète encore ouverte.</x:v>
      </x:c>
      <x:c r="H447" s="115" t="str">
        <x:v>L 412 ; l 344 ; hauteur 52 m ; choix de composition auteur ; dimensions réelles à documenter</x:v>
      </x:c>
      <x:c r="I447" s="115" t="str">
        <x:v>À équilibrer</x:v>
      </x:c>
      <x:c r="J447" s="115" t="str">
        <x:v>Non</x:v>
      </x:c>
      <x:c r="K447" s="115" t="str">
        <x:v>Pièces décrites, murs, portes, niveaux et mobilier inspectables à l’échelle. Volumes réservés, raccord au seed, butin, rencontres et services de campagne restent à terminer.</x:v>
      </x:c>
    </x:row>
    <x:row r="448" ht="96" customHeight="1">
      <x:c r="A448" s="115" t="str">
        <x:v>EXT-MONDE-T009-V43</x:v>
      </x:c>
      <x:c r="B448" s="115" t="str">
        <x:v>EXT-MONDE-T009</x:v>
      </x:c>
      <x:c r="C448" s="115" t="str">
        <x:v>Offshore</x:v>
      </x:c>
      <x:c r="D448" s="115" t="str">
        <x:v>Plateforme pétrolière fixe</x:v>
      </x:c>
      <x:c r="E448" s="115" t="n">
        <x:v>43</x:v>
      </x:c>
      <x:c r="F448" s="115" t="str">
        <x:v>Inspection physique</x:v>
      </x:c>
      <x:c r="G448" s="115" t="str">
        <x:v>1 niveaux ; 34 pièces ; 260 segments de mur ; 0 transitions. Inspection physique ; architecture complète encore ouverte.</x:v>
      </x:c>
      <x:c r="H448" s="115" t="str">
        <x:v>L 412 ; l 344 ; hauteur 52 m ; choix de composition auteur ; dimensions réelles à documenter</x:v>
      </x:c>
      <x:c r="I448" s="115" t="str">
        <x:v>À équilibrer</x:v>
      </x:c>
      <x:c r="J448" s="115" t="str">
        <x:v>Non</x:v>
      </x:c>
      <x:c r="K448" s="115" t="str">
        <x:v>Pièces décrites, murs, portes, niveaux et mobilier inspectables à l’échelle. Volumes réservés, raccord au seed, butin, rencontres et services de campagne restent à terminer.</x:v>
      </x:c>
    </x:row>
    <x:row r="449" ht="96" customHeight="1">
      <x:c r="A449" s="115" t="str">
        <x:v>EXT-MONDE-T009-V44</x:v>
      </x:c>
      <x:c r="B449" s="115" t="str">
        <x:v>EXT-MONDE-T009</x:v>
      </x:c>
      <x:c r="C449" s="115" t="str">
        <x:v>Offshore</x:v>
      </x:c>
      <x:c r="D449" s="115" t="str">
        <x:v>Plateforme pétrolière fixe</x:v>
      </x:c>
      <x:c r="E449" s="115" t="n">
        <x:v>44</x:v>
      </x:c>
      <x:c r="F449" s="115" t="str">
        <x:v>Inspection physique</x:v>
      </x:c>
      <x:c r="G449" s="115" t="str">
        <x:v>1 niveaux ; 34 pièces ; 260 segments de mur ; 0 transitions. Inspection physique ; architecture complète encore ouverte.</x:v>
      </x:c>
      <x:c r="H449" s="115" t="str">
        <x:v>L 412 ; l 344 ; hauteur 52 m ; choix de composition auteur ; dimensions réelles à documenter</x:v>
      </x:c>
      <x:c r="I449" s="115" t="str">
        <x:v>À équilibrer</x:v>
      </x:c>
      <x:c r="J449" s="115" t="str">
        <x:v>Non</x:v>
      </x:c>
      <x:c r="K449" s="115" t="str">
        <x:v>Pièces décrites, murs, portes, niveaux et mobilier inspectables à l’échelle. Volumes réservés, raccord au seed, butin, rencontres et services de campagne restent à terminer.</x:v>
      </x:c>
    </x:row>
    <x:row r="450" ht="96" customHeight="1">
      <x:c r="A450" s="115" t="str">
        <x:v>EXT-MONDE-T009-V45</x:v>
      </x:c>
      <x:c r="B450" s="115" t="str">
        <x:v>EXT-MONDE-T009</x:v>
      </x:c>
      <x:c r="C450" s="115" t="str">
        <x:v>Offshore</x:v>
      </x:c>
      <x:c r="D450" s="115" t="str">
        <x:v>Plateforme pétrolière fixe</x:v>
      </x:c>
      <x:c r="E450" s="115" t="n">
        <x:v>45</x:v>
      </x:c>
      <x:c r="F450" s="115" t="str">
        <x:v>Inspection physique</x:v>
      </x:c>
      <x:c r="G450" s="115" t="str">
        <x:v>1 niveaux ; 34 pièces ; 260 segments de mur ; 0 transitions. Inspection physique ; architecture complète encore ouverte.</x:v>
      </x:c>
      <x:c r="H450" s="115" t="str">
        <x:v>L 412 ; l 344 ; hauteur 52 m ; choix de composition auteur ; dimensions réelles à documenter</x:v>
      </x:c>
      <x:c r="I450" s="115" t="str">
        <x:v>À équilibrer</x:v>
      </x:c>
      <x:c r="J450" s="115" t="str">
        <x:v>Non</x:v>
      </x:c>
      <x:c r="K450" s="115" t="str">
        <x:v>Pièces décrites, murs, portes, niveaux et mobilier inspectables à l’échelle. Volumes réservés, raccord au seed, butin, rencontres et services de campagne restent à terminer.</x:v>
      </x:c>
    </x:row>
    <x:row r="451" ht="96" customHeight="1">
      <x:c r="A451" s="115" t="str">
        <x:v>EXT-MONDE-T009-V46</x:v>
      </x:c>
      <x:c r="B451" s="115" t="str">
        <x:v>EXT-MONDE-T009</x:v>
      </x:c>
      <x:c r="C451" s="115" t="str">
        <x:v>Offshore</x:v>
      </x:c>
      <x:c r="D451" s="115" t="str">
        <x:v>Plateforme pétrolière fixe</x:v>
      </x:c>
      <x:c r="E451" s="115" t="n">
        <x:v>46</x:v>
      </x:c>
      <x:c r="F451" s="115" t="str">
        <x:v>Inspection physique</x:v>
      </x:c>
      <x:c r="G451" s="115" t="str">
        <x:v>1 niveaux ; 34 pièces ; 260 segments de mur ; 0 transitions. Inspection physique ; architecture complète encore ouverte.</x:v>
      </x:c>
      <x:c r="H451" s="115" t="str">
        <x:v>L 412 ; l 344 ; hauteur 52 m ; choix de composition auteur ; dimensions réelles à documenter</x:v>
      </x:c>
      <x:c r="I451" s="115" t="str">
        <x:v>À équilibrer</x:v>
      </x:c>
      <x:c r="J451" s="115" t="str">
        <x:v>Non</x:v>
      </x:c>
      <x:c r="K451" s="115" t="str">
        <x:v>Pièces décrites, murs, portes, niveaux et mobilier inspectables à l’échelle. Volumes réservés, raccord au seed, butin, rencontres et services de campagne restent à terminer.</x:v>
      </x:c>
    </x:row>
    <x:row r="452" ht="96" customHeight="1">
      <x:c r="A452" s="115" t="str">
        <x:v>EXT-MONDE-T009-V47</x:v>
      </x:c>
      <x:c r="B452" s="115" t="str">
        <x:v>EXT-MONDE-T009</x:v>
      </x:c>
      <x:c r="C452" s="115" t="str">
        <x:v>Offshore</x:v>
      </x:c>
      <x:c r="D452" s="115" t="str">
        <x:v>Plateforme pétrolière fixe</x:v>
      </x:c>
      <x:c r="E452" s="115" t="n">
        <x:v>47</x:v>
      </x:c>
      <x:c r="F452" s="115" t="str">
        <x:v>Inspection physique</x:v>
      </x:c>
      <x:c r="G452" s="115" t="str">
        <x:v>1 niveaux ; 34 pièces ; 260 segments de mur ; 0 transitions. Inspection physique ; architecture complète encore ouverte.</x:v>
      </x:c>
      <x:c r="H452" s="115" t="str">
        <x:v>L 412 ; l 344 ; hauteur 52 m ; choix de composition auteur ; dimensions réelles à documenter</x:v>
      </x:c>
      <x:c r="I452" s="115" t="str">
        <x:v>À équilibrer</x:v>
      </x:c>
      <x:c r="J452" s="115" t="str">
        <x:v>Non</x:v>
      </x:c>
      <x:c r="K452" s="115" t="str">
        <x:v>Pièces décrites, murs, portes, niveaux et mobilier inspectables à l’échelle. Volumes réservés, raccord au seed, butin, rencontres et services de campagne restent à terminer.</x:v>
      </x:c>
    </x:row>
    <x:row r="453" ht="96" customHeight="1">
      <x:c r="A453" s="115" t="str">
        <x:v>EXT-MONDE-T009-V48</x:v>
      </x:c>
      <x:c r="B453" s="115" t="str">
        <x:v>EXT-MONDE-T009</x:v>
      </x:c>
      <x:c r="C453" s="115" t="str">
        <x:v>Offshore</x:v>
      </x:c>
      <x:c r="D453" s="115" t="str">
        <x:v>Plateforme pétrolière fixe</x:v>
      </x:c>
      <x:c r="E453" s="115" t="n">
        <x:v>48</x:v>
      </x:c>
      <x:c r="F453" s="115" t="str">
        <x:v>Inspection physique</x:v>
      </x:c>
      <x:c r="G453" s="115" t="str">
        <x:v>1 niveaux ; 34 pièces ; 260 segments de mur ; 0 transitions. Inspection physique ; architecture complète encore ouverte.</x:v>
      </x:c>
      <x:c r="H453" s="115" t="str">
        <x:v>L 412 ; l 344 ; hauteur 52 m ; choix de composition auteur ; dimensions réelles à documenter</x:v>
      </x:c>
      <x:c r="I453" s="115" t="str">
        <x:v>À équilibrer</x:v>
      </x:c>
      <x:c r="J453" s="115" t="str">
        <x:v>Non</x:v>
      </x:c>
      <x:c r="K453" s="115" t="str">
        <x:v>Pièces décrites, murs, portes, niveaux et mobilier inspectables à l’échelle. Volumes réservés, raccord au seed, butin, rencontres et services de campagne restent à terminer.</x:v>
      </x:c>
    </x:row>
    <x:row r="454" ht="96" customHeight="1">
      <x:c r="A454" s="115" t="str">
        <x:v>EXT-MONDE-T009-V49</x:v>
      </x:c>
      <x:c r="B454" s="115" t="str">
        <x:v>EXT-MONDE-T009</x:v>
      </x:c>
      <x:c r="C454" s="115" t="str">
        <x:v>Offshore</x:v>
      </x:c>
      <x:c r="D454" s="115" t="str">
        <x:v>Plateforme pétrolière fixe</x:v>
      </x:c>
      <x:c r="E454" s="115" t="n">
        <x:v>49</x:v>
      </x:c>
      <x:c r="F454" s="115" t="str">
        <x:v>Inspection physique</x:v>
      </x:c>
      <x:c r="G454" s="115" t="str">
        <x:v>1 niveaux ; 34 pièces ; 260 segments de mur ; 0 transitions. Inspection physique ; architecture complète encore ouverte.</x:v>
      </x:c>
      <x:c r="H454" s="115" t="str">
        <x:v>L 412 ; l 344 ; hauteur 52 m ; choix de composition auteur ; dimensions réelles à documenter</x:v>
      </x:c>
      <x:c r="I454" s="115" t="str">
        <x:v>À équilibrer</x:v>
      </x:c>
      <x:c r="J454" s="115" t="str">
        <x:v>Non</x:v>
      </x:c>
      <x:c r="K454" s="115" t="str">
        <x:v>Pièces décrites, murs, portes, niveaux et mobilier inspectables à l’échelle. Volumes réservés, raccord au seed, butin, rencontres et services de campagne restent à terminer.</x:v>
      </x:c>
    </x:row>
    <x:row r="455" ht="96" customHeight="1">
      <x:c r="A455" s="115" t="str">
        <x:v>EXT-MONDE-T009-V50</x:v>
      </x:c>
      <x:c r="B455" s="115" t="str">
        <x:v>EXT-MONDE-T009</x:v>
      </x:c>
      <x:c r="C455" s="115" t="str">
        <x:v>Offshore</x:v>
      </x:c>
      <x:c r="D455" s="115" t="str">
        <x:v>Plateforme pétrolière fixe</x:v>
      </x:c>
      <x:c r="E455" s="115" t="n">
        <x:v>50</x:v>
      </x:c>
      <x:c r="F455" s="115" t="str">
        <x:v>Inspection physique</x:v>
      </x:c>
      <x:c r="G455" s="115" t="str">
        <x:v>1 niveaux ; 34 pièces ; 260 segments de mur ; 0 transitions. Inspection physique ; architecture complète encore ouverte.</x:v>
      </x:c>
      <x:c r="H455" s="115" t="str">
        <x:v>L 412 ; l 344 ; hauteur 52 m ; choix de composition auteur ; dimensions réelles à documenter</x:v>
      </x:c>
      <x:c r="I455" s="115" t="str">
        <x:v>À équilibrer</x:v>
      </x:c>
      <x:c r="J455" s="115" t="str">
        <x:v>Non</x:v>
      </x:c>
      <x:c r="K455" s="115" t="str">
        <x:v>Pièces décrites, murs, portes, niveaux et mobilier inspectables à l’échelle. Volumes réservés, raccord au seed, butin, rencontres et services de campagne restent à terminer.</x:v>
      </x:c>
    </x:row>
    <x:row r="456" ht="96" customHeight="1">
      <x:c r="A456" s="115" t="str">
        <x:v>EXT-MONDE-T010-V01</x:v>
      </x:c>
      <x:c r="B456" s="115" t="str">
        <x:v>EXT-MONDE-T010</x:v>
      </x:c>
      <x:c r="C456" s="115" t="str">
        <x:v>Offshore</x:v>
      </x:c>
      <x:c r="D456" s="115" t="str">
        <x:v>Plateforme semi-submersible</x:v>
      </x:c>
      <x:c r="E456" s="115" t="n">
        <x:v>1</x:v>
      </x:c>
      <x:c r="F456" s="115" t="str">
        <x:v>Inspection physique</x:v>
      </x:c>
      <x:c r="G456" s="115" t="str">
        <x:v>1 niveaux ; 34 pièces ; 260 segments de mur ; 0 transitions. Inspection physique ; architecture complète encore ouverte.</x:v>
      </x:c>
      <x:c r="H456" s="115" t="str">
        <x:v>L 376 ; l 316 ; hauteur 12 m ; choix de composition auteur ; dimensions réelles à documenter</x:v>
      </x:c>
      <x:c r="I456" s="115" t="str">
        <x:v>À équilibrer</x:v>
      </x:c>
      <x:c r="J456" s="115" t="str">
        <x:v>Non</x:v>
      </x:c>
      <x:c r="K456" s="115" t="str">
        <x:v>Pièces décrites, murs, portes, niveaux et mobilier inspectables à l’échelle. Volumes réservés, raccord au seed, butin, rencontres et services de campagne restent à terminer.</x:v>
      </x:c>
    </x:row>
    <x:row r="457" ht="96" customHeight="1">
      <x:c r="A457" s="115" t="str">
        <x:v>EXT-MONDE-T010-V02</x:v>
      </x:c>
      <x:c r="B457" s="115" t="str">
        <x:v>EXT-MONDE-T010</x:v>
      </x:c>
      <x:c r="C457" s="115" t="str">
        <x:v>Offshore</x:v>
      </x:c>
      <x:c r="D457" s="115" t="str">
        <x:v>Plateforme semi-submersible</x:v>
      </x:c>
      <x:c r="E457" s="115" t="n">
        <x:v>2</x:v>
      </x:c>
      <x:c r="F457" s="115" t="str">
        <x:v>Inspection physique</x:v>
      </x:c>
      <x:c r="G457" s="115" t="str">
        <x:v>1 niveaux ; 34 pièces ; 260 segments de mur ; 0 transitions. Inspection physique ; architecture complète encore ouverte.</x:v>
      </x:c>
      <x:c r="H457" s="115" t="str">
        <x:v>L 376 ; l 316 ; hauteur 12 m ; choix de composition auteur ; dimensions réelles à documenter</x:v>
      </x:c>
      <x:c r="I457" s="115" t="str">
        <x:v>À équilibrer</x:v>
      </x:c>
      <x:c r="J457" s="115" t="str">
        <x:v>Non</x:v>
      </x:c>
      <x:c r="K457" s="115" t="str">
        <x:v>Pièces décrites, murs, portes, niveaux et mobilier inspectables à l’échelle. Volumes réservés, raccord au seed, butin, rencontres et services de campagne restent à terminer.</x:v>
      </x:c>
    </x:row>
    <x:row r="458" ht="96" customHeight="1">
      <x:c r="A458" s="115" t="str">
        <x:v>EXT-MONDE-T010-V03</x:v>
      </x:c>
      <x:c r="B458" s="115" t="str">
        <x:v>EXT-MONDE-T010</x:v>
      </x:c>
      <x:c r="C458" s="115" t="str">
        <x:v>Offshore</x:v>
      </x:c>
      <x:c r="D458" s="115" t="str">
        <x:v>Plateforme semi-submersible</x:v>
      </x:c>
      <x:c r="E458" s="115" t="n">
        <x:v>3</x:v>
      </x:c>
      <x:c r="F458" s="115" t="str">
        <x:v>Inspection physique</x:v>
      </x:c>
      <x:c r="G458" s="115" t="str">
        <x:v>1 niveaux ; 34 pièces ; 260 segments de mur ; 0 transitions. Inspection physique ; architecture complète encore ouverte.</x:v>
      </x:c>
      <x:c r="H458" s="115" t="str">
        <x:v>L 376 ; l 316 ; hauteur 12 m ; choix de composition auteur ; dimensions réelles à documenter</x:v>
      </x:c>
      <x:c r="I458" s="115" t="str">
        <x:v>À équilibrer</x:v>
      </x:c>
      <x:c r="J458" s="115" t="str">
        <x:v>Non</x:v>
      </x:c>
      <x:c r="K458" s="115" t="str">
        <x:v>Pièces décrites, murs, portes, niveaux et mobilier inspectables à l’échelle. Volumes réservés, raccord au seed, butin, rencontres et services de campagne restent à terminer.</x:v>
      </x:c>
    </x:row>
    <x:row r="459" ht="96" customHeight="1">
      <x:c r="A459" s="115" t="str">
        <x:v>EXT-MONDE-T010-V04</x:v>
      </x:c>
      <x:c r="B459" s="115" t="str">
        <x:v>EXT-MONDE-T010</x:v>
      </x:c>
      <x:c r="C459" s="115" t="str">
        <x:v>Offshore</x:v>
      </x:c>
      <x:c r="D459" s="115" t="str">
        <x:v>Plateforme semi-submersible</x:v>
      </x:c>
      <x:c r="E459" s="115" t="n">
        <x:v>4</x:v>
      </x:c>
      <x:c r="F459" s="115" t="str">
        <x:v>Inspection physique</x:v>
      </x:c>
      <x:c r="G459" s="115" t="str">
        <x:v>1 niveaux ; 34 pièces ; 260 segments de mur ; 0 transitions. Inspection physique ; architecture complète encore ouverte.</x:v>
      </x:c>
      <x:c r="H459" s="115" t="str">
        <x:v>L 376 ; l 316 ; hauteur 12 m ; choix de composition auteur ; dimensions réelles à documenter</x:v>
      </x:c>
      <x:c r="I459" s="115" t="str">
        <x:v>À équilibrer</x:v>
      </x:c>
      <x:c r="J459" s="115" t="str">
        <x:v>Non</x:v>
      </x:c>
      <x:c r="K459" s="115" t="str">
        <x:v>Pièces décrites, murs, portes, niveaux et mobilier inspectables à l’échelle. Volumes réservés, raccord au seed, butin, rencontres et services de campagne restent à terminer.</x:v>
      </x:c>
    </x:row>
    <x:row r="460" ht="96" customHeight="1">
      <x:c r="A460" s="115" t="str">
        <x:v>EXT-MONDE-T010-V05</x:v>
      </x:c>
      <x:c r="B460" s="115" t="str">
        <x:v>EXT-MONDE-T010</x:v>
      </x:c>
      <x:c r="C460" s="115" t="str">
        <x:v>Offshore</x:v>
      </x:c>
      <x:c r="D460" s="115" t="str">
        <x:v>Plateforme semi-submersible</x:v>
      </x:c>
      <x:c r="E460" s="115" t="n">
        <x:v>5</x:v>
      </x:c>
      <x:c r="F460" s="115" t="str">
        <x:v>Inspection physique</x:v>
      </x:c>
      <x:c r="G460" s="115" t="str">
        <x:v>1 niveaux ; 34 pièces ; 260 segments de mur ; 0 transitions. Inspection physique ; architecture complète encore ouverte.</x:v>
      </x:c>
      <x:c r="H460" s="115" t="str">
        <x:v>L 376 ; l 316 ; hauteur 12 m ; choix de composition auteur ; dimensions réelles à documenter</x:v>
      </x:c>
      <x:c r="I460" s="115" t="str">
        <x:v>À équilibrer</x:v>
      </x:c>
      <x:c r="J460" s="115" t="str">
        <x:v>Non</x:v>
      </x:c>
      <x:c r="K460" s="115" t="str">
        <x:v>Pièces décrites, murs, portes, niveaux et mobilier inspectables à l’échelle. Volumes réservés, raccord au seed, butin, rencontres et services de campagne restent à terminer.</x:v>
      </x:c>
    </x:row>
    <x:row r="461" ht="96" customHeight="1">
      <x:c r="A461" s="115" t="str">
        <x:v>EXT-MONDE-T010-V06</x:v>
      </x:c>
      <x:c r="B461" s="115" t="str">
        <x:v>EXT-MONDE-T010</x:v>
      </x:c>
      <x:c r="C461" s="115" t="str">
        <x:v>Offshore</x:v>
      </x:c>
      <x:c r="D461" s="115" t="str">
        <x:v>Plateforme semi-submersible</x:v>
      </x:c>
      <x:c r="E461" s="115" t="n">
        <x:v>6</x:v>
      </x:c>
      <x:c r="F461" s="115" t="str">
        <x:v>Inspection physique</x:v>
      </x:c>
      <x:c r="G461" s="115" t="str">
        <x:v>1 niveaux ; 34 pièces ; 260 segments de mur ; 0 transitions. Inspection physique ; architecture complète encore ouverte.</x:v>
      </x:c>
      <x:c r="H461" s="115" t="str">
        <x:v>L 376 ; l 316 ; hauteur 12 m ; choix de composition auteur ; dimensions réelles à documenter</x:v>
      </x:c>
      <x:c r="I461" s="115" t="str">
        <x:v>À équilibrer</x:v>
      </x:c>
      <x:c r="J461" s="115" t="str">
        <x:v>Non</x:v>
      </x:c>
      <x:c r="K461" s="115" t="str">
        <x:v>Pièces décrites, murs, portes, niveaux et mobilier inspectables à l’échelle. Volumes réservés, raccord au seed, butin, rencontres et services de campagne restent à terminer.</x:v>
      </x:c>
    </x:row>
    <x:row r="462" ht="96" customHeight="1">
      <x:c r="A462" s="115" t="str">
        <x:v>EXT-MONDE-T010-V07</x:v>
      </x:c>
      <x:c r="B462" s="115" t="str">
        <x:v>EXT-MONDE-T010</x:v>
      </x:c>
      <x:c r="C462" s="115" t="str">
        <x:v>Offshore</x:v>
      </x:c>
      <x:c r="D462" s="115" t="str">
        <x:v>Plateforme semi-submersible</x:v>
      </x:c>
      <x:c r="E462" s="115" t="n">
        <x:v>7</x:v>
      </x:c>
      <x:c r="F462" s="115" t="str">
        <x:v>Inspection physique</x:v>
      </x:c>
      <x:c r="G462" s="115" t="str">
        <x:v>1 niveaux ; 34 pièces ; 260 segments de mur ; 0 transitions. Inspection physique ; architecture complète encore ouverte.</x:v>
      </x:c>
      <x:c r="H462" s="115" t="str">
        <x:v>L 376 ; l 316 ; hauteur 12 m ; choix de composition auteur ; dimensions réelles à documenter</x:v>
      </x:c>
      <x:c r="I462" s="115" t="str">
        <x:v>À équilibrer</x:v>
      </x:c>
      <x:c r="J462" s="115" t="str">
        <x:v>Non</x:v>
      </x:c>
      <x:c r="K462" s="115" t="str">
        <x:v>Pièces décrites, murs, portes, niveaux et mobilier inspectables à l’échelle. Volumes réservés, raccord au seed, butin, rencontres et services de campagne restent à terminer.</x:v>
      </x:c>
    </x:row>
    <x:row r="463" ht="96" customHeight="1">
      <x:c r="A463" s="115" t="str">
        <x:v>EXT-MONDE-T010-V08</x:v>
      </x:c>
      <x:c r="B463" s="115" t="str">
        <x:v>EXT-MONDE-T010</x:v>
      </x:c>
      <x:c r="C463" s="115" t="str">
        <x:v>Offshore</x:v>
      </x:c>
      <x:c r="D463" s="115" t="str">
        <x:v>Plateforme semi-submersible</x:v>
      </x:c>
      <x:c r="E463" s="115" t="n">
        <x:v>8</x:v>
      </x:c>
      <x:c r="F463" s="115" t="str">
        <x:v>Inspection physique</x:v>
      </x:c>
      <x:c r="G463" s="115" t="str">
        <x:v>1 niveaux ; 34 pièces ; 260 segments de mur ; 0 transitions. Inspection physique ; architecture complète encore ouverte.</x:v>
      </x:c>
      <x:c r="H463" s="115" t="str">
        <x:v>L 376 ; l 316 ; hauteur 12 m ; choix de composition auteur ; dimensions réelles à documenter</x:v>
      </x:c>
      <x:c r="I463" s="115" t="str">
        <x:v>À équilibrer</x:v>
      </x:c>
      <x:c r="J463" s="115" t="str">
        <x:v>Non</x:v>
      </x:c>
      <x:c r="K463" s="115" t="str">
        <x:v>Pièces décrites, murs, portes, niveaux et mobilier inspectables à l’échelle. Volumes réservés, raccord au seed, butin, rencontres et services de campagne restent à terminer.</x:v>
      </x:c>
    </x:row>
    <x:row r="464" ht="96" customHeight="1">
      <x:c r="A464" s="115" t="str">
        <x:v>EXT-MONDE-T010-V09</x:v>
      </x:c>
      <x:c r="B464" s="115" t="str">
        <x:v>EXT-MONDE-T010</x:v>
      </x:c>
      <x:c r="C464" s="115" t="str">
        <x:v>Offshore</x:v>
      </x:c>
      <x:c r="D464" s="115" t="str">
        <x:v>Plateforme semi-submersible</x:v>
      </x:c>
      <x:c r="E464" s="115" t="n">
        <x:v>9</x:v>
      </x:c>
      <x:c r="F464" s="115" t="str">
        <x:v>Inspection physique</x:v>
      </x:c>
      <x:c r="G464" s="115" t="str">
        <x:v>1 niveaux ; 34 pièces ; 260 segments de mur ; 0 transitions. Inspection physique ; architecture complète encore ouverte.</x:v>
      </x:c>
      <x:c r="H464" s="115" t="str">
        <x:v>L 376 ; l 316 ; hauteur 12 m ; choix de composition auteur ; dimensions réelles à documenter</x:v>
      </x:c>
      <x:c r="I464" s="115" t="str">
        <x:v>À équilibrer</x:v>
      </x:c>
      <x:c r="J464" s="115" t="str">
        <x:v>Non</x:v>
      </x:c>
      <x:c r="K464" s="115" t="str">
        <x:v>Pièces décrites, murs, portes, niveaux et mobilier inspectables à l’échelle. Volumes réservés, raccord au seed, butin, rencontres et services de campagne restent à terminer.</x:v>
      </x:c>
    </x:row>
    <x:row r="465" ht="96" customHeight="1">
      <x:c r="A465" s="115" t="str">
        <x:v>EXT-MONDE-T010-V10</x:v>
      </x:c>
      <x:c r="B465" s="115" t="str">
        <x:v>EXT-MONDE-T010</x:v>
      </x:c>
      <x:c r="C465" s="115" t="str">
        <x:v>Offshore</x:v>
      </x:c>
      <x:c r="D465" s="115" t="str">
        <x:v>Plateforme semi-submersible</x:v>
      </x:c>
      <x:c r="E465" s="115" t="n">
        <x:v>10</x:v>
      </x:c>
      <x:c r="F465" s="115" t="str">
        <x:v>Inspection physique</x:v>
      </x:c>
      <x:c r="G465" s="115" t="str">
        <x:v>1 niveaux ; 34 pièces ; 260 segments de mur ; 0 transitions. Inspection physique ; architecture complète encore ouverte.</x:v>
      </x:c>
      <x:c r="H465" s="115" t="str">
        <x:v>L 376 ; l 316 ; hauteur 12 m ; choix de composition auteur ; dimensions réelles à documenter</x:v>
      </x:c>
      <x:c r="I465" s="115" t="str">
        <x:v>À équilibrer</x:v>
      </x:c>
      <x:c r="J465" s="115" t="str">
        <x:v>Non</x:v>
      </x:c>
      <x:c r="K465" s="115" t="str">
        <x:v>Pièces décrites, murs, portes, niveaux et mobilier inspectables à l’échelle. Volumes réservés, raccord au seed, butin, rencontres et services de campagne restent à terminer.</x:v>
      </x:c>
    </x:row>
    <x:row r="466" ht="96" customHeight="1">
      <x:c r="A466" s="115" t="str">
        <x:v>EXT-MONDE-T010-V11</x:v>
      </x:c>
      <x:c r="B466" s="115" t="str">
        <x:v>EXT-MONDE-T010</x:v>
      </x:c>
      <x:c r="C466" s="115" t="str">
        <x:v>Offshore</x:v>
      </x:c>
      <x:c r="D466" s="115" t="str">
        <x:v>Plateforme semi-submersible</x:v>
      </x:c>
      <x:c r="E466" s="115" t="n">
        <x:v>11</x:v>
      </x:c>
      <x:c r="F466" s="115" t="str">
        <x:v>Inspection physique</x:v>
      </x:c>
      <x:c r="G466" s="115" t="str">
        <x:v>1 niveaux ; 34 pièces ; 260 segments de mur ; 0 transitions. Inspection physique ; architecture complète encore ouverte.</x:v>
      </x:c>
      <x:c r="H466" s="115" t="str">
        <x:v>L 390 ; l 328 ; hauteur 12 m ; choix de composition auteur ; dimensions réelles à documenter</x:v>
      </x:c>
      <x:c r="I466" s="115" t="str">
        <x:v>À équilibrer</x:v>
      </x:c>
      <x:c r="J466" s="115" t="str">
        <x:v>Non</x:v>
      </x:c>
      <x:c r="K466" s="115" t="str">
        <x:v>Pièces décrites, murs, portes, niveaux et mobilier inspectables à l’échelle. Volumes réservés, raccord au seed, butin, rencontres et services de campagne restent à terminer.</x:v>
      </x:c>
    </x:row>
    <x:row r="467" ht="96" customHeight="1">
      <x:c r="A467" s="115" t="str">
        <x:v>EXT-MONDE-T010-V12</x:v>
      </x:c>
      <x:c r="B467" s="115" t="str">
        <x:v>EXT-MONDE-T010</x:v>
      </x:c>
      <x:c r="C467" s="115" t="str">
        <x:v>Offshore</x:v>
      </x:c>
      <x:c r="D467" s="115" t="str">
        <x:v>Plateforme semi-submersible</x:v>
      </x:c>
      <x:c r="E467" s="115" t="n">
        <x:v>12</x:v>
      </x:c>
      <x:c r="F467" s="115" t="str">
        <x:v>Inspection physique</x:v>
      </x:c>
      <x:c r="G467" s="115" t="str">
        <x:v>1 niveaux ; 34 pièces ; 260 segments de mur ; 0 transitions. Inspection physique ; architecture complète encore ouverte.</x:v>
      </x:c>
      <x:c r="H467" s="115" t="str">
        <x:v>L 390 ; l 328 ; hauteur 12 m ; choix de composition auteur ; dimensions réelles à documenter</x:v>
      </x:c>
      <x:c r="I467" s="115" t="str">
        <x:v>À équilibrer</x:v>
      </x:c>
      <x:c r="J467" s="115" t="str">
        <x:v>Non</x:v>
      </x:c>
      <x:c r="K467" s="115" t="str">
        <x:v>Pièces décrites, murs, portes, niveaux et mobilier inspectables à l’échelle. Volumes réservés, raccord au seed, butin, rencontres et services de campagne restent à terminer.</x:v>
      </x:c>
    </x:row>
    <x:row r="468" ht="96" customHeight="1">
      <x:c r="A468" s="115" t="str">
        <x:v>EXT-MONDE-T010-V13</x:v>
      </x:c>
      <x:c r="B468" s="115" t="str">
        <x:v>EXT-MONDE-T010</x:v>
      </x:c>
      <x:c r="C468" s="115" t="str">
        <x:v>Offshore</x:v>
      </x:c>
      <x:c r="D468" s="115" t="str">
        <x:v>Plateforme semi-submersible</x:v>
      </x:c>
      <x:c r="E468" s="115" t="n">
        <x:v>13</x:v>
      </x:c>
      <x:c r="F468" s="115" t="str">
        <x:v>Inspection physique</x:v>
      </x:c>
      <x:c r="G468" s="115" t="str">
        <x:v>1 niveaux ; 34 pièces ; 260 segments de mur ; 0 transitions. Inspection physique ; architecture complète encore ouverte.</x:v>
      </x:c>
      <x:c r="H468" s="115" t="str">
        <x:v>L 390 ; l 328 ; hauteur 12 m ; choix de composition auteur ; dimensions réelles à documenter</x:v>
      </x:c>
      <x:c r="I468" s="115" t="str">
        <x:v>À équilibrer</x:v>
      </x:c>
      <x:c r="J468" s="115" t="str">
        <x:v>Non</x:v>
      </x:c>
      <x:c r="K468" s="115" t="str">
        <x:v>Pièces décrites, murs, portes, niveaux et mobilier inspectables à l’échelle. Volumes réservés, raccord au seed, butin, rencontres et services de campagne restent à terminer.</x:v>
      </x:c>
    </x:row>
    <x:row r="469" ht="96" customHeight="1">
      <x:c r="A469" s="115" t="str">
        <x:v>EXT-MONDE-T010-V14</x:v>
      </x:c>
      <x:c r="B469" s="115" t="str">
        <x:v>EXT-MONDE-T010</x:v>
      </x:c>
      <x:c r="C469" s="115" t="str">
        <x:v>Offshore</x:v>
      </x:c>
      <x:c r="D469" s="115" t="str">
        <x:v>Plateforme semi-submersible</x:v>
      </x:c>
      <x:c r="E469" s="115" t="n">
        <x:v>14</x:v>
      </x:c>
      <x:c r="F469" s="115" t="str">
        <x:v>Inspection physique</x:v>
      </x:c>
      <x:c r="G469" s="115" t="str">
        <x:v>1 niveaux ; 34 pièces ; 260 segments de mur ; 0 transitions. Inspection physique ; architecture complète encore ouverte.</x:v>
      </x:c>
      <x:c r="H469" s="115" t="str">
        <x:v>L 390 ; l 328 ; hauteur 12 m ; choix de composition auteur ; dimensions réelles à documenter</x:v>
      </x:c>
      <x:c r="I469" s="115" t="str">
        <x:v>À équilibrer</x:v>
      </x:c>
      <x:c r="J469" s="115" t="str">
        <x:v>Non</x:v>
      </x:c>
      <x:c r="K469" s="115" t="str">
        <x:v>Pièces décrites, murs, portes, niveaux et mobilier inspectables à l’échelle. Volumes réservés, raccord au seed, butin, rencontres et services de campagne restent à terminer.</x:v>
      </x:c>
    </x:row>
    <x:row r="470" ht="96" customHeight="1">
      <x:c r="A470" s="115" t="str">
        <x:v>EXT-MONDE-T010-V15</x:v>
      </x:c>
      <x:c r="B470" s="115" t="str">
        <x:v>EXT-MONDE-T010</x:v>
      </x:c>
      <x:c r="C470" s="115" t="str">
        <x:v>Offshore</x:v>
      </x:c>
      <x:c r="D470" s="115" t="str">
        <x:v>Plateforme semi-submersible</x:v>
      </x:c>
      <x:c r="E470" s="115" t="n">
        <x:v>15</x:v>
      </x:c>
      <x:c r="F470" s="115" t="str">
        <x:v>Inspection physique</x:v>
      </x:c>
      <x:c r="G470" s="115" t="str">
        <x:v>1 niveaux ; 34 pièces ; 260 segments de mur ; 0 transitions. Inspection physique ; architecture complète encore ouverte.</x:v>
      </x:c>
      <x:c r="H470" s="115" t="str">
        <x:v>L 390 ; l 328 ; hauteur 12 m ; choix de composition auteur ; dimensions réelles à documenter</x:v>
      </x:c>
      <x:c r="I470" s="115" t="str">
        <x:v>À équilibrer</x:v>
      </x:c>
      <x:c r="J470" s="115" t="str">
        <x:v>Non</x:v>
      </x:c>
      <x:c r="K470" s="115" t="str">
        <x:v>Pièces décrites, murs, portes, niveaux et mobilier inspectables à l’échelle. Volumes réservés, raccord au seed, butin, rencontres et services de campagne restent à terminer.</x:v>
      </x:c>
    </x:row>
    <x:row r="471" ht="96" customHeight="1">
      <x:c r="A471" s="115" t="str">
        <x:v>EXT-MONDE-T010-V16</x:v>
      </x:c>
      <x:c r="B471" s="115" t="str">
        <x:v>EXT-MONDE-T010</x:v>
      </x:c>
      <x:c r="C471" s="115" t="str">
        <x:v>Offshore</x:v>
      </x:c>
      <x:c r="D471" s="115" t="str">
        <x:v>Plateforme semi-submersible</x:v>
      </x:c>
      <x:c r="E471" s="115" t="n">
        <x:v>16</x:v>
      </x:c>
      <x:c r="F471" s="115" t="str">
        <x:v>Inspection physique</x:v>
      </x:c>
      <x:c r="G471" s="115" t="str">
        <x:v>1 niveaux ; 34 pièces ; 260 segments de mur ; 0 transitions. Inspection physique ; architecture complète encore ouverte.</x:v>
      </x:c>
      <x:c r="H471" s="115" t="str">
        <x:v>L 390 ; l 328 ; hauteur 12 m ; choix de composition auteur ; dimensions réelles à documenter</x:v>
      </x:c>
      <x:c r="I471" s="115" t="str">
        <x:v>À équilibrer</x:v>
      </x:c>
      <x:c r="J471" s="115" t="str">
        <x:v>Non</x:v>
      </x:c>
      <x:c r="K471" s="115" t="str">
        <x:v>Pièces décrites, murs, portes, niveaux et mobilier inspectables à l’échelle. Volumes réservés, raccord au seed, butin, rencontres et services de campagne restent à terminer.</x:v>
      </x:c>
    </x:row>
    <x:row r="472" ht="96" customHeight="1">
      <x:c r="A472" s="115" t="str">
        <x:v>EXT-MONDE-T010-V17</x:v>
      </x:c>
      <x:c r="B472" s="115" t="str">
        <x:v>EXT-MONDE-T010</x:v>
      </x:c>
      <x:c r="C472" s="115" t="str">
        <x:v>Offshore</x:v>
      </x:c>
      <x:c r="D472" s="115" t="str">
        <x:v>Plateforme semi-submersible</x:v>
      </x:c>
      <x:c r="E472" s="115" t="n">
        <x:v>17</x:v>
      </x:c>
      <x:c r="F472" s="115" t="str">
        <x:v>Inspection physique</x:v>
      </x:c>
      <x:c r="G472" s="115" t="str">
        <x:v>1 niveaux ; 34 pièces ; 260 segments de mur ; 0 transitions. Inspection physique ; architecture complète encore ouverte.</x:v>
      </x:c>
      <x:c r="H472" s="115" t="str">
        <x:v>L 390 ; l 328 ; hauteur 12 m ; choix de composition auteur ; dimensions réelles à documenter</x:v>
      </x:c>
      <x:c r="I472" s="115" t="str">
        <x:v>À équilibrer</x:v>
      </x:c>
      <x:c r="J472" s="115" t="str">
        <x:v>Non</x:v>
      </x:c>
      <x:c r="K472" s="115" t="str">
        <x:v>Pièces décrites, murs, portes, niveaux et mobilier inspectables à l’échelle. Volumes réservés, raccord au seed, butin, rencontres et services de campagne restent à terminer.</x:v>
      </x:c>
    </x:row>
    <x:row r="473" ht="96" customHeight="1">
      <x:c r="A473" s="115" t="str">
        <x:v>EXT-MONDE-T010-V18</x:v>
      </x:c>
      <x:c r="B473" s="115" t="str">
        <x:v>EXT-MONDE-T010</x:v>
      </x:c>
      <x:c r="C473" s="115" t="str">
        <x:v>Offshore</x:v>
      </x:c>
      <x:c r="D473" s="115" t="str">
        <x:v>Plateforme semi-submersible</x:v>
      </x:c>
      <x:c r="E473" s="115" t="n">
        <x:v>18</x:v>
      </x:c>
      <x:c r="F473" s="115" t="str">
        <x:v>Inspection physique</x:v>
      </x:c>
      <x:c r="G473" s="115" t="str">
        <x:v>1 niveaux ; 34 pièces ; 260 segments de mur ; 0 transitions. Inspection physique ; architecture complète encore ouverte.</x:v>
      </x:c>
      <x:c r="H473" s="115" t="str">
        <x:v>L 390 ; l 328 ; hauteur 12 m ; choix de composition auteur ; dimensions réelles à documenter</x:v>
      </x:c>
      <x:c r="I473" s="115" t="str">
        <x:v>À équilibrer</x:v>
      </x:c>
      <x:c r="J473" s="115" t="str">
        <x:v>Non</x:v>
      </x:c>
      <x:c r="K473" s="115" t="str">
        <x:v>Pièces décrites, murs, portes, niveaux et mobilier inspectables à l’échelle. Volumes réservés, raccord au seed, butin, rencontres et services de campagne restent à terminer.</x:v>
      </x:c>
    </x:row>
    <x:row r="474" ht="96" customHeight="1">
      <x:c r="A474" s="115" t="str">
        <x:v>EXT-MONDE-T010-V19</x:v>
      </x:c>
      <x:c r="B474" s="115" t="str">
        <x:v>EXT-MONDE-T010</x:v>
      </x:c>
      <x:c r="C474" s="115" t="str">
        <x:v>Offshore</x:v>
      </x:c>
      <x:c r="D474" s="115" t="str">
        <x:v>Plateforme semi-submersible</x:v>
      </x:c>
      <x:c r="E474" s="115" t="n">
        <x:v>19</x:v>
      </x:c>
      <x:c r="F474" s="115" t="str">
        <x:v>Inspection physique</x:v>
      </x:c>
      <x:c r="G474" s="115" t="str">
        <x:v>1 niveaux ; 34 pièces ; 260 segments de mur ; 0 transitions. Inspection physique ; architecture complète encore ouverte.</x:v>
      </x:c>
      <x:c r="H474" s="115" t="str">
        <x:v>L 390 ; l 328 ; hauteur 12 m ; choix de composition auteur ; dimensions réelles à documenter</x:v>
      </x:c>
      <x:c r="I474" s="115" t="str">
        <x:v>À équilibrer</x:v>
      </x:c>
      <x:c r="J474" s="115" t="str">
        <x:v>Non</x:v>
      </x:c>
      <x:c r="K474" s="115" t="str">
        <x:v>Pièces décrites, murs, portes, niveaux et mobilier inspectables à l’échelle. Volumes réservés, raccord au seed, butin, rencontres et services de campagne restent à terminer.</x:v>
      </x:c>
    </x:row>
    <x:row r="475" ht="96" customHeight="1">
      <x:c r="A475" s="115" t="str">
        <x:v>EXT-MONDE-T010-V20</x:v>
      </x:c>
      <x:c r="B475" s="115" t="str">
        <x:v>EXT-MONDE-T010</x:v>
      </x:c>
      <x:c r="C475" s="115" t="str">
        <x:v>Offshore</x:v>
      </x:c>
      <x:c r="D475" s="115" t="str">
        <x:v>Plateforme semi-submersible</x:v>
      </x:c>
      <x:c r="E475" s="115" t="n">
        <x:v>20</x:v>
      </x:c>
      <x:c r="F475" s="115" t="str">
        <x:v>Inspection physique</x:v>
      </x:c>
      <x:c r="G475" s="115" t="str">
        <x:v>1 niveaux ; 34 pièces ; 260 segments de mur ; 0 transitions. Inspection physique ; architecture complète encore ouverte.</x:v>
      </x:c>
      <x:c r="H475" s="115" t="str">
        <x:v>L 390 ; l 328 ; hauteur 12 m ; choix de composition auteur ; dimensions réelles à documenter</x:v>
      </x:c>
      <x:c r="I475" s="115" t="str">
        <x:v>À équilibrer</x:v>
      </x:c>
      <x:c r="J475" s="115" t="str">
        <x:v>Non</x:v>
      </x:c>
      <x:c r="K475" s="115" t="str">
        <x:v>Pièces décrites, murs, portes, niveaux et mobilier inspectables à l’échelle. Volumes réservés, raccord au seed, butin, rencontres et services de campagne restent à terminer.</x:v>
      </x:c>
    </x:row>
    <x:row r="476" ht="96" customHeight="1">
      <x:c r="A476" s="115" t="str">
        <x:v>EXT-MONDE-T010-V21</x:v>
      </x:c>
      <x:c r="B476" s="115" t="str">
        <x:v>EXT-MONDE-T010</x:v>
      </x:c>
      <x:c r="C476" s="115" t="str">
        <x:v>Offshore</x:v>
      </x:c>
      <x:c r="D476" s="115" t="str">
        <x:v>Plateforme semi-submersible</x:v>
      </x:c>
      <x:c r="E476" s="115" t="n">
        <x:v>21</x:v>
      </x:c>
      <x:c r="F476" s="115" t="str">
        <x:v>Inspection physique</x:v>
      </x:c>
      <x:c r="G476" s="115" t="str">
        <x:v>1 niveaux ; 34 pièces ; 260 segments de mur ; 0 transitions. Inspection physique ; architecture complète encore ouverte.</x:v>
      </x:c>
      <x:c r="H476" s="115" t="str">
        <x:v>L 404 ; l 340 ; hauteur 12 m ; choix de composition auteur ; dimensions réelles à documenter</x:v>
      </x:c>
      <x:c r="I476" s="115" t="str">
        <x:v>À équilibrer</x:v>
      </x:c>
      <x:c r="J476" s="115" t="str">
        <x:v>Non</x:v>
      </x:c>
      <x:c r="K476" s="115" t="str">
        <x:v>Pièces décrites, murs, portes, niveaux et mobilier inspectables à l’échelle. Volumes réservés, raccord au seed, butin, rencontres et services de campagne restent à terminer.</x:v>
      </x:c>
    </x:row>
    <x:row r="477" ht="96" customHeight="1">
      <x:c r="A477" s="115" t="str">
        <x:v>EXT-MONDE-T010-V22</x:v>
      </x:c>
      <x:c r="B477" s="115" t="str">
        <x:v>EXT-MONDE-T010</x:v>
      </x:c>
      <x:c r="C477" s="115" t="str">
        <x:v>Offshore</x:v>
      </x:c>
      <x:c r="D477" s="115" t="str">
        <x:v>Plateforme semi-submersible</x:v>
      </x:c>
      <x:c r="E477" s="115" t="n">
        <x:v>22</x:v>
      </x:c>
      <x:c r="F477" s="115" t="str">
        <x:v>Inspection physique</x:v>
      </x:c>
      <x:c r="G477" s="115" t="str">
        <x:v>1 niveaux ; 34 pièces ; 260 segments de mur ; 0 transitions. Inspection physique ; architecture complète encore ouverte.</x:v>
      </x:c>
      <x:c r="H477" s="115" t="str">
        <x:v>L 404 ; l 340 ; hauteur 12 m ; choix de composition auteur ; dimensions réelles à documenter</x:v>
      </x:c>
      <x:c r="I477" s="115" t="str">
        <x:v>À équilibrer</x:v>
      </x:c>
      <x:c r="J477" s="115" t="str">
        <x:v>Non</x:v>
      </x:c>
      <x:c r="K477" s="115" t="str">
        <x:v>Pièces décrites, murs, portes, niveaux et mobilier inspectables à l’échelle. Volumes réservés, raccord au seed, butin, rencontres et services de campagne restent à terminer.</x:v>
      </x:c>
    </x:row>
    <x:row r="478" ht="96" customHeight="1">
      <x:c r="A478" s="115" t="str">
        <x:v>EXT-MONDE-T010-V23</x:v>
      </x:c>
      <x:c r="B478" s="115" t="str">
        <x:v>EXT-MONDE-T010</x:v>
      </x:c>
      <x:c r="C478" s="115" t="str">
        <x:v>Offshore</x:v>
      </x:c>
      <x:c r="D478" s="115" t="str">
        <x:v>Plateforme semi-submersible</x:v>
      </x:c>
      <x:c r="E478" s="115" t="n">
        <x:v>23</x:v>
      </x:c>
      <x:c r="F478" s="115" t="str">
        <x:v>Inspection physique</x:v>
      </x:c>
      <x:c r="G478" s="115" t="str">
        <x:v>1 niveaux ; 34 pièces ; 260 segments de mur ; 0 transitions. Inspection physique ; architecture complète encore ouverte.</x:v>
      </x:c>
      <x:c r="H478" s="115" t="str">
        <x:v>L 404 ; l 340 ; hauteur 12 m ; choix de composition auteur ; dimensions réelles à documenter</x:v>
      </x:c>
      <x:c r="I478" s="115" t="str">
        <x:v>À équilibrer</x:v>
      </x:c>
      <x:c r="J478" s="115" t="str">
        <x:v>Non</x:v>
      </x:c>
      <x:c r="K478" s="115" t="str">
        <x:v>Pièces décrites, murs, portes, niveaux et mobilier inspectables à l’échelle. Volumes réservés, raccord au seed, butin, rencontres et services de campagne restent à terminer.</x:v>
      </x:c>
    </x:row>
    <x:row r="479" ht="96" customHeight="1">
      <x:c r="A479" s="115" t="str">
        <x:v>EXT-MONDE-T010-V24</x:v>
      </x:c>
      <x:c r="B479" s="115" t="str">
        <x:v>EXT-MONDE-T010</x:v>
      </x:c>
      <x:c r="C479" s="115" t="str">
        <x:v>Offshore</x:v>
      </x:c>
      <x:c r="D479" s="115" t="str">
        <x:v>Plateforme semi-submersible</x:v>
      </x:c>
      <x:c r="E479" s="115" t="n">
        <x:v>24</x:v>
      </x:c>
      <x:c r="F479" s="115" t="str">
        <x:v>Inspection physique</x:v>
      </x:c>
      <x:c r="G479" s="115" t="str">
        <x:v>1 niveaux ; 34 pièces ; 260 segments de mur ; 0 transitions. Inspection physique ; architecture complète encore ouverte.</x:v>
      </x:c>
      <x:c r="H479" s="115" t="str">
        <x:v>L 404 ; l 340 ; hauteur 12 m ; choix de composition auteur ; dimensions réelles à documenter</x:v>
      </x:c>
      <x:c r="I479" s="115" t="str">
        <x:v>À équilibrer</x:v>
      </x:c>
      <x:c r="J479" s="115" t="str">
        <x:v>Non</x:v>
      </x:c>
      <x:c r="K479" s="115" t="str">
        <x:v>Pièces décrites, murs, portes, niveaux et mobilier inspectables à l’échelle. Volumes réservés, raccord au seed, butin, rencontres et services de campagne restent à terminer.</x:v>
      </x:c>
    </x:row>
    <x:row r="480" ht="96" customHeight="1">
      <x:c r="A480" s="115" t="str">
        <x:v>EXT-MONDE-T010-V25</x:v>
      </x:c>
      <x:c r="B480" s="115" t="str">
        <x:v>EXT-MONDE-T010</x:v>
      </x:c>
      <x:c r="C480" s="115" t="str">
        <x:v>Offshore</x:v>
      </x:c>
      <x:c r="D480" s="115" t="str">
        <x:v>Plateforme semi-submersible</x:v>
      </x:c>
      <x:c r="E480" s="115" t="n">
        <x:v>25</x:v>
      </x:c>
      <x:c r="F480" s="115" t="str">
        <x:v>Inspection physique</x:v>
      </x:c>
      <x:c r="G480" s="115" t="str">
        <x:v>1 niveaux ; 34 pièces ; 260 segments de mur ; 0 transitions. Inspection physique ; architecture complète encore ouverte.</x:v>
      </x:c>
      <x:c r="H480" s="115" t="str">
        <x:v>L 404 ; l 340 ; hauteur 12 m ; choix de composition auteur ; dimensions réelles à documenter</x:v>
      </x:c>
      <x:c r="I480" s="115" t="str">
        <x:v>À équilibrer</x:v>
      </x:c>
      <x:c r="J480" s="115" t="str">
        <x:v>Non</x:v>
      </x:c>
      <x:c r="K480" s="115" t="str">
        <x:v>Pièces décrites, murs, portes, niveaux et mobilier inspectables à l’échelle. Volumes réservés, raccord au seed, butin, rencontres et services de campagne restent à terminer.</x:v>
      </x:c>
    </x:row>
    <x:row r="481" ht="96" customHeight="1">
      <x:c r="A481" s="115" t="str">
        <x:v>EXT-MONDE-T010-V26</x:v>
      </x:c>
      <x:c r="B481" s="115" t="str">
        <x:v>EXT-MONDE-T010</x:v>
      </x:c>
      <x:c r="C481" s="115" t="str">
        <x:v>Offshore</x:v>
      </x:c>
      <x:c r="D481" s="115" t="str">
        <x:v>Plateforme semi-submersible</x:v>
      </x:c>
      <x:c r="E481" s="115" t="n">
        <x:v>26</x:v>
      </x:c>
      <x:c r="F481" s="115" t="str">
        <x:v>Inspection physique</x:v>
      </x:c>
      <x:c r="G481" s="115" t="str">
        <x:v>1 niveaux ; 34 pièces ; 260 segments de mur ; 0 transitions. Inspection physique ; architecture complète encore ouverte.</x:v>
      </x:c>
      <x:c r="H481" s="115" t="str">
        <x:v>L 404 ; l 340 ; hauteur 12 m ; choix de composition auteur ; dimensions réelles à documenter</x:v>
      </x:c>
      <x:c r="I481" s="115" t="str">
        <x:v>À équilibrer</x:v>
      </x:c>
      <x:c r="J481" s="115" t="str">
        <x:v>Non</x:v>
      </x:c>
      <x:c r="K481" s="115" t="str">
        <x:v>Pièces décrites, murs, portes, niveaux et mobilier inspectables à l’échelle. Volumes réservés, raccord au seed, butin, rencontres et services de campagne restent à terminer.</x:v>
      </x:c>
    </x:row>
    <x:row r="482" ht="96" customHeight="1">
      <x:c r="A482" s="115" t="str">
        <x:v>EXT-MONDE-T010-V27</x:v>
      </x:c>
      <x:c r="B482" s="115" t="str">
        <x:v>EXT-MONDE-T010</x:v>
      </x:c>
      <x:c r="C482" s="115" t="str">
        <x:v>Offshore</x:v>
      </x:c>
      <x:c r="D482" s="115" t="str">
        <x:v>Plateforme semi-submersible</x:v>
      </x:c>
      <x:c r="E482" s="115" t="n">
        <x:v>27</x:v>
      </x:c>
      <x:c r="F482" s="115" t="str">
        <x:v>Inspection physique</x:v>
      </x:c>
      <x:c r="G482" s="115" t="str">
        <x:v>1 niveaux ; 34 pièces ; 260 segments de mur ; 0 transitions. Inspection physique ; architecture complète encore ouverte.</x:v>
      </x:c>
      <x:c r="H482" s="115" t="str">
        <x:v>L 404 ; l 340 ; hauteur 12 m ; choix de composition auteur ; dimensions réelles à documenter</x:v>
      </x:c>
      <x:c r="I482" s="115" t="str">
        <x:v>À équilibrer</x:v>
      </x:c>
      <x:c r="J482" s="115" t="str">
        <x:v>Non</x:v>
      </x:c>
      <x:c r="K482" s="115" t="str">
        <x:v>Pièces décrites, murs, portes, niveaux et mobilier inspectables à l’échelle. Volumes réservés, raccord au seed, butin, rencontres et services de campagne restent à terminer.</x:v>
      </x:c>
    </x:row>
    <x:row r="483" ht="96" customHeight="1">
      <x:c r="A483" s="115" t="str">
        <x:v>EXT-MONDE-T010-V28</x:v>
      </x:c>
      <x:c r="B483" s="115" t="str">
        <x:v>EXT-MONDE-T010</x:v>
      </x:c>
      <x:c r="C483" s="115" t="str">
        <x:v>Offshore</x:v>
      </x:c>
      <x:c r="D483" s="115" t="str">
        <x:v>Plateforme semi-submersible</x:v>
      </x:c>
      <x:c r="E483" s="115" t="n">
        <x:v>28</x:v>
      </x:c>
      <x:c r="F483" s="115" t="str">
        <x:v>Inspection physique</x:v>
      </x:c>
      <x:c r="G483" s="115" t="str">
        <x:v>1 niveaux ; 34 pièces ; 260 segments de mur ; 0 transitions. Inspection physique ; architecture complète encore ouverte.</x:v>
      </x:c>
      <x:c r="H483" s="115" t="str">
        <x:v>L 404 ; l 340 ; hauteur 12 m ; choix de composition auteur ; dimensions réelles à documenter</x:v>
      </x:c>
      <x:c r="I483" s="115" t="str">
        <x:v>À équilibrer</x:v>
      </x:c>
      <x:c r="J483" s="115" t="str">
        <x:v>Non</x:v>
      </x:c>
      <x:c r="K483" s="115" t="str">
        <x:v>Pièces décrites, murs, portes, niveaux et mobilier inspectables à l’échelle. Volumes réservés, raccord au seed, butin, rencontres et services de campagne restent à terminer.</x:v>
      </x:c>
    </x:row>
    <x:row r="484" ht="96" customHeight="1">
      <x:c r="A484" s="115" t="str">
        <x:v>EXT-MONDE-T010-V29</x:v>
      </x:c>
      <x:c r="B484" s="115" t="str">
        <x:v>EXT-MONDE-T010</x:v>
      </x:c>
      <x:c r="C484" s="115" t="str">
        <x:v>Offshore</x:v>
      </x:c>
      <x:c r="D484" s="115" t="str">
        <x:v>Plateforme semi-submersible</x:v>
      </x:c>
      <x:c r="E484" s="115" t="n">
        <x:v>29</x:v>
      </x:c>
      <x:c r="F484" s="115" t="str">
        <x:v>Inspection physique</x:v>
      </x:c>
      <x:c r="G484" s="115" t="str">
        <x:v>1 niveaux ; 34 pièces ; 260 segments de mur ; 0 transitions. Inspection physique ; architecture complète encore ouverte.</x:v>
      </x:c>
      <x:c r="H484" s="115" t="str">
        <x:v>L 404 ; l 340 ; hauteur 12 m ; choix de composition auteur ; dimensions réelles à documenter</x:v>
      </x:c>
      <x:c r="I484" s="115" t="str">
        <x:v>À équilibrer</x:v>
      </x:c>
      <x:c r="J484" s="115" t="str">
        <x:v>Non</x:v>
      </x:c>
      <x:c r="K484" s="115" t="str">
        <x:v>Pièces décrites, murs, portes, niveaux et mobilier inspectables à l’échelle. Volumes réservés, raccord au seed, butin, rencontres et services de campagne restent à terminer.</x:v>
      </x:c>
    </x:row>
    <x:row r="485" ht="96" customHeight="1">
      <x:c r="A485" s="115" t="str">
        <x:v>EXT-MONDE-T010-V30</x:v>
      </x:c>
      <x:c r="B485" s="115" t="str">
        <x:v>EXT-MONDE-T010</x:v>
      </x:c>
      <x:c r="C485" s="115" t="str">
        <x:v>Offshore</x:v>
      </x:c>
      <x:c r="D485" s="115" t="str">
        <x:v>Plateforme semi-submersible</x:v>
      </x:c>
      <x:c r="E485" s="115" t="n">
        <x:v>30</x:v>
      </x:c>
      <x:c r="F485" s="115" t="str">
        <x:v>Inspection physique</x:v>
      </x:c>
      <x:c r="G485" s="115" t="str">
        <x:v>1 niveaux ; 34 pièces ; 260 segments de mur ; 0 transitions. Inspection physique ; architecture complète encore ouverte.</x:v>
      </x:c>
      <x:c r="H485" s="115" t="str">
        <x:v>L 404 ; l 340 ; hauteur 12 m ; choix de composition auteur ; dimensions réelles à documenter</x:v>
      </x:c>
      <x:c r="I485" s="115" t="str">
        <x:v>À équilibrer</x:v>
      </x:c>
      <x:c r="J485" s="115" t="str">
        <x:v>Non</x:v>
      </x:c>
      <x:c r="K485" s="115" t="str">
        <x:v>Pièces décrites, murs, portes, niveaux et mobilier inspectables à l’échelle. Volumes réservés, raccord au seed, butin, rencontres et services de campagne restent à terminer.</x:v>
      </x:c>
    </x:row>
    <x:row r="486" ht="96" customHeight="1">
      <x:c r="A486" s="115" t="str">
        <x:v>EXT-MONDE-T010-V31</x:v>
      </x:c>
      <x:c r="B486" s="115" t="str">
        <x:v>EXT-MONDE-T010</x:v>
      </x:c>
      <x:c r="C486" s="115" t="str">
        <x:v>Offshore</x:v>
      </x:c>
      <x:c r="D486" s="115" t="str">
        <x:v>Plateforme semi-submersible</x:v>
      </x:c>
      <x:c r="E486" s="115" t="n">
        <x:v>31</x:v>
      </x:c>
      <x:c r="F486" s="115" t="str">
        <x:v>Inspection physique</x:v>
      </x:c>
      <x:c r="G486" s="115" t="str">
        <x:v>1 niveaux ; 34 pièces ; 260 segments de mur ; 0 transitions. Inspection physique ; architecture complète encore ouverte.</x:v>
      </x:c>
      <x:c r="H486" s="115" t="str">
        <x:v>L 418 ; l 352 ; hauteur 12 m ; choix de composition auteur ; dimensions réelles à documenter</x:v>
      </x:c>
      <x:c r="I486" s="115" t="str">
        <x:v>À équilibrer</x:v>
      </x:c>
      <x:c r="J486" s="115" t="str">
        <x:v>Non</x:v>
      </x:c>
      <x:c r="K486" s="115" t="str">
        <x:v>Pièces décrites, murs, portes, niveaux et mobilier inspectables à l’échelle. Volumes réservés, raccord au seed, butin, rencontres et services de campagne restent à terminer.</x:v>
      </x:c>
    </x:row>
    <x:row r="487" ht="96" customHeight="1">
      <x:c r="A487" s="115" t="str">
        <x:v>EXT-MONDE-T010-V32</x:v>
      </x:c>
      <x:c r="B487" s="115" t="str">
        <x:v>EXT-MONDE-T010</x:v>
      </x:c>
      <x:c r="C487" s="115" t="str">
        <x:v>Offshore</x:v>
      </x:c>
      <x:c r="D487" s="115" t="str">
        <x:v>Plateforme semi-submersible</x:v>
      </x:c>
      <x:c r="E487" s="115" t="n">
        <x:v>32</x:v>
      </x:c>
      <x:c r="F487" s="115" t="str">
        <x:v>Inspection physique</x:v>
      </x:c>
      <x:c r="G487" s="115" t="str">
        <x:v>1 niveaux ; 34 pièces ; 260 segments de mur ; 0 transitions. Inspection physique ; architecture complète encore ouverte.</x:v>
      </x:c>
      <x:c r="H487" s="115" t="str">
        <x:v>L 418 ; l 352 ; hauteur 12 m ; choix de composition auteur ; dimensions réelles à documenter</x:v>
      </x:c>
      <x:c r="I487" s="115" t="str">
        <x:v>À équilibrer</x:v>
      </x:c>
      <x:c r="J487" s="115" t="str">
        <x:v>Non</x:v>
      </x:c>
      <x:c r="K487" s="115" t="str">
        <x:v>Pièces décrites, murs, portes, niveaux et mobilier inspectables à l’échelle. Volumes réservés, raccord au seed, butin, rencontres et services de campagne restent à terminer.</x:v>
      </x:c>
    </x:row>
    <x:row r="488" ht="96" customHeight="1">
      <x:c r="A488" s="115" t="str">
        <x:v>EXT-MONDE-T010-V33</x:v>
      </x:c>
      <x:c r="B488" s="115" t="str">
        <x:v>EXT-MONDE-T010</x:v>
      </x:c>
      <x:c r="C488" s="115" t="str">
        <x:v>Offshore</x:v>
      </x:c>
      <x:c r="D488" s="115" t="str">
        <x:v>Plateforme semi-submersible</x:v>
      </x:c>
      <x:c r="E488" s="115" t="n">
        <x:v>33</x:v>
      </x:c>
      <x:c r="F488" s="115" t="str">
        <x:v>Inspection physique</x:v>
      </x:c>
      <x:c r="G488" s="115" t="str">
        <x:v>1 niveaux ; 34 pièces ; 260 segments de mur ; 0 transitions. Inspection physique ; architecture complète encore ouverte.</x:v>
      </x:c>
      <x:c r="H488" s="115" t="str">
        <x:v>L 418 ; l 352 ; hauteur 12 m ; choix de composition auteur ; dimensions réelles à documenter</x:v>
      </x:c>
      <x:c r="I488" s="115" t="str">
        <x:v>À équilibrer</x:v>
      </x:c>
      <x:c r="J488" s="115" t="str">
        <x:v>Non</x:v>
      </x:c>
      <x:c r="K488" s="115" t="str">
        <x:v>Pièces décrites, murs, portes, niveaux et mobilier inspectables à l’échelle. Volumes réservés, raccord au seed, butin, rencontres et services de campagne restent à terminer.</x:v>
      </x:c>
    </x:row>
    <x:row r="489" ht="96" customHeight="1">
      <x:c r="A489" s="115" t="str">
        <x:v>EXT-MONDE-T010-V34</x:v>
      </x:c>
      <x:c r="B489" s="115" t="str">
        <x:v>EXT-MONDE-T010</x:v>
      </x:c>
      <x:c r="C489" s="115" t="str">
        <x:v>Offshore</x:v>
      </x:c>
      <x:c r="D489" s="115" t="str">
        <x:v>Plateforme semi-submersible</x:v>
      </x:c>
      <x:c r="E489" s="115" t="n">
        <x:v>34</x:v>
      </x:c>
      <x:c r="F489" s="115" t="str">
        <x:v>Inspection physique</x:v>
      </x:c>
      <x:c r="G489" s="115" t="str">
        <x:v>1 niveaux ; 34 pièces ; 260 segments de mur ; 0 transitions. Inspection physique ; architecture complète encore ouverte.</x:v>
      </x:c>
      <x:c r="H489" s="115" t="str">
        <x:v>L 418 ; l 352 ; hauteur 12 m ; choix de composition auteur ; dimensions réelles à documenter</x:v>
      </x:c>
      <x:c r="I489" s="115" t="str">
        <x:v>À équilibrer</x:v>
      </x:c>
      <x:c r="J489" s="115" t="str">
        <x:v>Non</x:v>
      </x:c>
      <x:c r="K489" s="115" t="str">
        <x:v>Pièces décrites, murs, portes, niveaux et mobilier inspectables à l’échelle. Volumes réservés, raccord au seed, butin, rencontres et services de campagne restent à terminer.</x:v>
      </x:c>
    </x:row>
    <x:row r="490" ht="96" customHeight="1">
      <x:c r="A490" s="115" t="str">
        <x:v>EXT-MONDE-T010-V35</x:v>
      </x:c>
      <x:c r="B490" s="115" t="str">
        <x:v>EXT-MONDE-T010</x:v>
      </x:c>
      <x:c r="C490" s="115" t="str">
        <x:v>Offshore</x:v>
      </x:c>
      <x:c r="D490" s="115" t="str">
        <x:v>Plateforme semi-submersible</x:v>
      </x:c>
      <x:c r="E490" s="115" t="n">
        <x:v>35</x:v>
      </x:c>
      <x:c r="F490" s="115" t="str">
        <x:v>Inspection physique</x:v>
      </x:c>
      <x:c r="G490" s="115" t="str">
        <x:v>1 niveaux ; 34 pièces ; 260 segments de mur ; 0 transitions. Inspection physique ; architecture complète encore ouverte.</x:v>
      </x:c>
      <x:c r="H490" s="115" t="str">
        <x:v>L 418 ; l 352 ; hauteur 12 m ; choix de composition auteur ; dimensions réelles à documenter</x:v>
      </x:c>
      <x:c r="I490" s="115" t="str">
        <x:v>À équilibrer</x:v>
      </x:c>
      <x:c r="J490" s="115" t="str">
        <x:v>Non</x:v>
      </x:c>
      <x:c r="K490" s="115" t="str">
        <x:v>Pièces décrites, murs, portes, niveaux et mobilier inspectables à l’échelle. Volumes réservés, raccord au seed, butin, rencontres et services de campagne restent à terminer.</x:v>
      </x:c>
    </x:row>
    <x:row r="491" ht="96" customHeight="1">
      <x:c r="A491" s="115" t="str">
        <x:v>EXT-MONDE-T010-V36</x:v>
      </x:c>
      <x:c r="B491" s="115" t="str">
        <x:v>EXT-MONDE-T010</x:v>
      </x:c>
      <x:c r="C491" s="115" t="str">
        <x:v>Offshore</x:v>
      </x:c>
      <x:c r="D491" s="115" t="str">
        <x:v>Plateforme semi-submersible</x:v>
      </x:c>
      <x:c r="E491" s="115" t="n">
        <x:v>36</x:v>
      </x:c>
      <x:c r="F491" s="115" t="str">
        <x:v>Inspection physique</x:v>
      </x:c>
      <x:c r="G491" s="115" t="str">
        <x:v>1 niveaux ; 34 pièces ; 260 segments de mur ; 0 transitions. Inspection physique ; architecture complète encore ouverte.</x:v>
      </x:c>
      <x:c r="H491" s="115" t="str">
        <x:v>L 418 ; l 352 ; hauteur 12 m ; choix de composition auteur ; dimensions réelles à documenter</x:v>
      </x:c>
      <x:c r="I491" s="115" t="str">
        <x:v>À équilibrer</x:v>
      </x:c>
      <x:c r="J491" s="115" t="str">
        <x:v>Non</x:v>
      </x:c>
      <x:c r="K491" s="115" t="str">
        <x:v>Pièces décrites, murs, portes, niveaux et mobilier inspectables à l’échelle. Volumes réservés, raccord au seed, butin, rencontres et services de campagne restent à terminer.</x:v>
      </x:c>
    </x:row>
    <x:row r="492" ht="96" customHeight="1">
      <x:c r="A492" s="115" t="str">
        <x:v>EXT-MONDE-T010-V37</x:v>
      </x:c>
      <x:c r="B492" s="115" t="str">
        <x:v>EXT-MONDE-T010</x:v>
      </x:c>
      <x:c r="C492" s="115" t="str">
        <x:v>Offshore</x:v>
      </x:c>
      <x:c r="D492" s="115" t="str">
        <x:v>Plateforme semi-submersible</x:v>
      </x:c>
      <x:c r="E492" s="115" t="n">
        <x:v>37</x:v>
      </x:c>
      <x:c r="F492" s="115" t="str">
        <x:v>Inspection physique</x:v>
      </x:c>
      <x:c r="G492" s="115" t="str">
        <x:v>1 niveaux ; 34 pièces ; 260 segments de mur ; 0 transitions. Inspection physique ; architecture complète encore ouverte.</x:v>
      </x:c>
      <x:c r="H492" s="115" t="str">
        <x:v>L 418 ; l 352 ; hauteur 12 m ; choix de composition auteur ; dimensions réelles à documenter</x:v>
      </x:c>
      <x:c r="I492" s="115" t="str">
        <x:v>À équilibrer</x:v>
      </x:c>
      <x:c r="J492" s="115" t="str">
        <x:v>Non</x:v>
      </x:c>
      <x:c r="K492" s="115" t="str">
        <x:v>Pièces décrites, murs, portes, niveaux et mobilier inspectables à l’échelle. Volumes réservés, raccord au seed, butin, rencontres et services de campagne restent à terminer.</x:v>
      </x:c>
    </x:row>
    <x:row r="493" ht="96" customHeight="1">
      <x:c r="A493" s="115" t="str">
        <x:v>EXT-MONDE-T010-V38</x:v>
      </x:c>
      <x:c r="B493" s="115" t="str">
        <x:v>EXT-MONDE-T010</x:v>
      </x:c>
      <x:c r="C493" s="115" t="str">
        <x:v>Offshore</x:v>
      </x:c>
      <x:c r="D493" s="115" t="str">
        <x:v>Plateforme semi-submersible</x:v>
      </x:c>
      <x:c r="E493" s="115" t="n">
        <x:v>38</x:v>
      </x:c>
      <x:c r="F493" s="115" t="str">
        <x:v>Inspection physique</x:v>
      </x:c>
      <x:c r="G493" s="115" t="str">
        <x:v>1 niveaux ; 34 pièces ; 260 segments de mur ; 0 transitions. Inspection physique ; architecture complète encore ouverte.</x:v>
      </x:c>
      <x:c r="H493" s="115" t="str">
        <x:v>L 418 ; l 352 ; hauteur 12 m ; choix de composition auteur ; dimensions réelles à documenter</x:v>
      </x:c>
      <x:c r="I493" s="115" t="str">
        <x:v>À équilibrer</x:v>
      </x:c>
      <x:c r="J493" s="115" t="str">
        <x:v>Non</x:v>
      </x:c>
      <x:c r="K493" s="115" t="str">
        <x:v>Pièces décrites, murs, portes, niveaux et mobilier inspectables à l’échelle. Volumes réservés, raccord au seed, butin, rencontres et services de campagne restent à terminer.</x:v>
      </x:c>
    </x:row>
    <x:row r="494" ht="96" customHeight="1">
      <x:c r="A494" s="115" t="str">
        <x:v>EXT-MONDE-T010-V39</x:v>
      </x:c>
      <x:c r="B494" s="115" t="str">
        <x:v>EXT-MONDE-T010</x:v>
      </x:c>
      <x:c r="C494" s="115" t="str">
        <x:v>Offshore</x:v>
      </x:c>
      <x:c r="D494" s="115" t="str">
        <x:v>Plateforme semi-submersible</x:v>
      </x:c>
      <x:c r="E494" s="115" t="n">
        <x:v>39</x:v>
      </x:c>
      <x:c r="F494" s="115" t="str">
        <x:v>Inspection physique</x:v>
      </x:c>
      <x:c r="G494" s="115" t="str">
        <x:v>1 niveaux ; 34 pièces ; 260 segments de mur ; 0 transitions. Inspection physique ; architecture complète encore ouverte.</x:v>
      </x:c>
      <x:c r="H494" s="115" t="str">
        <x:v>L 418 ; l 352 ; hauteur 12 m ; choix de composition auteur ; dimensions réelles à documenter</x:v>
      </x:c>
      <x:c r="I494" s="115" t="str">
        <x:v>À équilibrer</x:v>
      </x:c>
      <x:c r="J494" s="115" t="str">
        <x:v>Non</x:v>
      </x:c>
      <x:c r="K494" s="115" t="str">
        <x:v>Pièces décrites, murs, portes, niveaux et mobilier inspectables à l’échelle. Volumes réservés, raccord au seed, butin, rencontres et services de campagne restent à terminer.</x:v>
      </x:c>
    </x:row>
    <x:row r="495" ht="96" customHeight="1">
      <x:c r="A495" s="115" t="str">
        <x:v>EXT-MONDE-T010-V40</x:v>
      </x:c>
      <x:c r="B495" s="115" t="str">
        <x:v>EXT-MONDE-T010</x:v>
      </x:c>
      <x:c r="C495" s="115" t="str">
        <x:v>Offshore</x:v>
      </x:c>
      <x:c r="D495" s="115" t="str">
        <x:v>Plateforme semi-submersible</x:v>
      </x:c>
      <x:c r="E495" s="115" t="n">
        <x:v>40</x:v>
      </x:c>
      <x:c r="F495" s="115" t="str">
        <x:v>Inspection physique</x:v>
      </x:c>
      <x:c r="G495" s="115" t="str">
        <x:v>1 niveaux ; 34 pièces ; 260 segments de mur ; 0 transitions. Inspection physique ; architecture complète encore ouverte.</x:v>
      </x:c>
      <x:c r="H495" s="115" t="str">
        <x:v>L 418 ; l 352 ; hauteur 12 m ; choix de composition auteur ; dimensions réelles à documenter</x:v>
      </x:c>
      <x:c r="I495" s="115" t="str">
        <x:v>À équilibrer</x:v>
      </x:c>
      <x:c r="J495" s="115" t="str">
        <x:v>Non</x:v>
      </x:c>
      <x:c r="K495" s="115" t="str">
        <x:v>Pièces décrites, murs, portes, niveaux et mobilier inspectables à l’échelle. Volumes réservés, raccord au seed, butin, rencontres et services de campagne restent à terminer.</x:v>
      </x:c>
    </x:row>
    <x:row r="496" ht="96" customHeight="1">
      <x:c r="A496" s="115" t="str">
        <x:v>EXT-MONDE-T010-V41</x:v>
      </x:c>
      <x:c r="B496" s="115" t="str">
        <x:v>EXT-MONDE-T010</x:v>
      </x:c>
      <x:c r="C496" s="115" t="str">
        <x:v>Offshore</x:v>
      </x:c>
      <x:c r="D496" s="115" t="str">
        <x:v>Plateforme semi-submersible</x:v>
      </x:c>
      <x:c r="E496" s="115" t="n">
        <x:v>41</x:v>
      </x:c>
      <x:c r="F496" s="115" t="str">
        <x:v>Inspection physique</x:v>
      </x:c>
      <x:c r="G496" s="115" t="str">
        <x:v>1 niveaux ; 34 pièces ; 260 segments de mur ; 0 transitions. Inspection physique ; architecture complète encore ouverte.</x:v>
      </x:c>
      <x:c r="H496" s="115" t="str">
        <x:v>L 432 ; l 364 ; hauteur 12 m ; choix de composition auteur ; dimensions réelles à documenter</x:v>
      </x:c>
      <x:c r="I496" s="115" t="str">
        <x:v>À équilibrer</x:v>
      </x:c>
      <x:c r="J496" s="115" t="str">
        <x:v>Non</x:v>
      </x:c>
      <x:c r="K496" s="115" t="str">
        <x:v>Pièces décrites, murs, portes, niveaux et mobilier inspectables à l’échelle. Volumes réservés, raccord au seed, butin, rencontres et services de campagne restent à terminer.</x:v>
      </x:c>
    </x:row>
    <x:row r="497" ht="96" customHeight="1">
      <x:c r="A497" s="115" t="str">
        <x:v>EXT-MONDE-T010-V42</x:v>
      </x:c>
      <x:c r="B497" s="115" t="str">
        <x:v>EXT-MONDE-T010</x:v>
      </x:c>
      <x:c r="C497" s="115" t="str">
        <x:v>Offshore</x:v>
      </x:c>
      <x:c r="D497" s="115" t="str">
        <x:v>Plateforme semi-submersible</x:v>
      </x:c>
      <x:c r="E497" s="115" t="n">
        <x:v>42</x:v>
      </x:c>
      <x:c r="F497" s="115" t="str">
        <x:v>Inspection physique</x:v>
      </x:c>
      <x:c r="G497" s="115" t="str">
        <x:v>1 niveaux ; 34 pièces ; 260 segments de mur ; 0 transitions. Inspection physique ; architecture complète encore ouverte.</x:v>
      </x:c>
      <x:c r="H497" s="115" t="str">
        <x:v>L 432 ; l 364 ; hauteur 12 m ; choix de composition auteur ; dimensions réelles à documenter</x:v>
      </x:c>
      <x:c r="I497" s="115" t="str">
        <x:v>À équilibrer</x:v>
      </x:c>
      <x:c r="J497" s="115" t="str">
        <x:v>Non</x:v>
      </x:c>
      <x:c r="K497" s="115" t="str">
        <x:v>Pièces décrites, murs, portes, niveaux et mobilier inspectables à l’échelle. Volumes réservés, raccord au seed, butin, rencontres et services de campagne restent à terminer.</x:v>
      </x:c>
    </x:row>
    <x:row r="498" ht="96" customHeight="1">
      <x:c r="A498" s="115" t="str">
        <x:v>EXT-MONDE-T010-V43</x:v>
      </x:c>
      <x:c r="B498" s="115" t="str">
        <x:v>EXT-MONDE-T010</x:v>
      </x:c>
      <x:c r="C498" s="115" t="str">
        <x:v>Offshore</x:v>
      </x:c>
      <x:c r="D498" s="115" t="str">
        <x:v>Plateforme semi-submersible</x:v>
      </x:c>
      <x:c r="E498" s="115" t="n">
        <x:v>43</x:v>
      </x:c>
      <x:c r="F498" s="115" t="str">
        <x:v>Inspection physique</x:v>
      </x:c>
      <x:c r="G498" s="115" t="str">
        <x:v>1 niveaux ; 34 pièces ; 260 segments de mur ; 0 transitions. Inspection physique ; architecture complète encore ouverte.</x:v>
      </x:c>
      <x:c r="H498" s="115" t="str">
        <x:v>L 432 ; l 364 ; hauteur 12 m ; choix de composition auteur ; dimensions réelles à documenter</x:v>
      </x:c>
      <x:c r="I498" s="115" t="str">
        <x:v>À équilibrer</x:v>
      </x:c>
      <x:c r="J498" s="115" t="str">
        <x:v>Non</x:v>
      </x:c>
      <x:c r="K498" s="115" t="str">
        <x:v>Pièces décrites, murs, portes, niveaux et mobilier inspectables à l’échelle. Volumes réservés, raccord au seed, butin, rencontres et services de campagne restent à terminer.</x:v>
      </x:c>
    </x:row>
    <x:row r="499" ht="96" customHeight="1">
      <x:c r="A499" s="115" t="str">
        <x:v>EXT-MONDE-T010-V44</x:v>
      </x:c>
      <x:c r="B499" s="115" t="str">
        <x:v>EXT-MONDE-T010</x:v>
      </x:c>
      <x:c r="C499" s="115" t="str">
        <x:v>Offshore</x:v>
      </x:c>
      <x:c r="D499" s="115" t="str">
        <x:v>Plateforme semi-submersible</x:v>
      </x:c>
      <x:c r="E499" s="115" t="n">
        <x:v>44</x:v>
      </x:c>
      <x:c r="F499" s="115" t="str">
        <x:v>Inspection physique</x:v>
      </x:c>
      <x:c r="G499" s="115" t="str">
        <x:v>1 niveaux ; 34 pièces ; 260 segments de mur ; 0 transitions. Inspection physique ; architecture complète encore ouverte.</x:v>
      </x:c>
      <x:c r="H499" s="115" t="str">
        <x:v>L 432 ; l 364 ; hauteur 12 m ; choix de composition auteur ; dimensions réelles à documenter</x:v>
      </x:c>
      <x:c r="I499" s="115" t="str">
        <x:v>À équilibrer</x:v>
      </x:c>
      <x:c r="J499" s="115" t="str">
        <x:v>Non</x:v>
      </x:c>
      <x:c r="K499" s="115" t="str">
        <x:v>Pièces décrites, murs, portes, niveaux et mobilier inspectables à l’échelle. Volumes réservés, raccord au seed, butin, rencontres et services de campagne restent à terminer.</x:v>
      </x:c>
    </x:row>
    <x:row r="500" ht="96" customHeight="1">
      <x:c r="A500" s="115" t="str">
        <x:v>EXT-MONDE-T010-V45</x:v>
      </x:c>
      <x:c r="B500" s="115" t="str">
        <x:v>EXT-MONDE-T010</x:v>
      </x:c>
      <x:c r="C500" s="115" t="str">
        <x:v>Offshore</x:v>
      </x:c>
      <x:c r="D500" s="115" t="str">
        <x:v>Plateforme semi-submersible</x:v>
      </x:c>
      <x:c r="E500" s="115" t="n">
        <x:v>45</x:v>
      </x:c>
      <x:c r="F500" s="115" t="str">
        <x:v>Inspection physique</x:v>
      </x:c>
      <x:c r="G500" s="115" t="str">
        <x:v>1 niveaux ; 34 pièces ; 260 segments de mur ; 0 transitions. Inspection physique ; architecture complète encore ouverte.</x:v>
      </x:c>
      <x:c r="H500" s="115" t="str">
        <x:v>L 432 ; l 364 ; hauteur 12 m ; choix de composition auteur ; dimensions réelles à documenter</x:v>
      </x:c>
      <x:c r="I500" s="115" t="str">
        <x:v>À équilibrer</x:v>
      </x:c>
      <x:c r="J500" s="115" t="str">
        <x:v>Non</x:v>
      </x:c>
      <x:c r="K500" s="115" t="str">
        <x:v>Pièces décrites, murs, portes, niveaux et mobilier inspectables à l’échelle. Volumes réservés, raccord au seed, butin, rencontres et services de campagne restent à terminer.</x:v>
      </x:c>
    </x:row>
    <x:row r="501" ht="96" customHeight="1">
      <x:c r="A501" s="115" t="str">
        <x:v>EXT-MONDE-T010-V46</x:v>
      </x:c>
      <x:c r="B501" s="115" t="str">
        <x:v>EXT-MONDE-T010</x:v>
      </x:c>
      <x:c r="C501" s="115" t="str">
        <x:v>Offshore</x:v>
      </x:c>
      <x:c r="D501" s="115" t="str">
        <x:v>Plateforme semi-submersible</x:v>
      </x:c>
      <x:c r="E501" s="115" t="n">
        <x:v>46</x:v>
      </x:c>
      <x:c r="F501" s="115" t="str">
        <x:v>Inspection physique</x:v>
      </x:c>
      <x:c r="G501" s="115" t="str">
        <x:v>1 niveaux ; 34 pièces ; 260 segments de mur ; 0 transitions. Inspection physique ; architecture complète encore ouverte.</x:v>
      </x:c>
      <x:c r="H501" s="115" t="str">
        <x:v>L 432 ; l 364 ; hauteur 12 m ; choix de composition auteur ; dimensions réelles à documenter</x:v>
      </x:c>
      <x:c r="I501" s="115" t="str">
        <x:v>À équilibrer</x:v>
      </x:c>
      <x:c r="J501" s="115" t="str">
        <x:v>Non</x:v>
      </x:c>
      <x:c r="K501" s="115" t="str">
        <x:v>Pièces décrites, murs, portes, niveaux et mobilier inspectables à l’échelle. Volumes réservés, raccord au seed, butin, rencontres et services de campagne restent à terminer.</x:v>
      </x:c>
    </x:row>
    <x:row r="502" ht="96" customHeight="1">
      <x:c r="A502" s="115" t="str">
        <x:v>EXT-MONDE-T010-V47</x:v>
      </x:c>
      <x:c r="B502" s="115" t="str">
        <x:v>EXT-MONDE-T010</x:v>
      </x:c>
      <x:c r="C502" s="115" t="str">
        <x:v>Offshore</x:v>
      </x:c>
      <x:c r="D502" s="115" t="str">
        <x:v>Plateforme semi-submersible</x:v>
      </x:c>
      <x:c r="E502" s="115" t="n">
        <x:v>47</x:v>
      </x:c>
      <x:c r="F502" s="115" t="str">
        <x:v>Inspection physique</x:v>
      </x:c>
      <x:c r="G502" s="115" t="str">
        <x:v>1 niveaux ; 34 pièces ; 260 segments de mur ; 0 transitions. Inspection physique ; architecture complète encore ouverte.</x:v>
      </x:c>
      <x:c r="H502" s="115" t="str">
        <x:v>L 432 ; l 364 ; hauteur 12 m ; choix de composition auteur ; dimensions réelles à documenter</x:v>
      </x:c>
      <x:c r="I502" s="115" t="str">
        <x:v>À équilibrer</x:v>
      </x:c>
      <x:c r="J502" s="115" t="str">
        <x:v>Non</x:v>
      </x:c>
      <x:c r="K502" s="115" t="str">
        <x:v>Pièces décrites, murs, portes, niveaux et mobilier inspectables à l’échelle. Volumes réservés, raccord au seed, butin, rencontres et services de campagne restent à terminer.</x:v>
      </x:c>
    </x:row>
    <x:row r="503" ht="96" customHeight="1">
      <x:c r="A503" s="115" t="str">
        <x:v>EXT-MONDE-T010-V48</x:v>
      </x:c>
      <x:c r="B503" s="115" t="str">
        <x:v>EXT-MONDE-T010</x:v>
      </x:c>
      <x:c r="C503" s="115" t="str">
        <x:v>Offshore</x:v>
      </x:c>
      <x:c r="D503" s="115" t="str">
        <x:v>Plateforme semi-submersible</x:v>
      </x:c>
      <x:c r="E503" s="115" t="n">
        <x:v>48</x:v>
      </x:c>
      <x:c r="F503" s="115" t="str">
        <x:v>Inspection physique</x:v>
      </x:c>
      <x:c r="G503" s="115" t="str">
        <x:v>1 niveaux ; 34 pièces ; 260 segments de mur ; 0 transitions. Inspection physique ; architecture complète encore ouverte.</x:v>
      </x:c>
      <x:c r="H503" s="115" t="str">
        <x:v>L 432 ; l 364 ; hauteur 12 m ; choix de composition auteur ; dimensions réelles à documenter</x:v>
      </x:c>
      <x:c r="I503" s="115" t="str">
        <x:v>À équilibrer</x:v>
      </x:c>
      <x:c r="J503" s="115" t="str">
        <x:v>Non</x:v>
      </x:c>
      <x:c r="K503" s="115" t="str">
        <x:v>Pièces décrites, murs, portes, niveaux et mobilier inspectables à l’échelle. Volumes réservés, raccord au seed, butin, rencontres et services de campagne restent à terminer.</x:v>
      </x:c>
    </x:row>
    <x:row r="504" ht="96" customHeight="1">
      <x:c r="A504" s="115" t="str">
        <x:v>EXT-MONDE-T010-V49</x:v>
      </x:c>
      <x:c r="B504" s="115" t="str">
        <x:v>EXT-MONDE-T010</x:v>
      </x:c>
      <x:c r="C504" s="115" t="str">
        <x:v>Offshore</x:v>
      </x:c>
      <x:c r="D504" s="115" t="str">
        <x:v>Plateforme semi-submersible</x:v>
      </x:c>
      <x:c r="E504" s="115" t="n">
        <x:v>49</x:v>
      </x:c>
      <x:c r="F504" s="115" t="str">
        <x:v>Inspection physique</x:v>
      </x:c>
      <x:c r="G504" s="115" t="str">
        <x:v>1 niveaux ; 34 pièces ; 260 segments de mur ; 0 transitions. Inspection physique ; architecture complète encore ouverte.</x:v>
      </x:c>
      <x:c r="H504" s="115" t="str">
        <x:v>L 432 ; l 364 ; hauteur 12 m ; choix de composition auteur ; dimensions réelles à documenter</x:v>
      </x:c>
      <x:c r="I504" s="115" t="str">
        <x:v>À équilibrer</x:v>
      </x:c>
      <x:c r="J504" s="115" t="str">
        <x:v>Non</x:v>
      </x:c>
      <x:c r="K504" s="115" t="str">
        <x:v>Pièces décrites, murs, portes, niveaux et mobilier inspectables à l’échelle. Volumes réservés, raccord au seed, butin, rencontres et services de campagne restent à terminer.</x:v>
      </x:c>
    </x:row>
    <x:row r="505" ht="96" customHeight="1">
      <x:c r="A505" s="115" t="str">
        <x:v>EXT-MONDE-T010-V50</x:v>
      </x:c>
      <x:c r="B505" s="115" t="str">
        <x:v>EXT-MONDE-T010</x:v>
      </x:c>
      <x:c r="C505" s="115" t="str">
        <x:v>Offshore</x:v>
      </x:c>
      <x:c r="D505" s="115" t="str">
        <x:v>Plateforme semi-submersible</x:v>
      </x:c>
      <x:c r="E505" s="115" t="n">
        <x:v>50</x:v>
      </x:c>
      <x:c r="F505" s="115" t="str">
        <x:v>Inspection physique</x:v>
      </x:c>
      <x:c r="G505" s="115" t="str">
        <x:v>1 niveaux ; 34 pièces ; 260 segments de mur ; 0 transitions. Inspection physique ; architecture complète encore ouverte.</x:v>
      </x:c>
      <x:c r="H505" s="115" t="str">
        <x:v>L 432 ; l 364 ; hauteur 12 m ; choix de composition auteur ; dimensions réelles à documenter</x:v>
      </x:c>
      <x:c r="I505" s="115" t="str">
        <x:v>À équilibrer</x:v>
      </x:c>
      <x:c r="J505" s="115" t="str">
        <x:v>Non</x:v>
      </x:c>
      <x:c r="K505" s="115" t="str">
        <x:v>Pièces décrites, murs, portes, niveaux et mobilier inspectables à l’échelle. Volumes réservés, raccord au seed, butin, rencontres et services de campagne restent à terminer.</x:v>
      </x:c>
    </x:row>
    <x:row r="506">
      <x:c r="A506" t="str">
        <x:v>EXT-MONDE-T011-V01</x:v>
      </x:c>
      <x:c r="B506" t="str">
        <x:v>EXT-MONDE-T011</x:v>
      </x:c>
      <x:c r="C506" t="str">
        <x:v>Offshore</x:v>
      </x:c>
      <x:c r="D506" t="str">
        <x:v>Navire de soutien offshore</x:v>
      </x:c>
      <x:c r="E506" t="n">
        <x:v>1</x:v>
      </x:c>
      <x:c r="F506" t="str">
        <x:v>Inspection physique</x:v>
      </x:c>
      <x:c r="G506" t="str">
        <x:v>4 niveaux ; 16 pièces ; 112 segments de mur ; 3 transitions. Inspection physique ; architecture complète encore ouverte.</x:v>
      </x:c>
      <x:c r="H506" t="str">
        <x:v>L 80 ; l 16,2 ; hauteur inconnue ; tirant 6,15 ; hauteur émergée auteur 11,75 m ; longueur/largeur/tirant sourcés ; hauteur totale réelle inconnue</x:v>
      </x:c>
      <x:c r="I506" t="str">
        <x:v>À équilibrer</x:v>
      </x:c>
      <x:c r="J506" t="str">
        <x:v>Non</x:v>
      </x:c>
      <x:c r="K506" t="str">
        <x:v>Pièces décrites, murs, portes, niveaux et mobilier inspectables à l’échelle. Volumes réservés, raccord au seed, butin, rencontres et services de campagne restent à terminer.</x:v>
      </x:c>
    </x:row>
    <x:row r="507">
      <x:c r="A507" t="str">
        <x:v>EXT-MONDE-T011-V02</x:v>
      </x:c>
      <x:c r="B507" t="str">
        <x:v>EXT-MONDE-T011</x:v>
      </x:c>
      <x:c r="C507" t="str">
        <x:v>Offshore</x:v>
      </x:c>
      <x:c r="D507" t="str">
        <x:v>Navire de soutien offshore</x:v>
      </x:c>
      <x:c r="E507" t="n">
        <x:v>2</x:v>
      </x:c>
      <x:c r="F507" t="str">
        <x:v>Inspection physique</x:v>
      </x:c>
      <x:c r="G507" t="str">
        <x:v>4 niveaux ; 16 pièces ; 112 segments de mur ; 3 transitions. Inspection physique ; architecture complète encore ouverte.</x:v>
      </x:c>
      <x:c r="H507" t="str">
        <x:v>L 80 ; l 16,2 ; hauteur inconnue ; tirant 6,15 ; hauteur émergée auteur 11,75 m ; longueur/largeur/tirant sourcés ; hauteur totale réelle inconnue</x:v>
      </x:c>
      <x:c r="I507" t="str">
        <x:v>À équilibrer</x:v>
      </x:c>
      <x:c r="J507" t="str">
        <x:v>Non</x:v>
      </x:c>
      <x:c r="K507" t="str">
        <x:v>Pièces décrites, murs, portes, niveaux et mobilier inspectables à l’échelle. Volumes réservés, raccord au seed, butin, rencontres et services de campagne restent à terminer.</x:v>
      </x:c>
    </x:row>
    <x:row r="508">
      <x:c r="A508" t="str">
        <x:v>EXT-MONDE-T011-V03</x:v>
      </x:c>
      <x:c r="B508" t="str">
        <x:v>EXT-MONDE-T011</x:v>
      </x:c>
      <x:c r="C508" t="str">
        <x:v>Offshore</x:v>
      </x:c>
      <x:c r="D508" t="str">
        <x:v>Navire de soutien offshore</x:v>
      </x:c>
      <x:c r="E508" t="n">
        <x:v>3</x:v>
      </x:c>
      <x:c r="F508" t="str">
        <x:v>Inspection physique</x:v>
      </x:c>
      <x:c r="G508" t="str">
        <x:v>4 niveaux ; 16 pièces ; 112 segments de mur ; 3 transitions. Inspection physique ; architecture complète encore ouverte.</x:v>
      </x:c>
      <x:c r="H508" t="str">
        <x:v>L 80 ; l 16,2 ; hauteur inconnue ; tirant 6,15 ; hauteur émergée auteur 11,75 m ; longueur/largeur/tirant sourcés ; hauteur totale réelle inconnue</x:v>
      </x:c>
      <x:c r="I508" t="str">
        <x:v>À équilibrer</x:v>
      </x:c>
      <x:c r="J508" t="str">
        <x:v>Non</x:v>
      </x:c>
      <x:c r="K508" t="str">
        <x:v>Pièces décrites, murs, portes, niveaux et mobilier inspectables à l’échelle. Volumes réservés, raccord au seed, butin, rencontres et services de campagne restent à terminer.</x:v>
      </x:c>
    </x:row>
    <x:row r="509">
      <x:c r="A509" t="str">
        <x:v>EXT-MONDE-T011-V04</x:v>
      </x:c>
      <x:c r="B509" t="str">
        <x:v>EXT-MONDE-T011</x:v>
      </x:c>
      <x:c r="C509" t="str">
        <x:v>Offshore</x:v>
      </x:c>
      <x:c r="D509" t="str">
        <x:v>Navire de soutien offshore</x:v>
      </x:c>
      <x:c r="E509" t="n">
        <x:v>4</x:v>
      </x:c>
      <x:c r="F509" t="str">
        <x:v>Inspection physique</x:v>
      </x:c>
      <x:c r="G509" t="str">
        <x:v>4 niveaux ; 16 pièces ; 112 segments de mur ; 3 transitions. Inspection physique ; architecture complète encore ouverte.</x:v>
      </x:c>
      <x:c r="H509" t="str">
        <x:v>L 80 ; l 16,2 ; hauteur inconnue ; tirant 6,15 ; hauteur émergée auteur 11,75 m ; longueur/largeur/tirant sourcés ; hauteur totale réelle inconnue</x:v>
      </x:c>
      <x:c r="I509" t="str">
        <x:v>À équilibrer</x:v>
      </x:c>
      <x:c r="J509" t="str">
        <x:v>Non</x:v>
      </x:c>
      <x:c r="K509" t="str">
        <x:v>Pièces décrites, murs, portes, niveaux et mobilier inspectables à l’échelle. Volumes réservés, raccord au seed, butin, rencontres et services de campagne restent à terminer.</x:v>
      </x:c>
    </x:row>
    <x:row r="510">
      <x:c r="A510" t="str">
        <x:v>EXT-MONDE-T011-V05</x:v>
      </x:c>
      <x:c r="B510" t="str">
        <x:v>EXT-MONDE-T011</x:v>
      </x:c>
      <x:c r="C510" t="str">
        <x:v>Offshore</x:v>
      </x:c>
      <x:c r="D510" t="str">
        <x:v>Navire de soutien offshore</x:v>
      </x:c>
      <x:c r="E510" t="n">
        <x:v>5</x:v>
      </x:c>
      <x:c r="F510" t="str">
        <x:v>Inspection physique</x:v>
      </x:c>
      <x:c r="G510" t="str">
        <x:v>4 niveaux ; 16 pièces ; 112 segments de mur ; 3 transitions. Inspection physique ; architecture complète encore ouverte.</x:v>
      </x:c>
      <x:c r="H510" t="str">
        <x:v>L 80 ; l 16,2 ; hauteur inconnue ; tirant 6,15 ; hauteur émergée auteur 11,75 m ; longueur/largeur/tirant sourcés ; hauteur totale réelle inconnue</x:v>
      </x:c>
      <x:c r="I510" t="str">
        <x:v>À équilibrer</x:v>
      </x:c>
      <x:c r="J510" t="str">
        <x:v>Non</x:v>
      </x:c>
      <x:c r="K510" t="str">
        <x:v>Pièces décrites, murs, portes, niveaux et mobilier inspectables à l’échelle. Volumes réservés, raccord au seed, butin, rencontres et services de campagne restent à terminer.</x:v>
      </x:c>
    </x:row>
    <x:row r="511">
      <x:c r="A511" t="str">
        <x:v>EXT-MONDE-T011-V06</x:v>
      </x:c>
      <x:c r="B511" t="str">
        <x:v>EXT-MONDE-T011</x:v>
      </x:c>
      <x:c r="C511" t="str">
        <x:v>Offshore</x:v>
      </x:c>
      <x:c r="D511" t="str">
        <x:v>Navire de soutien offshore</x:v>
      </x:c>
      <x:c r="E511" t="n">
        <x:v>6</x:v>
      </x:c>
      <x:c r="F511" t="str">
        <x:v>Inspection physique</x:v>
      </x:c>
      <x:c r="G511" t="str">
        <x:v>4 niveaux ; 16 pièces ; 112 segments de mur ; 3 transitions. Inspection physique ; architecture complète encore ouverte.</x:v>
      </x:c>
      <x:c r="H511" t="str">
        <x:v>L 80 ; l 16,2 ; hauteur inconnue ; tirant 6,15 ; hauteur émergée auteur 11,75 m ; longueur/largeur/tirant sourcés ; hauteur totale réelle inconnue</x:v>
      </x:c>
      <x:c r="I511" t="str">
        <x:v>À équilibrer</x:v>
      </x:c>
      <x:c r="J511" t="str">
        <x:v>Non</x:v>
      </x:c>
      <x:c r="K511" t="str">
        <x:v>Pièces décrites, murs, portes, niveaux et mobilier inspectables à l’échelle. Volumes réservés, raccord au seed, butin, rencontres et services de campagne restent à terminer.</x:v>
      </x:c>
    </x:row>
    <x:row r="512">
      <x:c r="A512" t="str">
        <x:v>EXT-MONDE-T011-V07</x:v>
      </x:c>
      <x:c r="B512" t="str">
        <x:v>EXT-MONDE-T011</x:v>
      </x:c>
      <x:c r="C512" t="str">
        <x:v>Offshore</x:v>
      </x:c>
      <x:c r="D512" t="str">
        <x:v>Navire de soutien offshore</x:v>
      </x:c>
      <x:c r="E512" t="n">
        <x:v>7</x:v>
      </x:c>
      <x:c r="F512" t="str">
        <x:v>Inspection physique</x:v>
      </x:c>
      <x:c r="G512" t="str">
        <x:v>4 niveaux ; 16 pièces ; 112 segments de mur ; 3 transitions. Inspection physique ; architecture complète encore ouverte.</x:v>
      </x:c>
      <x:c r="H512" t="str">
        <x:v>L 80 ; l 16,2 ; hauteur inconnue ; tirant 6,15 ; hauteur émergée auteur 11,75 m ; longueur/largeur/tirant sourcés ; hauteur totale réelle inconnue</x:v>
      </x:c>
      <x:c r="I512" t="str">
        <x:v>À équilibrer</x:v>
      </x:c>
      <x:c r="J512" t="str">
        <x:v>Non</x:v>
      </x:c>
      <x:c r="K512" t="str">
        <x:v>Pièces décrites, murs, portes, niveaux et mobilier inspectables à l’échelle. Volumes réservés, raccord au seed, butin, rencontres et services de campagne restent à terminer.</x:v>
      </x:c>
    </x:row>
    <x:row r="513">
      <x:c r="A513" t="str">
        <x:v>EXT-MONDE-T011-V08</x:v>
      </x:c>
      <x:c r="B513" t="str">
        <x:v>EXT-MONDE-T011</x:v>
      </x:c>
      <x:c r="C513" t="str">
        <x:v>Offshore</x:v>
      </x:c>
      <x:c r="D513" t="str">
        <x:v>Navire de soutien offshore</x:v>
      </x:c>
      <x:c r="E513" t="n">
        <x:v>8</x:v>
      </x:c>
      <x:c r="F513" t="str">
        <x:v>Inspection physique</x:v>
      </x:c>
      <x:c r="G513" t="str">
        <x:v>4 niveaux ; 16 pièces ; 112 segments de mur ; 3 transitions. Inspection physique ; architecture complète encore ouverte.</x:v>
      </x:c>
      <x:c r="H513" t="str">
        <x:v>L 80 ; l 16,2 ; hauteur inconnue ; tirant 6,15 ; hauteur émergée auteur 11,75 m ; longueur/largeur/tirant sourcés ; hauteur totale réelle inconnue</x:v>
      </x:c>
      <x:c r="I513" t="str">
        <x:v>À équilibrer</x:v>
      </x:c>
      <x:c r="J513" t="str">
        <x:v>Non</x:v>
      </x:c>
      <x:c r="K513" t="str">
        <x:v>Pièces décrites, murs, portes, niveaux et mobilier inspectables à l’échelle. Volumes réservés, raccord au seed, butin, rencontres et services de campagne restent à terminer.</x:v>
      </x:c>
    </x:row>
    <x:row r="514">
      <x:c r="A514" t="str">
        <x:v>EXT-MONDE-T011-V09</x:v>
      </x:c>
      <x:c r="B514" t="str">
        <x:v>EXT-MONDE-T011</x:v>
      </x:c>
      <x:c r="C514" t="str">
        <x:v>Offshore</x:v>
      </x:c>
      <x:c r="D514" t="str">
        <x:v>Navire de soutien offshore</x:v>
      </x:c>
      <x:c r="E514" t="n">
        <x:v>9</x:v>
      </x:c>
      <x:c r="F514" t="str">
        <x:v>Inspection physique</x:v>
      </x:c>
      <x:c r="G514" t="str">
        <x:v>4 niveaux ; 16 pièces ; 112 segments de mur ; 3 transitions. Inspection physique ; architecture complète encore ouverte.</x:v>
      </x:c>
      <x:c r="H514" t="str">
        <x:v>L 80 ; l 16,2 ; hauteur inconnue ; tirant 6,15 ; hauteur émergée auteur 11,75 m ; longueur/largeur/tirant sourcés ; hauteur totale réelle inconnue</x:v>
      </x:c>
      <x:c r="I514" t="str">
        <x:v>À équilibrer</x:v>
      </x:c>
      <x:c r="J514" t="str">
        <x:v>Non</x:v>
      </x:c>
      <x:c r="K514" t="str">
        <x:v>Pièces décrites, murs, portes, niveaux et mobilier inspectables à l’échelle. Volumes réservés, raccord au seed, butin, rencontres et services de campagne restent à terminer.</x:v>
      </x:c>
    </x:row>
    <x:row r="515">
      <x:c r="A515" t="str">
        <x:v>EXT-MONDE-T011-V10</x:v>
      </x:c>
      <x:c r="B515" t="str">
        <x:v>EXT-MONDE-T011</x:v>
      </x:c>
      <x:c r="C515" t="str">
        <x:v>Offshore</x:v>
      </x:c>
      <x:c r="D515" t="str">
        <x:v>Navire de soutien offshore</x:v>
      </x:c>
      <x:c r="E515" t="n">
        <x:v>10</x:v>
      </x:c>
      <x:c r="F515" t="str">
        <x:v>Inspection physique</x:v>
      </x:c>
      <x:c r="G515" t="str">
        <x:v>4 niveaux ; 16 pièces ; 112 segments de mur ; 3 transitions. Inspection physique ; architecture complète encore ouverte.</x:v>
      </x:c>
      <x:c r="H515" t="str">
        <x:v>L 80 ; l 16,2 ; hauteur inconnue ; tirant 6,15 ; hauteur émergée auteur 11,75 m ; longueur/largeur/tirant sourcés ; hauteur totale réelle inconnue</x:v>
      </x:c>
      <x:c r="I515" t="str">
        <x:v>À équilibrer</x:v>
      </x:c>
      <x:c r="J515" t="str">
        <x:v>Non</x:v>
      </x:c>
      <x:c r="K515" t="str">
        <x:v>Pièces décrites, murs, portes, niveaux et mobilier inspectables à l’échelle. Volumes réservés, raccord au seed, butin, rencontres et services de campagne restent à terminer.</x:v>
      </x:c>
    </x:row>
    <x:row r="516">
      <x:c r="A516" t="str">
        <x:v>EXT-MONDE-T011-V11</x:v>
      </x:c>
      <x:c r="B516" t="str">
        <x:v>EXT-MONDE-T011</x:v>
      </x:c>
      <x:c r="C516" t="str">
        <x:v>Offshore</x:v>
      </x:c>
      <x:c r="D516" t="str">
        <x:v>Navire de soutien offshore</x:v>
      </x:c>
      <x:c r="E516" t="n">
        <x:v>11</x:v>
      </x:c>
      <x:c r="F516" t="str">
        <x:v>Inspection physique</x:v>
      </x:c>
      <x:c r="G516" t="str">
        <x:v>4 niveaux ; 24 pièces ; 160 segments de mur ; 3 transitions. Inspection physique ; architecture complète encore ouverte.</x:v>
      </x:c>
      <x:c r="H516" t="str">
        <x:v>L 80 ; l 16,2 ; hauteur inconnue ; tirant 6,15 ; hauteur émergée auteur 11,75 m ; longueur/largeur/tirant sourcés ; hauteur totale réelle inconnue</x:v>
      </x:c>
      <x:c r="I516" t="str">
        <x:v>À équilibrer</x:v>
      </x:c>
      <x:c r="J516" t="str">
        <x:v>Non</x:v>
      </x:c>
      <x:c r="K516" t="str">
        <x:v>Pièces décrites, murs, portes, niveaux et mobilier inspectables à l’échelle. Volumes réservés, raccord au seed, butin, rencontres et services de campagne restent à terminer.</x:v>
      </x:c>
    </x:row>
    <x:row r="517">
      <x:c r="A517" t="str">
        <x:v>EXT-MONDE-T011-V12</x:v>
      </x:c>
      <x:c r="B517" t="str">
        <x:v>EXT-MONDE-T011</x:v>
      </x:c>
      <x:c r="C517" t="str">
        <x:v>Offshore</x:v>
      </x:c>
      <x:c r="D517" t="str">
        <x:v>Navire de soutien offshore</x:v>
      </x:c>
      <x:c r="E517" t="n">
        <x:v>12</x:v>
      </x:c>
      <x:c r="F517" t="str">
        <x:v>Inspection physique</x:v>
      </x:c>
      <x:c r="G517" t="str">
        <x:v>4 niveaux ; 24 pièces ; 160 segments de mur ; 3 transitions. Inspection physique ; architecture complète encore ouverte.</x:v>
      </x:c>
      <x:c r="H517" t="str">
        <x:v>L 80 ; l 16,2 ; hauteur inconnue ; tirant 6,15 ; hauteur émergée auteur 11,75 m ; longueur/largeur/tirant sourcés ; hauteur totale réelle inconnue</x:v>
      </x:c>
      <x:c r="I517" t="str">
        <x:v>À équilibrer</x:v>
      </x:c>
      <x:c r="J517" t="str">
        <x:v>Non</x:v>
      </x:c>
      <x:c r="K517" t="str">
        <x:v>Pièces décrites, murs, portes, niveaux et mobilier inspectables à l’échelle. Volumes réservés, raccord au seed, butin, rencontres et services de campagne restent à terminer.</x:v>
      </x:c>
    </x:row>
    <x:row r="518">
      <x:c r="A518" t="str">
        <x:v>EXT-MONDE-T011-V13</x:v>
      </x:c>
      <x:c r="B518" t="str">
        <x:v>EXT-MONDE-T011</x:v>
      </x:c>
      <x:c r="C518" t="str">
        <x:v>Offshore</x:v>
      </x:c>
      <x:c r="D518" t="str">
        <x:v>Navire de soutien offshore</x:v>
      </x:c>
      <x:c r="E518" t="n">
        <x:v>13</x:v>
      </x:c>
      <x:c r="F518" t="str">
        <x:v>Inspection physique</x:v>
      </x:c>
      <x:c r="G518" t="str">
        <x:v>4 niveaux ; 24 pièces ; 160 segments de mur ; 3 transitions. Inspection physique ; architecture complète encore ouverte.</x:v>
      </x:c>
      <x:c r="H518" t="str">
        <x:v>L 80 ; l 16,2 ; hauteur inconnue ; tirant 6,15 ; hauteur émergée auteur 11,75 m ; longueur/largeur/tirant sourcés ; hauteur totale réelle inconnue</x:v>
      </x:c>
      <x:c r="I518" t="str">
        <x:v>À équilibrer</x:v>
      </x:c>
      <x:c r="J518" t="str">
        <x:v>Non</x:v>
      </x:c>
      <x:c r="K518" t="str">
        <x:v>Pièces décrites, murs, portes, niveaux et mobilier inspectables à l’échelle. Volumes réservés, raccord au seed, butin, rencontres et services de campagne restent à terminer.</x:v>
      </x:c>
    </x:row>
    <x:row r="519">
      <x:c r="A519" t="str">
        <x:v>EXT-MONDE-T011-V14</x:v>
      </x:c>
      <x:c r="B519" t="str">
        <x:v>EXT-MONDE-T011</x:v>
      </x:c>
      <x:c r="C519" t="str">
        <x:v>Offshore</x:v>
      </x:c>
      <x:c r="D519" t="str">
        <x:v>Navire de soutien offshore</x:v>
      </x:c>
      <x:c r="E519" t="n">
        <x:v>14</x:v>
      </x:c>
      <x:c r="F519" t="str">
        <x:v>Inspection physique</x:v>
      </x:c>
      <x:c r="G519" t="str">
        <x:v>4 niveaux ; 24 pièces ; 160 segments de mur ; 3 transitions. Inspection physique ; architecture complète encore ouverte.</x:v>
      </x:c>
      <x:c r="H519" t="str">
        <x:v>L 80 ; l 16,2 ; hauteur inconnue ; tirant 6,15 ; hauteur émergée auteur 11,75 m ; longueur/largeur/tirant sourcés ; hauteur totale réelle inconnue</x:v>
      </x:c>
      <x:c r="I519" t="str">
        <x:v>À équilibrer</x:v>
      </x:c>
      <x:c r="J519" t="str">
        <x:v>Non</x:v>
      </x:c>
      <x:c r="K519" t="str">
        <x:v>Pièces décrites, murs, portes, niveaux et mobilier inspectables à l’échelle. Volumes réservés, raccord au seed, butin, rencontres et services de campagne restent à terminer.</x:v>
      </x:c>
    </x:row>
    <x:row r="520">
      <x:c r="A520" t="str">
        <x:v>EXT-MONDE-T011-V15</x:v>
      </x:c>
      <x:c r="B520" t="str">
        <x:v>EXT-MONDE-T011</x:v>
      </x:c>
      <x:c r="C520" t="str">
        <x:v>Offshore</x:v>
      </x:c>
      <x:c r="D520" t="str">
        <x:v>Navire de soutien offshore</x:v>
      </x:c>
      <x:c r="E520" t="n">
        <x:v>15</x:v>
      </x:c>
      <x:c r="F520" t="str">
        <x:v>Inspection physique</x:v>
      </x:c>
      <x:c r="G520" t="str">
        <x:v>4 niveaux ; 24 pièces ; 160 segments de mur ; 3 transitions. Inspection physique ; architecture complète encore ouverte.</x:v>
      </x:c>
      <x:c r="H520" t="str">
        <x:v>L 80 ; l 16,2 ; hauteur inconnue ; tirant 6,15 ; hauteur émergée auteur 11,75 m ; longueur/largeur/tirant sourcés ; hauteur totale réelle inconnue</x:v>
      </x:c>
      <x:c r="I520" t="str">
        <x:v>À équilibrer</x:v>
      </x:c>
      <x:c r="J520" t="str">
        <x:v>Non</x:v>
      </x:c>
      <x:c r="K520" t="str">
        <x:v>Pièces décrites, murs, portes, niveaux et mobilier inspectables à l’échelle. Volumes réservés, raccord au seed, butin, rencontres et services de campagne restent à terminer.</x:v>
      </x:c>
    </x:row>
    <x:row r="521">
      <x:c r="A521" t="str">
        <x:v>EXT-MONDE-T011-V16</x:v>
      </x:c>
      <x:c r="B521" t="str">
        <x:v>EXT-MONDE-T011</x:v>
      </x:c>
      <x:c r="C521" t="str">
        <x:v>Offshore</x:v>
      </x:c>
      <x:c r="D521" t="str">
        <x:v>Navire de soutien offshore</x:v>
      </x:c>
      <x:c r="E521" t="n">
        <x:v>16</x:v>
      </x:c>
      <x:c r="F521" t="str">
        <x:v>Inspection physique</x:v>
      </x:c>
      <x:c r="G521" t="str">
        <x:v>4 niveaux ; 24 pièces ; 160 segments de mur ; 3 transitions. Inspection physique ; architecture complète encore ouverte.</x:v>
      </x:c>
      <x:c r="H521" t="str">
        <x:v>L 80 ; l 16,2 ; hauteur inconnue ; tirant 6,15 ; hauteur émergée auteur 11,75 m ; longueur/largeur/tirant sourcés ; hauteur totale réelle inconnue</x:v>
      </x:c>
      <x:c r="I521" t="str">
        <x:v>À équilibrer</x:v>
      </x:c>
      <x:c r="J521" t="str">
        <x:v>Non</x:v>
      </x:c>
      <x:c r="K521" t="str">
        <x:v>Pièces décrites, murs, portes, niveaux et mobilier inspectables à l’échelle. Volumes réservés, raccord au seed, butin, rencontres et services de campagne restent à terminer.</x:v>
      </x:c>
    </x:row>
    <x:row r="522">
      <x:c r="A522" t="str">
        <x:v>EXT-MONDE-T011-V17</x:v>
      </x:c>
      <x:c r="B522" t="str">
        <x:v>EXT-MONDE-T011</x:v>
      </x:c>
      <x:c r="C522" t="str">
        <x:v>Offshore</x:v>
      </x:c>
      <x:c r="D522" t="str">
        <x:v>Navire de soutien offshore</x:v>
      </x:c>
      <x:c r="E522" t="n">
        <x:v>17</x:v>
      </x:c>
      <x:c r="F522" t="str">
        <x:v>Inspection physique</x:v>
      </x:c>
      <x:c r="G522" t="str">
        <x:v>4 niveaux ; 24 pièces ; 160 segments de mur ; 3 transitions. Inspection physique ; architecture complète encore ouverte.</x:v>
      </x:c>
      <x:c r="H522" t="str">
        <x:v>L 80 ; l 16,2 ; hauteur inconnue ; tirant 6,15 ; hauteur émergée auteur 11,75 m ; longueur/largeur/tirant sourcés ; hauteur totale réelle inconnue</x:v>
      </x:c>
      <x:c r="I522" t="str">
        <x:v>À équilibrer</x:v>
      </x:c>
      <x:c r="J522" t="str">
        <x:v>Non</x:v>
      </x:c>
      <x:c r="K522" t="str">
        <x:v>Pièces décrites, murs, portes, niveaux et mobilier inspectables à l’échelle. Volumes réservés, raccord au seed, butin, rencontres et services de campagne restent à terminer.</x:v>
      </x:c>
    </x:row>
    <x:row r="523">
      <x:c r="A523" t="str">
        <x:v>EXT-MONDE-T011-V18</x:v>
      </x:c>
      <x:c r="B523" t="str">
        <x:v>EXT-MONDE-T011</x:v>
      </x:c>
      <x:c r="C523" t="str">
        <x:v>Offshore</x:v>
      </x:c>
      <x:c r="D523" t="str">
        <x:v>Navire de soutien offshore</x:v>
      </x:c>
      <x:c r="E523" t="n">
        <x:v>18</x:v>
      </x:c>
      <x:c r="F523" t="str">
        <x:v>Inspection physique</x:v>
      </x:c>
      <x:c r="G523" t="str">
        <x:v>4 niveaux ; 24 pièces ; 160 segments de mur ; 3 transitions. Inspection physique ; architecture complète encore ouverte.</x:v>
      </x:c>
      <x:c r="H523" t="str">
        <x:v>L 80 ; l 16,2 ; hauteur inconnue ; tirant 6,15 ; hauteur émergée auteur 11,75 m ; longueur/largeur/tirant sourcés ; hauteur totale réelle inconnue</x:v>
      </x:c>
      <x:c r="I523" t="str">
        <x:v>À équilibrer</x:v>
      </x:c>
      <x:c r="J523" t="str">
        <x:v>Non</x:v>
      </x:c>
      <x:c r="K523" t="str">
        <x:v>Pièces décrites, murs, portes, niveaux et mobilier inspectables à l’échelle. Volumes réservés, raccord au seed, butin, rencontres et services de campagne restent à terminer.</x:v>
      </x:c>
    </x:row>
    <x:row r="524">
      <x:c r="A524" t="str">
        <x:v>EXT-MONDE-T011-V19</x:v>
      </x:c>
      <x:c r="B524" t="str">
        <x:v>EXT-MONDE-T011</x:v>
      </x:c>
      <x:c r="C524" t="str">
        <x:v>Offshore</x:v>
      </x:c>
      <x:c r="D524" t="str">
        <x:v>Navire de soutien offshore</x:v>
      </x:c>
      <x:c r="E524" t="n">
        <x:v>19</x:v>
      </x:c>
      <x:c r="F524" t="str">
        <x:v>Inspection physique</x:v>
      </x:c>
      <x:c r="G524" t="str">
        <x:v>4 niveaux ; 24 pièces ; 160 segments de mur ; 3 transitions. Inspection physique ; architecture complète encore ouverte.</x:v>
      </x:c>
      <x:c r="H524" t="str">
        <x:v>L 80 ; l 16,2 ; hauteur inconnue ; tirant 6,15 ; hauteur émergée auteur 11,75 m ; longueur/largeur/tirant sourcés ; hauteur totale réelle inconnue</x:v>
      </x:c>
      <x:c r="I524" t="str">
        <x:v>À équilibrer</x:v>
      </x:c>
      <x:c r="J524" t="str">
        <x:v>Non</x:v>
      </x:c>
      <x:c r="K524" t="str">
        <x:v>Pièces décrites, murs, portes, niveaux et mobilier inspectables à l’échelle. Volumes réservés, raccord au seed, butin, rencontres et services de campagne restent à terminer.</x:v>
      </x:c>
    </x:row>
    <x:row r="525">
      <x:c r="A525" t="str">
        <x:v>EXT-MONDE-T011-V20</x:v>
      </x:c>
      <x:c r="B525" t="str">
        <x:v>EXT-MONDE-T011</x:v>
      </x:c>
      <x:c r="C525" t="str">
        <x:v>Offshore</x:v>
      </x:c>
      <x:c r="D525" t="str">
        <x:v>Navire de soutien offshore</x:v>
      </x:c>
      <x:c r="E525" t="n">
        <x:v>20</x:v>
      </x:c>
      <x:c r="F525" t="str">
        <x:v>Inspection physique</x:v>
      </x:c>
      <x:c r="G525" t="str">
        <x:v>4 niveaux ; 24 pièces ; 160 segments de mur ; 3 transitions. Inspection physique ; architecture complète encore ouverte.</x:v>
      </x:c>
      <x:c r="H525" t="str">
        <x:v>L 80 ; l 16,2 ; hauteur inconnue ; tirant 6,15 ; hauteur émergée auteur 11,75 m ; longueur/largeur/tirant sourcés ; hauteur totale réelle inconnue</x:v>
      </x:c>
      <x:c r="I525" t="str">
        <x:v>À équilibrer</x:v>
      </x:c>
      <x:c r="J525" t="str">
        <x:v>Non</x:v>
      </x:c>
      <x:c r="K525" t="str">
        <x:v>Pièces décrites, murs, portes, niveaux et mobilier inspectables à l’échelle. Volumes réservés, raccord au seed, butin, rencontres et services de campagne restent à terminer.</x:v>
      </x:c>
    </x:row>
    <x:row r="526">
      <x:c r="A526" t="str">
        <x:v>EXT-MONDE-T011-V21</x:v>
      </x:c>
      <x:c r="B526" t="str">
        <x:v>EXT-MONDE-T011</x:v>
      </x:c>
      <x:c r="C526" t="str">
        <x:v>Offshore</x:v>
      </x:c>
      <x:c r="D526" t="str">
        <x:v>Navire de soutien offshore</x:v>
      </x:c>
      <x:c r="E526" t="n">
        <x:v>21</x:v>
      </x:c>
      <x:c r="F526" t="str">
        <x:v>Inspection physique</x:v>
      </x:c>
      <x:c r="G526" t="str">
        <x:v>4 niveaux ; 32 pièces ; 208 segments de mur ; 3 transitions. Inspection physique ; architecture complète encore ouverte.</x:v>
      </x:c>
      <x:c r="H526" t="str">
        <x:v>L 80 ; l 16,2 ; hauteur inconnue ; tirant 6,15 ; hauteur émergée auteur 11,75 m ; longueur/largeur/tirant sourcés ; hauteur totale réelle inconnue</x:v>
      </x:c>
      <x:c r="I526" t="str">
        <x:v>À équilibrer</x:v>
      </x:c>
      <x:c r="J526" t="str">
        <x:v>Non</x:v>
      </x:c>
      <x:c r="K526" t="str">
        <x:v>Pièces décrites, murs, portes, niveaux et mobilier inspectables à l’échelle. Volumes réservés, raccord au seed, butin, rencontres et services de campagne restent à terminer.</x:v>
      </x:c>
    </x:row>
    <x:row r="527">
      <x:c r="A527" t="str">
        <x:v>EXT-MONDE-T011-V22</x:v>
      </x:c>
      <x:c r="B527" t="str">
        <x:v>EXT-MONDE-T011</x:v>
      </x:c>
      <x:c r="C527" t="str">
        <x:v>Offshore</x:v>
      </x:c>
      <x:c r="D527" t="str">
        <x:v>Navire de soutien offshore</x:v>
      </x:c>
      <x:c r="E527" t="n">
        <x:v>22</x:v>
      </x:c>
      <x:c r="F527" t="str">
        <x:v>Inspection physique</x:v>
      </x:c>
      <x:c r="G527" t="str">
        <x:v>4 niveaux ; 32 pièces ; 208 segments de mur ; 3 transitions. Inspection physique ; architecture complète encore ouverte.</x:v>
      </x:c>
      <x:c r="H527" t="str">
        <x:v>L 80 ; l 16,2 ; hauteur inconnue ; tirant 6,15 ; hauteur émergée auteur 11,75 m ; longueur/largeur/tirant sourcés ; hauteur totale réelle inconnue</x:v>
      </x:c>
      <x:c r="I527" t="str">
        <x:v>À équilibrer</x:v>
      </x:c>
      <x:c r="J527" t="str">
        <x:v>Non</x:v>
      </x:c>
      <x:c r="K527" t="str">
        <x:v>Pièces décrites, murs, portes, niveaux et mobilier inspectables à l’échelle. Volumes réservés, raccord au seed, butin, rencontres et services de campagne restent à terminer.</x:v>
      </x:c>
    </x:row>
    <x:row r="528">
      <x:c r="A528" t="str">
        <x:v>EXT-MONDE-T011-V23</x:v>
      </x:c>
      <x:c r="B528" t="str">
        <x:v>EXT-MONDE-T011</x:v>
      </x:c>
      <x:c r="C528" t="str">
        <x:v>Offshore</x:v>
      </x:c>
      <x:c r="D528" t="str">
        <x:v>Navire de soutien offshore</x:v>
      </x:c>
      <x:c r="E528" t="n">
        <x:v>23</x:v>
      </x:c>
      <x:c r="F528" t="str">
        <x:v>Inspection physique</x:v>
      </x:c>
      <x:c r="G528" t="str">
        <x:v>4 niveaux ; 32 pièces ; 208 segments de mur ; 3 transitions. Inspection physique ; architecture complète encore ouverte.</x:v>
      </x:c>
      <x:c r="H528" t="str">
        <x:v>L 80 ; l 16,2 ; hauteur inconnue ; tirant 6,15 ; hauteur émergée auteur 11,75 m ; longueur/largeur/tirant sourcés ; hauteur totale réelle inconnue</x:v>
      </x:c>
      <x:c r="I528" t="str">
        <x:v>À équilibrer</x:v>
      </x:c>
      <x:c r="J528" t="str">
        <x:v>Non</x:v>
      </x:c>
      <x:c r="K528" t="str">
        <x:v>Pièces décrites, murs, portes, niveaux et mobilier inspectables à l’échelle. Volumes réservés, raccord au seed, butin, rencontres et services de campagne restent à terminer.</x:v>
      </x:c>
    </x:row>
    <x:row r="529">
      <x:c r="A529" t="str">
        <x:v>EXT-MONDE-T011-V24</x:v>
      </x:c>
      <x:c r="B529" t="str">
        <x:v>EXT-MONDE-T011</x:v>
      </x:c>
      <x:c r="C529" t="str">
        <x:v>Offshore</x:v>
      </x:c>
      <x:c r="D529" t="str">
        <x:v>Navire de soutien offshore</x:v>
      </x:c>
      <x:c r="E529" t="n">
        <x:v>24</x:v>
      </x:c>
      <x:c r="F529" t="str">
        <x:v>Inspection physique</x:v>
      </x:c>
      <x:c r="G529" t="str">
        <x:v>4 niveaux ; 32 pièces ; 208 segments de mur ; 3 transitions. Inspection physique ; architecture complète encore ouverte.</x:v>
      </x:c>
      <x:c r="H529" t="str">
        <x:v>L 80 ; l 16,2 ; hauteur inconnue ; tirant 6,15 ; hauteur émergée auteur 11,75 m ; longueur/largeur/tirant sourcés ; hauteur totale réelle inconnue</x:v>
      </x:c>
      <x:c r="I529" t="str">
        <x:v>À équilibrer</x:v>
      </x:c>
      <x:c r="J529" t="str">
        <x:v>Non</x:v>
      </x:c>
      <x:c r="K529" t="str">
        <x:v>Pièces décrites, murs, portes, niveaux et mobilier inspectables à l’échelle. Volumes réservés, raccord au seed, butin, rencontres et services de campagne restent à terminer.</x:v>
      </x:c>
    </x:row>
    <x:row r="530">
      <x:c r="A530" t="str">
        <x:v>EXT-MONDE-T011-V25</x:v>
      </x:c>
      <x:c r="B530" t="str">
        <x:v>EXT-MONDE-T011</x:v>
      </x:c>
      <x:c r="C530" t="str">
        <x:v>Offshore</x:v>
      </x:c>
      <x:c r="D530" t="str">
        <x:v>Navire de soutien offshore</x:v>
      </x:c>
      <x:c r="E530" t="n">
        <x:v>25</x:v>
      </x:c>
      <x:c r="F530" t="str">
        <x:v>Inspection physique</x:v>
      </x:c>
      <x:c r="G530" t="str">
        <x:v>4 niveaux ; 32 pièces ; 208 segments de mur ; 3 transitions. Inspection physique ; architecture complète encore ouverte.</x:v>
      </x:c>
      <x:c r="H530" t="str">
        <x:v>L 80 ; l 16,2 ; hauteur inconnue ; tirant 6,15 ; hauteur émergée auteur 11,75 m ; longueur/largeur/tirant sourcés ; hauteur totale réelle inconnue</x:v>
      </x:c>
      <x:c r="I530" t="str">
        <x:v>À équilibrer</x:v>
      </x:c>
      <x:c r="J530" t="str">
        <x:v>Non</x:v>
      </x:c>
      <x:c r="K530" t="str">
        <x:v>Pièces décrites, murs, portes, niveaux et mobilier inspectables à l’échelle. Volumes réservés, raccord au seed, butin, rencontres et services de campagne restent à terminer.</x:v>
      </x:c>
    </x:row>
    <x:row r="531">
      <x:c r="A531" t="str">
        <x:v>EXT-MONDE-T011-V26</x:v>
      </x:c>
      <x:c r="B531" t="str">
        <x:v>EXT-MONDE-T011</x:v>
      </x:c>
      <x:c r="C531" t="str">
        <x:v>Offshore</x:v>
      </x:c>
      <x:c r="D531" t="str">
        <x:v>Navire de soutien offshore</x:v>
      </x:c>
      <x:c r="E531" t="n">
        <x:v>26</x:v>
      </x:c>
      <x:c r="F531" t="str">
        <x:v>Inspection physique</x:v>
      </x:c>
      <x:c r="G531" t="str">
        <x:v>4 niveaux ; 32 pièces ; 208 segments de mur ; 3 transitions. Inspection physique ; architecture complète encore ouverte.</x:v>
      </x:c>
      <x:c r="H531" t="str">
        <x:v>L 80 ; l 16,2 ; hauteur inconnue ; tirant 6,15 ; hauteur émergée auteur 11,75 m ; longueur/largeur/tirant sourcés ; hauteur totale réelle inconnue</x:v>
      </x:c>
      <x:c r="I531" t="str">
        <x:v>À équilibrer</x:v>
      </x:c>
      <x:c r="J531" t="str">
        <x:v>Non</x:v>
      </x:c>
      <x:c r="K531" t="str">
        <x:v>Pièces décrites, murs, portes, niveaux et mobilier inspectables à l’échelle. Volumes réservés, raccord au seed, butin, rencontres et services de campagne restent à terminer.</x:v>
      </x:c>
    </x:row>
    <x:row r="532">
      <x:c r="A532" t="str">
        <x:v>EXT-MONDE-T011-V27</x:v>
      </x:c>
      <x:c r="B532" t="str">
        <x:v>EXT-MONDE-T011</x:v>
      </x:c>
      <x:c r="C532" t="str">
        <x:v>Offshore</x:v>
      </x:c>
      <x:c r="D532" t="str">
        <x:v>Navire de soutien offshore</x:v>
      </x:c>
      <x:c r="E532" t="n">
        <x:v>27</x:v>
      </x:c>
      <x:c r="F532" t="str">
        <x:v>Inspection physique</x:v>
      </x:c>
      <x:c r="G532" t="str">
        <x:v>4 niveaux ; 32 pièces ; 208 segments de mur ; 3 transitions. Inspection physique ; architecture complète encore ouverte.</x:v>
      </x:c>
      <x:c r="H532" t="str">
        <x:v>L 80 ; l 16,2 ; hauteur inconnue ; tirant 6,15 ; hauteur émergée auteur 11,75 m ; longueur/largeur/tirant sourcés ; hauteur totale réelle inconnue</x:v>
      </x:c>
      <x:c r="I532" t="str">
        <x:v>À équilibrer</x:v>
      </x:c>
      <x:c r="J532" t="str">
        <x:v>Non</x:v>
      </x:c>
      <x:c r="K532" t="str">
        <x:v>Pièces décrites, murs, portes, niveaux et mobilier inspectables à l’échelle. Volumes réservés, raccord au seed, butin, rencontres et services de campagne restent à terminer.</x:v>
      </x:c>
    </x:row>
    <x:row r="533">
      <x:c r="A533" t="str">
        <x:v>EXT-MONDE-T011-V28</x:v>
      </x:c>
      <x:c r="B533" t="str">
        <x:v>EXT-MONDE-T011</x:v>
      </x:c>
      <x:c r="C533" t="str">
        <x:v>Offshore</x:v>
      </x:c>
      <x:c r="D533" t="str">
        <x:v>Navire de soutien offshore</x:v>
      </x:c>
      <x:c r="E533" t="n">
        <x:v>28</x:v>
      </x:c>
      <x:c r="F533" t="str">
        <x:v>Inspection physique</x:v>
      </x:c>
      <x:c r="G533" t="str">
        <x:v>4 niveaux ; 32 pièces ; 208 segments de mur ; 3 transitions. Inspection physique ; architecture complète encore ouverte.</x:v>
      </x:c>
      <x:c r="H533" t="str">
        <x:v>L 80 ; l 16,2 ; hauteur inconnue ; tirant 6,15 ; hauteur émergée auteur 11,75 m ; longueur/largeur/tirant sourcés ; hauteur totale réelle inconnue</x:v>
      </x:c>
      <x:c r="I533" t="str">
        <x:v>À équilibrer</x:v>
      </x:c>
      <x:c r="J533" t="str">
        <x:v>Non</x:v>
      </x:c>
      <x:c r="K533" t="str">
        <x:v>Pièces décrites, murs, portes, niveaux et mobilier inspectables à l’échelle. Volumes réservés, raccord au seed, butin, rencontres et services de campagne restent à terminer.</x:v>
      </x:c>
    </x:row>
    <x:row r="534">
      <x:c r="A534" t="str">
        <x:v>EXT-MONDE-T011-V29</x:v>
      </x:c>
      <x:c r="B534" t="str">
        <x:v>EXT-MONDE-T011</x:v>
      </x:c>
      <x:c r="C534" t="str">
        <x:v>Offshore</x:v>
      </x:c>
      <x:c r="D534" t="str">
        <x:v>Navire de soutien offshore</x:v>
      </x:c>
      <x:c r="E534" t="n">
        <x:v>29</x:v>
      </x:c>
      <x:c r="F534" t="str">
        <x:v>Inspection physique</x:v>
      </x:c>
      <x:c r="G534" t="str">
        <x:v>4 niveaux ; 32 pièces ; 208 segments de mur ; 3 transitions. Inspection physique ; architecture complète encore ouverte.</x:v>
      </x:c>
      <x:c r="H534" t="str">
        <x:v>L 80 ; l 16,2 ; hauteur inconnue ; tirant 6,15 ; hauteur émergée auteur 11,75 m ; longueur/largeur/tirant sourcés ; hauteur totale réelle inconnue</x:v>
      </x:c>
      <x:c r="I534" t="str">
        <x:v>À équilibrer</x:v>
      </x:c>
      <x:c r="J534" t="str">
        <x:v>Non</x:v>
      </x:c>
      <x:c r="K534" t="str">
        <x:v>Pièces décrites, murs, portes, niveaux et mobilier inspectables à l’échelle. Volumes réservés, raccord au seed, butin, rencontres et services de campagne restent à terminer.</x:v>
      </x:c>
    </x:row>
    <x:row r="535">
      <x:c r="A535" t="str">
        <x:v>EXT-MONDE-T011-V30</x:v>
      </x:c>
      <x:c r="B535" t="str">
        <x:v>EXT-MONDE-T011</x:v>
      </x:c>
      <x:c r="C535" t="str">
        <x:v>Offshore</x:v>
      </x:c>
      <x:c r="D535" t="str">
        <x:v>Navire de soutien offshore</x:v>
      </x:c>
      <x:c r="E535" t="n">
        <x:v>30</x:v>
      </x:c>
      <x:c r="F535" t="str">
        <x:v>Inspection physique</x:v>
      </x:c>
      <x:c r="G535" t="str">
        <x:v>4 niveaux ; 32 pièces ; 208 segments de mur ; 3 transitions. Inspection physique ; architecture complète encore ouverte.</x:v>
      </x:c>
      <x:c r="H535" t="str">
        <x:v>L 80 ; l 16,2 ; hauteur inconnue ; tirant 6,15 ; hauteur émergée auteur 11,75 m ; longueur/largeur/tirant sourcés ; hauteur totale réelle inconnue</x:v>
      </x:c>
      <x:c r="I535" t="str">
        <x:v>À équilibrer</x:v>
      </x:c>
      <x:c r="J535" t="str">
        <x:v>Non</x:v>
      </x:c>
      <x:c r="K535" t="str">
        <x:v>Pièces décrites, murs, portes, niveaux et mobilier inspectables à l’échelle. Volumes réservés, raccord au seed, butin, rencontres et services de campagne restent à terminer.</x:v>
      </x:c>
    </x:row>
    <x:row r="536">
      <x:c r="A536" t="str">
        <x:v>EXT-MONDE-T011-V31</x:v>
      </x:c>
      <x:c r="B536" t="str">
        <x:v>EXT-MONDE-T011</x:v>
      </x:c>
      <x:c r="C536" t="str">
        <x:v>Offshore</x:v>
      </x:c>
      <x:c r="D536" t="str">
        <x:v>Navire de soutien offshore</x:v>
      </x:c>
      <x:c r="E536" t="n">
        <x:v>31</x:v>
      </x:c>
      <x:c r="F536" t="str">
        <x:v>Inspection physique</x:v>
      </x:c>
      <x:c r="G536" t="str">
        <x:v>4 niveaux ; 40 pièces ; 256 segments de mur ; 3 transitions. Inspection physique ; architecture complète encore ouverte.</x:v>
      </x:c>
      <x:c r="H536" t="str">
        <x:v>L 80 ; l 16,2 ; hauteur inconnue ; tirant 6,15 ; hauteur émergée auteur 11,75 m ; longueur/largeur/tirant sourcés ; hauteur totale réelle inconnue</x:v>
      </x:c>
      <x:c r="I536" t="str">
        <x:v>À équilibrer</x:v>
      </x:c>
      <x:c r="J536" t="str">
        <x:v>Non</x:v>
      </x:c>
      <x:c r="K536" t="str">
        <x:v>Pièces décrites, murs, portes, niveaux et mobilier inspectables à l’échelle. Volumes réservés, raccord au seed, butin, rencontres et services de campagne restent à terminer.</x:v>
      </x:c>
    </x:row>
    <x:row r="537">
      <x:c r="A537" t="str">
        <x:v>EXT-MONDE-T011-V32</x:v>
      </x:c>
      <x:c r="B537" t="str">
        <x:v>EXT-MONDE-T011</x:v>
      </x:c>
      <x:c r="C537" t="str">
        <x:v>Offshore</x:v>
      </x:c>
      <x:c r="D537" t="str">
        <x:v>Navire de soutien offshore</x:v>
      </x:c>
      <x:c r="E537" t="n">
        <x:v>32</x:v>
      </x:c>
      <x:c r="F537" t="str">
        <x:v>Inspection physique</x:v>
      </x:c>
      <x:c r="G537" t="str">
        <x:v>4 niveaux ; 40 pièces ; 256 segments de mur ; 3 transitions. Inspection physique ; architecture complète encore ouverte.</x:v>
      </x:c>
      <x:c r="H537" t="str">
        <x:v>L 80 ; l 16,2 ; hauteur inconnue ; tirant 6,15 ; hauteur émergée auteur 11,75 m ; longueur/largeur/tirant sourcés ; hauteur totale réelle inconnue</x:v>
      </x:c>
      <x:c r="I537" t="str">
        <x:v>À équilibrer</x:v>
      </x:c>
      <x:c r="J537" t="str">
        <x:v>Non</x:v>
      </x:c>
      <x:c r="K537" t="str">
        <x:v>Pièces décrites, murs, portes, niveaux et mobilier inspectables à l’échelle. Volumes réservés, raccord au seed, butin, rencontres et services de campagne restent à terminer.</x:v>
      </x:c>
    </x:row>
    <x:row r="538">
      <x:c r="A538" t="str">
        <x:v>EXT-MONDE-T011-V33</x:v>
      </x:c>
      <x:c r="B538" t="str">
        <x:v>EXT-MONDE-T011</x:v>
      </x:c>
      <x:c r="C538" t="str">
        <x:v>Offshore</x:v>
      </x:c>
      <x:c r="D538" t="str">
        <x:v>Navire de soutien offshore</x:v>
      </x:c>
      <x:c r="E538" t="n">
        <x:v>33</x:v>
      </x:c>
      <x:c r="F538" t="str">
        <x:v>Inspection physique</x:v>
      </x:c>
      <x:c r="G538" t="str">
        <x:v>4 niveaux ; 40 pièces ; 256 segments de mur ; 3 transitions. Inspection physique ; architecture complète encore ouverte.</x:v>
      </x:c>
      <x:c r="H538" t="str">
        <x:v>L 80 ; l 16,2 ; hauteur inconnue ; tirant 6,15 ; hauteur émergée auteur 11,75 m ; longueur/largeur/tirant sourcés ; hauteur totale réelle inconnue</x:v>
      </x:c>
      <x:c r="I538" t="str">
        <x:v>À équilibrer</x:v>
      </x:c>
      <x:c r="J538" t="str">
        <x:v>Non</x:v>
      </x:c>
      <x:c r="K538" t="str">
        <x:v>Pièces décrites, murs, portes, niveaux et mobilier inspectables à l’échelle. Volumes réservés, raccord au seed, butin, rencontres et services de campagne restent à terminer.</x:v>
      </x:c>
    </x:row>
    <x:row r="539">
      <x:c r="A539" t="str">
        <x:v>EXT-MONDE-T011-V34</x:v>
      </x:c>
      <x:c r="B539" t="str">
        <x:v>EXT-MONDE-T011</x:v>
      </x:c>
      <x:c r="C539" t="str">
        <x:v>Offshore</x:v>
      </x:c>
      <x:c r="D539" t="str">
        <x:v>Navire de soutien offshore</x:v>
      </x:c>
      <x:c r="E539" t="n">
        <x:v>34</x:v>
      </x:c>
      <x:c r="F539" t="str">
        <x:v>Inspection physique</x:v>
      </x:c>
      <x:c r="G539" t="str">
        <x:v>4 niveaux ; 40 pièces ; 256 segments de mur ; 3 transitions. Inspection physique ; architecture complète encore ouverte.</x:v>
      </x:c>
      <x:c r="H539" t="str">
        <x:v>L 80 ; l 16,2 ; hauteur inconnue ; tirant 6,15 ; hauteur émergée auteur 11,75 m ; longueur/largeur/tirant sourcés ; hauteur totale réelle inconnue</x:v>
      </x:c>
      <x:c r="I539" t="str">
        <x:v>À équilibrer</x:v>
      </x:c>
      <x:c r="J539" t="str">
        <x:v>Non</x:v>
      </x:c>
      <x:c r="K539" t="str">
        <x:v>Pièces décrites, murs, portes, niveaux et mobilier inspectables à l’échelle. Volumes réservés, raccord au seed, butin, rencontres et services de campagne restent à terminer.</x:v>
      </x:c>
    </x:row>
    <x:row r="540">
      <x:c r="A540" t="str">
        <x:v>EXT-MONDE-T011-V35</x:v>
      </x:c>
      <x:c r="B540" t="str">
        <x:v>EXT-MONDE-T011</x:v>
      </x:c>
      <x:c r="C540" t="str">
        <x:v>Offshore</x:v>
      </x:c>
      <x:c r="D540" t="str">
        <x:v>Navire de soutien offshore</x:v>
      </x:c>
      <x:c r="E540" t="n">
        <x:v>35</x:v>
      </x:c>
      <x:c r="F540" t="str">
        <x:v>Inspection physique</x:v>
      </x:c>
      <x:c r="G540" t="str">
        <x:v>4 niveaux ; 40 pièces ; 256 segments de mur ; 3 transitions. Inspection physique ; architecture complète encore ouverte.</x:v>
      </x:c>
      <x:c r="H540" t="str">
        <x:v>L 80 ; l 16,2 ; hauteur inconnue ; tirant 6,15 ; hauteur émergée auteur 11,75 m ; longueur/largeur/tirant sourcés ; hauteur totale réelle inconnue</x:v>
      </x:c>
      <x:c r="I540" t="str">
        <x:v>À équilibrer</x:v>
      </x:c>
      <x:c r="J540" t="str">
        <x:v>Non</x:v>
      </x:c>
      <x:c r="K540" t="str">
        <x:v>Pièces décrites, murs, portes, niveaux et mobilier inspectables à l’échelle. Volumes réservés, raccord au seed, butin, rencontres et services de campagne restent à terminer.</x:v>
      </x:c>
    </x:row>
    <x:row r="541">
      <x:c r="A541" t="str">
        <x:v>EXT-MONDE-T011-V36</x:v>
      </x:c>
      <x:c r="B541" t="str">
        <x:v>EXT-MONDE-T011</x:v>
      </x:c>
      <x:c r="C541" t="str">
        <x:v>Offshore</x:v>
      </x:c>
      <x:c r="D541" t="str">
        <x:v>Navire de soutien offshore</x:v>
      </x:c>
      <x:c r="E541" t="n">
        <x:v>36</x:v>
      </x:c>
      <x:c r="F541" t="str">
        <x:v>Inspection physique</x:v>
      </x:c>
      <x:c r="G541" t="str">
        <x:v>4 niveaux ; 40 pièces ; 256 segments de mur ; 3 transitions. Inspection physique ; architecture complète encore ouverte.</x:v>
      </x:c>
      <x:c r="H541" t="str">
        <x:v>L 80 ; l 16,2 ; hauteur inconnue ; tirant 6,15 ; hauteur émergée auteur 11,75 m ; longueur/largeur/tirant sourcés ; hauteur totale réelle inconnue</x:v>
      </x:c>
      <x:c r="I541" t="str">
        <x:v>À équilibrer</x:v>
      </x:c>
      <x:c r="J541" t="str">
        <x:v>Non</x:v>
      </x:c>
      <x:c r="K541" t="str">
        <x:v>Pièces décrites, murs, portes, niveaux et mobilier inspectables à l’échelle. Volumes réservés, raccord au seed, butin, rencontres et services de campagne restent à terminer.</x:v>
      </x:c>
    </x:row>
    <x:row r="542">
      <x:c r="A542" t="str">
        <x:v>EXT-MONDE-T011-V37</x:v>
      </x:c>
      <x:c r="B542" t="str">
        <x:v>EXT-MONDE-T011</x:v>
      </x:c>
      <x:c r="C542" t="str">
        <x:v>Offshore</x:v>
      </x:c>
      <x:c r="D542" t="str">
        <x:v>Navire de soutien offshore</x:v>
      </x:c>
      <x:c r="E542" t="n">
        <x:v>37</x:v>
      </x:c>
      <x:c r="F542" t="str">
        <x:v>Inspection physique</x:v>
      </x:c>
      <x:c r="G542" t="str">
        <x:v>4 niveaux ; 40 pièces ; 256 segments de mur ; 3 transitions. Inspection physique ; architecture complète encore ouverte.</x:v>
      </x:c>
      <x:c r="H542" t="str">
        <x:v>L 80 ; l 16,2 ; hauteur inconnue ; tirant 6,15 ; hauteur émergée auteur 11,75 m ; longueur/largeur/tirant sourcés ; hauteur totale réelle inconnue</x:v>
      </x:c>
      <x:c r="I542" t="str">
        <x:v>À équilibrer</x:v>
      </x:c>
      <x:c r="J542" t="str">
        <x:v>Non</x:v>
      </x:c>
      <x:c r="K542" t="str">
        <x:v>Pièces décrites, murs, portes, niveaux et mobilier inspectables à l’échelle. Volumes réservés, raccord au seed, butin, rencontres et services de campagne restent à terminer.</x:v>
      </x:c>
    </x:row>
    <x:row r="543">
      <x:c r="A543" t="str">
        <x:v>EXT-MONDE-T011-V38</x:v>
      </x:c>
      <x:c r="B543" t="str">
        <x:v>EXT-MONDE-T011</x:v>
      </x:c>
      <x:c r="C543" t="str">
        <x:v>Offshore</x:v>
      </x:c>
      <x:c r="D543" t="str">
        <x:v>Navire de soutien offshore</x:v>
      </x:c>
      <x:c r="E543" t="n">
        <x:v>38</x:v>
      </x:c>
      <x:c r="F543" t="str">
        <x:v>Inspection physique</x:v>
      </x:c>
      <x:c r="G543" t="str">
        <x:v>4 niveaux ; 40 pièces ; 256 segments de mur ; 3 transitions. Inspection physique ; architecture complète encore ouverte.</x:v>
      </x:c>
      <x:c r="H543" t="str">
        <x:v>L 80 ; l 16,2 ; hauteur inconnue ; tirant 6,15 ; hauteur émergée auteur 11,75 m ; longueur/largeur/tirant sourcés ; hauteur totale réelle inconnue</x:v>
      </x:c>
      <x:c r="I543" t="str">
        <x:v>À équilibrer</x:v>
      </x:c>
      <x:c r="J543" t="str">
        <x:v>Non</x:v>
      </x:c>
      <x:c r="K543" t="str">
        <x:v>Pièces décrites, murs, portes, niveaux et mobilier inspectables à l’échelle. Volumes réservés, raccord au seed, butin, rencontres et services de campagne restent à terminer.</x:v>
      </x:c>
    </x:row>
    <x:row r="544">
      <x:c r="A544" t="str">
        <x:v>EXT-MONDE-T011-V39</x:v>
      </x:c>
      <x:c r="B544" t="str">
        <x:v>EXT-MONDE-T011</x:v>
      </x:c>
      <x:c r="C544" t="str">
        <x:v>Offshore</x:v>
      </x:c>
      <x:c r="D544" t="str">
        <x:v>Navire de soutien offshore</x:v>
      </x:c>
      <x:c r="E544" t="n">
        <x:v>39</x:v>
      </x:c>
      <x:c r="F544" t="str">
        <x:v>Inspection physique</x:v>
      </x:c>
      <x:c r="G544" t="str">
        <x:v>4 niveaux ; 40 pièces ; 256 segments de mur ; 3 transitions. Inspection physique ; architecture complète encore ouverte.</x:v>
      </x:c>
      <x:c r="H544" t="str">
        <x:v>L 80 ; l 16,2 ; hauteur inconnue ; tirant 6,15 ; hauteur émergée auteur 11,75 m ; longueur/largeur/tirant sourcés ; hauteur totale réelle inconnue</x:v>
      </x:c>
      <x:c r="I544" t="str">
        <x:v>À équilibrer</x:v>
      </x:c>
      <x:c r="J544" t="str">
        <x:v>Non</x:v>
      </x:c>
      <x:c r="K544" t="str">
        <x:v>Pièces décrites, murs, portes, niveaux et mobilier inspectables à l’échelle. Volumes réservés, raccord au seed, butin, rencontres et services de campagne restent à terminer.</x:v>
      </x:c>
    </x:row>
    <x:row r="545">
      <x:c r="A545" t="str">
        <x:v>EXT-MONDE-T011-V40</x:v>
      </x:c>
      <x:c r="B545" t="str">
        <x:v>EXT-MONDE-T011</x:v>
      </x:c>
      <x:c r="C545" t="str">
        <x:v>Offshore</x:v>
      </x:c>
      <x:c r="D545" t="str">
        <x:v>Navire de soutien offshore</x:v>
      </x:c>
      <x:c r="E545" t="n">
        <x:v>40</x:v>
      </x:c>
      <x:c r="F545" t="str">
        <x:v>Inspection physique</x:v>
      </x:c>
      <x:c r="G545" t="str">
        <x:v>4 niveaux ; 40 pièces ; 256 segments de mur ; 3 transitions. Inspection physique ; architecture complète encore ouverte.</x:v>
      </x:c>
      <x:c r="H545" t="str">
        <x:v>L 80 ; l 16,2 ; hauteur inconnue ; tirant 6,15 ; hauteur émergée auteur 11,75 m ; longueur/largeur/tirant sourcés ; hauteur totale réelle inconnue</x:v>
      </x:c>
      <x:c r="I545" t="str">
        <x:v>À équilibrer</x:v>
      </x:c>
      <x:c r="J545" t="str">
        <x:v>Non</x:v>
      </x:c>
      <x:c r="K545" t="str">
        <x:v>Pièces décrites, murs, portes, niveaux et mobilier inspectables à l’échelle. Volumes réservés, raccord au seed, butin, rencontres et services de campagne restent à terminer.</x:v>
      </x:c>
    </x:row>
    <x:row r="546">
      <x:c r="A546" t="str">
        <x:v>EXT-MONDE-T011-V41</x:v>
      </x:c>
      <x:c r="B546" t="str">
        <x:v>EXT-MONDE-T011</x:v>
      </x:c>
      <x:c r="C546" t="str">
        <x:v>Offshore</x:v>
      </x:c>
      <x:c r="D546" t="str">
        <x:v>Navire de soutien offshore</x:v>
      </x:c>
      <x:c r="E546" t="n">
        <x:v>41</x:v>
      </x:c>
      <x:c r="F546" t="str">
        <x:v>Inspection physique</x:v>
      </x:c>
      <x:c r="G546" t="str">
        <x:v>4 niveaux ; 48 pièces ; 304 segments de mur ; 3 transitions. Inspection physique ; architecture complète encore ouverte.</x:v>
      </x:c>
      <x:c r="H546" t="str">
        <x:v>L 80 ; l 16,2 ; hauteur inconnue ; tirant 6,15 ; hauteur émergée auteur 11,75 m ; longueur/largeur/tirant sourcés ; hauteur totale réelle inconnue</x:v>
      </x:c>
      <x:c r="I546" t="str">
        <x:v>À équilibrer</x:v>
      </x:c>
      <x:c r="J546" t="str">
        <x:v>Non</x:v>
      </x:c>
      <x:c r="K546" t="str">
        <x:v>Pièces décrites, murs, portes, niveaux et mobilier inspectables à l’échelle. Volumes réservés, raccord au seed, butin, rencontres et services de campagne restent à terminer.</x:v>
      </x:c>
    </x:row>
    <x:row r="547">
      <x:c r="A547" t="str">
        <x:v>EXT-MONDE-T011-V42</x:v>
      </x:c>
      <x:c r="B547" t="str">
        <x:v>EXT-MONDE-T011</x:v>
      </x:c>
      <x:c r="C547" t="str">
        <x:v>Offshore</x:v>
      </x:c>
      <x:c r="D547" t="str">
        <x:v>Navire de soutien offshore</x:v>
      </x:c>
      <x:c r="E547" t="n">
        <x:v>42</x:v>
      </x:c>
      <x:c r="F547" t="str">
        <x:v>Inspection physique</x:v>
      </x:c>
      <x:c r="G547" t="str">
        <x:v>4 niveaux ; 48 pièces ; 304 segments de mur ; 3 transitions. Inspection physique ; architecture complète encore ouverte.</x:v>
      </x:c>
      <x:c r="H547" t="str">
        <x:v>L 80 ; l 16,2 ; hauteur inconnue ; tirant 6,15 ; hauteur émergée auteur 11,75 m ; longueur/largeur/tirant sourcés ; hauteur totale réelle inconnue</x:v>
      </x:c>
      <x:c r="I547" t="str">
        <x:v>À équilibrer</x:v>
      </x:c>
      <x:c r="J547" t="str">
        <x:v>Non</x:v>
      </x:c>
      <x:c r="K547" t="str">
        <x:v>Pièces décrites, murs, portes, niveaux et mobilier inspectables à l’échelle. Volumes réservés, raccord au seed, butin, rencontres et services de campagne restent à terminer.</x:v>
      </x:c>
    </x:row>
    <x:row r="548">
      <x:c r="A548" t="str">
        <x:v>EXT-MONDE-T011-V43</x:v>
      </x:c>
      <x:c r="B548" t="str">
        <x:v>EXT-MONDE-T011</x:v>
      </x:c>
      <x:c r="C548" t="str">
        <x:v>Offshore</x:v>
      </x:c>
      <x:c r="D548" t="str">
        <x:v>Navire de soutien offshore</x:v>
      </x:c>
      <x:c r="E548" t="n">
        <x:v>43</x:v>
      </x:c>
      <x:c r="F548" t="str">
        <x:v>Inspection physique</x:v>
      </x:c>
      <x:c r="G548" t="str">
        <x:v>4 niveaux ; 48 pièces ; 304 segments de mur ; 3 transitions. Inspection physique ; architecture complète encore ouverte.</x:v>
      </x:c>
      <x:c r="H548" t="str">
        <x:v>L 80 ; l 16,2 ; hauteur inconnue ; tirant 6,15 ; hauteur émergée auteur 11,75 m ; longueur/largeur/tirant sourcés ; hauteur totale réelle inconnue</x:v>
      </x:c>
      <x:c r="I548" t="str">
        <x:v>À équilibrer</x:v>
      </x:c>
      <x:c r="J548" t="str">
        <x:v>Non</x:v>
      </x:c>
      <x:c r="K548" t="str">
        <x:v>Pièces décrites, murs, portes, niveaux et mobilier inspectables à l’échelle. Volumes réservés, raccord au seed, butin, rencontres et services de campagne restent à terminer.</x:v>
      </x:c>
    </x:row>
    <x:row r="549">
      <x:c r="A549" t="str">
        <x:v>EXT-MONDE-T011-V44</x:v>
      </x:c>
      <x:c r="B549" t="str">
        <x:v>EXT-MONDE-T011</x:v>
      </x:c>
      <x:c r="C549" t="str">
        <x:v>Offshore</x:v>
      </x:c>
      <x:c r="D549" t="str">
        <x:v>Navire de soutien offshore</x:v>
      </x:c>
      <x:c r="E549" t="n">
        <x:v>44</x:v>
      </x:c>
      <x:c r="F549" t="str">
        <x:v>Inspection physique</x:v>
      </x:c>
      <x:c r="G549" t="str">
        <x:v>4 niveaux ; 48 pièces ; 304 segments de mur ; 3 transitions. Inspection physique ; architecture complète encore ouverte.</x:v>
      </x:c>
      <x:c r="H549" t="str">
        <x:v>L 80 ; l 16,2 ; hauteur inconnue ; tirant 6,15 ; hauteur émergée auteur 11,75 m ; longueur/largeur/tirant sourcés ; hauteur totale réelle inconnue</x:v>
      </x:c>
      <x:c r="I549" t="str">
        <x:v>À équilibrer</x:v>
      </x:c>
      <x:c r="J549" t="str">
        <x:v>Non</x:v>
      </x:c>
      <x:c r="K549" t="str">
        <x:v>Pièces décrites, murs, portes, niveaux et mobilier inspectables à l’échelle. Volumes réservés, raccord au seed, butin, rencontres et services de campagne restent à terminer.</x:v>
      </x:c>
    </x:row>
    <x:row r="550">
      <x:c r="A550" t="str">
        <x:v>EXT-MONDE-T011-V45</x:v>
      </x:c>
      <x:c r="B550" t="str">
        <x:v>EXT-MONDE-T011</x:v>
      </x:c>
      <x:c r="C550" t="str">
        <x:v>Offshore</x:v>
      </x:c>
      <x:c r="D550" t="str">
        <x:v>Navire de soutien offshore</x:v>
      </x:c>
      <x:c r="E550" t="n">
        <x:v>45</x:v>
      </x:c>
      <x:c r="F550" t="str">
        <x:v>Inspection physique</x:v>
      </x:c>
      <x:c r="G550" t="str">
        <x:v>4 niveaux ; 48 pièces ; 304 segments de mur ; 3 transitions. Inspection physique ; architecture complète encore ouverte.</x:v>
      </x:c>
      <x:c r="H550" t="str">
        <x:v>L 80 ; l 16,2 ; hauteur inconnue ; tirant 6,15 ; hauteur émergée auteur 11,75 m ; longueur/largeur/tirant sourcés ; hauteur totale réelle inconnue</x:v>
      </x:c>
      <x:c r="I550" t="str">
        <x:v>À équilibrer</x:v>
      </x:c>
      <x:c r="J550" t="str">
        <x:v>Non</x:v>
      </x:c>
      <x:c r="K550" t="str">
        <x:v>Pièces décrites, murs, portes, niveaux et mobilier inspectables à l’échelle. Volumes réservés, raccord au seed, butin, rencontres et services de campagne restent à terminer.</x:v>
      </x:c>
    </x:row>
    <x:row r="551">
      <x:c r="A551" t="str">
        <x:v>EXT-MONDE-T011-V46</x:v>
      </x:c>
      <x:c r="B551" t="str">
        <x:v>EXT-MONDE-T011</x:v>
      </x:c>
      <x:c r="C551" t="str">
        <x:v>Offshore</x:v>
      </x:c>
      <x:c r="D551" t="str">
        <x:v>Navire de soutien offshore</x:v>
      </x:c>
      <x:c r="E551" t="n">
        <x:v>46</x:v>
      </x:c>
      <x:c r="F551" t="str">
        <x:v>Inspection physique</x:v>
      </x:c>
      <x:c r="G551" t="str">
        <x:v>4 niveaux ; 48 pièces ; 304 segments de mur ; 3 transitions. Inspection physique ; architecture complète encore ouverte.</x:v>
      </x:c>
      <x:c r="H551" t="str">
        <x:v>L 80 ; l 16,2 ; hauteur inconnue ; tirant 6,15 ; hauteur émergée auteur 11,75 m ; longueur/largeur/tirant sourcés ; hauteur totale réelle inconnue</x:v>
      </x:c>
      <x:c r="I551" t="str">
        <x:v>À équilibrer</x:v>
      </x:c>
      <x:c r="J551" t="str">
        <x:v>Non</x:v>
      </x:c>
      <x:c r="K551" t="str">
        <x:v>Pièces décrites, murs, portes, niveaux et mobilier inspectables à l’échelle. Volumes réservés, raccord au seed, butin, rencontres et services de campagne restent à terminer.</x:v>
      </x:c>
    </x:row>
    <x:row r="552">
      <x:c r="A552" t="str">
        <x:v>EXT-MONDE-T011-V47</x:v>
      </x:c>
      <x:c r="B552" t="str">
        <x:v>EXT-MONDE-T011</x:v>
      </x:c>
      <x:c r="C552" t="str">
        <x:v>Offshore</x:v>
      </x:c>
      <x:c r="D552" t="str">
        <x:v>Navire de soutien offshore</x:v>
      </x:c>
      <x:c r="E552" t="n">
        <x:v>47</x:v>
      </x:c>
      <x:c r="F552" t="str">
        <x:v>Inspection physique</x:v>
      </x:c>
      <x:c r="G552" t="str">
        <x:v>4 niveaux ; 48 pièces ; 304 segments de mur ; 3 transitions. Inspection physique ; architecture complète encore ouverte.</x:v>
      </x:c>
      <x:c r="H552" t="str">
        <x:v>L 80 ; l 16,2 ; hauteur inconnue ; tirant 6,15 ; hauteur émergée auteur 11,75 m ; longueur/largeur/tirant sourcés ; hauteur totale réelle inconnue</x:v>
      </x:c>
      <x:c r="I552" t="str">
        <x:v>À équilibrer</x:v>
      </x:c>
      <x:c r="J552" t="str">
        <x:v>Non</x:v>
      </x:c>
      <x:c r="K552" t="str">
        <x:v>Pièces décrites, murs, portes, niveaux et mobilier inspectables à l’échelle. Volumes réservés, raccord au seed, butin, rencontres et services de campagne restent à terminer.</x:v>
      </x:c>
    </x:row>
    <x:row r="553">
      <x:c r="A553" t="str">
        <x:v>EXT-MONDE-T011-V48</x:v>
      </x:c>
      <x:c r="B553" t="str">
        <x:v>EXT-MONDE-T011</x:v>
      </x:c>
      <x:c r="C553" t="str">
        <x:v>Offshore</x:v>
      </x:c>
      <x:c r="D553" t="str">
        <x:v>Navire de soutien offshore</x:v>
      </x:c>
      <x:c r="E553" t="n">
        <x:v>48</x:v>
      </x:c>
      <x:c r="F553" t="str">
        <x:v>Inspection physique</x:v>
      </x:c>
      <x:c r="G553" t="str">
        <x:v>4 niveaux ; 48 pièces ; 304 segments de mur ; 3 transitions. Inspection physique ; architecture complète encore ouverte.</x:v>
      </x:c>
      <x:c r="H553" t="str">
        <x:v>L 80 ; l 16,2 ; hauteur inconnue ; tirant 6,15 ; hauteur émergée auteur 11,75 m ; longueur/largeur/tirant sourcés ; hauteur totale réelle inconnue</x:v>
      </x:c>
      <x:c r="I553" t="str">
        <x:v>À équilibrer</x:v>
      </x:c>
      <x:c r="J553" t="str">
        <x:v>Non</x:v>
      </x:c>
      <x:c r="K553" t="str">
        <x:v>Pièces décrites, murs, portes, niveaux et mobilier inspectables à l’échelle. Volumes réservés, raccord au seed, butin, rencontres et services de campagne restent à terminer.</x:v>
      </x:c>
    </x:row>
    <x:row r="554">
      <x:c r="A554" t="str">
        <x:v>EXT-MONDE-T011-V49</x:v>
      </x:c>
      <x:c r="B554" t="str">
        <x:v>EXT-MONDE-T011</x:v>
      </x:c>
      <x:c r="C554" t="str">
        <x:v>Offshore</x:v>
      </x:c>
      <x:c r="D554" t="str">
        <x:v>Navire de soutien offshore</x:v>
      </x:c>
      <x:c r="E554" t="n">
        <x:v>49</x:v>
      </x:c>
      <x:c r="F554" t="str">
        <x:v>Inspection physique</x:v>
      </x:c>
      <x:c r="G554" t="str">
        <x:v>4 niveaux ; 48 pièces ; 304 segments de mur ; 3 transitions. Inspection physique ; architecture complète encore ouverte.</x:v>
      </x:c>
      <x:c r="H554" t="str">
        <x:v>L 80 ; l 16,2 ; hauteur inconnue ; tirant 6,15 ; hauteur émergée auteur 11,75 m ; longueur/largeur/tirant sourcés ; hauteur totale réelle inconnue</x:v>
      </x:c>
      <x:c r="I554" t="str">
        <x:v>À équilibrer</x:v>
      </x:c>
      <x:c r="J554" t="str">
        <x:v>Non</x:v>
      </x:c>
      <x:c r="K554" t="str">
        <x:v>Pièces décrites, murs, portes, niveaux et mobilier inspectables à l’échelle. Volumes réservés, raccord au seed, butin, rencontres et services de campagne restent à terminer.</x:v>
      </x:c>
    </x:row>
    <x:row r="555">
      <x:c r="A555" t="str">
        <x:v>EXT-MONDE-T011-V50</x:v>
      </x:c>
      <x:c r="B555" t="str">
        <x:v>EXT-MONDE-T011</x:v>
      </x:c>
      <x:c r="C555" t="str">
        <x:v>Offshore</x:v>
      </x:c>
      <x:c r="D555" t="str">
        <x:v>Navire de soutien offshore</x:v>
      </x:c>
      <x:c r="E555" t="n">
        <x:v>50</x:v>
      </x:c>
      <x:c r="F555" t="str">
        <x:v>Inspection physique</x:v>
      </x:c>
      <x:c r="G555" t="str">
        <x:v>4 niveaux ; 48 pièces ; 304 segments de mur ; 3 transitions. Inspection physique ; architecture complète encore ouverte.</x:v>
      </x:c>
      <x:c r="H555" t="str">
        <x:v>L 80 ; l 16,2 ; hauteur inconnue ; tirant 6,15 ; hauteur émergée auteur 11,75 m ; longueur/largeur/tirant sourcés ; hauteur totale réelle inconnue</x:v>
      </x:c>
      <x:c r="I555" t="str">
        <x:v>À équilibrer</x:v>
      </x:c>
      <x:c r="J555" t="str">
        <x:v>Non</x:v>
      </x:c>
      <x:c r="K555" t="str">
        <x:v>Pièces décrites, murs, portes, niveaux et mobilier inspectables à l’échelle. Volumes réservés, raccord au seed, butin, rencontres et services de campagne restent à terminer.</x:v>
      </x:c>
    </x:row>
    <x:row r="556" ht="96" customHeight="1">
      <x:c r="A556" s="115" t="str">
        <x:v>EXT-MONDE-T012-V01</x:v>
      </x:c>
      <x:c r="B556" s="115" t="str">
        <x:v>EXT-MONDE-T012</x:v>
      </x:c>
      <x:c r="C556" s="115" t="str">
        <x:v>Offshore</x:v>
      </x:c>
      <x:c r="D556" s="115" t="str">
        <x:v>Station scientifique marine</x:v>
      </x:c>
      <x:c r="E556" s="115" t="n">
        <x:v>1</x:v>
      </x:c>
      <x:c r="F556" s="115" t="str">
        <x:v>Inspection physique</x:v>
      </x:c>
      <x:c r="G556" s="115" t="str">
        <x:v>1 niveaux ; 34 pièces ; 260 segments de mur ; 0 transitions. Inspection physique ; architecture complète encore ouverte.</x:v>
      </x:c>
      <x:c r="H556" s="115" t="str">
        <x:v>L 356 ; l 296 ; hauteur 26 m ; choix de composition auteur ; dimensions réelles à documenter</x:v>
      </x:c>
      <x:c r="I556" s="115" t="str">
        <x:v>À équilibrer</x:v>
      </x:c>
      <x:c r="J556" s="115" t="str">
        <x:v>Non</x:v>
      </x:c>
      <x:c r="K556" s="115" t="str">
        <x:v>Pièces décrites, murs, portes, niveaux et mobilier inspectables à l’échelle. Volumes réservés, raccord au seed, butin, rencontres et services de campagne restent à terminer.</x:v>
      </x:c>
    </x:row>
    <x:row r="557" ht="96" customHeight="1">
      <x:c r="A557" s="115" t="str">
        <x:v>EXT-MONDE-T012-V02</x:v>
      </x:c>
      <x:c r="B557" s="115" t="str">
        <x:v>EXT-MONDE-T012</x:v>
      </x:c>
      <x:c r="C557" s="115" t="str">
        <x:v>Offshore</x:v>
      </x:c>
      <x:c r="D557" s="115" t="str">
        <x:v>Station scientifique marine</x:v>
      </x:c>
      <x:c r="E557" s="115" t="n">
        <x:v>2</x:v>
      </x:c>
      <x:c r="F557" s="115" t="str">
        <x:v>Inspection physique</x:v>
      </x:c>
      <x:c r="G557" s="115" t="str">
        <x:v>1 niveaux ; 34 pièces ; 260 segments de mur ; 0 transitions. Inspection physique ; architecture complète encore ouverte.</x:v>
      </x:c>
      <x:c r="H557" s="115" t="str">
        <x:v>L 356 ; l 296 ; hauteur 26 m ; choix de composition auteur ; dimensions réelles à documenter</x:v>
      </x:c>
      <x:c r="I557" s="115" t="str">
        <x:v>À équilibrer</x:v>
      </x:c>
      <x:c r="J557" s="115" t="str">
        <x:v>Non</x:v>
      </x:c>
      <x:c r="K557" s="115" t="str">
        <x:v>Pièces décrites, murs, portes, niveaux et mobilier inspectables à l’échelle. Volumes réservés, raccord au seed, butin, rencontres et services de campagne restent à terminer.</x:v>
      </x:c>
    </x:row>
    <x:row r="558" ht="96" customHeight="1">
      <x:c r="A558" s="115" t="str">
        <x:v>EXT-MONDE-T012-V03</x:v>
      </x:c>
      <x:c r="B558" s="115" t="str">
        <x:v>EXT-MONDE-T012</x:v>
      </x:c>
      <x:c r="C558" s="115" t="str">
        <x:v>Offshore</x:v>
      </x:c>
      <x:c r="D558" s="115" t="str">
        <x:v>Station scientifique marine</x:v>
      </x:c>
      <x:c r="E558" s="115" t="n">
        <x:v>3</x:v>
      </x:c>
      <x:c r="F558" s="115" t="str">
        <x:v>Inspection physique</x:v>
      </x:c>
      <x:c r="G558" s="115" t="str">
        <x:v>1 niveaux ; 34 pièces ; 260 segments de mur ; 0 transitions. Inspection physique ; architecture complète encore ouverte.</x:v>
      </x:c>
      <x:c r="H558" s="115" t="str">
        <x:v>L 356 ; l 296 ; hauteur 26 m ; choix de composition auteur ; dimensions réelles à documenter</x:v>
      </x:c>
      <x:c r="I558" s="115" t="str">
        <x:v>À équilibrer</x:v>
      </x:c>
      <x:c r="J558" s="115" t="str">
        <x:v>Non</x:v>
      </x:c>
      <x:c r="K558" s="115" t="str">
        <x:v>Pièces décrites, murs, portes, niveaux et mobilier inspectables à l’échelle. Volumes réservés, raccord au seed, butin, rencontres et services de campagne restent à terminer.</x:v>
      </x:c>
    </x:row>
    <x:row r="559" ht="96" customHeight="1">
      <x:c r="A559" s="115" t="str">
        <x:v>EXT-MONDE-T012-V04</x:v>
      </x:c>
      <x:c r="B559" s="115" t="str">
        <x:v>EXT-MONDE-T012</x:v>
      </x:c>
      <x:c r="C559" s="115" t="str">
        <x:v>Offshore</x:v>
      </x:c>
      <x:c r="D559" s="115" t="str">
        <x:v>Station scientifique marine</x:v>
      </x:c>
      <x:c r="E559" s="115" t="n">
        <x:v>4</x:v>
      </x:c>
      <x:c r="F559" s="115" t="str">
        <x:v>Inspection physique</x:v>
      </x:c>
      <x:c r="G559" s="115" t="str">
        <x:v>1 niveaux ; 34 pièces ; 260 segments de mur ; 0 transitions. Inspection physique ; architecture complète encore ouverte.</x:v>
      </x:c>
      <x:c r="H559" s="115" t="str">
        <x:v>L 356 ; l 296 ; hauteur 26 m ; choix de composition auteur ; dimensions réelles à documenter</x:v>
      </x:c>
      <x:c r="I559" s="115" t="str">
        <x:v>À équilibrer</x:v>
      </x:c>
      <x:c r="J559" s="115" t="str">
        <x:v>Non</x:v>
      </x:c>
      <x:c r="K559" s="115" t="str">
        <x:v>Pièces décrites, murs, portes, niveaux et mobilier inspectables à l’échelle. Volumes réservés, raccord au seed, butin, rencontres et services de campagne restent à terminer.</x:v>
      </x:c>
    </x:row>
    <x:row r="560" ht="96" customHeight="1">
      <x:c r="A560" s="115" t="str">
        <x:v>EXT-MONDE-T012-V05</x:v>
      </x:c>
      <x:c r="B560" s="115" t="str">
        <x:v>EXT-MONDE-T012</x:v>
      </x:c>
      <x:c r="C560" s="115" t="str">
        <x:v>Offshore</x:v>
      </x:c>
      <x:c r="D560" s="115" t="str">
        <x:v>Station scientifique marine</x:v>
      </x:c>
      <x:c r="E560" s="115" t="n">
        <x:v>5</x:v>
      </x:c>
      <x:c r="F560" s="115" t="str">
        <x:v>Inspection physique</x:v>
      </x:c>
      <x:c r="G560" s="115" t="str">
        <x:v>1 niveaux ; 34 pièces ; 260 segments de mur ; 0 transitions. Inspection physique ; architecture complète encore ouverte.</x:v>
      </x:c>
      <x:c r="H560" s="115" t="str">
        <x:v>L 356 ; l 296 ; hauteur 26 m ; choix de composition auteur ; dimensions réelles à documenter</x:v>
      </x:c>
      <x:c r="I560" s="115" t="str">
        <x:v>À équilibrer</x:v>
      </x:c>
      <x:c r="J560" s="115" t="str">
        <x:v>Non</x:v>
      </x:c>
      <x:c r="K560" s="115" t="str">
        <x:v>Pièces décrites, murs, portes, niveaux et mobilier inspectables à l’échelle. Volumes réservés, raccord au seed, butin, rencontres et services de campagne restent à terminer.</x:v>
      </x:c>
    </x:row>
    <x:row r="561" ht="96" customHeight="1">
      <x:c r="A561" s="115" t="str">
        <x:v>EXT-MONDE-T012-V06</x:v>
      </x:c>
      <x:c r="B561" s="115" t="str">
        <x:v>EXT-MONDE-T012</x:v>
      </x:c>
      <x:c r="C561" s="115" t="str">
        <x:v>Offshore</x:v>
      </x:c>
      <x:c r="D561" s="115" t="str">
        <x:v>Station scientifique marine</x:v>
      </x:c>
      <x:c r="E561" s="115" t="n">
        <x:v>6</x:v>
      </x:c>
      <x:c r="F561" s="115" t="str">
        <x:v>Inspection physique</x:v>
      </x:c>
      <x:c r="G561" s="115" t="str">
        <x:v>1 niveaux ; 34 pièces ; 260 segments de mur ; 0 transitions. Inspection physique ; architecture complète encore ouverte.</x:v>
      </x:c>
      <x:c r="H561" s="115" t="str">
        <x:v>L 356 ; l 296 ; hauteur 26 m ; choix de composition auteur ; dimensions réelles à documenter</x:v>
      </x:c>
      <x:c r="I561" s="115" t="str">
        <x:v>À équilibrer</x:v>
      </x:c>
      <x:c r="J561" s="115" t="str">
        <x:v>Non</x:v>
      </x:c>
      <x:c r="K561" s="115" t="str">
        <x:v>Pièces décrites, murs, portes, niveaux et mobilier inspectables à l’échelle. Volumes réservés, raccord au seed, butin, rencontres et services de campagne restent à terminer.</x:v>
      </x:c>
    </x:row>
    <x:row r="562" ht="96" customHeight="1">
      <x:c r="A562" s="115" t="str">
        <x:v>EXT-MONDE-T012-V07</x:v>
      </x:c>
      <x:c r="B562" s="115" t="str">
        <x:v>EXT-MONDE-T012</x:v>
      </x:c>
      <x:c r="C562" s="115" t="str">
        <x:v>Offshore</x:v>
      </x:c>
      <x:c r="D562" s="115" t="str">
        <x:v>Station scientifique marine</x:v>
      </x:c>
      <x:c r="E562" s="115" t="n">
        <x:v>7</x:v>
      </x:c>
      <x:c r="F562" s="115" t="str">
        <x:v>Inspection physique</x:v>
      </x:c>
      <x:c r="G562" s="115" t="str">
        <x:v>1 niveaux ; 34 pièces ; 260 segments de mur ; 0 transitions. Inspection physique ; architecture complète encore ouverte.</x:v>
      </x:c>
      <x:c r="H562" s="115" t="str">
        <x:v>L 356 ; l 296 ; hauteur 26 m ; choix de composition auteur ; dimensions réelles à documenter</x:v>
      </x:c>
      <x:c r="I562" s="115" t="str">
        <x:v>À équilibrer</x:v>
      </x:c>
      <x:c r="J562" s="115" t="str">
        <x:v>Non</x:v>
      </x:c>
      <x:c r="K562" s="115" t="str">
        <x:v>Pièces décrites, murs, portes, niveaux et mobilier inspectables à l’échelle. Volumes réservés, raccord au seed, butin, rencontres et services de campagne restent à terminer.</x:v>
      </x:c>
    </x:row>
    <x:row r="563" ht="96" customHeight="1">
      <x:c r="A563" s="115" t="str">
        <x:v>EXT-MONDE-T012-V08</x:v>
      </x:c>
      <x:c r="B563" s="115" t="str">
        <x:v>EXT-MONDE-T012</x:v>
      </x:c>
      <x:c r="C563" s="115" t="str">
        <x:v>Offshore</x:v>
      </x:c>
      <x:c r="D563" s="115" t="str">
        <x:v>Station scientifique marine</x:v>
      </x:c>
      <x:c r="E563" s="115" t="n">
        <x:v>8</x:v>
      </x:c>
      <x:c r="F563" s="115" t="str">
        <x:v>Inspection physique</x:v>
      </x:c>
      <x:c r="G563" s="115" t="str">
        <x:v>1 niveaux ; 34 pièces ; 260 segments de mur ; 0 transitions. Inspection physique ; architecture complète encore ouverte.</x:v>
      </x:c>
      <x:c r="H563" s="115" t="str">
        <x:v>L 356 ; l 296 ; hauteur 26 m ; choix de composition auteur ; dimensions réelles à documenter</x:v>
      </x:c>
      <x:c r="I563" s="115" t="str">
        <x:v>À équilibrer</x:v>
      </x:c>
      <x:c r="J563" s="115" t="str">
        <x:v>Non</x:v>
      </x:c>
      <x:c r="K563" s="115" t="str">
        <x:v>Pièces décrites, murs, portes, niveaux et mobilier inspectables à l’échelle. Volumes réservés, raccord au seed, butin, rencontres et services de campagne restent à terminer.</x:v>
      </x:c>
    </x:row>
    <x:row r="564" ht="96" customHeight="1">
      <x:c r="A564" s="115" t="str">
        <x:v>EXT-MONDE-T012-V09</x:v>
      </x:c>
      <x:c r="B564" s="115" t="str">
        <x:v>EXT-MONDE-T012</x:v>
      </x:c>
      <x:c r="C564" s="115" t="str">
        <x:v>Offshore</x:v>
      </x:c>
      <x:c r="D564" s="115" t="str">
        <x:v>Station scientifique marine</x:v>
      </x:c>
      <x:c r="E564" s="115" t="n">
        <x:v>9</x:v>
      </x:c>
      <x:c r="F564" s="115" t="str">
        <x:v>Inspection physique</x:v>
      </x:c>
      <x:c r="G564" s="115" t="str">
        <x:v>1 niveaux ; 34 pièces ; 260 segments de mur ; 0 transitions. Inspection physique ; architecture complète encore ouverte.</x:v>
      </x:c>
      <x:c r="H564" s="115" t="str">
        <x:v>L 356 ; l 296 ; hauteur 26 m ; choix de composition auteur ; dimensions réelles à documenter</x:v>
      </x:c>
      <x:c r="I564" s="115" t="str">
        <x:v>À équilibrer</x:v>
      </x:c>
      <x:c r="J564" s="115" t="str">
        <x:v>Non</x:v>
      </x:c>
      <x:c r="K564" s="115" t="str">
        <x:v>Pièces décrites, murs, portes, niveaux et mobilier inspectables à l’échelle. Volumes réservés, raccord au seed, butin, rencontres et services de campagne restent à terminer.</x:v>
      </x:c>
    </x:row>
    <x:row r="565" ht="96" customHeight="1">
      <x:c r="A565" s="115" t="str">
        <x:v>EXT-MONDE-T012-V10</x:v>
      </x:c>
      <x:c r="B565" s="115" t="str">
        <x:v>EXT-MONDE-T012</x:v>
      </x:c>
      <x:c r="C565" s="115" t="str">
        <x:v>Offshore</x:v>
      </x:c>
      <x:c r="D565" s="115" t="str">
        <x:v>Station scientifique marine</x:v>
      </x:c>
      <x:c r="E565" s="115" t="n">
        <x:v>10</x:v>
      </x:c>
      <x:c r="F565" s="115" t="str">
        <x:v>Inspection physique</x:v>
      </x:c>
      <x:c r="G565" s="115" t="str">
        <x:v>1 niveaux ; 34 pièces ; 260 segments de mur ; 0 transitions. Inspection physique ; architecture complète encore ouverte.</x:v>
      </x:c>
      <x:c r="H565" s="115" t="str">
        <x:v>L 356 ; l 296 ; hauteur 26 m ; choix de composition auteur ; dimensions réelles à documenter</x:v>
      </x:c>
      <x:c r="I565" s="115" t="str">
        <x:v>À équilibrer</x:v>
      </x:c>
      <x:c r="J565" s="115" t="str">
        <x:v>Non</x:v>
      </x:c>
      <x:c r="K565" s="115" t="str">
        <x:v>Pièces décrites, murs, portes, niveaux et mobilier inspectables à l’échelle. Volumes réservés, raccord au seed, butin, rencontres et services de campagne restent à terminer.</x:v>
      </x:c>
    </x:row>
    <x:row r="566" ht="96" customHeight="1">
      <x:c r="A566" s="115" t="str">
        <x:v>EXT-MONDE-T012-V11</x:v>
      </x:c>
      <x:c r="B566" s="115" t="str">
        <x:v>EXT-MONDE-T012</x:v>
      </x:c>
      <x:c r="C566" s="115" t="str">
        <x:v>Offshore</x:v>
      </x:c>
      <x:c r="D566" s="115" t="str">
        <x:v>Station scientifique marine</x:v>
      </x:c>
      <x:c r="E566" s="115" t="n">
        <x:v>11</x:v>
      </x:c>
      <x:c r="F566" s="115" t="str">
        <x:v>Inspection physique</x:v>
      </x:c>
      <x:c r="G566" s="115" t="str">
        <x:v>1 niveaux ; 34 pièces ; 260 segments de mur ; 0 transitions. Inspection physique ; architecture complète encore ouverte.</x:v>
      </x:c>
      <x:c r="H566" s="115" t="str">
        <x:v>L 370 ; l 308 ; hauteur 26 m ; choix de composition auteur ; dimensions réelles à documenter</x:v>
      </x:c>
      <x:c r="I566" s="115" t="str">
        <x:v>À équilibrer</x:v>
      </x:c>
      <x:c r="J566" s="115" t="str">
        <x:v>Non</x:v>
      </x:c>
      <x:c r="K566" s="115" t="str">
        <x:v>Pièces décrites, murs, portes, niveaux et mobilier inspectables à l’échelle. Volumes réservés, raccord au seed, butin, rencontres et services de campagne restent à terminer.</x:v>
      </x:c>
    </x:row>
    <x:row r="567" ht="96" customHeight="1">
      <x:c r="A567" s="115" t="str">
        <x:v>EXT-MONDE-T012-V12</x:v>
      </x:c>
      <x:c r="B567" s="115" t="str">
        <x:v>EXT-MONDE-T012</x:v>
      </x:c>
      <x:c r="C567" s="115" t="str">
        <x:v>Offshore</x:v>
      </x:c>
      <x:c r="D567" s="115" t="str">
        <x:v>Station scientifique marine</x:v>
      </x:c>
      <x:c r="E567" s="115" t="n">
        <x:v>12</x:v>
      </x:c>
      <x:c r="F567" s="115" t="str">
        <x:v>Inspection physique</x:v>
      </x:c>
      <x:c r="G567" s="115" t="str">
        <x:v>1 niveaux ; 34 pièces ; 260 segments de mur ; 0 transitions. Inspection physique ; architecture complète encore ouverte.</x:v>
      </x:c>
      <x:c r="H567" s="115" t="str">
        <x:v>L 370 ; l 308 ; hauteur 26 m ; choix de composition auteur ; dimensions réelles à documenter</x:v>
      </x:c>
      <x:c r="I567" s="115" t="str">
        <x:v>À équilibrer</x:v>
      </x:c>
      <x:c r="J567" s="115" t="str">
        <x:v>Non</x:v>
      </x:c>
      <x:c r="K567" s="115" t="str">
        <x:v>Pièces décrites, murs, portes, niveaux et mobilier inspectables à l’échelle. Volumes réservés, raccord au seed, butin, rencontres et services de campagne restent à terminer.</x:v>
      </x:c>
    </x:row>
    <x:row r="568" ht="96" customHeight="1">
      <x:c r="A568" s="115" t="str">
        <x:v>EXT-MONDE-T012-V13</x:v>
      </x:c>
      <x:c r="B568" s="115" t="str">
        <x:v>EXT-MONDE-T012</x:v>
      </x:c>
      <x:c r="C568" s="115" t="str">
        <x:v>Offshore</x:v>
      </x:c>
      <x:c r="D568" s="115" t="str">
        <x:v>Station scientifique marine</x:v>
      </x:c>
      <x:c r="E568" s="115" t="n">
        <x:v>13</x:v>
      </x:c>
      <x:c r="F568" s="115" t="str">
        <x:v>Inspection physique</x:v>
      </x:c>
      <x:c r="G568" s="115" t="str">
        <x:v>1 niveaux ; 34 pièces ; 260 segments de mur ; 0 transitions. Inspection physique ; architecture complète encore ouverte.</x:v>
      </x:c>
      <x:c r="H568" s="115" t="str">
        <x:v>L 370 ; l 308 ; hauteur 26 m ; choix de composition auteur ; dimensions réelles à documenter</x:v>
      </x:c>
      <x:c r="I568" s="115" t="str">
        <x:v>À équilibrer</x:v>
      </x:c>
      <x:c r="J568" s="115" t="str">
        <x:v>Non</x:v>
      </x:c>
      <x:c r="K568" s="115" t="str">
        <x:v>Pièces décrites, murs, portes, niveaux et mobilier inspectables à l’échelle. Volumes réservés, raccord au seed, butin, rencontres et services de campagne restent à terminer.</x:v>
      </x:c>
    </x:row>
    <x:row r="569" ht="96" customHeight="1">
      <x:c r="A569" s="115" t="str">
        <x:v>EXT-MONDE-T012-V14</x:v>
      </x:c>
      <x:c r="B569" s="115" t="str">
        <x:v>EXT-MONDE-T012</x:v>
      </x:c>
      <x:c r="C569" s="115" t="str">
        <x:v>Offshore</x:v>
      </x:c>
      <x:c r="D569" s="115" t="str">
        <x:v>Station scientifique marine</x:v>
      </x:c>
      <x:c r="E569" s="115" t="n">
        <x:v>14</x:v>
      </x:c>
      <x:c r="F569" s="115" t="str">
        <x:v>Inspection physique</x:v>
      </x:c>
      <x:c r="G569" s="115" t="str">
        <x:v>1 niveaux ; 34 pièces ; 260 segments de mur ; 0 transitions. Inspection physique ; architecture complète encore ouverte.</x:v>
      </x:c>
      <x:c r="H569" s="115" t="str">
        <x:v>L 370 ; l 308 ; hauteur 26 m ; choix de composition auteur ; dimensions réelles à documenter</x:v>
      </x:c>
      <x:c r="I569" s="115" t="str">
        <x:v>À équilibrer</x:v>
      </x:c>
      <x:c r="J569" s="115" t="str">
        <x:v>Non</x:v>
      </x:c>
      <x:c r="K569" s="115" t="str">
        <x:v>Pièces décrites, murs, portes, niveaux et mobilier inspectables à l’échelle. Volumes réservés, raccord au seed, butin, rencontres et services de campagne restent à terminer.</x:v>
      </x:c>
    </x:row>
    <x:row r="570" ht="96" customHeight="1">
      <x:c r="A570" s="115" t="str">
        <x:v>EXT-MONDE-T012-V15</x:v>
      </x:c>
      <x:c r="B570" s="115" t="str">
        <x:v>EXT-MONDE-T012</x:v>
      </x:c>
      <x:c r="C570" s="115" t="str">
        <x:v>Offshore</x:v>
      </x:c>
      <x:c r="D570" s="115" t="str">
        <x:v>Station scientifique marine</x:v>
      </x:c>
      <x:c r="E570" s="115" t="n">
        <x:v>15</x:v>
      </x:c>
      <x:c r="F570" s="115" t="str">
        <x:v>Inspection physique</x:v>
      </x:c>
      <x:c r="G570" s="115" t="str">
        <x:v>1 niveaux ; 34 pièces ; 260 segments de mur ; 0 transitions. Inspection physique ; architecture complète encore ouverte.</x:v>
      </x:c>
      <x:c r="H570" s="115" t="str">
        <x:v>L 370 ; l 308 ; hauteur 26 m ; choix de composition auteur ; dimensions réelles à documenter</x:v>
      </x:c>
      <x:c r="I570" s="115" t="str">
        <x:v>À équilibrer</x:v>
      </x:c>
      <x:c r="J570" s="115" t="str">
        <x:v>Non</x:v>
      </x:c>
      <x:c r="K570" s="115" t="str">
        <x:v>Pièces décrites, murs, portes, niveaux et mobilier inspectables à l’échelle. Volumes réservés, raccord au seed, butin, rencontres et services de campagne restent à terminer.</x:v>
      </x:c>
    </x:row>
    <x:row r="571" ht="96" customHeight="1">
      <x:c r="A571" s="115" t="str">
        <x:v>EXT-MONDE-T012-V16</x:v>
      </x:c>
      <x:c r="B571" s="115" t="str">
        <x:v>EXT-MONDE-T012</x:v>
      </x:c>
      <x:c r="C571" s="115" t="str">
        <x:v>Offshore</x:v>
      </x:c>
      <x:c r="D571" s="115" t="str">
        <x:v>Station scientifique marine</x:v>
      </x:c>
      <x:c r="E571" s="115" t="n">
        <x:v>16</x:v>
      </x:c>
      <x:c r="F571" s="115" t="str">
        <x:v>Inspection physique</x:v>
      </x:c>
      <x:c r="G571" s="115" t="str">
        <x:v>1 niveaux ; 34 pièces ; 260 segments de mur ; 0 transitions. Inspection physique ; architecture complète encore ouverte.</x:v>
      </x:c>
      <x:c r="H571" s="115" t="str">
        <x:v>L 370 ; l 308 ; hauteur 26 m ; choix de composition auteur ; dimensions réelles à documenter</x:v>
      </x:c>
      <x:c r="I571" s="115" t="str">
        <x:v>À équilibrer</x:v>
      </x:c>
      <x:c r="J571" s="115" t="str">
        <x:v>Non</x:v>
      </x:c>
      <x:c r="K571" s="115" t="str">
        <x:v>Pièces décrites, murs, portes, niveaux et mobilier inspectables à l’échelle. Volumes réservés, raccord au seed, butin, rencontres et services de campagne restent à terminer.</x:v>
      </x:c>
    </x:row>
    <x:row r="572" ht="96" customHeight="1">
      <x:c r="A572" s="115" t="str">
        <x:v>EXT-MONDE-T012-V17</x:v>
      </x:c>
      <x:c r="B572" s="115" t="str">
        <x:v>EXT-MONDE-T012</x:v>
      </x:c>
      <x:c r="C572" s="115" t="str">
        <x:v>Offshore</x:v>
      </x:c>
      <x:c r="D572" s="115" t="str">
        <x:v>Station scientifique marine</x:v>
      </x:c>
      <x:c r="E572" s="115" t="n">
        <x:v>17</x:v>
      </x:c>
      <x:c r="F572" s="115" t="str">
        <x:v>Inspection physique</x:v>
      </x:c>
      <x:c r="G572" s="115" t="str">
        <x:v>1 niveaux ; 34 pièces ; 260 segments de mur ; 0 transitions. Inspection physique ; architecture complète encore ouverte.</x:v>
      </x:c>
      <x:c r="H572" s="115" t="str">
        <x:v>L 370 ; l 308 ; hauteur 26 m ; choix de composition auteur ; dimensions réelles à documenter</x:v>
      </x:c>
      <x:c r="I572" s="115" t="str">
        <x:v>À équilibrer</x:v>
      </x:c>
      <x:c r="J572" s="115" t="str">
        <x:v>Non</x:v>
      </x:c>
      <x:c r="K572" s="115" t="str">
        <x:v>Pièces décrites, murs, portes, niveaux et mobilier inspectables à l’échelle. Volumes réservés, raccord au seed, butin, rencontres et services de campagne restent à terminer.</x:v>
      </x:c>
    </x:row>
    <x:row r="573" ht="96" customHeight="1">
      <x:c r="A573" s="115" t="str">
        <x:v>EXT-MONDE-T012-V18</x:v>
      </x:c>
      <x:c r="B573" s="115" t="str">
        <x:v>EXT-MONDE-T012</x:v>
      </x:c>
      <x:c r="C573" s="115" t="str">
        <x:v>Offshore</x:v>
      </x:c>
      <x:c r="D573" s="115" t="str">
        <x:v>Station scientifique marine</x:v>
      </x:c>
      <x:c r="E573" s="115" t="n">
        <x:v>18</x:v>
      </x:c>
      <x:c r="F573" s="115" t="str">
        <x:v>Inspection physique</x:v>
      </x:c>
      <x:c r="G573" s="115" t="str">
        <x:v>1 niveaux ; 34 pièces ; 260 segments de mur ; 0 transitions. Inspection physique ; architecture complète encore ouverte.</x:v>
      </x:c>
      <x:c r="H573" s="115" t="str">
        <x:v>L 370 ; l 308 ; hauteur 26 m ; choix de composition auteur ; dimensions réelles à documenter</x:v>
      </x:c>
      <x:c r="I573" s="115" t="str">
        <x:v>À équilibrer</x:v>
      </x:c>
      <x:c r="J573" s="115" t="str">
        <x:v>Non</x:v>
      </x:c>
      <x:c r="K573" s="115" t="str">
        <x:v>Pièces décrites, murs, portes, niveaux et mobilier inspectables à l’échelle. Volumes réservés, raccord au seed, butin, rencontres et services de campagne restent à terminer.</x:v>
      </x:c>
    </x:row>
    <x:row r="574" ht="96" customHeight="1">
      <x:c r="A574" s="115" t="str">
        <x:v>EXT-MONDE-T012-V19</x:v>
      </x:c>
      <x:c r="B574" s="115" t="str">
        <x:v>EXT-MONDE-T012</x:v>
      </x:c>
      <x:c r="C574" s="115" t="str">
        <x:v>Offshore</x:v>
      </x:c>
      <x:c r="D574" s="115" t="str">
        <x:v>Station scientifique marine</x:v>
      </x:c>
      <x:c r="E574" s="115" t="n">
        <x:v>19</x:v>
      </x:c>
      <x:c r="F574" s="115" t="str">
        <x:v>Inspection physique</x:v>
      </x:c>
      <x:c r="G574" s="115" t="str">
        <x:v>1 niveaux ; 34 pièces ; 260 segments de mur ; 0 transitions. Inspection physique ; architecture complète encore ouverte.</x:v>
      </x:c>
      <x:c r="H574" s="115" t="str">
        <x:v>L 370 ; l 308 ; hauteur 26 m ; choix de composition auteur ; dimensions réelles à documenter</x:v>
      </x:c>
      <x:c r="I574" s="115" t="str">
        <x:v>À équilibrer</x:v>
      </x:c>
      <x:c r="J574" s="115" t="str">
        <x:v>Non</x:v>
      </x:c>
      <x:c r="K574" s="115" t="str">
        <x:v>Pièces décrites, murs, portes, niveaux et mobilier inspectables à l’échelle. Volumes réservés, raccord au seed, butin, rencontres et services de campagne restent à terminer.</x:v>
      </x:c>
    </x:row>
    <x:row r="575" ht="96" customHeight="1">
      <x:c r="A575" s="115" t="str">
        <x:v>EXT-MONDE-T012-V20</x:v>
      </x:c>
      <x:c r="B575" s="115" t="str">
        <x:v>EXT-MONDE-T012</x:v>
      </x:c>
      <x:c r="C575" s="115" t="str">
        <x:v>Offshore</x:v>
      </x:c>
      <x:c r="D575" s="115" t="str">
        <x:v>Station scientifique marine</x:v>
      </x:c>
      <x:c r="E575" s="115" t="n">
        <x:v>20</x:v>
      </x:c>
      <x:c r="F575" s="115" t="str">
        <x:v>Inspection physique</x:v>
      </x:c>
      <x:c r="G575" s="115" t="str">
        <x:v>1 niveaux ; 34 pièces ; 260 segments de mur ; 0 transitions. Inspection physique ; architecture complète encore ouverte.</x:v>
      </x:c>
      <x:c r="H575" s="115" t="str">
        <x:v>L 370 ; l 308 ; hauteur 26 m ; choix de composition auteur ; dimensions réelles à documenter</x:v>
      </x:c>
      <x:c r="I575" s="115" t="str">
        <x:v>À équilibrer</x:v>
      </x:c>
      <x:c r="J575" s="115" t="str">
        <x:v>Non</x:v>
      </x:c>
      <x:c r="K575" s="115" t="str">
        <x:v>Pièces décrites, murs, portes, niveaux et mobilier inspectables à l’échelle. Volumes réservés, raccord au seed, butin, rencontres et services de campagne restent à terminer.</x:v>
      </x:c>
    </x:row>
    <x:row r="576" ht="96" customHeight="1">
      <x:c r="A576" s="115" t="str">
        <x:v>EXT-MONDE-T012-V21</x:v>
      </x:c>
      <x:c r="B576" s="115" t="str">
        <x:v>EXT-MONDE-T012</x:v>
      </x:c>
      <x:c r="C576" s="115" t="str">
        <x:v>Offshore</x:v>
      </x:c>
      <x:c r="D576" s="115" t="str">
        <x:v>Station scientifique marine</x:v>
      </x:c>
      <x:c r="E576" s="115" t="n">
        <x:v>21</x:v>
      </x:c>
      <x:c r="F576" s="115" t="str">
        <x:v>Inspection physique</x:v>
      </x:c>
      <x:c r="G576" s="115" t="str">
        <x:v>1 niveaux ; 34 pièces ; 260 segments de mur ; 0 transitions. Inspection physique ; architecture complète encore ouverte.</x:v>
      </x:c>
      <x:c r="H576" s="115" t="str">
        <x:v>L 384 ; l 320 ; hauteur 26 m ; choix de composition auteur ; dimensions réelles à documenter</x:v>
      </x:c>
      <x:c r="I576" s="115" t="str">
        <x:v>À équilibrer</x:v>
      </x:c>
      <x:c r="J576" s="115" t="str">
        <x:v>Non</x:v>
      </x:c>
      <x:c r="K576" s="115" t="str">
        <x:v>Pièces décrites, murs, portes, niveaux et mobilier inspectables à l’échelle. Volumes réservés, raccord au seed, butin, rencontres et services de campagne restent à terminer.</x:v>
      </x:c>
    </x:row>
    <x:row r="577" ht="96" customHeight="1">
      <x:c r="A577" s="115" t="str">
        <x:v>EXT-MONDE-T012-V22</x:v>
      </x:c>
      <x:c r="B577" s="115" t="str">
        <x:v>EXT-MONDE-T012</x:v>
      </x:c>
      <x:c r="C577" s="115" t="str">
        <x:v>Offshore</x:v>
      </x:c>
      <x:c r="D577" s="115" t="str">
        <x:v>Station scientifique marine</x:v>
      </x:c>
      <x:c r="E577" s="115" t="n">
        <x:v>22</x:v>
      </x:c>
      <x:c r="F577" s="115" t="str">
        <x:v>Inspection physique</x:v>
      </x:c>
      <x:c r="G577" s="115" t="str">
        <x:v>1 niveaux ; 34 pièces ; 260 segments de mur ; 0 transitions. Inspection physique ; architecture complète encore ouverte.</x:v>
      </x:c>
      <x:c r="H577" s="115" t="str">
        <x:v>L 384 ; l 320 ; hauteur 26 m ; choix de composition auteur ; dimensions réelles à documenter</x:v>
      </x:c>
      <x:c r="I577" s="115" t="str">
        <x:v>À équilibrer</x:v>
      </x:c>
      <x:c r="J577" s="115" t="str">
        <x:v>Non</x:v>
      </x:c>
      <x:c r="K577" s="115" t="str">
        <x:v>Pièces décrites, murs, portes, niveaux et mobilier inspectables à l’échelle. Volumes réservés, raccord au seed, butin, rencontres et services de campagne restent à terminer.</x:v>
      </x:c>
    </x:row>
    <x:row r="578" ht="96" customHeight="1">
      <x:c r="A578" s="115" t="str">
        <x:v>EXT-MONDE-T012-V23</x:v>
      </x:c>
      <x:c r="B578" s="115" t="str">
        <x:v>EXT-MONDE-T012</x:v>
      </x:c>
      <x:c r="C578" s="115" t="str">
        <x:v>Offshore</x:v>
      </x:c>
      <x:c r="D578" s="115" t="str">
        <x:v>Station scientifique marine</x:v>
      </x:c>
      <x:c r="E578" s="115" t="n">
        <x:v>23</x:v>
      </x:c>
      <x:c r="F578" s="115" t="str">
        <x:v>Inspection physique</x:v>
      </x:c>
      <x:c r="G578" s="115" t="str">
        <x:v>1 niveaux ; 34 pièces ; 260 segments de mur ; 0 transitions. Inspection physique ; architecture complète encore ouverte.</x:v>
      </x:c>
      <x:c r="H578" s="115" t="str">
        <x:v>L 384 ; l 320 ; hauteur 26 m ; choix de composition auteur ; dimensions réelles à documenter</x:v>
      </x:c>
      <x:c r="I578" s="115" t="str">
        <x:v>À équilibrer</x:v>
      </x:c>
      <x:c r="J578" s="115" t="str">
        <x:v>Non</x:v>
      </x:c>
      <x:c r="K578" s="115" t="str">
        <x:v>Pièces décrites, murs, portes, niveaux et mobilier inspectables à l’échelle. Volumes réservés, raccord au seed, butin, rencontres et services de campagne restent à terminer.</x:v>
      </x:c>
    </x:row>
    <x:row r="579" ht="96" customHeight="1">
      <x:c r="A579" s="115" t="str">
        <x:v>EXT-MONDE-T012-V24</x:v>
      </x:c>
      <x:c r="B579" s="115" t="str">
        <x:v>EXT-MONDE-T012</x:v>
      </x:c>
      <x:c r="C579" s="115" t="str">
        <x:v>Offshore</x:v>
      </x:c>
      <x:c r="D579" s="115" t="str">
        <x:v>Station scientifique marine</x:v>
      </x:c>
      <x:c r="E579" s="115" t="n">
        <x:v>24</x:v>
      </x:c>
      <x:c r="F579" s="115" t="str">
        <x:v>Inspection physique</x:v>
      </x:c>
      <x:c r="G579" s="115" t="str">
        <x:v>1 niveaux ; 34 pièces ; 260 segments de mur ; 0 transitions. Inspection physique ; architecture complète encore ouverte.</x:v>
      </x:c>
      <x:c r="H579" s="115" t="str">
        <x:v>L 384 ; l 320 ; hauteur 26 m ; choix de composition auteur ; dimensions réelles à documenter</x:v>
      </x:c>
      <x:c r="I579" s="115" t="str">
        <x:v>À équilibrer</x:v>
      </x:c>
      <x:c r="J579" s="115" t="str">
        <x:v>Non</x:v>
      </x:c>
      <x:c r="K579" s="115" t="str">
        <x:v>Pièces décrites, murs, portes, niveaux et mobilier inspectables à l’échelle. Volumes réservés, raccord au seed, butin, rencontres et services de campagne restent à terminer.</x:v>
      </x:c>
    </x:row>
    <x:row r="580" ht="96" customHeight="1">
      <x:c r="A580" s="115" t="str">
        <x:v>EXT-MONDE-T012-V25</x:v>
      </x:c>
      <x:c r="B580" s="115" t="str">
        <x:v>EXT-MONDE-T012</x:v>
      </x:c>
      <x:c r="C580" s="115" t="str">
        <x:v>Offshore</x:v>
      </x:c>
      <x:c r="D580" s="115" t="str">
        <x:v>Station scientifique marine</x:v>
      </x:c>
      <x:c r="E580" s="115" t="n">
        <x:v>25</x:v>
      </x:c>
      <x:c r="F580" s="115" t="str">
        <x:v>Inspection physique</x:v>
      </x:c>
      <x:c r="G580" s="115" t="str">
        <x:v>1 niveaux ; 34 pièces ; 260 segments de mur ; 0 transitions. Inspection physique ; architecture complète encore ouverte.</x:v>
      </x:c>
      <x:c r="H580" s="115" t="str">
        <x:v>L 384 ; l 320 ; hauteur 26 m ; choix de composition auteur ; dimensions réelles à documenter</x:v>
      </x:c>
      <x:c r="I580" s="115" t="str">
        <x:v>À équilibrer</x:v>
      </x:c>
      <x:c r="J580" s="115" t="str">
        <x:v>Non</x:v>
      </x:c>
      <x:c r="K580" s="115" t="str">
        <x:v>Pièces décrites, murs, portes, niveaux et mobilier inspectables à l’échelle. Volumes réservés, raccord au seed, butin, rencontres et services de campagne restent à terminer.</x:v>
      </x:c>
    </x:row>
    <x:row r="581" ht="96" customHeight="1">
      <x:c r="A581" s="115" t="str">
        <x:v>EXT-MONDE-T012-V26</x:v>
      </x:c>
      <x:c r="B581" s="115" t="str">
        <x:v>EXT-MONDE-T012</x:v>
      </x:c>
      <x:c r="C581" s="115" t="str">
        <x:v>Offshore</x:v>
      </x:c>
      <x:c r="D581" s="115" t="str">
        <x:v>Station scientifique marine</x:v>
      </x:c>
      <x:c r="E581" s="115" t="n">
        <x:v>26</x:v>
      </x:c>
      <x:c r="F581" s="115" t="str">
        <x:v>Inspection physique</x:v>
      </x:c>
      <x:c r="G581" s="115" t="str">
        <x:v>1 niveaux ; 34 pièces ; 260 segments de mur ; 0 transitions. Inspection physique ; architecture complète encore ouverte.</x:v>
      </x:c>
      <x:c r="H581" s="115" t="str">
        <x:v>L 384 ; l 320 ; hauteur 26 m ; choix de composition auteur ; dimensions réelles à documenter</x:v>
      </x:c>
      <x:c r="I581" s="115" t="str">
        <x:v>À équilibrer</x:v>
      </x:c>
      <x:c r="J581" s="115" t="str">
        <x:v>Non</x:v>
      </x:c>
      <x:c r="K581" s="115" t="str">
        <x:v>Pièces décrites, murs, portes, niveaux et mobilier inspectables à l’échelle. Volumes réservés, raccord au seed, butin, rencontres et services de campagne restent à terminer.</x:v>
      </x:c>
    </x:row>
    <x:row r="582" ht="96" customHeight="1">
      <x:c r="A582" s="115" t="str">
        <x:v>EXT-MONDE-T012-V27</x:v>
      </x:c>
      <x:c r="B582" s="115" t="str">
        <x:v>EXT-MONDE-T012</x:v>
      </x:c>
      <x:c r="C582" s="115" t="str">
        <x:v>Offshore</x:v>
      </x:c>
      <x:c r="D582" s="115" t="str">
        <x:v>Station scientifique marine</x:v>
      </x:c>
      <x:c r="E582" s="115" t="n">
        <x:v>27</x:v>
      </x:c>
      <x:c r="F582" s="115" t="str">
        <x:v>Inspection physique</x:v>
      </x:c>
      <x:c r="G582" s="115" t="str">
        <x:v>1 niveaux ; 34 pièces ; 260 segments de mur ; 0 transitions. Inspection physique ; architecture complète encore ouverte.</x:v>
      </x:c>
      <x:c r="H582" s="115" t="str">
        <x:v>L 384 ; l 320 ; hauteur 26 m ; choix de composition auteur ; dimensions réelles à documenter</x:v>
      </x:c>
      <x:c r="I582" s="115" t="str">
        <x:v>À équilibrer</x:v>
      </x:c>
      <x:c r="J582" s="115" t="str">
        <x:v>Non</x:v>
      </x:c>
      <x:c r="K582" s="115" t="str">
        <x:v>Pièces décrites, murs, portes, niveaux et mobilier inspectables à l’échelle. Volumes réservés, raccord au seed, butin, rencontres et services de campagne restent à terminer.</x:v>
      </x:c>
    </x:row>
    <x:row r="583" ht="96" customHeight="1">
      <x:c r="A583" s="115" t="str">
        <x:v>EXT-MONDE-T012-V28</x:v>
      </x:c>
      <x:c r="B583" s="115" t="str">
        <x:v>EXT-MONDE-T012</x:v>
      </x:c>
      <x:c r="C583" s="115" t="str">
        <x:v>Offshore</x:v>
      </x:c>
      <x:c r="D583" s="115" t="str">
        <x:v>Station scientifique marine</x:v>
      </x:c>
      <x:c r="E583" s="115" t="n">
        <x:v>28</x:v>
      </x:c>
      <x:c r="F583" s="115" t="str">
        <x:v>Inspection physique</x:v>
      </x:c>
      <x:c r="G583" s="115" t="str">
        <x:v>1 niveaux ; 34 pièces ; 260 segments de mur ; 0 transitions. Inspection physique ; architecture complète encore ouverte.</x:v>
      </x:c>
      <x:c r="H583" s="115" t="str">
        <x:v>L 384 ; l 320 ; hauteur 26 m ; choix de composition auteur ; dimensions réelles à documenter</x:v>
      </x:c>
      <x:c r="I583" s="115" t="str">
        <x:v>À équilibrer</x:v>
      </x:c>
      <x:c r="J583" s="115" t="str">
        <x:v>Non</x:v>
      </x:c>
      <x:c r="K583" s="115" t="str">
        <x:v>Pièces décrites, murs, portes, niveaux et mobilier inspectables à l’échelle. Volumes réservés, raccord au seed, butin, rencontres et services de campagne restent à terminer.</x:v>
      </x:c>
    </x:row>
    <x:row r="584" ht="96" customHeight="1">
      <x:c r="A584" s="115" t="str">
        <x:v>EXT-MONDE-T012-V29</x:v>
      </x:c>
      <x:c r="B584" s="115" t="str">
        <x:v>EXT-MONDE-T012</x:v>
      </x:c>
      <x:c r="C584" s="115" t="str">
        <x:v>Offshore</x:v>
      </x:c>
      <x:c r="D584" s="115" t="str">
        <x:v>Station scientifique marine</x:v>
      </x:c>
      <x:c r="E584" s="115" t="n">
        <x:v>29</x:v>
      </x:c>
      <x:c r="F584" s="115" t="str">
        <x:v>Inspection physique</x:v>
      </x:c>
      <x:c r="G584" s="115" t="str">
        <x:v>1 niveaux ; 34 pièces ; 260 segments de mur ; 0 transitions. Inspection physique ; architecture complète encore ouverte.</x:v>
      </x:c>
      <x:c r="H584" s="115" t="str">
        <x:v>L 384 ; l 320 ; hauteur 26 m ; choix de composition auteur ; dimensions réelles à documenter</x:v>
      </x:c>
      <x:c r="I584" s="115" t="str">
        <x:v>À équilibrer</x:v>
      </x:c>
      <x:c r="J584" s="115" t="str">
        <x:v>Non</x:v>
      </x:c>
      <x:c r="K584" s="115" t="str">
        <x:v>Pièces décrites, murs, portes, niveaux et mobilier inspectables à l’échelle. Volumes réservés, raccord au seed, butin, rencontres et services de campagne restent à terminer.</x:v>
      </x:c>
    </x:row>
    <x:row r="585" ht="96" customHeight="1">
      <x:c r="A585" s="115" t="str">
        <x:v>EXT-MONDE-T012-V30</x:v>
      </x:c>
      <x:c r="B585" s="115" t="str">
        <x:v>EXT-MONDE-T012</x:v>
      </x:c>
      <x:c r="C585" s="115" t="str">
        <x:v>Offshore</x:v>
      </x:c>
      <x:c r="D585" s="115" t="str">
        <x:v>Station scientifique marine</x:v>
      </x:c>
      <x:c r="E585" s="115" t="n">
        <x:v>30</x:v>
      </x:c>
      <x:c r="F585" s="115" t="str">
        <x:v>Inspection physique</x:v>
      </x:c>
      <x:c r="G585" s="115" t="str">
        <x:v>1 niveaux ; 34 pièces ; 260 segments de mur ; 0 transitions. Inspection physique ; architecture complète encore ouverte.</x:v>
      </x:c>
      <x:c r="H585" s="115" t="str">
        <x:v>L 384 ; l 320 ; hauteur 26 m ; choix de composition auteur ; dimensions réelles à documenter</x:v>
      </x:c>
      <x:c r="I585" s="115" t="str">
        <x:v>À équilibrer</x:v>
      </x:c>
      <x:c r="J585" s="115" t="str">
        <x:v>Non</x:v>
      </x:c>
      <x:c r="K585" s="115" t="str">
        <x:v>Pièces décrites, murs, portes, niveaux et mobilier inspectables à l’échelle. Volumes réservés, raccord au seed, butin, rencontres et services de campagne restent à terminer.</x:v>
      </x:c>
    </x:row>
    <x:row r="586" ht="96" customHeight="1">
      <x:c r="A586" s="115" t="str">
        <x:v>EXT-MONDE-T012-V31</x:v>
      </x:c>
      <x:c r="B586" s="115" t="str">
        <x:v>EXT-MONDE-T012</x:v>
      </x:c>
      <x:c r="C586" s="115" t="str">
        <x:v>Offshore</x:v>
      </x:c>
      <x:c r="D586" s="115" t="str">
        <x:v>Station scientifique marine</x:v>
      </x:c>
      <x:c r="E586" s="115" t="n">
        <x:v>31</x:v>
      </x:c>
      <x:c r="F586" s="115" t="str">
        <x:v>Inspection physique</x:v>
      </x:c>
      <x:c r="G586" s="115" t="str">
        <x:v>1 niveaux ; 34 pièces ; 260 segments de mur ; 0 transitions. Inspection physique ; architecture complète encore ouverte.</x:v>
      </x:c>
      <x:c r="H586" s="115" t="str">
        <x:v>L 398 ; l 332 ; hauteur 26 m ; choix de composition auteur ; dimensions réelles à documenter</x:v>
      </x:c>
      <x:c r="I586" s="115" t="str">
        <x:v>À équilibrer</x:v>
      </x:c>
      <x:c r="J586" s="115" t="str">
        <x:v>Non</x:v>
      </x:c>
      <x:c r="K586" s="115" t="str">
        <x:v>Pièces décrites, murs, portes, niveaux et mobilier inspectables à l’échelle. Volumes réservés, raccord au seed, butin, rencontres et services de campagne restent à terminer.</x:v>
      </x:c>
    </x:row>
    <x:row r="587" ht="96" customHeight="1">
      <x:c r="A587" s="115" t="str">
        <x:v>EXT-MONDE-T012-V32</x:v>
      </x:c>
      <x:c r="B587" s="115" t="str">
        <x:v>EXT-MONDE-T012</x:v>
      </x:c>
      <x:c r="C587" s="115" t="str">
        <x:v>Offshore</x:v>
      </x:c>
      <x:c r="D587" s="115" t="str">
        <x:v>Station scientifique marine</x:v>
      </x:c>
      <x:c r="E587" s="115" t="n">
        <x:v>32</x:v>
      </x:c>
      <x:c r="F587" s="115" t="str">
        <x:v>Inspection physique</x:v>
      </x:c>
      <x:c r="G587" s="115" t="str">
        <x:v>1 niveaux ; 34 pièces ; 260 segments de mur ; 0 transitions. Inspection physique ; architecture complète encore ouverte.</x:v>
      </x:c>
      <x:c r="H587" s="115" t="str">
        <x:v>L 398 ; l 332 ; hauteur 26 m ; choix de composition auteur ; dimensions réelles à documenter</x:v>
      </x:c>
      <x:c r="I587" s="115" t="str">
        <x:v>À équilibrer</x:v>
      </x:c>
      <x:c r="J587" s="115" t="str">
        <x:v>Non</x:v>
      </x:c>
      <x:c r="K587" s="115" t="str">
        <x:v>Pièces décrites, murs, portes, niveaux et mobilier inspectables à l’échelle. Volumes réservés, raccord au seed, butin, rencontres et services de campagne restent à terminer.</x:v>
      </x:c>
    </x:row>
    <x:row r="588" ht="96" customHeight="1">
      <x:c r="A588" s="115" t="str">
        <x:v>EXT-MONDE-T012-V33</x:v>
      </x:c>
      <x:c r="B588" s="115" t="str">
        <x:v>EXT-MONDE-T012</x:v>
      </x:c>
      <x:c r="C588" s="115" t="str">
        <x:v>Offshore</x:v>
      </x:c>
      <x:c r="D588" s="115" t="str">
        <x:v>Station scientifique marine</x:v>
      </x:c>
      <x:c r="E588" s="115" t="n">
        <x:v>33</x:v>
      </x:c>
      <x:c r="F588" s="115" t="str">
        <x:v>Inspection physique</x:v>
      </x:c>
      <x:c r="G588" s="115" t="str">
        <x:v>1 niveaux ; 34 pièces ; 260 segments de mur ; 0 transitions. Inspection physique ; architecture complète encore ouverte.</x:v>
      </x:c>
      <x:c r="H588" s="115" t="str">
        <x:v>L 398 ; l 332 ; hauteur 26 m ; choix de composition auteur ; dimensions réelles à documenter</x:v>
      </x:c>
      <x:c r="I588" s="115" t="str">
        <x:v>À équilibrer</x:v>
      </x:c>
      <x:c r="J588" s="115" t="str">
        <x:v>Non</x:v>
      </x:c>
      <x:c r="K588" s="115" t="str">
        <x:v>Pièces décrites, murs, portes, niveaux et mobilier inspectables à l’échelle. Volumes réservés, raccord au seed, butin, rencontres et services de campagne restent à terminer.</x:v>
      </x:c>
    </x:row>
    <x:row r="589" ht="96" customHeight="1">
      <x:c r="A589" s="115" t="str">
        <x:v>EXT-MONDE-T012-V34</x:v>
      </x:c>
      <x:c r="B589" s="115" t="str">
        <x:v>EXT-MONDE-T012</x:v>
      </x:c>
      <x:c r="C589" s="115" t="str">
        <x:v>Offshore</x:v>
      </x:c>
      <x:c r="D589" s="115" t="str">
        <x:v>Station scientifique marine</x:v>
      </x:c>
      <x:c r="E589" s="115" t="n">
        <x:v>34</x:v>
      </x:c>
      <x:c r="F589" s="115" t="str">
        <x:v>Inspection physique</x:v>
      </x:c>
      <x:c r="G589" s="115" t="str">
        <x:v>1 niveaux ; 34 pièces ; 260 segments de mur ; 0 transitions. Inspection physique ; architecture complète encore ouverte.</x:v>
      </x:c>
      <x:c r="H589" s="115" t="str">
        <x:v>L 398 ; l 332 ; hauteur 26 m ; choix de composition auteur ; dimensions réelles à documenter</x:v>
      </x:c>
      <x:c r="I589" s="115" t="str">
        <x:v>À équilibrer</x:v>
      </x:c>
      <x:c r="J589" s="115" t="str">
        <x:v>Non</x:v>
      </x:c>
      <x:c r="K589" s="115" t="str">
        <x:v>Pièces décrites, murs, portes, niveaux et mobilier inspectables à l’échelle. Volumes réservés, raccord au seed, butin, rencontres et services de campagne restent à terminer.</x:v>
      </x:c>
    </x:row>
    <x:row r="590" ht="96" customHeight="1">
      <x:c r="A590" s="115" t="str">
        <x:v>EXT-MONDE-T012-V35</x:v>
      </x:c>
      <x:c r="B590" s="115" t="str">
        <x:v>EXT-MONDE-T012</x:v>
      </x:c>
      <x:c r="C590" s="115" t="str">
        <x:v>Offshore</x:v>
      </x:c>
      <x:c r="D590" s="115" t="str">
        <x:v>Station scientifique marine</x:v>
      </x:c>
      <x:c r="E590" s="115" t="n">
        <x:v>35</x:v>
      </x:c>
      <x:c r="F590" s="115" t="str">
        <x:v>Inspection physique</x:v>
      </x:c>
      <x:c r="G590" s="115" t="str">
        <x:v>1 niveaux ; 34 pièces ; 260 segments de mur ; 0 transitions. Inspection physique ; architecture complète encore ouverte.</x:v>
      </x:c>
      <x:c r="H590" s="115" t="str">
        <x:v>L 398 ; l 332 ; hauteur 26 m ; choix de composition auteur ; dimensions réelles à documenter</x:v>
      </x:c>
      <x:c r="I590" s="115" t="str">
        <x:v>À équilibrer</x:v>
      </x:c>
      <x:c r="J590" s="115" t="str">
        <x:v>Non</x:v>
      </x:c>
      <x:c r="K590" s="115" t="str">
        <x:v>Pièces décrites, murs, portes, niveaux et mobilier inspectables à l’échelle. Volumes réservés, raccord au seed, butin, rencontres et services de campagne restent à terminer.</x:v>
      </x:c>
    </x:row>
    <x:row r="591" ht="96" customHeight="1">
      <x:c r="A591" s="115" t="str">
        <x:v>EXT-MONDE-T012-V36</x:v>
      </x:c>
      <x:c r="B591" s="115" t="str">
        <x:v>EXT-MONDE-T012</x:v>
      </x:c>
      <x:c r="C591" s="115" t="str">
        <x:v>Offshore</x:v>
      </x:c>
      <x:c r="D591" s="115" t="str">
        <x:v>Station scientifique marine</x:v>
      </x:c>
      <x:c r="E591" s="115" t="n">
        <x:v>36</x:v>
      </x:c>
      <x:c r="F591" s="115" t="str">
        <x:v>Inspection physique</x:v>
      </x:c>
      <x:c r="G591" s="115" t="str">
        <x:v>1 niveaux ; 34 pièces ; 260 segments de mur ; 0 transitions. Inspection physique ; architecture complète encore ouverte.</x:v>
      </x:c>
      <x:c r="H591" s="115" t="str">
        <x:v>L 398 ; l 332 ; hauteur 26 m ; choix de composition auteur ; dimensions réelles à documenter</x:v>
      </x:c>
      <x:c r="I591" s="115" t="str">
        <x:v>À équilibrer</x:v>
      </x:c>
      <x:c r="J591" s="115" t="str">
        <x:v>Non</x:v>
      </x:c>
      <x:c r="K591" s="115" t="str">
        <x:v>Pièces décrites, murs, portes, niveaux et mobilier inspectables à l’échelle. Volumes réservés, raccord au seed, butin, rencontres et services de campagne restent à terminer.</x:v>
      </x:c>
    </x:row>
    <x:row r="592" ht="96" customHeight="1">
      <x:c r="A592" s="115" t="str">
        <x:v>EXT-MONDE-T012-V37</x:v>
      </x:c>
      <x:c r="B592" s="115" t="str">
        <x:v>EXT-MONDE-T012</x:v>
      </x:c>
      <x:c r="C592" s="115" t="str">
        <x:v>Offshore</x:v>
      </x:c>
      <x:c r="D592" s="115" t="str">
        <x:v>Station scientifique marine</x:v>
      </x:c>
      <x:c r="E592" s="115" t="n">
        <x:v>37</x:v>
      </x:c>
      <x:c r="F592" s="115" t="str">
        <x:v>Inspection physique</x:v>
      </x:c>
      <x:c r="G592" s="115" t="str">
        <x:v>1 niveaux ; 34 pièces ; 260 segments de mur ; 0 transitions. Inspection physique ; architecture complète encore ouverte.</x:v>
      </x:c>
      <x:c r="H592" s="115" t="str">
        <x:v>L 398 ; l 332 ; hauteur 26 m ; choix de composition auteur ; dimensions réelles à documenter</x:v>
      </x:c>
      <x:c r="I592" s="115" t="str">
        <x:v>À équilibrer</x:v>
      </x:c>
      <x:c r="J592" s="115" t="str">
        <x:v>Non</x:v>
      </x:c>
      <x:c r="K592" s="115" t="str">
        <x:v>Pièces décrites, murs, portes, niveaux et mobilier inspectables à l’échelle. Volumes réservés, raccord au seed, butin, rencontres et services de campagne restent à terminer.</x:v>
      </x:c>
    </x:row>
    <x:row r="593" ht="96" customHeight="1">
      <x:c r="A593" s="115" t="str">
        <x:v>EXT-MONDE-T012-V38</x:v>
      </x:c>
      <x:c r="B593" s="115" t="str">
        <x:v>EXT-MONDE-T012</x:v>
      </x:c>
      <x:c r="C593" s="115" t="str">
        <x:v>Offshore</x:v>
      </x:c>
      <x:c r="D593" s="115" t="str">
        <x:v>Station scientifique marine</x:v>
      </x:c>
      <x:c r="E593" s="115" t="n">
        <x:v>38</x:v>
      </x:c>
      <x:c r="F593" s="115" t="str">
        <x:v>Inspection physique</x:v>
      </x:c>
      <x:c r="G593" s="115" t="str">
        <x:v>1 niveaux ; 34 pièces ; 260 segments de mur ; 0 transitions. Inspection physique ; architecture complète encore ouverte.</x:v>
      </x:c>
      <x:c r="H593" s="115" t="str">
        <x:v>L 398 ; l 332 ; hauteur 26 m ; choix de composition auteur ; dimensions réelles à documenter</x:v>
      </x:c>
      <x:c r="I593" s="115" t="str">
        <x:v>À équilibrer</x:v>
      </x:c>
      <x:c r="J593" s="115" t="str">
        <x:v>Non</x:v>
      </x:c>
      <x:c r="K593" s="115" t="str">
        <x:v>Pièces décrites, murs, portes, niveaux et mobilier inspectables à l’échelle. Volumes réservés, raccord au seed, butin, rencontres et services de campagne restent à terminer.</x:v>
      </x:c>
    </x:row>
    <x:row r="594" ht="96" customHeight="1">
      <x:c r="A594" s="115" t="str">
        <x:v>EXT-MONDE-T012-V39</x:v>
      </x:c>
      <x:c r="B594" s="115" t="str">
        <x:v>EXT-MONDE-T012</x:v>
      </x:c>
      <x:c r="C594" s="115" t="str">
        <x:v>Offshore</x:v>
      </x:c>
      <x:c r="D594" s="115" t="str">
        <x:v>Station scientifique marine</x:v>
      </x:c>
      <x:c r="E594" s="115" t="n">
        <x:v>39</x:v>
      </x:c>
      <x:c r="F594" s="115" t="str">
        <x:v>Inspection physique</x:v>
      </x:c>
      <x:c r="G594" s="115" t="str">
        <x:v>1 niveaux ; 34 pièces ; 260 segments de mur ; 0 transitions. Inspection physique ; architecture complète encore ouverte.</x:v>
      </x:c>
      <x:c r="H594" s="115" t="str">
        <x:v>L 398 ; l 332 ; hauteur 26 m ; choix de composition auteur ; dimensions réelles à documenter</x:v>
      </x:c>
      <x:c r="I594" s="115" t="str">
        <x:v>À équilibrer</x:v>
      </x:c>
      <x:c r="J594" s="115" t="str">
        <x:v>Non</x:v>
      </x:c>
      <x:c r="K594" s="115" t="str">
        <x:v>Pièces décrites, murs, portes, niveaux et mobilier inspectables à l’échelle. Volumes réservés, raccord au seed, butin, rencontres et services de campagne restent à terminer.</x:v>
      </x:c>
    </x:row>
    <x:row r="595" ht="96" customHeight="1">
      <x:c r="A595" s="115" t="str">
        <x:v>EXT-MONDE-T012-V40</x:v>
      </x:c>
      <x:c r="B595" s="115" t="str">
        <x:v>EXT-MONDE-T012</x:v>
      </x:c>
      <x:c r="C595" s="115" t="str">
        <x:v>Offshore</x:v>
      </x:c>
      <x:c r="D595" s="115" t="str">
        <x:v>Station scientifique marine</x:v>
      </x:c>
      <x:c r="E595" s="115" t="n">
        <x:v>40</x:v>
      </x:c>
      <x:c r="F595" s="115" t="str">
        <x:v>Inspection physique</x:v>
      </x:c>
      <x:c r="G595" s="115" t="str">
        <x:v>1 niveaux ; 34 pièces ; 260 segments de mur ; 0 transitions. Inspection physique ; architecture complète encore ouverte.</x:v>
      </x:c>
      <x:c r="H595" s="115" t="str">
        <x:v>L 398 ; l 332 ; hauteur 26 m ; choix de composition auteur ; dimensions réelles à documenter</x:v>
      </x:c>
      <x:c r="I595" s="115" t="str">
        <x:v>À équilibrer</x:v>
      </x:c>
      <x:c r="J595" s="115" t="str">
        <x:v>Non</x:v>
      </x:c>
      <x:c r="K595" s="115" t="str">
        <x:v>Pièces décrites, murs, portes, niveaux et mobilier inspectables à l’échelle. Volumes réservés, raccord au seed, butin, rencontres et services de campagne restent à terminer.</x:v>
      </x:c>
    </x:row>
    <x:row r="596" ht="96" customHeight="1">
      <x:c r="A596" s="115" t="str">
        <x:v>EXT-MONDE-T012-V41</x:v>
      </x:c>
      <x:c r="B596" s="115" t="str">
        <x:v>EXT-MONDE-T012</x:v>
      </x:c>
      <x:c r="C596" s="115" t="str">
        <x:v>Offshore</x:v>
      </x:c>
      <x:c r="D596" s="115" t="str">
        <x:v>Station scientifique marine</x:v>
      </x:c>
      <x:c r="E596" s="115" t="n">
        <x:v>41</x:v>
      </x:c>
      <x:c r="F596" s="115" t="str">
        <x:v>Inspection physique</x:v>
      </x:c>
      <x:c r="G596" s="115" t="str">
        <x:v>1 niveaux ; 34 pièces ; 260 segments de mur ; 0 transitions. Inspection physique ; architecture complète encore ouverte.</x:v>
      </x:c>
      <x:c r="H596" s="115" t="str">
        <x:v>L 412 ; l 344 ; hauteur 26 m ; choix de composition auteur ; dimensions réelles à documenter</x:v>
      </x:c>
      <x:c r="I596" s="115" t="str">
        <x:v>À équilibrer</x:v>
      </x:c>
      <x:c r="J596" s="115" t="str">
        <x:v>Non</x:v>
      </x:c>
      <x:c r="K596" s="115" t="str">
        <x:v>Pièces décrites, murs, portes, niveaux et mobilier inspectables à l’échelle. Volumes réservés, raccord au seed, butin, rencontres et services de campagne restent à terminer.</x:v>
      </x:c>
    </x:row>
    <x:row r="597" ht="96" customHeight="1">
      <x:c r="A597" s="115" t="str">
        <x:v>EXT-MONDE-T012-V42</x:v>
      </x:c>
      <x:c r="B597" s="115" t="str">
        <x:v>EXT-MONDE-T012</x:v>
      </x:c>
      <x:c r="C597" s="115" t="str">
        <x:v>Offshore</x:v>
      </x:c>
      <x:c r="D597" s="115" t="str">
        <x:v>Station scientifique marine</x:v>
      </x:c>
      <x:c r="E597" s="115" t="n">
        <x:v>42</x:v>
      </x:c>
      <x:c r="F597" s="115" t="str">
        <x:v>Inspection physique</x:v>
      </x:c>
      <x:c r="G597" s="115" t="str">
        <x:v>1 niveaux ; 34 pièces ; 260 segments de mur ; 0 transitions. Inspection physique ; architecture complète encore ouverte.</x:v>
      </x:c>
      <x:c r="H597" s="115" t="str">
        <x:v>L 412 ; l 344 ; hauteur 26 m ; choix de composition auteur ; dimensions réelles à documenter</x:v>
      </x:c>
      <x:c r="I597" s="115" t="str">
        <x:v>À équilibrer</x:v>
      </x:c>
      <x:c r="J597" s="115" t="str">
        <x:v>Non</x:v>
      </x:c>
      <x:c r="K597" s="115" t="str">
        <x:v>Pièces décrites, murs, portes, niveaux et mobilier inspectables à l’échelle. Volumes réservés, raccord au seed, butin, rencontres et services de campagne restent à terminer.</x:v>
      </x:c>
    </x:row>
    <x:row r="598" ht="96" customHeight="1">
      <x:c r="A598" s="115" t="str">
        <x:v>EXT-MONDE-T012-V43</x:v>
      </x:c>
      <x:c r="B598" s="115" t="str">
        <x:v>EXT-MONDE-T012</x:v>
      </x:c>
      <x:c r="C598" s="115" t="str">
        <x:v>Offshore</x:v>
      </x:c>
      <x:c r="D598" s="115" t="str">
        <x:v>Station scientifique marine</x:v>
      </x:c>
      <x:c r="E598" s="115" t="n">
        <x:v>43</x:v>
      </x:c>
      <x:c r="F598" s="115" t="str">
        <x:v>Inspection physique</x:v>
      </x:c>
      <x:c r="G598" s="115" t="str">
        <x:v>1 niveaux ; 34 pièces ; 260 segments de mur ; 0 transitions. Inspection physique ; architecture complète encore ouverte.</x:v>
      </x:c>
      <x:c r="H598" s="115" t="str">
        <x:v>L 412 ; l 344 ; hauteur 26 m ; choix de composition auteur ; dimensions réelles à documenter</x:v>
      </x:c>
      <x:c r="I598" s="115" t="str">
        <x:v>À équilibrer</x:v>
      </x:c>
      <x:c r="J598" s="115" t="str">
        <x:v>Non</x:v>
      </x:c>
      <x:c r="K598" s="115" t="str">
        <x:v>Pièces décrites, murs, portes, niveaux et mobilier inspectables à l’échelle. Volumes réservés, raccord au seed, butin, rencontres et services de campagne restent à terminer.</x:v>
      </x:c>
    </x:row>
    <x:row r="599" ht="96" customHeight="1">
      <x:c r="A599" s="115" t="str">
        <x:v>EXT-MONDE-T012-V44</x:v>
      </x:c>
      <x:c r="B599" s="115" t="str">
        <x:v>EXT-MONDE-T012</x:v>
      </x:c>
      <x:c r="C599" s="115" t="str">
        <x:v>Offshore</x:v>
      </x:c>
      <x:c r="D599" s="115" t="str">
        <x:v>Station scientifique marine</x:v>
      </x:c>
      <x:c r="E599" s="115" t="n">
        <x:v>44</x:v>
      </x:c>
      <x:c r="F599" s="115" t="str">
        <x:v>Inspection physique</x:v>
      </x:c>
      <x:c r="G599" s="115" t="str">
        <x:v>1 niveaux ; 34 pièces ; 260 segments de mur ; 0 transitions. Inspection physique ; architecture complète encore ouverte.</x:v>
      </x:c>
      <x:c r="H599" s="115" t="str">
        <x:v>L 412 ; l 344 ; hauteur 26 m ; choix de composition auteur ; dimensions réelles à documenter</x:v>
      </x:c>
      <x:c r="I599" s="115" t="str">
        <x:v>À équilibrer</x:v>
      </x:c>
      <x:c r="J599" s="115" t="str">
        <x:v>Non</x:v>
      </x:c>
      <x:c r="K599" s="115" t="str">
        <x:v>Pièces décrites, murs, portes, niveaux et mobilier inspectables à l’échelle. Volumes réservés, raccord au seed, butin, rencontres et services de campagne restent à terminer.</x:v>
      </x:c>
    </x:row>
    <x:row r="600" ht="96" customHeight="1">
      <x:c r="A600" s="115" t="str">
        <x:v>EXT-MONDE-T012-V45</x:v>
      </x:c>
      <x:c r="B600" s="115" t="str">
        <x:v>EXT-MONDE-T012</x:v>
      </x:c>
      <x:c r="C600" s="115" t="str">
        <x:v>Offshore</x:v>
      </x:c>
      <x:c r="D600" s="115" t="str">
        <x:v>Station scientifique marine</x:v>
      </x:c>
      <x:c r="E600" s="115" t="n">
        <x:v>45</x:v>
      </x:c>
      <x:c r="F600" s="115" t="str">
        <x:v>Inspection physique</x:v>
      </x:c>
      <x:c r="G600" s="115" t="str">
        <x:v>1 niveaux ; 34 pièces ; 260 segments de mur ; 0 transitions. Inspection physique ; architecture complète encore ouverte.</x:v>
      </x:c>
      <x:c r="H600" s="115" t="str">
        <x:v>L 412 ; l 344 ; hauteur 26 m ; choix de composition auteur ; dimensions réelles à documenter</x:v>
      </x:c>
      <x:c r="I600" s="115" t="str">
        <x:v>À équilibrer</x:v>
      </x:c>
      <x:c r="J600" s="115" t="str">
        <x:v>Non</x:v>
      </x:c>
      <x:c r="K600" s="115" t="str">
        <x:v>Pièces décrites, murs, portes, niveaux et mobilier inspectables à l’échelle. Volumes réservés, raccord au seed, butin, rencontres et services de campagne restent à terminer.</x:v>
      </x:c>
    </x:row>
    <x:row r="601" ht="96" customHeight="1">
      <x:c r="A601" s="115" t="str">
        <x:v>EXT-MONDE-T012-V46</x:v>
      </x:c>
      <x:c r="B601" s="115" t="str">
        <x:v>EXT-MONDE-T012</x:v>
      </x:c>
      <x:c r="C601" s="115" t="str">
        <x:v>Offshore</x:v>
      </x:c>
      <x:c r="D601" s="115" t="str">
        <x:v>Station scientifique marine</x:v>
      </x:c>
      <x:c r="E601" s="115" t="n">
        <x:v>46</x:v>
      </x:c>
      <x:c r="F601" s="115" t="str">
        <x:v>Inspection physique</x:v>
      </x:c>
      <x:c r="G601" s="115" t="str">
        <x:v>1 niveaux ; 34 pièces ; 260 segments de mur ; 0 transitions. Inspection physique ; architecture complète encore ouverte.</x:v>
      </x:c>
      <x:c r="H601" s="115" t="str">
        <x:v>L 412 ; l 344 ; hauteur 26 m ; choix de composition auteur ; dimensions réelles à documenter</x:v>
      </x:c>
      <x:c r="I601" s="115" t="str">
        <x:v>À équilibrer</x:v>
      </x:c>
      <x:c r="J601" s="115" t="str">
        <x:v>Non</x:v>
      </x:c>
      <x:c r="K601" s="115" t="str">
        <x:v>Pièces décrites, murs, portes, niveaux et mobilier inspectables à l’échelle. Volumes réservés, raccord au seed, butin, rencontres et services de campagne restent à terminer.</x:v>
      </x:c>
    </x:row>
    <x:row r="602" ht="96" customHeight="1">
      <x:c r="A602" s="115" t="str">
        <x:v>EXT-MONDE-T012-V47</x:v>
      </x:c>
      <x:c r="B602" s="115" t="str">
        <x:v>EXT-MONDE-T012</x:v>
      </x:c>
      <x:c r="C602" s="115" t="str">
        <x:v>Offshore</x:v>
      </x:c>
      <x:c r="D602" s="115" t="str">
        <x:v>Station scientifique marine</x:v>
      </x:c>
      <x:c r="E602" s="115" t="n">
        <x:v>47</x:v>
      </x:c>
      <x:c r="F602" s="115" t="str">
        <x:v>Inspection physique</x:v>
      </x:c>
      <x:c r="G602" s="115" t="str">
        <x:v>1 niveaux ; 34 pièces ; 260 segments de mur ; 0 transitions. Inspection physique ; architecture complète encore ouverte.</x:v>
      </x:c>
      <x:c r="H602" s="115" t="str">
        <x:v>L 412 ; l 344 ; hauteur 26 m ; choix de composition auteur ; dimensions réelles à documenter</x:v>
      </x:c>
      <x:c r="I602" s="115" t="str">
        <x:v>À équilibrer</x:v>
      </x:c>
      <x:c r="J602" s="115" t="str">
        <x:v>Non</x:v>
      </x:c>
      <x:c r="K602" s="115" t="str">
        <x:v>Pièces décrites, murs, portes, niveaux et mobilier inspectables à l’échelle. Volumes réservés, raccord au seed, butin, rencontres et services de campagne restent à terminer.</x:v>
      </x:c>
    </x:row>
    <x:row r="603" ht="96" customHeight="1">
      <x:c r="A603" s="115" t="str">
        <x:v>EXT-MONDE-T012-V48</x:v>
      </x:c>
      <x:c r="B603" s="115" t="str">
        <x:v>EXT-MONDE-T012</x:v>
      </x:c>
      <x:c r="C603" s="115" t="str">
        <x:v>Offshore</x:v>
      </x:c>
      <x:c r="D603" s="115" t="str">
        <x:v>Station scientifique marine</x:v>
      </x:c>
      <x:c r="E603" s="115" t="n">
        <x:v>48</x:v>
      </x:c>
      <x:c r="F603" s="115" t="str">
        <x:v>Inspection physique</x:v>
      </x:c>
      <x:c r="G603" s="115" t="str">
        <x:v>1 niveaux ; 34 pièces ; 260 segments de mur ; 0 transitions. Inspection physique ; architecture complète encore ouverte.</x:v>
      </x:c>
      <x:c r="H603" s="115" t="str">
        <x:v>L 412 ; l 344 ; hauteur 26 m ; choix de composition auteur ; dimensions réelles à documenter</x:v>
      </x:c>
      <x:c r="I603" s="115" t="str">
        <x:v>À équilibrer</x:v>
      </x:c>
      <x:c r="J603" s="115" t="str">
        <x:v>Non</x:v>
      </x:c>
      <x:c r="K603" s="115" t="str">
        <x:v>Pièces décrites, murs, portes, niveaux et mobilier inspectables à l’échelle. Volumes réservés, raccord au seed, butin, rencontres et services de campagne restent à terminer.</x:v>
      </x:c>
    </x:row>
    <x:row r="604" ht="96" customHeight="1">
      <x:c r="A604" s="115" t="str">
        <x:v>EXT-MONDE-T012-V49</x:v>
      </x:c>
      <x:c r="B604" s="115" t="str">
        <x:v>EXT-MONDE-T012</x:v>
      </x:c>
      <x:c r="C604" s="115" t="str">
        <x:v>Offshore</x:v>
      </x:c>
      <x:c r="D604" s="115" t="str">
        <x:v>Station scientifique marine</x:v>
      </x:c>
      <x:c r="E604" s="115" t="n">
        <x:v>49</x:v>
      </x:c>
      <x:c r="F604" s="115" t="str">
        <x:v>Inspection physique</x:v>
      </x:c>
      <x:c r="G604" s="115" t="str">
        <x:v>1 niveaux ; 34 pièces ; 260 segments de mur ; 0 transitions. Inspection physique ; architecture complète encore ouverte.</x:v>
      </x:c>
      <x:c r="H604" s="115" t="str">
        <x:v>L 412 ; l 344 ; hauteur 26 m ; choix de composition auteur ; dimensions réelles à documenter</x:v>
      </x:c>
      <x:c r="I604" s="115" t="str">
        <x:v>À équilibrer</x:v>
      </x:c>
      <x:c r="J604" s="115" t="str">
        <x:v>Non</x:v>
      </x:c>
      <x:c r="K604" s="115" t="str">
        <x:v>Pièces décrites, murs, portes, niveaux et mobilier inspectables à l’échelle. Volumes réservés, raccord au seed, butin, rencontres et services de campagne restent à terminer.</x:v>
      </x:c>
    </x:row>
    <x:row r="605" ht="96" customHeight="1">
      <x:c r="A605" s="115" t="str">
        <x:v>EXT-MONDE-T012-V50</x:v>
      </x:c>
      <x:c r="B605" s="115" t="str">
        <x:v>EXT-MONDE-T012</x:v>
      </x:c>
      <x:c r="C605" s="115" t="str">
        <x:v>Offshore</x:v>
      </x:c>
      <x:c r="D605" s="115" t="str">
        <x:v>Station scientifique marine</x:v>
      </x:c>
      <x:c r="E605" s="115" t="n">
        <x:v>50</x:v>
      </x:c>
      <x:c r="F605" s="115" t="str">
        <x:v>Inspection physique</x:v>
      </x:c>
      <x:c r="G605" s="115" t="str">
        <x:v>1 niveaux ; 34 pièces ; 260 segments de mur ; 0 transitions. Inspection physique ; architecture complète encore ouverte.</x:v>
      </x:c>
      <x:c r="H605" s="115" t="str">
        <x:v>L 412 ; l 344 ; hauteur 26 m ; choix de composition auteur ; dimensions réelles à documenter</x:v>
      </x:c>
      <x:c r="I605" s="115" t="str">
        <x:v>À équilibrer</x:v>
      </x:c>
      <x:c r="J605" s="115" t="str">
        <x:v>Non</x:v>
      </x:c>
      <x:c r="K605" s="115" t="str">
        <x:v>Pièces décrites, murs, portes, niveaux et mobilier inspectables à l’échelle. Volumes réservés, raccord au seed, butin, rencontres et services de campagne restent à terminer.</x:v>
      </x:c>
    </x:row>
    <x:row r="606" ht="96" customHeight="1">
      <x:c r="A606" s="115" t="str">
        <x:v>EXT-MONDE-T013-V01</x:v>
      </x:c>
      <x:c r="B606" s="115" t="str">
        <x:v>EXT-MONDE-T013</x:v>
      </x:c>
      <x:c r="C606" s="115" t="str">
        <x:v>Ports</x:v>
      </x:c>
      <x:c r="D606" s="115" t="str">
        <x:v>Port de pêche</x:v>
      </x:c>
      <x:c r="E606" s="115" t="n">
        <x:v>1</x:v>
      </x:c>
      <x:c r="F606" s="115" t="str">
        <x:v>Inspection physique</x:v>
      </x:c>
      <x:c r="G606" s="115" t="str">
        <x:v>1 niveaux ; 32 pièces ; 248 segments de mur ; 0 transitions. Inspection physique ; architecture complète encore ouverte.</x:v>
      </x:c>
      <x:c r="H606" s="115" t="str">
        <x:v>L 344 ; l 444 ; hauteur 10 m ; choix de composition auteur ; dimensions réelles à documenter</x:v>
      </x:c>
      <x:c r="I606" s="115" t="str">
        <x:v>À équilibrer</x:v>
      </x:c>
      <x:c r="J606" s="115" t="str">
        <x:v>Non</x:v>
      </x:c>
      <x:c r="K606" s="115" t="str">
        <x:v>Pièces décrites, murs, portes, niveaux et mobilier inspectables à l’échelle. Volumes réservés, raccord au seed, butin, rencontres et services de campagne restent à terminer.</x:v>
      </x:c>
    </x:row>
    <x:row r="607" ht="96" customHeight="1">
      <x:c r="A607" s="115" t="str">
        <x:v>EXT-MONDE-T013-V02</x:v>
      </x:c>
      <x:c r="B607" s="115" t="str">
        <x:v>EXT-MONDE-T013</x:v>
      </x:c>
      <x:c r="C607" s="115" t="str">
        <x:v>Ports</x:v>
      </x:c>
      <x:c r="D607" s="115" t="str">
        <x:v>Port de pêche</x:v>
      </x:c>
      <x:c r="E607" s="115" t="n">
        <x:v>2</x:v>
      </x:c>
      <x:c r="F607" s="115" t="str">
        <x:v>Inspection physique</x:v>
      </x:c>
      <x:c r="G607" s="115" t="str">
        <x:v>1 niveaux ; 32 pièces ; 248 segments de mur ; 0 transitions. Inspection physique ; architecture complète encore ouverte.</x:v>
      </x:c>
      <x:c r="H607" s="115" t="str">
        <x:v>L 344 ; l 444 ; hauteur 10 m ; choix de composition auteur ; dimensions réelles à documenter</x:v>
      </x:c>
      <x:c r="I607" s="115" t="str">
        <x:v>À équilibrer</x:v>
      </x:c>
      <x:c r="J607" s="115" t="str">
        <x:v>Non</x:v>
      </x:c>
      <x:c r="K607" s="115" t="str">
        <x:v>Pièces décrites, murs, portes, niveaux et mobilier inspectables à l’échelle. Volumes réservés, raccord au seed, butin, rencontres et services de campagne restent à terminer.</x:v>
      </x:c>
    </x:row>
    <x:row r="608" ht="96" customHeight="1">
      <x:c r="A608" s="115" t="str">
        <x:v>EXT-MONDE-T013-V03</x:v>
      </x:c>
      <x:c r="B608" s="115" t="str">
        <x:v>EXT-MONDE-T013</x:v>
      </x:c>
      <x:c r="C608" s="115" t="str">
        <x:v>Ports</x:v>
      </x:c>
      <x:c r="D608" s="115" t="str">
        <x:v>Port de pêche</x:v>
      </x:c>
      <x:c r="E608" s="115" t="n">
        <x:v>3</x:v>
      </x:c>
      <x:c r="F608" s="115" t="str">
        <x:v>Inspection physique</x:v>
      </x:c>
      <x:c r="G608" s="115" t="str">
        <x:v>1 niveaux ; 32 pièces ; 248 segments de mur ; 0 transitions. Inspection physique ; architecture complète encore ouverte.</x:v>
      </x:c>
      <x:c r="H608" s="115" t="str">
        <x:v>L 344 ; l 444 ; hauteur 10 m ; choix de composition auteur ; dimensions réelles à documenter</x:v>
      </x:c>
      <x:c r="I608" s="115" t="str">
        <x:v>À équilibrer</x:v>
      </x:c>
      <x:c r="J608" s="115" t="str">
        <x:v>Non</x:v>
      </x:c>
      <x:c r="K608" s="115" t="str">
        <x:v>Pièces décrites, murs, portes, niveaux et mobilier inspectables à l’échelle. Volumes réservés, raccord au seed, butin, rencontres et services de campagne restent à terminer.</x:v>
      </x:c>
    </x:row>
    <x:row r="609" ht="96" customHeight="1">
      <x:c r="A609" s="115" t="str">
        <x:v>EXT-MONDE-T013-V04</x:v>
      </x:c>
      <x:c r="B609" s="115" t="str">
        <x:v>EXT-MONDE-T013</x:v>
      </x:c>
      <x:c r="C609" s="115" t="str">
        <x:v>Ports</x:v>
      </x:c>
      <x:c r="D609" s="115" t="str">
        <x:v>Port de pêche</x:v>
      </x:c>
      <x:c r="E609" s="115" t="n">
        <x:v>4</x:v>
      </x:c>
      <x:c r="F609" s="115" t="str">
        <x:v>Inspection physique</x:v>
      </x:c>
      <x:c r="G609" s="115" t="str">
        <x:v>1 niveaux ; 32 pièces ; 248 segments de mur ; 0 transitions. Inspection physique ; architecture complète encore ouverte.</x:v>
      </x:c>
      <x:c r="H609" s="115" t="str">
        <x:v>L 344 ; l 444 ; hauteur 10 m ; choix de composition auteur ; dimensions réelles à documenter</x:v>
      </x:c>
      <x:c r="I609" s="115" t="str">
        <x:v>À équilibrer</x:v>
      </x:c>
      <x:c r="J609" s="115" t="str">
        <x:v>Non</x:v>
      </x:c>
      <x:c r="K609" s="115" t="str">
        <x:v>Pièces décrites, murs, portes, niveaux et mobilier inspectables à l’échelle. Volumes réservés, raccord au seed, butin, rencontres et services de campagne restent à terminer.</x:v>
      </x:c>
    </x:row>
    <x:row r="610" ht="96" customHeight="1">
      <x:c r="A610" s="115" t="str">
        <x:v>EXT-MONDE-T013-V05</x:v>
      </x:c>
      <x:c r="B610" s="115" t="str">
        <x:v>EXT-MONDE-T013</x:v>
      </x:c>
      <x:c r="C610" s="115" t="str">
        <x:v>Ports</x:v>
      </x:c>
      <x:c r="D610" s="115" t="str">
        <x:v>Port de pêche</x:v>
      </x:c>
      <x:c r="E610" s="115" t="n">
        <x:v>5</x:v>
      </x:c>
      <x:c r="F610" s="115" t="str">
        <x:v>Inspection physique</x:v>
      </x:c>
      <x:c r="G610" s="115" t="str">
        <x:v>1 niveaux ; 32 pièces ; 248 segments de mur ; 0 transitions. Inspection physique ; architecture complète encore ouverte.</x:v>
      </x:c>
      <x:c r="H610" s="115" t="str">
        <x:v>L 344 ; l 444 ; hauteur 10 m ; choix de composition auteur ; dimensions réelles à documenter</x:v>
      </x:c>
      <x:c r="I610" s="115" t="str">
        <x:v>À équilibrer</x:v>
      </x:c>
      <x:c r="J610" s="115" t="str">
        <x:v>Non</x:v>
      </x:c>
      <x:c r="K610" s="115" t="str">
        <x:v>Pièces décrites, murs, portes, niveaux et mobilier inspectables à l’échelle. Volumes réservés, raccord au seed, butin, rencontres et services de campagne restent à terminer.</x:v>
      </x:c>
    </x:row>
    <x:row r="611" ht="96" customHeight="1">
      <x:c r="A611" s="115" t="str">
        <x:v>EXT-MONDE-T013-V06</x:v>
      </x:c>
      <x:c r="B611" s="115" t="str">
        <x:v>EXT-MONDE-T013</x:v>
      </x:c>
      <x:c r="C611" s="115" t="str">
        <x:v>Ports</x:v>
      </x:c>
      <x:c r="D611" s="115" t="str">
        <x:v>Port de pêche</x:v>
      </x:c>
      <x:c r="E611" s="115" t="n">
        <x:v>6</x:v>
      </x:c>
      <x:c r="F611" s="115" t="str">
        <x:v>Inspection physique</x:v>
      </x:c>
      <x:c r="G611" s="115" t="str">
        <x:v>1 niveaux ; 32 pièces ; 248 segments de mur ; 0 transitions. Inspection physique ; architecture complète encore ouverte.</x:v>
      </x:c>
      <x:c r="H611" s="115" t="str">
        <x:v>L 344 ; l 444 ; hauteur 10 m ; choix de composition auteur ; dimensions réelles à documenter</x:v>
      </x:c>
      <x:c r="I611" s="115" t="str">
        <x:v>À équilibrer</x:v>
      </x:c>
      <x:c r="J611" s="115" t="str">
        <x:v>Non</x:v>
      </x:c>
      <x:c r="K611" s="115" t="str">
        <x:v>Pièces décrites, murs, portes, niveaux et mobilier inspectables à l’échelle. Volumes réservés, raccord au seed, butin, rencontres et services de campagne restent à terminer.</x:v>
      </x:c>
    </x:row>
    <x:row r="612" ht="96" customHeight="1">
      <x:c r="A612" s="115" t="str">
        <x:v>EXT-MONDE-T013-V07</x:v>
      </x:c>
      <x:c r="B612" s="115" t="str">
        <x:v>EXT-MONDE-T013</x:v>
      </x:c>
      <x:c r="C612" s="115" t="str">
        <x:v>Ports</x:v>
      </x:c>
      <x:c r="D612" s="115" t="str">
        <x:v>Port de pêche</x:v>
      </x:c>
      <x:c r="E612" s="115" t="n">
        <x:v>7</x:v>
      </x:c>
      <x:c r="F612" s="115" t="str">
        <x:v>Inspection physique</x:v>
      </x:c>
      <x:c r="G612" s="115" t="str">
        <x:v>1 niveaux ; 32 pièces ; 248 segments de mur ; 0 transitions. Inspection physique ; architecture complète encore ouverte.</x:v>
      </x:c>
      <x:c r="H612" s="115" t="str">
        <x:v>L 344 ; l 444 ; hauteur 10 m ; choix de composition auteur ; dimensions réelles à documenter</x:v>
      </x:c>
      <x:c r="I612" s="115" t="str">
        <x:v>À équilibrer</x:v>
      </x:c>
      <x:c r="J612" s="115" t="str">
        <x:v>Non</x:v>
      </x:c>
      <x:c r="K612" s="115" t="str">
        <x:v>Pièces décrites, murs, portes, niveaux et mobilier inspectables à l’échelle. Volumes réservés, raccord au seed, butin, rencontres et services de campagne restent à terminer.</x:v>
      </x:c>
    </x:row>
    <x:row r="613" ht="96" customHeight="1">
      <x:c r="A613" s="115" t="str">
        <x:v>EXT-MONDE-T013-V08</x:v>
      </x:c>
      <x:c r="B613" s="115" t="str">
        <x:v>EXT-MONDE-T013</x:v>
      </x:c>
      <x:c r="C613" s="115" t="str">
        <x:v>Ports</x:v>
      </x:c>
      <x:c r="D613" s="115" t="str">
        <x:v>Port de pêche</x:v>
      </x:c>
      <x:c r="E613" s="115" t="n">
        <x:v>8</x:v>
      </x:c>
      <x:c r="F613" s="115" t="str">
        <x:v>Inspection physique</x:v>
      </x:c>
      <x:c r="G613" s="115" t="str">
        <x:v>1 niveaux ; 32 pièces ; 248 segments de mur ; 0 transitions. Inspection physique ; architecture complète encore ouverte.</x:v>
      </x:c>
      <x:c r="H613" s="115" t="str">
        <x:v>L 344 ; l 444 ; hauteur 10 m ; choix de composition auteur ; dimensions réelles à documenter</x:v>
      </x:c>
      <x:c r="I613" s="115" t="str">
        <x:v>À équilibrer</x:v>
      </x:c>
      <x:c r="J613" s="115" t="str">
        <x:v>Non</x:v>
      </x:c>
      <x:c r="K613" s="115" t="str">
        <x:v>Pièces décrites, murs, portes, niveaux et mobilier inspectables à l’échelle. Volumes réservés, raccord au seed, butin, rencontres et services de campagne restent à terminer.</x:v>
      </x:c>
    </x:row>
    <x:row r="614" ht="96" customHeight="1">
      <x:c r="A614" s="115" t="str">
        <x:v>EXT-MONDE-T013-V09</x:v>
      </x:c>
      <x:c r="B614" s="115" t="str">
        <x:v>EXT-MONDE-T013</x:v>
      </x:c>
      <x:c r="C614" s="115" t="str">
        <x:v>Ports</x:v>
      </x:c>
      <x:c r="D614" s="115" t="str">
        <x:v>Port de pêche</x:v>
      </x:c>
      <x:c r="E614" s="115" t="n">
        <x:v>9</x:v>
      </x:c>
      <x:c r="F614" s="115" t="str">
        <x:v>Inspection physique</x:v>
      </x:c>
      <x:c r="G614" s="115" t="str">
        <x:v>1 niveaux ; 32 pièces ; 248 segments de mur ; 0 transitions. Inspection physique ; architecture complète encore ouverte.</x:v>
      </x:c>
      <x:c r="H614" s="115" t="str">
        <x:v>L 344 ; l 444 ; hauteur 10 m ; choix de composition auteur ; dimensions réelles à documenter</x:v>
      </x:c>
      <x:c r="I614" s="115" t="str">
        <x:v>À équilibrer</x:v>
      </x:c>
      <x:c r="J614" s="115" t="str">
        <x:v>Non</x:v>
      </x:c>
      <x:c r="K614" s="115" t="str">
        <x:v>Pièces décrites, murs, portes, niveaux et mobilier inspectables à l’échelle. Volumes réservés, raccord au seed, butin, rencontres et services de campagne restent à terminer.</x:v>
      </x:c>
    </x:row>
    <x:row r="615" ht="96" customHeight="1">
      <x:c r="A615" s="115" t="str">
        <x:v>EXT-MONDE-T013-V10</x:v>
      </x:c>
      <x:c r="B615" s="115" t="str">
        <x:v>EXT-MONDE-T013</x:v>
      </x:c>
      <x:c r="C615" s="115" t="str">
        <x:v>Ports</x:v>
      </x:c>
      <x:c r="D615" s="115" t="str">
        <x:v>Port de pêche</x:v>
      </x:c>
      <x:c r="E615" s="115" t="n">
        <x:v>10</x:v>
      </x:c>
      <x:c r="F615" s="115" t="str">
        <x:v>Inspection physique</x:v>
      </x:c>
      <x:c r="G615" s="115" t="str">
        <x:v>1 niveaux ; 32 pièces ; 248 segments de mur ; 0 transitions. Inspection physique ; architecture complète encore ouverte.</x:v>
      </x:c>
      <x:c r="H615" s="115" t="str">
        <x:v>L 344 ; l 444 ; hauteur 10 m ; choix de composition auteur ; dimensions réelles à documenter</x:v>
      </x:c>
      <x:c r="I615" s="115" t="str">
        <x:v>À équilibrer</x:v>
      </x:c>
      <x:c r="J615" s="115" t="str">
        <x:v>Non</x:v>
      </x:c>
      <x:c r="K615" s="115" t="str">
        <x:v>Pièces décrites, murs, portes, niveaux et mobilier inspectables à l’échelle. Volumes réservés, raccord au seed, butin, rencontres et services de campagne restent à terminer.</x:v>
      </x:c>
    </x:row>
    <x:row r="616" ht="96" customHeight="1">
      <x:c r="A616" s="115" t="str">
        <x:v>EXT-MONDE-T013-V11</x:v>
      </x:c>
      <x:c r="B616" s="115" t="str">
        <x:v>EXT-MONDE-T013</x:v>
      </x:c>
      <x:c r="C616" s="115" t="str">
        <x:v>Ports</x:v>
      </x:c>
      <x:c r="D616" s="115" t="str">
        <x:v>Port de pêche</x:v>
      </x:c>
      <x:c r="E616" s="115" t="n">
        <x:v>11</x:v>
      </x:c>
      <x:c r="F616" s="115" t="str">
        <x:v>Inspection physique</x:v>
      </x:c>
      <x:c r="G616" s="115" t="str">
        <x:v>1 niveaux ; 32 pièces ; 248 segments de mur ; 0 transitions. Inspection physique ; architecture complète encore ouverte.</x:v>
      </x:c>
      <x:c r="H616" s="115" t="str">
        <x:v>L 358 ; l 456 ; hauteur 10 m ; choix de composition auteur ; dimensions réelles à documenter</x:v>
      </x:c>
      <x:c r="I616" s="115" t="str">
        <x:v>À équilibrer</x:v>
      </x:c>
      <x:c r="J616" s="115" t="str">
        <x:v>Non</x:v>
      </x:c>
      <x:c r="K616" s="115" t="str">
        <x:v>Pièces décrites, murs, portes, niveaux et mobilier inspectables à l’échelle. Volumes réservés, raccord au seed, butin, rencontres et services de campagne restent à terminer.</x:v>
      </x:c>
    </x:row>
    <x:row r="617" ht="96" customHeight="1">
      <x:c r="A617" s="115" t="str">
        <x:v>EXT-MONDE-T013-V12</x:v>
      </x:c>
      <x:c r="B617" s="115" t="str">
        <x:v>EXT-MONDE-T013</x:v>
      </x:c>
      <x:c r="C617" s="115" t="str">
        <x:v>Ports</x:v>
      </x:c>
      <x:c r="D617" s="115" t="str">
        <x:v>Port de pêche</x:v>
      </x:c>
      <x:c r="E617" s="115" t="n">
        <x:v>12</x:v>
      </x:c>
      <x:c r="F617" s="115" t="str">
        <x:v>Inspection physique</x:v>
      </x:c>
      <x:c r="G617" s="115" t="str">
        <x:v>1 niveaux ; 32 pièces ; 248 segments de mur ; 0 transitions. Inspection physique ; architecture complète encore ouverte.</x:v>
      </x:c>
      <x:c r="H617" s="115" t="str">
        <x:v>L 358 ; l 456 ; hauteur 10 m ; choix de composition auteur ; dimensions réelles à documenter</x:v>
      </x:c>
      <x:c r="I617" s="115" t="str">
        <x:v>À équilibrer</x:v>
      </x:c>
      <x:c r="J617" s="115" t="str">
        <x:v>Non</x:v>
      </x:c>
      <x:c r="K617" s="115" t="str">
        <x:v>Pièces décrites, murs, portes, niveaux et mobilier inspectables à l’échelle. Volumes réservés, raccord au seed, butin, rencontres et services de campagne restent à terminer.</x:v>
      </x:c>
    </x:row>
    <x:row r="618" ht="96" customHeight="1">
      <x:c r="A618" s="115" t="str">
        <x:v>EXT-MONDE-T013-V13</x:v>
      </x:c>
      <x:c r="B618" s="115" t="str">
        <x:v>EXT-MONDE-T013</x:v>
      </x:c>
      <x:c r="C618" s="115" t="str">
        <x:v>Ports</x:v>
      </x:c>
      <x:c r="D618" s="115" t="str">
        <x:v>Port de pêche</x:v>
      </x:c>
      <x:c r="E618" s="115" t="n">
        <x:v>13</x:v>
      </x:c>
      <x:c r="F618" s="115" t="str">
        <x:v>Inspection physique</x:v>
      </x:c>
      <x:c r="G618" s="115" t="str">
        <x:v>1 niveaux ; 32 pièces ; 248 segments de mur ; 0 transitions. Inspection physique ; architecture complète encore ouverte.</x:v>
      </x:c>
      <x:c r="H618" s="115" t="str">
        <x:v>L 358 ; l 456 ; hauteur 10 m ; choix de composition auteur ; dimensions réelles à documenter</x:v>
      </x:c>
      <x:c r="I618" s="115" t="str">
        <x:v>À équilibrer</x:v>
      </x:c>
      <x:c r="J618" s="115" t="str">
        <x:v>Non</x:v>
      </x:c>
      <x:c r="K618" s="115" t="str">
        <x:v>Pièces décrites, murs, portes, niveaux et mobilier inspectables à l’échelle. Volumes réservés, raccord au seed, butin, rencontres et services de campagne restent à terminer.</x:v>
      </x:c>
    </x:row>
    <x:row r="619" ht="96" customHeight="1">
      <x:c r="A619" s="115" t="str">
        <x:v>EXT-MONDE-T013-V14</x:v>
      </x:c>
      <x:c r="B619" s="115" t="str">
        <x:v>EXT-MONDE-T013</x:v>
      </x:c>
      <x:c r="C619" s="115" t="str">
        <x:v>Ports</x:v>
      </x:c>
      <x:c r="D619" s="115" t="str">
        <x:v>Port de pêche</x:v>
      </x:c>
      <x:c r="E619" s="115" t="n">
        <x:v>14</x:v>
      </x:c>
      <x:c r="F619" s="115" t="str">
        <x:v>Inspection physique</x:v>
      </x:c>
      <x:c r="G619" s="115" t="str">
        <x:v>1 niveaux ; 32 pièces ; 248 segments de mur ; 0 transitions. Inspection physique ; architecture complète encore ouverte.</x:v>
      </x:c>
      <x:c r="H619" s="115" t="str">
        <x:v>L 358 ; l 456 ; hauteur 10 m ; choix de composition auteur ; dimensions réelles à documenter</x:v>
      </x:c>
      <x:c r="I619" s="115" t="str">
        <x:v>À équilibrer</x:v>
      </x:c>
      <x:c r="J619" s="115" t="str">
        <x:v>Non</x:v>
      </x:c>
      <x:c r="K619" s="115" t="str">
        <x:v>Pièces décrites, murs, portes, niveaux et mobilier inspectables à l’échelle. Volumes réservés, raccord au seed, butin, rencontres et services de campagne restent à terminer.</x:v>
      </x:c>
    </x:row>
    <x:row r="620" ht="96" customHeight="1">
      <x:c r="A620" s="115" t="str">
        <x:v>EXT-MONDE-T013-V15</x:v>
      </x:c>
      <x:c r="B620" s="115" t="str">
        <x:v>EXT-MONDE-T013</x:v>
      </x:c>
      <x:c r="C620" s="115" t="str">
        <x:v>Ports</x:v>
      </x:c>
      <x:c r="D620" s="115" t="str">
        <x:v>Port de pêche</x:v>
      </x:c>
      <x:c r="E620" s="115" t="n">
        <x:v>15</x:v>
      </x:c>
      <x:c r="F620" s="115" t="str">
        <x:v>Inspection physique</x:v>
      </x:c>
      <x:c r="G620" s="115" t="str">
        <x:v>1 niveaux ; 32 pièces ; 248 segments de mur ; 0 transitions. Inspection physique ; architecture complète encore ouverte.</x:v>
      </x:c>
      <x:c r="H620" s="115" t="str">
        <x:v>L 358 ; l 456 ; hauteur 10 m ; choix de composition auteur ; dimensions réelles à documenter</x:v>
      </x:c>
      <x:c r="I620" s="115" t="str">
        <x:v>À équilibrer</x:v>
      </x:c>
      <x:c r="J620" s="115" t="str">
        <x:v>Non</x:v>
      </x:c>
      <x:c r="K620" s="115" t="str">
        <x:v>Pièces décrites, murs, portes, niveaux et mobilier inspectables à l’échelle. Volumes réservés, raccord au seed, butin, rencontres et services de campagne restent à terminer.</x:v>
      </x:c>
    </x:row>
    <x:row r="621" ht="96" customHeight="1">
      <x:c r="A621" s="115" t="str">
        <x:v>EXT-MONDE-T013-V16</x:v>
      </x:c>
      <x:c r="B621" s="115" t="str">
        <x:v>EXT-MONDE-T013</x:v>
      </x:c>
      <x:c r="C621" s="115" t="str">
        <x:v>Ports</x:v>
      </x:c>
      <x:c r="D621" s="115" t="str">
        <x:v>Port de pêche</x:v>
      </x:c>
      <x:c r="E621" s="115" t="n">
        <x:v>16</x:v>
      </x:c>
      <x:c r="F621" s="115" t="str">
        <x:v>Inspection physique</x:v>
      </x:c>
      <x:c r="G621" s="115" t="str">
        <x:v>1 niveaux ; 32 pièces ; 248 segments de mur ; 0 transitions. Inspection physique ; architecture complète encore ouverte.</x:v>
      </x:c>
      <x:c r="H621" s="115" t="str">
        <x:v>L 358 ; l 456 ; hauteur 10 m ; choix de composition auteur ; dimensions réelles à documenter</x:v>
      </x:c>
      <x:c r="I621" s="115" t="str">
        <x:v>À équilibrer</x:v>
      </x:c>
      <x:c r="J621" s="115" t="str">
        <x:v>Non</x:v>
      </x:c>
      <x:c r="K621" s="115" t="str">
        <x:v>Pièces décrites, murs, portes, niveaux et mobilier inspectables à l’échelle. Volumes réservés, raccord au seed, butin, rencontres et services de campagne restent à terminer.</x:v>
      </x:c>
    </x:row>
    <x:row r="622" ht="96" customHeight="1">
      <x:c r="A622" s="115" t="str">
        <x:v>EXT-MONDE-T013-V17</x:v>
      </x:c>
      <x:c r="B622" s="115" t="str">
        <x:v>EXT-MONDE-T013</x:v>
      </x:c>
      <x:c r="C622" s="115" t="str">
        <x:v>Ports</x:v>
      </x:c>
      <x:c r="D622" s="115" t="str">
        <x:v>Port de pêche</x:v>
      </x:c>
      <x:c r="E622" s="115" t="n">
        <x:v>17</x:v>
      </x:c>
      <x:c r="F622" s="115" t="str">
        <x:v>Inspection physique</x:v>
      </x:c>
      <x:c r="G622" s="115" t="str">
        <x:v>1 niveaux ; 32 pièces ; 248 segments de mur ; 0 transitions. Inspection physique ; architecture complète encore ouverte.</x:v>
      </x:c>
      <x:c r="H622" s="115" t="str">
        <x:v>L 358 ; l 456 ; hauteur 10 m ; choix de composition auteur ; dimensions réelles à documenter</x:v>
      </x:c>
      <x:c r="I622" s="115" t="str">
        <x:v>À équilibrer</x:v>
      </x:c>
      <x:c r="J622" s="115" t="str">
        <x:v>Non</x:v>
      </x:c>
      <x:c r="K622" s="115" t="str">
        <x:v>Pièces décrites, murs, portes, niveaux et mobilier inspectables à l’échelle. Volumes réservés, raccord au seed, butin, rencontres et services de campagne restent à terminer.</x:v>
      </x:c>
    </x:row>
    <x:row r="623" ht="96" customHeight="1">
      <x:c r="A623" s="115" t="str">
        <x:v>EXT-MONDE-T013-V18</x:v>
      </x:c>
      <x:c r="B623" s="115" t="str">
        <x:v>EXT-MONDE-T013</x:v>
      </x:c>
      <x:c r="C623" s="115" t="str">
        <x:v>Ports</x:v>
      </x:c>
      <x:c r="D623" s="115" t="str">
        <x:v>Port de pêche</x:v>
      </x:c>
      <x:c r="E623" s="115" t="n">
        <x:v>18</x:v>
      </x:c>
      <x:c r="F623" s="115" t="str">
        <x:v>Inspection physique</x:v>
      </x:c>
      <x:c r="G623" s="115" t="str">
        <x:v>1 niveaux ; 32 pièces ; 248 segments de mur ; 0 transitions. Inspection physique ; architecture complète encore ouverte.</x:v>
      </x:c>
      <x:c r="H623" s="115" t="str">
        <x:v>L 358 ; l 456 ; hauteur 10 m ; choix de composition auteur ; dimensions réelles à documenter</x:v>
      </x:c>
      <x:c r="I623" s="115" t="str">
        <x:v>À équilibrer</x:v>
      </x:c>
      <x:c r="J623" s="115" t="str">
        <x:v>Non</x:v>
      </x:c>
      <x:c r="K623" s="115" t="str">
        <x:v>Pièces décrites, murs, portes, niveaux et mobilier inspectables à l’échelle. Volumes réservés, raccord au seed, butin, rencontres et services de campagne restent à terminer.</x:v>
      </x:c>
    </x:row>
    <x:row r="624" ht="96" customHeight="1">
      <x:c r="A624" s="115" t="str">
        <x:v>EXT-MONDE-T013-V19</x:v>
      </x:c>
      <x:c r="B624" s="115" t="str">
        <x:v>EXT-MONDE-T013</x:v>
      </x:c>
      <x:c r="C624" s="115" t="str">
        <x:v>Ports</x:v>
      </x:c>
      <x:c r="D624" s="115" t="str">
        <x:v>Port de pêche</x:v>
      </x:c>
      <x:c r="E624" s="115" t="n">
        <x:v>19</x:v>
      </x:c>
      <x:c r="F624" s="115" t="str">
        <x:v>Inspection physique</x:v>
      </x:c>
      <x:c r="G624" s="115" t="str">
        <x:v>1 niveaux ; 32 pièces ; 248 segments de mur ; 0 transitions. Inspection physique ; architecture complète encore ouverte.</x:v>
      </x:c>
      <x:c r="H624" s="115" t="str">
        <x:v>L 358 ; l 456 ; hauteur 10 m ; choix de composition auteur ; dimensions réelles à documenter</x:v>
      </x:c>
      <x:c r="I624" s="115" t="str">
        <x:v>À équilibrer</x:v>
      </x:c>
      <x:c r="J624" s="115" t="str">
        <x:v>Non</x:v>
      </x:c>
      <x:c r="K624" s="115" t="str">
        <x:v>Pièces décrites, murs, portes, niveaux et mobilier inspectables à l’échelle. Volumes réservés, raccord au seed, butin, rencontres et services de campagne restent à terminer.</x:v>
      </x:c>
    </x:row>
    <x:row r="625" ht="96" customHeight="1">
      <x:c r="A625" s="115" t="str">
        <x:v>EXT-MONDE-T013-V20</x:v>
      </x:c>
      <x:c r="B625" s="115" t="str">
        <x:v>EXT-MONDE-T013</x:v>
      </x:c>
      <x:c r="C625" s="115" t="str">
        <x:v>Ports</x:v>
      </x:c>
      <x:c r="D625" s="115" t="str">
        <x:v>Port de pêche</x:v>
      </x:c>
      <x:c r="E625" s="115" t="n">
        <x:v>20</x:v>
      </x:c>
      <x:c r="F625" s="115" t="str">
        <x:v>Inspection physique</x:v>
      </x:c>
      <x:c r="G625" s="115" t="str">
        <x:v>1 niveaux ; 32 pièces ; 248 segments de mur ; 0 transitions. Inspection physique ; architecture complète encore ouverte.</x:v>
      </x:c>
      <x:c r="H625" s="115" t="str">
        <x:v>L 358 ; l 456 ; hauteur 10 m ; choix de composition auteur ; dimensions réelles à documenter</x:v>
      </x:c>
      <x:c r="I625" s="115" t="str">
        <x:v>À équilibrer</x:v>
      </x:c>
      <x:c r="J625" s="115" t="str">
        <x:v>Non</x:v>
      </x:c>
      <x:c r="K625" s="115" t="str">
        <x:v>Pièces décrites, murs, portes, niveaux et mobilier inspectables à l’échelle. Volumes réservés, raccord au seed, butin, rencontres et services de campagne restent à terminer.</x:v>
      </x:c>
    </x:row>
    <x:row r="626" ht="96" customHeight="1">
      <x:c r="A626" s="115" t="str">
        <x:v>EXT-MONDE-T013-V21</x:v>
      </x:c>
      <x:c r="B626" s="115" t="str">
        <x:v>EXT-MONDE-T013</x:v>
      </x:c>
      <x:c r="C626" s="115" t="str">
        <x:v>Ports</x:v>
      </x:c>
      <x:c r="D626" s="115" t="str">
        <x:v>Port de pêche</x:v>
      </x:c>
      <x:c r="E626" s="115" t="n">
        <x:v>21</x:v>
      </x:c>
      <x:c r="F626" s="115" t="str">
        <x:v>Inspection physique</x:v>
      </x:c>
      <x:c r="G626" s="115" t="str">
        <x:v>1 niveaux ; 32 pièces ; 248 segments de mur ; 0 transitions. Inspection physique ; architecture complète encore ouverte.</x:v>
      </x:c>
      <x:c r="H626" s="115" t="str">
        <x:v>L 372 ; l 468 ; hauteur 10 m ; choix de composition auteur ; dimensions réelles à documenter</x:v>
      </x:c>
      <x:c r="I626" s="115" t="str">
        <x:v>À équilibrer</x:v>
      </x:c>
      <x:c r="J626" s="115" t="str">
        <x:v>Non</x:v>
      </x:c>
      <x:c r="K626" s="115" t="str">
        <x:v>Pièces décrites, murs, portes, niveaux et mobilier inspectables à l’échelle. Volumes réservés, raccord au seed, butin, rencontres et services de campagne restent à terminer.</x:v>
      </x:c>
    </x:row>
    <x:row r="627" ht="96" customHeight="1">
      <x:c r="A627" s="115" t="str">
        <x:v>EXT-MONDE-T013-V22</x:v>
      </x:c>
      <x:c r="B627" s="115" t="str">
        <x:v>EXT-MONDE-T013</x:v>
      </x:c>
      <x:c r="C627" s="115" t="str">
        <x:v>Ports</x:v>
      </x:c>
      <x:c r="D627" s="115" t="str">
        <x:v>Port de pêche</x:v>
      </x:c>
      <x:c r="E627" s="115" t="n">
        <x:v>22</x:v>
      </x:c>
      <x:c r="F627" s="115" t="str">
        <x:v>Inspection physique</x:v>
      </x:c>
      <x:c r="G627" s="115" t="str">
        <x:v>1 niveaux ; 32 pièces ; 248 segments de mur ; 0 transitions. Inspection physique ; architecture complète encore ouverte.</x:v>
      </x:c>
      <x:c r="H627" s="115" t="str">
        <x:v>L 372 ; l 468 ; hauteur 10 m ; choix de composition auteur ; dimensions réelles à documenter</x:v>
      </x:c>
      <x:c r="I627" s="115" t="str">
        <x:v>À équilibrer</x:v>
      </x:c>
      <x:c r="J627" s="115" t="str">
        <x:v>Non</x:v>
      </x:c>
      <x:c r="K627" s="115" t="str">
        <x:v>Pièces décrites, murs, portes, niveaux et mobilier inspectables à l’échelle. Volumes réservés, raccord au seed, butin, rencontres et services de campagne restent à terminer.</x:v>
      </x:c>
    </x:row>
    <x:row r="628" ht="96" customHeight="1">
      <x:c r="A628" s="115" t="str">
        <x:v>EXT-MONDE-T013-V23</x:v>
      </x:c>
      <x:c r="B628" s="115" t="str">
        <x:v>EXT-MONDE-T013</x:v>
      </x:c>
      <x:c r="C628" s="115" t="str">
        <x:v>Ports</x:v>
      </x:c>
      <x:c r="D628" s="115" t="str">
        <x:v>Port de pêche</x:v>
      </x:c>
      <x:c r="E628" s="115" t="n">
        <x:v>23</x:v>
      </x:c>
      <x:c r="F628" s="115" t="str">
        <x:v>Inspection physique</x:v>
      </x:c>
      <x:c r="G628" s="115" t="str">
        <x:v>1 niveaux ; 32 pièces ; 248 segments de mur ; 0 transitions. Inspection physique ; architecture complète encore ouverte.</x:v>
      </x:c>
      <x:c r="H628" s="115" t="str">
        <x:v>L 372 ; l 468 ; hauteur 10 m ; choix de composition auteur ; dimensions réelles à documenter</x:v>
      </x:c>
      <x:c r="I628" s="115" t="str">
        <x:v>À équilibrer</x:v>
      </x:c>
      <x:c r="J628" s="115" t="str">
        <x:v>Non</x:v>
      </x:c>
      <x:c r="K628" s="115" t="str">
        <x:v>Pièces décrites, murs, portes, niveaux et mobilier inspectables à l’échelle. Volumes réservés, raccord au seed, butin, rencontres et services de campagne restent à terminer.</x:v>
      </x:c>
    </x:row>
    <x:row r="629" ht="96" customHeight="1">
      <x:c r="A629" s="115" t="str">
        <x:v>EXT-MONDE-T013-V24</x:v>
      </x:c>
      <x:c r="B629" s="115" t="str">
        <x:v>EXT-MONDE-T013</x:v>
      </x:c>
      <x:c r="C629" s="115" t="str">
        <x:v>Ports</x:v>
      </x:c>
      <x:c r="D629" s="115" t="str">
        <x:v>Port de pêche</x:v>
      </x:c>
      <x:c r="E629" s="115" t="n">
        <x:v>24</x:v>
      </x:c>
      <x:c r="F629" s="115" t="str">
        <x:v>Inspection physique</x:v>
      </x:c>
      <x:c r="G629" s="115" t="str">
        <x:v>1 niveaux ; 32 pièces ; 248 segments de mur ; 0 transitions. Inspection physique ; architecture complète encore ouverte.</x:v>
      </x:c>
      <x:c r="H629" s="115" t="str">
        <x:v>L 372 ; l 468 ; hauteur 10 m ; choix de composition auteur ; dimensions réelles à documenter</x:v>
      </x:c>
      <x:c r="I629" s="115" t="str">
        <x:v>À équilibrer</x:v>
      </x:c>
      <x:c r="J629" s="115" t="str">
        <x:v>Non</x:v>
      </x:c>
      <x:c r="K629" s="115" t="str">
        <x:v>Pièces décrites, murs, portes, niveaux et mobilier inspectables à l’échelle. Volumes réservés, raccord au seed, butin, rencontres et services de campagne restent à terminer.</x:v>
      </x:c>
    </x:row>
    <x:row r="630" ht="96" customHeight="1">
      <x:c r="A630" s="115" t="str">
        <x:v>EXT-MONDE-T013-V25</x:v>
      </x:c>
      <x:c r="B630" s="115" t="str">
        <x:v>EXT-MONDE-T013</x:v>
      </x:c>
      <x:c r="C630" s="115" t="str">
        <x:v>Ports</x:v>
      </x:c>
      <x:c r="D630" s="115" t="str">
        <x:v>Port de pêche</x:v>
      </x:c>
      <x:c r="E630" s="115" t="n">
        <x:v>25</x:v>
      </x:c>
      <x:c r="F630" s="115" t="str">
        <x:v>Inspection physique</x:v>
      </x:c>
      <x:c r="G630" s="115" t="str">
        <x:v>1 niveaux ; 32 pièces ; 248 segments de mur ; 0 transitions. Inspection physique ; architecture complète encore ouverte.</x:v>
      </x:c>
      <x:c r="H630" s="115" t="str">
        <x:v>L 372 ; l 468 ; hauteur 10 m ; choix de composition auteur ; dimensions réelles à documenter</x:v>
      </x:c>
      <x:c r="I630" s="115" t="str">
        <x:v>À équilibrer</x:v>
      </x:c>
      <x:c r="J630" s="115" t="str">
        <x:v>Non</x:v>
      </x:c>
      <x:c r="K630" s="115" t="str">
        <x:v>Pièces décrites, murs, portes, niveaux et mobilier inspectables à l’échelle. Volumes réservés, raccord au seed, butin, rencontres et services de campagne restent à terminer.</x:v>
      </x:c>
    </x:row>
    <x:row r="631" ht="96" customHeight="1">
      <x:c r="A631" s="115" t="str">
        <x:v>EXT-MONDE-T013-V26</x:v>
      </x:c>
      <x:c r="B631" s="115" t="str">
        <x:v>EXT-MONDE-T013</x:v>
      </x:c>
      <x:c r="C631" s="115" t="str">
        <x:v>Ports</x:v>
      </x:c>
      <x:c r="D631" s="115" t="str">
        <x:v>Port de pêche</x:v>
      </x:c>
      <x:c r="E631" s="115" t="n">
        <x:v>26</x:v>
      </x:c>
      <x:c r="F631" s="115" t="str">
        <x:v>Inspection physique</x:v>
      </x:c>
      <x:c r="G631" s="115" t="str">
        <x:v>1 niveaux ; 32 pièces ; 248 segments de mur ; 0 transitions. Inspection physique ; architecture complète encore ouverte.</x:v>
      </x:c>
      <x:c r="H631" s="115" t="str">
        <x:v>L 372 ; l 468 ; hauteur 10 m ; choix de composition auteur ; dimensions réelles à documenter</x:v>
      </x:c>
      <x:c r="I631" s="115" t="str">
        <x:v>À équilibrer</x:v>
      </x:c>
      <x:c r="J631" s="115" t="str">
        <x:v>Non</x:v>
      </x:c>
      <x:c r="K631" s="115" t="str">
        <x:v>Pièces décrites, murs, portes, niveaux et mobilier inspectables à l’échelle. Volumes réservés, raccord au seed, butin, rencontres et services de campagne restent à terminer.</x:v>
      </x:c>
    </x:row>
    <x:row r="632" ht="96" customHeight="1">
      <x:c r="A632" s="115" t="str">
        <x:v>EXT-MONDE-T013-V27</x:v>
      </x:c>
      <x:c r="B632" s="115" t="str">
        <x:v>EXT-MONDE-T013</x:v>
      </x:c>
      <x:c r="C632" s="115" t="str">
        <x:v>Ports</x:v>
      </x:c>
      <x:c r="D632" s="115" t="str">
        <x:v>Port de pêche</x:v>
      </x:c>
      <x:c r="E632" s="115" t="n">
        <x:v>27</x:v>
      </x:c>
      <x:c r="F632" s="115" t="str">
        <x:v>Inspection physique</x:v>
      </x:c>
      <x:c r="G632" s="115" t="str">
        <x:v>1 niveaux ; 32 pièces ; 248 segments de mur ; 0 transitions. Inspection physique ; architecture complète encore ouverte.</x:v>
      </x:c>
      <x:c r="H632" s="115" t="str">
        <x:v>L 372 ; l 468 ; hauteur 10 m ; choix de composition auteur ; dimensions réelles à documenter</x:v>
      </x:c>
      <x:c r="I632" s="115" t="str">
        <x:v>À équilibrer</x:v>
      </x:c>
      <x:c r="J632" s="115" t="str">
        <x:v>Non</x:v>
      </x:c>
      <x:c r="K632" s="115" t="str">
        <x:v>Pièces décrites, murs, portes, niveaux et mobilier inspectables à l’échelle. Volumes réservés, raccord au seed, butin, rencontres et services de campagne restent à terminer.</x:v>
      </x:c>
    </x:row>
    <x:row r="633" ht="96" customHeight="1">
      <x:c r="A633" s="115" t="str">
        <x:v>EXT-MONDE-T013-V28</x:v>
      </x:c>
      <x:c r="B633" s="115" t="str">
        <x:v>EXT-MONDE-T013</x:v>
      </x:c>
      <x:c r="C633" s="115" t="str">
        <x:v>Ports</x:v>
      </x:c>
      <x:c r="D633" s="115" t="str">
        <x:v>Port de pêche</x:v>
      </x:c>
      <x:c r="E633" s="115" t="n">
        <x:v>28</x:v>
      </x:c>
      <x:c r="F633" s="115" t="str">
        <x:v>Inspection physique</x:v>
      </x:c>
      <x:c r="G633" s="115" t="str">
        <x:v>1 niveaux ; 32 pièces ; 248 segments de mur ; 0 transitions. Inspection physique ; architecture complète encore ouverte.</x:v>
      </x:c>
      <x:c r="H633" s="115" t="str">
        <x:v>L 372 ; l 468 ; hauteur 10 m ; choix de composition auteur ; dimensions réelles à documenter</x:v>
      </x:c>
      <x:c r="I633" s="115" t="str">
        <x:v>À équilibrer</x:v>
      </x:c>
      <x:c r="J633" s="115" t="str">
        <x:v>Non</x:v>
      </x:c>
      <x:c r="K633" s="115" t="str">
        <x:v>Pièces décrites, murs, portes, niveaux et mobilier inspectables à l’échelle. Volumes réservés, raccord au seed, butin, rencontres et services de campagne restent à terminer.</x:v>
      </x:c>
    </x:row>
    <x:row r="634" ht="96" customHeight="1">
      <x:c r="A634" s="115" t="str">
        <x:v>EXT-MONDE-T013-V29</x:v>
      </x:c>
      <x:c r="B634" s="115" t="str">
        <x:v>EXT-MONDE-T013</x:v>
      </x:c>
      <x:c r="C634" s="115" t="str">
        <x:v>Ports</x:v>
      </x:c>
      <x:c r="D634" s="115" t="str">
        <x:v>Port de pêche</x:v>
      </x:c>
      <x:c r="E634" s="115" t="n">
        <x:v>29</x:v>
      </x:c>
      <x:c r="F634" s="115" t="str">
        <x:v>Inspection physique</x:v>
      </x:c>
      <x:c r="G634" s="115" t="str">
        <x:v>1 niveaux ; 32 pièces ; 248 segments de mur ; 0 transitions. Inspection physique ; architecture complète encore ouverte.</x:v>
      </x:c>
      <x:c r="H634" s="115" t="str">
        <x:v>L 372 ; l 468 ; hauteur 10 m ; choix de composition auteur ; dimensions réelles à documenter</x:v>
      </x:c>
      <x:c r="I634" s="115" t="str">
        <x:v>À équilibrer</x:v>
      </x:c>
      <x:c r="J634" s="115" t="str">
        <x:v>Non</x:v>
      </x:c>
      <x:c r="K634" s="115" t="str">
        <x:v>Pièces décrites, murs, portes, niveaux et mobilier inspectables à l’échelle. Volumes réservés, raccord au seed, butin, rencontres et services de campagne restent à terminer.</x:v>
      </x:c>
    </x:row>
    <x:row r="635" ht="96" customHeight="1">
      <x:c r="A635" s="115" t="str">
        <x:v>EXT-MONDE-T013-V30</x:v>
      </x:c>
      <x:c r="B635" s="115" t="str">
        <x:v>EXT-MONDE-T013</x:v>
      </x:c>
      <x:c r="C635" s="115" t="str">
        <x:v>Ports</x:v>
      </x:c>
      <x:c r="D635" s="115" t="str">
        <x:v>Port de pêche</x:v>
      </x:c>
      <x:c r="E635" s="115" t="n">
        <x:v>30</x:v>
      </x:c>
      <x:c r="F635" s="115" t="str">
        <x:v>Inspection physique</x:v>
      </x:c>
      <x:c r="G635" s="115" t="str">
        <x:v>1 niveaux ; 32 pièces ; 248 segments de mur ; 0 transitions. Inspection physique ; architecture complète encore ouverte.</x:v>
      </x:c>
      <x:c r="H635" s="115" t="str">
        <x:v>L 372 ; l 468 ; hauteur 10 m ; choix de composition auteur ; dimensions réelles à documenter</x:v>
      </x:c>
      <x:c r="I635" s="115" t="str">
        <x:v>À équilibrer</x:v>
      </x:c>
      <x:c r="J635" s="115" t="str">
        <x:v>Non</x:v>
      </x:c>
      <x:c r="K635" s="115" t="str">
        <x:v>Pièces décrites, murs, portes, niveaux et mobilier inspectables à l’échelle. Volumes réservés, raccord au seed, butin, rencontres et services de campagne restent à terminer.</x:v>
      </x:c>
    </x:row>
    <x:row r="636" ht="96" customHeight="1">
      <x:c r="A636" s="115" t="str">
        <x:v>EXT-MONDE-T013-V31</x:v>
      </x:c>
      <x:c r="B636" s="115" t="str">
        <x:v>EXT-MONDE-T013</x:v>
      </x:c>
      <x:c r="C636" s="115" t="str">
        <x:v>Ports</x:v>
      </x:c>
      <x:c r="D636" s="115" t="str">
        <x:v>Port de pêche</x:v>
      </x:c>
      <x:c r="E636" s="115" t="n">
        <x:v>31</x:v>
      </x:c>
      <x:c r="F636" s="115" t="str">
        <x:v>Inspection physique</x:v>
      </x:c>
      <x:c r="G636" s="115" t="str">
        <x:v>1 niveaux ; 32 pièces ; 248 segments de mur ; 0 transitions. Inspection physique ; architecture complète encore ouverte.</x:v>
      </x:c>
      <x:c r="H636" s="115" t="str">
        <x:v>L 386 ; l 480 ; hauteur 10 m ; choix de composition auteur ; dimensions réelles à documenter</x:v>
      </x:c>
      <x:c r="I636" s="115" t="str">
        <x:v>À équilibrer</x:v>
      </x:c>
      <x:c r="J636" s="115" t="str">
        <x:v>Non</x:v>
      </x:c>
      <x:c r="K636" s="115" t="str">
        <x:v>Pièces décrites, murs, portes, niveaux et mobilier inspectables à l’échelle. Volumes réservés, raccord au seed, butin, rencontres et services de campagne restent à terminer.</x:v>
      </x:c>
    </x:row>
    <x:row r="637" ht="96" customHeight="1">
      <x:c r="A637" s="115" t="str">
        <x:v>EXT-MONDE-T013-V32</x:v>
      </x:c>
      <x:c r="B637" s="115" t="str">
        <x:v>EXT-MONDE-T013</x:v>
      </x:c>
      <x:c r="C637" s="115" t="str">
        <x:v>Ports</x:v>
      </x:c>
      <x:c r="D637" s="115" t="str">
        <x:v>Port de pêche</x:v>
      </x:c>
      <x:c r="E637" s="115" t="n">
        <x:v>32</x:v>
      </x:c>
      <x:c r="F637" s="115" t="str">
        <x:v>Inspection physique</x:v>
      </x:c>
      <x:c r="G637" s="115" t="str">
        <x:v>1 niveaux ; 32 pièces ; 248 segments de mur ; 0 transitions. Inspection physique ; architecture complète encore ouverte.</x:v>
      </x:c>
      <x:c r="H637" s="115" t="str">
        <x:v>L 386 ; l 480 ; hauteur 10 m ; choix de composition auteur ; dimensions réelles à documenter</x:v>
      </x:c>
      <x:c r="I637" s="115" t="str">
        <x:v>À équilibrer</x:v>
      </x:c>
      <x:c r="J637" s="115" t="str">
        <x:v>Non</x:v>
      </x:c>
      <x:c r="K637" s="115" t="str">
        <x:v>Pièces décrites, murs, portes, niveaux et mobilier inspectables à l’échelle. Volumes réservés, raccord au seed, butin, rencontres et services de campagne restent à terminer.</x:v>
      </x:c>
    </x:row>
    <x:row r="638" ht="96" customHeight="1">
      <x:c r="A638" s="115" t="str">
        <x:v>EXT-MONDE-T013-V33</x:v>
      </x:c>
      <x:c r="B638" s="115" t="str">
        <x:v>EXT-MONDE-T013</x:v>
      </x:c>
      <x:c r="C638" s="115" t="str">
        <x:v>Ports</x:v>
      </x:c>
      <x:c r="D638" s="115" t="str">
        <x:v>Port de pêche</x:v>
      </x:c>
      <x:c r="E638" s="115" t="n">
        <x:v>33</x:v>
      </x:c>
      <x:c r="F638" s="115" t="str">
        <x:v>Inspection physique</x:v>
      </x:c>
      <x:c r="G638" s="115" t="str">
        <x:v>1 niveaux ; 32 pièces ; 248 segments de mur ; 0 transitions. Inspection physique ; architecture complète encore ouverte.</x:v>
      </x:c>
      <x:c r="H638" s="115" t="str">
        <x:v>L 386 ; l 480 ; hauteur 10 m ; choix de composition auteur ; dimensions réelles à documenter</x:v>
      </x:c>
      <x:c r="I638" s="115" t="str">
        <x:v>À équilibrer</x:v>
      </x:c>
      <x:c r="J638" s="115" t="str">
        <x:v>Non</x:v>
      </x:c>
      <x:c r="K638" s="115" t="str">
        <x:v>Pièces décrites, murs, portes, niveaux et mobilier inspectables à l’échelle. Volumes réservés, raccord au seed, butin, rencontres et services de campagne restent à terminer.</x:v>
      </x:c>
    </x:row>
    <x:row r="639" ht="96" customHeight="1">
      <x:c r="A639" s="115" t="str">
        <x:v>EXT-MONDE-T013-V34</x:v>
      </x:c>
      <x:c r="B639" s="115" t="str">
        <x:v>EXT-MONDE-T013</x:v>
      </x:c>
      <x:c r="C639" s="115" t="str">
        <x:v>Ports</x:v>
      </x:c>
      <x:c r="D639" s="115" t="str">
        <x:v>Port de pêche</x:v>
      </x:c>
      <x:c r="E639" s="115" t="n">
        <x:v>34</x:v>
      </x:c>
      <x:c r="F639" s="115" t="str">
        <x:v>Inspection physique</x:v>
      </x:c>
      <x:c r="G639" s="115" t="str">
        <x:v>1 niveaux ; 32 pièces ; 248 segments de mur ; 0 transitions. Inspection physique ; architecture complète encore ouverte.</x:v>
      </x:c>
      <x:c r="H639" s="115" t="str">
        <x:v>L 386 ; l 480 ; hauteur 10 m ; choix de composition auteur ; dimensions réelles à documenter</x:v>
      </x:c>
      <x:c r="I639" s="115" t="str">
        <x:v>À équilibrer</x:v>
      </x:c>
      <x:c r="J639" s="115" t="str">
        <x:v>Non</x:v>
      </x:c>
      <x:c r="K639" s="115" t="str">
        <x:v>Pièces décrites, murs, portes, niveaux et mobilier inspectables à l’échelle. Volumes réservés, raccord au seed, butin, rencontres et services de campagne restent à terminer.</x:v>
      </x:c>
    </x:row>
    <x:row r="640" ht="96" customHeight="1">
      <x:c r="A640" s="115" t="str">
        <x:v>EXT-MONDE-T013-V35</x:v>
      </x:c>
      <x:c r="B640" s="115" t="str">
        <x:v>EXT-MONDE-T013</x:v>
      </x:c>
      <x:c r="C640" s="115" t="str">
        <x:v>Ports</x:v>
      </x:c>
      <x:c r="D640" s="115" t="str">
        <x:v>Port de pêche</x:v>
      </x:c>
      <x:c r="E640" s="115" t="n">
        <x:v>35</x:v>
      </x:c>
      <x:c r="F640" s="115" t="str">
        <x:v>Inspection physique</x:v>
      </x:c>
      <x:c r="G640" s="115" t="str">
        <x:v>1 niveaux ; 32 pièces ; 248 segments de mur ; 0 transitions. Inspection physique ; architecture complète encore ouverte.</x:v>
      </x:c>
      <x:c r="H640" s="115" t="str">
        <x:v>L 386 ; l 480 ; hauteur 10 m ; choix de composition auteur ; dimensions réelles à documenter</x:v>
      </x:c>
      <x:c r="I640" s="115" t="str">
        <x:v>À équilibrer</x:v>
      </x:c>
      <x:c r="J640" s="115" t="str">
        <x:v>Non</x:v>
      </x:c>
      <x:c r="K640" s="115" t="str">
        <x:v>Pièces décrites, murs, portes, niveaux et mobilier inspectables à l’échelle. Volumes réservés, raccord au seed, butin, rencontres et services de campagne restent à terminer.</x:v>
      </x:c>
    </x:row>
    <x:row r="641" ht="96" customHeight="1">
      <x:c r="A641" s="115" t="str">
        <x:v>EXT-MONDE-T013-V36</x:v>
      </x:c>
      <x:c r="B641" s="115" t="str">
        <x:v>EXT-MONDE-T013</x:v>
      </x:c>
      <x:c r="C641" s="115" t="str">
        <x:v>Ports</x:v>
      </x:c>
      <x:c r="D641" s="115" t="str">
        <x:v>Port de pêche</x:v>
      </x:c>
      <x:c r="E641" s="115" t="n">
        <x:v>36</x:v>
      </x:c>
      <x:c r="F641" s="115" t="str">
        <x:v>Inspection physique</x:v>
      </x:c>
      <x:c r="G641" s="115" t="str">
        <x:v>1 niveaux ; 32 pièces ; 248 segments de mur ; 0 transitions. Inspection physique ; architecture complète encore ouverte.</x:v>
      </x:c>
      <x:c r="H641" s="115" t="str">
        <x:v>L 386 ; l 480 ; hauteur 10 m ; choix de composition auteur ; dimensions réelles à documenter</x:v>
      </x:c>
      <x:c r="I641" s="115" t="str">
        <x:v>À équilibrer</x:v>
      </x:c>
      <x:c r="J641" s="115" t="str">
        <x:v>Non</x:v>
      </x:c>
      <x:c r="K641" s="115" t="str">
        <x:v>Pièces décrites, murs, portes, niveaux et mobilier inspectables à l’échelle. Volumes réservés, raccord au seed, butin, rencontres et services de campagne restent à terminer.</x:v>
      </x:c>
    </x:row>
    <x:row r="642" ht="96" customHeight="1">
      <x:c r="A642" s="115" t="str">
        <x:v>EXT-MONDE-T013-V37</x:v>
      </x:c>
      <x:c r="B642" s="115" t="str">
        <x:v>EXT-MONDE-T013</x:v>
      </x:c>
      <x:c r="C642" s="115" t="str">
        <x:v>Ports</x:v>
      </x:c>
      <x:c r="D642" s="115" t="str">
        <x:v>Port de pêche</x:v>
      </x:c>
      <x:c r="E642" s="115" t="n">
        <x:v>37</x:v>
      </x:c>
      <x:c r="F642" s="115" t="str">
        <x:v>Inspection physique</x:v>
      </x:c>
      <x:c r="G642" s="115" t="str">
        <x:v>1 niveaux ; 32 pièces ; 248 segments de mur ; 0 transitions. Inspection physique ; architecture complète encore ouverte.</x:v>
      </x:c>
      <x:c r="H642" s="115" t="str">
        <x:v>L 386 ; l 480 ; hauteur 10 m ; choix de composition auteur ; dimensions réelles à documenter</x:v>
      </x:c>
      <x:c r="I642" s="115" t="str">
        <x:v>À équilibrer</x:v>
      </x:c>
      <x:c r="J642" s="115" t="str">
        <x:v>Non</x:v>
      </x:c>
      <x:c r="K642" s="115" t="str">
        <x:v>Pièces décrites, murs, portes, niveaux et mobilier inspectables à l’échelle. Volumes réservés, raccord au seed, butin, rencontres et services de campagne restent à terminer.</x:v>
      </x:c>
    </x:row>
    <x:row r="643" ht="96" customHeight="1">
      <x:c r="A643" s="115" t="str">
        <x:v>EXT-MONDE-T013-V38</x:v>
      </x:c>
      <x:c r="B643" s="115" t="str">
        <x:v>EXT-MONDE-T013</x:v>
      </x:c>
      <x:c r="C643" s="115" t="str">
        <x:v>Ports</x:v>
      </x:c>
      <x:c r="D643" s="115" t="str">
        <x:v>Port de pêche</x:v>
      </x:c>
      <x:c r="E643" s="115" t="n">
        <x:v>38</x:v>
      </x:c>
      <x:c r="F643" s="115" t="str">
        <x:v>Inspection physique</x:v>
      </x:c>
      <x:c r="G643" s="115" t="str">
        <x:v>1 niveaux ; 32 pièces ; 248 segments de mur ; 0 transitions. Inspection physique ; architecture complète encore ouverte.</x:v>
      </x:c>
      <x:c r="H643" s="115" t="str">
        <x:v>L 386 ; l 480 ; hauteur 10 m ; choix de composition auteur ; dimensions réelles à documenter</x:v>
      </x:c>
      <x:c r="I643" s="115" t="str">
        <x:v>À équilibrer</x:v>
      </x:c>
      <x:c r="J643" s="115" t="str">
        <x:v>Non</x:v>
      </x:c>
      <x:c r="K643" s="115" t="str">
        <x:v>Pièces décrites, murs, portes, niveaux et mobilier inspectables à l’échelle. Volumes réservés, raccord au seed, butin, rencontres et services de campagne restent à terminer.</x:v>
      </x:c>
    </x:row>
    <x:row r="644" ht="96" customHeight="1">
      <x:c r="A644" s="115" t="str">
        <x:v>EXT-MONDE-T013-V39</x:v>
      </x:c>
      <x:c r="B644" s="115" t="str">
        <x:v>EXT-MONDE-T013</x:v>
      </x:c>
      <x:c r="C644" s="115" t="str">
        <x:v>Ports</x:v>
      </x:c>
      <x:c r="D644" s="115" t="str">
        <x:v>Port de pêche</x:v>
      </x:c>
      <x:c r="E644" s="115" t="n">
        <x:v>39</x:v>
      </x:c>
      <x:c r="F644" s="115" t="str">
        <x:v>Inspection physique</x:v>
      </x:c>
      <x:c r="G644" s="115" t="str">
        <x:v>1 niveaux ; 32 pièces ; 248 segments de mur ; 0 transitions. Inspection physique ; architecture complète encore ouverte.</x:v>
      </x:c>
      <x:c r="H644" s="115" t="str">
        <x:v>L 386 ; l 480 ; hauteur 10 m ; choix de composition auteur ; dimensions réelles à documenter</x:v>
      </x:c>
      <x:c r="I644" s="115" t="str">
        <x:v>À équilibrer</x:v>
      </x:c>
      <x:c r="J644" s="115" t="str">
        <x:v>Non</x:v>
      </x:c>
      <x:c r="K644" s="115" t="str">
        <x:v>Pièces décrites, murs, portes, niveaux et mobilier inspectables à l’échelle. Volumes réservés, raccord au seed, butin, rencontres et services de campagne restent à terminer.</x:v>
      </x:c>
    </x:row>
    <x:row r="645" ht="96" customHeight="1">
      <x:c r="A645" s="115" t="str">
        <x:v>EXT-MONDE-T013-V40</x:v>
      </x:c>
      <x:c r="B645" s="115" t="str">
        <x:v>EXT-MONDE-T013</x:v>
      </x:c>
      <x:c r="C645" s="115" t="str">
        <x:v>Ports</x:v>
      </x:c>
      <x:c r="D645" s="115" t="str">
        <x:v>Port de pêche</x:v>
      </x:c>
      <x:c r="E645" s="115" t="n">
        <x:v>40</x:v>
      </x:c>
      <x:c r="F645" s="115" t="str">
        <x:v>Inspection physique</x:v>
      </x:c>
      <x:c r="G645" s="115" t="str">
        <x:v>1 niveaux ; 32 pièces ; 248 segments de mur ; 0 transitions. Inspection physique ; architecture complète encore ouverte.</x:v>
      </x:c>
      <x:c r="H645" s="115" t="str">
        <x:v>L 386 ; l 480 ; hauteur 10 m ; choix de composition auteur ; dimensions réelles à documenter</x:v>
      </x:c>
      <x:c r="I645" s="115" t="str">
        <x:v>À équilibrer</x:v>
      </x:c>
      <x:c r="J645" s="115" t="str">
        <x:v>Non</x:v>
      </x:c>
      <x:c r="K645" s="115" t="str">
        <x:v>Pièces décrites, murs, portes, niveaux et mobilier inspectables à l’échelle. Volumes réservés, raccord au seed, butin, rencontres et services de campagne restent à terminer.</x:v>
      </x:c>
    </x:row>
    <x:row r="646" ht="96" customHeight="1">
      <x:c r="A646" s="115" t="str">
        <x:v>EXT-MONDE-T013-V41</x:v>
      </x:c>
      <x:c r="B646" s="115" t="str">
        <x:v>EXT-MONDE-T013</x:v>
      </x:c>
      <x:c r="C646" s="115" t="str">
        <x:v>Ports</x:v>
      </x:c>
      <x:c r="D646" s="115" t="str">
        <x:v>Port de pêche</x:v>
      </x:c>
      <x:c r="E646" s="115" t="n">
        <x:v>41</x:v>
      </x:c>
      <x:c r="F646" s="115" t="str">
        <x:v>Inspection physique</x:v>
      </x:c>
      <x:c r="G646" s="115" t="str">
        <x:v>1 niveaux ; 32 pièces ; 248 segments de mur ; 0 transitions. Inspection physique ; architecture complète encore ouverte.</x:v>
      </x:c>
      <x:c r="H646" s="115" t="str">
        <x:v>L 400 ; l 492 ; hauteur 10 m ; choix de composition auteur ; dimensions réelles à documenter</x:v>
      </x:c>
      <x:c r="I646" s="115" t="str">
        <x:v>À équilibrer</x:v>
      </x:c>
      <x:c r="J646" s="115" t="str">
        <x:v>Non</x:v>
      </x:c>
      <x:c r="K646" s="115" t="str">
        <x:v>Pièces décrites, murs, portes, niveaux et mobilier inspectables à l’échelle. Volumes réservés, raccord au seed, butin, rencontres et services de campagne restent à terminer.</x:v>
      </x:c>
    </x:row>
    <x:row r="647" ht="96" customHeight="1">
      <x:c r="A647" s="115" t="str">
        <x:v>EXT-MONDE-T013-V42</x:v>
      </x:c>
      <x:c r="B647" s="115" t="str">
        <x:v>EXT-MONDE-T013</x:v>
      </x:c>
      <x:c r="C647" s="115" t="str">
        <x:v>Ports</x:v>
      </x:c>
      <x:c r="D647" s="115" t="str">
        <x:v>Port de pêche</x:v>
      </x:c>
      <x:c r="E647" s="115" t="n">
        <x:v>42</x:v>
      </x:c>
      <x:c r="F647" s="115" t="str">
        <x:v>Inspection physique</x:v>
      </x:c>
      <x:c r="G647" s="115" t="str">
        <x:v>1 niveaux ; 32 pièces ; 248 segments de mur ; 0 transitions. Inspection physique ; architecture complète encore ouverte.</x:v>
      </x:c>
      <x:c r="H647" s="115" t="str">
        <x:v>L 400 ; l 492 ; hauteur 10 m ; choix de composition auteur ; dimensions réelles à documenter</x:v>
      </x:c>
      <x:c r="I647" s="115" t="str">
        <x:v>À équilibrer</x:v>
      </x:c>
      <x:c r="J647" s="115" t="str">
        <x:v>Non</x:v>
      </x:c>
      <x:c r="K647" s="115" t="str">
        <x:v>Pièces décrites, murs, portes, niveaux et mobilier inspectables à l’échelle. Volumes réservés, raccord au seed, butin, rencontres et services de campagne restent à terminer.</x:v>
      </x:c>
    </x:row>
    <x:row r="648" ht="96" customHeight="1">
      <x:c r="A648" s="115" t="str">
        <x:v>EXT-MONDE-T013-V43</x:v>
      </x:c>
      <x:c r="B648" s="115" t="str">
        <x:v>EXT-MONDE-T013</x:v>
      </x:c>
      <x:c r="C648" s="115" t="str">
        <x:v>Ports</x:v>
      </x:c>
      <x:c r="D648" s="115" t="str">
        <x:v>Port de pêche</x:v>
      </x:c>
      <x:c r="E648" s="115" t="n">
        <x:v>43</x:v>
      </x:c>
      <x:c r="F648" s="115" t="str">
        <x:v>Inspection physique</x:v>
      </x:c>
      <x:c r="G648" s="115" t="str">
        <x:v>1 niveaux ; 32 pièces ; 248 segments de mur ; 0 transitions. Inspection physique ; architecture complète encore ouverte.</x:v>
      </x:c>
      <x:c r="H648" s="115" t="str">
        <x:v>L 400 ; l 492 ; hauteur 10 m ; choix de composition auteur ; dimensions réelles à documenter</x:v>
      </x:c>
      <x:c r="I648" s="115" t="str">
        <x:v>À équilibrer</x:v>
      </x:c>
      <x:c r="J648" s="115" t="str">
        <x:v>Non</x:v>
      </x:c>
      <x:c r="K648" s="115" t="str">
        <x:v>Pièces décrites, murs, portes, niveaux et mobilier inspectables à l’échelle. Volumes réservés, raccord au seed, butin, rencontres et services de campagne restent à terminer.</x:v>
      </x:c>
    </x:row>
    <x:row r="649" ht="96" customHeight="1">
      <x:c r="A649" s="115" t="str">
        <x:v>EXT-MONDE-T013-V44</x:v>
      </x:c>
      <x:c r="B649" s="115" t="str">
        <x:v>EXT-MONDE-T013</x:v>
      </x:c>
      <x:c r="C649" s="115" t="str">
        <x:v>Ports</x:v>
      </x:c>
      <x:c r="D649" s="115" t="str">
        <x:v>Port de pêche</x:v>
      </x:c>
      <x:c r="E649" s="115" t="n">
        <x:v>44</x:v>
      </x:c>
      <x:c r="F649" s="115" t="str">
        <x:v>Inspection physique</x:v>
      </x:c>
      <x:c r="G649" s="115" t="str">
        <x:v>1 niveaux ; 32 pièces ; 248 segments de mur ; 0 transitions. Inspection physique ; architecture complète encore ouverte.</x:v>
      </x:c>
      <x:c r="H649" s="115" t="str">
        <x:v>L 400 ; l 492 ; hauteur 10 m ; choix de composition auteur ; dimensions réelles à documenter</x:v>
      </x:c>
      <x:c r="I649" s="115" t="str">
        <x:v>À équilibrer</x:v>
      </x:c>
      <x:c r="J649" s="115" t="str">
        <x:v>Non</x:v>
      </x:c>
      <x:c r="K649" s="115" t="str">
        <x:v>Pièces décrites, murs, portes, niveaux et mobilier inspectables à l’échelle. Volumes réservés, raccord au seed, butin, rencontres et services de campagne restent à terminer.</x:v>
      </x:c>
    </x:row>
    <x:row r="650" ht="96" customHeight="1">
      <x:c r="A650" s="115" t="str">
        <x:v>EXT-MONDE-T013-V45</x:v>
      </x:c>
      <x:c r="B650" s="115" t="str">
        <x:v>EXT-MONDE-T013</x:v>
      </x:c>
      <x:c r="C650" s="115" t="str">
        <x:v>Ports</x:v>
      </x:c>
      <x:c r="D650" s="115" t="str">
        <x:v>Port de pêche</x:v>
      </x:c>
      <x:c r="E650" s="115" t="n">
        <x:v>45</x:v>
      </x:c>
      <x:c r="F650" s="115" t="str">
        <x:v>Inspection physique</x:v>
      </x:c>
      <x:c r="G650" s="115" t="str">
        <x:v>1 niveaux ; 32 pièces ; 248 segments de mur ; 0 transitions. Inspection physique ; architecture complète encore ouverte.</x:v>
      </x:c>
      <x:c r="H650" s="115" t="str">
        <x:v>L 400 ; l 492 ; hauteur 10 m ; choix de composition auteur ; dimensions réelles à documenter</x:v>
      </x:c>
      <x:c r="I650" s="115" t="str">
        <x:v>À équilibrer</x:v>
      </x:c>
      <x:c r="J650" s="115" t="str">
        <x:v>Non</x:v>
      </x:c>
      <x:c r="K650" s="115" t="str">
        <x:v>Pièces décrites, murs, portes, niveaux et mobilier inspectables à l’échelle. Volumes réservés, raccord au seed, butin, rencontres et services de campagne restent à terminer.</x:v>
      </x:c>
    </x:row>
    <x:row r="651" ht="96" customHeight="1">
      <x:c r="A651" s="115" t="str">
        <x:v>EXT-MONDE-T013-V46</x:v>
      </x:c>
      <x:c r="B651" s="115" t="str">
        <x:v>EXT-MONDE-T013</x:v>
      </x:c>
      <x:c r="C651" s="115" t="str">
        <x:v>Ports</x:v>
      </x:c>
      <x:c r="D651" s="115" t="str">
        <x:v>Port de pêche</x:v>
      </x:c>
      <x:c r="E651" s="115" t="n">
        <x:v>46</x:v>
      </x:c>
      <x:c r="F651" s="115" t="str">
        <x:v>Inspection physique</x:v>
      </x:c>
      <x:c r="G651" s="115" t="str">
        <x:v>1 niveaux ; 32 pièces ; 248 segments de mur ; 0 transitions. Inspection physique ; architecture complète encore ouverte.</x:v>
      </x:c>
      <x:c r="H651" s="115" t="str">
        <x:v>L 400 ; l 492 ; hauteur 10 m ; choix de composition auteur ; dimensions réelles à documenter</x:v>
      </x:c>
      <x:c r="I651" s="115" t="str">
        <x:v>À équilibrer</x:v>
      </x:c>
      <x:c r="J651" s="115" t="str">
        <x:v>Non</x:v>
      </x:c>
      <x:c r="K651" s="115" t="str">
        <x:v>Pièces décrites, murs, portes, niveaux et mobilier inspectables à l’échelle. Volumes réservés, raccord au seed, butin, rencontres et services de campagne restent à terminer.</x:v>
      </x:c>
    </x:row>
    <x:row r="652" ht="96" customHeight="1">
      <x:c r="A652" s="115" t="str">
        <x:v>EXT-MONDE-T013-V47</x:v>
      </x:c>
      <x:c r="B652" s="115" t="str">
        <x:v>EXT-MONDE-T013</x:v>
      </x:c>
      <x:c r="C652" s="115" t="str">
        <x:v>Ports</x:v>
      </x:c>
      <x:c r="D652" s="115" t="str">
        <x:v>Port de pêche</x:v>
      </x:c>
      <x:c r="E652" s="115" t="n">
        <x:v>47</x:v>
      </x:c>
      <x:c r="F652" s="115" t="str">
        <x:v>Inspection physique</x:v>
      </x:c>
      <x:c r="G652" s="115" t="str">
        <x:v>1 niveaux ; 32 pièces ; 248 segments de mur ; 0 transitions. Inspection physique ; architecture complète encore ouverte.</x:v>
      </x:c>
      <x:c r="H652" s="115" t="str">
        <x:v>L 400 ; l 492 ; hauteur 10 m ; choix de composition auteur ; dimensions réelles à documenter</x:v>
      </x:c>
      <x:c r="I652" s="115" t="str">
        <x:v>À équilibrer</x:v>
      </x:c>
      <x:c r="J652" s="115" t="str">
        <x:v>Non</x:v>
      </x:c>
      <x:c r="K652" s="115" t="str">
        <x:v>Pièces décrites, murs, portes, niveaux et mobilier inspectables à l’échelle. Volumes réservés, raccord au seed, butin, rencontres et services de campagne restent à terminer.</x:v>
      </x:c>
    </x:row>
    <x:row r="653" ht="96" customHeight="1">
      <x:c r="A653" s="115" t="str">
        <x:v>EXT-MONDE-T013-V48</x:v>
      </x:c>
      <x:c r="B653" s="115" t="str">
        <x:v>EXT-MONDE-T013</x:v>
      </x:c>
      <x:c r="C653" s="115" t="str">
        <x:v>Ports</x:v>
      </x:c>
      <x:c r="D653" s="115" t="str">
        <x:v>Port de pêche</x:v>
      </x:c>
      <x:c r="E653" s="115" t="n">
        <x:v>48</x:v>
      </x:c>
      <x:c r="F653" s="115" t="str">
        <x:v>Inspection physique</x:v>
      </x:c>
      <x:c r="G653" s="115" t="str">
        <x:v>1 niveaux ; 32 pièces ; 248 segments de mur ; 0 transitions. Inspection physique ; architecture complète encore ouverte.</x:v>
      </x:c>
      <x:c r="H653" s="115" t="str">
        <x:v>L 400 ; l 492 ; hauteur 10 m ; choix de composition auteur ; dimensions réelles à documenter</x:v>
      </x:c>
      <x:c r="I653" s="115" t="str">
        <x:v>À équilibrer</x:v>
      </x:c>
      <x:c r="J653" s="115" t="str">
        <x:v>Non</x:v>
      </x:c>
      <x:c r="K653" s="115" t="str">
        <x:v>Pièces décrites, murs, portes, niveaux et mobilier inspectables à l’échelle. Volumes réservés, raccord au seed, butin, rencontres et services de campagne restent à terminer.</x:v>
      </x:c>
    </x:row>
    <x:row r="654" ht="96" customHeight="1">
      <x:c r="A654" s="115" t="str">
        <x:v>EXT-MONDE-T013-V49</x:v>
      </x:c>
      <x:c r="B654" s="115" t="str">
        <x:v>EXT-MONDE-T013</x:v>
      </x:c>
      <x:c r="C654" s="115" t="str">
        <x:v>Ports</x:v>
      </x:c>
      <x:c r="D654" s="115" t="str">
        <x:v>Port de pêche</x:v>
      </x:c>
      <x:c r="E654" s="115" t="n">
        <x:v>49</x:v>
      </x:c>
      <x:c r="F654" s="115" t="str">
        <x:v>Inspection physique</x:v>
      </x:c>
      <x:c r="G654" s="115" t="str">
        <x:v>1 niveaux ; 32 pièces ; 248 segments de mur ; 0 transitions. Inspection physique ; architecture complète encore ouverte.</x:v>
      </x:c>
      <x:c r="H654" s="115" t="str">
        <x:v>L 400 ; l 492 ; hauteur 10 m ; choix de composition auteur ; dimensions réelles à documenter</x:v>
      </x:c>
      <x:c r="I654" s="115" t="str">
        <x:v>À équilibrer</x:v>
      </x:c>
      <x:c r="J654" s="115" t="str">
        <x:v>Non</x:v>
      </x:c>
      <x:c r="K654" s="115" t="str">
        <x:v>Pièces décrites, murs, portes, niveaux et mobilier inspectables à l’échelle. Volumes réservés, raccord au seed, butin, rencontres et services de campagne restent à terminer.</x:v>
      </x:c>
    </x:row>
    <x:row r="655" ht="96" customHeight="1">
      <x:c r="A655" s="115" t="str">
        <x:v>EXT-MONDE-T013-V50</x:v>
      </x:c>
      <x:c r="B655" s="115" t="str">
        <x:v>EXT-MONDE-T013</x:v>
      </x:c>
      <x:c r="C655" s="115" t="str">
        <x:v>Ports</x:v>
      </x:c>
      <x:c r="D655" s="115" t="str">
        <x:v>Port de pêche</x:v>
      </x:c>
      <x:c r="E655" s="115" t="n">
        <x:v>50</x:v>
      </x:c>
      <x:c r="F655" s="115" t="str">
        <x:v>Inspection physique</x:v>
      </x:c>
      <x:c r="G655" s="115" t="str">
        <x:v>1 niveaux ; 32 pièces ; 248 segments de mur ; 0 transitions. Inspection physique ; architecture complète encore ouverte.</x:v>
      </x:c>
      <x:c r="H655" s="115" t="str">
        <x:v>L 400 ; l 492 ; hauteur 10 m ; choix de composition auteur ; dimensions réelles à documenter</x:v>
      </x:c>
      <x:c r="I655" s="115" t="str">
        <x:v>À équilibrer</x:v>
      </x:c>
      <x:c r="J655" s="115" t="str">
        <x:v>Non</x:v>
      </x:c>
      <x:c r="K655" s="115" t="str">
        <x:v>Pièces décrites, murs, portes, niveaux et mobilier inspectables à l’échelle. Volumes réservés, raccord au seed, butin, rencontres et services de campagne restent à terminer.</x:v>
      </x:c>
    </x:row>
    <x:row r="656" ht="96" customHeight="1">
      <x:c r="A656" s="115" t="str">
        <x:v>EXT-MONDE-T014-V01</x:v>
      </x:c>
      <x:c r="B656" s="115" t="str">
        <x:v>EXT-MONDE-T014</x:v>
      </x:c>
      <x:c r="C656" s="115" t="str">
        <x:v>Ports</x:v>
      </x:c>
      <x:c r="D656" s="115" t="str">
        <x:v>Marina</x:v>
      </x:c>
      <x:c r="E656" s="115" t="n">
        <x:v>1</x:v>
      </x:c>
      <x:c r="F656" s="115" t="str">
        <x:v>Inspection physique</x:v>
      </x:c>
      <x:c r="G656" s="115" t="str">
        <x:v>1 niveaux ; 32 pièces ; 248 segments de mur ; 0 transitions. Inspection physique ; architecture complète encore ouverte.</x:v>
      </x:c>
      <x:c r="H656" s="115" t="str">
        <x:v>L 324 ; l 424 ; hauteur 10 m ; choix de composition auteur ; dimensions réelles à documenter</x:v>
      </x:c>
      <x:c r="I656" s="115" t="str">
        <x:v>À équilibrer</x:v>
      </x:c>
      <x:c r="J656" s="115" t="str">
        <x:v>Non</x:v>
      </x:c>
      <x:c r="K656" s="115" t="str">
        <x:v>Pièces décrites, murs, portes, niveaux et mobilier inspectables à l’échelle. Volumes réservés, raccord au seed, butin, rencontres et services de campagne restent à terminer.</x:v>
      </x:c>
    </x:row>
    <x:row r="657" ht="96" customHeight="1">
      <x:c r="A657" s="115" t="str">
        <x:v>EXT-MONDE-T014-V02</x:v>
      </x:c>
      <x:c r="B657" s="115" t="str">
        <x:v>EXT-MONDE-T014</x:v>
      </x:c>
      <x:c r="C657" s="115" t="str">
        <x:v>Ports</x:v>
      </x:c>
      <x:c r="D657" s="115" t="str">
        <x:v>Marina</x:v>
      </x:c>
      <x:c r="E657" s="115" t="n">
        <x:v>2</x:v>
      </x:c>
      <x:c r="F657" s="115" t="str">
        <x:v>Inspection physique</x:v>
      </x:c>
      <x:c r="G657" s="115" t="str">
        <x:v>1 niveaux ; 32 pièces ; 248 segments de mur ; 0 transitions. Inspection physique ; architecture complète encore ouverte.</x:v>
      </x:c>
      <x:c r="H657" s="115" t="str">
        <x:v>L 324 ; l 424 ; hauteur 10 m ; choix de composition auteur ; dimensions réelles à documenter</x:v>
      </x:c>
      <x:c r="I657" s="115" t="str">
        <x:v>À équilibrer</x:v>
      </x:c>
      <x:c r="J657" s="115" t="str">
        <x:v>Non</x:v>
      </x:c>
      <x:c r="K657" s="115" t="str">
        <x:v>Pièces décrites, murs, portes, niveaux et mobilier inspectables à l’échelle. Volumes réservés, raccord au seed, butin, rencontres et services de campagne restent à terminer.</x:v>
      </x:c>
    </x:row>
    <x:row r="658" ht="96" customHeight="1">
      <x:c r="A658" s="115" t="str">
        <x:v>EXT-MONDE-T014-V03</x:v>
      </x:c>
      <x:c r="B658" s="115" t="str">
        <x:v>EXT-MONDE-T014</x:v>
      </x:c>
      <x:c r="C658" s="115" t="str">
        <x:v>Ports</x:v>
      </x:c>
      <x:c r="D658" s="115" t="str">
        <x:v>Marina</x:v>
      </x:c>
      <x:c r="E658" s="115" t="n">
        <x:v>3</x:v>
      </x:c>
      <x:c r="F658" s="115" t="str">
        <x:v>Inspection physique</x:v>
      </x:c>
      <x:c r="G658" s="115" t="str">
        <x:v>1 niveaux ; 32 pièces ; 248 segments de mur ; 0 transitions. Inspection physique ; architecture complète encore ouverte.</x:v>
      </x:c>
      <x:c r="H658" s="115" t="str">
        <x:v>L 324 ; l 424 ; hauteur 10 m ; choix de composition auteur ; dimensions réelles à documenter</x:v>
      </x:c>
      <x:c r="I658" s="115" t="str">
        <x:v>À équilibrer</x:v>
      </x:c>
      <x:c r="J658" s="115" t="str">
        <x:v>Non</x:v>
      </x:c>
      <x:c r="K658" s="115" t="str">
        <x:v>Pièces décrites, murs, portes, niveaux et mobilier inspectables à l’échelle. Volumes réservés, raccord au seed, butin, rencontres et services de campagne restent à terminer.</x:v>
      </x:c>
    </x:row>
    <x:row r="659" ht="96" customHeight="1">
      <x:c r="A659" s="115" t="str">
        <x:v>EXT-MONDE-T014-V04</x:v>
      </x:c>
      <x:c r="B659" s="115" t="str">
        <x:v>EXT-MONDE-T014</x:v>
      </x:c>
      <x:c r="C659" s="115" t="str">
        <x:v>Ports</x:v>
      </x:c>
      <x:c r="D659" s="115" t="str">
        <x:v>Marina</x:v>
      </x:c>
      <x:c r="E659" s="115" t="n">
        <x:v>4</x:v>
      </x:c>
      <x:c r="F659" s="115" t="str">
        <x:v>Inspection physique</x:v>
      </x:c>
      <x:c r="G659" s="115" t="str">
        <x:v>1 niveaux ; 32 pièces ; 248 segments de mur ; 0 transitions. Inspection physique ; architecture complète encore ouverte.</x:v>
      </x:c>
      <x:c r="H659" s="115" t="str">
        <x:v>L 324 ; l 424 ; hauteur 10 m ; choix de composition auteur ; dimensions réelles à documenter</x:v>
      </x:c>
      <x:c r="I659" s="115" t="str">
        <x:v>À équilibrer</x:v>
      </x:c>
      <x:c r="J659" s="115" t="str">
        <x:v>Non</x:v>
      </x:c>
      <x:c r="K659" s="115" t="str">
        <x:v>Pièces décrites, murs, portes, niveaux et mobilier inspectables à l’échelle. Volumes réservés, raccord au seed, butin, rencontres et services de campagne restent à terminer.</x:v>
      </x:c>
    </x:row>
    <x:row r="660" ht="96" customHeight="1">
      <x:c r="A660" s="115" t="str">
        <x:v>EXT-MONDE-T014-V05</x:v>
      </x:c>
      <x:c r="B660" s="115" t="str">
        <x:v>EXT-MONDE-T014</x:v>
      </x:c>
      <x:c r="C660" s="115" t="str">
        <x:v>Ports</x:v>
      </x:c>
      <x:c r="D660" s="115" t="str">
        <x:v>Marina</x:v>
      </x:c>
      <x:c r="E660" s="115" t="n">
        <x:v>5</x:v>
      </x:c>
      <x:c r="F660" s="115" t="str">
        <x:v>Inspection physique</x:v>
      </x:c>
      <x:c r="G660" s="115" t="str">
        <x:v>1 niveaux ; 32 pièces ; 248 segments de mur ; 0 transitions. Inspection physique ; architecture complète encore ouverte.</x:v>
      </x:c>
      <x:c r="H660" s="115" t="str">
        <x:v>L 324 ; l 424 ; hauteur 10 m ; choix de composition auteur ; dimensions réelles à documenter</x:v>
      </x:c>
      <x:c r="I660" s="115" t="str">
        <x:v>À équilibrer</x:v>
      </x:c>
      <x:c r="J660" s="115" t="str">
        <x:v>Non</x:v>
      </x:c>
      <x:c r="K660" s="115" t="str">
        <x:v>Pièces décrites, murs, portes, niveaux et mobilier inspectables à l’échelle. Volumes réservés, raccord au seed, butin, rencontres et services de campagne restent à terminer.</x:v>
      </x:c>
    </x:row>
    <x:row r="661" ht="96" customHeight="1">
      <x:c r="A661" s="115" t="str">
        <x:v>EXT-MONDE-T014-V06</x:v>
      </x:c>
      <x:c r="B661" s="115" t="str">
        <x:v>EXT-MONDE-T014</x:v>
      </x:c>
      <x:c r="C661" s="115" t="str">
        <x:v>Ports</x:v>
      </x:c>
      <x:c r="D661" s="115" t="str">
        <x:v>Marina</x:v>
      </x:c>
      <x:c r="E661" s="115" t="n">
        <x:v>6</x:v>
      </x:c>
      <x:c r="F661" s="115" t="str">
        <x:v>Inspection physique</x:v>
      </x:c>
      <x:c r="G661" s="115" t="str">
        <x:v>1 niveaux ; 32 pièces ; 248 segments de mur ; 0 transitions. Inspection physique ; architecture complète encore ouverte.</x:v>
      </x:c>
      <x:c r="H661" s="115" t="str">
        <x:v>L 324 ; l 424 ; hauteur 10 m ; choix de composition auteur ; dimensions réelles à documenter</x:v>
      </x:c>
      <x:c r="I661" s="115" t="str">
        <x:v>À équilibrer</x:v>
      </x:c>
      <x:c r="J661" s="115" t="str">
        <x:v>Non</x:v>
      </x:c>
      <x:c r="K661" s="115" t="str">
        <x:v>Pièces décrites, murs, portes, niveaux et mobilier inspectables à l’échelle. Volumes réservés, raccord au seed, butin, rencontres et services de campagne restent à terminer.</x:v>
      </x:c>
    </x:row>
    <x:row r="662" ht="96" customHeight="1">
      <x:c r="A662" s="115" t="str">
        <x:v>EXT-MONDE-T014-V07</x:v>
      </x:c>
      <x:c r="B662" s="115" t="str">
        <x:v>EXT-MONDE-T014</x:v>
      </x:c>
      <x:c r="C662" s="115" t="str">
        <x:v>Ports</x:v>
      </x:c>
      <x:c r="D662" s="115" t="str">
        <x:v>Marina</x:v>
      </x:c>
      <x:c r="E662" s="115" t="n">
        <x:v>7</x:v>
      </x:c>
      <x:c r="F662" s="115" t="str">
        <x:v>Inspection physique</x:v>
      </x:c>
      <x:c r="G662" s="115" t="str">
        <x:v>1 niveaux ; 32 pièces ; 248 segments de mur ; 0 transitions. Inspection physique ; architecture complète encore ouverte.</x:v>
      </x:c>
      <x:c r="H662" s="115" t="str">
        <x:v>L 324 ; l 424 ; hauteur 10 m ; choix de composition auteur ; dimensions réelles à documenter</x:v>
      </x:c>
      <x:c r="I662" s="115" t="str">
        <x:v>À équilibrer</x:v>
      </x:c>
      <x:c r="J662" s="115" t="str">
        <x:v>Non</x:v>
      </x:c>
      <x:c r="K662" s="115" t="str">
        <x:v>Pièces décrites, murs, portes, niveaux et mobilier inspectables à l’échelle. Volumes réservés, raccord au seed, butin, rencontres et services de campagne restent à terminer.</x:v>
      </x:c>
    </x:row>
    <x:row r="663" ht="96" customHeight="1">
      <x:c r="A663" s="115" t="str">
        <x:v>EXT-MONDE-T014-V08</x:v>
      </x:c>
      <x:c r="B663" s="115" t="str">
        <x:v>EXT-MONDE-T014</x:v>
      </x:c>
      <x:c r="C663" s="115" t="str">
        <x:v>Ports</x:v>
      </x:c>
      <x:c r="D663" s="115" t="str">
        <x:v>Marina</x:v>
      </x:c>
      <x:c r="E663" s="115" t="n">
        <x:v>8</x:v>
      </x:c>
      <x:c r="F663" s="115" t="str">
        <x:v>Inspection physique</x:v>
      </x:c>
      <x:c r="G663" s="115" t="str">
        <x:v>1 niveaux ; 32 pièces ; 248 segments de mur ; 0 transitions. Inspection physique ; architecture complète encore ouverte.</x:v>
      </x:c>
      <x:c r="H663" s="115" t="str">
        <x:v>L 324 ; l 424 ; hauteur 10 m ; choix de composition auteur ; dimensions réelles à documenter</x:v>
      </x:c>
      <x:c r="I663" s="115" t="str">
        <x:v>À équilibrer</x:v>
      </x:c>
      <x:c r="J663" s="115" t="str">
        <x:v>Non</x:v>
      </x:c>
      <x:c r="K663" s="115" t="str">
        <x:v>Pièces décrites, murs, portes, niveaux et mobilier inspectables à l’échelle. Volumes réservés, raccord au seed, butin, rencontres et services de campagne restent à terminer.</x:v>
      </x:c>
    </x:row>
    <x:row r="664" ht="96" customHeight="1">
      <x:c r="A664" s="115" t="str">
        <x:v>EXT-MONDE-T014-V09</x:v>
      </x:c>
      <x:c r="B664" s="115" t="str">
        <x:v>EXT-MONDE-T014</x:v>
      </x:c>
      <x:c r="C664" s="115" t="str">
        <x:v>Ports</x:v>
      </x:c>
      <x:c r="D664" s="115" t="str">
        <x:v>Marina</x:v>
      </x:c>
      <x:c r="E664" s="115" t="n">
        <x:v>9</x:v>
      </x:c>
      <x:c r="F664" s="115" t="str">
        <x:v>Inspection physique</x:v>
      </x:c>
      <x:c r="G664" s="115" t="str">
        <x:v>1 niveaux ; 32 pièces ; 248 segments de mur ; 0 transitions. Inspection physique ; architecture complète encore ouverte.</x:v>
      </x:c>
      <x:c r="H664" s="115" t="str">
        <x:v>L 324 ; l 424 ; hauteur 10 m ; choix de composition auteur ; dimensions réelles à documenter</x:v>
      </x:c>
      <x:c r="I664" s="115" t="str">
        <x:v>À équilibrer</x:v>
      </x:c>
      <x:c r="J664" s="115" t="str">
        <x:v>Non</x:v>
      </x:c>
      <x:c r="K664" s="115" t="str">
        <x:v>Pièces décrites, murs, portes, niveaux et mobilier inspectables à l’échelle. Volumes réservés, raccord au seed, butin, rencontres et services de campagne restent à terminer.</x:v>
      </x:c>
    </x:row>
    <x:row r="665" ht="96" customHeight="1">
      <x:c r="A665" s="115" t="str">
        <x:v>EXT-MONDE-T014-V10</x:v>
      </x:c>
      <x:c r="B665" s="115" t="str">
        <x:v>EXT-MONDE-T014</x:v>
      </x:c>
      <x:c r="C665" s="115" t="str">
        <x:v>Ports</x:v>
      </x:c>
      <x:c r="D665" s="115" t="str">
        <x:v>Marina</x:v>
      </x:c>
      <x:c r="E665" s="115" t="n">
        <x:v>10</x:v>
      </x:c>
      <x:c r="F665" s="115" t="str">
        <x:v>Inspection physique</x:v>
      </x:c>
      <x:c r="G665" s="115" t="str">
        <x:v>1 niveaux ; 32 pièces ; 248 segments de mur ; 0 transitions. Inspection physique ; architecture complète encore ouverte.</x:v>
      </x:c>
      <x:c r="H665" s="115" t="str">
        <x:v>L 324 ; l 424 ; hauteur 10 m ; choix de composition auteur ; dimensions réelles à documenter</x:v>
      </x:c>
      <x:c r="I665" s="115" t="str">
        <x:v>À équilibrer</x:v>
      </x:c>
      <x:c r="J665" s="115" t="str">
        <x:v>Non</x:v>
      </x:c>
      <x:c r="K665" s="115" t="str">
        <x:v>Pièces décrites, murs, portes, niveaux et mobilier inspectables à l’échelle. Volumes réservés, raccord au seed, butin, rencontres et services de campagne restent à terminer.</x:v>
      </x:c>
    </x:row>
    <x:row r="666" ht="96" customHeight="1">
      <x:c r="A666" s="115" t="str">
        <x:v>EXT-MONDE-T014-V11</x:v>
      </x:c>
      <x:c r="B666" s="115" t="str">
        <x:v>EXT-MONDE-T014</x:v>
      </x:c>
      <x:c r="C666" s="115" t="str">
        <x:v>Ports</x:v>
      </x:c>
      <x:c r="D666" s="115" t="str">
        <x:v>Marina</x:v>
      </x:c>
      <x:c r="E666" s="115" t="n">
        <x:v>11</x:v>
      </x:c>
      <x:c r="F666" s="115" t="str">
        <x:v>Inspection physique</x:v>
      </x:c>
      <x:c r="G666" s="115" t="str">
        <x:v>1 niveaux ; 32 pièces ; 248 segments de mur ; 0 transitions. Inspection physique ; architecture complète encore ouverte.</x:v>
      </x:c>
      <x:c r="H666" s="115" t="str">
        <x:v>L 338 ; l 436 ; hauteur 10 m ; choix de composition auteur ; dimensions réelles à documenter</x:v>
      </x:c>
      <x:c r="I666" s="115" t="str">
        <x:v>À équilibrer</x:v>
      </x:c>
      <x:c r="J666" s="115" t="str">
        <x:v>Non</x:v>
      </x:c>
      <x:c r="K666" s="115" t="str">
        <x:v>Pièces décrites, murs, portes, niveaux et mobilier inspectables à l’échelle. Volumes réservés, raccord au seed, butin, rencontres et services de campagne restent à terminer.</x:v>
      </x:c>
    </x:row>
    <x:row r="667" ht="96" customHeight="1">
      <x:c r="A667" s="115" t="str">
        <x:v>EXT-MONDE-T014-V12</x:v>
      </x:c>
      <x:c r="B667" s="115" t="str">
        <x:v>EXT-MONDE-T014</x:v>
      </x:c>
      <x:c r="C667" s="115" t="str">
        <x:v>Ports</x:v>
      </x:c>
      <x:c r="D667" s="115" t="str">
        <x:v>Marina</x:v>
      </x:c>
      <x:c r="E667" s="115" t="n">
        <x:v>12</x:v>
      </x:c>
      <x:c r="F667" s="115" t="str">
        <x:v>Inspection physique</x:v>
      </x:c>
      <x:c r="G667" s="115" t="str">
        <x:v>1 niveaux ; 32 pièces ; 248 segments de mur ; 0 transitions. Inspection physique ; architecture complète encore ouverte.</x:v>
      </x:c>
      <x:c r="H667" s="115" t="str">
        <x:v>L 338 ; l 436 ; hauteur 10 m ; choix de composition auteur ; dimensions réelles à documenter</x:v>
      </x:c>
      <x:c r="I667" s="115" t="str">
        <x:v>À équilibrer</x:v>
      </x:c>
      <x:c r="J667" s="115" t="str">
        <x:v>Non</x:v>
      </x:c>
      <x:c r="K667" s="115" t="str">
        <x:v>Pièces décrites, murs, portes, niveaux et mobilier inspectables à l’échelle. Volumes réservés, raccord au seed, butin, rencontres et services de campagne restent à terminer.</x:v>
      </x:c>
    </x:row>
    <x:row r="668" ht="96" customHeight="1">
      <x:c r="A668" s="115" t="str">
        <x:v>EXT-MONDE-T014-V13</x:v>
      </x:c>
      <x:c r="B668" s="115" t="str">
        <x:v>EXT-MONDE-T014</x:v>
      </x:c>
      <x:c r="C668" s="115" t="str">
        <x:v>Ports</x:v>
      </x:c>
      <x:c r="D668" s="115" t="str">
        <x:v>Marina</x:v>
      </x:c>
      <x:c r="E668" s="115" t="n">
        <x:v>13</x:v>
      </x:c>
      <x:c r="F668" s="115" t="str">
        <x:v>Inspection physique</x:v>
      </x:c>
      <x:c r="G668" s="115" t="str">
        <x:v>1 niveaux ; 32 pièces ; 248 segments de mur ; 0 transitions. Inspection physique ; architecture complète encore ouverte.</x:v>
      </x:c>
      <x:c r="H668" s="115" t="str">
        <x:v>L 338 ; l 436 ; hauteur 10 m ; choix de composition auteur ; dimensions réelles à documenter</x:v>
      </x:c>
      <x:c r="I668" s="115" t="str">
        <x:v>À équilibrer</x:v>
      </x:c>
      <x:c r="J668" s="115" t="str">
        <x:v>Non</x:v>
      </x:c>
      <x:c r="K668" s="115" t="str">
        <x:v>Pièces décrites, murs, portes, niveaux et mobilier inspectables à l’échelle. Volumes réservés, raccord au seed, butin, rencontres et services de campagne restent à terminer.</x:v>
      </x:c>
    </x:row>
    <x:row r="669" ht="96" customHeight="1">
      <x:c r="A669" s="115" t="str">
        <x:v>EXT-MONDE-T014-V14</x:v>
      </x:c>
      <x:c r="B669" s="115" t="str">
        <x:v>EXT-MONDE-T014</x:v>
      </x:c>
      <x:c r="C669" s="115" t="str">
        <x:v>Ports</x:v>
      </x:c>
      <x:c r="D669" s="115" t="str">
        <x:v>Marina</x:v>
      </x:c>
      <x:c r="E669" s="115" t="n">
        <x:v>14</x:v>
      </x:c>
      <x:c r="F669" s="115" t="str">
        <x:v>Inspection physique</x:v>
      </x:c>
      <x:c r="G669" s="115" t="str">
        <x:v>1 niveaux ; 32 pièces ; 248 segments de mur ; 0 transitions. Inspection physique ; architecture complète encore ouverte.</x:v>
      </x:c>
      <x:c r="H669" s="115" t="str">
        <x:v>L 338 ; l 436 ; hauteur 10 m ; choix de composition auteur ; dimensions réelles à documenter</x:v>
      </x:c>
      <x:c r="I669" s="115" t="str">
        <x:v>À équilibrer</x:v>
      </x:c>
      <x:c r="J669" s="115" t="str">
        <x:v>Non</x:v>
      </x:c>
      <x:c r="K669" s="115" t="str">
        <x:v>Pièces décrites, murs, portes, niveaux et mobilier inspectables à l’échelle. Volumes réservés, raccord au seed, butin, rencontres et services de campagne restent à terminer.</x:v>
      </x:c>
    </x:row>
    <x:row r="670" ht="96" customHeight="1">
      <x:c r="A670" s="115" t="str">
        <x:v>EXT-MONDE-T014-V15</x:v>
      </x:c>
      <x:c r="B670" s="115" t="str">
        <x:v>EXT-MONDE-T014</x:v>
      </x:c>
      <x:c r="C670" s="115" t="str">
        <x:v>Ports</x:v>
      </x:c>
      <x:c r="D670" s="115" t="str">
        <x:v>Marina</x:v>
      </x:c>
      <x:c r="E670" s="115" t="n">
        <x:v>15</x:v>
      </x:c>
      <x:c r="F670" s="115" t="str">
        <x:v>Inspection physique</x:v>
      </x:c>
      <x:c r="G670" s="115" t="str">
        <x:v>1 niveaux ; 32 pièces ; 248 segments de mur ; 0 transitions. Inspection physique ; architecture complète encore ouverte.</x:v>
      </x:c>
      <x:c r="H670" s="115" t="str">
        <x:v>L 338 ; l 436 ; hauteur 10 m ; choix de composition auteur ; dimensions réelles à documenter</x:v>
      </x:c>
      <x:c r="I670" s="115" t="str">
        <x:v>À équilibrer</x:v>
      </x:c>
      <x:c r="J670" s="115" t="str">
        <x:v>Non</x:v>
      </x:c>
      <x:c r="K670" s="115" t="str">
        <x:v>Pièces décrites, murs, portes, niveaux et mobilier inspectables à l’échelle. Volumes réservés, raccord au seed, butin, rencontres et services de campagne restent à terminer.</x:v>
      </x:c>
    </x:row>
    <x:row r="671" ht="96" customHeight="1">
      <x:c r="A671" s="115" t="str">
        <x:v>EXT-MONDE-T014-V16</x:v>
      </x:c>
      <x:c r="B671" s="115" t="str">
        <x:v>EXT-MONDE-T014</x:v>
      </x:c>
      <x:c r="C671" s="115" t="str">
        <x:v>Ports</x:v>
      </x:c>
      <x:c r="D671" s="115" t="str">
        <x:v>Marina</x:v>
      </x:c>
      <x:c r="E671" s="115" t="n">
        <x:v>16</x:v>
      </x:c>
      <x:c r="F671" s="115" t="str">
        <x:v>Inspection physique</x:v>
      </x:c>
      <x:c r="G671" s="115" t="str">
        <x:v>1 niveaux ; 32 pièces ; 248 segments de mur ; 0 transitions. Inspection physique ; architecture complète encore ouverte.</x:v>
      </x:c>
      <x:c r="H671" s="115" t="str">
        <x:v>L 338 ; l 436 ; hauteur 10 m ; choix de composition auteur ; dimensions réelles à documenter</x:v>
      </x:c>
      <x:c r="I671" s="115" t="str">
        <x:v>À équilibrer</x:v>
      </x:c>
      <x:c r="J671" s="115" t="str">
        <x:v>Non</x:v>
      </x:c>
      <x:c r="K671" s="115" t="str">
        <x:v>Pièces décrites, murs, portes, niveaux et mobilier inspectables à l’échelle. Volumes réservés, raccord au seed, butin, rencontres et services de campagne restent à terminer.</x:v>
      </x:c>
    </x:row>
    <x:row r="672" ht="96" customHeight="1">
      <x:c r="A672" s="115" t="str">
        <x:v>EXT-MONDE-T014-V17</x:v>
      </x:c>
      <x:c r="B672" s="115" t="str">
        <x:v>EXT-MONDE-T014</x:v>
      </x:c>
      <x:c r="C672" s="115" t="str">
        <x:v>Ports</x:v>
      </x:c>
      <x:c r="D672" s="115" t="str">
        <x:v>Marina</x:v>
      </x:c>
      <x:c r="E672" s="115" t="n">
        <x:v>17</x:v>
      </x:c>
      <x:c r="F672" s="115" t="str">
        <x:v>Inspection physique</x:v>
      </x:c>
      <x:c r="G672" s="115" t="str">
        <x:v>1 niveaux ; 32 pièces ; 248 segments de mur ; 0 transitions. Inspection physique ; architecture complète encore ouverte.</x:v>
      </x:c>
      <x:c r="H672" s="115" t="str">
        <x:v>L 338 ; l 436 ; hauteur 10 m ; choix de composition auteur ; dimensions réelles à documenter</x:v>
      </x:c>
      <x:c r="I672" s="115" t="str">
        <x:v>À équilibrer</x:v>
      </x:c>
      <x:c r="J672" s="115" t="str">
        <x:v>Non</x:v>
      </x:c>
      <x:c r="K672" s="115" t="str">
        <x:v>Pièces décrites, murs, portes, niveaux et mobilier inspectables à l’échelle. Volumes réservés, raccord au seed, butin, rencontres et services de campagne restent à terminer.</x:v>
      </x:c>
    </x:row>
    <x:row r="673" ht="96" customHeight="1">
      <x:c r="A673" s="115" t="str">
        <x:v>EXT-MONDE-T014-V18</x:v>
      </x:c>
      <x:c r="B673" s="115" t="str">
        <x:v>EXT-MONDE-T014</x:v>
      </x:c>
      <x:c r="C673" s="115" t="str">
        <x:v>Ports</x:v>
      </x:c>
      <x:c r="D673" s="115" t="str">
        <x:v>Marina</x:v>
      </x:c>
      <x:c r="E673" s="115" t="n">
        <x:v>18</x:v>
      </x:c>
      <x:c r="F673" s="115" t="str">
        <x:v>Inspection physique</x:v>
      </x:c>
      <x:c r="G673" s="115" t="str">
        <x:v>1 niveaux ; 32 pièces ; 248 segments de mur ; 0 transitions. Inspection physique ; architecture complète encore ouverte.</x:v>
      </x:c>
      <x:c r="H673" s="115" t="str">
        <x:v>L 338 ; l 436 ; hauteur 10 m ; choix de composition auteur ; dimensions réelles à documenter</x:v>
      </x:c>
      <x:c r="I673" s="115" t="str">
        <x:v>À équilibrer</x:v>
      </x:c>
      <x:c r="J673" s="115" t="str">
        <x:v>Non</x:v>
      </x:c>
      <x:c r="K673" s="115" t="str">
        <x:v>Pièces décrites, murs, portes, niveaux et mobilier inspectables à l’échelle. Volumes réservés, raccord au seed, butin, rencontres et services de campagne restent à terminer.</x:v>
      </x:c>
    </x:row>
    <x:row r="674" ht="96" customHeight="1">
      <x:c r="A674" s="115" t="str">
        <x:v>EXT-MONDE-T014-V19</x:v>
      </x:c>
      <x:c r="B674" s="115" t="str">
        <x:v>EXT-MONDE-T014</x:v>
      </x:c>
      <x:c r="C674" s="115" t="str">
        <x:v>Ports</x:v>
      </x:c>
      <x:c r="D674" s="115" t="str">
        <x:v>Marina</x:v>
      </x:c>
      <x:c r="E674" s="115" t="n">
        <x:v>19</x:v>
      </x:c>
      <x:c r="F674" s="115" t="str">
        <x:v>Inspection physique</x:v>
      </x:c>
      <x:c r="G674" s="115" t="str">
        <x:v>1 niveaux ; 32 pièces ; 248 segments de mur ; 0 transitions. Inspection physique ; architecture complète encore ouverte.</x:v>
      </x:c>
      <x:c r="H674" s="115" t="str">
        <x:v>L 338 ; l 436 ; hauteur 10 m ; choix de composition auteur ; dimensions réelles à documenter</x:v>
      </x:c>
      <x:c r="I674" s="115" t="str">
        <x:v>À équilibrer</x:v>
      </x:c>
      <x:c r="J674" s="115" t="str">
        <x:v>Non</x:v>
      </x:c>
      <x:c r="K674" s="115" t="str">
        <x:v>Pièces décrites, murs, portes, niveaux et mobilier inspectables à l’échelle. Volumes réservés, raccord au seed, butin, rencontres et services de campagne restent à terminer.</x:v>
      </x:c>
    </x:row>
    <x:row r="675" ht="96" customHeight="1">
      <x:c r="A675" s="115" t="str">
        <x:v>EXT-MONDE-T014-V20</x:v>
      </x:c>
      <x:c r="B675" s="115" t="str">
        <x:v>EXT-MONDE-T014</x:v>
      </x:c>
      <x:c r="C675" s="115" t="str">
        <x:v>Ports</x:v>
      </x:c>
      <x:c r="D675" s="115" t="str">
        <x:v>Marina</x:v>
      </x:c>
      <x:c r="E675" s="115" t="n">
        <x:v>20</x:v>
      </x:c>
      <x:c r="F675" s="115" t="str">
        <x:v>Inspection physique</x:v>
      </x:c>
      <x:c r="G675" s="115" t="str">
        <x:v>1 niveaux ; 32 pièces ; 248 segments de mur ; 0 transitions. Inspection physique ; architecture complète encore ouverte.</x:v>
      </x:c>
      <x:c r="H675" s="115" t="str">
        <x:v>L 338 ; l 436 ; hauteur 10 m ; choix de composition auteur ; dimensions réelles à documenter</x:v>
      </x:c>
      <x:c r="I675" s="115" t="str">
        <x:v>À équilibrer</x:v>
      </x:c>
      <x:c r="J675" s="115" t="str">
        <x:v>Non</x:v>
      </x:c>
      <x:c r="K675" s="115" t="str">
        <x:v>Pièces décrites, murs, portes, niveaux et mobilier inspectables à l’échelle. Volumes réservés, raccord au seed, butin, rencontres et services de campagne restent à terminer.</x:v>
      </x:c>
    </x:row>
    <x:row r="676" ht="96" customHeight="1">
      <x:c r="A676" s="115" t="str">
        <x:v>EXT-MONDE-T014-V21</x:v>
      </x:c>
      <x:c r="B676" s="115" t="str">
        <x:v>EXT-MONDE-T014</x:v>
      </x:c>
      <x:c r="C676" s="115" t="str">
        <x:v>Ports</x:v>
      </x:c>
      <x:c r="D676" s="115" t="str">
        <x:v>Marina</x:v>
      </x:c>
      <x:c r="E676" s="115" t="n">
        <x:v>21</x:v>
      </x:c>
      <x:c r="F676" s="115" t="str">
        <x:v>Inspection physique</x:v>
      </x:c>
      <x:c r="G676" s="115" t="str">
        <x:v>1 niveaux ; 32 pièces ; 248 segments de mur ; 0 transitions. Inspection physique ; architecture complète encore ouverte.</x:v>
      </x:c>
      <x:c r="H676" s="115" t="str">
        <x:v>L 352 ; l 448 ; hauteur 10 m ; choix de composition auteur ; dimensions réelles à documenter</x:v>
      </x:c>
      <x:c r="I676" s="115" t="str">
        <x:v>À équilibrer</x:v>
      </x:c>
      <x:c r="J676" s="115" t="str">
        <x:v>Non</x:v>
      </x:c>
      <x:c r="K676" s="115" t="str">
        <x:v>Pièces décrites, murs, portes, niveaux et mobilier inspectables à l’échelle. Volumes réservés, raccord au seed, butin, rencontres et services de campagne restent à terminer.</x:v>
      </x:c>
    </x:row>
    <x:row r="677" ht="96" customHeight="1">
      <x:c r="A677" s="115" t="str">
        <x:v>EXT-MONDE-T014-V22</x:v>
      </x:c>
      <x:c r="B677" s="115" t="str">
        <x:v>EXT-MONDE-T014</x:v>
      </x:c>
      <x:c r="C677" s="115" t="str">
        <x:v>Ports</x:v>
      </x:c>
      <x:c r="D677" s="115" t="str">
        <x:v>Marina</x:v>
      </x:c>
      <x:c r="E677" s="115" t="n">
        <x:v>22</x:v>
      </x:c>
      <x:c r="F677" s="115" t="str">
        <x:v>Inspection physique</x:v>
      </x:c>
      <x:c r="G677" s="115" t="str">
        <x:v>1 niveaux ; 32 pièces ; 248 segments de mur ; 0 transitions. Inspection physique ; architecture complète encore ouverte.</x:v>
      </x:c>
      <x:c r="H677" s="115" t="str">
        <x:v>L 352 ; l 448 ; hauteur 10 m ; choix de composition auteur ; dimensions réelles à documenter</x:v>
      </x:c>
      <x:c r="I677" s="115" t="str">
        <x:v>À équilibrer</x:v>
      </x:c>
      <x:c r="J677" s="115" t="str">
        <x:v>Non</x:v>
      </x:c>
      <x:c r="K677" s="115" t="str">
        <x:v>Pièces décrites, murs, portes, niveaux et mobilier inspectables à l’échelle. Volumes réservés, raccord au seed, butin, rencontres et services de campagne restent à terminer.</x:v>
      </x:c>
    </x:row>
    <x:row r="678" ht="96" customHeight="1">
      <x:c r="A678" s="115" t="str">
        <x:v>EXT-MONDE-T014-V23</x:v>
      </x:c>
      <x:c r="B678" s="115" t="str">
        <x:v>EXT-MONDE-T014</x:v>
      </x:c>
      <x:c r="C678" s="115" t="str">
        <x:v>Ports</x:v>
      </x:c>
      <x:c r="D678" s="115" t="str">
        <x:v>Marina</x:v>
      </x:c>
      <x:c r="E678" s="115" t="n">
        <x:v>23</x:v>
      </x:c>
      <x:c r="F678" s="115" t="str">
        <x:v>Inspection physique</x:v>
      </x:c>
      <x:c r="G678" s="115" t="str">
        <x:v>1 niveaux ; 32 pièces ; 248 segments de mur ; 0 transitions. Inspection physique ; architecture complète encore ouverte.</x:v>
      </x:c>
      <x:c r="H678" s="115" t="str">
        <x:v>L 352 ; l 448 ; hauteur 10 m ; choix de composition auteur ; dimensions réelles à documenter</x:v>
      </x:c>
      <x:c r="I678" s="115" t="str">
        <x:v>À équilibrer</x:v>
      </x:c>
      <x:c r="J678" s="115" t="str">
        <x:v>Non</x:v>
      </x:c>
      <x:c r="K678" s="115" t="str">
        <x:v>Pièces décrites, murs, portes, niveaux et mobilier inspectables à l’échelle. Volumes réservés, raccord au seed, butin, rencontres et services de campagne restent à terminer.</x:v>
      </x:c>
    </x:row>
    <x:row r="679" ht="96" customHeight="1">
      <x:c r="A679" s="115" t="str">
        <x:v>EXT-MONDE-T014-V24</x:v>
      </x:c>
      <x:c r="B679" s="115" t="str">
        <x:v>EXT-MONDE-T014</x:v>
      </x:c>
      <x:c r="C679" s="115" t="str">
        <x:v>Ports</x:v>
      </x:c>
      <x:c r="D679" s="115" t="str">
        <x:v>Marina</x:v>
      </x:c>
      <x:c r="E679" s="115" t="n">
        <x:v>24</x:v>
      </x:c>
      <x:c r="F679" s="115" t="str">
        <x:v>Inspection physique</x:v>
      </x:c>
      <x:c r="G679" s="115" t="str">
        <x:v>1 niveaux ; 32 pièces ; 248 segments de mur ; 0 transitions. Inspection physique ; architecture complète encore ouverte.</x:v>
      </x:c>
      <x:c r="H679" s="115" t="str">
        <x:v>L 352 ; l 448 ; hauteur 10 m ; choix de composition auteur ; dimensions réelles à documenter</x:v>
      </x:c>
      <x:c r="I679" s="115" t="str">
        <x:v>À équilibrer</x:v>
      </x:c>
      <x:c r="J679" s="115" t="str">
        <x:v>Non</x:v>
      </x:c>
      <x:c r="K679" s="115" t="str">
        <x:v>Pièces décrites, murs, portes, niveaux et mobilier inspectables à l’échelle. Volumes réservés, raccord au seed, butin, rencontres et services de campagne restent à terminer.</x:v>
      </x:c>
    </x:row>
    <x:row r="680" ht="96" customHeight="1">
      <x:c r="A680" s="115" t="str">
        <x:v>EXT-MONDE-T014-V25</x:v>
      </x:c>
      <x:c r="B680" s="115" t="str">
        <x:v>EXT-MONDE-T014</x:v>
      </x:c>
      <x:c r="C680" s="115" t="str">
        <x:v>Ports</x:v>
      </x:c>
      <x:c r="D680" s="115" t="str">
        <x:v>Marina</x:v>
      </x:c>
      <x:c r="E680" s="115" t="n">
        <x:v>25</x:v>
      </x:c>
      <x:c r="F680" s="115" t="str">
        <x:v>Inspection physique</x:v>
      </x:c>
      <x:c r="G680" s="115" t="str">
        <x:v>1 niveaux ; 32 pièces ; 248 segments de mur ; 0 transitions. Inspection physique ; architecture complète encore ouverte.</x:v>
      </x:c>
      <x:c r="H680" s="115" t="str">
        <x:v>L 352 ; l 448 ; hauteur 10 m ; choix de composition auteur ; dimensions réelles à documenter</x:v>
      </x:c>
      <x:c r="I680" s="115" t="str">
        <x:v>À équilibrer</x:v>
      </x:c>
      <x:c r="J680" s="115" t="str">
        <x:v>Non</x:v>
      </x:c>
      <x:c r="K680" s="115" t="str">
        <x:v>Pièces décrites, murs, portes, niveaux et mobilier inspectables à l’échelle. Volumes réservés, raccord au seed, butin, rencontres et services de campagne restent à terminer.</x:v>
      </x:c>
    </x:row>
    <x:row r="681" ht="96" customHeight="1">
      <x:c r="A681" s="115" t="str">
        <x:v>EXT-MONDE-T014-V26</x:v>
      </x:c>
      <x:c r="B681" s="115" t="str">
        <x:v>EXT-MONDE-T014</x:v>
      </x:c>
      <x:c r="C681" s="115" t="str">
        <x:v>Ports</x:v>
      </x:c>
      <x:c r="D681" s="115" t="str">
        <x:v>Marina</x:v>
      </x:c>
      <x:c r="E681" s="115" t="n">
        <x:v>26</x:v>
      </x:c>
      <x:c r="F681" s="115" t="str">
        <x:v>Inspection physique</x:v>
      </x:c>
      <x:c r="G681" s="115" t="str">
        <x:v>1 niveaux ; 32 pièces ; 248 segments de mur ; 0 transitions. Inspection physique ; architecture complète encore ouverte.</x:v>
      </x:c>
      <x:c r="H681" s="115" t="str">
        <x:v>L 352 ; l 448 ; hauteur 10 m ; choix de composition auteur ; dimensions réelles à documenter</x:v>
      </x:c>
      <x:c r="I681" s="115" t="str">
        <x:v>À équilibrer</x:v>
      </x:c>
      <x:c r="J681" s="115" t="str">
        <x:v>Non</x:v>
      </x:c>
      <x:c r="K681" s="115" t="str">
        <x:v>Pièces décrites, murs, portes, niveaux et mobilier inspectables à l’échelle. Volumes réservés, raccord au seed, butin, rencontres et services de campagne restent à terminer.</x:v>
      </x:c>
    </x:row>
    <x:row r="682" ht="96" customHeight="1">
      <x:c r="A682" s="115" t="str">
        <x:v>EXT-MONDE-T014-V27</x:v>
      </x:c>
      <x:c r="B682" s="115" t="str">
        <x:v>EXT-MONDE-T014</x:v>
      </x:c>
      <x:c r="C682" s="115" t="str">
        <x:v>Ports</x:v>
      </x:c>
      <x:c r="D682" s="115" t="str">
        <x:v>Marina</x:v>
      </x:c>
      <x:c r="E682" s="115" t="n">
        <x:v>27</x:v>
      </x:c>
      <x:c r="F682" s="115" t="str">
        <x:v>Inspection physique</x:v>
      </x:c>
      <x:c r="G682" s="115" t="str">
        <x:v>1 niveaux ; 32 pièces ; 248 segments de mur ; 0 transitions. Inspection physique ; architecture complète encore ouverte.</x:v>
      </x:c>
      <x:c r="H682" s="115" t="str">
        <x:v>L 352 ; l 448 ; hauteur 10 m ; choix de composition auteur ; dimensions réelles à documenter</x:v>
      </x:c>
      <x:c r="I682" s="115" t="str">
        <x:v>À équilibrer</x:v>
      </x:c>
      <x:c r="J682" s="115" t="str">
        <x:v>Non</x:v>
      </x:c>
      <x:c r="K682" s="115" t="str">
        <x:v>Pièces décrites, murs, portes, niveaux et mobilier inspectables à l’échelle. Volumes réservés, raccord au seed, butin, rencontres et services de campagne restent à terminer.</x:v>
      </x:c>
    </x:row>
    <x:row r="683" ht="96" customHeight="1">
      <x:c r="A683" s="115" t="str">
        <x:v>EXT-MONDE-T014-V28</x:v>
      </x:c>
      <x:c r="B683" s="115" t="str">
        <x:v>EXT-MONDE-T014</x:v>
      </x:c>
      <x:c r="C683" s="115" t="str">
        <x:v>Ports</x:v>
      </x:c>
      <x:c r="D683" s="115" t="str">
        <x:v>Marina</x:v>
      </x:c>
      <x:c r="E683" s="115" t="n">
        <x:v>28</x:v>
      </x:c>
      <x:c r="F683" s="115" t="str">
        <x:v>Inspection physique</x:v>
      </x:c>
      <x:c r="G683" s="115" t="str">
        <x:v>1 niveaux ; 32 pièces ; 248 segments de mur ; 0 transitions. Inspection physique ; architecture complète encore ouverte.</x:v>
      </x:c>
      <x:c r="H683" s="115" t="str">
        <x:v>L 352 ; l 448 ; hauteur 10 m ; choix de composition auteur ; dimensions réelles à documenter</x:v>
      </x:c>
      <x:c r="I683" s="115" t="str">
        <x:v>À équilibrer</x:v>
      </x:c>
      <x:c r="J683" s="115" t="str">
        <x:v>Non</x:v>
      </x:c>
      <x:c r="K683" s="115" t="str">
        <x:v>Pièces décrites, murs, portes, niveaux et mobilier inspectables à l’échelle. Volumes réservés, raccord au seed, butin, rencontres et services de campagne restent à terminer.</x:v>
      </x:c>
    </x:row>
    <x:row r="684" ht="96" customHeight="1">
      <x:c r="A684" s="115" t="str">
        <x:v>EXT-MONDE-T014-V29</x:v>
      </x:c>
      <x:c r="B684" s="115" t="str">
        <x:v>EXT-MONDE-T014</x:v>
      </x:c>
      <x:c r="C684" s="115" t="str">
        <x:v>Ports</x:v>
      </x:c>
      <x:c r="D684" s="115" t="str">
        <x:v>Marina</x:v>
      </x:c>
      <x:c r="E684" s="115" t="n">
        <x:v>29</x:v>
      </x:c>
      <x:c r="F684" s="115" t="str">
        <x:v>Inspection physique</x:v>
      </x:c>
      <x:c r="G684" s="115" t="str">
        <x:v>1 niveaux ; 32 pièces ; 248 segments de mur ; 0 transitions. Inspection physique ; architecture complète encore ouverte.</x:v>
      </x:c>
      <x:c r="H684" s="115" t="str">
        <x:v>L 352 ; l 448 ; hauteur 10 m ; choix de composition auteur ; dimensions réelles à documenter</x:v>
      </x:c>
      <x:c r="I684" s="115" t="str">
        <x:v>À équilibrer</x:v>
      </x:c>
      <x:c r="J684" s="115" t="str">
        <x:v>Non</x:v>
      </x:c>
      <x:c r="K684" s="115" t="str">
        <x:v>Pièces décrites, murs, portes, niveaux et mobilier inspectables à l’échelle. Volumes réservés, raccord au seed, butin, rencontres et services de campagne restent à terminer.</x:v>
      </x:c>
    </x:row>
    <x:row r="685" ht="96" customHeight="1">
      <x:c r="A685" s="115" t="str">
        <x:v>EXT-MONDE-T014-V30</x:v>
      </x:c>
      <x:c r="B685" s="115" t="str">
        <x:v>EXT-MONDE-T014</x:v>
      </x:c>
      <x:c r="C685" s="115" t="str">
        <x:v>Ports</x:v>
      </x:c>
      <x:c r="D685" s="115" t="str">
        <x:v>Marina</x:v>
      </x:c>
      <x:c r="E685" s="115" t="n">
        <x:v>30</x:v>
      </x:c>
      <x:c r="F685" s="115" t="str">
        <x:v>Inspection physique</x:v>
      </x:c>
      <x:c r="G685" s="115" t="str">
        <x:v>1 niveaux ; 32 pièces ; 248 segments de mur ; 0 transitions. Inspection physique ; architecture complète encore ouverte.</x:v>
      </x:c>
      <x:c r="H685" s="115" t="str">
        <x:v>L 352 ; l 448 ; hauteur 10 m ; choix de composition auteur ; dimensions réelles à documenter</x:v>
      </x:c>
      <x:c r="I685" s="115" t="str">
        <x:v>À équilibrer</x:v>
      </x:c>
      <x:c r="J685" s="115" t="str">
        <x:v>Non</x:v>
      </x:c>
      <x:c r="K685" s="115" t="str">
        <x:v>Pièces décrites, murs, portes, niveaux et mobilier inspectables à l’échelle. Volumes réservés, raccord au seed, butin, rencontres et services de campagne restent à terminer.</x:v>
      </x:c>
    </x:row>
    <x:row r="686" ht="96" customHeight="1">
      <x:c r="A686" s="115" t="str">
        <x:v>EXT-MONDE-T014-V31</x:v>
      </x:c>
      <x:c r="B686" s="115" t="str">
        <x:v>EXT-MONDE-T014</x:v>
      </x:c>
      <x:c r="C686" s="115" t="str">
        <x:v>Ports</x:v>
      </x:c>
      <x:c r="D686" s="115" t="str">
        <x:v>Marina</x:v>
      </x:c>
      <x:c r="E686" s="115" t="n">
        <x:v>31</x:v>
      </x:c>
      <x:c r="F686" s="115" t="str">
        <x:v>Inspection physique</x:v>
      </x:c>
      <x:c r="G686" s="115" t="str">
        <x:v>1 niveaux ; 32 pièces ; 248 segments de mur ; 0 transitions. Inspection physique ; architecture complète encore ouverte.</x:v>
      </x:c>
      <x:c r="H686" s="115" t="str">
        <x:v>L 366 ; l 460 ; hauteur 10 m ; choix de composition auteur ; dimensions réelles à documenter</x:v>
      </x:c>
      <x:c r="I686" s="115" t="str">
        <x:v>À équilibrer</x:v>
      </x:c>
      <x:c r="J686" s="115" t="str">
        <x:v>Non</x:v>
      </x:c>
      <x:c r="K686" s="115" t="str">
        <x:v>Pièces décrites, murs, portes, niveaux et mobilier inspectables à l’échelle. Volumes réservés, raccord au seed, butin, rencontres et services de campagne restent à terminer.</x:v>
      </x:c>
    </x:row>
    <x:row r="687" ht="96" customHeight="1">
      <x:c r="A687" s="115" t="str">
        <x:v>EXT-MONDE-T014-V32</x:v>
      </x:c>
      <x:c r="B687" s="115" t="str">
        <x:v>EXT-MONDE-T014</x:v>
      </x:c>
      <x:c r="C687" s="115" t="str">
        <x:v>Ports</x:v>
      </x:c>
      <x:c r="D687" s="115" t="str">
        <x:v>Marina</x:v>
      </x:c>
      <x:c r="E687" s="115" t="n">
        <x:v>32</x:v>
      </x:c>
      <x:c r="F687" s="115" t="str">
        <x:v>Inspection physique</x:v>
      </x:c>
      <x:c r="G687" s="115" t="str">
        <x:v>1 niveaux ; 32 pièces ; 248 segments de mur ; 0 transitions. Inspection physique ; architecture complète encore ouverte.</x:v>
      </x:c>
      <x:c r="H687" s="115" t="str">
        <x:v>L 366 ; l 460 ; hauteur 10 m ; choix de composition auteur ; dimensions réelles à documenter</x:v>
      </x:c>
      <x:c r="I687" s="115" t="str">
        <x:v>À équilibrer</x:v>
      </x:c>
      <x:c r="J687" s="115" t="str">
        <x:v>Non</x:v>
      </x:c>
      <x:c r="K687" s="115" t="str">
        <x:v>Pièces décrites, murs, portes, niveaux et mobilier inspectables à l’échelle. Volumes réservés, raccord au seed, butin, rencontres et services de campagne restent à terminer.</x:v>
      </x:c>
    </x:row>
    <x:row r="688" ht="96" customHeight="1">
      <x:c r="A688" s="115" t="str">
        <x:v>EXT-MONDE-T014-V33</x:v>
      </x:c>
      <x:c r="B688" s="115" t="str">
        <x:v>EXT-MONDE-T014</x:v>
      </x:c>
      <x:c r="C688" s="115" t="str">
        <x:v>Ports</x:v>
      </x:c>
      <x:c r="D688" s="115" t="str">
        <x:v>Marina</x:v>
      </x:c>
      <x:c r="E688" s="115" t="n">
        <x:v>33</x:v>
      </x:c>
      <x:c r="F688" s="115" t="str">
        <x:v>Inspection physique</x:v>
      </x:c>
      <x:c r="G688" s="115" t="str">
        <x:v>1 niveaux ; 32 pièces ; 248 segments de mur ; 0 transitions. Inspection physique ; architecture complète encore ouverte.</x:v>
      </x:c>
      <x:c r="H688" s="115" t="str">
        <x:v>L 366 ; l 460 ; hauteur 10 m ; choix de composition auteur ; dimensions réelles à documenter</x:v>
      </x:c>
      <x:c r="I688" s="115" t="str">
        <x:v>À équilibrer</x:v>
      </x:c>
      <x:c r="J688" s="115" t="str">
        <x:v>Non</x:v>
      </x:c>
      <x:c r="K688" s="115" t="str">
        <x:v>Pièces décrites, murs, portes, niveaux et mobilier inspectables à l’échelle. Volumes réservés, raccord au seed, butin, rencontres et services de campagne restent à terminer.</x:v>
      </x:c>
    </x:row>
    <x:row r="689" ht="96" customHeight="1">
      <x:c r="A689" s="115" t="str">
        <x:v>EXT-MONDE-T014-V34</x:v>
      </x:c>
      <x:c r="B689" s="115" t="str">
        <x:v>EXT-MONDE-T014</x:v>
      </x:c>
      <x:c r="C689" s="115" t="str">
        <x:v>Ports</x:v>
      </x:c>
      <x:c r="D689" s="115" t="str">
        <x:v>Marina</x:v>
      </x:c>
      <x:c r="E689" s="115" t="n">
        <x:v>34</x:v>
      </x:c>
      <x:c r="F689" s="115" t="str">
        <x:v>Inspection physique</x:v>
      </x:c>
      <x:c r="G689" s="115" t="str">
        <x:v>1 niveaux ; 32 pièces ; 248 segments de mur ; 0 transitions. Inspection physique ; architecture complète encore ouverte.</x:v>
      </x:c>
      <x:c r="H689" s="115" t="str">
        <x:v>L 366 ; l 460 ; hauteur 10 m ; choix de composition auteur ; dimensions réelles à documenter</x:v>
      </x:c>
      <x:c r="I689" s="115" t="str">
        <x:v>À équilibrer</x:v>
      </x:c>
      <x:c r="J689" s="115" t="str">
        <x:v>Non</x:v>
      </x:c>
      <x:c r="K689" s="115" t="str">
        <x:v>Pièces décrites, murs, portes, niveaux et mobilier inspectables à l’échelle. Volumes réservés, raccord au seed, butin, rencontres et services de campagne restent à terminer.</x:v>
      </x:c>
    </x:row>
    <x:row r="690" ht="96" customHeight="1">
      <x:c r="A690" s="115" t="str">
        <x:v>EXT-MONDE-T014-V35</x:v>
      </x:c>
      <x:c r="B690" s="115" t="str">
        <x:v>EXT-MONDE-T014</x:v>
      </x:c>
      <x:c r="C690" s="115" t="str">
        <x:v>Ports</x:v>
      </x:c>
      <x:c r="D690" s="115" t="str">
        <x:v>Marina</x:v>
      </x:c>
      <x:c r="E690" s="115" t="n">
        <x:v>35</x:v>
      </x:c>
      <x:c r="F690" s="115" t="str">
        <x:v>Inspection physique</x:v>
      </x:c>
      <x:c r="G690" s="115" t="str">
        <x:v>1 niveaux ; 32 pièces ; 248 segments de mur ; 0 transitions. Inspection physique ; architecture complète encore ouverte.</x:v>
      </x:c>
      <x:c r="H690" s="115" t="str">
        <x:v>L 366 ; l 460 ; hauteur 10 m ; choix de composition auteur ; dimensions réelles à documenter</x:v>
      </x:c>
      <x:c r="I690" s="115" t="str">
        <x:v>À équilibrer</x:v>
      </x:c>
      <x:c r="J690" s="115" t="str">
        <x:v>Non</x:v>
      </x:c>
      <x:c r="K690" s="115" t="str">
        <x:v>Pièces décrites, murs, portes, niveaux et mobilier inspectables à l’échelle. Volumes réservés, raccord au seed, butin, rencontres et services de campagne restent à terminer.</x:v>
      </x:c>
    </x:row>
    <x:row r="691" ht="96" customHeight="1">
      <x:c r="A691" s="115" t="str">
        <x:v>EXT-MONDE-T014-V36</x:v>
      </x:c>
      <x:c r="B691" s="115" t="str">
        <x:v>EXT-MONDE-T014</x:v>
      </x:c>
      <x:c r="C691" s="115" t="str">
        <x:v>Ports</x:v>
      </x:c>
      <x:c r="D691" s="115" t="str">
        <x:v>Marina</x:v>
      </x:c>
      <x:c r="E691" s="115" t="n">
        <x:v>36</x:v>
      </x:c>
      <x:c r="F691" s="115" t="str">
        <x:v>Inspection physique</x:v>
      </x:c>
      <x:c r="G691" s="115" t="str">
        <x:v>1 niveaux ; 32 pièces ; 248 segments de mur ; 0 transitions. Inspection physique ; architecture complète encore ouverte.</x:v>
      </x:c>
      <x:c r="H691" s="115" t="str">
        <x:v>L 366 ; l 460 ; hauteur 10 m ; choix de composition auteur ; dimensions réelles à documenter</x:v>
      </x:c>
      <x:c r="I691" s="115" t="str">
        <x:v>À équilibrer</x:v>
      </x:c>
      <x:c r="J691" s="115" t="str">
        <x:v>Non</x:v>
      </x:c>
      <x:c r="K691" s="115" t="str">
        <x:v>Pièces décrites, murs, portes, niveaux et mobilier inspectables à l’échelle. Volumes réservés, raccord au seed, butin, rencontres et services de campagne restent à terminer.</x:v>
      </x:c>
    </x:row>
    <x:row r="692" ht="96" customHeight="1">
      <x:c r="A692" s="115" t="str">
        <x:v>EXT-MONDE-T014-V37</x:v>
      </x:c>
      <x:c r="B692" s="115" t="str">
        <x:v>EXT-MONDE-T014</x:v>
      </x:c>
      <x:c r="C692" s="115" t="str">
        <x:v>Ports</x:v>
      </x:c>
      <x:c r="D692" s="115" t="str">
        <x:v>Marina</x:v>
      </x:c>
      <x:c r="E692" s="115" t="n">
        <x:v>37</x:v>
      </x:c>
      <x:c r="F692" s="115" t="str">
        <x:v>Inspection physique</x:v>
      </x:c>
      <x:c r="G692" s="115" t="str">
        <x:v>1 niveaux ; 32 pièces ; 248 segments de mur ; 0 transitions. Inspection physique ; architecture complète encore ouverte.</x:v>
      </x:c>
      <x:c r="H692" s="115" t="str">
        <x:v>L 366 ; l 460 ; hauteur 10 m ; choix de composition auteur ; dimensions réelles à documenter</x:v>
      </x:c>
      <x:c r="I692" s="115" t="str">
        <x:v>À équilibrer</x:v>
      </x:c>
      <x:c r="J692" s="115" t="str">
        <x:v>Non</x:v>
      </x:c>
      <x:c r="K692" s="115" t="str">
        <x:v>Pièces décrites, murs, portes, niveaux et mobilier inspectables à l’échelle. Volumes réservés, raccord au seed, butin, rencontres et services de campagne restent à terminer.</x:v>
      </x:c>
    </x:row>
    <x:row r="693" ht="96" customHeight="1">
      <x:c r="A693" s="115" t="str">
        <x:v>EXT-MONDE-T014-V38</x:v>
      </x:c>
      <x:c r="B693" s="115" t="str">
        <x:v>EXT-MONDE-T014</x:v>
      </x:c>
      <x:c r="C693" s="115" t="str">
        <x:v>Ports</x:v>
      </x:c>
      <x:c r="D693" s="115" t="str">
        <x:v>Marina</x:v>
      </x:c>
      <x:c r="E693" s="115" t="n">
        <x:v>38</x:v>
      </x:c>
      <x:c r="F693" s="115" t="str">
        <x:v>Inspection physique</x:v>
      </x:c>
      <x:c r="G693" s="115" t="str">
        <x:v>1 niveaux ; 32 pièces ; 248 segments de mur ; 0 transitions. Inspection physique ; architecture complète encore ouverte.</x:v>
      </x:c>
      <x:c r="H693" s="115" t="str">
        <x:v>L 366 ; l 460 ; hauteur 10 m ; choix de composition auteur ; dimensions réelles à documenter</x:v>
      </x:c>
      <x:c r="I693" s="115" t="str">
        <x:v>À équilibrer</x:v>
      </x:c>
      <x:c r="J693" s="115" t="str">
        <x:v>Non</x:v>
      </x:c>
      <x:c r="K693" s="115" t="str">
        <x:v>Pièces décrites, murs, portes, niveaux et mobilier inspectables à l’échelle. Volumes réservés, raccord au seed, butin, rencontres et services de campagne restent à terminer.</x:v>
      </x:c>
    </x:row>
    <x:row r="694" ht="96" customHeight="1">
      <x:c r="A694" s="115" t="str">
        <x:v>EXT-MONDE-T014-V39</x:v>
      </x:c>
      <x:c r="B694" s="115" t="str">
        <x:v>EXT-MONDE-T014</x:v>
      </x:c>
      <x:c r="C694" s="115" t="str">
        <x:v>Ports</x:v>
      </x:c>
      <x:c r="D694" s="115" t="str">
        <x:v>Marina</x:v>
      </x:c>
      <x:c r="E694" s="115" t="n">
        <x:v>39</x:v>
      </x:c>
      <x:c r="F694" s="115" t="str">
        <x:v>Inspection physique</x:v>
      </x:c>
      <x:c r="G694" s="115" t="str">
        <x:v>1 niveaux ; 32 pièces ; 248 segments de mur ; 0 transitions. Inspection physique ; architecture complète encore ouverte.</x:v>
      </x:c>
      <x:c r="H694" s="115" t="str">
        <x:v>L 366 ; l 460 ; hauteur 10 m ; choix de composition auteur ; dimensions réelles à documenter</x:v>
      </x:c>
      <x:c r="I694" s="115" t="str">
        <x:v>À équilibrer</x:v>
      </x:c>
      <x:c r="J694" s="115" t="str">
        <x:v>Non</x:v>
      </x:c>
      <x:c r="K694" s="115" t="str">
        <x:v>Pièces décrites, murs, portes, niveaux et mobilier inspectables à l’échelle. Volumes réservés, raccord au seed, butin, rencontres et services de campagne restent à terminer.</x:v>
      </x:c>
    </x:row>
    <x:row r="695" ht="96" customHeight="1">
      <x:c r="A695" s="115" t="str">
        <x:v>EXT-MONDE-T014-V40</x:v>
      </x:c>
      <x:c r="B695" s="115" t="str">
        <x:v>EXT-MONDE-T014</x:v>
      </x:c>
      <x:c r="C695" s="115" t="str">
        <x:v>Ports</x:v>
      </x:c>
      <x:c r="D695" s="115" t="str">
        <x:v>Marina</x:v>
      </x:c>
      <x:c r="E695" s="115" t="n">
        <x:v>40</x:v>
      </x:c>
      <x:c r="F695" s="115" t="str">
        <x:v>Inspection physique</x:v>
      </x:c>
      <x:c r="G695" s="115" t="str">
        <x:v>1 niveaux ; 32 pièces ; 248 segments de mur ; 0 transitions. Inspection physique ; architecture complète encore ouverte.</x:v>
      </x:c>
      <x:c r="H695" s="115" t="str">
        <x:v>L 366 ; l 460 ; hauteur 10 m ; choix de composition auteur ; dimensions réelles à documenter</x:v>
      </x:c>
      <x:c r="I695" s="115" t="str">
        <x:v>À équilibrer</x:v>
      </x:c>
      <x:c r="J695" s="115" t="str">
        <x:v>Non</x:v>
      </x:c>
      <x:c r="K695" s="115" t="str">
        <x:v>Pièces décrites, murs, portes, niveaux et mobilier inspectables à l’échelle. Volumes réservés, raccord au seed, butin, rencontres et services de campagne restent à terminer.</x:v>
      </x:c>
    </x:row>
    <x:row r="696" ht="96" customHeight="1">
      <x:c r="A696" s="115" t="str">
        <x:v>EXT-MONDE-T014-V41</x:v>
      </x:c>
      <x:c r="B696" s="115" t="str">
        <x:v>EXT-MONDE-T014</x:v>
      </x:c>
      <x:c r="C696" s="115" t="str">
        <x:v>Ports</x:v>
      </x:c>
      <x:c r="D696" s="115" t="str">
        <x:v>Marina</x:v>
      </x:c>
      <x:c r="E696" s="115" t="n">
        <x:v>41</x:v>
      </x:c>
      <x:c r="F696" s="115" t="str">
        <x:v>Inspection physique</x:v>
      </x:c>
      <x:c r="G696" s="115" t="str">
        <x:v>1 niveaux ; 32 pièces ; 248 segments de mur ; 0 transitions. Inspection physique ; architecture complète encore ouverte.</x:v>
      </x:c>
      <x:c r="H696" s="115" t="str">
        <x:v>L 380 ; l 472 ; hauteur 10 m ; choix de composition auteur ; dimensions réelles à documenter</x:v>
      </x:c>
      <x:c r="I696" s="115" t="str">
        <x:v>À équilibrer</x:v>
      </x:c>
      <x:c r="J696" s="115" t="str">
        <x:v>Non</x:v>
      </x:c>
      <x:c r="K696" s="115" t="str">
        <x:v>Pièces décrites, murs, portes, niveaux et mobilier inspectables à l’échelle. Volumes réservés, raccord au seed, butin, rencontres et services de campagne restent à terminer.</x:v>
      </x:c>
    </x:row>
    <x:row r="697" ht="96" customHeight="1">
      <x:c r="A697" s="115" t="str">
        <x:v>EXT-MONDE-T014-V42</x:v>
      </x:c>
      <x:c r="B697" s="115" t="str">
        <x:v>EXT-MONDE-T014</x:v>
      </x:c>
      <x:c r="C697" s="115" t="str">
        <x:v>Ports</x:v>
      </x:c>
      <x:c r="D697" s="115" t="str">
        <x:v>Marina</x:v>
      </x:c>
      <x:c r="E697" s="115" t="n">
        <x:v>42</x:v>
      </x:c>
      <x:c r="F697" s="115" t="str">
        <x:v>Inspection physique</x:v>
      </x:c>
      <x:c r="G697" s="115" t="str">
        <x:v>1 niveaux ; 32 pièces ; 248 segments de mur ; 0 transitions. Inspection physique ; architecture complète encore ouverte.</x:v>
      </x:c>
      <x:c r="H697" s="115" t="str">
        <x:v>L 380 ; l 472 ; hauteur 10 m ; choix de composition auteur ; dimensions réelles à documenter</x:v>
      </x:c>
      <x:c r="I697" s="115" t="str">
        <x:v>À équilibrer</x:v>
      </x:c>
      <x:c r="J697" s="115" t="str">
        <x:v>Non</x:v>
      </x:c>
      <x:c r="K697" s="115" t="str">
        <x:v>Pièces décrites, murs, portes, niveaux et mobilier inspectables à l’échelle. Volumes réservés, raccord au seed, butin, rencontres et services de campagne restent à terminer.</x:v>
      </x:c>
    </x:row>
    <x:row r="698" ht="96" customHeight="1">
      <x:c r="A698" s="115" t="str">
        <x:v>EXT-MONDE-T014-V43</x:v>
      </x:c>
      <x:c r="B698" s="115" t="str">
        <x:v>EXT-MONDE-T014</x:v>
      </x:c>
      <x:c r="C698" s="115" t="str">
        <x:v>Ports</x:v>
      </x:c>
      <x:c r="D698" s="115" t="str">
        <x:v>Marina</x:v>
      </x:c>
      <x:c r="E698" s="115" t="n">
        <x:v>43</x:v>
      </x:c>
      <x:c r="F698" s="115" t="str">
        <x:v>Inspection physique</x:v>
      </x:c>
      <x:c r="G698" s="115" t="str">
        <x:v>1 niveaux ; 32 pièces ; 248 segments de mur ; 0 transitions. Inspection physique ; architecture complète encore ouverte.</x:v>
      </x:c>
      <x:c r="H698" s="115" t="str">
        <x:v>L 380 ; l 472 ; hauteur 10 m ; choix de composition auteur ; dimensions réelles à documenter</x:v>
      </x:c>
      <x:c r="I698" s="115" t="str">
        <x:v>À équilibrer</x:v>
      </x:c>
      <x:c r="J698" s="115" t="str">
        <x:v>Non</x:v>
      </x:c>
      <x:c r="K698" s="115" t="str">
        <x:v>Pièces décrites, murs, portes, niveaux et mobilier inspectables à l’échelle. Volumes réservés, raccord au seed, butin, rencontres et services de campagne restent à terminer.</x:v>
      </x:c>
    </x:row>
    <x:row r="699" ht="96" customHeight="1">
      <x:c r="A699" s="115" t="str">
        <x:v>EXT-MONDE-T014-V44</x:v>
      </x:c>
      <x:c r="B699" s="115" t="str">
        <x:v>EXT-MONDE-T014</x:v>
      </x:c>
      <x:c r="C699" s="115" t="str">
        <x:v>Ports</x:v>
      </x:c>
      <x:c r="D699" s="115" t="str">
        <x:v>Marina</x:v>
      </x:c>
      <x:c r="E699" s="115" t="n">
        <x:v>44</x:v>
      </x:c>
      <x:c r="F699" s="115" t="str">
        <x:v>Inspection physique</x:v>
      </x:c>
      <x:c r="G699" s="115" t="str">
        <x:v>1 niveaux ; 32 pièces ; 248 segments de mur ; 0 transitions. Inspection physique ; architecture complète encore ouverte.</x:v>
      </x:c>
      <x:c r="H699" s="115" t="str">
        <x:v>L 380 ; l 472 ; hauteur 10 m ; choix de composition auteur ; dimensions réelles à documenter</x:v>
      </x:c>
      <x:c r="I699" s="115" t="str">
        <x:v>À équilibrer</x:v>
      </x:c>
      <x:c r="J699" s="115" t="str">
        <x:v>Non</x:v>
      </x:c>
      <x:c r="K699" s="115" t="str">
        <x:v>Pièces décrites, murs, portes, niveaux et mobilier inspectables à l’échelle. Volumes réservés, raccord au seed, butin, rencontres et services de campagne restent à terminer.</x:v>
      </x:c>
    </x:row>
    <x:row r="700" ht="96" customHeight="1">
      <x:c r="A700" s="115" t="str">
        <x:v>EXT-MONDE-T014-V45</x:v>
      </x:c>
      <x:c r="B700" s="115" t="str">
        <x:v>EXT-MONDE-T014</x:v>
      </x:c>
      <x:c r="C700" s="115" t="str">
        <x:v>Ports</x:v>
      </x:c>
      <x:c r="D700" s="115" t="str">
        <x:v>Marina</x:v>
      </x:c>
      <x:c r="E700" s="115" t="n">
        <x:v>45</x:v>
      </x:c>
      <x:c r="F700" s="115" t="str">
        <x:v>Inspection physique</x:v>
      </x:c>
      <x:c r="G700" s="115" t="str">
        <x:v>1 niveaux ; 32 pièces ; 248 segments de mur ; 0 transitions. Inspection physique ; architecture complète encore ouverte.</x:v>
      </x:c>
      <x:c r="H700" s="115" t="str">
        <x:v>L 380 ; l 472 ; hauteur 10 m ; choix de composition auteur ; dimensions réelles à documenter</x:v>
      </x:c>
      <x:c r="I700" s="115" t="str">
        <x:v>À équilibrer</x:v>
      </x:c>
      <x:c r="J700" s="115" t="str">
        <x:v>Non</x:v>
      </x:c>
      <x:c r="K700" s="115" t="str">
        <x:v>Pièces décrites, murs, portes, niveaux et mobilier inspectables à l’échelle. Volumes réservés, raccord au seed, butin, rencontres et services de campagne restent à terminer.</x:v>
      </x:c>
    </x:row>
    <x:row r="701" ht="96" customHeight="1">
      <x:c r="A701" s="115" t="str">
        <x:v>EXT-MONDE-T014-V46</x:v>
      </x:c>
      <x:c r="B701" s="115" t="str">
        <x:v>EXT-MONDE-T014</x:v>
      </x:c>
      <x:c r="C701" s="115" t="str">
        <x:v>Ports</x:v>
      </x:c>
      <x:c r="D701" s="115" t="str">
        <x:v>Marina</x:v>
      </x:c>
      <x:c r="E701" s="115" t="n">
        <x:v>46</x:v>
      </x:c>
      <x:c r="F701" s="115" t="str">
        <x:v>Inspection physique</x:v>
      </x:c>
      <x:c r="G701" s="115" t="str">
        <x:v>1 niveaux ; 32 pièces ; 248 segments de mur ; 0 transitions. Inspection physique ; architecture complète encore ouverte.</x:v>
      </x:c>
      <x:c r="H701" s="115" t="str">
        <x:v>L 380 ; l 472 ; hauteur 10 m ; choix de composition auteur ; dimensions réelles à documenter</x:v>
      </x:c>
      <x:c r="I701" s="115" t="str">
        <x:v>À équilibrer</x:v>
      </x:c>
      <x:c r="J701" s="115" t="str">
        <x:v>Non</x:v>
      </x:c>
      <x:c r="K701" s="115" t="str">
        <x:v>Pièces décrites, murs, portes, niveaux et mobilier inspectables à l’échelle. Volumes réservés, raccord au seed, butin, rencontres et services de campagne restent à terminer.</x:v>
      </x:c>
    </x:row>
    <x:row r="702" ht="96" customHeight="1">
      <x:c r="A702" s="115" t="str">
        <x:v>EXT-MONDE-T014-V47</x:v>
      </x:c>
      <x:c r="B702" s="115" t="str">
        <x:v>EXT-MONDE-T014</x:v>
      </x:c>
      <x:c r="C702" s="115" t="str">
        <x:v>Ports</x:v>
      </x:c>
      <x:c r="D702" s="115" t="str">
        <x:v>Marina</x:v>
      </x:c>
      <x:c r="E702" s="115" t="n">
        <x:v>47</x:v>
      </x:c>
      <x:c r="F702" s="115" t="str">
        <x:v>Inspection physique</x:v>
      </x:c>
      <x:c r="G702" s="115" t="str">
        <x:v>1 niveaux ; 32 pièces ; 248 segments de mur ; 0 transitions. Inspection physique ; architecture complète encore ouverte.</x:v>
      </x:c>
      <x:c r="H702" s="115" t="str">
        <x:v>L 380 ; l 472 ; hauteur 10 m ; choix de composition auteur ; dimensions réelles à documenter</x:v>
      </x:c>
      <x:c r="I702" s="115" t="str">
        <x:v>À équilibrer</x:v>
      </x:c>
      <x:c r="J702" s="115" t="str">
        <x:v>Non</x:v>
      </x:c>
      <x:c r="K702" s="115" t="str">
        <x:v>Pièces décrites, murs, portes, niveaux et mobilier inspectables à l’échelle. Volumes réservés, raccord au seed, butin, rencontres et services de campagne restent à terminer.</x:v>
      </x:c>
    </x:row>
    <x:row r="703" ht="96" customHeight="1">
      <x:c r="A703" s="115" t="str">
        <x:v>EXT-MONDE-T014-V48</x:v>
      </x:c>
      <x:c r="B703" s="115" t="str">
        <x:v>EXT-MONDE-T014</x:v>
      </x:c>
      <x:c r="C703" s="115" t="str">
        <x:v>Ports</x:v>
      </x:c>
      <x:c r="D703" s="115" t="str">
        <x:v>Marina</x:v>
      </x:c>
      <x:c r="E703" s="115" t="n">
        <x:v>48</x:v>
      </x:c>
      <x:c r="F703" s="115" t="str">
        <x:v>Inspection physique</x:v>
      </x:c>
      <x:c r="G703" s="115" t="str">
        <x:v>1 niveaux ; 32 pièces ; 248 segments de mur ; 0 transitions. Inspection physique ; architecture complète encore ouverte.</x:v>
      </x:c>
      <x:c r="H703" s="115" t="str">
        <x:v>L 380 ; l 472 ; hauteur 10 m ; choix de composition auteur ; dimensions réelles à documenter</x:v>
      </x:c>
      <x:c r="I703" s="115" t="str">
        <x:v>À équilibrer</x:v>
      </x:c>
      <x:c r="J703" s="115" t="str">
        <x:v>Non</x:v>
      </x:c>
      <x:c r="K703" s="115" t="str">
        <x:v>Pièces décrites, murs, portes, niveaux et mobilier inspectables à l’échelle. Volumes réservés, raccord au seed, butin, rencontres et services de campagne restent à terminer.</x:v>
      </x:c>
    </x:row>
    <x:row r="704" ht="96" customHeight="1">
      <x:c r="A704" s="115" t="str">
        <x:v>EXT-MONDE-T014-V49</x:v>
      </x:c>
      <x:c r="B704" s="115" t="str">
        <x:v>EXT-MONDE-T014</x:v>
      </x:c>
      <x:c r="C704" s="115" t="str">
        <x:v>Ports</x:v>
      </x:c>
      <x:c r="D704" s="115" t="str">
        <x:v>Marina</x:v>
      </x:c>
      <x:c r="E704" s="115" t="n">
        <x:v>49</x:v>
      </x:c>
      <x:c r="F704" s="115" t="str">
        <x:v>Inspection physique</x:v>
      </x:c>
      <x:c r="G704" s="115" t="str">
        <x:v>1 niveaux ; 32 pièces ; 248 segments de mur ; 0 transitions. Inspection physique ; architecture complète encore ouverte.</x:v>
      </x:c>
      <x:c r="H704" s="115" t="str">
        <x:v>L 380 ; l 472 ; hauteur 10 m ; choix de composition auteur ; dimensions réelles à documenter</x:v>
      </x:c>
      <x:c r="I704" s="115" t="str">
        <x:v>À équilibrer</x:v>
      </x:c>
      <x:c r="J704" s="115" t="str">
        <x:v>Non</x:v>
      </x:c>
      <x:c r="K704" s="115" t="str">
        <x:v>Pièces décrites, murs, portes, niveaux et mobilier inspectables à l’échelle. Volumes réservés, raccord au seed, butin, rencontres et services de campagne restent à terminer.</x:v>
      </x:c>
    </x:row>
    <x:row r="705" ht="96" customHeight="1">
      <x:c r="A705" s="115" t="str">
        <x:v>EXT-MONDE-T014-V50</x:v>
      </x:c>
      <x:c r="B705" s="115" t="str">
        <x:v>EXT-MONDE-T014</x:v>
      </x:c>
      <x:c r="C705" s="115" t="str">
        <x:v>Ports</x:v>
      </x:c>
      <x:c r="D705" s="115" t="str">
        <x:v>Marina</x:v>
      </x:c>
      <x:c r="E705" s="115" t="n">
        <x:v>50</x:v>
      </x:c>
      <x:c r="F705" s="115" t="str">
        <x:v>Inspection physique</x:v>
      </x:c>
      <x:c r="G705" s="115" t="str">
        <x:v>1 niveaux ; 32 pièces ; 248 segments de mur ; 0 transitions. Inspection physique ; architecture complète encore ouverte.</x:v>
      </x:c>
      <x:c r="H705" s="115" t="str">
        <x:v>L 380 ; l 472 ; hauteur 10 m ; choix de composition auteur ; dimensions réelles à documenter</x:v>
      </x:c>
      <x:c r="I705" s="115" t="str">
        <x:v>À équilibrer</x:v>
      </x:c>
      <x:c r="J705" s="115" t="str">
        <x:v>Non</x:v>
      </x:c>
      <x:c r="K705" s="115" t="str">
        <x:v>Pièces décrites, murs, portes, niveaux et mobilier inspectables à l’échelle. Volumes réservés, raccord au seed, butin, rencontres et services de campagne restent à terminer.</x:v>
      </x:c>
    </x:row>
    <x:row r="706" ht="96" customHeight="1">
      <x:c r="A706" s="115" t="str">
        <x:v>EXT-MONDE-T015-V01</x:v>
      </x:c>
      <x:c r="B706" s="115" t="str">
        <x:v>EXT-MONDE-T015</x:v>
      </x:c>
      <x:c r="C706" s="115" t="str">
        <x:v>Ports</x:v>
      </x:c>
      <x:c r="D706" s="115" t="str">
        <x:v>Terminal conteneurs</x:v>
      </x:c>
      <x:c r="E706" s="115" t="n">
        <x:v>1</x:v>
      </x:c>
      <x:c r="F706" s="115" t="str">
        <x:v>Inspection physique</x:v>
      </x:c>
      <x:c r="G706" s="115" t="str">
        <x:v>1 niveaux ; 32 pièces ; 248 segments de mur ; 0 transitions. Inspection physique ; architecture complète encore ouverte.</x:v>
      </x:c>
      <x:c r="H706" s="115" t="str">
        <x:v>L 424 ; l 564 ; hauteur 36 m ; choix de composition auteur ; dimensions réelles à documenter</x:v>
      </x:c>
      <x:c r="I706" s="115" t="str">
        <x:v>À équilibrer</x:v>
      </x:c>
      <x:c r="J706" s="115" t="str">
        <x:v>Non</x:v>
      </x:c>
      <x:c r="K706" s="115" t="str">
        <x:v>Pièces décrites, murs, portes, niveaux et mobilier inspectables à l’échelle. Volumes réservés, raccord au seed, butin, rencontres et services de campagne restent à terminer.</x:v>
      </x:c>
    </x:row>
    <x:row r="707" ht="96" customHeight="1">
      <x:c r="A707" s="115" t="str">
        <x:v>EXT-MONDE-T015-V02</x:v>
      </x:c>
      <x:c r="B707" s="115" t="str">
        <x:v>EXT-MONDE-T015</x:v>
      </x:c>
      <x:c r="C707" s="115" t="str">
        <x:v>Ports</x:v>
      </x:c>
      <x:c r="D707" s="115" t="str">
        <x:v>Terminal conteneurs</x:v>
      </x:c>
      <x:c r="E707" s="115" t="n">
        <x:v>2</x:v>
      </x:c>
      <x:c r="F707" s="115" t="str">
        <x:v>Inspection physique</x:v>
      </x:c>
      <x:c r="G707" s="115" t="str">
        <x:v>1 niveaux ; 32 pièces ; 248 segments de mur ; 0 transitions. Inspection physique ; architecture complète encore ouverte.</x:v>
      </x:c>
      <x:c r="H707" s="115" t="str">
        <x:v>L 424 ; l 564 ; hauteur 36 m ; choix de composition auteur ; dimensions réelles à documenter</x:v>
      </x:c>
      <x:c r="I707" s="115" t="str">
        <x:v>À équilibrer</x:v>
      </x:c>
      <x:c r="J707" s="115" t="str">
        <x:v>Non</x:v>
      </x:c>
      <x:c r="K707" s="115" t="str">
        <x:v>Pièces décrites, murs, portes, niveaux et mobilier inspectables à l’échelle. Volumes réservés, raccord au seed, butin, rencontres et services de campagne restent à terminer.</x:v>
      </x:c>
    </x:row>
    <x:row r="708" ht="96" customHeight="1">
      <x:c r="A708" s="115" t="str">
        <x:v>EXT-MONDE-T015-V03</x:v>
      </x:c>
      <x:c r="B708" s="115" t="str">
        <x:v>EXT-MONDE-T015</x:v>
      </x:c>
      <x:c r="C708" s="115" t="str">
        <x:v>Ports</x:v>
      </x:c>
      <x:c r="D708" s="115" t="str">
        <x:v>Terminal conteneurs</x:v>
      </x:c>
      <x:c r="E708" s="115" t="n">
        <x:v>3</x:v>
      </x:c>
      <x:c r="F708" s="115" t="str">
        <x:v>Inspection physique</x:v>
      </x:c>
      <x:c r="G708" s="115" t="str">
        <x:v>1 niveaux ; 32 pièces ; 248 segments de mur ; 0 transitions. Inspection physique ; architecture complète encore ouverte.</x:v>
      </x:c>
      <x:c r="H708" s="115" t="str">
        <x:v>L 424 ; l 564 ; hauteur 36 m ; choix de composition auteur ; dimensions réelles à documenter</x:v>
      </x:c>
      <x:c r="I708" s="115" t="str">
        <x:v>À équilibrer</x:v>
      </x:c>
      <x:c r="J708" s="115" t="str">
        <x:v>Non</x:v>
      </x:c>
      <x:c r="K708" s="115" t="str">
        <x:v>Pièces décrites, murs, portes, niveaux et mobilier inspectables à l’échelle. Volumes réservés, raccord au seed, butin, rencontres et services de campagne restent à terminer.</x:v>
      </x:c>
    </x:row>
    <x:row r="709" ht="96" customHeight="1">
      <x:c r="A709" s="115" t="str">
        <x:v>EXT-MONDE-T015-V04</x:v>
      </x:c>
      <x:c r="B709" s="115" t="str">
        <x:v>EXT-MONDE-T015</x:v>
      </x:c>
      <x:c r="C709" s="115" t="str">
        <x:v>Ports</x:v>
      </x:c>
      <x:c r="D709" s="115" t="str">
        <x:v>Terminal conteneurs</x:v>
      </x:c>
      <x:c r="E709" s="115" t="n">
        <x:v>4</x:v>
      </x:c>
      <x:c r="F709" s="115" t="str">
        <x:v>Inspection physique</x:v>
      </x:c>
      <x:c r="G709" s="115" t="str">
        <x:v>1 niveaux ; 32 pièces ; 248 segments de mur ; 0 transitions. Inspection physique ; architecture complète encore ouverte.</x:v>
      </x:c>
      <x:c r="H709" s="115" t="str">
        <x:v>L 424 ; l 564 ; hauteur 36 m ; choix de composition auteur ; dimensions réelles à documenter</x:v>
      </x:c>
      <x:c r="I709" s="115" t="str">
        <x:v>À équilibrer</x:v>
      </x:c>
      <x:c r="J709" s="115" t="str">
        <x:v>Non</x:v>
      </x:c>
      <x:c r="K709" s="115" t="str">
        <x:v>Pièces décrites, murs, portes, niveaux et mobilier inspectables à l’échelle. Volumes réservés, raccord au seed, butin, rencontres et services de campagne restent à terminer.</x:v>
      </x:c>
    </x:row>
    <x:row r="710" ht="96" customHeight="1">
      <x:c r="A710" s="115" t="str">
        <x:v>EXT-MONDE-T015-V05</x:v>
      </x:c>
      <x:c r="B710" s="115" t="str">
        <x:v>EXT-MONDE-T015</x:v>
      </x:c>
      <x:c r="C710" s="115" t="str">
        <x:v>Ports</x:v>
      </x:c>
      <x:c r="D710" s="115" t="str">
        <x:v>Terminal conteneurs</x:v>
      </x:c>
      <x:c r="E710" s="115" t="n">
        <x:v>5</x:v>
      </x:c>
      <x:c r="F710" s="115" t="str">
        <x:v>Inspection physique</x:v>
      </x:c>
      <x:c r="G710" s="115" t="str">
        <x:v>1 niveaux ; 32 pièces ; 248 segments de mur ; 0 transitions. Inspection physique ; architecture complète encore ouverte.</x:v>
      </x:c>
      <x:c r="H710" s="115" t="str">
        <x:v>L 424 ; l 564 ; hauteur 36 m ; choix de composition auteur ; dimensions réelles à documenter</x:v>
      </x:c>
      <x:c r="I710" s="115" t="str">
        <x:v>À équilibrer</x:v>
      </x:c>
      <x:c r="J710" s="115" t="str">
        <x:v>Non</x:v>
      </x:c>
      <x:c r="K710" s="115" t="str">
        <x:v>Pièces décrites, murs, portes, niveaux et mobilier inspectables à l’échelle. Volumes réservés, raccord au seed, butin, rencontres et services de campagne restent à terminer.</x:v>
      </x:c>
    </x:row>
    <x:row r="711" ht="96" customHeight="1">
      <x:c r="A711" s="115" t="str">
        <x:v>EXT-MONDE-T015-V06</x:v>
      </x:c>
      <x:c r="B711" s="115" t="str">
        <x:v>EXT-MONDE-T015</x:v>
      </x:c>
      <x:c r="C711" s="115" t="str">
        <x:v>Ports</x:v>
      </x:c>
      <x:c r="D711" s="115" t="str">
        <x:v>Terminal conteneurs</x:v>
      </x:c>
      <x:c r="E711" s="115" t="n">
        <x:v>6</x:v>
      </x:c>
      <x:c r="F711" s="115" t="str">
        <x:v>Inspection physique</x:v>
      </x:c>
      <x:c r="G711" s="115" t="str">
        <x:v>1 niveaux ; 32 pièces ; 248 segments de mur ; 0 transitions. Inspection physique ; architecture complète encore ouverte.</x:v>
      </x:c>
      <x:c r="H711" s="115" t="str">
        <x:v>L 424 ; l 564 ; hauteur 36 m ; choix de composition auteur ; dimensions réelles à documenter</x:v>
      </x:c>
      <x:c r="I711" s="115" t="str">
        <x:v>À équilibrer</x:v>
      </x:c>
      <x:c r="J711" s="115" t="str">
        <x:v>Non</x:v>
      </x:c>
      <x:c r="K711" s="115" t="str">
        <x:v>Pièces décrites, murs, portes, niveaux et mobilier inspectables à l’échelle. Volumes réservés, raccord au seed, butin, rencontres et services de campagne restent à terminer.</x:v>
      </x:c>
    </x:row>
    <x:row r="712" ht="96" customHeight="1">
      <x:c r="A712" s="115" t="str">
        <x:v>EXT-MONDE-T015-V07</x:v>
      </x:c>
      <x:c r="B712" s="115" t="str">
        <x:v>EXT-MONDE-T015</x:v>
      </x:c>
      <x:c r="C712" s="115" t="str">
        <x:v>Ports</x:v>
      </x:c>
      <x:c r="D712" s="115" t="str">
        <x:v>Terminal conteneurs</x:v>
      </x:c>
      <x:c r="E712" s="115" t="n">
        <x:v>7</x:v>
      </x:c>
      <x:c r="F712" s="115" t="str">
        <x:v>Inspection physique</x:v>
      </x:c>
      <x:c r="G712" s="115" t="str">
        <x:v>1 niveaux ; 32 pièces ; 248 segments de mur ; 0 transitions. Inspection physique ; architecture complète encore ouverte.</x:v>
      </x:c>
      <x:c r="H712" s="115" t="str">
        <x:v>L 424 ; l 564 ; hauteur 36 m ; choix de composition auteur ; dimensions réelles à documenter</x:v>
      </x:c>
      <x:c r="I712" s="115" t="str">
        <x:v>À équilibrer</x:v>
      </x:c>
      <x:c r="J712" s="115" t="str">
        <x:v>Non</x:v>
      </x:c>
      <x:c r="K712" s="115" t="str">
        <x:v>Pièces décrites, murs, portes, niveaux et mobilier inspectables à l’échelle. Volumes réservés, raccord au seed, butin, rencontres et services de campagne restent à terminer.</x:v>
      </x:c>
    </x:row>
    <x:row r="713" ht="96" customHeight="1">
      <x:c r="A713" s="115" t="str">
        <x:v>EXT-MONDE-T015-V08</x:v>
      </x:c>
      <x:c r="B713" s="115" t="str">
        <x:v>EXT-MONDE-T015</x:v>
      </x:c>
      <x:c r="C713" s="115" t="str">
        <x:v>Ports</x:v>
      </x:c>
      <x:c r="D713" s="115" t="str">
        <x:v>Terminal conteneurs</x:v>
      </x:c>
      <x:c r="E713" s="115" t="n">
        <x:v>8</x:v>
      </x:c>
      <x:c r="F713" s="115" t="str">
        <x:v>Inspection physique</x:v>
      </x:c>
      <x:c r="G713" s="115" t="str">
        <x:v>1 niveaux ; 32 pièces ; 248 segments de mur ; 0 transitions. Inspection physique ; architecture complète encore ouverte.</x:v>
      </x:c>
      <x:c r="H713" s="115" t="str">
        <x:v>L 424 ; l 564 ; hauteur 36 m ; choix de composition auteur ; dimensions réelles à documenter</x:v>
      </x:c>
      <x:c r="I713" s="115" t="str">
        <x:v>À équilibrer</x:v>
      </x:c>
      <x:c r="J713" s="115" t="str">
        <x:v>Non</x:v>
      </x:c>
      <x:c r="K713" s="115" t="str">
        <x:v>Pièces décrites, murs, portes, niveaux et mobilier inspectables à l’échelle. Volumes réservés, raccord au seed, butin, rencontres et services de campagne restent à terminer.</x:v>
      </x:c>
    </x:row>
    <x:row r="714" ht="96" customHeight="1">
      <x:c r="A714" s="115" t="str">
        <x:v>EXT-MONDE-T015-V09</x:v>
      </x:c>
      <x:c r="B714" s="115" t="str">
        <x:v>EXT-MONDE-T015</x:v>
      </x:c>
      <x:c r="C714" s="115" t="str">
        <x:v>Ports</x:v>
      </x:c>
      <x:c r="D714" s="115" t="str">
        <x:v>Terminal conteneurs</x:v>
      </x:c>
      <x:c r="E714" s="115" t="n">
        <x:v>9</x:v>
      </x:c>
      <x:c r="F714" s="115" t="str">
        <x:v>Inspection physique</x:v>
      </x:c>
      <x:c r="G714" s="115" t="str">
        <x:v>1 niveaux ; 32 pièces ; 248 segments de mur ; 0 transitions. Inspection physique ; architecture complète encore ouverte.</x:v>
      </x:c>
      <x:c r="H714" s="115" t="str">
        <x:v>L 424 ; l 564 ; hauteur 36 m ; choix de composition auteur ; dimensions réelles à documenter</x:v>
      </x:c>
      <x:c r="I714" s="115" t="str">
        <x:v>À équilibrer</x:v>
      </x:c>
      <x:c r="J714" s="115" t="str">
        <x:v>Non</x:v>
      </x:c>
      <x:c r="K714" s="115" t="str">
        <x:v>Pièces décrites, murs, portes, niveaux et mobilier inspectables à l’échelle. Volumes réservés, raccord au seed, butin, rencontres et services de campagne restent à terminer.</x:v>
      </x:c>
    </x:row>
    <x:row r="715" ht="96" customHeight="1">
      <x:c r="A715" s="115" t="str">
        <x:v>EXT-MONDE-T015-V10</x:v>
      </x:c>
      <x:c r="B715" s="115" t="str">
        <x:v>EXT-MONDE-T015</x:v>
      </x:c>
      <x:c r="C715" s="115" t="str">
        <x:v>Ports</x:v>
      </x:c>
      <x:c r="D715" s="115" t="str">
        <x:v>Terminal conteneurs</x:v>
      </x:c>
      <x:c r="E715" s="115" t="n">
        <x:v>10</x:v>
      </x:c>
      <x:c r="F715" s="115" t="str">
        <x:v>Inspection physique</x:v>
      </x:c>
      <x:c r="G715" s="115" t="str">
        <x:v>1 niveaux ; 32 pièces ; 248 segments de mur ; 0 transitions. Inspection physique ; architecture complète encore ouverte.</x:v>
      </x:c>
      <x:c r="H715" s="115" t="str">
        <x:v>L 424 ; l 564 ; hauteur 36 m ; choix de composition auteur ; dimensions réelles à documenter</x:v>
      </x:c>
      <x:c r="I715" s="115" t="str">
        <x:v>À équilibrer</x:v>
      </x:c>
      <x:c r="J715" s="115" t="str">
        <x:v>Non</x:v>
      </x:c>
      <x:c r="K715" s="115" t="str">
        <x:v>Pièces décrites, murs, portes, niveaux et mobilier inspectables à l’échelle. Volumes réservés, raccord au seed, butin, rencontres et services de campagne restent à terminer.</x:v>
      </x:c>
    </x:row>
    <x:row r="716" ht="96" customHeight="1">
      <x:c r="A716" s="115" t="str">
        <x:v>EXT-MONDE-T015-V11</x:v>
      </x:c>
      <x:c r="B716" s="115" t="str">
        <x:v>EXT-MONDE-T015</x:v>
      </x:c>
      <x:c r="C716" s="115" t="str">
        <x:v>Ports</x:v>
      </x:c>
      <x:c r="D716" s="115" t="str">
        <x:v>Terminal conteneurs</x:v>
      </x:c>
      <x:c r="E716" s="115" t="n">
        <x:v>11</x:v>
      </x:c>
      <x:c r="F716" s="115" t="str">
        <x:v>Inspection physique</x:v>
      </x:c>
      <x:c r="G716" s="115" t="str">
        <x:v>1 niveaux ; 32 pièces ; 248 segments de mur ; 0 transitions. Inspection physique ; architecture complète encore ouverte.</x:v>
      </x:c>
      <x:c r="H716" s="115" t="str">
        <x:v>L 438 ; l 576 ; hauteur 36 m ; choix de composition auteur ; dimensions réelles à documenter</x:v>
      </x:c>
      <x:c r="I716" s="115" t="str">
        <x:v>À équilibrer</x:v>
      </x:c>
      <x:c r="J716" s="115" t="str">
        <x:v>Non</x:v>
      </x:c>
      <x:c r="K716" s="115" t="str">
        <x:v>Pièces décrites, murs, portes, niveaux et mobilier inspectables à l’échelle. Volumes réservés, raccord au seed, butin, rencontres et services de campagne restent à terminer.</x:v>
      </x:c>
    </x:row>
    <x:row r="717" ht="96" customHeight="1">
      <x:c r="A717" s="115" t="str">
        <x:v>EXT-MONDE-T015-V12</x:v>
      </x:c>
      <x:c r="B717" s="115" t="str">
        <x:v>EXT-MONDE-T015</x:v>
      </x:c>
      <x:c r="C717" s="115" t="str">
        <x:v>Ports</x:v>
      </x:c>
      <x:c r="D717" s="115" t="str">
        <x:v>Terminal conteneurs</x:v>
      </x:c>
      <x:c r="E717" s="115" t="n">
        <x:v>12</x:v>
      </x:c>
      <x:c r="F717" s="115" t="str">
        <x:v>Inspection physique</x:v>
      </x:c>
      <x:c r="G717" s="115" t="str">
        <x:v>1 niveaux ; 32 pièces ; 248 segments de mur ; 0 transitions. Inspection physique ; architecture complète encore ouverte.</x:v>
      </x:c>
      <x:c r="H717" s="115" t="str">
        <x:v>L 438 ; l 576 ; hauteur 36 m ; choix de composition auteur ; dimensions réelles à documenter</x:v>
      </x:c>
      <x:c r="I717" s="115" t="str">
        <x:v>À équilibrer</x:v>
      </x:c>
      <x:c r="J717" s="115" t="str">
        <x:v>Non</x:v>
      </x:c>
      <x:c r="K717" s="115" t="str">
        <x:v>Pièces décrites, murs, portes, niveaux et mobilier inspectables à l’échelle. Volumes réservés, raccord au seed, butin, rencontres et services de campagne restent à terminer.</x:v>
      </x:c>
    </x:row>
    <x:row r="718" ht="96" customHeight="1">
      <x:c r="A718" s="115" t="str">
        <x:v>EXT-MONDE-T015-V13</x:v>
      </x:c>
      <x:c r="B718" s="115" t="str">
        <x:v>EXT-MONDE-T015</x:v>
      </x:c>
      <x:c r="C718" s="115" t="str">
        <x:v>Ports</x:v>
      </x:c>
      <x:c r="D718" s="115" t="str">
        <x:v>Terminal conteneurs</x:v>
      </x:c>
      <x:c r="E718" s="115" t="n">
        <x:v>13</x:v>
      </x:c>
      <x:c r="F718" s="115" t="str">
        <x:v>Inspection physique</x:v>
      </x:c>
      <x:c r="G718" s="115" t="str">
        <x:v>1 niveaux ; 32 pièces ; 248 segments de mur ; 0 transitions. Inspection physique ; architecture complète encore ouverte.</x:v>
      </x:c>
      <x:c r="H718" s="115" t="str">
        <x:v>L 438 ; l 576 ; hauteur 36 m ; choix de composition auteur ; dimensions réelles à documenter</x:v>
      </x:c>
      <x:c r="I718" s="115" t="str">
        <x:v>À équilibrer</x:v>
      </x:c>
      <x:c r="J718" s="115" t="str">
        <x:v>Non</x:v>
      </x:c>
      <x:c r="K718" s="115" t="str">
        <x:v>Pièces décrites, murs, portes, niveaux et mobilier inspectables à l’échelle. Volumes réservés, raccord au seed, butin, rencontres et services de campagne restent à terminer.</x:v>
      </x:c>
    </x:row>
    <x:row r="719" ht="96" customHeight="1">
      <x:c r="A719" s="115" t="str">
        <x:v>EXT-MONDE-T015-V14</x:v>
      </x:c>
      <x:c r="B719" s="115" t="str">
        <x:v>EXT-MONDE-T015</x:v>
      </x:c>
      <x:c r="C719" s="115" t="str">
        <x:v>Ports</x:v>
      </x:c>
      <x:c r="D719" s="115" t="str">
        <x:v>Terminal conteneurs</x:v>
      </x:c>
      <x:c r="E719" s="115" t="n">
        <x:v>14</x:v>
      </x:c>
      <x:c r="F719" s="115" t="str">
        <x:v>Inspection physique</x:v>
      </x:c>
      <x:c r="G719" s="115" t="str">
        <x:v>1 niveaux ; 32 pièces ; 248 segments de mur ; 0 transitions. Inspection physique ; architecture complète encore ouverte.</x:v>
      </x:c>
      <x:c r="H719" s="115" t="str">
        <x:v>L 438 ; l 576 ; hauteur 36 m ; choix de composition auteur ; dimensions réelles à documenter</x:v>
      </x:c>
      <x:c r="I719" s="115" t="str">
        <x:v>À équilibrer</x:v>
      </x:c>
      <x:c r="J719" s="115" t="str">
        <x:v>Non</x:v>
      </x:c>
      <x:c r="K719" s="115" t="str">
        <x:v>Pièces décrites, murs, portes, niveaux et mobilier inspectables à l’échelle. Volumes réservés, raccord au seed, butin, rencontres et services de campagne restent à terminer.</x:v>
      </x:c>
    </x:row>
    <x:row r="720" ht="96" customHeight="1">
      <x:c r="A720" s="115" t="str">
        <x:v>EXT-MONDE-T015-V15</x:v>
      </x:c>
      <x:c r="B720" s="115" t="str">
        <x:v>EXT-MONDE-T015</x:v>
      </x:c>
      <x:c r="C720" s="115" t="str">
        <x:v>Ports</x:v>
      </x:c>
      <x:c r="D720" s="115" t="str">
        <x:v>Terminal conteneurs</x:v>
      </x:c>
      <x:c r="E720" s="115" t="n">
        <x:v>15</x:v>
      </x:c>
      <x:c r="F720" s="115" t="str">
        <x:v>Inspection physique</x:v>
      </x:c>
      <x:c r="G720" s="115" t="str">
        <x:v>1 niveaux ; 32 pièces ; 248 segments de mur ; 0 transitions. Inspection physique ; architecture complète encore ouverte.</x:v>
      </x:c>
      <x:c r="H720" s="115" t="str">
        <x:v>L 438 ; l 576 ; hauteur 36 m ; choix de composition auteur ; dimensions réelles à documenter</x:v>
      </x:c>
      <x:c r="I720" s="115" t="str">
        <x:v>À équilibrer</x:v>
      </x:c>
      <x:c r="J720" s="115" t="str">
        <x:v>Non</x:v>
      </x:c>
      <x:c r="K720" s="115" t="str">
        <x:v>Pièces décrites, murs, portes, niveaux et mobilier inspectables à l’échelle. Volumes réservés, raccord au seed, butin, rencontres et services de campagne restent à terminer.</x:v>
      </x:c>
    </x:row>
    <x:row r="721" ht="96" customHeight="1">
      <x:c r="A721" s="115" t="str">
        <x:v>EXT-MONDE-T015-V16</x:v>
      </x:c>
      <x:c r="B721" s="115" t="str">
        <x:v>EXT-MONDE-T015</x:v>
      </x:c>
      <x:c r="C721" s="115" t="str">
        <x:v>Ports</x:v>
      </x:c>
      <x:c r="D721" s="115" t="str">
        <x:v>Terminal conteneurs</x:v>
      </x:c>
      <x:c r="E721" s="115" t="n">
        <x:v>16</x:v>
      </x:c>
      <x:c r="F721" s="115" t="str">
        <x:v>Inspection physique</x:v>
      </x:c>
      <x:c r="G721" s="115" t="str">
        <x:v>1 niveaux ; 32 pièces ; 248 segments de mur ; 0 transitions. Inspection physique ; architecture complète encore ouverte.</x:v>
      </x:c>
      <x:c r="H721" s="115" t="str">
        <x:v>L 438 ; l 576 ; hauteur 36 m ; choix de composition auteur ; dimensions réelles à documenter</x:v>
      </x:c>
      <x:c r="I721" s="115" t="str">
        <x:v>À équilibrer</x:v>
      </x:c>
      <x:c r="J721" s="115" t="str">
        <x:v>Non</x:v>
      </x:c>
      <x:c r="K721" s="115" t="str">
        <x:v>Pièces décrites, murs, portes, niveaux et mobilier inspectables à l’échelle. Volumes réservés, raccord au seed, butin, rencontres et services de campagne restent à terminer.</x:v>
      </x:c>
    </x:row>
    <x:row r="722" ht="96" customHeight="1">
      <x:c r="A722" s="115" t="str">
        <x:v>EXT-MONDE-T015-V17</x:v>
      </x:c>
      <x:c r="B722" s="115" t="str">
        <x:v>EXT-MONDE-T015</x:v>
      </x:c>
      <x:c r="C722" s="115" t="str">
        <x:v>Ports</x:v>
      </x:c>
      <x:c r="D722" s="115" t="str">
        <x:v>Terminal conteneurs</x:v>
      </x:c>
      <x:c r="E722" s="115" t="n">
        <x:v>17</x:v>
      </x:c>
      <x:c r="F722" s="115" t="str">
        <x:v>Inspection physique</x:v>
      </x:c>
      <x:c r="G722" s="115" t="str">
        <x:v>1 niveaux ; 32 pièces ; 248 segments de mur ; 0 transitions. Inspection physique ; architecture complète encore ouverte.</x:v>
      </x:c>
      <x:c r="H722" s="115" t="str">
        <x:v>L 438 ; l 576 ; hauteur 36 m ; choix de composition auteur ; dimensions réelles à documenter</x:v>
      </x:c>
      <x:c r="I722" s="115" t="str">
        <x:v>À équilibrer</x:v>
      </x:c>
      <x:c r="J722" s="115" t="str">
        <x:v>Non</x:v>
      </x:c>
      <x:c r="K722" s="115" t="str">
        <x:v>Pièces décrites, murs, portes, niveaux et mobilier inspectables à l’échelle. Volumes réservés, raccord au seed, butin, rencontres et services de campagne restent à terminer.</x:v>
      </x:c>
    </x:row>
    <x:row r="723" ht="96" customHeight="1">
      <x:c r="A723" s="115" t="str">
        <x:v>EXT-MONDE-T015-V18</x:v>
      </x:c>
      <x:c r="B723" s="115" t="str">
        <x:v>EXT-MONDE-T015</x:v>
      </x:c>
      <x:c r="C723" s="115" t="str">
        <x:v>Ports</x:v>
      </x:c>
      <x:c r="D723" s="115" t="str">
        <x:v>Terminal conteneurs</x:v>
      </x:c>
      <x:c r="E723" s="115" t="n">
        <x:v>18</x:v>
      </x:c>
      <x:c r="F723" s="115" t="str">
        <x:v>Inspection physique</x:v>
      </x:c>
      <x:c r="G723" s="115" t="str">
        <x:v>1 niveaux ; 32 pièces ; 248 segments de mur ; 0 transitions. Inspection physique ; architecture complète encore ouverte.</x:v>
      </x:c>
      <x:c r="H723" s="115" t="str">
        <x:v>L 438 ; l 576 ; hauteur 36 m ; choix de composition auteur ; dimensions réelles à documenter</x:v>
      </x:c>
      <x:c r="I723" s="115" t="str">
        <x:v>À équilibrer</x:v>
      </x:c>
      <x:c r="J723" s="115" t="str">
        <x:v>Non</x:v>
      </x:c>
      <x:c r="K723" s="115" t="str">
        <x:v>Pièces décrites, murs, portes, niveaux et mobilier inspectables à l’échelle. Volumes réservés, raccord au seed, butin, rencontres et services de campagne restent à terminer.</x:v>
      </x:c>
    </x:row>
    <x:row r="724" ht="96" customHeight="1">
      <x:c r="A724" s="115" t="str">
        <x:v>EXT-MONDE-T015-V19</x:v>
      </x:c>
      <x:c r="B724" s="115" t="str">
        <x:v>EXT-MONDE-T015</x:v>
      </x:c>
      <x:c r="C724" s="115" t="str">
        <x:v>Ports</x:v>
      </x:c>
      <x:c r="D724" s="115" t="str">
        <x:v>Terminal conteneurs</x:v>
      </x:c>
      <x:c r="E724" s="115" t="n">
        <x:v>19</x:v>
      </x:c>
      <x:c r="F724" s="115" t="str">
        <x:v>Inspection physique</x:v>
      </x:c>
      <x:c r="G724" s="115" t="str">
        <x:v>1 niveaux ; 32 pièces ; 248 segments de mur ; 0 transitions. Inspection physique ; architecture complète encore ouverte.</x:v>
      </x:c>
      <x:c r="H724" s="115" t="str">
        <x:v>L 438 ; l 576 ; hauteur 36 m ; choix de composition auteur ; dimensions réelles à documenter</x:v>
      </x:c>
      <x:c r="I724" s="115" t="str">
        <x:v>À équilibrer</x:v>
      </x:c>
      <x:c r="J724" s="115" t="str">
        <x:v>Non</x:v>
      </x:c>
      <x:c r="K724" s="115" t="str">
        <x:v>Pièces décrites, murs, portes, niveaux et mobilier inspectables à l’échelle. Volumes réservés, raccord au seed, butin, rencontres et services de campagne restent à terminer.</x:v>
      </x:c>
    </x:row>
    <x:row r="725" ht="96" customHeight="1">
      <x:c r="A725" s="115" t="str">
        <x:v>EXT-MONDE-T015-V20</x:v>
      </x:c>
      <x:c r="B725" s="115" t="str">
        <x:v>EXT-MONDE-T015</x:v>
      </x:c>
      <x:c r="C725" s="115" t="str">
        <x:v>Ports</x:v>
      </x:c>
      <x:c r="D725" s="115" t="str">
        <x:v>Terminal conteneurs</x:v>
      </x:c>
      <x:c r="E725" s="115" t="n">
        <x:v>20</x:v>
      </x:c>
      <x:c r="F725" s="115" t="str">
        <x:v>Inspection physique</x:v>
      </x:c>
      <x:c r="G725" s="115" t="str">
        <x:v>1 niveaux ; 32 pièces ; 248 segments de mur ; 0 transitions. Inspection physique ; architecture complète encore ouverte.</x:v>
      </x:c>
      <x:c r="H725" s="115" t="str">
        <x:v>L 438 ; l 576 ; hauteur 36 m ; choix de composition auteur ; dimensions réelles à documenter</x:v>
      </x:c>
      <x:c r="I725" s="115" t="str">
        <x:v>À équilibrer</x:v>
      </x:c>
      <x:c r="J725" s="115" t="str">
        <x:v>Non</x:v>
      </x:c>
      <x:c r="K725" s="115" t="str">
        <x:v>Pièces décrites, murs, portes, niveaux et mobilier inspectables à l’échelle. Volumes réservés, raccord au seed, butin, rencontres et services de campagne restent à terminer.</x:v>
      </x:c>
    </x:row>
    <x:row r="726" ht="96" customHeight="1">
      <x:c r="A726" s="115" t="str">
        <x:v>EXT-MONDE-T015-V21</x:v>
      </x:c>
      <x:c r="B726" s="115" t="str">
        <x:v>EXT-MONDE-T015</x:v>
      </x:c>
      <x:c r="C726" s="115" t="str">
        <x:v>Ports</x:v>
      </x:c>
      <x:c r="D726" s="115" t="str">
        <x:v>Terminal conteneurs</x:v>
      </x:c>
      <x:c r="E726" s="115" t="n">
        <x:v>21</x:v>
      </x:c>
      <x:c r="F726" s="115" t="str">
        <x:v>Inspection physique</x:v>
      </x:c>
      <x:c r="G726" s="115" t="str">
        <x:v>1 niveaux ; 32 pièces ; 248 segments de mur ; 0 transitions. Inspection physique ; architecture complète encore ouverte.</x:v>
      </x:c>
      <x:c r="H726" s="115" t="str">
        <x:v>L 452 ; l 588 ; hauteur 36 m ; choix de composition auteur ; dimensions réelles à documenter</x:v>
      </x:c>
      <x:c r="I726" s="115" t="str">
        <x:v>À équilibrer</x:v>
      </x:c>
      <x:c r="J726" s="115" t="str">
        <x:v>Non</x:v>
      </x:c>
      <x:c r="K726" s="115" t="str">
        <x:v>Pièces décrites, murs, portes, niveaux et mobilier inspectables à l’échelle. Volumes réservés, raccord au seed, butin, rencontres et services de campagne restent à terminer.</x:v>
      </x:c>
    </x:row>
    <x:row r="727" ht="96" customHeight="1">
      <x:c r="A727" s="115" t="str">
        <x:v>EXT-MONDE-T015-V22</x:v>
      </x:c>
      <x:c r="B727" s="115" t="str">
        <x:v>EXT-MONDE-T015</x:v>
      </x:c>
      <x:c r="C727" s="115" t="str">
        <x:v>Ports</x:v>
      </x:c>
      <x:c r="D727" s="115" t="str">
        <x:v>Terminal conteneurs</x:v>
      </x:c>
      <x:c r="E727" s="115" t="n">
        <x:v>22</x:v>
      </x:c>
      <x:c r="F727" s="115" t="str">
        <x:v>Inspection physique</x:v>
      </x:c>
      <x:c r="G727" s="115" t="str">
        <x:v>1 niveaux ; 32 pièces ; 248 segments de mur ; 0 transitions. Inspection physique ; architecture complète encore ouverte.</x:v>
      </x:c>
      <x:c r="H727" s="115" t="str">
        <x:v>L 452 ; l 588 ; hauteur 36 m ; choix de composition auteur ; dimensions réelles à documenter</x:v>
      </x:c>
      <x:c r="I727" s="115" t="str">
        <x:v>À équilibrer</x:v>
      </x:c>
      <x:c r="J727" s="115" t="str">
        <x:v>Non</x:v>
      </x:c>
      <x:c r="K727" s="115" t="str">
        <x:v>Pièces décrites, murs, portes, niveaux et mobilier inspectables à l’échelle. Volumes réservés, raccord au seed, butin, rencontres et services de campagne restent à terminer.</x:v>
      </x:c>
    </x:row>
    <x:row r="728" ht="96" customHeight="1">
      <x:c r="A728" s="115" t="str">
        <x:v>EXT-MONDE-T015-V23</x:v>
      </x:c>
      <x:c r="B728" s="115" t="str">
        <x:v>EXT-MONDE-T015</x:v>
      </x:c>
      <x:c r="C728" s="115" t="str">
        <x:v>Ports</x:v>
      </x:c>
      <x:c r="D728" s="115" t="str">
        <x:v>Terminal conteneurs</x:v>
      </x:c>
      <x:c r="E728" s="115" t="n">
        <x:v>23</x:v>
      </x:c>
      <x:c r="F728" s="115" t="str">
        <x:v>Inspection physique</x:v>
      </x:c>
      <x:c r="G728" s="115" t="str">
        <x:v>1 niveaux ; 32 pièces ; 248 segments de mur ; 0 transitions. Inspection physique ; architecture complète encore ouverte.</x:v>
      </x:c>
      <x:c r="H728" s="115" t="str">
        <x:v>L 452 ; l 588 ; hauteur 36 m ; choix de composition auteur ; dimensions réelles à documenter</x:v>
      </x:c>
      <x:c r="I728" s="115" t="str">
        <x:v>À équilibrer</x:v>
      </x:c>
      <x:c r="J728" s="115" t="str">
        <x:v>Non</x:v>
      </x:c>
      <x:c r="K728" s="115" t="str">
        <x:v>Pièces décrites, murs, portes, niveaux et mobilier inspectables à l’échelle. Volumes réservés, raccord au seed, butin, rencontres et services de campagne restent à terminer.</x:v>
      </x:c>
    </x:row>
    <x:row r="729" ht="96" customHeight="1">
      <x:c r="A729" s="115" t="str">
        <x:v>EXT-MONDE-T015-V24</x:v>
      </x:c>
      <x:c r="B729" s="115" t="str">
        <x:v>EXT-MONDE-T015</x:v>
      </x:c>
      <x:c r="C729" s="115" t="str">
        <x:v>Ports</x:v>
      </x:c>
      <x:c r="D729" s="115" t="str">
        <x:v>Terminal conteneurs</x:v>
      </x:c>
      <x:c r="E729" s="115" t="n">
        <x:v>24</x:v>
      </x:c>
      <x:c r="F729" s="115" t="str">
        <x:v>Inspection physique</x:v>
      </x:c>
      <x:c r="G729" s="115" t="str">
        <x:v>1 niveaux ; 32 pièces ; 248 segments de mur ; 0 transitions. Inspection physique ; architecture complète encore ouverte.</x:v>
      </x:c>
      <x:c r="H729" s="115" t="str">
        <x:v>L 452 ; l 588 ; hauteur 36 m ; choix de composition auteur ; dimensions réelles à documenter</x:v>
      </x:c>
      <x:c r="I729" s="115" t="str">
        <x:v>À équilibrer</x:v>
      </x:c>
      <x:c r="J729" s="115" t="str">
        <x:v>Non</x:v>
      </x:c>
      <x:c r="K729" s="115" t="str">
        <x:v>Pièces décrites, murs, portes, niveaux et mobilier inspectables à l’échelle. Volumes réservés, raccord au seed, butin, rencontres et services de campagne restent à terminer.</x:v>
      </x:c>
    </x:row>
    <x:row r="730" ht="96" customHeight="1">
      <x:c r="A730" s="115" t="str">
        <x:v>EXT-MONDE-T015-V25</x:v>
      </x:c>
      <x:c r="B730" s="115" t="str">
        <x:v>EXT-MONDE-T015</x:v>
      </x:c>
      <x:c r="C730" s="115" t="str">
        <x:v>Ports</x:v>
      </x:c>
      <x:c r="D730" s="115" t="str">
        <x:v>Terminal conteneurs</x:v>
      </x:c>
      <x:c r="E730" s="115" t="n">
        <x:v>25</x:v>
      </x:c>
      <x:c r="F730" s="115" t="str">
        <x:v>Inspection physique</x:v>
      </x:c>
      <x:c r="G730" s="115" t="str">
        <x:v>1 niveaux ; 32 pièces ; 248 segments de mur ; 0 transitions. Inspection physique ; architecture complète encore ouverte.</x:v>
      </x:c>
      <x:c r="H730" s="115" t="str">
        <x:v>L 452 ; l 588 ; hauteur 36 m ; choix de composition auteur ; dimensions réelles à documenter</x:v>
      </x:c>
      <x:c r="I730" s="115" t="str">
        <x:v>À équilibrer</x:v>
      </x:c>
      <x:c r="J730" s="115" t="str">
        <x:v>Non</x:v>
      </x:c>
      <x:c r="K730" s="115" t="str">
        <x:v>Pièces décrites, murs, portes, niveaux et mobilier inspectables à l’échelle. Volumes réservés, raccord au seed, butin, rencontres et services de campagne restent à terminer.</x:v>
      </x:c>
    </x:row>
    <x:row r="731" ht="96" customHeight="1">
      <x:c r="A731" s="115" t="str">
        <x:v>EXT-MONDE-T015-V26</x:v>
      </x:c>
      <x:c r="B731" s="115" t="str">
        <x:v>EXT-MONDE-T015</x:v>
      </x:c>
      <x:c r="C731" s="115" t="str">
        <x:v>Ports</x:v>
      </x:c>
      <x:c r="D731" s="115" t="str">
        <x:v>Terminal conteneurs</x:v>
      </x:c>
      <x:c r="E731" s="115" t="n">
        <x:v>26</x:v>
      </x:c>
      <x:c r="F731" s="115" t="str">
        <x:v>Inspection physique</x:v>
      </x:c>
      <x:c r="G731" s="115" t="str">
        <x:v>1 niveaux ; 32 pièces ; 248 segments de mur ; 0 transitions. Inspection physique ; architecture complète encore ouverte.</x:v>
      </x:c>
      <x:c r="H731" s="115" t="str">
        <x:v>L 452 ; l 588 ; hauteur 36 m ; choix de composition auteur ; dimensions réelles à documenter</x:v>
      </x:c>
      <x:c r="I731" s="115" t="str">
        <x:v>À équilibrer</x:v>
      </x:c>
      <x:c r="J731" s="115" t="str">
        <x:v>Non</x:v>
      </x:c>
      <x:c r="K731" s="115" t="str">
        <x:v>Pièces décrites, murs, portes, niveaux et mobilier inspectables à l’échelle. Volumes réservés, raccord au seed, butin, rencontres et services de campagne restent à terminer.</x:v>
      </x:c>
    </x:row>
    <x:row r="732" ht="96" customHeight="1">
      <x:c r="A732" s="115" t="str">
        <x:v>EXT-MONDE-T015-V27</x:v>
      </x:c>
      <x:c r="B732" s="115" t="str">
        <x:v>EXT-MONDE-T015</x:v>
      </x:c>
      <x:c r="C732" s="115" t="str">
        <x:v>Ports</x:v>
      </x:c>
      <x:c r="D732" s="115" t="str">
        <x:v>Terminal conteneurs</x:v>
      </x:c>
      <x:c r="E732" s="115" t="n">
        <x:v>27</x:v>
      </x:c>
      <x:c r="F732" s="115" t="str">
        <x:v>Inspection physique</x:v>
      </x:c>
      <x:c r="G732" s="115" t="str">
        <x:v>1 niveaux ; 32 pièces ; 248 segments de mur ; 0 transitions. Inspection physique ; architecture complète encore ouverte.</x:v>
      </x:c>
      <x:c r="H732" s="115" t="str">
        <x:v>L 452 ; l 588 ; hauteur 36 m ; choix de composition auteur ; dimensions réelles à documenter</x:v>
      </x:c>
      <x:c r="I732" s="115" t="str">
        <x:v>À équilibrer</x:v>
      </x:c>
      <x:c r="J732" s="115" t="str">
        <x:v>Non</x:v>
      </x:c>
      <x:c r="K732" s="115" t="str">
        <x:v>Pièces décrites, murs, portes, niveaux et mobilier inspectables à l’échelle. Volumes réservés, raccord au seed, butin, rencontres et services de campagne restent à terminer.</x:v>
      </x:c>
    </x:row>
    <x:row r="733" ht="96" customHeight="1">
      <x:c r="A733" s="115" t="str">
        <x:v>EXT-MONDE-T015-V28</x:v>
      </x:c>
      <x:c r="B733" s="115" t="str">
        <x:v>EXT-MONDE-T015</x:v>
      </x:c>
      <x:c r="C733" s="115" t="str">
        <x:v>Ports</x:v>
      </x:c>
      <x:c r="D733" s="115" t="str">
        <x:v>Terminal conteneurs</x:v>
      </x:c>
      <x:c r="E733" s="115" t="n">
        <x:v>28</x:v>
      </x:c>
      <x:c r="F733" s="115" t="str">
        <x:v>Inspection physique</x:v>
      </x:c>
      <x:c r="G733" s="115" t="str">
        <x:v>1 niveaux ; 32 pièces ; 248 segments de mur ; 0 transitions. Inspection physique ; architecture complète encore ouverte.</x:v>
      </x:c>
      <x:c r="H733" s="115" t="str">
        <x:v>L 452 ; l 588 ; hauteur 36 m ; choix de composition auteur ; dimensions réelles à documenter</x:v>
      </x:c>
      <x:c r="I733" s="115" t="str">
        <x:v>À équilibrer</x:v>
      </x:c>
      <x:c r="J733" s="115" t="str">
        <x:v>Non</x:v>
      </x:c>
      <x:c r="K733" s="115" t="str">
        <x:v>Pièces décrites, murs, portes, niveaux et mobilier inspectables à l’échelle. Volumes réservés, raccord au seed, butin, rencontres et services de campagne restent à terminer.</x:v>
      </x:c>
    </x:row>
    <x:row r="734" ht="96" customHeight="1">
      <x:c r="A734" s="115" t="str">
        <x:v>EXT-MONDE-T015-V29</x:v>
      </x:c>
      <x:c r="B734" s="115" t="str">
        <x:v>EXT-MONDE-T015</x:v>
      </x:c>
      <x:c r="C734" s="115" t="str">
        <x:v>Ports</x:v>
      </x:c>
      <x:c r="D734" s="115" t="str">
        <x:v>Terminal conteneurs</x:v>
      </x:c>
      <x:c r="E734" s="115" t="n">
        <x:v>29</x:v>
      </x:c>
      <x:c r="F734" s="115" t="str">
        <x:v>Inspection physique</x:v>
      </x:c>
      <x:c r="G734" s="115" t="str">
        <x:v>1 niveaux ; 32 pièces ; 248 segments de mur ; 0 transitions. Inspection physique ; architecture complète encore ouverte.</x:v>
      </x:c>
      <x:c r="H734" s="115" t="str">
        <x:v>L 452 ; l 588 ; hauteur 36 m ; choix de composition auteur ; dimensions réelles à documenter</x:v>
      </x:c>
      <x:c r="I734" s="115" t="str">
        <x:v>À équilibrer</x:v>
      </x:c>
      <x:c r="J734" s="115" t="str">
        <x:v>Non</x:v>
      </x:c>
      <x:c r="K734" s="115" t="str">
        <x:v>Pièces décrites, murs, portes, niveaux et mobilier inspectables à l’échelle. Volumes réservés, raccord au seed, butin, rencontres et services de campagne restent à terminer.</x:v>
      </x:c>
    </x:row>
    <x:row r="735" ht="96" customHeight="1">
      <x:c r="A735" s="115" t="str">
        <x:v>EXT-MONDE-T015-V30</x:v>
      </x:c>
      <x:c r="B735" s="115" t="str">
        <x:v>EXT-MONDE-T015</x:v>
      </x:c>
      <x:c r="C735" s="115" t="str">
        <x:v>Ports</x:v>
      </x:c>
      <x:c r="D735" s="115" t="str">
        <x:v>Terminal conteneurs</x:v>
      </x:c>
      <x:c r="E735" s="115" t="n">
        <x:v>30</x:v>
      </x:c>
      <x:c r="F735" s="115" t="str">
        <x:v>Inspection physique</x:v>
      </x:c>
      <x:c r="G735" s="115" t="str">
        <x:v>1 niveaux ; 32 pièces ; 248 segments de mur ; 0 transitions. Inspection physique ; architecture complète encore ouverte.</x:v>
      </x:c>
      <x:c r="H735" s="115" t="str">
        <x:v>L 452 ; l 588 ; hauteur 36 m ; choix de composition auteur ; dimensions réelles à documenter</x:v>
      </x:c>
      <x:c r="I735" s="115" t="str">
        <x:v>À équilibrer</x:v>
      </x:c>
      <x:c r="J735" s="115" t="str">
        <x:v>Non</x:v>
      </x:c>
      <x:c r="K735" s="115" t="str">
        <x:v>Pièces décrites, murs, portes, niveaux et mobilier inspectables à l’échelle. Volumes réservés, raccord au seed, butin, rencontres et services de campagne restent à terminer.</x:v>
      </x:c>
    </x:row>
    <x:row r="736" ht="96" customHeight="1">
      <x:c r="A736" s="115" t="str">
        <x:v>EXT-MONDE-T015-V31</x:v>
      </x:c>
      <x:c r="B736" s="115" t="str">
        <x:v>EXT-MONDE-T015</x:v>
      </x:c>
      <x:c r="C736" s="115" t="str">
        <x:v>Ports</x:v>
      </x:c>
      <x:c r="D736" s="115" t="str">
        <x:v>Terminal conteneurs</x:v>
      </x:c>
      <x:c r="E736" s="115" t="n">
        <x:v>31</x:v>
      </x:c>
      <x:c r="F736" s="115" t="str">
        <x:v>Inspection physique</x:v>
      </x:c>
      <x:c r="G736" s="115" t="str">
        <x:v>1 niveaux ; 32 pièces ; 248 segments de mur ; 0 transitions. Inspection physique ; architecture complète encore ouverte.</x:v>
      </x:c>
      <x:c r="H736" s="115" t="str">
        <x:v>L 466 ; l 600 ; hauteur 36 m ; choix de composition auteur ; dimensions réelles à documenter</x:v>
      </x:c>
      <x:c r="I736" s="115" t="str">
        <x:v>À équilibrer</x:v>
      </x:c>
      <x:c r="J736" s="115" t="str">
        <x:v>Non</x:v>
      </x:c>
      <x:c r="K736" s="115" t="str">
        <x:v>Pièces décrites, murs, portes, niveaux et mobilier inspectables à l’échelle. Volumes réservés, raccord au seed, butin, rencontres et services de campagne restent à terminer.</x:v>
      </x:c>
    </x:row>
    <x:row r="737" ht="96" customHeight="1">
      <x:c r="A737" s="115" t="str">
        <x:v>EXT-MONDE-T015-V32</x:v>
      </x:c>
      <x:c r="B737" s="115" t="str">
        <x:v>EXT-MONDE-T015</x:v>
      </x:c>
      <x:c r="C737" s="115" t="str">
        <x:v>Ports</x:v>
      </x:c>
      <x:c r="D737" s="115" t="str">
        <x:v>Terminal conteneurs</x:v>
      </x:c>
      <x:c r="E737" s="115" t="n">
        <x:v>32</x:v>
      </x:c>
      <x:c r="F737" s="115" t="str">
        <x:v>Inspection physique</x:v>
      </x:c>
      <x:c r="G737" s="115" t="str">
        <x:v>1 niveaux ; 32 pièces ; 248 segments de mur ; 0 transitions. Inspection physique ; architecture complète encore ouverte.</x:v>
      </x:c>
      <x:c r="H737" s="115" t="str">
        <x:v>L 466 ; l 600 ; hauteur 36 m ; choix de composition auteur ; dimensions réelles à documenter</x:v>
      </x:c>
      <x:c r="I737" s="115" t="str">
        <x:v>À équilibrer</x:v>
      </x:c>
      <x:c r="J737" s="115" t="str">
        <x:v>Non</x:v>
      </x:c>
      <x:c r="K737" s="115" t="str">
        <x:v>Pièces décrites, murs, portes, niveaux et mobilier inspectables à l’échelle. Volumes réservés, raccord au seed, butin, rencontres et services de campagne restent à terminer.</x:v>
      </x:c>
    </x:row>
    <x:row r="738" ht="96" customHeight="1">
      <x:c r="A738" s="115" t="str">
        <x:v>EXT-MONDE-T015-V33</x:v>
      </x:c>
      <x:c r="B738" s="115" t="str">
        <x:v>EXT-MONDE-T015</x:v>
      </x:c>
      <x:c r="C738" s="115" t="str">
        <x:v>Ports</x:v>
      </x:c>
      <x:c r="D738" s="115" t="str">
        <x:v>Terminal conteneurs</x:v>
      </x:c>
      <x:c r="E738" s="115" t="n">
        <x:v>33</x:v>
      </x:c>
      <x:c r="F738" s="115" t="str">
        <x:v>Inspection physique</x:v>
      </x:c>
      <x:c r="G738" s="115" t="str">
        <x:v>1 niveaux ; 32 pièces ; 248 segments de mur ; 0 transitions. Inspection physique ; architecture complète encore ouverte.</x:v>
      </x:c>
      <x:c r="H738" s="115" t="str">
        <x:v>L 466 ; l 600 ; hauteur 36 m ; choix de composition auteur ; dimensions réelles à documenter</x:v>
      </x:c>
      <x:c r="I738" s="115" t="str">
        <x:v>À équilibrer</x:v>
      </x:c>
      <x:c r="J738" s="115" t="str">
        <x:v>Non</x:v>
      </x:c>
      <x:c r="K738" s="115" t="str">
        <x:v>Pièces décrites, murs, portes, niveaux et mobilier inspectables à l’échelle. Volumes réservés, raccord au seed, butin, rencontres et services de campagne restent à terminer.</x:v>
      </x:c>
    </x:row>
    <x:row r="739" ht="96" customHeight="1">
      <x:c r="A739" s="115" t="str">
        <x:v>EXT-MONDE-T015-V34</x:v>
      </x:c>
      <x:c r="B739" s="115" t="str">
        <x:v>EXT-MONDE-T015</x:v>
      </x:c>
      <x:c r="C739" s="115" t="str">
        <x:v>Ports</x:v>
      </x:c>
      <x:c r="D739" s="115" t="str">
        <x:v>Terminal conteneurs</x:v>
      </x:c>
      <x:c r="E739" s="115" t="n">
        <x:v>34</x:v>
      </x:c>
      <x:c r="F739" s="115" t="str">
        <x:v>Inspection physique</x:v>
      </x:c>
      <x:c r="G739" s="115" t="str">
        <x:v>1 niveaux ; 32 pièces ; 248 segments de mur ; 0 transitions. Inspection physique ; architecture complète encore ouverte.</x:v>
      </x:c>
      <x:c r="H739" s="115" t="str">
        <x:v>L 466 ; l 600 ; hauteur 36 m ; choix de composition auteur ; dimensions réelles à documenter</x:v>
      </x:c>
      <x:c r="I739" s="115" t="str">
        <x:v>À équilibrer</x:v>
      </x:c>
      <x:c r="J739" s="115" t="str">
        <x:v>Non</x:v>
      </x:c>
      <x:c r="K739" s="115" t="str">
        <x:v>Pièces décrites, murs, portes, niveaux et mobilier inspectables à l’échelle. Volumes réservés, raccord au seed, butin, rencontres et services de campagne restent à terminer.</x:v>
      </x:c>
    </x:row>
    <x:row r="740" ht="96" customHeight="1">
      <x:c r="A740" s="115" t="str">
        <x:v>EXT-MONDE-T015-V35</x:v>
      </x:c>
      <x:c r="B740" s="115" t="str">
        <x:v>EXT-MONDE-T015</x:v>
      </x:c>
      <x:c r="C740" s="115" t="str">
        <x:v>Ports</x:v>
      </x:c>
      <x:c r="D740" s="115" t="str">
        <x:v>Terminal conteneurs</x:v>
      </x:c>
      <x:c r="E740" s="115" t="n">
        <x:v>35</x:v>
      </x:c>
      <x:c r="F740" s="115" t="str">
        <x:v>Inspection physique</x:v>
      </x:c>
      <x:c r="G740" s="115" t="str">
        <x:v>1 niveaux ; 32 pièces ; 248 segments de mur ; 0 transitions. Inspection physique ; architecture complète encore ouverte.</x:v>
      </x:c>
      <x:c r="H740" s="115" t="str">
        <x:v>L 466 ; l 600 ; hauteur 36 m ; choix de composition auteur ; dimensions réelles à documenter</x:v>
      </x:c>
      <x:c r="I740" s="115" t="str">
        <x:v>À équilibrer</x:v>
      </x:c>
      <x:c r="J740" s="115" t="str">
        <x:v>Non</x:v>
      </x:c>
      <x:c r="K740" s="115" t="str">
        <x:v>Pièces décrites, murs, portes, niveaux et mobilier inspectables à l’échelle. Volumes réservés, raccord au seed, butin, rencontres et services de campagne restent à terminer.</x:v>
      </x:c>
    </x:row>
    <x:row r="741" ht="96" customHeight="1">
      <x:c r="A741" s="115" t="str">
        <x:v>EXT-MONDE-T015-V36</x:v>
      </x:c>
      <x:c r="B741" s="115" t="str">
        <x:v>EXT-MONDE-T015</x:v>
      </x:c>
      <x:c r="C741" s="115" t="str">
        <x:v>Ports</x:v>
      </x:c>
      <x:c r="D741" s="115" t="str">
        <x:v>Terminal conteneurs</x:v>
      </x:c>
      <x:c r="E741" s="115" t="n">
        <x:v>36</x:v>
      </x:c>
      <x:c r="F741" s="115" t="str">
        <x:v>Inspection physique</x:v>
      </x:c>
      <x:c r="G741" s="115" t="str">
        <x:v>1 niveaux ; 32 pièces ; 248 segments de mur ; 0 transitions. Inspection physique ; architecture complète encore ouverte.</x:v>
      </x:c>
      <x:c r="H741" s="115" t="str">
        <x:v>L 466 ; l 600 ; hauteur 36 m ; choix de composition auteur ; dimensions réelles à documenter</x:v>
      </x:c>
      <x:c r="I741" s="115" t="str">
        <x:v>À équilibrer</x:v>
      </x:c>
      <x:c r="J741" s="115" t="str">
        <x:v>Non</x:v>
      </x:c>
      <x:c r="K741" s="115" t="str">
        <x:v>Pièces décrites, murs, portes, niveaux et mobilier inspectables à l’échelle. Volumes réservés, raccord au seed, butin, rencontres et services de campagne restent à terminer.</x:v>
      </x:c>
    </x:row>
    <x:row r="742" ht="96" customHeight="1">
      <x:c r="A742" s="115" t="str">
        <x:v>EXT-MONDE-T015-V37</x:v>
      </x:c>
      <x:c r="B742" s="115" t="str">
        <x:v>EXT-MONDE-T015</x:v>
      </x:c>
      <x:c r="C742" s="115" t="str">
        <x:v>Ports</x:v>
      </x:c>
      <x:c r="D742" s="115" t="str">
        <x:v>Terminal conteneurs</x:v>
      </x:c>
      <x:c r="E742" s="115" t="n">
        <x:v>37</x:v>
      </x:c>
      <x:c r="F742" s="115" t="str">
        <x:v>Inspection physique</x:v>
      </x:c>
      <x:c r="G742" s="115" t="str">
        <x:v>1 niveaux ; 32 pièces ; 248 segments de mur ; 0 transitions. Inspection physique ; architecture complète encore ouverte.</x:v>
      </x:c>
      <x:c r="H742" s="115" t="str">
        <x:v>L 466 ; l 600 ; hauteur 36 m ; choix de composition auteur ; dimensions réelles à documenter</x:v>
      </x:c>
      <x:c r="I742" s="115" t="str">
        <x:v>À équilibrer</x:v>
      </x:c>
      <x:c r="J742" s="115" t="str">
        <x:v>Non</x:v>
      </x:c>
      <x:c r="K742" s="115" t="str">
        <x:v>Pièces décrites, murs, portes, niveaux et mobilier inspectables à l’échelle. Volumes réservés, raccord au seed, butin, rencontres et services de campagne restent à terminer.</x:v>
      </x:c>
    </x:row>
    <x:row r="743" ht="96" customHeight="1">
      <x:c r="A743" s="115" t="str">
        <x:v>EXT-MONDE-T015-V38</x:v>
      </x:c>
      <x:c r="B743" s="115" t="str">
        <x:v>EXT-MONDE-T015</x:v>
      </x:c>
      <x:c r="C743" s="115" t="str">
        <x:v>Ports</x:v>
      </x:c>
      <x:c r="D743" s="115" t="str">
        <x:v>Terminal conteneurs</x:v>
      </x:c>
      <x:c r="E743" s="115" t="n">
        <x:v>38</x:v>
      </x:c>
      <x:c r="F743" s="115" t="str">
        <x:v>Inspection physique</x:v>
      </x:c>
      <x:c r="G743" s="115" t="str">
        <x:v>1 niveaux ; 32 pièces ; 248 segments de mur ; 0 transitions. Inspection physique ; architecture complète encore ouverte.</x:v>
      </x:c>
      <x:c r="H743" s="115" t="str">
        <x:v>L 466 ; l 600 ; hauteur 36 m ; choix de composition auteur ; dimensions réelles à documenter</x:v>
      </x:c>
      <x:c r="I743" s="115" t="str">
        <x:v>À équilibrer</x:v>
      </x:c>
      <x:c r="J743" s="115" t="str">
        <x:v>Non</x:v>
      </x:c>
      <x:c r="K743" s="115" t="str">
        <x:v>Pièces décrites, murs, portes, niveaux et mobilier inspectables à l’échelle. Volumes réservés, raccord au seed, butin, rencontres et services de campagne restent à terminer.</x:v>
      </x:c>
    </x:row>
    <x:row r="744" ht="96" customHeight="1">
      <x:c r="A744" s="115" t="str">
        <x:v>EXT-MONDE-T015-V39</x:v>
      </x:c>
      <x:c r="B744" s="115" t="str">
        <x:v>EXT-MONDE-T015</x:v>
      </x:c>
      <x:c r="C744" s="115" t="str">
        <x:v>Ports</x:v>
      </x:c>
      <x:c r="D744" s="115" t="str">
        <x:v>Terminal conteneurs</x:v>
      </x:c>
      <x:c r="E744" s="115" t="n">
        <x:v>39</x:v>
      </x:c>
      <x:c r="F744" s="115" t="str">
        <x:v>Inspection physique</x:v>
      </x:c>
      <x:c r="G744" s="115" t="str">
        <x:v>1 niveaux ; 32 pièces ; 248 segments de mur ; 0 transitions. Inspection physique ; architecture complète encore ouverte.</x:v>
      </x:c>
      <x:c r="H744" s="115" t="str">
        <x:v>L 466 ; l 600 ; hauteur 36 m ; choix de composition auteur ; dimensions réelles à documenter</x:v>
      </x:c>
      <x:c r="I744" s="115" t="str">
        <x:v>À équilibrer</x:v>
      </x:c>
      <x:c r="J744" s="115" t="str">
        <x:v>Non</x:v>
      </x:c>
      <x:c r="K744" s="115" t="str">
        <x:v>Pièces décrites, murs, portes, niveaux et mobilier inspectables à l’échelle. Volumes réservés, raccord au seed, butin, rencontres et services de campagne restent à terminer.</x:v>
      </x:c>
    </x:row>
    <x:row r="745" ht="96" customHeight="1">
      <x:c r="A745" s="115" t="str">
        <x:v>EXT-MONDE-T015-V40</x:v>
      </x:c>
      <x:c r="B745" s="115" t="str">
        <x:v>EXT-MONDE-T015</x:v>
      </x:c>
      <x:c r="C745" s="115" t="str">
        <x:v>Ports</x:v>
      </x:c>
      <x:c r="D745" s="115" t="str">
        <x:v>Terminal conteneurs</x:v>
      </x:c>
      <x:c r="E745" s="115" t="n">
        <x:v>40</x:v>
      </x:c>
      <x:c r="F745" s="115" t="str">
        <x:v>Inspection physique</x:v>
      </x:c>
      <x:c r="G745" s="115" t="str">
        <x:v>1 niveaux ; 32 pièces ; 248 segments de mur ; 0 transitions. Inspection physique ; architecture complète encore ouverte.</x:v>
      </x:c>
      <x:c r="H745" s="115" t="str">
        <x:v>L 466 ; l 600 ; hauteur 36 m ; choix de composition auteur ; dimensions réelles à documenter</x:v>
      </x:c>
      <x:c r="I745" s="115" t="str">
        <x:v>À équilibrer</x:v>
      </x:c>
      <x:c r="J745" s="115" t="str">
        <x:v>Non</x:v>
      </x:c>
      <x:c r="K745" s="115" t="str">
        <x:v>Pièces décrites, murs, portes, niveaux et mobilier inspectables à l’échelle. Volumes réservés, raccord au seed, butin, rencontres et services de campagne restent à terminer.</x:v>
      </x:c>
    </x:row>
    <x:row r="746" ht="96" customHeight="1">
      <x:c r="A746" s="115" t="str">
        <x:v>EXT-MONDE-T015-V41</x:v>
      </x:c>
      <x:c r="B746" s="115" t="str">
        <x:v>EXT-MONDE-T015</x:v>
      </x:c>
      <x:c r="C746" s="115" t="str">
        <x:v>Ports</x:v>
      </x:c>
      <x:c r="D746" s="115" t="str">
        <x:v>Terminal conteneurs</x:v>
      </x:c>
      <x:c r="E746" s="115" t="n">
        <x:v>41</x:v>
      </x:c>
      <x:c r="F746" s="115" t="str">
        <x:v>Inspection physique</x:v>
      </x:c>
      <x:c r="G746" s="115" t="str">
        <x:v>1 niveaux ; 32 pièces ; 248 segments de mur ; 0 transitions. Inspection physique ; architecture complète encore ouverte.</x:v>
      </x:c>
      <x:c r="H746" s="115" t="str">
        <x:v>L 480 ; l 612 ; hauteur 36 m ; choix de composition auteur ; dimensions réelles à documenter</x:v>
      </x:c>
      <x:c r="I746" s="115" t="str">
        <x:v>À équilibrer</x:v>
      </x:c>
      <x:c r="J746" s="115" t="str">
        <x:v>Non</x:v>
      </x:c>
      <x:c r="K746" s="115" t="str">
        <x:v>Pièces décrites, murs, portes, niveaux et mobilier inspectables à l’échelle. Volumes réservés, raccord au seed, butin, rencontres et services de campagne restent à terminer.</x:v>
      </x:c>
    </x:row>
    <x:row r="747" ht="96" customHeight="1">
      <x:c r="A747" s="115" t="str">
        <x:v>EXT-MONDE-T015-V42</x:v>
      </x:c>
      <x:c r="B747" s="115" t="str">
        <x:v>EXT-MONDE-T015</x:v>
      </x:c>
      <x:c r="C747" s="115" t="str">
        <x:v>Ports</x:v>
      </x:c>
      <x:c r="D747" s="115" t="str">
        <x:v>Terminal conteneurs</x:v>
      </x:c>
      <x:c r="E747" s="115" t="n">
        <x:v>42</x:v>
      </x:c>
      <x:c r="F747" s="115" t="str">
        <x:v>Inspection physique</x:v>
      </x:c>
      <x:c r="G747" s="115" t="str">
        <x:v>1 niveaux ; 32 pièces ; 248 segments de mur ; 0 transitions. Inspection physique ; architecture complète encore ouverte.</x:v>
      </x:c>
      <x:c r="H747" s="115" t="str">
        <x:v>L 480 ; l 612 ; hauteur 36 m ; choix de composition auteur ; dimensions réelles à documenter</x:v>
      </x:c>
      <x:c r="I747" s="115" t="str">
        <x:v>À équilibrer</x:v>
      </x:c>
      <x:c r="J747" s="115" t="str">
        <x:v>Non</x:v>
      </x:c>
      <x:c r="K747" s="115" t="str">
        <x:v>Pièces décrites, murs, portes, niveaux et mobilier inspectables à l’échelle. Volumes réservés, raccord au seed, butin, rencontres et services de campagne restent à terminer.</x:v>
      </x:c>
    </x:row>
    <x:row r="748" ht="96" customHeight="1">
      <x:c r="A748" s="115" t="str">
        <x:v>EXT-MONDE-T015-V43</x:v>
      </x:c>
      <x:c r="B748" s="115" t="str">
        <x:v>EXT-MONDE-T015</x:v>
      </x:c>
      <x:c r="C748" s="115" t="str">
        <x:v>Ports</x:v>
      </x:c>
      <x:c r="D748" s="115" t="str">
        <x:v>Terminal conteneurs</x:v>
      </x:c>
      <x:c r="E748" s="115" t="n">
        <x:v>43</x:v>
      </x:c>
      <x:c r="F748" s="115" t="str">
        <x:v>Inspection physique</x:v>
      </x:c>
      <x:c r="G748" s="115" t="str">
        <x:v>1 niveaux ; 32 pièces ; 248 segments de mur ; 0 transitions. Inspection physique ; architecture complète encore ouverte.</x:v>
      </x:c>
      <x:c r="H748" s="115" t="str">
        <x:v>L 480 ; l 612 ; hauteur 36 m ; choix de composition auteur ; dimensions réelles à documenter</x:v>
      </x:c>
      <x:c r="I748" s="115" t="str">
        <x:v>À équilibrer</x:v>
      </x:c>
      <x:c r="J748" s="115" t="str">
        <x:v>Non</x:v>
      </x:c>
      <x:c r="K748" s="115" t="str">
        <x:v>Pièces décrites, murs, portes, niveaux et mobilier inspectables à l’échelle. Volumes réservés, raccord au seed, butin, rencontres et services de campagne restent à terminer.</x:v>
      </x:c>
    </x:row>
    <x:row r="749" ht="96" customHeight="1">
      <x:c r="A749" s="115" t="str">
        <x:v>EXT-MONDE-T015-V44</x:v>
      </x:c>
      <x:c r="B749" s="115" t="str">
        <x:v>EXT-MONDE-T015</x:v>
      </x:c>
      <x:c r="C749" s="115" t="str">
        <x:v>Ports</x:v>
      </x:c>
      <x:c r="D749" s="115" t="str">
        <x:v>Terminal conteneurs</x:v>
      </x:c>
      <x:c r="E749" s="115" t="n">
        <x:v>44</x:v>
      </x:c>
      <x:c r="F749" s="115" t="str">
        <x:v>Inspection physique</x:v>
      </x:c>
      <x:c r="G749" s="115" t="str">
        <x:v>1 niveaux ; 32 pièces ; 248 segments de mur ; 0 transitions. Inspection physique ; architecture complète encore ouverte.</x:v>
      </x:c>
      <x:c r="H749" s="115" t="str">
        <x:v>L 480 ; l 612 ; hauteur 36 m ; choix de composition auteur ; dimensions réelles à documenter</x:v>
      </x:c>
      <x:c r="I749" s="115" t="str">
        <x:v>À équilibrer</x:v>
      </x:c>
      <x:c r="J749" s="115" t="str">
        <x:v>Non</x:v>
      </x:c>
      <x:c r="K749" s="115" t="str">
        <x:v>Pièces décrites, murs, portes, niveaux et mobilier inspectables à l’échelle. Volumes réservés, raccord au seed, butin, rencontres et services de campagne restent à terminer.</x:v>
      </x:c>
    </x:row>
    <x:row r="750" ht="96" customHeight="1">
      <x:c r="A750" s="115" t="str">
        <x:v>EXT-MONDE-T015-V45</x:v>
      </x:c>
      <x:c r="B750" s="115" t="str">
        <x:v>EXT-MONDE-T015</x:v>
      </x:c>
      <x:c r="C750" s="115" t="str">
        <x:v>Ports</x:v>
      </x:c>
      <x:c r="D750" s="115" t="str">
        <x:v>Terminal conteneurs</x:v>
      </x:c>
      <x:c r="E750" s="115" t="n">
        <x:v>45</x:v>
      </x:c>
      <x:c r="F750" s="115" t="str">
        <x:v>Inspection physique</x:v>
      </x:c>
      <x:c r="G750" s="115" t="str">
        <x:v>1 niveaux ; 32 pièces ; 248 segments de mur ; 0 transitions. Inspection physique ; architecture complète encore ouverte.</x:v>
      </x:c>
      <x:c r="H750" s="115" t="str">
        <x:v>L 480 ; l 612 ; hauteur 36 m ; choix de composition auteur ; dimensions réelles à documenter</x:v>
      </x:c>
      <x:c r="I750" s="115" t="str">
        <x:v>À équilibrer</x:v>
      </x:c>
      <x:c r="J750" s="115" t="str">
        <x:v>Non</x:v>
      </x:c>
      <x:c r="K750" s="115" t="str">
        <x:v>Pièces décrites, murs, portes, niveaux et mobilier inspectables à l’échelle. Volumes réservés, raccord au seed, butin, rencontres et services de campagne restent à terminer.</x:v>
      </x:c>
    </x:row>
    <x:row r="751" ht="96" customHeight="1">
      <x:c r="A751" s="115" t="str">
        <x:v>EXT-MONDE-T015-V46</x:v>
      </x:c>
      <x:c r="B751" s="115" t="str">
        <x:v>EXT-MONDE-T015</x:v>
      </x:c>
      <x:c r="C751" s="115" t="str">
        <x:v>Ports</x:v>
      </x:c>
      <x:c r="D751" s="115" t="str">
        <x:v>Terminal conteneurs</x:v>
      </x:c>
      <x:c r="E751" s="115" t="n">
        <x:v>46</x:v>
      </x:c>
      <x:c r="F751" s="115" t="str">
        <x:v>Inspection physique</x:v>
      </x:c>
      <x:c r="G751" s="115" t="str">
        <x:v>1 niveaux ; 32 pièces ; 248 segments de mur ; 0 transitions. Inspection physique ; architecture complète encore ouverte.</x:v>
      </x:c>
      <x:c r="H751" s="115" t="str">
        <x:v>L 480 ; l 612 ; hauteur 36 m ; choix de composition auteur ; dimensions réelles à documenter</x:v>
      </x:c>
      <x:c r="I751" s="115" t="str">
        <x:v>À équilibrer</x:v>
      </x:c>
      <x:c r="J751" s="115" t="str">
        <x:v>Non</x:v>
      </x:c>
      <x:c r="K751" s="115" t="str">
        <x:v>Pièces décrites, murs, portes, niveaux et mobilier inspectables à l’échelle. Volumes réservés, raccord au seed, butin, rencontres et services de campagne restent à terminer.</x:v>
      </x:c>
    </x:row>
    <x:row r="752" ht="96" customHeight="1">
      <x:c r="A752" s="115" t="str">
        <x:v>EXT-MONDE-T015-V47</x:v>
      </x:c>
      <x:c r="B752" s="115" t="str">
        <x:v>EXT-MONDE-T015</x:v>
      </x:c>
      <x:c r="C752" s="115" t="str">
        <x:v>Ports</x:v>
      </x:c>
      <x:c r="D752" s="115" t="str">
        <x:v>Terminal conteneurs</x:v>
      </x:c>
      <x:c r="E752" s="115" t="n">
        <x:v>47</x:v>
      </x:c>
      <x:c r="F752" s="115" t="str">
        <x:v>Inspection physique</x:v>
      </x:c>
      <x:c r="G752" s="115" t="str">
        <x:v>1 niveaux ; 32 pièces ; 248 segments de mur ; 0 transitions. Inspection physique ; architecture complète encore ouverte.</x:v>
      </x:c>
      <x:c r="H752" s="115" t="str">
        <x:v>L 480 ; l 612 ; hauteur 36 m ; choix de composition auteur ; dimensions réelles à documenter</x:v>
      </x:c>
      <x:c r="I752" s="115" t="str">
        <x:v>À équilibrer</x:v>
      </x:c>
      <x:c r="J752" s="115" t="str">
        <x:v>Non</x:v>
      </x:c>
      <x:c r="K752" s="115" t="str">
        <x:v>Pièces décrites, murs, portes, niveaux et mobilier inspectables à l’échelle. Volumes réservés, raccord au seed, butin, rencontres et services de campagne restent à terminer.</x:v>
      </x:c>
    </x:row>
    <x:row r="753" ht="96" customHeight="1">
      <x:c r="A753" s="115" t="str">
        <x:v>EXT-MONDE-T015-V48</x:v>
      </x:c>
      <x:c r="B753" s="115" t="str">
        <x:v>EXT-MONDE-T015</x:v>
      </x:c>
      <x:c r="C753" s="115" t="str">
        <x:v>Ports</x:v>
      </x:c>
      <x:c r="D753" s="115" t="str">
        <x:v>Terminal conteneurs</x:v>
      </x:c>
      <x:c r="E753" s="115" t="n">
        <x:v>48</x:v>
      </x:c>
      <x:c r="F753" s="115" t="str">
        <x:v>Inspection physique</x:v>
      </x:c>
      <x:c r="G753" s="115" t="str">
        <x:v>1 niveaux ; 32 pièces ; 248 segments de mur ; 0 transitions. Inspection physique ; architecture complète encore ouverte.</x:v>
      </x:c>
      <x:c r="H753" s="115" t="str">
        <x:v>L 480 ; l 612 ; hauteur 36 m ; choix de composition auteur ; dimensions réelles à documenter</x:v>
      </x:c>
      <x:c r="I753" s="115" t="str">
        <x:v>À équilibrer</x:v>
      </x:c>
      <x:c r="J753" s="115" t="str">
        <x:v>Non</x:v>
      </x:c>
      <x:c r="K753" s="115" t="str">
        <x:v>Pièces décrites, murs, portes, niveaux et mobilier inspectables à l’échelle. Volumes réservés, raccord au seed, butin, rencontres et services de campagne restent à terminer.</x:v>
      </x:c>
    </x:row>
    <x:row r="754" ht="96" customHeight="1">
      <x:c r="A754" s="115" t="str">
        <x:v>EXT-MONDE-T015-V49</x:v>
      </x:c>
      <x:c r="B754" s="115" t="str">
        <x:v>EXT-MONDE-T015</x:v>
      </x:c>
      <x:c r="C754" s="115" t="str">
        <x:v>Ports</x:v>
      </x:c>
      <x:c r="D754" s="115" t="str">
        <x:v>Terminal conteneurs</x:v>
      </x:c>
      <x:c r="E754" s="115" t="n">
        <x:v>49</x:v>
      </x:c>
      <x:c r="F754" s="115" t="str">
        <x:v>Inspection physique</x:v>
      </x:c>
      <x:c r="G754" s="115" t="str">
        <x:v>1 niveaux ; 32 pièces ; 248 segments de mur ; 0 transitions. Inspection physique ; architecture complète encore ouverte.</x:v>
      </x:c>
      <x:c r="H754" s="115" t="str">
        <x:v>L 480 ; l 612 ; hauteur 36 m ; choix de composition auteur ; dimensions réelles à documenter</x:v>
      </x:c>
      <x:c r="I754" s="115" t="str">
        <x:v>À équilibrer</x:v>
      </x:c>
      <x:c r="J754" s="115" t="str">
        <x:v>Non</x:v>
      </x:c>
      <x:c r="K754" s="115" t="str">
        <x:v>Pièces décrites, murs, portes, niveaux et mobilier inspectables à l’échelle. Volumes réservés, raccord au seed, butin, rencontres et services de campagne restent à terminer.</x:v>
      </x:c>
    </x:row>
    <x:row r="755" ht="96" customHeight="1">
      <x:c r="A755" s="115" t="str">
        <x:v>EXT-MONDE-T015-V50</x:v>
      </x:c>
      <x:c r="B755" s="115" t="str">
        <x:v>EXT-MONDE-T015</x:v>
      </x:c>
      <x:c r="C755" s="115" t="str">
        <x:v>Ports</x:v>
      </x:c>
      <x:c r="D755" s="115" t="str">
        <x:v>Terminal conteneurs</x:v>
      </x:c>
      <x:c r="E755" s="115" t="n">
        <x:v>50</x:v>
      </x:c>
      <x:c r="F755" s="115" t="str">
        <x:v>Inspection physique</x:v>
      </x:c>
      <x:c r="G755" s="115" t="str">
        <x:v>1 niveaux ; 32 pièces ; 248 segments de mur ; 0 transitions. Inspection physique ; architecture complète encore ouverte.</x:v>
      </x:c>
      <x:c r="H755" s="115" t="str">
        <x:v>L 480 ; l 612 ; hauteur 36 m ; choix de composition auteur ; dimensions réelles à documenter</x:v>
      </x:c>
      <x:c r="I755" s="115" t="str">
        <x:v>À équilibrer</x:v>
      </x:c>
      <x:c r="J755" s="115" t="str">
        <x:v>Non</x:v>
      </x:c>
      <x:c r="K755" s="115" t="str">
        <x:v>Pièces décrites, murs, portes, niveaux et mobilier inspectables à l’échelle. Volumes réservés, raccord au seed, butin, rencontres et services de campagne restent à terminer.</x:v>
      </x:c>
    </x:row>
    <x:row r="756" ht="96" customHeight="1">
      <x:c r="A756" s="115" t="str">
        <x:v>EXT-MONDE-T016-V01</x:v>
      </x:c>
      <x:c r="B756" s="115" t="str">
        <x:v>EXT-MONDE-T016</x:v>
      </x:c>
      <x:c r="C756" s="115" t="str">
        <x:v>Ports</x:v>
      </x:c>
      <x:c r="D756" s="115" t="str">
        <x:v>Terminal ferry</x:v>
      </x:c>
      <x:c r="E756" s="115" t="n">
        <x:v>1</x:v>
      </x:c>
      <x:c r="F756" s="115" t="str">
        <x:v>Inspection physique</x:v>
      </x:c>
      <x:c r="G756" s="115" t="str">
        <x:v>1 niveaux ; 32 pièces ; 248 segments de mur ; 0 transitions. Inspection physique ; architecture complète encore ouverte.</x:v>
      </x:c>
      <x:c r="H756" s="115" t="str">
        <x:v>L 364 ; l 484 ; hauteur 5 m ; choix de composition auteur ; dimensions réelles à documenter</x:v>
      </x:c>
      <x:c r="I756" s="115" t="str">
        <x:v>À équilibrer</x:v>
      </x:c>
      <x:c r="J756" s="115" t="str">
        <x:v>Non</x:v>
      </x:c>
      <x:c r="K756" s="115" t="str">
        <x:v>Pièces décrites, murs, portes, niveaux et mobilier inspectables à l’échelle. Volumes réservés, raccord au seed, butin, rencontres et services de campagne restent à terminer.</x:v>
      </x:c>
    </x:row>
    <x:row r="757" ht="96" customHeight="1">
      <x:c r="A757" s="115" t="str">
        <x:v>EXT-MONDE-T016-V02</x:v>
      </x:c>
      <x:c r="B757" s="115" t="str">
        <x:v>EXT-MONDE-T016</x:v>
      </x:c>
      <x:c r="C757" s="115" t="str">
        <x:v>Ports</x:v>
      </x:c>
      <x:c r="D757" s="115" t="str">
        <x:v>Terminal ferry</x:v>
      </x:c>
      <x:c r="E757" s="115" t="n">
        <x:v>2</x:v>
      </x:c>
      <x:c r="F757" s="115" t="str">
        <x:v>Inspection physique</x:v>
      </x:c>
      <x:c r="G757" s="115" t="str">
        <x:v>1 niveaux ; 32 pièces ; 248 segments de mur ; 0 transitions. Inspection physique ; architecture complète encore ouverte.</x:v>
      </x:c>
      <x:c r="H757" s="115" t="str">
        <x:v>L 364 ; l 484 ; hauteur 5 m ; choix de composition auteur ; dimensions réelles à documenter</x:v>
      </x:c>
      <x:c r="I757" s="115" t="str">
        <x:v>À équilibrer</x:v>
      </x:c>
      <x:c r="J757" s="115" t="str">
        <x:v>Non</x:v>
      </x:c>
      <x:c r="K757" s="115" t="str">
        <x:v>Pièces décrites, murs, portes, niveaux et mobilier inspectables à l’échelle. Volumes réservés, raccord au seed, butin, rencontres et services de campagne restent à terminer.</x:v>
      </x:c>
    </x:row>
    <x:row r="758" ht="96" customHeight="1">
      <x:c r="A758" s="115" t="str">
        <x:v>EXT-MONDE-T016-V03</x:v>
      </x:c>
      <x:c r="B758" s="115" t="str">
        <x:v>EXT-MONDE-T016</x:v>
      </x:c>
      <x:c r="C758" s="115" t="str">
        <x:v>Ports</x:v>
      </x:c>
      <x:c r="D758" s="115" t="str">
        <x:v>Terminal ferry</x:v>
      </x:c>
      <x:c r="E758" s="115" t="n">
        <x:v>3</x:v>
      </x:c>
      <x:c r="F758" s="115" t="str">
        <x:v>Inspection physique</x:v>
      </x:c>
      <x:c r="G758" s="115" t="str">
        <x:v>1 niveaux ; 32 pièces ; 248 segments de mur ; 0 transitions. Inspection physique ; architecture complète encore ouverte.</x:v>
      </x:c>
      <x:c r="H758" s="115" t="str">
        <x:v>L 364 ; l 484 ; hauteur 5 m ; choix de composition auteur ; dimensions réelles à documenter</x:v>
      </x:c>
      <x:c r="I758" s="115" t="str">
        <x:v>À équilibrer</x:v>
      </x:c>
      <x:c r="J758" s="115" t="str">
        <x:v>Non</x:v>
      </x:c>
      <x:c r="K758" s="115" t="str">
        <x:v>Pièces décrites, murs, portes, niveaux et mobilier inspectables à l’échelle. Volumes réservés, raccord au seed, butin, rencontres et services de campagne restent à terminer.</x:v>
      </x:c>
    </x:row>
    <x:row r="759" ht="96" customHeight="1">
      <x:c r="A759" s="115" t="str">
        <x:v>EXT-MONDE-T016-V04</x:v>
      </x:c>
      <x:c r="B759" s="115" t="str">
        <x:v>EXT-MONDE-T016</x:v>
      </x:c>
      <x:c r="C759" s="115" t="str">
        <x:v>Ports</x:v>
      </x:c>
      <x:c r="D759" s="115" t="str">
        <x:v>Terminal ferry</x:v>
      </x:c>
      <x:c r="E759" s="115" t="n">
        <x:v>4</x:v>
      </x:c>
      <x:c r="F759" s="115" t="str">
        <x:v>Inspection physique</x:v>
      </x:c>
      <x:c r="G759" s="115" t="str">
        <x:v>1 niveaux ; 32 pièces ; 248 segments de mur ; 0 transitions. Inspection physique ; architecture complète encore ouverte.</x:v>
      </x:c>
      <x:c r="H759" s="115" t="str">
        <x:v>L 364 ; l 484 ; hauteur 5 m ; choix de composition auteur ; dimensions réelles à documenter</x:v>
      </x:c>
      <x:c r="I759" s="115" t="str">
        <x:v>À équilibrer</x:v>
      </x:c>
      <x:c r="J759" s="115" t="str">
        <x:v>Non</x:v>
      </x:c>
      <x:c r="K759" s="115" t="str">
        <x:v>Pièces décrites, murs, portes, niveaux et mobilier inspectables à l’échelle. Volumes réservés, raccord au seed, butin, rencontres et services de campagne restent à terminer.</x:v>
      </x:c>
    </x:row>
    <x:row r="760" ht="96" customHeight="1">
      <x:c r="A760" s="115" t="str">
        <x:v>EXT-MONDE-T016-V05</x:v>
      </x:c>
      <x:c r="B760" s="115" t="str">
        <x:v>EXT-MONDE-T016</x:v>
      </x:c>
      <x:c r="C760" s="115" t="str">
        <x:v>Ports</x:v>
      </x:c>
      <x:c r="D760" s="115" t="str">
        <x:v>Terminal ferry</x:v>
      </x:c>
      <x:c r="E760" s="115" t="n">
        <x:v>5</x:v>
      </x:c>
      <x:c r="F760" s="115" t="str">
        <x:v>Inspection physique</x:v>
      </x:c>
      <x:c r="G760" s="115" t="str">
        <x:v>1 niveaux ; 32 pièces ; 248 segments de mur ; 0 transitions. Inspection physique ; architecture complète encore ouverte.</x:v>
      </x:c>
      <x:c r="H760" s="115" t="str">
        <x:v>L 364 ; l 484 ; hauteur 5 m ; choix de composition auteur ; dimensions réelles à documenter</x:v>
      </x:c>
      <x:c r="I760" s="115" t="str">
        <x:v>À équilibrer</x:v>
      </x:c>
      <x:c r="J760" s="115" t="str">
        <x:v>Non</x:v>
      </x:c>
      <x:c r="K760" s="115" t="str">
        <x:v>Pièces décrites, murs, portes, niveaux et mobilier inspectables à l’échelle. Volumes réservés, raccord au seed, butin, rencontres et services de campagne restent à terminer.</x:v>
      </x:c>
    </x:row>
    <x:row r="761" ht="96" customHeight="1">
      <x:c r="A761" s="115" t="str">
        <x:v>EXT-MONDE-T016-V06</x:v>
      </x:c>
      <x:c r="B761" s="115" t="str">
        <x:v>EXT-MONDE-T016</x:v>
      </x:c>
      <x:c r="C761" s="115" t="str">
        <x:v>Ports</x:v>
      </x:c>
      <x:c r="D761" s="115" t="str">
        <x:v>Terminal ferry</x:v>
      </x:c>
      <x:c r="E761" s="115" t="n">
        <x:v>6</x:v>
      </x:c>
      <x:c r="F761" s="115" t="str">
        <x:v>Inspection physique</x:v>
      </x:c>
      <x:c r="G761" s="115" t="str">
        <x:v>1 niveaux ; 32 pièces ; 248 segments de mur ; 0 transitions. Inspection physique ; architecture complète encore ouverte.</x:v>
      </x:c>
      <x:c r="H761" s="115" t="str">
        <x:v>L 364 ; l 484 ; hauteur 5 m ; choix de composition auteur ; dimensions réelles à documenter</x:v>
      </x:c>
      <x:c r="I761" s="115" t="str">
        <x:v>À équilibrer</x:v>
      </x:c>
      <x:c r="J761" s="115" t="str">
        <x:v>Non</x:v>
      </x:c>
      <x:c r="K761" s="115" t="str">
        <x:v>Pièces décrites, murs, portes, niveaux et mobilier inspectables à l’échelle. Volumes réservés, raccord au seed, butin, rencontres et services de campagne restent à terminer.</x:v>
      </x:c>
    </x:row>
    <x:row r="762" ht="96" customHeight="1">
      <x:c r="A762" s="115" t="str">
        <x:v>EXT-MONDE-T016-V07</x:v>
      </x:c>
      <x:c r="B762" s="115" t="str">
        <x:v>EXT-MONDE-T016</x:v>
      </x:c>
      <x:c r="C762" s="115" t="str">
        <x:v>Ports</x:v>
      </x:c>
      <x:c r="D762" s="115" t="str">
        <x:v>Terminal ferry</x:v>
      </x:c>
      <x:c r="E762" s="115" t="n">
        <x:v>7</x:v>
      </x:c>
      <x:c r="F762" s="115" t="str">
        <x:v>Inspection physique</x:v>
      </x:c>
      <x:c r="G762" s="115" t="str">
        <x:v>1 niveaux ; 32 pièces ; 248 segments de mur ; 0 transitions. Inspection physique ; architecture complète encore ouverte.</x:v>
      </x:c>
      <x:c r="H762" s="115" t="str">
        <x:v>L 364 ; l 484 ; hauteur 5 m ; choix de composition auteur ; dimensions réelles à documenter</x:v>
      </x:c>
      <x:c r="I762" s="115" t="str">
        <x:v>À équilibrer</x:v>
      </x:c>
      <x:c r="J762" s="115" t="str">
        <x:v>Non</x:v>
      </x:c>
      <x:c r="K762" s="115" t="str">
        <x:v>Pièces décrites, murs, portes, niveaux et mobilier inspectables à l’échelle. Volumes réservés, raccord au seed, butin, rencontres et services de campagne restent à terminer.</x:v>
      </x:c>
    </x:row>
    <x:row r="763" ht="96" customHeight="1">
      <x:c r="A763" s="115" t="str">
        <x:v>EXT-MONDE-T016-V08</x:v>
      </x:c>
      <x:c r="B763" s="115" t="str">
        <x:v>EXT-MONDE-T016</x:v>
      </x:c>
      <x:c r="C763" s="115" t="str">
        <x:v>Ports</x:v>
      </x:c>
      <x:c r="D763" s="115" t="str">
        <x:v>Terminal ferry</x:v>
      </x:c>
      <x:c r="E763" s="115" t="n">
        <x:v>8</x:v>
      </x:c>
      <x:c r="F763" s="115" t="str">
        <x:v>Inspection physique</x:v>
      </x:c>
      <x:c r="G763" s="115" t="str">
        <x:v>1 niveaux ; 32 pièces ; 248 segments de mur ; 0 transitions. Inspection physique ; architecture complète encore ouverte.</x:v>
      </x:c>
      <x:c r="H763" s="115" t="str">
        <x:v>L 364 ; l 484 ; hauteur 5 m ; choix de composition auteur ; dimensions réelles à documenter</x:v>
      </x:c>
      <x:c r="I763" s="115" t="str">
        <x:v>À équilibrer</x:v>
      </x:c>
      <x:c r="J763" s="115" t="str">
        <x:v>Non</x:v>
      </x:c>
      <x:c r="K763" s="115" t="str">
        <x:v>Pièces décrites, murs, portes, niveaux et mobilier inspectables à l’échelle. Volumes réservés, raccord au seed, butin, rencontres et services de campagne restent à terminer.</x:v>
      </x:c>
    </x:row>
    <x:row r="764" ht="96" customHeight="1">
      <x:c r="A764" s="115" t="str">
        <x:v>EXT-MONDE-T016-V09</x:v>
      </x:c>
      <x:c r="B764" s="115" t="str">
        <x:v>EXT-MONDE-T016</x:v>
      </x:c>
      <x:c r="C764" s="115" t="str">
        <x:v>Ports</x:v>
      </x:c>
      <x:c r="D764" s="115" t="str">
        <x:v>Terminal ferry</x:v>
      </x:c>
      <x:c r="E764" s="115" t="n">
        <x:v>9</x:v>
      </x:c>
      <x:c r="F764" s="115" t="str">
        <x:v>Inspection physique</x:v>
      </x:c>
      <x:c r="G764" s="115" t="str">
        <x:v>1 niveaux ; 32 pièces ; 248 segments de mur ; 0 transitions. Inspection physique ; architecture complète encore ouverte.</x:v>
      </x:c>
      <x:c r="H764" s="115" t="str">
        <x:v>L 364 ; l 484 ; hauteur 5 m ; choix de composition auteur ; dimensions réelles à documenter</x:v>
      </x:c>
      <x:c r="I764" s="115" t="str">
        <x:v>À équilibrer</x:v>
      </x:c>
      <x:c r="J764" s="115" t="str">
        <x:v>Non</x:v>
      </x:c>
      <x:c r="K764" s="115" t="str">
        <x:v>Pièces décrites, murs, portes, niveaux et mobilier inspectables à l’échelle. Volumes réservés, raccord au seed, butin, rencontres et services de campagne restent à terminer.</x:v>
      </x:c>
    </x:row>
    <x:row r="765" ht="96" customHeight="1">
      <x:c r="A765" s="115" t="str">
        <x:v>EXT-MONDE-T016-V10</x:v>
      </x:c>
      <x:c r="B765" s="115" t="str">
        <x:v>EXT-MONDE-T016</x:v>
      </x:c>
      <x:c r="C765" s="115" t="str">
        <x:v>Ports</x:v>
      </x:c>
      <x:c r="D765" s="115" t="str">
        <x:v>Terminal ferry</x:v>
      </x:c>
      <x:c r="E765" s="115" t="n">
        <x:v>10</x:v>
      </x:c>
      <x:c r="F765" s="115" t="str">
        <x:v>Inspection physique</x:v>
      </x:c>
      <x:c r="G765" s="115" t="str">
        <x:v>1 niveaux ; 32 pièces ; 248 segments de mur ; 0 transitions. Inspection physique ; architecture complète encore ouverte.</x:v>
      </x:c>
      <x:c r="H765" s="115" t="str">
        <x:v>L 364 ; l 484 ; hauteur 5 m ; choix de composition auteur ; dimensions réelles à documenter</x:v>
      </x:c>
      <x:c r="I765" s="115" t="str">
        <x:v>À équilibrer</x:v>
      </x:c>
      <x:c r="J765" s="115" t="str">
        <x:v>Non</x:v>
      </x:c>
      <x:c r="K765" s="115" t="str">
        <x:v>Pièces décrites, murs, portes, niveaux et mobilier inspectables à l’échelle. Volumes réservés, raccord au seed, butin, rencontres et services de campagne restent à terminer.</x:v>
      </x:c>
    </x:row>
    <x:row r="766" ht="96" customHeight="1">
      <x:c r="A766" s="115" t="str">
        <x:v>EXT-MONDE-T016-V11</x:v>
      </x:c>
      <x:c r="B766" s="115" t="str">
        <x:v>EXT-MONDE-T016</x:v>
      </x:c>
      <x:c r="C766" s="115" t="str">
        <x:v>Ports</x:v>
      </x:c>
      <x:c r="D766" s="115" t="str">
        <x:v>Terminal ferry</x:v>
      </x:c>
      <x:c r="E766" s="115" t="n">
        <x:v>11</x:v>
      </x:c>
      <x:c r="F766" s="115" t="str">
        <x:v>Inspection physique</x:v>
      </x:c>
      <x:c r="G766" s="115" t="str">
        <x:v>1 niveaux ; 32 pièces ; 248 segments de mur ; 0 transitions. Inspection physique ; architecture complète encore ouverte.</x:v>
      </x:c>
      <x:c r="H766" s="115" t="str">
        <x:v>L 378 ; l 496 ; hauteur 5 m ; choix de composition auteur ; dimensions réelles à documenter</x:v>
      </x:c>
      <x:c r="I766" s="115" t="str">
        <x:v>À équilibrer</x:v>
      </x:c>
      <x:c r="J766" s="115" t="str">
        <x:v>Non</x:v>
      </x:c>
      <x:c r="K766" s="115" t="str">
        <x:v>Pièces décrites, murs, portes, niveaux et mobilier inspectables à l’échelle. Volumes réservés, raccord au seed, butin, rencontres et services de campagne restent à terminer.</x:v>
      </x:c>
    </x:row>
    <x:row r="767" ht="96" customHeight="1">
      <x:c r="A767" s="115" t="str">
        <x:v>EXT-MONDE-T016-V12</x:v>
      </x:c>
      <x:c r="B767" s="115" t="str">
        <x:v>EXT-MONDE-T016</x:v>
      </x:c>
      <x:c r="C767" s="115" t="str">
        <x:v>Ports</x:v>
      </x:c>
      <x:c r="D767" s="115" t="str">
        <x:v>Terminal ferry</x:v>
      </x:c>
      <x:c r="E767" s="115" t="n">
        <x:v>12</x:v>
      </x:c>
      <x:c r="F767" s="115" t="str">
        <x:v>Inspection physique</x:v>
      </x:c>
      <x:c r="G767" s="115" t="str">
        <x:v>1 niveaux ; 32 pièces ; 248 segments de mur ; 0 transitions. Inspection physique ; architecture complète encore ouverte.</x:v>
      </x:c>
      <x:c r="H767" s="115" t="str">
        <x:v>L 378 ; l 496 ; hauteur 5 m ; choix de composition auteur ; dimensions réelles à documenter</x:v>
      </x:c>
      <x:c r="I767" s="115" t="str">
        <x:v>À équilibrer</x:v>
      </x:c>
      <x:c r="J767" s="115" t="str">
        <x:v>Non</x:v>
      </x:c>
      <x:c r="K767" s="115" t="str">
        <x:v>Pièces décrites, murs, portes, niveaux et mobilier inspectables à l’échelle. Volumes réservés, raccord au seed, butin, rencontres et services de campagne restent à terminer.</x:v>
      </x:c>
    </x:row>
    <x:row r="768" ht="96" customHeight="1">
      <x:c r="A768" s="115" t="str">
        <x:v>EXT-MONDE-T016-V13</x:v>
      </x:c>
      <x:c r="B768" s="115" t="str">
        <x:v>EXT-MONDE-T016</x:v>
      </x:c>
      <x:c r="C768" s="115" t="str">
        <x:v>Ports</x:v>
      </x:c>
      <x:c r="D768" s="115" t="str">
        <x:v>Terminal ferry</x:v>
      </x:c>
      <x:c r="E768" s="115" t="n">
        <x:v>13</x:v>
      </x:c>
      <x:c r="F768" s="115" t="str">
        <x:v>Inspection physique</x:v>
      </x:c>
      <x:c r="G768" s="115" t="str">
        <x:v>1 niveaux ; 32 pièces ; 248 segments de mur ; 0 transitions. Inspection physique ; architecture complète encore ouverte.</x:v>
      </x:c>
      <x:c r="H768" s="115" t="str">
        <x:v>L 378 ; l 496 ; hauteur 5 m ; choix de composition auteur ; dimensions réelles à documenter</x:v>
      </x:c>
      <x:c r="I768" s="115" t="str">
        <x:v>À équilibrer</x:v>
      </x:c>
      <x:c r="J768" s="115" t="str">
        <x:v>Non</x:v>
      </x:c>
      <x:c r="K768" s="115" t="str">
        <x:v>Pièces décrites, murs, portes, niveaux et mobilier inspectables à l’échelle. Volumes réservés, raccord au seed, butin, rencontres et services de campagne restent à terminer.</x:v>
      </x:c>
    </x:row>
    <x:row r="769" ht="96" customHeight="1">
      <x:c r="A769" s="115" t="str">
        <x:v>EXT-MONDE-T016-V14</x:v>
      </x:c>
      <x:c r="B769" s="115" t="str">
        <x:v>EXT-MONDE-T016</x:v>
      </x:c>
      <x:c r="C769" s="115" t="str">
        <x:v>Ports</x:v>
      </x:c>
      <x:c r="D769" s="115" t="str">
        <x:v>Terminal ferry</x:v>
      </x:c>
      <x:c r="E769" s="115" t="n">
        <x:v>14</x:v>
      </x:c>
      <x:c r="F769" s="115" t="str">
        <x:v>Inspection physique</x:v>
      </x:c>
      <x:c r="G769" s="115" t="str">
        <x:v>1 niveaux ; 32 pièces ; 248 segments de mur ; 0 transitions. Inspection physique ; architecture complète encore ouverte.</x:v>
      </x:c>
      <x:c r="H769" s="115" t="str">
        <x:v>L 378 ; l 496 ; hauteur 5 m ; choix de composition auteur ; dimensions réelles à documenter</x:v>
      </x:c>
      <x:c r="I769" s="115" t="str">
        <x:v>À équilibrer</x:v>
      </x:c>
      <x:c r="J769" s="115" t="str">
        <x:v>Non</x:v>
      </x:c>
      <x:c r="K769" s="115" t="str">
        <x:v>Pièces décrites, murs, portes, niveaux et mobilier inspectables à l’échelle. Volumes réservés, raccord au seed, butin, rencontres et services de campagne restent à terminer.</x:v>
      </x:c>
    </x:row>
    <x:row r="770" ht="96" customHeight="1">
      <x:c r="A770" s="115" t="str">
        <x:v>EXT-MONDE-T016-V15</x:v>
      </x:c>
      <x:c r="B770" s="115" t="str">
        <x:v>EXT-MONDE-T016</x:v>
      </x:c>
      <x:c r="C770" s="115" t="str">
        <x:v>Ports</x:v>
      </x:c>
      <x:c r="D770" s="115" t="str">
        <x:v>Terminal ferry</x:v>
      </x:c>
      <x:c r="E770" s="115" t="n">
        <x:v>15</x:v>
      </x:c>
      <x:c r="F770" s="115" t="str">
        <x:v>Inspection physique</x:v>
      </x:c>
      <x:c r="G770" s="115" t="str">
        <x:v>1 niveaux ; 32 pièces ; 248 segments de mur ; 0 transitions. Inspection physique ; architecture complète encore ouverte.</x:v>
      </x:c>
      <x:c r="H770" s="115" t="str">
        <x:v>L 378 ; l 496 ; hauteur 5 m ; choix de composition auteur ; dimensions réelles à documenter</x:v>
      </x:c>
      <x:c r="I770" s="115" t="str">
        <x:v>À équilibrer</x:v>
      </x:c>
      <x:c r="J770" s="115" t="str">
        <x:v>Non</x:v>
      </x:c>
      <x:c r="K770" s="115" t="str">
        <x:v>Pièces décrites, murs, portes, niveaux et mobilier inspectables à l’échelle. Volumes réservés, raccord au seed, butin, rencontres et services de campagne restent à terminer.</x:v>
      </x:c>
    </x:row>
    <x:row r="771" ht="96" customHeight="1">
      <x:c r="A771" s="115" t="str">
        <x:v>EXT-MONDE-T016-V16</x:v>
      </x:c>
      <x:c r="B771" s="115" t="str">
        <x:v>EXT-MONDE-T016</x:v>
      </x:c>
      <x:c r="C771" s="115" t="str">
        <x:v>Ports</x:v>
      </x:c>
      <x:c r="D771" s="115" t="str">
        <x:v>Terminal ferry</x:v>
      </x:c>
      <x:c r="E771" s="115" t="n">
        <x:v>16</x:v>
      </x:c>
      <x:c r="F771" s="115" t="str">
        <x:v>Inspection physique</x:v>
      </x:c>
      <x:c r="G771" s="115" t="str">
        <x:v>1 niveaux ; 32 pièces ; 248 segments de mur ; 0 transitions. Inspection physique ; architecture complète encore ouverte.</x:v>
      </x:c>
      <x:c r="H771" s="115" t="str">
        <x:v>L 378 ; l 496 ; hauteur 5 m ; choix de composition auteur ; dimensions réelles à documenter</x:v>
      </x:c>
      <x:c r="I771" s="115" t="str">
        <x:v>À équilibrer</x:v>
      </x:c>
      <x:c r="J771" s="115" t="str">
        <x:v>Non</x:v>
      </x:c>
      <x:c r="K771" s="115" t="str">
        <x:v>Pièces décrites, murs, portes, niveaux et mobilier inspectables à l’échelle. Volumes réservés, raccord au seed, butin, rencontres et services de campagne restent à terminer.</x:v>
      </x:c>
    </x:row>
    <x:row r="772" ht="96" customHeight="1">
      <x:c r="A772" s="115" t="str">
        <x:v>EXT-MONDE-T016-V17</x:v>
      </x:c>
      <x:c r="B772" s="115" t="str">
        <x:v>EXT-MONDE-T016</x:v>
      </x:c>
      <x:c r="C772" s="115" t="str">
        <x:v>Ports</x:v>
      </x:c>
      <x:c r="D772" s="115" t="str">
        <x:v>Terminal ferry</x:v>
      </x:c>
      <x:c r="E772" s="115" t="n">
        <x:v>17</x:v>
      </x:c>
      <x:c r="F772" s="115" t="str">
        <x:v>Inspection physique</x:v>
      </x:c>
      <x:c r="G772" s="115" t="str">
        <x:v>1 niveaux ; 32 pièces ; 248 segments de mur ; 0 transitions. Inspection physique ; architecture complète encore ouverte.</x:v>
      </x:c>
      <x:c r="H772" s="115" t="str">
        <x:v>L 378 ; l 496 ; hauteur 5 m ; choix de composition auteur ; dimensions réelles à documenter</x:v>
      </x:c>
      <x:c r="I772" s="115" t="str">
        <x:v>À équilibrer</x:v>
      </x:c>
      <x:c r="J772" s="115" t="str">
        <x:v>Non</x:v>
      </x:c>
      <x:c r="K772" s="115" t="str">
        <x:v>Pièces décrites, murs, portes, niveaux et mobilier inspectables à l’échelle. Volumes réservés, raccord au seed, butin, rencontres et services de campagne restent à terminer.</x:v>
      </x:c>
    </x:row>
    <x:row r="773" ht="96" customHeight="1">
      <x:c r="A773" s="115" t="str">
        <x:v>EXT-MONDE-T016-V18</x:v>
      </x:c>
      <x:c r="B773" s="115" t="str">
        <x:v>EXT-MONDE-T016</x:v>
      </x:c>
      <x:c r="C773" s="115" t="str">
        <x:v>Ports</x:v>
      </x:c>
      <x:c r="D773" s="115" t="str">
        <x:v>Terminal ferry</x:v>
      </x:c>
      <x:c r="E773" s="115" t="n">
        <x:v>18</x:v>
      </x:c>
      <x:c r="F773" s="115" t="str">
        <x:v>Inspection physique</x:v>
      </x:c>
      <x:c r="G773" s="115" t="str">
        <x:v>1 niveaux ; 32 pièces ; 248 segments de mur ; 0 transitions. Inspection physique ; architecture complète encore ouverte.</x:v>
      </x:c>
      <x:c r="H773" s="115" t="str">
        <x:v>L 378 ; l 496 ; hauteur 5 m ; choix de composition auteur ; dimensions réelles à documenter</x:v>
      </x:c>
      <x:c r="I773" s="115" t="str">
        <x:v>À équilibrer</x:v>
      </x:c>
      <x:c r="J773" s="115" t="str">
        <x:v>Non</x:v>
      </x:c>
      <x:c r="K773" s="115" t="str">
        <x:v>Pièces décrites, murs, portes, niveaux et mobilier inspectables à l’échelle. Volumes réservés, raccord au seed, butin, rencontres et services de campagne restent à terminer.</x:v>
      </x:c>
    </x:row>
    <x:row r="774" ht="96" customHeight="1">
      <x:c r="A774" s="115" t="str">
        <x:v>EXT-MONDE-T016-V19</x:v>
      </x:c>
      <x:c r="B774" s="115" t="str">
        <x:v>EXT-MONDE-T016</x:v>
      </x:c>
      <x:c r="C774" s="115" t="str">
        <x:v>Ports</x:v>
      </x:c>
      <x:c r="D774" s="115" t="str">
        <x:v>Terminal ferry</x:v>
      </x:c>
      <x:c r="E774" s="115" t="n">
        <x:v>19</x:v>
      </x:c>
      <x:c r="F774" s="115" t="str">
        <x:v>Inspection physique</x:v>
      </x:c>
      <x:c r="G774" s="115" t="str">
        <x:v>1 niveaux ; 32 pièces ; 248 segments de mur ; 0 transitions. Inspection physique ; architecture complète encore ouverte.</x:v>
      </x:c>
      <x:c r="H774" s="115" t="str">
        <x:v>L 378 ; l 496 ; hauteur 5 m ; choix de composition auteur ; dimensions réelles à documenter</x:v>
      </x:c>
      <x:c r="I774" s="115" t="str">
        <x:v>À équilibrer</x:v>
      </x:c>
      <x:c r="J774" s="115" t="str">
        <x:v>Non</x:v>
      </x:c>
      <x:c r="K774" s="115" t="str">
        <x:v>Pièces décrites, murs, portes, niveaux et mobilier inspectables à l’échelle. Volumes réservés, raccord au seed, butin, rencontres et services de campagne restent à terminer.</x:v>
      </x:c>
    </x:row>
    <x:row r="775" ht="96" customHeight="1">
      <x:c r="A775" s="115" t="str">
        <x:v>EXT-MONDE-T016-V20</x:v>
      </x:c>
      <x:c r="B775" s="115" t="str">
        <x:v>EXT-MONDE-T016</x:v>
      </x:c>
      <x:c r="C775" s="115" t="str">
        <x:v>Ports</x:v>
      </x:c>
      <x:c r="D775" s="115" t="str">
        <x:v>Terminal ferry</x:v>
      </x:c>
      <x:c r="E775" s="115" t="n">
        <x:v>20</x:v>
      </x:c>
      <x:c r="F775" s="115" t="str">
        <x:v>Inspection physique</x:v>
      </x:c>
      <x:c r="G775" s="115" t="str">
        <x:v>1 niveaux ; 32 pièces ; 248 segments de mur ; 0 transitions. Inspection physique ; architecture complète encore ouverte.</x:v>
      </x:c>
      <x:c r="H775" s="115" t="str">
        <x:v>L 378 ; l 496 ; hauteur 5 m ; choix de composition auteur ; dimensions réelles à documenter</x:v>
      </x:c>
      <x:c r="I775" s="115" t="str">
        <x:v>À équilibrer</x:v>
      </x:c>
      <x:c r="J775" s="115" t="str">
        <x:v>Non</x:v>
      </x:c>
      <x:c r="K775" s="115" t="str">
        <x:v>Pièces décrites, murs, portes, niveaux et mobilier inspectables à l’échelle. Volumes réservés, raccord au seed, butin, rencontres et services de campagne restent à terminer.</x:v>
      </x:c>
    </x:row>
    <x:row r="776" ht="96" customHeight="1">
      <x:c r="A776" s="115" t="str">
        <x:v>EXT-MONDE-T016-V21</x:v>
      </x:c>
      <x:c r="B776" s="115" t="str">
        <x:v>EXT-MONDE-T016</x:v>
      </x:c>
      <x:c r="C776" s="115" t="str">
        <x:v>Ports</x:v>
      </x:c>
      <x:c r="D776" s="115" t="str">
        <x:v>Terminal ferry</x:v>
      </x:c>
      <x:c r="E776" s="115" t="n">
        <x:v>21</x:v>
      </x:c>
      <x:c r="F776" s="115" t="str">
        <x:v>Inspection physique</x:v>
      </x:c>
      <x:c r="G776" s="115" t="str">
        <x:v>1 niveaux ; 32 pièces ; 248 segments de mur ; 0 transitions. Inspection physique ; architecture complète encore ouverte.</x:v>
      </x:c>
      <x:c r="H776" s="115" t="str">
        <x:v>L 392 ; l 508 ; hauteur 5 m ; choix de composition auteur ; dimensions réelles à documenter</x:v>
      </x:c>
      <x:c r="I776" s="115" t="str">
        <x:v>À équilibrer</x:v>
      </x:c>
      <x:c r="J776" s="115" t="str">
        <x:v>Non</x:v>
      </x:c>
      <x:c r="K776" s="115" t="str">
        <x:v>Pièces décrites, murs, portes, niveaux et mobilier inspectables à l’échelle. Volumes réservés, raccord au seed, butin, rencontres et services de campagne restent à terminer.</x:v>
      </x:c>
    </x:row>
    <x:row r="777" ht="96" customHeight="1">
      <x:c r="A777" s="115" t="str">
        <x:v>EXT-MONDE-T016-V22</x:v>
      </x:c>
      <x:c r="B777" s="115" t="str">
        <x:v>EXT-MONDE-T016</x:v>
      </x:c>
      <x:c r="C777" s="115" t="str">
        <x:v>Ports</x:v>
      </x:c>
      <x:c r="D777" s="115" t="str">
        <x:v>Terminal ferry</x:v>
      </x:c>
      <x:c r="E777" s="115" t="n">
        <x:v>22</x:v>
      </x:c>
      <x:c r="F777" s="115" t="str">
        <x:v>Inspection physique</x:v>
      </x:c>
      <x:c r="G777" s="115" t="str">
        <x:v>1 niveaux ; 32 pièces ; 248 segments de mur ; 0 transitions. Inspection physique ; architecture complète encore ouverte.</x:v>
      </x:c>
      <x:c r="H777" s="115" t="str">
        <x:v>L 392 ; l 508 ; hauteur 5 m ; choix de composition auteur ; dimensions réelles à documenter</x:v>
      </x:c>
      <x:c r="I777" s="115" t="str">
        <x:v>À équilibrer</x:v>
      </x:c>
      <x:c r="J777" s="115" t="str">
        <x:v>Non</x:v>
      </x:c>
      <x:c r="K777" s="115" t="str">
        <x:v>Pièces décrites, murs, portes, niveaux et mobilier inspectables à l’échelle. Volumes réservés, raccord au seed, butin, rencontres et services de campagne restent à terminer.</x:v>
      </x:c>
    </x:row>
    <x:row r="778" ht="96" customHeight="1">
      <x:c r="A778" s="115" t="str">
        <x:v>EXT-MONDE-T016-V23</x:v>
      </x:c>
      <x:c r="B778" s="115" t="str">
        <x:v>EXT-MONDE-T016</x:v>
      </x:c>
      <x:c r="C778" s="115" t="str">
        <x:v>Ports</x:v>
      </x:c>
      <x:c r="D778" s="115" t="str">
        <x:v>Terminal ferry</x:v>
      </x:c>
      <x:c r="E778" s="115" t="n">
        <x:v>23</x:v>
      </x:c>
      <x:c r="F778" s="115" t="str">
        <x:v>Inspection physique</x:v>
      </x:c>
      <x:c r="G778" s="115" t="str">
        <x:v>1 niveaux ; 32 pièces ; 248 segments de mur ; 0 transitions. Inspection physique ; architecture complète encore ouverte.</x:v>
      </x:c>
      <x:c r="H778" s="115" t="str">
        <x:v>L 392 ; l 508 ; hauteur 5 m ; choix de composition auteur ; dimensions réelles à documenter</x:v>
      </x:c>
      <x:c r="I778" s="115" t="str">
        <x:v>À équilibrer</x:v>
      </x:c>
      <x:c r="J778" s="115" t="str">
        <x:v>Non</x:v>
      </x:c>
      <x:c r="K778" s="115" t="str">
        <x:v>Pièces décrites, murs, portes, niveaux et mobilier inspectables à l’échelle. Volumes réservés, raccord au seed, butin, rencontres et services de campagne restent à terminer.</x:v>
      </x:c>
    </x:row>
    <x:row r="779" ht="96" customHeight="1">
      <x:c r="A779" s="115" t="str">
        <x:v>EXT-MONDE-T016-V24</x:v>
      </x:c>
      <x:c r="B779" s="115" t="str">
        <x:v>EXT-MONDE-T016</x:v>
      </x:c>
      <x:c r="C779" s="115" t="str">
        <x:v>Ports</x:v>
      </x:c>
      <x:c r="D779" s="115" t="str">
        <x:v>Terminal ferry</x:v>
      </x:c>
      <x:c r="E779" s="115" t="n">
        <x:v>24</x:v>
      </x:c>
      <x:c r="F779" s="115" t="str">
        <x:v>Inspection physique</x:v>
      </x:c>
      <x:c r="G779" s="115" t="str">
        <x:v>1 niveaux ; 32 pièces ; 248 segments de mur ; 0 transitions. Inspection physique ; architecture complète encore ouverte.</x:v>
      </x:c>
      <x:c r="H779" s="115" t="str">
        <x:v>L 392 ; l 508 ; hauteur 5 m ; choix de composition auteur ; dimensions réelles à documenter</x:v>
      </x:c>
      <x:c r="I779" s="115" t="str">
        <x:v>À équilibrer</x:v>
      </x:c>
      <x:c r="J779" s="115" t="str">
        <x:v>Non</x:v>
      </x:c>
      <x:c r="K779" s="115" t="str">
        <x:v>Pièces décrites, murs, portes, niveaux et mobilier inspectables à l’échelle. Volumes réservés, raccord au seed, butin, rencontres et services de campagne restent à terminer.</x:v>
      </x:c>
    </x:row>
    <x:row r="780" ht="96" customHeight="1">
      <x:c r="A780" s="115" t="str">
        <x:v>EXT-MONDE-T016-V25</x:v>
      </x:c>
      <x:c r="B780" s="115" t="str">
        <x:v>EXT-MONDE-T016</x:v>
      </x:c>
      <x:c r="C780" s="115" t="str">
        <x:v>Ports</x:v>
      </x:c>
      <x:c r="D780" s="115" t="str">
        <x:v>Terminal ferry</x:v>
      </x:c>
      <x:c r="E780" s="115" t="n">
        <x:v>25</x:v>
      </x:c>
      <x:c r="F780" s="115" t="str">
        <x:v>Inspection physique</x:v>
      </x:c>
      <x:c r="G780" s="115" t="str">
        <x:v>1 niveaux ; 32 pièces ; 248 segments de mur ; 0 transitions. Inspection physique ; architecture complète encore ouverte.</x:v>
      </x:c>
      <x:c r="H780" s="115" t="str">
        <x:v>L 392 ; l 508 ; hauteur 5 m ; choix de composition auteur ; dimensions réelles à documenter</x:v>
      </x:c>
      <x:c r="I780" s="115" t="str">
        <x:v>À équilibrer</x:v>
      </x:c>
      <x:c r="J780" s="115" t="str">
        <x:v>Non</x:v>
      </x:c>
      <x:c r="K780" s="115" t="str">
        <x:v>Pièces décrites, murs, portes, niveaux et mobilier inspectables à l’échelle. Volumes réservés, raccord au seed, butin, rencontres et services de campagne restent à terminer.</x:v>
      </x:c>
    </x:row>
    <x:row r="781" ht="96" customHeight="1">
      <x:c r="A781" s="115" t="str">
        <x:v>EXT-MONDE-T016-V26</x:v>
      </x:c>
      <x:c r="B781" s="115" t="str">
        <x:v>EXT-MONDE-T016</x:v>
      </x:c>
      <x:c r="C781" s="115" t="str">
        <x:v>Ports</x:v>
      </x:c>
      <x:c r="D781" s="115" t="str">
        <x:v>Terminal ferry</x:v>
      </x:c>
      <x:c r="E781" s="115" t="n">
        <x:v>26</x:v>
      </x:c>
      <x:c r="F781" s="115" t="str">
        <x:v>Inspection physique</x:v>
      </x:c>
      <x:c r="G781" s="115" t="str">
        <x:v>1 niveaux ; 32 pièces ; 248 segments de mur ; 0 transitions. Inspection physique ; architecture complète encore ouverte.</x:v>
      </x:c>
      <x:c r="H781" s="115" t="str">
        <x:v>L 392 ; l 508 ; hauteur 5 m ; choix de composition auteur ; dimensions réelles à documenter</x:v>
      </x:c>
      <x:c r="I781" s="115" t="str">
        <x:v>À équilibrer</x:v>
      </x:c>
      <x:c r="J781" s="115" t="str">
        <x:v>Non</x:v>
      </x:c>
      <x:c r="K781" s="115" t="str">
        <x:v>Pièces décrites, murs, portes, niveaux et mobilier inspectables à l’échelle. Volumes réservés, raccord au seed, butin, rencontres et services de campagne restent à terminer.</x:v>
      </x:c>
    </x:row>
    <x:row r="782" ht="96" customHeight="1">
      <x:c r="A782" s="115" t="str">
        <x:v>EXT-MONDE-T016-V27</x:v>
      </x:c>
      <x:c r="B782" s="115" t="str">
        <x:v>EXT-MONDE-T016</x:v>
      </x:c>
      <x:c r="C782" s="115" t="str">
        <x:v>Ports</x:v>
      </x:c>
      <x:c r="D782" s="115" t="str">
        <x:v>Terminal ferry</x:v>
      </x:c>
      <x:c r="E782" s="115" t="n">
        <x:v>27</x:v>
      </x:c>
      <x:c r="F782" s="115" t="str">
        <x:v>Inspection physique</x:v>
      </x:c>
      <x:c r="G782" s="115" t="str">
        <x:v>1 niveaux ; 32 pièces ; 248 segments de mur ; 0 transitions. Inspection physique ; architecture complète encore ouverte.</x:v>
      </x:c>
      <x:c r="H782" s="115" t="str">
        <x:v>L 392 ; l 508 ; hauteur 5 m ; choix de composition auteur ; dimensions réelles à documenter</x:v>
      </x:c>
      <x:c r="I782" s="115" t="str">
        <x:v>À équilibrer</x:v>
      </x:c>
      <x:c r="J782" s="115" t="str">
        <x:v>Non</x:v>
      </x:c>
      <x:c r="K782" s="115" t="str">
        <x:v>Pièces décrites, murs, portes, niveaux et mobilier inspectables à l’échelle. Volumes réservés, raccord au seed, butin, rencontres et services de campagne restent à terminer.</x:v>
      </x:c>
    </x:row>
    <x:row r="783" ht="96" customHeight="1">
      <x:c r="A783" s="115" t="str">
        <x:v>EXT-MONDE-T016-V28</x:v>
      </x:c>
      <x:c r="B783" s="115" t="str">
        <x:v>EXT-MONDE-T016</x:v>
      </x:c>
      <x:c r="C783" s="115" t="str">
        <x:v>Ports</x:v>
      </x:c>
      <x:c r="D783" s="115" t="str">
        <x:v>Terminal ferry</x:v>
      </x:c>
      <x:c r="E783" s="115" t="n">
        <x:v>28</x:v>
      </x:c>
      <x:c r="F783" s="115" t="str">
        <x:v>Inspection physique</x:v>
      </x:c>
      <x:c r="G783" s="115" t="str">
        <x:v>1 niveaux ; 32 pièces ; 248 segments de mur ; 0 transitions. Inspection physique ; architecture complète encore ouverte.</x:v>
      </x:c>
      <x:c r="H783" s="115" t="str">
        <x:v>L 392 ; l 508 ; hauteur 5 m ; choix de composition auteur ; dimensions réelles à documenter</x:v>
      </x:c>
      <x:c r="I783" s="115" t="str">
        <x:v>À équilibrer</x:v>
      </x:c>
      <x:c r="J783" s="115" t="str">
        <x:v>Non</x:v>
      </x:c>
      <x:c r="K783" s="115" t="str">
        <x:v>Pièces décrites, murs, portes, niveaux et mobilier inspectables à l’échelle. Volumes réservés, raccord au seed, butin, rencontres et services de campagne restent à terminer.</x:v>
      </x:c>
    </x:row>
    <x:row r="784" ht="96" customHeight="1">
      <x:c r="A784" s="115" t="str">
        <x:v>EXT-MONDE-T016-V29</x:v>
      </x:c>
      <x:c r="B784" s="115" t="str">
        <x:v>EXT-MONDE-T016</x:v>
      </x:c>
      <x:c r="C784" s="115" t="str">
        <x:v>Ports</x:v>
      </x:c>
      <x:c r="D784" s="115" t="str">
        <x:v>Terminal ferry</x:v>
      </x:c>
      <x:c r="E784" s="115" t="n">
        <x:v>29</x:v>
      </x:c>
      <x:c r="F784" s="115" t="str">
        <x:v>Inspection physique</x:v>
      </x:c>
      <x:c r="G784" s="115" t="str">
        <x:v>1 niveaux ; 32 pièces ; 248 segments de mur ; 0 transitions. Inspection physique ; architecture complète encore ouverte.</x:v>
      </x:c>
      <x:c r="H784" s="115" t="str">
        <x:v>L 392 ; l 508 ; hauteur 5 m ; choix de composition auteur ; dimensions réelles à documenter</x:v>
      </x:c>
      <x:c r="I784" s="115" t="str">
        <x:v>À équilibrer</x:v>
      </x:c>
      <x:c r="J784" s="115" t="str">
        <x:v>Non</x:v>
      </x:c>
      <x:c r="K784" s="115" t="str">
        <x:v>Pièces décrites, murs, portes, niveaux et mobilier inspectables à l’échelle. Volumes réservés, raccord au seed, butin, rencontres et services de campagne restent à terminer.</x:v>
      </x:c>
    </x:row>
    <x:row r="785" ht="96" customHeight="1">
      <x:c r="A785" s="115" t="str">
        <x:v>EXT-MONDE-T016-V30</x:v>
      </x:c>
      <x:c r="B785" s="115" t="str">
        <x:v>EXT-MONDE-T016</x:v>
      </x:c>
      <x:c r="C785" s="115" t="str">
        <x:v>Ports</x:v>
      </x:c>
      <x:c r="D785" s="115" t="str">
        <x:v>Terminal ferry</x:v>
      </x:c>
      <x:c r="E785" s="115" t="n">
        <x:v>30</x:v>
      </x:c>
      <x:c r="F785" s="115" t="str">
        <x:v>Inspection physique</x:v>
      </x:c>
      <x:c r="G785" s="115" t="str">
        <x:v>1 niveaux ; 32 pièces ; 248 segments de mur ; 0 transitions. Inspection physique ; architecture complète encore ouverte.</x:v>
      </x:c>
      <x:c r="H785" s="115" t="str">
        <x:v>L 392 ; l 508 ; hauteur 5 m ; choix de composition auteur ; dimensions réelles à documenter</x:v>
      </x:c>
      <x:c r="I785" s="115" t="str">
        <x:v>À équilibrer</x:v>
      </x:c>
      <x:c r="J785" s="115" t="str">
        <x:v>Non</x:v>
      </x:c>
      <x:c r="K785" s="115" t="str">
        <x:v>Pièces décrites, murs, portes, niveaux et mobilier inspectables à l’échelle. Volumes réservés, raccord au seed, butin, rencontres et services de campagne restent à terminer.</x:v>
      </x:c>
    </x:row>
    <x:row r="786" ht="96" customHeight="1">
      <x:c r="A786" s="115" t="str">
        <x:v>EXT-MONDE-T016-V31</x:v>
      </x:c>
      <x:c r="B786" s="115" t="str">
        <x:v>EXT-MONDE-T016</x:v>
      </x:c>
      <x:c r="C786" s="115" t="str">
        <x:v>Ports</x:v>
      </x:c>
      <x:c r="D786" s="115" t="str">
        <x:v>Terminal ferry</x:v>
      </x:c>
      <x:c r="E786" s="115" t="n">
        <x:v>31</x:v>
      </x:c>
      <x:c r="F786" s="115" t="str">
        <x:v>Inspection physique</x:v>
      </x:c>
      <x:c r="G786" s="115" t="str">
        <x:v>1 niveaux ; 32 pièces ; 248 segments de mur ; 0 transitions. Inspection physique ; architecture complète encore ouverte.</x:v>
      </x:c>
      <x:c r="H786" s="115" t="str">
        <x:v>L 406 ; l 520 ; hauteur 5 m ; choix de composition auteur ; dimensions réelles à documenter</x:v>
      </x:c>
      <x:c r="I786" s="115" t="str">
        <x:v>À équilibrer</x:v>
      </x:c>
      <x:c r="J786" s="115" t="str">
        <x:v>Non</x:v>
      </x:c>
      <x:c r="K786" s="115" t="str">
        <x:v>Pièces décrites, murs, portes, niveaux et mobilier inspectables à l’échelle. Volumes réservés, raccord au seed, butin, rencontres et services de campagne restent à terminer.</x:v>
      </x:c>
    </x:row>
    <x:row r="787" ht="96" customHeight="1">
      <x:c r="A787" s="115" t="str">
        <x:v>EXT-MONDE-T016-V32</x:v>
      </x:c>
      <x:c r="B787" s="115" t="str">
        <x:v>EXT-MONDE-T016</x:v>
      </x:c>
      <x:c r="C787" s="115" t="str">
        <x:v>Ports</x:v>
      </x:c>
      <x:c r="D787" s="115" t="str">
        <x:v>Terminal ferry</x:v>
      </x:c>
      <x:c r="E787" s="115" t="n">
        <x:v>32</x:v>
      </x:c>
      <x:c r="F787" s="115" t="str">
        <x:v>Inspection physique</x:v>
      </x:c>
      <x:c r="G787" s="115" t="str">
        <x:v>1 niveaux ; 32 pièces ; 248 segments de mur ; 0 transitions. Inspection physique ; architecture complète encore ouverte.</x:v>
      </x:c>
      <x:c r="H787" s="115" t="str">
        <x:v>L 406 ; l 520 ; hauteur 5 m ; choix de composition auteur ; dimensions réelles à documenter</x:v>
      </x:c>
      <x:c r="I787" s="115" t="str">
        <x:v>À équilibrer</x:v>
      </x:c>
      <x:c r="J787" s="115" t="str">
        <x:v>Non</x:v>
      </x:c>
      <x:c r="K787" s="115" t="str">
        <x:v>Pièces décrites, murs, portes, niveaux et mobilier inspectables à l’échelle. Volumes réservés, raccord au seed, butin, rencontres et services de campagne restent à terminer.</x:v>
      </x:c>
    </x:row>
    <x:row r="788" ht="96" customHeight="1">
      <x:c r="A788" s="115" t="str">
        <x:v>EXT-MONDE-T016-V33</x:v>
      </x:c>
      <x:c r="B788" s="115" t="str">
        <x:v>EXT-MONDE-T016</x:v>
      </x:c>
      <x:c r="C788" s="115" t="str">
        <x:v>Ports</x:v>
      </x:c>
      <x:c r="D788" s="115" t="str">
        <x:v>Terminal ferry</x:v>
      </x:c>
      <x:c r="E788" s="115" t="n">
        <x:v>33</x:v>
      </x:c>
      <x:c r="F788" s="115" t="str">
        <x:v>Inspection physique</x:v>
      </x:c>
      <x:c r="G788" s="115" t="str">
        <x:v>1 niveaux ; 32 pièces ; 248 segments de mur ; 0 transitions. Inspection physique ; architecture complète encore ouverte.</x:v>
      </x:c>
      <x:c r="H788" s="115" t="str">
        <x:v>L 406 ; l 520 ; hauteur 5 m ; choix de composition auteur ; dimensions réelles à documenter</x:v>
      </x:c>
      <x:c r="I788" s="115" t="str">
        <x:v>À équilibrer</x:v>
      </x:c>
      <x:c r="J788" s="115" t="str">
        <x:v>Non</x:v>
      </x:c>
      <x:c r="K788" s="115" t="str">
        <x:v>Pièces décrites, murs, portes, niveaux et mobilier inspectables à l’échelle. Volumes réservés, raccord au seed, butin, rencontres et services de campagne restent à terminer.</x:v>
      </x:c>
    </x:row>
    <x:row r="789" ht="96" customHeight="1">
      <x:c r="A789" s="115" t="str">
        <x:v>EXT-MONDE-T016-V34</x:v>
      </x:c>
      <x:c r="B789" s="115" t="str">
        <x:v>EXT-MONDE-T016</x:v>
      </x:c>
      <x:c r="C789" s="115" t="str">
        <x:v>Ports</x:v>
      </x:c>
      <x:c r="D789" s="115" t="str">
        <x:v>Terminal ferry</x:v>
      </x:c>
      <x:c r="E789" s="115" t="n">
        <x:v>34</x:v>
      </x:c>
      <x:c r="F789" s="115" t="str">
        <x:v>Inspection physique</x:v>
      </x:c>
      <x:c r="G789" s="115" t="str">
        <x:v>1 niveaux ; 32 pièces ; 248 segments de mur ; 0 transitions. Inspection physique ; architecture complète encore ouverte.</x:v>
      </x:c>
      <x:c r="H789" s="115" t="str">
        <x:v>L 406 ; l 520 ; hauteur 5 m ; choix de composition auteur ; dimensions réelles à documenter</x:v>
      </x:c>
      <x:c r="I789" s="115" t="str">
        <x:v>À équilibrer</x:v>
      </x:c>
      <x:c r="J789" s="115" t="str">
        <x:v>Non</x:v>
      </x:c>
      <x:c r="K789" s="115" t="str">
        <x:v>Pièces décrites, murs, portes, niveaux et mobilier inspectables à l’échelle. Volumes réservés, raccord au seed, butin, rencontres et services de campagne restent à terminer.</x:v>
      </x:c>
    </x:row>
    <x:row r="790" ht="96" customHeight="1">
      <x:c r="A790" s="115" t="str">
        <x:v>EXT-MONDE-T016-V35</x:v>
      </x:c>
      <x:c r="B790" s="115" t="str">
        <x:v>EXT-MONDE-T016</x:v>
      </x:c>
      <x:c r="C790" s="115" t="str">
        <x:v>Ports</x:v>
      </x:c>
      <x:c r="D790" s="115" t="str">
        <x:v>Terminal ferry</x:v>
      </x:c>
      <x:c r="E790" s="115" t="n">
        <x:v>35</x:v>
      </x:c>
      <x:c r="F790" s="115" t="str">
        <x:v>Inspection physique</x:v>
      </x:c>
      <x:c r="G790" s="115" t="str">
        <x:v>1 niveaux ; 32 pièces ; 248 segments de mur ; 0 transitions. Inspection physique ; architecture complète encore ouverte.</x:v>
      </x:c>
      <x:c r="H790" s="115" t="str">
        <x:v>L 406 ; l 520 ; hauteur 5 m ; choix de composition auteur ; dimensions réelles à documenter</x:v>
      </x:c>
      <x:c r="I790" s="115" t="str">
        <x:v>À équilibrer</x:v>
      </x:c>
      <x:c r="J790" s="115" t="str">
        <x:v>Non</x:v>
      </x:c>
      <x:c r="K790" s="115" t="str">
        <x:v>Pièces décrites, murs, portes, niveaux et mobilier inspectables à l’échelle. Volumes réservés, raccord au seed, butin, rencontres et services de campagne restent à terminer.</x:v>
      </x:c>
    </x:row>
    <x:row r="791" ht="96" customHeight="1">
      <x:c r="A791" s="115" t="str">
        <x:v>EXT-MONDE-T016-V36</x:v>
      </x:c>
      <x:c r="B791" s="115" t="str">
        <x:v>EXT-MONDE-T016</x:v>
      </x:c>
      <x:c r="C791" s="115" t="str">
        <x:v>Ports</x:v>
      </x:c>
      <x:c r="D791" s="115" t="str">
        <x:v>Terminal ferry</x:v>
      </x:c>
      <x:c r="E791" s="115" t="n">
        <x:v>36</x:v>
      </x:c>
      <x:c r="F791" s="115" t="str">
        <x:v>Inspection physique</x:v>
      </x:c>
      <x:c r="G791" s="115" t="str">
        <x:v>1 niveaux ; 32 pièces ; 248 segments de mur ; 0 transitions. Inspection physique ; architecture complète encore ouverte.</x:v>
      </x:c>
      <x:c r="H791" s="115" t="str">
        <x:v>L 406 ; l 520 ; hauteur 5 m ; choix de composition auteur ; dimensions réelles à documenter</x:v>
      </x:c>
      <x:c r="I791" s="115" t="str">
        <x:v>À équilibrer</x:v>
      </x:c>
      <x:c r="J791" s="115" t="str">
        <x:v>Non</x:v>
      </x:c>
      <x:c r="K791" s="115" t="str">
        <x:v>Pièces décrites, murs, portes, niveaux et mobilier inspectables à l’échelle. Volumes réservés, raccord au seed, butin, rencontres et services de campagne restent à terminer.</x:v>
      </x:c>
    </x:row>
    <x:row r="792" ht="96" customHeight="1">
      <x:c r="A792" s="115" t="str">
        <x:v>EXT-MONDE-T016-V37</x:v>
      </x:c>
      <x:c r="B792" s="115" t="str">
        <x:v>EXT-MONDE-T016</x:v>
      </x:c>
      <x:c r="C792" s="115" t="str">
        <x:v>Ports</x:v>
      </x:c>
      <x:c r="D792" s="115" t="str">
        <x:v>Terminal ferry</x:v>
      </x:c>
      <x:c r="E792" s="115" t="n">
        <x:v>37</x:v>
      </x:c>
      <x:c r="F792" s="115" t="str">
        <x:v>Inspection physique</x:v>
      </x:c>
      <x:c r="G792" s="115" t="str">
        <x:v>1 niveaux ; 32 pièces ; 248 segments de mur ; 0 transitions. Inspection physique ; architecture complète encore ouverte.</x:v>
      </x:c>
      <x:c r="H792" s="115" t="str">
        <x:v>L 406 ; l 520 ; hauteur 5 m ; choix de composition auteur ; dimensions réelles à documenter</x:v>
      </x:c>
      <x:c r="I792" s="115" t="str">
        <x:v>À équilibrer</x:v>
      </x:c>
      <x:c r="J792" s="115" t="str">
        <x:v>Non</x:v>
      </x:c>
      <x:c r="K792" s="115" t="str">
        <x:v>Pièces décrites, murs, portes, niveaux et mobilier inspectables à l’échelle. Volumes réservés, raccord au seed, butin, rencontres et services de campagne restent à terminer.</x:v>
      </x:c>
    </x:row>
    <x:row r="793" ht="96" customHeight="1">
      <x:c r="A793" s="115" t="str">
        <x:v>EXT-MONDE-T016-V38</x:v>
      </x:c>
      <x:c r="B793" s="115" t="str">
        <x:v>EXT-MONDE-T016</x:v>
      </x:c>
      <x:c r="C793" s="115" t="str">
        <x:v>Ports</x:v>
      </x:c>
      <x:c r="D793" s="115" t="str">
        <x:v>Terminal ferry</x:v>
      </x:c>
      <x:c r="E793" s="115" t="n">
        <x:v>38</x:v>
      </x:c>
      <x:c r="F793" s="115" t="str">
        <x:v>Inspection physique</x:v>
      </x:c>
      <x:c r="G793" s="115" t="str">
        <x:v>1 niveaux ; 32 pièces ; 248 segments de mur ; 0 transitions. Inspection physique ; architecture complète encore ouverte.</x:v>
      </x:c>
      <x:c r="H793" s="115" t="str">
        <x:v>L 406 ; l 520 ; hauteur 5 m ; choix de composition auteur ; dimensions réelles à documenter</x:v>
      </x:c>
      <x:c r="I793" s="115" t="str">
        <x:v>À équilibrer</x:v>
      </x:c>
      <x:c r="J793" s="115" t="str">
        <x:v>Non</x:v>
      </x:c>
      <x:c r="K793" s="115" t="str">
        <x:v>Pièces décrites, murs, portes, niveaux et mobilier inspectables à l’échelle. Volumes réservés, raccord au seed, butin, rencontres et services de campagne restent à terminer.</x:v>
      </x:c>
    </x:row>
    <x:row r="794" ht="96" customHeight="1">
      <x:c r="A794" s="115" t="str">
        <x:v>EXT-MONDE-T016-V39</x:v>
      </x:c>
      <x:c r="B794" s="115" t="str">
        <x:v>EXT-MONDE-T016</x:v>
      </x:c>
      <x:c r="C794" s="115" t="str">
        <x:v>Ports</x:v>
      </x:c>
      <x:c r="D794" s="115" t="str">
        <x:v>Terminal ferry</x:v>
      </x:c>
      <x:c r="E794" s="115" t="n">
        <x:v>39</x:v>
      </x:c>
      <x:c r="F794" s="115" t="str">
        <x:v>Inspection physique</x:v>
      </x:c>
      <x:c r="G794" s="115" t="str">
        <x:v>1 niveaux ; 32 pièces ; 248 segments de mur ; 0 transitions. Inspection physique ; architecture complète encore ouverte.</x:v>
      </x:c>
      <x:c r="H794" s="115" t="str">
        <x:v>L 406 ; l 520 ; hauteur 5 m ; choix de composition auteur ; dimensions réelles à documenter</x:v>
      </x:c>
      <x:c r="I794" s="115" t="str">
        <x:v>À équilibrer</x:v>
      </x:c>
      <x:c r="J794" s="115" t="str">
        <x:v>Non</x:v>
      </x:c>
      <x:c r="K794" s="115" t="str">
        <x:v>Pièces décrites, murs, portes, niveaux et mobilier inspectables à l’échelle. Volumes réservés, raccord au seed, butin, rencontres et services de campagne restent à terminer.</x:v>
      </x:c>
    </x:row>
    <x:row r="795" ht="96" customHeight="1">
      <x:c r="A795" s="115" t="str">
        <x:v>EXT-MONDE-T016-V40</x:v>
      </x:c>
      <x:c r="B795" s="115" t="str">
        <x:v>EXT-MONDE-T016</x:v>
      </x:c>
      <x:c r="C795" s="115" t="str">
        <x:v>Ports</x:v>
      </x:c>
      <x:c r="D795" s="115" t="str">
        <x:v>Terminal ferry</x:v>
      </x:c>
      <x:c r="E795" s="115" t="n">
        <x:v>40</x:v>
      </x:c>
      <x:c r="F795" s="115" t="str">
        <x:v>Inspection physique</x:v>
      </x:c>
      <x:c r="G795" s="115" t="str">
        <x:v>1 niveaux ; 32 pièces ; 248 segments de mur ; 0 transitions. Inspection physique ; architecture complète encore ouverte.</x:v>
      </x:c>
      <x:c r="H795" s="115" t="str">
        <x:v>L 406 ; l 520 ; hauteur 5 m ; choix de composition auteur ; dimensions réelles à documenter</x:v>
      </x:c>
      <x:c r="I795" s="115" t="str">
        <x:v>À équilibrer</x:v>
      </x:c>
      <x:c r="J795" s="115" t="str">
        <x:v>Non</x:v>
      </x:c>
      <x:c r="K795" s="115" t="str">
        <x:v>Pièces décrites, murs, portes, niveaux et mobilier inspectables à l’échelle. Volumes réservés, raccord au seed, butin, rencontres et services de campagne restent à terminer.</x:v>
      </x:c>
    </x:row>
    <x:row r="796" ht="96" customHeight="1">
      <x:c r="A796" s="115" t="str">
        <x:v>EXT-MONDE-T016-V41</x:v>
      </x:c>
      <x:c r="B796" s="115" t="str">
        <x:v>EXT-MONDE-T016</x:v>
      </x:c>
      <x:c r="C796" s="115" t="str">
        <x:v>Ports</x:v>
      </x:c>
      <x:c r="D796" s="115" t="str">
        <x:v>Terminal ferry</x:v>
      </x:c>
      <x:c r="E796" s="115" t="n">
        <x:v>41</x:v>
      </x:c>
      <x:c r="F796" s="115" t="str">
        <x:v>Inspection physique</x:v>
      </x:c>
      <x:c r="G796" s="115" t="str">
        <x:v>1 niveaux ; 32 pièces ; 248 segments de mur ; 0 transitions. Inspection physique ; architecture complète encore ouverte.</x:v>
      </x:c>
      <x:c r="H796" s="115" t="str">
        <x:v>L 420 ; l 532 ; hauteur 5 m ; choix de composition auteur ; dimensions réelles à documenter</x:v>
      </x:c>
      <x:c r="I796" s="115" t="str">
        <x:v>À équilibrer</x:v>
      </x:c>
      <x:c r="J796" s="115" t="str">
        <x:v>Non</x:v>
      </x:c>
      <x:c r="K796" s="115" t="str">
        <x:v>Pièces décrites, murs, portes, niveaux et mobilier inspectables à l’échelle. Volumes réservés, raccord au seed, butin, rencontres et services de campagne restent à terminer.</x:v>
      </x:c>
    </x:row>
    <x:row r="797" ht="96" customHeight="1">
      <x:c r="A797" s="115" t="str">
        <x:v>EXT-MONDE-T016-V42</x:v>
      </x:c>
      <x:c r="B797" s="115" t="str">
        <x:v>EXT-MONDE-T016</x:v>
      </x:c>
      <x:c r="C797" s="115" t="str">
        <x:v>Ports</x:v>
      </x:c>
      <x:c r="D797" s="115" t="str">
        <x:v>Terminal ferry</x:v>
      </x:c>
      <x:c r="E797" s="115" t="n">
        <x:v>42</x:v>
      </x:c>
      <x:c r="F797" s="115" t="str">
        <x:v>Inspection physique</x:v>
      </x:c>
      <x:c r="G797" s="115" t="str">
        <x:v>1 niveaux ; 32 pièces ; 248 segments de mur ; 0 transitions. Inspection physique ; architecture complète encore ouverte.</x:v>
      </x:c>
      <x:c r="H797" s="115" t="str">
        <x:v>L 420 ; l 532 ; hauteur 5 m ; choix de composition auteur ; dimensions réelles à documenter</x:v>
      </x:c>
      <x:c r="I797" s="115" t="str">
        <x:v>À équilibrer</x:v>
      </x:c>
      <x:c r="J797" s="115" t="str">
        <x:v>Non</x:v>
      </x:c>
      <x:c r="K797" s="115" t="str">
        <x:v>Pièces décrites, murs, portes, niveaux et mobilier inspectables à l’échelle. Volumes réservés, raccord au seed, butin, rencontres et services de campagne restent à terminer.</x:v>
      </x:c>
    </x:row>
    <x:row r="798" ht="96" customHeight="1">
      <x:c r="A798" s="115" t="str">
        <x:v>EXT-MONDE-T016-V43</x:v>
      </x:c>
      <x:c r="B798" s="115" t="str">
        <x:v>EXT-MONDE-T016</x:v>
      </x:c>
      <x:c r="C798" s="115" t="str">
        <x:v>Ports</x:v>
      </x:c>
      <x:c r="D798" s="115" t="str">
        <x:v>Terminal ferry</x:v>
      </x:c>
      <x:c r="E798" s="115" t="n">
        <x:v>43</x:v>
      </x:c>
      <x:c r="F798" s="115" t="str">
        <x:v>Inspection physique</x:v>
      </x:c>
      <x:c r="G798" s="115" t="str">
        <x:v>1 niveaux ; 32 pièces ; 248 segments de mur ; 0 transitions. Inspection physique ; architecture complète encore ouverte.</x:v>
      </x:c>
      <x:c r="H798" s="115" t="str">
        <x:v>L 420 ; l 532 ; hauteur 5 m ; choix de composition auteur ; dimensions réelles à documenter</x:v>
      </x:c>
      <x:c r="I798" s="115" t="str">
        <x:v>À équilibrer</x:v>
      </x:c>
      <x:c r="J798" s="115" t="str">
        <x:v>Non</x:v>
      </x:c>
      <x:c r="K798" s="115" t="str">
        <x:v>Pièces décrites, murs, portes, niveaux et mobilier inspectables à l’échelle. Volumes réservés, raccord au seed, butin, rencontres et services de campagne restent à terminer.</x:v>
      </x:c>
    </x:row>
    <x:row r="799" ht="96" customHeight="1">
      <x:c r="A799" s="115" t="str">
        <x:v>EXT-MONDE-T016-V44</x:v>
      </x:c>
      <x:c r="B799" s="115" t="str">
        <x:v>EXT-MONDE-T016</x:v>
      </x:c>
      <x:c r="C799" s="115" t="str">
        <x:v>Ports</x:v>
      </x:c>
      <x:c r="D799" s="115" t="str">
        <x:v>Terminal ferry</x:v>
      </x:c>
      <x:c r="E799" s="115" t="n">
        <x:v>44</x:v>
      </x:c>
      <x:c r="F799" s="115" t="str">
        <x:v>Inspection physique</x:v>
      </x:c>
      <x:c r="G799" s="115" t="str">
        <x:v>1 niveaux ; 32 pièces ; 248 segments de mur ; 0 transitions. Inspection physique ; architecture complète encore ouverte.</x:v>
      </x:c>
      <x:c r="H799" s="115" t="str">
        <x:v>L 420 ; l 532 ; hauteur 5 m ; choix de composition auteur ; dimensions réelles à documenter</x:v>
      </x:c>
      <x:c r="I799" s="115" t="str">
        <x:v>À équilibrer</x:v>
      </x:c>
      <x:c r="J799" s="115" t="str">
        <x:v>Non</x:v>
      </x:c>
      <x:c r="K799" s="115" t="str">
        <x:v>Pièces décrites, murs, portes, niveaux et mobilier inspectables à l’échelle. Volumes réservés, raccord au seed, butin, rencontres et services de campagne restent à terminer.</x:v>
      </x:c>
    </x:row>
    <x:row r="800" ht="96" customHeight="1">
      <x:c r="A800" s="115" t="str">
        <x:v>EXT-MONDE-T016-V45</x:v>
      </x:c>
      <x:c r="B800" s="115" t="str">
        <x:v>EXT-MONDE-T016</x:v>
      </x:c>
      <x:c r="C800" s="115" t="str">
        <x:v>Ports</x:v>
      </x:c>
      <x:c r="D800" s="115" t="str">
        <x:v>Terminal ferry</x:v>
      </x:c>
      <x:c r="E800" s="115" t="n">
        <x:v>45</x:v>
      </x:c>
      <x:c r="F800" s="115" t="str">
        <x:v>Inspection physique</x:v>
      </x:c>
      <x:c r="G800" s="115" t="str">
        <x:v>1 niveaux ; 32 pièces ; 248 segments de mur ; 0 transitions. Inspection physique ; architecture complète encore ouverte.</x:v>
      </x:c>
      <x:c r="H800" s="115" t="str">
        <x:v>L 420 ; l 532 ; hauteur 5 m ; choix de composition auteur ; dimensions réelles à documenter</x:v>
      </x:c>
      <x:c r="I800" s="115" t="str">
        <x:v>À équilibrer</x:v>
      </x:c>
      <x:c r="J800" s="115" t="str">
        <x:v>Non</x:v>
      </x:c>
      <x:c r="K800" s="115" t="str">
        <x:v>Pièces décrites, murs, portes, niveaux et mobilier inspectables à l’échelle. Volumes réservés, raccord au seed, butin, rencontres et services de campagne restent à terminer.</x:v>
      </x:c>
    </x:row>
    <x:row r="801" ht="96" customHeight="1">
      <x:c r="A801" s="115" t="str">
        <x:v>EXT-MONDE-T016-V46</x:v>
      </x:c>
      <x:c r="B801" s="115" t="str">
        <x:v>EXT-MONDE-T016</x:v>
      </x:c>
      <x:c r="C801" s="115" t="str">
        <x:v>Ports</x:v>
      </x:c>
      <x:c r="D801" s="115" t="str">
        <x:v>Terminal ferry</x:v>
      </x:c>
      <x:c r="E801" s="115" t="n">
        <x:v>46</x:v>
      </x:c>
      <x:c r="F801" s="115" t="str">
        <x:v>Inspection physique</x:v>
      </x:c>
      <x:c r="G801" s="115" t="str">
        <x:v>1 niveaux ; 32 pièces ; 248 segments de mur ; 0 transitions. Inspection physique ; architecture complète encore ouverte.</x:v>
      </x:c>
      <x:c r="H801" s="115" t="str">
        <x:v>L 420 ; l 532 ; hauteur 5 m ; choix de composition auteur ; dimensions réelles à documenter</x:v>
      </x:c>
      <x:c r="I801" s="115" t="str">
        <x:v>À équilibrer</x:v>
      </x:c>
      <x:c r="J801" s="115" t="str">
        <x:v>Non</x:v>
      </x:c>
      <x:c r="K801" s="115" t="str">
        <x:v>Pièces décrites, murs, portes, niveaux et mobilier inspectables à l’échelle. Volumes réservés, raccord au seed, butin, rencontres et services de campagne restent à terminer.</x:v>
      </x:c>
    </x:row>
    <x:row r="802" ht="96" customHeight="1">
      <x:c r="A802" s="115" t="str">
        <x:v>EXT-MONDE-T016-V47</x:v>
      </x:c>
      <x:c r="B802" s="115" t="str">
        <x:v>EXT-MONDE-T016</x:v>
      </x:c>
      <x:c r="C802" s="115" t="str">
        <x:v>Ports</x:v>
      </x:c>
      <x:c r="D802" s="115" t="str">
        <x:v>Terminal ferry</x:v>
      </x:c>
      <x:c r="E802" s="115" t="n">
        <x:v>47</x:v>
      </x:c>
      <x:c r="F802" s="115" t="str">
        <x:v>Inspection physique</x:v>
      </x:c>
      <x:c r="G802" s="115" t="str">
        <x:v>1 niveaux ; 32 pièces ; 248 segments de mur ; 0 transitions. Inspection physique ; architecture complète encore ouverte.</x:v>
      </x:c>
      <x:c r="H802" s="115" t="str">
        <x:v>L 420 ; l 532 ; hauteur 5 m ; choix de composition auteur ; dimensions réelles à documenter</x:v>
      </x:c>
      <x:c r="I802" s="115" t="str">
        <x:v>À équilibrer</x:v>
      </x:c>
      <x:c r="J802" s="115" t="str">
        <x:v>Non</x:v>
      </x:c>
      <x:c r="K802" s="115" t="str">
        <x:v>Pièces décrites, murs, portes, niveaux et mobilier inspectables à l’échelle. Volumes réservés, raccord au seed, butin, rencontres et services de campagne restent à terminer.</x:v>
      </x:c>
    </x:row>
    <x:row r="803" ht="96" customHeight="1">
      <x:c r="A803" s="115" t="str">
        <x:v>EXT-MONDE-T016-V48</x:v>
      </x:c>
      <x:c r="B803" s="115" t="str">
        <x:v>EXT-MONDE-T016</x:v>
      </x:c>
      <x:c r="C803" s="115" t="str">
        <x:v>Ports</x:v>
      </x:c>
      <x:c r="D803" s="115" t="str">
        <x:v>Terminal ferry</x:v>
      </x:c>
      <x:c r="E803" s="115" t="n">
        <x:v>48</x:v>
      </x:c>
      <x:c r="F803" s="115" t="str">
        <x:v>Inspection physique</x:v>
      </x:c>
      <x:c r="G803" s="115" t="str">
        <x:v>1 niveaux ; 32 pièces ; 248 segments de mur ; 0 transitions. Inspection physique ; architecture complète encore ouverte.</x:v>
      </x:c>
      <x:c r="H803" s="115" t="str">
        <x:v>L 420 ; l 532 ; hauteur 5 m ; choix de composition auteur ; dimensions réelles à documenter</x:v>
      </x:c>
      <x:c r="I803" s="115" t="str">
        <x:v>À équilibrer</x:v>
      </x:c>
      <x:c r="J803" s="115" t="str">
        <x:v>Non</x:v>
      </x:c>
      <x:c r="K803" s="115" t="str">
        <x:v>Pièces décrites, murs, portes, niveaux et mobilier inspectables à l’échelle. Volumes réservés, raccord au seed, butin, rencontres et services de campagne restent à terminer.</x:v>
      </x:c>
    </x:row>
    <x:row r="804" ht="96" customHeight="1">
      <x:c r="A804" s="115" t="str">
        <x:v>EXT-MONDE-T016-V49</x:v>
      </x:c>
      <x:c r="B804" s="115" t="str">
        <x:v>EXT-MONDE-T016</x:v>
      </x:c>
      <x:c r="C804" s="115" t="str">
        <x:v>Ports</x:v>
      </x:c>
      <x:c r="D804" s="115" t="str">
        <x:v>Terminal ferry</x:v>
      </x:c>
      <x:c r="E804" s="115" t="n">
        <x:v>49</x:v>
      </x:c>
      <x:c r="F804" s="115" t="str">
        <x:v>Inspection physique</x:v>
      </x:c>
      <x:c r="G804" s="115" t="str">
        <x:v>1 niveaux ; 32 pièces ; 248 segments de mur ; 0 transitions. Inspection physique ; architecture complète encore ouverte.</x:v>
      </x:c>
      <x:c r="H804" s="115" t="str">
        <x:v>L 420 ; l 532 ; hauteur 5 m ; choix de composition auteur ; dimensions réelles à documenter</x:v>
      </x:c>
      <x:c r="I804" s="115" t="str">
        <x:v>À équilibrer</x:v>
      </x:c>
      <x:c r="J804" s="115" t="str">
        <x:v>Non</x:v>
      </x:c>
      <x:c r="K804" s="115" t="str">
        <x:v>Pièces décrites, murs, portes, niveaux et mobilier inspectables à l’échelle. Volumes réservés, raccord au seed, butin, rencontres et services de campagne restent à terminer.</x:v>
      </x:c>
    </x:row>
    <x:row r="805" ht="96" customHeight="1">
      <x:c r="A805" s="115" t="str">
        <x:v>EXT-MONDE-T016-V50</x:v>
      </x:c>
      <x:c r="B805" s="115" t="str">
        <x:v>EXT-MONDE-T016</x:v>
      </x:c>
      <x:c r="C805" s="115" t="str">
        <x:v>Ports</x:v>
      </x:c>
      <x:c r="D805" s="115" t="str">
        <x:v>Terminal ferry</x:v>
      </x:c>
      <x:c r="E805" s="115" t="n">
        <x:v>50</x:v>
      </x:c>
      <x:c r="F805" s="115" t="str">
        <x:v>Inspection physique</x:v>
      </x:c>
      <x:c r="G805" s="115" t="str">
        <x:v>1 niveaux ; 32 pièces ; 248 segments de mur ; 0 transitions. Inspection physique ; architecture complète encore ouverte.</x:v>
      </x:c>
      <x:c r="H805" s="115" t="str">
        <x:v>L 420 ; l 532 ; hauteur 5 m ; choix de composition auteur ; dimensions réelles à documenter</x:v>
      </x:c>
      <x:c r="I805" s="115" t="str">
        <x:v>À équilibrer</x:v>
      </x:c>
      <x:c r="J805" s="115" t="str">
        <x:v>Non</x:v>
      </x:c>
      <x:c r="K805" s="115" t="str">
        <x:v>Pièces décrites, murs, portes, niveaux et mobilier inspectables à l’échelle. Volumes réservés, raccord au seed, butin, rencontres et services de campagne restent à terminer.</x:v>
      </x:c>
    </x:row>
    <x:row r="806" ht="96" customHeight="1">
      <x:c r="A806" s="115" t="str">
        <x:v>EXT-MONDE-T017-V01</x:v>
      </x:c>
      <x:c r="B806" s="115" t="str">
        <x:v>EXT-MONDE-T017</x:v>
      </x:c>
      <x:c r="C806" s="115" t="str">
        <x:v>Littoral</x:v>
      </x:c>
      <x:c r="D806" s="115" t="str">
        <x:v>Phare et logements</x:v>
      </x:c>
      <x:c r="E806" s="115" t="n">
        <x:v>1</x:v>
      </x:c>
      <x:c r="F806" s="115" t="str">
        <x:v>Inspection physique</x:v>
      </x:c>
      <x:c r="G806" s="115" t="str">
        <x:v>1 niveaux ; 32 pièces ; 248 segments de mur ; 0 transitions. Inspection physique ; architecture complète encore ouverte.</x:v>
      </x:c>
      <x:c r="H806" s="115" t="str">
        <x:v>L 270 ; l 230 ; hauteur 28 m ; choix de composition auteur ; dimensions réelles à documenter</x:v>
      </x:c>
      <x:c r="I806" s="115" t="str">
        <x:v>À équilibrer</x:v>
      </x:c>
      <x:c r="J806" s="115" t="str">
        <x:v>Non</x:v>
      </x:c>
      <x:c r="K806" s="115" t="str">
        <x:v>Pièces décrites, murs, portes, niveaux et mobilier inspectables à l’échelle. Volumes réservés, raccord au seed, butin, rencontres et services de campagne restent à terminer.</x:v>
      </x:c>
    </x:row>
    <x:row r="807" ht="96" customHeight="1">
      <x:c r="A807" s="115" t="str">
        <x:v>EXT-MONDE-T017-V02</x:v>
      </x:c>
      <x:c r="B807" s="115" t="str">
        <x:v>EXT-MONDE-T017</x:v>
      </x:c>
      <x:c r="C807" s="115" t="str">
        <x:v>Littoral</x:v>
      </x:c>
      <x:c r="D807" s="115" t="str">
        <x:v>Phare et logements</x:v>
      </x:c>
      <x:c r="E807" s="115" t="n">
        <x:v>2</x:v>
      </x:c>
      <x:c r="F807" s="115" t="str">
        <x:v>Inspection physique</x:v>
      </x:c>
      <x:c r="G807" s="115" t="str">
        <x:v>1 niveaux ; 32 pièces ; 248 segments de mur ; 0 transitions. Inspection physique ; architecture complète encore ouverte.</x:v>
      </x:c>
      <x:c r="H807" s="115" t="str">
        <x:v>L 270 ; l 230 ; hauteur 28 m ; choix de composition auteur ; dimensions réelles à documenter</x:v>
      </x:c>
      <x:c r="I807" s="115" t="str">
        <x:v>À équilibrer</x:v>
      </x:c>
      <x:c r="J807" s="115" t="str">
        <x:v>Non</x:v>
      </x:c>
      <x:c r="K807" s="115" t="str">
        <x:v>Pièces décrites, murs, portes, niveaux et mobilier inspectables à l’échelle. Volumes réservés, raccord au seed, butin, rencontres et services de campagne restent à terminer.</x:v>
      </x:c>
    </x:row>
    <x:row r="808" ht="96" customHeight="1">
      <x:c r="A808" s="115" t="str">
        <x:v>EXT-MONDE-T017-V03</x:v>
      </x:c>
      <x:c r="B808" s="115" t="str">
        <x:v>EXT-MONDE-T017</x:v>
      </x:c>
      <x:c r="C808" s="115" t="str">
        <x:v>Littoral</x:v>
      </x:c>
      <x:c r="D808" s="115" t="str">
        <x:v>Phare et logements</x:v>
      </x:c>
      <x:c r="E808" s="115" t="n">
        <x:v>3</x:v>
      </x:c>
      <x:c r="F808" s="115" t="str">
        <x:v>Inspection physique</x:v>
      </x:c>
      <x:c r="G808" s="115" t="str">
        <x:v>1 niveaux ; 32 pièces ; 248 segments de mur ; 0 transitions. Inspection physique ; architecture complète encore ouverte.</x:v>
      </x:c>
      <x:c r="H808" s="115" t="str">
        <x:v>L 270 ; l 230 ; hauteur 28 m ; choix de composition auteur ; dimensions réelles à documenter</x:v>
      </x:c>
      <x:c r="I808" s="115" t="str">
        <x:v>À équilibrer</x:v>
      </x:c>
      <x:c r="J808" s="115" t="str">
        <x:v>Non</x:v>
      </x:c>
      <x:c r="K808" s="115" t="str">
        <x:v>Pièces décrites, murs, portes, niveaux et mobilier inspectables à l’échelle. Volumes réservés, raccord au seed, butin, rencontres et services de campagne restent à terminer.</x:v>
      </x:c>
    </x:row>
    <x:row r="809" ht="96" customHeight="1">
      <x:c r="A809" s="115" t="str">
        <x:v>EXT-MONDE-T017-V04</x:v>
      </x:c>
      <x:c r="B809" s="115" t="str">
        <x:v>EXT-MONDE-T017</x:v>
      </x:c>
      <x:c r="C809" s="115" t="str">
        <x:v>Littoral</x:v>
      </x:c>
      <x:c r="D809" s="115" t="str">
        <x:v>Phare et logements</x:v>
      </x:c>
      <x:c r="E809" s="115" t="n">
        <x:v>4</x:v>
      </x:c>
      <x:c r="F809" s="115" t="str">
        <x:v>Inspection physique</x:v>
      </x:c>
      <x:c r="G809" s="115" t="str">
        <x:v>1 niveaux ; 32 pièces ; 248 segments de mur ; 0 transitions. Inspection physique ; architecture complète encore ouverte.</x:v>
      </x:c>
      <x:c r="H809" s="115" t="str">
        <x:v>L 270 ; l 230 ; hauteur 28 m ; choix de composition auteur ; dimensions réelles à documenter</x:v>
      </x:c>
      <x:c r="I809" s="115" t="str">
        <x:v>À équilibrer</x:v>
      </x:c>
      <x:c r="J809" s="115" t="str">
        <x:v>Non</x:v>
      </x:c>
      <x:c r="K809" s="115" t="str">
        <x:v>Pièces décrites, murs, portes, niveaux et mobilier inspectables à l’échelle. Volumes réservés, raccord au seed, butin, rencontres et services de campagne restent à terminer.</x:v>
      </x:c>
    </x:row>
    <x:row r="810" ht="96" customHeight="1">
      <x:c r="A810" s="115" t="str">
        <x:v>EXT-MONDE-T017-V05</x:v>
      </x:c>
      <x:c r="B810" s="115" t="str">
        <x:v>EXT-MONDE-T017</x:v>
      </x:c>
      <x:c r="C810" s="115" t="str">
        <x:v>Littoral</x:v>
      </x:c>
      <x:c r="D810" s="115" t="str">
        <x:v>Phare et logements</x:v>
      </x:c>
      <x:c r="E810" s="115" t="n">
        <x:v>5</x:v>
      </x:c>
      <x:c r="F810" s="115" t="str">
        <x:v>Inspection physique</x:v>
      </x:c>
      <x:c r="G810" s="115" t="str">
        <x:v>1 niveaux ; 32 pièces ; 248 segments de mur ; 0 transitions. Inspection physique ; architecture complète encore ouverte.</x:v>
      </x:c>
      <x:c r="H810" s="115" t="str">
        <x:v>L 270 ; l 230 ; hauteur 28 m ; choix de composition auteur ; dimensions réelles à documenter</x:v>
      </x:c>
      <x:c r="I810" s="115" t="str">
        <x:v>À équilibrer</x:v>
      </x:c>
      <x:c r="J810" s="115" t="str">
        <x:v>Non</x:v>
      </x:c>
      <x:c r="K810" s="115" t="str">
        <x:v>Pièces décrites, murs, portes, niveaux et mobilier inspectables à l’échelle. Volumes réservés, raccord au seed, butin, rencontres et services de campagne restent à terminer.</x:v>
      </x:c>
    </x:row>
    <x:row r="811" ht="96" customHeight="1">
      <x:c r="A811" s="115" t="str">
        <x:v>EXT-MONDE-T017-V06</x:v>
      </x:c>
      <x:c r="B811" s="115" t="str">
        <x:v>EXT-MONDE-T017</x:v>
      </x:c>
      <x:c r="C811" s="115" t="str">
        <x:v>Littoral</x:v>
      </x:c>
      <x:c r="D811" s="115" t="str">
        <x:v>Phare et logements</x:v>
      </x:c>
      <x:c r="E811" s="115" t="n">
        <x:v>6</x:v>
      </x:c>
      <x:c r="F811" s="115" t="str">
        <x:v>Inspection physique</x:v>
      </x:c>
      <x:c r="G811" s="115" t="str">
        <x:v>1 niveaux ; 32 pièces ; 248 segments de mur ; 0 transitions. Inspection physique ; architecture complète encore ouverte.</x:v>
      </x:c>
      <x:c r="H811" s="115" t="str">
        <x:v>L 270 ; l 230 ; hauteur 28 m ; choix de composition auteur ; dimensions réelles à documenter</x:v>
      </x:c>
      <x:c r="I811" s="115" t="str">
        <x:v>À équilibrer</x:v>
      </x:c>
      <x:c r="J811" s="115" t="str">
        <x:v>Non</x:v>
      </x:c>
      <x:c r="K811" s="115" t="str">
        <x:v>Pièces décrites, murs, portes, niveaux et mobilier inspectables à l’échelle. Volumes réservés, raccord au seed, butin, rencontres et services de campagne restent à terminer.</x:v>
      </x:c>
    </x:row>
    <x:row r="812" ht="96" customHeight="1">
      <x:c r="A812" s="115" t="str">
        <x:v>EXT-MONDE-T017-V07</x:v>
      </x:c>
      <x:c r="B812" s="115" t="str">
        <x:v>EXT-MONDE-T017</x:v>
      </x:c>
      <x:c r="C812" s="115" t="str">
        <x:v>Littoral</x:v>
      </x:c>
      <x:c r="D812" s="115" t="str">
        <x:v>Phare et logements</x:v>
      </x:c>
      <x:c r="E812" s="115" t="n">
        <x:v>7</x:v>
      </x:c>
      <x:c r="F812" s="115" t="str">
        <x:v>Inspection physique</x:v>
      </x:c>
      <x:c r="G812" s="115" t="str">
        <x:v>1 niveaux ; 32 pièces ; 248 segments de mur ; 0 transitions. Inspection physique ; architecture complète encore ouverte.</x:v>
      </x:c>
      <x:c r="H812" s="115" t="str">
        <x:v>L 270 ; l 230 ; hauteur 28 m ; choix de composition auteur ; dimensions réelles à documenter</x:v>
      </x:c>
      <x:c r="I812" s="115" t="str">
        <x:v>À équilibrer</x:v>
      </x:c>
      <x:c r="J812" s="115" t="str">
        <x:v>Non</x:v>
      </x:c>
      <x:c r="K812" s="115" t="str">
        <x:v>Pièces décrites, murs, portes, niveaux et mobilier inspectables à l’échelle. Volumes réservés, raccord au seed, butin, rencontres et services de campagne restent à terminer.</x:v>
      </x:c>
    </x:row>
    <x:row r="813" ht="96" customHeight="1">
      <x:c r="A813" s="115" t="str">
        <x:v>EXT-MONDE-T017-V08</x:v>
      </x:c>
      <x:c r="B813" s="115" t="str">
        <x:v>EXT-MONDE-T017</x:v>
      </x:c>
      <x:c r="C813" s="115" t="str">
        <x:v>Littoral</x:v>
      </x:c>
      <x:c r="D813" s="115" t="str">
        <x:v>Phare et logements</x:v>
      </x:c>
      <x:c r="E813" s="115" t="n">
        <x:v>8</x:v>
      </x:c>
      <x:c r="F813" s="115" t="str">
        <x:v>Inspection physique</x:v>
      </x:c>
      <x:c r="G813" s="115" t="str">
        <x:v>1 niveaux ; 32 pièces ; 248 segments de mur ; 0 transitions. Inspection physique ; architecture complète encore ouverte.</x:v>
      </x:c>
      <x:c r="H813" s="115" t="str">
        <x:v>L 270 ; l 230 ; hauteur 28 m ; choix de composition auteur ; dimensions réelles à documenter</x:v>
      </x:c>
      <x:c r="I813" s="115" t="str">
        <x:v>À équilibrer</x:v>
      </x:c>
      <x:c r="J813" s="115" t="str">
        <x:v>Non</x:v>
      </x:c>
      <x:c r="K813" s="115" t="str">
        <x:v>Pièces décrites, murs, portes, niveaux et mobilier inspectables à l’échelle. Volumes réservés, raccord au seed, butin, rencontres et services de campagne restent à terminer.</x:v>
      </x:c>
    </x:row>
    <x:row r="814" ht="96" customHeight="1">
      <x:c r="A814" s="115" t="str">
        <x:v>EXT-MONDE-T017-V09</x:v>
      </x:c>
      <x:c r="B814" s="115" t="str">
        <x:v>EXT-MONDE-T017</x:v>
      </x:c>
      <x:c r="C814" s="115" t="str">
        <x:v>Littoral</x:v>
      </x:c>
      <x:c r="D814" s="115" t="str">
        <x:v>Phare et logements</x:v>
      </x:c>
      <x:c r="E814" s="115" t="n">
        <x:v>9</x:v>
      </x:c>
      <x:c r="F814" s="115" t="str">
        <x:v>Inspection physique</x:v>
      </x:c>
      <x:c r="G814" s="115" t="str">
        <x:v>1 niveaux ; 32 pièces ; 248 segments de mur ; 0 transitions. Inspection physique ; architecture complète encore ouverte.</x:v>
      </x:c>
      <x:c r="H814" s="115" t="str">
        <x:v>L 270 ; l 230 ; hauteur 28 m ; choix de composition auteur ; dimensions réelles à documenter</x:v>
      </x:c>
      <x:c r="I814" s="115" t="str">
        <x:v>À équilibrer</x:v>
      </x:c>
      <x:c r="J814" s="115" t="str">
        <x:v>Non</x:v>
      </x:c>
      <x:c r="K814" s="115" t="str">
        <x:v>Pièces décrites, murs, portes, niveaux et mobilier inspectables à l’échelle. Volumes réservés, raccord au seed, butin, rencontres et services de campagne restent à terminer.</x:v>
      </x:c>
    </x:row>
    <x:row r="815" ht="96" customHeight="1">
      <x:c r="A815" s="115" t="str">
        <x:v>EXT-MONDE-T017-V10</x:v>
      </x:c>
      <x:c r="B815" s="115" t="str">
        <x:v>EXT-MONDE-T017</x:v>
      </x:c>
      <x:c r="C815" s="115" t="str">
        <x:v>Littoral</x:v>
      </x:c>
      <x:c r="D815" s="115" t="str">
        <x:v>Phare et logements</x:v>
      </x:c>
      <x:c r="E815" s="115" t="n">
        <x:v>10</x:v>
      </x:c>
      <x:c r="F815" s="115" t="str">
        <x:v>Inspection physique</x:v>
      </x:c>
      <x:c r="G815" s="115" t="str">
        <x:v>1 niveaux ; 32 pièces ; 248 segments de mur ; 0 transitions. Inspection physique ; architecture complète encore ouverte.</x:v>
      </x:c>
      <x:c r="H815" s="115" t="str">
        <x:v>L 270 ; l 230 ; hauteur 28 m ; choix de composition auteur ; dimensions réelles à documenter</x:v>
      </x:c>
      <x:c r="I815" s="115" t="str">
        <x:v>À équilibrer</x:v>
      </x:c>
      <x:c r="J815" s="115" t="str">
        <x:v>Non</x:v>
      </x:c>
      <x:c r="K815" s="115" t="str">
        <x:v>Pièces décrites, murs, portes, niveaux et mobilier inspectables à l’échelle. Volumes réservés, raccord au seed, butin, rencontres et services de campagne restent à terminer.</x:v>
      </x:c>
    </x:row>
    <x:row r="816" ht="96" customHeight="1">
      <x:c r="A816" s="115" t="str">
        <x:v>EXT-MONDE-T017-V11</x:v>
      </x:c>
      <x:c r="B816" s="115" t="str">
        <x:v>EXT-MONDE-T017</x:v>
      </x:c>
      <x:c r="C816" s="115" t="str">
        <x:v>Littoral</x:v>
      </x:c>
      <x:c r="D816" s="115" t="str">
        <x:v>Phare et logements</x:v>
      </x:c>
      <x:c r="E816" s="115" t="n">
        <x:v>11</x:v>
      </x:c>
      <x:c r="F816" s="115" t="str">
        <x:v>Inspection physique</x:v>
      </x:c>
      <x:c r="G816" s="115" t="str">
        <x:v>1 niveaux ; 32 pièces ; 248 segments de mur ; 0 transitions. Inspection physique ; architecture complète encore ouverte.</x:v>
      </x:c>
      <x:c r="H816" s="115" t="str">
        <x:v>L 288 ; l 246 ; hauteur 30 m ; choix de composition auteur ; dimensions réelles à documenter</x:v>
      </x:c>
      <x:c r="I816" s="115" t="str">
        <x:v>À équilibrer</x:v>
      </x:c>
      <x:c r="J816" s="115" t="str">
        <x:v>Non</x:v>
      </x:c>
      <x:c r="K816" s="115" t="str">
        <x:v>Pièces décrites, murs, portes, niveaux et mobilier inspectables à l’échelle. Volumes réservés, raccord au seed, butin, rencontres et services de campagne restent à terminer.</x:v>
      </x:c>
    </x:row>
    <x:row r="817" ht="96" customHeight="1">
      <x:c r="A817" s="115" t="str">
        <x:v>EXT-MONDE-T017-V12</x:v>
      </x:c>
      <x:c r="B817" s="115" t="str">
        <x:v>EXT-MONDE-T017</x:v>
      </x:c>
      <x:c r="C817" s="115" t="str">
        <x:v>Littoral</x:v>
      </x:c>
      <x:c r="D817" s="115" t="str">
        <x:v>Phare et logements</x:v>
      </x:c>
      <x:c r="E817" s="115" t="n">
        <x:v>12</x:v>
      </x:c>
      <x:c r="F817" s="115" t="str">
        <x:v>Inspection physique</x:v>
      </x:c>
      <x:c r="G817" s="115" t="str">
        <x:v>1 niveaux ; 32 pièces ; 248 segments de mur ; 0 transitions. Inspection physique ; architecture complète encore ouverte.</x:v>
      </x:c>
      <x:c r="H817" s="115" t="str">
        <x:v>L 288 ; l 246 ; hauteur 30 m ; choix de composition auteur ; dimensions réelles à documenter</x:v>
      </x:c>
      <x:c r="I817" s="115" t="str">
        <x:v>À équilibrer</x:v>
      </x:c>
      <x:c r="J817" s="115" t="str">
        <x:v>Non</x:v>
      </x:c>
      <x:c r="K817" s="115" t="str">
        <x:v>Pièces décrites, murs, portes, niveaux et mobilier inspectables à l’échelle. Volumes réservés, raccord au seed, butin, rencontres et services de campagne restent à terminer.</x:v>
      </x:c>
    </x:row>
    <x:row r="818" ht="96" customHeight="1">
      <x:c r="A818" s="115" t="str">
        <x:v>EXT-MONDE-T017-V13</x:v>
      </x:c>
      <x:c r="B818" s="115" t="str">
        <x:v>EXT-MONDE-T017</x:v>
      </x:c>
      <x:c r="C818" s="115" t="str">
        <x:v>Littoral</x:v>
      </x:c>
      <x:c r="D818" s="115" t="str">
        <x:v>Phare et logements</x:v>
      </x:c>
      <x:c r="E818" s="115" t="n">
        <x:v>13</x:v>
      </x:c>
      <x:c r="F818" s="115" t="str">
        <x:v>Inspection physique</x:v>
      </x:c>
      <x:c r="G818" s="115" t="str">
        <x:v>1 niveaux ; 32 pièces ; 248 segments de mur ; 0 transitions. Inspection physique ; architecture complète encore ouverte.</x:v>
      </x:c>
      <x:c r="H818" s="115" t="str">
        <x:v>L 288 ; l 246 ; hauteur 30 m ; choix de composition auteur ; dimensions réelles à documenter</x:v>
      </x:c>
      <x:c r="I818" s="115" t="str">
        <x:v>À équilibrer</x:v>
      </x:c>
      <x:c r="J818" s="115" t="str">
        <x:v>Non</x:v>
      </x:c>
      <x:c r="K818" s="115" t="str">
        <x:v>Pièces décrites, murs, portes, niveaux et mobilier inspectables à l’échelle. Volumes réservés, raccord au seed, butin, rencontres et services de campagne restent à terminer.</x:v>
      </x:c>
    </x:row>
    <x:row r="819" ht="96" customHeight="1">
      <x:c r="A819" s="115" t="str">
        <x:v>EXT-MONDE-T017-V14</x:v>
      </x:c>
      <x:c r="B819" s="115" t="str">
        <x:v>EXT-MONDE-T017</x:v>
      </x:c>
      <x:c r="C819" s="115" t="str">
        <x:v>Littoral</x:v>
      </x:c>
      <x:c r="D819" s="115" t="str">
        <x:v>Phare et logements</x:v>
      </x:c>
      <x:c r="E819" s="115" t="n">
        <x:v>14</x:v>
      </x:c>
      <x:c r="F819" s="115" t="str">
        <x:v>Inspection physique</x:v>
      </x:c>
      <x:c r="G819" s="115" t="str">
        <x:v>1 niveaux ; 32 pièces ; 248 segments de mur ; 0 transitions. Inspection physique ; architecture complète encore ouverte.</x:v>
      </x:c>
      <x:c r="H819" s="115" t="str">
        <x:v>L 288 ; l 246 ; hauteur 30 m ; choix de composition auteur ; dimensions réelles à documenter</x:v>
      </x:c>
      <x:c r="I819" s="115" t="str">
        <x:v>À équilibrer</x:v>
      </x:c>
      <x:c r="J819" s="115" t="str">
        <x:v>Non</x:v>
      </x:c>
      <x:c r="K819" s="115" t="str">
        <x:v>Pièces décrites, murs, portes, niveaux et mobilier inspectables à l’échelle. Volumes réservés, raccord au seed, butin, rencontres et services de campagne restent à terminer.</x:v>
      </x:c>
    </x:row>
    <x:row r="820" ht="96" customHeight="1">
      <x:c r="A820" s="115" t="str">
        <x:v>EXT-MONDE-T017-V15</x:v>
      </x:c>
      <x:c r="B820" s="115" t="str">
        <x:v>EXT-MONDE-T017</x:v>
      </x:c>
      <x:c r="C820" s="115" t="str">
        <x:v>Littoral</x:v>
      </x:c>
      <x:c r="D820" s="115" t="str">
        <x:v>Phare et logements</x:v>
      </x:c>
      <x:c r="E820" s="115" t="n">
        <x:v>15</x:v>
      </x:c>
      <x:c r="F820" s="115" t="str">
        <x:v>Inspection physique</x:v>
      </x:c>
      <x:c r="G820" s="115" t="str">
        <x:v>1 niveaux ; 32 pièces ; 248 segments de mur ; 0 transitions. Inspection physique ; architecture complète encore ouverte.</x:v>
      </x:c>
      <x:c r="H820" s="115" t="str">
        <x:v>L 288 ; l 246 ; hauteur 30 m ; choix de composition auteur ; dimensions réelles à documenter</x:v>
      </x:c>
      <x:c r="I820" s="115" t="str">
        <x:v>À équilibrer</x:v>
      </x:c>
      <x:c r="J820" s="115" t="str">
        <x:v>Non</x:v>
      </x:c>
      <x:c r="K820" s="115" t="str">
        <x:v>Pièces décrites, murs, portes, niveaux et mobilier inspectables à l’échelle. Volumes réservés, raccord au seed, butin, rencontres et services de campagne restent à terminer.</x:v>
      </x:c>
    </x:row>
    <x:row r="821" ht="96" customHeight="1">
      <x:c r="A821" s="115" t="str">
        <x:v>EXT-MONDE-T017-V16</x:v>
      </x:c>
      <x:c r="B821" s="115" t="str">
        <x:v>EXT-MONDE-T017</x:v>
      </x:c>
      <x:c r="C821" s="115" t="str">
        <x:v>Littoral</x:v>
      </x:c>
      <x:c r="D821" s="115" t="str">
        <x:v>Phare et logements</x:v>
      </x:c>
      <x:c r="E821" s="115" t="n">
        <x:v>16</x:v>
      </x:c>
      <x:c r="F821" s="115" t="str">
        <x:v>Inspection physique</x:v>
      </x:c>
      <x:c r="G821" s="115" t="str">
        <x:v>1 niveaux ; 32 pièces ; 248 segments de mur ; 0 transitions. Inspection physique ; architecture complète encore ouverte.</x:v>
      </x:c>
      <x:c r="H821" s="115" t="str">
        <x:v>L 288 ; l 246 ; hauteur 30 m ; choix de composition auteur ; dimensions réelles à documenter</x:v>
      </x:c>
      <x:c r="I821" s="115" t="str">
        <x:v>À équilibrer</x:v>
      </x:c>
      <x:c r="J821" s="115" t="str">
        <x:v>Non</x:v>
      </x:c>
      <x:c r="K821" s="115" t="str">
        <x:v>Pièces décrites, murs, portes, niveaux et mobilier inspectables à l’échelle. Volumes réservés, raccord au seed, butin, rencontres et services de campagne restent à terminer.</x:v>
      </x:c>
    </x:row>
    <x:row r="822" ht="96" customHeight="1">
      <x:c r="A822" s="115" t="str">
        <x:v>EXT-MONDE-T017-V17</x:v>
      </x:c>
      <x:c r="B822" s="115" t="str">
        <x:v>EXT-MONDE-T017</x:v>
      </x:c>
      <x:c r="C822" s="115" t="str">
        <x:v>Littoral</x:v>
      </x:c>
      <x:c r="D822" s="115" t="str">
        <x:v>Phare et logements</x:v>
      </x:c>
      <x:c r="E822" s="115" t="n">
        <x:v>17</x:v>
      </x:c>
      <x:c r="F822" s="115" t="str">
        <x:v>Inspection physique</x:v>
      </x:c>
      <x:c r="G822" s="115" t="str">
        <x:v>1 niveaux ; 32 pièces ; 248 segments de mur ; 0 transitions. Inspection physique ; architecture complète encore ouverte.</x:v>
      </x:c>
      <x:c r="H822" s="115" t="str">
        <x:v>L 288 ; l 246 ; hauteur 30 m ; choix de composition auteur ; dimensions réelles à documenter</x:v>
      </x:c>
      <x:c r="I822" s="115" t="str">
        <x:v>À équilibrer</x:v>
      </x:c>
      <x:c r="J822" s="115" t="str">
        <x:v>Non</x:v>
      </x:c>
      <x:c r="K822" s="115" t="str">
        <x:v>Pièces décrites, murs, portes, niveaux et mobilier inspectables à l’échelle. Volumes réservés, raccord au seed, butin, rencontres et services de campagne restent à terminer.</x:v>
      </x:c>
    </x:row>
    <x:row r="823" ht="96" customHeight="1">
      <x:c r="A823" s="115" t="str">
        <x:v>EXT-MONDE-T017-V18</x:v>
      </x:c>
      <x:c r="B823" s="115" t="str">
        <x:v>EXT-MONDE-T017</x:v>
      </x:c>
      <x:c r="C823" s="115" t="str">
        <x:v>Littoral</x:v>
      </x:c>
      <x:c r="D823" s="115" t="str">
        <x:v>Phare et logements</x:v>
      </x:c>
      <x:c r="E823" s="115" t="n">
        <x:v>18</x:v>
      </x:c>
      <x:c r="F823" s="115" t="str">
        <x:v>Inspection physique</x:v>
      </x:c>
      <x:c r="G823" s="115" t="str">
        <x:v>1 niveaux ; 32 pièces ; 248 segments de mur ; 0 transitions. Inspection physique ; architecture complète encore ouverte.</x:v>
      </x:c>
      <x:c r="H823" s="115" t="str">
        <x:v>L 288 ; l 246 ; hauteur 30 m ; choix de composition auteur ; dimensions réelles à documenter</x:v>
      </x:c>
      <x:c r="I823" s="115" t="str">
        <x:v>À équilibrer</x:v>
      </x:c>
      <x:c r="J823" s="115" t="str">
        <x:v>Non</x:v>
      </x:c>
      <x:c r="K823" s="115" t="str">
        <x:v>Pièces décrites, murs, portes, niveaux et mobilier inspectables à l’échelle. Volumes réservés, raccord au seed, butin, rencontres et services de campagne restent à terminer.</x:v>
      </x:c>
    </x:row>
    <x:row r="824" ht="96" customHeight="1">
      <x:c r="A824" s="115" t="str">
        <x:v>EXT-MONDE-T017-V19</x:v>
      </x:c>
      <x:c r="B824" s="115" t="str">
        <x:v>EXT-MONDE-T017</x:v>
      </x:c>
      <x:c r="C824" s="115" t="str">
        <x:v>Littoral</x:v>
      </x:c>
      <x:c r="D824" s="115" t="str">
        <x:v>Phare et logements</x:v>
      </x:c>
      <x:c r="E824" s="115" t="n">
        <x:v>19</x:v>
      </x:c>
      <x:c r="F824" s="115" t="str">
        <x:v>Inspection physique</x:v>
      </x:c>
      <x:c r="G824" s="115" t="str">
        <x:v>1 niveaux ; 32 pièces ; 248 segments de mur ; 0 transitions. Inspection physique ; architecture complète encore ouverte.</x:v>
      </x:c>
      <x:c r="H824" s="115" t="str">
        <x:v>L 288 ; l 246 ; hauteur 30 m ; choix de composition auteur ; dimensions réelles à documenter</x:v>
      </x:c>
      <x:c r="I824" s="115" t="str">
        <x:v>À équilibrer</x:v>
      </x:c>
      <x:c r="J824" s="115" t="str">
        <x:v>Non</x:v>
      </x:c>
      <x:c r="K824" s="115" t="str">
        <x:v>Pièces décrites, murs, portes, niveaux et mobilier inspectables à l’échelle. Volumes réservés, raccord au seed, butin, rencontres et services de campagne restent à terminer.</x:v>
      </x:c>
    </x:row>
    <x:row r="825" ht="96" customHeight="1">
      <x:c r="A825" s="115" t="str">
        <x:v>EXT-MONDE-T017-V20</x:v>
      </x:c>
      <x:c r="B825" s="115" t="str">
        <x:v>EXT-MONDE-T017</x:v>
      </x:c>
      <x:c r="C825" s="115" t="str">
        <x:v>Littoral</x:v>
      </x:c>
      <x:c r="D825" s="115" t="str">
        <x:v>Phare et logements</x:v>
      </x:c>
      <x:c r="E825" s="115" t="n">
        <x:v>20</x:v>
      </x:c>
      <x:c r="F825" s="115" t="str">
        <x:v>Inspection physique</x:v>
      </x:c>
      <x:c r="G825" s="115" t="str">
        <x:v>1 niveaux ; 32 pièces ; 248 segments de mur ; 0 transitions. Inspection physique ; architecture complète encore ouverte.</x:v>
      </x:c>
      <x:c r="H825" s="115" t="str">
        <x:v>L 288 ; l 246 ; hauteur 30 m ; choix de composition auteur ; dimensions réelles à documenter</x:v>
      </x:c>
      <x:c r="I825" s="115" t="str">
        <x:v>À équilibrer</x:v>
      </x:c>
      <x:c r="J825" s="115" t="str">
        <x:v>Non</x:v>
      </x:c>
      <x:c r="K825" s="115" t="str">
        <x:v>Pièces décrites, murs, portes, niveaux et mobilier inspectables à l’échelle. Volumes réservés, raccord au seed, butin, rencontres et services de campagne restent à terminer.</x:v>
      </x:c>
    </x:row>
    <x:row r="826" ht="96" customHeight="1">
      <x:c r="A826" s="115" t="str">
        <x:v>EXT-MONDE-T017-V21</x:v>
      </x:c>
      <x:c r="B826" s="115" t="str">
        <x:v>EXT-MONDE-T017</x:v>
      </x:c>
      <x:c r="C826" s="115" t="str">
        <x:v>Littoral</x:v>
      </x:c>
      <x:c r="D826" s="115" t="str">
        <x:v>Phare et logements</x:v>
      </x:c>
      <x:c r="E826" s="115" t="n">
        <x:v>21</x:v>
      </x:c>
      <x:c r="F826" s="115" t="str">
        <x:v>Inspection physique</x:v>
      </x:c>
      <x:c r="G826" s="115" t="str">
        <x:v>1 niveaux ; 32 pièces ; 248 segments de mur ; 0 transitions. Inspection physique ; architecture complète encore ouverte.</x:v>
      </x:c>
      <x:c r="H826" s="115" t="str">
        <x:v>L 306 ; l 262 ; hauteur 32 m ; choix de composition auteur ; dimensions réelles à documenter</x:v>
      </x:c>
      <x:c r="I826" s="115" t="str">
        <x:v>À équilibrer</x:v>
      </x:c>
      <x:c r="J826" s="115" t="str">
        <x:v>Non</x:v>
      </x:c>
      <x:c r="K826" s="115" t="str">
        <x:v>Pièces décrites, murs, portes, niveaux et mobilier inspectables à l’échelle. Volumes réservés, raccord au seed, butin, rencontres et services de campagne restent à terminer.</x:v>
      </x:c>
    </x:row>
    <x:row r="827" ht="96" customHeight="1">
      <x:c r="A827" s="115" t="str">
        <x:v>EXT-MONDE-T017-V22</x:v>
      </x:c>
      <x:c r="B827" s="115" t="str">
        <x:v>EXT-MONDE-T017</x:v>
      </x:c>
      <x:c r="C827" s="115" t="str">
        <x:v>Littoral</x:v>
      </x:c>
      <x:c r="D827" s="115" t="str">
        <x:v>Phare et logements</x:v>
      </x:c>
      <x:c r="E827" s="115" t="n">
        <x:v>22</x:v>
      </x:c>
      <x:c r="F827" s="115" t="str">
        <x:v>Inspection physique</x:v>
      </x:c>
      <x:c r="G827" s="115" t="str">
        <x:v>1 niveaux ; 32 pièces ; 248 segments de mur ; 0 transitions. Inspection physique ; architecture complète encore ouverte.</x:v>
      </x:c>
      <x:c r="H827" s="115" t="str">
        <x:v>L 306 ; l 262 ; hauteur 32 m ; choix de composition auteur ; dimensions réelles à documenter</x:v>
      </x:c>
      <x:c r="I827" s="115" t="str">
        <x:v>À équilibrer</x:v>
      </x:c>
      <x:c r="J827" s="115" t="str">
        <x:v>Non</x:v>
      </x:c>
      <x:c r="K827" s="115" t="str">
        <x:v>Pièces décrites, murs, portes, niveaux et mobilier inspectables à l’échelle. Volumes réservés, raccord au seed, butin, rencontres et services de campagne restent à terminer.</x:v>
      </x:c>
    </x:row>
    <x:row r="828" ht="96" customHeight="1">
      <x:c r="A828" s="115" t="str">
        <x:v>EXT-MONDE-T017-V23</x:v>
      </x:c>
      <x:c r="B828" s="115" t="str">
        <x:v>EXT-MONDE-T017</x:v>
      </x:c>
      <x:c r="C828" s="115" t="str">
        <x:v>Littoral</x:v>
      </x:c>
      <x:c r="D828" s="115" t="str">
        <x:v>Phare et logements</x:v>
      </x:c>
      <x:c r="E828" s="115" t="n">
        <x:v>23</x:v>
      </x:c>
      <x:c r="F828" s="115" t="str">
        <x:v>Inspection physique</x:v>
      </x:c>
      <x:c r="G828" s="115" t="str">
        <x:v>1 niveaux ; 32 pièces ; 248 segments de mur ; 0 transitions. Inspection physique ; architecture complète encore ouverte.</x:v>
      </x:c>
      <x:c r="H828" s="115" t="str">
        <x:v>L 306 ; l 262 ; hauteur 32 m ; choix de composition auteur ; dimensions réelles à documenter</x:v>
      </x:c>
      <x:c r="I828" s="115" t="str">
        <x:v>À équilibrer</x:v>
      </x:c>
      <x:c r="J828" s="115" t="str">
        <x:v>Non</x:v>
      </x:c>
      <x:c r="K828" s="115" t="str">
        <x:v>Pièces décrites, murs, portes, niveaux et mobilier inspectables à l’échelle. Volumes réservés, raccord au seed, butin, rencontres et services de campagne restent à terminer.</x:v>
      </x:c>
    </x:row>
    <x:row r="829" ht="96" customHeight="1">
      <x:c r="A829" s="115" t="str">
        <x:v>EXT-MONDE-T017-V24</x:v>
      </x:c>
      <x:c r="B829" s="115" t="str">
        <x:v>EXT-MONDE-T017</x:v>
      </x:c>
      <x:c r="C829" s="115" t="str">
        <x:v>Littoral</x:v>
      </x:c>
      <x:c r="D829" s="115" t="str">
        <x:v>Phare et logements</x:v>
      </x:c>
      <x:c r="E829" s="115" t="n">
        <x:v>24</x:v>
      </x:c>
      <x:c r="F829" s="115" t="str">
        <x:v>Inspection physique</x:v>
      </x:c>
      <x:c r="G829" s="115" t="str">
        <x:v>1 niveaux ; 32 pièces ; 248 segments de mur ; 0 transitions. Inspection physique ; architecture complète encore ouverte.</x:v>
      </x:c>
      <x:c r="H829" s="115" t="str">
        <x:v>L 306 ; l 262 ; hauteur 32 m ; choix de composition auteur ; dimensions réelles à documenter</x:v>
      </x:c>
      <x:c r="I829" s="115" t="str">
        <x:v>À équilibrer</x:v>
      </x:c>
      <x:c r="J829" s="115" t="str">
        <x:v>Non</x:v>
      </x:c>
      <x:c r="K829" s="115" t="str">
        <x:v>Pièces décrites, murs, portes, niveaux et mobilier inspectables à l’échelle. Volumes réservés, raccord au seed, butin, rencontres et services de campagne restent à terminer.</x:v>
      </x:c>
    </x:row>
    <x:row r="830" ht="96" customHeight="1">
      <x:c r="A830" s="115" t="str">
        <x:v>EXT-MONDE-T017-V25</x:v>
      </x:c>
      <x:c r="B830" s="115" t="str">
        <x:v>EXT-MONDE-T017</x:v>
      </x:c>
      <x:c r="C830" s="115" t="str">
        <x:v>Littoral</x:v>
      </x:c>
      <x:c r="D830" s="115" t="str">
        <x:v>Phare et logements</x:v>
      </x:c>
      <x:c r="E830" s="115" t="n">
        <x:v>25</x:v>
      </x:c>
      <x:c r="F830" s="115" t="str">
        <x:v>Inspection physique</x:v>
      </x:c>
      <x:c r="G830" s="115" t="str">
        <x:v>1 niveaux ; 32 pièces ; 248 segments de mur ; 0 transitions. Inspection physique ; architecture complète encore ouverte.</x:v>
      </x:c>
      <x:c r="H830" s="115" t="str">
        <x:v>L 306 ; l 262 ; hauteur 32 m ; choix de composition auteur ; dimensions réelles à documenter</x:v>
      </x:c>
      <x:c r="I830" s="115" t="str">
        <x:v>À équilibrer</x:v>
      </x:c>
      <x:c r="J830" s="115" t="str">
        <x:v>Non</x:v>
      </x:c>
      <x:c r="K830" s="115" t="str">
        <x:v>Pièces décrites, murs, portes, niveaux et mobilier inspectables à l’échelle. Volumes réservés, raccord au seed, butin, rencontres et services de campagne restent à terminer.</x:v>
      </x:c>
    </x:row>
    <x:row r="831" ht="96" customHeight="1">
      <x:c r="A831" s="115" t="str">
        <x:v>EXT-MONDE-T017-V26</x:v>
      </x:c>
      <x:c r="B831" s="115" t="str">
        <x:v>EXT-MONDE-T017</x:v>
      </x:c>
      <x:c r="C831" s="115" t="str">
        <x:v>Littoral</x:v>
      </x:c>
      <x:c r="D831" s="115" t="str">
        <x:v>Phare et logements</x:v>
      </x:c>
      <x:c r="E831" s="115" t="n">
        <x:v>26</x:v>
      </x:c>
      <x:c r="F831" s="115" t="str">
        <x:v>Inspection physique</x:v>
      </x:c>
      <x:c r="G831" s="115" t="str">
        <x:v>1 niveaux ; 32 pièces ; 248 segments de mur ; 0 transitions. Inspection physique ; architecture complète encore ouverte.</x:v>
      </x:c>
      <x:c r="H831" s="115" t="str">
        <x:v>L 306 ; l 262 ; hauteur 32 m ; choix de composition auteur ; dimensions réelles à documenter</x:v>
      </x:c>
      <x:c r="I831" s="115" t="str">
        <x:v>À équilibrer</x:v>
      </x:c>
      <x:c r="J831" s="115" t="str">
        <x:v>Non</x:v>
      </x:c>
      <x:c r="K831" s="115" t="str">
        <x:v>Pièces décrites, murs, portes, niveaux et mobilier inspectables à l’échelle. Volumes réservés, raccord au seed, butin, rencontres et services de campagne restent à terminer.</x:v>
      </x:c>
    </x:row>
    <x:row r="832" ht="96" customHeight="1">
      <x:c r="A832" s="115" t="str">
        <x:v>EXT-MONDE-T017-V27</x:v>
      </x:c>
      <x:c r="B832" s="115" t="str">
        <x:v>EXT-MONDE-T017</x:v>
      </x:c>
      <x:c r="C832" s="115" t="str">
        <x:v>Littoral</x:v>
      </x:c>
      <x:c r="D832" s="115" t="str">
        <x:v>Phare et logements</x:v>
      </x:c>
      <x:c r="E832" s="115" t="n">
        <x:v>27</x:v>
      </x:c>
      <x:c r="F832" s="115" t="str">
        <x:v>Inspection physique</x:v>
      </x:c>
      <x:c r="G832" s="115" t="str">
        <x:v>1 niveaux ; 32 pièces ; 248 segments de mur ; 0 transitions. Inspection physique ; architecture complète encore ouverte.</x:v>
      </x:c>
      <x:c r="H832" s="115" t="str">
        <x:v>L 306 ; l 262 ; hauteur 32 m ; choix de composition auteur ; dimensions réelles à documenter</x:v>
      </x:c>
      <x:c r="I832" s="115" t="str">
        <x:v>À équilibrer</x:v>
      </x:c>
      <x:c r="J832" s="115" t="str">
        <x:v>Non</x:v>
      </x:c>
      <x:c r="K832" s="115" t="str">
        <x:v>Pièces décrites, murs, portes, niveaux et mobilier inspectables à l’échelle. Volumes réservés, raccord au seed, butin, rencontres et services de campagne restent à terminer.</x:v>
      </x:c>
    </x:row>
    <x:row r="833" ht="96" customHeight="1">
      <x:c r="A833" s="115" t="str">
        <x:v>EXT-MONDE-T017-V28</x:v>
      </x:c>
      <x:c r="B833" s="115" t="str">
        <x:v>EXT-MONDE-T017</x:v>
      </x:c>
      <x:c r="C833" s="115" t="str">
        <x:v>Littoral</x:v>
      </x:c>
      <x:c r="D833" s="115" t="str">
        <x:v>Phare et logements</x:v>
      </x:c>
      <x:c r="E833" s="115" t="n">
        <x:v>28</x:v>
      </x:c>
      <x:c r="F833" s="115" t="str">
        <x:v>Inspection physique</x:v>
      </x:c>
      <x:c r="G833" s="115" t="str">
        <x:v>1 niveaux ; 32 pièces ; 248 segments de mur ; 0 transitions. Inspection physique ; architecture complète encore ouverte.</x:v>
      </x:c>
      <x:c r="H833" s="115" t="str">
        <x:v>L 306 ; l 262 ; hauteur 32 m ; choix de composition auteur ; dimensions réelles à documenter</x:v>
      </x:c>
      <x:c r="I833" s="115" t="str">
        <x:v>À équilibrer</x:v>
      </x:c>
      <x:c r="J833" s="115" t="str">
        <x:v>Non</x:v>
      </x:c>
      <x:c r="K833" s="115" t="str">
        <x:v>Pièces décrites, murs, portes, niveaux et mobilier inspectables à l’échelle. Volumes réservés, raccord au seed, butin, rencontres et services de campagne restent à terminer.</x:v>
      </x:c>
    </x:row>
    <x:row r="834" ht="96" customHeight="1">
      <x:c r="A834" s="115" t="str">
        <x:v>EXT-MONDE-T017-V29</x:v>
      </x:c>
      <x:c r="B834" s="115" t="str">
        <x:v>EXT-MONDE-T017</x:v>
      </x:c>
      <x:c r="C834" s="115" t="str">
        <x:v>Littoral</x:v>
      </x:c>
      <x:c r="D834" s="115" t="str">
        <x:v>Phare et logements</x:v>
      </x:c>
      <x:c r="E834" s="115" t="n">
        <x:v>29</x:v>
      </x:c>
      <x:c r="F834" s="115" t="str">
        <x:v>Inspection physique</x:v>
      </x:c>
      <x:c r="G834" s="115" t="str">
        <x:v>1 niveaux ; 32 pièces ; 248 segments de mur ; 0 transitions. Inspection physique ; architecture complète encore ouverte.</x:v>
      </x:c>
      <x:c r="H834" s="115" t="str">
        <x:v>L 306 ; l 262 ; hauteur 32 m ; choix de composition auteur ; dimensions réelles à documenter</x:v>
      </x:c>
      <x:c r="I834" s="115" t="str">
        <x:v>À équilibrer</x:v>
      </x:c>
      <x:c r="J834" s="115" t="str">
        <x:v>Non</x:v>
      </x:c>
      <x:c r="K834" s="115" t="str">
        <x:v>Pièces décrites, murs, portes, niveaux et mobilier inspectables à l’échelle. Volumes réservés, raccord au seed, butin, rencontres et services de campagne restent à terminer.</x:v>
      </x:c>
    </x:row>
    <x:row r="835" ht="96" customHeight="1">
      <x:c r="A835" s="115" t="str">
        <x:v>EXT-MONDE-T017-V30</x:v>
      </x:c>
      <x:c r="B835" s="115" t="str">
        <x:v>EXT-MONDE-T017</x:v>
      </x:c>
      <x:c r="C835" s="115" t="str">
        <x:v>Littoral</x:v>
      </x:c>
      <x:c r="D835" s="115" t="str">
        <x:v>Phare et logements</x:v>
      </x:c>
      <x:c r="E835" s="115" t="n">
        <x:v>30</x:v>
      </x:c>
      <x:c r="F835" s="115" t="str">
        <x:v>Inspection physique</x:v>
      </x:c>
      <x:c r="G835" s="115" t="str">
        <x:v>1 niveaux ; 32 pièces ; 248 segments de mur ; 0 transitions. Inspection physique ; architecture complète encore ouverte.</x:v>
      </x:c>
      <x:c r="H835" s="115" t="str">
        <x:v>L 306 ; l 262 ; hauteur 32 m ; choix de composition auteur ; dimensions réelles à documenter</x:v>
      </x:c>
      <x:c r="I835" s="115" t="str">
        <x:v>À équilibrer</x:v>
      </x:c>
      <x:c r="J835" s="115" t="str">
        <x:v>Non</x:v>
      </x:c>
      <x:c r="K835" s="115" t="str">
        <x:v>Pièces décrites, murs, portes, niveaux et mobilier inspectables à l’échelle. Volumes réservés, raccord au seed, butin, rencontres et services de campagne restent à terminer.</x:v>
      </x:c>
    </x:row>
    <x:row r="836" ht="96" customHeight="1">
      <x:c r="A836" s="115" t="str">
        <x:v>EXT-MONDE-T017-V31</x:v>
      </x:c>
      <x:c r="B836" s="115" t="str">
        <x:v>EXT-MONDE-T017</x:v>
      </x:c>
      <x:c r="C836" s="115" t="str">
        <x:v>Littoral</x:v>
      </x:c>
      <x:c r="D836" s="115" t="str">
        <x:v>Phare et logements</x:v>
      </x:c>
      <x:c r="E836" s="115" t="n">
        <x:v>31</x:v>
      </x:c>
      <x:c r="F836" s="115" t="str">
        <x:v>Inspection physique</x:v>
      </x:c>
      <x:c r="G836" s="115" t="str">
        <x:v>1 niveaux ; 32 pièces ; 248 segments de mur ; 0 transitions. Inspection physique ; architecture complète encore ouverte.</x:v>
      </x:c>
      <x:c r="H836" s="115" t="str">
        <x:v>L 324 ; l 278 ; hauteur 34 m ; choix de composition auteur ; dimensions réelles à documenter</x:v>
      </x:c>
      <x:c r="I836" s="115" t="str">
        <x:v>À équilibrer</x:v>
      </x:c>
      <x:c r="J836" s="115" t="str">
        <x:v>Non</x:v>
      </x:c>
      <x:c r="K836" s="115" t="str">
        <x:v>Pièces décrites, murs, portes, niveaux et mobilier inspectables à l’échelle. Volumes réservés, raccord au seed, butin, rencontres et services de campagne restent à terminer.</x:v>
      </x:c>
    </x:row>
    <x:row r="837" ht="96" customHeight="1">
      <x:c r="A837" s="115" t="str">
        <x:v>EXT-MONDE-T017-V32</x:v>
      </x:c>
      <x:c r="B837" s="115" t="str">
        <x:v>EXT-MONDE-T017</x:v>
      </x:c>
      <x:c r="C837" s="115" t="str">
        <x:v>Littoral</x:v>
      </x:c>
      <x:c r="D837" s="115" t="str">
        <x:v>Phare et logements</x:v>
      </x:c>
      <x:c r="E837" s="115" t="n">
        <x:v>32</x:v>
      </x:c>
      <x:c r="F837" s="115" t="str">
        <x:v>Inspection physique</x:v>
      </x:c>
      <x:c r="G837" s="115" t="str">
        <x:v>1 niveaux ; 32 pièces ; 248 segments de mur ; 0 transitions. Inspection physique ; architecture complète encore ouverte.</x:v>
      </x:c>
      <x:c r="H837" s="115" t="str">
        <x:v>L 324 ; l 278 ; hauteur 34 m ; choix de composition auteur ; dimensions réelles à documenter</x:v>
      </x:c>
      <x:c r="I837" s="115" t="str">
        <x:v>À équilibrer</x:v>
      </x:c>
      <x:c r="J837" s="115" t="str">
        <x:v>Non</x:v>
      </x:c>
      <x:c r="K837" s="115" t="str">
        <x:v>Pièces décrites, murs, portes, niveaux et mobilier inspectables à l’échelle. Volumes réservés, raccord au seed, butin, rencontres et services de campagne restent à terminer.</x:v>
      </x:c>
    </x:row>
    <x:row r="838" ht="96" customHeight="1">
      <x:c r="A838" s="115" t="str">
        <x:v>EXT-MONDE-T017-V33</x:v>
      </x:c>
      <x:c r="B838" s="115" t="str">
        <x:v>EXT-MONDE-T017</x:v>
      </x:c>
      <x:c r="C838" s="115" t="str">
        <x:v>Littoral</x:v>
      </x:c>
      <x:c r="D838" s="115" t="str">
        <x:v>Phare et logements</x:v>
      </x:c>
      <x:c r="E838" s="115" t="n">
        <x:v>33</x:v>
      </x:c>
      <x:c r="F838" s="115" t="str">
        <x:v>Inspection physique</x:v>
      </x:c>
      <x:c r="G838" s="115" t="str">
        <x:v>1 niveaux ; 32 pièces ; 248 segments de mur ; 0 transitions. Inspection physique ; architecture complète encore ouverte.</x:v>
      </x:c>
      <x:c r="H838" s="115" t="str">
        <x:v>L 324 ; l 278 ; hauteur 34 m ; choix de composition auteur ; dimensions réelles à documenter</x:v>
      </x:c>
      <x:c r="I838" s="115" t="str">
        <x:v>À équilibrer</x:v>
      </x:c>
      <x:c r="J838" s="115" t="str">
        <x:v>Non</x:v>
      </x:c>
      <x:c r="K838" s="115" t="str">
        <x:v>Pièces décrites, murs, portes, niveaux et mobilier inspectables à l’échelle. Volumes réservés, raccord au seed, butin, rencontres et services de campagne restent à terminer.</x:v>
      </x:c>
    </x:row>
    <x:row r="839" ht="96" customHeight="1">
      <x:c r="A839" s="115" t="str">
        <x:v>EXT-MONDE-T017-V34</x:v>
      </x:c>
      <x:c r="B839" s="115" t="str">
        <x:v>EXT-MONDE-T017</x:v>
      </x:c>
      <x:c r="C839" s="115" t="str">
        <x:v>Littoral</x:v>
      </x:c>
      <x:c r="D839" s="115" t="str">
        <x:v>Phare et logements</x:v>
      </x:c>
      <x:c r="E839" s="115" t="n">
        <x:v>34</x:v>
      </x:c>
      <x:c r="F839" s="115" t="str">
        <x:v>Inspection physique</x:v>
      </x:c>
      <x:c r="G839" s="115" t="str">
        <x:v>1 niveaux ; 32 pièces ; 248 segments de mur ; 0 transitions. Inspection physique ; architecture complète encore ouverte.</x:v>
      </x:c>
      <x:c r="H839" s="115" t="str">
        <x:v>L 324 ; l 278 ; hauteur 34 m ; choix de composition auteur ; dimensions réelles à documenter</x:v>
      </x:c>
      <x:c r="I839" s="115" t="str">
        <x:v>À équilibrer</x:v>
      </x:c>
      <x:c r="J839" s="115" t="str">
        <x:v>Non</x:v>
      </x:c>
      <x:c r="K839" s="115" t="str">
        <x:v>Pièces décrites, murs, portes, niveaux et mobilier inspectables à l’échelle. Volumes réservés, raccord au seed, butin, rencontres et services de campagne restent à terminer.</x:v>
      </x:c>
    </x:row>
    <x:row r="840" ht="96" customHeight="1">
      <x:c r="A840" s="115" t="str">
        <x:v>EXT-MONDE-T017-V35</x:v>
      </x:c>
      <x:c r="B840" s="115" t="str">
        <x:v>EXT-MONDE-T017</x:v>
      </x:c>
      <x:c r="C840" s="115" t="str">
        <x:v>Littoral</x:v>
      </x:c>
      <x:c r="D840" s="115" t="str">
        <x:v>Phare et logements</x:v>
      </x:c>
      <x:c r="E840" s="115" t="n">
        <x:v>35</x:v>
      </x:c>
      <x:c r="F840" s="115" t="str">
        <x:v>Inspection physique</x:v>
      </x:c>
      <x:c r="G840" s="115" t="str">
        <x:v>1 niveaux ; 32 pièces ; 248 segments de mur ; 0 transitions. Inspection physique ; architecture complète encore ouverte.</x:v>
      </x:c>
      <x:c r="H840" s="115" t="str">
        <x:v>L 324 ; l 278 ; hauteur 34 m ; choix de composition auteur ; dimensions réelles à documenter</x:v>
      </x:c>
      <x:c r="I840" s="115" t="str">
        <x:v>À équilibrer</x:v>
      </x:c>
      <x:c r="J840" s="115" t="str">
        <x:v>Non</x:v>
      </x:c>
      <x:c r="K840" s="115" t="str">
        <x:v>Pièces décrites, murs, portes, niveaux et mobilier inspectables à l’échelle. Volumes réservés, raccord au seed, butin, rencontres et services de campagne restent à terminer.</x:v>
      </x:c>
    </x:row>
    <x:row r="841" ht="96" customHeight="1">
      <x:c r="A841" s="115" t="str">
        <x:v>EXT-MONDE-T017-V36</x:v>
      </x:c>
      <x:c r="B841" s="115" t="str">
        <x:v>EXT-MONDE-T017</x:v>
      </x:c>
      <x:c r="C841" s="115" t="str">
        <x:v>Littoral</x:v>
      </x:c>
      <x:c r="D841" s="115" t="str">
        <x:v>Phare et logements</x:v>
      </x:c>
      <x:c r="E841" s="115" t="n">
        <x:v>36</x:v>
      </x:c>
      <x:c r="F841" s="115" t="str">
        <x:v>Inspection physique</x:v>
      </x:c>
      <x:c r="G841" s="115" t="str">
        <x:v>1 niveaux ; 32 pièces ; 248 segments de mur ; 0 transitions. Inspection physique ; architecture complète encore ouverte.</x:v>
      </x:c>
      <x:c r="H841" s="115" t="str">
        <x:v>L 324 ; l 278 ; hauteur 34 m ; choix de composition auteur ; dimensions réelles à documenter</x:v>
      </x:c>
      <x:c r="I841" s="115" t="str">
        <x:v>À équilibrer</x:v>
      </x:c>
      <x:c r="J841" s="115" t="str">
        <x:v>Non</x:v>
      </x:c>
      <x:c r="K841" s="115" t="str">
        <x:v>Pièces décrites, murs, portes, niveaux et mobilier inspectables à l’échelle. Volumes réservés, raccord au seed, butin, rencontres et services de campagne restent à terminer.</x:v>
      </x:c>
    </x:row>
    <x:row r="842" ht="96" customHeight="1">
      <x:c r="A842" s="115" t="str">
        <x:v>EXT-MONDE-T017-V37</x:v>
      </x:c>
      <x:c r="B842" s="115" t="str">
        <x:v>EXT-MONDE-T017</x:v>
      </x:c>
      <x:c r="C842" s="115" t="str">
        <x:v>Littoral</x:v>
      </x:c>
      <x:c r="D842" s="115" t="str">
        <x:v>Phare et logements</x:v>
      </x:c>
      <x:c r="E842" s="115" t="n">
        <x:v>37</x:v>
      </x:c>
      <x:c r="F842" s="115" t="str">
        <x:v>Inspection physique</x:v>
      </x:c>
      <x:c r="G842" s="115" t="str">
        <x:v>1 niveaux ; 32 pièces ; 248 segments de mur ; 0 transitions. Inspection physique ; architecture complète encore ouverte.</x:v>
      </x:c>
      <x:c r="H842" s="115" t="str">
        <x:v>L 324 ; l 278 ; hauteur 34 m ; choix de composition auteur ; dimensions réelles à documenter</x:v>
      </x:c>
      <x:c r="I842" s="115" t="str">
        <x:v>À équilibrer</x:v>
      </x:c>
      <x:c r="J842" s="115" t="str">
        <x:v>Non</x:v>
      </x:c>
      <x:c r="K842" s="115" t="str">
        <x:v>Pièces décrites, murs, portes, niveaux et mobilier inspectables à l’échelle. Volumes réservés, raccord au seed, butin, rencontres et services de campagne restent à terminer.</x:v>
      </x:c>
    </x:row>
    <x:row r="843" ht="96" customHeight="1">
      <x:c r="A843" s="115" t="str">
        <x:v>EXT-MONDE-T017-V38</x:v>
      </x:c>
      <x:c r="B843" s="115" t="str">
        <x:v>EXT-MONDE-T017</x:v>
      </x:c>
      <x:c r="C843" s="115" t="str">
        <x:v>Littoral</x:v>
      </x:c>
      <x:c r="D843" s="115" t="str">
        <x:v>Phare et logements</x:v>
      </x:c>
      <x:c r="E843" s="115" t="n">
        <x:v>38</x:v>
      </x:c>
      <x:c r="F843" s="115" t="str">
        <x:v>Inspection physique</x:v>
      </x:c>
      <x:c r="G843" s="115" t="str">
        <x:v>1 niveaux ; 32 pièces ; 248 segments de mur ; 0 transitions. Inspection physique ; architecture complète encore ouverte.</x:v>
      </x:c>
      <x:c r="H843" s="115" t="str">
        <x:v>L 324 ; l 278 ; hauteur 34 m ; choix de composition auteur ; dimensions réelles à documenter</x:v>
      </x:c>
      <x:c r="I843" s="115" t="str">
        <x:v>À équilibrer</x:v>
      </x:c>
      <x:c r="J843" s="115" t="str">
        <x:v>Non</x:v>
      </x:c>
      <x:c r="K843" s="115" t="str">
        <x:v>Pièces décrites, murs, portes, niveaux et mobilier inspectables à l’échelle. Volumes réservés, raccord au seed, butin, rencontres et services de campagne restent à terminer.</x:v>
      </x:c>
    </x:row>
    <x:row r="844" ht="96" customHeight="1">
      <x:c r="A844" s="115" t="str">
        <x:v>EXT-MONDE-T017-V39</x:v>
      </x:c>
      <x:c r="B844" s="115" t="str">
        <x:v>EXT-MONDE-T017</x:v>
      </x:c>
      <x:c r="C844" s="115" t="str">
        <x:v>Littoral</x:v>
      </x:c>
      <x:c r="D844" s="115" t="str">
        <x:v>Phare et logements</x:v>
      </x:c>
      <x:c r="E844" s="115" t="n">
        <x:v>39</x:v>
      </x:c>
      <x:c r="F844" s="115" t="str">
        <x:v>Inspection physique</x:v>
      </x:c>
      <x:c r="G844" s="115" t="str">
        <x:v>1 niveaux ; 32 pièces ; 248 segments de mur ; 0 transitions. Inspection physique ; architecture complète encore ouverte.</x:v>
      </x:c>
      <x:c r="H844" s="115" t="str">
        <x:v>L 324 ; l 278 ; hauteur 34 m ; choix de composition auteur ; dimensions réelles à documenter</x:v>
      </x:c>
      <x:c r="I844" s="115" t="str">
        <x:v>À équilibrer</x:v>
      </x:c>
      <x:c r="J844" s="115" t="str">
        <x:v>Non</x:v>
      </x:c>
      <x:c r="K844" s="115" t="str">
        <x:v>Pièces décrites, murs, portes, niveaux et mobilier inspectables à l’échelle. Volumes réservés, raccord au seed, butin, rencontres et services de campagne restent à terminer.</x:v>
      </x:c>
    </x:row>
    <x:row r="845" ht="96" customHeight="1">
      <x:c r="A845" s="115" t="str">
        <x:v>EXT-MONDE-T017-V40</x:v>
      </x:c>
      <x:c r="B845" s="115" t="str">
        <x:v>EXT-MONDE-T017</x:v>
      </x:c>
      <x:c r="C845" s="115" t="str">
        <x:v>Littoral</x:v>
      </x:c>
      <x:c r="D845" s="115" t="str">
        <x:v>Phare et logements</x:v>
      </x:c>
      <x:c r="E845" s="115" t="n">
        <x:v>40</x:v>
      </x:c>
      <x:c r="F845" s="115" t="str">
        <x:v>Inspection physique</x:v>
      </x:c>
      <x:c r="G845" s="115" t="str">
        <x:v>1 niveaux ; 32 pièces ; 248 segments de mur ; 0 transitions. Inspection physique ; architecture complète encore ouverte.</x:v>
      </x:c>
      <x:c r="H845" s="115" t="str">
        <x:v>L 324 ; l 278 ; hauteur 34 m ; choix de composition auteur ; dimensions réelles à documenter</x:v>
      </x:c>
      <x:c r="I845" s="115" t="str">
        <x:v>À équilibrer</x:v>
      </x:c>
      <x:c r="J845" s="115" t="str">
        <x:v>Non</x:v>
      </x:c>
      <x:c r="K845" s="115" t="str">
        <x:v>Pièces décrites, murs, portes, niveaux et mobilier inspectables à l’échelle. Volumes réservés, raccord au seed, butin, rencontres et services de campagne restent à terminer.</x:v>
      </x:c>
    </x:row>
    <x:row r="846" ht="96" customHeight="1">
      <x:c r="A846" s="115" t="str">
        <x:v>EXT-MONDE-T017-V41</x:v>
      </x:c>
      <x:c r="B846" s="115" t="str">
        <x:v>EXT-MONDE-T017</x:v>
      </x:c>
      <x:c r="C846" s="115" t="str">
        <x:v>Littoral</x:v>
      </x:c>
      <x:c r="D846" s="115" t="str">
        <x:v>Phare et logements</x:v>
      </x:c>
      <x:c r="E846" s="115" t="n">
        <x:v>41</x:v>
      </x:c>
      <x:c r="F846" s="115" t="str">
        <x:v>Inspection physique</x:v>
      </x:c>
      <x:c r="G846" s="115" t="str">
        <x:v>1 niveaux ; 32 pièces ; 248 segments de mur ; 0 transitions. Inspection physique ; architecture complète encore ouverte.</x:v>
      </x:c>
      <x:c r="H846" s="115" t="str">
        <x:v>L 342 ; l 294 ; hauteur 36 m ; choix de composition auteur ; dimensions réelles à documenter</x:v>
      </x:c>
      <x:c r="I846" s="115" t="str">
        <x:v>À équilibrer</x:v>
      </x:c>
      <x:c r="J846" s="115" t="str">
        <x:v>Non</x:v>
      </x:c>
      <x:c r="K846" s="115" t="str">
        <x:v>Pièces décrites, murs, portes, niveaux et mobilier inspectables à l’échelle. Volumes réservés, raccord au seed, butin, rencontres et services de campagne restent à terminer.</x:v>
      </x:c>
    </x:row>
    <x:row r="847" ht="96" customHeight="1">
      <x:c r="A847" s="115" t="str">
        <x:v>EXT-MONDE-T017-V42</x:v>
      </x:c>
      <x:c r="B847" s="115" t="str">
        <x:v>EXT-MONDE-T017</x:v>
      </x:c>
      <x:c r="C847" s="115" t="str">
        <x:v>Littoral</x:v>
      </x:c>
      <x:c r="D847" s="115" t="str">
        <x:v>Phare et logements</x:v>
      </x:c>
      <x:c r="E847" s="115" t="n">
        <x:v>42</x:v>
      </x:c>
      <x:c r="F847" s="115" t="str">
        <x:v>Inspection physique</x:v>
      </x:c>
      <x:c r="G847" s="115" t="str">
        <x:v>1 niveaux ; 32 pièces ; 248 segments de mur ; 0 transitions. Inspection physique ; architecture complète encore ouverte.</x:v>
      </x:c>
      <x:c r="H847" s="115" t="str">
        <x:v>L 342 ; l 294 ; hauteur 36 m ; choix de composition auteur ; dimensions réelles à documenter</x:v>
      </x:c>
      <x:c r="I847" s="115" t="str">
        <x:v>À équilibrer</x:v>
      </x:c>
      <x:c r="J847" s="115" t="str">
        <x:v>Non</x:v>
      </x:c>
      <x:c r="K847" s="115" t="str">
        <x:v>Pièces décrites, murs, portes, niveaux et mobilier inspectables à l’échelle. Volumes réservés, raccord au seed, butin, rencontres et services de campagne restent à terminer.</x:v>
      </x:c>
    </x:row>
    <x:row r="848" ht="96" customHeight="1">
      <x:c r="A848" s="115" t="str">
        <x:v>EXT-MONDE-T017-V43</x:v>
      </x:c>
      <x:c r="B848" s="115" t="str">
        <x:v>EXT-MONDE-T017</x:v>
      </x:c>
      <x:c r="C848" s="115" t="str">
        <x:v>Littoral</x:v>
      </x:c>
      <x:c r="D848" s="115" t="str">
        <x:v>Phare et logements</x:v>
      </x:c>
      <x:c r="E848" s="115" t="n">
        <x:v>43</x:v>
      </x:c>
      <x:c r="F848" s="115" t="str">
        <x:v>Inspection physique</x:v>
      </x:c>
      <x:c r="G848" s="115" t="str">
        <x:v>1 niveaux ; 32 pièces ; 248 segments de mur ; 0 transitions. Inspection physique ; architecture complète encore ouverte.</x:v>
      </x:c>
      <x:c r="H848" s="115" t="str">
        <x:v>L 342 ; l 294 ; hauteur 36 m ; choix de composition auteur ; dimensions réelles à documenter</x:v>
      </x:c>
      <x:c r="I848" s="115" t="str">
        <x:v>À équilibrer</x:v>
      </x:c>
      <x:c r="J848" s="115" t="str">
        <x:v>Non</x:v>
      </x:c>
      <x:c r="K848" s="115" t="str">
        <x:v>Pièces décrites, murs, portes, niveaux et mobilier inspectables à l’échelle. Volumes réservés, raccord au seed, butin, rencontres et services de campagne restent à terminer.</x:v>
      </x:c>
    </x:row>
    <x:row r="849" ht="96" customHeight="1">
      <x:c r="A849" s="115" t="str">
        <x:v>EXT-MONDE-T017-V44</x:v>
      </x:c>
      <x:c r="B849" s="115" t="str">
        <x:v>EXT-MONDE-T017</x:v>
      </x:c>
      <x:c r="C849" s="115" t="str">
        <x:v>Littoral</x:v>
      </x:c>
      <x:c r="D849" s="115" t="str">
        <x:v>Phare et logements</x:v>
      </x:c>
      <x:c r="E849" s="115" t="n">
        <x:v>44</x:v>
      </x:c>
      <x:c r="F849" s="115" t="str">
        <x:v>Inspection physique</x:v>
      </x:c>
      <x:c r="G849" s="115" t="str">
        <x:v>1 niveaux ; 32 pièces ; 248 segments de mur ; 0 transitions. Inspection physique ; architecture complète encore ouverte.</x:v>
      </x:c>
      <x:c r="H849" s="115" t="str">
        <x:v>L 342 ; l 294 ; hauteur 36 m ; choix de composition auteur ; dimensions réelles à documenter</x:v>
      </x:c>
      <x:c r="I849" s="115" t="str">
        <x:v>À équilibrer</x:v>
      </x:c>
      <x:c r="J849" s="115" t="str">
        <x:v>Non</x:v>
      </x:c>
      <x:c r="K849" s="115" t="str">
        <x:v>Pièces décrites, murs, portes, niveaux et mobilier inspectables à l’échelle. Volumes réservés, raccord au seed, butin, rencontres et services de campagne restent à terminer.</x:v>
      </x:c>
    </x:row>
    <x:row r="850" ht="96" customHeight="1">
      <x:c r="A850" s="115" t="str">
        <x:v>EXT-MONDE-T017-V45</x:v>
      </x:c>
      <x:c r="B850" s="115" t="str">
        <x:v>EXT-MONDE-T017</x:v>
      </x:c>
      <x:c r="C850" s="115" t="str">
        <x:v>Littoral</x:v>
      </x:c>
      <x:c r="D850" s="115" t="str">
        <x:v>Phare et logements</x:v>
      </x:c>
      <x:c r="E850" s="115" t="n">
        <x:v>45</x:v>
      </x:c>
      <x:c r="F850" s="115" t="str">
        <x:v>Inspection physique</x:v>
      </x:c>
      <x:c r="G850" s="115" t="str">
        <x:v>1 niveaux ; 32 pièces ; 248 segments de mur ; 0 transitions. Inspection physique ; architecture complète encore ouverte.</x:v>
      </x:c>
      <x:c r="H850" s="115" t="str">
        <x:v>L 342 ; l 294 ; hauteur 36 m ; choix de composition auteur ; dimensions réelles à documenter</x:v>
      </x:c>
      <x:c r="I850" s="115" t="str">
        <x:v>À équilibrer</x:v>
      </x:c>
      <x:c r="J850" s="115" t="str">
        <x:v>Non</x:v>
      </x:c>
      <x:c r="K850" s="115" t="str">
        <x:v>Pièces décrites, murs, portes, niveaux et mobilier inspectables à l’échelle. Volumes réservés, raccord au seed, butin, rencontres et services de campagne restent à terminer.</x:v>
      </x:c>
    </x:row>
    <x:row r="851" ht="96" customHeight="1">
      <x:c r="A851" s="115" t="str">
        <x:v>EXT-MONDE-T017-V46</x:v>
      </x:c>
      <x:c r="B851" s="115" t="str">
        <x:v>EXT-MONDE-T017</x:v>
      </x:c>
      <x:c r="C851" s="115" t="str">
        <x:v>Littoral</x:v>
      </x:c>
      <x:c r="D851" s="115" t="str">
        <x:v>Phare et logements</x:v>
      </x:c>
      <x:c r="E851" s="115" t="n">
        <x:v>46</x:v>
      </x:c>
      <x:c r="F851" s="115" t="str">
        <x:v>Inspection physique</x:v>
      </x:c>
      <x:c r="G851" s="115" t="str">
        <x:v>1 niveaux ; 32 pièces ; 248 segments de mur ; 0 transitions. Inspection physique ; architecture complète encore ouverte.</x:v>
      </x:c>
      <x:c r="H851" s="115" t="str">
        <x:v>L 342 ; l 294 ; hauteur 36 m ; choix de composition auteur ; dimensions réelles à documenter</x:v>
      </x:c>
      <x:c r="I851" s="115" t="str">
        <x:v>À équilibrer</x:v>
      </x:c>
      <x:c r="J851" s="115" t="str">
        <x:v>Non</x:v>
      </x:c>
      <x:c r="K851" s="115" t="str">
        <x:v>Pièces décrites, murs, portes, niveaux et mobilier inspectables à l’échelle. Volumes réservés, raccord au seed, butin, rencontres et services de campagne restent à terminer.</x:v>
      </x:c>
    </x:row>
    <x:row r="852" ht="96" customHeight="1">
      <x:c r="A852" s="115" t="str">
        <x:v>EXT-MONDE-T017-V47</x:v>
      </x:c>
      <x:c r="B852" s="115" t="str">
        <x:v>EXT-MONDE-T017</x:v>
      </x:c>
      <x:c r="C852" s="115" t="str">
        <x:v>Littoral</x:v>
      </x:c>
      <x:c r="D852" s="115" t="str">
        <x:v>Phare et logements</x:v>
      </x:c>
      <x:c r="E852" s="115" t="n">
        <x:v>47</x:v>
      </x:c>
      <x:c r="F852" s="115" t="str">
        <x:v>Inspection physique</x:v>
      </x:c>
      <x:c r="G852" s="115" t="str">
        <x:v>1 niveaux ; 32 pièces ; 248 segments de mur ; 0 transitions. Inspection physique ; architecture complète encore ouverte.</x:v>
      </x:c>
      <x:c r="H852" s="115" t="str">
        <x:v>L 342 ; l 294 ; hauteur 36 m ; choix de composition auteur ; dimensions réelles à documenter</x:v>
      </x:c>
      <x:c r="I852" s="115" t="str">
        <x:v>À équilibrer</x:v>
      </x:c>
      <x:c r="J852" s="115" t="str">
        <x:v>Non</x:v>
      </x:c>
      <x:c r="K852" s="115" t="str">
        <x:v>Pièces décrites, murs, portes, niveaux et mobilier inspectables à l’échelle. Volumes réservés, raccord au seed, butin, rencontres et services de campagne restent à terminer.</x:v>
      </x:c>
    </x:row>
    <x:row r="853" ht="96" customHeight="1">
      <x:c r="A853" s="115" t="str">
        <x:v>EXT-MONDE-T017-V48</x:v>
      </x:c>
      <x:c r="B853" s="115" t="str">
        <x:v>EXT-MONDE-T017</x:v>
      </x:c>
      <x:c r="C853" s="115" t="str">
        <x:v>Littoral</x:v>
      </x:c>
      <x:c r="D853" s="115" t="str">
        <x:v>Phare et logements</x:v>
      </x:c>
      <x:c r="E853" s="115" t="n">
        <x:v>48</x:v>
      </x:c>
      <x:c r="F853" s="115" t="str">
        <x:v>Inspection physique</x:v>
      </x:c>
      <x:c r="G853" s="115" t="str">
        <x:v>1 niveaux ; 32 pièces ; 248 segments de mur ; 0 transitions. Inspection physique ; architecture complète encore ouverte.</x:v>
      </x:c>
      <x:c r="H853" s="115" t="str">
        <x:v>L 342 ; l 294 ; hauteur 36 m ; choix de composition auteur ; dimensions réelles à documenter</x:v>
      </x:c>
      <x:c r="I853" s="115" t="str">
        <x:v>À équilibrer</x:v>
      </x:c>
      <x:c r="J853" s="115" t="str">
        <x:v>Non</x:v>
      </x:c>
      <x:c r="K853" s="115" t="str">
        <x:v>Pièces décrites, murs, portes, niveaux et mobilier inspectables à l’échelle. Volumes réservés, raccord au seed, butin, rencontres et services de campagne restent à terminer.</x:v>
      </x:c>
    </x:row>
    <x:row r="854" ht="96" customHeight="1">
      <x:c r="A854" s="115" t="str">
        <x:v>EXT-MONDE-T017-V49</x:v>
      </x:c>
      <x:c r="B854" s="115" t="str">
        <x:v>EXT-MONDE-T017</x:v>
      </x:c>
      <x:c r="C854" s="115" t="str">
        <x:v>Littoral</x:v>
      </x:c>
      <x:c r="D854" s="115" t="str">
        <x:v>Phare et logements</x:v>
      </x:c>
      <x:c r="E854" s="115" t="n">
        <x:v>49</x:v>
      </x:c>
      <x:c r="F854" s="115" t="str">
        <x:v>Inspection physique</x:v>
      </x:c>
      <x:c r="G854" s="115" t="str">
        <x:v>1 niveaux ; 32 pièces ; 248 segments de mur ; 0 transitions. Inspection physique ; architecture complète encore ouverte.</x:v>
      </x:c>
      <x:c r="H854" s="115" t="str">
        <x:v>L 342 ; l 294 ; hauteur 36 m ; choix de composition auteur ; dimensions réelles à documenter</x:v>
      </x:c>
      <x:c r="I854" s="115" t="str">
        <x:v>À équilibrer</x:v>
      </x:c>
      <x:c r="J854" s="115" t="str">
        <x:v>Non</x:v>
      </x:c>
      <x:c r="K854" s="115" t="str">
        <x:v>Pièces décrites, murs, portes, niveaux et mobilier inspectables à l’échelle. Volumes réservés, raccord au seed, butin, rencontres et services de campagne restent à terminer.</x:v>
      </x:c>
    </x:row>
    <x:row r="855" ht="96" customHeight="1">
      <x:c r="A855" s="115" t="str">
        <x:v>EXT-MONDE-T017-V50</x:v>
      </x:c>
      <x:c r="B855" s="115" t="str">
        <x:v>EXT-MONDE-T017</x:v>
      </x:c>
      <x:c r="C855" s="115" t="str">
        <x:v>Littoral</x:v>
      </x:c>
      <x:c r="D855" s="115" t="str">
        <x:v>Phare et logements</x:v>
      </x:c>
      <x:c r="E855" s="115" t="n">
        <x:v>50</x:v>
      </x:c>
      <x:c r="F855" s="115" t="str">
        <x:v>Inspection physique</x:v>
      </x:c>
      <x:c r="G855" s="115" t="str">
        <x:v>1 niveaux ; 32 pièces ; 248 segments de mur ; 0 transitions. Inspection physique ; architecture complète encore ouverte.</x:v>
      </x:c>
      <x:c r="H855" s="115" t="str">
        <x:v>L 342 ; l 294 ; hauteur 36 m ; choix de composition auteur ; dimensions réelles à documenter</x:v>
      </x:c>
      <x:c r="I855" s="115" t="str">
        <x:v>À équilibrer</x:v>
      </x:c>
      <x:c r="J855" s="115" t="str">
        <x:v>Non</x:v>
      </x:c>
      <x:c r="K855" s="115" t="str">
        <x:v>Pièces décrites, murs, portes, niveaux et mobilier inspectables à l’échelle. Volumes réservés, raccord au seed, butin, rencontres et services de campagne restent à terminer.</x:v>
      </x:c>
    </x:row>
    <x:row r="856" ht="96" customHeight="1">
      <x:c r="A856" s="115" t="str">
        <x:v>EXT-MONDE-T018-V01</x:v>
      </x:c>
      <x:c r="B856" s="115" t="str">
        <x:v>EXT-MONDE-T018</x:v>
      </x:c>
      <x:c r="C856" s="115" t="str">
        <x:v>Littoral</x:v>
      </x:c>
      <x:c r="D856" s="115" t="str">
        <x:v>Fête foraine portuaire</x:v>
      </x:c>
      <x:c r="E856" s="115" t="n">
        <x:v>1</x:v>
      </x:c>
      <x:c r="F856" s="115" t="str">
        <x:v>Inspection physique</x:v>
      </x:c>
      <x:c r="G856" s="115" t="str">
        <x:v>1 niveaux ; 32 pièces ; 248 segments de mur ; 0 transitions. Inspection physique ; architecture complète encore ouverte.</x:v>
      </x:c>
      <x:c r="H856" s="115" t="str">
        <x:v>L 270 ; l 230 ; hauteur 24 m ; choix de composition auteur ; dimensions réelles à documenter</x:v>
      </x:c>
      <x:c r="I856" s="115" t="str">
        <x:v>À équilibrer</x:v>
      </x:c>
      <x:c r="J856" s="115" t="str">
        <x:v>Non</x:v>
      </x:c>
      <x:c r="K856" s="115" t="str">
        <x:v>Pièces décrites, murs, portes, niveaux et mobilier inspectables à l’échelle. Volumes réservés, raccord au seed, butin, rencontres et services de campagne restent à terminer.</x:v>
      </x:c>
    </x:row>
    <x:row r="857" ht="96" customHeight="1">
      <x:c r="A857" s="115" t="str">
        <x:v>EXT-MONDE-T018-V02</x:v>
      </x:c>
      <x:c r="B857" s="115" t="str">
        <x:v>EXT-MONDE-T018</x:v>
      </x:c>
      <x:c r="C857" s="115" t="str">
        <x:v>Littoral</x:v>
      </x:c>
      <x:c r="D857" s="115" t="str">
        <x:v>Fête foraine portuaire</x:v>
      </x:c>
      <x:c r="E857" s="115" t="n">
        <x:v>2</x:v>
      </x:c>
      <x:c r="F857" s="115" t="str">
        <x:v>Inspection physique</x:v>
      </x:c>
      <x:c r="G857" s="115" t="str">
        <x:v>1 niveaux ; 32 pièces ; 248 segments de mur ; 0 transitions. Inspection physique ; architecture complète encore ouverte.</x:v>
      </x:c>
      <x:c r="H857" s="115" t="str">
        <x:v>L 270 ; l 230 ; hauteur 24 m ; choix de composition auteur ; dimensions réelles à documenter</x:v>
      </x:c>
      <x:c r="I857" s="115" t="str">
        <x:v>À équilibrer</x:v>
      </x:c>
      <x:c r="J857" s="115" t="str">
        <x:v>Non</x:v>
      </x:c>
      <x:c r="K857" s="115" t="str">
        <x:v>Pièces décrites, murs, portes, niveaux et mobilier inspectables à l’échelle. Volumes réservés, raccord au seed, butin, rencontres et services de campagne restent à terminer.</x:v>
      </x:c>
    </x:row>
    <x:row r="858" ht="96" customHeight="1">
      <x:c r="A858" s="115" t="str">
        <x:v>EXT-MONDE-T018-V03</x:v>
      </x:c>
      <x:c r="B858" s="115" t="str">
        <x:v>EXT-MONDE-T018</x:v>
      </x:c>
      <x:c r="C858" s="115" t="str">
        <x:v>Littoral</x:v>
      </x:c>
      <x:c r="D858" s="115" t="str">
        <x:v>Fête foraine portuaire</x:v>
      </x:c>
      <x:c r="E858" s="115" t="n">
        <x:v>3</x:v>
      </x:c>
      <x:c r="F858" s="115" t="str">
        <x:v>Inspection physique</x:v>
      </x:c>
      <x:c r="G858" s="115" t="str">
        <x:v>1 niveaux ; 32 pièces ; 248 segments de mur ; 0 transitions. Inspection physique ; architecture complète encore ouverte.</x:v>
      </x:c>
      <x:c r="H858" s="115" t="str">
        <x:v>L 270 ; l 230 ; hauteur 24 m ; choix de composition auteur ; dimensions réelles à documenter</x:v>
      </x:c>
      <x:c r="I858" s="115" t="str">
        <x:v>À équilibrer</x:v>
      </x:c>
      <x:c r="J858" s="115" t="str">
        <x:v>Non</x:v>
      </x:c>
      <x:c r="K858" s="115" t="str">
        <x:v>Pièces décrites, murs, portes, niveaux et mobilier inspectables à l’échelle. Volumes réservés, raccord au seed, butin, rencontres et services de campagne restent à terminer.</x:v>
      </x:c>
    </x:row>
    <x:row r="859" ht="96" customHeight="1">
      <x:c r="A859" s="115" t="str">
        <x:v>EXT-MONDE-T018-V04</x:v>
      </x:c>
      <x:c r="B859" s="115" t="str">
        <x:v>EXT-MONDE-T018</x:v>
      </x:c>
      <x:c r="C859" s="115" t="str">
        <x:v>Littoral</x:v>
      </x:c>
      <x:c r="D859" s="115" t="str">
        <x:v>Fête foraine portuaire</x:v>
      </x:c>
      <x:c r="E859" s="115" t="n">
        <x:v>4</x:v>
      </x:c>
      <x:c r="F859" s="115" t="str">
        <x:v>Inspection physique</x:v>
      </x:c>
      <x:c r="G859" s="115" t="str">
        <x:v>1 niveaux ; 32 pièces ; 248 segments de mur ; 0 transitions. Inspection physique ; architecture complète encore ouverte.</x:v>
      </x:c>
      <x:c r="H859" s="115" t="str">
        <x:v>L 270 ; l 230 ; hauteur 24 m ; choix de composition auteur ; dimensions réelles à documenter</x:v>
      </x:c>
      <x:c r="I859" s="115" t="str">
        <x:v>À équilibrer</x:v>
      </x:c>
      <x:c r="J859" s="115" t="str">
        <x:v>Non</x:v>
      </x:c>
      <x:c r="K859" s="115" t="str">
        <x:v>Pièces décrites, murs, portes, niveaux et mobilier inspectables à l’échelle. Volumes réservés, raccord au seed, butin, rencontres et services de campagne restent à terminer.</x:v>
      </x:c>
    </x:row>
    <x:row r="860" ht="96" customHeight="1">
      <x:c r="A860" s="115" t="str">
        <x:v>EXT-MONDE-T018-V05</x:v>
      </x:c>
      <x:c r="B860" s="115" t="str">
        <x:v>EXT-MONDE-T018</x:v>
      </x:c>
      <x:c r="C860" s="115" t="str">
        <x:v>Littoral</x:v>
      </x:c>
      <x:c r="D860" s="115" t="str">
        <x:v>Fête foraine portuaire</x:v>
      </x:c>
      <x:c r="E860" s="115" t="n">
        <x:v>5</x:v>
      </x:c>
      <x:c r="F860" s="115" t="str">
        <x:v>Inspection physique</x:v>
      </x:c>
      <x:c r="G860" s="115" t="str">
        <x:v>1 niveaux ; 32 pièces ; 248 segments de mur ; 0 transitions. Inspection physique ; architecture complète encore ouverte.</x:v>
      </x:c>
      <x:c r="H860" s="115" t="str">
        <x:v>L 270 ; l 230 ; hauteur 24 m ; choix de composition auteur ; dimensions réelles à documenter</x:v>
      </x:c>
      <x:c r="I860" s="115" t="str">
        <x:v>À équilibrer</x:v>
      </x:c>
      <x:c r="J860" s="115" t="str">
        <x:v>Non</x:v>
      </x:c>
      <x:c r="K860" s="115" t="str">
        <x:v>Pièces décrites, murs, portes, niveaux et mobilier inspectables à l’échelle. Volumes réservés, raccord au seed, butin, rencontres et services de campagne restent à terminer.</x:v>
      </x:c>
    </x:row>
    <x:row r="861" ht="96" customHeight="1">
      <x:c r="A861" s="115" t="str">
        <x:v>EXT-MONDE-T018-V06</x:v>
      </x:c>
      <x:c r="B861" s="115" t="str">
        <x:v>EXT-MONDE-T018</x:v>
      </x:c>
      <x:c r="C861" s="115" t="str">
        <x:v>Littoral</x:v>
      </x:c>
      <x:c r="D861" s="115" t="str">
        <x:v>Fête foraine portuaire</x:v>
      </x:c>
      <x:c r="E861" s="115" t="n">
        <x:v>6</x:v>
      </x:c>
      <x:c r="F861" s="115" t="str">
        <x:v>Inspection physique</x:v>
      </x:c>
      <x:c r="G861" s="115" t="str">
        <x:v>1 niveaux ; 32 pièces ; 248 segments de mur ; 0 transitions. Inspection physique ; architecture complète encore ouverte.</x:v>
      </x:c>
      <x:c r="H861" s="115" t="str">
        <x:v>L 270 ; l 230 ; hauteur 24 m ; choix de composition auteur ; dimensions réelles à documenter</x:v>
      </x:c>
      <x:c r="I861" s="115" t="str">
        <x:v>À équilibrer</x:v>
      </x:c>
      <x:c r="J861" s="115" t="str">
        <x:v>Non</x:v>
      </x:c>
      <x:c r="K861" s="115" t="str">
        <x:v>Pièces décrites, murs, portes, niveaux et mobilier inspectables à l’échelle. Volumes réservés, raccord au seed, butin, rencontres et services de campagne restent à terminer.</x:v>
      </x:c>
    </x:row>
    <x:row r="862" ht="96" customHeight="1">
      <x:c r="A862" s="115" t="str">
        <x:v>EXT-MONDE-T018-V07</x:v>
      </x:c>
      <x:c r="B862" s="115" t="str">
        <x:v>EXT-MONDE-T018</x:v>
      </x:c>
      <x:c r="C862" s="115" t="str">
        <x:v>Littoral</x:v>
      </x:c>
      <x:c r="D862" s="115" t="str">
        <x:v>Fête foraine portuaire</x:v>
      </x:c>
      <x:c r="E862" s="115" t="n">
        <x:v>7</x:v>
      </x:c>
      <x:c r="F862" s="115" t="str">
        <x:v>Inspection physique</x:v>
      </x:c>
      <x:c r="G862" s="115" t="str">
        <x:v>1 niveaux ; 32 pièces ; 248 segments de mur ; 0 transitions. Inspection physique ; architecture complète encore ouverte.</x:v>
      </x:c>
      <x:c r="H862" s="115" t="str">
        <x:v>L 270 ; l 230 ; hauteur 24 m ; choix de composition auteur ; dimensions réelles à documenter</x:v>
      </x:c>
      <x:c r="I862" s="115" t="str">
        <x:v>À équilibrer</x:v>
      </x:c>
      <x:c r="J862" s="115" t="str">
        <x:v>Non</x:v>
      </x:c>
      <x:c r="K862" s="115" t="str">
        <x:v>Pièces décrites, murs, portes, niveaux et mobilier inspectables à l’échelle. Volumes réservés, raccord au seed, butin, rencontres et services de campagne restent à terminer.</x:v>
      </x:c>
    </x:row>
    <x:row r="863" ht="96" customHeight="1">
      <x:c r="A863" s="115" t="str">
        <x:v>EXT-MONDE-T018-V08</x:v>
      </x:c>
      <x:c r="B863" s="115" t="str">
        <x:v>EXT-MONDE-T018</x:v>
      </x:c>
      <x:c r="C863" s="115" t="str">
        <x:v>Littoral</x:v>
      </x:c>
      <x:c r="D863" s="115" t="str">
        <x:v>Fête foraine portuaire</x:v>
      </x:c>
      <x:c r="E863" s="115" t="n">
        <x:v>8</x:v>
      </x:c>
      <x:c r="F863" s="115" t="str">
        <x:v>Inspection physique</x:v>
      </x:c>
      <x:c r="G863" s="115" t="str">
        <x:v>1 niveaux ; 32 pièces ; 248 segments de mur ; 0 transitions. Inspection physique ; architecture complète encore ouverte.</x:v>
      </x:c>
      <x:c r="H863" s="115" t="str">
        <x:v>L 270 ; l 230 ; hauteur 24 m ; choix de composition auteur ; dimensions réelles à documenter</x:v>
      </x:c>
      <x:c r="I863" s="115" t="str">
        <x:v>À équilibrer</x:v>
      </x:c>
      <x:c r="J863" s="115" t="str">
        <x:v>Non</x:v>
      </x:c>
      <x:c r="K863" s="115" t="str">
        <x:v>Pièces décrites, murs, portes, niveaux et mobilier inspectables à l’échelle. Volumes réservés, raccord au seed, butin, rencontres et services de campagne restent à terminer.</x:v>
      </x:c>
    </x:row>
    <x:row r="864" ht="96" customHeight="1">
      <x:c r="A864" s="115" t="str">
        <x:v>EXT-MONDE-T018-V09</x:v>
      </x:c>
      <x:c r="B864" s="115" t="str">
        <x:v>EXT-MONDE-T018</x:v>
      </x:c>
      <x:c r="C864" s="115" t="str">
        <x:v>Littoral</x:v>
      </x:c>
      <x:c r="D864" s="115" t="str">
        <x:v>Fête foraine portuaire</x:v>
      </x:c>
      <x:c r="E864" s="115" t="n">
        <x:v>9</x:v>
      </x:c>
      <x:c r="F864" s="115" t="str">
        <x:v>Inspection physique</x:v>
      </x:c>
      <x:c r="G864" s="115" t="str">
        <x:v>1 niveaux ; 32 pièces ; 248 segments de mur ; 0 transitions. Inspection physique ; architecture complète encore ouverte.</x:v>
      </x:c>
      <x:c r="H864" s="115" t="str">
        <x:v>L 270 ; l 230 ; hauteur 24 m ; choix de composition auteur ; dimensions réelles à documenter</x:v>
      </x:c>
      <x:c r="I864" s="115" t="str">
        <x:v>À équilibrer</x:v>
      </x:c>
      <x:c r="J864" s="115" t="str">
        <x:v>Non</x:v>
      </x:c>
      <x:c r="K864" s="115" t="str">
        <x:v>Pièces décrites, murs, portes, niveaux et mobilier inspectables à l’échelle. Volumes réservés, raccord au seed, butin, rencontres et services de campagne restent à terminer.</x:v>
      </x:c>
    </x:row>
    <x:row r="865" ht="96" customHeight="1">
      <x:c r="A865" s="115" t="str">
        <x:v>EXT-MONDE-T018-V10</x:v>
      </x:c>
      <x:c r="B865" s="115" t="str">
        <x:v>EXT-MONDE-T018</x:v>
      </x:c>
      <x:c r="C865" s="115" t="str">
        <x:v>Littoral</x:v>
      </x:c>
      <x:c r="D865" s="115" t="str">
        <x:v>Fête foraine portuaire</x:v>
      </x:c>
      <x:c r="E865" s="115" t="n">
        <x:v>10</x:v>
      </x:c>
      <x:c r="F865" s="115" t="str">
        <x:v>Inspection physique</x:v>
      </x:c>
      <x:c r="G865" s="115" t="str">
        <x:v>1 niveaux ; 32 pièces ; 248 segments de mur ; 0 transitions. Inspection physique ; architecture complète encore ouverte.</x:v>
      </x:c>
      <x:c r="H865" s="115" t="str">
        <x:v>L 270 ; l 230 ; hauteur 24 m ; choix de composition auteur ; dimensions réelles à documenter</x:v>
      </x:c>
      <x:c r="I865" s="115" t="str">
        <x:v>À équilibrer</x:v>
      </x:c>
      <x:c r="J865" s="115" t="str">
        <x:v>Non</x:v>
      </x:c>
      <x:c r="K865" s="115" t="str">
        <x:v>Pièces décrites, murs, portes, niveaux et mobilier inspectables à l’échelle. Volumes réservés, raccord au seed, butin, rencontres et services de campagne restent à terminer.</x:v>
      </x:c>
    </x:row>
    <x:row r="866" ht="96" customHeight="1">
      <x:c r="A866" s="115" t="str">
        <x:v>EXT-MONDE-T018-V11</x:v>
      </x:c>
      <x:c r="B866" s="115" t="str">
        <x:v>EXT-MONDE-T018</x:v>
      </x:c>
      <x:c r="C866" s="115" t="str">
        <x:v>Littoral</x:v>
      </x:c>
      <x:c r="D866" s="115" t="str">
        <x:v>Fête foraine portuaire</x:v>
      </x:c>
      <x:c r="E866" s="115" t="n">
        <x:v>11</x:v>
      </x:c>
      <x:c r="F866" s="115" t="str">
        <x:v>Inspection physique</x:v>
      </x:c>
      <x:c r="G866" s="115" t="str">
        <x:v>1 niveaux ; 32 pièces ; 248 segments de mur ; 0 transitions. Inspection physique ; architecture complète encore ouverte.</x:v>
      </x:c>
      <x:c r="H866" s="115" t="str">
        <x:v>L 288 ; l 246 ; hauteur 24 m ; choix de composition auteur ; dimensions réelles à documenter</x:v>
      </x:c>
      <x:c r="I866" s="115" t="str">
        <x:v>À équilibrer</x:v>
      </x:c>
      <x:c r="J866" s="115" t="str">
        <x:v>Non</x:v>
      </x:c>
      <x:c r="K866" s="115" t="str">
        <x:v>Pièces décrites, murs, portes, niveaux et mobilier inspectables à l’échelle. Volumes réservés, raccord au seed, butin, rencontres et services de campagne restent à terminer.</x:v>
      </x:c>
    </x:row>
    <x:row r="867" ht="96" customHeight="1">
      <x:c r="A867" s="115" t="str">
        <x:v>EXT-MONDE-T018-V12</x:v>
      </x:c>
      <x:c r="B867" s="115" t="str">
        <x:v>EXT-MONDE-T018</x:v>
      </x:c>
      <x:c r="C867" s="115" t="str">
        <x:v>Littoral</x:v>
      </x:c>
      <x:c r="D867" s="115" t="str">
        <x:v>Fête foraine portuaire</x:v>
      </x:c>
      <x:c r="E867" s="115" t="n">
        <x:v>12</x:v>
      </x:c>
      <x:c r="F867" s="115" t="str">
        <x:v>Inspection physique</x:v>
      </x:c>
      <x:c r="G867" s="115" t="str">
        <x:v>1 niveaux ; 32 pièces ; 248 segments de mur ; 0 transitions. Inspection physique ; architecture complète encore ouverte.</x:v>
      </x:c>
      <x:c r="H867" s="115" t="str">
        <x:v>L 288 ; l 246 ; hauteur 24 m ; choix de composition auteur ; dimensions réelles à documenter</x:v>
      </x:c>
      <x:c r="I867" s="115" t="str">
        <x:v>À équilibrer</x:v>
      </x:c>
      <x:c r="J867" s="115" t="str">
        <x:v>Non</x:v>
      </x:c>
      <x:c r="K867" s="115" t="str">
        <x:v>Pièces décrites, murs, portes, niveaux et mobilier inspectables à l’échelle. Volumes réservés, raccord au seed, butin, rencontres et services de campagne restent à terminer.</x:v>
      </x:c>
    </x:row>
    <x:row r="868" ht="96" customHeight="1">
      <x:c r="A868" s="115" t="str">
        <x:v>EXT-MONDE-T018-V13</x:v>
      </x:c>
      <x:c r="B868" s="115" t="str">
        <x:v>EXT-MONDE-T018</x:v>
      </x:c>
      <x:c r="C868" s="115" t="str">
        <x:v>Littoral</x:v>
      </x:c>
      <x:c r="D868" s="115" t="str">
        <x:v>Fête foraine portuaire</x:v>
      </x:c>
      <x:c r="E868" s="115" t="n">
        <x:v>13</x:v>
      </x:c>
      <x:c r="F868" s="115" t="str">
        <x:v>Inspection physique</x:v>
      </x:c>
      <x:c r="G868" s="115" t="str">
        <x:v>1 niveaux ; 32 pièces ; 248 segments de mur ; 0 transitions. Inspection physique ; architecture complète encore ouverte.</x:v>
      </x:c>
      <x:c r="H868" s="115" t="str">
        <x:v>L 288 ; l 246 ; hauteur 24 m ; choix de composition auteur ; dimensions réelles à documenter</x:v>
      </x:c>
      <x:c r="I868" s="115" t="str">
        <x:v>À équilibrer</x:v>
      </x:c>
      <x:c r="J868" s="115" t="str">
        <x:v>Non</x:v>
      </x:c>
      <x:c r="K868" s="115" t="str">
        <x:v>Pièces décrites, murs, portes, niveaux et mobilier inspectables à l’échelle. Volumes réservés, raccord au seed, butin, rencontres et services de campagne restent à terminer.</x:v>
      </x:c>
    </x:row>
    <x:row r="869" ht="96" customHeight="1">
      <x:c r="A869" s="115" t="str">
        <x:v>EXT-MONDE-T018-V14</x:v>
      </x:c>
      <x:c r="B869" s="115" t="str">
        <x:v>EXT-MONDE-T018</x:v>
      </x:c>
      <x:c r="C869" s="115" t="str">
        <x:v>Littoral</x:v>
      </x:c>
      <x:c r="D869" s="115" t="str">
        <x:v>Fête foraine portuaire</x:v>
      </x:c>
      <x:c r="E869" s="115" t="n">
        <x:v>14</x:v>
      </x:c>
      <x:c r="F869" s="115" t="str">
        <x:v>Inspection physique</x:v>
      </x:c>
      <x:c r="G869" s="115" t="str">
        <x:v>1 niveaux ; 32 pièces ; 248 segments de mur ; 0 transitions. Inspection physique ; architecture complète encore ouverte.</x:v>
      </x:c>
      <x:c r="H869" s="115" t="str">
        <x:v>L 288 ; l 246 ; hauteur 24 m ; choix de composition auteur ; dimensions réelles à documenter</x:v>
      </x:c>
      <x:c r="I869" s="115" t="str">
        <x:v>À équilibrer</x:v>
      </x:c>
      <x:c r="J869" s="115" t="str">
        <x:v>Non</x:v>
      </x:c>
      <x:c r="K869" s="115" t="str">
        <x:v>Pièces décrites, murs, portes, niveaux et mobilier inspectables à l’échelle. Volumes réservés, raccord au seed, butin, rencontres et services de campagne restent à terminer.</x:v>
      </x:c>
    </x:row>
    <x:row r="870" ht="96" customHeight="1">
      <x:c r="A870" s="115" t="str">
        <x:v>EXT-MONDE-T018-V15</x:v>
      </x:c>
      <x:c r="B870" s="115" t="str">
        <x:v>EXT-MONDE-T018</x:v>
      </x:c>
      <x:c r="C870" s="115" t="str">
        <x:v>Littoral</x:v>
      </x:c>
      <x:c r="D870" s="115" t="str">
        <x:v>Fête foraine portuaire</x:v>
      </x:c>
      <x:c r="E870" s="115" t="n">
        <x:v>15</x:v>
      </x:c>
      <x:c r="F870" s="115" t="str">
        <x:v>Inspection physique</x:v>
      </x:c>
      <x:c r="G870" s="115" t="str">
        <x:v>1 niveaux ; 32 pièces ; 248 segments de mur ; 0 transitions. Inspection physique ; architecture complète encore ouverte.</x:v>
      </x:c>
      <x:c r="H870" s="115" t="str">
        <x:v>L 288 ; l 246 ; hauteur 24 m ; choix de composition auteur ; dimensions réelles à documenter</x:v>
      </x:c>
      <x:c r="I870" s="115" t="str">
        <x:v>À équilibrer</x:v>
      </x:c>
      <x:c r="J870" s="115" t="str">
        <x:v>Non</x:v>
      </x:c>
      <x:c r="K870" s="115" t="str">
        <x:v>Pièces décrites, murs, portes, niveaux et mobilier inspectables à l’échelle. Volumes réservés, raccord au seed, butin, rencontres et services de campagne restent à terminer.</x:v>
      </x:c>
    </x:row>
    <x:row r="871" ht="96" customHeight="1">
      <x:c r="A871" s="115" t="str">
        <x:v>EXT-MONDE-T018-V16</x:v>
      </x:c>
      <x:c r="B871" s="115" t="str">
        <x:v>EXT-MONDE-T018</x:v>
      </x:c>
      <x:c r="C871" s="115" t="str">
        <x:v>Littoral</x:v>
      </x:c>
      <x:c r="D871" s="115" t="str">
        <x:v>Fête foraine portuaire</x:v>
      </x:c>
      <x:c r="E871" s="115" t="n">
        <x:v>16</x:v>
      </x:c>
      <x:c r="F871" s="115" t="str">
        <x:v>Inspection physique</x:v>
      </x:c>
      <x:c r="G871" s="115" t="str">
        <x:v>1 niveaux ; 32 pièces ; 248 segments de mur ; 0 transitions. Inspection physique ; architecture complète encore ouverte.</x:v>
      </x:c>
      <x:c r="H871" s="115" t="str">
        <x:v>L 288 ; l 246 ; hauteur 24 m ; choix de composition auteur ; dimensions réelles à documenter</x:v>
      </x:c>
      <x:c r="I871" s="115" t="str">
        <x:v>À équilibrer</x:v>
      </x:c>
      <x:c r="J871" s="115" t="str">
        <x:v>Non</x:v>
      </x:c>
      <x:c r="K871" s="115" t="str">
        <x:v>Pièces décrites, murs, portes, niveaux et mobilier inspectables à l’échelle. Volumes réservés, raccord au seed, butin, rencontres et services de campagne restent à terminer.</x:v>
      </x:c>
    </x:row>
    <x:row r="872" ht="96" customHeight="1">
      <x:c r="A872" s="115" t="str">
        <x:v>EXT-MONDE-T018-V17</x:v>
      </x:c>
      <x:c r="B872" s="115" t="str">
        <x:v>EXT-MONDE-T018</x:v>
      </x:c>
      <x:c r="C872" s="115" t="str">
        <x:v>Littoral</x:v>
      </x:c>
      <x:c r="D872" s="115" t="str">
        <x:v>Fête foraine portuaire</x:v>
      </x:c>
      <x:c r="E872" s="115" t="n">
        <x:v>17</x:v>
      </x:c>
      <x:c r="F872" s="115" t="str">
        <x:v>Inspection physique</x:v>
      </x:c>
      <x:c r="G872" s="115" t="str">
        <x:v>1 niveaux ; 32 pièces ; 248 segments de mur ; 0 transitions. Inspection physique ; architecture complète encore ouverte.</x:v>
      </x:c>
      <x:c r="H872" s="115" t="str">
        <x:v>L 288 ; l 246 ; hauteur 24 m ; choix de composition auteur ; dimensions réelles à documenter</x:v>
      </x:c>
      <x:c r="I872" s="115" t="str">
        <x:v>À équilibrer</x:v>
      </x:c>
      <x:c r="J872" s="115" t="str">
        <x:v>Non</x:v>
      </x:c>
      <x:c r="K872" s="115" t="str">
        <x:v>Pièces décrites, murs, portes, niveaux et mobilier inspectables à l’échelle. Volumes réservés, raccord au seed, butin, rencontres et services de campagne restent à terminer.</x:v>
      </x:c>
    </x:row>
    <x:row r="873" ht="96" customHeight="1">
      <x:c r="A873" s="115" t="str">
        <x:v>EXT-MONDE-T018-V18</x:v>
      </x:c>
      <x:c r="B873" s="115" t="str">
        <x:v>EXT-MONDE-T018</x:v>
      </x:c>
      <x:c r="C873" s="115" t="str">
        <x:v>Littoral</x:v>
      </x:c>
      <x:c r="D873" s="115" t="str">
        <x:v>Fête foraine portuaire</x:v>
      </x:c>
      <x:c r="E873" s="115" t="n">
        <x:v>18</x:v>
      </x:c>
      <x:c r="F873" s="115" t="str">
        <x:v>Inspection physique</x:v>
      </x:c>
      <x:c r="G873" s="115" t="str">
        <x:v>1 niveaux ; 32 pièces ; 248 segments de mur ; 0 transitions. Inspection physique ; architecture complète encore ouverte.</x:v>
      </x:c>
      <x:c r="H873" s="115" t="str">
        <x:v>L 288 ; l 246 ; hauteur 24 m ; choix de composition auteur ; dimensions réelles à documenter</x:v>
      </x:c>
      <x:c r="I873" s="115" t="str">
        <x:v>À équilibrer</x:v>
      </x:c>
      <x:c r="J873" s="115" t="str">
        <x:v>Non</x:v>
      </x:c>
      <x:c r="K873" s="115" t="str">
        <x:v>Pièces décrites, murs, portes, niveaux et mobilier inspectables à l’échelle. Volumes réservés, raccord au seed, butin, rencontres et services de campagne restent à terminer.</x:v>
      </x:c>
    </x:row>
    <x:row r="874" ht="96" customHeight="1">
      <x:c r="A874" s="115" t="str">
        <x:v>EXT-MONDE-T018-V19</x:v>
      </x:c>
      <x:c r="B874" s="115" t="str">
        <x:v>EXT-MONDE-T018</x:v>
      </x:c>
      <x:c r="C874" s="115" t="str">
        <x:v>Littoral</x:v>
      </x:c>
      <x:c r="D874" s="115" t="str">
        <x:v>Fête foraine portuaire</x:v>
      </x:c>
      <x:c r="E874" s="115" t="n">
        <x:v>19</x:v>
      </x:c>
      <x:c r="F874" s="115" t="str">
        <x:v>Inspection physique</x:v>
      </x:c>
      <x:c r="G874" s="115" t="str">
        <x:v>1 niveaux ; 32 pièces ; 248 segments de mur ; 0 transitions. Inspection physique ; architecture complète encore ouverte.</x:v>
      </x:c>
      <x:c r="H874" s="115" t="str">
        <x:v>L 288 ; l 246 ; hauteur 24 m ; choix de composition auteur ; dimensions réelles à documenter</x:v>
      </x:c>
      <x:c r="I874" s="115" t="str">
        <x:v>À équilibrer</x:v>
      </x:c>
      <x:c r="J874" s="115" t="str">
        <x:v>Non</x:v>
      </x:c>
      <x:c r="K874" s="115" t="str">
        <x:v>Pièces décrites, murs, portes, niveaux et mobilier inspectables à l’échelle. Volumes réservés, raccord au seed, butin, rencontres et services de campagne restent à terminer.</x:v>
      </x:c>
    </x:row>
    <x:row r="875" ht="96" customHeight="1">
      <x:c r="A875" s="115" t="str">
        <x:v>EXT-MONDE-T018-V20</x:v>
      </x:c>
      <x:c r="B875" s="115" t="str">
        <x:v>EXT-MONDE-T018</x:v>
      </x:c>
      <x:c r="C875" s="115" t="str">
        <x:v>Littoral</x:v>
      </x:c>
      <x:c r="D875" s="115" t="str">
        <x:v>Fête foraine portuaire</x:v>
      </x:c>
      <x:c r="E875" s="115" t="n">
        <x:v>20</x:v>
      </x:c>
      <x:c r="F875" s="115" t="str">
        <x:v>Inspection physique</x:v>
      </x:c>
      <x:c r="G875" s="115" t="str">
        <x:v>1 niveaux ; 32 pièces ; 248 segments de mur ; 0 transitions. Inspection physique ; architecture complète encore ouverte.</x:v>
      </x:c>
      <x:c r="H875" s="115" t="str">
        <x:v>L 288 ; l 246 ; hauteur 24 m ; choix de composition auteur ; dimensions réelles à documenter</x:v>
      </x:c>
      <x:c r="I875" s="115" t="str">
        <x:v>À équilibrer</x:v>
      </x:c>
      <x:c r="J875" s="115" t="str">
        <x:v>Non</x:v>
      </x:c>
      <x:c r="K875" s="115" t="str">
        <x:v>Pièces décrites, murs, portes, niveaux et mobilier inspectables à l’échelle. Volumes réservés, raccord au seed, butin, rencontres et services de campagne restent à terminer.</x:v>
      </x:c>
    </x:row>
    <x:row r="876" ht="96" customHeight="1">
      <x:c r="A876" s="115" t="str">
        <x:v>EXT-MONDE-T018-V21</x:v>
      </x:c>
      <x:c r="B876" s="115" t="str">
        <x:v>EXT-MONDE-T018</x:v>
      </x:c>
      <x:c r="C876" s="115" t="str">
        <x:v>Littoral</x:v>
      </x:c>
      <x:c r="D876" s="115" t="str">
        <x:v>Fête foraine portuaire</x:v>
      </x:c>
      <x:c r="E876" s="115" t="n">
        <x:v>21</x:v>
      </x:c>
      <x:c r="F876" s="115" t="str">
        <x:v>Inspection physique</x:v>
      </x:c>
      <x:c r="G876" s="115" t="str">
        <x:v>1 niveaux ; 32 pièces ; 248 segments de mur ; 0 transitions. Inspection physique ; architecture complète encore ouverte.</x:v>
      </x:c>
      <x:c r="H876" s="115" t="str">
        <x:v>L 306 ; l 262 ; hauteur 24 m ; choix de composition auteur ; dimensions réelles à documenter</x:v>
      </x:c>
      <x:c r="I876" s="115" t="str">
        <x:v>À équilibrer</x:v>
      </x:c>
      <x:c r="J876" s="115" t="str">
        <x:v>Non</x:v>
      </x:c>
      <x:c r="K876" s="115" t="str">
        <x:v>Pièces décrites, murs, portes, niveaux et mobilier inspectables à l’échelle. Volumes réservés, raccord au seed, butin, rencontres et services de campagne restent à terminer.</x:v>
      </x:c>
    </x:row>
    <x:row r="877" ht="96" customHeight="1">
      <x:c r="A877" s="115" t="str">
        <x:v>EXT-MONDE-T018-V22</x:v>
      </x:c>
      <x:c r="B877" s="115" t="str">
        <x:v>EXT-MONDE-T018</x:v>
      </x:c>
      <x:c r="C877" s="115" t="str">
        <x:v>Littoral</x:v>
      </x:c>
      <x:c r="D877" s="115" t="str">
        <x:v>Fête foraine portuaire</x:v>
      </x:c>
      <x:c r="E877" s="115" t="n">
        <x:v>22</x:v>
      </x:c>
      <x:c r="F877" s="115" t="str">
        <x:v>Inspection physique</x:v>
      </x:c>
      <x:c r="G877" s="115" t="str">
        <x:v>1 niveaux ; 32 pièces ; 248 segments de mur ; 0 transitions. Inspection physique ; architecture complète encore ouverte.</x:v>
      </x:c>
      <x:c r="H877" s="115" t="str">
        <x:v>L 306 ; l 262 ; hauteur 24 m ; choix de composition auteur ; dimensions réelles à documenter</x:v>
      </x:c>
      <x:c r="I877" s="115" t="str">
        <x:v>À équilibrer</x:v>
      </x:c>
      <x:c r="J877" s="115" t="str">
        <x:v>Non</x:v>
      </x:c>
      <x:c r="K877" s="115" t="str">
        <x:v>Pièces décrites, murs, portes, niveaux et mobilier inspectables à l’échelle. Volumes réservés, raccord au seed, butin, rencontres et services de campagne restent à terminer.</x:v>
      </x:c>
    </x:row>
    <x:row r="878" ht="96" customHeight="1">
      <x:c r="A878" s="115" t="str">
        <x:v>EXT-MONDE-T018-V23</x:v>
      </x:c>
      <x:c r="B878" s="115" t="str">
        <x:v>EXT-MONDE-T018</x:v>
      </x:c>
      <x:c r="C878" s="115" t="str">
        <x:v>Littoral</x:v>
      </x:c>
      <x:c r="D878" s="115" t="str">
        <x:v>Fête foraine portuaire</x:v>
      </x:c>
      <x:c r="E878" s="115" t="n">
        <x:v>23</x:v>
      </x:c>
      <x:c r="F878" s="115" t="str">
        <x:v>Inspection physique</x:v>
      </x:c>
      <x:c r="G878" s="115" t="str">
        <x:v>1 niveaux ; 32 pièces ; 248 segments de mur ; 0 transitions. Inspection physique ; architecture complète encore ouverte.</x:v>
      </x:c>
      <x:c r="H878" s="115" t="str">
        <x:v>L 306 ; l 262 ; hauteur 24 m ; choix de composition auteur ; dimensions réelles à documenter</x:v>
      </x:c>
      <x:c r="I878" s="115" t="str">
        <x:v>À équilibrer</x:v>
      </x:c>
      <x:c r="J878" s="115" t="str">
        <x:v>Non</x:v>
      </x:c>
      <x:c r="K878" s="115" t="str">
        <x:v>Pièces décrites, murs, portes, niveaux et mobilier inspectables à l’échelle. Volumes réservés, raccord au seed, butin, rencontres et services de campagne restent à terminer.</x:v>
      </x:c>
    </x:row>
    <x:row r="879" ht="96" customHeight="1">
      <x:c r="A879" s="115" t="str">
        <x:v>EXT-MONDE-T018-V24</x:v>
      </x:c>
      <x:c r="B879" s="115" t="str">
        <x:v>EXT-MONDE-T018</x:v>
      </x:c>
      <x:c r="C879" s="115" t="str">
        <x:v>Littoral</x:v>
      </x:c>
      <x:c r="D879" s="115" t="str">
        <x:v>Fête foraine portuaire</x:v>
      </x:c>
      <x:c r="E879" s="115" t="n">
        <x:v>24</x:v>
      </x:c>
      <x:c r="F879" s="115" t="str">
        <x:v>Inspection physique</x:v>
      </x:c>
      <x:c r="G879" s="115" t="str">
        <x:v>1 niveaux ; 32 pièces ; 248 segments de mur ; 0 transitions. Inspection physique ; architecture complète encore ouverte.</x:v>
      </x:c>
      <x:c r="H879" s="115" t="str">
        <x:v>L 306 ; l 262 ; hauteur 24 m ; choix de composition auteur ; dimensions réelles à documenter</x:v>
      </x:c>
      <x:c r="I879" s="115" t="str">
        <x:v>À équilibrer</x:v>
      </x:c>
      <x:c r="J879" s="115" t="str">
        <x:v>Non</x:v>
      </x:c>
      <x:c r="K879" s="115" t="str">
        <x:v>Pièces décrites, murs, portes, niveaux et mobilier inspectables à l’échelle. Volumes réservés, raccord au seed, butin, rencontres et services de campagne restent à terminer.</x:v>
      </x:c>
    </x:row>
    <x:row r="880" ht="96" customHeight="1">
      <x:c r="A880" s="115" t="str">
        <x:v>EXT-MONDE-T018-V25</x:v>
      </x:c>
      <x:c r="B880" s="115" t="str">
        <x:v>EXT-MONDE-T018</x:v>
      </x:c>
      <x:c r="C880" s="115" t="str">
        <x:v>Littoral</x:v>
      </x:c>
      <x:c r="D880" s="115" t="str">
        <x:v>Fête foraine portuaire</x:v>
      </x:c>
      <x:c r="E880" s="115" t="n">
        <x:v>25</x:v>
      </x:c>
      <x:c r="F880" s="115" t="str">
        <x:v>Inspection physique</x:v>
      </x:c>
      <x:c r="G880" s="115" t="str">
        <x:v>1 niveaux ; 32 pièces ; 248 segments de mur ; 0 transitions. Inspection physique ; architecture complète encore ouverte.</x:v>
      </x:c>
      <x:c r="H880" s="115" t="str">
        <x:v>L 306 ; l 262 ; hauteur 24 m ; choix de composition auteur ; dimensions réelles à documenter</x:v>
      </x:c>
      <x:c r="I880" s="115" t="str">
        <x:v>À équilibrer</x:v>
      </x:c>
      <x:c r="J880" s="115" t="str">
        <x:v>Non</x:v>
      </x:c>
      <x:c r="K880" s="115" t="str">
        <x:v>Pièces décrites, murs, portes, niveaux et mobilier inspectables à l’échelle. Volumes réservés, raccord au seed, butin, rencontres et services de campagne restent à terminer.</x:v>
      </x:c>
    </x:row>
    <x:row r="881" ht="96" customHeight="1">
      <x:c r="A881" s="115" t="str">
        <x:v>EXT-MONDE-T018-V26</x:v>
      </x:c>
      <x:c r="B881" s="115" t="str">
        <x:v>EXT-MONDE-T018</x:v>
      </x:c>
      <x:c r="C881" s="115" t="str">
        <x:v>Littoral</x:v>
      </x:c>
      <x:c r="D881" s="115" t="str">
        <x:v>Fête foraine portuaire</x:v>
      </x:c>
      <x:c r="E881" s="115" t="n">
        <x:v>26</x:v>
      </x:c>
      <x:c r="F881" s="115" t="str">
        <x:v>Inspection physique</x:v>
      </x:c>
      <x:c r="G881" s="115" t="str">
        <x:v>1 niveaux ; 32 pièces ; 248 segments de mur ; 0 transitions. Inspection physique ; architecture complète encore ouverte.</x:v>
      </x:c>
      <x:c r="H881" s="115" t="str">
        <x:v>L 306 ; l 262 ; hauteur 24 m ; choix de composition auteur ; dimensions réelles à documenter</x:v>
      </x:c>
      <x:c r="I881" s="115" t="str">
        <x:v>À équilibrer</x:v>
      </x:c>
      <x:c r="J881" s="115" t="str">
        <x:v>Non</x:v>
      </x:c>
      <x:c r="K881" s="115" t="str">
        <x:v>Pièces décrites, murs, portes, niveaux et mobilier inspectables à l’échelle. Volumes réservés, raccord au seed, butin, rencontres et services de campagne restent à terminer.</x:v>
      </x:c>
    </x:row>
    <x:row r="882" ht="96" customHeight="1">
      <x:c r="A882" s="115" t="str">
        <x:v>EXT-MONDE-T018-V27</x:v>
      </x:c>
      <x:c r="B882" s="115" t="str">
        <x:v>EXT-MONDE-T018</x:v>
      </x:c>
      <x:c r="C882" s="115" t="str">
        <x:v>Littoral</x:v>
      </x:c>
      <x:c r="D882" s="115" t="str">
        <x:v>Fête foraine portuaire</x:v>
      </x:c>
      <x:c r="E882" s="115" t="n">
        <x:v>27</x:v>
      </x:c>
      <x:c r="F882" s="115" t="str">
        <x:v>Inspection physique</x:v>
      </x:c>
      <x:c r="G882" s="115" t="str">
        <x:v>1 niveaux ; 32 pièces ; 248 segments de mur ; 0 transitions. Inspection physique ; architecture complète encore ouverte.</x:v>
      </x:c>
      <x:c r="H882" s="115" t="str">
        <x:v>L 306 ; l 262 ; hauteur 24 m ; choix de composition auteur ; dimensions réelles à documenter</x:v>
      </x:c>
      <x:c r="I882" s="115" t="str">
        <x:v>À équilibrer</x:v>
      </x:c>
      <x:c r="J882" s="115" t="str">
        <x:v>Non</x:v>
      </x:c>
      <x:c r="K882" s="115" t="str">
        <x:v>Pièces décrites, murs, portes, niveaux et mobilier inspectables à l’échelle. Volumes réservés, raccord au seed, butin, rencontres et services de campagne restent à terminer.</x:v>
      </x:c>
    </x:row>
    <x:row r="883" ht="96" customHeight="1">
      <x:c r="A883" s="115" t="str">
        <x:v>EXT-MONDE-T018-V28</x:v>
      </x:c>
      <x:c r="B883" s="115" t="str">
        <x:v>EXT-MONDE-T018</x:v>
      </x:c>
      <x:c r="C883" s="115" t="str">
        <x:v>Littoral</x:v>
      </x:c>
      <x:c r="D883" s="115" t="str">
        <x:v>Fête foraine portuaire</x:v>
      </x:c>
      <x:c r="E883" s="115" t="n">
        <x:v>28</x:v>
      </x:c>
      <x:c r="F883" s="115" t="str">
        <x:v>Inspection physique</x:v>
      </x:c>
      <x:c r="G883" s="115" t="str">
        <x:v>1 niveaux ; 32 pièces ; 248 segments de mur ; 0 transitions. Inspection physique ; architecture complète encore ouverte.</x:v>
      </x:c>
      <x:c r="H883" s="115" t="str">
        <x:v>L 306 ; l 262 ; hauteur 24 m ; choix de composition auteur ; dimensions réelles à documenter</x:v>
      </x:c>
      <x:c r="I883" s="115" t="str">
        <x:v>À équilibrer</x:v>
      </x:c>
      <x:c r="J883" s="115" t="str">
        <x:v>Non</x:v>
      </x:c>
      <x:c r="K883" s="115" t="str">
        <x:v>Pièces décrites, murs, portes, niveaux et mobilier inspectables à l’échelle. Volumes réservés, raccord au seed, butin, rencontres et services de campagne restent à terminer.</x:v>
      </x:c>
    </x:row>
    <x:row r="884" ht="96" customHeight="1">
      <x:c r="A884" s="115" t="str">
        <x:v>EXT-MONDE-T018-V29</x:v>
      </x:c>
      <x:c r="B884" s="115" t="str">
        <x:v>EXT-MONDE-T018</x:v>
      </x:c>
      <x:c r="C884" s="115" t="str">
        <x:v>Littoral</x:v>
      </x:c>
      <x:c r="D884" s="115" t="str">
        <x:v>Fête foraine portuaire</x:v>
      </x:c>
      <x:c r="E884" s="115" t="n">
        <x:v>29</x:v>
      </x:c>
      <x:c r="F884" s="115" t="str">
        <x:v>Inspection physique</x:v>
      </x:c>
      <x:c r="G884" s="115" t="str">
        <x:v>1 niveaux ; 32 pièces ; 248 segments de mur ; 0 transitions. Inspection physique ; architecture complète encore ouverte.</x:v>
      </x:c>
      <x:c r="H884" s="115" t="str">
        <x:v>L 306 ; l 262 ; hauteur 24 m ; choix de composition auteur ; dimensions réelles à documenter</x:v>
      </x:c>
      <x:c r="I884" s="115" t="str">
        <x:v>À équilibrer</x:v>
      </x:c>
      <x:c r="J884" s="115" t="str">
        <x:v>Non</x:v>
      </x:c>
      <x:c r="K884" s="115" t="str">
        <x:v>Pièces décrites, murs, portes, niveaux et mobilier inspectables à l’échelle. Volumes réservés, raccord au seed, butin, rencontres et services de campagne restent à terminer.</x:v>
      </x:c>
    </x:row>
    <x:row r="885" ht="96" customHeight="1">
      <x:c r="A885" s="115" t="str">
        <x:v>EXT-MONDE-T018-V30</x:v>
      </x:c>
      <x:c r="B885" s="115" t="str">
        <x:v>EXT-MONDE-T018</x:v>
      </x:c>
      <x:c r="C885" s="115" t="str">
        <x:v>Littoral</x:v>
      </x:c>
      <x:c r="D885" s="115" t="str">
        <x:v>Fête foraine portuaire</x:v>
      </x:c>
      <x:c r="E885" s="115" t="n">
        <x:v>30</x:v>
      </x:c>
      <x:c r="F885" s="115" t="str">
        <x:v>Inspection physique</x:v>
      </x:c>
      <x:c r="G885" s="115" t="str">
        <x:v>1 niveaux ; 32 pièces ; 248 segments de mur ; 0 transitions. Inspection physique ; architecture complète encore ouverte.</x:v>
      </x:c>
      <x:c r="H885" s="115" t="str">
        <x:v>L 306 ; l 262 ; hauteur 24 m ; choix de composition auteur ; dimensions réelles à documenter</x:v>
      </x:c>
      <x:c r="I885" s="115" t="str">
        <x:v>À équilibrer</x:v>
      </x:c>
      <x:c r="J885" s="115" t="str">
        <x:v>Non</x:v>
      </x:c>
      <x:c r="K885" s="115" t="str">
        <x:v>Pièces décrites, murs, portes, niveaux et mobilier inspectables à l’échelle. Volumes réservés, raccord au seed, butin, rencontres et services de campagne restent à terminer.</x:v>
      </x:c>
    </x:row>
    <x:row r="886" ht="96" customHeight="1">
      <x:c r="A886" s="115" t="str">
        <x:v>EXT-MONDE-T018-V31</x:v>
      </x:c>
      <x:c r="B886" s="115" t="str">
        <x:v>EXT-MONDE-T018</x:v>
      </x:c>
      <x:c r="C886" s="115" t="str">
        <x:v>Littoral</x:v>
      </x:c>
      <x:c r="D886" s="115" t="str">
        <x:v>Fête foraine portuaire</x:v>
      </x:c>
      <x:c r="E886" s="115" t="n">
        <x:v>31</x:v>
      </x:c>
      <x:c r="F886" s="115" t="str">
        <x:v>Inspection physique</x:v>
      </x:c>
      <x:c r="G886" s="115" t="str">
        <x:v>1 niveaux ; 32 pièces ; 248 segments de mur ; 0 transitions. Inspection physique ; architecture complète encore ouverte.</x:v>
      </x:c>
      <x:c r="H886" s="115" t="str">
        <x:v>L 324 ; l 278 ; hauteur 24 m ; choix de composition auteur ; dimensions réelles à documenter</x:v>
      </x:c>
      <x:c r="I886" s="115" t="str">
        <x:v>À équilibrer</x:v>
      </x:c>
      <x:c r="J886" s="115" t="str">
        <x:v>Non</x:v>
      </x:c>
      <x:c r="K886" s="115" t="str">
        <x:v>Pièces décrites, murs, portes, niveaux et mobilier inspectables à l’échelle. Volumes réservés, raccord au seed, butin, rencontres et services de campagne restent à terminer.</x:v>
      </x:c>
    </x:row>
    <x:row r="887" ht="96" customHeight="1">
      <x:c r="A887" s="115" t="str">
        <x:v>EXT-MONDE-T018-V32</x:v>
      </x:c>
      <x:c r="B887" s="115" t="str">
        <x:v>EXT-MONDE-T018</x:v>
      </x:c>
      <x:c r="C887" s="115" t="str">
        <x:v>Littoral</x:v>
      </x:c>
      <x:c r="D887" s="115" t="str">
        <x:v>Fête foraine portuaire</x:v>
      </x:c>
      <x:c r="E887" s="115" t="n">
        <x:v>32</x:v>
      </x:c>
      <x:c r="F887" s="115" t="str">
        <x:v>Inspection physique</x:v>
      </x:c>
      <x:c r="G887" s="115" t="str">
        <x:v>1 niveaux ; 32 pièces ; 248 segments de mur ; 0 transitions. Inspection physique ; architecture complète encore ouverte.</x:v>
      </x:c>
      <x:c r="H887" s="115" t="str">
        <x:v>L 324 ; l 278 ; hauteur 24 m ; choix de composition auteur ; dimensions réelles à documenter</x:v>
      </x:c>
      <x:c r="I887" s="115" t="str">
        <x:v>À équilibrer</x:v>
      </x:c>
      <x:c r="J887" s="115" t="str">
        <x:v>Non</x:v>
      </x:c>
      <x:c r="K887" s="115" t="str">
        <x:v>Pièces décrites, murs, portes, niveaux et mobilier inspectables à l’échelle. Volumes réservés, raccord au seed, butin, rencontres et services de campagne restent à terminer.</x:v>
      </x:c>
    </x:row>
    <x:row r="888" ht="96" customHeight="1">
      <x:c r="A888" s="115" t="str">
        <x:v>EXT-MONDE-T018-V33</x:v>
      </x:c>
      <x:c r="B888" s="115" t="str">
        <x:v>EXT-MONDE-T018</x:v>
      </x:c>
      <x:c r="C888" s="115" t="str">
        <x:v>Littoral</x:v>
      </x:c>
      <x:c r="D888" s="115" t="str">
        <x:v>Fête foraine portuaire</x:v>
      </x:c>
      <x:c r="E888" s="115" t="n">
        <x:v>33</x:v>
      </x:c>
      <x:c r="F888" s="115" t="str">
        <x:v>Inspection physique</x:v>
      </x:c>
      <x:c r="G888" s="115" t="str">
        <x:v>1 niveaux ; 32 pièces ; 248 segments de mur ; 0 transitions. Inspection physique ; architecture complète encore ouverte.</x:v>
      </x:c>
      <x:c r="H888" s="115" t="str">
        <x:v>L 324 ; l 278 ; hauteur 24 m ; choix de composition auteur ; dimensions réelles à documenter</x:v>
      </x:c>
      <x:c r="I888" s="115" t="str">
        <x:v>À équilibrer</x:v>
      </x:c>
      <x:c r="J888" s="115" t="str">
        <x:v>Non</x:v>
      </x:c>
      <x:c r="K888" s="115" t="str">
        <x:v>Pièces décrites, murs, portes, niveaux et mobilier inspectables à l’échelle. Volumes réservés, raccord au seed, butin, rencontres et services de campagne restent à terminer.</x:v>
      </x:c>
    </x:row>
    <x:row r="889" ht="96" customHeight="1">
      <x:c r="A889" s="115" t="str">
        <x:v>EXT-MONDE-T018-V34</x:v>
      </x:c>
      <x:c r="B889" s="115" t="str">
        <x:v>EXT-MONDE-T018</x:v>
      </x:c>
      <x:c r="C889" s="115" t="str">
        <x:v>Littoral</x:v>
      </x:c>
      <x:c r="D889" s="115" t="str">
        <x:v>Fête foraine portuaire</x:v>
      </x:c>
      <x:c r="E889" s="115" t="n">
        <x:v>34</x:v>
      </x:c>
      <x:c r="F889" s="115" t="str">
        <x:v>Inspection physique</x:v>
      </x:c>
      <x:c r="G889" s="115" t="str">
        <x:v>1 niveaux ; 32 pièces ; 248 segments de mur ; 0 transitions. Inspection physique ; architecture complète encore ouverte.</x:v>
      </x:c>
      <x:c r="H889" s="115" t="str">
        <x:v>L 324 ; l 278 ; hauteur 24 m ; choix de composition auteur ; dimensions réelles à documenter</x:v>
      </x:c>
      <x:c r="I889" s="115" t="str">
        <x:v>À équilibrer</x:v>
      </x:c>
      <x:c r="J889" s="115" t="str">
        <x:v>Non</x:v>
      </x:c>
      <x:c r="K889" s="115" t="str">
        <x:v>Pièces décrites, murs, portes, niveaux et mobilier inspectables à l’échelle. Volumes réservés, raccord au seed, butin, rencontres et services de campagne restent à terminer.</x:v>
      </x:c>
    </x:row>
    <x:row r="890" ht="96" customHeight="1">
      <x:c r="A890" s="115" t="str">
        <x:v>EXT-MONDE-T018-V35</x:v>
      </x:c>
      <x:c r="B890" s="115" t="str">
        <x:v>EXT-MONDE-T018</x:v>
      </x:c>
      <x:c r="C890" s="115" t="str">
        <x:v>Littoral</x:v>
      </x:c>
      <x:c r="D890" s="115" t="str">
        <x:v>Fête foraine portuaire</x:v>
      </x:c>
      <x:c r="E890" s="115" t="n">
        <x:v>35</x:v>
      </x:c>
      <x:c r="F890" s="115" t="str">
        <x:v>Inspection physique</x:v>
      </x:c>
      <x:c r="G890" s="115" t="str">
        <x:v>1 niveaux ; 32 pièces ; 248 segments de mur ; 0 transitions. Inspection physique ; architecture complète encore ouverte.</x:v>
      </x:c>
      <x:c r="H890" s="115" t="str">
        <x:v>L 324 ; l 278 ; hauteur 24 m ; choix de composition auteur ; dimensions réelles à documenter</x:v>
      </x:c>
      <x:c r="I890" s="115" t="str">
        <x:v>À équilibrer</x:v>
      </x:c>
      <x:c r="J890" s="115" t="str">
        <x:v>Non</x:v>
      </x:c>
      <x:c r="K890" s="115" t="str">
        <x:v>Pièces décrites, murs, portes, niveaux et mobilier inspectables à l’échelle. Volumes réservés, raccord au seed, butin, rencontres et services de campagne restent à terminer.</x:v>
      </x:c>
    </x:row>
    <x:row r="891" ht="96" customHeight="1">
      <x:c r="A891" s="115" t="str">
        <x:v>EXT-MONDE-T018-V36</x:v>
      </x:c>
      <x:c r="B891" s="115" t="str">
        <x:v>EXT-MONDE-T018</x:v>
      </x:c>
      <x:c r="C891" s="115" t="str">
        <x:v>Littoral</x:v>
      </x:c>
      <x:c r="D891" s="115" t="str">
        <x:v>Fête foraine portuaire</x:v>
      </x:c>
      <x:c r="E891" s="115" t="n">
        <x:v>36</x:v>
      </x:c>
      <x:c r="F891" s="115" t="str">
        <x:v>Inspection physique</x:v>
      </x:c>
      <x:c r="G891" s="115" t="str">
        <x:v>1 niveaux ; 32 pièces ; 248 segments de mur ; 0 transitions. Inspection physique ; architecture complète encore ouverte.</x:v>
      </x:c>
      <x:c r="H891" s="115" t="str">
        <x:v>L 324 ; l 278 ; hauteur 24 m ; choix de composition auteur ; dimensions réelles à documenter</x:v>
      </x:c>
      <x:c r="I891" s="115" t="str">
        <x:v>À équilibrer</x:v>
      </x:c>
      <x:c r="J891" s="115" t="str">
        <x:v>Non</x:v>
      </x:c>
      <x:c r="K891" s="115" t="str">
        <x:v>Pièces décrites, murs, portes, niveaux et mobilier inspectables à l’échelle. Volumes réservés, raccord au seed, butin, rencontres et services de campagne restent à terminer.</x:v>
      </x:c>
    </x:row>
    <x:row r="892" ht="96" customHeight="1">
      <x:c r="A892" s="115" t="str">
        <x:v>EXT-MONDE-T018-V37</x:v>
      </x:c>
      <x:c r="B892" s="115" t="str">
        <x:v>EXT-MONDE-T018</x:v>
      </x:c>
      <x:c r="C892" s="115" t="str">
        <x:v>Littoral</x:v>
      </x:c>
      <x:c r="D892" s="115" t="str">
        <x:v>Fête foraine portuaire</x:v>
      </x:c>
      <x:c r="E892" s="115" t="n">
        <x:v>37</x:v>
      </x:c>
      <x:c r="F892" s="115" t="str">
        <x:v>Inspection physique</x:v>
      </x:c>
      <x:c r="G892" s="115" t="str">
        <x:v>1 niveaux ; 32 pièces ; 248 segments de mur ; 0 transitions. Inspection physique ; architecture complète encore ouverte.</x:v>
      </x:c>
      <x:c r="H892" s="115" t="str">
        <x:v>L 324 ; l 278 ; hauteur 24 m ; choix de composition auteur ; dimensions réelles à documenter</x:v>
      </x:c>
      <x:c r="I892" s="115" t="str">
        <x:v>À équilibrer</x:v>
      </x:c>
      <x:c r="J892" s="115" t="str">
        <x:v>Non</x:v>
      </x:c>
      <x:c r="K892" s="115" t="str">
        <x:v>Pièces décrites, murs, portes, niveaux et mobilier inspectables à l’échelle. Volumes réservés, raccord au seed, butin, rencontres et services de campagne restent à terminer.</x:v>
      </x:c>
    </x:row>
    <x:row r="893" ht="96" customHeight="1">
      <x:c r="A893" s="115" t="str">
        <x:v>EXT-MONDE-T018-V38</x:v>
      </x:c>
      <x:c r="B893" s="115" t="str">
        <x:v>EXT-MONDE-T018</x:v>
      </x:c>
      <x:c r="C893" s="115" t="str">
        <x:v>Littoral</x:v>
      </x:c>
      <x:c r="D893" s="115" t="str">
        <x:v>Fête foraine portuaire</x:v>
      </x:c>
      <x:c r="E893" s="115" t="n">
        <x:v>38</x:v>
      </x:c>
      <x:c r="F893" s="115" t="str">
        <x:v>Inspection physique</x:v>
      </x:c>
      <x:c r="G893" s="115" t="str">
        <x:v>1 niveaux ; 32 pièces ; 248 segments de mur ; 0 transitions. Inspection physique ; architecture complète encore ouverte.</x:v>
      </x:c>
      <x:c r="H893" s="115" t="str">
        <x:v>L 324 ; l 278 ; hauteur 24 m ; choix de composition auteur ; dimensions réelles à documenter</x:v>
      </x:c>
      <x:c r="I893" s="115" t="str">
        <x:v>À équilibrer</x:v>
      </x:c>
      <x:c r="J893" s="115" t="str">
        <x:v>Non</x:v>
      </x:c>
      <x:c r="K893" s="115" t="str">
        <x:v>Pièces décrites, murs, portes, niveaux et mobilier inspectables à l’échelle. Volumes réservés, raccord au seed, butin, rencontres et services de campagne restent à terminer.</x:v>
      </x:c>
    </x:row>
    <x:row r="894" ht="96" customHeight="1">
      <x:c r="A894" s="115" t="str">
        <x:v>EXT-MONDE-T018-V39</x:v>
      </x:c>
      <x:c r="B894" s="115" t="str">
        <x:v>EXT-MONDE-T018</x:v>
      </x:c>
      <x:c r="C894" s="115" t="str">
        <x:v>Littoral</x:v>
      </x:c>
      <x:c r="D894" s="115" t="str">
        <x:v>Fête foraine portuaire</x:v>
      </x:c>
      <x:c r="E894" s="115" t="n">
        <x:v>39</x:v>
      </x:c>
      <x:c r="F894" s="115" t="str">
        <x:v>Inspection physique</x:v>
      </x:c>
      <x:c r="G894" s="115" t="str">
        <x:v>1 niveaux ; 32 pièces ; 248 segments de mur ; 0 transitions. Inspection physique ; architecture complète encore ouverte.</x:v>
      </x:c>
      <x:c r="H894" s="115" t="str">
        <x:v>L 324 ; l 278 ; hauteur 24 m ; choix de composition auteur ; dimensions réelles à documenter</x:v>
      </x:c>
      <x:c r="I894" s="115" t="str">
        <x:v>À équilibrer</x:v>
      </x:c>
      <x:c r="J894" s="115" t="str">
        <x:v>Non</x:v>
      </x:c>
      <x:c r="K894" s="115" t="str">
        <x:v>Pièces décrites, murs, portes, niveaux et mobilier inspectables à l’échelle. Volumes réservés, raccord au seed, butin, rencontres et services de campagne restent à terminer.</x:v>
      </x:c>
    </x:row>
    <x:row r="895" ht="96" customHeight="1">
      <x:c r="A895" s="115" t="str">
        <x:v>EXT-MONDE-T018-V40</x:v>
      </x:c>
      <x:c r="B895" s="115" t="str">
        <x:v>EXT-MONDE-T018</x:v>
      </x:c>
      <x:c r="C895" s="115" t="str">
        <x:v>Littoral</x:v>
      </x:c>
      <x:c r="D895" s="115" t="str">
        <x:v>Fête foraine portuaire</x:v>
      </x:c>
      <x:c r="E895" s="115" t="n">
        <x:v>40</x:v>
      </x:c>
      <x:c r="F895" s="115" t="str">
        <x:v>Inspection physique</x:v>
      </x:c>
      <x:c r="G895" s="115" t="str">
        <x:v>1 niveaux ; 32 pièces ; 248 segments de mur ; 0 transitions. Inspection physique ; architecture complète encore ouverte.</x:v>
      </x:c>
      <x:c r="H895" s="115" t="str">
        <x:v>L 324 ; l 278 ; hauteur 24 m ; choix de composition auteur ; dimensions réelles à documenter</x:v>
      </x:c>
      <x:c r="I895" s="115" t="str">
        <x:v>À équilibrer</x:v>
      </x:c>
      <x:c r="J895" s="115" t="str">
        <x:v>Non</x:v>
      </x:c>
      <x:c r="K895" s="115" t="str">
        <x:v>Pièces décrites, murs, portes, niveaux et mobilier inspectables à l’échelle. Volumes réservés, raccord au seed, butin, rencontres et services de campagne restent à terminer.</x:v>
      </x:c>
    </x:row>
    <x:row r="896" ht="96" customHeight="1">
      <x:c r="A896" s="115" t="str">
        <x:v>EXT-MONDE-T018-V41</x:v>
      </x:c>
      <x:c r="B896" s="115" t="str">
        <x:v>EXT-MONDE-T018</x:v>
      </x:c>
      <x:c r="C896" s="115" t="str">
        <x:v>Littoral</x:v>
      </x:c>
      <x:c r="D896" s="115" t="str">
        <x:v>Fête foraine portuaire</x:v>
      </x:c>
      <x:c r="E896" s="115" t="n">
        <x:v>41</x:v>
      </x:c>
      <x:c r="F896" s="115" t="str">
        <x:v>Inspection physique</x:v>
      </x:c>
      <x:c r="G896" s="115" t="str">
        <x:v>1 niveaux ; 32 pièces ; 248 segments de mur ; 0 transitions. Inspection physique ; architecture complète encore ouverte.</x:v>
      </x:c>
      <x:c r="H896" s="115" t="str">
        <x:v>L 342 ; l 294 ; hauteur 24 m ; choix de composition auteur ; dimensions réelles à documenter</x:v>
      </x:c>
      <x:c r="I896" s="115" t="str">
        <x:v>À équilibrer</x:v>
      </x:c>
      <x:c r="J896" s="115" t="str">
        <x:v>Non</x:v>
      </x:c>
      <x:c r="K896" s="115" t="str">
        <x:v>Pièces décrites, murs, portes, niveaux et mobilier inspectables à l’échelle. Volumes réservés, raccord au seed, butin, rencontres et services de campagne restent à terminer.</x:v>
      </x:c>
    </x:row>
    <x:row r="897" ht="96" customHeight="1">
      <x:c r="A897" s="115" t="str">
        <x:v>EXT-MONDE-T018-V42</x:v>
      </x:c>
      <x:c r="B897" s="115" t="str">
        <x:v>EXT-MONDE-T018</x:v>
      </x:c>
      <x:c r="C897" s="115" t="str">
        <x:v>Littoral</x:v>
      </x:c>
      <x:c r="D897" s="115" t="str">
        <x:v>Fête foraine portuaire</x:v>
      </x:c>
      <x:c r="E897" s="115" t="n">
        <x:v>42</x:v>
      </x:c>
      <x:c r="F897" s="115" t="str">
        <x:v>Inspection physique</x:v>
      </x:c>
      <x:c r="G897" s="115" t="str">
        <x:v>1 niveaux ; 32 pièces ; 248 segments de mur ; 0 transitions. Inspection physique ; architecture complète encore ouverte.</x:v>
      </x:c>
      <x:c r="H897" s="115" t="str">
        <x:v>L 342 ; l 294 ; hauteur 24 m ; choix de composition auteur ; dimensions réelles à documenter</x:v>
      </x:c>
      <x:c r="I897" s="115" t="str">
        <x:v>À équilibrer</x:v>
      </x:c>
      <x:c r="J897" s="115" t="str">
        <x:v>Non</x:v>
      </x:c>
      <x:c r="K897" s="115" t="str">
        <x:v>Pièces décrites, murs, portes, niveaux et mobilier inspectables à l’échelle. Volumes réservés, raccord au seed, butin, rencontres et services de campagne restent à terminer.</x:v>
      </x:c>
    </x:row>
    <x:row r="898" ht="96" customHeight="1">
      <x:c r="A898" s="115" t="str">
        <x:v>EXT-MONDE-T018-V43</x:v>
      </x:c>
      <x:c r="B898" s="115" t="str">
        <x:v>EXT-MONDE-T018</x:v>
      </x:c>
      <x:c r="C898" s="115" t="str">
        <x:v>Littoral</x:v>
      </x:c>
      <x:c r="D898" s="115" t="str">
        <x:v>Fête foraine portuaire</x:v>
      </x:c>
      <x:c r="E898" s="115" t="n">
        <x:v>43</x:v>
      </x:c>
      <x:c r="F898" s="115" t="str">
        <x:v>Inspection physique</x:v>
      </x:c>
      <x:c r="G898" s="115" t="str">
        <x:v>1 niveaux ; 32 pièces ; 248 segments de mur ; 0 transitions. Inspection physique ; architecture complète encore ouverte.</x:v>
      </x:c>
      <x:c r="H898" s="115" t="str">
        <x:v>L 342 ; l 294 ; hauteur 24 m ; choix de composition auteur ; dimensions réelles à documenter</x:v>
      </x:c>
      <x:c r="I898" s="115" t="str">
        <x:v>À équilibrer</x:v>
      </x:c>
      <x:c r="J898" s="115" t="str">
        <x:v>Non</x:v>
      </x:c>
      <x:c r="K898" s="115" t="str">
        <x:v>Pièces décrites, murs, portes, niveaux et mobilier inspectables à l’échelle. Volumes réservés, raccord au seed, butin, rencontres et services de campagne restent à terminer.</x:v>
      </x:c>
    </x:row>
    <x:row r="899" ht="96" customHeight="1">
      <x:c r="A899" s="115" t="str">
        <x:v>EXT-MONDE-T018-V44</x:v>
      </x:c>
      <x:c r="B899" s="115" t="str">
        <x:v>EXT-MONDE-T018</x:v>
      </x:c>
      <x:c r="C899" s="115" t="str">
        <x:v>Littoral</x:v>
      </x:c>
      <x:c r="D899" s="115" t="str">
        <x:v>Fête foraine portuaire</x:v>
      </x:c>
      <x:c r="E899" s="115" t="n">
        <x:v>44</x:v>
      </x:c>
      <x:c r="F899" s="115" t="str">
        <x:v>Inspection physique</x:v>
      </x:c>
      <x:c r="G899" s="115" t="str">
        <x:v>1 niveaux ; 32 pièces ; 248 segments de mur ; 0 transitions. Inspection physique ; architecture complète encore ouverte.</x:v>
      </x:c>
      <x:c r="H899" s="115" t="str">
        <x:v>L 342 ; l 294 ; hauteur 24 m ; choix de composition auteur ; dimensions réelles à documenter</x:v>
      </x:c>
      <x:c r="I899" s="115" t="str">
        <x:v>À équilibrer</x:v>
      </x:c>
      <x:c r="J899" s="115" t="str">
        <x:v>Non</x:v>
      </x:c>
      <x:c r="K899" s="115" t="str">
        <x:v>Pièces décrites, murs, portes, niveaux et mobilier inspectables à l’échelle. Volumes réservés, raccord au seed, butin, rencontres et services de campagne restent à terminer.</x:v>
      </x:c>
    </x:row>
    <x:row r="900" ht="96" customHeight="1">
      <x:c r="A900" s="115" t="str">
        <x:v>EXT-MONDE-T018-V45</x:v>
      </x:c>
      <x:c r="B900" s="115" t="str">
        <x:v>EXT-MONDE-T018</x:v>
      </x:c>
      <x:c r="C900" s="115" t="str">
        <x:v>Littoral</x:v>
      </x:c>
      <x:c r="D900" s="115" t="str">
        <x:v>Fête foraine portuaire</x:v>
      </x:c>
      <x:c r="E900" s="115" t="n">
        <x:v>45</x:v>
      </x:c>
      <x:c r="F900" s="115" t="str">
        <x:v>Inspection physique</x:v>
      </x:c>
      <x:c r="G900" s="115" t="str">
        <x:v>1 niveaux ; 32 pièces ; 248 segments de mur ; 0 transitions. Inspection physique ; architecture complète encore ouverte.</x:v>
      </x:c>
      <x:c r="H900" s="115" t="str">
        <x:v>L 342 ; l 294 ; hauteur 24 m ; choix de composition auteur ; dimensions réelles à documenter</x:v>
      </x:c>
      <x:c r="I900" s="115" t="str">
        <x:v>À équilibrer</x:v>
      </x:c>
      <x:c r="J900" s="115" t="str">
        <x:v>Non</x:v>
      </x:c>
      <x:c r="K900" s="115" t="str">
        <x:v>Pièces décrites, murs, portes, niveaux et mobilier inspectables à l’échelle. Volumes réservés, raccord au seed, butin, rencontres et services de campagne restent à terminer.</x:v>
      </x:c>
    </x:row>
    <x:row r="901" ht="96" customHeight="1">
      <x:c r="A901" s="115" t="str">
        <x:v>EXT-MONDE-T018-V46</x:v>
      </x:c>
      <x:c r="B901" s="115" t="str">
        <x:v>EXT-MONDE-T018</x:v>
      </x:c>
      <x:c r="C901" s="115" t="str">
        <x:v>Littoral</x:v>
      </x:c>
      <x:c r="D901" s="115" t="str">
        <x:v>Fête foraine portuaire</x:v>
      </x:c>
      <x:c r="E901" s="115" t="n">
        <x:v>46</x:v>
      </x:c>
      <x:c r="F901" s="115" t="str">
        <x:v>Inspection physique</x:v>
      </x:c>
      <x:c r="G901" s="115" t="str">
        <x:v>1 niveaux ; 32 pièces ; 248 segments de mur ; 0 transitions. Inspection physique ; architecture complète encore ouverte.</x:v>
      </x:c>
      <x:c r="H901" s="115" t="str">
        <x:v>L 342 ; l 294 ; hauteur 24 m ; choix de composition auteur ; dimensions réelles à documenter</x:v>
      </x:c>
      <x:c r="I901" s="115" t="str">
        <x:v>À équilibrer</x:v>
      </x:c>
      <x:c r="J901" s="115" t="str">
        <x:v>Non</x:v>
      </x:c>
      <x:c r="K901" s="115" t="str">
        <x:v>Pièces décrites, murs, portes, niveaux et mobilier inspectables à l’échelle. Volumes réservés, raccord au seed, butin, rencontres et services de campagne restent à terminer.</x:v>
      </x:c>
    </x:row>
    <x:row r="902" ht="96" customHeight="1">
      <x:c r="A902" s="115" t="str">
        <x:v>EXT-MONDE-T018-V47</x:v>
      </x:c>
      <x:c r="B902" s="115" t="str">
        <x:v>EXT-MONDE-T018</x:v>
      </x:c>
      <x:c r="C902" s="115" t="str">
        <x:v>Littoral</x:v>
      </x:c>
      <x:c r="D902" s="115" t="str">
        <x:v>Fête foraine portuaire</x:v>
      </x:c>
      <x:c r="E902" s="115" t="n">
        <x:v>47</x:v>
      </x:c>
      <x:c r="F902" s="115" t="str">
        <x:v>Inspection physique</x:v>
      </x:c>
      <x:c r="G902" s="115" t="str">
        <x:v>1 niveaux ; 32 pièces ; 248 segments de mur ; 0 transitions. Inspection physique ; architecture complète encore ouverte.</x:v>
      </x:c>
      <x:c r="H902" s="115" t="str">
        <x:v>L 342 ; l 294 ; hauteur 24 m ; choix de composition auteur ; dimensions réelles à documenter</x:v>
      </x:c>
      <x:c r="I902" s="115" t="str">
        <x:v>À équilibrer</x:v>
      </x:c>
      <x:c r="J902" s="115" t="str">
        <x:v>Non</x:v>
      </x:c>
      <x:c r="K902" s="115" t="str">
        <x:v>Pièces décrites, murs, portes, niveaux et mobilier inspectables à l’échelle. Volumes réservés, raccord au seed, butin, rencontres et services de campagne restent à terminer.</x:v>
      </x:c>
    </x:row>
    <x:row r="903" ht="96" customHeight="1">
      <x:c r="A903" s="115" t="str">
        <x:v>EXT-MONDE-T018-V48</x:v>
      </x:c>
      <x:c r="B903" s="115" t="str">
        <x:v>EXT-MONDE-T018</x:v>
      </x:c>
      <x:c r="C903" s="115" t="str">
        <x:v>Littoral</x:v>
      </x:c>
      <x:c r="D903" s="115" t="str">
        <x:v>Fête foraine portuaire</x:v>
      </x:c>
      <x:c r="E903" s="115" t="n">
        <x:v>48</x:v>
      </x:c>
      <x:c r="F903" s="115" t="str">
        <x:v>Inspection physique</x:v>
      </x:c>
      <x:c r="G903" s="115" t="str">
        <x:v>1 niveaux ; 32 pièces ; 248 segments de mur ; 0 transitions. Inspection physique ; architecture complète encore ouverte.</x:v>
      </x:c>
      <x:c r="H903" s="115" t="str">
        <x:v>L 342 ; l 294 ; hauteur 24 m ; choix de composition auteur ; dimensions réelles à documenter</x:v>
      </x:c>
      <x:c r="I903" s="115" t="str">
        <x:v>À équilibrer</x:v>
      </x:c>
      <x:c r="J903" s="115" t="str">
        <x:v>Non</x:v>
      </x:c>
      <x:c r="K903" s="115" t="str">
        <x:v>Pièces décrites, murs, portes, niveaux et mobilier inspectables à l’échelle. Volumes réservés, raccord au seed, butin, rencontres et services de campagne restent à terminer.</x:v>
      </x:c>
    </x:row>
    <x:row r="904" ht="96" customHeight="1">
      <x:c r="A904" s="115" t="str">
        <x:v>EXT-MONDE-T018-V49</x:v>
      </x:c>
      <x:c r="B904" s="115" t="str">
        <x:v>EXT-MONDE-T018</x:v>
      </x:c>
      <x:c r="C904" s="115" t="str">
        <x:v>Littoral</x:v>
      </x:c>
      <x:c r="D904" s="115" t="str">
        <x:v>Fête foraine portuaire</x:v>
      </x:c>
      <x:c r="E904" s="115" t="n">
        <x:v>49</x:v>
      </x:c>
      <x:c r="F904" s="115" t="str">
        <x:v>Inspection physique</x:v>
      </x:c>
      <x:c r="G904" s="115" t="str">
        <x:v>1 niveaux ; 32 pièces ; 248 segments de mur ; 0 transitions. Inspection physique ; architecture complète encore ouverte.</x:v>
      </x:c>
      <x:c r="H904" s="115" t="str">
        <x:v>L 342 ; l 294 ; hauteur 24 m ; choix de composition auteur ; dimensions réelles à documenter</x:v>
      </x:c>
      <x:c r="I904" s="115" t="str">
        <x:v>À équilibrer</x:v>
      </x:c>
      <x:c r="J904" s="115" t="str">
        <x:v>Non</x:v>
      </x:c>
      <x:c r="K904" s="115" t="str">
        <x:v>Pièces décrites, murs, portes, niveaux et mobilier inspectables à l’échelle. Volumes réservés, raccord au seed, butin, rencontres et services de campagne restent à terminer.</x:v>
      </x:c>
    </x:row>
    <x:row r="905" ht="96" customHeight="1">
      <x:c r="A905" s="115" t="str">
        <x:v>EXT-MONDE-T018-V50</x:v>
      </x:c>
      <x:c r="B905" s="115" t="str">
        <x:v>EXT-MONDE-T018</x:v>
      </x:c>
      <x:c r="C905" s="115" t="str">
        <x:v>Littoral</x:v>
      </x:c>
      <x:c r="D905" s="115" t="str">
        <x:v>Fête foraine portuaire</x:v>
      </x:c>
      <x:c r="E905" s="115" t="n">
        <x:v>50</x:v>
      </x:c>
      <x:c r="F905" s="115" t="str">
        <x:v>Inspection physique</x:v>
      </x:c>
      <x:c r="G905" s="115" t="str">
        <x:v>1 niveaux ; 32 pièces ; 248 segments de mur ; 0 transitions. Inspection physique ; architecture complète encore ouverte.</x:v>
      </x:c>
      <x:c r="H905" s="115" t="str">
        <x:v>L 342 ; l 294 ; hauteur 24 m ; choix de composition auteur ; dimensions réelles à documenter</x:v>
      </x:c>
      <x:c r="I905" s="115" t="str">
        <x:v>À équilibrer</x:v>
      </x:c>
      <x:c r="J905" s="115" t="str">
        <x:v>Non</x:v>
      </x:c>
      <x:c r="K905" s="115" t="str">
        <x:v>Pièces décrites, murs, portes, niveaux et mobilier inspectables à l’échelle. Volumes réservés, raccord au seed, butin, rencontres et services de campagne restent à terminer.</x:v>
      </x:c>
    </x:row>
    <x:row r="906" ht="96" customHeight="1">
      <x:c r="A906" s="115" t="str">
        <x:v>EXT-MONDE-T019-V01</x:v>
      </x:c>
      <x:c r="B906" s="115" t="str">
        <x:v>EXT-MONDE-T019</x:v>
      </x:c>
      <x:c r="C906" s="115" t="str">
        <x:v>Littoral</x:v>
      </x:c>
      <x:c r="D906" s="115" t="str">
        <x:v>Chantier naval côtier</x:v>
      </x:c>
      <x:c r="E906" s="115" t="n">
        <x:v>1</x:v>
      </x:c>
      <x:c r="F906" s="115" t="str">
        <x:v>Inspection physique</x:v>
      </x:c>
      <x:c r="G906" s="115" t="str">
        <x:v>1 niveaux ; 32 pièces ; 248 segments de mur ; 0 transitions. Inspection physique ; architecture complète encore ouverte.</x:v>
      </x:c>
      <x:c r="H906" s="115" t="str">
        <x:v>L 270 ; l 230 ; hauteur 18 m ; choix de composition auteur ; dimensions réelles à documenter</x:v>
      </x:c>
      <x:c r="I906" s="115" t="str">
        <x:v>À équilibrer</x:v>
      </x:c>
      <x:c r="J906" s="115" t="str">
        <x:v>Non</x:v>
      </x:c>
      <x:c r="K906" s="115" t="str">
        <x:v>Pièces décrites, murs, portes, niveaux et mobilier inspectables à l’échelle. Volumes réservés, raccord au seed, butin, rencontres et services de campagne restent à terminer.</x:v>
      </x:c>
    </x:row>
    <x:row r="907" ht="96" customHeight="1">
      <x:c r="A907" s="115" t="str">
        <x:v>EXT-MONDE-T019-V02</x:v>
      </x:c>
      <x:c r="B907" s="115" t="str">
        <x:v>EXT-MONDE-T019</x:v>
      </x:c>
      <x:c r="C907" s="115" t="str">
        <x:v>Littoral</x:v>
      </x:c>
      <x:c r="D907" s="115" t="str">
        <x:v>Chantier naval côtier</x:v>
      </x:c>
      <x:c r="E907" s="115" t="n">
        <x:v>2</x:v>
      </x:c>
      <x:c r="F907" s="115" t="str">
        <x:v>Inspection physique</x:v>
      </x:c>
      <x:c r="G907" s="115" t="str">
        <x:v>1 niveaux ; 32 pièces ; 248 segments de mur ; 0 transitions. Inspection physique ; architecture complète encore ouverte.</x:v>
      </x:c>
      <x:c r="H907" s="115" t="str">
        <x:v>L 270 ; l 230 ; hauteur 18 m ; choix de composition auteur ; dimensions réelles à documenter</x:v>
      </x:c>
      <x:c r="I907" s="115" t="str">
        <x:v>À équilibrer</x:v>
      </x:c>
      <x:c r="J907" s="115" t="str">
        <x:v>Non</x:v>
      </x:c>
      <x:c r="K907" s="115" t="str">
        <x:v>Pièces décrites, murs, portes, niveaux et mobilier inspectables à l’échelle. Volumes réservés, raccord au seed, butin, rencontres et services de campagne restent à terminer.</x:v>
      </x:c>
    </x:row>
    <x:row r="908" ht="96" customHeight="1">
      <x:c r="A908" s="115" t="str">
        <x:v>EXT-MONDE-T019-V03</x:v>
      </x:c>
      <x:c r="B908" s="115" t="str">
        <x:v>EXT-MONDE-T019</x:v>
      </x:c>
      <x:c r="C908" s="115" t="str">
        <x:v>Littoral</x:v>
      </x:c>
      <x:c r="D908" s="115" t="str">
        <x:v>Chantier naval côtier</x:v>
      </x:c>
      <x:c r="E908" s="115" t="n">
        <x:v>3</x:v>
      </x:c>
      <x:c r="F908" s="115" t="str">
        <x:v>Inspection physique</x:v>
      </x:c>
      <x:c r="G908" s="115" t="str">
        <x:v>1 niveaux ; 32 pièces ; 248 segments de mur ; 0 transitions. Inspection physique ; architecture complète encore ouverte.</x:v>
      </x:c>
      <x:c r="H908" s="115" t="str">
        <x:v>L 270 ; l 230 ; hauteur 18 m ; choix de composition auteur ; dimensions réelles à documenter</x:v>
      </x:c>
      <x:c r="I908" s="115" t="str">
        <x:v>À équilibrer</x:v>
      </x:c>
      <x:c r="J908" s="115" t="str">
        <x:v>Non</x:v>
      </x:c>
      <x:c r="K908" s="115" t="str">
        <x:v>Pièces décrites, murs, portes, niveaux et mobilier inspectables à l’échelle. Volumes réservés, raccord au seed, butin, rencontres et services de campagne restent à terminer.</x:v>
      </x:c>
    </x:row>
    <x:row r="909" ht="96" customHeight="1">
      <x:c r="A909" s="115" t="str">
        <x:v>EXT-MONDE-T019-V04</x:v>
      </x:c>
      <x:c r="B909" s="115" t="str">
        <x:v>EXT-MONDE-T019</x:v>
      </x:c>
      <x:c r="C909" s="115" t="str">
        <x:v>Littoral</x:v>
      </x:c>
      <x:c r="D909" s="115" t="str">
        <x:v>Chantier naval côtier</x:v>
      </x:c>
      <x:c r="E909" s="115" t="n">
        <x:v>4</x:v>
      </x:c>
      <x:c r="F909" s="115" t="str">
        <x:v>Inspection physique</x:v>
      </x:c>
      <x:c r="G909" s="115" t="str">
        <x:v>1 niveaux ; 32 pièces ; 248 segments de mur ; 0 transitions. Inspection physique ; architecture complète encore ouverte.</x:v>
      </x:c>
      <x:c r="H909" s="115" t="str">
        <x:v>L 270 ; l 230 ; hauteur 18 m ; choix de composition auteur ; dimensions réelles à documenter</x:v>
      </x:c>
      <x:c r="I909" s="115" t="str">
        <x:v>À équilibrer</x:v>
      </x:c>
      <x:c r="J909" s="115" t="str">
        <x:v>Non</x:v>
      </x:c>
      <x:c r="K909" s="115" t="str">
        <x:v>Pièces décrites, murs, portes, niveaux et mobilier inspectables à l’échelle. Volumes réservés, raccord au seed, butin, rencontres et services de campagne restent à terminer.</x:v>
      </x:c>
    </x:row>
    <x:row r="910" ht="96" customHeight="1">
      <x:c r="A910" s="115" t="str">
        <x:v>EXT-MONDE-T019-V05</x:v>
      </x:c>
      <x:c r="B910" s="115" t="str">
        <x:v>EXT-MONDE-T019</x:v>
      </x:c>
      <x:c r="C910" s="115" t="str">
        <x:v>Littoral</x:v>
      </x:c>
      <x:c r="D910" s="115" t="str">
        <x:v>Chantier naval côtier</x:v>
      </x:c>
      <x:c r="E910" s="115" t="n">
        <x:v>5</x:v>
      </x:c>
      <x:c r="F910" s="115" t="str">
        <x:v>Inspection physique</x:v>
      </x:c>
      <x:c r="G910" s="115" t="str">
        <x:v>1 niveaux ; 32 pièces ; 248 segments de mur ; 0 transitions. Inspection physique ; architecture complète encore ouverte.</x:v>
      </x:c>
      <x:c r="H910" s="115" t="str">
        <x:v>L 270 ; l 230 ; hauteur 18 m ; choix de composition auteur ; dimensions réelles à documenter</x:v>
      </x:c>
      <x:c r="I910" s="115" t="str">
        <x:v>À équilibrer</x:v>
      </x:c>
      <x:c r="J910" s="115" t="str">
        <x:v>Non</x:v>
      </x:c>
      <x:c r="K910" s="115" t="str">
        <x:v>Pièces décrites, murs, portes, niveaux et mobilier inspectables à l’échelle. Volumes réservés, raccord au seed, butin, rencontres et services de campagne restent à terminer.</x:v>
      </x:c>
    </x:row>
    <x:row r="911" ht="96" customHeight="1">
      <x:c r="A911" s="115" t="str">
        <x:v>EXT-MONDE-T019-V06</x:v>
      </x:c>
      <x:c r="B911" s="115" t="str">
        <x:v>EXT-MONDE-T019</x:v>
      </x:c>
      <x:c r="C911" s="115" t="str">
        <x:v>Littoral</x:v>
      </x:c>
      <x:c r="D911" s="115" t="str">
        <x:v>Chantier naval côtier</x:v>
      </x:c>
      <x:c r="E911" s="115" t="n">
        <x:v>6</x:v>
      </x:c>
      <x:c r="F911" s="115" t="str">
        <x:v>Inspection physique</x:v>
      </x:c>
      <x:c r="G911" s="115" t="str">
        <x:v>1 niveaux ; 32 pièces ; 248 segments de mur ; 0 transitions. Inspection physique ; architecture complète encore ouverte.</x:v>
      </x:c>
      <x:c r="H911" s="115" t="str">
        <x:v>L 270 ; l 230 ; hauteur 18 m ; choix de composition auteur ; dimensions réelles à documenter</x:v>
      </x:c>
      <x:c r="I911" s="115" t="str">
        <x:v>À équilibrer</x:v>
      </x:c>
      <x:c r="J911" s="115" t="str">
        <x:v>Non</x:v>
      </x:c>
      <x:c r="K911" s="115" t="str">
        <x:v>Pièces décrites, murs, portes, niveaux et mobilier inspectables à l’échelle. Volumes réservés, raccord au seed, butin, rencontres et services de campagne restent à terminer.</x:v>
      </x:c>
    </x:row>
    <x:row r="912" ht="96" customHeight="1">
      <x:c r="A912" s="115" t="str">
        <x:v>EXT-MONDE-T019-V07</x:v>
      </x:c>
      <x:c r="B912" s="115" t="str">
        <x:v>EXT-MONDE-T019</x:v>
      </x:c>
      <x:c r="C912" s="115" t="str">
        <x:v>Littoral</x:v>
      </x:c>
      <x:c r="D912" s="115" t="str">
        <x:v>Chantier naval côtier</x:v>
      </x:c>
      <x:c r="E912" s="115" t="n">
        <x:v>7</x:v>
      </x:c>
      <x:c r="F912" s="115" t="str">
        <x:v>Inspection physique</x:v>
      </x:c>
      <x:c r="G912" s="115" t="str">
        <x:v>1 niveaux ; 32 pièces ; 248 segments de mur ; 0 transitions. Inspection physique ; architecture complète encore ouverte.</x:v>
      </x:c>
      <x:c r="H912" s="115" t="str">
        <x:v>L 270 ; l 230 ; hauteur 18 m ; choix de composition auteur ; dimensions réelles à documenter</x:v>
      </x:c>
      <x:c r="I912" s="115" t="str">
        <x:v>À équilibrer</x:v>
      </x:c>
      <x:c r="J912" s="115" t="str">
        <x:v>Non</x:v>
      </x:c>
      <x:c r="K912" s="115" t="str">
        <x:v>Pièces décrites, murs, portes, niveaux et mobilier inspectables à l’échelle. Volumes réservés, raccord au seed, butin, rencontres et services de campagne restent à terminer.</x:v>
      </x:c>
    </x:row>
    <x:row r="913" ht="96" customHeight="1">
      <x:c r="A913" s="115" t="str">
        <x:v>EXT-MONDE-T019-V08</x:v>
      </x:c>
      <x:c r="B913" s="115" t="str">
        <x:v>EXT-MONDE-T019</x:v>
      </x:c>
      <x:c r="C913" s="115" t="str">
        <x:v>Littoral</x:v>
      </x:c>
      <x:c r="D913" s="115" t="str">
        <x:v>Chantier naval côtier</x:v>
      </x:c>
      <x:c r="E913" s="115" t="n">
        <x:v>8</x:v>
      </x:c>
      <x:c r="F913" s="115" t="str">
        <x:v>Inspection physique</x:v>
      </x:c>
      <x:c r="G913" s="115" t="str">
        <x:v>1 niveaux ; 32 pièces ; 248 segments de mur ; 0 transitions. Inspection physique ; architecture complète encore ouverte.</x:v>
      </x:c>
      <x:c r="H913" s="115" t="str">
        <x:v>L 270 ; l 230 ; hauteur 18 m ; choix de composition auteur ; dimensions réelles à documenter</x:v>
      </x:c>
      <x:c r="I913" s="115" t="str">
        <x:v>À équilibrer</x:v>
      </x:c>
      <x:c r="J913" s="115" t="str">
        <x:v>Non</x:v>
      </x:c>
      <x:c r="K913" s="115" t="str">
        <x:v>Pièces décrites, murs, portes, niveaux et mobilier inspectables à l’échelle. Volumes réservés, raccord au seed, butin, rencontres et services de campagne restent à terminer.</x:v>
      </x:c>
    </x:row>
    <x:row r="914" ht="96" customHeight="1">
      <x:c r="A914" s="115" t="str">
        <x:v>EXT-MONDE-T019-V09</x:v>
      </x:c>
      <x:c r="B914" s="115" t="str">
        <x:v>EXT-MONDE-T019</x:v>
      </x:c>
      <x:c r="C914" s="115" t="str">
        <x:v>Littoral</x:v>
      </x:c>
      <x:c r="D914" s="115" t="str">
        <x:v>Chantier naval côtier</x:v>
      </x:c>
      <x:c r="E914" s="115" t="n">
        <x:v>9</x:v>
      </x:c>
      <x:c r="F914" s="115" t="str">
        <x:v>Inspection physique</x:v>
      </x:c>
      <x:c r="G914" s="115" t="str">
        <x:v>1 niveaux ; 32 pièces ; 248 segments de mur ; 0 transitions. Inspection physique ; architecture complète encore ouverte.</x:v>
      </x:c>
      <x:c r="H914" s="115" t="str">
        <x:v>L 270 ; l 230 ; hauteur 18 m ; choix de composition auteur ; dimensions réelles à documenter</x:v>
      </x:c>
      <x:c r="I914" s="115" t="str">
        <x:v>À équilibrer</x:v>
      </x:c>
      <x:c r="J914" s="115" t="str">
        <x:v>Non</x:v>
      </x:c>
      <x:c r="K914" s="115" t="str">
        <x:v>Pièces décrites, murs, portes, niveaux et mobilier inspectables à l’échelle. Volumes réservés, raccord au seed, butin, rencontres et services de campagne restent à terminer.</x:v>
      </x:c>
    </x:row>
    <x:row r="915" ht="96" customHeight="1">
      <x:c r="A915" s="115" t="str">
        <x:v>EXT-MONDE-T019-V10</x:v>
      </x:c>
      <x:c r="B915" s="115" t="str">
        <x:v>EXT-MONDE-T019</x:v>
      </x:c>
      <x:c r="C915" s="115" t="str">
        <x:v>Littoral</x:v>
      </x:c>
      <x:c r="D915" s="115" t="str">
        <x:v>Chantier naval côtier</x:v>
      </x:c>
      <x:c r="E915" s="115" t="n">
        <x:v>10</x:v>
      </x:c>
      <x:c r="F915" s="115" t="str">
        <x:v>Inspection physique</x:v>
      </x:c>
      <x:c r="G915" s="115" t="str">
        <x:v>1 niveaux ; 32 pièces ; 248 segments de mur ; 0 transitions. Inspection physique ; architecture complète encore ouverte.</x:v>
      </x:c>
      <x:c r="H915" s="115" t="str">
        <x:v>L 270 ; l 230 ; hauteur 18 m ; choix de composition auteur ; dimensions réelles à documenter</x:v>
      </x:c>
      <x:c r="I915" s="115" t="str">
        <x:v>À équilibrer</x:v>
      </x:c>
      <x:c r="J915" s="115" t="str">
        <x:v>Non</x:v>
      </x:c>
      <x:c r="K915" s="115" t="str">
        <x:v>Pièces décrites, murs, portes, niveaux et mobilier inspectables à l’échelle. Volumes réservés, raccord au seed, butin, rencontres et services de campagne restent à terminer.</x:v>
      </x:c>
    </x:row>
    <x:row r="916" ht="96" customHeight="1">
      <x:c r="A916" s="115" t="str">
        <x:v>EXT-MONDE-T019-V11</x:v>
      </x:c>
      <x:c r="B916" s="115" t="str">
        <x:v>EXT-MONDE-T019</x:v>
      </x:c>
      <x:c r="C916" s="115" t="str">
        <x:v>Littoral</x:v>
      </x:c>
      <x:c r="D916" s="115" t="str">
        <x:v>Chantier naval côtier</x:v>
      </x:c>
      <x:c r="E916" s="115" t="n">
        <x:v>11</x:v>
      </x:c>
      <x:c r="F916" s="115" t="str">
        <x:v>Inspection physique</x:v>
      </x:c>
      <x:c r="G916" s="115" t="str">
        <x:v>1 niveaux ; 32 pièces ; 248 segments de mur ; 0 transitions. Inspection physique ; architecture complète encore ouverte.</x:v>
      </x:c>
      <x:c r="H916" s="115" t="str">
        <x:v>L 288 ; l 246 ; hauteur 18 m ; choix de composition auteur ; dimensions réelles à documenter</x:v>
      </x:c>
      <x:c r="I916" s="115" t="str">
        <x:v>À équilibrer</x:v>
      </x:c>
      <x:c r="J916" s="115" t="str">
        <x:v>Non</x:v>
      </x:c>
      <x:c r="K916" s="115" t="str">
        <x:v>Pièces décrites, murs, portes, niveaux et mobilier inspectables à l’échelle. Volumes réservés, raccord au seed, butin, rencontres et services de campagne restent à terminer.</x:v>
      </x:c>
    </x:row>
    <x:row r="917" ht="96" customHeight="1">
      <x:c r="A917" s="115" t="str">
        <x:v>EXT-MONDE-T019-V12</x:v>
      </x:c>
      <x:c r="B917" s="115" t="str">
        <x:v>EXT-MONDE-T019</x:v>
      </x:c>
      <x:c r="C917" s="115" t="str">
        <x:v>Littoral</x:v>
      </x:c>
      <x:c r="D917" s="115" t="str">
        <x:v>Chantier naval côtier</x:v>
      </x:c>
      <x:c r="E917" s="115" t="n">
        <x:v>12</x:v>
      </x:c>
      <x:c r="F917" s="115" t="str">
        <x:v>Inspection physique</x:v>
      </x:c>
      <x:c r="G917" s="115" t="str">
        <x:v>1 niveaux ; 32 pièces ; 248 segments de mur ; 0 transitions. Inspection physique ; architecture complète encore ouverte.</x:v>
      </x:c>
      <x:c r="H917" s="115" t="str">
        <x:v>L 288 ; l 246 ; hauteur 18 m ; choix de composition auteur ; dimensions réelles à documenter</x:v>
      </x:c>
      <x:c r="I917" s="115" t="str">
        <x:v>À équilibrer</x:v>
      </x:c>
      <x:c r="J917" s="115" t="str">
        <x:v>Non</x:v>
      </x:c>
      <x:c r="K917" s="115" t="str">
        <x:v>Pièces décrites, murs, portes, niveaux et mobilier inspectables à l’échelle. Volumes réservés, raccord au seed, butin, rencontres et services de campagne restent à terminer.</x:v>
      </x:c>
    </x:row>
    <x:row r="918" ht="96" customHeight="1">
      <x:c r="A918" s="115" t="str">
        <x:v>EXT-MONDE-T019-V13</x:v>
      </x:c>
      <x:c r="B918" s="115" t="str">
        <x:v>EXT-MONDE-T019</x:v>
      </x:c>
      <x:c r="C918" s="115" t="str">
        <x:v>Littoral</x:v>
      </x:c>
      <x:c r="D918" s="115" t="str">
        <x:v>Chantier naval côtier</x:v>
      </x:c>
      <x:c r="E918" s="115" t="n">
        <x:v>13</x:v>
      </x:c>
      <x:c r="F918" s="115" t="str">
        <x:v>Inspection physique</x:v>
      </x:c>
      <x:c r="G918" s="115" t="str">
        <x:v>1 niveaux ; 32 pièces ; 248 segments de mur ; 0 transitions. Inspection physique ; architecture complète encore ouverte.</x:v>
      </x:c>
      <x:c r="H918" s="115" t="str">
        <x:v>L 288 ; l 246 ; hauteur 18 m ; choix de composition auteur ; dimensions réelles à documenter</x:v>
      </x:c>
      <x:c r="I918" s="115" t="str">
        <x:v>À équilibrer</x:v>
      </x:c>
      <x:c r="J918" s="115" t="str">
        <x:v>Non</x:v>
      </x:c>
      <x:c r="K918" s="115" t="str">
        <x:v>Pièces décrites, murs, portes, niveaux et mobilier inspectables à l’échelle. Volumes réservés, raccord au seed, butin, rencontres et services de campagne restent à terminer.</x:v>
      </x:c>
    </x:row>
    <x:row r="919" ht="96" customHeight="1">
      <x:c r="A919" s="115" t="str">
        <x:v>EXT-MONDE-T019-V14</x:v>
      </x:c>
      <x:c r="B919" s="115" t="str">
        <x:v>EXT-MONDE-T019</x:v>
      </x:c>
      <x:c r="C919" s="115" t="str">
        <x:v>Littoral</x:v>
      </x:c>
      <x:c r="D919" s="115" t="str">
        <x:v>Chantier naval côtier</x:v>
      </x:c>
      <x:c r="E919" s="115" t="n">
        <x:v>14</x:v>
      </x:c>
      <x:c r="F919" s="115" t="str">
        <x:v>Inspection physique</x:v>
      </x:c>
      <x:c r="G919" s="115" t="str">
        <x:v>1 niveaux ; 32 pièces ; 248 segments de mur ; 0 transitions. Inspection physique ; architecture complète encore ouverte.</x:v>
      </x:c>
      <x:c r="H919" s="115" t="str">
        <x:v>L 288 ; l 246 ; hauteur 18 m ; choix de composition auteur ; dimensions réelles à documenter</x:v>
      </x:c>
      <x:c r="I919" s="115" t="str">
        <x:v>À équilibrer</x:v>
      </x:c>
      <x:c r="J919" s="115" t="str">
        <x:v>Non</x:v>
      </x:c>
      <x:c r="K919" s="115" t="str">
        <x:v>Pièces décrites, murs, portes, niveaux et mobilier inspectables à l’échelle. Volumes réservés, raccord au seed, butin, rencontres et services de campagne restent à terminer.</x:v>
      </x:c>
    </x:row>
    <x:row r="920" ht="96" customHeight="1">
      <x:c r="A920" s="115" t="str">
        <x:v>EXT-MONDE-T019-V15</x:v>
      </x:c>
      <x:c r="B920" s="115" t="str">
        <x:v>EXT-MONDE-T019</x:v>
      </x:c>
      <x:c r="C920" s="115" t="str">
        <x:v>Littoral</x:v>
      </x:c>
      <x:c r="D920" s="115" t="str">
        <x:v>Chantier naval côtier</x:v>
      </x:c>
      <x:c r="E920" s="115" t="n">
        <x:v>15</x:v>
      </x:c>
      <x:c r="F920" s="115" t="str">
        <x:v>Inspection physique</x:v>
      </x:c>
      <x:c r="G920" s="115" t="str">
        <x:v>1 niveaux ; 32 pièces ; 248 segments de mur ; 0 transitions. Inspection physique ; architecture complète encore ouverte.</x:v>
      </x:c>
      <x:c r="H920" s="115" t="str">
        <x:v>L 288 ; l 246 ; hauteur 18 m ; choix de composition auteur ; dimensions réelles à documenter</x:v>
      </x:c>
      <x:c r="I920" s="115" t="str">
        <x:v>À équilibrer</x:v>
      </x:c>
      <x:c r="J920" s="115" t="str">
        <x:v>Non</x:v>
      </x:c>
      <x:c r="K920" s="115" t="str">
        <x:v>Pièces décrites, murs, portes, niveaux et mobilier inspectables à l’échelle. Volumes réservés, raccord au seed, butin, rencontres et services de campagne restent à terminer.</x:v>
      </x:c>
    </x:row>
    <x:row r="921" ht="96" customHeight="1">
      <x:c r="A921" s="115" t="str">
        <x:v>EXT-MONDE-T019-V16</x:v>
      </x:c>
      <x:c r="B921" s="115" t="str">
        <x:v>EXT-MONDE-T019</x:v>
      </x:c>
      <x:c r="C921" s="115" t="str">
        <x:v>Littoral</x:v>
      </x:c>
      <x:c r="D921" s="115" t="str">
        <x:v>Chantier naval côtier</x:v>
      </x:c>
      <x:c r="E921" s="115" t="n">
        <x:v>16</x:v>
      </x:c>
      <x:c r="F921" s="115" t="str">
        <x:v>Inspection physique</x:v>
      </x:c>
      <x:c r="G921" s="115" t="str">
        <x:v>1 niveaux ; 32 pièces ; 248 segments de mur ; 0 transitions. Inspection physique ; architecture complète encore ouverte.</x:v>
      </x:c>
      <x:c r="H921" s="115" t="str">
        <x:v>L 288 ; l 246 ; hauteur 18 m ; choix de composition auteur ; dimensions réelles à documenter</x:v>
      </x:c>
      <x:c r="I921" s="115" t="str">
        <x:v>À équilibrer</x:v>
      </x:c>
      <x:c r="J921" s="115" t="str">
        <x:v>Non</x:v>
      </x:c>
      <x:c r="K921" s="115" t="str">
        <x:v>Pièces décrites, murs, portes, niveaux et mobilier inspectables à l’échelle. Volumes réservés, raccord au seed, butin, rencontres et services de campagne restent à terminer.</x:v>
      </x:c>
    </x:row>
    <x:row r="922" ht="96" customHeight="1">
      <x:c r="A922" s="115" t="str">
        <x:v>EXT-MONDE-T019-V17</x:v>
      </x:c>
      <x:c r="B922" s="115" t="str">
        <x:v>EXT-MONDE-T019</x:v>
      </x:c>
      <x:c r="C922" s="115" t="str">
        <x:v>Littoral</x:v>
      </x:c>
      <x:c r="D922" s="115" t="str">
        <x:v>Chantier naval côtier</x:v>
      </x:c>
      <x:c r="E922" s="115" t="n">
        <x:v>17</x:v>
      </x:c>
      <x:c r="F922" s="115" t="str">
        <x:v>Inspection physique</x:v>
      </x:c>
      <x:c r="G922" s="115" t="str">
        <x:v>1 niveaux ; 32 pièces ; 248 segments de mur ; 0 transitions. Inspection physique ; architecture complète encore ouverte.</x:v>
      </x:c>
      <x:c r="H922" s="115" t="str">
        <x:v>L 288 ; l 246 ; hauteur 18 m ; choix de composition auteur ; dimensions réelles à documenter</x:v>
      </x:c>
      <x:c r="I922" s="115" t="str">
        <x:v>À équilibrer</x:v>
      </x:c>
      <x:c r="J922" s="115" t="str">
        <x:v>Non</x:v>
      </x:c>
      <x:c r="K922" s="115" t="str">
        <x:v>Pièces décrites, murs, portes, niveaux et mobilier inspectables à l’échelle. Volumes réservés, raccord au seed, butin, rencontres et services de campagne restent à terminer.</x:v>
      </x:c>
    </x:row>
    <x:row r="923" ht="96" customHeight="1">
      <x:c r="A923" s="115" t="str">
        <x:v>EXT-MONDE-T019-V18</x:v>
      </x:c>
      <x:c r="B923" s="115" t="str">
        <x:v>EXT-MONDE-T019</x:v>
      </x:c>
      <x:c r="C923" s="115" t="str">
        <x:v>Littoral</x:v>
      </x:c>
      <x:c r="D923" s="115" t="str">
        <x:v>Chantier naval côtier</x:v>
      </x:c>
      <x:c r="E923" s="115" t="n">
        <x:v>18</x:v>
      </x:c>
      <x:c r="F923" s="115" t="str">
        <x:v>Inspection physique</x:v>
      </x:c>
      <x:c r="G923" s="115" t="str">
        <x:v>1 niveaux ; 32 pièces ; 248 segments de mur ; 0 transitions. Inspection physique ; architecture complète encore ouverte.</x:v>
      </x:c>
      <x:c r="H923" s="115" t="str">
        <x:v>L 288 ; l 246 ; hauteur 18 m ; choix de composition auteur ; dimensions réelles à documenter</x:v>
      </x:c>
      <x:c r="I923" s="115" t="str">
        <x:v>À équilibrer</x:v>
      </x:c>
      <x:c r="J923" s="115" t="str">
        <x:v>Non</x:v>
      </x:c>
      <x:c r="K923" s="115" t="str">
        <x:v>Pièces décrites, murs, portes, niveaux et mobilier inspectables à l’échelle. Volumes réservés, raccord au seed, butin, rencontres et services de campagne restent à terminer.</x:v>
      </x:c>
    </x:row>
    <x:row r="924" ht="96" customHeight="1">
      <x:c r="A924" s="115" t="str">
        <x:v>EXT-MONDE-T019-V19</x:v>
      </x:c>
      <x:c r="B924" s="115" t="str">
        <x:v>EXT-MONDE-T019</x:v>
      </x:c>
      <x:c r="C924" s="115" t="str">
        <x:v>Littoral</x:v>
      </x:c>
      <x:c r="D924" s="115" t="str">
        <x:v>Chantier naval côtier</x:v>
      </x:c>
      <x:c r="E924" s="115" t="n">
        <x:v>19</x:v>
      </x:c>
      <x:c r="F924" s="115" t="str">
        <x:v>Inspection physique</x:v>
      </x:c>
      <x:c r="G924" s="115" t="str">
        <x:v>1 niveaux ; 32 pièces ; 248 segments de mur ; 0 transitions. Inspection physique ; architecture complète encore ouverte.</x:v>
      </x:c>
      <x:c r="H924" s="115" t="str">
        <x:v>L 288 ; l 246 ; hauteur 18 m ; choix de composition auteur ; dimensions réelles à documenter</x:v>
      </x:c>
      <x:c r="I924" s="115" t="str">
        <x:v>À équilibrer</x:v>
      </x:c>
      <x:c r="J924" s="115" t="str">
        <x:v>Non</x:v>
      </x:c>
      <x:c r="K924" s="115" t="str">
        <x:v>Pièces décrites, murs, portes, niveaux et mobilier inspectables à l’échelle. Volumes réservés, raccord au seed, butin, rencontres et services de campagne restent à terminer.</x:v>
      </x:c>
    </x:row>
    <x:row r="925" ht="96" customHeight="1">
      <x:c r="A925" s="115" t="str">
        <x:v>EXT-MONDE-T019-V20</x:v>
      </x:c>
      <x:c r="B925" s="115" t="str">
        <x:v>EXT-MONDE-T019</x:v>
      </x:c>
      <x:c r="C925" s="115" t="str">
        <x:v>Littoral</x:v>
      </x:c>
      <x:c r="D925" s="115" t="str">
        <x:v>Chantier naval côtier</x:v>
      </x:c>
      <x:c r="E925" s="115" t="n">
        <x:v>20</x:v>
      </x:c>
      <x:c r="F925" s="115" t="str">
        <x:v>Inspection physique</x:v>
      </x:c>
      <x:c r="G925" s="115" t="str">
        <x:v>1 niveaux ; 32 pièces ; 248 segments de mur ; 0 transitions. Inspection physique ; architecture complète encore ouverte.</x:v>
      </x:c>
      <x:c r="H925" s="115" t="str">
        <x:v>L 288 ; l 246 ; hauteur 18 m ; choix de composition auteur ; dimensions réelles à documenter</x:v>
      </x:c>
      <x:c r="I925" s="115" t="str">
        <x:v>À équilibrer</x:v>
      </x:c>
      <x:c r="J925" s="115" t="str">
        <x:v>Non</x:v>
      </x:c>
      <x:c r="K925" s="115" t="str">
        <x:v>Pièces décrites, murs, portes, niveaux et mobilier inspectables à l’échelle. Volumes réservés, raccord au seed, butin, rencontres et services de campagne restent à terminer.</x:v>
      </x:c>
    </x:row>
    <x:row r="926" ht="96" customHeight="1">
      <x:c r="A926" s="115" t="str">
        <x:v>EXT-MONDE-T019-V21</x:v>
      </x:c>
      <x:c r="B926" s="115" t="str">
        <x:v>EXT-MONDE-T019</x:v>
      </x:c>
      <x:c r="C926" s="115" t="str">
        <x:v>Littoral</x:v>
      </x:c>
      <x:c r="D926" s="115" t="str">
        <x:v>Chantier naval côtier</x:v>
      </x:c>
      <x:c r="E926" s="115" t="n">
        <x:v>21</x:v>
      </x:c>
      <x:c r="F926" s="115" t="str">
        <x:v>Inspection physique</x:v>
      </x:c>
      <x:c r="G926" s="115" t="str">
        <x:v>1 niveaux ; 32 pièces ; 248 segments de mur ; 0 transitions. Inspection physique ; architecture complète encore ouverte.</x:v>
      </x:c>
      <x:c r="H926" s="115" t="str">
        <x:v>L 306 ; l 262 ; hauteur 18 m ; choix de composition auteur ; dimensions réelles à documenter</x:v>
      </x:c>
      <x:c r="I926" s="115" t="str">
        <x:v>À équilibrer</x:v>
      </x:c>
      <x:c r="J926" s="115" t="str">
        <x:v>Non</x:v>
      </x:c>
      <x:c r="K926" s="115" t="str">
        <x:v>Pièces décrites, murs, portes, niveaux et mobilier inspectables à l’échelle. Volumes réservés, raccord au seed, butin, rencontres et services de campagne restent à terminer.</x:v>
      </x:c>
    </x:row>
    <x:row r="927" ht="96" customHeight="1">
      <x:c r="A927" s="115" t="str">
        <x:v>EXT-MONDE-T019-V22</x:v>
      </x:c>
      <x:c r="B927" s="115" t="str">
        <x:v>EXT-MONDE-T019</x:v>
      </x:c>
      <x:c r="C927" s="115" t="str">
        <x:v>Littoral</x:v>
      </x:c>
      <x:c r="D927" s="115" t="str">
        <x:v>Chantier naval côtier</x:v>
      </x:c>
      <x:c r="E927" s="115" t="n">
        <x:v>22</x:v>
      </x:c>
      <x:c r="F927" s="115" t="str">
        <x:v>Inspection physique</x:v>
      </x:c>
      <x:c r="G927" s="115" t="str">
        <x:v>1 niveaux ; 32 pièces ; 248 segments de mur ; 0 transitions. Inspection physique ; architecture complète encore ouverte.</x:v>
      </x:c>
      <x:c r="H927" s="115" t="str">
        <x:v>L 306 ; l 262 ; hauteur 18 m ; choix de composition auteur ; dimensions réelles à documenter</x:v>
      </x:c>
      <x:c r="I927" s="115" t="str">
        <x:v>À équilibrer</x:v>
      </x:c>
      <x:c r="J927" s="115" t="str">
        <x:v>Non</x:v>
      </x:c>
      <x:c r="K927" s="115" t="str">
        <x:v>Pièces décrites, murs, portes, niveaux et mobilier inspectables à l’échelle. Volumes réservés, raccord au seed, butin, rencontres et services de campagne restent à terminer.</x:v>
      </x:c>
    </x:row>
    <x:row r="928" ht="96" customHeight="1">
      <x:c r="A928" s="115" t="str">
        <x:v>EXT-MONDE-T019-V23</x:v>
      </x:c>
      <x:c r="B928" s="115" t="str">
        <x:v>EXT-MONDE-T019</x:v>
      </x:c>
      <x:c r="C928" s="115" t="str">
        <x:v>Littoral</x:v>
      </x:c>
      <x:c r="D928" s="115" t="str">
        <x:v>Chantier naval côtier</x:v>
      </x:c>
      <x:c r="E928" s="115" t="n">
        <x:v>23</x:v>
      </x:c>
      <x:c r="F928" s="115" t="str">
        <x:v>Inspection physique</x:v>
      </x:c>
      <x:c r="G928" s="115" t="str">
        <x:v>1 niveaux ; 32 pièces ; 248 segments de mur ; 0 transitions. Inspection physique ; architecture complète encore ouverte.</x:v>
      </x:c>
      <x:c r="H928" s="115" t="str">
        <x:v>L 306 ; l 262 ; hauteur 18 m ; choix de composition auteur ; dimensions réelles à documenter</x:v>
      </x:c>
      <x:c r="I928" s="115" t="str">
        <x:v>À équilibrer</x:v>
      </x:c>
      <x:c r="J928" s="115" t="str">
        <x:v>Non</x:v>
      </x:c>
      <x:c r="K928" s="115" t="str">
        <x:v>Pièces décrites, murs, portes, niveaux et mobilier inspectables à l’échelle. Volumes réservés, raccord au seed, butin, rencontres et services de campagne restent à terminer.</x:v>
      </x:c>
    </x:row>
    <x:row r="929" ht="96" customHeight="1">
      <x:c r="A929" s="115" t="str">
        <x:v>EXT-MONDE-T019-V24</x:v>
      </x:c>
      <x:c r="B929" s="115" t="str">
        <x:v>EXT-MONDE-T019</x:v>
      </x:c>
      <x:c r="C929" s="115" t="str">
        <x:v>Littoral</x:v>
      </x:c>
      <x:c r="D929" s="115" t="str">
        <x:v>Chantier naval côtier</x:v>
      </x:c>
      <x:c r="E929" s="115" t="n">
        <x:v>24</x:v>
      </x:c>
      <x:c r="F929" s="115" t="str">
        <x:v>Inspection physique</x:v>
      </x:c>
      <x:c r="G929" s="115" t="str">
        <x:v>1 niveaux ; 32 pièces ; 248 segments de mur ; 0 transitions. Inspection physique ; architecture complète encore ouverte.</x:v>
      </x:c>
      <x:c r="H929" s="115" t="str">
        <x:v>L 306 ; l 262 ; hauteur 18 m ; choix de composition auteur ; dimensions réelles à documenter</x:v>
      </x:c>
      <x:c r="I929" s="115" t="str">
        <x:v>À équilibrer</x:v>
      </x:c>
      <x:c r="J929" s="115" t="str">
        <x:v>Non</x:v>
      </x:c>
      <x:c r="K929" s="115" t="str">
        <x:v>Pièces décrites, murs, portes, niveaux et mobilier inspectables à l’échelle. Volumes réservés, raccord au seed, butin, rencontres et services de campagne restent à terminer.</x:v>
      </x:c>
    </x:row>
    <x:row r="930" ht="96" customHeight="1">
      <x:c r="A930" s="115" t="str">
        <x:v>EXT-MONDE-T019-V25</x:v>
      </x:c>
      <x:c r="B930" s="115" t="str">
        <x:v>EXT-MONDE-T019</x:v>
      </x:c>
      <x:c r="C930" s="115" t="str">
        <x:v>Littoral</x:v>
      </x:c>
      <x:c r="D930" s="115" t="str">
        <x:v>Chantier naval côtier</x:v>
      </x:c>
      <x:c r="E930" s="115" t="n">
        <x:v>25</x:v>
      </x:c>
      <x:c r="F930" s="115" t="str">
        <x:v>Inspection physique</x:v>
      </x:c>
      <x:c r="G930" s="115" t="str">
        <x:v>1 niveaux ; 32 pièces ; 248 segments de mur ; 0 transitions. Inspection physique ; architecture complète encore ouverte.</x:v>
      </x:c>
      <x:c r="H930" s="115" t="str">
        <x:v>L 306 ; l 262 ; hauteur 18 m ; choix de composition auteur ; dimensions réelles à documenter</x:v>
      </x:c>
      <x:c r="I930" s="115" t="str">
        <x:v>À équilibrer</x:v>
      </x:c>
      <x:c r="J930" s="115" t="str">
        <x:v>Non</x:v>
      </x:c>
      <x:c r="K930" s="115" t="str">
        <x:v>Pièces décrites, murs, portes, niveaux et mobilier inspectables à l’échelle. Volumes réservés, raccord au seed, butin, rencontres et services de campagne restent à terminer.</x:v>
      </x:c>
    </x:row>
    <x:row r="931" ht="96" customHeight="1">
      <x:c r="A931" s="115" t="str">
        <x:v>EXT-MONDE-T019-V26</x:v>
      </x:c>
      <x:c r="B931" s="115" t="str">
        <x:v>EXT-MONDE-T019</x:v>
      </x:c>
      <x:c r="C931" s="115" t="str">
        <x:v>Littoral</x:v>
      </x:c>
      <x:c r="D931" s="115" t="str">
        <x:v>Chantier naval côtier</x:v>
      </x:c>
      <x:c r="E931" s="115" t="n">
        <x:v>26</x:v>
      </x:c>
      <x:c r="F931" s="115" t="str">
        <x:v>Inspection physique</x:v>
      </x:c>
      <x:c r="G931" s="115" t="str">
        <x:v>1 niveaux ; 32 pièces ; 248 segments de mur ; 0 transitions. Inspection physique ; architecture complète encore ouverte.</x:v>
      </x:c>
      <x:c r="H931" s="115" t="str">
        <x:v>L 306 ; l 262 ; hauteur 18 m ; choix de composition auteur ; dimensions réelles à documenter</x:v>
      </x:c>
      <x:c r="I931" s="115" t="str">
        <x:v>À équilibrer</x:v>
      </x:c>
      <x:c r="J931" s="115" t="str">
        <x:v>Non</x:v>
      </x:c>
      <x:c r="K931" s="115" t="str">
        <x:v>Pièces décrites, murs, portes, niveaux et mobilier inspectables à l’échelle. Volumes réservés, raccord au seed, butin, rencontres et services de campagne restent à terminer.</x:v>
      </x:c>
    </x:row>
    <x:row r="932" ht="96" customHeight="1">
      <x:c r="A932" s="115" t="str">
        <x:v>EXT-MONDE-T019-V27</x:v>
      </x:c>
      <x:c r="B932" s="115" t="str">
        <x:v>EXT-MONDE-T019</x:v>
      </x:c>
      <x:c r="C932" s="115" t="str">
        <x:v>Littoral</x:v>
      </x:c>
      <x:c r="D932" s="115" t="str">
        <x:v>Chantier naval côtier</x:v>
      </x:c>
      <x:c r="E932" s="115" t="n">
        <x:v>27</x:v>
      </x:c>
      <x:c r="F932" s="115" t="str">
        <x:v>Inspection physique</x:v>
      </x:c>
      <x:c r="G932" s="115" t="str">
        <x:v>1 niveaux ; 32 pièces ; 248 segments de mur ; 0 transitions. Inspection physique ; architecture complète encore ouverte.</x:v>
      </x:c>
      <x:c r="H932" s="115" t="str">
        <x:v>L 306 ; l 262 ; hauteur 18 m ; choix de composition auteur ; dimensions réelles à documenter</x:v>
      </x:c>
      <x:c r="I932" s="115" t="str">
        <x:v>À équilibrer</x:v>
      </x:c>
      <x:c r="J932" s="115" t="str">
        <x:v>Non</x:v>
      </x:c>
      <x:c r="K932" s="115" t="str">
        <x:v>Pièces décrites, murs, portes, niveaux et mobilier inspectables à l’échelle. Volumes réservés, raccord au seed, butin, rencontres et services de campagne restent à terminer.</x:v>
      </x:c>
    </x:row>
    <x:row r="933" ht="96" customHeight="1">
      <x:c r="A933" s="115" t="str">
        <x:v>EXT-MONDE-T019-V28</x:v>
      </x:c>
      <x:c r="B933" s="115" t="str">
        <x:v>EXT-MONDE-T019</x:v>
      </x:c>
      <x:c r="C933" s="115" t="str">
        <x:v>Littoral</x:v>
      </x:c>
      <x:c r="D933" s="115" t="str">
        <x:v>Chantier naval côtier</x:v>
      </x:c>
      <x:c r="E933" s="115" t="n">
        <x:v>28</x:v>
      </x:c>
      <x:c r="F933" s="115" t="str">
        <x:v>Inspection physique</x:v>
      </x:c>
      <x:c r="G933" s="115" t="str">
        <x:v>1 niveaux ; 32 pièces ; 248 segments de mur ; 0 transitions. Inspection physique ; architecture complète encore ouverte.</x:v>
      </x:c>
      <x:c r="H933" s="115" t="str">
        <x:v>L 306 ; l 262 ; hauteur 18 m ; choix de composition auteur ; dimensions réelles à documenter</x:v>
      </x:c>
      <x:c r="I933" s="115" t="str">
        <x:v>À équilibrer</x:v>
      </x:c>
      <x:c r="J933" s="115" t="str">
        <x:v>Non</x:v>
      </x:c>
      <x:c r="K933" s="115" t="str">
        <x:v>Pièces décrites, murs, portes, niveaux et mobilier inspectables à l’échelle. Volumes réservés, raccord au seed, butin, rencontres et services de campagne restent à terminer.</x:v>
      </x:c>
    </x:row>
    <x:row r="934" ht="96" customHeight="1">
      <x:c r="A934" s="115" t="str">
        <x:v>EXT-MONDE-T019-V29</x:v>
      </x:c>
      <x:c r="B934" s="115" t="str">
        <x:v>EXT-MONDE-T019</x:v>
      </x:c>
      <x:c r="C934" s="115" t="str">
        <x:v>Littoral</x:v>
      </x:c>
      <x:c r="D934" s="115" t="str">
        <x:v>Chantier naval côtier</x:v>
      </x:c>
      <x:c r="E934" s="115" t="n">
        <x:v>29</x:v>
      </x:c>
      <x:c r="F934" s="115" t="str">
        <x:v>Inspection physique</x:v>
      </x:c>
      <x:c r="G934" s="115" t="str">
        <x:v>1 niveaux ; 32 pièces ; 248 segments de mur ; 0 transitions. Inspection physique ; architecture complète encore ouverte.</x:v>
      </x:c>
      <x:c r="H934" s="115" t="str">
        <x:v>L 306 ; l 262 ; hauteur 18 m ; choix de composition auteur ; dimensions réelles à documenter</x:v>
      </x:c>
      <x:c r="I934" s="115" t="str">
        <x:v>À équilibrer</x:v>
      </x:c>
      <x:c r="J934" s="115" t="str">
        <x:v>Non</x:v>
      </x:c>
      <x:c r="K934" s="115" t="str">
        <x:v>Pièces décrites, murs, portes, niveaux et mobilier inspectables à l’échelle. Volumes réservés, raccord au seed, butin, rencontres et services de campagne restent à terminer.</x:v>
      </x:c>
    </x:row>
    <x:row r="935" ht="96" customHeight="1">
      <x:c r="A935" s="115" t="str">
        <x:v>EXT-MONDE-T019-V30</x:v>
      </x:c>
      <x:c r="B935" s="115" t="str">
        <x:v>EXT-MONDE-T019</x:v>
      </x:c>
      <x:c r="C935" s="115" t="str">
        <x:v>Littoral</x:v>
      </x:c>
      <x:c r="D935" s="115" t="str">
        <x:v>Chantier naval côtier</x:v>
      </x:c>
      <x:c r="E935" s="115" t="n">
        <x:v>30</x:v>
      </x:c>
      <x:c r="F935" s="115" t="str">
        <x:v>Inspection physique</x:v>
      </x:c>
      <x:c r="G935" s="115" t="str">
        <x:v>1 niveaux ; 32 pièces ; 248 segments de mur ; 0 transitions. Inspection physique ; architecture complète encore ouverte.</x:v>
      </x:c>
      <x:c r="H935" s="115" t="str">
        <x:v>L 306 ; l 262 ; hauteur 18 m ; choix de composition auteur ; dimensions réelles à documenter</x:v>
      </x:c>
      <x:c r="I935" s="115" t="str">
        <x:v>À équilibrer</x:v>
      </x:c>
      <x:c r="J935" s="115" t="str">
        <x:v>Non</x:v>
      </x:c>
      <x:c r="K935" s="115" t="str">
        <x:v>Pièces décrites, murs, portes, niveaux et mobilier inspectables à l’échelle. Volumes réservés, raccord au seed, butin, rencontres et services de campagne restent à terminer.</x:v>
      </x:c>
    </x:row>
    <x:row r="936" ht="96" customHeight="1">
      <x:c r="A936" s="115" t="str">
        <x:v>EXT-MONDE-T019-V31</x:v>
      </x:c>
      <x:c r="B936" s="115" t="str">
        <x:v>EXT-MONDE-T019</x:v>
      </x:c>
      <x:c r="C936" s="115" t="str">
        <x:v>Littoral</x:v>
      </x:c>
      <x:c r="D936" s="115" t="str">
        <x:v>Chantier naval côtier</x:v>
      </x:c>
      <x:c r="E936" s="115" t="n">
        <x:v>31</x:v>
      </x:c>
      <x:c r="F936" s="115" t="str">
        <x:v>Inspection physique</x:v>
      </x:c>
      <x:c r="G936" s="115" t="str">
        <x:v>1 niveaux ; 32 pièces ; 248 segments de mur ; 0 transitions. Inspection physique ; architecture complète encore ouverte.</x:v>
      </x:c>
      <x:c r="H936" s="115" t="str">
        <x:v>L 324 ; l 278 ; hauteur 18 m ; choix de composition auteur ; dimensions réelles à documenter</x:v>
      </x:c>
      <x:c r="I936" s="115" t="str">
        <x:v>À équilibrer</x:v>
      </x:c>
      <x:c r="J936" s="115" t="str">
        <x:v>Non</x:v>
      </x:c>
      <x:c r="K936" s="115" t="str">
        <x:v>Pièces décrites, murs, portes, niveaux et mobilier inspectables à l’échelle. Volumes réservés, raccord au seed, butin, rencontres et services de campagne restent à terminer.</x:v>
      </x:c>
    </x:row>
    <x:row r="937" ht="96" customHeight="1">
      <x:c r="A937" s="115" t="str">
        <x:v>EXT-MONDE-T019-V32</x:v>
      </x:c>
      <x:c r="B937" s="115" t="str">
        <x:v>EXT-MONDE-T019</x:v>
      </x:c>
      <x:c r="C937" s="115" t="str">
        <x:v>Littoral</x:v>
      </x:c>
      <x:c r="D937" s="115" t="str">
        <x:v>Chantier naval côtier</x:v>
      </x:c>
      <x:c r="E937" s="115" t="n">
        <x:v>32</x:v>
      </x:c>
      <x:c r="F937" s="115" t="str">
        <x:v>Inspection physique</x:v>
      </x:c>
      <x:c r="G937" s="115" t="str">
        <x:v>1 niveaux ; 32 pièces ; 248 segments de mur ; 0 transitions. Inspection physique ; architecture complète encore ouverte.</x:v>
      </x:c>
      <x:c r="H937" s="115" t="str">
        <x:v>L 324 ; l 278 ; hauteur 18 m ; choix de composition auteur ; dimensions réelles à documenter</x:v>
      </x:c>
      <x:c r="I937" s="115" t="str">
        <x:v>À équilibrer</x:v>
      </x:c>
      <x:c r="J937" s="115" t="str">
        <x:v>Non</x:v>
      </x:c>
      <x:c r="K937" s="115" t="str">
        <x:v>Pièces décrites, murs, portes, niveaux et mobilier inspectables à l’échelle. Volumes réservés, raccord au seed, butin, rencontres et services de campagne restent à terminer.</x:v>
      </x:c>
    </x:row>
    <x:row r="938" ht="96" customHeight="1">
      <x:c r="A938" s="115" t="str">
        <x:v>EXT-MONDE-T019-V33</x:v>
      </x:c>
      <x:c r="B938" s="115" t="str">
        <x:v>EXT-MONDE-T019</x:v>
      </x:c>
      <x:c r="C938" s="115" t="str">
        <x:v>Littoral</x:v>
      </x:c>
      <x:c r="D938" s="115" t="str">
        <x:v>Chantier naval côtier</x:v>
      </x:c>
      <x:c r="E938" s="115" t="n">
        <x:v>33</x:v>
      </x:c>
      <x:c r="F938" s="115" t="str">
        <x:v>Inspection physique</x:v>
      </x:c>
      <x:c r="G938" s="115" t="str">
        <x:v>1 niveaux ; 32 pièces ; 248 segments de mur ; 0 transitions. Inspection physique ; architecture complète encore ouverte.</x:v>
      </x:c>
      <x:c r="H938" s="115" t="str">
        <x:v>L 324 ; l 278 ; hauteur 18 m ; choix de composition auteur ; dimensions réelles à documenter</x:v>
      </x:c>
      <x:c r="I938" s="115" t="str">
        <x:v>À équilibrer</x:v>
      </x:c>
      <x:c r="J938" s="115" t="str">
        <x:v>Non</x:v>
      </x:c>
      <x:c r="K938" s="115" t="str">
        <x:v>Pièces décrites, murs, portes, niveaux et mobilier inspectables à l’échelle. Volumes réservés, raccord au seed, butin, rencontres et services de campagne restent à terminer.</x:v>
      </x:c>
    </x:row>
    <x:row r="939" ht="96" customHeight="1">
      <x:c r="A939" s="115" t="str">
        <x:v>EXT-MONDE-T019-V34</x:v>
      </x:c>
      <x:c r="B939" s="115" t="str">
        <x:v>EXT-MONDE-T019</x:v>
      </x:c>
      <x:c r="C939" s="115" t="str">
        <x:v>Littoral</x:v>
      </x:c>
      <x:c r="D939" s="115" t="str">
        <x:v>Chantier naval côtier</x:v>
      </x:c>
      <x:c r="E939" s="115" t="n">
        <x:v>34</x:v>
      </x:c>
      <x:c r="F939" s="115" t="str">
        <x:v>Inspection physique</x:v>
      </x:c>
      <x:c r="G939" s="115" t="str">
        <x:v>1 niveaux ; 32 pièces ; 248 segments de mur ; 0 transitions. Inspection physique ; architecture complète encore ouverte.</x:v>
      </x:c>
      <x:c r="H939" s="115" t="str">
        <x:v>L 324 ; l 278 ; hauteur 18 m ; choix de composition auteur ; dimensions réelles à documenter</x:v>
      </x:c>
      <x:c r="I939" s="115" t="str">
        <x:v>À équilibrer</x:v>
      </x:c>
      <x:c r="J939" s="115" t="str">
        <x:v>Non</x:v>
      </x:c>
      <x:c r="K939" s="115" t="str">
        <x:v>Pièces décrites, murs, portes, niveaux et mobilier inspectables à l’échelle. Volumes réservés, raccord au seed, butin, rencontres et services de campagne restent à terminer.</x:v>
      </x:c>
    </x:row>
    <x:row r="940" ht="96" customHeight="1">
      <x:c r="A940" s="115" t="str">
        <x:v>EXT-MONDE-T019-V35</x:v>
      </x:c>
      <x:c r="B940" s="115" t="str">
        <x:v>EXT-MONDE-T019</x:v>
      </x:c>
      <x:c r="C940" s="115" t="str">
        <x:v>Littoral</x:v>
      </x:c>
      <x:c r="D940" s="115" t="str">
        <x:v>Chantier naval côtier</x:v>
      </x:c>
      <x:c r="E940" s="115" t="n">
        <x:v>35</x:v>
      </x:c>
      <x:c r="F940" s="115" t="str">
        <x:v>Inspection physique</x:v>
      </x:c>
      <x:c r="G940" s="115" t="str">
        <x:v>1 niveaux ; 32 pièces ; 248 segments de mur ; 0 transitions. Inspection physique ; architecture complète encore ouverte.</x:v>
      </x:c>
      <x:c r="H940" s="115" t="str">
        <x:v>L 324 ; l 278 ; hauteur 18 m ; choix de composition auteur ; dimensions réelles à documenter</x:v>
      </x:c>
      <x:c r="I940" s="115" t="str">
        <x:v>À équilibrer</x:v>
      </x:c>
      <x:c r="J940" s="115" t="str">
        <x:v>Non</x:v>
      </x:c>
      <x:c r="K940" s="115" t="str">
        <x:v>Pièces décrites, murs, portes, niveaux et mobilier inspectables à l’échelle. Volumes réservés, raccord au seed, butin, rencontres et services de campagne restent à terminer.</x:v>
      </x:c>
    </x:row>
    <x:row r="941" ht="96" customHeight="1">
      <x:c r="A941" s="115" t="str">
        <x:v>EXT-MONDE-T019-V36</x:v>
      </x:c>
      <x:c r="B941" s="115" t="str">
        <x:v>EXT-MONDE-T019</x:v>
      </x:c>
      <x:c r="C941" s="115" t="str">
        <x:v>Littoral</x:v>
      </x:c>
      <x:c r="D941" s="115" t="str">
        <x:v>Chantier naval côtier</x:v>
      </x:c>
      <x:c r="E941" s="115" t="n">
        <x:v>36</x:v>
      </x:c>
      <x:c r="F941" s="115" t="str">
        <x:v>Inspection physique</x:v>
      </x:c>
      <x:c r="G941" s="115" t="str">
        <x:v>1 niveaux ; 32 pièces ; 248 segments de mur ; 0 transitions. Inspection physique ; architecture complète encore ouverte.</x:v>
      </x:c>
      <x:c r="H941" s="115" t="str">
        <x:v>L 324 ; l 278 ; hauteur 18 m ; choix de composition auteur ; dimensions réelles à documenter</x:v>
      </x:c>
      <x:c r="I941" s="115" t="str">
        <x:v>À équilibrer</x:v>
      </x:c>
      <x:c r="J941" s="115" t="str">
        <x:v>Non</x:v>
      </x:c>
      <x:c r="K941" s="115" t="str">
        <x:v>Pièces décrites, murs, portes, niveaux et mobilier inspectables à l’échelle. Volumes réservés, raccord au seed, butin, rencontres et services de campagne restent à terminer.</x:v>
      </x:c>
    </x:row>
    <x:row r="942" ht="96" customHeight="1">
      <x:c r="A942" s="115" t="str">
        <x:v>EXT-MONDE-T019-V37</x:v>
      </x:c>
      <x:c r="B942" s="115" t="str">
        <x:v>EXT-MONDE-T019</x:v>
      </x:c>
      <x:c r="C942" s="115" t="str">
        <x:v>Littoral</x:v>
      </x:c>
      <x:c r="D942" s="115" t="str">
        <x:v>Chantier naval côtier</x:v>
      </x:c>
      <x:c r="E942" s="115" t="n">
        <x:v>37</x:v>
      </x:c>
      <x:c r="F942" s="115" t="str">
        <x:v>Inspection physique</x:v>
      </x:c>
      <x:c r="G942" s="115" t="str">
        <x:v>1 niveaux ; 32 pièces ; 248 segments de mur ; 0 transitions. Inspection physique ; architecture complète encore ouverte.</x:v>
      </x:c>
      <x:c r="H942" s="115" t="str">
        <x:v>L 324 ; l 278 ; hauteur 18 m ; choix de composition auteur ; dimensions réelles à documenter</x:v>
      </x:c>
      <x:c r="I942" s="115" t="str">
        <x:v>À équilibrer</x:v>
      </x:c>
      <x:c r="J942" s="115" t="str">
        <x:v>Non</x:v>
      </x:c>
      <x:c r="K942" s="115" t="str">
        <x:v>Pièces décrites, murs, portes, niveaux et mobilier inspectables à l’échelle. Volumes réservés, raccord au seed, butin, rencontres et services de campagne restent à terminer.</x:v>
      </x:c>
    </x:row>
    <x:row r="943" ht="96" customHeight="1">
      <x:c r="A943" s="115" t="str">
        <x:v>EXT-MONDE-T019-V38</x:v>
      </x:c>
      <x:c r="B943" s="115" t="str">
        <x:v>EXT-MONDE-T019</x:v>
      </x:c>
      <x:c r="C943" s="115" t="str">
        <x:v>Littoral</x:v>
      </x:c>
      <x:c r="D943" s="115" t="str">
        <x:v>Chantier naval côtier</x:v>
      </x:c>
      <x:c r="E943" s="115" t="n">
        <x:v>38</x:v>
      </x:c>
      <x:c r="F943" s="115" t="str">
        <x:v>Inspection physique</x:v>
      </x:c>
      <x:c r="G943" s="115" t="str">
        <x:v>1 niveaux ; 32 pièces ; 248 segments de mur ; 0 transitions. Inspection physique ; architecture complète encore ouverte.</x:v>
      </x:c>
      <x:c r="H943" s="115" t="str">
        <x:v>L 324 ; l 278 ; hauteur 18 m ; choix de composition auteur ; dimensions réelles à documenter</x:v>
      </x:c>
      <x:c r="I943" s="115" t="str">
        <x:v>À équilibrer</x:v>
      </x:c>
      <x:c r="J943" s="115" t="str">
        <x:v>Non</x:v>
      </x:c>
      <x:c r="K943" s="115" t="str">
        <x:v>Pièces décrites, murs, portes, niveaux et mobilier inspectables à l’échelle. Volumes réservés, raccord au seed, butin, rencontres et services de campagne restent à terminer.</x:v>
      </x:c>
    </x:row>
    <x:row r="944" ht="96" customHeight="1">
      <x:c r="A944" s="115" t="str">
        <x:v>EXT-MONDE-T019-V39</x:v>
      </x:c>
      <x:c r="B944" s="115" t="str">
        <x:v>EXT-MONDE-T019</x:v>
      </x:c>
      <x:c r="C944" s="115" t="str">
        <x:v>Littoral</x:v>
      </x:c>
      <x:c r="D944" s="115" t="str">
        <x:v>Chantier naval côtier</x:v>
      </x:c>
      <x:c r="E944" s="115" t="n">
        <x:v>39</x:v>
      </x:c>
      <x:c r="F944" s="115" t="str">
        <x:v>Inspection physique</x:v>
      </x:c>
      <x:c r="G944" s="115" t="str">
        <x:v>1 niveaux ; 32 pièces ; 248 segments de mur ; 0 transitions. Inspection physique ; architecture complète encore ouverte.</x:v>
      </x:c>
      <x:c r="H944" s="115" t="str">
        <x:v>L 324 ; l 278 ; hauteur 18 m ; choix de composition auteur ; dimensions réelles à documenter</x:v>
      </x:c>
      <x:c r="I944" s="115" t="str">
        <x:v>À équilibrer</x:v>
      </x:c>
      <x:c r="J944" s="115" t="str">
        <x:v>Non</x:v>
      </x:c>
      <x:c r="K944" s="115" t="str">
        <x:v>Pièces décrites, murs, portes, niveaux et mobilier inspectables à l’échelle. Volumes réservés, raccord au seed, butin, rencontres et services de campagne restent à terminer.</x:v>
      </x:c>
    </x:row>
    <x:row r="945" ht="96" customHeight="1">
      <x:c r="A945" s="115" t="str">
        <x:v>EXT-MONDE-T019-V40</x:v>
      </x:c>
      <x:c r="B945" s="115" t="str">
        <x:v>EXT-MONDE-T019</x:v>
      </x:c>
      <x:c r="C945" s="115" t="str">
        <x:v>Littoral</x:v>
      </x:c>
      <x:c r="D945" s="115" t="str">
        <x:v>Chantier naval côtier</x:v>
      </x:c>
      <x:c r="E945" s="115" t="n">
        <x:v>40</x:v>
      </x:c>
      <x:c r="F945" s="115" t="str">
        <x:v>Inspection physique</x:v>
      </x:c>
      <x:c r="G945" s="115" t="str">
        <x:v>1 niveaux ; 32 pièces ; 248 segments de mur ; 0 transitions. Inspection physique ; architecture complète encore ouverte.</x:v>
      </x:c>
      <x:c r="H945" s="115" t="str">
        <x:v>L 324 ; l 278 ; hauteur 18 m ; choix de composition auteur ; dimensions réelles à documenter</x:v>
      </x:c>
      <x:c r="I945" s="115" t="str">
        <x:v>À équilibrer</x:v>
      </x:c>
      <x:c r="J945" s="115" t="str">
        <x:v>Non</x:v>
      </x:c>
      <x:c r="K945" s="115" t="str">
        <x:v>Pièces décrites, murs, portes, niveaux et mobilier inspectables à l’échelle. Volumes réservés, raccord au seed, butin, rencontres et services de campagne restent à terminer.</x:v>
      </x:c>
    </x:row>
    <x:row r="946" ht="96" customHeight="1">
      <x:c r="A946" s="115" t="str">
        <x:v>EXT-MONDE-T019-V41</x:v>
      </x:c>
      <x:c r="B946" s="115" t="str">
        <x:v>EXT-MONDE-T019</x:v>
      </x:c>
      <x:c r="C946" s="115" t="str">
        <x:v>Littoral</x:v>
      </x:c>
      <x:c r="D946" s="115" t="str">
        <x:v>Chantier naval côtier</x:v>
      </x:c>
      <x:c r="E946" s="115" t="n">
        <x:v>41</x:v>
      </x:c>
      <x:c r="F946" s="115" t="str">
        <x:v>Inspection physique</x:v>
      </x:c>
      <x:c r="G946" s="115" t="str">
        <x:v>1 niveaux ; 32 pièces ; 248 segments de mur ; 0 transitions. Inspection physique ; architecture complète encore ouverte.</x:v>
      </x:c>
      <x:c r="H946" s="115" t="str">
        <x:v>L 342 ; l 294 ; hauteur 18 m ; choix de composition auteur ; dimensions réelles à documenter</x:v>
      </x:c>
      <x:c r="I946" s="115" t="str">
        <x:v>À équilibrer</x:v>
      </x:c>
      <x:c r="J946" s="115" t="str">
        <x:v>Non</x:v>
      </x:c>
      <x:c r="K946" s="115" t="str">
        <x:v>Pièces décrites, murs, portes, niveaux et mobilier inspectables à l’échelle. Volumes réservés, raccord au seed, butin, rencontres et services de campagne restent à terminer.</x:v>
      </x:c>
    </x:row>
    <x:row r="947" ht="96" customHeight="1">
      <x:c r="A947" s="115" t="str">
        <x:v>EXT-MONDE-T019-V42</x:v>
      </x:c>
      <x:c r="B947" s="115" t="str">
        <x:v>EXT-MONDE-T019</x:v>
      </x:c>
      <x:c r="C947" s="115" t="str">
        <x:v>Littoral</x:v>
      </x:c>
      <x:c r="D947" s="115" t="str">
        <x:v>Chantier naval côtier</x:v>
      </x:c>
      <x:c r="E947" s="115" t="n">
        <x:v>42</x:v>
      </x:c>
      <x:c r="F947" s="115" t="str">
        <x:v>Inspection physique</x:v>
      </x:c>
      <x:c r="G947" s="115" t="str">
        <x:v>1 niveaux ; 32 pièces ; 248 segments de mur ; 0 transitions. Inspection physique ; architecture complète encore ouverte.</x:v>
      </x:c>
      <x:c r="H947" s="115" t="str">
        <x:v>L 342 ; l 294 ; hauteur 18 m ; choix de composition auteur ; dimensions réelles à documenter</x:v>
      </x:c>
      <x:c r="I947" s="115" t="str">
        <x:v>À équilibrer</x:v>
      </x:c>
      <x:c r="J947" s="115" t="str">
        <x:v>Non</x:v>
      </x:c>
      <x:c r="K947" s="115" t="str">
        <x:v>Pièces décrites, murs, portes, niveaux et mobilier inspectables à l’échelle. Volumes réservés, raccord au seed, butin, rencontres et services de campagne restent à terminer.</x:v>
      </x:c>
    </x:row>
    <x:row r="948" ht="96" customHeight="1">
      <x:c r="A948" s="115" t="str">
        <x:v>EXT-MONDE-T019-V43</x:v>
      </x:c>
      <x:c r="B948" s="115" t="str">
        <x:v>EXT-MONDE-T019</x:v>
      </x:c>
      <x:c r="C948" s="115" t="str">
        <x:v>Littoral</x:v>
      </x:c>
      <x:c r="D948" s="115" t="str">
        <x:v>Chantier naval côtier</x:v>
      </x:c>
      <x:c r="E948" s="115" t="n">
        <x:v>43</x:v>
      </x:c>
      <x:c r="F948" s="115" t="str">
        <x:v>Inspection physique</x:v>
      </x:c>
      <x:c r="G948" s="115" t="str">
        <x:v>1 niveaux ; 32 pièces ; 248 segments de mur ; 0 transitions. Inspection physique ; architecture complète encore ouverte.</x:v>
      </x:c>
      <x:c r="H948" s="115" t="str">
        <x:v>L 342 ; l 294 ; hauteur 18 m ; choix de composition auteur ; dimensions réelles à documenter</x:v>
      </x:c>
      <x:c r="I948" s="115" t="str">
        <x:v>À équilibrer</x:v>
      </x:c>
      <x:c r="J948" s="115" t="str">
        <x:v>Non</x:v>
      </x:c>
      <x:c r="K948" s="115" t="str">
        <x:v>Pièces décrites, murs, portes, niveaux et mobilier inspectables à l’échelle. Volumes réservés, raccord au seed, butin, rencontres et services de campagne restent à terminer.</x:v>
      </x:c>
    </x:row>
    <x:row r="949" ht="96" customHeight="1">
      <x:c r="A949" s="115" t="str">
        <x:v>EXT-MONDE-T019-V44</x:v>
      </x:c>
      <x:c r="B949" s="115" t="str">
        <x:v>EXT-MONDE-T019</x:v>
      </x:c>
      <x:c r="C949" s="115" t="str">
        <x:v>Littoral</x:v>
      </x:c>
      <x:c r="D949" s="115" t="str">
        <x:v>Chantier naval côtier</x:v>
      </x:c>
      <x:c r="E949" s="115" t="n">
        <x:v>44</x:v>
      </x:c>
      <x:c r="F949" s="115" t="str">
        <x:v>Inspection physique</x:v>
      </x:c>
      <x:c r="G949" s="115" t="str">
        <x:v>1 niveaux ; 32 pièces ; 248 segments de mur ; 0 transitions. Inspection physique ; architecture complète encore ouverte.</x:v>
      </x:c>
      <x:c r="H949" s="115" t="str">
        <x:v>L 342 ; l 294 ; hauteur 18 m ; choix de composition auteur ; dimensions réelles à documenter</x:v>
      </x:c>
      <x:c r="I949" s="115" t="str">
        <x:v>À équilibrer</x:v>
      </x:c>
      <x:c r="J949" s="115" t="str">
        <x:v>Non</x:v>
      </x:c>
      <x:c r="K949" s="115" t="str">
        <x:v>Pièces décrites, murs, portes, niveaux et mobilier inspectables à l’échelle. Volumes réservés, raccord au seed, butin, rencontres et services de campagne restent à terminer.</x:v>
      </x:c>
    </x:row>
    <x:row r="950" ht="96" customHeight="1">
      <x:c r="A950" s="115" t="str">
        <x:v>EXT-MONDE-T019-V45</x:v>
      </x:c>
      <x:c r="B950" s="115" t="str">
        <x:v>EXT-MONDE-T019</x:v>
      </x:c>
      <x:c r="C950" s="115" t="str">
        <x:v>Littoral</x:v>
      </x:c>
      <x:c r="D950" s="115" t="str">
        <x:v>Chantier naval côtier</x:v>
      </x:c>
      <x:c r="E950" s="115" t="n">
        <x:v>45</x:v>
      </x:c>
      <x:c r="F950" s="115" t="str">
        <x:v>Inspection physique</x:v>
      </x:c>
      <x:c r="G950" s="115" t="str">
        <x:v>1 niveaux ; 32 pièces ; 248 segments de mur ; 0 transitions. Inspection physique ; architecture complète encore ouverte.</x:v>
      </x:c>
      <x:c r="H950" s="115" t="str">
        <x:v>L 342 ; l 294 ; hauteur 18 m ; choix de composition auteur ; dimensions réelles à documenter</x:v>
      </x:c>
      <x:c r="I950" s="115" t="str">
        <x:v>À équilibrer</x:v>
      </x:c>
      <x:c r="J950" s="115" t="str">
        <x:v>Non</x:v>
      </x:c>
      <x:c r="K950" s="115" t="str">
        <x:v>Pièces décrites, murs, portes, niveaux et mobilier inspectables à l’échelle. Volumes réservés, raccord au seed, butin, rencontres et services de campagne restent à terminer.</x:v>
      </x:c>
    </x:row>
    <x:row r="951" ht="96" customHeight="1">
      <x:c r="A951" s="115" t="str">
        <x:v>EXT-MONDE-T019-V46</x:v>
      </x:c>
      <x:c r="B951" s="115" t="str">
        <x:v>EXT-MONDE-T019</x:v>
      </x:c>
      <x:c r="C951" s="115" t="str">
        <x:v>Littoral</x:v>
      </x:c>
      <x:c r="D951" s="115" t="str">
        <x:v>Chantier naval côtier</x:v>
      </x:c>
      <x:c r="E951" s="115" t="n">
        <x:v>46</x:v>
      </x:c>
      <x:c r="F951" s="115" t="str">
        <x:v>Inspection physique</x:v>
      </x:c>
      <x:c r="G951" s="115" t="str">
        <x:v>1 niveaux ; 32 pièces ; 248 segments de mur ; 0 transitions. Inspection physique ; architecture complète encore ouverte.</x:v>
      </x:c>
      <x:c r="H951" s="115" t="str">
        <x:v>L 342 ; l 294 ; hauteur 18 m ; choix de composition auteur ; dimensions réelles à documenter</x:v>
      </x:c>
      <x:c r="I951" s="115" t="str">
        <x:v>À équilibrer</x:v>
      </x:c>
      <x:c r="J951" s="115" t="str">
        <x:v>Non</x:v>
      </x:c>
      <x:c r="K951" s="115" t="str">
        <x:v>Pièces décrites, murs, portes, niveaux et mobilier inspectables à l’échelle. Volumes réservés, raccord au seed, butin, rencontres et services de campagne restent à terminer.</x:v>
      </x:c>
    </x:row>
    <x:row r="952" ht="96" customHeight="1">
      <x:c r="A952" s="115" t="str">
        <x:v>EXT-MONDE-T019-V47</x:v>
      </x:c>
      <x:c r="B952" s="115" t="str">
        <x:v>EXT-MONDE-T019</x:v>
      </x:c>
      <x:c r="C952" s="115" t="str">
        <x:v>Littoral</x:v>
      </x:c>
      <x:c r="D952" s="115" t="str">
        <x:v>Chantier naval côtier</x:v>
      </x:c>
      <x:c r="E952" s="115" t="n">
        <x:v>47</x:v>
      </x:c>
      <x:c r="F952" s="115" t="str">
        <x:v>Inspection physique</x:v>
      </x:c>
      <x:c r="G952" s="115" t="str">
        <x:v>1 niveaux ; 32 pièces ; 248 segments de mur ; 0 transitions. Inspection physique ; architecture complète encore ouverte.</x:v>
      </x:c>
      <x:c r="H952" s="115" t="str">
        <x:v>L 342 ; l 294 ; hauteur 18 m ; choix de composition auteur ; dimensions réelles à documenter</x:v>
      </x:c>
      <x:c r="I952" s="115" t="str">
        <x:v>À équilibrer</x:v>
      </x:c>
      <x:c r="J952" s="115" t="str">
        <x:v>Non</x:v>
      </x:c>
      <x:c r="K952" s="115" t="str">
        <x:v>Pièces décrites, murs, portes, niveaux et mobilier inspectables à l’échelle. Volumes réservés, raccord au seed, butin, rencontres et services de campagne restent à terminer.</x:v>
      </x:c>
    </x:row>
    <x:row r="953" ht="96" customHeight="1">
      <x:c r="A953" s="115" t="str">
        <x:v>EXT-MONDE-T019-V48</x:v>
      </x:c>
      <x:c r="B953" s="115" t="str">
        <x:v>EXT-MONDE-T019</x:v>
      </x:c>
      <x:c r="C953" s="115" t="str">
        <x:v>Littoral</x:v>
      </x:c>
      <x:c r="D953" s="115" t="str">
        <x:v>Chantier naval côtier</x:v>
      </x:c>
      <x:c r="E953" s="115" t="n">
        <x:v>48</x:v>
      </x:c>
      <x:c r="F953" s="115" t="str">
        <x:v>Inspection physique</x:v>
      </x:c>
      <x:c r="G953" s="115" t="str">
        <x:v>1 niveaux ; 32 pièces ; 248 segments de mur ; 0 transitions. Inspection physique ; architecture complète encore ouverte.</x:v>
      </x:c>
      <x:c r="H953" s="115" t="str">
        <x:v>L 342 ; l 294 ; hauteur 18 m ; choix de composition auteur ; dimensions réelles à documenter</x:v>
      </x:c>
      <x:c r="I953" s="115" t="str">
        <x:v>À équilibrer</x:v>
      </x:c>
      <x:c r="J953" s="115" t="str">
        <x:v>Non</x:v>
      </x:c>
      <x:c r="K953" s="115" t="str">
        <x:v>Pièces décrites, murs, portes, niveaux et mobilier inspectables à l’échelle. Volumes réservés, raccord au seed, butin, rencontres et services de campagne restent à terminer.</x:v>
      </x:c>
    </x:row>
    <x:row r="954" ht="96" customHeight="1">
      <x:c r="A954" s="115" t="str">
        <x:v>EXT-MONDE-T019-V49</x:v>
      </x:c>
      <x:c r="B954" s="115" t="str">
        <x:v>EXT-MONDE-T019</x:v>
      </x:c>
      <x:c r="C954" s="115" t="str">
        <x:v>Littoral</x:v>
      </x:c>
      <x:c r="D954" s="115" t="str">
        <x:v>Chantier naval côtier</x:v>
      </x:c>
      <x:c r="E954" s="115" t="n">
        <x:v>49</x:v>
      </x:c>
      <x:c r="F954" s="115" t="str">
        <x:v>Inspection physique</x:v>
      </x:c>
      <x:c r="G954" s="115" t="str">
        <x:v>1 niveaux ; 32 pièces ; 248 segments de mur ; 0 transitions. Inspection physique ; architecture complète encore ouverte.</x:v>
      </x:c>
      <x:c r="H954" s="115" t="str">
        <x:v>L 342 ; l 294 ; hauteur 18 m ; choix de composition auteur ; dimensions réelles à documenter</x:v>
      </x:c>
      <x:c r="I954" s="115" t="str">
        <x:v>À équilibrer</x:v>
      </x:c>
      <x:c r="J954" s="115" t="str">
        <x:v>Non</x:v>
      </x:c>
      <x:c r="K954" s="115" t="str">
        <x:v>Pièces décrites, murs, portes, niveaux et mobilier inspectables à l’échelle. Volumes réservés, raccord au seed, butin, rencontres et services de campagne restent à terminer.</x:v>
      </x:c>
    </x:row>
    <x:row r="955" ht="96" customHeight="1">
      <x:c r="A955" s="115" t="str">
        <x:v>EXT-MONDE-T019-V50</x:v>
      </x:c>
      <x:c r="B955" s="115" t="str">
        <x:v>EXT-MONDE-T019</x:v>
      </x:c>
      <x:c r="C955" s="115" t="str">
        <x:v>Littoral</x:v>
      </x:c>
      <x:c r="D955" s="115" t="str">
        <x:v>Chantier naval côtier</x:v>
      </x:c>
      <x:c r="E955" s="115" t="n">
        <x:v>50</x:v>
      </x:c>
      <x:c r="F955" s="115" t="str">
        <x:v>Inspection physique</x:v>
      </x:c>
      <x:c r="G955" s="115" t="str">
        <x:v>1 niveaux ; 32 pièces ; 248 segments de mur ; 0 transitions. Inspection physique ; architecture complète encore ouverte.</x:v>
      </x:c>
      <x:c r="H955" s="115" t="str">
        <x:v>L 342 ; l 294 ; hauteur 18 m ; choix de composition auteur ; dimensions réelles à documenter</x:v>
      </x:c>
      <x:c r="I955" s="115" t="str">
        <x:v>À équilibrer</x:v>
      </x:c>
      <x:c r="J955" s="115" t="str">
        <x:v>Non</x:v>
      </x:c>
      <x:c r="K955" s="115" t="str">
        <x:v>Pièces décrites, murs, portes, niveaux et mobilier inspectables à l’échelle. Volumes réservés, raccord au seed, butin, rencontres et services de campagne restent à terminer.</x:v>
      </x:c>
    </x:row>
    <x:row r="956" ht="96" customHeight="1">
      <x:c r="A956" s="115" t="str">
        <x:v>EXT-MONDE-T020-V01</x:v>
      </x:c>
      <x:c r="B956" s="115" t="str">
        <x:v>EXT-MONDE-T020</x:v>
      </x:c>
      <x:c r="C956" s="115" t="str">
        <x:v>Littoral</x:v>
      </x:c>
      <x:c r="D956" s="115" t="str">
        <x:v>Baie avec village côtier</x:v>
      </x:c>
      <x:c r="E956" s="115" t="n">
        <x:v>1</x:v>
      </x:c>
      <x:c r="F956" s="115" t="str">
        <x:v>Inspection physique</x:v>
      </x:c>
      <x:c r="G956" s="115" t="str">
        <x:v>1 niveaux ; 32 pièces ; 248 segments de mur ; 0 transitions. Inspection physique ; architecture complète encore ouverte.</x:v>
      </x:c>
      <x:c r="H956" s="115" t="str">
        <x:v>L 270 ; l 230 ; hauteur 4,4 m ; choix de composition auteur ; dimensions réelles à documenter</x:v>
      </x:c>
      <x:c r="I956" s="115" t="str">
        <x:v>À équilibrer</x:v>
      </x:c>
      <x:c r="J956" s="115" t="str">
        <x:v>Non</x:v>
      </x:c>
      <x:c r="K956" s="115" t="str">
        <x:v>Pièces décrites, murs, portes, niveaux et mobilier inspectables à l’échelle. Volumes réservés, raccord au seed, butin, rencontres et services de campagne restent à terminer.</x:v>
      </x:c>
    </x:row>
    <x:row r="957" ht="96" customHeight="1">
      <x:c r="A957" s="115" t="str">
        <x:v>EXT-MONDE-T020-V02</x:v>
      </x:c>
      <x:c r="B957" s="115" t="str">
        <x:v>EXT-MONDE-T020</x:v>
      </x:c>
      <x:c r="C957" s="115" t="str">
        <x:v>Littoral</x:v>
      </x:c>
      <x:c r="D957" s="115" t="str">
        <x:v>Baie avec village côtier</x:v>
      </x:c>
      <x:c r="E957" s="115" t="n">
        <x:v>2</x:v>
      </x:c>
      <x:c r="F957" s="115" t="str">
        <x:v>Inspection physique</x:v>
      </x:c>
      <x:c r="G957" s="115" t="str">
        <x:v>1 niveaux ; 32 pièces ; 248 segments de mur ; 0 transitions. Inspection physique ; architecture complète encore ouverte.</x:v>
      </x:c>
      <x:c r="H957" s="115" t="str">
        <x:v>L 270 ; l 230 ; hauteur 4,4 m ; choix de composition auteur ; dimensions réelles à documenter</x:v>
      </x:c>
      <x:c r="I957" s="115" t="str">
        <x:v>À équilibrer</x:v>
      </x:c>
      <x:c r="J957" s="115" t="str">
        <x:v>Non</x:v>
      </x:c>
      <x:c r="K957" s="115" t="str">
        <x:v>Pièces décrites, murs, portes, niveaux et mobilier inspectables à l’échelle. Volumes réservés, raccord au seed, butin, rencontres et services de campagne restent à terminer.</x:v>
      </x:c>
    </x:row>
    <x:row r="958" ht="96" customHeight="1">
      <x:c r="A958" s="115" t="str">
        <x:v>EXT-MONDE-T020-V03</x:v>
      </x:c>
      <x:c r="B958" s="115" t="str">
        <x:v>EXT-MONDE-T020</x:v>
      </x:c>
      <x:c r="C958" s="115" t="str">
        <x:v>Littoral</x:v>
      </x:c>
      <x:c r="D958" s="115" t="str">
        <x:v>Baie avec village côtier</x:v>
      </x:c>
      <x:c r="E958" s="115" t="n">
        <x:v>3</x:v>
      </x:c>
      <x:c r="F958" s="115" t="str">
        <x:v>Inspection physique</x:v>
      </x:c>
      <x:c r="G958" s="115" t="str">
        <x:v>1 niveaux ; 32 pièces ; 248 segments de mur ; 0 transitions. Inspection physique ; architecture complète encore ouverte.</x:v>
      </x:c>
      <x:c r="H958" s="115" t="str">
        <x:v>L 270 ; l 230 ; hauteur 4,4 m ; choix de composition auteur ; dimensions réelles à documenter</x:v>
      </x:c>
      <x:c r="I958" s="115" t="str">
        <x:v>À équilibrer</x:v>
      </x:c>
      <x:c r="J958" s="115" t="str">
        <x:v>Non</x:v>
      </x:c>
      <x:c r="K958" s="115" t="str">
        <x:v>Pièces décrites, murs, portes, niveaux et mobilier inspectables à l’échelle. Volumes réservés, raccord au seed, butin, rencontres et services de campagne restent à terminer.</x:v>
      </x:c>
    </x:row>
    <x:row r="959" ht="96" customHeight="1">
      <x:c r="A959" s="115" t="str">
        <x:v>EXT-MONDE-T020-V04</x:v>
      </x:c>
      <x:c r="B959" s="115" t="str">
        <x:v>EXT-MONDE-T020</x:v>
      </x:c>
      <x:c r="C959" s="115" t="str">
        <x:v>Littoral</x:v>
      </x:c>
      <x:c r="D959" s="115" t="str">
        <x:v>Baie avec village côtier</x:v>
      </x:c>
      <x:c r="E959" s="115" t="n">
        <x:v>4</x:v>
      </x:c>
      <x:c r="F959" s="115" t="str">
        <x:v>Inspection physique</x:v>
      </x:c>
      <x:c r="G959" s="115" t="str">
        <x:v>1 niveaux ; 32 pièces ; 248 segments de mur ; 0 transitions. Inspection physique ; architecture complète encore ouverte.</x:v>
      </x:c>
      <x:c r="H959" s="115" t="str">
        <x:v>L 270 ; l 230 ; hauteur 4,4 m ; choix de composition auteur ; dimensions réelles à documenter</x:v>
      </x:c>
      <x:c r="I959" s="115" t="str">
        <x:v>À équilibrer</x:v>
      </x:c>
      <x:c r="J959" s="115" t="str">
        <x:v>Non</x:v>
      </x:c>
      <x:c r="K959" s="115" t="str">
        <x:v>Pièces décrites, murs, portes, niveaux et mobilier inspectables à l’échelle. Volumes réservés, raccord au seed, butin, rencontres et services de campagne restent à terminer.</x:v>
      </x:c>
    </x:row>
    <x:row r="960" ht="96" customHeight="1">
      <x:c r="A960" s="115" t="str">
        <x:v>EXT-MONDE-T020-V05</x:v>
      </x:c>
      <x:c r="B960" s="115" t="str">
        <x:v>EXT-MONDE-T020</x:v>
      </x:c>
      <x:c r="C960" s="115" t="str">
        <x:v>Littoral</x:v>
      </x:c>
      <x:c r="D960" s="115" t="str">
        <x:v>Baie avec village côtier</x:v>
      </x:c>
      <x:c r="E960" s="115" t="n">
        <x:v>5</x:v>
      </x:c>
      <x:c r="F960" s="115" t="str">
        <x:v>Inspection physique</x:v>
      </x:c>
      <x:c r="G960" s="115" t="str">
        <x:v>1 niveaux ; 32 pièces ; 248 segments de mur ; 0 transitions. Inspection physique ; architecture complète encore ouverte.</x:v>
      </x:c>
      <x:c r="H960" s="115" t="str">
        <x:v>L 270 ; l 230 ; hauteur 4,4 m ; choix de composition auteur ; dimensions réelles à documenter</x:v>
      </x:c>
      <x:c r="I960" s="115" t="str">
        <x:v>À équilibrer</x:v>
      </x:c>
      <x:c r="J960" s="115" t="str">
        <x:v>Non</x:v>
      </x:c>
      <x:c r="K960" s="115" t="str">
        <x:v>Pièces décrites, murs, portes, niveaux et mobilier inspectables à l’échelle. Volumes réservés, raccord au seed, butin, rencontres et services de campagne restent à terminer.</x:v>
      </x:c>
    </x:row>
    <x:row r="961" ht="96" customHeight="1">
      <x:c r="A961" s="115" t="str">
        <x:v>EXT-MONDE-T020-V06</x:v>
      </x:c>
      <x:c r="B961" s="115" t="str">
        <x:v>EXT-MONDE-T020</x:v>
      </x:c>
      <x:c r="C961" s="115" t="str">
        <x:v>Littoral</x:v>
      </x:c>
      <x:c r="D961" s="115" t="str">
        <x:v>Baie avec village côtier</x:v>
      </x:c>
      <x:c r="E961" s="115" t="n">
        <x:v>6</x:v>
      </x:c>
      <x:c r="F961" s="115" t="str">
        <x:v>Inspection physique</x:v>
      </x:c>
      <x:c r="G961" s="115" t="str">
        <x:v>1 niveaux ; 32 pièces ; 248 segments de mur ; 0 transitions. Inspection physique ; architecture complète encore ouverte.</x:v>
      </x:c>
      <x:c r="H961" s="115" t="str">
        <x:v>L 270 ; l 230 ; hauteur 4,4 m ; choix de composition auteur ; dimensions réelles à documenter</x:v>
      </x:c>
      <x:c r="I961" s="115" t="str">
        <x:v>À équilibrer</x:v>
      </x:c>
      <x:c r="J961" s="115" t="str">
        <x:v>Non</x:v>
      </x:c>
      <x:c r="K961" s="115" t="str">
        <x:v>Pièces décrites, murs, portes, niveaux et mobilier inspectables à l’échelle. Volumes réservés, raccord au seed, butin, rencontres et services de campagne restent à terminer.</x:v>
      </x:c>
    </x:row>
    <x:row r="962" ht="96" customHeight="1">
      <x:c r="A962" s="115" t="str">
        <x:v>EXT-MONDE-T020-V07</x:v>
      </x:c>
      <x:c r="B962" s="115" t="str">
        <x:v>EXT-MONDE-T020</x:v>
      </x:c>
      <x:c r="C962" s="115" t="str">
        <x:v>Littoral</x:v>
      </x:c>
      <x:c r="D962" s="115" t="str">
        <x:v>Baie avec village côtier</x:v>
      </x:c>
      <x:c r="E962" s="115" t="n">
        <x:v>7</x:v>
      </x:c>
      <x:c r="F962" s="115" t="str">
        <x:v>Inspection physique</x:v>
      </x:c>
      <x:c r="G962" s="115" t="str">
        <x:v>1 niveaux ; 32 pièces ; 248 segments de mur ; 0 transitions. Inspection physique ; architecture complète encore ouverte.</x:v>
      </x:c>
      <x:c r="H962" s="115" t="str">
        <x:v>L 270 ; l 230 ; hauteur 4,4 m ; choix de composition auteur ; dimensions réelles à documenter</x:v>
      </x:c>
      <x:c r="I962" s="115" t="str">
        <x:v>À équilibrer</x:v>
      </x:c>
      <x:c r="J962" s="115" t="str">
        <x:v>Non</x:v>
      </x:c>
      <x:c r="K962" s="115" t="str">
        <x:v>Pièces décrites, murs, portes, niveaux et mobilier inspectables à l’échelle. Volumes réservés, raccord au seed, butin, rencontres et services de campagne restent à terminer.</x:v>
      </x:c>
    </x:row>
    <x:row r="963" ht="96" customHeight="1">
      <x:c r="A963" s="115" t="str">
        <x:v>EXT-MONDE-T020-V08</x:v>
      </x:c>
      <x:c r="B963" s="115" t="str">
        <x:v>EXT-MONDE-T020</x:v>
      </x:c>
      <x:c r="C963" s="115" t="str">
        <x:v>Littoral</x:v>
      </x:c>
      <x:c r="D963" s="115" t="str">
        <x:v>Baie avec village côtier</x:v>
      </x:c>
      <x:c r="E963" s="115" t="n">
        <x:v>8</x:v>
      </x:c>
      <x:c r="F963" s="115" t="str">
        <x:v>Inspection physique</x:v>
      </x:c>
      <x:c r="G963" s="115" t="str">
        <x:v>1 niveaux ; 32 pièces ; 248 segments de mur ; 0 transitions. Inspection physique ; architecture complète encore ouverte.</x:v>
      </x:c>
      <x:c r="H963" s="115" t="str">
        <x:v>L 270 ; l 230 ; hauteur 4,4 m ; choix de composition auteur ; dimensions réelles à documenter</x:v>
      </x:c>
      <x:c r="I963" s="115" t="str">
        <x:v>À équilibrer</x:v>
      </x:c>
      <x:c r="J963" s="115" t="str">
        <x:v>Non</x:v>
      </x:c>
      <x:c r="K963" s="115" t="str">
        <x:v>Pièces décrites, murs, portes, niveaux et mobilier inspectables à l’échelle. Volumes réservés, raccord au seed, butin, rencontres et services de campagne restent à terminer.</x:v>
      </x:c>
    </x:row>
    <x:row r="964" ht="96" customHeight="1">
      <x:c r="A964" s="115" t="str">
        <x:v>EXT-MONDE-T020-V09</x:v>
      </x:c>
      <x:c r="B964" s="115" t="str">
        <x:v>EXT-MONDE-T020</x:v>
      </x:c>
      <x:c r="C964" s="115" t="str">
        <x:v>Littoral</x:v>
      </x:c>
      <x:c r="D964" s="115" t="str">
        <x:v>Baie avec village côtier</x:v>
      </x:c>
      <x:c r="E964" s="115" t="n">
        <x:v>9</x:v>
      </x:c>
      <x:c r="F964" s="115" t="str">
        <x:v>Inspection physique</x:v>
      </x:c>
      <x:c r="G964" s="115" t="str">
        <x:v>1 niveaux ; 32 pièces ; 248 segments de mur ; 0 transitions. Inspection physique ; architecture complète encore ouverte.</x:v>
      </x:c>
      <x:c r="H964" s="115" t="str">
        <x:v>L 270 ; l 230 ; hauteur 4,4 m ; choix de composition auteur ; dimensions réelles à documenter</x:v>
      </x:c>
      <x:c r="I964" s="115" t="str">
        <x:v>À équilibrer</x:v>
      </x:c>
      <x:c r="J964" s="115" t="str">
        <x:v>Non</x:v>
      </x:c>
      <x:c r="K964" s="115" t="str">
        <x:v>Pièces décrites, murs, portes, niveaux et mobilier inspectables à l’échelle. Volumes réservés, raccord au seed, butin, rencontres et services de campagne restent à terminer.</x:v>
      </x:c>
    </x:row>
    <x:row r="965" ht="96" customHeight="1">
      <x:c r="A965" s="115" t="str">
        <x:v>EXT-MONDE-T020-V10</x:v>
      </x:c>
      <x:c r="B965" s="115" t="str">
        <x:v>EXT-MONDE-T020</x:v>
      </x:c>
      <x:c r="C965" s="115" t="str">
        <x:v>Littoral</x:v>
      </x:c>
      <x:c r="D965" s="115" t="str">
        <x:v>Baie avec village côtier</x:v>
      </x:c>
      <x:c r="E965" s="115" t="n">
        <x:v>10</x:v>
      </x:c>
      <x:c r="F965" s="115" t="str">
        <x:v>Inspection physique</x:v>
      </x:c>
      <x:c r="G965" s="115" t="str">
        <x:v>1 niveaux ; 32 pièces ; 248 segments de mur ; 0 transitions. Inspection physique ; architecture complète encore ouverte.</x:v>
      </x:c>
      <x:c r="H965" s="115" t="str">
        <x:v>L 270 ; l 230 ; hauteur 4,4 m ; choix de composition auteur ; dimensions réelles à documenter</x:v>
      </x:c>
      <x:c r="I965" s="115" t="str">
        <x:v>À équilibrer</x:v>
      </x:c>
      <x:c r="J965" s="115" t="str">
        <x:v>Non</x:v>
      </x:c>
      <x:c r="K965" s="115" t="str">
        <x:v>Pièces décrites, murs, portes, niveaux et mobilier inspectables à l’échelle. Volumes réservés, raccord au seed, butin, rencontres et services de campagne restent à terminer.</x:v>
      </x:c>
    </x:row>
    <x:row r="966" ht="96" customHeight="1">
      <x:c r="A966" s="115" t="str">
        <x:v>EXT-MONDE-T020-V11</x:v>
      </x:c>
      <x:c r="B966" s="115" t="str">
        <x:v>EXT-MONDE-T020</x:v>
      </x:c>
      <x:c r="C966" s="115" t="str">
        <x:v>Littoral</x:v>
      </x:c>
      <x:c r="D966" s="115" t="str">
        <x:v>Baie avec village côtier</x:v>
      </x:c>
      <x:c r="E966" s="115" t="n">
        <x:v>11</x:v>
      </x:c>
      <x:c r="F966" s="115" t="str">
        <x:v>Inspection physique</x:v>
      </x:c>
      <x:c r="G966" s="115" t="str">
        <x:v>1 niveaux ; 32 pièces ; 248 segments de mur ; 0 transitions. Inspection physique ; architecture complète encore ouverte.</x:v>
      </x:c>
      <x:c r="H966" s="115" t="str">
        <x:v>L 288 ; l 246 ; hauteur 4,4 m ; choix de composition auteur ; dimensions réelles à documenter</x:v>
      </x:c>
      <x:c r="I966" s="115" t="str">
        <x:v>À équilibrer</x:v>
      </x:c>
      <x:c r="J966" s="115" t="str">
        <x:v>Non</x:v>
      </x:c>
      <x:c r="K966" s="115" t="str">
        <x:v>Pièces décrites, murs, portes, niveaux et mobilier inspectables à l’échelle. Volumes réservés, raccord au seed, butin, rencontres et services de campagne restent à terminer.</x:v>
      </x:c>
    </x:row>
    <x:row r="967" ht="96" customHeight="1">
      <x:c r="A967" s="115" t="str">
        <x:v>EXT-MONDE-T020-V12</x:v>
      </x:c>
      <x:c r="B967" s="115" t="str">
        <x:v>EXT-MONDE-T020</x:v>
      </x:c>
      <x:c r="C967" s="115" t="str">
        <x:v>Littoral</x:v>
      </x:c>
      <x:c r="D967" s="115" t="str">
        <x:v>Baie avec village côtier</x:v>
      </x:c>
      <x:c r="E967" s="115" t="n">
        <x:v>12</x:v>
      </x:c>
      <x:c r="F967" s="115" t="str">
        <x:v>Inspection physique</x:v>
      </x:c>
      <x:c r="G967" s="115" t="str">
        <x:v>1 niveaux ; 32 pièces ; 248 segments de mur ; 0 transitions. Inspection physique ; architecture complète encore ouverte.</x:v>
      </x:c>
      <x:c r="H967" s="115" t="str">
        <x:v>L 288 ; l 246 ; hauteur 4,4 m ; choix de composition auteur ; dimensions réelles à documenter</x:v>
      </x:c>
      <x:c r="I967" s="115" t="str">
        <x:v>À équilibrer</x:v>
      </x:c>
      <x:c r="J967" s="115" t="str">
        <x:v>Non</x:v>
      </x:c>
      <x:c r="K967" s="115" t="str">
        <x:v>Pièces décrites, murs, portes, niveaux et mobilier inspectables à l’échelle. Volumes réservés, raccord au seed, butin, rencontres et services de campagne restent à terminer.</x:v>
      </x:c>
    </x:row>
    <x:row r="968" ht="96" customHeight="1">
      <x:c r="A968" s="115" t="str">
        <x:v>EXT-MONDE-T020-V13</x:v>
      </x:c>
      <x:c r="B968" s="115" t="str">
        <x:v>EXT-MONDE-T020</x:v>
      </x:c>
      <x:c r="C968" s="115" t="str">
        <x:v>Littoral</x:v>
      </x:c>
      <x:c r="D968" s="115" t="str">
        <x:v>Baie avec village côtier</x:v>
      </x:c>
      <x:c r="E968" s="115" t="n">
        <x:v>13</x:v>
      </x:c>
      <x:c r="F968" s="115" t="str">
        <x:v>Inspection physique</x:v>
      </x:c>
      <x:c r="G968" s="115" t="str">
        <x:v>1 niveaux ; 32 pièces ; 248 segments de mur ; 0 transitions. Inspection physique ; architecture complète encore ouverte.</x:v>
      </x:c>
      <x:c r="H968" s="115" t="str">
        <x:v>L 288 ; l 246 ; hauteur 4,4 m ; choix de composition auteur ; dimensions réelles à documenter</x:v>
      </x:c>
      <x:c r="I968" s="115" t="str">
        <x:v>À équilibrer</x:v>
      </x:c>
      <x:c r="J968" s="115" t="str">
        <x:v>Non</x:v>
      </x:c>
      <x:c r="K968" s="115" t="str">
        <x:v>Pièces décrites, murs, portes, niveaux et mobilier inspectables à l’échelle. Volumes réservés, raccord au seed, butin, rencontres et services de campagne restent à terminer.</x:v>
      </x:c>
    </x:row>
    <x:row r="969" ht="96" customHeight="1">
      <x:c r="A969" s="115" t="str">
        <x:v>EXT-MONDE-T020-V14</x:v>
      </x:c>
      <x:c r="B969" s="115" t="str">
        <x:v>EXT-MONDE-T020</x:v>
      </x:c>
      <x:c r="C969" s="115" t="str">
        <x:v>Littoral</x:v>
      </x:c>
      <x:c r="D969" s="115" t="str">
        <x:v>Baie avec village côtier</x:v>
      </x:c>
      <x:c r="E969" s="115" t="n">
        <x:v>14</x:v>
      </x:c>
      <x:c r="F969" s="115" t="str">
        <x:v>Inspection physique</x:v>
      </x:c>
      <x:c r="G969" s="115" t="str">
        <x:v>1 niveaux ; 32 pièces ; 248 segments de mur ; 0 transitions. Inspection physique ; architecture complète encore ouverte.</x:v>
      </x:c>
      <x:c r="H969" s="115" t="str">
        <x:v>L 288 ; l 246 ; hauteur 4,4 m ; choix de composition auteur ; dimensions réelles à documenter</x:v>
      </x:c>
      <x:c r="I969" s="115" t="str">
        <x:v>À équilibrer</x:v>
      </x:c>
      <x:c r="J969" s="115" t="str">
        <x:v>Non</x:v>
      </x:c>
      <x:c r="K969" s="115" t="str">
        <x:v>Pièces décrites, murs, portes, niveaux et mobilier inspectables à l’échelle. Volumes réservés, raccord au seed, butin, rencontres et services de campagne restent à terminer.</x:v>
      </x:c>
    </x:row>
    <x:row r="970" ht="96" customHeight="1">
      <x:c r="A970" s="115" t="str">
        <x:v>EXT-MONDE-T020-V15</x:v>
      </x:c>
      <x:c r="B970" s="115" t="str">
        <x:v>EXT-MONDE-T020</x:v>
      </x:c>
      <x:c r="C970" s="115" t="str">
        <x:v>Littoral</x:v>
      </x:c>
      <x:c r="D970" s="115" t="str">
        <x:v>Baie avec village côtier</x:v>
      </x:c>
      <x:c r="E970" s="115" t="n">
        <x:v>15</x:v>
      </x:c>
      <x:c r="F970" s="115" t="str">
        <x:v>Inspection physique</x:v>
      </x:c>
      <x:c r="G970" s="115" t="str">
        <x:v>1 niveaux ; 32 pièces ; 248 segments de mur ; 0 transitions. Inspection physique ; architecture complète encore ouverte.</x:v>
      </x:c>
      <x:c r="H970" s="115" t="str">
        <x:v>L 288 ; l 246 ; hauteur 4,4 m ; choix de composition auteur ; dimensions réelles à documenter</x:v>
      </x:c>
      <x:c r="I970" s="115" t="str">
        <x:v>À équilibrer</x:v>
      </x:c>
      <x:c r="J970" s="115" t="str">
        <x:v>Non</x:v>
      </x:c>
      <x:c r="K970" s="115" t="str">
        <x:v>Pièces décrites, murs, portes, niveaux et mobilier inspectables à l’échelle. Volumes réservés, raccord au seed, butin, rencontres et services de campagne restent à terminer.</x:v>
      </x:c>
    </x:row>
    <x:row r="971" ht="96" customHeight="1">
      <x:c r="A971" s="115" t="str">
        <x:v>EXT-MONDE-T020-V16</x:v>
      </x:c>
      <x:c r="B971" s="115" t="str">
        <x:v>EXT-MONDE-T020</x:v>
      </x:c>
      <x:c r="C971" s="115" t="str">
        <x:v>Littoral</x:v>
      </x:c>
      <x:c r="D971" s="115" t="str">
        <x:v>Baie avec village côtier</x:v>
      </x:c>
      <x:c r="E971" s="115" t="n">
        <x:v>16</x:v>
      </x:c>
      <x:c r="F971" s="115" t="str">
        <x:v>Inspection physique</x:v>
      </x:c>
      <x:c r="G971" s="115" t="str">
        <x:v>1 niveaux ; 32 pièces ; 248 segments de mur ; 0 transitions. Inspection physique ; architecture complète encore ouverte.</x:v>
      </x:c>
      <x:c r="H971" s="115" t="str">
        <x:v>L 288 ; l 246 ; hauteur 4,4 m ; choix de composition auteur ; dimensions réelles à documenter</x:v>
      </x:c>
      <x:c r="I971" s="115" t="str">
        <x:v>À équilibrer</x:v>
      </x:c>
      <x:c r="J971" s="115" t="str">
        <x:v>Non</x:v>
      </x:c>
      <x:c r="K971" s="115" t="str">
        <x:v>Pièces décrites, murs, portes, niveaux et mobilier inspectables à l’échelle. Volumes réservés, raccord au seed, butin, rencontres et services de campagne restent à terminer.</x:v>
      </x:c>
    </x:row>
    <x:row r="972" ht="96" customHeight="1">
      <x:c r="A972" s="115" t="str">
        <x:v>EXT-MONDE-T020-V17</x:v>
      </x:c>
      <x:c r="B972" s="115" t="str">
        <x:v>EXT-MONDE-T020</x:v>
      </x:c>
      <x:c r="C972" s="115" t="str">
        <x:v>Littoral</x:v>
      </x:c>
      <x:c r="D972" s="115" t="str">
        <x:v>Baie avec village côtier</x:v>
      </x:c>
      <x:c r="E972" s="115" t="n">
        <x:v>17</x:v>
      </x:c>
      <x:c r="F972" s="115" t="str">
        <x:v>Inspection physique</x:v>
      </x:c>
      <x:c r="G972" s="115" t="str">
        <x:v>1 niveaux ; 32 pièces ; 248 segments de mur ; 0 transitions. Inspection physique ; architecture complète encore ouverte.</x:v>
      </x:c>
      <x:c r="H972" s="115" t="str">
        <x:v>L 288 ; l 246 ; hauteur 4,4 m ; choix de composition auteur ; dimensions réelles à documenter</x:v>
      </x:c>
      <x:c r="I972" s="115" t="str">
        <x:v>À équilibrer</x:v>
      </x:c>
      <x:c r="J972" s="115" t="str">
        <x:v>Non</x:v>
      </x:c>
      <x:c r="K972" s="115" t="str">
        <x:v>Pièces décrites, murs, portes, niveaux et mobilier inspectables à l’échelle. Volumes réservés, raccord au seed, butin, rencontres et services de campagne restent à terminer.</x:v>
      </x:c>
    </x:row>
    <x:row r="973" ht="96" customHeight="1">
      <x:c r="A973" s="115" t="str">
        <x:v>EXT-MONDE-T020-V18</x:v>
      </x:c>
      <x:c r="B973" s="115" t="str">
        <x:v>EXT-MONDE-T020</x:v>
      </x:c>
      <x:c r="C973" s="115" t="str">
        <x:v>Littoral</x:v>
      </x:c>
      <x:c r="D973" s="115" t="str">
        <x:v>Baie avec village côtier</x:v>
      </x:c>
      <x:c r="E973" s="115" t="n">
        <x:v>18</x:v>
      </x:c>
      <x:c r="F973" s="115" t="str">
        <x:v>Inspection physique</x:v>
      </x:c>
      <x:c r="G973" s="115" t="str">
        <x:v>1 niveaux ; 32 pièces ; 248 segments de mur ; 0 transitions. Inspection physique ; architecture complète encore ouverte.</x:v>
      </x:c>
      <x:c r="H973" s="115" t="str">
        <x:v>L 288 ; l 246 ; hauteur 4,4 m ; choix de composition auteur ; dimensions réelles à documenter</x:v>
      </x:c>
      <x:c r="I973" s="115" t="str">
        <x:v>À équilibrer</x:v>
      </x:c>
      <x:c r="J973" s="115" t="str">
        <x:v>Non</x:v>
      </x:c>
      <x:c r="K973" s="115" t="str">
        <x:v>Pièces décrites, murs, portes, niveaux et mobilier inspectables à l’échelle. Volumes réservés, raccord au seed, butin, rencontres et services de campagne restent à terminer.</x:v>
      </x:c>
    </x:row>
    <x:row r="974" ht="96" customHeight="1">
      <x:c r="A974" s="115" t="str">
        <x:v>EXT-MONDE-T020-V19</x:v>
      </x:c>
      <x:c r="B974" s="115" t="str">
        <x:v>EXT-MONDE-T020</x:v>
      </x:c>
      <x:c r="C974" s="115" t="str">
        <x:v>Littoral</x:v>
      </x:c>
      <x:c r="D974" s="115" t="str">
        <x:v>Baie avec village côtier</x:v>
      </x:c>
      <x:c r="E974" s="115" t="n">
        <x:v>19</x:v>
      </x:c>
      <x:c r="F974" s="115" t="str">
        <x:v>Inspection physique</x:v>
      </x:c>
      <x:c r="G974" s="115" t="str">
        <x:v>1 niveaux ; 32 pièces ; 248 segments de mur ; 0 transitions. Inspection physique ; architecture complète encore ouverte.</x:v>
      </x:c>
      <x:c r="H974" s="115" t="str">
        <x:v>L 288 ; l 246 ; hauteur 4,4 m ; choix de composition auteur ; dimensions réelles à documenter</x:v>
      </x:c>
      <x:c r="I974" s="115" t="str">
        <x:v>À équilibrer</x:v>
      </x:c>
      <x:c r="J974" s="115" t="str">
        <x:v>Non</x:v>
      </x:c>
      <x:c r="K974" s="115" t="str">
        <x:v>Pièces décrites, murs, portes, niveaux et mobilier inspectables à l’échelle. Volumes réservés, raccord au seed, butin, rencontres et services de campagne restent à terminer.</x:v>
      </x:c>
    </x:row>
    <x:row r="975" ht="96" customHeight="1">
      <x:c r="A975" s="115" t="str">
        <x:v>EXT-MONDE-T020-V20</x:v>
      </x:c>
      <x:c r="B975" s="115" t="str">
        <x:v>EXT-MONDE-T020</x:v>
      </x:c>
      <x:c r="C975" s="115" t="str">
        <x:v>Littoral</x:v>
      </x:c>
      <x:c r="D975" s="115" t="str">
        <x:v>Baie avec village côtier</x:v>
      </x:c>
      <x:c r="E975" s="115" t="n">
        <x:v>20</x:v>
      </x:c>
      <x:c r="F975" s="115" t="str">
        <x:v>Inspection physique</x:v>
      </x:c>
      <x:c r="G975" s="115" t="str">
        <x:v>1 niveaux ; 32 pièces ; 248 segments de mur ; 0 transitions. Inspection physique ; architecture complète encore ouverte.</x:v>
      </x:c>
      <x:c r="H975" s="115" t="str">
        <x:v>L 288 ; l 246 ; hauteur 4,4 m ; choix de composition auteur ; dimensions réelles à documenter</x:v>
      </x:c>
      <x:c r="I975" s="115" t="str">
        <x:v>À équilibrer</x:v>
      </x:c>
      <x:c r="J975" s="115" t="str">
        <x:v>Non</x:v>
      </x:c>
      <x:c r="K975" s="115" t="str">
        <x:v>Pièces décrites, murs, portes, niveaux et mobilier inspectables à l’échelle. Volumes réservés, raccord au seed, butin, rencontres et services de campagne restent à terminer.</x:v>
      </x:c>
    </x:row>
    <x:row r="976" ht="96" customHeight="1">
      <x:c r="A976" s="115" t="str">
        <x:v>EXT-MONDE-T020-V21</x:v>
      </x:c>
      <x:c r="B976" s="115" t="str">
        <x:v>EXT-MONDE-T020</x:v>
      </x:c>
      <x:c r="C976" s="115" t="str">
        <x:v>Littoral</x:v>
      </x:c>
      <x:c r="D976" s="115" t="str">
        <x:v>Baie avec village côtier</x:v>
      </x:c>
      <x:c r="E976" s="115" t="n">
        <x:v>21</x:v>
      </x:c>
      <x:c r="F976" s="115" t="str">
        <x:v>Inspection physique</x:v>
      </x:c>
      <x:c r="G976" s="115" t="str">
        <x:v>1 niveaux ; 32 pièces ; 248 segments de mur ; 0 transitions. Inspection physique ; architecture complète encore ouverte.</x:v>
      </x:c>
      <x:c r="H976" s="115" t="str">
        <x:v>L 306 ; l 262 ; hauteur 4,4 m ; choix de composition auteur ; dimensions réelles à documenter</x:v>
      </x:c>
      <x:c r="I976" s="115" t="str">
        <x:v>À équilibrer</x:v>
      </x:c>
      <x:c r="J976" s="115" t="str">
        <x:v>Non</x:v>
      </x:c>
      <x:c r="K976" s="115" t="str">
        <x:v>Pièces décrites, murs, portes, niveaux et mobilier inspectables à l’échelle. Volumes réservés, raccord au seed, butin, rencontres et services de campagne restent à terminer.</x:v>
      </x:c>
    </x:row>
    <x:row r="977" ht="96" customHeight="1">
      <x:c r="A977" s="115" t="str">
        <x:v>EXT-MONDE-T020-V22</x:v>
      </x:c>
      <x:c r="B977" s="115" t="str">
        <x:v>EXT-MONDE-T020</x:v>
      </x:c>
      <x:c r="C977" s="115" t="str">
        <x:v>Littoral</x:v>
      </x:c>
      <x:c r="D977" s="115" t="str">
        <x:v>Baie avec village côtier</x:v>
      </x:c>
      <x:c r="E977" s="115" t="n">
        <x:v>22</x:v>
      </x:c>
      <x:c r="F977" s="115" t="str">
        <x:v>Inspection physique</x:v>
      </x:c>
      <x:c r="G977" s="115" t="str">
        <x:v>1 niveaux ; 32 pièces ; 248 segments de mur ; 0 transitions. Inspection physique ; architecture complète encore ouverte.</x:v>
      </x:c>
      <x:c r="H977" s="115" t="str">
        <x:v>L 306 ; l 262 ; hauteur 4,4 m ; choix de composition auteur ; dimensions réelles à documenter</x:v>
      </x:c>
      <x:c r="I977" s="115" t="str">
        <x:v>À équilibrer</x:v>
      </x:c>
      <x:c r="J977" s="115" t="str">
        <x:v>Non</x:v>
      </x:c>
      <x:c r="K977" s="115" t="str">
        <x:v>Pièces décrites, murs, portes, niveaux et mobilier inspectables à l’échelle. Volumes réservés, raccord au seed, butin, rencontres et services de campagne restent à terminer.</x:v>
      </x:c>
    </x:row>
    <x:row r="978" ht="96" customHeight="1">
      <x:c r="A978" s="115" t="str">
        <x:v>EXT-MONDE-T020-V23</x:v>
      </x:c>
      <x:c r="B978" s="115" t="str">
        <x:v>EXT-MONDE-T020</x:v>
      </x:c>
      <x:c r="C978" s="115" t="str">
        <x:v>Littoral</x:v>
      </x:c>
      <x:c r="D978" s="115" t="str">
        <x:v>Baie avec village côtier</x:v>
      </x:c>
      <x:c r="E978" s="115" t="n">
        <x:v>23</x:v>
      </x:c>
      <x:c r="F978" s="115" t="str">
        <x:v>Inspection physique</x:v>
      </x:c>
      <x:c r="G978" s="115" t="str">
        <x:v>1 niveaux ; 32 pièces ; 248 segments de mur ; 0 transitions. Inspection physique ; architecture complète encore ouverte.</x:v>
      </x:c>
      <x:c r="H978" s="115" t="str">
        <x:v>L 306 ; l 262 ; hauteur 4,4 m ; choix de composition auteur ; dimensions réelles à documenter</x:v>
      </x:c>
      <x:c r="I978" s="115" t="str">
        <x:v>À équilibrer</x:v>
      </x:c>
      <x:c r="J978" s="115" t="str">
        <x:v>Non</x:v>
      </x:c>
      <x:c r="K978" s="115" t="str">
        <x:v>Pièces décrites, murs, portes, niveaux et mobilier inspectables à l’échelle. Volumes réservés, raccord au seed, butin, rencontres et services de campagne restent à terminer.</x:v>
      </x:c>
    </x:row>
    <x:row r="979" ht="96" customHeight="1">
      <x:c r="A979" s="115" t="str">
        <x:v>EXT-MONDE-T020-V24</x:v>
      </x:c>
      <x:c r="B979" s="115" t="str">
        <x:v>EXT-MONDE-T020</x:v>
      </x:c>
      <x:c r="C979" s="115" t="str">
        <x:v>Littoral</x:v>
      </x:c>
      <x:c r="D979" s="115" t="str">
        <x:v>Baie avec village côtier</x:v>
      </x:c>
      <x:c r="E979" s="115" t="n">
        <x:v>24</x:v>
      </x:c>
      <x:c r="F979" s="115" t="str">
        <x:v>Inspection physique</x:v>
      </x:c>
      <x:c r="G979" s="115" t="str">
        <x:v>1 niveaux ; 32 pièces ; 248 segments de mur ; 0 transitions. Inspection physique ; architecture complète encore ouverte.</x:v>
      </x:c>
      <x:c r="H979" s="115" t="str">
        <x:v>L 306 ; l 262 ; hauteur 4,4 m ; choix de composition auteur ; dimensions réelles à documenter</x:v>
      </x:c>
      <x:c r="I979" s="115" t="str">
        <x:v>À équilibrer</x:v>
      </x:c>
      <x:c r="J979" s="115" t="str">
        <x:v>Non</x:v>
      </x:c>
      <x:c r="K979" s="115" t="str">
        <x:v>Pièces décrites, murs, portes, niveaux et mobilier inspectables à l’échelle. Volumes réservés, raccord au seed, butin, rencontres et services de campagne restent à terminer.</x:v>
      </x:c>
    </x:row>
    <x:row r="980" ht="96" customHeight="1">
      <x:c r="A980" s="115" t="str">
        <x:v>EXT-MONDE-T020-V25</x:v>
      </x:c>
      <x:c r="B980" s="115" t="str">
        <x:v>EXT-MONDE-T020</x:v>
      </x:c>
      <x:c r="C980" s="115" t="str">
        <x:v>Littoral</x:v>
      </x:c>
      <x:c r="D980" s="115" t="str">
        <x:v>Baie avec village côtier</x:v>
      </x:c>
      <x:c r="E980" s="115" t="n">
        <x:v>25</x:v>
      </x:c>
      <x:c r="F980" s="115" t="str">
        <x:v>Inspection physique</x:v>
      </x:c>
      <x:c r="G980" s="115" t="str">
        <x:v>1 niveaux ; 32 pièces ; 248 segments de mur ; 0 transitions. Inspection physique ; architecture complète encore ouverte.</x:v>
      </x:c>
      <x:c r="H980" s="115" t="str">
        <x:v>L 306 ; l 262 ; hauteur 4,4 m ; choix de composition auteur ; dimensions réelles à documenter</x:v>
      </x:c>
      <x:c r="I980" s="115" t="str">
        <x:v>À équilibrer</x:v>
      </x:c>
      <x:c r="J980" s="115" t="str">
        <x:v>Non</x:v>
      </x:c>
      <x:c r="K980" s="115" t="str">
        <x:v>Pièces décrites, murs, portes, niveaux et mobilier inspectables à l’échelle. Volumes réservés, raccord au seed, butin, rencontres et services de campagne restent à terminer.</x:v>
      </x:c>
    </x:row>
    <x:row r="981" ht="96" customHeight="1">
      <x:c r="A981" s="115" t="str">
        <x:v>EXT-MONDE-T020-V26</x:v>
      </x:c>
      <x:c r="B981" s="115" t="str">
        <x:v>EXT-MONDE-T020</x:v>
      </x:c>
      <x:c r="C981" s="115" t="str">
        <x:v>Littoral</x:v>
      </x:c>
      <x:c r="D981" s="115" t="str">
        <x:v>Baie avec village côtier</x:v>
      </x:c>
      <x:c r="E981" s="115" t="n">
        <x:v>26</x:v>
      </x:c>
      <x:c r="F981" s="115" t="str">
        <x:v>Inspection physique</x:v>
      </x:c>
      <x:c r="G981" s="115" t="str">
        <x:v>1 niveaux ; 32 pièces ; 248 segments de mur ; 0 transitions. Inspection physique ; architecture complète encore ouverte.</x:v>
      </x:c>
      <x:c r="H981" s="115" t="str">
        <x:v>L 306 ; l 262 ; hauteur 4,4 m ; choix de composition auteur ; dimensions réelles à documenter</x:v>
      </x:c>
      <x:c r="I981" s="115" t="str">
        <x:v>À équilibrer</x:v>
      </x:c>
      <x:c r="J981" s="115" t="str">
        <x:v>Non</x:v>
      </x:c>
      <x:c r="K981" s="115" t="str">
        <x:v>Pièces décrites, murs, portes, niveaux et mobilier inspectables à l’échelle. Volumes réservés, raccord au seed, butin, rencontres et services de campagne restent à terminer.</x:v>
      </x:c>
    </x:row>
    <x:row r="982" ht="96" customHeight="1">
      <x:c r="A982" s="115" t="str">
        <x:v>EXT-MONDE-T020-V27</x:v>
      </x:c>
      <x:c r="B982" s="115" t="str">
        <x:v>EXT-MONDE-T020</x:v>
      </x:c>
      <x:c r="C982" s="115" t="str">
        <x:v>Littoral</x:v>
      </x:c>
      <x:c r="D982" s="115" t="str">
        <x:v>Baie avec village côtier</x:v>
      </x:c>
      <x:c r="E982" s="115" t="n">
        <x:v>27</x:v>
      </x:c>
      <x:c r="F982" s="115" t="str">
        <x:v>Inspection physique</x:v>
      </x:c>
      <x:c r="G982" s="115" t="str">
        <x:v>1 niveaux ; 32 pièces ; 248 segments de mur ; 0 transitions. Inspection physique ; architecture complète encore ouverte.</x:v>
      </x:c>
      <x:c r="H982" s="115" t="str">
        <x:v>L 306 ; l 262 ; hauteur 4,4 m ; choix de composition auteur ; dimensions réelles à documenter</x:v>
      </x:c>
      <x:c r="I982" s="115" t="str">
        <x:v>À équilibrer</x:v>
      </x:c>
      <x:c r="J982" s="115" t="str">
        <x:v>Non</x:v>
      </x:c>
      <x:c r="K982" s="115" t="str">
        <x:v>Pièces décrites, murs, portes, niveaux et mobilier inspectables à l’échelle. Volumes réservés, raccord au seed, butin, rencontres et services de campagne restent à terminer.</x:v>
      </x:c>
    </x:row>
    <x:row r="983" ht="96" customHeight="1">
      <x:c r="A983" s="115" t="str">
        <x:v>EXT-MONDE-T020-V28</x:v>
      </x:c>
      <x:c r="B983" s="115" t="str">
        <x:v>EXT-MONDE-T020</x:v>
      </x:c>
      <x:c r="C983" s="115" t="str">
        <x:v>Littoral</x:v>
      </x:c>
      <x:c r="D983" s="115" t="str">
        <x:v>Baie avec village côtier</x:v>
      </x:c>
      <x:c r="E983" s="115" t="n">
        <x:v>28</x:v>
      </x:c>
      <x:c r="F983" s="115" t="str">
        <x:v>Inspection physique</x:v>
      </x:c>
      <x:c r="G983" s="115" t="str">
        <x:v>1 niveaux ; 32 pièces ; 248 segments de mur ; 0 transitions. Inspection physique ; architecture complète encore ouverte.</x:v>
      </x:c>
      <x:c r="H983" s="115" t="str">
        <x:v>L 306 ; l 262 ; hauteur 4,4 m ; choix de composition auteur ; dimensions réelles à documenter</x:v>
      </x:c>
      <x:c r="I983" s="115" t="str">
        <x:v>À équilibrer</x:v>
      </x:c>
      <x:c r="J983" s="115" t="str">
        <x:v>Non</x:v>
      </x:c>
      <x:c r="K983" s="115" t="str">
        <x:v>Pièces décrites, murs, portes, niveaux et mobilier inspectables à l’échelle. Volumes réservés, raccord au seed, butin, rencontres et services de campagne restent à terminer.</x:v>
      </x:c>
    </x:row>
    <x:row r="984" ht="96" customHeight="1">
      <x:c r="A984" s="115" t="str">
        <x:v>EXT-MONDE-T020-V29</x:v>
      </x:c>
      <x:c r="B984" s="115" t="str">
        <x:v>EXT-MONDE-T020</x:v>
      </x:c>
      <x:c r="C984" s="115" t="str">
        <x:v>Littoral</x:v>
      </x:c>
      <x:c r="D984" s="115" t="str">
        <x:v>Baie avec village côtier</x:v>
      </x:c>
      <x:c r="E984" s="115" t="n">
        <x:v>29</x:v>
      </x:c>
      <x:c r="F984" s="115" t="str">
        <x:v>Inspection physique</x:v>
      </x:c>
      <x:c r="G984" s="115" t="str">
        <x:v>1 niveaux ; 32 pièces ; 248 segments de mur ; 0 transitions. Inspection physique ; architecture complète encore ouverte.</x:v>
      </x:c>
      <x:c r="H984" s="115" t="str">
        <x:v>L 306 ; l 262 ; hauteur 4,4 m ; choix de composition auteur ; dimensions réelles à documenter</x:v>
      </x:c>
      <x:c r="I984" s="115" t="str">
        <x:v>À équilibrer</x:v>
      </x:c>
      <x:c r="J984" s="115" t="str">
        <x:v>Non</x:v>
      </x:c>
      <x:c r="K984" s="115" t="str">
        <x:v>Pièces décrites, murs, portes, niveaux et mobilier inspectables à l’échelle. Volumes réservés, raccord au seed, butin, rencontres et services de campagne restent à terminer.</x:v>
      </x:c>
    </x:row>
    <x:row r="985" ht="96" customHeight="1">
      <x:c r="A985" s="115" t="str">
        <x:v>EXT-MONDE-T020-V30</x:v>
      </x:c>
      <x:c r="B985" s="115" t="str">
        <x:v>EXT-MONDE-T020</x:v>
      </x:c>
      <x:c r="C985" s="115" t="str">
        <x:v>Littoral</x:v>
      </x:c>
      <x:c r="D985" s="115" t="str">
        <x:v>Baie avec village côtier</x:v>
      </x:c>
      <x:c r="E985" s="115" t="n">
        <x:v>30</x:v>
      </x:c>
      <x:c r="F985" s="115" t="str">
        <x:v>Inspection physique</x:v>
      </x:c>
      <x:c r="G985" s="115" t="str">
        <x:v>1 niveaux ; 32 pièces ; 248 segments de mur ; 0 transitions. Inspection physique ; architecture complète encore ouverte.</x:v>
      </x:c>
      <x:c r="H985" s="115" t="str">
        <x:v>L 306 ; l 262 ; hauteur 4,4 m ; choix de composition auteur ; dimensions réelles à documenter</x:v>
      </x:c>
      <x:c r="I985" s="115" t="str">
        <x:v>À équilibrer</x:v>
      </x:c>
      <x:c r="J985" s="115" t="str">
        <x:v>Non</x:v>
      </x:c>
      <x:c r="K985" s="115" t="str">
        <x:v>Pièces décrites, murs, portes, niveaux et mobilier inspectables à l’échelle. Volumes réservés, raccord au seed, butin, rencontres et services de campagne restent à terminer.</x:v>
      </x:c>
    </x:row>
    <x:row r="986" ht="96" customHeight="1">
      <x:c r="A986" s="115" t="str">
        <x:v>EXT-MONDE-T020-V31</x:v>
      </x:c>
      <x:c r="B986" s="115" t="str">
        <x:v>EXT-MONDE-T020</x:v>
      </x:c>
      <x:c r="C986" s="115" t="str">
        <x:v>Littoral</x:v>
      </x:c>
      <x:c r="D986" s="115" t="str">
        <x:v>Baie avec village côtier</x:v>
      </x:c>
      <x:c r="E986" s="115" t="n">
        <x:v>31</x:v>
      </x:c>
      <x:c r="F986" s="115" t="str">
        <x:v>Inspection physique</x:v>
      </x:c>
      <x:c r="G986" s="115" t="str">
        <x:v>1 niveaux ; 32 pièces ; 248 segments de mur ; 0 transitions. Inspection physique ; architecture complète encore ouverte.</x:v>
      </x:c>
      <x:c r="H986" s="115" t="str">
        <x:v>L 324 ; l 278 ; hauteur 4,4 m ; choix de composition auteur ; dimensions réelles à documenter</x:v>
      </x:c>
      <x:c r="I986" s="115" t="str">
        <x:v>À équilibrer</x:v>
      </x:c>
      <x:c r="J986" s="115" t="str">
        <x:v>Non</x:v>
      </x:c>
      <x:c r="K986" s="115" t="str">
        <x:v>Pièces décrites, murs, portes, niveaux et mobilier inspectables à l’échelle. Volumes réservés, raccord au seed, butin, rencontres et services de campagne restent à terminer.</x:v>
      </x:c>
    </x:row>
    <x:row r="987" ht="96" customHeight="1">
      <x:c r="A987" s="115" t="str">
        <x:v>EXT-MONDE-T020-V32</x:v>
      </x:c>
      <x:c r="B987" s="115" t="str">
        <x:v>EXT-MONDE-T020</x:v>
      </x:c>
      <x:c r="C987" s="115" t="str">
        <x:v>Littoral</x:v>
      </x:c>
      <x:c r="D987" s="115" t="str">
        <x:v>Baie avec village côtier</x:v>
      </x:c>
      <x:c r="E987" s="115" t="n">
        <x:v>32</x:v>
      </x:c>
      <x:c r="F987" s="115" t="str">
        <x:v>Inspection physique</x:v>
      </x:c>
      <x:c r="G987" s="115" t="str">
        <x:v>1 niveaux ; 32 pièces ; 248 segments de mur ; 0 transitions. Inspection physique ; architecture complète encore ouverte.</x:v>
      </x:c>
      <x:c r="H987" s="115" t="str">
        <x:v>L 324 ; l 278 ; hauteur 4,4 m ; choix de composition auteur ; dimensions réelles à documenter</x:v>
      </x:c>
      <x:c r="I987" s="115" t="str">
        <x:v>À équilibrer</x:v>
      </x:c>
      <x:c r="J987" s="115" t="str">
        <x:v>Non</x:v>
      </x:c>
      <x:c r="K987" s="115" t="str">
        <x:v>Pièces décrites, murs, portes, niveaux et mobilier inspectables à l’échelle. Volumes réservés, raccord au seed, butin, rencontres et services de campagne restent à terminer.</x:v>
      </x:c>
    </x:row>
    <x:row r="988" ht="96" customHeight="1">
      <x:c r="A988" s="115" t="str">
        <x:v>EXT-MONDE-T020-V33</x:v>
      </x:c>
      <x:c r="B988" s="115" t="str">
        <x:v>EXT-MONDE-T020</x:v>
      </x:c>
      <x:c r="C988" s="115" t="str">
        <x:v>Littoral</x:v>
      </x:c>
      <x:c r="D988" s="115" t="str">
        <x:v>Baie avec village côtier</x:v>
      </x:c>
      <x:c r="E988" s="115" t="n">
        <x:v>33</x:v>
      </x:c>
      <x:c r="F988" s="115" t="str">
        <x:v>Inspection physique</x:v>
      </x:c>
      <x:c r="G988" s="115" t="str">
        <x:v>1 niveaux ; 32 pièces ; 248 segments de mur ; 0 transitions. Inspection physique ; architecture complète encore ouverte.</x:v>
      </x:c>
      <x:c r="H988" s="115" t="str">
        <x:v>L 324 ; l 278 ; hauteur 4,4 m ; choix de composition auteur ; dimensions réelles à documenter</x:v>
      </x:c>
      <x:c r="I988" s="115" t="str">
        <x:v>À équilibrer</x:v>
      </x:c>
      <x:c r="J988" s="115" t="str">
        <x:v>Non</x:v>
      </x:c>
      <x:c r="K988" s="115" t="str">
        <x:v>Pièces décrites, murs, portes, niveaux et mobilier inspectables à l’échelle. Volumes réservés, raccord au seed, butin, rencontres et services de campagne restent à terminer.</x:v>
      </x:c>
    </x:row>
    <x:row r="989" ht="96" customHeight="1">
      <x:c r="A989" s="115" t="str">
        <x:v>EXT-MONDE-T020-V34</x:v>
      </x:c>
      <x:c r="B989" s="115" t="str">
        <x:v>EXT-MONDE-T020</x:v>
      </x:c>
      <x:c r="C989" s="115" t="str">
        <x:v>Littoral</x:v>
      </x:c>
      <x:c r="D989" s="115" t="str">
        <x:v>Baie avec village côtier</x:v>
      </x:c>
      <x:c r="E989" s="115" t="n">
        <x:v>34</x:v>
      </x:c>
      <x:c r="F989" s="115" t="str">
        <x:v>Inspection physique</x:v>
      </x:c>
      <x:c r="G989" s="115" t="str">
        <x:v>1 niveaux ; 32 pièces ; 248 segments de mur ; 0 transitions. Inspection physique ; architecture complète encore ouverte.</x:v>
      </x:c>
      <x:c r="H989" s="115" t="str">
        <x:v>L 324 ; l 278 ; hauteur 4,4 m ; choix de composition auteur ; dimensions réelles à documenter</x:v>
      </x:c>
      <x:c r="I989" s="115" t="str">
        <x:v>À équilibrer</x:v>
      </x:c>
      <x:c r="J989" s="115" t="str">
        <x:v>Non</x:v>
      </x:c>
      <x:c r="K989" s="115" t="str">
        <x:v>Pièces décrites, murs, portes, niveaux et mobilier inspectables à l’échelle. Volumes réservés, raccord au seed, butin, rencontres et services de campagne restent à terminer.</x:v>
      </x:c>
    </x:row>
    <x:row r="990" ht="96" customHeight="1">
      <x:c r="A990" s="115" t="str">
        <x:v>EXT-MONDE-T020-V35</x:v>
      </x:c>
      <x:c r="B990" s="115" t="str">
        <x:v>EXT-MONDE-T020</x:v>
      </x:c>
      <x:c r="C990" s="115" t="str">
        <x:v>Littoral</x:v>
      </x:c>
      <x:c r="D990" s="115" t="str">
        <x:v>Baie avec village côtier</x:v>
      </x:c>
      <x:c r="E990" s="115" t="n">
        <x:v>35</x:v>
      </x:c>
      <x:c r="F990" s="115" t="str">
        <x:v>Inspection physique</x:v>
      </x:c>
      <x:c r="G990" s="115" t="str">
        <x:v>1 niveaux ; 32 pièces ; 248 segments de mur ; 0 transitions. Inspection physique ; architecture complète encore ouverte.</x:v>
      </x:c>
      <x:c r="H990" s="115" t="str">
        <x:v>L 324 ; l 278 ; hauteur 4,4 m ; choix de composition auteur ; dimensions réelles à documenter</x:v>
      </x:c>
      <x:c r="I990" s="115" t="str">
        <x:v>À équilibrer</x:v>
      </x:c>
      <x:c r="J990" s="115" t="str">
        <x:v>Non</x:v>
      </x:c>
      <x:c r="K990" s="115" t="str">
        <x:v>Pièces décrites, murs, portes, niveaux et mobilier inspectables à l’échelle. Volumes réservés, raccord au seed, butin, rencontres et services de campagne restent à terminer.</x:v>
      </x:c>
    </x:row>
    <x:row r="991" ht="96" customHeight="1">
      <x:c r="A991" s="115" t="str">
        <x:v>EXT-MONDE-T020-V36</x:v>
      </x:c>
      <x:c r="B991" s="115" t="str">
        <x:v>EXT-MONDE-T020</x:v>
      </x:c>
      <x:c r="C991" s="115" t="str">
        <x:v>Littoral</x:v>
      </x:c>
      <x:c r="D991" s="115" t="str">
        <x:v>Baie avec village côtier</x:v>
      </x:c>
      <x:c r="E991" s="115" t="n">
        <x:v>36</x:v>
      </x:c>
      <x:c r="F991" s="115" t="str">
        <x:v>Inspection physique</x:v>
      </x:c>
      <x:c r="G991" s="115" t="str">
        <x:v>1 niveaux ; 32 pièces ; 248 segments de mur ; 0 transitions. Inspection physique ; architecture complète encore ouverte.</x:v>
      </x:c>
      <x:c r="H991" s="115" t="str">
        <x:v>L 324 ; l 278 ; hauteur 4,4 m ; choix de composition auteur ; dimensions réelles à documenter</x:v>
      </x:c>
      <x:c r="I991" s="115" t="str">
        <x:v>À équilibrer</x:v>
      </x:c>
      <x:c r="J991" s="115" t="str">
        <x:v>Non</x:v>
      </x:c>
      <x:c r="K991" s="115" t="str">
        <x:v>Pièces décrites, murs, portes, niveaux et mobilier inspectables à l’échelle. Volumes réservés, raccord au seed, butin, rencontres et services de campagne restent à terminer.</x:v>
      </x:c>
    </x:row>
    <x:row r="992" ht="96" customHeight="1">
      <x:c r="A992" s="115" t="str">
        <x:v>EXT-MONDE-T020-V37</x:v>
      </x:c>
      <x:c r="B992" s="115" t="str">
        <x:v>EXT-MONDE-T020</x:v>
      </x:c>
      <x:c r="C992" s="115" t="str">
        <x:v>Littoral</x:v>
      </x:c>
      <x:c r="D992" s="115" t="str">
        <x:v>Baie avec village côtier</x:v>
      </x:c>
      <x:c r="E992" s="115" t="n">
        <x:v>37</x:v>
      </x:c>
      <x:c r="F992" s="115" t="str">
        <x:v>Inspection physique</x:v>
      </x:c>
      <x:c r="G992" s="115" t="str">
        <x:v>1 niveaux ; 32 pièces ; 248 segments de mur ; 0 transitions. Inspection physique ; architecture complète encore ouverte.</x:v>
      </x:c>
      <x:c r="H992" s="115" t="str">
        <x:v>L 324 ; l 278 ; hauteur 4,4 m ; choix de composition auteur ; dimensions réelles à documenter</x:v>
      </x:c>
      <x:c r="I992" s="115" t="str">
        <x:v>À équilibrer</x:v>
      </x:c>
      <x:c r="J992" s="115" t="str">
        <x:v>Non</x:v>
      </x:c>
      <x:c r="K992" s="115" t="str">
        <x:v>Pièces décrites, murs, portes, niveaux et mobilier inspectables à l’échelle. Volumes réservés, raccord au seed, butin, rencontres et services de campagne restent à terminer.</x:v>
      </x:c>
    </x:row>
    <x:row r="993" ht="96" customHeight="1">
      <x:c r="A993" s="115" t="str">
        <x:v>EXT-MONDE-T020-V38</x:v>
      </x:c>
      <x:c r="B993" s="115" t="str">
        <x:v>EXT-MONDE-T020</x:v>
      </x:c>
      <x:c r="C993" s="115" t="str">
        <x:v>Littoral</x:v>
      </x:c>
      <x:c r="D993" s="115" t="str">
        <x:v>Baie avec village côtier</x:v>
      </x:c>
      <x:c r="E993" s="115" t="n">
        <x:v>38</x:v>
      </x:c>
      <x:c r="F993" s="115" t="str">
        <x:v>Inspection physique</x:v>
      </x:c>
      <x:c r="G993" s="115" t="str">
        <x:v>1 niveaux ; 32 pièces ; 248 segments de mur ; 0 transitions. Inspection physique ; architecture complète encore ouverte.</x:v>
      </x:c>
      <x:c r="H993" s="115" t="str">
        <x:v>L 324 ; l 278 ; hauteur 4,4 m ; choix de composition auteur ; dimensions réelles à documenter</x:v>
      </x:c>
      <x:c r="I993" s="115" t="str">
        <x:v>À équilibrer</x:v>
      </x:c>
      <x:c r="J993" s="115" t="str">
        <x:v>Non</x:v>
      </x:c>
      <x:c r="K993" s="115" t="str">
        <x:v>Pièces décrites, murs, portes, niveaux et mobilier inspectables à l’échelle. Volumes réservés, raccord au seed, butin, rencontres et services de campagne restent à terminer.</x:v>
      </x:c>
    </x:row>
    <x:row r="994" ht="96" customHeight="1">
      <x:c r="A994" s="115" t="str">
        <x:v>EXT-MONDE-T020-V39</x:v>
      </x:c>
      <x:c r="B994" s="115" t="str">
        <x:v>EXT-MONDE-T020</x:v>
      </x:c>
      <x:c r="C994" s="115" t="str">
        <x:v>Littoral</x:v>
      </x:c>
      <x:c r="D994" s="115" t="str">
        <x:v>Baie avec village côtier</x:v>
      </x:c>
      <x:c r="E994" s="115" t="n">
        <x:v>39</x:v>
      </x:c>
      <x:c r="F994" s="115" t="str">
        <x:v>Inspection physique</x:v>
      </x:c>
      <x:c r="G994" s="115" t="str">
        <x:v>1 niveaux ; 32 pièces ; 248 segments de mur ; 0 transitions. Inspection physique ; architecture complète encore ouverte.</x:v>
      </x:c>
      <x:c r="H994" s="115" t="str">
        <x:v>L 324 ; l 278 ; hauteur 4,4 m ; choix de composition auteur ; dimensions réelles à documenter</x:v>
      </x:c>
      <x:c r="I994" s="115" t="str">
        <x:v>À équilibrer</x:v>
      </x:c>
      <x:c r="J994" s="115" t="str">
        <x:v>Non</x:v>
      </x:c>
      <x:c r="K994" s="115" t="str">
        <x:v>Pièces décrites, murs, portes, niveaux et mobilier inspectables à l’échelle. Volumes réservés, raccord au seed, butin, rencontres et services de campagne restent à terminer.</x:v>
      </x:c>
    </x:row>
    <x:row r="995" ht="96" customHeight="1">
      <x:c r="A995" s="115" t="str">
        <x:v>EXT-MONDE-T020-V40</x:v>
      </x:c>
      <x:c r="B995" s="115" t="str">
        <x:v>EXT-MONDE-T020</x:v>
      </x:c>
      <x:c r="C995" s="115" t="str">
        <x:v>Littoral</x:v>
      </x:c>
      <x:c r="D995" s="115" t="str">
        <x:v>Baie avec village côtier</x:v>
      </x:c>
      <x:c r="E995" s="115" t="n">
        <x:v>40</x:v>
      </x:c>
      <x:c r="F995" s="115" t="str">
        <x:v>Inspection physique</x:v>
      </x:c>
      <x:c r="G995" s="115" t="str">
        <x:v>1 niveaux ; 32 pièces ; 248 segments de mur ; 0 transitions. Inspection physique ; architecture complète encore ouverte.</x:v>
      </x:c>
      <x:c r="H995" s="115" t="str">
        <x:v>L 324 ; l 278 ; hauteur 4,4 m ; choix de composition auteur ; dimensions réelles à documenter</x:v>
      </x:c>
      <x:c r="I995" s="115" t="str">
        <x:v>À équilibrer</x:v>
      </x:c>
      <x:c r="J995" s="115" t="str">
        <x:v>Non</x:v>
      </x:c>
      <x:c r="K995" s="115" t="str">
        <x:v>Pièces décrites, murs, portes, niveaux et mobilier inspectables à l’échelle. Volumes réservés, raccord au seed, butin, rencontres et services de campagne restent à terminer.</x:v>
      </x:c>
    </x:row>
    <x:row r="996" ht="96" customHeight="1">
      <x:c r="A996" s="115" t="str">
        <x:v>EXT-MONDE-T020-V41</x:v>
      </x:c>
      <x:c r="B996" s="115" t="str">
        <x:v>EXT-MONDE-T020</x:v>
      </x:c>
      <x:c r="C996" s="115" t="str">
        <x:v>Littoral</x:v>
      </x:c>
      <x:c r="D996" s="115" t="str">
        <x:v>Baie avec village côtier</x:v>
      </x:c>
      <x:c r="E996" s="115" t="n">
        <x:v>41</x:v>
      </x:c>
      <x:c r="F996" s="115" t="str">
        <x:v>Inspection physique</x:v>
      </x:c>
      <x:c r="G996" s="115" t="str">
        <x:v>1 niveaux ; 32 pièces ; 248 segments de mur ; 0 transitions. Inspection physique ; architecture complète encore ouverte.</x:v>
      </x:c>
      <x:c r="H996" s="115" t="str">
        <x:v>L 342 ; l 294 ; hauteur 4,4 m ; choix de composition auteur ; dimensions réelles à documenter</x:v>
      </x:c>
      <x:c r="I996" s="115" t="str">
        <x:v>À équilibrer</x:v>
      </x:c>
      <x:c r="J996" s="115" t="str">
        <x:v>Non</x:v>
      </x:c>
      <x:c r="K996" s="115" t="str">
        <x:v>Pièces décrites, murs, portes, niveaux et mobilier inspectables à l’échelle. Volumes réservés, raccord au seed, butin, rencontres et services de campagne restent à terminer.</x:v>
      </x:c>
    </x:row>
    <x:row r="997" ht="96" customHeight="1">
      <x:c r="A997" s="115" t="str">
        <x:v>EXT-MONDE-T020-V42</x:v>
      </x:c>
      <x:c r="B997" s="115" t="str">
        <x:v>EXT-MONDE-T020</x:v>
      </x:c>
      <x:c r="C997" s="115" t="str">
        <x:v>Littoral</x:v>
      </x:c>
      <x:c r="D997" s="115" t="str">
        <x:v>Baie avec village côtier</x:v>
      </x:c>
      <x:c r="E997" s="115" t="n">
        <x:v>42</x:v>
      </x:c>
      <x:c r="F997" s="115" t="str">
        <x:v>Inspection physique</x:v>
      </x:c>
      <x:c r="G997" s="115" t="str">
        <x:v>1 niveaux ; 32 pièces ; 248 segments de mur ; 0 transitions. Inspection physique ; architecture complète encore ouverte.</x:v>
      </x:c>
      <x:c r="H997" s="115" t="str">
        <x:v>L 342 ; l 294 ; hauteur 4,4 m ; choix de composition auteur ; dimensions réelles à documenter</x:v>
      </x:c>
      <x:c r="I997" s="115" t="str">
        <x:v>À équilibrer</x:v>
      </x:c>
      <x:c r="J997" s="115" t="str">
        <x:v>Non</x:v>
      </x:c>
      <x:c r="K997" s="115" t="str">
        <x:v>Pièces décrites, murs, portes, niveaux et mobilier inspectables à l’échelle. Volumes réservés, raccord au seed, butin, rencontres et services de campagne restent à terminer.</x:v>
      </x:c>
    </x:row>
    <x:row r="998" ht="96" customHeight="1">
      <x:c r="A998" s="115" t="str">
        <x:v>EXT-MONDE-T020-V43</x:v>
      </x:c>
      <x:c r="B998" s="115" t="str">
        <x:v>EXT-MONDE-T020</x:v>
      </x:c>
      <x:c r="C998" s="115" t="str">
        <x:v>Littoral</x:v>
      </x:c>
      <x:c r="D998" s="115" t="str">
        <x:v>Baie avec village côtier</x:v>
      </x:c>
      <x:c r="E998" s="115" t="n">
        <x:v>43</x:v>
      </x:c>
      <x:c r="F998" s="115" t="str">
        <x:v>Inspection physique</x:v>
      </x:c>
      <x:c r="G998" s="115" t="str">
        <x:v>1 niveaux ; 32 pièces ; 248 segments de mur ; 0 transitions. Inspection physique ; architecture complète encore ouverte.</x:v>
      </x:c>
      <x:c r="H998" s="115" t="str">
        <x:v>L 342 ; l 294 ; hauteur 4,4 m ; choix de composition auteur ; dimensions réelles à documenter</x:v>
      </x:c>
      <x:c r="I998" s="115" t="str">
        <x:v>À équilibrer</x:v>
      </x:c>
      <x:c r="J998" s="115" t="str">
        <x:v>Non</x:v>
      </x:c>
      <x:c r="K998" s="115" t="str">
        <x:v>Pièces décrites, murs, portes, niveaux et mobilier inspectables à l’échelle. Volumes réservés, raccord au seed, butin, rencontres et services de campagne restent à terminer.</x:v>
      </x:c>
    </x:row>
    <x:row r="999" ht="96" customHeight="1">
      <x:c r="A999" s="115" t="str">
        <x:v>EXT-MONDE-T020-V44</x:v>
      </x:c>
      <x:c r="B999" s="115" t="str">
        <x:v>EXT-MONDE-T020</x:v>
      </x:c>
      <x:c r="C999" s="115" t="str">
        <x:v>Littoral</x:v>
      </x:c>
      <x:c r="D999" s="115" t="str">
        <x:v>Baie avec village côtier</x:v>
      </x:c>
      <x:c r="E999" s="115" t="n">
        <x:v>44</x:v>
      </x:c>
      <x:c r="F999" s="115" t="str">
        <x:v>Inspection physique</x:v>
      </x:c>
      <x:c r="G999" s="115" t="str">
        <x:v>1 niveaux ; 32 pièces ; 248 segments de mur ; 0 transitions. Inspection physique ; architecture complète encore ouverte.</x:v>
      </x:c>
      <x:c r="H999" s="115" t="str">
        <x:v>L 342 ; l 294 ; hauteur 4,4 m ; choix de composition auteur ; dimensions réelles à documenter</x:v>
      </x:c>
      <x:c r="I999" s="115" t="str">
        <x:v>À équilibrer</x:v>
      </x:c>
      <x:c r="J999" s="115" t="str">
        <x:v>Non</x:v>
      </x:c>
      <x:c r="K999" s="115" t="str">
        <x:v>Pièces décrites, murs, portes, niveaux et mobilier inspectables à l’échelle. Volumes réservés, raccord au seed, butin, rencontres et services de campagne restent à terminer.</x:v>
      </x:c>
    </x:row>
    <x:row r="1000" ht="96" customHeight="1">
      <x:c r="A1000" s="115" t="str">
        <x:v>EXT-MONDE-T020-V45</x:v>
      </x:c>
      <x:c r="B1000" s="115" t="str">
        <x:v>EXT-MONDE-T020</x:v>
      </x:c>
      <x:c r="C1000" s="115" t="str">
        <x:v>Littoral</x:v>
      </x:c>
      <x:c r="D1000" s="115" t="str">
        <x:v>Baie avec village côtier</x:v>
      </x:c>
      <x:c r="E1000" s="115" t="n">
        <x:v>45</x:v>
      </x:c>
      <x:c r="F1000" s="115" t="str">
        <x:v>Inspection physique</x:v>
      </x:c>
      <x:c r="G1000" s="115" t="str">
        <x:v>1 niveaux ; 32 pièces ; 248 segments de mur ; 0 transitions. Inspection physique ; architecture complète encore ouverte.</x:v>
      </x:c>
      <x:c r="H1000" s="115" t="str">
        <x:v>L 342 ; l 294 ; hauteur 4,4 m ; choix de composition auteur ; dimensions réelles à documenter</x:v>
      </x:c>
      <x:c r="I1000" s="115" t="str">
        <x:v>À équilibrer</x:v>
      </x:c>
      <x:c r="J1000" s="115" t="str">
        <x:v>Non</x:v>
      </x:c>
      <x:c r="K1000" s="115" t="str">
        <x:v>Pièces décrites, murs, portes, niveaux et mobilier inspectables à l’échelle. Volumes réservés, raccord au seed, butin, rencontres et services de campagne restent à terminer.</x:v>
      </x:c>
    </x:row>
    <x:row r="1001" ht="96" customHeight="1">
      <x:c r="A1001" s="115" t="str">
        <x:v>EXT-MONDE-T020-V46</x:v>
      </x:c>
      <x:c r="B1001" s="115" t="str">
        <x:v>EXT-MONDE-T020</x:v>
      </x:c>
      <x:c r="C1001" s="115" t="str">
        <x:v>Littoral</x:v>
      </x:c>
      <x:c r="D1001" s="115" t="str">
        <x:v>Baie avec village côtier</x:v>
      </x:c>
      <x:c r="E1001" s="115" t="n">
        <x:v>46</x:v>
      </x:c>
      <x:c r="F1001" s="115" t="str">
        <x:v>Inspection physique</x:v>
      </x:c>
      <x:c r="G1001" s="115" t="str">
        <x:v>1 niveaux ; 32 pièces ; 248 segments de mur ; 0 transitions. Inspection physique ; architecture complète encore ouverte.</x:v>
      </x:c>
      <x:c r="H1001" s="115" t="str">
        <x:v>L 342 ; l 294 ; hauteur 4,4 m ; choix de composition auteur ; dimensions réelles à documenter</x:v>
      </x:c>
      <x:c r="I1001" s="115" t="str">
        <x:v>À équilibrer</x:v>
      </x:c>
      <x:c r="J1001" s="115" t="str">
        <x:v>Non</x:v>
      </x:c>
      <x:c r="K1001" s="115" t="str">
        <x:v>Pièces décrites, murs, portes, niveaux et mobilier inspectables à l’échelle. Volumes réservés, raccord au seed, butin, rencontres et services de campagne restent à terminer.</x:v>
      </x:c>
    </x:row>
    <x:row r="1002" ht="96" customHeight="1">
      <x:c r="A1002" s="115" t="str">
        <x:v>EXT-MONDE-T020-V47</x:v>
      </x:c>
      <x:c r="B1002" s="115" t="str">
        <x:v>EXT-MONDE-T020</x:v>
      </x:c>
      <x:c r="C1002" s="115" t="str">
        <x:v>Littoral</x:v>
      </x:c>
      <x:c r="D1002" s="115" t="str">
        <x:v>Baie avec village côtier</x:v>
      </x:c>
      <x:c r="E1002" s="115" t="n">
        <x:v>47</x:v>
      </x:c>
      <x:c r="F1002" s="115" t="str">
        <x:v>Inspection physique</x:v>
      </x:c>
      <x:c r="G1002" s="115" t="str">
        <x:v>1 niveaux ; 32 pièces ; 248 segments de mur ; 0 transitions. Inspection physique ; architecture complète encore ouverte.</x:v>
      </x:c>
      <x:c r="H1002" s="115" t="str">
        <x:v>L 342 ; l 294 ; hauteur 4,4 m ; choix de composition auteur ; dimensions réelles à documenter</x:v>
      </x:c>
      <x:c r="I1002" s="115" t="str">
        <x:v>À équilibrer</x:v>
      </x:c>
      <x:c r="J1002" s="115" t="str">
        <x:v>Non</x:v>
      </x:c>
      <x:c r="K1002" s="115" t="str">
        <x:v>Pièces décrites, murs, portes, niveaux et mobilier inspectables à l’échelle. Volumes réservés, raccord au seed, butin, rencontres et services de campagne restent à terminer.</x:v>
      </x:c>
    </x:row>
    <x:row r="1003" ht="96" customHeight="1">
      <x:c r="A1003" s="115" t="str">
        <x:v>EXT-MONDE-T020-V48</x:v>
      </x:c>
      <x:c r="B1003" s="115" t="str">
        <x:v>EXT-MONDE-T020</x:v>
      </x:c>
      <x:c r="C1003" s="115" t="str">
        <x:v>Littoral</x:v>
      </x:c>
      <x:c r="D1003" s="115" t="str">
        <x:v>Baie avec village côtier</x:v>
      </x:c>
      <x:c r="E1003" s="115" t="n">
        <x:v>48</x:v>
      </x:c>
      <x:c r="F1003" s="115" t="str">
        <x:v>Inspection physique</x:v>
      </x:c>
      <x:c r="G1003" s="115" t="str">
        <x:v>1 niveaux ; 32 pièces ; 248 segments de mur ; 0 transitions. Inspection physique ; architecture complète encore ouverte.</x:v>
      </x:c>
      <x:c r="H1003" s="115" t="str">
        <x:v>L 342 ; l 294 ; hauteur 4,4 m ; choix de composition auteur ; dimensions réelles à documenter</x:v>
      </x:c>
      <x:c r="I1003" s="115" t="str">
        <x:v>À équilibrer</x:v>
      </x:c>
      <x:c r="J1003" s="115" t="str">
        <x:v>Non</x:v>
      </x:c>
      <x:c r="K1003" s="115" t="str">
        <x:v>Pièces décrites, murs, portes, niveaux et mobilier inspectables à l’échelle. Volumes réservés, raccord au seed, butin, rencontres et services de campagne restent à terminer.</x:v>
      </x:c>
    </x:row>
    <x:row r="1004" ht="96" customHeight="1">
      <x:c r="A1004" s="115" t="str">
        <x:v>EXT-MONDE-T020-V49</x:v>
      </x:c>
      <x:c r="B1004" s="115" t="str">
        <x:v>EXT-MONDE-T020</x:v>
      </x:c>
      <x:c r="C1004" s="115" t="str">
        <x:v>Littoral</x:v>
      </x:c>
      <x:c r="D1004" s="115" t="str">
        <x:v>Baie avec village côtier</x:v>
      </x:c>
      <x:c r="E1004" s="115" t="n">
        <x:v>49</x:v>
      </x:c>
      <x:c r="F1004" s="115" t="str">
        <x:v>Inspection physique</x:v>
      </x:c>
      <x:c r="G1004" s="115" t="str">
        <x:v>1 niveaux ; 32 pièces ; 248 segments de mur ; 0 transitions. Inspection physique ; architecture complète encore ouverte.</x:v>
      </x:c>
      <x:c r="H1004" s="115" t="str">
        <x:v>L 342 ; l 294 ; hauteur 4,4 m ; choix de composition auteur ; dimensions réelles à documenter</x:v>
      </x:c>
      <x:c r="I1004" s="115" t="str">
        <x:v>À équilibrer</x:v>
      </x:c>
      <x:c r="J1004" s="115" t="str">
        <x:v>Non</x:v>
      </x:c>
      <x:c r="K1004" s="115" t="str">
        <x:v>Pièces décrites, murs, portes, niveaux et mobilier inspectables à l’échelle. Volumes réservés, raccord au seed, butin, rencontres et services de campagne restent à terminer.</x:v>
      </x:c>
    </x:row>
    <x:row r="1005" ht="96" customHeight="1">
      <x:c r="A1005" s="115" t="str">
        <x:v>EXT-MONDE-T020-V50</x:v>
      </x:c>
      <x:c r="B1005" s="115" t="str">
        <x:v>EXT-MONDE-T020</x:v>
      </x:c>
      <x:c r="C1005" s="115" t="str">
        <x:v>Littoral</x:v>
      </x:c>
      <x:c r="D1005" s="115" t="str">
        <x:v>Baie avec village côtier</x:v>
      </x:c>
      <x:c r="E1005" s="115" t="n">
        <x:v>50</x:v>
      </x:c>
      <x:c r="F1005" s="115" t="str">
        <x:v>Inspection physique</x:v>
      </x:c>
      <x:c r="G1005" s="115" t="str">
        <x:v>1 niveaux ; 32 pièces ; 248 segments de mur ; 0 transitions. Inspection physique ; architecture complète encore ouverte.</x:v>
      </x:c>
      <x:c r="H1005" s="115" t="str">
        <x:v>L 342 ; l 294 ; hauteur 4,4 m ; choix de composition auteur ; dimensions réelles à documenter</x:v>
      </x:c>
      <x:c r="I1005" s="115" t="str">
        <x:v>À équilibrer</x:v>
      </x:c>
      <x:c r="J1005" s="115" t="str">
        <x:v>Non</x:v>
      </x:c>
      <x:c r="K1005" s="115" t="str">
        <x:v>Pièces décrites, murs, portes, niveaux et mobilier inspectables à l’échelle. Volumes réservés, raccord au seed, butin, rencontres et services de campagne restent à terminer.</x:v>
      </x:c>
    </x:row>
    <x:row r="1006" ht="96" customHeight="1">
      <x:c r="A1006" s="115" t="str">
        <x:v>EXT-MONDE-T021-V01</x:v>
      </x:c>
      <x:c r="B1006" s="115" t="str">
        <x:v>EXT-MONDE-T021</x:v>
      </x:c>
      <x:c r="C1006" s="115" t="str">
        <x:v>Fermes élevage</x:v>
      </x:c>
      <x:c r="D1006" s="115" t="str">
        <x:v>Ferme laitière</x:v>
      </x:c>
      <x:c r="E1006" s="115" t="n">
        <x:v>1</x:v>
      </x:c>
      <x:c r="F1006" s="115" t="str">
        <x:v>Inspection physique</x:v>
      </x:c>
      <x:c r="G1006" s="115" t="str">
        <x:v>1 niveaux ; 28 pièces ; 210 segments de mur ; 0 transitions. Inspection physique ; architecture complète encore ouverte.</x:v>
      </x:c>
      <x:c r="H1006" s="115" t="str">
        <x:v>L 260 ; l 224 ; hauteur 8,2 m ; choix de composition auteur ; dimensions réelles à documenter</x:v>
      </x:c>
      <x:c r="I1006" s="115" t="str">
        <x:v>À équilibrer</x:v>
      </x:c>
      <x:c r="J1006" s="115" t="str">
        <x:v>Non</x:v>
      </x:c>
      <x:c r="K1006" s="115" t="str">
        <x:v>Pièces décrites, murs, portes, niveaux et mobilier inspectables à l’échelle. Volumes réservés, raccord au seed, butin, rencontres et services de campagne restent à terminer.</x:v>
      </x:c>
    </x:row>
    <x:row r="1007" ht="96" customHeight="1">
      <x:c r="A1007" s="115" t="str">
        <x:v>EXT-MONDE-T021-V02</x:v>
      </x:c>
      <x:c r="B1007" s="115" t="str">
        <x:v>EXT-MONDE-T021</x:v>
      </x:c>
      <x:c r="C1007" s="115" t="str">
        <x:v>Fermes élevage</x:v>
      </x:c>
      <x:c r="D1007" s="115" t="str">
        <x:v>Ferme laitière</x:v>
      </x:c>
      <x:c r="E1007" s="115" t="n">
        <x:v>2</x:v>
      </x:c>
      <x:c r="F1007" s="115" t="str">
        <x:v>Inspection physique</x:v>
      </x:c>
      <x:c r="G1007" s="115" t="str">
        <x:v>1 niveaux ; 28 pièces ; 210 segments de mur ; 0 transitions. Inspection physique ; architecture complète encore ouverte.</x:v>
      </x:c>
      <x:c r="H1007" s="115" t="str">
        <x:v>L 260 ; l 224 ; hauteur 8,2 m ; choix de composition auteur ; dimensions réelles à documenter</x:v>
      </x:c>
      <x:c r="I1007" s="115" t="str">
        <x:v>À équilibrer</x:v>
      </x:c>
      <x:c r="J1007" s="115" t="str">
        <x:v>Non</x:v>
      </x:c>
      <x:c r="K1007" s="115" t="str">
        <x:v>Pièces décrites, murs, portes, niveaux et mobilier inspectables à l’échelle. Volumes réservés, raccord au seed, butin, rencontres et services de campagne restent à terminer.</x:v>
      </x:c>
    </x:row>
    <x:row r="1008" ht="96" customHeight="1">
      <x:c r="A1008" s="115" t="str">
        <x:v>EXT-MONDE-T021-V03</x:v>
      </x:c>
      <x:c r="B1008" s="115" t="str">
        <x:v>EXT-MONDE-T021</x:v>
      </x:c>
      <x:c r="C1008" s="115" t="str">
        <x:v>Fermes élevage</x:v>
      </x:c>
      <x:c r="D1008" s="115" t="str">
        <x:v>Ferme laitière</x:v>
      </x:c>
      <x:c r="E1008" s="115" t="n">
        <x:v>3</x:v>
      </x:c>
      <x:c r="F1008" s="115" t="str">
        <x:v>Inspection physique</x:v>
      </x:c>
      <x:c r="G1008" s="115" t="str">
        <x:v>1 niveaux ; 28 pièces ; 210 segments de mur ; 0 transitions. Inspection physique ; architecture complète encore ouverte.</x:v>
      </x:c>
      <x:c r="H1008" s="115" t="str">
        <x:v>L 260 ; l 224 ; hauteur 8,2 m ; choix de composition auteur ; dimensions réelles à documenter</x:v>
      </x:c>
      <x:c r="I1008" s="115" t="str">
        <x:v>À équilibrer</x:v>
      </x:c>
      <x:c r="J1008" s="115" t="str">
        <x:v>Non</x:v>
      </x:c>
      <x:c r="K1008" s="115" t="str">
        <x:v>Pièces décrites, murs, portes, niveaux et mobilier inspectables à l’échelle. Volumes réservés, raccord au seed, butin, rencontres et services de campagne restent à terminer.</x:v>
      </x:c>
    </x:row>
    <x:row r="1009" ht="96" customHeight="1">
      <x:c r="A1009" s="115" t="str">
        <x:v>EXT-MONDE-T021-V04</x:v>
      </x:c>
      <x:c r="B1009" s="115" t="str">
        <x:v>EXT-MONDE-T021</x:v>
      </x:c>
      <x:c r="C1009" s="115" t="str">
        <x:v>Fermes élevage</x:v>
      </x:c>
      <x:c r="D1009" s="115" t="str">
        <x:v>Ferme laitière</x:v>
      </x:c>
      <x:c r="E1009" s="115" t="n">
        <x:v>4</x:v>
      </x:c>
      <x:c r="F1009" s="115" t="str">
        <x:v>Inspection physique</x:v>
      </x:c>
      <x:c r="G1009" s="115" t="str">
        <x:v>1 niveaux ; 28 pièces ; 210 segments de mur ; 0 transitions. Inspection physique ; architecture complète encore ouverte.</x:v>
      </x:c>
      <x:c r="H1009" s="115" t="str">
        <x:v>L 260 ; l 224 ; hauteur 8,2 m ; choix de composition auteur ; dimensions réelles à documenter</x:v>
      </x:c>
      <x:c r="I1009" s="115" t="str">
        <x:v>À équilibrer</x:v>
      </x:c>
      <x:c r="J1009" s="115" t="str">
        <x:v>Non</x:v>
      </x:c>
      <x:c r="K1009" s="115" t="str">
        <x:v>Pièces décrites, murs, portes, niveaux et mobilier inspectables à l’échelle. Volumes réservés, raccord au seed, butin, rencontres et services de campagne restent à terminer.</x:v>
      </x:c>
    </x:row>
    <x:row r="1010" ht="96" customHeight="1">
      <x:c r="A1010" s="115" t="str">
        <x:v>EXT-MONDE-T021-V05</x:v>
      </x:c>
      <x:c r="B1010" s="115" t="str">
        <x:v>EXT-MONDE-T021</x:v>
      </x:c>
      <x:c r="C1010" s="115" t="str">
        <x:v>Fermes élevage</x:v>
      </x:c>
      <x:c r="D1010" s="115" t="str">
        <x:v>Ferme laitière</x:v>
      </x:c>
      <x:c r="E1010" s="115" t="n">
        <x:v>5</x:v>
      </x:c>
      <x:c r="F1010" s="115" t="str">
        <x:v>Inspection physique</x:v>
      </x:c>
      <x:c r="G1010" s="115" t="str">
        <x:v>1 niveaux ; 28 pièces ; 210 segments de mur ; 0 transitions. Inspection physique ; architecture complète encore ouverte.</x:v>
      </x:c>
      <x:c r="H1010" s="115" t="str">
        <x:v>L 260 ; l 224 ; hauteur 8,2 m ; choix de composition auteur ; dimensions réelles à documenter</x:v>
      </x:c>
      <x:c r="I1010" s="115" t="str">
        <x:v>À équilibrer</x:v>
      </x:c>
      <x:c r="J1010" s="115" t="str">
        <x:v>Non</x:v>
      </x:c>
      <x:c r="K1010" s="115" t="str">
        <x:v>Pièces décrites, murs, portes, niveaux et mobilier inspectables à l’échelle. Volumes réservés, raccord au seed, butin, rencontres et services de campagne restent à terminer.</x:v>
      </x:c>
    </x:row>
    <x:row r="1011" ht="96" customHeight="1">
      <x:c r="A1011" s="115" t="str">
        <x:v>EXT-MONDE-T021-V06</x:v>
      </x:c>
      <x:c r="B1011" s="115" t="str">
        <x:v>EXT-MONDE-T021</x:v>
      </x:c>
      <x:c r="C1011" s="115" t="str">
        <x:v>Fermes élevage</x:v>
      </x:c>
      <x:c r="D1011" s="115" t="str">
        <x:v>Ferme laitière</x:v>
      </x:c>
      <x:c r="E1011" s="115" t="n">
        <x:v>6</x:v>
      </x:c>
      <x:c r="F1011" s="115" t="str">
        <x:v>Inspection physique</x:v>
      </x:c>
      <x:c r="G1011" s="115" t="str">
        <x:v>1 niveaux ; 28 pièces ; 210 segments de mur ; 0 transitions. Inspection physique ; architecture complète encore ouverte.</x:v>
      </x:c>
      <x:c r="H1011" s="115" t="str">
        <x:v>L 260 ; l 224 ; hauteur 8,2 m ; choix de composition auteur ; dimensions réelles à documenter</x:v>
      </x:c>
      <x:c r="I1011" s="115" t="str">
        <x:v>À équilibrer</x:v>
      </x:c>
      <x:c r="J1011" s="115" t="str">
        <x:v>Non</x:v>
      </x:c>
      <x:c r="K1011" s="115" t="str">
        <x:v>Pièces décrites, murs, portes, niveaux et mobilier inspectables à l’échelle. Volumes réservés, raccord au seed, butin, rencontres et services de campagne restent à terminer.</x:v>
      </x:c>
    </x:row>
    <x:row r="1012" ht="96" customHeight="1">
      <x:c r="A1012" s="115" t="str">
        <x:v>EXT-MONDE-T021-V07</x:v>
      </x:c>
      <x:c r="B1012" s="115" t="str">
        <x:v>EXT-MONDE-T021</x:v>
      </x:c>
      <x:c r="C1012" s="115" t="str">
        <x:v>Fermes élevage</x:v>
      </x:c>
      <x:c r="D1012" s="115" t="str">
        <x:v>Ferme laitière</x:v>
      </x:c>
      <x:c r="E1012" s="115" t="n">
        <x:v>7</x:v>
      </x:c>
      <x:c r="F1012" s="115" t="str">
        <x:v>Inspection physique</x:v>
      </x:c>
      <x:c r="G1012" s="115" t="str">
        <x:v>1 niveaux ; 28 pièces ; 210 segments de mur ; 0 transitions. Inspection physique ; architecture complète encore ouverte.</x:v>
      </x:c>
      <x:c r="H1012" s="115" t="str">
        <x:v>L 260 ; l 224 ; hauteur 8,2 m ; choix de composition auteur ; dimensions réelles à documenter</x:v>
      </x:c>
      <x:c r="I1012" s="115" t="str">
        <x:v>À équilibrer</x:v>
      </x:c>
      <x:c r="J1012" s="115" t="str">
        <x:v>Non</x:v>
      </x:c>
      <x:c r="K1012" s="115" t="str">
        <x:v>Pièces décrites, murs, portes, niveaux et mobilier inspectables à l’échelle. Volumes réservés, raccord au seed, butin, rencontres et services de campagne restent à terminer.</x:v>
      </x:c>
    </x:row>
    <x:row r="1013" ht="96" customHeight="1">
      <x:c r="A1013" s="115" t="str">
        <x:v>EXT-MONDE-T021-V08</x:v>
      </x:c>
      <x:c r="B1013" s="115" t="str">
        <x:v>EXT-MONDE-T021</x:v>
      </x:c>
      <x:c r="C1013" s="115" t="str">
        <x:v>Fermes élevage</x:v>
      </x:c>
      <x:c r="D1013" s="115" t="str">
        <x:v>Ferme laitière</x:v>
      </x:c>
      <x:c r="E1013" s="115" t="n">
        <x:v>8</x:v>
      </x:c>
      <x:c r="F1013" s="115" t="str">
        <x:v>Inspection physique</x:v>
      </x:c>
      <x:c r="G1013" s="115" t="str">
        <x:v>1 niveaux ; 28 pièces ; 210 segments de mur ; 0 transitions. Inspection physique ; architecture complète encore ouverte.</x:v>
      </x:c>
      <x:c r="H1013" s="115" t="str">
        <x:v>L 260 ; l 224 ; hauteur 8,2 m ; choix de composition auteur ; dimensions réelles à documenter</x:v>
      </x:c>
      <x:c r="I1013" s="115" t="str">
        <x:v>À équilibrer</x:v>
      </x:c>
      <x:c r="J1013" s="115" t="str">
        <x:v>Non</x:v>
      </x:c>
      <x:c r="K1013" s="115" t="str">
        <x:v>Pièces décrites, murs, portes, niveaux et mobilier inspectables à l’échelle. Volumes réservés, raccord au seed, butin, rencontres et services de campagne restent à terminer.</x:v>
      </x:c>
    </x:row>
    <x:row r="1014" ht="96" customHeight="1">
      <x:c r="A1014" s="115" t="str">
        <x:v>EXT-MONDE-T021-V09</x:v>
      </x:c>
      <x:c r="B1014" s="115" t="str">
        <x:v>EXT-MONDE-T021</x:v>
      </x:c>
      <x:c r="C1014" s="115" t="str">
        <x:v>Fermes élevage</x:v>
      </x:c>
      <x:c r="D1014" s="115" t="str">
        <x:v>Ferme laitière</x:v>
      </x:c>
      <x:c r="E1014" s="115" t="n">
        <x:v>9</x:v>
      </x:c>
      <x:c r="F1014" s="115" t="str">
        <x:v>Inspection physique</x:v>
      </x:c>
      <x:c r="G1014" s="115" t="str">
        <x:v>1 niveaux ; 28 pièces ; 210 segments de mur ; 0 transitions. Inspection physique ; architecture complète encore ouverte.</x:v>
      </x:c>
      <x:c r="H1014" s="115" t="str">
        <x:v>L 260 ; l 224 ; hauteur 8,2 m ; choix de composition auteur ; dimensions réelles à documenter</x:v>
      </x:c>
      <x:c r="I1014" s="115" t="str">
        <x:v>À équilibrer</x:v>
      </x:c>
      <x:c r="J1014" s="115" t="str">
        <x:v>Non</x:v>
      </x:c>
      <x:c r="K1014" s="115" t="str">
        <x:v>Pièces décrites, murs, portes, niveaux et mobilier inspectables à l’échelle. Volumes réservés, raccord au seed, butin, rencontres et services de campagne restent à terminer.</x:v>
      </x:c>
    </x:row>
    <x:row r="1015" ht="96" customHeight="1">
      <x:c r="A1015" s="115" t="str">
        <x:v>EXT-MONDE-T021-V10</x:v>
      </x:c>
      <x:c r="B1015" s="115" t="str">
        <x:v>EXT-MONDE-T021</x:v>
      </x:c>
      <x:c r="C1015" s="115" t="str">
        <x:v>Fermes élevage</x:v>
      </x:c>
      <x:c r="D1015" s="115" t="str">
        <x:v>Ferme laitière</x:v>
      </x:c>
      <x:c r="E1015" s="115" t="n">
        <x:v>10</x:v>
      </x:c>
      <x:c r="F1015" s="115" t="str">
        <x:v>Inspection physique</x:v>
      </x:c>
      <x:c r="G1015" s="115" t="str">
        <x:v>1 niveaux ; 28 pièces ; 210 segments de mur ; 0 transitions. Inspection physique ; architecture complète encore ouverte.</x:v>
      </x:c>
      <x:c r="H1015" s="115" t="str">
        <x:v>L 260 ; l 224 ; hauteur 8,2 m ; choix de composition auteur ; dimensions réelles à documenter</x:v>
      </x:c>
      <x:c r="I1015" s="115" t="str">
        <x:v>À équilibrer</x:v>
      </x:c>
      <x:c r="J1015" s="115" t="str">
        <x:v>Non</x:v>
      </x:c>
      <x:c r="K1015" s="115" t="str">
        <x:v>Pièces décrites, murs, portes, niveaux et mobilier inspectables à l’échelle. Volumes réservés, raccord au seed, butin, rencontres et services de campagne restent à terminer.</x:v>
      </x:c>
    </x:row>
    <x:row r="1016" ht="96" customHeight="1">
      <x:c r="A1016" s="115" t="str">
        <x:v>EXT-MONDE-T021-V11</x:v>
      </x:c>
      <x:c r="B1016" s="115" t="str">
        <x:v>EXT-MONDE-T021</x:v>
      </x:c>
      <x:c r="C1016" s="115" t="str">
        <x:v>Fermes élevage</x:v>
      </x:c>
      <x:c r="D1016" s="115" t="str">
        <x:v>Ferme laitière</x:v>
      </x:c>
      <x:c r="E1016" s="115" t="n">
        <x:v>11</x:v>
      </x:c>
      <x:c r="F1016" s="115" t="str">
        <x:v>Inspection physique</x:v>
      </x:c>
      <x:c r="G1016" s="115" t="str">
        <x:v>1 niveaux ; 28 pièces ; 210 segments de mur ; 0 transitions. Inspection physique ; architecture complète encore ouverte.</x:v>
      </x:c>
      <x:c r="H1016" s="115" t="str">
        <x:v>L 280 ; l 248 ; hauteur 8,2 m ; choix de composition auteur ; dimensions réelles à documenter</x:v>
      </x:c>
      <x:c r="I1016" s="115" t="str">
        <x:v>À équilibrer</x:v>
      </x:c>
      <x:c r="J1016" s="115" t="str">
        <x:v>Non</x:v>
      </x:c>
      <x:c r="K1016" s="115" t="str">
        <x:v>Pièces décrites, murs, portes, niveaux et mobilier inspectables à l’échelle. Volumes réservés, raccord au seed, butin, rencontres et services de campagne restent à terminer.</x:v>
      </x:c>
    </x:row>
    <x:row r="1017" ht="96" customHeight="1">
      <x:c r="A1017" s="115" t="str">
        <x:v>EXT-MONDE-T021-V12</x:v>
      </x:c>
      <x:c r="B1017" s="115" t="str">
        <x:v>EXT-MONDE-T021</x:v>
      </x:c>
      <x:c r="C1017" s="115" t="str">
        <x:v>Fermes élevage</x:v>
      </x:c>
      <x:c r="D1017" s="115" t="str">
        <x:v>Ferme laitière</x:v>
      </x:c>
      <x:c r="E1017" s="115" t="n">
        <x:v>12</x:v>
      </x:c>
      <x:c r="F1017" s="115" t="str">
        <x:v>Inspection physique</x:v>
      </x:c>
      <x:c r="G1017" s="115" t="str">
        <x:v>1 niveaux ; 28 pièces ; 210 segments de mur ; 0 transitions. Inspection physique ; architecture complète encore ouverte.</x:v>
      </x:c>
      <x:c r="H1017" s="115" t="str">
        <x:v>L 280 ; l 248 ; hauteur 8,2 m ; choix de composition auteur ; dimensions réelles à documenter</x:v>
      </x:c>
      <x:c r="I1017" s="115" t="str">
        <x:v>À équilibrer</x:v>
      </x:c>
      <x:c r="J1017" s="115" t="str">
        <x:v>Non</x:v>
      </x:c>
      <x:c r="K1017" s="115" t="str">
        <x:v>Pièces décrites, murs, portes, niveaux et mobilier inspectables à l’échelle. Volumes réservés, raccord au seed, butin, rencontres et services de campagne restent à terminer.</x:v>
      </x:c>
    </x:row>
    <x:row r="1018" ht="96" customHeight="1">
      <x:c r="A1018" s="115" t="str">
        <x:v>EXT-MONDE-T021-V13</x:v>
      </x:c>
      <x:c r="B1018" s="115" t="str">
        <x:v>EXT-MONDE-T021</x:v>
      </x:c>
      <x:c r="C1018" s="115" t="str">
        <x:v>Fermes élevage</x:v>
      </x:c>
      <x:c r="D1018" s="115" t="str">
        <x:v>Ferme laitière</x:v>
      </x:c>
      <x:c r="E1018" s="115" t="n">
        <x:v>13</x:v>
      </x:c>
      <x:c r="F1018" s="115" t="str">
        <x:v>Inspection physique</x:v>
      </x:c>
      <x:c r="G1018" s="115" t="str">
        <x:v>1 niveaux ; 28 pièces ; 210 segments de mur ; 0 transitions. Inspection physique ; architecture complète encore ouverte.</x:v>
      </x:c>
      <x:c r="H1018" s="115" t="str">
        <x:v>L 280 ; l 248 ; hauteur 8,2 m ; choix de composition auteur ; dimensions réelles à documenter</x:v>
      </x:c>
      <x:c r="I1018" s="115" t="str">
        <x:v>À équilibrer</x:v>
      </x:c>
      <x:c r="J1018" s="115" t="str">
        <x:v>Non</x:v>
      </x:c>
      <x:c r="K1018" s="115" t="str">
        <x:v>Pièces décrites, murs, portes, niveaux et mobilier inspectables à l’échelle. Volumes réservés, raccord au seed, butin, rencontres et services de campagne restent à terminer.</x:v>
      </x:c>
    </x:row>
    <x:row r="1019" ht="96" customHeight="1">
      <x:c r="A1019" s="115" t="str">
        <x:v>EXT-MONDE-T021-V14</x:v>
      </x:c>
      <x:c r="B1019" s="115" t="str">
        <x:v>EXT-MONDE-T021</x:v>
      </x:c>
      <x:c r="C1019" s="115" t="str">
        <x:v>Fermes élevage</x:v>
      </x:c>
      <x:c r="D1019" s="115" t="str">
        <x:v>Ferme laitière</x:v>
      </x:c>
      <x:c r="E1019" s="115" t="n">
        <x:v>14</x:v>
      </x:c>
      <x:c r="F1019" s="115" t="str">
        <x:v>Inspection physique</x:v>
      </x:c>
      <x:c r="G1019" s="115" t="str">
        <x:v>1 niveaux ; 28 pièces ; 210 segments de mur ; 0 transitions. Inspection physique ; architecture complète encore ouverte.</x:v>
      </x:c>
      <x:c r="H1019" s="115" t="str">
        <x:v>L 280 ; l 248 ; hauteur 8,2 m ; choix de composition auteur ; dimensions réelles à documenter</x:v>
      </x:c>
      <x:c r="I1019" s="115" t="str">
        <x:v>À équilibrer</x:v>
      </x:c>
      <x:c r="J1019" s="115" t="str">
        <x:v>Non</x:v>
      </x:c>
      <x:c r="K1019" s="115" t="str">
        <x:v>Pièces décrites, murs, portes, niveaux et mobilier inspectables à l’échelle. Volumes réservés, raccord au seed, butin, rencontres et services de campagne restent à terminer.</x:v>
      </x:c>
    </x:row>
    <x:row r="1020" ht="96" customHeight="1">
      <x:c r="A1020" s="115" t="str">
        <x:v>EXT-MONDE-T021-V15</x:v>
      </x:c>
      <x:c r="B1020" s="115" t="str">
        <x:v>EXT-MONDE-T021</x:v>
      </x:c>
      <x:c r="C1020" s="115" t="str">
        <x:v>Fermes élevage</x:v>
      </x:c>
      <x:c r="D1020" s="115" t="str">
        <x:v>Ferme laitière</x:v>
      </x:c>
      <x:c r="E1020" s="115" t="n">
        <x:v>15</x:v>
      </x:c>
      <x:c r="F1020" s="115" t="str">
        <x:v>Inspection physique</x:v>
      </x:c>
      <x:c r="G1020" s="115" t="str">
        <x:v>1 niveaux ; 28 pièces ; 210 segments de mur ; 0 transitions. Inspection physique ; architecture complète encore ouverte.</x:v>
      </x:c>
      <x:c r="H1020" s="115" t="str">
        <x:v>L 280 ; l 248 ; hauteur 8,2 m ; choix de composition auteur ; dimensions réelles à documenter</x:v>
      </x:c>
      <x:c r="I1020" s="115" t="str">
        <x:v>À équilibrer</x:v>
      </x:c>
      <x:c r="J1020" s="115" t="str">
        <x:v>Non</x:v>
      </x:c>
      <x:c r="K1020" s="115" t="str">
        <x:v>Pièces décrites, murs, portes, niveaux et mobilier inspectables à l’échelle. Volumes réservés, raccord au seed, butin, rencontres et services de campagne restent à terminer.</x:v>
      </x:c>
    </x:row>
    <x:row r="1021" ht="96" customHeight="1">
      <x:c r="A1021" s="115" t="str">
        <x:v>EXT-MONDE-T021-V16</x:v>
      </x:c>
      <x:c r="B1021" s="115" t="str">
        <x:v>EXT-MONDE-T021</x:v>
      </x:c>
      <x:c r="C1021" s="115" t="str">
        <x:v>Fermes élevage</x:v>
      </x:c>
      <x:c r="D1021" s="115" t="str">
        <x:v>Ferme laitière</x:v>
      </x:c>
      <x:c r="E1021" s="115" t="n">
        <x:v>16</x:v>
      </x:c>
      <x:c r="F1021" s="115" t="str">
        <x:v>Inspection physique</x:v>
      </x:c>
      <x:c r="G1021" s="115" t="str">
        <x:v>1 niveaux ; 28 pièces ; 210 segments de mur ; 0 transitions. Inspection physique ; architecture complète encore ouverte.</x:v>
      </x:c>
      <x:c r="H1021" s="115" t="str">
        <x:v>L 280 ; l 248 ; hauteur 8,2 m ; choix de composition auteur ; dimensions réelles à documenter</x:v>
      </x:c>
      <x:c r="I1021" s="115" t="str">
        <x:v>À équilibrer</x:v>
      </x:c>
      <x:c r="J1021" s="115" t="str">
        <x:v>Non</x:v>
      </x:c>
      <x:c r="K1021" s="115" t="str">
        <x:v>Pièces décrites, murs, portes, niveaux et mobilier inspectables à l’échelle. Volumes réservés, raccord au seed, butin, rencontres et services de campagne restent à terminer.</x:v>
      </x:c>
    </x:row>
    <x:row r="1022" ht="96" customHeight="1">
      <x:c r="A1022" s="115" t="str">
        <x:v>EXT-MONDE-T021-V17</x:v>
      </x:c>
      <x:c r="B1022" s="115" t="str">
        <x:v>EXT-MONDE-T021</x:v>
      </x:c>
      <x:c r="C1022" s="115" t="str">
        <x:v>Fermes élevage</x:v>
      </x:c>
      <x:c r="D1022" s="115" t="str">
        <x:v>Ferme laitière</x:v>
      </x:c>
      <x:c r="E1022" s="115" t="n">
        <x:v>17</x:v>
      </x:c>
      <x:c r="F1022" s="115" t="str">
        <x:v>Inspection physique</x:v>
      </x:c>
      <x:c r="G1022" s="115" t="str">
        <x:v>1 niveaux ; 28 pièces ; 210 segments de mur ; 0 transitions. Inspection physique ; architecture complète encore ouverte.</x:v>
      </x:c>
      <x:c r="H1022" s="115" t="str">
        <x:v>L 280 ; l 248 ; hauteur 8,2 m ; choix de composition auteur ; dimensions réelles à documenter</x:v>
      </x:c>
      <x:c r="I1022" s="115" t="str">
        <x:v>À équilibrer</x:v>
      </x:c>
      <x:c r="J1022" s="115" t="str">
        <x:v>Non</x:v>
      </x:c>
      <x:c r="K1022" s="115" t="str">
        <x:v>Pièces décrites, murs, portes, niveaux et mobilier inspectables à l’échelle. Volumes réservés, raccord au seed, butin, rencontres et services de campagne restent à terminer.</x:v>
      </x:c>
    </x:row>
    <x:row r="1023" ht="96" customHeight="1">
      <x:c r="A1023" s="115" t="str">
        <x:v>EXT-MONDE-T021-V18</x:v>
      </x:c>
      <x:c r="B1023" s="115" t="str">
        <x:v>EXT-MONDE-T021</x:v>
      </x:c>
      <x:c r="C1023" s="115" t="str">
        <x:v>Fermes élevage</x:v>
      </x:c>
      <x:c r="D1023" s="115" t="str">
        <x:v>Ferme laitière</x:v>
      </x:c>
      <x:c r="E1023" s="115" t="n">
        <x:v>18</x:v>
      </x:c>
      <x:c r="F1023" s="115" t="str">
        <x:v>Inspection physique</x:v>
      </x:c>
      <x:c r="G1023" s="115" t="str">
        <x:v>1 niveaux ; 28 pièces ; 210 segments de mur ; 0 transitions. Inspection physique ; architecture complète encore ouverte.</x:v>
      </x:c>
      <x:c r="H1023" s="115" t="str">
        <x:v>L 280 ; l 248 ; hauteur 8,2 m ; choix de composition auteur ; dimensions réelles à documenter</x:v>
      </x:c>
      <x:c r="I1023" s="115" t="str">
        <x:v>À équilibrer</x:v>
      </x:c>
      <x:c r="J1023" s="115" t="str">
        <x:v>Non</x:v>
      </x:c>
      <x:c r="K1023" s="115" t="str">
        <x:v>Pièces décrites, murs, portes, niveaux et mobilier inspectables à l’échelle. Volumes réservés, raccord au seed, butin, rencontres et services de campagne restent à terminer.</x:v>
      </x:c>
    </x:row>
    <x:row r="1024" ht="96" customHeight="1">
      <x:c r="A1024" s="115" t="str">
        <x:v>EXT-MONDE-T021-V19</x:v>
      </x:c>
      <x:c r="B1024" s="115" t="str">
        <x:v>EXT-MONDE-T021</x:v>
      </x:c>
      <x:c r="C1024" s="115" t="str">
        <x:v>Fermes élevage</x:v>
      </x:c>
      <x:c r="D1024" s="115" t="str">
        <x:v>Ferme laitière</x:v>
      </x:c>
      <x:c r="E1024" s="115" t="n">
        <x:v>19</x:v>
      </x:c>
      <x:c r="F1024" s="115" t="str">
        <x:v>Inspection physique</x:v>
      </x:c>
      <x:c r="G1024" s="115" t="str">
        <x:v>1 niveaux ; 28 pièces ; 210 segments de mur ; 0 transitions. Inspection physique ; architecture complète encore ouverte.</x:v>
      </x:c>
      <x:c r="H1024" s="115" t="str">
        <x:v>L 280 ; l 248 ; hauteur 8,2 m ; choix de composition auteur ; dimensions réelles à documenter</x:v>
      </x:c>
      <x:c r="I1024" s="115" t="str">
        <x:v>À équilibrer</x:v>
      </x:c>
      <x:c r="J1024" s="115" t="str">
        <x:v>Non</x:v>
      </x:c>
      <x:c r="K1024" s="115" t="str">
        <x:v>Pièces décrites, murs, portes, niveaux et mobilier inspectables à l’échelle. Volumes réservés, raccord au seed, butin, rencontres et services de campagne restent à terminer.</x:v>
      </x:c>
    </x:row>
    <x:row r="1025" ht="96" customHeight="1">
      <x:c r="A1025" s="115" t="str">
        <x:v>EXT-MONDE-T021-V20</x:v>
      </x:c>
      <x:c r="B1025" s="115" t="str">
        <x:v>EXT-MONDE-T021</x:v>
      </x:c>
      <x:c r="C1025" s="115" t="str">
        <x:v>Fermes élevage</x:v>
      </x:c>
      <x:c r="D1025" s="115" t="str">
        <x:v>Ferme laitière</x:v>
      </x:c>
      <x:c r="E1025" s="115" t="n">
        <x:v>20</x:v>
      </x:c>
      <x:c r="F1025" s="115" t="str">
        <x:v>Inspection physique</x:v>
      </x:c>
      <x:c r="G1025" s="115" t="str">
        <x:v>1 niveaux ; 28 pièces ; 210 segments de mur ; 0 transitions. Inspection physique ; architecture complète encore ouverte.</x:v>
      </x:c>
      <x:c r="H1025" s="115" t="str">
        <x:v>L 280 ; l 248 ; hauteur 8,2 m ; choix de composition auteur ; dimensions réelles à documenter</x:v>
      </x:c>
      <x:c r="I1025" s="115" t="str">
        <x:v>À équilibrer</x:v>
      </x:c>
      <x:c r="J1025" s="115" t="str">
        <x:v>Non</x:v>
      </x:c>
      <x:c r="K1025" s="115" t="str">
        <x:v>Pièces décrites, murs, portes, niveaux et mobilier inspectables à l’échelle. Volumes réservés, raccord au seed, butin, rencontres et services de campagne restent à terminer.</x:v>
      </x:c>
    </x:row>
    <x:row r="1026" ht="96" customHeight="1">
      <x:c r="A1026" s="115" t="str">
        <x:v>EXT-MONDE-T021-V21</x:v>
      </x:c>
      <x:c r="B1026" s="115" t="str">
        <x:v>EXT-MONDE-T021</x:v>
      </x:c>
      <x:c r="C1026" s="115" t="str">
        <x:v>Fermes élevage</x:v>
      </x:c>
      <x:c r="D1026" s="115" t="str">
        <x:v>Ferme laitière</x:v>
      </x:c>
      <x:c r="E1026" s="115" t="n">
        <x:v>21</x:v>
      </x:c>
      <x:c r="F1026" s="115" t="str">
        <x:v>Inspection physique</x:v>
      </x:c>
      <x:c r="G1026" s="115" t="str">
        <x:v>1 niveaux ; 28 pièces ; 210 segments de mur ; 0 transitions. Inspection physique ; architecture complète encore ouverte.</x:v>
      </x:c>
      <x:c r="H1026" s="115" t="str">
        <x:v>L 300 ; l 272 ; hauteur 8,2 m ; choix de composition auteur ; dimensions réelles à documenter</x:v>
      </x:c>
      <x:c r="I1026" s="115" t="str">
        <x:v>À équilibrer</x:v>
      </x:c>
      <x:c r="J1026" s="115" t="str">
        <x:v>Non</x:v>
      </x:c>
      <x:c r="K1026" s="115" t="str">
        <x:v>Pièces décrites, murs, portes, niveaux et mobilier inspectables à l’échelle. Volumes réservés, raccord au seed, butin, rencontres et services de campagne restent à terminer.</x:v>
      </x:c>
    </x:row>
    <x:row r="1027" ht="96" customHeight="1">
      <x:c r="A1027" s="115" t="str">
        <x:v>EXT-MONDE-T021-V22</x:v>
      </x:c>
      <x:c r="B1027" s="115" t="str">
        <x:v>EXT-MONDE-T021</x:v>
      </x:c>
      <x:c r="C1027" s="115" t="str">
        <x:v>Fermes élevage</x:v>
      </x:c>
      <x:c r="D1027" s="115" t="str">
        <x:v>Ferme laitière</x:v>
      </x:c>
      <x:c r="E1027" s="115" t="n">
        <x:v>22</x:v>
      </x:c>
      <x:c r="F1027" s="115" t="str">
        <x:v>Inspection physique</x:v>
      </x:c>
      <x:c r="G1027" s="115" t="str">
        <x:v>1 niveaux ; 28 pièces ; 210 segments de mur ; 0 transitions. Inspection physique ; architecture complète encore ouverte.</x:v>
      </x:c>
      <x:c r="H1027" s="115" t="str">
        <x:v>L 300 ; l 272 ; hauteur 8,2 m ; choix de composition auteur ; dimensions réelles à documenter</x:v>
      </x:c>
      <x:c r="I1027" s="115" t="str">
        <x:v>À équilibrer</x:v>
      </x:c>
      <x:c r="J1027" s="115" t="str">
        <x:v>Non</x:v>
      </x:c>
      <x:c r="K1027" s="115" t="str">
        <x:v>Pièces décrites, murs, portes, niveaux et mobilier inspectables à l’échelle. Volumes réservés, raccord au seed, butin, rencontres et services de campagne restent à terminer.</x:v>
      </x:c>
    </x:row>
    <x:row r="1028" ht="96" customHeight="1">
      <x:c r="A1028" s="115" t="str">
        <x:v>EXT-MONDE-T021-V23</x:v>
      </x:c>
      <x:c r="B1028" s="115" t="str">
        <x:v>EXT-MONDE-T021</x:v>
      </x:c>
      <x:c r="C1028" s="115" t="str">
        <x:v>Fermes élevage</x:v>
      </x:c>
      <x:c r="D1028" s="115" t="str">
        <x:v>Ferme laitière</x:v>
      </x:c>
      <x:c r="E1028" s="115" t="n">
        <x:v>23</x:v>
      </x:c>
      <x:c r="F1028" s="115" t="str">
        <x:v>Inspection physique</x:v>
      </x:c>
      <x:c r="G1028" s="115" t="str">
        <x:v>1 niveaux ; 28 pièces ; 210 segments de mur ; 0 transitions. Inspection physique ; architecture complète encore ouverte.</x:v>
      </x:c>
      <x:c r="H1028" s="115" t="str">
        <x:v>L 300 ; l 272 ; hauteur 8,2 m ; choix de composition auteur ; dimensions réelles à documenter</x:v>
      </x:c>
      <x:c r="I1028" s="115" t="str">
        <x:v>À équilibrer</x:v>
      </x:c>
      <x:c r="J1028" s="115" t="str">
        <x:v>Non</x:v>
      </x:c>
      <x:c r="K1028" s="115" t="str">
        <x:v>Pièces décrites, murs, portes, niveaux et mobilier inspectables à l’échelle. Volumes réservés, raccord au seed, butin, rencontres et services de campagne restent à terminer.</x:v>
      </x:c>
    </x:row>
    <x:row r="1029" ht="96" customHeight="1">
      <x:c r="A1029" s="115" t="str">
        <x:v>EXT-MONDE-T021-V24</x:v>
      </x:c>
      <x:c r="B1029" s="115" t="str">
        <x:v>EXT-MONDE-T021</x:v>
      </x:c>
      <x:c r="C1029" s="115" t="str">
        <x:v>Fermes élevage</x:v>
      </x:c>
      <x:c r="D1029" s="115" t="str">
        <x:v>Ferme laitière</x:v>
      </x:c>
      <x:c r="E1029" s="115" t="n">
        <x:v>24</x:v>
      </x:c>
      <x:c r="F1029" s="115" t="str">
        <x:v>Inspection physique</x:v>
      </x:c>
      <x:c r="G1029" s="115" t="str">
        <x:v>1 niveaux ; 28 pièces ; 210 segments de mur ; 0 transitions. Inspection physique ; architecture complète encore ouverte.</x:v>
      </x:c>
      <x:c r="H1029" s="115" t="str">
        <x:v>L 300 ; l 272 ; hauteur 8,2 m ; choix de composition auteur ; dimensions réelles à documenter</x:v>
      </x:c>
      <x:c r="I1029" s="115" t="str">
        <x:v>À équilibrer</x:v>
      </x:c>
      <x:c r="J1029" s="115" t="str">
        <x:v>Non</x:v>
      </x:c>
      <x:c r="K1029" s="115" t="str">
        <x:v>Pièces décrites, murs, portes, niveaux et mobilier inspectables à l’échelle. Volumes réservés, raccord au seed, butin, rencontres et services de campagne restent à terminer.</x:v>
      </x:c>
    </x:row>
    <x:row r="1030" ht="96" customHeight="1">
      <x:c r="A1030" s="115" t="str">
        <x:v>EXT-MONDE-T021-V25</x:v>
      </x:c>
      <x:c r="B1030" s="115" t="str">
        <x:v>EXT-MONDE-T021</x:v>
      </x:c>
      <x:c r="C1030" s="115" t="str">
        <x:v>Fermes élevage</x:v>
      </x:c>
      <x:c r="D1030" s="115" t="str">
        <x:v>Ferme laitière</x:v>
      </x:c>
      <x:c r="E1030" s="115" t="n">
        <x:v>25</x:v>
      </x:c>
      <x:c r="F1030" s="115" t="str">
        <x:v>Inspection physique</x:v>
      </x:c>
      <x:c r="G1030" s="115" t="str">
        <x:v>1 niveaux ; 28 pièces ; 210 segments de mur ; 0 transitions. Inspection physique ; architecture complète encore ouverte.</x:v>
      </x:c>
      <x:c r="H1030" s="115" t="str">
        <x:v>L 300 ; l 272 ; hauteur 8,2 m ; choix de composition auteur ; dimensions réelles à documenter</x:v>
      </x:c>
      <x:c r="I1030" s="115" t="str">
        <x:v>À équilibrer</x:v>
      </x:c>
      <x:c r="J1030" s="115" t="str">
        <x:v>Non</x:v>
      </x:c>
      <x:c r="K1030" s="115" t="str">
        <x:v>Pièces décrites, murs, portes, niveaux et mobilier inspectables à l’échelle. Volumes réservés, raccord au seed, butin, rencontres et services de campagne restent à terminer.</x:v>
      </x:c>
    </x:row>
    <x:row r="1031" ht="96" customHeight="1">
      <x:c r="A1031" s="115" t="str">
        <x:v>EXT-MONDE-T021-V26</x:v>
      </x:c>
      <x:c r="B1031" s="115" t="str">
        <x:v>EXT-MONDE-T021</x:v>
      </x:c>
      <x:c r="C1031" s="115" t="str">
        <x:v>Fermes élevage</x:v>
      </x:c>
      <x:c r="D1031" s="115" t="str">
        <x:v>Ferme laitière</x:v>
      </x:c>
      <x:c r="E1031" s="115" t="n">
        <x:v>26</x:v>
      </x:c>
      <x:c r="F1031" s="115" t="str">
        <x:v>Inspection physique</x:v>
      </x:c>
      <x:c r="G1031" s="115" t="str">
        <x:v>1 niveaux ; 28 pièces ; 210 segments de mur ; 0 transitions. Inspection physique ; architecture complète encore ouverte.</x:v>
      </x:c>
      <x:c r="H1031" s="115" t="str">
        <x:v>L 300 ; l 272 ; hauteur 8,2 m ; choix de composition auteur ; dimensions réelles à documenter</x:v>
      </x:c>
      <x:c r="I1031" s="115" t="str">
        <x:v>À équilibrer</x:v>
      </x:c>
      <x:c r="J1031" s="115" t="str">
        <x:v>Non</x:v>
      </x:c>
      <x:c r="K1031" s="115" t="str">
        <x:v>Pièces décrites, murs, portes, niveaux et mobilier inspectables à l’échelle. Volumes réservés, raccord au seed, butin, rencontres et services de campagne restent à terminer.</x:v>
      </x:c>
    </x:row>
    <x:row r="1032" ht="96" customHeight="1">
      <x:c r="A1032" s="115" t="str">
        <x:v>EXT-MONDE-T021-V27</x:v>
      </x:c>
      <x:c r="B1032" s="115" t="str">
        <x:v>EXT-MONDE-T021</x:v>
      </x:c>
      <x:c r="C1032" s="115" t="str">
        <x:v>Fermes élevage</x:v>
      </x:c>
      <x:c r="D1032" s="115" t="str">
        <x:v>Ferme laitière</x:v>
      </x:c>
      <x:c r="E1032" s="115" t="n">
        <x:v>27</x:v>
      </x:c>
      <x:c r="F1032" s="115" t="str">
        <x:v>Inspection physique</x:v>
      </x:c>
      <x:c r="G1032" s="115" t="str">
        <x:v>1 niveaux ; 28 pièces ; 210 segments de mur ; 0 transitions. Inspection physique ; architecture complète encore ouverte.</x:v>
      </x:c>
      <x:c r="H1032" s="115" t="str">
        <x:v>L 300 ; l 272 ; hauteur 8,2 m ; choix de composition auteur ; dimensions réelles à documenter</x:v>
      </x:c>
      <x:c r="I1032" s="115" t="str">
        <x:v>À équilibrer</x:v>
      </x:c>
      <x:c r="J1032" s="115" t="str">
        <x:v>Non</x:v>
      </x:c>
      <x:c r="K1032" s="115" t="str">
        <x:v>Pièces décrites, murs, portes, niveaux et mobilier inspectables à l’échelle. Volumes réservés, raccord au seed, butin, rencontres et services de campagne restent à terminer.</x:v>
      </x:c>
    </x:row>
    <x:row r="1033" ht="96" customHeight="1">
      <x:c r="A1033" s="115" t="str">
        <x:v>EXT-MONDE-T021-V28</x:v>
      </x:c>
      <x:c r="B1033" s="115" t="str">
        <x:v>EXT-MONDE-T021</x:v>
      </x:c>
      <x:c r="C1033" s="115" t="str">
        <x:v>Fermes élevage</x:v>
      </x:c>
      <x:c r="D1033" s="115" t="str">
        <x:v>Ferme laitière</x:v>
      </x:c>
      <x:c r="E1033" s="115" t="n">
        <x:v>28</x:v>
      </x:c>
      <x:c r="F1033" s="115" t="str">
        <x:v>Inspection physique</x:v>
      </x:c>
      <x:c r="G1033" s="115" t="str">
        <x:v>1 niveaux ; 28 pièces ; 210 segments de mur ; 0 transitions. Inspection physique ; architecture complète encore ouverte.</x:v>
      </x:c>
      <x:c r="H1033" s="115" t="str">
        <x:v>L 300 ; l 272 ; hauteur 8,2 m ; choix de composition auteur ; dimensions réelles à documenter</x:v>
      </x:c>
      <x:c r="I1033" s="115" t="str">
        <x:v>À équilibrer</x:v>
      </x:c>
      <x:c r="J1033" s="115" t="str">
        <x:v>Non</x:v>
      </x:c>
      <x:c r="K1033" s="115" t="str">
        <x:v>Pièces décrites, murs, portes, niveaux et mobilier inspectables à l’échelle. Volumes réservés, raccord au seed, butin, rencontres et services de campagne restent à terminer.</x:v>
      </x:c>
    </x:row>
    <x:row r="1034" ht="96" customHeight="1">
      <x:c r="A1034" s="115" t="str">
        <x:v>EXT-MONDE-T021-V29</x:v>
      </x:c>
      <x:c r="B1034" s="115" t="str">
        <x:v>EXT-MONDE-T021</x:v>
      </x:c>
      <x:c r="C1034" s="115" t="str">
        <x:v>Fermes élevage</x:v>
      </x:c>
      <x:c r="D1034" s="115" t="str">
        <x:v>Ferme laitière</x:v>
      </x:c>
      <x:c r="E1034" s="115" t="n">
        <x:v>29</x:v>
      </x:c>
      <x:c r="F1034" s="115" t="str">
        <x:v>Inspection physique</x:v>
      </x:c>
      <x:c r="G1034" s="115" t="str">
        <x:v>1 niveaux ; 28 pièces ; 210 segments de mur ; 0 transitions. Inspection physique ; architecture complète encore ouverte.</x:v>
      </x:c>
      <x:c r="H1034" s="115" t="str">
        <x:v>L 300 ; l 272 ; hauteur 8,2 m ; choix de composition auteur ; dimensions réelles à documenter</x:v>
      </x:c>
      <x:c r="I1034" s="115" t="str">
        <x:v>À équilibrer</x:v>
      </x:c>
      <x:c r="J1034" s="115" t="str">
        <x:v>Non</x:v>
      </x:c>
      <x:c r="K1034" s="115" t="str">
        <x:v>Pièces décrites, murs, portes, niveaux et mobilier inspectables à l’échelle. Volumes réservés, raccord au seed, butin, rencontres et services de campagne restent à terminer.</x:v>
      </x:c>
    </x:row>
    <x:row r="1035" ht="96" customHeight="1">
      <x:c r="A1035" s="115" t="str">
        <x:v>EXT-MONDE-T021-V30</x:v>
      </x:c>
      <x:c r="B1035" s="115" t="str">
        <x:v>EXT-MONDE-T021</x:v>
      </x:c>
      <x:c r="C1035" s="115" t="str">
        <x:v>Fermes élevage</x:v>
      </x:c>
      <x:c r="D1035" s="115" t="str">
        <x:v>Ferme laitière</x:v>
      </x:c>
      <x:c r="E1035" s="115" t="n">
        <x:v>30</x:v>
      </x:c>
      <x:c r="F1035" s="115" t="str">
        <x:v>Inspection physique</x:v>
      </x:c>
      <x:c r="G1035" s="115" t="str">
        <x:v>1 niveaux ; 28 pièces ; 210 segments de mur ; 0 transitions. Inspection physique ; architecture complète encore ouverte.</x:v>
      </x:c>
      <x:c r="H1035" s="115" t="str">
        <x:v>L 300 ; l 272 ; hauteur 8,2 m ; choix de composition auteur ; dimensions réelles à documenter</x:v>
      </x:c>
      <x:c r="I1035" s="115" t="str">
        <x:v>À équilibrer</x:v>
      </x:c>
      <x:c r="J1035" s="115" t="str">
        <x:v>Non</x:v>
      </x:c>
      <x:c r="K1035" s="115" t="str">
        <x:v>Pièces décrites, murs, portes, niveaux et mobilier inspectables à l’échelle. Volumes réservés, raccord au seed, butin, rencontres et services de campagne restent à terminer.</x:v>
      </x:c>
    </x:row>
    <x:row r="1036" ht="96" customHeight="1">
      <x:c r="A1036" s="115" t="str">
        <x:v>EXT-MONDE-T021-V31</x:v>
      </x:c>
      <x:c r="B1036" s="115" t="str">
        <x:v>EXT-MONDE-T021</x:v>
      </x:c>
      <x:c r="C1036" s="115" t="str">
        <x:v>Fermes élevage</x:v>
      </x:c>
      <x:c r="D1036" s="115" t="str">
        <x:v>Ferme laitière</x:v>
      </x:c>
      <x:c r="E1036" s="115" t="n">
        <x:v>31</x:v>
      </x:c>
      <x:c r="F1036" s="115" t="str">
        <x:v>Inspection physique</x:v>
      </x:c>
      <x:c r="G1036" s="115" t="str">
        <x:v>1 niveaux ; 28 pièces ; 210 segments de mur ; 0 transitions. Inspection physique ; architecture complète encore ouverte.</x:v>
      </x:c>
      <x:c r="H1036" s="115" t="str">
        <x:v>L 320 ; l 296 ; hauteur 8,2 m ; choix de composition auteur ; dimensions réelles à documenter</x:v>
      </x:c>
      <x:c r="I1036" s="115" t="str">
        <x:v>À équilibrer</x:v>
      </x:c>
      <x:c r="J1036" s="115" t="str">
        <x:v>Non</x:v>
      </x:c>
      <x:c r="K1036" s="115" t="str">
        <x:v>Pièces décrites, murs, portes, niveaux et mobilier inspectables à l’échelle. Volumes réservés, raccord au seed, butin, rencontres et services de campagne restent à terminer.</x:v>
      </x:c>
    </x:row>
    <x:row r="1037" ht="96" customHeight="1">
      <x:c r="A1037" s="115" t="str">
        <x:v>EXT-MONDE-T021-V32</x:v>
      </x:c>
      <x:c r="B1037" s="115" t="str">
        <x:v>EXT-MONDE-T021</x:v>
      </x:c>
      <x:c r="C1037" s="115" t="str">
        <x:v>Fermes élevage</x:v>
      </x:c>
      <x:c r="D1037" s="115" t="str">
        <x:v>Ferme laitière</x:v>
      </x:c>
      <x:c r="E1037" s="115" t="n">
        <x:v>32</x:v>
      </x:c>
      <x:c r="F1037" s="115" t="str">
        <x:v>Inspection physique</x:v>
      </x:c>
      <x:c r="G1037" s="115" t="str">
        <x:v>1 niveaux ; 28 pièces ; 210 segments de mur ; 0 transitions. Inspection physique ; architecture complète encore ouverte.</x:v>
      </x:c>
      <x:c r="H1037" s="115" t="str">
        <x:v>L 320 ; l 296 ; hauteur 8,2 m ; choix de composition auteur ; dimensions réelles à documenter</x:v>
      </x:c>
      <x:c r="I1037" s="115" t="str">
        <x:v>À équilibrer</x:v>
      </x:c>
      <x:c r="J1037" s="115" t="str">
        <x:v>Non</x:v>
      </x:c>
      <x:c r="K1037" s="115" t="str">
        <x:v>Pièces décrites, murs, portes, niveaux et mobilier inspectables à l’échelle. Volumes réservés, raccord au seed, butin, rencontres et services de campagne restent à terminer.</x:v>
      </x:c>
    </x:row>
    <x:row r="1038" ht="96" customHeight="1">
      <x:c r="A1038" s="115" t="str">
        <x:v>EXT-MONDE-T021-V33</x:v>
      </x:c>
      <x:c r="B1038" s="115" t="str">
        <x:v>EXT-MONDE-T021</x:v>
      </x:c>
      <x:c r="C1038" s="115" t="str">
        <x:v>Fermes élevage</x:v>
      </x:c>
      <x:c r="D1038" s="115" t="str">
        <x:v>Ferme laitière</x:v>
      </x:c>
      <x:c r="E1038" s="115" t="n">
        <x:v>33</x:v>
      </x:c>
      <x:c r="F1038" s="115" t="str">
        <x:v>Inspection physique</x:v>
      </x:c>
      <x:c r="G1038" s="115" t="str">
        <x:v>1 niveaux ; 28 pièces ; 210 segments de mur ; 0 transitions. Inspection physique ; architecture complète encore ouverte.</x:v>
      </x:c>
      <x:c r="H1038" s="115" t="str">
        <x:v>L 320 ; l 296 ; hauteur 8,2 m ; choix de composition auteur ; dimensions réelles à documenter</x:v>
      </x:c>
      <x:c r="I1038" s="115" t="str">
        <x:v>À équilibrer</x:v>
      </x:c>
      <x:c r="J1038" s="115" t="str">
        <x:v>Non</x:v>
      </x:c>
      <x:c r="K1038" s="115" t="str">
        <x:v>Pièces décrites, murs, portes, niveaux et mobilier inspectables à l’échelle. Volumes réservés, raccord au seed, butin, rencontres et services de campagne restent à terminer.</x:v>
      </x:c>
    </x:row>
    <x:row r="1039" ht="96" customHeight="1">
      <x:c r="A1039" s="115" t="str">
        <x:v>EXT-MONDE-T021-V34</x:v>
      </x:c>
      <x:c r="B1039" s="115" t="str">
        <x:v>EXT-MONDE-T021</x:v>
      </x:c>
      <x:c r="C1039" s="115" t="str">
        <x:v>Fermes élevage</x:v>
      </x:c>
      <x:c r="D1039" s="115" t="str">
        <x:v>Ferme laitière</x:v>
      </x:c>
      <x:c r="E1039" s="115" t="n">
        <x:v>34</x:v>
      </x:c>
      <x:c r="F1039" s="115" t="str">
        <x:v>Inspection physique</x:v>
      </x:c>
      <x:c r="G1039" s="115" t="str">
        <x:v>1 niveaux ; 28 pièces ; 210 segments de mur ; 0 transitions. Inspection physique ; architecture complète encore ouverte.</x:v>
      </x:c>
      <x:c r="H1039" s="115" t="str">
        <x:v>L 320 ; l 296 ; hauteur 8,2 m ; choix de composition auteur ; dimensions réelles à documenter</x:v>
      </x:c>
      <x:c r="I1039" s="115" t="str">
        <x:v>À équilibrer</x:v>
      </x:c>
      <x:c r="J1039" s="115" t="str">
        <x:v>Non</x:v>
      </x:c>
      <x:c r="K1039" s="115" t="str">
        <x:v>Pièces décrites, murs, portes, niveaux et mobilier inspectables à l’échelle. Volumes réservés, raccord au seed, butin, rencontres et services de campagne restent à terminer.</x:v>
      </x:c>
    </x:row>
    <x:row r="1040" ht="96" customHeight="1">
      <x:c r="A1040" s="115" t="str">
        <x:v>EXT-MONDE-T021-V35</x:v>
      </x:c>
      <x:c r="B1040" s="115" t="str">
        <x:v>EXT-MONDE-T021</x:v>
      </x:c>
      <x:c r="C1040" s="115" t="str">
        <x:v>Fermes élevage</x:v>
      </x:c>
      <x:c r="D1040" s="115" t="str">
        <x:v>Ferme laitière</x:v>
      </x:c>
      <x:c r="E1040" s="115" t="n">
        <x:v>35</x:v>
      </x:c>
      <x:c r="F1040" s="115" t="str">
        <x:v>Inspection physique</x:v>
      </x:c>
      <x:c r="G1040" s="115" t="str">
        <x:v>1 niveaux ; 28 pièces ; 210 segments de mur ; 0 transitions. Inspection physique ; architecture complète encore ouverte.</x:v>
      </x:c>
      <x:c r="H1040" s="115" t="str">
        <x:v>L 320 ; l 296 ; hauteur 8,2 m ; choix de composition auteur ; dimensions réelles à documenter</x:v>
      </x:c>
      <x:c r="I1040" s="115" t="str">
        <x:v>À équilibrer</x:v>
      </x:c>
      <x:c r="J1040" s="115" t="str">
        <x:v>Non</x:v>
      </x:c>
      <x:c r="K1040" s="115" t="str">
        <x:v>Pièces décrites, murs, portes, niveaux et mobilier inspectables à l’échelle. Volumes réservés, raccord au seed, butin, rencontres et services de campagne restent à terminer.</x:v>
      </x:c>
    </x:row>
    <x:row r="1041" ht="96" customHeight="1">
      <x:c r="A1041" s="115" t="str">
        <x:v>EXT-MONDE-T021-V36</x:v>
      </x:c>
      <x:c r="B1041" s="115" t="str">
        <x:v>EXT-MONDE-T021</x:v>
      </x:c>
      <x:c r="C1041" s="115" t="str">
        <x:v>Fermes élevage</x:v>
      </x:c>
      <x:c r="D1041" s="115" t="str">
        <x:v>Ferme laitière</x:v>
      </x:c>
      <x:c r="E1041" s="115" t="n">
        <x:v>36</x:v>
      </x:c>
      <x:c r="F1041" s="115" t="str">
        <x:v>Inspection physique</x:v>
      </x:c>
      <x:c r="G1041" s="115" t="str">
        <x:v>1 niveaux ; 28 pièces ; 210 segments de mur ; 0 transitions. Inspection physique ; architecture complète encore ouverte.</x:v>
      </x:c>
      <x:c r="H1041" s="115" t="str">
        <x:v>L 320 ; l 296 ; hauteur 8,2 m ; choix de composition auteur ; dimensions réelles à documenter</x:v>
      </x:c>
      <x:c r="I1041" s="115" t="str">
        <x:v>À équilibrer</x:v>
      </x:c>
      <x:c r="J1041" s="115" t="str">
        <x:v>Non</x:v>
      </x:c>
      <x:c r="K1041" s="115" t="str">
        <x:v>Pièces décrites, murs, portes, niveaux et mobilier inspectables à l’échelle. Volumes réservés, raccord au seed, butin, rencontres et services de campagne restent à terminer.</x:v>
      </x:c>
    </x:row>
    <x:row r="1042" ht="96" customHeight="1">
      <x:c r="A1042" s="115" t="str">
        <x:v>EXT-MONDE-T021-V37</x:v>
      </x:c>
      <x:c r="B1042" s="115" t="str">
        <x:v>EXT-MONDE-T021</x:v>
      </x:c>
      <x:c r="C1042" s="115" t="str">
        <x:v>Fermes élevage</x:v>
      </x:c>
      <x:c r="D1042" s="115" t="str">
        <x:v>Ferme laitière</x:v>
      </x:c>
      <x:c r="E1042" s="115" t="n">
        <x:v>37</x:v>
      </x:c>
      <x:c r="F1042" s="115" t="str">
        <x:v>Inspection physique</x:v>
      </x:c>
      <x:c r="G1042" s="115" t="str">
        <x:v>1 niveaux ; 28 pièces ; 210 segments de mur ; 0 transitions. Inspection physique ; architecture complète encore ouverte.</x:v>
      </x:c>
      <x:c r="H1042" s="115" t="str">
        <x:v>L 320 ; l 296 ; hauteur 8,2 m ; choix de composition auteur ; dimensions réelles à documenter</x:v>
      </x:c>
      <x:c r="I1042" s="115" t="str">
        <x:v>À équilibrer</x:v>
      </x:c>
      <x:c r="J1042" s="115" t="str">
        <x:v>Non</x:v>
      </x:c>
      <x:c r="K1042" s="115" t="str">
        <x:v>Pièces décrites, murs, portes, niveaux et mobilier inspectables à l’échelle. Volumes réservés, raccord au seed, butin, rencontres et services de campagne restent à terminer.</x:v>
      </x:c>
    </x:row>
    <x:row r="1043" ht="96" customHeight="1">
      <x:c r="A1043" s="115" t="str">
        <x:v>EXT-MONDE-T021-V38</x:v>
      </x:c>
      <x:c r="B1043" s="115" t="str">
        <x:v>EXT-MONDE-T021</x:v>
      </x:c>
      <x:c r="C1043" s="115" t="str">
        <x:v>Fermes élevage</x:v>
      </x:c>
      <x:c r="D1043" s="115" t="str">
        <x:v>Ferme laitière</x:v>
      </x:c>
      <x:c r="E1043" s="115" t="n">
        <x:v>38</x:v>
      </x:c>
      <x:c r="F1043" s="115" t="str">
        <x:v>Inspection physique</x:v>
      </x:c>
      <x:c r="G1043" s="115" t="str">
        <x:v>1 niveaux ; 28 pièces ; 210 segments de mur ; 0 transitions. Inspection physique ; architecture complète encore ouverte.</x:v>
      </x:c>
      <x:c r="H1043" s="115" t="str">
        <x:v>L 320 ; l 296 ; hauteur 8,2 m ; choix de composition auteur ; dimensions réelles à documenter</x:v>
      </x:c>
      <x:c r="I1043" s="115" t="str">
        <x:v>À équilibrer</x:v>
      </x:c>
      <x:c r="J1043" s="115" t="str">
        <x:v>Non</x:v>
      </x:c>
      <x:c r="K1043" s="115" t="str">
        <x:v>Pièces décrites, murs, portes, niveaux et mobilier inspectables à l’échelle. Volumes réservés, raccord au seed, butin, rencontres et services de campagne restent à terminer.</x:v>
      </x:c>
    </x:row>
    <x:row r="1044" ht="96" customHeight="1">
      <x:c r="A1044" s="115" t="str">
        <x:v>EXT-MONDE-T021-V39</x:v>
      </x:c>
      <x:c r="B1044" s="115" t="str">
        <x:v>EXT-MONDE-T021</x:v>
      </x:c>
      <x:c r="C1044" s="115" t="str">
        <x:v>Fermes élevage</x:v>
      </x:c>
      <x:c r="D1044" s="115" t="str">
        <x:v>Ferme laitière</x:v>
      </x:c>
      <x:c r="E1044" s="115" t="n">
        <x:v>39</x:v>
      </x:c>
      <x:c r="F1044" s="115" t="str">
        <x:v>Inspection physique</x:v>
      </x:c>
      <x:c r="G1044" s="115" t="str">
        <x:v>1 niveaux ; 28 pièces ; 210 segments de mur ; 0 transitions. Inspection physique ; architecture complète encore ouverte.</x:v>
      </x:c>
      <x:c r="H1044" s="115" t="str">
        <x:v>L 320 ; l 296 ; hauteur 8,2 m ; choix de composition auteur ; dimensions réelles à documenter</x:v>
      </x:c>
      <x:c r="I1044" s="115" t="str">
        <x:v>À équilibrer</x:v>
      </x:c>
      <x:c r="J1044" s="115" t="str">
        <x:v>Non</x:v>
      </x:c>
      <x:c r="K1044" s="115" t="str">
        <x:v>Pièces décrites, murs, portes, niveaux et mobilier inspectables à l’échelle. Volumes réservés, raccord au seed, butin, rencontres et services de campagne restent à terminer.</x:v>
      </x:c>
    </x:row>
    <x:row r="1045" ht="96" customHeight="1">
      <x:c r="A1045" s="115" t="str">
        <x:v>EXT-MONDE-T021-V40</x:v>
      </x:c>
      <x:c r="B1045" s="115" t="str">
        <x:v>EXT-MONDE-T021</x:v>
      </x:c>
      <x:c r="C1045" s="115" t="str">
        <x:v>Fermes élevage</x:v>
      </x:c>
      <x:c r="D1045" s="115" t="str">
        <x:v>Ferme laitière</x:v>
      </x:c>
      <x:c r="E1045" s="115" t="n">
        <x:v>40</x:v>
      </x:c>
      <x:c r="F1045" s="115" t="str">
        <x:v>Inspection physique</x:v>
      </x:c>
      <x:c r="G1045" s="115" t="str">
        <x:v>1 niveaux ; 28 pièces ; 210 segments de mur ; 0 transitions. Inspection physique ; architecture complète encore ouverte.</x:v>
      </x:c>
      <x:c r="H1045" s="115" t="str">
        <x:v>L 320 ; l 296 ; hauteur 8,2 m ; choix de composition auteur ; dimensions réelles à documenter</x:v>
      </x:c>
      <x:c r="I1045" s="115" t="str">
        <x:v>À équilibrer</x:v>
      </x:c>
      <x:c r="J1045" s="115" t="str">
        <x:v>Non</x:v>
      </x:c>
      <x:c r="K1045" s="115" t="str">
        <x:v>Pièces décrites, murs, portes, niveaux et mobilier inspectables à l’échelle. Volumes réservés, raccord au seed, butin, rencontres et services de campagne restent à terminer.</x:v>
      </x:c>
    </x:row>
    <x:row r="1046" ht="96" customHeight="1">
      <x:c r="A1046" s="115" t="str">
        <x:v>EXT-MONDE-T021-V41</x:v>
      </x:c>
      <x:c r="B1046" s="115" t="str">
        <x:v>EXT-MONDE-T021</x:v>
      </x:c>
      <x:c r="C1046" s="115" t="str">
        <x:v>Fermes élevage</x:v>
      </x:c>
      <x:c r="D1046" s="115" t="str">
        <x:v>Ferme laitière</x:v>
      </x:c>
      <x:c r="E1046" s="115" t="n">
        <x:v>41</x:v>
      </x:c>
      <x:c r="F1046" s="115" t="str">
        <x:v>Inspection physique</x:v>
      </x:c>
      <x:c r="G1046" s="115" t="str">
        <x:v>1 niveaux ; 28 pièces ; 210 segments de mur ; 0 transitions. Inspection physique ; architecture complète encore ouverte.</x:v>
      </x:c>
      <x:c r="H1046" s="115" t="str">
        <x:v>L 340 ; l 320 ; hauteur 8,2 m ; choix de composition auteur ; dimensions réelles à documenter</x:v>
      </x:c>
      <x:c r="I1046" s="115" t="str">
        <x:v>À équilibrer</x:v>
      </x:c>
      <x:c r="J1046" s="115" t="str">
        <x:v>Non</x:v>
      </x:c>
      <x:c r="K1046" s="115" t="str">
        <x:v>Pièces décrites, murs, portes, niveaux et mobilier inspectables à l’échelle. Volumes réservés, raccord au seed, butin, rencontres et services de campagne restent à terminer.</x:v>
      </x:c>
    </x:row>
    <x:row r="1047" ht="96" customHeight="1">
      <x:c r="A1047" s="115" t="str">
        <x:v>EXT-MONDE-T021-V42</x:v>
      </x:c>
      <x:c r="B1047" s="115" t="str">
        <x:v>EXT-MONDE-T021</x:v>
      </x:c>
      <x:c r="C1047" s="115" t="str">
        <x:v>Fermes élevage</x:v>
      </x:c>
      <x:c r="D1047" s="115" t="str">
        <x:v>Ferme laitière</x:v>
      </x:c>
      <x:c r="E1047" s="115" t="n">
        <x:v>42</x:v>
      </x:c>
      <x:c r="F1047" s="115" t="str">
        <x:v>Inspection physique</x:v>
      </x:c>
      <x:c r="G1047" s="115" t="str">
        <x:v>1 niveaux ; 28 pièces ; 210 segments de mur ; 0 transitions. Inspection physique ; architecture complète encore ouverte.</x:v>
      </x:c>
      <x:c r="H1047" s="115" t="str">
        <x:v>L 340 ; l 320 ; hauteur 8,2 m ; choix de composition auteur ; dimensions réelles à documenter</x:v>
      </x:c>
      <x:c r="I1047" s="115" t="str">
        <x:v>À équilibrer</x:v>
      </x:c>
      <x:c r="J1047" s="115" t="str">
        <x:v>Non</x:v>
      </x:c>
      <x:c r="K1047" s="115" t="str">
        <x:v>Pièces décrites, murs, portes, niveaux et mobilier inspectables à l’échelle. Volumes réservés, raccord au seed, butin, rencontres et services de campagne restent à terminer.</x:v>
      </x:c>
    </x:row>
    <x:row r="1048" ht="96" customHeight="1">
      <x:c r="A1048" s="115" t="str">
        <x:v>EXT-MONDE-T021-V43</x:v>
      </x:c>
      <x:c r="B1048" s="115" t="str">
        <x:v>EXT-MONDE-T021</x:v>
      </x:c>
      <x:c r="C1048" s="115" t="str">
        <x:v>Fermes élevage</x:v>
      </x:c>
      <x:c r="D1048" s="115" t="str">
        <x:v>Ferme laitière</x:v>
      </x:c>
      <x:c r="E1048" s="115" t="n">
        <x:v>43</x:v>
      </x:c>
      <x:c r="F1048" s="115" t="str">
        <x:v>Inspection physique</x:v>
      </x:c>
      <x:c r="G1048" s="115" t="str">
        <x:v>1 niveaux ; 28 pièces ; 210 segments de mur ; 0 transitions. Inspection physique ; architecture complète encore ouverte.</x:v>
      </x:c>
      <x:c r="H1048" s="115" t="str">
        <x:v>L 340 ; l 320 ; hauteur 8,2 m ; choix de composition auteur ; dimensions réelles à documenter</x:v>
      </x:c>
      <x:c r="I1048" s="115" t="str">
        <x:v>À équilibrer</x:v>
      </x:c>
      <x:c r="J1048" s="115" t="str">
        <x:v>Non</x:v>
      </x:c>
      <x:c r="K1048" s="115" t="str">
        <x:v>Pièces décrites, murs, portes, niveaux et mobilier inspectables à l’échelle. Volumes réservés, raccord au seed, butin, rencontres et services de campagne restent à terminer.</x:v>
      </x:c>
    </x:row>
    <x:row r="1049" ht="96" customHeight="1">
      <x:c r="A1049" s="115" t="str">
        <x:v>EXT-MONDE-T021-V44</x:v>
      </x:c>
      <x:c r="B1049" s="115" t="str">
        <x:v>EXT-MONDE-T021</x:v>
      </x:c>
      <x:c r="C1049" s="115" t="str">
        <x:v>Fermes élevage</x:v>
      </x:c>
      <x:c r="D1049" s="115" t="str">
        <x:v>Ferme laitière</x:v>
      </x:c>
      <x:c r="E1049" s="115" t="n">
        <x:v>44</x:v>
      </x:c>
      <x:c r="F1049" s="115" t="str">
        <x:v>Inspection physique</x:v>
      </x:c>
      <x:c r="G1049" s="115" t="str">
        <x:v>1 niveaux ; 28 pièces ; 210 segments de mur ; 0 transitions. Inspection physique ; architecture complète encore ouverte.</x:v>
      </x:c>
      <x:c r="H1049" s="115" t="str">
        <x:v>L 340 ; l 320 ; hauteur 8,2 m ; choix de composition auteur ; dimensions réelles à documenter</x:v>
      </x:c>
      <x:c r="I1049" s="115" t="str">
        <x:v>À équilibrer</x:v>
      </x:c>
      <x:c r="J1049" s="115" t="str">
        <x:v>Non</x:v>
      </x:c>
      <x:c r="K1049" s="115" t="str">
        <x:v>Pièces décrites, murs, portes, niveaux et mobilier inspectables à l’échelle. Volumes réservés, raccord au seed, butin, rencontres et services de campagne restent à terminer.</x:v>
      </x:c>
    </x:row>
    <x:row r="1050" ht="96" customHeight="1">
      <x:c r="A1050" s="115" t="str">
        <x:v>EXT-MONDE-T021-V45</x:v>
      </x:c>
      <x:c r="B1050" s="115" t="str">
        <x:v>EXT-MONDE-T021</x:v>
      </x:c>
      <x:c r="C1050" s="115" t="str">
        <x:v>Fermes élevage</x:v>
      </x:c>
      <x:c r="D1050" s="115" t="str">
        <x:v>Ferme laitière</x:v>
      </x:c>
      <x:c r="E1050" s="115" t="n">
        <x:v>45</x:v>
      </x:c>
      <x:c r="F1050" s="115" t="str">
        <x:v>Inspection physique</x:v>
      </x:c>
      <x:c r="G1050" s="115" t="str">
        <x:v>1 niveaux ; 28 pièces ; 210 segments de mur ; 0 transitions. Inspection physique ; architecture complète encore ouverte.</x:v>
      </x:c>
      <x:c r="H1050" s="115" t="str">
        <x:v>L 340 ; l 320 ; hauteur 8,2 m ; choix de composition auteur ; dimensions réelles à documenter</x:v>
      </x:c>
      <x:c r="I1050" s="115" t="str">
        <x:v>À équilibrer</x:v>
      </x:c>
      <x:c r="J1050" s="115" t="str">
        <x:v>Non</x:v>
      </x:c>
      <x:c r="K1050" s="115" t="str">
        <x:v>Pièces décrites, murs, portes, niveaux et mobilier inspectables à l’échelle. Volumes réservés, raccord au seed, butin, rencontres et services de campagne restent à terminer.</x:v>
      </x:c>
    </x:row>
    <x:row r="1051" ht="96" customHeight="1">
      <x:c r="A1051" s="115" t="str">
        <x:v>EXT-MONDE-T021-V46</x:v>
      </x:c>
      <x:c r="B1051" s="115" t="str">
        <x:v>EXT-MONDE-T021</x:v>
      </x:c>
      <x:c r="C1051" s="115" t="str">
        <x:v>Fermes élevage</x:v>
      </x:c>
      <x:c r="D1051" s="115" t="str">
        <x:v>Ferme laitière</x:v>
      </x:c>
      <x:c r="E1051" s="115" t="n">
        <x:v>46</x:v>
      </x:c>
      <x:c r="F1051" s="115" t="str">
        <x:v>Inspection physique</x:v>
      </x:c>
      <x:c r="G1051" s="115" t="str">
        <x:v>1 niveaux ; 28 pièces ; 210 segments de mur ; 0 transitions. Inspection physique ; architecture complète encore ouverte.</x:v>
      </x:c>
      <x:c r="H1051" s="115" t="str">
        <x:v>L 340 ; l 320 ; hauteur 8,2 m ; choix de composition auteur ; dimensions réelles à documenter</x:v>
      </x:c>
      <x:c r="I1051" s="115" t="str">
        <x:v>À équilibrer</x:v>
      </x:c>
      <x:c r="J1051" s="115" t="str">
        <x:v>Non</x:v>
      </x:c>
      <x:c r="K1051" s="115" t="str">
        <x:v>Pièces décrites, murs, portes, niveaux et mobilier inspectables à l’échelle. Volumes réservés, raccord au seed, butin, rencontres et services de campagne restent à terminer.</x:v>
      </x:c>
    </x:row>
    <x:row r="1052" ht="96" customHeight="1">
      <x:c r="A1052" s="115" t="str">
        <x:v>EXT-MONDE-T021-V47</x:v>
      </x:c>
      <x:c r="B1052" s="115" t="str">
        <x:v>EXT-MONDE-T021</x:v>
      </x:c>
      <x:c r="C1052" s="115" t="str">
        <x:v>Fermes élevage</x:v>
      </x:c>
      <x:c r="D1052" s="115" t="str">
        <x:v>Ferme laitière</x:v>
      </x:c>
      <x:c r="E1052" s="115" t="n">
        <x:v>47</x:v>
      </x:c>
      <x:c r="F1052" s="115" t="str">
        <x:v>Inspection physique</x:v>
      </x:c>
      <x:c r="G1052" s="115" t="str">
        <x:v>1 niveaux ; 28 pièces ; 210 segments de mur ; 0 transitions. Inspection physique ; architecture complète encore ouverte.</x:v>
      </x:c>
      <x:c r="H1052" s="115" t="str">
        <x:v>L 340 ; l 320 ; hauteur 8,2 m ; choix de composition auteur ; dimensions réelles à documenter</x:v>
      </x:c>
      <x:c r="I1052" s="115" t="str">
        <x:v>À équilibrer</x:v>
      </x:c>
      <x:c r="J1052" s="115" t="str">
        <x:v>Non</x:v>
      </x:c>
      <x:c r="K1052" s="115" t="str">
        <x:v>Pièces décrites, murs, portes, niveaux et mobilier inspectables à l’échelle. Volumes réservés, raccord au seed, butin, rencontres et services de campagne restent à terminer.</x:v>
      </x:c>
    </x:row>
    <x:row r="1053" ht="96" customHeight="1">
      <x:c r="A1053" s="115" t="str">
        <x:v>EXT-MONDE-T021-V48</x:v>
      </x:c>
      <x:c r="B1053" s="115" t="str">
        <x:v>EXT-MONDE-T021</x:v>
      </x:c>
      <x:c r="C1053" s="115" t="str">
        <x:v>Fermes élevage</x:v>
      </x:c>
      <x:c r="D1053" s="115" t="str">
        <x:v>Ferme laitière</x:v>
      </x:c>
      <x:c r="E1053" s="115" t="n">
        <x:v>48</x:v>
      </x:c>
      <x:c r="F1053" s="115" t="str">
        <x:v>Inspection physique</x:v>
      </x:c>
      <x:c r="G1053" s="115" t="str">
        <x:v>1 niveaux ; 28 pièces ; 210 segments de mur ; 0 transitions. Inspection physique ; architecture complète encore ouverte.</x:v>
      </x:c>
      <x:c r="H1053" s="115" t="str">
        <x:v>L 340 ; l 320 ; hauteur 8,2 m ; choix de composition auteur ; dimensions réelles à documenter</x:v>
      </x:c>
      <x:c r="I1053" s="115" t="str">
        <x:v>À équilibrer</x:v>
      </x:c>
      <x:c r="J1053" s="115" t="str">
        <x:v>Non</x:v>
      </x:c>
      <x:c r="K1053" s="115" t="str">
        <x:v>Pièces décrites, murs, portes, niveaux et mobilier inspectables à l’échelle. Volumes réservés, raccord au seed, butin, rencontres et services de campagne restent à terminer.</x:v>
      </x:c>
    </x:row>
    <x:row r="1054" ht="96" customHeight="1">
      <x:c r="A1054" s="115" t="str">
        <x:v>EXT-MONDE-T021-V49</x:v>
      </x:c>
      <x:c r="B1054" s="115" t="str">
        <x:v>EXT-MONDE-T021</x:v>
      </x:c>
      <x:c r="C1054" s="115" t="str">
        <x:v>Fermes élevage</x:v>
      </x:c>
      <x:c r="D1054" s="115" t="str">
        <x:v>Ferme laitière</x:v>
      </x:c>
      <x:c r="E1054" s="115" t="n">
        <x:v>49</x:v>
      </x:c>
      <x:c r="F1054" s="115" t="str">
        <x:v>Inspection physique</x:v>
      </x:c>
      <x:c r="G1054" s="115" t="str">
        <x:v>1 niveaux ; 28 pièces ; 210 segments de mur ; 0 transitions. Inspection physique ; architecture complète encore ouverte.</x:v>
      </x:c>
      <x:c r="H1054" s="115" t="str">
        <x:v>L 340 ; l 320 ; hauteur 8,2 m ; choix de composition auteur ; dimensions réelles à documenter</x:v>
      </x:c>
      <x:c r="I1054" s="115" t="str">
        <x:v>À équilibrer</x:v>
      </x:c>
      <x:c r="J1054" s="115" t="str">
        <x:v>Non</x:v>
      </x:c>
      <x:c r="K1054" s="115" t="str">
        <x:v>Pièces décrites, murs, portes, niveaux et mobilier inspectables à l’échelle. Volumes réservés, raccord au seed, butin, rencontres et services de campagne restent à terminer.</x:v>
      </x:c>
    </x:row>
    <x:row r="1055" ht="96" customHeight="1">
      <x:c r="A1055" s="115" t="str">
        <x:v>EXT-MONDE-T021-V50</x:v>
      </x:c>
      <x:c r="B1055" s="115" t="str">
        <x:v>EXT-MONDE-T021</x:v>
      </x:c>
      <x:c r="C1055" s="115" t="str">
        <x:v>Fermes élevage</x:v>
      </x:c>
      <x:c r="D1055" s="115" t="str">
        <x:v>Ferme laitière</x:v>
      </x:c>
      <x:c r="E1055" s="115" t="n">
        <x:v>50</x:v>
      </x:c>
      <x:c r="F1055" s="115" t="str">
        <x:v>Inspection physique</x:v>
      </x:c>
      <x:c r="G1055" s="115" t="str">
        <x:v>1 niveaux ; 28 pièces ; 210 segments de mur ; 0 transitions. Inspection physique ; architecture complète encore ouverte.</x:v>
      </x:c>
      <x:c r="H1055" s="115" t="str">
        <x:v>L 340 ; l 320 ; hauteur 8,2 m ; choix de composition auteur ; dimensions réelles à documenter</x:v>
      </x:c>
      <x:c r="I1055" s="115" t="str">
        <x:v>À équilibrer</x:v>
      </x:c>
      <x:c r="J1055" s="115" t="str">
        <x:v>Non</x:v>
      </x:c>
      <x:c r="K1055" s="115" t="str">
        <x:v>Pièces décrites, murs, portes, niveaux et mobilier inspectables à l’échelle. Volumes réservés, raccord au seed, butin, rencontres et services de campagne restent à terminer.</x:v>
      </x:c>
    </x:row>
    <x:row r="1056" ht="96" customHeight="1">
      <x:c r="A1056" s="115" t="str">
        <x:v>EXT-MONDE-T022-V01</x:v>
      </x:c>
      <x:c r="B1056" s="115" t="str">
        <x:v>EXT-MONDE-T022</x:v>
      </x:c>
      <x:c r="C1056" s="115" t="str">
        <x:v>Fermes élevage</x:v>
      </x:c>
      <x:c r="D1056" s="115" t="str">
        <x:v>Élevage ovin</x:v>
      </x:c>
      <x:c r="E1056" s="115" t="n">
        <x:v>1</x:v>
      </x:c>
      <x:c r="F1056" s="115" t="str">
        <x:v>Inspection physique</x:v>
      </x:c>
      <x:c r="G1056" s="115" t="str">
        <x:v>1 niveaux ; 28 pièces ; 210 segments de mur ; 0 transitions. Inspection physique ; architecture complète encore ouverte.</x:v>
      </x:c>
      <x:c r="H1056" s="115" t="str">
        <x:v>L 260 ; l 224 ; hauteur 7 m ; choix de composition auteur ; dimensions réelles à documenter</x:v>
      </x:c>
      <x:c r="I1056" s="115" t="str">
        <x:v>À équilibrer</x:v>
      </x:c>
      <x:c r="J1056" s="115" t="str">
        <x:v>Non</x:v>
      </x:c>
      <x:c r="K1056" s="115" t="str">
        <x:v>Pièces décrites, murs, portes, niveaux et mobilier inspectables à l’échelle. Volumes réservés, raccord au seed, butin, rencontres et services de campagne restent à terminer.</x:v>
      </x:c>
    </x:row>
    <x:row r="1057" ht="96" customHeight="1">
      <x:c r="A1057" s="115" t="str">
        <x:v>EXT-MONDE-T022-V02</x:v>
      </x:c>
      <x:c r="B1057" s="115" t="str">
        <x:v>EXT-MONDE-T022</x:v>
      </x:c>
      <x:c r="C1057" s="115" t="str">
        <x:v>Fermes élevage</x:v>
      </x:c>
      <x:c r="D1057" s="115" t="str">
        <x:v>Élevage ovin</x:v>
      </x:c>
      <x:c r="E1057" s="115" t="n">
        <x:v>2</x:v>
      </x:c>
      <x:c r="F1057" s="115" t="str">
        <x:v>Inspection physique</x:v>
      </x:c>
      <x:c r="G1057" s="115" t="str">
        <x:v>1 niveaux ; 28 pièces ; 210 segments de mur ; 0 transitions. Inspection physique ; architecture complète encore ouverte.</x:v>
      </x:c>
      <x:c r="H1057" s="115" t="str">
        <x:v>L 260 ; l 224 ; hauteur 7 m ; choix de composition auteur ; dimensions réelles à documenter</x:v>
      </x:c>
      <x:c r="I1057" s="115" t="str">
        <x:v>À équilibrer</x:v>
      </x:c>
      <x:c r="J1057" s="115" t="str">
        <x:v>Non</x:v>
      </x:c>
      <x:c r="K1057" s="115" t="str">
        <x:v>Pièces décrites, murs, portes, niveaux et mobilier inspectables à l’échelle. Volumes réservés, raccord au seed, butin, rencontres et services de campagne restent à terminer.</x:v>
      </x:c>
    </x:row>
    <x:row r="1058" ht="96" customHeight="1">
      <x:c r="A1058" s="115" t="str">
        <x:v>EXT-MONDE-T022-V03</x:v>
      </x:c>
      <x:c r="B1058" s="115" t="str">
        <x:v>EXT-MONDE-T022</x:v>
      </x:c>
      <x:c r="C1058" s="115" t="str">
        <x:v>Fermes élevage</x:v>
      </x:c>
      <x:c r="D1058" s="115" t="str">
        <x:v>Élevage ovin</x:v>
      </x:c>
      <x:c r="E1058" s="115" t="n">
        <x:v>3</x:v>
      </x:c>
      <x:c r="F1058" s="115" t="str">
        <x:v>Inspection physique</x:v>
      </x:c>
      <x:c r="G1058" s="115" t="str">
        <x:v>1 niveaux ; 28 pièces ; 210 segments de mur ; 0 transitions. Inspection physique ; architecture complète encore ouverte.</x:v>
      </x:c>
      <x:c r="H1058" s="115" t="str">
        <x:v>L 260 ; l 224 ; hauteur 7 m ; choix de composition auteur ; dimensions réelles à documenter</x:v>
      </x:c>
      <x:c r="I1058" s="115" t="str">
        <x:v>À équilibrer</x:v>
      </x:c>
      <x:c r="J1058" s="115" t="str">
        <x:v>Non</x:v>
      </x:c>
      <x:c r="K1058" s="115" t="str">
        <x:v>Pièces décrites, murs, portes, niveaux et mobilier inspectables à l’échelle. Volumes réservés, raccord au seed, butin, rencontres et services de campagne restent à terminer.</x:v>
      </x:c>
    </x:row>
    <x:row r="1059" ht="96" customHeight="1">
      <x:c r="A1059" s="115" t="str">
        <x:v>EXT-MONDE-T022-V04</x:v>
      </x:c>
      <x:c r="B1059" s="115" t="str">
        <x:v>EXT-MONDE-T022</x:v>
      </x:c>
      <x:c r="C1059" s="115" t="str">
        <x:v>Fermes élevage</x:v>
      </x:c>
      <x:c r="D1059" s="115" t="str">
        <x:v>Élevage ovin</x:v>
      </x:c>
      <x:c r="E1059" s="115" t="n">
        <x:v>4</x:v>
      </x:c>
      <x:c r="F1059" s="115" t="str">
        <x:v>Inspection physique</x:v>
      </x:c>
      <x:c r="G1059" s="115" t="str">
        <x:v>1 niveaux ; 28 pièces ; 210 segments de mur ; 0 transitions. Inspection physique ; architecture complète encore ouverte.</x:v>
      </x:c>
      <x:c r="H1059" s="115" t="str">
        <x:v>L 260 ; l 224 ; hauteur 7 m ; choix de composition auteur ; dimensions réelles à documenter</x:v>
      </x:c>
      <x:c r="I1059" s="115" t="str">
        <x:v>À équilibrer</x:v>
      </x:c>
      <x:c r="J1059" s="115" t="str">
        <x:v>Non</x:v>
      </x:c>
      <x:c r="K1059" s="115" t="str">
        <x:v>Pièces décrites, murs, portes, niveaux et mobilier inspectables à l’échelle. Volumes réservés, raccord au seed, butin, rencontres et services de campagne restent à terminer.</x:v>
      </x:c>
    </x:row>
    <x:row r="1060" ht="96" customHeight="1">
      <x:c r="A1060" s="115" t="str">
        <x:v>EXT-MONDE-T022-V05</x:v>
      </x:c>
      <x:c r="B1060" s="115" t="str">
        <x:v>EXT-MONDE-T022</x:v>
      </x:c>
      <x:c r="C1060" s="115" t="str">
        <x:v>Fermes élevage</x:v>
      </x:c>
      <x:c r="D1060" s="115" t="str">
        <x:v>Élevage ovin</x:v>
      </x:c>
      <x:c r="E1060" s="115" t="n">
        <x:v>5</x:v>
      </x:c>
      <x:c r="F1060" s="115" t="str">
        <x:v>Inspection physique</x:v>
      </x:c>
      <x:c r="G1060" s="115" t="str">
        <x:v>1 niveaux ; 28 pièces ; 210 segments de mur ; 0 transitions. Inspection physique ; architecture complète encore ouverte.</x:v>
      </x:c>
      <x:c r="H1060" s="115" t="str">
        <x:v>L 260 ; l 224 ; hauteur 7 m ; choix de composition auteur ; dimensions réelles à documenter</x:v>
      </x:c>
      <x:c r="I1060" s="115" t="str">
        <x:v>À équilibrer</x:v>
      </x:c>
      <x:c r="J1060" s="115" t="str">
        <x:v>Non</x:v>
      </x:c>
      <x:c r="K1060" s="115" t="str">
        <x:v>Pièces décrites, murs, portes, niveaux et mobilier inspectables à l’échelle. Volumes réservés, raccord au seed, butin, rencontres et services de campagne restent à terminer.</x:v>
      </x:c>
    </x:row>
    <x:row r="1061" ht="96" customHeight="1">
      <x:c r="A1061" s="115" t="str">
        <x:v>EXT-MONDE-T022-V06</x:v>
      </x:c>
      <x:c r="B1061" s="115" t="str">
        <x:v>EXT-MONDE-T022</x:v>
      </x:c>
      <x:c r="C1061" s="115" t="str">
        <x:v>Fermes élevage</x:v>
      </x:c>
      <x:c r="D1061" s="115" t="str">
        <x:v>Élevage ovin</x:v>
      </x:c>
      <x:c r="E1061" s="115" t="n">
        <x:v>6</x:v>
      </x:c>
      <x:c r="F1061" s="115" t="str">
        <x:v>Inspection physique</x:v>
      </x:c>
      <x:c r="G1061" s="115" t="str">
        <x:v>1 niveaux ; 28 pièces ; 210 segments de mur ; 0 transitions. Inspection physique ; architecture complète encore ouverte.</x:v>
      </x:c>
      <x:c r="H1061" s="115" t="str">
        <x:v>L 260 ; l 224 ; hauteur 7 m ; choix de composition auteur ; dimensions réelles à documenter</x:v>
      </x:c>
      <x:c r="I1061" s="115" t="str">
        <x:v>À équilibrer</x:v>
      </x:c>
      <x:c r="J1061" s="115" t="str">
        <x:v>Non</x:v>
      </x:c>
      <x:c r="K1061" s="115" t="str">
        <x:v>Pièces décrites, murs, portes, niveaux et mobilier inspectables à l’échelle. Volumes réservés, raccord au seed, butin, rencontres et services de campagne restent à terminer.</x:v>
      </x:c>
    </x:row>
    <x:row r="1062" ht="96" customHeight="1">
      <x:c r="A1062" s="115" t="str">
        <x:v>EXT-MONDE-T022-V07</x:v>
      </x:c>
      <x:c r="B1062" s="115" t="str">
        <x:v>EXT-MONDE-T022</x:v>
      </x:c>
      <x:c r="C1062" s="115" t="str">
        <x:v>Fermes élevage</x:v>
      </x:c>
      <x:c r="D1062" s="115" t="str">
        <x:v>Élevage ovin</x:v>
      </x:c>
      <x:c r="E1062" s="115" t="n">
        <x:v>7</x:v>
      </x:c>
      <x:c r="F1062" s="115" t="str">
        <x:v>Inspection physique</x:v>
      </x:c>
      <x:c r="G1062" s="115" t="str">
        <x:v>1 niveaux ; 28 pièces ; 210 segments de mur ; 0 transitions. Inspection physique ; architecture complète encore ouverte.</x:v>
      </x:c>
      <x:c r="H1062" s="115" t="str">
        <x:v>L 260 ; l 224 ; hauteur 7 m ; choix de composition auteur ; dimensions réelles à documenter</x:v>
      </x:c>
      <x:c r="I1062" s="115" t="str">
        <x:v>À équilibrer</x:v>
      </x:c>
      <x:c r="J1062" s="115" t="str">
        <x:v>Non</x:v>
      </x:c>
      <x:c r="K1062" s="115" t="str">
        <x:v>Pièces décrites, murs, portes, niveaux et mobilier inspectables à l’échelle. Volumes réservés, raccord au seed, butin, rencontres et services de campagne restent à terminer.</x:v>
      </x:c>
    </x:row>
    <x:row r="1063" ht="96" customHeight="1">
      <x:c r="A1063" s="115" t="str">
        <x:v>EXT-MONDE-T022-V08</x:v>
      </x:c>
      <x:c r="B1063" s="115" t="str">
        <x:v>EXT-MONDE-T022</x:v>
      </x:c>
      <x:c r="C1063" s="115" t="str">
        <x:v>Fermes élevage</x:v>
      </x:c>
      <x:c r="D1063" s="115" t="str">
        <x:v>Élevage ovin</x:v>
      </x:c>
      <x:c r="E1063" s="115" t="n">
        <x:v>8</x:v>
      </x:c>
      <x:c r="F1063" s="115" t="str">
        <x:v>Inspection physique</x:v>
      </x:c>
      <x:c r="G1063" s="115" t="str">
        <x:v>1 niveaux ; 28 pièces ; 210 segments de mur ; 0 transitions. Inspection physique ; architecture complète encore ouverte.</x:v>
      </x:c>
      <x:c r="H1063" s="115" t="str">
        <x:v>L 260 ; l 224 ; hauteur 7 m ; choix de composition auteur ; dimensions réelles à documenter</x:v>
      </x:c>
      <x:c r="I1063" s="115" t="str">
        <x:v>À équilibrer</x:v>
      </x:c>
      <x:c r="J1063" s="115" t="str">
        <x:v>Non</x:v>
      </x:c>
      <x:c r="K1063" s="115" t="str">
        <x:v>Pièces décrites, murs, portes, niveaux et mobilier inspectables à l’échelle. Volumes réservés, raccord au seed, butin, rencontres et services de campagne restent à terminer.</x:v>
      </x:c>
    </x:row>
    <x:row r="1064" ht="96" customHeight="1">
      <x:c r="A1064" s="115" t="str">
        <x:v>EXT-MONDE-T022-V09</x:v>
      </x:c>
      <x:c r="B1064" s="115" t="str">
        <x:v>EXT-MONDE-T022</x:v>
      </x:c>
      <x:c r="C1064" s="115" t="str">
        <x:v>Fermes élevage</x:v>
      </x:c>
      <x:c r="D1064" s="115" t="str">
        <x:v>Élevage ovin</x:v>
      </x:c>
      <x:c r="E1064" s="115" t="n">
        <x:v>9</x:v>
      </x:c>
      <x:c r="F1064" s="115" t="str">
        <x:v>Inspection physique</x:v>
      </x:c>
      <x:c r="G1064" s="115" t="str">
        <x:v>1 niveaux ; 28 pièces ; 210 segments de mur ; 0 transitions. Inspection physique ; architecture complète encore ouverte.</x:v>
      </x:c>
      <x:c r="H1064" s="115" t="str">
        <x:v>L 260 ; l 224 ; hauteur 7 m ; choix de composition auteur ; dimensions réelles à documenter</x:v>
      </x:c>
      <x:c r="I1064" s="115" t="str">
        <x:v>À équilibrer</x:v>
      </x:c>
      <x:c r="J1064" s="115" t="str">
        <x:v>Non</x:v>
      </x:c>
      <x:c r="K1064" s="115" t="str">
        <x:v>Pièces décrites, murs, portes, niveaux et mobilier inspectables à l’échelle. Volumes réservés, raccord au seed, butin, rencontres et services de campagne restent à terminer.</x:v>
      </x:c>
    </x:row>
    <x:row r="1065" ht="96" customHeight="1">
      <x:c r="A1065" s="115" t="str">
        <x:v>EXT-MONDE-T022-V10</x:v>
      </x:c>
      <x:c r="B1065" s="115" t="str">
        <x:v>EXT-MONDE-T022</x:v>
      </x:c>
      <x:c r="C1065" s="115" t="str">
        <x:v>Fermes élevage</x:v>
      </x:c>
      <x:c r="D1065" s="115" t="str">
        <x:v>Élevage ovin</x:v>
      </x:c>
      <x:c r="E1065" s="115" t="n">
        <x:v>10</x:v>
      </x:c>
      <x:c r="F1065" s="115" t="str">
        <x:v>Inspection physique</x:v>
      </x:c>
      <x:c r="G1065" s="115" t="str">
        <x:v>1 niveaux ; 28 pièces ; 210 segments de mur ; 0 transitions. Inspection physique ; architecture complète encore ouverte.</x:v>
      </x:c>
      <x:c r="H1065" s="115" t="str">
        <x:v>L 260 ; l 224 ; hauteur 7 m ; choix de composition auteur ; dimensions réelles à documenter</x:v>
      </x:c>
      <x:c r="I1065" s="115" t="str">
        <x:v>À équilibrer</x:v>
      </x:c>
      <x:c r="J1065" s="115" t="str">
        <x:v>Non</x:v>
      </x:c>
      <x:c r="K1065" s="115" t="str">
        <x:v>Pièces décrites, murs, portes, niveaux et mobilier inspectables à l’échelle. Volumes réservés, raccord au seed, butin, rencontres et services de campagne restent à terminer.</x:v>
      </x:c>
    </x:row>
    <x:row r="1066" ht="96" customHeight="1">
      <x:c r="A1066" s="115" t="str">
        <x:v>EXT-MONDE-T022-V11</x:v>
      </x:c>
      <x:c r="B1066" s="115" t="str">
        <x:v>EXT-MONDE-T022</x:v>
      </x:c>
      <x:c r="C1066" s="115" t="str">
        <x:v>Fermes élevage</x:v>
      </x:c>
      <x:c r="D1066" s="115" t="str">
        <x:v>Élevage ovin</x:v>
      </x:c>
      <x:c r="E1066" s="115" t="n">
        <x:v>11</x:v>
      </x:c>
      <x:c r="F1066" s="115" t="str">
        <x:v>Inspection physique</x:v>
      </x:c>
      <x:c r="G1066" s="115" t="str">
        <x:v>1 niveaux ; 28 pièces ; 210 segments de mur ; 0 transitions. Inspection physique ; architecture complète encore ouverte.</x:v>
      </x:c>
      <x:c r="H1066" s="115" t="str">
        <x:v>L 280 ; l 248 ; hauteur 7 m ; choix de composition auteur ; dimensions réelles à documenter</x:v>
      </x:c>
      <x:c r="I1066" s="115" t="str">
        <x:v>À équilibrer</x:v>
      </x:c>
      <x:c r="J1066" s="115" t="str">
        <x:v>Non</x:v>
      </x:c>
      <x:c r="K1066" s="115" t="str">
        <x:v>Pièces décrites, murs, portes, niveaux et mobilier inspectables à l’échelle. Volumes réservés, raccord au seed, butin, rencontres et services de campagne restent à terminer.</x:v>
      </x:c>
    </x:row>
    <x:row r="1067" ht="96" customHeight="1">
      <x:c r="A1067" s="115" t="str">
        <x:v>EXT-MONDE-T022-V12</x:v>
      </x:c>
      <x:c r="B1067" s="115" t="str">
        <x:v>EXT-MONDE-T022</x:v>
      </x:c>
      <x:c r="C1067" s="115" t="str">
        <x:v>Fermes élevage</x:v>
      </x:c>
      <x:c r="D1067" s="115" t="str">
        <x:v>Élevage ovin</x:v>
      </x:c>
      <x:c r="E1067" s="115" t="n">
        <x:v>12</x:v>
      </x:c>
      <x:c r="F1067" s="115" t="str">
        <x:v>Inspection physique</x:v>
      </x:c>
      <x:c r="G1067" s="115" t="str">
        <x:v>1 niveaux ; 28 pièces ; 210 segments de mur ; 0 transitions. Inspection physique ; architecture complète encore ouverte.</x:v>
      </x:c>
      <x:c r="H1067" s="115" t="str">
        <x:v>L 280 ; l 248 ; hauteur 7 m ; choix de composition auteur ; dimensions réelles à documenter</x:v>
      </x:c>
      <x:c r="I1067" s="115" t="str">
        <x:v>À équilibrer</x:v>
      </x:c>
      <x:c r="J1067" s="115" t="str">
        <x:v>Non</x:v>
      </x:c>
      <x:c r="K1067" s="115" t="str">
        <x:v>Pièces décrites, murs, portes, niveaux et mobilier inspectables à l’échelle. Volumes réservés, raccord au seed, butin, rencontres et services de campagne restent à terminer.</x:v>
      </x:c>
    </x:row>
    <x:row r="1068" ht="96" customHeight="1">
      <x:c r="A1068" s="115" t="str">
        <x:v>EXT-MONDE-T022-V13</x:v>
      </x:c>
      <x:c r="B1068" s="115" t="str">
        <x:v>EXT-MONDE-T022</x:v>
      </x:c>
      <x:c r="C1068" s="115" t="str">
        <x:v>Fermes élevage</x:v>
      </x:c>
      <x:c r="D1068" s="115" t="str">
        <x:v>Élevage ovin</x:v>
      </x:c>
      <x:c r="E1068" s="115" t="n">
        <x:v>13</x:v>
      </x:c>
      <x:c r="F1068" s="115" t="str">
        <x:v>Inspection physique</x:v>
      </x:c>
      <x:c r="G1068" s="115" t="str">
        <x:v>1 niveaux ; 28 pièces ; 210 segments de mur ; 0 transitions. Inspection physique ; architecture complète encore ouverte.</x:v>
      </x:c>
      <x:c r="H1068" s="115" t="str">
        <x:v>L 280 ; l 248 ; hauteur 7 m ; choix de composition auteur ; dimensions réelles à documenter</x:v>
      </x:c>
      <x:c r="I1068" s="115" t="str">
        <x:v>À équilibrer</x:v>
      </x:c>
      <x:c r="J1068" s="115" t="str">
        <x:v>Non</x:v>
      </x:c>
      <x:c r="K1068" s="115" t="str">
        <x:v>Pièces décrites, murs, portes, niveaux et mobilier inspectables à l’échelle. Volumes réservés, raccord au seed, butin, rencontres et services de campagne restent à terminer.</x:v>
      </x:c>
    </x:row>
    <x:row r="1069" ht="96" customHeight="1">
      <x:c r="A1069" s="115" t="str">
        <x:v>EXT-MONDE-T022-V14</x:v>
      </x:c>
      <x:c r="B1069" s="115" t="str">
        <x:v>EXT-MONDE-T022</x:v>
      </x:c>
      <x:c r="C1069" s="115" t="str">
        <x:v>Fermes élevage</x:v>
      </x:c>
      <x:c r="D1069" s="115" t="str">
        <x:v>Élevage ovin</x:v>
      </x:c>
      <x:c r="E1069" s="115" t="n">
        <x:v>14</x:v>
      </x:c>
      <x:c r="F1069" s="115" t="str">
        <x:v>Inspection physique</x:v>
      </x:c>
      <x:c r="G1069" s="115" t="str">
        <x:v>1 niveaux ; 28 pièces ; 210 segments de mur ; 0 transitions. Inspection physique ; architecture complète encore ouverte.</x:v>
      </x:c>
      <x:c r="H1069" s="115" t="str">
        <x:v>L 280 ; l 248 ; hauteur 7 m ; choix de composition auteur ; dimensions réelles à documenter</x:v>
      </x:c>
      <x:c r="I1069" s="115" t="str">
        <x:v>À équilibrer</x:v>
      </x:c>
      <x:c r="J1069" s="115" t="str">
        <x:v>Non</x:v>
      </x:c>
      <x:c r="K1069" s="115" t="str">
        <x:v>Pièces décrites, murs, portes, niveaux et mobilier inspectables à l’échelle. Volumes réservés, raccord au seed, butin, rencontres et services de campagne restent à terminer.</x:v>
      </x:c>
    </x:row>
    <x:row r="1070" ht="96" customHeight="1">
      <x:c r="A1070" s="115" t="str">
        <x:v>EXT-MONDE-T022-V15</x:v>
      </x:c>
      <x:c r="B1070" s="115" t="str">
        <x:v>EXT-MONDE-T022</x:v>
      </x:c>
      <x:c r="C1070" s="115" t="str">
        <x:v>Fermes élevage</x:v>
      </x:c>
      <x:c r="D1070" s="115" t="str">
        <x:v>Élevage ovin</x:v>
      </x:c>
      <x:c r="E1070" s="115" t="n">
        <x:v>15</x:v>
      </x:c>
      <x:c r="F1070" s="115" t="str">
        <x:v>Inspection physique</x:v>
      </x:c>
      <x:c r="G1070" s="115" t="str">
        <x:v>1 niveaux ; 28 pièces ; 210 segments de mur ; 0 transitions. Inspection physique ; architecture complète encore ouverte.</x:v>
      </x:c>
      <x:c r="H1070" s="115" t="str">
        <x:v>L 280 ; l 248 ; hauteur 7 m ; choix de composition auteur ; dimensions réelles à documenter</x:v>
      </x:c>
      <x:c r="I1070" s="115" t="str">
        <x:v>À équilibrer</x:v>
      </x:c>
      <x:c r="J1070" s="115" t="str">
        <x:v>Non</x:v>
      </x:c>
      <x:c r="K1070" s="115" t="str">
        <x:v>Pièces décrites, murs, portes, niveaux et mobilier inspectables à l’échelle. Volumes réservés, raccord au seed, butin, rencontres et services de campagne restent à terminer.</x:v>
      </x:c>
    </x:row>
    <x:row r="1071" ht="96" customHeight="1">
      <x:c r="A1071" s="115" t="str">
        <x:v>EXT-MONDE-T022-V16</x:v>
      </x:c>
      <x:c r="B1071" s="115" t="str">
        <x:v>EXT-MONDE-T022</x:v>
      </x:c>
      <x:c r="C1071" s="115" t="str">
        <x:v>Fermes élevage</x:v>
      </x:c>
      <x:c r="D1071" s="115" t="str">
        <x:v>Élevage ovin</x:v>
      </x:c>
      <x:c r="E1071" s="115" t="n">
        <x:v>16</x:v>
      </x:c>
      <x:c r="F1071" s="115" t="str">
        <x:v>Inspection physique</x:v>
      </x:c>
      <x:c r="G1071" s="115" t="str">
        <x:v>1 niveaux ; 28 pièces ; 210 segments de mur ; 0 transitions. Inspection physique ; architecture complète encore ouverte.</x:v>
      </x:c>
      <x:c r="H1071" s="115" t="str">
        <x:v>L 280 ; l 248 ; hauteur 7 m ; choix de composition auteur ; dimensions réelles à documenter</x:v>
      </x:c>
      <x:c r="I1071" s="115" t="str">
        <x:v>À équilibrer</x:v>
      </x:c>
      <x:c r="J1071" s="115" t="str">
        <x:v>Non</x:v>
      </x:c>
      <x:c r="K1071" s="115" t="str">
        <x:v>Pièces décrites, murs, portes, niveaux et mobilier inspectables à l’échelle. Volumes réservés, raccord au seed, butin, rencontres et services de campagne restent à terminer.</x:v>
      </x:c>
    </x:row>
    <x:row r="1072" ht="96" customHeight="1">
      <x:c r="A1072" s="115" t="str">
        <x:v>EXT-MONDE-T022-V17</x:v>
      </x:c>
      <x:c r="B1072" s="115" t="str">
        <x:v>EXT-MONDE-T022</x:v>
      </x:c>
      <x:c r="C1072" s="115" t="str">
        <x:v>Fermes élevage</x:v>
      </x:c>
      <x:c r="D1072" s="115" t="str">
        <x:v>Élevage ovin</x:v>
      </x:c>
      <x:c r="E1072" s="115" t="n">
        <x:v>17</x:v>
      </x:c>
      <x:c r="F1072" s="115" t="str">
        <x:v>Inspection physique</x:v>
      </x:c>
      <x:c r="G1072" s="115" t="str">
        <x:v>1 niveaux ; 28 pièces ; 210 segments de mur ; 0 transitions. Inspection physique ; architecture complète encore ouverte.</x:v>
      </x:c>
      <x:c r="H1072" s="115" t="str">
        <x:v>L 280 ; l 248 ; hauteur 7 m ; choix de composition auteur ; dimensions réelles à documenter</x:v>
      </x:c>
      <x:c r="I1072" s="115" t="str">
        <x:v>À équilibrer</x:v>
      </x:c>
      <x:c r="J1072" s="115" t="str">
        <x:v>Non</x:v>
      </x:c>
      <x:c r="K1072" s="115" t="str">
        <x:v>Pièces décrites, murs, portes, niveaux et mobilier inspectables à l’échelle. Volumes réservés, raccord au seed, butin, rencontres et services de campagne restent à terminer.</x:v>
      </x:c>
    </x:row>
    <x:row r="1073" ht="96" customHeight="1">
      <x:c r="A1073" s="115" t="str">
        <x:v>EXT-MONDE-T022-V18</x:v>
      </x:c>
      <x:c r="B1073" s="115" t="str">
        <x:v>EXT-MONDE-T022</x:v>
      </x:c>
      <x:c r="C1073" s="115" t="str">
        <x:v>Fermes élevage</x:v>
      </x:c>
      <x:c r="D1073" s="115" t="str">
        <x:v>Élevage ovin</x:v>
      </x:c>
      <x:c r="E1073" s="115" t="n">
        <x:v>18</x:v>
      </x:c>
      <x:c r="F1073" s="115" t="str">
        <x:v>Inspection physique</x:v>
      </x:c>
      <x:c r="G1073" s="115" t="str">
        <x:v>1 niveaux ; 28 pièces ; 210 segments de mur ; 0 transitions. Inspection physique ; architecture complète encore ouverte.</x:v>
      </x:c>
      <x:c r="H1073" s="115" t="str">
        <x:v>L 280 ; l 248 ; hauteur 7 m ; choix de composition auteur ; dimensions réelles à documenter</x:v>
      </x:c>
      <x:c r="I1073" s="115" t="str">
        <x:v>À équilibrer</x:v>
      </x:c>
      <x:c r="J1073" s="115" t="str">
        <x:v>Non</x:v>
      </x:c>
      <x:c r="K1073" s="115" t="str">
        <x:v>Pièces décrites, murs, portes, niveaux et mobilier inspectables à l’échelle. Volumes réservés, raccord au seed, butin, rencontres et services de campagne restent à terminer.</x:v>
      </x:c>
    </x:row>
    <x:row r="1074" ht="96" customHeight="1">
      <x:c r="A1074" s="115" t="str">
        <x:v>EXT-MONDE-T022-V19</x:v>
      </x:c>
      <x:c r="B1074" s="115" t="str">
        <x:v>EXT-MONDE-T022</x:v>
      </x:c>
      <x:c r="C1074" s="115" t="str">
        <x:v>Fermes élevage</x:v>
      </x:c>
      <x:c r="D1074" s="115" t="str">
        <x:v>Élevage ovin</x:v>
      </x:c>
      <x:c r="E1074" s="115" t="n">
        <x:v>19</x:v>
      </x:c>
      <x:c r="F1074" s="115" t="str">
        <x:v>Inspection physique</x:v>
      </x:c>
      <x:c r="G1074" s="115" t="str">
        <x:v>1 niveaux ; 28 pièces ; 210 segments de mur ; 0 transitions. Inspection physique ; architecture complète encore ouverte.</x:v>
      </x:c>
      <x:c r="H1074" s="115" t="str">
        <x:v>L 280 ; l 248 ; hauteur 7 m ; choix de composition auteur ; dimensions réelles à documenter</x:v>
      </x:c>
      <x:c r="I1074" s="115" t="str">
        <x:v>À équilibrer</x:v>
      </x:c>
      <x:c r="J1074" s="115" t="str">
        <x:v>Non</x:v>
      </x:c>
      <x:c r="K1074" s="115" t="str">
        <x:v>Pièces décrites, murs, portes, niveaux et mobilier inspectables à l’échelle. Volumes réservés, raccord au seed, butin, rencontres et services de campagne restent à terminer.</x:v>
      </x:c>
    </x:row>
    <x:row r="1075" ht="96" customHeight="1">
      <x:c r="A1075" s="115" t="str">
        <x:v>EXT-MONDE-T022-V20</x:v>
      </x:c>
      <x:c r="B1075" s="115" t="str">
        <x:v>EXT-MONDE-T022</x:v>
      </x:c>
      <x:c r="C1075" s="115" t="str">
        <x:v>Fermes élevage</x:v>
      </x:c>
      <x:c r="D1075" s="115" t="str">
        <x:v>Élevage ovin</x:v>
      </x:c>
      <x:c r="E1075" s="115" t="n">
        <x:v>20</x:v>
      </x:c>
      <x:c r="F1075" s="115" t="str">
        <x:v>Inspection physique</x:v>
      </x:c>
      <x:c r="G1075" s="115" t="str">
        <x:v>1 niveaux ; 28 pièces ; 210 segments de mur ; 0 transitions. Inspection physique ; architecture complète encore ouverte.</x:v>
      </x:c>
      <x:c r="H1075" s="115" t="str">
        <x:v>L 280 ; l 248 ; hauteur 7 m ; choix de composition auteur ; dimensions réelles à documenter</x:v>
      </x:c>
      <x:c r="I1075" s="115" t="str">
        <x:v>À équilibrer</x:v>
      </x:c>
      <x:c r="J1075" s="115" t="str">
        <x:v>Non</x:v>
      </x:c>
      <x:c r="K1075" s="115" t="str">
        <x:v>Pièces décrites, murs, portes, niveaux et mobilier inspectables à l’échelle. Volumes réservés, raccord au seed, butin, rencontres et services de campagne restent à terminer.</x:v>
      </x:c>
    </x:row>
    <x:row r="1076" ht="96" customHeight="1">
      <x:c r="A1076" s="115" t="str">
        <x:v>EXT-MONDE-T022-V21</x:v>
      </x:c>
      <x:c r="B1076" s="115" t="str">
        <x:v>EXT-MONDE-T022</x:v>
      </x:c>
      <x:c r="C1076" s="115" t="str">
        <x:v>Fermes élevage</x:v>
      </x:c>
      <x:c r="D1076" s="115" t="str">
        <x:v>Élevage ovin</x:v>
      </x:c>
      <x:c r="E1076" s="115" t="n">
        <x:v>21</x:v>
      </x:c>
      <x:c r="F1076" s="115" t="str">
        <x:v>Inspection physique</x:v>
      </x:c>
      <x:c r="G1076" s="115" t="str">
        <x:v>1 niveaux ; 28 pièces ; 210 segments de mur ; 0 transitions. Inspection physique ; architecture complète encore ouverte.</x:v>
      </x:c>
      <x:c r="H1076" s="115" t="str">
        <x:v>L 300 ; l 272 ; hauteur 7 m ; choix de composition auteur ; dimensions réelles à documenter</x:v>
      </x:c>
      <x:c r="I1076" s="115" t="str">
        <x:v>À équilibrer</x:v>
      </x:c>
      <x:c r="J1076" s="115" t="str">
        <x:v>Non</x:v>
      </x:c>
      <x:c r="K1076" s="115" t="str">
        <x:v>Pièces décrites, murs, portes, niveaux et mobilier inspectables à l’échelle. Volumes réservés, raccord au seed, butin, rencontres et services de campagne restent à terminer.</x:v>
      </x:c>
    </x:row>
    <x:row r="1077" ht="96" customHeight="1">
      <x:c r="A1077" s="115" t="str">
        <x:v>EXT-MONDE-T022-V22</x:v>
      </x:c>
      <x:c r="B1077" s="115" t="str">
        <x:v>EXT-MONDE-T022</x:v>
      </x:c>
      <x:c r="C1077" s="115" t="str">
        <x:v>Fermes élevage</x:v>
      </x:c>
      <x:c r="D1077" s="115" t="str">
        <x:v>Élevage ovin</x:v>
      </x:c>
      <x:c r="E1077" s="115" t="n">
        <x:v>22</x:v>
      </x:c>
      <x:c r="F1077" s="115" t="str">
        <x:v>Inspection physique</x:v>
      </x:c>
      <x:c r="G1077" s="115" t="str">
        <x:v>1 niveaux ; 28 pièces ; 210 segments de mur ; 0 transitions. Inspection physique ; architecture complète encore ouverte.</x:v>
      </x:c>
      <x:c r="H1077" s="115" t="str">
        <x:v>L 300 ; l 272 ; hauteur 7 m ; choix de composition auteur ; dimensions réelles à documenter</x:v>
      </x:c>
      <x:c r="I1077" s="115" t="str">
        <x:v>À équilibrer</x:v>
      </x:c>
      <x:c r="J1077" s="115" t="str">
        <x:v>Non</x:v>
      </x:c>
      <x:c r="K1077" s="115" t="str">
        <x:v>Pièces décrites, murs, portes, niveaux et mobilier inspectables à l’échelle. Volumes réservés, raccord au seed, butin, rencontres et services de campagne restent à terminer.</x:v>
      </x:c>
    </x:row>
    <x:row r="1078" ht="96" customHeight="1">
      <x:c r="A1078" s="115" t="str">
        <x:v>EXT-MONDE-T022-V23</x:v>
      </x:c>
      <x:c r="B1078" s="115" t="str">
        <x:v>EXT-MONDE-T022</x:v>
      </x:c>
      <x:c r="C1078" s="115" t="str">
        <x:v>Fermes élevage</x:v>
      </x:c>
      <x:c r="D1078" s="115" t="str">
        <x:v>Élevage ovin</x:v>
      </x:c>
      <x:c r="E1078" s="115" t="n">
        <x:v>23</x:v>
      </x:c>
      <x:c r="F1078" s="115" t="str">
        <x:v>Inspection physique</x:v>
      </x:c>
      <x:c r="G1078" s="115" t="str">
        <x:v>1 niveaux ; 28 pièces ; 210 segments de mur ; 0 transitions. Inspection physique ; architecture complète encore ouverte.</x:v>
      </x:c>
      <x:c r="H1078" s="115" t="str">
        <x:v>L 300 ; l 272 ; hauteur 7 m ; choix de composition auteur ; dimensions réelles à documenter</x:v>
      </x:c>
      <x:c r="I1078" s="115" t="str">
        <x:v>À équilibrer</x:v>
      </x:c>
      <x:c r="J1078" s="115" t="str">
        <x:v>Non</x:v>
      </x:c>
      <x:c r="K1078" s="115" t="str">
        <x:v>Pièces décrites, murs, portes, niveaux et mobilier inspectables à l’échelle. Volumes réservés, raccord au seed, butin, rencontres et services de campagne restent à terminer.</x:v>
      </x:c>
    </x:row>
    <x:row r="1079" ht="96" customHeight="1">
      <x:c r="A1079" s="115" t="str">
        <x:v>EXT-MONDE-T022-V24</x:v>
      </x:c>
      <x:c r="B1079" s="115" t="str">
        <x:v>EXT-MONDE-T022</x:v>
      </x:c>
      <x:c r="C1079" s="115" t="str">
        <x:v>Fermes élevage</x:v>
      </x:c>
      <x:c r="D1079" s="115" t="str">
        <x:v>Élevage ovin</x:v>
      </x:c>
      <x:c r="E1079" s="115" t="n">
        <x:v>24</x:v>
      </x:c>
      <x:c r="F1079" s="115" t="str">
        <x:v>Inspection physique</x:v>
      </x:c>
      <x:c r="G1079" s="115" t="str">
        <x:v>1 niveaux ; 28 pièces ; 210 segments de mur ; 0 transitions. Inspection physique ; architecture complète encore ouverte.</x:v>
      </x:c>
      <x:c r="H1079" s="115" t="str">
        <x:v>L 300 ; l 272 ; hauteur 7 m ; choix de composition auteur ; dimensions réelles à documenter</x:v>
      </x:c>
      <x:c r="I1079" s="115" t="str">
        <x:v>À équilibrer</x:v>
      </x:c>
      <x:c r="J1079" s="115" t="str">
        <x:v>Non</x:v>
      </x:c>
      <x:c r="K1079" s="115" t="str">
        <x:v>Pièces décrites, murs, portes, niveaux et mobilier inspectables à l’échelle. Volumes réservés, raccord au seed, butin, rencontres et services de campagne restent à terminer.</x:v>
      </x:c>
    </x:row>
    <x:row r="1080" ht="96" customHeight="1">
      <x:c r="A1080" s="115" t="str">
        <x:v>EXT-MONDE-T022-V25</x:v>
      </x:c>
      <x:c r="B1080" s="115" t="str">
        <x:v>EXT-MONDE-T022</x:v>
      </x:c>
      <x:c r="C1080" s="115" t="str">
        <x:v>Fermes élevage</x:v>
      </x:c>
      <x:c r="D1080" s="115" t="str">
        <x:v>Élevage ovin</x:v>
      </x:c>
      <x:c r="E1080" s="115" t="n">
        <x:v>25</x:v>
      </x:c>
      <x:c r="F1080" s="115" t="str">
        <x:v>Inspection physique</x:v>
      </x:c>
      <x:c r="G1080" s="115" t="str">
        <x:v>1 niveaux ; 28 pièces ; 210 segments de mur ; 0 transitions. Inspection physique ; architecture complète encore ouverte.</x:v>
      </x:c>
      <x:c r="H1080" s="115" t="str">
        <x:v>L 300 ; l 272 ; hauteur 7 m ; choix de composition auteur ; dimensions réelles à documenter</x:v>
      </x:c>
      <x:c r="I1080" s="115" t="str">
        <x:v>À équilibrer</x:v>
      </x:c>
      <x:c r="J1080" s="115" t="str">
        <x:v>Non</x:v>
      </x:c>
      <x:c r="K1080" s="115" t="str">
        <x:v>Pièces décrites, murs, portes, niveaux et mobilier inspectables à l’échelle. Volumes réservés, raccord au seed, butin, rencontres et services de campagne restent à terminer.</x:v>
      </x:c>
    </x:row>
    <x:row r="1081" ht="96" customHeight="1">
      <x:c r="A1081" s="115" t="str">
        <x:v>EXT-MONDE-T022-V26</x:v>
      </x:c>
      <x:c r="B1081" s="115" t="str">
        <x:v>EXT-MONDE-T022</x:v>
      </x:c>
      <x:c r="C1081" s="115" t="str">
        <x:v>Fermes élevage</x:v>
      </x:c>
      <x:c r="D1081" s="115" t="str">
        <x:v>Élevage ovin</x:v>
      </x:c>
      <x:c r="E1081" s="115" t="n">
        <x:v>26</x:v>
      </x:c>
      <x:c r="F1081" s="115" t="str">
        <x:v>Inspection physique</x:v>
      </x:c>
      <x:c r="G1081" s="115" t="str">
        <x:v>1 niveaux ; 28 pièces ; 210 segments de mur ; 0 transitions. Inspection physique ; architecture complète encore ouverte.</x:v>
      </x:c>
      <x:c r="H1081" s="115" t="str">
        <x:v>L 300 ; l 272 ; hauteur 7 m ; choix de composition auteur ; dimensions réelles à documenter</x:v>
      </x:c>
      <x:c r="I1081" s="115" t="str">
        <x:v>À équilibrer</x:v>
      </x:c>
      <x:c r="J1081" s="115" t="str">
        <x:v>Non</x:v>
      </x:c>
      <x:c r="K1081" s="115" t="str">
        <x:v>Pièces décrites, murs, portes, niveaux et mobilier inspectables à l’échelle. Volumes réservés, raccord au seed, butin, rencontres et services de campagne restent à terminer.</x:v>
      </x:c>
    </x:row>
    <x:row r="1082" ht="96" customHeight="1">
      <x:c r="A1082" s="115" t="str">
        <x:v>EXT-MONDE-T022-V27</x:v>
      </x:c>
      <x:c r="B1082" s="115" t="str">
        <x:v>EXT-MONDE-T022</x:v>
      </x:c>
      <x:c r="C1082" s="115" t="str">
        <x:v>Fermes élevage</x:v>
      </x:c>
      <x:c r="D1082" s="115" t="str">
        <x:v>Élevage ovin</x:v>
      </x:c>
      <x:c r="E1082" s="115" t="n">
        <x:v>27</x:v>
      </x:c>
      <x:c r="F1082" s="115" t="str">
        <x:v>Inspection physique</x:v>
      </x:c>
      <x:c r="G1082" s="115" t="str">
        <x:v>1 niveaux ; 28 pièces ; 210 segments de mur ; 0 transitions. Inspection physique ; architecture complète encore ouverte.</x:v>
      </x:c>
      <x:c r="H1082" s="115" t="str">
        <x:v>L 300 ; l 272 ; hauteur 7 m ; choix de composition auteur ; dimensions réelles à documenter</x:v>
      </x:c>
      <x:c r="I1082" s="115" t="str">
        <x:v>À équilibrer</x:v>
      </x:c>
      <x:c r="J1082" s="115" t="str">
        <x:v>Non</x:v>
      </x:c>
      <x:c r="K1082" s="115" t="str">
        <x:v>Pièces décrites, murs, portes, niveaux et mobilier inspectables à l’échelle. Volumes réservés, raccord au seed, butin, rencontres et services de campagne restent à terminer.</x:v>
      </x:c>
    </x:row>
    <x:row r="1083" ht="96" customHeight="1">
      <x:c r="A1083" s="115" t="str">
        <x:v>EXT-MONDE-T022-V28</x:v>
      </x:c>
      <x:c r="B1083" s="115" t="str">
        <x:v>EXT-MONDE-T022</x:v>
      </x:c>
      <x:c r="C1083" s="115" t="str">
        <x:v>Fermes élevage</x:v>
      </x:c>
      <x:c r="D1083" s="115" t="str">
        <x:v>Élevage ovin</x:v>
      </x:c>
      <x:c r="E1083" s="115" t="n">
        <x:v>28</x:v>
      </x:c>
      <x:c r="F1083" s="115" t="str">
        <x:v>Inspection physique</x:v>
      </x:c>
      <x:c r="G1083" s="115" t="str">
        <x:v>1 niveaux ; 28 pièces ; 210 segments de mur ; 0 transitions. Inspection physique ; architecture complète encore ouverte.</x:v>
      </x:c>
      <x:c r="H1083" s="115" t="str">
        <x:v>L 300 ; l 272 ; hauteur 7 m ; choix de composition auteur ; dimensions réelles à documenter</x:v>
      </x:c>
      <x:c r="I1083" s="115" t="str">
        <x:v>À équilibrer</x:v>
      </x:c>
      <x:c r="J1083" s="115" t="str">
        <x:v>Non</x:v>
      </x:c>
      <x:c r="K1083" s="115" t="str">
        <x:v>Pièces décrites, murs, portes, niveaux et mobilier inspectables à l’échelle. Volumes réservés, raccord au seed, butin, rencontres et services de campagne restent à terminer.</x:v>
      </x:c>
    </x:row>
    <x:row r="1084" ht="96" customHeight="1">
      <x:c r="A1084" s="115" t="str">
        <x:v>EXT-MONDE-T022-V29</x:v>
      </x:c>
      <x:c r="B1084" s="115" t="str">
        <x:v>EXT-MONDE-T022</x:v>
      </x:c>
      <x:c r="C1084" s="115" t="str">
        <x:v>Fermes élevage</x:v>
      </x:c>
      <x:c r="D1084" s="115" t="str">
        <x:v>Élevage ovin</x:v>
      </x:c>
      <x:c r="E1084" s="115" t="n">
        <x:v>29</x:v>
      </x:c>
      <x:c r="F1084" s="115" t="str">
        <x:v>Inspection physique</x:v>
      </x:c>
      <x:c r="G1084" s="115" t="str">
        <x:v>1 niveaux ; 28 pièces ; 210 segments de mur ; 0 transitions. Inspection physique ; architecture complète encore ouverte.</x:v>
      </x:c>
      <x:c r="H1084" s="115" t="str">
        <x:v>L 300 ; l 272 ; hauteur 7 m ; choix de composition auteur ; dimensions réelles à documenter</x:v>
      </x:c>
      <x:c r="I1084" s="115" t="str">
        <x:v>À équilibrer</x:v>
      </x:c>
      <x:c r="J1084" s="115" t="str">
        <x:v>Non</x:v>
      </x:c>
      <x:c r="K1084" s="115" t="str">
        <x:v>Pièces décrites, murs, portes, niveaux et mobilier inspectables à l’échelle. Volumes réservés, raccord au seed, butin, rencontres et services de campagne restent à terminer.</x:v>
      </x:c>
    </x:row>
    <x:row r="1085" ht="96" customHeight="1">
      <x:c r="A1085" s="115" t="str">
        <x:v>EXT-MONDE-T022-V30</x:v>
      </x:c>
      <x:c r="B1085" s="115" t="str">
        <x:v>EXT-MONDE-T022</x:v>
      </x:c>
      <x:c r="C1085" s="115" t="str">
        <x:v>Fermes élevage</x:v>
      </x:c>
      <x:c r="D1085" s="115" t="str">
        <x:v>Élevage ovin</x:v>
      </x:c>
      <x:c r="E1085" s="115" t="n">
        <x:v>30</x:v>
      </x:c>
      <x:c r="F1085" s="115" t="str">
        <x:v>Inspection physique</x:v>
      </x:c>
      <x:c r="G1085" s="115" t="str">
        <x:v>1 niveaux ; 28 pièces ; 210 segments de mur ; 0 transitions. Inspection physique ; architecture complète encore ouverte.</x:v>
      </x:c>
      <x:c r="H1085" s="115" t="str">
        <x:v>L 300 ; l 272 ; hauteur 7 m ; choix de composition auteur ; dimensions réelles à documenter</x:v>
      </x:c>
      <x:c r="I1085" s="115" t="str">
        <x:v>À équilibrer</x:v>
      </x:c>
      <x:c r="J1085" s="115" t="str">
        <x:v>Non</x:v>
      </x:c>
      <x:c r="K1085" s="115" t="str">
        <x:v>Pièces décrites, murs, portes, niveaux et mobilier inspectables à l’échelle. Volumes réservés, raccord au seed, butin, rencontres et services de campagne restent à terminer.</x:v>
      </x:c>
    </x:row>
    <x:row r="1086" ht="96" customHeight="1">
      <x:c r="A1086" s="115" t="str">
        <x:v>EXT-MONDE-T022-V31</x:v>
      </x:c>
      <x:c r="B1086" s="115" t="str">
        <x:v>EXT-MONDE-T022</x:v>
      </x:c>
      <x:c r="C1086" s="115" t="str">
        <x:v>Fermes élevage</x:v>
      </x:c>
      <x:c r="D1086" s="115" t="str">
        <x:v>Élevage ovin</x:v>
      </x:c>
      <x:c r="E1086" s="115" t="n">
        <x:v>31</x:v>
      </x:c>
      <x:c r="F1086" s="115" t="str">
        <x:v>Inspection physique</x:v>
      </x:c>
      <x:c r="G1086" s="115" t="str">
        <x:v>1 niveaux ; 28 pièces ; 210 segments de mur ; 0 transitions. Inspection physique ; architecture complète encore ouverte.</x:v>
      </x:c>
      <x:c r="H1086" s="115" t="str">
        <x:v>L 320 ; l 296 ; hauteur 7,1 m ; choix de composition auteur ; dimensions réelles à documenter</x:v>
      </x:c>
      <x:c r="I1086" s="115" t="str">
        <x:v>À équilibrer</x:v>
      </x:c>
      <x:c r="J1086" s="115" t="str">
        <x:v>Non</x:v>
      </x:c>
      <x:c r="K1086" s="115" t="str">
        <x:v>Pièces décrites, murs, portes, niveaux et mobilier inspectables à l’échelle. Volumes réservés, raccord au seed, butin, rencontres et services de campagne restent à terminer.</x:v>
      </x:c>
    </x:row>
    <x:row r="1087" ht="96" customHeight="1">
      <x:c r="A1087" s="115" t="str">
        <x:v>EXT-MONDE-T022-V32</x:v>
      </x:c>
      <x:c r="B1087" s="115" t="str">
        <x:v>EXT-MONDE-T022</x:v>
      </x:c>
      <x:c r="C1087" s="115" t="str">
        <x:v>Fermes élevage</x:v>
      </x:c>
      <x:c r="D1087" s="115" t="str">
        <x:v>Élevage ovin</x:v>
      </x:c>
      <x:c r="E1087" s="115" t="n">
        <x:v>32</x:v>
      </x:c>
      <x:c r="F1087" s="115" t="str">
        <x:v>Inspection physique</x:v>
      </x:c>
      <x:c r="G1087" s="115" t="str">
        <x:v>1 niveaux ; 28 pièces ; 210 segments de mur ; 0 transitions. Inspection physique ; architecture complète encore ouverte.</x:v>
      </x:c>
      <x:c r="H1087" s="115" t="str">
        <x:v>L 320 ; l 296 ; hauteur 7,1 m ; choix de composition auteur ; dimensions réelles à documenter</x:v>
      </x:c>
      <x:c r="I1087" s="115" t="str">
        <x:v>À équilibrer</x:v>
      </x:c>
      <x:c r="J1087" s="115" t="str">
        <x:v>Non</x:v>
      </x:c>
      <x:c r="K1087" s="115" t="str">
        <x:v>Pièces décrites, murs, portes, niveaux et mobilier inspectables à l’échelle. Volumes réservés, raccord au seed, butin, rencontres et services de campagne restent à terminer.</x:v>
      </x:c>
    </x:row>
    <x:row r="1088" ht="96" customHeight="1">
      <x:c r="A1088" s="115" t="str">
        <x:v>EXT-MONDE-T022-V33</x:v>
      </x:c>
      <x:c r="B1088" s="115" t="str">
        <x:v>EXT-MONDE-T022</x:v>
      </x:c>
      <x:c r="C1088" s="115" t="str">
        <x:v>Fermes élevage</x:v>
      </x:c>
      <x:c r="D1088" s="115" t="str">
        <x:v>Élevage ovin</x:v>
      </x:c>
      <x:c r="E1088" s="115" t="n">
        <x:v>33</x:v>
      </x:c>
      <x:c r="F1088" s="115" t="str">
        <x:v>Inspection physique</x:v>
      </x:c>
      <x:c r="G1088" s="115" t="str">
        <x:v>1 niveaux ; 28 pièces ; 210 segments de mur ; 0 transitions. Inspection physique ; architecture complète encore ouverte.</x:v>
      </x:c>
      <x:c r="H1088" s="115" t="str">
        <x:v>L 320 ; l 296 ; hauteur 7,1 m ; choix de composition auteur ; dimensions réelles à documenter</x:v>
      </x:c>
      <x:c r="I1088" s="115" t="str">
        <x:v>À équilibrer</x:v>
      </x:c>
      <x:c r="J1088" s="115" t="str">
        <x:v>Non</x:v>
      </x:c>
      <x:c r="K1088" s="115" t="str">
        <x:v>Pièces décrites, murs, portes, niveaux et mobilier inspectables à l’échelle. Volumes réservés, raccord au seed, butin, rencontres et services de campagne restent à terminer.</x:v>
      </x:c>
    </x:row>
    <x:row r="1089" ht="96" customHeight="1">
      <x:c r="A1089" s="115" t="str">
        <x:v>EXT-MONDE-T022-V34</x:v>
      </x:c>
      <x:c r="B1089" s="115" t="str">
        <x:v>EXT-MONDE-T022</x:v>
      </x:c>
      <x:c r="C1089" s="115" t="str">
        <x:v>Fermes élevage</x:v>
      </x:c>
      <x:c r="D1089" s="115" t="str">
        <x:v>Élevage ovin</x:v>
      </x:c>
      <x:c r="E1089" s="115" t="n">
        <x:v>34</x:v>
      </x:c>
      <x:c r="F1089" s="115" t="str">
        <x:v>Inspection physique</x:v>
      </x:c>
      <x:c r="G1089" s="115" t="str">
        <x:v>1 niveaux ; 28 pièces ; 210 segments de mur ; 0 transitions. Inspection physique ; architecture complète encore ouverte.</x:v>
      </x:c>
      <x:c r="H1089" s="115" t="str">
        <x:v>L 320 ; l 296 ; hauteur 7,1 m ; choix de composition auteur ; dimensions réelles à documenter</x:v>
      </x:c>
      <x:c r="I1089" s="115" t="str">
        <x:v>À équilibrer</x:v>
      </x:c>
      <x:c r="J1089" s="115" t="str">
        <x:v>Non</x:v>
      </x:c>
      <x:c r="K1089" s="115" t="str">
        <x:v>Pièces décrites, murs, portes, niveaux et mobilier inspectables à l’échelle. Volumes réservés, raccord au seed, butin, rencontres et services de campagne restent à terminer.</x:v>
      </x:c>
    </x:row>
    <x:row r="1090" ht="96" customHeight="1">
      <x:c r="A1090" s="115" t="str">
        <x:v>EXT-MONDE-T022-V35</x:v>
      </x:c>
      <x:c r="B1090" s="115" t="str">
        <x:v>EXT-MONDE-T022</x:v>
      </x:c>
      <x:c r="C1090" s="115" t="str">
        <x:v>Fermes élevage</x:v>
      </x:c>
      <x:c r="D1090" s="115" t="str">
        <x:v>Élevage ovin</x:v>
      </x:c>
      <x:c r="E1090" s="115" t="n">
        <x:v>35</x:v>
      </x:c>
      <x:c r="F1090" s="115" t="str">
        <x:v>Inspection physique</x:v>
      </x:c>
      <x:c r="G1090" s="115" t="str">
        <x:v>1 niveaux ; 28 pièces ; 210 segments de mur ; 0 transitions. Inspection physique ; architecture complète encore ouverte.</x:v>
      </x:c>
      <x:c r="H1090" s="115" t="str">
        <x:v>L 320 ; l 296 ; hauteur 7,1 m ; choix de composition auteur ; dimensions réelles à documenter</x:v>
      </x:c>
      <x:c r="I1090" s="115" t="str">
        <x:v>À équilibrer</x:v>
      </x:c>
      <x:c r="J1090" s="115" t="str">
        <x:v>Non</x:v>
      </x:c>
      <x:c r="K1090" s="115" t="str">
        <x:v>Pièces décrites, murs, portes, niveaux et mobilier inspectables à l’échelle. Volumes réservés, raccord au seed, butin, rencontres et services de campagne restent à terminer.</x:v>
      </x:c>
    </x:row>
    <x:row r="1091" ht="96" customHeight="1">
      <x:c r="A1091" s="115" t="str">
        <x:v>EXT-MONDE-T022-V36</x:v>
      </x:c>
      <x:c r="B1091" s="115" t="str">
        <x:v>EXT-MONDE-T022</x:v>
      </x:c>
      <x:c r="C1091" s="115" t="str">
        <x:v>Fermes élevage</x:v>
      </x:c>
      <x:c r="D1091" s="115" t="str">
        <x:v>Élevage ovin</x:v>
      </x:c>
      <x:c r="E1091" s="115" t="n">
        <x:v>36</x:v>
      </x:c>
      <x:c r="F1091" s="115" t="str">
        <x:v>Inspection physique</x:v>
      </x:c>
      <x:c r="G1091" s="115" t="str">
        <x:v>1 niveaux ; 28 pièces ; 210 segments de mur ; 0 transitions. Inspection physique ; architecture complète encore ouverte.</x:v>
      </x:c>
      <x:c r="H1091" s="115" t="str">
        <x:v>L 320 ; l 296 ; hauteur 7,1 m ; choix de composition auteur ; dimensions réelles à documenter</x:v>
      </x:c>
      <x:c r="I1091" s="115" t="str">
        <x:v>À équilibrer</x:v>
      </x:c>
      <x:c r="J1091" s="115" t="str">
        <x:v>Non</x:v>
      </x:c>
      <x:c r="K1091" s="115" t="str">
        <x:v>Pièces décrites, murs, portes, niveaux et mobilier inspectables à l’échelle. Volumes réservés, raccord au seed, butin, rencontres et services de campagne restent à terminer.</x:v>
      </x:c>
    </x:row>
    <x:row r="1092" ht="96" customHeight="1">
      <x:c r="A1092" s="115" t="str">
        <x:v>EXT-MONDE-T022-V37</x:v>
      </x:c>
      <x:c r="B1092" s="115" t="str">
        <x:v>EXT-MONDE-T022</x:v>
      </x:c>
      <x:c r="C1092" s="115" t="str">
        <x:v>Fermes élevage</x:v>
      </x:c>
      <x:c r="D1092" s="115" t="str">
        <x:v>Élevage ovin</x:v>
      </x:c>
      <x:c r="E1092" s="115" t="n">
        <x:v>37</x:v>
      </x:c>
      <x:c r="F1092" s="115" t="str">
        <x:v>Inspection physique</x:v>
      </x:c>
      <x:c r="G1092" s="115" t="str">
        <x:v>1 niveaux ; 28 pièces ; 210 segments de mur ; 0 transitions. Inspection physique ; architecture complète encore ouverte.</x:v>
      </x:c>
      <x:c r="H1092" s="115" t="str">
        <x:v>L 320 ; l 296 ; hauteur 7,1 m ; choix de composition auteur ; dimensions réelles à documenter</x:v>
      </x:c>
      <x:c r="I1092" s="115" t="str">
        <x:v>À équilibrer</x:v>
      </x:c>
      <x:c r="J1092" s="115" t="str">
        <x:v>Non</x:v>
      </x:c>
      <x:c r="K1092" s="115" t="str">
        <x:v>Pièces décrites, murs, portes, niveaux et mobilier inspectables à l’échelle. Volumes réservés, raccord au seed, butin, rencontres et services de campagne restent à terminer.</x:v>
      </x:c>
    </x:row>
    <x:row r="1093" ht="96" customHeight="1">
      <x:c r="A1093" s="115" t="str">
        <x:v>EXT-MONDE-T022-V38</x:v>
      </x:c>
      <x:c r="B1093" s="115" t="str">
        <x:v>EXT-MONDE-T022</x:v>
      </x:c>
      <x:c r="C1093" s="115" t="str">
        <x:v>Fermes élevage</x:v>
      </x:c>
      <x:c r="D1093" s="115" t="str">
        <x:v>Élevage ovin</x:v>
      </x:c>
      <x:c r="E1093" s="115" t="n">
        <x:v>38</x:v>
      </x:c>
      <x:c r="F1093" s="115" t="str">
        <x:v>Inspection physique</x:v>
      </x:c>
      <x:c r="G1093" s="115" t="str">
        <x:v>1 niveaux ; 28 pièces ; 210 segments de mur ; 0 transitions. Inspection physique ; architecture complète encore ouverte.</x:v>
      </x:c>
      <x:c r="H1093" s="115" t="str">
        <x:v>L 320 ; l 296 ; hauteur 7,1 m ; choix de composition auteur ; dimensions réelles à documenter</x:v>
      </x:c>
      <x:c r="I1093" s="115" t="str">
        <x:v>À équilibrer</x:v>
      </x:c>
      <x:c r="J1093" s="115" t="str">
        <x:v>Non</x:v>
      </x:c>
      <x:c r="K1093" s="115" t="str">
        <x:v>Pièces décrites, murs, portes, niveaux et mobilier inspectables à l’échelle. Volumes réservés, raccord au seed, butin, rencontres et services de campagne restent à terminer.</x:v>
      </x:c>
    </x:row>
    <x:row r="1094" ht="96" customHeight="1">
      <x:c r="A1094" s="115" t="str">
        <x:v>EXT-MONDE-T022-V39</x:v>
      </x:c>
      <x:c r="B1094" s="115" t="str">
        <x:v>EXT-MONDE-T022</x:v>
      </x:c>
      <x:c r="C1094" s="115" t="str">
        <x:v>Fermes élevage</x:v>
      </x:c>
      <x:c r="D1094" s="115" t="str">
        <x:v>Élevage ovin</x:v>
      </x:c>
      <x:c r="E1094" s="115" t="n">
        <x:v>39</x:v>
      </x:c>
      <x:c r="F1094" s="115" t="str">
        <x:v>Inspection physique</x:v>
      </x:c>
      <x:c r="G1094" s="115" t="str">
        <x:v>1 niveaux ; 28 pièces ; 210 segments de mur ; 0 transitions. Inspection physique ; architecture complète encore ouverte.</x:v>
      </x:c>
      <x:c r="H1094" s="115" t="str">
        <x:v>L 320 ; l 296 ; hauteur 7,1 m ; choix de composition auteur ; dimensions réelles à documenter</x:v>
      </x:c>
      <x:c r="I1094" s="115" t="str">
        <x:v>À équilibrer</x:v>
      </x:c>
      <x:c r="J1094" s="115" t="str">
        <x:v>Non</x:v>
      </x:c>
      <x:c r="K1094" s="115" t="str">
        <x:v>Pièces décrites, murs, portes, niveaux et mobilier inspectables à l’échelle. Volumes réservés, raccord au seed, butin, rencontres et services de campagne restent à terminer.</x:v>
      </x:c>
    </x:row>
    <x:row r="1095" ht="96" customHeight="1">
      <x:c r="A1095" s="115" t="str">
        <x:v>EXT-MONDE-T022-V40</x:v>
      </x:c>
      <x:c r="B1095" s="115" t="str">
        <x:v>EXT-MONDE-T022</x:v>
      </x:c>
      <x:c r="C1095" s="115" t="str">
        <x:v>Fermes élevage</x:v>
      </x:c>
      <x:c r="D1095" s="115" t="str">
        <x:v>Élevage ovin</x:v>
      </x:c>
      <x:c r="E1095" s="115" t="n">
        <x:v>40</x:v>
      </x:c>
      <x:c r="F1095" s="115" t="str">
        <x:v>Inspection physique</x:v>
      </x:c>
      <x:c r="G1095" s="115" t="str">
        <x:v>1 niveaux ; 28 pièces ; 210 segments de mur ; 0 transitions. Inspection physique ; architecture complète encore ouverte.</x:v>
      </x:c>
      <x:c r="H1095" s="115" t="str">
        <x:v>L 320 ; l 296 ; hauteur 7,1 m ; choix de composition auteur ; dimensions réelles à documenter</x:v>
      </x:c>
      <x:c r="I1095" s="115" t="str">
        <x:v>À équilibrer</x:v>
      </x:c>
      <x:c r="J1095" s="115" t="str">
        <x:v>Non</x:v>
      </x:c>
      <x:c r="K1095" s="115" t="str">
        <x:v>Pièces décrites, murs, portes, niveaux et mobilier inspectables à l’échelle. Volumes réservés, raccord au seed, butin, rencontres et services de campagne restent à terminer.</x:v>
      </x:c>
    </x:row>
    <x:row r="1096" ht="96" customHeight="1">
      <x:c r="A1096" s="115" t="str">
        <x:v>EXT-MONDE-T022-V41</x:v>
      </x:c>
      <x:c r="B1096" s="115" t="str">
        <x:v>EXT-MONDE-T022</x:v>
      </x:c>
      <x:c r="C1096" s="115" t="str">
        <x:v>Fermes élevage</x:v>
      </x:c>
      <x:c r="D1096" s="115" t="str">
        <x:v>Élevage ovin</x:v>
      </x:c>
      <x:c r="E1096" s="115" t="n">
        <x:v>41</x:v>
      </x:c>
      <x:c r="F1096" s="115" t="str">
        <x:v>Inspection physique</x:v>
      </x:c>
      <x:c r="G1096" s="115" t="str">
        <x:v>1 niveaux ; 28 pièces ; 210 segments de mur ; 0 transitions. Inspection physique ; architecture complète encore ouverte.</x:v>
      </x:c>
      <x:c r="H1096" s="115" t="str">
        <x:v>L 340 ; l 320 ; hauteur 7,3 m ; choix de composition auteur ; dimensions réelles à documenter</x:v>
      </x:c>
      <x:c r="I1096" s="115" t="str">
        <x:v>À équilibrer</x:v>
      </x:c>
      <x:c r="J1096" s="115" t="str">
        <x:v>Non</x:v>
      </x:c>
      <x:c r="K1096" s="115" t="str">
        <x:v>Pièces décrites, murs, portes, niveaux et mobilier inspectables à l’échelle. Volumes réservés, raccord au seed, butin, rencontres et services de campagne restent à terminer.</x:v>
      </x:c>
    </x:row>
    <x:row r="1097" ht="96" customHeight="1">
      <x:c r="A1097" s="115" t="str">
        <x:v>EXT-MONDE-T022-V42</x:v>
      </x:c>
      <x:c r="B1097" s="115" t="str">
        <x:v>EXT-MONDE-T022</x:v>
      </x:c>
      <x:c r="C1097" s="115" t="str">
        <x:v>Fermes élevage</x:v>
      </x:c>
      <x:c r="D1097" s="115" t="str">
        <x:v>Élevage ovin</x:v>
      </x:c>
      <x:c r="E1097" s="115" t="n">
        <x:v>42</x:v>
      </x:c>
      <x:c r="F1097" s="115" t="str">
        <x:v>Inspection physique</x:v>
      </x:c>
      <x:c r="G1097" s="115" t="str">
        <x:v>1 niveaux ; 28 pièces ; 210 segments de mur ; 0 transitions. Inspection physique ; architecture complète encore ouverte.</x:v>
      </x:c>
      <x:c r="H1097" s="115" t="str">
        <x:v>L 340 ; l 320 ; hauteur 7,3 m ; choix de composition auteur ; dimensions réelles à documenter</x:v>
      </x:c>
      <x:c r="I1097" s="115" t="str">
        <x:v>À équilibrer</x:v>
      </x:c>
      <x:c r="J1097" s="115" t="str">
        <x:v>Non</x:v>
      </x:c>
      <x:c r="K1097" s="115" t="str">
        <x:v>Pièces décrites, murs, portes, niveaux et mobilier inspectables à l’échelle. Volumes réservés, raccord au seed, butin, rencontres et services de campagne restent à terminer.</x:v>
      </x:c>
    </x:row>
    <x:row r="1098" ht="96" customHeight="1">
      <x:c r="A1098" s="115" t="str">
        <x:v>EXT-MONDE-T022-V43</x:v>
      </x:c>
      <x:c r="B1098" s="115" t="str">
        <x:v>EXT-MONDE-T022</x:v>
      </x:c>
      <x:c r="C1098" s="115" t="str">
        <x:v>Fermes élevage</x:v>
      </x:c>
      <x:c r="D1098" s="115" t="str">
        <x:v>Élevage ovin</x:v>
      </x:c>
      <x:c r="E1098" s="115" t="n">
        <x:v>43</x:v>
      </x:c>
      <x:c r="F1098" s="115" t="str">
        <x:v>Inspection physique</x:v>
      </x:c>
      <x:c r="G1098" s="115" t="str">
        <x:v>1 niveaux ; 28 pièces ; 210 segments de mur ; 0 transitions. Inspection physique ; architecture complète encore ouverte.</x:v>
      </x:c>
      <x:c r="H1098" s="115" t="str">
        <x:v>L 340 ; l 320 ; hauteur 7,3 m ; choix de composition auteur ; dimensions réelles à documenter</x:v>
      </x:c>
      <x:c r="I1098" s="115" t="str">
        <x:v>À équilibrer</x:v>
      </x:c>
      <x:c r="J1098" s="115" t="str">
        <x:v>Non</x:v>
      </x:c>
      <x:c r="K1098" s="115" t="str">
        <x:v>Pièces décrites, murs, portes, niveaux et mobilier inspectables à l’échelle. Volumes réservés, raccord au seed, butin, rencontres et services de campagne restent à terminer.</x:v>
      </x:c>
    </x:row>
    <x:row r="1099" ht="96" customHeight="1">
      <x:c r="A1099" s="115" t="str">
        <x:v>EXT-MONDE-T022-V44</x:v>
      </x:c>
      <x:c r="B1099" s="115" t="str">
        <x:v>EXT-MONDE-T022</x:v>
      </x:c>
      <x:c r="C1099" s="115" t="str">
        <x:v>Fermes élevage</x:v>
      </x:c>
      <x:c r="D1099" s="115" t="str">
        <x:v>Élevage ovin</x:v>
      </x:c>
      <x:c r="E1099" s="115" t="n">
        <x:v>44</x:v>
      </x:c>
      <x:c r="F1099" s="115" t="str">
        <x:v>Inspection physique</x:v>
      </x:c>
      <x:c r="G1099" s="115" t="str">
        <x:v>1 niveaux ; 28 pièces ; 210 segments de mur ; 0 transitions. Inspection physique ; architecture complète encore ouverte.</x:v>
      </x:c>
      <x:c r="H1099" s="115" t="str">
        <x:v>L 340 ; l 320 ; hauteur 7,3 m ; choix de composition auteur ; dimensions réelles à documenter</x:v>
      </x:c>
      <x:c r="I1099" s="115" t="str">
        <x:v>À équilibrer</x:v>
      </x:c>
      <x:c r="J1099" s="115" t="str">
        <x:v>Non</x:v>
      </x:c>
      <x:c r="K1099" s="115" t="str">
        <x:v>Pièces décrites, murs, portes, niveaux et mobilier inspectables à l’échelle. Volumes réservés, raccord au seed, butin, rencontres et services de campagne restent à terminer.</x:v>
      </x:c>
    </x:row>
    <x:row r="1100" ht="96" customHeight="1">
      <x:c r="A1100" s="115" t="str">
        <x:v>EXT-MONDE-T022-V45</x:v>
      </x:c>
      <x:c r="B1100" s="115" t="str">
        <x:v>EXT-MONDE-T022</x:v>
      </x:c>
      <x:c r="C1100" s="115" t="str">
        <x:v>Fermes élevage</x:v>
      </x:c>
      <x:c r="D1100" s="115" t="str">
        <x:v>Élevage ovin</x:v>
      </x:c>
      <x:c r="E1100" s="115" t="n">
        <x:v>45</x:v>
      </x:c>
      <x:c r="F1100" s="115" t="str">
        <x:v>Inspection physique</x:v>
      </x:c>
      <x:c r="G1100" s="115" t="str">
        <x:v>1 niveaux ; 28 pièces ; 210 segments de mur ; 0 transitions. Inspection physique ; architecture complète encore ouverte.</x:v>
      </x:c>
      <x:c r="H1100" s="115" t="str">
        <x:v>L 340 ; l 320 ; hauteur 7,3 m ; choix de composition auteur ; dimensions réelles à documenter</x:v>
      </x:c>
      <x:c r="I1100" s="115" t="str">
        <x:v>À équilibrer</x:v>
      </x:c>
      <x:c r="J1100" s="115" t="str">
        <x:v>Non</x:v>
      </x:c>
      <x:c r="K1100" s="115" t="str">
        <x:v>Pièces décrites, murs, portes, niveaux et mobilier inspectables à l’échelle. Volumes réservés, raccord au seed, butin, rencontres et services de campagne restent à terminer.</x:v>
      </x:c>
    </x:row>
    <x:row r="1101" ht="96" customHeight="1">
      <x:c r="A1101" s="115" t="str">
        <x:v>EXT-MONDE-T022-V46</x:v>
      </x:c>
      <x:c r="B1101" s="115" t="str">
        <x:v>EXT-MONDE-T022</x:v>
      </x:c>
      <x:c r="C1101" s="115" t="str">
        <x:v>Fermes élevage</x:v>
      </x:c>
      <x:c r="D1101" s="115" t="str">
        <x:v>Élevage ovin</x:v>
      </x:c>
      <x:c r="E1101" s="115" t="n">
        <x:v>46</x:v>
      </x:c>
      <x:c r="F1101" s="115" t="str">
        <x:v>Inspection physique</x:v>
      </x:c>
      <x:c r="G1101" s="115" t="str">
        <x:v>1 niveaux ; 28 pièces ; 210 segments de mur ; 0 transitions. Inspection physique ; architecture complète encore ouverte.</x:v>
      </x:c>
      <x:c r="H1101" s="115" t="str">
        <x:v>L 340 ; l 320 ; hauteur 7,3 m ; choix de composition auteur ; dimensions réelles à documenter</x:v>
      </x:c>
      <x:c r="I1101" s="115" t="str">
        <x:v>À équilibrer</x:v>
      </x:c>
      <x:c r="J1101" s="115" t="str">
        <x:v>Non</x:v>
      </x:c>
      <x:c r="K1101" s="115" t="str">
        <x:v>Pièces décrites, murs, portes, niveaux et mobilier inspectables à l’échelle. Volumes réservés, raccord au seed, butin, rencontres et services de campagne restent à terminer.</x:v>
      </x:c>
    </x:row>
    <x:row r="1102" ht="96" customHeight="1">
      <x:c r="A1102" s="115" t="str">
        <x:v>EXT-MONDE-T022-V47</x:v>
      </x:c>
      <x:c r="B1102" s="115" t="str">
        <x:v>EXT-MONDE-T022</x:v>
      </x:c>
      <x:c r="C1102" s="115" t="str">
        <x:v>Fermes élevage</x:v>
      </x:c>
      <x:c r="D1102" s="115" t="str">
        <x:v>Élevage ovin</x:v>
      </x:c>
      <x:c r="E1102" s="115" t="n">
        <x:v>47</x:v>
      </x:c>
      <x:c r="F1102" s="115" t="str">
        <x:v>Inspection physique</x:v>
      </x:c>
      <x:c r="G1102" s="115" t="str">
        <x:v>1 niveaux ; 28 pièces ; 210 segments de mur ; 0 transitions. Inspection physique ; architecture complète encore ouverte.</x:v>
      </x:c>
      <x:c r="H1102" s="115" t="str">
        <x:v>L 340 ; l 320 ; hauteur 7,3 m ; choix de composition auteur ; dimensions réelles à documenter</x:v>
      </x:c>
      <x:c r="I1102" s="115" t="str">
        <x:v>À équilibrer</x:v>
      </x:c>
      <x:c r="J1102" s="115" t="str">
        <x:v>Non</x:v>
      </x:c>
      <x:c r="K1102" s="115" t="str">
        <x:v>Pièces décrites, murs, portes, niveaux et mobilier inspectables à l’échelle. Volumes réservés, raccord au seed, butin, rencontres et services de campagne restent à terminer.</x:v>
      </x:c>
    </x:row>
    <x:row r="1103" ht="96" customHeight="1">
      <x:c r="A1103" s="115" t="str">
        <x:v>EXT-MONDE-T022-V48</x:v>
      </x:c>
      <x:c r="B1103" s="115" t="str">
        <x:v>EXT-MONDE-T022</x:v>
      </x:c>
      <x:c r="C1103" s="115" t="str">
        <x:v>Fermes élevage</x:v>
      </x:c>
      <x:c r="D1103" s="115" t="str">
        <x:v>Élevage ovin</x:v>
      </x:c>
      <x:c r="E1103" s="115" t="n">
        <x:v>48</x:v>
      </x:c>
      <x:c r="F1103" s="115" t="str">
        <x:v>Inspection physique</x:v>
      </x:c>
      <x:c r="G1103" s="115" t="str">
        <x:v>1 niveaux ; 28 pièces ; 210 segments de mur ; 0 transitions. Inspection physique ; architecture complète encore ouverte.</x:v>
      </x:c>
      <x:c r="H1103" s="115" t="str">
        <x:v>L 340 ; l 320 ; hauteur 7,3 m ; choix de composition auteur ; dimensions réelles à documenter</x:v>
      </x:c>
      <x:c r="I1103" s="115" t="str">
        <x:v>À équilibrer</x:v>
      </x:c>
      <x:c r="J1103" s="115" t="str">
        <x:v>Non</x:v>
      </x:c>
      <x:c r="K1103" s="115" t="str">
        <x:v>Pièces décrites, murs, portes, niveaux et mobilier inspectables à l’échelle. Volumes réservés, raccord au seed, butin, rencontres et services de campagne restent à terminer.</x:v>
      </x:c>
    </x:row>
    <x:row r="1104" ht="96" customHeight="1">
      <x:c r="A1104" s="115" t="str">
        <x:v>EXT-MONDE-T022-V49</x:v>
      </x:c>
      <x:c r="B1104" s="115" t="str">
        <x:v>EXT-MONDE-T022</x:v>
      </x:c>
      <x:c r="C1104" s="115" t="str">
        <x:v>Fermes élevage</x:v>
      </x:c>
      <x:c r="D1104" s="115" t="str">
        <x:v>Élevage ovin</x:v>
      </x:c>
      <x:c r="E1104" s="115" t="n">
        <x:v>49</x:v>
      </x:c>
      <x:c r="F1104" s="115" t="str">
        <x:v>Inspection physique</x:v>
      </x:c>
      <x:c r="G1104" s="115" t="str">
        <x:v>1 niveaux ; 28 pièces ; 210 segments de mur ; 0 transitions. Inspection physique ; architecture complète encore ouverte.</x:v>
      </x:c>
      <x:c r="H1104" s="115" t="str">
        <x:v>L 340 ; l 320 ; hauteur 7,3 m ; choix de composition auteur ; dimensions réelles à documenter</x:v>
      </x:c>
      <x:c r="I1104" s="115" t="str">
        <x:v>À équilibrer</x:v>
      </x:c>
      <x:c r="J1104" s="115" t="str">
        <x:v>Non</x:v>
      </x:c>
      <x:c r="K1104" s="115" t="str">
        <x:v>Pièces décrites, murs, portes, niveaux et mobilier inspectables à l’échelle. Volumes réservés, raccord au seed, butin, rencontres et services de campagne restent à terminer.</x:v>
      </x:c>
    </x:row>
    <x:row r="1105" ht="96" customHeight="1">
      <x:c r="A1105" s="115" t="str">
        <x:v>EXT-MONDE-T022-V50</x:v>
      </x:c>
      <x:c r="B1105" s="115" t="str">
        <x:v>EXT-MONDE-T022</x:v>
      </x:c>
      <x:c r="C1105" s="115" t="str">
        <x:v>Fermes élevage</x:v>
      </x:c>
      <x:c r="D1105" s="115" t="str">
        <x:v>Élevage ovin</x:v>
      </x:c>
      <x:c r="E1105" s="115" t="n">
        <x:v>50</x:v>
      </x:c>
      <x:c r="F1105" s="115" t="str">
        <x:v>Inspection physique</x:v>
      </x:c>
      <x:c r="G1105" s="115" t="str">
        <x:v>1 niveaux ; 28 pièces ; 210 segments de mur ; 0 transitions. Inspection physique ; architecture complète encore ouverte.</x:v>
      </x:c>
      <x:c r="H1105" s="115" t="str">
        <x:v>L 340 ; l 320 ; hauteur 7,3 m ; choix de composition auteur ; dimensions réelles à documenter</x:v>
      </x:c>
      <x:c r="I1105" s="115" t="str">
        <x:v>À équilibrer</x:v>
      </x:c>
      <x:c r="J1105" s="115" t="str">
        <x:v>Non</x:v>
      </x:c>
      <x:c r="K1105" s="115" t="str">
        <x:v>Pièces décrites, murs, portes, niveaux et mobilier inspectables à l’échelle. Volumes réservés, raccord au seed, butin, rencontres et services de campagne restent à terminer.</x:v>
      </x:c>
    </x:row>
    <x:row r="1106" ht="96" customHeight="1">
      <x:c r="A1106" s="115" t="str">
        <x:v>EXT-MONDE-T023-V01</x:v>
      </x:c>
      <x:c r="B1106" s="115" t="str">
        <x:v>EXT-MONDE-T023</x:v>
      </x:c>
      <x:c r="C1106" s="115" t="str">
        <x:v>Fermes élevage</x:v>
      </x:c>
      <x:c r="D1106" s="115" t="str">
        <x:v>Ferme avicole</x:v>
      </x:c>
      <x:c r="E1106" s="115" t="n">
        <x:v>1</x:v>
      </x:c>
      <x:c r="F1106" s="115" t="str">
        <x:v>Inspection physique</x:v>
      </x:c>
      <x:c r="G1106" s="115" t="str">
        <x:v>1 niveaux ; 28 pièces ; 210 segments de mur ; 0 transitions. Inspection physique ; architecture complète encore ouverte.</x:v>
      </x:c>
      <x:c r="H1106" s="115" t="str">
        <x:v>L 260 ; l 224 ; hauteur 6,8 m ; choix de composition auteur ; dimensions réelles à documenter</x:v>
      </x:c>
      <x:c r="I1106" s="115" t="str">
        <x:v>À équilibrer</x:v>
      </x:c>
      <x:c r="J1106" s="115" t="str">
        <x:v>Non</x:v>
      </x:c>
      <x:c r="K1106" s="115" t="str">
        <x:v>Pièces décrites, murs, portes, niveaux et mobilier inspectables à l’échelle. Volumes réservés, raccord au seed, butin, rencontres et services de campagne restent à terminer.</x:v>
      </x:c>
    </x:row>
    <x:row r="1107" ht="96" customHeight="1">
      <x:c r="A1107" s="115" t="str">
        <x:v>EXT-MONDE-T023-V02</x:v>
      </x:c>
      <x:c r="B1107" s="115" t="str">
        <x:v>EXT-MONDE-T023</x:v>
      </x:c>
      <x:c r="C1107" s="115" t="str">
        <x:v>Fermes élevage</x:v>
      </x:c>
      <x:c r="D1107" s="115" t="str">
        <x:v>Ferme avicole</x:v>
      </x:c>
      <x:c r="E1107" s="115" t="n">
        <x:v>2</x:v>
      </x:c>
      <x:c r="F1107" s="115" t="str">
        <x:v>Inspection physique</x:v>
      </x:c>
      <x:c r="G1107" s="115" t="str">
        <x:v>1 niveaux ; 28 pièces ; 210 segments de mur ; 0 transitions. Inspection physique ; architecture complète encore ouverte.</x:v>
      </x:c>
      <x:c r="H1107" s="115" t="str">
        <x:v>L 260 ; l 224 ; hauteur 6,8 m ; choix de composition auteur ; dimensions réelles à documenter</x:v>
      </x:c>
      <x:c r="I1107" s="115" t="str">
        <x:v>À équilibrer</x:v>
      </x:c>
      <x:c r="J1107" s="115" t="str">
        <x:v>Non</x:v>
      </x:c>
      <x:c r="K1107" s="115" t="str">
        <x:v>Pièces décrites, murs, portes, niveaux et mobilier inspectables à l’échelle. Volumes réservés, raccord au seed, butin, rencontres et services de campagne restent à terminer.</x:v>
      </x:c>
    </x:row>
    <x:row r="1108" ht="96" customHeight="1">
      <x:c r="A1108" s="115" t="str">
        <x:v>EXT-MONDE-T023-V03</x:v>
      </x:c>
      <x:c r="B1108" s="115" t="str">
        <x:v>EXT-MONDE-T023</x:v>
      </x:c>
      <x:c r="C1108" s="115" t="str">
        <x:v>Fermes élevage</x:v>
      </x:c>
      <x:c r="D1108" s="115" t="str">
        <x:v>Ferme avicole</x:v>
      </x:c>
      <x:c r="E1108" s="115" t="n">
        <x:v>3</x:v>
      </x:c>
      <x:c r="F1108" s="115" t="str">
        <x:v>Inspection physique</x:v>
      </x:c>
      <x:c r="G1108" s="115" t="str">
        <x:v>1 niveaux ; 28 pièces ; 210 segments de mur ; 0 transitions. Inspection physique ; architecture complète encore ouverte.</x:v>
      </x:c>
      <x:c r="H1108" s="115" t="str">
        <x:v>L 260 ; l 224 ; hauteur 6,8 m ; choix de composition auteur ; dimensions réelles à documenter</x:v>
      </x:c>
      <x:c r="I1108" s="115" t="str">
        <x:v>À équilibrer</x:v>
      </x:c>
      <x:c r="J1108" s="115" t="str">
        <x:v>Non</x:v>
      </x:c>
      <x:c r="K1108" s="115" t="str">
        <x:v>Pièces décrites, murs, portes, niveaux et mobilier inspectables à l’échelle. Volumes réservés, raccord au seed, butin, rencontres et services de campagne restent à terminer.</x:v>
      </x:c>
    </x:row>
    <x:row r="1109" ht="96" customHeight="1">
      <x:c r="A1109" s="115" t="str">
        <x:v>EXT-MONDE-T023-V04</x:v>
      </x:c>
      <x:c r="B1109" s="115" t="str">
        <x:v>EXT-MONDE-T023</x:v>
      </x:c>
      <x:c r="C1109" s="115" t="str">
        <x:v>Fermes élevage</x:v>
      </x:c>
      <x:c r="D1109" s="115" t="str">
        <x:v>Ferme avicole</x:v>
      </x:c>
      <x:c r="E1109" s="115" t="n">
        <x:v>4</x:v>
      </x:c>
      <x:c r="F1109" s="115" t="str">
        <x:v>Inspection physique</x:v>
      </x:c>
      <x:c r="G1109" s="115" t="str">
        <x:v>1 niveaux ; 28 pièces ; 210 segments de mur ; 0 transitions. Inspection physique ; architecture complète encore ouverte.</x:v>
      </x:c>
      <x:c r="H1109" s="115" t="str">
        <x:v>L 260 ; l 224 ; hauteur 6,8 m ; choix de composition auteur ; dimensions réelles à documenter</x:v>
      </x:c>
      <x:c r="I1109" s="115" t="str">
        <x:v>À équilibrer</x:v>
      </x:c>
      <x:c r="J1109" s="115" t="str">
        <x:v>Non</x:v>
      </x:c>
      <x:c r="K1109" s="115" t="str">
        <x:v>Pièces décrites, murs, portes, niveaux et mobilier inspectables à l’échelle. Volumes réservés, raccord au seed, butin, rencontres et services de campagne restent à terminer.</x:v>
      </x:c>
    </x:row>
    <x:row r="1110" ht="96" customHeight="1">
      <x:c r="A1110" s="115" t="str">
        <x:v>EXT-MONDE-T023-V05</x:v>
      </x:c>
      <x:c r="B1110" s="115" t="str">
        <x:v>EXT-MONDE-T023</x:v>
      </x:c>
      <x:c r="C1110" s="115" t="str">
        <x:v>Fermes élevage</x:v>
      </x:c>
      <x:c r="D1110" s="115" t="str">
        <x:v>Ferme avicole</x:v>
      </x:c>
      <x:c r="E1110" s="115" t="n">
        <x:v>5</x:v>
      </x:c>
      <x:c r="F1110" s="115" t="str">
        <x:v>Inspection physique</x:v>
      </x:c>
      <x:c r="G1110" s="115" t="str">
        <x:v>1 niveaux ; 28 pièces ; 210 segments de mur ; 0 transitions. Inspection physique ; architecture complète encore ouverte.</x:v>
      </x:c>
      <x:c r="H1110" s="115" t="str">
        <x:v>L 260 ; l 224 ; hauteur 6,8 m ; choix de composition auteur ; dimensions réelles à documenter</x:v>
      </x:c>
      <x:c r="I1110" s="115" t="str">
        <x:v>À équilibrer</x:v>
      </x:c>
      <x:c r="J1110" s="115" t="str">
        <x:v>Non</x:v>
      </x:c>
      <x:c r="K1110" s="115" t="str">
        <x:v>Pièces décrites, murs, portes, niveaux et mobilier inspectables à l’échelle. Volumes réservés, raccord au seed, butin, rencontres et services de campagne restent à terminer.</x:v>
      </x:c>
    </x:row>
    <x:row r="1111" ht="96" customHeight="1">
      <x:c r="A1111" s="115" t="str">
        <x:v>EXT-MONDE-T023-V06</x:v>
      </x:c>
      <x:c r="B1111" s="115" t="str">
        <x:v>EXT-MONDE-T023</x:v>
      </x:c>
      <x:c r="C1111" s="115" t="str">
        <x:v>Fermes élevage</x:v>
      </x:c>
      <x:c r="D1111" s="115" t="str">
        <x:v>Ferme avicole</x:v>
      </x:c>
      <x:c r="E1111" s="115" t="n">
        <x:v>6</x:v>
      </x:c>
      <x:c r="F1111" s="115" t="str">
        <x:v>Inspection physique</x:v>
      </x:c>
      <x:c r="G1111" s="115" t="str">
        <x:v>1 niveaux ; 28 pièces ; 210 segments de mur ; 0 transitions. Inspection physique ; architecture complète encore ouverte.</x:v>
      </x:c>
      <x:c r="H1111" s="115" t="str">
        <x:v>L 260 ; l 224 ; hauteur 6,8 m ; choix de composition auteur ; dimensions réelles à documenter</x:v>
      </x:c>
      <x:c r="I1111" s="115" t="str">
        <x:v>À équilibrer</x:v>
      </x:c>
      <x:c r="J1111" s="115" t="str">
        <x:v>Non</x:v>
      </x:c>
      <x:c r="K1111" s="115" t="str">
        <x:v>Pièces décrites, murs, portes, niveaux et mobilier inspectables à l’échelle. Volumes réservés, raccord au seed, butin, rencontres et services de campagne restent à terminer.</x:v>
      </x:c>
    </x:row>
    <x:row r="1112" ht="96" customHeight="1">
      <x:c r="A1112" s="115" t="str">
        <x:v>EXT-MONDE-T023-V07</x:v>
      </x:c>
      <x:c r="B1112" s="115" t="str">
        <x:v>EXT-MONDE-T023</x:v>
      </x:c>
      <x:c r="C1112" s="115" t="str">
        <x:v>Fermes élevage</x:v>
      </x:c>
      <x:c r="D1112" s="115" t="str">
        <x:v>Ferme avicole</x:v>
      </x:c>
      <x:c r="E1112" s="115" t="n">
        <x:v>7</x:v>
      </x:c>
      <x:c r="F1112" s="115" t="str">
        <x:v>Inspection physique</x:v>
      </x:c>
      <x:c r="G1112" s="115" t="str">
        <x:v>1 niveaux ; 28 pièces ; 210 segments de mur ; 0 transitions. Inspection physique ; architecture complète encore ouverte.</x:v>
      </x:c>
      <x:c r="H1112" s="115" t="str">
        <x:v>L 260 ; l 224 ; hauteur 6,8 m ; choix de composition auteur ; dimensions réelles à documenter</x:v>
      </x:c>
      <x:c r="I1112" s="115" t="str">
        <x:v>À équilibrer</x:v>
      </x:c>
      <x:c r="J1112" s="115" t="str">
        <x:v>Non</x:v>
      </x:c>
      <x:c r="K1112" s="115" t="str">
        <x:v>Pièces décrites, murs, portes, niveaux et mobilier inspectables à l’échelle. Volumes réservés, raccord au seed, butin, rencontres et services de campagne restent à terminer.</x:v>
      </x:c>
    </x:row>
    <x:row r="1113" ht="96" customHeight="1">
      <x:c r="A1113" s="115" t="str">
        <x:v>EXT-MONDE-T023-V08</x:v>
      </x:c>
      <x:c r="B1113" s="115" t="str">
        <x:v>EXT-MONDE-T023</x:v>
      </x:c>
      <x:c r="C1113" s="115" t="str">
        <x:v>Fermes élevage</x:v>
      </x:c>
      <x:c r="D1113" s="115" t="str">
        <x:v>Ferme avicole</x:v>
      </x:c>
      <x:c r="E1113" s="115" t="n">
        <x:v>8</x:v>
      </x:c>
      <x:c r="F1113" s="115" t="str">
        <x:v>Inspection physique</x:v>
      </x:c>
      <x:c r="G1113" s="115" t="str">
        <x:v>1 niveaux ; 28 pièces ; 210 segments de mur ; 0 transitions. Inspection physique ; architecture complète encore ouverte.</x:v>
      </x:c>
      <x:c r="H1113" s="115" t="str">
        <x:v>L 260 ; l 224 ; hauteur 6,8 m ; choix de composition auteur ; dimensions réelles à documenter</x:v>
      </x:c>
      <x:c r="I1113" s="115" t="str">
        <x:v>À équilibrer</x:v>
      </x:c>
      <x:c r="J1113" s="115" t="str">
        <x:v>Non</x:v>
      </x:c>
      <x:c r="K1113" s="115" t="str">
        <x:v>Pièces décrites, murs, portes, niveaux et mobilier inspectables à l’échelle. Volumes réservés, raccord au seed, butin, rencontres et services de campagne restent à terminer.</x:v>
      </x:c>
    </x:row>
    <x:row r="1114" ht="96" customHeight="1">
      <x:c r="A1114" s="115" t="str">
        <x:v>EXT-MONDE-T023-V09</x:v>
      </x:c>
      <x:c r="B1114" s="115" t="str">
        <x:v>EXT-MONDE-T023</x:v>
      </x:c>
      <x:c r="C1114" s="115" t="str">
        <x:v>Fermes élevage</x:v>
      </x:c>
      <x:c r="D1114" s="115" t="str">
        <x:v>Ferme avicole</x:v>
      </x:c>
      <x:c r="E1114" s="115" t="n">
        <x:v>9</x:v>
      </x:c>
      <x:c r="F1114" s="115" t="str">
        <x:v>Inspection physique</x:v>
      </x:c>
      <x:c r="G1114" s="115" t="str">
        <x:v>1 niveaux ; 28 pièces ; 210 segments de mur ; 0 transitions. Inspection physique ; architecture complète encore ouverte.</x:v>
      </x:c>
      <x:c r="H1114" s="115" t="str">
        <x:v>L 260 ; l 224 ; hauteur 6,8 m ; choix de composition auteur ; dimensions réelles à documenter</x:v>
      </x:c>
      <x:c r="I1114" s="115" t="str">
        <x:v>À équilibrer</x:v>
      </x:c>
      <x:c r="J1114" s="115" t="str">
        <x:v>Non</x:v>
      </x:c>
      <x:c r="K1114" s="115" t="str">
        <x:v>Pièces décrites, murs, portes, niveaux et mobilier inspectables à l’échelle. Volumes réservés, raccord au seed, butin, rencontres et services de campagne restent à terminer.</x:v>
      </x:c>
    </x:row>
    <x:row r="1115" ht="96" customHeight="1">
      <x:c r="A1115" s="115" t="str">
        <x:v>EXT-MONDE-T023-V10</x:v>
      </x:c>
      <x:c r="B1115" s="115" t="str">
        <x:v>EXT-MONDE-T023</x:v>
      </x:c>
      <x:c r="C1115" s="115" t="str">
        <x:v>Fermes élevage</x:v>
      </x:c>
      <x:c r="D1115" s="115" t="str">
        <x:v>Ferme avicole</x:v>
      </x:c>
      <x:c r="E1115" s="115" t="n">
        <x:v>10</x:v>
      </x:c>
      <x:c r="F1115" s="115" t="str">
        <x:v>Inspection physique</x:v>
      </x:c>
      <x:c r="G1115" s="115" t="str">
        <x:v>1 niveaux ; 28 pièces ; 210 segments de mur ; 0 transitions. Inspection physique ; architecture complète encore ouverte.</x:v>
      </x:c>
      <x:c r="H1115" s="115" t="str">
        <x:v>L 260 ; l 224 ; hauteur 6,8 m ; choix de composition auteur ; dimensions réelles à documenter</x:v>
      </x:c>
      <x:c r="I1115" s="115" t="str">
        <x:v>À équilibrer</x:v>
      </x:c>
      <x:c r="J1115" s="115" t="str">
        <x:v>Non</x:v>
      </x:c>
      <x:c r="K1115" s="115" t="str">
        <x:v>Pièces décrites, murs, portes, niveaux et mobilier inspectables à l’échelle. Volumes réservés, raccord au seed, butin, rencontres et services de campagne restent à terminer.</x:v>
      </x:c>
    </x:row>
    <x:row r="1116" ht="96" customHeight="1">
      <x:c r="A1116" s="115" t="str">
        <x:v>EXT-MONDE-T023-V11</x:v>
      </x:c>
      <x:c r="B1116" s="115" t="str">
        <x:v>EXT-MONDE-T023</x:v>
      </x:c>
      <x:c r="C1116" s="115" t="str">
        <x:v>Fermes élevage</x:v>
      </x:c>
      <x:c r="D1116" s="115" t="str">
        <x:v>Ferme avicole</x:v>
      </x:c>
      <x:c r="E1116" s="115" t="n">
        <x:v>11</x:v>
      </x:c>
      <x:c r="F1116" s="115" t="str">
        <x:v>Inspection physique</x:v>
      </x:c>
      <x:c r="G1116" s="115" t="str">
        <x:v>1 niveaux ; 28 pièces ; 210 segments de mur ; 0 transitions. Inspection physique ; architecture complète encore ouverte.</x:v>
      </x:c>
      <x:c r="H1116" s="115" t="str">
        <x:v>L 280 ; l 248 ; hauteur 6,8 m ; choix de composition auteur ; dimensions réelles à documenter</x:v>
      </x:c>
      <x:c r="I1116" s="115" t="str">
        <x:v>À équilibrer</x:v>
      </x:c>
      <x:c r="J1116" s="115" t="str">
        <x:v>Non</x:v>
      </x:c>
      <x:c r="K1116" s="115" t="str">
        <x:v>Pièces décrites, murs, portes, niveaux et mobilier inspectables à l’échelle. Volumes réservés, raccord au seed, butin, rencontres et services de campagne restent à terminer.</x:v>
      </x:c>
    </x:row>
    <x:row r="1117" ht="96" customHeight="1">
      <x:c r="A1117" s="115" t="str">
        <x:v>EXT-MONDE-T023-V12</x:v>
      </x:c>
      <x:c r="B1117" s="115" t="str">
        <x:v>EXT-MONDE-T023</x:v>
      </x:c>
      <x:c r="C1117" s="115" t="str">
        <x:v>Fermes élevage</x:v>
      </x:c>
      <x:c r="D1117" s="115" t="str">
        <x:v>Ferme avicole</x:v>
      </x:c>
      <x:c r="E1117" s="115" t="n">
        <x:v>12</x:v>
      </x:c>
      <x:c r="F1117" s="115" t="str">
        <x:v>Inspection physique</x:v>
      </x:c>
      <x:c r="G1117" s="115" t="str">
        <x:v>1 niveaux ; 28 pièces ; 210 segments de mur ; 0 transitions. Inspection physique ; architecture complète encore ouverte.</x:v>
      </x:c>
      <x:c r="H1117" s="115" t="str">
        <x:v>L 280 ; l 248 ; hauteur 6,8 m ; choix de composition auteur ; dimensions réelles à documenter</x:v>
      </x:c>
      <x:c r="I1117" s="115" t="str">
        <x:v>À équilibrer</x:v>
      </x:c>
      <x:c r="J1117" s="115" t="str">
        <x:v>Non</x:v>
      </x:c>
      <x:c r="K1117" s="115" t="str">
        <x:v>Pièces décrites, murs, portes, niveaux et mobilier inspectables à l’échelle. Volumes réservés, raccord au seed, butin, rencontres et services de campagne restent à terminer.</x:v>
      </x:c>
    </x:row>
    <x:row r="1118" ht="96" customHeight="1">
      <x:c r="A1118" s="115" t="str">
        <x:v>EXT-MONDE-T023-V13</x:v>
      </x:c>
      <x:c r="B1118" s="115" t="str">
        <x:v>EXT-MONDE-T023</x:v>
      </x:c>
      <x:c r="C1118" s="115" t="str">
        <x:v>Fermes élevage</x:v>
      </x:c>
      <x:c r="D1118" s="115" t="str">
        <x:v>Ferme avicole</x:v>
      </x:c>
      <x:c r="E1118" s="115" t="n">
        <x:v>13</x:v>
      </x:c>
      <x:c r="F1118" s="115" t="str">
        <x:v>Inspection physique</x:v>
      </x:c>
      <x:c r="G1118" s="115" t="str">
        <x:v>1 niveaux ; 28 pièces ; 210 segments de mur ; 0 transitions. Inspection physique ; architecture complète encore ouverte.</x:v>
      </x:c>
      <x:c r="H1118" s="115" t="str">
        <x:v>L 280 ; l 248 ; hauteur 6,8 m ; choix de composition auteur ; dimensions réelles à documenter</x:v>
      </x:c>
      <x:c r="I1118" s="115" t="str">
        <x:v>À équilibrer</x:v>
      </x:c>
      <x:c r="J1118" s="115" t="str">
        <x:v>Non</x:v>
      </x:c>
      <x:c r="K1118" s="115" t="str">
        <x:v>Pièces décrites, murs, portes, niveaux et mobilier inspectables à l’échelle. Volumes réservés, raccord au seed, butin, rencontres et services de campagne restent à terminer.</x:v>
      </x:c>
    </x:row>
    <x:row r="1119" ht="96" customHeight="1">
      <x:c r="A1119" s="115" t="str">
        <x:v>EXT-MONDE-T023-V14</x:v>
      </x:c>
      <x:c r="B1119" s="115" t="str">
        <x:v>EXT-MONDE-T023</x:v>
      </x:c>
      <x:c r="C1119" s="115" t="str">
        <x:v>Fermes élevage</x:v>
      </x:c>
      <x:c r="D1119" s="115" t="str">
        <x:v>Ferme avicole</x:v>
      </x:c>
      <x:c r="E1119" s="115" t="n">
        <x:v>14</x:v>
      </x:c>
      <x:c r="F1119" s="115" t="str">
        <x:v>Inspection physique</x:v>
      </x:c>
      <x:c r="G1119" s="115" t="str">
        <x:v>1 niveaux ; 28 pièces ; 210 segments de mur ; 0 transitions. Inspection physique ; architecture complète encore ouverte.</x:v>
      </x:c>
      <x:c r="H1119" s="115" t="str">
        <x:v>L 280 ; l 248 ; hauteur 6,8 m ; choix de composition auteur ; dimensions réelles à documenter</x:v>
      </x:c>
      <x:c r="I1119" s="115" t="str">
        <x:v>À équilibrer</x:v>
      </x:c>
      <x:c r="J1119" s="115" t="str">
        <x:v>Non</x:v>
      </x:c>
      <x:c r="K1119" s="115" t="str">
        <x:v>Pièces décrites, murs, portes, niveaux et mobilier inspectables à l’échelle. Volumes réservés, raccord au seed, butin, rencontres et services de campagne restent à terminer.</x:v>
      </x:c>
    </x:row>
    <x:row r="1120" ht="96" customHeight="1">
      <x:c r="A1120" s="115" t="str">
        <x:v>EXT-MONDE-T023-V15</x:v>
      </x:c>
      <x:c r="B1120" s="115" t="str">
        <x:v>EXT-MONDE-T023</x:v>
      </x:c>
      <x:c r="C1120" s="115" t="str">
        <x:v>Fermes élevage</x:v>
      </x:c>
      <x:c r="D1120" s="115" t="str">
        <x:v>Ferme avicole</x:v>
      </x:c>
      <x:c r="E1120" s="115" t="n">
        <x:v>15</x:v>
      </x:c>
      <x:c r="F1120" s="115" t="str">
        <x:v>Inspection physique</x:v>
      </x:c>
      <x:c r="G1120" s="115" t="str">
        <x:v>1 niveaux ; 28 pièces ; 210 segments de mur ; 0 transitions. Inspection physique ; architecture complète encore ouverte.</x:v>
      </x:c>
      <x:c r="H1120" s="115" t="str">
        <x:v>L 280 ; l 248 ; hauteur 6,8 m ; choix de composition auteur ; dimensions réelles à documenter</x:v>
      </x:c>
      <x:c r="I1120" s="115" t="str">
        <x:v>À équilibrer</x:v>
      </x:c>
      <x:c r="J1120" s="115" t="str">
        <x:v>Non</x:v>
      </x:c>
      <x:c r="K1120" s="115" t="str">
        <x:v>Pièces décrites, murs, portes, niveaux et mobilier inspectables à l’échelle. Volumes réservés, raccord au seed, butin, rencontres et services de campagne restent à terminer.</x:v>
      </x:c>
    </x:row>
    <x:row r="1121" ht="96" customHeight="1">
      <x:c r="A1121" s="115" t="str">
        <x:v>EXT-MONDE-T023-V16</x:v>
      </x:c>
      <x:c r="B1121" s="115" t="str">
        <x:v>EXT-MONDE-T023</x:v>
      </x:c>
      <x:c r="C1121" s="115" t="str">
        <x:v>Fermes élevage</x:v>
      </x:c>
      <x:c r="D1121" s="115" t="str">
        <x:v>Ferme avicole</x:v>
      </x:c>
      <x:c r="E1121" s="115" t="n">
        <x:v>16</x:v>
      </x:c>
      <x:c r="F1121" s="115" t="str">
        <x:v>Inspection physique</x:v>
      </x:c>
      <x:c r="G1121" s="115" t="str">
        <x:v>1 niveaux ; 28 pièces ; 210 segments de mur ; 0 transitions. Inspection physique ; architecture complète encore ouverte.</x:v>
      </x:c>
      <x:c r="H1121" s="115" t="str">
        <x:v>L 280 ; l 248 ; hauteur 6,8 m ; choix de composition auteur ; dimensions réelles à documenter</x:v>
      </x:c>
      <x:c r="I1121" s="115" t="str">
        <x:v>À équilibrer</x:v>
      </x:c>
      <x:c r="J1121" s="115" t="str">
        <x:v>Non</x:v>
      </x:c>
      <x:c r="K1121" s="115" t="str">
        <x:v>Pièces décrites, murs, portes, niveaux et mobilier inspectables à l’échelle. Volumes réservés, raccord au seed, butin, rencontres et services de campagne restent à terminer.</x:v>
      </x:c>
    </x:row>
    <x:row r="1122" ht="96" customHeight="1">
      <x:c r="A1122" s="115" t="str">
        <x:v>EXT-MONDE-T023-V17</x:v>
      </x:c>
      <x:c r="B1122" s="115" t="str">
        <x:v>EXT-MONDE-T023</x:v>
      </x:c>
      <x:c r="C1122" s="115" t="str">
        <x:v>Fermes élevage</x:v>
      </x:c>
      <x:c r="D1122" s="115" t="str">
        <x:v>Ferme avicole</x:v>
      </x:c>
      <x:c r="E1122" s="115" t="n">
        <x:v>17</x:v>
      </x:c>
      <x:c r="F1122" s="115" t="str">
        <x:v>Inspection physique</x:v>
      </x:c>
      <x:c r="G1122" s="115" t="str">
        <x:v>1 niveaux ; 28 pièces ; 210 segments de mur ; 0 transitions. Inspection physique ; architecture complète encore ouverte.</x:v>
      </x:c>
      <x:c r="H1122" s="115" t="str">
        <x:v>L 280 ; l 248 ; hauteur 6,8 m ; choix de composition auteur ; dimensions réelles à documenter</x:v>
      </x:c>
      <x:c r="I1122" s="115" t="str">
        <x:v>À équilibrer</x:v>
      </x:c>
      <x:c r="J1122" s="115" t="str">
        <x:v>Non</x:v>
      </x:c>
      <x:c r="K1122" s="115" t="str">
        <x:v>Pièces décrites, murs, portes, niveaux et mobilier inspectables à l’échelle. Volumes réservés, raccord au seed, butin, rencontres et services de campagne restent à terminer.</x:v>
      </x:c>
    </x:row>
    <x:row r="1123" ht="96" customHeight="1">
      <x:c r="A1123" s="115" t="str">
        <x:v>EXT-MONDE-T023-V18</x:v>
      </x:c>
      <x:c r="B1123" s="115" t="str">
        <x:v>EXT-MONDE-T023</x:v>
      </x:c>
      <x:c r="C1123" s="115" t="str">
        <x:v>Fermes élevage</x:v>
      </x:c>
      <x:c r="D1123" s="115" t="str">
        <x:v>Ferme avicole</x:v>
      </x:c>
      <x:c r="E1123" s="115" t="n">
        <x:v>18</x:v>
      </x:c>
      <x:c r="F1123" s="115" t="str">
        <x:v>Inspection physique</x:v>
      </x:c>
      <x:c r="G1123" s="115" t="str">
        <x:v>1 niveaux ; 28 pièces ; 210 segments de mur ; 0 transitions. Inspection physique ; architecture complète encore ouverte.</x:v>
      </x:c>
      <x:c r="H1123" s="115" t="str">
        <x:v>L 280 ; l 248 ; hauteur 6,8 m ; choix de composition auteur ; dimensions réelles à documenter</x:v>
      </x:c>
      <x:c r="I1123" s="115" t="str">
        <x:v>À équilibrer</x:v>
      </x:c>
      <x:c r="J1123" s="115" t="str">
        <x:v>Non</x:v>
      </x:c>
      <x:c r="K1123" s="115" t="str">
        <x:v>Pièces décrites, murs, portes, niveaux et mobilier inspectables à l’échelle. Volumes réservés, raccord au seed, butin, rencontres et services de campagne restent à terminer.</x:v>
      </x:c>
    </x:row>
    <x:row r="1124" ht="96" customHeight="1">
      <x:c r="A1124" s="115" t="str">
        <x:v>EXT-MONDE-T023-V19</x:v>
      </x:c>
      <x:c r="B1124" s="115" t="str">
        <x:v>EXT-MONDE-T023</x:v>
      </x:c>
      <x:c r="C1124" s="115" t="str">
        <x:v>Fermes élevage</x:v>
      </x:c>
      <x:c r="D1124" s="115" t="str">
        <x:v>Ferme avicole</x:v>
      </x:c>
      <x:c r="E1124" s="115" t="n">
        <x:v>19</x:v>
      </x:c>
      <x:c r="F1124" s="115" t="str">
        <x:v>Inspection physique</x:v>
      </x:c>
      <x:c r="G1124" s="115" t="str">
        <x:v>1 niveaux ; 28 pièces ; 210 segments de mur ; 0 transitions. Inspection physique ; architecture complète encore ouverte.</x:v>
      </x:c>
      <x:c r="H1124" s="115" t="str">
        <x:v>L 280 ; l 248 ; hauteur 6,8 m ; choix de composition auteur ; dimensions réelles à documenter</x:v>
      </x:c>
      <x:c r="I1124" s="115" t="str">
        <x:v>À équilibrer</x:v>
      </x:c>
      <x:c r="J1124" s="115" t="str">
        <x:v>Non</x:v>
      </x:c>
      <x:c r="K1124" s="115" t="str">
        <x:v>Pièces décrites, murs, portes, niveaux et mobilier inspectables à l’échelle. Volumes réservés, raccord au seed, butin, rencontres et services de campagne restent à terminer.</x:v>
      </x:c>
    </x:row>
    <x:row r="1125" ht="96" customHeight="1">
      <x:c r="A1125" s="115" t="str">
        <x:v>EXT-MONDE-T023-V20</x:v>
      </x:c>
      <x:c r="B1125" s="115" t="str">
        <x:v>EXT-MONDE-T023</x:v>
      </x:c>
      <x:c r="C1125" s="115" t="str">
        <x:v>Fermes élevage</x:v>
      </x:c>
      <x:c r="D1125" s="115" t="str">
        <x:v>Ferme avicole</x:v>
      </x:c>
      <x:c r="E1125" s="115" t="n">
        <x:v>20</x:v>
      </x:c>
      <x:c r="F1125" s="115" t="str">
        <x:v>Inspection physique</x:v>
      </x:c>
      <x:c r="G1125" s="115" t="str">
        <x:v>1 niveaux ; 28 pièces ; 210 segments de mur ; 0 transitions. Inspection physique ; architecture complète encore ouverte.</x:v>
      </x:c>
      <x:c r="H1125" s="115" t="str">
        <x:v>L 280 ; l 248 ; hauteur 6,8 m ; choix de composition auteur ; dimensions réelles à documenter</x:v>
      </x:c>
      <x:c r="I1125" s="115" t="str">
        <x:v>À équilibrer</x:v>
      </x:c>
      <x:c r="J1125" s="115" t="str">
        <x:v>Non</x:v>
      </x:c>
      <x:c r="K1125" s="115" t="str">
        <x:v>Pièces décrites, murs, portes, niveaux et mobilier inspectables à l’échelle. Volumes réservés, raccord au seed, butin, rencontres et services de campagne restent à terminer.</x:v>
      </x:c>
    </x:row>
    <x:row r="1126" ht="96" customHeight="1">
      <x:c r="A1126" s="115" t="str">
        <x:v>EXT-MONDE-T023-V21</x:v>
      </x:c>
      <x:c r="B1126" s="115" t="str">
        <x:v>EXT-MONDE-T023</x:v>
      </x:c>
      <x:c r="C1126" s="115" t="str">
        <x:v>Fermes élevage</x:v>
      </x:c>
      <x:c r="D1126" s="115" t="str">
        <x:v>Ferme avicole</x:v>
      </x:c>
      <x:c r="E1126" s="115" t="n">
        <x:v>21</x:v>
      </x:c>
      <x:c r="F1126" s="115" t="str">
        <x:v>Inspection physique</x:v>
      </x:c>
      <x:c r="G1126" s="115" t="str">
        <x:v>1 niveaux ; 28 pièces ; 210 segments de mur ; 0 transitions. Inspection physique ; architecture complète encore ouverte.</x:v>
      </x:c>
      <x:c r="H1126" s="115" t="str">
        <x:v>L 300 ; l 272 ; hauteur 6,9 m ; choix de composition auteur ; dimensions réelles à documenter</x:v>
      </x:c>
      <x:c r="I1126" s="115" t="str">
        <x:v>À équilibrer</x:v>
      </x:c>
      <x:c r="J1126" s="115" t="str">
        <x:v>Non</x:v>
      </x:c>
      <x:c r="K1126" s="115" t="str">
        <x:v>Pièces décrites, murs, portes, niveaux et mobilier inspectables à l’échelle. Volumes réservés, raccord au seed, butin, rencontres et services de campagne restent à terminer.</x:v>
      </x:c>
    </x:row>
    <x:row r="1127" ht="96" customHeight="1">
      <x:c r="A1127" s="115" t="str">
        <x:v>EXT-MONDE-T023-V22</x:v>
      </x:c>
      <x:c r="B1127" s="115" t="str">
        <x:v>EXT-MONDE-T023</x:v>
      </x:c>
      <x:c r="C1127" s="115" t="str">
        <x:v>Fermes élevage</x:v>
      </x:c>
      <x:c r="D1127" s="115" t="str">
        <x:v>Ferme avicole</x:v>
      </x:c>
      <x:c r="E1127" s="115" t="n">
        <x:v>22</x:v>
      </x:c>
      <x:c r="F1127" s="115" t="str">
        <x:v>Inspection physique</x:v>
      </x:c>
      <x:c r="G1127" s="115" t="str">
        <x:v>1 niveaux ; 28 pièces ; 210 segments de mur ; 0 transitions. Inspection physique ; architecture complète encore ouverte.</x:v>
      </x:c>
      <x:c r="H1127" s="115" t="str">
        <x:v>L 300 ; l 272 ; hauteur 6,9 m ; choix de composition auteur ; dimensions réelles à documenter</x:v>
      </x:c>
      <x:c r="I1127" s="115" t="str">
        <x:v>À équilibrer</x:v>
      </x:c>
      <x:c r="J1127" s="115" t="str">
        <x:v>Non</x:v>
      </x:c>
      <x:c r="K1127" s="115" t="str">
        <x:v>Pièces décrites, murs, portes, niveaux et mobilier inspectables à l’échelle. Volumes réservés, raccord au seed, butin, rencontres et services de campagne restent à terminer.</x:v>
      </x:c>
    </x:row>
    <x:row r="1128" ht="96" customHeight="1">
      <x:c r="A1128" s="115" t="str">
        <x:v>EXT-MONDE-T023-V23</x:v>
      </x:c>
      <x:c r="B1128" s="115" t="str">
        <x:v>EXT-MONDE-T023</x:v>
      </x:c>
      <x:c r="C1128" s="115" t="str">
        <x:v>Fermes élevage</x:v>
      </x:c>
      <x:c r="D1128" s="115" t="str">
        <x:v>Ferme avicole</x:v>
      </x:c>
      <x:c r="E1128" s="115" t="n">
        <x:v>23</x:v>
      </x:c>
      <x:c r="F1128" s="115" t="str">
        <x:v>Inspection physique</x:v>
      </x:c>
      <x:c r="G1128" s="115" t="str">
        <x:v>1 niveaux ; 28 pièces ; 210 segments de mur ; 0 transitions. Inspection physique ; architecture complète encore ouverte.</x:v>
      </x:c>
      <x:c r="H1128" s="115" t="str">
        <x:v>L 300 ; l 272 ; hauteur 6,9 m ; choix de composition auteur ; dimensions réelles à documenter</x:v>
      </x:c>
      <x:c r="I1128" s="115" t="str">
        <x:v>À équilibrer</x:v>
      </x:c>
      <x:c r="J1128" s="115" t="str">
        <x:v>Non</x:v>
      </x:c>
      <x:c r="K1128" s="115" t="str">
        <x:v>Pièces décrites, murs, portes, niveaux et mobilier inspectables à l’échelle. Volumes réservés, raccord au seed, butin, rencontres et services de campagne restent à terminer.</x:v>
      </x:c>
    </x:row>
    <x:row r="1129" ht="96" customHeight="1">
      <x:c r="A1129" s="115" t="str">
        <x:v>EXT-MONDE-T023-V24</x:v>
      </x:c>
      <x:c r="B1129" s="115" t="str">
        <x:v>EXT-MONDE-T023</x:v>
      </x:c>
      <x:c r="C1129" s="115" t="str">
        <x:v>Fermes élevage</x:v>
      </x:c>
      <x:c r="D1129" s="115" t="str">
        <x:v>Ferme avicole</x:v>
      </x:c>
      <x:c r="E1129" s="115" t="n">
        <x:v>24</x:v>
      </x:c>
      <x:c r="F1129" s="115" t="str">
        <x:v>Inspection physique</x:v>
      </x:c>
      <x:c r="G1129" s="115" t="str">
        <x:v>1 niveaux ; 28 pièces ; 210 segments de mur ; 0 transitions. Inspection physique ; architecture complète encore ouverte.</x:v>
      </x:c>
      <x:c r="H1129" s="115" t="str">
        <x:v>L 300 ; l 272 ; hauteur 6,9 m ; choix de composition auteur ; dimensions réelles à documenter</x:v>
      </x:c>
      <x:c r="I1129" s="115" t="str">
        <x:v>À équilibrer</x:v>
      </x:c>
      <x:c r="J1129" s="115" t="str">
        <x:v>Non</x:v>
      </x:c>
      <x:c r="K1129" s="115" t="str">
        <x:v>Pièces décrites, murs, portes, niveaux et mobilier inspectables à l’échelle. Volumes réservés, raccord au seed, butin, rencontres et services de campagne restent à terminer.</x:v>
      </x:c>
    </x:row>
    <x:row r="1130" ht="96" customHeight="1">
      <x:c r="A1130" s="115" t="str">
        <x:v>EXT-MONDE-T023-V25</x:v>
      </x:c>
      <x:c r="B1130" s="115" t="str">
        <x:v>EXT-MONDE-T023</x:v>
      </x:c>
      <x:c r="C1130" s="115" t="str">
        <x:v>Fermes élevage</x:v>
      </x:c>
      <x:c r="D1130" s="115" t="str">
        <x:v>Ferme avicole</x:v>
      </x:c>
      <x:c r="E1130" s="115" t="n">
        <x:v>25</x:v>
      </x:c>
      <x:c r="F1130" s="115" t="str">
        <x:v>Inspection physique</x:v>
      </x:c>
      <x:c r="G1130" s="115" t="str">
        <x:v>1 niveaux ; 28 pièces ; 210 segments de mur ; 0 transitions. Inspection physique ; architecture complète encore ouverte.</x:v>
      </x:c>
      <x:c r="H1130" s="115" t="str">
        <x:v>L 300 ; l 272 ; hauteur 6,9 m ; choix de composition auteur ; dimensions réelles à documenter</x:v>
      </x:c>
      <x:c r="I1130" s="115" t="str">
        <x:v>À équilibrer</x:v>
      </x:c>
      <x:c r="J1130" s="115" t="str">
        <x:v>Non</x:v>
      </x:c>
      <x:c r="K1130" s="115" t="str">
        <x:v>Pièces décrites, murs, portes, niveaux et mobilier inspectables à l’échelle. Volumes réservés, raccord au seed, butin, rencontres et services de campagne restent à terminer.</x:v>
      </x:c>
    </x:row>
    <x:row r="1131" ht="96" customHeight="1">
      <x:c r="A1131" s="115" t="str">
        <x:v>EXT-MONDE-T023-V26</x:v>
      </x:c>
      <x:c r="B1131" s="115" t="str">
        <x:v>EXT-MONDE-T023</x:v>
      </x:c>
      <x:c r="C1131" s="115" t="str">
        <x:v>Fermes élevage</x:v>
      </x:c>
      <x:c r="D1131" s="115" t="str">
        <x:v>Ferme avicole</x:v>
      </x:c>
      <x:c r="E1131" s="115" t="n">
        <x:v>26</x:v>
      </x:c>
      <x:c r="F1131" s="115" t="str">
        <x:v>Inspection physique</x:v>
      </x:c>
      <x:c r="G1131" s="115" t="str">
        <x:v>1 niveaux ; 28 pièces ; 210 segments de mur ; 0 transitions. Inspection physique ; architecture complète encore ouverte.</x:v>
      </x:c>
      <x:c r="H1131" s="115" t="str">
        <x:v>L 300 ; l 272 ; hauteur 6,9 m ; choix de composition auteur ; dimensions réelles à documenter</x:v>
      </x:c>
      <x:c r="I1131" s="115" t="str">
        <x:v>À équilibrer</x:v>
      </x:c>
      <x:c r="J1131" s="115" t="str">
        <x:v>Non</x:v>
      </x:c>
      <x:c r="K1131" s="115" t="str">
        <x:v>Pièces décrites, murs, portes, niveaux et mobilier inspectables à l’échelle. Volumes réservés, raccord au seed, butin, rencontres et services de campagne restent à terminer.</x:v>
      </x:c>
    </x:row>
    <x:row r="1132" ht="96" customHeight="1">
      <x:c r="A1132" s="115" t="str">
        <x:v>EXT-MONDE-T023-V27</x:v>
      </x:c>
      <x:c r="B1132" s="115" t="str">
        <x:v>EXT-MONDE-T023</x:v>
      </x:c>
      <x:c r="C1132" s="115" t="str">
        <x:v>Fermes élevage</x:v>
      </x:c>
      <x:c r="D1132" s="115" t="str">
        <x:v>Ferme avicole</x:v>
      </x:c>
      <x:c r="E1132" s="115" t="n">
        <x:v>27</x:v>
      </x:c>
      <x:c r="F1132" s="115" t="str">
        <x:v>Inspection physique</x:v>
      </x:c>
      <x:c r="G1132" s="115" t="str">
        <x:v>1 niveaux ; 28 pièces ; 210 segments de mur ; 0 transitions. Inspection physique ; architecture complète encore ouverte.</x:v>
      </x:c>
      <x:c r="H1132" s="115" t="str">
        <x:v>L 300 ; l 272 ; hauteur 6,9 m ; choix de composition auteur ; dimensions réelles à documenter</x:v>
      </x:c>
      <x:c r="I1132" s="115" t="str">
        <x:v>À équilibrer</x:v>
      </x:c>
      <x:c r="J1132" s="115" t="str">
        <x:v>Non</x:v>
      </x:c>
      <x:c r="K1132" s="115" t="str">
        <x:v>Pièces décrites, murs, portes, niveaux et mobilier inspectables à l’échelle. Volumes réservés, raccord au seed, butin, rencontres et services de campagne restent à terminer.</x:v>
      </x:c>
    </x:row>
    <x:row r="1133" ht="96" customHeight="1">
      <x:c r="A1133" s="115" t="str">
        <x:v>EXT-MONDE-T023-V28</x:v>
      </x:c>
      <x:c r="B1133" s="115" t="str">
        <x:v>EXT-MONDE-T023</x:v>
      </x:c>
      <x:c r="C1133" s="115" t="str">
        <x:v>Fermes élevage</x:v>
      </x:c>
      <x:c r="D1133" s="115" t="str">
        <x:v>Ferme avicole</x:v>
      </x:c>
      <x:c r="E1133" s="115" t="n">
        <x:v>28</x:v>
      </x:c>
      <x:c r="F1133" s="115" t="str">
        <x:v>Inspection physique</x:v>
      </x:c>
      <x:c r="G1133" s="115" t="str">
        <x:v>1 niveaux ; 28 pièces ; 210 segments de mur ; 0 transitions. Inspection physique ; architecture complète encore ouverte.</x:v>
      </x:c>
      <x:c r="H1133" s="115" t="str">
        <x:v>L 300 ; l 272 ; hauteur 6,9 m ; choix de composition auteur ; dimensions réelles à documenter</x:v>
      </x:c>
      <x:c r="I1133" s="115" t="str">
        <x:v>À équilibrer</x:v>
      </x:c>
      <x:c r="J1133" s="115" t="str">
        <x:v>Non</x:v>
      </x:c>
      <x:c r="K1133" s="115" t="str">
        <x:v>Pièces décrites, murs, portes, niveaux et mobilier inspectables à l’échelle. Volumes réservés, raccord au seed, butin, rencontres et services de campagne restent à terminer.</x:v>
      </x:c>
    </x:row>
    <x:row r="1134" ht="96" customHeight="1">
      <x:c r="A1134" s="115" t="str">
        <x:v>EXT-MONDE-T023-V29</x:v>
      </x:c>
      <x:c r="B1134" s="115" t="str">
        <x:v>EXT-MONDE-T023</x:v>
      </x:c>
      <x:c r="C1134" s="115" t="str">
        <x:v>Fermes élevage</x:v>
      </x:c>
      <x:c r="D1134" s="115" t="str">
        <x:v>Ferme avicole</x:v>
      </x:c>
      <x:c r="E1134" s="115" t="n">
        <x:v>29</x:v>
      </x:c>
      <x:c r="F1134" s="115" t="str">
        <x:v>Inspection physique</x:v>
      </x:c>
      <x:c r="G1134" s="115" t="str">
        <x:v>1 niveaux ; 28 pièces ; 210 segments de mur ; 0 transitions. Inspection physique ; architecture complète encore ouverte.</x:v>
      </x:c>
      <x:c r="H1134" s="115" t="str">
        <x:v>L 300 ; l 272 ; hauteur 6,9 m ; choix de composition auteur ; dimensions réelles à documenter</x:v>
      </x:c>
      <x:c r="I1134" s="115" t="str">
        <x:v>À équilibrer</x:v>
      </x:c>
      <x:c r="J1134" s="115" t="str">
        <x:v>Non</x:v>
      </x:c>
      <x:c r="K1134" s="115" t="str">
        <x:v>Pièces décrites, murs, portes, niveaux et mobilier inspectables à l’échelle. Volumes réservés, raccord au seed, butin, rencontres et services de campagne restent à terminer.</x:v>
      </x:c>
    </x:row>
    <x:row r="1135" ht="96" customHeight="1">
      <x:c r="A1135" s="115" t="str">
        <x:v>EXT-MONDE-T023-V30</x:v>
      </x:c>
      <x:c r="B1135" s="115" t="str">
        <x:v>EXT-MONDE-T023</x:v>
      </x:c>
      <x:c r="C1135" s="115" t="str">
        <x:v>Fermes élevage</x:v>
      </x:c>
      <x:c r="D1135" s="115" t="str">
        <x:v>Ferme avicole</x:v>
      </x:c>
      <x:c r="E1135" s="115" t="n">
        <x:v>30</x:v>
      </x:c>
      <x:c r="F1135" s="115" t="str">
        <x:v>Inspection physique</x:v>
      </x:c>
      <x:c r="G1135" s="115" t="str">
        <x:v>1 niveaux ; 28 pièces ; 210 segments de mur ; 0 transitions. Inspection physique ; architecture complète encore ouverte.</x:v>
      </x:c>
      <x:c r="H1135" s="115" t="str">
        <x:v>L 300 ; l 272 ; hauteur 6,9 m ; choix de composition auteur ; dimensions réelles à documenter</x:v>
      </x:c>
      <x:c r="I1135" s="115" t="str">
        <x:v>À équilibrer</x:v>
      </x:c>
      <x:c r="J1135" s="115" t="str">
        <x:v>Non</x:v>
      </x:c>
      <x:c r="K1135" s="115" t="str">
        <x:v>Pièces décrites, murs, portes, niveaux et mobilier inspectables à l’échelle. Volumes réservés, raccord au seed, butin, rencontres et services de campagne restent à terminer.</x:v>
      </x:c>
    </x:row>
    <x:row r="1136" ht="96" customHeight="1">
      <x:c r="A1136" s="115" t="str">
        <x:v>EXT-MONDE-T023-V31</x:v>
      </x:c>
      <x:c r="B1136" s="115" t="str">
        <x:v>EXT-MONDE-T023</x:v>
      </x:c>
      <x:c r="C1136" s="115" t="str">
        <x:v>Fermes élevage</x:v>
      </x:c>
      <x:c r="D1136" s="115" t="str">
        <x:v>Ferme avicole</x:v>
      </x:c>
      <x:c r="E1136" s="115" t="n">
        <x:v>31</x:v>
      </x:c>
      <x:c r="F1136" s="115" t="str">
        <x:v>Inspection physique</x:v>
      </x:c>
      <x:c r="G1136" s="115" t="str">
        <x:v>1 niveaux ; 28 pièces ; 210 segments de mur ; 0 transitions. Inspection physique ; architecture complète encore ouverte.</x:v>
      </x:c>
      <x:c r="H1136" s="115" t="str">
        <x:v>L 320 ; l 296 ; hauteur 7,1 m ; choix de composition auteur ; dimensions réelles à documenter</x:v>
      </x:c>
      <x:c r="I1136" s="115" t="str">
        <x:v>À équilibrer</x:v>
      </x:c>
      <x:c r="J1136" s="115" t="str">
        <x:v>Non</x:v>
      </x:c>
      <x:c r="K1136" s="115" t="str">
        <x:v>Pièces décrites, murs, portes, niveaux et mobilier inspectables à l’échelle. Volumes réservés, raccord au seed, butin, rencontres et services de campagne restent à terminer.</x:v>
      </x:c>
    </x:row>
    <x:row r="1137" ht="96" customHeight="1">
      <x:c r="A1137" s="115" t="str">
        <x:v>EXT-MONDE-T023-V32</x:v>
      </x:c>
      <x:c r="B1137" s="115" t="str">
        <x:v>EXT-MONDE-T023</x:v>
      </x:c>
      <x:c r="C1137" s="115" t="str">
        <x:v>Fermes élevage</x:v>
      </x:c>
      <x:c r="D1137" s="115" t="str">
        <x:v>Ferme avicole</x:v>
      </x:c>
      <x:c r="E1137" s="115" t="n">
        <x:v>32</x:v>
      </x:c>
      <x:c r="F1137" s="115" t="str">
        <x:v>Inspection physique</x:v>
      </x:c>
      <x:c r="G1137" s="115" t="str">
        <x:v>1 niveaux ; 28 pièces ; 210 segments de mur ; 0 transitions. Inspection physique ; architecture complète encore ouverte.</x:v>
      </x:c>
      <x:c r="H1137" s="115" t="str">
        <x:v>L 320 ; l 296 ; hauteur 7,1 m ; choix de composition auteur ; dimensions réelles à documenter</x:v>
      </x:c>
      <x:c r="I1137" s="115" t="str">
        <x:v>À équilibrer</x:v>
      </x:c>
      <x:c r="J1137" s="115" t="str">
        <x:v>Non</x:v>
      </x:c>
      <x:c r="K1137" s="115" t="str">
        <x:v>Pièces décrites, murs, portes, niveaux et mobilier inspectables à l’échelle. Volumes réservés, raccord au seed, butin, rencontres et services de campagne restent à terminer.</x:v>
      </x:c>
    </x:row>
    <x:row r="1138" ht="96" customHeight="1">
      <x:c r="A1138" s="115" t="str">
        <x:v>EXT-MONDE-T023-V33</x:v>
      </x:c>
      <x:c r="B1138" s="115" t="str">
        <x:v>EXT-MONDE-T023</x:v>
      </x:c>
      <x:c r="C1138" s="115" t="str">
        <x:v>Fermes élevage</x:v>
      </x:c>
      <x:c r="D1138" s="115" t="str">
        <x:v>Ferme avicole</x:v>
      </x:c>
      <x:c r="E1138" s="115" t="n">
        <x:v>33</x:v>
      </x:c>
      <x:c r="F1138" s="115" t="str">
        <x:v>Inspection physique</x:v>
      </x:c>
      <x:c r="G1138" s="115" t="str">
        <x:v>1 niveaux ; 28 pièces ; 210 segments de mur ; 0 transitions. Inspection physique ; architecture complète encore ouverte.</x:v>
      </x:c>
      <x:c r="H1138" s="115" t="str">
        <x:v>L 320 ; l 296 ; hauteur 7,1 m ; choix de composition auteur ; dimensions réelles à documenter</x:v>
      </x:c>
      <x:c r="I1138" s="115" t="str">
        <x:v>À équilibrer</x:v>
      </x:c>
      <x:c r="J1138" s="115" t="str">
        <x:v>Non</x:v>
      </x:c>
      <x:c r="K1138" s="115" t="str">
        <x:v>Pièces décrites, murs, portes, niveaux et mobilier inspectables à l’échelle. Volumes réservés, raccord au seed, butin, rencontres et services de campagne restent à terminer.</x:v>
      </x:c>
    </x:row>
    <x:row r="1139" ht="96" customHeight="1">
      <x:c r="A1139" s="115" t="str">
        <x:v>EXT-MONDE-T023-V34</x:v>
      </x:c>
      <x:c r="B1139" s="115" t="str">
        <x:v>EXT-MONDE-T023</x:v>
      </x:c>
      <x:c r="C1139" s="115" t="str">
        <x:v>Fermes élevage</x:v>
      </x:c>
      <x:c r="D1139" s="115" t="str">
        <x:v>Ferme avicole</x:v>
      </x:c>
      <x:c r="E1139" s="115" t="n">
        <x:v>34</x:v>
      </x:c>
      <x:c r="F1139" s="115" t="str">
        <x:v>Inspection physique</x:v>
      </x:c>
      <x:c r="G1139" s="115" t="str">
        <x:v>1 niveaux ; 28 pièces ; 210 segments de mur ; 0 transitions. Inspection physique ; architecture complète encore ouverte.</x:v>
      </x:c>
      <x:c r="H1139" s="115" t="str">
        <x:v>L 320 ; l 296 ; hauteur 7,1 m ; choix de composition auteur ; dimensions réelles à documenter</x:v>
      </x:c>
      <x:c r="I1139" s="115" t="str">
        <x:v>À équilibrer</x:v>
      </x:c>
      <x:c r="J1139" s="115" t="str">
        <x:v>Non</x:v>
      </x:c>
      <x:c r="K1139" s="115" t="str">
        <x:v>Pièces décrites, murs, portes, niveaux et mobilier inspectables à l’échelle. Volumes réservés, raccord au seed, butin, rencontres et services de campagne restent à terminer.</x:v>
      </x:c>
    </x:row>
    <x:row r="1140" ht="96" customHeight="1">
      <x:c r="A1140" s="115" t="str">
        <x:v>EXT-MONDE-T023-V35</x:v>
      </x:c>
      <x:c r="B1140" s="115" t="str">
        <x:v>EXT-MONDE-T023</x:v>
      </x:c>
      <x:c r="C1140" s="115" t="str">
        <x:v>Fermes élevage</x:v>
      </x:c>
      <x:c r="D1140" s="115" t="str">
        <x:v>Ferme avicole</x:v>
      </x:c>
      <x:c r="E1140" s="115" t="n">
        <x:v>35</x:v>
      </x:c>
      <x:c r="F1140" s="115" t="str">
        <x:v>Inspection physique</x:v>
      </x:c>
      <x:c r="G1140" s="115" t="str">
        <x:v>1 niveaux ; 28 pièces ; 210 segments de mur ; 0 transitions. Inspection physique ; architecture complète encore ouverte.</x:v>
      </x:c>
      <x:c r="H1140" s="115" t="str">
        <x:v>L 320 ; l 296 ; hauteur 7,1 m ; choix de composition auteur ; dimensions réelles à documenter</x:v>
      </x:c>
      <x:c r="I1140" s="115" t="str">
        <x:v>À équilibrer</x:v>
      </x:c>
      <x:c r="J1140" s="115" t="str">
        <x:v>Non</x:v>
      </x:c>
      <x:c r="K1140" s="115" t="str">
        <x:v>Pièces décrites, murs, portes, niveaux et mobilier inspectables à l’échelle. Volumes réservés, raccord au seed, butin, rencontres et services de campagne restent à terminer.</x:v>
      </x:c>
    </x:row>
    <x:row r="1141" ht="96" customHeight="1">
      <x:c r="A1141" s="115" t="str">
        <x:v>EXT-MONDE-T023-V36</x:v>
      </x:c>
      <x:c r="B1141" s="115" t="str">
        <x:v>EXT-MONDE-T023</x:v>
      </x:c>
      <x:c r="C1141" s="115" t="str">
        <x:v>Fermes élevage</x:v>
      </x:c>
      <x:c r="D1141" s="115" t="str">
        <x:v>Ferme avicole</x:v>
      </x:c>
      <x:c r="E1141" s="115" t="n">
        <x:v>36</x:v>
      </x:c>
      <x:c r="F1141" s="115" t="str">
        <x:v>Inspection physique</x:v>
      </x:c>
      <x:c r="G1141" s="115" t="str">
        <x:v>1 niveaux ; 28 pièces ; 210 segments de mur ; 0 transitions. Inspection physique ; architecture complète encore ouverte.</x:v>
      </x:c>
      <x:c r="H1141" s="115" t="str">
        <x:v>L 320 ; l 296 ; hauteur 7,1 m ; choix de composition auteur ; dimensions réelles à documenter</x:v>
      </x:c>
      <x:c r="I1141" s="115" t="str">
        <x:v>À équilibrer</x:v>
      </x:c>
      <x:c r="J1141" s="115" t="str">
        <x:v>Non</x:v>
      </x:c>
      <x:c r="K1141" s="115" t="str">
        <x:v>Pièces décrites, murs, portes, niveaux et mobilier inspectables à l’échelle. Volumes réservés, raccord au seed, butin, rencontres et services de campagne restent à terminer.</x:v>
      </x:c>
    </x:row>
    <x:row r="1142" ht="96" customHeight="1">
      <x:c r="A1142" s="115" t="str">
        <x:v>EXT-MONDE-T023-V37</x:v>
      </x:c>
      <x:c r="B1142" s="115" t="str">
        <x:v>EXT-MONDE-T023</x:v>
      </x:c>
      <x:c r="C1142" s="115" t="str">
        <x:v>Fermes élevage</x:v>
      </x:c>
      <x:c r="D1142" s="115" t="str">
        <x:v>Ferme avicole</x:v>
      </x:c>
      <x:c r="E1142" s="115" t="n">
        <x:v>37</x:v>
      </x:c>
      <x:c r="F1142" s="115" t="str">
        <x:v>Inspection physique</x:v>
      </x:c>
      <x:c r="G1142" s="115" t="str">
        <x:v>1 niveaux ; 28 pièces ; 210 segments de mur ; 0 transitions. Inspection physique ; architecture complète encore ouverte.</x:v>
      </x:c>
      <x:c r="H1142" s="115" t="str">
        <x:v>L 320 ; l 296 ; hauteur 7,1 m ; choix de composition auteur ; dimensions réelles à documenter</x:v>
      </x:c>
      <x:c r="I1142" s="115" t="str">
        <x:v>À équilibrer</x:v>
      </x:c>
      <x:c r="J1142" s="115" t="str">
        <x:v>Non</x:v>
      </x:c>
      <x:c r="K1142" s="115" t="str">
        <x:v>Pièces décrites, murs, portes, niveaux et mobilier inspectables à l’échelle. Volumes réservés, raccord au seed, butin, rencontres et services de campagne restent à terminer.</x:v>
      </x:c>
    </x:row>
    <x:row r="1143" ht="96" customHeight="1">
      <x:c r="A1143" s="115" t="str">
        <x:v>EXT-MONDE-T023-V38</x:v>
      </x:c>
      <x:c r="B1143" s="115" t="str">
        <x:v>EXT-MONDE-T023</x:v>
      </x:c>
      <x:c r="C1143" s="115" t="str">
        <x:v>Fermes élevage</x:v>
      </x:c>
      <x:c r="D1143" s="115" t="str">
        <x:v>Ferme avicole</x:v>
      </x:c>
      <x:c r="E1143" s="115" t="n">
        <x:v>38</x:v>
      </x:c>
      <x:c r="F1143" s="115" t="str">
        <x:v>Inspection physique</x:v>
      </x:c>
      <x:c r="G1143" s="115" t="str">
        <x:v>1 niveaux ; 28 pièces ; 210 segments de mur ; 0 transitions. Inspection physique ; architecture complète encore ouverte.</x:v>
      </x:c>
      <x:c r="H1143" s="115" t="str">
        <x:v>L 320 ; l 296 ; hauteur 7,1 m ; choix de composition auteur ; dimensions réelles à documenter</x:v>
      </x:c>
      <x:c r="I1143" s="115" t="str">
        <x:v>À équilibrer</x:v>
      </x:c>
      <x:c r="J1143" s="115" t="str">
        <x:v>Non</x:v>
      </x:c>
      <x:c r="K1143" s="115" t="str">
        <x:v>Pièces décrites, murs, portes, niveaux et mobilier inspectables à l’échelle. Volumes réservés, raccord au seed, butin, rencontres et services de campagne restent à terminer.</x:v>
      </x:c>
    </x:row>
    <x:row r="1144" ht="96" customHeight="1">
      <x:c r="A1144" s="115" t="str">
        <x:v>EXT-MONDE-T023-V39</x:v>
      </x:c>
      <x:c r="B1144" s="115" t="str">
        <x:v>EXT-MONDE-T023</x:v>
      </x:c>
      <x:c r="C1144" s="115" t="str">
        <x:v>Fermes élevage</x:v>
      </x:c>
      <x:c r="D1144" s="115" t="str">
        <x:v>Ferme avicole</x:v>
      </x:c>
      <x:c r="E1144" s="115" t="n">
        <x:v>39</x:v>
      </x:c>
      <x:c r="F1144" s="115" t="str">
        <x:v>Inspection physique</x:v>
      </x:c>
      <x:c r="G1144" s="115" t="str">
        <x:v>1 niveaux ; 28 pièces ; 210 segments de mur ; 0 transitions. Inspection physique ; architecture complète encore ouverte.</x:v>
      </x:c>
      <x:c r="H1144" s="115" t="str">
        <x:v>L 320 ; l 296 ; hauteur 7,1 m ; choix de composition auteur ; dimensions réelles à documenter</x:v>
      </x:c>
      <x:c r="I1144" s="115" t="str">
        <x:v>À équilibrer</x:v>
      </x:c>
      <x:c r="J1144" s="115" t="str">
        <x:v>Non</x:v>
      </x:c>
      <x:c r="K1144" s="115" t="str">
        <x:v>Pièces décrites, murs, portes, niveaux et mobilier inspectables à l’échelle. Volumes réservés, raccord au seed, butin, rencontres et services de campagne restent à terminer.</x:v>
      </x:c>
    </x:row>
    <x:row r="1145" ht="96" customHeight="1">
      <x:c r="A1145" s="115" t="str">
        <x:v>EXT-MONDE-T023-V40</x:v>
      </x:c>
      <x:c r="B1145" s="115" t="str">
        <x:v>EXT-MONDE-T023</x:v>
      </x:c>
      <x:c r="C1145" s="115" t="str">
        <x:v>Fermes élevage</x:v>
      </x:c>
      <x:c r="D1145" s="115" t="str">
        <x:v>Ferme avicole</x:v>
      </x:c>
      <x:c r="E1145" s="115" t="n">
        <x:v>40</x:v>
      </x:c>
      <x:c r="F1145" s="115" t="str">
        <x:v>Inspection physique</x:v>
      </x:c>
      <x:c r="G1145" s="115" t="str">
        <x:v>1 niveaux ; 28 pièces ; 210 segments de mur ; 0 transitions. Inspection physique ; architecture complète encore ouverte.</x:v>
      </x:c>
      <x:c r="H1145" s="115" t="str">
        <x:v>L 320 ; l 296 ; hauteur 7,1 m ; choix de composition auteur ; dimensions réelles à documenter</x:v>
      </x:c>
      <x:c r="I1145" s="115" t="str">
        <x:v>À équilibrer</x:v>
      </x:c>
      <x:c r="J1145" s="115" t="str">
        <x:v>Non</x:v>
      </x:c>
      <x:c r="K1145" s="115" t="str">
        <x:v>Pièces décrites, murs, portes, niveaux et mobilier inspectables à l’échelle. Volumes réservés, raccord au seed, butin, rencontres et services de campagne restent à terminer.</x:v>
      </x:c>
    </x:row>
    <x:row r="1146" ht="96" customHeight="1">
      <x:c r="A1146" s="115" t="str">
        <x:v>EXT-MONDE-T023-V41</x:v>
      </x:c>
      <x:c r="B1146" s="115" t="str">
        <x:v>EXT-MONDE-T023</x:v>
      </x:c>
      <x:c r="C1146" s="115" t="str">
        <x:v>Fermes élevage</x:v>
      </x:c>
      <x:c r="D1146" s="115" t="str">
        <x:v>Ferme avicole</x:v>
      </x:c>
      <x:c r="E1146" s="115" t="n">
        <x:v>41</x:v>
      </x:c>
      <x:c r="F1146" s="115" t="str">
        <x:v>Inspection physique</x:v>
      </x:c>
      <x:c r="G1146" s="115" t="str">
        <x:v>1 niveaux ; 28 pièces ; 210 segments de mur ; 0 transitions. Inspection physique ; architecture complète encore ouverte.</x:v>
      </x:c>
      <x:c r="H1146" s="115" t="str">
        <x:v>L 340 ; l 320 ; hauteur 7,3 m ; choix de composition auteur ; dimensions réelles à documenter</x:v>
      </x:c>
      <x:c r="I1146" s="115" t="str">
        <x:v>À équilibrer</x:v>
      </x:c>
      <x:c r="J1146" s="115" t="str">
        <x:v>Non</x:v>
      </x:c>
      <x:c r="K1146" s="115" t="str">
        <x:v>Pièces décrites, murs, portes, niveaux et mobilier inspectables à l’échelle. Volumes réservés, raccord au seed, butin, rencontres et services de campagne restent à terminer.</x:v>
      </x:c>
    </x:row>
    <x:row r="1147" ht="96" customHeight="1">
      <x:c r="A1147" s="115" t="str">
        <x:v>EXT-MONDE-T023-V42</x:v>
      </x:c>
      <x:c r="B1147" s="115" t="str">
        <x:v>EXT-MONDE-T023</x:v>
      </x:c>
      <x:c r="C1147" s="115" t="str">
        <x:v>Fermes élevage</x:v>
      </x:c>
      <x:c r="D1147" s="115" t="str">
        <x:v>Ferme avicole</x:v>
      </x:c>
      <x:c r="E1147" s="115" t="n">
        <x:v>42</x:v>
      </x:c>
      <x:c r="F1147" s="115" t="str">
        <x:v>Inspection physique</x:v>
      </x:c>
      <x:c r="G1147" s="115" t="str">
        <x:v>1 niveaux ; 28 pièces ; 210 segments de mur ; 0 transitions. Inspection physique ; architecture complète encore ouverte.</x:v>
      </x:c>
      <x:c r="H1147" s="115" t="str">
        <x:v>L 340 ; l 320 ; hauteur 7,3 m ; choix de composition auteur ; dimensions réelles à documenter</x:v>
      </x:c>
      <x:c r="I1147" s="115" t="str">
        <x:v>À équilibrer</x:v>
      </x:c>
      <x:c r="J1147" s="115" t="str">
        <x:v>Non</x:v>
      </x:c>
      <x:c r="K1147" s="115" t="str">
        <x:v>Pièces décrites, murs, portes, niveaux et mobilier inspectables à l’échelle. Volumes réservés, raccord au seed, butin, rencontres et services de campagne restent à terminer.</x:v>
      </x:c>
    </x:row>
    <x:row r="1148" ht="96" customHeight="1">
      <x:c r="A1148" s="115" t="str">
        <x:v>EXT-MONDE-T023-V43</x:v>
      </x:c>
      <x:c r="B1148" s="115" t="str">
        <x:v>EXT-MONDE-T023</x:v>
      </x:c>
      <x:c r="C1148" s="115" t="str">
        <x:v>Fermes élevage</x:v>
      </x:c>
      <x:c r="D1148" s="115" t="str">
        <x:v>Ferme avicole</x:v>
      </x:c>
      <x:c r="E1148" s="115" t="n">
        <x:v>43</x:v>
      </x:c>
      <x:c r="F1148" s="115" t="str">
        <x:v>Inspection physique</x:v>
      </x:c>
      <x:c r="G1148" s="115" t="str">
        <x:v>1 niveaux ; 28 pièces ; 210 segments de mur ; 0 transitions. Inspection physique ; architecture complète encore ouverte.</x:v>
      </x:c>
      <x:c r="H1148" s="115" t="str">
        <x:v>L 340 ; l 320 ; hauteur 7,3 m ; choix de composition auteur ; dimensions réelles à documenter</x:v>
      </x:c>
      <x:c r="I1148" s="115" t="str">
        <x:v>À équilibrer</x:v>
      </x:c>
      <x:c r="J1148" s="115" t="str">
        <x:v>Non</x:v>
      </x:c>
      <x:c r="K1148" s="115" t="str">
        <x:v>Pièces décrites, murs, portes, niveaux et mobilier inspectables à l’échelle. Volumes réservés, raccord au seed, butin, rencontres et services de campagne restent à terminer.</x:v>
      </x:c>
    </x:row>
    <x:row r="1149" ht="96" customHeight="1">
      <x:c r="A1149" s="115" t="str">
        <x:v>EXT-MONDE-T023-V44</x:v>
      </x:c>
      <x:c r="B1149" s="115" t="str">
        <x:v>EXT-MONDE-T023</x:v>
      </x:c>
      <x:c r="C1149" s="115" t="str">
        <x:v>Fermes élevage</x:v>
      </x:c>
      <x:c r="D1149" s="115" t="str">
        <x:v>Ferme avicole</x:v>
      </x:c>
      <x:c r="E1149" s="115" t="n">
        <x:v>44</x:v>
      </x:c>
      <x:c r="F1149" s="115" t="str">
        <x:v>Inspection physique</x:v>
      </x:c>
      <x:c r="G1149" s="115" t="str">
        <x:v>1 niveaux ; 28 pièces ; 210 segments de mur ; 0 transitions. Inspection physique ; architecture complète encore ouverte.</x:v>
      </x:c>
      <x:c r="H1149" s="115" t="str">
        <x:v>L 340 ; l 320 ; hauteur 7,3 m ; choix de composition auteur ; dimensions réelles à documenter</x:v>
      </x:c>
      <x:c r="I1149" s="115" t="str">
        <x:v>À équilibrer</x:v>
      </x:c>
      <x:c r="J1149" s="115" t="str">
        <x:v>Non</x:v>
      </x:c>
      <x:c r="K1149" s="115" t="str">
        <x:v>Pièces décrites, murs, portes, niveaux et mobilier inspectables à l’échelle. Volumes réservés, raccord au seed, butin, rencontres et services de campagne restent à terminer.</x:v>
      </x:c>
    </x:row>
    <x:row r="1150" ht="96" customHeight="1">
      <x:c r="A1150" s="115" t="str">
        <x:v>EXT-MONDE-T023-V45</x:v>
      </x:c>
      <x:c r="B1150" s="115" t="str">
        <x:v>EXT-MONDE-T023</x:v>
      </x:c>
      <x:c r="C1150" s="115" t="str">
        <x:v>Fermes élevage</x:v>
      </x:c>
      <x:c r="D1150" s="115" t="str">
        <x:v>Ferme avicole</x:v>
      </x:c>
      <x:c r="E1150" s="115" t="n">
        <x:v>45</x:v>
      </x:c>
      <x:c r="F1150" s="115" t="str">
        <x:v>Inspection physique</x:v>
      </x:c>
      <x:c r="G1150" s="115" t="str">
        <x:v>1 niveaux ; 28 pièces ; 210 segments de mur ; 0 transitions. Inspection physique ; architecture complète encore ouverte.</x:v>
      </x:c>
      <x:c r="H1150" s="115" t="str">
        <x:v>L 340 ; l 320 ; hauteur 7,3 m ; choix de composition auteur ; dimensions réelles à documenter</x:v>
      </x:c>
      <x:c r="I1150" s="115" t="str">
        <x:v>À équilibrer</x:v>
      </x:c>
      <x:c r="J1150" s="115" t="str">
        <x:v>Non</x:v>
      </x:c>
      <x:c r="K1150" s="115" t="str">
        <x:v>Pièces décrites, murs, portes, niveaux et mobilier inspectables à l’échelle. Volumes réservés, raccord au seed, butin, rencontres et services de campagne restent à terminer.</x:v>
      </x:c>
    </x:row>
    <x:row r="1151" ht="96" customHeight="1">
      <x:c r="A1151" s="115" t="str">
        <x:v>EXT-MONDE-T023-V46</x:v>
      </x:c>
      <x:c r="B1151" s="115" t="str">
        <x:v>EXT-MONDE-T023</x:v>
      </x:c>
      <x:c r="C1151" s="115" t="str">
        <x:v>Fermes élevage</x:v>
      </x:c>
      <x:c r="D1151" s="115" t="str">
        <x:v>Ferme avicole</x:v>
      </x:c>
      <x:c r="E1151" s="115" t="n">
        <x:v>46</x:v>
      </x:c>
      <x:c r="F1151" s="115" t="str">
        <x:v>Inspection physique</x:v>
      </x:c>
      <x:c r="G1151" s="115" t="str">
        <x:v>1 niveaux ; 28 pièces ; 210 segments de mur ; 0 transitions. Inspection physique ; architecture complète encore ouverte.</x:v>
      </x:c>
      <x:c r="H1151" s="115" t="str">
        <x:v>L 340 ; l 320 ; hauteur 7,3 m ; choix de composition auteur ; dimensions réelles à documenter</x:v>
      </x:c>
      <x:c r="I1151" s="115" t="str">
        <x:v>À équilibrer</x:v>
      </x:c>
      <x:c r="J1151" s="115" t="str">
        <x:v>Non</x:v>
      </x:c>
      <x:c r="K1151" s="115" t="str">
        <x:v>Pièces décrites, murs, portes, niveaux et mobilier inspectables à l’échelle. Volumes réservés, raccord au seed, butin, rencontres et services de campagne restent à terminer.</x:v>
      </x:c>
    </x:row>
    <x:row r="1152" ht="96" customHeight="1">
      <x:c r="A1152" s="115" t="str">
        <x:v>EXT-MONDE-T023-V47</x:v>
      </x:c>
      <x:c r="B1152" s="115" t="str">
        <x:v>EXT-MONDE-T023</x:v>
      </x:c>
      <x:c r="C1152" s="115" t="str">
        <x:v>Fermes élevage</x:v>
      </x:c>
      <x:c r="D1152" s="115" t="str">
        <x:v>Ferme avicole</x:v>
      </x:c>
      <x:c r="E1152" s="115" t="n">
        <x:v>47</x:v>
      </x:c>
      <x:c r="F1152" s="115" t="str">
        <x:v>Inspection physique</x:v>
      </x:c>
      <x:c r="G1152" s="115" t="str">
        <x:v>1 niveaux ; 28 pièces ; 210 segments de mur ; 0 transitions. Inspection physique ; architecture complète encore ouverte.</x:v>
      </x:c>
      <x:c r="H1152" s="115" t="str">
        <x:v>L 340 ; l 320 ; hauteur 7,3 m ; choix de composition auteur ; dimensions réelles à documenter</x:v>
      </x:c>
      <x:c r="I1152" s="115" t="str">
        <x:v>À équilibrer</x:v>
      </x:c>
      <x:c r="J1152" s="115" t="str">
        <x:v>Non</x:v>
      </x:c>
      <x:c r="K1152" s="115" t="str">
        <x:v>Pièces décrites, murs, portes, niveaux et mobilier inspectables à l’échelle. Volumes réservés, raccord au seed, butin, rencontres et services de campagne restent à terminer.</x:v>
      </x:c>
    </x:row>
    <x:row r="1153" ht="96" customHeight="1">
      <x:c r="A1153" s="115" t="str">
        <x:v>EXT-MONDE-T023-V48</x:v>
      </x:c>
      <x:c r="B1153" s="115" t="str">
        <x:v>EXT-MONDE-T023</x:v>
      </x:c>
      <x:c r="C1153" s="115" t="str">
        <x:v>Fermes élevage</x:v>
      </x:c>
      <x:c r="D1153" s="115" t="str">
        <x:v>Ferme avicole</x:v>
      </x:c>
      <x:c r="E1153" s="115" t="n">
        <x:v>48</x:v>
      </x:c>
      <x:c r="F1153" s="115" t="str">
        <x:v>Inspection physique</x:v>
      </x:c>
      <x:c r="G1153" s="115" t="str">
        <x:v>1 niveaux ; 28 pièces ; 210 segments de mur ; 0 transitions. Inspection physique ; architecture complète encore ouverte.</x:v>
      </x:c>
      <x:c r="H1153" s="115" t="str">
        <x:v>L 340 ; l 320 ; hauteur 7,3 m ; choix de composition auteur ; dimensions réelles à documenter</x:v>
      </x:c>
      <x:c r="I1153" s="115" t="str">
        <x:v>À équilibrer</x:v>
      </x:c>
      <x:c r="J1153" s="115" t="str">
        <x:v>Non</x:v>
      </x:c>
      <x:c r="K1153" s="115" t="str">
        <x:v>Pièces décrites, murs, portes, niveaux et mobilier inspectables à l’échelle. Volumes réservés, raccord au seed, butin, rencontres et services de campagne restent à terminer.</x:v>
      </x:c>
    </x:row>
    <x:row r="1154" ht="96" customHeight="1">
      <x:c r="A1154" s="115" t="str">
        <x:v>EXT-MONDE-T023-V49</x:v>
      </x:c>
      <x:c r="B1154" s="115" t="str">
        <x:v>EXT-MONDE-T023</x:v>
      </x:c>
      <x:c r="C1154" s="115" t="str">
        <x:v>Fermes élevage</x:v>
      </x:c>
      <x:c r="D1154" s="115" t="str">
        <x:v>Ferme avicole</x:v>
      </x:c>
      <x:c r="E1154" s="115" t="n">
        <x:v>49</x:v>
      </x:c>
      <x:c r="F1154" s="115" t="str">
        <x:v>Inspection physique</x:v>
      </x:c>
      <x:c r="G1154" s="115" t="str">
        <x:v>1 niveaux ; 28 pièces ; 210 segments de mur ; 0 transitions. Inspection physique ; architecture complète encore ouverte.</x:v>
      </x:c>
      <x:c r="H1154" s="115" t="str">
        <x:v>L 340 ; l 320 ; hauteur 7,3 m ; choix de composition auteur ; dimensions réelles à documenter</x:v>
      </x:c>
      <x:c r="I1154" s="115" t="str">
        <x:v>À équilibrer</x:v>
      </x:c>
      <x:c r="J1154" s="115" t="str">
        <x:v>Non</x:v>
      </x:c>
      <x:c r="K1154" s="115" t="str">
        <x:v>Pièces décrites, murs, portes, niveaux et mobilier inspectables à l’échelle. Volumes réservés, raccord au seed, butin, rencontres et services de campagne restent à terminer.</x:v>
      </x:c>
    </x:row>
    <x:row r="1155" ht="96" customHeight="1">
      <x:c r="A1155" s="115" t="str">
        <x:v>EXT-MONDE-T023-V50</x:v>
      </x:c>
      <x:c r="B1155" s="115" t="str">
        <x:v>EXT-MONDE-T023</x:v>
      </x:c>
      <x:c r="C1155" s="115" t="str">
        <x:v>Fermes élevage</x:v>
      </x:c>
      <x:c r="D1155" s="115" t="str">
        <x:v>Ferme avicole</x:v>
      </x:c>
      <x:c r="E1155" s="115" t="n">
        <x:v>50</x:v>
      </x:c>
      <x:c r="F1155" s="115" t="str">
        <x:v>Inspection physique</x:v>
      </x:c>
      <x:c r="G1155" s="115" t="str">
        <x:v>1 niveaux ; 28 pièces ; 210 segments de mur ; 0 transitions. Inspection physique ; architecture complète encore ouverte.</x:v>
      </x:c>
      <x:c r="H1155" s="115" t="str">
        <x:v>L 340 ; l 320 ; hauteur 7,3 m ; choix de composition auteur ; dimensions réelles à documenter</x:v>
      </x:c>
      <x:c r="I1155" s="115" t="str">
        <x:v>À équilibrer</x:v>
      </x:c>
      <x:c r="J1155" s="115" t="str">
        <x:v>Non</x:v>
      </x:c>
      <x:c r="K1155" s="115" t="str">
        <x:v>Pièces décrites, murs, portes, niveaux et mobilier inspectables à l’échelle. Volumes réservés, raccord au seed, butin, rencontres et services de campagne restent à terminer.</x:v>
      </x:c>
    </x:row>
    <x:row r="1156" ht="96" customHeight="1">
      <x:c r="A1156" s="115" t="str">
        <x:v>EXT-MONDE-T024-V01</x:v>
      </x:c>
      <x:c r="B1156" s="115" t="str">
        <x:v>EXT-MONDE-T024</x:v>
      </x:c>
      <x:c r="C1156" s="115" t="str">
        <x:v>Fermes élevage</x:v>
      </x:c>
      <x:c r="D1156" s="115" t="str">
        <x:v>Centre équestre rural</x:v>
      </x:c>
      <x:c r="E1156" s="115" t="n">
        <x:v>1</x:v>
      </x:c>
      <x:c r="F1156" s="115" t="str">
        <x:v>Inspection physique</x:v>
      </x:c>
      <x:c r="G1156" s="115" t="str">
        <x:v>1 niveaux ; 28 pièces ; 210 segments de mur ; 0 transitions. Inspection physique ; architecture complète encore ouverte.</x:v>
      </x:c>
      <x:c r="H1156" s="115" t="str">
        <x:v>L 260 ; l 224 ; hauteur 6,5 m ; choix de composition auteur ; dimensions réelles à documenter</x:v>
      </x:c>
      <x:c r="I1156" s="115" t="str">
        <x:v>À équilibrer</x:v>
      </x:c>
      <x:c r="J1156" s="115" t="str">
        <x:v>Non</x:v>
      </x:c>
      <x:c r="K1156" s="115" t="str">
        <x:v>Pièces décrites, murs, portes, niveaux et mobilier inspectables à l’échelle. Volumes réservés, raccord au seed, butin, rencontres et services de campagne restent à terminer.</x:v>
      </x:c>
    </x:row>
    <x:row r="1157" ht="96" customHeight="1">
      <x:c r="A1157" s="115" t="str">
        <x:v>EXT-MONDE-T024-V02</x:v>
      </x:c>
      <x:c r="B1157" s="115" t="str">
        <x:v>EXT-MONDE-T024</x:v>
      </x:c>
      <x:c r="C1157" s="115" t="str">
        <x:v>Fermes élevage</x:v>
      </x:c>
      <x:c r="D1157" s="115" t="str">
        <x:v>Centre équestre rural</x:v>
      </x:c>
      <x:c r="E1157" s="115" t="n">
        <x:v>2</x:v>
      </x:c>
      <x:c r="F1157" s="115" t="str">
        <x:v>Inspection physique</x:v>
      </x:c>
      <x:c r="G1157" s="115" t="str">
        <x:v>1 niveaux ; 28 pièces ; 210 segments de mur ; 0 transitions. Inspection physique ; architecture complète encore ouverte.</x:v>
      </x:c>
      <x:c r="H1157" s="115" t="str">
        <x:v>L 260 ; l 224 ; hauteur 6,5 m ; choix de composition auteur ; dimensions réelles à documenter</x:v>
      </x:c>
      <x:c r="I1157" s="115" t="str">
        <x:v>À équilibrer</x:v>
      </x:c>
      <x:c r="J1157" s="115" t="str">
        <x:v>Non</x:v>
      </x:c>
      <x:c r="K1157" s="115" t="str">
        <x:v>Pièces décrites, murs, portes, niveaux et mobilier inspectables à l’échelle. Volumes réservés, raccord au seed, butin, rencontres et services de campagne restent à terminer.</x:v>
      </x:c>
    </x:row>
    <x:row r="1158" ht="96" customHeight="1">
      <x:c r="A1158" s="115" t="str">
        <x:v>EXT-MONDE-T024-V03</x:v>
      </x:c>
      <x:c r="B1158" s="115" t="str">
        <x:v>EXT-MONDE-T024</x:v>
      </x:c>
      <x:c r="C1158" s="115" t="str">
        <x:v>Fermes élevage</x:v>
      </x:c>
      <x:c r="D1158" s="115" t="str">
        <x:v>Centre équestre rural</x:v>
      </x:c>
      <x:c r="E1158" s="115" t="n">
        <x:v>3</x:v>
      </x:c>
      <x:c r="F1158" s="115" t="str">
        <x:v>Inspection physique</x:v>
      </x:c>
      <x:c r="G1158" s="115" t="str">
        <x:v>1 niveaux ; 28 pièces ; 210 segments de mur ; 0 transitions. Inspection physique ; architecture complète encore ouverte.</x:v>
      </x:c>
      <x:c r="H1158" s="115" t="str">
        <x:v>L 260 ; l 224 ; hauteur 6,5 m ; choix de composition auteur ; dimensions réelles à documenter</x:v>
      </x:c>
      <x:c r="I1158" s="115" t="str">
        <x:v>À équilibrer</x:v>
      </x:c>
      <x:c r="J1158" s="115" t="str">
        <x:v>Non</x:v>
      </x:c>
      <x:c r="K1158" s="115" t="str">
        <x:v>Pièces décrites, murs, portes, niveaux et mobilier inspectables à l’échelle. Volumes réservés, raccord au seed, butin, rencontres et services de campagne restent à terminer.</x:v>
      </x:c>
    </x:row>
    <x:row r="1159" ht="96" customHeight="1">
      <x:c r="A1159" s="115" t="str">
        <x:v>EXT-MONDE-T024-V04</x:v>
      </x:c>
      <x:c r="B1159" s="115" t="str">
        <x:v>EXT-MONDE-T024</x:v>
      </x:c>
      <x:c r="C1159" s="115" t="str">
        <x:v>Fermes élevage</x:v>
      </x:c>
      <x:c r="D1159" s="115" t="str">
        <x:v>Centre équestre rural</x:v>
      </x:c>
      <x:c r="E1159" s="115" t="n">
        <x:v>4</x:v>
      </x:c>
      <x:c r="F1159" s="115" t="str">
        <x:v>Inspection physique</x:v>
      </x:c>
      <x:c r="G1159" s="115" t="str">
        <x:v>1 niveaux ; 28 pièces ; 210 segments de mur ; 0 transitions. Inspection physique ; architecture complète encore ouverte.</x:v>
      </x:c>
      <x:c r="H1159" s="115" t="str">
        <x:v>L 260 ; l 224 ; hauteur 6,5 m ; choix de composition auteur ; dimensions réelles à documenter</x:v>
      </x:c>
      <x:c r="I1159" s="115" t="str">
        <x:v>À équilibrer</x:v>
      </x:c>
      <x:c r="J1159" s="115" t="str">
        <x:v>Non</x:v>
      </x:c>
      <x:c r="K1159" s="115" t="str">
        <x:v>Pièces décrites, murs, portes, niveaux et mobilier inspectables à l’échelle. Volumes réservés, raccord au seed, butin, rencontres et services de campagne restent à terminer.</x:v>
      </x:c>
    </x:row>
    <x:row r="1160" ht="96" customHeight="1">
      <x:c r="A1160" s="115" t="str">
        <x:v>EXT-MONDE-T024-V05</x:v>
      </x:c>
      <x:c r="B1160" s="115" t="str">
        <x:v>EXT-MONDE-T024</x:v>
      </x:c>
      <x:c r="C1160" s="115" t="str">
        <x:v>Fermes élevage</x:v>
      </x:c>
      <x:c r="D1160" s="115" t="str">
        <x:v>Centre équestre rural</x:v>
      </x:c>
      <x:c r="E1160" s="115" t="n">
        <x:v>5</x:v>
      </x:c>
      <x:c r="F1160" s="115" t="str">
        <x:v>Inspection physique</x:v>
      </x:c>
      <x:c r="G1160" s="115" t="str">
        <x:v>1 niveaux ; 28 pièces ; 210 segments de mur ; 0 transitions. Inspection physique ; architecture complète encore ouverte.</x:v>
      </x:c>
      <x:c r="H1160" s="115" t="str">
        <x:v>L 260 ; l 224 ; hauteur 6,5 m ; choix de composition auteur ; dimensions réelles à documenter</x:v>
      </x:c>
      <x:c r="I1160" s="115" t="str">
        <x:v>À équilibrer</x:v>
      </x:c>
      <x:c r="J1160" s="115" t="str">
        <x:v>Non</x:v>
      </x:c>
      <x:c r="K1160" s="115" t="str">
        <x:v>Pièces décrites, murs, portes, niveaux et mobilier inspectables à l’échelle. Volumes réservés, raccord au seed, butin, rencontres et services de campagne restent à terminer.</x:v>
      </x:c>
    </x:row>
    <x:row r="1161" ht="96" customHeight="1">
      <x:c r="A1161" s="115" t="str">
        <x:v>EXT-MONDE-T024-V06</x:v>
      </x:c>
      <x:c r="B1161" s="115" t="str">
        <x:v>EXT-MONDE-T024</x:v>
      </x:c>
      <x:c r="C1161" s="115" t="str">
        <x:v>Fermes élevage</x:v>
      </x:c>
      <x:c r="D1161" s="115" t="str">
        <x:v>Centre équestre rural</x:v>
      </x:c>
      <x:c r="E1161" s="115" t="n">
        <x:v>6</x:v>
      </x:c>
      <x:c r="F1161" s="115" t="str">
        <x:v>Inspection physique</x:v>
      </x:c>
      <x:c r="G1161" s="115" t="str">
        <x:v>1 niveaux ; 28 pièces ; 210 segments de mur ; 0 transitions. Inspection physique ; architecture complète encore ouverte.</x:v>
      </x:c>
      <x:c r="H1161" s="115" t="str">
        <x:v>L 260 ; l 224 ; hauteur 6,5 m ; choix de composition auteur ; dimensions réelles à documenter</x:v>
      </x:c>
      <x:c r="I1161" s="115" t="str">
        <x:v>À équilibrer</x:v>
      </x:c>
      <x:c r="J1161" s="115" t="str">
        <x:v>Non</x:v>
      </x:c>
      <x:c r="K1161" s="115" t="str">
        <x:v>Pièces décrites, murs, portes, niveaux et mobilier inspectables à l’échelle. Volumes réservés, raccord au seed, butin, rencontres et services de campagne restent à terminer.</x:v>
      </x:c>
    </x:row>
    <x:row r="1162" ht="96" customHeight="1">
      <x:c r="A1162" s="115" t="str">
        <x:v>EXT-MONDE-T024-V07</x:v>
      </x:c>
      <x:c r="B1162" s="115" t="str">
        <x:v>EXT-MONDE-T024</x:v>
      </x:c>
      <x:c r="C1162" s="115" t="str">
        <x:v>Fermes élevage</x:v>
      </x:c>
      <x:c r="D1162" s="115" t="str">
        <x:v>Centre équestre rural</x:v>
      </x:c>
      <x:c r="E1162" s="115" t="n">
        <x:v>7</x:v>
      </x:c>
      <x:c r="F1162" s="115" t="str">
        <x:v>Inspection physique</x:v>
      </x:c>
      <x:c r="G1162" s="115" t="str">
        <x:v>1 niveaux ; 28 pièces ; 210 segments de mur ; 0 transitions. Inspection physique ; architecture complète encore ouverte.</x:v>
      </x:c>
      <x:c r="H1162" s="115" t="str">
        <x:v>L 260 ; l 224 ; hauteur 6,5 m ; choix de composition auteur ; dimensions réelles à documenter</x:v>
      </x:c>
      <x:c r="I1162" s="115" t="str">
        <x:v>À équilibrer</x:v>
      </x:c>
      <x:c r="J1162" s="115" t="str">
        <x:v>Non</x:v>
      </x:c>
      <x:c r="K1162" s="115" t="str">
        <x:v>Pièces décrites, murs, portes, niveaux et mobilier inspectables à l’échelle. Volumes réservés, raccord au seed, butin, rencontres et services de campagne restent à terminer.</x:v>
      </x:c>
    </x:row>
    <x:row r="1163" ht="96" customHeight="1">
      <x:c r="A1163" s="115" t="str">
        <x:v>EXT-MONDE-T024-V08</x:v>
      </x:c>
      <x:c r="B1163" s="115" t="str">
        <x:v>EXT-MONDE-T024</x:v>
      </x:c>
      <x:c r="C1163" s="115" t="str">
        <x:v>Fermes élevage</x:v>
      </x:c>
      <x:c r="D1163" s="115" t="str">
        <x:v>Centre équestre rural</x:v>
      </x:c>
      <x:c r="E1163" s="115" t="n">
        <x:v>8</x:v>
      </x:c>
      <x:c r="F1163" s="115" t="str">
        <x:v>Inspection physique</x:v>
      </x:c>
      <x:c r="G1163" s="115" t="str">
        <x:v>1 niveaux ; 28 pièces ; 210 segments de mur ; 0 transitions. Inspection physique ; architecture complète encore ouverte.</x:v>
      </x:c>
      <x:c r="H1163" s="115" t="str">
        <x:v>L 260 ; l 224 ; hauteur 6,5 m ; choix de composition auteur ; dimensions réelles à documenter</x:v>
      </x:c>
      <x:c r="I1163" s="115" t="str">
        <x:v>À équilibrer</x:v>
      </x:c>
      <x:c r="J1163" s="115" t="str">
        <x:v>Non</x:v>
      </x:c>
      <x:c r="K1163" s="115" t="str">
        <x:v>Pièces décrites, murs, portes, niveaux et mobilier inspectables à l’échelle. Volumes réservés, raccord au seed, butin, rencontres et services de campagne restent à terminer.</x:v>
      </x:c>
    </x:row>
    <x:row r="1164" ht="96" customHeight="1">
      <x:c r="A1164" s="115" t="str">
        <x:v>EXT-MONDE-T024-V09</x:v>
      </x:c>
      <x:c r="B1164" s="115" t="str">
        <x:v>EXT-MONDE-T024</x:v>
      </x:c>
      <x:c r="C1164" s="115" t="str">
        <x:v>Fermes élevage</x:v>
      </x:c>
      <x:c r="D1164" s="115" t="str">
        <x:v>Centre équestre rural</x:v>
      </x:c>
      <x:c r="E1164" s="115" t="n">
        <x:v>9</x:v>
      </x:c>
      <x:c r="F1164" s="115" t="str">
        <x:v>Inspection physique</x:v>
      </x:c>
      <x:c r="G1164" s="115" t="str">
        <x:v>1 niveaux ; 28 pièces ; 210 segments de mur ; 0 transitions. Inspection physique ; architecture complète encore ouverte.</x:v>
      </x:c>
      <x:c r="H1164" s="115" t="str">
        <x:v>L 260 ; l 224 ; hauteur 6,5 m ; choix de composition auteur ; dimensions réelles à documenter</x:v>
      </x:c>
      <x:c r="I1164" s="115" t="str">
        <x:v>À équilibrer</x:v>
      </x:c>
      <x:c r="J1164" s="115" t="str">
        <x:v>Non</x:v>
      </x:c>
      <x:c r="K1164" s="115" t="str">
        <x:v>Pièces décrites, murs, portes, niveaux et mobilier inspectables à l’échelle. Volumes réservés, raccord au seed, butin, rencontres et services de campagne restent à terminer.</x:v>
      </x:c>
    </x:row>
    <x:row r="1165" ht="96" customHeight="1">
      <x:c r="A1165" s="115" t="str">
        <x:v>EXT-MONDE-T024-V10</x:v>
      </x:c>
      <x:c r="B1165" s="115" t="str">
        <x:v>EXT-MONDE-T024</x:v>
      </x:c>
      <x:c r="C1165" s="115" t="str">
        <x:v>Fermes élevage</x:v>
      </x:c>
      <x:c r="D1165" s="115" t="str">
        <x:v>Centre équestre rural</x:v>
      </x:c>
      <x:c r="E1165" s="115" t="n">
        <x:v>10</x:v>
      </x:c>
      <x:c r="F1165" s="115" t="str">
        <x:v>Inspection physique</x:v>
      </x:c>
      <x:c r="G1165" s="115" t="str">
        <x:v>1 niveaux ; 28 pièces ; 210 segments de mur ; 0 transitions. Inspection physique ; architecture complète encore ouverte.</x:v>
      </x:c>
      <x:c r="H1165" s="115" t="str">
        <x:v>L 260 ; l 224 ; hauteur 6,5 m ; choix de composition auteur ; dimensions réelles à documenter</x:v>
      </x:c>
      <x:c r="I1165" s="115" t="str">
        <x:v>À équilibrer</x:v>
      </x:c>
      <x:c r="J1165" s="115" t="str">
        <x:v>Non</x:v>
      </x:c>
      <x:c r="K1165" s="115" t="str">
        <x:v>Pièces décrites, murs, portes, niveaux et mobilier inspectables à l’échelle. Volumes réservés, raccord au seed, butin, rencontres et services de campagne restent à terminer.</x:v>
      </x:c>
    </x:row>
    <x:row r="1166" ht="96" customHeight="1">
      <x:c r="A1166" s="115" t="str">
        <x:v>EXT-MONDE-T024-V11</x:v>
      </x:c>
      <x:c r="B1166" s="115" t="str">
        <x:v>EXT-MONDE-T024</x:v>
      </x:c>
      <x:c r="C1166" s="115" t="str">
        <x:v>Fermes élevage</x:v>
      </x:c>
      <x:c r="D1166" s="115" t="str">
        <x:v>Centre équestre rural</x:v>
      </x:c>
      <x:c r="E1166" s="115" t="n">
        <x:v>11</x:v>
      </x:c>
      <x:c r="F1166" s="115" t="str">
        <x:v>Inspection physique</x:v>
      </x:c>
      <x:c r="G1166" s="115" t="str">
        <x:v>1 niveaux ; 28 pièces ; 210 segments de mur ; 0 transitions. Inspection physique ; architecture complète encore ouverte.</x:v>
      </x:c>
      <x:c r="H1166" s="115" t="str">
        <x:v>L 280 ; l 248 ; hauteur 6,7 m ; choix de composition auteur ; dimensions réelles à documenter</x:v>
      </x:c>
      <x:c r="I1166" s="115" t="str">
        <x:v>À équilibrer</x:v>
      </x:c>
      <x:c r="J1166" s="115" t="str">
        <x:v>Non</x:v>
      </x:c>
      <x:c r="K1166" s="115" t="str">
        <x:v>Pièces décrites, murs, portes, niveaux et mobilier inspectables à l’échelle. Volumes réservés, raccord au seed, butin, rencontres et services de campagne restent à terminer.</x:v>
      </x:c>
    </x:row>
    <x:row r="1167" ht="96" customHeight="1">
      <x:c r="A1167" s="115" t="str">
        <x:v>EXT-MONDE-T024-V12</x:v>
      </x:c>
      <x:c r="B1167" s="115" t="str">
        <x:v>EXT-MONDE-T024</x:v>
      </x:c>
      <x:c r="C1167" s="115" t="str">
        <x:v>Fermes élevage</x:v>
      </x:c>
      <x:c r="D1167" s="115" t="str">
        <x:v>Centre équestre rural</x:v>
      </x:c>
      <x:c r="E1167" s="115" t="n">
        <x:v>12</x:v>
      </x:c>
      <x:c r="F1167" s="115" t="str">
        <x:v>Inspection physique</x:v>
      </x:c>
      <x:c r="G1167" s="115" t="str">
        <x:v>1 niveaux ; 28 pièces ; 210 segments de mur ; 0 transitions. Inspection physique ; architecture complète encore ouverte.</x:v>
      </x:c>
      <x:c r="H1167" s="115" t="str">
        <x:v>L 280 ; l 248 ; hauteur 6,7 m ; choix de composition auteur ; dimensions réelles à documenter</x:v>
      </x:c>
      <x:c r="I1167" s="115" t="str">
        <x:v>À équilibrer</x:v>
      </x:c>
      <x:c r="J1167" s="115" t="str">
        <x:v>Non</x:v>
      </x:c>
      <x:c r="K1167" s="115" t="str">
        <x:v>Pièces décrites, murs, portes, niveaux et mobilier inspectables à l’échelle. Volumes réservés, raccord au seed, butin, rencontres et services de campagne restent à terminer.</x:v>
      </x:c>
    </x:row>
    <x:row r="1168" ht="96" customHeight="1">
      <x:c r="A1168" s="115" t="str">
        <x:v>EXT-MONDE-T024-V13</x:v>
      </x:c>
      <x:c r="B1168" s="115" t="str">
        <x:v>EXT-MONDE-T024</x:v>
      </x:c>
      <x:c r="C1168" s="115" t="str">
        <x:v>Fermes élevage</x:v>
      </x:c>
      <x:c r="D1168" s="115" t="str">
        <x:v>Centre équestre rural</x:v>
      </x:c>
      <x:c r="E1168" s="115" t="n">
        <x:v>13</x:v>
      </x:c>
      <x:c r="F1168" s="115" t="str">
        <x:v>Inspection physique</x:v>
      </x:c>
      <x:c r="G1168" s="115" t="str">
        <x:v>1 niveaux ; 28 pièces ; 210 segments de mur ; 0 transitions. Inspection physique ; architecture complète encore ouverte.</x:v>
      </x:c>
      <x:c r="H1168" s="115" t="str">
        <x:v>L 280 ; l 248 ; hauteur 6,7 m ; choix de composition auteur ; dimensions réelles à documenter</x:v>
      </x:c>
      <x:c r="I1168" s="115" t="str">
        <x:v>À équilibrer</x:v>
      </x:c>
      <x:c r="J1168" s="115" t="str">
        <x:v>Non</x:v>
      </x:c>
      <x:c r="K1168" s="115" t="str">
        <x:v>Pièces décrites, murs, portes, niveaux et mobilier inspectables à l’échelle. Volumes réservés, raccord au seed, butin, rencontres et services de campagne restent à terminer.</x:v>
      </x:c>
    </x:row>
    <x:row r="1169" ht="96" customHeight="1">
      <x:c r="A1169" s="115" t="str">
        <x:v>EXT-MONDE-T024-V14</x:v>
      </x:c>
      <x:c r="B1169" s="115" t="str">
        <x:v>EXT-MONDE-T024</x:v>
      </x:c>
      <x:c r="C1169" s="115" t="str">
        <x:v>Fermes élevage</x:v>
      </x:c>
      <x:c r="D1169" s="115" t="str">
        <x:v>Centre équestre rural</x:v>
      </x:c>
      <x:c r="E1169" s="115" t="n">
        <x:v>14</x:v>
      </x:c>
      <x:c r="F1169" s="115" t="str">
        <x:v>Inspection physique</x:v>
      </x:c>
      <x:c r="G1169" s="115" t="str">
        <x:v>1 niveaux ; 28 pièces ; 210 segments de mur ; 0 transitions. Inspection physique ; architecture complète encore ouverte.</x:v>
      </x:c>
      <x:c r="H1169" s="115" t="str">
        <x:v>L 280 ; l 248 ; hauteur 6,7 m ; choix de composition auteur ; dimensions réelles à documenter</x:v>
      </x:c>
      <x:c r="I1169" s="115" t="str">
        <x:v>À équilibrer</x:v>
      </x:c>
      <x:c r="J1169" s="115" t="str">
        <x:v>Non</x:v>
      </x:c>
      <x:c r="K1169" s="115" t="str">
        <x:v>Pièces décrites, murs, portes, niveaux et mobilier inspectables à l’échelle. Volumes réservés, raccord au seed, butin, rencontres et services de campagne restent à terminer.</x:v>
      </x:c>
    </x:row>
    <x:row r="1170" ht="96" customHeight="1">
      <x:c r="A1170" s="115" t="str">
        <x:v>EXT-MONDE-T024-V15</x:v>
      </x:c>
      <x:c r="B1170" s="115" t="str">
        <x:v>EXT-MONDE-T024</x:v>
      </x:c>
      <x:c r="C1170" s="115" t="str">
        <x:v>Fermes élevage</x:v>
      </x:c>
      <x:c r="D1170" s="115" t="str">
        <x:v>Centre équestre rural</x:v>
      </x:c>
      <x:c r="E1170" s="115" t="n">
        <x:v>15</x:v>
      </x:c>
      <x:c r="F1170" s="115" t="str">
        <x:v>Inspection physique</x:v>
      </x:c>
      <x:c r="G1170" s="115" t="str">
        <x:v>1 niveaux ; 28 pièces ; 210 segments de mur ; 0 transitions. Inspection physique ; architecture complète encore ouverte.</x:v>
      </x:c>
      <x:c r="H1170" s="115" t="str">
        <x:v>L 280 ; l 248 ; hauteur 6,7 m ; choix de composition auteur ; dimensions réelles à documenter</x:v>
      </x:c>
      <x:c r="I1170" s="115" t="str">
        <x:v>À équilibrer</x:v>
      </x:c>
      <x:c r="J1170" s="115" t="str">
        <x:v>Non</x:v>
      </x:c>
      <x:c r="K1170" s="115" t="str">
        <x:v>Pièces décrites, murs, portes, niveaux et mobilier inspectables à l’échelle. Volumes réservés, raccord au seed, butin, rencontres et services de campagne restent à terminer.</x:v>
      </x:c>
    </x:row>
    <x:row r="1171" ht="96" customHeight="1">
      <x:c r="A1171" s="115" t="str">
        <x:v>EXT-MONDE-T024-V16</x:v>
      </x:c>
      <x:c r="B1171" s="115" t="str">
        <x:v>EXT-MONDE-T024</x:v>
      </x:c>
      <x:c r="C1171" s="115" t="str">
        <x:v>Fermes élevage</x:v>
      </x:c>
      <x:c r="D1171" s="115" t="str">
        <x:v>Centre équestre rural</x:v>
      </x:c>
      <x:c r="E1171" s="115" t="n">
        <x:v>16</x:v>
      </x:c>
      <x:c r="F1171" s="115" t="str">
        <x:v>Inspection physique</x:v>
      </x:c>
      <x:c r="G1171" s="115" t="str">
        <x:v>1 niveaux ; 28 pièces ; 210 segments de mur ; 0 transitions. Inspection physique ; architecture complète encore ouverte.</x:v>
      </x:c>
      <x:c r="H1171" s="115" t="str">
        <x:v>L 280 ; l 248 ; hauteur 6,7 m ; choix de composition auteur ; dimensions réelles à documenter</x:v>
      </x:c>
      <x:c r="I1171" s="115" t="str">
        <x:v>À équilibrer</x:v>
      </x:c>
      <x:c r="J1171" s="115" t="str">
        <x:v>Non</x:v>
      </x:c>
      <x:c r="K1171" s="115" t="str">
        <x:v>Pièces décrites, murs, portes, niveaux et mobilier inspectables à l’échelle. Volumes réservés, raccord au seed, butin, rencontres et services de campagne restent à terminer.</x:v>
      </x:c>
    </x:row>
    <x:row r="1172" ht="96" customHeight="1">
      <x:c r="A1172" s="115" t="str">
        <x:v>EXT-MONDE-T024-V17</x:v>
      </x:c>
      <x:c r="B1172" s="115" t="str">
        <x:v>EXT-MONDE-T024</x:v>
      </x:c>
      <x:c r="C1172" s="115" t="str">
        <x:v>Fermes élevage</x:v>
      </x:c>
      <x:c r="D1172" s="115" t="str">
        <x:v>Centre équestre rural</x:v>
      </x:c>
      <x:c r="E1172" s="115" t="n">
        <x:v>17</x:v>
      </x:c>
      <x:c r="F1172" s="115" t="str">
        <x:v>Inspection physique</x:v>
      </x:c>
      <x:c r="G1172" s="115" t="str">
        <x:v>1 niveaux ; 28 pièces ; 210 segments de mur ; 0 transitions. Inspection physique ; architecture complète encore ouverte.</x:v>
      </x:c>
      <x:c r="H1172" s="115" t="str">
        <x:v>L 280 ; l 248 ; hauteur 6,7 m ; choix de composition auteur ; dimensions réelles à documenter</x:v>
      </x:c>
      <x:c r="I1172" s="115" t="str">
        <x:v>À équilibrer</x:v>
      </x:c>
      <x:c r="J1172" s="115" t="str">
        <x:v>Non</x:v>
      </x:c>
      <x:c r="K1172" s="115" t="str">
        <x:v>Pièces décrites, murs, portes, niveaux et mobilier inspectables à l’échelle. Volumes réservés, raccord au seed, butin, rencontres et services de campagne restent à terminer.</x:v>
      </x:c>
    </x:row>
    <x:row r="1173" ht="96" customHeight="1">
      <x:c r="A1173" s="115" t="str">
        <x:v>EXT-MONDE-T024-V18</x:v>
      </x:c>
      <x:c r="B1173" s="115" t="str">
        <x:v>EXT-MONDE-T024</x:v>
      </x:c>
      <x:c r="C1173" s="115" t="str">
        <x:v>Fermes élevage</x:v>
      </x:c>
      <x:c r="D1173" s="115" t="str">
        <x:v>Centre équestre rural</x:v>
      </x:c>
      <x:c r="E1173" s="115" t="n">
        <x:v>18</x:v>
      </x:c>
      <x:c r="F1173" s="115" t="str">
        <x:v>Inspection physique</x:v>
      </x:c>
      <x:c r="G1173" s="115" t="str">
        <x:v>1 niveaux ; 28 pièces ; 210 segments de mur ; 0 transitions. Inspection physique ; architecture complète encore ouverte.</x:v>
      </x:c>
      <x:c r="H1173" s="115" t="str">
        <x:v>L 280 ; l 248 ; hauteur 6,7 m ; choix de composition auteur ; dimensions réelles à documenter</x:v>
      </x:c>
      <x:c r="I1173" s="115" t="str">
        <x:v>À équilibrer</x:v>
      </x:c>
      <x:c r="J1173" s="115" t="str">
        <x:v>Non</x:v>
      </x:c>
      <x:c r="K1173" s="115" t="str">
        <x:v>Pièces décrites, murs, portes, niveaux et mobilier inspectables à l’échelle. Volumes réservés, raccord au seed, butin, rencontres et services de campagne restent à terminer.</x:v>
      </x:c>
    </x:row>
    <x:row r="1174" ht="96" customHeight="1">
      <x:c r="A1174" s="115" t="str">
        <x:v>EXT-MONDE-T024-V19</x:v>
      </x:c>
      <x:c r="B1174" s="115" t="str">
        <x:v>EXT-MONDE-T024</x:v>
      </x:c>
      <x:c r="C1174" s="115" t="str">
        <x:v>Fermes élevage</x:v>
      </x:c>
      <x:c r="D1174" s="115" t="str">
        <x:v>Centre équestre rural</x:v>
      </x:c>
      <x:c r="E1174" s="115" t="n">
        <x:v>19</x:v>
      </x:c>
      <x:c r="F1174" s="115" t="str">
        <x:v>Inspection physique</x:v>
      </x:c>
      <x:c r="G1174" s="115" t="str">
        <x:v>1 niveaux ; 28 pièces ; 210 segments de mur ; 0 transitions. Inspection physique ; architecture complète encore ouverte.</x:v>
      </x:c>
      <x:c r="H1174" s="115" t="str">
        <x:v>L 280 ; l 248 ; hauteur 6,7 m ; choix de composition auteur ; dimensions réelles à documenter</x:v>
      </x:c>
      <x:c r="I1174" s="115" t="str">
        <x:v>À équilibrer</x:v>
      </x:c>
      <x:c r="J1174" s="115" t="str">
        <x:v>Non</x:v>
      </x:c>
      <x:c r="K1174" s="115" t="str">
        <x:v>Pièces décrites, murs, portes, niveaux et mobilier inspectables à l’échelle. Volumes réservés, raccord au seed, butin, rencontres et services de campagne restent à terminer.</x:v>
      </x:c>
    </x:row>
    <x:row r="1175" ht="96" customHeight="1">
      <x:c r="A1175" s="115" t="str">
        <x:v>EXT-MONDE-T024-V20</x:v>
      </x:c>
      <x:c r="B1175" s="115" t="str">
        <x:v>EXT-MONDE-T024</x:v>
      </x:c>
      <x:c r="C1175" s="115" t="str">
        <x:v>Fermes élevage</x:v>
      </x:c>
      <x:c r="D1175" s="115" t="str">
        <x:v>Centre équestre rural</x:v>
      </x:c>
      <x:c r="E1175" s="115" t="n">
        <x:v>20</x:v>
      </x:c>
      <x:c r="F1175" s="115" t="str">
        <x:v>Inspection physique</x:v>
      </x:c>
      <x:c r="G1175" s="115" t="str">
        <x:v>1 niveaux ; 28 pièces ; 210 segments de mur ; 0 transitions. Inspection physique ; architecture complète encore ouverte.</x:v>
      </x:c>
      <x:c r="H1175" s="115" t="str">
        <x:v>L 280 ; l 248 ; hauteur 6,7 m ; choix de composition auteur ; dimensions réelles à documenter</x:v>
      </x:c>
      <x:c r="I1175" s="115" t="str">
        <x:v>À équilibrer</x:v>
      </x:c>
      <x:c r="J1175" s="115" t="str">
        <x:v>Non</x:v>
      </x:c>
      <x:c r="K1175" s="115" t="str">
        <x:v>Pièces décrites, murs, portes, niveaux et mobilier inspectables à l’échelle. Volumes réservés, raccord au seed, butin, rencontres et services de campagne restent à terminer.</x:v>
      </x:c>
    </x:row>
    <x:row r="1176" ht="96" customHeight="1">
      <x:c r="A1176" s="115" t="str">
        <x:v>EXT-MONDE-T024-V21</x:v>
      </x:c>
      <x:c r="B1176" s="115" t="str">
        <x:v>EXT-MONDE-T024</x:v>
      </x:c>
      <x:c r="C1176" s="115" t="str">
        <x:v>Fermes élevage</x:v>
      </x:c>
      <x:c r="D1176" s="115" t="str">
        <x:v>Centre équestre rural</x:v>
      </x:c>
      <x:c r="E1176" s="115" t="n">
        <x:v>21</x:v>
      </x:c>
      <x:c r="F1176" s="115" t="str">
        <x:v>Inspection physique</x:v>
      </x:c>
      <x:c r="G1176" s="115" t="str">
        <x:v>1 niveaux ; 28 pièces ; 210 segments de mur ; 0 transitions. Inspection physique ; architecture complète encore ouverte.</x:v>
      </x:c>
      <x:c r="H1176" s="115" t="str">
        <x:v>L 300 ; l 272 ; hauteur 6,9 m ; choix de composition auteur ; dimensions réelles à documenter</x:v>
      </x:c>
      <x:c r="I1176" s="115" t="str">
        <x:v>À équilibrer</x:v>
      </x:c>
      <x:c r="J1176" s="115" t="str">
        <x:v>Non</x:v>
      </x:c>
      <x:c r="K1176" s="115" t="str">
        <x:v>Pièces décrites, murs, portes, niveaux et mobilier inspectables à l’échelle. Volumes réservés, raccord au seed, butin, rencontres et services de campagne restent à terminer.</x:v>
      </x:c>
    </x:row>
    <x:row r="1177" ht="96" customHeight="1">
      <x:c r="A1177" s="115" t="str">
        <x:v>EXT-MONDE-T024-V22</x:v>
      </x:c>
      <x:c r="B1177" s="115" t="str">
        <x:v>EXT-MONDE-T024</x:v>
      </x:c>
      <x:c r="C1177" s="115" t="str">
        <x:v>Fermes élevage</x:v>
      </x:c>
      <x:c r="D1177" s="115" t="str">
        <x:v>Centre équestre rural</x:v>
      </x:c>
      <x:c r="E1177" s="115" t="n">
        <x:v>22</x:v>
      </x:c>
      <x:c r="F1177" s="115" t="str">
        <x:v>Inspection physique</x:v>
      </x:c>
      <x:c r="G1177" s="115" t="str">
        <x:v>1 niveaux ; 28 pièces ; 210 segments de mur ; 0 transitions. Inspection physique ; architecture complète encore ouverte.</x:v>
      </x:c>
      <x:c r="H1177" s="115" t="str">
        <x:v>L 300 ; l 272 ; hauteur 6,9 m ; choix de composition auteur ; dimensions réelles à documenter</x:v>
      </x:c>
      <x:c r="I1177" s="115" t="str">
        <x:v>À équilibrer</x:v>
      </x:c>
      <x:c r="J1177" s="115" t="str">
        <x:v>Non</x:v>
      </x:c>
      <x:c r="K1177" s="115" t="str">
        <x:v>Pièces décrites, murs, portes, niveaux et mobilier inspectables à l’échelle. Volumes réservés, raccord au seed, butin, rencontres et services de campagne restent à terminer.</x:v>
      </x:c>
    </x:row>
    <x:row r="1178" ht="96" customHeight="1">
      <x:c r="A1178" s="115" t="str">
        <x:v>EXT-MONDE-T024-V23</x:v>
      </x:c>
      <x:c r="B1178" s="115" t="str">
        <x:v>EXT-MONDE-T024</x:v>
      </x:c>
      <x:c r="C1178" s="115" t="str">
        <x:v>Fermes élevage</x:v>
      </x:c>
      <x:c r="D1178" s="115" t="str">
        <x:v>Centre équestre rural</x:v>
      </x:c>
      <x:c r="E1178" s="115" t="n">
        <x:v>23</x:v>
      </x:c>
      <x:c r="F1178" s="115" t="str">
        <x:v>Inspection physique</x:v>
      </x:c>
      <x:c r="G1178" s="115" t="str">
        <x:v>1 niveaux ; 28 pièces ; 210 segments de mur ; 0 transitions. Inspection physique ; architecture complète encore ouverte.</x:v>
      </x:c>
      <x:c r="H1178" s="115" t="str">
        <x:v>L 300 ; l 272 ; hauteur 6,9 m ; choix de composition auteur ; dimensions réelles à documenter</x:v>
      </x:c>
      <x:c r="I1178" s="115" t="str">
        <x:v>À équilibrer</x:v>
      </x:c>
      <x:c r="J1178" s="115" t="str">
        <x:v>Non</x:v>
      </x:c>
      <x:c r="K1178" s="115" t="str">
        <x:v>Pièces décrites, murs, portes, niveaux et mobilier inspectables à l’échelle. Volumes réservés, raccord au seed, butin, rencontres et services de campagne restent à terminer.</x:v>
      </x:c>
    </x:row>
    <x:row r="1179" ht="96" customHeight="1">
      <x:c r="A1179" s="115" t="str">
        <x:v>EXT-MONDE-T024-V24</x:v>
      </x:c>
      <x:c r="B1179" s="115" t="str">
        <x:v>EXT-MONDE-T024</x:v>
      </x:c>
      <x:c r="C1179" s="115" t="str">
        <x:v>Fermes élevage</x:v>
      </x:c>
      <x:c r="D1179" s="115" t="str">
        <x:v>Centre équestre rural</x:v>
      </x:c>
      <x:c r="E1179" s="115" t="n">
        <x:v>24</x:v>
      </x:c>
      <x:c r="F1179" s="115" t="str">
        <x:v>Inspection physique</x:v>
      </x:c>
      <x:c r="G1179" s="115" t="str">
        <x:v>1 niveaux ; 28 pièces ; 210 segments de mur ; 0 transitions. Inspection physique ; architecture complète encore ouverte.</x:v>
      </x:c>
      <x:c r="H1179" s="115" t="str">
        <x:v>L 300 ; l 272 ; hauteur 6,9 m ; choix de composition auteur ; dimensions réelles à documenter</x:v>
      </x:c>
      <x:c r="I1179" s="115" t="str">
        <x:v>À équilibrer</x:v>
      </x:c>
      <x:c r="J1179" s="115" t="str">
        <x:v>Non</x:v>
      </x:c>
      <x:c r="K1179" s="115" t="str">
        <x:v>Pièces décrites, murs, portes, niveaux et mobilier inspectables à l’échelle. Volumes réservés, raccord au seed, butin, rencontres et services de campagne restent à terminer.</x:v>
      </x:c>
    </x:row>
    <x:row r="1180" ht="96" customHeight="1">
      <x:c r="A1180" s="115" t="str">
        <x:v>EXT-MONDE-T024-V25</x:v>
      </x:c>
      <x:c r="B1180" s="115" t="str">
        <x:v>EXT-MONDE-T024</x:v>
      </x:c>
      <x:c r="C1180" s="115" t="str">
        <x:v>Fermes élevage</x:v>
      </x:c>
      <x:c r="D1180" s="115" t="str">
        <x:v>Centre équestre rural</x:v>
      </x:c>
      <x:c r="E1180" s="115" t="n">
        <x:v>25</x:v>
      </x:c>
      <x:c r="F1180" s="115" t="str">
        <x:v>Inspection physique</x:v>
      </x:c>
      <x:c r="G1180" s="115" t="str">
        <x:v>1 niveaux ; 28 pièces ; 210 segments de mur ; 0 transitions. Inspection physique ; architecture complète encore ouverte.</x:v>
      </x:c>
      <x:c r="H1180" s="115" t="str">
        <x:v>L 300 ; l 272 ; hauteur 6,9 m ; choix de composition auteur ; dimensions réelles à documenter</x:v>
      </x:c>
      <x:c r="I1180" s="115" t="str">
        <x:v>À équilibrer</x:v>
      </x:c>
      <x:c r="J1180" s="115" t="str">
        <x:v>Non</x:v>
      </x:c>
      <x:c r="K1180" s="115" t="str">
        <x:v>Pièces décrites, murs, portes, niveaux et mobilier inspectables à l’échelle. Volumes réservés, raccord au seed, butin, rencontres et services de campagne restent à terminer.</x:v>
      </x:c>
    </x:row>
    <x:row r="1181" ht="96" customHeight="1">
      <x:c r="A1181" s="115" t="str">
        <x:v>EXT-MONDE-T024-V26</x:v>
      </x:c>
      <x:c r="B1181" s="115" t="str">
        <x:v>EXT-MONDE-T024</x:v>
      </x:c>
      <x:c r="C1181" s="115" t="str">
        <x:v>Fermes élevage</x:v>
      </x:c>
      <x:c r="D1181" s="115" t="str">
        <x:v>Centre équestre rural</x:v>
      </x:c>
      <x:c r="E1181" s="115" t="n">
        <x:v>26</x:v>
      </x:c>
      <x:c r="F1181" s="115" t="str">
        <x:v>Inspection physique</x:v>
      </x:c>
      <x:c r="G1181" s="115" t="str">
        <x:v>1 niveaux ; 28 pièces ; 210 segments de mur ; 0 transitions. Inspection physique ; architecture complète encore ouverte.</x:v>
      </x:c>
      <x:c r="H1181" s="115" t="str">
        <x:v>L 300 ; l 272 ; hauteur 6,9 m ; choix de composition auteur ; dimensions réelles à documenter</x:v>
      </x:c>
      <x:c r="I1181" s="115" t="str">
        <x:v>À équilibrer</x:v>
      </x:c>
      <x:c r="J1181" s="115" t="str">
        <x:v>Non</x:v>
      </x:c>
      <x:c r="K1181" s="115" t="str">
        <x:v>Pièces décrites, murs, portes, niveaux et mobilier inspectables à l’échelle. Volumes réservés, raccord au seed, butin, rencontres et services de campagne restent à terminer.</x:v>
      </x:c>
    </x:row>
    <x:row r="1182" ht="96" customHeight="1">
      <x:c r="A1182" s="115" t="str">
        <x:v>EXT-MONDE-T024-V27</x:v>
      </x:c>
      <x:c r="B1182" s="115" t="str">
        <x:v>EXT-MONDE-T024</x:v>
      </x:c>
      <x:c r="C1182" s="115" t="str">
        <x:v>Fermes élevage</x:v>
      </x:c>
      <x:c r="D1182" s="115" t="str">
        <x:v>Centre équestre rural</x:v>
      </x:c>
      <x:c r="E1182" s="115" t="n">
        <x:v>27</x:v>
      </x:c>
      <x:c r="F1182" s="115" t="str">
        <x:v>Inspection physique</x:v>
      </x:c>
      <x:c r="G1182" s="115" t="str">
        <x:v>1 niveaux ; 28 pièces ; 210 segments de mur ; 0 transitions. Inspection physique ; architecture complète encore ouverte.</x:v>
      </x:c>
      <x:c r="H1182" s="115" t="str">
        <x:v>L 300 ; l 272 ; hauteur 6,9 m ; choix de composition auteur ; dimensions réelles à documenter</x:v>
      </x:c>
      <x:c r="I1182" s="115" t="str">
        <x:v>À équilibrer</x:v>
      </x:c>
      <x:c r="J1182" s="115" t="str">
        <x:v>Non</x:v>
      </x:c>
      <x:c r="K1182" s="115" t="str">
        <x:v>Pièces décrites, murs, portes, niveaux et mobilier inspectables à l’échelle. Volumes réservés, raccord au seed, butin, rencontres et services de campagne restent à terminer.</x:v>
      </x:c>
    </x:row>
    <x:row r="1183" ht="96" customHeight="1">
      <x:c r="A1183" s="115" t="str">
        <x:v>EXT-MONDE-T024-V28</x:v>
      </x:c>
      <x:c r="B1183" s="115" t="str">
        <x:v>EXT-MONDE-T024</x:v>
      </x:c>
      <x:c r="C1183" s="115" t="str">
        <x:v>Fermes élevage</x:v>
      </x:c>
      <x:c r="D1183" s="115" t="str">
        <x:v>Centre équestre rural</x:v>
      </x:c>
      <x:c r="E1183" s="115" t="n">
        <x:v>28</x:v>
      </x:c>
      <x:c r="F1183" s="115" t="str">
        <x:v>Inspection physique</x:v>
      </x:c>
      <x:c r="G1183" s="115" t="str">
        <x:v>1 niveaux ; 28 pièces ; 210 segments de mur ; 0 transitions. Inspection physique ; architecture complète encore ouverte.</x:v>
      </x:c>
      <x:c r="H1183" s="115" t="str">
        <x:v>L 300 ; l 272 ; hauteur 6,9 m ; choix de composition auteur ; dimensions réelles à documenter</x:v>
      </x:c>
      <x:c r="I1183" s="115" t="str">
        <x:v>À équilibrer</x:v>
      </x:c>
      <x:c r="J1183" s="115" t="str">
        <x:v>Non</x:v>
      </x:c>
      <x:c r="K1183" s="115" t="str">
        <x:v>Pièces décrites, murs, portes, niveaux et mobilier inspectables à l’échelle. Volumes réservés, raccord au seed, butin, rencontres et services de campagne restent à terminer.</x:v>
      </x:c>
    </x:row>
    <x:row r="1184" ht="96" customHeight="1">
      <x:c r="A1184" s="115" t="str">
        <x:v>EXT-MONDE-T024-V29</x:v>
      </x:c>
      <x:c r="B1184" s="115" t="str">
        <x:v>EXT-MONDE-T024</x:v>
      </x:c>
      <x:c r="C1184" s="115" t="str">
        <x:v>Fermes élevage</x:v>
      </x:c>
      <x:c r="D1184" s="115" t="str">
        <x:v>Centre équestre rural</x:v>
      </x:c>
      <x:c r="E1184" s="115" t="n">
        <x:v>29</x:v>
      </x:c>
      <x:c r="F1184" s="115" t="str">
        <x:v>Inspection physique</x:v>
      </x:c>
      <x:c r="G1184" s="115" t="str">
        <x:v>1 niveaux ; 28 pièces ; 210 segments de mur ; 0 transitions. Inspection physique ; architecture complète encore ouverte.</x:v>
      </x:c>
      <x:c r="H1184" s="115" t="str">
        <x:v>L 300 ; l 272 ; hauteur 6,9 m ; choix de composition auteur ; dimensions réelles à documenter</x:v>
      </x:c>
      <x:c r="I1184" s="115" t="str">
        <x:v>À équilibrer</x:v>
      </x:c>
      <x:c r="J1184" s="115" t="str">
        <x:v>Non</x:v>
      </x:c>
      <x:c r="K1184" s="115" t="str">
        <x:v>Pièces décrites, murs, portes, niveaux et mobilier inspectables à l’échelle. Volumes réservés, raccord au seed, butin, rencontres et services de campagne restent à terminer.</x:v>
      </x:c>
    </x:row>
    <x:row r="1185" ht="96" customHeight="1">
      <x:c r="A1185" s="115" t="str">
        <x:v>EXT-MONDE-T024-V30</x:v>
      </x:c>
      <x:c r="B1185" s="115" t="str">
        <x:v>EXT-MONDE-T024</x:v>
      </x:c>
      <x:c r="C1185" s="115" t="str">
        <x:v>Fermes élevage</x:v>
      </x:c>
      <x:c r="D1185" s="115" t="str">
        <x:v>Centre équestre rural</x:v>
      </x:c>
      <x:c r="E1185" s="115" t="n">
        <x:v>30</x:v>
      </x:c>
      <x:c r="F1185" s="115" t="str">
        <x:v>Inspection physique</x:v>
      </x:c>
      <x:c r="G1185" s="115" t="str">
        <x:v>1 niveaux ; 28 pièces ; 210 segments de mur ; 0 transitions. Inspection physique ; architecture complète encore ouverte.</x:v>
      </x:c>
      <x:c r="H1185" s="115" t="str">
        <x:v>L 300 ; l 272 ; hauteur 6,9 m ; choix de composition auteur ; dimensions réelles à documenter</x:v>
      </x:c>
      <x:c r="I1185" s="115" t="str">
        <x:v>À équilibrer</x:v>
      </x:c>
      <x:c r="J1185" s="115" t="str">
        <x:v>Non</x:v>
      </x:c>
      <x:c r="K1185" s="115" t="str">
        <x:v>Pièces décrites, murs, portes, niveaux et mobilier inspectables à l’échelle. Volumes réservés, raccord au seed, butin, rencontres et services de campagne restent à terminer.</x:v>
      </x:c>
    </x:row>
    <x:row r="1186" ht="96" customHeight="1">
      <x:c r="A1186" s="115" t="str">
        <x:v>EXT-MONDE-T024-V31</x:v>
      </x:c>
      <x:c r="B1186" s="115" t="str">
        <x:v>EXT-MONDE-T024</x:v>
      </x:c>
      <x:c r="C1186" s="115" t="str">
        <x:v>Fermes élevage</x:v>
      </x:c>
      <x:c r="D1186" s="115" t="str">
        <x:v>Centre équestre rural</x:v>
      </x:c>
      <x:c r="E1186" s="115" t="n">
        <x:v>31</x:v>
      </x:c>
      <x:c r="F1186" s="115" t="str">
        <x:v>Inspection physique</x:v>
      </x:c>
      <x:c r="G1186" s="115" t="str">
        <x:v>1 niveaux ; 28 pièces ; 210 segments de mur ; 0 transitions. Inspection physique ; architecture complète encore ouverte.</x:v>
      </x:c>
      <x:c r="H1186" s="115" t="str">
        <x:v>L 320 ; l 296 ; hauteur 7,1 m ; choix de composition auteur ; dimensions réelles à documenter</x:v>
      </x:c>
      <x:c r="I1186" s="115" t="str">
        <x:v>À équilibrer</x:v>
      </x:c>
      <x:c r="J1186" s="115" t="str">
        <x:v>Non</x:v>
      </x:c>
      <x:c r="K1186" s="115" t="str">
        <x:v>Pièces décrites, murs, portes, niveaux et mobilier inspectables à l’échelle. Volumes réservés, raccord au seed, butin, rencontres et services de campagne restent à terminer.</x:v>
      </x:c>
    </x:row>
    <x:row r="1187" ht="96" customHeight="1">
      <x:c r="A1187" s="115" t="str">
        <x:v>EXT-MONDE-T024-V32</x:v>
      </x:c>
      <x:c r="B1187" s="115" t="str">
        <x:v>EXT-MONDE-T024</x:v>
      </x:c>
      <x:c r="C1187" s="115" t="str">
        <x:v>Fermes élevage</x:v>
      </x:c>
      <x:c r="D1187" s="115" t="str">
        <x:v>Centre équestre rural</x:v>
      </x:c>
      <x:c r="E1187" s="115" t="n">
        <x:v>32</x:v>
      </x:c>
      <x:c r="F1187" s="115" t="str">
        <x:v>Inspection physique</x:v>
      </x:c>
      <x:c r="G1187" s="115" t="str">
        <x:v>1 niveaux ; 28 pièces ; 210 segments de mur ; 0 transitions. Inspection physique ; architecture complète encore ouverte.</x:v>
      </x:c>
      <x:c r="H1187" s="115" t="str">
        <x:v>L 320 ; l 296 ; hauteur 7,1 m ; choix de composition auteur ; dimensions réelles à documenter</x:v>
      </x:c>
      <x:c r="I1187" s="115" t="str">
        <x:v>À équilibrer</x:v>
      </x:c>
      <x:c r="J1187" s="115" t="str">
        <x:v>Non</x:v>
      </x:c>
      <x:c r="K1187" s="115" t="str">
        <x:v>Pièces décrites, murs, portes, niveaux et mobilier inspectables à l’échelle. Volumes réservés, raccord au seed, butin, rencontres et services de campagne restent à terminer.</x:v>
      </x:c>
    </x:row>
    <x:row r="1188" ht="96" customHeight="1">
      <x:c r="A1188" s="115" t="str">
        <x:v>EXT-MONDE-T024-V33</x:v>
      </x:c>
      <x:c r="B1188" s="115" t="str">
        <x:v>EXT-MONDE-T024</x:v>
      </x:c>
      <x:c r="C1188" s="115" t="str">
        <x:v>Fermes élevage</x:v>
      </x:c>
      <x:c r="D1188" s="115" t="str">
        <x:v>Centre équestre rural</x:v>
      </x:c>
      <x:c r="E1188" s="115" t="n">
        <x:v>33</x:v>
      </x:c>
      <x:c r="F1188" s="115" t="str">
        <x:v>Inspection physique</x:v>
      </x:c>
      <x:c r="G1188" s="115" t="str">
        <x:v>1 niveaux ; 28 pièces ; 210 segments de mur ; 0 transitions. Inspection physique ; architecture complète encore ouverte.</x:v>
      </x:c>
      <x:c r="H1188" s="115" t="str">
        <x:v>L 320 ; l 296 ; hauteur 7,1 m ; choix de composition auteur ; dimensions réelles à documenter</x:v>
      </x:c>
      <x:c r="I1188" s="115" t="str">
        <x:v>À équilibrer</x:v>
      </x:c>
      <x:c r="J1188" s="115" t="str">
        <x:v>Non</x:v>
      </x:c>
      <x:c r="K1188" s="115" t="str">
        <x:v>Pièces décrites, murs, portes, niveaux et mobilier inspectables à l’échelle. Volumes réservés, raccord au seed, butin, rencontres et services de campagne restent à terminer.</x:v>
      </x:c>
    </x:row>
    <x:row r="1189" ht="96" customHeight="1">
      <x:c r="A1189" s="115" t="str">
        <x:v>EXT-MONDE-T024-V34</x:v>
      </x:c>
      <x:c r="B1189" s="115" t="str">
        <x:v>EXT-MONDE-T024</x:v>
      </x:c>
      <x:c r="C1189" s="115" t="str">
        <x:v>Fermes élevage</x:v>
      </x:c>
      <x:c r="D1189" s="115" t="str">
        <x:v>Centre équestre rural</x:v>
      </x:c>
      <x:c r="E1189" s="115" t="n">
        <x:v>34</x:v>
      </x:c>
      <x:c r="F1189" s="115" t="str">
        <x:v>Inspection physique</x:v>
      </x:c>
      <x:c r="G1189" s="115" t="str">
        <x:v>1 niveaux ; 28 pièces ; 210 segments de mur ; 0 transitions. Inspection physique ; architecture complète encore ouverte.</x:v>
      </x:c>
      <x:c r="H1189" s="115" t="str">
        <x:v>L 320 ; l 296 ; hauteur 7,1 m ; choix de composition auteur ; dimensions réelles à documenter</x:v>
      </x:c>
      <x:c r="I1189" s="115" t="str">
        <x:v>À équilibrer</x:v>
      </x:c>
      <x:c r="J1189" s="115" t="str">
        <x:v>Non</x:v>
      </x:c>
      <x:c r="K1189" s="115" t="str">
        <x:v>Pièces décrites, murs, portes, niveaux et mobilier inspectables à l’échelle. Volumes réservés, raccord au seed, butin, rencontres et services de campagne restent à terminer.</x:v>
      </x:c>
    </x:row>
    <x:row r="1190" ht="96" customHeight="1">
      <x:c r="A1190" s="115" t="str">
        <x:v>EXT-MONDE-T024-V35</x:v>
      </x:c>
      <x:c r="B1190" s="115" t="str">
        <x:v>EXT-MONDE-T024</x:v>
      </x:c>
      <x:c r="C1190" s="115" t="str">
        <x:v>Fermes élevage</x:v>
      </x:c>
      <x:c r="D1190" s="115" t="str">
        <x:v>Centre équestre rural</x:v>
      </x:c>
      <x:c r="E1190" s="115" t="n">
        <x:v>35</x:v>
      </x:c>
      <x:c r="F1190" s="115" t="str">
        <x:v>Inspection physique</x:v>
      </x:c>
      <x:c r="G1190" s="115" t="str">
        <x:v>1 niveaux ; 28 pièces ; 210 segments de mur ; 0 transitions. Inspection physique ; architecture complète encore ouverte.</x:v>
      </x:c>
      <x:c r="H1190" s="115" t="str">
        <x:v>L 320 ; l 296 ; hauteur 7,1 m ; choix de composition auteur ; dimensions réelles à documenter</x:v>
      </x:c>
      <x:c r="I1190" s="115" t="str">
        <x:v>À équilibrer</x:v>
      </x:c>
      <x:c r="J1190" s="115" t="str">
        <x:v>Non</x:v>
      </x:c>
      <x:c r="K1190" s="115" t="str">
        <x:v>Pièces décrites, murs, portes, niveaux et mobilier inspectables à l’échelle. Volumes réservés, raccord au seed, butin, rencontres et services de campagne restent à terminer.</x:v>
      </x:c>
    </x:row>
    <x:row r="1191" ht="96" customHeight="1">
      <x:c r="A1191" s="115" t="str">
        <x:v>EXT-MONDE-T024-V36</x:v>
      </x:c>
      <x:c r="B1191" s="115" t="str">
        <x:v>EXT-MONDE-T024</x:v>
      </x:c>
      <x:c r="C1191" s="115" t="str">
        <x:v>Fermes élevage</x:v>
      </x:c>
      <x:c r="D1191" s="115" t="str">
        <x:v>Centre équestre rural</x:v>
      </x:c>
      <x:c r="E1191" s="115" t="n">
        <x:v>36</x:v>
      </x:c>
      <x:c r="F1191" s="115" t="str">
        <x:v>Inspection physique</x:v>
      </x:c>
      <x:c r="G1191" s="115" t="str">
        <x:v>1 niveaux ; 28 pièces ; 210 segments de mur ; 0 transitions. Inspection physique ; architecture complète encore ouverte.</x:v>
      </x:c>
      <x:c r="H1191" s="115" t="str">
        <x:v>L 320 ; l 296 ; hauteur 7,1 m ; choix de composition auteur ; dimensions réelles à documenter</x:v>
      </x:c>
      <x:c r="I1191" s="115" t="str">
        <x:v>À équilibrer</x:v>
      </x:c>
      <x:c r="J1191" s="115" t="str">
        <x:v>Non</x:v>
      </x:c>
      <x:c r="K1191" s="115" t="str">
        <x:v>Pièces décrites, murs, portes, niveaux et mobilier inspectables à l’échelle. Volumes réservés, raccord au seed, butin, rencontres et services de campagne restent à terminer.</x:v>
      </x:c>
    </x:row>
    <x:row r="1192" ht="96" customHeight="1">
      <x:c r="A1192" s="115" t="str">
        <x:v>EXT-MONDE-T024-V37</x:v>
      </x:c>
      <x:c r="B1192" s="115" t="str">
        <x:v>EXT-MONDE-T024</x:v>
      </x:c>
      <x:c r="C1192" s="115" t="str">
        <x:v>Fermes élevage</x:v>
      </x:c>
      <x:c r="D1192" s="115" t="str">
        <x:v>Centre équestre rural</x:v>
      </x:c>
      <x:c r="E1192" s="115" t="n">
        <x:v>37</x:v>
      </x:c>
      <x:c r="F1192" s="115" t="str">
        <x:v>Inspection physique</x:v>
      </x:c>
      <x:c r="G1192" s="115" t="str">
        <x:v>1 niveaux ; 28 pièces ; 210 segments de mur ; 0 transitions. Inspection physique ; architecture complète encore ouverte.</x:v>
      </x:c>
      <x:c r="H1192" s="115" t="str">
        <x:v>L 320 ; l 296 ; hauteur 7,1 m ; choix de composition auteur ; dimensions réelles à documenter</x:v>
      </x:c>
      <x:c r="I1192" s="115" t="str">
        <x:v>À équilibrer</x:v>
      </x:c>
      <x:c r="J1192" s="115" t="str">
        <x:v>Non</x:v>
      </x:c>
      <x:c r="K1192" s="115" t="str">
        <x:v>Pièces décrites, murs, portes, niveaux et mobilier inspectables à l’échelle. Volumes réservés, raccord au seed, butin, rencontres et services de campagne restent à terminer.</x:v>
      </x:c>
    </x:row>
    <x:row r="1193" ht="96" customHeight="1">
      <x:c r="A1193" s="115" t="str">
        <x:v>EXT-MONDE-T024-V38</x:v>
      </x:c>
      <x:c r="B1193" s="115" t="str">
        <x:v>EXT-MONDE-T024</x:v>
      </x:c>
      <x:c r="C1193" s="115" t="str">
        <x:v>Fermes élevage</x:v>
      </x:c>
      <x:c r="D1193" s="115" t="str">
        <x:v>Centre équestre rural</x:v>
      </x:c>
      <x:c r="E1193" s="115" t="n">
        <x:v>38</x:v>
      </x:c>
      <x:c r="F1193" s="115" t="str">
        <x:v>Inspection physique</x:v>
      </x:c>
      <x:c r="G1193" s="115" t="str">
        <x:v>1 niveaux ; 28 pièces ; 210 segments de mur ; 0 transitions. Inspection physique ; architecture complète encore ouverte.</x:v>
      </x:c>
      <x:c r="H1193" s="115" t="str">
        <x:v>L 320 ; l 296 ; hauteur 7,1 m ; choix de composition auteur ; dimensions réelles à documenter</x:v>
      </x:c>
      <x:c r="I1193" s="115" t="str">
        <x:v>À équilibrer</x:v>
      </x:c>
      <x:c r="J1193" s="115" t="str">
        <x:v>Non</x:v>
      </x:c>
      <x:c r="K1193" s="115" t="str">
        <x:v>Pièces décrites, murs, portes, niveaux et mobilier inspectables à l’échelle. Volumes réservés, raccord au seed, butin, rencontres et services de campagne restent à terminer.</x:v>
      </x:c>
    </x:row>
    <x:row r="1194" ht="96" customHeight="1">
      <x:c r="A1194" s="115" t="str">
        <x:v>EXT-MONDE-T024-V39</x:v>
      </x:c>
      <x:c r="B1194" s="115" t="str">
        <x:v>EXT-MONDE-T024</x:v>
      </x:c>
      <x:c r="C1194" s="115" t="str">
        <x:v>Fermes élevage</x:v>
      </x:c>
      <x:c r="D1194" s="115" t="str">
        <x:v>Centre équestre rural</x:v>
      </x:c>
      <x:c r="E1194" s="115" t="n">
        <x:v>39</x:v>
      </x:c>
      <x:c r="F1194" s="115" t="str">
        <x:v>Inspection physique</x:v>
      </x:c>
      <x:c r="G1194" s="115" t="str">
        <x:v>1 niveaux ; 28 pièces ; 210 segments de mur ; 0 transitions. Inspection physique ; architecture complète encore ouverte.</x:v>
      </x:c>
      <x:c r="H1194" s="115" t="str">
        <x:v>L 320 ; l 296 ; hauteur 7,1 m ; choix de composition auteur ; dimensions réelles à documenter</x:v>
      </x:c>
      <x:c r="I1194" s="115" t="str">
        <x:v>À équilibrer</x:v>
      </x:c>
      <x:c r="J1194" s="115" t="str">
        <x:v>Non</x:v>
      </x:c>
      <x:c r="K1194" s="115" t="str">
        <x:v>Pièces décrites, murs, portes, niveaux et mobilier inspectables à l’échelle. Volumes réservés, raccord au seed, butin, rencontres et services de campagne restent à terminer.</x:v>
      </x:c>
    </x:row>
    <x:row r="1195" ht="96" customHeight="1">
      <x:c r="A1195" s="115" t="str">
        <x:v>EXT-MONDE-T024-V40</x:v>
      </x:c>
      <x:c r="B1195" s="115" t="str">
        <x:v>EXT-MONDE-T024</x:v>
      </x:c>
      <x:c r="C1195" s="115" t="str">
        <x:v>Fermes élevage</x:v>
      </x:c>
      <x:c r="D1195" s="115" t="str">
        <x:v>Centre équestre rural</x:v>
      </x:c>
      <x:c r="E1195" s="115" t="n">
        <x:v>40</x:v>
      </x:c>
      <x:c r="F1195" s="115" t="str">
        <x:v>Inspection physique</x:v>
      </x:c>
      <x:c r="G1195" s="115" t="str">
        <x:v>1 niveaux ; 28 pièces ; 210 segments de mur ; 0 transitions. Inspection physique ; architecture complète encore ouverte.</x:v>
      </x:c>
      <x:c r="H1195" s="115" t="str">
        <x:v>L 320 ; l 296 ; hauteur 7,1 m ; choix de composition auteur ; dimensions réelles à documenter</x:v>
      </x:c>
      <x:c r="I1195" s="115" t="str">
        <x:v>À équilibrer</x:v>
      </x:c>
      <x:c r="J1195" s="115" t="str">
        <x:v>Non</x:v>
      </x:c>
      <x:c r="K1195" s="115" t="str">
        <x:v>Pièces décrites, murs, portes, niveaux et mobilier inspectables à l’échelle. Volumes réservés, raccord au seed, butin, rencontres et services de campagne restent à terminer.</x:v>
      </x:c>
    </x:row>
    <x:row r="1196" ht="96" customHeight="1">
      <x:c r="A1196" s="115" t="str">
        <x:v>EXT-MONDE-T024-V41</x:v>
      </x:c>
      <x:c r="B1196" s="115" t="str">
        <x:v>EXT-MONDE-T024</x:v>
      </x:c>
      <x:c r="C1196" s="115" t="str">
        <x:v>Fermes élevage</x:v>
      </x:c>
      <x:c r="D1196" s="115" t="str">
        <x:v>Centre équestre rural</x:v>
      </x:c>
      <x:c r="E1196" s="115" t="n">
        <x:v>41</x:v>
      </x:c>
      <x:c r="F1196" s="115" t="str">
        <x:v>Inspection physique</x:v>
      </x:c>
      <x:c r="G1196" s="115" t="str">
        <x:v>1 niveaux ; 28 pièces ; 210 segments de mur ; 0 transitions. Inspection physique ; architecture complète encore ouverte.</x:v>
      </x:c>
      <x:c r="H1196" s="115" t="str">
        <x:v>L 340 ; l 320 ; hauteur 7,3 m ; choix de composition auteur ; dimensions réelles à documenter</x:v>
      </x:c>
      <x:c r="I1196" s="115" t="str">
        <x:v>À équilibrer</x:v>
      </x:c>
      <x:c r="J1196" s="115" t="str">
        <x:v>Non</x:v>
      </x:c>
      <x:c r="K1196" s="115" t="str">
        <x:v>Pièces décrites, murs, portes, niveaux et mobilier inspectables à l’échelle. Volumes réservés, raccord au seed, butin, rencontres et services de campagne restent à terminer.</x:v>
      </x:c>
    </x:row>
    <x:row r="1197" ht="96" customHeight="1">
      <x:c r="A1197" s="115" t="str">
        <x:v>EXT-MONDE-T024-V42</x:v>
      </x:c>
      <x:c r="B1197" s="115" t="str">
        <x:v>EXT-MONDE-T024</x:v>
      </x:c>
      <x:c r="C1197" s="115" t="str">
        <x:v>Fermes élevage</x:v>
      </x:c>
      <x:c r="D1197" s="115" t="str">
        <x:v>Centre équestre rural</x:v>
      </x:c>
      <x:c r="E1197" s="115" t="n">
        <x:v>42</x:v>
      </x:c>
      <x:c r="F1197" s="115" t="str">
        <x:v>Inspection physique</x:v>
      </x:c>
      <x:c r="G1197" s="115" t="str">
        <x:v>1 niveaux ; 28 pièces ; 210 segments de mur ; 0 transitions. Inspection physique ; architecture complète encore ouverte.</x:v>
      </x:c>
      <x:c r="H1197" s="115" t="str">
        <x:v>L 340 ; l 320 ; hauteur 7,3 m ; choix de composition auteur ; dimensions réelles à documenter</x:v>
      </x:c>
      <x:c r="I1197" s="115" t="str">
        <x:v>À équilibrer</x:v>
      </x:c>
      <x:c r="J1197" s="115" t="str">
        <x:v>Non</x:v>
      </x:c>
      <x:c r="K1197" s="115" t="str">
        <x:v>Pièces décrites, murs, portes, niveaux et mobilier inspectables à l’échelle. Volumes réservés, raccord au seed, butin, rencontres et services de campagne restent à terminer.</x:v>
      </x:c>
    </x:row>
    <x:row r="1198" ht="96" customHeight="1">
      <x:c r="A1198" s="115" t="str">
        <x:v>EXT-MONDE-T024-V43</x:v>
      </x:c>
      <x:c r="B1198" s="115" t="str">
        <x:v>EXT-MONDE-T024</x:v>
      </x:c>
      <x:c r="C1198" s="115" t="str">
        <x:v>Fermes élevage</x:v>
      </x:c>
      <x:c r="D1198" s="115" t="str">
        <x:v>Centre équestre rural</x:v>
      </x:c>
      <x:c r="E1198" s="115" t="n">
        <x:v>43</x:v>
      </x:c>
      <x:c r="F1198" s="115" t="str">
        <x:v>Inspection physique</x:v>
      </x:c>
      <x:c r="G1198" s="115" t="str">
        <x:v>1 niveaux ; 28 pièces ; 210 segments de mur ; 0 transitions. Inspection physique ; architecture complète encore ouverte.</x:v>
      </x:c>
      <x:c r="H1198" s="115" t="str">
        <x:v>L 340 ; l 320 ; hauteur 7,3 m ; choix de composition auteur ; dimensions réelles à documenter</x:v>
      </x:c>
      <x:c r="I1198" s="115" t="str">
        <x:v>À équilibrer</x:v>
      </x:c>
      <x:c r="J1198" s="115" t="str">
        <x:v>Non</x:v>
      </x:c>
      <x:c r="K1198" s="115" t="str">
        <x:v>Pièces décrites, murs, portes, niveaux et mobilier inspectables à l’échelle. Volumes réservés, raccord au seed, butin, rencontres et services de campagne restent à terminer.</x:v>
      </x:c>
    </x:row>
    <x:row r="1199" ht="96" customHeight="1">
      <x:c r="A1199" s="115" t="str">
        <x:v>EXT-MONDE-T024-V44</x:v>
      </x:c>
      <x:c r="B1199" s="115" t="str">
        <x:v>EXT-MONDE-T024</x:v>
      </x:c>
      <x:c r="C1199" s="115" t="str">
        <x:v>Fermes élevage</x:v>
      </x:c>
      <x:c r="D1199" s="115" t="str">
        <x:v>Centre équestre rural</x:v>
      </x:c>
      <x:c r="E1199" s="115" t="n">
        <x:v>44</x:v>
      </x:c>
      <x:c r="F1199" s="115" t="str">
        <x:v>Inspection physique</x:v>
      </x:c>
      <x:c r="G1199" s="115" t="str">
        <x:v>1 niveaux ; 28 pièces ; 210 segments de mur ; 0 transitions. Inspection physique ; architecture complète encore ouverte.</x:v>
      </x:c>
      <x:c r="H1199" s="115" t="str">
        <x:v>L 340 ; l 320 ; hauteur 7,3 m ; choix de composition auteur ; dimensions réelles à documenter</x:v>
      </x:c>
      <x:c r="I1199" s="115" t="str">
        <x:v>À équilibrer</x:v>
      </x:c>
      <x:c r="J1199" s="115" t="str">
        <x:v>Non</x:v>
      </x:c>
      <x:c r="K1199" s="115" t="str">
        <x:v>Pièces décrites, murs, portes, niveaux et mobilier inspectables à l’échelle. Volumes réservés, raccord au seed, butin, rencontres et services de campagne restent à terminer.</x:v>
      </x:c>
    </x:row>
    <x:row r="1200" ht="96" customHeight="1">
      <x:c r="A1200" s="115" t="str">
        <x:v>EXT-MONDE-T024-V45</x:v>
      </x:c>
      <x:c r="B1200" s="115" t="str">
        <x:v>EXT-MONDE-T024</x:v>
      </x:c>
      <x:c r="C1200" s="115" t="str">
        <x:v>Fermes élevage</x:v>
      </x:c>
      <x:c r="D1200" s="115" t="str">
        <x:v>Centre équestre rural</x:v>
      </x:c>
      <x:c r="E1200" s="115" t="n">
        <x:v>45</x:v>
      </x:c>
      <x:c r="F1200" s="115" t="str">
        <x:v>Inspection physique</x:v>
      </x:c>
      <x:c r="G1200" s="115" t="str">
        <x:v>1 niveaux ; 28 pièces ; 210 segments de mur ; 0 transitions. Inspection physique ; architecture complète encore ouverte.</x:v>
      </x:c>
      <x:c r="H1200" s="115" t="str">
        <x:v>L 340 ; l 320 ; hauteur 7,3 m ; choix de composition auteur ; dimensions réelles à documenter</x:v>
      </x:c>
      <x:c r="I1200" s="115" t="str">
        <x:v>À équilibrer</x:v>
      </x:c>
      <x:c r="J1200" s="115" t="str">
        <x:v>Non</x:v>
      </x:c>
      <x:c r="K1200" s="115" t="str">
        <x:v>Pièces décrites, murs, portes, niveaux et mobilier inspectables à l’échelle. Volumes réservés, raccord au seed, butin, rencontres et services de campagne restent à terminer.</x:v>
      </x:c>
    </x:row>
    <x:row r="1201" ht="96" customHeight="1">
      <x:c r="A1201" s="115" t="str">
        <x:v>EXT-MONDE-T024-V46</x:v>
      </x:c>
      <x:c r="B1201" s="115" t="str">
        <x:v>EXT-MONDE-T024</x:v>
      </x:c>
      <x:c r="C1201" s="115" t="str">
        <x:v>Fermes élevage</x:v>
      </x:c>
      <x:c r="D1201" s="115" t="str">
        <x:v>Centre équestre rural</x:v>
      </x:c>
      <x:c r="E1201" s="115" t="n">
        <x:v>46</x:v>
      </x:c>
      <x:c r="F1201" s="115" t="str">
        <x:v>Inspection physique</x:v>
      </x:c>
      <x:c r="G1201" s="115" t="str">
        <x:v>1 niveaux ; 28 pièces ; 210 segments de mur ; 0 transitions. Inspection physique ; architecture complète encore ouverte.</x:v>
      </x:c>
      <x:c r="H1201" s="115" t="str">
        <x:v>L 340 ; l 320 ; hauteur 7,3 m ; choix de composition auteur ; dimensions réelles à documenter</x:v>
      </x:c>
      <x:c r="I1201" s="115" t="str">
        <x:v>À équilibrer</x:v>
      </x:c>
      <x:c r="J1201" s="115" t="str">
        <x:v>Non</x:v>
      </x:c>
      <x:c r="K1201" s="115" t="str">
        <x:v>Pièces décrites, murs, portes, niveaux et mobilier inspectables à l’échelle. Volumes réservés, raccord au seed, butin, rencontres et services de campagne restent à terminer.</x:v>
      </x:c>
    </x:row>
    <x:row r="1202" ht="96" customHeight="1">
      <x:c r="A1202" s="115" t="str">
        <x:v>EXT-MONDE-T024-V47</x:v>
      </x:c>
      <x:c r="B1202" s="115" t="str">
        <x:v>EXT-MONDE-T024</x:v>
      </x:c>
      <x:c r="C1202" s="115" t="str">
        <x:v>Fermes élevage</x:v>
      </x:c>
      <x:c r="D1202" s="115" t="str">
        <x:v>Centre équestre rural</x:v>
      </x:c>
      <x:c r="E1202" s="115" t="n">
        <x:v>47</x:v>
      </x:c>
      <x:c r="F1202" s="115" t="str">
        <x:v>Inspection physique</x:v>
      </x:c>
      <x:c r="G1202" s="115" t="str">
        <x:v>1 niveaux ; 28 pièces ; 210 segments de mur ; 0 transitions. Inspection physique ; architecture complète encore ouverte.</x:v>
      </x:c>
      <x:c r="H1202" s="115" t="str">
        <x:v>L 340 ; l 320 ; hauteur 7,3 m ; choix de composition auteur ; dimensions réelles à documenter</x:v>
      </x:c>
      <x:c r="I1202" s="115" t="str">
        <x:v>À équilibrer</x:v>
      </x:c>
      <x:c r="J1202" s="115" t="str">
        <x:v>Non</x:v>
      </x:c>
      <x:c r="K1202" s="115" t="str">
        <x:v>Pièces décrites, murs, portes, niveaux et mobilier inspectables à l’échelle. Volumes réservés, raccord au seed, butin, rencontres et services de campagne restent à terminer.</x:v>
      </x:c>
    </x:row>
    <x:row r="1203" ht="96" customHeight="1">
      <x:c r="A1203" s="115" t="str">
        <x:v>EXT-MONDE-T024-V48</x:v>
      </x:c>
      <x:c r="B1203" s="115" t="str">
        <x:v>EXT-MONDE-T024</x:v>
      </x:c>
      <x:c r="C1203" s="115" t="str">
        <x:v>Fermes élevage</x:v>
      </x:c>
      <x:c r="D1203" s="115" t="str">
        <x:v>Centre équestre rural</x:v>
      </x:c>
      <x:c r="E1203" s="115" t="n">
        <x:v>48</x:v>
      </x:c>
      <x:c r="F1203" s="115" t="str">
        <x:v>Inspection physique</x:v>
      </x:c>
      <x:c r="G1203" s="115" t="str">
        <x:v>1 niveaux ; 28 pièces ; 210 segments de mur ; 0 transitions. Inspection physique ; architecture complète encore ouverte.</x:v>
      </x:c>
      <x:c r="H1203" s="115" t="str">
        <x:v>L 340 ; l 320 ; hauteur 7,3 m ; choix de composition auteur ; dimensions réelles à documenter</x:v>
      </x:c>
      <x:c r="I1203" s="115" t="str">
        <x:v>À équilibrer</x:v>
      </x:c>
      <x:c r="J1203" s="115" t="str">
        <x:v>Non</x:v>
      </x:c>
      <x:c r="K1203" s="115" t="str">
        <x:v>Pièces décrites, murs, portes, niveaux et mobilier inspectables à l’échelle. Volumes réservés, raccord au seed, butin, rencontres et services de campagne restent à terminer.</x:v>
      </x:c>
    </x:row>
    <x:row r="1204" ht="96" customHeight="1">
      <x:c r="A1204" s="115" t="str">
        <x:v>EXT-MONDE-T024-V49</x:v>
      </x:c>
      <x:c r="B1204" s="115" t="str">
        <x:v>EXT-MONDE-T024</x:v>
      </x:c>
      <x:c r="C1204" s="115" t="str">
        <x:v>Fermes élevage</x:v>
      </x:c>
      <x:c r="D1204" s="115" t="str">
        <x:v>Centre équestre rural</x:v>
      </x:c>
      <x:c r="E1204" s="115" t="n">
        <x:v>49</x:v>
      </x:c>
      <x:c r="F1204" s="115" t="str">
        <x:v>Inspection physique</x:v>
      </x:c>
      <x:c r="G1204" s="115" t="str">
        <x:v>1 niveaux ; 28 pièces ; 210 segments de mur ; 0 transitions. Inspection physique ; architecture complète encore ouverte.</x:v>
      </x:c>
      <x:c r="H1204" s="115" t="str">
        <x:v>L 340 ; l 320 ; hauteur 7,3 m ; choix de composition auteur ; dimensions réelles à documenter</x:v>
      </x:c>
      <x:c r="I1204" s="115" t="str">
        <x:v>À équilibrer</x:v>
      </x:c>
      <x:c r="J1204" s="115" t="str">
        <x:v>Non</x:v>
      </x:c>
      <x:c r="K1204" s="115" t="str">
        <x:v>Pièces décrites, murs, portes, niveaux et mobilier inspectables à l’échelle. Volumes réservés, raccord au seed, butin, rencontres et services de campagne restent à terminer.</x:v>
      </x:c>
    </x:row>
    <x:row r="1205" ht="96" customHeight="1">
      <x:c r="A1205" s="115" t="str">
        <x:v>EXT-MONDE-T024-V50</x:v>
      </x:c>
      <x:c r="B1205" s="115" t="str">
        <x:v>EXT-MONDE-T024</x:v>
      </x:c>
      <x:c r="C1205" s="115" t="str">
        <x:v>Fermes élevage</x:v>
      </x:c>
      <x:c r="D1205" s="115" t="str">
        <x:v>Centre équestre rural</x:v>
      </x:c>
      <x:c r="E1205" s="115" t="n">
        <x:v>50</x:v>
      </x:c>
      <x:c r="F1205" s="115" t="str">
        <x:v>Inspection physique</x:v>
      </x:c>
      <x:c r="G1205" s="115" t="str">
        <x:v>1 niveaux ; 28 pièces ; 210 segments de mur ; 0 transitions. Inspection physique ; architecture complète encore ouverte.</x:v>
      </x:c>
      <x:c r="H1205" s="115" t="str">
        <x:v>L 340 ; l 320 ; hauteur 7,3 m ; choix de composition auteur ; dimensions réelles à documenter</x:v>
      </x:c>
      <x:c r="I1205" s="115" t="str">
        <x:v>À équilibrer</x:v>
      </x:c>
      <x:c r="J1205" s="115" t="str">
        <x:v>Non</x:v>
      </x:c>
      <x:c r="K1205" s="115" t="str">
        <x:v>Pièces décrites, murs, portes, niveaux et mobilier inspectables à l’échelle. Volumes réservés, raccord au seed, butin, rencontres et services de campagne restent à terminer.</x:v>
      </x:c>
    </x:row>
    <x:row r="1206" ht="96" customHeight="1">
      <x:c r="A1206" s="115" t="str">
        <x:v>EXT-MONDE-T025-V01</x:v>
      </x:c>
      <x:c r="B1206" s="115" t="str">
        <x:v>EXT-MONDE-T025</x:v>
      </x:c>
      <x:c r="C1206" s="115" t="str">
        <x:v>Fermes cultures</x:v>
      </x:c>
      <x:c r="D1206" s="115" t="str">
        <x:v>Exploitation céréalière</x:v>
      </x:c>
      <x:c r="E1206" s="115" t="n">
        <x:v>1</x:v>
      </x:c>
      <x:c r="F1206" s="115" t="str">
        <x:v>Inspection physique</x:v>
      </x:c>
      <x:c r="G1206" s="115" t="str">
        <x:v>1 niveaux ; 26 pièces ; 198 segments de mur ; 0 transitions. Inspection physique ; architecture complète encore ouverte.</x:v>
      </x:c>
      <x:c r="H1206" s="115" t="str">
        <x:v>L 260 ; l 224 ; hauteur 10,2 m ; choix de composition auteur ; dimensions réelles à documenter</x:v>
      </x:c>
      <x:c r="I1206" s="115" t="str">
        <x:v>À équilibrer</x:v>
      </x:c>
      <x:c r="J1206" s="115" t="str">
        <x:v>Non</x:v>
      </x:c>
      <x:c r="K1206" s="115" t="str">
        <x:v>Pièces décrites, murs, portes, niveaux et mobilier inspectables à l’échelle. Volumes réservés, raccord au seed, butin, rencontres et services de campagne restent à terminer.</x:v>
      </x:c>
    </x:row>
    <x:row r="1207" ht="96" customHeight="1">
      <x:c r="A1207" s="115" t="str">
        <x:v>EXT-MONDE-T025-V02</x:v>
      </x:c>
      <x:c r="B1207" s="115" t="str">
        <x:v>EXT-MONDE-T025</x:v>
      </x:c>
      <x:c r="C1207" s="115" t="str">
        <x:v>Fermes cultures</x:v>
      </x:c>
      <x:c r="D1207" s="115" t="str">
        <x:v>Exploitation céréalière</x:v>
      </x:c>
      <x:c r="E1207" s="115" t="n">
        <x:v>2</x:v>
      </x:c>
      <x:c r="F1207" s="115" t="str">
        <x:v>Inspection physique</x:v>
      </x:c>
      <x:c r="G1207" s="115" t="str">
        <x:v>1 niveaux ; 26 pièces ; 198 segments de mur ; 0 transitions. Inspection physique ; architecture complète encore ouverte.</x:v>
      </x:c>
      <x:c r="H1207" s="115" t="str">
        <x:v>L 260 ; l 224 ; hauteur 10,2 m ; choix de composition auteur ; dimensions réelles à documenter</x:v>
      </x:c>
      <x:c r="I1207" s="115" t="str">
        <x:v>À équilibrer</x:v>
      </x:c>
      <x:c r="J1207" s="115" t="str">
        <x:v>Non</x:v>
      </x:c>
      <x:c r="K1207" s="115" t="str">
        <x:v>Pièces décrites, murs, portes, niveaux et mobilier inspectables à l’échelle. Volumes réservés, raccord au seed, butin, rencontres et services de campagne restent à terminer.</x:v>
      </x:c>
    </x:row>
    <x:row r="1208" ht="96" customHeight="1">
      <x:c r="A1208" s="115" t="str">
        <x:v>EXT-MONDE-T025-V03</x:v>
      </x:c>
      <x:c r="B1208" s="115" t="str">
        <x:v>EXT-MONDE-T025</x:v>
      </x:c>
      <x:c r="C1208" s="115" t="str">
        <x:v>Fermes cultures</x:v>
      </x:c>
      <x:c r="D1208" s="115" t="str">
        <x:v>Exploitation céréalière</x:v>
      </x:c>
      <x:c r="E1208" s="115" t="n">
        <x:v>3</x:v>
      </x:c>
      <x:c r="F1208" s="115" t="str">
        <x:v>Inspection physique</x:v>
      </x:c>
      <x:c r="G1208" s="115" t="str">
        <x:v>1 niveaux ; 26 pièces ; 198 segments de mur ; 0 transitions. Inspection physique ; architecture complète encore ouverte.</x:v>
      </x:c>
      <x:c r="H1208" s="115" t="str">
        <x:v>L 260 ; l 224 ; hauteur 10,2 m ; choix de composition auteur ; dimensions réelles à documenter</x:v>
      </x:c>
      <x:c r="I1208" s="115" t="str">
        <x:v>À équilibrer</x:v>
      </x:c>
      <x:c r="J1208" s="115" t="str">
        <x:v>Non</x:v>
      </x:c>
      <x:c r="K1208" s="115" t="str">
        <x:v>Pièces décrites, murs, portes, niveaux et mobilier inspectables à l’échelle. Volumes réservés, raccord au seed, butin, rencontres et services de campagne restent à terminer.</x:v>
      </x:c>
    </x:row>
    <x:row r="1209" ht="96" customHeight="1">
      <x:c r="A1209" s="115" t="str">
        <x:v>EXT-MONDE-T025-V04</x:v>
      </x:c>
      <x:c r="B1209" s="115" t="str">
        <x:v>EXT-MONDE-T025</x:v>
      </x:c>
      <x:c r="C1209" s="115" t="str">
        <x:v>Fermes cultures</x:v>
      </x:c>
      <x:c r="D1209" s="115" t="str">
        <x:v>Exploitation céréalière</x:v>
      </x:c>
      <x:c r="E1209" s="115" t="n">
        <x:v>4</x:v>
      </x:c>
      <x:c r="F1209" s="115" t="str">
        <x:v>Inspection physique</x:v>
      </x:c>
      <x:c r="G1209" s="115" t="str">
        <x:v>1 niveaux ; 26 pièces ; 198 segments de mur ; 0 transitions. Inspection physique ; architecture complète encore ouverte.</x:v>
      </x:c>
      <x:c r="H1209" s="115" t="str">
        <x:v>L 260 ; l 224 ; hauteur 10,2 m ; choix de composition auteur ; dimensions réelles à documenter</x:v>
      </x:c>
      <x:c r="I1209" s="115" t="str">
        <x:v>À équilibrer</x:v>
      </x:c>
      <x:c r="J1209" s="115" t="str">
        <x:v>Non</x:v>
      </x:c>
      <x:c r="K1209" s="115" t="str">
        <x:v>Pièces décrites, murs, portes, niveaux et mobilier inspectables à l’échelle. Volumes réservés, raccord au seed, butin, rencontres et services de campagne restent à terminer.</x:v>
      </x:c>
    </x:row>
    <x:row r="1210" ht="96" customHeight="1">
      <x:c r="A1210" s="115" t="str">
        <x:v>EXT-MONDE-T025-V05</x:v>
      </x:c>
      <x:c r="B1210" s="115" t="str">
        <x:v>EXT-MONDE-T025</x:v>
      </x:c>
      <x:c r="C1210" s="115" t="str">
        <x:v>Fermes cultures</x:v>
      </x:c>
      <x:c r="D1210" s="115" t="str">
        <x:v>Exploitation céréalière</x:v>
      </x:c>
      <x:c r="E1210" s="115" t="n">
        <x:v>5</x:v>
      </x:c>
      <x:c r="F1210" s="115" t="str">
        <x:v>Inspection physique</x:v>
      </x:c>
      <x:c r="G1210" s="115" t="str">
        <x:v>1 niveaux ; 26 pièces ; 198 segments de mur ; 0 transitions. Inspection physique ; architecture complète encore ouverte.</x:v>
      </x:c>
      <x:c r="H1210" s="115" t="str">
        <x:v>L 260 ; l 224 ; hauteur 10,2 m ; choix de composition auteur ; dimensions réelles à documenter</x:v>
      </x:c>
      <x:c r="I1210" s="115" t="str">
        <x:v>À équilibrer</x:v>
      </x:c>
      <x:c r="J1210" s="115" t="str">
        <x:v>Non</x:v>
      </x:c>
      <x:c r="K1210" s="115" t="str">
        <x:v>Pièces décrites, murs, portes, niveaux et mobilier inspectables à l’échelle. Volumes réservés, raccord au seed, butin, rencontres et services de campagne restent à terminer.</x:v>
      </x:c>
    </x:row>
    <x:row r="1211" ht="96" customHeight="1">
      <x:c r="A1211" s="115" t="str">
        <x:v>EXT-MONDE-T025-V06</x:v>
      </x:c>
      <x:c r="B1211" s="115" t="str">
        <x:v>EXT-MONDE-T025</x:v>
      </x:c>
      <x:c r="C1211" s="115" t="str">
        <x:v>Fermes cultures</x:v>
      </x:c>
      <x:c r="D1211" s="115" t="str">
        <x:v>Exploitation céréalière</x:v>
      </x:c>
      <x:c r="E1211" s="115" t="n">
        <x:v>6</x:v>
      </x:c>
      <x:c r="F1211" s="115" t="str">
        <x:v>Inspection physique</x:v>
      </x:c>
      <x:c r="G1211" s="115" t="str">
        <x:v>1 niveaux ; 26 pièces ; 198 segments de mur ; 0 transitions. Inspection physique ; architecture complète encore ouverte.</x:v>
      </x:c>
      <x:c r="H1211" s="115" t="str">
        <x:v>L 260 ; l 224 ; hauteur 10,2 m ; choix de composition auteur ; dimensions réelles à documenter</x:v>
      </x:c>
      <x:c r="I1211" s="115" t="str">
        <x:v>À équilibrer</x:v>
      </x:c>
      <x:c r="J1211" s="115" t="str">
        <x:v>Non</x:v>
      </x:c>
      <x:c r="K1211" s="115" t="str">
        <x:v>Pièces décrites, murs, portes, niveaux et mobilier inspectables à l’échelle. Volumes réservés, raccord au seed, butin, rencontres et services de campagne restent à terminer.</x:v>
      </x:c>
    </x:row>
    <x:row r="1212" ht="96" customHeight="1">
      <x:c r="A1212" s="115" t="str">
        <x:v>EXT-MONDE-T025-V07</x:v>
      </x:c>
      <x:c r="B1212" s="115" t="str">
        <x:v>EXT-MONDE-T025</x:v>
      </x:c>
      <x:c r="C1212" s="115" t="str">
        <x:v>Fermes cultures</x:v>
      </x:c>
      <x:c r="D1212" s="115" t="str">
        <x:v>Exploitation céréalière</x:v>
      </x:c>
      <x:c r="E1212" s="115" t="n">
        <x:v>7</x:v>
      </x:c>
      <x:c r="F1212" s="115" t="str">
        <x:v>Inspection physique</x:v>
      </x:c>
      <x:c r="G1212" s="115" t="str">
        <x:v>1 niveaux ; 26 pièces ; 198 segments de mur ; 0 transitions. Inspection physique ; architecture complète encore ouverte.</x:v>
      </x:c>
      <x:c r="H1212" s="115" t="str">
        <x:v>L 260 ; l 224 ; hauteur 10,2 m ; choix de composition auteur ; dimensions réelles à documenter</x:v>
      </x:c>
      <x:c r="I1212" s="115" t="str">
        <x:v>À équilibrer</x:v>
      </x:c>
      <x:c r="J1212" s="115" t="str">
        <x:v>Non</x:v>
      </x:c>
      <x:c r="K1212" s="115" t="str">
        <x:v>Pièces décrites, murs, portes, niveaux et mobilier inspectables à l’échelle. Volumes réservés, raccord au seed, butin, rencontres et services de campagne restent à terminer.</x:v>
      </x:c>
    </x:row>
    <x:row r="1213" ht="96" customHeight="1">
      <x:c r="A1213" s="115" t="str">
        <x:v>EXT-MONDE-T025-V08</x:v>
      </x:c>
      <x:c r="B1213" s="115" t="str">
        <x:v>EXT-MONDE-T025</x:v>
      </x:c>
      <x:c r="C1213" s="115" t="str">
        <x:v>Fermes cultures</x:v>
      </x:c>
      <x:c r="D1213" s="115" t="str">
        <x:v>Exploitation céréalière</x:v>
      </x:c>
      <x:c r="E1213" s="115" t="n">
        <x:v>8</x:v>
      </x:c>
      <x:c r="F1213" s="115" t="str">
        <x:v>Inspection physique</x:v>
      </x:c>
      <x:c r="G1213" s="115" t="str">
        <x:v>1 niveaux ; 26 pièces ; 198 segments de mur ; 0 transitions. Inspection physique ; architecture complète encore ouverte.</x:v>
      </x:c>
      <x:c r="H1213" s="115" t="str">
        <x:v>L 260 ; l 224 ; hauteur 10,2 m ; choix de composition auteur ; dimensions réelles à documenter</x:v>
      </x:c>
      <x:c r="I1213" s="115" t="str">
        <x:v>À équilibrer</x:v>
      </x:c>
      <x:c r="J1213" s="115" t="str">
        <x:v>Non</x:v>
      </x:c>
      <x:c r="K1213" s="115" t="str">
        <x:v>Pièces décrites, murs, portes, niveaux et mobilier inspectables à l’échelle. Volumes réservés, raccord au seed, butin, rencontres et services de campagne restent à terminer.</x:v>
      </x:c>
    </x:row>
    <x:row r="1214" ht="96" customHeight="1">
      <x:c r="A1214" s="115" t="str">
        <x:v>EXT-MONDE-T025-V09</x:v>
      </x:c>
      <x:c r="B1214" s="115" t="str">
        <x:v>EXT-MONDE-T025</x:v>
      </x:c>
      <x:c r="C1214" s="115" t="str">
        <x:v>Fermes cultures</x:v>
      </x:c>
      <x:c r="D1214" s="115" t="str">
        <x:v>Exploitation céréalière</x:v>
      </x:c>
      <x:c r="E1214" s="115" t="n">
        <x:v>9</x:v>
      </x:c>
      <x:c r="F1214" s="115" t="str">
        <x:v>Inspection physique</x:v>
      </x:c>
      <x:c r="G1214" s="115" t="str">
        <x:v>1 niveaux ; 26 pièces ; 198 segments de mur ; 0 transitions. Inspection physique ; architecture complète encore ouverte.</x:v>
      </x:c>
      <x:c r="H1214" s="115" t="str">
        <x:v>L 260 ; l 224 ; hauteur 10,2 m ; choix de composition auteur ; dimensions réelles à documenter</x:v>
      </x:c>
      <x:c r="I1214" s="115" t="str">
        <x:v>À équilibrer</x:v>
      </x:c>
      <x:c r="J1214" s="115" t="str">
        <x:v>Non</x:v>
      </x:c>
      <x:c r="K1214" s="115" t="str">
        <x:v>Pièces décrites, murs, portes, niveaux et mobilier inspectables à l’échelle. Volumes réservés, raccord au seed, butin, rencontres et services de campagne restent à terminer.</x:v>
      </x:c>
    </x:row>
    <x:row r="1215" ht="96" customHeight="1">
      <x:c r="A1215" s="115" t="str">
        <x:v>EXT-MONDE-T025-V10</x:v>
      </x:c>
      <x:c r="B1215" s="115" t="str">
        <x:v>EXT-MONDE-T025</x:v>
      </x:c>
      <x:c r="C1215" s="115" t="str">
        <x:v>Fermes cultures</x:v>
      </x:c>
      <x:c r="D1215" s="115" t="str">
        <x:v>Exploitation céréalière</x:v>
      </x:c>
      <x:c r="E1215" s="115" t="n">
        <x:v>10</x:v>
      </x:c>
      <x:c r="F1215" s="115" t="str">
        <x:v>Inspection physique</x:v>
      </x:c>
      <x:c r="G1215" s="115" t="str">
        <x:v>1 niveaux ; 26 pièces ; 198 segments de mur ; 0 transitions. Inspection physique ; architecture complète encore ouverte.</x:v>
      </x:c>
      <x:c r="H1215" s="115" t="str">
        <x:v>L 260 ; l 224 ; hauteur 10,2 m ; choix de composition auteur ; dimensions réelles à documenter</x:v>
      </x:c>
      <x:c r="I1215" s="115" t="str">
        <x:v>À équilibrer</x:v>
      </x:c>
      <x:c r="J1215" s="115" t="str">
        <x:v>Non</x:v>
      </x:c>
      <x:c r="K1215" s="115" t="str">
        <x:v>Pièces décrites, murs, portes, niveaux et mobilier inspectables à l’échelle. Volumes réservés, raccord au seed, butin, rencontres et services de campagne restent à terminer.</x:v>
      </x:c>
    </x:row>
    <x:row r="1216" ht="96" customHeight="1">
      <x:c r="A1216" s="115" t="str">
        <x:v>EXT-MONDE-T025-V11</x:v>
      </x:c>
      <x:c r="B1216" s="115" t="str">
        <x:v>EXT-MONDE-T025</x:v>
      </x:c>
      <x:c r="C1216" s="115" t="str">
        <x:v>Fermes cultures</x:v>
      </x:c>
      <x:c r="D1216" s="115" t="str">
        <x:v>Exploitation céréalière</x:v>
      </x:c>
      <x:c r="E1216" s="115" t="n">
        <x:v>11</x:v>
      </x:c>
      <x:c r="F1216" s="115" t="str">
        <x:v>Inspection physique</x:v>
      </x:c>
      <x:c r="G1216" s="115" t="str">
        <x:v>1 niveaux ; 26 pièces ; 198 segments de mur ; 0 transitions. Inspection physique ; architecture complète encore ouverte.</x:v>
      </x:c>
      <x:c r="H1216" s="115" t="str">
        <x:v>L 280 ; l 248 ; hauteur 10,2 m ; choix de composition auteur ; dimensions réelles à documenter</x:v>
      </x:c>
      <x:c r="I1216" s="115" t="str">
        <x:v>À équilibrer</x:v>
      </x:c>
      <x:c r="J1216" s="115" t="str">
        <x:v>Non</x:v>
      </x:c>
      <x:c r="K1216" s="115" t="str">
        <x:v>Pièces décrites, murs, portes, niveaux et mobilier inspectables à l’échelle. Volumes réservés, raccord au seed, butin, rencontres et services de campagne restent à terminer.</x:v>
      </x:c>
    </x:row>
    <x:row r="1217" ht="96" customHeight="1">
      <x:c r="A1217" s="115" t="str">
        <x:v>EXT-MONDE-T025-V12</x:v>
      </x:c>
      <x:c r="B1217" s="115" t="str">
        <x:v>EXT-MONDE-T025</x:v>
      </x:c>
      <x:c r="C1217" s="115" t="str">
        <x:v>Fermes cultures</x:v>
      </x:c>
      <x:c r="D1217" s="115" t="str">
        <x:v>Exploitation céréalière</x:v>
      </x:c>
      <x:c r="E1217" s="115" t="n">
        <x:v>12</x:v>
      </x:c>
      <x:c r="F1217" s="115" t="str">
        <x:v>Inspection physique</x:v>
      </x:c>
      <x:c r="G1217" s="115" t="str">
        <x:v>1 niveaux ; 26 pièces ; 198 segments de mur ; 0 transitions. Inspection physique ; architecture complète encore ouverte.</x:v>
      </x:c>
      <x:c r="H1217" s="115" t="str">
        <x:v>L 280 ; l 248 ; hauteur 10,2 m ; choix de composition auteur ; dimensions réelles à documenter</x:v>
      </x:c>
      <x:c r="I1217" s="115" t="str">
        <x:v>À équilibrer</x:v>
      </x:c>
      <x:c r="J1217" s="115" t="str">
        <x:v>Non</x:v>
      </x:c>
      <x:c r="K1217" s="115" t="str">
        <x:v>Pièces décrites, murs, portes, niveaux et mobilier inspectables à l’échelle. Volumes réservés, raccord au seed, butin, rencontres et services de campagne restent à terminer.</x:v>
      </x:c>
    </x:row>
    <x:row r="1218" ht="96" customHeight="1">
      <x:c r="A1218" s="115" t="str">
        <x:v>EXT-MONDE-T025-V13</x:v>
      </x:c>
      <x:c r="B1218" s="115" t="str">
        <x:v>EXT-MONDE-T025</x:v>
      </x:c>
      <x:c r="C1218" s="115" t="str">
        <x:v>Fermes cultures</x:v>
      </x:c>
      <x:c r="D1218" s="115" t="str">
        <x:v>Exploitation céréalière</x:v>
      </x:c>
      <x:c r="E1218" s="115" t="n">
        <x:v>13</x:v>
      </x:c>
      <x:c r="F1218" s="115" t="str">
        <x:v>Inspection physique</x:v>
      </x:c>
      <x:c r="G1218" s="115" t="str">
        <x:v>1 niveaux ; 26 pièces ; 198 segments de mur ; 0 transitions. Inspection physique ; architecture complète encore ouverte.</x:v>
      </x:c>
      <x:c r="H1218" s="115" t="str">
        <x:v>L 280 ; l 248 ; hauteur 10,2 m ; choix de composition auteur ; dimensions réelles à documenter</x:v>
      </x:c>
      <x:c r="I1218" s="115" t="str">
        <x:v>À équilibrer</x:v>
      </x:c>
      <x:c r="J1218" s="115" t="str">
        <x:v>Non</x:v>
      </x:c>
      <x:c r="K1218" s="115" t="str">
        <x:v>Pièces décrites, murs, portes, niveaux et mobilier inspectables à l’échelle. Volumes réservés, raccord au seed, butin, rencontres et services de campagne restent à terminer.</x:v>
      </x:c>
    </x:row>
    <x:row r="1219" ht="96" customHeight="1">
      <x:c r="A1219" s="115" t="str">
        <x:v>EXT-MONDE-T025-V14</x:v>
      </x:c>
      <x:c r="B1219" s="115" t="str">
        <x:v>EXT-MONDE-T025</x:v>
      </x:c>
      <x:c r="C1219" s="115" t="str">
        <x:v>Fermes cultures</x:v>
      </x:c>
      <x:c r="D1219" s="115" t="str">
        <x:v>Exploitation céréalière</x:v>
      </x:c>
      <x:c r="E1219" s="115" t="n">
        <x:v>14</x:v>
      </x:c>
      <x:c r="F1219" s="115" t="str">
        <x:v>Inspection physique</x:v>
      </x:c>
      <x:c r="G1219" s="115" t="str">
        <x:v>1 niveaux ; 26 pièces ; 198 segments de mur ; 0 transitions. Inspection physique ; architecture complète encore ouverte.</x:v>
      </x:c>
      <x:c r="H1219" s="115" t="str">
        <x:v>L 280 ; l 248 ; hauteur 10,2 m ; choix de composition auteur ; dimensions réelles à documenter</x:v>
      </x:c>
      <x:c r="I1219" s="115" t="str">
        <x:v>À équilibrer</x:v>
      </x:c>
      <x:c r="J1219" s="115" t="str">
        <x:v>Non</x:v>
      </x:c>
      <x:c r="K1219" s="115" t="str">
        <x:v>Pièces décrites, murs, portes, niveaux et mobilier inspectables à l’échelle. Volumes réservés, raccord au seed, butin, rencontres et services de campagne restent à terminer.</x:v>
      </x:c>
    </x:row>
    <x:row r="1220" ht="96" customHeight="1">
      <x:c r="A1220" s="115" t="str">
        <x:v>EXT-MONDE-T025-V15</x:v>
      </x:c>
      <x:c r="B1220" s="115" t="str">
        <x:v>EXT-MONDE-T025</x:v>
      </x:c>
      <x:c r="C1220" s="115" t="str">
        <x:v>Fermes cultures</x:v>
      </x:c>
      <x:c r="D1220" s="115" t="str">
        <x:v>Exploitation céréalière</x:v>
      </x:c>
      <x:c r="E1220" s="115" t="n">
        <x:v>15</x:v>
      </x:c>
      <x:c r="F1220" s="115" t="str">
        <x:v>Inspection physique</x:v>
      </x:c>
      <x:c r="G1220" s="115" t="str">
        <x:v>1 niveaux ; 26 pièces ; 198 segments de mur ; 0 transitions. Inspection physique ; architecture complète encore ouverte.</x:v>
      </x:c>
      <x:c r="H1220" s="115" t="str">
        <x:v>L 280 ; l 248 ; hauteur 10,2 m ; choix de composition auteur ; dimensions réelles à documenter</x:v>
      </x:c>
      <x:c r="I1220" s="115" t="str">
        <x:v>À équilibrer</x:v>
      </x:c>
      <x:c r="J1220" s="115" t="str">
        <x:v>Non</x:v>
      </x:c>
      <x:c r="K1220" s="115" t="str">
        <x:v>Pièces décrites, murs, portes, niveaux et mobilier inspectables à l’échelle. Volumes réservés, raccord au seed, butin, rencontres et services de campagne restent à terminer.</x:v>
      </x:c>
    </x:row>
    <x:row r="1221" ht="96" customHeight="1">
      <x:c r="A1221" s="115" t="str">
        <x:v>EXT-MONDE-T025-V16</x:v>
      </x:c>
      <x:c r="B1221" s="115" t="str">
        <x:v>EXT-MONDE-T025</x:v>
      </x:c>
      <x:c r="C1221" s="115" t="str">
        <x:v>Fermes cultures</x:v>
      </x:c>
      <x:c r="D1221" s="115" t="str">
        <x:v>Exploitation céréalière</x:v>
      </x:c>
      <x:c r="E1221" s="115" t="n">
        <x:v>16</x:v>
      </x:c>
      <x:c r="F1221" s="115" t="str">
        <x:v>Inspection physique</x:v>
      </x:c>
      <x:c r="G1221" s="115" t="str">
        <x:v>1 niveaux ; 26 pièces ; 198 segments de mur ; 0 transitions. Inspection physique ; architecture complète encore ouverte.</x:v>
      </x:c>
      <x:c r="H1221" s="115" t="str">
        <x:v>L 280 ; l 248 ; hauteur 10,2 m ; choix de composition auteur ; dimensions réelles à documenter</x:v>
      </x:c>
      <x:c r="I1221" s="115" t="str">
        <x:v>À équilibrer</x:v>
      </x:c>
      <x:c r="J1221" s="115" t="str">
        <x:v>Non</x:v>
      </x:c>
      <x:c r="K1221" s="115" t="str">
        <x:v>Pièces décrites, murs, portes, niveaux et mobilier inspectables à l’échelle. Volumes réservés, raccord au seed, butin, rencontres et services de campagne restent à terminer.</x:v>
      </x:c>
    </x:row>
    <x:row r="1222" ht="96" customHeight="1">
      <x:c r="A1222" s="115" t="str">
        <x:v>EXT-MONDE-T025-V17</x:v>
      </x:c>
      <x:c r="B1222" s="115" t="str">
        <x:v>EXT-MONDE-T025</x:v>
      </x:c>
      <x:c r="C1222" s="115" t="str">
        <x:v>Fermes cultures</x:v>
      </x:c>
      <x:c r="D1222" s="115" t="str">
        <x:v>Exploitation céréalière</x:v>
      </x:c>
      <x:c r="E1222" s="115" t="n">
        <x:v>17</x:v>
      </x:c>
      <x:c r="F1222" s="115" t="str">
        <x:v>Inspection physique</x:v>
      </x:c>
      <x:c r="G1222" s="115" t="str">
        <x:v>1 niveaux ; 26 pièces ; 198 segments de mur ; 0 transitions. Inspection physique ; architecture complète encore ouverte.</x:v>
      </x:c>
      <x:c r="H1222" s="115" t="str">
        <x:v>L 280 ; l 248 ; hauteur 10,2 m ; choix de composition auteur ; dimensions réelles à documenter</x:v>
      </x:c>
      <x:c r="I1222" s="115" t="str">
        <x:v>À équilibrer</x:v>
      </x:c>
      <x:c r="J1222" s="115" t="str">
        <x:v>Non</x:v>
      </x:c>
      <x:c r="K1222" s="115" t="str">
        <x:v>Pièces décrites, murs, portes, niveaux et mobilier inspectables à l’échelle. Volumes réservés, raccord au seed, butin, rencontres et services de campagne restent à terminer.</x:v>
      </x:c>
    </x:row>
    <x:row r="1223" ht="96" customHeight="1">
      <x:c r="A1223" s="115" t="str">
        <x:v>EXT-MONDE-T025-V18</x:v>
      </x:c>
      <x:c r="B1223" s="115" t="str">
        <x:v>EXT-MONDE-T025</x:v>
      </x:c>
      <x:c r="C1223" s="115" t="str">
        <x:v>Fermes cultures</x:v>
      </x:c>
      <x:c r="D1223" s="115" t="str">
        <x:v>Exploitation céréalière</x:v>
      </x:c>
      <x:c r="E1223" s="115" t="n">
        <x:v>18</x:v>
      </x:c>
      <x:c r="F1223" s="115" t="str">
        <x:v>Inspection physique</x:v>
      </x:c>
      <x:c r="G1223" s="115" t="str">
        <x:v>1 niveaux ; 26 pièces ; 198 segments de mur ; 0 transitions. Inspection physique ; architecture complète encore ouverte.</x:v>
      </x:c>
      <x:c r="H1223" s="115" t="str">
        <x:v>L 280 ; l 248 ; hauteur 10,2 m ; choix de composition auteur ; dimensions réelles à documenter</x:v>
      </x:c>
      <x:c r="I1223" s="115" t="str">
        <x:v>À équilibrer</x:v>
      </x:c>
      <x:c r="J1223" s="115" t="str">
        <x:v>Non</x:v>
      </x:c>
      <x:c r="K1223" s="115" t="str">
        <x:v>Pièces décrites, murs, portes, niveaux et mobilier inspectables à l’échelle. Volumes réservés, raccord au seed, butin, rencontres et services de campagne restent à terminer.</x:v>
      </x:c>
    </x:row>
    <x:row r="1224" ht="96" customHeight="1">
      <x:c r="A1224" s="115" t="str">
        <x:v>EXT-MONDE-T025-V19</x:v>
      </x:c>
      <x:c r="B1224" s="115" t="str">
        <x:v>EXT-MONDE-T025</x:v>
      </x:c>
      <x:c r="C1224" s="115" t="str">
        <x:v>Fermes cultures</x:v>
      </x:c>
      <x:c r="D1224" s="115" t="str">
        <x:v>Exploitation céréalière</x:v>
      </x:c>
      <x:c r="E1224" s="115" t="n">
        <x:v>19</x:v>
      </x:c>
      <x:c r="F1224" s="115" t="str">
        <x:v>Inspection physique</x:v>
      </x:c>
      <x:c r="G1224" s="115" t="str">
        <x:v>1 niveaux ; 26 pièces ; 198 segments de mur ; 0 transitions. Inspection physique ; architecture complète encore ouverte.</x:v>
      </x:c>
      <x:c r="H1224" s="115" t="str">
        <x:v>L 280 ; l 248 ; hauteur 10,2 m ; choix de composition auteur ; dimensions réelles à documenter</x:v>
      </x:c>
      <x:c r="I1224" s="115" t="str">
        <x:v>À équilibrer</x:v>
      </x:c>
      <x:c r="J1224" s="115" t="str">
        <x:v>Non</x:v>
      </x:c>
      <x:c r="K1224" s="115" t="str">
        <x:v>Pièces décrites, murs, portes, niveaux et mobilier inspectables à l’échelle. Volumes réservés, raccord au seed, butin, rencontres et services de campagne restent à terminer.</x:v>
      </x:c>
    </x:row>
    <x:row r="1225" ht="96" customHeight="1">
      <x:c r="A1225" s="115" t="str">
        <x:v>EXT-MONDE-T025-V20</x:v>
      </x:c>
      <x:c r="B1225" s="115" t="str">
        <x:v>EXT-MONDE-T025</x:v>
      </x:c>
      <x:c r="C1225" s="115" t="str">
        <x:v>Fermes cultures</x:v>
      </x:c>
      <x:c r="D1225" s="115" t="str">
        <x:v>Exploitation céréalière</x:v>
      </x:c>
      <x:c r="E1225" s="115" t="n">
        <x:v>20</x:v>
      </x:c>
      <x:c r="F1225" s="115" t="str">
        <x:v>Inspection physique</x:v>
      </x:c>
      <x:c r="G1225" s="115" t="str">
        <x:v>1 niveaux ; 26 pièces ; 198 segments de mur ; 0 transitions. Inspection physique ; architecture complète encore ouverte.</x:v>
      </x:c>
      <x:c r="H1225" s="115" t="str">
        <x:v>L 280 ; l 248 ; hauteur 10,2 m ; choix de composition auteur ; dimensions réelles à documenter</x:v>
      </x:c>
      <x:c r="I1225" s="115" t="str">
        <x:v>À équilibrer</x:v>
      </x:c>
      <x:c r="J1225" s="115" t="str">
        <x:v>Non</x:v>
      </x:c>
      <x:c r="K1225" s="115" t="str">
        <x:v>Pièces décrites, murs, portes, niveaux et mobilier inspectables à l’échelle. Volumes réservés, raccord au seed, butin, rencontres et services de campagne restent à terminer.</x:v>
      </x:c>
    </x:row>
    <x:row r="1226" ht="96" customHeight="1">
      <x:c r="A1226" s="115" t="str">
        <x:v>EXT-MONDE-T025-V21</x:v>
      </x:c>
      <x:c r="B1226" s="115" t="str">
        <x:v>EXT-MONDE-T025</x:v>
      </x:c>
      <x:c r="C1226" s="115" t="str">
        <x:v>Fermes cultures</x:v>
      </x:c>
      <x:c r="D1226" s="115" t="str">
        <x:v>Exploitation céréalière</x:v>
      </x:c>
      <x:c r="E1226" s="115" t="n">
        <x:v>21</x:v>
      </x:c>
      <x:c r="F1226" s="115" t="str">
        <x:v>Inspection physique</x:v>
      </x:c>
      <x:c r="G1226" s="115" t="str">
        <x:v>1 niveaux ; 26 pièces ; 198 segments de mur ; 0 transitions. Inspection physique ; architecture complète encore ouverte.</x:v>
      </x:c>
      <x:c r="H1226" s="115" t="str">
        <x:v>L 300 ; l 272 ; hauteur 10,2 m ; choix de composition auteur ; dimensions réelles à documenter</x:v>
      </x:c>
      <x:c r="I1226" s="115" t="str">
        <x:v>À équilibrer</x:v>
      </x:c>
      <x:c r="J1226" s="115" t="str">
        <x:v>Non</x:v>
      </x:c>
      <x:c r="K1226" s="115" t="str">
        <x:v>Pièces décrites, murs, portes, niveaux et mobilier inspectables à l’échelle. Volumes réservés, raccord au seed, butin, rencontres et services de campagne restent à terminer.</x:v>
      </x:c>
    </x:row>
    <x:row r="1227" ht="96" customHeight="1">
      <x:c r="A1227" s="115" t="str">
        <x:v>EXT-MONDE-T025-V22</x:v>
      </x:c>
      <x:c r="B1227" s="115" t="str">
        <x:v>EXT-MONDE-T025</x:v>
      </x:c>
      <x:c r="C1227" s="115" t="str">
        <x:v>Fermes cultures</x:v>
      </x:c>
      <x:c r="D1227" s="115" t="str">
        <x:v>Exploitation céréalière</x:v>
      </x:c>
      <x:c r="E1227" s="115" t="n">
        <x:v>22</x:v>
      </x:c>
      <x:c r="F1227" s="115" t="str">
        <x:v>Inspection physique</x:v>
      </x:c>
      <x:c r="G1227" s="115" t="str">
        <x:v>1 niveaux ; 26 pièces ; 198 segments de mur ; 0 transitions. Inspection physique ; architecture complète encore ouverte.</x:v>
      </x:c>
      <x:c r="H1227" s="115" t="str">
        <x:v>L 300 ; l 272 ; hauteur 10,2 m ; choix de composition auteur ; dimensions réelles à documenter</x:v>
      </x:c>
      <x:c r="I1227" s="115" t="str">
        <x:v>À équilibrer</x:v>
      </x:c>
      <x:c r="J1227" s="115" t="str">
        <x:v>Non</x:v>
      </x:c>
      <x:c r="K1227" s="115" t="str">
        <x:v>Pièces décrites, murs, portes, niveaux et mobilier inspectables à l’échelle. Volumes réservés, raccord au seed, butin, rencontres et services de campagne restent à terminer.</x:v>
      </x:c>
    </x:row>
    <x:row r="1228" ht="96" customHeight="1">
      <x:c r="A1228" s="115" t="str">
        <x:v>EXT-MONDE-T025-V23</x:v>
      </x:c>
      <x:c r="B1228" s="115" t="str">
        <x:v>EXT-MONDE-T025</x:v>
      </x:c>
      <x:c r="C1228" s="115" t="str">
        <x:v>Fermes cultures</x:v>
      </x:c>
      <x:c r="D1228" s="115" t="str">
        <x:v>Exploitation céréalière</x:v>
      </x:c>
      <x:c r="E1228" s="115" t="n">
        <x:v>23</x:v>
      </x:c>
      <x:c r="F1228" s="115" t="str">
        <x:v>Inspection physique</x:v>
      </x:c>
      <x:c r="G1228" s="115" t="str">
        <x:v>1 niveaux ; 26 pièces ; 198 segments de mur ; 0 transitions. Inspection physique ; architecture complète encore ouverte.</x:v>
      </x:c>
      <x:c r="H1228" s="115" t="str">
        <x:v>L 300 ; l 272 ; hauteur 10,2 m ; choix de composition auteur ; dimensions réelles à documenter</x:v>
      </x:c>
      <x:c r="I1228" s="115" t="str">
        <x:v>À équilibrer</x:v>
      </x:c>
      <x:c r="J1228" s="115" t="str">
        <x:v>Non</x:v>
      </x:c>
      <x:c r="K1228" s="115" t="str">
        <x:v>Pièces décrites, murs, portes, niveaux et mobilier inspectables à l’échelle. Volumes réservés, raccord au seed, butin, rencontres et services de campagne restent à terminer.</x:v>
      </x:c>
    </x:row>
    <x:row r="1229" ht="96" customHeight="1">
      <x:c r="A1229" s="115" t="str">
        <x:v>EXT-MONDE-T025-V24</x:v>
      </x:c>
      <x:c r="B1229" s="115" t="str">
        <x:v>EXT-MONDE-T025</x:v>
      </x:c>
      <x:c r="C1229" s="115" t="str">
        <x:v>Fermes cultures</x:v>
      </x:c>
      <x:c r="D1229" s="115" t="str">
        <x:v>Exploitation céréalière</x:v>
      </x:c>
      <x:c r="E1229" s="115" t="n">
        <x:v>24</x:v>
      </x:c>
      <x:c r="F1229" s="115" t="str">
        <x:v>Inspection physique</x:v>
      </x:c>
      <x:c r="G1229" s="115" t="str">
        <x:v>1 niveaux ; 26 pièces ; 198 segments de mur ; 0 transitions. Inspection physique ; architecture complète encore ouverte.</x:v>
      </x:c>
      <x:c r="H1229" s="115" t="str">
        <x:v>L 300 ; l 272 ; hauteur 10,2 m ; choix de composition auteur ; dimensions réelles à documenter</x:v>
      </x:c>
      <x:c r="I1229" s="115" t="str">
        <x:v>À équilibrer</x:v>
      </x:c>
      <x:c r="J1229" s="115" t="str">
        <x:v>Non</x:v>
      </x:c>
      <x:c r="K1229" s="115" t="str">
        <x:v>Pièces décrites, murs, portes, niveaux et mobilier inspectables à l’échelle. Volumes réservés, raccord au seed, butin, rencontres et services de campagne restent à terminer.</x:v>
      </x:c>
    </x:row>
    <x:row r="1230" ht="96" customHeight="1">
      <x:c r="A1230" s="115" t="str">
        <x:v>EXT-MONDE-T025-V25</x:v>
      </x:c>
      <x:c r="B1230" s="115" t="str">
        <x:v>EXT-MONDE-T025</x:v>
      </x:c>
      <x:c r="C1230" s="115" t="str">
        <x:v>Fermes cultures</x:v>
      </x:c>
      <x:c r="D1230" s="115" t="str">
        <x:v>Exploitation céréalière</x:v>
      </x:c>
      <x:c r="E1230" s="115" t="n">
        <x:v>25</x:v>
      </x:c>
      <x:c r="F1230" s="115" t="str">
        <x:v>Inspection physique</x:v>
      </x:c>
      <x:c r="G1230" s="115" t="str">
        <x:v>1 niveaux ; 26 pièces ; 198 segments de mur ; 0 transitions. Inspection physique ; architecture complète encore ouverte.</x:v>
      </x:c>
      <x:c r="H1230" s="115" t="str">
        <x:v>L 300 ; l 272 ; hauteur 10,2 m ; choix de composition auteur ; dimensions réelles à documenter</x:v>
      </x:c>
      <x:c r="I1230" s="115" t="str">
        <x:v>À équilibrer</x:v>
      </x:c>
      <x:c r="J1230" s="115" t="str">
        <x:v>Non</x:v>
      </x:c>
      <x:c r="K1230" s="115" t="str">
        <x:v>Pièces décrites, murs, portes, niveaux et mobilier inspectables à l’échelle. Volumes réservés, raccord au seed, butin, rencontres et services de campagne restent à terminer.</x:v>
      </x:c>
    </x:row>
    <x:row r="1231" ht="96" customHeight="1">
      <x:c r="A1231" s="115" t="str">
        <x:v>EXT-MONDE-T025-V26</x:v>
      </x:c>
      <x:c r="B1231" s="115" t="str">
        <x:v>EXT-MONDE-T025</x:v>
      </x:c>
      <x:c r="C1231" s="115" t="str">
        <x:v>Fermes cultures</x:v>
      </x:c>
      <x:c r="D1231" s="115" t="str">
        <x:v>Exploitation céréalière</x:v>
      </x:c>
      <x:c r="E1231" s="115" t="n">
        <x:v>26</x:v>
      </x:c>
      <x:c r="F1231" s="115" t="str">
        <x:v>Inspection physique</x:v>
      </x:c>
      <x:c r="G1231" s="115" t="str">
        <x:v>1 niveaux ; 26 pièces ; 198 segments de mur ; 0 transitions. Inspection physique ; architecture complète encore ouverte.</x:v>
      </x:c>
      <x:c r="H1231" s="115" t="str">
        <x:v>L 300 ; l 272 ; hauteur 10,2 m ; choix de composition auteur ; dimensions réelles à documenter</x:v>
      </x:c>
      <x:c r="I1231" s="115" t="str">
        <x:v>À équilibrer</x:v>
      </x:c>
      <x:c r="J1231" s="115" t="str">
        <x:v>Non</x:v>
      </x:c>
      <x:c r="K1231" s="115" t="str">
        <x:v>Pièces décrites, murs, portes, niveaux et mobilier inspectables à l’échelle. Volumes réservés, raccord au seed, butin, rencontres et services de campagne restent à terminer.</x:v>
      </x:c>
    </x:row>
    <x:row r="1232" ht="96" customHeight="1">
      <x:c r="A1232" s="115" t="str">
        <x:v>EXT-MONDE-T025-V27</x:v>
      </x:c>
      <x:c r="B1232" s="115" t="str">
        <x:v>EXT-MONDE-T025</x:v>
      </x:c>
      <x:c r="C1232" s="115" t="str">
        <x:v>Fermes cultures</x:v>
      </x:c>
      <x:c r="D1232" s="115" t="str">
        <x:v>Exploitation céréalière</x:v>
      </x:c>
      <x:c r="E1232" s="115" t="n">
        <x:v>27</x:v>
      </x:c>
      <x:c r="F1232" s="115" t="str">
        <x:v>Inspection physique</x:v>
      </x:c>
      <x:c r="G1232" s="115" t="str">
        <x:v>1 niveaux ; 26 pièces ; 198 segments de mur ; 0 transitions. Inspection physique ; architecture complète encore ouverte.</x:v>
      </x:c>
      <x:c r="H1232" s="115" t="str">
        <x:v>L 300 ; l 272 ; hauteur 10,2 m ; choix de composition auteur ; dimensions réelles à documenter</x:v>
      </x:c>
      <x:c r="I1232" s="115" t="str">
        <x:v>À équilibrer</x:v>
      </x:c>
      <x:c r="J1232" s="115" t="str">
        <x:v>Non</x:v>
      </x:c>
      <x:c r="K1232" s="115" t="str">
        <x:v>Pièces décrites, murs, portes, niveaux et mobilier inspectables à l’échelle. Volumes réservés, raccord au seed, butin, rencontres et services de campagne restent à terminer.</x:v>
      </x:c>
    </x:row>
    <x:row r="1233" ht="96" customHeight="1">
      <x:c r="A1233" s="115" t="str">
        <x:v>EXT-MONDE-T025-V28</x:v>
      </x:c>
      <x:c r="B1233" s="115" t="str">
        <x:v>EXT-MONDE-T025</x:v>
      </x:c>
      <x:c r="C1233" s="115" t="str">
        <x:v>Fermes cultures</x:v>
      </x:c>
      <x:c r="D1233" s="115" t="str">
        <x:v>Exploitation céréalière</x:v>
      </x:c>
      <x:c r="E1233" s="115" t="n">
        <x:v>28</x:v>
      </x:c>
      <x:c r="F1233" s="115" t="str">
        <x:v>Inspection physique</x:v>
      </x:c>
      <x:c r="G1233" s="115" t="str">
        <x:v>1 niveaux ; 26 pièces ; 198 segments de mur ; 0 transitions. Inspection physique ; architecture complète encore ouverte.</x:v>
      </x:c>
      <x:c r="H1233" s="115" t="str">
        <x:v>L 300 ; l 272 ; hauteur 10,2 m ; choix de composition auteur ; dimensions réelles à documenter</x:v>
      </x:c>
      <x:c r="I1233" s="115" t="str">
        <x:v>À équilibrer</x:v>
      </x:c>
      <x:c r="J1233" s="115" t="str">
        <x:v>Non</x:v>
      </x:c>
      <x:c r="K1233" s="115" t="str">
        <x:v>Pièces décrites, murs, portes, niveaux et mobilier inspectables à l’échelle. Volumes réservés, raccord au seed, butin, rencontres et services de campagne restent à terminer.</x:v>
      </x:c>
    </x:row>
    <x:row r="1234" ht="96" customHeight="1">
      <x:c r="A1234" s="115" t="str">
        <x:v>EXT-MONDE-T025-V29</x:v>
      </x:c>
      <x:c r="B1234" s="115" t="str">
        <x:v>EXT-MONDE-T025</x:v>
      </x:c>
      <x:c r="C1234" s="115" t="str">
        <x:v>Fermes cultures</x:v>
      </x:c>
      <x:c r="D1234" s="115" t="str">
        <x:v>Exploitation céréalière</x:v>
      </x:c>
      <x:c r="E1234" s="115" t="n">
        <x:v>29</x:v>
      </x:c>
      <x:c r="F1234" s="115" t="str">
        <x:v>Inspection physique</x:v>
      </x:c>
      <x:c r="G1234" s="115" t="str">
        <x:v>1 niveaux ; 26 pièces ; 198 segments de mur ; 0 transitions. Inspection physique ; architecture complète encore ouverte.</x:v>
      </x:c>
      <x:c r="H1234" s="115" t="str">
        <x:v>L 300 ; l 272 ; hauteur 10,2 m ; choix de composition auteur ; dimensions réelles à documenter</x:v>
      </x:c>
      <x:c r="I1234" s="115" t="str">
        <x:v>À équilibrer</x:v>
      </x:c>
      <x:c r="J1234" s="115" t="str">
        <x:v>Non</x:v>
      </x:c>
      <x:c r="K1234" s="115" t="str">
        <x:v>Pièces décrites, murs, portes, niveaux et mobilier inspectables à l’échelle. Volumes réservés, raccord au seed, butin, rencontres et services de campagne restent à terminer.</x:v>
      </x:c>
    </x:row>
    <x:row r="1235" ht="96" customHeight="1">
      <x:c r="A1235" s="115" t="str">
        <x:v>EXT-MONDE-T025-V30</x:v>
      </x:c>
      <x:c r="B1235" s="115" t="str">
        <x:v>EXT-MONDE-T025</x:v>
      </x:c>
      <x:c r="C1235" s="115" t="str">
        <x:v>Fermes cultures</x:v>
      </x:c>
      <x:c r="D1235" s="115" t="str">
        <x:v>Exploitation céréalière</x:v>
      </x:c>
      <x:c r="E1235" s="115" t="n">
        <x:v>30</x:v>
      </x:c>
      <x:c r="F1235" s="115" t="str">
        <x:v>Inspection physique</x:v>
      </x:c>
      <x:c r="G1235" s="115" t="str">
        <x:v>1 niveaux ; 26 pièces ; 198 segments de mur ; 0 transitions. Inspection physique ; architecture complète encore ouverte.</x:v>
      </x:c>
      <x:c r="H1235" s="115" t="str">
        <x:v>L 300 ; l 272 ; hauteur 10,2 m ; choix de composition auteur ; dimensions réelles à documenter</x:v>
      </x:c>
      <x:c r="I1235" s="115" t="str">
        <x:v>À équilibrer</x:v>
      </x:c>
      <x:c r="J1235" s="115" t="str">
        <x:v>Non</x:v>
      </x:c>
      <x:c r="K1235" s="115" t="str">
        <x:v>Pièces décrites, murs, portes, niveaux et mobilier inspectables à l’échelle. Volumes réservés, raccord au seed, butin, rencontres et services de campagne restent à terminer.</x:v>
      </x:c>
    </x:row>
    <x:row r="1236" ht="96" customHeight="1">
      <x:c r="A1236" s="115" t="str">
        <x:v>EXT-MONDE-T025-V31</x:v>
      </x:c>
      <x:c r="B1236" s="115" t="str">
        <x:v>EXT-MONDE-T025</x:v>
      </x:c>
      <x:c r="C1236" s="115" t="str">
        <x:v>Fermes cultures</x:v>
      </x:c>
      <x:c r="D1236" s="115" t="str">
        <x:v>Exploitation céréalière</x:v>
      </x:c>
      <x:c r="E1236" s="115" t="n">
        <x:v>31</x:v>
      </x:c>
      <x:c r="F1236" s="115" t="str">
        <x:v>Inspection physique</x:v>
      </x:c>
      <x:c r="G1236" s="115" t="str">
        <x:v>1 niveaux ; 26 pièces ; 198 segments de mur ; 0 transitions. Inspection physique ; architecture complète encore ouverte.</x:v>
      </x:c>
      <x:c r="H1236" s="115" t="str">
        <x:v>L 320 ; l 296 ; hauteur 10,2 m ; choix de composition auteur ; dimensions réelles à documenter</x:v>
      </x:c>
      <x:c r="I1236" s="115" t="str">
        <x:v>À équilibrer</x:v>
      </x:c>
      <x:c r="J1236" s="115" t="str">
        <x:v>Non</x:v>
      </x:c>
      <x:c r="K1236" s="115" t="str">
        <x:v>Pièces décrites, murs, portes, niveaux et mobilier inspectables à l’échelle. Volumes réservés, raccord au seed, butin, rencontres et services de campagne restent à terminer.</x:v>
      </x:c>
    </x:row>
    <x:row r="1237" ht="96" customHeight="1">
      <x:c r="A1237" s="115" t="str">
        <x:v>EXT-MONDE-T025-V32</x:v>
      </x:c>
      <x:c r="B1237" s="115" t="str">
        <x:v>EXT-MONDE-T025</x:v>
      </x:c>
      <x:c r="C1237" s="115" t="str">
        <x:v>Fermes cultures</x:v>
      </x:c>
      <x:c r="D1237" s="115" t="str">
        <x:v>Exploitation céréalière</x:v>
      </x:c>
      <x:c r="E1237" s="115" t="n">
        <x:v>32</x:v>
      </x:c>
      <x:c r="F1237" s="115" t="str">
        <x:v>Inspection physique</x:v>
      </x:c>
      <x:c r="G1237" s="115" t="str">
        <x:v>1 niveaux ; 26 pièces ; 198 segments de mur ; 0 transitions. Inspection physique ; architecture complète encore ouverte.</x:v>
      </x:c>
      <x:c r="H1237" s="115" t="str">
        <x:v>L 320 ; l 296 ; hauteur 10,2 m ; choix de composition auteur ; dimensions réelles à documenter</x:v>
      </x:c>
      <x:c r="I1237" s="115" t="str">
        <x:v>À équilibrer</x:v>
      </x:c>
      <x:c r="J1237" s="115" t="str">
        <x:v>Non</x:v>
      </x:c>
      <x:c r="K1237" s="115" t="str">
        <x:v>Pièces décrites, murs, portes, niveaux et mobilier inspectables à l’échelle. Volumes réservés, raccord au seed, butin, rencontres et services de campagne restent à terminer.</x:v>
      </x:c>
    </x:row>
    <x:row r="1238" ht="96" customHeight="1">
      <x:c r="A1238" s="115" t="str">
        <x:v>EXT-MONDE-T025-V33</x:v>
      </x:c>
      <x:c r="B1238" s="115" t="str">
        <x:v>EXT-MONDE-T025</x:v>
      </x:c>
      <x:c r="C1238" s="115" t="str">
        <x:v>Fermes cultures</x:v>
      </x:c>
      <x:c r="D1238" s="115" t="str">
        <x:v>Exploitation céréalière</x:v>
      </x:c>
      <x:c r="E1238" s="115" t="n">
        <x:v>33</x:v>
      </x:c>
      <x:c r="F1238" s="115" t="str">
        <x:v>Inspection physique</x:v>
      </x:c>
      <x:c r="G1238" s="115" t="str">
        <x:v>1 niveaux ; 26 pièces ; 198 segments de mur ; 0 transitions. Inspection physique ; architecture complète encore ouverte.</x:v>
      </x:c>
      <x:c r="H1238" s="115" t="str">
        <x:v>L 320 ; l 296 ; hauteur 10,2 m ; choix de composition auteur ; dimensions réelles à documenter</x:v>
      </x:c>
      <x:c r="I1238" s="115" t="str">
        <x:v>À équilibrer</x:v>
      </x:c>
      <x:c r="J1238" s="115" t="str">
        <x:v>Non</x:v>
      </x:c>
      <x:c r="K1238" s="115" t="str">
        <x:v>Pièces décrites, murs, portes, niveaux et mobilier inspectables à l’échelle. Volumes réservés, raccord au seed, butin, rencontres et services de campagne restent à terminer.</x:v>
      </x:c>
    </x:row>
    <x:row r="1239" ht="96" customHeight="1">
      <x:c r="A1239" s="115" t="str">
        <x:v>EXT-MONDE-T025-V34</x:v>
      </x:c>
      <x:c r="B1239" s="115" t="str">
        <x:v>EXT-MONDE-T025</x:v>
      </x:c>
      <x:c r="C1239" s="115" t="str">
        <x:v>Fermes cultures</x:v>
      </x:c>
      <x:c r="D1239" s="115" t="str">
        <x:v>Exploitation céréalière</x:v>
      </x:c>
      <x:c r="E1239" s="115" t="n">
        <x:v>34</x:v>
      </x:c>
      <x:c r="F1239" s="115" t="str">
        <x:v>Inspection physique</x:v>
      </x:c>
      <x:c r="G1239" s="115" t="str">
        <x:v>1 niveaux ; 26 pièces ; 198 segments de mur ; 0 transitions. Inspection physique ; architecture complète encore ouverte.</x:v>
      </x:c>
      <x:c r="H1239" s="115" t="str">
        <x:v>L 320 ; l 296 ; hauteur 10,2 m ; choix de composition auteur ; dimensions réelles à documenter</x:v>
      </x:c>
      <x:c r="I1239" s="115" t="str">
        <x:v>À équilibrer</x:v>
      </x:c>
      <x:c r="J1239" s="115" t="str">
        <x:v>Non</x:v>
      </x:c>
      <x:c r="K1239" s="115" t="str">
        <x:v>Pièces décrites, murs, portes, niveaux et mobilier inspectables à l’échelle. Volumes réservés, raccord au seed, butin, rencontres et services de campagne restent à terminer.</x:v>
      </x:c>
    </x:row>
    <x:row r="1240" ht="96" customHeight="1">
      <x:c r="A1240" s="115" t="str">
        <x:v>EXT-MONDE-T025-V35</x:v>
      </x:c>
      <x:c r="B1240" s="115" t="str">
        <x:v>EXT-MONDE-T025</x:v>
      </x:c>
      <x:c r="C1240" s="115" t="str">
        <x:v>Fermes cultures</x:v>
      </x:c>
      <x:c r="D1240" s="115" t="str">
        <x:v>Exploitation céréalière</x:v>
      </x:c>
      <x:c r="E1240" s="115" t="n">
        <x:v>35</x:v>
      </x:c>
      <x:c r="F1240" s="115" t="str">
        <x:v>Inspection physique</x:v>
      </x:c>
      <x:c r="G1240" s="115" t="str">
        <x:v>1 niveaux ; 26 pièces ; 198 segments de mur ; 0 transitions. Inspection physique ; architecture complète encore ouverte.</x:v>
      </x:c>
      <x:c r="H1240" s="115" t="str">
        <x:v>L 320 ; l 296 ; hauteur 10,2 m ; choix de composition auteur ; dimensions réelles à documenter</x:v>
      </x:c>
      <x:c r="I1240" s="115" t="str">
        <x:v>À équilibrer</x:v>
      </x:c>
      <x:c r="J1240" s="115" t="str">
        <x:v>Non</x:v>
      </x:c>
      <x:c r="K1240" s="115" t="str">
        <x:v>Pièces décrites, murs, portes, niveaux et mobilier inspectables à l’échelle. Volumes réservés, raccord au seed, butin, rencontres et services de campagne restent à terminer.</x:v>
      </x:c>
    </x:row>
    <x:row r="1241" ht="96" customHeight="1">
      <x:c r="A1241" s="115" t="str">
        <x:v>EXT-MONDE-T025-V36</x:v>
      </x:c>
      <x:c r="B1241" s="115" t="str">
        <x:v>EXT-MONDE-T025</x:v>
      </x:c>
      <x:c r="C1241" s="115" t="str">
        <x:v>Fermes cultures</x:v>
      </x:c>
      <x:c r="D1241" s="115" t="str">
        <x:v>Exploitation céréalière</x:v>
      </x:c>
      <x:c r="E1241" s="115" t="n">
        <x:v>36</x:v>
      </x:c>
      <x:c r="F1241" s="115" t="str">
        <x:v>Inspection physique</x:v>
      </x:c>
      <x:c r="G1241" s="115" t="str">
        <x:v>1 niveaux ; 26 pièces ; 198 segments de mur ; 0 transitions. Inspection physique ; architecture complète encore ouverte.</x:v>
      </x:c>
      <x:c r="H1241" s="115" t="str">
        <x:v>L 320 ; l 296 ; hauteur 10,2 m ; choix de composition auteur ; dimensions réelles à documenter</x:v>
      </x:c>
      <x:c r="I1241" s="115" t="str">
        <x:v>À équilibrer</x:v>
      </x:c>
      <x:c r="J1241" s="115" t="str">
        <x:v>Non</x:v>
      </x:c>
      <x:c r="K1241" s="115" t="str">
        <x:v>Pièces décrites, murs, portes, niveaux et mobilier inspectables à l’échelle. Volumes réservés, raccord au seed, butin, rencontres et services de campagne restent à terminer.</x:v>
      </x:c>
    </x:row>
    <x:row r="1242" ht="96" customHeight="1">
      <x:c r="A1242" s="115" t="str">
        <x:v>EXT-MONDE-T025-V37</x:v>
      </x:c>
      <x:c r="B1242" s="115" t="str">
        <x:v>EXT-MONDE-T025</x:v>
      </x:c>
      <x:c r="C1242" s="115" t="str">
        <x:v>Fermes cultures</x:v>
      </x:c>
      <x:c r="D1242" s="115" t="str">
        <x:v>Exploitation céréalière</x:v>
      </x:c>
      <x:c r="E1242" s="115" t="n">
        <x:v>37</x:v>
      </x:c>
      <x:c r="F1242" s="115" t="str">
        <x:v>Inspection physique</x:v>
      </x:c>
      <x:c r="G1242" s="115" t="str">
        <x:v>1 niveaux ; 26 pièces ; 198 segments de mur ; 0 transitions. Inspection physique ; architecture complète encore ouverte.</x:v>
      </x:c>
      <x:c r="H1242" s="115" t="str">
        <x:v>L 320 ; l 296 ; hauteur 10,2 m ; choix de composition auteur ; dimensions réelles à documenter</x:v>
      </x:c>
      <x:c r="I1242" s="115" t="str">
        <x:v>À équilibrer</x:v>
      </x:c>
      <x:c r="J1242" s="115" t="str">
        <x:v>Non</x:v>
      </x:c>
      <x:c r="K1242" s="115" t="str">
        <x:v>Pièces décrites, murs, portes, niveaux et mobilier inspectables à l’échelle. Volumes réservés, raccord au seed, butin, rencontres et services de campagne restent à terminer.</x:v>
      </x:c>
    </x:row>
    <x:row r="1243" ht="96" customHeight="1">
      <x:c r="A1243" s="115" t="str">
        <x:v>EXT-MONDE-T025-V38</x:v>
      </x:c>
      <x:c r="B1243" s="115" t="str">
        <x:v>EXT-MONDE-T025</x:v>
      </x:c>
      <x:c r="C1243" s="115" t="str">
        <x:v>Fermes cultures</x:v>
      </x:c>
      <x:c r="D1243" s="115" t="str">
        <x:v>Exploitation céréalière</x:v>
      </x:c>
      <x:c r="E1243" s="115" t="n">
        <x:v>38</x:v>
      </x:c>
      <x:c r="F1243" s="115" t="str">
        <x:v>Inspection physique</x:v>
      </x:c>
      <x:c r="G1243" s="115" t="str">
        <x:v>1 niveaux ; 26 pièces ; 198 segments de mur ; 0 transitions. Inspection physique ; architecture complète encore ouverte.</x:v>
      </x:c>
      <x:c r="H1243" s="115" t="str">
        <x:v>L 320 ; l 296 ; hauteur 10,2 m ; choix de composition auteur ; dimensions réelles à documenter</x:v>
      </x:c>
      <x:c r="I1243" s="115" t="str">
        <x:v>À équilibrer</x:v>
      </x:c>
      <x:c r="J1243" s="115" t="str">
        <x:v>Non</x:v>
      </x:c>
      <x:c r="K1243" s="115" t="str">
        <x:v>Pièces décrites, murs, portes, niveaux et mobilier inspectables à l’échelle. Volumes réservés, raccord au seed, butin, rencontres et services de campagne restent à terminer.</x:v>
      </x:c>
    </x:row>
    <x:row r="1244" ht="96" customHeight="1">
      <x:c r="A1244" s="115" t="str">
        <x:v>EXT-MONDE-T025-V39</x:v>
      </x:c>
      <x:c r="B1244" s="115" t="str">
        <x:v>EXT-MONDE-T025</x:v>
      </x:c>
      <x:c r="C1244" s="115" t="str">
        <x:v>Fermes cultures</x:v>
      </x:c>
      <x:c r="D1244" s="115" t="str">
        <x:v>Exploitation céréalière</x:v>
      </x:c>
      <x:c r="E1244" s="115" t="n">
        <x:v>39</x:v>
      </x:c>
      <x:c r="F1244" s="115" t="str">
        <x:v>Inspection physique</x:v>
      </x:c>
      <x:c r="G1244" s="115" t="str">
        <x:v>1 niveaux ; 26 pièces ; 198 segments de mur ; 0 transitions. Inspection physique ; architecture complète encore ouverte.</x:v>
      </x:c>
      <x:c r="H1244" s="115" t="str">
        <x:v>L 320 ; l 296 ; hauteur 10,2 m ; choix de composition auteur ; dimensions réelles à documenter</x:v>
      </x:c>
      <x:c r="I1244" s="115" t="str">
        <x:v>À équilibrer</x:v>
      </x:c>
      <x:c r="J1244" s="115" t="str">
        <x:v>Non</x:v>
      </x:c>
      <x:c r="K1244" s="115" t="str">
        <x:v>Pièces décrites, murs, portes, niveaux et mobilier inspectables à l’échelle. Volumes réservés, raccord au seed, butin, rencontres et services de campagne restent à terminer.</x:v>
      </x:c>
    </x:row>
    <x:row r="1245" ht="96" customHeight="1">
      <x:c r="A1245" s="115" t="str">
        <x:v>EXT-MONDE-T025-V40</x:v>
      </x:c>
      <x:c r="B1245" s="115" t="str">
        <x:v>EXT-MONDE-T025</x:v>
      </x:c>
      <x:c r="C1245" s="115" t="str">
        <x:v>Fermes cultures</x:v>
      </x:c>
      <x:c r="D1245" s="115" t="str">
        <x:v>Exploitation céréalière</x:v>
      </x:c>
      <x:c r="E1245" s="115" t="n">
        <x:v>40</x:v>
      </x:c>
      <x:c r="F1245" s="115" t="str">
        <x:v>Inspection physique</x:v>
      </x:c>
      <x:c r="G1245" s="115" t="str">
        <x:v>1 niveaux ; 26 pièces ; 198 segments de mur ; 0 transitions. Inspection physique ; architecture complète encore ouverte.</x:v>
      </x:c>
      <x:c r="H1245" s="115" t="str">
        <x:v>L 320 ; l 296 ; hauteur 10,2 m ; choix de composition auteur ; dimensions réelles à documenter</x:v>
      </x:c>
      <x:c r="I1245" s="115" t="str">
        <x:v>À équilibrer</x:v>
      </x:c>
      <x:c r="J1245" s="115" t="str">
        <x:v>Non</x:v>
      </x:c>
      <x:c r="K1245" s="115" t="str">
        <x:v>Pièces décrites, murs, portes, niveaux et mobilier inspectables à l’échelle. Volumes réservés, raccord au seed, butin, rencontres et services de campagne restent à terminer.</x:v>
      </x:c>
    </x:row>
    <x:row r="1246" ht="96" customHeight="1">
      <x:c r="A1246" s="115" t="str">
        <x:v>EXT-MONDE-T025-V41</x:v>
      </x:c>
      <x:c r="B1246" s="115" t="str">
        <x:v>EXT-MONDE-T025</x:v>
      </x:c>
      <x:c r="C1246" s="115" t="str">
        <x:v>Fermes cultures</x:v>
      </x:c>
      <x:c r="D1246" s="115" t="str">
        <x:v>Exploitation céréalière</x:v>
      </x:c>
      <x:c r="E1246" s="115" t="n">
        <x:v>41</x:v>
      </x:c>
      <x:c r="F1246" s="115" t="str">
        <x:v>Inspection physique</x:v>
      </x:c>
      <x:c r="G1246" s="115" t="str">
        <x:v>1 niveaux ; 26 pièces ; 198 segments de mur ; 0 transitions. Inspection physique ; architecture complète encore ouverte.</x:v>
      </x:c>
      <x:c r="H1246" s="115" t="str">
        <x:v>L 340 ; l 320 ; hauteur 10,2 m ; choix de composition auteur ; dimensions réelles à documenter</x:v>
      </x:c>
      <x:c r="I1246" s="115" t="str">
        <x:v>À équilibrer</x:v>
      </x:c>
      <x:c r="J1246" s="115" t="str">
        <x:v>Non</x:v>
      </x:c>
      <x:c r="K1246" s="115" t="str">
        <x:v>Pièces décrites, murs, portes, niveaux et mobilier inspectables à l’échelle. Volumes réservés, raccord au seed, butin, rencontres et services de campagne restent à terminer.</x:v>
      </x:c>
    </x:row>
    <x:row r="1247" ht="96" customHeight="1">
      <x:c r="A1247" s="115" t="str">
        <x:v>EXT-MONDE-T025-V42</x:v>
      </x:c>
      <x:c r="B1247" s="115" t="str">
        <x:v>EXT-MONDE-T025</x:v>
      </x:c>
      <x:c r="C1247" s="115" t="str">
        <x:v>Fermes cultures</x:v>
      </x:c>
      <x:c r="D1247" s="115" t="str">
        <x:v>Exploitation céréalière</x:v>
      </x:c>
      <x:c r="E1247" s="115" t="n">
        <x:v>42</x:v>
      </x:c>
      <x:c r="F1247" s="115" t="str">
        <x:v>Inspection physique</x:v>
      </x:c>
      <x:c r="G1247" s="115" t="str">
        <x:v>1 niveaux ; 26 pièces ; 198 segments de mur ; 0 transitions. Inspection physique ; architecture complète encore ouverte.</x:v>
      </x:c>
      <x:c r="H1247" s="115" t="str">
        <x:v>L 340 ; l 320 ; hauteur 10,2 m ; choix de composition auteur ; dimensions réelles à documenter</x:v>
      </x:c>
      <x:c r="I1247" s="115" t="str">
        <x:v>À équilibrer</x:v>
      </x:c>
      <x:c r="J1247" s="115" t="str">
        <x:v>Non</x:v>
      </x:c>
      <x:c r="K1247" s="115" t="str">
        <x:v>Pièces décrites, murs, portes, niveaux et mobilier inspectables à l’échelle. Volumes réservés, raccord au seed, butin, rencontres et services de campagne restent à terminer.</x:v>
      </x:c>
    </x:row>
    <x:row r="1248" ht="96" customHeight="1">
      <x:c r="A1248" s="115" t="str">
        <x:v>EXT-MONDE-T025-V43</x:v>
      </x:c>
      <x:c r="B1248" s="115" t="str">
        <x:v>EXT-MONDE-T025</x:v>
      </x:c>
      <x:c r="C1248" s="115" t="str">
        <x:v>Fermes cultures</x:v>
      </x:c>
      <x:c r="D1248" s="115" t="str">
        <x:v>Exploitation céréalière</x:v>
      </x:c>
      <x:c r="E1248" s="115" t="n">
        <x:v>43</x:v>
      </x:c>
      <x:c r="F1248" s="115" t="str">
        <x:v>Inspection physique</x:v>
      </x:c>
      <x:c r="G1248" s="115" t="str">
        <x:v>1 niveaux ; 26 pièces ; 198 segments de mur ; 0 transitions. Inspection physique ; architecture complète encore ouverte.</x:v>
      </x:c>
      <x:c r="H1248" s="115" t="str">
        <x:v>L 340 ; l 320 ; hauteur 10,2 m ; choix de composition auteur ; dimensions réelles à documenter</x:v>
      </x:c>
      <x:c r="I1248" s="115" t="str">
        <x:v>À équilibrer</x:v>
      </x:c>
      <x:c r="J1248" s="115" t="str">
        <x:v>Non</x:v>
      </x:c>
      <x:c r="K1248" s="115" t="str">
        <x:v>Pièces décrites, murs, portes, niveaux et mobilier inspectables à l’échelle. Volumes réservés, raccord au seed, butin, rencontres et services de campagne restent à terminer.</x:v>
      </x:c>
    </x:row>
    <x:row r="1249" ht="96" customHeight="1">
      <x:c r="A1249" s="115" t="str">
        <x:v>EXT-MONDE-T025-V44</x:v>
      </x:c>
      <x:c r="B1249" s="115" t="str">
        <x:v>EXT-MONDE-T025</x:v>
      </x:c>
      <x:c r="C1249" s="115" t="str">
        <x:v>Fermes cultures</x:v>
      </x:c>
      <x:c r="D1249" s="115" t="str">
        <x:v>Exploitation céréalière</x:v>
      </x:c>
      <x:c r="E1249" s="115" t="n">
        <x:v>44</x:v>
      </x:c>
      <x:c r="F1249" s="115" t="str">
        <x:v>Inspection physique</x:v>
      </x:c>
      <x:c r="G1249" s="115" t="str">
        <x:v>1 niveaux ; 26 pièces ; 198 segments de mur ; 0 transitions. Inspection physique ; architecture complète encore ouverte.</x:v>
      </x:c>
      <x:c r="H1249" s="115" t="str">
        <x:v>L 340 ; l 320 ; hauteur 10,2 m ; choix de composition auteur ; dimensions réelles à documenter</x:v>
      </x:c>
      <x:c r="I1249" s="115" t="str">
        <x:v>À équilibrer</x:v>
      </x:c>
      <x:c r="J1249" s="115" t="str">
        <x:v>Non</x:v>
      </x:c>
      <x:c r="K1249" s="115" t="str">
        <x:v>Pièces décrites, murs, portes, niveaux et mobilier inspectables à l’échelle. Volumes réservés, raccord au seed, butin, rencontres et services de campagne restent à terminer.</x:v>
      </x:c>
    </x:row>
    <x:row r="1250" ht="96" customHeight="1">
      <x:c r="A1250" s="115" t="str">
        <x:v>EXT-MONDE-T025-V45</x:v>
      </x:c>
      <x:c r="B1250" s="115" t="str">
        <x:v>EXT-MONDE-T025</x:v>
      </x:c>
      <x:c r="C1250" s="115" t="str">
        <x:v>Fermes cultures</x:v>
      </x:c>
      <x:c r="D1250" s="115" t="str">
        <x:v>Exploitation céréalière</x:v>
      </x:c>
      <x:c r="E1250" s="115" t="n">
        <x:v>45</x:v>
      </x:c>
      <x:c r="F1250" s="115" t="str">
        <x:v>Inspection physique</x:v>
      </x:c>
      <x:c r="G1250" s="115" t="str">
        <x:v>1 niveaux ; 26 pièces ; 198 segments de mur ; 0 transitions. Inspection physique ; architecture complète encore ouverte.</x:v>
      </x:c>
      <x:c r="H1250" s="115" t="str">
        <x:v>L 340 ; l 320 ; hauteur 10,2 m ; choix de composition auteur ; dimensions réelles à documenter</x:v>
      </x:c>
      <x:c r="I1250" s="115" t="str">
        <x:v>À équilibrer</x:v>
      </x:c>
      <x:c r="J1250" s="115" t="str">
        <x:v>Non</x:v>
      </x:c>
      <x:c r="K1250" s="115" t="str">
        <x:v>Pièces décrites, murs, portes, niveaux et mobilier inspectables à l’échelle. Volumes réservés, raccord au seed, butin, rencontres et services de campagne restent à terminer.</x:v>
      </x:c>
    </x:row>
    <x:row r="1251" ht="96" customHeight="1">
      <x:c r="A1251" s="115" t="str">
        <x:v>EXT-MONDE-T025-V46</x:v>
      </x:c>
      <x:c r="B1251" s="115" t="str">
        <x:v>EXT-MONDE-T025</x:v>
      </x:c>
      <x:c r="C1251" s="115" t="str">
        <x:v>Fermes cultures</x:v>
      </x:c>
      <x:c r="D1251" s="115" t="str">
        <x:v>Exploitation céréalière</x:v>
      </x:c>
      <x:c r="E1251" s="115" t="n">
        <x:v>46</x:v>
      </x:c>
      <x:c r="F1251" s="115" t="str">
        <x:v>Inspection physique</x:v>
      </x:c>
      <x:c r="G1251" s="115" t="str">
        <x:v>1 niveaux ; 26 pièces ; 198 segments de mur ; 0 transitions. Inspection physique ; architecture complète encore ouverte.</x:v>
      </x:c>
      <x:c r="H1251" s="115" t="str">
        <x:v>L 340 ; l 320 ; hauteur 10,2 m ; choix de composition auteur ; dimensions réelles à documenter</x:v>
      </x:c>
      <x:c r="I1251" s="115" t="str">
        <x:v>À équilibrer</x:v>
      </x:c>
      <x:c r="J1251" s="115" t="str">
        <x:v>Non</x:v>
      </x:c>
      <x:c r="K1251" s="115" t="str">
        <x:v>Pièces décrites, murs, portes, niveaux et mobilier inspectables à l’échelle. Volumes réservés, raccord au seed, butin, rencontres et services de campagne restent à terminer.</x:v>
      </x:c>
    </x:row>
    <x:row r="1252" ht="96" customHeight="1">
      <x:c r="A1252" s="115" t="str">
        <x:v>EXT-MONDE-T025-V47</x:v>
      </x:c>
      <x:c r="B1252" s="115" t="str">
        <x:v>EXT-MONDE-T025</x:v>
      </x:c>
      <x:c r="C1252" s="115" t="str">
        <x:v>Fermes cultures</x:v>
      </x:c>
      <x:c r="D1252" s="115" t="str">
        <x:v>Exploitation céréalière</x:v>
      </x:c>
      <x:c r="E1252" s="115" t="n">
        <x:v>47</x:v>
      </x:c>
      <x:c r="F1252" s="115" t="str">
        <x:v>Inspection physique</x:v>
      </x:c>
      <x:c r="G1252" s="115" t="str">
        <x:v>1 niveaux ; 26 pièces ; 198 segments de mur ; 0 transitions. Inspection physique ; architecture complète encore ouverte.</x:v>
      </x:c>
      <x:c r="H1252" s="115" t="str">
        <x:v>L 340 ; l 320 ; hauteur 10,2 m ; choix de composition auteur ; dimensions réelles à documenter</x:v>
      </x:c>
      <x:c r="I1252" s="115" t="str">
        <x:v>À équilibrer</x:v>
      </x:c>
      <x:c r="J1252" s="115" t="str">
        <x:v>Non</x:v>
      </x:c>
      <x:c r="K1252" s="115" t="str">
        <x:v>Pièces décrites, murs, portes, niveaux et mobilier inspectables à l’échelle. Volumes réservés, raccord au seed, butin, rencontres et services de campagne restent à terminer.</x:v>
      </x:c>
    </x:row>
    <x:row r="1253" ht="96" customHeight="1">
      <x:c r="A1253" s="115" t="str">
        <x:v>EXT-MONDE-T025-V48</x:v>
      </x:c>
      <x:c r="B1253" s="115" t="str">
        <x:v>EXT-MONDE-T025</x:v>
      </x:c>
      <x:c r="C1253" s="115" t="str">
        <x:v>Fermes cultures</x:v>
      </x:c>
      <x:c r="D1253" s="115" t="str">
        <x:v>Exploitation céréalière</x:v>
      </x:c>
      <x:c r="E1253" s="115" t="n">
        <x:v>48</x:v>
      </x:c>
      <x:c r="F1253" s="115" t="str">
        <x:v>Inspection physique</x:v>
      </x:c>
      <x:c r="G1253" s="115" t="str">
        <x:v>1 niveaux ; 26 pièces ; 198 segments de mur ; 0 transitions. Inspection physique ; architecture complète encore ouverte.</x:v>
      </x:c>
      <x:c r="H1253" s="115" t="str">
        <x:v>L 340 ; l 320 ; hauteur 10,2 m ; choix de composition auteur ; dimensions réelles à documenter</x:v>
      </x:c>
      <x:c r="I1253" s="115" t="str">
        <x:v>À équilibrer</x:v>
      </x:c>
      <x:c r="J1253" s="115" t="str">
        <x:v>Non</x:v>
      </x:c>
      <x:c r="K1253" s="115" t="str">
        <x:v>Pièces décrites, murs, portes, niveaux et mobilier inspectables à l’échelle. Volumes réservés, raccord au seed, butin, rencontres et services de campagne restent à terminer.</x:v>
      </x:c>
    </x:row>
    <x:row r="1254" ht="96" customHeight="1">
      <x:c r="A1254" s="115" t="str">
        <x:v>EXT-MONDE-T025-V49</x:v>
      </x:c>
      <x:c r="B1254" s="115" t="str">
        <x:v>EXT-MONDE-T025</x:v>
      </x:c>
      <x:c r="C1254" s="115" t="str">
        <x:v>Fermes cultures</x:v>
      </x:c>
      <x:c r="D1254" s="115" t="str">
        <x:v>Exploitation céréalière</x:v>
      </x:c>
      <x:c r="E1254" s="115" t="n">
        <x:v>49</x:v>
      </x:c>
      <x:c r="F1254" s="115" t="str">
        <x:v>Inspection physique</x:v>
      </x:c>
      <x:c r="G1254" s="115" t="str">
        <x:v>1 niveaux ; 26 pièces ; 198 segments de mur ; 0 transitions. Inspection physique ; architecture complète encore ouverte.</x:v>
      </x:c>
      <x:c r="H1254" s="115" t="str">
        <x:v>L 340 ; l 320 ; hauteur 10,2 m ; choix de composition auteur ; dimensions réelles à documenter</x:v>
      </x:c>
      <x:c r="I1254" s="115" t="str">
        <x:v>À équilibrer</x:v>
      </x:c>
      <x:c r="J1254" s="115" t="str">
        <x:v>Non</x:v>
      </x:c>
      <x:c r="K1254" s="115" t="str">
        <x:v>Pièces décrites, murs, portes, niveaux et mobilier inspectables à l’échelle. Volumes réservés, raccord au seed, butin, rencontres et services de campagne restent à terminer.</x:v>
      </x:c>
    </x:row>
    <x:row r="1255" ht="96" customHeight="1">
      <x:c r="A1255" s="115" t="str">
        <x:v>EXT-MONDE-T025-V50</x:v>
      </x:c>
      <x:c r="B1255" s="115" t="str">
        <x:v>EXT-MONDE-T025</x:v>
      </x:c>
      <x:c r="C1255" s="115" t="str">
        <x:v>Fermes cultures</x:v>
      </x:c>
      <x:c r="D1255" s="115" t="str">
        <x:v>Exploitation céréalière</x:v>
      </x:c>
      <x:c r="E1255" s="115" t="n">
        <x:v>50</x:v>
      </x:c>
      <x:c r="F1255" s="115" t="str">
        <x:v>Inspection physique</x:v>
      </x:c>
      <x:c r="G1255" s="115" t="str">
        <x:v>1 niveaux ; 26 pièces ; 198 segments de mur ; 0 transitions. Inspection physique ; architecture complète encore ouverte.</x:v>
      </x:c>
      <x:c r="H1255" s="115" t="str">
        <x:v>L 340 ; l 320 ; hauteur 10,2 m ; choix de composition auteur ; dimensions réelles à documenter</x:v>
      </x:c>
      <x:c r="I1255" s="115" t="str">
        <x:v>À équilibrer</x:v>
      </x:c>
      <x:c r="J1255" s="115" t="str">
        <x:v>Non</x:v>
      </x:c>
      <x:c r="K1255" s="115" t="str">
        <x:v>Pièces décrites, murs, portes, niveaux et mobilier inspectables à l’échelle. Volumes réservés, raccord au seed, butin, rencontres et services de campagne restent à terminer.</x:v>
      </x:c>
    </x:row>
    <x:row r="1256" ht="96" customHeight="1">
      <x:c r="A1256" s="115" t="str">
        <x:v>EXT-MONDE-T026-V01</x:v>
      </x:c>
      <x:c r="B1256" s="115" t="str">
        <x:v>EXT-MONDE-T026</x:v>
      </x:c>
      <x:c r="C1256" s="115" t="str">
        <x:v>Fermes cultures</x:v>
      </x:c>
      <x:c r="D1256" s="115" t="str">
        <x:v>Domaine viticole</x:v>
      </x:c>
      <x:c r="E1256" s="115" t="n">
        <x:v>1</x:v>
      </x:c>
      <x:c r="F1256" s="115" t="str">
        <x:v>Inspection physique</x:v>
      </x:c>
      <x:c r="G1256" s="115" t="str">
        <x:v>1 niveaux ; 26 pièces ; 198 segments de mur ; 0 transitions. Inspection physique ; architecture complète encore ouverte.</x:v>
      </x:c>
      <x:c r="H1256" s="115" t="str">
        <x:v>L 260 ; l 224 ; hauteur 6,5 m ; choix de composition auteur ; dimensions réelles à documenter</x:v>
      </x:c>
      <x:c r="I1256" s="115" t="str">
        <x:v>À équilibrer</x:v>
      </x:c>
      <x:c r="J1256" s="115" t="str">
        <x:v>Non</x:v>
      </x:c>
      <x:c r="K1256" s="115" t="str">
        <x:v>Pièces décrites, murs, portes, niveaux et mobilier inspectables à l’échelle. Volumes réservés, raccord au seed, butin, rencontres et services de campagne restent à terminer.</x:v>
      </x:c>
    </x:row>
    <x:row r="1257" ht="96" customHeight="1">
      <x:c r="A1257" s="115" t="str">
        <x:v>EXT-MONDE-T026-V02</x:v>
      </x:c>
      <x:c r="B1257" s="115" t="str">
        <x:v>EXT-MONDE-T026</x:v>
      </x:c>
      <x:c r="C1257" s="115" t="str">
        <x:v>Fermes cultures</x:v>
      </x:c>
      <x:c r="D1257" s="115" t="str">
        <x:v>Domaine viticole</x:v>
      </x:c>
      <x:c r="E1257" s="115" t="n">
        <x:v>2</x:v>
      </x:c>
      <x:c r="F1257" s="115" t="str">
        <x:v>Inspection physique</x:v>
      </x:c>
      <x:c r="G1257" s="115" t="str">
        <x:v>1 niveaux ; 26 pièces ; 198 segments de mur ; 0 transitions. Inspection physique ; architecture complète encore ouverte.</x:v>
      </x:c>
      <x:c r="H1257" s="115" t="str">
        <x:v>L 260 ; l 224 ; hauteur 6,5 m ; choix de composition auteur ; dimensions réelles à documenter</x:v>
      </x:c>
      <x:c r="I1257" s="115" t="str">
        <x:v>À équilibrer</x:v>
      </x:c>
      <x:c r="J1257" s="115" t="str">
        <x:v>Non</x:v>
      </x:c>
      <x:c r="K1257" s="115" t="str">
        <x:v>Pièces décrites, murs, portes, niveaux et mobilier inspectables à l’échelle. Volumes réservés, raccord au seed, butin, rencontres et services de campagne restent à terminer.</x:v>
      </x:c>
    </x:row>
    <x:row r="1258" ht="96" customHeight="1">
      <x:c r="A1258" s="115" t="str">
        <x:v>EXT-MONDE-T026-V03</x:v>
      </x:c>
      <x:c r="B1258" s="115" t="str">
        <x:v>EXT-MONDE-T026</x:v>
      </x:c>
      <x:c r="C1258" s="115" t="str">
        <x:v>Fermes cultures</x:v>
      </x:c>
      <x:c r="D1258" s="115" t="str">
        <x:v>Domaine viticole</x:v>
      </x:c>
      <x:c r="E1258" s="115" t="n">
        <x:v>3</x:v>
      </x:c>
      <x:c r="F1258" s="115" t="str">
        <x:v>Inspection physique</x:v>
      </x:c>
      <x:c r="G1258" s="115" t="str">
        <x:v>1 niveaux ; 26 pièces ; 198 segments de mur ; 0 transitions. Inspection physique ; architecture complète encore ouverte.</x:v>
      </x:c>
      <x:c r="H1258" s="115" t="str">
        <x:v>L 260 ; l 224 ; hauteur 6,5 m ; choix de composition auteur ; dimensions réelles à documenter</x:v>
      </x:c>
      <x:c r="I1258" s="115" t="str">
        <x:v>À équilibrer</x:v>
      </x:c>
      <x:c r="J1258" s="115" t="str">
        <x:v>Non</x:v>
      </x:c>
      <x:c r="K1258" s="115" t="str">
        <x:v>Pièces décrites, murs, portes, niveaux et mobilier inspectables à l’échelle. Volumes réservés, raccord au seed, butin, rencontres et services de campagne restent à terminer.</x:v>
      </x:c>
    </x:row>
    <x:row r="1259" ht="96" customHeight="1">
      <x:c r="A1259" s="115" t="str">
        <x:v>EXT-MONDE-T026-V04</x:v>
      </x:c>
      <x:c r="B1259" s="115" t="str">
        <x:v>EXT-MONDE-T026</x:v>
      </x:c>
      <x:c r="C1259" s="115" t="str">
        <x:v>Fermes cultures</x:v>
      </x:c>
      <x:c r="D1259" s="115" t="str">
        <x:v>Domaine viticole</x:v>
      </x:c>
      <x:c r="E1259" s="115" t="n">
        <x:v>4</x:v>
      </x:c>
      <x:c r="F1259" s="115" t="str">
        <x:v>Inspection physique</x:v>
      </x:c>
      <x:c r="G1259" s="115" t="str">
        <x:v>1 niveaux ; 26 pièces ; 198 segments de mur ; 0 transitions. Inspection physique ; architecture complète encore ouverte.</x:v>
      </x:c>
      <x:c r="H1259" s="115" t="str">
        <x:v>L 260 ; l 224 ; hauteur 6,5 m ; choix de composition auteur ; dimensions réelles à documenter</x:v>
      </x:c>
      <x:c r="I1259" s="115" t="str">
        <x:v>À équilibrer</x:v>
      </x:c>
      <x:c r="J1259" s="115" t="str">
        <x:v>Non</x:v>
      </x:c>
      <x:c r="K1259" s="115" t="str">
        <x:v>Pièces décrites, murs, portes, niveaux et mobilier inspectables à l’échelle. Volumes réservés, raccord au seed, butin, rencontres et services de campagne restent à terminer.</x:v>
      </x:c>
    </x:row>
    <x:row r="1260" ht="96" customHeight="1">
      <x:c r="A1260" s="115" t="str">
        <x:v>EXT-MONDE-T026-V05</x:v>
      </x:c>
      <x:c r="B1260" s="115" t="str">
        <x:v>EXT-MONDE-T026</x:v>
      </x:c>
      <x:c r="C1260" s="115" t="str">
        <x:v>Fermes cultures</x:v>
      </x:c>
      <x:c r="D1260" s="115" t="str">
        <x:v>Domaine viticole</x:v>
      </x:c>
      <x:c r="E1260" s="115" t="n">
        <x:v>5</x:v>
      </x:c>
      <x:c r="F1260" s="115" t="str">
        <x:v>Inspection physique</x:v>
      </x:c>
      <x:c r="G1260" s="115" t="str">
        <x:v>1 niveaux ; 26 pièces ; 198 segments de mur ; 0 transitions. Inspection physique ; architecture complète encore ouverte.</x:v>
      </x:c>
      <x:c r="H1260" s="115" t="str">
        <x:v>L 260 ; l 224 ; hauteur 6,5 m ; choix de composition auteur ; dimensions réelles à documenter</x:v>
      </x:c>
      <x:c r="I1260" s="115" t="str">
        <x:v>À équilibrer</x:v>
      </x:c>
      <x:c r="J1260" s="115" t="str">
        <x:v>Non</x:v>
      </x:c>
      <x:c r="K1260" s="115" t="str">
        <x:v>Pièces décrites, murs, portes, niveaux et mobilier inspectables à l’échelle. Volumes réservés, raccord au seed, butin, rencontres et services de campagne restent à terminer.</x:v>
      </x:c>
    </x:row>
    <x:row r="1261" ht="96" customHeight="1">
      <x:c r="A1261" s="115" t="str">
        <x:v>EXT-MONDE-T026-V06</x:v>
      </x:c>
      <x:c r="B1261" s="115" t="str">
        <x:v>EXT-MONDE-T026</x:v>
      </x:c>
      <x:c r="C1261" s="115" t="str">
        <x:v>Fermes cultures</x:v>
      </x:c>
      <x:c r="D1261" s="115" t="str">
        <x:v>Domaine viticole</x:v>
      </x:c>
      <x:c r="E1261" s="115" t="n">
        <x:v>6</x:v>
      </x:c>
      <x:c r="F1261" s="115" t="str">
        <x:v>Inspection physique</x:v>
      </x:c>
      <x:c r="G1261" s="115" t="str">
        <x:v>1 niveaux ; 26 pièces ; 198 segments de mur ; 0 transitions. Inspection physique ; architecture complète encore ouverte.</x:v>
      </x:c>
      <x:c r="H1261" s="115" t="str">
        <x:v>L 260 ; l 224 ; hauteur 6,5 m ; choix de composition auteur ; dimensions réelles à documenter</x:v>
      </x:c>
      <x:c r="I1261" s="115" t="str">
        <x:v>À équilibrer</x:v>
      </x:c>
      <x:c r="J1261" s="115" t="str">
        <x:v>Non</x:v>
      </x:c>
      <x:c r="K1261" s="115" t="str">
        <x:v>Pièces décrites, murs, portes, niveaux et mobilier inspectables à l’échelle. Volumes réservés, raccord au seed, butin, rencontres et services de campagne restent à terminer.</x:v>
      </x:c>
    </x:row>
    <x:row r="1262" ht="96" customHeight="1">
      <x:c r="A1262" s="115" t="str">
        <x:v>EXT-MONDE-T026-V07</x:v>
      </x:c>
      <x:c r="B1262" s="115" t="str">
        <x:v>EXT-MONDE-T026</x:v>
      </x:c>
      <x:c r="C1262" s="115" t="str">
        <x:v>Fermes cultures</x:v>
      </x:c>
      <x:c r="D1262" s="115" t="str">
        <x:v>Domaine viticole</x:v>
      </x:c>
      <x:c r="E1262" s="115" t="n">
        <x:v>7</x:v>
      </x:c>
      <x:c r="F1262" s="115" t="str">
        <x:v>Inspection physique</x:v>
      </x:c>
      <x:c r="G1262" s="115" t="str">
        <x:v>1 niveaux ; 26 pièces ; 198 segments de mur ; 0 transitions. Inspection physique ; architecture complète encore ouverte.</x:v>
      </x:c>
      <x:c r="H1262" s="115" t="str">
        <x:v>L 260 ; l 224 ; hauteur 6,5 m ; choix de composition auteur ; dimensions réelles à documenter</x:v>
      </x:c>
      <x:c r="I1262" s="115" t="str">
        <x:v>À équilibrer</x:v>
      </x:c>
      <x:c r="J1262" s="115" t="str">
        <x:v>Non</x:v>
      </x:c>
      <x:c r="K1262" s="115" t="str">
        <x:v>Pièces décrites, murs, portes, niveaux et mobilier inspectables à l’échelle. Volumes réservés, raccord au seed, butin, rencontres et services de campagne restent à terminer.</x:v>
      </x:c>
    </x:row>
    <x:row r="1263" ht="96" customHeight="1">
      <x:c r="A1263" s="115" t="str">
        <x:v>EXT-MONDE-T026-V08</x:v>
      </x:c>
      <x:c r="B1263" s="115" t="str">
        <x:v>EXT-MONDE-T026</x:v>
      </x:c>
      <x:c r="C1263" s="115" t="str">
        <x:v>Fermes cultures</x:v>
      </x:c>
      <x:c r="D1263" s="115" t="str">
        <x:v>Domaine viticole</x:v>
      </x:c>
      <x:c r="E1263" s="115" t="n">
        <x:v>8</x:v>
      </x:c>
      <x:c r="F1263" s="115" t="str">
        <x:v>Inspection physique</x:v>
      </x:c>
      <x:c r="G1263" s="115" t="str">
        <x:v>1 niveaux ; 26 pièces ; 198 segments de mur ; 0 transitions. Inspection physique ; architecture complète encore ouverte.</x:v>
      </x:c>
      <x:c r="H1263" s="115" t="str">
        <x:v>L 260 ; l 224 ; hauteur 6,5 m ; choix de composition auteur ; dimensions réelles à documenter</x:v>
      </x:c>
      <x:c r="I1263" s="115" t="str">
        <x:v>À équilibrer</x:v>
      </x:c>
      <x:c r="J1263" s="115" t="str">
        <x:v>Non</x:v>
      </x:c>
      <x:c r="K1263" s="115" t="str">
        <x:v>Pièces décrites, murs, portes, niveaux et mobilier inspectables à l’échelle. Volumes réservés, raccord au seed, butin, rencontres et services de campagne restent à terminer.</x:v>
      </x:c>
    </x:row>
    <x:row r="1264" ht="96" customHeight="1">
      <x:c r="A1264" s="115" t="str">
        <x:v>EXT-MONDE-T026-V09</x:v>
      </x:c>
      <x:c r="B1264" s="115" t="str">
        <x:v>EXT-MONDE-T026</x:v>
      </x:c>
      <x:c r="C1264" s="115" t="str">
        <x:v>Fermes cultures</x:v>
      </x:c>
      <x:c r="D1264" s="115" t="str">
        <x:v>Domaine viticole</x:v>
      </x:c>
      <x:c r="E1264" s="115" t="n">
        <x:v>9</x:v>
      </x:c>
      <x:c r="F1264" s="115" t="str">
        <x:v>Inspection physique</x:v>
      </x:c>
      <x:c r="G1264" s="115" t="str">
        <x:v>1 niveaux ; 26 pièces ; 198 segments de mur ; 0 transitions. Inspection physique ; architecture complète encore ouverte.</x:v>
      </x:c>
      <x:c r="H1264" s="115" t="str">
        <x:v>L 260 ; l 224 ; hauteur 6,5 m ; choix de composition auteur ; dimensions réelles à documenter</x:v>
      </x:c>
      <x:c r="I1264" s="115" t="str">
        <x:v>À équilibrer</x:v>
      </x:c>
      <x:c r="J1264" s="115" t="str">
        <x:v>Non</x:v>
      </x:c>
      <x:c r="K1264" s="115" t="str">
        <x:v>Pièces décrites, murs, portes, niveaux et mobilier inspectables à l’échelle. Volumes réservés, raccord au seed, butin, rencontres et services de campagne restent à terminer.</x:v>
      </x:c>
    </x:row>
    <x:row r="1265" ht="96" customHeight="1">
      <x:c r="A1265" s="115" t="str">
        <x:v>EXT-MONDE-T026-V10</x:v>
      </x:c>
      <x:c r="B1265" s="115" t="str">
        <x:v>EXT-MONDE-T026</x:v>
      </x:c>
      <x:c r="C1265" s="115" t="str">
        <x:v>Fermes cultures</x:v>
      </x:c>
      <x:c r="D1265" s="115" t="str">
        <x:v>Domaine viticole</x:v>
      </x:c>
      <x:c r="E1265" s="115" t="n">
        <x:v>10</x:v>
      </x:c>
      <x:c r="F1265" s="115" t="str">
        <x:v>Inspection physique</x:v>
      </x:c>
      <x:c r="G1265" s="115" t="str">
        <x:v>1 niveaux ; 26 pièces ; 198 segments de mur ; 0 transitions. Inspection physique ; architecture complète encore ouverte.</x:v>
      </x:c>
      <x:c r="H1265" s="115" t="str">
        <x:v>L 260 ; l 224 ; hauteur 6,5 m ; choix de composition auteur ; dimensions réelles à documenter</x:v>
      </x:c>
      <x:c r="I1265" s="115" t="str">
        <x:v>À équilibrer</x:v>
      </x:c>
      <x:c r="J1265" s="115" t="str">
        <x:v>Non</x:v>
      </x:c>
      <x:c r="K1265" s="115" t="str">
        <x:v>Pièces décrites, murs, portes, niveaux et mobilier inspectables à l’échelle. Volumes réservés, raccord au seed, butin, rencontres et services de campagne restent à terminer.</x:v>
      </x:c>
    </x:row>
    <x:row r="1266" ht="96" customHeight="1">
      <x:c r="A1266" s="115" t="str">
        <x:v>EXT-MONDE-T026-V11</x:v>
      </x:c>
      <x:c r="B1266" s="115" t="str">
        <x:v>EXT-MONDE-T026</x:v>
      </x:c>
      <x:c r="C1266" s="115" t="str">
        <x:v>Fermes cultures</x:v>
      </x:c>
      <x:c r="D1266" s="115" t="str">
        <x:v>Domaine viticole</x:v>
      </x:c>
      <x:c r="E1266" s="115" t="n">
        <x:v>11</x:v>
      </x:c>
      <x:c r="F1266" s="115" t="str">
        <x:v>Inspection physique</x:v>
      </x:c>
      <x:c r="G1266" s="115" t="str">
        <x:v>1 niveaux ; 26 pièces ; 198 segments de mur ; 0 transitions. Inspection physique ; architecture complète encore ouverte.</x:v>
      </x:c>
      <x:c r="H1266" s="115" t="str">
        <x:v>L 280 ; l 248 ; hauteur 6,7 m ; choix de composition auteur ; dimensions réelles à documenter</x:v>
      </x:c>
      <x:c r="I1266" s="115" t="str">
        <x:v>À équilibrer</x:v>
      </x:c>
      <x:c r="J1266" s="115" t="str">
        <x:v>Non</x:v>
      </x:c>
      <x:c r="K1266" s="115" t="str">
        <x:v>Pièces décrites, murs, portes, niveaux et mobilier inspectables à l’échelle. Volumes réservés, raccord au seed, butin, rencontres et services de campagne restent à terminer.</x:v>
      </x:c>
    </x:row>
    <x:row r="1267" ht="96" customHeight="1">
      <x:c r="A1267" s="115" t="str">
        <x:v>EXT-MONDE-T026-V12</x:v>
      </x:c>
      <x:c r="B1267" s="115" t="str">
        <x:v>EXT-MONDE-T026</x:v>
      </x:c>
      <x:c r="C1267" s="115" t="str">
        <x:v>Fermes cultures</x:v>
      </x:c>
      <x:c r="D1267" s="115" t="str">
        <x:v>Domaine viticole</x:v>
      </x:c>
      <x:c r="E1267" s="115" t="n">
        <x:v>12</x:v>
      </x:c>
      <x:c r="F1267" s="115" t="str">
        <x:v>Inspection physique</x:v>
      </x:c>
      <x:c r="G1267" s="115" t="str">
        <x:v>1 niveaux ; 26 pièces ; 198 segments de mur ; 0 transitions. Inspection physique ; architecture complète encore ouverte.</x:v>
      </x:c>
      <x:c r="H1267" s="115" t="str">
        <x:v>L 280 ; l 248 ; hauteur 6,7 m ; choix de composition auteur ; dimensions réelles à documenter</x:v>
      </x:c>
      <x:c r="I1267" s="115" t="str">
        <x:v>À équilibrer</x:v>
      </x:c>
      <x:c r="J1267" s="115" t="str">
        <x:v>Non</x:v>
      </x:c>
      <x:c r="K1267" s="115" t="str">
        <x:v>Pièces décrites, murs, portes, niveaux et mobilier inspectables à l’échelle. Volumes réservés, raccord au seed, butin, rencontres et services de campagne restent à terminer.</x:v>
      </x:c>
    </x:row>
    <x:row r="1268" ht="96" customHeight="1">
      <x:c r="A1268" s="115" t="str">
        <x:v>EXT-MONDE-T026-V13</x:v>
      </x:c>
      <x:c r="B1268" s="115" t="str">
        <x:v>EXT-MONDE-T026</x:v>
      </x:c>
      <x:c r="C1268" s="115" t="str">
        <x:v>Fermes cultures</x:v>
      </x:c>
      <x:c r="D1268" s="115" t="str">
        <x:v>Domaine viticole</x:v>
      </x:c>
      <x:c r="E1268" s="115" t="n">
        <x:v>13</x:v>
      </x:c>
      <x:c r="F1268" s="115" t="str">
        <x:v>Inspection physique</x:v>
      </x:c>
      <x:c r="G1268" s="115" t="str">
        <x:v>1 niveaux ; 26 pièces ; 198 segments de mur ; 0 transitions. Inspection physique ; architecture complète encore ouverte.</x:v>
      </x:c>
      <x:c r="H1268" s="115" t="str">
        <x:v>L 280 ; l 248 ; hauteur 6,7 m ; choix de composition auteur ; dimensions réelles à documenter</x:v>
      </x:c>
      <x:c r="I1268" s="115" t="str">
        <x:v>À équilibrer</x:v>
      </x:c>
      <x:c r="J1268" s="115" t="str">
        <x:v>Non</x:v>
      </x:c>
      <x:c r="K1268" s="115" t="str">
        <x:v>Pièces décrites, murs, portes, niveaux et mobilier inspectables à l’échelle. Volumes réservés, raccord au seed, butin, rencontres et services de campagne restent à terminer.</x:v>
      </x:c>
    </x:row>
    <x:row r="1269" ht="96" customHeight="1">
      <x:c r="A1269" s="115" t="str">
        <x:v>EXT-MONDE-T026-V14</x:v>
      </x:c>
      <x:c r="B1269" s="115" t="str">
        <x:v>EXT-MONDE-T026</x:v>
      </x:c>
      <x:c r="C1269" s="115" t="str">
        <x:v>Fermes cultures</x:v>
      </x:c>
      <x:c r="D1269" s="115" t="str">
        <x:v>Domaine viticole</x:v>
      </x:c>
      <x:c r="E1269" s="115" t="n">
        <x:v>14</x:v>
      </x:c>
      <x:c r="F1269" s="115" t="str">
        <x:v>Inspection physique</x:v>
      </x:c>
      <x:c r="G1269" s="115" t="str">
        <x:v>1 niveaux ; 26 pièces ; 198 segments de mur ; 0 transitions. Inspection physique ; architecture complète encore ouverte.</x:v>
      </x:c>
      <x:c r="H1269" s="115" t="str">
        <x:v>L 280 ; l 248 ; hauteur 6,7 m ; choix de composition auteur ; dimensions réelles à documenter</x:v>
      </x:c>
      <x:c r="I1269" s="115" t="str">
        <x:v>À équilibrer</x:v>
      </x:c>
      <x:c r="J1269" s="115" t="str">
        <x:v>Non</x:v>
      </x:c>
      <x:c r="K1269" s="115" t="str">
        <x:v>Pièces décrites, murs, portes, niveaux et mobilier inspectables à l’échelle. Volumes réservés, raccord au seed, butin, rencontres et services de campagne restent à terminer.</x:v>
      </x:c>
    </x:row>
    <x:row r="1270" ht="96" customHeight="1">
      <x:c r="A1270" s="115" t="str">
        <x:v>EXT-MONDE-T026-V15</x:v>
      </x:c>
      <x:c r="B1270" s="115" t="str">
        <x:v>EXT-MONDE-T026</x:v>
      </x:c>
      <x:c r="C1270" s="115" t="str">
        <x:v>Fermes cultures</x:v>
      </x:c>
      <x:c r="D1270" s="115" t="str">
        <x:v>Domaine viticole</x:v>
      </x:c>
      <x:c r="E1270" s="115" t="n">
        <x:v>15</x:v>
      </x:c>
      <x:c r="F1270" s="115" t="str">
        <x:v>Inspection physique</x:v>
      </x:c>
      <x:c r="G1270" s="115" t="str">
        <x:v>1 niveaux ; 26 pièces ; 198 segments de mur ; 0 transitions. Inspection physique ; architecture complète encore ouverte.</x:v>
      </x:c>
      <x:c r="H1270" s="115" t="str">
        <x:v>L 280 ; l 248 ; hauteur 6,7 m ; choix de composition auteur ; dimensions réelles à documenter</x:v>
      </x:c>
      <x:c r="I1270" s="115" t="str">
        <x:v>À équilibrer</x:v>
      </x:c>
      <x:c r="J1270" s="115" t="str">
        <x:v>Non</x:v>
      </x:c>
      <x:c r="K1270" s="115" t="str">
        <x:v>Pièces décrites, murs, portes, niveaux et mobilier inspectables à l’échelle. Volumes réservés, raccord au seed, butin, rencontres et services de campagne restent à terminer.</x:v>
      </x:c>
    </x:row>
    <x:row r="1271" ht="96" customHeight="1">
      <x:c r="A1271" s="115" t="str">
        <x:v>EXT-MONDE-T026-V16</x:v>
      </x:c>
      <x:c r="B1271" s="115" t="str">
        <x:v>EXT-MONDE-T026</x:v>
      </x:c>
      <x:c r="C1271" s="115" t="str">
        <x:v>Fermes cultures</x:v>
      </x:c>
      <x:c r="D1271" s="115" t="str">
        <x:v>Domaine viticole</x:v>
      </x:c>
      <x:c r="E1271" s="115" t="n">
        <x:v>16</x:v>
      </x:c>
      <x:c r="F1271" s="115" t="str">
        <x:v>Inspection physique</x:v>
      </x:c>
      <x:c r="G1271" s="115" t="str">
        <x:v>1 niveaux ; 26 pièces ; 198 segments de mur ; 0 transitions. Inspection physique ; architecture complète encore ouverte.</x:v>
      </x:c>
      <x:c r="H1271" s="115" t="str">
        <x:v>L 280 ; l 248 ; hauteur 6,7 m ; choix de composition auteur ; dimensions réelles à documenter</x:v>
      </x:c>
      <x:c r="I1271" s="115" t="str">
        <x:v>À équilibrer</x:v>
      </x:c>
      <x:c r="J1271" s="115" t="str">
        <x:v>Non</x:v>
      </x:c>
      <x:c r="K1271" s="115" t="str">
        <x:v>Pièces décrites, murs, portes, niveaux et mobilier inspectables à l’échelle. Volumes réservés, raccord au seed, butin, rencontres et services de campagne restent à terminer.</x:v>
      </x:c>
    </x:row>
    <x:row r="1272" ht="96" customHeight="1">
      <x:c r="A1272" s="115" t="str">
        <x:v>EXT-MONDE-T026-V17</x:v>
      </x:c>
      <x:c r="B1272" s="115" t="str">
        <x:v>EXT-MONDE-T026</x:v>
      </x:c>
      <x:c r="C1272" s="115" t="str">
        <x:v>Fermes cultures</x:v>
      </x:c>
      <x:c r="D1272" s="115" t="str">
        <x:v>Domaine viticole</x:v>
      </x:c>
      <x:c r="E1272" s="115" t="n">
        <x:v>17</x:v>
      </x:c>
      <x:c r="F1272" s="115" t="str">
        <x:v>Inspection physique</x:v>
      </x:c>
      <x:c r="G1272" s="115" t="str">
        <x:v>1 niveaux ; 26 pièces ; 198 segments de mur ; 0 transitions. Inspection physique ; architecture complète encore ouverte.</x:v>
      </x:c>
      <x:c r="H1272" s="115" t="str">
        <x:v>L 280 ; l 248 ; hauteur 6,7 m ; choix de composition auteur ; dimensions réelles à documenter</x:v>
      </x:c>
      <x:c r="I1272" s="115" t="str">
        <x:v>À équilibrer</x:v>
      </x:c>
      <x:c r="J1272" s="115" t="str">
        <x:v>Non</x:v>
      </x:c>
      <x:c r="K1272" s="115" t="str">
        <x:v>Pièces décrites, murs, portes, niveaux et mobilier inspectables à l’échelle. Volumes réservés, raccord au seed, butin, rencontres et services de campagne restent à terminer.</x:v>
      </x:c>
    </x:row>
    <x:row r="1273" ht="96" customHeight="1">
      <x:c r="A1273" s="115" t="str">
        <x:v>EXT-MONDE-T026-V18</x:v>
      </x:c>
      <x:c r="B1273" s="115" t="str">
        <x:v>EXT-MONDE-T026</x:v>
      </x:c>
      <x:c r="C1273" s="115" t="str">
        <x:v>Fermes cultures</x:v>
      </x:c>
      <x:c r="D1273" s="115" t="str">
        <x:v>Domaine viticole</x:v>
      </x:c>
      <x:c r="E1273" s="115" t="n">
        <x:v>18</x:v>
      </x:c>
      <x:c r="F1273" s="115" t="str">
        <x:v>Inspection physique</x:v>
      </x:c>
      <x:c r="G1273" s="115" t="str">
        <x:v>1 niveaux ; 26 pièces ; 198 segments de mur ; 0 transitions. Inspection physique ; architecture complète encore ouverte.</x:v>
      </x:c>
      <x:c r="H1273" s="115" t="str">
        <x:v>L 280 ; l 248 ; hauteur 6,7 m ; choix de composition auteur ; dimensions réelles à documenter</x:v>
      </x:c>
      <x:c r="I1273" s="115" t="str">
        <x:v>À équilibrer</x:v>
      </x:c>
      <x:c r="J1273" s="115" t="str">
        <x:v>Non</x:v>
      </x:c>
      <x:c r="K1273" s="115" t="str">
        <x:v>Pièces décrites, murs, portes, niveaux et mobilier inspectables à l’échelle. Volumes réservés, raccord au seed, butin, rencontres et services de campagne restent à terminer.</x:v>
      </x:c>
    </x:row>
    <x:row r="1274" ht="96" customHeight="1">
      <x:c r="A1274" s="115" t="str">
        <x:v>EXT-MONDE-T026-V19</x:v>
      </x:c>
      <x:c r="B1274" s="115" t="str">
        <x:v>EXT-MONDE-T026</x:v>
      </x:c>
      <x:c r="C1274" s="115" t="str">
        <x:v>Fermes cultures</x:v>
      </x:c>
      <x:c r="D1274" s="115" t="str">
        <x:v>Domaine viticole</x:v>
      </x:c>
      <x:c r="E1274" s="115" t="n">
        <x:v>19</x:v>
      </x:c>
      <x:c r="F1274" s="115" t="str">
        <x:v>Inspection physique</x:v>
      </x:c>
      <x:c r="G1274" s="115" t="str">
        <x:v>1 niveaux ; 26 pièces ; 198 segments de mur ; 0 transitions. Inspection physique ; architecture complète encore ouverte.</x:v>
      </x:c>
      <x:c r="H1274" s="115" t="str">
        <x:v>L 280 ; l 248 ; hauteur 6,7 m ; choix de composition auteur ; dimensions réelles à documenter</x:v>
      </x:c>
      <x:c r="I1274" s="115" t="str">
        <x:v>À équilibrer</x:v>
      </x:c>
      <x:c r="J1274" s="115" t="str">
        <x:v>Non</x:v>
      </x:c>
      <x:c r="K1274" s="115" t="str">
        <x:v>Pièces décrites, murs, portes, niveaux et mobilier inspectables à l’échelle. Volumes réservés, raccord au seed, butin, rencontres et services de campagne restent à terminer.</x:v>
      </x:c>
    </x:row>
    <x:row r="1275" ht="96" customHeight="1">
      <x:c r="A1275" s="115" t="str">
        <x:v>EXT-MONDE-T026-V20</x:v>
      </x:c>
      <x:c r="B1275" s="115" t="str">
        <x:v>EXT-MONDE-T026</x:v>
      </x:c>
      <x:c r="C1275" s="115" t="str">
        <x:v>Fermes cultures</x:v>
      </x:c>
      <x:c r="D1275" s="115" t="str">
        <x:v>Domaine viticole</x:v>
      </x:c>
      <x:c r="E1275" s="115" t="n">
        <x:v>20</x:v>
      </x:c>
      <x:c r="F1275" s="115" t="str">
        <x:v>Inspection physique</x:v>
      </x:c>
      <x:c r="G1275" s="115" t="str">
        <x:v>1 niveaux ; 26 pièces ; 198 segments de mur ; 0 transitions. Inspection physique ; architecture complète encore ouverte.</x:v>
      </x:c>
      <x:c r="H1275" s="115" t="str">
        <x:v>L 280 ; l 248 ; hauteur 6,7 m ; choix de composition auteur ; dimensions réelles à documenter</x:v>
      </x:c>
      <x:c r="I1275" s="115" t="str">
        <x:v>À équilibrer</x:v>
      </x:c>
      <x:c r="J1275" s="115" t="str">
        <x:v>Non</x:v>
      </x:c>
      <x:c r="K1275" s="115" t="str">
        <x:v>Pièces décrites, murs, portes, niveaux et mobilier inspectables à l’échelle. Volumes réservés, raccord au seed, butin, rencontres et services de campagne restent à terminer.</x:v>
      </x:c>
    </x:row>
    <x:row r="1276" ht="96" customHeight="1">
      <x:c r="A1276" s="115" t="str">
        <x:v>EXT-MONDE-T026-V21</x:v>
      </x:c>
      <x:c r="B1276" s="115" t="str">
        <x:v>EXT-MONDE-T026</x:v>
      </x:c>
      <x:c r="C1276" s="115" t="str">
        <x:v>Fermes cultures</x:v>
      </x:c>
      <x:c r="D1276" s="115" t="str">
        <x:v>Domaine viticole</x:v>
      </x:c>
      <x:c r="E1276" s="115" t="n">
        <x:v>21</x:v>
      </x:c>
      <x:c r="F1276" s="115" t="str">
        <x:v>Inspection physique</x:v>
      </x:c>
      <x:c r="G1276" s="115" t="str">
        <x:v>1 niveaux ; 26 pièces ; 198 segments de mur ; 0 transitions. Inspection physique ; architecture complète encore ouverte.</x:v>
      </x:c>
      <x:c r="H1276" s="115" t="str">
        <x:v>L 300 ; l 272 ; hauteur 6,9 m ; choix de composition auteur ; dimensions réelles à documenter</x:v>
      </x:c>
      <x:c r="I1276" s="115" t="str">
        <x:v>À équilibrer</x:v>
      </x:c>
      <x:c r="J1276" s="115" t="str">
        <x:v>Non</x:v>
      </x:c>
      <x:c r="K1276" s="115" t="str">
        <x:v>Pièces décrites, murs, portes, niveaux et mobilier inspectables à l’échelle. Volumes réservés, raccord au seed, butin, rencontres et services de campagne restent à terminer.</x:v>
      </x:c>
    </x:row>
    <x:row r="1277" ht="96" customHeight="1">
      <x:c r="A1277" s="115" t="str">
        <x:v>EXT-MONDE-T026-V22</x:v>
      </x:c>
      <x:c r="B1277" s="115" t="str">
        <x:v>EXT-MONDE-T026</x:v>
      </x:c>
      <x:c r="C1277" s="115" t="str">
        <x:v>Fermes cultures</x:v>
      </x:c>
      <x:c r="D1277" s="115" t="str">
        <x:v>Domaine viticole</x:v>
      </x:c>
      <x:c r="E1277" s="115" t="n">
        <x:v>22</x:v>
      </x:c>
      <x:c r="F1277" s="115" t="str">
        <x:v>Inspection physique</x:v>
      </x:c>
      <x:c r="G1277" s="115" t="str">
        <x:v>1 niveaux ; 26 pièces ; 198 segments de mur ; 0 transitions. Inspection physique ; architecture complète encore ouverte.</x:v>
      </x:c>
      <x:c r="H1277" s="115" t="str">
        <x:v>L 300 ; l 272 ; hauteur 6,9 m ; choix de composition auteur ; dimensions réelles à documenter</x:v>
      </x:c>
      <x:c r="I1277" s="115" t="str">
        <x:v>À équilibrer</x:v>
      </x:c>
      <x:c r="J1277" s="115" t="str">
        <x:v>Non</x:v>
      </x:c>
      <x:c r="K1277" s="115" t="str">
        <x:v>Pièces décrites, murs, portes, niveaux et mobilier inspectables à l’échelle. Volumes réservés, raccord au seed, butin, rencontres et services de campagne restent à terminer.</x:v>
      </x:c>
    </x:row>
    <x:row r="1278" ht="96" customHeight="1">
      <x:c r="A1278" s="115" t="str">
        <x:v>EXT-MONDE-T026-V23</x:v>
      </x:c>
      <x:c r="B1278" s="115" t="str">
        <x:v>EXT-MONDE-T026</x:v>
      </x:c>
      <x:c r="C1278" s="115" t="str">
        <x:v>Fermes cultures</x:v>
      </x:c>
      <x:c r="D1278" s="115" t="str">
        <x:v>Domaine viticole</x:v>
      </x:c>
      <x:c r="E1278" s="115" t="n">
        <x:v>23</x:v>
      </x:c>
      <x:c r="F1278" s="115" t="str">
        <x:v>Inspection physique</x:v>
      </x:c>
      <x:c r="G1278" s="115" t="str">
        <x:v>1 niveaux ; 26 pièces ; 198 segments de mur ; 0 transitions. Inspection physique ; architecture complète encore ouverte.</x:v>
      </x:c>
      <x:c r="H1278" s="115" t="str">
        <x:v>L 300 ; l 272 ; hauteur 6,9 m ; choix de composition auteur ; dimensions réelles à documenter</x:v>
      </x:c>
      <x:c r="I1278" s="115" t="str">
        <x:v>À équilibrer</x:v>
      </x:c>
      <x:c r="J1278" s="115" t="str">
        <x:v>Non</x:v>
      </x:c>
      <x:c r="K1278" s="115" t="str">
        <x:v>Pièces décrites, murs, portes, niveaux et mobilier inspectables à l’échelle. Volumes réservés, raccord au seed, butin, rencontres et services de campagne restent à terminer.</x:v>
      </x:c>
    </x:row>
    <x:row r="1279" ht="96" customHeight="1">
      <x:c r="A1279" s="115" t="str">
        <x:v>EXT-MONDE-T026-V24</x:v>
      </x:c>
      <x:c r="B1279" s="115" t="str">
        <x:v>EXT-MONDE-T026</x:v>
      </x:c>
      <x:c r="C1279" s="115" t="str">
        <x:v>Fermes cultures</x:v>
      </x:c>
      <x:c r="D1279" s="115" t="str">
        <x:v>Domaine viticole</x:v>
      </x:c>
      <x:c r="E1279" s="115" t="n">
        <x:v>24</x:v>
      </x:c>
      <x:c r="F1279" s="115" t="str">
        <x:v>Inspection physique</x:v>
      </x:c>
      <x:c r="G1279" s="115" t="str">
        <x:v>1 niveaux ; 26 pièces ; 198 segments de mur ; 0 transitions. Inspection physique ; architecture complète encore ouverte.</x:v>
      </x:c>
      <x:c r="H1279" s="115" t="str">
        <x:v>L 300 ; l 272 ; hauteur 6,9 m ; choix de composition auteur ; dimensions réelles à documenter</x:v>
      </x:c>
      <x:c r="I1279" s="115" t="str">
        <x:v>À équilibrer</x:v>
      </x:c>
      <x:c r="J1279" s="115" t="str">
        <x:v>Non</x:v>
      </x:c>
      <x:c r="K1279" s="115" t="str">
        <x:v>Pièces décrites, murs, portes, niveaux et mobilier inspectables à l’échelle. Volumes réservés, raccord au seed, butin, rencontres et services de campagne restent à terminer.</x:v>
      </x:c>
    </x:row>
    <x:row r="1280" ht="96" customHeight="1">
      <x:c r="A1280" s="115" t="str">
        <x:v>EXT-MONDE-T026-V25</x:v>
      </x:c>
      <x:c r="B1280" s="115" t="str">
        <x:v>EXT-MONDE-T026</x:v>
      </x:c>
      <x:c r="C1280" s="115" t="str">
        <x:v>Fermes cultures</x:v>
      </x:c>
      <x:c r="D1280" s="115" t="str">
        <x:v>Domaine viticole</x:v>
      </x:c>
      <x:c r="E1280" s="115" t="n">
        <x:v>25</x:v>
      </x:c>
      <x:c r="F1280" s="115" t="str">
        <x:v>Inspection physique</x:v>
      </x:c>
      <x:c r="G1280" s="115" t="str">
        <x:v>1 niveaux ; 26 pièces ; 198 segments de mur ; 0 transitions. Inspection physique ; architecture complète encore ouverte.</x:v>
      </x:c>
      <x:c r="H1280" s="115" t="str">
        <x:v>L 300 ; l 272 ; hauteur 6,9 m ; choix de composition auteur ; dimensions réelles à documenter</x:v>
      </x:c>
      <x:c r="I1280" s="115" t="str">
        <x:v>À équilibrer</x:v>
      </x:c>
      <x:c r="J1280" s="115" t="str">
        <x:v>Non</x:v>
      </x:c>
      <x:c r="K1280" s="115" t="str">
        <x:v>Pièces décrites, murs, portes, niveaux et mobilier inspectables à l’échelle. Volumes réservés, raccord au seed, butin, rencontres et services de campagne restent à terminer.</x:v>
      </x:c>
    </x:row>
    <x:row r="1281" ht="96" customHeight="1">
      <x:c r="A1281" s="115" t="str">
        <x:v>EXT-MONDE-T026-V26</x:v>
      </x:c>
      <x:c r="B1281" s="115" t="str">
        <x:v>EXT-MONDE-T026</x:v>
      </x:c>
      <x:c r="C1281" s="115" t="str">
        <x:v>Fermes cultures</x:v>
      </x:c>
      <x:c r="D1281" s="115" t="str">
        <x:v>Domaine viticole</x:v>
      </x:c>
      <x:c r="E1281" s="115" t="n">
        <x:v>26</x:v>
      </x:c>
      <x:c r="F1281" s="115" t="str">
        <x:v>Inspection physique</x:v>
      </x:c>
      <x:c r="G1281" s="115" t="str">
        <x:v>1 niveaux ; 26 pièces ; 198 segments de mur ; 0 transitions. Inspection physique ; architecture complète encore ouverte.</x:v>
      </x:c>
      <x:c r="H1281" s="115" t="str">
        <x:v>L 300 ; l 272 ; hauteur 6,9 m ; choix de composition auteur ; dimensions réelles à documenter</x:v>
      </x:c>
      <x:c r="I1281" s="115" t="str">
        <x:v>À équilibrer</x:v>
      </x:c>
      <x:c r="J1281" s="115" t="str">
        <x:v>Non</x:v>
      </x:c>
      <x:c r="K1281" s="115" t="str">
        <x:v>Pièces décrites, murs, portes, niveaux et mobilier inspectables à l’échelle. Volumes réservés, raccord au seed, butin, rencontres et services de campagne restent à terminer.</x:v>
      </x:c>
    </x:row>
    <x:row r="1282" ht="96" customHeight="1">
      <x:c r="A1282" s="115" t="str">
        <x:v>EXT-MONDE-T026-V27</x:v>
      </x:c>
      <x:c r="B1282" s="115" t="str">
        <x:v>EXT-MONDE-T026</x:v>
      </x:c>
      <x:c r="C1282" s="115" t="str">
        <x:v>Fermes cultures</x:v>
      </x:c>
      <x:c r="D1282" s="115" t="str">
        <x:v>Domaine viticole</x:v>
      </x:c>
      <x:c r="E1282" s="115" t="n">
        <x:v>27</x:v>
      </x:c>
      <x:c r="F1282" s="115" t="str">
        <x:v>Inspection physique</x:v>
      </x:c>
      <x:c r="G1282" s="115" t="str">
        <x:v>1 niveaux ; 26 pièces ; 198 segments de mur ; 0 transitions. Inspection physique ; architecture complète encore ouverte.</x:v>
      </x:c>
      <x:c r="H1282" s="115" t="str">
        <x:v>L 300 ; l 272 ; hauteur 6,9 m ; choix de composition auteur ; dimensions réelles à documenter</x:v>
      </x:c>
      <x:c r="I1282" s="115" t="str">
        <x:v>À équilibrer</x:v>
      </x:c>
      <x:c r="J1282" s="115" t="str">
        <x:v>Non</x:v>
      </x:c>
      <x:c r="K1282" s="115" t="str">
        <x:v>Pièces décrites, murs, portes, niveaux et mobilier inspectables à l’échelle. Volumes réservés, raccord au seed, butin, rencontres et services de campagne restent à terminer.</x:v>
      </x:c>
    </x:row>
    <x:row r="1283" ht="96" customHeight="1">
      <x:c r="A1283" s="115" t="str">
        <x:v>EXT-MONDE-T026-V28</x:v>
      </x:c>
      <x:c r="B1283" s="115" t="str">
        <x:v>EXT-MONDE-T026</x:v>
      </x:c>
      <x:c r="C1283" s="115" t="str">
        <x:v>Fermes cultures</x:v>
      </x:c>
      <x:c r="D1283" s="115" t="str">
        <x:v>Domaine viticole</x:v>
      </x:c>
      <x:c r="E1283" s="115" t="n">
        <x:v>28</x:v>
      </x:c>
      <x:c r="F1283" s="115" t="str">
        <x:v>Inspection physique</x:v>
      </x:c>
      <x:c r="G1283" s="115" t="str">
        <x:v>1 niveaux ; 26 pièces ; 198 segments de mur ; 0 transitions. Inspection physique ; architecture complète encore ouverte.</x:v>
      </x:c>
      <x:c r="H1283" s="115" t="str">
        <x:v>L 300 ; l 272 ; hauteur 6,9 m ; choix de composition auteur ; dimensions réelles à documenter</x:v>
      </x:c>
      <x:c r="I1283" s="115" t="str">
        <x:v>À équilibrer</x:v>
      </x:c>
      <x:c r="J1283" s="115" t="str">
        <x:v>Non</x:v>
      </x:c>
      <x:c r="K1283" s="115" t="str">
        <x:v>Pièces décrites, murs, portes, niveaux et mobilier inspectables à l’échelle. Volumes réservés, raccord au seed, butin, rencontres et services de campagne restent à terminer.</x:v>
      </x:c>
    </x:row>
    <x:row r="1284" ht="96" customHeight="1">
      <x:c r="A1284" s="115" t="str">
        <x:v>EXT-MONDE-T026-V29</x:v>
      </x:c>
      <x:c r="B1284" s="115" t="str">
        <x:v>EXT-MONDE-T026</x:v>
      </x:c>
      <x:c r="C1284" s="115" t="str">
        <x:v>Fermes cultures</x:v>
      </x:c>
      <x:c r="D1284" s="115" t="str">
        <x:v>Domaine viticole</x:v>
      </x:c>
      <x:c r="E1284" s="115" t="n">
        <x:v>29</x:v>
      </x:c>
      <x:c r="F1284" s="115" t="str">
        <x:v>Inspection physique</x:v>
      </x:c>
      <x:c r="G1284" s="115" t="str">
        <x:v>1 niveaux ; 26 pièces ; 198 segments de mur ; 0 transitions. Inspection physique ; architecture complète encore ouverte.</x:v>
      </x:c>
      <x:c r="H1284" s="115" t="str">
        <x:v>L 300 ; l 272 ; hauteur 6,9 m ; choix de composition auteur ; dimensions réelles à documenter</x:v>
      </x:c>
      <x:c r="I1284" s="115" t="str">
        <x:v>À équilibrer</x:v>
      </x:c>
      <x:c r="J1284" s="115" t="str">
        <x:v>Non</x:v>
      </x:c>
      <x:c r="K1284" s="115" t="str">
        <x:v>Pièces décrites, murs, portes, niveaux et mobilier inspectables à l’échelle. Volumes réservés, raccord au seed, butin, rencontres et services de campagne restent à terminer.</x:v>
      </x:c>
    </x:row>
    <x:row r="1285" ht="96" customHeight="1">
      <x:c r="A1285" s="115" t="str">
        <x:v>EXT-MONDE-T026-V30</x:v>
      </x:c>
      <x:c r="B1285" s="115" t="str">
        <x:v>EXT-MONDE-T026</x:v>
      </x:c>
      <x:c r="C1285" s="115" t="str">
        <x:v>Fermes cultures</x:v>
      </x:c>
      <x:c r="D1285" s="115" t="str">
        <x:v>Domaine viticole</x:v>
      </x:c>
      <x:c r="E1285" s="115" t="n">
        <x:v>30</x:v>
      </x:c>
      <x:c r="F1285" s="115" t="str">
        <x:v>Inspection physique</x:v>
      </x:c>
      <x:c r="G1285" s="115" t="str">
        <x:v>1 niveaux ; 26 pièces ; 198 segments de mur ; 0 transitions. Inspection physique ; architecture complète encore ouverte.</x:v>
      </x:c>
      <x:c r="H1285" s="115" t="str">
        <x:v>L 300 ; l 272 ; hauteur 6,9 m ; choix de composition auteur ; dimensions réelles à documenter</x:v>
      </x:c>
      <x:c r="I1285" s="115" t="str">
        <x:v>À équilibrer</x:v>
      </x:c>
      <x:c r="J1285" s="115" t="str">
        <x:v>Non</x:v>
      </x:c>
      <x:c r="K1285" s="115" t="str">
        <x:v>Pièces décrites, murs, portes, niveaux et mobilier inspectables à l’échelle. Volumes réservés, raccord au seed, butin, rencontres et services de campagne restent à terminer.</x:v>
      </x:c>
    </x:row>
    <x:row r="1286" ht="96" customHeight="1">
      <x:c r="A1286" s="115" t="str">
        <x:v>EXT-MONDE-T026-V31</x:v>
      </x:c>
      <x:c r="B1286" s="115" t="str">
        <x:v>EXT-MONDE-T026</x:v>
      </x:c>
      <x:c r="C1286" s="115" t="str">
        <x:v>Fermes cultures</x:v>
      </x:c>
      <x:c r="D1286" s="115" t="str">
        <x:v>Domaine viticole</x:v>
      </x:c>
      <x:c r="E1286" s="115" t="n">
        <x:v>31</x:v>
      </x:c>
      <x:c r="F1286" s="115" t="str">
        <x:v>Inspection physique</x:v>
      </x:c>
      <x:c r="G1286" s="115" t="str">
        <x:v>1 niveaux ; 26 pièces ; 198 segments de mur ; 0 transitions. Inspection physique ; architecture complète encore ouverte.</x:v>
      </x:c>
      <x:c r="H1286" s="115" t="str">
        <x:v>L 320 ; l 296 ; hauteur 7,1 m ; choix de composition auteur ; dimensions réelles à documenter</x:v>
      </x:c>
      <x:c r="I1286" s="115" t="str">
        <x:v>À équilibrer</x:v>
      </x:c>
      <x:c r="J1286" s="115" t="str">
        <x:v>Non</x:v>
      </x:c>
      <x:c r="K1286" s="115" t="str">
        <x:v>Pièces décrites, murs, portes, niveaux et mobilier inspectables à l’échelle. Volumes réservés, raccord au seed, butin, rencontres et services de campagne restent à terminer.</x:v>
      </x:c>
    </x:row>
    <x:row r="1287" ht="96" customHeight="1">
      <x:c r="A1287" s="115" t="str">
        <x:v>EXT-MONDE-T026-V32</x:v>
      </x:c>
      <x:c r="B1287" s="115" t="str">
        <x:v>EXT-MONDE-T026</x:v>
      </x:c>
      <x:c r="C1287" s="115" t="str">
        <x:v>Fermes cultures</x:v>
      </x:c>
      <x:c r="D1287" s="115" t="str">
        <x:v>Domaine viticole</x:v>
      </x:c>
      <x:c r="E1287" s="115" t="n">
        <x:v>32</x:v>
      </x:c>
      <x:c r="F1287" s="115" t="str">
        <x:v>Inspection physique</x:v>
      </x:c>
      <x:c r="G1287" s="115" t="str">
        <x:v>1 niveaux ; 26 pièces ; 198 segments de mur ; 0 transitions. Inspection physique ; architecture complète encore ouverte.</x:v>
      </x:c>
      <x:c r="H1287" s="115" t="str">
        <x:v>L 320 ; l 296 ; hauteur 7,1 m ; choix de composition auteur ; dimensions réelles à documenter</x:v>
      </x:c>
      <x:c r="I1287" s="115" t="str">
        <x:v>À équilibrer</x:v>
      </x:c>
      <x:c r="J1287" s="115" t="str">
        <x:v>Non</x:v>
      </x:c>
      <x:c r="K1287" s="115" t="str">
        <x:v>Pièces décrites, murs, portes, niveaux et mobilier inspectables à l’échelle. Volumes réservés, raccord au seed, butin, rencontres et services de campagne restent à terminer.</x:v>
      </x:c>
    </x:row>
    <x:row r="1288" ht="96" customHeight="1">
      <x:c r="A1288" s="115" t="str">
        <x:v>EXT-MONDE-T026-V33</x:v>
      </x:c>
      <x:c r="B1288" s="115" t="str">
        <x:v>EXT-MONDE-T026</x:v>
      </x:c>
      <x:c r="C1288" s="115" t="str">
        <x:v>Fermes cultures</x:v>
      </x:c>
      <x:c r="D1288" s="115" t="str">
        <x:v>Domaine viticole</x:v>
      </x:c>
      <x:c r="E1288" s="115" t="n">
        <x:v>33</x:v>
      </x:c>
      <x:c r="F1288" s="115" t="str">
        <x:v>Inspection physique</x:v>
      </x:c>
      <x:c r="G1288" s="115" t="str">
        <x:v>1 niveaux ; 26 pièces ; 198 segments de mur ; 0 transitions. Inspection physique ; architecture complète encore ouverte.</x:v>
      </x:c>
      <x:c r="H1288" s="115" t="str">
        <x:v>L 320 ; l 296 ; hauteur 7,1 m ; choix de composition auteur ; dimensions réelles à documenter</x:v>
      </x:c>
      <x:c r="I1288" s="115" t="str">
        <x:v>À équilibrer</x:v>
      </x:c>
      <x:c r="J1288" s="115" t="str">
        <x:v>Non</x:v>
      </x:c>
      <x:c r="K1288" s="115" t="str">
        <x:v>Pièces décrites, murs, portes, niveaux et mobilier inspectables à l’échelle. Volumes réservés, raccord au seed, butin, rencontres et services de campagne restent à terminer.</x:v>
      </x:c>
    </x:row>
    <x:row r="1289" ht="96" customHeight="1">
      <x:c r="A1289" s="115" t="str">
        <x:v>EXT-MONDE-T026-V34</x:v>
      </x:c>
      <x:c r="B1289" s="115" t="str">
        <x:v>EXT-MONDE-T026</x:v>
      </x:c>
      <x:c r="C1289" s="115" t="str">
        <x:v>Fermes cultures</x:v>
      </x:c>
      <x:c r="D1289" s="115" t="str">
        <x:v>Domaine viticole</x:v>
      </x:c>
      <x:c r="E1289" s="115" t="n">
        <x:v>34</x:v>
      </x:c>
      <x:c r="F1289" s="115" t="str">
        <x:v>Inspection physique</x:v>
      </x:c>
      <x:c r="G1289" s="115" t="str">
        <x:v>1 niveaux ; 26 pièces ; 198 segments de mur ; 0 transitions. Inspection physique ; architecture complète encore ouverte.</x:v>
      </x:c>
      <x:c r="H1289" s="115" t="str">
        <x:v>L 320 ; l 296 ; hauteur 7,1 m ; choix de composition auteur ; dimensions réelles à documenter</x:v>
      </x:c>
      <x:c r="I1289" s="115" t="str">
        <x:v>À équilibrer</x:v>
      </x:c>
      <x:c r="J1289" s="115" t="str">
        <x:v>Non</x:v>
      </x:c>
      <x:c r="K1289" s="115" t="str">
        <x:v>Pièces décrites, murs, portes, niveaux et mobilier inspectables à l’échelle. Volumes réservés, raccord au seed, butin, rencontres et services de campagne restent à terminer.</x:v>
      </x:c>
    </x:row>
    <x:row r="1290" ht="96" customHeight="1">
      <x:c r="A1290" s="115" t="str">
        <x:v>EXT-MONDE-T026-V35</x:v>
      </x:c>
      <x:c r="B1290" s="115" t="str">
        <x:v>EXT-MONDE-T026</x:v>
      </x:c>
      <x:c r="C1290" s="115" t="str">
        <x:v>Fermes cultures</x:v>
      </x:c>
      <x:c r="D1290" s="115" t="str">
        <x:v>Domaine viticole</x:v>
      </x:c>
      <x:c r="E1290" s="115" t="n">
        <x:v>35</x:v>
      </x:c>
      <x:c r="F1290" s="115" t="str">
        <x:v>Inspection physique</x:v>
      </x:c>
      <x:c r="G1290" s="115" t="str">
        <x:v>1 niveaux ; 26 pièces ; 198 segments de mur ; 0 transitions. Inspection physique ; architecture complète encore ouverte.</x:v>
      </x:c>
      <x:c r="H1290" s="115" t="str">
        <x:v>L 320 ; l 296 ; hauteur 7,1 m ; choix de composition auteur ; dimensions réelles à documenter</x:v>
      </x:c>
      <x:c r="I1290" s="115" t="str">
        <x:v>À équilibrer</x:v>
      </x:c>
      <x:c r="J1290" s="115" t="str">
        <x:v>Non</x:v>
      </x:c>
      <x:c r="K1290" s="115" t="str">
        <x:v>Pièces décrites, murs, portes, niveaux et mobilier inspectables à l’échelle. Volumes réservés, raccord au seed, butin, rencontres et services de campagne restent à terminer.</x:v>
      </x:c>
    </x:row>
    <x:row r="1291" ht="96" customHeight="1">
      <x:c r="A1291" s="115" t="str">
        <x:v>EXT-MONDE-T026-V36</x:v>
      </x:c>
      <x:c r="B1291" s="115" t="str">
        <x:v>EXT-MONDE-T026</x:v>
      </x:c>
      <x:c r="C1291" s="115" t="str">
        <x:v>Fermes cultures</x:v>
      </x:c>
      <x:c r="D1291" s="115" t="str">
        <x:v>Domaine viticole</x:v>
      </x:c>
      <x:c r="E1291" s="115" t="n">
        <x:v>36</x:v>
      </x:c>
      <x:c r="F1291" s="115" t="str">
        <x:v>Inspection physique</x:v>
      </x:c>
      <x:c r="G1291" s="115" t="str">
        <x:v>1 niveaux ; 26 pièces ; 198 segments de mur ; 0 transitions. Inspection physique ; architecture complète encore ouverte.</x:v>
      </x:c>
      <x:c r="H1291" s="115" t="str">
        <x:v>L 320 ; l 296 ; hauteur 7,1 m ; choix de composition auteur ; dimensions réelles à documenter</x:v>
      </x:c>
      <x:c r="I1291" s="115" t="str">
        <x:v>À équilibrer</x:v>
      </x:c>
      <x:c r="J1291" s="115" t="str">
        <x:v>Non</x:v>
      </x:c>
      <x:c r="K1291" s="115" t="str">
        <x:v>Pièces décrites, murs, portes, niveaux et mobilier inspectables à l’échelle. Volumes réservés, raccord au seed, butin, rencontres et services de campagne restent à terminer.</x:v>
      </x:c>
    </x:row>
    <x:row r="1292" ht="96" customHeight="1">
      <x:c r="A1292" s="115" t="str">
        <x:v>EXT-MONDE-T026-V37</x:v>
      </x:c>
      <x:c r="B1292" s="115" t="str">
        <x:v>EXT-MONDE-T026</x:v>
      </x:c>
      <x:c r="C1292" s="115" t="str">
        <x:v>Fermes cultures</x:v>
      </x:c>
      <x:c r="D1292" s="115" t="str">
        <x:v>Domaine viticole</x:v>
      </x:c>
      <x:c r="E1292" s="115" t="n">
        <x:v>37</x:v>
      </x:c>
      <x:c r="F1292" s="115" t="str">
        <x:v>Inspection physique</x:v>
      </x:c>
      <x:c r="G1292" s="115" t="str">
        <x:v>1 niveaux ; 26 pièces ; 198 segments de mur ; 0 transitions. Inspection physique ; architecture complète encore ouverte.</x:v>
      </x:c>
      <x:c r="H1292" s="115" t="str">
        <x:v>L 320 ; l 296 ; hauteur 7,1 m ; choix de composition auteur ; dimensions réelles à documenter</x:v>
      </x:c>
      <x:c r="I1292" s="115" t="str">
        <x:v>À équilibrer</x:v>
      </x:c>
      <x:c r="J1292" s="115" t="str">
        <x:v>Non</x:v>
      </x:c>
      <x:c r="K1292" s="115" t="str">
        <x:v>Pièces décrites, murs, portes, niveaux et mobilier inspectables à l’échelle. Volumes réservés, raccord au seed, butin, rencontres et services de campagne restent à terminer.</x:v>
      </x:c>
    </x:row>
    <x:row r="1293" ht="96" customHeight="1">
      <x:c r="A1293" s="115" t="str">
        <x:v>EXT-MONDE-T026-V38</x:v>
      </x:c>
      <x:c r="B1293" s="115" t="str">
        <x:v>EXT-MONDE-T026</x:v>
      </x:c>
      <x:c r="C1293" s="115" t="str">
        <x:v>Fermes cultures</x:v>
      </x:c>
      <x:c r="D1293" s="115" t="str">
        <x:v>Domaine viticole</x:v>
      </x:c>
      <x:c r="E1293" s="115" t="n">
        <x:v>38</x:v>
      </x:c>
      <x:c r="F1293" s="115" t="str">
        <x:v>Inspection physique</x:v>
      </x:c>
      <x:c r="G1293" s="115" t="str">
        <x:v>1 niveaux ; 26 pièces ; 198 segments de mur ; 0 transitions. Inspection physique ; architecture complète encore ouverte.</x:v>
      </x:c>
      <x:c r="H1293" s="115" t="str">
        <x:v>L 320 ; l 296 ; hauteur 7,1 m ; choix de composition auteur ; dimensions réelles à documenter</x:v>
      </x:c>
      <x:c r="I1293" s="115" t="str">
        <x:v>À équilibrer</x:v>
      </x:c>
      <x:c r="J1293" s="115" t="str">
        <x:v>Non</x:v>
      </x:c>
      <x:c r="K1293" s="115" t="str">
        <x:v>Pièces décrites, murs, portes, niveaux et mobilier inspectables à l’échelle. Volumes réservés, raccord au seed, butin, rencontres et services de campagne restent à terminer.</x:v>
      </x:c>
    </x:row>
    <x:row r="1294" ht="96" customHeight="1">
      <x:c r="A1294" s="115" t="str">
        <x:v>EXT-MONDE-T026-V39</x:v>
      </x:c>
      <x:c r="B1294" s="115" t="str">
        <x:v>EXT-MONDE-T026</x:v>
      </x:c>
      <x:c r="C1294" s="115" t="str">
        <x:v>Fermes cultures</x:v>
      </x:c>
      <x:c r="D1294" s="115" t="str">
        <x:v>Domaine viticole</x:v>
      </x:c>
      <x:c r="E1294" s="115" t="n">
        <x:v>39</x:v>
      </x:c>
      <x:c r="F1294" s="115" t="str">
        <x:v>Inspection physique</x:v>
      </x:c>
      <x:c r="G1294" s="115" t="str">
        <x:v>1 niveaux ; 26 pièces ; 198 segments de mur ; 0 transitions. Inspection physique ; architecture complète encore ouverte.</x:v>
      </x:c>
      <x:c r="H1294" s="115" t="str">
        <x:v>L 320 ; l 296 ; hauteur 7,1 m ; choix de composition auteur ; dimensions réelles à documenter</x:v>
      </x:c>
      <x:c r="I1294" s="115" t="str">
        <x:v>À équilibrer</x:v>
      </x:c>
      <x:c r="J1294" s="115" t="str">
        <x:v>Non</x:v>
      </x:c>
      <x:c r="K1294" s="115" t="str">
        <x:v>Pièces décrites, murs, portes, niveaux et mobilier inspectables à l’échelle. Volumes réservés, raccord au seed, butin, rencontres et services de campagne restent à terminer.</x:v>
      </x:c>
    </x:row>
    <x:row r="1295" ht="96" customHeight="1">
      <x:c r="A1295" s="115" t="str">
        <x:v>EXT-MONDE-T026-V40</x:v>
      </x:c>
      <x:c r="B1295" s="115" t="str">
        <x:v>EXT-MONDE-T026</x:v>
      </x:c>
      <x:c r="C1295" s="115" t="str">
        <x:v>Fermes cultures</x:v>
      </x:c>
      <x:c r="D1295" s="115" t="str">
        <x:v>Domaine viticole</x:v>
      </x:c>
      <x:c r="E1295" s="115" t="n">
        <x:v>40</x:v>
      </x:c>
      <x:c r="F1295" s="115" t="str">
        <x:v>Inspection physique</x:v>
      </x:c>
      <x:c r="G1295" s="115" t="str">
        <x:v>1 niveaux ; 26 pièces ; 198 segments de mur ; 0 transitions. Inspection physique ; architecture complète encore ouverte.</x:v>
      </x:c>
      <x:c r="H1295" s="115" t="str">
        <x:v>L 320 ; l 296 ; hauteur 7,1 m ; choix de composition auteur ; dimensions réelles à documenter</x:v>
      </x:c>
      <x:c r="I1295" s="115" t="str">
        <x:v>À équilibrer</x:v>
      </x:c>
      <x:c r="J1295" s="115" t="str">
        <x:v>Non</x:v>
      </x:c>
      <x:c r="K1295" s="115" t="str">
        <x:v>Pièces décrites, murs, portes, niveaux et mobilier inspectables à l’échelle. Volumes réservés, raccord au seed, butin, rencontres et services de campagne restent à terminer.</x:v>
      </x:c>
    </x:row>
    <x:row r="1296" ht="96" customHeight="1">
      <x:c r="A1296" s="115" t="str">
        <x:v>EXT-MONDE-T026-V41</x:v>
      </x:c>
      <x:c r="B1296" s="115" t="str">
        <x:v>EXT-MONDE-T026</x:v>
      </x:c>
      <x:c r="C1296" s="115" t="str">
        <x:v>Fermes cultures</x:v>
      </x:c>
      <x:c r="D1296" s="115" t="str">
        <x:v>Domaine viticole</x:v>
      </x:c>
      <x:c r="E1296" s="115" t="n">
        <x:v>41</x:v>
      </x:c>
      <x:c r="F1296" s="115" t="str">
        <x:v>Inspection physique</x:v>
      </x:c>
      <x:c r="G1296" s="115" t="str">
        <x:v>1 niveaux ; 26 pièces ; 198 segments de mur ; 0 transitions. Inspection physique ; architecture complète encore ouverte.</x:v>
      </x:c>
      <x:c r="H1296" s="115" t="str">
        <x:v>L 340 ; l 320 ; hauteur 7,3 m ; choix de composition auteur ; dimensions réelles à documenter</x:v>
      </x:c>
      <x:c r="I1296" s="115" t="str">
        <x:v>À équilibrer</x:v>
      </x:c>
      <x:c r="J1296" s="115" t="str">
        <x:v>Non</x:v>
      </x:c>
      <x:c r="K1296" s="115" t="str">
        <x:v>Pièces décrites, murs, portes, niveaux et mobilier inspectables à l’échelle. Volumes réservés, raccord au seed, butin, rencontres et services de campagne restent à terminer.</x:v>
      </x:c>
    </x:row>
    <x:row r="1297" ht="96" customHeight="1">
      <x:c r="A1297" s="115" t="str">
        <x:v>EXT-MONDE-T026-V42</x:v>
      </x:c>
      <x:c r="B1297" s="115" t="str">
        <x:v>EXT-MONDE-T026</x:v>
      </x:c>
      <x:c r="C1297" s="115" t="str">
        <x:v>Fermes cultures</x:v>
      </x:c>
      <x:c r="D1297" s="115" t="str">
        <x:v>Domaine viticole</x:v>
      </x:c>
      <x:c r="E1297" s="115" t="n">
        <x:v>42</x:v>
      </x:c>
      <x:c r="F1297" s="115" t="str">
        <x:v>Inspection physique</x:v>
      </x:c>
      <x:c r="G1297" s="115" t="str">
        <x:v>1 niveaux ; 26 pièces ; 198 segments de mur ; 0 transitions. Inspection physique ; architecture complète encore ouverte.</x:v>
      </x:c>
      <x:c r="H1297" s="115" t="str">
        <x:v>L 340 ; l 320 ; hauteur 7,3 m ; choix de composition auteur ; dimensions réelles à documenter</x:v>
      </x:c>
      <x:c r="I1297" s="115" t="str">
        <x:v>À équilibrer</x:v>
      </x:c>
      <x:c r="J1297" s="115" t="str">
        <x:v>Non</x:v>
      </x:c>
      <x:c r="K1297" s="115" t="str">
        <x:v>Pièces décrites, murs, portes, niveaux et mobilier inspectables à l’échelle. Volumes réservés, raccord au seed, butin, rencontres et services de campagne restent à terminer.</x:v>
      </x:c>
    </x:row>
    <x:row r="1298" ht="96" customHeight="1">
      <x:c r="A1298" s="115" t="str">
        <x:v>EXT-MONDE-T026-V43</x:v>
      </x:c>
      <x:c r="B1298" s="115" t="str">
        <x:v>EXT-MONDE-T026</x:v>
      </x:c>
      <x:c r="C1298" s="115" t="str">
        <x:v>Fermes cultures</x:v>
      </x:c>
      <x:c r="D1298" s="115" t="str">
        <x:v>Domaine viticole</x:v>
      </x:c>
      <x:c r="E1298" s="115" t="n">
        <x:v>43</x:v>
      </x:c>
      <x:c r="F1298" s="115" t="str">
        <x:v>Inspection physique</x:v>
      </x:c>
      <x:c r="G1298" s="115" t="str">
        <x:v>1 niveaux ; 26 pièces ; 198 segments de mur ; 0 transitions. Inspection physique ; architecture complète encore ouverte.</x:v>
      </x:c>
      <x:c r="H1298" s="115" t="str">
        <x:v>L 340 ; l 320 ; hauteur 7,3 m ; choix de composition auteur ; dimensions réelles à documenter</x:v>
      </x:c>
      <x:c r="I1298" s="115" t="str">
        <x:v>À équilibrer</x:v>
      </x:c>
      <x:c r="J1298" s="115" t="str">
        <x:v>Non</x:v>
      </x:c>
      <x:c r="K1298" s="115" t="str">
        <x:v>Pièces décrites, murs, portes, niveaux et mobilier inspectables à l’échelle. Volumes réservés, raccord au seed, butin, rencontres et services de campagne restent à terminer.</x:v>
      </x:c>
    </x:row>
    <x:row r="1299" ht="96" customHeight="1">
      <x:c r="A1299" s="115" t="str">
        <x:v>EXT-MONDE-T026-V44</x:v>
      </x:c>
      <x:c r="B1299" s="115" t="str">
        <x:v>EXT-MONDE-T026</x:v>
      </x:c>
      <x:c r="C1299" s="115" t="str">
        <x:v>Fermes cultures</x:v>
      </x:c>
      <x:c r="D1299" s="115" t="str">
        <x:v>Domaine viticole</x:v>
      </x:c>
      <x:c r="E1299" s="115" t="n">
        <x:v>44</x:v>
      </x:c>
      <x:c r="F1299" s="115" t="str">
        <x:v>Inspection physique</x:v>
      </x:c>
      <x:c r="G1299" s="115" t="str">
        <x:v>1 niveaux ; 26 pièces ; 198 segments de mur ; 0 transitions. Inspection physique ; architecture complète encore ouverte.</x:v>
      </x:c>
      <x:c r="H1299" s="115" t="str">
        <x:v>L 340 ; l 320 ; hauteur 7,3 m ; choix de composition auteur ; dimensions réelles à documenter</x:v>
      </x:c>
      <x:c r="I1299" s="115" t="str">
        <x:v>À équilibrer</x:v>
      </x:c>
      <x:c r="J1299" s="115" t="str">
        <x:v>Non</x:v>
      </x:c>
      <x:c r="K1299" s="115" t="str">
        <x:v>Pièces décrites, murs, portes, niveaux et mobilier inspectables à l’échelle. Volumes réservés, raccord au seed, butin, rencontres et services de campagne restent à terminer.</x:v>
      </x:c>
    </x:row>
    <x:row r="1300" ht="96" customHeight="1">
      <x:c r="A1300" s="115" t="str">
        <x:v>EXT-MONDE-T026-V45</x:v>
      </x:c>
      <x:c r="B1300" s="115" t="str">
        <x:v>EXT-MONDE-T026</x:v>
      </x:c>
      <x:c r="C1300" s="115" t="str">
        <x:v>Fermes cultures</x:v>
      </x:c>
      <x:c r="D1300" s="115" t="str">
        <x:v>Domaine viticole</x:v>
      </x:c>
      <x:c r="E1300" s="115" t="n">
        <x:v>45</x:v>
      </x:c>
      <x:c r="F1300" s="115" t="str">
        <x:v>Inspection physique</x:v>
      </x:c>
      <x:c r="G1300" s="115" t="str">
        <x:v>1 niveaux ; 26 pièces ; 198 segments de mur ; 0 transitions. Inspection physique ; architecture complète encore ouverte.</x:v>
      </x:c>
      <x:c r="H1300" s="115" t="str">
        <x:v>L 340 ; l 320 ; hauteur 7,3 m ; choix de composition auteur ; dimensions réelles à documenter</x:v>
      </x:c>
      <x:c r="I1300" s="115" t="str">
        <x:v>À équilibrer</x:v>
      </x:c>
      <x:c r="J1300" s="115" t="str">
        <x:v>Non</x:v>
      </x:c>
      <x:c r="K1300" s="115" t="str">
        <x:v>Pièces décrites, murs, portes, niveaux et mobilier inspectables à l’échelle. Volumes réservés, raccord au seed, butin, rencontres et services de campagne restent à terminer.</x:v>
      </x:c>
    </x:row>
    <x:row r="1301" ht="96" customHeight="1">
      <x:c r="A1301" s="115" t="str">
        <x:v>EXT-MONDE-T026-V46</x:v>
      </x:c>
      <x:c r="B1301" s="115" t="str">
        <x:v>EXT-MONDE-T026</x:v>
      </x:c>
      <x:c r="C1301" s="115" t="str">
        <x:v>Fermes cultures</x:v>
      </x:c>
      <x:c r="D1301" s="115" t="str">
        <x:v>Domaine viticole</x:v>
      </x:c>
      <x:c r="E1301" s="115" t="n">
        <x:v>46</x:v>
      </x:c>
      <x:c r="F1301" s="115" t="str">
        <x:v>Inspection physique</x:v>
      </x:c>
      <x:c r="G1301" s="115" t="str">
        <x:v>1 niveaux ; 26 pièces ; 198 segments de mur ; 0 transitions. Inspection physique ; architecture complète encore ouverte.</x:v>
      </x:c>
      <x:c r="H1301" s="115" t="str">
        <x:v>L 340 ; l 320 ; hauteur 7,3 m ; choix de composition auteur ; dimensions réelles à documenter</x:v>
      </x:c>
      <x:c r="I1301" s="115" t="str">
        <x:v>À équilibrer</x:v>
      </x:c>
      <x:c r="J1301" s="115" t="str">
        <x:v>Non</x:v>
      </x:c>
      <x:c r="K1301" s="115" t="str">
        <x:v>Pièces décrites, murs, portes, niveaux et mobilier inspectables à l’échelle. Volumes réservés, raccord au seed, butin, rencontres et services de campagne restent à terminer.</x:v>
      </x:c>
    </x:row>
    <x:row r="1302" ht="96" customHeight="1">
      <x:c r="A1302" s="115" t="str">
        <x:v>EXT-MONDE-T026-V47</x:v>
      </x:c>
      <x:c r="B1302" s="115" t="str">
        <x:v>EXT-MONDE-T026</x:v>
      </x:c>
      <x:c r="C1302" s="115" t="str">
        <x:v>Fermes cultures</x:v>
      </x:c>
      <x:c r="D1302" s="115" t="str">
        <x:v>Domaine viticole</x:v>
      </x:c>
      <x:c r="E1302" s="115" t="n">
        <x:v>47</x:v>
      </x:c>
      <x:c r="F1302" s="115" t="str">
        <x:v>Inspection physique</x:v>
      </x:c>
      <x:c r="G1302" s="115" t="str">
        <x:v>1 niveaux ; 26 pièces ; 198 segments de mur ; 0 transitions. Inspection physique ; architecture complète encore ouverte.</x:v>
      </x:c>
      <x:c r="H1302" s="115" t="str">
        <x:v>L 340 ; l 320 ; hauteur 7,3 m ; choix de composition auteur ; dimensions réelles à documenter</x:v>
      </x:c>
      <x:c r="I1302" s="115" t="str">
        <x:v>À équilibrer</x:v>
      </x:c>
      <x:c r="J1302" s="115" t="str">
        <x:v>Non</x:v>
      </x:c>
      <x:c r="K1302" s="115" t="str">
        <x:v>Pièces décrites, murs, portes, niveaux et mobilier inspectables à l’échelle. Volumes réservés, raccord au seed, butin, rencontres et services de campagne restent à terminer.</x:v>
      </x:c>
    </x:row>
    <x:row r="1303" ht="96" customHeight="1">
      <x:c r="A1303" s="115" t="str">
        <x:v>EXT-MONDE-T026-V48</x:v>
      </x:c>
      <x:c r="B1303" s="115" t="str">
        <x:v>EXT-MONDE-T026</x:v>
      </x:c>
      <x:c r="C1303" s="115" t="str">
        <x:v>Fermes cultures</x:v>
      </x:c>
      <x:c r="D1303" s="115" t="str">
        <x:v>Domaine viticole</x:v>
      </x:c>
      <x:c r="E1303" s="115" t="n">
        <x:v>48</x:v>
      </x:c>
      <x:c r="F1303" s="115" t="str">
        <x:v>Inspection physique</x:v>
      </x:c>
      <x:c r="G1303" s="115" t="str">
        <x:v>1 niveaux ; 26 pièces ; 198 segments de mur ; 0 transitions. Inspection physique ; architecture complète encore ouverte.</x:v>
      </x:c>
      <x:c r="H1303" s="115" t="str">
        <x:v>L 340 ; l 320 ; hauteur 7,3 m ; choix de composition auteur ; dimensions réelles à documenter</x:v>
      </x:c>
      <x:c r="I1303" s="115" t="str">
        <x:v>À équilibrer</x:v>
      </x:c>
      <x:c r="J1303" s="115" t="str">
        <x:v>Non</x:v>
      </x:c>
      <x:c r="K1303" s="115" t="str">
        <x:v>Pièces décrites, murs, portes, niveaux et mobilier inspectables à l’échelle. Volumes réservés, raccord au seed, butin, rencontres et services de campagne restent à terminer.</x:v>
      </x:c>
    </x:row>
    <x:row r="1304" ht="96" customHeight="1">
      <x:c r="A1304" s="115" t="str">
        <x:v>EXT-MONDE-T026-V49</x:v>
      </x:c>
      <x:c r="B1304" s="115" t="str">
        <x:v>EXT-MONDE-T026</x:v>
      </x:c>
      <x:c r="C1304" s="115" t="str">
        <x:v>Fermes cultures</x:v>
      </x:c>
      <x:c r="D1304" s="115" t="str">
        <x:v>Domaine viticole</x:v>
      </x:c>
      <x:c r="E1304" s="115" t="n">
        <x:v>49</x:v>
      </x:c>
      <x:c r="F1304" s="115" t="str">
        <x:v>Inspection physique</x:v>
      </x:c>
      <x:c r="G1304" s="115" t="str">
        <x:v>1 niveaux ; 26 pièces ; 198 segments de mur ; 0 transitions. Inspection physique ; architecture complète encore ouverte.</x:v>
      </x:c>
      <x:c r="H1304" s="115" t="str">
        <x:v>L 340 ; l 320 ; hauteur 7,3 m ; choix de composition auteur ; dimensions réelles à documenter</x:v>
      </x:c>
      <x:c r="I1304" s="115" t="str">
        <x:v>À équilibrer</x:v>
      </x:c>
      <x:c r="J1304" s="115" t="str">
        <x:v>Non</x:v>
      </x:c>
      <x:c r="K1304" s="115" t="str">
        <x:v>Pièces décrites, murs, portes, niveaux et mobilier inspectables à l’échelle. Volumes réservés, raccord au seed, butin, rencontres et services de campagne restent à terminer.</x:v>
      </x:c>
    </x:row>
    <x:row r="1305" ht="96" customHeight="1">
      <x:c r="A1305" s="115" t="str">
        <x:v>EXT-MONDE-T026-V50</x:v>
      </x:c>
      <x:c r="B1305" s="115" t="str">
        <x:v>EXT-MONDE-T026</x:v>
      </x:c>
      <x:c r="C1305" s="115" t="str">
        <x:v>Fermes cultures</x:v>
      </x:c>
      <x:c r="D1305" s="115" t="str">
        <x:v>Domaine viticole</x:v>
      </x:c>
      <x:c r="E1305" s="115" t="n">
        <x:v>50</x:v>
      </x:c>
      <x:c r="F1305" s="115" t="str">
        <x:v>Inspection physique</x:v>
      </x:c>
      <x:c r="G1305" s="115" t="str">
        <x:v>1 niveaux ; 26 pièces ; 198 segments de mur ; 0 transitions. Inspection physique ; architecture complète encore ouverte.</x:v>
      </x:c>
      <x:c r="H1305" s="115" t="str">
        <x:v>L 340 ; l 320 ; hauteur 7,3 m ; choix de composition auteur ; dimensions réelles à documenter</x:v>
      </x:c>
      <x:c r="I1305" s="115" t="str">
        <x:v>À équilibrer</x:v>
      </x:c>
      <x:c r="J1305" s="115" t="str">
        <x:v>Non</x:v>
      </x:c>
      <x:c r="K1305" s="115" t="str">
        <x:v>Pièces décrites, murs, portes, niveaux et mobilier inspectables à l’échelle. Volumes réservés, raccord au seed, butin, rencontres et services de campagne restent à terminer.</x:v>
      </x:c>
    </x:row>
    <x:row r="1306" ht="96" customHeight="1">
      <x:c r="A1306" s="115" t="str">
        <x:v>EXT-MONDE-T027-V01</x:v>
      </x:c>
      <x:c r="B1306" s="115" t="str">
        <x:v>EXT-MONDE-T027</x:v>
      </x:c>
      <x:c r="C1306" s="115" t="str">
        <x:v>Fermes cultures</x:v>
      </x:c>
      <x:c r="D1306" s="115" t="str">
        <x:v>Ferme maraîchère</x:v>
      </x:c>
      <x:c r="E1306" s="115" t="n">
        <x:v>1</x:v>
      </x:c>
      <x:c r="F1306" s="115" t="str">
        <x:v>Inspection physique</x:v>
      </x:c>
      <x:c r="G1306" s="115" t="str">
        <x:v>1 niveaux ; 28 pièces ; 210 segments de mur ; 0 transitions. Inspection physique ; architecture complète encore ouverte.</x:v>
      </x:c>
      <x:c r="H1306" s="115" t="str">
        <x:v>L 260 ; l 224 ; hauteur 6,5 m ; choix de composition auteur ; dimensions réelles à documenter</x:v>
      </x:c>
      <x:c r="I1306" s="115" t="str">
        <x:v>À équilibrer</x:v>
      </x:c>
      <x:c r="J1306" s="115" t="str">
        <x:v>Non</x:v>
      </x:c>
      <x:c r="K1306" s="115" t="str">
        <x:v>Pièces décrites, murs, portes, niveaux et mobilier inspectables à l’échelle. Volumes réservés, raccord au seed, butin, rencontres et services de campagne restent à terminer.</x:v>
      </x:c>
    </x:row>
    <x:row r="1307" ht="96" customHeight="1">
      <x:c r="A1307" s="115" t="str">
        <x:v>EXT-MONDE-T027-V02</x:v>
      </x:c>
      <x:c r="B1307" s="115" t="str">
        <x:v>EXT-MONDE-T027</x:v>
      </x:c>
      <x:c r="C1307" s="115" t="str">
        <x:v>Fermes cultures</x:v>
      </x:c>
      <x:c r="D1307" s="115" t="str">
        <x:v>Ferme maraîchère</x:v>
      </x:c>
      <x:c r="E1307" s="115" t="n">
        <x:v>2</x:v>
      </x:c>
      <x:c r="F1307" s="115" t="str">
        <x:v>Inspection physique</x:v>
      </x:c>
      <x:c r="G1307" s="115" t="str">
        <x:v>1 niveaux ; 28 pièces ; 210 segments de mur ; 0 transitions. Inspection physique ; architecture complète encore ouverte.</x:v>
      </x:c>
      <x:c r="H1307" s="115" t="str">
        <x:v>L 260 ; l 224 ; hauteur 6,5 m ; choix de composition auteur ; dimensions réelles à documenter</x:v>
      </x:c>
      <x:c r="I1307" s="115" t="str">
        <x:v>À équilibrer</x:v>
      </x:c>
      <x:c r="J1307" s="115" t="str">
        <x:v>Non</x:v>
      </x:c>
      <x:c r="K1307" s="115" t="str">
        <x:v>Pièces décrites, murs, portes, niveaux et mobilier inspectables à l’échelle. Volumes réservés, raccord au seed, butin, rencontres et services de campagne restent à terminer.</x:v>
      </x:c>
    </x:row>
    <x:row r="1308" ht="96" customHeight="1">
      <x:c r="A1308" s="115" t="str">
        <x:v>EXT-MONDE-T027-V03</x:v>
      </x:c>
      <x:c r="B1308" s="115" t="str">
        <x:v>EXT-MONDE-T027</x:v>
      </x:c>
      <x:c r="C1308" s="115" t="str">
        <x:v>Fermes cultures</x:v>
      </x:c>
      <x:c r="D1308" s="115" t="str">
        <x:v>Ferme maraîchère</x:v>
      </x:c>
      <x:c r="E1308" s="115" t="n">
        <x:v>3</x:v>
      </x:c>
      <x:c r="F1308" s="115" t="str">
        <x:v>Inspection physique</x:v>
      </x:c>
      <x:c r="G1308" s="115" t="str">
        <x:v>1 niveaux ; 28 pièces ; 210 segments de mur ; 0 transitions. Inspection physique ; architecture complète encore ouverte.</x:v>
      </x:c>
      <x:c r="H1308" s="115" t="str">
        <x:v>L 260 ; l 224 ; hauteur 6,5 m ; choix de composition auteur ; dimensions réelles à documenter</x:v>
      </x:c>
      <x:c r="I1308" s="115" t="str">
        <x:v>À équilibrer</x:v>
      </x:c>
      <x:c r="J1308" s="115" t="str">
        <x:v>Non</x:v>
      </x:c>
      <x:c r="K1308" s="115" t="str">
        <x:v>Pièces décrites, murs, portes, niveaux et mobilier inspectables à l’échelle. Volumes réservés, raccord au seed, butin, rencontres et services de campagne restent à terminer.</x:v>
      </x:c>
    </x:row>
    <x:row r="1309" ht="96" customHeight="1">
      <x:c r="A1309" s="115" t="str">
        <x:v>EXT-MONDE-T027-V04</x:v>
      </x:c>
      <x:c r="B1309" s="115" t="str">
        <x:v>EXT-MONDE-T027</x:v>
      </x:c>
      <x:c r="C1309" s="115" t="str">
        <x:v>Fermes cultures</x:v>
      </x:c>
      <x:c r="D1309" s="115" t="str">
        <x:v>Ferme maraîchère</x:v>
      </x:c>
      <x:c r="E1309" s="115" t="n">
        <x:v>4</x:v>
      </x:c>
      <x:c r="F1309" s="115" t="str">
        <x:v>Inspection physique</x:v>
      </x:c>
      <x:c r="G1309" s="115" t="str">
        <x:v>1 niveaux ; 28 pièces ; 210 segments de mur ; 0 transitions. Inspection physique ; architecture complète encore ouverte.</x:v>
      </x:c>
      <x:c r="H1309" s="115" t="str">
        <x:v>L 260 ; l 224 ; hauteur 6,5 m ; choix de composition auteur ; dimensions réelles à documenter</x:v>
      </x:c>
      <x:c r="I1309" s="115" t="str">
        <x:v>À équilibrer</x:v>
      </x:c>
      <x:c r="J1309" s="115" t="str">
        <x:v>Non</x:v>
      </x:c>
      <x:c r="K1309" s="115" t="str">
        <x:v>Pièces décrites, murs, portes, niveaux et mobilier inspectables à l’échelle. Volumes réservés, raccord au seed, butin, rencontres et services de campagne restent à terminer.</x:v>
      </x:c>
    </x:row>
    <x:row r="1310" ht="96" customHeight="1">
      <x:c r="A1310" s="115" t="str">
        <x:v>EXT-MONDE-T027-V05</x:v>
      </x:c>
      <x:c r="B1310" s="115" t="str">
        <x:v>EXT-MONDE-T027</x:v>
      </x:c>
      <x:c r="C1310" s="115" t="str">
        <x:v>Fermes cultures</x:v>
      </x:c>
      <x:c r="D1310" s="115" t="str">
        <x:v>Ferme maraîchère</x:v>
      </x:c>
      <x:c r="E1310" s="115" t="n">
        <x:v>5</x:v>
      </x:c>
      <x:c r="F1310" s="115" t="str">
        <x:v>Inspection physique</x:v>
      </x:c>
      <x:c r="G1310" s="115" t="str">
        <x:v>1 niveaux ; 28 pièces ; 210 segments de mur ; 0 transitions. Inspection physique ; architecture complète encore ouverte.</x:v>
      </x:c>
      <x:c r="H1310" s="115" t="str">
        <x:v>L 260 ; l 224 ; hauteur 6,5 m ; choix de composition auteur ; dimensions réelles à documenter</x:v>
      </x:c>
      <x:c r="I1310" s="115" t="str">
        <x:v>À équilibrer</x:v>
      </x:c>
      <x:c r="J1310" s="115" t="str">
        <x:v>Non</x:v>
      </x:c>
      <x:c r="K1310" s="115" t="str">
        <x:v>Pièces décrites, murs, portes, niveaux et mobilier inspectables à l’échelle. Volumes réservés, raccord au seed, butin, rencontres et services de campagne restent à terminer.</x:v>
      </x:c>
    </x:row>
    <x:row r="1311" ht="96" customHeight="1">
      <x:c r="A1311" s="115" t="str">
        <x:v>EXT-MONDE-T027-V06</x:v>
      </x:c>
      <x:c r="B1311" s="115" t="str">
        <x:v>EXT-MONDE-T027</x:v>
      </x:c>
      <x:c r="C1311" s="115" t="str">
        <x:v>Fermes cultures</x:v>
      </x:c>
      <x:c r="D1311" s="115" t="str">
        <x:v>Ferme maraîchère</x:v>
      </x:c>
      <x:c r="E1311" s="115" t="n">
        <x:v>6</x:v>
      </x:c>
      <x:c r="F1311" s="115" t="str">
        <x:v>Inspection physique</x:v>
      </x:c>
      <x:c r="G1311" s="115" t="str">
        <x:v>1 niveaux ; 28 pièces ; 210 segments de mur ; 0 transitions. Inspection physique ; architecture complète encore ouverte.</x:v>
      </x:c>
      <x:c r="H1311" s="115" t="str">
        <x:v>L 260 ; l 224 ; hauteur 6,5 m ; choix de composition auteur ; dimensions réelles à documenter</x:v>
      </x:c>
      <x:c r="I1311" s="115" t="str">
        <x:v>À équilibrer</x:v>
      </x:c>
      <x:c r="J1311" s="115" t="str">
        <x:v>Non</x:v>
      </x:c>
      <x:c r="K1311" s="115" t="str">
        <x:v>Pièces décrites, murs, portes, niveaux et mobilier inspectables à l’échelle. Volumes réservés, raccord au seed, butin, rencontres et services de campagne restent à terminer.</x:v>
      </x:c>
    </x:row>
    <x:row r="1312" ht="96" customHeight="1">
      <x:c r="A1312" s="115" t="str">
        <x:v>EXT-MONDE-T027-V07</x:v>
      </x:c>
      <x:c r="B1312" s="115" t="str">
        <x:v>EXT-MONDE-T027</x:v>
      </x:c>
      <x:c r="C1312" s="115" t="str">
        <x:v>Fermes cultures</x:v>
      </x:c>
      <x:c r="D1312" s="115" t="str">
        <x:v>Ferme maraîchère</x:v>
      </x:c>
      <x:c r="E1312" s="115" t="n">
        <x:v>7</x:v>
      </x:c>
      <x:c r="F1312" s="115" t="str">
        <x:v>Inspection physique</x:v>
      </x:c>
      <x:c r="G1312" s="115" t="str">
        <x:v>1 niveaux ; 28 pièces ; 210 segments de mur ; 0 transitions. Inspection physique ; architecture complète encore ouverte.</x:v>
      </x:c>
      <x:c r="H1312" s="115" t="str">
        <x:v>L 260 ; l 224 ; hauteur 6,5 m ; choix de composition auteur ; dimensions réelles à documenter</x:v>
      </x:c>
      <x:c r="I1312" s="115" t="str">
        <x:v>À équilibrer</x:v>
      </x:c>
      <x:c r="J1312" s="115" t="str">
        <x:v>Non</x:v>
      </x:c>
      <x:c r="K1312" s="115" t="str">
        <x:v>Pièces décrites, murs, portes, niveaux et mobilier inspectables à l’échelle. Volumes réservés, raccord au seed, butin, rencontres et services de campagne restent à terminer.</x:v>
      </x:c>
    </x:row>
    <x:row r="1313" ht="96" customHeight="1">
      <x:c r="A1313" s="115" t="str">
        <x:v>EXT-MONDE-T027-V08</x:v>
      </x:c>
      <x:c r="B1313" s="115" t="str">
        <x:v>EXT-MONDE-T027</x:v>
      </x:c>
      <x:c r="C1313" s="115" t="str">
        <x:v>Fermes cultures</x:v>
      </x:c>
      <x:c r="D1313" s="115" t="str">
        <x:v>Ferme maraîchère</x:v>
      </x:c>
      <x:c r="E1313" s="115" t="n">
        <x:v>8</x:v>
      </x:c>
      <x:c r="F1313" s="115" t="str">
        <x:v>Inspection physique</x:v>
      </x:c>
      <x:c r="G1313" s="115" t="str">
        <x:v>1 niveaux ; 28 pièces ; 210 segments de mur ; 0 transitions. Inspection physique ; architecture complète encore ouverte.</x:v>
      </x:c>
      <x:c r="H1313" s="115" t="str">
        <x:v>L 260 ; l 224 ; hauteur 6,5 m ; choix de composition auteur ; dimensions réelles à documenter</x:v>
      </x:c>
      <x:c r="I1313" s="115" t="str">
        <x:v>À équilibrer</x:v>
      </x:c>
      <x:c r="J1313" s="115" t="str">
        <x:v>Non</x:v>
      </x:c>
      <x:c r="K1313" s="115" t="str">
        <x:v>Pièces décrites, murs, portes, niveaux et mobilier inspectables à l’échelle. Volumes réservés, raccord au seed, butin, rencontres et services de campagne restent à terminer.</x:v>
      </x:c>
    </x:row>
    <x:row r="1314" ht="96" customHeight="1">
      <x:c r="A1314" s="115" t="str">
        <x:v>EXT-MONDE-T027-V09</x:v>
      </x:c>
      <x:c r="B1314" s="115" t="str">
        <x:v>EXT-MONDE-T027</x:v>
      </x:c>
      <x:c r="C1314" s="115" t="str">
        <x:v>Fermes cultures</x:v>
      </x:c>
      <x:c r="D1314" s="115" t="str">
        <x:v>Ferme maraîchère</x:v>
      </x:c>
      <x:c r="E1314" s="115" t="n">
        <x:v>9</x:v>
      </x:c>
      <x:c r="F1314" s="115" t="str">
        <x:v>Inspection physique</x:v>
      </x:c>
      <x:c r="G1314" s="115" t="str">
        <x:v>1 niveaux ; 28 pièces ; 210 segments de mur ; 0 transitions. Inspection physique ; architecture complète encore ouverte.</x:v>
      </x:c>
      <x:c r="H1314" s="115" t="str">
        <x:v>L 260 ; l 224 ; hauteur 6,5 m ; choix de composition auteur ; dimensions réelles à documenter</x:v>
      </x:c>
      <x:c r="I1314" s="115" t="str">
        <x:v>À équilibrer</x:v>
      </x:c>
      <x:c r="J1314" s="115" t="str">
        <x:v>Non</x:v>
      </x:c>
      <x:c r="K1314" s="115" t="str">
        <x:v>Pièces décrites, murs, portes, niveaux et mobilier inspectables à l’échelle. Volumes réservés, raccord au seed, butin, rencontres et services de campagne restent à terminer.</x:v>
      </x:c>
    </x:row>
    <x:row r="1315" ht="96" customHeight="1">
      <x:c r="A1315" s="115" t="str">
        <x:v>EXT-MONDE-T027-V10</x:v>
      </x:c>
      <x:c r="B1315" s="115" t="str">
        <x:v>EXT-MONDE-T027</x:v>
      </x:c>
      <x:c r="C1315" s="115" t="str">
        <x:v>Fermes cultures</x:v>
      </x:c>
      <x:c r="D1315" s="115" t="str">
        <x:v>Ferme maraîchère</x:v>
      </x:c>
      <x:c r="E1315" s="115" t="n">
        <x:v>10</x:v>
      </x:c>
      <x:c r="F1315" s="115" t="str">
        <x:v>Inspection physique</x:v>
      </x:c>
      <x:c r="G1315" s="115" t="str">
        <x:v>1 niveaux ; 28 pièces ; 210 segments de mur ; 0 transitions. Inspection physique ; architecture complète encore ouverte.</x:v>
      </x:c>
      <x:c r="H1315" s="115" t="str">
        <x:v>L 260 ; l 224 ; hauteur 6,5 m ; choix de composition auteur ; dimensions réelles à documenter</x:v>
      </x:c>
      <x:c r="I1315" s="115" t="str">
        <x:v>À équilibrer</x:v>
      </x:c>
      <x:c r="J1315" s="115" t="str">
        <x:v>Non</x:v>
      </x:c>
      <x:c r="K1315" s="115" t="str">
        <x:v>Pièces décrites, murs, portes, niveaux et mobilier inspectables à l’échelle. Volumes réservés, raccord au seed, butin, rencontres et services de campagne restent à terminer.</x:v>
      </x:c>
    </x:row>
    <x:row r="1316" ht="96" customHeight="1">
      <x:c r="A1316" s="115" t="str">
        <x:v>EXT-MONDE-T027-V11</x:v>
      </x:c>
      <x:c r="B1316" s="115" t="str">
        <x:v>EXT-MONDE-T027</x:v>
      </x:c>
      <x:c r="C1316" s="115" t="str">
        <x:v>Fermes cultures</x:v>
      </x:c>
      <x:c r="D1316" s="115" t="str">
        <x:v>Ferme maraîchère</x:v>
      </x:c>
      <x:c r="E1316" s="115" t="n">
        <x:v>11</x:v>
      </x:c>
      <x:c r="F1316" s="115" t="str">
        <x:v>Inspection physique</x:v>
      </x:c>
      <x:c r="G1316" s="115" t="str">
        <x:v>1 niveaux ; 28 pièces ; 210 segments de mur ; 0 transitions. Inspection physique ; architecture complète encore ouverte.</x:v>
      </x:c>
      <x:c r="H1316" s="115" t="str">
        <x:v>L 280 ; l 248 ; hauteur 6,7 m ; choix de composition auteur ; dimensions réelles à documenter</x:v>
      </x:c>
      <x:c r="I1316" s="115" t="str">
        <x:v>À équilibrer</x:v>
      </x:c>
      <x:c r="J1316" s="115" t="str">
        <x:v>Non</x:v>
      </x:c>
      <x:c r="K1316" s="115" t="str">
        <x:v>Pièces décrites, murs, portes, niveaux et mobilier inspectables à l’échelle. Volumes réservés, raccord au seed, butin, rencontres et services de campagne restent à terminer.</x:v>
      </x:c>
    </x:row>
    <x:row r="1317" ht="96" customHeight="1">
      <x:c r="A1317" s="115" t="str">
        <x:v>EXT-MONDE-T027-V12</x:v>
      </x:c>
      <x:c r="B1317" s="115" t="str">
        <x:v>EXT-MONDE-T027</x:v>
      </x:c>
      <x:c r="C1317" s="115" t="str">
        <x:v>Fermes cultures</x:v>
      </x:c>
      <x:c r="D1317" s="115" t="str">
        <x:v>Ferme maraîchère</x:v>
      </x:c>
      <x:c r="E1317" s="115" t="n">
        <x:v>12</x:v>
      </x:c>
      <x:c r="F1317" s="115" t="str">
        <x:v>Inspection physique</x:v>
      </x:c>
      <x:c r="G1317" s="115" t="str">
        <x:v>1 niveaux ; 28 pièces ; 210 segments de mur ; 0 transitions. Inspection physique ; architecture complète encore ouverte.</x:v>
      </x:c>
      <x:c r="H1317" s="115" t="str">
        <x:v>L 280 ; l 248 ; hauteur 6,7 m ; choix de composition auteur ; dimensions réelles à documenter</x:v>
      </x:c>
      <x:c r="I1317" s="115" t="str">
        <x:v>À équilibrer</x:v>
      </x:c>
      <x:c r="J1317" s="115" t="str">
        <x:v>Non</x:v>
      </x:c>
      <x:c r="K1317" s="115" t="str">
        <x:v>Pièces décrites, murs, portes, niveaux et mobilier inspectables à l’échelle. Volumes réservés, raccord au seed, butin, rencontres et services de campagne restent à terminer.</x:v>
      </x:c>
    </x:row>
    <x:row r="1318" ht="96" customHeight="1">
      <x:c r="A1318" s="115" t="str">
        <x:v>EXT-MONDE-T027-V13</x:v>
      </x:c>
      <x:c r="B1318" s="115" t="str">
        <x:v>EXT-MONDE-T027</x:v>
      </x:c>
      <x:c r="C1318" s="115" t="str">
        <x:v>Fermes cultures</x:v>
      </x:c>
      <x:c r="D1318" s="115" t="str">
        <x:v>Ferme maraîchère</x:v>
      </x:c>
      <x:c r="E1318" s="115" t="n">
        <x:v>13</x:v>
      </x:c>
      <x:c r="F1318" s="115" t="str">
        <x:v>Inspection physique</x:v>
      </x:c>
      <x:c r="G1318" s="115" t="str">
        <x:v>1 niveaux ; 28 pièces ; 210 segments de mur ; 0 transitions. Inspection physique ; architecture complète encore ouverte.</x:v>
      </x:c>
      <x:c r="H1318" s="115" t="str">
        <x:v>L 280 ; l 248 ; hauteur 6,7 m ; choix de composition auteur ; dimensions réelles à documenter</x:v>
      </x:c>
      <x:c r="I1318" s="115" t="str">
        <x:v>À équilibrer</x:v>
      </x:c>
      <x:c r="J1318" s="115" t="str">
        <x:v>Non</x:v>
      </x:c>
      <x:c r="K1318" s="115" t="str">
        <x:v>Pièces décrites, murs, portes, niveaux et mobilier inspectables à l’échelle. Volumes réservés, raccord au seed, butin, rencontres et services de campagne restent à terminer.</x:v>
      </x:c>
    </x:row>
    <x:row r="1319" ht="96" customHeight="1">
      <x:c r="A1319" s="115" t="str">
        <x:v>EXT-MONDE-T027-V14</x:v>
      </x:c>
      <x:c r="B1319" s="115" t="str">
        <x:v>EXT-MONDE-T027</x:v>
      </x:c>
      <x:c r="C1319" s="115" t="str">
        <x:v>Fermes cultures</x:v>
      </x:c>
      <x:c r="D1319" s="115" t="str">
        <x:v>Ferme maraîchère</x:v>
      </x:c>
      <x:c r="E1319" s="115" t="n">
        <x:v>14</x:v>
      </x:c>
      <x:c r="F1319" s="115" t="str">
        <x:v>Inspection physique</x:v>
      </x:c>
      <x:c r="G1319" s="115" t="str">
        <x:v>1 niveaux ; 28 pièces ; 210 segments de mur ; 0 transitions. Inspection physique ; architecture complète encore ouverte.</x:v>
      </x:c>
      <x:c r="H1319" s="115" t="str">
        <x:v>L 280 ; l 248 ; hauteur 6,7 m ; choix de composition auteur ; dimensions réelles à documenter</x:v>
      </x:c>
      <x:c r="I1319" s="115" t="str">
        <x:v>À équilibrer</x:v>
      </x:c>
      <x:c r="J1319" s="115" t="str">
        <x:v>Non</x:v>
      </x:c>
      <x:c r="K1319" s="115" t="str">
        <x:v>Pièces décrites, murs, portes, niveaux et mobilier inspectables à l’échelle. Volumes réservés, raccord au seed, butin, rencontres et services de campagne restent à terminer.</x:v>
      </x:c>
    </x:row>
    <x:row r="1320" ht="96" customHeight="1">
      <x:c r="A1320" s="115" t="str">
        <x:v>EXT-MONDE-T027-V15</x:v>
      </x:c>
      <x:c r="B1320" s="115" t="str">
        <x:v>EXT-MONDE-T027</x:v>
      </x:c>
      <x:c r="C1320" s="115" t="str">
        <x:v>Fermes cultures</x:v>
      </x:c>
      <x:c r="D1320" s="115" t="str">
        <x:v>Ferme maraîchère</x:v>
      </x:c>
      <x:c r="E1320" s="115" t="n">
        <x:v>15</x:v>
      </x:c>
      <x:c r="F1320" s="115" t="str">
        <x:v>Inspection physique</x:v>
      </x:c>
      <x:c r="G1320" s="115" t="str">
        <x:v>1 niveaux ; 28 pièces ; 210 segments de mur ; 0 transitions. Inspection physique ; architecture complète encore ouverte.</x:v>
      </x:c>
      <x:c r="H1320" s="115" t="str">
        <x:v>L 280 ; l 248 ; hauteur 6,7 m ; choix de composition auteur ; dimensions réelles à documenter</x:v>
      </x:c>
      <x:c r="I1320" s="115" t="str">
        <x:v>À équilibrer</x:v>
      </x:c>
      <x:c r="J1320" s="115" t="str">
        <x:v>Non</x:v>
      </x:c>
      <x:c r="K1320" s="115" t="str">
        <x:v>Pièces décrites, murs, portes, niveaux et mobilier inspectables à l’échelle. Volumes réservés, raccord au seed, butin, rencontres et services de campagne restent à terminer.</x:v>
      </x:c>
    </x:row>
    <x:row r="1321" ht="96" customHeight="1">
      <x:c r="A1321" s="115" t="str">
        <x:v>EXT-MONDE-T027-V16</x:v>
      </x:c>
      <x:c r="B1321" s="115" t="str">
        <x:v>EXT-MONDE-T027</x:v>
      </x:c>
      <x:c r="C1321" s="115" t="str">
        <x:v>Fermes cultures</x:v>
      </x:c>
      <x:c r="D1321" s="115" t="str">
        <x:v>Ferme maraîchère</x:v>
      </x:c>
      <x:c r="E1321" s="115" t="n">
        <x:v>16</x:v>
      </x:c>
      <x:c r="F1321" s="115" t="str">
        <x:v>Inspection physique</x:v>
      </x:c>
      <x:c r="G1321" s="115" t="str">
        <x:v>1 niveaux ; 28 pièces ; 210 segments de mur ; 0 transitions. Inspection physique ; architecture complète encore ouverte.</x:v>
      </x:c>
      <x:c r="H1321" s="115" t="str">
        <x:v>L 280 ; l 248 ; hauteur 6,7 m ; choix de composition auteur ; dimensions réelles à documenter</x:v>
      </x:c>
      <x:c r="I1321" s="115" t="str">
        <x:v>À équilibrer</x:v>
      </x:c>
      <x:c r="J1321" s="115" t="str">
        <x:v>Non</x:v>
      </x:c>
      <x:c r="K1321" s="115" t="str">
        <x:v>Pièces décrites, murs, portes, niveaux et mobilier inspectables à l’échelle. Volumes réservés, raccord au seed, butin, rencontres et services de campagne restent à terminer.</x:v>
      </x:c>
    </x:row>
    <x:row r="1322" ht="96" customHeight="1">
      <x:c r="A1322" s="115" t="str">
        <x:v>EXT-MONDE-T027-V17</x:v>
      </x:c>
      <x:c r="B1322" s="115" t="str">
        <x:v>EXT-MONDE-T027</x:v>
      </x:c>
      <x:c r="C1322" s="115" t="str">
        <x:v>Fermes cultures</x:v>
      </x:c>
      <x:c r="D1322" s="115" t="str">
        <x:v>Ferme maraîchère</x:v>
      </x:c>
      <x:c r="E1322" s="115" t="n">
        <x:v>17</x:v>
      </x:c>
      <x:c r="F1322" s="115" t="str">
        <x:v>Inspection physique</x:v>
      </x:c>
      <x:c r="G1322" s="115" t="str">
        <x:v>1 niveaux ; 28 pièces ; 210 segments de mur ; 0 transitions. Inspection physique ; architecture complète encore ouverte.</x:v>
      </x:c>
      <x:c r="H1322" s="115" t="str">
        <x:v>L 280 ; l 248 ; hauteur 6,7 m ; choix de composition auteur ; dimensions réelles à documenter</x:v>
      </x:c>
      <x:c r="I1322" s="115" t="str">
        <x:v>À équilibrer</x:v>
      </x:c>
      <x:c r="J1322" s="115" t="str">
        <x:v>Non</x:v>
      </x:c>
      <x:c r="K1322" s="115" t="str">
        <x:v>Pièces décrites, murs, portes, niveaux et mobilier inspectables à l’échelle. Volumes réservés, raccord au seed, butin, rencontres et services de campagne restent à terminer.</x:v>
      </x:c>
    </x:row>
    <x:row r="1323" ht="96" customHeight="1">
      <x:c r="A1323" s="115" t="str">
        <x:v>EXT-MONDE-T027-V18</x:v>
      </x:c>
      <x:c r="B1323" s="115" t="str">
        <x:v>EXT-MONDE-T027</x:v>
      </x:c>
      <x:c r="C1323" s="115" t="str">
        <x:v>Fermes cultures</x:v>
      </x:c>
      <x:c r="D1323" s="115" t="str">
        <x:v>Ferme maraîchère</x:v>
      </x:c>
      <x:c r="E1323" s="115" t="n">
        <x:v>18</x:v>
      </x:c>
      <x:c r="F1323" s="115" t="str">
        <x:v>Inspection physique</x:v>
      </x:c>
      <x:c r="G1323" s="115" t="str">
        <x:v>1 niveaux ; 28 pièces ; 210 segments de mur ; 0 transitions. Inspection physique ; architecture complète encore ouverte.</x:v>
      </x:c>
      <x:c r="H1323" s="115" t="str">
        <x:v>L 280 ; l 248 ; hauteur 6,7 m ; choix de composition auteur ; dimensions réelles à documenter</x:v>
      </x:c>
      <x:c r="I1323" s="115" t="str">
        <x:v>À équilibrer</x:v>
      </x:c>
      <x:c r="J1323" s="115" t="str">
        <x:v>Non</x:v>
      </x:c>
      <x:c r="K1323" s="115" t="str">
        <x:v>Pièces décrites, murs, portes, niveaux et mobilier inspectables à l’échelle. Volumes réservés, raccord au seed, butin, rencontres et services de campagne restent à terminer.</x:v>
      </x:c>
    </x:row>
    <x:row r="1324" ht="96" customHeight="1">
      <x:c r="A1324" s="115" t="str">
        <x:v>EXT-MONDE-T027-V19</x:v>
      </x:c>
      <x:c r="B1324" s="115" t="str">
        <x:v>EXT-MONDE-T027</x:v>
      </x:c>
      <x:c r="C1324" s="115" t="str">
        <x:v>Fermes cultures</x:v>
      </x:c>
      <x:c r="D1324" s="115" t="str">
        <x:v>Ferme maraîchère</x:v>
      </x:c>
      <x:c r="E1324" s="115" t="n">
        <x:v>19</x:v>
      </x:c>
      <x:c r="F1324" s="115" t="str">
        <x:v>Inspection physique</x:v>
      </x:c>
      <x:c r="G1324" s="115" t="str">
        <x:v>1 niveaux ; 28 pièces ; 210 segments de mur ; 0 transitions. Inspection physique ; architecture complète encore ouverte.</x:v>
      </x:c>
      <x:c r="H1324" s="115" t="str">
        <x:v>L 280 ; l 248 ; hauteur 6,7 m ; choix de composition auteur ; dimensions réelles à documenter</x:v>
      </x:c>
      <x:c r="I1324" s="115" t="str">
        <x:v>À équilibrer</x:v>
      </x:c>
      <x:c r="J1324" s="115" t="str">
        <x:v>Non</x:v>
      </x:c>
      <x:c r="K1324" s="115" t="str">
        <x:v>Pièces décrites, murs, portes, niveaux et mobilier inspectables à l’échelle. Volumes réservés, raccord au seed, butin, rencontres et services de campagne restent à terminer.</x:v>
      </x:c>
    </x:row>
    <x:row r="1325" ht="96" customHeight="1">
      <x:c r="A1325" s="115" t="str">
        <x:v>EXT-MONDE-T027-V20</x:v>
      </x:c>
      <x:c r="B1325" s="115" t="str">
        <x:v>EXT-MONDE-T027</x:v>
      </x:c>
      <x:c r="C1325" s="115" t="str">
        <x:v>Fermes cultures</x:v>
      </x:c>
      <x:c r="D1325" s="115" t="str">
        <x:v>Ferme maraîchère</x:v>
      </x:c>
      <x:c r="E1325" s="115" t="n">
        <x:v>20</x:v>
      </x:c>
      <x:c r="F1325" s="115" t="str">
        <x:v>Inspection physique</x:v>
      </x:c>
      <x:c r="G1325" s="115" t="str">
        <x:v>1 niveaux ; 28 pièces ; 210 segments de mur ; 0 transitions. Inspection physique ; architecture complète encore ouverte.</x:v>
      </x:c>
      <x:c r="H1325" s="115" t="str">
        <x:v>L 280 ; l 248 ; hauteur 6,7 m ; choix de composition auteur ; dimensions réelles à documenter</x:v>
      </x:c>
      <x:c r="I1325" s="115" t="str">
        <x:v>À équilibrer</x:v>
      </x:c>
      <x:c r="J1325" s="115" t="str">
        <x:v>Non</x:v>
      </x:c>
      <x:c r="K1325" s="115" t="str">
        <x:v>Pièces décrites, murs, portes, niveaux et mobilier inspectables à l’échelle. Volumes réservés, raccord au seed, butin, rencontres et services de campagne restent à terminer.</x:v>
      </x:c>
    </x:row>
    <x:row r="1326" ht="96" customHeight="1">
      <x:c r="A1326" s="115" t="str">
        <x:v>EXT-MONDE-T027-V21</x:v>
      </x:c>
      <x:c r="B1326" s="115" t="str">
        <x:v>EXT-MONDE-T027</x:v>
      </x:c>
      <x:c r="C1326" s="115" t="str">
        <x:v>Fermes cultures</x:v>
      </x:c>
      <x:c r="D1326" s="115" t="str">
        <x:v>Ferme maraîchère</x:v>
      </x:c>
      <x:c r="E1326" s="115" t="n">
        <x:v>21</x:v>
      </x:c>
      <x:c r="F1326" s="115" t="str">
        <x:v>Inspection physique</x:v>
      </x:c>
      <x:c r="G1326" s="115" t="str">
        <x:v>1 niveaux ; 28 pièces ; 210 segments de mur ; 0 transitions. Inspection physique ; architecture complète encore ouverte.</x:v>
      </x:c>
      <x:c r="H1326" s="115" t="str">
        <x:v>L 300 ; l 272 ; hauteur 6,9 m ; choix de composition auteur ; dimensions réelles à documenter</x:v>
      </x:c>
      <x:c r="I1326" s="115" t="str">
        <x:v>À équilibrer</x:v>
      </x:c>
      <x:c r="J1326" s="115" t="str">
        <x:v>Non</x:v>
      </x:c>
      <x:c r="K1326" s="115" t="str">
        <x:v>Pièces décrites, murs, portes, niveaux et mobilier inspectables à l’échelle. Volumes réservés, raccord au seed, butin, rencontres et services de campagne restent à terminer.</x:v>
      </x:c>
    </x:row>
    <x:row r="1327" ht="96" customHeight="1">
      <x:c r="A1327" s="115" t="str">
        <x:v>EXT-MONDE-T027-V22</x:v>
      </x:c>
      <x:c r="B1327" s="115" t="str">
        <x:v>EXT-MONDE-T027</x:v>
      </x:c>
      <x:c r="C1327" s="115" t="str">
        <x:v>Fermes cultures</x:v>
      </x:c>
      <x:c r="D1327" s="115" t="str">
        <x:v>Ferme maraîchère</x:v>
      </x:c>
      <x:c r="E1327" s="115" t="n">
        <x:v>22</x:v>
      </x:c>
      <x:c r="F1327" s="115" t="str">
        <x:v>Inspection physique</x:v>
      </x:c>
      <x:c r="G1327" s="115" t="str">
        <x:v>1 niveaux ; 28 pièces ; 210 segments de mur ; 0 transitions. Inspection physique ; architecture complète encore ouverte.</x:v>
      </x:c>
      <x:c r="H1327" s="115" t="str">
        <x:v>L 300 ; l 272 ; hauteur 6,9 m ; choix de composition auteur ; dimensions réelles à documenter</x:v>
      </x:c>
      <x:c r="I1327" s="115" t="str">
        <x:v>À équilibrer</x:v>
      </x:c>
      <x:c r="J1327" s="115" t="str">
        <x:v>Non</x:v>
      </x:c>
      <x:c r="K1327" s="115" t="str">
        <x:v>Pièces décrites, murs, portes, niveaux et mobilier inspectables à l’échelle. Volumes réservés, raccord au seed, butin, rencontres et services de campagne restent à terminer.</x:v>
      </x:c>
    </x:row>
    <x:row r="1328" ht="96" customHeight="1">
      <x:c r="A1328" s="115" t="str">
        <x:v>EXT-MONDE-T027-V23</x:v>
      </x:c>
      <x:c r="B1328" s="115" t="str">
        <x:v>EXT-MONDE-T027</x:v>
      </x:c>
      <x:c r="C1328" s="115" t="str">
        <x:v>Fermes cultures</x:v>
      </x:c>
      <x:c r="D1328" s="115" t="str">
        <x:v>Ferme maraîchère</x:v>
      </x:c>
      <x:c r="E1328" s="115" t="n">
        <x:v>23</x:v>
      </x:c>
      <x:c r="F1328" s="115" t="str">
        <x:v>Inspection physique</x:v>
      </x:c>
      <x:c r="G1328" s="115" t="str">
        <x:v>1 niveaux ; 28 pièces ; 210 segments de mur ; 0 transitions. Inspection physique ; architecture complète encore ouverte.</x:v>
      </x:c>
      <x:c r="H1328" s="115" t="str">
        <x:v>L 300 ; l 272 ; hauteur 6,9 m ; choix de composition auteur ; dimensions réelles à documenter</x:v>
      </x:c>
      <x:c r="I1328" s="115" t="str">
        <x:v>À équilibrer</x:v>
      </x:c>
      <x:c r="J1328" s="115" t="str">
        <x:v>Non</x:v>
      </x:c>
      <x:c r="K1328" s="115" t="str">
        <x:v>Pièces décrites, murs, portes, niveaux et mobilier inspectables à l’échelle. Volumes réservés, raccord au seed, butin, rencontres et services de campagne restent à terminer.</x:v>
      </x:c>
    </x:row>
    <x:row r="1329" ht="96" customHeight="1">
      <x:c r="A1329" s="115" t="str">
        <x:v>EXT-MONDE-T027-V24</x:v>
      </x:c>
      <x:c r="B1329" s="115" t="str">
        <x:v>EXT-MONDE-T027</x:v>
      </x:c>
      <x:c r="C1329" s="115" t="str">
        <x:v>Fermes cultures</x:v>
      </x:c>
      <x:c r="D1329" s="115" t="str">
        <x:v>Ferme maraîchère</x:v>
      </x:c>
      <x:c r="E1329" s="115" t="n">
        <x:v>24</x:v>
      </x:c>
      <x:c r="F1329" s="115" t="str">
        <x:v>Inspection physique</x:v>
      </x:c>
      <x:c r="G1329" s="115" t="str">
        <x:v>1 niveaux ; 28 pièces ; 210 segments de mur ; 0 transitions. Inspection physique ; architecture complète encore ouverte.</x:v>
      </x:c>
      <x:c r="H1329" s="115" t="str">
        <x:v>L 300 ; l 272 ; hauteur 6,9 m ; choix de composition auteur ; dimensions réelles à documenter</x:v>
      </x:c>
      <x:c r="I1329" s="115" t="str">
        <x:v>À équilibrer</x:v>
      </x:c>
      <x:c r="J1329" s="115" t="str">
        <x:v>Non</x:v>
      </x:c>
      <x:c r="K1329" s="115" t="str">
        <x:v>Pièces décrites, murs, portes, niveaux et mobilier inspectables à l’échelle. Volumes réservés, raccord au seed, butin, rencontres et services de campagne restent à terminer.</x:v>
      </x:c>
    </x:row>
    <x:row r="1330" ht="96" customHeight="1">
      <x:c r="A1330" s="115" t="str">
        <x:v>EXT-MONDE-T027-V25</x:v>
      </x:c>
      <x:c r="B1330" s="115" t="str">
        <x:v>EXT-MONDE-T027</x:v>
      </x:c>
      <x:c r="C1330" s="115" t="str">
        <x:v>Fermes cultures</x:v>
      </x:c>
      <x:c r="D1330" s="115" t="str">
        <x:v>Ferme maraîchère</x:v>
      </x:c>
      <x:c r="E1330" s="115" t="n">
        <x:v>25</x:v>
      </x:c>
      <x:c r="F1330" s="115" t="str">
        <x:v>Inspection physique</x:v>
      </x:c>
      <x:c r="G1330" s="115" t="str">
        <x:v>1 niveaux ; 28 pièces ; 210 segments de mur ; 0 transitions. Inspection physique ; architecture complète encore ouverte.</x:v>
      </x:c>
      <x:c r="H1330" s="115" t="str">
        <x:v>L 300 ; l 272 ; hauteur 6,9 m ; choix de composition auteur ; dimensions réelles à documenter</x:v>
      </x:c>
      <x:c r="I1330" s="115" t="str">
        <x:v>À équilibrer</x:v>
      </x:c>
      <x:c r="J1330" s="115" t="str">
        <x:v>Non</x:v>
      </x:c>
      <x:c r="K1330" s="115" t="str">
        <x:v>Pièces décrites, murs, portes, niveaux et mobilier inspectables à l’échelle. Volumes réservés, raccord au seed, butin, rencontres et services de campagne restent à terminer.</x:v>
      </x:c>
    </x:row>
    <x:row r="1331" ht="96" customHeight="1">
      <x:c r="A1331" s="115" t="str">
        <x:v>EXT-MONDE-T027-V26</x:v>
      </x:c>
      <x:c r="B1331" s="115" t="str">
        <x:v>EXT-MONDE-T027</x:v>
      </x:c>
      <x:c r="C1331" s="115" t="str">
        <x:v>Fermes cultures</x:v>
      </x:c>
      <x:c r="D1331" s="115" t="str">
        <x:v>Ferme maraîchère</x:v>
      </x:c>
      <x:c r="E1331" s="115" t="n">
        <x:v>26</x:v>
      </x:c>
      <x:c r="F1331" s="115" t="str">
        <x:v>Inspection physique</x:v>
      </x:c>
      <x:c r="G1331" s="115" t="str">
        <x:v>1 niveaux ; 28 pièces ; 210 segments de mur ; 0 transitions. Inspection physique ; architecture complète encore ouverte.</x:v>
      </x:c>
      <x:c r="H1331" s="115" t="str">
        <x:v>L 300 ; l 272 ; hauteur 6,9 m ; choix de composition auteur ; dimensions réelles à documenter</x:v>
      </x:c>
      <x:c r="I1331" s="115" t="str">
        <x:v>À équilibrer</x:v>
      </x:c>
      <x:c r="J1331" s="115" t="str">
        <x:v>Non</x:v>
      </x:c>
      <x:c r="K1331" s="115" t="str">
        <x:v>Pièces décrites, murs, portes, niveaux et mobilier inspectables à l’échelle. Volumes réservés, raccord au seed, butin, rencontres et services de campagne restent à terminer.</x:v>
      </x:c>
    </x:row>
    <x:row r="1332" ht="96" customHeight="1">
      <x:c r="A1332" s="115" t="str">
        <x:v>EXT-MONDE-T027-V27</x:v>
      </x:c>
      <x:c r="B1332" s="115" t="str">
        <x:v>EXT-MONDE-T027</x:v>
      </x:c>
      <x:c r="C1332" s="115" t="str">
        <x:v>Fermes cultures</x:v>
      </x:c>
      <x:c r="D1332" s="115" t="str">
        <x:v>Ferme maraîchère</x:v>
      </x:c>
      <x:c r="E1332" s="115" t="n">
        <x:v>27</x:v>
      </x:c>
      <x:c r="F1332" s="115" t="str">
        <x:v>Inspection physique</x:v>
      </x:c>
      <x:c r="G1332" s="115" t="str">
        <x:v>1 niveaux ; 28 pièces ; 210 segments de mur ; 0 transitions. Inspection physique ; architecture complète encore ouverte.</x:v>
      </x:c>
      <x:c r="H1332" s="115" t="str">
        <x:v>L 300 ; l 272 ; hauteur 6,9 m ; choix de composition auteur ; dimensions réelles à documenter</x:v>
      </x:c>
      <x:c r="I1332" s="115" t="str">
        <x:v>À équilibrer</x:v>
      </x:c>
      <x:c r="J1332" s="115" t="str">
        <x:v>Non</x:v>
      </x:c>
      <x:c r="K1332" s="115" t="str">
        <x:v>Pièces décrites, murs, portes, niveaux et mobilier inspectables à l’échelle. Volumes réservés, raccord au seed, butin, rencontres et services de campagne restent à terminer.</x:v>
      </x:c>
    </x:row>
    <x:row r="1333" ht="96" customHeight="1">
      <x:c r="A1333" s="115" t="str">
        <x:v>EXT-MONDE-T027-V28</x:v>
      </x:c>
      <x:c r="B1333" s="115" t="str">
        <x:v>EXT-MONDE-T027</x:v>
      </x:c>
      <x:c r="C1333" s="115" t="str">
        <x:v>Fermes cultures</x:v>
      </x:c>
      <x:c r="D1333" s="115" t="str">
        <x:v>Ferme maraîchère</x:v>
      </x:c>
      <x:c r="E1333" s="115" t="n">
        <x:v>28</x:v>
      </x:c>
      <x:c r="F1333" s="115" t="str">
        <x:v>Inspection physique</x:v>
      </x:c>
      <x:c r="G1333" s="115" t="str">
        <x:v>1 niveaux ; 28 pièces ; 210 segments de mur ; 0 transitions. Inspection physique ; architecture complète encore ouverte.</x:v>
      </x:c>
      <x:c r="H1333" s="115" t="str">
        <x:v>L 300 ; l 272 ; hauteur 6,9 m ; choix de composition auteur ; dimensions réelles à documenter</x:v>
      </x:c>
      <x:c r="I1333" s="115" t="str">
        <x:v>À équilibrer</x:v>
      </x:c>
      <x:c r="J1333" s="115" t="str">
        <x:v>Non</x:v>
      </x:c>
      <x:c r="K1333" s="115" t="str">
        <x:v>Pièces décrites, murs, portes, niveaux et mobilier inspectables à l’échelle. Volumes réservés, raccord au seed, butin, rencontres et services de campagne restent à terminer.</x:v>
      </x:c>
    </x:row>
    <x:row r="1334" ht="96" customHeight="1">
      <x:c r="A1334" s="115" t="str">
        <x:v>EXT-MONDE-T027-V29</x:v>
      </x:c>
      <x:c r="B1334" s="115" t="str">
        <x:v>EXT-MONDE-T027</x:v>
      </x:c>
      <x:c r="C1334" s="115" t="str">
        <x:v>Fermes cultures</x:v>
      </x:c>
      <x:c r="D1334" s="115" t="str">
        <x:v>Ferme maraîchère</x:v>
      </x:c>
      <x:c r="E1334" s="115" t="n">
        <x:v>29</x:v>
      </x:c>
      <x:c r="F1334" s="115" t="str">
        <x:v>Inspection physique</x:v>
      </x:c>
      <x:c r="G1334" s="115" t="str">
        <x:v>1 niveaux ; 28 pièces ; 210 segments de mur ; 0 transitions. Inspection physique ; architecture complète encore ouverte.</x:v>
      </x:c>
      <x:c r="H1334" s="115" t="str">
        <x:v>L 300 ; l 272 ; hauteur 6,9 m ; choix de composition auteur ; dimensions réelles à documenter</x:v>
      </x:c>
      <x:c r="I1334" s="115" t="str">
        <x:v>À équilibrer</x:v>
      </x:c>
      <x:c r="J1334" s="115" t="str">
        <x:v>Non</x:v>
      </x:c>
      <x:c r="K1334" s="115" t="str">
        <x:v>Pièces décrites, murs, portes, niveaux et mobilier inspectables à l’échelle. Volumes réservés, raccord au seed, butin, rencontres et services de campagne restent à terminer.</x:v>
      </x:c>
    </x:row>
    <x:row r="1335" ht="96" customHeight="1">
      <x:c r="A1335" s="115" t="str">
        <x:v>EXT-MONDE-T027-V30</x:v>
      </x:c>
      <x:c r="B1335" s="115" t="str">
        <x:v>EXT-MONDE-T027</x:v>
      </x:c>
      <x:c r="C1335" s="115" t="str">
        <x:v>Fermes cultures</x:v>
      </x:c>
      <x:c r="D1335" s="115" t="str">
        <x:v>Ferme maraîchère</x:v>
      </x:c>
      <x:c r="E1335" s="115" t="n">
        <x:v>30</x:v>
      </x:c>
      <x:c r="F1335" s="115" t="str">
        <x:v>Inspection physique</x:v>
      </x:c>
      <x:c r="G1335" s="115" t="str">
        <x:v>1 niveaux ; 28 pièces ; 210 segments de mur ; 0 transitions. Inspection physique ; architecture complète encore ouverte.</x:v>
      </x:c>
      <x:c r="H1335" s="115" t="str">
        <x:v>L 300 ; l 272 ; hauteur 6,9 m ; choix de composition auteur ; dimensions réelles à documenter</x:v>
      </x:c>
      <x:c r="I1335" s="115" t="str">
        <x:v>À équilibrer</x:v>
      </x:c>
      <x:c r="J1335" s="115" t="str">
        <x:v>Non</x:v>
      </x:c>
      <x:c r="K1335" s="115" t="str">
        <x:v>Pièces décrites, murs, portes, niveaux et mobilier inspectables à l’échelle. Volumes réservés, raccord au seed, butin, rencontres et services de campagne restent à terminer.</x:v>
      </x:c>
    </x:row>
    <x:row r="1336" ht="96" customHeight="1">
      <x:c r="A1336" s="115" t="str">
        <x:v>EXT-MONDE-T027-V31</x:v>
      </x:c>
      <x:c r="B1336" s="115" t="str">
        <x:v>EXT-MONDE-T027</x:v>
      </x:c>
      <x:c r="C1336" s="115" t="str">
        <x:v>Fermes cultures</x:v>
      </x:c>
      <x:c r="D1336" s="115" t="str">
        <x:v>Ferme maraîchère</x:v>
      </x:c>
      <x:c r="E1336" s="115" t="n">
        <x:v>31</x:v>
      </x:c>
      <x:c r="F1336" s="115" t="str">
        <x:v>Inspection physique</x:v>
      </x:c>
      <x:c r="G1336" s="115" t="str">
        <x:v>1 niveaux ; 28 pièces ; 210 segments de mur ; 0 transitions. Inspection physique ; architecture complète encore ouverte.</x:v>
      </x:c>
      <x:c r="H1336" s="115" t="str">
        <x:v>L 320 ; l 296 ; hauteur 7,1 m ; choix de composition auteur ; dimensions réelles à documenter</x:v>
      </x:c>
      <x:c r="I1336" s="115" t="str">
        <x:v>À équilibrer</x:v>
      </x:c>
      <x:c r="J1336" s="115" t="str">
        <x:v>Non</x:v>
      </x:c>
      <x:c r="K1336" s="115" t="str">
        <x:v>Pièces décrites, murs, portes, niveaux et mobilier inspectables à l’échelle. Volumes réservés, raccord au seed, butin, rencontres et services de campagne restent à terminer.</x:v>
      </x:c>
    </x:row>
    <x:row r="1337" ht="96" customHeight="1">
      <x:c r="A1337" s="115" t="str">
        <x:v>EXT-MONDE-T027-V32</x:v>
      </x:c>
      <x:c r="B1337" s="115" t="str">
        <x:v>EXT-MONDE-T027</x:v>
      </x:c>
      <x:c r="C1337" s="115" t="str">
        <x:v>Fermes cultures</x:v>
      </x:c>
      <x:c r="D1337" s="115" t="str">
        <x:v>Ferme maraîchère</x:v>
      </x:c>
      <x:c r="E1337" s="115" t="n">
        <x:v>32</x:v>
      </x:c>
      <x:c r="F1337" s="115" t="str">
        <x:v>Inspection physique</x:v>
      </x:c>
      <x:c r="G1337" s="115" t="str">
        <x:v>1 niveaux ; 28 pièces ; 210 segments de mur ; 0 transitions. Inspection physique ; architecture complète encore ouverte.</x:v>
      </x:c>
      <x:c r="H1337" s="115" t="str">
        <x:v>L 320 ; l 296 ; hauteur 7,1 m ; choix de composition auteur ; dimensions réelles à documenter</x:v>
      </x:c>
      <x:c r="I1337" s="115" t="str">
        <x:v>À équilibrer</x:v>
      </x:c>
      <x:c r="J1337" s="115" t="str">
        <x:v>Non</x:v>
      </x:c>
      <x:c r="K1337" s="115" t="str">
        <x:v>Pièces décrites, murs, portes, niveaux et mobilier inspectables à l’échelle. Volumes réservés, raccord au seed, butin, rencontres et services de campagne restent à terminer.</x:v>
      </x:c>
    </x:row>
    <x:row r="1338" ht="96" customHeight="1">
      <x:c r="A1338" s="115" t="str">
        <x:v>EXT-MONDE-T027-V33</x:v>
      </x:c>
      <x:c r="B1338" s="115" t="str">
        <x:v>EXT-MONDE-T027</x:v>
      </x:c>
      <x:c r="C1338" s="115" t="str">
        <x:v>Fermes cultures</x:v>
      </x:c>
      <x:c r="D1338" s="115" t="str">
        <x:v>Ferme maraîchère</x:v>
      </x:c>
      <x:c r="E1338" s="115" t="n">
        <x:v>33</x:v>
      </x:c>
      <x:c r="F1338" s="115" t="str">
        <x:v>Inspection physique</x:v>
      </x:c>
      <x:c r="G1338" s="115" t="str">
        <x:v>1 niveaux ; 28 pièces ; 210 segments de mur ; 0 transitions. Inspection physique ; architecture complète encore ouverte.</x:v>
      </x:c>
      <x:c r="H1338" s="115" t="str">
        <x:v>L 320 ; l 296 ; hauteur 7,1 m ; choix de composition auteur ; dimensions réelles à documenter</x:v>
      </x:c>
      <x:c r="I1338" s="115" t="str">
        <x:v>À équilibrer</x:v>
      </x:c>
      <x:c r="J1338" s="115" t="str">
        <x:v>Non</x:v>
      </x:c>
      <x:c r="K1338" s="115" t="str">
        <x:v>Pièces décrites, murs, portes, niveaux et mobilier inspectables à l’échelle. Volumes réservés, raccord au seed, butin, rencontres et services de campagne restent à terminer.</x:v>
      </x:c>
    </x:row>
    <x:row r="1339" ht="96" customHeight="1">
      <x:c r="A1339" s="115" t="str">
        <x:v>EXT-MONDE-T027-V34</x:v>
      </x:c>
      <x:c r="B1339" s="115" t="str">
        <x:v>EXT-MONDE-T027</x:v>
      </x:c>
      <x:c r="C1339" s="115" t="str">
        <x:v>Fermes cultures</x:v>
      </x:c>
      <x:c r="D1339" s="115" t="str">
        <x:v>Ferme maraîchère</x:v>
      </x:c>
      <x:c r="E1339" s="115" t="n">
        <x:v>34</x:v>
      </x:c>
      <x:c r="F1339" s="115" t="str">
        <x:v>Inspection physique</x:v>
      </x:c>
      <x:c r="G1339" s="115" t="str">
        <x:v>1 niveaux ; 28 pièces ; 210 segments de mur ; 0 transitions. Inspection physique ; architecture complète encore ouverte.</x:v>
      </x:c>
      <x:c r="H1339" s="115" t="str">
        <x:v>L 320 ; l 296 ; hauteur 7,1 m ; choix de composition auteur ; dimensions réelles à documenter</x:v>
      </x:c>
      <x:c r="I1339" s="115" t="str">
        <x:v>À équilibrer</x:v>
      </x:c>
      <x:c r="J1339" s="115" t="str">
        <x:v>Non</x:v>
      </x:c>
      <x:c r="K1339" s="115" t="str">
        <x:v>Pièces décrites, murs, portes, niveaux et mobilier inspectables à l’échelle. Volumes réservés, raccord au seed, butin, rencontres et services de campagne restent à terminer.</x:v>
      </x:c>
    </x:row>
    <x:row r="1340" ht="96" customHeight="1">
      <x:c r="A1340" s="115" t="str">
        <x:v>EXT-MONDE-T027-V35</x:v>
      </x:c>
      <x:c r="B1340" s="115" t="str">
        <x:v>EXT-MONDE-T027</x:v>
      </x:c>
      <x:c r="C1340" s="115" t="str">
        <x:v>Fermes cultures</x:v>
      </x:c>
      <x:c r="D1340" s="115" t="str">
        <x:v>Ferme maraîchère</x:v>
      </x:c>
      <x:c r="E1340" s="115" t="n">
        <x:v>35</x:v>
      </x:c>
      <x:c r="F1340" s="115" t="str">
        <x:v>Inspection physique</x:v>
      </x:c>
      <x:c r="G1340" s="115" t="str">
        <x:v>1 niveaux ; 28 pièces ; 210 segments de mur ; 0 transitions. Inspection physique ; architecture complète encore ouverte.</x:v>
      </x:c>
      <x:c r="H1340" s="115" t="str">
        <x:v>L 320 ; l 296 ; hauteur 7,1 m ; choix de composition auteur ; dimensions réelles à documenter</x:v>
      </x:c>
      <x:c r="I1340" s="115" t="str">
        <x:v>À équilibrer</x:v>
      </x:c>
      <x:c r="J1340" s="115" t="str">
        <x:v>Non</x:v>
      </x:c>
      <x:c r="K1340" s="115" t="str">
        <x:v>Pièces décrites, murs, portes, niveaux et mobilier inspectables à l’échelle. Volumes réservés, raccord au seed, butin, rencontres et services de campagne restent à terminer.</x:v>
      </x:c>
    </x:row>
    <x:row r="1341" ht="96" customHeight="1">
      <x:c r="A1341" s="115" t="str">
        <x:v>EXT-MONDE-T027-V36</x:v>
      </x:c>
      <x:c r="B1341" s="115" t="str">
        <x:v>EXT-MONDE-T027</x:v>
      </x:c>
      <x:c r="C1341" s="115" t="str">
        <x:v>Fermes cultures</x:v>
      </x:c>
      <x:c r="D1341" s="115" t="str">
        <x:v>Ferme maraîchère</x:v>
      </x:c>
      <x:c r="E1341" s="115" t="n">
        <x:v>36</x:v>
      </x:c>
      <x:c r="F1341" s="115" t="str">
        <x:v>Inspection physique</x:v>
      </x:c>
      <x:c r="G1341" s="115" t="str">
        <x:v>1 niveaux ; 28 pièces ; 210 segments de mur ; 0 transitions. Inspection physique ; architecture complète encore ouverte.</x:v>
      </x:c>
      <x:c r="H1341" s="115" t="str">
        <x:v>L 320 ; l 296 ; hauteur 7,1 m ; choix de composition auteur ; dimensions réelles à documenter</x:v>
      </x:c>
      <x:c r="I1341" s="115" t="str">
        <x:v>À équilibrer</x:v>
      </x:c>
      <x:c r="J1341" s="115" t="str">
        <x:v>Non</x:v>
      </x:c>
      <x:c r="K1341" s="115" t="str">
        <x:v>Pièces décrites, murs, portes, niveaux et mobilier inspectables à l’échelle. Volumes réservés, raccord au seed, butin, rencontres et services de campagne restent à terminer.</x:v>
      </x:c>
    </x:row>
    <x:row r="1342" ht="96" customHeight="1">
      <x:c r="A1342" s="115" t="str">
        <x:v>EXT-MONDE-T027-V37</x:v>
      </x:c>
      <x:c r="B1342" s="115" t="str">
        <x:v>EXT-MONDE-T027</x:v>
      </x:c>
      <x:c r="C1342" s="115" t="str">
        <x:v>Fermes cultures</x:v>
      </x:c>
      <x:c r="D1342" s="115" t="str">
        <x:v>Ferme maraîchère</x:v>
      </x:c>
      <x:c r="E1342" s="115" t="n">
        <x:v>37</x:v>
      </x:c>
      <x:c r="F1342" s="115" t="str">
        <x:v>Inspection physique</x:v>
      </x:c>
      <x:c r="G1342" s="115" t="str">
        <x:v>1 niveaux ; 28 pièces ; 210 segments de mur ; 0 transitions. Inspection physique ; architecture complète encore ouverte.</x:v>
      </x:c>
      <x:c r="H1342" s="115" t="str">
        <x:v>L 320 ; l 296 ; hauteur 7,1 m ; choix de composition auteur ; dimensions réelles à documenter</x:v>
      </x:c>
      <x:c r="I1342" s="115" t="str">
        <x:v>À équilibrer</x:v>
      </x:c>
      <x:c r="J1342" s="115" t="str">
        <x:v>Non</x:v>
      </x:c>
      <x:c r="K1342" s="115" t="str">
        <x:v>Pièces décrites, murs, portes, niveaux et mobilier inspectables à l’échelle. Volumes réservés, raccord au seed, butin, rencontres et services de campagne restent à terminer.</x:v>
      </x:c>
    </x:row>
    <x:row r="1343" ht="96" customHeight="1">
      <x:c r="A1343" s="115" t="str">
        <x:v>EXT-MONDE-T027-V38</x:v>
      </x:c>
      <x:c r="B1343" s="115" t="str">
        <x:v>EXT-MONDE-T027</x:v>
      </x:c>
      <x:c r="C1343" s="115" t="str">
        <x:v>Fermes cultures</x:v>
      </x:c>
      <x:c r="D1343" s="115" t="str">
        <x:v>Ferme maraîchère</x:v>
      </x:c>
      <x:c r="E1343" s="115" t="n">
        <x:v>38</x:v>
      </x:c>
      <x:c r="F1343" s="115" t="str">
        <x:v>Inspection physique</x:v>
      </x:c>
      <x:c r="G1343" s="115" t="str">
        <x:v>1 niveaux ; 28 pièces ; 210 segments de mur ; 0 transitions. Inspection physique ; architecture complète encore ouverte.</x:v>
      </x:c>
      <x:c r="H1343" s="115" t="str">
        <x:v>L 320 ; l 296 ; hauteur 7,1 m ; choix de composition auteur ; dimensions réelles à documenter</x:v>
      </x:c>
      <x:c r="I1343" s="115" t="str">
        <x:v>À équilibrer</x:v>
      </x:c>
      <x:c r="J1343" s="115" t="str">
        <x:v>Non</x:v>
      </x:c>
      <x:c r="K1343" s="115" t="str">
        <x:v>Pièces décrites, murs, portes, niveaux et mobilier inspectables à l’échelle. Volumes réservés, raccord au seed, butin, rencontres et services de campagne restent à terminer.</x:v>
      </x:c>
    </x:row>
    <x:row r="1344" ht="96" customHeight="1">
      <x:c r="A1344" s="115" t="str">
        <x:v>EXT-MONDE-T027-V39</x:v>
      </x:c>
      <x:c r="B1344" s="115" t="str">
        <x:v>EXT-MONDE-T027</x:v>
      </x:c>
      <x:c r="C1344" s="115" t="str">
        <x:v>Fermes cultures</x:v>
      </x:c>
      <x:c r="D1344" s="115" t="str">
        <x:v>Ferme maraîchère</x:v>
      </x:c>
      <x:c r="E1344" s="115" t="n">
        <x:v>39</x:v>
      </x:c>
      <x:c r="F1344" s="115" t="str">
        <x:v>Inspection physique</x:v>
      </x:c>
      <x:c r="G1344" s="115" t="str">
        <x:v>1 niveaux ; 28 pièces ; 210 segments de mur ; 0 transitions. Inspection physique ; architecture complète encore ouverte.</x:v>
      </x:c>
      <x:c r="H1344" s="115" t="str">
        <x:v>L 320 ; l 296 ; hauteur 7,1 m ; choix de composition auteur ; dimensions réelles à documenter</x:v>
      </x:c>
      <x:c r="I1344" s="115" t="str">
        <x:v>À équilibrer</x:v>
      </x:c>
      <x:c r="J1344" s="115" t="str">
        <x:v>Non</x:v>
      </x:c>
      <x:c r="K1344" s="115" t="str">
        <x:v>Pièces décrites, murs, portes, niveaux et mobilier inspectables à l’échelle. Volumes réservés, raccord au seed, butin, rencontres et services de campagne restent à terminer.</x:v>
      </x:c>
    </x:row>
    <x:row r="1345" ht="96" customHeight="1">
      <x:c r="A1345" s="115" t="str">
        <x:v>EXT-MONDE-T027-V40</x:v>
      </x:c>
      <x:c r="B1345" s="115" t="str">
        <x:v>EXT-MONDE-T027</x:v>
      </x:c>
      <x:c r="C1345" s="115" t="str">
        <x:v>Fermes cultures</x:v>
      </x:c>
      <x:c r="D1345" s="115" t="str">
        <x:v>Ferme maraîchère</x:v>
      </x:c>
      <x:c r="E1345" s="115" t="n">
        <x:v>40</x:v>
      </x:c>
      <x:c r="F1345" s="115" t="str">
        <x:v>Inspection physique</x:v>
      </x:c>
      <x:c r="G1345" s="115" t="str">
        <x:v>1 niveaux ; 28 pièces ; 210 segments de mur ; 0 transitions. Inspection physique ; architecture complète encore ouverte.</x:v>
      </x:c>
      <x:c r="H1345" s="115" t="str">
        <x:v>L 320 ; l 296 ; hauteur 7,1 m ; choix de composition auteur ; dimensions réelles à documenter</x:v>
      </x:c>
      <x:c r="I1345" s="115" t="str">
        <x:v>À équilibrer</x:v>
      </x:c>
      <x:c r="J1345" s="115" t="str">
        <x:v>Non</x:v>
      </x:c>
      <x:c r="K1345" s="115" t="str">
        <x:v>Pièces décrites, murs, portes, niveaux et mobilier inspectables à l’échelle. Volumes réservés, raccord au seed, butin, rencontres et services de campagne restent à terminer.</x:v>
      </x:c>
    </x:row>
    <x:row r="1346" ht="96" customHeight="1">
      <x:c r="A1346" s="115" t="str">
        <x:v>EXT-MONDE-T027-V41</x:v>
      </x:c>
      <x:c r="B1346" s="115" t="str">
        <x:v>EXT-MONDE-T027</x:v>
      </x:c>
      <x:c r="C1346" s="115" t="str">
        <x:v>Fermes cultures</x:v>
      </x:c>
      <x:c r="D1346" s="115" t="str">
        <x:v>Ferme maraîchère</x:v>
      </x:c>
      <x:c r="E1346" s="115" t="n">
        <x:v>41</x:v>
      </x:c>
      <x:c r="F1346" s="115" t="str">
        <x:v>Inspection physique</x:v>
      </x:c>
      <x:c r="G1346" s="115" t="str">
        <x:v>1 niveaux ; 28 pièces ; 210 segments de mur ; 0 transitions. Inspection physique ; architecture complète encore ouverte.</x:v>
      </x:c>
      <x:c r="H1346" s="115" t="str">
        <x:v>L 340 ; l 320 ; hauteur 7,3 m ; choix de composition auteur ; dimensions réelles à documenter</x:v>
      </x:c>
      <x:c r="I1346" s="115" t="str">
        <x:v>À équilibrer</x:v>
      </x:c>
      <x:c r="J1346" s="115" t="str">
        <x:v>Non</x:v>
      </x:c>
      <x:c r="K1346" s="115" t="str">
        <x:v>Pièces décrites, murs, portes, niveaux et mobilier inspectables à l’échelle. Volumes réservés, raccord au seed, butin, rencontres et services de campagne restent à terminer.</x:v>
      </x:c>
    </x:row>
    <x:row r="1347" ht="96" customHeight="1">
      <x:c r="A1347" s="115" t="str">
        <x:v>EXT-MONDE-T027-V42</x:v>
      </x:c>
      <x:c r="B1347" s="115" t="str">
        <x:v>EXT-MONDE-T027</x:v>
      </x:c>
      <x:c r="C1347" s="115" t="str">
        <x:v>Fermes cultures</x:v>
      </x:c>
      <x:c r="D1347" s="115" t="str">
        <x:v>Ferme maraîchère</x:v>
      </x:c>
      <x:c r="E1347" s="115" t="n">
        <x:v>42</x:v>
      </x:c>
      <x:c r="F1347" s="115" t="str">
        <x:v>Inspection physique</x:v>
      </x:c>
      <x:c r="G1347" s="115" t="str">
        <x:v>1 niveaux ; 28 pièces ; 210 segments de mur ; 0 transitions. Inspection physique ; architecture complète encore ouverte.</x:v>
      </x:c>
      <x:c r="H1347" s="115" t="str">
        <x:v>L 340 ; l 320 ; hauteur 7,3 m ; choix de composition auteur ; dimensions réelles à documenter</x:v>
      </x:c>
      <x:c r="I1347" s="115" t="str">
        <x:v>À équilibrer</x:v>
      </x:c>
      <x:c r="J1347" s="115" t="str">
        <x:v>Non</x:v>
      </x:c>
      <x:c r="K1347" s="115" t="str">
        <x:v>Pièces décrites, murs, portes, niveaux et mobilier inspectables à l’échelle. Volumes réservés, raccord au seed, butin, rencontres et services de campagne restent à terminer.</x:v>
      </x:c>
    </x:row>
    <x:row r="1348" ht="96" customHeight="1">
      <x:c r="A1348" s="115" t="str">
        <x:v>EXT-MONDE-T027-V43</x:v>
      </x:c>
      <x:c r="B1348" s="115" t="str">
        <x:v>EXT-MONDE-T027</x:v>
      </x:c>
      <x:c r="C1348" s="115" t="str">
        <x:v>Fermes cultures</x:v>
      </x:c>
      <x:c r="D1348" s="115" t="str">
        <x:v>Ferme maraîchère</x:v>
      </x:c>
      <x:c r="E1348" s="115" t="n">
        <x:v>43</x:v>
      </x:c>
      <x:c r="F1348" s="115" t="str">
        <x:v>Inspection physique</x:v>
      </x:c>
      <x:c r="G1348" s="115" t="str">
        <x:v>1 niveaux ; 28 pièces ; 210 segments de mur ; 0 transitions. Inspection physique ; architecture complète encore ouverte.</x:v>
      </x:c>
      <x:c r="H1348" s="115" t="str">
        <x:v>L 340 ; l 320 ; hauteur 7,3 m ; choix de composition auteur ; dimensions réelles à documenter</x:v>
      </x:c>
      <x:c r="I1348" s="115" t="str">
        <x:v>À équilibrer</x:v>
      </x:c>
      <x:c r="J1348" s="115" t="str">
        <x:v>Non</x:v>
      </x:c>
      <x:c r="K1348" s="115" t="str">
        <x:v>Pièces décrites, murs, portes, niveaux et mobilier inspectables à l’échelle. Volumes réservés, raccord au seed, butin, rencontres et services de campagne restent à terminer.</x:v>
      </x:c>
    </x:row>
    <x:row r="1349" ht="96" customHeight="1">
      <x:c r="A1349" s="115" t="str">
        <x:v>EXT-MONDE-T027-V44</x:v>
      </x:c>
      <x:c r="B1349" s="115" t="str">
        <x:v>EXT-MONDE-T027</x:v>
      </x:c>
      <x:c r="C1349" s="115" t="str">
        <x:v>Fermes cultures</x:v>
      </x:c>
      <x:c r="D1349" s="115" t="str">
        <x:v>Ferme maraîchère</x:v>
      </x:c>
      <x:c r="E1349" s="115" t="n">
        <x:v>44</x:v>
      </x:c>
      <x:c r="F1349" s="115" t="str">
        <x:v>Inspection physique</x:v>
      </x:c>
      <x:c r="G1349" s="115" t="str">
        <x:v>1 niveaux ; 28 pièces ; 210 segments de mur ; 0 transitions. Inspection physique ; architecture complète encore ouverte.</x:v>
      </x:c>
      <x:c r="H1349" s="115" t="str">
        <x:v>L 340 ; l 320 ; hauteur 7,3 m ; choix de composition auteur ; dimensions réelles à documenter</x:v>
      </x:c>
      <x:c r="I1349" s="115" t="str">
        <x:v>À équilibrer</x:v>
      </x:c>
      <x:c r="J1349" s="115" t="str">
        <x:v>Non</x:v>
      </x:c>
      <x:c r="K1349" s="115" t="str">
        <x:v>Pièces décrites, murs, portes, niveaux et mobilier inspectables à l’échelle. Volumes réservés, raccord au seed, butin, rencontres et services de campagne restent à terminer.</x:v>
      </x:c>
    </x:row>
    <x:row r="1350" ht="96" customHeight="1">
      <x:c r="A1350" s="115" t="str">
        <x:v>EXT-MONDE-T027-V45</x:v>
      </x:c>
      <x:c r="B1350" s="115" t="str">
        <x:v>EXT-MONDE-T027</x:v>
      </x:c>
      <x:c r="C1350" s="115" t="str">
        <x:v>Fermes cultures</x:v>
      </x:c>
      <x:c r="D1350" s="115" t="str">
        <x:v>Ferme maraîchère</x:v>
      </x:c>
      <x:c r="E1350" s="115" t="n">
        <x:v>45</x:v>
      </x:c>
      <x:c r="F1350" s="115" t="str">
        <x:v>Inspection physique</x:v>
      </x:c>
      <x:c r="G1350" s="115" t="str">
        <x:v>1 niveaux ; 28 pièces ; 210 segments de mur ; 0 transitions. Inspection physique ; architecture complète encore ouverte.</x:v>
      </x:c>
      <x:c r="H1350" s="115" t="str">
        <x:v>L 340 ; l 320 ; hauteur 7,3 m ; choix de composition auteur ; dimensions réelles à documenter</x:v>
      </x:c>
      <x:c r="I1350" s="115" t="str">
        <x:v>À équilibrer</x:v>
      </x:c>
      <x:c r="J1350" s="115" t="str">
        <x:v>Non</x:v>
      </x:c>
      <x:c r="K1350" s="115" t="str">
        <x:v>Pièces décrites, murs, portes, niveaux et mobilier inspectables à l’échelle. Volumes réservés, raccord au seed, butin, rencontres et services de campagne restent à terminer.</x:v>
      </x:c>
    </x:row>
    <x:row r="1351" ht="96" customHeight="1">
      <x:c r="A1351" s="115" t="str">
        <x:v>EXT-MONDE-T027-V46</x:v>
      </x:c>
      <x:c r="B1351" s="115" t="str">
        <x:v>EXT-MONDE-T027</x:v>
      </x:c>
      <x:c r="C1351" s="115" t="str">
        <x:v>Fermes cultures</x:v>
      </x:c>
      <x:c r="D1351" s="115" t="str">
        <x:v>Ferme maraîchère</x:v>
      </x:c>
      <x:c r="E1351" s="115" t="n">
        <x:v>46</x:v>
      </x:c>
      <x:c r="F1351" s="115" t="str">
        <x:v>Inspection physique</x:v>
      </x:c>
      <x:c r="G1351" s="115" t="str">
        <x:v>1 niveaux ; 28 pièces ; 210 segments de mur ; 0 transitions. Inspection physique ; architecture complète encore ouverte.</x:v>
      </x:c>
      <x:c r="H1351" s="115" t="str">
        <x:v>L 340 ; l 320 ; hauteur 7,3 m ; choix de composition auteur ; dimensions réelles à documenter</x:v>
      </x:c>
      <x:c r="I1351" s="115" t="str">
        <x:v>À équilibrer</x:v>
      </x:c>
      <x:c r="J1351" s="115" t="str">
        <x:v>Non</x:v>
      </x:c>
      <x:c r="K1351" s="115" t="str">
        <x:v>Pièces décrites, murs, portes, niveaux et mobilier inspectables à l’échelle. Volumes réservés, raccord au seed, butin, rencontres et services de campagne restent à terminer.</x:v>
      </x:c>
    </x:row>
    <x:row r="1352" ht="96" customHeight="1">
      <x:c r="A1352" s="115" t="str">
        <x:v>EXT-MONDE-T027-V47</x:v>
      </x:c>
      <x:c r="B1352" s="115" t="str">
        <x:v>EXT-MONDE-T027</x:v>
      </x:c>
      <x:c r="C1352" s="115" t="str">
        <x:v>Fermes cultures</x:v>
      </x:c>
      <x:c r="D1352" s="115" t="str">
        <x:v>Ferme maraîchère</x:v>
      </x:c>
      <x:c r="E1352" s="115" t="n">
        <x:v>47</x:v>
      </x:c>
      <x:c r="F1352" s="115" t="str">
        <x:v>Inspection physique</x:v>
      </x:c>
      <x:c r="G1352" s="115" t="str">
        <x:v>1 niveaux ; 28 pièces ; 210 segments de mur ; 0 transitions. Inspection physique ; architecture complète encore ouverte.</x:v>
      </x:c>
      <x:c r="H1352" s="115" t="str">
        <x:v>L 340 ; l 320 ; hauteur 7,3 m ; choix de composition auteur ; dimensions réelles à documenter</x:v>
      </x:c>
      <x:c r="I1352" s="115" t="str">
        <x:v>À équilibrer</x:v>
      </x:c>
      <x:c r="J1352" s="115" t="str">
        <x:v>Non</x:v>
      </x:c>
      <x:c r="K1352" s="115" t="str">
        <x:v>Pièces décrites, murs, portes, niveaux et mobilier inspectables à l’échelle. Volumes réservés, raccord au seed, butin, rencontres et services de campagne restent à terminer.</x:v>
      </x:c>
    </x:row>
    <x:row r="1353" ht="96" customHeight="1">
      <x:c r="A1353" s="115" t="str">
        <x:v>EXT-MONDE-T027-V48</x:v>
      </x:c>
      <x:c r="B1353" s="115" t="str">
        <x:v>EXT-MONDE-T027</x:v>
      </x:c>
      <x:c r="C1353" s="115" t="str">
        <x:v>Fermes cultures</x:v>
      </x:c>
      <x:c r="D1353" s="115" t="str">
        <x:v>Ferme maraîchère</x:v>
      </x:c>
      <x:c r="E1353" s="115" t="n">
        <x:v>48</x:v>
      </x:c>
      <x:c r="F1353" s="115" t="str">
        <x:v>Inspection physique</x:v>
      </x:c>
      <x:c r="G1353" s="115" t="str">
        <x:v>1 niveaux ; 28 pièces ; 210 segments de mur ; 0 transitions. Inspection physique ; architecture complète encore ouverte.</x:v>
      </x:c>
      <x:c r="H1353" s="115" t="str">
        <x:v>L 340 ; l 320 ; hauteur 7,3 m ; choix de composition auteur ; dimensions réelles à documenter</x:v>
      </x:c>
      <x:c r="I1353" s="115" t="str">
        <x:v>À équilibrer</x:v>
      </x:c>
      <x:c r="J1353" s="115" t="str">
        <x:v>Non</x:v>
      </x:c>
      <x:c r="K1353" s="115" t="str">
        <x:v>Pièces décrites, murs, portes, niveaux et mobilier inspectables à l’échelle. Volumes réservés, raccord au seed, butin, rencontres et services de campagne restent à terminer.</x:v>
      </x:c>
    </x:row>
    <x:row r="1354" ht="96" customHeight="1">
      <x:c r="A1354" s="115" t="str">
        <x:v>EXT-MONDE-T027-V49</x:v>
      </x:c>
      <x:c r="B1354" s="115" t="str">
        <x:v>EXT-MONDE-T027</x:v>
      </x:c>
      <x:c r="C1354" s="115" t="str">
        <x:v>Fermes cultures</x:v>
      </x:c>
      <x:c r="D1354" s="115" t="str">
        <x:v>Ferme maraîchère</x:v>
      </x:c>
      <x:c r="E1354" s="115" t="n">
        <x:v>49</x:v>
      </x:c>
      <x:c r="F1354" s="115" t="str">
        <x:v>Inspection physique</x:v>
      </x:c>
      <x:c r="G1354" s="115" t="str">
        <x:v>1 niveaux ; 28 pièces ; 210 segments de mur ; 0 transitions. Inspection physique ; architecture complète encore ouverte.</x:v>
      </x:c>
      <x:c r="H1354" s="115" t="str">
        <x:v>L 340 ; l 320 ; hauteur 7,3 m ; choix de composition auteur ; dimensions réelles à documenter</x:v>
      </x:c>
      <x:c r="I1354" s="115" t="str">
        <x:v>À équilibrer</x:v>
      </x:c>
      <x:c r="J1354" s="115" t="str">
        <x:v>Non</x:v>
      </x:c>
      <x:c r="K1354" s="115" t="str">
        <x:v>Pièces décrites, murs, portes, niveaux et mobilier inspectables à l’échelle. Volumes réservés, raccord au seed, butin, rencontres et services de campagne restent à terminer.</x:v>
      </x:c>
    </x:row>
    <x:row r="1355" ht="96" customHeight="1">
      <x:c r="A1355" s="115" t="str">
        <x:v>EXT-MONDE-T027-V50</x:v>
      </x:c>
      <x:c r="B1355" s="115" t="str">
        <x:v>EXT-MONDE-T027</x:v>
      </x:c>
      <x:c r="C1355" s="115" t="str">
        <x:v>Fermes cultures</x:v>
      </x:c>
      <x:c r="D1355" s="115" t="str">
        <x:v>Ferme maraîchère</x:v>
      </x:c>
      <x:c r="E1355" s="115" t="n">
        <x:v>50</x:v>
      </x:c>
      <x:c r="F1355" s="115" t="str">
        <x:v>Inspection physique</x:v>
      </x:c>
      <x:c r="G1355" s="115" t="str">
        <x:v>1 niveaux ; 28 pièces ; 210 segments de mur ; 0 transitions. Inspection physique ; architecture complète encore ouverte.</x:v>
      </x:c>
      <x:c r="H1355" s="115" t="str">
        <x:v>L 340 ; l 320 ; hauteur 7,3 m ; choix de composition auteur ; dimensions réelles à documenter</x:v>
      </x:c>
      <x:c r="I1355" s="115" t="str">
        <x:v>À équilibrer</x:v>
      </x:c>
      <x:c r="J1355" s="115" t="str">
        <x:v>Non</x:v>
      </x:c>
      <x:c r="K1355" s="115" t="str">
        <x:v>Pièces décrites, murs, portes, niveaux et mobilier inspectables à l’échelle. Volumes réservés, raccord au seed, butin, rencontres et services de campagne restent à terminer.</x:v>
      </x:c>
    </x:row>
    <x:row r="1356" ht="96" customHeight="1">
      <x:c r="A1356" s="115" t="str">
        <x:v>EXT-MONDE-T028-V01</x:v>
      </x:c>
      <x:c r="B1356" s="115" t="str">
        <x:v>EXT-MONDE-T028</x:v>
      </x:c>
      <x:c r="C1356" s="115" t="str">
        <x:v>Fermes cultures</x:v>
      </x:c>
      <x:c r="D1356" s="115" t="str">
        <x:v>Verger avec conditionnement</x:v>
      </x:c>
      <x:c r="E1356" s="115" t="n">
        <x:v>1</x:v>
      </x:c>
      <x:c r="F1356" s="115" t="str">
        <x:v>Inspection physique</x:v>
      </x:c>
      <x:c r="G1356" s="115" t="str">
        <x:v>1 niveaux ; 26 pièces ; 198 segments de mur ; 0 transitions. Inspection physique ; architecture complète encore ouverte.</x:v>
      </x:c>
      <x:c r="H1356" s="115" t="str">
        <x:v>L 260 ; l 224 ; hauteur 6,5 m ; choix de composition auteur ; dimensions réelles à documenter</x:v>
      </x:c>
      <x:c r="I1356" s="115" t="str">
        <x:v>À équilibrer</x:v>
      </x:c>
      <x:c r="J1356" s="115" t="str">
        <x:v>Non</x:v>
      </x:c>
      <x:c r="K1356" s="115" t="str">
        <x:v>Pièces décrites, murs, portes, niveaux et mobilier inspectables à l’échelle. Volumes réservés, raccord au seed, butin, rencontres et services de campagne restent à terminer.</x:v>
      </x:c>
    </x:row>
    <x:row r="1357" ht="96" customHeight="1">
      <x:c r="A1357" s="115" t="str">
        <x:v>EXT-MONDE-T028-V02</x:v>
      </x:c>
      <x:c r="B1357" s="115" t="str">
        <x:v>EXT-MONDE-T028</x:v>
      </x:c>
      <x:c r="C1357" s="115" t="str">
        <x:v>Fermes cultures</x:v>
      </x:c>
      <x:c r="D1357" s="115" t="str">
        <x:v>Verger avec conditionnement</x:v>
      </x:c>
      <x:c r="E1357" s="115" t="n">
        <x:v>2</x:v>
      </x:c>
      <x:c r="F1357" s="115" t="str">
        <x:v>Inspection physique</x:v>
      </x:c>
      <x:c r="G1357" s="115" t="str">
        <x:v>1 niveaux ; 26 pièces ; 198 segments de mur ; 0 transitions. Inspection physique ; architecture complète encore ouverte.</x:v>
      </x:c>
      <x:c r="H1357" s="115" t="str">
        <x:v>L 260 ; l 224 ; hauteur 6,5 m ; choix de composition auteur ; dimensions réelles à documenter</x:v>
      </x:c>
      <x:c r="I1357" s="115" t="str">
        <x:v>À équilibrer</x:v>
      </x:c>
      <x:c r="J1357" s="115" t="str">
        <x:v>Non</x:v>
      </x:c>
      <x:c r="K1357" s="115" t="str">
        <x:v>Pièces décrites, murs, portes, niveaux et mobilier inspectables à l’échelle. Volumes réservés, raccord au seed, butin, rencontres et services de campagne restent à terminer.</x:v>
      </x:c>
    </x:row>
    <x:row r="1358" ht="96" customHeight="1">
      <x:c r="A1358" s="115" t="str">
        <x:v>EXT-MONDE-T028-V03</x:v>
      </x:c>
      <x:c r="B1358" s="115" t="str">
        <x:v>EXT-MONDE-T028</x:v>
      </x:c>
      <x:c r="C1358" s="115" t="str">
        <x:v>Fermes cultures</x:v>
      </x:c>
      <x:c r="D1358" s="115" t="str">
        <x:v>Verger avec conditionnement</x:v>
      </x:c>
      <x:c r="E1358" s="115" t="n">
        <x:v>3</x:v>
      </x:c>
      <x:c r="F1358" s="115" t="str">
        <x:v>Inspection physique</x:v>
      </x:c>
      <x:c r="G1358" s="115" t="str">
        <x:v>1 niveaux ; 26 pièces ; 198 segments de mur ; 0 transitions. Inspection physique ; architecture complète encore ouverte.</x:v>
      </x:c>
      <x:c r="H1358" s="115" t="str">
        <x:v>L 260 ; l 224 ; hauteur 6,5 m ; choix de composition auteur ; dimensions réelles à documenter</x:v>
      </x:c>
      <x:c r="I1358" s="115" t="str">
        <x:v>À équilibrer</x:v>
      </x:c>
      <x:c r="J1358" s="115" t="str">
        <x:v>Non</x:v>
      </x:c>
      <x:c r="K1358" s="115" t="str">
        <x:v>Pièces décrites, murs, portes, niveaux et mobilier inspectables à l’échelle. Volumes réservés, raccord au seed, butin, rencontres et services de campagne restent à terminer.</x:v>
      </x:c>
    </x:row>
    <x:row r="1359" ht="96" customHeight="1">
      <x:c r="A1359" s="115" t="str">
        <x:v>EXT-MONDE-T028-V04</x:v>
      </x:c>
      <x:c r="B1359" s="115" t="str">
        <x:v>EXT-MONDE-T028</x:v>
      </x:c>
      <x:c r="C1359" s="115" t="str">
        <x:v>Fermes cultures</x:v>
      </x:c>
      <x:c r="D1359" s="115" t="str">
        <x:v>Verger avec conditionnement</x:v>
      </x:c>
      <x:c r="E1359" s="115" t="n">
        <x:v>4</x:v>
      </x:c>
      <x:c r="F1359" s="115" t="str">
        <x:v>Inspection physique</x:v>
      </x:c>
      <x:c r="G1359" s="115" t="str">
        <x:v>1 niveaux ; 26 pièces ; 198 segments de mur ; 0 transitions. Inspection physique ; architecture complète encore ouverte.</x:v>
      </x:c>
      <x:c r="H1359" s="115" t="str">
        <x:v>L 260 ; l 224 ; hauteur 6,5 m ; choix de composition auteur ; dimensions réelles à documenter</x:v>
      </x:c>
      <x:c r="I1359" s="115" t="str">
        <x:v>À équilibrer</x:v>
      </x:c>
      <x:c r="J1359" s="115" t="str">
        <x:v>Non</x:v>
      </x:c>
      <x:c r="K1359" s="115" t="str">
        <x:v>Pièces décrites, murs, portes, niveaux et mobilier inspectables à l’échelle. Volumes réservés, raccord au seed, butin, rencontres et services de campagne restent à terminer.</x:v>
      </x:c>
    </x:row>
    <x:row r="1360" ht="96" customHeight="1">
      <x:c r="A1360" s="115" t="str">
        <x:v>EXT-MONDE-T028-V05</x:v>
      </x:c>
      <x:c r="B1360" s="115" t="str">
        <x:v>EXT-MONDE-T028</x:v>
      </x:c>
      <x:c r="C1360" s="115" t="str">
        <x:v>Fermes cultures</x:v>
      </x:c>
      <x:c r="D1360" s="115" t="str">
        <x:v>Verger avec conditionnement</x:v>
      </x:c>
      <x:c r="E1360" s="115" t="n">
        <x:v>5</x:v>
      </x:c>
      <x:c r="F1360" s="115" t="str">
        <x:v>Inspection physique</x:v>
      </x:c>
      <x:c r="G1360" s="115" t="str">
        <x:v>1 niveaux ; 26 pièces ; 198 segments de mur ; 0 transitions. Inspection physique ; architecture complète encore ouverte.</x:v>
      </x:c>
      <x:c r="H1360" s="115" t="str">
        <x:v>L 260 ; l 224 ; hauteur 6,5 m ; choix de composition auteur ; dimensions réelles à documenter</x:v>
      </x:c>
      <x:c r="I1360" s="115" t="str">
        <x:v>À équilibrer</x:v>
      </x:c>
      <x:c r="J1360" s="115" t="str">
        <x:v>Non</x:v>
      </x:c>
      <x:c r="K1360" s="115" t="str">
        <x:v>Pièces décrites, murs, portes, niveaux et mobilier inspectables à l’échelle. Volumes réservés, raccord au seed, butin, rencontres et services de campagne restent à terminer.</x:v>
      </x:c>
    </x:row>
    <x:row r="1361" ht="96" customHeight="1">
      <x:c r="A1361" s="115" t="str">
        <x:v>EXT-MONDE-T028-V06</x:v>
      </x:c>
      <x:c r="B1361" s="115" t="str">
        <x:v>EXT-MONDE-T028</x:v>
      </x:c>
      <x:c r="C1361" s="115" t="str">
        <x:v>Fermes cultures</x:v>
      </x:c>
      <x:c r="D1361" s="115" t="str">
        <x:v>Verger avec conditionnement</x:v>
      </x:c>
      <x:c r="E1361" s="115" t="n">
        <x:v>6</x:v>
      </x:c>
      <x:c r="F1361" s="115" t="str">
        <x:v>Inspection physique</x:v>
      </x:c>
      <x:c r="G1361" s="115" t="str">
        <x:v>1 niveaux ; 26 pièces ; 198 segments de mur ; 0 transitions. Inspection physique ; architecture complète encore ouverte.</x:v>
      </x:c>
      <x:c r="H1361" s="115" t="str">
        <x:v>L 260 ; l 224 ; hauteur 6,5 m ; choix de composition auteur ; dimensions réelles à documenter</x:v>
      </x:c>
      <x:c r="I1361" s="115" t="str">
        <x:v>À équilibrer</x:v>
      </x:c>
      <x:c r="J1361" s="115" t="str">
        <x:v>Non</x:v>
      </x:c>
      <x:c r="K1361" s="115" t="str">
        <x:v>Pièces décrites, murs, portes, niveaux et mobilier inspectables à l’échelle. Volumes réservés, raccord au seed, butin, rencontres et services de campagne restent à terminer.</x:v>
      </x:c>
    </x:row>
    <x:row r="1362" ht="96" customHeight="1">
      <x:c r="A1362" s="115" t="str">
        <x:v>EXT-MONDE-T028-V07</x:v>
      </x:c>
      <x:c r="B1362" s="115" t="str">
        <x:v>EXT-MONDE-T028</x:v>
      </x:c>
      <x:c r="C1362" s="115" t="str">
        <x:v>Fermes cultures</x:v>
      </x:c>
      <x:c r="D1362" s="115" t="str">
        <x:v>Verger avec conditionnement</x:v>
      </x:c>
      <x:c r="E1362" s="115" t="n">
        <x:v>7</x:v>
      </x:c>
      <x:c r="F1362" s="115" t="str">
        <x:v>Inspection physique</x:v>
      </x:c>
      <x:c r="G1362" s="115" t="str">
        <x:v>1 niveaux ; 26 pièces ; 198 segments de mur ; 0 transitions. Inspection physique ; architecture complète encore ouverte.</x:v>
      </x:c>
      <x:c r="H1362" s="115" t="str">
        <x:v>L 260 ; l 224 ; hauteur 6,5 m ; choix de composition auteur ; dimensions réelles à documenter</x:v>
      </x:c>
      <x:c r="I1362" s="115" t="str">
        <x:v>À équilibrer</x:v>
      </x:c>
      <x:c r="J1362" s="115" t="str">
        <x:v>Non</x:v>
      </x:c>
      <x:c r="K1362" s="115" t="str">
        <x:v>Pièces décrites, murs, portes, niveaux et mobilier inspectables à l’échelle. Volumes réservés, raccord au seed, butin, rencontres et services de campagne restent à terminer.</x:v>
      </x:c>
    </x:row>
    <x:row r="1363" ht="96" customHeight="1">
      <x:c r="A1363" s="115" t="str">
        <x:v>EXT-MONDE-T028-V08</x:v>
      </x:c>
      <x:c r="B1363" s="115" t="str">
        <x:v>EXT-MONDE-T028</x:v>
      </x:c>
      <x:c r="C1363" s="115" t="str">
        <x:v>Fermes cultures</x:v>
      </x:c>
      <x:c r="D1363" s="115" t="str">
        <x:v>Verger avec conditionnement</x:v>
      </x:c>
      <x:c r="E1363" s="115" t="n">
        <x:v>8</x:v>
      </x:c>
      <x:c r="F1363" s="115" t="str">
        <x:v>Inspection physique</x:v>
      </x:c>
      <x:c r="G1363" s="115" t="str">
        <x:v>1 niveaux ; 26 pièces ; 198 segments de mur ; 0 transitions. Inspection physique ; architecture complète encore ouverte.</x:v>
      </x:c>
      <x:c r="H1363" s="115" t="str">
        <x:v>L 260 ; l 224 ; hauteur 6,5 m ; choix de composition auteur ; dimensions réelles à documenter</x:v>
      </x:c>
      <x:c r="I1363" s="115" t="str">
        <x:v>À équilibrer</x:v>
      </x:c>
      <x:c r="J1363" s="115" t="str">
        <x:v>Non</x:v>
      </x:c>
      <x:c r="K1363" s="115" t="str">
        <x:v>Pièces décrites, murs, portes, niveaux et mobilier inspectables à l’échelle. Volumes réservés, raccord au seed, butin, rencontres et services de campagne restent à terminer.</x:v>
      </x:c>
    </x:row>
    <x:row r="1364" ht="96" customHeight="1">
      <x:c r="A1364" s="115" t="str">
        <x:v>EXT-MONDE-T028-V09</x:v>
      </x:c>
      <x:c r="B1364" s="115" t="str">
        <x:v>EXT-MONDE-T028</x:v>
      </x:c>
      <x:c r="C1364" s="115" t="str">
        <x:v>Fermes cultures</x:v>
      </x:c>
      <x:c r="D1364" s="115" t="str">
        <x:v>Verger avec conditionnement</x:v>
      </x:c>
      <x:c r="E1364" s="115" t="n">
        <x:v>9</x:v>
      </x:c>
      <x:c r="F1364" s="115" t="str">
        <x:v>Inspection physique</x:v>
      </x:c>
      <x:c r="G1364" s="115" t="str">
        <x:v>1 niveaux ; 26 pièces ; 198 segments de mur ; 0 transitions. Inspection physique ; architecture complète encore ouverte.</x:v>
      </x:c>
      <x:c r="H1364" s="115" t="str">
        <x:v>L 260 ; l 224 ; hauteur 6,5 m ; choix de composition auteur ; dimensions réelles à documenter</x:v>
      </x:c>
      <x:c r="I1364" s="115" t="str">
        <x:v>À équilibrer</x:v>
      </x:c>
      <x:c r="J1364" s="115" t="str">
        <x:v>Non</x:v>
      </x:c>
      <x:c r="K1364" s="115" t="str">
        <x:v>Pièces décrites, murs, portes, niveaux et mobilier inspectables à l’échelle. Volumes réservés, raccord au seed, butin, rencontres et services de campagne restent à terminer.</x:v>
      </x:c>
    </x:row>
    <x:row r="1365" ht="96" customHeight="1">
      <x:c r="A1365" s="115" t="str">
        <x:v>EXT-MONDE-T028-V10</x:v>
      </x:c>
      <x:c r="B1365" s="115" t="str">
        <x:v>EXT-MONDE-T028</x:v>
      </x:c>
      <x:c r="C1365" s="115" t="str">
        <x:v>Fermes cultures</x:v>
      </x:c>
      <x:c r="D1365" s="115" t="str">
        <x:v>Verger avec conditionnement</x:v>
      </x:c>
      <x:c r="E1365" s="115" t="n">
        <x:v>10</x:v>
      </x:c>
      <x:c r="F1365" s="115" t="str">
        <x:v>Inspection physique</x:v>
      </x:c>
      <x:c r="G1365" s="115" t="str">
        <x:v>1 niveaux ; 26 pièces ; 198 segments de mur ; 0 transitions. Inspection physique ; architecture complète encore ouverte.</x:v>
      </x:c>
      <x:c r="H1365" s="115" t="str">
        <x:v>L 260 ; l 224 ; hauteur 6,5 m ; choix de composition auteur ; dimensions réelles à documenter</x:v>
      </x:c>
      <x:c r="I1365" s="115" t="str">
        <x:v>À équilibrer</x:v>
      </x:c>
      <x:c r="J1365" s="115" t="str">
        <x:v>Non</x:v>
      </x:c>
      <x:c r="K1365" s="115" t="str">
        <x:v>Pièces décrites, murs, portes, niveaux et mobilier inspectables à l’échelle. Volumes réservés, raccord au seed, butin, rencontres et services de campagne restent à terminer.</x:v>
      </x:c>
    </x:row>
    <x:row r="1366" ht="96" customHeight="1">
      <x:c r="A1366" s="115" t="str">
        <x:v>EXT-MONDE-T028-V11</x:v>
      </x:c>
      <x:c r="B1366" s="115" t="str">
        <x:v>EXT-MONDE-T028</x:v>
      </x:c>
      <x:c r="C1366" s="115" t="str">
        <x:v>Fermes cultures</x:v>
      </x:c>
      <x:c r="D1366" s="115" t="str">
        <x:v>Verger avec conditionnement</x:v>
      </x:c>
      <x:c r="E1366" s="115" t="n">
        <x:v>11</x:v>
      </x:c>
      <x:c r="F1366" s="115" t="str">
        <x:v>Inspection physique</x:v>
      </x:c>
      <x:c r="G1366" s="115" t="str">
        <x:v>1 niveaux ; 26 pièces ; 198 segments de mur ; 0 transitions. Inspection physique ; architecture complète encore ouverte.</x:v>
      </x:c>
      <x:c r="H1366" s="115" t="str">
        <x:v>L 280 ; l 248 ; hauteur 6,7 m ; choix de composition auteur ; dimensions réelles à documenter</x:v>
      </x:c>
      <x:c r="I1366" s="115" t="str">
        <x:v>À équilibrer</x:v>
      </x:c>
      <x:c r="J1366" s="115" t="str">
        <x:v>Non</x:v>
      </x:c>
      <x:c r="K1366" s="115" t="str">
        <x:v>Pièces décrites, murs, portes, niveaux et mobilier inspectables à l’échelle. Volumes réservés, raccord au seed, butin, rencontres et services de campagne restent à terminer.</x:v>
      </x:c>
    </x:row>
    <x:row r="1367" ht="96" customHeight="1">
      <x:c r="A1367" s="115" t="str">
        <x:v>EXT-MONDE-T028-V12</x:v>
      </x:c>
      <x:c r="B1367" s="115" t="str">
        <x:v>EXT-MONDE-T028</x:v>
      </x:c>
      <x:c r="C1367" s="115" t="str">
        <x:v>Fermes cultures</x:v>
      </x:c>
      <x:c r="D1367" s="115" t="str">
        <x:v>Verger avec conditionnement</x:v>
      </x:c>
      <x:c r="E1367" s="115" t="n">
        <x:v>12</x:v>
      </x:c>
      <x:c r="F1367" s="115" t="str">
        <x:v>Inspection physique</x:v>
      </x:c>
      <x:c r="G1367" s="115" t="str">
        <x:v>1 niveaux ; 26 pièces ; 198 segments de mur ; 0 transitions. Inspection physique ; architecture complète encore ouverte.</x:v>
      </x:c>
      <x:c r="H1367" s="115" t="str">
        <x:v>L 280 ; l 248 ; hauteur 6,7 m ; choix de composition auteur ; dimensions réelles à documenter</x:v>
      </x:c>
      <x:c r="I1367" s="115" t="str">
        <x:v>À équilibrer</x:v>
      </x:c>
      <x:c r="J1367" s="115" t="str">
        <x:v>Non</x:v>
      </x:c>
      <x:c r="K1367" s="115" t="str">
        <x:v>Pièces décrites, murs, portes, niveaux et mobilier inspectables à l’échelle. Volumes réservés, raccord au seed, butin, rencontres et services de campagne restent à terminer.</x:v>
      </x:c>
    </x:row>
    <x:row r="1368" ht="96" customHeight="1">
      <x:c r="A1368" s="115" t="str">
        <x:v>EXT-MONDE-T028-V13</x:v>
      </x:c>
      <x:c r="B1368" s="115" t="str">
        <x:v>EXT-MONDE-T028</x:v>
      </x:c>
      <x:c r="C1368" s="115" t="str">
        <x:v>Fermes cultures</x:v>
      </x:c>
      <x:c r="D1368" s="115" t="str">
        <x:v>Verger avec conditionnement</x:v>
      </x:c>
      <x:c r="E1368" s="115" t="n">
        <x:v>13</x:v>
      </x:c>
      <x:c r="F1368" s="115" t="str">
        <x:v>Inspection physique</x:v>
      </x:c>
      <x:c r="G1368" s="115" t="str">
        <x:v>1 niveaux ; 26 pièces ; 198 segments de mur ; 0 transitions. Inspection physique ; architecture complète encore ouverte.</x:v>
      </x:c>
      <x:c r="H1368" s="115" t="str">
        <x:v>L 280 ; l 248 ; hauteur 6,7 m ; choix de composition auteur ; dimensions réelles à documenter</x:v>
      </x:c>
      <x:c r="I1368" s="115" t="str">
        <x:v>À équilibrer</x:v>
      </x:c>
      <x:c r="J1368" s="115" t="str">
        <x:v>Non</x:v>
      </x:c>
      <x:c r="K1368" s="115" t="str">
        <x:v>Pièces décrites, murs, portes, niveaux et mobilier inspectables à l’échelle. Volumes réservés, raccord au seed, butin, rencontres et services de campagne restent à terminer.</x:v>
      </x:c>
    </x:row>
    <x:row r="1369" ht="96" customHeight="1">
      <x:c r="A1369" s="115" t="str">
        <x:v>EXT-MONDE-T028-V14</x:v>
      </x:c>
      <x:c r="B1369" s="115" t="str">
        <x:v>EXT-MONDE-T028</x:v>
      </x:c>
      <x:c r="C1369" s="115" t="str">
        <x:v>Fermes cultures</x:v>
      </x:c>
      <x:c r="D1369" s="115" t="str">
        <x:v>Verger avec conditionnement</x:v>
      </x:c>
      <x:c r="E1369" s="115" t="n">
        <x:v>14</x:v>
      </x:c>
      <x:c r="F1369" s="115" t="str">
        <x:v>Inspection physique</x:v>
      </x:c>
      <x:c r="G1369" s="115" t="str">
        <x:v>1 niveaux ; 26 pièces ; 198 segments de mur ; 0 transitions. Inspection physique ; architecture complète encore ouverte.</x:v>
      </x:c>
      <x:c r="H1369" s="115" t="str">
        <x:v>L 280 ; l 248 ; hauteur 6,7 m ; choix de composition auteur ; dimensions réelles à documenter</x:v>
      </x:c>
      <x:c r="I1369" s="115" t="str">
        <x:v>À équilibrer</x:v>
      </x:c>
      <x:c r="J1369" s="115" t="str">
        <x:v>Non</x:v>
      </x:c>
      <x:c r="K1369" s="115" t="str">
        <x:v>Pièces décrites, murs, portes, niveaux et mobilier inspectables à l’échelle. Volumes réservés, raccord au seed, butin, rencontres et services de campagne restent à terminer.</x:v>
      </x:c>
    </x:row>
    <x:row r="1370" ht="96" customHeight="1">
      <x:c r="A1370" s="115" t="str">
        <x:v>EXT-MONDE-T028-V15</x:v>
      </x:c>
      <x:c r="B1370" s="115" t="str">
        <x:v>EXT-MONDE-T028</x:v>
      </x:c>
      <x:c r="C1370" s="115" t="str">
        <x:v>Fermes cultures</x:v>
      </x:c>
      <x:c r="D1370" s="115" t="str">
        <x:v>Verger avec conditionnement</x:v>
      </x:c>
      <x:c r="E1370" s="115" t="n">
        <x:v>15</x:v>
      </x:c>
      <x:c r="F1370" s="115" t="str">
        <x:v>Inspection physique</x:v>
      </x:c>
      <x:c r="G1370" s="115" t="str">
        <x:v>1 niveaux ; 26 pièces ; 198 segments de mur ; 0 transitions. Inspection physique ; architecture complète encore ouverte.</x:v>
      </x:c>
      <x:c r="H1370" s="115" t="str">
        <x:v>L 280 ; l 248 ; hauteur 6,7 m ; choix de composition auteur ; dimensions réelles à documenter</x:v>
      </x:c>
      <x:c r="I1370" s="115" t="str">
        <x:v>À équilibrer</x:v>
      </x:c>
      <x:c r="J1370" s="115" t="str">
        <x:v>Non</x:v>
      </x:c>
      <x:c r="K1370" s="115" t="str">
        <x:v>Pièces décrites, murs, portes, niveaux et mobilier inspectables à l’échelle. Volumes réservés, raccord au seed, butin, rencontres et services de campagne restent à terminer.</x:v>
      </x:c>
    </x:row>
    <x:row r="1371" ht="96" customHeight="1">
      <x:c r="A1371" s="115" t="str">
        <x:v>EXT-MONDE-T028-V16</x:v>
      </x:c>
      <x:c r="B1371" s="115" t="str">
        <x:v>EXT-MONDE-T028</x:v>
      </x:c>
      <x:c r="C1371" s="115" t="str">
        <x:v>Fermes cultures</x:v>
      </x:c>
      <x:c r="D1371" s="115" t="str">
        <x:v>Verger avec conditionnement</x:v>
      </x:c>
      <x:c r="E1371" s="115" t="n">
        <x:v>16</x:v>
      </x:c>
      <x:c r="F1371" s="115" t="str">
        <x:v>Inspection physique</x:v>
      </x:c>
      <x:c r="G1371" s="115" t="str">
        <x:v>1 niveaux ; 26 pièces ; 198 segments de mur ; 0 transitions. Inspection physique ; architecture complète encore ouverte.</x:v>
      </x:c>
      <x:c r="H1371" s="115" t="str">
        <x:v>L 280 ; l 248 ; hauteur 6,7 m ; choix de composition auteur ; dimensions réelles à documenter</x:v>
      </x:c>
      <x:c r="I1371" s="115" t="str">
        <x:v>À équilibrer</x:v>
      </x:c>
      <x:c r="J1371" s="115" t="str">
        <x:v>Non</x:v>
      </x:c>
      <x:c r="K1371" s="115" t="str">
        <x:v>Pièces décrites, murs, portes, niveaux et mobilier inspectables à l’échelle. Volumes réservés, raccord au seed, butin, rencontres et services de campagne restent à terminer.</x:v>
      </x:c>
    </x:row>
    <x:row r="1372" ht="96" customHeight="1">
      <x:c r="A1372" s="115" t="str">
        <x:v>EXT-MONDE-T028-V17</x:v>
      </x:c>
      <x:c r="B1372" s="115" t="str">
        <x:v>EXT-MONDE-T028</x:v>
      </x:c>
      <x:c r="C1372" s="115" t="str">
        <x:v>Fermes cultures</x:v>
      </x:c>
      <x:c r="D1372" s="115" t="str">
        <x:v>Verger avec conditionnement</x:v>
      </x:c>
      <x:c r="E1372" s="115" t="n">
        <x:v>17</x:v>
      </x:c>
      <x:c r="F1372" s="115" t="str">
        <x:v>Inspection physique</x:v>
      </x:c>
      <x:c r="G1372" s="115" t="str">
        <x:v>1 niveaux ; 26 pièces ; 198 segments de mur ; 0 transitions. Inspection physique ; architecture complète encore ouverte.</x:v>
      </x:c>
      <x:c r="H1372" s="115" t="str">
        <x:v>L 280 ; l 248 ; hauteur 6,7 m ; choix de composition auteur ; dimensions réelles à documenter</x:v>
      </x:c>
      <x:c r="I1372" s="115" t="str">
        <x:v>À équilibrer</x:v>
      </x:c>
      <x:c r="J1372" s="115" t="str">
        <x:v>Non</x:v>
      </x:c>
      <x:c r="K1372" s="115" t="str">
        <x:v>Pièces décrites, murs, portes, niveaux et mobilier inspectables à l’échelle. Volumes réservés, raccord au seed, butin, rencontres et services de campagne restent à terminer.</x:v>
      </x:c>
    </x:row>
    <x:row r="1373" ht="96" customHeight="1">
      <x:c r="A1373" s="115" t="str">
        <x:v>EXT-MONDE-T028-V18</x:v>
      </x:c>
      <x:c r="B1373" s="115" t="str">
        <x:v>EXT-MONDE-T028</x:v>
      </x:c>
      <x:c r="C1373" s="115" t="str">
        <x:v>Fermes cultures</x:v>
      </x:c>
      <x:c r="D1373" s="115" t="str">
        <x:v>Verger avec conditionnement</x:v>
      </x:c>
      <x:c r="E1373" s="115" t="n">
        <x:v>18</x:v>
      </x:c>
      <x:c r="F1373" s="115" t="str">
        <x:v>Inspection physique</x:v>
      </x:c>
      <x:c r="G1373" s="115" t="str">
        <x:v>1 niveaux ; 26 pièces ; 198 segments de mur ; 0 transitions. Inspection physique ; architecture complète encore ouverte.</x:v>
      </x:c>
      <x:c r="H1373" s="115" t="str">
        <x:v>L 280 ; l 248 ; hauteur 6,7 m ; choix de composition auteur ; dimensions réelles à documenter</x:v>
      </x:c>
      <x:c r="I1373" s="115" t="str">
        <x:v>À équilibrer</x:v>
      </x:c>
      <x:c r="J1373" s="115" t="str">
        <x:v>Non</x:v>
      </x:c>
      <x:c r="K1373" s="115" t="str">
        <x:v>Pièces décrites, murs, portes, niveaux et mobilier inspectables à l’échelle. Volumes réservés, raccord au seed, butin, rencontres et services de campagne restent à terminer.</x:v>
      </x:c>
    </x:row>
    <x:row r="1374" ht="96" customHeight="1">
      <x:c r="A1374" s="115" t="str">
        <x:v>EXT-MONDE-T028-V19</x:v>
      </x:c>
      <x:c r="B1374" s="115" t="str">
        <x:v>EXT-MONDE-T028</x:v>
      </x:c>
      <x:c r="C1374" s="115" t="str">
        <x:v>Fermes cultures</x:v>
      </x:c>
      <x:c r="D1374" s="115" t="str">
        <x:v>Verger avec conditionnement</x:v>
      </x:c>
      <x:c r="E1374" s="115" t="n">
        <x:v>19</x:v>
      </x:c>
      <x:c r="F1374" s="115" t="str">
        <x:v>Inspection physique</x:v>
      </x:c>
      <x:c r="G1374" s="115" t="str">
        <x:v>1 niveaux ; 26 pièces ; 198 segments de mur ; 0 transitions. Inspection physique ; architecture complète encore ouverte.</x:v>
      </x:c>
      <x:c r="H1374" s="115" t="str">
        <x:v>L 280 ; l 248 ; hauteur 6,7 m ; choix de composition auteur ; dimensions réelles à documenter</x:v>
      </x:c>
      <x:c r="I1374" s="115" t="str">
        <x:v>À équilibrer</x:v>
      </x:c>
      <x:c r="J1374" s="115" t="str">
        <x:v>Non</x:v>
      </x:c>
      <x:c r="K1374" s="115" t="str">
        <x:v>Pièces décrites, murs, portes, niveaux et mobilier inspectables à l’échelle. Volumes réservés, raccord au seed, butin, rencontres et services de campagne restent à terminer.</x:v>
      </x:c>
    </x:row>
    <x:row r="1375" ht="96" customHeight="1">
      <x:c r="A1375" s="115" t="str">
        <x:v>EXT-MONDE-T028-V20</x:v>
      </x:c>
      <x:c r="B1375" s="115" t="str">
        <x:v>EXT-MONDE-T028</x:v>
      </x:c>
      <x:c r="C1375" s="115" t="str">
        <x:v>Fermes cultures</x:v>
      </x:c>
      <x:c r="D1375" s="115" t="str">
        <x:v>Verger avec conditionnement</x:v>
      </x:c>
      <x:c r="E1375" s="115" t="n">
        <x:v>20</x:v>
      </x:c>
      <x:c r="F1375" s="115" t="str">
        <x:v>Inspection physique</x:v>
      </x:c>
      <x:c r="G1375" s="115" t="str">
        <x:v>1 niveaux ; 26 pièces ; 198 segments de mur ; 0 transitions. Inspection physique ; architecture complète encore ouverte.</x:v>
      </x:c>
      <x:c r="H1375" s="115" t="str">
        <x:v>L 280 ; l 248 ; hauteur 6,7 m ; choix de composition auteur ; dimensions réelles à documenter</x:v>
      </x:c>
      <x:c r="I1375" s="115" t="str">
        <x:v>À équilibrer</x:v>
      </x:c>
      <x:c r="J1375" s="115" t="str">
        <x:v>Non</x:v>
      </x:c>
      <x:c r="K1375" s="115" t="str">
        <x:v>Pièces décrites, murs, portes, niveaux et mobilier inspectables à l’échelle. Volumes réservés, raccord au seed, butin, rencontres et services de campagne restent à terminer.</x:v>
      </x:c>
    </x:row>
    <x:row r="1376" ht="96" customHeight="1">
      <x:c r="A1376" s="115" t="str">
        <x:v>EXT-MONDE-T028-V21</x:v>
      </x:c>
      <x:c r="B1376" s="115" t="str">
        <x:v>EXT-MONDE-T028</x:v>
      </x:c>
      <x:c r="C1376" s="115" t="str">
        <x:v>Fermes cultures</x:v>
      </x:c>
      <x:c r="D1376" s="115" t="str">
        <x:v>Verger avec conditionnement</x:v>
      </x:c>
      <x:c r="E1376" s="115" t="n">
        <x:v>21</x:v>
      </x:c>
      <x:c r="F1376" s="115" t="str">
        <x:v>Inspection physique</x:v>
      </x:c>
      <x:c r="G1376" s="115" t="str">
        <x:v>1 niveaux ; 26 pièces ; 198 segments de mur ; 0 transitions. Inspection physique ; architecture complète encore ouverte.</x:v>
      </x:c>
      <x:c r="H1376" s="115" t="str">
        <x:v>L 300 ; l 272 ; hauteur 6,9 m ; choix de composition auteur ; dimensions réelles à documenter</x:v>
      </x:c>
      <x:c r="I1376" s="115" t="str">
        <x:v>À équilibrer</x:v>
      </x:c>
      <x:c r="J1376" s="115" t="str">
        <x:v>Non</x:v>
      </x:c>
      <x:c r="K1376" s="115" t="str">
        <x:v>Pièces décrites, murs, portes, niveaux et mobilier inspectables à l’échelle. Volumes réservés, raccord au seed, butin, rencontres et services de campagne restent à terminer.</x:v>
      </x:c>
    </x:row>
    <x:row r="1377" ht="96" customHeight="1">
      <x:c r="A1377" s="115" t="str">
        <x:v>EXT-MONDE-T028-V22</x:v>
      </x:c>
      <x:c r="B1377" s="115" t="str">
        <x:v>EXT-MONDE-T028</x:v>
      </x:c>
      <x:c r="C1377" s="115" t="str">
        <x:v>Fermes cultures</x:v>
      </x:c>
      <x:c r="D1377" s="115" t="str">
        <x:v>Verger avec conditionnement</x:v>
      </x:c>
      <x:c r="E1377" s="115" t="n">
        <x:v>22</x:v>
      </x:c>
      <x:c r="F1377" s="115" t="str">
        <x:v>Inspection physique</x:v>
      </x:c>
      <x:c r="G1377" s="115" t="str">
        <x:v>1 niveaux ; 26 pièces ; 198 segments de mur ; 0 transitions. Inspection physique ; architecture complète encore ouverte.</x:v>
      </x:c>
      <x:c r="H1377" s="115" t="str">
        <x:v>L 300 ; l 272 ; hauteur 6,9 m ; choix de composition auteur ; dimensions réelles à documenter</x:v>
      </x:c>
      <x:c r="I1377" s="115" t="str">
        <x:v>À équilibrer</x:v>
      </x:c>
      <x:c r="J1377" s="115" t="str">
        <x:v>Non</x:v>
      </x:c>
      <x:c r="K1377" s="115" t="str">
        <x:v>Pièces décrites, murs, portes, niveaux et mobilier inspectables à l’échelle. Volumes réservés, raccord au seed, butin, rencontres et services de campagne restent à terminer.</x:v>
      </x:c>
    </x:row>
    <x:row r="1378" ht="96" customHeight="1">
      <x:c r="A1378" s="115" t="str">
        <x:v>EXT-MONDE-T028-V23</x:v>
      </x:c>
      <x:c r="B1378" s="115" t="str">
        <x:v>EXT-MONDE-T028</x:v>
      </x:c>
      <x:c r="C1378" s="115" t="str">
        <x:v>Fermes cultures</x:v>
      </x:c>
      <x:c r="D1378" s="115" t="str">
        <x:v>Verger avec conditionnement</x:v>
      </x:c>
      <x:c r="E1378" s="115" t="n">
        <x:v>23</x:v>
      </x:c>
      <x:c r="F1378" s="115" t="str">
        <x:v>Inspection physique</x:v>
      </x:c>
      <x:c r="G1378" s="115" t="str">
        <x:v>1 niveaux ; 26 pièces ; 198 segments de mur ; 0 transitions. Inspection physique ; architecture complète encore ouverte.</x:v>
      </x:c>
      <x:c r="H1378" s="115" t="str">
        <x:v>L 300 ; l 272 ; hauteur 6,9 m ; choix de composition auteur ; dimensions réelles à documenter</x:v>
      </x:c>
      <x:c r="I1378" s="115" t="str">
        <x:v>À équilibrer</x:v>
      </x:c>
      <x:c r="J1378" s="115" t="str">
        <x:v>Non</x:v>
      </x:c>
      <x:c r="K1378" s="115" t="str">
        <x:v>Pièces décrites, murs, portes, niveaux et mobilier inspectables à l’échelle. Volumes réservés, raccord au seed, butin, rencontres et services de campagne restent à terminer.</x:v>
      </x:c>
    </x:row>
    <x:row r="1379" ht="96" customHeight="1">
      <x:c r="A1379" s="115" t="str">
        <x:v>EXT-MONDE-T028-V24</x:v>
      </x:c>
      <x:c r="B1379" s="115" t="str">
        <x:v>EXT-MONDE-T028</x:v>
      </x:c>
      <x:c r="C1379" s="115" t="str">
        <x:v>Fermes cultures</x:v>
      </x:c>
      <x:c r="D1379" s="115" t="str">
        <x:v>Verger avec conditionnement</x:v>
      </x:c>
      <x:c r="E1379" s="115" t="n">
        <x:v>24</x:v>
      </x:c>
      <x:c r="F1379" s="115" t="str">
        <x:v>Inspection physique</x:v>
      </x:c>
      <x:c r="G1379" s="115" t="str">
        <x:v>1 niveaux ; 26 pièces ; 198 segments de mur ; 0 transitions. Inspection physique ; architecture complète encore ouverte.</x:v>
      </x:c>
      <x:c r="H1379" s="115" t="str">
        <x:v>L 300 ; l 272 ; hauteur 6,9 m ; choix de composition auteur ; dimensions réelles à documenter</x:v>
      </x:c>
      <x:c r="I1379" s="115" t="str">
        <x:v>À équilibrer</x:v>
      </x:c>
      <x:c r="J1379" s="115" t="str">
        <x:v>Non</x:v>
      </x:c>
      <x:c r="K1379" s="115" t="str">
        <x:v>Pièces décrites, murs, portes, niveaux et mobilier inspectables à l’échelle. Volumes réservés, raccord au seed, butin, rencontres et services de campagne restent à terminer.</x:v>
      </x:c>
    </x:row>
    <x:row r="1380" ht="96" customHeight="1">
      <x:c r="A1380" s="115" t="str">
        <x:v>EXT-MONDE-T028-V25</x:v>
      </x:c>
      <x:c r="B1380" s="115" t="str">
        <x:v>EXT-MONDE-T028</x:v>
      </x:c>
      <x:c r="C1380" s="115" t="str">
        <x:v>Fermes cultures</x:v>
      </x:c>
      <x:c r="D1380" s="115" t="str">
        <x:v>Verger avec conditionnement</x:v>
      </x:c>
      <x:c r="E1380" s="115" t="n">
        <x:v>25</x:v>
      </x:c>
      <x:c r="F1380" s="115" t="str">
        <x:v>Inspection physique</x:v>
      </x:c>
      <x:c r="G1380" s="115" t="str">
        <x:v>1 niveaux ; 26 pièces ; 198 segments de mur ; 0 transitions. Inspection physique ; architecture complète encore ouverte.</x:v>
      </x:c>
      <x:c r="H1380" s="115" t="str">
        <x:v>L 300 ; l 272 ; hauteur 6,9 m ; choix de composition auteur ; dimensions réelles à documenter</x:v>
      </x:c>
      <x:c r="I1380" s="115" t="str">
        <x:v>À équilibrer</x:v>
      </x:c>
      <x:c r="J1380" s="115" t="str">
        <x:v>Non</x:v>
      </x:c>
      <x:c r="K1380" s="115" t="str">
        <x:v>Pièces décrites, murs, portes, niveaux et mobilier inspectables à l’échelle. Volumes réservés, raccord au seed, butin, rencontres et services de campagne restent à terminer.</x:v>
      </x:c>
    </x:row>
    <x:row r="1381" ht="96" customHeight="1">
      <x:c r="A1381" s="115" t="str">
        <x:v>EXT-MONDE-T028-V26</x:v>
      </x:c>
      <x:c r="B1381" s="115" t="str">
        <x:v>EXT-MONDE-T028</x:v>
      </x:c>
      <x:c r="C1381" s="115" t="str">
        <x:v>Fermes cultures</x:v>
      </x:c>
      <x:c r="D1381" s="115" t="str">
        <x:v>Verger avec conditionnement</x:v>
      </x:c>
      <x:c r="E1381" s="115" t="n">
        <x:v>26</x:v>
      </x:c>
      <x:c r="F1381" s="115" t="str">
        <x:v>Inspection physique</x:v>
      </x:c>
      <x:c r="G1381" s="115" t="str">
        <x:v>1 niveaux ; 26 pièces ; 198 segments de mur ; 0 transitions. Inspection physique ; architecture complète encore ouverte.</x:v>
      </x:c>
      <x:c r="H1381" s="115" t="str">
        <x:v>L 300 ; l 272 ; hauteur 6,9 m ; choix de composition auteur ; dimensions réelles à documenter</x:v>
      </x:c>
      <x:c r="I1381" s="115" t="str">
        <x:v>À équilibrer</x:v>
      </x:c>
      <x:c r="J1381" s="115" t="str">
        <x:v>Non</x:v>
      </x:c>
      <x:c r="K1381" s="115" t="str">
        <x:v>Pièces décrites, murs, portes, niveaux et mobilier inspectables à l’échelle. Volumes réservés, raccord au seed, butin, rencontres et services de campagne restent à terminer.</x:v>
      </x:c>
    </x:row>
    <x:row r="1382" ht="96" customHeight="1">
      <x:c r="A1382" s="115" t="str">
        <x:v>EXT-MONDE-T028-V27</x:v>
      </x:c>
      <x:c r="B1382" s="115" t="str">
        <x:v>EXT-MONDE-T028</x:v>
      </x:c>
      <x:c r="C1382" s="115" t="str">
        <x:v>Fermes cultures</x:v>
      </x:c>
      <x:c r="D1382" s="115" t="str">
        <x:v>Verger avec conditionnement</x:v>
      </x:c>
      <x:c r="E1382" s="115" t="n">
        <x:v>27</x:v>
      </x:c>
      <x:c r="F1382" s="115" t="str">
        <x:v>Inspection physique</x:v>
      </x:c>
      <x:c r="G1382" s="115" t="str">
        <x:v>1 niveaux ; 26 pièces ; 198 segments de mur ; 0 transitions. Inspection physique ; architecture complète encore ouverte.</x:v>
      </x:c>
      <x:c r="H1382" s="115" t="str">
        <x:v>L 300 ; l 272 ; hauteur 6,9 m ; choix de composition auteur ; dimensions réelles à documenter</x:v>
      </x:c>
      <x:c r="I1382" s="115" t="str">
        <x:v>À équilibrer</x:v>
      </x:c>
      <x:c r="J1382" s="115" t="str">
        <x:v>Non</x:v>
      </x:c>
      <x:c r="K1382" s="115" t="str">
        <x:v>Pièces décrites, murs, portes, niveaux et mobilier inspectables à l’échelle. Volumes réservés, raccord au seed, butin, rencontres et services de campagne restent à terminer.</x:v>
      </x:c>
    </x:row>
    <x:row r="1383" ht="96" customHeight="1">
      <x:c r="A1383" s="115" t="str">
        <x:v>EXT-MONDE-T028-V28</x:v>
      </x:c>
      <x:c r="B1383" s="115" t="str">
        <x:v>EXT-MONDE-T028</x:v>
      </x:c>
      <x:c r="C1383" s="115" t="str">
        <x:v>Fermes cultures</x:v>
      </x:c>
      <x:c r="D1383" s="115" t="str">
        <x:v>Verger avec conditionnement</x:v>
      </x:c>
      <x:c r="E1383" s="115" t="n">
        <x:v>28</x:v>
      </x:c>
      <x:c r="F1383" s="115" t="str">
        <x:v>Inspection physique</x:v>
      </x:c>
      <x:c r="G1383" s="115" t="str">
        <x:v>1 niveaux ; 26 pièces ; 198 segments de mur ; 0 transitions. Inspection physique ; architecture complète encore ouverte.</x:v>
      </x:c>
      <x:c r="H1383" s="115" t="str">
        <x:v>L 300 ; l 272 ; hauteur 6,9 m ; choix de composition auteur ; dimensions réelles à documenter</x:v>
      </x:c>
      <x:c r="I1383" s="115" t="str">
        <x:v>À équilibrer</x:v>
      </x:c>
      <x:c r="J1383" s="115" t="str">
        <x:v>Non</x:v>
      </x:c>
      <x:c r="K1383" s="115" t="str">
        <x:v>Pièces décrites, murs, portes, niveaux et mobilier inspectables à l’échelle. Volumes réservés, raccord au seed, butin, rencontres et services de campagne restent à terminer.</x:v>
      </x:c>
    </x:row>
    <x:row r="1384" ht="96" customHeight="1">
      <x:c r="A1384" s="115" t="str">
        <x:v>EXT-MONDE-T028-V29</x:v>
      </x:c>
      <x:c r="B1384" s="115" t="str">
        <x:v>EXT-MONDE-T028</x:v>
      </x:c>
      <x:c r="C1384" s="115" t="str">
        <x:v>Fermes cultures</x:v>
      </x:c>
      <x:c r="D1384" s="115" t="str">
        <x:v>Verger avec conditionnement</x:v>
      </x:c>
      <x:c r="E1384" s="115" t="n">
        <x:v>29</x:v>
      </x:c>
      <x:c r="F1384" s="115" t="str">
        <x:v>Inspection physique</x:v>
      </x:c>
      <x:c r="G1384" s="115" t="str">
        <x:v>1 niveaux ; 26 pièces ; 198 segments de mur ; 0 transitions. Inspection physique ; architecture complète encore ouverte.</x:v>
      </x:c>
      <x:c r="H1384" s="115" t="str">
        <x:v>L 300 ; l 272 ; hauteur 6,9 m ; choix de composition auteur ; dimensions réelles à documenter</x:v>
      </x:c>
      <x:c r="I1384" s="115" t="str">
        <x:v>À équilibrer</x:v>
      </x:c>
      <x:c r="J1384" s="115" t="str">
        <x:v>Non</x:v>
      </x:c>
      <x:c r="K1384" s="115" t="str">
        <x:v>Pièces décrites, murs, portes, niveaux et mobilier inspectables à l’échelle. Volumes réservés, raccord au seed, butin, rencontres et services de campagne restent à terminer.</x:v>
      </x:c>
    </x:row>
    <x:row r="1385" ht="96" customHeight="1">
      <x:c r="A1385" s="115" t="str">
        <x:v>EXT-MONDE-T028-V30</x:v>
      </x:c>
      <x:c r="B1385" s="115" t="str">
        <x:v>EXT-MONDE-T028</x:v>
      </x:c>
      <x:c r="C1385" s="115" t="str">
        <x:v>Fermes cultures</x:v>
      </x:c>
      <x:c r="D1385" s="115" t="str">
        <x:v>Verger avec conditionnement</x:v>
      </x:c>
      <x:c r="E1385" s="115" t="n">
        <x:v>30</x:v>
      </x:c>
      <x:c r="F1385" s="115" t="str">
        <x:v>Inspection physique</x:v>
      </x:c>
      <x:c r="G1385" s="115" t="str">
        <x:v>1 niveaux ; 26 pièces ; 198 segments de mur ; 0 transitions. Inspection physique ; architecture complète encore ouverte.</x:v>
      </x:c>
      <x:c r="H1385" s="115" t="str">
        <x:v>L 300 ; l 272 ; hauteur 6,9 m ; choix de composition auteur ; dimensions réelles à documenter</x:v>
      </x:c>
      <x:c r="I1385" s="115" t="str">
        <x:v>À équilibrer</x:v>
      </x:c>
      <x:c r="J1385" s="115" t="str">
        <x:v>Non</x:v>
      </x:c>
      <x:c r="K1385" s="115" t="str">
        <x:v>Pièces décrites, murs, portes, niveaux et mobilier inspectables à l’échelle. Volumes réservés, raccord au seed, butin, rencontres et services de campagne restent à terminer.</x:v>
      </x:c>
    </x:row>
    <x:row r="1386" ht="96" customHeight="1">
      <x:c r="A1386" s="115" t="str">
        <x:v>EXT-MONDE-T028-V31</x:v>
      </x:c>
      <x:c r="B1386" s="115" t="str">
        <x:v>EXT-MONDE-T028</x:v>
      </x:c>
      <x:c r="C1386" s="115" t="str">
        <x:v>Fermes cultures</x:v>
      </x:c>
      <x:c r="D1386" s="115" t="str">
        <x:v>Verger avec conditionnement</x:v>
      </x:c>
      <x:c r="E1386" s="115" t="n">
        <x:v>31</x:v>
      </x:c>
      <x:c r="F1386" s="115" t="str">
        <x:v>Inspection physique</x:v>
      </x:c>
      <x:c r="G1386" s="115" t="str">
        <x:v>1 niveaux ; 26 pièces ; 198 segments de mur ; 0 transitions. Inspection physique ; architecture complète encore ouverte.</x:v>
      </x:c>
      <x:c r="H1386" s="115" t="str">
        <x:v>L 320 ; l 296 ; hauteur 7,1 m ; choix de composition auteur ; dimensions réelles à documenter</x:v>
      </x:c>
      <x:c r="I1386" s="115" t="str">
        <x:v>À équilibrer</x:v>
      </x:c>
      <x:c r="J1386" s="115" t="str">
        <x:v>Non</x:v>
      </x:c>
      <x:c r="K1386" s="115" t="str">
        <x:v>Pièces décrites, murs, portes, niveaux et mobilier inspectables à l’échelle. Volumes réservés, raccord au seed, butin, rencontres et services de campagne restent à terminer.</x:v>
      </x:c>
    </x:row>
    <x:row r="1387" ht="96" customHeight="1">
      <x:c r="A1387" s="115" t="str">
        <x:v>EXT-MONDE-T028-V32</x:v>
      </x:c>
      <x:c r="B1387" s="115" t="str">
        <x:v>EXT-MONDE-T028</x:v>
      </x:c>
      <x:c r="C1387" s="115" t="str">
        <x:v>Fermes cultures</x:v>
      </x:c>
      <x:c r="D1387" s="115" t="str">
        <x:v>Verger avec conditionnement</x:v>
      </x:c>
      <x:c r="E1387" s="115" t="n">
        <x:v>32</x:v>
      </x:c>
      <x:c r="F1387" s="115" t="str">
        <x:v>Inspection physique</x:v>
      </x:c>
      <x:c r="G1387" s="115" t="str">
        <x:v>1 niveaux ; 26 pièces ; 198 segments de mur ; 0 transitions. Inspection physique ; architecture complète encore ouverte.</x:v>
      </x:c>
      <x:c r="H1387" s="115" t="str">
        <x:v>L 320 ; l 296 ; hauteur 7,1 m ; choix de composition auteur ; dimensions réelles à documenter</x:v>
      </x:c>
      <x:c r="I1387" s="115" t="str">
        <x:v>À équilibrer</x:v>
      </x:c>
      <x:c r="J1387" s="115" t="str">
        <x:v>Non</x:v>
      </x:c>
      <x:c r="K1387" s="115" t="str">
        <x:v>Pièces décrites, murs, portes, niveaux et mobilier inspectables à l’échelle. Volumes réservés, raccord au seed, butin, rencontres et services de campagne restent à terminer.</x:v>
      </x:c>
    </x:row>
    <x:row r="1388" ht="96" customHeight="1">
      <x:c r="A1388" s="115" t="str">
        <x:v>EXT-MONDE-T028-V33</x:v>
      </x:c>
      <x:c r="B1388" s="115" t="str">
        <x:v>EXT-MONDE-T028</x:v>
      </x:c>
      <x:c r="C1388" s="115" t="str">
        <x:v>Fermes cultures</x:v>
      </x:c>
      <x:c r="D1388" s="115" t="str">
        <x:v>Verger avec conditionnement</x:v>
      </x:c>
      <x:c r="E1388" s="115" t="n">
        <x:v>33</x:v>
      </x:c>
      <x:c r="F1388" s="115" t="str">
        <x:v>Inspection physique</x:v>
      </x:c>
      <x:c r="G1388" s="115" t="str">
        <x:v>1 niveaux ; 26 pièces ; 198 segments de mur ; 0 transitions. Inspection physique ; architecture complète encore ouverte.</x:v>
      </x:c>
      <x:c r="H1388" s="115" t="str">
        <x:v>L 320 ; l 296 ; hauteur 7,1 m ; choix de composition auteur ; dimensions réelles à documenter</x:v>
      </x:c>
      <x:c r="I1388" s="115" t="str">
        <x:v>À équilibrer</x:v>
      </x:c>
      <x:c r="J1388" s="115" t="str">
        <x:v>Non</x:v>
      </x:c>
      <x:c r="K1388" s="115" t="str">
        <x:v>Pièces décrites, murs, portes, niveaux et mobilier inspectables à l’échelle. Volumes réservés, raccord au seed, butin, rencontres et services de campagne restent à terminer.</x:v>
      </x:c>
    </x:row>
    <x:row r="1389" ht="96" customHeight="1">
      <x:c r="A1389" s="115" t="str">
        <x:v>EXT-MONDE-T028-V34</x:v>
      </x:c>
      <x:c r="B1389" s="115" t="str">
        <x:v>EXT-MONDE-T028</x:v>
      </x:c>
      <x:c r="C1389" s="115" t="str">
        <x:v>Fermes cultures</x:v>
      </x:c>
      <x:c r="D1389" s="115" t="str">
        <x:v>Verger avec conditionnement</x:v>
      </x:c>
      <x:c r="E1389" s="115" t="n">
        <x:v>34</x:v>
      </x:c>
      <x:c r="F1389" s="115" t="str">
        <x:v>Inspection physique</x:v>
      </x:c>
      <x:c r="G1389" s="115" t="str">
        <x:v>1 niveaux ; 26 pièces ; 198 segments de mur ; 0 transitions. Inspection physique ; architecture complète encore ouverte.</x:v>
      </x:c>
      <x:c r="H1389" s="115" t="str">
        <x:v>L 320 ; l 296 ; hauteur 7,1 m ; choix de composition auteur ; dimensions réelles à documenter</x:v>
      </x:c>
      <x:c r="I1389" s="115" t="str">
        <x:v>À équilibrer</x:v>
      </x:c>
      <x:c r="J1389" s="115" t="str">
        <x:v>Non</x:v>
      </x:c>
      <x:c r="K1389" s="115" t="str">
        <x:v>Pièces décrites, murs, portes, niveaux et mobilier inspectables à l’échelle. Volumes réservés, raccord au seed, butin, rencontres et services de campagne restent à terminer.</x:v>
      </x:c>
    </x:row>
    <x:row r="1390" ht="96" customHeight="1">
      <x:c r="A1390" s="115" t="str">
        <x:v>EXT-MONDE-T028-V35</x:v>
      </x:c>
      <x:c r="B1390" s="115" t="str">
        <x:v>EXT-MONDE-T028</x:v>
      </x:c>
      <x:c r="C1390" s="115" t="str">
        <x:v>Fermes cultures</x:v>
      </x:c>
      <x:c r="D1390" s="115" t="str">
        <x:v>Verger avec conditionnement</x:v>
      </x:c>
      <x:c r="E1390" s="115" t="n">
        <x:v>35</x:v>
      </x:c>
      <x:c r="F1390" s="115" t="str">
        <x:v>Inspection physique</x:v>
      </x:c>
      <x:c r="G1390" s="115" t="str">
        <x:v>1 niveaux ; 26 pièces ; 198 segments de mur ; 0 transitions. Inspection physique ; architecture complète encore ouverte.</x:v>
      </x:c>
      <x:c r="H1390" s="115" t="str">
        <x:v>L 320 ; l 296 ; hauteur 7,1 m ; choix de composition auteur ; dimensions réelles à documenter</x:v>
      </x:c>
      <x:c r="I1390" s="115" t="str">
        <x:v>À équilibrer</x:v>
      </x:c>
      <x:c r="J1390" s="115" t="str">
        <x:v>Non</x:v>
      </x:c>
      <x:c r="K1390" s="115" t="str">
        <x:v>Pièces décrites, murs, portes, niveaux et mobilier inspectables à l’échelle. Volumes réservés, raccord au seed, butin, rencontres et services de campagne restent à terminer.</x:v>
      </x:c>
    </x:row>
    <x:row r="1391" ht="96" customHeight="1">
      <x:c r="A1391" s="115" t="str">
        <x:v>EXT-MONDE-T028-V36</x:v>
      </x:c>
      <x:c r="B1391" s="115" t="str">
        <x:v>EXT-MONDE-T028</x:v>
      </x:c>
      <x:c r="C1391" s="115" t="str">
        <x:v>Fermes cultures</x:v>
      </x:c>
      <x:c r="D1391" s="115" t="str">
        <x:v>Verger avec conditionnement</x:v>
      </x:c>
      <x:c r="E1391" s="115" t="n">
        <x:v>36</x:v>
      </x:c>
      <x:c r="F1391" s="115" t="str">
        <x:v>Inspection physique</x:v>
      </x:c>
      <x:c r="G1391" s="115" t="str">
        <x:v>1 niveaux ; 26 pièces ; 198 segments de mur ; 0 transitions. Inspection physique ; architecture complète encore ouverte.</x:v>
      </x:c>
      <x:c r="H1391" s="115" t="str">
        <x:v>L 320 ; l 296 ; hauteur 7,1 m ; choix de composition auteur ; dimensions réelles à documenter</x:v>
      </x:c>
      <x:c r="I1391" s="115" t="str">
        <x:v>À équilibrer</x:v>
      </x:c>
      <x:c r="J1391" s="115" t="str">
        <x:v>Non</x:v>
      </x:c>
      <x:c r="K1391" s="115" t="str">
        <x:v>Pièces décrites, murs, portes, niveaux et mobilier inspectables à l’échelle. Volumes réservés, raccord au seed, butin, rencontres et services de campagne restent à terminer.</x:v>
      </x:c>
    </x:row>
    <x:row r="1392" ht="96" customHeight="1">
      <x:c r="A1392" s="115" t="str">
        <x:v>EXT-MONDE-T028-V37</x:v>
      </x:c>
      <x:c r="B1392" s="115" t="str">
        <x:v>EXT-MONDE-T028</x:v>
      </x:c>
      <x:c r="C1392" s="115" t="str">
        <x:v>Fermes cultures</x:v>
      </x:c>
      <x:c r="D1392" s="115" t="str">
        <x:v>Verger avec conditionnement</x:v>
      </x:c>
      <x:c r="E1392" s="115" t="n">
        <x:v>37</x:v>
      </x:c>
      <x:c r="F1392" s="115" t="str">
        <x:v>Inspection physique</x:v>
      </x:c>
      <x:c r="G1392" s="115" t="str">
        <x:v>1 niveaux ; 26 pièces ; 198 segments de mur ; 0 transitions. Inspection physique ; architecture complète encore ouverte.</x:v>
      </x:c>
      <x:c r="H1392" s="115" t="str">
        <x:v>L 320 ; l 296 ; hauteur 7,1 m ; choix de composition auteur ; dimensions réelles à documenter</x:v>
      </x:c>
      <x:c r="I1392" s="115" t="str">
        <x:v>À équilibrer</x:v>
      </x:c>
      <x:c r="J1392" s="115" t="str">
        <x:v>Non</x:v>
      </x:c>
      <x:c r="K1392" s="115" t="str">
        <x:v>Pièces décrites, murs, portes, niveaux et mobilier inspectables à l’échelle. Volumes réservés, raccord au seed, butin, rencontres et services de campagne restent à terminer.</x:v>
      </x:c>
    </x:row>
    <x:row r="1393" ht="96" customHeight="1">
      <x:c r="A1393" s="115" t="str">
        <x:v>EXT-MONDE-T028-V38</x:v>
      </x:c>
      <x:c r="B1393" s="115" t="str">
        <x:v>EXT-MONDE-T028</x:v>
      </x:c>
      <x:c r="C1393" s="115" t="str">
        <x:v>Fermes cultures</x:v>
      </x:c>
      <x:c r="D1393" s="115" t="str">
        <x:v>Verger avec conditionnement</x:v>
      </x:c>
      <x:c r="E1393" s="115" t="n">
        <x:v>38</x:v>
      </x:c>
      <x:c r="F1393" s="115" t="str">
        <x:v>Inspection physique</x:v>
      </x:c>
      <x:c r="G1393" s="115" t="str">
        <x:v>1 niveaux ; 26 pièces ; 198 segments de mur ; 0 transitions. Inspection physique ; architecture complète encore ouverte.</x:v>
      </x:c>
      <x:c r="H1393" s="115" t="str">
        <x:v>L 320 ; l 296 ; hauteur 7,1 m ; choix de composition auteur ; dimensions réelles à documenter</x:v>
      </x:c>
      <x:c r="I1393" s="115" t="str">
        <x:v>À équilibrer</x:v>
      </x:c>
      <x:c r="J1393" s="115" t="str">
        <x:v>Non</x:v>
      </x:c>
      <x:c r="K1393" s="115" t="str">
        <x:v>Pièces décrites, murs, portes, niveaux et mobilier inspectables à l’échelle. Volumes réservés, raccord au seed, butin, rencontres et services de campagne restent à terminer.</x:v>
      </x:c>
    </x:row>
    <x:row r="1394" ht="96" customHeight="1">
      <x:c r="A1394" s="115" t="str">
        <x:v>EXT-MONDE-T028-V39</x:v>
      </x:c>
      <x:c r="B1394" s="115" t="str">
        <x:v>EXT-MONDE-T028</x:v>
      </x:c>
      <x:c r="C1394" s="115" t="str">
        <x:v>Fermes cultures</x:v>
      </x:c>
      <x:c r="D1394" s="115" t="str">
        <x:v>Verger avec conditionnement</x:v>
      </x:c>
      <x:c r="E1394" s="115" t="n">
        <x:v>39</x:v>
      </x:c>
      <x:c r="F1394" s="115" t="str">
        <x:v>Inspection physique</x:v>
      </x:c>
      <x:c r="G1394" s="115" t="str">
        <x:v>1 niveaux ; 26 pièces ; 198 segments de mur ; 0 transitions. Inspection physique ; architecture complète encore ouverte.</x:v>
      </x:c>
      <x:c r="H1394" s="115" t="str">
        <x:v>L 320 ; l 296 ; hauteur 7,1 m ; choix de composition auteur ; dimensions réelles à documenter</x:v>
      </x:c>
      <x:c r="I1394" s="115" t="str">
        <x:v>À équilibrer</x:v>
      </x:c>
      <x:c r="J1394" s="115" t="str">
        <x:v>Non</x:v>
      </x:c>
      <x:c r="K1394" s="115" t="str">
        <x:v>Pièces décrites, murs, portes, niveaux et mobilier inspectables à l’échelle. Volumes réservés, raccord au seed, butin, rencontres et services de campagne restent à terminer.</x:v>
      </x:c>
    </x:row>
    <x:row r="1395" ht="96" customHeight="1">
      <x:c r="A1395" s="115" t="str">
        <x:v>EXT-MONDE-T028-V40</x:v>
      </x:c>
      <x:c r="B1395" s="115" t="str">
        <x:v>EXT-MONDE-T028</x:v>
      </x:c>
      <x:c r="C1395" s="115" t="str">
        <x:v>Fermes cultures</x:v>
      </x:c>
      <x:c r="D1395" s="115" t="str">
        <x:v>Verger avec conditionnement</x:v>
      </x:c>
      <x:c r="E1395" s="115" t="n">
        <x:v>40</x:v>
      </x:c>
      <x:c r="F1395" s="115" t="str">
        <x:v>Inspection physique</x:v>
      </x:c>
      <x:c r="G1395" s="115" t="str">
        <x:v>1 niveaux ; 26 pièces ; 198 segments de mur ; 0 transitions. Inspection physique ; architecture complète encore ouverte.</x:v>
      </x:c>
      <x:c r="H1395" s="115" t="str">
        <x:v>L 320 ; l 296 ; hauteur 7,1 m ; choix de composition auteur ; dimensions réelles à documenter</x:v>
      </x:c>
      <x:c r="I1395" s="115" t="str">
        <x:v>À équilibrer</x:v>
      </x:c>
      <x:c r="J1395" s="115" t="str">
        <x:v>Non</x:v>
      </x:c>
      <x:c r="K1395" s="115" t="str">
        <x:v>Pièces décrites, murs, portes, niveaux et mobilier inspectables à l’échelle. Volumes réservés, raccord au seed, butin, rencontres et services de campagne restent à terminer.</x:v>
      </x:c>
    </x:row>
    <x:row r="1396" ht="96" customHeight="1">
      <x:c r="A1396" s="115" t="str">
        <x:v>EXT-MONDE-T028-V41</x:v>
      </x:c>
      <x:c r="B1396" s="115" t="str">
        <x:v>EXT-MONDE-T028</x:v>
      </x:c>
      <x:c r="C1396" s="115" t="str">
        <x:v>Fermes cultures</x:v>
      </x:c>
      <x:c r="D1396" s="115" t="str">
        <x:v>Verger avec conditionnement</x:v>
      </x:c>
      <x:c r="E1396" s="115" t="n">
        <x:v>41</x:v>
      </x:c>
      <x:c r="F1396" s="115" t="str">
        <x:v>Inspection physique</x:v>
      </x:c>
      <x:c r="G1396" s="115" t="str">
        <x:v>1 niveaux ; 26 pièces ; 198 segments de mur ; 0 transitions. Inspection physique ; architecture complète encore ouverte.</x:v>
      </x:c>
      <x:c r="H1396" s="115" t="str">
        <x:v>L 340 ; l 320 ; hauteur 7,3 m ; choix de composition auteur ; dimensions réelles à documenter</x:v>
      </x:c>
      <x:c r="I1396" s="115" t="str">
        <x:v>À équilibrer</x:v>
      </x:c>
      <x:c r="J1396" s="115" t="str">
        <x:v>Non</x:v>
      </x:c>
      <x:c r="K1396" s="115" t="str">
        <x:v>Pièces décrites, murs, portes, niveaux et mobilier inspectables à l’échelle. Volumes réservés, raccord au seed, butin, rencontres et services de campagne restent à terminer.</x:v>
      </x:c>
    </x:row>
    <x:row r="1397" ht="96" customHeight="1">
      <x:c r="A1397" s="115" t="str">
        <x:v>EXT-MONDE-T028-V42</x:v>
      </x:c>
      <x:c r="B1397" s="115" t="str">
        <x:v>EXT-MONDE-T028</x:v>
      </x:c>
      <x:c r="C1397" s="115" t="str">
        <x:v>Fermes cultures</x:v>
      </x:c>
      <x:c r="D1397" s="115" t="str">
        <x:v>Verger avec conditionnement</x:v>
      </x:c>
      <x:c r="E1397" s="115" t="n">
        <x:v>42</x:v>
      </x:c>
      <x:c r="F1397" s="115" t="str">
        <x:v>Inspection physique</x:v>
      </x:c>
      <x:c r="G1397" s="115" t="str">
        <x:v>1 niveaux ; 26 pièces ; 198 segments de mur ; 0 transitions. Inspection physique ; architecture complète encore ouverte.</x:v>
      </x:c>
      <x:c r="H1397" s="115" t="str">
        <x:v>L 340 ; l 320 ; hauteur 7,3 m ; choix de composition auteur ; dimensions réelles à documenter</x:v>
      </x:c>
      <x:c r="I1397" s="115" t="str">
        <x:v>À équilibrer</x:v>
      </x:c>
      <x:c r="J1397" s="115" t="str">
        <x:v>Non</x:v>
      </x:c>
      <x:c r="K1397" s="115" t="str">
        <x:v>Pièces décrites, murs, portes, niveaux et mobilier inspectables à l’échelle. Volumes réservés, raccord au seed, butin, rencontres et services de campagne restent à terminer.</x:v>
      </x:c>
    </x:row>
    <x:row r="1398" ht="96" customHeight="1">
      <x:c r="A1398" s="115" t="str">
        <x:v>EXT-MONDE-T028-V43</x:v>
      </x:c>
      <x:c r="B1398" s="115" t="str">
        <x:v>EXT-MONDE-T028</x:v>
      </x:c>
      <x:c r="C1398" s="115" t="str">
        <x:v>Fermes cultures</x:v>
      </x:c>
      <x:c r="D1398" s="115" t="str">
        <x:v>Verger avec conditionnement</x:v>
      </x:c>
      <x:c r="E1398" s="115" t="n">
        <x:v>43</x:v>
      </x:c>
      <x:c r="F1398" s="115" t="str">
        <x:v>Inspection physique</x:v>
      </x:c>
      <x:c r="G1398" s="115" t="str">
        <x:v>1 niveaux ; 26 pièces ; 198 segments de mur ; 0 transitions. Inspection physique ; architecture complète encore ouverte.</x:v>
      </x:c>
      <x:c r="H1398" s="115" t="str">
        <x:v>L 340 ; l 320 ; hauteur 7,3 m ; choix de composition auteur ; dimensions réelles à documenter</x:v>
      </x:c>
      <x:c r="I1398" s="115" t="str">
        <x:v>À équilibrer</x:v>
      </x:c>
      <x:c r="J1398" s="115" t="str">
        <x:v>Non</x:v>
      </x:c>
      <x:c r="K1398" s="115" t="str">
        <x:v>Pièces décrites, murs, portes, niveaux et mobilier inspectables à l’échelle. Volumes réservés, raccord au seed, butin, rencontres et services de campagne restent à terminer.</x:v>
      </x:c>
    </x:row>
    <x:row r="1399" ht="96" customHeight="1">
      <x:c r="A1399" s="115" t="str">
        <x:v>EXT-MONDE-T028-V44</x:v>
      </x:c>
      <x:c r="B1399" s="115" t="str">
        <x:v>EXT-MONDE-T028</x:v>
      </x:c>
      <x:c r="C1399" s="115" t="str">
        <x:v>Fermes cultures</x:v>
      </x:c>
      <x:c r="D1399" s="115" t="str">
        <x:v>Verger avec conditionnement</x:v>
      </x:c>
      <x:c r="E1399" s="115" t="n">
        <x:v>44</x:v>
      </x:c>
      <x:c r="F1399" s="115" t="str">
        <x:v>Inspection physique</x:v>
      </x:c>
      <x:c r="G1399" s="115" t="str">
        <x:v>1 niveaux ; 26 pièces ; 198 segments de mur ; 0 transitions. Inspection physique ; architecture complète encore ouverte.</x:v>
      </x:c>
      <x:c r="H1399" s="115" t="str">
        <x:v>L 340 ; l 320 ; hauteur 7,3 m ; choix de composition auteur ; dimensions réelles à documenter</x:v>
      </x:c>
      <x:c r="I1399" s="115" t="str">
        <x:v>À équilibrer</x:v>
      </x:c>
      <x:c r="J1399" s="115" t="str">
        <x:v>Non</x:v>
      </x:c>
      <x:c r="K1399" s="115" t="str">
        <x:v>Pièces décrites, murs, portes, niveaux et mobilier inspectables à l’échelle. Volumes réservés, raccord au seed, butin, rencontres et services de campagne restent à terminer.</x:v>
      </x:c>
    </x:row>
    <x:row r="1400" ht="96" customHeight="1">
      <x:c r="A1400" s="115" t="str">
        <x:v>EXT-MONDE-T028-V45</x:v>
      </x:c>
      <x:c r="B1400" s="115" t="str">
        <x:v>EXT-MONDE-T028</x:v>
      </x:c>
      <x:c r="C1400" s="115" t="str">
        <x:v>Fermes cultures</x:v>
      </x:c>
      <x:c r="D1400" s="115" t="str">
        <x:v>Verger avec conditionnement</x:v>
      </x:c>
      <x:c r="E1400" s="115" t="n">
        <x:v>45</x:v>
      </x:c>
      <x:c r="F1400" s="115" t="str">
        <x:v>Inspection physique</x:v>
      </x:c>
      <x:c r="G1400" s="115" t="str">
        <x:v>1 niveaux ; 26 pièces ; 198 segments de mur ; 0 transitions. Inspection physique ; architecture complète encore ouverte.</x:v>
      </x:c>
      <x:c r="H1400" s="115" t="str">
        <x:v>L 340 ; l 320 ; hauteur 7,3 m ; choix de composition auteur ; dimensions réelles à documenter</x:v>
      </x:c>
      <x:c r="I1400" s="115" t="str">
        <x:v>À équilibrer</x:v>
      </x:c>
      <x:c r="J1400" s="115" t="str">
        <x:v>Non</x:v>
      </x:c>
      <x:c r="K1400" s="115" t="str">
        <x:v>Pièces décrites, murs, portes, niveaux et mobilier inspectables à l’échelle. Volumes réservés, raccord au seed, butin, rencontres et services de campagne restent à terminer.</x:v>
      </x:c>
    </x:row>
    <x:row r="1401" ht="96" customHeight="1">
      <x:c r="A1401" s="115" t="str">
        <x:v>EXT-MONDE-T028-V46</x:v>
      </x:c>
      <x:c r="B1401" s="115" t="str">
        <x:v>EXT-MONDE-T028</x:v>
      </x:c>
      <x:c r="C1401" s="115" t="str">
        <x:v>Fermes cultures</x:v>
      </x:c>
      <x:c r="D1401" s="115" t="str">
        <x:v>Verger avec conditionnement</x:v>
      </x:c>
      <x:c r="E1401" s="115" t="n">
        <x:v>46</x:v>
      </x:c>
      <x:c r="F1401" s="115" t="str">
        <x:v>Inspection physique</x:v>
      </x:c>
      <x:c r="G1401" s="115" t="str">
        <x:v>1 niveaux ; 26 pièces ; 198 segments de mur ; 0 transitions. Inspection physique ; architecture complète encore ouverte.</x:v>
      </x:c>
      <x:c r="H1401" s="115" t="str">
        <x:v>L 340 ; l 320 ; hauteur 7,3 m ; choix de composition auteur ; dimensions réelles à documenter</x:v>
      </x:c>
      <x:c r="I1401" s="115" t="str">
        <x:v>À équilibrer</x:v>
      </x:c>
      <x:c r="J1401" s="115" t="str">
        <x:v>Non</x:v>
      </x:c>
      <x:c r="K1401" s="115" t="str">
        <x:v>Pièces décrites, murs, portes, niveaux et mobilier inspectables à l’échelle. Volumes réservés, raccord au seed, butin, rencontres et services de campagne restent à terminer.</x:v>
      </x:c>
    </x:row>
    <x:row r="1402" ht="96" customHeight="1">
      <x:c r="A1402" s="115" t="str">
        <x:v>EXT-MONDE-T028-V47</x:v>
      </x:c>
      <x:c r="B1402" s="115" t="str">
        <x:v>EXT-MONDE-T028</x:v>
      </x:c>
      <x:c r="C1402" s="115" t="str">
        <x:v>Fermes cultures</x:v>
      </x:c>
      <x:c r="D1402" s="115" t="str">
        <x:v>Verger avec conditionnement</x:v>
      </x:c>
      <x:c r="E1402" s="115" t="n">
        <x:v>47</x:v>
      </x:c>
      <x:c r="F1402" s="115" t="str">
        <x:v>Inspection physique</x:v>
      </x:c>
      <x:c r="G1402" s="115" t="str">
        <x:v>1 niveaux ; 26 pièces ; 198 segments de mur ; 0 transitions. Inspection physique ; architecture complète encore ouverte.</x:v>
      </x:c>
      <x:c r="H1402" s="115" t="str">
        <x:v>L 340 ; l 320 ; hauteur 7,3 m ; choix de composition auteur ; dimensions réelles à documenter</x:v>
      </x:c>
      <x:c r="I1402" s="115" t="str">
        <x:v>À équilibrer</x:v>
      </x:c>
      <x:c r="J1402" s="115" t="str">
        <x:v>Non</x:v>
      </x:c>
      <x:c r="K1402" s="115" t="str">
        <x:v>Pièces décrites, murs, portes, niveaux et mobilier inspectables à l’échelle. Volumes réservés, raccord au seed, butin, rencontres et services de campagne restent à terminer.</x:v>
      </x:c>
    </x:row>
    <x:row r="1403" ht="96" customHeight="1">
      <x:c r="A1403" s="115" t="str">
        <x:v>EXT-MONDE-T028-V48</x:v>
      </x:c>
      <x:c r="B1403" s="115" t="str">
        <x:v>EXT-MONDE-T028</x:v>
      </x:c>
      <x:c r="C1403" s="115" t="str">
        <x:v>Fermes cultures</x:v>
      </x:c>
      <x:c r="D1403" s="115" t="str">
        <x:v>Verger avec conditionnement</x:v>
      </x:c>
      <x:c r="E1403" s="115" t="n">
        <x:v>48</x:v>
      </x:c>
      <x:c r="F1403" s="115" t="str">
        <x:v>Inspection physique</x:v>
      </x:c>
      <x:c r="G1403" s="115" t="str">
        <x:v>1 niveaux ; 26 pièces ; 198 segments de mur ; 0 transitions. Inspection physique ; architecture complète encore ouverte.</x:v>
      </x:c>
      <x:c r="H1403" s="115" t="str">
        <x:v>L 340 ; l 320 ; hauteur 7,3 m ; choix de composition auteur ; dimensions réelles à documenter</x:v>
      </x:c>
      <x:c r="I1403" s="115" t="str">
        <x:v>À équilibrer</x:v>
      </x:c>
      <x:c r="J1403" s="115" t="str">
        <x:v>Non</x:v>
      </x:c>
      <x:c r="K1403" s="115" t="str">
        <x:v>Pièces décrites, murs, portes, niveaux et mobilier inspectables à l’échelle. Volumes réservés, raccord au seed, butin, rencontres et services de campagne restent à terminer.</x:v>
      </x:c>
    </x:row>
    <x:row r="1404" ht="96" customHeight="1">
      <x:c r="A1404" s="115" t="str">
        <x:v>EXT-MONDE-T028-V49</x:v>
      </x:c>
      <x:c r="B1404" s="115" t="str">
        <x:v>EXT-MONDE-T028</x:v>
      </x:c>
      <x:c r="C1404" s="115" t="str">
        <x:v>Fermes cultures</x:v>
      </x:c>
      <x:c r="D1404" s="115" t="str">
        <x:v>Verger avec conditionnement</x:v>
      </x:c>
      <x:c r="E1404" s="115" t="n">
        <x:v>49</x:v>
      </x:c>
      <x:c r="F1404" s="115" t="str">
        <x:v>Inspection physique</x:v>
      </x:c>
      <x:c r="G1404" s="115" t="str">
        <x:v>1 niveaux ; 26 pièces ; 198 segments de mur ; 0 transitions. Inspection physique ; architecture complète encore ouverte.</x:v>
      </x:c>
      <x:c r="H1404" s="115" t="str">
        <x:v>L 340 ; l 320 ; hauteur 7,3 m ; choix de composition auteur ; dimensions réelles à documenter</x:v>
      </x:c>
      <x:c r="I1404" s="115" t="str">
        <x:v>À équilibrer</x:v>
      </x:c>
      <x:c r="J1404" s="115" t="str">
        <x:v>Non</x:v>
      </x:c>
      <x:c r="K1404" s="115" t="str">
        <x:v>Pièces décrites, murs, portes, niveaux et mobilier inspectables à l’échelle. Volumes réservés, raccord au seed, butin, rencontres et services de campagne restent à terminer.</x:v>
      </x:c>
    </x:row>
    <x:row r="1405" ht="96" customHeight="1">
      <x:c r="A1405" s="115" t="str">
        <x:v>EXT-MONDE-T028-V50</x:v>
      </x:c>
      <x:c r="B1405" s="115" t="str">
        <x:v>EXT-MONDE-T028</x:v>
      </x:c>
      <x:c r="C1405" s="115" t="str">
        <x:v>Fermes cultures</x:v>
      </x:c>
      <x:c r="D1405" s="115" t="str">
        <x:v>Verger avec conditionnement</x:v>
      </x:c>
      <x:c r="E1405" s="115" t="n">
        <x:v>50</x:v>
      </x:c>
      <x:c r="F1405" s="115" t="str">
        <x:v>Inspection physique</x:v>
      </x:c>
      <x:c r="G1405" s="115" t="str">
        <x:v>1 niveaux ; 26 pièces ; 198 segments de mur ; 0 transitions. Inspection physique ; architecture complète encore ouverte.</x:v>
      </x:c>
      <x:c r="H1405" s="115" t="str">
        <x:v>L 340 ; l 320 ; hauteur 7,3 m ; choix de composition auteur ; dimensions réelles à documenter</x:v>
      </x:c>
      <x:c r="I1405" s="115" t="str">
        <x:v>À équilibrer</x:v>
      </x:c>
      <x:c r="J1405" s="115" t="str">
        <x:v>Non</x:v>
      </x:c>
      <x:c r="K1405" s="115" t="str">
        <x:v>Pièces décrites, murs, portes, niveaux et mobilier inspectables à l’échelle. Volumes réservés, raccord au seed, butin, rencontres et services de campagne restent à terminer.</x:v>
      </x:c>
    </x:row>
    <x:row r="1406" ht="96" customHeight="1">
      <x:c r="A1406" s="115" t="str">
        <x:v>EXT-MONDE-T029-V01</x:v>
      </x:c>
      <x:c r="B1406" s="115" t="str">
        <x:v>EXT-MONDE-T029</x:v>
      </x:c>
      <x:c r="C1406" s="115" t="str">
        <x:v>Ponts</x:v>
      </x:c>
      <x:c r="D1406" s="115" t="str">
        <x:v>Pont routier à poutres</x:v>
      </x:c>
      <x:c r="E1406" s="115" t="n">
        <x:v>1</x:v>
      </x:c>
      <x:c r="F1406" s="115" t="str">
        <x:v>Inspection physique</x:v>
      </x:c>
      <x:c r="G1406" s="115" t="str">
        <x:v>1 niveaux ; 34 pièces ; 260 segments de mur ; 0 transitions. Inspection physique ; architecture complète encore ouverte.</x:v>
      </x:c>
      <x:c r="H1406" s="115" t="str">
        <x:v>L 620 ; l 800 ; hauteur 8,2 m ; choix de composition auteur ; dimensions réelles à documenter</x:v>
      </x:c>
      <x:c r="I1406" s="115" t="str">
        <x:v>À équilibrer</x:v>
      </x:c>
      <x:c r="J1406" s="115" t="str">
        <x:v>Non</x:v>
      </x:c>
      <x:c r="K1406" s="115" t="str">
        <x:v>Pièces décrites, murs, portes, niveaux et mobilier inspectables à l’échelle. Volumes réservés, raccord au seed, butin, rencontres et services de campagne restent à terminer.</x:v>
      </x:c>
    </x:row>
    <x:row r="1407" ht="96" customHeight="1">
      <x:c r="A1407" s="115" t="str">
        <x:v>EXT-MONDE-T029-V02</x:v>
      </x:c>
      <x:c r="B1407" s="115" t="str">
        <x:v>EXT-MONDE-T029</x:v>
      </x:c>
      <x:c r="C1407" s="115" t="str">
        <x:v>Ponts</x:v>
      </x:c>
      <x:c r="D1407" s="115" t="str">
        <x:v>Pont routier à poutres</x:v>
      </x:c>
      <x:c r="E1407" s="115" t="n">
        <x:v>2</x:v>
      </x:c>
      <x:c r="F1407" s="115" t="str">
        <x:v>Inspection physique</x:v>
      </x:c>
      <x:c r="G1407" s="115" t="str">
        <x:v>1 niveaux ; 34 pièces ; 260 segments de mur ; 0 transitions. Inspection physique ; architecture complète encore ouverte.</x:v>
      </x:c>
      <x:c r="H1407" s="115" t="str">
        <x:v>L 620 ; l 800 ; hauteur 8,24 m ; choix de composition auteur ; dimensions réelles à documenter</x:v>
      </x:c>
      <x:c r="I1407" s="115" t="str">
        <x:v>À équilibrer</x:v>
      </x:c>
      <x:c r="J1407" s="115" t="str">
        <x:v>Non</x:v>
      </x:c>
      <x:c r="K1407" s="115" t="str">
        <x:v>Pièces décrites, murs, portes, niveaux et mobilier inspectables à l’échelle. Volumes réservés, raccord au seed, butin, rencontres et services de campagne restent à terminer.</x:v>
      </x:c>
    </x:row>
    <x:row r="1408" ht="96" customHeight="1">
      <x:c r="A1408" s="115" t="str">
        <x:v>EXT-MONDE-T029-V03</x:v>
      </x:c>
      <x:c r="B1408" s="115" t="str">
        <x:v>EXT-MONDE-T029</x:v>
      </x:c>
      <x:c r="C1408" s="115" t="str">
        <x:v>Ponts</x:v>
      </x:c>
      <x:c r="D1408" s="115" t="str">
        <x:v>Pont routier à poutres</x:v>
      </x:c>
      <x:c r="E1408" s="115" t="n">
        <x:v>3</x:v>
      </x:c>
      <x:c r="F1408" s="115" t="str">
        <x:v>Inspection physique</x:v>
      </x:c>
      <x:c r="G1408" s="115" t="str">
        <x:v>1 niveaux ; 34 pièces ; 260 segments de mur ; 0 transitions. Inspection physique ; architecture complète encore ouverte.</x:v>
      </x:c>
      <x:c r="H1408" s="115" t="str">
        <x:v>L 620 ; l 800 ; hauteur 8,28 m ; choix de composition auteur ; dimensions réelles à documenter</x:v>
      </x:c>
      <x:c r="I1408" s="115" t="str">
        <x:v>À équilibrer</x:v>
      </x:c>
      <x:c r="J1408" s="115" t="str">
        <x:v>Non</x:v>
      </x:c>
      <x:c r="K1408" s="115" t="str">
        <x:v>Pièces décrites, murs, portes, niveaux et mobilier inspectables à l’échelle. Volumes réservés, raccord au seed, butin, rencontres et services de campagne restent à terminer.</x:v>
      </x:c>
    </x:row>
    <x:row r="1409" ht="96" customHeight="1">
      <x:c r="A1409" s="115" t="str">
        <x:v>EXT-MONDE-T029-V04</x:v>
      </x:c>
      <x:c r="B1409" s="115" t="str">
        <x:v>EXT-MONDE-T029</x:v>
      </x:c>
      <x:c r="C1409" s="115" t="str">
        <x:v>Ponts</x:v>
      </x:c>
      <x:c r="D1409" s="115" t="str">
        <x:v>Pont routier à poutres</x:v>
      </x:c>
      <x:c r="E1409" s="115" t="n">
        <x:v>4</x:v>
      </x:c>
      <x:c r="F1409" s="115" t="str">
        <x:v>Inspection physique</x:v>
      </x:c>
      <x:c r="G1409" s="115" t="str">
        <x:v>1 niveaux ; 34 pièces ; 260 segments de mur ; 0 transitions. Inspection physique ; architecture complète encore ouverte.</x:v>
      </x:c>
      <x:c r="H1409" s="115" t="str">
        <x:v>L 620 ; l 800 ; hauteur 8,32 m ; choix de composition auteur ; dimensions réelles à documenter</x:v>
      </x:c>
      <x:c r="I1409" s="115" t="str">
        <x:v>À équilibrer</x:v>
      </x:c>
      <x:c r="J1409" s="115" t="str">
        <x:v>Non</x:v>
      </x:c>
      <x:c r="K1409" s="115" t="str">
        <x:v>Pièces décrites, murs, portes, niveaux et mobilier inspectables à l’échelle. Volumes réservés, raccord au seed, butin, rencontres et services de campagne restent à terminer.</x:v>
      </x:c>
    </x:row>
    <x:row r="1410" ht="96" customHeight="1">
      <x:c r="A1410" s="115" t="str">
        <x:v>EXT-MONDE-T029-V05</x:v>
      </x:c>
      <x:c r="B1410" s="115" t="str">
        <x:v>EXT-MONDE-T029</x:v>
      </x:c>
      <x:c r="C1410" s="115" t="str">
        <x:v>Ponts</x:v>
      </x:c>
      <x:c r="D1410" s="115" t="str">
        <x:v>Pont routier à poutres</x:v>
      </x:c>
      <x:c r="E1410" s="115" t="n">
        <x:v>5</x:v>
      </x:c>
      <x:c r="F1410" s="115" t="str">
        <x:v>Inspection physique</x:v>
      </x:c>
      <x:c r="G1410" s="115" t="str">
        <x:v>1 niveaux ; 34 pièces ; 260 segments de mur ; 0 transitions. Inspection physique ; architecture complète encore ouverte.</x:v>
      </x:c>
      <x:c r="H1410" s="115" t="str">
        <x:v>L 620 ; l 800 ; hauteur 8,36 m ; choix de composition auteur ; dimensions réelles à documenter</x:v>
      </x:c>
      <x:c r="I1410" s="115" t="str">
        <x:v>À équilibrer</x:v>
      </x:c>
      <x:c r="J1410" s="115" t="str">
        <x:v>Non</x:v>
      </x:c>
      <x:c r="K1410" s="115" t="str">
        <x:v>Pièces décrites, murs, portes, niveaux et mobilier inspectables à l’échelle. Volumes réservés, raccord au seed, butin, rencontres et services de campagne restent à terminer.</x:v>
      </x:c>
    </x:row>
    <x:row r="1411" ht="96" customHeight="1">
      <x:c r="A1411" s="115" t="str">
        <x:v>EXT-MONDE-T029-V06</x:v>
      </x:c>
      <x:c r="B1411" s="115" t="str">
        <x:v>EXT-MONDE-T029</x:v>
      </x:c>
      <x:c r="C1411" s="115" t="str">
        <x:v>Ponts</x:v>
      </x:c>
      <x:c r="D1411" s="115" t="str">
        <x:v>Pont routier à poutres</x:v>
      </x:c>
      <x:c r="E1411" s="115" t="n">
        <x:v>6</x:v>
      </x:c>
      <x:c r="F1411" s="115" t="str">
        <x:v>Inspection physique</x:v>
      </x:c>
      <x:c r="G1411" s="115" t="str">
        <x:v>1 niveaux ; 34 pièces ; 260 segments de mur ; 0 transitions. Inspection physique ; architecture complète encore ouverte.</x:v>
      </x:c>
      <x:c r="H1411" s="115" t="str">
        <x:v>L 620 ; l 800 ; hauteur 8,4 m ; choix de composition auteur ; dimensions réelles à documenter</x:v>
      </x:c>
      <x:c r="I1411" s="115" t="str">
        <x:v>À équilibrer</x:v>
      </x:c>
      <x:c r="J1411" s="115" t="str">
        <x:v>Non</x:v>
      </x:c>
      <x:c r="K1411" s="115" t="str">
        <x:v>Pièces décrites, murs, portes, niveaux et mobilier inspectables à l’échelle. Volumes réservés, raccord au seed, butin, rencontres et services de campagne restent à terminer.</x:v>
      </x:c>
    </x:row>
    <x:row r="1412" ht="96" customHeight="1">
      <x:c r="A1412" s="115" t="str">
        <x:v>EXT-MONDE-T029-V07</x:v>
      </x:c>
      <x:c r="B1412" s="115" t="str">
        <x:v>EXT-MONDE-T029</x:v>
      </x:c>
      <x:c r="C1412" s="115" t="str">
        <x:v>Ponts</x:v>
      </x:c>
      <x:c r="D1412" s="115" t="str">
        <x:v>Pont routier à poutres</x:v>
      </x:c>
      <x:c r="E1412" s="115" t="n">
        <x:v>7</x:v>
      </x:c>
      <x:c r="F1412" s="115" t="str">
        <x:v>Inspection physique</x:v>
      </x:c>
      <x:c r="G1412" s="115" t="str">
        <x:v>1 niveaux ; 34 pièces ; 260 segments de mur ; 0 transitions. Inspection physique ; architecture complète encore ouverte.</x:v>
      </x:c>
      <x:c r="H1412" s="115" t="str">
        <x:v>L 620 ; l 800 ; hauteur 8,44 m ; choix de composition auteur ; dimensions réelles à documenter</x:v>
      </x:c>
      <x:c r="I1412" s="115" t="str">
        <x:v>À équilibrer</x:v>
      </x:c>
      <x:c r="J1412" s="115" t="str">
        <x:v>Non</x:v>
      </x:c>
      <x:c r="K1412" s="115" t="str">
        <x:v>Pièces décrites, murs, portes, niveaux et mobilier inspectables à l’échelle. Volumes réservés, raccord au seed, butin, rencontres et services de campagne restent à terminer.</x:v>
      </x:c>
    </x:row>
    <x:row r="1413" ht="96" customHeight="1">
      <x:c r="A1413" s="115" t="str">
        <x:v>EXT-MONDE-T029-V08</x:v>
      </x:c>
      <x:c r="B1413" s="115" t="str">
        <x:v>EXT-MONDE-T029</x:v>
      </x:c>
      <x:c r="C1413" s="115" t="str">
        <x:v>Ponts</x:v>
      </x:c>
      <x:c r="D1413" s="115" t="str">
        <x:v>Pont routier à poutres</x:v>
      </x:c>
      <x:c r="E1413" s="115" t="n">
        <x:v>8</x:v>
      </x:c>
      <x:c r="F1413" s="115" t="str">
        <x:v>Inspection physique</x:v>
      </x:c>
      <x:c r="G1413" s="115" t="str">
        <x:v>1 niveaux ; 34 pièces ; 260 segments de mur ; 0 transitions. Inspection physique ; architecture complète encore ouverte.</x:v>
      </x:c>
      <x:c r="H1413" s="115" t="str">
        <x:v>L 620 ; l 800 ; hauteur 8,48 m ; choix de composition auteur ; dimensions réelles à documenter</x:v>
      </x:c>
      <x:c r="I1413" s="115" t="str">
        <x:v>À équilibrer</x:v>
      </x:c>
      <x:c r="J1413" s="115" t="str">
        <x:v>Non</x:v>
      </x:c>
      <x:c r="K1413" s="115" t="str">
        <x:v>Pièces décrites, murs, portes, niveaux et mobilier inspectables à l’échelle. Volumes réservés, raccord au seed, butin, rencontres et services de campagne restent à terminer.</x:v>
      </x:c>
    </x:row>
    <x:row r="1414" ht="96" customHeight="1">
      <x:c r="A1414" s="115" t="str">
        <x:v>EXT-MONDE-T029-V09</x:v>
      </x:c>
      <x:c r="B1414" s="115" t="str">
        <x:v>EXT-MONDE-T029</x:v>
      </x:c>
      <x:c r="C1414" s="115" t="str">
        <x:v>Ponts</x:v>
      </x:c>
      <x:c r="D1414" s="115" t="str">
        <x:v>Pont routier à poutres</x:v>
      </x:c>
      <x:c r="E1414" s="115" t="n">
        <x:v>9</x:v>
      </x:c>
      <x:c r="F1414" s="115" t="str">
        <x:v>Inspection physique</x:v>
      </x:c>
      <x:c r="G1414" s="115" t="str">
        <x:v>1 niveaux ; 34 pièces ; 260 segments de mur ; 0 transitions. Inspection physique ; architecture complète encore ouverte.</x:v>
      </x:c>
      <x:c r="H1414" s="115" t="str">
        <x:v>L 620 ; l 800 ; hauteur 8,52 m ; choix de composition auteur ; dimensions réelles à documenter</x:v>
      </x:c>
      <x:c r="I1414" s="115" t="str">
        <x:v>À équilibrer</x:v>
      </x:c>
      <x:c r="J1414" s="115" t="str">
        <x:v>Non</x:v>
      </x:c>
      <x:c r="K1414" s="115" t="str">
        <x:v>Pièces décrites, murs, portes, niveaux et mobilier inspectables à l’échelle. Volumes réservés, raccord au seed, butin, rencontres et services de campagne restent à terminer.</x:v>
      </x:c>
    </x:row>
    <x:row r="1415" ht="96" customHeight="1">
      <x:c r="A1415" s="115" t="str">
        <x:v>EXT-MONDE-T029-V10</x:v>
      </x:c>
      <x:c r="B1415" s="115" t="str">
        <x:v>EXT-MONDE-T029</x:v>
      </x:c>
      <x:c r="C1415" s="115" t="str">
        <x:v>Ponts</x:v>
      </x:c>
      <x:c r="D1415" s="115" t="str">
        <x:v>Pont routier à poutres</x:v>
      </x:c>
      <x:c r="E1415" s="115" t="n">
        <x:v>10</x:v>
      </x:c>
      <x:c r="F1415" s="115" t="str">
        <x:v>Inspection physique</x:v>
      </x:c>
      <x:c r="G1415" s="115" t="str">
        <x:v>1 niveaux ; 34 pièces ; 260 segments de mur ; 0 transitions. Inspection physique ; architecture complète encore ouverte.</x:v>
      </x:c>
      <x:c r="H1415" s="115" t="str">
        <x:v>L 620 ; l 800 ; hauteur 8,56 m ; choix de composition auteur ; dimensions réelles à documenter</x:v>
      </x:c>
      <x:c r="I1415" s="115" t="str">
        <x:v>À équilibrer</x:v>
      </x:c>
      <x:c r="J1415" s="115" t="str">
        <x:v>Non</x:v>
      </x:c>
      <x:c r="K1415" s="115" t="str">
        <x:v>Pièces décrites, murs, portes, niveaux et mobilier inspectables à l’échelle. Volumes réservés, raccord au seed, butin, rencontres et services de campagne restent à terminer.</x:v>
      </x:c>
    </x:row>
    <x:row r="1416" ht="96" customHeight="1">
      <x:c r="A1416" s="115" t="str">
        <x:v>EXT-MONDE-T029-V11</x:v>
      </x:c>
      <x:c r="B1416" s="115" t="str">
        <x:v>EXT-MONDE-T029</x:v>
      </x:c>
      <x:c r="C1416" s="115" t="str">
        <x:v>Ponts</x:v>
      </x:c>
      <x:c r="D1416" s="115" t="str">
        <x:v>Pont routier à poutres</x:v>
      </x:c>
      <x:c r="E1416" s="115" t="n">
        <x:v>11</x:v>
      </x:c>
      <x:c r="F1416" s="115" t="str">
        <x:v>Inspection physique</x:v>
      </x:c>
      <x:c r="G1416" s="115" t="str">
        <x:v>1 niveaux ; 34 pièces ; 260 segments de mur ; 0 transitions. Inspection physique ; architecture complète encore ouverte.</x:v>
      </x:c>
      <x:c r="H1416" s="115" t="str">
        <x:v>L 700 ; l 960 ; hauteur 8,2 m ; choix de composition auteur ; dimensions réelles à documenter</x:v>
      </x:c>
      <x:c r="I1416" s="115" t="str">
        <x:v>À équilibrer</x:v>
      </x:c>
      <x:c r="J1416" s="115" t="str">
        <x:v>Non</x:v>
      </x:c>
      <x:c r="K1416" s="115" t="str">
        <x:v>Pièces décrites, murs, portes, niveaux et mobilier inspectables à l’échelle. Volumes réservés, raccord au seed, butin, rencontres et services de campagne restent à terminer.</x:v>
      </x:c>
    </x:row>
    <x:row r="1417" ht="96" customHeight="1">
      <x:c r="A1417" s="115" t="str">
        <x:v>EXT-MONDE-T029-V12</x:v>
      </x:c>
      <x:c r="B1417" s="115" t="str">
        <x:v>EXT-MONDE-T029</x:v>
      </x:c>
      <x:c r="C1417" s="115" t="str">
        <x:v>Ponts</x:v>
      </x:c>
      <x:c r="D1417" s="115" t="str">
        <x:v>Pont routier à poutres</x:v>
      </x:c>
      <x:c r="E1417" s="115" t="n">
        <x:v>12</x:v>
      </x:c>
      <x:c r="F1417" s="115" t="str">
        <x:v>Inspection physique</x:v>
      </x:c>
      <x:c r="G1417" s="115" t="str">
        <x:v>1 niveaux ; 34 pièces ; 260 segments de mur ; 0 transitions. Inspection physique ; architecture complète encore ouverte.</x:v>
      </x:c>
      <x:c r="H1417" s="115" t="str">
        <x:v>L 700 ; l 960 ; hauteur 8,24 m ; choix de composition auteur ; dimensions réelles à documenter</x:v>
      </x:c>
      <x:c r="I1417" s="115" t="str">
        <x:v>À équilibrer</x:v>
      </x:c>
      <x:c r="J1417" s="115" t="str">
        <x:v>Non</x:v>
      </x:c>
      <x:c r="K1417" s="115" t="str">
        <x:v>Pièces décrites, murs, portes, niveaux et mobilier inspectables à l’échelle. Volumes réservés, raccord au seed, butin, rencontres et services de campagne restent à terminer.</x:v>
      </x:c>
    </x:row>
    <x:row r="1418" ht="96" customHeight="1">
      <x:c r="A1418" s="115" t="str">
        <x:v>EXT-MONDE-T029-V13</x:v>
      </x:c>
      <x:c r="B1418" s="115" t="str">
        <x:v>EXT-MONDE-T029</x:v>
      </x:c>
      <x:c r="C1418" s="115" t="str">
        <x:v>Ponts</x:v>
      </x:c>
      <x:c r="D1418" s="115" t="str">
        <x:v>Pont routier à poutres</x:v>
      </x:c>
      <x:c r="E1418" s="115" t="n">
        <x:v>13</x:v>
      </x:c>
      <x:c r="F1418" s="115" t="str">
        <x:v>Inspection physique</x:v>
      </x:c>
      <x:c r="G1418" s="115" t="str">
        <x:v>1 niveaux ; 34 pièces ; 260 segments de mur ; 0 transitions. Inspection physique ; architecture complète encore ouverte.</x:v>
      </x:c>
      <x:c r="H1418" s="115" t="str">
        <x:v>L 700 ; l 960 ; hauteur 8,28 m ; choix de composition auteur ; dimensions réelles à documenter</x:v>
      </x:c>
      <x:c r="I1418" s="115" t="str">
        <x:v>À équilibrer</x:v>
      </x:c>
      <x:c r="J1418" s="115" t="str">
        <x:v>Non</x:v>
      </x:c>
      <x:c r="K1418" s="115" t="str">
        <x:v>Pièces décrites, murs, portes, niveaux et mobilier inspectables à l’échelle. Volumes réservés, raccord au seed, butin, rencontres et services de campagne restent à terminer.</x:v>
      </x:c>
    </x:row>
    <x:row r="1419" ht="96" customHeight="1">
      <x:c r="A1419" s="115" t="str">
        <x:v>EXT-MONDE-T029-V14</x:v>
      </x:c>
      <x:c r="B1419" s="115" t="str">
        <x:v>EXT-MONDE-T029</x:v>
      </x:c>
      <x:c r="C1419" s="115" t="str">
        <x:v>Ponts</x:v>
      </x:c>
      <x:c r="D1419" s="115" t="str">
        <x:v>Pont routier à poutres</x:v>
      </x:c>
      <x:c r="E1419" s="115" t="n">
        <x:v>14</x:v>
      </x:c>
      <x:c r="F1419" s="115" t="str">
        <x:v>Inspection physique</x:v>
      </x:c>
      <x:c r="G1419" s="115" t="str">
        <x:v>1 niveaux ; 34 pièces ; 260 segments de mur ; 0 transitions. Inspection physique ; architecture complète encore ouverte.</x:v>
      </x:c>
      <x:c r="H1419" s="115" t="str">
        <x:v>L 700 ; l 960 ; hauteur 8,32 m ; choix de composition auteur ; dimensions réelles à documenter</x:v>
      </x:c>
      <x:c r="I1419" s="115" t="str">
        <x:v>À équilibrer</x:v>
      </x:c>
      <x:c r="J1419" s="115" t="str">
        <x:v>Non</x:v>
      </x:c>
      <x:c r="K1419" s="115" t="str">
        <x:v>Pièces décrites, murs, portes, niveaux et mobilier inspectables à l’échelle. Volumes réservés, raccord au seed, butin, rencontres et services de campagne restent à terminer.</x:v>
      </x:c>
    </x:row>
    <x:row r="1420" ht="96" customHeight="1">
      <x:c r="A1420" s="115" t="str">
        <x:v>EXT-MONDE-T029-V15</x:v>
      </x:c>
      <x:c r="B1420" s="115" t="str">
        <x:v>EXT-MONDE-T029</x:v>
      </x:c>
      <x:c r="C1420" s="115" t="str">
        <x:v>Ponts</x:v>
      </x:c>
      <x:c r="D1420" s="115" t="str">
        <x:v>Pont routier à poutres</x:v>
      </x:c>
      <x:c r="E1420" s="115" t="n">
        <x:v>15</x:v>
      </x:c>
      <x:c r="F1420" s="115" t="str">
        <x:v>Inspection physique</x:v>
      </x:c>
      <x:c r="G1420" s="115" t="str">
        <x:v>1 niveaux ; 34 pièces ; 260 segments de mur ; 0 transitions. Inspection physique ; architecture complète encore ouverte.</x:v>
      </x:c>
      <x:c r="H1420" s="115" t="str">
        <x:v>L 700 ; l 960 ; hauteur 8,36 m ; choix de composition auteur ; dimensions réelles à documenter</x:v>
      </x:c>
      <x:c r="I1420" s="115" t="str">
        <x:v>À équilibrer</x:v>
      </x:c>
      <x:c r="J1420" s="115" t="str">
        <x:v>Non</x:v>
      </x:c>
      <x:c r="K1420" s="115" t="str">
        <x:v>Pièces décrites, murs, portes, niveaux et mobilier inspectables à l’échelle. Volumes réservés, raccord au seed, butin, rencontres et services de campagne restent à terminer.</x:v>
      </x:c>
    </x:row>
    <x:row r="1421" ht="96" customHeight="1">
      <x:c r="A1421" s="115" t="str">
        <x:v>EXT-MONDE-T029-V16</x:v>
      </x:c>
      <x:c r="B1421" s="115" t="str">
        <x:v>EXT-MONDE-T029</x:v>
      </x:c>
      <x:c r="C1421" s="115" t="str">
        <x:v>Ponts</x:v>
      </x:c>
      <x:c r="D1421" s="115" t="str">
        <x:v>Pont routier à poutres</x:v>
      </x:c>
      <x:c r="E1421" s="115" t="n">
        <x:v>16</x:v>
      </x:c>
      <x:c r="F1421" s="115" t="str">
        <x:v>Inspection physique</x:v>
      </x:c>
      <x:c r="G1421" s="115" t="str">
        <x:v>1 niveaux ; 34 pièces ; 260 segments de mur ; 0 transitions. Inspection physique ; architecture complète encore ouverte.</x:v>
      </x:c>
      <x:c r="H1421" s="115" t="str">
        <x:v>L 700 ; l 960 ; hauteur 8,4 m ; choix de composition auteur ; dimensions réelles à documenter</x:v>
      </x:c>
      <x:c r="I1421" s="115" t="str">
        <x:v>À équilibrer</x:v>
      </x:c>
      <x:c r="J1421" s="115" t="str">
        <x:v>Non</x:v>
      </x:c>
      <x:c r="K1421" s="115" t="str">
        <x:v>Pièces décrites, murs, portes, niveaux et mobilier inspectables à l’échelle. Volumes réservés, raccord au seed, butin, rencontres et services de campagne restent à terminer.</x:v>
      </x:c>
    </x:row>
    <x:row r="1422" ht="96" customHeight="1">
      <x:c r="A1422" s="115" t="str">
        <x:v>EXT-MONDE-T029-V17</x:v>
      </x:c>
      <x:c r="B1422" s="115" t="str">
        <x:v>EXT-MONDE-T029</x:v>
      </x:c>
      <x:c r="C1422" s="115" t="str">
        <x:v>Ponts</x:v>
      </x:c>
      <x:c r="D1422" s="115" t="str">
        <x:v>Pont routier à poutres</x:v>
      </x:c>
      <x:c r="E1422" s="115" t="n">
        <x:v>17</x:v>
      </x:c>
      <x:c r="F1422" s="115" t="str">
        <x:v>Inspection physique</x:v>
      </x:c>
      <x:c r="G1422" s="115" t="str">
        <x:v>1 niveaux ; 34 pièces ; 260 segments de mur ; 0 transitions. Inspection physique ; architecture complète encore ouverte.</x:v>
      </x:c>
      <x:c r="H1422" s="115" t="str">
        <x:v>L 700 ; l 960 ; hauteur 8,44 m ; choix de composition auteur ; dimensions réelles à documenter</x:v>
      </x:c>
      <x:c r="I1422" s="115" t="str">
        <x:v>À équilibrer</x:v>
      </x:c>
      <x:c r="J1422" s="115" t="str">
        <x:v>Non</x:v>
      </x:c>
      <x:c r="K1422" s="115" t="str">
        <x:v>Pièces décrites, murs, portes, niveaux et mobilier inspectables à l’échelle. Volumes réservés, raccord au seed, butin, rencontres et services de campagne restent à terminer.</x:v>
      </x:c>
    </x:row>
    <x:row r="1423" ht="96" customHeight="1">
      <x:c r="A1423" s="115" t="str">
        <x:v>EXT-MONDE-T029-V18</x:v>
      </x:c>
      <x:c r="B1423" s="115" t="str">
        <x:v>EXT-MONDE-T029</x:v>
      </x:c>
      <x:c r="C1423" s="115" t="str">
        <x:v>Ponts</x:v>
      </x:c>
      <x:c r="D1423" s="115" t="str">
        <x:v>Pont routier à poutres</x:v>
      </x:c>
      <x:c r="E1423" s="115" t="n">
        <x:v>18</x:v>
      </x:c>
      <x:c r="F1423" s="115" t="str">
        <x:v>Inspection physique</x:v>
      </x:c>
      <x:c r="G1423" s="115" t="str">
        <x:v>1 niveaux ; 34 pièces ; 260 segments de mur ; 0 transitions. Inspection physique ; architecture complète encore ouverte.</x:v>
      </x:c>
      <x:c r="H1423" s="115" t="str">
        <x:v>L 700 ; l 960 ; hauteur 8,48 m ; choix de composition auteur ; dimensions réelles à documenter</x:v>
      </x:c>
      <x:c r="I1423" s="115" t="str">
        <x:v>À équilibrer</x:v>
      </x:c>
      <x:c r="J1423" s="115" t="str">
        <x:v>Non</x:v>
      </x:c>
      <x:c r="K1423" s="115" t="str">
        <x:v>Pièces décrites, murs, portes, niveaux et mobilier inspectables à l’échelle. Volumes réservés, raccord au seed, butin, rencontres et services de campagne restent à terminer.</x:v>
      </x:c>
    </x:row>
    <x:row r="1424" ht="96" customHeight="1">
      <x:c r="A1424" s="115" t="str">
        <x:v>EXT-MONDE-T029-V19</x:v>
      </x:c>
      <x:c r="B1424" s="115" t="str">
        <x:v>EXT-MONDE-T029</x:v>
      </x:c>
      <x:c r="C1424" s="115" t="str">
        <x:v>Ponts</x:v>
      </x:c>
      <x:c r="D1424" s="115" t="str">
        <x:v>Pont routier à poutres</x:v>
      </x:c>
      <x:c r="E1424" s="115" t="n">
        <x:v>19</x:v>
      </x:c>
      <x:c r="F1424" s="115" t="str">
        <x:v>Inspection physique</x:v>
      </x:c>
      <x:c r="G1424" s="115" t="str">
        <x:v>1 niveaux ; 34 pièces ; 260 segments de mur ; 0 transitions. Inspection physique ; architecture complète encore ouverte.</x:v>
      </x:c>
      <x:c r="H1424" s="115" t="str">
        <x:v>L 700 ; l 960 ; hauteur 8,52 m ; choix de composition auteur ; dimensions réelles à documenter</x:v>
      </x:c>
      <x:c r="I1424" s="115" t="str">
        <x:v>À équilibrer</x:v>
      </x:c>
      <x:c r="J1424" s="115" t="str">
        <x:v>Non</x:v>
      </x:c>
      <x:c r="K1424" s="115" t="str">
        <x:v>Pièces décrites, murs, portes, niveaux et mobilier inspectables à l’échelle. Volumes réservés, raccord au seed, butin, rencontres et services de campagne restent à terminer.</x:v>
      </x:c>
    </x:row>
    <x:row r="1425" ht="96" customHeight="1">
      <x:c r="A1425" s="115" t="str">
        <x:v>EXT-MONDE-T029-V20</x:v>
      </x:c>
      <x:c r="B1425" s="115" t="str">
        <x:v>EXT-MONDE-T029</x:v>
      </x:c>
      <x:c r="C1425" s="115" t="str">
        <x:v>Ponts</x:v>
      </x:c>
      <x:c r="D1425" s="115" t="str">
        <x:v>Pont routier à poutres</x:v>
      </x:c>
      <x:c r="E1425" s="115" t="n">
        <x:v>20</x:v>
      </x:c>
      <x:c r="F1425" s="115" t="str">
        <x:v>Inspection physique</x:v>
      </x:c>
      <x:c r="G1425" s="115" t="str">
        <x:v>1 niveaux ; 34 pièces ; 260 segments de mur ; 0 transitions. Inspection physique ; architecture complète encore ouverte.</x:v>
      </x:c>
      <x:c r="H1425" s="115" t="str">
        <x:v>L 700 ; l 960 ; hauteur 8,56 m ; choix de composition auteur ; dimensions réelles à documenter</x:v>
      </x:c>
      <x:c r="I1425" s="115" t="str">
        <x:v>À équilibrer</x:v>
      </x:c>
      <x:c r="J1425" s="115" t="str">
        <x:v>Non</x:v>
      </x:c>
      <x:c r="K1425" s="115" t="str">
        <x:v>Pièces décrites, murs, portes, niveaux et mobilier inspectables à l’échelle. Volumes réservés, raccord au seed, butin, rencontres et services de campagne restent à terminer.</x:v>
      </x:c>
    </x:row>
    <x:row r="1426" ht="96" customHeight="1">
      <x:c r="A1426" s="115" t="str">
        <x:v>EXT-MONDE-T029-V21</x:v>
      </x:c>
      <x:c r="B1426" s="115" t="str">
        <x:v>EXT-MONDE-T029</x:v>
      </x:c>
      <x:c r="C1426" s="115" t="str">
        <x:v>Ponts</x:v>
      </x:c>
      <x:c r="D1426" s="115" t="str">
        <x:v>Pont routier à poutres</x:v>
      </x:c>
      <x:c r="E1426" s="115" t="n">
        <x:v>21</x:v>
      </x:c>
      <x:c r="F1426" s="115" t="str">
        <x:v>Inspection physique</x:v>
      </x:c>
      <x:c r="G1426" s="115" t="str">
        <x:v>1 niveaux ; 34 pièces ; 260 segments de mur ; 0 transitions. Inspection physique ; architecture complète encore ouverte.</x:v>
      </x:c>
      <x:c r="H1426" s="115" t="str">
        <x:v>L 780 ; l 1120 ; hauteur 8,2 m ; choix de composition auteur ; dimensions réelles à documenter</x:v>
      </x:c>
      <x:c r="I1426" s="115" t="str">
        <x:v>À équilibrer</x:v>
      </x:c>
      <x:c r="J1426" s="115" t="str">
        <x:v>Non</x:v>
      </x:c>
      <x:c r="K1426" s="115" t="str">
        <x:v>Pièces décrites, murs, portes, niveaux et mobilier inspectables à l’échelle. Volumes réservés, raccord au seed, butin, rencontres et services de campagne restent à terminer.</x:v>
      </x:c>
    </x:row>
    <x:row r="1427" ht="96" customHeight="1">
      <x:c r="A1427" s="115" t="str">
        <x:v>EXT-MONDE-T029-V22</x:v>
      </x:c>
      <x:c r="B1427" s="115" t="str">
        <x:v>EXT-MONDE-T029</x:v>
      </x:c>
      <x:c r="C1427" s="115" t="str">
        <x:v>Ponts</x:v>
      </x:c>
      <x:c r="D1427" s="115" t="str">
        <x:v>Pont routier à poutres</x:v>
      </x:c>
      <x:c r="E1427" s="115" t="n">
        <x:v>22</x:v>
      </x:c>
      <x:c r="F1427" s="115" t="str">
        <x:v>Inspection physique</x:v>
      </x:c>
      <x:c r="G1427" s="115" t="str">
        <x:v>1 niveaux ; 34 pièces ; 260 segments de mur ; 0 transitions. Inspection physique ; architecture complète encore ouverte.</x:v>
      </x:c>
      <x:c r="H1427" s="115" t="str">
        <x:v>L 780 ; l 1120 ; hauteur 8,24 m ; choix de composition auteur ; dimensions réelles à documenter</x:v>
      </x:c>
      <x:c r="I1427" s="115" t="str">
        <x:v>À équilibrer</x:v>
      </x:c>
      <x:c r="J1427" s="115" t="str">
        <x:v>Non</x:v>
      </x:c>
      <x:c r="K1427" s="115" t="str">
        <x:v>Pièces décrites, murs, portes, niveaux et mobilier inspectables à l’échelle. Volumes réservés, raccord au seed, butin, rencontres et services de campagne restent à terminer.</x:v>
      </x:c>
    </x:row>
    <x:row r="1428" ht="96" customHeight="1">
      <x:c r="A1428" s="115" t="str">
        <x:v>EXT-MONDE-T029-V23</x:v>
      </x:c>
      <x:c r="B1428" s="115" t="str">
        <x:v>EXT-MONDE-T029</x:v>
      </x:c>
      <x:c r="C1428" s="115" t="str">
        <x:v>Ponts</x:v>
      </x:c>
      <x:c r="D1428" s="115" t="str">
        <x:v>Pont routier à poutres</x:v>
      </x:c>
      <x:c r="E1428" s="115" t="n">
        <x:v>23</x:v>
      </x:c>
      <x:c r="F1428" s="115" t="str">
        <x:v>Inspection physique</x:v>
      </x:c>
      <x:c r="G1428" s="115" t="str">
        <x:v>1 niveaux ; 34 pièces ; 260 segments de mur ; 0 transitions. Inspection physique ; architecture complète encore ouverte.</x:v>
      </x:c>
      <x:c r="H1428" s="115" t="str">
        <x:v>L 780 ; l 1120 ; hauteur 8,28 m ; choix de composition auteur ; dimensions réelles à documenter</x:v>
      </x:c>
      <x:c r="I1428" s="115" t="str">
        <x:v>À équilibrer</x:v>
      </x:c>
      <x:c r="J1428" s="115" t="str">
        <x:v>Non</x:v>
      </x:c>
      <x:c r="K1428" s="115" t="str">
        <x:v>Pièces décrites, murs, portes, niveaux et mobilier inspectables à l’échelle. Volumes réservés, raccord au seed, butin, rencontres et services de campagne restent à terminer.</x:v>
      </x:c>
    </x:row>
    <x:row r="1429" ht="96" customHeight="1">
      <x:c r="A1429" s="115" t="str">
        <x:v>EXT-MONDE-T029-V24</x:v>
      </x:c>
      <x:c r="B1429" s="115" t="str">
        <x:v>EXT-MONDE-T029</x:v>
      </x:c>
      <x:c r="C1429" s="115" t="str">
        <x:v>Ponts</x:v>
      </x:c>
      <x:c r="D1429" s="115" t="str">
        <x:v>Pont routier à poutres</x:v>
      </x:c>
      <x:c r="E1429" s="115" t="n">
        <x:v>24</x:v>
      </x:c>
      <x:c r="F1429" s="115" t="str">
        <x:v>Inspection physique</x:v>
      </x:c>
      <x:c r="G1429" s="115" t="str">
        <x:v>1 niveaux ; 34 pièces ; 260 segments de mur ; 0 transitions. Inspection physique ; architecture complète encore ouverte.</x:v>
      </x:c>
      <x:c r="H1429" s="115" t="str">
        <x:v>L 780 ; l 1120 ; hauteur 8,32 m ; choix de composition auteur ; dimensions réelles à documenter</x:v>
      </x:c>
      <x:c r="I1429" s="115" t="str">
        <x:v>À équilibrer</x:v>
      </x:c>
      <x:c r="J1429" s="115" t="str">
        <x:v>Non</x:v>
      </x:c>
      <x:c r="K1429" s="115" t="str">
        <x:v>Pièces décrites, murs, portes, niveaux et mobilier inspectables à l’échelle. Volumes réservés, raccord au seed, butin, rencontres et services de campagne restent à terminer.</x:v>
      </x:c>
    </x:row>
    <x:row r="1430" ht="96" customHeight="1">
      <x:c r="A1430" s="115" t="str">
        <x:v>EXT-MONDE-T029-V25</x:v>
      </x:c>
      <x:c r="B1430" s="115" t="str">
        <x:v>EXT-MONDE-T029</x:v>
      </x:c>
      <x:c r="C1430" s="115" t="str">
        <x:v>Ponts</x:v>
      </x:c>
      <x:c r="D1430" s="115" t="str">
        <x:v>Pont routier à poutres</x:v>
      </x:c>
      <x:c r="E1430" s="115" t="n">
        <x:v>25</x:v>
      </x:c>
      <x:c r="F1430" s="115" t="str">
        <x:v>Inspection physique</x:v>
      </x:c>
      <x:c r="G1430" s="115" t="str">
        <x:v>1 niveaux ; 34 pièces ; 260 segments de mur ; 0 transitions. Inspection physique ; architecture complète encore ouverte.</x:v>
      </x:c>
      <x:c r="H1430" s="115" t="str">
        <x:v>L 780 ; l 1120 ; hauteur 8,36 m ; choix de composition auteur ; dimensions réelles à documenter</x:v>
      </x:c>
      <x:c r="I1430" s="115" t="str">
        <x:v>À équilibrer</x:v>
      </x:c>
      <x:c r="J1430" s="115" t="str">
        <x:v>Non</x:v>
      </x:c>
      <x:c r="K1430" s="115" t="str">
        <x:v>Pièces décrites, murs, portes, niveaux et mobilier inspectables à l’échelle. Volumes réservés, raccord au seed, butin, rencontres et services de campagne restent à terminer.</x:v>
      </x:c>
    </x:row>
    <x:row r="1431" ht="96" customHeight="1">
      <x:c r="A1431" s="115" t="str">
        <x:v>EXT-MONDE-T029-V26</x:v>
      </x:c>
      <x:c r="B1431" s="115" t="str">
        <x:v>EXT-MONDE-T029</x:v>
      </x:c>
      <x:c r="C1431" s="115" t="str">
        <x:v>Ponts</x:v>
      </x:c>
      <x:c r="D1431" s="115" t="str">
        <x:v>Pont routier à poutres</x:v>
      </x:c>
      <x:c r="E1431" s="115" t="n">
        <x:v>26</x:v>
      </x:c>
      <x:c r="F1431" s="115" t="str">
        <x:v>Inspection physique</x:v>
      </x:c>
      <x:c r="G1431" s="115" t="str">
        <x:v>1 niveaux ; 34 pièces ; 260 segments de mur ; 0 transitions. Inspection physique ; architecture complète encore ouverte.</x:v>
      </x:c>
      <x:c r="H1431" s="115" t="str">
        <x:v>L 780 ; l 1120 ; hauteur 8,4 m ; choix de composition auteur ; dimensions réelles à documenter</x:v>
      </x:c>
      <x:c r="I1431" s="115" t="str">
        <x:v>À équilibrer</x:v>
      </x:c>
      <x:c r="J1431" s="115" t="str">
        <x:v>Non</x:v>
      </x:c>
      <x:c r="K1431" s="115" t="str">
        <x:v>Pièces décrites, murs, portes, niveaux et mobilier inspectables à l’échelle. Volumes réservés, raccord au seed, butin, rencontres et services de campagne restent à terminer.</x:v>
      </x:c>
    </x:row>
    <x:row r="1432" ht="96" customHeight="1">
      <x:c r="A1432" s="115" t="str">
        <x:v>EXT-MONDE-T029-V27</x:v>
      </x:c>
      <x:c r="B1432" s="115" t="str">
        <x:v>EXT-MONDE-T029</x:v>
      </x:c>
      <x:c r="C1432" s="115" t="str">
        <x:v>Ponts</x:v>
      </x:c>
      <x:c r="D1432" s="115" t="str">
        <x:v>Pont routier à poutres</x:v>
      </x:c>
      <x:c r="E1432" s="115" t="n">
        <x:v>27</x:v>
      </x:c>
      <x:c r="F1432" s="115" t="str">
        <x:v>Inspection physique</x:v>
      </x:c>
      <x:c r="G1432" s="115" t="str">
        <x:v>1 niveaux ; 34 pièces ; 260 segments de mur ; 0 transitions. Inspection physique ; architecture complète encore ouverte.</x:v>
      </x:c>
      <x:c r="H1432" s="115" t="str">
        <x:v>L 780 ; l 1120 ; hauteur 8,44 m ; choix de composition auteur ; dimensions réelles à documenter</x:v>
      </x:c>
      <x:c r="I1432" s="115" t="str">
        <x:v>À équilibrer</x:v>
      </x:c>
      <x:c r="J1432" s="115" t="str">
        <x:v>Non</x:v>
      </x:c>
      <x:c r="K1432" s="115" t="str">
        <x:v>Pièces décrites, murs, portes, niveaux et mobilier inspectables à l’échelle. Volumes réservés, raccord au seed, butin, rencontres et services de campagne restent à terminer.</x:v>
      </x:c>
    </x:row>
    <x:row r="1433" ht="96" customHeight="1">
      <x:c r="A1433" s="115" t="str">
        <x:v>EXT-MONDE-T029-V28</x:v>
      </x:c>
      <x:c r="B1433" s="115" t="str">
        <x:v>EXT-MONDE-T029</x:v>
      </x:c>
      <x:c r="C1433" s="115" t="str">
        <x:v>Ponts</x:v>
      </x:c>
      <x:c r="D1433" s="115" t="str">
        <x:v>Pont routier à poutres</x:v>
      </x:c>
      <x:c r="E1433" s="115" t="n">
        <x:v>28</x:v>
      </x:c>
      <x:c r="F1433" s="115" t="str">
        <x:v>Inspection physique</x:v>
      </x:c>
      <x:c r="G1433" s="115" t="str">
        <x:v>1 niveaux ; 34 pièces ; 260 segments de mur ; 0 transitions. Inspection physique ; architecture complète encore ouverte.</x:v>
      </x:c>
      <x:c r="H1433" s="115" t="str">
        <x:v>L 780 ; l 1120 ; hauteur 8,48 m ; choix de composition auteur ; dimensions réelles à documenter</x:v>
      </x:c>
      <x:c r="I1433" s="115" t="str">
        <x:v>À équilibrer</x:v>
      </x:c>
      <x:c r="J1433" s="115" t="str">
        <x:v>Non</x:v>
      </x:c>
      <x:c r="K1433" s="115" t="str">
        <x:v>Pièces décrites, murs, portes, niveaux et mobilier inspectables à l’échelle. Volumes réservés, raccord au seed, butin, rencontres et services de campagne restent à terminer.</x:v>
      </x:c>
    </x:row>
    <x:row r="1434" ht="96" customHeight="1">
      <x:c r="A1434" s="115" t="str">
        <x:v>EXT-MONDE-T029-V29</x:v>
      </x:c>
      <x:c r="B1434" s="115" t="str">
        <x:v>EXT-MONDE-T029</x:v>
      </x:c>
      <x:c r="C1434" s="115" t="str">
        <x:v>Ponts</x:v>
      </x:c>
      <x:c r="D1434" s="115" t="str">
        <x:v>Pont routier à poutres</x:v>
      </x:c>
      <x:c r="E1434" s="115" t="n">
        <x:v>29</x:v>
      </x:c>
      <x:c r="F1434" s="115" t="str">
        <x:v>Inspection physique</x:v>
      </x:c>
      <x:c r="G1434" s="115" t="str">
        <x:v>1 niveaux ; 34 pièces ; 260 segments de mur ; 0 transitions. Inspection physique ; architecture complète encore ouverte.</x:v>
      </x:c>
      <x:c r="H1434" s="115" t="str">
        <x:v>L 780 ; l 1120 ; hauteur 8,52 m ; choix de composition auteur ; dimensions réelles à documenter</x:v>
      </x:c>
      <x:c r="I1434" s="115" t="str">
        <x:v>À équilibrer</x:v>
      </x:c>
      <x:c r="J1434" s="115" t="str">
        <x:v>Non</x:v>
      </x:c>
      <x:c r="K1434" s="115" t="str">
        <x:v>Pièces décrites, murs, portes, niveaux et mobilier inspectables à l’échelle. Volumes réservés, raccord au seed, butin, rencontres et services de campagne restent à terminer.</x:v>
      </x:c>
    </x:row>
    <x:row r="1435" ht="96" customHeight="1">
      <x:c r="A1435" s="115" t="str">
        <x:v>EXT-MONDE-T029-V30</x:v>
      </x:c>
      <x:c r="B1435" s="115" t="str">
        <x:v>EXT-MONDE-T029</x:v>
      </x:c>
      <x:c r="C1435" s="115" t="str">
        <x:v>Ponts</x:v>
      </x:c>
      <x:c r="D1435" s="115" t="str">
        <x:v>Pont routier à poutres</x:v>
      </x:c>
      <x:c r="E1435" s="115" t="n">
        <x:v>30</x:v>
      </x:c>
      <x:c r="F1435" s="115" t="str">
        <x:v>Inspection physique</x:v>
      </x:c>
      <x:c r="G1435" s="115" t="str">
        <x:v>1 niveaux ; 34 pièces ; 260 segments de mur ; 0 transitions. Inspection physique ; architecture complète encore ouverte.</x:v>
      </x:c>
      <x:c r="H1435" s="115" t="str">
        <x:v>L 780 ; l 1120 ; hauteur 8,56 m ; choix de composition auteur ; dimensions réelles à documenter</x:v>
      </x:c>
      <x:c r="I1435" s="115" t="str">
        <x:v>À équilibrer</x:v>
      </x:c>
      <x:c r="J1435" s="115" t="str">
        <x:v>Non</x:v>
      </x:c>
      <x:c r="K1435" s="115" t="str">
        <x:v>Pièces décrites, murs, portes, niveaux et mobilier inspectables à l’échelle. Volumes réservés, raccord au seed, butin, rencontres et services de campagne restent à terminer.</x:v>
      </x:c>
    </x:row>
    <x:row r="1436" ht="96" customHeight="1">
      <x:c r="A1436" s="115" t="str">
        <x:v>EXT-MONDE-T029-V31</x:v>
      </x:c>
      <x:c r="B1436" s="115" t="str">
        <x:v>EXT-MONDE-T029</x:v>
      </x:c>
      <x:c r="C1436" s="115" t="str">
        <x:v>Ponts</x:v>
      </x:c>
      <x:c r="D1436" s="115" t="str">
        <x:v>Pont routier à poutres</x:v>
      </x:c>
      <x:c r="E1436" s="115" t="n">
        <x:v>31</x:v>
      </x:c>
      <x:c r="F1436" s="115" t="str">
        <x:v>Inspection physique</x:v>
      </x:c>
      <x:c r="G1436" s="115" t="str">
        <x:v>1 niveaux ; 34 pièces ; 260 segments de mur ; 0 transitions. Inspection physique ; architecture complète encore ouverte.</x:v>
      </x:c>
      <x:c r="H1436" s="115" t="str">
        <x:v>L 860 ; l 1280 ; hauteur 8,2 m ; choix de composition auteur ; dimensions réelles à documenter</x:v>
      </x:c>
      <x:c r="I1436" s="115" t="str">
        <x:v>À équilibrer</x:v>
      </x:c>
      <x:c r="J1436" s="115" t="str">
        <x:v>Non</x:v>
      </x:c>
      <x:c r="K1436" s="115" t="str">
        <x:v>Pièces décrites, murs, portes, niveaux et mobilier inspectables à l’échelle. Volumes réservés, raccord au seed, butin, rencontres et services de campagne restent à terminer.</x:v>
      </x:c>
    </x:row>
    <x:row r="1437" ht="96" customHeight="1">
      <x:c r="A1437" s="115" t="str">
        <x:v>EXT-MONDE-T029-V32</x:v>
      </x:c>
      <x:c r="B1437" s="115" t="str">
        <x:v>EXT-MONDE-T029</x:v>
      </x:c>
      <x:c r="C1437" s="115" t="str">
        <x:v>Ponts</x:v>
      </x:c>
      <x:c r="D1437" s="115" t="str">
        <x:v>Pont routier à poutres</x:v>
      </x:c>
      <x:c r="E1437" s="115" t="n">
        <x:v>32</x:v>
      </x:c>
      <x:c r="F1437" s="115" t="str">
        <x:v>Inspection physique</x:v>
      </x:c>
      <x:c r="G1437" s="115" t="str">
        <x:v>1 niveaux ; 34 pièces ; 260 segments de mur ; 0 transitions. Inspection physique ; architecture complète encore ouverte.</x:v>
      </x:c>
      <x:c r="H1437" s="115" t="str">
        <x:v>L 860 ; l 1280 ; hauteur 8,24 m ; choix de composition auteur ; dimensions réelles à documenter</x:v>
      </x:c>
      <x:c r="I1437" s="115" t="str">
        <x:v>À équilibrer</x:v>
      </x:c>
      <x:c r="J1437" s="115" t="str">
        <x:v>Non</x:v>
      </x:c>
      <x:c r="K1437" s="115" t="str">
        <x:v>Pièces décrites, murs, portes, niveaux et mobilier inspectables à l’échelle. Volumes réservés, raccord au seed, butin, rencontres et services de campagne restent à terminer.</x:v>
      </x:c>
    </x:row>
    <x:row r="1438" ht="96" customHeight="1">
      <x:c r="A1438" s="115" t="str">
        <x:v>EXT-MONDE-T029-V33</x:v>
      </x:c>
      <x:c r="B1438" s="115" t="str">
        <x:v>EXT-MONDE-T029</x:v>
      </x:c>
      <x:c r="C1438" s="115" t="str">
        <x:v>Ponts</x:v>
      </x:c>
      <x:c r="D1438" s="115" t="str">
        <x:v>Pont routier à poutres</x:v>
      </x:c>
      <x:c r="E1438" s="115" t="n">
        <x:v>33</x:v>
      </x:c>
      <x:c r="F1438" s="115" t="str">
        <x:v>Inspection physique</x:v>
      </x:c>
      <x:c r="G1438" s="115" t="str">
        <x:v>1 niveaux ; 34 pièces ; 260 segments de mur ; 0 transitions. Inspection physique ; architecture complète encore ouverte.</x:v>
      </x:c>
      <x:c r="H1438" s="115" t="str">
        <x:v>L 860 ; l 1280 ; hauteur 8,28 m ; choix de composition auteur ; dimensions réelles à documenter</x:v>
      </x:c>
      <x:c r="I1438" s="115" t="str">
        <x:v>À équilibrer</x:v>
      </x:c>
      <x:c r="J1438" s="115" t="str">
        <x:v>Non</x:v>
      </x:c>
      <x:c r="K1438" s="115" t="str">
        <x:v>Pièces décrites, murs, portes, niveaux et mobilier inspectables à l’échelle. Volumes réservés, raccord au seed, butin, rencontres et services de campagne restent à terminer.</x:v>
      </x:c>
    </x:row>
    <x:row r="1439" ht="96" customHeight="1">
      <x:c r="A1439" s="115" t="str">
        <x:v>EXT-MONDE-T029-V34</x:v>
      </x:c>
      <x:c r="B1439" s="115" t="str">
        <x:v>EXT-MONDE-T029</x:v>
      </x:c>
      <x:c r="C1439" s="115" t="str">
        <x:v>Ponts</x:v>
      </x:c>
      <x:c r="D1439" s="115" t="str">
        <x:v>Pont routier à poutres</x:v>
      </x:c>
      <x:c r="E1439" s="115" t="n">
        <x:v>34</x:v>
      </x:c>
      <x:c r="F1439" s="115" t="str">
        <x:v>Inspection physique</x:v>
      </x:c>
      <x:c r="G1439" s="115" t="str">
        <x:v>1 niveaux ; 34 pièces ; 260 segments de mur ; 0 transitions. Inspection physique ; architecture complète encore ouverte.</x:v>
      </x:c>
      <x:c r="H1439" s="115" t="str">
        <x:v>L 860 ; l 1280 ; hauteur 8,32 m ; choix de composition auteur ; dimensions réelles à documenter</x:v>
      </x:c>
      <x:c r="I1439" s="115" t="str">
        <x:v>À équilibrer</x:v>
      </x:c>
      <x:c r="J1439" s="115" t="str">
        <x:v>Non</x:v>
      </x:c>
      <x:c r="K1439" s="115" t="str">
        <x:v>Pièces décrites, murs, portes, niveaux et mobilier inspectables à l’échelle. Volumes réservés, raccord au seed, butin, rencontres et services de campagne restent à terminer.</x:v>
      </x:c>
    </x:row>
    <x:row r="1440" ht="96" customHeight="1">
      <x:c r="A1440" s="115" t="str">
        <x:v>EXT-MONDE-T029-V35</x:v>
      </x:c>
      <x:c r="B1440" s="115" t="str">
        <x:v>EXT-MONDE-T029</x:v>
      </x:c>
      <x:c r="C1440" s="115" t="str">
        <x:v>Ponts</x:v>
      </x:c>
      <x:c r="D1440" s="115" t="str">
        <x:v>Pont routier à poutres</x:v>
      </x:c>
      <x:c r="E1440" s="115" t="n">
        <x:v>35</x:v>
      </x:c>
      <x:c r="F1440" s="115" t="str">
        <x:v>Inspection physique</x:v>
      </x:c>
      <x:c r="G1440" s="115" t="str">
        <x:v>1 niveaux ; 34 pièces ; 260 segments de mur ; 0 transitions. Inspection physique ; architecture complète encore ouverte.</x:v>
      </x:c>
      <x:c r="H1440" s="115" t="str">
        <x:v>L 860 ; l 1280 ; hauteur 8,36 m ; choix de composition auteur ; dimensions réelles à documenter</x:v>
      </x:c>
      <x:c r="I1440" s="115" t="str">
        <x:v>À équilibrer</x:v>
      </x:c>
      <x:c r="J1440" s="115" t="str">
        <x:v>Non</x:v>
      </x:c>
      <x:c r="K1440" s="115" t="str">
        <x:v>Pièces décrites, murs, portes, niveaux et mobilier inspectables à l’échelle. Volumes réservés, raccord au seed, butin, rencontres et services de campagne restent à terminer.</x:v>
      </x:c>
    </x:row>
    <x:row r="1441" ht="96" customHeight="1">
      <x:c r="A1441" s="115" t="str">
        <x:v>EXT-MONDE-T029-V36</x:v>
      </x:c>
      <x:c r="B1441" s="115" t="str">
        <x:v>EXT-MONDE-T029</x:v>
      </x:c>
      <x:c r="C1441" s="115" t="str">
        <x:v>Ponts</x:v>
      </x:c>
      <x:c r="D1441" s="115" t="str">
        <x:v>Pont routier à poutres</x:v>
      </x:c>
      <x:c r="E1441" s="115" t="n">
        <x:v>36</x:v>
      </x:c>
      <x:c r="F1441" s="115" t="str">
        <x:v>Inspection physique</x:v>
      </x:c>
      <x:c r="G1441" s="115" t="str">
        <x:v>1 niveaux ; 34 pièces ; 260 segments de mur ; 0 transitions. Inspection physique ; architecture complète encore ouverte.</x:v>
      </x:c>
      <x:c r="H1441" s="115" t="str">
        <x:v>L 860 ; l 1280 ; hauteur 8,4 m ; choix de composition auteur ; dimensions réelles à documenter</x:v>
      </x:c>
      <x:c r="I1441" s="115" t="str">
        <x:v>À équilibrer</x:v>
      </x:c>
      <x:c r="J1441" s="115" t="str">
        <x:v>Non</x:v>
      </x:c>
      <x:c r="K1441" s="115" t="str">
        <x:v>Pièces décrites, murs, portes, niveaux et mobilier inspectables à l’échelle. Volumes réservés, raccord au seed, butin, rencontres et services de campagne restent à terminer.</x:v>
      </x:c>
    </x:row>
    <x:row r="1442" ht="96" customHeight="1">
      <x:c r="A1442" s="115" t="str">
        <x:v>EXT-MONDE-T029-V37</x:v>
      </x:c>
      <x:c r="B1442" s="115" t="str">
        <x:v>EXT-MONDE-T029</x:v>
      </x:c>
      <x:c r="C1442" s="115" t="str">
        <x:v>Ponts</x:v>
      </x:c>
      <x:c r="D1442" s="115" t="str">
        <x:v>Pont routier à poutres</x:v>
      </x:c>
      <x:c r="E1442" s="115" t="n">
        <x:v>37</x:v>
      </x:c>
      <x:c r="F1442" s="115" t="str">
        <x:v>Inspection physique</x:v>
      </x:c>
      <x:c r="G1442" s="115" t="str">
        <x:v>1 niveaux ; 34 pièces ; 260 segments de mur ; 0 transitions. Inspection physique ; architecture complète encore ouverte.</x:v>
      </x:c>
      <x:c r="H1442" s="115" t="str">
        <x:v>L 860 ; l 1280 ; hauteur 8,44 m ; choix de composition auteur ; dimensions réelles à documenter</x:v>
      </x:c>
      <x:c r="I1442" s="115" t="str">
        <x:v>À équilibrer</x:v>
      </x:c>
      <x:c r="J1442" s="115" t="str">
        <x:v>Non</x:v>
      </x:c>
      <x:c r="K1442" s="115" t="str">
        <x:v>Pièces décrites, murs, portes, niveaux et mobilier inspectables à l’échelle. Volumes réservés, raccord au seed, butin, rencontres et services de campagne restent à terminer.</x:v>
      </x:c>
    </x:row>
    <x:row r="1443" ht="96" customHeight="1">
      <x:c r="A1443" s="115" t="str">
        <x:v>EXT-MONDE-T029-V38</x:v>
      </x:c>
      <x:c r="B1443" s="115" t="str">
        <x:v>EXT-MONDE-T029</x:v>
      </x:c>
      <x:c r="C1443" s="115" t="str">
        <x:v>Ponts</x:v>
      </x:c>
      <x:c r="D1443" s="115" t="str">
        <x:v>Pont routier à poutres</x:v>
      </x:c>
      <x:c r="E1443" s="115" t="n">
        <x:v>38</x:v>
      </x:c>
      <x:c r="F1443" s="115" t="str">
        <x:v>Inspection physique</x:v>
      </x:c>
      <x:c r="G1443" s="115" t="str">
        <x:v>1 niveaux ; 34 pièces ; 260 segments de mur ; 0 transitions. Inspection physique ; architecture complète encore ouverte.</x:v>
      </x:c>
      <x:c r="H1443" s="115" t="str">
        <x:v>L 860 ; l 1280 ; hauteur 8,48 m ; choix de composition auteur ; dimensions réelles à documenter</x:v>
      </x:c>
      <x:c r="I1443" s="115" t="str">
        <x:v>À équilibrer</x:v>
      </x:c>
      <x:c r="J1443" s="115" t="str">
        <x:v>Non</x:v>
      </x:c>
      <x:c r="K1443" s="115" t="str">
        <x:v>Pièces décrites, murs, portes, niveaux et mobilier inspectables à l’échelle. Volumes réservés, raccord au seed, butin, rencontres et services de campagne restent à terminer.</x:v>
      </x:c>
    </x:row>
    <x:row r="1444" ht="96" customHeight="1">
      <x:c r="A1444" s="115" t="str">
        <x:v>EXT-MONDE-T029-V39</x:v>
      </x:c>
      <x:c r="B1444" s="115" t="str">
        <x:v>EXT-MONDE-T029</x:v>
      </x:c>
      <x:c r="C1444" s="115" t="str">
        <x:v>Ponts</x:v>
      </x:c>
      <x:c r="D1444" s="115" t="str">
        <x:v>Pont routier à poutres</x:v>
      </x:c>
      <x:c r="E1444" s="115" t="n">
        <x:v>39</x:v>
      </x:c>
      <x:c r="F1444" s="115" t="str">
        <x:v>Inspection physique</x:v>
      </x:c>
      <x:c r="G1444" s="115" t="str">
        <x:v>1 niveaux ; 34 pièces ; 260 segments de mur ; 0 transitions. Inspection physique ; architecture complète encore ouverte.</x:v>
      </x:c>
      <x:c r="H1444" s="115" t="str">
        <x:v>L 860 ; l 1280 ; hauteur 8,52 m ; choix de composition auteur ; dimensions réelles à documenter</x:v>
      </x:c>
      <x:c r="I1444" s="115" t="str">
        <x:v>À équilibrer</x:v>
      </x:c>
      <x:c r="J1444" s="115" t="str">
        <x:v>Non</x:v>
      </x:c>
      <x:c r="K1444" s="115" t="str">
        <x:v>Pièces décrites, murs, portes, niveaux et mobilier inspectables à l’échelle. Volumes réservés, raccord au seed, butin, rencontres et services de campagne restent à terminer.</x:v>
      </x:c>
    </x:row>
    <x:row r="1445" ht="96" customHeight="1">
      <x:c r="A1445" s="115" t="str">
        <x:v>EXT-MONDE-T029-V40</x:v>
      </x:c>
      <x:c r="B1445" s="115" t="str">
        <x:v>EXT-MONDE-T029</x:v>
      </x:c>
      <x:c r="C1445" s="115" t="str">
        <x:v>Ponts</x:v>
      </x:c>
      <x:c r="D1445" s="115" t="str">
        <x:v>Pont routier à poutres</x:v>
      </x:c>
      <x:c r="E1445" s="115" t="n">
        <x:v>40</x:v>
      </x:c>
      <x:c r="F1445" s="115" t="str">
        <x:v>Inspection physique</x:v>
      </x:c>
      <x:c r="G1445" s="115" t="str">
        <x:v>1 niveaux ; 34 pièces ; 260 segments de mur ; 0 transitions. Inspection physique ; architecture complète encore ouverte.</x:v>
      </x:c>
      <x:c r="H1445" s="115" t="str">
        <x:v>L 860 ; l 1280 ; hauteur 8,56 m ; choix de composition auteur ; dimensions réelles à documenter</x:v>
      </x:c>
      <x:c r="I1445" s="115" t="str">
        <x:v>À équilibrer</x:v>
      </x:c>
      <x:c r="J1445" s="115" t="str">
        <x:v>Non</x:v>
      </x:c>
      <x:c r="K1445" s="115" t="str">
        <x:v>Pièces décrites, murs, portes, niveaux et mobilier inspectables à l’échelle. Volumes réservés, raccord au seed, butin, rencontres et services de campagne restent à terminer.</x:v>
      </x:c>
    </x:row>
    <x:row r="1446" ht="96" customHeight="1">
      <x:c r="A1446" s="115" t="str">
        <x:v>EXT-MONDE-T029-V41</x:v>
      </x:c>
      <x:c r="B1446" s="115" t="str">
        <x:v>EXT-MONDE-T029</x:v>
      </x:c>
      <x:c r="C1446" s="115" t="str">
        <x:v>Ponts</x:v>
      </x:c>
      <x:c r="D1446" s="115" t="str">
        <x:v>Pont routier à poutres</x:v>
      </x:c>
      <x:c r="E1446" s="115" t="n">
        <x:v>41</x:v>
      </x:c>
      <x:c r="F1446" s="115" t="str">
        <x:v>Inspection physique</x:v>
      </x:c>
      <x:c r="G1446" s="115" t="str">
        <x:v>1 niveaux ; 34 pièces ; 260 segments de mur ; 0 transitions. Inspection physique ; architecture complète encore ouverte.</x:v>
      </x:c>
      <x:c r="H1446" s="115" t="str">
        <x:v>L 940 ; l 1440 ; hauteur 8,2 m ; choix de composition auteur ; dimensions réelles à documenter</x:v>
      </x:c>
      <x:c r="I1446" s="115" t="str">
        <x:v>À équilibrer</x:v>
      </x:c>
      <x:c r="J1446" s="115" t="str">
        <x:v>Non</x:v>
      </x:c>
      <x:c r="K1446" s="115" t="str">
        <x:v>Pièces décrites, murs, portes, niveaux et mobilier inspectables à l’échelle. Volumes réservés, raccord au seed, butin, rencontres et services de campagne restent à terminer.</x:v>
      </x:c>
    </x:row>
    <x:row r="1447" ht="96" customHeight="1">
      <x:c r="A1447" s="115" t="str">
        <x:v>EXT-MONDE-T029-V42</x:v>
      </x:c>
      <x:c r="B1447" s="115" t="str">
        <x:v>EXT-MONDE-T029</x:v>
      </x:c>
      <x:c r="C1447" s="115" t="str">
        <x:v>Ponts</x:v>
      </x:c>
      <x:c r="D1447" s="115" t="str">
        <x:v>Pont routier à poutres</x:v>
      </x:c>
      <x:c r="E1447" s="115" t="n">
        <x:v>42</x:v>
      </x:c>
      <x:c r="F1447" s="115" t="str">
        <x:v>Inspection physique</x:v>
      </x:c>
      <x:c r="G1447" s="115" t="str">
        <x:v>1 niveaux ; 34 pièces ; 260 segments de mur ; 0 transitions. Inspection physique ; architecture complète encore ouverte.</x:v>
      </x:c>
      <x:c r="H1447" s="115" t="str">
        <x:v>L 940 ; l 1440 ; hauteur 8,24 m ; choix de composition auteur ; dimensions réelles à documenter</x:v>
      </x:c>
      <x:c r="I1447" s="115" t="str">
        <x:v>À équilibrer</x:v>
      </x:c>
      <x:c r="J1447" s="115" t="str">
        <x:v>Non</x:v>
      </x:c>
      <x:c r="K1447" s="115" t="str">
        <x:v>Pièces décrites, murs, portes, niveaux et mobilier inspectables à l’échelle. Volumes réservés, raccord au seed, butin, rencontres et services de campagne restent à terminer.</x:v>
      </x:c>
    </x:row>
    <x:row r="1448" ht="96" customHeight="1">
      <x:c r="A1448" s="115" t="str">
        <x:v>EXT-MONDE-T029-V43</x:v>
      </x:c>
      <x:c r="B1448" s="115" t="str">
        <x:v>EXT-MONDE-T029</x:v>
      </x:c>
      <x:c r="C1448" s="115" t="str">
        <x:v>Ponts</x:v>
      </x:c>
      <x:c r="D1448" s="115" t="str">
        <x:v>Pont routier à poutres</x:v>
      </x:c>
      <x:c r="E1448" s="115" t="n">
        <x:v>43</x:v>
      </x:c>
      <x:c r="F1448" s="115" t="str">
        <x:v>Inspection physique</x:v>
      </x:c>
      <x:c r="G1448" s="115" t="str">
        <x:v>1 niveaux ; 34 pièces ; 260 segments de mur ; 0 transitions. Inspection physique ; architecture complète encore ouverte.</x:v>
      </x:c>
      <x:c r="H1448" s="115" t="str">
        <x:v>L 940 ; l 1440 ; hauteur 8,28 m ; choix de composition auteur ; dimensions réelles à documenter</x:v>
      </x:c>
      <x:c r="I1448" s="115" t="str">
        <x:v>À équilibrer</x:v>
      </x:c>
      <x:c r="J1448" s="115" t="str">
        <x:v>Non</x:v>
      </x:c>
      <x:c r="K1448" s="115" t="str">
        <x:v>Pièces décrites, murs, portes, niveaux et mobilier inspectables à l’échelle. Volumes réservés, raccord au seed, butin, rencontres et services de campagne restent à terminer.</x:v>
      </x:c>
    </x:row>
    <x:row r="1449" ht="96" customHeight="1">
      <x:c r="A1449" s="115" t="str">
        <x:v>EXT-MONDE-T029-V44</x:v>
      </x:c>
      <x:c r="B1449" s="115" t="str">
        <x:v>EXT-MONDE-T029</x:v>
      </x:c>
      <x:c r="C1449" s="115" t="str">
        <x:v>Ponts</x:v>
      </x:c>
      <x:c r="D1449" s="115" t="str">
        <x:v>Pont routier à poutres</x:v>
      </x:c>
      <x:c r="E1449" s="115" t="n">
        <x:v>44</x:v>
      </x:c>
      <x:c r="F1449" s="115" t="str">
        <x:v>Inspection physique</x:v>
      </x:c>
      <x:c r="G1449" s="115" t="str">
        <x:v>1 niveaux ; 34 pièces ; 260 segments de mur ; 0 transitions. Inspection physique ; architecture complète encore ouverte.</x:v>
      </x:c>
      <x:c r="H1449" s="115" t="str">
        <x:v>L 940 ; l 1440 ; hauteur 8,32 m ; choix de composition auteur ; dimensions réelles à documenter</x:v>
      </x:c>
      <x:c r="I1449" s="115" t="str">
        <x:v>À équilibrer</x:v>
      </x:c>
      <x:c r="J1449" s="115" t="str">
        <x:v>Non</x:v>
      </x:c>
      <x:c r="K1449" s="115" t="str">
        <x:v>Pièces décrites, murs, portes, niveaux et mobilier inspectables à l’échelle. Volumes réservés, raccord au seed, butin, rencontres et services de campagne restent à terminer.</x:v>
      </x:c>
    </x:row>
    <x:row r="1450" ht="96" customHeight="1">
      <x:c r="A1450" s="115" t="str">
        <x:v>EXT-MONDE-T029-V45</x:v>
      </x:c>
      <x:c r="B1450" s="115" t="str">
        <x:v>EXT-MONDE-T029</x:v>
      </x:c>
      <x:c r="C1450" s="115" t="str">
        <x:v>Ponts</x:v>
      </x:c>
      <x:c r="D1450" s="115" t="str">
        <x:v>Pont routier à poutres</x:v>
      </x:c>
      <x:c r="E1450" s="115" t="n">
        <x:v>45</x:v>
      </x:c>
      <x:c r="F1450" s="115" t="str">
        <x:v>Inspection physique</x:v>
      </x:c>
      <x:c r="G1450" s="115" t="str">
        <x:v>1 niveaux ; 34 pièces ; 260 segments de mur ; 0 transitions. Inspection physique ; architecture complète encore ouverte.</x:v>
      </x:c>
      <x:c r="H1450" s="115" t="str">
        <x:v>L 940 ; l 1440 ; hauteur 8,36 m ; choix de composition auteur ; dimensions réelles à documenter</x:v>
      </x:c>
      <x:c r="I1450" s="115" t="str">
        <x:v>À équilibrer</x:v>
      </x:c>
      <x:c r="J1450" s="115" t="str">
        <x:v>Non</x:v>
      </x:c>
      <x:c r="K1450" s="115" t="str">
        <x:v>Pièces décrites, murs, portes, niveaux et mobilier inspectables à l’échelle. Volumes réservés, raccord au seed, butin, rencontres et services de campagne restent à terminer.</x:v>
      </x:c>
    </x:row>
    <x:row r="1451" ht="96" customHeight="1">
      <x:c r="A1451" s="115" t="str">
        <x:v>EXT-MONDE-T029-V46</x:v>
      </x:c>
      <x:c r="B1451" s="115" t="str">
        <x:v>EXT-MONDE-T029</x:v>
      </x:c>
      <x:c r="C1451" s="115" t="str">
        <x:v>Ponts</x:v>
      </x:c>
      <x:c r="D1451" s="115" t="str">
        <x:v>Pont routier à poutres</x:v>
      </x:c>
      <x:c r="E1451" s="115" t="n">
        <x:v>46</x:v>
      </x:c>
      <x:c r="F1451" s="115" t="str">
        <x:v>Inspection physique</x:v>
      </x:c>
      <x:c r="G1451" s="115" t="str">
        <x:v>1 niveaux ; 34 pièces ; 260 segments de mur ; 0 transitions. Inspection physique ; architecture complète encore ouverte.</x:v>
      </x:c>
      <x:c r="H1451" s="115" t="str">
        <x:v>L 940 ; l 1440 ; hauteur 8,4 m ; choix de composition auteur ; dimensions réelles à documenter</x:v>
      </x:c>
      <x:c r="I1451" s="115" t="str">
        <x:v>À équilibrer</x:v>
      </x:c>
      <x:c r="J1451" s="115" t="str">
        <x:v>Non</x:v>
      </x:c>
      <x:c r="K1451" s="115" t="str">
        <x:v>Pièces décrites, murs, portes, niveaux et mobilier inspectables à l’échelle. Volumes réservés, raccord au seed, butin, rencontres et services de campagne restent à terminer.</x:v>
      </x:c>
    </x:row>
    <x:row r="1452" ht="96" customHeight="1">
      <x:c r="A1452" s="115" t="str">
        <x:v>EXT-MONDE-T029-V47</x:v>
      </x:c>
      <x:c r="B1452" s="115" t="str">
        <x:v>EXT-MONDE-T029</x:v>
      </x:c>
      <x:c r="C1452" s="115" t="str">
        <x:v>Ponts</x:v>
      </x:c>
      <x:c r="D1452" s="115" t="str">
        <x:v>Pont routier à poutres</x:v>
      </x:c>
      <x:c r="E1452" s="115" t="n">
        <x:v>47</x:v>
      </x:c>
      <x:c r="F1452" s="115" t="str">
        <x:v>Inspection physique</x:v>
      </x:c>
      <x:c r="G1452" s="115" t="str">
        <x:v>1 niveaux ; 34 pièces ; 260 segments de mur ; 0 transitions. Inspection physique ; architecture complète encore ouverte.</x:v>
      </x:c>
      <x:c r="H1452" s="115" t="str">
        <x:v>L 940 ; l 1440 ; hauteur 8,44 m ; choix de composition auteur ; dimensions réelles à documenter</x:v>
      </x:c>
      <x:c r="I1452" s="115" t="str">
        <x:v>À équilibrer</x:v>
      </x:c>
      <x:c r="J1452" s="115" t="str">
        <x:v>Non</x:v>
      </x:c>
      <x:c r="K1452" s="115" t="str">
        <x:v>Pièces décrites, murs, portes, niveaux et mobilier inspectables à l’échelle. Volumes réservés, raccord au seed, butin, rencontres et services de campagne restent à terminer.</x:v>
      </x:c>
    </x:row>
    <x:row r="1453" ht="96" customHeight="1">
      <x:c r="A1453" s="115" t="str">
        <x:v>EXT-MONDE-T029-V48</x:v>
      </x:c>
      <x:c r="B1453" s="115" t="str">
        <x:v>EXT-MONDE-T029</x:v>
      </x:c>
      <x:c r="C1453" s="115" t="str">
        <x:v>Ponts</x:v>
      </x:c>
      <x:c r="D1453" s="115" t="str">
        <x:v>Pont routier à poutres</x:v>
      </x:c>
      <x:c r="E1453" s="115" t="n">
        <x:v>48</x:v>
      </x:c>
      <x:c r="F1453" s="115" t="str">
        <x:v>Inspection physique</x:v>
      </x:c>
      <x:c r="G1453" s="115" t="str">
        <x:v>1 niveaux ; 34 pièces ; 260 segments de mur ; 0 transitions. Inspection physique ; architecture complète encore ouverte.</x:v>
      </x:c>
      <x:c r="H1453" s="115" t="str">
        <x:v>L 940 ; l 1440 ; hauteur 8,48 m ; choix de composition auteur ; dimensions réelles à documenter</x:v>
      </x:c>
      <x:c r="I1453" s="115" t="str">
        <x:v>À équilibrer</x:v>
      </x:c>
      <x:c r="J1453" s="115" t="str">
        <x:v>Non</x:v>
      </x:c>
      <x:c r="K1453" s="115" t="str">
        <x:v>Pièces décrites, murs, portes, niveaux et mobilier inspectables à l’échelle. Volumes réservés, raccord au seed, butin, rencontres et services de campagne restent à terminer.</x:v>
      </x:c>
    </x:row>
    <x:row r="1454" ht="96" customHeight="1">
      <x:c r="A1454" s="115" t="str">
        <x:v>EXT-MONDE-T029-V49</x:v>
      </x:c>
      <x:c r="B1454" s="115" t="str">
        <x:v>EXT-MONDE-T029</x:v>
      </x:c>
      <x:c r="C1454" s="115" t="str">
        <x:v>Ponts</x:v>
      </x:c>
      <x:c r="D1454" s="115" t="str">
        <x:v>Pont routier à poutres</x:v>
      </x:c>
      <x:c r="E1454" s="115" t="n">
        <x:v>49</x:v>
      </x:c>
      <x:c r="F1454" s="115" t="str">
        <x:v>Inspection physique</x:v>
      </x:c>
      <x:c r="G1454" s="115" t="str">
        <x:v>1 niveaux ; 34 pièces ; 260 segments de mur ; 0 transitions. Inspection physique ; architecture complète encore ouverte.</x:v>
      </x:c>
      <x:c r="H1454" s="115" t="str">
        <x:v>L 940 ; l 1440 ; hauteur 8,52 m ; choix de composition auteur ; dimensions réelles à documenter</x:v>
      </x:c>
      <x:c r="I1454" s="115" t="str">
        <x:v>À équilibrer</x:v>
      </x:c>
      <x:c r="J1454" s="115" t="str">
        <x:v>Non</x:v>
      </x:c>
      <x:c r="K1454" s="115" t="str">
        <x:v>Pièces décrites, murs, portes, niveaux et mobilier inspectables à l’échelle. Volumes réservés, raccord au seed, butin, rencontres et services de campagne restent à terminer.</x:v>
      </x:c>
    </x:row>
    <x:row r="1455" ht="96" customHeight="1">
      <x:c r="A1455" s="115" t="str">
        <x:v>EXT-MONDE-T029-V50</x:v>
      </x:c>
      <x:c r="B1455" s="115" t="str">
        <x:v>EXT-MONDE-T029</x:v>
      </x:c>
      <x:c r="C1455" s="115" t="str">
        <x:v>Ponts</x:v>
      </x:c>
      <x:c r="D1455" s="115" t="str">
        <x:v>Pont routier à poutres</x:v>
      </x:c>
      <x:c r="E1455" s="115" t="n">
        <x:v>50</x:v>
      </x:c>
      <x:c r="F1455" s="115" t="str">
        <x:v>Inspection physique</x:v>
      </x:c>
      <x:c r="G1455" s="115" t="str">
        <x:v>1 niveaux ; 34 pièces ; 260 segments de mur ; 0 transitions. Inspection physique ; architecture complète encore ouverte.</x:v>
      </x:c>
      <x:c r="H1455" s="115" t="str">
        <x:v>L 940 ; l 1440 ; hauteur 8,56 m ; choix de composition auteur ; dimensions réelles à documenter</x:v>
      </x:c>
      <x:c r="I1455" s="115" t="str">
        <x:v>À équilibrer</x:v>
      </x:c>
      <x:c r="J1455" s="115" t="str">
        <x:v>Non</x:v>
      </x:c>
      <x:c r="K1455" s="115" t="str">
        <x:v>Pièces décrites, murs, portes, niveaux et mobilier inspectables à l’échelle. Volumes réservés, raccord au seed, butin, rencontres et services de campagne restent à terminer.</x:v>
      </x:c>
    </x:row>
    <x:row r="1456" ht="96" customHeight="1">
      <x:c r="A1456" s="115" t="str">
        <x:v>EXT-MONDE-T030-V01</x:v>
      </x:c>
      <x:c r="B1456" s="115" t="str">
        <x:v>EXT-MONDE-T030</x:v>
      </x:c>
      <x:c r="C1456" s="115" t="str">
        <x:v>Ponts</x:v>
      </x:c>
      <x:c r="D1456" s="115" t="str">
        <x:v>Pont à arches</x:v>
      </x:c>
      <x:c r="E1456" s="115" t="n">
        <x:v>1</x:v>
      </x:c>
      <x:c r="F1456" s="115" t="str">
        <x:v>Inspection physique</x:v>
      </x:c>
      <x:c r="G1456" s="115" t="str">
        <x:v>1 niveaux ; 34 pièces ; 260 segments de mur ; 0 transitions. Inspection physique ; architecture complète encore ouverte.</x:v>
      </x:c>
      <x:c r="H1456" s="115" t="str">
        <x:v>L 680 ; l 1000 ; hauteur 12 m ; choix de composition auteur ; dimensions réelles à documenter</x:v>
      </x:c>
      <x:c r="I1456" s="115" t="str">
        <x:v>À équilibrer</x:v>
      </x:c>
      <x:c r="J1456" s="115" t="str">
        <x:v>Non</x:v>
      </x:c>
      <x:c r="K1456" s="115" t="str">
        <x:v>Pièces décrites, murs, portes, niveaux et mobilier inspectables à l’échelle. Volumes réservés, raccord au seed, butin, rencontres et services de campagne restent à terminer.</x:v>
      </x:c>
    </x:row>
    <x:row r="1457" ht="96" customHeight="1">
      <x:c r="A1457" s="115" t="str">
        <x:v>EXT-MONDE-T030-V02</x:v>
      </x:c>
      <x:c r="B1457" s="115" t="str">
        <x:v>EXT-MONDE-T030</x:v>
      </x:c>
      <x:c r="C1457" s="115" t="str">
        <x:v>Ponts</x:v>
      </x:c>
      <x:c r="D1457" s="115" t="str">
        <x:v>Pont à arches</x:v>
      </x:c>
      <x:c r="E1457" s="115" t="n">
        <x:v>2</x:v>
      </x:c>
      <x:c r="F1457" s="115" t="str">
        <x:v>Inspection physique</x:v>
      </x:c>
      <x:c r="G1457" s="115" t="str">
        <x:v>1 niveaux ; 34 pièces ; 260 segments de mur ; 0 transitions. Inspection physique ; architecture complète encore ouverte.</x:v>
      </x:c>
      <x:c r="H1457" s="115" t="str">
        <x:v>L 680 ; l 1000 ; hauteur 12,04 m ; choix de composition auteur ; dimensions réelles à documenter</x:v>
      </x:c>
      <x:c r="I1457" s="115" t="str">
        <x:v>À équilibrer</x:v>
      </x:c>
      <x:c r="J1457" s="115" t="str">
        <x:v>Non</x:v>
      </x:c>
      <x:c r="K1457" s="115" t="str">
        <x:v>Pièces décrites, murs, portes, niveaux et mobilier inspectables à l’échelle. Volumes réservés, raccord au seed, butin, rencontres et services de campagne restent à terminer.</x:v>
      </x:c>
    </x:row>
    <x:row r="1458" ht="96" customHeight="1">
      <x:c r="A1458" s="115" t="str">
        <x:v>EXT-MONDE-T030-V03</x:v>
      </x:c>
      <x:c r="B1458" s="115" t="str">
        <x:v>EXT-MONDE-T030</x:v>
      </x:c>
      <x:c r="C1458" s="115" t="str">
        <x:v>Ponts</x:v>
      </x:c>
      <x:c r="D1458" s="115" t="str">
        <x:v>Pont à arches</x:v>
      </x:c>
      <x:c r="E1458" s="115" t="n">
        <x:v>3</x:v>
      </x:c>
      <x:c r="F1458" s="115" t="str">
        <x:v>Inspection physique</x:v>
      </x:c>
      <x:c r="G1458" s="115" t="str">
        <x:v>1 niveaux ; 34 pièces ; 260 segments de mur ; 0 transitions. Inspection physique ; architecture complète encore ouverte.</x:v>
      </x:c>
      <x:c r="H1458" s="115" t="str">
        <x:v>L 680 ; l 1000 ; hauteur 12,08 m ; choix de composition auteur ; dimensions réelles à documenter</x:v>
      </x:c>
      <x:c r="I1458" s="115" t="str">
        <x:v>À équilibrer</x:v>
      </x:c>
      <x:c r="J1458" s="115" t="str">
        <x:v>Non</x:v>
      </x:c>
      <x:c r="K1458" s="115" t="str">
        <x:v>Pièces décrites, murs, portes, niveaux et mobilier inspectables à l’échelle. Volumes réservés, raccord au seed, butin, rencontres et services de campagne restent à terminer.</x:v>
      </x:c>
    </x:row>
    <x:row r="1459" ht="96" customHeight="1">
      <x:c r="A1459" s="115" t="str">
        <x:v>EXT-MONDE-T030-V04</x:v>
      </x:c>
      <x:c r="B1459" s="115" t="str">
        <x:v>EXT-MONDE-T030</x:v>
      </x:c>
      <x:c r="C1459" s="115" t="str">
        <x:v>Ponts</x:v>
      </x:c>
      <x:c r="D1459" s="115" t="str">
        <x:v>Pont à arches</x:v>
      </x:c>
      <x:c r="E1459" s="115" t="n">
        <x:v>4</x:v>
      </x:c>
      <x:c r="F1459" s="115" t="str">
        <x:v>Inspection physique</x:v>
      </x:c>
      <x:c r="G1459" s="115" t="str">
        <x:v>1 niveaux ; 34 pièces ; 260 segments de mur ; 0 transitions. Inspection physique ; architecture complète encore ouverte.</x:v>
      </x:c>
      <x:c r="H1459" s="115" t="str">
        <x:v>L 680 ; l 1000 ; hauteur 12,12 m ; choix de composition auteur ; dimensions réelles à documenter</x:v>
      </x:c>
      <x:c r="I1459" s="115" t="str">
        <x:v>À équilibrer</x:v>
      </x:c>
      <x:c r="J1459" s="115" t="str">
        <x:v>Non</x:v>
      </x:c>
      <x:c r="K1459" s="115" t="str">
        <x:v>Pièces décrites, murs, portes, niveaux et mobilier inspectables à l’échelle. Volumes réservés, raccord au seed, butin, rencontres et services de campagne restent à terminer.</x:v>
      </x:c>
    </x:row>
    <x:row r="1460" ht="96" customHeight="1">
      <x:c r="A1460" s="115" t="str">
        <x:v>EXT-MONDE-T030-V05</x:v>
      </x:c>
      <x:c r="B1460" s="115" t="str">
        <x:v>EXT-MONDE-T030</x:v>
      </x:c>
      <x:c r="C1460" s="115" t="str">
        <x:v>Ponts</x:v>
      </x:c>
      <x:c r="D1460" s="115" t="str">
        <x:v>Pont à arches</x:v>
      </x:c>
      <x:c r="E1460" s="115" t="n">
        <x:v>5</x:v>
      </x:c>
      <x:c r="F1460" s="115" t="str">
        <x:v>Inspection physique</x:v>
      </x:c>
      <x:c r="G1460" s="115" t="str">
        <x:v>1 niveaux ; 34 pièces ; 260 segments de mur ; 0 transitions. Inspection physique ; architecture complète encore ouverte.</x:v>
      </x:c>
      <x:c r="H1460" s="115" t="str">
        <x:v>L 680 ; l 1000 ; hauteur 12,16 m ; choix de composition auteur ; dimensions réelles à documenter</x:v>
      </x:c>
      <x:c r="I1460" s="115" t="str">
        <x:v>À équilibrer</x:v>
      </x:c>
      <x:c r="J1460" s="115" t="str">
        <x:v>Non</x:v>
      </x:c>
      <x:c r="K1460" s="115" t="str">
        <x:v>Pièces décrites, murs, portes, niveaux et mobilier inspectables à l’échelle. Volumes réservés, raccord au seed, butin, rencontres et services de campagne restent à terminer.</x:v>
      </x:c>
    </x:row>
    <x:row r="1461" ht="96" customHeight="1">
      <x:c r="A1461" s="115" t="str">
        <x:v>EXT-MONDE-T030-V06</x:v>
      </x:c>
      <x:c r="B1461" s="115" t="str">
        <x:v>EXT-MONDE-T030</x:v>
      </x:c>
      <x:c r="C1461" s="115" t="str">
        <x:v>Ponts</x:v>
      </x:c>
      <x:c r="D1461" s="115" t="str">
        <x:v>Pont à arches</x:v>
      </x:c>
      <x:c r="E1461" s="115" t="n">
        <x:v>6</x:v>
      </x:c>
      <x:c r="F1461" s="115" t="str">
        <x:v>Inspection physique</x:v>
      </x:c>
      <x:c r="G1461" s="115" t="str">
        <x:v>1 niveaux ; 34 pièces ; 260 segments de mur ; 0 transitions. Inspection physique ; architecture complète encore ouverte.</x:v>
      </x:c>
      <x:c r="H1461" s="115" t="str">
        <x:v>L 680 ; l 1000 ; hauteur 12,2 m ; choix de composition auteur ; dimensions réelles à documenter</x:v>
      </x:c>
      <x:c r="I1461" s="115" t="str">
        <x:v>À équilibrer</x:v>
      </x:c>
      <x:c r="J1461" s="115" t="str">
        <x:v>Non</x:v>
      </x:c>
      <x:c r="K1461" s="115" t="str">
        <x:v>Pièces décrites, murs, portes, niveaux et mobilier inspectables à l’échelle. Volumes réservés, raccord au seed, butin, rencontres et services de campagne restent à terminer.</x:v>
      </x:c>
    </x:row>
    <x:row r="1462" ht="96" customHeight="1">
      <x:c r="A1462" s="115" t="str">
        <x:v>EXT-MONDE-T030-V07</x:v>
      </x:c>
      <x:c r="B1462" s="115" t="str">
        <x:v>EXT-MONDE-T030</x:v>
      </x:c>
      <x:c r="C1462" s="115" t="str">
        <x:v>Ponts</x:v>
      </x:c>
      <x:c r="D1462" s="115" t="str">
        <x:v>Pont à arches</x:v>
      </x:c>
      <x:c r="E1462" s="115" t="n">
        <x:v>7</x:v>
      </x:c>
      <x:c r="F1462" s="115" t="str">
        <x:v>Inspection physique</x:v>
      </x:c>
      <x:c r="G1462" s="115" t="str">
        <x:v>1 niveaux ; 34 pièces ; 260 segments de mur ; 0 transitions. Inspection physique ; architecture complète encore ouverte.</x:v>
      </x:c>
      <x:c r="H1462" s="115" t="str">
        <x:v>L 680 ; l 1000 ; hauteur 12,24 m ; choix de composition auteur ; dimensions réelles à documenter</x:v>
      </x:c>
      <x:c r="I1462" s="115" t="str">
        <x:v>À équilibrer</x:v>
      </x:c>
      <x:c r="J1462" s="115" t="str">
        <x:v>Non</x:v>
      </x:c>
      <x:c r="K1462" s="115" t="str">
        <x:v>Pièces décrites, murs, portes, niveaux et mobilier inspectables à l’échelle. Volumes réservés, raccord au seed, butin, rencontres et services de campagne restent à terminer.</x:v>
      </x:c>
    </x:row>
    <x:row r="1463" ht="96" customHeight="1">
      <x:c r="A1463" s="115" t="str">
        <x:v>EXT-MONDE-T030-V08</x:v>
      </x:c>
      <x:c r="B1463" s="115" t="str">
        <x:v>EXT-MONDE-T030</x:v>
      </x:c>
      <x:c r="C1463" s="115" t="str">
        <x:v>Ponts</x:v>
      </x:c>
      <x:c r="D1463" s="115" t="str">
        <x:v>Pont à arches</x:v>
      </x:c>
      <x:c r="E1463" s="115" t="n">
        <x:v>8</x:v>
      </x:c>
      <x:c r="F1463" s="115" t="str">
        <x:v>Inspection physique</x:v>
      </x:c>
      <x:c r="G1463" s="115" t="str">
        <x:v>1 niveaux ; 34 pièces ; 260 segments de mur ; 0 transitions. Inspection physique ; architecture complète encore ouverte.</x:v>
      </x:c>
      <x:c r="H1463" s="115" t="str">
        <x:v>L 680 ; l 1000 ; hauteur 12,28 m ; choix de composition auteur ; dimensions réelles à documenter</x:v>
      </x:c>
      <x:c r="I1463" s="115" t="str">
        <x:v>À équilibrer</x:v>
      </x:c>
      <x:c r="J1463" s="115" t="str">
        <x:v>Non</x:v>
      </x:c>
      <x:c r="K1463" s="115" t="str">
        <x:v>Pièces décrites, murs, portes, niveaux et mobilier inspectables à l’échelle. Volumes réservés, raccord au seed, butin, rencontres et services de campagne restent à terminer.</x:v>
      </x:c>
    </x:row>
    <x:row r="1464" ht="96" customHeight="1">
      <x:c r="A1464" s="115" t="str">
        <x:v>EXT-MONDE-T030-V09</x:v>
      </x:c>
      <x:c r="B1464" s="115" t="str">
        <x:v>EXT-MONDE-T030</x:v>
      </x:c>
      <x:c r="C1464" s="115" t="str">
        <x:v>Ponts</x:v>
      </x:c>
      <x:c r="D1464" s="115" t="str">
        <x:v>Pont à arches</x:v>
      </x:c>
      <x:c r="E1464" s="115" t="n">
        <x:v>9</x:v>
      </x:c>
      <x:c r="F1464" s="115" t="str">
        <x:v>Inspection physique</x:v>
      </x:c>
      <x:c r="G1464" s="115" t="str">
        <x:v>1 niveaux ; 34 pièces ; 260 segments de mur ; 0 transitions. Inspection physique ; architecture complète encore ouverte.</x:v>
      </x:c>
      <x:c r="H1464" s="115" t="str">
        <x:v>L 680 ; l 1000 ; hauteur 12,32 m ; choix de composition auteur ; dimensions réelles à documenter</x:v>
      </x:c>
      <x:c r="I1464" s="115" t="str">
        <x:v>À équilibrer</x:v>
      </x:c>
      <x:c r="J1464" s="115" t="str">
        <x:v>Non</x:v>
      </x:c>
      <x:c r="K1464" s="115" t="str">
        <x:v>Pièces décrites, murs, portes, niveaux et mobilier inspectables à l’échelle. Volumes réservés, raccord au seed, butin, rencontres et services de campagne restent à terminer.</x:v>
      </x:c>
    </x:row>
    <x:row r="1465" ht="96" customHeight="1">
      <x:c r="A1465" s="115" t="str">
        <x:v>EXT-MONDE-T030-V10</x:v>
      </x:c>
      <x:c r="B1465" s="115" t="str">
        <x:v>EXT-MONDE-T030</x:v>
      </x:c>
      <x:c r="C1465" s="115" t="str">
        <x:v>Ponts</x:v>
      </x:c>
      <x:c r="D1465" s="115" t="str">
        <x:v>Pont à arches</x:v>
      </x:c>
      <x:c r="E1465" s="115" t="n">
        <x:v>10</x:v>
      </x:c>
      <x:c r="F1465" s="115" t="str">
        <x:v>Inspection physique</x:v>
      </x:c>
      <x:c r="G1465" s="115" t="str">
        <x:v>1 niveaux ; 34 pièces ; 260 segments de mur ; 0 transitions. Inspection physique ; architecture complète encore ouverte.</x:v>
      </x:c>
      <x:c r="H1465" s="115" t="str">
        <x:v>L 680 ; l 1000 ; hauteur 12,36 m ; choix de composition auteur ; dimensions réelles à documenter</x:v>
      </x:c>
      <x:c r="I1465" s="115" t="str">
        <x:v>À équilibrer</x:v>
      </x:c>
      <x:c r="J1465" s="115" t="str">
        <x:v>Non</x:v>
      </x:c>
      <x:c r="K1465" s="115" t="str">
        <x:v>Pièces décrites, murs, portes, niveaux et mobilier inspectables à l’échelle. Volumes réservés, raccord au seed, butin, rencontres et services de campagne restent à terminer.</x:v>
      </x:c>
    </x:row>
    <x:row r="1466" ht="96" customHeight="1">
      <x:c r="A1466" s="115" t="str">
        <x:v>EXT-MONDE-T030-V11</x:v>
      </x:c>
      <x:c r="B1466" s="115" t="str">
        <x:v>EXT-MONDE-T030</x:v>
      </x:c>
      <x:c r="C1466" s="115" t="str">
        <x:v>Ponts</x:v>
      </x:c>
      <x:c r="D1466" s="115" t="str">
        <x:v>Pont à arches</x:v>
      </x:c>
      <x:c r="E1466" s="115" t="n">
        <x:v>11</x:v>
      </x:c>
      <x:c r="F1466" s="115" t="str">
        <x:v>Inspection physique</x:v>
      </x:c>
      <x:c r="G1466" s="115" t="str">
        <x:v>1 niveaux ; 34 pièces ; 260 segments de mur ; 0 transitions. Inspection physique ; architecture complète encore ouverte.</x:v>
      </x:c>
      <x:c r="H1466" s="115" t="str">
        <x:v>L 760 ; l 1160 ; hauteur 12 m ; choix de composition auteur ; dimensions réelles à documenter</x:v>
      </x:c>
      <x:c r="I1466" s="115" t="str">
        <x:v>À équilibrer</x:v>
      </x:c>
      <x:c r="J1466" s="115" t="str">
        <x:v>Non</x:v>
      </x:c>
      <x:c r="K1466" s="115" t="str">
        <x:v>Pièces décrites, murs, portes, niveaux et mobilier inspectables à l’échelle. Volumes réservés, raccord au seed, butin, rencontres et services de campagne restent à terminer.</x:v>
      </x:c>
    </x:row>
    <x:row r="1467" ht="96" customHeight="1">
      <x:c r="A1467" s="115" t="str">
        <x:v>EXT-MONDE-T030-V12</x:v>
      </x:c>
      <x:c r="B1467" s="115" t="str">
        <x:v>EXT-MONDE-T030</x:v>
      </x:c>
      <x:c r="C1467" s="115" t="str">
        <x:v>Ponts</x:v>
      </x:c>
      <x:c r="D1467" s="115" t="str">
        <x:v>Pont à arches</x:v>
      </x:c>
      <x:c r="E1467" s="115" t="n">
        <x:v>12</x:v>
      </x:c>
      <x:c r="F1467" s="115" t="str">
        <x:v>Inspection physique</x:v>
      </x:c>
      <x:c r="G1467" s="115" t="str">
        <x:v>1 niveaux ; 34 pièces ; 260 segments de mur ; 0 transitions. Inspection physique ; architecture complète encore ouverte.</x:v>
      </x:c>
      <x:c r="H1467" s="115" t="str">
        <x:v>L 760 ; l 1160 ; hauteur 12,04 m ; choix de composition auteur ; dimensions réelles à documenter</x:v>
      </x:c>
      <x:c r="I1467" s="115" t="str">
        <x:v>À équilibrer</x:v>
      </x:c>
      <x:c r="J1467" s="115" t="str">
        <x:v>Non</x:v>
      </x:c>
      <x:c r="K1467" s="115" t="str">
        <x:v>Pièces décrites, murs, portes, niveaux et mobilier inspectables à l’échelle. Volumes réservés, raccord au seed, butin, rencontres et services de campagne restent à terminer.</x:v>
      </x:c>
    </x:row>
    <x:row r="1468" ht="96" customHeight="1">
      <x:c r="A1468" s="115" t="str">
        <x:v>EXT-MONDE-T030-V13</x:v>
      </x:c>
      <x:c r="B1468" s="115" t="str">
        <x:v>EXT-MONDE-T030</x:v>
      </x:c>
      <x:c r="C1468" s="115" t="str">
        <x:v>Ponts</x:v>
      </x:c>
      <x:c r="D1468" s="115" t="str">
        <x:v>Pont à arches</x:v>
      </x:c>
      <x:c r="E1468" s="115" t="n">
        <x:v>13</x:v>
      </x:c>
      <x:c r="F1468" s="115" t="str">
        <x:v>Inspection physique</x:v>
      </x:c>
      <x:c r="G1468" s="115" t="str">
        <x:v>1 niveaux ; 34 pièces ; 260 segments de mur ; 0 transitions. Inspection physique ; architecture complète encore ouverte.</x:v>
      </x:c>
      <x:c r="H1468" s="115" t="str">
        <x:v>L 760 ; l 1160 ; hauteur 12,08 m ; choix de composition auteur ; dimensions réelles à documenter</x:v>
      </x:c>
      <x:c r="I1468" s="115" t="str">
        <x:v>À équilibrer</x:v>
      </x:c>
      <x:c r="J1468" s="115" t="str">
        <x:v>Non</x:v>
      </x:c>
      <x:c r="K1468" s="115" t="str">
        <x:v>Pièces décrites, murs, portes, niveaux et mobilier inspectables à l’échelle. Volumes réservés, raccord au seed, butin, rencontres et services de campagne restent à terminer.</x:v>
      </x:c>
    </x:row>
    <x:row r="1469" ht="96" customHeight="1">
      <x:c r="A1469" s="115" t="str">
        <x:v>EXT-MONDE-T030-V14</x:v>
      </x:c>
      <x:c r="B1469" s="115" t="str">
        <x:v>EXT-MONDE-T030</x:v>
      </x:c>
      <x:c r="C1469" s="115" t="str">
        <x:v>Ponts</x:v>
      </x:c>
      <x:c r="D1469" s="115" t="str">
        <x:v>Pont à arches</x:v>
      </x:c>
      <x:c r="E1469" s="115" t="n">
        <x:v>14</x:v>
      </x:c>
      <x:c r="F1469" s="115" t="str">
        <x:v>Inspection physique</x:v>
      </x:c>
      <x:c r="G1469" s="115" t="str">
        <x:v>1 niveaux ; 34 pièces ; 260 segments de mur ; 0 transitions. Inspection physique ; architecture complète encore ouverte.</x:v>
      </x:c>
      <x:c r="H1469" s="115" t="str">
        <x:v>L 760 ; l 1160 ; hauteur 12,12 m ; choix de composition auteur ; dimensions réelles à documenter</x:v>
      </x:c>
      <x:c r="I1469" s="115" t="str">
        <x:v>À équilibrer</x:v>
      </x:c>
      <x:c r="J1469" s="115" t="str">
        <x:v>Non</x:v>
      </x:c>
      <x:c r="K1469" s="115" t="str">
        <x:v>Pièces décrites, murs, portes, niveaux et mobilier inspectables à l’échelle. Volumes réservés, raccord au seed, butin, rencontres et services de campagne restent à terminer.</x:v>
      </x:c>
    </x:row>
    <x:row r="1470" ht="96" customHeight="1">
      <x:c r="A1470" s="115" t="str">
        <x:v>EXT-MONDE-T030-V15</x:v>
      </x:c>
      <x:c r="B1470" s="115" t="str">
        <x:v>EXT-MONDE-T030</x:v>
      </x:c>
      <x:c r="C1470" s="115" t="str">
        <x:v>Ponts</x:v>
      </x:c>
      <x:c r="D1470" s="115" t="str">
        <x:v>Pont à arches</x:v>
      </x:c>
      <x:c r="E1470" s="115" t="n">
        <x:v>15</x:v>
      </x:c>
      <x:c r="F1470" s="115" t="str">
        <x:v>Inspection physique</x:v>
      </x:c>
      <x:c r="G1470" s="115" t="str">
        <x:v>1 niveaux ; 34 pièces ; 260 segments de mur ; 0 transitions. Inspection physique ; architecture complète encore ouverte.</x:v>
      </x:c>
      <x:c r="H1470" s="115" t="str">
        <x:v>L 760 ; l 1160 ; hauteur 12,16 m ; choix de composition auteur ; dimensions réelles à documenter</x:v>
      </x:c>
      <x:c r="I1470" s="115" t="str">
        <x:v>À équilibrer</x:v>
      </x:c>
      <x:c r="J1470" s="115" t="str">
        <x:v>Non</x:v>
      </x:c>
      <x:c r="K1470" s="115" t="str">
        <x:v>Pièces décrites, murs, portes, niveaux et mobilier inspectables à l’échelle. Volumes réservés, raccord au seed, butin, rencontres et services de campagne restent à terminer.</x:v>
      </x:c>
    </x:row>
    <x:row r="1471" ht="96" customHeight="1">
      <x:c r="A1471" s="115" t="str">
        <x:v>EXT-MONDE-T030-V16</x:v>
      </x:c>
      <x:c r="B1471" s="115" t="str">
        <x:v>EXT-MONDE-T030</x:v>
      </x:c>
      <x:c r="C1471" s="115" t="str">
        <x:v>Ponts</x:v>
      </x:c>
      <x:c r="D1471" s="115" t="str">
        <x:v>Pont à arches</x:v>
      </x:c>
      <x:c r="E1471" s="115" t="n">
        <x:v>16</x:v>
      </x:c>
      <x:c r="F1471" s="115" t="str">
        <x:v>Inspection physique</x:v>
      </x:c>
      <x:c r="G1471" s="115" t="str">
        <x:v>1 niveaux ; 34 pièces ; 260 segments de mur ; 0 transitions. Inspection physique ; architecture complète encore ouverte.</x:v>
      </x:c>
      <x:c r="H1471" s="115" t="str">
        <x:v>L 760 ; l 1160 ; hauteur 12,2 m ; choix de composition auteur ; dimensions réelles à documenter</x:v>
      </x:c>
      <x:c r="I1471" s="115" t="str">
        <x:v>À équilibrer</x:v>
      </x:c>
      <x:c r="J1471" s="115" t="str">
        <x:v>Non</x:v>
      </x:c>
      <x:c r="K1471" s="115" t="str">
        <x:v>Pièces décrites, murs, portes, niveaux et mobilier inspectables à l’échelle. Volumes réservés, raccord au seed, butin, rencontres et services de campagne restent à terminer.</x:v>
      </x:c>
    </x:row>
    <x:row r="1472" ht="96" customHeight="1">
      <x:c r="A1472" s="115" t="str">
        <x:v>EXT-MONDE-T030-V17</x:v>
      </x:c>
      <x:c r="B1472" s="115" t="str">
        <x:v>EXT-MONDE-T030</x:v>
      </x:c>
      <x:c r="C1472" s="115" t="str">
        <x:v>Ponts</x:v>
      </x:c>
      <x:c r="D1472" s="115" t="str">
        <x:v>Pont à arches</x:v>
      </x:c>
      <x:c r="E1472" s="115" t="n">
        <x:v>17</x:v>
      </x:c>
      <x:c r="F1472" s="115" t="str">
        <x:v>Inspection physique</x:v>
      </x:c>
      <x:c r="G1472" s="115" t="str">
        <x:v>1 niveaux ; 34 pièces ; 260 segments de mur ; 0 transitions. Inspection physique ; architecture complète encore ouverte.</x:v>
      </x:c>
      <x:c r="H1472" s="115" t="str">
        <x:v>L 760 ; l 1160 ; hauteur 12,24 m ; choix de composition auteur ; dimensions réelles à documenter</x:v>
      </x:c>
      <x:c r="I1472" s="115" t="str">
        <x:v>À équilibrer</x:v>
      </x:c>
      <x:c r="J1472" s="115" t="str">
        <x:v>Non</x:v>
      </x:c>
      <x:c r="K1472" s="115" t="str">
        <x:v>Pièces décrites, murs, portes, niveaux et mobilier inspectables à l’échelle. Volumes réservés, raccord au seed, butin, rencontres et services de campagne restent à terminer.</x:v>
      </x:c>
    </x:row>
    <x:row r="1473" ht="96" customHeight="1">
      <x:c r="A1473" s="115" t="str">
        <x:v>EXT-MONDE-T030-V18</x:v>
      </x:c>
      <x:c r="B1473" s="115" t="str">
        <x:v>EXT-MONDE-T030</x:v>
      </x:c>
      <x:c r="C1473" s="115" t="str">
        <x:v>Ponts</x:v>
      </x:c>
      <x:c r="D1473" s="115" t="str">
        <x:v>Pont à arches</x:v>
      </x:c>
      <x:c r="E1473" s="115" t="n">
        <x:v>18</x:v>
      </x:c>
      <x:c r="F1473" s="115" t="str">
        <x:v>Inspection physique</x:v>
      </x:c>
      <x:c r="G1473" s="115" t="str">
        <x:v>1 niveaux ; 34 pièces ; 260 segments de mur ; 0 transitions. Inspection physique ; architecture complète encore ouverte.</x:v>
      </x:c>
      <x:c r="H1473" s="115" t="str">
        <x:v>L 760 ; l 1160 ; hauteur 12,28 m ; choix de composition auteur ; dimensions réelles à documenter</x:v>
      </x:c>
      <x:c r="I1473" s="115" t="str">
        <x:v>À équilibrer</x:v>
      </x:c>
      <x:c r="J1473" s="115" t="str">
        <x:v>Non</x:v>
      </x:c>
      <x:c r="K1473" s="115" t="str">
        <x:v>Pièces décrites, murs, portes, niveaux et mobilier inspectables à l’échelle. Volumes réservés, raccord au seed, butin, rencontres et services de campagne restent à terminer.</x:v>
      </x:c>
    </x:row>
    <x:row r="1474" ht="96" customHeight="1">
      <x:c r="A1474" s="115" t="str">
        <x:v>EXT-MONDE-T030-V19</x:v>
      </x:c>
      <x:c r="B1474" s="115" t="str">
        <x:v>EXT-MONDE-T030</x:v>
      </x:c>
      <x:c r="C1474" s="115" t="str">
        <x:v>Ponts</x:v>
      </x:c>
      <x:c r="D1474" s="115" t="str">
        <x:v>Pont à arches</x:v>
      </x:c>
      <x:c r="E1474" s="115" t="n">
        <x:v>19</x:v>
      </x:c>
      <x:c r="F1474" s="115" t="str">
        <x:v>Inspection physique</x:v>
      </x:c>
      <x:c r="G1474" s="115" t="str">
        <x:v>1 niveaux ; 34 pièces ; 260 segments de mur ; 0 transitions. Inspection physique ; architecture complète encore ouverte.</x:v>
      </x:c>
      <x:c r="H1474" s="115" t="str">
        <x:v>L 760 ; l 1160 ; hauteur 12,32 m ; choix de composition auteur ; dimensions réelles à documenter</x:v>
      </x:c>
      <x:c r="I1474" s="115" t="str">
        <x:v>À équilibrer</x:v>
      </x:c>
      <x:c r="J1474" s="115" t="str">
        <x:v>Non</x:v>
      </x:c>
      <x:c r="K1474" s="115" t="str">
        <x:v>Pièces décrites, murs, portes, niveaux et mobilier inspectables à l’échelle. Volumes réservés, raccord au seed, butin, rencontres et services de campagne restent à terminer.</x:v>
      </x:c>
    </x:row>
    <x:row r="1475" ht="96" customHeight="1">
      <x:c r="A1475" s="115" t="str">
        <x:v>EXT-MONDE-T030-V20</x:v>
      </x:c>
      <x:c r="B1475" s="115" t="str">
        <x:v>EXT-MONDE-T030</x:v>
      </x:c>
      <x:c r="C1475" s="115" t="str">
        <x:v>Ponts</x:v>
      </x:c>
      <x:c r="D1475" s="115" t="str">
        <x:v>Pont à arches</x:v>
      </x:c>
      <x:c r="E1475" s="115" t="n">
        <x:v>20</x:v>
      </x:c>
      <x:c r="F1475" s="115" t="str">
        <x:v>Inspection physique</x:v>
      </x:c>
      <x:c r="G1475" s="115" t="str">
        <x:v>1 niveaux ; 34 pièces ; 260 segments de mur ; 0 transitions. Inspection physique ; architecture complète encore ouverte.</x:v>
      </x:c>
      <x:c r="H1475" s="115" t="str">
        <x:v>L 760 ; l 1160 ; hauteur 12,36 m ; choix de composition auteur ; dimensions réelles à documenter</x:v>
      </x:c>
      <x:c r="I1475" s="115" t="str">
        <x:v>À équilibrer</x:v>
      </x:c>
      <x:c r="J1475" s="115" t="str">
        <x:v>Non</x:v>
      </x:c>
      <x:c r="K1475" s="115" t="str">
        <x:v>Pièces décrites, murs, portes, niveaux et mobilier inspectables à l’échelle. Volumes réservés, raccord au seed, butin, rencontres et services de campagne restent à terminer.</x:v>
      </x:c>
    </x:row>
    <x:row r="1476" ht="96" customHeight="1">
      <x:c r="A1476" s="115" t="str">
        <x:v>EXT-MONDE-T030-V21</x:v>
      </x:c>
      <x:c r="B1476" s="115" t="str">
        <x:v>EXT-MONDE-T030</x:v>
      </x:c>
      <x:c r="C1476" s="115" t="str">
        <x:v>Ponts</x:v>
      </x:c>
      <x:c r="D1476" s="115" t="str">
        <x:v>Pont à arches</x:v>
      </x:c>
      <x:c r="E1476" s="115" t="n">
        <x:v>21</x:v>
      </x:c>
      <x:c r="F1476" s="115" t="str">
        <x:v>Inspection physique</x:v>
      </x:c>
      <x:c r="G1476" s="115" t="str">
        <x:v>1 niveaux ; 34 pièces ; 260 segments de mur ; 0 transitions. Inspection physique ; architecture complète encore ouverte.</x:v>
      </x:c>
      <x:c r="H1476" s="115" t="str">
        <x:v>L 840 ; l 1320 ; hauteur 12 m ; choix de composition auteur ; dimensions réelles à documenter</x:v>
      </x:c>
      <x:c r="I1476" s="115" t="str">
        <x:v>À équilibrer</x:v>
      </x:c>
      <x:c r="J1476" s="115" t="str">
        <x:v>Non</x:v>
      </x:c>
      <x:c r="K1476" s="115" t="str">
        <x:v>Pièces décrites, murs, portes, niveaux et mobilier inspectables à l’échelle. Volumes réservés, raccord au seed, butin, rencontres et services de campagne restent à terminer.</x:v>
      </x:c>
    </x:row>
    <x:row r="1477" ht="96" customHeight="1">
      <x:c r="A1477" s="115" t="str">
        <x:v>EXT-MONDE-T030-V22</x:v>
      </x:c>
      <x:c r="B1477" s="115" t="str">
        <x:v>EXT-MONDE-T030</x:v>
      </x:c>
      <x:c r="C1477" s="115" t="str">
        <x:v>Ponts</x:v>
      </x:c>
      <x:c r="D1477" s="115" t="str">
        <x:v>Pont à arches</x:v>
      </x:c>
      <x:c r="E1477" s="115" t="n">
        <x:v>22</x:v>
      </x:c>
      <x:c r="F1477" s="115" t="str">
        <x:v>Inspection physique</x:v>
      </x:c>
      <x:c r="G1477" s="115" t="str">
        <x:v>1 niveaux ; 34 pièces ; 260 segments de mur ; 0 transitions. Inspection physique ; architecture complète encore ouverte.</x:v>
      </x:c>
      <x:c r="H1477" s="115" t="str">
        <x:v>L 840 ; l 1320 ; hauteur 12,04 m ; choix de composition auteur ; dimensions réelles à documenter</x:v>
      </x:c>
      <x:c r="I1477" s="115" t="str">
        <x:v>À équilibrer</x:v>
      </x:c>
      <x:c r="J1477" s="115" t="str">
        <x:v>Non</x:v>
      </x:c>
      <x:c r="K1477" s="115" t="str">
        <x:v>Pièces décrites, murs, portes, niveaux et mobilier inspectables à l’échelle. Volumes réservés, raccord au seed, butin, rencontres et services de campagne restent à terminer.</x:v>
      </x:c>
    </x:row>
    <x:row r="1478" ht="96" customHeight="1">
      <x:c r="A1478" s="115" t="str">
        <x:v>EXT-MONDE-T030-V23</x:v>
      </x:c>
      <x:c r="B1478" s="115" t="str">
        <x:v>EXT-MONDE-T030</x:v>
      </x:c>
      <x:c r="C1478" s="115" t="str">
        <x:v>Ponts</x:v>
      </x:c>
      <x:c r="D1478" s="115" t="str">
        <x:v>Pont à arches</x:v>
      </x:c>
      <x:c r="E1478" s="115" t="n">
        <x:v>23</x:v>
      </x:c>
      <x:c r="F1478" s="115" t="str">
        <x:v>Inspection physique</x:v>
      </x:c>
      <x:c r="G1478" s="115" t="str">
        <x:v>1 niveaux ; 34 pièces ; 260 segments de mur ; 0 transitions. Inspection physique ; architecture complète encore ouverte.</x:v>
      </x:c>
      <x:c r="H1478" s="115" t="str">
        <x:v>L 840 ; l 1320 ; hauteur 12,08 m ; choix de composition auteur ; dimensions réelles à documenter</x:v>
      </x:c>
      <x:c r="I1478" s="115" t="str">
        <x:v>À équilibrer</x:v>
      </x:c>
      <x:c r="J1478" s="115" t="str">
        <x:v>Non</x:v>
      </x:c>
      <x:c r="K1478" s="115" t="str">
        <x:v>Pièces décrites, murs, portes, niveaux et mobilier inspectables à l’échelle. Volumes réservés, raccord au seed, butin, rencontres et services de campagne restent à terminer.</x:v>
      </x:c>
    </x:row>
    <x:row r="1479" ht="96" customHeight="1">
      <x:c r="A1479" s="115" t="str">
        <x:v>EXT-MONDE-T030-V24</x:v>
      </x:c>
      <x:c r="B1479" s="115" t="str">
        <x:v>EXT-MONDE-T030</x:v>
      </x:c>
      <x:c r="C1479" s="115" t="str">
        <x:v>Ponts</x:v>
      </x:c>
      <x:c r="D1479" s="115" t="str">
        <x:v>Pont à arches</x:v>
      </x:c>
      <x:c r="E1479" s="115" t="n">
        <x:v>24</x:v>
      </x:c>
      <x:c r="F1479" s="115" t="str">
        <x:v>Inspection physique</x:v>
      </x:c>
      <x:c r="G1479" s="115" t="str">
        <x:v>1 niveaux ; 34 pièces ; 260 segments de mur ; 0 transitions. Inspection physique ; architecture complète encore ouverte.</x:v>
      </x:c>
      <x:c r="H1479" s="115" t="str">
        <x:v>L 840 ; l 1320 ; hauteur 12,12 m ; choix de composition auteur ; dimensions réelles à documenter</x:v>
      </x:c>
      <x:c r="I1479" s="115" t="str">
        <x:v>À équilibrer</x:v>
      </x:c>
      <x:c r="J1479" s="115" t="str">
        <x:v>Non</x:v>
      </x:c>
      <x:c r="K1479" s="115" t="str">
        <x:v>Pièces décrites, murs, portes, niveaux et mobilier inspectables à l’échelle. Volumes réservés, raccord au seed, butin, rencontres et services de campagne restent à terminer.</x:v>
      </x:c>
    </x:row>
    <x:row r="1480" ht="96" customHeight="1">
      <x:c r="A1480" s="115" t="str">
        <x:v>EXT-MONDE-T030-V25</x:v>
      </x:c>
      <x:c r="B1480" s="115" t="str">
        <x:v>EXT-MONDE-T030</x:v>
      </x:c>
      <x:c r="C1480" s="115" t="str">
        <x:v>Ponts</x:v>
      </x:c>
      <x:c r="D1480" s="115" t="str">
        <x:v>Pont à arches</x:v>
      </x:c>
      <x:c r="E1480" s="115" t="n">
        <x:v>25</x:v>
      </x:c>
      <x:c r="F1480" s="115" t="str">
        <x:v>Inspection physique</x:v>
      </x:c>
      <x:c r="G1480" s="115" t="str">
        <x:v>1 niveaux ; 34 pièces ; 260 segments de mur ; 0 transitions. Inspection physique ; architecture complète encore ouverte.</x:v>
      </x:c>
      <x:c r="H1480" s="115" t="str">
        <x:v>L 840 ; l 1320 ; hauteur 12,16 m ; choix de composition auteur ; dimensions réelles à documenter</x:v>
      </x:c>
      <x:c r="I1480" s="115" t="str">
        <x:v>À équilibrer</x:v>
      </x:c>
      <x:c r="J1480" s="115" t="str">
        <x:v>Non</x:v>
      </x:c>
      <x:c r="K1480" s="115" t="str">
        <x:v>Pièces décrites, murs, portes, niveaux et mobilier inspectables à l’échelle. Volumes réservés, raccord au seed, butin, rencontres et services de campagne restent à terminer.</x:v>
      </x:c>
    </x:row>
    <x:row r="1481" ht="96" customHeight="1">
      <x:c r="A1481" s="115" t="str">
        <x:v>EXT-MONDE-T030-V26</x:v>
      </x:c>
      <x:c r="B1481" s="115" t="str">
        <x:v>EXT-MONDE-T030</x:v>
      </x:c>
      <x:c r="C1481" s="115" t="str">
        <x:v>Ponts</x:v>
      </x:c>
      <x:c r="D1481" s="115" t="str">
        <x:v>Pont à arches</x:v>
      </x:c>
      <x:c r="E1481" s="115" t="n">
        <x:v>26</x:v>
      </x:c>
      <x:c r="F1481" s="115" t="str">
        <x:v>Inspection physique</x:v>
      </x:c>
      <x:c r="G1481" s="115" t="str">
        <x:v>1 niveaux ; 34 pièces ; 260 segments de mur ; 0 transitions. Inspection physique ; architecture complète encore ouverte.</x:v>
      </x:c>
      <x:c r="H1481" s="115" t="str">
        <x:v>L 840 ; l 1320 ; hauteur 12,2 m ; choix de composition auteur ; dimensions réelles à documenter</x:v>
      </x:c>
      <x:c r="I1481" s="115" t="str">
        <x:v>À équilibrer</x:v>
      </x:c>
      <x:c r="J1481" s="115" t="str">
        <x:v>Non</x:v>
      </x:c>
      <x:c r="K1481" s="115" t="str">
        <x:v>Pièces décrites, murs, portes, niveaux et mobilier inspectables à l’échelle. Volumes réservés, raccord au seed, butin, rencontres et services de campagne restent à terminer.</x:v>
      </x:c>
    </x:row>
    <x:row r="1482" ht="96" customHeight="1">
      <x:c r="A1482" s="115" t="str">
        <x:v>EXT-MONDE-T030-V27</x:v>
      </x:c>
      <x:c r="B1482" s="115" t="str">
        <x:v>EXT-MONDE-T030</x:v>
      </x:c>
      <x:c r="C1482" s="115" t="str">
        <x:v>Ponts</x:v>
      </x:c>
      <x:c r="D1482" s="115" t="str">
        <x:v>Pont à arches</x:v>
      </x:c>
      <x:c r="E1482" s="115" t="n">
        <x:v>27</x:v>
      </x:c>
      <x:c r="F1482" s="115" t="str">
        <x:v>Inspection physique</x:v>
      </x:c>
      <x:c r="G1482" s="115" t="str">
        <x:v>1 niveaux ; 34 pièces ; 260 segments de mur ; 0 transitions. Inspection physique ; architecture complète encore ouverte.</x:v>
      </x:c>
      <x:c r="H1482" s="115" t="str">
        <x:v>L 840 ; l 1320 ; hauteur 12,24 m ; choix de composition auteur ; dimensions réelles à documenter</x:v>
      </x:c>
      <x:c r="I1482" s="115" t="str">
        <x:v>À équilibrer</x:v>
      </x:c>
      <x:c r="J1482" s="115" t="str">
        <x:v>Non</x:v>
      </x:c>
      <x:c r="K1482" s="115" t="str">
        <x:v>Pièces décrites, murs, portes, niveaux et mobilier inspectables à l’échelle. Volumes réservés, raccord au seed, butin, rencontres et services de campagne restent à terminer.</x:v>
      </x:c>
    </x:row>
    <x:row r="1483" ht="96" customHeight="1">
      <x:c r="A1483" s="115" t="str">
        <x:v>EXT-MONDE-T030-V28</x:v>
      </x:c>
      <x:c r="B1483" s="115" t="str">
        <x:v>EXT-MONDE-T030</x:v>
      </x:c>
      <x:c r="C1483" s="115" t="str">
        <x:v>Ponts</x:v>
      </x:c>
      <x:c r="D1483" s="115" t="str">
        <x:v>Pont à arches</x:v>
      </x:c>
      <x:c r="E1483" s="115" t="n">
        <x:v>28</x:v>
      </x:c>
      <x:c r="F1483" s="115" t="str">
        <x:v>Inspection physique</x:v>
      </x:c>
      <x:c r="G1483" s="115" t="str">
        <x:v>1 niveaux ; 34 pièces ; 260 segments de mur ; 0 transitions. Inspection physique ; architecture complète encore ouverte.</x:v>
      </x:c>
      <x:c r="H1483" s="115" t="str">
        <x:v>L 840 ; l 1320 ; hauteur 12,28 m ; choix de composition auteur ; dimensions réelles à documenter</x:v>
      </x:c>
      <x:c r="I1483" s="115" t="str">
        <x:v>À équilibrer</x:v>
      </x:c>
      <x:c r="J1483" s="115" t="str">
        <x:v>Non</x:v>
      </x:c>
      <x:c r="K1483" s="115" t="str">
        <x:v>Pièces décrites, murs, portes, niveaux et mobilier inspectables à l’échelle. Volumes réservés, raccord au seed, butin, rencontres et services de campagne restent à terminer.</x:v>
      </x:c>
    </x:row>
    <x:row r="1484" ht="96" customHeight="1">
      <x:c r="A1484" s="115" t="str">
        <x:v>EXT-MONDE-T030-V29</x:v>
      </x:c>
      <x:c r="B1484" s="115" t="str">
        <x:v>EXT-MONDE-T030</x:v>
      </x:c>
      <x:c r="C1484" s="115" t="str">
        <x:v>Ponts</x:v>
      </x:c>
      <x:c r="D1484" s="115" t="str">
        <x:v>Pont à arches</x:v>
      </x:c>
      <x:c r="E1484" s="115" t="n">
        <x:v>29</x:v>
      </x:c>
      <x:c r="F1484" s="115" t="str">
        <x:v>Inspection physique</x:v>
      </x:c>
      <x:c r="G1484" s="115" t="str">
        <x:v>1 niveaux ; 34 pièces ; 260 segments de mur ; 0 transitions. Inspection physique ; architecture complète encore ouverte.</x:v>
      </x:c>
      <x:c r="H1484" s="115" t="str">
        <x:v>L 840 ; l 1320 ; hauteur 12,32 m ; choix de composition auteur ; dimensions réelles à documenter</x:v>
      </x:c>
      <x:c r="I1484" s="115" t="str">
        <x:v>À équilibrer</x:v>
      </x:c>
      <x:c r="J1484" s="115" t="str">
        <x:v>Non</x:v>
      </x:c>
      <x:c r="K1484" s="115" t="str">
        <x:v>Pièces décrites, murs, portes, niveaux et mobilier inspectables à l’échelle. Volumes réservés, raccord au seed, butin, rencontres et services de campagne restent à terminer.</x:v>
      </x:c>
    </x:row>
    <x:row r="1485" ht="96" customHeight="1">
      <x:c r="A1485" s="115" t="str">
        <x:v>EXT-MONDE-T030-V30</x:v>
      </x:c>
      <x:c r="B1485" s="115" t="str">
        <x:v>EXT-MONDE-T030</x:v>
      </x:c>
      <x:c r="C1485" s="115" t="str">
        <x:v>Ponts</x:v>
      </x:c>
      <x:c r="D1485" s="115" t="str">
        <x:v>Pont à arches</x:v>
      </x:c>
      <x:c r="E1485" s="115" t="n">
        <x:v>30</x:v>
      </x:c>
      <x:c r="F1485" s="115" t="str">
        <x:v>Inspection physique</x:v>
      </x:c>
      <x:c r="G1485" s="115" t="str">
        <x:v>1 niveaux ; 34 pièces ; 260 segments de mur ; 0 transitions. Inspection physique ; architecture complète encore ouverte.</x:v>
      </x:c>
      <x:c r="H1485" s="115" t="str">
        <x:v>L 840 ; l 1320 ; hauteur 12,36 m ; choix de composition auteur ; dimensions réelles à documenter</x:v>
      </x:c>
      <x:c r="I1485" s="115" t="str">
        <x:v>À équilibrer</x:v>
      </x:c>
      <x:c r="J1485" s="115" t="str">
        <x:v>Non</x:v>
      </x:c>
      <x:c r="K1485" s="115" t="str">
        <x:v>Pièces décrites, murs, portes, niveaux et mobilier inspectables à l’échelle. Volumes réservés, raccord au seed, butin, rencontres et services de campagne restent à terminer.</x:v>
      </x:c>
    </x:row>
    <x:row r="1486" ht="96" customHeight="1">
      <x:c r="A1486" s="115" t="str">
        <x:v>EXT-MONDE-T030-V31</x:v>
      </x:c>
      <x:c r="B1486" s="115" t="str">
        <x:v>EXT-MONDE-T030</x:v>
      </x:c>
      <x:c r="C1486" s="115" t="str">
        <x:v>Ponts</x:v>
      </x:c>
      <x:c r="D1486" s="115" t="str">
        <x:v>Pont à arches</x:v>
      </x:c>
      <x:c r="E1486" s="115" t="n">
        <x:v>31</x:v>
      </x:c>
      <x:c r="F1486" s="115" t="str">
        <x:v>Inspection physique</x:v>
      </x:c>
      <x:c r="G1486" s="115" t="str">
        <x:v>1 niveaux ; 34 pièces ; 260 segments de mur ; 0 transitions. Inspection physique ; architecture complète encore ouverte.</x:v>
      </x:c>
      <x:c r="H1486" s="115" t="str">
        <x:v>L 920 ; l 1480 ; hauteur 12 m ; choix de composition auteur ; dimensions réelles à documenter</x:v>
      </x:c>
      <x:c r="I1486" s="115" t="str">
        <x:v>À équilibrer</x:v>
      </x:c>
      <x:c r="J1486" s="115" t="str">
        <x:v>Non</x:v>
      </x:c>
      <x:c r="K1486" s="115" t="str">
        <x:v>Pièces décrites, murs, portes, niveaux et mobilier inspectables à l’échelle. Volumes réservés, raccord au seed, butin, rencontres et services de campagne restent à terminer.</x:v>
      </x:c>
    </x:row>
    <x:row r="1487" ht="96" customHeight="1">
      <x:c r="A1487" s="115" t="str">
        <x:v>EXT-MONDE-T030-V32</x:v>
      </x:c>
      <x:c r="B1487" s="115" t="str">
        <x:v>EXT-MONDE-T030</x:v>
      </x:c>
      <x:c r="C1487" s="115" t="str">
        <x:v>Ponts</x:v>
      </x:c>
      <x:c r="D1487" s="115" t="str">
        <x:v>Pont à arches</x:v>
      </x:c>
      <x:c r="E1487" s="115" t="n">
        <x:v>32</x:v>
      </x:c>
      <x:c r="F1487" s="115" t="str">
        <x:v>Inspection physique</x:v>
      </x:c>
      <x:c r="G1487" s="115" t="str">
        <x:v>1 niveaux ; 34 pièces ; 260 segments de mur ; 0 transitions. Inspection physique ; architecture complète encore ouverte.</x:v>
      </x:c>
      <x:c r="H1487" s="115" t="str">
        <x:v>L 920 ; l 1480 ; hauteur 12,04 m ; choix de composition auteur ; dimensions réelles à documenter</x:v>
      </x:c>
      <x:c r="I1487" s="115" t="str">
        <x:v>À équilibrer</x:v>
      </x:c>
      <x:c r="J1487" s="115" t="str">
        <x:v>Non</x:v>
      </x:c>
      <x:c r="K1487" s="115" t="str">
        <x:v>Pièces décrites, murs, portes, niveaux et mobilier inspectables à l’échelle. Volumes réservés, raccord au seed, butin, rencontres et services de campagne restent à terminer.</x:v>
      </x:c>
    </x:row>
    <x:row r="1488" ht="96" customHeight="1">
      <x:c r="A1488" s="115" t="str">
        <x:v>EXT-MONDE-T030-V33</x:v>
      </x:c>
      <x:c r="B1488" s="115" t="str">
        <x:v>EXT-MONDE-T030</x:v>
      </x:c>
      <x:c r="C1488" s="115" t="str">
        <x:v>Ponts</x:v>
      </x:c>
      <x:c r="D1488" s="115" t="str">
        <x:v>Pont à arches</x:v>
      </x:c>
      <x:c r="E1488" s="115" t="n">
        <x:v>33</x:v>
      </x:c>
      <x:c r="F1488" s="115" t="str">
        <x:v>Inspection physique</x:v>
      </x:c>
      <x:c r="G1488" s="115" t="str">
        <x:v>1 niveaux ; 34 pièces ; 260 segments de mur ; 0 transitions. Inspection physique ; architecture complète encore ouverte.</x:v>
      </x:c>
      <x:c r="H1488" s="115" t="str">
        <x:v>L 920 ; l 1480 ; hauteur 12,08 m ; choix de composition auteur ; dimensions réelles à documenter</x:v>
      </x:c>
      <x:c r="I1488" s="115" t="str">
        <x:v>À équilibrer</x:v>
      </x:c>
      <x:c r="J1488" s="115" t="str">
        <x:v>Non</x:v>
      </x:c>
      <x:c r="K1488" s="115" t="str">
        <x:v>Pièces décrites, murs, portes, niveaux et mobilier inspectables à l’échelle. Volumes réservés, raccord au seed, butin, rencontres et services de campagne restent à terminer.</x:v>
      </x:c>
    </x:row>
    <x:row r="1489" ht="96" customHeight="1">
      <x:c r="A1489" s="115" t="str">
        <x:v>EXT-MONDE-T030-V34</x:v>
      </x:c>
      <x:c r="B1489" s="115" t="str">
        <x:v>EXT-MONDE-T030</x:v>
      </x:c>
      <x:c r="C1489" s="115" t="str">
        <x:v>Ponts</x:v>
      </x:c>
      <x:c r="D1489" s="115" t="str">
        <x:v>Pont à arches</x:v>
      </x:c>
      <x:c r="E1489" s="115" t="n">
        <x:v>34</x:v>
      </x:c>
      <x:c r="F1489" s="115" t="str">
        <x:v>Inspection physique</x:v>
      </x:c>
      <x:c r="G1489" s="115" t="str">
        <x:v>1 niveaux ; 34 pièces ; 260 segments de mur ; 0 transitions. Inspection physique ; architecture complète encore ouverte.</x:v>
      </x:c>
      <x:c r="H1489" s="115" t="str">
        <x:v>L 920 ; l 1480 ; hauteur 12,12 m ; choix de composition auteur ; dimensions réelles à documenter</x:v>
      </x:c>
      <x:c r="I1489" s="115" t="str">
        <x:v>À équilibrer</x:v>
      </x:c>
      <x:c r="J1489" s="115" t="str">
        <x:v>Non</x:v>
      </x:c>
      <x:c r="K1489" s="115" t="str">
        <x:v>Pièces décrites, murs, portes, niveaux et mobilier inspectables à l’échelle. Volumes réservés, raccord au seed, butin, rencontres et services de campagne restent à terminer.</x:v>
      </x:c>
    </x:row>
    <x:row r="1490" ht="96" customHeight="1">
      <x:c r="A1490" s="115" t="str">
        <x:v>EXT-MONDE-T030-V35</x:v>
      </x:c>
      <x:c r="B1490" s="115" t="str">
        <x:v>EXT-MONDE-T030</x:v>
      </x:c>
      <x:c r="C1490" s="115" t="str">
        <x:v>Ponts</x:v>
      </x:c>
      <x:c r="D1490" s="115" t="str">
        <x:v>Pont à arches</x:v>
      </x:c>
      <x:c r="E1490" s="115" t="n">
        <x:v>35</x:v>
      </x:c>
      <x:c r="F1490" s="115" t="str">
        <x:v>Inspection physique</x:v>
      </x:c>
      <x:c r="G1490" s="115" t="str">
        <x:v>1 niveaux ; 34 pièces ; 260 segments de mur ; 0 transitions. Inspection physique ; architecture complète encore ouverte.</x:v>
      </x:c>
      <x:c r="H1490" s="115" t="str">
        <x:v>L 920 ; l 1480 ; hauteur 12,16 m ; choix de composition auteur ; dimensions réelles à documenter</x:v>
      </x:c>
      <x:c r="I1490" s="115" t="str">
        <x:v>À équilibrer</x:v>
      </x:c>
      <x:c r="J1490" s="115" t="str">
        <x:v>Non</x:v>
      </x:c>
      <x:c r="K1490" s="115" t="str">
        <x:v>Pièces décrites, murs, portes, niveaux et mobilier inspectables à l’échelle. Volumes réservés, raccord au seed, butin, rencontres et services de campagne restent à terminer.</x:v>
      </x:c>
    </x:row>
    <x:row r="1491" ht="96" customHeight="1">
      <x:c r="A1491" s="115" t="str">
        <x:v>EXT-MONDE-T030-V36</x:v>
      </x:c>
      <x:c r="B1491" s="115" t="str">
        <x:v>EXT-MONDE-T030</x:v>
      </x:c>
      <x:c r="C1491" s="115" t="str">
        <x:v>Ponts</x:v>
      </x:c>
      <x:c r="D1491" s="115" t="str">
        <x:v>Pont à arches</x:v>
      </x:c>
      <x:c r="E1491" s="115" t="n">
        <x:v>36</x:v>
      </x:c>
      <x:c r="F1491" s="115" t="str">
        <x:v>Inspection physique</x:v>
      </x:c>
      <x:c r="G1491" s="115" t="str">
        <x:v>1 niveaux ; 34 pièces ; 260 segments de mur ; 0 transitions. Inspection physique ; architecture complète encore ouverte.</x:v>
      </x:c>
      <x:c r="H1491" s="115" t="str">
        <x:v>L 920 ; l 1480 ; hauteur 12,2 m ; choix de composition auteur ; dimensions réelles à documenter</x:v>
      </x:c>
      <x:c r="I1491" s="115" t="str">
        <x:v>À équilibrer</x:v>
      </x:c>
      <x:c r="J1491" s="115" t="str">
        <x:v>Non</x:v>
      </x:c>
      <x:c r="K1491" s="115" t="str">
        <x:v>Pièces décrites, murs, portes, niveaux et mobilier inspectables à l’échelle. Volumes réservés, raccord au seed, butin, rencontres et services de campagne restent à terminer.</x:v>
      </x:c>
    </x:row>
    <x:row r="1492" ht="96" customHeight="1">
      <x:c r="A1492" s="115" t="str">
        <x:v>EXT-MONDE-T030-V37</x:v>
      </x:c>
      <x:c r="B1492" s="115" t="str">
        <x:v>EXT-MONDE-T030</x:v>
      </x:c>
      <x:c r="C1492" s="115" t="str">
        <x:v>Ponts</x:v>
      </x:c>
      <x:c r="D1492" s="115" t="str">
        <x:v>Pont à arches</x:v>
      </x:c>
      <x:c r="E1492" s="115" t="n">
        <x:v>37</x:v>
      </x:c>
      <x:c r="F1492" s="115" t="str">
        <x:v>Inspection physique</x:v>
      </x:c>
      <x:c r="G1492" s="115" t="str">
        <x:v>1 niveaux ; 34 pièces ; 260 segments de mur ; 0 transitions. Inspection physique ; architecture complète encore ouverte.</x:v>
      </x:c>
      <x:c r="H1492" s="115" t="str">
        <x:v>L 920 ; l 1480 ; hauteur 12,24 m ; choix de composition auteur ; dimensions réelles à documenter</x:v>
      </x:c>
      <x:c r="I1492" s="115" t="str">
        <x:v>À équilibrer</x:v>
      </x:c>
      <x:c r="J1492" s="115" t="str">
        <x:v>Non</x:v>
      </x:c>
      <x:c r="K1492" s="115" t="str">
        <x:v>Pièces décrites, murs, portes, niveaux et mobilier inspectables à l’échelle. Volumes réservés, raccord au seed, butin, rencontres et services de campagne restent à terminer.</x:v>
      </x:c>
    </x:row>
    <x:row r="1493" ht="96" customHeight="1">
      <x:c r="A1493" s="115" t="str">
        <x:v>EXT-MONDE-T030-V38</x:v>
      </x:c>
      <x:c r="B1493" s="115" t="str">
        <x:v>EXT-MONDE-T030</x:v>
      </x:c>
      <x:c r="C1493" s="115" t="str">
        <x:v>Ponts</x:v>
      </x:c>
      <x:c r="D1493" s="115" t="str">
        <x:v>Pont à arches</x:v>
      </x:c>
      <x:c r="E1493" s="115" t="n">
        <x:v>38</x:v>
      </x:c>
      <x:c r="F1493" s="115" t="str">
        <x:v>Inspection physique</x:v>
      </x:c>
      <x:c r="G1493" s="115" t="str">
        <x:v>1 niveaux ; 34 pièces ; 260 segments de mur ; 0 transitions. Inspection physique ; architecture complète encore ouverte.</x:v>
      </x:c>
      <x:c r="H1493" s="115" t="str">
        <x:v>L 920 ; l 1480 ; hauteur 12,28 m ; choix de composition auteur ; dimensions réelles à documenter</x:v>
      </x:c>
      <x:c r="I1493" s="115" t="str">
        <x:v>À équilibrer</x:v>
      </x:c>
      <x:c r="J1493" s="115" t="str">
        <x:v>Non</x:v>
      </x:c>
      <x:c r="K1493" s="115" t="str">
        <x:v>Pièces décrites, murs, portes, niveaux et mobilier inspectables à l’échelle. Volumes réservés, raccord au seed, butin, rencontres et services de campagne restent à terminer.</x:v>
      </x:c>
    </x:row>
    <x:row r="1494" ht="96" customHeight="1">
      <x:c r="A1494" s="115" t="str">
        <x:v>EXT-MONDE-T030-V39</x:v>
      </x:c>
      <x:c r="B1494" s="115" t="str">
        <x:v>EXT-MONDE-T030</x:v>
      </x:c>
      <x:c r="C1494" s="115" t="str">
        <x:v>Ponts</x:v>
      </x:c>
      <x:c r="D1494" s="115" t="str">
        <x:v>Pont à arches</x:v>
      </x:c>
      <x:c r="E1494" s="115" t="n">
        <x:v>39</x:v>
      </x:c>
      <x:c r="F1494" s="115" t="str">
        <x:v>Inspection physique</x:v>
      </x:c>
      <x:c r="G1494" s="115" t="str">
        <x:v>1 niveaux ; 34 pièces ; 260 segments de mur ; 0 transitions. Inspection physique ; architecture complète encore ouverte.</x:v>
      </x:c>
      <x:c r="H1494" s="115" t="str">
        <x:v>L 920 ; l 1480 ; hauteur 12,32 m ; choix de composition auteur ; dimensions réelles à documenter</x:v>
      </x:c>
      <x:c r="I1494" s="115" t="str">
        <x:v>À équilibrer</x:v>
      </x:c>
      <x:c r="J1494" s="115" t="str">
        <x:v>Non</x:v>
      </x:c>
      <x:c r="K1494" s="115" t="str">
        <x:v>Pièces décrites, murs, portes, niveaux et mobilier inspectables à l’échelle. Volumes réservés, raccord au seed, butin, rencontres et services de campagne restent à terminer.</x:v>
      </x:c>
    </x:row>
    <x:row r="1495" ht="96" customHeight="1">
      <x:c r="A1495" s="115" t="str">
        <x:v>EXT-MONDE-T030-V40</x:v>
      </x:c>
      <x:c r="B1495" s="115" t="str">
        <x:v>EXT-MONDE-T030</x:v>
      </x:c>
      <x:c r="C1495" s="115" t="str">
        <x:v>Ponts</x:v>
      </x:c>
      <x:c r="D1495" s="115" t="str">
        <x:v>Pont à arches</x:v>
      </x:c>
      <x:c r="E1495" s="115" t="n">
        <x:v>40</x:v>
      </x:c>
      <x:c r="F1495" s="115" t="str">
        <x:v>Inspection physique</x:v>
      </x:c>
      <x:c r="G1495" s="115" t="str">
        <x:v>1 niveaux ; 34 pièces ; 260 segments de mur ; 0 transitions. Inspection physique ; architecture complète encore ouverte.</x:v>
      </x:c>
      <x:c r="H1495" s="115" t="str">
        <x:v>L 920 ; l 1480 ; hauteur 12,36 m ; choix de composition auteur ; dimensions réelles à documenter</x:v>
      </x:c>
      <x:c r="I1495" s="115" t="str">
        <x:v>À équilibrer</x:v>
      </x:c>
      <x:c r="J1495" s="115" t="str">
        <x:v>Non</x:v>
      </x:c>
      <x:c r="K1495" s="115" t="str">
        <x:v>Pièces décrites, murs, portes, niveaux et mobilier inspectables à l’échelle. Volumes réservés, raccord au seed, butin, rencontres et services de campagne restent à terminer.</x:v>
      </x:c>
    </x:row>
    <x:row r="1496" ht="96" customHeight="1">
      <x:c r="A1496" s="115" t="str">
        <x:v>EXT-MONDE-T030-V41</x:v>
      </x:c>
      <x:c r="B1496" s="115" t="str">
        <x:v>EXT-MONDE-T030</x:v>
      </x:c>
      <x:c r="C1496" s="115" t="str">
        <x:v>Ponts</x:v>
      </x:c>
      <x:c r="D1496" s="115" t="str">
        <x:v>Pont à arches</x:v>
      </x:c>
      <x:c r="E1496" s="115" t="n">
        <x:v>41</x:v>
      </x:c>
      <x:c r="F1496" s="115" t="str">
        <x:v>Inspection physique</x:v>
      </x:c>
      <x:c r="G1496" s="115" t="str">
        <x:v>1 niveaux ; 34 pièces ; 260 segments de mur ; 0 transitions. Inspection physique ; architecture complète encore ouverte.</x:v>
      </x:c>
      <x:c r="H1496" s="115" t="str">
        <x:v>L 1000 ; l 1640 ; hauteur 12 m ; choix de composition auteur ; dimensions réelles à documenter</x:v>
      </x:c>
      <x:c r="I1496" s="115" t="str">
        <x:v>À équilibrer</x:v>
      </x:c>
      <x:c r="J1496" s="115" t="str">
        <x:v>Non</x:v>
      </x:c>
      <x:c r="K1496" s="115" t="str">
        <x:v>Pièces décrites, murs, portes, niveaux et mobilier inspectables à l’échelle. Volumes réservés, raccord au seed, butin, rencontres et services de campagne restent à terminer.</x:v>
      </x:c>
    </x:row>
    <x:row r="1497" ht="96" customHeight="1">
      <x:c r="A1497" s="115" t="str">
        <x:v>EXT-MONDE-T030-V42</x:v>
      </x:c>
      <x:c r="B1497" s="115" t="str">
        <x:v>EXT-MONDE-T030</x:v>
      </x:c>
      <x:c r="C1497" s="115" t="str">
        <x:v>Ponts</x:v>
      </x:c>
      <x:c r="D1497" s="115" t="str">
        <x:v>Pont à arches</x:v>
      </x:c>
      <x:c r="E1497" s="115" t="n">
        <x:v>42</x:v>
      </x:c>
      <x:c r="F1497" s="115" t="str">
        <x:v>Inspection physique</x:v>
      </x:c>
      <x:c r="G1497" s="115" t="str">
        <x:v>1 niveaux ; 34 pièces ; 260 segments de mur ; 0 transitions. Inspection physique ; architecture complète encore ouverte.</x:v>
      </x:c>
      <x:c r="H1497" s="115" t="str">
        <x:v>L 1000 ; l 1640 ; hauteur 12,04 m ; choix de composition auteur ; dimensions réelles à documenter</x:v>
      </x:c>
      <x:c r="I1497" s="115" t="str">
        <x:v>À équilibrer</x:v>
      </x:c>
      <x:c r="J1497" s="115" t="str">
        <x:v>Non</x:v>
      </x:c>
      <x:c r="K1497" s="115" t="str">
        <x:v>Pièces décrites, murs, portes, niveaux et mobilier inspectables à l’échelle. Volumes réservés, raccord au seed, butin, rencontres et services de campagne restent à terminer.</x:v>
      </x:c>
    </x:row>
    <x:row r="1498" ht="96" customHeight="1">
      <x:c r="A1498" s="115" t="str">
        <x:v>EXT-MONDE-T030-V43</x:v>
      </x:c>
      <x:c r="B1498" s="115" t="str">
        <x:v>EXT-MONDE-T030</x:v>
      </x:c>
      <x:c r="C1498" s="115" t="str">
        <x:v>Ponts</x:v>
      </x:c>
      <x:c r="D1498" s="115" t="str">
        <x:v>Pont à arches</x:v>
      </x:c>
      <x:c r="E1498" s="115" t="n">
        <x:v>43</x:v>
      </x:c>
      <x:c r="F1498" s="115" t="str">
        <x:v>Inspection physique</x:v>
      </x:c>
      <x:c r="G1498" s="115" t="str">
        <x:v>1 niveaux ; 34 pièces ; 260 segments de mur ; 0 transitions. Inspection physique ; architecture complète encore ouverte.</x:v>
      </x:c>
      <x:c r="H1498" s="115" t="str">
        <x:v>L 1000 ; l 1640 ; hauteur 12,08 m ; choix de composition auteur ; dimensions réelles à documenter</x:v>
      </x:c>
      <x:c r="I1498" s="115" t="str">
        <x:v>À équilibrer</x:v>
      </x:c>
      <x:c r="J1498" s="115" t="str">
        <x:v>Non</x:v>
      </x:c>
      <x:c r="K1498" s="115" t="str">
        <x:v>Pièces décrites, murs, portes, niveaux et mobilier inspectables à l’échelle. Volumes réservés, raccord au seed, butin, rencontres et services de campagne restent à terminer.</x:v>
      </x:c>
    </x:row>
    <x:row r="1499" ht="96" customHeight="1">
      <x:c r="A1499" s="115" t="str">
        <x:v>EXT-MONDE-T030-V44</x:v>
      </x:c>
      <x:c r="B1499" s="115" t="str">
        <x:v>EXT-MONDE-T030</x:v>
      </x:c>
      <x:c r="C1499" s="115" t="str">
        <x:v>Ponts</x:v>
      </x:c>
      <x:c r="D1499" s="115" t="str">
        <x:v>Pont à arches</x:v>
      </x:c>
      <x:c r="E1499" s="115" t="n">
        <x:v>44</x:v>
      </x:c>
      <x:c r="F1499" s="115" t="str">
        <x:v>Inspection physique</x:v>
      </x:c>
      <x:c r="G1499" s="115" t="str">
        <x:v>1 niveaux ; 34 pièces ; 260 segments de mur ; 0 transitions. Inspection physique ; architecture complète encore ouverte.</x:v>
      </x:c>
      <x:c r="H1499" s="115" t="str">
        <x:v>L 1000 ; l 1640 ; hauteur 12,12 m ; choix de composition auteur ; dimensions réelles à documenter</x:v>
      </x:c>
      <x:c r="I1499" s="115" t="str">
        <x:v>À équilibrer</x:v>
      </x:c>
      <x:c r="J1499" s="115" t="str">
        <x:v>Non</x:v>
      </x:c>
      <x:c r="K1499" s="115" t="str">
        <x:v>Pièces décrites, murs, portes, niveaux et mobilier inspectables à l’échelle. Volumes réservés, raccord au seed, butin, rencontres et services de campagne restent à terminer.</x:v>
      </x:c>
    </x:row>
    <x:row r="1500" ht="96" customHeight="1">
      <x:c r="A1500" s="115" t="str">
        <x:v>EXT-MONDE-T030-V45</x:v>
      </x:c>
      <x:c r="B1500" s="115" t="str">
        <x:v>EXT-MONDE-T030</x:v>
      </x:c>
      <x:c r="C1500" s="115" t="str">
        <x:v>Ponts</x:v>
      </x:c>
      <x:c r="D1500" s="115" t="str">
        <x:v>Pont à arches</x:v>
      </x:c>
      <x:c r="E1500" s="115" t="n">
        <x:v>45</x:v>
      </x:c>
      <x:c r="F1500" s="115" t="str">
        <x:v>Inspection physique</x:v>
      </x:c>
      <x:c r="G1500" s="115" t="str">
        <x:v>1 niveaux ; 34 pièces ; 260 segments de mur ; 0 transitions. Inspection physique ; architecture complète encore ouverte.</x:v>
      </x:c>
      <x:c r="H1500" s="115" t="str">
        <x:v>L 1000 ; l 1640 ; hauteur 12,16 m ; choix de composition auteur ; dimensions réelles à documenter</x:v>
      </x:c>
      <x:c r="I1500" s="115" t="str">
        <x:v>À équilibrer</x:v>
      </x:c>
      <x:c r="J1500" s="115" t="str">
        <x:v>Non</x:v>
      </x:c>
      <x:c r="K1500" s="115" t="str">
        <x:v>Pièces décrites, murs, portes, niveaux et mobilier inspectables à l’échelle. Volumes réservés, raccord au seed, butin, rencontres et services de campagne restent à terminer.</x:v>
      </x:c>
    </x:row>
    <x:row r="1501" ht="96" customHeight="1">
      <x:c r="A1501" s="115" t="str">
        <x:v>EXT-MONDE-T030-V46</x:v>
      </x:c>
      <x:c r="B1501" s="115" t="str">
        <x:v>EXT-MONDE-T030</x:v>
      </x:c>
      <x:c r="C1501" s="115" t="str">
        <x:v>Ponts</x:v>
      </x:c>
      <x:c r="D1501" s="115" t="str">
        <x:v>Pont à arches</x:v>
      </x:c>
      <x:c r="E1501" s="115" t="n">
        <x:v>46</x:v>
      </x:c>
      <x:c r="F1501" s="115" t="str">
        <x:v>Inspection physique</x:v>
      </x:c>
      <x:c r="G1501" s="115" t="str">
        <x:v>1 niveaux ; 34 pièces ; 260 segments de mur ; 0 transitions. Inspection physique ; architecture complète encore ouverte.</x:v>
      </x:c>
      <x:c r="H1501" s="115" t="str">
        <x:v>L 1000 ; l 1640 ; hauteur 12,2 m ; choix de composition auteur ; dimensions réelles à documenter</x:v>
      </x:c>
      <x:c r="I1501" s="115" t="str">
        <x:v>À équilibrer</x:v>
      </x:c>
      <x:c r="J1501" s="115" t="str">
        <x:v>Non</x:v>
      </x:c>
      <x:c r="K1501" s="115" t="str">
        <x:v>Pièces décrites, murs, portes, niveaux et mobilier inspectables à l’échelle. Volumes réservés, raccord au seed, butin, rencontres et services de campagne restent à terminer.</x:v>
      </x:c>
    </x:row>
    <x:row r="1502" ht="96" customHeight="1">
      <x:c r="A1502" s="115" t="str">
        <x:v>EXT-MONDE-T030-V47</x:v>
      </x:c>
      <x:c r="B1502" s="115" t="str">
        <x:v>EXT-MONDE-T030</x:v>
      </x:c>
      <x:c r="C1502" s="115" t="str">
        <x:v>Ponts</x:v>
      </x:c>
      <x:c r="D1502" s="115" t="str">
        <x:v>Pont à arches</x:v>
      </x:c>
      <x:c r="E1502" s="115" t="n">
        <x:v>47</x:v>
      </x:c>
      <x:c r="F1502" s="115" t="str">
        <x:v>Inspection physique</x:v>
      </x:c>
      <x:c r="G1502" s="115" t="str">
        <x:v>1 niveaux ; 34 pièces ; 260 segments de mur ; 0 transitions. Inspection physique ; architecture complète encore ouverte.</x:v>
      </x:c>
      <x:c r="H1502" s="115" t="str">
        <x:v>L 1000 ; l 1640 ; hauteur 12,24 m ; choix de composition auteur ; dimensions réelles à documenter</x:v>
      </x:c>
      <x:c r="I1502" s="115" t="str">
        <x:v>À équilibrer</x:v>
      </x:c>
      <x:c r="J1502" s="115" t="str">
        <x:v>Non</x:v>
      </x:c>
      <x:c r="K1502" s="115" t="str">
        <x:v>Pièces décrites, murs, portes, niveaux et mobilier inspectables à l’échelle. Volumes réservés, raccord au seed, butin, rencontres et services de campagne restent à terminer.</x:v>
      </x:c>
    </x:row>
    <x:row r="1503" ht="96" customHeight="1">
      <x:c r="A1503" s="115" t="str">
        <x:v>EXT-MONDE-T030-V48</x:v>
      </x:c>
      <x:c r="B1503" s="115" t="str">
        <x:v>EXT-MONDE-T030</x:v>
      </x:c>
      <x:c r="C1503" s="115" t="str">
        <x:v>Ponts</x:v>
      </x:c>
      <x:c r="D1503" s="115" t="str">
        <x:v>Pont à arches</x:v>
      </x:c>
      <x:c r="E1503" s="115" t="n">
        <x:v>48</x:v>
      </x:c>
      <x:c r="F1503" s="115" t="str">
        <x:v>Inspection physique</x:v>
      </x:c>
      <x:c r="G1503" s="115" t="str">
        <x:v>1 niveaux ; 34 pièces ; 260 segments de mur ; 0 transitions. Inspection physique ; architecture complète encore ouverte.</x:v>
      </x:c>
      <x:c r="H1503" s="115" t="str">
        <x:v>L 1000 ; l 1640 ; hauteur 12,28 m ; choix de composition auteur ; dimensions réelles à documenter</x:v>
      </x:c>
      <x:c r="I1503" s="115" t="str">
        <x:v>À équilibrer</x:v>
      </x:c>
      <x:c r="J1503" s="115" t="str">
        <x:v>Non</x:v>
      </x:c>
      <x:c r="K1503" s="115" t="str">
        <x:v>Pièces décrites, murs, portes, niveaux et mobilier inspectables à l’échelle. Volumes réservés, raccord au seed, butin, rencontres et services de campagne restent à terminer.</x:v>
      </x:c>
    </x:row>
    <x:row r="1504" ht="96" customHeight="1">
      <x:c r="A1504" s="115" t="str">
        <x:v>EXT-MONDE-T030-V49</x:v>
      </x:c>
      <x:c r="B1504" s="115" t="str">
        <x:v>EXT-MONDE-T030</x:v>
      </x:c>
      <x:c r="C1504" s="115" t="str">
        <x:v>Ponts</x:v>
      </x:c>
      <x:c r="D1504" s="115" t="str">
        <x:v>Pont à arches</x:v>
      </x:c>
      <x:c r="E1504" s="115" t="n">
        <x:v>49</x:v>
      </x:c>
      <x:c r="F1504" s="115" t="str">
        <x:v>Inspection physique</x:v>
      </x:c>
      <x:c r="G1504" s="115" t="str">
        <x:v>1 niveaux ; 34 pièces ; 260 segments de mur ; 0 transitions. Inspection physique ; architecture complète encore ouverte.</x:v>
      </x:c>
      <x:c r="H1504" s="115" t="str">
        <x:v>L 1000 ; l 1640 ; hauteur 12,32 m ; choix de composition auteur ; dimensions réelles à documenter</x:v>
      </x:c>
      <x:c r="I1504" s="115" t="str">
        <x:v>À équilibrer</x:v>
      </x:c>
      <x:c r="J1504" s="115" t="str">
        <x:v>Non</x:v>
      </x:c>
      <x:c r="K1504" s="115" t="str">
        <x:v>Pièces décrites, murs, portes, niveaux et mobilier inspectables à l’échelle. Volumes réservés, raccord au seed, butin, rencontres et services de campagne restent à terminer.</x:v>
      </x:c>
    </x:row>
    <x:row r="1505" ht="96" customHeight="1">
      <x:c r="A1505" s="115" t="str">
        <x:v>EXT-MONDE-T030-V50</x:v>
      </x:c>
      <x:c r="B1505" s="115" t="str">
        <x:v>EXT-MONDE-T030</x:v>
      </x:c>
      <x:c r="C1505" s="115" t="str">
        <x:v>Ponts</x:v>
      </x:c>
      <x:c r="D1505" s="115" t="str">
        <x:v>Pont à arches</x:v>
      </x:c>
      <x:c r="E1505" s="115" t="n">
        <x:v>50</x:v>
      </x:c>
      <x:c r="F1505" s="115" t="str">
        <x:v>Inspection physique</x:v>
      </x:c>
      <x:c r="G1505" s="115" t="str">
        <x:v>1 niveaux ; 34 pièces ; 260 segments de mur ; 0 transitions. Inspection physique ; architecture complète encore ouverte.</x:v>
      </x:c>
      <x:c r="H1505" s="115" t="str">
        <x:v>L 1000 ; l 1640 ; hauteur 12,36 m ; choix de composition auteur ; dimensions réelles à documenter</x:v>
      </x:c>
      <x:c r="I1505" s="115" t="str">
        <x:v>À équilibrer</x:v>
      </x:c>
      <x:c r="J1505" s="115" t="str">
        <x:v>Non</x:v>
      </x:c>
      <x:c r="K1505" s="115" t="str">
        <x:v>Pièces décrites, murs, portes, niveaux et mobilier inspectables à l’échelle. Volumes réservés, raccord au seed, butin, rencontres et services de campagne restent à terminer.</x:v>
      </x:c>
    </x:row>
    <x:row r="1506" ht="96" customHeight="1">
      <x:c r="A1506" s="115" t="str">
        <x:v>EXT-MONDE-T031-V01</x:v>
      </x:c>
      <x:c r="B1506" s="115" t="str">
        <x:v>EXT-MONDE-T031</x:v>
      </x:c>
      <x:c r="C1506" s="115" t="str">
        <x:v>Ponts</x:v>
      </x:c>
      <x:c r="D1506" s="115" t="str">
        <x:v>Pont levant portuaire</x:v>
      </x:c>
      <x:c r="E1506" s="115" t="n">
        <x:v>1</x:v>
      </x:c>
      <x:c r="F1506" s="115" t="str">
        <x:v>Inspection physique</x:v>
      </x:c>
      <x:c r="G1506" s="115" t="str">
        <x:v>1 niveaux ; 34 pièces ; 260 segments de mur ; 0 transitions. Inspection physique ; architecture complète encore ouverte.</x:v>
      </x:c>
      <x:c r="H1506" s="115" t="str">
        <x:v>L 660 ; l 900 ; hauteur 28,5 m ; choix de composition auteur ; dimensions réelles à documenter</x:v>
      </x:c>
      <x:c r="I1506" s="115" t="str">
        <x:v>À équilibrer</x:v>
      </x:c>
      <x:c r="J1506" s="115" t="str">
        <x:v>Non</x:v>
      </x:c>
      <x:c r="K1506" s="115" t="str">
        <x:v>Pièces décrites, murs, portes, niveaux et mobilier inspectables à l’échelle. Volumes réservés, raccord au seed, butin, rencontres et services de campagne restent à terminer.</x:v>
      </x:c>
    </x:row>
    <x:row r="1507" ht="96" customHeight="1">
      <x:c r="A1507" s="115" t="str">
        <x:v>EXT-MONDE-T031-V02</x:v>
      </x:c>
      <x:c r="B1507" s="115" t="str">
        <x:v>EXT-MONDE-T031</x:v>
      </x:c>
      <x:c r="C1507" s="115" t="str">
        <x:v>Ponts</x:v>
      </x:c>
      <x:c r="D1507" s="115" t="str">
        <x:v>Pont levant portuaire</x:v>
      </x:c>
      <x:c r="E1507" s="115" t="n">
        <x:v>2</x:v>
      </x:c>
      <x:c r="F1507" s="115" t="str">
        <x:v>Inspection physique</x:v>
      </x:c>
      <x:c r="G1507" s="115" t="str">
        <x:v>1 niveaux ; 34 pièces ; 260 segments de mur ; 0 transitions. Inspection physique ; architecture complète encore ouverte.</x:v>
      </x:c>
      <x:c r="H1507" s="115" t="str">
        <x:v>L 660 ; l 900 ; hauteur 28,54 m ; choix de composition auteur ; dimensions réelles à documenter</x:v>
      </x:c>
      <x:c r="I1507" s="115" t="str">
        <x:v>À équilibrer</x:v>
      </x:c>
      <x:c r="J1507" s="115" t="str">
        <x:v>Non</x:v>
      </x:c>
      <x:c r="K1507" s="115" t="str">
        <x:v>Pièces décrites, murs, portes, niveaux et mobilier inspectables à l’échelle. Volumes réservés, raccord au seed, butin, rencontres et services de campagne restent à terminer.</x:v>
      </x:c>
    </x:row>
    <x:row r="1508" ht="96" customHeight="1">
      <x:c r="A1508" s="115" t="str">
        <x:v>EXT-MONDE-T031-V03</x:v>
      </x:c>
      <x:c r="B1508" s="115" t="str">
        <x:v>EXT-MONDE-T031</x:v>
      </x:c>
      <x:c r="C1508" s="115" t="str">
        <x:v>Ponts</x:v>
      </x:c>
      <x:c r="D1508" s="115" t="str">
        <x:v>Pont levant portuaire</x:v>
      </x:c>
      <x:c r="E1508" s="115" t="n">
        <x:v>3</x:v>
      </x:c>
      <x:c r="F1508" s="115" t="str">
        <x:v>Inspection physique</x:v>
      </x:c>
      <x:c r="G1508" s="115" t="str">
        <x:v>1 niveaux ; 34 pièces ; 260 segments de mur ; 0 transitions. Inspection physique ; architecture complète encore ouverte.</x:v>
      </x:c>
      <x:c r="H1508" s="115" t="str">
        <x:v>L 660 ; l 900 ; hauteur 28,58 m ; choix de composition auteur ; dimensions réelles à documenter</x:v>
      </x:c>
      <x:c r="I1508" s="115" t="str">
        <x:v>À équilibrer</x:v>
      </x:c>
      <x:c r="J1508" s="115" t="str">
        <x:v>Non</x:v>
      </x:c>
      <x:c r="K1508" s="115" t="str">
        <x:v>Pièces décrites, murs, portes, niveaux et mobilier inspectables à l’échelle. Volumes réservés, raccord au seed, butin, rencontres et services de campagne restent à terminer.</x:v>
      </x:c>
    </x:row>
    <x:row r="1509" ht="96" customHeight="1">
      <x:c r="A1509" s="115" t="str">
        <x:v>EXT-MONDE-T031-V04</x:v>
      </x:c>
      <x:c r="B1509" s="115" t="str">
        <x:v>EXT-MONDE-T031</x:v>
      </x:c>
      <x:c r="C1509" s="115" t="str">
        <x:v>Ponts</x:v>
      </x:c>
      <x:c r="D1509" s="115" t="str">
        <x:v>Pont levant portuaire</x:v>
      </x:c>
      <x:c r="E1509" s="115" t="n">
        <x:v>4</x:v>
      </x:c>
      <x:c r="F1509" s="115" t="str">
        <x:v>Inspection physique</x:v>
      </x:c>
      <x:c r="G1509" s="115" t="str">
        <x:v>1 niveaux ; 34 pièces ; 260 segments de mur ; 0 transitions. Inspection physique ; architecture complète encore ouverte.</x:v>
      </x:c>
      <x:c r="H1509" s="115" t="str">
        <x:v>L 660 ; l 900 ; hauteur 28,62 m ; choix de composition auteur ; dimensions réelles à documenter</x:v>
      </x:c>
      <x:c r="I1509" s="115" t="str">
        <x:v>À équilibrer</x:v>
      </x:c>
      <x:c r="J1509" s="115" t="str">
        <x:v>Non</x:v>
      </x:c>
      <x:c r="K1509" s="115" t="str">
        <x:v>Pièces décrites, murs, portes, niveaux et mobilier inspectables à l’échelle. Volumes réservés, raccord au seed, butin, rencontres et services de campagne restent à terminer.</x:v>
      </x:c>
    </x:row>
    <x:row r="1510" ht="96" customHeight="1">
      <x:c r="A1510" s="115" t="str">
        <x:v>EXT-MONDE-T031-V05</x:v>
      </x:c>
      <x:c r="B1510" s="115" t="str">
        <x:v>EXT-MONDE-T031</x:v>
      </x:c>
      <x:c r="C1510" s="115" t="str">
        <x:v>Ponts</x:v>
      </x:c>
      <x:c r="D1510" s="115" t="str">
        <x:v>Pont levant portuaire</x:v>
      </x:c>
      <x:c r="E1510" s="115" t="n">
        <x:v>5</x:v>
      </x:c>
      <x:c r="F1510" s="115" t="str">
        <x:v>Inspection physique</x:v>
      </x:c>
      <x:c r="G1510" s="115" t="str">
        <x:v>1 niveaux ; 34 pièces ; 260 segments de mur ; 0 transitions. Inspection physique ; architecture complète encore ouverte.</x:v>
      </x:c>
      <x:c r="H1510" s="115" t="str">
        <x:v>L 660 ; l 900 ; hauteur 28,66 m ; choix de composition auteur ; dimensions réelles à documenter</x:v>
      </x:c>
      <x:c r="I1510" s="115" t="str">
        <x:v>À équilibrer</x:v>
      </x:c>
      <x:c r="J1510" s="115" t="str">
        <x:v>Non</x:v>
      </x:c>
      <x:c r="K1510" s="115" t="str">
        <x:v>Pièces décrites, murs, portes, niveaux et mobilier inspectables à l’échelle. Volumes réservés, raccord au seed, butin, rencontres et services de campagne restent à terminer.</x:v>
      </x:c>
    </x:row>
    <x:row r="1511" ht="96" customHeight="1">
      <x:c r="A1511" s="115" t="str">
        <x:v>EXT-MONDE-T031-V06</x:v>
      </x:c>
      <x:c r="B1511" s="115" t="str">
        <x:v>EXT-MONDE-T031</x:v>
      </x:c>
      <x:c r="C1511" s="115" t="str">
        <x:v>Ponts</x:v>
      </x:c>
      <x:c r="D1511" s="115" t="str">
        <x:v>Pont levant portuaire</x:v>
      </x:c>
      <x:c r="E1511" s="115" t="n">
        <x:v>6</x:v>
      </x:c>
      <x:c r="F1511" s="115" t="str">
        <x:v>Inspection physique</x:v>
      </x:c>
      <x:c r="G1511" s="115" t="str">
        <x:v>1 niveaux ; 34 pièces ; 260 segments de mur ; 0 transitions. Inspection physique ; architecture complète encore ouverte.</x:v>
      </x:c>
      <x:c r="H1511" s="115" t="str">
        <x:v>L 660 ; l 900 ; hauteur 28,7 m ; choix de composition auteur ; dimensions réelles à documenter</x:v>
      </x:c>
      <x:c r="I1511" s="115" t="str">
        <x:v>À équilibrer</x:v>
      </x:c>
      <x:c r="J1511" s="115" t="str">
        <x:v>Non</x:v>
      </x:c>
      <x:c r="K1511" s="115" t="str">
        <x:v>Pièces décrites, murs, portes, niveaux et mobilier inspectables à l’échelle. Volumes réservés, raccord au seed, butin, rencontres et services de campagne restent à terminer.</x:v>
      </x:c>
    </x:row>
    <x:row r="1512" ht="96" customHeight="1">
      <x:c r="A1512" s="115" t="str">
        <x:v>EXT-MONDE-T031-V07</x:v>
      </x:c>
      <x:c r="B1512" s="115" t="str">
        <x:v>EXT-MONDE-T031</x:v>
      </x:c>
      <x:c r="C1512" s="115" t="str">
        <x:v>Ponts</x:v>
      </x:c>
      <x:c r="D1512" s="115" t="str">
        <x:v>Pont levant portuaire</x:v>
      </x:c>
      <x:c r="E1512" s="115" t="n">
        <x:v>7</x:v>
      </x:c>
      <x:c r="F1512" s="115" t="str">
        <x:v>Inspection physique</x:v>
      </x:c>
      <x:c r="G1512" s="115" t="str">
        <x:v>1 niveaux ; 34 pièces ; 260 segments de mur ; 0 transitions. Inspection physique ; architecture complète encore ouverte.</x:v>
      </x:c>
      <x:c r="H1512" s="115" t="str">
        <x:v>L 660 ; l 900 ; hauteur 28,74 m ; choix de composition auteur ; dimensions réelles à documenter</x:v>
      </x:c>
      <x:c r="I1512" s="115" t="str">
        <x:v>À équilibrer</x:v>
      </x:c>
      <x:c r="J1512" s="115" t="str">
        <x:v>Non</x:v>
      </x:c>
      <x:c r="K1512" s="115" t="str">
        <x:v>Pièces décrites, murs, portes, niveaux et mobilier inspectables à l’échelle. Volumes réservés, raccord au seed, butin, rencontres et services de campagne restent à terminer.</x:v>
      </x:c>
    </x:row>
    <x:row r="1513" ht="96" customHeight="1">
      <x:c r="A1513" s="115" t="str">
        <x:v>EXT-MONDE-T031-V08</x:v>
      </x:c>
      <x:c r="B1513" s="115" t="str">
        <x:v>EXT-MONDE-T031</x:v>
      </x:c>
      <x:c r="C1513" s="115" t="str">
        <x:v>Ponts</x:v>
      </x:c>
      <x:c r="D1513" s="115" t="str">
        <x:v>Pont levant portuaire</x:v>
      </x:c>
      <x:c r="E1513" s="115" t="n">
        <x:v>8</x:v>
      </x:c>
      <x:c r="F1513" s="115" t="str">
        <x:v>Inspection physique</x:v>
      </x:c>
      <x:c r="G1513" s="115" t="str">
        <x:v>1 niveaux ; 34 pièces ; 260 segments de mur ; 0 transitions. Inspection physique ; architecture complète encore ouverte.</x:v>
      </x:c>
      <x:c r="H1513" s="115" t="str">
        <x:v>L 660 ; l 900 ; hauteur 28,78 m ; choix de composition auteur ; dimensions réelles à documenter</x:v>
      </x:c>
      <x:c r="I1513" s="115" t="str">
        <x:v>À équilibrer</x:v>
      </x:c>
      <x:c r="J1513" s="115" t="str">
        <x:v>Non</x:v>
      </x:c>
      <x:c r="K1513" s="115" t="str">
        <x:v>Pièces décrites, murs, portes, niveaux et mobilier inspectables à l’échelle. Volumes réservés, raccord au seed, butin, rencontres et services de campagne restent à terminer.</x:v>
      </x:c>
    </x:row>
    <x:row r="1514" ht="96" customHeight="1">
      <x:c r="A1514" s="115" t="str">
        <x:v>EXT-MONDE-T031-V09</x:v>
      </x:c>
      <x:c r="B1514" s="115" t="str">
        <x:v>EXT-MONDE-T031</x:v>
      </x:c>
      <x:c r="C1514" s="115" t="str">
        <x:v>Ponts</x:v>
      </x:c>
      <x:c r="D1514" s="115" t="str">
        <x:v>Pont levant portuaire</x:v>
      </x:c>
      <x:c r="E1514" s="115" t="n">
        <x:v>9</x:v>
      </x:c>
      <x:c r="F1514" s="115" t="str">
        <x:v>Inspection physique</x:v>
      </x:c>
      <x:c r="G1514" s="115" t="str">
        <x:v>1 niveaux ; 34 pièces ; 260 segments de mur ; 0 transitions. Inspection physique ; architecture complète encore ouverte.</x:v>
      </x:c>
      <x:c r="H1514" s="115" t="str">
        <x:v>L 660 ; l 900 ; hauteur 28,82 m ; choix de composition auteur ; dimensions réelles à documenter</x:v>
      </x:c>
      <x:c r="I1514" s="115" t="str">
        <x:v>À équilibrer</x:v>
      </x:c>
      <x:c r="J1514" s="115" t="str">
        <x:v>Non</x:v>
      </x:c>
      <x:c r="K1514" s="115" t="str">
        <x:v>Pièces décrites, murs, portes, niveaux et mobilier inspectables à l’échelle. Volumes réservés, raccord au seed, butin, rencontres et services de campagne restent à terminer.</x:v>
      </x:c>
    </x:row>
    <x:row r="1515" ht="96" customHeight="1">
      <x:c r="A1515" s="115" t="str">
        <x:v>EXT-MONDE-T031-V10</x:v>
      </x:c>
      <x:c r="B1515" s="115" t="str">
        <x:v>EXT-MONDE-T031</x:v>
      </x:c>
      <x:c r="C1515" s="115" t="str">
        <x:v>Ponts</x:v>
      </x:c>
      <x:c r="D1515" s="115" t="str">
        <x:v>Pont levant portuaire</x:v>
      </x:c>
      <x:c r="E1515" s="115" t="n">
        <x:v>10</x:v>
      </x:c>
      <x:c r="F1515" s="115" t="str">
        <x:v>Inspection physique</x:v>
      </x:c>
      <x:c r="G1515" s="115" t="str">
        <x:v>1 niveaux ; 34 pièces ; 260 segments de mur ; 0 transitions. Inspection physique ; architecture complète encore ouverte.</x:v>
      </x:c>
      <x:c r="H1515" s="115" t="str">
        <x:v>L 660 ; l 900 ; hauteur 28,86 m ; choix de composition auteur ; dimensions réelles à documenter</x:v>
      </x:c>
      <x:c r="I1515" s="115" t="str">
        <x:v>À équilibrer</x:v>
      </x:c>
      <x:c r="J1515" s="115" t="str">
        <x:v>Non</x:v>
      </x:c>
      <x:c r="K1515" s="115" t="str">
        <x:v>Pièces décrites, murs, portes, niveaux et mobilier inspectables à l’échelle. Volumes réservés, raccord au seed, butin, rencontres et services de campagne restent à terminer.</x:v>
      </x:c>
    </x:row>
    <x:row r="1516" ht="96" customHeight="1">
      <x:c r="A1516" s="115" t="str">
        <x:v>EXT-MONDE-T031-V11</x:v>
      </x:c>
      <x:c r="B1516" s="115" t="str">
        <x:v>EXT-MONDE-T031</x:v>
      </x:c>
      <x:c r="C1516" s="115" t="str">
        <x:v>Ponts</x:v>
      </x:c>
      <x:c r="D1516" s="115" t="str">
        <x:v>Pont levant portuaire</x:v>
      </x:c>
      <x:c r="E1516" s="115" t="n">
        <x:v>11</x:v>
      </x:c>
      <x:c r="F1516" s="115" t="str">
        <x:v>Inspection physique</x:v>
      </x:c>
      <x:c r="G1516" s="115" t="str">
        <x:v>1 niveaux ; 34 pièces ; 260 segments de mur ; 0 transitions. Inspection physique ; architecture complète encore ouverte.</x:v>
      </x:c>
      <x:c r="H1516" s="115" t="str">
        <x:v>L 740 ; l 1060 ; hauteur 30,5 m ; choix de composition auteur ; dimensions réelles à documenter</x:v>
      </x:c>
      <x:c r="I1516" s="115" t="str">
        <x:v>À équilibrer</x:v>
      </x:c>
      <x:c r="J1516" s="115" t="str">
        <x:v>Non</x:v>
      </x:c>
      <x:c r="K1516" s="115" t="str">
        <x:v>Pièces décrites, murs, portes, niveaux et mobilier inspectables à l’échelle. Volumes réservés, raccord au seed, butin, rencontres et services de campagne restent à terminer.</x:v>
      </x:c>
    </x:row>
    <x:row r="1517" ht="96" customHeight="1">
      <x:c r="A1517" s="115" t="str">
        <x:v>EXT-MONDE-T031-V12</x:v>
      </x:c>
      <x:c r="B1517" s="115" t="str">
        <x:v>EXT-MONDE-T031</x:v>
      </x:c>
      <x:c r="C1517" s="115" t="str">
        <x:v>Ponts</x:v>
      </x:c>
      <x:c r="D1517" s="115" t="str">
        <x:v>Pont levant portuaire</x:v>
      </x:c>
      <x:c r="E1517" s="115" t="n">
        <x:v>12</x:v>
      </x:c>
      <x:c r="F1517" s="115" t="str">
        <x:v>Inspection physique</x:v>
      </x:c>
      <x:c r="G1517" s="115" t="str">
        <x:v>1 niveaux ; 34 pièces ; 260 segments de mur ; 0 transitions. Inspection physique ; architecture complète encore ouverte.</x:v>
      </x:c>
      <x:c r="H1517" s="115" t="str">
        <x:v>L 740 ; l 1060 ; hauteur 30,54 m ; choix de composition auteur ; dimensions réelles à documenter</x:v>
      </x:c>
      <x:c r="I1517" s="115" t="str">
        <x:v>À équilibrer</x:v>
      </x:c>
      <x:c r="J1517" s="115" t="str">
        <x:v>Non</x:v>
      </x:c>
      <x:c r="K1517" s="115" t="str">
        <x:v>Pièces décrites, murs, portes, niveaux et mobilier inspectables à l’échelle. Volumes réservés, raccord au seed, butin, rencontres et services de campagne restent à terminer.</x:v>
      </x:c>
    </x:row>
    <x:row r="1518" ht="96" customHeight="1">
      <x:c r="A1518" s="115" t="str">
        <x:v>EXT-MONDE-T031-V13</x:v>
      </x:c>
      <x:c r="B1518" s="115" t="str">
        <x:v>EXT-MONDE-T031</x:v>
      </x:c>
      <x:c r="C1518" s="115" t="str">
        <x:v>Ponts</x:v>
      </x:c>
      <x:c r="D1518" s="115" t="str">
        <x:v>Pont levant portuaire</x:v>
      </x:c>
      <x:c r="E1518" s="115" t="n">
        <x:v>13</x:v>
      </x:c>
      <x:c r="F1518" s="115" t="str">
        <x:v>Inspection physique</x:v>
      </x:c>
      <x:c r="G1518" s="115" t="str">
        <x:v>1 niveaux ; 34 pièces ; 260 segments de mur ; 0 transitions. Inspection physique ; architecture complète encore ouverte.</x:v>
      </x:c>
      <x:c r="H1518" s="115" t="str">
        <x:v>L 740 ; l 1060 ; hauteur 30,58 m ; choix de composition auteur ; dimensions réelles à documenter</x:v>
      </x:c>
      <x:c r="I1518" s="115" t="str">
        <x:v>À équilibrer</x:v>
      </x:c>
      <x:c r="J1518" s="115" t="str">
        <x:v>Non</x:v>
      </x:c>
      <x:c r="K1518" s="115" t="str">
        <x:v>Pièces décrites, murs, portes, niveaux et mobilier inspectables à l’échelle. Volumes réservés, raccord au seed, butin, rencontres et services de campagne restent à terminer.</x:v>
      </x:c>
    </x:row>
    <x:row r="1519" ht="96" customHeight="1">
      <x:c r="A1519" s="115" t="str">
        <x:v>EXT-MONDE-T031-V14</x:v>
      </x:c>
      <x:c r="B1519" s="115" t="str">
        <x:v>EXT-MONDE-T031</x:v>
      </x:c>
      <x:c r="C1519" s="115" t="str">
        <x:v>Ponts</x:v>
      </x:c>
      <x:c r="D1519" s="115" t="str">
        <x:v>Pont levant portuaire</x:v>
      </x:c>
      <x:c r="E1519" s="115" t="n">
        <x:v>14</x:v>
      </x:c>
      <x:c r="F1519" s="115" t="str">
        <x:v>Inspection physique</x:v>
      </x:c>
      <x:c r="G1519" s="115" t="str">
        <x:v>1 niveaux ; 34 pièces ; 260 segments de mur ; 0 transitions. Inspection physique ; architecture complète encore ouverte.</x:v>
      </x:c>
      <x:c r="H1519" s="115" t="str">
        <x:v>L 740 ; l 1060 ; hauteur 30,62 m ; choix de composition auteur ; dimensions réelles à documenter</x:v>
      </x:c>
      <x:c r="I1519" s="115" t="str">
        <x:v>À équilibrer</x:v>
      </x:c>
      <x:c r="J1519" s="115" t="str">
        <x:v>Non</x:v>
      </x:c>
      <x:c r="K1519" s="115" t="str">
        <x:v>Pièces décrites, murs, portes, niveaux et mobilier inspectables à l’échelle. Volumes réservés, raccord au seed, butin, rencontres et services de campagne restent à terminer.</x:v>
      </x:c>
    </x:row>
    <x:row r="1520" ht="96" customHeight="1">
      <x:c r="A1520" s="115" t="str">
        <x:v>EXT-MONDE-T031-V15</x:v>
      </x:c>
      <x:c r="B1520" s="115" t="str">
        <x:v>EXT-MONDE-T031</x:v>
      </x:c>
      <x:c r="C1520" s="115" t="str">
        <x:v>Ponts</x:v>
      </x:c>
      <x:c r="D1520" s="115" t="str">
        <x:v>Pont levant portuaire</x:v>
      </x:c>
      <x:c r="E1520" s="115" t="n">
        <x:v>15</x:v>
      </x:c>
      <x:c r="F1520" s="115" t="str">
        <x:v>Inspection physique</x:v>
      </x:c>
      <x:c r="G1520" s="115" t="str">
        <x:v>1 niveaux ; 34 pièces ; 260 segments de mur ; 0 transitions. Inspection physique ; architecture complète encore ouverte.</x:v>
      </x:c>
      <x:c r="H1520" s="115" t="str">
        <x:v>L 740 ; l 1060 ; hauteur 30,66 m ; choix de composition auteur ; dimensions réelles à documenter</x:v>
      </x:c>
      <x:c r="I1520" s="115" t="str">
        <x:v>À équilibrer</x:v>
      </x:c>
      <x:c r="J1520" s="115" t="str">
        <x:v>Non</x:v>
      </x:c>
      <x:c r="K1520" s="115" t="str">
        <x:v>Pièces décrites, murs, portes, niveaux et mobilier inspectables à l’échelle. Volumes réservés, raccord au seed, butin, rencontres et services de campagne restent à terminer.</x:v>
      </x:c>
    </x:row>
    <x:row r="1521" ht="96" customHeight="1">
      <x:c r="A1521" s="115" t="str">
        <x:v>EXT-MONDE-T031-V16</x:v>
      </x:c>
      <x:c r="B1521" s="115" t="str">
        <x:v>EXT-MONDE-T031</x:v>
      </x:c>
      <x:c r="C1521" s="115" t="str">
        <x:v>Ponts</x:v>
      </x:c>
      <x:c r="D1521" s="115" t="str">
        <x:v>Pont levant portuaire</x:v>
      </x:c>
      <x:c r="E1521" s="115" t="n">
        <x:v>16</x:v>
      </x:c>
      <x:c r="F1521" s="115" t="str">
        <x:v>Inspection physique</x:v>
      </x:c>
      <x:c r="G1521" s="115" t="str">
        <x:v>1 niveaux ; 34 pièces ; 260 segments de mur ; 0 transitions. Inspection physique ; architecture complète encore ouverte.</x:v>
      </x:c>
      <x:c r="H1521" s="115" t="str">
        <x:v>L 740 ; l 1060 ; hauteur 30,7 m ; choix de composition auteur ; dimensions réelles à documenter</x:v>
      </x:c>
      <x:c r="I1521" s="115" t="str">
        <x:v>À équilibrer</x:v>
      </x:c>
      <x:c r="J1521" s="115" t="str">
        <x:v>Non</x:v>
      </x:c>
      <x:c r="K1521" s="115" t="str">
        <x:v>Pièces décrites, murs, portes, niveaux et mobilier inspectables à l’échelle. Volumes réservés, raccord au seed, butin, rencontres et services de campagne restent à terminer.</x:v>
      </x:c>
    </x:row>
    <x:row r="1522" ht="96" customHeight="1">
      <x:c r="A1522" s="115" t="str">
        <x:v>EXT-MONDE-T031-V17</x:v>
      </x:c>
      <x:c r="B1522" s="115" t="str">
        <x:v>EXT-MONDE-T031</x:v>
      </x:c>
      <x:c r="C1522" s="115" t="str">
        <x:v>Ponts</x:v>
      </x:c>
      <x:c r="D1522" s="115" t="str">
        <x:v>Pont levant portuaire</x:v>
      </x:c>
      <x:c r="E1522" s="115" t="n">
        <x:v>17</x:v>
      </x:c>
      <x:c r="F1522" s="115" t="str">
        <x:v>Inspection physique</x:v>
      </x:c>
      <x:c r="G1522" s="115" t="str">
        <x:v>1 niveaux ; 34 pièces ; 260 segments de mur ; 0 transitions. Inspection physique ; architecture complète encore ouverte.</x:v>
      </x:c>
      <x:c r="H1522" s="115" t="str">
        <x:v>L 740 ; l 1060 ; hauteur 30,74 m ; choix de composition auteur ; dimensions réelles à documenter</x:v>
      </x:c>
      <x:c r="I1522" s="115" t="str">
        <x:v>À équilibrer</x:v>
      </x:c>
      <x:c r="J1522" s="115" t="str">
        <x:v>Non</x:v>
      </x:c>
      <x:c r="K1522" s="115" t="str">
        <x:v>Pièces décrites, murs, portes, niveaux et mobilier inspectables à l’échelle. Volumes réservés, raccord au seed, butin, rencontres et services de campagne restent à terminer.</x:v>
      </x:c>
    </x:row>
    <x:row r="1523" ht="96" customHeight="1">
      <x:c r="A1523" s="115" t="str">
        <x:v>EXT-MONDE-T031-V18</x:v>
      </x:c>
      <x:c r="B1523" s="115" t="str">
        <x:v>EXT-MONDE-T031</x:v>
      </x:c>
      <x:c r="C1523" s="115" t="str">
        <x:v>Ponts</x:v>
      </x:c>
      <x:c r="D1523" s="115" t="str">
        <x:v>Pont levant portuaire</x:v>
      </x:c>
      <x:c r="E1523" s="115" t="n">
        <x:v>18</x:v>
      </x:c>
      <x:c r="F1523" s="115" t="str">
        <x:v>Inspection physique</x:v>
      </x:c>
      <x:c r="G1523" s="115" t="str">
        <x:v>1 niveaux ; 34 pièces ; 260 segments de mur ; 0 transitions. Inspection physique ; architecture complète encore ouverte.</x:v>
      </x:c>
      <x:c r="H1523" s="115" t="str">
        <x:v>L 740 ; l 1060 ; hauteur 30,78 m ; choix de composition auteur ; dimensions réelles à documenter</x:v>
      </x:c>
      <x:c r="I1523" s="115" t="str">
        <x:v>À équilibrer</x:v>
      </x:c>
      <x:c r="J1523" s="115" t="str">
        <x:v>Non</x:v>
      </x:c>
      <x:c r="K1523" s="115" t="str">
        <x:v>Pièces décrites, murs, portes, niveaux et mobilier inspectables à l’échelle. Volumes réservés, raccord au seed, butin, rencontres et services de campagne restent à terminer.</x:v>
      </x:c>
    </x:row>
    <x:row r="1524" ht="96" customHeight="1">
      <x:c r="A1524" s="115" t="str">
        <x:v>EXT-MONDE-T031-V19</x:v>
      </x:c>
      <x:c r="B1524" s="115" t="str">
        <x:v>EXT-MONDE-T031</x:v>
      </x:c>
      <x:c r="C1524" s="115" t="str">
        <x:v>Ponts</x:v>
      </x:c>
      <x:c r="D1524" s="115" t="str">
        <x:v>Pont levant portuaire</x:v>
      </x:c>
      <x:c r="E1524" s="115" t="n">
        <x:v>19</x:v>
      </x:c>
      <x:c r="F1524" s="115" t="str">
        <x:v>Inspection physique</x:v>
      </x:c>
      <x:c r="G1524" s="115" t="str">
        <x:v>1 niveaux ; 34 pièces ; 260 segments de mur ; 0 transitions. Inspection physique ; architecture complète encore ouverte.</x:v>
      </x:c>
      <x:c r="H1524" s="115" t="str">
        <x:v>L 740 ; l 1060 ; hauteur 30,82 m ; choix de composition auteur ; dimensions réelles à documenter</x:v>
      </x:c>
      <x:c r="I1524" s="115" t="str">
        <x:v>À équilibrer</x:v>
      </x:c>
      <x:c r="J1524" s="115" t="str">
        <x:v>Non</x:v>
      </x:c>
      <x:c r="K1524" s="115" t="str">
        <x:v>Pièces décrites, murs, portes, niveaux et mobilier inspectables à l’échelle. Volumes réservés, raccord au seed, butin, rencontres et services de campagne restent à terminer.</x:v>
      </x:c>
    </x:row>
    <x:row r="1525" ht="96" customHeight="1">
      <x:c r="A1525" s="115" t="str">
        <x:v>EXT-MONDE-T031-V20</x:v>
      </x:c>
      <x:c r="B1525" s="115" t="str">
        <x:v>EXT-MONDE-T031</x:v>
      </x:c>
      <x:c r="C1525" s="115" t="str">
        <x:v>Ponts</x:v>
      </x:c>
      <x:c r="D1525" s="115" t="str">
        <x:v>Pont levant portuaire</x:v>
      </x:c>
      <x:c r="E1525" s="115" t="n">
        <x:v>20</x:v>
      </x:c>
      <x:c r="F1525" s="115" t="str">
        <x:v>Inspection physique</x:v>
      </x:c>
      <x:c r="G1525" s="115" t="str">
        <x:v>1 niveaux ; 34 pièces ; 260 segments de mur ; 0 transitions. Inspection physique ; architecture complète encore ouverte.</x:v>
      </x:c>
      <x:c r="H1525" s="115" t="str">
        <x:v>L 740 ; l 1060 ; hauteur 30,86 m ; choix de composition auteur ; dimensions réelles à documenter</x:v>
      </x:c>
      <x:c r="I1525" s="115" t="str">
        <x:v>À équilibrer</x:v>
      </x:c>
      <x:c r="J1525" s="115" t="str">
        <x:v>Non</x:v>
      </x:c>
      <x:c r="K1525" s="115" t="str">
        <x:v>Pièces décrites, murs, portes, niveaux et mobilier inspectables à l’échelle. Volumes réservés, raccord au seed, butin, rencontres et services de campagne restent à terminer.</x:v>
      </x:c>
    </x:row>
    <x:row r="1526" ht="96" customHeight="1">
      <x:c r="A1526" s="115" t="str">
        <x:v>EXT-MONDE-T031-V21</x:v>
      </x:c>
      <x:c r="B1526" s="115" t="str">
        <x:v>EXT-MONDE-T031</x:v>
      </x:c>
      <x:c r="C1526" s="115" t="str">
        <x:v>Ponts</x:v>
      </x:c>
      <x:c r="D1526" s="115" t="str">
        <x:v>Pont levant portuaire</x:v>
      </x:c>
      <x:c r="E1526" s="115" t="n">
        <x:v>21</x:v>
      </x:c>
      <x:c r="F1526" s="115" t="str">
        <x:v>Inspection physique</x:v>
      </x:c>
      <x:c r="G1526" s="115" t="str">
        <x:v>1 niveaux ; 34 pièces ; 260 segments de mur ; 0 transitions. Inspection physique ; architecture complète encore ouverte.</x:v>
      </x:c>
      <x:c r="H1526" s="115" t="str">
        <x:v>L 820 ; l 1220 ; hauteur 32,5 m ; choix de composition auteur ; dimensions réelles à documenter</x:v>
      </x:c>
      <x:c r="I1526" s="115" t="str">
        <x:v>À équilibrer</x:v>
      </x:c>
      <x:c r="J1526" s="115" t="str">
        <x:v>Non</x:v>
      </x:c>
      <x:c r="K1526" s="115" t="str">
        <x:v>Pièces décrites, murs, portes, niveaux et mobilier inspectables à l’échelle. Volumes réservés, raccord au seed, butin, rencontres et services de campagne restent à terminer.</x:v>
      </x:c>
    </x:row>
    <x:row r="1527" ht="96" customHeight="1">
      <x:c r="A1527" s="115" t="str">
        <x:v>EXT-MONDE-T031-V22</x:v>
      </x:c>
      <x:c r="B1527" s="115" t="str">
        <x:v>EXT-MONDE-T031</x:v>
      </x:c>
      <x:c r="C1527" s="115" t="str">
        <x:v>Ponts</x:v>
      </x:c>
      <x:c r="D1527" s="115" t="str">
        <x:v>Pont levant portuaire</x:v>
      </x:c>
      <x:c r="E1527" s="115" t="n">
        <x:v>22</x:v>
      </x:c>
      <x:c r="F1527" s="115" t="str">
        <x:v>Inspection physique</x:v>
      </x:c>
      <x:c r="G1527" s="115" t="str">
        <x:v>1 niveaux ; 34 pièces ; 260 segments de mur ; 0 transitions. Inspection physique ; architecture complète encore ouverte.</x:v>
      </x:c>
      <x:c r="H1527" s="115" t="str">
        <x:v>L 820 ; l 1220 ; hauteur 32,54 m ; choix de composition auteur ; dimensions réelles à documenter</x:v>
      </x:c>
      <x:c r="I1527" s="115" t="str">
        <x:v>À équilibrer</x:v>
      </x:c>
      <x:c r="J1527" s="115" t="str">
        <x:v>Non</x:v>
      </x:c>
      <x:c r="K1527" s="115" t="str">
        <x:v>Pièces décrites, murs, portes, niveaux et mobilier inspectables à l’échelle. Volumes réservés, raccord au seed, butin, rencontres et services de campagne restent à terminer.</x:v>
      </x:c>
    </x:row>
    <x:row r="1528" ht="96" customHeight="1">
      <x:c r="A1528" s="115" t="str">
        <x:v>EXT-MONDE-T031-V23</x:v>
      </x:c>
      <x:c r="B1528" s="115" t="str">
        <x:v>EXT-MONDE-T031</x:v>
      </x:c>
      <x:c r="C1528" s="115" t="str">
        <x:v>Ponts</x:v>
      </x:c>
      <x:c r="D1528" s="115" t="str">
        <x:v>Pont levant portuaire</x:v>
      </x:c>
      <x:c r="E1528" s="115" t="n">
        <x:v>23</x:v>
      </x:c>
      <x:c r="F1528" s="115" t="str">
        <x:v>Inspection physique</x:v>
      </x:c>
      <x:c r="G1528" s="115" t="str">
        <x:v>1 niveaux ; 34 pièces ; 260 segments de mur ; 0 transitions. Inspection physique ; architecture complète encore ouverte.</x:v>
      </x:c>
      <x:c r="H1528" s="115" t="str">
        <x:v>L 820 ; l 1220 ; hauteur 32,58 m ; choix de composition auteur ; dimensions réelles à documenter</x:v>
      </x:c>
      <x:c r="I1528" s="115" t="str">
        <x:v>À équilibrer</x:v>
      </x:c>
      <x:c r="J1528" s="115" t="str">
        <x:v>Non</x:v>
      </x:c>
      <x:c r="K1528" s="115" t="str">
        <x:v>Pièces décrites, murs, portes, niveaux et mobilier inspectables à l’échelle. Volumes réservés, raccord au seed, butin, rencontres et services de campagne restent à terminer.</x:v>
      </x:c>
    </x:row>
    <x:row r="1529" ht="96" customHeight="1">
      <x:c r="A1529" s="115" t="str">
        <x:v>EXT-MONDE-T031-V24</x:v>
      </x:c>
      <x:c r="B1529" s="115" t="str">
        <x:v>EXT-MONDE-T031</x:v>
      </x:c>
      <x:c r="C1529" s="115" t="str">
        <x:v>Ponts</x:v>
      </x:c>
      <x:c r="D1529" s="115" t="str">
        <x:v>Pont levant portuaire</x:v>
      </x:c>
      <x:c r="E1529" s="115" t="n">
        <x:v>24</x:v>
      </x:c>
      <x:c r="F1529" s="115" t="str">
        <x:v>Inspection physique</x:v>
      </x:c>
      <x:c r="G1529" s="115" t="str">
        <x:v>1 niveaux ; 34 pièces ; 260 segments de mur ; 0 transitions. Inspection physique ; architecture complète encore ouverte.</x:v>
      </x:c>
      <x:c r="H1529" s="115" t="str">
        <x:v>L 820 ; l 1220 ; hauteur 32,62 m ; choix de composition auteur ; dimensions réelles à documenter</x:v>
      </x:c>
      <x:c r="I1529" s="115" t="str">
        <x:v>À équilibrer</x:v>
      </x:c>
      <x:c r="J1529" s="115" t="str">
        <x:v>Non</x:v>
      </x:c>
      <x:c r="K1529" s="115" t="str">
        <x:v>Pièces décrites, murs, portes, niveaux et mobilier inspectables à l’échelle. Volumes réservés, raccord au seed, butin, rencontres et services de campagne restent à terminer.</x:v>
      </x:c>
    </x:row>
    <x:row r="1530" ht="96" customHeight="1">
      <x:c r="A1530" s="115" t="str">
        <x:v>EXT-MONDE-T031-V25</x:v>
      </x:c>
      <x:c r="B1530" s="115" t="str">
        <x:v>EXT-MONDE-T031</x:v>
      </x:c>
      <x:c r="C1530" s="115" t="str">
        <x:v>Ponts</x:v>
      </x:c>
      <x:c r="D1530" s="115" t="str">
        <x:v>Pont levant portuaire</x:v>
      </x:c>
      <x:c r="E1530" s="115" t="n">
        <x:v>25</x:v>
      </x:c>
      <x:c r="F1530" s="115" t="str">
        <x:v>Inspection physique</x:v>
      </x:c>
      <x:c r="G1530" s="115" t="str">
        <x:v>1 niveaux ; 34 pièces ; 260 segments de mur ; 0 transitions. Inspection physique ; architecture complète encore ouverte.</x:v>
      </x:c>
      <x:c r="H1530" s="115" t="str">
        <x:v>L 820 ; l 1220 ; hauteur 32,66 m ; choix de composition auteur ; dimensions réelles à documenter</x:v>
      </x:c>
      <x:c r="I1530" s="115" t="str">
        <x:v>À équilibrer</x:v>
      </x:c>
      <x:c r="J1530" s="115" t="str">
        <x:v>Non</x:v>
      </x:c>
      <x:c r="K1530" s="115" t="str">
        <x:v>Pièces décrites, murs, portes, niveaux et mobilier inspectables à l’échelle. Volumes réservés, raccord au seed, butin, rencontres et services de campagne restent à terminer.</x:v>
      </x:c>
    </x:row>
    <x:row r="1531" ht="96" customHeight="1">
      <x:c r="A1531" s="115" t="str">
        <x:v>EXT-MONDE-T031-V26</x:v>
      </x:c>
      <x:c r="B1531" s="115" t="str">
        <x:v>EXT-MONDE-T031</x:v>
      </x:c>
      <x:c r="C1531" s="115" t="str">
        <x:v>Ponts</x:v>
      </x:c>
      <x:c r="D1531" s="115" t="str">
        <x:v>Pont levant portuaire</x:v>
      </x:c>
      <x:c r="E1531" s="115" t="n">
        <x:v>26</x:v>
      </x:c>
      <x:c r="F1531" s="115" t="str">
        <x:v>Inspection physique</x:v>
      </x:c>
      <x:c r="G1531" s="115" t="str">
        <x:v>1 niveaux ; 34 pièces ; 260 segments de mur ; 0 transitions. Inspection physique ; architecture complète encore ouverte.</x:v>
      </x:c>
      <x:c r="H1531" s="115" t="str">
        <x:v>L 820 ; l 1220 ; hauteur 32,7 m ; choix de composition auteur ; dimensions réelles à documenter</x:v>
      </x:c>
      <x:c r="I1531" s="115" t="str">
        <x:v>À équilibrer</x:v>
      </x:c>
      <x:c r="J1531" s="115" t="str">
        <x:v>Non</x:v>
      </x:c>
      <x:c r="K1531" s="115" t="str">
        <x:v>Pièces décrites, murs, portes, niveaux et mobilier inspectables à l’échelle. Volumes réservés, raccord au seed, butin, rencontres et services de campagne restent à terminer.</x:v>
      </x:c>
    </x:row>
    <x:row r="1532" ht="96" customHeight="1">
      <x:c r="A1532" s="115" t="str">
        <x:v>EXT-MONDE-T031-V27</x:v>
      </x:c>
      <x:c r="B1532" s="115" t="str">
        <x:v>EXT-MONDE-T031</x:v>
      </x:c>
      <x:c r="C1532" s="115" t="str">
        <x:v>Ponts</x:v>
      </x:c>
      <x:c r="D1532" s="115" t="str">
        <x:v>Pont levant portuaire</x:v>
      </x:c>
      <x:c r="E1532" s="115" t="n">
        <x:v>27</x:v>
      </x:c>
      <x:c r="F1532" s="115" t="str">
        <x:v>Inspection physique</x:v>
      </x:c>
      <x:c r="G1532" s="115" t="str">
        <x:v>1 niveaux ; 34 pièces ; 260 segments de mur ; 0 transitions. Inspection physique ; architecture complète encore ouverte.</x:v>
      </x:c>
      <x:c r="H1532" s="115" t="str">
        <x:v>L 820 ; l 1220 ; hauteur 32,74 m ; choix de composition auteur ; dimensions réelles à documenter</x:v>
      </x:c>
      <x:c r="I1532" s="115" t="str">
        <x:v>À équilibrer</x:v>
      </x:c>
      <x:c r="J1532" s="115" t="str">
        <x:v>Non</x:v>
      </x:c>
      <x:c r="K1532" s="115" t="str">
        <x:v>Pièces décrites, murs, portes, niveaux et mobilier inspectables à l’échelle. Volumes réservés, raccord au seed, butin, rencontres et services de campagne restent à terminer.</x:v>
      </x:c>
    </x:row>
    <x:row r="1533" ht="96" customHeight="1">
      <x:c r="A1533" s="115" t="str">
        <x:v>EXT-MONDE-T031-V28</x:v>
      </x:c>
      <x:c r="B1533" s="115" t="str">
        <x:v>EXT-MONDE-T031</x:v>
      </x:c>
      <x:c r="C1533" s="115" t="str">
        <x:v>Ponts</x:v>
      </x:c>
      <x:c r="D1533" s="115" t="str">
        <x:v>Pont levant portuaire</x:v>
      </x:c>
      <x:c r="E1533" s="115" t="n">
        <x:v>28</x:v>
      </x:c>
      <x:c r="F1533" s="115" t="str">
        <x:v>Inspection physique</x:v>
      </x:c>
      <x:c r="G1533" s="115" t="str">
        <x:v>1 niveaux ; 34 pièces ; 260 segments de mur ; 0 transitions. Inspection physique ; architecture complète encore ouverte.</x:v>
      </x:c>
      <x:c r="H1533" s="115" t="str">
        <x:v>L 820 ; l 1220 ; hauteur 32,78 m ; choix de composition auteur ; dimensions réelles à documenter</x:v>
      </x:c>
      <x:c r="I1533" s="115" t="str">
        <x:v>À équilibrer</x:v>
      </x:c>
      <x:c r="J1533" s="115" t="str">
        <x:v>Non</x:v>
      </x:c>
      <x:c r="K1533" s="115" t="str">
        <x:v>Pièces décrites, murs, portes, niveaux et mobilier inspectables à l’échelle. Volumes réservés, raccord au seed, butin, rencontres et services de campagne restent à terminer.</x:v>
      </x:c>
    </x:row>
    <x:row r="1534" ht="96" customHeight="1">
      <x:c r="A1534" s="115" t="str">
        <x:v>EXT-MONDE-T031-V29</x:v>
      </x:c>
      <x:c r="B1534" s="115" t="str">
        <x:v>EXT-MONDE-T031</x:v>
      </x:c>
      <x:c r="C1534" s="115" t="str">
        <x:v>Ponts</x:v>
      </x:c>
      <x:c r="D1534" s="115" t="str">
        <x:v>Pont levant portuaire</x:v>
      </x:c>
      <x:c r="E1534" s="115" t="n">
        <x:v>29</x:v>
      </x:c>
      <x:c r="F1534" s="115" t="str">
        <x:v>Inspection physique</x:v>
      </x:c>
      <x:c r="G1534" s="115" t="str">
        <x:v>1 niveaux ; 34 pièces ; 260 segments de mur ; 0 transitions. Inspection physique ; architecture complète encore ouverte.</x:v>
      </x:c>
      <x:c r="H1534" s="115" t="str">
        <x:v>L 820 ; l 1220 ; hauteur 32,82 m ; choix de composition auteur ; dimensions réelles à documenter</x:v>
      </x:c>
      <x:c r="I1534" s="115" t="str">
        <x:v>À équilibrer</x:v>
      </x:c>
      <x:c r="J1534" s="115" t="str">
        <x:v>Non</x:v>
      </x:c>
      <x:c r="K1534" s="115" t="str">
        <x:v>Pièces décrites, murs, portes, niveaux et mobilier inspectables à l’échelle. Volumes réservés, raccord au seed, butin, rencontres et services de campagne restent à terminer.</x:v>
      </x:c>
    </x:row>
    <x:row r="1535" ht="96" customHeight="1">
      <x:c r="A1535" s="115" t="str">
        <x:v>EXT-MONDE-T031-V30</x:v>
      </x:c>
      <x:c r="B1535" s="115" t="str">
        <x:v>EXT-MONDE-T031</x:v>
      </x:c>
      <x:c r="C1535" s="115" t="str">
        <x:v>Ponts</x:v>
      </x:c>
      <x:c r="D1535" s="115" t="str">
        <x:v>Pont levant portuaire</x:v>
      </x:c>
      <x:c r="E1535" s="115" t="n">
        <x:v>30</x:v>
      </x:c>
      <x:c r="F1535" s="115" t="str">
        <x:v>Inspection physique</x:v>
      </x:c>
      <x:c r="G1535" s="115" t="str">
        <x:v>1 niveaux ; 34 pièces ; 260 segments de mur ; 0 transitions. Inspection physique ; architecture complète encore ouverte.</x:v>
      </x:c>
      <x:c r="H1535" s="115" t="str">
        <x:v>L 820 ; l 1220 ; hauteur 32,86 m ; choix de composition auteur ; dimensions réelles à documenter</x:v>
      </x:c>
      <x:c r="I1535" s="115" t="str">
        <x:v>À équilibrer</x:v>
      </x:c>
      <x:c r="J1535" s="115" t="str">
        <x:v>Non</x:v>
      </x:c>
      <x:c r="K1535" s="115" t="str">
        <x:v>Pièces décrites, murs, portes, niveaux et mobilier inspectables à l’échelle. Volumes réservés, raccord au seed, butin, rencontres et services de campagne restent à terminer.</x:v>
      </x:c>
    </x:row>
    <x:row r="1536" ht="96" customHeight="1">
      <x:c r="A1536" s="115" t="str">
        <x:v>EXT-MONDE-T031-V31</x:v>
      </x:c>
      <x:c r="B1536" s="115" t="str">
        <x:v>EXT-MONDE-T031</x:v>
      </x:c>
      <x:c r="C1536" s="115" t="str">
        <x:v>Ponts</x:v>
      </x:c>
      <x:c r="D1536" s="115" t="str">
        <x:v>Pont levant portuaire</x:v>
      </x:c>
      <x:c r="E1536" s="115" t="n">
        <x:v>31</x:v>
      </x:c>
      <x:c r="F1536" s="115" t="str">
        <x:v>Inspection physique</x:v>
      </x:c>
      <x:c r="G1536" s="115" t="str">
        <x:v>1 niveaux ; 34 pièces ; 260 segments de mur ; 0 transitions. Inspection physique ; architecture complète encore ouverte.</x:v>
      </x:c>
      <x:c r="H1536" s="115" t="str">
        <x:v>L 900 ; l 1380 ; hauteur 34,5 m ; choix de composition auteur ; dimensions réelles à documenter</x:v>
      </x:c>
      <x:c r="I1536" s="115" t="str">
        <x:v>À équilibrer</x:v>
      </x:c>
      <x:c r="J1536" s="115" t="str">
        <x:v>Non</x:v>
      </x:c>
      <x:c r="K1536" s="115" t="str">
        <x:v>Pièces décrites, murs, portes, niveaux et mobilier inspectables à l’échelle. Volumes réservés, raccord au seed, butin, rencontres et services de campagne restent à terminer.</x:v>
      </x:c>
    </x:row>
    <x:row r="1537" ht="96" customHeight="1">
      <x:c r="A1537" s="115" t="str">
        <x:v>EXT-MONDE-T031-V32</x:v>
      </x:c>
      <x:c r="B1537" s="115" t="str">
        <x:v>EXT-MONDE-T031</x:v>
      </x:c>
      <x:c r="C1537" s="115" t="str">
        <x:v>Ponts</x:v>
      </x:c>
      <x:c r="D1537" s="115" t="str">
        <x:v>Pont levant portuaire</x:v>
      </x:c>
      <x:c r="E1537" s="115" t="n">
        <x:v>32</x:v>
      </x:c>
      <x:c r="F1537" s="115" t="str">
        <x:v>Inspection physique</x:v>
      </x:c>
      <x:c r="G1537" s="115" t="str">
        <x:v>1 niveaux ; 34 pièces ; 260 segments de mur ; 0 transitions. Inspection physique ; architecture complète encore ouverte.</x:v>
      </x:c>
      <x:c r="H1537" s="115" t="str">
        <x:v>L 900 ; l 1380 ; hauteur 34,54 m ; choix de composition auteur ; dimensions réelles à documenter</x:v>
      </x:c>
      <x:c r="I1537" s="115" t="str">
        <x:v>À équilibrer</x:v>
      </x:c>
      <x:c r="J1537" s="115" t="str">
        <x:v>Non</x:v>
      </x:c>
      <x:c r="K1537" s="115" t="str">
        <x:v>Pièces décrites, murs, portes, niveaux et mobilier inspectables à l’échelle. Volumes réservés, raccord au seed, butin, rencontres et services de campagne restent à terminer.</x:v>
      </x:c>
    </x:row>
    <x:row r="1538" ht="96" customHeight="1">
      <x:c r="A1538" s="115" t="str">
        <x:v>EXT-MONDE-T031-V33</x:v>
      </x:c>
      <x:c r="B1538" s="115" t="str">
        <x:v>EXT-MONDE-T031</x:v>
      </x:c>
      <x:c r="C1538" s="115" t="str">
        <x:v>Ponts</x:v>
      </x:c>
      <x:c r="D1538" s="115" t="str">
        <x:v>Pont levant portuaire</x:v>
      </x:c>
      <x:c r="E1538" s="115" t="n">
        <x:v>33</x:v>
      </x:c>
      <x:c r="F1538" s="115" t="str">
        <x:v>Inspection physique</x:v>
      </x:c>
      <x:c r="G1538" s="115" t="str">
        <x:v>1 niveaux ; 34 pièces ; 260 segments de mur ; 0 transitions. Inspection physique ; architecture complète encore ouverte.</x:v>
      </x:c>
      <x:c r="H1538" s="115" t="str">
        <x:v>L 900 ; l 1380 ; hauteur 34,58 m ; choix de composition auteur ; dimensions réelles à documenter</x:v>
      </x:c>
      <x:c r="I1538" s="115" t="str">
        <x:v>À équilibrer</x:v>
      </x:c>
      <x:c r="J1538" s="115" t="str">
        <x:v>Non</x:v>
      </x:c>
      <x:c r="K1538" s="115" t="str">
        <x:v>Pièces décrites, murs, portes, niveaux et mobilier inspectables à l’échelle. Volumes réservés, raccord au seed, butin, rencontres et services de campagne restent à terminer.</x:v>
      </x:c>
    </x:row>
    <x:row r="1539" ht="96" customHeight="1">
      <x:c r="A1539" s="115" t="str">
        <x:v>EXT-MONDE-T031-V34</x:v>
      </x:c>
      <x:c r="B1539" s="115" t="str">
        <x:v>EXT-MONDE-T031</x:v>
      </x:c>
      <x:c r="C1539" s="115" t="str">
        <x:v>Ponts</x:v>
      </x:c>
      <x:c r="D1539" s="115" t="str">
        <x:v>Pont levant portuaire</x:v>
      </x:c>
      <x:c r="E1539" s="115" t="n">
        <x:v>34</x:v>
      </x:c>
      <x:c r="F1539" s="115" t="str">
        <x:v>Inspection physique</x:v>
      </x:c>
      <x:c r="G1539" s="115" t="str">
        <x:v>1 niveaux ; 34 pièces ; 260 segments de mur ; 0 transitions. Inspection physique ; architecture complète encore ouverte.</x:v>
      </x:c>
      <x:c r="H1539" s="115" t="str">
        <x:v>L 900 ; l 1380 ; hauteur 34,62 m ; choix de composition auteur ; dimensions réelles à documenter</x:v>
      </x:c>
      <x:c r="I1539" s="115" t="str">
        <x:v>À équilibrer</x:v>
      </x:c>
      <x:c r="J1539" s="115" t="str">
        <x:v>Non</x:v>
      </x:c>
      <x:c r="K1539" s="115" t="str">
        <x:v>Pièces décrites, murs, portes, niveaux et mobilier inspectables à l’échelle. Volumes réservés, raccord au seed, butin, rencontres et services de campagne restent à terminer.</x:v>
      </x:c>
    </x:row>
    <x:row r="1540" ht="96" customHeight="1">
      <x:c r="A1540" s="115" t="str">
        <x:v>EXT-MONDE-T031-V35</x:v>
      </x:c>
      <x:c r="B1540" s="115" t="str">
        <x:v>EXT-MONDE-T031</x:v>
      </x:c>
      <x:c r="C1540" s="115" t="str">
        <x:v>Ponts</x:v>
      </x:c>
      <x:c r="D1540" s="115" t="str">
        <x:v>Pont levant portuaire</x:v>
      </x:c>
      <x:c r="E1540" s="115" t="n">
        <x:v>35</x:v>
      </x:c>
      <x:c r="F1540" s="115" t="str">
        <x:v>Inspection physique</x:v>
      </x:c>
      <x:c r="G1540" s="115" t="str">
        <x:v>1 niveaux ; 34 pièces ; 260 segments de mur ; 0 transitions. Inspection physique ; architecture complète encore ouverte.</x:v>
      </x:c>
      <x:c r="H1540" s="115" t="str">
        <x:v>L 900 ; l 1380 ; hauteur 34,66 m ; choix de composition auteur ; dimensions réelles à documenter</x:v>
      </x:c>
      <x:c r="I1540" s="115" t="str">
        <x:v>À équilibrer</x:v>
      </x:c>
      <x:c r="J1540" s="115" t="str">
        <x:v>Non</x:v>
      </x:c>
      <x:c r="K1540" s="115" t="str">
        <x:v>Pièces décrites, murs, portes, niveaux et mobilier inspectables à l’échelle. Volumes réservés, raccord au seed, butin, rencontres et services de campagne restent à terminer.</x:v>
      </x:c>
    </x:row>
    <x:row r="1541" ht="96" customHeight="1">
      <x:c r="A1541" s="115" t="str">
        <x:v>EXT-MONDE-T031-V36</x:v>
      </x:c>
      <x:c r="B1541" s="115" t="str">
        <x:v>EXT-MONDE-T031</x:v>
      </x:c>
      <x:c r="C1541" s="115" t="str">
        <x:v>Ponts</x:v>
      </x:c>
      <x:c r="D1541" s="115" t="str">
        <x:v>Pont levant portuaire</x:v>
      </x:c>
      <x:c r="E1541" s="115" t="n">
        <x:v>36</x:v>
      </x:c>
      <x:c r="F1541" s="115" t="str">
        <x:v>Inspection physique</x:v>
      </x:c>
      <x:c r="G1541" s="115" t="str">
        <x:v>1 niveaux ; 34 pièces ; 260 segments de mur ; 0 transitions. Inspection physique ; architecture complète encore ouverte.</x:v>
      </x:c>
      <x:c r="H1541" s="115" t="str">
        <x:v>L 900 ; l 1380 ; hauteur 34,7 m ; choix de composition auteur ; dimensions réelles à documenter</x:v>
      </x:c>
      <x:c r="I1541" s="115" t="str">
        <x:v>À équilibrer</x:v>
      </x:c>
      <x:c r="J1541" s="115" t="str">
        <x:v>Non</x:v>
      </x:c>
      <x:c r="K1541" s="115" t="str">
        <x:v>Pièces décrites, murs, portes, niveaux et mobilier inspectables à l’échelle. Volumes réservés, raccord au seed, butin, rencontres et services de campagne restent à terminer.</x:v>
      </x:c>
    </x:row>
    <x:row r="1542" ht="96" customHeight="1">
      <x:c r="A1542" s="115" t="str">
        <x:v>EXT-MONDE-T031-V37</x:v>
      </x:c>
      <x:c r="B1542" s="115" t="str">
        <x:v>EXT-MONDE-T031</x:v>
      </x:c>
      <x:c r="C1542" s="115" t="str">
        <x:v>Ponts</x:v>
      </x:c>
      <x:c r="D1542" s="115" t="str">
        <x:v>Pont levant portuaire</x:v>
      </x:c>
      <x:c r="E1542" s="115" t="n">
        <x:v>37</x:v>
      </x:c>
      <x:c r="F1542" s="115" t="str">
        <x:v>Inspection physique</x:v>
      </x:c>
      <x:c r="G1542" s="115" t="str">
        <x:v>1 niveaux ; 34 pièces ; 260 segments de mur ; 0 transitions. Inspection physique ; architecture complète encore ouverte.</x:v>
      </x:c>
      <x:c r="H1542" s="115" t="str">
        <x:v>L 900 ; l 1380 ; hauteur 34,74 m ; choix de composition auteur ; dimensions réelles à documenter</x:v>
      </x:c>
      <x:c r="I1542" s="115" t="str">
        <x:v>À équilibrer</x:v>
      </x:c>
      <x:c r="J1542" s="115" t="str">
        <x:v>Non</x:v>
      </x:c>
      <x:c r="K1542" s="115" t="str">
        <x:v>Pièces décrites, murs, portes, niveaux et mobilier inspectables à l’échelle. Volumes réservés, raccord au seed, butin, rencontres et services de campagne restent à terminer.</x:v>
      </x:c>
    </x:row>
    <x:row r="1543" ht="96" customHeight="1">
      <x:c r="A1543" s="115" t="str">
        <x:v>EXT-MONDE-T031-V38</x:v>
      </x:c>
      <x:c r="B1543" s="115" t="str">
        <x:v>EXT-MONDE-T031</x:v>
      </x:c>
      <x:c r="C1543" s="115" t="str">
        <x:v>Ponts</x:v>
      </x:c>
      <x:c r="D1543" s="115" t="str">
        <x:v>Pont levant portuaire</x:v>
      </x:c>
      <x:c r="E1543" s="115" t="n">
        <x:v>38</x:v>
      </x:c>
      <x:c r="F1543" s="115" t="str">
        <x:v>Inspection physique</x:v>
      </x:c>
      <x:c r="G1543" s="115" t="str">
        <x:v>1 niveaux ; 34 pièces ; 260 segments de mur ; 0 transitions. Inspection physique ; architecture complète encore ouverte.</x:v>
      </x:c>
      <x:c r="H1543" s="115" t="str">
        <x:v>L 900 ; l 1380 ; hauteur 34,78 m ; choix de composition auteur ; dimensions réelles à documenter</x:v>
      </x:c>
      <x:c r="I1543" s="115" t="str">
        <x:v>À équilibrer</x:v>
      </x:c>
      <x:c r="J1543" s="115" t="str">
        <x:v>Non</x:v>
      </x:c>
      <x:c r="K1543" s="115" t="str">
        <x:v>Pièces décrites, murs, portes, niveaux et mobilier inspectables à l’échelle. Volumes réservés, raccord au seed, butin, rencontres et services de campagne restent à terminer.</x:v>
      </x:c>
    </x:row>
    <x:row r="1544" ht="96" customHeight="1">
      <x:c r="A1544" s="115" t="str">
        <x:v>EXT-MONDE-T031-V39</x:v>
      </x:c>
      <x:c r="B1544" s="115" t="str">
        <x:v>EXT-MONDE-T031</x:v>
      </x:c>
      <x:c r="C1544" s="115" t="str">
        <x:v>Ponts</x:v>
      </x:c>
      <x:c r="D1544" s="115" t="str">
        <x:v>Pont levant portuaire</x:v>
      </x:c>
      <x:c r="E1544" s="115" t="n">
        <x:v>39</x:v>
      </x:c>
      <x:c r="F1544" s="115" t="str">
        <x:v>Inspection physique</x:v>
      </x:c>
      <x:c r="G1544" s="115" t="str">
        <x:v>1 niveaux ; 34 pièces ; 260 segments de mur ; 0 transitions. Inspection physique ; architecture complète encore ouverte.</x:v>
      </x:c>
      <x:c r="H1544" s="115" t="str">
        <x:v>L 900 ; l 1380 ; hauteur 34,82 m ; choix de composition auteur ; dimensions réelles à documenter</x:v>
      </x:c>
      <x:c r="I1544" s="115" t="str">
        <x:v>À équilibrer</x:v>
      </x:c>
      <x:c r="J1544" s="115" t="str">
        <x:v>Non</x:v>
      </x:c>
      <x:c r="K1544" s="115" t="str">
        <x:v>Pièces décrites, murs, portes, niveaux et mobilier inspectables à l’échelle. Volumes réservés, raccord au seed, butin, rencontres et services de campagne restent à terminer.</x:v>
      </x:c>
    </x:row>
    <x:row r="1545" ht="96" customHeight="1">
      <x:c r="A1545" s="115" t="str">
        <x:v>EXT-MONDE-T031-V40</x:v>
      </x:c>
      <x:c r="B1545" s="115" t="str">
        <x:v>EXT-MONDE-T031</x:v>
      </x:c>
      <x:c r="C1545" s="115" t="str">
        <x:v>Ponts</x:v>
      </x:c>
      <x:c r="D1545" s="115" t="str">
        <x:v>Pont levant portuaire</x:v>
      </x:c>
      <x:c r="E1545" s="115" t="n">
        <x:v>40</x:v>
      </x:c>
      <x:c r="F1545" s="115" t="str">
        <x:v>Inspection physique</x:v>
      </x:c>
      <x:c r="G1545" s="115" t="str">
        <x:v>1 niveaux ; 34 pièces ; 260 segments de mur ; 0 transitions. Inspection physique ; architecture complète encore ouverte.</x:v>
      </x:c>
      <x:c r="H1545" s="115" t="str">
        <x:v>L 900 ; l 1380 ; hauteur 34,86 m ; choix de composition auteur ; dimensions réelles à documenter</x:v>
      </x:c>
      <x:c r="I1545" s="115" t="str">
        <x:v>À équilibrer</x:v>
      </x:c>
      <x:c r="J1545" s="115" t="str">
        <x:v>Non</x:v>
      </x:c>
      <x:c r="K1545" s="115" t="str">
        <x:v>Pièces décrites, murs, portes, niveaux et mobilier inspectables à l’échelle. Volumes réservés, raccord au seed, butin, rencontres et services de campagne restent à terminer.</x:v>
      </x:c>
    </x:row>
    <x:row r="1546" ht="96" customHeight="1">
      <x:c r="A1546" s="115" t="str">
        <x:v>EXT-MONDE-T031-V41</x:v>
      </x:c>
      <x:c r="B1546" s="115" t="str">
        <x:v>EXT-MONDE-T031</x:v>
      </x:c>
      <x:c r="C1546" s="115" t="str">
        <x:v>Ponts</x:v>
      </x:c>
      <x:c r="D1546" s="115" t="str">
        <x:v>Pont levant portuaire</x:v>
      </x:c>
      <x:c r="E1546" s="115" t="n">
        <x:v>41</x:v>
      </x:c>
      <x:c r="F1546" s="115" t="str">
        <x:v>Inspection physique</x:v>
      </x:c>
      <x:c r="G1546" s="115" t="str">
        <x:v>1 niveaux ; 34 pièces ; 260 segments de mur ; 0 transitions. Inspection physique ; architecture complète encore ouverte.</x:v>
      </x:c>
      <x:c r="H1546" s="115" t="str">
        <x:v>L 980 ; l 1540 ; hauteur 36,5 m ; choix de composition auteur ; dimensions réelles à documenter</x:v>
      </x:c>
      <x:c r="I1546" s="115" t="str">
        <x:v>À équilibrer</x:v>
      </x:c>
      <x:c r="J1546" s="115" t="str">
        <x:v>Non</x:v>
      </x:c>
      <x:c r="K1546" s="115" t="str">
        <x:v>Pièces décrites, murs, portes, niveaux et mobilier inspectables à l’échelle. Volumes réservés, raccord au seed, butin, rencontres et services de campagne restent à terminer.</x:v>
      </x:c>
    </x:row>
    <x:row r="1547" ht="96" customHeight="1">
      <x:c r="A1547" s="115" t="str">
        <x:v>EXT-MONDE-T031-V42</x:v>
      </x:c>
      <x:c r="B1547" s="115" t="str">
        <x:v>EXT-MONDE-T031</x:v>
      </x:c>
      <x:c r="C1547" s="115" t="str">
        <x:v>Ponts</x:v>
      </x:c>
      <x:c r="D1547" s="115" t="str">
        <x:v>Pont levant portuaire</x:v>
      </x:c>
      <x:c r="E1547" s="115" t="n">
        <x:v>42</x:v>
      </x:c>
      <x:c r="F1547" s="115" t="str">
        <x:v>Inspection physique</x:v>
      </x:c>
      <x:c r="G1547" s="115" t="str">
        <x:v>1 niveaux ; 34 pièces ; 260 segments de mur ; 0 transitions. Inspection physique ; architecture complète encore ouverte.</x:v>
      </x:c>
      <x:c r="H1547" s="115" t="str">
        <x:v>L 980 ; l 1540 ; hauteur 36,54 m ; choix de composition auteur ; dimensions réelles à documenter</x:v>
      </x:c>
      <x:c r="I1547" s="115" t="str">
        <x:v>À équilibrer</x:v>
      </x:c>
      <x:c r="J1547" s="115" t="str">
        <x:v>Non</x:v>
      </x:c>
      <x:c r="K1547" s="115" t="str">
        <x:v>Pièces décrites, murs, portes, niveaux et mobilier inspectables à l’échelle. Volumes réservés, raccord au seed, butin, rencontres et services de campagne restent à terminer.</x:v>
      </x:c>
    </x:row>
    <x:row r="1548" ht="96" customHeight="1">
      <x:c r="A1548" s="115" t="str">
        <x:v>EXT-MONDE-T031-V43</x:v>
      </x:c>
      <x:c r="B1548" s="115" t="str">
        <x:v>EXT-MONDE-T031</x:v>
      </x:c>
      <x:c r="C1548" s="115" t="str">
        <x:v>Ponts</x:v>
      </x:c>
      <x:c r="D1548" s="115" t="str">
        <x:v>Pont levant portuaire</x:v>
      </x:c>
      <x:c r="E1548" s="115" t="n">
        <x:v>43</x:v>
      </x:c>
      <x:c r="F1548" s="115" t="str">
        <x:v>Inspection physique</x:v>
      </x:c>
      <x:c r="G1548" s="115" t="str">
        <x:v>1 niveaux ; 34 pièces ; 260 segments de mur ; 0 transitions. Inspection physique ; architecture complète encore ouverte.</x:v>
      </x:c>
      <x:c r="H1548" s="115" t="str">
        <x:v>L 980 ; l 1540 ; hauteur 36,58 m ; choix de composition auteur ; dimensions réelles à documenter</x:v>
      </x:c>
      <x:c r="I1548" s="115" t="str">
        <x:v>À équilibrer</x:v>
      </x:c>
      <x:c r="J1548" s="115" t="str">
        <x:v>Non</x:v>
      </x:c>
      <x:c r="K1548" s="115" t="str">
        <x:v>Pièces décrites, murs, portes, niveaux et mobilier inspectables à l’échelle. Volumes réservés, raccord au seed, butin, rencontres et services de campagne restent à terminer.</x:v>
      </x:c>
    </x:row>
    <x:row r="1549" ht="96" customHeight="1">
      <x:c r="A1549" s="115" t="str">
        <x:v>EXT-MONDE-T031-V44</x:v>
      </x:c>
      <x:c r="B1549" s="115" t="str">
        <x:v>EXT-MONDE-T031</x:v>
      </x:c>
      <x:c r="C1549" s="115" t="str">
        <x:v>Ponts</x:v>
      </x:c>
      <x:c r="D1549" s="115" t="str">
        <x:v>Pont levant portuaire</x:v>
      </x:c>
      <x:c r="E1549" s="115" t="n">
        <x:v>44</x:v>
      </x:c>
      <x:c r="F1549" s="115" t="str">
        <x:v>Inspection physique</x:v>
      </x:c>
      <x:c r="G1549" s="115" t="str">
        <x:v>1 niveaux ; 34 pièces ; 260 segments de mur ; 0 transitions. Inspection physique ; architecture complète encore ouverte.</x:v>
      </x:c>
      <x:c r="H1549" s="115" t="str">
        <x:v>L 980 ; l 1540 ; hauteur 36,62 m ; choix de composition auteur ; dimensions réelles à documenter</x:v>
      </x:c>
      <x:c r="I1549" s="115" t="str">
        <x:v>À équilibrer</x:v>
      </x:c>
      <x:c r="J1549" s="115" t="str">
        <x:v>Non</x:v>
      </x:c>
      <x:c r="K1549" s="115" t="str">
        <x:v>Pièces décrites, murs, portes, niveaux et mobilier inspectables à l’échelle. Volumes réservés, raccord au seed, butin, rencontres et services de campagne restent à terminer.</x:v>
      </x:c>
    </x:row>
    <x:row r="1550" ht="96" customHeight="1">
      <x:c r="A1550" s="115" t="str">
        <x:v>EXT-MONDE-T031-V45</x:v>
      </x:c>
      <x:c r="B1550" s="115" t="str">
        <x:v>EXT-MONDE-T031</x:v>
      </x:c>
      <x:c r="C1550" s="115" t="str">
        <x:v>Ponts</x:v>
      </x:c>
      <x:c r="D1550" s="115" t="str">
        <x:v>Pont levant portuaire</x:v>
      </x:c>
      <x:c r="E1550" s="115" t="n">
        <x:v>45</x:v>
      </x:c>
      <x:c r="F1550" s="115" t="str">
        <x:v>Inspection physique</x:v>
      </x:c>
      <x:c r="G1550" s="115" t="str">
        <x:v>1 niveaux ; 34 pièces ; 260 segments de mur ; 0 transitions. Inspection physique ; architecture complète encore ouverte.</x:v>
      </x:c>
      <x:c r="H1550" s="115" t="str">
        <x:v>L 980 ; l 1540 ; hauteur 36,66 m ; choix de composition auteur ; dimensions réelles à documenter</x:v>
      </x:c>
      <x:c r="I1550" s="115" t="str">
        <x:v>À équilibrer</x:v>
      </x:c>
      <x:c r="J1550" s="115" t="str">
        <x:v>Non</x:v>
      </x:c>
      <x:c r="K1550" s="115" t="str">
        <x:v>Pièces décrites, murs, portes, niveaux et mobilier inspectables à l’échelle. Volumes réservés, raccord au seed, butin, rencontres et services de campagne restent à terminer.</x:v>
      </x:c>
    </x:row>
    <x:row r="1551" ht="96" customHeight="1">
      <x:c r="A1551" s="115" t="str">
        <x:v>EXT-MONDE-T031-V46</x:v>
      </x:c>
      <x:c r="B1551" s="115" t="str">
        <x:v>EXT-MONDE-T031</x:v>
      </x:c>
      <x:c r="C1551" s="115" t="str">
        <x:v>Ponts</x:v>
      </x:c>
      <x:c r="D1551" s="115" t="str">
        <x:v>Pont levant portuaire</x:v>
      </x:c>
      <x:c r="E1551" s="115" t="n">
        <x:v>46</x:v>
      </x:c>
      <x:c r="F1551" s="115" t="str">
        <x:v>Inspection physique</x:v>
      </x:c>
      <x:c r="G1551" s="115" t="str">
        <x:v>1 niveaux ; 34 pièces ; 260 segments de mur ; 0 transitions. Inspection physique ; architecture complète encore ouverte.</x:v>
      </x:c>
      <x:c r="H1551" s="115" t="str">
        <x:v>L 980 ; l 1540 ; hauteur 36,7 m ; choix de composition auteur ; dimensions réelles à documenter</x:v>
      </x:c>
      <x:c r="I1551" s="115" t="str">
        <x:v>À équilibrer</x:v>
      </x:c>
      <x:c r="J1551" s="115" t="str">
        <x:v>Non</x:v>
      </x:c>
      <x:c r="K1551" s="115" t="str">
        <x:v>Pièces décrites, murs, portes, niveaux et mobilier inspectables à l’échelle. Volumes réservés, raccord au seed, butin, rencontres et services de campagne restent à terminer.</x:v>
      </x:c>
    </x:row>
    <x:row r="1552" ht="96" customHeight="1">
      <x:c r="A1552" s="115" t="str">
        <x:v>EXT-MONDE-T031-V47</x:v>
      </x:c>
      <x:c r="B1552" s="115" t="str">
        <x:v>EXT-MONDE-T031</x:v>
      </x:c>
      <x:c r="C1552" s="115" t="str">
        <x:v>Ponts</x:v>
      </x:c>
      <x:c r="D1552" s="115" t="str">
        <x:v>Pont levant portuaire</x:v>
      </x:c>
      <x:c r="E1552" s="115" t="n">
        <x:v>47</x:v>
      </x:c>
      <x:c r="F1552" s="115" t="str">
        <x:v>Inspection physique</x:v>
      </x:c>
      <x:c r="G1552" s="115" t="str">
        <x:v>1 niveaux ; 34 pièces ; 260 segments de mur ; 0 transitions. Inspection physique ; architecture complète encore ouverte.</x:v>
      </x:c>
      <x:c r="H1552" s="115" t="str">
        <x:v>L 980 ; l 1540 ; hauteur 36,74 m ; choix de composition auteur ; dimensions réelles à documenter</x:v>
      </x:c>
      <x:c r="I1552" s="115" t="str">
        <x:v>À équilibrer</x:v>
      </x:c>
      <x:c r="J1552" s="115" t="str">
        <x:v>Non</x:v>
      </x:c>
      <x:c r="K1552" s="115" t="str">
        <x:v>Pièces décrites, murs, portes, niveaux et mobilier inspectables à l’échelle. Volumes réservés, raccord au seed, butin, rencontres et services de campagne restent à terminer.</x:v>
      </x:c>
    </x:row>
    <x:row r="1553" ht="96" customHeight="1">
      <x:c r="A1553" s="115" t="str">
        <x:v>EXT-MONDE-T031-V48</x:v>
      </x:c>
      <x:c r="B1553" s="115" t="str">
        <x:v>EXT-MONDE-T031</x:v>
      </x:c>
      <x:c r="C1553" s="115" t="str">
        <x:v>Ponts</x:v>
      </x:c>
      <x:c r="D1553" s="115" t="str">
        <x:v>Pont levant portuaire</x:v>
      </x:c>
      <x:c r="E1553" s="115" t="n">
        <x:v>48</x:v>
      </x:c>
      <x:c r="F1553" s="115" t="str">
        <x:v>Inspection physique</x:v>
      </x:c>
      <x:c r="G1553" s="115" t="str">
        <x:v>1 niveaux ; 34 pièces ; 260 segments de mur ; 0 transitions. Inspection physique ; architecture complète encore ouverte.</x:v>
      </x:c>
      <x:c r="H1553" s="115" t="str">
        <x:v>L 980 ; l 1540 ; hauteur 36,78 m ; choix de composition auteur ; dimensions réelles à documenter</x:v>
      </x:c>
      <x:c r="I1553" s="115" t="str">
        <x:v>À équilibrer</x:v>
      </x:c>
      <x:c r="J1553" s="115" t="str">
        <x:v>Non</x:v>
      </x:c>
      <x:c r="K1553" s="115" t="str">
        <x:v>Pièces décrites, murs, portes, niveaux et mobilier inspectables à l’échelle. Volumes réservés, raccord au seed, butin, rencontres et services de campagne restent à terminer.</x:v>
      </x:c>
    </x:row>
    <x:row r="1554" ht="96" customHeight="1">
      <x:c r="A1554" s="115" t="str">
        <x:v>EXT-MONDE-T031-V49</x:v>
      </x:c>
      <x:c r="B1554" s="115" t="str">
        <x:v>EXT-MONDE-T031</x:v>
      </x:c>
      <x:c r="C1554" s="115" t="str">
        <x:v>Ponts</x:v>
      </x:c>
      <x:c r="D1554" s="115" t="str">
        <x:v>Pont levant portuaire</x:v>
      </x:c>
      <x:c r="E1554" s="115" t="n">
        <x:v>49</x:v>
      </x:c>
      <x:c r="F1554" s="115" t="str">
        <x:v>Inspection physique</x:v>
      </x:c>
      <x:c r="G1554" s="115" t="str">
        <x:v>1 niveaux ; 34 pièces ; 260 segments de mur ; 0 transitions. Inspection physique ; architecture complète encore ouverte.</x:v>
      </x:c>
      <x:c r="H1554" s="115" t="str">
        <x:v>L 980 ; l 1540 ; hauteur 36,82 m ; choix de composition auteur ; dimensions réelles à documenter</x:v>
      </x:c>
      <x:c r="I1554" s="115" t="str">
        <x:v>À équilibrer</x:v>
      </x:c>
      <x:c r="J1554" s="115" t="str">
        <x:v>Non</x:v>
      </x:c>
      <x:c r="K1554" s="115" t="str">
        <x:v>Pièces décrites, murs, portes, niveaux et mobilier inspectables à l’échelle. Volumes réservés, raccord au seed, butin, rencontres et services de campagne restent à terminer.</x:v>
      </x:c>
    </x:row>
    <x:row r="1555" ht="96" customHeight="1">
      <x:c r="A1555" s="115" t="str">
        <x:v>EXT-MONDE-T031-V50</x:v>
      </x:c>
      <x:c r="B1555" s="115" t="str">
        <x:v>EXT-MONDE-T031</x:v>
      </x:c>
      <x:c r="C1555" s="115" t="str">
        <x:v>Ponts</x:v>
      </x:c>
      <x:c r="D1555" s="115" t="str">
        <x:v>Pont levant portuaire</x:v>
      </x:c>
      <x:c r="E1555" s="115" t="n">
        <x:v>50</x:v>
      </x:c>
      <x:c r="F1555" s="115" t="str">
        <x:v>Inspection physique</x:v>
      </x:c>
      <x:c r="G1555" s="115" t="str">
        <x:v>1 niveaux ; 34 pièces ; 260 segments de mur ; 0 transitions. Inspection physique ; architecture complète encore ouverte.</x:v>
      </x:c>
      <x:c r="H1555" s="115" t="str">
        <x:v>L 980 ; l 1540 ; hauteur 36,86 m ; choix de composition auteur ; dimensions réelles à documenter</x:v>
      </x:c>
      <x:c r="I1555" s="115" t="str">
        <x:v>À équilibrer</x:v>
      </x:c>
      <x:c r="J1555" s="115" t="str">
        <x:v>Non</x:v>
      </x:c>
      <x:c r="K1555" s="115" t="str">
        <x:v>Pièces décrites, murs, portes, niveaux et mobilier inspectables à l’échelle. Volumes réservés, raccord au seed, butin, rencontres et services de campagne restent à terminer.</x:v>
      </x:c>
    </x:row>
    <x:row r="1556" ht="96" customHeight="1">
      <x:c r="A1556" s="115" t="str">
        <x:v>EXT-MONDE-T032-V01</x:v>
      </x:c>
      <x:c r="B1556" s="115" t="str">
        <x:v>EXT-MONDE-T032</x:v>
      </x:c>
      <x:c r="C1556" s="115" t="str">
        <x:v>Ponts</x:v>
      </x:c>
      <x:c r="D1556" s="115" t="str">
        <x:v>Viaduc ferroviaire</x:v>
      </x:c>
      <x:c r="E1556" s="115" t="n">
        <x:v>1</x:v>
      </x:c>
      <x:c r="F1556" s="115" t="str">
        <x:v>Inspection physique</x:v>
      </x:c>
      <x:c r="G1556" s="115" t="str">
        <x:v>1 niveaux ; 34 pièces ; 260 segments de mur ; 0 transitions. Inspection physique ; architecture complète encore ouverte.</x:v>
      </x:c>
      <x:c r="H1556" s="115" t="str">
        <x:v>L 800 ; l 2600 ; hauteur 18 m ; choix de composition auteur ; dimensions réelles à documenter</x:v>
      </x:c>
      <x:c r="I1556" s="115" t="str">
        <x:v>À équilibrer</x:v>
      </x:c>
      <x:c r="J1556" s="115" t="str">
        <x:v>Non</x:v>
      </x:c>
      <x:c r="K1556" s="115" t="str">
        <x:v>Pièces décrites, murs, portes, niveaux et mobilier inspectables à l’échelle. Volumes réservés, raccord au seed, butin, rencontres et services de campagne restent à terminer.</x:v>
      </x:c>
    </x:row>
    <x:row r="1557" ht="96" customHeight="1">
      <x:c r="A1557" s="115" t="str">
        <x:v>EXT-MONDE-T032-V02</x:v>
      </x:c>
      <x:c r="B1557" s="115" t="str">
        <x:v>EXT-MONDE-T032</x:v>
      </x:c>
      <x:c r="C1557" s="115" t="str">
        <x:v>Ponts</x:v>
      </x:c>
      <x:c r="D1557" s="115" t="str">
        <x:v>Viaduc ferroviaire</x:v>
      </x:c>
      <x:c r="E1557" s="115" t="n">
        <x:v>2</x:v>
      </x:c>
      <x:c r="F1557" s="115" t="str">
        <x:v>Inspection physique</x:v>
      </x:c>
      <x:c r="G1557" s="115" t="str">
        <x:v>1 niveaux ; 34 pièces ; 260 segments de mur ; 0 transitions. Inspection physique ; architecture complète encore ouverte.</x:v>
      </x:c>
      <x:c r="H1557" s="115" t="str">
        <x:v>L 800 ; l 2600 ; hauteur 18,04 m ; choix de composition auteur ; dimensions réelles à documenter</x:v>
      </x:c>
      <x:c r="I1557" s="115" t="str">
        <x:v>À équilibrer</x:v>
      </x:c>
      <x:c r="J1557" s="115" t="str">
        <x:v>Non</x:v>
      </x:c>
      <x:c r="K1557" s="115" t="str">
        <x:v>Pièces décrites, murs, portes, niveaux et mobilier inspectables à l’échelle. Volumes réservés, raccord au seed, butin, rencontres et services de campagne restent à terminer.</x:v>
      </x:c>
    </x:row>
    <x:row r="1558" ht="96" customHeight="1">
      <x:c r="A1558" s="115" t="str">
        <x:v>EXT-MONDE-T032-V03</x:v>
      </x:c>
      <x:c r="B1558" s="115" t="str">
        <x:v>EXT-MONDE-T032</x:v>
      </x:c>
      <x:c r="C1558" s="115" t="str">
        <x:v>Ponts</x:v>
      </x:c>
      <x:c r="D1558" s="115" t="str">
        <x:v>Viaduc ferroviaire</x:v>
      </x:c>
      <x:c r="E1558" s="115" t="n">
        <x:v>3</x:v>
      </x:c>
      <x:c r="F1558" s="115" t="str">
        <x:v>Inspection physique</x:v>
      </x:c>
      <x:c r="G1558" s="115" t="str">
        <x:v>1 niveaux ; 34 pièces ; 260 segments de mur ; 0 transitions. Inspection physique ; architecture complète encore ouverte.</x:v>
      </x:c>
      <x:c r="H1558" s="115" t="str">
        <x:v>L 800 ; l 2600 ; hauteur 18,08 m ; choix de composition auteur ; dimensions réelles à documenter</x:v>
      </x:c>
      <x:c r="I1558" s="115" t="str">
        <x:v>À équilibrer</x:v>
      </x:c>
      <x:c r="J1558" s="115" t="str">
        <x:v>Non</x:v>
      </x:c>
      <x:c r="K1558" s="115" t="str">
        <x:v>Pièces décrites, murs, portes, niveaux et mobilier inspectables à l’échelle. Volumes réservés, raccord au seed, butin, rencontres et services de campagne restent à terminer.</x:v>
      </x:c>
    </x:row>
    <x:row r="1559" ht="96" customHeight="1">
      <x:c r="A1559" s="115" t="str">
        <x:v>EXT-MONDE-T032-V04</x:v>
      </x:c>
      <x:c r="B1559" s="115" t="str">
        <x:v>EXT-MONDE-T032</x:v>
      </x:c>
      <x:c r="C1559" s="115" t="str">
        <x:v>Ponts</x:v>
      </x:c>
      <x:c r="D1559" s="115" t="str">
        <x:v>Viaduc ferroviaire</x:v>
      </x:c>
      <x:c r="E1559" s="115" t="n">
        <x:v>4</x:v>
      </x:c>
      <x:c r="F1559" s="115" t="str">
        <x:v>Inspection physique</x:v>
      </x:c>
      <x:c r="G1559" s="115" t="str">
        <x:v>1 niveaux ; 34 pièces ; 260 segments de mur ; 0 transitions. Inspection physique ; architecture complète encore ouverte.</x:v>
      </x:c>
      <x:c r="H1559" s="115" t="str">
        <x:v>L 800 ; l 2600 ; hauteur 18,12 m ; choix de composition auteur ; dimensions réelles à documenter</x:v>
      </x:c>
      <x:c r="I1559" s="115" t="str">
        <x:v>À équilibrer</x:v>
      </x:c>
      <x:c r="J1559" s="115" t="str">
        <x:v>Non</x:v>
      </x:c>
      <x:c r="K1559" s="115" t="str">
        <x:v>Pièces décrites, murs, portes, niveaux et mobilier inspectables à l’échelle. Volumes réservés, raccord au seed, butin, rencontres et services de campagne restent à terminer.</x:v>
      </x:c>
    </x:row>
    <x:row r="1560" ht="96" customHeight="1">
      <x:c r="A1560" s="115" t="str">
        <x:v>EXT-MONDE-T032-V05</x:v>
      </x:c>
      <x:c r="B1560" s="115" t="str">
        <x:v>EXT-MONDE-T032</x:v>
      </x:c>
      <x:c r="C1560" s="115" t="str">
        <x:v>Ponts</x:v>
      </x:c>
      <x:c r="D1560" s="115" t="str">
        <x:v>Viaduc ferroviaire</x:v>
      </x:c>
      <x:c r="E1560" s="115" t="n">
        <x:v>5</x:v>
      </x:c>
      <x:c r="F1560" s="115" t="str">
        <x:v>Inspection physique</x:v>
      </x:c>
      <x:c r="G1560" s="115" t="str">
        <x:v>1 niveaux ; 34 pièces ; 260 segments de mur ; 0 transitions. Inspection physique ; architecture complète encore ouverte.</x:v>
      </x:c>
      <x:c r="H1560" s="115" t="str">
        <x:v>L 800 ; l 2600 ; hauteur 18,16 m ; choix de composition auteur ; dimensions réelles à documenter</x:v>
      </x:c>
      <x:c r="I1560" s="115" t="str">
        <x:v>À équilibrer</x:v>
      </x:c>
      <x:c r="J1560" s="115" t="str">
        <x:v>Non</x:v>
      </x:c>
      <x:c r="K1560" s="115" t="str">
        <x:v>Pièces décrites, murs, portes, niveaux et mobilier inspectables à l’échelle. Volumes réservés, raccord au seed, butin, rencontres et services de campagne restent à terminer.</x:v>
      </x:c>
    </x:row>
    <x:row r="1561" ht="96" customHeight="1">
      <x:c r="A1561" s="115" t="str">
        <x:v>EXT-MONDE-T032-V06</x:v>
      </x:c>
      <x:c r="B1561" s="115" t="str">
        <x:v>EXT-MONDE-T032</x:v>
      </x:c>
      <x:c r="C1561" s="115" t="str">
        <x:v>Ponts</x:v>
      </x:c>
      <x:c r="D1561" s="115" t="str">
        <x:v>Viaduc ferroviaire</x:v>
      </x:c>
      <x:c r="E1561" s="115" t="n">
        <x:v>6</x:v>
      </x:c>
      <x:c r="F1561" s="115" t="str">
        <x:v>Inspection physique</x:v>
      </x:c>
      <x:c r="G1561" s="115" t="str">
        <x:v>1 niveaux ; 34 pièces ; 260 segments de mur ; 0 transitions. Inspection physique ; architecture complète encore ouverte.</x:v>
      </x:c>
      <x:c r="H1561" s="115" t="str">
        <x:v>L 800 ; l 2600 ; hauteur 18,2 m ; choix de composition auteur ; dimensions réelles à documenter</x:v>
      </x:c>
      <x:c r="I1561" s="115" t="str">
        <x:v>À équilibrer</x:v>
      </x:c>
      <x:c r="J1561" s="115" t="str">
        <x:v>Non</x:v>
      </x:c>
      <x:c r="K1561" s="115" t="str">
        <x:v>Pièces décrites, murs, portes, niveaux et mobilier inspectables à l’échelle. Volumes réservés, raccord au seed, butin, rencontres et services de campagne restent à terminer.</x:v>
      </x:c>
    </x:row>
    <x:row r="1562" ht="96" customHeight="1">
      <x:c r="A1562" s="115" t="str">
        <x:v>EXT-MONDE-T032-V07</x:v>
      </x:c>
      <x:c r="B1562" s="115" t="str">
        <x:v>EXT-MONDE-T032</x:v>
      </x:c>
      <x:c r="C1562" s="115" t="str">
        <x:v>Ponts</x:v>
      </x:c>
      <x:c r="D1562" s="115" t="str">
        <x:v>Viaduc ferroviaire</x:v>
      </x:c>
      <x:c r="E1562" s="115" t="n">
        <x:v>7</x:v>
      </x:c>
      <x:c r="F1562" s="115" t="str">
        <x:v>Inspection physique</x:v>
      </x:c>
      <x:c r="G1562" s="115" t="str">
        <x:v>1 niveaux ; 34 pièces ; 260 segments de mur ; 0 transitions. Inspection physique ; architecture complète encore ouverte.</x:v>
      </x:c>
      <x:c r="H1562" s="115" t="str">
        <x:v>L 800 ; l 2600 ; hauteur 18,24 m ; choix de composition auteur ; dimensions réelles à documenter</x:v>
      </x:c>
      <x:c r="I1562" s="115" t="str">
        <x:v>À équilibrer</x:v>
      </x:c>
      <x:c r="J1562" s="115" t="str">
        <x:v>Non</x:v>
      </x:c>
      <x:c r="K1562" s="115" t="str">
        <x:v>Pièces décrites, murs, portes, niveaux et mobilier inspectables à l’échelle. Volumes réservés, raccord au seed, butin, rencontres et services de campagne restent à terminer.</x:v>
      </x:c>
    </x:row>
    <x:row r="1563" ht="96" customHeight="1">
      <x:c r="A1563" s="115" t="str">
        <x:v>EXT-MONDE-T032-V08</x:v>
      </x:c>
      <x:c r="B1563" s="115" t="str">
        <x:v>EXT-MONDE-T032</x:v>
      </x:c>
      <x:c r="C1563" s="115" t="str">
        <x:v>Ponts</x:v>
      </x:c>
      <x:c r="D1563" s="115" t="str">
        <x:v>Viaduc ferroviaire</x:v>
      </x:c>
      <x:c r="E1563" s="115" t="n">
        <x:v>8</x:v>
      </x:c>
      <x:c r="F1563" s="115" t="str">
        <x:v>Inspection physique</x:v>
      </x:c>
      <x:c r="G1563" s="115" t="str">
        <x:v>1 niveaux ; 34 pièces ; 260 segments de mur ; 0 transitions. Inspection physique ; architecture complète encore ouverte.</x:v>
      </x:c>
      <x:c r="H1563" s="115" t="str">
        <x:v>L 800 ; l 2600 ; hauteur 18,28 m ; choix de composition auteur ; dimensions réelles à documenter</x:v>
      </x:c>
      <x:c r="I1563" s="115" t="str">
        <x:v>À équilibrer</x:v>
      </x:c>
      <x:c r="J1563" s="115" t="str">
        <x:v>Non</x:v>
      </x:c>
      <x:c r="K1563" s="115" t="str">
        <x:v>Pièces décrites, murs, portes, niveaux et mobilier inspectables à l’échelle. Volumes réservés, raccord au seed, butin, rencontres et services de campagne restent à terminer.</x:v>
      </x:c>
    </x:row>
    <x:row r="1564" ht="96" customHeight="1">
      <x:c r="A1564" s="115" t="str">
        <x:v>EXT-MONDE-T032-V09</x:v>
      </x:c>
      <x:c r="B1564" s="115" t="str">
        <x:v>EXT-MONDE-T032</x:v>
      </x:c>
      <x:c r="C1564" s="115" t="str">
        <x:v>Ponts</x:v>
      </x:c>
      <x:c r="D1564" s="115" t="str">
        <x:v>Viaduc ferroviaire</x:v>
      </x:c>
      <x:c r="E1564" s="115" t="n">
        <x:v>9</x:v>
      </x:c>
      <x:c r="F1564" s="115" t="str">
        <x:v>Inspection physique</x:v>
      </x:c>
      <x:c r="G1564" s="115" t="str">
        <x:v>1 niveaux ; 34 pièces ; 260 segments de mur ; 0 transitions. Inspection physique ; architecture complète encore ouverte.</x:v>
      </x:c>
      <x:c r="H1564" s="115" t="str">
        <x:v>L 800 ; l 2600 ; hauteur 18,32 m ; choix de composition auteur ; dimensions réelles à documenter</x:v>
      </x:c>
      <x:c r="I1564" s="115" t="str">
        <x:v>À équilibrer</x:v>
      </x:c>
      <x:c r="J1564" s="115" t="str">
        <x:v>Non</x:v>
      </x:c>
      <x:c r="K1564" s="115" t="str">
        <x:v>Pièces décrites, murs, portes, niveaux et mobilier inspectables à l’échelle. Volumes réservés, raccord au seed, butin, rencontres et services de campagne restent à terminer.</x:v>
      </x:c>
    </x:row>
    <x:row r="1565" ht="96" customHeight="1">
      <x:c r="A1565" s="115" t="str">
        <x:v>EXT-MONDE-T032-V10</x:v>
      </x:c>
      <x:c r="B1565" s="115" t="str">
        <x:v>EXT-MONDE-T032</x:v>
      </x:c>
      <x:c r="C1565" s="115" t="str">
        <x:v>Ponts</x:v>
      </x:c>
      <x:c r="D1565" s="115" t="str">
        <x:v>Viaduc ferroviaire</x:v>
      </x:c>
      <x:c r="E1565" s="115" t="n">
        <x:v>10</x:v>
      </x:c>
      <x:c r="F1565" s="115" t="str">
        <x:v>Inspection physique</x:v>
      </x:c>
      <x:c r="G1565" s="115" t="str">
        <x:v>1 niveaux ; 34 pièces ; 260 segments de mur ; 0 transitions. Inspection physique ; architecture complète encore ouverte.</x:v>
      </x:c>
      <x:c r="H1565" s="115" t="str">
        <x:v>L 800 ; l 2600 ; hauteur 18,36 m ; choix de composition auteur ; dimensions réelles à documenter</x:v>
      </x:c>
      <x:c r="I1565" s="115" t="str">
        <x:v>À équilibrer</x:v>
      </x:c>
      <x:c r="J1565" s="115" t="str">
        <x:v>Non</x:v>
      </x:c>
      <x:c r="K1565" s="115" t="str">
        <x:v>Pièces décrites, murs, portes, niveaux et mobilier inspectables à l’échelle. Volumes réservés, raccord au seed, butin, rencontres et services de campagne restent à terminer.</x:v>
      </x:c>
    </x:row>
    <x:row r="1566" ht="96" customHeight="1">
      <x:c r="A1566" s="115" t="str">
        <x:v>EXT-MONDE-T032-V11</x:v>
      </x:c>
      <x:c r="B1566" s="115" t="str">
        <x:v>EXT-MONDE-T032</x:v>
      </x:c>
      <x:c r="C1566" s="115" t="str">
        <x:v>Ponts</x:v>
      </x:c>
      <x:c r="D1566" s="115" t="str">
        <x:v>Viaduc ferroviaire</x:v>
      </x:c>
      <x:c r="E1566" s="115" t="n">
        <x:v>11</x:v>
      </x:c>
      <x:c r="F1566" s="115" t="str">
        <x:v>Inspection physique</x:v>
      </x:c>
      <x:c r="G1566" s="115" t="str">
        <x:v>1 niveaux ; 34 pièces ; 260 segments de mur ; 0 transitions. Inspection physique ; architecture complète encore ouverte.</x:v>
      </x:c>
      <x:c r="H1566" s="115" t="str">
        <x:v>L 880 ; l 3000 ; hauteur 18 m ; choix de composition auteur ; dimensions réelles à documenter</x:v>
      </x:c>
      <x:c r="I1566" s="115" t="str">
        <x:v>À équilibrer</x:v>
      </x:c>
      <x:c r="J1566" s="115" t="str">
        <x:v>Non</x:v>
      </x:c>
      <x:c r="K1566" s="115" t="str">
        <x:v>Pièces décrites, murs, portes, niveaux et mobilier inspectables à l’échelle. Volumes réservés, raccord au seed, butin, rencontres et services de campagne restent à terminer.</x:v>
      </x:c>
    </x:row>
    <x:row r="1567" ht="96" customHeight="1">
      <x:c r="A1567" s="115" t="str">
        <x:v>EXT-MONDE-T032-V12</x:v>
      </x:c>
      <x:c r="B1567" s="115" t="str">
        <x:v>EXT-MONDE-T032</x:v>
      </x:c>
      <x:c r="C1567" s="115" t="str">
        <x:v>Ponts</x:v>
      </x:c>
      <x:c r="D1567" s="115" t="str">
        <x:v>Viaduc ferroviaire</x:v>
      </x:c>
      <x:c r="E1567" s="115" t="n">
        <x:v>12</x:v>
      </x:c>
      <x:c r="F1567" s="115" t="str">
        <x:v>Inspection physique</x:v>
      </x:c>
      <x:c r="G1567" s="115" t="str">
        <x:v>1 niveaux ; 34 pièces ; 260 segments de mur ; 0 transitions. Inspection physique ; architecture complète encore ouverte.</x:v>
      </x:c>
      <x:c r="H1567" s="115" t="str">
        <x:v>L 880 ; l 3000 ; hauteur 18,04 m ; choix de composition auteur ; dimensions réelles à documenter</x:v>
      </x:c>
      <x:c r="I1567" s="115" t="str">
        <x:v>À équilibrer</x:v>
      </x:c>
      <x:c r="J1567" s="115" t="str">
        <x:v>Non</x:v>
      </x:c>
      <x:c r="K1567" s="115" t="str">
        <x:v>Pièces décrites, murs, portes, niveaux et mobilier inspectables à l’échelle. Volumes réservés, raccord au seed, butin, rencontres et services de campagne restent à terminer.</x:v>
      </x:c>
    </x:row>
    <x:row r="1568" ht="96" customHeight="1">
      <x:c r="A1568" s="115" t="str">
        <x:v>EXT-MONDE-T032-V13</x:v>
      </x:c>
      <x:c r="B1568" s="115" t="str">
        <x:v>EXT-MONDE-T032</x:v>
      </x:c>
      <x:c r="C1568" s="115" t="str">
        <x:v>Ponts</x:v>
      </x:c>
      <x:c r="D1568" s="115" t="str">
        <x:v>Viaduc ferroviaire</x:v>
      </x:c>
      <x:c r="E1568" s="115" t="n">
        <x:v>13</x:v>
      </x:c>
      <x:c r="F1568" s="115" t="str">
        <x:v>Inspection physique</x:v>
      </x:c>
      <x:c r="G1568" s="115" t="str">
        <x:v>1 niveaux ; 34 pièces ; 260 segments de mur ; 0 transitions. Inspection physique ; architecture complète encore ouverte.</x:v>
      </x:c>
      <x:c r="H1568" s="115" t="str">
        <x:v>L 880 ; l 3000 ; hauteur 18,08 m ; choix de composition auteur ; dimensions réelles à documenter</x:v>
      </x:c>
      <x:c r="I1568" s="115" t="str">
        <x:v>À équilibrer</x:v>
      </x:c>
      <x:c r="J1568" s="115" t="str">
        <x:v>Non</x:v>
      </x:c>
      <x:c r="K1568" s="115" t="str">
        <x:v>Pièces décrites, murs, portes, niveaux et mobilier inspectables à l’échelle. Volumes réservés, raccord au seed, butin, rencontres et services de campagne restent à terminer.</x:v>
      </x:c>
    </x:row>
    <x:row r="1569" ht="96" customHeight="1">
      <x:c r="A1569" s="115" t="str">
        <x:v>EXT-MONDE-T032-V14</x:v>
      </x:c>
      <x:c r="B1569" s="115" t="str">
        <x:v>EXT-MONDE-T032</x:v>
      </x:c>
      <x:c r="C1569" s="115" t="str">
        <x:v>Ponts</x:v>
      </x:c>
      <x:c r="D1569" s="115" t="str">
        <x:v>Viaduc ferroviaire</x:v>
      </x:c>
      <x:c r="E1569" s="115" t="n">
        <x:v>14</x:v>
      </x:c>
      <x:c r="F1569" s="115" t="str">
        <x:v>Inspection physique</x:v>
      </x:c>
      <x:c r="G1569" s="115" t="str">
        <x:v>1 niveaux ; 34 pièces ; 260 segments de mur ; 0 transitions. Inspection physique ; architecture complète encore ouverte.</x:v>
      </x:c>
      <x:c r="H1569" s="115" t="str">
        <x:v>L 880 ; l 3000 ; hauteur 18,12 m ; choix de composition auteur ; dimensions réelles à documenter</x:v>
      </x:c>
      <x:c r="I1569" s="115" t="str">
        <x:v>À équilibrer</x:v>
      </x:c>
      <x:c r="J1569" s="115" t="str">
        <x:v>Non</x:v>
      </x:c>
      <x:c r="K1569" s="115" t="str">
        <x:v>Pièces décrites, murs, portes, niveaux et mobilier inspectables à l’échelle. Volumes réservés, raccord au seed, butin, rencontres et services de campagne restent à terminer.</x:v>
      </x:c>
    </x:row>
    <x:row r="1570" ht="96" customHeight="1">
      <x:c r="A1570" s="115" t="str">
        <x:v>EXT-MONDE-T032-V15</x:v>
      </x:c>
      <x:c r="B1570" s="115" t="str">
        <x:v>EXT-MONDE-T032</x:v>
      </x:c>
      <x:c r="C1570" s="115" t="str">
        <x:v>Ponts</x:v>
      </x:c>
      <x:c r="D1570" s="115" t="str">
        <x:v>Viaduc ferroviaire</x:v>
      </x:c>
      <x:c r="E1570" s="115" t="n">
        <x:v>15</x:v>
      </x:c>
      <x:c r="F1570" s="115" t="str">
        <x:v>Inspection physique</x:v>
      </x:c>
      <x:c r="G1570" s="115" t="str">
        <x:v>1 niveaux ; 34 pièces ; 260 segments de mur ; 0 transitions. Inspection physique ; architecture complète encore ouverte.</x:v>
      </x:c>
      <x:c r="H1570" s="115" t="str">
        <x:v>L 880 ; l 3000 ; hauteur 18,16 m ; choix de composition auteur ; dimensions réelles à documenter</x:v>
      </x:c>
      <x:c r="I1570" s="115" t="str">
        <x:v>À équilibrer</x:v>
      </x:c>
      <x:c r="J1570" s="115" t="str">
        <x:v>Non</x:v>
      </x:c>
      <x:c r="K1570" s="115" t="str">
        <x:v>Pièces décrites, murs, portes, niveaux et mobilier inspectables à l’échelle. Volumes réservés, raccord au seed, butin, rencontres et services de campagne restent à terminer.</x:v>
      </x:c>
    </x:row>
    <x:row r="1571" ht="96" customHeight="1">
      <x:c r="A1571" s="115" t="str">
        <x:v>EXT-MONDE-T032-V16</x:v>
      </x:c>
      <x:c r="B1571" s="115" t="str">
        <x:v>EXT-MONDE-T032</x:v>
      </x:c>
      <x:c r="C1571" s="115" t="str">
        <x:v>Ponts</x:v>
      </x:c>
      <x:c r="D1571" s="115" t="str">
        <x:v>Viaduc ferroviaire</x:v>
      </x:c>
      <x:c r="E1571" s="115" t="n">
        <x:v>16</x:v>
      </x:c>
      <x:c r="F1571" s="115" t="str">
        <x:v>Inspection physique</x:v>
      </x:c>
      <x:c r="G1571" s="115" t="str">
        <x:v>1 niveaux ; 34 pièces ; 260 segments de mur ; 0 transitions. Inspection physique ; architecture complète encore ouverte.</x:v>
      </x:c>
      <x:c r="H1571" s="115" t="str">
        <x:v>L 880 ; l 3000 ; hauteur 18,2 m ; choix de composition auteur ; dimensions réelles à documenter</x:v>
      </x:c>
      <x:c r="I1571" s="115" t="str">
        <x:v>À équilibrer</x:v>
      </x:c>
      <x:c r="J1571" s="115" t="str">
        <x:v>Non</x:v>
      </x:c>
      <x:c r="K1571" s="115" t="str">
        <x:v>Pièces décrites, murs, portes, niveaux et mobilier inspectables à l’échelle. Volumes réservés, raccord au seed, butin, rencontres et services de campagne restent à terminer.</x:v>
      </x:c>
    </x:row>
    <x:row r="1572" ht="96" customHeight="1">
      <x:c r="A1572" s="115" t="str">
        <x:v>EXT-MONDE-T032-V17</x:v>
      </x:c>
      <x:c r="B1572" s="115" t="str">
        <x:v>EXT-MONDE-T032</x:v>
      </x:c>
      <x:c r="C1572" s="115" t="str">
        <x:v>Ponts</x:v>
      </x:c>
      <x:c r="D1572" s="115" t="str">
        <x:v>Viaduc ferroviaire</x:v>
      </x:c>
      <x:c r="E1572" s="115" t="n">
        <x:v>17</x:v>
      </x:c>
      <x:c r="F1572" s="115" t="str">
        <x:v>Inspection physique</x:v>
      </x:c>
      <x:c r="G1572" s="115" t="str">
        <x:v>1 niveaux ; 34 pièces ; 260 segments de mur ; 0 transitions. Inspection physique ; architecture complète encore ouverte.</x:v>
      </x:c>
      <x:c r="H1572" s="115" t="str">
        <x:v>L 880 ; l 3000 ; hauteur 18,24 m ; choix de composition auteur ; dimensions réelles à documenter</x:v>
      </x:c>
      <x:c r="I1572" s="115" t="str">
        <x:v>À équilibrer</x:v>
      </x:c>
      <x:c r="J1572" s="115" t="str">
        <x:v>Non</x:v>
      </x:c>
      <x:c r="K1572" s="115" t="str">
        <x:v>Pièces décrites, murs, portes, niveaux et mobilier inspectables à l’échelle. Volumes réservés, raccord au seed, butin, rencontres et services de campagne restent à terminer.</x:v>
      </x:c>
    </x:row>
    <x:row r="1573" ht="96" customHeight="1">
      <x:c r="A1573" s="115" t="str">
        <x:v>EXT-MONDE-T032-V18</x:v>
      </x:c>
      <x:c r="B1573" s="115" t="str">
        <x:v>EXT-MONDE-T032</x:v>
      </x:c>
      <x:c r="C1573" s="115" t="str">
        <x:v>Ponts</x:v>
      </x:c>
      <x:c r="D1573" s="115" t="str">
        <x:v>Viaduc ferroviaire</x:v>
      </x:c>
      <x:c r="E1573" s="115" t="n">
        <x:v>18</x:v>
      </x:c>
      <x:c r="F1573" s="115" t="str">
        <x:v>Inspection physique</x:v>
      </x:c>
      <x:c r="G1573" s="115" t="str">
        <x:v>1 niveaux ; 34 pièces ; 260 segments de mur ; 0 transitions. Inspection physique ; architecture complète encore ouverte.</x:v>
      </x:c>
      <x:c r="H1573" s="115" t="str">
        <x:v>L 880 ; l 3000 ; hauteur 18,28 m ; choix de composition auteur ; dimensions réelles à documenter</x:v>
      </x:c>
      <x:c r="I1573" s="115" t="str">
        <x:v>À équilibrer</x:v>
      </x:c>
      <x:c r="J1573" s="115" t="str">
        <x:v>Non</x:v>
      </x:c>
      <x:c r="K1573" s="115" t="str">
        <x:v>Pièces décrites, murs, portes, niveaux et mobilier inspectables à l’échelle. Volumes réservés, raccord au seed, butin, rencontres et services de campagne restent à terminer.</x:v>
      </x:c>
    </x:row>
    <x:row r="1574" ht="96" customHeight="1">
      <x:c r="A1574" s="115" t="str">
        <x:v>EXT-MONDE-T032-V19</x:v>
      </x:c>
      <x:c r="B1574" s="115" t="str">
        <x:v>EXT-MONDE-T032</x:v>
      </x:c>
      <x:c r="C1574" s="115" t="str">
        <x:v>Ponts</x:v>
      </x:c>
      <x:c r="D1574" s="115" t="str">
        <x:v>Viaduc ferroviaire</x:v>
      </x:c>
      <x:c r="E1574" s="115" t="n">
        <x:v>19</x:v>
      </x:c>
      <x:c r="F1574" s="115" t="str">
        <x:v>Inspection physique</x:v>
      </x:c>
      <x:c r="G1574" s="115" t="str">
        <x:v>1 niveaux ; 34 pièces ; 260 segments de mur ; 0 transitions. Inspection physique ; architecture complète encore ouverte.</x:v>
      </x:c>
      <x:c r="H1574" s="115" t="str">
        <x:v>L 880 ; l 3000 ; hauteur 18,32 m ; choix de composition auteur ; dimensions réelles à documenter</x:v>
      </x:c>
      <x:c r="I1574" s="115" t="str">
        <x:v>À équilibrer</x:v>
      </x:c>
      <x:c r="J1574" s="115" t="str">
        <x:v>Non</x:v>
      </x:c>
      <x:c r="K1574" s="115" t="str">
        <x:v>Pièces décrites, murs, portes, niveaux et mobilier inspectables à l’échelle. Volumes réservés, raccord au seed, butin, rencontres et services de campagne restent à terminer.</x:v>
      </x:c>
    </x:row>
    <x:row r="1575" ht="96" customHeight="1">
      <x:c r="A1575" s="115" t="str">
        <x:v>EXT-MONDE-T032-V20</x:v>
      </x:c>
      <x:c r="B1575" s="115" t="str">
        <x:v>EXT-MONDE-T032</x:v>
      </x:c>
      <x:c r="C1575" s="115" t="str">
        <x:v>Ponts</x:v>
      </x:c>
      <x:c r="D1575" s="115" t="str">
        <x:v>Viaduc ferroviaire</x:v>
      </x:c>
      <x:c r="E1575" s="115" t="n">
        <x:v>20</x:v>
      </x:c>
      <x:c r="F1575" s="115" t="str">
        <x:v>Inspection physique</x:v>
      </x:c>
      <x:c r="G1575" s="115" t="str">
        <x:v>1 niveaux ; 34 pièces ; 260 segments de mur ; 0 transitions. Inspection physique ; architecture complète encore ouverte.</x:v>
      </x:c>
      <x:c r="H1575" s="115" t="str">
        <x:v>L 880 ; l 3000 ; hauteur 18,36 m ; choix de composition auteur ; dimensions réelles à documenter</x:v>
      </x:c>
      <x:c r="I1575" s="115" t="str">
        <x:v>À équilibrer</x:v>
      </x:c>
      <x:c r="J1575" s="115" t="str">
        <x:v>Non</x:v>
      </x:c>
      <x:c r="K1575" s="115" t="str">
        <x:v>Pièces décrites, murs, portes, niveaux et mobilier inspectables à l’échelle. Volumes réservés, raccord au seed, butin, rencontres et services de campagne restent à terminer.</x:v>
      </x:c>
    </x:row>
    <x:row r="1576" ht="96" customHeight="1">
      <x:c r="A1576" s="115" t="str">
        <x:v>EXT-MONDE-T032-V21</x:v>
      </x:c>
      <x:c r="B1576" s="115" t="str">
        <x:v>EXT-MONDE-T032</x:v>
      </x:c>
      <x:c r="C1576" s="115" t="str">
        <x:v>Ponts</x:v>
      </x:c>
      <x:c r="D1576" s="115" t="str">
        <x:v>Viaduc ferroviaire</x:v>
      </x:c>
      <x:c r="E1576" s="115" t="n">
        <x:v>21</x:v>
      </x:c>
      <x:c r="F1576" s="115" t="str">
        <x:v>Inspection physique</x:v>
      </x:c>
      <x:c r="G1576" s="115" t="str">
        <x:v>1 niveaux ; 34 pièces ; 260 segments de mur ; 0 transitions. Inspection physique ; architecture complète encore ouverte.</x:v>
      </x:c>
      <x:c r="H1576" s="115" t="str">
        <x:v>L 960 ; l 3400 ; hauteur 18 m ; choix de composition auteur ; dimensions réelles à documenter</x:v>
      </x:c>
      <x:c r="I1576" s="115" t="str">
        <x:v>À équilibrer</x:v>
      </x:c>
      <x:c r="J1576" s="115" t="str">
        <x:v>Non</x:v>
      </x:c>
      <x:c r="K1576" s="115" t="str">
        <x:v>Pièces décrites, murs, portes, niveaux et mobilier inspectables à l’échelle. Volumes réservés, raccord au seed, butin, rencontres et services de campagne restent à terminer.</x:v>
      </x:c>
    </x:row>
    <x:row r="1577" ht="96" customHeight="1">
      <x:c r="A1577" s="115" t="str">
        <x:v>EXT-MONDE-T032-V22</x:v>
      </x:c>
      <x:c r="B1577" s="115" t="str">
        <x:v>EXT-MONDE-T032</x:v>
      </x:c>
      <x:c r="C1577" s="115" t="str">
        <x:v>Ponts</x:v>
      </x:c>
      <x:c r="D1577" s="115" t="str">
        <x:v>Viaduc ferroviaire</x:v>
      </x:c>
      <x:c r="E1577" s="115" t="n">
        <x:v>22</x:v>
      </x:c>
      <x:c r="F1577" s="115" t="str">
        <x:v>Inspection physique</x:v>
      </x:c>
      <x:c r="G1577" s="115" t="str">
        <x:v>1 niveaux ; 34 pièces ; 260 segments de mur ; 0 transitions. Inspection physique ; architecture complète encore ouverte.</x:v>
      </x:c>
      <x:c r="H1577" s="115" t="str">
        <x:v>L 960 ; l 3400 ; hauteur 18,04 m ; choix de composition auteur ; dimensions réelles à documenter</x:v>
      </x:c>
      <x:c r="I1577" s="115" t="str">
        <x:v>À équilibrer</x:v>
      </x:c>
      <x:c r="J1577" s="115" t="str">
        <x:v>Non</x:v>
      </x:c>
      <x:c r="K1577" s="115" t="str">
        <x:v>Pièces décrites, murs, portes, niveaux et mobilier inspectables à l’échelle. Volumes réservés, raccord au seed, butin, rencontres et services de campagne restent à terminer.</x:v>
      </x:c>
    </x:row>
    <x:row r="1578" ht="96" customHeight="1">
      <x:c r="A1578" s="115" t="str">
        <x:v>EXT-MONDE-T032-V23</x:v>
      </x:c>
      <x:c r="B1578" s="115" t="str">
        <x:v>EXT-MONDE-T032</x:v>
      </x:c>
      <x:c r="C1578" s="115" t="str">
        <x:v>Ponts</x:v>
      </x:c>
      <x:c r="D1578" s="115" t="str">
        <x:v>Viaduc ferroviaire</x:v>
      </x:c>
      <x:c r="E1578" s="115" t="n">
        <x:v>23</x:v>
      </x:c>
      <x:c r="F1578" s="115" t="str">
        <x:v>Inspection physique</x:v>
      </x:c>
      <x:c r="G1578" s="115" t="str">
        <x:v>1 niveaux ; 34 pièces ; 260 segments de mur ; 0 transitions. Inspection physique ; architecture complète encore ouverte.</x:v>
      </x:c>
      <x:c r="H1578" s="115" t="str">
        <x:v>L 960 ; l 3400 ; hauteur 18,08 m ; choix de composition auteur ; dimensions réelles à documenter</x:v>
      </x:c>
      <x:c r="I1578" s="115" t="str">
        <x:v>À équilibrer</x:v>
      </x:c>
      <x:c r="J1578" s="115" t="str">
        <x:v>Non</x:v>
      </x:c>
      <x:c r="K1578" s="115" t="str">
        <x:v>Pièces décrites, murs, portes, niveaux et mobilier inspectables à l’échelle. Volumes réservés, raccord au seed, butin, rencontres et services de campagne restent à terminer.</x:v>
      </x:c>
    </x:row>
    <x:row r="1579" ht="96" customHeight="1">
      <x:c r="A1579" s="115" t="str">
        <x:v>EXT-MONDE-T032-V24</x:v>
      </x:c>
      <x:c r="B1579" s="115" t="str">
        <x:v>EXT-MONDE-T032</x:v>
      </x:c>
      <x:c r="C1579" s="115" t="str">
        <x:v>Ponts</x:v>
      </x:c>
      <x:c r="D1579" s="115" t="str">
        <x:v>Viaduc ferroviaire</x:v>
      </x:c>
      <x:c r="E1579" s="115" t="n">
        <x:v>24</x:v>
      </x:c>
      <x:c r="F1579" s="115" t="str">
        <x:v>Inspection physique</x:v>
      </x:c>
      <x:c r="G1579" s="115" t="str">
        <x:v>1 niveaux ; 34 pièces ; 260 segments de mur ; 0 transitions. Inspection physique ; architecture complète encore ouverte.</x:v>
      </x:c>
      <x:c r="H1579" s="115" t="str">
        <x:v>L 960 ; l 3400 ; hauteur 18,12 m ; choix de composition auteur ; dimensions réelles à documenter</x:v>
      </x:c>
      <x:c r="I1579" s="115" t="str">
        <x:v>À équilibrer</x:v>
      </x:c>
      <x:c r="J1579" s="115" t="str">
        <x:v>Non</x:v>
      </x:c>
      <x:c r="K1579" s="115" t="str">
        <x:v>Pièces décrites, murs, portes, niveaux et mobilier inspectables à l’échelle. Volumes réservés, raccord au seed, butin, rencontres et services de campagne restent à terminer.</x:v>
      </x:c>
    </x:row>
    <x:row r="1580" ht="96" customHeight="1">
      <x:c r="A1580" s="115" t="str">
        <x:v>EXT-MONDE-T032-V25</x:v>
      </x:c>
      <x:c r="B1580" s="115" t="str">
        <x:v>EXT-MONDE-T032</x:v>
      </x:c>
      <x:c r="C1580" s="115" t="str">
        <x:v>Ponts</x:v>
      </x:c>
      <x:c r="D1580" s="115" t="str">
        <x:v>Viaduc ferroviaire</x:v>
      </x:c>
      <x:c r="E1580" s="115" t="n">
        <x:v>25</x:v>
      </x:c>
      <x:c r="F1580" s="115" t="str">
        <x:v>Inspection physique</x:v>
      </x:c>
      <x:c r="G1580" s="115" t="str">
        <x:v>1 niveaux ; 34 pièces ; 260 segments de mur ; 0 transitions. Inspection physique ; architecture complète encore ouverte.</x:v>
      </x:c>
      <x:c r="H1580" s="115" t="str">
        <x:v>L 960 ; l 3400 ; hauteur 18,16 m ; choix de composition auteur ; dimensions réelles à documenter</x:v>
      </x:c>
      <x:c r="I1580" s="115" t="str">
        <x:v>À équilibrer</x:v>
      </x:c>
      <x:c r="J1580" s="115" t="str">
        <x:v>Non</x:v>
      </x:c>
      <x:c r="K1580" s="115" t="str">
        <x:v>Pièces décrites, murs, portes, niveaux et mobilier inspectables à l’échelle. Volumes réservés, raccord au seed, butin, rencontres et services de campagne restent à terminer.</x:v>
      </x:c>
    </x:row>
    <x:row r="1581" ht="96" customHeight="1">
      <x:c r="A1581" s="115" t="str">
        <x:v>EXT-MONDE-T032-V26</x:v>
      </x:c>
      <x:c r="B1581" s="115" t="str">
        <x:v>EXT-MONDE-T032</x:v>
      </x:c>
      <x:c r="C1581" s="115" t="str">
        <x:v>Ponts</x:v>
      </x:c>
      <x:c r="D1581" s="115" t="str">
        <x:v>Viaduc ferroviaire</x:v>
      </x:c>
      <x:c r="E1581" s="115" t="n">
        <x:v>26</x:v>
      </x:c>
      <x:c r="F1581" s="115" t="str">
        <x:v>Inspection physique</x:v>
      </x:c>
      <x:c r="G1581" s="115" t="str">
        <x:v>1 niveaux ; 34 pièces ; 260 segments de mur ; 0 transitions. Inspection physique ; architecture complète encore ouverte.</x:v>
      </x:c>
      <x:c r="H1581" s="115" t="str">
        <x:v>L 960 ; l 3400 ; hauteur 18,2 m ; choix de composition auteur ; dimensions réelles à documenter</x:v>
      </x:c>
      <x:c r="I1581" s="115" t="str">
        <x:v>À équilibrer</x:v>
      </x:c>
      <x:c r="J1581" s="115" t="str">
        <x:v>Non</x:v>
      </x:c>
      <x:c r="K1581" s="115" t="str">
        <x:v>Pièces décrites, murs, portes, niveaux et mobilier inspectables à l’échelle. Volumes réservés, raccord au seed, butin, rencontres et services de campagne restent à terminer.</x:v>
      </x:c>
    </x:row>
    <x:row r="1582" ht="96" customHeight="1">
      <x:c r="A1582" s="115" t="str">
        <x:v>EXT-MONDE-T032-V27</x:v>
      </x:c>
      <x:c r="B1582" s="115" t="str">
        <x:v>EXT-MONDE-T032</x:v>
      </x:c>
      <x:c r="C1582" s="115" t="str">
        <x:v>Ponts</x:v>
      </x:c>
      <x:c r="D1582" s="115" t="str">
        <x:v>Viaduc ferroviaire</x:v>
      </x:c>
      <x:c r="E1582" s="115" t="n">
        <x:v>27</x:v>
      </x:c>
      <x:c r="F1582" s="115" t="str">
        <x:v>Inspection physique</x:v>
      </x:c>
      <x:c r="G1582" s="115" t="str">
        <x:v>1 niveaux ; 34 pièces ; 260 segments de mur ; 0 transitions. Inspection physique ; architecture complète encore ouverte.</x:v>
      </x:c>
      <x:c r="H1582" s="115" t="str">
        <x:v>L 960 ; l 3400 ; hauteur 18,24 m ; choix de composition auteur ; dimensions réelles à documenter</x:v>
      </x:c>
      <x:c r="I1582" s="115" t="str">
        <x:v>À équilibrer</x:v>
      </x:c>
      <x:c r="J1582" s="115" t="str">
        <x:v>Non</x:v>
      </x:c>
      <x:c r="K1582" s="115" t="str">
        <x:v>Pièces décrites, murs, portes, niveaux et mobilier inspectables à l’échelle. Volumes réservés, raccord au seed, butin, rencontres et services de campagne restent à terminer.</x:v>
      </x:c>
    </x:row>
    <x:row r="1583" ht="96" customHeight="1">
      <x:c r="A1583" s="115" t="str">
        <x:v>EXT-MONDE-T032-V28</x:v>
      </x:c>
      <x:c r="B1583" s="115" t="str">
        <x:v>EXT-MONDE-T032</x:v>
      </x:c>
      <x:c r="C1583" s="115" t="str">
        <x:v>Ponts</x:v>
      </x:c>
      <x:c r="D1583" s="115" t="str">
        <x:v>Viaduc ferroviaire</x:v>
      </x:c>
      <x:c r="E1583" s="115" t="n">
        <x:v>28</x:v>
      </x:c>
      <x:c r="F1583" s="115" t="str">
        <x:v>Inspection physique</x:v>
      </x:c>
      <x:c r="G1583" s="115" t="str">
        <x:v>1 niveaux ; 34 pièces ; 260 segments de mur ; 0 transitions. Inspection physique ; architecture complète encore ouverte.</x:v>
      </x:c>
      <x:c r="H1583" s="115" t="str">
        <x:v>L 960 ; l 3400 ; hauteur 18,28 m ; choix de composition auteur ; dimensions réelles à documenter</x:v>
      </x:c>
      <x:c r="I1583" s="115" t="str">
        <x:v>À équilibrer</x:v>
      </x:c>
      <x:c r="J1583" s="115" t="str">
        <x:v>Non</x:v>
      </x:c>
      <x:c r="K1583" s="115" t="str">
        <x:v>Pièces décrites, murs, portes, niveaux et mobilier inspectables à l’échelle. Volumes réservés, raccord au seed, butin, rencontres et services de campagne restent à terminer.</x:v>
      </x:c>
    </x:row>
    <x:row r="1584" ht="96" customHeight="1">
      <x:c r="A1584" s="115" t="str">
        <x:v>EXT-MONDE-T032-V29</x:v>
      </x:c>
      <x:c r="B1584" s="115" t="str">
        <x:v>EXT-MONDE-T032</x:v>
      </x:c>
      <x:c r="C1584" s="115" t="str">
        <x:v>Ponts</x:v>
      </x:c>
      <x:c r="D1584" s="115" t="str">
        <x:v>Viaduc ferroviaire</x:v>
      </x:c>
      <x:c r="E1584" s="115" t="n">
        <x:v>29</x:v>
      </x:c>
      <x:c r="F1584" s="115" t="str">
        <x:v>Inspection physique</x:v>
      </x:c>
      <x:c r="G1584" s="115" t="str">
        <x:v>1 niveaux ; 34 pièces ; 260 segments de mur ; 0 transitions. Inspection physique ; architecture complète encore ouverte.</x:v>
      </x:c>
      <x:c r="H1584" s="115" t="str">
        <x:v>L 960 ; l 3400 ; hauteur 18,32 m ; choix de composition auteur ; dimensions réelles à documenter</x:v>
      </x:c>
      <x:c r="I1584" s="115" t="str">
        <x:v>À équilibrer</x:v>
      </x:c>
      <x:c r="J1584" s="115" t="str">
        <x:v>Non</x:v>
      </x:c>
      <x:c r="K1584" s="115" t="str">
        <x:v>Pièces décrites, murs, portes, niveaux et mobilier inspectables à l’échelle. Volumes réservés, raccord au seed, butin, rencontres et services de campagne restent à terminer.</x:v>
      </x:c>
    </x:row>
    <x:row r="1585" ht="96" customHeight="1">
      <x:c r="A1585" s="115" t="str">
        <x:v>EXT-MONDE-T032-V30</x:v>
      </x:c>
      <x:c r="B1585" s="115" t="str">
        <x:v>EXT-MONDE-T032</x:v>
      </x:c>
      <x:c r="C1585" s="115" t="str">
        <x:v>Ponts</x:v>
      </x:c>
      <x:c r="D1585" s="115" t="str">
        <x:v>Viaduc ferroviaire</x:v>
      </x:c>
      <x:c r="E1585" s="115" t="n">
        <x:v>30</x:v>
      </x:c>
      <x:c r="F1585" s="115" t="str">
        <x:v>Inspection physique</x:v>
      </x:c>
      <x:c r="G1585" s="115" t="str">
        <x:v>1 niveaux ; 34 pièces ; 260 segments de mur ; 0 transitions. Inspection physique ; architecture complète encore ouverte.</x:v>
      </x:c>
      <x:c r="H1585" s="115" t="str">
        <x:v>L 960 ; l 3400 ; hauteur 18,36 m ; choix de composition auteur ; dimensions réelles à documenter</x:v>
      </x:c>
      <x:c r="I1585" s="115" t="str">
        <x:v>À équilibrer</x:v>
      </x:c>
      <x:c r="J1585" s="115" t="str">
        <x:v>Non</x:v>
      </x:c>
      <x:c r="K1585" s="115" t="str">
        <x:v>Pièces décrites, murs, portes, niveaux et mobilier inspectables à l’échelle. Volumes réservés, raccord au seed, butin, rencontres et services de campagne restent à terminer.</x:v>
      </x:c>
    </x:row>
    <x:row r="1586" ht="96" customHeight="1">
      <x:c r="A1586" s="115" t="str">
        <x:v>EXT-MONDE-T032-V31</x:v>
      </x:c>
      <x:c r="B1586" s="115" t="str">
        <x:v>EXT-MONDE-T032</x:v>
      </x:c>
      <x:c r="C1586" s="115" t="str">
        <x:v>Ponts</x:v>
      </x:c>
      <x:c r="D1586" s="115" t="str">
        <x:v>Viaduc ferroviaire</x:v>
      </x:c>
      <x:c r="E1586" s="115" t="n">
        <x:v>31</x:v>
      </x:c>
      <x:c r="F1586" s="115" t="str">
        <x:v>Inspection physique</x:v>
      </x:c>
      <x:c r="G1586" s="115" t="str">
        <x:v>1 niveaux ; 34 pièces ; 260 segments de mur ; 0 transitions. Inspection physique ; architecture complète encore ouverte.</x:v>
      </x:c>
      <x:c r="H1586" s="115" t="str">
        <x:v>L 1040 ; l 3800 ; hauteur 18 m ; choix de composition auteur ; dimensions réelles à documenter</x:v>
      </x:c>
      <x:c r="I1586" s="115" t="str">
        <x:v>À équilibrer</x:v>
      </x:c>
      <x:c r="J1586" s="115" t="str">
        <x:v>Non</x:v>
      </x:c>
      <x:c r="K1586" s="115" t="str">
        <x:v>Pièces décrites, murs, portes, niveaux et mobilier inspectables à l’échelle. Volumes réservés, raccord au seed, butin, rencontres et services de campagne restent à terminer.</x:v>
      </x:c>
    </x:row>
    <x:row r="1587" ht="96" customHeight="1">
      <x:c r="A1587" s="115" t="str">
        <x:v>EXT-MONDE-T032-V32</x:v>
      </x:c>
      <x:c r="B1587" s="115" t="str">
        <x:v>EXT-MONDE-T032</x:v>
      </x:c>
      <x:c r="C1587" s="115" t="str">
        <x:v>Ponts</x:v>
      </x:c>
      <x:c r="D1587" s="115" t="str">
        <x:v>Viaduc ferroviaire</x:v>
      </x:c>
      <x:c r="E1587" s="115" t="n">
        <x:v>32</x:v>
      </x:c>
      <x:c r="F1587" s="115" t="str">
        <x:v>Inspection physique</x:v>
      </x:c>
      <x:c r="G1587" s="115" t="str">
        <x:v>1 niveaux ; 34 pièces ; 260 segments de mur ; 0 transitions. Inspection physique ; architecture complète encore ouverte.</x:v>
      </x:c>
      <x:c r="H1587" s="115" t="str">
        <x:v>L 1040 ; l 3800 ; hauteur 18,04 m ; choix de composition auteur ; dimensions réelles à documenter</x:v>
      </x:c>
      <x:c r="I1587" s="115" t="str">
        <x:v>À équilibrer</x:v>
      </x:c>
      <x:c r="J1587" s="115" t="str">
        <x:v>Non</x:v>
      </x:c>
      <x:c r="K1587" s="115" t="str">
        <x:v>Pièces décrites, murs, portes, niveaux et mobilier inspectables à l’échelle. Volumes réservés, raccord au seed, butin, rencontres et services de campagne restent à terminer.</x:v>
      </x:c>
    </x:row>
    <x:row r="1588" ht="96" customHeight="1">
      <x:c r="A1588" s="115" t="str">
        <x:v>EXT-MONDE-T032-V33</x:v>
      </x:c>
      <x:c r="B1588" s="115" t="str">
        <x:v>EXT-MONDE-T032</x:v>
      </x:c>
      <x:c r="C1588" s="115" t="str">
        <x:v>Ponts</x:v>
      </x:c>
      <x:c r="D1588" s="115" t="str">
        <x:v>Viaduc ferroviaire</x:v>
      </x:c>
      <x:c r="E1588" s="115" t="n">
        <x:v>33</x:v>
      </x:c>
      <x:c r="F1588" s="115" t="str">
        <x:v>Inspection physique</x:v>
      </x:c>
      <x:c r="G1588" s="115" t="str">
        <x:v>1 niveaux ; 34 pièces ; 260 segments de mur ; 0 transitions. Inspection physique ; architecture complète encore ouverte.</x:v>
      </x:c>
      <x:c r="H1588" s="115" t="str">
        <x:v>L 1040 ; l 3800 ; hauteur 18,08 m ; choix de composition auteur ; dimensions réelles à documenter</x:v>
      </x:c>
      <x:c r="I1588" s="115" t="str">
        <x:v>À équilibrer</x:v>
      </x:c>
      <x:c r="J1588" s="115" t="str">
        <x:v>Non</x:v>
      </x:c>
      <x:c r="K1588" s="115" t="str">
        <x:v>Pièces décrites, murs, portes, niveaux et mobilier inspectables à l’échelle. Volumes réservés, raccord au seed, butin, rencontres et services de campagne restent à terminer.</x:v>
      </x:c>
    </x:row>
    <x:row r="1589" ht="96" customHeight="1">
      <x:c r="A1589" s="115" t="str">
        <x:v>EXT-MONDE-T032-V34</x:v>
      </x:c>
      <x:c r="B1589" s="115" t="str">
        <x:v>EXT-MONDE-T032</x:v>
      </x:c>
      <x:c r="C1589" s="115" t="str">
        <x:v>Ponts</x:v>
      </x:c>
      <x:c r="D1589" s="115" t="str">
        <x:v>Viaduc ferroviaire</x:v>
      </x:c>
      <x:c r="E1589" s="115" t="n">
        <x:v>34</x:v>
      </x:c>
      <x:c r="F1589" s="115" t="str">
        <x:v>Inspection physique</x:v>
      </x:c>
      <x:c r="G1589" s="115" t="str">
        <x:v>1 niveaux ; 34 pièces ; 260 segments de mur ; 0 transitions. Inspection physique ; architecture complète encore ouverte.</x:v>
      </x:c>
      <x:c r="H1589" s="115" t="str">
        <x:v>L 1040 ; l 3800 ; hauteur 18,12 m ; choix de composition auteur ; dimensions réelles à documenter</x:v>
      </x:c>
      <x:c r="I1589" s="115" t="str">
        <x:v>À équilibrer</x:v>
      </x:c>
      <x:c r="J1589" s="115" t="str">
        <x:v>Non</x:v>
      </x:c>
      <x:c r="K1589" s="115" t="str">
        <x:v>Pièces décrites, murs, portes, niveaux et mobilier inspectables à l’échelle. Volumes réservés, raccord au seed, butin, rencontres et services de campagne restent à terminer.</x:v>
      </x:c>
    </x:row>
    <x:row r="1590" ht="96" customHeight="1">
      <x:c r="A1590" s="115" t="str">
        <x:v>EXT-MONDE-T032-V35</x:v>
      </x:c>
      <x:c r="B1590" s="115" t="str">
        <x:v>EXT-MONDE-T032</x:v>
      </x:c>
      <x:c r="C1590" s="115" t="str">
        <x:v>Ponts</x:v>
      </x:c>
      <x:c r="D1590" s="115" t="str">
        <x:v>Viaduc ferroviaire</x:v>
      </x:c>
      <x:c r="E1590" s="115" t="n">
        <x:v>35</x:v>
      </x:c>
      <x:c r="F1590" s="115" t="str">
        <x:v>Inspection physique</x:v>
      </x:c>
      <x:c r="G1590" s="115" t="str">
        <x:v>1 niveaux ; 34 pièces ; 260 segments de mur ; 0 transitions. Inspection physique ; architecture complète encore ouverte.</x:v>
      </x:c>
      <x:c r="H1590" s="115" t="str">
        <x:v>L 1040 ; l 3800 ; hauteur 18,16 m ; choix de composition auteur ; dimensions réelles à documenter</x:v>
      </x:c>
      <x:c r="I1590" s="115" t="str">
        <x:v>À équilibrer</x:v>
      </x:c>
      <x:c r="J1590" s="115" t="str">
        <x:v>Non</x:v>
      </x:c>
      <x:c r="K1590" s="115" t="str">
        <x:v>Pièces décrites, murs, portes, niveaux et mobilier inspectables à l’échelle. Volumes réservés, raccord au seed, butin, rencontres et services de campagne restent à terminer.</x:v>
      </x:c>
    </x:row>
    <x:row r="1591" ht="96" customHeight="1">
      <x:c r="A1591" s="115" t="str">
        <x:v>EXT-MONDE-T032-V36</x:v>
      </x:c>
      <x:c r="B1591" s="115" t="str">
        <x:v>EXT-MONDE-T032</x:v>
      </x:c>
      <x:c r="C1591" s="115" t="str">
        <x:v>Ponts</x:v>
      </x:c>
      <x:c r="D1591" s="115" t="str">
        <x:v>Viaduc ferroviaire</x:v>
      </x:c>
      <x:c r="E1591" s="115" t="n">
        <x:v>36</x:v>
      </x:c>
      <x:c r="F1591" s="115" t="str">
        <x:v>Inspection physique</x:v>
      </x:c>
      <x:c r="G1591" s="115" t="str">
        <x:v>1 niveaux ; 34 pièces ; 260 segments de mur ; 0 transitions. Inspection physique ; architecture complète encore ouverte.</x:v>
      </x:c>
      <x:c r="H1591" s="115" t="str">
        <x:v>L 1040 ; l 3800 ; hauteur 18,2 m ; choix de composition auteur ; dimensions réelles à documenter</x:v>
      </x:c>
      <x:c r="I1591" s="115" t="str">
        <x:v>À équilibrer</x:v>
      </x:c>
      <x:c r="J1591" s="115" t="str">
        <x:v>Non</x:v>
      </x:c>
      <x:c r="K1591" s="115" t="str">
        <x:v>Pièces décrites, murs, portes, niveaux et mobilier inspectables à l’échelle. Volumes réservés, raccord au seed, butin, rencontres et services de campagne restent à terminer.</x:v>
      </x:c>
    </x:row>
    <x:row r="1592" ht="96" customHeight="1">
      <x:c r="A1592" s="115" t="str">
        <x:v>EXT-MONDE-T032-V37</x:v>
      </x:c>
      <x:c r="B1592" s="115" t="str">
        <x:v>EXT-MONDE-T032</x:v>
      </x:c>
      <x:c r="C1592" s="115" t="str">
        <x:v>Ponts</x:v>
      </x:c>
      <x:c r="D1592" s="115" t="str">
        <x:v>Viaduc ferroviaire</x:v>
      </x:c>
      <x:c r="E1592" s="115" t="n">
        <x:v>37</x:v>
      </x:c>
      <x:c r="F1592" s="115" t="str">
        <x:v>Inspection physique</x:v>
      </x:c>
      <x:c r="G1592" s="115" t="str">
        <x:v>1 niveaux ; 34 pièces ; 260 segments de mur ; 0 transitions. Inspection physique ; architecture complète encore ouverte.</x:v>
      </x:c>
      <x:c r="H1592" s="115" t="str">
        <x:v>L 1040 ; l 3800 ; hauteur 18,24 m ; choix de composition auteur ; dimensions réelles à documenter</x:v>
      </x:c>
      <x:c r="I1592" s="115" t="str">
        <x:v>À équilibrer</x:v>
      </x:c>
      <x:c r="J1592" s="115" t="str">
        <x:v>Non</x:v>
      </x:c>
      <x:c r="K1592" s="115" t="str">
        <x:v>Pièces décrites, murs, portes, niveaux et mobilier inspectables à l’échelle. Volumes réservés, raccord au seed, butin, rencontres et services de campagne restent à terminer.</x:v>
      </x:c>
    </x:row>
    <x:row r="1593" ht="96" customHeight="1">
      <x:c r="A1593" s="115" t="str">
        <x:v>EXT-MONDE-T032-V38</x:v>
      </x:c>
      <x:c r="B1593" s="115" t="str">
        <x:v>EXT-MONDE-T032</x:v>
      </x:c>
      <x:c r="C1593" s="115" t="str">
        <x:v>Ponts</x:v>
      </x:c>
      <x:c r="D1593" s="115" t="str">
        <x:v>Viaduc ferroviaire</x:v>
      </x:c>
      <x:c r="E1593" s="115" t="n">
        <x:v>38</x:v>
      </x:c>
      <x:c r="F1593" s="115" t="str">
        <x:v>Inspection physique</x:v>
      </x:c>
      <x:c r="G1593" s="115" t="str">
        <x:v>1 niveaux ; 34 pièces ; 260 segments de mur ; 0 transitions. Inspection physique ; architecture complète encore ouverte.</x:v>
      </x:c>
      <x:c r="H1593" s="115" t="str">
        <x:v>L 1040 ; l 3800 ; hauteur 18,28 m ; choix de composition auteur ; dimensions réelles à documenter</x:v>
      </x:c>
      <x:c r="I1593" s="115" t="str">
        <x:v>À équilibrer</x:v>
      </x:c>
      <x:c r="J1593" s="115" t="str">
        <x:v>Non</x:v>
      </x:c>
      <x:c r="K1593" s="115" t="str">
        <x:v>Pièces décrites, murs, portes, niveaux et mobilier inspectables à l’échelle. Volumes réservés, raccord au seed, butin, rencontres et services de campagne restent à terminer.</x:v>
      </x:c>
    </x:row>
    <x:row r="1594" ht="96" customHeight="1">
      <x:c r="A1594" s="115" t="str">
        <x:v>EXT-MONDE-T032-V39</x:v>
      </x:c>
      <x:c r="B1594" s="115" t="str">
        <x:v>EXT-MONDE-T032</x:v>
      </x:c>
      <x:c r="C1594" s="115" t="str">
        <x:v>Ponts</x:v>
      </x:c>
      <x:c r="D1594" s="115" t="str">
        <x:v>Viaduc ferroviaire</x:v>
      </x:c>
      <x:c r="E1594" s="115" t="n">
        <x:v>39</x:v>
      </x:c>
      <x:c r="F1594" s="115" t="str">
        <x:v>Inspection physique</x:v>
      </x:c>
      <x:c r="G1594" s="115" t="str">
        <x:v>1 niveaux ; 34 pièces ; 260 segments de mur ; 0 transitions. Inspection physique ; architecture complète encore ouverte.</x:v>
      </x:c>
      <x:c r="H1594" s="115" t="str">
        <x:v>L 1040 ; l 3800 ; hauteur 18,32 m ; choix de composition auteur ; dimensions réelles à documenter</x:v>
      </x:c>
      <x:c r="I1594" s="115" t="str">
        <x:v>À équilibrer</x:v>
      </x:c>
      <x:c r="J1594" s="115" t="str">
        <x:v>Non</x:v>
      </x:c>
      <x:c r="K1594" s="115" t="str">
        <x:v>Pièces décrites, murs, portes, niveaux et mobilier inspectables à l’échelle. Volumes réservés, raccord au seed, butin, rencontres et services de campagne restent à terminer.</x:v>
      </x:c>
    </x:row>
    <x:row r="1595" ht="96" customHeight="1">
      <x:c r="A1595" s="115" t="str">
        <x:v>EXT-MONDE-T032-V40</x:v>
      </x:c>
      <x:c r="B1595" s="115" t="str">
        <x:v>EXT-MONDE-T032</x:v>
      </x:c>
      <x:c r="C1595" s="115" t="str">
        <x:v>Ponts</x:v>
      </x:c>
      <x:c r="D1595" s="115" t="str">
        <x:v>Viaduc ferroviaire</x:v>
      </x:c>
      <x:c r="E1595" s="115" t="n">
        <x:v>40</x:v>
      </x:c>
      <x:c r="F1595" s="115" t="str">
        <x:v>Inspection physique</x:v>
      </x:c>
      <x:c r="G1595" s="115" t="str">
        <x:v>1 niveaux ; 34 pièces ; 260 segments de mur ; 0 transitions. Inspection physique ; architecture complète encore ouverte.</x:v>
      </x:c>
      <x:c r="H1595" s="115" t="str">
        <x:v>L 1040 ; l 3800 ; hauteur 18,36 m ; choix de composition auteur ; dimensions réelles à documenter</x:v>
      </x:c>
      <x:c r="I1595" s="115" t="str">
        <x:v>À équilibrer</x:v>
      </x:c>
      <x:c r="J1595" s="115" t="str">
        <x:v>Non</x:v>
      </x:c>
      <x:c r="K1595" s="115" t="str">
        <x:v>Pièces décrites, murs, portes, niveaux et mobilier inspectables à l’échelle. Volumes réservés, raccord au seed, butin, rencontres et services de campagne restent à terminer.</x:v>
      </x:c>
    </x:row>
    <x:row r="1596" ht="96" customHeight="1">
      <x:c r="A1596" s="115" t="str">
        <x:v>EXT-MONDE-T032-V41</x:v>
      </x:c>
      <x:c r="B1596" s="115" t="str">
        <x:v>EXT-MONDE-T032</x:v>
      </x:c>
      <x:c r="C1596" s="115" t="str">
        <x:v>Ponts</x:v>
      </x:c>
      <x:c r="D1596" s="115" t="str">
        <x:v>Viaduc ferroviaire</x:v>
      </x:c>
      <x:c r="E1596" s="115" t="n">
        <x:v>41</x:v>
      </x:c>
      <x:c r="F1596" s="115" t="str">
        <x:v>Inspection physique</x:v>
      </x:c>
      <x:c r="G1596" s="115" t="str">
        <x:v>1 niveaux ; 34 pièces ; 260 segments de mur ; 0 transitions. Inspection physique ; architecture complète encore ouverte.</x:v>
      </x:c>
      <x:c r="H1596" s="115" t="str">
        <x:v>L 1120 ; l 4200 ; hauteur 18 m ; choix de composition auteur ; dimensions réelles à documenter</x:v>
      </x:c>
      <x:c r="I1596" s="115" t="str">
        <x:v>À équilibrer</x:v>
      </x:c>
      <x:c r="J1596" s="115" t="str">
        <x:v>Non</x:v>
      </x:c>
      <x:c r="K1596" s="115" t="str">
        <x:v>Pièces décrites, murs, portes, niveaux et mobilier inspectables à l’échelle. Volumes réservés, raccord au seed, butin, rencontres et services de campagne restent à terminer.</x:v>
      </x:c>
    </x:row>
    <x:row r="1597" ht="96" customHeight="1">
      <x:c r="A1597" s="115" t="str">
        <x:v>EXT-MONDE-T032-V42</x:v>
      </x:c>
      <x:c r="B1597" s="115" t="str">
        <x:v>EXT-MONDE-T032</x:v>
      </x:c>
      <x:c r="C1597" s="115" t="str">
        <x:v>Ponts</x:v>
      </x:c>
      <x:c r="D1597" s="115" t="str">
        <x:v>Viaduc ferroviaire</x:v>
      </x:c>
      <x:c r="E1597" s="115" t="n">
        <x:v>42</x:v>
      </x:c>
      <x:c r="F1597" s="115" t="str">
        <x:v>Inspection physique</x:v>
      </x:c>
      <x:c r="G1597" s="115" t="str">
        <x:v>1 niveaux ; 34 pièces ; 260 segments de mur ; 0 transitions. Inspection physique ; architecture complète encore ouverte.</x:v>
      </x:c>
      <x:c r="H1597" s="115" t="str">
        <x:v>L 1120 ; l 4200 ; hauteur 18,04 m ; choix de composition auteur ; dimensions réelles à documenter</x:v>
      </x:c>
      <x:c r="I1597" s="115" t="str">
        <x:v>À équilibrer</x:v>
      </x:c>
      <x:c r="J1597" s="115" t="str">
        <x:v>Non</x:v>
      </x:c>
      <x:c r="K1597" s="115" t="str">
        <x:v>Pièces décrites, murs, portes, niveaux et mobilier inspectables à l’échelle. Volumes réservés, raccord au seed, butin, rencontres et services de campagne restent à terminer.</x:v>
      </x:c>
    </x:row>
    <x:row r="1598" ht="96" customHeight="1">
      <x:c r="A1598" s="115" t="str">
        <x:v>EXT-MONDE-T032-V43</x:v>
      </x:c>
      <x:c r="B1598" s="115" t="str">
        <x:v>EXT-MONDE-T032</x:v>
      </x:c>
      <x:c r="C1598" s="115" t="str">
        <x:v>Ponts</x:v>
      </x:c>
      <x:c r="D1598" s="115" t="str">
        <x:v>Viaduc ferroviaire</x:v>
      </x:c>
      <x:c r="E1598" s="115" t="n">
        <x:v>43</x:v>
      </x:c>
      <x:c r="F1598" s="115" t="str">
        <x:v>Inspection physique</x:v>
      </x:c>
      <x:c r="G1598" s="115" t="str">
        <x:v>1 niveaux ; 34 pièces ; 260 segments de mur ; 0 transitions. Inspection physique ; architecture complète encore ouverte.</x:v>
      </x:c>
      <x:c r="H1598" s="115" t="str">
        <x:v>L 1120 ; l 4200 ; hauteur 18,08 m ; choix de composition auteur ; dimensions réelles à documenter</x:v>
      </x:c>
      <x:c r="I1598" s="115" t="str">
        <x:v>À équilibrer</x:v>
      </x:c>
      <x:c r="J1598" s="115" t="str">
        <x:v>Non</x:v>
      </x:c>
      <x:c r="K1598" s="115" t="str">
        <x:v>Pièces décrites, murs, portes, niveaux et mobilier inspectables à l’échelle. Volumes réservés, raccord au seed, butin, rencontres et services de campagne restent à terminer.</x:v>
      </x:c>
    </x:row>
    <x:row r="1599" ht="96" customHeight="1">
      <x:c r="A1599" s="115" t="str">
        <x:v>EXT-MONDE-T032-V44</x:v>
      </x:c>
      <x:c r="B1599" s="115" t="str">
        <x:v>EXT-MONDE-T032</x:v>
      </x:c>
      <x:c r="C1599" s="115" t="str">
        <x:v>Ponts</x:v>
      </x:c>
      <x:c r="D1599" s="115" t="str">
        <x:v>Viaduc ferroviaire</x:v>
      </x:c>
      <x:c r="E1599" s="115" t="n">
        <x:v>44</x:v>
      </x:c>
      <x:c r="F1599" s="115" t="str">
        <x:v>Inspection physique</x:v>
      </x:c>
      <x:c r="G1599" s="115" t="str">
        <x:v>1 niveaux ; 34 pièces ; 260 segments de mur ; 0 transitions. Inspection physique ; architecture complète encore ouverte.</x:v>
      </x:c>
      <x:c r="H1599" s="115" t="str">
        <x:v>L 1120 ; l 4200 ; hauteur 18,12 m ; choix de composition auteur ; dimensions réelles à documenter</x:v>
      </x:c>
      <x:c r="I1599" s="115" t="str">
        <x:v>À équilibrer</x:v>
      </x:c>
      <x:c r="J1599" s="115" t="str">
        <x:v>Non</x:v>
      </x:c>
      <x:c r="K1599" s="115" t="str">
        <x:v>Pièces décrites, murs, portes, niveaux et mobilier inspectables à l’échelle. Volumes réservés, raccord au seed, butin, rencontres et services de campagne restent à terminer.</x:v>
      </x:c>
    </x:row>
    <x:row r="1600" ht="96" customHeight="1">
      <x:c r="A1600" s="115" t="str">
        <x:v>EXT-MONDE-T032-V45</x:v>
      </x:c>
      <x:c r="B1600" s="115" t="str">
        <x:v>EXT-MONDE-T032</x:v>
      </x:c>
      <x:c r="C1600" s="115" t="str">
        <x:v>Ponts</x:v>
      </x:c>
      <x:c r="D1600" s="115" t="str">
        <x:v>Viaduc ferroviaire</x:v>
      </x:c>
      <x:c r="E1600" s="115" t="n">
        <x:v>45</x:v>
      </x:c>
      <x:c r="F1600" s="115" t="str">
        <x:v>Inspection physique</x:v>
      </x:c>
      <x:c r="G1600" s="115" t="str">
        <x:v>1 niveaux ; 34 pièces ; 260 segments de mur ; 0 transitions. Inspection physique ; architecture complète encore ouverte.</x:v>
      </x:c>
      <x:c r="H1600" s="115" t="str">
        <x:v>L 1120 ; l 4200 ; hauteur 18,16 m ; choix de composition auteur ; dimensions réelles à documenter</x:v>
      </x:c>
      <x:c r="I1600" s="115" t="str">
        <x:v>À équilibrer</x:v>
      </x:c>
      <x:c r="J1600" s="115" t="str">
        <x:v>Non</x:v>
      </x:c>
      <x:c r="K1600" s="115" t="str">
        <x:v>Pièces décrites, murs, portes, niveaux et mobilier inspectables à l’échelle. Volumes réservés, raccord au seed, butin, rencontres et services de campagne restent à terminer.</x:v>
      </x:c>
    </x:row>
    <x:row r="1601" ht="96" customHeight="1">
      <x:c r="A1601" s="115" t="str">
        <x:v>EXT-MONDE-T032-V46</x:v>
      </x:c>
      <x:c r="B1601" s="115" t="str">
        <x:v>EXT-MONDE-T032</x:v>
      </x:c>
      <x:c r="C1601" s="115" t="str">
        <x:v>Ponts</x:v>
      </x:c>
      <x:c r="D1601" s="115" t="str">
        <x:v>Viaduc ferroviaire</x:v>
      </x:c>
      <x:c r="E1601" s="115" t="n">
        <x:v>46</x:v>
      </x:c>
      <x:c r="F1601" s="115" t="str">
        <x:v>Inspection physique</x:v>
      </x:c>
      <x:c r="G1601" s="115" t="str">
        <x:v>1 niveaux ; 34 pièces ; 260 segments de mur ; 0 transitions. Inspection physique ; architecture complète encore ouverte.</x:v>
      </x:c>
      <x:c r="H1601" s="115" t="str">
        <x:v>L 1120 ; l 4200 ; hauteur 18,2 m ; choix de composition auteur ; dimensions réelles à documenter</x:v>
      </x:c>
      <x:c r="I1601" s="115" t="str">
        <x:v>À équilibrer</x:v>
      </x:c>
      <x:c r="J1601" s="115" t="str">
        <x:v>Non</x:v>
      </x:c>
      <x:c r="K1601" s="115" t="str">
        <x:v>Pièces décrites, murs, portes, niveaux et mobilier inspectables à l’échelle. Volumes réservés, raccord au seed, butin, rencontres et services de campagne restent à terminer.</x:v>
      </x:c>
    </x:row>
    <x:row r="1602" ht="96" customHeight="1">
      <x:c r="A1602" s="115" t="str">
        <x:v>EXT-MONDE-T032-V47</x:v>
      </x:c>
      <x:c r="B1602" s="115" t="str">
        <x:v>EXT-MONDE-T032</x:v>
      </x:c>
      <x:c r="C1602" s="115" t="str">
        <x:v>Ponts</x:v>
      </x:c>
      <x:c r="D1602" s="115" t="str">
        <x:v>Viaduc ferroviaire</x:v>
      </x:c>
      <x:c r="E1602" s="115" t="n">
        <x:v>47</x:v>
      </x:c>
      <x:c r="F1602" s="115" t="str">
        <x:v>Inspection physique</x:v>
      </x:c>
      <x:c r="G1602" s="115" t="str">
        <x:v>1 niveaux ; 34 pièces ; 260 segments de mur ; 0 transitions. Inspection physique ; architecture complète encore ouverte.</x:v>
      </x:c>
      <x:c r="H1602" s="115" t="str">
        <x:v>L 1120 ; l 4200 ; hauteur 18,24 m ; choix de composition auteur ; dimensions réelles à documenter</x:v>
      </x:c>
      <x:c r="I1602" s="115" t="str">
        <x:v>À équilibrer</x:v>
      </x:c>
      <x:c r="J1602" s="115" t="str">
        <x:v>Non</x:v>
      </x:c>
      <x:c r="K1602" s="115" t="str">
        <x:v>Pièces décrites, murs, portes, niveaux et mobilier inspectables à l’échelle. Volumes réservés, raccord au seed, butin, rencontres et services de campagne restent à terminer.</x:v>
      </x:c>
    </x:row>
    <x:row r="1603" ht="96" customHeight="1">
      <x:c r="A1603" s="115" t="str">
        <x:v>EXT-MONDE-T032-V48</x:v>
      </x:c>
      <x:c r="B1603" s="115" t="str">
        <x:v>EXT-MONDE-T032</x:v>
      </x:c>
      <x:c r="C1603" s="115" t="str">
        <x:v>Ponts</x:v>
      </x:c>
      <x:c r="D1603" s="115" t="str">
        <x:v>Viaduc ferroviaire</x:v>
      </x:c>
      <x:c r="E1603" s="115" t="n">
        <x:v>48</x:v>
      </x:c>
      <x:c r="F1603" s="115" t="str">
        <x:v>Inspection physique</x:v>
      </x:c>
      <x:c r="G1603" s="115" t="str">
        <x:v>1 niveaux ; 34 pièces ; 260 segments de mur ; 0 transitions. Inspection physique ; architecture complète encore ouverte.</x:v>
      </x:c>
      <x:c r="H1603" s="115" t="str">
        <x:v>L 1120 ; l 4200 ; hauteur 18,28 m ; choix de composition auteur ; dimensions réelles à documenter</x:v>
      </x:c>
      <x:c r="I1603" s="115" t="str">
        <x:v>À équilibrer</x:v>
      </x:c>
      <x:c r="J1603" s="115" t="str">
        <x:v>Non</x:v>
      </x:c>
      <x:c r="K1603" s="115" t="str">
        <x:v>Pièces décrites, murs, portes, niveaux et mobilier inspectables à l’échelle. Volumes réservés, raccord au seed, butin, rencontres et services de campagne restent à terminer.</x:v>
      </x:c>
    </x:row>
    <x:row r="1604" ht="96" customHeight="1">
      <x:c r="A1604" s="115" t="str">
        <x:v>EXT-MONDE-T032-V49</x:v>
      </x:c>
      <x:c r="B1604" s="115" t="str">
        <x:v>EXT-MONDE-T032</x:v>
      </x:c>
      <x:c r="C1604" s="115" t="str">
        <x:v>Ponts</x:v>
      </x:c>
      <x:c r="D1604" s="115" t="str">
        <x:v>Viaduc ferroviaire</x:v>
      </x:c>
      <x:c r="E1604" s="115" t="n">
        <x:v>49</x:v>
      </x:c>
      <x:c r="F1604" s="115" t="str">
        <x:v>Inspection physique</x:v>
      </x:c>
      <x:c r="G1604" s="115" t="str">
        <x:v>1 niveaux ; 34 pièces ; 260 segments de mur ; 0 transitions. Inspection physique ; architecture complète encore ouverte.</x:v>
      </x:c>
      <x:c r="H1604" s="115" t="str">
        <x:v>L 1120 ; l 4200 ; hauteur 18,32 m ; choix de composition auteur ; dimensions réelles à documenter</x:v>
      </x:c>
      <x:c r="I1604" s="115" t="str">
        <x:v>À équilibrer</x:v>
      </x:c>
      <x:c r="J1604" s="115" t="str">
        <x:v>Non</x:v>
      </x:c>
      <x:c r="K1604" s="115" t="str">
        <x:v>Pièces décrites, murs, portes, niveaux et mobilier inspectables à l’échelle. Volumes réservés, raccord au seed, butin, rencontres et services de campagne restent à terminer.</x:v>
      </x:c>
    </x:row>
    <x:row r="1605" ht="96" customHeight="1">
      <x:c r="A1605" s="115" t="str">
        <x:v>EXT-MONDE-T032-V50</x:v>
      </x:c>
      <x:c r="B1605" s="115" t="str">
        <x:v>EXT-MONDE-T032</x:v>
      </x:c>
      <x:c r="C1605" s="115" t="str">
        <x:v>Ponts</x:v>
      </x:c>
      <x:c r="D1605" s="115" t="str">
        <x:v>Viaduc ferroviaire</x:v>
      </x:c>
      <x:c r="E1605" s="115" t="n">
        <x:v>50</x:v>
      </x:c>
      <x:c r="F1605" s="115" t="str">
        <x:v>Inspection physique</x:v>
      </x:c>
      <x:c r="G1605" s="115" t="str">
        <x:v>1 niveaux ; 34 pièces ; 260 segments de mur ; 0 transitions. Inspection physique ; architecture complète encore ouverte.</x:v>
      </x:c>
      <x:c r="H1605" s="115" t="str">
        <x:v>L 1120 ; l 4200 ; hauteur 18,36 m ; choix de composition auteur ; dimensions réelles à documenter</x:v>
      </x:c>
      <x:c r="I1605" s="115" t="str">
        <x:v>À équilibrer</x:v>
      </x:c>
      <x:c r="J1605" s="115" t="str">
        <x:v>Non</x:v>
      </x:c>
      <x:c r="K1605" s="115" t="str">
        <x:v>Pièces décrites, murs, portes, niveaux et mobilier inspectables à l’échelle. Volumes réservés, raccord au seed, butin, rencontres et services de campagne restent à terminer.</x:v>
      </x:c>
    </x:row>
    <x:row r="1606" ht="96" customHeight="1">
      <x:c r="A1606" s="115" t="str">
        <x:v>EXT-MONDE-T033-V01</x:v>
      </x:c>
      <x:c r="B1606" s="115" t="str">
        <x:v>EXT-MONDE-T033</x:v>
      </x:c>
      <x:c r="C1606" s="115" t="str">
        <x:v>Échangeurs</x:v>
      </x:c>
      <x:c r="D1606" s="115" t="str">
        <x:v>Échangeur en losange</x:v>
      </x:c>
      <x:c r="E1606" s="115" t="n">
        <x:v>1</x:v>
      </x:c>
      <x:c r="F1606" s="115" t="str">
        <x:v>Inspection physique</x:v>
      </x:c>
      <x:c r="G1606" s="115" t="str">
        <x:v>1 niveaux ; 34 pièces ; 260 segments de mur ; 0 transitions. Inspection physique ; architecture complète encore ouverte.</x:v>
      </x:c>
      <x:c r="H1606" s="115" t="str">
        <x:v>L 1200 ; l 1200 ; hauteur 8 m ; choix de composition auteur ; dimensions réelles à documenter</x:v>
      </x:c>
      <x:c r="I1606" s="115" t="str">
        <x:v>À équilibrer</x:v>
      </x:c>
      <x:c r="J1606" s="115" t="str">
        <x:v>Non</x:v>
      </x:c>
      <x:c r="K1606" s="115" t="str">
        <x:v>Pièces décrites, murs, portes, niveaux et mobilier inspectables à l’échelle. Volumes réservés, raccord au seed, butin, rencontres et services de campagne restent à terminer.</x:v>
      </x:c>
    </x:row>
    <x:row r="1607" ht="96" customHeight="1">
      <x:c r="A1607" s="115" t="str">
        <x:v>EXT-MONDE-T033-V02</x:v>
      </x:c>
      <x:c r="B1607" s="115" t="str">
        <x:v>EXT-MONDE-T033</x:v>
      </x:c>
      <x:c r="C1607" s="115" t="str">
        <x:v>Échangeurs</x:v>
      </x:c>
      <x:c r="D1607" s="115" t="str">
        <x:v>Échangeur en losange</x:v>
      </x:c>
      <x:c r="E1607" s="115" t="n">
        <x:v>2</x:v>
      </x:c>
      <x:c r="F1607" s="115" t="str">
        <x:v>Inspection physique</x:v>
      </x:c>
      <x:c r="G1607" s="115" t="str">
        <x:v>1 niveaux ; 34 pièces ; 260 segments de mur ; 0 transitions. Inspection physique ; architecture complète encore ouverte.</x:v>
      </x:c>
      <x:c r="H1607" s="115" t="str">
        <x:v>L 1200 ; l 1200 ; hauteur 8 m ; choix de composition auteur ; dimensions réelles à documenter</x:v>
      </x:c>
      <x:c r="I1607" s="115" t="str">
        <x:v>À équilibrer</x:v>
      </x:c>
      <x:c r="J1607" s="115" t="str">
        <x:v>Non</x:v>
      </x:c>
      <x:c r="K1607" s="115" t="str">
        <x:v>Pièces décrites, murs, portes, niveaux et mobilier inspectables à l’échelle. Volumes réservés, raccord au seed, butin, rencontres et services de campagne restent à terminer.</x:v>
      </x:c>
    </x:row>
    <x:row r="1608" ht="96" customHeight="1">
      <x:c r="A1608" s="115" t="str">
        <x:v>EXT-MONDE-T033-V03</x:v>
      </x:c>
      <x:c r="B1608" s="115" t="str">
        <x:v>EXT-MONDE-T033</x:v>
      </x:c>
      <x:c r="C1608" s="115" t="str">
        <x:v>Échangeurs</x:v>
      </x:c>
      <x:c r="D1608" s="115" t="str">
        <x:v>Échangeur en losange</x:v>
      </x:c>
      <x:c r="E1608" s="115" t="n">
        <x:v>3</x:v>
      </x:c>
      <x:c r="F1608" s="115" t="str">
        <x:v>Inspection physique</x:v>
      </x:c>
      <x:c r="G1608" s="115" t="str">
        <x:v>1 niveaux ; 34 pièces ; 260 segments de mur ; 0 transitions. Inspection physique ; architecture complète encore ouverte.</x:v>
      </x:c>
      <x:c r="H1608" s="115" t="str">
        <x:v>L 1200 ; l 1200 ; hauteur 8 m ; choix de composition auteur ; dimensions réelles à documenter</x:v>
      </x:c>
      <x:c r="I1608" s="115" t="str">
        <x:v>À équilibrer</x:v>
      </x:c>
      <x:c r="J1608" s="115" t="str">
        <x:v>Non</x:v>
      </x:c>
      <x:c r="K1608" s="115" t="str">
        <x:v>Pièces décrites, murs, portes, niveaux et mobilier inspectables à l’échelle. Volumes réservés, raccord au seed, butin, rencontres et services de campagne restent à terminer.</x:v>
      </x:c>
    </x:row>
    <x:row r="1609" ht="96" customHeight="1">
      <x:c r="A1609" s="115" t="str">
        <x:v>EXT-MONDE-T033-V04</x:v>
      </x:c>
      <x:c r="B1609" s="115" t="str">
        <x:v>EXT-MONDE-T033</x:v>
      </x:c>
      <x:c r="C1609" s="115" t="str">
        <x:v>Échangeurs</x:v>
      </x:c>
      <x:c r="D1609" s="115" t="str">
        <x:v>Échangeur en losange</x:v>
      </x:c>
      <x:c r="E1609" s="115" t="n">
        <x:v>4</x:v>
      </x:c>
      <x:c r="F1609" s="115" t="str">
        <x:v>Inspection physique</x:v>
      </x:c>
      <x:c r="G1609" s="115" t="str">
        <x:v>1 niveaux ; 34 pièces ; 260 segments de mur ; 0 transitions. Inspection physique ; architecture complète encore ouverte.</x:v>
      </x:c>
      <x:c r="H1609" s="115" t="str">
        <x:v>L 1200 ; l 1200 ; hauteur 8 m ; choix de composition auteur ; dimensions réelles à documenter</x:v>
      </x:c>
      <x:c r="I1609" s="115" t="str">
        <x:v>À équilibrer</x:v>
      </x:c>
      <x:c r="J1609" s="115" t="str">
        <x:v>Non</x:v>
      </x:c>
      <x:c r="K1609" s="115" t="str">
        <x:v>Pièces décrites, murs, portes, niveaux et mobilier inspectables à l’échelle. Volumes réservés, raccord au seed, butin, rencontres et services de campagne restent à terminer.</x:v>
      </x:c>
    </x:row>
    <x:row r="1610" ht="96" customHeight="1">
      <x:c r="A1610" s="115" t="str">
        <x:v>EXT-MONDE-T033-V05</x:v>
      </x:c>
      <x:c r="B1610" s="115" t="str">
        <x:v>EXT-MONDE-T033</x:v>
      </x:c>
      <x:c r="C1610" s="115" t="str">
        <x:v>Échangeurs</x:v>
      </x:c>
      <x:c r="D1610" s="115" t="str">
        <x:v>Échangeur en losange</x:v>
      </x:c>
      <x:c r="E1610" s="115" t="n">
        <x:v>5</x:v>
      </x:c>
      <x:c r="F1610" s="115" t="str">
        <x:v>Inspection physique</x:v>
      </x:c>
      <x:c r="G1610" s="115" t="str">
        <x:v>1 niveaux ; 34 pièces ; 260 segments de mur ; 0 transitions. Inspection physique ; architecture complète encore ouverte.</x:v>
      </x:c>
      <x:c r="H1610" s="115" t="str">
        <x:v>L 1200 ; l 1200 ; hauteur 8 m ; choix de composition auteur ; dimensions réelles à documenter</x:v>
      </x:c>
      <x:c r="I1610" s="115" t="str">
        <x:v>À équilibrer</x:v>
      </x:c>
      <x:c r="J1610" s="115" t="str">
        <x:v>Non</x:v>
      </x:c>
      <x:c r="K1610" s="115" t="str">
        <x:v>Pièces décrites, murs, portes, niveaux et mobilier inspectables à l’échelle. Volumes réservés, raccord au seed, butin, rencontres et services de campagne restent à terminer.</x:v>
      </x:c>
    </x:row>
    <x:row r="1611" ht="96" customHeight="1">
      <x:c r="A1611" s="115" t="str">
        <x:v>EXT-MONDE-T033-V06</x:v>
      </x:c>
      <x:c r="B1611" s="115" t="str">
        <x:v>EXT-MONDE-T033</x:v>
      </x:c>
      <x:c r="C1611" s="115" t="str">
        <x:v>Échangeurs</x:v>
      </x:c>
      <x:c r="D1611" s="115" t="str">
        <x:v>Échangeur en losange</x:v>
      </x:c>
      <x:c r="E1611" s="115" t="n">
        <x:v>6</x:v>
      </x:c>
      <x:c r="F1611" s="115" t="str">
        <x:v>Inspection physique</x:v>
      </x:c>
      <x:c r="G1611" s="115" t="str">
        <x:v>1 niveaux ; 34 pièces ; 260 segments de mur ; 0 transitions. Inspection physique ; architecture complète encore ouverte.</x:v>
      </x:c>
      <x:c r="H1611" s="115" t="str">
        <x:v>L 1200 ; l 1200 ; hauteur 8 m ; choix de composition auteur ; dimensions réelles à documenter</x:v>
      </x:c>
      <x:c r="I1611" s="115" t="str">
        <x:v>À équilibrer</x:v>
      </x:c>
      <x:c r="J1611" s="115" t="str">
        <x:v>Non</x:v>
      </x:c>
      <x:c r="K1611" s="115" t="str">
        <x:v>Pièces décrites, murs, portes, niveaux et mobilier inspectables à l’échelle. Volumes réservés, raccord au seed, butin, rencontres et services de campagne restent à terminer.</x:v>
      </x:c>
    </x:row>
    <x:row r="1612" ht="96" customHeight="1">
      <x:c r="A1612" s="115" t="str">
        <x:v>EXT-MONDE-T033-V07</x:v>
      </x:c>
      <x:c r="B1612" s="115" t="str">
        <x:v>EXT-MONDE-T033</x:v>
      </x:c>
      <x:c r="C1612" s="115" t="str">
        <x:v>Échangeurs</x:v>
      </x:c>
      <x:c r="D1612" s="115" t="str">
        <x:v>Échangeur en losange</x:v>
      </x:c>
      <x:c r="E1612" s="115" t="n">
        <x:v>7</x:v>
      </x:c>
      <x:c r="F1612" s="115" t="str">
        <x:v>Inspection physique</x:v>
      </x:c>
      <x:c r="G1612" s="115" t="str">
        <x:v>1 niveaux ; 34 pièces ; 260 segments de mur ; 0 transitions. Inspection physique ; architecture complète encore ouverte.</x:v>
      </x:c>
      <x:c r="H1612" s="115" t="str">
        <x:v>L 1200 ; l 1200 ; hauteur 8 m ; choix de composition auteur ; dimensions réelles à documenter</x:v>
      </x:c>
      <x:c r="I1612" s="115" t="str">
        <x:v>À équilibrer</x:v>
      </x:c>
      <x:c r="J1612" s="115" t="str">
        <x:v>Non</x:v>
      </x:c>
      <x:c r="K1612" s="115" t="str">
        <x:v>Pièces décrites, murs, portes, niveaux et mobilier inspectables à l’échelle. Volumes réservés, raccord au seed, butin, rencontres et services de campagne restent à terminer.</x:v>
      </x:c>
    </x:row>
    <x:row r="1613" ht="96" customHeight="1">
      <x:c r="A1613" s="115" t="str">
        <x:v>EXT-MONDE-T033-V08</x:v>
      </x:c>
      <x:c r="B1613" s="115" t="str">
        <x:v>EXT-MONDE-T033</x:v>
      </x:c>
      <x:c r="C1613" s="115" t="str">
        <x:v>Échangeurs</x:v>
      </x:c>
      <x:c r="D1613" s="115" t="str">
        <x:v>Échangeur en losange</x:v>
      </x:c>
      <x:c r="E1613" s="115" t="n">
        <x:v>8</x:v>
      </x:c>
      <x:c r="F1613" s="115" t="str">
        <x:v>Inspection physique</x:v>
      </x:c>
      <x:c r="G1613" s="115" t="str">
        <x:v>1 niveaux ; 34 pièces ; 260 segments de mur ; 0 transitions. Inspection physique ; architecture complète encore ouverte.</x:v>
      </x:c>
      <x:c r="H1613" s="115" t="str">
        <x:v>L 1200 ; l 1200 ; hauteur 8 m ; choix de composition auteur ; dimensions réelles à documenter</x:v>
      </x:c>
      <x:c r="I1613" s="115" t="str">
        <x:v>À équilibrer</x:v>
      </x:c>
      <x:c r="J1613" s="115" t="str">
        <x:v>Non</x:v>
      </x:c>
      <x:c r="K1613" s="115" t="str">
        <x:v>Pièces décrites, murs, portes, niveaux et mobilier inspectables à l’échelle. Volumes réservés, raccord au seed, butin, rencontres et services de campagne restent à terminer.</x:v>
      </x:c>
    </x:row>
    <x:row r="1614" ht="96" customHeight="1">
      <x:c r="A1614" s="115" t="str">
        <x:v>EXT-MONDE-T033-V09</x:v>
      </x:c>
      <x:c r="B1614" s="115" t="str">
        <x:v>EXT-MONDE-T033</x:v>
      </x:c>
      <x:c r="C1614" s="115" t="str">
        <x:v>Échangeurs</x:v>
      </x:c>
      <x:c r="D1614" s="115" t="str">
        <x:v>Échangeur en losange</x:v>
      </x:c>
      <x:c r="E1614" s="115" t="n">
        <x:v>9</x:v>
      </x:c>
      <x:c r="F1614" s="115" t="str">
        <x:v>Inspection physique</x:v>
      </x:c>
      <x:c r="G1614" s="115" t="str">
        <x:v>1 niveaux ; 34 pièces ; 260 segments de mur ; 0 transitions. Inspection physique ; architecture complète encore ouverte.</x:v>
      </x:c>
      <x:c r="H1614" s="115" t="str">
        <x:v>L 1200 ; l 1200 ; hauteur 8 m ; choix de composition auteur ; dimensions réelles à documenter</x:v>
      </x:c>
      <x:c r="I1614" s="115" t="str">
        <x:v>À équilibrer</x:v>
      </x:c>
      <x:c r="J1614" s="115" t="str">
        <x:v>Non</x:v>
      </x:c>
      <x:c r="K1614" s="115" t="str">
        <x:v>Pièces décrites, murs, portes, niveaux et mobilier inspectables à l’échelle. Volumes réservés, raccord au seed, butin, rencontres et services de campagne restent à terminer.</x:v>
      </x:c>
    </x:row>
    <x:row r="1615" ht="96" customHeight="1">
      <x:c r="A1615" s="115" t="str">
        <x:v>EXT-MONDE-T033-V10</x:v>
      </x:c>
      <x:c r="B1615" s="115" t="str">
        <x:v>EXT-MONDE-T033</x:v>
      </x:c>
      <x:c r="C1615" s="115" t="str">
        <x:v>Échangeurs</x:v>
      </x:c>
      <x:c r="D1615" s="115" t="str">
        <x:v>Échangeur en losange</x:v>
      </x:c>
      <x:c r="E1615" s="115" t="n">
        <x:v>10</x:v>
      </x:c>
      <x:c r="F1615" s="115" t="str">
        <x:v>Inspection physique</x:v>
      </x:c>
      <x:c r="G1615" s="115" t="str">
        <x:v>1 niveaux ; 34 pièces ; 260 segments de mur ; 0 transitions. Inspection physique ; architecture complète encore ouverte.</x:v>
      </x:c>
      <x:c r="H1615" s="115" t="str">
        <x:v>L 1200 ; l 1200 ; hauteur 8 m ; choix de composition auteur ; dimensions réelles à documenter</x:v>
      </x:c>
      <x:c r="I1615" s="115" t="str">
        <x:v>À équilibrer</x:v>
      </x:c>
      <x:c r="J1615" s="115" t="str">
        <x:v>Non</x:v>
      </x:c>
      <x:c r="K1615" s="115" t="str">
        <x:v>Pièces décrites, murs, portes, niveaux et mobilier inspectables à l’échelle. Volumes réservés, raccord au seed, butin, rencontres et services de campagne restent à terminer.</x:v>
      </x:c>
    </x:row>
    <x:row r="1616" ht="96" customHeight="1">
      <x:c r="A1616" s="115" t="str">
        <x:v>EXT-MONDE-T033-V11</x:v>
      </x:c>
      <x:c r="B1616" s="115" t="str">
        <x:v>EXT-MONDE-T033</x:v>
      </x:c>
      <x:c r="C1616" s="115" t="str">
        <x:v>Échangeurs</x:v>
      </x:c>
      <x:c r="D1616" s="115" t="str">
        <x:v>Échangeur en losange</x:v>
      </x:c>
      <x:c r="E1616" s="115" t="n">
        <x:v>11</x:v>
      </x:c>
      <x:c r="F1616" s="115" t="str">
        <x:v>Inspection physique</x:v>
      </x:c>
      <x:c r="G1616" s="115" t="str">
        <x:v>1 niveaux ; 34 pièces ; 260 segments de mur ; 0 transitions. Inspection physique ; architecture complète encore ouverte.</x:v>
      </x:c>
      <x:c r="H1616" s="115" t="str">
        <x:v>L 1280 ; l 1360 ; hauteur 8 m ; choix de composition auteur ; dimensions réelles à documenter</x:v>
      </x:c>
      <x:c r="I1616" s="115" t="str">
        <x:v>À équilibrer</x:v>
      </x:c>
      <x:c r="J1616" s="115" t="str">
        <x:v>Non</x:v>
      </x:c>
      <x:c r="K1616" s="115" t="str">
        <x:v>Pièces décrites, murs, portes, niveaux et mobilier inspectables à l’échelle. Volumes réservés, raccord au seed, butin, rencontres et services de campagne restent à terminer.</x:v>
      </x:c>
    </x:row>
    <x:row r="1617" ht="96" customHeight="1">
      <x:c r="A1617" s="115" t="str">
        <x:v>EXT-MONDE-T033-V12</x:v>
      </x:c>
      <x:c r="B1617" s="115" t="str">
        <x:v>EXT-MONDE-T033</x:v>
      </x:c>
      <x:c r="C1617" s="115" t="str">
        <x:v>Échangeurs</x:v>
      </x:c>
      <x:c r="D1617" s="115" t="str">
        <x:v>Échangeur en losange</x:v>
      </x:c>
      <x:c r="E1617" s="115" t="n">
        <x:v>12</x:v>
      </x:c>
      <x:c r="F1617" s="115" t="str">
        <x:v>Inspection physique</x:v>
      </x:c>
      <x:c r="G1617" s="115" t="str">
        <x:v>1 niveaux ; 34 pièces ; 260 segments de mur ; 0 transitions. Inspection physique ; architecture complète encore ouverte.</x:v>
      </x:c>
      <x:c r="H1617" s="115" t="str">
        <x:v>L 1280 ; l 1360 ; hauteur 8 m ; choix de composition auteur ; dimensions réelles à documenter</x:v>
      </x:c>
      <x:c r="I1617" s="115" t="str">
        <x:v>À équilibrer</x:v>
      </x:c>
      <x:c r="J1617" s="115" t="str">
        <x:v>Non</x:v>
      </x:c>
      <x:c r="K1617" s="115" t="str">
        <x:v>Pièces décrites, murs, portes, niveaux et mobilier inspectables à l’échelle. Volumes réservés, raccord au seed, butin, rencontres et services de campagne restent à terminer.</x:v>
      </x:c>
    </x:row>
    <x:row r="1618" ht="96" customHeight="1">
      <x:c r="A1618" s="115" t="str">
        <x:v>EXT-MONDE-T033-V13</x:v>
      </x:c>
      <x:c r="B1618" s="115" t="str">
        <x:v>EXT-MONDE-T033</x:v>
      </x:c>
      <x:c r="C1618" s="115" t="str">
        <x:v>Échangeurs</x:v>
      </x:c>
      <x:c r="D1618" s="115" t="str">
        <x:v>Échangeur en losange</x:v>
      </x:c>
      <x:c r="E1618" s="115" t="n">
        <x:v>13</x:v>
      </x:c>
      <x:c r="F1618" s="115" t="str">
        <x:v>Inspection physique</x:v>
      </x:c>
      <x:c r="G1618" s="115" t="str">
        <x:v>1 niveaux ; 34 pièces ; 260 segments de mur ; 0 transitions. Inspection physique ; architecture complète encore ouverte.</x:v>
      </x:c>
      <x:c r="H1618" s="115" t="str">
        <x:v>L 1280 ; l 1360 ; hauteur 8 m ; choix de composition auteur ; dimensions réelles à documenter</x:v>
      </x:c>
      <x:c r="I1618" s="115" t="str">
        <x:v>À équilibrer</x:v>
      </x:c>
      <x:c r="J1618" s="115" t="str">
        <x:v>Non</x:v>
      </x:c>
      <x:c r="K1618" s="115" t="str">
        <x:v>Pièces décrites, murs, portes, niveaux et mobilier inspectables à l’échelle. Volumes réservés, raccord au seed, butin, rencontres et services de campagne restent à terminer.</x:v>
      </x:c>
    </x:row>
    <x:row r="1619" ht="96" customHeight="1">
      <x:c r="A1619" s="115" t="str">
        <x:v>EXT-MONDE-T033-V14</x:v>
      </x:c>
      <x:c r="B1619" s="115" t="str">
        <x:v>EXT-MONDE-T033</x:v>
      </x:c>
      <x:c r="C1619" s="115" t="str">
        <x:v>Échangeurs</x:v>
      </x:c>
      <x:c r="D1619" s="115" t="str">
        <x:v>Échangeur en losange</x:v>
      </x:c>
      <x:c r="E1619" s="115" t="n">
        <x:v>14</x:v>
      </x:c>
      <x:c r="F1619" s="115" t="str">
        <x:v>Inspection physique</x:v>
      </x:c>
      <x:c r="G1619" s="115" t="str">
        <x:v>1 niveaux ; 34 pièces ; 260 segments de mur ; 0 transitions. Inspection physique ; architecture complète encore ouverte.</x:v>
      </x:c>
      <x:c r="H1619" s="115" t="str">
        <x:v>L 1280 ; l 1360 ; hauteur 8 m ; choix de composition auteur ; dimensions réelles à documenter</x:v>
      </x:c>
      <x:c r="I1619" s="115" t="str">
        <x:v>À équilibrer</x:v>
      </x:c>
      <x:c r="J1619" s="115" t="str">
        <x:v>Non</x:v>
      </x:c>
      <x:c r="K1619" s="115" t="str">
        <x:v>Pièces décrites, murs, portes, niveaux et mobilier inspectables à l’échelle. Volumes réservés, raccord au seed, butin, rencontres et services de campagne restent à terminer.</x:v>
      </x:c>
    </x:row>
    <x:row r="1620" ht="96" customHeight="1">
      <x:c r="A1620" s="115" t="str">
        <x:v>EXT-MONDE-T033-V15</x:v>
      </x:c>
      <x:c r="B1620" s="115" t="str">
        <x:v>EXT-MONDE-T033</x:v>
      </x:c>
      <x:c r="C1620" s="115" t="str">
        <x:v>Échangeurs</x:v>
      </x:c>
      <x:c r="D1620" s="115" t="str">
        <x:v>Échangeur en losange</x:v>
      </x:c>
      <x:c r="E1620" s="115" t="n">
        <x:v>15</x:v>
      </x:c>
      <x:c r="F1620" s="115" t="str">
        <x:v>Inspection physique</x:v>
      </x:c>
      <x:c r="G1620" s="115" t="str">
        <x:v>1 niveaux ; 34 pièces ; 260 segments de mur ; 0 transitions. Inspection physique ; architecture complète encore ouverte.</x:v>
      </x:c>
      <x:c r="H1620" s="115" t="str">
        <x:v>L 1280 ; l 1360 ; hauteur 8 m ; choix de composition auteur ; dimensions réelles à documenter</x:v>
      </x:c>
      <x:c r="I1620" s="115" t="str">
        <x:v>À équilibrer</x:v>
      </x:c>
      <x:c r="J1620" s="115" t="str">
        <x:v>Non</x:v>
      </x:c>
      <x:c r="K1620" s="115" t="str">
        <x:v>Pièces décrites, murs, portes, niveaux et mobilier inspectables à l’échelle. Volumes réservés, raccord au seed, butin, rencontres et services de campagne restent à terminer.</x:v>
      </x:c>
    </x:row>
    <x:row r="1621" ht="96" customHeight="1">
      <x:c r="A1621" s="115" t="str">
        <x:v>EXT-MONDE-T033-V16</x:v>
      </x:c>
      <x:c r="B1621" s="115" t="str">
        <x:v>EXT-MONDE-T033</x:v>
      </x:c>
      <x:c r="C1621" s="115" t="str">
        <x:v>Échangeurs</x:v>
      </x:c>
      <x:c r="D1621" s="115" t="str">
        <x:v>Échangeur en losange</x:v>
      </x:c>
      <x:c r="E1621" s="115" t="n">
        <x:v>16</x:v>
      </x:c>
      <x:c r="F1621" s="115" t="str">
        <x:v>Inspection physique</x:v>
      </x:c>
      <x:c r="G1621" s="115" t="str">
        <x:v>1 niveaux ; 34 pièces ; 260 segments de mur ; 0 transitions. Inspection physique ; architecture complète encore ouverte.</x:v>
      </x:c>
      <x:c r="H1621" s="115" t="str">
        <x:v>L 1280 ; l 1360 ; hauteur 8 m ; choix de composition auteur ; dimensions réelles à documenter</x:v>
      </x:c>
      <x:c r="I1621" s="115" t="str">
        <x:v>À équilibrer</x:v>
      </x:c>
      <x:c r="J1621" s="115" t="str">
        <x:v>Non</x:v>
      </x:c>
      <x:c r="K1621" s="115" t="str">
        <x:v>Pièces décrites, murs, portes, niveaux et mobilier inspectables à l’échelle. Volumes réservés, raccord au seed, butin, rencontres et services de campagne restent à terminer.</x:v>
      </x:c>
    </x:row>
    <x:row r="1622" ht="96" customHeight="1">
      <x:c r="A1622" s="115" t="str">
        <x:v>EXT-MONDE-T033-V17</x:v>
      </x:c>
      <x:c r="B1622" s="115" t="str">
        <x:v>EXT-MONDE-T033</x:v>
      </x:c>
      <x:c r="C1622" s="115" t="str">
        <x:v>Échangeurs</x:v>
      </x:c>
      <x:c r="D1622" s="115" t="str">
        <x:v>Échangeur en losange</x:v>
      </x:c>
      <x:c r="E1622" s="115" t="n">
        <x:v>17</x:v>
      </x:c>
      <x:c r="F1622" s="115" t="str">
        <x:v>Inspection physique</x:v>
      </x:c>
      <x:c r="G1622" s="115" t="str">
        <x:v>1 niveaux ; 34 pièces ; 260 segments de mur ; 0 transitions. Inspection physique ; architecture complète encore ouverte.</x:v>
      </x:c>
      <x:c r="H1622" s="115" t="str">
        <x:v>L 1280 ; l 1360 ; hauteur 8 m ; choix de composition auteur ; dimensions réelles à documenter</x:v>
      </x:c>
      <x:c r="I1622" s="115" t="str">
        <x:v>À équilibrer</x:v>
      </x:c>
      <x:c r="J1622" s="115" t="str">
        <x:v>Non</x:v>
      </x:c>
      <x:c r="K1622" s="115" t="str">
        <x:v>Pièces décrites, murs, portes, niveaux et mobilier inspectables à l’échelle. Volumes réservés, raccord au seed, butin, rencontres et services de campagne restent à terminer.</x:v>
      </x:c>
    </x:row>
    <x:row r="1623" ht="96" customHeight="1">
      <x:c r="A1623" s="115" t="str">
        <x:v>EXT-MONDE-T033-V18</x:v>
      </x:c>
      <x:c r="B1623" s="115" t="str">
        <x:v>EXT-MONDE-T033</x:v>
      </x:c>
      <x:c r="C1623" s="115" t="str">
        <x:v>Échangeurs</x:v>
      </x:c>
      <x:c r="D1623" s="115" t="str">
        <x:v>Échangeur en losange</x:v>
      </x:c>
      <x:c r="E1623" s="115" t="n">
        <x:v>18</x:v>
      </x:c>
      <x:c r="F1623" s="115" t="str">
        <x:v>Inspection physique</x:v>
      </x:c>
      <x:c r="G1623" s="115" t="str">
        <x:v>1 niveaux ; 34 pièces ; 260 segments de mur ; 0 transitions. Inspection physique ; architecture complète encore ouverte.</x:v>
      </x:c>
      <x:c r="H1623" s="115" t="str">
        <x:v>L 1280 ; l 1360 ; hauteur 8 m ; choix de composition auteur ; dimensions réelles à documenter</x:v>
      </x:c>
      <x:c r="I1623" s="115" t="str">
        <x:v>À équilibrer</x:v>
      </x:c>
      <x:c r="J1623" s="115" t="str">
        <x:v>Non</x:v>
      </x:c>
      <x:c r="K1623" s="115" t="str">
        <x:v>Pièces décrites, murs, portes, niveaux et mobilier inspectables à l’échelle. Volumes réservés, raccord au seed, butin, rencontres et services de campagne restent à terminer.</x:v>
      </x:c>
    </x:row>
    <x:row r="1624" ht="96" customHeight="1">
      <x:c r="A1624" s="115" t="str">
        <x:v>EXT-MONDE-T033-V19</x:v>
      </x:c>
      <x:c r="B1624" s="115" t="str">
        <x:v>EXT-MONDE-T033</x:v>
      </x:c>
      <x:c r="C1624" s="115" t="str">
        <x:v>Échangeurs</x:v>
      </x:c>
      <x:c r="D1624" s="115" t="str">
        <x:v>Échangeur en losange</x:v>
      </x:c>
      <x:c r="E1624" s="115" t="n">
        <x:v>19</x:v>
      </x:c>
      <x:c r="F1624" s="115" t="str">
        <x:v>Inspection physique</x:v>
      </x:c>
      <x:c r="G1624" s="115" t="str">
        <x:v>1 niveaux ; 34 pièces ; 260 segments de mur ; 0 transitions. Inspection physique ; architecture complète encore ouverte.</x:v>
      </x:c>
      <x:c r="H1624" s="115" t="str">
        <x:v>L 1280 ; l 1360 ; hauteur 8 m ; choix de composition auteur ; dimensions réelles à documenter</x:v>
      </x:c>
      <x:c r="I1624" s="115" t="str">
        <x:v>À équilibrer</x:v>
      </x:c>
      <x:c r="J1624" s="115" t="str">
        <x:v>Non</x:v>
      </x:c>
      <x:c r="K1624" s="115" t="str">
        <x:v>Pièces décrites, murs, portes, niveaux et mobilier inspectables à l’échelle. Volumes réservés, raccord au seed, butin, rencontres et services de campagne restent à terminer.</x:v>
      </x:c>
    </x:row>
    <x:row r="1625" ht="96" customHeight="1">
      <x:c r="A1625" s="115" t="str">
        <x:v>EXT-MONDE-T033-V20</x:v>
      </x:c>
      <x:c r="B1625" s="115" t="str">
        <x:v>EXT-MONDE-T033</x:v>
      </x:c>
      <x:c r="C1625" s="115" t="str">
        <x:v>Échangeurs</x:v>
      </x:c>
      <x:c r="D1625" s="115" t="str">
        <x:v>Échangeur en losange</x:v>
      </x:c>
      <x:c r="E1625" s="115" t="n">
        <x:v>20</x:v>
      </x:c>
      <x:c r="F1625" s="115" t="str">
        <x:v>Inspection physique</x:v>
      </x:c>
      <x:c r="G1625" s="115" t="str">
        <x:v>1 niveaux ; 34 pièces ; 260 segments de mur ; 0 transitions. Inspection physique ; architecture complète encore ouverte.</x:v>
      </x:c>
      <x:c r="H1625" s="115" t="str">
        <x:v>L 1280 ; l 1360 ; hauteur 8 m ; choix de composition auteur ; dimensions réelles à documenter</x:v>
      </x:c>
      <x:c r="I1625" s="115" t="str">
        <x:v>À équilibrer</x:v>
      </x:c>
      <x:c r="J1625" s="115" t="str">
        <x:v>Non</x:v>
      </x:c>
      <x:c r="K1625" s="115" t="str">
        <x:v>Pièces décrites, murs, portes, niveaux et mobilier inspectables à l’échelle. Volumes réservés, raccord au seed, butin, rencontres et services de campagne restent à terminer.</x:v>
      </x:c>
    </x:row>
    <x:row r="1626" ht="96" customHeight="1">
      <x:c r="A1626" s="115" t="str">
        <x:v>EXT-MONDE-T033-V21</x:v>
      </x:c>
      <x:c r="B1626" s="115" t="str">
        <x:v>EXT-MONDE-T033</x:v>
      </x:c>
      <x:c r="C1626" s="115" t="str">
        <x:v>Échangeurs</x:v>
      </x:c>
      <x:c r="D1626" s="115" t="str">
        <x:v>Échangeur en losange</x:v>
      </x:c>
      <x:c r="E1626" s="115" t="n">
        <x:v>21</x:v>
      </x:c>
      <x:c r="F1626" s="115" t="str">
        <x:v>Inspection physique</x:v>
      </x:c>
      <x:c r="G1626" s="115" t="str">
        <x:v>1 niveaux ; 34 pièces ; 260 segments de mur ; 0 transitions. Inspection physique ; architecture complète encore ouverte.</x:v>
      </x:c>
      <x:c r="H1626" s="115" t="str">
        <x:v>L 1360 ; l 1520 ; hauteur 8 m ; choix de composition auteur ; dimensions réelles à documenter</x:v>
      </x:c>
      <x:c r="I1626" s="115" t="str">
        <x:v>À équilibrer</x:v>
      </x:c>
      <x:c r="J1626" s="115" t="str">
        <x:v>Non</x:v>
      </x:c>
      <x:c r="K1626" s="115" t="str">
        <x:v>Pièces décrites, murs, portes, niveaux et mobilier inspectables à l’échelle. Volumes réservés, raccord au seed, butin, rencontres et services de campagne restent à terminer.</x:v>
      </x:c>
    </x:row>
    <x:row r="1627" ht="96" customHeight="1">
      <x:c r="A1627" s="115" t="str">
        <x:v>EXT-MONDE-T033-V22</x:v>
      </x:c>
      <x:c r="B1627" s="115" t="str">
        <x:v>EXT-MONDE-T033</x:v>
      </x:c>
      <x:c r="C1627" s="115" t="str">
        <x:v>Échangeurs</x:v>
      </x:c>
      <x:c r="D1627" s="115" t="str">
        <x:v>Échangeur en losange</x:v>
      </x:c>
      <x:c r="E1627" s="115" t="n">
        <x:v>22</x:v>
      </x:c>
      <x:c r="F1627" s="115" t="str">
        <x:v>Inspection physique</x:v>
      </x:c>
      <x:c r="G1627" s="115" t="str">
        <x:v>1 niveaux ; 34 pièces ; 260 segments de mur ; 0 transitions. Inspection physique ; architecture complète encore ouverte.</x:v>
      </x:c>
      <x:c r="H1627" s="115" t="str">
        <x:v>L 1360 ; l 1520 ; hauteur 8 m ; choix de composition auteur ; dimensions réelles à documenter</x:v>
      </x:c>
      <x:c r="I1627" s="115" t="str">
        <x:v>À équilibrer</x:v>
      </x:c>
      <x:c r="J1627" s="115" t="str">
        <x:v>Non</x:v>
      </x:c>
      <x:c r="K1627" s="115" t="str">
        <x:v>Pièces décrites, murs, portes, niveaux et mobilier inspectables à l’échelle. Volumes réservés, raccord au seed, butin, rencontres et services de campagne restent à terminer.</x:v>
      </x:c>
    </x:row>
    <x:row r="1628" ht="96" customHeight="1">
      <x:c r="A1628" s="115" t="str">
        <x:v>EXT-MONDE-T033-V23</x:v>
      </x:c>
      <x:c r="B1628" s="115" t="str">
        <x:v>EXT-MONDE-T033</x:v>
      </x:c>
      <x:c r="C1628" s="115" t="str">
        <x:v>Échangeurs</x:v>
      </x:c>
      <x:c r="D1628" s="115" t="str">
        <x:v>Échangeur en losange</x:v>
      </x:c>
      <x:c r="E1628" s="115" t="n">
        <x:v>23</x:v>
      </x:c>
      <x:c r="F1628" s="115" t="str">
        <x:v>Inspection physique</x:v>
      </x:c>
      <x:c r="G1628" s="115" t="str">
        <x:v>1 niveaux ; 34 pièces ; 260 segments de mur ; 0 transitions. Inspection physique ; architecture complète encore ouverte.</x:v>
      </x:c>
      <x:c r="H1628" s="115" t="str">
        <x:v>L 1360 ; l 1520 ; hauteur 8 m ; choix de composition auteur ; dimensions réelles à documenter</x:v>
      </x:c>
      <x:c r="I1628" s="115" t="str">
        <x:v>À équilibrer</x:v>
      </x:c>
      <x:c r="J1628" s="115" t="str">
        <x:v>Non</x:v>
      </x:c>
      <x:c r="K1628" s="115" t="str">
        <x:v>Pièces décrites, murs, portes, niveaux et mobilier inspectables à l’échelle. Volumes réservés, raccord au seed, butin, rencontres et services de campagne restent à terminer.</x:v>
      </x:c>
    </x:row>
    <x:row r="1629" ht="96" customHeight="1">
      <x:c r="A1629" s="115" t="str">
        <x:v>EXT-MONDE-T033-V24</x:v>
      </x:c>
      <x:c r="B1629" s="115" t="str">
        <x:v>EXT-MONDE-T033</x:v>
      </x:c>
      <x:c r="C1629" s="115" t="str">
        <x:v>Échangeurs</x:v>
      </x:c>
      <x:c r="D1629" s="115" t="str">
        <x:v>Échangeur en losange</x:v>
      </x:c>
      <x:c r="E1629" s="115" t="n">
        <x:v>24</x:v>
      </x:c>
      <x:c r="F1629" s="115" t="str">
        <x:v>Inspection physique</x:v>
      </x:c>
      <x:c r="G1629" s="115" t="str">
        <x:v>1 niveaux ; 34 pièces ; 260 segments de mur ; 0 transitions. Inspection physique ; architecture complète encore ouverte.</x:v>
      </x:c>
      <x:c r="H1629" s="115" t="str">
        <x:v>L 1360 ; l 1520 ; hauteur 8 m ; choix de composition auteur ; dimensions réelles à documenter</x:v>
      </x:c>
      <x:c r="I1629" s="115" t="str">
        <x:v>À équilibrer</x:v>
      </x:c>
      <x:c r="J1629" s="115" t="str">
        <x:v>Non</x:v>
      </x:c>
      <x:c r="K1629" s="115" t="str">
        <x:v>Pièces décrites, murs, portes, niveaux et mobilier inspectables à l’échelle. Volumes réservés, raccord au seed, butin, rencontres et services de campagne restent à terminer.</x:v>
      </x:c>
    </x:row>
    <x:row r="1630" ht="96" customHeight="1">
      <x:c r="A1630" s="115" t="str">
        <x:v>EXT-MONDE-T033-V25</x:v>
      </x:c>
      <x:c r="B1630" s="115" t="str">
        <x:v>EXT-MONDE-T033</x:v>
      </x:c>
      <x:c r="C1630" s="115" t="str">
        <x:v>Échangeurs</x:v>
      </x:c>
      <x:c r="D1630" s="115" t="str">
        <x:v>Échangeur en losange</x:v>
      </x:c>
      <x:c r="E1630" s="115" t="n">
        <x:v>25</x:v>
      </x:c>
      <x:c r="F1630" s="115" t="str">
        <x:v>Inspection physique</x:v>
      </x:c>
      <x:c r="G1630" s="115" t="str">
        <x:v>1 niveaux ; 34 pièces ; 260 segments de mur ; 0 transitions. Inspection physique ; architecture complète encore ouverte.</x:v>
      </x:c>
      <x:c r="H1630" s="115" t="str">
        <x:v>L 1360 ; l 1520 ; hauteur 8 m ; choix de composition auteur ; dimensions réelles à documenter</x:v>
      </x:c>
      <x:c r="I1630" s="115" t="str">
        <x:v>À équilibrer</x:v>
      </x:c>
      <x:c r="J1630" s="115" t="str">
        <x:v>Non</x:v>
      </x:c>
      <x:c r="K1630" s="115" t="str">
        <x:v>Pièces décrites, murs, portes, niveaux et mobilier inspectables à l’échelle. Volumes réservés, raccord au seed, butin, rencontres et services de campagne restent à terminer.</x:v>
      </x:c>
    </x:row>
    <x:row r="1631" ht="96" customHeight="1">
      <x:c r="A1631" s="115" t="str">
        <x:v>EXT-MONDE-T033-V26</x:v>
      </x:c>
      <x:c r="B1631" s="115" t="str">
        <x:v>EXT-MONDE-T033</x:v>
      </x:c>
      <x:c r="C1631" s="115" t="str">
        <x:v>Échangeurs</x:v>
      </x:c>
      <x:c r="D1631" s="115" t="str">
        <x:v>Échangeur en losange</x:v>
      </x:c>
      <x:c r="E1631" s="115" t="n">
        <x:v>26</x:v>
      </x:c>
      <x:c r="F1631" s="115" t="str">
        <x:v>Inspection physique</x:v>
      </x:c>
      <x:c r="G1631" s="115" t="str">
        <x:v>1 niveaux ; 34 pièces ; 260 segments de mur ; 0 transitions. Inspection physique ; architecture complète encore ouverte.</x:v>
      </x:c>
      <x:c r="H1631" s="115" t="str">
        <x:v>L 1360 ; l 1520 ; hauteur 8 m ; choix de composition auteur ; dimensions réelles à documenter</x:v>
      </x:c>
      <x:c r="I1631" s="115" t="str">
        <x:v>À équilibrer</x:v>
      </x:c>
      <x:c r="J1631" s="115" t="str">
        <x:v>Non</x:v>
      </x:c>
      <x:c r="K1631" s="115" t="str">
        <x:v>Pièces décrites, murs, portes, niveaux et mobilier inspectables à l’échelle. Volumes réservés, raccord au seed, butin, rencontres et services de campagne restent à terminer.</x:v>
      </x:c>
    </x:row>
    <x:row r="1632" ht="96" customHeight="1">
      <x:c r="A1632" s="115" t="str">
        <x:v>EXT-MONDE-T033-V27</x:v>
      </x:c>
      <x:c r="B1632" s="115" t="str">
        <x:v>EXT-MONDE-T033</x:v>
      </x:c>
      <x:c r="C1632" s="115" t="str">
        <x:v>Échangeurs</x:v>
      </x:c>
      <x:c r="D1632" s="115" t="str">
        <x:v>Échangeur en losange</x:v>
      </x:c>
      <x:c r="E1632" s="115" t="n">
        <x:v>27</x:v>
      </x:c>
      <x:c r="F1632" s="115" t="str">
        <x:v>Inspection physique</x:v>
      </x:c>
      <x:c r="G1632" s="115" t="str">
        <x:v>1 niveaux ; 34 pièces ; 260 segments de mur ; 0 transitions. Inspection physique ; architecture complète encore ouverte.</x:v>
      </x:c>
      <x:c r="H1632" s="115" t="str">
        <x:v>L 1360 ; l 1520 ; hauteur 8 m ; choix de composition auteur ; dimensions réelles à documenter</x:v>
      </x:c>
      <x:c r="I1632" s="115" t="str">
        <x:v>À équilibrer</x:v>
      </x:c>
      <x:c r="J1632" s="115" t="str">
        <x:v>Non</x:v>
      </x:c>
      <x:c r="K1632" s="115" t="str">
        <x:v>Pièces décrites, murs, portes, niveaux et mobilier inspectables à l’échelle. Volumes réservés, raccord au seed, butin, rencontres et services de campagne restent à terminer.</x:v>
      </x:c>
    </x:row>
    <x:row r="1633" ht="96" customHeight="1">
      <x:c r="A1633" s="115" t="str">
        <x:v>EXT-MONDE-T033-V28</x:v>
      </x:c>
      <x:c r="B1633" s="115" t="str">
        <x:v>EXT-MONDE-T033</x:v>
      </x:c>
      <x:c r="C1633" s="115" t="str">
        <x:v>Échangeurs</x:v>
      </x:c>
      <x:c r="D1633" s="115" t="str">
        <x:v>Échangeur en losange</x:v>
      </x:c>
      <x:c r="E1633" s="115" t="n">
        <x:v>28</x:v>
      </x:c>
      <x:c r="F1633" s="115" t="str">
        <x:v>Inspection physique</x:v>
      </x:c>
      <x:c r="G1633" s="115" t="str">
        <x:v>1 niveaux ; 34 pièces ; 260 segments de mur ; 0 transitions. Inspection physique ; architecture complète encore ouverte.</x:v>
      </x:c>
      <x:c r="H1633" s="115" t="str">
        <x:v>L 1360 ; l 1520 ; hauteur 8 m ; choix de composition auteur ; dimensions réelles à documenter</x:v>
      </x:c>
      <x:c r="I1633" s="115" t="str">
        <x:v>À équilibrer</x:v>
      </x:c>
      <x:c r="J1633" s="115" t="str">
        <x:v>Non</x:v>
      </x:c>
      <x:c r="K1633" s="115" t="str">
        <x:v>Pièces décrites, murs, portes, niveaux et mobilier inspectables à l’échelle. Volumes réservés, raccord au seed, butin, rencontres et services de campagne restent à terminer.</x:v>
      </x:c>
    </x:row>
    <x:row r="1634" ht="96" customHeight="1">
      <x:c r="A1634" s="115" t="str">
        <x:v>EXT-MONDE-T033-V29</x:v>
      </x:c>
      <x:c r="B1634" s="115" t="str">
        <x:v>EXT-MONDE-T033</x:v>
      </x:c>
      <x:c r="C1634" s="115" t="str">
        <x:v>Échangeurs</x:v>
      </x:c>
      <x:c r="D1634" s="115" t="str">
        <x:v>Échangeur en losange</x:v>
      </x:c>
      <x:c r="E1634" s="115" t="n">
        <x:v>29</x:v>
      </x:c>
      <x:c r="F1634" s="115" t="str">
        <x:v>Inspection physique</x:v>
      </x:c>
      <x:c r="G1634" s="115" t="str">
        <x:v>1 niveaux ; 34 pièces ; 260 segments de mur ; 0 transitions. Inspection physique ; architecture complète encore ouverte.</x:v>
      </x:c>
      <x:c r="H1634" s="115" t="str">
        <x:v>L 1360 ; l 1520 ; hauteur 8 m ; choix de composition auteur ; dimensions réelles à documenter</x:v>
      </x:c>
      <x:c r="I1634" s="115" t="str">
        <x:v>À équilibrer</x:v>
      </x:c>
      <x:c r="J1634" s="115" t="str">
        <x:v>Non</x:v>
      </x:c>
      <x:c r="K1634" s="115" t="str">
        <x:v>Pièces décrites, murs, portes, niveaux et mobilier inspectables à l’échelle. Volumes réservés, raccord au seed, butin, rencontres et services de campagne restent à terminer.</x:v>
      </x:c>
    </x:row>
    <x:row r="1635" ht="96" customHeight="1">
      <x:c r="A1635" s="115" t="str">
        <x:v>EXT-MONDE-T033-V30</x:v>
      </x:c>
      <x:c r="B1635" s="115" t="str">
        <x:v>EXT-MONDE-T033</x:v>
      </x:c>
      <x:c r="C1635" s="115" t="str">
        <x:v>Échangeurs</x:v>
      </x:c>
      <x:c r="D1635" s="115" t="str">
        <x:v>Échangeur en losange</x:v>
      </x:c>
      <x:c r="E1635" s="115" t="n">
        <x:v>30</x:v>
      </x:c>
      <x:c r="F1635" s="115" t="str">
        <x:v>Inspection physique</x:v>
      </x:c>
      <x:c r="G1635" s="115" t="str">
        <x:v>1 niveaux ; 34 pièces ; 260 segments de mur ; 0 transitions. Inspection physique ; architecture complète encore ouverte.</x:v>
      </x:c>
      <x:c r="H1635" s="115" t="str">
        <x:v>L 1360 ; l 1520 ; hauteur 8 m ; choix de composition auteur ; dimensions réelles à documenter</x:v>
      </x:c>
      <x:c r="I1635" s="115" t="str">
        <x:v>À équilibrer</x:v>
      </x:c>
      <x:c r="J1635" s="115" t="str">
        <x:v>Non</x:v>
      </x:c>
      <x:c r="K1635" s="115" t="str">
        <x:v>Pièces décrites, murs, portes, niveaux et mobilier inspectables à l’échelle. Volumes réservés, raccord au seed, butin, rencontres et services de campagne restent à terminer.</x:v>
      </x:c>
    </x:row>
    <x:row r="1636" ht="96" customHeight="1">
      <x:c r="A1636" s="115" t="str">
        <x:v>EXT-MONDE-T033-V31</x:v>
      </x:c>
      <x:c r="B1636" s="115" t="str">
        <x:v>EXT-MONDE-T033</x:v>
      </x:c>
      <x:c r="C1636" s="115" t="str">
        <x:v>Échangeurs</x:v>
      </x:c>
      <x:c r="D1636" s="115" t="str">
        <x:v>Échangeur en losange</x:v>
      </x:c>
      <x:c r="E1636" s="115" t="n">
        <x:v>31</x:v>
      </x:c>
      <x:c r="F1636" s="115" t="str">
        <x:v>Inspection physique</x:v>
      </x:c>
      <x:c r="G1636" s="115" t="str">
        <x:v>1 niveaux ; 34 pièces ; 260 segments de mur ; 0 transitions. Inspection physique ; architecture complète encore ouverte.</x:v>
      </x:c>
      <x:c r="H1636" s="115" t="str">
        <x:v>L 1440 ; l 1680 ; hauteur 8 m ; choix de composition auteur ; dimensions réelles à documenter</x:v>
      </x:c>
      <x:c r="I1636" s="115" t="str">
        <x:v>À équilibrer</x:v>
      </x:c>
      <x:c r="J1636" s="115" t="str">
        <x:v>Non</x:v>
      </x:c>
      <x:c r="K1636" s="115" t="str">
        <x:v>Pièces décrites, murs, portes, niveaux et mobilier inspectables à l’échelle. Volumes réservés, raccord au seed, butin, rencontres et services de campagne restent à terminer.</x:v>
      </x:c>
    </x:row>
    <x:row r="1637" ht="96" customHeight="1">
      <x:c r="A1637" s="115" t="str">
        <x:v>EXT-MONDE-T033-V32</x:v>
      </x:c>
      <x:c r="B1637" s="115" t="str">
        <x:v>EXT-MONDE-T033</x:v>
      </x:c>
      <x:c r="C1637" s="115" t="str">
        <x:v>Échangeurs</x:v>
      </x:c>
      <x:c r="D1637" s="115" t="str">
        <x:v>Échangeur en losange</x:v>
      </x:c>
      <x:c r="E1637" s="115" t="n">
        <x:v>32</x:v>
      </x:c>
      <x:c r="F1637" s="115" t="str">
        <x:v>Inspection physique</x:v>
      </x:c>
      <x:c r="G1637" s="115" t="str">
        <x:v>1 niveaux ; 34 pièces ; 260 segments de mur ; 0 transitions. Inspection physique ; architecture complète encore ouverte.</x:v>
      </x:c>
      <x:c r="H1637" s="115" t="str">
        <x:v>L 1440 ; l 1680 ; hauteur 8 m ; choix de composition auteur ; dimensions réelles à documenter</x:v>
      </x:c>
      <x:c r="I1637" s="115" t="str">
        <x:v>À équilibrer</x:v>
      </x:c>
      <x:c r="J1637" s="115" t="str">
        <x:v>Non</x:v>
      </x:c>
      <x:c r="K1637" s="115" t="str">
        <x:v>Pièces décrites, murs, portes, niveaux et mobilier inspectables à l’échelle. Volumes réservés, raccord au seed, butin, rencontres et services de campagne restent à terminer.</x:v>
      </x:c>
    </x:row>
    <x:row r="1638" ht="96" customHeight="1">
      <x:c r="A1638" s="115" t="str">
        <x:v>EXT-MONDE-T033-V33</x:v>
      </x:c>
      <x:c r="B1638" s="115" t="str">
        <x:v>EXT-MONDE-T033</x:v>
      </x:c>
      <x:c r="C1638" s="115" t="str">
        <x:v>Échangeurs</x:v>
      </x:c>
      <x:c r="D1638" s="115" t="str">
        <x:v>Échangeur en losange</x:v>
      </x:c>
      <x:c r="E1638" s="115" t="n">
        <x:v>33</x:v>
      </x:c>
      <x:c r="F1638" s="115" t="str">
        <x:v>Inspection physique</x:v>
      </x:c>
      <x:c r="G1638" s="115" t="str">
        <x:v>1 niveaux ; 34 pièces ; 260 segments de mur ; 0 transitions. Inspection physique ; architecture complète encore ouverte.</x:v>
      </x:c>
      <x:c r="H1638" s="115" t="str">
        <x:v>L 1440 ; l 1680 ; hauteur 8 m ; choix de composition auteur ; dimensions réelles à documenter</x:v>
      </x:c>
      <x:c r="I1638" s="115" t="str">
        <x:v>À équilibrer</x:v>
      </x:c>
      <x:c r="J1638" s="115" t="str">
        <x:v>Non</x:v>
      </x:c>
      <x:c r="K1638" s="115" t="str">
        <x:v>Pièces décrites, murs, portes, niveaux et mobilier inspectables à l’échelle. Volumes réservés, raccord au seed, butin, rencontres et services de campagne restent à terminer.</x:v>
      </x:c>
    </x:row>
    <x:row r="1639" ht="96" customHeight="1">
      <x:c r="A1639" s="115" t="str">
        <x:v>EXT-MONDE-T033-V34</x:v>
      </x:c>
      <x:c r="B1639" s="115" t="str">
        <x:v>EXT-MONDE-T033</x:v>
      </x:c>
      <x:c r="C1639" s="115" t="str">
        <x:v>Échangeurs</x:v>
      </x:c>
      <x:c r="D1639" s="115" t="str">
        <x:v>Échangeur en losange</x:v>
      </x:c>
      <x:c r="E1639" s="115" t="n">
        <x:v>34</x:v>
      </x:c>
      <x:c r="F1639" s="115" t="str">
        <x:v>Inspection physique</x:v>
      </x:c>
      <x:c r="G1639" s="115" t="str">
        <x:v>1 niveaux ; 34 pièces ; 260 segments de mur ; 0 transitions. Inspection physique ; architecture complète encore ouverte.</x:v>
      </x:c>
      <x:c r="H1639" s="115" t="str">
        <x:v>L 1440 ; l 1680 ; hauteur 8 m ; choix de composition auteur ; dimensions réelles à documenter</x:v>
      </x:c>
      <x:c r="I1639" s="115" t="str">
        <x:v>À équilibrer</x:v>
      </x:c>
      <x:c r="J1639" s="115" t="str">
        <x:v>Non</x:v>
      </x:c>
      <x:c r="K1639" s="115" t="str">
        <x:v>Pièces décrites, murs, portes, niveaux et mobilier inspectables à l’échelle. Volumes réservés, raccord au seed, butin, rencontres et services de campagne restent à terminer.</x:v>
      </x:c>
    </x:row>
    <x:row r="1640" ht="96" customHeight="1">
      <x:c r="A1640" s="115" t="str">
        <x:v>EXT-MONDE-T033-V35</x:v>
      </x:c>
      <x:c r="B1640" s="115" t="str">
        <x:v>EXT-MONDE-T033</x:v>
      </x:c>
      <x:c r="C1640" s="115" t="str">
        <x:v>Échangeurs</x:v>
      </x:c>
      <x:c r="D1640" s="115" t="str">
        <x:v>Échangeur en losange</x:v>
      </x:c>
      <x:c r="E1640" s="115" t="n">
        <x:v>35</x:v>
      </x:c>
      <x:c r="F1640" s="115" t="str">
        <x:v>Inspection physique</x:v>
      </x:c>
      <x:c r="G1640" s="115" t="str">
        <x:v>1 niveaux ; 34 pièces ; 260 segments de mur ; 0 transitions. Inspection physique ; architecture complète encore ouverte.</x:v>
      </x:c>
      <x:c r="H1640" s="115" t="str">
        <x:v>L 1440 ; l 1680 ; hauteur 8 m ; choix de composition auteur ; dimensions réelles à documenter</x:v>
      </x:c>
      <x:c r="I1640" s="115" t="str">
        <x:v>À équilibrer</x:v>
      </x:c>
      <x:c r="J1640" s="115" t="str">
        <x:v>Non</x:v>
      </x:c>
      <x:c r="K1640" s="115" t="str">
        <x:v>Pièces décrites, murs, portes, niveaux et mobilier inspectables à l’échelle. Volumes réservés, raccord au seed, butin, rencontres et services de campagne restent à terminer.</x:v>
      </x:c>
    </x:row>
    <x:row r="1641" ht="96" customHeight="1">
      <x:c r="A1641" s="115" t="str">
        <x:v>EXT-MONDE-T033-V36</x:v>
      </x:c>
      <x:c r="B1641" s="115" t="str">
        <x:v>EXT-MONDE-T033</x:v>
      </x:c>
      <x:c r="C1641" s="115" t="str">
        <x:v>Échangeurs</x:v>
      </x:c>
      <x:c r="D1641" s="115" t="str">
        <x:v>Échangeur en losange</x:v>
      </x:c>
      <x:c r="E1641" s="115" t="n">
        <x:v>36</x:v>
      </x:c>
      <x:c r="F1641" s="115" t="str">
        <x:v>Inspection physique</x:v>
      </x:c>
      <x:c r="G1641" s="115" t="str">
        <x:v>1 niveaux ; 34 pièces ; 260 segments de mur ; 0 transitions. Inspection physique ; architecture complète encore ouverte.</x:v>
      </x:c>
      <x:c r="H1641" s="115" t="str">
        <x:v>L 1440 ; l 1680 ; hauteur 8 m ; choix de composition auteur ; dimensions réelles à documenter</x:v>
      </x:c>
      <x:c r="I1641" s="115" t="str">
        <x:v>À équilibrer</x:v>
      </x:c>
      <x:c r="J1641" s="115" t="str">
        <x:v>Non</x:v>
      </x:c>
      <x:c r="K1641" s="115" t="str">
        <x:v>Pièces décrites, murs, portes, niveaux et mobilier inspectables à l’échelle. Volumes réservés, raccord au seed, butin, rencontres et services de campagne restent à terminer.</x:v>
      </x:c>
    </x:row>
    <x:row r="1642" ht="96" customHeight="1">
      <x:c r="A1642" s="115" t="str">
        <x:v>EXT-MONDE-T033-V37</x:v>
      </x:c>
      <x:c r="B1642" s="115" t="str">
        <x:v>EXT-MONDE-T033</x:v>
      </x:c>
      <x:c r="C1642" s="115" t="str">
        <x:v>Échangeurs</x:v>
      </x:c>
      <x:c r="D1642" s="115" t="str">
        <x:v>Échangeur en losange</x:v>
      </x:c>
      <x:c r="E1642" s="115" t="n">
        <x:v>37</x:v>
      </x:c>
      <x:c r="F1642" s="115" t="str">
        <x:v>Inspection physique</x:v>
      </x:c>
      <x:c r="G1642" s="115" t="str">
        <x:v>1 niveaux ; 34 pièces ; 260 segments de mur ; 0 transitions. Inspection physique ; architecture complète encore ouverte.</x:v>
      </x:c>
      <x:c r="H1642" s="115" t="str">
        <x:v>L 1440 ; l 1680 ; hauteur 8 m ; choix de composition auteur ; dimensions réelles à documenter</x:v>
      </x:c>
      <x:c r="I1642" s="115" t="str">
        <x:v>À équilibrer</x:v>
      </x:c>
      <x:c r="J1642" s="115" t="str">
        <x:v>Non</x:v>
      </x:c>
      <x:c r="K1642" s="115" t="str">
        <x:v>Pièces décrites, murs, portes, niveaux et mobilier inspectables à l’échelle. Volumes réservés, raccord au seed, butin, rencontres et services de campagne restent à terminer.</x:v>
      </x:c>
    </x:row>
    <x:row r="1643" ht="96" customHeight="1">
      <x:c r="A1643" s="115" t="str">
        <x:v>EXT-MONDE-T033-V38</x:v>
      </x:c>
      <x:c r="B1643" s="115" t="str">
        <x:v>EXT-MONDE-T033</x:v>
      </x:c>
      <x:c r="C1643" s="115" t="str">
        <x:v>Échangeurs</x:v>
      </x:c>
      <x:c r="D1643" s="115" t="str">
        <x:v>Échangeur en losange</x:v>
      </x:c>
      <x:c r="E1643" s="115" t="n">
        <x:v>38</x:v>
      </x:c>
      <x:c r="F1643" s="115" t="str">
        <x:v>Inspection physique</x:v>
      </x:c>
      <x:c r="G1643" s="115" t="str">
        <x:v>1 niveaux ; 34 pièces ; 260 segments de mur ; 0 transitions. Inspection physique ; architecture complète encore ouverte.</x:v>
      </x:c>
      <x:c r="H1643" s="115" t="str">
        <x:v>L 1440 ; l 1680 ; hauteur 8 m ; choix de composition auteur ; dimensions réelles à documenter</x:v>
      </x:c>
      <x:c r="I1643" s="115" t="str">
        <x:v>À équilibrer</x:v>
      </x:c>
      <x:c r="J1643" s="115" t="str">
        <x:v>Non</x:v>
      </x:c>
      <x:c r="K1643" s="115" t="str">
        <x:v>Pièces décrites, murs, portes, niveaux et mobilier inspectables à l’échelle. Volumes réservés, raccord au seed, butin, rencontres et services de campagne restent à terminer.</x:v>
      </x:c>
    </x:row>
    <x:row r="1644" ht="96" customHeight="1">
      <x:c r="A1644" s="115" t="str">
        <x:v>EXT-MONDE-T033-V39</x:v>
      </x:c>
      <x:c r="B1644" s="115" t="str">
        <x:v>EXT-MONDE-T033</x:v>
      </x:c>
      <x:c r="C1644" s="115" t="str">
        <x:v>Échangeurs</x:v>
      </x:c>
      <x:c r="D1644" s="115" t="str">
        <x:v>Échangeur en losange</x:v>
      </x:c>
      <x:c r="E1644" s="115" t="n">
        <x:v>39</x:v>
      </x:c>
      <x:c r="F1644" s="115" t="str">
        <x:v>Inspection physique</x:v>
      </x:c>
      <x:c r="G1644" s="115" t="str">
        <x:v>1 niveaux ; 34 pièces ; 260 segments de mur ; 0 transitions. Inspection physique ; architecture complète encore ouverte.</x:v>
      </x:c>
      <x:c r="H1644" s="115" t="str">
        <x:v>L 1440 ; l 1680 ; hauteur 8 m ; choix de composition auteur ; dimensions réelles à documenter</x:v>
      </x:c>
      <x:c r="I1644" s="115" t="str">
        <x:v>À équilibrer</x:v>
      </x:c>
      <x:c r="J1644" s="115" t="str">
        <x:v>Non</x:v>
      </x:c>
      <x:c r="K1644" s="115" t="str">
        <x:v>Pièces décrites, murs, portes, niveaux et mobilier inspectables à l’échelle. Volumes réservés, raccord au seed, butin, rencontres et services de campagne restent à terminer.</x:v>
      </x:c>
    </x:row>
    <x:row r="1645" ht="96" customHeight="1">
      <x:c r="A1645" s="115" t="str">
        <x:v>EXT-MONDE-T033-V40</x:v>
      </x:c>
      <x:c r="B1645" s="115" t="str">
        <x:v>EXT-MONDE-T033</x:v>
      </x:c>
      <x:c r="C1645" s="115" t="str">
        <x:v>Échangeurs</x:v>
      </x:c>
      <x:c r="D1645" s="115" t="str">
        <x:v>Échangeur en losange</x:v>
      </x:c>
      <x:c r="E1645" s="115" t="n">
        <x:v>40</x:v>
      </x:c>
      <x:c r="F1645" s="115" t="str">
        <x:v>Inspection physique</x:v>
      </x:c>
      <x:c r="G1645" s="115" t="str">
        <x:v>1 niveaux ; 34 pièces ; 260 segments de mur ; 0 transitions. Inspection physique ; architecture complète encore ouverte.</x:v>
      </x:c>
      <x:c r="H1645" s="115" t="str">
        <x:v>L 1440 ; l 1680 ; hauteur 8 m ; choix de composition auteur ; dimensions réelles à documenter</x:v>
      </x:c>
      <x:c r="I1645" s="115" t="str">
        <x:v>À équilibrer</x:v>
      </x:c>
      <x:c r="J1645" s="115" t="str">
        <x:v>Non</x:v>
      </x:c>
      <x:c r="K1645" s="115" t="str">
        <x:v>Pièces décrites, murs, portes, niveaux et mobilier inspectables à l’échelle. Volumes réservés, raccord au seed, butin, rencontres et services de campagne restent à terminer.</x:v>
      </x:c>
    </x:row>
    <x:row r="1646" ht="96" customHeight="1">
      <x:c r="A1646" s="115" t="str">
        <x:v>EXT-MONDE-T033-V41</x:v>
      </x:c>
      <x:c r="B1646" s="115" t="str">
        <x:v>EXT-MONDE-T033</x:v>
      </x:c>
      <x:c r="C1646" s="115" t="str">
        <x:v>Échangeurs</x:v>
      </x:c>
      <x:c r="D1646" s="115" t="str">
        <x:v>Échangeur en losange</x:v>
      </x:c>
      <x:c r="E1646" s="115" t="n">
        <x:v>41</x:v>
      </x:c>
      <x:c r="F1646" s="115" t="str">
        <x:v>Inspection physique</x:v>
      </x:c>
      <x:c r="G1646" s="115" t="str">
        <x:v>1 niveaux ; 34 pièces ; 260 segments de mur ; 0 transitions. Inspection physique ; architecture complète encore ouverte.</x:v>
      </x:c>
      <x:c r="H1646" s="115" t="str">
        <x:v>L 1520 ; l 1840 ; hauteur 8 m ; choix de composition auteur ; dimensions réelles à documenter</x:v>
      </x:c>
      <x:c r="I1646" s="115" t="str">
        <x:v>À équilibrer</x:v>
      </x:c>
      <x:c r="J1646" s="115" t="str">
        <x:v>Non</x:v>
      </x:c>
      <x:c r="K1646" s="115" t="str">
        <x:v>Pièces décrites, murs, portes, niveaux et mobilier inspectables à l’échelle. Volumes réservés, raccord au seed, butin, rencontres et services de campagne restent à terminer.</x:v>
      </x:c>
    </x:row>
    <x:row r="1647" ht="96" customHeight="1">
      <x:c r="A1647" s="115" t="str">
        <x:v>EXT-MONDE-T033-V42</x:v>
      </x:c>
      <x:c r="B1647" s="115" t="str">
        <x:v>EXT-MONDE-T033</x:v>
      </x:c>
      <x:c r="C1647" s="115" t="str">
        <x:v>Échangeurs</x:v>
      </x:c>
      <x:c r="D1647" s="115" t="str">
        <x:v>Échangeur en losange</x:v>
      </x:c>
      <x:c r="E1647" s="115" t="n">
        <x:v>42</x:v>
      </x:c>
      <x:c r="F1647" s="115" t="str">
        <x:v>Inspection physique</x:v>
      </x:c>
      <x:c r="G1647" s="115" t="str">
        <x:v>1 niveaux ; 34 pièces ; 260 segments de mur ; 0 transitions. Inspection physique ; architecture complète encore ouverte.</x:v>
      </x:c>
      <x:c r="H1647" s="115" t="str">
        <x:v>L 1520 ; l 1840 ; hauteur 8 m ; choix de composition auteur ; dimensions réelles à documenter</x:v>
      </x:c>
      <x:c r="I1647" s="115" t="str">
        <x:v>À équilibrer</x:v>
      </x:c>
      <x:c r="J1647" s="115" t="str">
        <x:v>Non</x:v>
      </x:c>
      <x:c r="K1647" s="115" t="str">
        <x:v>Pièces décrites, murs, portes, niveaux et mobilier inspectables à l’échelle. Volumes réservés, raccord au seed, butin, rencontres et services de campagne restent à terminer.</x:v>
      </x:c>
    </x:row>
    <x:row r="1648" ht="96" customHeight="1">
      <x:c r="A1648" s="115" t="str">
        <x:v>EXT-MONDE-T033-V43</x:v>
      </x:c>
      <x:c r="B1648" s="115" t="str">
        <x:v>EXT-MONDE-T033</x:v>
      </x:c>
      <x:c r="C1648" s="115" t="str">
        <x:v>Échangeurs</x:v>
      </x:c>
      <x:c r="D1648" s="115" t="str">
        <x:v>Échangeur en losange</x:v>
      </x:c>
      <x:c r="E1648" s="115" t="n">
        <x:v>43</x:v>
      </x:c>
      <x:c r="F1648" s="115" t="str">
        <x:v>Inspection physique</x:v>
      </x:c>
      <x:c r="G1648" s="115" t="str">
        <x:v>1 niveaux ; 34 pièces ; 260 segments de mur ; 0 transitions. Inspection physique ; architecture complète encore ouverte.</x:v>
      </x:c>
      <x:c r="H1648" s="115" t="str">
        <x:v>L 1520 ; l 1840 ; hauteur 8 m ; choix de composition auteur ; dimensions réelles à documenter</x:v>
      </x:c>
      <x:c r="I1648" s="115" t="str">
        <x:v>À équilibrer</x:v>
      </x:c>
      <x:c r="J1648" s="115" t="str">
        <x:v>Non</x:v>
      </x:c>
      <x:c r="K1648" s="115" t="str">
        <x:v>Pièces décrites, murs, portes, niveaux et mobilier inspectables à l’échelle. Volumes réservés, raccord au seed, butin, rencontres et services de campagne restent à terminer.</x:v>
      </x:c>
    </x:row>
    <x:row r="1649" ht="96" customHeight="1">
      <x:c r="A1649" s="115" t="str">
        <x:v>EXT-MONDE-T033-V44</x:v>
      </x:c>
      <x:c r="B1649" s="115" t="str">
        <x:v>EXT-MONDE-T033</x:v>
      </x:c>
      <x:c r="C1649" s="115" t="str">
        <x:v>Échangeurs</x:v>
      </x:c>
      <x:c r="D1649" s="115" t="str">
        <x:v>Échangeur en losange</x:v>
      </x:c>
      <x:c r="E1649" s="115" t="n">
        <x:v>44</x:v>
      </x:c>
      <x:c r="F1649" s="115" t="str">
        <x:v>Inspection physique</x:v>
      </x:c>
      <x:c r="G1649" s="115" t="str">
        <x:v>1 niveaux ; 34 pièces ; 260 segments de mur ; 0 transitions. Inspection physique ; architecture complète encore ouverte.</x:v>
      </x:c>
      <x:c r="H1649" s="115" t="str">
        <x:v>L 1520 ; l 1840 ; hauteur 8 m ; choix de composition auteur ; dimensions réelles à documenter</x:v>
      </x:c>
      <x:c r="I1649" s="115" t="str">
        <x:v>À équilibrer</x:v>
      </x:c>
      <x:c r="J1649" s="115" t="str">
        <x:v>Non</x:v>
      </x:c>
      <x:c r="K1649" s="115" t="str">
        <x:v>Pièces décrites, murs, portes, niveaux et mobilier inspectables à l’échelle. Volumes réservés, raccord au seed, butin, rencontres et services de campagne restent à terminer.</x:v>
      </x:c>
    </x:row>
    <x:row r="1650" ht="96" customHeight="1">
      <x:c r="A1650" s="115" t="str">
        <x:v>EXT-MONDE-T033-V45</x:v>
      </x:c>
      <x:c r="B1650" s="115" t="str">
        <x:v>EXT-MONDE-T033</x:v>
      </x:c>
      <x:c r="C1650" s="115" t="str">
        <x:v>Échangeurs</x:v>
      </x:c>
      <x:c r="D1650" s="115" t="str">
        <x:v>Échangeur en losange</x:v>
      </x:c>
      <x:c r="E1650" s="115" t="n">
        <x:v>45</x:v>
      </x:c>
      <x:c r="F1650" s="115" t="str">
        <x:v>Inspection physique</x:v>
      </x:c>
      <x:c r="G1650" s="115" t="str">
        <x:v>1 niveaux ; 34 pièces ; 260 segments de mur ; 0 transitions. Inspection physique ; architecture complète encore ouverte.</x:v>
      </x:c>
      <x:c r="H1650" s="115" t="str">
        <x:v>L 1520 ; l 1840 ; hauteur 8 m ; choix de composition auteur ; dimensions réelles à documenter</x:v>
      </x:c>
      <x:c r="I1650" s="115" t="str">
        <x:v>À équilibrer</x:v>
      </x:c>
      <x:c r="J1650" s="115" t="str">
        <x:v>Non</x:v>
      </x:c>
      <x:c r="K1650" s="115" t="str">
        <x:v>Pièces décrites, murs, portes, niveaux et mobilier inspectables à l’échelle. Volumes réservés, raccord au seed, butin, rencontres et services de campagne restent à terminer.</x:v>
      </x:c>
    </x:row>
    <x:row r="1651" ht="96" customHeight="1">
      <x:c r="A1651" s="115" t="str">
        <x:v>EXT-MONDE-T033-V46</x:v>
      </x:c>
      <x:c r="B1651" s="115" t="str">
        <x:v>EXT-MONDE-T033</x:v>
      </x:c>
      <x:c r="C1651" s="115" t="str">
        <x:v>Échangeurs</x:v>
      </x:c>
      <x:c r="D1651" s="115" t="str">
        <x:v>Échangeur en losange</x:v>
      </x:c>
      <x:c r="E1651" s="115" t="n">
        <x:v>46</x:v>
      </x:c>
      <x:c r="F1651" s="115" t="str">
        <x:v>Inspection physique</x:v>
      </x:c>
      <x:c r="G1651" s="115" t="str">
        <x:v>1 niveaux ; 34 pièces ; 260 segments de mur ; 0 transitions. Inspection physique ; architecture complète encore ouverte.</x:v>
      </x:c>
      <x:c r="H1651" s="115" t="str">
        <x:v>L 1520 ; l 1840 ; hauteur 8 m ; choix de composition auteur ; dimensions réelles à documenter</x:v>
      </x:c>
      <x:c r="I1651" s="115" t="str">
        <x:v>À équilibrer</x:v>
      </x:c>
      <x:c r="J1651" s="115" t="str">
        <x:v>Non</x:v>
      </x:c>
      <x:c r="K1651" s="115" t="str">
        <x:v>Pièces décrites, murs, portes, niveaux et mobilier inspectables à l’échelle. Volumes réservés, raccord au seed, butin, rencontres et services de campagne restent à terminer.</x:v>
      </x:c>
    </x:row>
    <x:row r="1652" ht="96" customHeight="1">
      <x:c r="A1652" s="115" t="str">
        <x:v>EXT-MONDE-T033-V47</x:v>
      </x:c>
      <x:c r="B1652" s="115" t="str">
        <x:v>EXT-MONDE-T033</x:v>
      </x:c>
      <x:c r="C1652" s="115" t="str">
        <x:v>Échangeurs</x:v>
      </x:c>
      <x:c r="D1652" s="115" t="str">
        <x:v>Échangeur en losange</x:v>
      </x:c>
      <x:c r="E1652" s="115" t="n">
        <x:v>47</x:v>
      </x:c>
      <x:c r="F1652" s="115" t="str">
        <x:v>Inspection physique</x:v>
      </x:c>
      <x:c r="G1652" s="115" t="str">
        <x:v>1 niveaux ; 34 pièces ; 260 segments de mur ; 0 transitions. Inspection physique ; architecture complète encore ouverte.</x:v>
      </x:c>
      <x:c r="H1652" s="115" t="str">
        <x:v>L 1520 ; l 1840 ; hauteur 8 m ; choix de composition auteur ; dimensions réelles à documenter</x:v>
      </x:c>
      <x:c r="I1652" s="115" t="str">
        <x:v>À équilibrer</x:v>
      </x:c>
      <x:c r="J1652" s="115" t="str">
        <x:v>Non</x:v>
      </x:c>
      <x:c r="K1652" s="115" t="str">
        <x:v>Pièces décrites, murs, portes, niveaux et mobilier inspectables à l’échelle. Volumes réservés, raccord au seed, butin, rencontres et services de campagne restent à terminer.</x:v>
      </x:c>
    </x:row>
    <x:row r="1653" ht="96" customHeight="1">
      <x:c r="A1653" s="115" t="str">
        <x:v>EXT-MONDE-T033-V48</x:v>
      </x:c>
      <x:c r="B1653" s="115" t="str">
        <x:v>EXT-MONDE-T033</x:v>
      </x:c>
      <x:c r="C1653" s="115" t="str">
        <x:v>Échangeurs</x:v>
      </x:c>
      <x:c r="D1653" s="115" t="str">
        <x:v>Échangeur en losange</x:v>
      </x:c>
      <x:c r="E1653" s="115" t="n">
        <x:v>48</x:v>
      </x:c>
      <x:c r="F1653" s="115" t="str">
        <x:v>Inspection physique</x:v>
      </x:c>
      <x:c r="G1653" s="115" t="str">
        <x:v>1 niveaux ; 34 pièces ; 260 segments de mur ; 0 transitions. Inspection physique ; architecture complète encore ouverte.</x:v>
      </x:c>
      <x:c r="H1653" s="115" t="str">
        <x:v>L 1520 ; l 1840 ; hauteur 8 m ; choix de composition auteur ; dimensions réelles à documenter</x:v>
      </x:c>
      <x:c r="I1653" s="115" t="str">
        <x:v>À équilibrer</x:v>
      </x:c>
      <x:c r="J1653" s="115" t="str">
        <x:v>Non</x:v>
      </x:c>
      <x:c r="K1653" s="115" t="str">
        <x:v>Pièces décrites, murs, portes, niveaux et mobilier inspectables à l’échelle. Volumes réservés, raccord au seed, butin, rencontres et services de campagne restent à terminer.</x:v>
      </x:c>
    </x:row>
    <x:row r="1654" ht="96" customHeight="1">
      <x:c r="A1654" s="115" t="str">
        <x:v>EXT-MONDE-T033-V49</x:v>
      </x:c>
      <x:c r="B1654" s="115" t="str">
        <x:v>EXT-MONDE-T033</x:v>
      </x:c>
      <x:c r="C1654" s="115" t="str">
        <x:v>Échangeurs</x:v>
      </x:c>
      <x:c r="D1654" s="115" t="str">
        <x:v>Échangeur en losange</x:v>
      </x:c>
      <x:c r="E1654" s="115" t="n">
        <x:v>49</x:v>
      </x:c>
      <x:c r="F1654" s="115" t="str">
        <x:v>Inspection physique</x:v>
      </x:c>
      <x:c r="G1654" s="115" t="str">
        <x:v>1 niveaux ; 34 pièces ; 260 segments de mur ; 0 transitions. Inspection physique ; architecture complète encore ouverte.</x:v>
      </x:c>
      <x:c r="H1654" s="115" t="str">
        <x:v>L 1520 ; l 1840 ; hauteur 8 m ; choix de composition auteur ; dimensions réelles à documenter</x:v>
      </x:c>
      <x:c r="I1654" s="115" t="str">
        <x:v>À équilibrer</x:v>
      </x:c>
      <x:c r="J1654" s="115" t="str">
        <x:v>Non</x:v>
      </x:c>
      <x:c r="K1654" s="115" t="str">
        <x:v>Pièces décrites, murs, portes, niveaux et mobilier inspectables à l’échelle. Volumes réservés, raccord au seed, butin, rencontres et services de campagne restent à terminer.</x:v>
      </x:c>
    </x:row>
    <x:row r="1655" ht="96" customHeight="1">
      <x:c r="A1655" s="115" t="str">
        <x:v>EXT-MONDE-T033-V50</x:v>
      </x:c>
      <x:c r="B1655" s="115" t="str">
        <x:v>EXT-MONDE-T033</x:v>
      </x:c>
      <x:c r="C1655" s="115" t="str">
        <x:v>Échangeurs</x:v>
      </x:c>
      <x:c r="D1655" s="115" t="str">
        <x:v>Échangeur en losange</x:v>
      </x:c>
      <x:c r="E1655" s="115" t="n">
        <x:v>50</x:v>
      </x:c>
      <x:c r="F1655" s="115" t="str">
        <x:v>Inspection physique</x:v>
      </x:c>
      <x:c r="G1655" s="115" t="str">
        <x:v>1 niveaux ; 34 pièces ; 260 segments de mur ; 0 transitions. Inspection physique ; architecture complète encore ouverte.</x:v>
      </x:c>
      <x:c r="H1655" s="115" t="str">
        <x:v>L 1520 ; l 1840 ; hauteur 8 m ; choix de composition auteur ; dimensions réelles à documenter</x:v>
      </x:c>
      <x:c r="I1655" s="115" t="str">
        <x:v>À équilibrer</x:v>
      </x:c>
      <x:c r="J1655" s="115" t="str">
        <x:v>Non</x:v>
      </x:c>
      <x:c r="K1655" s="115" t="str">
        <x:v>Pièces décrites, murs, portes, niveaux et mobilier inspectables à l’échelle. Volumes réservés, raccord au seed, butin, rencontres et services de campagne restent à terminer.</x:v>
      </x:c>
    </x:row>
    <x:row r="1656" ht="96" customHeight="1">
      <x:c r="A1656" s="115" t="str">
        <x:v>EXT-MONDE-T034-V01</x:v>
      </x:c>
      <x:c r="B1656" s="115" t="str">
        <x:v>EXT-MONDE-T034</x:v>
      </x:c>
      <x:c r="C1656" s="115" t="str">
        <x:v>Échangeurs</x:v>
      </x:c>
      <x:c r="D1656" s="115" t="str">
        <x:v>Échangeur en trompette</x:v>
      </x:c>
      <x:c r="E1656" s="115" t="n">
        <x:v>1</x:v>
      </x:c>
      <x:c r="F1656" s="115" t="str">
        <x:v>Inspection physique</x:v>
      </x:c>
      <x:c r="G1656" s="115" t="str">
        <x:v>1 niveaux ; 34 pièces ; 260 segments de mur ; 0 transitions. Inspection physique ; architecture complète encore ouverte.</x:v>
      </x:c>
      <x:c r="H1656" s="115" t="str">
        <x:v>L 1200 ; l 1200 ; hauteur 8 m ; choix de composition auteur ; dimensions réelles à documenter</x:v>
      </x:c>
      <x:c r="I1656" s="115" t="str">
        <x:v>À équilibrer</x:v>
      </x:c>
      <x:c r="J1656" s="115" t="str">
        <x:v>Non</x:v>
      </x:c>
      <x:c r="K1656" s="115" t="str">
        <x:v>Pièces décrites, murs, portes, niveaux et mobilier inspectables à l’échelle. Volumes réservés, raccord au seed, butin, rencontres et services de campagne restent à terminer.</x:v>
      </x:c>
    </x:row>
    <x:row r="1657" ht="96" customHeight="1">
      <x:c r="A1657" s="115" t="str">
        <x:v>EXT-MONDE-T034-V02</x:v>
      </x:c>
      <x:c r="B1657" s="115" t="str">
        <x:v>EXT-MONDE-T034</x:v>
      </x:c>
      <x:c r="C1657" s="115" t="str">
        <x:v>Échangeurs</x:v>
      </x:c>
      <x:c r="D1657" s="115" t="str">
        <x:v>Échangeur en trompette</x:v>
      </x:c>
      <x:c r="E1657" s="115" t="n">
        <x:v>2</x:v>
      </x:c>
      <x:c r="F1657" s="115" t="str">
        <x:v>Inspection physique</x:v>
      </x:c>
      <x:c r="G1657" s="115" t="str">
        <x:v>1 niveaux ; 34 pièces ; 260 segments de mur ; 0 transitions. Inspection physique ; architecture complète encore ouverte.</x:v>
      </x:c>
      <x:c r="H1657" s="115" t="str">
        <x:v>L 1200 ; l 1200 ; hauteur 8 m ; choix de composition auteur ; dimensions réelles à documenter</x:v>
      </x:c>
      <x:c r="I1657" s="115" t="str">
        <x:v>À équilibrer</x:v>
      </x:c>
      <x:c r="J1657" s="115" t="str">
        <x:v>Non</x:v>
      </x:c>
      <x:c r="K1657" s="115" t="str">
        <x:v>Pièces décrites, murs, portes, niveaux et mobilier inspectables à l’échelle. Volumes réservés, raccord au seed, butin, rencontres et services de campagne restent à terminer.</x:v>
      </x:c>
    </x:row>
    <x:row r="1658" ht="96" customHeight="1">
      <x:c r="A1658" s="115" t="str">
        <x:v>EXT-MONDE-T034-V03</x:v>
      </x:c>
      <x:c r="B1658" s="115" t="str">
        <x:v>EXT-MONDE-T034</x:v>
      </x:c>
      <x:c r="C1658" s="115" t="str">
        <x:v>Échangeurs</x:v>
      </x:c>
      <x:c r="D1658" s="115" t="str">
        <x:v>Échangeur en trompette</x:v>
      </x:c>
      <x:c r="E1658" s="115" t="n">
        <x:v>3</x:v>
      </x:c>
      <x:c r="F1658" s="115" t="str">
        <x:v>Inspection physique</x:v>
      </x:c>
      <x:c r="G1658" s="115" t="str">
        <x:v>1 niveaux ; 34 pièces ; 260 segments de mur ; 0 transitions. Inspection physique ; architecture complète encore ouverte.</x:v>
      </x:c>
      <x:c r="H1658" s="115" t="str">
        <x:v>L 1200 ; l 1200 ; hauteur 8 m ; choix de composition auteur ; dimensions réelles à documenter</x:v>
      </x:c>
      <x:c r="I1658" s="115" t="str">
        <x:v>À équilibrer</x:v>
      </x:c>
      <x:c r="J1658" s="115" t="str">
        <x:v>Non</x:v>
      </x:c>
      <x:c r="K1658" s="115" t="str">
        <x:v>Pièces décrites, murs, portes, niveaux et mobilier inspectables à l’échelle. Volumes réservés, raccord au seed, butin, rencontres et services de campagne restent à terminer.</x:v>
      </x:c>
    </x:row>
    <x:row r="1659" ht="96" customHeight="1">
      <x:c r="A1659" s="115" t="str">
        <x:v>EXT-MONDE-T034-V04</x:v>
      </x:c>
      <x:c r="B1659" s="115" t="str">
        <x:v>EXT-MONDE-T034</x:v>
      </x:c>
      <x:c r="C1659" s="115" t="str">
        <x:v>Échangeurs</x:v>
      </x:c>
      <x:c r="D1659" s="115" t="str">
        <x:v>Échangeur en trompette</x:v>
      </x:c>
      <x:c r="E1659" s="115" t="n">
        <x:v>4</x:v>
      </x:c>
      <x:c r="F1659" s="115" t="str">
        <x:v>Inspection physique</x:v>
      </x:c>
      <x:c r="G1659" s="115" t="str">
        <x:v>1 niveaux ; 34 pièces ; 260 segments de mur ; 0 transitions. Inspection physique ; architecture complète encore ouverte.</x:v>
      </x:c>
      <x:c r="H1659" s="115" t="str">
        <x:v>L 1200 ; l 1200 ; hauteur 8 m ; choix de composition auteur ; dimensions réelles à documenter</x:v>
      </x:c>
      <x:c r="I1659" s="115" t="str">
        <x:v>À équilibrer</x:v>
      </x:c>
      <x:c r="J1659" s="115" t="str">
        <x:v>Non</x:v>
      </x:c>
      <x:c r="K1659" s="115" t="str">
        <x:v>Pièces décrites, murs, portes, niveaux et mobilier inspectables à l’échelle. Volumes réservés, raccord au seed, butin, rencontres et services de campagne restent à terminer.</x:v>
      </x:c>
    </x:row>
    <x:row r="1660" ht="96" customHeight="1">
      <x:c r="A1660" s="115" t="str">
        <x:v>EXT-MONDE-T034-V05</x:v>
      </x:c>
      <x:c r="B1660" s="115" t="str">
        <x:v>EXT-MONDE-T034</x:v>
      </x:c>
      <x:c r="C1660" s="115" t="str">
        <x:v>Échangeurs</x:v>
      </x:c>
      <x:c r="D1660" s="115" t="str">
        <x:v>Échangeur en trompette</x:v>
      </x:c>
      <x:c r="E1660" s="115" t="n">
        <x:v>5</x:v>
      </x:c>
      <x:c r="F1660" s="115" t="str">
        <x:v>Inspection physique</x:v>
      </x:c>
      <x:c r="G1660" s="115" t="str">
        <x:v>1 niveaux ; 34 pièces ; 260 segments de mur ; 0 transitions. Inspection physique ; architecture complète encore ouverte.</x:v>
      </x:c>
      <x:c r="H1660" s="115" t="str">
        <x:v>L 1200 ; l 1200 ; hauteur 8 m ; choix de composition auteur ; dimensions réelles à documenter</x:v>
      </x:c>
      <x:c r="I1660" s="115" t="str">
        <x:v>À équilibrer</x:v>
      </x:c>
      <x:c r="J1660" s="115" t="str">
        <x:v>Non</x:v>
      </x:c>
      <x:c r="K1660" s="115" t="str">
        <x:v>Pièces décrites, murs, portes, niveaux et mobilier inspectables à l’échelle. Volumes réservés, raccord au seed, butin, rencontres et services de campagne restent à terminer.</x:v>
      </x:c>
    </x:row>
    <x:row r="1661" ht="96" customHeight="1">
      <x:c r="A1661" s="115" t="str">
        <x:v>EXT-MONDE-T034-V06</x:v>
      </x:c>
      <x:c r="B1661" s="115" t="str">
        <x:v>EXT-MONDE-T034</x:v>
      </x:c>
      <x:c r="C1661" s="115" t="str">
        <x:v>Échangeurs</x:v>
      </x:c>
      <x:c r="D1661" s="115" t="str">
        <x:v>Échangeur en trompette</x:v>
      </x:c>
      <x:c r="E1661" s="115" t="n">
        <x:v>6</x:v>
      </x:c>
      <x:c r="F1661" s="115" t="str">
        <x:v>Inspection physique</x:v>
      </x:c>
      <x:c r="G1661" s="115" t="str">
        <x:v>1 niveaux ; 34 pièces ; 260 segments de mur ; 0 transitions. Inspection physique ; architecture complète encore ouverte.</x:v>
      </x:c>
      <x:c r="H1661" s="115" t="str">
        <x:v>L 1200 ; l 1200 ; hauteur 8 m ; choix de composition auteur ; dimensions réelles à documenter</x:v>
      </x:c>
      <x:c r="I1661" s="115" t="str">
        <x:v>À équilibrer</x:v>
      </x:c>
      <x:c r="J1661" s="115" t="str">
        <x:v>Non</x:v>
      </x:c>
      <x:c r="K1661" s="115" t="str">
        <x:v>Pièces décrites, murs, portes, niveaux et mobilier inspectables à l’échelle. Volumes réservés, raccord au seed, butin, rencontres et services de campagne restent à terminer.</x:v>
      </x:c>
    </x:row>
    <x:row r="1662" ht="96" customHeight="1">
      <x:c r="A1662" s="115" t="str">
        <x:v>EXT-MONDE-T034-V07</x:v>
      </x:c>
      <x:c r="B1662" s="115" t="str">
        <x:v>EXT-MONDE-T034</x:v>
      </x:c>
      <x:c r="C1662" s="115" t="str">
        <x:v>Échangeurs</x:v>
      </x:c>
      <x:c r="D1662" s="115" t="str">
        <x:v>Échangeur en trompette</x:v>
      </x:c>
      <x:c r="E1662" s="115" t="n">
        <x:v>7</x:v>
      </x:c>
      <x:c r="F1662" s="115" t="str">
        <x:v>Inspection physique</x:v>
      </x:c>
      <x:c r="G1662" s="115" t="str">
        <x:v>1 niveaux ; 34 pièces ; 260 segments de mur ; 0 transitions. Inspection physique ; architecture complète encore ouverte.</x:v>
      </x:c>
      <x:c r="H1662" s="115" t="str">
        <x:v>L 1200 ; l 1200 ; hauteur 8 m ; choix de composition auteur ; dimensions réelles à documenter</x:v>
      </x:c>
      <x:c r="I1662" s="115" t="str">
        <x:v>À équilibrer</x:v>
      </x:c>
      <x:c r="J1662" s="115" t="str">
        <x:v>Non</x:v>
      </x:c>
      <x:c r="K1662" s="115" t="str">
        <x:v>Pièces décrites, murs, portes, niveaux et mobilier inspectables à l’échelle. Volumes réservés, raccord au seed, butin, rencontres et services de campagne restent à terminer.</x:v>
      </x:c>
    </x:row>
    <x:row r="1663" ht="96" customHeight="1">
      <x:c r="A1663" s="115" t="str">
        <x:v>EXT-MONDE-T034-V08</x:v>
      </x:c>
      <x:c r="B1663" s="115" t="str">
        <x:v>EXT-MONDE-T034</x:v>
      </x:c>
      <x:c r="C1663" s="115" t="str">
        <x:v>Échangeurs</x:v>
      </x:c>
      <x:c r="D1663" s="115" t="str">
        <x:v>Échangeur en trompette</x:v>
      </x:c>
      <x:c r="E1663" s="115" t="n">
        <x:v>8</x:v>
      </x:c>
      <x:c r="F1663" s="115" t="str">
        <x:v>Inspection physique</x:v>
      </x:c>
      <x:c r="G1663" s="115" t="str">
        <x:v>1 niveaux ; 34 pièces ; 260 segments de mur ; 0 transitions. Inspection physique ; architecture complète encore ouverte.</x:v>
      </x:c>
      <x:c r="H1663" s="115" t="str">
        <x:v>L 1200 ; l 1200 ; hauteur 8 m ; choix de composition auteur ; dimensions réelles à documenter</x:v>
      </x:c>
      <x:c r="I1663" s="115" t="str">
        <x:v>À équilibrer</x:v>
      </x:c>
      <x:c r="J1663" s="115" t="str">
        <x:v>Non</x:v>
      </x:c>
      <x:c r="K1663" s="115" t="str">
        <x:v>Pièces décrites, murs, portes, niveaux et mobilier inspectables à l’échelle. Volumes réservés, raccord au seed, butin, rencontres et services de campagne restent à terminer.</x:v>
      </x:c>
    </x:row>
    <x:row r="1664" ht="96" customHeight="1">
      <x:c r="A1664" s="115" t="str">
        <x:v>EXT-MONDE-T034-V09</x:v>
      </x:c>
      <x:c r="B1664" s="115" t="str">
        <x:v>EXT-MONDE-T034</x:v>
      </x:c>
      <x:c r="C1664" s="115" t="str">
        <x:v>Échangeurs</x:v>
      </x:c>
      <x:c r="D1664" s="115" t="str">
        <x:v>Échangeur en trompette</x:v>
      </x:c>
      <x:c r="E1664" s="115" t="n">
        <x:v>9</x:v>
      </x:c>
      <x:c r="F1664" s="115" t="str">
        <x:v>Inspection physique</x:v>
      </x:c>
      <x:c r="G1664" s="115" t="str">
        <x:v>1 niveaux ; 34 pièces ; 260 segments de mur ; 0 transitions. Inspection physique ; architecture complète encore ouverte.</x:v>
      </x:c>
      <x:c r="H1664" s="115" t="str">
        <x:v>L 1200 ; l 1200 ; hauteur 8 m ; choix de composition auteur ; dimensions réelles à documenter</x:v>
      </x:c>
      <x:c r="I1664" s="115" t="str">
        <x:v>À équilibrer</x:v>
      </x:c>
      <x:c r="J1664" s="115" t="str">
        <x:v>Non</x:v>
      </x:c>
      <x:c r="K1664" s="115" t="str">
        <x:v>Pièces décrites, murs, portes, niveaux et mobilier inspectables à l’échelle. Volumes réservés, raccord au seed, butin, rencontres et services de campagne restent à terminer.</x:v>
      </x:c>
    </x:row>
    <x:row r="1665" ht="96" customHeight="1">
      <x:c r="A1665" s="115" t="str">
        <x:v>EXT-MONDE-T034-V10</x:v>
      </x:c>
      <x:c r="B1665" s="115" t="str">
        <x:v>EXT-MONDE-T034</x:v>
      </x:c>
      <x:c r="C1665" s="115" t="str">
        <x:v>Échangeurs</x:v>
      </x:c>
      <x:c r="D1665" s="115" t="str">
        <x:v>Échangeur en trompette</x:v>
      </x:c>
      <x:c r="E1665" s="115" t="n">
        <x:v>10</x:v>
      </x:c>
      <x:c r="F1665" s="115" t="str">
        <x:v>Inspection physique</x:v>
      </x:c>
      <x:c r="G1665" s="115" t="str">
        <x:v>1 niveaux ; 34 pièces ; 260 segments de mur ; 0 transitions. Inspection physique ; architecture complète encore ouverte.</x:v>
      </x:c>
      <x:c r="H1665" s="115" t="str">
        <x:v>L 1200 ; l 1200 ; hauteur 8 m ; choix de composition auteur ; dimensions réelles à documenter</x:v>
      </x:c>
      <x:c r="I1665" s="115" t="str">
        <x:v>À équilibrer</x:v>
      </x:c>
      <x:c r="J1665" s="115" t="str">
        <x:v>Non</x:v>
      </x:c>
      <x:c r="K1665" s="115" t="str">
        <x:v>Pièces décrites, murs, portes, niveaux et mobilier inspectables à l’échelle. Volumes réservés, raccord au seed, butin, rencontres et services de campagne restent à terminer.</x:v>
      </x:c>
    </x:row>
    <x:row r="1666" ht="96" customHeight="1">
      <x:c r="A1666" s="115" t="str">
        <x:v>EXT-MONDE-T034-V11</x:v>
      </x:c>
      <x:c r="B1666" s="115" t="str">
        <x:v>EXT-MONDE-T034</x:v>
      </x:c>
      <x:c r="C1666" s="115" t="str">
        <x:v>Échangeurs</x:v>
      </x:c>
      <x:c r="D1666" s="115" t="str">
        <x:v>Échangeur en trompette</x:v>
      </x:c>
      <x:c r="E1666" s="115" t="n">
        <x:v>11</x:v>
      </x:c>
      <x:c r="F1666" s="115" t="str">
        <x:v>Inspection physique</x:v>
      </x:c>
      <x:c r="G1666" s="115" t="str">
        <x:v>1 niveaux ; 34 pièces ; 260 segments de mur ; 0 transitions. Inspection physique ; architecture complète encore ouverte.</x:v>
      </x:c>
      <x:c r="H1666" s="115" t="str">
        <x:v>L 1280 ; l 1360 ; hauteur 8 m ; choix de composition auteur ; dimensions réelles à documenter</x:v>
      </x:c>
      <x:c r="I1666" s="115" t="str">
        <x:v>À équilibrer</x:v>
      </x:c>
      <x:c r="J1666" s="115" t="str">
        <x:v>Non</x:v>
      </x:c>
      <x:c r="K1666" s="115" t="str">
        <x:v>Pièces décrites, murs, portes, niveaux et mobilier inspectables à l’échelle. Volumes réservés, raccord au seed, butin, rencontres et services de campagne restent à terminer.</x:v>
      </x:c>
    </x:row>
    <x:row r="1667" ht="96" customHeight="1">
      <x:c r="A1667" s="115" t="str">
        <x:v>EXT-MONDE-T034-V12</x:v>
      </x:c>
      <x:c r="B1667" s="115" t="str">
        <x:v>EXT-MONDE-T034</x:v>
      </x:c>
      <x:c r="C1667" s="115" t="str">
        <x:v>Échangeurs</x:v>
      </x:c>
      <x:c r="D1667" s="115" t="str">
        <x:v>Échangeur en trompette</x:v>
      </x:c>
      <x:c r="E1667" s="115" t="n">
        <x:v>12</x:v>
      </x:c>
      <x:c r="F1667" s="115" t="str">
        <x:v>Inspection physique</x:v>
      </x:c>
      <x:c r="G1667" s="115" t="str">
        <x:v>1 niveaux ; 34 pièces ; 260 segments de mur ; 0 transitions. Inspection physique ; architecture complète encore ouverte.</x:v>
      </x:c>
      <x:c r="H1667" s="115" t="str">
        <x:v>L 1280 ; l 1360 ; hauteur 8 m ; choix de composition auteur ; dimensions réelles à documenter</x:v>
      </x:c>
      <x:c r="I1667" s="115" t="str">
        <x:v>À équilibrer</x:v>
      </x:c>
      <x:c r="J1667" s="115" t="str">
        <x:v>Non</x:v>
      </x:c>
      <x:c r="K1667" s="115" t="str">
        <x:v>Pièces décrites, murs, portes, niveaux et mobilier inspectables à l’échelle. Volumes réservés, raccord au seed, butin, rencontres et services de campagne restent à terminer.</x:v>
      </x:c>
    </x:row>
    <x:row r="1668" ht="96" customHeight="1">
      <x:c r="A1668" s="115" t="str">
        <x:v>EXT-MONDE-T034-V13</x:v>
      </x:c>
      <x:c r="B1668" s="115" t="str">
        <x:v>EXT-MONDE-T034</x:v>
      </x:c>
      <x:c r="C1668" s="115" t="str">
        <x:v>Échangeurs</x:v>
      </x:c>
      <x:c r="D1668" s="115" t="str">
        <x:v>Échangeur en trompette</x:v>
      </x:c>
      <x:c r="E1668" s="115" t="n">
        <x:v>13</x:v>
      </x:c>
      <x:c r="F1668" s="115" t="str">
        <x:v>Inspection physique</x:v>
      </x:c>
      <x:c r="G1668" s="115" t="str">
        <x:v>1 niveaux ; 34 pièces ; 260 segments de mur ; 0 transitions. Inspection physique ; architecture complète encore ouverte.</x:v>
      </x:c>
      <x:c r="H1668" s="115" t="str">
        <x:v>L 1280 ; l 1360 ; hauteur 8 m ; choix de composition auteur ; dimensions réelles à documenter</x:v>
      </x:c>
      <x:c r="I1668" s="115" t="str">
        <x:v>À équilibrer</x:v>
      </x:c>
      <x:c r="J1668" s="115" t="str">
        <x:v>Non</x:v>
      </x:c>
      <x:c r="K1668" s="115" t="str">
        <x:v>Pièces décrites, murs, portes, niveaux et mobilier inspectables à l’échelle. Volumes réservés, raccord au seed, butin, rencontres et services de campagne restent à terminer.</x:v>
      </x:c>
    </x:row>
    <x:row r="1669" ht="96" customHeight="1">
      <x:c r="A1669" s="115" t="str">
        <x:v>EXT-MONDE-T034-V14</x:v>
      </x:c>
      <x:c r="B1669" s="115" t="str">
        <x:v>EXT-MONDE-T034</x:v>
      </x:c>
      <x:c r="C1669" s="115" t="str">
        <x:v>Échangeurs</x:v>
      </x:c>
      <x:c r="D1669" s="115" t="str">
        <x:v>Échangeur en trompette</x:v>
      </x:c>
      <x:c r="E1669" s="115" t="n">
        <x:v>14</x:v>
      </x:c>
      <x:c r="F1669" s="115" t="str">
        <x:v>Inspection physique</x:v>
      </x:c>
      <x:c r="G1669" s="115" t="str">
        <x:v>1 niveaux ; 34 pièces ; 260 segments de mur ; 0 transitions. Inspection physique ; architecture complète encore ouverte.</x:v>
      </x:c>
      <x:c r="H1669" s="115" t="str">
        <x:v>L 1280 ; l 1360 ; hauteur 8 m ; choix de composition auteur ; dimensions réelles à documenter</x:v>
      </x:c>
      <x:c r="I1669" s="115" t="str">
        <x:v>À équilibrer</x:v>
      </x:c>
      <x:c r="J1669" s="115" t="str">
        <x:v>Non</x:v>
      </x:c>
      <x:c r="K1669" s="115" t="str">
        <x:v>Pièces décrites, murs, portes, niveaux et mobilier inspectables à l’échelle. Volumes réservés, raccord au seed, butin, rencontres et services de campagne restent à terminer.</x:v>
      </x:c>
    </x:row>
    <x:row r="1670" ht="96" customHeight="1">
      <x:c r="A1670" s="115" t="str">
        <x:v>EXT-MONDE-T034-V15</x:v>
      </x:c>
      <x:c r="B1670" s="115" t="str">
        <x:v>EXT-MONDE-T034</x:v>
      </x:c>
      <x:c r="C1670" s="115" t="str">
        <x:v>Échangeurs</x:v>
      </x:c>
      <x:c r="D1670" s="115" t="str">
        <x:v>Échangeur en trompette</x:v>
      </x:c>
      <x:c r="E1670" s="115" t="n">
        <x:v>15</x:v>
      </x:c>
      <x:c r="F1670" s="115" t="str">
        <x:v>Inspection physique</x:v>
      </x:c>
      <x:c r="G1670" s="115" t="str">
        <x:v>1 niveaux ; 34 pièces ; 260 segments de mur ; 0 transitions. Inspection physique ; architecture complète encore ouverte.</x:v>
      </x:c>
      <x:c r="H1670" s="115" t="str">
        <x:v>L 1280 ; l 1360 ; hauteur 8 m ; choix de composition auteur ; dimensions réelles à documenter</x:v>
      </x:c>
      <x:c r="I1670" s="115" t="str">
        <x:v>À équilibrer</x:v>
      </x:c>
      <x:c r="J1670" s="115" t="str">
        <x:v>Non</x:v>
      </x:c>
      <x:c r="K1670" s="115" t="str">
        <x:v>Pièces décrites, murs, portes, niveaux et mobilier inspectables à l’échelle. Volumes réservés, raccord au seed, butin, rencontres et services de campagne restent à terminer.</x:v>
      </x:c>
    </x:row>
    <x:row r="1671" ht="96" customHeight="1">
      <x:c r="A1671" s="115" t="str">
        <x:v>EXT-MONDE-T034-V16</x:v>
      </x:c>
      <x:c r="B1671" s="115" t="str">
        <x:v>EXT-MONDE-T034</x:v>
      </x:c>
      <x:c r="C1671" s="115" t="str">
        <x:v>Échangeurs</x:v>
      </x:c>
      <x:c r="D1671" s="115" t="str">
        <x:v>Échangeur en trompette</x:v>
      </x:c>
      <x:c r="E1671" s="115" t="n">
        <x:v>16</x:v>
      </x:c>
      <x:c r="F1671" s="115" t="str">
        <x:v>Inspection physique</x:v>
      </x:c>
      <x:c r="G1671" s="115" t="str">
        <x:v>1 niveaux ; 34 pièces ; 260 segments de mur ; 0 transitions. Inspection physique ; architecture complète encore ouverte.</x:v>
      </x:c>
      <x:c r="H1671" s="115" t="str">
        <x:v>L 1280 ; l 1360 ; hauteur 8 m ; choix de composition auteur ; dimensions réelles à documenter</x:v>
      </x:c>
      <x:c r="I1671" s="115" t="str">
        <x:v>À équilibrer</x:v>
      </x:c>
      <x:c r="J1671" s="115" t="str">
        <x:v>Non</x:v>
      </x:c>
      <x:c r="K1671" s="115" t="str">
        <x:v>Pièces décrites, murs, portes, niveaux et mobilier inspectables à l’échelle. Volumes réservés, raccord au seed, butin, rencontres et services de campagne restent à terminer.</x:v>
      </x:c>
    </x:row>
    <x:row r="1672" ht="96" customHeight="1">
      <x:c r="A1672" s="115" t="str">
        <x:v>EXT-MONDE-T034-V17</x:v>
      </x:c>
      <x:c r="B1672" s="115" t="str">
        <x:v>EXT-MONDE-T034</x:v>
      </x:c>
      <x:c r="C1672" s="115" t="str">
        <x:v>Échangeurs</x:v>
      </x:c>
      <x:c r="D1672" s="115" t="str">
        <x:v>Échangeur en trompette</x:v>
      </x:c>
      <x:c r="E1672" s="115" t="n">
        <x:v>17</x:v>
      </x:c>
      <x:c r="F1672" s="115" t="str">
        <x:v>Inspection physique</x:v>
      </x:c>
      <x:c r="G1672" s="115" t="str">
        <x:v>1 niveaux ; 34 pièces ; 260 segments de mur ; 0 transitions. Inspection physique ; architecture complète encore ouverte.</x:v>
      </x:c>
      <x:c r="H1672" s="115" t="str">
        <x:v>L 1280 ; l 1360 ; hauteur 8 m ; choix de composition auteur ; dimensions réelles à documenter</x:v>
      </x:c>
      <x:c r="I1672" s="115" t="str">
        <x:v>À équilibrer</x:v>
      </x:c>
      <x:c r="J1672" s="115" t="str">
        <x:v>Non</x:v>
      </x:c>
      <x:c r="K1672" s="115" t="str">
        <x:v>Pièces décrites, murs, portes, niveaux et mobilier inspectables à l’échelle. Volumes réservés, raccord au seed, butin, rencontres et services de campagne restent à terminer.</x:v>
      </x:c>
    </x:row>
    <x:row r="1673" ht="96" customHeight="1">
      <x:c r="A1673" s="115" t="str">
        <x:v>EXT-MONDE-T034-V18</x:v>
      </x:c>
      <x:c r="B1673" s="115" t="str">
        <x:v>EXT-MONDE-T034</x:v>
      </x:c>
      <x:c r="C1673" s="115" t="str">
        <x:v>Échangeurs</x:v>
      </x:c>
      <x:c r="D1673" s="115" t="str">
        <x:v>Échangeur en trompette</x:v>
      </x:c>
      <x:c r="E1673" s="115" t="n">
        <x:v>18</x:v>
      </x:c>
      <x:c r="F1673" s="115" t="str">
        <x:v>Inspection physique</x:v>
      </x:c>
      <x:c r="G1673" s="115" t="str">
        <x:v>1 niveaux ; 34 pièces ; 260 segments de mur ; 0 transitions. Inspection physique ; architecture complète encore ouverte.</x:v>
      </x:c>
      <x:c r="H1673" s="115" t="str">
        <x:v>L 1280 ; l 1360 ; hauteur 8 m ; choix de composition auteur ; dimensions réelles à documenter</x:v>
      </x:c>
      <x:c r="I1673" s="115" t="str">
        <x:v>À équilibrer</x:v>
      </x:c>
      <x:c r="J1673" s="115" t="str">
        <x:v>Non</x:v>
      </x:c>
      <x:c r="K1673" s="115" t="str">
        <x:v>Pièces décrites, murs, portes, niveaux et mobilier inspectables à l’échelle. Volumes réservés, raccord au seed, butin, rencontres et services de campagne restent à terminer.</x:v>
      </x:c>
    </x:row>
    <x:row r="1674" ht="96" customHeight="1">
      <x:c r="A1674" s="115" t="str">
        <x:v>EXT-MONDE-T034-V19</x:v>
      </x:c>
      <x:c r="B1674" s="115" t="str">
        <x:v>EXT-MONDE-T034</x:v>
      </x:c>
      <x:c r="C1674" s="115" t="str">
        <x:v>Échangeurs</x:v>
      </x:c>
      <x:c r="D1674" s="115" t="str">
        <x:v>Échangeur en trompette</x:v>
      </x:c>
      <x:c r="E1674" s="115" t="n">
        <x:v>19</x:v>
      </x:c>
      <x:c r="F1674" s="115" t="str">
        <x:v>Inspection physique</x:v>
      </x:c>
      <x:c r="G1674" s="115" t="str">
        <x:v>1 niveaux ; 34 pièces ; 260 segments de mur ; 0 transitions. Inspection physique ; architecture complète encore ouverte.</x:v>
      </x:c>
      <x:c r="H1674" s="115" t="str">
        <x:v>L 1280 ; l 1360 ; hauteur 8 m ; choix de composition auteur ; dimensions réelles à documenter</x:v>
      </x:c>
      <x:c r="I1674" s="115" t="str">
        <x:v>À équilibrer</x:v>
      </x:c>
      <x:c r="J1674" s="115" t="str">
        <x:v>Non</x:v>
      </x:c>
      <x:c r="K1674" s="115" t="str">
        <x:v>Pièces décrites, murs, portes, niveaux et mobilier inspectables à l’échelle. Volumes réservés, raccord au seed, butin, rencontres et services de campagne restent à terminer.</x:v>
      </x:c>
    </x:row>
    <x:row r="1675" ht="96" customHeight="1">
      <x:c r="A1675" s="115" t="str">
        <x:v>EXT-MONDE-T034-V20</x:v>
      </x:c>
      <x:c r="B1675" s="115" t="str">
        <x:v>EXT-MONDE-T034</x:v>
      </x:c>
      <x:c r="C1675" s="115" t="str">
        <x:v>Échangeurs</x:v>
      </x:c>
      <x:c r="D1675" s="115" t="str">
        <x:v>Échangeur en trompette</x:v>
      </x:c>
      <x:c r="E1675" s="115" t="n">
        <x:v>20</x:v>
      </x:c>
      <x:c r="F1675" s="115" t="str">
        <x:v>Inspection physique</x:v>
      </x:c>
      <x:c r="G1675" s="115" t="str">
        <x:v>1 niveaux ; 34 pièces ; 260 segments de mur ; 0 transitions. Inspection physique ; architecture complète encore ouverte.</x:v>
      </x:c>
      <x:c r="H1675" s="115" t="str">
        <x:v>L 1280 ; l 1360 ; hauteur 8 m ; choix de composition auteur ; dimensions réelles à documenter</x:v>
      </x:c>
      <x:c r="I1675" s="115" t="str">
        <x:v>À équilibrer</x:v>
      </x:c>
      <x:c r="J1675" s="115" t="str">
        <x:v>Non</x:v>
      </x:c>
      <x:c r="K1675" s="115" t="str">
        <x:v>Pièces décrites, murs, portes, niveaux et mobilier inspectables à l’échelle. Volumes réservés, raccord au seed, butin, rencontres et services de campagne restent à terminer.</x:v>
      </x:c>
    </x:row>
    <x:row r="1676" ht="96" customHeight="1">
      <x:c r="A1676" s="115" t="str">
        <x:v>EXT-MONDE-T034-V21</x:v>
      </x:c>
      <x:c r="B1676" s="115" t="str">
        <x:v>EXT-MONDE-T034</x:v>
      </x:c>
      <x:c r="C1676" s="115" t="str">
        <x:v>Échangeurs</x:v>
      </x:c>
      <x:c r="D1676" s="115" t="str">
        <x:v>Échangeur en trompette</x:v>
      </x:c>
      <x:c r="E1676" s="115" t="n">
        <x:v>21</x:v>
      </x:c>
      <x:c r="F1676" s="115" t="str">
        <x:v>Inspection physique</x:v>
      </x:c>
      <x:c r="G1676" s="115" t="str">
        <x:v>1 niveaux ; 34 pièces ; 260 segments de mur ; 0 transitions. Inspection physique ; architecture complète encore ouverte.</x:v>
      </x:c>
      <x:c r="H1676" s="115" t="str">
        <x:v>L 1360 ; l 1520 ; hauteur 8 m ; choix de composition auteur ; dimensions réelles à documenter</x:v>
      </x:c>
      <x:c r="I1676" s="115" t="str">
        <x:v>À équilibrer</x:v>
      </x:c>
      <x:c r="J1676" s="115" t="str">
        <x:v>Non</x:v>
      </x:c>
      <x:c r="K1676" s="115" t="str">
        <x:v>Pièces décrites, murs, portes, niveaux et mobilier inspectables à l’échelle. Volumes réservés, raccord au seed, butin, rencontres et services de campagne restent à terminer.</x:v>
      </x:c>
    </x:row>
    <x:row r="1677" ht="96" customHeight="1">
      <x:c r="A1677" s="115" t="str">
        <x:v>EXT-MONDE-T034-V22</x:v>
      </x:c>
      <x:c r="B1677" s="115" t="str">
        <x:v>EXT-MONDE-T034</x:v>
      </x:c>
      <x:c r="C1677" s="115" t="str">
        <x:v>Échangeurs</x:v>
      </x:c>
      <x:c r="D1677" s="115" t="str">
        <x:v>Échangeur en trompette</x:v>
      </x:c>
      <x:c r="E1677" s="115" t="n">
        <x:v>22</x:v>
      </x:c>
      <x:c r="F1677" s="115" t="str">
        <x:v>Inspection physique</x:v>
      </x:c>
      <x:c r="G1677" s="115" t="str">
        <x:v>1 niveaux ; 34 pièces ; 260 segments de mur ; 0 transitions. Inspection physique ; architecture complète encore ouverte.</x:v>
      </x:c>
      <x:c r="H1677" s="115" t="str">
        <x:v>L 1360 ; l 1520 ; hauteur 8 m ; choix de composition auteur ; dimensions réelles à documenter</x:v>
      </x:c>
      <x:c r="I1677" s="115" t="str">
        <x:v>À équilibrer</x:v>
      </x:c>
      <x:c r="J1677" s="115" t="str">
        <x:v>Non</x:v>
      </x:c>
      <x:c r="K1677" s="115" t="str">
        <x:v>Pièces décrites, murs, portes, niveaux et mobilier inspectables à l’échelle. Volumes réservés, raccord au seed, butin, rencontres et services de campagne restent à terminer.</x:v>
      </x:c>
    </x:row>
    <x:row r="1678" ht="96" customHeight="1">
      <x:c r="A1678" s="115" t="str">
        <x:v>EXT-MONDE-T034-V23</x:v>
      </x:c>
      <x:c r="B1678" s="115" t="str">
        <x:v>EXT-MONDE-T034</x:v>
      </x:c>
      <x:c r="C1678" s="115" t="str">
        <x:v>Échangeurs</x:v>
      </x:c>
      <x:c r="D1678" s="115" t="str">
        <x:v>Échangeur en trompette</x:v>
      </x:c>
      <x:c r="E1678" s="115" t="n">
        <x:v>23</x:v>
      </x:c>
      <x:c r="F1678" s="115" t="str">
        <x:v>Inspection physique</x:v>
      </x:c>
      <x:c r="G1678" s="115" t="str">
        <x:v>1 niveaux ; 34 pièces ; 260 segments de mur ; 0 transitions. Inspection physique ; architecture complète encore ouverte.</x:v>
      </x:c>
      <x:c r="H1678" s="115" t="str">
        <x:v>L 1360 ; l 1520 ; hauteur 8 m ; choix de composition auteur ; dimensions réelles à documenter</x:v>
      </x:c>
      <x:c r="I1678" s="115" t="str">
        <x:v>À équilibrer</x:v>
      </x:c>
      <x:c r="J1678" s="115" t="str">
        <x:v>Non</x:v>
      </x:c>
      <x:c r="K1678" s="115" t="str">
        <x:v>Pièces décrites, murs, portes, niveaux et mobilier inspectables à l’échelle. Volumes réservés, raccord au seed, butin, rencontres et services de campagne restent à terminer.</x:v>
      </x:c>
    </x:row>
    <x:row r="1679" ht="96" customHeight="1">
      <x:c r="A1679" s="115" t="str">
        <x:v>EXT-MONDE-T034-V24</x:v>
      </x:c>
      <x:c r="B1679" s="115" t="str">
        <x:v>EXT-MONDE-T034</x:v>
      </x:c>
      <x:c r="C1679" s="115" t="str">
        <x:v>Échangeurs</x:v>
      </x:c>
      <x:c r="D1679" s="115" t="str">
        <x:v>Échangeur en trompette</x:v>
      </x:c>
      <x:c r="E1679" s="115" t="n">
        <x:v>24</x:v>
      </x:c>
      <x:c r="F1679" s="115" t="str">
        <x:v>Inspection physique</x:v>
      </x:c>
      <x:c r="G1679" s="115" t="str">
        <x:v>1 niveaux ; 34 pièces ; 260 segments de mur ; 0 transitions. Inspection physique ; architecture complète encore ouverte.</x:v>
      </x:c>
      <x:c r="H1679" s="115" t="str">
        <x:v>L 1360 ; l 1520 ; hauteur 8 m ; choix de composition auteur ; dimensions réelles à documenter</x:v>
      </x:c>
      <x:c r="I1679" s="115" t="str">
        <x:v>À équilibrer</x:v>
      </x:c>
      <x:c r="J1679" s="115" t="str">
        <x:v>Non</x:v>
      </x:c>
      <x:c r="K1679" s="115" t="str">
        <x:v>Pièces décrites, murs, portes, niveaux et mobilier inspectables à l’échelle. Volumes réservés, raccord au seed, butin, rencontres et services de campagne restent à terminer.</x:v>
      </x:c>
    </x:row>
    <x:row r="1680" ht="96" customHeight="1">
      <x:c r="A1680" s="115" t="str">
        <x:v>EXT-MONDE-T034-V25</x:v>
      </x:c>
      <x:c r="B1680" s="115" t="str">
        <x:v>EXT-MONDE-T034</x:v>
      </x:c>
      <x:c r="C1680" s="115" t="str">
        <x:v>Échangeurs</x:v>
      </x:c>
      <x:c r="D1680" s="115" t="str">
        <x:v>Échangeur en trompette</x:v>
      </x:c>
      <x:c r="E1680" s="115" t="n">
        <x:v>25</x:v>
      </x:c>
      <x:c r="F1680" s="115" t="str">
        <x:v>Inspection physique</x:v>
      </x:c>
      <x:c r="G1680" s="115" t="str">
        <x:v>1 niveaux ; 34 pièces ; 260 segments de mur ; 0 transitions. Inspection physique ; architecture complète encore ouverte.</x:v>
      </x:c>
      <x:c r="H1680" s="115" t="str">
        <x:v>L 1360 ; l 1520 ; hauteur 8 m ; choix de composition auteur ; dimensions réelles à documenter</x:v>
      </x:c>
      <x:c r="I1680" s="115" t="str">
        <x:v>À équilibrer</x:v>
      </x:c>
      <x:c r="J1680" s="115" t="str">
        <x:v>Non</x:v>
      </x:c>
      <x:c r="K1680" s="115" t="str">
        <x:v>Pièces décrites, murs, portes, niveaux et mobilier inspectables à l’échelle. Volumes réservés, raccord au seed, butin, rencontres et services de campagne restent à terminer.</x:v>
      </x:c>
    </x:row>
    <x:row r="1681" ht="96" customHeight="1">
      <x:c r="A1681" s="115" t="str">
        <x:v>EXT-MONDE-T034-V26</x:v>
      </x:c>
      <x:c r="B1681" s="115" t="str">
        <x:v>EXT-MONDE-T034</x:v>
      </x:c>
      <x:c r="C1681" s="115" t="str">
        <x:v>Échangeurs</x:v>
      </x:c>
      <x:c r="D1681" s="115" t="str">
        <x:v>Échangeur en trompette</x:v>
      </x:c>
      <x:c r="E1681" s="115" t="n">
        <x:v>26</x:v>
      </x:c>
      <x:c r="F1681" s="115" t="str">
        <x:v>Inspection physique</x:v>
      </x:c>
      <x:c r="G1681" s="115" t="str">
        <x:v>1 niveaux ; 34 pièces ; 260 segments de mur ; 0 transitions. Inspection physique ; architecture complète encore ouverte.</x:v>
      </x:c>
      <x:c r="H1681" s="115" t="str">
        <x:v>L 1360 ; l 1520 ; hauteur 8 m ; choix de composition auteur ; dimensions réelles à documenter</x:v>
      </x:c>
      <x:c r="I1681" s="115" t="str">
        <x:v>À équilibrer</x:v>
      </x:c>
      <x:c r="J1681" s="115" t="str">
        <x:v>Non</x:v>
      </x:c>
      <x:c r="K1681" s="115" t="str">
        <x:v>Pièces décrites, murs, portes, niveaux et mobilier inspectables à l’échelle. Volumes réservés, raccord au seed, butin, rencontres et services de campagne restent à terminer.</x:v>
      </x:c>
    </x:row>
    <x:row r="1682" ht="96" customHeight="1">
      <x:c r="A1682" s="115" t="str">
        <x:v>EXT-MONDE-T034-V27</x:v>
      </x:c>
      <x:c r="B1682" s="115" t="str">
        <x:v>EXT-MONDE-T034</x:v>
      </x:c>
      <x:c r="C1682" s="115" t="str">
        <x:v>Échangeurs</x:v>
      </x:c>
      <x:c r="D1682" s="115" t="str">
        <x:v>Échangeur en trompette</x:v>
      </x:c>
      <x:c r="E1682" s="115" t="n">
        <x:v>27</x:v>
      </x:c>
      <x:c r="F1682" s="115" t="str">
        <x:v>Inspection physique</x:v>
      </x:c>
      <x:c r="G1682" s="115" t="str">
        <x:v>1 niveaux ; 34 pièces ; 260 segments de mur ; 0 transitions. Inspection physique ; architecture complète encore ouverte.</x:v>
      </x:c>
      <x:c r="H1682" s="115" t="str">
        <x:v>L 1360 ; l 1520 ; hauteur 8 m ; choix de composition auteur ; dimensions réelles à documenter</x:v>
      </x:c>
      <x:c r="I1682" s="115" t="str">
        <x:v>À équilibrer</x:v>
      </x:c>
      <x:c r="J1682" s="115" t="str">
        <x:v>Non</x:v>
      </x:c>
      <x:c r="K1682" s="115" t="str">
        <x:v>Pièces décrites, murs, portes, niveaux et mobilier inspectables à l’échelle. Volumes réservés, raccord au seed, butin, rencontres et services de campagne restent à terminer.</x:v>
      </x:c>
    </x:row>
    <x:row r="1683" ht="96" customHeight="1">
      <x:c r="A1683" s="115" t="str">
        <x:v>EXT-MONDE-T034-V28</x:v>
      </x:c>
      <x:c r="B1683" s="115" t="str">
        <x:v>EXT-MONDE-T034</x:v>
      </x:c>
      <x:c r="C1683" s="115" t="str">
        <x:v>Échangeurs</x:v>
      </x:c>
      <x:c r="D1683" s="115" t="str">
        <x:v>Échangeur en trompette</x:v>
      </x:c>
      <x:c r="E1683" s="115" t="n">
        <x:v>28</x:v>
      </x:c>
      <x:c r="F1683" s="115" t="str">
        <x:v>Inspection physique</x:v>
      </x:c>
      <x:c r="G1683" s="115" t="str">
        <x:v>1 niveaux ; 34 pièces ; 260 segments de mur ; 0 transitions. Inspection physique ; architecture complète encore ouverte.</x:v>
      </x:c>
      <x:c r="H1683" s="115" t="str">
        <x:v>L 1360 ; l 1520 ; hauteur 8 m ; choix de composition auteur ; dimensions réelles à documenter</x:v>
      </x:c>
      <x:c r="I1683" s="115" t="str">
        <x:v>À équilibrer</x:v>
      </x:c>
      <x:c r="J1683" s="115" t="str">
        <x:v>Non</x:v>
      </x:c>
      <x:c r="K1683" s="115" t="str">
        <x:v>Pièces décrites, murs, portes, niveaux et mobilier inspectables à l’échelle. Volumes réservés, raccord au seed, butin, rencontres et services de campagne restent à terminer.</x:v>
      </x:c>
    </x:row>
    <x:row r="1684" ht="96" customHeight="1">
      <x:c r="A1684" s="115" t="str">
        <x:v>EXT-MONDE-T034-V29</x:v>
      </x:c>
      <x:c r="B1684" s="115" t="str">
        <x:v>EXT-MONDE-T034</x:v>
      </x:c>
      <x:c r="C1684" s="115" t="str">
        <x:v>Échangeurs</x:v>
      </x:c>
      <x:c r="D1684" s="115" t="str">
        <x:v>Échangeur en trompette</x:v>
      </x:c>
      <x:c r="E1684" s="115" t="n">
        <x:v>29</x:v>
      </x:c>
      <x:c r="F1684" s="115" t="str">
        <x:v>Inspection physique</x:v>
      </x:c>
      <x:c r="G1684" s="115" t="str">
        <x:v>1 niveaux ; 34 pièces ; 260 segments de mur ; 0 transitions. Inspection physique ; architecture complète encore ouverte.</x:v>
      </x:c>
      <x:c r="H1684" s="115" t="str">
        <x:v>L 1360 ; l 1520 ; hauteur 8 m ; choix de composition auteur ; dimensions réelles à documenter</x:v>
      </x:c>
      <x:c r="I1684" s="115" t="str">
        <x:v>À équilibrer</x:v>
      </x:c>
      <x:c r="J1684" s="115" t="str">
        <x:v>Non</x:v>
      </x:c>
      <x:c r="K1684" s="115" t="str">
        <x:v>Pièces décrites, murs, portes, niveaux et mobilier inspectables à l’échelle. Volumes réservés, raccord au seed, butin, rencontres et services de campagne restent à terminer.</x:v>
      </x:c>
    </x:row>
    <x:row r="1685" ht="96" customHeight="1">
      <x:c r="A1685" s="115" t="str">
        <x:v>EXT-MONDE-T034-V30</x:v>
      </x:c>
      <x:c r="B1685" s="115" t="str">
        <x:v>EXT-MONDE-T034</x:v>
      </x:c>
      <x:c r="C1685" s="115" t="str">
        <x:v>Échangeurs</x:v>
      </x:c>
      <x:c r="D1685" s="115" t="str">
        <x:v>Échangeur en trompette</x:v>
      </x:c>
      <x:c r="E1685" s="115" t="n">
        <x:v>30</x:v>
      </x:c>
      <x:c r="F1685" s="115" t="str">
        <x:v>Inspection physique</x:v>
      </x:c>
      <x:c r="G1685" s="115" t="str">
        <x:v>1 niveaux ; 34 pièces ; 260 segments de mur ; 0 transitions. Inspection physique ; architecture complète encore ouverte.</x:v>
      </x:c>
      <x:c r="H1685" s="115" t="str">
        <x:v>L 1360 ; l 1520 ; hauteur 8 m ; choix de composition auteur ; dimensions réelles à documenter</x:v>
      </x:c>
      <x:c r="I1685" s="115" t="str">
        <x:v>À équilibrer</x:v>
      </x:c>
      <x:c r="J1685" s="115" t="str">
        <x:v>Non</x:v>
      </x:c>
      <x:c r="K1685" s="115" t="str">
        <x:v>Pièces décrites, murs, portes, niveaux et mobilier inspectables à l’échelle. Volumes réservés, raccord au seed, butin, rencontres et services de campagne restent à terminer.</x:v>
      </x:c>
    </x:row>
    <x:row r="1686" ht="96" customHeight="1">
      <x:c r="A1686" s="115" t="str">
        <x:v>EXT-MONDE-T034-V31</x:v>
      </x:c>
      <x:c r="B1686" s="115" t="str">
        <x:v>EXT-MONDE-T034</x:v>
      </x:c>
      <x:c r="C1686" s="115" t="str">
        <x:v>Échangeurs</x:v>
      </x:c>
      <x:c r="D1686" s="115" t="str">
        <x:v>Échangeur en trompette</x:v>
      </x:c>
      <x:c r="E1686" s="115" t="n">
        <x:v>31</x:v>
      </x:c>
      <x:c r="F1686" s="115" t="str">
        <x:v>Inspection physique</x:v>
      </x:c>
      <x:c r="G1686" s="115" t="str">
        <x:v>1 niveaux ; 34 pièces ; 260 segments de mur ; 0 transitions. Inspection physique ; architecture complète encore ouverte.</x:v>
      </x:c>
      <x:c r="H1686" s="115" t="str">
        <x:v>L 1440 ; l 1680 ; hauteur 8 m ; choix de composition auteur ; dimensions réelles à documenter</x:v>
      </x:c>
      <x:c r="I1686" s="115" t="str">
        <x:v>À équilibrer</x:v>
      </x:c>
      <x:c r="J1686" s="115" t="str">
        <x:v>Non</x:v>
      </x:c>
      <x:c r="K1686" s="115" t="str">
        <x:v>Pièces décrites, murs, portes, niveaux et mobilier inspectables à l’échelle. Volumes réservés, raccord au seed, butin, rencontres et services de campagne restent à terminer.</x:v>
      </x:c>
    </x:row>
    <x:row r="1687" ht="96" customHeight="1">
      <x:c r="A1687" s="115" t="str">
        <x:v>EXT-MONDE-T034-V32</x:v>
      </x:c>
      <x:c r="B1687" s="115" t="str">
        <x:v>EXT-MONDE-T034</x:v>
      </x:c>
      <x:c r="C1687" s="115" t="str">
        <x:v>Échangeurs</x:v>
      </x:c>
      <x:c r="D1687" s="115" t="str">
        <x:v>Échangeur en trompette</x:v>
      </x:c>
      <x:c r="E1687" s="115" t="n">
        <x:v>32</x:v>
      </x:c>
      <x:c r="F1687" s="115" t="str">
        <x:v>Inspection physique</x:v>
      </x:c>
      <x:c r="G1687" s="115" t="str">
        <x:v>1 niveaux ; 34 pièces ; 260 segments de mur ; 0 transitions. Inspection physique ; architecture complète encore ouverte.</x:v>
      </x:c>
      <x:c r="H1687" s="115" t="str">
        <x:v>L 1440 ; l 1680 ; hauteur 8 m ; choix de composition auteur ; dimensions réelles à documenter</x:v>
      </x:c>
      <x:c r="I1687" s="115" t="str">
        <x:v>À équilibrer</x:v>
      </x:c>
      <x:c r="J1687" s="115" t="str">
        <x:v>Non</x:v>
      </x:c>
      <x:c r="K1687" s="115" t="str">
        <x:v>Pièces décrites, murs, portes, niveaux et mobilier inspectables à l’échelle. Volumes réservés, raccord au seed, butin, rencontres et services de campagne restent à terminer.</x:v>
      </x:c>
    </x:row>
    <x:row r="1688" ht="96" customHeight="1">
      <x:c r="A1688" s="115" t="str">
        <x:v>EXT-MONDE-T034-V33</x:v>
      </x:c>
      <x:c r="B1688" s="115" t="str">
        <x:v>EXT-MONDE-T034</x:v>
      </x:c>
      <x:c r="C1688" s="115" t="str">
        <x:v>Échangeurs</x:v>
      </x:c>
      <x:c r="D1688" s="115" t="str">
        <x:v>Échangeur en trompette</x:v>
      </x:c>
      <x:c r="E1688" s="115" t="n">
        <x:v>33</x:v>
      </x:c>
      <x:c r="F1688" s="115" t="str">
        <x:v>Inspection physique</x:v>
      </x:c>
      <x:c r="G1688" s="115" t="str">
        <x:v>1 niveaux ; 34 pièces ; 260 segments de mur ; 0 transitions. Inspection physique ; architecture complète encore ouverte.</x:v>
      </x:c>
      <x:c r="H1688" s="115" t="str">
        <x:v>L 1440 ; l 1680 ; hauteur 8 m ; choix de composition auteur ; dimensions réelles à documenter</x:v>
      </x:c>
      <x:c r="I1688" s="115" t="str">
        <x:v>À équilibrer</x:v>
      </x:c>
      <x:c r="J1688" s="115" t="str">
        <x:v>Non</x:v>
      </x:c>
      <x:c r="K1688" s="115" t="str">
        <x:v>Pièces décrites, murs, portes, niveaux et mobilier inspectables à l’échelle. Volumes réservés, raccord au seed, butin, rencontres et services de campagne restent à terminer.</x:v>
      </x:c>
    </x:row>
    <x:row r="1689" ht="96" customHeight="1">
      <x:c r="A1689" s="115" t="str">
        <x:v>EXT-MONDE-T034-V34</x:v>
      </x:c>
      <x:c r="B1689" s="115" t="str">
        <x:v>EXT-MONDE-T034</x:v>
      </x:c>
      <x:c r="C1689" s="115" t="str">
        <x:v>Échangeurs</x:v>
      </x:c>
      <x:c r="D1689" s="115" t="str">
        <x:v>Échangeur en trompette</x:v>
      </x:c>
      <x:c r="E1689" s="115" t="n">
        <x:v>34</x:v>
      </x:c>
      <x:c r="F1689" s="115" t="str">
        <x:v>Inspection physique</x:v>
      </x:c>
      <x:c r="G1689" s="115" t="str">
        <x:v>1 niveaux ; 34 pièces ; 260 segments de mur ; 0 transitions. Inspection physique ; architecture complète encore ouverte.</x:v>
      </x:c>
      <x:c r="H1689" s="115" t="str">
        <x:v>L 1440 ; l 1680 ; hauteur 8 m ; choix de composition auteur ; dimensions réelles à documenter</x:v>
      </x:c>
      <x:c r="I1689" s="115" t="str">
        <x:v>À équilibrer</x:v>
      </x:c>
      <x:c r="J1689" s="115" t="str">
        <x:v>Non</x:v>
      </x:c>
      <x:c r="K1689" s="115" t="str">
        <x:v>Pièces décrites, murs, portes, niveaux et mobilier inspectables à l’échelle. Volumes réservés, raccord au seed, butin, rencontres et services de campagne restent à terminer.</x:v>
      </x:c>
    </x:row>
    <x:row r="1690" ht="96" customHeight="1">
      <x:c r="A1690" s="115" t="str">
        <x:v>EXT-MONDE-T034-V35</x:v>
      </x:c>
      <x:c r="B1690" s="115" t="str">
        <x:v>EXT-MONDE-T034</x:v>
      </x:c>
      <x:c r="C1690" s="115" t="str">
        <x:v>Échangeurs</x:v>
      </x:c>
      <x:c r="D1690" s="115" t="str">
        <x:v>Échangeur en trompette</x:v>
      </x:c>
      <x:c r="E1690" s="115" t="n">
        <x:v>35</x:v>
      </x:c>
      <x:c r="F1690" s="115" t="str">
        <x:v>Inspection physique</x:v>
      </x:c>
      <x:c r="G1690" s="115" t="str">
        <x:v>1 niveaux ; 34 pièces ; 260 segments de mur ; 0 transitions. Inspection physique ; architecture complète encore ouverte.</x:v>
      </x:c>
      <x:c r="H1690" s="115" t="str">
        <x:v>L 1440 ; l 1680 ; hauteur 8 m ; choix de composition auteur ; dimensions réelles à documenter</x:v>
      </x:c>
      <x:c r="I1690" s="115" t="str">
        <x:v>À équilibrer</x:v>
      </x:c>
      <x:c r="J1690" s="115" t="str">
        <x:v>Non</x:v>
      </x:c>
      <x:c r="K1690" s="115" t="str">
        <x:v>Pièces décrites, murs, portes, niveaux et mobilier inspectables à l’échelle. Volumes réservés, raccord au seed, butin, rencontres et services de campagne restent à terminer.</x:v>
      </x:c>
    </x:row>
    <x:row r="1691" ht="96" customHeight="1">
      <x:c r="A1691" s="115" t="str">
        <x:v>EXT-MONDE-T034-V36</x:v>
      </x:c>
      <x:c r="B1691" s="115" t="str">
        <x:v>EXT-MONDE-T034</x:v>
      </x:c>
      <x:c r="C1691" s="115" t="str">
        <x:v>Échangeurs</x:v>
      </x:c>
      <x:c r="D1691" s="115" t="str">
        <x:v>Échangeur en trompette</x:v>
      </x:c>
      <x:c r="E1691" s="115" t="n">
        <x:v>36</x:v>
      </x:c>
      <x:c r="F1691" s="115" t="str">
        <x:v>Inspection physique</x:v>
      </x:c>
      <x:c r="G1691" s="115" t="str">
        <x:v>1 niveaux ; 34 pièces ; 260 segments de mur ; 0 transitions. Inspection physique ; architecture complète encore ouverte.</x:v>
      </x:c>
      <x:c r="H1691" s="115" t="str">
        <x:v>L 1440 ; l 1680 ; hauteur 8 m ; choix de composition auteur ; dimensions réelles à documenter</x:v>
      </x:c>
      <x:c r="I1691" s="115" t="str">
        <x:v>À équilibrer</x:v>
      </x:c>
      <x:c r="J1691" s="115" t="str">
        <x:v>Non</x:v>
      </x:c>
      <x:c r="K1691" s="115" t="str">
        <x:v>Pièces décrites, murs, portes, niveaux et mobilier inspectables à l’échelle. Volumes réservés, raccord au seed, butin, rencontres et services de campagne restent à terminer.</x:v>
      </x:c>
    </x:row>
    <x:row r="1692" ht="96" customHeight="1">
      <x:c r="A1692" s="115" t="str">
        <x:v>EXT-MONDE-T034-V37</x:v>
      </x:c>
      <x:c r="B1692" s="115" t="str">
        <x:v>EXT-MONDE-T034</x:v>
      </x:c>
      <x:c r="C1692" s="115" t="str">
        <x:v>Échangeurs</x:v>
      </x:c>
      <x:c r="D1692" s="115" t="str">
        <x:v>Échangeur en trompette</x:v>
      </x:c>
      <x:c r="E1692" s="115" t="n">
        <x:v>37</x:v>
      </x:c>
      <x:c r="F1692" s="115" t="str">
        <x:v>Inspection physique</x:v>
      </x:c>
      <x:c r="G1692" s="115" t="str">
        <x:v>1 niveaux ; 34 pièces ; 260 segments de mur ; 0 transitions. Inspection physique ; architecture complète encore ouverte.</x:v>
      </x:c>
      <x:c r="H1692" s="115" t="str">
        <x:v>L 1440 ; l 1680 ; hauteur 8 m ; choix de composition auteur ; dimensions réelles à documenter</x:v>
      </x:c>
      <x:c r="I1692" s="115" t="str">
        <x:v>À équilibrer</x:v>
      </x:c>
      <x:c r="J1692" s="115" t="str">
        <x:v>Non</x:v>
      </x:c>
      <x:c r="K1692" s="115" t="str">
        <x:v>Pièces décrites, murs, portes, niveaux et mobilier inspectables à l’échelle. Volumes réservés, raccord au seed, butin, rencontres et services de campagne restent à terminer.</x:v>
      </x:c>
    </x:row>
    <x:row r="1693" ht="96" customHeight="1">
      <x:c r="A1693" s="115" t="str">
        <x:v>EXT-MONDE-T034-V38</x:v>
      </x:c>
      <x:c r="B1693" s="115" t="str">
        <x:v>EXT-MONDE-T034</x:v>
      </x:c>
      <x:c r="C1693" s="115" t="str">
        <x:v>Échangeurs</x:v>
      </x:c>
      <x:c r="D1693" s="115" t="str">
        <x:v>Échangeur en trompette</x:v>
      </x:c>
      <x:c r="E1693" s="115" t="n">
        <x:v>38</x:v>
      </x:c>
      <x:c r="F1693" s="115" t="str">
        <x:v>Inspection physique</x:v>
      </x:c>
      <x:c r="G1693" s="115" t="str">
        <x:v>1 niveaux ; 34 pièces ; 260 segments de mur ; 0 transitions. Inspection physique ; architecture complète encore ouverte.</x:v>
      </x:c>
      <x:c r="H1693" s="115" t="str">
        <x:v>L 1440 ; l 1680 ; hauteur 8 m ; choix de composition auteur ; dimensions réelles à documenter</x:v>
      </x:c>
      <x:c r="I1693" s="115" t="str">
        <x:v>À équilibrer</x:v>
      </x:c>
      <x:c r="J1693" s="115" t="str">
        <x:v>Non</x:v>
      </x:c>
      <x:c r="K1693" s="115" t="str">
        <x:v>Pièces décrites, murs, portes, niveaux et mobilier inspectables à l’échelle. Volumes réservés, raccord au seed, butin, rencontres et services de campagne restent à terminer.</x:v>
      </x:c>
    </x:row>
    <x:row r="1694" ht="96" customHeight="1">
      <x:c r="A1694" s="115" t="str">
        <x:v>EXT-MONDE-T034-V39</x:v>
      </x:c>
      <x:c r="B1694" s="115" t="str">
        <x:v>EXT-MONDE-T034</x:v>
      </x:c>
      <x:c r="C1694" s="115" t="str">
        <x:v>Échangeurs</x:v>
      </x:c>
      <x:c r="D1694" s="115" t="str">
        <x:v>Échangeur en trompette</x:v>
      </x:c>
      <x:c r="E1694" s="115" t="n">
        <x:v>39</x:v>
      </x:c>
      <x:c r="F1694" s="115" t="str">
        <x:v>Inspection physique</x:v>
      </x:c>
      <x:c r="G1694" s="115" t="str">
        <x:v>1 niveaux ; 34 pièces ; 260 segments de mur ; 0 transitions. Inspection physique ; architecture complète encore ouverte.</x:v>
      </x:c>
      <x:c r="H1694" s="115" t="str">
        <x:v>L 1440 ; l 1680 ; hauteur 8 m ; choix de composition auteur ; dimensions réelles à documenter</x:v>
      </x:c>
      <x:c r="I1694" s="115" t="str">
        <x:v>À équilibrer</x:v>
      </x:c>
      <x:c r="J1694" s="115" t="str">
        <x:v>Non</x:v>
      </x:c>
      <x:c r="K1694" s="115" t="str">
        <x:v>Pièces décrites, murs, portes, niveaux et mobilier inspectables à l’échelle. Volumes réservés, raccord au seed, butin, rencontres et services de campagne restent à terminer.</x:v>
      </x:c>
    </x:row>
    <x:row r="1695" ht="96" customHeight="1">
      <x:c r="A1695" s="115" t="str">
        <x:v>EXT-MONDE-T034-V40</x:v>
      </x:c>
      <x:c r="B1695" s="115" t="str">
        <x:v>EXT-MONDE-T034</x:v>
      </x:c>
      <x:c r="C1695" s="115" t="str">
        <x:v>Échangeurs</x:v>
      </x:c>
      <x:c r="D1695" s="115" t="str">
        <x:v>Échangeur en trompette</x:v>
      </x:c>
      <x:c r="E1695" s="115" t="n">
        <x:v>40</x:v>
      </x:c>
      <x:c r="F1695" s="115" t="str">
        <x:v>Inspection physique</x:v>
      </x:c>
      <x:c r="G1695" s="115" t="str">
        <x:v>1 niveaux ; 34 pièces ; 260 segments de mur ; 0 transitions. Inspection physique ; architecture complète encore ouverte.</x:v>
      </x:c>
      <x:c r="H1695" s="115" t="str">
        <x:v>L 1440 ; l 1680 ; hauteur 8 m ; choix de composition auteur ; dimensions réelles à documenter</x:v>
      </x:c>
      <x:c r="I1695" s="115" t="str">
        <x:v>À équilibrer</x:v>
      </x:c>
      <x:c r="J1695" s="115" t="str">
        <x:v>Non</x:v>
      </x:c>
      <x:c r="K1695" s="115" t="str">
        <x:v>Pièces décrites, murs, portes, niveaux et mobilier inspectables à l’échelle. Volumes réservés, raccord au seed, butin, rencontres et services de campagne restent à terminer.</x:v>
      </x:c>
    </x:row>
    <x:row r="1696" ht="96" customHeight="1">
      <x:c r="A1696" s="115" t="str">
        <x:v>EXT-MONDE-T034-V41</x:v>
      </x:c>
      <x:c r="B1696" s="115" t="str">
        <x:v>EXT-MONDE-T034</x:v>
      </x:c>
      <x:c r="C1696" s="115" t="str">
        <x:v>Échangeurs</x:v>
      </x:c>
      <x:c r="D1696" s="115" t="str">
        <x:v>Échangeur en trompette</x:v>
      </x:c>
      <x:c r="E1696" s="115" t="n">
        <x:v>41</x:v>
      </x:c>
      <x:c r="F1696" s="115" t="str">
        <x:v>Inspection physique</x:v>
      </x:c>
      <x:c r="G1696" s="115" t="str">
        <x:v>1 niveaux ; 34 pièces ; 260 segments de mur ; 0 transitions. Inspection physique ; architecture complète encore ouverte.</x:v>
      </x:c>
      <x:c r="H1696" s="115" t="str">
        <x:v>L 1520 ; l 1840 ; hauteur 8 m ; choix de composition auteur ; dimensions réelles à documenter</x:v>
      </x:c>
      <x:c r="I1696" s="115" t="str">
        <x:v>À équilibrer</x:v>
      </x:c>
      <x:c r="J1696" s="115" t="str">
        <x:v>Non</x:v>
      </x:c>
      <x:c r="K1696" s="115" t="str">
        <x:v>Pièces décrites, murs, portes, niveaux et mobilier inspectables à l’échelle. Volumes réservés, raccord au seed, butin, rencontres et services de campagne restent à terminer.</x:v>
      </x:c>
    </x:row>
    <x:row r="1697" ht="96" customHeight="1">
      <x:c r="A1697" s="115" t="str">
        <x:v>EXT-MONDE-T034-V42</x:v>
      </x:c>
      <x:c r="B1697" s="115" t="str">
        <x:v>EXT-MONDE-T034</x:v>
      </x:c>
      <x:c r="C1697" s="115" t="str">
        <x:v>Échangeurs</x:v>
      </x:c>
      <x:c r="D1697" s="115" t="str">
        <x:v>Échangeur en trompette</x:v>
      </x:c>
      <x:c r="E1697" s="115" t="n">
        <x:v>42</x:v>
      </x:c>
      <x:c r="F1697" s="115" t="str">
        <x:v>Inspection physique</x:v>
      </x:c>
      <x:c r="G1697" s="115" t="str">
        <x:v>1 niveaux ; 34 pièces ; 260 segments de mur ; 0 transitions. Inspection physique ; architecture complète encore ouverte.</x:v>
      </x:c>
      <x:c r="H1697" s="115" t="str">
        <x:v>L 1520 ; l 1840 ; hauteur 8 m ; choix de composition auteur ; dimensions réelles à documenter</x:v>
      </x:c>
      <x:c r="I1697" s="115" t="str">
        <x:v>À équilibrer</x:v>
      </x:c>
      <x:c r="J1697" s="115" t="str">
        <x:v>Non</x:v>
      </x:c>
      <x:c r="K1697" s="115" t="str">
        <x:v>Pièces décrites, murs, portes, niveaux et mobilier inspectables à l’échelle. Volumes réservés, raccord au seed, butin, rencontres et services de campagne restent à terminer.</x:v>
      </x:c>
    </x:row>
    <x:row r="1698" ht="96" customHeight="1">
      <x:c r="A1698" s="115" t="str">
        <x:v>EXT-MONDE-T034-V43</x:v>
      </x:c>
      <x:c r="B1698" s="115" t="str">
        <x:v>EXT-MONDE-T034</x:v>
      </x:c>
      <x:c r="C1698" s="115" t="str">
        <x:v>Échangeurs</x:v>
      </x:c>
      <x:c r="D1698" s="115" t="str">
        <x:v>Échangeur en trompette</x:v>
      </x:c>
      <x:c r="E1698" s="115" t="n">
        <x:v>43</x:v>
      </x:c>
      <x:c r="F1698" s="115" t="str">
        <x:v>Inspection physique</x:v>
      </x:c>
      <x:c r="G1698" s="115" t="str">
        <x:v>1 niveaux ; 34 pièces ; 260 segments de mur ; 0 transitions. Inspection physique ; architecture complète encore ouverte.</x:v>
      </x:c>
      <x:c r="H1698" s="115" t="str">
        <x:v>L 1520 ; l 1840 ; hauteur 8 m ; choix de composition auteur ; dimensions réelles à documenter</x:v>
      </x:c>
      <x:c r="I1698" s="115" t="str">
        <x:v>À équilibrer</x:v>
      </x:c>
      <x:c r="J1698" s="115" t="str">
        <x:v>Non</x:v>
      </x:c>
      <x:c r="K1698" s="115" t="str">
        <x:v>Pièces décrites, murs, portes, niveaux et mobilier inspectables à l’échelle. Volumes réservés, raccord au seed, butin, rencontres et services de campagne restent à terminer.</x:v>
      </x:c>
    </x:row>
    <x:row r="1699" ht="96" customHeight="1">
      <x:c r="A1699" s="115" t="str">
        <x:v>EXT-MONDE-T034-V44</x:v>
      </x:c>
      <x:c r="B1699" s="115" t="str">
        <x:v>EXT-MONDE-T034</x:v>
      </x:c>
      <x:c r="C1699" s="115" t="str">
        <x:v>Échangeurs</x:v>
      </x:c>
      <x:c r="D1699" s="115" t="str">
        <x:v>Échangeur en trompette</x:v>
      </x:c>
      <x:c r="E1699" s="115" t="n">
        <x:v>44</x:v>
      </x:c>
      <x:c r="F1699" s="115" t="str">
        <x:v>Inspection physique</x:v>
      </x:c>
      <x:c r="G1699" s="115" t="str">
        <x:v>1 niveaux ; 34 pièces ; 260 segments de mur ; 0 transitions. Inspection physique ; architecture complète encore ouverte.</x:v>
      </x:c>
      <x:c r="H1699" s="115" t="str">
        <x:v>L 1520 ; l 1840 ; hauteur 8 m ; choix de composition auteur ; dimensions réelles à documenter</x:v>
      </x:c>
      <x:c r="I1699" s="115" t="str">
        <x:v>À équilibrer</x:v>
      </x:c>
      <x:c r="J1699" s="115" t="str">
        <x:v>Non</x:v>
      </x:c>
      <x:c r="K1699" s="115" t="str">
        <x:v>Pièces décrites, murs, portes, niveaux et mobilier inspectables à l’échelle. Volumes réservés, raccord au seed, butin, rencontres et services de campagne restent à terminer.</x:v>
      </x:c>
    </x:row>
    <x:row r="1700" ht="96" customHeight="1">
      <x:c r="A1700" s="115" t="str">
        <x:v>EXT-MONDE-T034-V45</x:v>
      </x:c>
      <x:c r="B1700" s="115" t="str">
        <x:v>EXT-MONDE-T034</x:v>
      </x:c>
      <x:c r="C1700" s="115" t="str">
        <x:v>Échangeurs</x:v>
      </x:c>
      <x:c r="D1700" s="115" t="str">
        <x:v>Échangeur en trompette</x:v>
      </x:c>
      <x:c r="E1700" s="115" t="n">
        <x:v>45</x:v>
      </x:c>
      <x:c r="F1700" s="115" t="str">
        <x:v>Inspection physique</x:v>
      </x:c>
      <x:c r="G1700" s="115" t="str">
        <x:v>1 niveaux ; 34 pièces ; 260 segments de mur ; 0 transitions. Inspection physique ; architecture complète encore ouverte.</x:v>
      </x:c>
      <x:c r="H1700" s="115" t="str">
        <x:v>L 1520 ; l 1840 ; hauteur 8 m ; choix de composition auteur ; dimensions réelles à documenter</x:v>
      </x:c>
      <x:c r="I1700" s="115" t="str">
        <x:v>À équilibrer</x:v>
      </x:c>
      <x:c r="J1700" s="115" t="str">
        <x:v>Non</x:v>
      </x:c>
      <x:c r="K1700" s="115" t="str">
        <x:v>Pièces décrites, murs, portes, niveaux et mobilier inspectables à l’échelle. Volumes réservés, raccord au seed, butin, rencontres et services de campagne restent à terminer.</x:v>
      </x:c>
    </x:row>
    <x:row r="1701" ht="96" customHeight="1">
      <x:c r="A1701" s="115" t="str">
        <x:v>EXT-MONDE-T034-V46</x:v>
      </x:c>
      <x:c r="B1701" s="115" t="str">
        <x:v>EXT-MONDE-T034</x:v>
      </x:c>
      <x:c r="C1701" s="115" t="str">
        <x:v>Échangeurs</x:v>
      </x:c>
      <x:c r="D1701" s="115" t="str">
        <x:v>Échangeur en trompette</x:v>
      </x:c>
      <x:c r="E1701" s="115" t="n">
        <x:v>46</x:v>
      </x:c>
      <x:c r="F1701" s="115" t="str">
        <x:v>Inspection physique</x:v>
      </x:c>
      <x:c r="G1701" s="115" t="str">
        <x:v>1 niveaux ; 34 pièces ; 260 segments de mur ; 0 transitions. Inspection physique ; architecture complète encore ouverte.</x:v>
      </x:c>
      <x:c r="H1701" s="115" t="str">
        <x:v>L 1520 ; l 1840 ; hauteur 8 m ; choix de composition auteur ; dimensions réelles à documenter</x:v>
      </x:c>
      <x:c r="I1701" s="115" t="str">
        <x:v>À équilibrer</x:v>
      </x:c>
      <x:c r="J1701" s="115" t="str">
        <x:v>Non</x:v>
      </x:c>
      <x:c r="K1701" s="115" t="str">
        <x:v>Pièces décrites, murs, portes, niveaux et mobilier inspectables à l’échelle. Volumes réservés, raccord au seed, butin, rencontres et services de campagne restent à terminer.</x:v>
      </x:c>
    </x:row>
    <x:row r="1702" ht="96" customHeight="1">
      <x:c r="A1702" s="115" t="str">
        <x:v>EXT-MONDE-T034-V47</x:v>
      </x:c>
      <x:c r="B1702" s="115" t="str">
        <x:v>EXT-MONDE-T034</x:v>
      </x:c>
      <x:c r="C1702" s="115" t="str">
        <x:v>Échangeurs</x:v>
      </x:c>
      <x:c r="D1702" s="115" t="str">
        <x:v>Échangeur en trompette</x:v>
      </x:c>
      <x:c r="E1702" s="115" t="n">
        <x:v>47</x:v>
      </x:c>
      <x:c r="F1702" s="115" t="str">
        <x:v>Inspection physique</x:v>
      </x:c>
      <x:c r="G1702" s="115" t="str">
        <x:v>1 niveaux ; 34 pièces ; 260 segments de mur ; 0 transitions. Inspection physique ; architecture complète encore ouverte.</x:v>
      </x:c>
      <x:c r="H1702" s="115" t="str">
        <x:v>L 1520 ; l 1840 ; hauteur 8 m ; choix de composition auteur ; dimensions réelles à documenter</x:v>
      </x:c>
      <x:c r="I1702" s="115" t="str">
        <x:v>À équilibrer</x:v>
      </x:c>
      <x:c r="J1702" s="115" t="str">
        <x:v>Non</x:v>
      </x:c>
      <x:c r="K1702" s="115" t="str">
        <x:v>Pièces décrites, murs, portes, niveaux et mobilier inspectables à l’échelle. Volumes réservés, raccord au seed, butin, rencontres et services de campagne restent à terminer.</x:v>
      </x:c>
    </x:row>
    <x:row r="1703" ht="96" customHeight="1">
      <x:c r="A1703" s="115" t="str">
        <x:v>EXT-MONDE-T034-V48</x:v>
      </x:c>
      <x:c r="B1703" s="115" t="str">
        <x:v>EXT-MONDE-T034</x:v>
      </x:c>
      <x:c r="C1703" s="115" t="str">
        <x:v>Échangeurs</x:v>
      </x:c>
      <x:c r="D1703" s="115" t="str">
        <x:v>Échangeur en trompette</x:v>
      </x:c>
      <x:c r="E1703" s="115" t="n">
        <x:v>48</x:v>
      </x:c>
      <x:c r="F1703" s="115" t="str">
        <x:v>Inspection physique</x:v>
      </x:c>
      <x:c r="G1703" s="115" t="str">
        <x:v>1 niveaux ; 34 pièces ; 260 segments de mur ; 0 transitions. Inspection physique ; architecture complète encore ouverte.</x:v>
      </x:c>
      <x:c r="H1703" s="115" t="str">
        <x:v>L 1520 ; l 1840 ; hauteur 8 m ; choix de composition auteur ; dimensions réelles à documenter</x:v>
      </x:c>
      <x:c r="I1703" s="115" t="str">
        <x:v>À équilibrer</x:v>
      </x:c>
      <x:c r="J1703" s="115" t="str">
        <x:v>Non</x:v>
      </x:c>
      <x:c r="K1703" s="115" t="str">
        <x:v>Pièces décrites, murs, portes, niveaux et mobilier inspectables à l’échelle. Volumes réservés, raccord au seed, butin, rencontres et services de campagne restent à terminer.</x:v>
      </x:c>
    </x:row>
    <x:row r="1704" ht="96" customHeight="1">
      <x:c r="A1704" s="115" t="str">
        <x:v>EXT-MONDE-T034-V49</x:v>
      </x:c>
      <x:c r="B1704" s="115" t="str">
        <x:v>EXT-MONDE-T034</x:v>
      </x:c>
      <x:c r="C1704" s="115" t="str">
        <x:v>Échangeurs</x:v>
      </x:c>
      <x:c r="D1704" s="115" t="str">
        <x:v>Échangeur en trompette</x:v>
      </x:c>
      <x:c r="E1704" s="115" t="n">
        <x:v>49</x:v>
      </x:c>
      <x:c r="F1704" s="115" t="str">
        <x:v>Inspection physique</x:v>
      </x:c>
      <x:c r="G1704" s="115" t="str">
        <x:v>1 niveaux ; 34 pièces ; 260 segments de mur ; 0 transitions. Inspection physique ; architecture complète encore ouverte.</x:v>
      </x:c>
      <x:c r="H1704" s="115" t="str">
        <x:v>L 1520 ; l 1840 ; hauteur 8 m ; choix de composition auteur ; dimensions réelles à documenter</x:v>
      </x:c>
      <x:c r="I1704" s="115" t="str">
        <x:v>À équilibrer</x:v>
      </x:c>
      <x:c r="J1704" s="115" t="str">
        <x:v>Non</x:v>
      </x:c>
      <x:c r="K1704" s="115" t="str">
        <x:v>Pièces décrites, murs, portes, niveaux et mobilier inspectables à l’échelle. Volumes réservés, raccord au seed, butin, rencontres et services de campagne restent à terminer.</x:v>
      </x:c>
    </x:row>
    <x:row r="1705" ht="96" customHeight="1">
      <x:c r="A1705" s="115" t="str">
        <x:v>EXT-MONDE-T034-V50</x:v>
      </x:c>
      <x:c r="B1705" s="115" t="str">
        <x:v>EXT-MONDE-T034</x:v>
      </x:c>
      <x:c r="C1705" s="115" t="str">
        <x:v>Échangeurs</x:v>
      </x:c>
      <x:c r="D1705" s="115" t="str">
        <x:v>Échangeur en trompette</x:v>
      </x:c>
      <x:c r="E1705" s="115" t="n">
        <x:v>50</x:v>
      </x:c>
      <x:c r="F1705" s="115" t="str">
        <x:v>Inspection physique</x:v>
      </x:c>
      <x:c r="G1705" s="115" t="str">
        <x:v>1 niveaux ; 34 pièces ; 260 segments de mur ; 0 transitions. Inspection physique ; architecture complète encore ouverte.</x:v>
      </x:c>
      <x:c r="H1705" s="115" t="str">
        <x:v>L 1520 ; l 1840 ; hauteur 8 m ; choix de composition auteur ; dimensions réelles à documenter</x:v>
      </x:c>
      <x:c r="I1705" s="115" t="str">
        <x:v>À équilibrer</x:v>
      </x:c>
      <x:c r="J1705" s="115" t="str">
        <x:v>Non</x:v>
      </x:c>
      <x:c r="K1705" s="115" t="str">
        <x:v>Pièces décrites, murs, portes, niveaux et mobilier inspectables à l’échelle. Volumes réservés, raccord au seed, butin, rencontres et services de campagne restent à terminer.</x:v>
      </x:c>
    </x:row>
    <x:row r="1706" ht="96" customHeight="1">
      <x:c r="A1706" s="115" t="str">
        <x:v>EXT-MONDE-T035-V01</x:v>
      </x:c>
      <x:c r="B1706" s="115" t="str">
        <x:v>EXT-MONDE-T035</x:v>
      </x:c>
      <x:c r="C1706" s="115" t="str">
        <x:v>Échangeurs</x:v>
      </x:c>
      <x:c r="D1706" s="115" t="str">
        <x:v>Trèfle autoroutier</x:v>
      </x:c>
      <x:c r="E1706" s="115" t="n">
        <x:v>1</x:v>
      </x:c>
      <x:c r="F1706" s="115" t="str">
        <x:v>Inspection physique</x:v>
      </x:c>
      <x:c r="G1706" s="115" t="str">
        <x:v>1 niveaux ; 34 pièces ; 260 segments de mur ; 0 transitions. Inspection physique ; architecture complète encore ouverte.</x:v>
      </x:c>
      <x:c r="H1706" s="115" t="str">
        <x:v>L 1400 ; l 1400 ; hauteur 8 m ; choix de composition auteur ; dimensions réelles à documenter</x:v>
      </x:c>
      <x:c r="I1706" s="115" t="str">
        <x:v>À équilibrer</x:v>
      </x:c>
      <x:c r="J1706" s="115" t="str">
        <x:v>Non</x:v>
      </x:c>
      <x:c r="K1706" s="115" t="str">
        <x:v>Pièces décrites, murs, portes, niveaux et mobilier inspectables à l’échelle. Volumes réservés, raccord au seed, butin, rencontres et services de campagne restent à terminer.</x:v>
      </x:c>
    </x:row>
    <x:row r="1707" ht="96" customHeight="1">
      <x:c r="A1707" s="115" t="str">
        <x:v>EXT-MONDE-T035-V02</x:v>
      </x:c>
      <x:c r="B1707" s="115" t="str">
        <x:v>EXT-MONDE-T035</x:v>
      </x:c>
      <x:c r="C1707" s="115" t="str">
        <x:v>Échangeurs</x:v>
      </x:c>
      <x:c r="D1707" s="115" t="str">
        <x:v>Trèfle autoroutier</x:v>
      </x:c>
      <x:c r="E1707" s="115" t="n">
        <x:v>2</x:v>
      </x:c>
      <x:c r="F1707" s="115" t="str">
        <x:v>Inspection physique</x:v>
      </x:c>
      <x:c r="G1707" s="115" t="str">
        <x:v>1 niveaux ; 34 pièces ; 260 segments de mur ; 0 transitions. Inspection physique ; architecture complète encore ouverte.</x:v>
      </x:c>
      <x:c r="H1707" s="115" t="str">
        <x:v>L 1400 ; l 1400 ; hauteur 8 m ; choix de composition auteur ; dimensions réelles à documenter</x:v>
      </x:c>
      <x:c r="I1707" s="115" t="str">
        <x:v>À équilibrer</x:v>
      </x:c>
      <x:c r="J1707" s="115" t="str">
        <x:v>Non</x:v>
      </x:c>
      <x:c r="K1707" s="115" t="str">
        <x:v>Pièces décrites, murs, portes, niveaux et mobilier inspectables à l’échelle. Volumes réservés, raccord au seed, butin, rencontres et services de campagne restent à terminer.</x:v>
      </x:c>
    </x:row>
    <x:row r="1708" ht="96" customHeight="1">
      <x:c r="A1708" s="115" t="str">
        <x:v>EXT-MONDE-T035-V03</x:v>
      </x:c>
      <x:c r="B1708" s="115" t="str">
        <x:v>EXT-MONDE-T035</x:v>
      </x:c>
      <x:c r="C1708" s="115" t="str">
        <x:v>Échangeurs</x:v>
      </x:c>
      <x:c r="D1708" s="115" t="str">
        <x:v>Trèfle autoroutier</x:v>
      </x:c>
      <x:c r="E1708" s="115" t="n">
        <x:v>3</x:v>
      </x:c>
      <x:c r="F1708" s="115" t="str">
        <x:v>Inspection physique</x:v>
      </x:c>
      <x:c r="G1708" s="115" t="str">
        <x:v>1 niveaux ; 34 pièces ; 260 segments de mur ; 0 transitions. Inspection physique ; architecture complète encore ouverte.</x:v>
      </x:c>
      <x:c r="H1708" s="115" t="str">
        <x:v>L 1400 ; l 1400 ; hauteur 8 m ; choix de composition auteur ; dimensions réelles à documenter</x:v>
      </x:c>
      <x:c r="I1708" s="115" t="str">
        <x:v>À équilibrer</x:v>
      </x:c>
      <x:c r="J1708" s="115" t="str">
        <x:v>Non</x:v>
      </x:c>
      <x:c r="K1708" s="115" t="str">
        <x:v>Pièces décrites, murs, portes, niveaux et mobilier inspectables à l’échelle. Volumes réservés, raccord au seed, butin, rencontres et services de campagne restent à terminer.</x:v>
      </x:c>
    </x:row>
    <x:row r="1709" ht="96" customHeight="1">
      <x:c r="A1709" s="115" t="str">
        <x:v>EXT-MONDE-T035-V04</x:v>
      </x:c>
      <x:c r="B1709" s="115" t="str">
        <x:v>EXT-MONDE-T035</x:v>
      </x:c>
      <x:c r="C1709" s="115" t="str">
        <x:v>Échangeurs</x:v>
      </x:c>
      <x:c r="D1709" s="115" t="str">
        <x:v>Trèfle autoroutier</x:v>
      </x:c>
      <x:c r="E1709" s="115" t="n">
        <x:v>4</x:v>
      </x:c>
      <x:c r="F1709" s="115" t="str">
        <x:v>Inspection physique</x:v>
      </x:c>
      <x:c r="G1709" s="115" t="str">
        <x:v>1 niveaux ; 34 pièces ; 260 segments de mur ; 0 transitions. Inspection physique ; architecture complète encore ouverte.</x:v>
      </x:c>
      <x:c r="H1709" s="115" t="str">
        <x:v>L 1400 ; l 1400 ; hauteur 8 m ; choix de composition auteur ; dimensions réelles à documenter</x:v>
      </x:c>
      <x:c r="I1709" s="115" t="str">
        <x:v>À équilibrer</x:v>
      </x:c>
      <x:c r="J1709" s="115" t="str">
        <x:v>Non</x:v>
      </x:c>
      <x:c r="K1709" s="115" t="str">
        <x:v>Pièces décrites, murs, portes, niveaux et mobilier inspectables à l’échelle. Volumes réservés, raccord au seed, butin, rencontres et services de campagne restent à terminer.</x:v>
      </x:c>
    </x:row>
    <x:row r="1710" ht="96" customHeight="1">
      <x:c r="A1710" s="115" t="str">
        <x:v>EXT-MONDE-T035-V05</x:v>
      </x:c>
      <x:c r="B1710" s="115" t="str">
        <x:v>EXT-MONDE-T035</x:v>
      </x:c>
      <x:c r="C1710" s="115" t="str">
        <x:v>Échangeurs</x:v>
      </x:c>
      <x:c r="D1710" s="115" t="str">
        <x:v>Trèfle autoroutier</x:v>
      </x:c>
      <x:c r="E1710" s="115" t="n">
        <x:v>5</x:v>
      </x:c>
      <x:c r="F1710" s="115" t="str">
        <x:v>Inspection physique</x:v>
      </x:c>
      <x:c r="G1710" s="115" t="str">
        <x:v>1 niveaux ; 34 pièces ; 260 segments de mur ; 0 transitions. Inspection physique ; architecture complète encore ouverte.</x:v>
      </x:c>
      <x:c r="H1710" s="115" t="str">
        <x:v>L 1400 ; l 1400 ; hauteur 8 m ; choix de composition auteur ; dimensions réelles à documenter</x:v>
      </x:c>
      <x:c r="I1710" s="115" t="str">
        <x:v>À équilibrer</x:v>
      </x:c>
      <x:c r="J1710" s="115" t="str">
        <x:v>Non</x:v>
      </x:c>
      <x:c r="K1710" s="115" t="str">
        <x:v>Pièces décrites, murs, portes, niveaux et mobilier inspectables à l’échelle. Volumes réservés, raccord au seed, butin, rencontres et services de campagne restent à terminer.</x:v>
      </x:c>
    </x:row>
    <x:row r="1711" ht="96" customHeight="1">
      <x:c r="A1711" s="115" t="str">
        <x:v>EXT-MONDE-T035-V06</x:v>
      </x:c>
      <x:c r="B1711" s="115" t="str">
        <x:v>EXT-MONDE-T035</x:v>
      </x:c>
      <x:c r="C1711" s="115" t="str">
        <x:v>Échangeurs</x:v>
      </x:c>
      <x:c r="D1711" s="115" t="str">
        <x:v>Trèfle autoroutier</x:v>
      </x:c>
      <x:c r="E1711" s="115" t="n">
        <x:v>6</x:v>
      </x:c>
      <x:c r="F1711" s="115" t="str">
        <x:v>Inspection physique</x:v>
      </x:c>
      <x:c r="G1711" s="115" t="str">
        <x:v>1 niveaux ; 34 pièces ; 260 segments de mur ; 0 transitions. Inspection physique ; architecture complète encore ouverte.</x:v>
      </x:c>
      <x:c r="H1711" s="115" t="str">
        <x:v>L 1400 ; l 1400 ; hauteur 8 m ; choix de composition auteur ; dimensions réelles à documenter</x:v>
      </x:c>
      <x:c r="I1711" s="115" t="str">
        <x:v>À équilibrer</x:v>
      </x:c>
      <x:c r="J1711" s="115" t="str">
        <x:v>Non</x:v>
      </x:c>
      <x:c r="K1711" s="115" t="str">
        <x:v>Pièces décrites, murs, portes, niveaux et mobilier inspectables à l’échelle. Volumes réservés, raccord au seed, butin, rencontres et services de campagne restent à terminer.</x:v>
      </x:c>
    </x:row>
    <x:row r="1712" ht="96" customHeight="1">
      <x:c r="A1712" s="115" t="str">
        <x:v>EXT-MONDE-T035-V07</x:v>
      </x:c>
      <x:c r="B1712" s="115" t="str">
        <x:v>EXT-MONDE-T035</x:v>
      </x:c>
      <x:c r="C1712" s="115" t="str">
        <x:v>Échangeurs</x:v>
      </x:c>
      <x:c r="D1712" s="115" t="str">
        <x:v>Trèfle autoroutier</x:v>
      </x:c>
      <x:c r="E1712" s="115" t="n">
        <x:v>7</x:v>
      </x:c>
      <x:c r="F1712" s="115" t="str">
        <x:v>Inspection physique</x:v>
      </x:c>
      <x:c r="G1712" s="115" t="str">
        <x:v>1 niveaux ; 34 pièces ; 260 segments de mur ; 0 transitions. Inspection physique ; architecture complète encore ouverte.</x:v>
      </x:c>
      <x:c r="H1712" s="115" t="str">
        <x:v>L 1400 ; l 1400 ; hauteur 8 m ; choix de composition auteur ; dimensions réelles à documenter</x:v>
      </x:c>
      <x:c r="I1712" s="115" t="str">
        <x:v>À équilibrer</x:v>
      </x:c>
      <x:c r="J1712" s="115" t="str">
        <x:v>Non</x:v>
      </x:c>
      <x:c r="K1712" s="115" t="str">
        <x:v>Pièces décrites, murs, portes, niveaux et mobilier inspectables à l’échelle. Volumes réservés, raccord au seed, butin, rencontres et services de campagne restent à terminer.</x:v>
      </x:c>
    </x:row>
    <x:row r="1713" ht="96" customHeight="1">
      <x:c r="A1713" s="115" t="str">
        <x:v>EXT-MONDE-T035-V08</x:v>
      </x:c>
      <x:c r="B1713" s="115" t="str">
        <x:v>EXT-MONDE-T035</x:v>
      </x:c>
      <x:c r="C1713" s="115" t="str">
        <x:v>Échangeurs</x:v>
      </x:c>
      <x:c r="D1713" s="115" t="str">
        <x:v>Trèfle autoroutier</x:v>
      </x:c>
      <x:c r="E1713" s="115" t="n">
        <x:v>8</x:v>
      </x:c>
      <x:c r="F1713" s="115" t="str">
        <x:v>Inspection physique</x:v>
      </x:c>
      <x:c r="G1713" s="115" t="str">
        <x:v>1 niveaux ; 34 pièces ; 260 segments de mur ; 0 transitions. Inspection physique ; architecture complète encore ouverte.</x:v>
      </x:c>
      <x:c r="H1713" s="115" t="str">
        <x:v>L 1400 ; l 1400 ; hauteur 8 m ; choix de composition auteur ; dimensions réelles à documenter</x:v>
      </x:c>
      <x:c r="I1713" s="115" t="str">
        <x:v>À équilibrer</x:v>
      </x:c>
      <x:c r="J1713" s="115" t="str">
        <x:v>Non</x:v>
      </x:c>
      <x:c r="K1713" s="115" t="str">
        <x:v>Pièces décrites, murs, portes, niveaux et mobilier inspectables à l’échelle. Volumes réservés, raccord au seed, butin, rencontres et services de campagne restent à terminer.</x:v>
      </x:c>
    </x:row>
    <x:row r="1714" ht="96" customHeight="1">
      <x:c r="A1714" s="115" t="str">
        <x:v>EXT-MONDE-T035-V09</x:v>
      </x:c>
      <x:c r="B1714" s="115" t="str">
        <x:v>EXT-MONDE-T035</x:v>
      </x:c>
      <x:c r="C1714" s="115" t="str">
        <x:v>Échangeurs</x:v>
      </x:c>
      <x:c r="D1714" s="115" t="str">
        <x:v>Trèfle autoroutier</x:v>
      </x:c>
      <x:c r="E1714" s="115" t="n">
        <x:v>9</x:v>
      </x:c>
      <x:c r="F1714" s="115" t="str">
        <x:v>Inspection physique</x:v>
      </x:c>
      <x:c r="G1714" s="115" t="str">
        <x:v>1 niveaux ; 34 pièces ; 260 segments de mur ; 0 transitions. Inspection physique ; architecture complète encore ouverte.</x:v>
      </x:c>
      <x:c r="H1714" s="115" t="str">
        <x:v>L 1400 ; l 1400 ; hauteur 8 m ; choix de composition auteur ; dimensions réelles à documenter</x:v>
      </x:c>
      <x:c r="I1714" s="115" t="str">
        <x:v>À équilibrer</x:v>
      </x:c>
      <x:c r="J1714" s="115" t="str">
        <x:v>Non</x:v>
      </x:c>
      <x:c r="K1714" s="115" t="str">
        <x:v>Pièces décrites, murs, portes, niveaux et mobilier inspectables à l’échelle. Volumes réservés, raccord au seed, butin, rencontres et services de campagne restent à terminer.</x:v>
      </x:c>
    </x:row>
    <x:row r="1715" ht="96" customHeight="1">
      <x:c r="A1715" s="115" t="str">
        <x:v>EXT-MONDE-T035-V10</x:v>
      </x:c>
      <x:c r="B1715" s="115" t="str">
        <x:v>EXT-MONDE-T035</x:v>
      </x:c>
      <x:c r="C1715" s="115" t="str">
        <x:v>Échangeurs</x:v>
      </x:c>
      <x:c r="D1715" s="115" t="str">
        <x:v>Trèfle autoroutier</x:v>
      </x:c>
      <x:c r="E1715" s="115" t="n">
        <x:v>10</x:v>
      </x:c>
      <x:c r="F1715" s="115" t="str">
        <x:v>Inspection physique</x:v>
      </x:c>
      <x:c r="G1715" s="115" t="str">
        <x:v>1 niveaux ; 34 pièces ; 260 segments de mur ; 0 transitions. Inspection physique ; architecture complète encore ouverte.</x:v>
      </x:c>
      <x:c r="H1715" s="115" t="str">
        <x:v>L 1400 ; l 1400 ; hauteur 8 m ; choix de composition auteur ; dimensions réelles à documenter</x:v>
      </x:c>
      <x:c r="I1715" s="115" t="str">
        <x:v>À équilibrer</x:v>
      </x:c>
      <x:c r="J1715" s="115" t="str">
        <x:v>Non</x:v>
      </x:c>
      <x:c r="K1715" s="115" t="str">
        <x:v>Pièces décrites, murs, portes, niveaux et mobilier inspectables à l’échelle. Volumes réservés, raccord au seed, butin, rencontres et services de campagne restent à terminer.</x:v>
      </x:c>
    </x:row>
    <x:row r="1716" ht="96" customHeight="1">
      <x:c r="A1716" s="115" t="str">
        <x:v>EXT-MONDE-T035-V11</x:v>
      </x:c>
      <x:c r="B1716" s="115" t="str">
        <x:v>EXT-MONDE-T035</x:v>
      </x:c>
      <x:c r="C1716" s="115" t="str">
        <x:v>Échangeurs</x:v>
      </x:c>
      <x:c r="D1716" s="115" t="str">
        <x:v>Trèfle autoroutier</x:v>
      </x:c>
      <x:c r="E1716" s="115" t="n">
        <x:v>11</x:v>
      </x:c>
      <x:c r="F1716" s="115" t="str">
        <x:v>Inspection physique</x:v>
      </x:c>
      <x:c r="G1716" s="115" t="str">
        <x:v>1 niveaux ; 34 pièces ; 260 segments de mur ; 0 transitions. Inspection physique ; architecture complète encore ouverte.</x:v>
      </x:c>
      <x:c r="H1716" s="115" t="str">
        <x:v>L 1480 ; l 1560 ; hauteur 8 m ; choix de composition auteur ; dimensions réelles à documenter</x:v>
      </x:c>
      <x:c r="I1716" s="115" t="str">
        <x:v>À équilibrer</x:v>
      </x:c>
      <x:c r="J1716" s="115" t="str">
        <x:v>Non</x:v>
      </x:c>
      <x:c r="K1716" s="115" t="str">
        <x:v>Pièces décrites, murs, portes, niveaux et mobilier inspectables à l’échelle. Volumes réservés, raccord au seed, butin, rencontres et services de campagne restent à terminer.</x:v>
      </x:c>
    </x:row>
    <x:row r="1717" ht="96" customHeight="1">
      <x:c r="A1717" s="115" t="str">
        <x:v>EXT-MONDE-T035-V12</x:v>
      </x:c>
      <x:c r="B1717" s="115" t="str">
        <x:v>EXT-MONDE-T035</x:v>
      </x:c>
      <x:c r="C1717" s="115" t="str">
        <x:v>Échangeurs</x:v>
      </x:c>
      <x:c r="D1717" s="115" t="str">
        <x:v>Trèfle autoroutier</x:v>
      </x:c>
      <x:c r="E1717" s="115" t="n">
        <x:v>12</x:v>
      </x:c>
      <x:c r="F1717" s="115" t="str">
        <x:v>Inspection physique</x:v>
      </x:c>
      <x:c r="G1717" s="115" t="str">
        <x:v>1 niveaux ; 34 pièces ; 260 segments de mur ; 0 transitions. Inspection physique ; architecture complète encore ouverte.</x:v>
      </x:c>
      <x:c r="H1717" s="115" t="str">
        <x:v>L 1480 ; l 1560 ; hauteur 8 m ; choix de composition auteur ; dimensions réelles à documenter</x:v>
      </x:c>
      <x:c r="I1717" s="115" t="str">
        <x:v>À équilibrer</x:v>
      </x:c>
      <x:c r="J1717" s="115" t="str">
        <x:v>Non</x:v>
      </x:c>
      <x:c r="K1717" s="115" t="str">
        <x:v>Pièces décrites, murs, portes, niveaux et mobilier inspectables à l’échelle. Volumes réservés, raccord au seed, butin, rencontres et services de campagne restent à terminer.</x:v>
      </x:c>
    </x:row>
    <x:row r="1718" ht="96" customHeight="1">
      <x:c r="A1718" s="115" t="str">
        <x:v>EXT-MONDE-T035-V13</x:v>
      </x:c>
      <x:c r="B1718" s="115" t="str">
        <x:v>EXT-MONDE-T035</x:v>
      </x:c>
      <x:c r="C1718" s="115" t="str">
        <x:v>Échangeurs</x:v>
      </x:c>
      <x:c r="D1718" s="115" t="str">
        <x:v>Trèfle autoroutier</x:v>
      </x:c>
      <x:c r="E1718" s="115" t="n">
        <x:v>13</x:v>
      </x:c>
      <x:c r="F1718" s="115" t="str">
        <x:v>Inspection physique</x:v>
      </x:c>
      <x:c r="G1718" s="115" t="str">
        <x:v>1 niveaux ; 34 pièces ; 260 segments de mur ; 0 transitions. Inspection physique ; architecture complète encore ouverte.</x:v>
      </x:c>
      <x:c r="H1718" s="115" t="str">
        <x:v>L 1480 ; l 1560 ; hauteur 8 m ; choix de composition auteur ; dimensions réelles à documenter</x:v>
      </x:c>
      <x:c r="I1718" s="115" t="str">
        <x:v>À équilibrer</x:v>
      </x:c>
      <x:c r="J1718" s="115" t="str">
        <x:v>Non</x:v>
      </x:c>
      <x:c r="K1718" s="115" t="str">
        <x:v>Pièces décrites, murs, portes, niveaux et mobilier inspectables à l’échelle. Volumes réservés, raccord au seed, butin, rencontres et services de campagne restent à terminer.</x:v>
      </x:c>
    </x:row>
    <x:row r="1719" ht="96" customHeight="1">
      <x:c r="A1719" s="115" t="str">
        <x:v>EXT-MONDE-T035-V14</x:v>
      </x:c>
      <x:c r="B1719" s="115" t="str">
        <x:v>EXT-MONDE-T035</x:v>
      </x:c>
      <x:c r="C1719" s="115" t="str">
        <x:v>Échangeurs</x:v>
      </x:c>
      <x:c r="D1719" s="115" t="str">
        <x:v>Trèfle autoroutier</x:v>
      </x:c>
      <x:c r="E1719" s="115" t="n">
        <x:v>14</x:v>
      </x:c>
      <x:c r="F1719" s="115" t="str">
        <x:v>Inspection physique</x:v>
      </x:c>
      <x:c r="G1719" s="115" t="str">
        <x:v>1 niveaux ; 34 pièces ; 260 segments de mur ; 0 transitions. Inspection physique ; architecture complète encore ouverte.</x:v>
      </x:c>
      <x:c r="H1719" s="115" t="str">
        <x:v>L 1480 ; l 1560 ; hauteur 8 m ; choix de composition auteur ; dimensions réelles à documenter</x:v>
      </x:c>
      <x:c r="I1719" s="115" t="str">
        <x:v>À équilibrer</x:v>
      </x:c>
      <x:c r="J1719" s="115" t="str">
        <x:v>Non</x:v>
      </x:c>
      <x:c r="K1719" s="115" t="str">
        <x:v>Pièces décrites, murs, portes, niveaux et mobilier inspectables à l’échelle. Volumes réservés, raccord au seed, butin, rencontres et services de campagne restent à terminer.</x:v>
      </x:c>
    </x:row>
    <x:row r="1720" ht="96" customHeight="1">
      <x:c r="A1720" s="115" t="str">
        <x:v>EXT-MONDE-T035-V15</x:v>
      </x:c>
      <x:c r="B1720" s="115" t="str">
        <x:v>EXT-MONDE-T035</x:v>
      </x:c>
      <x:c r="C1720" s="115" t="str">
        <x:v>Échangeurs</x:v>
      </x:c>
      <x:c r="D1720" s="115" t="str">
        <x:v>Trèfle autoroutier</x:v>
      </x:c>
      <x:c r="E1720" s="115" t="n">
        <x:v>15</x:v>
      </x:c>
      <x:c r="F1720" s="115" t="str">
        <x:v>Inspection physique</x:v>
      </x:c>
      <x:c r="G1720" s="115" t="str">
        <x:v>1 niveaux ; 34 pièces ; 260 segments de mur ; 0 transitions. Inspection physique ; architecture complète encore ouverte.</x:v>
      </x:c>
      <x:c r="H1720" s="115" t="str">
        <x:v>L 1480 ; l 1560 ; hauteur 8 m ; choix de composition auteur ; dimensions réelles à documenter</x:v>
      </x:c>
      <x:c r="I1720" s="115" t="str">
        <x:v>À équilibrer</x:v>
      </x:c>
      <x:c r="J1720" s="115" t="str">
        <x:v>Non</x:v>
      </x:c>
      <x:c r="K1720" s="115" t="str">
        <x:v>Pièces décrites, murs, portes, niveaux et mobilier inspectables à l’échelle. Volumes réservés, raccord au seed, butin, rencontres et services de campagne restent à terminer.</x:v>
      </x:c>
    </x:row>
    <x:row r="1721" ht="96" customHeight="1">
      <x:c r="A1721" s="115" t="str">
        <x:v>EXT-MONDE-T035-V16</x:v>
      </x:c>
      <x:c r="B1721" s="115" t="str">
        <x:v>EXT-MONDE-T035</x:v>
      </x:c>
      <x:c r="C1721" s="115" t="str">
        <x:v>Échangeurs</x:v>
      </x:c>
      <x:c r="D1721" s="115" t="str">
        <x:v>Trèfle autoroutier</x:v>
      </x:c>
      <x:c r="E1721" s="115" t="n">
        <x:v>16</x:v>
      </x:c>
      <x:c r="F1721" s="115" t="str">
        <x:v>Inspection physique</x:v>
      </x:c>
      <x:c r="G1721" s="115" t="str">
        <x:v>1 niveaux ; 34 pièces ; 260 segments de mur ; 0 transitions. Inspection physique ; architecture complète encore ouverte.</x:v>
      </x:c>
      <x:c r="H1721" s="115" t="str">
        <x:v>L 1480 ; l 1560 ; hauteur 8 m ; choix de composition auteur ; dimensions réelles à documenter</x:v>
      </x:c>
      <x:c r="I1721" s="115" t="str">
        <x:v>À équilibrer</x:v>
      </x:c>
      <x:c r="J1721" s="115" t="str">
        <x:v>Non</x:v>
      </x:c>
      <x:c r="K1721" s="115" t="str">
        <x:v>Pièces décrites, murs, portes, niveaux et mobilier inspectables à l’échelle. Volumes réservés, raccord au seed, butin, rencontres et services de campagne restent à terminer.</x:v>
      </x:c>
    </x:row>
    <x:row r="1722" ht="96" customHeight="1">
      <x:c r="A1722" s="115" t="str">
        <x:v>EXT-MONDE-T035-V17</x:v>
      </x:c>
      <x:c r="B1722" s="115" t="str">
        <x:v>EXT-MONDE-T035</x:v>
      </x:c>
      <x:c r="C1722" s="115" t="str">
        <x:v>Échangeurs</x:v>
      </x:c>
      <x:c r="D1722" s="115" t="str">
        <x:v>Trèfle autoroutier</x:v>
      </x:c>
      <x:c r="E1722" s="115" t="n">
        <x:v>17</x:v>
      </x:c>
      <x:c r="F1722" s="115" t="str">
        <x:v>Inspection physique</x:v>
      </x:c>
      <x:c r="G1722" s="115" t="str">
        <x:v>1 niveaux ; 34 pièces ; 260 segments de mur ; 0 transitions. Inspection physique ; architecture complète encore ouverte.</x:v>
      </x:c>
      <x:c r="H1722" s="115" t="str">
        <x:v>L 1480 ; l 1560 ; hauteur 8 m ; choix de composition auteur ; dimensions réelles à documenter</x:v>
      </x:c>
      <x:c r="I1722" s="115" t="str">
        <x:v>À équilibrer</x:v>
      </x:c>
      <x:c r="J1722" s="115" t="str">
        <x:v>Non</x:v>
      </x:c>
      <x:c r="K1722" s="115" t="str">
        <x:v>Pièces décrites, murs, portes, niveaux et mobilier inspectables à l’échelle. Volumes réservés, raccord au seed, butin, rencontres et services de campagne restent à terminer.</x:v>
      </x:c>
    </x:row>
    <x:row r="1723" ht="96" customHeight="1">
      <x:c r="A1723" s="115" t="str">
        <x:v>EXT-MONDE-T035-V18</x:v>
      </x:c>
      <x:c r="B1723" s="115" t="str">
        <x:v>EXT-MONDE-T035</x:v>
      </x:c>
      <x:c r="C1723" s="115" t="str">
        <x:v>Échangeurs</x:v>
      </x:c>
      <x:c r="D1723" s="115" t="str">
        <x:v>Trèfle autoroutier</x:v>
      </x:c>
      <x:c r="E1723" s="115" t="n">
        <x:v>18</x:v>
      </x:c>
      <x:c r="F1723" s="115" t="str">
        <x:v>Inspection physique</x:v>
      </x:c>
      <x:c r="G1723" s="115" t="str">
        <x:v>1 niveaux ; 34 pièces ; 260 segments de mur ; 0 transitions. Inspection physique ; architecture complète encore ouverte.</x:v>
      </x:c>
      <x:c r="H1723" s="115" t="str">
        <x:v>L 1480 ; l 1560 ; hauteur 8 m ; choix de composition auteur ; dimensions réelles à documenter</x:v>
      </x:c>
      <x:c r="I1723" s="115" t="str">
        <x:v>À équilibrer</x:v>
      </x:c>
      <x:c r="J1723" s="115" t="str">
        <x:v>Non</x:v>
      </x:c>
      <x:c r="K1723" s="115" t="str">
        <x:v>Pièces décrites, murs, portes, niveaux et mobilier inspectables à l’échelle. Volumes réservés, raccord au seed, butin, rencontres et services de campagne restent à terminer.</x:v>
      </x:c>
    </x:row>
    <x:row r="1724" ht="96" customHeight="1">
      <x:c r="A1724" s="115" t="str">
        <x:v>EXT-MONDE-T035-V19</x:v>
      </x:c>
      <x:c r="B1724" s="115" t="str">
        <x:v>EXT-MONDE-T035</x:v>
      </x:c>
      <x:c r="C1724" s="115" t="str">
        <x:v>Échangeurs</x:v>
      </x:c>
      <x:c r="D1724" s="115" t="str">
        <x:v>Trèfle autoroutier</x:v>
      </x:c>
      <x:c r="E1724" s="115" t="n">
        <x:v>19</x:v>
      </x:c>
      <x:c r="F1724" s="115" t="str">
        <x:v>Inspection physique</x:v>
      </x:c>
      <x:c r="G1724" s="115" t="str">
        <x:v>1 niveaux ; 34 pièces ; 260 segments de mur ; 0 transitions. Inspection physique ; architecture complète encore ouverte.</x:v>
      </x:c>
      <x:c r="H1724" s="115" t="str">
        <x:v>L 1480 ; l 1560 ; hauteur 8 m ; choix de composition auteur ; dimensions réelles à documenter</x:v>
      </x:c>
      <x:c r="I1724" s="115" t="str">
        <x:v>À équilibrer</x:v>
      </x:c>
      <x:c r="J1724" s="115" t="str">
        <x:v>Non</x:v>
      </x:c>
      <x:c r="K1724" s="115" t="str">
        <x:v>Pièces décrites, murs, portes, niveaux et mobilier inspectables à l’échelle. Volumes réservés, raccord au seed, butin, rencontres et services de campagne restent à terminer.</x:v>
      </x:c>
    </x:row>
    <x:row r="1725" ht="96" customHeight="1">
      <x:c r="A1725" s="115" t="str">
        <x:v>EXT-MONDE-T035-V20</x:v>
      </x:c>
      <x:c r="B1725" s="115" t="str">
        <x:v>EXT-MONDE-T035</x:v>
      </x:c>
      <x:c r="C1725" s="115" t="str">
        <x:v>Échangeurs</x:v>
      </x:c>
      <x:c r="D1725" s="115" t="str">
        <x:v>Trèfle autoroutier</x:v>
      </x:c>
      <x:c r="E1725" s="115" t="n">
        <x:v>20</x:v>
      </x:c>
      <x:c r="F1725" s="115" t="str">
        <x:v>Inspection physique</x:v>
      </x:c>
      <x:c r="G1725" s="115" t="str">
        <x:v>1 niveaux ; 34 pièces ; 260 segments de mur ; 0 transitions. Inspection physique ; architecture complète encore ouverte.</x:v>
      </x:c>
      <x:c r="H1725" s="115" t="str">
        <x:v>L 1480 ; l 1560 ; hauteur 8 m ; choix de composition auteur ; dimensions réelles à documenter</x:v>
      </x:c>
      <x:c r="I1725" s="115" t="str">
        <x:v>À équilibrer</x:v>
      </x:c>
      <x:c r="J1725" s="115" t="str">
        <x:v>Non</x:v>
      </x:c>
      <x:c r="K1725" s="115" t="str">
        <x:v>Pièces décrites, murs, portes, niveaux et mobilier inspectables à l’échelle. Volumes réservés, raccord au seed, butin, rencontres et services de campagne restent à terminer.</x:v>
      </x:c>
    </x:row>
    <x:row r="1726" ht="96" customHeight="1">
      <x:c r="A1726" s="115" t="str">
        <x:v>EXT-MONDE-T035-V21</x:v>
      </x:c>
      <x:c r="B1726" s="115" t="str">
        <x:v>EXT-MONDE-T035</x:v>
      </x:c>
      <x:c r="C1726" s="115" t="str">
        <x:v>Échangeurs</x:v>
      </x:c>
      <x:c r="D1726" s="115" t="str">
        <x:v>Trèfle autoroutier</x:v>
      </x:c>
      <x:c r="E1726" s="115" t="n">
        <x:v>21</x:v>
      </x:c>
      <x:c r="F1726" s="115" t="str">
        <x:v>Inspection physique</x:v>
      </x:c>
      <x:c r="G1726" s="115" t="str">
        <x:v>1 niveaux ; 34 pièces ; 260 segments de mur ; 0 transitions. Inspection physique ; architecture complète encore ouverte.</x:v>
      </x:c>
      <x:c r="H1726" s="115" t="str">
        <x:v>L 1560 ; l 1720 ; hauteur 8 m ; choix de composition auteur ; dimensions réelles à documenter</x:v>
      </x:c>
      <x:c r="I1726" s="115" t="str">
        <x:v>À équilibrer</x:v>
      </x:c>
      <x:c r="J1726" s="115" t="str">
        <x:v>Non</x:v>
      </x:c>
      <x:c r="K1726" s="115" t="str">
        <x:v>Pièces décrites, murs, portes, niveaux et mobilier inspectables à l’échelle. Volumes réservés, raccord au seed, butin, rencontres et services de campagne restent à terminer.</x:v>
      </x:c>
    </x:row>
    <x:row r="1727" ht="96" customHeight="1">
      <x:c r="A1727" s="115" t="str">
        <x:v>EXT-MONDE-T035-V22</x:v>
      </x:c>
      <x:c r="B1727" s="115" t="str">
        <x:v>EXT-MONDE-T035</x:v>
      </x:c>
      <x:c r="C1727" s="115" t="str">
        <x:v>Échangeurs</x:v>
      </x:c>
      <x:c r="D1727" s="115" t="str">
        <x:v>Trèfle autoroutier</x:v>
      </x:c>
      <x:c r="E1727" s="115" t="n">
        <x:v>22</x:v>
      </x:c>
      <x:c r="F1727" s="115" t="str">
        <x:v>Inspection physique</x:v>
      </x:c>
      <x:c r="G1727" s="115" t="str">
        <x:v>1 niveaux ; 34 pièces ; 260 segments de mur ; 0 transitions. Inspection physique ; architecture complète encore ouverte.</x:v>
      </x:c>
      <x:c r="H1727" s="115" t="str">
        <x:v>L 1560 ; l 1720 ; hauteur 8 m ; choix de composition auteur ; dimensions réelles à documenter</x:v>
      </x:c>
      <x:c r="I1727" s="115" t="str">
        <x:v>À équilibrer</x:v>
      </x:c>
      <x:c r="J1727" s="115" t="str">
        <x:v>Non</x:v>
      </x:c>
      <x:c r="K1727" s="115" t="str">
        <x:v>Pièces décrites, murs, portes, niveaux et mobilier inspectables à l’échelle. Volumes réservés, raccord au seed, butin, rencontres et services de campagne restent à terminer.</x:v>
      </x:c>
    </x:row>
    <x:row r="1728" ht="96" customHeight="1">
      <x:c r="A1728" s="115" t="str">
        <x:v>EXT-MONDE-T035-V23</x:v>
      </x:c>
      <x:c r="B1728" s="115" t="str">
        <x:v>EXT-MONDE-T035</x:v>
      </x:c>
      <x:c r="C1728" s="115" t="str">
        <x:v>Échangeurs</x:v>
      </x:c>
      <x:c r="D1728" s="115" t="str">
        <x:v>Trèfle autoroutier</x:v>
      </x:c>
      <x:c r="E1728" s="115" t="n">
        <x:v>23</x:v>
      </x:c>
      <x:c r="F1728" s="115" t="str">
        <x:v>Inspection physique</x:v>
      </x:c>
      <x:c r="G1728" s="115" t="str">
        <x:v>1 niveaux ; 34 pièces ; 260 segments de mur ; 0 transitions. Inspection physique ; architecture complète encore ouverte.</x:v>
      </x:c>
      <x:c r="H1728" s="115" t="str">
        <x:v>L 1560 ; l 1720 ; hauteur 8 m ; choix de composition auteur ; dimensions réelles à documenter</x:v>
      </x:c>
      <x:c r="I1728" s="115" t="str">
        <x:v>À équilibrer</x:v>
      </x:c>
      <x:c r="J1728" s="115" t="str">
        <x:v>Non</x:v>
      </x:c>
      <x:c r="K1728" s="115" t="str">
        <x:v>Pièces décrites, murs, portes, niveaux et mobilier inspectables à l’échelle. Volumes réservés, raccord au seed, butin, rencontres et services de campagne restent à terminer.</x:v>
      </x:c>
    </x:row>
    <x:row r="1729" ht="96" customHeight="1">
      <x:c r="A1729" s="115" t="str">
        <x:v>EXT-MONDE-T035-V24</x:v>
      </x:c>
      <x:c r="B1729" s="115" t="str">
        <x:v>EXT-MONDE-T035</x:v>
      </x:c>
      <x:c r="C1729" s="115" t="str">
        <x:v>Échangeurs</x:v>
      </x:c>
      <x:c r="D1729" s="115" t="str">
        <x:v>Trèfle autoroutier</x:v>
      </x:c>
      <x:c r="E1729" s="115" t="n">
        <x:v>24</x:v>
      </x:c>
      <x:c r="F1729" s="115" t="str">
        <x:v>Inspection physique</x:v>
      </x:c>
      <x:c r="G1729" s="115" t="str">
        <x:v>1 niveaux ; 34 pièces ; 260 segments de mur ; 0 transitions. Inspection physique ; architecture complète encore ouverte.</x:v>
      </x:c>
      <x:c r="H1729" s="115" t="str">
        <x:v>L 1560 ; l 1720 ; hauteur 8 m ; choix de composition auteur ; dimensions réelles à documenter</x:v>
      </x:c>
      <x:c r="I1729" s="115" t="str">
        <x:v>À équilibrer</x:v>
      </x:c>
      <x:c r="J1729" s="115" t="str">
        <x:v>Non</x:v>
      </x:c>
      <x:c r="K1729" s="115" t="str">
        <x:v>Pièces décrites, murs, portes, niveaux et mobilier inspectables à l’échelle. Volumes réservés, raccord au seed, butin, rencontres et services de campagne restent à terminer.</x:v>
      </x:c>
    </x:row>
    <x:row r="1730" ht="96" customHeight="1">
      <x:c r="A1730" s="115" t="str">
        <x:v>EXT-MONDE-T035-V25</x:v>
      </x:c>
      <x:c r="B1730" s="115" t="str">
        <x:v>EXT-MONDE-T035</x:v>
      </x:c>
      <x:c r="C1730" s="115" t="str">
        <x:v>Échangeurs</x:v>
      </x:c>
      <x:c r="D1730" s="115" t="str">
        <x:v>Trèfle autoroutier</x:v>
      </x:c>
      <x:c r="E1730" s="115" t="n">
        <x:v>25</x:v>
      </x:c>
      <x:c r="F1730" s="115" t="str">
        <x:v>Inspection physique</x:v>
      </x:c>
      <x:c r="G1730" s="115" t="str">
        <x:v>1 niveaux ; 34 pièces ; 260 segments de mur ; 0 transitions. Inspection physique ; architecture complète encore ouverte.</x:v>
      </x:c>
      <x:c r="H1730" s="115" t="str">
        <x:v>L 1560 ; l 1720 ; hauteur 8 m ; choix de composition auteur ; dimensions réelles à documenter</x:v>
      </x:c>
      <x:c r="I1730" s="115" t="str">
        <x:v>À équilibrer</x:v>
      </x:c>
      <x:c r="J1730" s="115" t="str">
        <x:v>Non</x:v>
      </x:c>
      <x:c r="K1730" s="115" t="str">
        <x:v>Pièces décrites, murs, portes, niveaux et mobilier inspectables à l’échelle. Volumes réservés, raccord au seed, butin, rencontres et services de campagne restent à terminer.</x:v>
      </x:c>
    </x:row>
    <x:row r="1731" ht="96" customHeight="1">
      <x:c r="A1731" s="115" t="str">
        <x:v>EXT-MONDE-T035-V26</x:v>
      </x:c>
      <x:c r="B1731" s="115" t="str">
        <x:v>EXT-MONDE-T035</x:v>
      </x:c>
      <x:c r="C1731" s="115" t="str">
        <x:v>Échangeurs</x:v>
      </x:c>
      <x:c r="D1731" s="115" t="str">
        <x:v>Trèfle autoroutier</x:v>
      </x:c>
      <x:c r="E1731" s="115" t="n">
        <x:v>26</x:v>
      </x:c>
      <x:c r="F1731" s="115" t="str">
        <x:v>Inspection physique</x:v>
      </x:c>
      <x:c r="G1731" s="115" t="str">
        <x:v>1 niveaux ; 34 pièces ; 260 segments de mur ; 0 transitions. Inspection physique ; architecture complète encore ouverte.</x:v>
      </x:c>
      <x:c r="H1731" s="115" t="str">
        <x:v>L 1560 ; l 1720 ; hauteur 8 m ; choix de composition auteur ; dimensions réelles à documenter</x:v>
      </x:c>
      <x:c r="I1731" s="115" t="str">
        <x:v>À équilibrer</x:v>
      </x:c>
      <x:c r="J1731" s="115" t="str">
        <x:v>Non</x:v>
      </x:c>
      <x:c r="K1731" s="115" t="str">
        <x:v>Pièces décrites, murs, portes, niveaux et mobilier inspectables à l’échelle. Volumes réservés, raccord au seed, butin, rencontres et services de campagne restent à terminer.</x:v>
      </x:c>
    </x:row>
    <x:row r="1732" ht="96" customHeight="1">
      <x:c r="A1732" s="115" t="str">
        <x:v>EXT-MONDE-T035-V27</x:v>
      </x:c>
      <x:c r="B1732" s="115" t="str">
        <x:v>EXT-MONDE-T035</x:v>
      </x:c>
      <x:c r="C1732" s="115" t="str">
        <x:v>Échangeurs</x:v>
      </x:c>
      <x:c r="D1732" s="115" t="str">
        <x:v>Trèfle autoroutier</x:v>
      </x:c>
      <x:c r="E1732" s="115" t="n">
        <x:v>27</x:v>
      </x:c>
      <x:c r="F1732" s="115" t="str">
        <x:v>Inspection physique</x:v>
      </x:c>
      <x:c r="G1732" s="115" t="str">
        <x:v>1 niveaux ; 34 pièces ; 260 segments de mur ; 0 transitions. Inspection physique ; architecture complète encore ouverte.</x:v>
      </x:c>
      <x:c r="H1732" s="115" t="str">
        <x:v>L 1560 ; l 1720 ; hauteur 8 m ; choix de composition auteur ; dimensions réelles à documenter</x:v>
      </x:c>
      <x:c r="I1732" s="115" t="str">
        <x:v>À équilibrer</x:v>
      </x:c>
      <x:c r="J1732" s="115" t="str">
        <x:v>Non</x:v>
      </x:c>
      <x:c r="K1732" s="115" t="str">
        <x:v>Pièces décrites, murs, portes, niveaux et mobilier inspectables à l’échelle. Volumes réservés, raccord au seed, butin, rencontres et services de campagne restent à terminer.</x:v>
      </x:c>
    </x:row>
    <x:row r="1733" ht="96" customHeight="1">
      <x:c r="A1733" s="115" t="str">
        <x:v>EXT-MONDE-T035-V28</x:v>
      </x:c>
      <x:c r="B1733" s="115" t="str">
        <x:v>EXT-MONDE-T035</x:v>
      </x:c>
      <x:c r="C1733" s="115" t="str">
        <x:v>Échangeurs</x:v>
      </x:c>
      <x:c r="D1733" s="115" t="str">
        <x:v>Trèfle autoroutier</x:v>
      </x:c>
      <x:c r="E1733" s="115" t="n">
        <x:v>28</x:v>
      </x:c>
      <x:c r="F1733" s="115" t="str">
        <x:v>Inspection physique</x:v>
      </x:c>
      <x:c r="G1733" s="115" t="str">
        <x:v>1 niveaux ; 34 pièces ; 260 segments de mur ; 0 transitions. Inspection physique ; architecture complète encore ouverte.</x:v>
      </x:c>
      <x:c r="H1733" s="115" t="str">
        <x:v>L 1560 ; l 1720 ; hauteur 8 m ; choix de composition auteur ; dimensions réelles à documenter</x:v>
      </x:c>
      <x:c r="I1733" s="115" t="str">
        <x:v>À équilibrer</x:v>
      </x:c>
      <x:c r="J1733" s="115" t="str">
        <x:v>Non</x:v>
      </x:c>
      <x:c r="K1733" s="115" t="str">
        <x:v>Pièces décrites, murs, portes, niveaux et mobilier inspectables à l’échelle. Volumes réservés, raccord au seed, butin, rencontres et services de campagne restent à terminer.</x:v>
      </x:c>
    </x:row>
    <x:row r="1734" ht="96" customHeight="1">
      <x:c r="A1734" s="115" t="str">
        <x:v>EXT-MONDE-T035-V29</x:v>
      </x:c>
      <x:c r="B1734" s="115" t="str">
        <x:v>EXT-MONDE-T035</x:v>
      </x:c>
      <x:c r="C1734" s="115" t="str">
        <x:v>Échangeurs</x:v>
      </x:c>
      <x:c r="D1734" s="115" t="str">
        <x:v>Trèfle autoroutier</x:v>
      </x:c>
      <x:c r="E1734" s="115" t="n">
        <x:v>29</x:v>
      </x:c>
      <x:c r="F1734" s="115" t="str">
        <x:v>Inspection physique</x:v>
      </x:c>
      <x:c r="G1734" s="115" t="str">
        <x:v>1 niveaux ; 34 pièces ; 260 segments de mur ; 0 transitions. Inspection physique ; architecture complète encore ouverte.</x:v>
      </x:c>
      <x:c r="H1734" s="115" t="str">
        <x:v>L 1560 ; l 1720 ; hauteur 8 m ; choix de composition auteur ; dimensions réelles à documenter</x:v>
      </x:c>
      <x:c r="I1734" s="115" t="str">
        <x:v>À équilibrer</x:v>
      </x:c>
      <x:c r="J1734" s="115" t="str">
        <x:v>Non</x:v>
      </x:c>
      <x:c r="K1734" s="115" t="str">
        <x:v>Pièces décrites, murs, portes, niveaux et mobilier inspectables à l’échelle. Volumes réservés, raccord au seed, butin, rencontres et services de campagne restent à terminer.</x:v>
      </x:c>
    </x:row>
    <x:row r="1735" ht="96" customHeight="1">
      <x:c r="A1735" s="115" t="str">
        <x:v>EXT-MONDE-T035-V30</x:v>
      </x:c>
      <x:c r="B1735" s="115" t="str">
        <x:v>EXT-MONDE-T035</x:v>
      </x:c>
      <x:c r="C1735" s="115" t="str">
        <x:v>Échangeurs</x:v>
      </x:c>
      <x:c r="D1735" s="115" t="str">
        <x:v>Trèfle autoroutier</x:v>
      </x:c>
      <x:c r="E1735" s="115" t="n">
        <x:v>30</x:v>
      </x:c>
      <x:c r="F1735" s="115" t="str">
        <x:v>Inspection physique</x:v>
      </x:c>
      <x:c r="G1735" s="115" t="str">
        <x:v>1 niveaux ; 34 pièces ; 260 segments de mur ; 0 transitions. Inspection physique ; architecture complète encore ouverte.</x:v>
      </x:c>
      <x:c r="H1735" s="115" t="str">
        <x:v>L 1560 ; l 1720 ; hauteur 8 m ; choix de composition auteur ; dimensions réelles à documenter</x:v>
      </x:c>
      <x:c r="I1735" s="115" t="str">
        <x:v>À équilibrer</x:v>
      </x:c>
      <x:c r="J1735" s="115" t="str">
        <x:v>Non</x:v>
      </x:c>
      <x:c r="K1735" s="115" t="str">
        <x:v>Pièces décrites, murs, portes, niveaux et mobilier inspectables à l’échelle. Volumes réservés, raccord au seed, butin, rencontres et services de campagne restent à terminer.</x:v>
      </x:c>
    </x:row>
    <x:row r="1736" ht="96" customHeight="1">
      <x:c r="A1736" s="115" t="str">
        <x:v>EXT-MONDE-T035-V31</x:v>
      </x:c>
      <x:c r="B1736" s="115" t="str">
        <x:v>EXT-MONDE-T035</x:v>
      </x:c>
      <x:c r="C1736" s="115" t="str">
        <x:v>Échangeurs</x:v>
      </x:c>
      <x:c r="D1736" s="115" t="str">
        <x:v>Trèfle autoroutier</x:v>
      </x:c>
      <x:c r="E1736" s="115" t="n">
        <x:v>31</x:v>
      </x:c>
      <x:c r="F1736" s="115" t="str">
        <x:v>Inspection physique</x:v>
      </x:c>
      <x:c r="G1736" s="115" t="str">
        <x:v>1 niveaux ; 34 pièces ; 260 segments de mur ; 0 transitions. Inspection physique ; architecture complète encore ouverte.</x:v>
      </x:c>
      <x:c r="H1736" s="115" t="str">
        <x:v>L 1640 ; l 1880 ; hauteur 8 m ; choix de composition auteur ; dimensions réelles à documenter</x:v>
      </x:c>
      <x:c r="I1736" s="115" t="str">
        <x:v>À équilibrer</x:v>
      </x:c>
      <x:c r="J1736" s="115" t="str">
        <x:v>Non</x:v>
      </x:c>
      <x:c r="K1736" s="115" t="str">
        <x:v>Pièces décrites, murs, portes, niveaux et mobilier inspectables à l’échelle. Volumes réservés, raccord au seed, butin, rencontres et services de campagne restent à terminer.</x:v>
      </x:c>
    </x:row>
    <x:row r="1737" ht="96" customHeight="1">
      <x:c r="A1737" s="115" t="str">
        <x:v>EXT-MONDE-T035-V32</x:v>
      </x:c>
      <x:c r="B1737" s="115" t="str">
        <x:v>EXT-MONDE-T035</x:v>
      </x:c>
      <x:c r="C1737" s="115" t="str">
        <x:v>Échangeurs</x:v>
      </x:c>
      <x:c r="D1737" s="115" t="str">
        <x:v>Trèfle autoroutier</x:v>
      </x:c>
      <x:c r="E1737" s="115" t="n">
        <x:v>32</x:v>
      </x:c>
      <x:c r="F1737" s="115" t="str">
        <x:v>Inspection physique</x:v>
      </x:c>
      <x:c r="G1737" s="115" t="str">
        <x:v>1 niveaux ; 34 pièces ; 260 segments de mur ; 0 transitions. Inspection physique ; architecture complète encore ouverte.</x:v>
      </x:c>
      <x:c r="H1737" s="115" t="str">
        <x:v>L 1640 ; l 1880 ; hauteur 8 m ; choix de composition auteur ; dimensions réelles à documenter</x:v>
      </x:c>
      <x:c r="I1737" s="115" t="str">
        <x:v>À équilibrer</x:v>
      </x:c>
      <x:c r="J1737" s="115" t="str">
        <x:v>Non</x:v>
      </x:c>
      <x:c r="K1737" s="115" t="str">
        <x:v>Pièces décrites, murs, portes, niveaux et mobilier inspectables à l’échelle. Volumes réservés, raccord au seed, butin, rencontres et services de campagne restent à terminer.</x:v>
      </x:c>
    </x:row>
    <x:row r="1738" ht="96" customHeight="1">
      <x:c r="A1738" s="115" t="str">
        <x:v>EXT-MONDE-T035-V33</x:v>
      </x:c>
      <x:c r="B1738" s="115" t="str">
        <x:v>EXT-MONDE-T035</x:v>
      </x:c>
      <x:c r="C1738" s="115" t="str">
        <x:v>Échangeurs</x:v>
      </x:c>
      <x:c r="D1738" s="115" t="str">
        <x:v>Trèfle autoroutier</x:v>
      </x:c>
      <x:c r="E1738" s="115" t="n">
        <x:v>33</x:v>
      </x:c>
      <x:c r="F1738" s="115" t="str">
        <x:v>Inspection physique</x:v>
      </x:c>
      <x:c r="G1738" s="115" t="str">
        <x:v>1 niveaux ; 34 pièces ; 260 segments de mur ; 0 transitions. Inspection physique ; architecture complète encore ouverte.</x:v>
      </x:c>
      <x:c r="H1738" s="115" t="str">
        <x:v>L 1640 ; l 1880 ; hauteur 8 m ; choix de composition auteur ; dimensions réelles à documenter</x:v>
      </x:c>
      <x:c r="I1738" s="115" t="str">
        <x:v>À équilibrer</x:v>
      </x:c>
      <x:c r="J1738" s="115" t="str">
        <x:v>Non</x:v>
      </x:c>
      <x:c r="K1738" s="115" t="str">
        <x:v>Pièces décrites, murs, portes, niveaux et mobilier inspectables à l’échelle. Volumes réservés, raccord au seed, butin, rencontres et services de campagne restent à terminer.</x:v>
      </x:c>
    </x:row>
    <x:row r="1739" ht="96" customHeight="1">
      <x:c r="A1739" s="115" t="str">
        <x:v>EXT-MONDE-T035-V34</x:v>
      </x:c>
      <x:c r="B1739" s="115" t="str">
        <x:v>EXT-MONDE-T035</x:v>
      </x:c>
      <x:c r="C1739" s="115" t="str">
        <x:v>Échangeurs</x:v>
      </x:c>
      <x:c r="D1739" s="115" t="str">
        <x:v>Trèfle autoroutier</x:v>
      </x:c>
      <x:c r="E1739" s="115" t="n">
        <x:v>34</x:v>
      </x:c>
      <x:c r="F1739" s="115" t="str">
        <x:v>Inspection physique</x:v>
      </x:c>
      <x:c r="G1739" s="115" t="str">
        <x:v>1 niveaux ; 34 pièces ; 260 segments de mur ; 0 transitions. Inspection physique ; architecture complète encore ouverte.</x:v>
      </x:c>
      <x:c r="H1739" s="115" t="str">
        <x:v>L 1640 ; l 1880 ; hauteur 8 m ; choix de composition auteur ; dimensions réelles à documenter</x:v>
      </x:c>
      <x:c r="I1739" s="115" t="str">
        <x:v>À équilibrer</x:v>
      </x:c>
      <x:c r="J1739" s="115" t="str">
        <x:v>Non</x:v>
      </x:c>
      <x:c r="K1739" s="115" t="str">
        <x:v>Pièces décrites, murs, portes, niveaux et mobilier inspectables à l’échelle. Volumes réservés, raccord au seed, butin, rencontres et services de campagne restent à terminer.</x:v>
      </x:c>
    </x:row>
    <x:row r="1740" ht="96" customHeight="1">
      <x:c r="A1740" s="115" t="str">
        <x:v>EXT-MONDE-T035-V35</x:v>
      </x:c>
      <x:c r="B1740" s="115" t="str">
        <x:v>EXT-MONDE-T035</x:v>
      </x:c>
      <x:c r="C1740" s="115" t="str">
        <x:v>Échangeurs</x:v>
      </x:c>
      <x:c r="D1740" s="115" t="str">
        <x:v>Trèfle autoroutier</x:v>
      </x:c>
      <x:c r="E1740" s="115" t="n">
        <x:v>35</x:v>
      </x:c>
      <x:c r="F1740" s="115" t="str">
        <x:v>Inspection physique</x:v>
      </x:c>
      <x:c r="G1740" s="115" t="str">
        <x:v>1 niveaux ; 34 pièces ; 260 segments de mur ; 0 transitions. Inspection physique ; architecture complète encore ouverte.</x:v>
      </x:c>
      <x:c r="H1740" s="115" t="str">
        <x:v>L 1640 ; l 1880 ; hauteur 8 m ; choix de composition auteur ; dimensions réelles à documenter</x:v>
      </x:c>
      <x:c r="I1740" s="115" t="str">
        <x:v>À équilibrer</x:v>
      </x:c>
      <x:c r="J1740" s="115" t="str">
        <x:v>Non</x:v>
      </x:c>
      <x:c r="K1740" s="115" t="str">
        <x:v>Pièces décrites, murs, portes, niveaux et mobilier inspectables à l’échelle. Volumes réservés, raccord au seed, butin, rencontres et services de campagne restent à terminer.</x:v>
      </x:c>
    </x:row>
    <x:row r="1741" ht="96" customHeight="1">
      <x:c r="A1741" s="115" t="str">
        <x:v>EXT-MONDE-T035-V36</x:v>
      </x:c>
      <x:c r="B1741" s="115" t="str">
        <x:v>EXT-MONDE-T035</x:v>
      </x:c>
      <x:c r="C1741" s="115" t="str">
        <x:v>Échangeurs</x:v>
      </x:c>
      <x:c r="D1741" s="115" t="str">
        <x:v>Trèfle autoroutier</x:v>
      </x:c>
      <x:c r="E1741" s="115" t="n">
        <x:v>36</x:v>
      </x:c>
      <x:c r="F1741" s="115" t="str">
        <x:v>Inspection physique</x:v>
      </x:c>
      <x:c r="G1741" s="115" t="str">
        <x:v>1 niveaux ; 34 pièces ; 260 segments de mur ; 0 transitions. Inspection physique ; architecture complète encore ouverte.</x:v>
      </x:c>
      <x:c r="H1741" s="115" t="str">
        <x:v>L 1640 ; l 1880 ; hauteur 8 m ; choix de composition auteur ; dimensions réelles à documenter</x:v>
      </x:c>
      <x:c r="I1741" s="115" t="str">
        <x:v>À équilibrer</x:v>
      </x:c>
      <x:c r="J1741" s="115" t="str">
        <x:v>Non</x:v>
      </x:c>
      <x:c r="K1741" s="115" t="str">
        <x:v>Pièces décrites, murs, portes, niveaux et mobilier inspectables à l’échelle. Volumes réservés, raccord au seed, butin, rencontres et services de campagne restent à terminer.</x:v>
      </x:c>
    </x:row>
    <x:row r="1742" ht="96" customHeight="1">
      <x:c r="A1742" s="115" t="str">
        <x:v>EXT-MONDE-T035-V37</x:v>
      </x:c>
      <x:c r="B1742" s="115" t="str">
        <x:v>EXT-MONDE-T035</x:v>
      </x:c>
      <x:c r="C1742" s="115" t="str">
        <x:v>Échangeurs</x:v>
      </x:c>
      <x:c r="D1742" s="115" t="str">
        <x:v>Trèfle autoroutier</x:v>
      </x:c>
      <x:c r="E1742" s="115" t="n">
        <x:v>37</x:v>
      </x:c>
      <x:c r="F1742" s="115" t="str">
        <x:v>Inspection physique</x:v>
      </x:c>
      <x:c r="G1742" s="115" t="str">
        <x:v>1 niveaux ; 34 pièces ; 260 segments de mur ; 0 transitions. Inspection physique ; architecture complète encore ouverte.</x:v>
      </x:c>
      <x:c r="H1742" s="115" t="str">
        <x:v>L 1640 ; l 1880 ; hauteur 8 m ; choix de composition auteur ; dimensions réelles à documenter</x:v>
      </x:c>
      <x:c r="I1742" s="115" t="str">
        <x:v>À équilibrer</x:v>
      </x:c>
      <x:c r="J1742" s="115" t="str">
        <x:v>Non</x:v>
      </x:c>
      <x:c r="K1742" s="115" t="str">
        <x:v>Pièces décrites, murs, portes, niveaux et mobilier inspectables à l’échelle. Volumes réservés, raccord au seed, butin, rencontres et services de campagne restent à terminer.</x:v>
      </x:c>
    </x:row>
    <x:row r="1743" ht="96" customHeight="1">
      <x:c r="A1743" s="115" t="str">
        <x:v>EXT-MONDE-T035-V38</x:v>
      </x:c>
      <x:c r="B1743" s="115" t="str">
        <x:v>EXT-MONDE-T035</x:v>
      </x:c>
      <x:c r="C1743" s="115" t="str">
        <x:v>Échangeurs</x:v>
      </x:c>
      <x:c r="D1743" s="115" t="str">
        <x:v>Trèfle autoroutier</x:v>
      </x:c>
      <x:c r="E1743" s="115" t="n">
        <x:v>38</x:v>
      </x:c>
      <x:c r="F1743" s="115" t="str">
        <x:v>Inspection physique</x:v>
      </x:c>
      <x:c r="G1743" s="115" t="str">
        <x:v>1 niveaux ; 34 pièces ; 260 segments de mur ; 0 transitions. Inspection physique ; architecture complète encore ouverte.</x:v>
      </x:c>
      <x:c r="H1743" s="115" t="str">
        <x:v>L 1640 ; l 1880 ; hauteur 8 m ; choix de composition auteur ; dimensions réelles à documenter</x:v>
      </x:c>
      <x:c r="I1743" s="115" t="str">
        <x:v>À équilibrer</x:v>
      </x:c>
      <x:c r="J1743" s="115" t="str">
        <x:v>Non</x:v>
      </x:c>
      <x:c r="K1743" s="115" t="str">
        <x:v>Pièces décrites, murs, portes, niveaux et mobilier inspectables à l’échelle. Volumes réservés, raccord au seed, butin, rencontres et services de campagne restent à terminer.</x:v>
      </x:c>
    </x:row>
    <x:row r="1744" ht="96" customHeight="1">
      <x:c r="A1744" s="115" t="str">
        <x:v>EXT-MONDE-T035-V39</x:v>
      </x:c>
      <x:c r="B1744" s="115" t="str">
        <x:v>EXT-MONDE-T035</x:v>
      </x:c>
      <x:c r="C1744" s="115" t="str">
        <x:v>Échangeurs</x:v>
      </x:c>
      <x:c r="D1744" s="115" t="str">
        <x:v>Trèfle autoroutier</x:v>
      </x:c>
      <x:c r="E1744" s="115" t="n">
        <x:v>39</x:v>
      </x:c>
      <x:c r="F1744" s="115" t="str">
        <x:v>Inspection physique</x:v>
      </x:c>
      <x:c r="G1744" s="115" t="str">
        <x:v>1 niveaux ; 34 pièces ; 260 segments de mur ; 0 transitions. Inspection physique ; architecture complète encore ouverte.</x:v>
      </x:c>
      <x:c r="H1744" s="115" t="str">
        <x:v>L 1640 ; l 1880 ; hauteur 8 m ; choix de composition auteur ; dimensions réelles à documenter</x:v>
      </x:c>
      <x:c r="I1744" s="115" t="str">
        <x:v>À équilibrer</x:v>
      </x:c>
      <x:c r="J1744" s="115" t="str">
        <x:v>Non</x:v>
      </x:c>
      <x:c r="K1744" s="115" t="str">
        <x:v>Pièces décrites, murs, portes, niveaux et mobilier inspectables à l’échelle. Volumes réservés, raccord au seed, butin, rencontres et services de campagne restent à terminer.</x:v>
      </x:c>
    </x:row>
    <x:row r="1745" ht="96" customHeight="1">
      <x:c r="A1745" s="115" t="str">
        <x:v>EXT-MONDE-T035-V40</x:v>
      </x:c>
      <x:c r="B1745" s="115" t="str">
        <x:v>EXT-MONDE-T035</x:v>
      </x:c>
      <x:c r="C1745" s="115" t="str">
        <x:v>Échangeurs</x:v>
      </x:c>
      <x:c r="D1745" s="115" t="str">
        <x:v>Trèfle autoroutier</x:v>
      </x:c>
      <x:c r="E1745" s="115" t="n">
        <x:v>40</x:v>
      </x:c>
      <x:c r="F1745" s="115" t="str">
        <x:v>Inspection physique</x:v>
      </x:c>
      <x:c r="G1745" s="115" t="str">
        <x:v>1 niveaux ; 34 pièces ; 260 segments de mur ; 0 transitions. Inspection physique ; architecture complète encore ouverte.</x:v>
      </x:c>
      <x:c r="H1745" s="115" t="str">
        <x:v>L 1640 ; l 1880 ; hauteur 8 m ; choix de composition auteur ; dimensions réelles à documenter</x:v>
      </x:c>
      <x:c r="I1745" s="115" t="str">
        <x:v>À équilibrer</x:v>
      </x:c>
      <x:c r="J1745" s="115" t="str">
        <x:v>Non</x:v>
      </x:c>
      <x:c r="K1745" s="115" t="str">
        <x:v>Pièces décrites, murs, portes, niveaux et mobilier inspectables à l’échelle. Volumes réservés, raccord au seed, butin, rencontres et services de campagne restent à terminer.</x:v>
      </x:c>
    </x:row>
    <x:row r="1746" ht="96" customHeight="1">
      <x:c r="A1746" s="115" t="str">
        <x:v>EXT-MONDE-T035-V41</x:v>
      </x:c>
      <x:c r="B1746" s="115" t="str">
        <x:v>EXT-MONDE-T035</x:v>
      </x:c>
      <x:c r="C1746" s="115" t="str">
        <x:v>Échangeurs</x:v>
      </x:c>
      <x:c r="D1746" s="115" t="str">
        <x:v>Trèfle autoroutier</x:v>
      </x:c>
      <x:c r="E1746" s="115" t="n">
        <x:v>41</x:v>
      </x:c>
      <x:c r="F1746" s="115" t="str">
        <x:v>Inspection physique</x:v>
      </x:c>
      <x:c r="G1746" s="115" t="str">
        <x:v>1 niveaux ; 34 pièces ; 260 segments de mur ; 0 transitions. Inspection physique ; architecture complète encore ouverte.</x:v>
      </x:c>
      <x:c r="H1746" s="115" t="str">
        <x:v>L 1720 ; l 2040 ; hauteur 8 m ; choix de composition auteur ; dimensions réelles à documenter</x:v>
      </x:c>
      <x:c r="I1746" s="115" t="str">
        <x:v>À équilibrer</x:v>
      </x:c>
      <x:c r="J1746" s="115" t="str">
        <x:v>Non</x:v>
      </x:c>
      <x:c r="K1746" s="115" t="str">
        <x:v>Pièces décrites, murs, portes, niveaux et mobilier inspectables à l’échelle. Volumes réservés, raccord au seed, butin, rencontres et services de campagne restent à terminer.</x:v>
      </x:c>
    </x:row>
    <x:row r="1747" ht="96" customHeight="1">
      <x:c r="A1747" s="115" t="str">
        <x:v>EXT-MONDE-T035-V42</x:v>
      </x:c>
      <x:c r="B1747" s="115" t="str">
        <x:v>EXT-MONDE-T035</x:v>
      </x:c>
      <x:c r="C1747" s="115" t="str">
        <x:v>Échangeurs</x:v>
      </x:c>
      <x:c r="D1747" s="115" t="str">
        <x:v>Trèfle autoroutier</x:v>
      </x:c>
      <x:c r="E1747" s="115" t="n">
        <x:v>42</x:v>
      </x:c>
      <x:c r="F1747" s="115" t="str">
        <x:v>Inspection physique</x:v>
      </x:c>
      <x:c r="G1747" s="115" t="str">
        <x:v>1 niveaux ; 34 pièces ; 260 segments de mur ; 0 transitions. Inspection physique ; architecture complète encore ouverte.</x:v>
      </x:c>
      <x:c r="H1747" s="115" t="str">
        <x:v>L 1720 ; l 2040 ; hauteur 8 m ; choix de composition auteur ; dimensions réelles à documenter</x:v>
      </x:c>
      <x:c r="I1747" s="115" t="str">
        <x:v>À équilibrer</x:v>
      </x:c>
      <x:c r="J1747" s="115" t="str">
        <x:v>Non</x:v>
      </x:c>
      <x:c r="K1747" s="115" t="str">
        <x:v>Pièces décrites, murs, portes, niveaux et mobilier inspectables à l’échelle. Volumes réservés, raccord au seed, butin, rencontres et services de campagne restent à terminer.</x:v>
      </x:c>
    </x:row>
    <x:row r="1748" ht="96" customHeight="1">
      <x:c r="A1748" s="115" t="str">
        <x:v>EXT-MONDE-T035-V43</x:v>
      </x:c>
      <x:c r="B1748" s="115" t="str">
        <x:v>EXT-MONDE-T035</x:v>
      </x:c>
      <x:c r="C1748" s="115" t="str">
        <x:v>Échangeurs</x:v>
      </x:c>
      <x:c r="D1748" s="115" t="str">
        <x:v>Trèfle autoroutier</x:v>
      </x:c>
      <x:c r="E1748" s="115" t="n">
        <x:v>43</x:v>
      </x:c>
      <x:c r="F1748" s="115" t="str">
        <x:v>Inspection physique</x:v>
      </x:c>
      <x:c r="G1748" s="115" t="str">
        <x:v>1 niveaux ; 34 pièces ; 260 segments de mur ; 0 transitions. Inspection physique ; architecture complète encore ouverte.</x:v>
      </x:c>
      <x:c r="H1748" s="115" t="str">
        <x:v>L 1720 ; l 2040 ; hauteur 8 m ; choix de composition auteur ; dimensions réelles à documenter</x:v>
      </x:c>
      <x:c r="I1748" s="115" t="str">
        <x:v>À équilibrer</x:v>
      </x:c>
      <x:c r="J1748" s="115" t="str">
        <x:v>Non</x:v>
      </x:c>
      <x:c r="K1748" s="115" t="str">
        <x:v>Pièces décrites, murs, portes, niveaux et mobilier inspectables à l’échelle. Volumes réservés, raccord au seed, butin, rencontres et services de campagne restent à terminer.</x:v>
      </x:c>
    </x:row>
    <x:row r="1749" ht="96" customHeight="1">
      <x:c r="A1749" s="115" t="str">
        <x:v>EXT-MONDE-T035-V44</x:v>
      </x:c>
      <x:c r="B1749" s="115" t="str">
        <x:v>EXT-MONDE-T035</x:v>
      </x:c>
      <x:c r="C1749" s="115" t="str">
        <x:v>Échangeurs</x:v>
      </x:c>
      <x:c r="D1749" s="115" t="str">
        <x:v>Trèfle autoroutier</x:v>
      </x:c>
      <x:c r="E1749" s="115" t="n">
        <x:v>44</x:v>
      </x:c>
      <x:c r="F1749" s="115" t="str">
        <x:v>Inspection physique</x:v>
      </x:c>
      <x:c r="G1749" s="115" t="str">
        <x:v>1 niveaux ; 34 pièces ; 260 segments de mur ; 0 transitions. Inspection physique ; architecture complète encore ouverte.</x:v>
      </x:c>
      <x:c r="H1749" s="115" t="str">
        <x:v>L 1720 ; l 2040 ; hauteur 8 m ; choix de composition auteur ; dimensions réelles à documenter</x:v>
      </x:c>
      <x:c r="I1749" s="115" t="str">
        <x:v>À équilibrer</x:v>
      </x:c>
      <x:c r="J1749" s="115" t="str">
        <x:v>Non</x:v>
      </x:c>
      <x:c r="K1749" s="115" t="str">
        <x:v>Pièces décrites, murs, portes, niveaux et mobilier inspectables à l’échelle. Volumes réservés, raccord au seed, butin, rencontres et services de campagne restent à terminer.</x:v>
      </x:c>
    </x:row>
    <x:row r="1750" ht="96" customHeight="1">
      <x:c r="A1750" s="115" t="str">
        <x:v>EXT-MONDE-T035-V45</x:v>
      </x:c>
      <x:c r="B1750" s="115" t="str">
        <x:v>EXT-MONDE-T035</x:v>
      </x:c>
      <x:c r="C1750" s="115" t="str">
        <x:v>Échangeurs</x:v>
      </x:c>
      <x:c r="D1750" s="115" t="str">
        <x:v>Trèfle autoroutier</x:v>
      </x:c>
      <x:c r="E1750" s="115" t="n">
        <x:v>45</x:v>
      </x:c>
      <x:c r="F1750" s="115" t="str">
        <x:v>Inspection physique</x:v>
      </x:c>
      <x:c r="G1750" s="115" t="str">
        <x:v>1 niveaux ; 34 pièces ; 260 segments de mur ; 0 transitions. Inspection physique ; architecture complète encore ouverte.</x:v>
      </x:c>
      <x:c r="H1750" s="115" t="str">
        <x:v>L 1720 ; l 2040 ; hauteur 8 m ; choix de composition auteur ; dimensions réelles à documenter</x:v>
      </x:c>
      <x:c r="I1750" s="115" t="str">
        <x:v>À équilibrer</x:v>
      </x:c>
      <x:c r="J1750" s="115" t="str">
        <x:v>Non</x:v>
      </x:c>
      <x:c r="K1750" s="115" t="str">
        <x:v>Pièces décrites, murs, portes, niveaux et mobilier inspectables à l’échelle. Volumes réservés, raccord au seed, butin, rencontres et services de campagne restent à terminer.</x:v>
      </x:c>
    </x:row>
    <x:row r="1751" ht="96" customHeight="1">
      <x:c r="A1751" s="115" t="str">
        <x:v>EXT-MONDE-T035-V46</x:v>
      </x:c>
      <x:c r="B1751" s="115" t="str">
        <x:v>EXT-MONDE-T035</x:v>
      </x:c>
      <x:c r="C1751" s="115" t="str">
        <x:v>Échangeurs</x:v>
      </x:c>
      <x:c r="D1751" s="115" t="str">
        <x:v>Trèfle autoroutier</x:v>
      </x:c>
      <x:c r="E1751" s="115" t="n">
        <x:v>46</x:v>
      </x:c>
      <x:c r="F1751" s="115" t="str">
        <x:v>Inspection physique</x:v>
      </x:c>
      <x:c r="G1751" s="115" t="str">
        <x:v>1 niveaux ; 34 pièces ; 260 segments de mur ; 0 transitions. Inspection physique ; architecture complète encore ouverte.</x:v>
      </x:c>
      <x:c r="H1751" s="115" t="str">
        <x:v>L 1720 ; l 2040 ; hauteur 8 m ; choix de composition auteur ; dimensions réelles à documenter</x:v>
      </x:c>
      <x:c r="I1751" s="115" t="str">
        <x:v>À équilibrer</x:v>
      </x:c>
      <x:c r="J1751" s="115" t="str">
        <x:v>Non</x:v>
      </x:c>
      <x:c r="K1751" s="115" t="str">
        <x:v>Pièces décrites, murs, portes, niveaux et mobilier inspectables à l’échelle. Volumes réservés, raccord au seed, butin, rencontres et services de campagne restent à terminer.</x:v>
      </x:c>
    </x:row>
    <x:row r="1752" ht="96" customHeight="1">
      <x:c r="A1752" s="115" t="str">
        <x:v>EXT-MONDE-T035-V47</x:v>
      </x:c>
      <x:c r="B1752" s="115" t="str">
        <x:v>EXT-MONDE-T035</x:v>
      </x:c>
      <x:c r="C1752" s="115" t="str">
        <x:v>Échangeurs</x:v>
      </x:c>
      <x:c r="D1752" s="115" t="str">
        <x:v>Trèfle autoroutier</x:v>
      </x:c>
      <x:c r="E1752" s="115" t="n">
        <x:v>47</x:v>
      </x:c>
      <x:c r="F1752" s="115" t="str">
        <x:v>Inspection physique</x:v>
      </x:c>
      <x:c r="G1752" s="115" t="str">
        <x:v>1 niveaux ; 34 pièces ; 260 segments de mur ; 0 transitions. Inspection physique ; architecture complète encore ouverte.</x:v>
      </x:c>
      <x:c r="H1752" s="115" t="str">
        <x:v>L 1720 ; l 2040 ; hauteur 8 m ; choix de composition auteur ; dimensions réelles à documenter</x:v>
      </x:c>
      <x:c r="I1752" s="115" t="str">
        <x:v>À équilibrer</x:v>
      </x:c>
      <x:c r="J1752" s="115" t="str">
        <x:v>Non</x:v>
      </x:c>
      <x:c r="K1752" s="115" t="str">
        <x:v>Pièces décrites, murs, portes, niveaux et mobilier inspectables à l’échelle. Volumes réservés, raccord au seed, butin, rencontres et services de campagne restent à terminer.</x:v>
      </x:c>
    </x:row>
    <x:row r="1753" ht="96" customHeight="1">
      <x:c r="A1753" s="115" t="str">
        <x:v>EXT-MONDE-T035-V48</x:v>
      </x:c>
      <x:c r="B1753" s="115" t="str">
        <x:v>EXT-MONDE-T035</x:v>
      </x:c>
      <x:c r="C1753" s="115" t="str">
        <x:v>Échangeurs</x:v>
      </x:c>
      <x:c r="D1753" s="115" t="str">
        <x:v>Trèfle autoroutier</x:v>
      </x:c>
      <x:c r="E1753" s="115" t="n">
        <x:v>48</x:v>
      </x:c>
      <x:c r="F1753" s="115" t="str">
        <x:v>Inspection physique</x:v>
      </x:c>
      <x:c r="G1753" s="115" t="str">
        <x:v>1 niveaux ; 34 pièces ; 260 segments de mur ; 0 transitions. Inspection physique ; architecture complète encore ouverte.</x:v>
      </x:c>
      <x:c r="H1753" s="115" t="str">
        <x:v>L 1720 ; l 2040 ; hauteur 8 m ; choix de composition auteur ; dimensions réelles à documenter</x:v>
      </x:c>
      <x:c r="I1753" s="115" t="str">
        <x:v>À équilibrer</x:v>
      </x:c>
      <x:c r="J1753" s="115" t="str">
        <x:v>Non</x:v>
      </x:c>
      <x:c r="K1753" s="115" t="str">
        <x:v>Pièces décrites, murs, portes, niveaux et mobilier inspectables à l’échelle. Volumes réservés, raccord au seed, butin, rencontres et services de campagne restent à terminer.</x:v>
      </x:c>
    </x:row>
    <x:row r="1754" ht="96" customHeight="1">
      <x:c r="A1754" s="115" t="str">
        <x:v>EXT-MONDE-T035-V49</x:v>
      </x:c>
      <x:c r="B1754" s="115" t="str">
        <x:v>EXT-MONDE-T035</x:v>
      </x:c>
      <x:c r="C1754" s="115" t="str">
        <x:v>Échangeurs</x:v>
      </x:c>
      <x:c r="D1754" s="115" t="str">
        <x:v>Trèfle autoroutier</x:v>
      </x:c>
      <x:c r="E1754" s="115" t="n">
        <x:v>49</x:v>
      </x:c>
      <x:c r="F1754" s="115" t="str">
        <x:v>Inspection physique</x:v>
      </x:c>
      <x:c r="G1754" s="115" t="str">
        <x:v>1 niveaux ; 34 pièces ; 260 segments de mur ; 0 transitions. Inspection physique ; architecture complète encore ouverte.</x:v>
      </x:c>
      <x:c r="H1754" s="115" t="str">
        <x:v>L 1720 ; l 2040 ; hauteur 8 m ; choix de composition auteur ; dimensions réelles à documenter</x:v>
      </x:c>
      <x:c r="I1754" s="115" t="str">
        <x:v>À équilibrer</x:v>
      </x:c>
      <x:c r="J1754" s="115" t="str">
        <x:v>Non</x:v>
      </x:c>
      <x:c r="K1754" s="115" t="str">
        <x:v>Pièces décrites, murs, portes, niveaux et mobilier inspectables à l’échelle. Volumes réservés, raccord au seed, butin, rencontres et services de campagne restent à terminer.</x:v>
      </x:c>
    </x:row>
    <x:row r="1755" ht="96" customHeight="1">
      <x:c r="A1755" s="115" t="str">
        <x:v>EXT-MONDE-T035-V50</x:v>
      </x:c>
      <x:c r="B1755" s="115" t="str">
        <x:v>EXT-MONDE-T035</x:v>
      </x:c>
      <x:c r="C1755" s="115" t="str">
        <x:v>Échangeurs</x:v>
      </x:c>
      <x:c r="D1755" s="115" t="str">
        <x:v>Trèfle autoroutier</x:v>
      </x:c>
      <x:c r="E1755" s="115" t="n">
        <x:v>50</x:v>
      </x:c>
      <x:c r="F1755" s="115" t="str">
        <x:v>Inspection physique</x:v>
      </x:c>
      <x:c r="G1755" s="115" t="str">
        <x:v>1 niveaux ; 34 pièces ; 260 segments de mur ; 0 transitions. Inspection physique ; architecture complète encore ouverte.</x:v>
      </x:c>
      <x:c r="H1755" s="115" t="str">
        <x:v>L 1720 ; l 2040 ; hauteur 8 m ; choix de composition auteur ; dimensions réelles à documenter</x:v>
      </x:c>
      <x:c r="I1755" s="115" t="str">
        <x:v>À équilibrer</x:v>
      </x:c>
      <x:c r="J1755" s="115" t="str">
        <x:v>Non</x:v>
      </x:c>
      <x:c r="K1755" s="115" t="str">
        <x:v>Pièces décrites, murs, portes, niveaux et mobilier inspectables à l’échelle. Volumes réservés, raccord au seed, butin, rencontres et services de campagne restent à terminer.</x:v>
      </x:c>
    </x:row>
    <x:row r="1756" ht="96" customHeight="1">
      <x:c r="A1756" s="115" t="str">
        <x:v>EXT-MONDE-T036-V01</x:v>
      </x:c>
      <x:c r="B1756" s="115" t="str">
        <x:v>EXT-MONDE-T036</x:v>
      </x:c>
      <x:c r="C1756" s="115" t="str">
        <x:v>Échangeurs</x:v>
      </x:c>
      <x:c r="D1756" s="115" t="str">
        <x:v>Échangeur directionnel</x:v>
      </x:c>
      <x:c r="E1756" s="115" t="n">
        <x:v>1</x:v>
      </x:c>
      <x:c r="F1756" s="115" t="str">
        <x:v>Inspection physique</x:v>
      </x:c>
      <x:c r="G1756" s="115" t="str">
        <x:v>1 niveaux ; 34 pièces ; 260 segments de mur ; 0 transitions. Inspection physique ; architecture complète encore ouverte.</x:v>
      </x:c>
      <x:c r="H1756" s="115" t="str">
        <x:v>L 1400 ; l 1400 ; hauteur 8 m ; choix de composition auteur ; dimensions réelles à documenter</x:v>
      </x:c>
      <x:c r="I1756" s="115" t="str">
        <x:v>À équilibrer</x:v>
      </x:c>
      <x:c r="J1756" s="115" t="str">
        <x:v>Non</x:v>
      </x:c>
      <x:c r="K1756" s="115" t="str">
        <x:v>Pièces décrites, murs, portes, niveaux et mobilier inspectables à l’échelle. Volumes réservés, raccord au seed, butin, rencontres et services de campagne restent à terminer.</x:v>
      </x:c>
    </x:row>
    <x:row r="1757" ht="96" customHeight="1">
      <x:c r="A1757" s="115" t="str">
        <x:v>EXT-MONDE-T036-V02</x:v>
      </x:c>
      <x:c r="B1757" s="115" t="str">
        <x:v>EXT-MONDE-T036</x:v>
      </x:c>
      <x:c r="C1757" s="115" t="str">
        <x:v>Échangeurs</x:v>
      </x:c>
      <x:c r="D1757" s="115" t="str">
        <x:v>Échangeur directionnel</x:v>
      </x:c>
      <x:c r="E1757" s="115" t="n">
        <x:v>2</x:v>
      </x:c>
      <x:c r="F1757" s="115" t="str">
        <x:v>Inspection physique</x:v>
      </x:c>
      <x:c r="G1757" s="115" t="str">
        <x:v>1 niveaux ; 34 pièces ; 260 segments de mur ; 0 transitions. Inspection physique ; architecture complète encore ouverte.</x:v>
      </x:c>
      <x:c r="H1757" s="115" t="str">
        <x:v>L 1400 ; l 1400 ; hauteur 8 m ; choix de composition auteur ; dimensions réelles à documenter</x:v>
      </x:c>
      <x:c r="I1757" s="115" t="str">
        <x:v>À équilibrer</x:v>
      </x:c>
      <x:c r="J1757" s="115" t="str">
        <x:v>Non</x:v>
      </x:c>
      <x:c r="K1757" s="115" t="str">
        <x:v>Pièces décrites, murs, portes, niveaux et mobilier inspectables à l’échelle. Volumes réservés, raccord au seed, butin, rencontres et services de campagne restent à terminer.</x:v>
      </x:c>
    </x:row>
    <x:row r="1758" ht="96" customHeight="1">
      <x:c r="A1758" s="115" t="str">
        <x:v>EXT-MONDE-T036-V03</x:v>
      </x:c>
      <x:c r="B1758" s="115" t="str">
        <x:v>EXT-MONDE-T036</x:v>
      </x:c>
      <x:c r="C1758" s="115" t="str">
        <x:v>Échangeurs</x:v>
      </x:c>
      <x:c r="D1758" s="115" t="str">
        <x:v>Échangeur directionnel</x:v>
      </x:c>
      <x:c r="E1758" s="115" t="n">
        <x:v>3</x:v>
      </x:c>
      <x:c r="F1758" s="115" t="str">
        <x:v>Inspection physique</x:v>
      </x:c>
      <x:c r="G1758" s="115" t="str">
        <x:v>1 niveaux ; 34 pièces ; 260 segments de mur ; 0 transitions. Inspection physique ; architecture complète encore ouverte.</x:v>
      </x:c>
      <x:c r="H1758" s="115" t="str">
        <x:v>L 1400 ; l 1400 ; hauteur 8 m ; choix de composition auteur ; dimensions réelles à documenter</x:v>
      </x:c>
      <x:c r="I1758" s="115" t="str">
        <x:v>À équilibrer</x:v>
      </x:c>
      <x:c r="J1758" s="115" t="str">
        <x:v>Non</x:v>
      </x:c>
      <x:c r="K1758" s="115" t="str">
        <x:v>Pièces décrites, murs, portes, niveaux et mobilier inspectables à l’échelle. Volumes réservés, raccord au seed, butin, rencontres et services de campagne restent à terminer.</x:v>
      </x:c>
    </x:row>
    <x:row r="1759" ht="96" customHeight="1">
      <x:c r="A1759" s="115" t="str">
        <x:v>EXT-MONDE-T036-V04</x:v>
      </x:c>
      <x:c r="B1759" s="115" t="str">
        <x:v>EXT-MONDE-T036</x:v>
      </x:c>
      <x:c r="C1759" s="115" t="str">
        <x:v>Échangeurs</x:v>
      </x:c>
      <x:c r="D1759" s="115" t="str">
        <x:v>Échangeur directionnel</x:v>
      </x:c>
      <x:c r="E1759" s="115" t="n">
        <x:v>4</x:v>
      </x:c>
      <x:c r="F1759" s="115" t="str">
        <x:v>Inspection physique</x:v>
      </x:c>
      <x:c r="G1759" s="115" t="str">
        <x:v>1 niveaux ; 34 pièces ; 260 segments de mur ; 0 transitions. Inspection physique ; architecture complète encore ouverte.</x:v>
      </x:c>
      <x:c r="H1759" s="115" t="str">
        <x:v>L 1400 ; l 1400 ; hauteur 8 m ; choix de composition auteur ; dimensions réelles à documenter</x:v>
      </x:c>
      <x:c r="I1759" s="115" t="str">
        <x:v>À équilibrer</x:v>
      </x:c>
      <x:c r="J1759" s="115" t="str">
        <x:v>Non</x:v>
      </x:c>
      <x:c r="K1759" s="115" t="str">
        <x:v>Pièces décrites, murs, portes, niveaux et mobilier inspectables à l’échelle. Volumes réservés, raccord au seed, butin, rencontres et services de campagne restent à terminer.</x:v>
      </x:c>
    </x:row>
    <x:row r="1760" ht="96" customHeight="1">
      <x:c r="A1760" s="115" t="str">
        <x:v>EXT-MONDE-T036-V05</x:v>
      </x:c>
      <x:c r="B1760" s="115" t="str">
        <x:v>EXT-MONDE-T036</x:v>
      </x:c>
      <x:c r="C1760" s="115" t="str">
        <x:v>Échangeurs</x:v>
      </x:c>
      <x:c r="D1760" s="115" t="str">
        <x:v>Échangeur directionnel</x:v>
      </x:c>
      <x:c r="E1760" s="115" t="n">
        <x:v>5</x:v>
      </x:c>
      <x:c r="F1760" s="115" t="str">
        <x:v>Inspection physique</x:v>
      </x:c>
      <x:c r="G1760" s="115" t="str">
        <x:v>1 niveaux ; 34 pièces ; 260 segments de mur ; 0 transitions. Inspection physique ; architecture complète encore ouverte.</x:v>
      </x:c>
      <x:c r="H1760" s="115" t="str">
        <x:v>L 1400 ; l 1400 ; hauteur 8 m ; choix de composition auteur ; dimensions réelles à documenter</x:v>
      </x:c>
      <x:c r="I1760" s="115" t="str">
        <x:v>À équilibrer</x:v>
      </x:c>
      <x:c r="J1760" s="115" t="str">
        <x:v>Non</x:v>
      </x:c>
      <x:c r="K1760" s="115" t="str">
        <x:v>Pièces décrites, murs, portes, niveaux et mobilier inspectables à l’échelle. Volumes réservés, raccord au seed, butin, rencontres et services de campagne restent à terminer.</x:v>
      </x:c>
    </x:row>
    <x:row r="1761" ht="96" customHeight="1">
      <x:c r="A1761" s="115" t="str">
        <x:v>EXT-MONDE-T036-V06</x:v>
      </x:c>
      <x:c r="B1761" s="115" t="str">
        <x:v>EXT-MONDE-T036</x:v>
      </x:c>
      <x:c r="C1761" s="115" t="str">
        <x:v>Échangeurs</x:v>
      </x:c>
      <x:c r="D1761" s="115" t="str">
        <x:v>Échangeur directionnel</x:v>
      </x:c>
      <x:c r="E1761" s="115" t="n">
        <x:v>6</x:v>
      </x:c>
      <x:c r="F1761" s="115" t="str">
        <x:v>Inspection physique</x:v>
      </x:c>
      <x:c r="G1761" s="115" t="str">
        <x:v>1 niveaux ; 34 pièces ; 260 segments de mur ; 0 transitions. Inspection physique ; architecture complète encore ouverte.</x:v>
      </x:c>
      <x:c r="H1761" s="115" t="str">
        <x:v>L 1400 ; l 1400 ; hauteur 8 m ; choix de composition auteur ; dimensions réelles à documenter</x:v>
      </x:c>
      <x:c r="I1761" s="115" t="str">
        <x:v>À équilibrer</x:v>
      </x:c>
      <x:c r="J1761" s="115" t="str">
        <x:v>Non</x:v>
      </x:c>
      <x:c r="K1761" s="115" t="str">
        <x:v>Pièces décrites, murs, portes, niveaux et mobilier inspectables à l’échelle. Volumes réservés, raccord au seed, butin, rencontres et services de campagne restent à terminer.</x:v>
      </x:c>
    </x:row>
    <x:row r="1762" ht="96" customHeight="1">
      <x:c r="A1762" s="115" t="str">
        <x:v>EXT-MONDE-T036-V07</x:v>
      </x:c>
      <x:c r="B1762" s="115" t="str">
        <x:v>EXT-MONDE-T036</x:v>
      </x:c>
      <x:c r="C1762" s="115" t="str">
        <x:v>Échangeurs</x:v>
      </x:c>
      <x:c r="D1762" s="115" t="str">
        <x:v>Échangeur directionnel</x:v>
      </x:c>
      <x:c r="E1762" s="115" t="n">
        <x:v>7</x:v>
      </x:c>
      <x:c r="F1762" s="115" t="str">
        <x:v>Inspection physique</x:v>
      </x:c>
      <x:c r="G1762" s="115" t="str">
        <x:v>1 niveaux ; 34 pièces ; 260 segments de mur ; 0 transitions. Inspection physique ; architecture complète encore ouverte.</x:v>
      </x:c>
      <x:c r="H1762" s="115" t="str">
        <x:v>L 1400 ; l 1400 ; hauteur 8 m ; choix de composition auteur ; dimensions réelles à documenter</x:v>
      </x:c>
      <x:c r="I1762" s="115" t="str">
        <x:v>À équilibrer</x:v>
      </x:c>
      <x:c r="J1762" s="115" t="str">
        <x:v>Non</x:v>
      </x:c>
      <x:c r="K1762" s="115" t="str">
        <x:v>Pièces décrites, murs, portes, niveaux et mobilier inspectables à l’échelle. Volumes réservés, raccord au seed, butin, rencontres et services de campagne restent à terminer.</x:v>
      </x:c>
    </x:row>
    <x:row r="1763" ht="96" customHeight="1">
      <x:c r="A1763" s="115" t="str">
        <x:v>EXT-MONDE-T036-V08</x:v>
      </x:c>
      <x:c r="B1763" s="115" t="str">
        <x:v>EXT-MONDE-T036</x:v>
      </x:c>
      <x:c r="C1763" s="115" t="str">
        <x:v>Échangeurs</x:v>
      </x:c>
      <x:c r="D1763" s="115" t="str">
        <x:v>Échangeur directionnel</x:v>
      </x:c>
      <x:c r="E1763" s="115" t="n">
        <x:v>8</x:v>
      </x:c>
      <x:c r="F1763" s="115" t="str">
        <x:v>Inspection physique</x:v>
      </x:c>
      <x:c r="G1763" s="115" t="str">
        <x:v>1 niveaux ; 34 pièces ; 260 segments de mur ; 0 transitions. Inspection physique ; architecture complète encore ouverte.</x:v>
      </x:c>
      <x:c r="H1763" s="115" t="str">
        <x:v>L 1400 ; l 1400 ; hauteur 8 m ; choix de composition auteur ; dimensions réelles à documenter</x:v>
      </x:c>
      <x:c r="I1763" s="115" t="str">
        <x:v>À équilibrer</x:v>
      </x:c>
      <x:c r="J1763" s="115" t="str">
        <x:v>Non</x:v>
      </x:c>
      <x:c r="K1763" s="115" t="str">
        <x:v>Pièces décrites, murs, portes, niveaux et mobilier inspectables à l’échelle. Volumes réservés, raccord au seed, butin, rencontres et services de campagne restent à terminer.</x:v>
      </x:c>
    </x:row>
    <x:row r="1764" ht="96" customHeight="1">
      <x:c r="A1764" s="115" t="str">
        <x:v>EXT-MONDE-T036-V09</x:v>
      </x:c>
      <x:c r="B1764" s="115" t="str">
        <x:v>EXT-MONDE-T036</x:v>
      </x:c>
      <x:c r="C1764" s="115" t="str">
        <x:v>Échangeurs</x:v>
      </x:c>
      <x:c r="D1764" s="115" t="str">
        <x:v>Échangeur directionnel</x:v>
      </x:c>
      <x:c r="E1764" s="115" t="n">
        <x:v>9</x:v>
      </x:c>
      <x:c r="F1764" s="115" t="str">
        <x:v>Inspection physique</x:v>
      </x:c>
      <x:c r="G1764" s="115" t="str">
        <x:v>1 niveaux ; 34 pièces ; 260 segments de mur ; 0 transitions. Inspection physique ; architecture complète encore ouverte.</x:v>
      </x:c>
      <x:c r="H1764" s="115" t="str">
        <x:v>L 1400 ; l 1400 ; hauteur 8 m ; choix de composition auteur ; dimensions réelles à documenter</x:v>
      </x:c>
      <x:c r="I1764" s="115" t="str">
        <x:v>À équilibrer</x:v>
      </x:c>
      <x:c r="J1764" s="115" t="str">
        <x:v>Non</x:v>
      </x:c>
      <x:c r="K1764" s="115" t="str">
        <x:v>Pièces décrites, murs, portes, niveaux et mobilier inspectables à l’échelle. Volumes réservés, raccord au seed, butin, rencontres et services de campagne restent à terminer.</x:v>
      </x:c>
    </x:row>
    <x:row r="1765" ht="96" customHeight="1">
      <x:c r="A1765" s="115" t="str">
        <x:v>EXT-MONDE-T036-V10</x:v>
      </x:c>
      <x:c r="B1765" s="115" t="str">
        <x:v>EXT-MONDE-T036</x:v>
      </x:c>
      <x:c r="C1765" s="115" t="str">
        <x:v>Échangeurs</x:v>
      </x:c>
      <x:c r="D1765" s="115" t="str">
        <x:v>Échangeur directionnel</x:v>
      </x:c>
      <x:c r="E1765" s="115" t="n">
        <x:v>10</x:v>
      </x:c>
      <x:c r="F1765" s="115" t="str">
        <x:v>Inspection physique</x:v>
      </x:c>
      <x:c r="G1765" s="115" t="str">
        <x:v>1 niveaux ; 34 pièces ; 260 segments de mur ; 0 transitions. Inspection physique ; architecture complète encore ouverte.</x:v>
      </x:c>
      <x:c r="H1765" s="115" t="str">
        <x:v>L 1400 ; l 1400 ; hauteur 8 m ; choix de composition auteur ; dimensions réelles à documenter</x:v>
      </x:c>
      <x:c r="I1765" s="115" t="str">
        <x:v>À équilibrer</x:v>
      </x:c>
      <x:c r="J1765" s="115" t="str">
        <x:v>Non</x:v>
      </x:c>
      <x:c r="K1765" s="115" t="str">
        <x:v>Pièces décrites, murs, portes, niveaux et mobilier inspectables à l’échelle. Volumes réservés, raccord au seed, butin, rencontres et services de campagne restent à terminer.</x:v>
      </x:c>
    </x:row>
    <x:row r="1766" ht="96" customHeight="1">
      <x:c r="A1766" s="115" t="str">
        <x:v>EXT-MONDE-T036-V11</x:v>
      </x:c>
      <x:c r="B1766" s="115" t="str">
        <x:v>EXT-MONDE-T036</x:v>
      </x:c>
      <x:c r="C1766" s="115" t="str">
        <x:v>Échangeurs</x:v>
      </x:c>
      <x:c r="D1766" s="115" t="str">
        <x:v>Échangeur directionnel</x:v>
      </x:c>
      <x:c r="E1766" s="115" t="n">
        <x:v>11</x:v>
      </x:c>
      <x:c r="F1766" s="115" t="str">
        <x:v>Inspection physique</x:v>
      </x:c>
      <x:c r="G1766" s="115" t="str">
        <x:v>1 niveaux ; 34 pièces ; 260 segments de mur ; 0 transitions. Inspection physique ; architecture complète encore ouverte.</x:v>
      </x:c>
      <x:c r="H1766" s="115" t="str">
        <x:v>L 1480 ; l 1560 ; hauteur 8 m ; choix de composition auteur ; dimensions réelles à documenter</x:v>
      </x:c>
      <x:c r="I1766" s="115" t="str">
        <x:v>À équilibrer</x:v>
      </x:c>
      <x:c r="J1766" s="115" t="str">
        <x:v>Non</x:v>
      </x:c>
      <x:c r="K1766" s="115" t="str">
        <x:v>Pièces décrites, murs, portes, niveaux et mobilier inspectables à l’échelle. Volumes réservés, raccord au seed, butin, rencontres et services de campagne restent à terminer.</x:v>
      </x:c>
    </x:row>
    <x:row r="1767" ht="96" customHeight="1">
      <x:c r="A1767" s="115" t="str">
        <x:v>EXT-MONDE-T036-V12</x:v>
      </x:c>
      <x:c r="B1767" s="115" t="str">
        <x:v>EXT-MONDE-T036</x:v>
      </x:c>
      <x:c r="C1767" s="115" t="str">
        <x:v>Échangeurs</x:v>
      </x:c>
      <x:c r="D1767" s="115" t="str">
        <x:v>Échangeur directionnel</x:v>
      </x:c>
      <x:c r="E1767" s="115" t="n">
        <x:v>12</x:v>
      </x:c>
      <x:c r="F1767" s="115" t="str">
        <x:v>Inspection physique</x:v>
      </x:c>
      <x:c r="G1767" s="115" t="str">
        <x:v>1 niveaux ; 34 pièces ; 260 segments de mur ; 0 transitions. Inspection physique ; architecture complète encore ouverte.</x:v>
      </x:c>
      <x:c r="H1767" s="115" t="str">
        <x:v>L 1480 ; l 1560 ; hauteur 8 m ; choix de composition auteur ; dimensions réelles à documenter</x:v>
      </x:c>
      <x:c r="I1767" s="115" t="str">
        <x:v>À équilibrer</x:v>
      </x:c>
      <x:c r="J1767" s="115" t="str">
        <x:v>Non</x:v>
      </x:c>
      <x:c r="K1767" s="115" t="str">
        <x:v>Pièces décrites, murs, portes, niveaux et mobilier inspectables à l’échelle. Volumes réservés, raccord au seed, butin, rencontres et services de campagne restent à terminer.</x:v>
      </x:c>
    </x:row>
    <x:row r="1768" ht="96" customHeight="1">
      <x:c r="A1768" s="115" t="str">
        <x:v>EXT-MONDE-T036-V13</x:v>
      </x:c>
      <x:c r="B1768" s="115" t="str">
        <x:v>EXT-MONDE-T036</x:v>
      </x:c>
      <x:c r="C1768" s="115" t="str">
        <x:v>Échangeurs</x:v>
      </x:c>
      <x:c r="D1768" s="115" t="str">
        <x:v>Échangeur directionnel</x:v>
      </x:c>
      <x:c r="E1768" s="115" t="n">
        <x:v>13</x:v>
      </x:c>
      <x:c r="F1768" s="115" t="str">
        <x:v>Inspection physique</x:v>
      </x:c>
      <x:c r="G1768" s="115" t="str">
        <x:v>1 niveaux ; 34 pièces ; 260 segments de mur ; 0 transitions. Inspection physique ; architecture complète encore ouverte.</x:v>
      </x:c>
      <x:c r="H1768" s="115" t="str">
        <x:v>L 1480 ; l 1560 ; hauteur 8 m ; choix de composition auteur ; dimensions réelles à documenter</x:v>
      </x:c>
      <x:c r="I1768" s="115" t="str">
        <x:v>À équilibrer</x:v>
      </x:c>
      <x:c r="J1768" s="115" t="str">
        <x:v>Non</x:v>
      </x:c>
      <x:c r="K1768" s="115" t="str">
        <x:v>Pièces décrites, murs, portes, niveaux et mobilier inspectables à l’échelle. Volumes réservés, raccord au seed, butin, rencontres et services de campagne restent à terminer.</x:v>
      </x:c>
    </x:row>
    <x:row r="1769" ht="96" customHeight="1">
      <x:c r="A1769" s="115" t="str">
        <x:v>EXT-MONDE-T036-V14</x:v>
      </x:c>
      <x:c r="B1769" s="115" t="str">
        <x:v>EXT-MONDE-T036</x:v>
      </x:c>
      <x:c r="C1769" s="115" t="str">
        <x:v>Échangeurs</x:v>
      </x:c>
      <x:c r="D1769" s="115" t="str">
        <x:v>Échangeur directionnel</x:v>
      </x:c>
      <x:c r="E1769" s="115" t="n">
        <x:v>14</x:v>
      </x:c>
      <x:c r="F1769" s="115" t="str">
        <x:v>Inspection physique</x:v>
      </x:c>
      <x:c r="G1769" s="115" t="str">
        <x:v>1 niveaux ; 34 pièces ; 260 segments de mur ; 0 transitions. Inspection physique ; architecture complète encore ouverte.</x:v>
      </x:c>
      <x:c r="H1769" s="115" t="str">
        <x:v>L 1480 ; l 1560 ; hauteur 8 m ; choix de composition auteur ; dimensions réelles à documenter</x:v>
      </x:c>
      <x:c r="I1769" s="115" t="str">
        <x:v>À équilibrer</x:v>
      </x:c>
      <x:c r="J1769" s="115" t="str">
        <x:v>Non</x:v>
      </x:c>
      <x:c r="K1769" s="115" t="str">
        <x:v>Pièces décrites, murs, portes, niveaux et mobilier inspectables à l’échelle. Volumes réservés, raccord au seed, butin, rencontres et services de campagne restent à terminer.</x:v>
      </x:c>
    </x:row>
    <x:row r="1770" ht="96" customHeight="1">
      <x:c r="A1770" s="115" t="str">
        <x:v>EXT-MONDE-T036-V15</x:v>
      </x:c>
      <x:c r="B1770" s="115" t="str">
        <x:v>EXT-MONDE-T036</x:v>
      </x:c>
      <x:c r="C1770" s="115" t="str">
        <x:v>Échangeurs</x:v>
      </x:c>
      <x:c r="D1770" s="115" t="str">
        <x:v>Échangeur directionnel</x:v>
      </x:c>
      <x:c r="E1770" s="115" t="n">
        <x:v>15</x:v>
      </x:c>
      <x:c r="F1770" s="115" t="str">
        <x:v>Inspection physique</x:v>
      </x:c>
      <x:c r="G1770" s="115" t="str">
        <x:v>1 niveaux ; 34 pièces ; 260 segments de mur ; 0 transitions. Inspection physique ; architecture complète encore ouverte.</x:v>
      </x:c>
      <x:c r="H1770" s="115" t="str">
        <x:v>L 1480 ; l 1560 ; hauteur 8 m ; choix de composition auteur ; dimensions réelles à documenter</x:v>
      </x:c>
      <x:c r="I1770" s="115" t="str">
        <x:v>À équilibrer</x:v>
      </x:c>
      <x:c r="J1770" s="115" t="str">
        <x:v>Non</x:v>
      </x:c>
      <x:c r="K1770" s="115" t="str">
        <x:v>Pièces décrites, murs, portes, niveaux et mobilier inspectables à l’échelle. Volumes réservés, raccord au seed, butin, rencontres et services de campagne restent à terminer.</x:v>
      </x:c>
    </x:row>
    <x:row r="1771" ht="96" customHeight="1">
      <x:c r="A1771" s="115" t="str">
        <x:v>EXT-MONDE-T036-V16</x:v>
      </x:c>
      <x:c r="B1771" s="115" t="str">
        <x:v>EXT-MONDE-T036</x:v>
      </x:c>
      <x:c r="C1771" s="115" t="str">
        <x:v>Échangeurs</x:v>
      </x:c>
      <x:c r="D1771" s="115" t="str">
        <x:v>Échangeur directionnel</x:v>
      </x:c>
      <x:c r="E1771" s="115" t="n">
        <x:v>16</x:v>
      </x:c>
      <x:c r="F1771" s="115" t="str">
        <x:v>Inspection physique</x:v>
      </x:c>
      <x:c r="G1771" s="115" t="str">
        <x:v>1 niveaux ; 34 pièces ; 260 segments de mur ; 0 transitions. Inspection physique ; architecture complète encore ouverte.</x:v>
      </x:c>
      <x:c r="H1771" s="115" t="str">
        <x:v>L 1480 ; l 1560 ; hauteur 8 m ; choix de composition auteur ; dimensions réelles à documenter</x:v>
      </x:c>
      <x:c r="I1771" s="115" t="str">
        <x:v>À équilibrer</x:v>
      </x:c>
      <x:c r="J1771" s="115" t="str">
        <x:v>Non</x:v>
      </x:c>
      <x:c r="K1771" s="115" t="str">
        <x:v>Pièces décrites, murs, portes, niveaux et mobilier inspectables à l’échelle. Volumes réservés, raccord au seed, butin, rencontres et services de campagne restent à terminer.</x:v>
      </x:c>
    </x:row>
    <x:row r="1772" ht="96" customHeight="1">
      <x:c r="A1772" s="115" t="str">
        <x:v>EXT-MONDE-T036-V17</x:v>
      </x:c>
      <x:c r="B1772" s="115" t="str">
        <x:v>EXT-MONDE-T036</x:v>
      </x:c>
      <x:c r="C1772" s="115" t="str">
        <x:v>Échangeurs</x:v>
      </x:c>
      <x:c r="D1772" s="115" t="str">
        <x:v>Échangeur directionnel</x:v>
      </x:c>
      <x:c r="E1772" s="115" t="n">
        <x:v>17</x:v>
      </x:c>
      <x:c r="F1772" s="115" t="str">
        <x:v>Inspection physique</x:v>
      </x:c>
      <x:c r="G1772" s="115" t="str">
        <x:v>1 niveaux ; 34 pièces ; 260 segments de mur ; 0 transitions. Inspection physique ; architecture complète encore ouverte.</x:v>
      </x:c>
      <x:c r="H1772" s="115" t="str">
        <x:v>L 1480 ; l 1560 ; hauteur 8 m ; choix de composition auteur ; dimensions réelles à documenter</x:v>
      </x:c>
      <x:c r="I1772" s="115" t="str">
        <x:v>À équilibrer</x:v>
      </x:c>
      <x:c r="J1772" s="115" t="str">
        <x:v>Non</x:v>
      </x:c>
      <x:c r="K1772" s="115" t="str">
        <x:v>Pièces décrites, murs, portes, niveaux et mobilier inspectables à l’échelle. Volumes réservés, raccord au seed, butin, rencontres et services de campagne restent à terminer.</x:v>
      </x:c>
    </x:row>
    <x:row r="1773" ht="96" customHeight="1">
      <x:c r="A1773" s="115" t="str">
        <x:v>EXT-MONDE-T036-V18</x:v>
      </x:c>
      <x:c r="B1773" s="115" t="str">
        <x:v>EXT-MONDE-T036</x:v>
      </x:c>
      <x:c r="C1773" s="115" t="str">
        <x:v>Échangeurs</x:v>
      </x:c>
      <x:c r="D1773" s="115" t="str">
        <x:v>Échangeur directionnel</x:v>
      </x:c>
      <x:c r="E1773" s="115" t="n">
        <x:v>18</x:v>
      </x:c>
      <x:c r="F1773" s="115" t="str">
        <x:v>Inspection physique</x:v>
      </x:c>
      <x:c r="G1773" s="115" t="str">
        <x:v>1 niveaux ; 34 pièces ; 260 segments de mur ; 0 transitions. Inspection physique ; architecture complète encore ouverte.</x:v>
      </x:c>
      <x:c r="H1773" s="115" t="str">
        <x:v>L 1480 ; l 1560 ; hauteur 8 m ; choix de composition auteur ; dimensions réelles à documenter</x:v>
      </x:c>
      <x:c r="I1773" s="115" t="str">
        <x:v>À équilibrer</x:v>
      </x:c>
      <x:c r="J1773" s="115" t="str">
        <x:v>Non</x:v>
      </x:c>
      <x:c r="K1773" s="115" t="str">
        <x:v>Pièces décrites, murs, portes, niveaux et mobilier inspectables à l’échelle. Volumes réservés, raccord au seed, butin, rencontres et services de campagne restent à terminer.</x:v>
      </x:c>
    </x:row>
    <x:row r="1774" ht="96" customHeight="1">
      <x:c r="A1774" s="115" t="str">
        <x:v>EXT-MONDE-T036-V19</x:v>
      </x:c>
      <x:c r="B1774" s="115" t="str">
        <x:v>EXT-MONDE-T036</x:v>
      </x:c>
      <x:c r="C1774" s="115" t="str">
        <x:v>Échangeurs</x:v>
      </x:c>
      <x:c r="D1774" s="115" t="str">
        <x:v>Échangeur directionnel</x:v>
      </x:c>
      <x:c r="E1774" s="115" t="n">
        <x:v>19</x:v>
      </x:c>
      <x:c r="F1774" s="115" t="str">
        <x:v>Inspection physique</x:v>
      </x:c>
      <x:c r="G1774" s="115" t="str">
        <x:v>1 niveaux ; 34 pièces ; 260 segments de mur ; 0 transitions. Inspection physique ; architecture complète encore ouverte.</x:v>
      </x:c>
      <x:c r="H1774" s="115" t="str">
        <x:v>L 1480 ; l 1560 ; hauteur 8 m ; choix de composition auteur ; dimensions réelles à documenter</x:v>
      </x:c>
      <x:c r="I1774" s="115" t="str">
        <x:v>À équilibrer</x:v>
      </x:c>
      <x:c r="J1774" s="115" t="str">
        <x:v>Non</x:v>
      </x:c>
      <x:c r="K1774" s="115" t="str">
        <x:v>Pièces décrites, murs, portes, niveaux et mobilier inspectables à l’échelle. Volumes réservés, raccord au seed, butin, rencontres et services de campagne restent à terminer.</x:v>
      </x:c>
    </x:row>
    <x:row r="1775" ht="96" customHeight="1">
      <x:c r="A1775" s="115" t="str">
        <x:v>EXT-MONDE-T036-V20</x:v>
      </x:c>
      <x:c r="B1775" s="115" t="str">
        <x:v>EXT-MONDE-T036</x:v>
      </x:c>
      <x:c r="C1775" s="115" t="str">
        <x:v>Échangeurs</x:v>
      </x:c>
      <x:c r="D1775" s="115" t="str">
        <x:v>Échangeur directionnel</x:v>
      </x:c>
      <x:c r="E1775" s="115" t="n">
        <x:v>20</x:v>
      </x:c>
      <x:c r="F1775" s="115" t="str">
        <x:v>Inspection physique</x:v>
      </x:c>
      <x:c r="G1775" s="115" t="str">
        <x:v>1 niveaux ; 34 pièces ; 260 segments de mur ; 0 transitions. Inspection physique ; architecture complète encore ouverte.</x:v>
      </x:c>
      <x:c r="H1775" s="115" t="str">
        <x:v>L 1480 ; l 1560 ; hauteur 8 m ; choix de composition auteur ; dimensions réelles à documenter</x:v>
      </x:c>
      <x:c r="I1775" s="115" t="str">
        <x:v>À équilibrer</x:v>
      </x:c>
      <x:c r="J1775" s="115" t="str">
        <x:v>Non</x:v>
      </x:c>
      <x:c r="K1775" s="115" t="str">
        <x:v>Pièces décrites, murs, portes, niveaux et mobilier inspectables à l’échelle. Volumes réservés, raccord au seed, butin, rencontres et services de campagne restent à terminer.</x:v>
      </x:c>
    </x:row>
    <x:row r="1776" ht="96" customHeight="1">
      <x:c r="A1776" s="115" t="str">
        <x:v>EXT-MONDE-T036-V21</x:v>
      </x:c>
      <x:c r="B1776" s="115" t="str">
        <x:v>EXT-MONDE-T036</x:v>
      </x:c>
      <x:c r="C1776" s="115" t="str">
        <x:v>Échangeurs</x:v>
      </x:c>
      <x:c r="D1776" s="115" t="str">
        <x:v>Échangeur directionnel</x:v>
      </x:c>
      <x:c r="E1776" s="115" t="n">
        <x:v>21</x:v>
      </x:c>
      <x:c r="F1776" s="115" t="str">
        <x:v>Inspection physique</x:v>
      </x:c>
      <x:c r="G1776" s="115" t="str">
        <x:v>1 niveaux ; 34 pièces ; 260 segments de mur ; 0 transitions. Inspection physique ; architecture complète encore ouverte.</x:v>
      </x:c>
      <x:c r="H1776" s="115" t="str">
        <x:v>L 1560 ; l 1720 ; hauteur 8 m ; choix de composition auteur ; dimensions réelles à documenter</x:v>
      </x:c>
      <x:c r="I1776" s="115" t="str">
        <x:v>À équilibrer</x:v>
      </x:c>
      <x:c r="J1776" s="115" t="str">
        <x:v>Non</x:v>
      </x:c>
      <x:c r="K1776" s="115" t="str">
        <x:v>Pièces décrites, murs, portes, niveaux et mobilier inspectables à l’échelle. Volumes réservés, raccord au seed, butin, rencontres et services de campagne restent à terminer.</x:v>
      </x:c>
    </x:row>
    <x:row r="1777" ht="96" customHeight="1">
      <x:c r="A1777" s="115" t="str">
        <x:v>EXT-MONDE-T036-V22</x:v>
      </x:c>
      <x:c r="B1777" s="115" t="str">
        <x:v>EXT-MONDE-T036</x:v>
      </x:c>
      <x:c r="C1777" s="115" t="str">
        <x:v>Échangeurs</x:v>
      </x:c>
      <x:c r="D1777" s="115" t="str">
        <x:v>Échangeur directionnel</x:v>
      </x:c>
      <x:c r="E1777" s="115" t="n">
        <x:v>22</x:v>
      </x:c>
      <x:c r="F1777" s="115" t="str">
        <x:v>Inspection physique</x:v>
      </x:c>
      <x:c r="G1777" s="115" t="str">
        <x:v>1 niveaux ; 34 pièces ; 260 segments de mur ; 0 transitions. Inspection physique ; architecture complète encore ouverte.</x:v>
      </x:c>
      <x:c r="H1777" s="115" t="str">
        <x:v>L 1560 ; l 1720 ; hauteur 8 m ; choix de composition auteur ; dimensions réelles à documenter</x:v>
      </x:c>
      <x:c r="I1777" s="115" t="str">
        <x:v>À équilibrer</x:v>
      </x:c>
      <x:c r="J1777" s="115" t="str">
        <x:v>Non</x:v>
      </x:c>
      <x:c r="K1777" s="115" t="str">
        <x:v>Pièces décrites, murs, portes, niveaux et mobilier inspectables à l’échelle. Volumes réservés, raccord au seed, butin, rencontres et services de campagne restent à terminer.</x:v>
      </x:c>
    </x:row>
    <x:row r="1778" ht="96" customHeight="1">
      <x:c r="A1778" s="115" t="str">
        <x:v>EXT-MONDE-T036-V23</x:v>
      </x:c>
      <x:c r="B1778" s="115" t="str">
        <x:v>EXT-MONDE-T036</x:v>
      </x:c>
      <x:c r="C1778" s="115" t="str">
        <x:v>Échangeurs</x:v>
      </x:c>
      <x:c r="D1778" s="115" t="str">
        <x:v>Échangeur directionnel</x:v>
      </x:c>
      <x:c r="E1778" s="115" t="n">
        <x:v>23</x:v>
      </x:c>
      <x:c r="F1778" s="115" t="str">
        <x:v>Inspection physique</x:v>
      </x:c>
      <x:c r="G1778" s="115" t="str">
        <x:v>1 niveaux ; 34 pièces ; 260 segments de mur ; 0 transitions. Inspection physique ; architecture complète encore ouverte.</x:v>
      </x:c>
      <x:c r="H1778" s="115" t="str">
        <x:v>L 1560 ; l 1720 ; hauteur 8 m ; choix de composition auteur ; dimensions réelles à documenter</x:v>
      </x:c>
      <x:c r="I1778" s="115" t="str">
        <x:v>À équilibrer</x:v>
      </x:c>
      <x:c r="J1778" s="115" t="str">
        <x:v>Non</x:v>
      </x:c>
      <x:c r="K1778" s="115" t="str">
        <x:v>Pièces décrites, murs, portes, niveaux et mobilier inspectables à l’échelle. Volumes réservés, raccord au seed, butin, rencontres et services de campagne restent à terminer.</x:v>
      </x:c>
    </x:row>
    <x:row r="1779" ht="96" customHeight="1">
      <x:c r="A1779" s="115" t="str">
        <x:v>EXT-MONDE-T036-V24</x:v>
      </x:c>
      <x:c r="B1779" s="115" t="str">
        <x:v>EXT-MONDE-T036</x:v>
      </x:c>
      <x:c r="C1779" s="115" t="str">
        <x:v>Échangeurs</x:v>
      </x:c>
      <x:c r="D1779" s="115" t="str">
        <x:v>Échangeur directionnel</x:v>
      </x:c>
      <x:c r="E1779" s="115" t="n">
        <x:v>24</x:v>
      </x:c>
      <x:c r="F1779" s="115" t="str">
        <x:v>Inspection physique</x:v>
      </x:c>
      <x:c r="G1779" s="115" t="str">
        <x:v>1 niveaux ; 34 pièces ; 260 segments de mur ; 0 transitions. Inspection physique ; architecture complète encore ouverte.</x:v>
      </x:c>
      <x:c r="H1779" s="115" t="str">
        <x:v>L 1560 ; l 1720 ; hauteur 8 m ; choix de composition auteur ; dimensions réelles à documenter</x:v>
      </x:c>
      <x:c r="I1779" s="115" t="str">
        <x:v>À équilibrer</x:v>
      </x:c>
      <x:c r="J1779" s="115" t="str">
        <x:v>Non</x:v>
      </x:c>
      <x:c r="K1779" s="115" t="str">
        <x:v>Pièces décrites, murs, portes, niveaux et mobilier inspectables à l’échelle. Volumes réservés, raccord au seed, butin, rencontres et services de campagne restent à terminer.</x:v>
      </x:c>
    </x:row>
    <x:row r="1780" ht="96" customHeight="1">
      <x:c r="A1780" s="115" t="str">
        <x:v>EXT-MONDE-T036-V25</x:v>
      </x:c>
      <x:c r="B1780" s="115" t="str">
        <x:v>EXT-MONDE-T036</x:v>
      </x:c>
      <x:c r="C1780" s="115" t="str">
        <x:v>Échangeurs</x:v>
      </x:c>
      <x:c r="D1780" s="115" t="str">
        <x:v>Échangeur directionnel</x:v>
      </x:c>
      <x:c r="E1780" s="115" t="n">
        <x:v>25</x:v>
      </x:c>
      <x:c r="F1780" s="115" t="str">
        <x:v>Inspection physique</x:v>
      </x:c>
      <x:c r="G1780" s="115" t="str">
        <x:v>1 niveaux ; 34 pièces ; 260 segments de mur ; 0 transitions. Inspection physique ; architecture complète encore ouverte.</x:v>
      </x:c>
      <x:c r="H1780" s="115" t="str">
        <x:v>L 1560 ; l 1720 ; hauteur 8 m ; choix de composition auteur ; dimensions réelles à documenter</x:v>
      </x:c>
      <x:c r="I1780" s="115" t="str">
        <x:v>À équilibrer</x:v>
      </x:c>
      <x:c r="J1780" s="115" t="str">
        <x:v>Non</x:v>
      </x:c>
      <x:c r="K1780" s="115" t="str">
        <x:v>Pièces décrites, murs, portes, niveaux et mobilier inspectables à l’échelle. Volumes réservés, raccord au seed, butin, rencontres et services de campagne restent à terminer.</x:v>
      </x:c>
    </x:row>
    <x:row r="1781" ht="96" customHeight="1">
      <x:c r="A1781" s="115" t="str">
        <x:v>EXT-MONDE-T036-V26</x:v>
      </x:c>
      <x:c r="B1781" s="115" t="str">
        <x:v>EXT-MONDE-T036</x:v>
      </x:c>
      <x:c r="C1781" s="115" t="str">
        <x:v>Échangeurs</x:v>
      </x:c>
      <x:c r="D1781" s="115" t="str">
        <x:v>Échangeur directionnel</x:v>
      </x:c>
      <x:c r="E1781" s="115" t="n">
        <x:v>26</x:v>
      </x:c>
      <x:c r="F1781" s="115" t="str">
        <x:v>Inspection physique</x:v>
      </x:c>
      <x:c r="G1781" s="115" t="str">
        <x:v>1 niveaux ; 34 pièces ; 260 segments de mur ; 0 transitions. Inspection physique ; architecture complète encore ouverte.</x:v>
      </x:c>
      <x:c r="H1781" s="115" t="str">
        <x:v>L 1560 ; l 1720 ; hauteur 8 m ; choix de composition auteur ; dimensions réelles à documenter</x:v>
      </x:c>
      <x:c r="I1781" s="115" t="str">
        <x:v>À équilibrer</x:v>
      </x:c>
      <x:c r="J1781" s="115" t="str">
        <x:v>Non</x:v>
      </x:c>
      <x:c r="K1781" s="115" t="str">
        <x:v>Pièces décrites, murs, portes, niveaux et mobilier inspectables à l’échelle. Volumes réservés, raccord au seed, butin, rencontres et services de campagne restent à terminer.</x:v>
      </x:c>
    </x:row>
    <x:row r="1782" ht="96" customHeight="1">
      <x:c r="A1782" s="115" t="str">
        <x:v>EXT-MONDE-T036-V27</x:v>
      </x:c>
      <x:c r="B1782" s="115" t="str">
        <x:v>EXT-MONDE-T036</x:v>
      </x:c>
      <x:c r="C1782" s="115" t="str">
        <x:v>Échangeurs</x:v>
      </x:c>
      <x:c r="D1782" s="115" t="str">
        <x:v>Échangeur directionnel</x:v>
      </x:c>
      <x:c r="E1782" s="115" t="n">
        <x:v>27</x:v>
      </x:c>
      <x:c r="F1782" s="115" t="str">
        <x:v>Inspection physique</x:v>
      </x:c>
      <x:c r="G1782" s="115" t="str">
        <x:v>1 niveaux ; 34 pièces ; 260 segments de mur ; 0 transitions. Inspection physique ; architecture complète encore ouverte.</x:v>
      </x:c>
      <x:c r="H1782" s="115" t="str">
        <x:v>L 1560 ; l 1720 ; hauteur 8 m ; choix de composition auteur ; dimensions réelles à documenter</x:v>
      </x:c>
      <x:c r="I1782" s="115" t="str">
        <x:v>À équilibrer</x:v>
      </x:c>
      <x:c r="J1782" s="115" t="str">
        <x:v>Non</x:v>
      </x:c>
      <x:c r="K1782" s="115" t="str">
        <x:v>Pièces décrites, murs, portes, niveaux et mobilier inspectables à l’échelle. Volumes réservés, raccord au seed, butin, rencontres et services de campagne restent à terminer.</x:v>
      </x:c>
    </x:row>
    <x:row r="1783" ht="96" customHeight="1">
      <x:c r="A1783" s="115" t="str">
        <x:v>EXT-MONDE-T036-V28</x:v>
      </x:c>
      <x:c r="B1783" s="115" t="str">
        <x:v>EXT-MONDE-T036</x:v>
      </x:c>
      <x:c r="C1783" s="115" t="str">
        <x:v>Échangeurs</x:v>
      </x:c>
      <x:c r="D1783" s="115" t="str">
        <x:v>Échangeur directionnel</x:v>
      </x:c>
      <x:c r="E1783" s="115" t="n">
        <x:v>28</x:v>
      </x:c>
      <x:c r="F1783" s="115" t="str">
        <x:v>Inspection physique</x:v>
      </x:c>
      <x:c r="G1783" s="115" t="str">
        <x:v>1 niveaux ; 34 pièces ; 260 segments de mur ; 0 transitions. Inspection physique ; architecture complète encore ouverte.</x:v>
      </x:c>
      <x:c r="H1783" s="115" t="str">
        <x:v>L 1560 ; l 1720 ; hauteur 8 m ; choix de composition auteur ; dimensions réelles à documenter</x:v>
      </x:c>
      <x:c r="I1783" s="115" t="str">
        <x:v>À équilibrer</x:v>
      </x:c>
      <x:c r="J1783" s="115" t="str">
        <x:v>Non</x:v>
      </x:c>
      <x:c r="K1783" s="115" t="str">
        <x:v>Pièces décrites, murs, portes, niveaux et mobilier inspectables à l’échelle. Volumes réservés, raccord au seed, butin, rencontres et services de campagne restent à terminer.</x:v>
      </x:c>
    </x:row>
    <x:row r="1784" ht="96" customHeight="1">
      <x:c r="A1784" s="115" t="str">
        <x:v>EXT-MONDE-T036-V29</x:v>
      </x:c>
      <x:c r="B1784" s="115" t="str">
        <x:v>EXT-MONDE-T036</x:v>
      </x:c>
      <x:c r="C1784" s="115" t="str">
        <x:v>Échangeurs</x:v>
      </x:c>
      <x:c r="D1784" s="115" t="str">
        <x:v>Échangeur directionnel</x:v>
      </x:c>
      <x:c r="E1784" s="115" t="n">
        <x:v>29</x:v>
      </x:c>
      <x:c r="F1784" s="115" t="str">
        <x:v>Inspection physique</x:v>
      </x:c>
      <x:c r="G1784" s="115" t="str">
        <x:v>1 niveaux ; 34 pièces ; 260 segments de mur ; 0 transitions. Inspection physique ; architecture complète encore ouverte.</x:v>
      </x:c>
      <x:c r="H1784" s="115" t="str">
        <x:v>L 1560 ; l 1720 ; hauteur 8 m ; choix de composition auteur ; dimensions réelles à documenter</x:v>
      </x:c>
      <x:c r="I1784" s="115" t="str">
        <x:v>À équilibrer</x:v>
      </x:c>
      <x:c r="J1784" s="115" t="str">
        <x:v>Non</x:v>
      </x:c>
      <x:c r="K1784" s="115" t="str">
        <x:v>Pièces décrites, murs, portes, niveaux et mobilier inspectables à l’échelle. Volumes réservés, raccord au seed, butin, rencontres et services de campagne restent à terminer.</x:v>
      </x:c>
    </x:row>
    <x:row r="1785" ht="96" customHeight="1">
      <x:c r="A1785" s="115" t="str">
        <x:v>EXT-MONDE-T036-V30</x:v>
      </x:c>
      <x:c r="B1785" s="115" t="str">
        <x:v>EXT-MONDE-T036</x:v>
      </x:c>
      <x:c r="C1785" s="115" t="str">
        <x:v>Échangeurs</x:v>
      </x:c>
      <x:c r="D1785" s="115" t="str">
        <x:v>Échangeur directionnel</x:v>
      </x:c>
      <x:c r="E1785" s="115" t="n">
        <x:v>30</x:v>
      </x:c>
      <x:c r="F1785" s="115" t="str">
        <x:v>Inspection physique</x:v>
      </x:c>
      <x:c r="G1785" s="115" t="str">
        <x:v>1 niveaux ; 34 pièces ; 260 segments de mur ; 0 transitions. Inspection physique ; architecture complète encore ouverte.</x:v>
      </x:c>
      <x:c r="H1785" s="115" t="str">
        <x:v>L 1560 ; l 1720 ; hauteur 8 m ; choix de composition auteur ; dimensions réelles à documenter</x:v>
      </x:c>
      <x:c r="I1785" s="115" t="str">
        <x:v>À équilibrer</x:v>
      </x:c>
      <x:c r="J1785" s="115" t="str">
        <x:v>Non</x:v>
      </x:c>
      <x:c r="K1785" s="115" t="str">
        <x:v>Pièces décrites, murs, portes, niveaux et mobilier inspectables à l’échelle. Volumes réservés, raccord au seed, butin, rencontres et services de campagne restent à terminer.</x:v>
      </x:c>
    </x:row>
    <x:row r="1786" ht="96" customHeight="1">
      <x:c r="A1786" s="115" t="str">
        <x:v>EXT-MONDE-T036-V31</x:v>
      </x:c>
      <x:c r="B1786" s="115" t="str">
        <x:v>EXT-MONDE-T036</x:v>
      </x:c>
      <x:c r="C1786" s="115" t="str">
        <x:v>Échangeurs</x:v>
      </x:c>
      <x:c r="D1786" s="115" t="str">
        <x:v>Échangeur directionnel</x:v>
      </x:c>
      <x:c r="E1786" s="115" t="n">
        <x:v>31</x:v>
      </x:c>
      <x:c r="F1786" s="115" t="str">
        <x:v>Inspection physique</x:v>
      </x:c>
      <x:c r="G1786" s="115" t="str">
        <x:v>1 niveaux ; 34 pièces ; 260 segments de mur ; 0 transitions. Inspection physique ; architecture complète encore ouverte.</x:v>
      </x:c>
      <x:c r="H1786" s="115" t="str">
        <x:v>L 1640 ; l 1880 ; hauteur 8 m ; choix de composition auteur ; dimensions réelles à documenter</x:v>
      </x:c>
      <x:c r="I1786" s="115" t="str">
        <x:v>À équilibrer</x:v>
      </x:c>
      <x:c r="J1786" s="115" t="str">
        <x:v>Non</x:v>
      </x:c>
      <x:c r="K1786" s="115" t="str">
        <x:v>Pièces décrites, murs, portes, niveaux et mobilier inspectables à l’échelle. Volumes réservés, raccord au seed, butin, rencontres et services de campagne restent à terminer.</x:v>
      </x:c>
    </x:row>
    <x:row r="1787" ht="96" customHeight="1">
      <x:c r="A1787" s="115" t="str">
        <x:v>EXT-MONDE-T036-V32</x:v>
      </x:c>
      <x:c r="B1787" s="115" t="str">
        <x:v>EXT-MONDE-T036</x:v>
      </x:c>
      <x:c r="C1787" s="115" t="str">
        <x:v>Échangeurs</x:v>
      </x:c>
      <x:c r="D1787" s="115" t="str">
        <x:v>Échangeur directionnel</x:v>
      </x:c>
      <x:c r="E1787" s="115" t="n">
        <x:v>32</x:v>
      </x:c>
      <x:c r="F1787" s="115" t="str">
        <x:v>Inspection physique</x:v>
      </x:c>
      <x:c r="G1787" s="115" t="str">
        <x:v>1 niveaux ; 34 pièces ; 260 segments de mur ; 0 transitions. Inspection physique ; architecture complète encore ouverte.</x:v>
      </x:c>
      <x:c r="H1787" s="115" t="str">
        <x:v>L 1640 ; l 1880 ; hauteur 8 m ; choix de composition auteur ; dimensions réelles à documenter</x:v>
      </x:c>
      <x:c r="I1787" s="115" t="str">
        <x:v>À équilibrer</x:v>
      </x:c>
      <x:c r="J1787" s="115" t="str">
        <x:v>Non</x:v>
      </x:c>
      <x:c r="K1787" s="115" t="str">
        <x:v>Pièces décrites, murs, portes, niveaux et mobilier inspectables à l’échelle. Volumes réservés, raccord au seed, butin, rencontres et services de campagne restent à terminer.</x:v>
      </x:c>
    </x:row>
    <x:row r="1788" ht="96" customHeight="1">
      <x:c r="A1788" s="115" t="str">
        <x:v>EXT-MONDE-T036-V33</x:v>
      </x:c>
      <x:c r="B1788" s="115" t="str">
        <x:v>EXT-MONDE-T036</x:v>
      </x:c>
      <x:c r="C1788" s="115" t="str">
        <x:v>Échangeurs</x:v>
      </x:c>
      <x:c r="D1788" s="115" t="str">
        <x:v>Échangeur directionnel</x:v>
      </x:c>
      <x:c r="E1788" s="115" t="n">
        <x:v>33</x:v>
      </x:c>
      <x:c r="F1788" s="115" t="str">
        <x:v>Inspection physique</x:v>
      </x:c>
      <x:c r="G1788" s="115" t="str">
        <x:v>1 niveaux ; 34 pièces ; 260 segments de mur ; 0 transitions. Inspection physique ; architecture complète encore ouverte.</x:v>
      </x:c>
      <x:c r="H1788" s="115" t="str">
        <x:v>L 1640 ; l 1880 ; hauteur 8 m ; choix de composition auteur ; dimensions réelles à documenter</x:v>
      </x:c>
      <x:c r="I1788" s="115" t="str">
        <x:v>À équilibrer</x:v>
      </x:c>
      <x:c r="J1788" s="115" t="str">
        <x:v>Non</x:v>
      </x:c>
      <x:c r="K1788" s="115" t="str">
        <x:v>Pièces décrites, murs, portes, niveaux et mobilier inspectables à l’échelle. Volumes réservés, raccord au seed, butin, rencontres et services de campagne restent à terminer.</x:v>
      </x:c>
    </x:row>
    <x:row r="1789" ht="96" customHeight="1">
      <x:c r="A1789" s="115" t="str">
        <x:v>EXT-MONDE-T036-V34</x:v>
      </x:c>
      <x:c r="B1789" s="115" t="str">
        <x:v>EXT-MONDE-T036</x:v>
      </x:c>
      <x:c r="C1789" s="115" t="str">
        <x:v>Échangeurs</x:v>
      </x:c>
      <x:c r="D1789" s="115" t="str">
        <x:v>Échangeur directionnel</x:v>
      </x:c>
      <x:c r="E1789" s="115" t="n">
        <x:v>34</x:v>
      </x:c>
      <x:c r="F1789" s="115" t="str">
        <x:v>Inspection physique</x:v>
      </x:c>
      <x:c r="G1789" s="115" t="str">
        <x:v>1 niveaux ; 34 pièces ; 260 segments de mur ; 0 transitions. Inspection physique ; architecture complète encore ouverte.</x:v>
      </x:c>
      <x:c r="H1789" s="115" t="str">
        <x:v>L 1640 ; l 1880 ; hauteur 8 m ; choix de composition auteur ; dimensions réelles à documenter</x:v>
      </x:c>
      <x:c r="I1789" s="115" t="str">
        <x:v>À équilibrer</x:v>
      </x:c>
      <x:c r="J1789" s="115" t="str">
        <x:v>Non</x:v>
      </x:c>
      <x:c r="K1789" s="115" t="str">
        <x:v>Pièces décrites, murs, portes, niveaux et mobilier inspectables à l’échelle. Volumes réservés, raccord au seed, butin, rencontres et services de campagne restent à terminer.</x:v>
      </x:c>
    </x:row>
    <x:row r="1790" ht="96" customHeight="1">
      <x:c r="A1790" s="115" t="str">
        <x:v>EXT-MONDE-T036-V35</x:v>
      </x:c>
      <x:c r="B1790" s="115" t="str">
        <x:v>EXT-MONDE-T036</x:v>
      </x:c>
      <x:c r="C1790" s="115" t="str">
        <x:v>Échangeurs</x:v>
      </x:c>
      <x:c r="D1790" s="115" t="str">
        <x:v>Échangeur directionnel</x:v>
      </x:c>
      <x:c r="E1790" s="115" t="n">
        <x:v>35</x:v>
      </x:c>
      <x:c r="F1790" s="115" t="str">
        <x:v>Inspection physique</x:v>
      </x:c>
      <x:c r="G1790" s="115" t="str">
        <x:v>1 niveaux ; 34 pièces ; 260 segments de mur ; 0 transitions. Inspection physique ; architecture complète encore ouverte.</x:v>
      </x:c>
      <x:c r="H1790" s="115" t="str">
        <x:v>L 1640 ; l 1880 ; hauteur 8 m ; choix de composition auteur ; dimensions réelles à documenter</x:v>
      </x:c>
      <x:c r="I1790" s="115" t="str">
        <x:v>À équilibrer</x:v>
      </x:c>
      <x:c r="J1790" s="115" t="str">
        <x:v>Non</x:v>
      </x:c>
      <x:c r="K1790" s="115" t="str">
        <x:v>Pièces décrites, murs, portes, niveaux et mobilier inspectables à l’échelle. Volumes réservés, raccord au seed, butin, rencontres et services de campagne restent à terminer.</x:v>
      </x:c>
    </x:row>
    <x:row r="1791" ht="96" customHeight="1">
      <x:c r="A1791" s="115" t="str">
        <x:v>EXT-MONDE-T036-V36</x:v>
      </x:c>
      <x:c r="B1791" s="115" t="str">
        <x:v>EXT-MONDE-T036</x:v>
      </x:c>
      <x:c r="C1791" s="115" t="str">
        <x:v>Échangeurs</x:v>
      </x:c>
      <x:c r="D1791" s="115" t="str">
        <x:v>Échangeur directionnel</x:v>
      </x:c>
      <x:c r="E1791" s="115" t="n">
        <x:v>36</x:v>
      </x:c>
      <x:c r="F1791" s="115" t="str">
        <x:v>Inspection physique</x:v>
      </x:c>
      <x:c r="G1791" s="115" t="str">
        <x:v>1 niveaux ; 34 pièces ; 260 segments de mur ; 0 transitions. Inspection physique ; architecture complète encore ouverte.</x:v>
      </x:c>
      <x:c r="H1791" s="115" t="str">
        <x:v>L 1640 ; l 1880 ; hauteur 8 m ; choix de composition auteur ; dimensions réelles à documenter</x:v>
      </x:c>
      <x:c r="I1791" s="115" t="str">
        <x:v>À équilibrer</x:v>
      </x:c>
      <x:c r="J1791" s="115" t="str">
        <x:v>Non</x:v>
      </x:c>
      <x:c r="K1791" s="115" t="str">
        <x:v>Pièces décrites, murs, portes, niveaux et mobilier inspectables à l’échelle. Volumes réservés, raccord au seed, butin, rencontres et services de campagne restent à terminer.</x:v>
      </x:c>
    </x:row>
    <x:row r="1792" ht="96" customHeight="1">
      <x:c r="A1792" s="115" t="str">
        <x:v>EXT-MONDE-T036-V37</x:v>
      </x:c>
      <x:c r="B1792" s="115" t="str">
        <x:v>EXT-MONDE-T036</x:v>
      </x:c>
      <x:c r="C1792" s="115" t="str">
        <x:v>Échangeurs</x:v>
      </x:c>
      <x:c r="D1792" s="115" t="str">
        <x:v>Échangeur directionnel</x:v>
      </x:c>
      <x:c r="E1792" s="115" t="n">
        <x:v>37</x:v>
      </x:c>
      <x:c r="F1792" s="115" t="str">
        <x:v>Inspection physique</x:v>
      </x:c>
      <x:c r="G1792" s="115" t="str">
        <x:v>1 niveaux ; 34 pièces ; 260 segments de mur ; 0 transitions. Inspection physique ; architecture complète encore ouverte.</x:v>
      </x:c>
      <x:c r="H1792" s="115" t="str">
        <x:v>L 1640 ; l 1880 ; hauteur 8 m ; choix de composition auteur ; dimensions réelles à documenter</x:v>
      </x:c>
      <x:c r="I1792" s="115" t="str">
        <x:v>À équilibrer</x:v>
      </x:c>
      <x:c r="J1792" s="115" t="str">
        <x:v>Non</x:v>
      </x:c>
      <x:c r="K1792" s="115" t="str">
        <x:v>Pièces décrites, murs, portes, niveaux et mobilier inspectables à l’échelle. Volumes réservés, raccord au seed, butin, rencontres et services de campagne restent à terminer.</x:v>
      </x:c>
    </x:row>
    <x:row r="1793" ht="96" customHeight="1">
      <x:c r="A1793" s="115" t="str">
        <x:v>EXT-MONDE-T036-V38</x:v>
      </x:c>
      <x:c r="B1793" s="115" t="str">
        <x:v>EXT-MONDE-T036</x:v>
      </x:c>
      <x:c r="C1793" s="115" t="str">
        <x:v>Échangeurs</x:v>
      </x:c>
      <x:c r="D1793" s="115" t="str">
        <x:v>Échangeur directionnel</x:v>
      </x:c>
      <x:c r="E1793" s="115" t="n">
        <x:v>38</x:v>
      </x:c>
      <x:c r="F1793" s="115" t="str">
        <x:v>Inspection physique</x:v>
      </x:c>
      <x:c r="G1793" s="115" t="str">
        <x:v>1 niveaux ; 34 pièces ; 260 segments de mur ; 0 transitions. Inspection physique ; architecture complète encore ouverte.</x:v>
      </x:c>
      <x:c r="H1793" s="115" t="str">
        <x:v>L 1640 ; l 1880 ; hauteur 8 m ; choix de composition auteur ; dimensions réelles à documenter</x:v>
      </x:c>
      <x:c r="I1793" s="115" t="str">
        <x:v>À équilibrer</x:v>
      </x:c>
      <x:c r="J1793" s="115" t="str">
        <x:v>Non</x:v>
      </x:c>
      <x:c r="K1793" s="115" t="str">
        <x:v>Pièces décrites, murs, portes, niveaux et mobilier inspectables à l’échelle. Volumes réservés, raccord au seed, butin, rencontres et services de campagne restent à terminer.</x:v>
      </x:c>
    </x:row>
    <x:row r="1794" ht="96" customHeight="1">
      <x:c r="A1794" s="115" t="str">
        <x:v>EXT-MONDE-T036-V39</x:v>
      </x:c>
      <x:c r="B1794" s="115" t="str">
        <x:v>EXT-MONDE-T036</x:v>
      </x:c>
      <x:c r="C1794" s="115" t="str">
        <x:v>Échangeurs</x:v>
      </x:c>
      <x:c r="D1794" s="115" t="str">
        <x:v>Échangeur directionnel</x:v>
      </x:c>
      <x:c r="E1794" s="115" t="n">
        <x:v>39</x:v>
      </x:c>
      <x:c r="F1794" s="115" t="str">
        <x:v>Inspection physique</x:v>
      </x:c>
      <x:c r="G1794" s="115" t="str">
        <x:v>1 niveaux ; 34 pièces ; 260 segments de mur ; 0 transitions. Inspection physique ; architecture complète encore ouverte.</x:v>
      </x:c>
      <x:c r="H1794" s="115" t="str">
        <x:v>L 1640 ; l 1880 ; hauteur 8 m ; choix de composition auteur ; dimensions réelles à documenter</x:v>
      </x:c>
      <x:c r="I1794" s="115" t="str">
        <x:v>À équilibrer</x:v>
      </x:c>
      <x:c r="J1794" s="115" t="str">
        <x:v>Non</x:v>
      </x:c>
      <x:c r="K1794" s="115" t="str">
        <x:v>Pièces décrites, murs, portes, niveaux et mobilier inspectables à l’échelle. Volumes réservés, raccord au seed, butin, rencontres et services de campagne restent à terminer.</x:v>
      </x:c>
    </x:row>
    <x:row r="1795" ht="96" customHeight="1">
      <x:c r="A1795" s="115" t="str">
        <x:v>EXT-MONDE-T036-V40</x:v>
      </x:c>
      <x:c r="B1795" s="115" t="str">
        <x:v>EXT-MONDE-T036</x:v>
      </x:c>
      <x:c r="C1795" s="115" t="str">
        <x:v>Échangeurs</x:v>
      </x:c>
      <x:c r="D1795" s="115" t="str">
        <x:v>Échangeur directionnel</x:v>
      </x:c>
      <x:c r="E1795" s="115" t="n">
        <x:v>40</x:v>
      </x:c>
      <x:c r="F1795" s="115" t="str">
        <x:v>Inspection physique</x:v>
      </x:c>
      <x:c r="G1795" s="115" t="str">
        <x:v>1 niveaux ; 34 pièces ; 260 segments de mur ; 0 transitions. Inspection physique ; architecture complète encore ouverte.</x:v>
      </x:c>
      <x:c r="H1795" s="115" t="str">
        <x:v>L 1640 ; l 1880 ; hauteur 8 m ; choix de composition auteur ; dimensions réelles à documenter</x:v>
      </x:c>
      <x:c r="I1795" s="115" t="str">
        <x:v>À équilibrer</x:v>
      </x:c>
      <x:c r="J1795" s="115" t="str">
        <x:v>Non</x:v>
      </x:c>
      <x:c r="K1795" s="115" t="str">
        <x:v>Pièces décrites, murs, portes, niveaux et mobilier inspectables à l’échelle. Volumes réservés, raccord au seed, butin, rencontres et services de campagne restent à terminer.</x:v>
      </x:c>
    </x:row>
    <x:row r="1796" ht="96" customHeight="1">
      <x:c r="A1796" s="115" t="str">
        <x:v>EXT-MONDE-T036-V41</x:v>
      </x:c>
      <x:c r="B1796" s="115" t="str">
        <x:v>EXT-MONDE-T036</x:v>
      </x:c>
      <x:c r="C1796" s="115" t="str">
        <x:v>Échangeurs</x:v>
      </x:c>
      <x:c r="D1796" s="115" t="str">
        <x:v>Échangeur directionnel</x:v>
      </x:c>
      <x:c r="E1796" s="115" t="n">
        <x:v>41</x:v>
      </x:c>
      <x:c r="F1796" s="115" t="str">
        <x:v>Inspection physique</x:v>
      </x:c>
      <x:c r="G1796" s="115" t="str">
        <x:v>1 niveaux ; 34 pièces ; 260 segments de mur ; 0 transitions. Inspection physique ; architecture complète encore ouverte.</x:v>
      </x:c>
      <x:c r="H1796" s="115" t="str">
        <x:v>L 1720 ; l 2040 ; hauteur 8 m ; choix de composition auteur ; dimensions réelles à documenter</x:v>
      </x:c>
      <x:c r="I1796" s="115" t="str">
        <x:v>À équilibrer</x:v>
      </x:c>
      <x:c r="J1796" s="115" t="str">
        <x:v>Non</x:v>
      </x:c>
      <x:c r="K1796" s="115" t="str">
        <x:v>Pièces décrites, murs, portes, niveaux et mobilier inspectables à l’échelle. Volumes réservés, raccord au seed, butin, rencontres et services de campagne restent à terminer.</x:v>
      </x:c>
    </x:row>
    <x:row r="1797" ht="96" customHeight="1">
      <x:c r="A1797" s="115" t="str">
        <x:v>EXT-MONDE-T036-V42</x:v>
      </x:c>
      <x:c r="B1797" s="115" t="str">
        <x:v>EXT-MONDE-T036</x:v>
      </x:c>
      <x:c r="C1797" s="115" t="str">
        <x:v>Échangeurs</x:v>
      </x:c>
      <x:c r="D1797" s="115" t="str">
        <x:v>Échangeur directionnel</x:v>
      </x:c>
      <x:c r="E1797" s="115" t="n">
        <x:v>42</x:v>
      </x:c>
      <x:c r="F1797" s="115" t="str">
        <x:v>Inspection physique</x:v>
      </x:c>
      <x:c r="G1797" s="115" t="str">
        <x:v>1 niveaux ; 34 pièces ; 260 segments de mur ; 0 transitions. Inspection physique ; architecture complète encore ouverte.</x:v>
      </x:c>
      <x:c r="H1797" s="115" t="str">
        <x:v>L 1720 ; l 2040 ; hauteur 8 m ; choix de composition auteur ; dimensions réelles à documenter</x:v>
      </x:c>
      <x:c r="I1797" s="115" t="str">
        <x:v>À équilibrer</x:v>
      </x:c>
      <x:c r="J1797" s="115" t="str">
        <x:v>Non</x:v>
      </x:c>
      <x:c r="K1797" s="115" t="str">
        <x:v>Pièces décrites, murs, portes, niveaux et mobilier inspectables à l’échelle. Volumes réservés, raccord au seed, butin, rencontres et services de campagne restent à terminer.</x:v>
      </x:c>
    </x:row>
    <x:row r="1798" ht="96" customHeight="1">
      <x:c r="A1798" s="115" t="str">
        <x:v>EXT-MONDE-T036-V43</x:v>
      </x:c>
      <x:c r="B1798" s="115" t="str">
        <x:v>EXT-MONDE-T036</x:v>
      </x:c>
      <x:c r="C1798" s="115" t="str">
        <x:v>Échangeurs</x:v>
      </x:c>
      <x:c r="D1798" s="115" t="str">
        <x:v>Échangeur directionnel</x:v>
      </x:c>
      <x:c r="E1798" s="115" t="n">
        <x:v>43</x:v>
      </x:c>
      <x:c r="F1798" s="115" t="str">
        <x:v>Inspection physique</x:v>
      </x:c>
      <x:c r="G1798" s="115" t="str">
        <x:v>1 niveaux ; 34 pièces ; 260 segments de mur ; 0 transitions. Inspection physique ; architecture complète encore ouverte.</x:v>
      </x:c>
      <x:c r="H1798" s="115" t="str">
        <x:v>L 1720 ; l 2040 ; hauteur 8 m ; choix de composition auteur ; dimensions réelles à documenter</x:v>
      </x:c>
      <x:c r="I1798" s="115" t="str">
        <x:v>À équilibrer</x:v>
      </x:c>
      <x:c r="J1798" s="115" t="str">
        <x:v>Non</x:v>
      </x:c>
      <x:c r="K1798" s="115" t="str">
        <x:v>Pièces décrites, murs, portes, niveaux et mobilier inspectables à l’échelle. Volumes réservés, raccord au seed, butin, rencontres et services de campagne restent à terminer.</x:v>
      </x:c>
    </x:row>
    <x:row r="1799" ht="96" customHeight="1">
      <x:c r="A1799" s="115" t="str">
        <x:v>EXT-MONDE-T036-V44</x:v>
      </x:c>
      <x:c r="B1799" s="115" t="str">
        <x:v>EXT-MONDE-T036</x:v>
      </x:c>
      <x:c r="C1799" s="115" t="str">
        <x:v>Échangeurs</x:v>
      </x:c>
      <x:c r="D1799" s="115" t="str">
        <x:v>Échangeur directionnel</x:v>
      </x:c>
      <x:c r="E1799" s="115" t="n">
        <x:v>44</x:v>
      </x:c>
      <x:c r="F1799" s="115" t="str">
        <x:v>Inspection physique</x:v>
      </x:c>
      <x:c r="G1799" s="115" t="str">
        <x:v>1 niveaux ; 34 pièces ; 260 segments de mur ; 0 transitions. Inspection physique ; architecture complète encore ouverte.</x:v>
      </x:c>
      <x:c r="H1799" s="115" t="str">
        <x:v>L 1720 ; l 2040 ; hauteur 8 m ; choix de composition auteur ; dimensions réelles à documenter</x:v>
      </x:c>
      <x:c r="I1799" s="115" t="str">
        <x:v>À équilibrer</x:v>
      </x:c>
      <x:c r="J1799" s="115" t="str">
        <x:v>Non</x:v>
      </x:c>
      <x:c r="K1799" s="115" t="str">
        <x:v>Pièces décrites, murs, portes, niveaux et mobilier inspectables à l’échelle. Volumes réservés, raccord au seed, butin, rencontres et services de campagne restent à terminer.</x:v>
      </x:c>
    </x:row>
    <x:row r="1800" ht="96" customHeight="1">
      <x:c r="A1800" s="115" t="str">
        <x:v>EXT-MONDE-T036-V45</x:v>
      </x:c>
      <x:c r="B1800" s="115" t="str">
        <x:v>EXT-MONDE-T036</x:v>
      </x:c>
      <x:c r="C1800" s="115" t="str">
        <x:v>Échangeurs</x:v>
      </x:c>
      <x:c r="D1800" s="115" t="str">
        <x:v>Échangeur directionnel</x:v>
      </x:c>
      <x:c r="E1800" s="115" t="n">
        <x:v>45</x:v>
      </x:c>
      <x:c r="F1800" s="115" t="str">
        <x:v>Inspection physique</x:v>
      </x:c>
      <x:c r="G1800" s="115" t="str">
        <x:v>1 niveaux ; 34 pièces ; 260 segments de mur ; 0 transitions. Inspection physique ; architecture complète encore ouverte.</x:v>
      </x:c>
      <x:c r="H1800" s="115" t="str">
        <x:v>L 1720 ; l 2040 ; hauteur 8 m ; choix de composition auteur ; dimensions réelles à documenter</x:v>
      </x:c>
      <x:c r="I1800" s="115" t="str">
        <x:v>À équilibrer</x:v>
      </x:c>
      <x:c r="J1800" s="115" t="str">
        <x:v>Non</x:v>
      </x:c>
      <x:c r="K1800" s="115" t="str">
        <x:v>Pièces décrites, murs, portes, niveaux et mobilier inspectables à l’échelle. Volumes réservés, raccord au seed, butin, rencontres et services de campagne restent à terminer.</x:v>
      </x:c>
    </x:row>
    <x:row r="1801" ht="96" customHeight="1">
      <x:c r="A1801" s="115" t="str">
        <x:v>EXT-MONDE-T036-V46</x:v>
      </x:c>
      <x:c r="B1801" s="115" t="str">
        <x:v>EXT-MONDE-T036</x:v>
      </x:c>
      <x:c r="C1801" s="115" t="str">
        <x:v>Échangeurs</x:v>
      </x:c>
      <x:c r="D1801" s="115" t="str">
        <x:v>Échangeur directionnel</x:v>
      </x:c>
      <x:c r="E1801" s="115" t="n">
        <x:v>46</x:v>
      </x:c>
      <x:c r="F1801" s="115" t="str">
        <x:v>Inspection physique</x:v>
      </x:c>
      <x:c r="G1801" s="115" t="str">
        <x:v>1 niveaux ; 34 pièces ; 260 segments de mur ; 0 transitions. Inspection physique ; architecture complète encore ouverte.</x:v>
      </x:c>
      <x:c r="H1801" s="115" t="str">
        <x:v>L 1720 ; l 2040 ; hauteur 8 m ; choix de composition auteur ; dimensions réelles à documenter</x:v>
      </x:c>
      <x:c r="I1801" s="115" t="str">
        <x:v>À équilibrer</x:v>
      </x:c>
      <x:c r="J1801" s="115" t="str">
        <x:v>Non</x:v>
      </x:c>
      <x:c r="K1801" s="115" t="str">
        <x:v>Pièces décrites, murs, portes, niveaux et mobilier inspectables à l’échelle. Volumes réservés, raccord au seed, butin, rencontres et services de campagne restent à terminer.</x:v>
      </x:c>
    </x:row>
    <x:row r="1802" ht="96" customHeight="1">
      <x:c r="A1802" s="115" t="str">
        <x:v>EXT-MONDE-T036-V47</x:v>
      </x:c>
      <x:c r="B1802" s="115" t="str">
        <x:v>EXT-MONDE-T036</x:v>
      </x:c>
      <x:c r="C1802" s="115" t="str">
        <x:v>Échangeurs</x:v>
      </x:c>
      <x:c r="D1802" s="115" t="str">
        <x:v>Échangeur directionnel</x:v>
      </x:c>
      <x:c r="E1802" s="115" t="n">
        <x:v>47</x:v>
      </x:c>
      <x:c r="F1802" s="115" t="str">
        <x:v>Inspection physique</x:v>
      </x:c>
      <x:c r="G1802" s="115" t="str">
        <x:v>1 niveaux ; 34 pièces ; 260 segments de mur ; 0 transitions. Inspection physique ; architecture complète encore ouverte.</x:v>
      </x:c>
      <x:c r="H1802" s="115" t="str">
        <x:v>L 1720 ; l 2040 ; hauteur 8 m ; choix de composition auteur ; dimensions réelles à documenter</x:v>
      </x:c>
      <x:c r="I1802" s="115" t="str">
        <x:v>À équilibrer</x:v>
      </x:c>
      <x:c r="J1802" s="115" t="str">
        <x:v>Non</x:v>
      </x:c>
      <x:c r="K1802" s="115" t="str">
        <x:v>Pièces décrites, murs, portes, niveaux et mobilier inspectables à l’échelle. Volumes réservés, raccord au seed, butin, rencontres et services de campagne restent à terminer.</x:v>
      </x:c>
    </x:row>
    <x:row r="1803" ht="96" customHeight="1">
      <x:c r="A1803" s="115" t="str">
        <x:v>EXT-MONDE-T036-V48</x:v>
      </x:c>
      <x:c r="B1803" s="115" t="str">
        <x:v>EXT-MONDE-T036</x:v>
      </x:c>
      <x:c r="C1803" s="115" t="str">
        <x:v>Échangeurs</x:v>
      </x:c>
      <x:c r="D1803" s="115" t="str">
        <x:v>Échangeur directionnel</x:v>
      </x:c>
      <x:c r="E1803" s="115" t="n">
        <x:v>48</x:v>
      </x:c>
      <x:c r="F1803" s="115" t="str">
        <x:v>Inspection physique</x:v>
      </x:c>
      <x:c r="G1803" s="115" t="str">
        <x:v>1 niveaux ; 34 pièces ; 260 segments de mur ; 0 transitions. Inspection physique ; architecture complète encore ouverte.</x:v>
      </x:c>
      <x:c r="H1803" s="115" t="str">
        <x:v>L 1720 ; l 2040 ; hauteur 8 m ; choix de composition auteur ; dimensions réelles à documenter</x:v>
      </x:c>
      <x:c r="I1803" s="115" t="str">
        <x:v>À équilibrer</x:v>
      </x:c>
      <x:c r="J1803" s="115" t="str">
        <x:v>Non</x:v>
      </x:c>
      <x:c r="K1803" s="115" t="str">
        <x:v>Pièces décrites, murs, portes, niveaux et mobilier inspectables à l’échelle. Volumes réservés, raccord au seed, butin, rencontres et services de campagne restent à terminer.</x:v>
      </x:c>
    </x:row>
    <x:row r="1804" ht="96" customHeight="1">
      <x:c r="A1804" s="115" t="str">
        <x:v>EXT-MONDE-T036-V49</x:v>
      </x:c>
      <x:c r="B1804" s="115" t="str">
        <x:v>EXT-MONDE-T036</x:v>
      </x:c>
      <x:c r="C1804" s="115" t="str">
        <x:v>Échangeurs</x:v>
      </x:c>
      <x:c r="D1804" s="115" t="str">
        <x:v>Échangeur directionnel</x:v>
      </x:c>
      <x:c r="E1804" s="115" t="n">
        <x:v>49</x:v>
      </x:c>
      <x:c r="F1804" s="115" t="str">
        <x:v>Inspection physique</x:v>
      </x:c>
      <x:c r="G1804" s="115" t="str">
        <x:v>1 niveaux ; 34 pièces ; 260 segments de mur ; 0 transitions. Inspection physique ; architecture complète encore ouverte.</x:v>
      </x:c>
      <x:c r="H1804" s="115" t="str">
        <x:v>L 1720 ; l 2040 ; hauteur 8 m ; choix de composition auteur ; dimensions réelles à documenter</x:v>
      </x:c>
      <x:c r="I1804" s="115" t="str">
        <x:v>À équilibrer</x:v>
      </x:c>
      <x:c r="J1804" s="115" t="str">
        <x:v>Non</x:v>
      </x:c>
      <x:c r="K1804" s="115" t="str">
        <x:v>Pièces décrites, murs, portes, niveaux et mobilier inspectables à l’échelle. Volumes réservés, raccord au seed, butin, rencontres et services de campagne restent à terminer.</x:v>
      </x:c>
    </x:row>
    <x:row r="1805" ht="96" customHeight="1">
      <x:c r="A1805" s="115" t="str">
        <x:v>EXT-MONDE-T036-V50</x:v>
      </x:c>
      <x:c r="B1805" s="115" t="str">
        <x:v>EXT-MONDE-T036</x:v>
      </x:c>
      <x:c r="C1805" s="115" t="str">
        <x:v>Échangeurs</x:v>
      </x:c>
      <x:c r="D1805" s="115" t="str">
        <x:v>Échangeur directionnel</x:v>
      </x:c>
      <x:c r="E1805" s="115" t="n">
        <x:v>50</x:v>
      </x:c>
      <x:c r="F1805" s="115" t="str">
        <x:v>Inspection physique</x:v>
      </x:c>
      <x:c r="G1805" s="115" t="str">
        <x:v>1 niveaux ; 34 pièces ; 260 segments de mur ; 0 transitions. Inspection physique ; architecture complète encore ouverte.</x:v>
      </x:c>
      <x:c r="H1805" s="115" t="str">
        <x:v>L 1720 ; l 2040 ; hauteur 8 m ; choix de composition auteur ; dimensions réelles à documenter</x:v>
      </x:c>
      <x:c r="I1805" s="115" t="str">
        <x:v>À équilibrer</x:v>
      </x:c>
      <x:c r="J1805" s="115" t="str">
        <x:v>Non</x:v>
      </x:c>
      <x:c r="K1805" s="115" t="str">
        <x:v>Pièces décrites, murs, portes, niveaux et mobilier inspectables à l’échelle. Volumes réservés, raccord au seed, butin, rencontres et services de campagne restent à terminer.</x:v>
      </x:c>
    </x:row>
    <x:row r="1806" ht="96" customHeight="1">
      <x:c r="A1806" s="115" t="str">
        <x:v>EXT-MONDE-T037-V01</x:v>
      </x:c>
      <x:c r="B1806" s="115" t="str">
        <x:v>EXT-MONDE-T037</x:v>
      </x:c>
      <x:c r="C1806" s="115" t="str">
        <x:v>Égouts</x:v>
      </x:c>
      <x:c r="D1806" s="115" t="str">
        <x:v>Collecteur urbain</x:v>
      </x:c>
      <x:c r="E1806" s="115" t="n">
        <x:v>1</x:v>
      </x:c>
      <x:c r="F1806" s="115" t="str">
        <x:v>Inspection physique</x:v>
      </x:c>
      <x:c r="G1806" s="115" t="str">
        <x:v>2 niveaux ; 14 pièces ; 126 segments de mur ; 2 transitions. Inspection physique ; architecture complète encore ouverte.</x:v>
      </x:c>
      <x:c r="H1806" s="115" t="str">
        <x:v>L 180 ; l 200 ; hauteur 3 m ; choix de composition auteur ; dimensions réelles à documenter</x:v>
      </x:c>
      <x:c r="I1806" s="115" t="str">
        <x:v>À équilibrer</x:v>
      </x:c>
      <x:c r="J1806" s="115" t="str">
        <x:v>Non</x:v>
      </x:c>
      <x:c r="K1806" s="115" t="str">
        <x:v>Pièces décrites, murs, portes, niveaux et mobilier inspectables à l’échelle. Volumes réservés, raccord au seed, butin, rencontres et services de campagne restent à terminer.</x:v>
      </x:c>
    </x:row>
    <x:row r="1807" ht="96" customHeight="1">
      <x:c r="A1807" s="115" t="str">
        <x:v>EXT-MONDE-T037-V02</x:v>
      </x:c>
      <x:c r="B1807" s="115" t="str">
        <x:v>EXT-MONDE-T037</x:v>
      </x:c>
      <x:c r="C1807" s="115" t="str">
        <x:v>Égouts</x:v>
      </x:c>
      <x:c r="D1807" s="115" t="str">
        <x:v>Collecteur urbain</x:v>
      </x:c>
      <x:c r="E1807" s="115" t="n">
        <x:v>2</x:v>
      </x:c>
      <x:c r="F1807" s="115" t="str">
        <x:v>Inspection physique</x:v>
      </x:c>
      <x:c r="G1807" s="115" t="str">
        <x:v>2 niveaux ; 14 pièces ; 126 segments de mur ; 2 transitions. Inspection physique ; architecture complète encore ouverte.</x:v>
      </x:c>
      <x:c r="H1807" s="115" t="str">
        <x:v>L 182 ; l 200,7 ; hauteur 3 m ; choix de composition auteur ; dimensions réelles à documenter</x:v>
      </x:c>
      <x:c r="I1807" s="115" t="str">
        <x:v>À équilibrer</x:v>
      </x:c>
      <x:c r="J1807" s="115" t="str">
        <x:v>Non</x:v>
      </x:c>
      <x:c r="K1807" s="115" t="str">
        <x:v>Pièces décrites, murs, portes, niveaux et mobilier inspectables à l’échelle. Volumes réservés, raccord au seed, butin, rencontres et services de campagne restent à terminer.</x:v>
      </x:c>
    </x:row>
    <x:row r="1808" ht="96" customHeight="1">
      <x:c r="A1808" s="115" t="str">
        <x:v>EXT-MONDE-T037-V03</x:v>
      </x:c>
      <x:c r="B1808" s="115" t="str">
        <x:v>EXT-MONDE-T037</x:v>
      </x:c>
      <x:c r="C1808" s="115" t="str">
        <x:v>Égouts</x:v>
      </x:c>
      <x:c r="D1808" s="115" t="str">
        <x:v>Collecteur urbain</x:v>
      </x:c>
      <x:c r="E1808" s="115" t="n">
        <x:v>3</x:v>
      </x:c>
      <x:c r="F1808" s="115" t="str">
        <x:v>Inspection physique</x:v>
      </x:c>
      <x:c r="G1808" s="115" t="str">
        <x:v>2 niveaux ; 14 pièces ; 126 segments de mur ; 2 transitions. Inspection physique ; architecture complète encore ouverte.</x:v>
      </x:c>
      <x:c r="H1808" s="115" t="str">
        <x:v>L 184 ; l 201,4 ; hauteur 3 m ; choix de composition auteur ; dimensions réelles à documenter</x:v>
      </x:c>
      <x:c r="I1808" s="115" t="str">
        <x:v>À équilibrer</x:v>
      </x:c>
      <x:c r="J1808" s="115" t="str">
        <x:v>Non</x:v>
      </x:c>
      <x:c r="K1808" s="115" t="str">
        <x:v>Pièces décrites, murs, portes, niveaux et mobilier inspectables à l’échelle. Volumes réservés, raccord au seed, butin, rencontres et services de campagne restent à terminer.</x:v>
      </x:c>
    </x:row>
    <x:row r="1809" ht="96" customHeight="1">
      <x:c r="A1809" s="115" t="str">
        <x:v>EXT-MONDE-T037-V04</x:v>
      </x:c>
      <x:c r="B1809" s="115" t="str">
        <x:v>EXT-MONDE-T037</x:v>
      </x:c>
      <x:c r="C1809" s="115" t="str">
        <x:v>Égouts</x:v>
      </x:c>
      <x:c r="D1809" s="115" t="str">
        <x:v>Collecteur urbain</x:v>
      </x:c>
      <x:c r="E1809" s="115" t="n">
        <x:v>4</x:v>
      </x:c>
      <x:c r="F1809" s="115" t="str">
        <x:v>Inspection physique</x:v>
      </x:c>
      <x:c r="G1809" s="115" t="str">
        <x:v>2 niveaux ; 14 pièces ; 126 segments de mur ; 2 transitions. Inspection physique ; architecture complète encore ouverte.</x:v>
      </x:c>
      <x:c r="H1809" s="115" t="str">
        <x:v>L 186 ; l 202,1 ; hauteur 3 m ; choix de composition auteur ; dimensions réelles à documenter</x:v>
      </x:c>
      <x:c r="I1809" s="115" t="str">
        <x:v>À équilibrer</x:v>
      </x:c>
      <x:c r="J1809" s="115" t="str">
        <x:v>Non</x:v>
      </x:c>
      <x:c r="K1809" s="115" t="str">
        <x:v>Pièces décrites, murs, portes, niveaux et mobilier inspectables à l’échelle. Volumes réservés, raccord au seed, butin, rencontres et services de campagne restent à terminer.</x:v>
      </x:c>
    </x:row>
    <x:row r="1810" ht="96" customHeight="1">
      <x:c r="A1810" s="115" t="str">
        <x:v>EXT-MONDE-T037-V05</x:v>
      </x:c>
      <x:c r="B1810" s="115" t="str">
        <x:v>EXT-MONDE-T037</x:v>
      </x:c>
      <x:c r="C1810" s="115" t="str">
        <x:v>Égouts</x:v>
      </x:c>
      <x:c r="D1810" s="115" t="str">
        <x:v>Collecteur urbain</x:v>
      </x:c>
      <x:c r="E1810" s="115" t="n">
        <x:v>5</x:v>
      </x:c>
      <x:c r="F1810" s="115" t="str">
        <x:v>Inspection physique</x:v>
      </x:c>
      <x:c r="G1810" s="115" t="str">
        <x:v>2 niveaux ; 14 pièces ; 126 segments de mur ; 2 transitions. Inspection physique ; architecture complète encore ouverte.</x:v>
      </x:c>
      <x:c r="H1810" s="115" t="str">
        <x:v>L 188 ; l 202,8 ; hauteur 3 m ; choix de composition auteur ; dimensions réelles à documenter</x:v>
      </x:c>
      <x:c r="I1810" s="115" t="str">
        <x:v>À équilibrer</x:v>
      </x:c>
      <x:c r="J1810" s="115" t="str">
        <x:v>Non</x:v>
      </x:c>
      <x:c r="K1810" s="115" t="str">
        <x:v>Pièces décrites, murs, portes, niveaux et mobilier inspectables à l’échelle. Volumes réservés, raccord au seed, butin, rencontres et services de campagne restent à terminer.</x:v>
      </x:c>
    </x:row>
    <x:row r="1811" ht="96" customHeight="1">
      <x:c r="A1811" s="115" t="str">
        <x:v>EXT-MONDE-T037-V06</x:v>
      </x:c>
      <x:c r="B1811" s="115" t="str">
        <x:v>EXT-MONDE-T037</x:v>
      </x:c>
      <x:c r="C1811" s="115" t="str">
        <x:v>Égouts</x:v>
      </x:c>
      <x:c r="D1811" s="115" t="str">
        <x:v>Collecteur urbain</x:v>
      </x:c>
      <x:c r="E1811" s="115" t="n">
        <x:v>6</x:v>
      </x:c>
      <x:c r="F1811" s="115" t="str">
        <x:v>Inspection physique</x:v>
      </x:c>
      <x:c r="G1811" s="115" t="str">
        <x:v>2 niveaux ; 14 pièces ; 126 segments de mur ; 2 transitions. Inspection physique ; architecture complète encore ouverte.</x:v>
      </x:c>
      <x:c r="H1811" s="115" t="str">
        <x:v>L 190 ; l 203,5 ; hauteur 3 m ; choix de composition auteur ; dimensions réelles à documenter</x:v>
      </x:c>
      <x:c r="I1811" s="115" t="str">
        <x:v>À équilibrer</x:v>
      </x:c>
      <x:c r="J1811" s="115" t="str">
        <x:v>Non</x:v>
      </x:c>
      <x:c r="K1811" s="115" t="str">
        <x:v>Pièces décrites, murs, portes, niveaux et mobilier inspectables à l’échelle. Volumes réservés, raccord au seed, butin, rencontres et services de campagne restent à terminer.</x:v>
      </x:c>
    </x:row>
    <x:row r="1812" ht="96" customHeight="1">
      <x:c r="A1812" s="115" t="str">
        <x:v>EXT-MONDE-T037-V07</x:v>
      </x:c>
      <x:c r="B1812" s="115" t="str">
        <x:v>EXT-MONDE-T037</x:v>
      </x:c>
      <x:c r="C1812" s="115" t="str">
        <x:v>Égouts</x:v>
      </x:c>
      <x:c r="D1812" s="115" t="str">
        <x:v>Collecteur urbain</x:v>
      </x:c>
      <x:c r="E1812" s="115" t="n">
        <x:v>7</x:v>
      </x:c>
      <x:c r="F1812" s="115" t="str">
        <x:v>Inspection physique</x:v>
      </x:c>
      <x:c r="G1812" s="115" t="str">
        <x:v>2 niveaux ; 14 pièces ; 126 segments de mur ; 2 transitions. Inspection physique ; architecture complète encore ouverte.</x:v>
      </x:c>
      <x:c r="H1812" s="115" t="str">
        <x:v>L 192 ; l 204,2 ; hauteur 3 m ; choix de composition auteur ; dimensions réelles à documenter</x:v>
      </x:c>
      <x:c r="I1812" s="115" t="str">
        <x:v>À équilibrer</x:v>
      </x:c>
      <x:c r="J1812" s="115" t="str">
        <x:v>Non</x:v>
      </x:c>
      <x:c r="K1812" s="115" t="str">
        <x:v>Pièces décrites, murs, portes, niveaux et mobilier inspectables à l’échelle. Volumes réservés, raccord au seed, butin, rencontres et services de campagne restent à terminer.</x:v>
      </x:c>
    </x:row>
    <x:row r="1813" ht="96" customHeight="1">
      <x:c r="A1813" s="115" t="str">
        <x:v>EXT-MONDE-T037-V08</x:v>
      </x:c>
      <x:c r="B1813" s="115" t="str">
        <x:v>EXT-MONDE-T037</x:v>
      </x:c>
      <x:c r="C1813" s="115" t="str">
        <x:v>Égouts</x:v>
      </x:c>
      <x:c r="D1813" s="115" t="str">
        <x:v>Collecteur urbain</x:v>
      </x:c>
      <x:c r="E1813" s="115" t="n">
        <x:v>8</x:v>
      </x:c>
      <x:c r="F1813" s="115" t="str">
        <x:v>Inspection physique</x:v>
      </x:c>
      <x:c r="G1813" s="115" t="str">
        <x:v>2 niveaux ; 14 pièces ; 126 segments de mur ; 2 transitions. Inspection physique ; architecture complète encore ouverte.</x:v>
      </x:c>
      <x:c r="H1813" s="115" t="str">
        <x:v>L 194 ; l 204,9 ; hauteur 3 m ; choix de composition auteur ; dimensions réelles à documenter</x:v>
      </x:c>
      <x:c r="I1813" s="115" t="str">
        <x:v>À équilibrer</x:v>
      </x:c>
      <x:c r="J1813" s="115" t="str">
        <x:v>Non</x:v>
      </x:c>
      <x:c r="K1813" s="115" t="str">
        <x:v>Pièces décrites, murs, portes, niveaux et mobilier inspectables à l’échelle. Volumes réservés, raccord au seed, butin, rencontres et services de campagne restent à terminer.</x:v>
      </x:c>
    </x:row>
    <x:row r="1814" ht="96" customHeight="1">
      <x:c r="A1814" s="115" t="str">
        <x:v>EXT-MONDE-T037-V09</x:v>
      </x:c>
      <x:c r="B1814" s="115" t="str">
        <x:v>EXT-MONDE-T037</x:v>
      </x:c>
      <x:c r="C1814" s="115" t="str">
        <x:v>Égouts</x:v>
      </x:c>
      <x:c r="D1814" s="115" t="str">
        <x:v>Collecteur urbain</x:v>
      </x:c>
      <x:c r="E1814" s="115" t="n">
        <x:v>9</x:v>
      </x:c>
      <x:c r="F1814" s="115" t="str">
        <x:v>Inspection physique</x:v>
      </x:c>
      <x:c r="G1814" s="115" t="str">
        <x:v>2 niveaux ; 14 pièces ; 126 segments de mur ; 2 transitions. Inspection physique ; architecture complète encore ouverte.</x:v>
      </x:c>
      <x:c r="H1814" s="115" t="str">
        <x:v>L 196 ; l 205,6 ; hauteur 3 m ; choix de composition auteur ; dimensions réelles à documenter</x:v>
      </x:c>
      <x:c r="I1814" s="115" t="str">
        <x:v>À équilibrer</x:v>
      </x:c>
      <x:c r="J1814" s="115" t="str">
        <x:v>Non</x:v>
      </x:c>
      <x:c r="K1814" s="115" t="str">
        <x:v>Pièces décrites, murs, portes, niveaux et mobilier inspectables à l’échelle. Volumes réservés, raccord au seed, butin, rencontres et services de campagne restent à terminer.</x:v>
      </x:c>
    </x:row>
    <x:row r="1815" ht="96" customHeight="1">
      <x:c r="A1815" s="115" t="str">
        <x:v>EXT-MONDE-T037-V10</x:v>
      </x:c>
      <x:c r="B1815" s="115" t="str">
        <x:v>EXT-MONDE-T037</x:v>
      </x:c>
      <x:c r="C1815" s="115" t="str">
        <x:v>Égouts</x:v>
      </x:c>
      <x:c r="D1815" s="115" t="str">
        <x:v>Collecteur urbain</x:v>
      </x:c>
      <x:c r="E1815" s="115" t="n">
        <x:v>10</x:v>
      </x:c>
      <x:c r="F1815" s="115" t="str">
        <x:v>Inspection physique</x:v>
      </x:c>
      <x:c r="G1815" s="115" t="str">
        <x:v>2 niveaux ; 14 pièces ; 126 segments de mur ; 2 transitions. Inspection physique ; architecture complète encore ouverte.</x:v>
      </x:c>
      <x:c r="H1815" s="115" t="str">
        <x:v>L 198 ; l 206,3 ; hauteur 3 m ; choix de composition auteur ; dimensions réelles à documenter</x:v>
      </x:c>
      <x:c r="I1815" s="115" t="str">
        <x:v>À équilibrer</x:v>
      </x:c>
      <x:c r="J1815" s="115" t="str">
        <x:v>Non</x:v>
      </x:c>
      <x:c r="K1815" s="115" t="str">
        <x:v>Pièces décrites, murs, portes, niveaux et mobilier inspectables à l’échelle. Volumes réservés, raccord au seed, butin, rencontres et services de campagne restent à terminer.</x:v>
      </x:c>
    </x:row>
    <x:row r="1816" ht="96" customHeight="1">
      <x:c r="A1816" s="115" t="str">
        <x:v>EXT-MONDE-T037-V11</x:v>
      </x:c>
      <x:c r="B1816" s="115" t="str">
        <x:v>EXT-MONDE-T037</x:v>
      </x:c>
      <x:c r="C1816" s="115" t="str">
        <x:v>Égouts</x:v>
      </x:c>
      <x:c r="D1816" s="115" t="str">
        <x:v>Collecteur urbain</x:v>
      </x:c>
      <x:c r="E1816" s="115" t="n">
        <x:v>11</x:v>
      </x:c>
      <x:c r="F1816" s="115" t="str">
        <x:v>Inspection physique</x:v>
      </x:c>
      <x:c r="G1816" s="115" t="str">
        <x:v>2 niveaux ; 14 pièces ; 126 segments de mur ; 2 transitions. Inspection physique ; architecture complète encore ouverte.</x:v>
      </x:c>
      <x:c r="H1816" s="115" t="str">
        <x:v>L 190 ; l 212 ; hauteur 3 m ; choix de composition auteur ; dimensions réelles à documenter</x:v>
      </x:c>
      <x:c r="I1816" s="115" t="str">
        <x:v>À équilibrer</x:v>
      </x:c>
      <x:c r="J1816" s="115" t="str">
        <x:v>Non</x:v>
      </x:c>
      <x:c r="K1816" s="115" t="str">
        <x:v>Pièces décrites, murs, portes, niveaux et mobilier inspectables à l’échelle. Volumes réservés, raccord au seed, butin, rencontres et services de campagne restent à terminer.</x:v>
      </x:c>
    </x:row>
    <x:row r="1817" ht="96" customHeight="1">
      <x:c r="A1817" s="115" t="str">
        <x:v>EXT-MONDE-T037-V12</x:v>
      </x:c>
      <x:c r="B1817" s="115" t="str">
        <x:v>EXT-MONDE-T037</x:v>
      </x:c>
      <x:c r="C1817" s="115" t="str">
        <x:v>Égouts</x:v>
      </x:c>
      <x:c r="D1817" s="115" t="str">
        <x:v>Collecteur urbain</x:v>
      </x:c>
      <x:c r="E1817" s="115" t="n">
        <x:v>12</x:v>
      </x:c>
      <x:c r="F1817" s="115" t="str">
        <x:v>Inspection physique</x:v>
      </x:c>
      <x:c r="G1817" s="115" t="str">
        <x:v>2 niveaux ; 14 pièces ; 126 segments de mur ; 2 transitions. Inspection physique ; architecture complète encore ouverte.</x:v>
      </x:c>
      <x:c r="H1817" s="115" t="str">
        <x:v>L 192 ; l 212,7 ; hauteur 3 m ; choix de composition auteur ; dimensions réelles à documenter</x:v>
      </x:c>
      <x:c r="I1817" s="115" t="str">
        <x:v>À équilibrer</x:v>
      </x:c>
      <x:c r="J1817" s="115" t="str">
        <x:v>Non</x:v>
      </x:c>
      <x:c r="K1817" s="115" t="str">
        <x:v>Pièces décrites, murs, portes, niveaux et mobilier inspectables à l’échelle. Volumes réservés, raccord au seed, butin, rencontres et services de campagne restent à terminer.</x:v>
      </x:c>
    </x:row>
    <x:row r="1818" ht="96" customHeight="1">
      <x:c r="A1818" s="115" t="str">
        <x:v>EXT-MONDE-T037-V13</x:v>
      </x:c>
      <x:c r="B1818" s="115" t="str">
        <x:v>EXT-MONDE-T037</x:v>
      </x:c>
      <x:c r="C1818" s="115" t="str">
        <x:v>Égouts</x:v>
      </x:c>
      <x:c r="D1818" s="115" t="str">
        <x:v>Collecteur urbain</x:v>
      </x:c>
      <x:c r="E1818" s="115" t="n">
        <x:v>13</x:v>
      </x:c>
      <x:c r="F1818" s="115" t="str">
        <x:v>Inspection physique</x:v>
      </x:c>
      <x:c r="G1818" s="115" t="str">
        <x:v>2 niveaux ; 14 pièces ; 126 segments de mur ; 2 transitions. Inspection physique ; architecture complète encore ouverte.</x:v>
      </x:c>
      <x:c r="H1818" s="115" t="str">
        <x:v>L 194 ; l 213,4 ; hauteur 3 m ; choix de composition auteur ; dimensions réelles à documenter</x:v>
      </x:c>
      <x:c r="I1818" s="115" t="str">
        <x:v>À équilibrer</x:v>
      </x:c>
      <x:c r="J1818" s="115" t="str">
        <x:v>Non</x:v>
      </x:c>
      <x:c r="K1818" s="115" t="str">
        <x:v>Pièces décrites, murs, portes, niveaux et mobilier inspectables à l’échelle. Volumes réservés, raccord au seed, butin, rencontres et services de campagne restent à terminer.</x:v>
      </x:c>
    </x:row>
    <x:row r="1819" ht="96" customHeight="1">
      <x:c r="A1819" s="115" t="str">
        <x:v>EXT-MONDE-T037-V14</x:v>
      </x:c>
      <x:c r="B1819" s="115" t="str">
        <x:v>EXT-MONDE-T037</x:v>
      </x:c>
      <x:c r="C1819" s="115" t="str">
        <x:v>Égouts</x:v>
      </x:c>
      <x:c r="D1819" s="115" t="str">
        <x:v>Collecteur urbain</x:v>
      </x:c>
      <x:c r="E1819" s="115" t="n">
        <x:v>14</x:v>
      </x:c>
      <x:c r="F1819" s="115" t="str">
        <x:v>Inspection physique</x:v>
      </x:c>
      <x:c r="G1819" s="115" t="str">
        <x:v>2 niveaux ; 14 pièces ; 126 segments de mur ; 2 transitions. Inspection physique ; architecture complète encore ouverte.</x:v>
      </x:c>
      <x:c r="H1819" s="115" t="str">
        <x:v>L 196 ; l 214,1 ; hauteur 3 m ; choix de composition auteur ; dimensions réelles à documenter</x:v>
      </x:c>
      <x:c r="I1819" s="115" t="str">
        <x:v>À équilibrer</x:v>
      </x:c>
      <x:c r="J1819" s="115" t="str">
        <x:v>Non</x:v>
      </x:c>
      <x:c r="K1819" s="115" t="str">
        <x:v>Pièces décrites, murs, portes, niveaux et mobilier inspectables à l’échelle. Volumes réservés, raccord au seed, butin, rencontres et services de campagne restent à terminer.</x:v>
      </x:c>
    </x:row>
    <x:row r="1820" ht="96" customHeight="1">
      <x:c r="A1820" s="115" t="str">
        <x:v>EXT-MONDE-T037-V15</x:v>
      </x:c>
      <x:c r="B1820" s="115" t="str">
        <x:v>EXT-MONDE-T037</x:v>
      </x:c>
      <x:c r="C1820" s="115" t="str">
        <x:v>Égouts</x:v>
      </x:c>
      <x:c r="D1820" s="115" t="str">
        <x:v>Collecteur urbain</x:v>
      </x:c>
      <x:c r="E1820" s="115" t="n">
        <x:v>15</x:v>
      </x:c>
      <x:c r="F1820" s="115" t="str">
        <x:v>Inspection physique</x:v>
      </x:c>
      <x:c r="G1820" s="115" t="str">
        <x:v>2 niveaux ; 14 pièces ; 126 segments de mur ; 2 transitions. Inspection physique ; architecture complète encore ouverte.</x:v>
      </x:c>
      <x:c r="H1820" s="115" t="str">
        <x:v>L 198 ; l 214,8 ; hauteur 3 m ; choix de composition auteur ; dimensions réelles à documenter</x:v>
      </x:c>
      <x:c r="I1820" s="115" t="str">
        <x:v>À équilibrer</x:v>
      </x:c>
      <x:c r="J1820" s="115" t="str">
        <x:v>Non</x:v>
      </x:c>
      <x:c r="K1820" s="115" t="str">
        <x:v>Pièces décrites, murs, portes, niveaux et mobilier inspectables à l’échelle. Volumes réservés, raccord au seed, butin, rencontres et services de campagne restent à terminer.</x:v>
      </x:c>
    </x:row>
    <x:row r="1821" ht="96" customHeight="1">
      <x:c r="A1821" s="115" t="str">
        <x:v>EXT-MONDE-T037-V16</x:v>
      </x:c>
      <x:c r="B1821" s="115" t="str">
        <x:v>EXT-MONDE-T037</x:v>
      </x:c>
      <x:c r="C1821" s="115" t="str">
        <x:v>Égouts</x:v>
      </x:c>
      <x:c r="D1821" s="115" t="str">
        <x:v>Collecteur urbain</x:v>
      </x:c>
      <x:c r="E1821" s="115" t="n">
        <x:v>16</x:v>
      </x:c>
      <x:c r="F1821" s="115" t="str">
        <x:v>Inspection physique</x:v>
      </x:c>
      <x:c r="G1821" s="115" t="str">
        <x:v>2 niveaux ; 14 pièces ; 126 segments de mur ; 2 transitions. Inspection physique ; architecture complète encore ouverte.</x:v>
      </x:c>
      <x:c r="H1821" s="115" t="str">
        <x:v>L 200 ; l 215,5 ; hauteur 3 m ; choix de composition auteur ; dimensions réelles à documenter</x:v>
      </x:c>
      <x:c r="I1821" s="115" t="str">
        <x:v>À équilibrer</x:v>
      </x:c>
      <x:c r="J1821" s="115" t="str">
        <x:v>Non</x:v>
      </x:c>
      <x:c r="K1821" s="115" t="str">
        <x:v>Pièces décrites, murs, portes, niveaux et mobilier inspectables à l’échelle. Volumes réservés, raccord au seed, butin, rencontres et services de campagne restent à terminer.</x:v>
      </x:c>
    </x:row>
    <x:row r="1822" ht="96" customHeight="1">
      <x:c r="A1822" s="115" t="str">
        <x:v>EXT-MONDE-T037-V17</x:v>
      </x:c>
      <x:c r="B1822" s="115" t="str">
        <x:v>EXT-MONDE-T037</x:v>
      </x:c>
      <x:c r="C1822" s="115" t="str">
        <x:v>Égouts</x:v>
      </x:c>
      <x:c r="D1822" s="115" t="str">
        <x:v>Collecteur urbain</x:v>
      </x:c>
      <x:c r="E1822" s="115" t="n">
        <x:v>17</x:v>
      </x:c>
      <x:c r="F1822" s="115" t="str">
        <x:v>Inspection physique</x:v>
      </x:c>
      <x:c r="G1822" s="115" t="str">
        <x:v>2 niveaux ; 14 pièces ; 126 segments de mur ; 2 transitions. Inspection physique ; architecture complète encore ouverte.</x:v>
      </x:c>
      <x:c r="H1822" s="115" t="str">
        <x:v>L 202 ; l 216,2 ; hauteur 3 m ; choix de composition auteur ; dimensions réelles à documenter</x:v>
      </x:c>
      <x:c r="I1822" s="115" t="str">
        <x:v>À équilibrer</x:v>
      </x:c>
      <x:c r="J1822" s="115" t="str">
        <x:v>Non</x:v>
      </x:c>
      <x:c r="K1822" s="115" t="str">
        <x:v>Pièces décrites, murs, portes, niveaux et mobilier inspectables à l’échelle. Volumes réservés, raccord au seed, butin, rencontres et services de campagne restent à terminer.</x:v>
      </x:c>
    </x:row>
    <x:row r="1823" ht="96" customHeight="1">
      <x:c r="A1823" s="115" t="str">
        <x:v>EXT-MONDE-T037-V18</x:v>
      </x:c>
      <x:c r="B1823" s="115" t="str">
        <x:v>EXT-MONDE-T037</x:v>
      </x:c>
      <x:c r="C1823" s="115" t="str">
        <x:v>Égouts</x:v>
      </x:c>
      <x:c r="D1823" s="115" t="str">
        <x:v>Collecteur urbain</x:v>
      </x:c>
      <x:c r="E1823" s="115" t="n">
        <x:v>18</x:v>
      </x:c>
      <x:c r="F1823" s="115" t="str">
        <x:v>Inspection physique</x:v>
      </x:c>
      <x:c r="G1823" s="115" t="str">
        <x:v>2 niveaux ; 14 pièces ; 126 segments de mur ; 2 transitions. Inspection physique ; architecture complète encore ouverte.</x:v>
      </x:c>
      <x:c r="H1823" s="115" t="str">
        <x:v>L 204 ; l 216,9 ; hauteur 3 m ; choix de composition auteur ; dimensions réelles à documenter</x:v>
      </x:c>
      <x:c r="I1823" s="115" t="str">
        <x:v>À équilibrer</x:v>
      </x:c>
      <x:c r="J1823" s="115" t="str">
        <x:v>Non</x:v>
      </x:c>
      <x:c r="K1823" s="115" t="str">
        <x:v>Pièces décrites, murs, portes, niveaux et mobilier inspectables à l’échelle. Volumes réservés, raccord au seed, butin, rencontres et services de campagne restent à terminer.</x:v>
      </x:c>
    </x:row>
    <x:row r="1824" ht="96" customHeight="1">
      <x:c r="A1824" s="115" t="str">
        <x:v>EXT-MONDE-T037-V19</x:v>
      </x:c>
      <x:c r="B1824" s="115" t="str">
        <x:v>EXT-MONDE-T037</x:v>
      </x:c>
      <x:c r="C1824" s="115" t="str">
        <x:v>Égouts</x:v>
      </x:c>
      <x:c r="D1824" s="115" t="str">
        <x:v>Collecteur urbain</x:v>
      </x:c>
      <x:c r="E1824" s="115" t="n">
        <x:v>19</x:v>
      </x:c>
      <x:c r="F1824" s="115" t="str">
        <x:v>Inspection physique</x:v>
      </x:c>
      <x:c r="G1824" s="115" t="str">
        <x:v>2 niveaux ; 14 pièces ; 126 segments de mur ; 2 transitions. Inspection physique ; architecture complète encore ouverte.</x:v>
      </x:c>
      <x:c r="H1824" s="115" t="str">
        <x:v>L 206 ; l 217,6 ; hauteur 3 m ; choix de composition auteur ; dimensions réelles à documenter</x:v>
      </x:c>
      <x:c r="I1824" s="115" t="str">
        <x:v>À équilibrer</x:v>
      </x:c>
      <x:c r="J1824" s="115" t="str">
        <x:v>Non</x:v>
      </x:c>
      <x:c r="K1824" s="115" t="str">
        <x:v>Pièces décrites, murs, portes, niveaux et mobilier inspectables à l’échelle. Volumes réservés, raccord au seed, butin, rencontres et services de campagne restent à terminer.</x:v>
      </x:c>
    </x:row>
    <x:row r="1825" ht="96" customHeight="1">
      <x:c r="A1825" s="115" t="str">
        <x:v>EXT-MONDE-T037-V20</x:v>
      </x:c>
      <x:c r="B1825" s="115" t="str">
        <x:v>EXT-MONDE-T037</x:v>
      </x:c>
      <x:c r="C1825" s="115" t="str">
        <x:v>Égouts</x:v>
      </x:c>
      <x:c r="D1825" s="115" t="str">
        <x:v>Collecteur urbain</x:v>
      </x:c>
      <x:c r="E1825" s="115" t="n">
        <x:v>20</x:v>
      </x:c>
      <x:c r="F1825" s="115" t="str">
        <x:v>Inspection physique</x:v>
      </x:c>
      <x:c r="G1825" s="115" t="str">
        <x:v>2 niveaux ; 14 pièces ; 126 segments de mur ; 2 transitions. Inspection physique ; architecture complète encore ouverte.</x:v>
      </x:c>
      <x:c r="H1825" s="115" t="str">
        <x:v>L 208 ; l 218,3 ; hauteur 3 m ; choix de composition auteur ; dimensions réelles à documenter</x:v>
      </x:c>
      <x:c r="I1825" s="115" t="str">
        <x:v>À équilibrer</x:v>
      </x:c>
      <x:c r="J1825" s="115" t="str">
        <x:v>Non</x:v>
      </x:c>
      <x:c r="K1825" s="115" t="str">
        <x:v>Pièces décrites, murs, portes, niveaux et mobilier inspectables à l’échelle. Volumes réservés, raccord au seed, butin, rencontres et services de campagne restent à terminer.</x:v>
      </x:c>
    </x:row>
    <x:row r="1826" ht="96" customHeight="1">
      <x:c r="A1826" s="115" t="str">
        <x:v>EXT-MONDE-T037-V21</x:v>
      </x:c>
      <x:c r="B1826" s="115" t="str">
        <x:v>EXT-MONDE-T037</x:v>
      </x:c>
      <x:c r="C1826" s="115" t="str">
        <x:v>Égouts</x:v>
      </x:c>
      <x:c r="D1826" s="115" t="str">
        <x:v>Collecteur urbain</x:v>
      </x:c>
      <x:c r="E1826" s="115" t="n">
        <x:v>21</x:v>
      </x:c>
      <x:c r="F1826" s="115" t="str">
        <x:v>Inspection physique</x:v>
      </x:c>
      <x:c r="G1826" s="115" t="str">
        <x:v>2 niveaux ; 14 pièces ; 126 segments de mur ; 2 transitions. Inspection physique ; architecture complète encore ouverte.</x:v>
      </x:c>
      <x:c r="H1826" s="115" t="str">
        <x:v>L 200 ; l 224 ; hauteur 3 m ; choix de composition auteur ; dimensions réelles à documenter</x:v>
      </x:c>
      <x:c r="I1826" s="115" t="str">
        <x:v>À équilibrer</x:v>
      </x:c>
      <x:c r="J1826" s="115" t="str">
        <x:v>Non</x:v>
      </x:c>
      <x:c r="K1826" s="115" t="str">
        <x:v>Pièces décrites, murs, portes, niveaux et mobilier inspectables à l’échelle. Volumes réservés, raccord au seed, butin, rencontres et services de campagne restent à terminer.</x:v>
      </x:c>
    </x:row>
    <x:row r="1827" ht="96" customHeight="1">
      <x:c r="A1827" s="115" t="str">
        <x:v>EXT-MONDE-T037-V22</x:v>
      </x:c>
      <x:c r="B1827" s="115" t="str">
        <x:v>EXT-MONDE-T037</x:v>
      </x:c>
      <x:c r="C1827" s="115" t="str">
        <x:v>Égouts</x:v>
      </x:c>
      <x:c r="D1827" s="115" t="str">
        <x:v>Collecteur urbain</x:v>
      </x:c>
      <x:c r="E1827" s="115" t="n">
        <x:v>22</x:v>
      </x:c>
      <x:c r="F1827" s="115" t="str">
        <x:v>Inspection physique</x:v>
      </x:c>
      <x:c r="G1827" s="115" t="str">
        <x:v>2 niveaux ; 14 pièces ; 126 segments de mur ; 2 transitions. Inspection physique ; architecture complète encore ouverte.</x:v>
      </x:c>
      <x:c r="H1827" s="115" t="str">
        <x:v>L 202 ; l 224,7 ; hauteur 3 m ; choix de composition auteur ; dimensions réelles à documenter</x:v>
      </x:c>
      <x:c r="I1827" s="115" t="str">
        <x:v>À équilibrer</x:v>
      </x:c>
      <x:c r="J1827" s="115" t="str">
        <x:v>Non</x:v>
      </x:c>
      <x:c r="K1827" s="115" t="str">
        <x:v>Pièces décrites, murs, portes, niveaux et mobilier inspectables à l’échelle. Volumes réservés, raccord au seed, butin, rencontres et services de campagne restent à terminer.</x:v>
      </x:c>
    </x:row>
    <x:row r="1828" ht="96" customHeight="1">
      <x:c r="A1828" s="115" t="str">
        <x:v>EXT-MONDE-T037-V23</x:v>
      </x:c>
      <x:c r="B1828" s="115" t="str">
        <x:v>EXT-MONDE-T037</x:v>
      </x:c>
      <x:c r="C1828" s="115" t="str">
        <x:v>Égouts</x:v>
      </x:c>
      <x:c r="D1828" s="115" t="str">
        <x:v>Collecteur urbain</x:v>
      </x:c>
      <x:c r="E1828" s="115" t="n">
        <x:v>23</x:v>
      </x:c>
      <x:c r="F1828" s="115" t="str">
        <x:v>Inspection physique</x:v>
      </x:c>
      <x:c r="G1828" s="115" t="str">
        <x:v>2 niveaux ; 14 pièces ; 126 segments de mur ; 2 transitions. Inspection physique ; architecture complète encore ouverte.</x:v>
      </x:c>
      <x:c r="H1828" s="115" t="str">
        <x:v>L 204 ; l 225,4 ; hauteur 3 m ; choix de composition auteur ; dimensions réelles à documenter</x:v>
      </x:c>
      <x:c r="I1828" s="115" t="str">
        <x:v>À équilibrer</x:v>
      </x:c>
      <x:c r="J1828" s="115" t="str">
        <x:v>Non</x:v>
      </x:c>
      <x:c r="K1828" s="115" t="str">
        <x:v>Pièces décrites, murs, portes, niveaux et mobilier inspectables à l’échelle. Volumes réservés, raccord au seed, butin, rencontres et services de campagne restent à terminer.</x:v>
      </x:c>
    </x:row>
    <x:row r="1829" ht="96" customHeight="1">
      <x:c r="A1829" s="115" t="str">
        <x:v>EXT-MONDE-T037-V24</x:v>
      </x:c>
      <x:c r="B1829" s="115" t="str">
        <x:v>EXT-MONDE-T037</x:v>
      </x:c>
      <x:c r="C1829" s="115" t="str">
        <x:v>Égouts</x:v>
      </x:c>
      <x:c r="D1829" s="115" t="str">
        <x:v>Collecteur urbain</x:v>
      </x:c>
      <x:c r="E1829" s="115" t="n">
        <x:v>24</x:v>
      </x:c>
      <x:c r="F1829" s="115" t="str">
        <x:v>Inspection physique</x:v>
      </x:c>
      <x:c r="G1829" s="115" t="str">
        <x:v>2 niveaux ; 14 pièces ; 126 segments de mur ; 2 transitions. Inspection physique ; architecture complète encore ouverte.</x:v>
      </x:c>
      <x:c r="H1829" s="115" t="str">
        <x:v>L 206 ; l 226,1 ; hauteur 3 m ; choix de composition auteur ; dimensions réelles à documenter</x:v>
      </x:c>
      <x:c r="I1829" s="115" t="str">
        <x:v>À équilibrer</x:v>
      </x:c>
      <x:c r="J1829" s="115" t="str">
        <x:v>Non</x:v>
      </x:c>
      <x:c r="K1829" s="115" t="str">
        <x:v>Pièces décrites, murs, portes, niveaux et mobilier inspectables à l’échelle. Volumes réservés, raccord au seed, butin, rencontres et services de campagne restent à terminer.</x:v>
      </x:c>
    </x:row>
    <x:row r="1830" ht="96" customHeight="1">
      <x:c r="A1830" s="115" t="str">
        <x:v>EXT-MONDE-T037-V25</x:v>
      </x:c>
      <x:c r="B1830" s="115" t="str">
        <x:v>EXT-MONDE-T037</x:v>
      </x:c>
      <x:c r="C1830" s="115" t="str">
        <x:v>Égouts</x:v>
      </x:c>
      <x:c r="D1830" s="115" t="str">
        <x:v>Collecteur urbain</x:v>
      </x:c>
      <x:c r="E1830" s="115" t="n">
        <x:v>25</x:v>
      </x:c>
      <x:c r="F1830" s="115" t="str">
        <x:v>Inspection physique</x:v>
      </x:c>
      <x:c r="G1830" s="115" t="str">
        <x:v>2 niveaux ; 14 pièces ; 126 segments de mur ; 2 transitions. Inspection physique ; architecture complète encore ouverte.</x:v>
      </x:c>
      <x:c r="H1830" s="115" t="str">
        <x:v>L 208 ; l 226,8 ; hauteur 3 m ; choix de composition auteur ; dimensions réelles à documenter</x:v>
      </x:c>
      <x:c r="I1830" s="115" t="str">
        <x:v>À équilibrer</x:v>
      </x:c>
      <x:c r="J1830" s="115" t="str">
        <x:v>Non</x:v>
      </x:c>
      <x:c r="K1830" s="115" t="str">
        <x:v>Pièces décrites, murs, portes, niveaux et mobilier inspectables à l’échelle. Volumes réservés, raccord au seed, butin, rencontres et services de campagne restent à terminer.</x:v>
      </x:c>
    </x:row>
    <x:row r="1831" ht="96" customHeight="1">
      <x:c r="A1831" s="115" t="str">
        <x:v>EXT-MONDE-T037-V26</x:v>
      </x:c>
      <x:c r="B1831" s="115" t="str">
        <x:v>EXT-MONDE-T037</x:v>
      </x:c>
      <x:c r="C1831" s="115" t="str">
        <x:v>Égouts</x:v>
      </x:c>
      <x:c r="D1831" s="115" t="str">
        <x:v>Collecteur urbain</x:v>
      </x:c>
      <x:c r="E1831" s="115" t="n">
        <x:v>26</x:v>
      </x:c>
      <x:c r="F1831" s="115" t="str">
        <x:v>Inspection physique</x:v>
      </x:c>
      <x:c r="G1831" s="115" t="str">
        <x:v>2 niveaux ; 14 pièces ; 126 segments de mur ; 2 transitions. Inspection physique ; architecture complète encore ouverte.</x:v>
      </x:c>
      <x:c r="H1831" s="115" t="str">
        <x:v>L 210 ; l 227,5 ; hauteur 3 m ; choix de composition auteur ; dimensions réelles à documenter</x:v>
      </x:c>
      <x:c r="I1831" s="115" t="str">
        <x:v>À équilibrer</x:v>
      </x:c>
      <x:c r="J1831" s="115" t="str">
        <x:v>Non</x:v>
      </x:c>
      <x:c r="K1831" s="115" t="str">
        <x:v>Pièces décrites, murs, portes, niveaux et mobilier inspectables à l’échelle. Volumes réservés, raccord au seed, butin, rencontres et services de campagne restent à terminer.</x:v>
      </x:c>
    </x:row>
    <x:row r="1832" ht="96" customHeight="1">
      <x:c r="A1832" s="115" t="str">
        <x:v>EXT-MONDE-T037-V27</x:v>
      </x:c>
      <x:c r="B1832" s="115" t="str">
        <x:v>EXT-MONDE-T037</x:v>
      </x:c>
      <x:c r="C1832" s="115" t="str">
        <x:v>Égouts</x:v>
      </x:c>
      <x:c r="D1832" s="115" t="str">
        <x:v>Collecteur urbain</x:v>
      </x:c>
      <x:c r="E1832" s="115" t="n">
        <x:v>27</x:v>
      </x:c>
      <x:c r="F1832" s="115" t="str">
        <x:v>Inspection physique</x:v>
      </x:c>
      <x:c r="G1832" s="115" t="str">
        <x:v>2 niveaux ; 14 pièces ; 126 segments de mur ; 2 transitions. Inspection physique ; architecture complète encore ouverte.</x:v>
      </x:c>
      <x:c r="H1832" s="115" t="str">
        <x:v>L 212 ; l 228,2 ; hauteur 3 m ; choix de composition auteur ; dimensions réelles à documenter</x:v>
      </x:c>
      <x:c r="I1832" s="115" t="str">
        <x:v>À équilibrer</x:v>
      </x:c>
      <x:c r="J1832" s="115" t="str">
        <x:v>Non</x:v>
      </x:c>
      <x:c r="K1832" s="115" t="str">
        <x:v>Pièces décrites, murs, portes, niveaux et mobilier inspectables à l’échelle. Volumes réservés, raccord au seed, butin, rencontres et services de campagne restent à terminer.</x:v>
      </x:c>
    </x:row>
    <x:row r="1833" ht="96" customHeight="1">
      <x:c r="A1833" s="115" t="str">
        <x:v>EXT-MONDE-T037-V28</x:v>
      </x:c>
      <x:c r="B1833" s="115" t="str">
        <x:v>EXT-MONDE-T037</x:v>
      </x:c>
      <x:c r="C1833" s="115" t="str">
        <x:v>Égouts</x:v>
      </x:c>
      <x:c r="D1833" s="115" t="str">
        <x:v>Collecteur urbain</x:v>
      </x:c>
      <x:c r="E1833" s="115" t="n">
        <x:v>28</x:v>
      </x:c>
      <x:c r="F1833" s="115" t="str">
        <x:v>Inspection physique</x:v>
      </x:c>
      <x:c r="G1833" s="115" t="str">
        <x:v>2 niveaux ; 14 pièces ; 126 segments de mur ; 2 transitions. Inspection physique ; architecture complète encore ouverte.</x:v>
      </x:c>
      <x:c r="H1833" s="115" t="str">
        <x:v>L 214 ; l 228,9 ; hauteur 3 m ; choix de composition auteur ; dimensions réelles à documenter</x:v>
      </x:c>
      <x:c r="I1833" s="115" t="str">
        <x:v>À équilibrer</x:v>
      </x:c>
      <x:c r="J1833" s="115" t="str">
        <x:v>Non</x:v>
      </x:c>
      <x:c r="K1833" s="115" t="str">
        <x:v>Pièces décrites, murs, portes, niveaux et mobilier inspectables à l’échelle. Volumes réservés, raccord au seed, butin, rencontres et services de campagne restent à terminer.</x:v>
      </x:c>
    </x:row>
    <x:row r="1834" ht="96" customHeight="1">
      <x:c r="A1834" s="115" t="str">
        <x:v>EXT-MONDE-T037-V29</x:v>
      </x:c>
      <x:c r="B1834" s="115" t="str">
        <x:v>EXT-MONDE-T037</x:v>
      </x:c>
      <x:c r="C1834" s="115" t="str">
        <x:v>Égouts</x:v>
      </x:c>
      <x:c r="D1834" s="115" t="str">
        <x:v>Collecteur urbain</x:v>
      </x:c>
      <x:c r="E1834" s="115" t="n">
        <x:v>29</x:v>
      </x:c>
      <x:c r="F1834" s="115" t="str">
        <x:v>Inspection physique</x:v>
      </x:c>
      <x:c r="G1834" s="115" t="str">
        <x:v>2 niveaux ; 14 pièces ; 126 segments de mur ; 2 transitions. Inspection physique ; architecture complète encore ouverte.</x:v>
      </x:c>
      <x:c r="H1834" s="115" t="str">
        <x:v>L 216 ; l 229,6 ; hauteur 3 m ; choix de composition auteur ; dimensions réelles à documenter</x:v>
      </x:c>
      <x:c r="I1834" s="115" t="str">
        <x:v>À équilibrer</x:v>
      </x:c>
      <x:c r="J1834" s="115" t="str">
        <x:v>Non</x:v>
      </x:c>
      <x:c r="K1834" s="115" t="str">
        <x:v>Pièces décrites, murs, portes, niveaux et mobilier inspectables à l’échelle. Volumes réservés, raccord au seed, butin, rencontres et services de campagne restent à terminer.</x:v>
      </x:c>
    </x:row>
    <x:row r="1835" ht="96" customHeight="1">
      <x:c r="A1835" s="115" t="str">
        <x:v>EXT-MONDE-T037-V30</x:v>
      </x:c>
      <x:c r="B1835" s="115" t="str">
        <x:v>EXT-MONDE-T037</x:v>
      </x:c>
      <x:c r="C1835" s="115" t="str">
        <x:v>Égouts</x:v>
      </x:c>
      <x:c r="D1835" s="115" t="str">
        <x:v>Collecteur urbain</x:v>
      </x:c>
      <x:c r="E1835" s="115" t="n">
        <x:v>30</x:v>
      </x:c>
      <x:c r="F1835" s="115" t="str">
        <x:v>Inspection physique</x:v>
      </x:c>
      <x:c r="G1835" s="115" t="str">
        <x:v>2 niveaux ; 14 pièces ; 126 segments de mur ; 2 transitions. Inspection physique ; architecture complète encore ouverte.</x:v>
      </x:c>
      <x:c r="H1835" s="115" t="str">
        <x:v>L 218 ; l 230,3 ; hauteur 3 m ; choix de composition auteur ; dimensions réelles à documenter</x:v>
      </x:c>
      <x:c r="I1835" s="115" t="str">
        <x:v>À équilibrer</x:v>
      </x:c>
      <x:c r="J1835" s="115" t="str">
        <x:v>Non</x:v>
      </x:c>
      <x:c r="K1835" s="115" t="str">
        <x:v>Pièces décrites, murs, portes, niveaux et mobilier inspectables à l’échelle. Volumes réservés, raccord au seed, butin, rencontres et services de campagne restent à terminer.</x:v>
      </x:c>
    </x:row>
    <x:row r="1836" ht="96" customHeight="1">
      <x:c r="A1836" s="115" t="str">
        <x:v>EXT-MONDE-T037-V31</x:v>
      </x:c>
      <x:c r="B1836" s="115" t="str">
        <x:v>EXT-MONDE-T037</x:v>
      </x:c>
      <x:c r="C1836" s="115" t="str">
        <x:v>Égouts</x:v>
      </x:c>
      <x:c r="D1836" s="115" t="str">
        <x:v>Collecteur urbain</x:v>
      </x:c>
      <x:c r="E1836" s="115" t="n">
        <x:v>31</x:v>
      </x:c>
      <x:c r="F1836" s="115" t="str">
        <x:v>Inspection physique</x:v>
      </x:c>
      <x:c r="G1836" s="115" t="str">
        <x:v>2 niveaux ; 14 pièces ; 126 segments de mur ; 2 transitions. Inspection physique ; architecture complète encore ouverte.</x:v>
      </x:c>
      <x:c r="H1836" s="115" t="str">
        <x:v>L 210 ; l 236 ; hauteur 3 m ; choix de composition auteur ; dimensions réelles à documenter</x:v>
      </x:c>
      <x:c r="I1836" s="115" t="str">
        <x:v>À équilibrer</x:v>
      </x:c>
      <x:c r="J1836" s="115" t="str">
        <x:v>Non</x:v>
      </x:c>
      <x:c r="K1836" s="115" t="str">
        <x:v>Pièces décrites, murs, portes, niveaux et mobilier inspectables à l’échelle. Volumes réservés, raccord au seed, butin, rencontres et services de campagne restent à terminer.</x:v>
      </x:c>
    </x:row>
    <x:row r="1837" ht="96" customHeight="1">
      <x:c r="A1837" s="115" t="str">
        <x:v>EXT-MONDE-T037-V32</x:v>
      </x:c>
      <x:c r="B1837" s="115" t="str">
        <x:v>EXT-MONDE-T037</x:v>
      </x:c>
      <x:c r="C1837" s="115" t="str">
        <x:v>Égouts</x:v>
      </x:c>
      <x:c r="D1837" s="115" t="str">
        <x:v>Collecteur urbain</x:v>
      </x:c>
      <x:c r="E1837" s="115" t="n">
        <x:v>32</x:v>
      </x:c>
      <x:c r="F1837" s="115" t="str">
        <x:v>Inspection physique</x:v>
      </x:c>
      <x:c r="G1837" s="115" t="str">
        <x:v>2 niveaux ; 14 pièces ; 126 segments de mur ; 2 transitions. Inspection physique ; architecture complète encore ouverte.</x:v>
      </x:c>
      <x:c r="H1837" s="115" t="str">
        <x:v>L 212 ; l 236,7 ; hauteur 3 m ; choix de composition auteur ; dimensions réelles à documenter</x:v>
      </x:c>
      <x:c r="I1837" s="115" t="str">
        <x:v>À équilibrer</x:v>
      </x:c>
      <x:c r="J1837" s="115" t="str">
        <x:v>Non</x:v>
      </x:c>
      <x:c r="K1837" s="115" t="str">
        <x:v>Pièces décrites, murs, portes, niveaux et mobilier inspectables à l’échelle. Volumes réservés, raccord au seed, butin, rencontres et services de campagne restent à terminer.</x:v>
      </x:c>
    </x:row>
    <x:row r="1838" ht="96" customHeight="1">
      <x:c r="A1838" s="115" t="str">
        <x:v>EXT-MONDE-T037-V33</x:v>
      </x:c>
      <x:c r="B1838" s="115" t="str">
        <x:v>EXT-MONDE-T037</x:v>
      </x:c>
      <x:c r="C1838" s="115" t="str">
        <x:v>Égouts</x:v>
      </x:c>
      <x:c r="D1838" s="115" t="str">
        <x:v>Collecteur urbain</x:v>
      </x:c>
      <x:c r="E1838" s="115" t="n">
        <x:v>33</x:v>
      </x:c>
      <x:c r="F1838" s="115" t="str">
        <x:v>Inspection physique</x:v>
      </x:c>
      <x:c r="G1838" s="115" t="str">
        <x:v>2 niveaux ; 14 pièces ; 126 segments de mur ; 2 transitions. Inspection physique ; architecture complète encore ouverte.</x:v>
      </x:c>
      <x:c r="H1838" s="115" t="str">
        <x:v>L 214 ; l 237,4 ; hauteur 3 m ; choix de composition auteur ; dimensions réelles à documenter</x:v>
      </x:c>
      <x:c r="I1838" s="115" t="str">
        <x:v>À équilibrer</x:v>
      </x:c>
      <x:c r="J1838" s="115" t="str">
        <x:v>Non</x:v>
      </x:c>
      <x:c r="K1838" s="115" t="str">
        <x:v>Pièces décrites, murs, portes, niveaux et mobilier inspectables à l’échelle. Volumes réservés, raccord au seed, butin, rencontres et services de campagne restent à terminer.</x:v>
      </x:c>
    </x:row>
    <x:row r="1839" ht="96" customHeight="1">
      <x:c r="A1839" s="115" t="str">
        <x:v>EXT-MONDE-T037-V34</x:v>
      </x:c>
      <x:c r="B1839" s="115" t="str">
        <x:v>EXT-MONDE-T037</x:v>
      </x:c>
      <x:c r="C1839" s="115" t="str">
        <x:v>Égouts</x:v>
      </x:c>
      <x:c r="D1839" s="115" t="str">
        <x:v>Collecteur urbain</x:v>
      </x:c>
      <x:c r="E1839" s="115" t="n">
        <x:v>34</x:v>
      </x:c>
      <x:c r="F1839" s="115" t="str">
        <x:v>Inspection physique</x:v>
      </x:c>
      <x:c r="G1839" s="115" t="str">
        <x:v>2 niveaux ; 14 pièces ; 126 segments de mur ; 2 transitions. Inspection physique ; architecture complète encore ouverte.</x:v>
      </x:c>
      <x:c r="H1839" s="115" t="str">
        <x:v>L 216 ; l 238,1 ; hauteur 3 m ; choix de composition auteur ; dimensions réelles à documenter</x:v>
      </x:c>
      <x:c r="I1839" s="115" t="str">
        <x:v>À équilibrer</x:v>
      </x:c>
      <x:c r="J1839" s="115" t="str">
        <x:v>Non</x:v>
      </x:c>
      <x:c r="K1839" s="115" t="str">
        <x:v>Pièces décrites, murs, portes, niveaux et mobilier inspectables à l’échelle. Volumes réservés, raccord au seed, butin, rencontres et services de campagne restent à terminer.</x:v>
      </x:c>
    </x:row>
    <x:row r="1840" ht="96" customHeight="1">
      <x:c r="A1840" s="115" t="str">
        <x:v>EXT-MONDE-T037-V35</x:v>
      </x:c>
      <x:c r="B1840" s="115" t="str">
        <x:v>EXT-MONDE-T037</x:v>
      </x:c>
      <x:c r="C1840" s="115" t="str">
        <x:v>Égouts</x:v>
      </x:c>
      <x:c r="D1840" s="115" t="str">
        <x:v>Collecteur urbain</x:v>
      </x:c>
      <x:c r="E1840" s="115" t="n">
        <x:v>35</x:v>
      </x:c>
      <x:c r="F1840" s="115" t="str">
        <x:v>Inspection physique</x:v>
      </x:c>
      <x:c r="G1840" s="115" t="str">
        <x:v>2 niveaux ; 14 pièces ; 126 segments de mur ; 2 transitions. Inspection physique ; architecture complète encore ouverte.</x:v>
      </x:c>
      <x:c r="H1840" s="115" t="str">
        <x:v>L 218 ; l 238,8 ; hauteur 3 m ; choix de composition auteur ; dimensions réelles à documenter</x:v>
      </x:c>
      <x:c r="I1840" s="115" t="str">
        <x:v>À équilibrer</x:v>
      </x:c>
      <x:c r="J1840" s="115" t="str">
        <x:v>Non</x:v>
      </x:c>
      <x:c r="K1840" s="115" t="str">
        <x:v>Pièces décrites, murs, portes, niveaux et mobilier inspectables à l’échelle. Volumes réservés, raccord au seed, butin, rencontres et services de campagne restent à terminer.</x:v>
      </x:c>
    </x:row>
    <x:row r="1841" ht="96" customHeight="1">
      <x:c r="A1841" s="115" t="str">
        <x:v>EXT-MONDE-T037-V36</x:v>
      </x:c>
      <x:c r="B1841" s="115" t="str">
        <x:v>EXT-MONDE-T037</x:v>
      </x:c>
      <x:c r="C1841" s="115" t="str">
        <x:v>Égouts</x:v>
      </x:c>
      <x:c r="D1841" s="115" t="str">
        <x:v>Collecteur urbain</x:v>
      </x:c>
      <x:c r="E1841" s="115" t="n">
        <x:v>36</x:v>
      </x:c>
      <x:c r="F1841" s="115" t="str">
        <x:v>Inspection physique</x:v>
      </x:c>
      <x:c r="G1841" s="115" t="str">
        <x:v>2 niveaux ; 14 pièces ; 126 segments de mur ; 2 transitions. Inspection physique ; architecture complète encore ouverte.</x:v>
      </x:c>
      <x:c r="H1841" s="115" t="str">
        <x:v>L 220 ; l 239,5 ; hauteur 3 m ; choix de composition auteur ; dimensions réelles à documenter</x:v>
      </x:c>
      <x:c r="I1841" s="115" t="str">
        <x:v>À équilibrer</x:v>
      </x:c>
      <x:c r="J1841" s="115" t="str">
        <x:v>Non</x:v>
      </x:c>
      <x:c r="K1841" s="115" t="str">
        <x:v>Pièces décrites, murs, portes, niveaux et mobilier inspectables à l’échelle. Volumes réservés, raccord au seed, butin, rencontres et services de campagne restent à terminer.</x:v>
      </x:c>
    </x:row>
    <x:row r="1842" ht="96" customHeight="1">
      <x:c r="A1842" s="115" t="str">
        <x:v>EXT-MONDE-T037-V37</x:v>
      </x:c>
      <x:c r="B1842" s="115" t="str">
        <x:v>EXT-MONDE-T037</x:v>
      </x:c>
      <x:c r="C1842" s="115" t="str">
        <x:v>Égouts</x:v>
      </x:c>
      <x:c r="D1842" s="115" t="str">
        <x:v>Collecteur urbain</x:v>
      </x:c>
      <x:c r="E1842" s="115" t="n">
        <x:v>37</x:v>
      </x:c>
      <x:c r="F1842" s="115" t="str">
        <x:v>Inspection physique</x:v>
      </x:c>
      <x:c r="G1842" s="115" t="str">
        <x:v>2 niveaux ; 14 pièces ; 126 segments de mur ; 2 transitions. Inspection physique ; architecture complète encore ouverte.</x:v>
      </x:c>
      <x:c r="H1842" s="115" t="str">
        <x:v>L 222 ; l 240,2 ; hauteur 3 m ; choix de composition auteur ; dimensions réelles à documenter</x:v>
      </x:c>
      <x:c r="I1842" s="115" t="str">
        <x:v>À équilibrer</x:v>
      </x:c>
      <x:c r="J1842" s="115" t="str">
        <x:v>Non</x:v>
      </x:c>
      <x:c r="K1842" s="115" t="str">
        <x:v>Pièces décrites, murs, portes, niveaux et mobilier inspectables à l’échelle. Volumes réservés, raccord au seed, butin, rencontres et services de campagne restent à terminer.</x:v>
      </x:c>
    </x:row>
    <x:row r="1843" ht="96" customHeight="1">
      <x:c r="A1843" s="115" t="str">
        <x:v>EXT-MONDE-T037-V38</x:v>
      </x:c>
      <x:c r="B1843" s="115" t="str">
        <x:v>EXT-MONDE-T037</x:v>
      </x:c>
      <x:c r="C1843" s="115" t="str">
        <x:v>Égouts</x:v>
      </x:c>
      <x:c r="D1843" s="115" t="str">
        <x:v>Collecteur urbain</x:v>
      </x:c>
      <x:c r="E1843" s="115" t="n">
        <x:v>38</x:v>
      </x:c>
      <x:c r="F1843" s="115" t="str">
        <x:v>Inspection physique</x:v>
      </x:c>
      <x:c r="G1843" s="115" t="str">
        <x:v>2 niveaux ; 14 pièces ; 126 segments de mur ; 2 transitions. Inspection physique ; architecture complète encore ouverte.</x:v>
      </x:c>
      <x:c r="H1843" s="115" t="str">
        <x:v>L 224 ; l 240,9 ; hauteur 3 m ; choix de composition auteur ; dimensions réelles à documenter</x:v>
      </x:c>
      <x:c r="I1843" s="115" t="str">
        <x:v>À équilibrer</x:v>
      </x:c>
      <x:c r="J1843" s="115" t="str">
        <x:v>Non</x:v>
      </x:c>
      <x:c r="K1843" s="115" t="str">
        <x:v>Pièces décrites, murs, portes, niveaux et mobilier inspectables à l’échelle. Volumes réservés, raccord au seed, butin, rencontres et services de campagne restent à terminer.</x:v>
      </x:c>
    </x:row>
    <x:row r="1844" ht="96" customHeight="1">
      <x:c r="A1844" s="115" t="str">
        <x:v>EXT-MONDE-T037-V39</x:v>
      </x:c>
      <x:c r="B1844" s="115" t="str">
        <x:v>EXT-MONDE-T037</x:v>
      </x:c>
      <x:c r="C1844" s="115" t="str">
        <x:v>Égouts</x:v>
      </x:c>
      <x:c r="D1844" s="115" t="str">
        <x:v>Collecteur urbain</x:v>
      </x:c>
      <x:c r="E1844" s="115" t="n">
        <x:v>39</x:v>
      </x:c>
      <x:c r="F1844" s="115" t="str">
        <x:v>Inspection physique</x:v>
      </x:c>
      <x:c r="G1844" s="115" t="str">
        <x:v>2 niveaux ; 14 pièces ; 126 segments de mur ; 2 transitions. Inspection physique ; architecture complète encore ouverte.</x:v>
      </x:c>
      <x:c r="H1844" s="115" t="str">
        <x:v>L 226 ; l 241,6 ; hauteur 3 m ; choix de composition auteur ; dimensions réelles à documenter</x:v>
      </x:c>
      <x:c r="I1844" s="115" t="str">
        <x:v>À équilibrer</x:v>
      </x:c>
      <x:c r="J1844" s="115" t="str">
        <x:v>Non</x:v>
      </x:c>
      <x:c r="K1844" s="115" t="str">
        <x:v>Pièces décrites, murs, portes, niveaux et mobilier inspectables à l’échelle. Volumes réservés, raccord au seed, butin, rencontres et services de campagne restent à terminer.</x:v>
      </x:c>
    </x:row>
    <x:row r="1845" ht="96" customHeight="1">
      <x:c r="A1845" s="115" t="str">
        <x:v>EXT-MONDE-T037-V40</x:v>
      </x:c>
      <x:c r="B1845" s="115" t="str">
        <x:v>EXT-MONDE-T037</x:v>
      </x:c>
      <x:c r="C1845" s="115" t="str">
        <x:v>Égouts</x:v>
      </x:c>
      <x:c r="D1845" s="115" t="str">
        <x:v>Collecteur urbain</x:v>
      </x:c>
      <x:c r="E1845" s="115" t="n">
        <x:v>40</x:v>
      </x:c>
      <x:c r="F1845" s="115" t="str">
        <x:v>Inspection physique</x:v>
      </x:c>
      <x:c r="G1845" s="115" t="str">
        <x:v>2 niveaux ; 14 pièces ; 126 segments de mur ; 2 transitions. Inspection physique ; architecture complète encore ouverte.</x:v>
      </x:c>
      <x:c r="H1845" s="115" t="str">
        <x:v>L 228 ; l 242,3 ; hauteur 3 m ; choix de composition auteur ; dimensions réelles à documenter</x:v>
      </x:c>
      <x:c r="I1845" s="115" t="str">
        <x:v>À équilibrer</x:v>
      </x:c>
      <x:c r="J1845" s="115" t="str">
        <x:v>Non</x:v>
      </x:c>
      <x:c r="K1845" s="115" t="str">
        <x:v>Pièces décrites, murs, portes, niveaux et mobilier inspectables à l’échelle. Volumes réservés, raccord au seed, butin, rencontres et services de campagne restent à terminer.</x:v>
      </x:c>
    </x:row>
    <x:row r="1846" ht="96" customHeight="1">
      <x:c r="A1846" s="115" t="str">
        <x:v>EXT-MONDE-T037-V41</x:v>
      </x:c>
      <x:c r="B1846" s="115" t="str">
        <x:v>EXT-MONDE-T037</x:v>
      </x:c>
      <x:c r="C1846" s="115" t="str">
        <x:v>Égouts</x:v>
      </x:c>
      <x:c r="D1846" s="115" t="str">
        <x:v>Collecteur urbain</x:v>
      </x:c>
      <x:c r="E1846" s="115" t="n">
        <x:v>41</x:v>
      </x:c>
      <x:c r="F1846" s="115" t="str">
        <x:v>Inspection physique</x:v>
      </x:c>
      <x:c r="G1846" s="115" t="str">
        <x:v>2 niveaux ; 14 pièces ; 126 segments de mur ; 2 transitions. Inspection physique ; architecture complète encore ouverte.</x:v>
      </x:c>
      <x:c r="H1846" s="115" t="str">
        <x:v>L 220 ; l 248 ; hauteur 3 m ; choix de composition auteur ; dimensions réelles à documenter</x:v>
      </x:c>
      <x:c r="I1846" s="115" t="str">
        <x:v>À équilibrer</x:v>
      </x:c>
      <x:c r="J1846" s="115" t="str">
        <x:v>Non</x:v>
      </x:c>
      <x:c r="K1846" s="115" t="str">
        <x:v>Pièces décrites, murs, portes, niveaux et mobilier inspectables à l’échelle. Volumes réservés, raccord au seed, butin, rencontres et services de campagne restent à terminer.</x:v>
      </x:c>
    </x:row>
    <x:row r="1847" ht="96" customHeight="1">
      <x:c r="A1847" s="115" t="str">
        <x:v>EXT-MONDE-T037-V42</x:v>
      </x:c>
      <x:c r="B1847" s="115" t="str">
        <x:v>EXT-MONDE-T037</x:v>
      </x:c>
      <x:c r="C1847" s="115" t="str">
        <x:v>Égouts</x:v>
      </x:c>
      <x:c r="D1847" s="115" t="str">
        <x:v>Collecteur urbain</x:v>
      </x:c>
      <x:c r="E1847" s="115" t="n">
        <x:v>42</x:v>
      </x:c>
      <x:c r="F1847" s="115" t="str">
        <x:v>Inspection physique</x:v>
      </x:c>
      <x:c r="G1847" s="115" t="str">
        <x:v>2 niveaux ; 14 pièces ; 126 segments de mur ; 2 transitions. Inspection physique ; architecture complète encore ouverte.</x:v>
      </x:c>
      <x:c r="H1847" s="115" t="str">
        <x:v>L 222 ; l 248,7 ; hauteur 3 m ; choix de composition auteur ; dimensions réelles à documenter</x:v>
      </x:c>
      <x:c r="I1847" s="115" t="str">
        <x:v>À équilibrer</x:v>
      </x:c>
      <x:c r="J1847" s="115" t="str">
        <x:v>Non</x:v>
      </x:c>
      <x:c r="K1847" s="115" t="str">
        <x:v>Pièces décrites, murs, portes, niveaux et mobilier inspectables à l’échelle. Volumes réservés, raccord au seed, butin, rencontres et services de campagne restent à terminer.</x:v>
      </x:c>
    </x:row>
    <x:row r="1848" ht="96" customHeight="1">
      <x:c r="A1848" s="115" t="str">
        <x:v>EXT-MONDE-T037-V43</x:v>
      </x:c>
      <x:c r="B1848" s="115" t="str">
        <x:v>EXT-MONDE-T037</x:v>
      </x:c>
      <x:c r="C1848" s="115" t="str">
        <x:v>Égouts</x:v>
      </x:c>
      <x:c r="D1848" s="115" t="str">
        <x:v>Collecteur urbain</x:v>
      </x:c>
      <x:c r="E1848" s="115" t="n">
        <x:v>43</x:v>
      </x:c>
      <x:c r="F1848" s="115" t="str">
        <x:v>Inspection physique</x:v>
      </x:c>
      <x:c r="G1848" s="115" t="str">
        <x:v>2 niveaux ; 14 pièces ; 126 segments de mur ; 2 transitions. Inspection physique ; architecture complète encore ouverte.</x:v>
      </x:c>
      <x:c r="H1848" s="115" t="str">
        <x:v>L 224 ; l 249,4 ; hauteur 3 m ; choix de composition auteur ; dimensions réelles à documenter</x:v>
      </x:c>
      <x:c r="I1848" s="115" t="str">
        <x:v>À équilibrer</x:v>
      </x:c>
      <x:c r="J1848" s="115" t="str">
        <x:v>Non</x:v>
      </x:c>
      <x:c r="K1848" s="115" t="str">
        <x:v>Pièces décrites, murs, portes, niveaux et mobilier inspectables à l’échelle. Volumes réservés, raccord au seed, butin, rencontres et services de campagne restent à terminer.</x:v>
      </x:c>
    </x:row>
    <x:row r="1849" ht="96" customHeight="1">
      <x:c r="A1849" s="115" t="str">
        <x:v>EXT-MONDE-T037-V44</x:v>
      </x:c>
      <x:c r="B1849" s="115" t="str">
        <x:v>EXT-MONDE-T037</x:v>
      </x:c>
      <x:c r="C1849" s="115" t="str">
        <x:v>Égouts</x:v>
      </x:c>
      <x:c r="D1849" s="115" t="str">
        <x:v>Collecteur urbain</x:v>
      </x:c>
      <x:c r="E1849" s="115" t="n">
        <x:v>44</x:v>
      </x:c>
      <x:c r="F1849" s="115" t="str">
        <x:v>Inspection physique</x:v>
      </x:c>
      <x:c r="G1849" s="115" t="str">
        <x:v>2 niveaux ; 14 pièces ; 126 segments de mur ; 2 transitions. Inspection physique ; architecture complète encore ouverte.</x:v>
      </x:c>
      <x:c r="H1849" s="115" t="str">
        <x:v>L 226 ; l 250,1 ; hauteur 3 m ; choix de composition auteur ; dimensions réelles à documenter</x:v>
      </x:c>
      <x:c r="I1849" s="115" t="str">
        <x:v>À équilibrer</x:v>
      </x:c>
      <x:c r="J1849" s="115" t="str">
        <x:v>Non</x:v>
      </x:c>
      <x:c r="K1849" s="115" t="str">
        <x:v>Pièces décrites, murs, portes, niveaux et mobilier inspectables à l’échelle. Volumes réservés, raccord au seed, butin, rencontres et services de campagne restent à terminer.</x:v>
      </x:c>
    </x:row>
    <x:row r="1850" ht="96" customHeight="1">
      <x:c r="A1850" s="115" t="str">
        <x:v>EXT-MONDE-T037-V45</x:v>
      </x:c>
      <x:c r="B1850" s="115" t="str">
        <x:v>EXT-MONDE-T037</x:v>
      </x:c>
      <x:c r="C1850" s="115" t="str">
        <x:v>Égouts</x:v>
      </x:c>
      <x:c r="D1850" s="115" t="str">
        <x:v>Collecteur urbain</x:v>
      </x:c>
      <x:c r="E1850" s="115" t="n">
        <x:v>45</x:v>
      </x:c>
      <x:c r="F1850" s="115" t="str">
        <x:v>Inspection physique</x:v>
      </x:c>
      <x:c r="G1850" s="115" t="str">
        <x:v>2 niveaux ; 14 pièces ; 126 segments de mur ; 2 transitions. Inspection physique ; architecture complète encore ouverte.</x:v>
      </x:c>
      <x:c r="H1850" s="115" t="str">
        <x:v>L 228 ; l 250,8 ; hauteur 3 m ; choix de composition auteur ; dimensions réelles à documenter</x:v>
      </x:c>
      <x:c r="I1850" s="115" t="str">
        <x:v>À équilibrer</x:v>
      </x:c>
      <x:c r="J1850" s="115" t="str">
        <x:v>Non</x:v>
      </x:c>
      <x:c r="K1850" s="115" t="str">
        <x:v>Pièces décrites, murs, portes, niveaux et mobilier inspectables à l’échelle. Volumes réservés, raccord au seed, butin, rencontres et services de campagne restent à terminer.</x:v>
      </x:c>
    </x:row>
    <x:row r="1851" ht="96" customHeight="1">
      <x:c r="A1851" s="115" t="str">
        <x:v>EXT-MONDE-T037-V46</x:v>
      </x:c>
      <x:c r="B1851" s="115" t="str">
        <x:v>EXT-MONDE-T037</x:v>
      </x:c>
      <x:c r="C1851" s="115" t="str">
        <x:v>Égouts</x:v>
      </x:c>
      <x:c r="D1851" s="115" t="str">
        <x:v>Collecteur urbain</x:v>
      </x:c>
      <x:c r="E1851" s="115" t="n">
        <x:v>46</x:v>
      </x:c>
      <x:c r="F1851" s="115" t="str">
        <x:v>Inspection physique</x:v>
      </x:c>
      <x:c r="G1851" s="115" t="str">
        <x:v>2 niveaux ; 14 pièces ; 126 segments de mur ; 2 transitions. Inspection physique ; architecture complète encore ouverte.</x:v>
      </x:c>
      <x:c r="H1851" s="115" t="str">
        <x:v>L 230 ; l 251,5 ; hauteur 3 m ; choix de composition auteur ; dimensions réelles à documenter</x:v>
      </x:c>
      <x:c r="I1851" s="115" t="str">
        <x:v>À équilibrer</x:v>
      </x:c>
      <x:c r="J1851" s="115" t="str">
        <x:v>Non</x:v>
      </x:c>
      <x:c r="K1851" s="115" t="str">
        <x:v>Pièces décrites, murs, portes, niveaux et mobilier inspectables à l’échelle. Volumes réservés, raccord au seed, butin, rencontres et services de campagne restent à terminer.</x:v>
      </x:c>
    </x:row>
    <x:row r="1852" ht="96" customHeight="1">
      <x:c r="A1852" s="115" t="str">
        <x:v>EXT-MONDE-T037-V47</x:v>
      </x:c>
      <x:c r="B1852" s="115" t="str">
        <x:v>EXT-MONDE-T037</x:v>
      </x:c>
      <x:c r="C1852" s="115" t="str">
        <x:v>Égouts</x:v>
      </x:c>
      <x:c r="D1852" s="115" t="str">
        <x:v>Collecteur urbain</x:v>
      </x:c>
      <x:c r="E1852" s="115" t="n">
        <x:v>47</x:v>
      </x:c>
      <x:c r="F1852" s="115" t="str">
        <x:v>Inspection physique</x:v>
      </x:c>
      <x:c r="G1852" s="115" t="str">
        <x:v>2 niveaux ; 14 pièces ; 126 segments de mur ; 2 transitions. Inspection physique ; architecture complète encore ouverte.</x:v>
      </x:c>
      <x:c r="H1852" s="115" t="str">
        <x:v>L 232 ; l 252,2 ; hauteur 3 m ; choix de composition auteur ; dimensions réelles à documenter</x:v>
      </x:c>
      <x:c r="I1852" s="115" t="str">
        <x:v>À équilibrer</x:v>
      </x:c>
      <x:c r="J1852" s="115" t="str">
        <x:v>Non</x:v>
      </x:c>
      <x:c r="K1852" s="115" t="str">
        <x:v>Pièces décrites, murs, portes, niveaux et mobilier inspectables à l’échelle. Volumes réservés, raccord au seed, butin, rencontres et services de campagne restent à terminer.</x:v>
      </x:c>
    </x:row>
    <x:row r="1853" ht="96" customHeight="1">
      <x:c r="A1853" s="115" t="str">
        <x:v>EXT-MONDE-T037-V48</x:v>
      </x:c>
      <x:c r="B1853" s="115" t="str">
        <x:v>EXT-MONDE-T037</x:v>
      </x:c>
      <x:c r="C1853" s="115" t="str">
        <x:v>Égouts</x:v>
      </x:c>
      <x:c r="D1853" s="115" t="str">
        <x:v>Collecteur urbain</x:v>
      </x:c>
      <x:c r="E1853" s="115" t="n">
        <x:v>48</x:v>
      </x:c>
      <x:c r="F1853" s="115" t="str">
        <x:v>Inspection physique</x:v>
      </x:c>
      <x:c r="G1853" s="115" t="str">
        <x:v>2 niveaux ; 14 pièces ; 126 segments de mur ; 2 transitions. Inspection physique ; architecture complète encore ouverte.</x:v>
      </x:c>
      <x:c r="H1853" s="115" t="str">
        <x:v>L 234 ; l 252,9 ; hauteur 3 m ; choix de composition auteur ; dimensions réelles à documenter</x:v>
      </x:c>
      <x:c r="I1853" s="115" t="str">
        <x:v>À équilibrer</x:v>
      </x:c>
      <x:c r="J1853" s="115" t="str">
        <x:v>Non</x:v>
      </x:c>
      <x:c r="K1853" s="115" t="str">
        <x:v>Pièces décrites, murs, portes, niveaux et mobilier inspectables à l’échelle. Volumes réservés, raccord au seed, butin, rencontres et services de campagne restent à terminer.</x:v>
      </x:c>
    </x:row>
    <x:row r="1854" ht="96" customHeight="1">
      <x:c r="A1854" s="115" t="str">
        <x:v>EXT-MONDE-T037-V49</x:v>
      </x:c>
      <x:c r="B1854" s="115" t="str">
        <x:v>EXT-MONDE-T037</x:v>
      </x:c>
      <x:c r="C1854" s="115" t="str">
        <x:v>Égouts</x:v>
      </x:c>
      <x:c r="D1854" s="115" t="str">
        <x:v>Collecteur urbain</x:v>
      </x:c>
      <x:c r="E1854" s="115" t="n">
        <x:v>49</x:v>
      </x:c>
      <x:c r="F1854" s="115" t="str">
        <x:v>Inspection physique</x:v>
      </x:c>
      <x:c r="G1854" s="115" t="str">
        <x:v>2 niveaux ; 14 pièces ; 126 segments de mur ; 2 transitions. Inspection physique ; architecture complète encore ouverte.</x:v>
      </x:c>
      <x:c r="H1854" s="115" t="str">
        <x:v>L 236 ; l 253,6 ; hauteur 3 m ; choix de composition auteur ; dimensions réelles à documenter</x:v>
      </x:c>
      <x:c r="I1854" s="115" t="str">
        <x:v>À équilibrer</x:v>
      </x:c>
      <x:c r="J1854" s="115" t="str">
        <x:v>Non</x:v>
      </x:c>
      <x:c r="K1854" s="115" t="str">
        <x:v>Pièces décrites, murs, portes, niveaux et mobilier inspectables à l’échelle. Volumes réservés, raccord au seed, butin, rencontres et services de campagne restent à terminer.</x:v>
      </x:c>
    </x:row>
    <x:row r="1855" ht="96" customHeight="1">
      <x:c r="A1855" s="115" t="str">
        <x:v>EXT-MONDE-T037-V50</x:v>
      </x:c>
      <x:c r="B1855" s="115" t="str">
        <x:v>EXT-MONDE-T037</x:v>
      </x:c>
      <x:c r="C1855" s="115" t="str">
        <x:v>Égouts</x:v>
      </x:c>
      <x:c r="D1855" s="115" t="str">
        <x:v>Collecteur urbain</x:v>
      </x:c>
      <x:c r="E1855" s="115" t="n">
        <x:v>50</x:v>
      </x:c>
      <x:c r="F1855" s="115" t="str">
        <x:v>Inspection physique</x:v>
      </x:c>
      <x:c r="G1855" s="115" t="str">
        <x:v>2 niveaux ; 14 pièces ; 126 segments de mur ; 2 transitions. Inspection physique ; architecture complète encore ouverte.</x:v>
      </x:c>
      <x:c r="H1855" s="115" t="str">
        <x:v>L 238 ; l 254,3 ; hauteur 3 m ; choix de composition auteur ; dimensions réelles à documenter</x:v>
      </x:c>
      <x:c r="I1855" s="115" t="str">
        <x:v>À équilibrer</x:v>
      </x:c>
      <x:c r="J1855" s="115" t="str">
        <x:v>Non</x:v>
      </x:c>
      <x:c r="K1855" s="115" t="str">
        <x:v>Pièces décrites, murs, portes, niveaux et mobilier inspectables à l’échelle. Volumes réservés, raccord au seed, butin, rencontres et services de campagne restent à terminer.</x:v>
      </x:c>
    </x:row>
    <x:row r="1856" ht="96" customHeight="1">
      <x:c r="A1856" s="115" t="str">
        <x:v>EXT-MONDE-T038-V01</x:v>
      </x:c>
      <x:c r="B1856" s="115" t="str">
        <x:v>EXT-MONDE-T038</x:v>
      </x:c>
      <x:c r="C1856" s="115" t="str">
        <x:v>Égouts</x:v>
      </x:c>
      <x:c r="D1856" s="115" t="str">
        <x:v>Réseau unitaire ancien</x:v>
      </x:c>
      <x:c r="E1856" s="115" t="n">
        <x:v>1</x:v>
      </x:c>
      <x:c r="F1856" s="115" t="str">
        <x:v>Inspection physique</x:v>
      </x:c>
      <x:c r="G1856" s="115" t="str">
        <x:v>3 niveaux ; 24 pièces ; 207 segments de mur ; 4 transitions. Inspection physique ; architecture complète encore ouverte.</x:v>
      </x:c>
      <x:c r="H1856" s="115" t="str">
        <x:v>L 180 ; l 200 ; hauteur 3 m ; choix de composition auteur ; dimensions réelles à documenter</x:v>
      </x:c>
      <x:c r="I1856" s="115" t="str">
        <x:v>À équilibrer</x:v>
      </x:c>
      <x:c r="J1856" s="115" t="str">
        <x:v>Non</x:v>
      </x:c>
      <x:c r="K1856" s="115" t="str">
        <x:v>Pièces décrites, murs, portes, niveaux et mobilier inspectables à l’échelle. Volumes réservés, raccord au seed, butin, rencontres et services de campagne restent à terminer.</x:v>
      </x:c>
    </x:row>
    <x:row r="1857" ht="96" customHeight="1">
      <x:c r="A1857" s="115" t="str">
        <x:v>EXT-MONDE-T038-V02</x:v>
      </x:c>
      <x:c r="B1857" s="115" t="str">
        <x:v>EXT-MONDE-T038</x:v>
      </x:c>
      <x:c r="C1857" s="115" t="str">
        <x:v>Égouts</x:v>
      </x:c>
      <x:c r="D1857" s="115" t="str">
        <x:v>Réseau unitaire ancien</x:v>
      </x:c>
      <x:c r="E1857" s="115" t="n">
        <x:v>2</x:v>
      </x:c>
      <x:c r="F1857" s="115" t="str">
        <x:v>Inspection physique</x:v>
      </x:c>
      <x:c r="G1857" s="115" t="str">
        <x:v>3 niveaux ; 24 pièces ; 207 segments de mur ; 4 transitions. Inspection physique ; architecture complète encore ouverte.</x:v>
      </x:c>
      <x:c r="H1857" s="115" t="str">
        <x:v>L 182 ; l 200,7 ; hauteur 3 m ; choix de composition auteur ; dimensions réelles à documenter</x:v>
      </x:c>
      <x:c r="I1857" s="115" t="str">
        <x:v>À équilibrer</x:v>
      </x:c>
      <x:c r="J1857" s="115" t="str">
        <x:v>Non</x:v>
      </x:c>
      <x:c r="K1857" s="115" t="str">
        <x:v>Pièces décrites, murs, portes, niveaux et mobilier inspectables à l’échelle. Volumes réservés, raccord au seed, butin, rencontres et services de campagne restent à terminer.</x:v>
      </x:c>
    </x:row>
    <x:row r="1858" ht="96" customHeight="1">
      <x:c r="A1858" s="115" t="str">
        <x:v>EXT-MONDE-T038-V03</x:v>
      </x:c>
      <x:c r="B1858" s="115" t="str">
        <x:v>EXT-MONDE-T038</x:v>
      </x:c>
      <x:c r="C1858" s="115" t="str">
        <x:v>Égouts</x:v>
      </x:c>
      <x:c r="D1858" s="115" t="str">
        <x:v>Réseau unitaire ancien</x:v>
      </x:c>
      <x:c r="E1858" s="115" t="n">
        <x:v>3</x:v>
      </x:c>
      <x:c r="F1858" s="115" t="str">
        <x:v>Inspection physique</x:v>
      </x:c>
      <x:c r="G1858" s="115" t="str">
        <x:v>3 niveaux ; 24 pièces ; 207 segments de mur ; 4 transitions. Inspection physique ; architecture complète encore ouverte.</x:v>
      </x:c>
      <x:c r="H1858" s="115" t="str">
        <x:v>L 184 ; l 201,4 ; hauteur 3 m ; choix de composition auteur ; dimensions réelles à documenter</x:v>
      </x:c>
      <x:c r="I1858" s="115" t="str">
        <x:v>À équilibrer</x:v>
      </x:c>
      <x:c r="J1858" s="115" t="str">
        <x:v>Non</x:v>
      </x:c>
      <x:c r="K1858" s="115" t="str">
        <x:v>Pièces décrites, murs, portes, niveaux et mobilier inspectables à l’échelle. Volumes réservés, raccord au seed, butin, rencontres et services de campagne restent à terminer.</x:v>
      </x:c>
    </x:row>
    <x:row r="1859" ht="96" customHeight="1">
      <x:c r="A1859" s="115" t="str">
        <x:v>EXT-MONDE-T038-V04</x:v>
      </x:c>
      <x:c r="B1859" s="115" t="str">
        <x:v>EXT-MONDE-T038</x:v>
      </x:c>
      <x:c r="C1859" s="115" t="str">
        <x:v>Égouts</x:v>
      </x:c>
      <x:c r="D1859" s="115" t="str">
        <x:v>Réseau unitaire ancien</x:v>
      </x:c>
      <x:c r="E1859" s="115" t="n">
        <x:v>4</x:v>
      </x:c>
      <x:c r="F1859" s="115" t="str">
        <x:v>Inspection physique</x:v>
      </x:c>
      <x:c r="G1859" s="115" t="str">
        <x:v>3 niveaux ; 24 pièces ; 207 segments de mur ; 4 transitions. Inspection physique ; architecture complète encore ouverte.</x:v>
      </x:c>
      <x:c r="H1859" s="115" t="str">
        <x:v>L 186 ; l 202,1 ; hauteur 3 m ; choix de composition auteur ; dimensions réelles à documenter</x:v>
      </x:c>
      <x:c r="I1859" s="115" t="str">
        <x:v>À équilibrer</x:v>
      </x:c>
      <x:c r="J1859" s="115" t="str">
        <x:v>Non</x:v>
      </x:c>
      <x:c r="K1859" s="115" t="str">
        <x:v>Pièces décrites, murs, portes, niveaux et mobilier inspectables à l’échelle. Volumes réservés, raccord au seed, butin, rencontres et services de campagne restent à terminer.</x:v>
      </x:c>
    </x:row>
    <x:row r="1860" ht="96" customHeight="1">
      <x:c r="A1860" s="115" t="str">
        <x:v>EXT-MONDE-T038-V05</x:v>
      </x:c>
      <x:c r="B1860" s="115" t="str">
        <x:v>EXT-MONDE-T038</x:v>
      </x:c>
      <x:c r="C1860" s="115" t="str">
        <x:v>Égouts</x:v>
      </x:c>
      <x:c r="D1860" s="115" t="str">
        <x:v>Réseau unitaire ancien</x:v>
      </x:c>
      <x:c r="E1860" s="115" t="n">
        <x:v>5</x:v>
      </x:c>
      <x:c r="F1860" s="115" t="str">
        <x:v>Inspection physique</x:v>
      </x:c>
      <x:c r="G1860" s="115" t="str">
        <x:v>3 niveaux ; 24 pièces ; 207 segments de mur ; 4 transitions. Inspection physique ; architecture complète encore ouverte.</x:v>
      </x:c>
      <x:c r="H1860" s="115" t="str">
        <x:v>L 188 ; l 202,8 ; hauteur 3 m ; choix de composition auteur ; dimensions réelles à documenter</x:v>
      </x:c>
      <x:c r="I1860" s="115" t="str">
        <x:v>À équilibrer</x:v>
      </x:c>
      <x:c r="J1860" s="115" t="str">
        <x:v>Non</x:v>
      </x:c>
      <x:c r="K1860" s="115" t="str">
        <x:v>Pièces décrites, murs, portes, niveaux et mobilier inspectables à l’échelle. Volumes réservés, raccord au seed, butin, rencontres et services de campagne restent à terminer.</x:v>
      </x:c>
    </x:row>
    <x:row r="1861" ht="96" customHeight="1">
      <x:c r="A1861" s="115" t="str">
        <x:v>EXT-MONDE-T038-V06</x:v>
      </x:c>
      <x:c r="B1861" s="115" t="str">
        <x:v>EXT-MONDE-T038</x:v>
      </x:c>
      <x:c r="C1861" s="115" t="str">
        <x:v>Égouts</x:v>
      </x:c>
      <x:c r="D1861" s="115" t="str">
        <x:v>Réseau unitaire ancien</x:v>
      </x:c>
      <x:c r="E1861" s="115" t="n">
        <x:v>6</x:v>
      </x:c>
      <x:c r="F1861" s="115" t="str">
        <x:v>Inspection physique</x:v>
      </x:c>
      <x:c r="G1861" s="115" t="str">
        <x:v>3 niveaux ; 24 pièces ; 207 segments de mur ; 4 transitions. Inspection physique ; architecture complète encore ouverte.</x:v>
      </x:c>
      <x:c r="H1861" s="115" t="str">
        <x:v>L 190 ; l 203,5 ; hauteur 3 m ; choix de composition auteur ; dimensions réelles à documenter</x:v>
      </x:c>
      <x:c r="I1861" s="115" t="str">
        <x:v>À équilibrer</x:v>
      </x:c>
      <x:c r="J1861" s="115" t="str">
        <x:v>Non</x:v>
      </x:c>
      <x:c r="K1861" s="115" t="str">
        <x:v>Pièces décrites, murs, portes, niveaux et mobilier inspectables à l’échelle. Volumes réservés, raccord au seed, butin, rencontres et services de campagne restent à terminer.</x:v>
      </x:c>
    </x:row>
    <x:row r="1862" ht="96" customHeight="1">
      <x:c r="A1862" s="115" t="str">
        <x:v>EXT-MONDE-T038-V07</x:v>
      </x:c>
      <x:c r="B1862" s="115" t="str">
        <x:v>EXT-MONDE-T038</x:v>
      </x:c>
      <x:c r="C1862" s="115" t="str">
        <x:v>Égouts</x:v>
      </x:c>
      <x:c r="D1862" s="115" t="str">
        <x:v>Réseau unitaire ancien</x:v>
      </x:c>
      <x:c r="E1862" s="115" t="n">
        <x:v>7</x:v>
      </x:c>
      <x:c r="F1862" s="115" t="str">
        <x:v>Inspection physique</x:v>
      </x:c>
      <x:c r="G1862" s="115" t="str">
        <x:v>3 niveaux ; 24 pièces ; 207 segments de mur ; 4 transitions. Inspection physique ; architecture complète encore ouverte.</x:v>
      </x:c>
      <x:c r="H1862" s="115" t="str">
        <x:v>L 192 ; l 204,2 ; hauteur 3 m ; choix de composition auteur ; dimensions réelles à documenter</x:v>
      </x:c>
      <x:c r="I1862" s="115" t="str">
        <x:v>À équilibrer</x:v>
      </x:c>
      <x:c r="J1862" s="115" t="str">
        <x:v>Non</x:v>
      </x:c>
      <x:c r="K1862" s="115" t="str">
        <x:v>Pièces décrites, murs, portes, niveaux et mobilier inspectables à l’échelle. Volumes réservés, raccord au seed, butin, rencontres et services de campagne restent à terminer.</x:v>
      </x:c>
    </x:row>
    <x:row r="1863" ht="96" customHeight="1">
      <x:c r="A1863" s="115" t="str">
        <x:v>EXT-MONDE-T038-V08</x:v>
      </x:c>
      <x:c r="B1863" s="115" t="str">
        <x:v>EXT-MONDE-T038</x:v>
      </x:c>
      <x:c r="C1863" s="115" t="str">
        <x:v>Égouts</x:v>
      </x:c>
      <x:c r="D1863" s="115" t="str">
        <x:v>Réseau unitaire ancien</x:v>
      </x:c>
      <x:c r="E1863" s="115" t="n">
        <x:v>8</x:v>
      </x:c>
      <x:c r="F1863" s="115" t="str">
        <x:v>Inspection physique</x:v>
      </x:c>
      <x:c r="G1863" s="115" t="str">
        <x:v>3 niveaux ; 24 pièces ; 207 segments de mur ; 4 transitions. Inspection physique ; architecture complète encore ouverte.</x:v>
      </x:c>
      <x:c r="H1863" s="115" t="str">
        <x:v>L 194 ; l 204,9 ; hauteur 3 m ; choix de composition auteur ; dimensions réelles à documenter</x:v>
      </x:c>
      <x:c r="I1863" s="115" t="str">
        <x:v>À équilibrer</x:v>
      </x:c>
      <x:c r="J1863" s="115" t="str">
        <x:v>Non</x:v>
      </x:c>
      <x:c r="K1863" s="115" t="str">
        <x:v>Pièces décrites, murs, portes, niveaux et mobilier inspectables à l’échelle. Volumes réservés, raccord au seed, butin, rencontres et services de campagne restent à terminer.</x:v>
      </x:c>
    </x:row>
    <x:row r="1864" ht="96" customHeight="1">
      <x:c r="A1864" s="115" t="str">
        <x:v>EXT-MONDE-T038-V09</x:v>
      </x:c>
      <x:c r="B1864" s="115" t="str">
        <x:v>EXT-MONDE-T038</x:v>
      </x:c>
      <x:c r="C1864" s="115" t="str">
        <x:v>Égouts</x:v>
      </x:c>
      <x:c r="D1864" s="115" t="str">
        <x:v>Réseau unitaire ancien</x:v>
      </x:c>
      <x:c r="E1864" s="115" t="n">
        <x:v>9</x:v>
      </x:c>
      <x:c r="F1864" s="115" t="str">
        <x:v>Inspection physique</x:v>
      </x:c>
      <x:c r="G1864" s="115" t="str">
        <x:v>3 niveaux ; 24 pièces ; 207 segments de mur ; 4 transitions. Inspection physique ; architecture complète encore ouverte.</x:v>
      </x:c>
      <x:c r="H1864" s="115" t="str">
        <x:v>L 196 ; l 205,6 ; hauteur 3 m ; choix de composition auteur ; dimensions réelles à documenter</x:v>
      </x:c>
      <x:c r="I1864" s="115" t="str">
        <x:v>À équilibrer</x:v>
      </x:c>
      <x:c r="J1864" s="115" t="str">
        <x:v>Non</x:v>
      </x:c>
      <x:c r="K1864" s="115" t="str">
        <x:v>Pièces décrites, murs, portes, niveaux et mobilier inspectables à l’échelle. Volumes réservés, raccord au seed, butin, rencontres et services de campagne restent à terminer.</x:v>
      </x:c>
    </x:row>
    <x:row r="1865" ht="96" customHeight="1">
      <x:c r="A1865" s="115" t="str">
        <x:v>EXT-MONDE-T038-V10</x:v>
      </x:c>
      <x:c r="B1865" s="115" t="str">
        <x:v>EXT-MONDE-T038</x:v>
      </x:c>
      <x:c r="C1865" s="115" t="str">
        <x:v>Égouts</x:v>
      </x:c>
      <x:c r="D1865" s="115" t="str">
        <x:v>Réseau unitaire ancien</x:v>
      </x:c>
      <x:c r="E1865" s="115" t="n">
        <x:v>10</x:v>
      </x:c>
      <x:c r="F1865" s="115" t="str">
        <x:v>Inspection physique</x:v>
      </x:c>
      <x:c r="G1865" s="115" t="str">
        <x:v>3 niveaux ; 24 pièces ; 207 segments de mur ; 4 transitions. Inspection physique ; architecture complète encore ouverte.</x:v>
      </x:c>
      <x:c r="H1865" s="115" t="str">
        <x:v>L 198 ; l 206,3 ; hauteur 3 m ; choix de composition auteur ; dimensions réelles à documenter</x:v>
      </x:c>
      <x:c r="I1865" s="115" t="str">
        <x:v>À équilibrer</x:v>
      </x:c>
      <x:c r="J1865" s="115" t="str">
        <x:v>Non</x:v>
      </x:c>
      <x:c r="K1865" s="115" t="str">
        <x:v>Pièces décrites, murs, portes, niveaux et mobilier inspectables à l’échelle. Volumes réservés, raccord au seed, butin, rencontres et services de campagne restent à terminer.</x:v>
      </x:c>
    </x:row>
    <x:row r="1866" ht="96" customHeight="1">
      <x:c r="A1866" s="115" t="str">
        <x:v>EXT-MONDE-T038-V11</x:v>
      </x:c>
      <x:c r="B1866" s="115" t="str">
        <x:v>EXT-MONDE-T038</x:v>
      </x:c>
      <x:c r="C1866" s="115" t="str">
        <x:v>Égouts</x:v>
      </x:c>
      <x:c r="D1866" s="115" t="str">
        <x:v>Réseau unitaire ancien</x:v>
      </x:c>
      <x:c r="E1866" s="115" t="n">
        <x:v>11</x:v>
      </x:c>
      <x:c r="F1866" s="115" t="str">
        <x:v>Inspection physique</x:v>
      </x:c>
      <x:c r="G1866" s="115" t="str">
        <x:v>3 niveaux ; 24 pièces ; 207 segments de mur ; 4 transitions. Inspection physique ; architecture complète encore ouverte.</x:v>
      </x:c>
      <x:c r="H1866" s="115" t="str">
        <x:v>L 190 ; l 212 ; hauteur 3 m ; choix de composition auteur ; dimensions réelles à documenter</x:v>
      </x:c>
      <x:c r="I1866" s="115" t="str">
        <x:v>À équilibrer</x:v>
      </x:c>
      <x:c r="J1866" s="115" t="str">
        <x:v>Non</x:v>
      </x:c>
      <x:c r="K1866" s="115" t="str">
        <x:v>Pièces décrites, murs, portes, niveaux et mobilier inspectables à l’échelle. Volumes réservés, raccord au seed, butin, rencontres et services de campagne restent à terminer.</x:v>
      </x:c>
    </x:row>
    <x:row r="1867" ht="96" customHeight="1">
      <x:c r="A1867" s="115" t="str">
        <x:v>EXT-MONDE-T038-V12</x:v>
      </x:c>
      <x:c r="B1867" s="115" t="str">
        <x:v>EXT-MONDE-T038</x:v>
      </x:c>
      <x:c r="C1867" s="115" t="str">
        <x:v>Égouts</x:v>
      </x:c>
      <x:c r="D1867" s="115" t="str">
        <x:v>Réseau unitaire ancien</x:v>
      </x:c>
      <x:c r="E1867" s="115" t="n">
        <x:v>12</x:v>
      </x:c>
      <x:c r="F1867" s="115" t="str">
        <x:v>Inspection physique</x:v>
      </x:c>
      <x:c r="G1867" s="115" t="str">
        <x:v>3 niveaux ; 24 pièces ; 207 segments de mur ; 4 transitions. Inspection physique ; architecture complète encore ouverte.</x:v>
      </x:c>
      <x:c r="H1867" s="115" t="str">
        <x:v>L 192 ; l 212,7 ; hauteur 3 m ; choix de composition auteur ; dimensions réelles à documenter</x:v>
      </x:c>
      <x:c r="I1867" s="115" t="str">
        <x:v>À équilibrer</x:v>
      </x:c>
      <x:c r="J1867" s="115" t="str">
        <x:v>Non</x:v>
      </x:c>
      <x:c r="K1867" s="115" t="str">
        <x:v>Pièces décrites, murs, portes, niveaux et mobilier inspectables à l’échelle. Volumes réservés, raccord au seed, butin, rencontres et services de campagne restent à terminer.</x:v>
      </x:c>
    </x:row>
    <x:row r="1868" ht="96" customHeight="1">
      <x:c r="A1868" s="115" t="str">
        <x:v>EXT-MONDE-T038-V13</x:v>
      </x:c>
      <x:c r="B1868" s="115" t="str">
        <x:v>EXT-MONDE-T038</x:v>
      </x:c>
      <x:c r="C1868" s="115" t="str">
        <x:v>Égouts</x:v>
      </x:c>
      <x:c r="D1868" s="115" t="str">
        <x:v>Réseau unitaire ancien</x:v>
      </x:c>
      <x:c r="E1868" s="115" t="n">
        <x:v>13</x:v>
      </x:c>
      <x:c r="F1868" s="115" t="str">
        <x:v>Inspection physique</x:v>
      </x:c>
      <x:c r="G1868" s="115" t="str">
        <x:v>3 niveaux ; 24 pièces ; 207 segments de mur ; 4 transitions. Inspection physique ; architecture complète encore ouverte.</x:v>
      </x:c>
      <x:c r="H1868" s="115" t="str">
        <x:v>L 194 ; l 213,4 ; hauteur 3 m ; choix de composition auteur ; dimensions réelles à documenter</x:v>
      </x:c>
      <x:c r="I1868" s="115" t="str">
        <x:v>À équilibrer</x:v>
      </x:c>
      <x:c r="J1868" s="115" t="str">
        <x:v>Non</x:v>
      </x:c>
      <x:c r="K1868" s="115" t="str">
        <x:v>Pièces décrites, murs, portes, niveaux et mobilier inspectables à l’échelle. Volumes réservés, raccord au seed, butin, rencontres et services de campagne restent à terminer.</x:v>
      </x:c>
    </x:row>
    <x:row r="1869" ht="96" customHeight="1">
      <x:c r="A1869" s="115" t="str">
        <x:v>EXT-MONDE-T038-V14</x:v>
      </x:c>
      <x:c r="B1869" s="115" t="str">
        <x:v>EXT-MONDE-T038</x:v>
      </x:c>
      <x:c r="C1869" s="115" t="str">
        <x:v>Égouts</x:v>
      </x:c>
      <x:c r="D1869" s="115" t="str">
        <x:v>Réseau unitaire ancien</x:v>
      </x:c>
      <x:c r="E1869" s="115" t="n">
        <x:v>14</x:v>
      </x:c>
      <x:c r="F1869" s="115" t="str">
        <x:v>Inspection physique</x:v>
      </x:c>
      <x:c r="G1869" s="115" t="str">
        <x:v>3 niveaux ; 24 pièces ; 207 segments de mur ; 4 transitions. Inspection physique ; architecture complète encore ouverte.</x:v>
      </x:c>
      <x:c r="H1869" s="115" t="str">
        <x:v>L 196 ; l 214,1 ; hauteur 3 m ; choix de composition auteur ; dimensions réelles à documenter</x:v>
      </x:c>
      <x:c r="I1869" s="115" t="str">
        <x:v>À équilibrer</x:v>
      </x:c>
      <x:c r="J1869" s="115" t="str">
        <x:v>Non</x:v>
      </x:c>
      <x:c r="K1869" s="115" t="str">
        <x:v>Pièces décrites, murs, portes, niveaux et mobilier inspectables à l’échelle. Volumes réservés, raccord au seed, butin, rencontres et services de campagne restent à terminer.</x:v>
      </x:c>
    </x:row>
    <x:row r="1870" ht="96" customHeight="1">
      <x:c r="A1870" s="115" t="str">
        <x:v>EXT-MONDE-T038-V15</x:v>
      </x:c>
      <x:c r="B1870" s="115" t="str">
        <x:v>EXT-MONDE-T038</x:v>
      </x:c>
      <x:c r="C1870" s="115" t="str">
        <x:v>Égouts</x:v>
      </x:c>
      <x:c r="D1870" s="115" t="str">
        <x:v>Réseau unitaire ancien</x:v>
      </x:c>
      <x:c r="E1870" s="115" t="n">
        <x:v>15</x:v>
      </x:c>
      <x:c r="F1870" s="115" t="str">
        <x:v>Inspection physique</x:v>
      </x:c>
      <x:c r="G1870" s="115" t="str">
        <x:v>3 niveaux ; 24 pièces ; 207 segments de mur ; 4 transitions. Inspection physique ; architecture complète encore ouverte.</x:v>
      </x:c>
      <x:c r="H1870" s="115" t="str">
        <x:v>L 198 ; l 214,8 ; hauteur 3 m ; choix de composition auteur ; dimensions réelles à documenter</x:v>
      </x:c>
      <x:c r="I1870" s="115" t="str">
        <x:v>À équilibrer</x:v>
      </x:c>
      <x:c r="J1870" s="115" t="str">
        <x:v>Non</x:v>
      </x:c>
      <x:c r="K1870" s="115" t="str">
        <x:v>Pièces décrites, murs, portes, niveaux et mobilier inspectables à l’échelle. Volumes réservés, raccord au seed, butin, rencontres et services de campagne restent à terminer.</x:v>
      </x:c>
    </x:row>
    <x:row r="1871" ht="96" customHeight="1">
      <x:c r="A1871" s="115" t="str">
        <x:v>EXT-MONDE-T038-V16</x:v>
      </x:c>
      <x:c r="B1871" s="115" t="str">
        <x:v>EXT-MONDE-T038</x:v>
      </x:c>
      <x:c r="C1871" s="115" t="str">
        <x:v>Égouts</x:v>
      </x:c>
      <x:c r="D1871" s="115" t="str">
        <x:v>Réseau unitaire ancien</x:v>
      </x:c>
      <x:c r="E1871" s="115" t="n">
        <x:v>16</x:v>
      </x:c>
      <x:c r="F1871" s="115" t="str">
        <x:v>Inspection physique</x:v>
      </x:c>
      <x:c r="G1871" s="115" t="str">
        <x:v>3 niveaux ; 24 pièces ; 207 segments de mur ; 4 transitions. Inspection physique ; architecture complète encore ouverte.</x:v>
      </x:c>
      <x:c r="H1871" s="115" t="str">
        <x:v>L 200 ; l 215,5 ; hauteur 3 m ; choix de composition auteur ; dimensions réelles à documenter</x:v>
      </x:c>
      <x:c r="I1871" s="115" t="str">
        <x:v>À équilibrer</x:v>
      </x:c>
      <x:c r="J1871" s="115" t="str">
        <x:v>Non</x:v>
      </x:c>
      <x:c r="K1871" s="115" t="str">
        <x:v>Pièces décrites, murs, portes, niveaux et mobilier inspectables à l’échelle. Volumes réservés, raccord au seed, butin, rencontres et services de campagne restent à terminer.</x:v>
      </x:c>
    </x:row>
    <x:row r="1872" ht="96" customHeight="1">
      <x:c r="A1872" s="115" t="str">
        <x:v>EXT-MONDE-T038-V17</x:v>
      </x:c>
      <x:c r="B1872" s="115" t="str">
        <x:v>EXT-MONDE-T038</x:v>
      </x:c>
      <x:c r="C1872" s="115" t="str">
        <x:v>Égouts</x:v>
      </x:c>
      <x:c r="D1872" s="115" t="str">
        <x:v>Réseau unitaire ancien</x:v>
      </x:c>
      <x:c r="E1872" s="115" t="n">
        <x:v>17</x:v>
      </x:c>
      <x:c r="F1872" s="115" t="str">
        <x:v>Inspection physique</x:v>
      </x:c>
      <x:c r="G1872" s="115" t="str">
        <x:v>3 niveaux ; 24 pièces ; 207 segments de mur ; 4 transitions. Inspection physique ; architecture complète encore ouverte.</x:v>
      </x:c>
      <x:c r="H1872" s="115" t="str">
        <x:v>L 202 ; l 216,2 ; hauteur 3 m ; choix de composition auteur ; dimensions réelles à documenter</x:v>
      </x:c>
      <x:c r="I1872" s="115" t="str">
        <x:v>À équilibrer</x:v>
      </x:c>
      <x:c r="J1872" s="115" t="str">
        <x:v>Non</x:v>
      </x:c>
      <x:c r="K1872" s="115" t="str">
        <x:v>Pièces décrites, murs, portes, niveaux et mobilier inspectables à l’échelle. Volumes réservés, raccord au seed, butin, rencontres et services de campagne restent à terminer.</x:v>
      </x:c>
    </x:row>
    <x:row r="1873" ht="96" customHeight="1">
      <x:c r="A1873" s="115" t="str">
        <x:v>EXT-MONDE-T038-V18</x:v>
      </x:c>
      <x:c r="B1873" s="115" t="str">
        <x:v>EXT-MONDE-T038</x:v>
      </x:c>
      <x:c r="C1873" s="115" t="str">
        <x:v>Égouts</x:v>
      </x:c>
      <x:c r="D1873" s="115" t="str">
        <x:v>Réseau unitaire ancien</x:v>
      </x:c>
      <x:c r="E1873" s="115" t="n">
        <x:v>18</x:v>
      </x:c>
      <x:c r="F1873" s="115" t="str">
        <x:v>Inspection physique</x:v>
      </x:c>
      <x:c r="G1873" s="115" t="str">
        <x:v>3 niveaux ; 24 pièces ; 207 segments de mur ; 4 transitions. Inspection physique ; architecture complète encore ouverte.</x:v>
      </x:c>
      <x:c r="H1873" s="115" t="str">
        <x:v>L 204 ; l 216,9 ; hauteur 3 m ; choix de composition auteur ; dimensions réelles à documenter</x:v>
      </x:c>
      <x:c r="I1873" s="115" t="str">
        <x:v>À équilibrer</x:v>
      </x:c>
      <x:c r="J1873" s="115" t="str">
        <x:v>Non</x:v>
      </x:c>
      <x:c r="K1873" s="115" t="str">
        <x:v>Pièces décrites, murs, portes, niveaux et mobilier inspectables à l’échelle. Volumes réservés, raccord au seed, butin, rencontres et services de campagne restent à terminer.</x:v>
      </x:c>
    </x:row>
    <x:row r="1874" ht="96" customHeight="1">
      <x:c r="A1874" s="115" t="str">
        <x:v>EXT-MONDE-T038-V19</x:v>
      </x:c>
      <x:c r="B1874" s="115" t="str">
        <x:v>EXT-MONDE-T038</x:v>
      </x:c>
      <x:c r="C1874" s="115" t="str">
        <x:v>Égouts</x:v>
      </x:c>
      <x:c r="D1874" s="115" t="str">
        <x:v>Réseau unitaire ancien</x:v>
      </x:c>
      <x:c r="E1874" s="115" t="n">
        <x:v>19</x:v>
      </x:c>
      <x:c r="F1874" s="115" t="str">
        <x:v>Inspection physique</x:v>
      </x:c>
      <x:c r="G1874" s="115" t="str">
        <x:v>3 niveaux ; 24 pièces ; 207 segments de mur ; 4 transitions. Inspection physique ; architecture complète encore ouverte.</x:v>
      </x:c>
      <x:c r="H1874" s="115" t="str">
        <x:v>L 206 ; l 217,6 ; hauteur 3 m ; choix de composition auteur ; dimensions réelles à documenter</x:v>
      </x:c>
      <x:c r="I1874" s="115" t="str">
        <x:v>À équilibrer</x:v>
      </x:c>
      <x:c r="J1874" s="115" t="str">
        <x:v>Non</x:v>
      </x:c>
      <x:c r="K1874" s="115" t="str">
        <x:v>Pièces décrites, murs, portes, niveaux et mobilier inspectables à l’échelle. Volumes réservés, raccord au seed, butin, rencontres et services de campagne restent à terminer.</x:v>
      </x:c>
    </x:row>
    <x:row r="1875" ht="96" customHeight="1">
      <x:c r="A1875" s="115" t="str">
        <x:v>EXT-MONDE-T038-V20</x:v>
      </x:c>
      <x:c r="B1875" s="115" t="str">
        <x:v>EXT-MONDE-T038</x:v>
      </x:c>
      <x:c r="C1875" s="115" t="str">
        <x:v>Égouts</x:v>
      </x:c>
      <x:c r="D1875" s="115" t="str">
        <x:v>Réseau unitaire ancien</x:v>
      </x:c>
      <x:c r="E1875" s="115" t="n">
        <x:v>20</x:v>
      </x:c>
      <x:c r="F1875" s="115" t="str">
        <x:v>Inspection physique</x:v>
      </x:c>
      <x:c r="G1875" s="115" t="str">
        <x:v>3 niveaux ; 24 pièces ; 207 segments de mur ; 4 transitions. Inspection physique ; architecture complète encore ouverte.</x:v>
      </x:c>
      <x:c r="H1875" s="115" t="str">
        <x:v>L 208 ; l 218,3 ; hauteur 3 m ; choix de composition auteur ; dimensions réelles à documenter</x:v>
      </x:c>
      <x:c r="I1875" s="115" t="str">
        <x:v>À équilibrer</x:v>
      </x:c>
      <x:c r="J1875" s="115" t="str">
        <x:v>Non</x:v>
      </x:c>
      <x:c r="K1875" s="115" t="str">
        <x:v>Pièces décrites, murs, portes, niveaux et mobilier inspectables à l’échelle. Volumes réservés, raccord au seed, butin, rencontres et services de campagne restent à terminer.</x:v>
      </x:c>
    </x:row>
    <x:row r="1876" ht="96" customHeight="1">
      <x:c r="A1876" s="115" t="str">
        <x:v>EXT-MONDE-T038-V21</x:v>
      </x:c>
      <x:c r="B1876" s="115" t="str">
        <x:v>EXT-MONDE-T038</x:v>
      </x:c>
      <x:c r="C1876" s="115" t="str">
        <x:v>Égouts</x:v>
      </x:c>
      <x:c r="D1876" s="115" t="str">
        <x:v>Réseau unitaire ancien</x:v>
      </x:c>
      <x:c r="E1876" s="115" t="n">
        <x:v>21</x:v>
      </x:c>
      <x:c r="F1876" s="115" t="str">
        <x:v>Inspection physique</x:v>
      </x:c>
      <x:c r="G1876" s="115" t="str">
        <x:v>3 niveaux ; 24 pièces ; 207 segments de mur ; 4 transitions. Inspection physique ; architecture complète encore ouverte.</x:v>
      </x:c>
      <x:c r="H1876" s="115" t="str">
        <x:v>L 200 ; l 224 ; hauteur 3 m ; choix de composition auteur ; dimensions réelles à documenter</x:v>
      </x:c>
      <x:c r="I1876" s="115" t="str">
        <x:v>À équilibrer</x:v>
      </x:c>
      <x:c r="J1876" s="115" t="str">
        <x:v>Non</x:v>
      </x:c>
      <x:c r="K1876" s="115" t="str">
        <x:v>Pièces décrites, murs, portes, niveaux et mobilier inspectables à l’échelle. Volumes réservés, raccord au seed, butin, rencontres et services de campagne restent à terminer.</x:v>
      </x:c>
    </x:row>
    <x:row r="1877" ht="96" customHeight="1">
      <x:c r="A1877" s="115" t="str">
        <x:v>EXT-MONDE-T038-V22</x:v>
      </x:c>
      <x:c r="B1877" s="115" t="str">
        <x:v>EXT-MONDE-T038</x:v>
      </x:c>
      <x:c r="C1877" s="115" t="str">
        <x:v>Égouts</x:v>
      </x:c>
      <x:c r="D1877" s="115" t="str">
        <x:v>Réseau unitaire ancien</x:v>
      </x:c>
      <x:c r="E1877" s="115" t="n">
        <x:v>22</x:v>
      </x:c>
      <x:c r="F1877" s="115" t="str">
        <x:v>Inspection physique</x:v>
      </x:c>
      <x:c r="G1877" s="115" t="str">
        <x:v>3 niveaux ; 24 pièces ; 207 segments de mur ; 4 transitions. Inspection physique ; architecture complète encore ouverte.</x:v>
      </x:c>
      <x:c r="H1877" s="115" t="str">
        <x:v>L 202 ; l 224,7 ; hauteur 3 m ; choix de composition auteur ; dimensions réelles à documenter</x:v>
      </x:c>
      <x:c r="I1877" s="115" t="str">
        <x:v>À équilibrer</x:v>
      </x:c>
      <x:c r="J1877" s="115" t="str">
        <x:v>Non</x:v>
      </x:c>
      <x:c r="K1877" s="115" t="str">
        <x:v>Pièces décrites, murs, portes, niveaux et mobilier inspectables à l’échelle. Volumes réservés, raccord au seed, butin, rencontres et services de campagne restent à terminer.</x:v>
      </x:c>
    </x:row>
    <x:row r="1878" ht="96" customHeight="1">
      <x:c r="A1878" s="115" t="str">
        <x:v>EXT-MONDE-T038-V23</x:v>
      </x:c>
      <x:c r="B1878" s="115" t="str">
        <x:v>EXT-MONDE-T038</x:v>
      </x:c>
      <x:c r="C1878" s="115" t="str">
        <x:v>Égouts</x:v>
      </x:c>
      <x:c r="D1878" s="115" t="str">
        <x:v>Réseau unitaire ancien</x:v>
      </x:c>
      <x:c r="E1878" s="115" t="n">
        <x:v>23</x:v>
      </x:c>
      <x:c r="F1878" s="115" t="str">
        <x:v>Inspection physique</x:v>
      </x:c>
      <x:c r="G1878" s="115" t="str">
        <x:v>3 niveaux ; 24 pièces ; 207 segments de mur ; 4 transitions. Inspection physique ; architecture complète encore ouverte.</x:v>
      </x:c>
      <x:c r="H1878" s="115" t="str">
        <x:v>L 204 ; l 225,4 ; hauteur 3 m ; choix de composition auteur ; dimensions réelles à documenter</x:v>
      </x:c>
      <x:c r="I1878" s="115" t="str">
        <x:v>À équilibrer</x:v>
      </x:c>
      <x:c r="J1878" s="115" t="str">
        <x:v>Non</x:v>
      </x:c>
      <x:c r="K1878" s="115" t="str">
        <x:v>Pièces décrites, murs, portes, niveaux et mobilier inspectables à l’échelle. Volumes réservés, raccord au seed, butin, rencontres et services de campagne restent à terminer.</x:v>
      </x:c>
    </x:row>
    <x:row r="1879" ht="96" customHeight="1">
      <x:c r="A1879" s="115" t="str">
        <x:v>EXT-MONDE-T038-V24</x:v>
      </x:c>
      <x:c r="B1879" s="115" t="str">
        <x:v>EXT-MONDE-T038</x:v>
      </x:c>
      <x:c r="C1879" s="115" t="str">
        <x:v>Égouts</x:v>
      </x:c>
      <x:c r="D1879" s="115" t="str">
        <x:v>Réseau unitaire ancien</x:v>
      </x:c>
      <x:c r="E1879" s="115" t="n">
        <x:v>24</x:v>
      </x:c>
      <x:c r="F1879" s="115" t="str">
        <x:v>Inspection physique</x:v>
      </x:c>
      <x:c r="G1879" s="115" t="str">
        <x:v>3 niveaux ; 24 pièces ; 207 segments de mur ; 4 transitions. Inspection physique ; architecture complète encore ouverte.</x:v>
      </x:c>
      <x:c r="H1879" s="115" t="str">
        <x:v>L 206 ; l 226,1 ; hauteur 3 m ; choix de composition auteur ; dimensions réelles à documenter</x:v>
      </x:c>
      <x:c r="I1879" s="115" t="str">
        <x:v>À équilibrer</x:v>
      </x:c>
      <x:c r="J1879" s="115" t="str">
        <x:v>Non</x:v>
      </x:c>
      <x:c r="K1879" s="115" t="str">
        <x:v>Pièces décrites, murs, portes, niveaux et mobilier inspectables à l’échelle. Volumes réservés, raccord au seed, butin, rencontres et services de campagne restent à terminer.</x:v>
      </x:c>
    </x:row>
    <x:row r="1880" ht="96" customHeight="1">
      <x:c r="A1880" s="115" t="str">
        <x:v>EXT-MONDE-T038-V25</x:v>
      </x:c>
      <x:c r="B1880" s="115" t="str">
        <x:v>EXT-MONDE-T038</x:v>
      </x:c>
      <x:c r="C1880" s="115" t="str">
        <x:v>Égouts</x:v>
      </x:c>
      <x:c r="D1880" s="115" t="str">
        <x:v>Réseau unitaire ancien</x:v>
      </x:c>
      <x:c r="E1880" s="115" t="n">
        <x:v>25</x:v>
      </x:c>
      <x:c r="F1880" s="115" t="str">
        <x:v>Inspection physique</x:v>
      </x:c>
      <x:c r="G1880" s="115" t="str">
        <x:v>3 niveaux ; 24 pièces ; 207 segments de mur ; 4 transitions. Inspection physique ; architecture complète encore ouverte.</x:v>
      </x:c>
      <x:c r="H1880" s="115" t="str">
        <x:v>L 208 ; l 226,8 ; hauteur 3 m ; choix de composition auteur ; dimensions réelles à documenter</x:v>
      </x:c>
      <x:c r="I1880" s="115" t="str">
        <x:v>À équilibrer</x:v>
      </x:c>
      <x:c r="J1880" s="115" t="str">
        <x:v>Non</x:v>
      </x:c>
      <x:c r="K1880" s="115" t="str">
        <x:v>Pièces décrites, murs, portes, niveaux et mobilier inspectables à l’échelle. Volumes réservés, raccord au seed, butin, rencontres et services de campagne restent à terminer.</x:v>
      </x:c>
    </x:row>
    <x:row r="1881" ht="96" customHeight="1">
      <x:c r="A1881" s="115" t="str">
        <x:v>EXT-MONDE-T038-V26</x:v>
      </x:c>
      <x:c r="B1881" s="115" t="str">
        <x:v>EXT-MONDE-T038</x:v>
      </x:c>
      <x:c r="C1881" s="115" t="str">
        <x:v>Égouts</x:v>
      </x:c>
      <x:c r="D1881" s="115" t="str">
        <x:v>Réseau unitaire ancien</x:v>
      </x:c>
      <x:c r="E1881" s="115" t="n">
        <x:v>26</x:v>
      </x:c>
      <x:c r="F1881" s="115" t="str">
        <x:v>Inspection physique</x:v>
      </x:c>
      <x:c r="G1881" s="115" t="str">
        <x:v>3 niveaux ; 24 pièces ; 207 segments de mur ; 4 transitions. Inspection physique ; architecture complète encore ouverte.</x:v>
      </x:c>
      <x:c r="H1881" s="115" t="str">
        <x:v>L 210 ; l 227,5 ; hauteur 3 m ; choix de composition auteur ; dimensions réelles à documenter</x:v>
      </x:c>
      <x:c r="I1881" s="115" t="str">
        <x:v>À équilibrer</x:v>
      </x:c>
      <x:c r="J1881" s="115" t="str">
        <x:v>Non</x:v>
      </x:c>
      <x:c r="K1881" s="115" t="str">
        <x:v>Pièces décrites, murs, portes, niveaux et mobilier inspectables à l’échelle. Volumes réservés, raccord au seed, butin, rencontres et services de campagne restent à terminer.</x:v>
      </x:c>
    </x:row>
    <x:row r="1882" ht="96" customHeight="1">
      <x:c r="A1882" s="115" t="str">
        <x:v>EXT-MONDE-T038-V27</x:v>
      </x:c>
      <x:c r="B1882" s="115" t="str">
        <x:v>EXT-MONDE-T038</x:v>
      </x:c>
      <x:c r="C1882" s="115" t="str">
        <x:v>Égouts</x:v>
      </x:c>
      <x:c r="D1882" s="115" t="str">
        <x:v>Réseau unitaire ancien</x:v>
      </x:c>
      <x:c r="E1882" s="115" t="n">
        <x:v>27</x:v>
      </x:c>
      <x:c r="F1882" s="115" t="str">
        <x:v>Inspection physique</x:v>
      </x:c>
      <x:c r="G1882" s="115" t="str">
        <x:v>3 niveaux ; 24 pièces ; 207 segments de mur ; 4 transitions. Inspection physique ; architecture complète encore ouverte.</x:v>
      </x:c>
      <x:c r="H1882" s="115" t="str">
        <x:v>L 212 ; l 228,2 ; hauteur 3 m ; choix de composition auteur ; dimensions réelles à documenter</x:v>
      </x:c>
      <x:c r="I1882" s="115" t="str">
        <x:v>À équilibrer</x:v>
      </x:c>
      <x:c r="J1882" s="115" t="str">
        <x:v>Non</x:v>
      </x:c>
      <x:c r="K1882" s="115" t="str">
        <x:v>Pièces décrites, murs, portes, niveaux et mobilier inspectables à l’échelle. Volumes réservés, raccord au seed, butin, rencontres et services de campagne restent à terminer.</x:v>
      </x:c>
    </x:row>
    <x:row r="1883" ht="96" customHeight="1">
      <x:c r="A1883" s="115" t="str">
        <x:v>EXT-MONDE-T038-V28</x:v>
      </x:c>
      <x:c r="B1883" s="115" t="str">
        <x:v>EXT-MONDE-T038</x:v>
      </x:c>
      <x:c r="C1883" s="115" t="str">
        <x:v>Égouts</x:v>
      </x:c>
      <x:c r="D1883" s="115" t="str">
        <x:v>Réseau unitaire ancien</x:v>
      </x:c>
      <x:c r="E1883" s="115" t="n">
        <x:v>28</x:v>
      </x:c>
      <x:c r="F1883" s="115" t="str">
        <x:v>Inspection physique</x:v>
      </x:c>
      <x:c r="G1883" s="115" t="str">
        <x:v>3 niveaux ; 24 pièces ; 207 segments de mur ; 4 transitions. Inspection physique ; architecture complète encore ouverte.</x:v>
      </x:c>
      <x:c r="H1883" s="115" t="str">
        <x:v>L 214 ; l 228,9 ; hauteur 3 m ; choix de composition auteur ; dimensions réelles à documenter</x:v>
      </x:c>
      <x:c r="I1883" s="115" t="str">
        <x:v>À équilibrer</x:v>
      </x:c>
      <x:c r="J1883" s="115" t="str">
        <x:v>Non</x:v>
      </x:c>
      <x:c r="K1883" s="115" t="str">
        <x:v>Pièces décrites, murs, portes, niveaux et mobilier inspectables à l’échelle. Volumes réservés, raccord au seed, butin, rencontres et services de campagne restent à terminer.</x:v>
      </x:c>
    </x:row>
    <x:row r="1884" ht="96" customHeight="1">
      <x:c r="A1884" s="115" t="str">
        <x:v>EXT-MONDE-T038-V29</x:v>
      </x:c>
      <x:c r="B1884" s="115" t="str">
        <x:v>EXT-MONDE-T038</x:v>
      </x:c>
      <x:c r="C1884" s="115" t="str">
        <x:v>Égouts</x:v>
      </x:c>
      <x:c r="D1884" s="115" t="str">
        <x:v>Réseau unitaire ancien</x:v>
      </x:c>
      <x:c r="E1884" s="115" t="n">
        <x:v>29</x:v>
      </x:c>
      <x:c r="F1884" s="115" t="str">
        <x:v>Inspection physique</x:v>
      </x:c>
      <x:c r="G1884" s="115" t="str">
        <x:v>3 niveaux ; 24 pièces ; 207 segments de mur ; 4 transitions. Inspection physique ; architecture complète encore ouverte.</x:v>
      </x:c>
      <x:c r="H1884" s="115" t="str">
        <x:v>L 216 ; l 229,6 ; hauteur 3 m ; choix de composition auteur ; dimensions réelles à documenter</x:v>
      </x:c>
      <x:c r="I1884" s="115" t="str">
        <x:v>À équilibrer</x:v>
      </x:c>
      <x:c r="J1884" s="115" t="str">
        <x:v>Non</x:v>
      </x:c>
      <x:c r="K1884" s="115" t="str">
        <x:v>Pièces décrites, murs, portes, niveaux et mobilier inspectables à l’échelle. Volumes réservés, raccord au seed, butin, rencontres et services de campagne restent à terminer.</x:v>
      </x:c>
    </x:row>
    <x:row r="1885" ht="96" customHeight="1">
      <x:c r="A1885" s="115" t="str">
        <x:v>EXT-MONDE-T038-V30</x:v>
      </x:c>
      <x:c r="B1885" s="115" t="str">
        <x:v>EXT-MONDE-T038</x:v>
      </x:c>
      <x:c r="C1885" s="115" t="str">
        <x:v>Égouts</x:v>
      </x:c>
      <x:c r="D1885" s="115" t="str">
        <x:v>Réseau unitaire ancien</x:v>
      </x:c>
      <x:c r="E1885" s="115" t="n">
        <x:v>30</x:v>
      </x:c>
      <x:c r="F1885" s="115" t="str">
        <x:v>Inspection physique</x:v>
      </x:c>
      <x:c r="G1885" s="115" t="str">
        <x:v>3 niveaux ; 24 pièces ; 207 segments de mur ; 4 transitions. Inspection physique ; architecture complète encore ouverte.</x:v>
      </x:c>
      <x:c r="H1885" s="115" t="str">
        <x:v>L 218 ; l 230,3 ; hauteur 3 m ; choix de composition auteur ; dimensions réelles à documenter</x:v>
      </x:c>
      <x:c r="I1885" s="115" t="str">
        <x:v>À équilibrer</x:v>
      </x:c>
      <x:c r="J1885" s="115" t="str">
        <x:v>Non</x:v>
      </x:c>
      <x:c r="K1885" s="115" t="str">
        <x:v>Pièces décrites, murs, portes, niveaux et mobilier inspectables à l’échelle. Volumes réservés, raccord au seed, butin, rencontres et services de campagne restent à terminer.</x:v>
      </x:c>
    </x:row>
    <x:row r="1886" ht="96" customHeight="1">
      <x:c r="A1886" s="115" t="str">
        <x:v>EXT-MONDE-T038-V31</x:v>
      </x:c>
      <x:c r="B1886" s="115" t="str">
        <x:v>EXT-MONDE-T038</x:v>
      </x:c>
      <x:c r="C1886" s="115" t="str">
        <x:v>Égouts</x:v>
      </x:c>
      <x:c r="D1886" s="115" t="str">
        <x:v>Réseau unitaire ancien</x:v>
      </x:c>
      <x:c r="E1886" s="115" t="n">
        <x:v>31</x:v>
      </x:c>
      <x:c r="F1886" s="115" t="str">
        <x:v>Inspection physique</x:v>
      </x:c>
      <x:c r="G1886" s="115" t="str">
        <x:v>3 niveaux ; 24 pièces ; 207 segments de mur ; 4 transitions. Inspection physique ; architecture complète encore ouverte.</x:v>
      </x:c>
      <x:c r="H1886" s="115" t="str">
        <x:v>L 210 ; l 236 ; hauteur 3 m ; choix de composition auteur ; dimensions réelles à documenter</x:v>
      </x:c>
      <x:c r="I1886" s="115" t="str">
        <x:v>À équilibrer</x:v>
      </x:c>
      <x:c r="J1886" s="115" t="str">
        <x:v>Non</x:v>
      </x:c>
      <x:c r="K1886" s="115" t="str">
        <x:v>Pièces décrites, murs, portes, niveaux et mobilier inspectables à l’échelle. Volumes réservés, raccord au seed, butin, rencontres et services de campagne restent à terminer.</x:v>
      </x:c>
    </x:row>
    <x:row r="1887" ht="96" customHeight="1">
      <x:c r="A1887" s="115" t="str">
        <x:v>EXT-MONDE-T038-V32</x:v>
      </x:c>
      <x:c r="B1887" s="115" t="str">
        <x:v>EXT-MONDE-T038</x:v>
      </x:c>
      <x:c r="C1887" s="115" t="str">
        <x:v>Égouts</x:v>
      </x:c>
      <x:c r="D1887" s="115" t="str">
        <x:v>Réseau unitaire ancien</x:v>
      </x:c>
      <x:c r="E1887" s="115" t="n">
        <x:v>32</x:v>
      </x:c>
      <x:c r="F1887" s="115" t="str">
        <x:v>Inspection physique</x:v>
      </x:c>
      <x:c r="G1887" s="115" t="str">
        <x:v>3 niveaux ; 24 pièces ; 207 segments de mur ; 4 transitions. Inspection physique ; architecture complète encore ouverte.</x:v>
      </x:c>
      <x:c r="H1887" s="115" t="str">
        <x:v>L 212 ; l 236,7 ; hauteur 3 m ; choix de composition auteur ; dimensions réelles à documenter</x:v>
      </x:c>
      <x:c r="I1887" s="115" t="str">
        <x:v>À équilibrer</x:v>
      </x:c>
      <x:c r="J1887" s="115" t="str">
        <x:v>Non</x:v>
      </x:c>
      <x:c r="K1887" s="115" t="str">
        <x:v>Pièces décrites, murs, portes, niveaux et mobilier inspectables à l’échelle. Volumes réservés, raccord au seed, butin, rencontres et services de campagne restent à terminer.</x:v>
      </x:c>
    </x:row>
    <x:row r="1888" ht="96" customHeight="1">
      <x:c r="A1888" s="115" t="str">
        <x:v>EXT-MONDE-T038-V33</x:v>
      </x:c>
      <x:c r="B1888" s="115" t="str">
        <x:v>EXT-MONDE-T038</x:v>
      </x:c>
      <x:c r="C1888" s="115" t="str">
        <x:v>Égouts</x:v>
      </x:c>
      <x:c r="D1888" s="115" t="str">
        <x:v>Réseau unitaire ancien</x:v>
      </x:c>
      <x:c r="E1888" s="115" t="n">
        <x:v>33</x:v>
      </x:c>
      <x:c r="F1888" s="115" t="str">
        <x:v>Inspection physique</x:v>
      </x:c>
      <x:c r="G1888" s="115" t="str">
        <x:v>3 niveaux ; 24 pièces ; 207 segments de mur ; 4 transitions. Inspection physique ; architecture complète encore ouverte.</x:v>
      </x:c>
      <x:c r="H1888" s="115" t="str">
        <x:v>L 214 ; l 237,4 ; hauteur 3 m ; choix de composition auteur ; dimensions réelles à documenter</x:v>
      </x:c>
      <x:c r="I1888" s="115" t="str">
        <x:v>À équilibrer</x:v>
      </x:c>
      <x:c r="J1888" s="115" t="str">
        <x:v>Non</x:v>
      </x:c>
      <x:c r="K1888" s="115" t="str">
        <x:v>Pièces décrites, murs, portes, niveaux et mobilier inspectables à l’échelle. Volumes réservés, raccord au seed, butin, rencontres et services de campagne restent à terminer.</x:v>
      </x:c>
    </x:row>
    <x:row r="1889" ht="96" customHeight="1">
      <x:c r="A1889" s="115" t="str">
        <x:v>EXT-MONDE-T038-V34</x:v>
      </x:c>
      <x:c r="B1889" s="115" t="str">
        <x:v>EXT-MONDE-T038</x:v>
      </x:c>
      <x:c r="C1889" s="115" t="str">
        <x:v>Égouts</x:v>
      </x:c>
      <x:c r="D1889" s="115" t="str">
        <x:v>Réseau unitaire ancien</x:v>
      </x:c>
      <x:c r="E1889" s="115" t="n">
        <x:v>34</x:v>
      </x:c>
      <x:c r="F1889" s="115" t="str">
        <x:v>Inspection physique</x:v>
      </x:c>
      <x:c r="G1889" s="115" t="str">
        <x:v>3 niveaux ; 24 pièces ; 207 segments de mur ; 4 transitions. Inspection physique ; architecture complète encore ouverte.</x:v>
      </x:c>
      <x:c r="H1889" s="115" t="str">
        <x:v>L 216 ; l 238,1 ; hauteur 3 m ; choix de composition auteur ; dimensions réelles à documenter</x:v>
      </x:c>
      <x:c r="I1889" s="115" t="str">
        <x:v>À équilibrer</x:v>
      </x:c>
      <x:c r="J1889" s="115" t="str">
        <x:v>Non</x:v>
      </x:c>
      <x:c r="K1889" s="115" t="str">
        <x:v>Pièces décrites, murs, portes, niveaux et mobilier inspectables à l’échelle. Volumes réservés, raccord au seed, butin, rencontres et services de campagne restent à terminer.</x:v>
      </x:c>
    </x:row>
    <x:row r="1890" ht="96" customHeight="1">
      <x:c r="A1890" s="115" t="str">
        <x:v>EXT-MONDE-T038-V35</x:v>
      </x:c>
      <x:c r="B1890" s="115" t="str">
        <x:v>EXT-MONDE-T038</x:v>
      </x:c>
      <x:c r="C1890" s="115" t="str">
        <x:v>Égouts</x:v>
      </x:c>
      <x:c r="D1890" s="115" t="str">
        <x:v>Réseau unitaire ancien</x:v>
      </x:c>
      <x:c r="E1890" s="115" t="n">
        <x:v>35</x:v>
      </x:c>
      <x:c r="F1890" s="115" t="str">
        <x:v>Inspection physique</x:v>
      </x:c>
      <x:c r="G1890" s="115" t="str">
        <x:v>3 niveaux ; 24 pièces ; 207 segments de mur ; 4 transitions. Inspection physique ; architecture complète encore ouverte.</x:v>
      </x:c>
      <x:c r="H1890" s="115" t="str">
        <x:v>L 218 ; l 238,8 ; hauteur 3 m ; choix de composition auteur ; dimensions réelles à documenter</x:v>
      </x:c>
      <x:c r="I1890" s="115" t="str">
        <x:v>À équilibrer</x:v>
      </x:c>
      <x:c r="J1890" s="115" t="str">
        <x:v>Non</x:v>
      </x:c>
      <x:c r="K1890" s="115" t="str">
        <x:v>Pièces décrites, murs, portes, niveaux et mobilier inspectables à l’échelle. Volumes réservés, raccord au seed, butin, rencontres et services de campagne restent à terminer.</x:v>
      </x:c>
    </x:row>
    <x:row r="1891" ht="96" customHeight="1">
      <x:c r="A1891" s="115" t="str">
        <x:v>EXT-MONDE-T038-V36</x:v>
      </x:c>
      <x:c r="B1891" s="115" t="str">
        <x:v>EXT-MONDE-T038</x:v>
      </x:c>
      <x:c r="C1891" s="115" t="str">
        <x:v>Égouts</x:v>
      </x:c>
      <x:c r="D1891" s="115" t="str">
        <x:v>Réseau unitaire ancien</x:v>
      </x:c>
      <x:c r="E1891" s="115" t="n">
        <x:v>36</x:v>
      </x:c>
      <x:c r="F1891" s="115" t="str">
        <x:v>Inspection physique</x:v>
      </x:c>
      <x:c r="G1891" s="115" t="str">
        <x:v>3 niveaux ; 24 pièces ; 207 segments de mur ; 4 transitions. Inspection physique ; architecture complète encore ouverte.</x:v>
      </x:c>
      <x:c r="H1891" s="115" t="str">
        <x:v>L 220 ; l 239,5 ; hauteur 3 m ; choix de composition auteur ; dimensions réelles à documenter</x:v>
      </x:c>
      <x:c r="I1891" s="115" t="str">
        <x:v>À équilibrer</x:v>
      </x:c>
      <x:c r="J1891" s="115" t="str">
        <x:v>Non</x:v>
      </x:c>
      <x:c r="K1891" s="115" t="str">
        <x:v>Pièces décrites, murs, portes, niveaux et mobilier inspectables à l’échelle. Volumes réservés, raccord au seed, butin, rencontres et services de campagne restent à terminer.</x:v>
      </x:c>
    </x:row>
    <x:row r="1892" ht="96" customHeight="1">
      <x:c r="A1892" s="115" t="str">
        <x:v>EXT-MONDE-T038-V37</x:v>
      </x:c>
      <x:c r="B1892" s="115" t="str">
        <x:v>EXT-MONDE-T038</x:v>
      </x:c>
      <x:c r="C1892" s="115" t="str">
        <x:v>Égouts</x:v>
      </x:c>
      <x:c r="D1892" s="115" t="str">
        <x:v>Réseau unitaire ancien</x:v>
      </x:c>
      <x:c r="E1892" s="115" t="n">
        <x:v>37</x:v>
      </x:c>
      <x:c r="F1892" s="115" t="str">
        <x:v>Inspection physique</x:v>
      </x:c>
      <x:c r="G1892" s="115" t="str">
        <x:v>3 niveaux ; 24 pièces ; 207 segments de mur ; 4 transitions. Inspection physique ; architecture complète encore ouverte.</x:v>
      </x:c>
      <x:c r="H1892" s="115" t="str">
        <x:v>L 222 ; l 240,2 ; hauteur 3 m ; choix de composition auteur ; dimensions réelles à documenter</x:v>
      </x:c>
      <x:c r="I1892" s="115" t="str">
        <x:v>À équilibrer</x:v>
      </x:c>
      <x:c r="J1892" s="115" t="str">
        <x:v>Non</x:v>
      </x:c>
      <x:c r="K1892" s="115" t="str">
        <x:v>Pièces décrites, murs, portes, niveaux et mobilier inspectables à l’échelle. Volumes réservés, raccord au seed, butin, rencontres et services de campagne restent à terminer.</x:v>
      </x:c>
    </x:row>
    <x:row r="1893" ht="96" customHeight="1">
      <x:c r="A1893" s="115" t="str">
        <x:v>EXT-MONDE-T038-V38</x:v>
      </x:c>
      <x:c r="B1893" s="115" t="str">
        <x:v>EXT-MONDE-T038</x:v>
      </x:c>
      <x:c r="C1893" s="115" t="str">
        <x:v>Égouts</x:v>
      </x:c>
      <x:c r="D1893" s="115" t="str">
        <x:v>Réseau unitaire ancien</x:v>
      </x:c>
      <x:c r="E1893" s="115" t="n">
        <x:v>38</x:v>
      </x:c>
      <x:c r="F1893" s="115" t="str">
        <x:v>Inspection physique</x:v>
      </x:c>
      <x:c r="G1893" s="115" t="str">
        <x:v>3 niveaux ; 24 pièces ; 207 segments de mur ; 4 transitions. Inspection physique ; architecture complète encore ouverte.</x:v>
      </x:c>
      <x:c r="H1893" s="115" t="str">
        <x:v>L 224 ; l 240,9 ; hauteur 3 m ; choix de composition auteur ; dimensions réelles à documenter</x:v>
      </x:c>
      <x:c r="I1893" s="115" t="str">
        <x:v>À équilibrer</x:v>
      </x:c>
      <x:c r="J1893" s="115" t="str">
        <x:v>Non</x:v>
      </x:c>
      <x:c r="K1893" s="115" t="str">
        <x:v>Pièces décrites, murs, portes, niveaux et mobilier inspectables à l’échelle. Volumes réservés, raccord au seed, butin, rencontres et services de campagne restent à terminer.</x:v>
      </x:c>
    </x:row>
    <x:row r="1894" ht="96" customHeight="1">
      <x:c r="A1894" s="115" t="str">
        <x:v>EXT-MONDE-T038-V39</x:v>
      </x:c>
      <x:c r="B1894" s="115" t="str">
        <x:v>EXT-MONDE-T038</x:v>
      </x:c>
      <x:c r="C1894" s="115" t="str">
        <x:v>Égouts</x:v>
      </x:c>
      <x:c r="D1894" s="115" t="str">
        <x:v>Réseau unitaire ancien</x:v>
      </x:c>
      <x:c r="E1894" s="115" t="n">
        <x:v>39</x:v>
      </x:c>
      <x:c r="F1894" s="115" t="str">
        <x:v>Inspection physique</x:v>
      </x:c>
      <x:c r="G1894" s="115" t="str">
        <x:v>3 niveaux ; 24 pièces ; 207 segments de mur ; 4 transitions. Inspection physique ; architecture complète encore ouverte.</x:v>
      </x:c>
      <x:c r="H1894" s="115" t="str">
        <x:v>L 226 ; l 241,6 ; hauteur 3 m ; choix de composition auteur ; dimensions réelles à documenter</x:v>
      </x:c>
      <x:c r="I1894" s="115" t="str">
        <x:v>À équilibrer</x:v>
      </x:c>
      <x:c r="J1894" s="115" t="str">
        <x:v>Non</x:v>
      </x:c>
      <x:c r="K1894" s="115" t="str">
        <x:v>Pièces décrites, murs, portes, niveaux et mobilier inspectables à l’échelle. Volumes réservés, raccord au seed, butin, rencontres et services de campagne restent à terminer.</x:v>
      </x:c>
    </x:row>
    <x:row r="1895" ht="96" customHeight="1">
      <x:c r="A1895" s="115" t="str">
        <x:v>EXT-MONDE-T038-V40</x:v>
      </x:c>
      <x:c r="B1895" s="115" t="str">
        <x:v>EXT-MONDE-T038</x:v>
      </x:c>
      <x:c r="C1895" s="115" t="str">
        <x:v>Égouts</x:v>
      </x:c>
      <x:c r="D1895" s="115" t="str">
        <x:v>Réseau unitaire ancien</x:v>
      </x:c>
      <x:c r="E1895" s="115" t="n">
        <x:v>40</x:v>
      </x:c>
      <x:c r="F1895" s="115" t="str">
        <x:v>Inspection physique</x:v>
      </x:c>
      <x:c r="G1895" s="115" t="str">
        <x:v>3 niveaux ; 24 pièces ; 207 segments de mur ; 4 transitions. Inspection physique ; architecture complète encore ouverte.</x:v>
      </x:c>
      <x:c r="H1895" s="115" t="str">
        <x:v>L 228 ; l 242,3 ; hauteur 3 m ; choix de composition auteur ; dimensions réelles à documenter</x:v>
      </x:c>
      <x:c r="I1895" s="115" t="str">
        <x:v>À équilibrer</x:v>
      </x:c>
      <x:c r="J1895" s="115" t="str">
        <x:v>Non</x:v>
      </x:c>
      <x:c r="K1895" s="115" t="str">
        <x:v>Pièces décrites, murs, portes, niveaux et mobilier inspectables à l’échelle. Volumes réservés, raccord au seed, butin, rencontres et services de campagne restent à terminer.</x:v>
      </x:c>
    </x:row>
    <x:row r="1896" ht="96" customHeight="1">
      <x:c r="A1896" s="115" t="str">
        <x:v>EXT-MONDE-T038-V41</x:v>
      </x:c>
      <x:c r="B1896" s="115" t="str">
        <x:v>EXT-MONDE-T038</x:v>
      </x:c>
      <x:c r="C1896" s="115" t="str">
        <x:v>Égouts</x:v>
      </x:c>
      <x:c r="D1896" s="115" t="str">
        <x:v>Réseau unitaire ancien</x:v>
      </x:c>
      <x:c r="E1896" s="115" t="n">
        <x:v>41</x:v>
      </x:c>
      <x:c r="F1896" s="115" t="str">
        <x:v>Inspection physique</x:v>
      </x:c>
      <x:c r="G1896" s="115" t="str">
        <x:v>3 niveaux ; 24 pièces ; 207 segments de mur ; 4 transitions. Inspection physique ; architecture complète encore ouverte.</x:v>
      </x:c>
      <x:c r="H1896" s="115" t="str">
        <x:v>L 220 ; l 248 ; hauteur 3 m ; choix de composition auteur ; dimensions réelles à documenter</x:v>
      </x:c>
      <x:c r="I1896" s="115" t="str">
        <x:v>À équilibrer</x:v>
      </x:c>
      <x:c r="J1896" s="115" t="str">
        <x:v>Non</x:v>
      </x:c>
      <x:c r="K1896" s="115" t="str">
        <x:v>Pièces décrites, murs, portes, niveaux et mobilier inspectables à l’échelle. Volumes réservés, raccord au seed, butin, rencontres et services de campagne restent à terminer.</x:v>
      </x:c>
    </x:row>
    <x:row r="1897" ht="96" customHeight="1">
      <x:c r="A1897" s="115" t="str">
        <x:v>EXT-MONDE-T038-V42</x:v>
      </x:c>
      <x:c r="B1897" s="115" t="str">
        <x:v>EXT-MONDE-T038</x:v>
      </x:c>
      <x:c r="C1897" s="115" t="str">
        <x:v>Égouts</x:v>
      </x:c>
      <x:c r="D1897" s="115" t="str">
        <x:v>Réseau unitaire ancien</x:v>
      </x:c>
      <x:c r="E1897" s="115" t="n">
        <x:v>42</x:v>
      </x:c>
      <x:c r="F1897" s="115" t="str">
        <x:v>Inspection physique</x:v>
      </x:c>
      <x:c r="G1897" s="115" t="str">
        <x:v>3 niveaux ; 24 pièces ; 207 segments de mur ; 4 transitions. Inspection physique ; architecture complète encore ouverte.</x:v>
      </x:c>
      <x:c r="H1897" s="115" t="str">
        <x:v>L 222 ; l 248,7 ; hauteur 3 m ; choix de composition auteur ; dimensions réelles à documenter</x:v>
      </x:c>
      <x:c r="I1897" s="115" t="str">
        <x:v>À équilibrer</x:v>
      </x:c>
      <x:c r="J1897" s="115" t="str">
        <x:v>Non</x:v>
      </x:c>
      <x:c r="K1897" s="115" t="str">
        <x:v>Pièces décrites, murs, portes, niveaux et mobilier inspectables à l’échelle. Volumes réservés, raccord au seed, butin, rencontres et services de campagne restent à terminer.</x:v>
      </x:c>
    </x:row>
    <x:row r="1898" ht="96" customHeight="1">
      <x:c r="A1898" s="115" t="str">
        <x:v>EXT-MONDE-T038-V43</x:v>
      </x:c>
      <x:c r="B1898" s="115" t="str">
        <x:v>EXT-MONDE-T038</x:v>
      </x:c>
      <x:c r="C1898" s="115" t="str">
        <x:v>Égouts</x:v>
      </x:c>
      <x:c r="D1898" s="115" t="str">
        <x:v>Réseau unitaire ancien</x:v>
      </x:c>
      <x:c r="E1898" s="115" t="n">
        <x:v>43</x:v>
      </x:c>
      <x:c r="F1898" s="115" t="str">
        <x:v>Inspection physique</x:v>
      </x:c>
      <x:c r="G1898" s="115" t="str">
        <x:v>3 niveaux ; 24 pièces ; 207 segments de mur ; 4 transitions. Inspection physique ; architecture complète encore ouverte.</x:v>
      </x:c>
      <x:c r="H1898" s="115" t="str">
        <x:v>L 224 ; l 249,4 ; hauteur 3 m ; choix de composition auteur ; dimensions réelles à documenter</x:v>
      </x:c>
      <x:c r="I1898" s="115" t="str">
        <x:v>À équilibrer</x:v>
      </x:c>
      <x:c r="J1898" s="115" t="str">
        <x:v>Non</x:v>
      </x:c>
      <x:c r="K1898" s="115" t="str">
        <x:v>Pièces décrites, murs, portes, niveaux et mobilier inspectables à l’échelle. Volumes réservés, raccord au seed, butin, rencontres et services de campagne restent à terminer.</x:v>
      </x:c>
    </x:row>
    <x:row r="1899" ht="96" customHeight="1">
      <x:c r="A1899" s="115" t="str">
        <x:v>EXT-MONDE-T038-V44</x:v>
      </x:c>
      <x:c r="B1899" s="115" t="str">
        <x:v>EXT-MONDE-T038</x:v>
      </x:c>
      <x:c r="C1899" s="115" t="str">
        <x:v>Égouts</x:v>
      </x:c>
      <x:c r="D1899" s="115" t="str">
        <x:v>Réseau unitaire ancien</x:v>
      </x:c>
      <x:c r="E1899" s="115" t="n">
        <x:v>44</x:v>
      </x:c>
      <x:c r="F1899" s="115" t="str">
        <x:v>Inspection physique</x:v>
      </x:c>
      <x:c r="G1899" s="115" t="str">
        <x:v>3 niveaux ; 24 pièces ; 207 segments de mur ; 4 transitions. Inspection physique ; architecture complète encore ouverte.</x:v>
      </x:c>
      <x:c r="H1899" s="115" t="str">
        <x:v>L 226 ; l 250,1 ; hauteur 3 m ; choix de composition auteur ; dimensions réelles à documenter</x:v>
      </x:c>
      <x:c r="I1899" s="115" t="str">
        <x:v>À équilibrer</x:v>
      </x:c>
      <x:c r="J1899" s="115" t="str">
        <x:v>Non</x:v>
      </x:c>
      <x:c r="K1899" s="115" t="str">
        <x:v>Pièces décrites, murs, portes, niveaux et mobilier inspectables à l’échelle. Volumes réservés, raccord au seed, butin, rencontres et services de campagne restent à terminer.</x:v>
      </x:c>
    </x:row>
    <x:row r="1900" ht="96" customHeight="1">
      <x:c r="A1900" s="115" t="str">
        <x:v>EXT-MONDE-T038-V45</x:v>
      </x:c>
      <x:c r="B1900" s="115" t="str">
        <x:v>EXT-MONDE-T038</x:v>
      </x:c>
      <x:c r="C1900" s="115" t="str">
        <x:v>Égouts</x:v>
      </x:c>
      <x:c r="D1900" s="115" t="str">
        <x:v>Réseau unitaire ancien</x:v>
      </x:c>
      <x:c r="E1900" s="115" t="n">
        <x:v>45</x:v>
      </x:c>
      <x:c r="F1900" s="115" t="str">
        <x:v>Inspection physique</x:v>
      </x:c>
      <x:c r="G1900" s="115" t="str">
        <x:v>3 niveaux ; 24 pièces ; 207 segments de mur ; 4 transitions. Inspection physique ; architecture complète encore ouverte.</x:v>
      </x:c>
      <x:c r="H1900" s="115" t="str">
        <x:v>L 228 ; l 250,8 ; hauteur 3 m ; choix de composition auteur ; dimensions réelles à documenter</x:v>
      </x:c>
      <x:c r="I1900" s="115" t="str">
        <x:v>À équilibrer</x:v>
      </x:c>
      <x:c r="J1900" s="115" t="str">
        <x:v>Non</x:v>
      </x:c>
      <x:c r="K1900" s="115" t="str">
        <x:v>Pièces décrites, murs, portes, niveaux et mobilier inspectables à l’échelle. Volumes réservés, raccord au seed, butin, rencontres et services de campagne restent à terminer.</x:v>
      </x:c>
    </x:row>
    <x:row r="1901" ht="96" customHeight="1">
      <x:c r="A1901" s="115" t="str">
        <x:v>EXT-MONDE-T038-V46</x:v>
      </x:c>
      <x:c r="B1901" s="115" t="str">
        <x:v>EXT-MONDE-T038</x:v>
      </x:c>
      <x:c r="C1901" s="115" t="str">
        <x:v>Égouts</x:v>
      </x:c>
      <x:c r="D1901" s="115" t="str">
        <x:v>Réseau unitaire ancien</x:v>
      </x:c>
      <x:c r="E1901" s="115" t="n">
        <x:v>46</x:v>
      </x:c>
      <x:c r="F1901" s="115" t="str">
        <x:v>Inspection physique</x:v>
      </x:c>
      <x:c r="G1901" s="115" t="str">
        <x:v>3 niveaux ; 24 pièces ; 207 segments de mur ; 4 transitions. Inspection physique ; architecture complète encore ouverte.</x:v>
      </x:c>
      <x:c r="H1901" s="115" t="str">
        <x:v>L 230 ; l 251,5 ; hauteur 3 m ; choix de composition auteur ; dimensions réelles à documenter</x:v>
      </x:c>
      <x:c r="I1901" s="115" t="str">
        <x:v>À équilibrer</x:v>
      </x:c>
      <x:c r="J1901" s="115" t="str">
        <x:v>Non</x:v>
      </x:c>
      <x:c r="K1901" s="115" t="str">
        <x:v>Pièces décrites, murs, portes, niveaux et mobilier inspectables à l’échelle. Volumes réservés, raccord au seed, butin, rencontres et services de campagne restent à terminer.</x:v>
      </x:c>
    </x:row>
    <x:row r="1902" ht="96" customHeight="1">
      <x:c r="A1902" s="115" t="str">
        <x:v>EXT-MONDE-T038-V47</x:v>
      </x:c>
      <x:c r="B1902" s="115" t="str">
        <x:v>EXT-MONDE-T038</x:v>
      </x:c>
      <x:c r="C1902" s="115" t="str">
        <x:v>Égouts</x:v>
      </x:c>
      <x:c r="D1902" s="115" t="str">
        <x:v>Réseau unitaire ancien</x:v>
      </x:c>
      <x:c r="E1902" s="115" t="n">
        <x:v>47</x:v>
      </x:c>
      <x:c r="F1902" s="115" t="str">
        <x:v>Inspection physique</x:v>
      </x:c>
      <x:c r="G1902" s="115" t="str">
        <x:v>3 niveaux ; 24 pièces ; 207 segments de mur ; 4 transitions. Inspection physique ; architecture complète encore ouverte.</x:v>
      </x:c>
      <x:c r="H1902" s="115" t="str">
        <x:v>L 232 ; l 252,2 ; hauteur 3 m ; choix de composition auteur ; dimensions réelles à documenter</x:v>
      </x:c>
      <x:c r="I1902" s="115" t="str">
        <x:v>À équilibrer</x:v>
      </x:c>
      <x:c r="J1902" s="115" t="str">
        <x:v>Non</x:v>
      </x:c>
      <x:c r="K1902" s="115" t="str">
        <x:v>Pièces décrites, murs, portes, niveaux et mobilier inspectables à l’échelle. Volumes réservés, raccord au seed, butin, rencontres et services de campagne restent à terminer.</x:v>
      </x:c>
    </x:row>
    <x:row r="1903" ht="96" customHeight="1">
      <x:c r="A1903" s="115" t="str">
        <x:v>EXT-MONDE-T038-V48</x:v>
      </x:c>
      <x:c r="B1903" s="115" t="str">
        <x:v>EXT-MONDE-T038</x:v>
      </x:c>
      <x:c r="C1903" s="115" t="str">
        <x:v>Égouts</x:v>
      </x:c>
      <x:c r="D1903" s="115" t="str">
        <x:v>Réseau unitaire ancien</x:v>
      </x:c>
      <x:c r="E1903" s="115" t="n">
        <x:v>48</x:v>
      </x:c>
      <x:c r="F1903" s="115" t="str">
        <x:v>Inspection physique</x:v>
      </x:c>
      <x:c r="G1903" s="115" t="str">
        <x:v>3 niveaux ; 24 pièces ; 207 segments de mur ; 4 transitions. Inspection physique ; architecture complète encore ouverte.</x:v>
      </x:c>
      <x:c r="H1903" s="115" t="str">
        <x:v>L 234 ; l 252,9 ; hauteur 3 m ; choix de composition auteur ; dimensions réelles à documenter</x:v>
      </x:c>
      <x:c r="I1903" s="115" t="str">
        <x:v>À équilibrer</x:v>
      </x:c>
      <x:c r="J1903" s="115" t="str">
        <x:v>Non</x:v>
      </x:c>
      <x:c r="K1903" s="115" t="str">
        <x:v>Pièces décrites, murs, portes, niveaux et mobilier inspectables à l’échelle. Volumes réservés, raccord au seed, butin, rencontres et services de campagne restent à terminer.</x:v>
      </x:c>
    </x:row>
    <x:row r="1904" ht="96" customHeight="1">
      <x:c r="A1904" s="115" t="str">
        <x:v>EXT-MONDE-T038-V49</x:v>
      </x:c>
      <x:c r="B1904" s="115" t="str">
        <x:v>EXT-MONDE-T038</x:v>
      </x:c>
      <x:c r="C1904" s="115" t="str">
        <x:v>Égouts</x:v>
      </x:c>
      <x:c r="D1904" s="115" t="str">
        <x:v>Réseau unitaire ancien</x:v>
      </x:c>
      <x:c r="E1904" s="115" t="n">
        <x:v>49</x:v>
      </x:c>
      <x:c r="F1904" s="115" t="str">
        <x:v>Inspection physique</x:v>
      </x:c>
      <x:c r="G1904" s="115" t="str">
        <x:v>3 niveaux ; 24 pièces ; 207 segments de mur ; 4 transitions. Inspection physique ; architecture complète encore ouverte.</x:v>
      </x:c>
      <x:c r="H1904" s="115" t="str">
        <x:v>L 236 ; l 253,6 ; hauteur 3 m ; choix de composition auteur ; dimensions réelles à documenter</x:v>
      </x:c>
      <x:c r="I1904" s="115" t="str">
        <x:v>À équilibrer</x:v>
      </x:c>
      <x:c r="J1904" s="115" t="str">
        <x:v>Non</x:v>
      </x:c>
      <x:c r="K1904" s="115" t="str">
        <x:v>Pièces décrites, murs, portes, niveaux et mobilier inspectables à l’échelle. Volumes réservés, raccord au seed, butin, rencontres et services de campagne restent à terminer.</x:v>
      </x:c>
    </x:row>
    <x:row r="1905" ht="96" customHeight="1">
      <x:c r="A1905" s="115" t="str">
        <x:v>EXT-MONDE-T038-V50</x:v>
      </x:c>
      <x:c r="B1905" s="115" t="str">
        <x:v>EXT-MONDE-T038</x:v>
      </x:c>
      <x:c r="C1905" s="115" t="str">
        <x:v>Égouts</x:v>
      </x:c>
      <x:c r="D1905" s="115" t="str">
        <x:v>Réseau unitaire ancien</x:v>
      </x:c>
      <x:c r="E1905" s="115" t="n">
        <x:v>50</x:v>
      </x:c>
      <x:c r="F1905" s="115" t="str">
        <x:v>Inspection physique</x:v>
      </x:c>
      <x:c r="G1905" s="115" t="str">
        <x:v>3 niveaux ; 24 pièces ; 207 segments de mur ; 4 transitions. Inspection physique ; architecture complète encore ouverte.</x:v>
      </x:c>
      <x:c r="H1905" s="115" t="str">
        <x:v>L 238 ; l 254,3 ; hauteur 3 m ; choix de composition auteur ; dimensions réelles à documenter</x:v>
      </x:c>
      <x:c r="I1905" s="115" t="str">
        <x:v>À équilibrer</x:v>
      </x:c>
      <x:c r="J1905" s="115" t="str">
        <x:v>Non</x:v>
      </x:c>
      <x:c r="K1905" s="115" t="str">
        <x:v>Pièces décrites, murs, portes, niveaux et mobilier inspectables à l’échelle. Volumes réservés, raccord au seed, butin, rencontres et services de campagne restent à terminer.</x:v>
      </x:c>
    </x:row>
    <x:row r="1906" ht="96" customHeight="1">
      <x:c r="A1906" s="115" t="str">
        <x:v>EXT-MONDE-T039-V01</x:v>
      </x:c>
      <x:c r="B1906" s="115" t="str">
        <x:v>EXT-MONDE-T039</x:v>
      </x:c>
      <x:c r="C1906" s="115" t="str">
        <x:v>Égouts</x:v>
      </x:c>
      <x:c r="D1906" s="115" t="str">
        <x:v>Galerie pluviale</x:v>
      </x:c>
      <x:c r="E1906" s="115" t="n">
        <x:v>1</x:v>
      </x:c>
      <x:c r="F1906" s="115" t="str">
        <x:v>Inspection physique</x:v>
      </x:c>
      <x:c r="G1906" s="115" t="str">
        <x:v>2 niveaux ; 12 pièces ; 114 segments de mur ; 2 transitions. Inspection physique ; architecture complète encore ouverte.</x:v>
      </x:c>
      <x:c r="H1906" s="115" t="str">
        <x:v>L 180 ; l 200 ; hauteur 3 m ; choix de composition auteur ; dimensions réelles à documenter</x:v>
      </x:c>
      <x:c r="I1906" s="115" t="str">
        <x:v>À équilibrer</x:v>
      </x:c>
      <x:c r="J1906" s="115" t="str">
        <x:v>Non</x:v>
      </x:c>
      <x:c r="K1906" s="115" t="str">
        <x:v>Pièces décrites, murs, portes, niveaux et mobilier inspectables à l’échelle. Volumes réservés, raccord au seed, butin, rencontres et services de campagne restent à terminer.</x:v>
      </x:c>
    </x:row>
    <x:row r="1907" ht="96" customHeight="1">
      <x:c r="A1907" s="115" t="str">
        <x:v>EXT-MONDE-T039-V02</x:v>
      </x:c>
      <x:c r="B1907" s="115" t="str">
        <x:v>EXT-MONDE-T039</x:v>
      </x:c>
      <x:c r="C1907" s="115" t="str">
        <x:v>Égouts</x:v>
      </x:c>
      <x:c r="D1907" s="115" t="str">
        <x:v>Galerie pluviale</x:v>
      </x:c>
      <x:c r="E1907" s="115" t="n">
        <x:v>2</x:v>
      </x:c>
      <x:c r="F1907" s="115" t="str">
        <x:v>Inspection physique</x:v>
      </x:c>
      <x:c r="G1907" s="115" t="str">
        <x:v>2 niveaux ; 12 pièces ; 114 segments de mur ; 2 transitions. Inspection physique ; architecture complète encore ouverte.</x:v>
      </x:c>
      <x:c r="H1907" s="115" t="str">
        <x:v>L 182 ; l 200,7 ; hauteur 3 m ; choix de composition auteur ; dimensions réelles à documenter</x:v>
      </x:c>
      <x:c r="I1907" s="115" t="str">
        <x:v>À équilibrer</x:v>
      </x:c>
      <x:c r="J1907" s="115" t="str">
        <x:v>Non</x:v>
      </x:c>
      <x:c r="K1907" s="115" t="str">
        <x:v>Pièces décrites, murs, portes, niveaux et mobilier inspectables à l’échelle. Volumes réservés, raccord au seed, butin, rencontres et services de campagne restent à terminer.</x:v>
      </x:c>
    </x:row>
    <x:row r="1908" ht="96" customHeight="1">
      <x:c r="A1908" s="115" t="str">
        <x:v>EXT-MONDE-T039-V03</x:v>
      </x:c>
      <x:c r="B1908" s="115" t="str">
        <x:v>EXT-MONDE-T039</x:v>
      </x:c>
      <x:c r="C1908" s="115" t="str">
        <x:v>Égouts</x:v>
      </x:c>
      <x:c r="D1908" s="115" t="str">
        <x:v>Galerie pluviale</x:v>
      </x:c>
      <x:c r="E1908" s="115" t="n">
        <x:v>3</x:v>
      </x:c>
      <x:c r="F1908" s="115" t="str">
        <x:v>Inspection physique</x:v>
      </x:c>
      <x:c r="G1908" s="115" t="str">
        <x:v>2 niveaux ; 12 pièces ; 114 segments de mur ; 2 transitions. Inspection physique ; architecture complète encore ouverte.</x:v>
      </x:c>
      <x:c r="H1908" s="115" t="str">
        <x:v>L 184 ; l 201,4 ; hauteur 3 m ; choix de composition auteur ; dimensions réelles à documenter</x:v>
      </x:c>
      <x:c r="I1908" s="115" t="str">
        <x:v>À équilibrer</x:v>
      </x:c>
      <x:c r="J1908" s="115" t="str">
        <x:v>Non</x:v>
      </x:c>
      <x:c r="K1908" s="115" t="str">
        <x:v>Pièces décrites, murs, portes, niveaux et mobilier inspectables à l’échelle. Volumes réservés, raccord au seed, butin, rencontres et services de campagne restent à terminer.</x:v>
      </x:c>
    </x:row>
    <x:row r="1909" ht="96" customHeight="1">
      <x:c r="A1909" s="115" t="str">
        <x:v>EXT-MONDE-T039-V04</x:v>
      </x:c>
      <x:c r="B1909" s="115" t="str">
        <x:v>EXT-MONDE-T039</x:v>
      </x:c>
      <x:c r="C1909" s="115" t="str">
        <x:v>Égouts</x:v>
      </x:c>
      <x:c r="D1909" s="115" t="str">
        <x:v>Galerie pluviale</x:v>
      </x:c>
      <x:c r="E1909" s="115" t="n">
        <x:v>4</x:v>
      </x:c>
      <x:c r="F1909" s="115" t="str">
        <x:v>Inspection physique</x:v>
      </x:c>
      <x:c r="G1909" s="115" t="str">
        <x:v>2 niveaux ; 12 pièces ; 114 segments de mur ; 2 transitions. Inspection physique ; architecture complète encore ouverte.</x:v>
      </x:c>
      <x:c r="H1909" s="115" t="str">
        <x:v>L 186 ; l 202,1 ; hauteur 3 m ; choix de composition auteur ; dimensions réelles à documenter</x:v>
      </x:c>
      <x:c r="I1909" s="115" t="str">
        <x:v>À équilibrer</x:v>
      </x:c>
      <x:c r="J1909" s="115" t="str">
        <x:v>Non</x:v>
      </x:c>
      <x:c r="K1909" s="115" t="str">
        <x:v>Pièces décrites, murs, portes, niveaux et mobilier inspectables à l’échelle. Volumes réservés, raccord au seed, butin, rencontres et services de campagne restent à terminer.</x:v>
      </x:c>
    </x:row>
    <x:row r="1910" ht="96" customHeight="1">
      <x:c r="A1910" s="115" t="str">
        <x:v>EXT-MONDE-T039-V05</x:v>
      </x:c>
      <x:c r="B1910" s="115" t="str">
        <x:v>EXT-MONDE-T039</x:v>
      </x:c>
      <x:c r="C1910" s="115" t="str">
        <x:v>Égouts</x:v>
      </x:c>
      <x:c r="D1910" s="115" t="str">
        <x:v>Galerie pluviale</x:v>
      </x:c>
      <x:c r="E1910" s="115" t="n">
        <x:v>5</x:v>
      </x:c>
      <x:c r="F1910" s="115" t="str">
        <x:v>Inspection physique</x:v>
      </x:c>
      <x:c r="G1910" s="115" t="str">
        <x:v>2 niveaux ; 12 pièces ; 114 segments de mur ; 2 transitions. Inspection physique ; architecture complète encore ouverte.</x:v>
      </x:c>
      <x:c r="H1910" s="115" t="str">
        <x:v>L 188 ; l 202,8 ; hauteur 3 m ; choix de composition auteur ; dimensions réelles à documenter</x:v>
      </x:c>
      <x:c r="I1910" s="115" t="str">
        <x:v>À équilibrer</x:v>
      </x:c>
      <x:c r="J1910" s="115" t="str">
        <x:v>Non</x:v>
      </x:c>
      <x:c r="K1910" s="115" t="str">
        <x:v>Pièces décrites, murs, portes, niveaux et mobilier inspectables à l’échelle. Volumes réservés, raccord au seed, butin, rencontres et services de campagne restent à terminer.</x:v>
      </x:c>
    </x:row>
    <x:row r="1911" ht="96" customHeight="1">
      <x:c r="A1911" s="115" t="str">
        <x:v>EXT-MONDE-T039-V06</x:v>
      </x:c>
      <x:c r="B1911" s="115" t="str">
        <x:v>EXT-MONDE-T039</x:v>
      </x:c>
      <x:c r="C1911" s="115" t="str">
        <x:v>Égouts</x:v>
      </x:c>
      <x:c r="D1911" s="115" t="str">
        <x:v>Galerie pluviale</x:v>
      </x:c>
      <x:c r="E1911" s="115" t="n">
        <x:v>6</x:v>
      </x:c>
      <x:c r="F1911" s="115" t="str">
        <x:v>Inspection physique</x:v>
      </x:c>
      <x:c r="G1911" s="115" t="str">
        <x:v>2 niveaux ; 12 pièces ; 114 segments de mur ; 2 transitions. Inspection physique ; architecture complète encore ouverte.</x:v>
      </x:c>
      <x:c r="H1911" s="115" t="str">
        <x:v>L 190 ; l 203,5 ; hauteur 3 m ; choix de composition auteur ; dimensions réelles à documenter</x:v>
      </x:c>
      <x:c r="I1911" s="115" t="str">
        <x:v>À équilibrer</x:v>
      </x:c>
      <x:c r="J1911" s="115" t="str">
        <x:v>Non</x:v>
      </x:c>
      <x:c r="K1911" s="115" t="str">
        <x:v>Pièces décrites, murs, portes, niveaux et mobilier inspectables à l’échelle. Volumes réservés, raccord au seed, butin, rencontres et services de campagne restent à terminer.</x:v>
      </x:c>
    </x:row>
    <x:row r="1912" ht="96" customHeight="1">
      <x:c r="A1912" s="115" t="str">
        <x:v>EXT-MONDE-T039-V07</x:v>
      </x:c>
      <x:c r="B1912" s="115" t="str">
        <x:v>EXT-MONDE-T039</x:v>
      </x:c>
      <x:c r="C1912" s="115" t="str">
        <x:v>Égouts</x:v>
      </x:c>
      <x:c r="D1912" s="115" t="str">
        <x:v>Galerie pluviale</x:v>
      </x:c>
      <x:c r="E1912" s="115" t="n">
        <x:v>7</x:v>
      </x:c>
      <x:c r="F1912" s="115" t="str">
        <x:v>Inspection physique</x:v>
      </x:c>
      <x:c r="G1912" s="115" t="str">
        <x:v>2 niveaux ; 12 pièces ; 114 segments de mur ; 2 transitions. Inspection physique ; architecture complète encore ouverte.</x:v>
      </x:c>
      <x:c r="H1912" s="115" t="str">
        <x:v>L 192 ; l 204,2 ; hauteur 3 m ; choix de composition auteur ; dimensions réelles à documenter</x:v>
      </x:c>
      <x:c r="I1912" s="115" t="str">
        <x:v>À équilibrer</x:v>
      </x:c>
      <x:c r="J1912" s="115" t="str">
        <x:v>Non</x:v>
      </x:c>
      <x:c r="K1912" s="115" t="str">
        <x:v>Pièces décrites, murs, portes, niveaux et mobilier inspectables à l’échelle. Volumes réservés, raccord au seed, butin, rencontres et services de campagne restent à terminer.</x:v>
      </x:c>
    </x:row>
    <x:row r="1913" ht="96" customHeight="1">
      <x:c r="A1913" s="115" t="str">
        <x:v>EXT-MONDE-T039-V08</x:v>
      </x:c>
      <x:c r="B1913" s="115" t="str">
        <x:v>EXT-MONDE-T039</x:v>
      </x:c>
      <x:c r="C1913" s="115" t="str">
        <x:v>Égouts</x:v>
      </x:c>
      <x:c r="D1913" s="115" t="str">
        <x:v>Galerie pluviale</x:v>
      </x:c>
      <x:c r="E1913" s="115" t="n">
        <x:v>8</x:v>
      </x:c>
      <x:c r="F1913" s="115" t="str">
        <x:v>Inspection physique</x:v>
      </x:c>
      <x:c r="G1913" s="115" t="str">
        <x:v>2 niveaux ; 12 pièces ; 114 segments de mur ; 2 transitions. Inspection physique ; architecture complète encore ouverte.</x:v>
      </x:c>
      <x:c r="H1913" s="115" t="str">
        <x:v>L 194 ; l 204,9 ; hauteur 3 m ; choix de composition auteur ; dimensions réelles à documenter</x:v>
      </x:c>
      <x:c r="I1913" s="115" t="str">
        <x:v>À équilibrer</x:v>
      </x:c>
      <x:c r="J1913" s="115" t="str">
        <x:v>Non</x:v>
      </x:c>
      <x:c r="K1913" s="115" t="str">
        <x:v>Pièces décrites, murs, portes, niveaux et mobilier inspectables à l’échelle. Volumes réservés, raccord au seed, butin, rencontres et services de campagne restent à terminer.</x:v>
      </x:c>
    </x:row>
    <x:row r="1914" ht="96" customHeight="1">
      <x:c r="A1914" s="115" t="str">
        <x:v>EXT-MONDE-T039-V09</x:v>
      </x:c>
      <x:c r="B1914" s="115" t="str">
        <x:v>EXT-MONDE-T039</x:v>
      </x:c>
      <x:c r="C1914" s="115" t="str">
        <x:v>Égouts</x:v>
      </x:c>
      <x:c r="D1914" s="115" t="str">
        <x:v>Galerie pluviale</x:v>
      </x:c>
      <x:c r="E1914" s="115" t="n">
        <x:v>9</x:v>
      </x:c>
      <x:c r="F1914" s="115" t="str">
        <x:v>Inspection physique</x:v>
      </x:c>
      <x:c r="G1914" s="115" t="str">
        <x:v>2 niveaux ; 12 pièces ; 114 segments de mur ; 2 transitions. Inspection physique ; architecture complète encore ouverte.</x:v>
      </x:c>
      <x:c r="H1914" s="115" t="str">
        <x:v>L 196 ; l 205,6 ; hauteur 3 m ; choix de composition auteur ; dimensions réelles à documenter</x:v>
      </x:c>
      <x:c r="I1914" s="115" t="str">
        <x:v>À équilibrer</x:v>
      </x:c>
      <x:c r="J1914" s="115" t="str">
        <x:v>Non</x:v>
      </x:c>
      <x:c r="K1914" s="115" t="str">
        <x:v>Pièces décrites, murs, portes, niveaux et mobilier inspectables à l’échelle. Volumes réservés, raccord au seed, butin, rencontres et services de campagne restent à terminer.</x:v>
      </x:c>
    </x:row>
    <x:row r="1915" ht="96" customHeight="1">
      <x:c r="A1915" s="115" t="str">
        <x:v>EXT-MONDE-T039-V10</x:v>
      </x:c>
      <x:c r="B1915" s="115" t="str">
        <x:v>EXT-MONDE-T039</x:v>
      </x:c>
      <x:c r="C1915" s="115" t="str">
        <x:v>Égouts</x:v>
      </x:c>
      <x:c r="D1915" s="115" t="str">
        <x:v>Galerie pluviale</x:v>
      </x:c>
      <x:c r="E1915" s="115" t="n">
        <x:v>10</x:v>
      </x:c>
      <x:c r="F1915" s="115" t="str">
        <x:v>Inspection physique</x:v>
      </x:c>
      <x:c r="G1915" s="115" t="str">
        <x:v>2 niveaux ; 12 pièces ; 114 segments de mur ; 2 transitions. Inspection physique ; architecture complète encore ouverte.</x:v>
      </x:c>
      <x:c r="H1915" s="115" t="str">
        <x:v>L 198 ; l 206,3 ; hauteur 3 m ; choix de composition auteur ; dimensions réelles à documenter</x:v>
      </x:c>
      <x:c r="I1915" s="115" t="str">
        <x:v>À équilibrer</x:v>
      </x:c>
      <x:c r="J1915" s="115" t="str">
        <x:v>Non</x:v>
      </x:c>
      <x:c r="K1915" s="115" t="str">
        <x:v>Pièces décrites, murs, portes, niveaux et mobilier inspectables à l’échelle. Volumes réservés, raccord au seed, butin, rencontres et services de campagne restent à terminer.</x:v>
      </x:c>
    </x:row>
    <x:row r="1916" ht="96" customHeight="1">
      <x:c r="A1916" s="115" t="str">
        <x:v>EXT-MONDE-T039-V11</x:v>
      </x:c>
      <x:c r="B1916" s="115" t="str">
        <x:v>EXT-MONDE-T039</x:v>
      </x:c>
      <x:c r="C1916" s="115" t="str">
        <x:v>Égouts</x:v>
      </x:c>
      <x:c r="D1916" s="115" t="str">
        <x:v>Galerie pluviale</x:v>
      </x:c>
      <x:c r="E1916" s="115" t="n">
        <x:v>11</x:v>
      </x:c>
      <x:c r="F1916" s="115" t="str">
        <x:v>Inspection physique</x:v>
      </x:c>
      <x:c r="G1916" s="115" t="str">
        <x:v>2 niveaux ; 12 pièces ; 114 segments de mur ; 2 transitions. Inspection physique ; architecture complète encore ouverte.</x:v>
      </x:c>
      <x:c r="H1916" s="115" t="str">
        <x:v>L 190 ; l 212 ; hauteur 3 m ; choix de composition auteur ; dimensions réelles à documenter</x:v>
      </x:c>
      <x:c r="I1916" s="115" t="str">
        <x:v>À équilibrer</x:v>
      </x:c>
      <x:c r="J1916" s="115" t="str">
        <x:v>Non</x:v>
      </x:c>
      <x:c r="K1916" s="115" t="str">
        <x:v>Pièces décrites, murs, portes, niveaux et mobilier inspectables à l’échelle. Volumes réservés, raccord au seed, butin, rencontres et services de campagne restent à terminer.</x:v>
      </x:c>
    </x:row>
    <x:row r="1917" ht="96" customHeight="1">
      <x:c r="A1917" s="115" t="str">
        <x:v>EXT-MONDE-T039-V12</x:v>
      </x:c>
      <x:c r="B1917" s="115" t="str">
        <x:v>EXT-MONDE-T039</x:v>
      </x:c>
      <x:c r="C1917" s="115" t="str">
        <x:v>Égouts</x:v>
      </x:c>
      <x:c r="D1917" s="115" t="str">
        <x:v>Galerie pluviale</x:v>
      </x:c>
      <x:c r="E1917" s="115" t="n">
        <x:v>12</x:v>
      </x:c>
      <x:c r="F1917" s="115" t="str">
        <x:v>Inspection physique</x:v>
      </x:c>
      <x:c r="G1917" s="115" t="str">
        <x:v>2 niveaux ; 12 pièces ; 114 segments de mur ; 2 transitions. Inspection physique ; architecture complète encore ouverte.</x:v>
      </x:c>
      <x:c r="H1917" s="115" t="str">
        <x:v>L 192 ; l 212,7 ; hauteur 3 m ; choix de composition auteur ; dimensions réelles à documenter</x:v>
      </x:c>
      <x:c r="I1917" s="115" t="str">
        <x:v>À équilibrer</x:v>
      </x:c>
      <x:c r="J1917" s="115" t="str">
        <x:v>Non</x:v>
      </x:c>
      <x:c r="K1917" s="115" t="str">
        <x:v>Pièces décrites, murs, portes, niveaux et mobilier inspectables à l’échelle. Volumes réservés, raccord au seed, butin, rencontres et services de campagne restent à terminer.</x:v>
      </x:c>
    </x:row>
    <x:row r="1918" ht="96" customHeight="1">
      <x:c r="A1918" s="115" t="str">
        <x:v>EXT-MONDE-T039-V13</x:v>
      </x:c>
      <x:c r="B1918" s="115" t="str">
        <x:v>EXT-MONDE-T039</x:v>
      </x:c>
      <x:c r="C1918" s="115" t="str">
        <x:v>Égouts</x:v>
      </x:c>
      <x:c r="D1918" s="115" t="str">
        <x:v>Galerie pluviale</x:v>
      </x:c>
      <x:c r="E1918" s="115" t="n">
        <x:v>13</x:v>
      </x:c>
      <x:c r="F1918" s="115" t="str">
        <x:v>Inspection physique</x:v>
      </x:c>
      <x:c r="G1918" s="115" t="str">
        <x:v>2 niveaux ; 12 pièces ; 114 segments de mur ; 2 transitions. Inspection physique ; architecture complète encore ouverte.</x:v>
      </x:c>
      <x:c r="H1918" s="115" t="str">
        <x:v>L 194 ; l 213,4 ; hauteur 3 m ; choix de composition auteur ; dimensions réelles à documenter</x:v>
      </x:c>
      <x:c r="I1918" s="115" t="str">
        <x:v>À équilibrer</x:v>
      </x:c>
      <x:c r="J1918" s="115" t="str">
        <x:v>Non</x:v>
      </x:c>
      <x:c r="K1918" s="115" t="str">
        <x:v>Pièces décrites, murs, portes, niveaux et mobilier inspectables à l’échelle. Volumes réservés, raccord au seed, butin, rencontres et services de campagne restent à terminer.</x:v>
      </x:c>
    </x:row>
    <x:row r="1919" ht="96" customHeight="1">
      <x:c r="A1919" s="115" t="str">
        <x:v>EXT-MONDE-T039-V14</x:v>
      </x:c>
      <x:c r="B1919" s="115" t="str">
        <x:v>EXT-MONDE-T039</x:v>
      </x:c>
      <x:c r="C1919" s="115" t="str">
        <x:v>Égouts</x:v>
      </x:c>
      <x:c r="D1919" s="115" t="str">
        <x:v>Galerie pluviale</x:v>
      </x:c>
      <x:c r="E1919" s="115" t="n">
        <x:v>14</x:v>
      </x:c>
      <x:c r="F1919" s="115" t="str">
        <x:v>Inspection physique</x:v>
      </x:c>
      <x:c r="G1919" s="115" t="str">
        <x:v>2 niveaux ; 12 pièces ; 114 segments de mur ; 2 transitions. Inspection physique ; architecture complète encore ouverte.</x:v>
      </x:c>
      <x:c r="H1919" s="115" t="str">
        <x:v>L 196 ; l 214,1 ; hauteur 3 m ; choix de composition auteur ; dimensions réelles à documenter</x:v>
      </x:c>
      <x:c r="I1919" s="115" t="str">
        <x:v>À équilibrer</x:v>
      </x:c>
      <x:c r="J1919" s="115" t="str">
        <x:v>Non</x:v>
      </x:c>
      <x:c r="K1919" s="115" t="str">
        <x:v>Pièces décrites, murs, portes, niveaux et mobilier inspectables à l’échelle. Volumes réservés, raccord au seed, butin, rencontres et services de campagne restent à terminer.</x:v>
      </x:c>
    </x:row>
    <x:row r="1920" ht="96" customHeight="1">
      <x:c r="A1920" s="115" t="str">
        <x:v>EXT-MONDE-T039-V15</x:v>
      </x:c>
      <x:c r="B1920" s="115" t="str">
        <x:v>EXT-MONDE-T039</x:v>
      </x:c>
      <x:c r="C1920" s="115" t="str">
        <x:v>Égouts</x:v>
      </x:c>
      <x:c r="D1920" s="115" t="str">
        <x:v>Galerie pluviale</x:v>
      </x:c>
      <x:c r="E1920" s="115" t="n">
        <x:v>15</x:v>
      </x:c>
      <x:c r="F1920" s="115" t="str">
        <x:v>Inspection physique</x:v>
      </x:c>
      <x:c r="G1920" s="115" t="str">
        <x:v>2 niveaux ; 12 pièces ; 114 segments de mur ; 2 transitions. Inspection physique ; architecture complète encore ouverte.</x:v>
      </x:c>
      <x:c r="H1920" s="115" t="str">
        <x:v>L 198 ; l 214,8 ; hauteur 3 m ; choix de composition auteur ; dimensions réelles à documenter</x:v>
      </x:c>
      <x:c r="I1920" s="115" t="str">
        <x:v>À équilibrer</x:v>
      </x:c>
      <x:c r="J1920" s="115" t="str">
        <x:v>Non</x:v>
      </x:c>
      <x:c r="K1920" s="115" t="str">
        <x:v>Pièces décrites, murs, portes, niveaux et mobilier inspectables à l’échelle. Volumes réservés, raccord au seed, butin, rencontres et services de campagne restent à terminer.</x:v>
      </x:c>
    </x:row>
    <x:row r="1921" ht="96" customHeight="1">
      <x:c r="A1921" s="115" t="str">
        <x:v>EXT-MONDE-T039-V16</x:v>
      </x:c>
      <x:c r="B1921" s="115" t="str">
        <x:v>EXT-MONDE-T039</x:v>
      </x:c>
      <x:c r="C1921" s="115" t="str">
        <x:v>Égouts</x:v>
      </x:c>
      <x:c r="D1921" s="115" t="str">
        <x:v>Galerie pluviale</x:v>
      </x:c>
      <x:c r="E1921" s="115" t="n">
        <x:v>16</x:v>
      </x:c>
      <x:c r="F1921" s="115" t="str">
        <x:v>Inspection physique</x:v>
      </x:c>
      <x:c r="G1921" s="115" t="str">
        <x:v>2 niveaux ; 12 pièces ; 114 segments de mur ; 2 transitions. Inspection physique ; architecture complète encore ouverte.</x:v>
      </x:c>
      <x:c r="H1921" s="115" t="str">
        <x:v>L 200 ; l 215,5 ; hauteur 3 m ; choix de composition auteur ; dimensions réelles à documenter</x:v>
      </x:c>
      <x:c r="I1921" s="115" t="str">
        <x:v>À équilibrer</x:v>
      </x:c>
      <x:c r="J1921" s="115" t="str">
        <x:v>Non</x:v>
      </x:c>
      <x:c r="K1921" s="115" t="str">
        <x:v>Pièces décrites, murs, portes, niveaux et mobilier inspectables à l’échelle. Volumes réservés, raccord au seed, butin, rencontres et services de campagne restent à terminer.</x:v>
      </x:c>
    </x:row>
    <x:row r="1922" ht="96" customHeight="1">
      <x:c r="A1922" s="115" t="str">
        <x:v>EXT-MONDE-T039-V17</x:v>
      </x:c>
      <x:c r="B1922" s="115" t="str">
        <x:v>EXT-MONDE-T039</x:v>
      </x:c>
      <x:c r="C1922" s="115" t="str">
        <x:v>Égouts</x:v>
      </x:c>
      <x:c r="D1922" s="115" t="str">
        <x:v>Galerie pluviale</x:v>
      </x:c>
      <x:c r="E1922" s="115" t="n">
        <x:v>17</x:v>
      </x:c>
      <x:c r="F1922" s="115" t="str">
        <x:v>Inspection physique</x:v>
      </x:c>
      <x:c r="G1922" s="115" t="str">
        <x:v>2 niveaux ; 12 pièces ; 114 segments de mur ; 2 transitions. Inspection physique ; architecture complète encore ouverte.</x:v>
      </x:c>
      <x:c r="H1922" s="115" t="str">
        <x:v>L 202 ; l 216,2 ; hauteur 3 m ; choix de composition auteur ; dimensions réelles à documenter</x:v>
      </x:c>
      <x:c r="I1922" s="115" t="str">
        <x:v>À équilibrer</x:v>
      </x:c>
      <x:c r="J1922" s="115" t="str">
        <x:v>Non</x:v>
      </x:c>
      <x:c r="K1922" s="115" t="str">
        <x:v>Pièces décrites, murs, portes, niveaux et mobilier inspectables à l’échelle. Volumes réservés, raccord au seed, butin, rencontres et services de campagne restent à terminer.</x:v>
      </x:c>
    </x:row>
    <x:row r="1923" ht="96" customHeight="1">
      <x:c r="A1923" s="115" t="str">
        <x:v>EXT-MONDE-T039-V18</x:v>
      </x:c>
      <x:c r="B1923" s="115" t="str">
        <x:v>EXT-MONDE-T039</x:v>
      </x:c>
      <x:c r="C1923" s="115" t="str">
        <x:v>Égouts</x:v>
      </x:c>
      <x:c r="D1923" s="115" t="str">
        <x:v>Galerie pluviale</x:v>
      </x:c>
      <x:c r="E1923" s="115" t="n">
        <x:v>18</x:v>
      </x:c>
      <x:c r="F1923" s="115" t="str">
        <x:v>Inspection physique</x:v>
      </x:c>
      <x:c r="G1923" s="115" t="str">
        <x:v>2 niveaux ; 12 pièces ; 114 segments de mur ; 2 transitions. Inspection physique ; architecture complète encore ouverte.</x:v>
      </x:c>
      <x:c r="H1923" s="115" t="str">
        <x:v>L 204 ; l 216,9 ; hauteur 3 m ; choix de composition auteur ; dimensions réelles à documenter</x:v>
      </x:c>
      <x:c r="I1923" s="115" t="str">
        <x:v>À équilibrer</x:v>
      </x:c>
      <x:c r="J1923" s="115" t="str">
        <x:v>Non</x:v>
      </x:c>
      <x:c r="K1923" s="115" t="str">
        <x:v>Pièces décrites, murs, portes, niveaux et mobilier inspectables à l’échelle. Volumes réservés, raccord au seed, butin, rencontres et services de campagne restent à terminer.</x:v>
      </x:c>
    </x:row>
    <x:row r="1924" ht="96" customHeight="1">
      <x:c r="A1924" s="115" t="str">
        <x:v>EXT-MONDE-T039-V19</x:v>
      </x:c>
      <x:c r="B1924" s="115" t="str">
        <x:v>EXT-MONDE-T039</x:v>
      </x:c>
      <x:c r="C1924" s="115" t="str">
        <x:v>Égouts</x:v>
      </x:c>
      <x:c r="D1924" s="115" t="str">
        <x:v>Galerie pluviale</x:v>
      </x:c>
      <x:c r="E1924" s="115" t="n">
        <x:v>19</x:v>
      </x:c>
      <x:c r="F1924" s="115" t="str">
        <x:v>Inspection physique</x:v>
      </x:c>
      <x:c r="G1924" s="115" t="str">
        <x:v>2 niveaux ; 12 pièces ; 114 segments de mur ; 2 transitions. Inspection physique ; architecture complète encore ouverte.</x:v>
      </x:c>
      <x:c r="H1924" s="115" t="str">
        <x:v>L 206 ; l 217,6 ; hauteur 3 m ; choix de composition auteur ; dimensions réelles à documenter</x:v>
      </x:c>
      <x:c r="I1924" s="115" t="str">
        <x:v>À équilibrer</x:v>
      </x:c>
      <x:c r="J1924" s="115" t="str">
        <x:v>Non</x:v>
      </x:c>
      <x:c r="K1924" s="115" t="str">
        <x:v>Pièces décrites, murs, portes, niveaux et mobilier inspectables à l’échelle. Volumes réservés, raccord au seed, butin, rencontres et services de campagne restent à terminer.</x:v>
      </x:c>
    </x:row>
    <x:row r="1925" ht="96" customHeight="1">
      <x:c r="A1925" s="115" t="str">
        <x:v>EXT-MONDE-T039-V20</x:v>
      </x:c>
      <x:c r="B1925" s="115" t="str">
        <x:v>EXT-MONDE-T039</x:v>
      </x:c>
      <x:c r="C1925" s="115" t="str">
        <x:v>Égouts</x:v>
      </x:c>
      <x:c r="D1925" s="115" t="str">
        <x:v>Galerie pluviale</x:v>
      </x:c>
      <x:c r="E1925" s="115" t="n">
        <x:v>20</x:v>
      </x:c>
      <x:c r="F1925" s="115" t="str">
        <x:v>Inspection physique</x:v>
      </x:c>
      <x:c r="G1925" s="115" t="str">
        <x:v>2 niveaux ; 12 pièces ; 114 segments de mur ; 2 transitions. Inspection physique ; architecture complète encore ouverte.</x:v>
      </x:c>
      <x:c r="H1925" s="115" t="str">
        <x:v>L 208 ; l 218,3 ; hauteur 3 m ; choix de composition auteur ; dimensions réelles à documenter</x:v>
      </x:c>
      <x:c r="I1925" s="115" t="str">
        <x:v>À équilibrer</x:v>
      </x:c>
      <x:c r="J1925" s="115" t="str">
        <x:v>Non</x:v>
      </x:c>
      <x:c r="K1925" s="115" t="str">
        <x:v>Pièces décrites, murs, portes, niveaux et mobilier inspectables à l’échelle. Volumes réservés, raccord au seed, butin, rencontres et services de campagne restent à terminer.</x:v>
      </x:c>
    </x:row>
    <x:row r="1926" ht="96" customHeight="1">
      <x:c r="A1926" s="115" t="str">
        <x:v>EXT-MONDE-T039-V21</x:v>
      </x:c>
      <x:c r="B1926" s="115" t="str">
        <x:v>EXT-MONDE-T039</x:v>
      </x:c>
      <x:c r="C1926" s="115" t="str">
        <x:v>Égouts</x:v>
      </x:c>
      <x:c r="D1926" s="115" t="str">
        <x:v>Galerie pluviale</x:v>
      </x:c>
      <x:c r="E1926" s="115" t="n">
        <x:v>21</x:v>
      </x:c>
      <x:c r="F1926" s="115" t="str">
        <x:v>Inspection physique</x:v>
      </x:c>
      <x:c r="G1926" s="115" t="str">
        <x:v>2 niveaux ; 12 pièces ; 114 segments de mur ; 2 transitions. Inspection physique ; architecture complète encore ouverte.</x:v>
      </x:c>
      <x:c r="H1926" s="115" t="str">
        <x:v>L 200 ; l 224 ; hauteur 3 m ; choix de composition auteur ; dimensions réelles à documenter</x:v>
      </x:c>
      <x:c r="I1926" s="115" t="str">
        <x:v>À équilibrer</x:v>
      </x:c>
      <x:c r="J1926" s="115" t="str">
        <x:v>Non</x:v>
      </x:c>
      <x:c r="K1926" s="115" t="str">
        <x:v>Pièces décrites, murs, portes, niveaux et mobilier inspectables à l’échelle. Volumes réservés, raccord au seed, butin, rencontres et services de campagne restent à terminer.</x:v>
      </x:c>
    </x:row>
    <x:row r="1927" ht="96" customHeight="1">
      <x:c r="A1927" s="115" t="str">
        <x:v>EXT-MONDE-T039-V22</x:v>
      </x:c>
      <x:c r="B1927" s="115" t="str">
        <x:v>EXT-MONDE-T039</x:v>
      </x:c>
      <x:c r="C1927" s="115" t="str">
        <x:v>Égouts</x:v>
      </x:c>
      <x:c r="D1927" s="115" t="str">
        <x:v>Galerie pluviale</x:v>
      </x:c>
      <x:c r="E1927" s="115" t="n">
        <x:v>22</x:v>
      </x:c>
      <x:c r="F1927" s="115" t="str">
        <x:v>Inspection physique</x:v>
      </x:c>
      <x:c r="G1927" s="115" t="str">
        <x:v>2 niveaux ; 12 pièces ; 114 segments de mur ; 2 transitions. Inspection physique ; architecture complète encore ouverte.</x:v>
      </x:c>
      <x:c r="H1927" s="115" t="str">
        <x:v>L 202 ; l 224,7 ; hauteur 3 m ; choix de composition auteur ; dimensions réelles à documenter</x:v>
      </x:c>
      <x:c r="I1927" s="115" t="str">
        <x:v>À équilibrer</x:v>
      </x:c>
      <x:c r="J1927" s="115" t="str">
        <x:v>Non</x:v>
      </x:c>
      <x:c r="K1927" s="115" t="str">
        <x:v>Pièces décrites, murs, portes, niveaux et mobilier inspectables à l’échelle. Volumes réservés, raccord au seed, butin, rencontres et services de campagne restent à terminer.</x:v>
      </x:c>
    </x:row>
    <x:row r="1928" ht="96" customHeight="1">
      <x:c r="A1928" s="115" t="str">
        <x:v>EXT-MONDE-T039-V23</x:v>
      </x:c>
      <x:c r="B1928" s="115" t="str">
        <x:v>EXT-MONDE-T039</x:v>
      </x:c>
      <x:c r="C1928" s="115" t="str">
        <x:v>Égouts</x:v>
      </x:c>
      <x:c r="D1928" s="115" t="str">
        <x:v>Galerie pluviale</x:v>
      </x:c>
      <x:c r="E1928" s="115" t="n">
        <x:v>23</x:v>
      </x:c>
      <x:c r="F1928" s="115" t="str">
        <x:v>Inspection physique</x:v>
      </x:c>
      <x:c r="G1928" s="115" t="str">
        <x:v>2 niveaux ; 12 pièces ; 114 segments de mur ; 2 transitions. Inspection physique ; architecture complète encore ouverte.</x:v>
      </x:c>
      <x:c r="H1928" s="115" t="str">
        <x:v>L 204 ; l 225,4 ; hauteur 3 m ; choix de composition auteur ; dimensions réelles à documenter</x:v>
      </x:c>
      <x:c r="I1928" s="115" t="str">
        <x:v>À équilibrer</x:v>
      </x:c>
      <x:c r="J1928" s="115" t="str">
        <x:v>Non</x:v>
      </x:c>
      <x:c r="K1928" s="115" t="str">
        <x:v>Pièces décrites, murs, portes, niveaux et mobilier inspectables à l’échelle. Volumes réservés, raccord au seed, butin, rencontres et services de campagne restent à terminer.</x:v>
      </x:c>
    </x:row>
    <x:row r="1929" ht="96" customHeight="1">
      <x:c r="A1929" s="115" t="str">
        <x:v>EXT-MONDE-T039-V24</x:v>
      </x:c>
      <x:c r="B1929" s="115" t="str">
        <x:v>EXT-MONDE-T039</x:v>
      </x:c>
      <x:c r="C1929" s="115" t="str">
        <x:v>Égouts</x:v>
      </x:c>
      <x:c r="D1929" s="115" t="str">
        <x:v>Galerie pluviale</x:v>
      </x:c>
      <x:c r="E1929" s="115" t="n">
        <x:v>24</x:v>
      </x:c>
      <x:c r="F1929" s="115" t="str">
        <x:v>Inspection physique</x:v>
      </x:c>
      <x:c r="G1929" s="115" t="str">
        <x:v>2 niveaux ; 12 pièces ; 114 segments de mur ; 2 transitions. Inspection physique ; architecture complète encore ouverte.</x:v>
      </x:c>
      <x:c r="H1929" s="115" t="str">
        <x:v>L 206 ; l 226,1 ; hauteur 3 m ; choix de composition auteur ; dimensions réelles à documenter</x:v>
      </x:c>
      <x:c r="I1929" s="115" t="str">
        <x:v>À équilibrer</x:v>
      </x:c>
      <x:c r="J1929" s="115" t="str">
        <x:v>Non</x:v>
      </x:c>
      <x:c r="K1929" s="115" t="str">
        <x:v>Pièces décrites, murs, portes, niveaux et mobilier inspectables à l’échelle. Volumes réservés, raccord au seed, butin, rencontres et services de campagne restent à terminer.</x:v>
      </x:c>
    </x:row>
    <x:row r="1930" ht="96" customHeight="1">
      <x:c r="A1930" s="115" t="str">
        <x:v>EXT-MONDE-T039-V25</x:v>
      </x:c>
      <x:c r="B1930" s="115" t="str">
        <x:v>EXT-MONDE-T039</x:v>
      </x:c>
      <x:c r="C1930" s="115" t="str">
        <x:v>Égouts</x:v>
      </x:c>
      <x:c r="D1930" s="115" t="str">
        <x:v>Galerie pluviale</x:v>
      </x:c>
      <x:c r="E1930" s="115" t="n">
        <x:v>25</x:v>
      </x:c>
      <x:c r="F1930" s="115" t="str">
        <x:v>Inspection physique</x:v>
      </x:c>
      <x:c r="G1930" s="115" t="str">
        <x:v>2 niveaux ; 12 pièces ; 114 segments de mur ; 2 transitions. Inspection physique ; architecture complète encore ouverte.</x:v>
      </x:c>
      <x:c r="H1930" s="115" t="str">
        <x:v>L 208 ; l 226,8 ; hauteur 3 m ; choix de composition auteur ; dimensions réelles à documenter</x:v>
      </x:c>
      <x:c r="I1930" s="115" t="str">
        <x:v>À équilibrer</x:v>
      </x:c>
      <x:c r="J1930" s="115" t="str">
        <x:v>Non</x:v>
      </x:c>
      <x:c r="K1930" s="115" t="str">
        <x:v>Pièces décrites, murs, portes, niveaux et mobilier inspectables à l’échelle. Volumes réservés, raccord au seed, butin, rencontres et services de campagne restent à terminer.</x:v>
      </x:c>
    </x:row>
    <x:row r="1931" ht="96" customHeight="1">
      <x:c r="A1931" s="115" t="str">
        <x:v>EXT-MONDE-T039-V26</x:v>
      </x:c>
      <x:c r="B1931" s="115" t="str">
        <x:v>EXT-MONDE-T039</x:v>
      </x:c>
      <x:c r="C1931" s="115" t="str">
        <x:v>Égouts</x:v>
      </x:c>
      <x:c r="D1931" s="115" t="str">
        <x:v>Galerie pluviale</x:v>
      </x:c>
      <x:c r="E1931" s="115" t="n">
        <x:v>26</x:v>
      </x:c>
      <x:c r="F1931" s="115" t="str">
        <x:v>Inspection physique</x:v>
      </x:c>
      <x:c r="G1931" s="115" t="str">
        <x:v>2 niveaux ; 12 pièces ; 114 segments de mur ; 2 transitions. Inspection physique ; architecture complète encore ouverte.</x:v>
      </x:c>
      <x:c r="H1931" s="115" t="str">
        <x:v>L 210 ; l 227,5 ; hauteur 3 m ; choix de composition auteur ; dimensions réelles à documenter</x:v>
      </x:c>
      <x:c r="I1931" s="115" t="str">
        <x:v>À équilibrer</x:v>
      </x:c>
      <x:c r="J1931" s="115" t="str">
        <x:v>Non</x:v>
      </x:c>
      <x:c r="K1931" s="115" t="str">
        <x:v>Pièces décrites, murs, portes, niveaux et mobilier inspectables à l’échelle. Volumes réservés, raccord au seed, butin, rencontres et services de campagne restent à terminer.</x:v>
      </x:c>
    </x:row>
    <x:row r="1932" ht="96" customHeight="1">
      <x:c r="A1932" s="115" t="str">
        <x:v>EXT-MONDE-T039-V27</x:v>
      </x:c>
      <x:c r="B1932" s="115" t="str">
        <x:v>EXT-MONDE-T039</x:v>
      </x:c>
      <x:c r="C1932" s="115" t="str">
        <x:v>Égouts</x:v>
      </x:c>
      <x:c r="D1932" s="115" t="str">
        <x:v>Galerie pluviale</x:v>
      </x:c>
      <x:c r="E1932" s="115" t="n">
        <x:v>27</x:v>
      </x:c>
      <x:c r="F1932" s="115" t="str">
        <x:v>Inspection physique</x:v>
      </x:c>
      <x:c r="G1932" s="115" t="str">
        <x:v>2 niveaux ; 12 pièces ; 114 segments de mur ; 2 transitions. Inspection physique ; architecture complète encore ouverte.</x:v>
      </x:c>
      <x:c r="H1932" s="115" t="str">
        <x:v>L 212 ; l 228,2 ; hauteur 3 m ; choix de composition auteur ; dimensions réelles à documenter</x:v>
      </x:c>
      <x:c r="I1932" s="115" t="str">
        <x:v>À équilibrer</x:v>
      </x:c>
      <x:c r="J1932" s="115" t="str">
        <x:v>Non</x:v>
      </x:c>
      <x:c r="K1932" s="115" t="str">
        <x:v>Pièces décrites, murs, portes, niveaux et mobilier inspectables à l’échelle. Volumes réservés, raccord au seed, butin, rencontres et services de campagne restent à terminer.</x:v>
      </x:c>
    </x:row>
    <x:row r="1933" ht="96" customHeight="1">
      <x:c r="A1933" s="115" t="str">
        <x:v>EXT-MONDE-T039-V28</x:v>
      </x:c>
      <x:c r="B1933" s="115" t="str">
        <x:v>EXT-MONDE-T039</x:v>
      </x:c>
      <x:c r="C1933" s="115" t="str">
        <x:v>Égouts</x:v>
      </x:c>
      <x:c r="D1933" s="115" t="str">
        <x:v>Galerie pluviale</x:v>
      </x:c>
      <x:c r="E1933" s="115" t="n">
        <x:v>28</x:v>
      </x:c>
      <x:c r="F1933" s="115" t="str">
        <x:v>Inspection physique</x:v>
      </x:c>
      <x:c r="G1933" s="115" t="str">
        <x:v>2 niveaux ; 12 pièces ; 114 segments de mur ; 2 transitions. Inspection physique ; architecture complète encore ouverte.</x:v>
      </x:c>
      <x:c r="H1933" s="115" t="str">
        <x:v>L 214 ; l 228,9 ; hauteur 3 m ; choix de composition auteur ; dimensions réelles à documenter</x:v>
      </x:c>
      <x:c r="I1933" s="115" t="str">
        <x:v>À équilibrer</x:v>
      </x:c>
      <x:c r="J1933" s="115" t="str">
        <x:v>Non</x:v>
      </x:c>
      <x:c r="K1933" s="115" t="str">
        <x:v>Pièces décrites, murs, portes, niveaux et mobilier inspectables à l’échelle. Volumes réservés, raccord au seed, butin, rencontres et services de campagne restent à terminer.</x:v>
      </x:c>
    </x:row>
    <x:row r="1934" ht="96" customHeight="1">
      <x:c r="A1934" s="115" t="str">
        <x:v>EXT-MONDE-T039-V29</x:v>
      </x:c>
      <x:c r="B1934" s="115" t="str">
        <x:v>EXT-MONDE-T039</x:v>
      </x:c>
      <x:c r="C1934" s="115" t="str">
        <x:v>Égouts</x:v>
      </x:c>
      <x:c r="D1934" s="115" t="str">
        <x:v>Galerie pluviale</x:v>
      </x:c>
      <x:c r="E1934" s="115" t="n">
        <x:v>29</x:v>
      </x:c>
      <x:c r="F1934" s="115" t="str">
        <x:v>Inspection physique</x:v>
      </x:c>
      <x:c r="G1934" s="115" t="str">
        <x:v>2 niveaux ; 12 pièces ; 114 segments de mur ; 2 transitions. Inspection physique ; architecture complète encore ouverte.</x:v>
      </x:c>
      <x:c r="H1934" s="115" t="str">
        <x:v>L 216 ; l 229,6 ; hauteur 3 m ; choix de composition auteur ; dimensions réelles à documenter</x:v>
      </x:c>
      <x:c r="I1934" s="115" t="str">
        <x:v>À équilibrer</x:v>
      </x:c>
      <x:c r="J1934" s="115" t="str">
        <x:v>Non</x:v>
      </x:c>
      <x:c r="K1934" s="115" t="str">
        <x:v>Pièces décrites, murs, portes, niveaux et mobilier inspectables à l’échelle. Volumes réservés, raccord au seed, butin, rencontres et services de campagne restent à terminer.</x:v>
      </x:c>
    </x:row>
    <x:row r="1935" ht="96" customHeight="1">
      <x:c r="A1935" s="115" t="str">
        <x:v>EXT-MONDE-T039-V30</x:v>
      </x:c>
      <x:c r="B1935" s="115" t="str">
        <x:v>EXT-MONDE-T039</x:v>
      </x:c>
      <x:c r="C1935" s="115" t="str">
        <x:v>Égouts</x:v>
      </x:c>
      <x:c r="D1935" s="115" t="str">
        <x:v>Galerie pluviale</x:v>
      </x:c>
      <x:c r="E1935" s="115" t="n">
        <x:v>30</x:v>
      </x:c>
      <x:c r="F1935" s="115" t="str">
        <x:v>Inspection physique</x:v>
      </x:c>
      <x:c r="G1935" s="115" t="str">
        <x:v>2 niveaux ; 12 pièces ; 114 segments de mur ; 2 transitions. Inspection physique ; architecture complète encore ouverte.</x:v>
      </x:c>
      <x:c r="H1935" s="115" t="str">
        <x:v>L 218 ; l 230,3 ; hauteur 3 m ; choix de composition auteur ; dimensions réelles à documenter</x:v>
      </x:c>
      <x:c r="I1935" s="115" t="str">
        <x:v>À équilibrer</x:v>
      </x:c>
      <x:c r="J1935" s="115" t="str">
        <x:v>Non</x:v>
      </x:c>
      <x:c r="K1935" s="115" t="str">
        <x:v>Pièces décrites, murs, portes, niveaux et mobilier inspectables à l’échelle. Volumes réservés, raccord au seed, butin, rencontres et services de campagne restent à terminer.</x:v>
      </x:c>
    </x:row>
    <x:row r="1936" ht="96" customHeight="1">
      <x:c r="A1936" s="115" t="str">
        <x:v>EXT-MONDE-T039-V31</x:v>
      </x:c>
      <x:c r="B1936" s="115" t="str">
        <x:v>EXT-MONDE-T039</x:v>
      </x:c>
      <x:c r="C1936" s="115" t="str">
        <x:v>Égouts</x:v>
      </x:c>
      <x:c r="D1936" s="115" t="str">
        <x:v>Galerie pluviale</x:v>
      </x:c>
      <x:c r="E1936" s="115" t="n">
        <x:v>31</x:v>
      </x:c>
      <x:c r="F1936" s="115" t="str">
        <x:v>Inspection physique</x:v>
      </x:c>
      <x:c r="G1936" s="115" t="str">
        <x:v>2 niveaux ; 12 pièces ; 114 segments de mur ; 2 transitions. Inspection physique ; architecture complète encore ouverte.</x:v>
      </x:c>
      <x:c r="H1936" s="115" t="str">
        <x:v>L 210 ; l 236 ; hauteur 3 m ; choix de composition auteur ; dimensions réelles à documenter</x:v>
      </x:c>
      <x:c r="I1936" s="115" t="str">
        <x:v>À équilibrer</x:v>
      </x:c>
      <x:c r="J1936" s="115" t="str">
        <x:v>Non</x:v>
      </x:c>
      <x:c r="K1936" s="115" t="str">
        <x:v>Pièces décrites, murs, portes, niveaux et mobilier inspectables à l’échelle. Volumes réservés, raccord au seed, butin, rencontres et services de campagne restent à terminer.</x:v>
      </x:c>
    </x:row>
    <x:row r="1937" ht="96" customHeight="1">
      <x:c r="A1937" s="115" t="str">
        <x:v>EXT-MONDE-T039-V32</x:v>
      </x:c>
      <x:c r="B1937" s="115" t="str">
        <x:v>EXT-MONDE-T039</x:v>
      </x:c>
      <x:c r="C1937" s="115" t="str">
        <x:v>Égouts</x:v>
      </x:c>
      <x:c r="D1937" s="115" t="str">
        <x:v>Galerie pluviale</x:v>
      </x:c>
      <x:c r="E1937" s="115" t="n">
        <x:v>32</x:v>
      </x:c>
      <x:c r="F1937" s="115" t="str">
        <x:v>Inspection physique</x:v>
      </x:c>
      <x:c r="G1937" s="115" t="str">
        <x:v>2 niveaux ; 12 pièces ; 114 segments de mur ; 2 transitions. Inspection physique ; architecture complète encore ouverte.</x:v>
      </x:c>
      <x:c r="H1937" s="115" t="str">
        <x:v>L 212 ; l 236,7 ; hauteur 3 m ; choix de composition auteur ; dimensions réelles à documenter</x:v>
      </x:c>
      <x:c r="I1937" s="115" t="str">
        <x:v>À équilibrer</x:v>
      </x:c>
      <x:c r="J1937" s="115" t="str">
        <x:v>Non</x:v>
      </x:c>
      <x:c r="K1937" s="115" t="str">
        <x:v>Pièces décrites, murs, portes, niveaux et mobilier inspectables à l’échelle. Volumes réservés, raccord au seed, butin, rencontres et services de campagne restent à terminer.</x:v>
      </x:c>
    </x:row>
    <x:row r="1938" ht="96" customHeight="1">
      <x:c r="A1938" s="115" t="str">
        <x:v>EXT-MONDE-T039-V33</x:v>
      </x:c>
      <x:c r="B1938" s="115" t="str">
        <x:v>EXT-MONDE-T039</x:v>
      </x:c>
      <x:c r="C1938" s="115" t="str">
        <x:v>Égouts</x:v>
      </x:c>
      <x:c r="D1938" s="115" t="str">
        <x:v>Galerie pluviale</x:v>
      </x:c>
      <x:c r="E1938" s="115" t="n">
        <x:v>33</x:v>
      </x:c>
      <x:c r="F1938" s="115" t="str">
        <x:v>Inspection physique</x:v>
      </x:c>
      <x:c r="G1938" s="115" t="str">
        <x:v>2 niveaux ; 12 pièces ; 114 segments de mur ; 2 transitions. Inspection physique ; architecture complète encore ouverte.</x:v>
      </x:c>
      <x:c r="H1938" s="115" t="str">
        <x:v>L 214 ; l 237,4 ; hauteur 3 m ; choix de composition auteur ; dimensions réelles à documenter</x:v>
      </x:c>
      <x:c r="I1938" s="115" t="str">
        <x:v>À équilibrer</x:v>
      </x:c>
      <x:c r="J1938" s="115" t="str">
        <x:v>Non</x:v>
      </x:c>
      <x:c r="K1938" s="115" t="str">
        <x:v>Pièces décrites, murs, portes, niveaux et mobilier inspectables à l’échelle. Volumes réservés, raccord au seed, butin, rencontres et services de campagne restent à terminer.</x:v>
      </x:c>
    </x:row>
    <x:row r="1939" ht="96" customHeight="1">
      <x:c r="A1939" s="115" t="str">
        <x:v>EXT-MONDE-T039-V34</x:v>
      </x:c>
      <x:c r="B1939" s="115" t="str">
        <x:v>EXT-MONDE-T039</x:v>
      </x:c>
      <x:c r="C1939" s="115" t="str">
        <x:v>Égouts</x:v>
      </x:c>
      <x:c r="D1939" s="115" t="str">
        <x:v>Galerie pluviale</x:v>
      </x:c>
      <x:c r="E1939" s="115" t="n">
        <x:v>34</x:v>
      </x:c>
      <x:c r="F1939" s="115" t="str">
        <x:v>Inspection physique</x:v>
      </x:c>
      <x:c r="G1939" s="115" t="str">
        <x:v>2 niveaux ; 12 pièces ; 114 segments de mur ; 2 transitions. Inspection physique ; architecture complète encore ouverte.</x:v>
      </x:c>
      <x:c r="H1939" s="115" t="str">
        <x:v>L 216 ; l 238,1 ; hauteur 3 m ; choix de composition auteur ; dimensions réelles à documenter</x:v>
      </x:c>
      <x:c r="I1939" s="115" t="str">
        <x:v>À équilibrer</x:v>
      </x:c>
      <x:c r="J1939" s="115" t="str">
        <x:v>Non</x:v>
      </x:c>
      <x:c r="K1939" s="115" t="str">
        <x:v>Pièces décrites, murs, portes, niveaux et mobilier inspectables à l’échelle. Volumes réservés, raccord au seed, butin, rencontres et services de campagne restent à terminer.</x:v>
      </x:c>
    </x:row>
    <x:row r="1940" ht="96" customHeight="1">
      <x:c r="A1940" s="115" t="str">
        <x:v>EXT-MONDE-T039-V35</x:v>
      </x:c>
      <x:c r="B1940" s="115" t="str">
        <x:v>EXT-MONDE-T039</x:v>
      </x:c>
      <x:c r="C1940" s="115" t="str">
        <x:v>Égouts</x:v>
      </x:c>
      <x:c r="D1940" s="115" t="str">
        <x:v>Galerie pluviale</x:v>
      </x:c>
      <x:c r="E1940" s="115" t="n">
        <x:v>35</x:v>
      </x:c>
      <x:c r="F1940" s="115" t="str">
        <x:v>Inspection physique</x:v>
      </x:c>
      <x:c r="G1940" s="115" t="str">
        <x:v>2 niveaux ; 12 pièces ; 114 segments de mur ; 2 transitions. Inspection physique ; architecture complète encore ouverte.</x:v>
      </x:c>
      <x:c r="H1940" s="115" t="str">
        <x:v>L 218 ; l 238,8 ; hauteur 3 m ; choix de composition auteur ; dimensions réelles à documenter</x:v>
      </x:c>
      <x:c r="I1940" s="115" t="str">
        <x:v>À équilibrer</x:v>
      </x:c>
      <x:c r="J1940" s="115" t="str">
        <x:v>Non</x:v>
      </x:c>
      <x:c r="K1940" s="115" t="str">
        <x:v>Pièces décrites, murs, portes, niveaux et mobilier inspectables à l’échelle. Volumes réservés, raccord au seed, butin, rencontres et services de campagne restent à terminer.</x:v>
      </x:c>
    </x:row>
    <x:row r="1941" ht="96" customHeight="1">
      <x:c r="A1941" s="115" t="str">
        <x:v>EXT-MONDE-T039-V36</x:v>
      </x:c>
      <x:c r="B1941" s="115" t="str">
        <x:v>EXT-MONDE-T039</x:v>
      </x:c>
      <x:c r="C1941" s="115" t="str">
        <x:v>Égouts</x:v>
      </x:c>
      <x:c r="D1941" s="115" t="str">
        <x:v>Galerie pluviale</x:v>
      </x:c>
      <x:c r="E1941" s="115" t="n">
        <x:v>36</x:v>
      </x:c>
      <x:c r="F1941" s="115" t="str">
        <x:v>Inspection physique</x:v>
      </x:c>
      <x:c r="G1941" s="115" t="str">
        <x:v>2 niveaux ; 12 pièces ; 114 segments de mur ; 2 transitions. Inspection physique ; architecture complète encore ouverte.</x:v>
      </x:c>
      <x:c r="H1941" s="115" t="str">
        <x:v>L 220 ; l 239,5 ; hauteur 3 m ; choix de composition auteur ; dimensions réelles à documenter</x:v>
      </x:c>
      <x:c r="I1941" s="115" t="str">
        <x:v>À équilibrer</x:v>
      </x:c>
      <x:c r="J1941" s="115" t="str">
        <x:v>Non</x:v>
      </x:c>
      <x:c r="K1941" s="115" t="str">
        <x:v>Pièces décrites, murs, portes, niveaux et mobilier inspectables à l’échelle. Volumes réservés, raccord au seed, butin, rencontres et services de campagne restent à terminer.</x:v>
      </x:c>
    </x:row>
    <x:row r="1942" ht="96" customHeight="1">
      <x:c r="A1942" s="115" t="str">
        <x:v>EXT-MONDE-T039-V37</x:v>
      </x:c>
      <x:c r="B1942" s="115" t="str">
        <x:v>EXT-MONDE-T039</x:v>
      </x:c>
      <x:c r="C1942" s="115" t="str">
        <x:v>Égouts</x:v>
      </x:c>
      <x:c r="D1942" s="115" t="str">
        <x:v>Galerie pluviale</x:v>
      </x:c>
      <x:c r="E1942" s="115" t="n">
        <x:v>37</x:v>
      </x:c>
      <x:c r="F1942" s="115" t="str">
        <x:v>Inspection physique</x:v>
      </x:c>
      <x:c r="G1942" s="115" t="str">
        <x:v>2 niveaux ; 12 pièces ; 114 segments de mur ; 2 transitions. Inspection physique ; architecture complète encore ouverte.</x:v>
      </x:c>
      <x:c r="H1942" s="115" t="str">
        <x:v>L 222 ; l 240,2 ; hauteur 3 m ; choix de composition auteur ; dimensions réelles à documenter</x:v>
      </x:c>
      <x:c r="I1942" s="115" t="str">
        <x:v>À équilibrer</x:v>
      </x:c>
      <x:c r="J1942" s="115" t="str">
        <x:v>Non</x:v>
      </x:c>
      <x:c r="K1942" s="115" t="str">
        <x:v>Pièces décrites, murs, portes, niveaux et mobilier inspectables à l’échelle. Volumes réservés, raccord au seed, butin, rencontres et services de campagne restent à terminer.</x:v>
      </x:c>
    </x:row>
    <x:row r="1943" ht="96" customHeight="1">
      <x:c r="A1943" s="115" t="str">
        <x:v>EXT-MONDE-T039-V38</x:v>
      </x:c>
      <x:c r="B1943" s="115" t="str">
        <x:v>EXT-MONDE-T039</x:v>
      </x:c>
      <x:c r="C1943" s="115" t="str">
        <x:v>Égouts</x:v>
      </x:c>
      <x:c r="D1943" s="115" t="str">
        <x:v>Galerie pluviale</x:v>
      </x:c>
      <x:c r="E1943" s="115" t="n">
        <x:v>38</x:v>
      </x:c>
      <x:c r="F1943" s="115" t="str">
        <x:v>Inspection physique</x:v>
      </x:c>
      <x:c r="G1943" s="115" t="str">
        <x:v>2 niveaux ; 12 pièces ; 114 segments de mur ; 2 transitions. Inspection physique ; architecture complète encore ouverte.</x:v>
      </x:c>
      <x:c r="H1943" s="115" t="str">
        <x:v>L 224 ; l 240,9 ; hauteur 3 m ; choix de composition auteur ; dimensions réelles à documenter</x:v>
      </x:c>
      <x:c r="I1943" s="115" t="str">
        <x:v>À équilibrer</x:v>
      </x:c>
      <x:c r="J1943" s="115" t="str">
        <x:v>Non</x:v>
      </x:c>
      <x:c r="K1943" s="115" t="str">
        <x:v>Pièces décrites, murs, portes, niveaux et mobilier inspectables à l’échelle. Volumes réservés, raccord au seed, butin, rencontres et services de campagne restent à terminer.</x:v>
      </x:c>
    </x:row>
    <x:row r="1944" ht="96" customHeight="1">
      <x:c r="A1944" s="115" t="str">
        <x:v>EXT-MONDE-T039-V39</x:v>
      </x:c>
      <x:c r="B1944" s="115" t="str">
        <x:v>EXT-MONDE-T039</x:v>
      </x:c>
      <x:c r="C1944" s="115" t="str">
        <x:v>Égouts</x:v>
      </x:c>
      <x:c r="D1944" s="115" t="str">
        <x:v>Galerie pluviale</x:v>
      </x:c>
      <x:c r="E1944" s="115" t="n">
        <x:v>39</x:v>
      </x:c>
      <x:c r="F1944" s="115" t="str">
        <x:v>Inspection physique</x:v>
      </x:c>
      <x:c r="G1944" s="115" t="str">
        <x:v>2 niveaux ; 12 pièces ; 114 segments de mur ; 2 transitions. Inspection physique ; architecture complète encore ouverte.</x:v>
      </x:c>
      <x:c r="H1944" s="115" t="str">
        <x:v>L 226 ; l 241,6 ; hauteur 3 m ; choix de composition auteur ; dimensions réelles à documenter</x:v>
      </x:c>
      <x:c r="I1944" s="115" t="str">
        <x:v>À équilibrer</x:v>
      </x:c>
      <x:c r="J1944" s="115" t="str">
        <x:v>Non</x:v>
      </x:c>
      <x:c r="K1944" s="115" t="str">
        <x:v>Pièces décrites, murs, portes, niveaux et mobilier inspectables à l’échelle. Volumes réservés, raccord au seed, butin, rencontres et services de campagne restent à terminer.</x:v>
      </x:c>
    </x:row>
    <x:row r="1945" ht="96" customHeight="1">
      <x:c r="A1945" s="115" t="str">
        <x:v>EXT-MONDE-T039-V40</x:v>
      </x:c>
      <x:c r="B1945" s="115" t="str">
        <x:v>EXT-MONDE-T039</x:v>
      </x:c>
      <x:c r="C1945" s="115" t="str">
        <x:v>Égouts</x:v>
      </x:c>
      <x:c r="D1945" s="115" t="str">
        <x:v>Galerie pluviale</x:v>
      </x:c>
      <x:c r="E1945" s="115" t="n">
        <x:v>40</x:v>
      </x:c>
      <x:c r="F1945" s="115" t="str">
        <x:v>Inspection physique</x:v>
      </x:c>
      <x:c r="G1945" s="115" t="str">
        <x:v>2 niveaux ; 12 pièces ; 114 segments de mur ; 2 transitions. Inspection physique ; architecture complète encore ouverte.</x:v>
      </x:c>
      <x:c r="H1945" s="115" t="str">
        <x:v>L 228 ; l 242,3 ; hauteur 3 m ; choix de composition auteur ; dimensions réelles à documenter</x:v>
      </x:c>
      <x:c r="I1945" s="115" t="str">
        <x:v>À équilibrer</x:v>
      </x:c>
      <x:c r="J1945" s="115" t="str">
        <x:v>Non</x:v>
      </x:c>
      <x:c r="K1945" s="115" t="str">
        <x:v>Pièces décrites, murs, portes, niveaux et mobilier inspectables à l’échelle. Volumes réservés, raccord au seed, butin, rencontres et services de campagne restent à terminer.</x:v>
      </x:c>
    </x:row>
    <x:row r="1946" ht="96" customHeight="1">
      <x:c r="A1946" s="115" t="str">
        <x:v>EXT-MONDE-T039-V41</x:v>
      </x:c>
      <x:c r="B1946" s="115" t="str">
        <x:v>EXT-MONDE-T039</x:v>
      </x:c>
      <x:c r="C1946" s="115" t="str">
        <x:v>Égouts</x:v>
      </x:c>
      <x:c r="D1946" s="115" t="str">
        <x:v>Galerie pluviale</x:v>
      </x:c>
      <x:c r="E1946" s="115" t="n">
        <x:v>41</x:v>
      </x:c>
      <x:c r="F1946" s="115" t="str">
        <x:v>Inspection physique</x:v>
      </x:c>
      <x:c r="G1946" s="115" t="str">
        <x:v>2 niveaux ; 12 pièces ; 114 segments de mur ; 2 transitions. Inspection physique ; architecture complète encore ouverte.</x:v>
      </x:c>
      <x:c r="H1946" s="115" t="str">
        <x:v>L 220 ; l 248 ; hauteur 3 m ; choix de composition auteur ; dimensions réelles à documenter</x:v>
      </x:c>
      <x:c r="I1946" s="115" t="str">
        <x:v>À équilibrer</x:v>
      </x:c>
      <x:c r="J1946" s="115" t="str">
        <x:v>Non</x:v>
      </x:c>
      <x:c r="K1946" s="115" t="str">
        <x:v>Pièces décrites, murs, portes, niveaux et mobilier inspectables à l’échelle. Volumes réservés, raccord au seed, butin, rencontres et services de campagne restent à terminer.</x:v>
      </x:c>
    </x:row>
    <x:row r="1947" ht="96" customHeight="1">
      <x:c r="A1947" s="115" t="str">
        <x:v>EXT-MONDE-T039-V42</x:v>
      </x:c>
      <x:c r="B1947" s="115" t="str">
        <x:v>EXT-MONDE-T039</x:v>
      </x:c>
      <x:c r="C1947" s="115" t="str">
        <x:v>Égouts</x:v>
      </x:c>
      <x:c r="D1947" s="115" t="str">
        <x:v>Galerie pluviale</x:v>
      </x:c>
      <x:c r="E1947" s="115" t="n">
        <x:v>42</x:v>
      </x:c>
      <x:c r="F1947" s="115" t="str">
        <x:v>Inspection physique</x:v>
      </x:c>
      <x:c r="G1947" s="115" t="str">
        <x:v>2 niveaux ; 12 pièces ; 114 segments de mur ; 2 transitions. Inspection physique ; architecture complète encore ouverte.</x:v>
      </x:c>
      <x:c r="H1947" s="115" t="str">
        <x:v>L 222 ; l 248,7 ; hauteur 3 m ; choix de composition auteur ; dimensions réelles à documenter</x:v>
      </x:c>
      <x:c r="I1947" s="115" t="str">
        <x:v>À équilibrer</x:v>
      </x:c>
      <x:c r="J1947" s="115" t="str">
        <x:v>Non</x:v>
      </x:c>
      <x:c r="K1947" s="115" t="str">
        <x:v>Pièces décrites, murs, portes, niveaux et mobilier inspectables à l’échelle. Volumes réservés, raccord au seed, butin, rencontres et services de campagne restent à terminer.</x:v>
      </x:c>
    </x:row>
    <x:row r="1948" ht="96" customHeight="1">
      <x:c r="A1948" s="115" t="str">
        <x:v>EXT-MONDE-T039-V43</x:v>
      </x:c>
      <x:c r="B1948" s="115" t="str">
        <x:v>EXT-MONDE-T039</x:v>
      </x:c>
      <x:c r="C1948" s="115" t="str">
        <x:v>Égouts</x:v>
      </x:c>
      <x:c r="D1948" s="115" t="str">
        <x:v>Galerie pluviale</x:v>
      </x:c>
      <x:c r="E1948" s="115" t="n">
        <x:v>43</x:v>
      </x:c>
      <x:c r="F1948" s="115" t="str">
        <x:v>Inspection physique</x:v>
      </x:c>
      <x:c r="G1948" s="115" t="str">
        <x:v>2 niveaux ; 12 pièces ; 114 segments de mur ; 2 transitions. Inspection physique ; architecture complète encore ouverte.</x:v>
      </x:c>
      <x:c r="H1948" s="115" t="str">
        <x:v>L 224 ; l 249,4 ; hauteur 3 m ; choix de composition auteur ; dimensions réelles à documenter</x:v>
      </x:c>
      <x:c r="I1948" s="115" t="str">
        <x:v>À équilibrer</x:v>
      </x:c>
      <x:c r="J1948" s="115" t="str">
        <x:v>Non</x:v>
      </x:c>
      <x:c r="K1948" s="115" t="str">
        <x:v>Pièces décrites, murs, portes, niveaux et mobilier inspectables à l’échelle. Volumes réservés, raccord au seed, butin, rencontres et services de campagne restent à terminer.</x:v>
      </x:c>
    </x:row>
    <x:row r="1949" ht="96" customHeight="1">
      <x:c r="A1949" s="115" t="str">
        <x:v>EXT-MONDE-T039-V44</x:v>
      </x:c>
      <x:c r="B1949" s="115" t="str">
        <x:v>EXT-MONDE-T039</x:v>
      </x:c>
      <x:c r="C1949" s="115" t="str">
        <x:v>Égouts</x:v>
      </x:c>
      <x:c r="D1949" s="115" t="str">
        <x:v>Galerie pluviale</x:v>
      </x:c>
      <x:c r="E1949" s="115" t="n">
        <x:v>44</x:v>
      </x:c>
      <x:c r="F1949" s="115" t="str">
        <x:v>Inspection physique</x:v>
      </x:c>
      <x:c r="G1949" s="115" t="str">
        <x:v>2 niveaux ; 12 pièces ; 114 segments de mur ; 2 transitions. Inspection physique ; architecture complète encore ouverte.</x:v>
      </x:c>
      <x:c r="H1949" s="115" t="str">
        <x:v>L 226 ; l 250,1 ; hauteur 3 m ; choix de composition auteur ; dimensions réelles à documenter</x:v>
      </x:c>
      <x:c r="I1949" s="115" t="str">
        <x:v>À équilibrer</x:v>
      </x:c>
      <x:c r="J1949" s="115" t="str">
        <x:v>Non</x:v>
      </x:c>
      <x:c r="K1949" s="115" t="str">
        <x:v>Pièces décrites, murs, portes, niveaux et mobilier inspectables à l’échelle. Volumes réservés, raccord au seed, butin, rencontres et services de campagne restent à terminer.</x:v>
      </x:c>
    </x:row>
    <x:row r="1950" ht="96" customHeight="1">
      <x:c r="A1950" s="115" t="str">
        <x:v>EXT-MONDE-T039-V45</x:v>
      </x:c>
      <x:c r="B1950" s="115" t="str">
        <x:v>EXT-MONDE-T039</x:v>
      </x:c>
      <x:c r="C1950" s="115" t="str">
        <x:v>Égouts</x:v>
      </x:c>
      <x:c r="D1950" s="115" t="str">
        <x:v>Galerie pluviale</x:v>
      </x:c>
      <x:c r="E1950" s="115" t="n">
        <x:v>45</x:v>
      </x:c>
      <x:c r="F1950" s="115" t="str">
        <x:v>Inspection physique</x:v>
      </x:c>
      <x:c r="G1950" s="115" t="str">
        <x:v>2 niveaux ; 12 pièces ; 114 segments de mur ; 2 transitions. Inspection physique ; architecture complète encore ouverte.</x:v>
      </x:c>
      <x:c r="H1950" s="115" t="str">
        <x:v>L 228 ; l 250,8 ; hauteur 3 m ; choix de composition auteur ; dimensions réelles à documenter</x:v>
      </x:c>
      <x:c r="I1950" s="115" t="str">
        <x:v>À équilibrer</x:v>
      </x:c>
      <x:c r="J1950" s="115" t="str">
        <x:v>Non</x:v>
      </x:c>
      <x:c r="K1950" s="115" t="str">
        <x:v>Pièces décrites, murs, portes, niveaux et mobilier inspectables à l’échelle. Volumes réservés, raccord au seed, butin, rencontres et services de campagne restent à terminer.</x:v>
      </x:c>
    </x:row>
    <x:row r="1951" ht="96" customHeight="1">
      <x:c r="A1951" s="115" t="str">
        <x:v>EXT-MONDE-T039-V46</x:v>
      </x:c>
      <x:c r="B1951" s="115" t="str">
        <x:v>EXT-MONDE-T039</x:v>
      </x:c>
      <x:c r="C1951" s="115" t="str">
        <x:v>Égouts</x:v>
      </x:c>
      <x:c r="D1951" s="115" t="str">
        <x:v>Galerie pluviale</x:v>
      </x:c>
      <x:c r="E1951" s="115" t="n">
        <x:v>46</x:v>
      </x:c>
      <x:c r="F1951" s="115" t="str">
        <x:v>Inspection physique</x:v>
      </x:c>
      <x:c r="G1951" s="115" t="str">
        <x:v>2 niveaux ; 12 pièces ; 114 segments de mur ; 2 transitions. Inspection physique ; architecture complète encore ouverte.</x:v>
      </x:c>
      <x:c r="H1951" s="115" t="str">
        <x:v>L 230 ; l 251,5 ; hauteur 3 m ; choix de composition auteur ; dimensions réelles à documenter</x:v>
      </x:c>
      <x:c r="I1951" s="115" t="str">
        <x:v>À équilibrer</x:v>
      </x:c>
      <x:c r="J1951" s="115" t="str">
        <x:v>Non</x:v>
      </x:c>
      <x:c r="K1951" s="115" t="str">
        <x:v>Pièces décrites, murs, portes, niveaux et mobilier inspectables à l’échelle. Volumes réservés, raccord au seed, butin, rencontres et services de campagne restent à terminer.</x:v>
      </x:c>
    </x:row>
    <x:row r="1952" ht="96" customHeight="1">
      <x:c r="A1952" s="115" t="str">
        <x:v>EXT-MONDE-T039-V47</x:v>
      </x:c>
      <x:c r="B1952" s="115" t="str">
        <x:v>EXT-MONDE-T039</x:v>
      </x:c>
      <x:c r="C1952" s="115" t="str">
        <x:v>Égouts</x:v>
      </x:c>
      <x:c r="D1952" s="115" t="str">
        <x:v>Galerie pluviale</x:v>
      </x:c>
      <x:c r="E1952" s="115" t="n">
        <x:v>47</x:v>
      </x:c>
      <x:c r="F1952" s="115" t="str">
        <x:v>Inspection physique</x:v>
      </x:c>
      <x:c r="G1952" s="115" t="str">
        <x:v>2 niveaux ; 12 pièces ; 114 segments de mur ; 2 transitions. Inspection physique ; architecture complète encore ouverte.</x:v>
      </x:c>
      <x:c r="H1952" s="115" t="str">
        <x:v>L 232 ; l 252,2 ; hauteur 3 m ; choix de composition auteur ; dimensions réelles à documenter</x:v>
      </x:c>
      <x:c r="I1952" s="115" t="str">
        <x:v>À équilibrer</x:v>
      </x:c>
      <x:c r="J1952" s="115" t="str">
        <x:v>Non</x:v>
      </x:c>
      <x:c r="K1952" s="115" t="str">
        <x:v>Pièces décrites, murs, portes, niveaux et mobilier inspectables à l’échelle. Volumes réservés, raccord au seed, butin, rencontres et services de campagne restent à terminer.</x:v>
      </x:c>
    </x:row>
    <x:row r="1953" ht="96" customHeight="1">
      <x:c r="A1953" s="115" t="str">
        <x:v>EXT-MONDE-T039-V48</x:v>
      </x:c>
      <x:c r="B1953" s="115" t="str">
        <x:v>EXT-MONDE-T039</x:v>
      </x:c>
      <x:c r="C1953" s="115" t="str">
        <x:v>Égouts</x:v>
      </x:c>
      <x:c r="D1953" s="115" t="str">
        <x:v>Galerie pluviale</x:v>
      </x:c>
      <x:c r="E1953" s="115" t="n">
        <x:v>48</x:v>
      </x:c>
      <x:c r="F1953" s="115" t="str">
        <x:v>Inspection physique</x:v>
      </x:c>
      <x:c r="G1953" s="115" t="str">
        <x:v>2 niveaux ; 12 pièces ; 114 segments de mur ; 2 transitions. Inspection physique ; architecture complète encore ouverte.</x:v>
      </x:c>
      <x:c r="H1953" s="115" t="str">
        <x:v>L 234 ; l 252,9 ; hauteur 3 m ; choix de composition auteur ; dimensions réelles à documenter</x:v>
      </x:c>
      <x:c r="I1953" s="115" t="str">
        <x:v>À équilibrer</x:v>
      </x:c>
      <x:c r="J1953" s="115" t="str">
        <x:v>Non</x:v>
      </x:c>
      <x:c r="K1953" s="115" t="str">
        <x:v>Pièces décrites, murs, portes, niveaux et mobilier inspectables à l’échelle. Volumes réservés, raccord au seed, butin, rencontres et services de campagne restent à terminer.</x:v>
      </x:c>
    </x:row>
    <x:row r="1954" ht="96" customHeight="1">
      <x:c r="A1954" s="115" t="str">
        <x:v>EXT-MONDE-T039-V49</x:v>
      </x:c>
      <x:c r="B1954" s="115" t="str">
        <x:v>EXT-MONDE-T039</x:v>
      </x:c>
      <x:c r="C1954" s="115" t="str">
        <x:v>Égouts</x:v>
      </x:c>
      <x:c r="D1954" s="115" t="str">
        <x:v>Galerie pluviale</x:v>
      </x:c>
      <x:c r="E1954" s="115" t="n">
        <x:v>49</x:v>
      </x:c>
      <x:c r="F1954" s="115" t="str">
        <x:v>Inspection physique</x:v>
      </x:c>
      <x:c r="G1954" s="115" t="str">
        <x:v>2 niveaux ; 12 pièces ; 114 segments de mur ; 2 transitions. Inspection physique ; architecture complète encore ouverte.</x:v>
      </x:c>
      <x:c r="H1954" s="115" t="str">
        <x:v>L 236 ; l 253,6 ; hauteur 3 m ; choix de composition auteur ; dimensions réelles à documenter</x:v>
      </x:c>
      <x:c r="I1954" s="115" t="str">
        <x:v>À équilibrer</x:v>
      </x:c>
      <x:c r="J1954" s="115" t="str">
        <x:v>Non</x:v>
      </x:c>
      <x:c r="K1954" s="115" t="str">
        <x:v>Pièces décrites, murs, portes, niveaux et mobilier inspectables à l’échelle. Volumes réservés, raccord au seed, butin, rencontres et services de campagne restent à terminer.</x:v>
      </x:c>
    </x:row>
    <x:row r="1955" ht="96" customHeight="1">
      <x:c r="A1955" s="115" t="str">
        <x:v>EXT-MONDE-T039-V50</x:v>
      </x:c>
      <x:c r="B1955" s="115" t="str">
        <x:v>EXT-MONDE-T039</x:v>
      </x:c>
      <x:c r="C1955" s="115" t="str">
        <x:v>Égouts</x:v>
      </x:c>
      <x:c r="D1955" s="115" t="str">
        <x:v>Galerie pluviale</x:v>
      </x:c>
      <x:c r="E1955" s="115" t="n">
        <x:v>50</x:v>
      </x:c>
      <x:c r="F1955" s="115" t="str">
        <x:v>Inspection physique</x:v>
      </x:c>
      <x:c r="G1955" s="115" t="str">
        <x:v>2 niveaux ; 12 pièces ; 114 segments de mur ; 2 transitions. Inspection physique ; architecture complète encore ouverte.</x:v>
      </x:c>
      <x:c r="H1955" s="115" t="str">
        <x:v>L 238 ; l 254,3 ; hauteur 3 m ; choix de composition auteur ; dimensions réelles à documenter</x:v>
      </x:c>
      <x:c r="I1955" s="115" t="str">
        <x:v>À équilibrer</x:v>
      </x:c>
      <x:c r="J1955" s="115" t="str">
        <x:v>Non</x:v>
      </x:c>
      <x:c r="K1955" s="115" t="str">
        <x:v>Pièces décrites, murs, portes, niveaux et mobilier inspectables à l’échelle. Volumes réservés, raccord au seed, butin, rencontres et services de campagne restent à terminer.</x:v>
      </x:c>
    </x:row>
    <x:row r="1956" ht="96" customHeight="1">
      <x:c r="A1956" s="115" t="str">
        <x:v>EXT-MONDE-T040-V01</x:v>
      </x:c>
      <x:c r="B1956" s="115" t="str">
        <x:v>EXT-MONDE-T040</x:v>
      </x:c>
      <x:c r="C1956" s="115" t="str">
        <x:v>Égouts</x:v>
      </x:c>
      <x:c r="D1956" s="115" t="str">
        <x:v>Station souterraine de relevage</x:v>
      </x:c>
      <x:c r="E1956" s="115" t="n">
        <x:v>1</x:v>
      </x:c>
      <x:c r="F1956" s="115" t="str">
        <x:v>Inspection physique</x:v>
      </x:c>
      <x:c r="G1956" s="115" t="str">
        <x:v>4 niveaux ; 26 pièces ; 240 segments de mur ; 6 transitions. Inspection physique ; architecture complète encore ouverte.</x:v>
      </x:c>
      <x:c r="H1956" s="115" t="str">
        <x:v>L 180 ; l 200 ; hauteur 3 m ; choix de composition auteur ; dimensions réelles à documenter</x:v>
      </x:c>
      <x:c r="I1956" s="115" t="str">
        <x:v>À équilibrer</x:v>
      </x:c>
      <x:c r="J1956" s="115" t="str">
        <x:v>Non</x:v>
      </x:c>
      <x:c r="K1956" s="115" t="str">
        <x:v>Pièces décrites, murs, portes, niveaux et mobilier inspectables à l’échelle. Volumes réservés, raccord au seed, butin, rencontres et services de campagne restent à terminer.</x:v>
      </x:c>
    </x:row>
    <x:row r="1957" ht="96" customHeight="1">
      <x:c r="A1957" s="115" t="str">
        <x:v>EXT-MONDE-T040-V02</x:v>
      </x:c>
      <x:c r="B1957" s="115" t="str">
        <x:v>EXT-MONDE-T040</x:v>
      </x:c>
      <x:c r="C1957" s="115" t="str">
        <x:v>Égouts</x:v>
      </x:c>
      <x:c r="D1957" s="115" t="str">
        <x:v>Station souterraine de relevage</x:v>
      </x:c>
      <x:c r="E1957" s="115" t="n">
        <x:v>2</x:v>
      </x:c>
      <x:c r="F1957" s="115" t="str">
        <x:v>Inspection physique</x:v>
      </x:c>
      <x:c r="G1957" s="115" t="str">
        <x:v>4 niveaux ; 26 pièces ; 240 segments de mur ; 6 transitions. Inspection physique ; architecture complète encore ouverte.</x:v>
      </x:c>
      <x:c r="H1957" s="115" t="str">
        <x:v>L 182 ; l 200,7 ; hauteur 3 m ; choix de composition auteur ; dimensions réelles à documenter</x:v>
      </x:c>
      <x:c r="I1957" s="115" t="str">
        <x:v>À équilibrer</x:v>
      </x:c>
      <x:c r="J1957" s="115" t="str">
        <x:v>Non</x:v>
      </x:c>
      <x:c r="K1957" s="115" t="str">
        <x:v>Pièces décrites, murs, portes, niveaux et mobilier inspectables à l’échelle. Volumes réservés, raccord au seed, butin, rencontres et services de campagne restent à terminer.</x:v>
      </x:c>
    </x:row>
    <x:row r="1958" ht="96" customHeight="1">
      <x:c r="A1958" s="115" t="str">
        <x:v>EXT-MONDE-T040-V03</x:v>
      </x:c>
      <x:c r="B1958" s="115" t="str">
        <x:v>EXT-MONDE-T040</x:v>
      </x:c>
      <x:c r="C1958" s="115" t="str">
        <x:v>Égouts</x:v>
      </x:c>
      <x:c r="D1958" s="115" t="str">
        <x:v>Station souterraine de relevage</x:v>
      </x:c>
      <x:c r="E1958" s="115" t="n">
        <x:v>3</x:v>
      </x:c>
      <x:c r="F1958" s="115" t="str">
        <x:v>Inspection physique</x:v>
      </x:c>
      <x:c r="G1958" s="115" t="str">
        <x:v>4 niveaux ; 26 pièces ; 240 segments de mur ; 6 transitions. Inspection physique ; architecture complète encore ouverte.</x:v>
      </x:c>
      <x:c r="H1958" s="115" t="str">
        <x:v>L 184 ; l 201,4 ; hauteur 3 m ; choix de composition auteur ; dimensions réelles à documenter</x:v>
      </x:c>
      <x:c r="I1958" s="115" t="str">
        <x:v>À équilibrer</x:v>
      </x:c>
      <x:c r="J1958" s="115" t="str">
        <x:v>Non</x:v>
      </x:c>
      <x:c r="K1958" s="115" t="str">
        <x:v>Pièces décrites, murs, portes, niveaux et mobilier inspectables à l’échelle. Volumes réservés, raccord au seed, butin, rencontres et services de campagne restent à terminer.</x:v>
      </x:c>
    </x:row>
    <x:row r="1959" ht="96" customHeight="1">
      <x:c r="A1959" s="115" t="str">
        <x:v>EXT-MONDE-T040-V04</x:v>
      </x:c>
      <x:c r="B1959" s="115" t="str">
        <x:v>EXT-MONDE-T040</x:v>
      </x:c>
      <x:c r="C1959" s="115" t="str">
        <x:v>Égouts</x:v>
      </x:c>
      <x:c r="D1959" s="115" t="str">
        <x:v>Station souterraine de relevage</x:v>
      </x:c>
      <x:c r="E1959" s="115" t="n">
        <x:v>4</x:v>
      </x:c>
      <x:c r="F1959" s="115" t="str">
        <x:v>Inspection physique</x:v>
      </x:c>
      <x:c r="G1959" s="115" t="str">
        <x:v>4 niveaux ; 26 pièces ; 240 segments de mur ; 6 transitions. Inspection physique ; architecture complète encore ouverte.</x:v>
      </x:c>
      <x:c r="H1959" s="115" t="str">
        <x:v>L 186 ; l 202,1 ; hauteur 3 m ; choix de composition auteur ; dimensions réelles à documenter</x:v>
      </x:c>
      <x:c r="I1959" s="115" t="str">
        <x:v>À équilibrer</x:v>
      </x:c>
      <x:c r="J1959" s="115" t="str">
        <x:v>Non</x:v>
      </x:c>
      <x:c r="K1959" s="115" t="str">
        <x:v>Pièces décrites, murs, portes, niveaux et mobilier inspectables à l’échelle. Volumes réservés, raccord au seed, butin, rencontres et services de campagne restent à terminer.</x:v>
      </x:c>
    </x:row>
    <x:row r="1960" ht="96" customHeight="1">
      <x:c r="A1960" s="115" t="str">
        <x:v>EXT-MONDE-T040-V05</x:v>
      </x:c>
      <x:c r="B1960" s="115" t="str">
        <x:v>EXT-MONDE-T040</x:v>
      </x:c>
      <x:c r="C1960" s="115" t="str">
        <x:v>Égouts</x:v>
      </x:c>
      <x:c r="D1960" s="115" t="str">
        <x:v>Station souterraine de relevage</x:v>
      </x:c>
      <x:c r="E1960" s="115" t="n">
        <x:v>5</x:v>
      </x:c>
      <x:c r="F1960" s="115" t="str">
        <x:v>Inspection physique</x:v>
      </x:c>
      <x:c r="G1960" s="115" t="str">
        <x:v>4 niveaux ; 26 pièces ; 240 segments de mur ; 6 transitions. Inspection physique ; architecture complète encore ouverte.</x:v>
      </x:c>
      <x:c r="H1960" s="115" t="str">
        <x:v>L 188 ; l 202,8 ; hauteur 3 m ; choix de composition auteur ; dimensions réelles à documenter</x:v>
      </x:c>
      <x:c r="I1960" s="115" t="str">
        <x:v>À équilibrer</x:v>
      </x:c>
      <x:c r="J1960" s="115" t="str">
        <x:v>Non</x:v>
      </x:c>
      <x:c r="K1960" s="115" t="str">
        <x:v>Pièces décrites, murs, portes, niveaux et mobilier inspectables à l’échelle. Volumes réservés, raccord au seed, butin, rencontres et services de campagne restent à terminer.</x:v>
      </x:c>
    </x:row>
    <x:row r="1961" ht="96" customHeight="1">
      <x:c r="A1961" s="115" t="str">
        <x:v>EXT-MONDE-T040-V06</x:v>
      </x:c>
      <x:c r="B1961" s="115" t="str">
        <x:v>EXT-MONDE-T040</x:v>
      </x:c>
      <x:c r="C1961" s="115" t="str">
        <x:v>Égouts</x:v>
      </x:c>
      <x:c r="D1961" s="115" t="str">
        <x:v>Station souterraine de relevage</x:v>
      </x:c>
      <x:c r="E1961" s="115" t="n">
        <x:v>6</x:v>
      </x:c>
      <x:c r="F1961" s="115" t="str">
        <x:v>Inspection physique</x:v>
      </x:c>
      <x:c r="G1961" s="115" t="str">
        <x:v>4 niveaux ; 26 pièces ; 240 segments de mur ; 6 transitions. Inspection physique ; architecture complète encore ouverte.</x:v>
      </x:c>
      <x:c r="H1961" s="115" t="str">
        <x:v>L 190 ; l 203,5 ; hauteur 3 m ; choix de composition auteur ; dimensions réelles à documenter</x:v>
      </x:c>
      <x:c r="I1961" s="115" t="str">
        <x:v>À équilibrer</x:v>
      </x:c>
      <x:c r="J1961" s="115" t="str">
        <x:v>Non</x:v>
      </x:c>
      <x:c r="K1961" s="115" t="str">
        <x:v>Pièces décrites, murs, portes, niveaux et mobilier inspectables à l’échelle. Volumes réservés, raccord au seed, butin, rencontres et services de campagne restent à terminer.</x:v>
      </x:c>
    </x:row>
    <x:row r="1962" ht="96" customHeight="1">
      <x:c r="A1962" s="115" t="str">
        <x:v>EXT-MONDE-T040-V07</x:v>
      </x:c>
      <x:c r="B1962" s="115" t="str">
        <x:v>EXT-MONDE-T040</x:v>
      </x:c>
      <x:c r="C1962" s="115" t="str">
        <x:v>Égouts</x:v>
      </x:c>
      <x:c r="D1962" s="115" t="str">
        <x:v>Station souterraine de relevage</x:v>
      </x:c>
      <x:c r="E1962" s="115" t="n">
        <x:v>7</x:v>
      </x:c>
      <x:c r="F1962" s="115" t="str">
        <x:v>Inspection physique</x:v>
      </x:c>
      <x:c r="G1962" s="115" t="str">
        <x:v>4 niveaux ; 26 pièces ; 240 segments de mur ; 6 transitions. Inspection physique ; architecture complète encore ouverte.</x:v>
      </x:c>
      <x:c r="H1962" s="115" t="str">
        <x:v>L 192 ; l 204,2 ; hauteur 3 m ; choix de composition auteur ; dimensions réelles à documenter</x:v>
      </x:c>
      <x:c r="I1962" s="115" t="str">
        <x:v>À équilibrer</x:v>
      </x:c>
      <x:c r="J1962" s="115" t="str">
        <x:v>Non</x:v>
      </x:c>
      <x:c r="K1962" s="115" t="str">
        <x:v>Pièces décrites, murs, portes, niveaux et mobilier inspectables à l’échelle. Volumes réservés, raccord au seed, butin, rencontres et services de campagne restent à terminer.</x:v>
      </x:c>
    </x:row>
    <x:row r="1963" ht="96" customHeight="1">
      <x:c r="A1963" s="115" t="str">
        <x:v>EXT-MONDE-T040-V08</x:v>
      </x:c>
      <x:c r="B1963" s="115" t="str">
        <x:v>EXT-MONDE-T040</x:v>
      </x:c>
      <x:c r="C1963" s="115" t="str">
        <x:v>Égouts</x:v>
      </x:c>
      <x:c r="D1963" s="115" t="str">
        <x:v>Station souterraine de relevage</x:v>
      </x:c>
      <x:c r="E1963" s="115" t="n">
        <x:v>8</x:v>
      </x:c>
      <x:c r="F1963" s="115" t="str">
        <x:v>Inspection physique</x:v>
      </x:c>
      <x:c r="G1963" s="115" t="str">
        <x:v>4 niveaux ; 26 pièces ; 240 segments de mur ; 6 transitions. Inspection physique ; architecture complète encore ouverte.</x:v>
      </x:c>
      <x:c r="H1963" s="115" t="str">
        <x:v>L 194 ; l 204,9 ; hauteur 3 m ; choix de composition auteur ; dimensions réelles à documenter</x:v>
      </x:c>
      <x:c r="I1963" s="115" t="str">
        <x:v>À équilibrer</x:v>
      </x:c>
      <x:c r="J1963" s="115" t="str">
        <x:v>Non</x:v>
      </x:c>
      <x:c r="K1963" s="115" t="str">
        <x:v>Pièces décrites, murs, portes, niveaux et mobilier inspectables à l’échelle. Volumes réservés, raccord au seed, butin, rencontres et services de campagne restent à terminer.</x:v>
      </x:c>
    </x:row>
    <x:row r="1964" ht="96" customHeight="1">
      <x:c r="A1964" s="115" t="str">
        <x:v>EXT-MONDE-T040-V09</x:v>
      </x:c>
      <x:c r="B1964" s="115" t="str">
        <x:v>EXT-MONDE-T040</x:v>
      </x:c>
      <x:c r="C1964" s="115" t="str">
        <x:v>Égouts</x:v>
      </x:c>
      <x:c r="D1964" s="115" t="str">
        <x:v>Station souterraine de relevage</x:v>
      </x:c>
      <x:c r="E1964" s="115" t="n">
        <x:v>9</x:v>
      </x:c>
      <x:c r="F1964" s="115" t="str">
        <x:v>Inspection physique</x:v>
      </x:c>
      <x:c r="G1964" s="115" t="str">
        <x:v>4 niveaux ; 26 pièces ; 240 segments de mur ; 6 transitions. Inspection physique ; architecture complète encore ouverte.</x:v>
      </x:c>
      <x:c r="H1964" s="115" t="str">
        <x:v>L 196 ; l 205,6 ; hauteur 3 m ; choix de composition auteur ; dimensions réelles à documenter</x:v>
      </x:c>
      <x:c r="I1964" s="115" t="str">
        <x:v>À équilibrer</x:v>
      </x:c>
      <x:c r="J1964" s="115" t="str">
        <x:v>Non</x:v>
      </x:c>
      <x:c r="K1964" s="115" t="str">
        <x:v>Pièces décrites, murs, portes, niveaux et mobilier inspectables à l’échelle. Volumes réservés, raccord au seed, butin, rencontres et services de campagne restent à terminer.</x:v>
      </x:c>
    </x:row>
    <x:row r="1965" ht="96" customHeight="1">
      <x:c r="A1965" s="115" t="str">
        <x:v>EXT-MONDE-T040-V10</x:v>
      </x:c>
      <x:c r="B1965" s="115" t="str">
        <x:v>EXT-MONDE-T040</x:v>
      </x:c>
      <x:c r="C1965" s="115" t="str">
        <x:v>Égouts</x:v>
      </x:c>
      <x:c r="D1965" s="115" t="str">
        <x:v>Station souterraine de relevage</x:v>
      </x:c>
      <x:c r="E1965" s="115" t="n">
        <x:v>10</x:v>
      </x:c>
      <x:c r="F1965" s="115" t="str">
        <x:v>Inspection physique</x:v>
      </x:c>
      <x:c r="G1965" s="115" t="str">
        <x:v>4 niveaux ; 26 pièces ; 240 segments de mur ; 6 transitions. Inspection physique ; architecture complète encore ouverte.</x:v>
      </x:c>
      <x:c r="H1965" s="115" t="str">
        <x:v>L 198 ; l 206,3 ; hauteur 3 m ; choix de composition auteur ; dimensions réelles à documenter</x:v>
      </x:c>
      <x:c r="I1965" s="115" t="str">
        <x:v>À équilibrer</x:v>
      </x:c>
      <x:c r="J1965" s="115" t="str">
        <x:v>Non</x:v>
      </x:c>
      <x:c r="K1965" s="115" t="str">
        <x:v>Pièces décrites, murs, portes, niveaux et mobilier inspectables à l’échelle. Volumes réservés, raccord au seed, butin, rencontres et services de campagne restent à terminer.</x:v>
      </x:c>
    </x:row>
    <x:row r="1966" ht="96" customHeight="1">
      <x:c r="A1966" s="115" t="str">
        <x:v>EXT-MONDE-T040-V11</x:v>
      </x:c>
      <x:c r="B1966" s="115" t="str">
        <x:v>EXT-MONDE-T040</x:v>
      </x:c>
      <x:c r="C1966" s="115" t="str">
        <x:v>Égouts</x:v>
      </x:c>
      <x:c r="D1966" s="115" t="str">
        <x:v>Station souterraine de relevage</x:v>
      </x:c>
      <x:c r="E1966" s="115" t="n">
        <x:v>11</x:v>
      </x:c>
      <x:c r="F1966" s="115" t="str">
        <x:v>Inspection physique</x:v>
      </x:c>
      <x:c r="G1966" s="115" t="str">
        <x:v>4 niveaux ; 26 pièces ; 240 segments de mur ; 6 transitions. Inspection physique ; architecture complète encore ouverte.</x:v>
      </x:c>
      <x:c r="H1966" s="115" t="str">
        <x:v>L 190 ; l 212 ; hauteur 3 m ; choix de composition auteur ; dimensions réelles à documenter</x:v>
      </x:c>
      <x:c r="I1966" s="115" t="str">
        <x:v>À équilibrer</x:v>
      </x:c>
      <x:c r="J1966" s="115" t="str">
        <x:v>Non</x:v>
      </x:c>
      <x:c r="K1966" s="115" t="str">
        <x:v>Pièces décrites, murs, portes, niveaux et mobilier inspectables à l’échelle. Volumes réservés, raccord au seed, butin, rencontres et services de campagne restent à terminer.</x:v>
      </x:c>
    </x:row>
    <x:row r="1967" ht="96" customHeight="1">
      <x:c r="A1967" s="115" t="str">
        <x:v>EXT-MONDE-T040-V12</x:v>
      </x:c>
      <x:c r="B1967" s="115" t="str">
        <x:v>EXT-MONDE-T040</x:v>
      </x:c>
      <x:c r="C1967" s="115" t="str">
        <x:v>Égouts</x:v>
      </x:c>
      <x:c r="D1967" s="115" t="str">
        <x:v>Station souterraine de relevage</x:v>
      </x:c>
      <x:c r="E1967" s="115" t="n">
        <x:v>12</x:v>
      </x:c>
      <x:c r="F1967" s="115" t="str">
        <x:v>Inspection physique</x:v>
      </x:c>
      <x:c r="G1967" s="115" t="str">
        <x:v>4 niveaux ; 26 pièces ; 240 segments de mur ; 6 transitions. Inspection physique ; architecture complète encore ouverte.</x:v>
      </x:c>
      <x:c r="H1967" s="115" t="str">
        <x:v>L 192 ; l 212,7 ; hauteur 3 m ; choix de composition auteur ; dimensions réelles à documenter</x:v>
      </x:c>
      <x:c r="I1967" s="115" t="str">
        <x:v>À équilibrer</x:v>
      </x:c>
      <x:c r="J1967" s="115" t="str">
        <x:v>Non</x:v>
      </x:c>
      <x:c r="K1967" s="115" t="str">
        <x:v>Pièces décrites, murs, portes, niveaux et mobilier inspectables à l’échelle. Volumes réservés, raccord au seed, butin, rencontres et services de campagne restent à terminer.</x:v>
      </x:c>
    </x:row>
    <x:row r="1968" ht="96" customHeight="1">
      <x:c r="A1968" s="115" t="str">
        <x:v>EXT-MONDE-T040-V13</x:v>
      </x:c>
      <x:c r="B1968" s="115" t="str">
        <x:v>EXT-MONDE-T040</x:v>
      </x:c>
      <x:c r="C1968" s="115" t="str">
        <x:v>Égouts</x:v>
      </x:c>
      <x:c r="D1968" s="115" t="str">
        <x:v>Station souterraine de relevage</x:v>
      </x:c>
      <x:c r="E1968" s="115" t="n">
        <x:v>13</x:v>
      </x:c>
      <x:c r="F1968" s="115" t="str">
        <x:v>Inspection physique</x:v>
      </x:c>
      <x:c r="G1968" s="115" t="str">
        <x:v>4 niveaux ; 26 pièces ; 240 segments de mur ; 6 transitions. Inspection physique ; architecture complète encore ouverte.</x:v>
      </x:c>
      <x:c r="H1968" s="115" t="str">
        <x:v>L 194 ; l 213,4 ; hauteur 3 m ; choix de composition auteur ; dimensions réelles à documenter</x:v>
      </x:c>
      <x:c r="I1968" s="115" t="str">
        <x:v>À équilibrer</x:v>
      </x:c>
      <x:c r="J1968" s="115" t="str">
        <x:v>Non</x:v>
      </x:c>
      <x:c r="K1968" s="115" t="str">
        <x:v>Pièces décrites, murs, portes, niveaux et mobilier inspectables à l’échelle. Volumes réservés, raccord au seed, butin, rencontres et services de campagne restent à terminer.</x:v>
      </x:c>
    </x:row>
    <x:row r="1969" ht="96" customHeight="1">
      <x:c r="A1969" s="115" t="str">
        <x:v>EXT-MONDE-T040-V14</x:v>
      </x:c>
      <x:c r="B1969" s="115" t="str">
        <x:v>EXT-MONDE-T040</x:v>
      </x:c>
      <x:c r="C1969" s="115" t="str">
        <x:v>Égouts</x:v>
      </x:c>
      <x:c r="D1969" s="115" t="str">
        <x:v>Station souterraine de relevage</x:v>
      </x:c>
      <x:c r="E1969" s="115" t="n">
        <x:v>14</x:v>
      </x:c>
      <x:c r="F1969" s="115" t="str">
        <x:v>Inspection physique</x:v>
      </x:c>
      <x:c r="G1969" s="115" t="str">
        <x:v>4 niveaux ; 26 pièces ; 240 segments de mur ; 6 transitions. Inspection physique ; architecture complète encore ouverte.</x:v>
      </x:c>
      <x:c r="H1969" s="115" t="str">
        <x:v>L 196 ; l 214,1 ; hauteur 3 m ; choix de composition auteur ; dimensions réelles à documenter</x:v>
      </x:c>
      <x:c r="I1969" s="115" t="str">
        <x:v>À équilibrer</x:v>
      </x:c>
      <x:c r="J1969" s="115" t="str">
        <x:v>Non</x:v>
      </x:c>
      <x:c r="K1969" s="115" t="str">
        <x:v>Pièces décrites, murs, portes, niveaux et mobilier inspectables à l’échelle. Volumes réservés, raccord au seed, butin, rencontres et services de campagne restent à terminer.</x:v>
      </x:c>
    </x:row>
    <x:row r="1970" ht="96" customHeight="1">
      <x:c r="A1970" s="115" t="str">
        <x:v>EXT-MONDE-T040-V15</x:v>
      </x:c>
      <x:c r="B1970" s="115" t="str">
        <x:v>EXT-MONDE-T040</x:v>
      </x:c>
      <x:c r="C1970" s="115" t="str">
        <x:v>Égouts</x:v>
      </x:c>
      <x:c r="D1970" s="115" t="str">
        <x:v>Station souterraine de relevage</x:v>
      </x:c>
      <x:c r="E1970" s="115" t="n">
        <x:v>15</x:v>
      </x:c>
      <x:c r="F1970" s="115" t="str">
        <x:v>Inspection physique</x:v>
      </x:c>
      <x:c r="G1970" s="115" t="str">
        <x:v>4 niveaux ; 26 pièces ; 240 segments de mur ; 6 transitions. Inspection physique ; architecture complète encore ouverte.</x:v>
      </x:c>
      <x:c r="H1970" s="115" t="str">
        <x:v>L 198 ; l 214,8 ; hauteur 3 m ; choix de composition auteur ; dimensions réelles à documenter</x:v>
      </x:c>
      <x:c r="I1970" s="115" t="str">
        <x:v>À équilibrer</x:v>
      </x:c>
      <x:c r="J1970" s="115" t="str">
        <x:v>Non</x:v>
      </x:c>
      <x:c r="K1970" s="115" t="str">
        <x:v>Pièces décrites, murs, portes, niveaux et mobilier inspectables à l’échelle. Volumes réservés, raccord au seed, butin, rencontres et services de campagne restent à terminer.</x:v>
      </x:c>
    </x:row>
    <x:row r="1971" ht="96" customHeight="1">
      <x:c r="A1971" s="115" t="str">
        <x:v>EXT-MONDE-T040-V16</x:v>
      </x:c>
      <x:c r="B1971" s="115" t="str">
        <x:v>EXT-MONDE-T040</x:v>
      </x:c>
      <x:c r="C1971" s="115" t="str">
        <x:v>Égouts</x:v>
      </x:c>
      <x:c r="D1971" s="115" t="str">
        <x:v>Station souterraine de relevage</x:v>
      </x:c>
      <x:c r="E1971" s="115" t="n">
        <x:v>16</x:v>
      </x:c>
      <x:c r="F1971" s="115" t="str">
        <x:v>Inspection physique</x:v>
      </x:c>
      <x:c r="G1971" s="115" t="str">
        <x:v>4 niveaux ; 26 pièces ; 240 segments de mur ; 6 transitions. Inspection physique ; architecture complète encore ouverte.</x:v>
      </x:c>
      <x:c r="H1971" s="115" t="str">
        <x:v>L 200 ; l 215,5 ; hauteur 3 m ; choix de composition auteur ; dimensions réelles à documenter</x:v>
      </x:c>
      <x:c r="I1971" s="115" t="str">
        <x:v>À équilibrer</x:v>
      </x:c>
      <x:c r="J1971" s="115" t="str">
        <x:v>Non</x:v>
      </x:c>
      <x:c r="K1971" s="115" t="str">
        <x:v>Pièces décrites, murs, portes, niveaux et mobilier inspectables à l’échelle. Volumes réservés, raccord au seed, butin, rencontres et services de campagne restent à terminer.</x:v>
      </x:c>
    </x:row>
    <x:row r="1972" ht="96" customHeight="1">
      <x:c r="A1972" s="115" t="str">
        <x:v>EXT-MONDE-T040-V17</x:v>
      </x:c>
      <x:c r="B1972" s="115" t="str">
        <x:v>EXT-MONDE-T040</x:v>
      </x:c>
      <x:c r="C1972" s="115" t="str">
        <x:v>Égouts</x:v>
      </x:c>
      <x:c r="D1972" s="115" t="str">
        <x:v>Station souterraine de relevage</x:v>
      </x:c>
      <x:c r="E1972" s="115" t="n">
        <x:v>17</x:v>
      </x:c>
      <x:c r="F1972" s="115" t="str">
        <x:v>Inspection physique</x:v>
      </x:c>
      <x:c r="G1972" s="115" t="str">
        <x:v>4 niveaux ; 26 pièces ; 240 segments de mur ; 6 transitions. Inspection physique ; architecture complète encore ouverte.</x:v>
      </x:c>
      <x:c r="H1972" s="115" t="str">
        <x:v>L 202 ; l 216,2 ; hauteur 3 m ; choix de composition auteur ; dimensions réelles à documenter</x:v>
      </x:c>
      <x:c r="I1972" s="115" t="str">
        <x:v>À équilibrer</x:v>
      </x:c>
      <x:c r="J1972" s="115" t="str">
        <x:v>Non</x:v>
      </x:c>
      <x:c r="K1972" s="115" t="str">
        <x:v>Pièces décrites, murs, portes, niveaux et mobilier inspectables à l’échelle. Volumes réservés, raccord au seed, butin, rencontres et services de campagne restent à terminer.</x:v>
      </x:c>
    </x:row>
    <x:row r="1973" ht="96" customHeight="1">
      <x:c r="A1973" s="115" t="str">
        <x:v>EXT-MONDE-T040-V18</x:v>
      </x:c>
      <x:c r="B1973" s="115" t="str">
        <x:v>EXT-MONDE-T040</x:v>
      </x:c>
      <x:c r="C1973" s="115" t="str">
        <x:v>Égouts</x:v>
      </x:c>
      <x:c r="D1973" s="115" t="str">
        <x:v>Station souterraine de relevage</x:v>
      </x:c>
      <x:c r="E1973" s="115" t="n">
        <x:v>18</x:v>
      </x:c>
      <x:c r="F1973" s="115" t="str">
        <x:v>Inspection physique</x:v>
      </x:c>
      <x:c r="G1973" s="115" t="str">
        <x:v>4 niveaux ; 26 pièces ; 240 segments de mur ; 6 transitions. Inspection physique ; architecture complète encore ouverte.</x:v>
      </x:c>
      <x:c r="H1973" s="115" t="str">
        <x:v>L 204 ; l 216,9 ; hauteur 3 m ; choix de composition auteur ; dimensions réelles à documenter</x:v>
      </x:c>
      <x:c r="I1973" s="115" t="str">
        <x:v>À équilibrer</x:v>
      </x:c>
      <x:c r="J1973" s="115" t="str">
        <x:v>Non</x:v>
      </x:c>
      <x:c r="K1973" s="115" t="str">
        <x:v>Pièces décrites, murs, portes, niveaux et mobilier inspectables à l’échelle. Volumes réservés, raccord au seed, butin, rencontres et services de campagne restent à terminer.</x:v>
      </x:c>
    </x:row>
    <x:row r="1974" ht="96" customHeight="1">
      <x:c r="A1974" s="115" t="str">
        <x:v>EXT-MONDE-T040-V19</x:v>
      </x:c>
      <x:c r="B1974" s="115" t="str">
        <x:v>EXT-MONDE-T040</x:v>
      </x:c>
      <x:c r="C1974" s="115" t="str">
        <x:v>Égouts</x:v>
      </x:c>
      <x:c r="D1974" s="115" t="str">
        <x:v>Station souterraine de relevage</x:v>
      </x:c>
      <x:c r="E1974" s="115" t="n">
        <x:v>19</x:v>
      </x:c>
      <x:c r="F1974" s="115" t="str">
        <x:v>Inspection physique</x:v>
      </x:c>
      <x:c r="G1974" s="115" t="str">
        <x:v>4 niveaux ; 26 pièces ; 240 segments de mur ; 6 transitions. Inspection physique ; architecture complète encore ouverte.</x:v>
      </x:c>
      <x:c r="H1974" s="115" t="str">
        <x:v>L 206 ; l 217,6 ; hauteur 3 m ; choix de composition auteur ; dimensions réelles à documenter</x:v>
      </x:c>
      <x:c r="I1974" s="115" t="str">
        <x:v>À équilibrer</x:v>
      </x:c>
      <x:c r="J1974" s="115" t="str">
        <x:v>Non</x:v>
      </x:c>
      <x:c r="K1974" s="115" t="str">
        <x:v>Pièces décrites, murs, portes, niveaux et mobilier inspectables à l’échelle. Volumes réservés, raccord au seed, butin, rencontres et services de campagne restent à terminer.</x:v>
      </x:c>
    </x:row>
    <x:row r="1975" ht="96" customHeight="1">
      <x:c r="A1975" s="115" t="str">
        <x:v>EXT-MONDE-T040-V20</x:v>
      </x:c>
      <x:c r="B1975" s="115" t="str">
        <x:v>EXT-MONDE-T040</x:v>
      </x:c>
      <x:c r="C1975" s="115" t="str">
        <x:v>Égouts</x:v>
      </x:c>
      <x:c r="D1975" s="115" t="str">
        <x:v>Station souterraine de relevage</x:v>
      </x:c>
      <x:c r="E1975" s="115" t="n">
        <x:v>20</x:v>
      </x:c>
      <x:c r="F1975" s="115" t="str">
        <x:v>Inspection physique</x:v>
      </x:c>
      <x:c r="G1975" s="115" t="str">
        <x:v>4 niveaux ; 26 pièces ; 240 segments de mur ; 6 transitions. Inspection physique ; architecture complète encore ouverte.</x:v>
      </x:c>
      <x:c r="H1975" s="115" t="str">
        <x:v>L 208 ; l 218,3 ; hauteur 3 m ; choix de composition auteur ; dimensions réelles à documenter</x:v>
      </x:c>
      <x:c r="I1975" s="115" t="str">
        <x:v>À équilibrer</x:v>
      </x:c>
      <x:c r="J1975" s="115" t="str">
        <x:v>Non</x:v>
      </x:c>
      <x:c r="K1975" s="115" t="str">
        <x:v>Pièces décrites, murs, portes, niveaux et mobilier inspectables à l’échelle. Volumes réservés, raccord au seed, butin, rencontres et services de campagne restent à terminer.</x:v>
      </x:c>
    </x:row>
    <x:row r="1976" ht="96" customHeight="1">
      <x:c r="A1976" s="115" t="str">
        <x:v>EXT-MONDE-T040-V21</x:v>
      </x:c>
      <x:c r="B1976" s="115" t="str">
        <x:v>EXT-MONDE-T040</x:v>
      </x:c>
      <x:c r="C1976" s="115" t="str">
        <x:v>Égouts</x:v>
      </x:c>
      <x:c r="D1976" s="115" t="str">
        <x:v>Station souterraine de relevage</x:v>
      </x:c>
      <x:c r="E1976" s="115" t="n">
        <x:v>21</x:v>
      </x:c>
      <x:c r="F1976" s="115" t="str">
        <x:v>Inspection physique</x:v>
      </x:c>
      <x:c r="G1976" s="115" t="str">
        <x:v>4 niveaux ; 26 pièces ; 240 segments de mur ; 6 transitions. Inspection physique ; architecture complète encore ouverte.</x:v>
      </x:c>
      <x:c r="H1976" s="115" t="str">
        <x:v>L 200 ; l 224 ; hauteur 3 m ; choix de composition auteur ; dimensions réelles à documenter</x:v>
      </x:c>
      <x:c r="I1976" s="115" t="str">
        <x:v>À équilibrer</x:v>
      </x:c>
      <x:c r="J1976" s="115" t="str">
        <x:v>Non</x:v>
      </x:c>
      <x:c r="K1976" s="115" t="str">
        <x:v>Pièces décrites, murs, portes, niveaux et mobilier inspectables à l’échelle. Volumes réservés, raccord au seed, butin, rencontres et services de campagne restent à terminer.</x:v>
      </x:c>
    </x:row>
    <x:row r="1977" ht="96" customHeight="1">
      <x:c r="A1977" s="115" t="str">
        <x:v>EXT-MONDE-T040-V22</x:v>
      </x:c>
      <x:c r="B1977" s="115" t="str">
        <x:v>EXT-MONDE-T040</x:v>
      </x:c>
      <x:c r="C1977" s="115" t="str">
        <x:v>Égouts</x:v>
      </x:c>
      <x:c r="D1977" s="115" t="str">
        <x:v>Station souterraine de relevage</x:v>
      </x:c>
      <x:c r="E1977" s="115" t="n">
        <x:v>22</x:v>
      </x:c>
      <x:c r="F1977" s="115" t="str">
        <x:v>Inspection physique</x:v>
      </x:c>
      <x:c r="G1977" s="115" t="str">
        <x:v>4 niveaux ; 26 pièces ; 240 segments de mur ; 6 transitions. Inspection physique ; architecture complète encore ouverte.</x:v>
      </x:c>
      <x:c r="H1977" s="115" t="str">
        <x:v>L 202 ; l 224,7 ; hauteur 3 m ; choix de composition auteur ; dimensions réelles à documenter</x:v>
      </x:c>
      <x:c r="I1977" s="115" t="str">
        <x:v>À équilibrer</x:v>
      </x:c>
      <x:c r="J1977" s="115" t="str">
        <x:v>Non</x:v>
      </x:c>
      <x:c r="K1977" s="115" t="str">
        <x:v>Pièces décrites, murs, portes, niveaux et mobilier inspectables à l’échelle. Volumes réservés, raccord au seed, butin, rencontres et services de campagne restent à terminer.</x:v>
      </x:c>
    </x:row>
    <x:row r="1978" ht="96" customHeight="1">
      <x:c r="A1978" s="115" t="str">
        <x:v>EXT-MONDE-T040-V23</x:v>
      </x:c>
      <x:c r="B1978" s="115" t="str">
        <x:v>EXT-MONDE-T040</x:v>
      </x:c>
      <x:c r="C1978" s="115" t="str">
        <x:v>Égouts</x:v>
      </x:c>
      <x:c r="D1978" s="115" t="str">
        <x:v>Station souterraine de relevage</x:v>
      </x:c>
      <x:c r="E1978" s="115" t="n">
        <x:v>23</x:v>
      </x:c>
      <x:c r="F1978" s="115" t="str">
        <x:v>Inspection physique</x:v>
      </x:c>
      <x:c r="G1978" s="115" t="str">
        <x:v>4 niveaux ; 26 pièces ; 240 segments de mur ; 6 transitions. Inspection physique ; architecture complète encore ouverte.</x:v>
      </x:c>
      <x:c r="H1978" s="115" t="str">
        <x:v>L 204 ; l 225,4 ; hauteur 3 m ; choix de composition auteur ; dimensions réelles à documenter</x:v>
      </x:c>
      <x:c r="I1978" s="115" t="str">
        <x:v>À équilibrer</x:v>
      </x:c>
      <x:c r="J1978" s="115" t="str">
        <x:v>Non</x:v>
      </x:c>
      <x:c r="K1978" s="115" t="str">
        <x:v>Pièces décrites, murs, portes, niveaux et mobilier inspectables à l’échelle. Volumes réservés, raccord au seed, butin, rencontres et services de campagne restent à terminer.</x:v>
      </x:c>
    </x:row>
    <x:row r="1979" ht="96" customHeight="1">
      <x:c r="A1979" s="115" t="str">
        <x:v>EXT-MONDE-T040-V24</x:v>
      </x:c>
      <x:c r="B1979" s="115" t="str">
        <x:v>EXT-MONDE-T040</x:v>
      </x:c>
      <x:c r="C1979" s="115" t="str">
        <x:v>Égouts</x:v>
      </x:c>
      <x:c r="D1979" s="115" t="str">
        <x:v>Station souterraine de relevage</x:v>
      </x:c>
      <x:c r="E1979" s="115" t="n">
        <x:v>24</x:v>
      </x:c>
      <x:c r="F1979" s="115" t="str">
        <x:v>Inspection physique</x:v>
      </x:c>
      <x:c r="G1979" s="115" t="str">
        <x:v>4 niveaux ; 26 pièces ; 240 segments de mur ; 6 transitions. Inspection physique ; architecture complète encore ouverte.</x:v>
      </x:c>
      <x:c r="H1979" s="115" t="str">
        <x:v>L 206 ; l 226,1 ; hauteur 3 m ; choix de composition auteur ; dimensions réelles à documenter</x:v>
      </x:c>
      <x:c r="I1979" s="115" t="str">
        <x:v>À équilibrer</x:v>
      </x:c>
      <x:c r="J1979" s="115" t="str">
        <x:v>Non</x:v>
      </x:c>
      <x:c r="K1979" s="115" t="str">
        <x:v>Pièces décrites, murs, portes, niveaux et mobilier inspectables à l’échelle. Volumes réservés, raccord au seed, butin, rencontres et services de campagne restent à terminer.</x:v>
      </x:c>
    </x:row>
    <x:row r="1980" ht="96" customHeight="1">
      <x:c r="A1980" s="115" t="str">
        <x:v>EXT-MONDE-T040-V25</x:v>
      </x:c>
      <x:c r="B1980" s="115" t="str">
        <x:v>EXT-MONDE-T040</x:v>
      </x:c>
      <x:c r="C1980" s="115" t="str">
        <x:v>Égouts</x:v>
      </x:c>
      <x:c r="D1980" s="115" t="str">
        <x:v>Station souterraine de relevage</x:v>
      </x:c>
      <x:c r="E1980" s="115" t="n">
        <x:v>25</x:v>
      </x:c>
      <x:c r="F1980" s="115" t="str">
        <x:v>Inspection physique</x:v>
      </x:c>
      <x:c r="G1980" s="115" t="str">
        <x:v>4 niveaux ; 26 pièces ; 240 segments de mur ; 6 transitions. Inspection physique ; architecture complète encore ouverte.</x:v>
      </x:c>
      <x:c r="H1980" s="115" t="str">
        <x:v>L 208 ; l 226,8 ; hauteur 3 m ; choix de composition auteur ; dimensions réelles à documenter</x:v>
      </x:c>
      <x:c r="I1980" s="115" t="str">
        <x:v>À équilibrer</x:v>
      </x:c>
      <x:c r="J1980" s="115" t="str">
        <x:v>Non</x:v>
      </x:c>
      <x:c r="K1980" s="115" t="str">
        <x:v>Pièces décrites, murs, portes, niveaux et mobilier inspectables à l’échelle. Volumes réservés, raccord au seed, butin, rencontres et services de campagne restent à terminer.</x:v>
      </x:c>
    </x:row>
    <x:row r="1981" ht="96" customHeight="1">
      <x:c r="A1981" s="115" t="str">
        <x:v>EXT-MONDE-T040-V26</x:v>
      </x:c>
      <x:c r="B1981" s="115" t="str">
        <x:v>EXT-MONDE-T040</x:v>
      </x:c>
      <x:c r="C1981" s="115" t="str">
        <x:v>Égouts</x:v>
      </x:c>
      <x:c r="D1981" s="115" t="str">
        <x:v>Station souterraine de relevage</x:v>
      </x:c>
      <x:c r="E1981" s="115" t="n">
        <x:v>26</x:v>
      </x:c>
      <x:c r="F1981" s="115" t="str">
        <x:v>Inspection physique</x:v>
      </x:c>
      <x:c r="G1981" s="115" t="str">
        <x:v>4 niveaux ; 26 pièces ; 240 segments de mur ; 6 transitions. Inspection physique ; architecture complète encore ouverte.</x:v>
      </x:c>
      <x:c r="H1981" s="115" t="str">
        <x:v>L 210 ; l 227,5 ; hauteur 3 m ; choix de composition auteur ; dimensions réelles à documenter</x:v>
      </x:c>
      <x:c r="I1981" s="115" t="str">
        <x:v>À équilibrer</x:v>
      </x:c>
      <x:c r="J1981" s="115" t="str">
        <x:v>Non</x:v>
      </x:c>
      <x:c r="K1981" s="115" t="str">
        <x:v>Pièces décrites, murs, portes, niveaux et mobilier inspectables à l’échelle. Volumes réservés, raccord au seed, butin, rencontres et services de campagne restent à terminer.</x:v>
      </x:c>
    </x:row>
    <x:row r="1982" ht="96" customHeight="1">
      <x:c r="A1982" s="115" t="str">
        <x:v>EXT-MONDE-T040-V27</x:v>
      </x:c>
      <x:c r="B1982" s="115" t="str">
        <x:v>EXT-MONDE-T040</x:v>
      </x:c>
      <x:c r="C1982" s="115" t="str">
        <x:v>Égouts</x:v>
      </x:c>
      <x:c r="D1982" s="115" t="str">
        <x:v>Station souterraine de relevage</x:v>
      </x:c>
      <x:c r="E1982" s="115" t="n">
        <x:v>27</x:v>
      </x:c>
      <x:c r="F1982" s="115" t="str">
        <x:v>Inspection physique</x:v>
      </x:c>
      <x:c r="G1982" s="115" t="str">
        <x:v>4 niveaux ; 26 pièces ; 240 segments de mur ; 6 transitions. Inspection physique ; architecture complète encore ouverte.</x:v>
      </x:c>
      <x:c r="H1982" s="115" t="str">
        <x:v>L 212 ; l 228,2 ; hauteur 3 m ; choix de composition auteur ; dimensions réelles à documenter</x:v>
      </x:c>
      <x:c r="I1982" s="115" t="str">
        <x:v>À équilibrer</x:v>
      </x:c>
      <x:c r="J1982" s="115" t="str">
        <x:v>Non</x:v>
      </x:c>
      <x:c r="K1982" s="115" t="str">
        <x:v>Pièces décrites, murs, portes, niveaux et mobilier inspectables à l’échelle. Volumes réservés, raccord au seed, butin, rencontres et services de campagne restent à terminer.</x:v>
      </x:c>
    </x:row>
    <x:row r="1983" ht="96" customHeight="1">
      <x:c r="A1983" s="115" t="str">
        <x:v>EXT-MONDE-T040-V28</x:v>
      </x:c>
      <x:c r="B1983" s="115" t="str">
        <x:v>EXT-MONDE-T040</x:v>
      </x:c>
      <x:c r="C1983" s="115" t="str">
        <x:v>Égouts</x:v>
      </x:c>
      <x:c r="D1983" s="115" t="str">
        <x:v>Station souterraine de relevage</x:v>
      </x:c>
      <x:c r="E1983" s="115" t="n">
        <x:v>28</x:v>
      </x:c>
      <x:c r="F1983" s="115" t="str">
        <x:v>Inspection physique</x:v>
      </x:c>
      <x:c r="G1983" s="115" t="str">
        <x:v>4 niveaux ; 26 pièces ; 240 segments de mur ; 6 transitions. Inspection physique ; architecture complète encore ouverte.</x:v>
      </x:c>
      <x:c r="H1983" s="115" t="str">
        <x:v>L 214 ; l 228,9 ; hauteur 3 m ; choix de composition auteur ; dimensions réelles à documenter</x:v>
      </x:c>
      <x:c r="I1983" s="115" t="str">
        <x:v>À équilibrer</x:v>
      </x:c>
      <x:c r="J1983" s="115" t="str">
        <x:v>Non</x:v>
      </x:c>
      <x:c r="K1983" s="115" t="str">
        <x:v>Pièces décrites, murs, portes, niveaux et mobilier inspectables à l’échelle. Volumes réservés, raccord au seed, butin, rencontres et services de campagne restent à terminer.</x:v>
      </x:c>
    </x:row>
    <x:row r="1984" ht="96" customHeight="1">
      <x:c r="A1984" s="115" t="str">
        <x:v>EXT-MONDE-T040-V29</x:v>
      </x:c>
      <x:c r="B1984" s="115" t="str">
        <x:v>EXT-MONDE-T040</x:v>
      </x:c>
      <x:c r="C1984" s="115" t="str">
        <x:v>Égouts</x:v>
      </x:c>
      <x:c r="D1984" s="115" t="str">
        <x:v>Station souterraine de relevage</x:v>
      </x:c>
      <x:c r="E1984" s="115" t="n">
        <x:v>29</x:v>
      </x:c>
      <x:c r="F1984" s="115" t="str">
        <x:v>Inspection physique</x:v>
      </x:c>
      <x:c r="G1984" s="115" t="str">
        <x:v>4 niveaux ; 26 pièces ; 240 segments de mur ; 6 transitions. Inspection physique ; architecture complète encore ouverte.</x:v>
      </x:c>
      <x:c r="H1984" s="115" t="str">
        <x:v>L 216 ; l 229,6 ; hauteur 3 m ; choix de composition auteur ; dimensions réelles à documenter</x:v>
      </x:c>
      <x:c r="I1984" s="115" t="str">
        <x:v>À équilibrer</x:v>
      </x:c>
      <x:c r="J1984" s="115" t="str">
        <x:v>Non</x:v>
      </x:c>
      <x:c r="K1984" s="115" t="str">
        <x:v>Pièces décrites, murs, portes, niveaux et mobilier inspectables à l’échelle. Volumes réservés, raccord au seed, butin, rencontres et services de campagne restent à terminer.</x:v>
      </x:c>
    </x:row>
    <x:row r="1985" ht="96" customHeight="1">
      <x:c r="A1985" s="115" t="str">
        <x:v>EXT-MONDE-T040-V30</x:v>
      </x:c>
      <x:c r="B1985" s="115" t="str">
        <x:v>EXT-MONDE-T040</x:v>
      </x:c>
      <x:c r="C1985" s="115" t="str">
        <x:v>Égouts</x:v>
      </x:c>
      <x:c r="D1985" s="115" t="str">
        <x:v>Station souterraine de relevage</x:v>
      </x:c>
      <x:c r="E1985" s="115" t="n">
        <x:v>30</x:v>
      </x:c>
      <x:c r="F1985" s="115" t="str">
        <x:v>Inspection physique</x:v>
      </x:c>
      <x:c r="G1985" s="115" t="str">
        <x:v>4 niveaux ; 26 pièces ; 240 segments de mur ; 6 transitions. Inspection physique ; architecture complète encore ouverte.</x:v>
      </x:c>
      <x:c r="H1985" s="115" t="str">
        <x:v>L 218 ; l 230,3 ; hauteur 3 m ; choix de composition auteur ; dimensions réelles à documenter</x:v>
      </x:c>
      <x:c r="I1985" s="115" t="str">
        <x:v>À équilibrer</x:v>
      </x:c>
      <x:c r="J1985" s="115" t="str">
        <x:v>Non</x:v>
      </x:c>
      <x:c r="K1985" s="115" t="str">
        <x:v>Pièces décrites, murs, portes, niveaux et mobilier inspectables à l’échelle. Volumes réservés, raccord au seed, butin, rencontres et services de campagne restent à terminer.</x:v>
      </x:c>
    </x:row>
    <x:row r="1986" ht="96" customHeight="1">
      <x:c r="A1986" s="115" t="str">
        <x:v>EXT-MONDE-T040-V31</x:v>
      </x:c>
      <x:c r="B1986" s="115" t="str">
        <x:v>EXT-MONDE-T040</x:v>
      </x:c>
      <x:c r="C1986" s="115" t="str">
        <x:v>Égouts</x:v>
      </x:c>
      <x:c r="D1986" s="115" t="str">
        <x:v>Station souterraine de relevage</x:v>
      </x:c>
      <x:c r="E1986" s="115" t="n">
        <x:v>31</x:v>
      </x:c>
      <x:c r="F1986" s="115" t="str">
        <x:v>Inspection physique</x:v>
      </x:c>
      <x:c r="G1986" s="115" t="str">
        <x:v>4 niveaux ; 26 pièces ; 240 segments de mur ; 6 transitions. Inspection physique ; architecture complète encore ouverte.</x:v>
      </x:c>
      <x:c r="H1986" s="115" t="str">
        <x:v>L 210 ; l 236 ; hauteur 3 m ; choix de composition auteur ; dimensions réelles à documenter</x:v>
      </x:c>
      <x:c r="I1986" s="115" t="str">
        <x:v>À équilibrer</x:v>
      </x:c>
      <x:c r="J1986" s="115" t="str">
        <x:v>Non</x:v>
      </x:c>
      <x:c r="K1986" s="115" t="str">
        <x:v>Pièces décrites, murs, portes, niveaux et mobilier inspectables à l’échelle. Volumes réservés, raccord au seed, butin, rencontres et services de campagne restent à terminer.</x:v>
      </x:c>
    </x:row>
    <x:row r="1987" ht="96" customHeight="1">
      <x:c r="A1987" s="115" t="str">
        <x:v>EXT-MONDE-T040-V32</x:v>
      </x:c>
      <x:c r="B1987" s="115" t="str">
        <x:v>EXT-MONDE-T040</x:v>
      </x:c>
      <x:c r="C1987" s="115" t="str">
        <x:v>Égouts</x:v>
      </x:c>
      <x:c r="D1987" s="115" t="str">
        <x:v>Station souterraine de relevage</x:v>
      </x:c>
      <x:c r="E1987" s="115" t="n">
        <x:v>32</x:v>
      </x:c>
      <x:c r="F1987" s="115" t="str">
        <x:v>Inspection physique</x:v>
      </x:c>
      <x:c r="G1987" s="115" t="str">
        <x:v>4 niveaux ; 26 pièces ; 240 segments de mur ; 6 transitions. Inspection physique ; architecture complète encore ouverte.</x:v>
      </x:c>
      <x:c r="H1987" s="115" t="str">
        <x:v>L 212 ; l 236,7 ; hauteur 3 m ; choix de composition auteur ; dimensions réelles à documenter</x:v>
      </x:c>
      <x:c r="I1987" s="115" t="str">
        <x:v>À équilibrer</x:v>
      </x:c>
      <x:c r="J1987" s="115" t="str">
        <x:v>Non</x:v>
      </x:c>
      <x:c r="K1987" s="115" t="str">
        <x:v>Pièces décrites, murs, portes, niveaux et mobilier inspectables à l’échelle. Volumes réservés, raccord au seed, butin, rencontres et services de campagne restent à terminer.</x:v>
      </x:c>
    </x:row>
    <x:row r="1988" ht="96" customHeight="1">
      <x:c r="A1988" s="115" t="str">
        <x:v>EXT-MONDE-T040-V33</x:v>
      </x:c>
      <x:c r="B1988" s="115" t="str">
        <x:v>EXT-MONDE-T040</x:v>
      </x:c>
      <x:c r="C1988" s="115" t="str">
        <x:v>Égouts</x:v>
      </x:c>
      <x:c r="D1988" s="115" t="str">
        <x:v>Station souterraine de relevage</x:v>
      </x:c>
      <x:c r="E1988" s="115" t="n">
        <x:v>33</x:v>
      </x:c>
      <x:c r="F1988" s="115" t="str">
        <x:v>Inspection physique</x:v>
      </x:c>
      <x:c r="G1988" s="115" t="str">
        <x:v>4 niveaux ; 26 pièces ; 240 segments de mur ; 6 transitions. Inspection physique ; architecture complète encore ouverte.</x:v>
      </x:c>
      <x:c r="H1988" s="115" t="str">
        <x:v>L 214 ; l 237,4 ; hauteur 3 m ; choix de composition auteur ; dimensions réelles à documenter</x:v>
      </x:c>
      <x:c r="I1988" s="115" t="str">
        <x:v>À équilibrer</x:v>
      </x:c>
      <x:c r="J1988" s="115" t="str">
        <x:v>Non</x:v>
      </x:c>
      <x:c r="K1988" s="115" t="str">
        <x:v>Pièces décrites, murs, portes, niveaux et mobilier inspectables à l’échelle. Volumes réservés, raccord au seed, butin, rencontres et services de campagne restent à terminer.</x:v>
      </x:c>
    </x:row>
    <x:row r="1989" ht="96" customHeight="1">
      <x:c r="A1989" s="115" t="str">
        <x:v>EXT-MONDE-T040-V34</x:v>
      </x:c>
      <x:c r="B1989" s="115" t="str">
        <x:v>EXT-MONDE-T040</x:v>
      </x:c>
      <x:c r="C1989" s="115" t="str">
        <x:v>Égouts</x:v>
      </x:c>
      <x:c r="D1989" s="115" t="str">
        <x:v>Station souterraine de relevage</x:v>
      </x:c>
      <x:c r="E1989" s="115" t="n">
        <x:v>34</x:v>
      </x:c>
      <x:c r="F1989" s="115" t="str">
        <x:v>Inspection physique</x:v>
      </x:c>
      <x:c r="G1989" s="115" t="str">
        <x:v>4 niveaux ; 26 pièces ; 240 segments de mur ; 6 transitions. Inspection physique ; architecture complète encore ouverte.</x:v>
      </x:c>
      <x:c r="H1989" s="115" t="str">
        <x:v>L 216 ; l 238,1 ; hauteur 3 m ; choix de composition auteur ; dimensions réelles à documenter</x:v>
      </x:c>
      <x:c r="I1989" s="115" t="str">
        <x:v>À équilibrer</x:v>
      </x:c>
      <x:c r="J1989" s="115" t="str">
        <x:v>Non</x:v>
      </x:c>
      <x:c r="K1989" s="115" t="str">
        <x:v>Pièces décrites, murs, portes, niveaux et mobilier inspectables à l’échelle. Volumes réservés, raccord au seed, butin, rencontres et services de campagne restent à terminer.</x:v>
      </x:c>
    </x:row>
    <x:row r="1990" ht="96" customHeight="1">
      <x:c r="A1990" s="115" t="str">
        <x:v>EXT-MONDE-T040-V35</x:v>
      </x:c>
      <x:c r="B1990" s="115" t="str">
        <x:v>EXT-MONDE-T040</x:v>
      </x:c>
      <x:c r="C1990" s="115" t="str">
        <x:v>Égouts</x:v>
      </x:c>
      <x:c r="D1990" s="115" t="str">
        <x:v>Station souterraine de relevage</x:v>
      </x:c>
      <x:c r="E1990" s="115" t="n">
        <x:v>35</x:v>
      </x:c>
      <x:c r="F1990" s="115" t="str">
        <x:v>Inspection physique</x:v>
      </x:c>
      <x:c r="G1990" s="115" t="str">
        <x:v>4 niveaux ; 26 pièces ; 240 segments de mur ; 6 transitions. Inspection physique ; architecture complète encore ouverte.</x:v>
      </x:c>
      <x:c r="H1990" s="115" t="str">
        <x:v>L 218 ; l 238,8 ; hauteur 3 m ; choix de composition auteur ; dimensions réelles à documenter</x:v>
      </x:c>
      <x:c r="I1990" s="115" t="str">
        <x:v>À équilibrer</x:v>
      </x:c>
      <x:c r="J1990" s="115" t="str">
        <x:v>Non</x:v>
      </x:c>
      <x:c r="K1990" s="115" t="str">
        <x:v>Pièces décrites, murs, portes, niveaux et mobilier inspectables à l’échelle. Volumes réservés, raccord au seed, butin, rencontres et services de campagne restent à terminer.</x:v>
      </x:c>
    </x:row>
    <x:row r="1991" ht="96" customHeight="1">
      <x:c r="A1991" s="115" t="str">
        <x:v>EXT-MONDE-T040-V36</x:v>
      </x:c>
      <x:c r="B1991" s="115" t="str">
        <x:v>EXT-MONDE-T040</x:v>
      </x:c>
      <x:c r="C1991" s="115" t="str">
        <x:v>Égouts</x:v>
      </x:c>
      <x:c r="D1991" s="115" t="str">
        <x:v>Station souterraine de relevage</x:v>
      </x:c>
      <x:c r="E1991" s="115" t="n">
        <x:v>36</x:v>
      </x:c>
      <x:c r="F1991" s="115" t="str">
        <x:v>Inspection physique</x:v>
      </x:c>
      <x:c r="G1991" s="115" t="str">
        <x:v>4 niveaux ; 26 pièces ; 240 segments de mur ; 6 transitions. Inspection physique ; architecture complète encore ouverte.</x:v>
      </x:c>
      <x:c r="H1991" s="115" t="str">
        <x:v>L 220 ; l 239,5 ; hauteur 3 m ; choix de composition auteur ; dimensions réelles à documenter</x:v>
      </x:c>
      <x:c r="I1991" s="115" t="str">
        <x:v>À équilibrer</x:v>
      </x:c>
      <x:c r="J1991" s="115" t="str">
        <x:v>Non</x:v>
      </x:c>
      <x:c r="K1991" s="115" t="str">
        <x:v>Pièces décrites, murs, portes, niveaux et mobilier inspectables à l’échelle. Volumes réservés, raccord au seed, butin, rencontres et services de campagne restent à terminer.</x:v>
      </x:c>
    </x:row>
    <x:row r="1992" ht="96" customHeight="1">
      <x:c r="A1992" s="115" t="str">
        <x:v>EXT-MONDE-T040-V37</x:v>
      </x:c>
      <x:c r="B1992" s="115" t="str">
        <x:v>EXT-MONDE-T040</x:v>
      </x:c>
      <x:c r="C1992" s="115" t="str">
        <x:v>Égouts</x:v>
      </x:c>
      <x:c r="D1992" s="115" t="str">
        <x:v>Station souterraine de relevage</x:v>
      </x:c>
      <x:c r="E1992" s="115" t="n">
        <x:v>37</x:v>
      </x:c>
      <x:c r="F1992" s="115" t="str">
        <x:v>Inspection physique</x:v>
      </x:c>
      <x:c r="G1992" s="115" t="str">
        <x:v>4 niveaux ; 26 pièces ; 240 segments de mur ; 6 transitions. Inspection physique ; architecture complète encore ouverte.</x:v>
      </x:c>
      <x:c r="H1992" s="115" t="str">
        <x:v>L 222 ; l 240,2 ; hauteur 3 m ; choix de composition auteur ; dimensions réelles à documenter</x:v>
      </x:c>
      <x:c r="I1992" s="115" t="str">
        <x:v>À équilibrer</x:v>
      </x:c>
      <x:c r="J1992" s="115" t="str">
        <x:v>Non</x:v>
      </x:c>
      <x:c r="K1992" s="115" t="str">
        <x:v>Pièces décrites, murs, portes, niveaux et mobilier inspectables à l’échelle. Volumes réservés, raccord au seed, butin, rencontres et services de campagne restent à terminer.</x:v>
      </x:c>
    </x:row>
    <x:row r="1993" ht="96" customHeight="1">
      <x:c r="A1993" s="115" t="str">
        <x:v>EXT-MONDE-T040-V38</x:v>
      </x:c>
      <x:c r="B1993" s="115" t="str">
        <x:v>EXT-MONDE-T040</x:v>
      </x:c>
      <x:c r="C1993" s="115" t="str">
        <x:v>Égouts</x:v>
      </x:c>
      <x:c r="D1993" s="115" t="str">
        <x:v>Station souterraine de relevage</x:v>
      </x:c>
      <x:c r="E1993" s="115" t="n">
        <x:v>38</x:v>
      </x:c>
      <x:c r="F1993" s="115" t="str">
        <x:v>Inspection physique</x:v>
      </x:c>
      <x:c r="G1993" s="115" t="str">
        <x:v>4 niveaux ; 26 pièces ; 240 segments de mur ; 6 transitions. Inspection physique ; architecture complète encore ouverte.</x:v>
      </x:c>
      <x:c r="H1993" s="115" t="str">
        <x:v>L 224 ; l 240,9 ; hauteur 3 m ; choix de composition auteur ; dimensions réelles à documenter</x:v>
      </x:c>
      <x:c r="I1993" s="115" t="str">
        <x:v>À équilibrer</x:v>
      </x:c>
      <x:c r="J1993" s="115" t="str">
        <x:v>Non</x:v>
      </x:c>
      <x:c r="K1993" s="115" t="str">
        <x:v>Pièces décrites, murs, portes, niveaux et mobilier inspectables à l’échelle. Volumes réservés, raccord au seed, butin, rencontres et services de campagne restent à terminer.</x:v>
      </x:c>
    </x:row>
    <x:row r="1994" ht="96" customHeight="1">
      <x:c r="A1994" s="115" t="str">
        <x:v>EXT-MONDE-T040-V39</x:v>
      </x:c>
      <x:c r="B1994" s="115" t="str">
        <x:v>EXT-MONDE-T040</x:v>
      </x:c>
      <x:c r="C1994" s="115" t="str">
        <x:v>Égouts</x:v>
      </x:c>
      <x:c r="D1994" s="115" t="str">
        <x:v>Station souterraine de relevage</x:v>
      </x:c>
      <x:c r="E1994" s="115" t="n">
        <x:v>39</x:v>
      </x:c>
      <x:c r="F1994" s="115" t="str">
        <x:v>Inspection physique</x:v>
      </x:c>
      <x:c r="G1994" s="115" t="str">
        <x:v>4 niveaux ; 26 pièces ; 240 segments de mur ; 6 transitions. Inspection physique ; architecture complète encore ouverte.</x:v>
      </x:c>
      <x:c r="H1994" s="115" t="str">
        <x:v>L 226 ; l 241,6 ; hauteur 3 m ; choix de composition auteur ; dimensions réelles à documenter</x:v>
      </x:c>
      <x:c r="I1994" s="115" t="str">
        <x:v>À équilibrer</x:v>
      </x:c>
      <x:c r="J1994" s="115" t="str">
        <x:v>Non</x:v>
      </x:c>
      <x:c r="K1994" s="115" t="str">
        <x:v>Pièces décrites, murs, portes, niveaux et mobilier inspectables à l’échelle. Volumes réservés, raccord au seed, butin, rencontres et services de campagne restent à terminer.</x:v>
      </x:c>
    </x:row>
    <x:row r="1995" ht="96" customHeight="1">
      <x:c r="A1995" s="115" t="str">
        <x:v>EXT-MONDE-T040-V40</x:v>
      </x:c>
      <x:c r="B1995" s="115" t="str">
        <x:v>EXT-MONDE-T040</x:v>
      </x:c>
      <x:c r="C1995" s="115" t="str">
        <x:v>Égouts</x:v>
      </x:c>
      <x:c r="D1995" s="115" t="str">
        <x:v>Station souterraine de relevage</x:v>
      </x:c>
      <x:c r="E1995" s="115" t="n">
        <x:v>40</x:v>
      </x:c>
      <x:c r="F1995" s="115" t="str">
        <x:v>Inspection physique</x:v>
      </x:c>
      <x:c r="G1995" s="115" t="str">
        <x:v>4 niveaux ; 26 pièces ; 240 segments de mur ; 6 transitions. Inspection physique ; architecture complète encore ouverte.</x:v>
      </x:c>
      <x:c r="H1995" s="115" t="str">
        <x:v>L 228 ; l 242,3 ; hauteur 3 m ; choix de composition auteur ; dimensions réelles à documenter</x:v>
      </x:c>
      <x:c r="I1995" s="115" t="str">
        <x:v>À équilibrer</x:v>
      </x:c>
      <x:c r="J1995" s="115" t="str">
        <x:v>Non</x:v>
      </x:c>
      <x:c r="K1995" s="115" t="str">
        <x:v>Pièces décrites, murs, portes, niveaux et mobilier inspectables à l’échelle. Volumes réservés, raccord au seed, butin, rencontres et services de campagne restent à terminer.</x:v>
      </x:c>
    </x:row>
    <x:row r="1996" ht="96" customHeight="1">
      <x:c r="A1996" s="115" t="str">
        <x:v>EXT-MONDE-T040-V41</x:v>
      </x:c>
      <x:c r="B1996" s="115" t="str">
        <x:v>EXT-MONDE-T040</x:v>
      </x:c>
      <x:c r="C1996" s="115" t="str">
        <x:v>Égouts</x:v>
      </x:c>
      <x:c r="D1996" s="115" t="str">
        <x:v>Station souterraine de relevage</x:v>
      </x:c>
      <x:c r="E1996" s="115" t="n">
        <x:v>41</x:v>
      </x:c>
      <x:c r="F1996" s="115" t="str">
        <x:v>Inspection physique</x:v>
      </x:c>
      <x:c r="G1996" s="115" t="str">
        <x:v>4 niveaux ; 26 pièces ; 240 segments de mur ; 6 transitions. Inspection physique ; architecture complète encore ouverte.</x:v>
      </x:c>
      <x:c r="H1996" s="115" t="str">
        <x:v>L 220 ; l 248 ; hauteur 3 m ; choix de composition auteur ; dimensions réelles à documenter</x:v>
      </x:c>
      <x:c r="I1996" s="115" t="str">
        <x:v>À équilibrer</x:v>
      </x:c>
      <x:c r="J1996" s="115" t="str">
        <x:v>Non</x:v>
      </x:c>
      <x:c r="K1996" s="115" t="str">
        <x:v>Pièces décrites, murs, portes, niveaux et mobilier inspectables à l’échelle. Volumes réservés, raccord au seed, butin, rencontres et services de campagne restent à terminer.</x:v>
      </x:c>
    </x:row>
    <x:row r="1997" ht="96" customHeight="1">
      <x:c r="A1997" s="115" t="str">
        <x:v>EXT-MONDE-T040-V42</x:v>
      </x:c>
      <x:c r="B1997" s="115" t="str">
        <x:v>EXT-MONDE-T040</x:v>
      </x:c>
      <x:c r="C1997" s="115" t="str">
        <x:v>Égouts</x:v>
      </x:c>
      <x:c r="D1997" s="115" t="str">
        <x:v>Station souterraine de relevage</x:v>
      </x:c>
      <x:c r="E1997" s="115" t="n">
        <x:v>42</x:v>
      </x:c>
      <x:c r="F1997" s="115" t="str">
        <x:v>Inspection physique</x:v>
      </x:c>
      <x:c r="G1997" s="115" t="str">
        <x:v>4 niveaux ; 26 pièces ; 240 segments de mur ; 6 transitions. Inspection physique ; architecture complète encore ouverte.</x:v>
      </x:c>
      <x:c r="H1997" s="115" t="str">
        <x:v>L 222 ; l 248,7 ; hauteur 3 m ; choix de composition auteur ; dimensions réelles à documenter</x:v>
      </x:c>
      <x:c r="I1997" s="115" t="str">
        <x:v>À équilibrer</x:v>
      </x:c>
      <x:c r="J1997" s="115" t="str">
        <x:v>Non</x:v>
      </x:c>
      <x:c r="K1997" s="115" t="str">
        <x:v>Pièces décrites, murs, portes, niveaux et mobilier inspectables à l’échelle. Volumes réservés, raccord au seed, butin, rencontres et services de campagne restent à terminer.</x:v>
      </x:c>
    </x:row>
    <x:row r="1998" ht="96" customHeight="1">
      <x:c r="A1998" s="115" t="str">
        <x:v>EXT-MONDE-T040-V43</x:v>
      </x:c>
      <x:c r="B1998" s="115" t="str">
        <x:v>EXT-MONDE-T040</x:v>
      </x:c>
      <x:c r="C1998" s="115" t="str">
        <x:v>Égouts</x:v>
      </x:c>
      <x:c r="D1998" s="115" t="str">
        <x:v>Station souterraine de relevage</x:v>
      </x:c>
      <x:c r="E1998" s="115" t="n">
        <x:v>43</x:v>
      </x:c>
      <x:c r="F1998" s="115" t="str">
        <x:v>Inspection physique</x:v>
      </x:c>
      <x:c r="G1998" s="115" t="str">
        <x:v>4 niveaux ; 26 pièces ; 240 segments de mur ; 6 transitions. Inspection physique ; architecture complète encore ouverte.</x:v>
      </x:c>
      <x:c r="H1998" s="115" t="str">
        <x:v>L 224 ; l 249,4 ; hauteur 3 m ; choix de composition auteur ; dimensions réelles à documenter</x:v>
      </x:c>
      <x:c r="I1998" s="115" t="str">
        <x:v>À équilibrer</x:v>
      </x:c>
      <x:c r="J1998" s="115" t="str">
        <x:v>Non</x:v>
      </x:c>
      <x:c r="K1998" s="115" t="str">
        <x:v>Pièces décrites, murs, portes, niveaux et mobilier inspectables à l’échelle. Volumes réservés, raccord au seed, butin, rencontres et services de campagne restent à terminer.</x:v>
      </x:c>
    </x:row>
    <x:row r="1999" ht="96" customHeight="1">
      <x:c r="A1999" s="115" t="str">
        <x:v>EXT-MONDE-T040-V44</x:v>
      </x:c>
      <x:c r="B1999" s="115" t="str">
        <x:v>EXT-MONDE-T040</x:v>
      </x:c>
      <x:c r="C1999" s="115" t="str">
        <x:v>Égouts</x:v>
      </x:c>
      <x:c r="D1999" s="115" t="str">
        <x:v>Station souterraine de relevage</x:v>
      </x:c>
      <x:c r="E1999" s="115" t="n">
        <x:v>44</x:v>
      </x:c>
      <x:c r="F1999" s="115" t="str">
        <x:v>Inspection physique</x:v>
      </x:c>
      <x:c r="G1999" s="115" t="str">
        <x:v>4 niveaux ; 26 pièces ; 240 segments de mur ; 6 transitions. Inspection physique ; architecture complète encore ouverte.</x:v>
      </x:c>
      <x:c r="H1999" s="115" t="str">
        <x:v>L 226 ; l 250,1 ; hauteur 3 m ; choix de composition auteur ; dimensions réelles à documenter</x:v>
      </x:c>
      <x:c r="I1999" s="115" t="str">
        <x:v>À équilibrer</x:v>
      </x:c>
      <x:c r="J1999" s="115" t="str">
        <x:v>Non</x:v>
      </x:c>
      <x:c r="K1999" s="115" t="str">
        <x:v>Pièces décrites, murs, portes, niveaux et mobilier inspectables à l’échelle. Volumes réservés, raccord au seed, butin, rencontres et services de campagne restent à terminer.</x:v>
      </x:c>
    </x:row>
    <x:row r="2000" ht="96" customHeight="1">
      <x:c r="A2000" s="115" t="str">
        <x:v>EXT-MONDE-T040-V45</x:v>
      </x:c>
      <x:c r="B2000" s="115" t="str">
        <x:v>EXT-MONDE-T040</x:v>
      </x:c>
      <x:c r="C2000" s="115" t="str">
        <x:v>Égouts</x:v>
      </x:c>
      <x:c r="D2000" s="115" t="str">
        <x:v>Station souterraine de relevage</x:v>
      </x:c>
      <x:c r="E2000" s="115" t="n">
        <x:v>45</x:v>
      </x:c>
      <x:c r="F2000" s="115" t="str">
        <x:v>Inspection physique</x:v>
      </x:c>
      <x:c r="G2000" s="115" t="str">
        <x:v>4 niveaux ; 26 pièces ; 240 segments de mur ; 6 transitions. Inspection physique ; architecture complète encore ouverte.</x:v>
      </x:c>
      <x:c r="H2000" s="115" t="str">
        <x:v>L 228 ; l 250,8 ; hauteur 3 m ; choix de composition auteur ; dimensions réelles à documenter</x:v>
      </x:c>
      <x:c r="I2000" s="115" t="str">
        <x:v>À équilibrer</x:v>
      </x:c>
      <x:c r="J2000" s="115" t="str">
        <x:v>Non</x:v>
      </x:c>
      <x:c r="K2000" s="115" t="str">
        <x:v>Pièces décrites, murs, portes, niveaux et mobilier inspectables à l’échelle. Volumes réservés, raccord au seed, butin, rencontres et services de campagne restent à terminer.</x:v>
      </x:c>
    </x:row>
    <x:row r="2001" ht="96" customHeight="1">
      <x:c r="A2001" s="115" t="str">
        <x:v>EXT-MONDE-T040-V46</x:v>
      </x:c>
      <x:c r="B2001" s="115" t="str">
        <x:v>EXT-MONDE-T040</x:v>
      </x:c>
      <x:c r="C2001" s="115" t="str">
        <x:v>Égouts</x:v>
      </x:c>
      <x:c r="D2001" s="115" t="str">
        <x:v>Station souterraine de relevage</x:v>
      </x:c>
      <x:c r="E2001" s="115" t="n">
        <x:v>46</x:v>
      </x:c>
      <x:c r="F2001" s="115" t="str">
        <x:v>Inspection physique</x:v>
      </x:c>
      <x:c r="G2001" s="115" t="str">
        <x:v>4 niveaux ; 26 pièces ; 240 segments de mur ; 6 transitions. Inspection physique ; architecture complète encore ouverte.</x:v>
      </x:c>
      <x:c r="H2001" s="115" t="str">
        <x:v>L 230 ; l 251,5 ; hauteur 3 m ; choix de composition auteur ; dimensions réelles à documenter</x:v>
      </x:c>
      <x:c r="I2001" s="115" t="str">
        <x:v>À équilibrer</x:v>
      </x:c>
      <x:c r="J2001" s="115" t="str">
        <x:v>Non</x:v>
      </x:c>
      <x:c r="K2001" s="115" t="str">
        <x:v>Pièces décrites, murs, portes, niveaux et mobilier inspectables à l’échelle. Volumes réservés, raccord au seed, butin, rencontres et services de campagne restent à terminer.</x:v>
      </x:c>
    </x:row>
    <x:row r="2002" ht="96" customHeight="1">
      <x:c r="A2002" s="115" t="str">
        <x:v>EXT-MONDE-T040-V47</x:v>
      </x:c>
      <x:c r="B2002" s="115" t="str">
        <x:v>EXT-MONDE-T040</x:v>
      </x:c>
      <x:c r="C2002" s="115" t="str">
        <x:v>Égouts</x:v>
      </x:c>
      <x:c r="D2002" s="115" t="str">
        <x:v>Station souterraine de relevage</x:v>
      </x:c>
      <x:c r="E2002" s="115" t="n">
        <x:v>47</x:v>
      </x:c>
      <x:c r="F2002" s="115" t="str">
        <x:v>Inspection physique</x:v>
      </x:c>
      <x:c r="G2002" s="115" t="str">
        <x:v>4 niveaux ; 26 pièces ; 240 segments de mur ; 6 transitions. Inspection physique ; architecture complète encore ouverte.</x:v>
      </x:c>
      <x:c r="H2002" s="115" t="str">
        <x:v>L 232 ; l 252,2 ; hauteur 3 m ; choix de composition auteur ; dimensions réelles à documenter</x:v>
      </x:c>
      <x:c r="I2002" s="115" t="str">
        <x:v>À équilibrer</x:v>
      </x:c>
      <x:c r="J2002" s="115" t="str">
        <x:v>Non</x:v>
      </x:c>
      <x:c r="K2002" s="115" t="str">
        <x:v>Pièces décrites, murs, portes, niveaux et mobilier inspectables à l’échelle. Volumes réservés, raccord au seed, butin, rencontres et services de campagne restent à terminer.</x:v>
      </x:c>
    </x:row>
    <x:row r="2003" ht="96" customHeight="1">
      <x:c r="A2003" s="115" t="str">
        <x:v>EXT-MONDE-T040-V48</x:v>
      </x:c>
      <x:c r="B2003" s="115" t="str">
        <x:v>EXT-MONDE-T040</x:v>
      </x:c>
      <x:c r="C2003" s="115" t="str">
        <x:v>Égouts</x:v>
      </x:c>
      <x:c r="D2003" s="115" t="str">
        <x:v>Station souterraine de relevage</x:v>
      </x:c>
      <x:c r="E2003" s="115" t="n">
        <x:v>48</x:v>
      </x:c>
      <x:c r="F2003" s="115" t="str">
        <x:v>Inspection physique</x:v>
      </x:c>
      <x:c r="G2003" s="115" t="str">
        <x:v>4 niveaux ; 26 pièces ; 240 segments de mur ; 6 transitions. Inspection physique ; architecture complète encore ouverte.</x:v>
      </x:c>
      <x:c r="H2003" s="115" t="str">
        <x:v>L 234 ; l 252,9 ; hauteur 3 m ; choix de composition auteur ; dimensions réelles à documenter</x:v>
      </x:c>
      <x:c r="I2003" s="115" t="str">
        <x:v>À équilibrer</x:v>
      </x:c>
      <x:c r="J2003" s="115" t="str">
        <x:v>Non</x:v>
      </x:c>
      <x:c r="K2003" s="115" t="str">
        <x:v>Pièces décrites, murs, portes, niveaux et mobilier inspectables à l’échelle. Volumes réservés, raccord au seed, butin, rencontres et services de campagne restent à terminer.</x:v>
      </x:c>
    </x:row>
    <x:row r="2004" ht="96" customHeight="1">
      <x:c r="A2004" s="115" t="str">
        <x:v>EXT-MONDE-T040-V49</x:v>
      </x:c>
      <x:c r="B2004" s="115" t="str">
        <x:v>EXT-MONDE-T040</x:v>
      </x:c>
      <x:c r="C2004" s="115" t="str">
        <x:v>Égouts</x:v>
      </x:c>
      <x:c r="D2004" s="115" t="str">
        <x:v>Station souterraine de relevage</x:v>
      </x:c>
      <x:c r="E2004" s="115" t="n">
        <x:v>49</x:v>
      </x:c>
      <x:c r="F2004" s="115" t="str">
        <x:v>Inspection physique</x:v>
      </x:c>
      <x:c r="G2004" s="115" t="str">
        <x:v>4 niveaux ; 26 pièces ; 240 segments de mur ; 6 transitions. Inspection physique ; architecture complète encore ouverte.</x:v>
      </x:c>
      <x:c r="H2004" s="115" t="str">
        <x:v>L 236 ; l 253,6 ; hauteur 3 m ; choix de composition auteur ; dimensions réelles à documenter</x:v>
      </x:c>
      <x:c r="I2004" s="115" t="str">
        <x:v>À équilibrer</x:v>
      </x:c>
      <x:c r="J2004" s="115" t="str">
        <x:v>Non</x:v>
      </x:c>
      <x:c r="K2004" s="115" t="str">
        <x:v>Pièces décrites, murs, portes, niveaux et mobilier inspectables à l’échelle. Volumes réservés, raccord au seed, butin, rencontres et services de campagne restent à terminer.</x:v>
      </x:c>
    </x:row>
    <x:row r="2005" ht="96" customHeight="1">
      <x:c r="A2005" s="115" t="str">
        <x:v>EXT-MONDE-T040-V50</x:v>
      </x:c>
      <x:c r="B2005" s="115" t="str">
        <x:v>EXT-MONDE-T040</x:v>
      </x:c>
      <x:c r="C2005" s="115" t="str">
        <x:v>Égouts</x:v>
      </x:c>
      <x:c r="D2005" s="115" t="str">
        <x:v>Station souterraine de relevage</x:v>
      </x:c>
      <x:c r="E2005" s="115" t="n">
        <x:v>50</x:v>
      </x:c>
      <x:c r="F2005" s="115" t="str">
        <x:v>Inspection physique</x:v>
      </x:c>
      <x:c r="G2005" s="115" t="str">
        <x:v>4 niveaux ; 26 pièces ; 240 segments de mur ; 6 transitions. Inspection physique ; architecture complète encore ouverte.</x:v>
      </x:c>
      <x:c r="H2005" s="115" t="str">
        <x:v>L 238 ; l 254,3 ; hauteur 3 m ; choix de composition auteur ; dimensions réelles à documenter</x:v>
      </x:c>
      <x:c r="I2005" s="115" t="str">
        <x:v>À équilibrer</x:v>
      </x:c>
      <x:c r="J2005" s="115" t="str">
        <x:v>Non</x:v>
      </x:c>
      <x:c r="K2005" s="115" t="str">
        <x:v>Pièces décrites, murs, portes, niveaux et mobilier inspectables à l’échelle. Volumes réservés, raccord au seed, butin, rencontres et services de campagne restent à terminer.</x:v>
      </x:c>
    </x:row>
    <x:row r="2006" ht="96" customHeight="1">
      <x:c r="A2006" s="115" t="str">
        <x:v>EXT-MONDE-T041-V01</x:v>
      </x:c>
      <x:c r="B2006" s="115" t="str">
        <x:v>EXT-MONDE-T041</x:v>
      </x:c>
      <x:c r="C2006" s="115" t="str">
        <x:v>HLM visitables</x:v>
      </x:c>
      <x:c r="D2006" s="115" t="str">
        <x:v>Barre HLM</x:v>
      </x:c>
      <x:c r="E2006" s="115" t="n">
        <x:v>1</x:v>
      </x:c>
      <x:c r="F2006" s="115" t="str">
        <x:v>Inspection physique</x:v>
      </x:c>
      <x:c r="G2006" s="115" t="str">
        <x:v>4 niveaux ; 74 pièces ; 563 segments de mur ; 3 transitions. Inspection physique ; architecture complète encore ouverte.</x:v>
      </x:c>
      <x:c r="H2006" s="115" t="str">
        <x:v>L 77 ; l 84,8 ; hauteur 9,35 m ; choix de composition auteur ; dimensions réelles à documenter</x:v>
      </x:c>
      <x:c r="I2006" s="115" t="str">
        <x:v>À équilibrer</x:v>
      </x:c>
      <x:c r="J2006" s="115" t="str">
        <x:v>Non</x:v>
      </x:c>
      <x:c r="K2006" s="115" t="str">
        <x:v>Pièces décrites, murs, portes, niveaux et mobilier inspectables à l’échelle. Volumes réservés, raccord au seed, butin, rencontres et services de campagne restent à terminer.</x:v>
      </x:c>
    </x:row>
    <x:row r="2007" ht="96" customHeight="1">
      <x:c r="A2007" s="115" t="str">
        <x:v>EXT-MONDE-T041-V02</x:v>
      </x:c>
      <x:c r="B2007" s="115" t="str">
        <x:v>EXT-MONDE-T041</x:v>
      </x:c>
      <x:c r="C2007" s="115" t="str">
        <x:v>HLM visitables</x:v>
      </x:c>
      <x:c r="D2007" s="115" t="str">
        <x:v>Barre HLM</x:v>
      </x:c>
      <x:c r="E2007" s="115" t="n">
        <x:v>2</x:v>
      </x:c>
      <x:c r="F2007" s="115" t="str">
        <x:v>Inspection physique</x:v>
      </x:c>
      <x:c r="G2007" s="115" t="str">
        <x:v>4 niveaux ; 110 pièces ; 821 segments de mur ; 3 transitions. Inspection physique ; architecture complète encore ouverte.</x:v>
      </x:c>
      <x:c r="H2007" s="115" t="str">
        <x:v>L 77,4 ; l 96,62 ; hauteur 9,45 m ; choix de composition auteur ; dimensions réelles à documenter</x:v>
      </x:c>
      <x:c r="I2007" s="115" t="str">
        <x:v>À équilibrer</x:v>
      </x:c>
      <x:c r="J2007" s="115" t="str">
        <x:v>Non</x:v>
      </x:c>
      <x:c r="K2007" s="115" t="str">
        <x:v>Pièces décrites, murs, portes, niveaux et mobilier inspectables à l’échelle. Volumes réservés, raccord au seed, butin, rencontres et services de campagne restent à terminer.</x:v>
      </x:c>
    </x:row>
    <x:row r="2008" ht="96" customHeight="1">
      <x:c r="A2008" s="115" t="str">
        <x:v>EXT-MONDE-T041-V03</x:v>
      </x:c>
      <x:c r="B2008" s="115" t="str">
        <x:v>EXT-MONDE-T041</x:v>
      </x:c>
      <x:c r="C2008" s="115" t="str">
        <x:v>HLM visitables</x:v>
      </x:c>
      <x:c r="D2008" s="115" t="str">
        <x:v>Barre HLM</x:v>
      </x:c>
      <x:c r="E2008" s="115" t="n">
        <x:v>3</x:v>
      </x:c>
      <x:c r="F2008" s="115" t="str">
        <x:v>Inspection physique</x:v>
      </x:c>
      <x:c r="G2008" s="115" t="str">
        <x:v>4 niveaux ; 74 pièces ; 563 segments de mur ; 3 transitions. Inspection physique ; architecture complète encore ouverte.</x:v>
      </x:c>
      <x:c r="H2008" s="115" t="str">
        <x:v>L 77,8 ; l 85,56 ; hauteur 9,55 m ; choix de composition auteur ; dimensions réelles à documenter</x:v>
      </x:c>
      <x:c r="I2008" s="115" t="str">
        <x:v>À équilibrer</x:v>
      </x:c>
      <x:c r="J2008" s="115" t="str">
        <x:v>Non</x:v>
      </x:c>
      <x:c r="K2008" s="115" t="str">
        <x:v>Pièces décrites, murs, portes, niveaux et mobilier inspectables à l’échelle. Volumes réservés, raccord au seed, butin, rencontres et services de campagne restent à terminer.</x:v>
      </x:c>
    </x:row>
    <x:row r="2009" ht="96" customHeight="1">
      <x:c r="A2009" s="115" t="str">
        <x:v>EXT-MONDE-T041-V04</x:v>
      </x:c>
      <x:c r="B2009" s="115" t="str">
        <x:v>EXT-MONDE-T041</x:v>
      </x:c>
      <x:c r="C2009" s="115" t="str">
        <x:v>HLM visitables</x:v>
      </x:c>
      <x:c r="D2009" s="115" t="str">
        <x:v>Barre HLM</x:v>
      </x:c>
      <x:c r="E2009" s="115" t="n">
        <x:v>4</x:v>
      </x:c>
      <x:c r="F2009" s="115" t="str">
        <x:v>Inspection physique</x:v>
      </x:c>
      <x:c r="G2009" s="115" t="str">
        <x:v>4 niveaux ; 110 pièces ; 821 segments de mur ; 3 transitions. Inspection physique ; architecture complète encore ouverte.</x:v>
      </x:c>
      <x:c r="H2009" s="115" t="str">
        <x:v>L 78,2 ; l 97,46 ; hauteur 9,35 m ; choix de composition auteur ; dimensions réelles à documenter</x:v>
      </x:c>
      <x:c r="I2009" s="115" t="str">
        <x:v>À équilibrer</x:v>
      </x:c>
      <x:c r="J2009" s="115" t="str">
        <x:v>Non</x:v>
      </x:c>
      <x:c r="K2009" s="115" t="str">
        <x:v>Pièces décrites, murs, portes, niveaux et mobilier inspectables à l’échelle. Volumes réservés, raccord au seed, butin, rencontres et services de campagne restent à terminer.</x:v>
      </x:c>
    </x:row>
    <x:row r="2010" ht="96" customHeight="1">
      <x:c r="A2010" s="115" t="str">
        <x:v>EXT-MONDE-T041-V05</x:v>
      </x:c>
      <x:c r="B2010" s="115" t="str">
        <x:v>EXT-MONDE-T041</x:v>
      </x:c>
      <x:c r="C2010" s="115" t="str">
        <x:v>HLM visitables</x:v>
      </x:c>
      <x:c r="D2010" s="115" t="str">
        <x:v>Barre HLM</x:v>
      </x:c>
      <x:c r="E2010" s="115" t="n">
        <x:v>5</x:v>
      </x:c>
      <x:c r="F2010" s="115" t="str">
        <x:v>Inspection physique</x:v>
      </x:c>
      <x:c r="G2010" s="115" t="str">
        <x:v>4 niveaux ; 74 pièces ; 563 segments de mur ; 3 transitions. Inspection physique ; architecture complète encore ouverte.</x:v>
      </x:c>
      <x:c r="H2010" s="115" t="str">
        <x:v>L 78,6 ; l 86,32 ; hauteur 9,45 m ; choix de composition auteur ; dimensions réelles à documenter</x:v>
      </x:c>
      <x:c r="I2010" s="115" t="str">
        <x:v>À équilibrer</x:v>
      </x:c>
      <x:c r="J2010" s="115" t="str">
        <x:v>Non</x:v>
      </x:c>
      <x:c r="K2010" s="115" t="str">
        <x:v>Pièces décrites, murs, portes, niveaux et mobilier inspectables à l’échelle. Volumes réservés, raccord au seed, butin, rencontres et services de campagne restent à terminer.</x:v>
      </x:c>
    </x:row>
    <x:row r="2011" ht="96" customHeight="1">
      <x:c r="A2011" s="115" t="str">
        <x:v>EXT-MONDE-T041-V06</x:v>
      </x:c>
      <x:c r="B2011" s="115" t="str">
        <x:v>EXT-MONDE-T041</x:v>
      </x:c>
      <x:c r="C2011" s="115" t="str">
        <x:v>HLM visitables</x:v>
      </x:c>
      <x:c r="D2011" s="115" t="str">
        <x:v>Barre HLM</x:v>
      </x:c>
      <x:c r="E2011" s="115" t="n">
        <x:v>6</x:v>
      </x:c>
      <x:c r="F2011" s="115" t="str">
        <x:v>Inspection physique</x:v>
      </x:c>
      <x:c r="G2011" s="115" t="str">
        <x:v>4 niveaux ; 110 pièces ; 821 segments de mur ; 3 transitions. Inspection physique ; architecture complète encore ouverte.</x:v>
      </x:c>
      <x:c r="H2011" s="115" t="str">
        <x:v>L 78,65 ; l 97,7 ; hauteur 9,55 m ; choix de composition auteur ; dimensions réelles à documenter</x:v>
      </x:c>
      <x:c r="I2011" s="115" t="str">
        <x:v>À équilibrer</x:v>
      </x:c>
      <x:c r="J2011" s="115" t="str">
        <x:v>Non</x:v>
      </x:c>
      <x:c r="K2011" s="115" t="str">
        <x:v>Pièces décrites, murs, portes, niveaux et mobilier inspectables à l’échelle. Volumes réservés, raccord au seed, butin, rencontres et services de campagne restent à terminer.</x:v>
      </x:c>
    </x:row>
    <x:row r="2012" ht="96" customHeight="1">
      <x:c r="A2012" s="115" t="str">
        <x:v>EXT-MONDE-T041-V07</x:v>
      </x:c>
      <x:c r="B2012" s="115" t="str">
        <x:v>EXT-MONDE-T041</x:v>
      </x:c>
      <x:c r="C2012" s="115" t="str">
        <x:v>HLM visitables</x:v>
      </x:c>
      <x:c r="D2012" s="115" t="str">
        <x:v>Barre HLM</x:v>
      </x:c>
      <x:c r="E2012" s="115" t="n">
        <x:v>7</x:v>
      </x:c>
      <x:c r="F2012" s="115" t="str">
        <x:v>Inspection physique</x:v>
      </x:c>
      <x:c r="G2012" s="115" t="str">
        <x:v>4 niveaux ; 74 pièces ; 563 segments de mur ; 3 transitions. Inspection physique ; architecture complète encore ouverte.</x:v>
      </x:c>
      <x:c r="H2012" s="115" t="str">
        <x:v>L 79,05 ; l 86,68 ; hauteur 9,35 m ; choix de composition auteur ; dimensions réelles à documenter</x:v>
      </x:c>
      <x:c r="I2012" s="115" t="str">
        <x:v>À équilibrer</x:v>
      </x:c>
      <x:c r="J2012" s="115" t="str">
        <x:v>Non</x:v>
      </x:c>
      <x:c r="K2012" s="115" t="str">
        <x:v>Pièces décrites, murs, portes, niveaux et mobilier inspectables à l’échelle. Volumes réservés, raccord au seed, butin, rencontres et services de campagne restent à terminer.</x:v>
      </x:c>
    </x:row>
    <x:row r="2013" ht="96" customHeight="1">
      <x:c r="A2013" s="115" t="str">
        <x:v>EXT-MONDE-T041-V08</x:v>
      </x:c>
      <x:c r="B2013" s="115" t="str">
        <x:v>EXT-MONDE-T041</x:v>
      </x:c>
      <x:c r="C2013" s="115" t="str">
        <x:v>HLM visitables</x:v>
      </x:c>
      <x:c r="D2013" s="115" t="str">
        <x:v>Barre HLM</x:v>
      </x:c>
      <x:c r="E2013" s="115" t="n">
        <x:v>8</x:v>
      </x:c>
      <x:c r="F2013" s="115" t="str">
        <x:v>Inspection physique</x:v>
      </x:c>
      <x:c r="G2013" s="115" t="str">
        <x:v>4 niveaux ; 110 pièces ; 821 segments de mur ; 3 transitions. Inspection physique ; architecture complète encore ouverte.</x:v>
      </x:c>
      <x:c r="H2013" s="115" t="str">
        <x:v>L 79,45 ; l 98,54 ; hauteur 9,45 m ; choix de composition auteur ; dimensions réelles à documenter</x:v>
      </x:c>
      <x:c r="I2013" s="115" t="str">
        <x:v>À équilibrer</x:v>
      </x:c>
      <x:c r="J2013" s="115" t="str">
        <x:v>Non</x:v>
      </x:c>
      <x:c r="K2013" s="115" t="str">
        <x:v>Pièces décrites, murs, portes, niveaux et mobilier inspectables à l’échelle. Volumes réservés, raccord au seed, butin, rencontres et services de campagne restent à terminer.</x:v>
      </x:c>
    </x:row>
    <x:row r="2014" ht="96" customHeight="1">
      <x:c r="A2014" s="115" t="str">
        <x:v>EXT-MONDE-T041-V09</x:v>
      </x:c>
      <x:c r="B2014" s="115" t="str">
        <x:v>EXT-MONDE-T041</x:v>
      </x:c>
      <x:c r="C2014" s="115" t="str">
        <x:v>HLM visitables</x:v>
      </x:c>
      <x:c r="D2014" s="115" t="str">
        <x:v>Barre HLM</x:v>
      </x:c>
      <x:c r="E2014" s="115" t="n">
        <x:v>9</x:v>
      </x:c>
      <x:c r="F2014" s="115" t="str">
        <x:v>Inspection physique</x:v>
      </x:c>
      <x:c r="G2014" s="115" t="str">
        <x:v>4 niveaux ; 74 pièces ; 563 segments de mur ; 3 transitions. Inspection physique ; architecture complète encore ouverte.</x:v>
      </x:c>
      <x:c r="H2014" s="115" t="str">
        <x:v>L 79,85 ; l 87,44 ; hauteur 9,55 m ; choix de composition auteur ; dimensions réelles à documenter</x:v>
      </x:c>
      <x:c r="I2014" s="115" t="str">
        <x:v>À équilibrer</x:v>
      </x:c>
      <x:c r="J2014" s="115" t="str">
        <x:v>Non</x:v>
      </x:c>
      <x:c r="K2014" s="115" t="str">
        <x:v>Pièces décrites, murs, portes, niveaux et mobilier inspectables à l’échelle. Volumes réservés, raccord au seed, butin, rencontres et services de campagne restent à terminer.</x:v>
      </x:c>
    </x:row>
    <x:row r="2015" ht="96" customHeight="1">
      <x:c r="A2015" s="115" t="str">
        <x:v>EXT-MONDE-T041-V10</x:v>
      </x:c>
      <x:c r="B2015" s="115" t="str">
        <x:v>EXT-MONDE-T041</x:v>
      </x:c>
      <x:c r="C2015" s="115" t="str">
        <x:v>HLM visitables</x:v>
      </x:c>
      <x:c r="D2015" s="115" t="str">
        <x:v>Barre HLM</x:v>
      </x:c>
      <x:c r="E2015" s="115" t="n">
        <x:v>10</x:v>
      </x:c>
      <x:c r="F2015" s="115" t="str">
        <x:v>Inspection physique</x:v>
      </x:c>
      <x:c r="G2015" s="115" t="str">
        <x:v>4 niveaux ; 110 pièces ; 821 segments de mur ; 3 transitions. Inspection physique ; architecture complète encore ouverte.</x:v>
      </x:c>
      <x:c r="H2015" s="115" t="str">
        <x:v>L 80,25 ; l 99,38 ; hauteur 9,35 m ; choix de composition auteur ; dimensions réelles à documenter</x:v>
      </x:c>
      <x:c r="I2015" s="115" t="str">
        <x:v>À équilibrer</x:v>
      </x:c>
      <x:c r="J2015" s="115" t="str">
        <x:v>Non</x:v>
      </x:c>
      <x:c r="K2015" s="115" t="str">
        <x:v>Pièces décrites, murs, portes, niveaux et mobilier inspectables à l’échelle. Volumes réservés, raccord au seed, butin, rencontres et services de campagne restent à terminer.</x:v>
      </x:c>
    </x:row>
    <x:row r="2016" ht="96" customHeight="1">
      <x:c r="A2016" s="115" t="str">
        <x:v>EXT-MONDE-T041-V11</x:v>
      </x:c>
      <x:c r="B2016" s="115" t="str">
        <x:v>EXT-MONDE-T041</x:v>
      </x:c>
      <x:c r="C2016" s="115" t="str">
        <x:v>HLM visitables</x:v>
      </x:c>
      <x:c r="D2016" s="115" t="str">
        <x:v>Barre HLM</x:v>
      </x:c>
      <x:c r="E2016" s="115" t="n">
        <x:v>11</x:v>
      </x:c>
      <x:c r="F2016" s="115" t="str">
        <x:v>Inspection physique</x:v>
      </x:c>
      <x:c r="G2016" s="115" t="str">
        <x:v>5 niveaux ; 98 pièces ; 742 segments de mur ; 4 transitions. Inspection physique ; architecture complète encore ouverte.</x:v>
      </x:c>
      <x:c r="H2016" s="115" t="str">
        <x:v>L 77,2 ; l 84,96 ; hauteur 12,35 m ; choix de composition auteur ; dimensions réelles à documenter</x:v>
      </x:c>
      <x:c r="I2016" s="115" t="str">
        <x:v>À équilibrer</x:v>
      </x:c>
      <x:c r="J2016" s="115" t="str">
        <x:v>Non</x:v>
      </x:c>
      <x:c r="K2016" s="115" t="str">
        <x:v>Pièces décrites, murs, portes, niveaux et mobilier inspectables à l’échelle. Volumes réservés, raccord au seed, butin, rencontres et services de campagne restent à terminer.</x:v>
      </x:c>
    </x:row>
    <x:row r="2017" ht="96" customHeight="1">
      <x:c r="A2017" s="115" t="str">
        <x:v>EXT-MONDE-T041-V12</x:v>
      </x:c>
      <x:c r="B2017" s="115" t="str">
        <x:v>EXT-MONDE-T041</x:v>
      </x:c>
      <x:c r="C2017" s="115" t="str">
        <x:v>HLM visitables</x:v>
      </x:c>
      <x:c r="D2017" s="115" t="str">
        <x:v>Barre HLM</x:v>
      </x:c>
      <x:c r="E2017" s="115" t="n">
        <x:v>12</x:v>
      </x:c>
      <x:c r="F2017" s="115" t="str">
        <x:v>Inspection physique</x:v>
      </x:c>
      <x:c r="G2017" s="115" t="str">
        <x:v>5 niveaux ; 146 pièces ; 1086 segments de mur ; 4 transitions. Inspection physique ; architecture complète encore ouverte.</x:v>
      </x:c>
      <x:c r="H2017" s="115" t="str">
        <x:v>L 77,6 ; l 96,86 ; hauteur 12,45 m ; choix de composition auteur ; dimensions réelles à documenter</x:v>
      </x:c>
      <x:c r="I2017" s="115" t="str">
        <x:v>À équilibrer</x:v>
      </x:c>
      <x:c r="J2017" s="115" t="str">
        <x:v>Non</x:v>
      </x:c>
      <x:c r="K2017" s="115" t="str">
        <x:v>Pièces décrites, murs, portes, niveaux et mobilier inspectables à l’échelle. Volumes réservés, raccord au seed, butin, rencontres et services de campagne restent à terminer.</x:v>
      </x:c>
    </x:row>
    <x:row r="2018" ht="96" customHeight="1">
      <x:c r="A2018" s="115" t="str">
        <x:v>EXT-MONDE-T041-V13</x:v>
      </x:c>
      <x:c r="B2018" s="115" t="str">
        <x:v>EXT-MONDE-T041</x:v>
      </x:c>
      <x:c r="C2018" s="115" t="str">
        <x:v>HLM visitables</x:v>
      </x:c>
      <x:c r="D2018" s="115" t="str">
        <x:v>Barre HLM</x:v>
      </x:c>
      <x:c r="E2018" s="115" t="n">
        <x:v>13</x:v>
      </x:c>
      <x:c r="F2018" s="115" t="str">
        <x:v>Inspection physique</x:v>
      </x:c>
      <x:c r="G2018" s="115" t="str">
        <x:v>5 niveaux ; 98 pièces ; 742 segments de mur ; 4 transitions. Inspection physique ; architecture complète encore ouverte.</x:v>
      </x:c>
      <x:c r="H2018" s="115" t="str">
        <x:v>L 78 ; l 85,72 ; hauteur 12,55 m ; choix de composition auteur ; dimensions réelles à documenter</x:v>
      </x:c>
      <x:c r="I2018" s="115" t="str">
        <x:v>À équilibrer</x:v>
      </x:c>
      <x:c r="J2018" s="115" t="str">
        <x:v>Non</x:v>
      </x:c>
      <x:c r="K2018" s="115" t="str">
        <x:v>Pièces décrites, murs, portes, niveaux et mobilier inspectables à l’échelle. Volumes réservés, raccord au seed, butin, rencontres et services de campagne restent à terminer.</x:v>
      </x:c>
    </x:row>
    <x:row r="2019" ht="96" customHeight="1">
      <x:c r="A2019" s="115" t="str">
        <x:v>EXT-MONDE-T041-V14</x:v>
      </x:c>
      <x:c r="B2019" s="115" t="str">
        <x:v>EXT-MONDE-T041</x:v>
      </x:c>
      <x:c r="C2019" s="115" t="str">
        <x:v>HLM visitables</x:v>
      </x:c>
      <x:c r="D2019" s="115" t="str">
        <x:v>Barre HLM</x:v>
      </x:c>
      <x:c r="E2019" s="115" t="n">
        <x:v>14</x:v>
      </x:c>
      <x:c r="F2019" s="115" t="str">
        <x:v>Inspection physique</x:v>
      </x:c>
      <x:c r="G2019" s="115" t="str">
        <x:v>5 niveaux ; 146 pièces ; 1086 segments de mur ; 4 transitions. Inspection physique ; architecture complète encore ouverte.</x:v>
      </x:c>
      <x:c r="H2019" s="115" t="str">
        <x:v>L 78,4 ; l 97,7 ; hauteur 12,35 m ; choix de composition auteur ; dimensions réelles à documenter</x:v>
      </x:c>
      <x:c r="I2019" s="115" t="str">
        <x:v>À équilibrer</x:v>
      </x:c>
      <x:c r="J2019" s="115" t="str">
        <x:v>Non</x:v>
      </x:c>
      <x:c r="K2019" s="115" t="str">
        <x:v>Pièces décrites, murs, portes, niveaux et mobilier inspectables à l’échelle. Volumes réservés, raccord au seed, butin, rencontres et services de campagne restent à terminer.</x:v>
      </x:c>
    </x:row>
    <x:row r="2020" ht="96" customHeight="1">
      <x:c r="A2020" s="115" t="str">
        <x:v>EXT-MONDE-T041-V15</x:v>
      </x:c>
      <x:c r="B2020" s="115" t="str">
        <x:v>EXT-MONDE-T041</x:v>
      </x:c>
      <x:c r="C2020" s="115" t="str">
        <x:v>HLM visitables</x:v>
      </x:c>
      <x:c r="D2020" s="115" t="str">
        <x:v>Barre HLM</x:v>
      </x:c>
      <x:c r="E2020" s="115" t="n">
        <x:v>15</x:v>
      </x:c>
      <x:c r="F2020" s="115" t="str">
        <x:v>Inspection physique</x:v>
      </x:c>
      <x:c r="G2020" s="115" t="str">
        <x:v>5 niveaux ; 98 pièces ; 742 segments de mur ; 4 transitions. Inspection physique ; architecture complète encore ouverte.</x:v>
      </x:c>
      <x:c r="H2020" s="115" t="str">
        <x:v>L 78,8 ; l 86,48 ; hauteur 12,45 m ; choix de composition auteur ; dimensions réelles à documenter</x:v>
      </x:c>
      <x:c r="I2020" s="115" t="str">
        <x:v>À équilibrer</x:v>
      </x:c>
      <x:c r="J2020" s="115" t="str">
        <x:v>Non</x:v>
      </x:c>
      <x:c r="K2020" s="115" t="str">
        <x:v>Pièces décrites, murs, portes, niveaux et mobilier inspectables à l’échelle. Volumes réservés, raccord au seed, butin, rencontres et services de campagne restent à terminer.</x:v>
      </x:c>
    </x:row>
    <x:row r="2021" ht="96" customHeight="1">
      <x:c r="A2021" s="115" t="str">
        <x:v>EXT-MONDE-T041-V16</x:v>
      </x:c>
      <x:c r="B2021" s="115" t="str">
        <x:v>EXT-MONDE-T041</x:v>
      </x:c>
      <x:c r="C2021" s="115" t="str">
        <x:v>HLM visitables</x:v>
      </x:c>
      <x:c r="D2021" s="115" t="str">
        <x:v>Barre HLM</x:v>
      </x:c>
      <x:c r="E2021" s="115" t="n">
        <x:v>16</x:v>
      </x:c>
      <x:c r="F2021" s="115" t="str">
        <x:v>Inspection physique</x:v>
      </x:c>
      <x:c r="G2021" s="115" t="str">
        <x:v>5 niveaux ; 146 pièces ; 1086 segments de mur ; 4 transitions. Inspection physique ; architecture complète encore ouverte.</x:v>
      </x:c>
      <x:c r="H2021" s="115" t="str">
        <x:v>L 78,85 ; l 97,94 ; hauteur 12,55 m ; choix de composition auteur ; dimensions réelles à documenter</x:v>
      </x:c>
      <x:c r="I2021" s="115" t="str">
        <x:v>À équilibrer</x:v>
      </x:c>
      <x:c r="J2021" s="115" t="str">
        <x:v>Non</x:v>
      </x:c>
      <x:c r="K2021" s="115" t="str">
        <x:v>Pièces décrites, murs, portes, niveaux et mobilier inspectables à l’échelle. Volumes réservés, raccord au seed, butin, rencontres et services de campagne restent à terminer.</x:v>
      </x:c>
    </x:row>
    <x:row r="2022" ht="96" customHeight="1">
      <x:c r="A2022" s="115" t="str">
        <x:v>EXT-MONDE-T041-V17</x:v>
      </x:c>
      <x:c r="B2022" s="115" t="str">
        <x:v>EXT-MONDE-T041</x:v>
      </x:c>
      <x:c r="C2022" s="115" t="str">
        <x:v>HLM visitables</x:v>
      </x:c>
      <x:c r="D2022" s="115" t="str">
        <x:v>Barre HLM</x:v>
      </x:c>
      <x:c r="E2022" s="115" t="n">
        <x:v>17</x:v>
      </x:c>
      <x:c r="F2022" s="115" t="str">
        <x:v>Inspection physique</x:v>
      </x:c>
      <x:c r="G2022" s="115" t="str">
        <x:v>5 niveaux ; 98 pièces ; 742 segments de mur ; 4 transitions. Inspection physique ; architecture complète encore ouverte.</x:v>
      </x:c>
      <x:c r="H2022" s="115" t="str">
        <x:v>L 79,25 ; l 86,84 ; hauteur 12,35 m ; choix de composition auteur ; dimensions réelles à documenter</x:v>
      </x:c>
      <x:c r="I2022" s="115" t="str">
        <x:v>À équilibrer</x:v>
      </x:c>
      <x:c r="J2022" s="115" t="str">
        <x:v>Non</x:v>
      </x:c>
      <x:c r="K2022" s="115" t="str">
        <x:v>Pièces décrites, murs, portes, niveaux et mobilier inspectables à l’échelle. Volumes réservés, raccord au seed, butin, rencontres et services de campagne restent à terminer.</x:v>
      </x:c>
    </x:row>
    <x:row r="2023" ht="96" customHeight="1">
      <x:c r="A2023" s="115" t="str">
        <x:v>EXT-MONDE-T041-V18</x:v>
      </x:c>
      <x:c r="B2023" s="115" t="str">
        <x:v>EXT-MONDE-T041</x:v>
      </x:c>
      <x:c r="C2023" s="115" t="str">
        <x:v>HLM visitables</x:v>
      </x:c>
      <x:c r="D2023" s="115" t="str">
        <x:v>Barre HLM</x:v>
      </x:c>
      <x:c r="E2023" s="115" t="n">
        <x:v>18</x:v>
      </x:c>
      <x:c r="F2023" s="115" t="str">
        <x:v>Inspection physique</x:v>
      </x:c>
      <x:c r="G2023" s="115" t="str">
        <x:v>5 niveaux ; 146 pièces ; 1086 segments de mur ; 4 transitions. Inspection physique ; architecture complète encore ouverte.</x:v>
      </x:c>
      <x:c r="H2023" s="115" t="str">
        <x:v>L 79,65 ; l 98,78 ; hauteur 12,45 m ; choix de composition auteur ; dimensions réelles à documenter</x:v>
      </x:c>
      <x:c r="I2023" s="115" t="str">
        <x:v>À équilibrer</x:v>
      </x:c>
      <x:c r="J2023" s="115" t="str">
        <x:v>Non</x:v>
      </x:c>
      <x:c r="K2023" s="115" t="str">
        <x:v>Pièces décrites, murs, portes, niveaux et mobilier inspectables à l’échelle. Volumes réservés, raccord au seed, butin, rencontres et services de campagne restent à terminer.</x:v>
      </x:c>
    </x:row>
    <x:row r="2024" ht="96" customHeight="1">
      <x:c r="A2024" s="115" t="str">
        <x:v>EXT-MONDE-T041-V19</x:v>
      </x:c>
      <x:c r="B2024" s="115" t="str">
        <x:v>EXT-MONDE-T041</x:v>
      </x:c>
      <x:c r="C2024" s="115" t="str">
        <x:v>HLM visitables</x:v>
      </x:c>
      <x:c r="D2024" s="115" t="str">
        <x:v>Barre HLM</x:v>
      </x:c>
      <x:c r="E2024" s="115" t="n">
        <x:v>19</x:v>
      </x:c>
      <x:c r="F2024" s="115" t="str">
        <x:v>Inspection physique</x:v>
      </x:c>
      <x:c r="G2024" s="115" t="str">
        <x:v>5 niveaux ; 98 pièces ; 742 segments de mur ; 4 transitions. Inspection physique ; architecture complète encore ouverte.</x:v>
      </x:c>
      <x:c r="H2024" s="115" t="str">
        <x:v>L 80,05 ; l 87,6 ; hauteur 12,55 m ; choix de composition auteur ; dimensions réelles à documenter</x:v>
      </x:c>
      <x:c r="I2024" s="115" t="str">
        <x:v>À équilibrer</x:v>
      </x:c>
      <x:c r="J2024" s="115" t="str">
        <x:v>Non</x:v>
      </x:c>
      <x:c r="K2024" s="115" t="str">
        <x:v>Pièces décrites, murs, portes, niveaux et mobilier inspectables à l’échelle. Volumes réservés, raccord au seed, butin, rencontres et services de campagne restent à terminer.</x:v>
      </x:c>
    </x:row>
    <x:row r="2025" ht="96" customHeight="1">
      <x:c r="A2025" s="115" t="str">
        <x:v>EXT-MONDE-T041-V20</x:v>
      </x:c>
      <x:c r="B2025" s="115" t="str">
        <x:v>EXT-MONDE-T041</x:v>
      </x:c>
      <x:c r="C2025" s="115" t="str">
        <x:v>HLM visitables</x:v>
      </x:c>
      <x:c r="D2025" s="115" t="str">
        <x:v>Barre HLM</x:v>
      </x:c>
      <x:c r="E2025" s="115" t="n">
        <x:v>20</x:v>
      </x:c>
      <x:c r="F2025" s="115" t="str">
        <x:v>Inspection physique</x:v>
      </x:c>
      <x:c r="G2025" s="115" t="str">
        <x:v>5 niveaux ; 146 pièces ; 1086 segments de mur ; 4 transitions. Inspection physique ; architecture complète encore ouverte.</x:v>
      </x:c>
      <x:c r="H2025" s="115" t="str">
        <x:v>L 80,45 ; l 99,62 ; hauteur 12,35 m ; choix de composition auteur ; dimensions réelles à documenter</x:v>
      </x:c>
      <x:c r="I2025" s="115" t="str">
        <x:v>À équilibrer</x:v>
      </x:c>
      <x:c r="J2025" s="115" t="str">
        <x:v>Non</x:v>
      </x:c>
      <x:c r="K2025" s="115" t="str">
        <x:v>Pièces décrites, murs, portes, niveaux et mobilier inspectables à l’échelle. Volumes réservés, raccord au seed, butin, rencontres et services de campagne restent à terminer.</x:v>
      </x:c>
    </x:row>
    <x:row r="2026" ht="96" customHeight="1">
      <x:c r="A2026" s="115" t="str">
        <x:v>EXT-MONDE-T041-V21</x:v>
      </x:c>
      <x:c r="B2026" s="115" t="str">
        <x:v>EXT-MONDE-T041</x:v>
      </x:c>
      <x:c r="C2026" s="115" t="str">
        <x:v>HLM visitables</x:v>
      </x:c>
      <x:c r="D2026" s="115" t="str">
        <x:v>Barre HLM</x:v>
      </x:c>
      <x:c r="E2026" s="115" t="n">
        <x:v>21</x:v>
      </x:c>
      <x:c r="F2026" s="115" t="str">
        <x:v>Inspection physique</x:v>
      </x:c>
      <x:c r="G2026" s="115" t="str">
        <x:v>6 niveaux ; 122 pièces ; 921 segments de mur ; 5 transitions. Inspection physique ; architecture complète encore ouverte.</x:v>
      </x:c>
      <x:c r="H2026" s="115" t="str">
        <x:v>L 77,4 ; l 85,12 ; hauteur 15,35 m ; choix de composition auteur ; dimensions réelles à documenter</x:v>
      </x:c>
      <x:c r="I2026" s="115" t="str">
        <x:v>À équilibrer</x:v>
      </x:c>
      <x:c r="J2026" s="115" t="str">
        <x:v>Non</x:v>
      </x:c>
      <x:c r="K2026" s="115" t="str">
        <x:v>Pièces décrites, murs, portes, niveaux et mobilier inspectables à l’échelle. Volumes réservés, raccord au seed, butin, rencontres et services de campagne restent à terminer.</x:v>
      </x:c>
    </x:row>
    <x:row r="2027" ht="96" customHeight="1">
      <x:c r="A2027" s="115" t="str">
        <x:v>EXT-MONDE-T041-V22</x:v>
      </x:c>
      <x:c r="B2027" s="115" t="str">
        <x:v>EXT-MONDE-T041</x:v>
      </x:c>
      <x:c r="C2027" s="115" t="str">
        <x:v>HLM visitables</x:v>
      </x:c>
      <x:c r="D2027" s="115" t="str">
        <x:v>Barre HLM</x:v>
      </x:c>
      <x:c r="E2027" s="115" t="n">
        <x:v>22</x:v>
      </x:c>
      <x:c r="F2027" s="115" t="str">
        <x:v>Inspection physique</x:v>
      </x:c>
      <x:c r="G2027" s="115" t="str">
        <x:v>6 niveaux ; 182 pièces ; 1351 segments de mur ; 5 transitions. Inspection physique ; architecture complète encore ouverte.</x:v>
      </x:c>
      <x:c r="H2027" s="115" t="str">
        <x:v>L 77,8 ; l 97,1 ; hauteur 15,45 m ; choix de composition auteur ; dimensions réelles à documenter</x:v>
      </x:c>
      <x:c r="I2027" s="115" t="str">
        <x:v>À équilibrer</x:v>
      </x:c>
      <x:c r="J2027" s="115" t="str">
        <x:v>Non</x:v>
      </x:c>
      <x:c r="K2027" s="115" t="str">
        <x:v>Pièces décrites, murs, portes, niveaux et mobilier inspectables à l’échelle. Volumes réservés, raccord au seed, butin, rencontres et services de campagne restent à terminer.</x:v>
      </x:c>
    </x:row>
    <x:row r="2028" ht="96" customHeight="1">
      <x:c r="A2028" s="115" t="str">
        <x:v>EXT-MONDE-T041-V23</x:v>
      </x:c>
      <x:c r="B2028" s="115" t="str">
        <x:v>EXT-MONDE-T041</x:v>
      </x:c>
      <x:c r="C2028" s="115" t="str">
        <x:v>HLM visitables</x:v>
      </x:c>
      <x:c r="D2028" s="115" t="str">
        <x:v>Barre HLM</x:v>
      </x:c>
      <x:c r="E2028" s="115" t="n">
        <x:v>23</x:v>
      </x:c>
      <x:c r="F2028" s="115" t="str">
        <x:v>Inspection physique</x:v>
      </x:c>
      <x:c r="G2028" s="115" t="str">
        <x:v>6 niveaux ; 122 pièces ; 921 segments de mur ; 5 transitions. Inspection physique ; architecture complète encore ouverte.</x:v>
      </x:c>
      <x:c r="H2028" s="115" t="str">
        <x:v>L 78,2 ; l 85,88 ; hauteur 15,55 m ; choix de composition auteur ; dimensions réelles à documenter</x:v>
      </x:c>
      <x:c r="I2028" s="115" t="str">
        <x:v>À équilibrer</x:v>
      </x:c>
      <x:c r="J2028" s="115" t="str">
        <x:v>Non</x:v>
      </x:c>
      <x:c r="K2028" s="115" t="str">
        <x:v>Pièces décrites, murs, portes, niveaux et mobilier inspectables à l’échelle. Volumes réservés, raccord au seed, butin, rencontres et services de campagne restent à terminer.</x:v>
      </x:c>
    </x:row>
    <x:row r="2029" ht="96" customHeight="1">
      <x:c r="A2029" s="115" t="str">
        <x:v>EXT-MONDE-T041-V24</x:v>
      </x:c>
      <x:c r="B2029" s="115" t="str">
        <x:v>EXT-MONDE-T041</x:v>
      </x:c>
      <x:c r="C2029" s="115" t="str">
        <x:v>HLM visitables</x:v>
      </x:c>
      <x:c r="D2029" s="115" t="str">
        <x:v>Barre HLM</x:v>
      </x:c>
      <x:c r="E2029" s="115" t="n">
        <x:v>24</x:v>
      </x:c>
      <x:c r="F2029" s="115" t="str">
        <x:v>Inspection physique</x:v>
      </x:c>
      <x:c r="G2029" s="115" t="str">
        <x:v>6 niveaux ; 182 pièces ; 1351 segments de mur ; 5 transitions. Inspection physique ; architecture complète encore ouverte.</x:v>
      </x:c>
      <x:c r="H2029" s="115" t="str">
        <x:v>L 78,6 ; l 97,94 ; hauteur 15,35 m ; choix de composition auteur ; dimensions réelles à documenter</x:v>
      </x:c>
      <x:c r="I2029" s="115" t="str">
        <x:v>À équilibrer</x:v>
      </x:c>
      <x:c r="J2029" s="115" t="str">
        <x:v>Non</x:v>
      </x:c>
      <x:c r="K2029" s="115" t="str">
        <x:v>Pièces décrites, murs, portes, niveaux et mobilier inspectables à l’échelle. Volumes réservés, raccord au seed, butin, rencontres et services de campagne restent à terminer.</x:v>
      </x:c>
    </x:row>
    <x:row r="2030" ht="96" customHeight="1">
      <x:c r="A2030" s="115" t="str">
        <x:v>EXT-MONDE-T041-V25</x:v>
      </x:c>
      <x:c r="B2030" s="115" t="str">
        <x:v>EXT-MONDE-T041</x:v>
      </x:c>
      <x:c r="C2030" s="115" t="str">
        <x:v>HLM visitables</x:v>
      </x:c>
      <x:c r="D2030" s="115" t="str">
        <x:v>Barre HLM</x:v>
      </x:c>
      <x:c r="E2030" s="115" t="n">
        <x:v>25</x:v>
      </x:c>
      <x:c r="F2030" s="115" t="str">
        <x:v>Inspection physique</x:v>
      </x:c>
      <x:c r="G2030" s="115" t="str">
        <x:v>6 niveaux ; 122 pièces ; 921 segments de mur ; 5 transitions. Inspection physique ; architecture complète encore ouverte.</x:v>
      </x:c>
      <x:c r="H2030" s="115" t="str">
        <x:v>L 79 ; l 86,64 ; hauteur 15,45 m ; choix de composition auteur ; dimensions réelles à documenter</x:v>
      </x:c>
      <x:c r="I2030" s="115" t="str">
        <x:v>À équilibrer</x:v>
      </x:c>
      <x:c r="J2030" s="115" t="str">
        <x:v>Non</x:v>
      </x:c>
      <x:c r="K2030" s="115" t="str">
        <x:v>Pièces décrites, murs, portes, niveaux et mobilier inspectables à l’échelle. Volumes réservés, raccord au seed, butin, rencontres et services de campagne restent à terminer.</x:v>
      </x:c>
    </x:row>
    <x:row r="2031" ht="96" customHeight="1">
      <x:c r="A2031" s="115" t="str">
        <x:v>EXT-MONDE-T041-V26</x:v>
      </x:c>
      <x:c r="B2031" s="115" t="str">
        <x:v>EXT-MONDE-T041</x:v>
      </x:c>
      <x:c r="C2031" s="115" t="str">
        <x:v>HLM visitables</x:v>
      </x:c>
      <x:c r="D2031" s="115" t="str">
        <x:v>Barre HLM</x:v>
      </x:c>
      <x:c r="E2031" s="115" t="n">
        <x:v>26</x:v>
      </x:c>
      <x:c r="F2031" s="115" t="str">
        <x:v>Inspection physique</x:v>
      </x:c>
      <x:c r="G2031" s="115" t="str">
        <x:v>6 niveaux ; 182 pièces ; 1351 segments de mur ; 5 transitions. Inspection physique ; architecture complète encore ouverte.</x:v>
      </x:c>
      <x:c r="H2031" s="115" t="str">
        <x:v>L 79,05 ; l 98,18 ; hauteur 15,55 m ; choix de composition auteur ; dimensions réelles à documenter</x:v>
      </x:c>
      <x:c r="I2031" s="115" t="str">
        <x:v>À équilibrer</x:v>
      </x:c>
      <x:c r="J2031" s="115" t="str">
        <x:v>Non</x:v>
      </x:c>
      <x:c r="K2031" s="115" t="str">
        <x:v>Pièces décrites, murs, portes, niveaux et mobilier inspectables à l’échelle. Volumes réservés, raccord au seed, butin, rencontres et services de campagne restent à terminer.</x:v>
      </x:c>
    </x:row>
    <x:row r="2032" ht="96" customHeight="1">
      <x:c r="A2032" s="115" t="str">
        <x:v>EXT-MONDE-T041-V27</x:v>
      </x:c>
      <x:c r="B2032" s="115" t="str">
        <x:v>EXT-MONDE-T041</x:v>
      </x:c>
      <x:c r="C2032" s="115" t="str">
        <x:v>HLM visitables</x:v>
      </x:c>
      <x:c r="D2032" s="115" t="str">
        <x:v>Barre HLM</x:v>
      </x:c>
      <x:c r="E2032" s="115" t="n">
        <x:v>27</x:v>
      </x:c>
      <x:c r="F2032" s="115" t="str">
        <x:v>Inspection physique</x:v>
      </x:c>
      <x:c r="G2032" s="115" t="str">
        <x:v>6 niveaux ; 122 pièces ; 921 segments de mur ; 5 transitions. Inspection physique ; architecture complète encore ouverte.</x:v>
      </x:c>
      <x:c r="H2032" s="115" t="str">
        <x:v>L 79,45 ; l 87 ; hauteur 15,35 m ; choix de composition auteur ; dimensions réelles à documenter</x:v>
      </x:c>
      <x:c r="I2032" s="115" t="str">
        <x:v>À équilibrer</x:v>
      </x:c>
      <x:c r="J2032" s="115" t="str">
        <x:v>Non</x:v>
      </x:c>
      <x:c r="K2032" s="115" t="str">
        <x:v>Pièces décrites, murs, portes, niveaux et mobilier inspectables à l’échelle. Volumes réservés, raccord au seed, butin, rencontres et services de campagne restent à terminer.</x:v>
      </x:c>
    </x:row>
    <x:row r="2033" ht="96" customHeight="1">
      <x:c r="A2033" s="115" t="str">
        <x:v>EXT-MONDE-T041-V28</x:v>
      </x:c>
      <x:c r="B2033" s="115" t="str">
        <x:v>EXT-MONDE-T041</x:v>
      </x:c>
      <x:c r="C2033" s="115" t="str">
        <x:v>HLM visitables</x:v>
      </x:c>
      <x:c r="D2033" s="115" t="str">
        <x:v>Barre HLM</x:v>
      </x:c>
      <x:c r="E2033" s="115" t="n">
        <x:v>28</x:v>
      </x:c>
      <x:c r="F2033" s="115" t="str">
        <x:v>Inspection physique</x:v>
      </x:c>
      <x:c r="G2033" s="115" t="str">
        <x:v>6 niveaux ; 182 pièces ; 1351 segments de mur ; 5 transitions. Inspection physique ; architecture complète encore ouverte.</x:v>
      </x:c>
      <x:c r="H2033" s="115" t="str">
        <x:v>L 79,85 ; l 99,02 ; hauteur 15,45 m ; choix de composition auteur ; dimensions réelles à documenter</x:v>
      </x:c>
      <x:c r="I2033" s="115" t="str">
        <x:v>À équilibrer</x:v>
      </x:c>
      <x:c r="J2033" s="115" t="str">
        <x:v>Non</x:v>
      </x:c>
      <x:c r="K2033" s="115" t="str">
        <x:v>Pièces décrites, murs, portes, niveaux et mobilier inspectables à l’échelle. Volumes réservés, raccord au seed, butin, rencontres et services de campagne restent à terminer.</x:v>
      </x:c>
    </x:row>
    <x:row r="2034" ht="96" customHeight="1">
      <x:c r="A2034" s="115" t="str">
        <x:v>EXT-MONDE-T041-V29</x:v>
      </x:c>
      <x:c r="B2034" s="115" t="str">
        <x:v>EXT-MONDE-T041</x:v>
      </x:c>
      <x:c r="C2034" s="115" t="str">
        <x:v>HLM visitables</x:v>
      </x:c>
      <x:c r="D2034" s="115" t="str">
        <x:v>Barre HLM</x:v>
      </x:c>
      <x:c r="E2034" s="115" t="n">
        <x:v>29</x:v>
      </x:c>
      <x:c r="F2034" s="115" t="str">
        <x:v>Inspection physique</x:v>
      </x:c>
      <x:c r="G2034" s="115" t="str">
        <x:v>6 niveaux ; 122 pièces ; 921 segments de mur ; 5 transitions. Inspection physique ; architecture complète encore ouverte.</x:v>
      </x:c>
      <x:c r="H2034" s="115" t="str">
        <x:v>L 80,25 ; l 87,76 ; hauteur 15,55 m ; choix de composition auteur ; dimensions réelles à documenter</x:v>
      </x:c>
      <x:c r="I2034" s="115" t="str">
        <x:v>À équilibrer</x:v>
      </x:c>
      <x:c r="J2034" s="115" t="str">
        <x:v>Non</x:v>
      </x:c>
      <x:c r="K2034" s="115" t="str">
        <x:v>Pièces décrites, murs, portes, niveaux et mobilier inspectables à l’échelle. Volumes réservés, raccord au seed, butin, rencontres et services de campagne restent à terminer.</x:v>
      </x:c>
    </x:row>
    <x:row r="2035" ht="96" customHeight="1">
      <x:c r="A2035" s="115" t="str">
        <x:v>EXT-MONDE-T041-V30</x:v>
      </x:c>
      <x:c r="B2035" s="115" t="str">
        <x:v>EXT-MONDE-T041</x:v>
      </x:c>
      <x:c r="C2035" s="115" t="str">
        <x:v>HLM visitables</x:v>
      </x:c>
      <x:c r="D2035" s="115" t="str">
        <x:v>Barre HLM</x:v>
      </x:c>
      <x:c r="E2035" s="115" t="n">
        <x:v>30</x:v>
      </x:c>
      <x:c r="F2035" s="115" t="str">
        <x:v>Inspection physique</x:v>
      </x:c>
      <x:c r="G2035" s="115" t="str">
        <x:v>6 niveaux ; 182 pièces ; 1351 segments de mur ; 5 transitions. Inspection physique ; architecture complète encore ouverte.</x:v>
      </x:c>
      <x:c r="H2035" s="115" t="str">
        <x:v>L 80,65 ; l 99,86 ; hauteur 15,35 m ; choix de composition auteur ; dimensions réelles à documenter</x:v>
      </x:c>
      <x:c r="I2035" s="115" t="str">
        <x:v>À équilibrer</x:v>
      </x:c>
      <x:c r="J2035" s="115" t="str">
        <x:v>Non</x:v>
      </x:c>
      <x:c r="K2035" s="115" t="str">
        <x:v>Pièces décrites, murs, portes, niveaux et mobilier inspectables à l’échelle. Volumes réservés, raccord au seed, butin, rencontres et services de campagne restent à terminer.</x:v>
      </x:c>
    </x:row>
    <x:row r="2036" ht="96" customHeight="1">
      <x:c r="A2036" s="115" t="str">
        <x:v>EXT-MONDE-T041-V31</x:v>
      </x:c>
      <x:c r="B2036" s="115" t="str">
        <x:v>EXT-MONDE-T041</x:v>
      </x:c>
      <x:c r="C2036" s="115" t="str">
        <x:v>HLM visitables</x:v>
      </x:c>
      <x:c r="D2036" s="115" t="str">
        <x:v>Barre HLM</x:v>
      </x:c>
      <x:c r="E2036" s="115" t="n">
        <x:v>31</x:v>
      </x:c>
      <x:c r="F2036" s="115" t="str">
        <x:v>Inspection physique</x:v>
      </x:c>
      <x:c r="G2036" s="115" t="str">
        <x:v>7 niveaux ; 146 pièces ; 1100 segments de mur ; 6 transitions. Inspection physique ; architecture complète encore ouverte.</x:v>
      </x:c>
      <x:c r="H2036" s="115" t="str">
        <x:v>L 77,6 ; l 85,28 ; hauteur 18,35 m ; choix de composition auteur ; dimensions réelles à documenter</x:v>
      </x:c>
      <x:c r="I2036" s="115" t="str">
        <x:v>À équilibrer</x:v>
      </x:c>
      <x:c r="J2036" s="115" t="str">
        <x:v>Non</x:v>
      </x:c>
      <x:c r="K2036" s="115" t="str">
        <x:v>Pièces décrites, murs, portes, niveaux et mobilier inspectables à l’échelle. Volumes réservés, raccord au seed, butin, rencontres et services de campagne restent à terminer.</x:v>
      </x:c>
    </x:row>
    <x:row r="2037" ht="96" customHeight="1">
      <x:c r="A2037" s="115" t="str">
        <x:v>EXT-MONDE-T041-V32</x:v>
      </x:c>
      <x:c r="B2037" s="115" t="str">
        <x:v>EXT-MONDE-T041</x:v>
      </x:c>
      <x:c r="C2037" s="115" t="str">
        <x:v>HLM visitables</x:v>
      </x:c>
      <x:c r="D2037" s="115" t="str">
        <x:v>Barre HLM</x:v>
      </x:c>
      <x:c r="E2037" s="115" t="n">
        <x:v>32</x:v>
      </x:c>
      <x:c r="F2037" s="115" t="str">
        <x:v>Inspection physique</x:v>
      </x:c>
      <x:c r="G2037" s="115" t="str">
        <x:v>7 niveaux ; 218 pièces ; 1616 segments de mur ; 6 transitions. Inspection physique ; architecture complète encore ouverte.</x:v>
      </x:c>
      <x:c r="H2037" s="115" t="str">
        <x:v>L 78 ; l 97,34 ; hauteur 18,45 m ; choix de composition auteur ; dimensions réelles à documenter</x:v>
      </x:c>
      <x:c r="I2037" s="115" t="str">
        <x:v>À équilibrer</x:v>
      </x:c>
      <x:c r="J2037" s="115" t="str">
        <x:v>Non</x:v>
      </x:c>
      <x:c r="K2037" s="115" t="str">
        <x:v>Pièces décrites, murs, portes, niveaux et mobilier inspectables à l’échelle. Volumes réservés, raccord au seed, butin, rencontres et services de campagne restent à terminer.</x:v>
      </x:c>
    </x:row>
    <x:row r="2038" ht="96" customHeight="1">
      <x:c r="A2038" s="115" t="str">
        <x:v>EXT-MONDE-T041-V33</x:v>
      </x:c>
      <x:c r="B2038" s="115" t="str">
        <x:v>EXT-MONDE-T041</x:v>
      </x:c>
      <x:c r="C2038" s="115" t="str">
        <x:v>HLM visitables</x:v>
      </x:c>
      <x:c r="D2038" s="115" t="str">
        <x:v>Barre HLM</x:v>
      </x:c>
      <x:c r="E2038" s="115" t="n">
        <x:v>33</x:v>
      </x:c>
      <x:c r="F2038" s="115" t="str">
        <x:v>Inspection physique</x:v>
      </x:c>
      <x:c r="G2038" s="115" t="str">
        <x:v>7 niveaux ; 146 pièces ; 1100 segments de mur ; 6 transitions. Inspection physique ; architecture complète encore ouverte.</x:v>
      </x:c>
      <x:c r="H2038" s="115" t="str">
        <x:v>L 78,4 ; l 86,04 ; hauteur 18,55 m ; choix de composition auteur ; dimensions réelles à documenter</x:v>
      </x:c>
      <x:c r="I2038" s="115" t="str">
        <x:v>À équilibrer</x:v>
      </x:c>
      <x:c r="J2038" s="115" t="str">
        <x:v>Non</x:v>
      </x:c>
      <x:c r="K2038" s="115" t="str">
        <x:v>Pièces décrites, murs, portes, niveaux et mobilier inspectables à l’échelle. Volumes réservés, raccord au seed, butin, rencontres et services de campagne restent à terminer.</x:v>
      </x:c>
    </x:row>
    <x:row r="2039" ht="96" customHeight="1">
      <x:c r="A2039" s="115" t="str">
        <x:v>EXT-MONDE-T041-V34</x:v>
      </x:c>
      <x:c r="B2039" s="115" t="str">
        <x:v>EXT-MONDE-T041</x:v>
      </x:c>
      <x:c r="C2039" s="115" t="str">
        <x:v>HLM visitables</x:v>
      </x:c>
      <x:c r="D2039" s="115" t="str">
        <x:v>Barre HLM</x:v>
      </x:c>
      <x:c r="E2039" s="115" t="n">
        <x:v>34</x:v>
      </x:c>
      <x:c r="F2039" s="115" t="str">
        <x:v>Inspection physique</x:v>
      </x:c>
      <x:c r="G2039" s="115" t="str">
        <x:v>7 niveaux ; 218 pièces ; 1616 segments de mur ; 6 transitions. Inspection physique ; architecture complète encore ouverte.</x:v>
      </x:c>
      <x:c r="H2039" s="115" t="str">
        <x:v>L 78,8 ; l 98,18 ; hauteur 18,35 m ; choix de composition auteur ; dimensions réelles à documenter</x:v>
      </x:c>
      <x:c r="I2039" s="115" t="str">
        <x:v>À équilibrer</x:v>
      </x:c>
      <x:c r="J2039" s="115" t="str">
        <x:v>Non</x:v>
      </x:c>
      <x:c r="K2039" s="115" t="str">
        <x:v>Pièces décrites, murs, portes, niveaux et mobilier inspectables à l’échelle. Volumes réservés, raccord au seed, butin, rencontres et services de campagne restent à terminer.</x:v>
      </x:c>
    </x:row>
    <x:row r="2040" ht="96" customHeight="1">
      <x:c r="A2040" s="115" t="str">
        <x:v>EXT-MONDE-T041-V35</x:v>
      </x:c>
      <x:c r="B2040" s="115" t="str">
        <x:v>EXT-MONDE-T041</x:v>
      </x:c>
      <x:c r="C2040" s="115" t="str">
        <x:v>HLM visitables</x:v>
      </x:c>
      <x:c r="D2040" s="115" t="str">
        <x:v>Barre HLM</x:v>
      </x:c>
      <x:c r="E2040" s="115" t="n">
        <x:v>35</x:v>
      </x:c>
      <x:c r="F2040" s="115" t="str">
        <x:v>Inspection physique</x:v>
      </x:c>
      <x:c r="G2040" s="115" t="str">
        <x:v>7 niveaux ; 146 pièces ; 1100 segments de mur ; 6 transitions. Inspection physique ; architecture complète encore ouverte.</x:v>
      </x:c>
      <x:c r="H2040" s="115" t="str">
        <x:v>L 79,2 ; l 86,8 ; hauteur 18,45 m ; choix de composition auteur ; dimensions réelles à documenter</x:v>
      </x:c>
      <x:c r="I2040" s="115" t="str">
        <x:v>À équilibrer</x:v>
      </x:c>
      <x:c r="J2040" s="115" t="str">
        <x:v>Non</x:v>
      </x:c>
      <x:c r="K2040" s="115" t="str">
        <x:v>Pièces décrites, murs, portes, niveaux et mobilier inspectables à l’échelle. Volumes réservés, raccord au seed, butin, rencontres et services de campagne restent à terminer.</x:v>
      </x:c>
    </x:row>
    <x:row r="2041" ht="96" customHeight="1">
      <x:c r="A2041" s="115" t="str">
        <x:v>EXT-MONDE-T041-V36</x:v>
      </x:c>
      <x:c r="B2041" s="115" t="str">
        <x:v>EXT-MONDE-T041</x:v>
      </x:c>
      <x:c r="C2041" s="115" t="str">
        <x:v>HLM visitables</x:v>
      </x:c>
      <x:c r="D2041" s="115" t="str">
        <x:v>Barre HLM</x:v>
      </x:c>
      <x:c r="E2041" s="115" t="n">
        <x:v>36</x:v>
      </x:c>
      <x:c r="F2041" s="115" t="str">
        <x:v>Inspection physique</x:v>
      </x:c>
      <x:c r="G2041" s="115" t="str">
        <x:v>7 niveaux ; 218 pièces ; 1616 segments de mur ; 6 transitions. Inspection physique ; architecture complète encore ouverte.</x:v>
      </x:c>
      <x:c r="H2041" s="115" t="str">
        <x:v>L 79,25 ; l 98,42 ; hauteur 18,55 m ; choix de composition auteur ; dimensions réelles à documenter</x:v>
      </x:c>
      <x:c r="I2041" s="115" t="str">
        <x:v>À équilibrer</x:v>
      </x:c>
      <x:c r="J2041" s="115" t="str">
        <x:v>Non</x:v>
      </x:c>
      <x:c r="K2041" s="115" t="str">
        <x:v>Pièces décrites, murs, portes, niveaux et mobilier inspectables à l’échelle. Volumes réservés, raccord au seed, butin, rencontres et services de campagne restent à terminer.</x:v>
      </x:c>
    </x:row>
    <x:row r="2042" ht="96" customHeight="1">
      <x:c r="A2042" s="115" t="str">
        <x:v>EXT-MONDE-T041-V37</x:v>
      </x:c>
      <x:c r="B2042" s="115" t="str">
        <x:v>EXT-MONDE-T041</x:v>
      </x:c>
      <x:c r="C2042" s="115" t="str">
        <x:v>HLM visitables</x:v>
      </x:c>
      <x:c r="D2042" s="115" t="str">
        <x:v>Barre HLM</x:v>
      </x:c>
      <x:c r="E2042" s="115" t="n">
        <x:v>37</x:v>
      </x:c>
      <x:c r="F2042" s="115" t="str">
        <x:v>Inspection physique</x:v>
      </x:c>
      <x:c r="G2042" s="115" t="str">
        <x:v>7 niveaux ; 146 pièces ; 1100 segments de mur ; 6 transitions. Inspection physique ; architecture complète encore ouverte.</x:v>
      </x:c>
      <x:c r="H2042" s="115" t="str">
        <x:v>L 79,65 ; l 87,16 ; hauteur 18,35 m ; choix de composition auteur ; dimensions réelles à documenter</x:v>
      </x:c>
      <x:c r="I2042" s="115" t="str">
        <x:v>À équilibrer</x:v>
      </x:c>
      <x:c r="J2042" s="115" t="str">
        <x:v>Non</x:v>
      </x:c>
      <x:c r="K2042" s="115" t="str">
        <x:v>Pièces décrites, murs, portes, niveaux et mobilier inspectables à l’échelle. Volumes réservés, raccord au seed, butin, rencontres et services de campagne restent à terminer.</x:v>
      </x:c>
    </x:row>
    <x:row r="2043" ht="96" customHeight="1">
      <x:c r="A2043" s="115" t="str">
        <x:v>EXT-MONDE-T041-V38</x:v>
      </x:c>
      <x:c r="B2043" s="115" t="str">
        <x:v>EXT-MONDE-T041</x:v>
      </x:c>
      <x:c r="C2043" s="115" t="str">
        <x:v>HLM visitables</x:v>
      </x:c>
      <x:c r="D2043" s="115" t="str">
        <x:v>Barre HLM</x:v>
      </x:c>
      <x:c r="E2043" s="115" t="n">
        <x:v>38</x:v>
      </x:c>
      <x:c r="F2043" s="115" t="str">
        <x:v>Inspection physique</x:v>
      </x:c>
      <x:c r="G2043" s="115" t="str">
        <x:v>7 niveaux ; 218 pièces ; 1616 segments de mur ; 6 transitions. Inspection physique ; architecture complète encore ouverte.</x:v>
      </x:c>
      <x:c r="H2043" s="115" t="str">
        <x:v>L 80,05 ; l 99,26 ; hauteur 18,45 m ; choix de composition auteur ; dimensions réelles à documenter</x:v>
      </x:c>
      <x:c r="I2043" s="115" t="str">
        <x:v>À équilibrer</x:v>
      </x:c>
      <x:c r="J2043" s="115" t="str">
        <x:v>Non</x:v>
      </x:c>
      <x:c r="K2043" s="115" t="str">
        <x:v>Pièces décrites, murs, portes, niveaux et mobilier inspectables à l’échelle. Volumes réservés, raccord au seed, butin, rencontres et services de campagne restent à terminer.</x:v>
      </x:c>
    </x:row>
    <x:row r="2044" ht="96" customHeight="1">
      <x:c r="A2044" s="115" t="str">
        <x:v>EXT-MONDE-T041-V39</x:v>
      </x:c>
      <x:c r="B2044" s="115" t="str">
        <x:v>EXT-MONDE-T041</x:v>
      </x:c>
      <x:c r="C2044" s="115" t="str">
        <x:v>HLM visitables</x:v>
      </x:c>
      <x:c r="D2044" s="115" t="str">
        <x:v>Barre HLM</x:v>
      </x:c>
      <x:c r="E2044" s="115" t="n">
        <x:v>39</x:v>
      </x:c>
      <x:c r="F2044" s="115" t="str">
        <x:v>Inspection physique</x:v>
      </x:c>
      <x:c r="G2044" s="115" t="str">
        <x:v>7 niveaux ; 146 pièces ; 1100 segments de mur ; 6 transitions. Inspection physique ; architecture complète encore ouverte.</x:v>
      </x:c>
      <x:c r="H2044" s="115" t="str">
        <x:v>L 80,45 ; l 87,92 ; hauteur 18,55 m ; choix de composition auteur ; dimensions réelles à documenter</x:v>
      </x:c>
      <x:c r="I2044" s="115" t="str">
        <x:v>À équilibrer</x:v>
      </x:c>
      <x:c r="J2044" s="115" t="str">
        <x:v>Non</x:v>
      </x:c>
      <x:c r="K2044" s="115" t="str">
        <x:v>Pièces décrites, murs, portes, niveaux et mobilier inspectables à l’échelle. Volumes réservés, raccord au seed, butin, rencontres et services de campagne restent à terminer.</x:v>
      </x:c>
    </x:row>
    <x:row r="2045" ht="96" customHeight="1">
      <x:c r="A2045" s="115" t="str">
        <x:v>EXT-MONDE-T041-V40</x:v>
      </x:c>
      <x:c r="B2045" s="115" t="str">
        <x:v>EXT-MONDE-T041</x:v>
      </x:c>
      <x:c r="C2045" s="115" t="str">
        <x:v>HLM visitables</x:v>
      </x:c>
      <x:c r="D2045" s="115" t="str">
        <x:v>Barre HLM</x:v>
      </x:c>
      <x:c r="E2045" s="115" t="n">
        <x:v>40</x:v>
      </x:c>
      <x:c r="F2045" s="115" t="str">
        <x:v>Inspection physique</x:v>
      </x:c>
      <x:c r="G2045" s="115" t="str">
        <x:v>7 niveaux ; 218 pièces ; 1616 segments de mur ; 6 transitions. Inspection physique ; architecture complète encore ouverte.</x:v>
      </x:c>
      <x:c r="H2045" s="115" t="str">
        <x:v>L 80,85 ; l 100,1 ; hauteur 18,35 m ; choix de composition auteur ; dimensions réelles à documenter</x:v>
      </x:c>
      <x:c r="I2045" s="115" t="str">
        <x:v>À équilibrer</x:v>
      </x:c>
      <x:c r="J2045" s="115" t="str">
        <x:v>Non</x:v>
      </x:c>
      <x:c r="K2045" s="115" t="str">
        <x:v>Pièces décrites, murs, portes, niveaux et mobilier inspectables à l’échelle. Volumes réservés, raccord au seed, butin, rencontres et services de campagne restent à terminer.</x:v>
      </x:c>
    </x:row>
    <x:row r="2046" ht="96" customHeight="1">
      <x:c r="A2046" s="115" t="str">
        <x:v>EXT-MONDE-T041-V41</x:v>
      </x:c>
      <x:c r="B2046" s="115" t="str">
        <x:v>EXT-MONDE-T041</x:v>
      </x:c>
      <x:c r="C2046" s="115" t="str">
        <x:v>HLM visitables</x:v>
      </x:c>
      <x:c r="D2046" s="115" t="str">
        <x:v>Barre HLM</x:v>
      </x:c>
      <x:c r="E2046" s="115" t="n">
        <x:v>41</x:v>
      </x:c>
      <x:c r="F2046" s="115" t="str">
        <x:v>Inspection physique</x:v>
      </x:c>
      <x:c r="G2046" s="115" t="str">
        <x:v>8 niveaux ; 170 pièces ; 1279 segments de mur ; 7 transitions. Inspection physique ; architecture complète encore ouverte.</x:v>
      </x:c>
      <x:c r="H2046" s="115" t="str">
        <x:v>L 77,8 ; l 85,44 ; hauteur 21,35 m ; choix de composition auteur ; dimensions réelles à documenter</x:v>
      </x:c>
      <x:c r="I2046" s="115" t="str">
        <x:v>À équilibrer</x:v>
      </x:c>
      <x:c r="J2046" s="115" t="str">
        <x:v>Non</x:v>
      </x:c>
      <x:c r="K2046" s="115" t="str">
        <x:v>Pièces décrites, murs, portes, niveaux et mobilier inspectables à l’échelle. Volumes réservés, raccord au seed, butin, rencontres et services de campagne restent à terminer.</x:v>
      </x:c>
    </x:row>
    <x:row r="2047" ht="96" customHeight="1">
      <x:c r="A2047" s="115" t="str">
        <x:v>EXT-MONDE-T041-V42</x:v>
      </x:c>
      <x:c r="B2047" s="115" t="str">
        <x:v>EXT-MONDE-T041</x:v>
      </x:c>
      <x:c r="C2047" s="115" t="str">
        <x:v>HLM visitables</x:v>
      </x:c>
      <x:c r="D2047" s="115" t="str">
        <x:v>Barre HLM</x:v>
      </x:c>
      <x:c r="E2047" s="115" t="n">
        <x:v>42</x:v>
      </x:c>
      <x:c r="F2047" s="115" t="str">
        <x:v>Inspection physique</x:v>
      </x:c>
      <x:c r="G2047" s="115" t="str">
        <x:v>8 niveaux ; 254 pièces ; 1881 segments de mur ; 7 transitions. Inspection physique ; architecture complète encore ouverte.</x:v>
      </x:c>
      <x:c r="H2047" s="115" t="str">
        <x:v>L 78,2 ; l 97,58 ; hauteur 21,45 m ; choix de composition auteur ; dimensions réelles à documenter</x:v>
      </x:c>
      <x:c r="I2047" s="115" t="str">
        <x:v>À équilibrer</x:v>
      </x:c>
      <x:c r="J2047" s="115" t="str">
        <x:v>Non</x:v>
      </x:c>
      <x:c r="K2047" s="115" t="str">
        <x:v>Pièces décrites, murs, portes, niveaux et mobilier inspectables à l’échelle. Volumes réservés, raccord au seed, butin, rencontres et services de campagne restent à terminer.</x:v>
      </x:c>
    </x:row>
    <x:row r="2048" ht="96" customHeight="1">
      <x:c r="A2048" s="115" t="str">
        <x:v>EXT-MONDE-T041-V43</x:v>
      </x:c>
      <x:c r="B2048" s="115" t="str">
        <x:v>EXT-MONDE-T041</x:v>
      </x:c>
      <x:c r="C2048" s="115" t="str">
        <x:v>HLM visitables</x:v>
      </x:c>
      <x:c r="D2048" s="115" t="str">
        <x:v>Barre HLM</x:v>
      </x:c>
      <x:c r="E2048" s="115" t="n">
        <x:v>43</x:v>
      </x:c>
      <x:c r="F2048" s="115" t="str">
        <x:v>Inspection physique</x:v>
      </x:c>
      <x:c r="G2048" s="115" t="str">
        <x:v>8 niveaux ; 170 pièces ; 1279 segments de mur ; 7 transitions. Inspection physique ; architecture complète encore ouverte.</x:v>
      </x:c>
      <x:c r="H2048" s="115" t="str">
        <x:v>L 78,6 ; l 86,2 ; hauteur 21,55 m ; choix de composition auteur ; dimensions réelles à documenter</x:v>
      </x:c>
      <x:c r="I2048" s="115" t="str">
        <x:v>À équilibrer</x:v>
      </x:c>
      <x:c r="J2048" s="115" t="str">
        <x:v>Non</x:v>
      </x:c>
      <x:c r="K2048" s="115" t="str">
        <x:v>Pièces décrites, murs, portes, niveaux et mobilier inspectables à l’échelle. Volumes réservés, raccord au seed, butin, rencontres et services de campagne restent à terminer.</x:v>
      </x:c>
    </x:row>
    <x:row r="2049" ht="96" customHeight="1">
      <x:c r="A2049" s="115" t="str">
        <x:v>EXT-MONDE-T041-V44</x:v>
      </x:c>
      <x:c r="B2049" s="115" t="str">
        <x:v>EXT-MONDE-T041</x:v>
      </x:c>
      <x:c r="C2049" s="115" t="str">
        <x:v>HLM visitables</x:v>
      </x:c>
      <x:c r="D2049" s="115" t="str">
        <x:v>Barre HLM</x:v>
      </x:c>
      <x:c r="E2049" s="115" t="n">
        <x:v>44</x:v>
      </x:c>
      <x:c r="F2049" s="115" t="str">
        <x:v>Inspection physique</x:v>
      </x:c>
      <x:c r="G2049" s="115" t="str">
        <x:v>8 niveaux ; 254 pièces ; 1881 segments de mur ; 7 transitions. Inspection physique ; architecture complète encore ouverte.</x:v>
      </x:c>
      <x:c r="H2049" s="115" t="str">
        <x:v>L 79 ; l 98,42 ; hauteur 21,35 m ; choix de composition auteur ; dimensions réelles à documenter</x:v>
      </x:c>
      <x:c r="I2049" s="115" t="str">
        <x:v>À équilibrer</x:v>
      </x:c>
      <x:c r="J2049" s="115" t="str">
        <x:v>Non</x:v>
      </x:c>
      <x:c r="K2049" s="115" t="str">
        <x:v>Pièces décrites, murs, portes, niveaux et mobilier inspectables à l’échelle. Volumes réservés, raccord au seed, butin, rencontres et services de campagne restent à terminer.</x:v>
      </x:c>
    </x:row>
    <x:row r="2050" ht="96" customHeight="1">
      <x:c r="A2050" s="115" t="str">
        <x:v>EXT-MONDE-T041-V45</x:v>
      </x:c>
      <x:c r="B2050" s="115" t="str">
        <x:v>EXT-MONDE-T041</x:v>
      </x:c>
      <x:c r="C2050" s="115" t="str">
        <x:v>HLM visitables</x:v>
      </x:c>
      <x:c r="D2050" s="115" t="str">
        <x:v>Barre HLM</x:v>
      </x:c>
      <x:c r="E2050" s="115" t="n">
        <x:v>45</x:v>
      </x:c>
      <x:c r="F2050" s="115" t="str">
        <x:v>Inspection physique</x:v>
      </x:c>
      <x:c r="G2050" s="115" t="str">
        <x:v>8 niveaux ; 170 pièces ; 1279 segments de mur ; 7 transitions. Inspection physique ; architecture complète encore ouverte.</x:v>
      </x:c>
      <x:c r="H2050" s="115" t="str">
        <x:v>L 79,4 ; l 86,96 ; hauteur 21,45 m ; choix de composition auteur ; dimensions réelles à documenter</x:v>
      </x:c>
      <x:c r="I2050" s="115" t="str">
        <x:v>À équilibrer</x:v>
      </x:c>
      <x:c r="J2050" s="115" t="str">
        <x:v>Non</x:v>
      </x:c>
      <x:c r="K2050" s="115" t="str">
        <x:v>Pièces décrites, murs, portes, niveaux et mobilier inspectables à l’échelle. Volumes réservés, raccord au seed, butin, rencontres et services de campagne restent à terminer.</x:v>
      </x:c>
    </x:row>
    <x:row r="2051" ht="96" customHeight="1">
      <x:c r="A2051" s="115" t="str">
        <x:v>EXT-MONDE-T041-V46</x:v>
      </x:c>
      <x:c r="B2051" s="115" t="str">
        <x:v>EXT-MONDE-T041</x:v>
      </x:c>
      <x:c r="C2051" s="115" t="str">
        <x:v>HLM visitables</x:v>
      </x:c>
      <x:c r="D2051" s="115" t="str">
        <x:v>Barre HLM</x:v>
      </x:c>
      <x:c r="E2051" s="115" t="n">
        <x:v>46</x:v>
      </x:c>
      <x:c r="F2051" s="115" t="str">
        <x:v>Inspection physique</x:v>
      </x:c>
      <x:c r="G2051" s="115" t="str">
        <x:v>8 niveaux ; 254 pièces ; 1881 segments de mur ; 7 transitions. Inspection physique ; architecture complète encore ouverte.</x:v>
      </x:c>
      <x:c r="H2051" s="115" t="str">
        <x:v>L 79,45 ; l 98,66 ; hauteur 21,55 m ; choix de composition auteur ; dimensions réelles à documenter</x:v>
      </x:c>
      <x:c r="I2051" s="115" t="str">
        <x:v>À équilibrer</x:v>
      </x:c>
      <x:c r="J2051" s="115" t="str">
        <x:v>Non</x:v>
      </x:c>
      <x:c r="K2051" s="115" t="str">
        <x:v>Pièces décrites, murs, portes, niveaux et mobilier inspectables à l’échelle. Volumes réservés, raccord au seed, butin, rencontres et services de campagne restent à terminer.</x:v>
      </x:c>
    </x:row>
    <x:row r="2052" ht="96" customHeight="1">
      <x:c r="A2052" s="115" t="str">
        <x:v>EXT-MONDE-T041-V47</x:v>
      </x:c>
      <x:c r="B2052" s="115" t="str">
        <x:v>EXT-MONDE-T041</x:v>
      </x:c>
      <x:c r="C2052" s="115" t="str">
        <x:v>HLM visitables</x:v>
      </x:c>
      <x:c r="D2052" s="115" t="str">
        <x:v>Barre HLM</x:v>
      </x:c>
      <x:c r="E2052" s="115" t="n">
        <x:v>47</x:v>
      </x:c>
      <x:c r="F2052" s="115" t="str">
        <x:v>Inspection physique</x:v>
      </x:c>
      <x:c r="G2052" s="115" t="str">
        <x:v>8 niveaux ; 170 pièces ; 1279 segments de mur ; 7 transitions. Inspection physique ; architecture complète encore ouverte.</x:v>
      </x:c>
      <x:c r="H2052" s="115" t="str">
        <x:v>L 79,85 ; l 87,32 ; hauteur 21,35 m ; choix de composition auteur ; dimensions réelles à documenter</x:v>
      </x:c>
      <x:c r="I2052" s="115" t="str">
        <x:v>À équilibrer</x:v>
      </x:c>
      <x:c r="J2052" s="115" t="str">
        <x:v>Non</x:v>
      </x:c>
      <x:c r="K2052" s="115" t="str">
        <x:v>Pièces décrites, murs, portes, niveaux et mobilier inspectables à l’échelle. Volumes réservés, raccord au seed, butin, rencontres et services de campagne restent à terminer.</x:v>
      </x:c>
    </x:row>
    <x:row r="2053" ht="96" customHeight="1">
      <x:c r="A2053" s="115" t="str">
        <x:v>EXT-MONDE-T041-V48</x:v>
      </x:c>
      <x:c r="B2053" s="115" t="str">
        <x:v>EXT-MONDE-T041</x:v>
      </x:c>
      <x:c r="C2053" s="115" t="str">
        <x:v>HLM visitables</x:v>
      </x:c>
      <x:c r="D2053" s="115" t="str">
        <x:v>Barre HLM</x:v>
      </x:c>
      <x:c r="E2053" s="115" t="n">
        <x:v>48</x:v>
      </x:c>
      <x:c r="F2053" s="115" t="str">
        <x:v>Inspection physique</x:v>
      </x:c>
      <x:c r="G2053" s="115" t="str">
        <x:v>8 niveaux ; 254 pièces ; 1881 segments de mur ; 7 transitions. Inspection physique ; architecture complète encore ouverte.</x:v>
      </x:c>
      <x:c r="H2053" s="115" t="str">
        <x:v>L 80,25 ; l 99,5 ; hauteur 21,45 m ; choix de composition auteur ; dimensions réelles à documenter</x:v>
      </x:c>
      <x:c r="I2053" s="115" t="str">
        <x:v>À équilibrer</x:v>
      </x:c>
      <x:c r="J2053" s="115" t="str">
        <x:v>Non</x:v>
      </x:c>
      <x:c r="K2053" s="115" t="str">
        <x:v>Pièces décrites, murs, portes, niveaux et mobilier inspectables à l’échelle. Volumes réservés, raccord au seed, butin, rencontres et services de campagne restent à terminer.</x:v>
      </x:c>
    </x:row>
    <x:row r="2054" ht="96" customHeight="1">
      <x:c r="A2054" s="115" t="str">
        <x:v>EXT-MONDE-T041-V49</x:v>
      </x:c>
      <x:c r="B2054" s="115" t="str">
        <x:v>EXT-MONDE-T041</x:v>
      </x:c>
      <x:c r="C2054" s="115" t="str">
        <x:v>HLM visitables</x:v>
      </x:c>
      <x:c r="D2054" s="115" t="str">
        <x:v>Barre HLM</x:v>
      </x:c>
      <x:c r="E2054" s="115" t="n">
        <x:v>49</x:v>
      </x:c>
      <x:c r="F2054" s="115" t="str">
        <x:v>Inspection physique</x:v>
      </x:c>
      <x:c r="G2054" s="115" t="str">
        <x:v>8 niveaux ; 170 pièces ; 1279 segments de mur ; 7 transitions. Inspection physique ; architecture complète encore ouverte.</x:v>
      </x:c>
      <x:c r="H2054" s="115" t="str">
        <x:v>L 80,65 ; l 88,08 ; hauteur 21,55 m ; choix de composition auteur ; dimensions réelles à documenter</x:v>
      </x:c>
      <x:c r="I2054" s="115" t="str">
        <x:v>À équilibrer</x:v>
      </x:c>
      <x:c r="J2054" s="115" t="str">
        <x:v>Non</x:v>
      </x:c>
      <x:c r="K2054" s="115" t="str">
        <x:v>Pièces décrites, murs, portes, niveaux et mobilier inspectables à l’échelle. Volumes réservés, raccord au seed, butin, rencontres et services de campagne restent à terminer.</x:v>
      </x:c>
    </x:row>
    <x:row r="2055" ht="96" customHeight="1">
      <x:c r="A2055" s="115" t="str">
        <x:v>EXT-MONDE-T041-V50</x:v>
      </x:c>
      <x:c r="B2055" s="115" t="str">
        <x:v>EXT-MONDE-T041</x:v>
      </x:c>
      <x:c r="C2055" s="115" t="str">
        <x:v>HLM visitables</x:v>
      </x:c>
      <x:c r="D2055" s="115" t="str">
        <x:v>Barre HLM</x:v>
      </x:c>
      <x:c r="E2055" s="115" t="n">
        <x:v>50</x:v>
      </x:c>
      <x:c r="F2055" s="115" t="str">
        <x:v>Inspection physique</x:v>
      </x:c>
      <x:c r="G2055" s="115" t="str">
        <x:v>8 niveaux ; 254 pièces ; 1881 segments de mur ; 7 transitions. Inspection physique ; architecture complète encore ouverte.</x:v>
      </x:c>
      <x:c r="H2055" s="115" t="str">
        <x:v>L 81,05 ; l 100,34 ; hauteur 21,35 m ; choix de composition auteur ; dimensions réelles à documenter</x:v>
      </x:c>
      <x:c r="I2055" s="115" t="str">
        <x:v>À équilibrer</x:v>
      </x:c>
      <x:c r="J2055" s="115" t="str">
        <x:v>Non</x:v>
      </x:c>
      <x:c r="K2055" s="115" t="str">
        <x:v>Pièces décrites, murs, portes, niveaux et mobilier inspectables à l’échelle. Volumes réservés, raccord au seed, butin, rencontres et services de campagne restent à terminer.</x:v>
      </x:c>
    </x:row>
    <x:row r="2056" ht="96" customHeight="1">
      <x:c r="A2056" s="115" t="str">
        <x:v>EXT-MONDE-T042-V01</x:v>
      </x:c>
      <x:c r="B2056" s="115" t="str">
        <x:v>EXT-MONDE-T042</x:v>
      </x:c>
      <x:c r="C2056" s="115" t="str">
        <x:v>HLM visitables</x:v>
      </x:c>
      <x:c r="D2056" s="115" t="str">
        <x:v>Tour HLM</x:v>
      </x:c>
      <x:c r="E2056" s="115" t="n">
        <x:v>1</x:v>
      </x:c>
      <x:c r="F2056" s="115" t="str">
        <x:v>Inspection physique</x:v>
      </x:c>
      <x:c r="G2056" s="115" t="str">
        <x:v>8 niveaux ; 170 pièces ; 1279 segments de mur ; 7 transitions. Inspection physique ; architecture complète encore ouverte.</x:v>
      </x:c>
      <x:c r="H2056" s="115" t="str">
        <x:v>L 77 ; l 84,8 ; hauteur 21,35 m ; choix de composition auteur ; dimensions réelles à documenter</x:v>
      </x:c>
      <x:c r="I2056" s="115" t="str">
        <x:v>À équilibrer</x:v>
      </x:c>
      <x:c r="J2056" s="115" t="str">
        <x:v>Non</x:v>
      </x:c>
      <x:c r="K2056" s="115" t="str">
        <x:v>Pièces décrites, murs, portes, niveaux et mobilier inspectables à l’échelle. Volumes réservés, raccord au seed, butin, rencontres et services de campagne restent à terminer.</x:v>
      </x:c>
    </x:row>
    <x:row r="2057" ht="96" customHeight="1">
      <x:c r="A2057" s="115" t="str">
        <x:v>EXT-MONDE-T042-V02</x:v>
      </x:c>
      <x:c r="B2057" s="115" t="str">
        <x:v>EXT-MONDE-T042</x:v>
      </x:c>
      <x:c r="C2057" s="115" t="str">
        <x:v>HLM visitables</x:v>
      </x:c>
      <x:c r="D2057" s="115" t="str">
        <x:v>Tour HLM</x:v>
      </x:c>
      <x:c r="E2057" s="115" t="n">
        <x:v>2</x:v>
      </x:c>
      <x:c r="F2057" s="115" t="str">
        <x:v>Inspection physique</x:v>
      </x:c>
      <x:c r="G2057" s="115" t="str">
        <x:v>8 niveaux ; 170 pièces ; 1279 segments de mur ; 7 transitions. Inspection physique ; architecture complète encore ouverte.</x:v>
      </x:c>
      <x:c r="H2057" s="115" t="str">
        <x:v>L 77,4 ; l 85,18 ; hauteur 21,45 m ; choix de composition auteur ; dimensions réelles à documenter</x:v>
      </x:c>
      <x:c r="I2057" s="115" t="str">
        <x:v>À équilibrer</x:v>
      </x:c>
      <x:c r="J2057" s="115" t="str">
        <x:v>Non</x:v>
      </x:c>
      <x:c r="K2057" s="115" t="str">
        <x:v>Pièces décrites, murs, portes, niveaux et mobilier inspectables à l’échelle. Volumes réservés, raccord au seed, butin, rencontres et services de campagne restent à terminer.</x:v>
      </x:c>
    </x:row>
    <x:row r="2058" ht="96" customHeight="1">
      <x:c r="A2058" s="115" t="str">
        <x:v>EXT-MONDE-T042-V03</x:v>
      </x:c>
      <x:c r="B2058" s="115" t="str">
        <x:v>EXT-MONDE-T042</x:v>
      </x:c>
      <x:c r="C2058" s="115" t="str">
        <x:v>HLM visitables</x:v>
      </x:c>
      <x:c r="D2058" s="115" t="str">
        <x:v>Tour HLM</x:v>
      </x:c>
      <x:c r="E2058" s="115" t="n">
        <x:v>3</x:v>
      </x:c>
      <x:c r="F2058" s="115" t="str">
        <x:v>Inspection physique</x:v>
      </x:c>
      <x:c r="G2058" s="115" t="str">
        <x:v>8 niveaux ; 170 pièces ; 1279 segments de mur ; 7 transitions. Inspection physique ; architecture complète encore ouverte.</x:v>
      </x:c>
      <x:c r="H2058" s="115" t="str">
        <x:v>L 77,8 ; l 85,56 ; hauteur 21,55 m ; choix de composition auteur ; dimensions réelles à documenter</x:v>
      </x:c>
      <x:c r="I2058" s="115" t="str">
        <x:v>À équilibrer</x:v>
      </x:c>
      <x:c r="J2058" s="115" t="str">
        <x:v>Non</x:v>
      </x:c>
      <x:c r="K2058" s="115" t="str">
        <x:v>Pièces décrites, murs, portes, niveaux et mobilier inspectables à l’échelle. Volumes réservés, raccord au seed, butin, rencontres et services de campagne restent à terminer.</x:v>
      </x:c>
    </x:row>
    <x:row r="2059" ht="96" customHeight="1">
      <x:c r="A2059" s="115" t="str">
        <x:v>EXT-MONDE-T042-V04</x:v>
      </x:c>
      <x:c r="B2059" s="115" t="str">
        <x:v>EXT-MONDE-T042</x:v>
      </x:c>
      <x:c r="C2059" s="115" t="str">
        <x:v>HLM visitables</x:v>
      </x:c>
      <x:c r="D2059" s="115" t="str">
        <x:v>Tour HLM</x:v>
      </x:c>
      <x:c r="E2059" s="115" t="n">
        <x:v>4</x:v>
      </x:c>
      <x:c r="F2059" s="115" t="str">
        <x:v>Inspection physique</x:v>
      </x:c>
      <x:c r="G2059" s="115" t="str">
        <x:v>8 niveaux ; 170 pièces ; 1279 segments de mur ; 7 transitions. Inspection physique ; architecture complète encore ouverte.</x:v>
      </x:c>
      <x:c r="H2059" s="115" t="str">
        <x:v>L 78,2 ; l 85,94 ; hauteur 21,35 m ; choix de composition auteur ; dimensions réelles à documenter</x:v>
      </x:c>
      <x:c r="I2059" s="115" t="str">
        <x:v>À équilibrer</x:v>
      </x:c>
      <x:c r="J2059" s="115" t="str">
        <x:v>Non</x:v>
      </x:c>
      <x:c r="K2059" s="115" t="str">
        <x:v>Pièces décrites, murs, portes, niveaux et mobilier inspectables à l’échelle. Volumes réservés, raccord au seed, butin, rencontres et services de campagne restent à terminer.</x:v>
      </x:c>
    </x:row>
    <x:row r="2060" ht="96" customHeight="1">
      <x:c r="A2060" s="115" t="str">
        <x:v>EXT-MONDE-T042-V05</x:v>
      </x:c>
      <x:c r="B2060" s="115" t="str">
        <x:v>EXT-MONDE-T042</x:v>
      </x:c>
      <x:c r="C2060" s="115" t="str">
        <x:v>HLM visitables</x:v>
      </x:c>
      <x:c r="D2060" s="115" t="str">
        <x:v>Tour HLM</x:v>
      </x:c>
      <x:c r="E2060" s="115" t="n">
        <x:v>5</x:v>
      </x:c>
      <x:c r="F2060" s="115" t="str">
        <x:v>Inspection physique</x:v>
      </x:c>
      <x:c r="G2060" s="115" t="str">
        <x:v>8 niveaux ; 170 pièces ; 1279 segments de mur ; 7 transitions. Inspection physique ; architecture complète encore ouverte.</x:v>
      </x:c>
      <x:c r="H2060" s="115" t="str">
        <x:v>L 78,6 ; l 86,32 ; hauteur 21,45 m ; choix de composition auteur ; dimensions réelles à documenter</x:v>
      </x:c>
      <x:c r="I2060" s="115" t="str">
        <x:v>À équilibrer</x:v>
      </x:c>
      <x:c r="J2060" s="115" t="str">
        <x:v>Non</x:v>
      </x:c>
      <x:c r="K2060" s="115" t="str">
        <x:v>Pièces décrites, murs, portes, niveaux et mobilier inspectables à l’échelle. Volumes réservés, raccord au seed, butin, rencontres et services de campagne restent à terminer.</x:v>
      </x:c>
    </x:row>
    <x:row r="2061" ht="96" customHeight="1">
      <x:c r="A2061" s="115" t="str">
        <x:v>EXT-MONDE-T042-V06</x:v>
      </x:c>
      <x:c r="B2061" s="115" t="str">
        <x:v>EXT-MONDE-T042</x:v>
      </x:c>
      <x:c r="C2061" s="115" t="str">
        <x:v>HLM visitables</x:v>
      </x:c>
      <x:c r="D2061" s="115" t="str">
        <x:v>Tour HLM</x:v>
      </x:c>
      <x:c r="E2061" s="115" t="n">
        <x:v>6</x:v>
      </x:c>
      <x:c r="F2061" s="115" t="str">
        <x:v>Inspection physique</x:v>
      </x:c>
      <x:c r="G2061" s="115" t="str">
        <x:v>8 niveaux ; 170 pièces ; 1279 segments de mur ; 7 transitions. Inspection physique ; architecture complète encore ouverte.</x:v>
      </x:c>
      <x:c r="H2061" s="115" t="str">
        <x:v>L 78,65 ; l 86,3 ; hauteur 21,55 m ; choix de composition auteur ; dimensions réelles à documenter</x:v>
      </x:c>
      <x:c r="I2061" s="115" t="str">
        <x:v>À équilibrer</x:v>
      </x:c>
      <x:c r="J2061" s="115" t="str">
        <x:v>Non</x:v>
      </x:c>
      <x:c r="K2061" s="115" t="str">
        <x:v>Pièces décrites, murs, portes, niveaux et mobilier inspectables à l’échelle. Volumes réservés, raccord au seed, butin, rencontres et services de campagne restent à terminer.</x:v>
      </x:c>
    </x:row>
    <x:row r="2062" ht="96" customHeight="1">
      <x:c r="A2062" s="115" t="str">
        <x:v>EXT-MONDE-T042-V07</x:v>
      </x:c>
      <x:c r="B2062" s="115" t="str">
        <x:v>EXT-MONDE-T042</x:v>
      </x:c>
      <x:c r="C2062" s="115" t="str">
        <x:v>HLM visitables</x:v>
      </x:c>
      <x:c r="D2062" s="115" t="str">
        <x:v>Tour HLM</x:v>
      </x:c>
      <x:c r="E2062" s="115" t="n">
        <x:v>7</x:v>
      </x:c>
      <x:c r="F2062" s="115" t="str">
        <x:v>Inspection physique</x:v>
      </x:c>
      <x:c r="G2062" s="115" t="str">
        <x:v>8 niveaux ; 170 pièces ; 1279 segments de mur ; 7 transitions. Inspection physique ; architecture complète encore ouverte.</x:v>
      </x:c>
      <x:c r="H2062" s="115" t="str">
        <x:v>L 79,05 ; l 86,68 ; hauteur 21,35 m ; choix de composition auteur ; dimensions réelles à documenter</x:v>
      </x:c>
      <x:c r="I2062" s="115" t="str">
        <x:v>À équilibrer</x:v>
      </x:c>
      <x:c r="J2062" s="115" t="str">
        <x:v>Non</x:v>
      </x:c>
      <x:c r="K2062" s="115" t="str">
        <x:v>Pièces décrites, murs, portes, niveaux et mobilier inspectables à l’échelle. Volumes réservés, raccord au seed, butin, rencontres et services de campagne restent à terminer.</x:v>
      </x:c>
    </x:row>
    <x:row r="2063" ht="96" customHeight="1">
      <x:c r="A2063" s="115" t="str">
        <x:v>EXT-MONDE-T042-V08</x:v>
      </x:c>
      <x:c r="B2063" s="115" t="str">
        <x:v>EXT-MONDE-T042</x:v>
      </x:c>
      <x:c r="C2063" s="115" t="str">
        <x:v>HLM visitables</x:v>
      </x:c>
      <x:c r="D2063" s="115" t="str">
        <x:v>Tour HLM</x:v>
      </x:c>
      <x:c r="E2063" s="115" t="n">
        <x:v>8</x:v>
      </x:c>
      <x:c r="F2063" s="115" t="str">
        <x:v>Inspection physique</x:v>
      </x:c>
      <x:c r="G2063" s="115" t="str">
        <x:v>8 niveaux ; 170 pièces ; 1279 segments de mur ; 7 transitions. Inspection physique ; architecture complète encore ouverte.</x:v>
      </x:c>
      <x:c r="H2063" s="115" t="str">
        <x:v>L 79,45 ; l 87,06 ; hauteur 21,45 m ; choix de composition auteur ; dimensions réelles à documenter</x:v>
      </x:c>
      <x:c r="I2063" s="115" t="str">
        <x:v>À équilibrer</x:v>
      </x:c>
      <x:c r="J2063" s="115" t="str">
        <x:v>Non</x:v>
      </x:c>
      <x:c r="K2063" s="115" t="str">
        <x:v>Pièces décrites, murs, portes, niveaux et mobilier inspectables à l’échelle. Volumes réservés, raccord au seed, butin, rencontres et services de campagne restent à terminer.</x:v>
      </x:c>
    </x:row>
    <x:row r="2064" ht="96" customHeight="1">
      <x:c r="A2064" s="115" t="str">
        <x:v>EXT-MONDE-T042-V09</x:v>
      </x:c>
      <x:c r="B2064" s="115" t="str">
        <x:v>EXT-MONDE-T042</x:v>
      </x:c>
      <x:c r="C2064" s="115" t="str">
        <x:v>HLM visitables</x:v>
      </x:c>
      <x:c r="D2064" s="115" t="str">
        <x:v>Tour HLM</x:v>
      </x:c>
      <x:c r="E2064" s="115" t="n">
        <x:v>9</x:v>
      </x:c>
      <x:c r="F2064" s="115" t="str">
        <x:v>Inspection physique</x:v>
      </x:c>
      <x:c r="G2064" s="115" t="str">
        <x:v>8 niveaux ; 170 pièces ; 1279 segments de mur ; 7 transitions. Inspection physique ; architecture complète encore ouverte.</x:v>
      </x:c>
      <x:c r="H2064" s="115" t="str">
        <x:v>L 79,85 ; l 87,44 ; hauteur 21,55 m ; choix de composition auteur ; dimensions réelles à documenter</x:v>
      </x:c>
      <x:c r="I2064" s="115" t="str">
        <x:v>À équilibrer</x:v>
      </x:c>
      <x:c r="J2064" s="115" t="str">
        <x:v>Non</x:v>
      </x:c>
      <x:c r="K2064" s="115" t="str">
        <x:v>Pièces décrites, murs, portes, niveaux et mobilier inspectables à l’échelle. Volumes réservés, raccord au seed, butin, rencontres et services de campagne restent à terminer.</x:v>
      </x:c>
    </x:row>
    <x:row r="2065" ht="96" customHeight="1">
      <x:c r="A2065" s="115" t="str">
        <x:v>EXT-MONDE-T042-V10</x:v>
      </x:c>
      <x:c r="B2065" s="115" t="str">
        <x:v>EXT-MONDE-T042</x:v>
      </x:c>
      <x:c r="C2065" s="115" t="str">
        <x:v>HLM visitables</x:v>
      </x:c>
      <x:c r="D2065" s="115" t="str">
        <x:v>Tour HLM</x:v>
      </x:c>
      <x:c r="E2065" s="115" t="n">
        <x:v>10</x:v>
      </x:c>
      <x:c r="F2065" s="115" t="str">
        <x:v>Inspection physique</x:v>
      </x:c>
      <x:c r="G2065" s="115" t="str">
        <x:v>8 niveaux ; 170 pièces ; 1279 segments de mur ; 7 transitions. Inspection physique ; architecture complète encore ouverte.</x:v>
      </x:c>
      <x:c r="H2065" s="115" t="str">
        <x:v>L 80,25 ; l 87,82 ; hauteur 21,35 m ; choix de composition auteur ; dimensions réelles à documenter</x:v>
      </x:c>
      <x:c r="I2065" s="115" t="str">
        <x:v>À équilibrer</x:v>
      </x:c>
      <x:c r="J2065" s="115" t="str">
        <x:v>Non</x:v>
      </x:c>
      <x:c r="K2065" s="115" t="str">
        <x:v>Pièces décrites, murs, portes, niveaux et mobilier inspectables à l’échelle. Volumes réservés, raccord au seed, butin, rencontres et services de campagne restent à terminer.</x:v>
      </x:c>
    </x:row>
    <x:row r="2066" ht="96" customHeight="1">
      <x:c r="A2066" s="115" t="str">
        <x:v>EXT-MONDE-T042-V11</x:v>
      </x:c>
      <x:c r="B2066" s="115" t="str">
        <x:v>EXT-MONDE-T042</x:v>
      </x:c>
      <x:c r="C2066" s="115" t="str">
        <x:v>HLM visitables</x:v>
      </x:c>
      <x:c r="D2066" s="115" t="str">
        <x:v>Tour HLM</x:v>
      </x:c>
      <x:c r="E2066" s="115" t="n">
        <x:v>11</x:v>
      </x:c>
      <x:c r="F2066" s="115" t="str">
        <x:v>Inspection physique</x:v>
      </x:c>
      <x:c r="G2066" s="115" t="str">
        <x:v>9 niveaux ; 194 pièces ; 1458 segments de mur ; 8 transitions. Inspection physique ; architecture complète encore ouverte.</x:v>
      </x:c>
      <x:c r="H2066" s="115" t="str">
        <x:v>L 77,2 ; l 84,96 ; hauteur 24,35 m ; choix de composition auteur ; dimensions réelles à documenter</x:v>
      </x:c>
      <x:c r="I2066" s="115" t="str">
        <x:v>À équilibrer</x:v>
      </x:c>
      <x:c r="J2066" s="115" t="str">
        <x:v>Non</x:v>
      </x:c>
      <x:c r="K2066" s="115" t="str">
        <x:v>Pièces décrites, murs, portes, niveaux et mobilier inspectables à l’échelle. Volumes réservés, raccord au seed, butin, rencontres et services de campagne restent à terminer.</x:v>
      </x:c>
    </x:row>
    <x:row r="2067" ht="96" customHeight="1">
      <x:c r="A2067" s="115" t="str">
        <x:v>EXT-MONDE-T042-V12</x:v>
      </x:c>
      <x:c r="B2067" s="115" t="str">
        <x:v>EXT-MONDE-T042</x:v>
      </x:c>
      <x:c r="C2067" s="115" t="str">
        <x:v>HLM visitables</x:v>
      </x:c>
      <x:c r="D2067" s="115" t="str">
        <x:v>Tour HLM</x:v>
      </x:c>
      <x:c r="E2067" s="115" t="n">
        <x:v>12</x:v>
      </x:c>
      <x:c r="F2067" s="115" t="str">
        <x:v>Inspection physique</x:v>
      </x:c>
      <x:c r="G2067" s="115" t="str">
        <x:v>9 niveaux ; 194 pièces ; 1458 segments de mur ; 8 transitions. Inspection physique ; architecture complète encore ouverte.</x:v>
      </x:c>
      <x:c r="H2067" s="115" t="str">
        <x:v>L 77,6 ; l 85,34 ; hauteur 24,45 m ; choix de composition auteur ; dimensions réelles à documenter</x:v>
      </x:c>
      <x:c r="I2067" s="115" t="str">
        <x:v>À équilibrer</x:v>
      </x:c>
      <x:c r="J2067" s="115" t="str">
        <x:v>Non</x:v>
      </x:c>
      <x:c r="K2067" s="115" t="str">
        <x:v>Pièces décrites, murs, portes, niveaux et mobilier inspectables à l’échelle. Volumes réservés, raccord au seed, butin, rencontres et services de campagne restent à terminer.</x:v>
      </x:c>
    </x:row>
    <x:row r="2068" ht="96" customHeight="1">
      <x:c r="A2068" s="115" t="str">
        <x:v>EXT-MONDE-T042-V13</x:v>
      </x:c>
      <x:c r="B2068" s="115" t="str">
        <x:v>EXT-MONDE-T042</x:v>
      </x:c>
      <x:c r="C2068" s="115" t="str">
        <x:v>HLM visitables</x:v>
      </x:c>
      <x:c r="D2068" s="115" t="str">
        <x:v>Tour HLM</x:v>
      </x:c>
      <x:c r="E2068" s="115" t="n">
        <x:v>13</x:v>
      </x:c>
      <x:c r="F2068" s="115" t="str">
        <x:v>Inspection physique</x:v>
      </x:c>
      <x:c r="G2068" s="115" t="str">
        <x:v>9 niveaux ; 194 pièces ; 1458 segments de mur ; 8 transitions. Inspection physique ; architecture complète encore ouverte.</x:v>
      </x:c>
      <x:c r="H2068" s="115" t="str">
        <x:v>L 78 ; l 85,72 ; hauteur 24,55 m ; choix de composition auteur ; dimensions réelles à documenter</x:v>
      </x:c>
      <x:c r="I2068" s="115" t="str">
        <x:v>À équilibrer</x:v>
      </x:c>
      <x:c r="J2068" s="115" t="str">
        <x:v>Non</x:v>
      </x:c>
      <x:c r="K2068" s="115" t="str">
        <x:v>Pièces décrites, murs, portes, niveaux et mobilier inspectables à l’échelle. Volumes réservés, raccord au seed, butin, rencontres et services de campagne restent à terminer.</x:v>
      </x:c>
    </x:row>
    <x:row r="2069" ht="96" customHeight="1">
      <x:c r="A2069" s="115" t="str">
        <x:v>EXT-MONDE-T042-V14</x:v>
      </x:c>
      <x:c r="B2069" s="115" t="str">
        <x:v>EXT-MONDE-T042</x:v>
      </x:c>
      <x:c r="C2069" s="115" t="str">
        <x:v>HLM visitables</x:v>
      </x:c>
      <x:c r="D2069" s="115" t="str">
        <x:v>Tour HLM</x:v>
      </x:c>
      <x:c r="E2069" s="115" t="n">
        <x:v>14</x:v>
      </x:c>
      <x:c r="F2069" s="115" t="str">
        <x:v>Inspection physique</x:v>
      </x:c>
      <x:c r="G2069" s="115" t="str">
        <x:v>9 niveaux ; 194 pièces ; 1458 segments de mur ; 8 transitions. Inspection physique ; architecture complète encore ouverte.</x:v>
      </x:c>
      <x:c r="H2069" s="115" t="str">
        <x:v>L 78,4 ; l 86,1 ; hauteur 24,35 m ; choix de composition auteur ; dimensions réelles à documenter</x:v>
      </x:c>
      <x:c r="I2069" s="115" t="str">
        <x:v>À équilibrer</x:v>
      </x:c>
      <x:c r="J2069" s="115" t="str">
        <x:v>Non</x:v>
      </x:c>
      <x:c r="K2069" s="115" t="str">
        <x:v>Pièces décrites, murs, portes, niveaux et mobilier inspectables à l’échelle. Volumes réservés, raccord au seed, butin, rencontres et services de campagne restent à terminer.</x:v>
      </x:c>
    </x:row>
    <x:row r="2070" ht="96" customHeight="1">
      <x:c r="A2070" s="115" t="str">
        <x:v>EXT-MONDE-T042-V15</x:v>
      </x:c>
      <x:c r="B2070" s="115" t="str">
        <x:v>EXT-MONDE-T042</x:v>
      </x:c>
      <x:c r="C2070" s="115" t="str">
        <x:v>HLM visitables</x:v>
      </x:c>
      <x:c r="D2070" s="115" t="str">
        <x:v>Tour HLM</x:v>
      </x:c>
      <x:c r="E2070" s="115" t="n">
        <x:v>15</x:v>
      </x:c>
      <x:c r="F2070" s="115" t="str">
        <x:v>Inspection physique</x:v>
      </x:c>
      <x:c r="G2070" s="115" t="str">
        <x:v>9 niveaux ; 194 pièces ; 1458 segments de mur ; 8 transitions. Inspection physique ; architecture complète encore ouverte.</x:v>
      </x:c>
      <x:c r="H2070" s="115" t="str">
        <x:v>L 78,8 ; l 86,48 ; hauteur 24,45 m ; choix de composition auteur ; dimensions réelles à documenter</x:v>
      </x:c>
      <x:c r="I2070" s="115" t="str">
        <x:v>À équilibrer</x:v>
      </x:c>
      <x:c r="J2070" s="115" t="str">
        <x:v>Non</x:v>
      </x:c>
      <x:c r="K2070" s="115" t="str">
        <x:v>Pièces décrites, murs, portes, niveaux et mobilier inspectables à l’échelle. Volumes réservés, raccord au seed, butin, rencontres et services de campagne restent à terminer.</x:v>
      </x:c>
    </x:row>
    <x:row r="2071" ht="96" customHeight="1">
      <x:c r="A2071" s="115" t="str">
        <x:v>EXT-MONDE-T042-V16</x:v>
      </x:c>
      <x:c r="B2071" s="115" t="str">
        <x:v>EXT-MONDE-T042</x:v>
      </x:c>
      <x:c r="C2071" s="115" t="str">
        <x:v>HLM visitables</x:v>
      </x:c>
      <x:c r="D2071" s="115" t="str">
        <x:v>Tour HLM</x:v>
      </x:c>
      <x:c r="E2071" s="115" t="n">
        <x:v>16</x:v>
      </x:c>
      <x:c r="F2071" s="115" t="str">
        <x:v>Inspection physique</x:v>
      </x:c>
      <x:c r="G2071" s="115" t="str">
        <x:v>9 niveaux ; 194 pièces ; 1458 segments de mur ; 8 transitions. Inspection physique ; architecture complète encore ouverte.</x:v>
      </x:c>
      <x:c r="H2071" s="115" t="str">
        <x:v>L 78,85 ; l 86,46 ; hauteur 24,55 m ; choix de composition auteur ; dimensions réelles à documenter</x:v>
      </x:c>
      <x:c r="I2071" s="115" t="str">
        <x:v>À équilibrer</x:v>
      </x:c>
      <x:c r="J2071" s="115" t="str">
        <x:v>Non</x:v>
      </x:c>
      <x:c r="K2071" s="115" t="str">
        <x:v>Pièces décrites, murs, portes, niveaux et mobilier inspectables à l’échelle. Volumes réservés, raccord au seed, butin, rencontres et services de campagne restent à terminer.</x:v>
      </x:c>
    </x:row>
    <x:row r="2072" ht="96" customHeight="1">
      <x:c r="A2072" s="115" t="str">
        <x:v>EXT-MONDE-T042-V17</x:v>
      </x:c>
      <x:c r="B2072" s="115" t="str">
        <x:v>EXT-MONDE-T042</x:v>
      </x:c>
      <x:c r="C2072" s="115" t="str">
        <x:v>HLM visitables</x:v>
      </x:c>
      <x:c r="D2072" s="115" t="str">
        <x:v>Tour HLM</x:v>
      </x:c>
      <x:c r="E2072" s="115" t="n">
        <x:v>17</x:v>
      </x:c>
      <x:c r="F2072" s="115" t="str">
        <x:v>Inspection physique</x:v>
      </x:c>
      <x:c r="G2072" s="115" t="str">
        <x:v>9 niveaux ; 194 pièces ; 1458 segments de mur ; 8 transitions. Inspection physique ; architecture complète encore ouverte.</x:v>
      </x:c>
      <x:c r="H2072" s="115" t="str">
        <x:v>L 79,25 ; l 86,84 ; hauteur 24,35 m ; choix de composition auteur ; dimensions réelles à documenter</x:v>
      </x:c>
      <x:c r="I2072" s="115" t="str">
        <x:v>À équilibrer</x:v>
      </x:c>
      <x:c r="J2072" s="115" t="str">
        <x:v>Non</x:v>
      </x:c>
      <x:c r="K2072" s="115" t="str">
        <x:v>Pièces décrites, murs, portes, niveaux et mobilier inspectables à l’échelle. Volumes réservés, raccord au seed, butin, rencontres et services de campagne restent à terminer.</x:v>
      </x:c>
    </x:row>
    <x:row r="2073" ht="96" customHeight="1">
      <x:c r="A2073" s="115" t="str">
        <x:v>EXT-MONDE-T042-V18</x:v>
      </x:c>
      <x:c r="B2073" s="115" t="str">
        <x:v>EXT-MONDE-T042</x:v>
      </x:c>
      <x:c r="C2073" s="115" t="str">
        <x:v>HLM visitables</x:v>
      </x:c>
      <x:c r="D2073" s="115" t="str">
        <x:v>Tour HLM</x:v>
      </x:c>
      <x:c r="E2073" s="115" t="n">
        <x:v>18</x:v>
      </x:c>
      <x:c r="F2073" s="115" t="str">
        <x:v>Inspection physique</x:v>
      </x:c>
      <x:c r="G2073" s="115" t="str">
        <x:v>9 niveaux ; 194 pièces ; 1458 segments de mur ; 8 transitions. Inspection physique ; architecture complète encore ouverte.</x:v>
      </x:c>
      <x:c r="H2073" s="115" t="str">
        <x:v>L 79,65 ; l 87,22 ; hauteur 24,45 m ; choix de composition auteur ; dimensions réelles à documenter</x:v>
      </x:c>
      <x:c r="I2073" s="115" t="str">
        <x:v>À équilibrer</x:v>
      </x:c>
      <x:c r="J2073" s="115" t="str">
        <x:v>Non</x:v>
      </x:c>
      <x:c r="K2073" s="115" t="str">
        <x:v>Pièces décrites, murs, portes, niveaux et mobilier inspectables à l’échelle. Volumes réservés, raccord au seed, butin, rencontres et services de campagne restent à terminer.</x:v>
      </x:c>
    </x:row>
    <x:row r="2074" ht="96" customHeight="1">
      <x:c r="A2074" s="115" t="str">
        <x:v>EXT-MONDE-T042-V19</x:v>
      </x:c>
      <x:c r="B2074" s="115" t="str">
        <x:v>EXT-MONDE-T042</x:v>
      </x:c>
      <x:c r="C2074" s="115" t="str">
        <x:v>HLM visitables</x:v>
      </x:c>
      <x:c r="D2074" s="115" t="str">
        <x:v>Tour HLM</x:v>
      </x:c>
      <x:c r="E2074" s="115" t="n">
        <x:v>19</x:v>
      </x:c>
      <x:c r="F2074" s="115" t="str">
        <x:v>Inspection physique</x:v>
      </x:c>
      <x:c r="G2074" s="115" t="str">
        <x:v>9 niveaux ; 194 pièces ; 1458 segments de mur ; 8 transitions. Inspection physique ; architecture complète encore ouverte.</x:v>
      </x:c>
      <x:c r="H2074" s="115" t="str">
        <x:v>L 80,05 ; l 87,6 ; hauteur 24,55 m ; choix de composition auteur ; dimensions réelles à documenter</x:v>
      </x:c>
      <x:c r="I2074" s="115" t="str">
        <x:v>À équilibrer</x:v>
      </x:c>
      <x:c r="J2074" s="115" t="str">
        <x:v>Non</x:v>
      </x:c>
      <x:c r="K2074" s="115" t="str">
        <x:v>Pièces décrites, murs, portes, niveaux et mobilier inspectables à l’échelle. Volumes réservés, raccord au seed, butin, rencontres et services de campagne restent à terminer.</x:v>
      </x:c>
    </x:row>
    <x:row r="2075" ht="96" customHeight="1">
      <x:c r="A2075" s="115" t="str">
        <x:v>EXT-MONDE-T042-V20</x:v>
      </x:c>
      <x:c r="B2075" s="115" t="str">
        <x:v>EXT-MONDE-T042</x:v>
      </x:c>
      <x:c r="C2075" s="115" t="str">
        <x:v>HLM visitables</x:v>
      </x:c>
      <x:c r="D2075" s="115" t="str">
        <x:v>Tour HLM</x:v>
      </x:c>
      <x:c r="E2075" s="115" t="n">
        <x:v>20</x:v>
      </x:c>
      <x:c r="F2075" s="115" t="str">
        <x:v>Inspection physique</x:v>
      </x:c>
      <x:c r="G2075" s="115" t="str">
        <x:v>9 niveaux ; 194 pièces ; 1458 segments de mur ; 8 transitions. Inspection physique ; architecture complète encore ouverte.</x:v>
      </x:c>
      <x:c r="H2075" s="115" t="str">
        <x:v>L 80,45 ; l 87,98 ; hauteur 24,35 m ; choix de composition auteur ; dimensions réelles à documenter</x:v>
      </x:c>
      <x:c r="I2075" s="115" t="str">
        <x:v>À équilibrer</x:v>
      </x:c>
      <x:c r="J2075" s="115" t="str">
        <x:v>Non</x:v>
      </x:c>
      <x:c r="K2075" s="115" t="str">
        <x:v>Pièces décrites, murs, portes, niveaux et mobilier inspectables à l’échelle. Volumes réservés, raccord au seed, butin, rencontres et services de campagne restent à terminer.</x:v>
      </x:c>
    </x:row>
    <x:row r="2076" ht="96" customHeight="1">
      <x:c r="A2076" s="115" t="str">
        <x:v>EXT-MONDE-T042-V21</x:v>
      </x:c>
      <x:c r="B2076" s="115" t="str">
        <x:v>EXT-MONDE-T042</x:v>
      </x:c>
      <x:c r="C2076" s="115" t="str">
        <x:v>HLM visitables</x:v>
      </x:c>
      <x:c r="D2076" s="115" t="str">
        <x:v>Tour HLM</x:v>
      </x:c>
      <x:c r="E2076" s="115" t="n">
        <x:v>21</x:v>
      </x:c>
      <x:c r="F2076" s="115" t="str">
        <x:v>Inspection physique</x:v>
      </x:c>
      <x:c r="G2076" s="115" t="str">
        <x:v>10 niveaux ; 218 pièces ; 1637 segments de mur ; 9 transitions. Inspection physique ; architecture complète encore ouverte.</x:v>
      </x:c>
      <x:c r="H2076" s="115" t="str">
        <x:v>L 77,4 ; l 85,12 ; hauteur 27,35 m ; choix de composition auteur ; dimensions réelles à documenter</x:v>
      </x:c>
      <x:c r="I2076" s="115" t="str">
        <x:v>À équilibrer</x:v>
      </x:c>
      <x:c r="J2076" s="115" t="str">
        <x:v>Non</x:v>
      </x:c>
      <x:c r="K2076" s="115" t="str">
        <x:v>Pièces décrites, murs, portes, niveaux et mobilier inspectables à l’échelle. Volumes réservés, raccord au seed, butin, rencontres et services de campagne restent à terminer.</x:v>
      </x:c>
    </x:row>
    <x:row r="2077" ht="96" customHeight="1">
      <x:c r="A2077" s="115" t="str">
        <x:v>EXT-MONDE-T042-V22</x:v>
      </x:c>
      <x:c r="B2077" s="115" t="str">
        <x:v>EXT-MONDE-T042</x:v>
      </x:c>
      <x:c r="C2077" s="115" t="str">
        <x:v>HLM visitables</x:v>
      </x:c>
      <x:c r="D2077" s="115" t="str">
        <x:v>Tour HLM</x:v>
      </x:c>
      <x:c r="E2077" s="115" t="n">
        <x:v>22</x:v>
      </x:c>
      <x:c r="F2077" s="115" t="str">
        <x:v>Inspection physique</x:v>
      </x:c>
      <x:c r="G2077" s="115" t="str">
        <x:v>10 niveaux ; 218 pièces ; 1637 segments de mur ; 9 transitions. Inspection physique ; architecture complète encore ouverte.</x:v>
      </x:c>
      <x:c r="H2077" s="115" t="str">
        <x:v>L 77,8 ; l 85,5 ; hauteur 27,45 m ; choix de composition auteur ; dimensions réelles à documenter</x:v>
      </x:c>
      <x:c r="I2077" s="115" t="str">
        <x:v>À équilibrer</x:v>
      </x:c>
      <x:c r="J2077" s="115" t="str">
        <x:v>Non</x:v>
      </x:c>
      <x:c r="K2077" s="115" t="str">
        <x:v>Pièces décrites, murs, portes, niveaux et mobilier inspectables à l’échelle. Volumes réservés, raccord au seed, butin, rencontres et services de campagne restent à terminer.</x:v>
      </x:c>
    </x:row>
    <x:row r="2078" ht="96" customHeight="1">
      <x:c r="A2078" s="115" t="str">
        <x:v>EXT-MONDE-T042-V23</x:v>
      </x:c>
      <x:c r="B2078" s="115" t="str">
        <x:v>EXT-MONDE-T042</x:v>
      </x:c>
      <x:c r="C2078" s="115" t="str">
        <x:v>HLM visitables</x:v>
      </x:c>
      <x:c r="D2078" s="115" t="str">
        <x:v>Tour HLM</x:v>
      </x:c>
      <x:c r="E2078" s="115" t="n">
        <x:v>23</x:v>
      </x:c>
      <x:c r="F2078" s="115" t="str">
        <x:v>Inspection physique</x:v>
      </x:c>
      <x:c r="G2078" s="115" t="str">
        <x:v>10 niveaux ; 218 pièces ; 1637 segments de mur ; 9 transitions. Inspection physique ; architecture complète encore ouverte.</x:v>
      </x:c>
      <x:c r="H2078" s="115" t="str">
        <x:v>L 78,2 ; l 85,88 ; hauteur 27,55 m ; choix de composition auteur ; dimensions réelles à documenter</x:v>
      </x:c>
      <x:c r="I2078" s="115" t="str">
        <x:v>À équilibrer</x:v>
      </x:c>
      <x:c r="J2078" s="115" t="str">
        <x:v>Non</x:v>
      </x:c>
      <x:c r="K2078" s="115" t="str">
        <x:v>Pièces décrites, murs, portes, niveaux et mobilier inspectables à l’échelle. Volumes réservés, raccord au seed, butin, rencontres et services de campagne restent à terminer.</x:v>
      </x:c>
    </x:row>
    <x:row r="2079" ht="96" customHeight="1">
      <x:c r="A2079" s="115" t="str">
        <x:v>EXT-MONDE-T042-V24</x:v>
      </x:c>
      <x:c r="B2079" s="115" t="str">
        <x:v>EXT-MONDE-T042</x:v>
      </x:c>
      <x:c r="C2079" s="115" t="str">
        <x:v>HLM visitables</x:v>
      </x:c>
      <x:c r="D2079" s="115" t="str">
        <x:v>Tour HLM</x:v>
      </x:c>
      <x:c r="E2079" s="115" t="n">
        <x:v>24</x:v>
      </x:c>
      <x:c r="F2079" s="115" t="str">
        <x:v>Inspection physique</x:v>
      </x:c>
      <x:c r="G2079" s="115" t="str">
        <x:v>10 niveaux ; 218 pièces ; 1637 segments de mur ; 9 transitions. Inspection physique ; architecture complète encore ouverte.</x:v>
      </x:c>
      <x:c r="H2079" s="115" t="str">
        <x:v>L 78,6 ; l 86,26 ; hauteur 27,35 m ; choix de composition auteur ; dimensions réelles à documenter</x:v>
      </x:c>
      <x:c r="I2079" s="115" t="str">
        <x:v>À équilibrer</x:v>
      </x:c>
      <x:c r="J2079" s="115" t="str">
        <x:v>Non</x:v>
      </x:c>
      <x:c r="K2079" s="115" t="str">
        <x:v>Pièces décrites, murs, portes, niveaux et mobilier inspectables à l’échelle. Volumes réservés, raccord au seed, butin, rencontres et services de campagne restent à terminer.</x:v>
      </x:c>
    </x:row>
    <x:row r="2080" ht="96" customHeight="1">
      <x:c r="A2080" s="115" t="str">
        <x:v>EXT-MONDE-T042-V25</x:v>
      </x:c>
      <x:c r="B2080" s="115" t="str">
        <x:v>EXT-MONDE-T042</x:v>
      </x:c>
      <x:c r="C2080" s="115" t="str">
        <x:v>HLM visitables</x:v>
      </x:c>
      <x:c r="D2080" s="115" t="str">
        <x:v>Tour HLM</x:v>
      </x:c>
      <x:c r="E2080" s="115" t="n">
        <x:v>25</x:v>
      </x:c>
      <x:c r="F2080" s="115" t="str">
        <x:v>Inspection physique</x:v>
      </x:c>
      <x:c r="G2080" s="115" t="str">
        <x:v>10 niveaux ; 218 pièces ; 1637 segments de mur ; 9 transitions. Inspection physique ; architecture complète encore ouverte.</x:v>
      </x:c>
      <x:c r="H2080" s="115" t="str">
        <x:v>L 79 ; l 86,64 ; hauteur 27,45 m ; choix de composition auteur ; dimensions réelles à documenter</x:v>
      </x:c>
      <x:c r="I2080" s="115" t="str">
        <x:v>À équilibrer</x:v>
      </x:c>
      <x:c r="J2080" s="115" t="str">
        <x:v>Non</x:v>
      </x:c>
      <x:c r="K2080" s="115" t="str">
        <x:v>Pièces décrites, murs, portes, niveaux et mobilier inspectables à l’échelle. Volumes réservés, raccord au seed, butin, rencontres et services de campagne restent à terminer.</x:v>
      </x:c>
    </x:row>
    <x:row r="2081" ht="96" customHeight="1">
      <x:c r="A2081" s="115" t="str">
        <x:v>EXT-MONDE-T042-V26</x:v>
      </x:c>
      <x:c r="B2081" s="115" t="str">
        <x:v>EXT-MONDE-T042</x:v>
      </x:c>
      <x:c r="C2081" s="115" t="str">
        <x:v>HLM visitables</x:v>
      </x:c>
      <x:c r="D2081" s="115" t="str">
        <x:v>Tour HLM</x:v>
      </x:c>
      <x:c r="E2081" s="115" t="n">
        <x:v>26</x:v>
      </x:c>
      <x:c r="F2081" s="115" t="str">
        <x:v>Inspection physique</x:v>
      </x:c>
      <x:c r="G2081" s="115" t="str">
        <x:v>10 niveaux ; 218 pièces ; 1637 segments de mur ; 9 transitions. Inspection physique ; architecture complète encore ouverte.</x:v>
      </x:c>
      <x:c r="H2081" s="115" t="str">
        <x:v>L 79,05 ; l 86,62 ; hauteur 27,55 m ; choix de composition auteur ; dimensions réelles à documenter</x:v>
      </x:c>
      <x:c r="I2081" s="115" t="str">
        <x:v>À équilibrer</x:v>
      </x:c>
      <x:c r="J2081" s="115" t="str">
        <x:v>Non</x:v>
      </x:c>
      <x:c r="K2081" s="115" t="str">
        <x:v>Pièces décrites, murs, portes, niveaux et mobilier inspectables à l’échelle. Volumes réservés, raccord au seed, butin, rencontres et services de campagne restent à terminer.</x:v>
      </x:c>
    </x:row>
    <x:row r="2082" ht="96" customHeight="1">
      <x:c r="A2082" s="115" t="str">
        <x:v>EXT-MONDE-T042-V27</x:v>
      </x:c>
      <x:c r="B2082" s="115" t="str">
        <x:v>EXT-MONDE-T042</x:v>
      </x:c>
      <x:c r="C2082" s="115" t="str">
        <x:v>HLM visitables</x:v>
      </x:c>
      <x:c r="D2082" s="115" t="str">
        <x:v>Tour HLM</x:v>
      </x:c>
      <x:c r="E2082" s="115" t="n">
        <x:v>27</x:v>
      </x:c>
      <x:c r="F2082" s="115" t="str">
        <x:v>Inspection physique</x:v>
      </x:c>
      <x:c r="G2082" s="115" t="str">
        <x:v>10 niveaux ; 218 pièces ; 1637 segments de mur ; 9 transitions. Inspection physique ; architecture complète encore ouverte.</x:v>
      </x:c>
      <x:c r="H2082" s="115" t="str">
        <x:v>L 79,45 ; l 87 ; hauteur 27,35 m ; choix de composition auteur ; dimensions réelles à documenter</x:v>
      </x:c>
      <x:c r="I2082" s="115" t="str">
        <x:v>À équilibrer</x:v>
      </x:c>
      <x:c r="J2082" s="115" t="str">
        <x:v>Non</x:v>
      </x:c>
      <x:c r="K2082" s="115" t="str">
        <x:v>Pièces décrites, murs, portes, niveaux et mobilier inspectables à l’échelle. Volumes réservés, raccord au seed, butin, rencontres et services de campagne restent à terminer.</x:v>
      </x:c>
    </x:row>
    <x:row r="2083" ht="96" customHeight="1">
      <x:c r="A2083" s="115" t="str">
        <x:v>EXT-MONDE-T042-V28</x:v>
      </x:c>
      <x:c r="B2083" s="115" t="str">
        <x:v>EXT-MONDE-T042</x:v>
      </x:c>
      <x:c r="C2083" s="115" t="str">
        <x:v>HLM visitables</x:v>
      </x:c>
      <x:c r="D2083" s="115" t="str">
        <x:v>Tour HLM</x:v>
      </x:c>
      <x:c r="E2083" s="115" t="n">
        <x:v>28</x:v>
      </x:c>
      <x:c r="F2083" s="115" t="str">
        <x:v>Inspection physique</x:v>
      </x:c>
      <x:c r="G2083" s="115" t="str">
        <x:v>10 niveaux ; 218 pièces ; 1637 segments de mur ; 9 transitions. Inspection physique ; architecture complète encore ouverte.</x:v>
      </x:c>
      <x:c r="H2083" s="115" t="str">
        <x:v>L 79,85 ; l 87,38 ; hauteur 27,45 m ; choix de composition auteur ; dimensions réelles à documenter</x:v>
      </x:c>
      <x:c r="I2083" s="115" t="str">
        <x:v>À équilibrer</x:v>
      </x:c>
      <x:c r="J2083" s="115" t="str">
        <x:v>Non</x:v>
      </x:c>
      <x:c r="K2083" s="115" t="str">
        <x:v>Pièces décrites, murs, portes, niveaux et mobilier inspectables à l’échelle. Volumes réservés, raccord au seed, butin, rencontres et services de campagne restent à terminer.</x:v>
      </x:c>
    </x:row>
    <x:row r="2084" ht="96" customHeight="1">
      <x:c r="A2084" s="115" t="str">
        <x:v>EXT-MONDE-T042-V29</x:v>
      </x:c>
      <x:c r="B2084" s="115" t="str">
        <x:v>EXT-MONDE-T042</x:v>
      </x:c>
      <x:c r="C2084" s="115" t="str">
        <x:v>HLM visitables</x:v>
      </x:c>
      <x:c r="D2084" s="115" t="str">
        <x:v>Tour HLM</x:v>
      </x:c>
      <x:c r="E2084" s="115" t="n">
        <x:v>29</x:v>
      </x:c>
      <x:c r="F2084" s="115" t="str">
        <x:v>Inspection physique</x:v>
      </x:c>
      <x:c r="G2084" s="115" t="str">
        <x:v>10 niveaux ; 218 pièces ; 1637 segments de mur ; 9 transitions. Inspection physique ; architecture complète encore ouverte.</x:v>
      </x:c>
      <x:c r="H2084" s="115" t="str">
        <x:v>L 80,25 ; l 87,76 ; hauteur 27,55 m ; choix de composition auteur ; dimensions réelles à documenter</x:v>
      </x:c>
      <x:c r="I2084" s="115" t="str">
        <x:v>À équilibrer</x:v>
      </x:c>
      <x:c r="J2084" s="115" t="str">
        <x:v>Non</x:v>
      </x:c>
      <x:c r="K2084" s="115" t="str">
        <x:v>Pièces décrites, murs, portes, niveaux et mobilier inspectables à l’échelle. Volumes réservés, raccord au seed, butin, rencontres et services de campagne restent à terminer.</x:v>
      </x:c>
    </x:row>
    <x:row r="2085" ht="96" customHeight="1">
      <x:c r="A2085" s="115" t="str">
        <x:v>EXT-MONDE-T042-V30</x:v>
      </x:c>
      <x:c r="B2085" s="115" t="str">
        <x:v>EXT-MONDE-T042</x:v>
      </x:c>
      <x:c r="C2085" s="115" t="str">
        <x:v>HLM visitables</x:v>
      </x:c>
      <x:c r="D2085" s="115" t="str">
        <x:v>Tour HLM</x:v>
      </x:c>
      <x:c r="E2085" s="115" t="n">
        <x:v>30</x:v>
      </x:c>
      <x:c r="F2085" s="115" t="str">
        <x:v>Inspection physique</x:v>
      </x:c>
      <x:c r="G2085" s="115" t="str">
        <x:v>10 niveaux ; 218 pièces ; 1637 segments de mur ; 9 transitions. Inspection physique ; architecture complète encore ouverte.</x:v>
      </x:c>
      <x:c r="H2085" s="115" t="str">
        <x:v>L 80,65 ; l 88,14 ; hauteur 27,35 m ; choix de composition auteur ; dimensions réelles à documenter</x:v>
      </x:c>
      <x:c r="I2085" s="115" t="str">
        <x:v>À équilibrer</x:v>
      </x:c>
      <x:c r="J2085" s="115" t="str">
        <x:v>Non</x:v>
      </x:c>
      <x:c r="K2085" s="115" t="str">
        <x:v>Pièces décrites, murs, portes, niveaux et mobilier inspectables à l’échelle. Volumes réservés, raccord au seed, butin, rencontres et services de campagne restent à terminer.</x:v>
      </x:c>
    </x:row>
    <x:row r="2086" ht="96" customHeight="1">
      <x:c r="A2086" s="115" t="str">
        <x:v>EXT-MONDE-T042-V31</x:v>
      </x:c>
      <x:c r="B2086" s="115" t="str">
        <x:v>EXT-MONDE-T042</x:v>
      </x:c>
      <x:c r="C2086" s="115" t="str">
        <x:v>HLM visitables</x:v>
      </x:c>
      <x:c r="D2086" s="115" t="str">
        <x:v>Tour HLM</x:v>
      </x:c>
      <x:c r="E2086" s="115" t="n">
        <x:v>31</x:v>
      </x:c>
      <x:c r="F2086" s="115" t="str">
        <x:v>Inspection physique</x:v>
      </x:c>
      <x:c r="G2086" s="115" t="str">
        <x:v>11 niveaux ; 242 pièces ; 1816 segments de mur ; 10 transitions. Inspection physique ; architecture complète encore ouverte.</x:v>
      </x:c>
      <x:c r="H2086" s="115" t="str">
        <x:v>L 77,6 ; l 85,28 ; hauteur 30,35 m ; choix de composition auteur ; dimensions réelles à documenter</x:v>
      </x:c>
      <x:c r="I2086" s="115" t="str">
        <x:v>À équilibrer</x:v>
      </x:c>
      <x:c r="J2086" s="115" t="str">
        <x:v>Non</x:v>
      </x:c>
      <x:c r="K2086" s="115" t="str">
        <x:v>Pièces décrites, murs, portes, niveaux et mobilier inspectables à l’échelle. Volumes réservés, raccord au seed, butin, rencontres et services de campagne restent à terminer.</x:v>
      </x:c>
    </x:row>
    <x:row r="2087" ht="96" customHeight="1">
      <x:c r="A2087" s="115" t="str">
        <x:v>EXT-MONDE-T042-V32</x:v>
      </x:c>
      <x:c r="B2087" s="115" t="str">
        <x:v>EXT-MONDE-T042</x:v>
      </x:c>
      <x:c r="C2087" s="115" t="str">
        <x:v>HLM visitables</x:v>
      </x:c>
      <x:c r="D2087" s="115" t="str">
        <x:v>Tour HLM</x:v>
      </x:c>
      <x:c r="E2087" s="115" t="n">
        <x:v>32</x:v>
      </x:c>
      <x:c r="F2087" s="115" t="str">
        <x:v>Inspection physique</x:v>
      </x:c>
      <x:c r="G2087" s="115" t="str">
        <x:v>11 niveaux ; 242 pièces ; 1816 segments de mur ; 10 transitions. Inspection physique ; architecture complète encore ouverte.</x:v>
      </x:c>
      <x:c r="H2087" s="115" t="str">
        <x:v>L 78 ; l 85,66 ; hauteur 30,45 m ; choix de composition auteur ; dimensions réelles à documenter</x:v>
      </x:c>
      <x:c r="I2087" s="115" t="str">
        <x:v>À équilibrer</x:v>
      </x:c>
      <x:c r="J2087" s="115" t="str">
        <x:v>Non</x:v>
      </x:c>
      <x:c r="K2087" s="115" t="str">
        <x:v>Pièces décrites, murs, portes, niveaux et mobilier inspectables à l’échelle. Volumes réservés, raccord au seed, butin, rencontres et services de campagne restent à terminer.</x:v>
      </x:c>
    </x:row>
    <x:row r="2088" ht="96" customHeight="1">
      <x:c r="A2088" s="115" t="str">
        <x:v>EXT-MONDE-T042-V33</x:v>
      </x:c>
      <x:c r="B2088" s="115" t="str">
        <x:v>EXT-MONDE-T042</x:v>
      </x:c>
      <x:c r="C2088" s="115" t="str">
        <x:v>HLM visitables</x:v>
      </x:c>
      <x:c r="D2088" s="115" t="str">
        <x:v>Tour HLM</x:v>
      </x:c>
      <x:c r="E2088" s="115" t="n">
        <x:v>33</x:v>
      </x:c>
      <x:c r="F2088" s="115" t="str">
        <x:v>Inspection physique</x:v>
      </x:c>
      <x:c r="G2088" s="115" t="str">
        <x:v>11 niveaux ; 242 pièces ; 1816 segments de mur ; 10 transitions. Inspection physique ; architecture complète encore ouverte.</x:v>
      </x:c>
      <x:c r="H2088" s="115" t="str">
        <x:v>L 78,4 ; l 86,04 ; hauteur 30,55 m ; choix de composition auteur ; dimensions réelles à documenter</x:v>
      </x:c>
      <x:c r="I2088" s="115" t="str">
        <x:v>À équilibrer</x:v>
      </x:c>
      <x:c r="J2088" s="115" t="str">
        <x:v>Non</x:v>
      </x:c>
      <x:c r="K2088" s="115" t="str">
        <x:v>Pièces décrites, murs, portes, niveaux et mobilier inspectables à l’échelle. Volumes réservés, raccord au seed, butin, rencontres et services de campagne restent à terminer.</x:v>
      </x:c>
    </x:row>
    <x:row r="2089" ht="96" customHeight="1">
      <x:c r="A2089" s="115" t="str">
        <x:v>EXT-MONDE-T042-V34</x:v>
      </x:c>
      <x:c r="B2089" s="115" t="str">
        <x:v>EXT-MONDE-T042</x:v>
      </x:c>
      <x:c r="C2089" s="115" t="str">
        <x:v>HLM visitables</x:v>
      </x:c>
      <x:c r="D2089" s="115" t="str">
        <x:v>Tour HLM</x:v>
      </x:c>
      <x:c r="E2089" s="115" t="n">
        <x:v>34</x:v>
      </x:c>
      <x:c r="F2089" s="115" t="str">
        <x:v>Inspection physique</x:v>
      </x:c>
      <x:c r="G2089" s="115" t="str">
        <x:v>11 niveaux ; 242 pièces ; 1816 segments de mur ; 10 transitions. Inspection physique ; architecture complète encore ouverte.</x:v>
      </x:c>
      <x:c r="H2089" s="115" t="str">
        <x:v>L 78,8 ; l 86,42 ; hauteur 30,35 m ; choix de composition auteur ; dimensions réelles à documenter</x:v>
      </x:c>
      <x:c r="I2089" s="115" t="str">
        <x:v>À équilibrer</x:v>
      </x:c>
      <x:c r="J2089" s="115" t="str">
        <x:v>Non</x:v>
      </x:c>
      <x:c r="K2089" s="115" t="str">
        <x:v>Pièces décrites, murs, portes, niveaux et mobilier inspectables à l’échelle. Volumes réservés, raccord au seed, butin, rencontres et services de campagne restent à terminer.</x:v>
      </x:c>
    </x:row>
    <x:row r="2090" ht="96" customHeight="1">
      <x:c r="A2090" s="115" t="str">
        <x:v>EXT-MONDE-T042-V35</x:v>
      </x:c>
      <x:c r="B2090" s="115" t="str">
        <x:v>EXT-MONDE-T042</x:v>
      </x:c>
      <x:c r="C2090" s="115" t="str">
        <x:v>HLM visitables</x:v>
      </x:c>
      <x:c r="D2090" s="115" t="str">
        <x:v>Tour HLM</x:v>
      </x:c>
      <x:c r="E2090" s="115" t="n">
        <x:v>35</x:v>
      </x:c>
      <x:c r="F2090" s="115" t="str">
        <x:v>Inspection physique</x:v>
      </x:c>
      <x:c r="G2090" s="115" t="str">
        <x:v>11 niveaux ; 242 pièces ; 1816 segments de mur ; 10 transitions. Inspection physique ; architecture complète encore ouverte.</x:v>
      </x:c>
      <x:c r="H2090" s="115" t="str">
        <x:v>L 79,2 ; l 86,8 ; hauteur 30,45 m ; choix de composition auteur ; dimensions réelles à documenter</x:v>
      </x:c>
      <x:c r="I2090" s="115" t="str">
        <x:v>À équilibrer</x:v>
      </x:c>
      <x:c r="J2090" s="115" t="str">
        <x:v>Non</x:v>
      </x:c>
      <x:c r="K2090" s="115" t="str">
        <x:v>Pièces décrites, murs, portes, niveaux et mobilier inspectables à l’échelle. Volumes réservés, raccord au seed, butin, rencontres et services de campagne restent à terminer.</x:v>
      </x:c>
    </x:row>
    <x:row r="2091" ht="96" customHeight="1">
      <x:c r="A2091" s="115" t="str">
        <x:v>EXT-MONDE-T042-V36</x:v>
      </x:c>
      <x:c r="B2091" s="115" t="str">
        <x:v>EXT-MONDE-T042</x:v>
      </x:c>
      <x:c r="C2091" s="115" t="str">
        <x:v>HLM visitables</x:v>
      </x:c>
      <x:c r="D2091" s="115" t="str">
        <x:v>Tour HLM</x:v>
      </x:c>
      <x:c r="E2091" s="115" t="n">
        <x:v>36</x:v>
      </x:c>
      <x:c r="F2091" s="115" t="str">
        <x:v>Inspection physique</x:v>
      </x:c>
      <x:c r="G2091" s="115" t="str">
        <x:v>11 niveaux ; 242 pièces ; 1816 segments de mur ; 10 transitions. Inspection physique ; architecture complète encore ouverte.</x:v>
      </x:c>
      <x:c r="H2091" s="115" t="str">
        <x:v>L 79,25 ; l 86,78 ; hauteur 30,55 m ; choix de composition auteur ; dimensions réelles à documenter</x:v>
      </x:c>
      <x:c r="I2091" s="115" t="str">
        <x:v>À équilibrer</x:v>
      </x:c>
      <x:c r="J2091" s="115" t="str">
        <x:v>Non</x:v>
      </x:c>
      <x:c r="K2091" s="115" t="str">
        <x:v>Pièces décrites, murs, portes, niveaux et mobilier inspectables à l’échelle. Volumes réservés, raccord au seed, butin, rencontres et services de campagne restent à terminer.</x:v>
      </x:c>
    </x:row>
    <x:row r="2092" ht="96" customHeight="1">
      <x:c r="A2092" s="115" t="str">
        <x:v>EXT-MONDE-T042-V37</x:v>
      </x:c>
      <x:c r="B2092" s="115" t="str">
        <x:v>EXT-MONDE-T042</x:v>
      </x:c>
      <x:c r="C2092" s="115" t="str">
        <x:v>HLM visitables</x:v>
      </x:c>
      <x:c r="D2092" s="115" t="str">
        <x:v>Tour HLM</x:v>
      </x:c>
      <x:c r="E2092" s="115" t="n">
        <x:v>37</x:v>
      </x:c>
      <x:c r="F2092" s="115" t="str">
        <x:v>Inspection physique</x:v>
      </x:c>
      <x:c r="G2092" s="115" t="str">
        <x:v>11 niveaux ; 242 pièces ; 1816 segments de mur ; 10 transitions. Inspection physique ; architecture complète encore ouverte.</x:v>
      </x:c>
      <x:c r="H2092" s="115" t="str">
        <x:v>L 79,65 ; l 87,16 ; hauteur 30,35 m ; choix de composition auteur ; dimensions réelles à documenter</x:v>
      </x:c>
      <x:c r="I2092" s="115" t="str">
        <x:v>À équilibrer</x:v>
      </x:c>
      <x:c r="J2092" s="115" t="str">
        <x:v>Non</x:v>
      </x:c>
      <x:c r="K2092" s="115" t="str">
        <x:v>Pièces décrites, murs, portes, niveaux et mobilier inspectables à l’échelle. Volumes réservés, raccord au seed, butin, rencontres et services de campagne restent à terminer.</x:v>
      </x:c>
    </x:row>
    <x:row r="2093" ht="96" customHeight="1">
      <x:c r="A2093" s="115" t="str">
        <x:v>EXT-MONDE-T042-V38</x:v>
      </x:c>
      <x:c r="B2093" s="115" t="str">
        <x:v>EXT-MONDE-T042</x:v>
      </x:c>
      <x:c r="C2093" s="115" t="str">
        <x:v>HLM visitables</x:v>
      </x:c>
      <x:c r="D2093" s="115" t="str">
        <x:v>Tour HLM</x:v>
      </x:c>
      <x:c r="E2093" s="115" t="n">
        <x:v>38</x:v>
      </x:c>
      <x:c r="F2093" s="115" t="str">
        <x:v>Inspection physique</x:v>
      </x:c>
      <x:c r="G2093" s="115" t="str">
        <x:v>11 niveaux ; 242 pièces ; 1816 segments de mur ; 10 transitions. Inspection physique ; architecture complète encore ouverte.</x:v>
      </x:c>
      <x:c r="H2093" s="115" t="str">
        <x:v>L 80,05 ; l 87,54 ; hauteur 30,45 m ; choix de composition auteur ; dimensions réelles à documenter</x:v>
      </x:c>
      <x:c r="I2093" s="115" t="str">
        <x:v>À équilibrer</x:v>
      </x:c>
      <x:c r="J2093" s="115" t="str">
        <x:v>Non</x:v>
      </x:c>
      <x:c r="K2093" s="115" t="str">
        <x:v>Pièces décrites, murs, portes, niveaux et mobilier inspectables à l’échelle. Volumes réservés, raccord au seed, butin, rencontres et services de campagne restent à terminer.</x:v>
      </x:c>
    </x:row>
    <x:row r="2094" ht="96" customHeight="1">
      <x:c r="A2094" s="115" t="str">
        <x:v>EXT-MONDE-T042-V39</x:v>
      </x:c>
      <x:c r="B2094" s="115" t="str">
        <x:v>EXT-MONDE-T042</x:v>
      </x:c>
      <x:c r="C2094" s="115" t="str">
        <x:v>HLM visitables</x:v>
      </x:c>
      <x:c r="D2094" s="115" t="str">
        <x:v>Tour HLM</x:v>
      </x:c>
      <x:c r="E2094" s="115" t="n">
        <x:v>39</x:v>
      </x:c>
      <x:c r="F2094" s="115" t="str">
        <x:v>Inspection physique</x:v>
      </x:c>
      <x:c r="G2094" s="115" t="str">
        <x:v>11 niveaux ; 242 pièces ; 1816 segments de mur ; 10 transitions. Inspection physique ; architecture complète encore ouverte.</x:v>
      </x:c>
      <x:c r="H2094" s="115" t="str">
        <x:v>L 80,45 ; l 87,92 ; hauteur 30,55 m ; choix de composition auteur ; dimensions réelles à documenter</x:v>
      </x:c>
      <x:c r="I2094" s="115" t="str">
        <x:v>À équilibrer</x:v>
      </x:c>
      <x:c r="J2094" s="115" t="str">
        <x:v>Non</x:v>
      </x:c>
      <x:c r="K2094" s="115" t="str">
        <x:v>Pièces décrites, murs, portes, niveaux et mobilier inspectables à l’échelle. Volumes réservés, raccord au seed, butin, rencontres et services de campagne restent à terminer.</x:v>
      </x:c>
    </x:row>
    <x:row r="2095" ht="96" customHeight="1">
      <x:c r="A2095" s="115" t="str">
        <x:v>EXT-MONDE-T042-V40</x:v>
      </x:c>
      <x:c r="B2095" s="115" t="str">
        <x:v>EXT-MONDE-T042</x:v>
      </x:c>
      <x:c r="C2095" s="115" t="str">
        <x:v>HLM visitables</x:v>
      </x:c>
      <x:c r="D2095" s="115" t="str">
        <x:v>Tour HLM</x:v>
      </x:c>
      <x:c r="E2095" s="115" t="n">
        <x:v>40</x:v>
      </x:c>
      <x:c r="F2095" s="115" t="str">
        <x:v>Inspection physique</x:v>
      </x:c>
      <x:c r="G2095" s="115" t="str">
        <x:v>11 niveaux ; 242 pièces ; 1816 segments de mur ; 10 transitions. Inspection physique ; architecture complète encore ouverte.</x:v>
      </x:c>
      <x:c r="H2095" s="115" t="str">
        <x:v>L 80,85 ; l 88,3 ; hauteur 30,35 m ; choix de composition auteur ; dimensions réelles à documenter</x:v>
      </x:c>
      <x:c r="I2095" s="115" t="str">
        <x:v>À équilibrer</x:v>
      </x:c>
      <x:c r="J2095" s="115" t="str">
        <x:v>Non</x:v>
      </x:c>
      <x:c r="K2095" s="115" t="str">
        <x:v>Pièces décrites, murs, portes, niveaux et mobilier inspectables à l’échelle. Volumes réservés, raccord au seed, butin, rencontres et services de campagne restent à terminer.</x:v>
      </x:c>
    </x:row>
    <x:row r="2096" ht="96" customHeight="1">
      <x:c r="A2096" s="115" t="str">
        <x:v>EXT-MONDE-T042-V41</x:v>
      </x:c>
      <x:c r="B2096" s="115" t="str">
        <x:v>EXT-MONDE-T042</x:v>
      </x:c>
      <x:c r="C2096" s="115" t="str">
        <x:v>HLM visitables</x:v>
      </x:c>
      <x:c r="D2096" s="115" t="str">
        <x:v>Tour HLM</x:v>
      </x:c>
      <x:c r="E2096" s="115" t="n">
        <x:v>41</x:v>
      </x:c>
      <x:c r="F2096" s="115" t="str">
        <x:v>Inspection physique</x:v>
      </x:c>
      <x:c r="G2096" s="115" t="str">
        <x:v>12 niveaux ; 266 pièces ; 1995 segments de mur ; 11 transitions. Inspection physique ; architecture complète encore ouverte.</x:v>
      </x:c>
      <x:c r="H2096" s="115" t="str">
        <x:v>L 77,8 ; l 85,44 ; hauteur 33,35 m ; choix de composition auteur ; dimensions réelles à documenter</x:v>
      </x:c>
      <x:c r="I2096" s="115" t="str">
        <x:v>À équilibrer</x:v>
      </x:c>
      <x:c r="J2096" s="115" t="str">
        <x:v>Non</x:v>
      </x:c>
      <x:c r="K2096" s="115" t="str">
        <x:v>Pièces décrites, murs, portes, niveaux et mobilier inspectables à l’échelle. Volumes réservés, raccord au seed, butin, rencontres et services de campagne restent à terminer.</x:v>
      </x:c>
    </x:row>
    <x:row r="2097" ht="96" customHeight="1">
      <x:c r="A2097" s="115" t="str">
        <x:v>EXT-MONDE-T042-V42</x:v>
      </x:c>
      <x:c r="B2097" s="115" t="str">
        <x:v>EXT-MONDE-T042</x:v>
      </x:c>
      <x:c r="C2097" s="115" t="str">
        <x:v>HLM visitables</x:v>
      </x:c>
      <x:c r="D2097" s="115" t="str">
        <x:v>Tour HLM</x:v>
      </x:c>
      <x:c r="E2097" s="115" t="n">
        <x:v>42</x:v>
      </x:c>
      <x:c r="F2097" s="115" t="str">
        <x:v>Inspection physique</x:v>
      </x:c>
      <x:c r="G2097" s="115" t="str">
        <x:v>12 niveaux ; 266 pièces ; 1995 segments de mur ; 11 transitions. Inspection physique ; architecture complète encore ouverte.</x:v>
      </x:c>
      <x:c r="H2097" s="115" t="str">
        <x:v>L 78,2 ; l 85,82 ; hauteur 33,45 m ; choix de composition auteur ; dimensions réelles à documenter</x:v>
      </x:c>
      <x:c r="I2097" s="115" t="str">
        <x:v>À équilibrer</x:v>
      </x:c>
      <x:c r="J2097" s="115" t="str">
        <x:v>Non</x:v>
      </x:c>
      <x:c r="K2097" s="115" t="str">
        <x:v>Pièces décrites, murs, portes, niveaux et mobilier inspectables à l’échelle. Volumes réservés, raccord au seed, butin, rencontres et services de campagne restent à terminer.</x:v>
      </x:c>
    </x:row>
    <x:row r="2098" ht="96" customHeight="1">
      <x:c r="A2098" s="115" t="str">
        <x:v>EXT-MONDE-T042-V43</x:v>
      </x:c>
      <x:c r="B2098" s="115" t="str">
        <x:v>EXT-MONDE-T042</x:v>
      </x:c>
      <x:c r="C2098" s="115" t="str">
        <x:v>HLM visitables</x:v>
      </x:c>
      <x:c r="D2098" s="115" t="str">
        <x:v>Tour HLM</x:v>
      </x:c>
      <x:c r="E2098" s="115" t="n">
        <x:v>43</x:v>
      </x:c>
      <x:c r="F2098" s="115" t="str">
        <x:v>Inspection physique</x:v>
      </x:c>
      <x:c r="G2098" s="115" t="str">
        <x:v>12 niveaux ; 266 pièces ; 1995 segments de mur ; 11 transitions. Inspection physique ; architecture complète encore ouverte.</x:v>
      </x:c>
      <x:c r="H2098" s="115" t="str">
        <x:v>L 78,6 ; l 86,2 ; hauteur 33,55 m ; choix de composition auteur ; dimensions réelles à documenter</x:v>
      </x:c>
      <x:c r="I2098" s="115" t="str">
        <x:v>À équilibrer</x:v>
      </x:c>
      <x:c r="J2098" s="115" t="str">
        <x:v>Non</x:v>
      </x:c>
      <x:c r="K2098" s="115" t="str">
        <x:v>Pièces décrites, murs, portes, niveaux et mobilier inspectables à l’échelle. Volumes réservés, raccord au seed, butin, rencontres et services de campagne restent à terminer.</x:v>
      </x:c>
    </x:row>
    <x:row r="2099" ht="96" customHeight="1">
      <x:c r="A2099" s="115" t="str">
        <x:v>EXT-MONDE-T042-V44</x:v>
      </x:c>
      <x:c r="B2099" s="115" t="str">
        <x:v>EXT-MONDE-T042</x:v>
      </x:c>
      <x:c r="C2099" s="115" t="str">
        <x:v>HLM visitables</x:v>
      </x:c>
      <x:c r="D2099" s="115" t="str">
        <x:v>Tour HLM</x:v>
      </x:c>
      <x:c r="E2099" s="115" t="n">
        <x:v>44</x:v>
      </x:c>
      <x:c r="F2099" s="115" t="str">
        <x:v>Inspection physique</x:v>
      </x:c>
      <x:c r="G2099" s="115" t="str">
        <x:v>12 niveaux ; 266 pièces ; 1995 segments de mur ; 11 transitions. Inspection physique ; architecture complète encore ouverte.</x:v>
      </x:c>
      <x:c r="H2099" s="115" t="str">
        <x:v>L 79 ; l 86,58 ; hauteur 33,35 m ; choix de composition auteur ; dimensions réelles à documenter</x:v>
      </x:c>
      <x:c r="I2099" s="115" t="str">
        <x:v>À équilibrer</x:v>
      </x:c>
      <x:c r="J2099" s="115" t="str">
        <x:v>Non</x:v>
      </x:c>
      <x:c r="K2099" s="115" t="str">
        <x:v>Pièces décrites, murs, portes, niveaux et mobilier inspectables à l’échelle. Volumes réservés, raccord au seed, butin, rencontres et services de campagne restent à terminer.</x:v>
      </x:c>
    </x:row>
    <x:row r="2100" ht="96" customHeight="1">
      <x:c r="A2100" s="115" t="str">
        <x:v>EXT-MONDE-T042-V45</x:v>
      </x:c>
      <x:c r="B2100" s="115" t="str">
        <x:v>EXT-MONDE-T042</x:v>
      </x:c>
      <x:c r="C2100" s="115" t="str">
        <x:v>HLM visitables</x:v>
      </x:c>
      <x:c r="D2100" s="115" t="str">
        <x:v>Tour HLM</x:v>
      </x:c>
      <x:c r="E2100" s="115" t="n">
        <x:v>45</x:v>
      </x:c>
      <x:c r="F2100" s="115" t="str">
        <x:v>Inspection physique</x:v>
      </x:c>
      <x:c r="G2100" s="115" t="str">
        <x:v>12 niveaux ; 266 pièces ; 1995 segments de mur ; 11 transitions. Inspection physique ; architecture complète encore ouverte.</x:v>
      </x:c>
      <x:c r="H2100" s="115" t="str">
        <x:v>L 79,4 ; l 86,96 ; hauteur 33,45 m ; choix de composition auteur ; dimensions réelles à documenter</x:v>
      </x:c>
      <x:c r="I2100" s="115" t="str">
        <x:v>À équilibrer</x:v>
      </x:c>
      <x:c r="J2100" s="115" t="str">
        <x:v>Non</x:v>
      </x:c>
      <x:c r="K2100" s="115" t="str">
        <x:v>Pièces décrites, murs, portes, niveaux et mobilier inspectables à l’échelle. Volumes réservés, raccord au seed, butin, rencontres et services de campagne restent à terminer.</x:v>
      </x:c>
    </x:row>
    <x:row r="2101" ht="96" customHeight="1">
      <x:c r="A2101" s="115" t="str">
        <x:v>EXT-MONDE-T042-V46</x:v>
      </x:c>
      <x:c r="B2101" s="115" t="str">
        <x:v>EXT-MONDE-T042</x:v>
      </x:c>
      <x:c r="C2101" s="115" t="str">
        <x:v>HLM visitables</x:v>
      </x:c>
      <x:c r="D2101" s="115" t="str">
        <x:v>Tour HLM</x:v>
      </x:c>
      <x:c r="E2101" s="115" t="n">
        <x:v>46</x:v>
      </x:c>
      <x:c r="F2101" s="115" t="str">
        <x:v>Inspection physique</x:v>
      </x:c>
      <x:c r="G2101" s="115" t="str">
        <x:v>12 niveaux ; 266 pièces ; 1995 segments de mur ; 11 transitions. Inspection physique ; architecture complète encore ouverte.</x:v>
      </x:c>
      <x:c r="H2101" s="115" t="str">
        <x:v>L 79,45 ; l 86,94 ; hauteur 33,55 m ; choix de composition auteur ; dimensions réelles à documenter</x:v>
      </x:c>
      <x:c r="I2101" s="115" t="str">
        <x:v>À équilibrer</x:v>
      </x:c>
      <x:c r="J2101" s="115" t="str">
        <x:v>Non</x:v>
      </x:c>
      <x:c r="K2101" s="115" t="str">
        <x:v>Pièces décrites, murs, portes, niveaux et mobilier inspectables à l’échelle. Volumes réservés, raccord au seed, butin, rencontres et services de campagne restent à terminer.</x:v>
      </x:c>
    </x:row>
    <x:row r="2102" ht="96" customHeight="1">
      <x:c r="A2102" s="115" t="str">
        <x:v>EXT-MONDE-T042-V47</x:v>
      </x:c>
      <x:c r="B2102" s="115" t="str">
        <x:v>EXT-MONDE-T042</x:v>
      </x:c>
      <x:c r="C2102" s="115" t="str">
        <x:v>HLM visitables</x:v>
      </x:c>
      <x:c r="D2102" s="115" t="str">
        <x:v>Tour HLM</x:v>
      </x:c>
      <x:c r="E2102" s="115" t="n">
        <x:v>47</x:v>
      </x:c>
      <x:c r="F2102" s="115" t="str">
        <x:v>Inspection physique</x:v>
      </x:c>
      <x:c r="G2102" s="115" t="str">
        <x:v>12 niveaux ; 266 pièces ; 1995 segments de mur ; 11 transitions. Inspection physique ; architecture complète encore ouverte.</x:v>
      </x:c>
      <x:c r="H2102" s="115" t="str">
        <x:v>L 79,85 ; l 87,32 ; hauteur 33,35 m ; choix de composition auteur ; dimensions réelles à documenter</x:v>
      </x:c>
      <x:c r="I2102" s="115" t="str">
        <x:v>À équilibrer</x:v>
      </x:c>
      <x:c r="J2102" s="115" t="str">
        <x:v>Non</x:v>
      </x:c>
      <x:c r="K2102" s="115" t="str">
        <x:v>Pièces décrites, murs, portes, niveaux et mobilier inspectables à l’échelle. Volumes réservés, raccord au seed, butin, rencontres et services de campagne restent à terminer.</x:v>
      </x:c>
    </x:row>
    <x:row r="2103" ht="96" customHeight="1">
      <x:c r="A2103" s="115" t="str">
        <x:v>EXT-MONDE-T042-V48</x:v>
      </x:c>
      <x:c r="B2103" s="115" t="str">
        <x:v>EXT-MONDE-T042</x:v>
      </x:c>
      <x:c r="C2103" s="115" t="str">
        <x:v>HLM visitables</x:v>
      </x:c>
      <x:c r="D2103" s="115" t="str">
        <x:v>Tour HLM</x:v>
      </x:c>
      <x:c r="E2103" s="115" t="n">
        <x:v>48</x:v>
      </x:c>
      <x:c r="F2103" s="115" t="str">
        <x:v>Inspection physique</x:v>
      </x:c>
      <x:c r="G2103" s="115" t="str">
        <x:v>12 niveaux ; 266 pièces ; 1995 segments de mur ; 11 transitions. Inspection physique ; architecture complète encore ouverte.</x:v>
      </x:c>
      <x:c r="H2103" s="115" t="str">
        <x:v>L 80,25 ; l 87,7 ; hauteur 33,45 m ; choix de composition auteur ; dimensions réelles à documenter</x:v>
      </x:c>
      <x:c r="I2103" s="115" t="str">
        <x:v>À équilibrer</x:v>
      </x:c>
      <x:c r="J2103" s="115" t="str">
        <x:v>Non</x:v>
      </x:c>
      <x:c r="K2103" s="115" t="str">
        <x:v>Pièces décrites, murs, portes, niveaux et mobilier inspectables à l’échelle. Volumes réservés, raccord au seed, butin, rencontres et services de campagne restent à terminer.</x:v>
      </x:c>
    </x:row>
    <x:row r="2104" ht="96" customHeight="1">
      <x:c r="A2104" s="115" t="str">
        <x:v>EXT-MONDE-T042-V49</x:v>
      </x:c>
      <x:c r="B2104" s="115" t="str">
        <x:v>EXT-MONDE-T042</x:v>
      </x:c>
      <x:c r="C2104" s="115" t="str">
        <x:v>HLM visitables</x:v>
      </x:c>
      <x:c r="D2104" s="115" t="str">
        <x:v>Tour HLM</x:v>
      </x:c>
      <x:c r="E2104" s="115" t="n">
        <x:v>49</x:v>
      </x:c>
      <x:c r="F2104" s="115" t="str">
        <x:v>Inspection physique</x:v>
      </x:c>
      <x:c r="G2104" s="115" t="str">
        <x:v>12 niveaux ; 266 pièces ; 1995 segments de mur ; 11 transitions. Inspection physique ; architecture complète encore ouverte.</x:v>
      </x:c>
      <x:c r="H2104" s="115" t="str">
        <x:v>L 80,65 ; l 88,08 ; hauteur 33,55 m ; choix de composition auteur ; dimensions réelles à documenter</x:v>
      </x:c>
      <x:c r="I2104" s="115" t="str">
        <x:v>À équilibrer</x:v>
      </x:c>
      <x:c r="J2104" s="115" t="str">
        <x:v>Non</x:v>
      </x:c>
      <x:c r="K2104" s="115" t="str">
        <x:v>Pièces décrites, murs, portes, niveaux et mobilier inspectables à l’échelle. Volumes réservés, raccord au seed, butin, rencontres et services de campagne restent à terminer.</x:v>
      </x:c>
    </x:row>
    <x:row r="2105" ht="96" customHeight="1">
      <x:c r="A2105" s="115" t="str">
        <x:v>EXT-MONDE-T042-V50</x:v>
      </x:c>
      <x:c r="B2105" s="115" t="str">
        <x:v>EXT-MONDE-T042</x:v>
      </x:c>
      <x:c r="C2105" s="115" t="str">
        <x:v>HLM visitables</x:v>
      </x:c>
      <x:c r="D2105" s="115" t="str">
        <x:v>Tour HLM</x:v>
      </x:c>
      <x:c r="E2105" s="115" t="n">
        <x:v>50</x:v>
      </x:c>
      <x:c r="F2105" s="115" t="str">
        <x:v>Inspection physique</x:v>
      </x:c>
      <x:c r="G2105" s="115" t="str">
        <x:v>12 niveaux ; 266 pièces ; 1995 segments de mur ; 11 transitions. Inspection physique ; architecture complète encore ouverte.</x:v>
      </x:c>
      <x:c r="H2105" s="115" t="str">
        <x:v>L 81,05 ; l 88,46 ; hauteur 33,35 m ; choix de composition auteur ; dimensions réelles à documenter</x:v>
      </x:c>
      <x:c r="I2105" s="115" t="str">
        <x:v>À équilibrer</x:v>
      </x:c>
      <x:c r="J2105" s="115" t="str">
        <x:v>Non</x:v>
      </x:c>
      <x:c r="K2105" s="115" t="str">
        <x:v>Pièces décrites, murs, portes, niveaux et mobilier inspectables à l’échelle. Volumes réservés, raccord au seed, butin, rencontres et services de campagne restent à terminer.</x:v>
      </x:c>
    </x:row>
    <x:row r="2106" ht="96" customHeight="1">
      <x:c r="A2106" s="115" t="str">
        <x:v>EXT-MONDE-T043-V01</x:v>
      </x:c>
      <x:c r="B2106" s="115" t="str">
        <x:v>EXT-MONDE-T043</x:v>
      </x:c>
      <x:c r="C2106" s="115" t="str">
        <x:v>HLM visitables</x:v>
      </x:c>
      <x:c r="D2106" s="115" t="str">
        <x:v>Résidence en cour</x:v>
      </x:c>
      <x:c r="E2106" s="115" t="n">
        <x:v>1</x:v>
      </x:c>
      <x:c r="F2106" s="115" t="str">
        <x:v>Inspection physique</x:v>
      </x:c>
      <x:c r="G2106" s="115" t="str">
        <x:v>5 niveaux ; 172 pièces ; 1305 segments de mur ; 7 transitions. Inspection physique ; architecture complète encore ouverte.</x:v>
      </x:c>
      <x:c r="H2106" s="115" t="str">
        <x:v>L 133 ; l 84,8 ; hauteur 12,35 m ; choix de composition auteur ; dimensions réelles à documenter</x:v>
      </x:c>
      <x:c r="I2106" s="115" t="str">
        <x:v>À équilibrer</x:v>
      </x:c>
      <x:c r="J2106" s="115" t="str">
        <x:v>Non</x:v>
      </x:c>
      <x:c r="K2106" s="115" t="str">
        <x:v>Pièces décrites, murs, portes, niveaux et mobilier inspectables à l’échelle. Volumes réservés, raccord au seed, butin, rencontres et services de campagne restent à terminer.</x:v>
      </x:c>
    </x:row>
    <x:row r="2107" ht="96" customHeight="1">
      <x:c r="A2107" s="115" t="str">
        <x:v>EXT-MONDE-T043-V02</x:v>
      </x:c>
      <x:c r="B2107" s="115" t="str">
        <x:v>EXT-MONDE-T043</x:v>
      </x:c>
      <x:c r="C2107" s="115" t="str">
        <x:v>HLM visitables</x:v>
      </x:c>
      <x:c r="D2107" s="115" t="str">
        <x:v>Résidence en cour</x:v>
      </x:c>
      <x:c r="E2107" s="115" t="n">
        <x:v>2</x:v>
      </x:c>
      <x:c r="F2107" s="115" t="str">
        <x:v>Inspection physique</x:v>
      </x:c>
      <x:c r="G2107" s="115" t="str">
        <x:v>6 niveaux ; 294 pièces ; 2226 segments de mur ; 12 transitions. Inspection physique ; architecture complète encore ouverte.</x:v>
      </x:c>
      <x:c r="H2107" s="115" t="str">
        <x:v>L 133,8 ; l 142,36 ; hauteur 15,45 m ; choix de composition auteur ; dimensions réelles à documenter</x:v>
      </x:c>
      <x:c r="I2107" s="115" t="str">
        <x:v>À équilibrer</x:v>
      </x:c>
      <x:c r="J2107" s="115" t="str">
        <x:v>Non</x:v>
      </x:c>
      <x:c r="K2107" s="115" t="str">
        <x:v>Pièces décrites, murs, portes, niveaux et mobilier inspectables à l’échelle. Volumes réservés, raccord au seed, butin, rencontres et services de campagne restent à terminer.</x:v>
      </x:c>
    </x:row>
    <x:row r="2108" ht="96" customHeight="1">
      <x:c r="A2108" s="115" t="str">
        <x:v>EXT-MONDE-T043-V03</x:v>
      </x:c>
      <x:c r="B2108" s="115" t="str">
        <x:v>EXT-MONDE-T043</x:v>
      </x:c>
      <x:c r="C2108" s="115" t="str">
        <x:v>HLM visitables</x:v>
      </x:c>
      <x:c r="D2108" s="115" t="str">
        <x:v>Résidence en cour</x:v>
      </x:c>
      <x:c r="E2108" s="115" t="n">
        <x:v>3</x:v>
      </x:c>
      <x:c r="F2108" s="115" t="str">
        <x:v>Inspection physique</x:v>
      </x:c>
      <x:c r="G2108" s="115" t="str">
        <x:v>5 niveaux ; 172 pièces ; 1305 segments de mur ; 7 transitions. Inspection physique ; architecture complète encore ouverte.</x:v>
      </x:c>
      <x:c r="H2108" s="115" t="str">
        <x:v>L 134,6 ; l 85,56 ; hauteur 12,55 m ; choix de composition auteur ; dimensions réelles à documenter</x:v>
      </x:c>
      <x:c r="I2108" s="115" t="str">
        <x:v>À équilibrer</x:v>
      </x:c>
      <x:c r="J2108" s="115" t="str">
        <x:v>Non</x:v>
      </x:c>
      <x:c r="K2108" s="115" t="str">
        <x:v>Pièces décrites, murs, portes, niveaux et mobilier inspectables à l’échelle. Volumes réservés, raccord au seed, butin, rencontres et services de campagne restent à terminer.</x:v>
      </x:c>
    </x:row>
    <x:row r="2109" ht="96" customHeight="1">
      <x:c r="A2109" s="115" t="str">
        <x:v>EXT-MONDE-T043-V04</x:v>
      </x:c>
      <x:c r="B2109" s="115" t="str">
        <x:v>EXT-MONDE-T043</x:v>
      </x:c>
      <x:c r="C2109" s="115" t="str">
        <x:v>HLM visitables</x:v>
      </x:c>
      <x:c r="D2109" s="115" t="str">
        <x:v>Résidence en cour</x:v>
      </x:c>
      <x:c r="E2109" s="115" t="n">
        <x:v>4</x:v>
      </x:c>
      <x:c r="F2109" s="115" t="str">
        <x:v>Inspection physique</x:v>
      </x:c>
      <x:c r="G2109" s="115" t="str">
        <x:v>6 niveaux ; 294 pièces ; 2226 segments de mur ; 12 transitions. Inspection physique ; architecture complète encore ouverte.</x:v>
      </x:c>
      <x:c r="H2109" s="115" t="str">
        <x:v>L 135,4 ; l 143,88 ; hauteur 15,35 m ; choix de composition auteur ; dimensions réelles à documenter</x:v>
      </x:c>
      <x:c r="I2109" s="115" t="str">
        <x:v>À équilibrer</x:v>
      </x:c>
      <x:c r="J2109" s="115" t="str">
        <x:v>Non</x:v>
      </x:c>
      <x:c r="K2109" s="115" t="str">
        <x:v>Pièces décrites, murs, portes, niveaux et mobilier inspectables à l’échelle. Volumes réservés, raccord au seed, butin, rencontres et services de campagne restent à terminer.</x:v>
      </x:c>
    </x:row>
    <x:row r="2110" ht="96" customHeight="1">
      <x:c r="A2110" s="115" t="str">
        <x:v>EXT-MONDE-T043-V05</x:v>
      </x:c>
      <x:c r="B2110" s="115" t="str">
        <x:v>EXT-MONDE-T043</x:v>
      </x:c>
      <x:c r="C2110" s="115" t="str">
        <x:v>HLM visitables</x:v>
      </x:c>
      <x:c r="D2110" s="115" t="str">
        <x:v>Résidence en cour</x:v>
      </x:c>
      <x:c r="E2110" s="115" t="n">
        <x:v>5</x:v>
      </x:c>
      <x:c r="F2110" s="115" t="str">
        <x:v>Inspection physique</x:v>
      </x:c>
      <x:c r="G2110" s="115" t="str">
        <x:v>5 niveaux ; 172 pièces ; 1305 segments de mur ; 7 transitions. Inspection physique ; architecture complète encore ouverte.</x:v>
      </x:c>
      <x:c r="H2110" s="115" t="str">
        <x:v>L 136,2 ; l 86,32 ; hauteur 12,45 m ; choix de composition auteur ; dimensions réelles à documenter</x:v>
      </x:c>
      <x:c r="I2110" s="115" t="str">
        <x:v>À équilibrer</x:v>
      </x:c>
      <x:c r="J2110" s="115" t="str">
        <x:v>Non</x:v>
      </x:c>
      <x:c r="K2110" s="115" t="str">
        <x:v>Pièces décrites, murs, portes, niveaux et mobilier inspectables à l’échelle. Volumes réservés, raccord au seed, butin, rencontres et services de campagne restent à terminer.</x:v>
      </x:c>
    </x:row>
    <x:row r="2111" ht="96" customHeight="1">
      <x:c r="A2111" s="115" t="str">
        <x:v>EXT-MONDE-T043-V06</x:v>
      </x:c>
      <x:c r="B2111" s="115" t="str">
        <x:v>EXT-MONDE-T043</x:v>
      </x:c>
      <x:c r="C2111" s="115" t="str">
        <x:v>HLM visitables</x:v>
      </x:c>
      <x:c r="D2111" s="115" t="str">
        <x:v>Résidence en cour</x:v>
      </x:c>
      <x:c r="E2111" s="115" t="n">
        <x:v>6</x:v>
      </x:c>
      <x:c r="F2111" s="115" t="str">
        <x:v>Inspection physique</x:v>
      </x:c>
      <x:c r="G2111" s="115" t="str">
        <x:v>6 niveaux ; 294 pièces ; 2226 segments de mur ; 12 transitions. Inspection physique ; architecture complète encore ouverte.</x:v>
      </x:c>
      <x:c r="H2111" s="115" t="str">
        <x:v>L 136,65 ; l 144,6 ; hauteur 15,55 m ; choix de composition auteur ; dimensions réelles à documenter</x:v>
      </x:c>
      <x:c r="I2111" s="115" t="str">
        <x:v>À équilibrer</x:v>
      </x:c>
      <x:c r="J2111" s="115" t="str">
        <x:v>Non</x:v>
      </x:c>
      <x:c r="K2111" s="115" t="str">
        <x:v>Pièces décrites, murs, portes, niveaux et mobilier inspectables à l’échelle. Volumes réservés, raccord au seed, butin, rencontres et services de campagne restent à terminer.</x:v>
      </x:c>
    </x:row>
    <x:row r="2112" ht="96" customHeight="1">
      <x:c r="A2112" s="115" t="str">
        <x:v>EXT-MONDE-T043-V07</x:v>
      </x:c>
      <x:c r="B2112" s="115" t="str">
        <x:v>EXT-MONDE-T043</x:v>
      </x:c>
      <x:c r="C2112" s="115" t="str">
        <x:v>HLM visitables</x:v>
      </x:c>
      <x:c r="D2112" s="115" t="str">
        <x:v>Résidence en cour</x:v>
      </x:c>
      <x:c r="E2112" s="115" t="n">
        <x:v>7</x:v>
      </x:c>
      <x:c r="F2112" s="115" t="str">
        <x:v>Inspection physique</x:v>
      </x:c>
      <x:c r="G2112" s="115" t="str">
        <x:v>5 niveaux ; 172 pièces ; 1305 segments de mur ; 7 transitions. Inspection physique ; architecture complète encore ouverte.</x:v>
      </x:c>
      <x:c r="H2112" s="115" t="str">
        <x:v>L 137,45 ; l 86,68 ; hauteur 12,35 m ; choix de composition auteur ; dimensions réelles à documenter</x:v>
      </x:c>
      <x:c r="I2112" s="115" t="str">
        <x:v>À équilibrer</x:v>
      </x:c>
      <x:c r="J2112" s="115" t="str">
        <x:v>Non</x:v>
      </x:c>
      <x:c r="K2112" s="115" t="str">
        <x:v>Pièces décrites, murs, portes, niveaux et mobilier inspectables à l’échelle. Volumes réservés, raccord au seed, butin, rencontres et services de campagne restent à terminer.</x:v>
      </x:c>
    </x:row>
    <x:row r="2113" ht="96" customHeight="1">
      <x:c r="A2113" s="115" t="str">
        <x:v>EXT-MONDE-T043-V08</x:v>
      </x:c>
      <x:c r="B2113" s="115" t="str">
        <x:v>EXT-MONDE-T043</x:v>
      </x:c>
      <x:c r="C2113" s="115" t="str">
        <x:v>HLM visitables</x:v>
      </x:c>
      <x:c r="D2113" s="115" t="str">
        <x:v>Résidence en cour</x:v>
      </x:c>
      <x:c r="E2113" s="115" t="n">
        <x:v>8</x:v>
      </x:c>
      <x:c r="F2113" s="115" t="str">
        <x:v>Inspection physique</x:v>
      </x:c>
      <x:c r="G2113" s="115" t="str">
        <x:v>6 niveaux ; 294 pièces ; 2226 segments de mur ; 12 transitions. Inspection physique ; architecture complète encore ouverte.</x:v>
      </x:c>
      <x:c r="H2113" s="115" t="str">
        <x:v>L 138,25 ; l 146,12 ; hauteur 15,45 m ; choix de composition auteur ; dimensions réelles à documenter</x:v>
      </x:c>
      <x:c r="I2113" s="115" t="str">
        <x:v>À équilibrer</x:v>
      </x:c>
      <x:c r="J2113" s="115" t="str">
        <x:v>Non</x:v>
      </x:c>
      <x:c r="K2113" s="115" t="str">
        <x:v>Pièces décrites, murs, portes, niveaux et mobilier inspectables à l’échelle. Volumes réservés, raccord au seed, butin, rencontres et services de campagne restent à terminer.</x:v>
      </x:c>
    </x:row>
    <x:row r="2114" ht="96" customHeight="1">
      <x:c r="A2114" s="115" t="str">
        <x:v>EXT-MONDE-T043-V09</x:v>
      </x:c>
      <x:c r="B2114" s="115" t="str">
        <x:v>EXT-MONDE-T043</x:v>
      </x:c>
      <x:c r="C2114" s="115" t="str">
        <x:v>HLM visitables</x:v>
      </x:c>
      <x:c r="D2114" s="115" t="str">
        <x:v>Résidence en cour</x:v>
      </x:c>
      <x:c r="E2114" s="115" t="n">
        <x:v>9</x:v>
      </x:c>
      <x:c r="F2114" s="115" t="str">
        <x:v>Inspection physique</x:v>
      </x:c>
      <x:c r="G2114" s="115" t="str">
        <x:v>5 niveaux ; 172 pièces ; 1305 segments de mur ; 7 transitions. Inspection physique ; architecture complète encore ouverte.</x:v>
      </x:c>
      <x:c r="H2114" s="115" t="str">
        <x:v>L 139,05 ; l 87,44 ; hauteur 12,55 m ; choix de composition auteur ; dimensions réelles à documenter</x:v>
      </x:c>
      <x:c r="I2114" s="115" t="str">
        <x:v>À équilibrer</x:v>
      </x:c>
      <x:c r="J2114" s="115" t="str">
        <x:v>Non</x:v>
      </x:c>
      <x:c r="K2114" s="115" t="str">
        <x:v>Pièces décrites, murs, portes, niveaux et mobilier inspectables à l’échelle. Volumes réservés, raccord au seed, butin, rencontres et services de campagne restent à terminer.</x:v>
      </x:c>
    </x:row>
    <x:row r="2115" ht="96" customHeight="1">
      <x:c r="A2115" s="115" t="str">
        <x:v>EXT-MONDE-T043-V10</x:v>
      </x:c>
      <x:c r="B2115" s="115" t="str">
        <x:v>EXT-MONDE-T043</x:v>
      </x:c>
      <x:c r="C2115" s="115" t="str">
        <x:v>HLM visitables</x:v>
      </x:c>
      <x:c r="D2115" s="115" t="str">
        <x:v>Résidence en cour</x:v>
      </x:c>
      <x:c r="E2115" s="115" t="n">
        <x:v>10</x:v>
      </x:c>
      <x:c r="F2115" s="115" t="str">
        <x:v>Inspection physique</x:v>
      </x:c>
      <x:c r="G2115" s="115" t="str">
        <x:v>6 niveaux ; 294 pièces ; 2226 segments de mur ; 12 transitions. Inspection physique ; architecture complète encore ouverte.</x:v>
      </x:c>
      <x:c r="H2115" s="115" t="str">
        <x:v>L 139,85 ; l 147,64 ; hauteur 15,35 m ; choix de composition auteur ; dimensions réelles à documenter</x:v>
      </x:c>
      <x:c r="I2115" s="115" t="str">
        <x:v>À équilibrer</x:v>
      </x:c>
      <x:c r="J2115" s="115" t="str">
        <x:v>Non</x:v>
      </x:c>
      <x:c r="K2115" s="115" t="str">
        <x:v>Pièces décrites, murs, portes, niveaux et mobilier inspectables à l’échelle. Volumes réservés, raccord au seed, butin, rencontres et services de campagne restent à terminer.</x:v>
      </x:c>
    </x:row>
    <x:row r="2116" ht="96" customHeight="1">
      <x:c r="A2116" s="115" t="str">
        <x:v>EXT-MONDE-T043-V11</x:v>
      </x:c>
      <x:c r="B2116" s="115" t="str">
        <x:v>EXT-MONDE-T043</x:v>
      </x:c>
      <x:c r="C2116" s="115" t="str">
        <x:v>HLM visitables</x:v>
      </x:c>
      <x:c r="D2116" s="115" t="str">
        <x:v>Résidence en cour</x:v>
      </x:c>
      <x:c r="E2116" s="115" t="n">
        <x:v>11</x:v>
      </x:c>
      <x:c r="F2116" s="115" t="str">
        <x:v>Inspection physique</x:v>
      </x:c>
      <x:c r="G2116" s="115" t="str">
        <x:v>6 niveaux ; 220 pièces ; 1663 segments de mur ; 9 transitions. Inspection physique ; architecture complète encore ouverte.</x:v>
      </x:c>
      <x:c r="H2116" s="115" t="str">
        <x:v>L 133,2 ; l 84,96 ; hauteur 15,35 m ; choix de composition auteur ; dimensions réelles à documenter</x:v>
      </x:c>
      <x:c r="I2116" s="115" t="str">
        <x:v>À équilibrer</x:v>
      </x:c>
      <x:c r="J2116" s="115" t="str">
        <x:v>Non</x:v>
      </x:c>
      <x:c r="K2116" s="115" t="str">
        <x:v>Pièces décrites, murs, portes, niveaux et mobilier inspectables à l’échelle. Volumes réservés, raccord au seed, butin, rencontres et services de campagne restent à terminer.</x:v>
      </x:c>
    </x:row>
    <x:row r="2117" ht="96" customHeight="1">
      <x:c r="A2117" s="115" t="str">
        <x:v>EXT-MONDE-T043-V12</x:v>
      </x:c>
      <x:c r="B2117" s="115" t="str">
        <x:v>EXT-MONDE-T043</x:v>
      </x:c>
      <x:c r="C2117" s="115" t="str">
        <x:v>HLM visitables</x:v>
      </x:c>
      <x:c r="D2117" s="115" t="str">
        <x:v>Résidence en cour</x:v>
      </x:c>
      <x:c r="E2117" s="115" t="n">
        <x:v>12</x:v>
      </x:c>
      <x:c r="F2117" s="115" t="str">
        <x:v>Inspection physique</x:v>
      </x:c>
      <x:c r="G2117" s="115" t="str">
        <x:v>6 niveaux ; 294 pièces ; 2226 segments de mur ; 12 transitions. Inspection physique ; architecture complète encore ouverte.</x:v>
      </x:c>
      <x:c r="H2117" s="115" t="str">
        <x:v>L 134 ; l 142,68 ; hauteur 15,45 m ; choix de composition auteur ; dimensions réelles à documenter</x:v>
      </x:c>
      <x:c r="I2117" s="115" t="str">
        <x:v>À équilibrer</x:v>
      </x:c>
      <x:c r="J2117" s="115" t="str">
        <x:v>Non</x:v>
      </x:c>
      <x:c r="K2117" s="115" t="str">
        <x:v>Pièces décrites, murs, portes, niveaux et mobilier inspectables à l’échelle. Volumes réservés, raccord au seed, butin, rencontres et services de campagne restent à terminer.</x:v>
      </x:c>
    </x:row>
    <x:row r="2118" ht="96" customHeight="1">
      <x:c r="A2118" s="115" t="str">
        <x:v>EXT-MONDE-T043-V13</x:v>
      </x:c>
      <x:c r="B2118" s="115" t="str">
        <x:v>EXT-MONDE-T043</x:v>
      </x:c>
      <x:c r="C2118" s="115" t="str">
        <x:v>HLM visitables</x:v>
      </x:c>
      <x:c r="D2118" s="115" t="str">
        <x:v>Résidence en cour</x:v>
      </x:c>
      <x:c r="E2118" s="115" t="n">
        <x:v>13</x:v>
      </x:c>
      <x:c r="F2118" s="115" t="str">
        <x:v>Inspection physique</x:v>
      </x:c>
      <x:c r="G2118" s="115" t="str">
        <x:v>6 niveaux ; 220 pièces ; 1663 segments de mur ; 9 transitions. Inspection physique ; architecture complète encore ouverte.</x:v>
      </x:c>
      <x:c r="H2118" s="115" t="str">
        <x:v>L 134,8 ; l 85,72 ; hauteur 15,55 m ; choix de composition auteur ; dimensions réelles à documenter</x:v>
      </x:c>
      <x:c r="I2118" s="115" t="str">
        <x:v>À équilibrer</x:v>
      </x:c>
      <x:c r="J2118" s="115" t="str">
        <x:v>Non</x:v>
      </x:c>
      <x:c r="K2118" s="115" t="str">
        <x:v>Pièces décrites, murs, portes, niveaux et mobilier inspectables à l’échelle. Volumes réservés, raccord au seed, butin, rencontres et services de campagne restent à terminer.</x:v>
      </x:c>
    </x:row>
    <x:row r="2119" ht="96" customHeight="1">
      <x:c r="A2119" s="115" t="str">
        <x:v>EXT-MONDE-T043-V14</x:v>
      </x:c>
      <x:c r="B2119" s="115" t="str">
        <x:v>EXT-MONDE-T043</x:v>
      </x:c>
      <x:c r="C2119" s="115" t="str">
        <x:v>HLM visitables</x:v>
      </x:c>
      <x:c r="D2119" s="115" t="str">
        <x:v>Résidence en cour</x:v>
      </x:c>
      <x:c r="E2119" s="115" t="n">
        <x:v>14</x:v>
      </x:c>
      <x:c r="F2119" s="115" t="str">
        <x:v>Inspection physique</x:v>
      </x:c>
      <x:c r="G2119" s="115" t="str">
        <x:v>6 niveaux ; 294 pièces ; 2226 segments de mur ; 12 transitions. Inspection physique ; architecture complète encore ouverte.</x:v>
      </x:c>
      <x:c r="H2119" s="115" t="str">
        <x:v>L 135,6 ; l 144,2 ; hauteur 15,35 m ; choix de composition auteur ; dimensions réelles à documenter</x:v>
      </x:c>
      <x:c r="I2119" s="115" t="str">
        <x:v>À équilibrer</x:v>
      </x:c>
      <x:c r="J2119" s="115" t="str">
        <x:v>Non</x:v>
      </x:c>
      <x:c r="K2119" s="115" t="str">
        <x:v>Pièces décrites, murs, portes, niveaux et mobilier inspectables à l’échelle. Volumes réservés, raccord au seed, butin, rencontres et services de campagne restent à terminer.</x:v>
      </x:c>
    </x:row>
    <x:row r="2120" ht="96" customHeight="1">
      <x:c r="A2120" s="115" t="str">
        <x:v>EXT-MONDE-T043-V15</x:v>
      </x:c>
      <x:c r="B2120" s="115" t="str">
        <x:v>EXT-MONDE-T043</x:v>
      </x:c>
      <x:c r="C2120" s="115" t="str">
        <x:v>HLM visitables</x:v>
      </x:c>
      <x:c r="D2120" s="115" t="str">
        <x:v>Résidence en cour</x:v>
      </x:c>
      <x:c r="E2120" s="115" t="n">
        <x:v>15</x:v>
      </x:c>
      <x:c r="F2120" s="115" t="str">
        <x:v>Inspection physique</x:v>
      </x:c>
      <x:c r="G2120" s="115" t="str">
        <x:v>6 niveaux ; 220 pièces ; 1663 segments de mur ; 9 transitions. Inspection physique ; architecture complète encore ouverte.</x:v>
      </x:c>
      <x:c r="H2120" s="115" t="str">
        <x:v>L 136,4 ; l 86,48 ; hauteur 15,45 m ; choix de composition auteur ; dimensions réelles à documenter</x:v>
      </x:c>
      <x:c r="I2120" s="115" t="str">
        <x:v>À équilibrer</x:v>
      </x:c>
      <x:c r="J2120" s="115" t="str">
        <x:v>Non</x:v>
      </x:c>
      <x:c r="K2120" s="115" t="str">
        <x:v>Pièces décrites, murs, portes, niveaux et mobilier inspectables à l’échelle. Volumes réservés, raccord au seed, butin, rencontres et services de campagne restent à terminer.</x:v>
      </x:c>
    </x:row>
    <x:row r="2121" ht="96" customHeight="1">
      <x:c r="A2121" s="115" t="str">
        <x:v>EXT-MONDE-T043-V16</x:v>
      </x:c>
      <x:c r="B2121" s="115" t="str">
        <x:v>EXT-MONDE-T043</x:v>
      </x:c>
      <x:c r="C2121" s="115" t="str">
        <x:v>HLM visitables</x:v>
      </x:c>
      <x:c r="D2121" s="115" t="str">
        <x:v>Résidence en cour</x:v>
      </x:c>
      <x:c r="E2121" s="115" t="n">
        <x:v>16</x:v>
      </x:c>
      <x:c r="F2121" s="115" t="str">
        <x:v>Inspection physique</x:v>
      </x:c>
      <x:c r="G2121" s="115" t="str">
        <x:v>6 niveaux ; 294 pièces ; 2226 segments de mur ; 12 transitions. Inspection physique ; architecture complète encore ouverte.</x:v>
      </x:c>
      <x:c r="H2121" s="115" t="str">
        <x:v>L 136,85 ; l 144,92 ; hauteur 15,55 m ; choix de composition auteur ; dimensions réelles à documenter</x:v>
      </x:c>
      <x:c r="I2121" s="115" t="str">
        <x:v>À équilibrer</x:v>
      </x:c>
      <x:c r="J2121" s="115" t="str">
        <x:v>Non</x:v>
      </x:c>
      <x:c r="K2121" s="115" t="str">
        <x:v>Pièces décrites, murs, portes, niveaux et mobilier inspectables à l’échelle. Volumes réservés, raccord au seed, butin, rencontres et services de campagne restent à terminer.</x:v>
      </x:c>
    </x:row>
    <x:row r="2122" ht="96" customHeight="1">
      <x:c r="A2122" s="115" t="str">
        <x:v>EXT-MONDE-T043-V17</x:v>
      </x:c>
      <x:c r="B2122" s="115" t="str">
        <x:v>EXT-MONDE-T043</x:v>
      </x:c>
      <x:c r="C2122" s="115" t="str">
        <x:v>HLM visitables</x:v>
      </x:c>
      <x:c r="D2122" s="115" t="str">
        <x:v>Résidence en cour</x:v>
      </x:c>
      <x:c r="E2122" s="115" t="n">
        <x:v>17</x:v>
      </x:c>
      <x:c r="F2122" s="115" t="str">
        <x:v>Inspection physique</x:v>
      </x:c>
      <x:c r="G2122" s="115" t="str">
        <x:v>6 niveaux ; 220 pièces ; 1663 segments de mur ; 9 transitions. Inspection physique ; architecture complète encore ouverte.</x:v>
      </x:c>
      <x:c r="H2122" s="115" t="str">
        <x:v>L 137,65 ; l 86,84 ; hauteur 15,35 m ; choix de composition auteur ; dimensions réelles à documenter</x:v>
      </x:c>
      <x:c r="I2122" s="115" t="str">
        <x:v>À équilibrer</x:v>
      </x:c>
      <x:c r="J2122" s="115" t="str">
        <x:v>Non</x:v>
      </x:c>
      <x:c r="K2122" s="115" t="str">
        <x:v>Pièces décrites, murs, portes, niveaux et mobilier inspectables à l’échelle. Volumes réservés, raccord au seed, butin, rencontres et services de campagne restent à terminer.</x:v>
      </x:c>
    </x:row>
    <x:row r="2123" ht="96" customHeight="1">
      <x:c r="A2123" s="115" t="str">
        <x:v>EXT-MONDE-T043-V18</x:v>
      </x:c>
      <x:c r="B2123" s="115" t="str">
        <x:v>EXT-MONDE-T043</x:v>
      </x:c>
      <x:c r="C2123" s="115" t="str">
        <x:v>HLM visitables</x:v>
      </x:c>
      <x:c r="D2123" s="115" t="str">
        <x:v>Résidence en cour</x:v>
      </x:c>
      <x:c r="E2123" s="115" t="n">
        <x:v>18</x:v>
      </x:c>
      <x:c r="F2123" s="115" t="str">
        <x:v>Inspection physique</x:v>
      </x:c>
      <x:c r="G2123" s="115" t="str">
        <x:v>6 niveaux ; 294 pièces ; 2226 segments de mur ; 12 transitions. Inspection physique ; architecture complète encore ouverte.</x:v>
      </x:c>
      <x:c r="H2123" s="115" t="str">
        <x:v>L 138,45 ; l 146,44 ; hauteur 15,45 m ; choix de composition auteur ; dimensions réelles à documenter</x:v>
      </x:c>
      <x:c r="I2123" s="115" t="str">
        <x:v>À équilibrer</x:v>
      </x:c>
      <x:c r="J2123" s="115" t="str">
        <x:v>Non</x:v>
      </x:c>
      <x:c r="K2123" s="115" t="str">
        <x:v>Pièces décrites, murs, portes, niveaux et mobilier inspectables à l’échelle. Volumes réservés, raccord au seed, butin, rencontres et services de campagne restent à terminer.</x:v>
      </x:c>
    </x:row>
    <x:row r="2124" ht="96" customHeight="1">
      <x:c r="A2124" s="115" t="str">
        <x:v>EXT-MONDE-T043-V19</x:v>
      </x:c>
      <x:c r="B2124" s="115" t="str">
        <x:v>EXT-MONDE-T043</x:v>
      </x:c>
      <x:c r="C2124" s="115" t="str">
        <x:v>HLM visitables</x:v>
      </x:c>
      <x:c r="D2124" s="115" t="str">
        <x:v>Résidence en cour</x:v>
      </x:c>
      <x:c r="E2124" s="115" t="n">
        <x:v>19</x:v>
      </x:c>
      <x:c r="F2124" s="115" t="str">
        <x:v>Inspection physique</x:v>
      </x:c>
      <x:c r="G2124" s="115" t="str">
        <x:v>6 niveaux ; 220 pièces ; 1663 segments de mur ; 9 transitions. Inspection physique ; architecture complète encore ouverte.</x:v>
      </x:c>
      <x:c r="H2124" s="115" t="str">
        <x:v>L 139,25 ; l 87,6 ; hauteur 15,55 m ; choix de composition auteur ; dimensions réelles à documenter</x:v>
      </x:c>
      <x:c r="I2124" s="115" t="str">
        <x:v>À équilibrer</x:v>
      </x:c>
      <x:c r="J2124" s="115" t="str">
        <x:v>Non</x:v>
      </x:c>
      <x:c r="K2124" s="115" t="str">
        <x:v>Pièces décrites, murs, portes, niveaux et mobilier inspectables à l’échelle. Volumes réservés, raccord au seed, butin, rencontres et services de campagne restent à terminer.</x:v>
      </x:c>
    </x:row>
    <x:row r="2125" ht="96" customHeight="1">
      <x:c r="A2125" s="115" t="str">
        <x:v>EXT-MONDE-T043-V20</x:v>
      </x:c>
      <x:c r="B2125" s="115" t="str">
        <x:v>EXT-MONDE-T043</x:v>
      </x:c>
      <x:c r="C2125" s="115" t="str">
        <x:v>HLM visitables</x:v>
      </x:c>
      <x:c r="D2125" s="115" t="str">
        <x:v>Résidence en cour</x:v>
      </x:c>
      <x:c r="E2125" s="115" t="n">
        <x:v>20</x:v>
      </x:c>
      <x:c r="F2125" s="115" t="str">
        <x:v>Inspection physique</x:v>
      </x:c>
      <x:c r="G2125" s="115" t="str">
        <x:v>6 niveaux ; 294 pièces ; 2226 segments de mur ; 12 transitions. Inspection physique ; architecture complète encore ouverte.</x:v>
      </x:c>
      <x:c r="H2125" s="115" t="str">
        <x:v>L 140,05 ; l 147,96 ; hauteur 15,35 m ; choix de composition auteur ; dimensions réelles à documenter</x:v>
      </x:c>
      <x:c r="I2125" s="115" t="str">
        <x:v>À équilibrer</x:v>
      </x:c>
      <x:c r="J2125" s="115" t="str">
        <x:v>Non</x:v>
      </x:c>
      <x:c r="K2125" s="115" t="str">
        <x:v>Pièces décrites, murs, portes, niveaux et mobilier inspectables à l’échelle. Volumes réservés, raccord au seed, butin, rencontres et services de campagne restent à terminer.</x:v>
      </x:c>
    </x:row>
    <x:row r="2126" ht="96" customHeight="1">
      <x:c r="A2126" s="115" t="str">
        <x:v>EXT-MONDE-T043-V21</x:v>
      </x:c>
      <x:c r="B2126" s="115" t="str">
        <x:v>EXT-MONDE-T043</x:v>
      </x:c>
      <x:c r="C2126" s="115" t="str">
        <x:v>HLM visitables</x:v>
      </x:c>
      <x:c r="D2126" s="115" t="str">
        <x:v>Résidence en cour</x:v>
      </x:c>
      <x:c r="E2126" s="115" t="n">
        <x:v>21</x:v>
      </x:c>
      <x:c r="F2126" s="115" t="str">
        <x:v>Inspection physique</x:v>
      </x:c>
      <x:c r="G2126" s="115" t="str">
        <x:v>6 niveaux ; 196 pièces ; 1484 segments de mur ; 8 transitions. Inspection physique ; architecture complète encore ouverte.</x:v>
      </x:c>
      <x:c r="H2126" s="115" t="str">
        <x:v>L 133,4 ; l 85,12 ; hauteur 15,35 m ; choix de composition auteur ; dimensions réelles à documenter</x:v>
      </x:c>
      <x:c r="I2126" s="115" t="str">
        <x:v>À équilibrer</x:v>
      </x:c>
      <x:c r="J2126" s="115" t="str">
        <x:v>Non</x:v>
      </x:c>
      <x:c r="K2126" s="115" t="str">
        <x:v>Pièces décrites, murs, portes, niveaux et mobilier inspectables à l’échelle. Volumes réservés, raccord au seed, butin, rencontres et services de campagne restent à terminer.</x:v>
      </x:c>
    </x:row>
    <x:row r="2127" ht="96" customHeight="1">
      <x:c r="A2127" s="115" t="str">
        <x:v>EXT-MONDE-T043-V22</x:v>
      </x:c>
      <x:c r="B2127" s="115" t="str">
        <x:v>EXT-MONDE-T043</x:v>
      </x:c>
      <x:c r="C2127" s="115" t="str">
        <x:v>HLM visitables</x:v>
      </x:c>
      <x:c r="D2127" s="115" t="str">
        <x:v>Résidence en cour</x:v>
      </x:c>
      <x:c r="E2127" s="115" t="n">
        <x:v>22</x:v>
      </x:c>
      <x:c r="F2127" s="115" t="str">
        <x:v>Inspection physique</x:v>
      </x:c>
      <x:c r="G2127" s="115" t="str">
        <x:v>6 niveaux ; 294 pièces ; 2226 segments de mur ; 12 transitions. Inspection physique ; architecture complète encore ouverte.</x:v>
      </x:c>
      <x:c r="H2127" s="115" t="str">
        <x:v>L 134,2 ; l 143 ; hauteur 15,45 m ; choix de composition auteur ; dimensions réelles à documenter</x:v>
      </x:c>
      <x:c r="I2127" s="115" t="str">
        <x:v>À équilibrer</x:v>
      </x:c>
      <x:c r="J2127" s="115" t="str">
        <x:v>Non</x:v>
      </x:c>
      <x:c r="K2127" s="115" t="str">
        <x:v>Pièces décrites, murs, portes, niveaux et mobilier inspectables à l’échelle. Volumes réservés, raccord au seed, butin, rencontres et services de campagne restent à terminer.</x:v>
      </x:c>
    </x:row>
    <x:row r="2128" ht="96" customHeight="1">
      <x:c r="A2128" s="115" t="str">
        <x:v>EXT-MONDE-T043-V23</x:v>
      </x:c>
      <x:c r="B2128" s="115" t="str">
        <x:v>EXT-MONDE-T043</x:v>
      </x:c>
      <x:c r="C2128" s="115" t="str">
        <x:v>HLM visitables</x:v>
      </x:c>
      <x:c r="D2128" s="115" t="str">
        <x:v>Résidence en cour</x:v>
      </x:c>
      <x:c r="E2128" s="115" t="n">
        <x:v>23</x:v>
      </x:c>
      <x:c r="F2128" s="115" t="str">
        <x:v>Inspection physique</x:v>
      </x:c>
      <x:c r="G2128" s="115" t="str">
        <x:v>6 niveaux ; 196 pièces ; 1484 segments de mur ; 8 transitions. Inspection physique ; architecture complète encore ouverte.</x:v>
      </x:c>
      <x:c r="H2128" s="115" t="str">
        <x:v>L 135 ; l 85,88 ; hauteur 15,55 m ; choix de composition auteur ; dimensions réelles à documenter</x:v>
      </x:c>
      <x:c r="I2128" s="115" t="str">
        <x:v>À équilibrer</x:v>
      </x:c>
      <x:c r="J2128" s="115" t="str">
        <x:v>Non</x:v>
      </x:c>
      <x:c r="K2128" s="115" t="str">
        <x:v>Pièces décrites, murs, portes, niveaux et mobilier inspectables à l’échelle. Volumes réservés, raccord au seed, butin, rencontres et services de campagne restent à terminer.</x:v>
      </x:c>
    </x:row>
    <x:row r="2129" ht="96" customHeight="1">
      <x:c r="A2129" s="115" t="str">
        <x:v>EXT-MONDE-T043-V24</x:v>
      </x:c>
      <x:c r="B2129" s="115" t="str">
        <x:v>EXT-MONDE-T043</x:v>
      </x:c>
      <x:c r="C2129" s="115" t="str">
        <x:v>HLM visitables</x:v>
      </x:c>
      <x:c r="D2129" s="115" t="str">
        <x:v>Résidence en cour</x:v>
      </x:c>
      <x:c r="E2129" s="115" t="n">
        <x:v>24</x:v>
      </x:c>
      <x:c r="F2129" s="115" t="str">
        <x:v>Inspection physique</x:v>
      </x:c>
      <x:c r="G2129" s="115" t="str">
        <x:v>6 niveaux ; 294 pièces ; 2226 segments de mur ; 12 transitions. Inspection physique ; architecture complète encore ouverte.</x:v>
      </x:c>
      <x:c r="H2129" s="115" t="str">
        <x:v>L 135,8 ; l 144,52 ; hauteur 15,35 m ; choix de composition auteur ; dimensions réelles à documenter</x:v>
      </x:c>
      <x:c r="I2129" s="115" t="str">
        <x:v>À équilibrer</x:v>
      </x:c>
      <x:c r="J2129" s="115" t="str">
        <x:v>Non</x:v>
      </x:c>
      <x:c r="K2129" s="115" t="str">
        <x:v>Pièces décrites, murs, portes, niveaux et mobilier inspectables à l’échelle. Volumes réservés, raccord au seed, butin, rencontres et services de campagne restent à terminer.</x:v>
      </x:c>
    </x:row>
    <x:row r="2130" ht="96" customHeight="1">
      <x:c r="A2130" s="115" t="str">
        <x:v>EXT-MONDE-T043-V25</x:v>
      </x:c>
      <x:c r="B2130" s="115" t="str">
        <x:v>EXT-MONDE-T043</x:v>
      </x:c>
      <x:c r="C2130" s="115" t="str">
        <x:v>HLM visitables</x:v>
      </x:c>
      <x:c r="D2130" s="115" t="str">
        <x:v>Résidence en cour</x:v>
      </x:c>
      <x:c r="E2130" s="115" t="n">
        <x:v>25</x:v>
      </x:c>
      <x:c r="F2130" s="115" t="str">
        <x:v>Inspection physique</x:v>
      </x:c>
      <x:c r="G2130" s="115" t="str">
        <x:v>6 niveaux ; 196 pièces ; 1484 segments de mur ; 8 transitions. Inspection physique ; architecture complète encore ouverte.</x:v>
      </x:c>
      <x:c r="H2130" s="115" t="str">
        <x:v>L 136,6 ; l 86,64 ; hauteur 15,45 m ; choix de composition auteur ; dimensions réelles à documenter</x:v>
      </x:c>
      <x:c r="I2130" s="115" t="str">
        <x:v>À équilibrer</x:v>
      </x:c>
      <x:c r="J2130" s="115" t="str">
        <x:v>Non</x:v>
      </x:c>
      <x:c r="K2130" s="115" t="str">
        <x:v>Pièces décrites, murs, portes, niveaux et mobilier inspectables à l’échelle. Volumes réservés, raccord au seed, butin, rencontres et services de campagne restent à terminer.</x:v>
      </x:c>
    </x:row>
    <x:row r="2131" ht="96" customHeight="1">
      <x:c r="A2131" s="115" t="str">
        <x:v>EXT-MONDE-T043-V26</x:v>
      </x:c>
      <x:c r="B2131" s="115" t="str">
        <x:v>EXT-MONDE-T043</x:v>
      </x:c>
      <x:c r="C2131" s="115" t="str">
        <x:v>HLM visitables</x:v>
      </x:c>
      <x:c r="D2131" s="115" t="str">
        <x:v>Résidence en cour</x:v>
      </x:c>
      <x:c r="E2131" s="115" t="n">
        <x:v>26</x:v>
      </x:c>
      <x:c r="F2131" s="115" t="str">
        <x:v>Inspection physique</x:v>
      </x:c>
      <x:c r="G2131" s="115" t="str">
        <x:v>6 niveaux ; 294 pièces ; 2226 segments de mur ; 12 transitions. Inspection physique ; architecture complète encore ouverte.</x:v>
      </x:c>
      <x:c r="H2131" s="115" t="str">
        <x:v>L 137,05 ; l 145,24 ; hauteur 15,55 m ; choix de composition auteur ; dimensions réelles à documenter</x:v>
      </x:c>
      <x:c r="I2131" s="115" t="str">
        <x:v>À équilibrer</x:v>
      </x:c>
      <x:c r="J2131" s="115" t="str">
        <x:v>Non</x:v>
      </x:c>
      <x:c r="K2131" s="115" t="str">
        <x:v>Pièces décrites, murs, portes, niveaux et mobilier inspectables à l’échelle. Volumes réservés, raccord au seed, butin, rencontres et services de campagne restent à terminer.</x:v>
      </x:c>
    </x:row>
    <x:row r="2132" ht="96" customHeight="1">
      <x:c r="A2132" s="115" t="str">
        <x:v>EXT-MONDE-T043-V27</x:v>
      </x:c>
      <x:c r="B2132" s="115" t="str">
        <x:v>EXT-MONDE-T043</x:v>
      </x:c>
      <x:c r="C2132" s="115" t="str">
        <x:v>HLM visitables</x:v>
      </x:c>
      <x:c r="D2132" s="115" t="str">
        <x:v>Résidence en cour</x:v>
      </x:c>
      <x:c r="E2132" s="115" t="n">
        <x:v>27</x:v>
      </x:c>
      <x:c r="F2132" s="115" t="str">
        <x:v>Inspection physique</x:v>
      </x:c>
      <x:c r="G2132" s="115" t="str">
        <x:v>6 niveaux ; 196 pièces ; 1484 segments de mur ; 8 transitions. Inspection physique ; architecture complète encore ouverte.</x:v>
      </x:c>
      <x:c r="H2132" s="115" t="str">
        <x:v>L 137,85 ; l 87 ; hauteur 15,35 m ; choix de composition auteur ; dimensions réelles à documenter</x:v>
      </x:c>
      <x:c r="I2132" s="115" t="str">
        <x:v>À équilibrer</x:v>
      </x:c>
      <x:c r="J2132" s="115" t="str">
        <x:v>Non</x:v>
      </x:c>
      <x:c r="K2132" s="115" t="str">
        <x:v>Pièces décrites, murs, portes, niveaux et mobilier inspectables à l’échelle. Volumes réservés, raccord au seed, butin, rencontres et services de campagne restent à terminer.</x:v>
      </x:c>
    </x:row>
    <x:row r="2133" ht="96" customHeight="1">
      <x:c r="A2133" s="115" t="str">
        <x:v>EXT-MONDE-T043-V28</x:v>
      </x:c>
      <x:c r="B2133" s="115" t="str">
        <x:v>EXT-MONDE-T043</x:v>
      </x:c>
      <x:c r="C2133" s="115" t="str">
        <x:v>HLM visitables</x:v>
      </x:c>
      <x:c r="D2133" s="115" t="str">
        <x:v>Résidence en cour</x:v>
      </x:c>
      <x:c r="E2133" s="115" t="n">
        <x:v>28</x:v>
      </x:c>
      <x:c r="F2133" s="115" t="str">
        <x:v>Inspection physique</x:v>
      </x:c>
      <x:c r="G2133" s="115" t="str">
        <x:v>6 niveaux ; 294 pièces ; 2226 segments de mur ; 12 transitions. Inspection physique ; architecture complète encore ouverte.</x:v>
      </x:c>
      <x:c r="H2133" s="115" t="str">
        <x:v>L 138,65 ; l 146,76 ; hauteur 15,45 m ; choix de composition auteur ; dimensions réelles à documenter</x:v>
      </x:c>
      <x:c r="I2133" s="115" t="str">
        <x:v>À équilibrer</x:v>
      </x:c>
      <x:c r="J2133" s="115" t="str">
        <x:v>Non</x:v>
      </x:c>
      <x:c r="K2133" s="115" t="str">
        <x:v>Pièces décrites, murs, portes, niveaux et mobilier inspectables à l’échelle. Volumes réservés, raccord au seed, butin, rencontres et services de campagne restent à terminer.</x:v>
      </x:c>
    </x:row>
    <x:row r="2134" ht="96" customHeight="1">
      <x:c r="A2134" s="115" t="str">
        <x:v>EXT-MONDE-T043-V29</x:v>
      </x:c>
      <x:c r="B2134" s="115" t="str">
        <x:v>EXT-MONDE-T043</x:v>
      </x:c>
      <x:c r="C2134" s="115" t="str">
        <x:v>HLM visitables</x:v>
      </x:c>
      <x:c r="D2134" s="115" t="str">
        <x:v>Résidence en cour</x:v>
      </x:c>
      <x:c r="E2134" s="115" t="n">
        <x:v>29</x:v>
      </x:c>
      <x:c r="F2134" s="115" t="str">
        <x:v>Inspection physique</x:v>
      </x:c>
      <x:c r="G2134" s="115" t="str">
        <x:v>6 niveaux ; 196 pièces ; 1484 segments de mur ; 8 transitions. Inspection physique ; architecture complète encore ouverte.</x:v>
      </x:c>
      <x:c r="H2134" s="115" t="str">
        <x:v>L 139,45 ; l 87,76 ; hauteur 15,55 m ; choix de composition auteur ; dimensions réelles à documenter</x:v>
      </x:c>
      <x:c r="I2134" s="115" t="str">
        <x:v>À équilibrer</x:v>
      </x:c>
      <x:c r="J2134" s="115" t="str">
        <x:v>Non</x:v>
      </x:c>
      <x:c r="K2134" s="115" t="str">
        <x:v>Pièces décrites, murs, portes, niveaux et mobilier inspectables à l’échelle. Volumes réservés, raccord au seed, butin, rencontres et services de campagne restent à terminer.</x:v>
      </x:c>
    </x:row>
    <x:row r="2135" ht="96" customHeight="1">
      <x:c r="A2135" s="115" t="str">
        <x:v>EXT-MONDE-T043-V30</x:v>
      </x:c>
      <x:c r="B2135" s="115" t="str">
        <x:v>EXT-MONDE-T043</x:v>
      </x:c>
      <x:c r="C2135" s="115" t="str">
        <x:v>HLM visitables</x:v>
      </x:c>
      <x:c r="D2135" s="115" t="str">
        <x:v>Résidence en cour</x:v>
      </x:c>
      <x:c r="E2135" s="115" t="n">
        <x:v>30</x:v>
      </x:c>
      <x:c r="F2135" s="115" t="str">
        <x:v>Inspection physique</x:v>
      </x:c>
      <x:c r="G2135" s="115" t="str">
        <x:v>6 niveaux ; 294 pièces ; 2226 segments de mur ; 12 transitions. Inspection physique ; architecture complète encore ouverte.</x:v>
      </x:c>
      <x:c r="H2135" s="115" t="str">
        <x:v>L 140,25 ; l 148,28 ; hauteur 15,35 m ; choix de composition auteur ; dimensions réelles à documenter</x:v>
      </x:c>
      <x:c r="I2135" s="115" t="str">
        <x:v>À équilibrer</x:v>
      </x:c>
      <x:c r="J2135" s="115" t="str">
        <x:v>Non</x:v>
      </x:c>
      <x:c r="K2135" s="115" t="str">
        <x:v>Pièces décrites, murs, portes, niveaux et mobilier inspectables à l’échelle. Volumes réservés, raccord au seed, butin, rencontres et services de campagne restent à terminer.</x:v>
      </x:c>
    </x:row>
    <x:row r="2136" ht="96" customHeight="1">
      <x:c r="A2136" s="115" t="str">
        <x:v>EXT-MONDE-T043-V31</x:v>
      </x:c>
      <x:c r="B2136" s="115" t="str">
        <x:v>EXT-MONDE-T043</x:v>
      </x:c>
      <x:c r="C2136" s="115" t="str">
        <x:v>HLM visitables</x:v>
      </x:c>
      <x:c r="D2136" s="115" t="str">
        <x:v>Résidence en cour</x:v>
      </x:c>
      <x:c r="E2136" s="115" t="n">
        <x:v>31</x:v>
      </x:c>
      <x:c r="F2136" s="115" t="str">
        <x:v>Inspection physique</x:v>
      </x:c>
      <x:c r="G2136" s="115" t="str">
        <x:v>5 niveaux ; 172 pièces ; 1305 segments de mur ; 7 transitions. Inspection physique ; architecture complète encore ouverte.</x:v>
      </x:c>
      <x:c r="H2136" s="115" t="str">
        <x:v>L 133,6 ; l 85,28 ; hauteur 12,35 m ; choix de composition auteur ; dimensions réelles à documenter</x:v>
      </x:c>
      <x:c r="I2136" s="115" t="str">
        <x:v>À équilibrer</x:v>
      </x:c>
      <x:c r="J2136" s="115" t="str">
        <x:v>Non</x:v>
      </x:c>
      <x:c r="K2136" s="115" t="str">
        <x:v>Pièces décrites, murs, portes, niveaux et mobilier inspectables à l’échelle. Volumes réservés, raccord au seed, butin, rencontres et services de campagne restent à terminer.</x:v>
      </x:c>
    </x:row>
    <x:row r="2137" ht="96" customHeight="1">
      <x:c r="A2137" s="115" t="str">
        <x:v>EXT-MONDE-T043-V32</x:v>
      </x:c>
      <x:c r="B2137" s="115" t="str">
        <x:v>EXT-MONDE-T043</x:v>
      </x:c>
      <x:c r="C2137" s="115" t="str">
        <x:v>HLM visitables</x:v>
      </x:c>
      <x:c r="D2137" s="115" t="str">
        <x:v>Résidence en cour</x:v>
      </x:c>
      <x:c r="E2137" s="115" t="n">
        <x:v>32</x:v>
      </x:c>
      <x:c r="F2137" s="115" t="str">
        <x:v>Inspection physique</x:v>
      </x:c>
      <x:c r="G2137" s="115" t="str">
        <x:v>6 niveaux ; 294 pièces ; 2226 segments de mur ; 12 transitions. Inspection physique ; architecture complète encore ouverte.</x:v>
      </x:c>
      <x:c r="H2137" s="115" t="str">
        <x:v>L 134,4 ; l 143,32 ; hauteur 15,45 m ; choix de composition auteur ; dimensions réelles à documenter</x:v>
      </x:c>
      <x:c r="I2137" s="115" t="str">
        <x:v>À équilibrer</x:v>
      </x:c>
      <x:c r="J2137" s="115" t="str">
        <x:v>Non</x:v>
      </x:c>
      <x:c r="K2137" s="115" t="str">
        <x:v>Pièces décrites, murs, portes, niveaux et mobilier inspectables à l’échelle. Volumes réservés, raccord au seed, butin, rencontres et services de campagne restent à terminer.</x:v>
      </x:c>
    </x:row>
    <x:row r="2138" ht="96" customHeight="1">
      <x:c r="A2138" s="115" t="str">
        <x:v>EXT-MONDE-T043-V33</x:v>
      </x:c>
      <x:c r="B2138" s="115" t="str">
        <x:v>EXT-MONDE-T043</x:v>
      </x:c>
      <x:c r="C2138" s="115" t="str">
        <x:v>HLM visitables</x:v>
      </x:c>
      <x:c r="D2138" s="115" t="str">
        <x:v>Résidence en cour</x:v>
      </x:c>
      <x:c r="E2138" s="115" t="n">
        <x:v>33</x:v>
      </x:c>
      <x:c r="F2138" s="115" t="str">
        <x:v>Inspection physique</x:v>
      </x:c>
      <x:c r="G2138" s="115" t="str">
        <x:v>5 niveaux ; 172 pièces ; 1305 segments de mur ; 7 transitions. Inspection physique ; architecture complète encore ouverte.</x:v>
      </x:c>
      <x:c r="H2138" s="115" t="str">
        <x:v>L 135,2 ; l 86,04 ; hauteur 12,55 m ; choix de composition auteur ; dimensions réelles à documenter</x:v>
      </x:c>
      <x:c r="I2138" s="115" t="str">
        <x:v>À équilibrer</x:v>
      </x:c>
      <x:c r="J2138" s="115" t="str">
        <x:v>Non</x:v>
      </x:c>
      <x:c r="K2138" s="115" t="str">
        <x:v>Pièces décrites, murs, portes, niveaux et mobilier inspectables à l’échelle. Volumes réservés, raccord au seed, butin, rencontres et services de campagne restent à terminer.</x:v>
      </x:c>
    </x:row>
    <x:row r="2139" ht="96" customHeight="1">
      <x:c r="A2139" s="115" t="str">
        <x:v>EXT-MONDE-T043-V34</x:v>
      </x:c>
      <x:c r="B2139" s="115" t="str">
        <x:v>EXT-MONDE-T043</x:v>
      </x:c>
      <x:c r="C2139" s="115" t="str">
        <x:v>HLM visitables</x:v>
      </x:c>
      <x:c r="D2139" s="115" t="str">
        <x:v>Résidence en cour</x:v>
      </x:c>
      <x:c r="E2139" s="115" t="n">
        <x:v>34</x:v>
      </x:c>
      <x:c r="F2139" s="115" t="str">
        <x:v>Inspection physique</x:v>
      </x:c>
      <x:c r="G2139" s="115" t="str">
        <x:v>6 niveaux ; 294 pièces ; 2226 segments de mur ; 12 transitions. Inspection physique ; architecture complète encore ouverte.</x:v>
      </x:c>
      <x:c r="H2139" s="115" t="str">
        <x:v>L 136 ; l 144,84 ; hauteur 15,35 m ; choix de composition auteur ; dimensions réelles à documenter</x:v>
      </x:c>
      <x:c r="I2139" s="115" t="str">
        <x:v>À équilibrer</x:v>
      </x:c>
      <x:c r="J2139" s="115" t="str">
        <x:v>Non</x:v>
      </x:c>
      <x:c r="K2139" s="115" t="str">
        <x:v>Pièces décrites, murs, portes, niveaux et mobilier inspectables à l’échelle. Volumes réservés, raccord au seed, butin, rencontres et services de campagne restent à terminer.</x:v>
      </x:c>
    </x:row>
    <x:row r="2140" ht="96" customHeight="1">
      <x:c r="A2140" s="115" t="str">
        <x:v>EXT-MONDE-T043-V35</x:v>
      </x:c>
      <x:c r="B2140" s="115" t="str">
        <x:v>EXT-MONDE-T043</x:v>
      </x:c>
      <x:c r="C2140" s="115" t="str">
        <x:v>HLM visitables</x:v>
      </x:c>
      <x:c r="D2140" s="115" t="str">
        <x:v>Résidence en cour</x:v>
      </x:c>
      <x:c r="E2140" s="115" t="n">
        <x:v>35</x:v>
      </x:c>
      <x:c r="F2140" s="115" t="str">
        <x:v>Inspection physique</x:v>
      </x:c>
      <x:c r="G2140" s="115" t="str">
        <x:v>5 niveaux ; 172 pièces ; 1305 segments de mur ; 7 transitions. Inspection physique ; architecture complète encore ouverte.</x:v>
      </x:c>
      <x:c r="H2140" s="115" t="str">
        <x:v>L 136,8 ; l 86,8 ; hauteur 12,45 m ; choix de composition auteur ; dimensions réelles à documenter</x:v>
      </x:c>
      <x:c r="I2140" s="115" t="str">
        <x:v>À équilibrer</x:v>
      </x:c>
      <x:c r="J2140" s="115" t="str">
        <x:v>Non</x:v>
      </x:c>
      <x:c r="K2140" s="115" t="str">
        <x:v>Pièces décrites, murs, portes, niveaux et mobilier inspectables à l’échelle. Volumes réservés, raccord au seed, butin, rencontres et services de campagne restent à terminer.</x:v>
      </x:c>
    </x:row>
    <x:row r="2141" ht="96" customHeight="1">
      <x:c r="A2141" s="115" t="str">
        <x:v>EXT-MONDE-T043-V36</x:v>
      </x:c>
      <x:c r="B2141" s="115" t="str">
        <x:v>EXT-MONDE-T043</x:v>
      </x:c>
      <x:c r="C2141" s="115" t="str">
        <x:v>HLM visitables</x:v>
      </x:c>
      <x:c r="D2141" s="115" t="str">
        <x:v>Résidence en cour</x:v>
      </x:c>
      <x:c r="E2141" s="115" t="n">
        <x:v>36</x:v>
      </x:c>
      <x:c r="F2141" s="115" t="str">
        <x:v>Inspection physique</x:v>
      </x:c>
      <x:c r="G2141" s="115" t="str">
        <x:v>6 niveaux ; 294 pièces ; 2226 segments de mur ; 12 transitions. Inspection physique ; architecture complète encore ouverte.</x:v>
      </x:c>
      <x:c r="H2141" s="115" t="str">
        <x:v>L 137,25 ; l 145,56 ; hauteur 15,55 m ; choix de composition auteur ; dimensions réelles à documenter</x:v>
      </x:c>
      <x:c r="I2141" s="115" t="str">
        <x:v>À équilibrer</x:v>
      </x:c>
      <x:c r="J2141" s="115" t="str">
        <x:v>Non</x:v>
      </x:c>
      <x:c r="K2141" s="115" t="str">
        <x:v>Pièces décrites, murs, portes, niveaux et mobilier inspectables à l’échelle. Volumes réservés, raccord au seed, butin, rencontres et services de campagne restent à terminer.</x:v>
      </x:c>
    </x:row>
    <x:row r="2142" ht="96" customHeight="1">
      <x:c r="A2142" s="115" t="str">
        <x:v>EXT-MONDE-T043-V37</x:v>
      </x:c>
      <x:c r="B2142" s="115" t="str">
        <x:v>EXT-MONDE-T043</x:v>
      </x:c>
      <x:c r="C2142" s="115" t="str">
        <x:v>HLM visitables</x:v>
      </x:c>
      <x:c r="D2142" s="115" t="str">
        <x:v>Résidence en cour</x:v>
      </x:c>
      <x:c r="E2142" s="115" t="n">
        <x:v>37</x:v>
      </x:c>
      <x:c r="F2142" s="115" t="str">
        <x:v>Inspection physique</x:v>
      </x:c>
      <x:c r="G2142" s="115" t="str">
        <x:v>5 niveaux ; 172 pièces ; 1305 segments de mur ; 7 transitions. Inspection physique ; architecture complète encore ouverte.</x:v>
      </x:c>
      <x:c r="H2142" s="115" t="str">
        <x:v>L 138,05 ; l 87,16 ; hauteur 12,35 m ; choix de composition auteur ; dimensions réelles à documenter</x:v>
      </x:c>
      <x:c r="I2142" s="115" t="str">
        <x:v>À équilibrer</x:v>
      </x:c>
      <x:c r="J2142" s="115" t="str">
        <x:v>Non</x:v>
      </x:c>
      <x:c r="K2142" s="115" t="str">
        <x:v>Pièces décrites, murs, portes, niveaux et mobilier inspectables à l’échelle. Volumes réservés, raccord au seed, butin, rencontres et services de campagne restent à terminer.</x:v>
      </x:c>
    </x:row>
    <x:row r="2143" ht="96" customHeight="1">
      <x:c r="A2143" s="115" t="str">
        <x:v>EXT-MONDE-T043-V38</x:v>
      </x:c>
      <x:c r="B2143" s="115" t="str">
        <x:v>EXT-MONDE-T043</x:v>
      </x:c>
      <x:c r="C2143" s="115" t="str">
        <x:v>HLM visitables</x:v>
      </x:c>
      <x:c r="D2143" s="115" t="str">
        <x:v>Résidence en cour</x:v>
      </x:c>
      <x:c r="E2143" s="115" t="n">
        <x:v>38</x:v>
      </x:c>
      <x:c r="F2143" s="115" t="str">
        <x:v>Inspection physique</x:v>
      </x:c>
      <x:c r="G2143" s="115" t="str">
        <x:v>6 niveaux ; 294 pièces ; 2226 segments de mur ; 12 transitions. Inspection physique ; architecture complète encore ouverte.</x:v>
      </x:c>
      <x:c r="H2143" s="115" t="str">
        <x:v>L 138,85 ; l 147,08 ; hauteur 15,45 m ; choix de composition auteur ; dimensions réelles à documenter</x:v>
      </x:c>
      <x:c r="I2143" s="115" t="str">
        <x:v>À équilibrer</x:v>
      </x:c>
      <x:c r="J2143" s="115" t="str">
        <x:v>Non</x:v>
      </x:c>
      <x:c r="K2143" s="115" t="str">
        <x:v>Pièces décrites, murs, portes, niveaux et mobilier inspectables à l’échelle. Volumes réservés, raccord au seed, butin, rencontres et services de campagne restent à terminer.</x:v>
      </x:c>
    </x:row>
    <x:row r="2144" ht="96" customHeight="1">
      <x:c r="A2144" s="115" t="str">
        <x:v>EXT-MONDE-T043-V39</x:v>
      </x:c>
      <x:c r="B2144" s="115" t="str">
        <x:v>EXT-MONDE-T043</x:v>
      </x:c>
      <x:c r="C2144" s="115" t="str">
        <x:v>HLM visitables</x:v>
      </x:c>
      <x:c r="D2144" s="115" t="str">
        <x:v>Résidence en cour</x:v>
      </x:c>
      <x:c r="E2144" s="115" t="n">
        <x:v>39</x:v>
      </x:c>
      <x:c r="F2144" s="115" t="str">
        <x:v>Inspection physique</x:v>
      </x:c>
      <x:c r="G2144" s="115" t="str">
        <x:v>5 niveaux ; 172 pièces ; 1305 segments de mur ; 7 transitions. Inspection physique ; architecture complète encore ouverte.</x:v>
      </x:c>
      <x:c r="H2144" s="115" t="str">
        <x:v>L 139,65 ; l 87,92 ; hauteur 12,55 m ; choix de composition auteur ; dimensions réelles à documenter</x:v>
      </x:c>
      <x:c r="I2144" s="115" t="str">
        <x:v>À équilibrer</x:v>
      </x:c>
      <x:c r="J2144" s="115" t="str">
        <x:v>Non</x:v>
      </x:c>
      <x:c r="K2144" s="115" t="str">
        <x:v>Pièces décrites, murs, portes, niveaux et mobilier inspectables à l’échelle. Volumes réservés, raccord au seed, butin, rencontres et services de campagne restent à terminer.</x:v>
      </x:c>
    </x:row>
    <x:row r="2145" ht="96" customHeight="1">
      <x:c r="A2145" s="115" t="str">
        <x:v>EXT-MONDE-T043-V40</x:v>
      </x:c>
      <x:c r="B2145" s="115" t="str">
        <x:v>EXT-MONDE-T043</x:v>
      </x:c>
      <x:c r="C2145" s="115" t="str">
        <x:v>HLM visitables</x:v>
      </x:c>
      <x:c r="D2145" s="115" t="str">
        <x:v>Résidence en cour</x:v>
      </x:c>
      <x:c r="E2145" s="115" t="n">
        <x:v>40</x:v>
      </x:c>
      <x:c r="F2145" s="115" t="str">
        <x:v>Inspection physique</x:v>
      </x:c>
      <x:c r="G2145" s="115" t="str">
        <x:v>6 niveaux ; 294 pièces ; 2226 segments de mur ; 12 transitions. Inspection physique ; architecture complète encore ouverte.</x:v>
      </x:c>
      <x:c r="H2145" s="115" t="str">
        <x:v>L 140,45 ; l 148,6 ; hauteur 15,35 m ; choix de composition auteur ; dimensions réelles à documenter</x:v>
      </x:c>
      <x:c r="I2145" s="115" t="str">
        <x:v>À équilibrer</x:v>
      </x:c>
      <x:c r="J2145" s="115" t="str">
        <x:v>Non</x:v>
      </x:c>
      <x:c r="K2145" s="115" t="str">
        <x:v>Pièces décrites, murs, portes, niveaux et mobilier inspectables à l’échelle. Volumes réservés, raccord au seed, butin, rencontres et services de campagne restent à terminer.</x:v>
      </x:c>
    </x:row>
    <x:row r="2146" ht="96" customHeight="1">
      <x:c r="A2146" s="115" t="str">
        <x:v>EXT-MONDE-T043-V41</x:v>
      </x:c>
      <x:c r="B2146" s="115" t="str">
        <x:v>EXT-MONDE-T043</x:v>
      </x:c>
      <x:c r="C2146" s="115" t="str">
        <x:v>HLM visitables</x:v>
      </x:c>
      <x:c r="D2146" s="115" t="str">
        <x:v>Résidence en cour</x:v>
      </x:c>
      <x:c r="E2146" s="115" t="n">
        <x:v>41</x:v>
      </x:c>
      <x:c r="F2146" s="115" t="str">
        <x:v>Inspection physique</x:v>
      </x:c>
      <x:c r="G2146" s="115" t="str">
        <x:v>6 niveaux ; 220 pièces ; 1663 segments de mur ; 9 transitions. Inspection physique ; architecture complète encore ouverte.</x:v>
      </x:c>
      <x:c r="H2146" s="115" t="str">
        <x:v>L 133,8 ; l 85,44 ; hauteur 15,35 m ; choix de composition auteur ; dimensions réelles à documenter</x:v>
      </x:c>
      <x:c r="I2146" s="115" t="str">
        <x:v>À équilibrer</x:v>
      </x:c>
      <x:c r="J2146" s="115" t="str">
        <x:v>Non</x:v>
      </x:c>
      <x:c r="K2146" s="115" t="str">
        <x:v>Pièces décrites, murs, portes, niveaux et mobilier inspectables à l’échelle. Volumes réservés, raccord au seed, butin, rencontres et services de campagne restent à terminer.</x:v>
      </x:c>
    </x:row>
    <x:row r="2147" ht="96" customHeight="1">
      <x:c r="A2147" s="115" t="str">
        <x:v>EXT-MONDE-T043-V42</x:v>
      </x:c>
      <x:c r="B2147" s="115" t="str">
        <x:v>EXT-MONDE-T043</x:v>
      </x:c>
      <x:c r="C2147" s="115" t="str">
        <x:v>HLM visitables</x:v>
      </x:c>
      <x:c r="D2147" s="115" t="str">
        <x:v>Résidence en cour</x:v>
      </x:c>
      <x:c r="E2147" s="115" t="n">
        <x:v>42</x:v>
      </x:c>
      <x:c r="F2147" s="115" t="str">
        <x:v>Inspection physique</x:v>
      </x:c>
      <x:c r="G2147" s="115" t="str">
        <x:v>6 niveaux ; 294 pièces ; 2226 segments de mur ; 12 transitions. Inspection physique ; architecture complète encore ouverte.</x:v>
      </x:c>
      <x:c r="H2147" s="115" t="str">
        <x:v>L 134,6 ; l 143,64 ; hauteur 15,45 m ; choix de composition auteur ; dimensions réelles à documenter</x:v>
      </x:c>
      <x:c r="I2147" s="115" t="str">
        <x:v>À équilibrer</x:v>
      </x:c>
      <x:c r="J2147" s="115" t="str">
        <x:v>Non</x:v>
      </x:c>
      <x:c r="K2147" s="115" t="str">
        <x:v>Pièces décrites, murs, portes, niveaux et mobilier inspectables à l’échelle. Volumes réservés, raccord au seed, butin, rencontres et services de campagne restent à terminer.</x:v>
      </x:c>
    </x:row>
    <x:row r="2148" ht="96" customHeight="1">
      <x:c r="A2148" s="115" t="str">
        <x:v>EXT-MONDE-T043-V43</x:v>
      </x:c>
      <x:c r="B2148" s="115" t="str">
        <x:v>EXT-MONDE-T043</x:v>
      </x:c>
      <x:c r="C2148" s="115" t="str">
        <x:v>HLM visitables</x:v>
      </x:c>
      <x:c r="D2148" s="115" t="str">
        <x:v>Résidence en cour</x:v>
      </x:c>
      <x:c r="E2148" s="115" t="n">
        <x:v>43</x:v>
      </x:c>
      <x:c r="F2148" s="115" t="str">
        <x:v>Inspection physique</x:v>
      </x:c>
      <x:c r="G2148" s="115" t="str">
        <x:v>6 niveaux ; 220 pièces ; 1663 segments de mur ; 9 transitions. Inspection physique ; architecture complète encore ouverte.</x:v>
      </x:c>
      <x:c r="H2148" s="115" t="str">
        <x:v>L 135,4 ; l 86,2 ; hauteur 15,55 m ; choix de composition auteur ; dimensions réelles à documenter</x:v>
      </x:c>
      <x:c r="I2148" s="115" t="str">
        <x:v>À équilibrer</x:v>
      </x:c>
      <x:c r="J2148" s="115" t="str">
        <x:v>Non</x:v>
      </x:c>
      <x:c r="K2148" s="115" t="str">
        <x:v>Pièces décrites, murs, portes, niveaux et mobilier inspectables à l’échelle. Volumes réservés, raccord au seed, butin, rencontres et services de campagne restent à terminer.</x:v>
      </x:c>
    </x:row>
    <x:row r="2149" ht="96" customHeight="1">
      <x:c r="A2149" s="115" t="str">
        <x:v>EXT-MONDE-T043-V44</x:v>
      </x:c>
      <x:c r="B2149" s="115" t="str">
        <x:v>EXT-MONDE-T043</x:v>
      </x:c>
      <x:c r="C2149" s="115" t="str">
        <x:v>HLM visitables</x:v>
      </x:c>
      <x:c r="D2149" s="115" t="str">
        <x:v>Résidence en cour</x:v>
      </x:c>
      <x:c r="E2149" s="115" t="n">
        <x:v>44</x:v>
      </x:c>
      <x:c r="F2149" s="115" t="str">
        <x:v>Inspection physique</x:v>
      </x:c>
      <x:c r="G2149" s="115" t="str">
        <x:v>6 niveaux ; 294 pièces ; 2226 segments de mur ; 12 transitions. Inspection physique ; architecture complète encore ouverte.</x:v>
      </x:c>
      <x:c r="H2149" s="115" t="str">
        <x:v>L 136,2 ; l 145,16 ; hauteur 15,35 m ; choix de composition auteur ; dimensions réelles à documenter</x:v>
      </x:c>
      <x:c r="I2149" s="115" t="str">
        <x:v>À équilibrer</x:v>
      </x:c>
      <x:c r="J2149" s="115" t="str">
        <x:v>Non</x:v>
      </x:c>
      <x:c r="K2149" s="115" t="str">
        <x:v>Pièces décrites, murs, portes, niveaux et mobilier inspectables à l’échelle. Volumes réservés, raccord au seed, butin, rencontres et services de campagne restent à terminer.</x:v>
      </x:c>
    </x:row>
    <x:row r="2150" ht="96" customHeight="1">
      <x:c r="A2150" s="115" t="str">
        <x:v>EXT-MONDE-T043-V45</x:v>
      </x:c>
      <x:c r="B2150" s="115" t="str">
        <x:v>EXT-MONDE-T043</x:v>
      </x:c>
      <x:c r="C2150" s="115" t="str">
        <x:v>HLM visitables</x:v>
      </x:c>
      <x:c r="D2150" s="115" t="str">
        <x:v>Résidence en cour</x:v>
      </x:c>
      <x:c r="E2150" s="115" t="n">
        <x:v>45</x:v>
      </x:c>
      <x:c r="F2150" s="115" t="str">
        <x:v>Inspection physique</x:v>
      </x:c>
      <x:c r="G2150" s="115" t="str">
        <x:v>6 niveaux ; 220 pièces ; 1663 segments de mur ; 9 transitions. Inspection physique ; architecture complète encore ouverte.</x:v>
      </x:c>
      <x:c r="H2150" s="115" t="str">
        <x:v>L 137 ; l 86,96 ; hauteur 15,45 m ; choix de composition auteur ; dimensions réelles à documenter</x:v>
      </x:c>
      <x:c r="I2150" s="115" t="str">
        <x:v>À équilibrer</x:v>
      </x:c>
      <x:c r="J2150" s="115" t="str">
        <x:v>Non</x:v>
      </x:c>
      <x:c r="K2150" s="115" t="str">
        <x:v>Pièces décrites, murs, portes, niveaux et mobilier inspectables à l’échelle. Volumes réservés, raccord au seed, butin, rencontres et services de campagne restent à terminer.</x:v>
      </x:c>
    </x:row>
    <x:row r="2151" ht="96" customHeight="1">
      <x:c r="A2151" s="115" t="str">
        <x:v>EXT-MONDE-T043-V46</x:v>
      </x:c>
      <x:c r="B2151" s="115" t="str">
        <x:v>EXT-MONDE-T043</x:v>
      </x:c>
      <x:c r="C2151" s="115" t="str">
        <x:v>HLM visitables</x:v>
      </x:c>
      <x:c r="D2151" s="115" t="str">
        <x:v>Résidence en cour</x:v>
      </x:c>
      <x:c r="E2151" s="115" t="n">
        <x:v>46</x:v>
      </x:c>
      <x:c r="F2151" s="115" t="str">
        <x:v>Inspection physique</x:v>
      </x:c>
      <x:c r="G2151" s="115" t="str">
        <x:v>6 niveaux ; 294 pièces ; 2226 segments de mur ; 12 transitions. Inspection physique ; architecture complète encore ouverte.</x:v>
      </x:c>
      <x:c r="H2151" s="115" t="str">
        <x:v>L 137,45 ; l 145,88 ; hauteur 15,55 m ; choix de composition auteur ; dimensions réelles à documenter</x:v>
      </x:c>
      <x:c r="I2151" s="115" t="str">
        <x:v>À équilibrer</x:v>
      </x:c>
      <x:c r="J2151" s="115" t="str">
        <x:v>Non</x:v>
      </x:c>
      <x:c r="K2151" s="115" t="str">
        <x:v>Pièces décrites, murs, portes, niveaux et mobilier inspectables à l’échelle. Volumes réservés, raccord au seed, butin, rencontres et services de campagne restent à terminer.</x:v>
      </x:c>
    </x:row>
    <x:row r="2152" ht="96" customHeight="1">
      <x:c r="A2152" s="115" t="str">
        <x:v>EXT-MONDE-T043-V47</x:v>
      </x:c>
      <x:c r="B2152" s="115" t="str">
        <x:v>EXT-MONDE-T043</x:v>
      </x:c>
      <x:c r="C2152" s="115" t="str">
        <x:v>HLM visitables</x:v>
      </x:c>
      <x:c r="D2152" s="115" t="str">
        <x:v>Résidence en cour</x:v>
      </x:c>
      <x:c r="E2152" s="115" t="n">
        <x:v>47</x:v>
      </x:c>
      <x:c r="F2152" s="115" t="str">
        <x:v>Inspection physique</x:v>
      </x:c>
      <x:c r="G2152" s="115" t="str">
        <x:v>6 niveaux ; 220 pièces ; 1663 segments de mur ; 9 transitions. Inspection physique ; architecture complète encore ouverte.</x:v>
      </x:c>
      <x:c r="H2152" s="115" t="str">
        <x:v>L 138,25 ; l 87,32 ; hauteur 15,35 m ; choix de composition auteur ; dimensions réelles à documenter</x:v>
      </x:c>
      <x:c r="I2152" s="115" t="str">
        <x:v>À équilibrer</x:v>
      </x:c>
      <x:c r="J2152" s="115" t="str">
        <x:v>Non</x:v>
      </x:c>
      <x:c r="K2152" s="115" t="str">
        <x:v>Pièces décrites, murs, portes, niveaux et mobilier inspectables à l’échelle. Volumes réservés, raccord au seed, butin, rencontres et services de campagne restent à terminer.</x:v>
      </x:c>
    </x:row>
    <x:row r="2153" ht="96" customHeight="1">
      <x:c r="A2153" s="115" t="str">
        <x:v>EXT-MONDE-T043-V48</x:v>
      </x:c>
      <x:c r="B2153" s="115" t="str">
        <x:v>EXT-MONDE-T043</x:v>
      </x:c>
      <x:c r="C2153" s="115" t="str">
        <x:v>HLM visitables</x:v>
      </x:c>
      <x:c r="D2153" s="115" t="str">
        <x:v>Résidence en cour</x:v>
      </x:c>
      <x:c r="E2153" s="115" t="n">
        <x:v>48</x:v>
      </x:c>
      <x:c r="F2153" s="115" t="str">
        <x:v>Inspection physique</x:v>
      </x:c>
      <x:c r="G2153" s="115" t="str">
        <x:v>6 niveaux ; 294 pièces ; 2226 segments de mur ; 12 transitions. Inspection physique ; architecture complète encore ouverte.</x:v>
      </x:c>
      <x:c r="H2153" s="115" t="str">
        <x:v>L 139,05 ; l 147,4 ; hauteur 15,45 m ; choix de composition auteur ; dimensions réelles à documenter</x:v>
      </x:c>
      <x:c r="I2153" s="115" t="str">
        <x:v>À équilibrer</x:v>
      </x:c>
      <x:c r="J2153" s="115" t="str">
        <x:v>Non</x:v>
      </x:c>
      <x:c r="K2153" s="115" t="str">
        <x:v>Pièces décrites, murs, portes, niveaux et mobilier inspectables à l’échelle. Volumes réservés, raccord au seed, butin, rencontres et services de campagne restent à terminer.</x:v>
      </x:c>
    </x:row>
    <x:row r="2154" ht="96" customHeight="1">
      <x:c r="A2154" s="115" t="str">
        <x:v>EXT-MONDE-T043-V49</x:v>
      </x:c>
      <x:c r="B2154" s="115" t="str">
        <x:v>EXT-MONDE-T043</x:v>
      </x:c>
      <x:c r="C2154" s="115" t="str">
        <x:v>HLM visitables</x:v>
      </x:c>
      <x:c r="D2154" s="115" t="str">
        <x:v>Résidence en cour</x:v>
      </x:c>
      <x:c r="E2154" s="115" t="n">
        <x:v>49</x:v>
      </x:c>
      <x:c r="F2154" s="115" t="str">
        <x:v>Inspection physique</x:v>
      </x:c>
      <x:c r="G2154" s="115" t="str">
        <x:v>6 niveaux ; 220 pièces ; 1663 segments de mur ; 9 transitions. Inspection physique ; architecture complète encore ouverte.</x:v>
      </x:c>
      <x:c r="H2154" s="115" t="str">
        <x:v>L 139,85 ; l 88,08 ; hauteur 15,55 m ; choix de composition auteur ; dimensions réelles à documenter</x:v>
      </x:c>
      <x:c r="I2154" s="115" t="str">
        <x:v>À équilibrer</x:v>
      </x:c>
      <x:c r="J2154" s="115" t="str">
        <x:v>Non</x:v>
      </x:c>
      <x:c r="K2154" s="115" t="str">
        <x:v>Pièces décrites, murs, portes, niveaux et mobilier inspectables à l’échelle. Volumes réservés, raccord au seed, butin, rencontres et services de campagne restent à terminer.</x:v>
      </x:c>
    </x:row>
    <x:row r="2155" ht="96" customHeight="1">
      <x:c r="A2155" s="115" t="str">
        <x:v>EXT-MONDE-T043-V50</x:v>
      </x:c>
      <x:c r="B2155" s="115" t="str">
        <x:v>EXT-MONDE-T043</x:v>
      </x:c>
      <x:c r="C2155" s="115" t="str">
        <x:v>HLM visitables</x:v>
      </x:c>
      <x:c r="D2155" s="115" t="str">
        <x:v>Résidence en cour</x:v>
      </x:c>
      <x:c r="E2155" s="115" t="n">
        <x:v>50</x:v>
      </x:c>
      <x:c r="F2155" s="115" t="str">
        <x:v>Inspection physique</x:v>
      </x:c>
      <x:c r="G2155" s="115" t="str">
        <x:v>6 niveaux ; 294 pièces ; 2226 segments de mur ; 12 transitions. Inspection physique ; architecture complète encore ouverte.</x:v>
      </x:c>
      <x:c r="H2155" s="115" t="str">
        <x:v>L 140,65 ; l 148,92 ; hauteur 15,35 m ; choix de composition auteur ; dimensions réelles à documenter</x:v>
      </x:c>
      <x:c r="I2155" s="115" t="str">
        <x:v>À équilibrer</x:v>
      </x:c>
      <x:c r="J2155" s="115" t="str">
        <x:v>Non</x:v>
      </x:c>
      <x:c r="K2155" s="115" t="str">
        <x:v>Pièces décrites, murs, portes, niveaux et mobilier inspectables à l’échelle. Volumes réservés, raccord au seed, butin, rencontres et services de campagne restent à terminer.</x:v>
      </x:c>
    </x:row>
    <x:row r="2156" ht="96" customHeight="1">
      <x:c r="A2156" s="115" t="str">
        <x:v>EXT-MONDE-T044-V01</x:v>
      </x:c>
      <x:c r="B2156" s="115" t="str">
        <x:v>EXT-MONDE-T044</x:v>
      </x:c>
      <x:c r="C2156" s="115" t="str">
        <x:v>HLM visitables</x:v>
      </x:c>
      <x:c r="D2156" s="115" t="str">
        <x:v>Ensemble HLM mixte</x:v>
      </x:c>
      <x:c r="E2156" s="115" t="n">
        <x:v>1</x:v>
      </x:c>
      <x:c r="F2156" s="115" t="str">
        <x:v>Inspection physique</x:v>
      </x:c>
      <x:c r="G2156" s="115" t="str">
        <x:v>7 niveaux ; 248 pièces ; 1873 segments de mur ; 10 transitions. Inspection physique ; architecture complète encore ouverte.</x:v>
      </x:c>
      <x:c r="H2156" s="115" t="str">
        <x:v>L 135 ; l 145,6 ; hauteur 18,35 m ; choix de composition auteur ; dimensions réelles à documenter</x:v>
      </x:c>
      <x:c r="I2156" s="115" t="str">
        <x:v>À équilibrer</x:v>
      </x:c>
      <x:c r="J2156" s="115" t="str">
        <x:v>Non</x:v>
      </x:c>
      <x:c r="K2156" s="115" t="str">
        <x:v>Pièces décrites, murs, portes, niveaux et mobilier inspectables à l’échelle. Volumes réservés, raccord au seed, butin, rencontres et services de campagne restent à terminer.</x:v>
      </x:c>
    </x:row>
    <x:row r="2157" ht="96" customHeight="1">
      <x:c r="A2157" s="115" t="str">
        <x:v>EXT-MONDE-T044-V02</x:v>
      </x:c>
      <x:c r="B2157" s="115" t="str">
        <x:v>EXT-MONDE-T044</x:v>
      </x:c>
      <x:c r="C2157" s="115" t="str">
        <x:v>HLM visitables</x:v>
      </x:c>
      <x:c r="D2157" s="115" t="str">
        <x:v>Ensemble HLM mixte</x:v>
      </x:c>
      <x:c r="E2157" s="115" t="n">
        <x:v>2</x:v>
      </x:c>
      <x:c r="F2157" s="115" t="str">
        <x:v>Inspection physique</x:v>
      </x:c>
      <x:c r="G2157" s="115" t="str">
        <x:v>7 niveaux ; 248 pièces ; 1873 segments de mur ; 10 transitions. Inspection physique ; architecture complète encore ouverte.</x:v>
      </x:c>
      <x:c r="H2157" s="115" t="str">
        <x:v>L 135,25 ; l 146,46 ; hauteur 18,45 m ; choix de composition auteur ; dimensions réelles à documenter</x:v>
      </x:c>
      <x:c r="I2157" s="115" t="str">
        <x:v>À équilibrer</x:v>
      </x:c>
      <x:c r="J2157" s="115" t="str">
        <x:v>Non</x:v>
      </x:c>
      <x:c r="K2157" s="115" t="str">
        <x:v>Pièces décrites, murs, portes, niveaux et mobilier inspectables à l’échelle. Volumes réservés, raccord au seed, butin, rencontres et services de campagne restent à terminer.</x:v>
      </x:c>
    </x:row>
    <x:row r="2158" ht="96" customHeight="1">
      <x:c r="A2158" s="115" t="str">
        <x:v>EXT-MONDE-T044-V03</x:v>
      </x:c>
      <x:c r="B2158" s="115" t="str">
        <x:v>EXT-MONDE-T044</x:v>
      </x:c>
      <x:c r="C2158" s="115" t="str">
        <x:v>HLM visitables</x:v>
      </x:c>
      <x:c r="D2158" s="115" t="str">
        <x:v>Ensemble HLM mixte</x:v>
      </x:c>
      <x:c r="E2158" s="115" t="n">
        <x:v>3</x:v>
      </x:c>
      <x:c r="F2158" s="115" t="str">
        <x:v>Inspection physique</x:v>
      </x:c>
      <x:c r="G2158" s="115" t="str">
        <x:v>7 niveaux ; 248 pièces ; 1873 segments de mur ; 10 transitions. Inspection physique ; architecture complète encore ouverte.</x:v>
      </x:c>
      <x:c r="H2158" s="115" t="str">
        <x:v>L 135,5 ; l 147,32 ; hauteur 18,55 m ; choix de composition auteur ; dimensions réelles à documenter</x:v>
      </x:c>
      <x:c r="I2158" s="115" t="str">
        <x:v>À équilibrer</x:v>
      </x:c>
      <x:c r="J2158" s="115" t="str">
        <x:v>Non</x:v>
      </x:c>
      <x:c r="K2158" s="115" t="str">
        <x:v>Pièces décrites, murs, portes, niveaux et mobilier inspectables à l’échelle. Volumes réservés, raccord au seed, butin, rencontres et services de campagne restent à terminer.</x:v>
      </x:c>
    </x:row>
    <x:row r="2159" ht="96" customHeight="1">
      <x:c r="A2159" s="115" t="str">
        <x:v>EXT-MONDE-T044-V04</x:v>
      </x:c>
      <x:c r="B2159" s="115" t="str">
        <x:v>EXT-MONDE-T044</x:v>
      </x:c>
      <x:c r="C2159" s="115" t="str">
        <x:v>HLM visitables</x:v>
      </x:c>
      <x:c r="D2159" s="115" t="str">
        <x:v>Ensemble HLM mixte</x:v>
      </x:c>
      <x:c r="E2159" s="115" t="n">
        <x:v>4</x:v>
      </x:c>
      <x:c r="F2159" s="115" t="str">
        <x:v>Inspection physique</x:v>
      </x:c>
      <x:c r="G2159" s="115" t="str">
        <x:v>7 niveaux ; 248 pièces ; 1873 segments de mur ; 10 transitions. Inspection physique ; architecture complète encore ouverte.</x:v>
      </x:c>
      <x:c r="H2159" s="115" t="str">
        <x:v>L 135,75 ; l 148,18 ; hauteur 18,35 m ; choix de composition auteur ; dimensions réelles à documenter</x:v>
      </x:c>
      <x:c r="I2159" s="115" t="str">
        <x:v>À équilibrer</x:v>
      </x:c>
      <x:c r="J2159" s="115" t="str">
        <x:v>Non</x:v>
      </x:c>
      <x:c r="K2159" s="115" t="str">
        <x:v>Pièces décrites, murs, portes, niveaux et mobilier inspectables à l’échelle. Volumes réservés, raccord au seed, butin, rencontres et services de campagne restent à terminer.</x:v>
      </x:c>
    </x:row>
    <x:row r="2160" ht="96" customHeight="1">
      <x:c r="A2160" s="115" t="str">
        <x:v>EXT-MONDE-T044-V05</x:v>
      </x:c>
      <x:c r="B2160" s="115" t="str">
        <x:v>EXT-MONDE-T044</x:v>
      </x:c>
      <x:c r="C2160" s="115" t="str">
        <x:v>HLM visitables</x:v>
      </x:c>
      <x:c r="D2160" s="115" t="str">
        <x:v>Ensemble HLM mixte</x:v>
      </x:c>
      <x:c r="E2160" s="115" t="n">
        <x:v>5</x:v>
      </x:c>
      <x:c r="F2160" s="115" t="str">
        <x:v>Inspection physique</x:v>
      </x:c>
      <x:c r="G2160" s="115" t="str">
        <x:v>7 niveaux ; 248 pièces ; 1873 segments de mur ; 10 transitions. Inspection physique ; architecture complète encore ouverte.</x:v>
      </x:c>
      <x:c r="H2160" s="115" t="str">
        <x:v>L 136 ; l 149,04 ; hauteur 18,45 m ; choix de composition auteur ; dimensions réelles à documenter</x:v>
      </x:c>
      <x:c r="I2160" s="115" t="str">
        <x:v>À équilibrer</x:v>
      </x:c>
      <x:c r="J2160" s="115" t="str">
        <x:v>Non</x:v>
      </x:c>
      <x:c r="K2160" s="115" t="str">
        <x:v>Pièces décrites, murs, portes, niveaux et mobilier inspectables à l’échelle. Volumes réservés, raccord au seed, butin, rencontres et services de campagne restent à terminer.</x:v>
      </x:c>
    </x:row>
    <x:row r="2161" ht="96" customHeight="1">
      <x:c r="A2161" s="115" t="str">
        <x:v>EXT-MONDE-T044-V06</x:v>
      </x:c>
      <x:c r="B2161" s="115" t="str">
        <x:v>EXT-MONDE-T044</x:v>
      </x:c>
      <x:c r="C2161" s="115" t="str">
        <x:v>HLM visitables</x:v>
      </x:c>
      <x:c r="D2161" s="115" t="str">
        <x:v>Ensemble HLM mixte</x:v>
      </x:c>
      <x:c r="E2161" s="115" t="n">
        <x:v>6</x:v>
      </x:c>
      <x:c r="F2161" s="115" t="str">
        <x:v>Inspection physique</x:v>
      </x:c>
      <x:c r="G2161" s="115" t="str">
        <x:v>7 niveaux ; 248 pièces ; 1873 segments de mur ; 10 transitions. Inspection physique ; architecture complète encore ouverte.</x:v>
      </x:c>
      <x:c r="H2161" s="115" t="str">
        <x:v>L 136,25 ; l 149,1 ; hauteur 18,55 m ; choix de composition auteur ; dimensions réelles à documenter</x:v>
      </x:c>
      <x:c r="I2161" s="115" t="str">
        <x:v>À équilibrer</x:v>
      </x:c>
      <x:c r="J2161" s="115" t="str">
        <x:v>Non</x:v>
      </x:c>
      <x:c r="K2161" s="115" t="str">
        <x:v>Pièces décrites, murs, portes, niveaux et mobilier inspectables à l’échelle. Volumes réservés, raccord au seed, butin, rencontres et services de campagne restent à terminer.</x:v>
      </x:c>
    </x:row>
    <x:row r="2162" ht="96" customHeight="1">
      <x:c r="A2162" s="115" t="str">
        <x:v>EXT-MONDE-T044-V07</x:v>
      </x:c>
      <x:c r="B2162" s="115" t="str">
        <x:v>EXT-MONDE-T044</x:v>
      </x:c>
      <x:c r="C2162" s="115" t="str">
        <x:v>HLM visitables</x:v>
      </x:c>
      <x:c r="D2162" s="115" t="str">
        <x:v>Ensemble HLM mixte</x:v>
      </x:c>
      <x:c r="E2162" s="115" t="n">
        <x:v>7</x:v>
      </x:c>
      <x:c r="F2162" s="115" t="str">
        <x:v>Inspection physique</x:v>
      </x:c>
      <x:c r="G2162" s="115" t="str">
        <x:v>7 niveaux ; 248 pièces ; 1873 segments de mur ; 10 transitions. Inspection physique ; architecture complète encore ouverte.</x:v>
      </x:c>
      <x:c r="H2162" s="115" t="str">
        <x:v>L 136,5 ; l 149,96 ; hauteur 18,35 m ; choix de composition auteur ; dimensions réelles à documenter</x:v>
      </x:c>
      <x:c r="I2162" s="115" t="str">
        <x:v>À équilibrer</x:v>
      </x:c>
      <x:c r="J2162" s="115" t="str">
        <x:v>Non</x:v>
      </x:c>
      <x:c r="K2162" s="115" t="str">
        <x:v>Pièces décrites, murs, portes, niveaux et mobilier inspectables à l’échelle. Volumes réservés, raccord au seed, butin, rencontres et services de campagne restent à terminer.</x:v>
      </x:c>
    </x:row>
    <x:row r="2163" ht="96" customHeight="1">
      <x:c r="A2163" s="115" t="str">
        <x:v>EXT-MONDE-T044-V08</x:v>
      </x:c>
      <x:c r="B2163" s="115" t="str">
        <x:v>EXT-MONDE-T044</x:v>
      </x:c>
      <x:c r="C2163" s="115" t="str">
        <x:v>HLM visitables</x:v>
      </x:c>
      <x:c r="D2163" s="115" t="str">
        <x:v>Ensemble HLM mixte</x:v>
      </x:c>
      <x:c r="E2163" s="115" t="n">
        <x:v>8</x:v>
      </x:c>
      <x:c r="F2163" s="115" t="str">
        <x:v>Inspection physique</x:v>
      </x:c>
      <x:c r="G2163" s="115" t="str">
        <x:v>7 niveaux ; 248 pièces ; 1873 segments de mur ; 10 transitions. Inspection physique ; architecture complète encore ouverte.</x:v>
      </x:c>
      <x:c r="H2163" s="115" t="str">
        <x:v>L 136,75 ; l 150,82 ; hauteur 18,45 m ; choix de composition auteur ; dimensions réelles à documenter</x:v>
      </x:c>
      <x:c r="I2163" s="115" t="str">
        <x:v>À équilibrer</x:v>
      </x:c>
      <x:c r="J2163" s="115" t="str">
        <x:v>Non</x:v>
      </x:c>
      <x:c r="K2163" s="115" t="str">
        <x:v>Pièces décrites, murs, portes, niveaux et mobilier inspectables à l’échelle. Volumes réservés, raccord au seed, butin, rencontres et services de campagne restent à terminer.</x:v>
      </x:c>
    </x:row>
    <x:row r="2164" ht="96" customHeight="1">
      <x:c r="A2164" s="115" t="str">
        <x:v>EXT-MONDE-T044-V09</x:v>
      </x:c>
      <x:c r="B2164" s="115" t="str">
        <x:v>EXT-MONDE-T044</x:v>
      </x:c>
      <x:c r="C2164" s="115" t="str">
        <x:v>HLM visitables</x:v>
      </x:c>
      <x:c r="D2164" s="115" t="str">
        <x:v>Ensemble HLM mixte</x:v>
      </x:c>
      <x:c r="E2164" s="115" t="n">
        <x:v>9</x:v>
      </x:c>
      <x:c r="F2164" s="115" t="str">
        <x:v>Inspection physique</x:v>
      </x:c>
      <x:c r="G2164" s="115" t="str">
        <x:v>7 niveaux ; 248 pièces ; 1873 segments de mur ; 10 transitions. Inspection physique ; architecture complète encore ouverte.</x:v>
      </x:c>
      <x:c r="H2164" s="115" t="str">
        <x:v>L 137 ; l 151,68 ; hauteur 18,55 m ; choix de composition auteur ; dimensions réelles à documenter</x:v>
      </x:c>
      <x:c r="I2164" s="115" t="str">
        <x:v>À équilibrer</x:v>
      </x:c>
      <x:c r="J2164" s="115" t="str">
        <x:v>Non</x:v>
      </x:c>
      <x:c r="K2164" s="115" t="str">
        <x:v>Pièces décrites, murs, portes, niveaux et mobilier inspectables à l’échelle. Volumes réservés, raccord au seed, butin, rencontres et services de campagne restent à terminer.</x:v>
      </x:c>
    </x:row>
    <x:row r="2165" ht="96" customHeight="1">
      <x:c r="A2165" s="115" t="str">
        <x:v>EXT-MONDE-T044-V10</x:v>
      </x:c>
      <x:c r="B2165" s="115" t="str">
        <x:v>EXT-MONDE-T044</x:v>
      </x:c>
      <x:c r="C2165" s="115" t="str">
        <x:v>HLM visitables</x:v>
      </x:c>
      <x:c r="D2165" s="115" t="str">
        <x:v>Ensemble HLM mixte</x:v>
      </x:c>
      <x:c r="E2165" s="115" t="n">
        <x:v>10</x:v>
      </x:c>
      <x:c r="F2165" s="115" t="str">
        <x:v>Inspection physique</x:v>
      </x:c>
      <x:c r="G2165" s="115" t="str">
        <x:v>7 niveaux ; 248 pièces ; 1873 segments de mur ; 10 transitions. Inspection physique ; architecture complète encore ouverte.</x:v>
      </x:c>
      <x:c r="H2165" s="115" t="str">
        <x:v>L 137,25 ; l 152,54 ; hauteur 18,35 m ; choix de composition auteur ; dimensions réelles à documenter</x:v>
      </x:c>
      <x:c r="I2165" s="115" t="str">
        <x:v>À équilibrer</x:v>
      </x:c>
      <x:c r="J2165" s="115" t="str">
        <x:v>Non</x:v>
      </x:c>
      <x:c r="K2165" s="115" t="str">
        <x:v>Pièces décrites, murs, portes, niveaux et mobilier inspectables à l’échelle. Volumes réservés, raccord au seed, butin, rencontres et services de campagne restent à terminer.</x:v>
      </x:c>
    </x:row>
    <x:row r="2166" ht="96" customHeight="1">
      <x:c r="A2166" s="115" t="str">
        <x:v>EXT-MONDE-T044-V11</x:v>
      </x:c>
      <x:c r="B2166" s="115" t="str">
        <x:v>EXT-MONDE-T044</x:v>
      </x:c>
      <x:c r="C2166" s="115" t="str">
        <x:v>HLM visitables</x:v>
      </x:c>
      <x:c r="D2166" s="115" t="str">
        <x:v>Ensemble HLM mixte</x:v>
      </x:c>
      <x:c r="E2166" s="115" t="n">
        <x:v>11</x:v>
      </x:c>
      <x:c r="F2166" s="115" t="str">
        <x:v>Inspection physique</x:v>
      </x:c>
      <x:c r="G2166" s="115" t="str">
        <x:v>8 niveaux ; 296 pièces ; 2231 segments de mur ; 12 transitions. Inspection physique ; architecture complète encore ouverte.</x:v>
      </x:c>
      <x:c r="H2166" s="115" t="str">
        <x:v>L 135 ; l 145,92 ; hauteur 21,35 m ; choix de composition auteur ; dimensions réelles à documenter</x:v>
      </x:c>
      <x:c r="I2166" s="115" t="str">
        <x:v>À équilibrer</x:v>
      </x:c>
      <x:c r="J2166" s="115" t="str">
        <x:v>Non</x:v>
      </x:c>
      <x:c r="K2166" s="115" t="str">
        <x:v>Pièces décrites, murs, portes, niveaux et mobilier inspectables à l’échelle. Volumes réservés, raccord au seed, butin, rencontres et services de campagne restent à terminer.</x:v>
      </x:c>
    </x:row>
    <x:row r="2167" ht="96" customHeight="1">
      <x:c r="A2167" s="115" t="str">
        <x:v>EXT-MONDE-T044-V12</x:v>
      </x:c>
      <x:c r="B2167" s="115" t="str">
        <x:v>EXT-MONDE-T044</x:v>
      </x:c>
      <x:c r="C2167" s="115" t="str">
        <x:v>HLM visitables</x:v>
      </x:c>
      <x:c r="D2167" s="115" t="str">
        <x:v>Ensemble HLM mixte</x:v>
      </x:c>
      <x:c r="E2167" s="115" t="n">
        <x:v>12</x:v>
      </x:c>
      <x:c r="F2167" s="115" t="str">
        <x:v>Inspection physique</x:v>
      </x:c>
      <x:c r="G2167" s="115" t="str">
        <x:v>8 niveaux ; 296 pièces ; 2231 segments de mur ; 12 transitions. Inspection physique ; architecture complète encore ouverte.</x:v>
      </x:c>
      <x:c r="H2167" s="115" t="str">
        <x:v>L 135,25 ; l 146,78 ; hauteur 21,45 m ; choix de composition auteur ; dimensions réelles à documenter</x:v>
      </x:c>
      <x:c r="I2167" s="115" t="str">
        <x:v>À équilibrer</x:v>
      </x:c>
      <x:c r="J2167" s="115" t="str">
        <x:v>Non</x:v>
      </x:c>
      <x:c r="K2167" s="115" t="str">
        <x:v>Pièces décrites, murs, portes, niveaux et mobilier inspectables à l’échelle. Volumes réservés, raccord au seed, butin, rencontres et services de campagne restent à terminer.</x:v>
      </x:c>
    </x:row>
    <x:row r="2168" ht="96" customHeight="1">
      <x:c r="A2168" s="115" t="str">
        <x:v>EXT-MONDE-T044-V13</x:v>
      </x:c>
      <x:c r="B2168" s="115" t="str">
        <x:v>EXT-MONDE-T044</x:v>
      </x:c>
      <x:c r="C2168" s="115" t="str">
        <x:v>HLM visitables</x:v>
      </x:c>
      <x:c r="D2168" s="115" t="str">
        <x:v>Ensemble HLM mixte</x:v>
      </x:c>
      <x:c r="E2168" s="115" t="n">
        <x:v>13</x:v>
      </x:c>
      <x:c r="F2168" s="115" t="str">
        <x:v>Inspection physique</x:v>
      </x:c>
      <x:c r="G2168" s="115" t="str">
        <x:v>8 niveaux ; 296 pièces ; 2231 segments de mur ; 12 transitions. Inspection physique ; architecture complète encore ouverte.</x:v>
      </x:c>
      <x:c r="H2168" s="115" t="str">
        <x:v>L 135,5 ; l 147,64 ; hauteur 21,55 m ; choix de composition auteur ; dimensions réelles à documenter</x:v>
      </x:c>
      <x:c r="I2168" s="115" t="str">
        <x:v>À équilibrer</x:v>
      </x:c>
      <x:c r="J2168" s="115" t="str">
        <x:v>Non</x:v>
      </x:c>
      <x:c r="K2168" s="115" t="str">
        <x:v>Pièces décrites, murs, portes, niveaux et mobilier inspectables à l’échelle. Volumes réservés, raccord au seed, butin, rencontres et services de campagne restent à terminer.</x:v>
      </x:c>
    </x:row>
    <x:row r="2169" ht="96" customHeight="1">
      <x:c r="A2169" s="115" t="str">
        <x:v>EXT-MONDE-T044-V14</x:v>
      </x:c>
      <x:c r="B2169" s="115" t="str">
        <x:v>EXT-MONDE-T044</x:v>
      </x:c>
      <x:c r="C2169" s="115" t="str">
        <x:v>HLM visitables</x:v>
      </x:c>
      <x:c r="D2169" s="115" t="str">
        <x:v>Ensemble HLM mixte</x:v>
      </x:c>
      <x:c r="E2169" s="115" t="n">
        <x:v>14</x:v>
      </x:c>
      <x:c r="F2169" s="115" t="str">
        <x:v>Inspection physique</x:v>
      </x:c>
      <x:c r="G2169" s="115" t="str">
        <x:v>8 niveaux ; 296 pièces ; 2231 segments de mur ; 12 transitions. Inspection physique ; architecture complète encore ouverte.</x:v>
      </x:c>
      <x:c r="H2169" s="115" t="str">
        <x:v>L 135,75 ; l 148,5 ; hauteur 21,35 m ; choix de composition auteur ; dimensions réelles à documenter</x:v>
      </x:c>
      <x:c r="I2169" s="115" t="str">
        <x:v>À équilibrer</x:v>
      </x:c>
      <x:c r="J2169" s="115" t="str">
        <x:v>Non</x:v>
      </x:c>
      <x:c r="K2169" s="115" t="str">
        <x:v>Pièces décrites, murs, portes, niveaux et mobilier inspectables à l’échelle. Volumes réservés, raccord au seed, butin, rencontres et services de campagne restent à terminer.</x:v>
      </x:c>
    </x:row>
    <x:row r="2170" ht="96" customHeight="1">
      <x:c r="A2170" s="115" t="str">
        <x:v>EXT-MONDE-T044-V15</x:v>
      </x:c>
      <x:c r="B2170" s="115" t="str">
        <x:v>EXT-MONDE-T044</x:v>
      </x:c>
      <x:c r="C2170" s="115" t="str">
        <x:v>HLM visitables</x:v>
      </x:c>
      <x:c r="D2170" s="115" t="str">
        <x:v>Ensemble HLM mixte</x:v>
      </x:c>
      <x:c r="E2170" s="115" t="n">
        <x:v>15</x:v>
      </x:c>
      <x:c r="F2170" s="115" t="str">
        <x:v>Inspection physique</x:v>
      </x:c>
      <x:c r="G2170" s="115" t="str">
        <x:v>8 niveaux ; 296 pièces ; 2231 segments de mur ; 12 transitions. Inspection physique ; architecture complète encore ouverte.</x:v>
      </x:c>
      <x:c r="H2170" s="115" t="str">
        <x:v>L 136 ; l 149,36 ; hauteur 21,45 m ; choix de composition auteur ; dimensions réelles à documenter</x:v>
      </x:c>
      <x:c r="I2170" s="115" t="str">
        <x:v>À équilibrer</x:v>
      </x:c>
      <x:c r="J2170" s="115" t="str">
        <x:v>Non</x:v>
      </x:c>
      <x:c r="K2170" s="115" t="str">
        <x:v>Pièces décrites, murs, portes, niveaux et mobilier inspectables à l’échelle. Volumes réservés, raccord au seed, butin, rencontres et services de campagne restent à terminer.</x:v>
      </x:c>
    </x:row>
    <x:row r="2171" ht="96" customHeight="1">
      <x:c r="A2171" s="115" t="str">
        <x:v>EXT-MONDE-T044-V16</x:v>
      </x:c>
      <x:c r="B2171" s="115" t="str">
        <x:v>EXT-MONDE-T044</x:v>
      </x:c>
      <x:c r="C2171" s="115" t="str">
        <x:v>HLM visitables</x:v>
      </x:c>
      <x:c r="D2171" s="115" t="str">
        <x:v>Ensemble HLM mixte</x:v>
      </x:c>
      <x:c r="E2171" s="115" t="n">
        <x:v>16</x:v>
      </x:c>
      <x:c r="F2171" s="115" t="str">
        <x:v>Inspection physique</x:v>
      </x:c>
      <x:c r="G2171" s="115" t="str">
        <x:v>8 niveaux ; 296 pièces ; 2231 segments de mur ; 12 transitions. Inspection physique ; architecture complète encore ouverte.</x:v>
      </x:c>
      <x:c r="H2171" s="115" t="str">
        <x:v>L 136,25 ; l 149,42 ; hauteur 21,55 m ; choix de composition auteur ; dimensions réelles à documenter</x:v>
      </x:c>
      <x:c r="I2171" s="115" t="str">
        <x:v>À équilibrer</x:v>
      </x:c>
      <x:c r="J2171" s="115" t="str">
        <x:v>Non</x:v>
      </x:c>
      <x:c r="K2171" s="115" t="str">
        <x:v>Pièces décrites, murs, portes, niveaux et mobilier inspectables à l’échelle. Volumes réservés, raccord au seed, butin, rencontres et services de campagne restent à terminer.</x:v>
      </x:c>
    </x:row>
    <x:row r="2172" ht="96" customHeight="1">
      <x:c r="A2172" s="115" t="str">
        <x:v>EXT-MONDE-T044-V17</x:v>
      </x:c>
      <x:c r="B2172" s="115" t="str">
        <x:v>EXT-MONDE-T044</x:v>
      </x:c>
      <x:c r="C2172" s="115" t="str">
        <x:v>HLM visitables</x:v>
      </x:c>
      <x:c r="D2172" s="115" t="str">
        <x:v>Ensemble HLM mixte</x:v>
      </x:c>
      <x:c r="E2172" s="115" t="n">
        <x:v>17</x:v>
      </x:c>
      <x:c r="F2172" s="115" t="str">
        <x:v>Inspection physique</x:v>
      </x:c>
      <x:c r="G2172" s="115" t="str">
        <x:v>8 niveaux ; 296 pièces ; 2231 segments de mur ; 12 transitions. Inspection physique ; architecture complète encore ouverte.</x:v>
      </x:c>
      <x:c r="H2172" s="115" t="str">
        <x:v>L 136,5 ; l 150,28 ; hauteur 21,35 m ; choix de composition auteur ; dimensions réelles à documenter</x:v>
      </x:c>
      <x:c r="I2172" s="115" t="str">
        <x:v>À équilibrer</x:v>
      </x:c>
      <x:c r="J2172" s="115" t="str">
        <x:v>Non</x:v>
      </x:c>
      <x:c r="K2172" s="115" t="str">
        <x:v>Pièces décrites, murs, portes, niveaux et mobilier inspectables à l’échelle. Volumes réservés, raccord au seed, butin, rencontres et services de campagne restent à terminer.</x:v>
      </x:c>
    </x:row>
    <x:row r="2173" ht="96" customHeight="1">
      <x:c r="A2173" s="115" t="str">
        <x:v>EXT-MONDE-T044-V18</x:v>
      </x:c>
      <x:c r="B2173" s="115" t="str">
        <x:v>EXT-MONDE-T044</x:v>
      </x:c>
      <x:c r="C2173" s="115" t="str">
        <x:v>HLM visitables</x:v>
      </x:c>
      <x:c r="D2173" s="115" t="str">
        <x:v>Ensemble HLM mixte</x:v>
      </x:c>
      <x:c r="E2173" s="115" t="n">
        <x:v>18</x:v>
      </x:c>
      <x:c r="F2173" s="115" t="str">
        <x:v>Inspection physique</x:v>
      </x:c>
      <x:c r="G2173" s="115" t="str">
        <x:v>8 niveaux ; 296 pièces ; 2231 segments de mur ; 12 transitions. Inspection physique ; architecture complète encore ouverte.</x:v>
      </x:c>
      <x:c r="H2173" s="115" t="str">
        <x:v>L 136,75 ; l 151,14 ; hauteur 21,45 m ; choix de composition auteur ; dimensions réelles à documenter</x:v>
      </x:c>
      <x:c r="I2173" s="115" t="str">
        <x:v>À équilibrer</x:v>
      </x:c>
      <x:c r="J2173" s="115" t="str">
        <x:v>Non</x:v>
      </x:c>
      <x:c r="K2173" s="115" t="str">
        <x:v>Pièces décrites, murs, portes, niveaux et mobilier inspectables à l’échelle. Volumes réservés, raccord au seed, butin, rencontres et services de campagne restent à terminer.</x:v>
      </x:c>
    </x:row>
    <x:row r="2174" ht="96" customHeight="1">
      <x:c r="A2174" s="115" t="str">
        <x:v>EXT-MONDE-T044-V19</x:v>
      </x:c>
      <x:c r="B2174" s="115" t="str">
        <x:v>EXT-MONDE-T044</x:v>
      </x:c>
      <x:c r="C2174" s="115" t="str">
        <x:v>HLM visitables</x:v>
      </x:c>
      <x:c r="D2174" s="115" t="str">
        <x:v>Ensemble HLM mixte</x:v>
      </x:c>
      <x:c r="E2174" s="115" t="n">
        <x:v>19</x:v>
      </x:c>
      <x:c r="F2174" s="115" t="str">
        <x:v>Inspection physique</x:v>
      </x:c>
      <x:c r="G2174" s="115" t="str">
        <x:v>8 niveaux ; 296 pièces ; 2231 segments de mur ; 12 transitions. Inspection physique ; architecture complète encore ouverte.</x:v>
      </x:c>
      <x:c r="H2174" s="115" t="str">
        <x:v>L 137 ; l 152 ; hauteur 21,55 m ; choix de composition auteur ; dimensions réelles à documenter</x:v>
      </x:c>
      <x:c r="I2174" s="115" t="str">
        <x:v>À équilibrer</x:v>
      </x:c>
      <x:c r="J2174" s="115" t="str">
        <x:v>Non</x:v>
      </x:c>
      <x:c r="K2174" s="115" t="str">
        <x:v>Pièces décrites, murs, portes, niveaux et mobilier inspectables à l’échelle. Volumes réservés, raccord au seed, butin, rencontres et services de campagne restent à terminer.</x:v>
      </x:c>
    </x:row>
    <x:row r="2175" ht="96" customHeight="1">
      <x:c r="A2175" s="115" t="str">
        <x:v>EXT-MONDE-T044-V20</x:v>
      </x:c>
      <x:c r="B2175" s="115" t="str">
        <x:v>EXT-MONDE-T044</x:v>
      </x:c>
      <x:c r="C2175" s="115" t="str">
        <x:v>HLM visitables</x:v>
      </x:c>
      <x:c r="D2175" s="115" t="str">
        <x:v>Ensemble HLM mixte</x:v>
      </x:c>
      <x:c r="E2175" s="115" t="n">
        <x:v>20</x:v>
      </x:c>
      <x:c r="F2175" s="115" t="str">
        <x:v>Inspection physique</x:v>
      </x:c>
      <x:c r="G2175" s="115" t="str">
        <x:v>8 niveaux ; 296 pièces ; 2231 segments de mur ; 12 transitions. Inspection physique ; architecture complète encore ouverte.</x:v>
      </x:c>
      <x:c r="H2175" s="115" t="str">
        <x:v>L 137,25 ; l 152,86 ; hauteur 21,35 m ; choix de composition auteur ; dimensions réelles à documenter</x:v>
      </x:c>
      <x:c r="I2175" s="115" t="str">
        <x:v>À équilibrer</x:v>
      </x:c>
      <x:c r="J2175" s="115" t="str">
        <x:v>Non</x:v>
      </x:c>
      <x:c r="K2175" s="115" t="str">
        <x:v>Pièces décrites, murs, portes, niveaux et mobilier inspectables à l’échelle. Volumes réservés, raccord au seed, butin, rencontres et services de campagne restent à terminer.</x:v>
      </x:c>
    </x:row>
    <x:row r="2176" ht="96" customHeight="1">
      <x:c r="A2176" s="115" t="str">
        <x:v>EXT-MONDE-T044-V21</x:v>
      </x:c>
      <x:c r="B2176" s="115" t="str">
        <x:v>EXT-MONDE-T044</x:v>
      </x:c>
      <x:c r="C2176" s="115" t="str">
        <x:v>HLM visitables</x:v>
      </x:c>
      <x:c r="D2176" s="115" t="str">
        <x:v>Ensemble HLM mixte</x:v>
      </x:c>
      <x:c r="E2176" s="115" t="n">
        <x:v>21</x:v>
      </x:c>
      <x:c r="F2176" s="115" t="str">
        <x:v>Inspection physique</x:v>
      </x:c>
      <x:c r="G2176" s="115" t="str">
        <x:v>9 niveaux ; 344 pièces ; 2589 segments de mur ; 14 transitions. Inspection physique ; architecture complète encore ouverte.</x:v>
      </x:c>
      <x:c r="H2176" s="115" t="str">
        <x:v>L 135 ; l 146,24 ; hauteur 24,35 m ; choix de composition auteur ; dimensions réelles à documenter</x:v>
      </x:c>
      <x:c r="I2176" s="115" t="str">
        <x:v>À équilibrer</x:v>
      </x:c>
      <x:c r="J2176" s="115" t="str">
        <x:v>Non</x:v>
      </x:c>
      <x:c r="K2176" s="115" t="str">
        <x:v>Pièces décrites, murs, portes, niveaux et mobilier inspectables à l’échelle. Volumes réservés, raccord au seed, butin, rencontres et services de campagne restent à terminer.</x:v>
      </x:c>
    </x:row>
    <x:row r="2177" ht="96" customHeight="1">
      <x:c r="A2177" s="115" t="str">
        <x:v>EXT-MONDE-T044-V22</x:v>
      </x:c>
      <x:c r="B2177" s="115" t="str">
        <x:v>EXT-MONDE-T044</x:v>
      </x:c>
      <x:c r="C2177" s="115" t="str">
        <x:v>HLM visitables</x:v>
      </x:c>
      <x:c r="D2177" s="115" t="str">
        <x:v>Ensemble HLM mixte</x:v>
      </x:c>
      <x:c r="E2177" s="115" t="n">
        <x:v>22</x:v>
      </x:c>
      <x:c r="F2177" s="115" t="str">
        <x:v>Inspection physique</x:v>
      </x:c>
      <x:c r="G2177" s="115" t="str">
        <x:v>9 niveaux ; 344 pièces ; 2589 segments de mur ; 14 transitions. Inspection physique ; architecture complète encore ouverte.</x:v>
      </x:c>
      <x:c r="H2177" s="115" t="str">
        <x:v>L 135,25 ; l 147,1 ; hauteur 24,45 m ; choix de composition auteur ; dimensions réelles à documenter</x:v>
      </x:c>
      <x:c r="I2177" s="115" t="str">
        <x:v>À équilibrer</x:v>
      </x:c>
      <x:c r="J2177" s="115" t="str">
        <x:v>Non</x:v>
      </x:c>
      <x:c r="K2177" s="115" t="str">
        <x:v>Pièces décrites, murs, portes, niveaux et mobilier inspectables à l’échelle. Volumes réservés, raccord au seed, butin, rencontres et services de campagne restent à terminer.</x:v>
      </x:c>
    </x:row>
    <x:row r="2178" ht="96" customHeight="1">
      <x:c r="A2178" s="115" t="str">
        <x:v>EXT-MONDE-T044-V23</x:v>
      </x:c>
      <x:c r="B2178" s="115" t="str">
        <x:v>EXT-MONDE-T044</x:v>
      </x:c>
      <x:c r="C2178" s="115" t="str">
        <x:v>HLM visitables</x:v>
      </x:c>
      <x:c r="D2178" s="115" t="str">
        <x:v>Ensemble HLM mixte</x:v>
      </x:c>
      <x:c r="E2178" s="115" t="n">
        <x:v>23</x:v>
      </x:c>
      <x:c r="F2178" s="115" t="str">
        <x:v>Inspection physique</x:v>
      </x:c>
      <x:c r="G2178" s="115" t="str">
        <x:v>9 niveaux ; 344 pièces ; 2589 segments de mur ; 14 transitions. Inspection physique ; architecture complète encore ouverte.</x:v>
      </x:c>
      <x:c r="H2178" s="115" t="str">
        <x:v>L 135,5 ; l 147,96 ; hauteur 24,55 m ; choix de composition auteur ; dimensions réelles à documenter</x:v>
      </x:c>
      <x:c r="I2178" s="115" t="str">
        <x:v>À équilibrer</x:v>
      </x:c>
      <x:c r="J2178" s="115" t="str">
        <x:v>Non</x:v>
      </x:c>
      <x:c r="K2178" s="115" t="str">
        <x:v>Pièces décrites, murs, portes, niveaux et mobilier inspectables à l’échelle. Volumes réservés, raccord au seed, butin, rencontres et services de campagne restent à terminer.</x:v>
      </x:c>
    </x:row>
    <x:row r="2179" ht="96" customHeight="1">
      <x:c r="A2179" s="115" t="str">
        <x:v>EXT-MONDE-T044-V24</x:v>
      </x:c>
      <x:c r="B2179" s="115" t="str">
        <x:v>EXT-MONDE-T044</x:v>
      </x:c>
      <x:c r="C2179" s="115" t="str">
        <x:v>HLM visitables</x:v>
      </x:c>
      <x:c r="D2179" s="115" t="str">
        <x:v>Ensemble HLM mixte</x:v>
      </x:c>
      <x:c r="E2179" s="115" t="n">
        <x:v>24</x:v>
      </x:c>
      <x:c r="F2179" s="115" t="str">
        <x:v>Inspection physique</x:v>
      </x:c>
      <x:c r="G2179" s="115" t="str">
        <x:v>9 niveaux ; 344 pièces ; 2589 segments de mur ; 14 transitions. Inspection physique ; architecture complète encore ouverte.</x:v>
      </x:c>
      <x:c r="H2179" s="115" t="str">
        <x:v>L 135,75 ; l 148,82 ; hauteur 24,35 m ; choix de composition auteur ; dimensions réelles à documenter</x:v>
      </x:c>
      <x:c r="I2179" s="115" t="str">
        <x:v>À équilibrer</x:v>
      </x:c>
      <x:c r="J2179" s="115" t="str">
        <x:v>Non</x:v>
      </x:c>
      <x:c r="K2179" s="115" t="str">
        <x:v>Pièces décrites, murs, portes, niveaux et mobilier inspectables à l’échelle. Volumes réservés, raccord au seed, butin, rencontres et services de campagne restent à terminer.</x:v>
      </x:c>
    </x:row>
    <x:row r="2180" ht="96" customHeight="1">
      <x:c r="A2180" s="115" t="str">
        <x:v>EXT-MONDE-T044-V25</x:v>
      </x:c>
      <x:c r="B2180" s="115" t="str">
        <x:v>EXT-MONDE-T044</x:v>
      </x:c>
      <x:c r="C2180" s="115" t="str">
        <x:v>HLM visitables</x:v>
      </x:c>
      <x:c r="D2180" s="115" t="str">
        <x:v>Ensemble HLM mixte</x:v>
      </x:c>
      <x:c r="E2180" s="115" t="n">
        <x:v>25</x:v>
      </x:c>
      <x:c r="F2180" s="115" t="str">
        <x:v>Inspection physique</x:v>
      </x:c>
      <x:c r="G2180" s="115" t="str">
        <x:v>9 niveaux ; 344 pièces ; 2589 segments de mur ; 14 transitions. Inspection physique ; architecture complète encore ouverte.</x:v>
      </x:c>
      <x:c r="H2180" s="115" t="str">
        <x:v>L 136 ; l 149,68 ; hauteur 24,45 m ; choix de composition auteur ; dimensions réelles à documenter</x:v>
      </x:c>
      <x:c r="I2180" s="115" t="str">
        <x:v>À équilibrer</x:v>
      </x:c>
      <x:c r="J2180" s="115" t="str">
        <x:v>Non</x:v>
      </x:c>
      <x:c r="K2180" s="115" t="str">
        <x:v>Pièces décrites, murs, portes, niveaux et mobilier inspectables à l’échelle. Volumes réservés, raccord au seed, butin, rencontres et services de campagne restent à terminer.</x:v>
      </x:c>
    </x:row>
    <x:row r="2181" ht="96" customHeight="1">
      <x:c r="A2181" s="115" t="str">
        <x:v>EXT-MONDE-T044-V26</x:v>
      </x:c>
      <x:c r="B2181" s="115" t="str">
        <x:v>EXT-MONDE-T044</x:v>
      </x:c>
      <x:c r="C2181" s="115" t="str">
        <x:v>HLM visitables</x:v>
      </x:c>
      <x:c r="D2181" s="115" t="str">
        <x:v>Ensemble HLM mixte</x:v>
      </x:c>
      <x:c r="E2181" s="115" t="n">
        <x:v>26</x:v>
      </x:c>
      <x:c r="F2181" s="115" t="str">
        <x:v>Inspection physique</x:v>
      </x:c>
      <x:c r="G2181" s="115" t="str">
        <x:v>9 niveaux ; 344 pièces ; 2589 segments de mur ; 14 transitions. Inspection physique ; architecture complète encore ouverte.</x:v>
      </x:c>
      <x:c r="H2181" s="115" t="str">
        <x:v>L 136,25 ; l 149,74 ; hauteur 24,55 m ; choix de composition auteur ; dimensions réelles à documenter</x:v>
      </x:c>
      <x:c r="I2181" s="115" t="str">
        <x:v>À équilibrer</x:v>
      </x:c>
      <x:c r="J2181" s="115" t="str">
        <x:v>Non</x:v>
      </x:c>
      <x:c r="K2181" s="115" t="str">
        <x:v>Pièces décrites, murs, portes, niveaux et mobilier inspectables à l’échelle. Volumes réservés, raccord au seed, butin, rencontres et services de campagne restent à terminer.</x:v>
      </x:c>
    </x:row>
    <x:row r="2182" ht="96" customHeight="1">
      <x:c r="A2182" s="115" t="str">
        <x:v>EXT-MONDE-T044-V27</x:v>
      </x:c>
      <x:c r="B2182" s="115" t="str">
        <x:v>EXT-MONDE-T044</x:v>
      </x:c>
      <x:c r="C2182" s="115" t="str">
        <x:v>HLM visitables</x:v>
      </x:c>
      <x:c r="D2182" s="115" t="str">
        <x:v>Ensemble HLM mixte</x:v>
      </x:c>
      <x:c r="E2182" s="115" t="n">
        <x:v>27</x:v>
      </x:c>
      <x:c r="F2182" s="115" t="str">
        <x:v>Inspection physique</x:v>
      </x:c>
      <x:c r="G2182" s="115" t="str">
        <x:v>9 niveaux ; 344 pièces ; 2589 segments de mur ; 14 transitions. Inspection physique ; architecture complète encore ouverte.</x:v>
      </x:c>
      <x:c r="H2182" s="115" t="str">
        <x:v>L 136,5 ; l 150,6 ; hauteur 24,35 m ; choix de composition auteur ; dimensions réelles à documenter</x:v>
      </x:c>
      <x:c r="I2182" s="115" t="str">
        <x:v>À équilibrer</x:v>
      </x:c>
      <x:c r="J2182" s="115" t="str">
        <x:v>Non</x:v>
      </x:c>
      <x:c r="K2182" s="115" t="str">
        <x:v>Pièces décrites, murs, portes, niveaux et mobilier inspectables à l’échelle. Volumes réservés, raccord au seed, butin, rencontres et services de campagne restent à terminer.</x:v>
      </x:c>
    </x:row>
    <x:row r="2183" ht="96" customHeight="1">
      <x:c r="A2183" s="115" t="str">
        <x:v>EXT-MONDE-T044-V28</x:v>
      </x:c>
      <x:c r="B2183" s="115" t="str">
        <x:v>EXT-MONDE-T044</x:v>
      </x:c>
      <x:c r="C2183" s="115" t="str">
        <x:v>HLM visitables</x:v>
      </x:c>
      <x:c r="D2183" s="115" t="str">
        <x:v>Ensemble HLM mixte</x:v>
      </x:c>
      <x:c r="E2183" s="115" t="n">
        <x:v>28</x:v>
      </x:c>
      <x:c r="F2183" s="115" t="str">
        <x:v>Inspection physique</x:v>
      </x:c>
      <x:c r="G2183" s="115" t="str">
        <x:v>9 niveaux ; 344 pièces ; 2589 segments de mur ; 14 transitions. Inspection physique ; architecture complète encore ouverte.</x:v>
      </x:c>
      <x:c r="H2183" s="115" t="str">
        <x:v>L 136,75 ; l 151,46 ; hauteur 24,45 m ; choix de composition auteur ; dimensions réelles à documenter</x:v>
      </x:c>
      <x:c r="I2183" s="115" t="str">
        <x:v>À équilibrer</x:v>
      </x:c>
      <x:c r="J2183" s="115" t="str">
        <x:v>Non</x:v>
      </x:c>
      <x:c r="K2183" s="115" t="str">
        <x:v>Pièces décrites, murs, portes, niveaux et mobilier inspectables à l’échelle. Volumes réservés, raccord au seed, butin, rencontres et services de campagne restent à terminer.</x:v>
      </x:c>
    </x:row>
    <x:row r="2184" ht="96" customHeight="1">
      <x:c r="A2184" s="115" t="str">
        <x:v>EXT-MONDE-T044-V29</x:v>
      </x:c>
      <x:c r="B2184" s="115" t="str">
        <x:v>EXT-MONDE-T044</x:v>
      </x:c>
      <x:c r="C2184" s="115" t="str">
        <x:v>HLM visitables</x:v>
      </x:c>
      <x:c r="D2184" s="115" t="str">
        <x:v>Ensemble HLM mixte</x:v>
      </x:c>
      <x:c r="E2184" s="115" t="n">
        <x:v>29</x:v>
      </x:c>
      <x:c r="F2184" s="115" t="str">
        <x:v>Inspection physique</x:v>
      </x:c>
      <x:c r="G2184" s="115" t="str">
        <x:v>9 niveaux ; 344 pièces ; 2589 segments de mur ; 14 transitions. Inspection physique ; architecture complète encore ouverte.</x:v>
      </x:c>
      <x:c r="H2184" s="115" t="str">
        <x:v>L 137 ; l 152,32 ; hauteur 24,55 m ; choix de composition auteur ; dimensions réelles à documenter</x:v>
      </x:c>
      <x:c r="I2184" s="115" t="str">
        <x:v>À équilibrer</x:v>
      </x:c>
      <x:c r="J2184" s="115" t="str">
        <x:v>Non</x:v>
      </x:c>
      <x:c r="K2184" s="115" t="str">
        <x:v>Pièces décrites, murs, portes, niveaux et mobilier inspectables à l’échelle. Volumes réservés, raccord au seed, butin, rencontres et services de campagne restent à terminer.</x:v>
      </x:c>
    </x:row>
    <x:row r="2185" ht="96" customHeight="1">
      <x:c r="A2185" s="115" t="str">
        <x:v>EXT-MONDE-T044-V30</x:v>
      </x:c>
      <x:c r="B2185" s="115" t="str">
        <x:v>EXT-MONDE-T044</x:v>
      </x:c>
      <x:c r="C2185" s="115" t="str">
        <x:v>HLM visitables</x:v>
      </x:c>
      <x:c r="D2185" s="115" t="str">
        <x:v>Ensemble HLM mixte</x:v>
      </x:c>
      <x:c r="E2185" s="115" t="n">
        <x:v>30</x:v>
      </x:c>
      <x:c r="F2185" s="115" t="str">
        <x:v>Inspection physique</x:v>
      </x:c>
      <x:c r="G2185" s="115" t="str">
        <x:v>9 niveaux ; 344 pièces ; 2589 segments de mur ; 14 transitions. Inspection physique ; architecture complète encore ouverte.</x:v>
      </x:c>
      <x:c r="H2185" s="115" t="str">
        <x:v>L 137,25 ; l 153,18 ; hauteur 24,35 m ; choix de composition auteur ; dimensions réelles à documenter</x:v>
      </x:c>
      <x:c r="I2185" s="115" t="str">
        <x:v>À équilibrer</x:v>
      </x:c>
      <x:c r="J2185" s="115" t="str">
        <x:v>Non</x:v>
      </x:c>
      <x:c r="K2185" s="115" t="str">
        <x:v>Pièces décrites, murs, portes, niveaux et mobilier inspectables à l’échelle. Volumes réservés, raccord au seed, butin, rencontres et services de campagne restent à terminer.</x:v>
      </x:c>
    </x:row>
    <x:row r="2186" ht="96" customHeight="1">
      <x:c r="A2186" s="115" t="str">
        <x:v>EXT-MONDE-T044-V31</x:v>
      </x:c>
      <x:c r="B2186" s="115" t="str">
        <x:v>EXT-MONDE-T044</x:v>
      </x:c>
      <x:c r="C2186" s="115" t="str">
        <x:v>HLM visitables</x:v>
      </x:c>
      <x:c r="D2186" s="115" t="str">
        <x:v>Ensemble HLM mixte</x:v>
      </x:c>
      <x:c r="E2186" s="115" t="n">
        <x:v>31</x:v>
      </x:c>
      <x:c r="F2186" s="115" t="str">
        <x:v>Inspection physique</x:v>
      </x:c>
      <x:c r="G2186" s="115" t="str">
        <x:v>7 niveaux ; 248 pièces ; 1873 segments de mur ; 10 transitions. Inspection physique ; architecture complète encore ouverte.</x:v>
      </x:c>
      <x:c r="H2186" s="115" t="str">
        <x:v>L 135 ; l 146,56 ; hauteur 18,35 m ; choix de composition auteur ; dimensions réelles à documenter</x:v>
      </x:c>
      <x:c r="I2186" s="115" t="str">
        <x:v>À équilibrer</x:v>
      </x:c>
      <x:c r="J2186" s="115" t="str">
        <x:v>Non</x:v>
      </x:c>
      <x:c r="K2186" s="115" t="str">
        <x:v>Pièces décrites, murs, portes, niveaux et mobilier inspectables à l’échelle. Volumes réservés, raccord au seed, butin, rencontres et services de campagne restent à terminer.</x:v>
      </x:c>
    </x:row>
    <x:row r="2187" ht="96" customHeight="1">
      <x:c r="A2187" s="115" t="str">
        <x:v>EXT-MONDE-T044-V32</x:v>
      </x:c>
      <x:c r="B2187" s="115" t="str">
        <x:v>EXT-MONDE-T044</x:v>
      </x:c>
      <x:c r="C2187" s="115" t="str">
        <x:v>HLM visitables</x:v>
      </x:c>
      <x:c r="D2187" s="115" t="str">
        <x:v>Ensemble HLM mixte</x:v>
      </x:c>
      <x:c r="E2187" s="115" t="n">
        <x:v>32</x:v>
      </x:c>
      <x:c r="F2187" s="115" t="str">
        <x:v>Inspection physique</x:v>
      </x:c>
      <x:c r="G2187" s="115" t="str">
        <x:v>7 niveaux ; 248 pièces ; 1873 segments de mur ; 10 transitions. Inspection physique ; architecture complète encore ouverte.</x:v>
      </x:c>
      <x:c r="H2187" s="115" t="str">
        <x:v>L 135,25 ; l 147,42 ; hauteur 18,45 m ; choix de composition auteur ; dimensions réelles à documenter</x:v>
      </x:c>
      <x:c r="I2187" s="115" t="str">
        <x:v>À équilibrer</x:v>
      </x:c>
      <x:c r="J2187" s="115" t="str">
        <x:v>Non</x:v>
      </x:c>
      <x:c r="K2187" s="115" t="str">
        <x:v>Pièces décrites, murs, portes, niveaux et mobilier inspectables à l’échelle. Volumes réservés, raccord au seed, butin, rencontres et services de campagne restent à terminer.</x:v>
      </x:c>
    </x:row>
    <x:row r="2188" ht="96" customHeight="1">
      <x:c r="A2188" s="115" t="str">
        <x:v>EXT-MONDE-T044-V33</x:v>
      </x:c>
      <x:c r="B2188" s="115" t="str">
        <x:v>EXT-MONDE-T044</x:v>
      </x:c>
      <x:c r="C2188" s="115" t="str">
        <x:v>HLM visitables</x:v>
      </x:c>
      <x:c r="D2188" s="115" t="str">
        <x:v>Ensemble HLM mixte</x:v>
      </x:c>
      <x:c r="E2188" s="115" t="n">
        <x:v>33</x:v>
      </x:c>
      <x:c r="F2188" s="115" t="str">
        <x:v>Inspection physique</x:v>
      </x:c>
      <x:c r="G2188" s="115" t="str">
        <x:v>7 niveaux ; 248 pièces ; 1873 segments de mur ; 10 transitions. Inspection physique ; architecture complète encore ouverte.</x:v>
      </x:c>
      <x:c r="H2188" s="115" t="str">
        <x:v>L 135,5 ; l 148,28 ; hauteur 18,55 m ; choix de composition auteur ; dimensions réelles à documenter</x:v>
      </x:c>
      <x:c r="I2188" s="115" t="str">
        <x:v>À équilibrer</x:v>
      </x:c>
      <x:c r="J2188" s="115" t="str">
        <x:v>Non</x:v>
      </x:c>
      <x:c r="K2188" s="115" t="str">
        <x:v>Pièces décrites, murs, portes, niveaux et mobilier inspectables à l’échelle. Volumes réservés, raccord au seed, butin, rencontres et services de campagne restent à terminer.</x:v>
      </x:c>
    </x:row>
    <x:row r="2189" ht="96" customHeight="1">
      <x:c r="A2189" s="115" t="str">
        <x:v>EXT-MONDE-T044-V34</x:v>
      </x:c>
      <x:c r="B2189" s="115" t="str">
        <x:v>EXT-MONDE-T044</x:v>
      </x:c>
      <x:c r="C2189" s="115" t="str">
        <x:v>HLM visitables</x:v>
      </x:c>
      <x:c r="D2189" s="115" t="str">
        <x:v>Ensemble HLM mixte</x:v>
      </x:c>
      <x:c r="E2189" s="115" t="n">
        <x:v>34</x:v>
      </x:c>
      <x:c r="F2189" s="115" t="str">
        <x:v>Inspection physique</x:v>
      </x:c>
      <x:c r="G2189" s="115" t="str">
        <x:v>7 niveaux ; 248 pièces ; 1873 segments de mur ; 10 transitions. Inspection physique ; architecture complète encore ouverte.</x:v>
      </x:c>
      <x:c r="H2189" s="115" t="str">
        <x:v>L 135,75 ; l 149,14 ; hauteur 18,35 m ; choix de composition auteur ; dimensions réelles à documenter</x:v>
      </x:c>
      <x:c r="I2189" s="115" t="str">
        <x:v>À équilibrer</x:v>
      </x:c>
      <x:c r="J2189" s="115" t="str">
        <x:v>Non</x:v>
      </x:c>
      <x:c r="K2189" s="115" t="str">
        <x:v>Pièces décrites, murs, portes, niveaux et mobilier inspectables à l’échelle. Volumes réservés, raccord au seed, butin, rencontres et services de campagne restent à terminer.</x:v>
      </x:c>
    </x:row>
    <x:row r="2190" ht="96" customHeight="1">
      <x:c r="A2190" s="115" t="str">
        <x:v>EXT-MONDE-T044-V35</x:v>
      </x:c>
      <x:c r="B2190" s="115" t="str">
        <x:v>EXT-MONDE-T044</x:v>
      </x:c>
      <x:c r="C2190" s="115" t="str">
        <x:v>HLM visitables</x:v>
      </x:c>
      <x:c r="D2190" s="115" t="str">
        <x:v>Ensemble HLM mixte</x:v>
      </x:c>
      <x:c r="E2190" s="115" t="n">
        <x:v>35</x:v>
      </x:c>
      <x:c r="F2190" s="115" t="str">
        <x:v>Inspection physique</x:v>
      </x:c>
      <x:c r="G2190" s="115" t="str">
        <x:v>7 niveaux ; 248 pièces ; 1873 segments de mur ; 10 transitions. Inspection physique ; architecture complète encore ouverte.</x:v>
      </x:c>
      <x:c r="H2190" s="115" t="str">
        <x:v>L 136 ; l 150 ; hauteur 18,45 m ; choix de composition auteur ; dimensions réelles à documenter</x:v>
      </x:c>
      <x:c r="I2190" s="115" t="str">
        <x:v>À équilibrer</x:v>
      </x:c>
      <x:c r="J2190" s="115" t="str">
        <x:v>Non</x:v>
      </x:c>
      <x:c r="K2190" s="115" t="str">
        <x:v>Pièces décrites, murs, portes, niveaux et mobilier inspectables à l’échelle. Volumes réservés, raccord au seed, butin, rencontres et services de campagne restent à terminer.</x:v>
      </x:c>
    </x:row>
    <x:row r="2191" ht="96" customHeight="1">
      <x:c r="A2191" s="115" t="str">
        <x:v>EXT-MONDE-T044-V36</x:v>
      </x:c>
      <x:c r="B2191" s="115" t="str">
        <x:v>EXT-MONDE-T044</x:v>
      </x:c>
      <x:c r="C2191" s="115" t="str">
        <x:v>HLM visitables</x:v>
      </x:c>
      <x:c r="D2191" s="115" t="str">
        <x:v>Ensemble HLM mixte</x:v>
      </x:c>
      <x:c r="E2191" s="115" t="n">
        <x:v>36</x:v>
      </x:c>
      <x:c r="F2191" s="115" t="str">
        <x:v>Inspection physique</x:v>
      </x:c>
      <x:c r="G2191" s="115" t="str">
        <x:v>7 niveaux ; 248 pièces ; 1873 segments de mur ; 10 transitions. Inspection physique ; architecture complète encore ouverte.</x:v>
      </x:c>
      <x:c r="H2191" s="115" t="str">
        <x:v>L 136,25 ; l 150,06 ; hauteur 18,55 m ; choix de composition auteur ; dimensions réelles à documenter</x:v>
      </x:c>
      <x:c r="I2191" s="115" t="str">
        <x:v>À équilibrer</x:v>
      </x:c>
      <x:c r="J2191" s="115" t="str">
        <x:v>Non</x:v>
      </x:c>
      <x:c r="K2191" s="115" t="str">
        <x:v>Pièces décrites, murs, portes, niveaux et mobilier inspectables à l’échelle. Volumes réservés, raccord au seed, butin, rencontres et services de campagne restent à terminer.</x:v>
      </x:c>
    </x:row>
    <x:row r="2192" ht="96" customHeight="1">
      <x:c r="A2192" s="115" t="str">
        <x:v>EXT-MONDE-T044-V37</x:v>
      </x:c>
      <x:c r="B2192" s="115" t="str">
        <x:v>EXT-MONDE-T044</x:v>
      </x:c>
      <x:c r="C2192" s="115" t="str">
        <x:v>HLM visitables</x:v>
      </x:c>
      <x:c r="D2192" s="115" t="str">
        <x:v>Ensemble HLM mixte</x:v>
      </x:c>
      <x:c r="E2192" s="115" t="n">
        <x:v>37</x:v>
      </x:c>
      <x:c r="F2192" s="115" t="str">
        <x:v>Inspection physique</x:v>
      </x:c>
      <x:c r="G2192" s="115" t="str">
        <x:v>7 niveaux ; 248 pièces ; 1873 segments de mur ; 10 transitions. Inspection physique ; architecture complète encore ouverte.</x:v>
      </x:c>
      <x:c r="H2192" s="115" t="str">
        <x:v>L 136,5 ; l 150,92 ; hauteur 18,35 m ; choix de composition auteur ; dimensions réelles à documenter</x:v>
      </x:c>
      <x:c r="I2192" s="115" t="str">
        <x:v>À équilibrer</x:v>
      </x:c>
      <x:c r="J2192" s="115" t="str">
        <x:v>Non</x:v>
      </x:c>
      <x:c r="K2192" s="115" t="str">
        <x:v>Pièces décrites, murs, portes, niveaux et mobilier inspectables à l’échelle. Volumes réservés, raccord au seed, butin, rencontres et services de campagne restent à terminer.</x:v>
      </x:c>
    </x:row>
    <x:row r="2193" ht="96" customHeight="1">
      <x:c r="A2193" s="115" t="str">
        <x:v>EXT-MONDE-T044-V38</x:v>
      </x:c>
      <x:c r="B2193" s="115" t="str">
        <x:v>EXT-MONDE-T044</x:v>
      </x:c>
      <x:c r="C2193" s="115" t="str">
        <x:v>HLM visitables</x:v>
      </x:c>
      <x:c r="D2193" s="115" t="str">
        <x:v>Ensemble HLM mixte</x:v>
      </x:c>
      <x:c r="E2193" s="115" t="n">
        <x:v>38</x:v>
      </x:c>
      <x:c r="F2193" s="115" t="str">
        <x:v>Inspection physique</x:v>
      </x:c>
      <x:c r="G2193" s="115" t="str">
        <x:v>7 niveaux ; 248 pièces ; 1873 segments de mur ; 10 transitions. Inspection physique ; architecture complète encore ouverte.</x:v>
      </x:c>
      <x:c r="H2193" s="115" t="str">
        <x:v>L 136,75 ; l 151,78 ; hauteur 18,45 m ; choix de composition auteur ; dimensions réelles à documenter</x:v>
      </x:c>
      <x:c r="I2193" s="115" t="str">
        <x:v>À équilibrer</x:v>
      </x:c>
      <x:c r="J2193" s="115" t="str">
        <x:v>Non</x:v>
      </x:c>
      <x:c r="K2193" s="115" t="str">
        <x:v>Pièces décrites, murs, portes, niveaux et mobilier inspectables à l’échelle. Volumes réservés, raccord au seed, butin, rencontres et services de campagne restent à terminer.</x:v>
      </x:c>
    </x:row>
    <x:row r="2194" ht="96" customHeight="1">
      <x:c r="A2194" s="115" t="str">
        <x:v>EXT-MONDE-T044-V39</x:v>
      </x:c>
      <x:c r="B2194" s="115" t="str">
        <x:v>EXT-MONDE-T044</x:v>
      </x:c>
      <x:c r="C2194" s="115" t="str">
        <x:v>HLM visitables</x:v>
      </x:c>
      <x:c r="D2194" s="115" t="str">
        <x:v>Ensemble HLM mixte</x:v>
      </x:c>
      <x:c r="E2194" s="115" t="n">
        <x:v>39</x:v>
      </x:c>
      <x:c r="F2194" s="115" t="str">
        <x:v>Inspection physique</x:v>
      </x:c>
      <x:c r="G2194" s="115" t="str">
        <x:v>7 niveaux ; 248 pièces ; 1873 segments de mur ; 10 transitions. Inspection physique ; architecture complète encore ouverte.</x:v>
      </x:c>
      <x:c r="H2194" s="115" t="str">
        <x:v>L 137 ; l 152,64 ; hauteur 18,55 m ; choix de composition auteur ; dimensions réelles à documenter</x:v>
      </x:c>
      <x:c r="I2194" s="115" t="str">
        <x:v>À équilibrer</x:v>
      </x:c>
      <x:c r="J2194" s="115" t="str">
        <x:v>Non</x:v>
      </x:c>
      <x:c r="K2194" s="115" t="str">
        <x:v>Pièces décrites, murs, portes, niveaux et mobilier inspectables à l’échelle. Volumes réservés, raccord au seed, butin, rencontres et services de campagne restent à terminer.</x:v>
      </x:c>
    </x:row>
    <x:row r="2195" ht="96" customHeight="1">
      <x:c r="A2195" s="115" t="str">
        <x:v>EXT-MONDE-T044-V40</x:v>
      </x:c>
      <x:c r="B2195" s="115" t="str">
        <x:v>EXT-MONDE-T044</x:v>
      </x:c>
      <x:c r="C2195" s="115" t="str">
        <x:v>HLM visitables</x:v>
      </x:c>
      <x:c r="D2195" s="115" t="str">
        <x:v>Ensemble HLM mixte</x:v>
      </x:c>
      <x:c r="E2195" s="115" t="n">
        <x:v>40</x:v>
      </x:c>
      <x:c r="F2195" s="115" t="str">
        <x:v>Inspection physique</x:v>
      </x:c>
      <x:c r="G2195" s="115" t="str">
        <x:v>7 niveaux ; 248 pièces ; 1873 segments de mur ; 10 transitions. Inspection physique ; architecture complète encore ouverte.</x:v>
      </x:c>
      <x:c r="H2195" s="115" t="str">
        <x:v>L 137,25 ; l 153,5 ; hauteur 18,35 m ; choix de composition auteur ; dimensions réelles à documenter</x:v>
      </x:c>
      <x:c r="I2195" s="115" t="str">
        <x:v>À équilibrer</x:v>
      </x:c>
      <x:c r="J2195" s="115" t="str">
        <x:v>Non</x:v>
      </x:c>
      <x:c r="K2195" s="115" t="str">
        <x:v>Pièces décrites, murs, portes, niveaux et mobilier inspectables à l’échelle. Volumes réservés, raccord au seed, butin, rencontres et services de campagne restent à terminer.</x:v>
      </x:c>
    </x:row>
    <x:row r="2196" ht="96" customHeight="1">
      <x:c r="A2196" s="115" t="str">
        <x:v>EXT-MONDE-T044-V41</x:v>
      </x:c>
      <x:c r="B2196" s="115" t="str">
        <x:v>EXT-MONDE-T044</x:v>
      </x:c>
      <x:c r="C2196" s="115" t="str">
        <x:v>HLM visitables</x:v>
      </x:c>
      <x:c r="D2196" s="115" t="str">
        <x:v>Ensemble HLM mixte</x:v>
      </x:c>
      <x:c r="E2196" s="115" t="n">
        <x:v>41</x:v>
      </x:c>
      <x:c r="F2196" s="115" t="str">
        <x:v>Inspection physique</x:v>
      </x:c>
      <x:c r="G2196" s="115" t="str">
        <x:v>8 niveaux ; 296 pièces ; 2231 segments de mur ; 12 transitions. Inspection physique ; architecture complète encore ouverte.</x:v>
      </x:c>
      <x:c r="H2196" s="115" t="str">
        <x:v>L 135 ; l 146,88 ; hauteur 21,35 m ; choix de composition auteur ; dimensions réelles à documenter</x:v>
      </x:c>
      <x:c r="I2196" s="115" t="str">
        <x:v>À équilibrer</x:v>
      </x:c>
      <x:c r="J2196" s="115" t="str">
        <x:v>Non</x:v>
      </x:c>
      <x:c r="K2196" s="115" t="str">
        <x:v>Pièces décrites, murs, portes, niveaux et mobilier inspectables à l’échelle. Volumes réservés, raccord au seed, butin, rencontres et services de campagne restent à terminer.</x:v>
      </x:c>
    </x:row>
    <x:row r="2197" ht="96" customHeight="1">
      <x:c r="A2197" s="115" t="str">
        <x:v>EXT-MONDE-T044-V42</x:v>
      </x:c>
      <x:c r="B2197" s="115" t="str">
        <x:v>EXT-MONDE-T044</x:v>
      </x:c>
      <x:c r="C2197" s="115" t="str">
        <x:v>HLM visitables</x:v>
      </x:c>
      <x:c r="D2197" s="115" t="str">
        <x:v>Ensemble HLM mixte</x:v>
      </x:c>
      <x:c r="E2197" s="115" t="n">
        <x:v>42</x:v>
      </x:c>
      <x:c r="F2197" s="115" t="str">
        <x:v>Inspection physique</x:v>
      </x:c>
      <x:c r="G2197" s="115" t="str">
        <x:v>8 niveaux ; 296 pièces ; 2231 segments de mur ; 12 transitions. Inspection physique ; architecture complète encore ouverte.</x:v>
      </x:c>
      <x:c r="H2197" s="115" t="str">
        <x:v>L 135,25 ; l 147,74 ; hauteur 21,45 m ; choix de composition auteur ; dimensions réelles à documenter</x:v>
      </x:c>
      <x:c r="I2197" s="115" t="str">
        <x:v>À équilibrer</x:v>
      </x:c>
      <x:c r="J2197" s="115" t="str">
        <x:v>Non</x:v>
      </x:c>
      <x:c r="K2197" s="115" t="str">
        <x:v>Pièces décrites, murs, portes, niveaux et mobilier inspectables à l’échelle. Volumes réservés, raccord au seed, butin, rencontres et services de campagne restent à terminer.</x:v>
      </x:c>
    </x:row>
    <x:row r="2198" ht="96" customHeight="1">
      <x:c r="A2198" s="115" t="str">
        <x:v>EXT-MONDE-T044-V43</x:v>
      </x:c>
      <x:c r="B2198" s="115" t="str">
        <x:v>EXT-MONDE-T044</x:v>
      </x:c>
      <x:c r="C2198" s="115" t="str">
        <x:v>HLM visitables</x:v>
      </x:c>
      <x:c r="D2198" s="115" t="str">
        <x:v>Ensemble HLM mixte</x:v>
      </x:c>
      <x:c r="E2198" s="115" t="n">
        <x:v>43</x:v>
      </x:c>
      <x:c r="F2198" s="115" t="str">
        <x:v>Inspection physique</x:v>
      </x:c>
      <x:c r="G2198" s="115" t="str">
        <x:v>8 niveaux ; 296 pièces ; 2231 segments de mur ; 12 transitions. Inspection physique ; architecture complète encore ouverte.</x:v>
      </x:c>
      <x:c r="H2198" s="115" t="str">
        <x:v>L 135,5 ; l 148,6 ; hauteur 21,55 m ; choix de composition auteur ; dimensions réelles à documenter</x:v>
      </x:c>
      <x:c r="I2198" s="115" t="str">
        <x:v>À équilibrer</x:v>
      </x:c>
      <x:c r="J2198" s="115" t="str">
        <x:v>Non</x:v>
      </x:c>
      <x:c r="K2198" s="115" t="str">
        <x:v>Pièces décrites, murs, portes, niveaux et mobilier inspectables à l’échelle. Volumes réservés, raccord au seed, butin, rencontres et services de campagne restent à terminer.</x:v>
      </x:c>
    </x:row>
    <x:row r="2199" ht="96" customHeight="1">
      <x:c r="A2199" s="115" t="str">
        <x:v>EXT-MONDE-T044-V44</x:v>
      </x:c>
      <x:c r="B2199" s="115" t="str">
        <x:v>EXT-MONDE-T044</x:v>
      </x:c>
      <x:c r="C2199" s="115" t="str">
        <x:v>HLM visitables</x:v>
      </x:c>
      <x:c r="D2199" s="115" t="str">
        <x:v>Ensemble HLM mixte</x:v>
      </x:c>
      <x:c r="E2199" s="115" t="n">
        <x:v>44</x:v>
      </x:c>
      <x:c r="F2199" s="115" t="str">
        <x:v>Inspection physique</x:v>
      </x:c>
      <x:c r="G2199" s="115" t="str">
        <x:v>8 niveaux ; 296 pièces ; 2231 segments de mur ; 12 transitions. Inspection physique ; architecture complète encore ouverte.</x:v>
      </x:c>
      <x:c r="H2199" s="115" t="str">
        <x:v>L 135,75 ; l 149,46 ; hauteur 21,35 m ; choix de composition auteur ; dimensions réelles à documenter</x:v>
      </x:c>
      <x:c r="I2199" s="115" t="str">
        <x:v>À équilibrer</x:v>
      </x:c>
      <x:c r="J2199" s="115" t="str">
        <x:v>Non</x:v>
      </x:c>
      <x:c r="K2199" s="115" t="str">
        <x:v>Pièces décrites, murs, portes, niveaux et mobilier inspectables à l’échelle. Volumes réservés, raccord au seed, butin, rencontres et services de campagne restent à terminer.</x:v>
      </x:c>
    </x:row>
    <x:row r="2200" ht="96" customHeight="1">
      <x:c r="A2200" s="115" t="str">
        <x:v>EXT-MONDE-T044-V45</x:v>
      </x:c>
      <x:c r="B2200" s="115" t="str">
        <x:v>EXT-MONDE-T044</x:v>
      </x:c>
      <x:c r="C2200" s="115" t="str">
        <x:v>HLM visitables</x:v>
      </x:c>
      <x:c r="D2200" s="115" t="str">
        <x:v>Ensemble HLM mixte</x:v>
      </x:c>
      <x:c r="E2200" s="115" t="n">
        <x:v>45</x:v>
      </x:c>
      <x:c r="F2200" s="115" t="str">
        <x:v>Inspection physique</x:v>
      </x:c>
      <x:c r="G2200" s="115" t="str">
        <x:v>8 niveaux ; 296 pièces ; 2231 segments de mur ; 12 transitions. Inspection physique ; architecture complète encore ouverte.</x:v>
      </x:c>
      <x:c r="H2200" s="115" t="str">
        <x:v>L 136 ; l 150,32 ; hauteur 21,45 m ; choix de composition auteur ; dimensions réelles à documenter</x:v>
      </x:c>
      <x:c r="I2200" s="115" t="str">
        <x:v>À équilibrer</x:v>
      </x:c>
      <x:c r="J2200" s="115" t="str">
        <x:v>Non</x:v>
      </x:c>
      <x:c r="K2200" s="115" t="str">
        <x:v>Pièces décrites, murs, portes, niveaux et mobilier inspectables à l’échelle. Volumes réservés, raccord au seed, butin, rencontres et services de campagne restent à terminer.</x:v>
      </x:c>
    </x:row>
    <x:row r="2201" ht="96" customHeight="1">
      <x:c r="A2201" s="115" t="str">
        <x:v>EXT-MONDE-T044-V46</x:v>
      </x:c>
      <x:c r="B2201" s="115" t="str">
        <x:v>EXT-MONDE-T044</x:v>
      </x:c>
      <x:c r="C2201" s="115" t="str">
        <x:v>HLM visitables</x:v>
      </x:c>
      <x:c r="D2201" s="115" t="str">
        <x:v>Ensemble HLM mixte</x:v>
      </x:c>
      <x:c r="E2201" s="115" t="n">
        <x:v>46</x:v>
      </x:c>
      <x:c r="F2201" s="115" t="str">
        <x:v>Inspection physique</x:v>
      </x:c>
      <x:c r="G2201" s="115" t="str">
        <x:v>8 niveaux ; 296 pièces ; 2231 segments de mur ; 12 transitions. Inspection physique ; architecture complète encore ouverte.</x:v>
      </x:c>
      <x:c r="H2201" s="115" t="str">
        <x:v>L 136,25 ; l 150,38 ; hauteur 21,55 m ; choix de composition auteur ; dimensions réelles à documenter</x:v>
      </x:c>
      <x:c r="I2201" s="115" t="str">
        <x:v>À équilibrer</x:v>
      </x:c>
      <x:c r="J2201" s="115" t="str">
        <x:v>Non</x:v>
      </x:c>
      <x:c r="K2201" s="115" t="str">
        <x:v>Pièces décrites, murs, portes, niveaux et mobilier inspectables à l’échelle. Volumes réservés, raccord au seed, butin, rencontres et services de campagne restent à terminer.</x:v>
      </x:c>
    </x:row>
    <x:row r="2202" ht="96" customHeight="1">
      <x:c r="A2202" s="115" t="str">
        <x:v>EXT-MONDE-T044-V47</x:v>
      </x:c>
      <x:c r="B2202" s="115" t="str">
        <x:v>EXT-MONDE-T044</x:v>
      </x:c>
      <x:c r="C2202" s="115" t="str">
        <x:v>HLM visitables</x:v>
      </x:c>
      <x:c r="D2202" s="115" t="str">
        <x:v>Ensemble HLM mixte</x:v>
      </x:c>
      <x:c r="E2202" s="115" t="n">
        <x:v>47</x:v>
      </x:c>
      <x:c r="F2202" s="115" t="str">
        <x:v>Inspection physique</x:v>
      </x:c>
      <x:c r="G2202" s="115" t="str">
        <x:v>8 niveaux ; 296 pièces ; 2231 segments de mur ; 12 transitions. Inspection physique ; architecture complète encore ouverte.</x:v>
      </x:c>
      <x:c r="H2202" s="115" t="str">
        <x:v>L 136,5 ; l 151,24 ; hauteur 21,35 m ; choix de composition auteur ; dimensions réelles à documenter</x:v>
      </x:c>
      <x:c r="I2202" s="115" t="str">
        <x:v>À équilibrer</x:v>
      </x:c>
      <x:c r="J2202" s="115" t="str">
        <x:v>Non</x:v>
      </x:c>
      <x:c r="K2202" s="115" t="str">
        <x:v>Pièces décrites, murs, portes, niveaux et mobilier inspectables à l’échelle. Volumes réservés, raccord au seed, butin, rencontres et services de campagne restent à terminer.</x:v>
      </x:c>
    </x:row>
    <x:row r="2203" ht="96" customHeight="1">
      <x:c r="A2203" s="115" t="str">
        <x:v>EXT-MONDE-T044-V48</x:v>
      </x:c>
      <x:c r="B2203" s="115" t="str">
        <x:v>EXT-MONDE-T044</x:v>
      </x:c>
      <x:c r="C2203" s="115" t="str">
        <x:v>HLM visitables</x:v>
      </x:c>
      <x:c r="D2203" s="115" t="str">
        <x:v>Ensemble HLM mixte</x:v>
      </x:c>
      <x:c r="E2203" s="115" t="n">
        <x:v>48</x:v>
      </x:c>
      <x:c r="F2203" s="115" t="str">
        <x:v>Inspection physique</x:v>
      </x:c>
      <x:c r="G2203" s="115" t="str">
        <x:v>8 niveaux ; 296 pièces ; 2231 segments de mur ; 12 transitions. Inspection physique ; architecture complète encore ouverte.</x:v>
      </x:c>
      <x:c r="H2203" s="115" t="str">
        <x:v>L 136,75 ; l 152,1 ; hauteur 21,45 m ; choix de composition auteur ; dimensions réelles à documenter</x:v>
      </x:c>
      <x:c r="I2203" s="115" t="str">
        <x:v>À équilibrer</x:v>
      </x:c>
      <x:c r="J2203" s="115" t="str">
        <x:v>Non</x:v>
      </x:c>
      <x:c r="K2203" s="115" t="str">
        <x:v>Pièces décrites, murs, portes, niveaux et mobilier inspectables à l’échelle. Volumes réservés, raccord au seed, butin, rencontres et services de campagne restent à terminer.</x:v>
      </x:c>
    </x:row>
    <x:row r="2204" ht="96" customHeight="1">
      <x:c r="A2204" s="115" t="str">
        <x:v>EXT-MONDE-T044-V49</x:v>
      </x:c>
      <x:c r="B2204" s="115" t="str">
        <x:v>EXT-MONDE-T044</x:v>
      </x:c>
      <x:c r="C2204" s="115" t="str">
        <x:v>HLM visitables</x:v>
      </x:c>
      <x:c r="D2204" s="115" t="str">
        <x:v>Ensemble HLM mixte</x:v>
      </x:c>
      <x:c r="E2204" s="115" t="n">
        <x:v>49</x:v>
      </x:c>
      <x:c r="F2204" s="115" t="str">
        <x:v>Inspection physique</x:v>
      </x:c>
      <x:c r="G2204" s="115" t="str">
        <x:v>8 niveaux ; 296 pièces ; 2231 segments de mur ; 12 transitions. Inspection physique ; architecture complète encore ouverte.</x:v>
      </x:c>
      <x:c r="H2204" s="115" t="str">
        <x:v>L 137 ; l 152,96 ; hauteur 21,55 m ; choix de composition auteur ; dimensions réelles à documenter</x:v>
      </x:c>
      <x:c r="I2204" s="115" t="str">
        <x:v>À équilibrer</x:v>
      </x:c>
      <x:c r="J2204" s="115" t="str">
        <x:v>Non</x:v>
      </x:c>
      <x:c r="K2204" s="115" t="str">
        <x:v>Pièces décrites, murs, portes, niveaux et mobilier inspectables à l’échelle. Volumes réservés, raccord au seed, butin, rencontres et services de campagne restent à terminer.</x:v>
      </x:c>
    </x:row>
    <x:row r="2205" ht="96" customHeight="1">
      <x:c r="A2205" s="115" t="str">
        <x:v>EXT-MONDE-T044-V50</x:v>
      </x:c>
      <x:c r="B2205" s="115" t="str">
        <x:v>EXT-MONDE-T044</x:v>
      </x:c>
      <x:c r="C2205" s="115" t="str">
        <x:v>HLM visitables</x:v>
      </x:c>
      <x:c r="D2205" s="115" t="str">
        <x:v>Ensemble HLM mixte</x:v>
      </x:c>
      <x:c r="E2205" s="115" t="n">
        <x:v>50</x:v>
      </x:c>
      <x:c r="F2205" s="115" t="str">
        <x:v>Inspection physique</x:v>
      </x:c>
      <x:c r="G2205" s="115" t="str">
        <x:v>8 niveaux ; 296 pièces ; 2231 segments de mur ; 12 transitions. Inspection physique ; architecture complète encore ouverte.</x:v>
      </x:c>
      <x:c r="H2205" s="115" t="str">
        <x:v>L 137,25 ; l 153,82 ; hauteur 21,35 m ; choix de composition auteur ; dimensions réelles à documenter</x:v>
      </x:c>
      <x:c r="I2205" s="115" t="str">
        <x:v>À équilibrer</x:v>
      </x:c>
      <x:c r="J2205" s="115" t="str">
        <x:v>Non</x:v>
      </x:c>
      <x:c r="K2205" s="115" t="str">
        <x:v>Pièces décrites, murs, portes, niveaux et mobilier inspectables à l’échelle. Volumes réservés, raccord au seed, butin, rencontres et services de campagne restent à terminer.</x:v>
      </x:c>
    </x:row>
    <x:row r="2206" ht="96" customHeight="1">
      <x:c r="A2206" s="115" t="str">
        <x:v>EXT-MONDE-T045-V01</x:v>
      </x:c>
      <x:c r="B2206" s="115" t="str">
        <x:v>EXT-MONDE-T045</x:v>
      </x:c>
      <x:c r="C2206" s="115" t="str">
        <x:v>Trailer parks</x:v>
      </x:c>
      <x:c r="D2206" s="115" t="str">
        <x:v>Parc résidentiel de mobil-homes</x:v>
      </x:c>
      <x:c r="E2206" s="115" t="n">
        <x:v>1</x:v>
      </x:c>
      <x:c r="F2206" s="115" t="str">
        <x:v>Inspection physique</x:v>
      </x:c>
      <x:c r="G2206" s="115" t="str">
        <x:v>1 niveaux ; 36 pièces ; 265 segments de mur ; 0 transitions. Inspection physique ; architecture complète encore ouverte.</x:v>
      </x:c>
      <x:c r="H2206" s="115" t="str">
        <x:v>L 122 ; l 118 ; hauteur 3,2 m ; choix de composition auteur ; dimensions réelles à documenter</x:v>
      </x:c>
      <x:c r="I2206" s="115" t="str">
        <x:v>À équilibrer</x:v>
      </x:c>
      <x:c r="J2206" s="115" t="str">
        <x:v>Non</x:v>
      </x:c>
      <x:c r="K2206" s="115" t="str">
        <x:v>Pièces décrites, murs, portes, niveaux et mobilier inspectables à l’échelle. Volumes réservés, raccord au seed, butin, rencontres et services de campagne restent à terminer.</x:v>
      </x:c>
    </x:row>
    <x:row r="2207" ht="96" customHeight="1">
      <x:c r="A2207" s="115" t="str">
        <x:v>EXT-MONDE-T045-V02</x:v>
      </x:c>
      <x:c r="B2207" s="115" t="str">
        <x:v>EXT-MONDE-T045</x:v>
      </x:c>
      <x:c r="C2207" s="115" t="str">
        <x:v>Trailer parks</x:v>
      </x:c>
      <x:c r="D2207" s="115" t="str">
        <x:v>Parc résidentiel de mobil-homes</x:v>
      </x:c>
      <x:c r="E2207" s="115" t="n">
        <x:v>2</x:v>
      </x:c>
      <x:c r="F2207" s="115" t="str">
        <x:v>Inspection physique</x:v>
      </x:c>
      <x:c r="G2207" s="115" t="str">
        <x:v>1 niveaux ; 48 pièces ; 351 segments de mur ; 0 transitions. Inspection physique ; architecture complète encore ouverte.</x:v>
      </x:c>
      <x:c r="H2207" s="115" t="str">
        <x:v>L 122 ; l 118 ; hauteur 3,2 m ; choix de composition auteur ; dimensions réelles à documenter</x:v>
      </x:c>
      <x:c r="I2207" s="115" t="str">
        <x:v>À équilibrer</x:v>
      </x:c>
      <x:c r="J2207" s="115" t="str">
        <x:v>Non</x:v>
      </x:c>
      <x:c r="K2207" s="115" t="str">
        <x:v>Pièces décrites, murs, portes, niveaux et mobilier inspectables à l’échelle. Volumes réservés, raccord au seed, butin, rencontres et services de campagne restent à terminer.</x:v>
      </x:c>
    </x:row>
    <x:row r="2208" ht="96" customHeight="1">
      <x:c r="A2208" s="115" t="str">
        <x:v>EXT-MONDE-T045-V03</x:v>
      </x:c>
      <x:c r="B2208" s="115" t="str">
        <x:v>EXT-MONDE-T045</x:v>
      </x:c>
      <x:c r="C2208" s="115" t="str">
        <x:v>Trailer parks</x:v>
      </x:c>
      <x:c r="D2208" s="115" t="str">
        <x:v>Parc résidentiel de mobil-homes</x:v>
      </x:c>
      <x:c r="E2208" s="115" t="n">
        <x:v>3</x:v>
      </x:c>
      <x:c r="F2208" s="115" t="str">
        <x:v>Inspection physique</x:v>
      </x:c>
      <x:c r="G2208" s="115" t="str">
        <x:v>1 niveaux ; 60 pièces ; 437 segments de mur ; 0 transitions. Inspection physique ; architecture complète encore ouverte.</x:v>
      </x:c>
      <x:c r="H2208" s="115" t="str">
        <x:v>L 122 ; l 138 ; hauteur 3,2 m ; choix de composition auteur ; dimensions réelles à documenter</x:v>
      </x:c>
      <x:c r="I2208" s="115" t="str">
        <x:v>À équilibrer</x:v>
      </x:c>
      <x:c r="J2208" s="115" t="str">
        <x:v>Non</x:v>
      </x:c>
      <x:c r="K2208" s="115" t="str">
        <x:v>Pièces décrites, murs, portes, niveaux et mobilier inspectables à l’échelle. Volumes réservés, raccord au seed, butin, rencontres et services de campagne restent à terminer.</x:v>
      </x:c>
    </x:row>
    <x:row r="2209" ht="96" customHeight="1">
      <x:c r="A2209" s="115" t="str">
        <x:v>EXT-MONDE-T045-V04</x:v>
      </x:c>
      <x:c r="B2209" s="115" t="str">
        <x:v>EXT-MONDE-T045</x:v>
      </x:c>
      <x:c r="C2209" s="115" t="str">
        <x:v>Trailer parks</x:v>
      </x:c>
      <x:c r="D2209" s="115" t="str">
        <x:v>Parc résidentiel de mobil-homes</x:v>
      </x:c>
      <x:c r="E2209" s="115" t="n">
        <x:v>4</x:v>
      </x:c>
      <x:c r="F2209" s="115" t="str">
        <x:v>Inspection physique</x:v>
      </x:c>
      <x:c r="G2209" s="115" t="str">
        <x:v>1 niveaux ; 30 pièces ; 222 segments de mur ; 0 transitions. Inspection physique ; architecture complète encore ouverte.</x:v>
      </x:c>
      <x:c r="H2209" s="115" t="str">
        <x:v>L 84 ; l 118 ; hauteur 3,2 m ; choix de composition auteur ; dimensions réelles à documenter</x:v>
      </x:c>
      <x:c r="I2209" s="115" t="str">
        <x:v>À équilibrer</x:v>
      </x:c>
      <x:c r="J2209" s="115" t="str">
        <x:v>Non</x:v>
      </x:c>
      <x:c r="K2209" s="115" t="str">
        <x:v>Pièces décrites, murs, portes, niveaux et mobilier inspectables à l’échelle. Volumes réservés, raccord au seed, butin, rencontres et services de campagne restent à terminer.</x:v>
      </x:c>
    </x:row>
    <x:row r="2210" ht="96" customHeight="1">
      <x:c r="A2210" s="115" t="str">
        <x:v>EXT-MONDE-T045-V05</x:v>
      </x:c>
      <x:c r="B2210" s="115" t="str">
        <x:v>EXT-MONDE-T045</x:v>
      </x:c>
      <x:c r="C2210" s="115" t="str">
        <x:v>Trailer parks</x:v>
      </x:c>
      <x:c r="D2210" s="115" t="str">
        <x:v>Parc résidentiel de mobil-homes</x:v>
      </x:c>
      <x:c r="E2210" s="115" t="n">
        <x:v>5</x:v>
      </x:c>
      <x:c r="F2210" s="115" t="str">
        <x:v>Inspection physique</x:v>
      </x:c>
      <x:c r="G2210" s="115" t="str">
        <x:v>1 niveaux ; 36 pièces ; 265 segments de mur ; 0 transitions. Inspection physique ; architecture complète encore ouverte.</x:v>
      </x:c>
      <x:c r="H2210" s="115" t="str">
        <x:v>L 84 ; l 138 ; hauteur 3,2 m ; choix de composition auteur ; dimensions réelles à documenter</x:v>
      </x:c>
      <x:c r="I2210" s="115" t="str">
        <x:v>À équilibrer</x:v>
      </x:c>
      <x:c r="J2210" s="115" t="str">
        <x:v>Non</x:v>
      </x:c>
      <x:c r="K2210" s="115" t="str">
        <x:v>Pièces décrites, murs, portes, niveaux et mobilier inspectables à l’échelle. Volumes réservés, raccord au seed, butin, rencontres et services de campagne restent à terminer.</x:v>
      </x:c>
    </x:row>
    <x:row r="2211" ht="96" customHeight="1">
      <x:c r="A2211" s="115" t="str">
        <x:v>EXT-MONDE-T045-V06</x:v>
      </x:c>
      <x:c r="B2211" s="115" t="str">
        <x:v>EXT-MONDE-T045</x:v>
      </x:c>
      <x:c r="C2211" s="115" t="str">
        <x:v>Trailer parks</x:v>
      </x:c>
      <x:c r="D2211" s="115" t="str">
        <x:v>Parc résidentiel de mobil-homes</x:v>
      </x:c>
      <x:c r="E2211" s="115" t="n">
        <x:v>6</x:v>
      </x:c>
      <x:c r="F2211" s="115" t="str">
        <x:v>Inspection physique</x:v>
      </x:c>
      <x:c r="G2211" s="115" t="str">
        <x:v>1 niveaux ; 48 pièces ; 351 segments de mur ; 0 transitions. Inspection physique ; architecture complète encore ouverte.</x:v>
      </x:c>
      <x:c r="H2211" s="115" t="str">
        <x:v>L 160 ; l 118 ; hauteur 3,2 m ; choix de composition auteur ; dimensions réelles à documenter</x:v>
      </x:c>
      <x:c r="I2211" s="115" t="str">
        <x:v>À équilibrer</x:v>
      </x:c>
      <x:c r="J2211" s="115" t="str">
        <x:v>Non</x:v>
      </x:c>
      <x:c r="K2211" s="115" t="str">
        <x:v>Pièces décrites, murs, portes, niveaux et mobilier inspectables à l’échelle. Volumes réservés, raccord au seed, butin, rencontres et services de campagne restent à terminer.</x:v>
      </x:c>
    </x:row>
    <x:row r="2212" ht="96" customHeight="1">
      <x:c r="A2212" s="115" t="str">
        <x:v>EXT-MONDE-T045-V07</x:v>
      </x:c>
      <x:c r="B2212" s="115" t="str">
        <x:v>EXT-MONDE-T045</x:v>
      </x:c>
      <x:c r="C2212" s="115" t="str">
        <x:v>Trailer parks</x:v>
      </x:c>
      <x:c r="D2212" s="115" t="str">
        <x:v>Parc résidentiel de mobil-homes</x:v>
      </x:c>
      <x:c r="E2212" s="115" t="n">
        <x:v>7</x:v>
      </x:c>
      <x:c r="F2212" s="115" t="str">
        <x:v>Inspection physique</x:v>
      </x:c>
      <x:c r="G2212" s="115" t="str">
        <x:v>1 niveaux ; 66 pièces ; 480 segments de mur ; 0 transitions. Inspection physique ; architecture complète encore ouverte.</x:v>
      </x:c>
      <x:c r="H2212" s="115" t="str">
        <x:v>L 160 ; l 118 ; hauteur 3,2 m ; choix de composition auteur ; dimensions réelles à documenter</x:v>
      </x:c>
      <x:c r="I2212" s="115" t="str">
        <x:v>À équilibrer</x:v>
      </x:c>
      <x:c r="J2212" s="115" t="str">
        <x:v>Non</x:v>
      </x:c>
      <x:c r="K2212" s="115" t="str">
        <x:v>Pièces décrites, murs, portes, niveaux et mobilier inspectables à l’échelle. Volumes réservés, raccord au seed, butin, rencontres et services de campagne restent à terminer.</x:v>
      </x:c>
    </x:row>
    <x:row r="2213" ht="96" customHeight="1">
      <x:c r="A2213" s="115" t="str">
        <x:v>EXT-MONDE-T045-V08</x:v>
      </x:c>
      <x:c r="B2213" s="115" t="str">
        <x:v>EXT-MONDE-T045</x:v>
      </x:c>
      <x:c r="C2213" s="115" t="str">
        <x:v>Trailer parks</x:v>
      </x:c>
      <x:c r="D2213" s="115" t="str">
        <x:v>Parc résidentiel de mobil-homes</x:v>
      </x:c>
      <x:c r="E2213" s="115" t="n">
        <x:v>8</x:v>
      </x:c>
      <x:c r="F2213" s="115" t="str">
        <x:v>Inspection physique</x:v>
      </x:c>
      <x:c r="G2213" s="115" t="str">
        <x:v>1 niveaux ; 54 pièces ; 394 segments de mur ; 0 transitions. Inspection physique ; architecture complète encore ouverte.</x:v>
      </x:c>
      <x:c r="H2213" s="115" t="str">
        <x:v>L 122 ; l 138 ; hauteur 3,2 m ; choix de composition auteur ; dimensions réelles à documenter</x:v>
      </x:c>
      <x:c r="I2213" s="115" t="str">
        <x:v>À équilibrer</x:v>
      </x:c>
      <x:c r="J2213" s="115" t="str">
        <x:v>Non</x:v>
      </x:c>
      <x:c r="K2213" s="115" t="str">
        <x:v>Pièces décrites, murs, portes, niveaux et mobilier inspectables à l’échelle. Volumes réservés, raccord au seed, butin, rencontres et services de campagne restent à terminer.</x:v>
      </x:c>
    </x:row>
    <x:row r="2214" ht="96" customHeight="1">
      <x:c r="A2214" s="115" t="str">
        <x:v>EXT-MONDE-T045-V09</x:v>
      </x:c>
      <x:c r="B2214" s="115" t="str">
        <x:v>EXT-MONDE-T045</x:v>
      </x:c>
      <x:c r="C2214" s="115" t="str">
        <x:v>Trailer parks</x:v>
      </x:c>
      <x:c r="D2214" s="115" t="str">
        <x:v>Parc résidentiel de mobil-homes</x:v>
      </x:c>
      <x:c r="E2214" s="115" t="n">
        <x:v>9</x:v>
      </x:c>
      <x:c r="F2214" s="115" t="str">
        <x:v>Inspection physique</x:v>
      </x:c>
      <x:c r="G2214" s="115" t="str">
        <x:v>1 niveaux ; 42 pièces ; 308 segments de mur ; 0 transitions. Inspection physique ; architecture complète encore ouverte.</x:v>
      </x:c>
      <x:c r="H2214" s="115" t="str">
        <x:v>L 122 ; l 118 ; hauteur 3,2 m ; choix de composition auteur ; dimensions réelles à documenter</x:v>
      </x:c>
      <x:c r="I2214" s="115" t="str">
        <x:v>À équilibrer</x:v>
      </x:c>
      <x:c r="J2214" s="115" t="str">
        <x:v>Non</x:v>
      </x:c>
      <x:c r="K2214" s="115" t="str">
        <x:v>Pièces décrites, murs, portes, niveaux et mobilier inspectables à l’échelle. Volumes réservés, raccord au seed, butin, rencontres et services de campagne restent à terminer.</x:v>
      </x:c>
    </x:row>
    <x:row r="2215" ht="96" customHeight="1">
      <x:c r="A2215" s="115" t="str">
        <x:v>EXT-MONDE-T045-V10</x:v>
      </x:c>
      <x:c r="B2215" s="115" t="str">
        <x:v>EXT-MONDE-T045</x:v>
      </x:c>
      <x:c r="C2215" s="115" t="str">
        <x:v>Trailer parks</x:v>
      </x:c>
      <x:c r="D2215" s="115" t="str">
        <x:v>Parc résidentiel de mobil-homes</x:v>
      </x:c>
      <x:c r="E2215" s="115" t="n">
        <x:v>10</x:v>
      </x:c>
      <x:c r="F2215" s="115" t="str">
        <x:v>Inspection physique</x:v>
      </x:c>
      <x:c r="G2215" s="115" t="str">
        <x:v>1 niveaux ; 72 pièces ; 523 segments de mur ; 0 transitions. Inspection physique ; architecture complète encore ouverte.</x:v>
      </x:c>
      <x:c r="H2215" s="115" t="str">
        <x:v>L 160 ; l 138 ; hauteur 3,2 m ; choix de composition auteur ; dimensions réelles à documenter</x:v>
      </x:c>
      <x:c r="I2215" s="115" t="str">
        <x:v>À équilibrer</x:v>
      </x:c>
      <x:c r="J2215" s="115" t="str">
        <x:v>Non</x:v>
      </x:c>
      <x:c r="K2215" s="115" t="str">
        <x:v>Pièces décrites, murs, portes, niveaux et mobilier inspectables à l’échelle. Volumes réservés, raccord au seed, butin, rencontres et services de campagne restent à terminer.</x:v>
      </x:c>
    </x:row>
    <x:row r="2216" ht="96" customHeight="1">
      <x:c r="A2216" s="115" t="str">
        <x:v>EXT-MONDE-T045-V11</x:v>
      </x:c>
      <x:c r="B2216" s="115" t="str">
        <x:v>EXT-MONDE-T045</x:v>
      </x:c>
      <x:c r="C2216" s="115" t="str">
        <x:v>Trailer parks</x:v>
      </x:c>
      <x:c r="D2216" s="115" t="str">
        <x:v>Parc résidentiel de mobil-homes</x:v>
      </x:c>
      <x:c r="E2216" s="115" t="n">
        <x:v>11</x:v>
      </x:c>
      <x:c r="F2216" s="115" t="str">
        <x:v>Inspection physique</x:v>
      </x:c>
      <x:c r="G2216" s="115" t="str">
        <x:v>1 niveaux ; 36 pièces ; 265 segments de mur ; 0 transitions. Inspection physique ; architecture complète encore ouverte.</x:v>
      </x:c>
      <x:c r="H2216" s="115" t="str">
        <x:v>L 126 ; l 118 ; hauteur 3,2 m ; choix de composition auteur ; dimensions réelles à documenter</x:v>
      </x:c>
      <x:c r="I2216" s="115" t="str">
        <x:v>À équilibrer</x:v>
      </x:c>
      <x:c r="J2216" s="115" t="str">
        <x:v>Non</x:v>
      </x:c>
      <x:c r="K2216" s="115" t="str">
        <x:v>Pièces décrites, murs, portes, niveaux et mobilier inspectables à l’échelle. Volumes réservés, raccord au seed, butin, rencontres et services de campagne restent à terminer.</x:v>
      </x:c>
    </x:row>
    <x:row r="2217" ht="96" customHeight="1">
      <x:c r="A2217" s="115" t="str">
        <x:v>EXT-MONDE-T045-V12</x:v>
      </x:c>
      <x:c r="B2217" s="115" t="str">
        <x:v>EXT-MONDE-T045</x:v>
      </x:c>
      <x:c r="C2217" s="115" t="str">
        <x:v>Trailer parks</x:v>
      </x:c>
      <x:c r="D2217" s="115" t="str">
        <x:v>Parc résidentiel de mobil-homes</x:v>
      </x:c>
      <x:c r="E2217" s="115" t="n">
        <x:v>12</x:v>
      </x:c>
      <x:c r="F2217" s="115" t="str">
        <x:v>Inspection physique</x:v>
      </x:c>
      <x:c r="G2217" s="115" t="str">
        <x:v>1 niveaux ; 48 pièces ; 351 segments de mur ; 0 transitions. Inspection physique ; architecture complète encore ouverte.</x:v>
      </x:c>
      <x:c r="H2217" s="115" t="str">
        <x:v>L 126 ; l 119 ; hauteur 3,2 m ; choix de composition auteur ; dimensions réelles à documenter</x:v>
      </x:c>
      <x:c r="I2217" s="115" t="str">
        <x:v>À équilibrer</x:v>
      </x:c>
      <x:c r="J2217" s="115" t="str">
        <x:v>Non</x:v>
      </x:c>
      <x:c r="K2217" s="115" t="str">
        <x:v>Pièces décrites, murs, portes, niveaux et mobilier inspectables à l’échelle. Volumes réservés, raccord au seed, butin, rencontres et services de campagne restent à terminer.</x:v>
      </x:c>
    </x:row>
    <x:row r="2218" ht="96" customHeight="1">
      <x:c r="A2218" s="115" t="str">
        <x:v>EXT-MONDE-T045-V13</x:v>
      </x:c>
      <x:c r="B2218" s="115" t="str">
        <x:v>EXT-MONDE-T045</x:v>
      </x:c>
      <x:c r="C2218" s="115" t="str">
        <x:v>Trailer parks</x:v>
      </x:c>
      <x:c r="D2218" s="115" t="str">
        <x:v>Parc résidentiel de mobil-homes</x:v>
      </x:c>
      <x:c r="E2218" s="115" t="n">
        <x:v>13</x:v>
      </x:c>
      <x:c r="F2218" s="115" t="str">
        <x:v>Inspection physique</x:v>
      </x:c>
      <x:c r="G2218" s="115" t="str">
        <x:v>1 niveaux ; 60 pièces ; 437 segments de mur ; 0 transitions. Inspection physique ; architecture complète encore ouverte.</x:v>
      </x:c>
      <x:c r="H2218" s="115" t="str">
        <x:v>L 126 ; l 142 ; hauteur 3,2 m ; choix de composition auteur ; dimensions réelles à documenter</x:v>
      </x:c>
      <x:c r="I2218" s="115" t="str">
        <x:v>À équilibrer</x:v>
      </x:c>
      <x:c r="J2218" s="115" t="str">
        <x:v>Non</x:v>
      </x:c>
      <x:c r="K2218" s="115" t="str">
        <x:v>Pièces décrites, murs, portes, niveaux et mobilier inspectables à l’échelle. Volumes réservés, raccord au seed, butin, rencontres et services de campagne restent à terminer.</x:v>
      </x:c>
    </x:row>
    <x:row r="2219" ht="96" customHeight="1">
      <x:c r="A2219" s="115" t="str">
        <x:v>EXT-MONDE-T045-V14</x:v>
      </x:c>
      <x:c r="B2219" s="115" t="str">
        <x:v>EXT-MONDE-T045</x:v>
      </x:c>
      <x:c r="C2219" s="115" t="str">
        <x:v>Trailer parks</x:v>
      </x:c>
      <x:c r="D2219" s="115" t="str">
        <x:v>Parc résidentiel de mobil-homes</x:v>
      </x:c>
      <x:c r="E2219" s="115" t="n">
        <x:v>14</x:v>
      </x:c>
      <x:c r="F2219" s="115" t="str">
        <x:v>Inspection physique</x:v>
      </x:c>
      <x:c r="G2219" s="115" t="str">
        <x:v>1 niveaux ; 30 pièces ; 222 segments de mur ; 0 transitions. Inspection physique ; architecture complète encore ouverte.</x:v>
      </x:c>
      <x:c r="H2219" s="115" t="str">
        <x:v>L 86 ; l 119 ; hauteur 3,2 m ; choix de composition auteur ; dimensions réelles à documenter</x:v>
      </x:c>
      <x:c r="I2219" s="115" t="str">
        <x:v>À équilibrer</x:v>
      </x:c>
      <x:c r="J2219" s="115" t="str">
        <x:v>Non</x:v>
      </x:c>
      <x:c r="K2219" s="115" t="str">
        <x:v>Pièces décrites, murs, portes, niveaux et mobilier inspectables à l’échelle. Volumes réservés, raccord au seed, butin, rencontres et services de campagne restent à terminer.</x:v>
      </x:c>
    </x:row>
    <x:row r="2220" ht="96" customHeight="1">
      <x:c r="A2220" s="115" t="str">
        <x:v>EXT-MONDE-T045-V15</x:v>
      </x:c>
      <x:c r="B2220" s="115" t="str">
        <x:v>EXT-MONDE-T045</x:v>
      </x:c>
      <x:c r="C2220" s="115" t="str">
        <x:v>Trailer parks</x:v>
      </x:c>
      <x:c r="D2220" s="115" t="str">
        <x:v>Parc résidentiel de mobil-homes</x:v>
      </x:c>
      <x:c r="E2220" s="115" t="n">
        <x:v>15</x:v>
      </x:c>
      <x:c r="F2220" s="115" t="str">
        <x:v>Inspection physique</x:v>
      </x:c>
      <x:c r="G2220" s="115" t="str">
        <x:v>1 niveaux ; 36 pièces ; 265 segments de mur ; 0 transitions. Inspection physique ; architecture complète encore ouverte.</x:v>
      </x:c>
      <x:c r="H2220" s="115" t="str">
        <x:v>L 86 ; l 142 ; hauteur 3,2 m ; choix de composition auteur ; dimensions réelles à documenter</x:v>
      </x:c>
      <x:c r="I2220" s="115" t="str">
        <x:v>À équilibrer</x:v>
      </x:c>
      <x:c r="J2220" s="115" t="str">
        <x:v>Non</x:v>
      </x:c>
      <x:c r="K2220" s="115" t="str">
        <x:v>Pièces décrites, murs, portes, niveaux et mobilier inspectables à l’échelle. Volumes réservés, raccord au seed, butin, rencontres et services de campagne restent à terminer.</x:v>
      </x:c>
    </x:row>
    <x:row r="2221" ht="96" customHeight="1">
      <x:c r="A2221" s="115" t="str">
        <x:v>EXT-MONDE-T045-V16</x:v>
      </x:c>
      <x:c r="B2221" s="115" t="str">
        <x:v>EXT-MONDE-T045</x:v>
      </x:c>
      <x:c r="C2221" s="115" t="str">
        <x:v>Trailer parks</x:v>
      </x:c>
      <x:c r="D2221" s="115" t="str">
        <x:v>Parc résidentiel de mobil-homes</x:v>
      </x:c>
      <x:c r="E2221" s="115" t="n">
        <x:v>16</x:v>
      </x:c>
      <x:c r="F2221" s="115" t="str">
        <x:v>Inspection physique</x:v>
      </x:c>
      <x:c r="G2221" s="115" t="str">
        <x:v>1 niveaux ; 48 pièces ; 351 segments de mur ; 0 transitions. Inspection physique ; architecture complète encore ouverte.</x:v>
      </x:c>
      <x:c r="H2221" s="115" t="str">
        <x:v>L 166 ; l 118 ; hauteur 3,2 m ; choix de composition auteur ; dimensions réelles à documenter</x:v>
      </x:c>
      <x:c r="I2221" s="115" t="str">
        <x:v>À équilibrer</x:v>
      </x:c>
      <x:c r="J2221" s="115" t="str">
        <x:v>Non</x:v>
      </x:c>
      <x:c r="K2221" s="115" t="str">
        <x:v>Pièces décrites, murs, portes, niveaux et mobilier inspectables à l’échelle. Volumes réservés, raccord au seed, butin, rencontres et services de campagne restent à terminer.</x:v>
      </x:c>
    </x:row>
    <x:row r="2222" ht="96" customHeight="1">
      <x:c r="A2222" s="115" t="str">
        <x:v>EXT-MONDE-T045-V17</x:v>
      </x:c>
      <x:c r="B2222" s="115" t="str">
        <x:v>EXT-MONDE-T045</x:v>
      </x:c>
      <x:c r="C2222" s="115" t="str">
        <x:v>Trailer parks</x:v>
      </x:c>
      <x:c r="D2222" s="115" t="str">
        <x:v>Parc résidentiel de mobil-homes</x:v>
      </x:c>
      <x:c r="E2222" s="115" t="n">
        <x:v>17</x:v>
      </x:c>
      <x:c r="F2222" s="115" t="str">
        <x:v>Inspection physique</x:v>
      </x:c>
      <x:c r="G2222" s="115" t="str">
        <x:v>1 niveaux ; 66 pièces ; 480 segments de mur ; 0 transitions. Inspection physique ; architecture complète encore ouverte.</x:v>
      </x:c>
      <x:c r="H2222" s="115" t="str">
        <x:v>L 166 ; l 119 ; hauteur 3,2 m ; choix de composition auteur ; dimensions réelles à documenter</x:v>
      </x:c>
      <x:c r="I2222" s="115" t="str">
        <x:v>À équilibrer</x:v>
      </x:c>
      <x:c r="J2222" s="115" t="str">
        <x:v>Non</x:v>
      </x:c>
      <x:c r="K2222" s="115" t="str">
        <x:v>Pièces décrites, murs, portes, niveaux et mobilier inspectables à l’échelle. Volumes réservés, raccord au seed, butin, rencontres et services de campagne restent à terminer.</x:v>
      </x:c>
    </x:row>
    <x:row r="2223" ht="96" customHeight="1">
      <x:c r="A2223" s="115" t="str">
        <x:v>EXT-MONDE-T045-V18</x:v>
      </x:c>
      <x:c r="B2223" s="115" t="str">
        <x:v>EXT-MONDE-T045</x:v>
      </x:c>
      <x:c r="C2223" s="115" t="str">
        <x:v>Trailer parks</x:v>
      </x:c>
      <x:c r="D2223" s="115" t="str">
        <x:v>Parc résidentiel de mobil-homes</x:v>
      </x:c>
      <x:c r="E2223" s="115" t="n">
        <x:v>18</x:v>
      </x:c>
      <x:c r="F2223" s="115" t="str">
        <x:v>Inspection physique</x:v>
      </x:c>
      <x:c r="G2223" s="115" t="str">
        <x:v>1 niveaux ; 54 pièces ; 394 segments de mur ; 0 transitions. Inspection physique ; architecture complète encore ouverte.</x:v>
      </x:c>
      <x:c r="H2223" s="115" t="str">
        <x:v>L 126 ; l 142 ; hauteur 3,2 m ; choix de composition auteur ; dimensions réelles à documenter</x:v>
      </x:c>
      <x:c r="I2223" s="115" t="str">
        <x:v>À équilibrer</x:v>
      </x:c>
      <x:c r="J2223" s="115" t="str">
        <x:v>Non</x:v>
      </x:c>
      <x:c r="K2223" s="115" t="str">
        <x:v>Pièces décrites, murs, portes, niveaux et mobilier inspectables à l’échelle. Volumes réservés, raccord au seed, butin, rencontres et services de campagne restent à terminer.</x:v>
      </x:c>
    </x:row>
    <x:row r="2224" ht="96" customHeight="1">
      <x:c r="A2224" s="115" t="str">
        <x:v>EXT-MONDE-T045-V19</x:v>
      </x:c>
      <x:c r="B2224" s="115" t="str">
        <x:v>EXT-MONDE-T045</x:v>
      </x:c>
      <x:c r="C2224" s="115" t="str">
        <x:v>Trailer parks</x:v>
      </x:c>
      <x:c r="D2224" s="115" t="str">
        <x:v>Parc résidentiel de mobil-homes</x:v>
      </x:c>
      <x:c r="E2224" s="115" t="n">
        <x:v>19</x:v>
      </x:c>
      <x:c r="F2224" s="115" t="str">
        <x:v>Inspection physique</x:v>
      </x:c>
      <x:c r="G2224" s="115" t="str">
        <x:v>1 niveaux ; 42 pièces ; 308 segments de mur ; 0 transitions. Inspection physique ; architecture complète encore ouverte.</x:v>
      </x:c>
      <x:c r="H2224" s="115" t="str">
        <x:v>L 126 ; l 119 ; hauteur 3,2 m ; choix de composition auteur ; dimensions réelles à documenter</x:v>
      </x:c>
      <x:c r="I2224" s="115" t="str">
        <x:v>À équilibrer</x:v>
      </x:c>
      <x:c r="J2224" s="115" t="str">
        <x:v>Non</x:v>
      </x:c>
      <x:c r="K2224" s="115" t="str">
        <x:v>Pièces décrites, murs, portes, niveaux et mobilier inspectables à l’échelle. Volumes réservés, raccord au seed, butin, rencontres et services de campagne restent à terminer.</x:v>
      </x:c>
    </x:row>
    <x:row r="2225" ht="96" customHeight="1">
      <x:c r="A2225" s="115" t="str">
        <x:v>EXT-MONDE-T045-V20</x:v>
      </x:c>
      <x:c r="B2225" s="115" t="str">
        <x:v>EXT-MONDE-T045</x:v>
      </x:c>
      <x:c r="C2225" s="115" t="str">
        <x:v>Trailer parks</x:v>
      </x:c>
      <x:c r="D2225" s="115" t="str">
        <x:v>Parc résidentiel de mobil-homes</x:v>
      </x:c>
      <x:c r="E2225" s="115" t="n">
        <x:v>20</x:v>
      </x:c>
      <x:c r="F2225" s="115" t="str">
        <x:v>Inspection physique</x:v>
      </x:c>
      <x:c r="G2225" s="115" t="str">
        <x:v>1 niveaux ; 72 pièces ; 523 segments de mur ; 0 transitions. Inspection physique ; architecture complète encore ouverte.</x:v>
      </x:c>
      <x:c r="H2225" s="115" t="str">
        <x:v>L 166 ; l 142 ; hauteur 3,2 m ; choix de composition auteur ; dimensions réelles à documenter</x:v>
      </x:c>
      <x:c r="I2225" s="115" t="str">
        <x:v>À équilibrer</x:v>
      </x:c>
      <x:c r="J2225" s="115" t="str">
        <x:v>Non</x:v>
      </x:c>
      <x:c r="K2225" s="115" t="str">
        <x:v>Pièces décrites, murs, portes, niveaux et mobilier inspectables à l’échelle. Volumes réservés, raccord au seed, butin, rencontres et services de campagne restent à terminer.</x:v>
      </x:c>
    </x:row>
    <x:row r="2226" ht="96" customHeight="1">
      <x:c r="A2226" s="115" t="str">
        <x:v>EXT-MONDE-T045-V21</x:v>
      </x:c>
      <x:c r="B2226" s="115" t="str">
        <x:v>EXT-MONDE-T045</x:v>
      </x:c>
      <x:c r="C2226" s="115" t="str">
        <x:v>Trailer parks</x:v>
      </x:c>
      <x:c r="D2226" s="115" t="str">
        <x:v>Parc résidentiel de mobil-homes</x:v>
      </x:c>
      <x:c r="E2226" s="115" t="n">
        <x:v>21</x:v>
      </x:c>
      <x:c r="F2226" s="115" t="str">
        <x:v>Inspection physique</x:v>
      </x:c>
      <x:c r="G2226" s="115" t="str">
        <x:v>1 niveaux ; 36 pièces ; 265 segments de mur ; 0 transitions. Inspection physique ; architecture complète encore ouverte.</x:v>
      </x:c>
      <x:c r="H2226" s="115" t="str">
        <x:v>L 130 ; l 118 ; hauteur 3,2 m ; choix de composition auteur ; dimensions réelles à documenter</x:v>
      </x:c>
      <x:c r="I2226" s="115" t="str">
        <x:v>À équilibrer</x:v>
      </x:c>
      <x:c r="J2226" s="115" t="str">
        <x:v>Non</x:v>
      </x:c>
      <x:c r="K2226" s="115" t="str">
        <x:v>Pièces décrites, murs, portes, niveaux et mobilier inspectables à l’échelle. Volumes réservés, raccord au seed, butin, rencontres et services de campagne restent à terminer.</x:v>
      </x:c>
    </x:row>
    <x:row r="2227" ht="96" customHeight="1">
      <x:c r="A2227" s="115" t="str">
        <x:v>EXT-MONDE-T045-V22</x:v>
      </x:c>
      <x:c r="B2227" s="115" t="str">
        <x:v>EXT-MONDE-T045</x:v>
      </x:c>
      <x:c r="C2227" s="115" t="str">
        <x:v>Trailer parks</x:v>
      </x:c>
      <x:c r="D2227" s="115" t="str">
        <x:v>Parc résidentiel de mobil-homes</x:v>
      </x:c>
      <x:c r="E2227" s="115" t="n">
        <x:v>22</x:v>
      </x:c>
      <x:c r="F2227" s="115" t="str">
        <x:v>Inspection physique</x:v>
      </x:c>
      <x:c r="G2227" s="115" t="str">
        <x:v>1 niveaux ; 48 pièces ; 351 segments de mur ; 0 transitions. Inspection physique ; architecture complète encore ouverte.</x:v>
      </x:c>
      <x:c r="H2227" s="115" t="str">
        <x:v>L 130 ; l 122 ; hauteur 3,2 m ; choix de composition auteur ; dimensions réelles à documenter</x:v>
      </x:c>
      <x:c r="I2227" s="115" t="str">
        <x:v>À équilibrer</x:v>
      </x:c>
      <x:c r="J2227" s="115" t="str">
        <x:v>Non</x:v>
      </x:c>
      <x:c r="K2227" s="115" t="str">
        <x:v>Pièces décrites, murs, portes, niveaux et mobilier inspectables à l’échelle. Volumes réservés, raccord au seed, butin, rencontres et services de campagne restent à terminer.</x:v>
      </x:c>
    </x:row>
    <x:row r="2228" ht="96" customHeight="1">
      <x:c r="A2228" s="115" t="str">
        <x:v>EXT-MONDE-T045-V23</x:v>
      </x:c>
      <x:c r="B2228" s="115" t="str">
        <x:v>EXT-MONDE-T045</x:v>
      </x:c>
      <x:c r="C2228" s="115" t="str">
        <x:v>Trailer parks</x:v>
      </x:c>
      <x:c r="D2228" s="115" t="str">
        <x:v>Parc résidentiel de mobil-homes</x:v>
      </x:c>
      <x:c r="E2228" s="115" t="n">
        <x:v>23</x:v>
      </x:c>
      <x:c r="F2228" s="115" t="str">
        <x:v>Inspection physique</x:v>
      </x:c>
      <x:c r="G2228" s="115" t="str">
        <x:v>1 niveaux ; 60 pièces ; 437 segments de mur ; 0 transitions. Inspection physique ; architecture complète encore ouverte.</x:v>
      </x:c>
      <x:c r="H2228" s="115" t="str">
        <x:v>L 130 ; l 146 ; hauteur 3,2 m ; choix de composition auteur ; dimensions réelles à documenter</x:v>
      </x:c>
      <x:c r="I2228" s="115" t="str">
        <x:v>À équilibrer</x:v>
      </x:c>
      <x:c r="J2228" s="115" t="str">
        <x:v>Non</x:v>
      </x:c>
      <x:c r="K2228" s="115" t="str">
        <x:v>Pièces décrites, murs, portes, niveaux et mobilier inspectables à l’échelle. Volumes réservés, raccord au seed, butin, rencontres et services de campagne restent à terminer.</x:v>
      </x:c>
    </x:row>
    <x:row r="2229" ht="96" customHeight="1">
      <x:c r="A2229" s="115" t="str">
        <x:v>EXT-MONDE-T045-V24</x:v>
      </x:c>
      <x:c r="B2229" s="115" t="str">
        <x:v>EXT-MONDE-T045</x:v>
      </x:c>
      <x:c r="C2229" s="115" t="str">
        <x:v>Trailer parks</x:v>
      </x:c>
      <x:c r="D2229" s="115" t="str">
        <x:v>Parc résidentiel de mobil-homes</x:v>
      </x:c>
      <x:c r="E2229" s="115" t="n">
        <x:v>24</x:v>
      </x:c>
      <x:c r="F2229" s="115" t="str">
        <x:v>Inspection physique</x:v>
      </x:c>
      <x:c r="G2229" s="115" t="str">
        <x:v>1 niveaux ; 30 pièces ; 222 segments de mur ; 0 transitions. Inspection physique ; architecture complète encore ouverte.</x:v>
      </x:c>
      <x:c r="H2229" s="115" t="str">
        <x:v>L 88 ; l 122 ; hauteur 3,2 m ; choix de composition auteur ; dimensions réelles à documenter</x:v>
      </x:c>
      <x:c r="I2229" s="115" t="str">
        <x:v>À équilibrer</x:v>
      </x:c>
      <x:c r="J2229" s="115" t="str">
        <x:v>Non</x:v>
      </x:c>
      <x:c r="K2229" s="115" t="str">
        <x:v>Pièces décrites, murs, portes, niveaux et mobilier inspectables à l’échelle. Volumes réservés, raccord au seed, butin, rencontres et services de campagne restent à terminer.</x:v>
      </x:c>
    </x:row>
    <x:row r="2230" ht="96" customHeight="1">
      <x:c r="A2230" s="115" t="str">
        <x:v>EXT-MONDE-T045-V25</x:v>
      </x:c>
      <x:c r="B2230" s="115" t="str">
        <x:v>EXT-MONDE-T045</x:v>
      </x:c>
      <x:c r="C2230" s="115" t="str">
        <x:v>Trailer parks</x:v>
      </x:c>
      <x:c r="D2230" s="115" t="str">
        <x:v>Parc résidentiel de mobil-homes</x:v>
      </x:c>
      <x:c r="E2230" s="115" t="n">
        <x:v>25</x:v>
      </x:c>
      <x:c r="F2230" s="115" t="str">
        <x:v>Inspection physique</x:v>
      </x:c>
      <x:c r="G2230" s="115" t="str">
        <x:v>1 niveaux ; 36 pièces ; 265 segments de mur ; 0 transitions. Inspection physique ; architecture complète encore ouverte.</x:v>
      </x:c>
      <x:c r="H2230" s="115" t="str">
        <x:v>L 88 ; l 146 ; hauteur 3,2 m ; choix de composition auteur ; dimensions réelles à documenter</x:v>
      </x:c>
      <x:c r="I2230" s="115" t="str">
        <x:v>À équilibrer</x:v>
      </x:c>
      <x:c r="J2230" s="115" t="str">
        <x:v>Non</x:v>
      </x:c>
      <x:c r="K2230" s="115" t="str">
        <x:v>Pièces décrites, murs, portes, niveaux et mobilier inspectables à l’échelle. Volumes réservés, raccord au seed, butin, rencontres et services de campagne restent à terminer.</x:v>
      </x:c>
    </x:row>
    <x:row r="2231" ht="96" customHeight="1">
      <x:c r="A2231" s="115" t="str">
        <x:v>EXT-MONDE-T045-V26</x:v>
      </x:c>
      <x:c r="B2231" s="115" t="str">
        <x:v>EXT-MONDE-T045</x:v>
      </x:c>
      <x:c r="C2231" s="115" t="str">
        <x:v>Trailer parks</x:v>
      </x:c>
      <x:c r="D2231" s="115" t="str">
        <x:v>Parc résidentiel de mobil-homes</x:v>
      </x:c>
      <x:c r="E2231" s="115" t="n">
        <x:v>26</x:v>
      </x:c>
      <x:c r="F2231" s="115" t="str">
        <x:v>Inspection physique</x:v>
      </x:c>
      <x:c r="G2231" s="115" t="str">
        <x:v>1 niveaux ; 48 pièces ; 351 segments de mur ; 0 transitions. Inspection physique ; architecture complète encore ouverte.</x:v>
      </x:c>
      <x:c r="H2231" s="115" t="str">
        <x:v>L 172 ; l 118 ; hauteur 3,2 m ; choix de composition auteur ; dimensions réelles à documenter</x:v>
      </x:c>
      <x:c r="I2231" s="115" t="str">
        <x:v>À équilibrer</x:v>
      </x:c>
      <x:c r="J2231" s="115" t="str">
        <x:v>Non</x:v>
      </x:c>
      <x:c r="K2231" s="115" t="str">
        <x:v>Pièces décrites, murs, portes, niveaux et mobilier inspectables à l’échelle. Volumes réservés, raccord au seed, butin, rencontres et services de campagne restent à terminer.</x:v>
      </x:c>
    </x:row>
    <x:row r="2232" ht="96" customHeight="1">
      <x:c r="A2232" s="115" t="str">
        <x:v>EXT-MONDE-T045-V27</x:v>
      </x:c>
      <x:c r="B2232" s="115" t="str">
        <x:v>EXT-MONDE-T045</x:v>
      </x:c>
      <x:c r="C2232" s="115" t="str">
        <x:v>Trailer parks</x:v>
      </x:c>
      <x:c r="D2232" s="115" t="str">
        <x:v>Parc résidentiel de mobil-homes</x:v>
      </x:c>
      <x:c r="E2232" s="115" t="n">
        <x:v>27</x:v>
      </x:c>
      <x:c r="F2232" s="115" t="str">
        <x:v>Inspection physique</x:v>
      </x:c>
      <x:c r="G2232" s="115" t="str">
        <x:v>1 niveaux ; 66 pièces ; 480 segments de mur ; 0 transitions. Inspection physique ; architecture complète encore ouverte.</x:v>
      </x:c>
      <x:c r="H2232" s="115" t="str">
        <x:v>L 172 ; l 122 ; hauteur 3,2 m ; choix de composition auteur ; dimensions réelles à documenter</x:v>
      </x:c>
      <x:c r="I2232" s="115" t="str">
        <x:v>À équilibrer</x:v>
      </x:c>
      <x:c r="J2232" s="115" t="str">
        <x:v>Non</x:v>
      </x:c>
      <x:c r="K2232" s="115" t="str">
        <x:v>Pièces décrites, murs, portes, niveaux et mobilier inspectables à l’échelle. Volumes réservés, raccord au seed, butin, rencontres et services de campagne restent à terminer.</x:v>
      </x:c>
    </x:row>
    <x:row r="2233" ht="96" customHeight="1">
      <x:c r="A2233" s="115" t="str">
        <x:v>EXT-MONDE-T045-V28</x:v>
      </x:c>
      <x:c r="B2233" s="115" t="str">
        <x:v>EXT-MONDE-T045</x:v>
      </x:c>
      <x:c r="C2233" s="115" t="str">
        <x:v>Trailer parks</x:v>
      </x:c>
      <x:c r="D2233" s="115" t="str">
        <x:v>Parc résidentiel de mobil-homes</x:v>
      </x:c>
      <x:c r="E2233" s="115" t="n">
        <x:v>28</x:v>
      </x:c>
      <x:c r="F2233" s="115" t="str">
        <x:v>Inspection physique</x:v>
      </x:c>
      <x:c r="G2233" s="115" t="str">
        <x:v>1 niveaux ; 54 pièces ; 394 segments de mur ; 0 transitions. Inspection physique ; architecture complète encore ouverte.</x:v>
      </x:c>
      <x:c r="H2233" s="115" t="str">
        <x:v>L 130 ; l 146 ; hauteur 3,2 m ; choix de composition auteur ; dimensions réelles à documenter</x:v>
      </x:c>
      <x:c r="I2233" s="115" t="str">
        <x:v>À équilibrer</x:v>
      </x:c>
      <x:c r="J2233" s="115" t="str">
        <x:v>Non</x:v>
      </x:c>
      <x:c r="K2233" s="115" t="str">
        <x:v>Pièces décrites, murs, portes, niveaux et mobilier inspectables à l’échelle. Volumes réservés, raccord au seed, butin, rencontres et services de campagne restent à terminer.</x:v>
      </x:c>
    </x:row>
    <x:row r="2234" ht="96" customHeight="1">
      <x:c r="A2234" s="115" t="str">
        <x:v>EXT-MONDE-T045-V29</x:v>
      </x:c>
      <x:c r="B2234" s="115" t="str">
        <x:v>EXT-MONDE-T045</x:v>
      </x:c>
      <x:c r="C2234" s="115" t="str">
        <x:v>Trailer parks</x:v>
      </x:c>
      <x:c r="D2234" s="115" t="str">
        <x:v>Parc résidentiel de mobil-homes</x:v>
      </x:c>
      <x:c r="E2234" s="115" t="n">
        <x:v>29</x:v>
      </x:c>
      <x:c r="F2234" s="115" t="str">
        <x:v>Inspection physique</x:v>
      </x:c>
      <x:c r="G2234" s="115" t="str">
        <x:v>1 niveaux ; 42 pièces ; 308 segments de mur ; 0 transitions. Inspection physique ; architecture complète encore ouverte.</x:v>
      </x:c>
      <x:c r="H2234" s="115" t="str">
        <x:v>L 130 ; l 122 ; hauteur 3,2 m ; choix de composition auteur ; dimensions réelles à documenter</x:v>
      </x:c>
      <x:c r="I2234" s="115" t="str">
        <x:v>À équilibrer</x:v>
      </x:c>
      <x:c r="J2234" s="115" t="str">
        <x:v>Non</x:v>
      </x:c>
      <x:c r="K2234" s="115" t="str">
        <x:v>Pièces décrites, murs, portes, niveaux et mobilier inspectables à l’échelle. Volumes réservés, raccord au seed, butin, rencontres et services de campagne restent à terminer.</x:v>
      </x:c>
    </x:row>
    <x:row r="2235" ht="96" customHeight="1">
      <x:c r="A2235" s="115" t="str">
        <x:v>EXT-MONDE-T045-V30</x:v>
      </x:c>
      <x:c r="B2235" s="115" t="str">
        <x:v>EXT-MONDE-T045</x:v>
      </x:c>
      <x:c r="C2235" s="115" t="str">
        <x:v>Trailer parks</x:v>
      </x:c>
      <x:c r="D2235" s="115" t="str">
        <x:v>Parc résidentiel de mobil-homes</x:v>
      </x:c>
      <x:c r="E2235" s="115" t="n">
        <x:v>30</x:v>
      </x:c>
      <x:c r="F2235" s="115" t="str">
        <x:v>Inspection physique</x:v>
      </x:c>
      <x:c r="G2235" s="115" t="str">
        <x:v>1 niveaux ; 72 pièces ; 523 segments de mur ; 0 transitions. Inspection physique ; architecture complète encore ouverte.</x:v>
      </x:c>
      <x:c r="H2235" s="115" t="str">
        <x:v>L 172 ; l 146 ; hauteur 3,2 m ; choix de composition auteur ; dimensions réelles à documenter</x:v>
      </x:c>
      <x:c r="I2235" s="115" t="str">
        <x:v>À équilibrer</x:v>
      </x:c>
      <x:c r="J2235" s="115" t="str">
        <x:v>Non</x:v>
      </x:c>
      <x:c r="K2235" s="115" t="str">
        <x:v>Pièces décrites, murs, portes, niveaux et mobilier inspectables à l’échelle. Volumes réservés, raccord au seed, butin, rencontres et services de campagne restent à terminer.</x:v>
      </x:c>
    </x:row>
    <x:row r="2236" ht="96" customHeight="1">
      <x:c r="A2236" s="115" t="str">
        <x:v>EXT-MONDE-T045-V31</x:v>
      </x:c>
      <x:c r="B2236" s="115" t="str">
        <x:v>EXT-MONDE-T045</x:v>
      </x:c>
      <x:c r="C2236" s="115" t="str">
        <x:v>Trailer parks</x:v>
      </x:c>
      <x:c r="D2236" s="115" t="str">
        <x:v>Parc résidentiel de mobil-homes</x:v>
      </x:c>
      <x:c r="E2236" s="115" t="n">
        <x:v>31</x:v>
      </x:c>
      <x:c r="F2236" s="115" t="str">
        <x:v>Inspection physique</x:v>
      </x:c>
      <x:c r="G2236" s="115" t="str">
        <x:v>1 niveaux ; 36 pièces ; 265 segments de mur ; 0 transitions. Inspection physique ; architecture complète encore ouverte.</x:v>
      </x:c>
      <x:c r="H2236" s="115" t="str">
        <x:v>L 134 ; l 118 ; hauteur 3,2 m ; choix de composition auteur ; dimensions réelles à documenter</x:v>
      </x:c>
      <x:c r="I2236" s="115" t="str">
        <x:v>À équilibrer</x:v>
      </x:c>
      <x:c r="J2236" s="115" t="str">
        <x:v>Non</x:v>
      </x:c>
      <x:c r="K2236" s="115" t="str">
        <x:v>Pièces décrites, murs, portes, niveaux et mobilier inspectables à l’échelle. Volumes réservés, raccord au seed, butin, rencontres et services de campagne restent à terminer.</x:v>
      </x:c>
    </x:row>
    <x:row r="2237" ht="96" customHeight="1">
      <x:c r="A2237" s="115" t="str">
        <x:v>EXT-MONDE-T045-V32</x:v>
      </x:c>
      <x:c r="B2237" s="115" t="str">
        <x:v>EXT-MONDE-T045</x:v>
      </x:c>
      <x:c r="C2237" s="115" t="str">
        <x:v>Trailer parks</x:v>
      </x:c>
      <x:c r="D2237" s="115" t="str">
        <x:v>Parc résidentiel de mobil-homes</x:v>
      </x:c>
      <x:c r="E2237" s="115" t="n">
        <x:v>32</x:v>
      </x:c>
      <x:c r="F2237" s="115" t="str">
        <x:v>Inspection physique</x:v>
      </x:c>
      <x:c r="G2237" s="115" t="str">
        <x:v>1 niveaux ; 48 pièces ; 351 segments de mur ; 0 transitions. Inspection physique ; architecture complète encore ouverte.</x:v>
      </x:c>
      <x:c r="H2237" s="115" t="str">
        <x:v>L 134 ; l 125 ; hauteur 3,2 m ; choix de composition auteur ; dimensions réelles à documenter</x:v>
      </x:c>
      <x:c r="I2237" s="115" t="str">
        <x:v>À équilibrer</x:v>
      </x:c>
      <x:c r="J2237" s="115" t="str">
        <x:v>Non</x:v>
      </x:c>
      <x:c r="K2237" s="115" t="str">
        <x:v>Pièces décrites, murs, portes, niveaux et mobilier inspectables à l’échelle. Volumes réservés, raccord au seed, butin, rencontres et services de campagne restent à terminer.</x:v>
      </x:c>
    </x:row>
    <x:row r="2238" ht="96" customHeight="1">
      <x:c r="A2238" s="115" t="str">
        <x:v>EXT-MONDE-T045-V33</x:v>
      </x:c>
      <x:c r="B2238" s="115" t="str">
        <x:v>EXT-MONDE-T045</x:v>
      </x:c>
      <x:c r="C2238" s="115" t="str">
        <x:v>Trailer parks</x:v>
      </x:c>
      <x:c r="D2238" s="115" t="str">
        <x:v>Parc résidentiel de mobil-homes</x:v>
      </x:c>
      <x:c r="E2238" s="115" t="n">
        <x:v>33</x:v>
      </x:c>
      <x:c r="F2238" s="115" t="str">
        <x:v>Inspection physique</x:v>
      </x:c>
      <x:c r="G2238" s="115" t="str">
        <x:v>1 niveaux ; 60 pièces ; 437 segments de mur ; 0 transitions. Inspection physique ; architecture complète encore ouverte.</x:v>
      </x:c>
      <x:c r="H2238" s="115" t="str">
        <x:v>L 134 ; l 150 ; hauteur 3,2 m ; choix de composition auteur ; dimensions réelles à documenter</x:v>
      </x:c>
      <x:c r="I2238" s="115" t="str">
        <x:v>À équilibrer</x:v>
      </x:c>
      <x:c r="J2238" s="115" t="str">
        <x:v>Non</x:v>
      </x:c>
      <x:c r="K2238" s="115" t="str">
        <x:v>Pièces décrites, murs, portes, niveaux et mobilier inspectables à l’échelle. Volumes réservés, raccord au seed, butin, rencontres et services de campagne restent à terminer.</x:v>
      </x:c>
    </x:row>
    <x:row r="2239" ht="96" customHeight="1">
      <x:c r="A2239" s="115" t="str">
        <x:v>EXT-MONDE-T045-V34</x:v>
      </x:c>
      <x:c r="B2239" s="115" t="str">
        <x:v>EXT-MONDE-T045</x:v>
      </x:c>
      <x:c r="C2239" s="115" t="str">
        <x:v>Trailer parks</x:v>
      </x:c>
      <x:c r="D2239" s="115" t="str">
        <x:v>Parc résidentiel de mobil-homes</x:v>
      </x:c>
      <x:c r="E2239" s="115" t="n">
        <x:v>34</x:v>
      </x:c>
      <x:c r="F2239" s="115" t="str">
        <x:v>Inspection physique</x:v>
      </x:c>
      <x:c r="G2239" s="115" t="str">
        <x:v>1 niveaux ; 30 pièces ; 222 segments de mur ; 0 transitions. Inspection physique ; architecture complète encore ouverte.</x:v>
      </x:c>
      <x:c r="H2239" s="115" t="str">
        <x:v>L 90 ; l 125 ; hauteur 3,2 m ; choix de composition auteur ; dimensions réelles à documenter</x:v>
      </x:c>
      <x:c r="I2239" s="115" t="str">
        <x:v>À équilibrer</x:v>
      </x:c>
      <x:c r="J2239" s="115" t="str">
        <x:v>Non</x:v>
      </x:c>
      <x:c r="K2239" s="115" t="str">
        <x:v>Pièces décrites, murs, portes, niveaux et mobilier inspectables à l’échelle. Volumes réservés, raccord au seed, butin, rencontres et services de campagne restent à terminer.</x:v>
      </x:c>
    </x:row>
    <x:row r="2240" ht="96" customHeight="1">
      <x:c r="A2240" s="115" t="str">
        <x:v>EXT-MONDE-T045-V35</x:v>
      </x:c>
      <x:c r="B2240" s="115" t="str">
        <x:v>EXT-MONDE-T045</x:v>
      </x:c>
      <x:c r="C2240" s="115" t="str">
        <x:v>Trailer parks</x:v>
      </x:c>
      <x:c r="D2240" s="115" t="str">
        <x:v>Parc résidentiel de mobil-homes</x:v>
      </x:c>
      <x:c r="E2240" s="115" t="n">
        <x:v>35</x:v>
      </x:c>
      <x:c r="F2240" s="115" t="str">
        <x:v>Inspection physique</x:v>
      </x:c>
      <x:c r="G2240" s="115" t="str">
        <x:v>1 niveaux ; 36 pièces ; 265 segments de mur ; 0 transitions. Inspection physique ; architecture complète encore ouverte.</x:v>
      </x:c>
      <x:c r="H2240" s="115" t="str">
        <x:v>L 90 ; l 150 ; hauteur 3,2 m ; choix de composition auteur ; dimensions réelles à documenter</x:v>
      </x:c>
      <x:c r="I2240" s="115" t="str">
        <x:v>À équilibrer</x:v>
      </x:c>
      <x:c r="J2240" s="115" t="str">
        <x:v>Non</x:v>
      </x:c>
      <x:c r="K2240" s="115" t="str">
        <x:v>Pièces décrites, murs, portes, niveaux et mobilier inspectables à l’échelle. Volumes réservés, raccord au seed, butin, rencontres et services de campagne restent à terminer.</x:v>
      </x:c>
    </x:row>
    <x:row r="2241" ht="96" customHeight="1">
      <x:c r="A2241" s="115" t="str">
        <x:v>EXT-MONDE-T045-V36</x:v>
      </x:c>
      <x:c r="B2241" s="115" t="str">
        <x:v>EXT-MONDE-T045</x:v>
      </x:c>
      <x:c r="C2241" s="115" t="str">
        <x:v>Trailer parks</x:v>
      </x:c>
      <x:c r="D2241" s="115" t="str">
        <x:v>Parc résidentiel de mobil-homes</x:v>
      </x:c>
      <x:c r="E2241" s="115" t="n">
        <x:v>36</x:v>
      </x:c>
      <x:c r="F2241" s="115" t="str">
        <x:v>Inspection physique</x:v>
      </x:c>
      <x:c r="G2241" s="115" t="str">
        <x:v>1 niveaux ; 48 pièces ; 351 segments de mur ; 0 transitions. Inspection physique ; architecture complète encore ouverte.</x:v>
      </x:c>
      <x:c r="H2241" s="115" t="str">
        <x:v>L 178 ; l 118 ; hauteur 3,2 m ; choix de composition auteur ; dimensions réelles à documenter</x:v>
      </x:c>
      <x:c r="I2241" s="115" t="str">
        <x:v>À équilibrer</x:v>
      </x:c>
      <x:c r="J2241" s="115" t="str">
        <x:v>Non</x:v>
      </x:c>
      <x:c r="K2241" s="115" t="str">
        <x:v>Pièces décrites, murs, portes, niveaux et mobilier inspectables à l’échelle. Volumes réservés, raccord au seed, butin, rencontres et services de campagne restent à terminer.</x:v>
      </x:c>
    </x:row>
    <x:row r="2242" ht="96" customHeight="1">
      <x:c r="A2242" s="115" t="str">
        <x:v>EXT-MONDE-T045-V37</x:v>
      </x:c>
      <x:c r="B2242" s="115" t="str">
        <x:v>EXT-MONDE-T045</x:v>
      </x:c>
      <x:c r="C2242" s="115" t="str">
        <x:v>Trailer parks</x:v>
      </x:c>
      <x:c r="D2242" s="115" t="str">
        <x:v>Parc résidentiel de mobil-homes</x:v>
      </x:c>
      <x:c r="E2242" s="115" t="n">
        <x:v>37</x:v>
      </x:c>
      <x:c r="F2242" s="115" t="str">
        <x:v>Inspection physique</x:v>
      </x:c>
      <x:c r="G2242" s="115" t="str">
        <x:v>1 niveaux ; 66 pièces ; 480 segments de mur ; 0 transitions. Inspection physique ; architecture complète encore ouverte.</x:v>
      </x:c>
      <x:c r="H2242" s="115" t="str">
        <x:v>L 178 ; l 125 ; hauteur 3,2 m ; choix de composition auteur ; dimensions réelles à documenter</x:v>
      </x:c>
      <x:c r="I2242" s="115" t="str">
        <x:v>À équilibrer</x:v>
      </x:c>
      <x:c r="J2242" s="115" t="str">
        <x:v>Non</x:v>
      </x:c>
      <x:c r="K2242" s="115" t="str">
        <x:v>Pièces décrites, murs, portes, niveaux et mobilier inspectables à l’échelle. Volumes réservés, raccord au seed, butin, rencontres et services de campagne restent à terminer.</x:v>
      </x:c>
    </x:row>
    <x:row r="2243" ht="96" customHeight="1">
      <x:c r="A2243" s="115" t="str">
        <x:v>EXT-MONDE-T045-V38</x:v>
      </x:c>
      <x:c r="B2243" s="115" t="str">
        <x:v>EXT-MONDE-T045</x:v>
      </x:c>
      <x:c r="C2243" s="115" t="str">
        <x:v>Trailer parks</x:v>
      </x:c>
      <x:c r="D2243" s="115" t="str">
        <x:v>Parc résidentiel de mobil-homes</x:v>
      </x:c>
      <x:c r="E2243" s="115" t="n">
        <x:v>38</x:v>
      </x:c>
      <x:c r="F2243" s="115" t="str">
        <x:v>Inspection physique</x:v>
      </x:c>
      <x:c r="G2243" s="115" t="str">
        <x:v>1 niveaux ; 54 pièces ; 394 segments de mur ; 0 transitions. Inspection physique ; architecture complète encore ouverte.</x:v>
      </x:c>
      <x:c r="H2243" s="115" t="str">
        <x:v>L 134 ; l 150 ; hauteur 3,2 m ; choix de composition auteur ; dimensions réelles à documenter</x:v>
      </x:c>
      <x:c r="I2243" s="115" t="str">
        <x:v>À équilibrer</x:v>
      </x:c>
      <x:c r="J2243" s="115" t="str">
        <x:v>Non</x:v>
      </x:c>
      <x:c r="K2243" s="115" t="str">
        <x:v>Pièces décrites, murs, portes, niveaux et mobilier inspectables à l’échelle. Volumes réservés, raccord au seed, butin, rencontres et services de campagne restent à terminer.</x:v>
      </x:c>
    </x:row>
    <x:row r="2244" ht="96" customHeight="1">
      <x:c r="A2244" s="115" t="str">
        <x:v>EXT-MONDE-T045-V39</x:v>
      </x:c>
      <x:c r="B2244" s="115" t="str">
        <x:v>EXT-MONDE-T045</x:v>
      </x:c>
      <x:c r="C2244" s="115" t="str">
        <x:v>Trailer parks</x:v>
      </x:c>
      <x:c r="D2244" s="115" t="str">
        <x:v>Parc résidentiel de mobil-homes</x:v>
      </x:c>
      <x:c r="E2244" s="115" t="n">
        <x:v>39</x:v>
      </x:c>
      <x:c r="F2244" s="115" t="str">
        <x:v>Inspection physique</x:v>
      </x:c>
      <x:c r="G2244" s="115" t="str">
        <x:v>1 niveaux ; 42 pièces ; 308 segments de mur ; 0 transitions. Inspection physique ; architecture complète encore ouverte.</x:v>
      </x:c>
      <x:c r="H2244" s="115" t="str">
        <x:v>L 134 ; l 125 ; hauteur 3,2 m ; choix de composition auteur ; dimensions réelles à documenter</x:v>
      </x:c>
      <x:c r="I2244" s="115" t="str">
        <x:v>À équilibrer</x:v>
      </x:c>
      <x:c r="J2244" s="115" t="str">
        <x:v>Non</x:v>
      </x:c>
      <x:c r="K2244" s="115" t="str">
        <x:v>Pièces décrites, murs, portes, niveaux et mobilier inspectables à l’échelle. Volumes réservés, raccord au seed, butin, rencontres et services de campagne restent à terminer.</x:v>
      </x:c>
    </x:row>
    <x:row r="2245" ht="96" customHeight="1">
      <x:c r="A2245" s="115" t="str">
        <x:v>EXT-MONDE-T045-V40</x:v>
      </x:c>
      <x:c r="B2245" s="115" t="str">
        <x:v>EXT-MONDE-T045</x:v>
      </x:c>
      <x:c r="C2245" s="115" t="str">
        <x:v>Trailer parks</x:v>
      </x:c>
      <x:c r="D2245" s="115" t="str">
        <x:v>Parc résidentiel de mobil-homes</x:v>
      </x:c>
      <x:c r="E2245" s="115" t="n">
        <x:v>40</x:v>
      </x:c>
      <x:c r="F2245" s="115" t="str">
        <x:v>Inspection physique</x:v>
      </x:c>
      <x:c r="G2245" s="115" t="str">
        <x:v>1 niveaux ; 72 pièces ; 523 segments de mur ; 0 transitions. Inspection physique ; architecture complète encore ouverte.</x:v>
      </x:c>
      <x:c r="H2245" s="115" t="str">
        <x:v>L 178 ; l 150 ; hauteur 3,2 m ; choix de composition auteur ; dimensions réelles à documenter</x:v>
      </x:c>
      <x:c r="I2245" s="115" t="str">
        <x:v>À équilibrer</x:v>
      </x:c>
      <x:c r="J2245" s="115" t="str">
        <x:v>Non</x:v>
      </x:c>
      <x:c r="K2245" s="115" t="str">
        <x:v>Pièces décrites, murs, portes, niveaux et mobilier inspectables à l’échelle. Volumes réservés, raccord au seed, butin, rencontres et services de campagne restent à terminer.</x:v>
      </x:c>
    </x:row>
    <x:row r="2246" ht="96" customHeight="1">
      <x:c r="A2246" s="115" t="str">
        <x:v>EXT-MONDE-T045-V41</x:v>
      </x:c>
      <x:c r="B2246" s="115" t="str">
        <x:v>EXT-MONDE-T045</x:v>
      </x:c>
      <x:c r="C2246" s="115" t="str">
        <x:v>Trailer parks</x:v>
      </x:c>
      <x:c r="D2246" s="115" t="str">
        <x:v>Parc résidentiel de mobil-homes</x:v>
      </x:c>
      <x:c r="E2246" s="115" t="n">
        <x:v>41</x:v>
      </x:c>
      <x:c r="F2246" s="115" t="str">
        <x:v>Inspection physique</x:v>
      </x:c>
      <x:c r="G2246" s="115" t="str">
        <x:v>1 niveaux ; 36 pièces ; 265 segments de mur ; 0 transitions. Inspection physique ; architecture complète encore ouverte.</x:v>
      </x:c>
      <x:c r="H2246" s="115" t="str">
        <x:v>L 138 ; l 118 ; hauteur 3,2 m ; choix de composition auteur ; dimensions réelles à documenter</x:v>
      </x:c>
      <x:c r="I2246" s="115" t="str">
        <x:v>À équilibrer</x:v>
      </x:c>
      <x:c r="J2246" s="115" t="str">
        <x:v>Non</x:v>
      </x:c>
      <x:c r="K2246" s="115" t="str">
        <x:v>Pièces décrites, murs, portes, niveaux et mobilier inspectables à l’échelle. Volumes réservés, raccord au seed, butin, rencontres et services de campagne restent à terminer.</x:v>
      </x:c>
    </x:row>
    <x:row r="2247" ht="96" customHeight="1">
      <x:c r="A2247" s="115" t="str">
        <x:v>EXT-MONDE-T045-V42</x:v>
      </x:c>
      <x:c r="B2247" s="115" t="str">
        <x:v>EXT-MONDE-T045</x:v>
      </x:c>
      <x:c r="C2247" s="115" t="str">
        <x:v>Trailer parks</x:v>
      </x:c>
      <x:c r="D2247" s="115" t="str">
        <x:v>Parc résidentiel de mobil-homes</x:v>
      </x:c>
      <x:c r="E2247" s="115" t="n">
        <x:v>42</x:v>
      </x:c>
      <x:c r="F2247" s="115" t="str">
        <x:v>Inspection physique</x:v>
      </x:c>
      <x:c r="G2247" s="115" t="str">
        <x:v>1 niveaux ; 48 pièces ; 351 segments de mur ; 0 transitions. Inspection physique ; architecture complète encore ouverte.</x:v>
      </x:c>
      <x:c r="H2247" s="115" t="str">
        <x:v>L 138 ; l 128 ; hauteur 3,2 m ; choix de composition auteur ; dimensions réelles à documenter</x:v>
      </x:c>
      <x:c r="I2247" s="115" t="str">
        <x:v>À équilibrer</x:v>
      </x:c>
      <x:c r="J2247" s="115" t="str">
        <x:v>Non</x:v>
      </x:c>
      <x:c r="K2247" s="115" t="str">
        <x:v>Pièces décrites, murs, portes, niveaux et mobilier inspectables à l’échelle. Volumes réservés, raccord au seed, butin, rencontres et services de campagne restent à terminer.</x:v>
      </x:c>
    </x:row>
    <x:row r="2248" ht="96" customHeight="1">
      <x:c r="A2248" s="115" t="str">
        <x:v>EXT-MONDE-T045-V43</x:v>
      </x:c>
      <x:c r="B2248" s="115" t="str">
        <x:v>EXT-MONDE-T045</x:v>
      </x:c>
      <x:c r="C2248" s="115" t="str">
        <x:v>Trailer parks</x:v>
      </x:c>
      <x:c r="D2248" s="115" t="str">
        <x:v>Parc résidentiel de mobil-homes</x:v>
      </x:c>
      <x:c r="E2248" s="115" t="n">
        <x:v>43</x:v>
      </x:c>
      <x:c r="F2248" s="115" t="str">
        <x:v>Inspection physique</x:v>
      </x:c>
      <x:c r="G2248" s="115" t="str">
        <x:v>1 niveaux ; 60 pièces ; 437 segments de mur ; 0 transitions. Inspection physique ; architecture complète encore ouverte.</x:v>
      </x:c>
      <x:c r="H2248" s="115" t="str">
        <x:v>L 138 ; l 154 ; hauteur 3,2 m ; choix de composition auteur ; dimensions réelles à documenter</x:v>
      </x:c>
      <x:c r="I2248" s="115" t="str">
        <x:v>À équilibrer</x:v>
      </x:c>
      <x:c r="J2248" s="115" t="str">
        <x:v>Non</x:v>
      </x:c>
      <x:c r="K2248" s="115" t="str">
        <x:v>Pièces décrites, murs, portes, niveaux et mobilier inspectables à l’échelle. Volumes réservés, raccord au seed, butin, rencontres et services de campagne restent à terminer.</x:v>
      </x:c>
    </x:row>
    <x:row r="2249" ht="96" customHeight="1">
      <x:c r="A2249" s="115" t="str">
        <x:v>EXT-MONDE-T045-V44</x:v>
      </x:c>
      <x:c r="B2249" s="115" t="str">
        <x:v>EXT-MONDE-T045</x:v>
      </x:c>
      <x:c r="C2249" s="115" t="str">
        <x:v>Trailer parks</x:v>
      </x:c>
      <x:c r="D2249" s="115" t="str">
        <x:v>Parc résidentiel de mobil-homes</x:v>
      </x:c>
      <x:c r="E2249" s="115" t="n">
        <x:v>44</x:v>
      </x:c>
      <x:c r="F2249" s="115" t="str">
        <x:v>Inspection physique</x:v>
      </x:c>
      <x:c r="G2249" s="115" t="str">
        <x:v>1 niveaux ; 30 pièces ; 222 segments de mur ; 0 transitions. Inspection physique ; architecture complète encore ouverte.</x:v>
      </x:c>
      <x:c r="H2249" s="115" t="str">
        <x:v>L 92 ; l 128 ; hauteur 3,2 m ; choix de composition auteur ; dimensions réelles à documenter</x:v>
      </x:c>
      <x:c r="I2249" s="115" t="str">
        <x:v>À équilibrer</x:v>
      </x:c>
      <x:c r="J2249" s="115" t="str">
        <x:v>Non</x:v>
      </x:c>
      <x:c r="K2249" s="115" t="str">
        <x:v>Pièces décrites, murs, portes, niveaux et mobilier inspectables à l’échelle. Volumes réservés, raccord au seed, butin, rencontres et services de campagne restent à terminer.</x:v>
      </x:c>
    </x:row>
    <x:row r="2250" ht="96" customHeight="1">
      <x:c r="A2250" s="115" t="str">
        <x:v>EXT-MONDE-T045-V45</x:v>
      </x:c>
      <x:c r="B2250" s="115" t="str">
        <x:v>EXT-MONDE-T045</x:v>
      </x:c>
      <x:c r="C2250" s="115" t="str">
        <x:v>Trailer parks</x:v>
      </x:c>
      <x:c r="D2250" s="115" t="str">
        <x:v>Parc résidentiel de mobil-homes</x:v>
      </x:c>
      <x:c r="E2250" s="115" t="n">
        <x:v>45</x:v>
      </x:c>
      <x:c r="F2250" s="115" t="str">
        <x:v>Inspection physique</x:v>
      </x:c>
      <x:c r="G2250" s="115" t="str">
        <x:v>1 niveaux ; 36 pièces ; 265 segments de mur ; 0 transitions. Inspection physique ; architecture complète encore ouverte.</x:v>
      </x:c>
      <x:c r="H2250" s="115" t="str">
        <x:v>L 92 ; l 154 ; hauteur 3,2 m ; choix de composition auteur ; dimensions réelles à documenter</x:v>
      </x:c>
      <x:c r="I2250" s="115" t="str">
        <x:v>À équilibrer</x:v>
      </x:c>
      <x:c r="J2250" s="115" t="str">
        <x:v>Non</x:v>
      </x:c>
      <x:c r="K2250" s="115" t="str">
        <x:v>Pièces décrites, murs, portes, niveaux et mobilier inspectables à l’échelle. Volumes réservés, raccord au seed, butin, rencontres et services de campagne restent à terminer.</x:v>
      </x:c>
    </x:row>
    <x:row r="2251" ht="96" customHeight="1">
      <x:c r="A2251" s="115" t="str">
        <x:v>EXT-MONDE-T045-V46</x:v>
      </x:c>
      <x:c r="B2251" s="115" t="str">
        <x:v>EXT-MONDE-T045</x:v>
      </x:c>
      <x:c r="C2251" s="115" t="str">
        <x:v>Trailer parks</x:v>
      </x:c>
      <x:c r="D2251" s="115" t="str">
        <x:v>Parc résidentiel de mobil-homes</x:v>
      </x:c>
      <x:c r="E2251" s="115" t="n">
        <x:v>46</x:v>
      </x:c>
      <x:c r="F2251" s="115" t="str">
        <x:v>Inspection physique</x:v>
      </x:c>
      <x:c r="G2251" s="115" t="str">
        <x:v>1 niveaux ; 48 pièces ; 351 segments de mur ; 0 transitions. Inspection physique ; architecture complète encore ouverte.</x:v>
      </x:c>
      <x:c r="H2251" s="115" t="str">
        <x:v>L 184 ; l 118 ; hauteur 3,2 m ; choix de composition auteur ; dimensions réelles à documenter</x:v>
      </x:c>
      <x:c r="I2251" s="115" t="str">
        <x:v>À équilibrer</x:v>
      </x:c>
      <x:c r="J2251" s="115" t="str">
        <x:v>Non</x:v>
      </x:c>
      <x:c r="K2251" s="115" t="str">
        <x:v>Pièces décrites, murs, portes, niveaux et mobilier inspectables à l’échelle. Volumes réservés, raccord au seed, butin, rencontres et services de campagne restent à terminer.</x:v>
      </x:c>
    </x:row>
    <x:row r="2252" ht="96" customHeight="1">
      <x:c r="A2252" s="115" t="str">
        <x:v>EXT-MONDE-T045-V47</x:v>
      </x:c>
      <x:c r="B2252" s="115" t="str">
        <x:v>EXT-MONDE-T045</x:v>
      </x:c>
      <x:c r="C2252" s="115" t="str">
        <x:v>Trailer parks</x:v>
      </x:c>
      <x:c r="D2252" s="115" t="str">
        <x:v>Parc résidentiel de mobil-homes</x:v>
      </x:c>
      <x:c r="E2252" s="115" t="n">
        <x:v>47</x:v>
      </x:c>
      <x:c r="F2252" s="115" t="str">
        <x:v>Inspection physique</x:v>
      </x:c>
      <x:c r="G2252" s="115" t="str">
        <x:v>1 niveaux ; 66 pièces ; 480 segments de mur ; 0 transitions. Inspection physique ; architecture complète encore ouverte.</x:v>
      </x:c>
      <x:c r="H2252" s="115" t="str">
        <x:v>L 184 ; l 128 ; hauteur 3,2 m ; choix de composition auteur ; dimensions réelles à documenter</x:v>
      </x:c>
      <x:c r="I2252" s="115" t="str">
        <x:v>À équilibrer</x:v>
      </x:c>
      <x:c r="J2252" s="115" t="str">
        <x:v>Non</x:v>
      </x:c>
      <x:c r="K2252" s="115" t="str">
        <x:v>Pièces décrites, murs, portes, niveaux et mobilier inspectables à l’échelle. Volumes réservés, raccord au seed, butin, rencontres et services de campagne restent à terminer.</x:v>
      </x:c>
    </x:row>
    <x:row r="2253" ht="96" customHeight="1">
      <x:c r="A2253" s="115" t="str">
        <x:v>EXT-MONDE-T045-V48</x:v>
      </x:c>
      <x:c r="B2253" s="115" t="str">
        <x:v>EXT-MONDE-T045</x:v>
      </x:c>
      <x:c r="C2253" s="115" t="str">
        <x:v>Trailer parks</x:v>
      </x:c>
      <x:c r="D2253" s="115" t="str">
        <x:v>Parc résidentiel de mobil-homes</x:v>
      </x:c>
      <x:c r="E2253" s="115" t="n">
        <x:v>48</x:v>
      </x:c>
      <x:c r="F2253" s="115" t="str">
        <x:v>Inspection physique</x:v>
      </x:c>
      <x:c r="G2253" s="115" t="str">
        <x:v>1 niveaux ; 54 pièces ; 394 segments de mur ; 0 transitions. Inspection physique ; architecture complète encore ouverte.</x:v>
      </x:c>
      <x:c r="H2253" s="115" t="str">
        <x:v>L 138 ; l 154 ; hauteur 3,2 m ; choix de composition auteur ; dimensions réelles à documenter</x:v>
      </x:c>
      <x:c r="I2253" s="115" t="str">
        <x:v>À équilibrer</x:v>
      </x:c>
      <x:c r="J2253" s="115" t="str">
        <x:v>Non</x:v>
      </x:c>
      <x:c r="K2253" s="115" t="str">
        <x:v>Pièces décrites, murs, portes, niveaux et mobilier inspectables à l’échelle. Volumes réservés, raccord au seed, butin, rencontres et services de campagne restent à terminer.</x:v>
      </x:c>
    </x:row>
    <x:row r="2254" ht="96" customHeight="1">
      <x:c r="A2254" s="115" t="str">
        <x:v>EXT-MONDE-T045-V49</x:v>
      </x:c>
      <x:c r="B2254" s="115" t="str">
        <x:v>EXT-MONDE-T045</x:v>
      </x:c>
      <x:c r="C2254" s="115" t="str">
        <x:v>Trailer parks</x:v>
      </x:c>
      <x:c r="D2254" s="115" t="str">
        <x:v>Parc résidentiel de mobil-homes</x:v>
      </x:c>
      <x:c r="E2254" s="115" t="n">
        <x:v>49</x:v>
      </x:c>
      <x:c r="F2254" s="115" t="str">
        <x:v>Inspection physique</x:v>
      </x:c>
      <x:c r="G2254" s="115" t="str">
        <x:v>1 niveaux ; 42 pièces ; 308 segments de mur ; 0 transitions. Inspection physique ; architecture complète encore ouverte.</x:v>
      </x:c>
      <x:c r="H2254" s="115" t="str">
        <x:v>L 138 ; l 128 ; hauteur 3,2 m ; choix de composition auteur ; dimensions réelles à documenter</x:v>
      </x:c>
      <x:c r="I2254" s="115" t="str">
        <x:v>À équilibrer</x:v>
      </x:c>
      <x:c r="J2254" s="115" t="str">
        <x:v>Non</x:v>
      </x:c>
      <x:c r="K2254" s="115" t="str">
        <x:v>Pièces décrites, murs, portes, niveaux et mobilier inspectables à l’échelle. Volumes réservés, raccord au seed, butin, rencontres et services de campagne restent à terminer.</x:v>
      </x:c>
    </x:row>
    <x:row r="2255" ht="96" customHeight="1">
      <x:c r="A2255" s="115" t="str">
        <x:v>EXT-MONDE-T045-V50</x:v>
      </x:c>
      <x:c r="B2255" s="115" t="str">
        <x:v>EXT-MONDE-T045</x:v>
      </x:c>
      <x:c r="C2255" s="115" t="str">
        <x:v>Trailer parks</x:v>
      </x:c>
      <x:c r="D2255" s="115" t="str">
        <x:v>Parc résidentiel de mobil-homes</x:v>
      </x:c>
      <x:c r="E2255" s="115" t="n">
        <x:v>50</x:v>
      </x:c>
      <x:c r="F2255" s="115" t="str">
        <x:v>Inspection physique</x:v>
      </x:c>
      <x:c r="G2255" s="115" t="str">
        <x:v>1 niveaux ; 72 pièces ; 523 segments de mur ; 0 transitions. Inspection physique ; architecture complète encore ouverte.</x:v>
      </x:c>
      <x:c r="H2255" s="115" t="str">
        <x:v>L 184 ; l 154 ; hauteur 3,2 m ; choix de composition auteur ; dimensions réelles à documenter</x:v>
      </x:c>
      <x:c r="I2255" s="115" t="str">
        <x:v>À équilibrer</x:v>
      </x:c>
      <x:c r="J2255" s="115" t="str">
        <x:v>Non</x:v>
      </x:c>
      <x:c r="K2255" s="115" t="str">
        <x:v>Pièces décrites, murs, portes, niveaux et mobilier inspectables à l’échelle. Volumes réservés, raccord au seed, butin, rencontres et services de campagne restent à terminer.</x:v>
      </x:c>
    </x:row>
    <x:row r="2256" ht="96" customHeight="1">
      <x:c r="A2256" s="115" t="str">
        <x:v>EXT-MONDE-T046-V01</x:v>
      </x:c>
      <x:c r="B2256" s="115" t="str">
        <x:v>EXT-MONDE-T046</x:v>
      </x:c>
      <x:c r="C2256" s="115" t="str">
        <x:v>Trailer parks</x:v>
      </x:c>
      <x:c r="D2256" s="115" t="str">
        <x:v>Camping caravanes</x:v>
      </x:c>
      <x:c r="E2256" s="115" t="n">
        <x:v>1</x:v>
      </x:c>
      <x:c r="F2256" s="115" t="str">
        <x:v>Inspection physique</x:v>
      </x:c>
      <x:c r="G2256" s="115" t="str">
        <x:v>1 niveaux ; 18 pièces ; 136 segments de mur ; 0 transitions. Inspection physique ; architecture complète encore ouverte.</x:v>
      </x:c>
      <x:c r="H2256" s="115" t="str">
        <x:v>L 122 ; l 118 ; hauteur 3,2 m ; choix de composition auteur ; dimensions réelles à documenter</x:v>
      </x:c>
      <x:c r="I2256" s="115" t="str">
        <x:v>À équilibrer</x:v>
      </x:c>
      <x:c r="J2256" s="115" t="str">
        <x:v>Non</x:v>
      </x:c>
      <x:c r="K2256" s="115" t="str">
        <x:v>Pièces décrites, murs, portes, niveaux et mobilier inspectables à l’échelle. Volumes réservés, raccord au seed, butin, rencontres et services de campagne restent à terminer.</x:v>
      </x:c>
    </x:row>
    <x:row r="2257" ht="96" customHeight="1">
      <x:c r="A2257" s="115" t="str">
        <x:v>EXT-MONDE-T046-V02</x:v>
      </x:c>
      <x:c r="B2257" s="115" t="str">
        <x:v>EXT-MONDE-T046</x:v>
      </x:c>
      <x:c r="C2257" s="115" t="str">
        <x:v>Trailer parks</x:v>
      </x:c>
      <x:c r="D2257" s="115" t="str">
        <x:v>Camping caravanes</x:v>
      </x:c>
      <x:c r="E2257" s="115" t="n">
        <x:v>2</x:v>
      </x:c>
      <x:c r="F2257" s="115" t="str">
        <x:v>Inspection physique</x:v>
      </x:c>
      <x:c r="G2257" s="115" t="str">
        <x:v>1 niveaux ; 18 pièces ; 136 segments de mur ; 0 transitions. Inspection physique ; architecture complète encore ouverte.</x:v>
      </x:c>
      <x:c r="H2257" s="115" t="str">
        <x:v>L 122 ; l 118 ; hauteur 3,2 m ; choix de composition auteur ; dimensions réelles à documenter</x:v>
      </x:c>
      <x:c r="I2257" s="115" t="str">
        <x:v>À équilibrer</x:v>
      </x:c>
      <x:c r="J2257" s="115" t="str">
        <x:v>Non</x:v>
      </x:c>
      <x:c r="K2257" s="115" t="str">
        <x:v>Pièces décrites, murs, portes, niveaux et mobilier inspectables à l’échelle. Volumes réservés, raccord au seed, butin, rencontres et services de campagne restent à terminer.</x:v>
      </x:c>
    </x:row>
    <x:row r="2258" ht="96" customHeight="1">
      <x:c r="A2258" s="115" t="str">
        <x:v>EXT-MONDE-T046-V03</x:v>
      </x:c>
      <x:c r="B2258" s="115" t="str">
        <x:v>EXT-MONDE-T046</x:v>
      </x:c>
      <x:c r="C2258" s="115" t="str">
        <x:v>Trailer parks</x:v>
      </x:c>
      <x:c r="D2258" s="115" t="str">
        <x:v>Camping caravanes</x:v>
      </x:c>
      <x:c r="E2258" s="115" t="n">
        <x:v>3</x:v>
      </x:c>
      <x:c r="F2258" s="115" t="str">
        <x:v>Inspection physique</x:v>
      </x:c>
      <x:c r="G2258" s="115" t="str">
        <x:v>1 niveaux ; 18 pièces ; 136 segments de mur ; 0 transitions. Inspection physique ; architecture complète encore ouverte.</x:v>
      </x:c>
      <x:c r="H2258" s="115" t="str">
        <x:v>L 122 ; l 138 ; hauteur 3,2 m ; choix de composition auteur ; dimensions réelles à documenter</x:v>
      </x:c>
      <x:c r="I2258" s="115" t="str">
        <x:v>À équilibrer</x:v>
      </x:c>
      <x:c r="J2258" s="115" t="str">
        <x:v>Non</x:v>
      </x:c>
      <x:c r="K2258" s="115" t="str">
        <x:v>Pièces décrites, murs, portes, niveaux et mobilier inspectables à l’échelle. Volumes réservés, raccord au seed, butin, rencontres et services de campagne restent à terminer.</x:v>
      </x:c>
    </x:row>
    <x:row r="2259" ht="96" customHeight="1">
      <x:c r="A2259" s="115" t="str">
        <x:v>EXT-MONDE-T046-V04</x:v>
      </x:c>
      <x:c r="B2259" s="115" t="str">
        <x:v>EXT-MONDE-T046</x:v>
      </x:c>
      <x:c r="C2259" s="115" t="str">
        <x:v>Trailer parks</x:v>
      </x:c>
      <x:c r="D2259" s="115" t="str">
        <x:v>Camping caravanes</x:v>
      </x:c>
      <x:c r="E2259" s="115" t="n">
        <x:v>4</x:v>
      </x:c>
      <x:c r="F2259" s="115" t="str">
        <x:v>Inspection physique</x:v>
      </x:c>
      <x:c r="G2259" s="115" t="str">
        <x:v>1 niveaux ; 18 pièces ; 136 segments de mur ; 0 transitions. Inspection physique ; architecture complète encore ouverte.</x:v>
      </x:c>
      <x:c r="H2259" s="115" t="str">
        <x:v>L 84 ; l 118 ; hauteur 3,2 m ; choix de composition auteur ; dimensions réelles à documenter</x:v>
      </x:c>
      <x:c r="I2259" s="115" t="str">
        <x:v>À équilibrer</x:v>
      </x:c>
      <x:c r="J2259" s="115" t="str">
        <x:v>Non</x:v>
      </x:c>
      <x:c r="K2259" s="115" t="str">
        <x:v>Pièces décrites, murs, portes, niveaux et mobilier inspectables à l’échelle. Volumes réservés, raccord au seed, butin, rencontres et services de campagne restent à terminer.</x:v>
      </x:c>
    </x:row>
    <x:row r="2260" ht="96" customHeight="1">
      <x:c r="A2260" s="115" t="str">
        <x:v>EXT-MONDE-T046-V05</x:v>
      </x:c>
      <x:c r="B2260" s="115" t="str">
        <x:v>EXT-MONDE-T046</x:v>
      </x:c>
      <x:c r="C2260" s="115" t="str">
        <x:v>Trailer parks</x:v>
      </x:c>
      <x:c r="D2260" s="115" t="str">
        <x:v>Camping caravanes</x:v>
      </x:c>
      <x:c r="E2260" s="115" t="n">
        <x:v>5</x:v>
      </x:c>
      <x:c r="F2260" s="115" t="str">
        <x:v>Inspection physique</x:v>
      </x:c>
      <x:c r="G2260" s="115" t="str">
        <x:v>1 niveaux ; 18 pièces ; 136 segments de mur ; 0 transitions. Inspection physique ; architecture complète encore ouverte.</x:v>
      </x:c>
      <x:c r="H2260" s="115" t="str">
        <x:v>L 84 ; l 138 ; hauteur 3,2 m ; choix de composition auteur ; dimensions réelles à documenter</x:v>
      </x:c>
      <x:c r="I2260" s="115" t="str">
        <x:v>À équilibrer</x:v>
      </x:c>
      <x:c r="J2260" s="115" t="str">
        <x:v>Non</x:v>
      </x:c>
      <x:c r="K2260" s="115" t="str">
        <x:v>Pièces décrites, murs, portes, niveaux et mobilier inspectables à l’échelle. Volumes réservés, raccord au seed, butin, rencontres et services de campagne restent à terminer.</x:v>
      </x:c>
    </x:row>
    <x:row r="2261" ht="96" customHeight="1">
      <x:c r="A2261" s="115" t="str">
        <x:v>EXT-MONDE-T046-V06</x:v>
      </x:c>
      <x:c r="B2261" s="115" t="str">
        <x:v>EXT-MONDE-T046</x:v>
      </x:c>
      <x:c r="C2261" s="115" t="str">
        <x:v>Trailer parks</x:v>
      </x:c>
      <x:c r="D2261" s="115" t="str">
        <x:v>Camping caravanes</x:v>
      </x:c>
      <x:c r="E2261" s="115" t="n">
        <x:v>6</x:v>
      </x:c>
      <x:c r="F2261" s="115" t="str">
        <x:v>Inspection physique</x:v>
      </x:c>
      <x:c r="G2261" s="115" t="str">
        <x:v>1 niveaux ; 18 pièces ; 136 segments de mur ; 0 transitions. Inspection physique ; architecture complète encore ouverte.</x:v>
      </x:c>
      <x:c r="H2261" s="115" t="str">
        <x:v>L 160 ; l 118 ; hauteur 3,2 m ; choix de composition auteur ; dimensions réelles à documenter</x:v>
      </x:c>
      <x:c r="I2261" s="115" t="str">
        <x:v>À équilibrer</x:v>
      </x:c>
      <x:c r="J2261" s="115" t="str">
        <x:v>Non</x:v>
      </x:c>
      <x:c r="K2261" s="115" t="str">
        <x:v>Pièces décrites, murs, portes, niveaux et mobilier inspectables à l’échelle. Volumes réservés, raccord au seed, butin, rencontres et services de campagne restent à terminer.</x:v>
      </x:c>
    </x:row>
    <x:row r="2262" ht="96" customHeight="1">
      <x:c r="A2262" s="115" t="str">
        <x:v>EXT-MONDE-T046-V07</x:v>
      </x:c>
      <x:c r="B2262" s="115" t="str">
        <x:v>EXT-MONDE-T046</x:v>
      </x:c>
      <x:c r="C2262" s="115" t="str">
        <x:v>Trailer parks</x:v>
      </x:c>
      <x:c r="D2262" s="115" t="str">
        <x:v>Camping caravanes</x:v>
      </x:c>
      <x:c r="E2262" s="115" t="n">
        <x:v>7</x:v>
      </x:c>
      <x:c r="F2262" s="115" t="str">
        <x:v>Inspection physique</x:v>
      </x:c>
      <x:c r="G2262" s="115" t="str">
        <x:v>1 niveaux ; 18 pièces ; 136 segments de mur ; 0 transitions. Inspection physique ; architecture complète encore ouverte.</x:v>
      </x:c>
      <x:c r="H2262" s="115" t="str">
        <x:v>L 160 ; l 118 ; hauteur 3,2 m ; choix de composition auteur ; dimensions réelles à documenter</x:v>
      </x:c>
      <x:c r="I2262" s="115" t="str">
        <x:v>À équilibrer</x:v>
      </x:c>
      <x:c r="J2262" s="115" t="str">
        <x:v>Non</x:v>
      </x:c>
      <x:c r="K2262" s="115" t="str">
        <x:v>Pièces décrites, murs, portes, niveaux et mobilier inspectables à l’échelle. Volumes réservés, raccord au seed, butin, rencontres et services de campagne restent à terminer.</x:v>
      </x:c>
    </x:row>
    <x:row r="2263" ht="96" customHeight="1">
      <x:c r="A2263" s="115" t="str">
        <x:v>EXT-MONDE-T046-V08</x:v>
      </x:c>
      <x:c r="B2263" s="115" t="str">
        <x:v>EXT-MONDE-T046</x:v>
      </x:c>
      <x:c r="C2263" s="115" t="str">
        <x:v>Trailer parks</x:v>
      </x:c>
      <x:c r="D2263" s="115" t="str">
        <x:v>Camping caravanes</x:v>
      </x:c>
      <x:c r="E2263" s="115" t="n">
        <x:v>8</x:v>
      </x:c>
      <x:c r="F2263" s="115" t="str">
        <x:v>Inspection physique</x:v>
      </x:c>
      <x:c r="G2263" s="115" t="str">
        <x:v>1 niveaux ; 18 pièces ; 136 segments de mur ; 0 transitions. Inspection physique ; architecture complète encore ouverte.</x:v>
      </x:c>
      <x:c r="H2263" s="115" t="str">
        <x:v>L 122 ; l 138 ; hauteur 3,2 m ; choix de composition auteur ; dimensions réelles à documenter</x:v>
      </x:c>
      <x:c r="I2263" s="115" t="str">
        <x:v>À équilibrer</x:v>
      </x:c>
      <x:c r="J2263" s="115" t="str">
        <x:v>Non</x:v>
      </x:c>
      <x:c r="K2263" s="115" t="str">
        <x:v>Pièces décrites, murs, portes, niveaux et mobilier inspectables à l’échelle. Volumes réservés, raccord au seed, butin, rencontres et services de campagne restent à terminer.</x:v>
      </x:c>
    </x:row>
    <x:row r="2264" ht="96" customHeight="1">
      <x:c r="A2264" s="115" t="str">
        <x:v>EXT-MONDE-T046-V09</x:v>
      </x:c>
      <x:c r="B2264" s="115" t="str">
        <x:v>EXT-MONDE-T046</x:v>
      </x:c>
      <x:c r="C2264" s="115" t="str">
        <x:v>Trailer parks</x:v>
      </x:c>
      <x:c r="D2264" s="115" t="str">
        <x:v>Camping caravanes</x:v>
      </x:c>
      <x:c r="E2264" s="115" t="n">
        <x:v>9</x:v>
      </x:c>
      <x:c r="F2264" s="115" t="str">
        <x:v>Inspection physique</x:v>
      </x:c>
      <x:c r="G2264" s="115" t="str">
        <x:v>1 niveaux ; 18 pièces ; 136 segments de mur ; 0 transitions. Inspection physique ; architecture complète encore ouverte.</x:v>
      </x:c>
      <x:c r="H2264" s="115" t="str">
        <x:v>L 122 ; l 118 ; hauteur 3,2 m ; choix de composition auteur ; dimensions réelles à documenter</x:v>
      </x:c>
      <x:c r="I2264" s="115" t="str">
        <x:v>À équilibrer</x:v>
      </x:c>
      <x:c r="J2264" s="115" t="str">
        <x:v>Non</x:v>
      </x:c>
      <x:c r="K2264" s="115" t="str">
        <x:v>Pièces décrites, murs, portes, niveaux et mobilier inspectables à l’échelle. Volumes réservés, raccord au seed, butin, rencontres et services de campagne restent à terminer.</x:v>
      </x:c>
    </x:row>
    <x:row r="2265" ht="96" customHeight="1">
      <x:c r="A2265" s="115" t="str">
        <x:v>EXT-MONDE-T046-V10</x:v>
      </x:c>
      <x:c r="B2265" s="115" t="str">
        <x:v>EXT-MONDE-T046</x:v>
      </x:c>
      <x:c r="C2265" s="115" t="str">
        <x:v>Trailer parks</x:v>
      </x:c>
      <x:c r="D2265" s="115" t="str">
        <x:v>Camping caravanes</x:v>
      </x:c>
      <x:c r="E2265" s="115" t="n">
        <x:v>10</x:v>
      </x:c>
      <x:c r="F2265" s="115" t="str">
        <x:v>Inspection physique</x:v>
      </x:c>
      <x:c r="G2265" s="115" t="str">
        <x:v>1 niveaux ; 18 pièces ; 136 segments de mur ; 0 transitions. Inspection physique ; architecture complète encore ouverte.</x:v>
      </x:c>
      <x:c r="H2265" s="115" t="str">
        <x:v>L 160 ; l 138 ; hauteur 3,2 m ; choix de composition auteur ; dimensions réelles à documenter</x:v>
      </x:c>
      <x:c r="I2265" s="115" t="str">
        <x:v>À équilibrer</x:v>
      </x:c>
      <x:c r="J2265" s="115" t="str">
        <x:v>Non</x:v>
      </x:c>
      <x:c r="K2265" s="115" t="str">
        <x:v>Pièces décrites, murs, portes, niveaux et mobilier inspectables à l’échelle. Volumes réservés, raccord au seed, butin, rencontres et services de campagne restent à terminer.</x:v>
      </x:c>
    </x:row>
    <x:row r="2266" ht="96" customHeight="1">
      <x:c r="A2266" s="115" t="str">
        <x:v>EXT-MONDE-T046-V11</x:v>
      </x:c>
      <x:c r="B2266" s="115" t="str">
        <x:v>EXT-MONDE-T046</x:v>
      </x:c>
      <x:c r="C2266" s="115" t="str">
        <x:v>Trailer parks</x:v>
      </x:c>
      <x:c r="D2266" s="115" t="str">
        <x:v>Camping caravanes</x:v>
      </x:c>
      <x:c r="E2266" s="115" t="n">
        <x:v>11</x:v>
      </x:c>
      <x:c r="F2266" s="115" t="str">
        <x:v>Inspection physique</x:v>
      </x:c>
      <x:c r="G2266" s="115" t="str">
        <x:v>1 niveaux ; 18 pièces ; 136 segments de mur ; 0 transitions. Inspection physique ; architecture complète encore ouverte.</x:v>
      </x:c>
      <x:c r="H2266" s="115" t="str">
        <x:v>L 126 ; l 118 ; hauteur 3,2 m ; choix de composition auteur ; dimensions réelles à documenter</x:v>
      </x:c>
      <x:c r="I2266" s="115" t="str">
        <x:v>À équilibrer</x:v>
      </x:c>
      <x:c r="J2266" s="115" t="str">
        <x:v>Non</x:v>
      </x:c>
      <x:c r="K2266" s="115" t="str">
        <x:v>Pièces décrites, murs, portes, niveaux et mobilier inspectables à l’échelle. Volumes réservés, raccord au seed, butin, rencontres et services de campagne restent à terminer.</x:v>
      </x:c>
    </x:row>
    <x:row r="2267" ht="96" customHeight="1">
      <x:c r="A2267" s="115" t="str">
        <x:v>EXT-MONDE-T046-V12</x:v>
      </x:c>
      <x:c r="B2267" s="115" t="str">
        <x:v>EXT-MONDE-T046</x:v>
      </x:c>
      <x:c r="C2267" s="115" t="str">
        <x:v>Trailer parks</x:v>
      </x:c>
      <x:c r="D2267" s="115" t="str">
        <x:v>Camping caravanes</x:v>
      </x:c>
      <x:c r="E2267" s="115" t="n">
        <x:v>12</x:v>
      </x:c>
      <x:c r="F2267" s="115" t="str">
        <x:v>Inspection physique</x:v>
      </x:c>
      <x:c r="G2267" s="115" t="str">
        <x:v>1 niveaux ; 18 pièces ; 136 segments de mur ; 0 transitions. Inspection physique ; architecture complète encore ouverte.</x:v>
      </x:c>
      <x:c r="H2267" s="115" t="str">
        <x:v>L 126 ; l 119 ; hauteur 3,2 m ; choix de composition auteur ; dimensions réelles à documenter</x:v>
      </x:c>
      <x:c r="I2267" s="115" t="str">
        <x:v>À équilibrer</x:v>
      </x:c>
      <x:c r="J2267" s="115" t="str">
        <x:v>Non</x:v>
      </x:c>
      <x:c r="K2267" s="115" t="str">
        <x:v>Pièces décrites, murs, portes, niveaux et mobilier inspectables à l’échelle. Volumes réservés, raccord au seed, butin, rencontres et services de campagne restent à terminer.</x:v>
      </x:c>
    </x:row>
    <x:row r="2268" ht="96" customHeight="1">
      <x:c r="A2268" s="115" t="str">
        <x:v>EXT-MONDE-T046-V13</x:v>
      </x:c>
      <x:c r="B2268" s="115" t="str">
        <x:v>EXT-MONDE-T046</x:v>
      </x:c>
      <x:c r="C2268" s="115" t="str">
        <x:v>Trailer parks</x:v>
      </x:c>
      <x:c r="D2268" s="115" t="str">
        <x:v>Camping caravanes</x:v>
      </x:c>
      <x:c r="E2268" s="115" t="n">
        <x:v>13</x:v>
      </x:c>
      <x:c r="F2268" s="115" t="str">
        <x:v>Inspection physique</x:v>
      </x:c>
      <x:c r="G2268" s="115" t="str">
        <x:v>1 niveaux ; 18 pièces ; 136 segments de mur ; 0 transitions. Inspection physique ; architecture complète encore ouverte.</x:v>
      </x:c>
      <x:c r="H2268" s="115" t="str">
        <x:v>L 126 ; l 142 ; hauteur 3,2 m ; choix de composition auteur ; dimensions réelles à documenter</x:v>
      </x:c>
      <x:c r="I2268" s="115" t="str">
        <x:v>À équilibrer</x:v>
      </x:c>
      <x:c r="J2268" s="115" t="str">
        <x:v>Non</x:v>
      </x:c>
      <x:c r="K2268" s="115" t="str">
        <x:v>Pièces décrites, murs, portes, niveaux et mobilier inspectables à l’échelle. Volumes réservés, raccord au seed, butin, rencontres et services de campagne restent à terminer.</x:v>
      </x:c>
    </x:row>
    <x:row r="2269" ht="96" customHeight="1">
      <x:c r="A2269" s="115" t="str">
        <x:v>EXT-MONDE-T046-V14</x:v>
      </x:c>
      <x:c r="B2269" s="115" t="str">
        <x:v>EXT-MONDE-T046</x:v>
      </x:c>
      <x:c r="C2269" s="115" t="str">
        <x:v>Trailer parks</x:v>
      </x:c>
      <x:c r="D2269" s="115" t="str">
        <x:v>Camping caravanes</x:v>
      </x:c>
      <x:c r="E2269" s="115" t="n">
        <x:v>14</x:v>
      </x:c>
      <x:c r="F2269" s="115" t="str">
        <x:v>Inspection physique</x:v>
      </x:c>
      <x:c r="G2269" s="115" t="str">
        <x:v>1 niveaux ; 18 pièces ; 136 segments de mur ; 0 transitions. Inspection physique ; architecture complète encore ouverte.</x:v>
      </x:c>
      <x:c r="H2269" s="115" t="str">
        <x:v>L 86 ; l 119 ; hauteur 3,2 m ; choix de composition auteur ; dimensions réelles à documenter</x:v>
      </x:c>
      <x:c r="I2269" s="115" t="str">
        <x:v>À équilibrer</x:v>
      </x:c>
      <x:c r="J2269" s="115" t="str">
        <x:v>Non</x:v>
      </x:c>
      <x:c r="K2269" s="115" t="str">
        <x:v>Pièces décrites, murs, portes, niveaux et mobilier inspectables à l’échelle. Volumes réservés, raccord au seed, butin, rencontres et services de campagne restent à terminer.</x:v>
      </x:c>
    </x:row>
    <x:row r="2270" ht="96" customHeight="1">
      <x:c r="A2270" s="115" t="str">
        <x:v>EXT-MONDE-T046-V15</x:v>
      </x:c>
      <x:c r="B2270" s="115" t="str">
        <x:v>EXT-MONDE-T046</x:v>
      </x:c>
      <x:c r="C2270" s="115" t="str">
        <x:v>Trailer parks</x:v>
      </x:c>
      <x:c r="D2270" s="115" t="str">
        <x:v>Camping caravanes</x:v>
      </x:c>
      <x:c r="E2270" s="115" t="n">
        <x:v>15</x:v>
      </x:c>
      <x:c r="F2270" s="115" t="str">
        <x:v>Inspection physique</x:v>
      </x:c>
      <x:c r="G2270" s="115" t="str">
        <x:v>1 niveaux ; 18 pièces ; 136 segments de mur ; 0 transitions. Inspection physique ; architecture complète encore ouverte.</x:v>
      </x:c>
      <x:c r="H2270" s="115" t="str">
        <x:v>L 86 ; l 142 ; hauteur 3,2 m ; choix de composition auteur ; dimensions réelles à documenter</x:v>
      </x:c>
      <x:c r="I2270" s="115" t="str">
        <x:v>À équilibrer</x:v>
      </x:c>
      <x:c r="J2270" s="115" t="str">
        <x:v>Non</x:v>
      </x:c>
      <x:c r="K2270" s="115" t="str">
        <x:v>Pièces décrites, murs, portes, niveaux et mobilier inspectables à l’échelle. Volumes réservés, raccord au seed, butin, rencontres et services de campagne restent à terminer.</x:v>
      </x:c>
    </x:row>
    <x:row r="2271" ht="96" customHeight="1">
      <x:c r="A2271" s="115" t="str">
        <x:v>EXT-MONDE-T046-V16</x:v>
      </x:c>
      <x:c r="B2271" s="115" t="str">
        <x:v>EXT-MONDE-T046</x:v>
      </x:c>
      <x:c r="C2271" s="115" t="str">
        <x:v>Trailer parks</x:v>
      </x:c>
      <x:c r="D2271" s="115" t="str">
        <x:v>Camping caravanes</x:v>
      </x:c>
      <x:c r="E2271" s="115" t="n">
        <x:v>16</x:v>
      </x:c>
      <x:c r="F2271" s="115" t="str">
        <x:v>Inspection physique</x:v>
      </x:c>
      <x:c r="G2271" s="115" t="str">
        <x:v>1 niveaux ; 18 pièces ; 136 segments de mur ; 0 transitions. Inspection physique ; architecture complète encore ouverte.</x:v>
      </x:c>
      <x:c r="H2271" s="115" t="str">
        <x:v>L 166 ; l 118 ; hauteur 3,2 m ; choix de composition auteur ; dimensions réelles à documenter</x:v>
      </x:c>
      <x:c r="I2271" s="115" t="str">
        <x:v>À équilibrer</x:v>
      </x:c>
      <x:c r="J2271" s="115" t="str">
        <x:v>Non</x:v>
      </x:c>
      <x:c r="K2271" s="115" t="str">
        <x:v>Pièces décrites, murs, portes, niveaux et mobilier inspectables à l’échelle. Volumes réservés, raccord au seed, butin, rencontres et services de campagne restent à terminer.</x:v>
      </x:c>
    </x:row>
    <x:row r="2272" ht="96" customHeight="1">
      <x:c r="A2272" s="115" t="str">
        <x:v>EXT-MONDE-T046-V17</x:v>
      </x:c>
      <x:c r="B2272" s="115" t="str">
        <x:v>EXT-MONDE-T046</x:v>
      </x:c>
      <x:c r="C2272" s="115" t="str">
        <x:v>Trailer parks</x:v>
      </x:c>
      <x:c r="D2272" s="115" t="str">
        <x:v>Camping caravanes</x:v>
      </x:c>
      <x:c r="E2272" s="115" t="n">
        <x:v>17</x:v>
      </x:c>
      <x:c r="F2272" s="115" t="str">
        <x:v>Inspection physique</x:v>
      </x:c>
      <x:c r="G2272" s="115" t="str">
        <x:v>1 niveaux ; 18 pièces ; 136 segments de mur ; 0 transitions. Inspection physique ; architecture complète encore ouverte.</x:v>
      </x:c>
      <x:c r="H2272" s="115" t="str">
        <x:v>L 166 ; l 119 ; hauteur 3,2 m ; choix de composition auteur ; dimensions réelles à documenter</x:v>
      </x:c>
      <x:c r="I2272" s="115" t="str">
        <x:v>À équilibrer</x:v>
      </x:c>
      <x:c r="J2272" s="115" t="str">
        <x:v>Non</x:v>
      </x:c>
      <x:c r="K2272" s="115" t="str">
        <x:v>Pièces décrites, murs, portes, niveaux et mobilier inspectables à l’échelle. Volumes réservés, raccord au seed, butin, rencontres et services de campagne restent à terminer.</x:v>
      </x:c>
    </x:row>
    <x:row r="2273" ht="96" customHeight="1">
      <x:c r="A2273" s="115" t="str">
        <x:v>EXT-MONDE-T046-V18</x:v>
      </x:c>
      <x:c r="B2273" s="115" t="str">
        <x:v>EXT-MONDE-T046</x:v>
      </x:c>
      <x:c r="C2273" s="115" t="str">
        <x:v>Trailer parks</x:v>
      </x:c>
      <x:c r="D2273" s="115" t="str">
        <x:v>Camping caravanes</x:v>
      </x:c>
      <x:c r="E2273" s="115" t="n">
        <x:v>18</x:v>
      </x:c>
      <x:c r="F2273" s="115" t="str">
        <x:v>Inspection physique</x:v>
      </x:c>
      <x:c r="G2273" s="115" t="str">
        <x:v>1 niveaux ; 18 pièces ; 136 segments de mur ; 0 transitions. Inspection physique ; architecture complète encore ouverte.</x:v>
      </x:c>
      <x:c r="H2273" s="115" t="str">
        <x:v>L 126 ; l 142 ; hauteur 3,2 m ; choix de composition auteur ; dimensions réelles à documenter</x:v>
      </x:c>
      <x:c r="I2273" s="115" t="str">
        <x:v>À équilibrer</x:v>
      </x:c>
      <x:c r="J2273" s="115" t="str">
        <x:v>Non</x:v>
      </x:c>
      <x:c r="K2273" s="115" t="str">
        <x:v>Pièces décrites, murs, portes, niveaux et mobilier inspectables à l’échelle. Volumes réservés, raccord au seed, butin, rencontres et services de campagne restent à terminer.</x:v>
      </x:c>
    </x:row>
    <x:row r="2274" ht="96" customHeight="1">
      <x:c r="A2274" s="115" t="str">
        <x:v>EXT-MONDE-T046-V19</x:v>
      </x:c>
      <x:c r="B2274" s="115" t="str">
        <x:v>EXT-MONDE-T046</x:v>
      </x:c>
      <x:c r="C2274" s="115" t="str">
        <x:v>Trailer parks</x:v>
      </x:c>
      <x:c r="D2274" s="115" t="str">
        <x:v>Camping caravanes</x:v>
      </x:c>
      <x:c r="E2274" s="115" t="n">
        <x:v>19</x:v>
      </x:c>
      <x:c r="F2274" s="115" t="str">
        <x:v>Inspection physique</x:v>
      </x:c>
      <x:c r="G2274" s="115" t="str">
        <x:v>1 niveaux ; 18 pièces ; 136 segments de mur ; 0 transitions. Inspection physique ; architecture complète encore ouverte.</x:v>
      </x:c>
      <x:c r="H2274" s="115" t="str">
        <x:v>L 126 ; l 119 ; hauteur 3,2 m ; choix de composition auteur ; dimensions réelles à documenter</x:v>
      </x:c>
      <x:c r="I2274" s="115" t="str">
        <x:v>À équilibrer</x:v>
      </x:c>
      <x:c r="J2274" s="115" t="str">
        <x:v>Non</x:v>
      </x:c>
      <x:c r="K2274" s="115" t="str">
        <x:v>Pièces décrites, murs, portes, niveaux et mobilier inspectables à l’échelle. Volumes réservés, raccord au seed, butin, rencontres et services de campagne restent à terminer.</x:v>
      </x:c>
    </x:row>
    <x:row r="2275" ht="96" customHeight="1">
      <x:c r="A2275" s="115" t="str">
        <x:v>EXT-MONDE-T046-V20</x:v>
      </x:c>
      <x:c r="B2275" s="115" t="str">
        <x:v>EXT-MONDE-T046</x:v>
      </x:c>
      <x:c r="C2275" s="115" t="str">
        <x:v>Trailer parks</x:v>
      </x:c>
      <x:c r="D2275" s="115" t="str">
        <x:v>Camping caravanes</x:v>
      </x:c>
      <x:c r="E2275" s="115" t="n">
        <x:v>20</x:v>
      </x:c>
      <x:c r="F2275" s="115" t="str">
        <x:v>Inspection physique</x:v>
      </x:c>
      <x:c r="G2275" s="115" t="str">
        <x:v>1 niveaux ; 18 pièces ; 136 segments de mur ; 0 transitions. Inspection physique ; architecture complète encore ouverte.</x:v>
      </x:c>
      <x:c r="H2275" s="115" t="str">
        <x:v>L 166 ; l 142 ; hauteur 3,2 m ; choix de composition auteur ; dimensions réelles à documenter</x:v>
      </x:c>
      <x:c r="I2275" s="115" t="str">
        <x:v>À équilibrer</x:v>
      </x:c>
      <x:c r="J2275" s="115" t="str">
        <x:v>Non</x:v>
      </x:c>
      <x:c r="K2275" s="115" t="str">
        <x:v>Pièces décrites, murs, portes, niveaux et mobilier inspectables à l’échelle. Volumes réservés, raccord au seed, butin, rencontres et services de campagne restent à terminer.</x:v>
      </x:c>
    </x:row>
    <x:row r="2276" ht="96" customHeight="1">
      <x:c r="A2276" s="115" t="str">
        <x:v>EXT-MONDE-T046-V21</x:v>
      </x:c>
      <x:c r="B2276" s="115" t="str">
        <x:v>EXT-MONDE-T046</x:v>
      </x:c>
      <x:c r="C2276" s="115" t="str">
        <x:v>Trailer parks</x:v>
      </x:c>
      <x:c r="D2276" s="115" t="str">
        <x:v>Camping caravanes</x:v>
      </x:c>
      <x:c r="E2276" s="115" t="n">
        <x:v>21</x:v>
      </x:c>
      <x:c r="F2276" s="115" t="str">
        <x:v>Inspection physique</x:v>
      </x:c>
      <x:c r="G2276" s="115" t="str">
        <x:v>1 niveaux ; 18 pièces ; 136 segments de mur ; 0 transitions. Inspection physique ; architecture complète encore ouverte.</x:v>
      </x:c>
      <x:c r="H2276" s="115" t="str">
        <x:v>L 130 ; l 118 ; hauteur 3,2 m ; choix de composition auteur ; dimensions réelles à documenter</x:v>
      </x:c>
      <x:c r="I2276" s="115" t="str">
        <x:v>À équilibrer</x:v>
      </x:c>
      <x:c r="J2276" s="115" t="str">
        <x:v>Non</x:v>
      </x:c>
      <x:c r="K2276" s="115" t="str">
        <x:v>Pièces décrites, murs, portes, niveaux et mobilier inspectables à l’échelle. Volumes réservés, raccord au seed, butin, rencontres et services de campagne restent à terminer.</x:v>
      </x:c>
    </x:row>
    <x:row r="2277" ht="96" customHeight="1">
      <x:c r="A2277" s="115" t="str">
        <x:v>EXT-MONDE-T046-V22</x:v>
      </x:c>
      <x:c r="B2277" s="115" t="str">
        <x:v>EXT-MONDE-T046</x:v>
      </x:c>
      <x:c r="C2277" s="115" t="str">
        <x:v>Trailer parks</x:v>
      </x:c>
      <x:c r="D2277" s="115" t="str">
        <x:v>Camping caravanes</x:v>
      </x:c>
      <x:c r="E2277" s="115" t="n">
        <x:v>22</x:v>
      </x:c>
      <x:c r="F2277" s="115" t="str">
        <x:v>Inspection physique</x:v>
      </x:c>
      <x:c r="G2277" s="115" t="str">
        <x:v>1 niveaux ; 18 pièces ; 136 segments de mur ; 0 transitions. Inspection physique ; architecture complète encore ouverte.</x:v>
      </x:c>
      <x:c r="H2277" s="115" t="str">
        <x:v>L 130 ; l 122 ; hauteur 3,2 m ; choix de composition auteur ; dimensions réelles à documenter</x:v>
      </x:c>
      <x:c r="I2277" s="115" t="str">
        <x:v>À équilibrer</x:v>
      </x:c>
      <x:c r="J2277" s="115" t="str">
        <x:v>Non</x:v>
      </x:c>
      <x:c r="K2277" s="115" t="str">
        <x:v>Pièces décrites, murs, portes, niveaux et mobilier inspectables à l’échelle. Volumes réservés, raccord au seed, butin, rencontres et services de campagne restent à terminer.</x:v>
      </x:c>
    </x:row>
    <x:row r="2278" ht="96" customHeight="1">
      <x:c r="A2278" s="115" t="str">
        <x:v>EXT-MONDE-T046-V23</x:v>
      </x:c>
      <x:c r="B2278" s="115" t="str">
        <x:v>EXT-MONDE-T046</x:v>
      </x:c>
      <x:c r="C2278" s="115" t="str">
        <x:v>Trailer parks</x:v>
      </x:c>
      <x:c r="D2278" s="115" t="str">
        <x:v>Camping caravanes</x:v>
      </x:c>
      <x:c r="E2278" s="115" t="n">
        <x:v>23</x:v>
      </x:c>
      <x:c r="F2278" s="115" t="str">
        <x:v>Inspection physique</x:v>
      </x:c>
      <x:c r="G2278" s="115" t="str">
        <x:v>1 niveaux ; 18 pièces ; 136 segments de mur ; 0 transitions. Inspection physique ; architecture complète encore ouverte.</x:v>
      </x:c>
      <x:c r="H2278" s="115" t="str">
        <x:v>L 130 ; l 146 ; hauteur 3,2 m ; choix de composition auteur ; dimensions réelles à documenter</x:v>
      </x:c>
      <x:c r="I2278" s="115" t="str">
        <x:v>À équilibrer</x:v>
      </x:c>
      <x:c r="J2278" s="115" t="str">
        <x:v>Non</x:v>
      </x:c>
      <x:c r="K2278" s="115" t="str">
        <x:v>Pièces décrites, murs, portes, niveaux et mobilier inspectables à l’échelle. Volumes réservés, raccord au seed, butin, rencontres et services de campagne restent à terminer.</x:v>
      </x:c>
    </x:row>
    <x:row r="2279" ht="96" customHeight="1">
      <x:c r="A2279" s="115" t="str">
        <x:v>EXT-MONDE-T046-V24</x:v>
      </x:c>
      <x:c r="B2279" s="115" t="str">
        <x:v>EXT-MONDE-T046</x:v>
      </x:c>
      <x:c r="C2279" s="115" t="str">
        <x:v>Trailer parks</x:v>
      </x:c>
      <x:c r="D2279" s="115" t="str">
        <x:v>Camping caravanes</x:v>
      </x:c>
      <x:c r="E2279" s="115" t="n">
        <x:v>24</x:v>
      </x:c>
      <x:c r="F2279" s="115" t="str">
        <x:v>Inspection physique</x:v>
      </x:c>
      <x:c r="G2279" s="115" t="str">
        <x:v>1 niveaux ; 18 pièces ; 136 segments de mur ; 0 transitions. Inspection physique ; architecture complète encore ouverte.</x:v>
      </x:c>
      <x:c r="H2279" s="115" t="str">
        <x:v>L 88 ; l 122 ; hauteur 3,2 m ; choix de composition auteur ; dimensions réelles à documenter</x:v>
      </x:c>
      <x:c r="I2279" s="115" t="str">
        <x:v>À équilibrer</x:v>
      </x:c>
      <x:c r="J2279" s="115" t="str">
        <x:v>Non</x:v>
      </x:c>
      <x:c r="K2279" s="115" t="str">
        <x:v>Pièces décrites, murs, portes, niveaux et mobilier inspectables à l’échelle. Volumes réservés, raccord au seed, butin, rencontres et services de campagne restent à terminer.</x:v>
      </x:c>
    </x:row>
    <x:row r="2280" ht="96" customHeight="1">
      <x:c r="A2280" s="115" t="str">
        <x:v>EXT-MONDE-T046-V25</x:v>
      </x:c>
      <x:c r="B2280" s="115" t="str">
        <x:v>EXT-MONDE-T046</x:v>
      </x:c>
      <x:c r="C2280" s="115" t="str">
        <x:v>Trailer parks</x:v>
      </x:c>
      <x:c r="D2280" s="115" t="str">
        <x:v>Camping caravanes</x:v>
      </x:c>
      <x:c r="E2280" s="115" t="n">
        <x:v>25</x:v>
      </x:c>
      <x:c r="F2280" s="115" t="str">
        <x:v>Inspection physique</x:v>
      </x:c>
      <x:c r="G2280" s="115" t="str">
        <x:v>1 niveaux ; 18 pièces ; 136 segments de mur ; 0 transitions. Inspection physique ; architecture complète encore ouverte.</x:v>
      </x:c>
      <x:c r="H2280" s="115" t="str">
        <x:v>L 88 ; l 146 ; hauteur 3,2 m ; choix de composition auteur ; dimensions réelles à documenter</x:v>
      </x:c>
      <x:c r="I2280" s="115" t="str">
        <x:v>À équilibrer</x:v>
      </x:c>
      <x:c r="J2280" s="115" t="str">
        <x:v>Non</x:v>
      </x:c>
      <x:c r="K2280" s="115" t="str">
        <x:v>Pièces décrites, murs, portes, niveaux et mobilier inspectables à l’échelle. Volumes réservés, raccord au seed, butin, rencontres et services de campagne restent à terminer.</x:v>
      </x:c>
    </x:row>
    <x:row r="2281" ht="96" customHeight="1">
      <x:c r="A2281" s="115" t="str">
        <x:v>EXT-MONDE-T046-V26</x:v>
      </x:c>
      <x:c r="B2281" s="115" t="str">
        <x:v>EXT-MONDE-T046</x:v>
      </x:c>
      <x:c r="C2281" s="115" t="str">
        <x:v>Trailer parks</x:v>
      </x:c>
      <x:c r="D2281" s="115" t="str">
        <x:v>Camping caravanes</x:v>
      </x:c>
      <x:c r="E2281" s="115" t="n">
        <x:v>26</x:v>
      </x:c>
      <x:c r="F2281" s="115" t="str">
        <x:v>Inspection physique</x:v>
      </x:c>
      <x:c r="G2281" s="115" t="str">
        <x:v>1 niveaux ; 18 pièces ; 136 segments de mur ; 0 transitions. Inspection physique ; architecture complète encore ouverte.</x:v>
      </x:c>
      <x:c r="H2281" s="115" t="str">
        <x:v>L 172 ; l 118 ; hauteur 3,2 m ; choix de composition auteur ; dimensions réelles à documenter</x:v>
      </x:c>
      <x:c r="I2281" s="115" t="str">
        <x:v>À équilibrer</x:v>
      </x:c>
      <x:c r="J2281" s="115" t="str">
        <x:v>Non</x:v>
      </x:c>
      <x:c r="K2281" s="115" t="str">
        <x:v>Pièces décrites, murs, portes, niveaux et mobilier inspectables à l’échelle. Volumes réservés, raccord au seed, butin, rencontres et services de campagne restent à terminer.</x:v>
      </x:c>
    </x:row>
    <x:row r="2282" ht="96" customHeight="1">
      <x:c r="A2282" s="115" t="str">
        <x:v>EXT-MONDE-T046-V27</x:v>
      </x:c>
      <x:c r="B2282" s="115" t="str">
        <x:v>EXT-MONDE-T046</x:v>
      </x:c>
      <x:c r="C2282" s="115" t="str">
        <x:v>Trailer parks</x:v>
      </x:c>
      <x:c r="D2282" s="115" t="str">
        <x:v>Camping caravanes</x:v>
      </x:c>
      <x:c r="E2282" s="115" t="n">
        <x:v>27</x:v>
      </x:c>
      <x:c r="F2282" s="115" t="str">
        <x:v>Inspection physique</x:v>
      </x:c>
      <x:c r="G2282" s="115" t="str">
        <x:v>1 niveaux ; 18 pièces ; 136 segments de mur ; 0 transitions. Inspection physique ; architecture complète encore ouverte.</x:v>
      </x:c>
      <x:c r="H2282" s="115" t="str">
        <x:v>L 172 ; l 122 ; hauteur 3,2 m ; choix de composition auteur ; dimensions réelles à documenter</x:v>
      </x:c>
      <x:c r="I2282" s="115" t="str">
        <x:v>À équilibrer</x:v>
      </x:c>
      <x:c r="J2282" s="115" t="str">
        <x:v>Non</x:v>
      </x:c>
      <x:c r="K2282" s="115" t="str">
        <x:v>Pièces décrites, murs, portes, niveaux et mobilier inspectables à l’échelle. Volumes réservés, raccord au seed, butin, rencontres et services de campagne restent à terminer.</x:v>
      </x:c>
    </x:row>
    <x:row r="2283" ht="96" customHeight="1">
      <x:c r="A2283" s="115" t="str">
        <x:v>EXT-MONDE-T046-V28</x:v>
      </x:c>
      <x:c r="B2283" s="115" t="str">
        <x:v>EXT-MONDE-T046</x:v>
      </x:c>
      <x:c r="C2283" s="115" t="str">
        <x:v>Trailer parks</x:v>
      </x:c>
      <x:c r="D2283" s="115" t="str">
        <x:v>Camping caravanes</x:v>
      </x:c>
      <x:c r="E2283" s="115" t="n">
        <x:v>28</x:v>
      </x:c>
      <x:c r="F2283" s="115" t="str">
        <x:v>Inspection physique</x:v>
      </x:c>
      <x:c r="G2283" s="115" t="str">
        <x:v>1 niveaux ; 18 pièces ; 136 segments de mur ; 0 transitions. Inspection physique ; architecture complète encore ouverte.</x:v>
      </x:c>
      <x:c r="H2283" s="115" t="str">
        <x:v>L 130 ; l 146 ; hauteur 3,2 m ; choix de composition auteur ; dimensions réelles à documenter</x:v>
      </x:c>
      <x:c r="I2283" s="115" t="str">
        <x:v>À équilibrer</x:v>
      </x:c>
      <x:c r="J2283" s="115" t="str">
        <x:v>Non</x:v>
      </x:c>
      <x:c r="K2283" s="115" t="str">
        <x:v>Pièces décrites, murs, portes, niveaux et mobilier inspectables à l’échelle. Volumes réservés, raccord au seed, butin, rencontres et services de campagne restent à terminer.</x:v>
      </x:c>
    </x:row>
    <x:row r="2284" ht="96" customHeight="1">
      <x:c r="A2284" s="115" t="str">
        <x:v>EXT-MONDE-T046-V29</x:v>
      </x:c>
      <x:c r="B2284" s="115" t="str">
        <x:v>EXT-MONDE-T046</x:v>
      </x:c>
      <x:c r="C2284" s="115" t="str">
        <x:v>Trailer parks</x:v>
      </x:c>
      <x:c r="D2284" s="115" t="str">
        <x:v>Camping caravanes</x:v>
      </x:c>
      <x:c r="E2284" s="115" t="n">
        <x:v>29</x:v>
      </x:c>
      <x:c r="F2284" s="115" t="str">
        <x:v>Inspection physique</x:v>
      </x:c>
      <x:c r="G2284" s="115" t="str">
        <x:v>1 niveaux ; 18 pièces ; 136 segments de mur ; 0 transitions. Inspection physique ; architecture complète encore ouverte.</x:v>
      </x:c>
      <x:c r="H2284" s="115" t="str">
        <x:v>L 130 ; l 122 ; hauteur 3,2 m ; choix de composition auteur ; dimensions réelles à documenter</x:v>
      </x:c>
      <x:c r="I2284" s="115" t="str">
        <x:v>À équilibrer</x:v>
      </x:c>
      <x:c r="J2284" s="115" t="str">
        <x:v>Non</x:v>
      </x:c>
      <x:c r="K2284" s="115" t="str">
        <x:v>Pièces décrites, murs, portes, niveaux et mobilier inspectables à l’échelle. Volumes réservés, raccord au seed, butin, rencontres et services de campagne restent à terminer.</x:v>
      </x:c>
    </x:row>
    <x:row r="2285" ht="96" customHeight="1">
      <x:c r="A2285" s="115" t="str">
        <x:v>EXT-MONDE-T046-V30</x:v>
      </x:c>
      <x:c r="B2285" s="115" t="str">
        <x:v>EXT-MONDE-T046</x:v>
      </x:c>
      <x:c r="C2285" s="115" t="str">
        <x:v>Trailer parks</x:v>
      </x:c>
      <x:c r="D2285" s="115" t="str">
        <x:v>Camping caravanes</x:v>
      </x:c>
      <x:c r="E2285" s="115" t="n">
        <x:v>30</x:v>
      </x:c>
      <x:c r="F2285" s="115" t="str">
        <x:v>Inspection physique</x:v>
      </x:c>
      <x:c r="G2285" s="115" t="str">
        <x:v>1 niveaux ; 18 pièces ; 136 segments de mur ; 0 transitions. Inspection physique ; architecture complète encore ouverte.</x:v>
      </x:c>
      <x:c r="H2285" s="115" t="str">
        <x:v>L 172 ; l 146 ; hauteur 3,2 m ; choix de composition auteur ; dimensions réelles à documenter</x:v>
      </x:c>
      <x:c r="I2285" s="115" t="str">
        <x:v>À équilibrer</x:v>
      </x:c>
      <x:c r="J2285" s="115" t="str">
        <x:v>Non</x:v>
      </x:c>
      <x:c r="K2285" s="115" t="str">
        <x:v>Pièces décrites, murs, portes, niveaux et mobilier inspectables à l’échelle. Volumes réservés, raccord au seed, butin, rencontres et services de campagne restent à terminer.</x:v>
      </x:c>
    </x:row>
    <x:row r="2286" ht="96" customHeight="1">
      <x:c r="A2286" s="115" t="str">
        <x:v>EXT-MONDE-T046-V31</x:v>
      </x:c>
      <x:c r="B2286" s="115" t="str">
        <x:v>EXT-MONDE-T046</x:v>
      </x:c>
      <x:c r="C2286" s="115" t="str">
        <x:v>Trailer parks</x:v>
      </x:c>
      <x:c r="D2286" s="115" t="str">
        <x:v>Camping caravanes</x:v>
      </x:c>
      <x:c r="E2286" s="115" t="n">
        <x:v>31</x:v>
      </x:c>
      <x:c r="F2286" s="115" t="str">
        <x:v>Inspection physique</x:v>
      </x:c>
      <x:c r="G2286" s="115" t="str">
        <x:v>1 niveaux ; 18 pièces ; 136 segments de mur ; 0 transitions. Inspection physique ; architecture complète encore ouverte.</x:v>
      </x:c>
      <x:c r="H2286" s="115" t="str">
        <x:v>L 134 ; l 118 ; hauteur 3,2 m ; choix de composition auteur ; dimensions réelles à documenter</x:v>
      </x:c>
      <x:c r="I2286" s="115" t="str">
        <x:v>À équilibrer</x:v>
      </x:c>
      <x:c r="J2286" s="115" t="str">
        <x:v>Non</x:v>
      </x:c>
      <x:c r="K2286" s="115" t="str">
        <x:v>Pièces décrites, murs, portes, niveaux et mobilier inspectables à l’échelle. Volumes réservés, raccord au seed, butin, rencontres et services de campagne restent à terminer.</x:v>
      </x:c>
    </x:row>
    <x:row r="2287" ht="96" customHeight="1">
      <x:c r="A2287" s="115" t="str">
        <x:v>EXT-MONDE-T046-V32</x:v>
      </x:c>
      <x:c r="B2287" s="115" t="str">
        <x:v>EXT-MONDE-T046</x:v>
      </x:c>
      <x:c r="C2287" s="115" t="str">
        <x:v>Trailer parks</x:v>
      </x:c>
      <x:c r="D2287" s="115" t="str">
        <x:v>Camping caravanes</x:v>
      </x:c>
      <x:c r="E2287" s="115" t="n">
        <x:v>32</x:v>
      </x:c>
      <x:c r="F2287" s="115" t="str">
        <x:v>Inspection physique</x:v>
      </x:c>
      <x:c r="G2287" s="115" t="str">
        <x:v>1 niveaux ; 18 pièces ; 136 segments de mur ; 0 transitions. Inspection physique ; architecture complète encore ouverte.</x:v>
      </x:c>
      <x:c r="H2287" s="115" t="str">
        <x:v>L 134 ; l 125 ; hauteur 3,2 m ; choix de composition auteur ; dimensions réelles à documenter</x:v>
      </x:c>
      <x:c r="I2287" s="115" t="str">
        <x:v>À équilibrer</x:v>
      </x:c>
      <x:c r="J2287" s="115" t="str">
        <x:v>Non</x:v>
      </x:c>
      <x:c r="K2287" s="115" t="str">
        <x:v>Pièces décrites, murs, portes, niveaux et mobilier inspectables à l’échelle. Volumes réservés, raccord au seed, butin, rencontres et services de campagne restent à terminer.</x:v>
      </x:c>
    </x:row>
    <x:row r="2288" ht="96" customHeight="1">
      <x:c r="A2288" s="115" t="str">
        <x:v>EXT-MONDE-T046-V33</x:v>
      </x:c>
      <x:c r="B2288" s="115" t="str">
        <x:v>EXT-MONDE-T046</x:v>
      </x:c>
      <x:c r="C2288" s="115" t="str">
        <x:v>Trailer parks</x:v>
      </x:c>
      <x:c r="D2288" s="115" t="str">
        <x:v>Camping caravanes</x:v>
      </x:c>
      <x:c r="E2288" s="115" t="n">
        <x:v>33</x:v>
      </x:c>
      <x:c r="F2288" s="115" t="str">
        <x:v>Inspection physique</x:v>
      </x:c>
      <x:c r="G2288" s="115" t="str">
        <x:v>1 niveaux ; 18 pièces ; 136 segments de mur ; 0 transitions. Inspection physique ; architecture complète encore ouverte.</x:v>
      </x:c>
      <x:c r="H2288" s="115" t="str">
        <x:v>L 134 ; l 150 ; hauteur 3,2 m ; choix de composition auteur ; dimensions réelles à documenter</x:v>
      </x:c>
      <x:c r="I2288" s="115" t="str">
        <x:v>À équilibrer</x:v>
      </x:c>
      <x:c r="J2288" s="115" t="str">
        <x:v>Non</x:v>
      </x:c>
      <x:c r="K2288" s="115" t="str">
        <x:v>Pièces décrites, murs, portes, niveaux et mobilier inspectables à l’échelle. Volumes réservés, raccord au seed, butin, rencontres et services de campagne restent à terminer.</x:v>
      </x:c>
    </x:row>
    <x:row r="2289" ht="96" customHeight="1">
      <x:c r="A2289" s="115" t="str">
        <x:v>EXT-MONDE-T046-V34</x:v>
      </x:c>
      <x:c r="B2289" s="115" t="str">
        <x:v>EXT-MONDE-T046</x:v>
      </x:c>
      <x:c r="C2289" s="115" t="str">
        <x:v>Trailer parks</x:v>
      </x:c>
      <x:c r="D2289" s="115" t="str">
        <x:v>Camping caravanes</x:v>
      </x:c>
      <x:c r="E2289" s="115" t="n">
        <x:v>34</x:v>
      </x:c>
      <x:c r="F2289" s="115" t="str">
        <x:v>Inspection physique</x:v>
      </x:c>
      <x:c r="G2289" s="115" t="str">
        <x:v>1 niveaux ; 18 pièces ; 136 segments de mur ; 0 transitions. Inspection physique ; architecture complète encore ouverte.</x:v>
      </x:c>
      <x:c r="H2289" s="115" t="str">
        <x:v>L 90 ; l 125 ; hauteur 3,2 m ; choix de composition auteur ; dimensions réelles à documenter</x:v>
      </x:c>
      <x:c r="I2289" s="115" t="str">
        <x:v>À équilibrer</x:v>
      </x:c>
      <x:c r="J2289" s="115" t="str">
        <x:v>Non</x:v>
      </x:c>
      <x:c r="K2289" s="115" t="str">
        <x:v>Pièces décrites, murs, portes, niveaux et mobilier inspectables à l’échelle. Volumes réservés, raccord au seed, butin, rencontres et services de campagne restent à terminer.</x:v>
      </x:c>
    </x:row>
    <x:row r="2290" ht="96" customHeight="1">
      <x:c r="A2290" s="115" t="str">
        <x:v>EXT-MONDE-T046-V35</x:v>
      </x:c>
      <x:c r="B2290" s="115" t="str">
        <x:v>EXT-MONDE-T046</x:v>
      </x:c>
      <x:c r="C2290" s="115" t="str">
        <x:v>Trailer parks</x:v>
      </x:c>
      <x:c r="D2290" s="115" t="str">
        <x:v>Camping caravanes</x:v>
      </x:c>
      <x:c r="E2290" s="115" t="n">
        <x:v>35</x:v>
      </x:c>
      <x:c r="F2290" s="115" t="str">
        <x:v>Inspection physique</x:v>
      </x:c>
      <x:c r="G2290" s="115" t="str">
        <x:v>1 niveaux ; 18 pièces ; 136 segments de mur ; 0 transitions. Inspection physique ; architecture complète encore ouverte.</x:v>
      </x:c>
      <x:c r="H2290" s="115" t="str">
        <x:v>L 90 ; l 150 ; hauteur 3,2 m ; choix de composition auteur ; dimensions réelles à documenter</x:v>
      </x:c>
      <x:c r="I2290" s="115" t="str">
        <x:v>À équilibrer</x:v>
      </x:c>
      <x:c r="J2290" s="115" t="str">
        <x:v>Non</x:v>
      </x:c>
      <x:c r="K2290" s="115" t="str">
        <x:v>Pièces décrites, murs, portes, niveaux et mobilier inspectables à l’échelle. Volumes réservés, raccord au seed, butin, rencontres et services de campagne restent à terminer.</x:v>
      </x:c>
    </x:row>
    <x:row r="2291" ht="96" customHeight="1">
      <x:c r="A2291" s="115" t="str">
        <x:v>EXT-MONDE-T046-V36</x:v>
      </x:c>
      <x:c r="B2291" s="115" t="str">
        <x:v>EXT-MONDE-T046</x:v>
      </x:c>
      <x:c r="C2291" s="115" t="str">
        <x:v>Trailer parks</x:v>
      </x:c>
      <x:c r="D2291" s="115" t="str">
        <x:v>Camping caravanes</x:v>
      </x:c>
      <x:c r="E2291" s="115" t="n">
        <x:v>36</x:v>
      </x:c>
      <x:c r="F2291" s="115" t="str">
        <x:v>Inspection physique</x:v>
      </x:c>
      <x:c r="G2291" s="115" t="str">
        <x:v>1 niveaux ; 18 pièces ; 136 segments de mur ; 0 transitions. Inspection physique ; architecture complète encore ouverte.</x:v>
      </x:c>
      <x:c r="H2291" s="115" t="str">
        <x:v>L 178 ; l 118 ; hauteur 3,2 m ; choix de composition auteur ; dimensions réelles à documenter</x:v>
      </x:c>
      <x:c r="I2291" s="115" t="str">
        <x:v>À équilibrer</x:v>
      </x:c>
      <x:c r="J2291" s="115" t="str">
        <x:v>Non</x:v>
      </x:c>
      <x:c r="K2291" s="115" t="str">
        <x:v>Pièces décrites, murs, portes, niveaux et mobilier inspectables à l’échelle. Volumes réservés, raccord au seed, butin, rencontres et services de campagne restent à terminer.</x:v>
      </x:c>
    </x:row>
    <x:row r="2292" ht="96" customHeight="1">
      <x:c r="A2292" s="115" t="str">
        <x:v>EXT-MONDE-T046-V37</x:v>
      </x:c>
      <x:c r="B2292" s="115" t="str">
        <x:v>EXT-MONDE-T046</x:v>
      </x:c>
      <x:c r="C2292" s="115" t="str">
        <x:v>Trailer parks</x:v>
      </x:c>
      <x:c r="D2292" s="115" t="str">
        <x:v>Camping caravanes</x:v>
      </x:c>
      <x:c r="E2292" s="115" t="n">
        <x:v>37</x:v>
      </x:c>
      <x:c r="F2292" s="115" t="str">
        <x:v>Inspection physique</x:v>
      </x:c>
      <x:c r="G2292" s="115" t="str">
        <x:v>1 niveaux ; 18 pièces ; 136 segments de mur ; 0 transitions. Inspection physique ; architecture complète encore ouverte.</x:v>
      </x:c>
      <x:c r="H2292" s="115" t="str">
        <x:v>L 178 ; l 125 ; hauteur 3,2 m ; choix de composition auteur ; dimensions réelles à documenter</x:v>
      </x:c>
      <x:c r="I2292" s="115" t="str">
        <x:v>À équilibrer</x:v>
      </x:c>
      <x:c r="J2292" s="115" t="str">
        <x:v>Non</x:v>
      </x:c>
      <x:c r="K2292" s="115" t="str">
        <x:v>Pièces décrites, murs, portes, niveaux et mobilier inspectables à l’échelle. Volumes réservés, raccord au seed, butin, rencontres et services de campagne restent à terminer.</x:v>
      </x:c>
    </x:row>
    <x:row r="2293" ht="96" customHeight="1">
      <x:c r="A2293" s="115" t="str">
        <x:v>EXT-MONDE-T046-V38</x:v>
      </x:c>
      <x:c r="B2293" s="115" t="str">
        <x:v>EXT-MONDE-T046</x:v>
      </x:c>
      <x:c r="C2293" s="115" t="str">
        <x:v>Trailer parks</x:v>
      </x:c>
      <x:c r="D2293" s="115" t="str">
        <x:v>Camping caravanes</x:v>
      </x:c>
      <x:c r="E2293" s="115" t="n">
        <x:v>38</x:v>
      </x:c>
      <x:c r="F2293" s="115" t="str">
        <x:v>Inspection physique</x:v>
      </x:c>
      <x:c r="G2293" s="115" t="str">
        <x:v>1 niveaux ; 18 pièces ; 136 segments de mur ; 0 transitions. Inspection physique ; architecture complète encore ouverte.</x:v>
      </x:c>
      <x:c r="H2293" s="115" t="str">
        <x:v>L 134 ; l 150 ; hauteur 3,2 m ; choix de composition auteur ; dimensions réelles à documenter</x:v>
      </x:c>
      <x:c r="I2293" s="115" t="str">
        <x:v>À équilibrer</x:v>
      </x:c>
      <x:c r="J2293" s="115" t="str">
        <x:v>Non</x:v>
      </x:c>
      <x:c r="K2293" s="115" t="str">
        <x:v>Pièces décrites, murs, portes, niveaux et mobilier inspectables à l’échelle. Volumes réservés, raccord au seed, butin, rencontres et services de campagne restent à terminer.</x:v>
      </x:c>
    </x:row>
    <x:row r="2294" ht="96" customHeight="1">
      <x:c r="A2294" s="115" t="str">
        <x:v>EXT-MONDE-T046-V39</x:v>
      </x:c>
      <x:c r="B2294" s="115" t="str">
        <x:v>EXT-MONDE-T046</x:v>
      </x:c>
      <x:c r="C2294" s="115" t="str">
        <x:v>Trailer parks</x:v>
      </x:c>
      <x:c r="D2294" s="115" t="str">
        <x:v>Camping caravanes</x:v>
      </x:c>
      <x:c r="E2294" s="115" t="n">
        <x:v>39</x:v>
      </x:c>
      <x:c r="F2294" s="115" t="str">
        <x:v>Inspection physique</x:v>
      </x:c>
      <x:c r="G2294" s="115" t="str">
        <x:v>1 niveaux ; 18 pièces ; 136 segments de mur ; 0 transitions. Inspection physique ; architecture complète encore ouverte.</x:v>
      </x:c>
      <x:c r="H2294" s="115" t="str">
        <x:v>L 134 ; l 125 ; hauteur 3,2 m ; choix de composition auteur ; dimensions réelles à documenter</x:v>
      </x:c>
      <x:c r="I2294" s="115" t="str">
        <x:v>À équilibrer</x:v>
      </x:c>
      <x:c r="J2294" s="115" t="str">
        <x:v>Non</x:v>
      </x:c>
      <x:c r="K2294" s="115" t="str">
        <x:v>Pièces décrites, murs, portes, niveaux et mobilier inspectables à l’échelle. Volumes réservés, raccord au seed, butin, rencontres et services de campagne restent à terminer.</x:v>
      </x:c>
    </x:row>
    <x:row r="2295" ht="96" customHeight="1">
      <x:c r="A2295" s="115" t="str">
        <x:v>EXT-MONDE-T046-V40</x:v>
      </x:c>
      <x:c r="B2295" s="115" t="str">
        <x:v>EXT-MONDE-T046</x:v>
      </x:c>
      <x:c r="C2295" s="115" t="str">
        <x:v>Trailer parks</x:v>
      </x:c>
      <x:c r="D2295" s="115" t="str">
        <x:v>Camping caravanes</x:v>
      </x:c>
      <x:c r="E2295" s="115" t="n">
        <x:v>40</x:v>
      </x:c>
      <x:c r="F2295" s="115" t="str">
        <x:v>Inspection physique</x:v>
      </x:c>
      <x:c r="G2295" s="115" t="str">
        <x:v>1 niveaux ; 18 pièces ; 136 segments de mur ; 0 transitions. Inspection physique ; architecture complète encore ouverte.</x:v>
      </x:c>
      <x:c r="H2295" s="115" t="str">
        <x:v>L 178 ; l 150 ; hauteur 3,2 m ; choix de composition auteur ; dimensions réelles à documenter</x:v>
      </x:c>
      <x:c r="I2295" s="115" t="str">
        <x:v>À équilibrer</x:v>
      </x:c>
      <x:c r="J2295" s="115" t="str">
        <x:v>Non</x:v>
      </x:c>
      <x:c r="K2295" s="115" t="str">
        <x:v>Pièces décrites, murs, portes, niveaux et mobilier inspectables à l’échelle. Volumes réservés, raccord au seed, butin, rencontres et services de campagne restent à terminer.</x:v>
      </x:c>
    </x:row>
    <x:row r="2296" ht="96" customHeight="1">
      <x:c r="A2296" s="115" t="str">
        <x:v>EXT-MONDE-T046-V41</x:v>
      </x:c>
      <x:c r="B2296" s="115" t="str">
        <x:v>EXT-MONDE-T046</x:v>
      </x:c>
      <x:c r="C2296" s="115" t="str">
        <x:v>Trailer parks</x:v>
      </x:c>
      <x:c r="D2296" s="115" t="str">
        <x:v>Camping caravanes</x:v>
      </x:c>
      <x:c r="E2296" s="115" t="n">
        <x:v>41</x:v>
      </x:c>
      <x:c r="F2296" s="115" t="str">
        <x:v>Inspection physique</x:v>
      </x:c>
      <x:c r="G2296" s="115" t="str">
        <x:v>1 niveaux ; 18 pièces ; 136 segments de mur ; 0 transitions. Inspection physique ; architecture complète encore ouverte.</x:v>
      </x:c>
      <x:c r="H2296" s="115" t="str">
        <x:v>L 138 ; l 118 ; hauteur 3,2 m ; choix de composition auteur ; dimensions réelles à documenter</x:v>
      </x:c>
      <x:c r="I2296" s="115" t="str">
        <x:v>À équilibrer</x:v>
      </x:c>
      <x:c r="J2296" s="115" t="str">
        <x:v>Non</x:v>
      </x:c>
      <x:c r="K2296" s="115" t="str">
        <x:v>Pièces décrites, murs, portes, niveaux et mobilier inspectables à l’échelle. Volumes réservés, raccord au seed, butin, rencontres et services de campagne restent à terminer.</x:v>
      </x:c>
    </x:row>
    <x:row r="2297" ht="96" customHeight="1">
      <x:c r="A2297" s="115" t="str">
        <x:v>EXT-MONDE-T046-V42</x:v>
      </x:c>
      <x:c r="B2297" s="115" t="str">
        <x:v>EXT-MONDE-T046</x:v>
      </x:c>
      <x:c r="C2297" s="115" t="str">
        <x:v>Trailer parks</x:v>
      </x:c>
      <x:c r="D2297" s="115" t="str">
        <x:v>Camping caravanes</x:v>
      </x:c>
      <x:c r="E2297" s="115" t="n">
        <x:v>42</x:v>
      </x:c>
      <x:c r="F2297" s="115" t="str">
        <x:v>Inspection physique</x:v>
      </x:c>
      <x:c r="G2297" s="115" t="str">
        <x:v>1 niveaux ; 18 pièces ; 136 segments de mur ; 0 transitions. Inspection physique ; architecture complète encore ouverte.</x:v>
      </x:c>
      <x:c r="H2297" s="115" t="str">
        <x:v>L 138 ; l 128 ; hauteur 3,2 m ; choix de composition auteur ; dimensions réelles à documenter</x:v>
      </x:c>
      <x:c r="I2297" s="115" t="str">
        <x:v>À équilibrer</x:v>
      </x:c>
      <x:c r="J2297" s="115" t="str">
        <x:v>Non</x:v>
      </x:c>
      <x:c r="K2297" s="115" t="str">
        <x:v>Pièces décrites, murs, portes, niveaux et mobilier inspectables à l’échelle. Volumes réservés, raccord au seed, butin, rencontres et services de campagne restent à terminer.</x:v>
      </x:c>
    </x:row>
    <x:row r="2298" ht="96" customHeight="1">
      <x:c r="A2298" s="115" t="str">
        <x:v>EXT-MONDE-T046-V43</x:v>
      </x:c>
      <x:c r="B2298" s="115" t="str">
        <x:v>EXT-MONDE-T046</x:v>
      </x:c>
      <x:c r="C2298" s="115" t="str">
        <x:v>Trailer parks</x:v>
      </x:c>
      <x:c r="D2298" s="115" t="str">
        <x:v>Camping caravanes</x:v>
      </x:c>
      <x:c r="E2298" s="115" t="n">
        <x:v>43</x:v>
      </x:c>
      <x:c r="F2298" s="115" t="str">
        <x:v>Inspection physique</x:v>
      </x:c>
      <x:c r="G2298" s="115" t="str">
        <x:v>1 niveaux ; 18 pièces ; 136 segments de mur ; 0 transitions. Inspection physique ; architecture complète encore ouverte.</x:v>
      </x:c>
      <x:c r="H2298" s="115" t="str">
        <x:v>L 138 ; l 154 ; hauteur 3,2 m ; choix de composition auteur ; dimensions réelles à documenter</x:v>
      </x:c>
      <x:c r="I2298" s="115" t="str">
        <x:v>À équilibrer</x:v>
      </x:c>
      <x:c r="J2298" s="115" t="str">
        <x:v>Non</x:v>
      </x:c>
      <x:c r="K2298" s="115" t="str">
        <x:v>Pièces décrites, murs, portes, niveaux et mobilier inspectables à l’échelle. Volumes réservés, raccord au seed, butin, rencontres et services de campagne restent à terminer.</x:v>
      </x:c>
    </x:row>
    <x:row r="2299" ht="96" customHeight="1">
      <x:c r="A2299" s="115" t="str">
        <x:v>EXT-MONDE-T046-V44</x:v>
      </x:c>
      <x:c r="B2299" s="115" t="str">
        <x:v>EXT-MONDE-T046</x:v>
      </x:c>
      <x:c r="C2299" s="115" t="str">
        <x:v>Trailer parks</x:v>
      </x:c>
      <x:c r="D2299" s="115" t="str">
        <x:v>Camping caravanes</x:v>
      </x:c>
      <x:c r="E2299" s="115" t="n">
        <x:v>44</x:v>
      </x:c>
      <x:c r="F2299" s="115" t="str">
        <x:v>Inspection physique</x:v>
      </x:c>
      <x:c r="G2299" s="115" t="str">
        <x:v>1 niveaux ; 18 pièces ; 136 segments de mur ; 0 transitions. Inspection physique ; architecture complète encore ouverte.</x:v>
      </x:c>
      <x:c r="H2299" s="115" t="str">
        <x:v>L 92 ; l 128 ; hauteur 3,2 m ; choix de composition auteur ; dimensions réelles à documenter</x:v>
      </x:c>
      <x:c r="I2299" s="115" t="str">
        <x:v>À équilibrer</x:v>
      </x:c>
      <x:c r="J2299" s="115" t="str">
        <x:v>Non</x:v>
      </x:c>
      <x:c r="K2299" s="115" t="str">
        <x:v>Pièces décrites, murs, portes, niveaux et mobilier inspectables à l’échelle. Volumes réservés, raccord au seed, butin, rencontres et services de campagne restent à terminer.</x:v>
      </x:c>
    </x:row>
    <x:row r="2300" ht="96" customHeight="1">
      <x:c r="A2300" s="115" t="str">
        <x:v>EXT-MONDE-T046-V45</x:v>
      </x:c>
      <x:c r="B2300" s="115" t="str">
        <x:v>EXT-MONDE-T046</x:v>
      </x:c>
      <x:c r="C2300" s="115" t="str">
        <x:v>Trailer parks</x:v>
      </x:c>
      <x:c r="D2300" s="115" t="str">
        <x:v>Camping caravanes</x:v>
      </x:c>
      <x:c r="E2300" s="115" t="n">
        <x:v>45</x:v>
      </x:c>
      <x:c r="F2300" s="115" t="str">
        <x:v>Inspection physique</x:v>
      </x:c>
      <x:c r="G2300" s="115" t="str">
        <x:v>1 niveaux ; 18 pièces ; 136 segments de mur ; 0 transitions. Inspection physique ; architecture complète encore ouverte.</x:v>
      </x:c>
      <x:c r="H2300" s="115" t="str">
        <x:v>L 92 ; l 154 ; hauteur 3,2 m ; choix de composition auteur ; dimensions réelles à documenter</x:v>
      </x:c>
      <x:c r="I2300" s="115" t="str">
        <x:v>À équilibrer</x:v>
      </x:c>
      <x:c r="J2300" s="115" t="str">
        <x:v>Non</x:v>
      </x:c>
      <x:c r="K2300" s="115" t="str">
        <x:v>Pièces décrites, murs, portes, niveaux et mobilier inspectables à l’échelle. Volumes réservés, raccord au seed, butin, rencontres et services de campagne restent à terminer.</x:v>
      </x:c>
    </x:row>
    <x:row r="2301" ht="96" customHeight="1">
      <x:c r="A2301" s="115" t="str">
        <x:v>EXT-MONDE-T046-V46</x:v>
      </x:c>
      <x:c r="B2301" s="115" t="str">
        <x:v>EXT-MONDE-T046</x:v>
      </x:c>
      <x:c r="C2301" s="115" t="str">
        <x:v>Trailer parks</x:v>
      </x:c>
      <x:c r="D2301" s="115" t="str">
        <x:v>Camping caravanes</x:v>
      </x:c>
      <x:c r="E2301" s="115" t="n">
        <x:v>46</x:v>
      </x:c>
      <x:c r="F2301" s="115" t="str">
        <x:v>Inspection physique</x:v>
      </x:c>
      <x:c r="G2301" s="115" t="str">
        <x:v>1 niveaux ; 18 pièces ; 136 segments de mur ; 0 transitions. Inspection physique ; architecture complète encore ouverte.</x:v>
      </x:c>
      <x:c r="H2301" s="115" t="str">
        <x:v>L 184 ; l 118 ; hauteur 3,2 m ; choix de composition auteur ; dimensions réelles à documenter</x:v>
      </x:c>
      <x:c r="I2301" s="115" t="str">
        <x:v>À équilibrer</x:v>
      </x:c>
      <x:c r="J2301" s="115" t="str">
        <x:v>Non</x:v>
      </x:c>
      <x:c r="K2301" s="115" t="str">
        <x:v>Pièces décrites, murs, portes, niveaux et mobilier inspectables à l’échelle. Volumes réservés, raccord au seed, butin, rencontres et services de campagne restent à terminer.</x:v>
      </x:c>
    </x:row>
    <x:row r="2302" ht="96" customHeight="1">
      <x:c r="A2302" s="115" t="str">
        <x:v>EXT-MONDE-T046-V47</x:v>
      </x:c>
      <x:c r="B2302" s="115" t="str">
        <x:v>EXT-MONDE-T046</x:v>
      </x:c>
      <x:c r="C2302" s="115" t="str">
        <x:v>Trailer parks</x:v>
      </x:c>
      <x:c r="D2302" s="115" t="str">
        <x:v>Camping caravanes</x:v>
      </x:c>
      <x:c r="E2302" s="115" t="n">
        <x:v>47</x:v>
      </x:c>
      <x:c r="F2302" s="115" t="str">
        <x:v>Inspection physique</x:v>
      </x:c>
      <x:c r="G2302" s="115" t="str">
        <x:v>1 niveaux ; 18 pièces ; 136 segments de mur ; 0 transitions. Inspection physique ; architecture complète encore ouverte.</x:v>
      </x:c>
      <x:c r="H2302" s="115" t="str">
        <x:v>L 184 ; l 128 ; hauteur 3,2 m ; choix de composition auteur ; dimensions réelles à documenter</x:v>
      </x:c>
      <x:c r="I2302" s="115" t="str">
        <x:v>À équilibrer</x:v>
      </x:c>
      <x:c r="J2302" s="115" t="str">
        <x:v>Non</x:v>
      </x:c>
      <x:c r="K2302" s="115" t="str">
        <x:v>Pièces décrites, murs, portes, niveaux et mobilier inspectables à l’échelle. Volumes réservés, raccord au seed, butin, rencontres et services de campagne restent à terminer.</x:v>
      </x:c>
    </x:row>
    <x:row r="2303" ht="96" customHeight="1">
      <x:c r="A2303" s="115" t="str">
        <x:v>EXT-MONDE-T046-V48</x:v>
      </x:c>
      <x:c r="B2303" s="115" t="str">
        <x:v>EXT-MONDE-T046</x:v>
      </x:c>
      <x:c r="C2303" s="115" t="str">
        <x:v>Trailer parks</x:v>
      </x:c>
      <x:c r="D2303" s="115" t="str">
        <x:v>Camping caravanes</x:v>
      </x:c>
      <x:c r="E2303" s="115" t="n">
        <x:v>48</x:v>
      </x:c>
      <x:c r="F2303" s="115" t="str">
        <x:v>Inspection physique</x:v>
      </x:c>
      <x:c r="G2303" s="115" t="str">
        <x:v>1 niveaux ; 18 pièces ; 136 segments de mur ; 0 transitions. Inspection physique ; architecture complète encore ouverte.</x:v>
      </x:c>
      <x:c r="H2303" s="115" t="str">
        <x:v>L 138 ; l 154 ; hauteur 3,2 m ; choix de composition auteur ; dimensions réelles à documenter</x:v>
      </x:c>
      <x:c r="I2303" s="115" t="str">
        <x:v>À équilibrer</x:v>
      </x:c>
      <x:c r="J2303" s="115" t="str">
        <x:v>Non</x:v>
      </x:c>
      <x:c r="K2303" s="115" t="str">
        <x:v>Pièces décrites, murs, portes, niveaux et mobilier inspectables à l’échelle. Volumes réservés, raccord au seed, butin, rencontres et services de campagne restent à terminer.</x:v>
      </x:c>
    </x:row>
    <x:row r="2304" ht="96" customHeight="1">
      <x:c r="A2304" s="115" t="str">
        <x:v>EXT-MONDE-T046-V49</x:v>
      </x:c>
      <x:c r="B2304" s="115" t="str">
        <x:v>EXT-MONDE-T046</x:v>
      </x:c>
      <x:c r="C2304" s="115" t="str">
        <x:v>Trailer parks</x:v>
      </x:c>
      <x:c r="D2304" s="115" t="str">
        <x:v>Camping caravanes</x:v>
      </x:c>
      <x:c r="E2304" s="115" t="n">
        <x:v>49</x:v>
      </x:c>
      <x:c r="F2304" s="115" t="str">
        <x:v>Inspection physique</x:v>
      </x:c>
      <x:c r="G2304" s="115" t="str">
        <x:v>1 niveaux ; 18 pièces ; 136 segments de mur ; 0 transitions. Inspection physique ; architecture complète encore ouverte.</x:v>
      </x:c>
      <x:c r="H2304" s="115" t="str">
        <x:v>L 138 ; l 128 ; hauteur 3,2 m ; choix de composition auteur ; dimensions réelles à documenter</x:v>
      </x:c>
      <x:c r="I2304" s="115" t="str">
        <x:v>À équilibrer</x:v>
      </x:c>
      <x:c r="J2304" s="115" t="str">
        <x:v>Non</x:v>
      </x:c>
      <x:c r="K2304" s="115" t="str">
        <x:v>Pièces décrites, murs, portes, niveaux et mobilier inspectables à l’échelle. Volumes réservés, raccord au seed, butin, rencontres et services de campagne restent à terminer.</x:v>
      </x:c>
    </x:row>
    <x:row r="2305" ht="96" customHeight="1">
      <x:c r="A2305" s="115" t="str">
        <x:v>EXT-MONDE-T046-V50</x:v>
      </x:c>
      <x:c r="B2305" s="115" t="str">
        <x:v>EXT-MONDE-T046</x:v>
      </x:c>
      <x:c r="C2305" s="115" t="str">
        <x:v>Trailer parks</x:v>
      </x:c>
      <x:c r="D2305" s="115" t="str">
        <x:v>Camping caravanes</x:v>
      </x:c>
      <x:c r="E2305" s="115" t="n">
        <x:v>50</x:v>
      </x:c>
      <x:c r="F2305" s="115" t="str">
        <x:v>Inspection physique</x:v>
      </x:c>
      <x:c r="G2305" s="115" t="str">
        <x:v>1 niveaux ; 18 pièces ; 136 segments de mur ; 0 transitions. Inspection physique ; architecture complète encore ouverte.</x:v>
      </x:c>
      <x:c r="H2305" s="115" t="str">
        <x:v>L 184 ; l 154 ; hauteur 3,2 m ; choix de composition auteur ; dimensions réelles à documenter</x:v>
      </x:c>
      <x:c r="I2305" s="115" t="str">
        <x:v>À équilibrer</x:v>
      </x:c>
      <x:c r="J2305" s="115" t="str">
        <x:v>Non</x:v>
      </x:c>
      <x:c r="K2305" s="115" t="str">
        <x:v>Pièces décrites, murs, portes, niveaux et mobilier inspectables à l’échelle. Volumes réservés, raccord au seed, butin, rencontres et services de campagne restent à terminer.</x:v>
      </x:c>
    </x:row>
    <x:row r="2306" ht="96" customHeight="1">
      <x:c r="A2306" s="115" t="str">
        <x:v>EXT-MONDE-T047-V01</x:v>
      </x:c>
      <x:c r="B2306" s="115" t="str">
        <x:v>EXT-MONDE-T047</x:v>
      </x:c>
      <x:c r="C2306" s="115" t="str">
        <x:v>Trailer parks</x:v>
      </x:c>
      <x:c r="D2306" s="115" t="str">
        <x:v>Camp de travailleurs</x:v>
      </x:c>
      <x:c r="E2306" s="115" t="n">
        <x:v>1</x:v>
      </x:c>
      <x:c r="F2306" s="115" t="str">
        <x:v>Inspection physique</x:v>
      </x:c>
      <x:c r="G2306" s="115" t="str">
        <x:v>1 niveaux ; 38 pièces ; 277 segments de mur ; 0 transitions. Inspection physique ; architecture complète encore ouverte.</x:v>
      </x:c>
      <x:c r="H2306" s="115" t="str">
        <x:v>L 122 ; l 118 ; hauteur 3,4 m ; choix de composition auteur ; dimensions réelles à documenter</x:v>
      </x:c>
      <x:c r="I2306" s="115" t="str">
        <x:v>À équilibrer</x:v>
      </x:c>
      <x:c r="J2306" s="115" t="str">
        <x:v>Non</x:v>
      </x:c>
      <x:c r="K2306" s="115" t="str">
        <x:v>Pièces décrites, murs, portes, niveaux et mobilier inspectables à l’échelle. Volumes réservés, raccord au seed, butin, rencontres et services de campagne restent à terminer.</x:v>
      </x:c>
    </x:row>
    <x:row r="2307" ht="96" customHeight="1">
      <x:c r="A2307" s="115" t="str">
        <x:v>EXT-MONDE-T047-V02</x:v>
      </x:c>
      <x:c r="B2307" s="115" t="str">
        <x:v>EXT-MONDE-T047</x:v>
      </x:c>
      <x:c r="C2307" s="115" t="str">
        <x:v>Trailer parks</x:v>
      </x:c>
      <x:c r="D2307" s="115" t="str">
        <x:v>Camp de travailleurs</x:v>
      </x:c>
      <x:c r="E2307" s="115" t="n">
        <x:v>2</x:v>
      </x:c>
      <x:c r="F2307" s="115" t="str">
        <x:v>Inspection physique</x:v>
      </x:c>
      <x:c r="G2307" s="115" t="str">
        <x:v>1 niveaux ; 50 pièces ; 363 segments de mur ; 0 transitions. Inspection physique ; architecture complète encore ouverte.</x:v>
      </x:c>
      <x:c r="H2307" s="115" t="str">
        <x:v>L 122 ; l 118 ; hauteur 3,4 m ; choix de composition auteur ; dimensions réelles à documenter</x:v>
      </x:c>
      <x:c r="I2307" s="115" t="str">
        <x:v>À équilibrer</x:v>
      </x:c>
      <x:c r="J2307" s="115" t="str">
        <x:v>Non</x:v>
      </x:c>
      <x:c r="K2307" s="115" t="str">
        <x:v>Pièces décrites, murs, portes, niveaux et mobilier inspectables à l’échelle. Volumes réservés, raccord au seed, butin, rencontres et services de campagne restent à terminer.</x:v>
      </x:c>
    </x:row>
    <x:row r="2308" ht="96" customHeight="1">
      <x:c r="A2308" s="115" t="str">
        <x:v>EXT-MONDE-T047-V03</x:v>
      </x:c>
      <x:c r="B2308" s="115" t="str">
        <x:v>EXT-MONDE-T047</x:v>
      </x:c>
      <x:c r="C2308" s="115" t="str">
        <x:v>Trailer parks</x:v>
      </x:c>
      <x:c r="D2308" s="115" t="str">
        <x:v>Camp de travailleurs</x:v>
      </x:c>
      <x:c r="E2308" s="115" t="n">
        <x:v>3</x:v>
      </x:c>
      <x:c r="F2308" s="115" t="str">
        <x:v>Inspection physique</x:v>
      </x:c>
      <x:c r="G2308" s="115" t="str">
        <x:v>1 niveaux ; 62 pièces ; 449 segments de mur ; 0 transitions. Inspection physique ; architecture complète encore ouverte.</x:v>
      </x:c>
      <x:c r="H2308" s="115" t="str">
        <x:v>L 122 ; l 138 ; hauteur 3,4 m ; choix de composition auteur ; dimensions réelles à documenter</x:v>
      </x:c>
      <x:c r="I2308" s="115" t="str">
        <x:v>À équilibrer</x:v>
      </x:c>
      <x:c r="J2308" s="115" t="str">
        <x:v>Non</x:v>
      </x:c>
      <x:c r="K2308" s="115" t="str">
        <x:v>Pièces décrites, murs, portes, niveaux et mobilier inspectables à l’échelle. Volumes réservés, raccord au seed, butin, rencontres et services de campagne restent à terminer.</x:v>
      </x:c>
    </x:row>
    <x:row r="2309" ht="96" customHeight="1">
      <x:c r="A2309" s="115" t="str">
        <x:v>EXT-MONDE-T047-V04</x:v>
      </x:c>
      <x:c r="B2309" s="115" t="str">
        <x:v>EXT-MONDE-T047</x:v>
      </x:c>
      <x:c r="C2309" s="115" t="str">
        <x:v>Trailer parks</x:v>
      </x:c>
      <x:c r="D2309" s="115" t="str">
        <x:v>Camp de travailleurs</x:v>
      </x:c>
      <x:c r="E2309" s="115" t="n">
        <x:v>4</x:v>
      </x:c>
      <x:c r="F2309" s="115" t="str">
        <x:v>Inspection physique</x:v>
      </x:c>
      <x:c r="G2309" s="115" t="str">
        <x:v>1 niveaux ; 32 pièces ; 234 segments de mur ; 0 transitions. Inspection physique ; architecture complète encore ouverte.</x:v>
      </x:c>
      <x:c r="H2309" s="115" t="str">
        <x:v>L 84 ; l 118 ; hauteur 3,4 m ; choix de composition auteur ; dimensions réelles à documenter</x:v>
      </x:c>
      <x:c r="I2309" s="115" t="str">
        <x:v>À équilibrer</x:v>
      </x:c>
      <x:c r="J2309" s="115" t="str">
        <x:v>Non</x:v>
      </x:c>
      <x:c r="K2309" s="115" t="str">
        <x:v>Pièces décrites, murs, portes, niveaux et mobilier inspectables à l’échelle. Volumes réservés, raccord au seed, butin, rencontres et services de campagne restent à terminer.</x:v>
      </x:c>
    </x:row>
    <x:row r="2310" ht="96" customHeight="1">
      <x:c r="A2310" s="115" t="str">
        <x:v>EXT-MONDE-T047-V05</x:v>
      </x:c>
      <x:c r="B2310" s="115" t="str">
        <x:v>EXT-MONDE-T047</x:v>
      </x:c>
      <x:c r="C2310" s="115" t="str">
        <x:v>Trailer parks</x:v>
      </x:c>
      <x:c r="D2310" s="115" t="str">
        <x:v>Camp de travailleurs</x:v>
      </x:c>
      <x:c r="E2310" s="115" t="n">
        <x:v>5</x:v>
      </x:c>
      <x:c r="F2310" s="115" t="str">
        <x:v>Inspection physique</x:v>
      </x:c>
      <x:c r="G2310" s="115" t="str">
        <x:v>1 niveaux ; 38 pièces ; 277 segments de mur ; 0 transitions. Inspection physique ; architecture complète encore ouverte.</x:v>
      </x:c>
      <x:c r="H2310" s="115" t="str">
        <x:v>L 84 ; l 138 ; hauteur 3,4 m ; choix de composition auteur ; dimensions réelles à documenter</x:v>
      </x:c>
      <x:c r="I2310" s="115" t="str">
        <x:v>À équilibrer</x:v>
      </x:c>
      <x:c r="J2310" s="115" t="str">
        <x:v>Non</x:v>
      </x:c>
      <x:c r="K2310" s="115" t="str">
        <x:v>Pièces décrites, murs, portes, niveaux et mobilier inspectables à l’échelle. Volumes réservés, raccord au seed, butin, rencontres et services de campagne restent à terminer.</x:v>
      </x:c>
    </x:row>
    <x:row r="2311" ht="96" customHeight="1">
      <x:c r="A2311" s="115" t="str">
        <x:v>EXT-MONDE-T047-V06</x:v>
      </x:c>
      <x:c r="B2311" s="115" t="str">
        <x:v>EXT-MONDE-T047</x:v>
      </x:c>
      <x:c r="C2311" s="115" t="str">
        <x:v>Trailer parks</x:v>
      </x:c>
      <x:c r="D2311" s="115" t="str">
        <x:v>Camp de travailleurs</x:v>
      </x:c>
      <x:c r="E2311" s="115" t="n">
        <x:v>6</x:v>
      </x:c>
      <x:c r="F2311" s="115" t="str">
        <x:v>Inspection physique</x:v>
      </x:c>
      <x:c r="G2311" s="115" t="str">
        <x:v>1 niveaux ; 50 pièces ; 363 segments de mur ; 0 transitions. Inspection physique ; architecture complète encore ouverte.</x:v>
      </x:c>
      <x:c r="H2311" s="115" t="str">
        <x:v>L 160 ; l 118 ; hauteur 3,4 m ; choix de composition auteur ; dimensions réelles à documenter</x:v>
      </x:c>
      <x:c r="I2311" s="115" t="str">
        <x:v>À équilibrer</x:v>
      </x:c>
      <x:c r="J2311" s="115" t="str">
        <x:v>Non</x:v>
      </x:c>
      <x:c r="K2311" s="115" t="str">
        <x:v>Pièces décrites, murs, portes, niveaux et mobilier inspectables à l’échelle. Volumes réservés, raccord au seed, butin, rencontres et services de campagne restent à terminer.</x:v>
      </x:c>
    </x:row>
    <x:row r="2312" ht="96" customHeight="1">
      <x:c r="A2312" s="115" t="str">
        <x:v>EXT-MONDE-T047-V07</x:v>
      </x:c>
      <x:c r="B2312" s="115" t="str">
        <x:v>EXT-MONDE-T047</x:v>
      </x:c>
      <x:c r="C2312" s="115" t="str">
        <x:v>Trailer parks</x:v>
      </x:c>
      <x:c r="D2312" s="115" t="str">
        <x:v>Camp de travailleurs</x:v>
      </x:c>
      <x:c r="E2312" s="115" t="n">
        <x:v>7</x:v>
      </x:c>
      <x:c r="F2312" s="115" t="str">
        <x:v>Inspection physique</x:v>
      </x:c>
      <x:c r="G2312" s="115" t="str">
        <x:v>1 niveaux ; 68 pièces ; 492 segments de mur ; 0 transitions. Inspection physique ; architecture complète encore ouverte.</x:v>
      </x:c>
      <x:c r="H2312" s="115" t="str">
        <x:v>L 160 ; l 118 ; hauteur 3,4 m ; choix de composition auteur ; dimensions réelles à documenter</x:v>
      </x:c>
      <x:c r="I2312" s="115" t="str">
        <x:v>À équilibrer</x:v>
      </x:c>
      <x:c r="J2312" s="115" t="str">
        <x:v>Non</x:v>
      </x:c>
      <x:c r="K2312" s="115" t="str">
        <x:v>Pièces décrites, murs, portes, niveaux et mobilier inspectables à l’échelle. Volumes réservés, raccord au seed, butin, rencontres et services de campagne restent à terminer.</x:v>
      </x:c>
    </x:row>
    <x:row r="2313" ht="96" customHeight="1">
      <x:c r="A2313" s="115" t="str">
        <x:v>EXT-MONDE-T047-V08</x:v>
      </x:c>
      <x:c r="B2313" s="115" t="str">
        <x:v>EXT-MONDE-T047</x:v>
      </x:c>
      <x:c r="C2313" s="115" t="str">
        <x:v>Trailer parks</x:v>
      </x:c>
      <x:c r="D2313" s="115" t="str">
        <x:v>Camp de travailleurs</x:v>
      </x:c>
      <x:c r="E2313" s="115" t="n">
        <x:v>8</x:v>
      </x:c>
      <x:c r="F2313" s="115" t="str">
        <x:v>Inspection physique</x:v>
      </x:c>
      <x:c r="G2313" s="115" t="str">
        <x:v>1 niveaux ; 56 pièces ; 406 segments de mur ; 0 transitions. Inspection physique ; architecture complète encore ouverte.</x:v>
      </x:c>
      <x:c r="H2313" s="115" t="str">
        <x:v>L 122 ; l 138 ; hauteur 3,4 m ; choix de composition auteur ; dimensions réelles à documenter</x:v>
      </x:c>
      <x:c r="I2313" s="115" t="str">
        <x:v>À équilibrer</x:v>
      </x:c>
      <x:c r="J2313" s="115" t="str">
        <x:v>Non</x:v>
      </x:c>
      <x:c r="K2313" s="115" t="str">
        <x:v>Pièces décrites, murs, portes, niveaux et mobilier inspectables à l’échelle. Volumes réservés, raccord au seed, butin, rencontres et services de campagne restent à terminer.</x:v>
      </x:c>
    </x:row>
    <x:row r="2314" ht="96" customHeight="1">
      <x:c r="A2314" s="115" t="str">
        <x:v>EXT-MONDE-T047-V09</x:v>
      </x:c>
      <x:c r="B2314" s="115" t="str">
        <x:v>EXT-MONDE-T047</x:v>
      </x:c>
      <x:c r="C2314" s="115" t="str">
        <x:v>Trailer parks</x:v>
      </x:c>
      <x:c r="D2314" s="115" t="str">
        <x:v>Camp de travailleurs</x:v>
      </x:c>
      <x:c r="E2314" s="115" t="n">
        <x:v>9</x:v>
      </x:c>
      <x:c r="F2314" s="115" t="str">
        <x:v>Inspection physique</x:v>
      </x:c>
      <x:c r="G2314" s="115" t="str">
        <x:v>1 niveaux ; 44 pièces ; 320 segments de mur ; 0 transitions. Inspection physique ; architecture complète encore ouverte.</x:v>
      </x:c>
      <x:c r="H2314" s="115" t="str">
        <x:v>L 122 ; l 118 ; hauteur 3,4 m ; choix de composition auteur ; dimensions réelles à documenter</x:v>
      </x:c>
      <x:c r="I2314" s="115" t="str">
        <x:v>À équilibrer</x:v>
      </x:c>
      <x:c r="J2314" s="115" t="str">
        <x:v>Non</x:v>
      </x:c>
      <x:c r="K2314" s="115" t="str">
        <x:v>Pièces décrites, murs, portes, niveaux et mobilier inspectables à l’échelle. Volumes réservés, raccord au seed, butin, rencontres et services de campagne restent à terminer.</x:v>
      </x:c>
    </x:row>
    <x:row r="2315" ht="96" customHeight="1">
      <x:c r="A2315" s="115" t="str">
        <x:v>EXT-MONDE-T047-V10</x:v>
      </x:c>
      <x:c r="B2315" s="115" t="str">
        <x:v>EXT-MONDE-T047</x:v>
      </x:c>
      <x:c r="C2315" s="115" t="str">
        <x:v>Trailer parks</x:v>
      </x:c>
      <x:c r="D2315" s="115" t="str">
        <x:v>Camp de travailleurs</x:v>
      </x:c>
      <x:c r="E2315" s="115" t="n">
        <x:v>10</x:v>
      </x:c>
      <x:c r="F2315" s="115" t="str">
        <x:v>Inspection physique</x:v>
      </x:c>
      <x:c r="G2315" s="115" t="str">
        <x:v>1 niveaux ; 74 pièces ; 535 segments de mur ; 0 transitions. Inspection physique ; architecture complète encore ouverte.</x:v>
      </x:c>
      <x:c r="H2315" s="115" t="str">
        <x:v>L 160 ; l 138 ; hauteur 3,4 m ; choix de composition auteur ; dimensions réelles à documenter</x:v>
      </x:c>
      <x:c r="I2315" s="115" t="str">
        <x:v>À équilibrer</x:v>
      </x:c>
      <x:c r="J2315" s="115" t="str">
        <x:v>Non</x:v>
      </x:c>
      <x:c r="K2315" s="115" t="str">
        <x:v>Pièces décrites, murs, portes, niveaux et mobilier inspectables à l’échelle. Volumes réservés, raccord au seed, butin, rencontres et services de campagne restent à terminer.</x:v>
      </x:c>
    </x:row>
    <x:row r="2316" ht="96" customHeight="1">
      <x:c r="A2316" s="115" t="str">
        <x:v>EXT-MONDE-T047-V11</x:v>
      </x:c>
      <x:c r="B2316" s="115" t="str">
        <x:v>EXT-MONDE-T047</x:v>
      </x:c>
      <x:c r="C2316" s="115" t="str">
        <x:v>Trailer parks</x:v>
      </x:c>
      <x:c r="D2316" s="115" t="str">
        <x:v>Camp de travailleurs</x:v>
      </x:c>
      <x:c r="E2316" s="115" t="n">
        <x:v>11</x:v>
      </x:c>
      <x:c r="F2316" s="115" t="str">
        <x:v>Inspection physique</x:v>
      </x:c>
      <x:c r="G2316" s="115" t="str">
        <x:v>1 niveaux ; 38 pièces ; 277 segments de mur ; 0 transitions. Inspection physique ; architecture complète encore ouverte.</x:v>
      </x:c>
      <x:c r="H2316" s="115" t="str">
        <x:v>L 126 ; l 118 ; hauteur 3,4 m ; choix de composition auteur ; dimensions réelles à documenter</x:v>
      </x:c>
      <x:c r="I2316" s="115" t="str">
        <x:v>À équilibrer</x:v>
      </x:c>
      <x:c r="J2316" s="115" t="str">
        <x:v>Non</x:v>
      </x:c>
      <x:c r="K2316" s="115" t="str">
        <x:v>Pièces décrites, murs, portes, niveaux et mobilier inspectables à l’échelle. Volumes réservés, raccord au seed, butin, rencontres et services de campagne restent à terminer.</x:v>
      </x:c>
    </x:row>
    <x:row r="2317" ht="96" customHeight="1">
      <x:c r="A2317" s="115" t="str">
        <x:v>EXT-MONDE-T047-V12</x:v>
      </x:c>
      <x:c r="B2317" s="115" t="str">
        <x:v>EXT-MONDE-T047</x:v>
      </x:c>
      <x:c r="C2317" s="115" t="str">
        <x:v>Trailer parks</x:v>
      </x:c>
      <x:c r="D2317" s="115" t="str">
        <x:v>Camp de travailleurs</x:v>
      </x:c>
      <x:c r="E2317" s="115" t="n">
        <x:v>12</x:v>
      </x:c>
      <x:c r="F2317" s="115" t="str">
        <x:v>Inspection physique</x:v>
      </x:c>
      <x:c r="G2317" s="115" t="str">
        <x:v>1 niveaux ; 50 pièces ; 363 segments de mur ; 0 transitions. Inspection physique ; architecture complète encore ouverte.</x:v>
      </x:c>
      <x:c r="H2317" s="115" t="str">
        <x:v>L 126 ; l 119 ; hauteur 3,4 m ; choix de composition auteur ; dimensions réelles à documenter</x:v>
      </x:c>
      <x:c r="I2317" s="115" t="str">
        <x:v>À équilibrer</x:v>
      </x:c>
      <x:c r="J2317" s="115" t="str">
        <x:v>Non</x:v>
      </x:c>
      <x:c r="K2317" s="115" t="str">
        <x:v>Pièces décrites, murs, portes, niveaux et mobilier inspectables à l’échelle. Volumes réservés, raccord au seed, butin, rencontres et services de campagne restent à terminer.</x:v>
      </x:c>
    </x:row>
    <x:row r="2318" ht="96" customHeight="1">
      <x:c r="A2318" s="115" t="str">
        <x:v>EXT-MONDE-T047-V13</x:v>
      </x:c>
      <x:c r="B2318" s="115" t="str">
        <x:v>EXT-MONDE-T047</x:v>
      </x:c>
      <x:c r="C2318" s="115" t="str">
        <x:v>Trailer parks</x:v>
      </x:c>
      <x:c r="D2318" s="115" t="str">
        <x:v>Camp de travailleurs</x:v>
      </x:c>
      <x:c r="E2318" s="115" t="n">
        <x:v>13</x:v>
      </x:c>
      <x:c r="F2318" s="115" t="str">
        <x:v>Inspection physique</x:v>
      </x:c>
      <x:c r="G2318" s="115" t="str">
        <x:v>1 niveaux ; 62 pièces ; 449 segments de mur ; 0 transitions. Inspection physique ; architecture complète encore ouverte.</x:v>
      </x:c>
      <x:c r="H2318" s="115" t="str">
        <x:v>L 126 ; l 142 ; hauteur 3,4 m ; choix de composition auteur ; dimensions réelles à documenter</x:v>
      </x:c>
      <x:c r="I2318" s="115" t="str">
        <x:v>À équilibrer</x:v>
      </x:c>
      <x:c r="J2318" s="115" t="str">
        <x:v>Non</x:v>
      </x:c>
      <x:c r="K2318" s="115" t="str">
        <x:v>Pièces décrites, murs, portes, niveaux et mobilier inspectables à l’échelle. Volumes réservés, raccord au seed, butin, rencontres et services de campagne restent à terminer.</x:v>
      </x:c>
    </x:row>
    <x:row r="2319" ht="96" customHeight="1">
      <x:c r="A2319" s="115" t="str">
        <x:v>EXT-MONDE-T047-V14</x:v>
      </x:c>
      <x:c r="B2319" s="115" t="str">
        <x:v>EXT-MONDE-T047</x:v>
      </x:c>
      <x:c r="C2319" s="115" t="str">
        <x:v>Trailer parks</x:v>
      </x:c>
      <x:c r="D2319" s="115" t="str">
        <x:v>Camp de travailleurs</x:v>
      </x:c>
      <x:c r="E2319" s="115" t="n">
        <x:v>14</x:v>
      </x:c>
      <x:c r="F2319" s="115" t="str">
        <x:v>Inspection physique</x:v>
      </x:c>
      <x:c r="G2319" s="115" t="str">
        <x:v>1 niveaux ; 32 pièces ; 234 segments de mur ; 0 transitions. Inspection physique ; architecture complète encore ouverte.</x:v>
      </x:c>
      <x:c r="H2319" s="115" t="str">
        <x:v>L 86 ; l 119 ; hauteur 3,4 m ; choix de composition auteur ; dimensions réelles à documenter</x:v>
      </x:c>
      <x:c r="I2319" s="115" t="str">
        <x:v>À équilibrer</x:v>
      </x:c>
      <x:c r="J2319" s="115" t="str">
        <x:v>Non</x:v>
      </x:c>
      <x:c r="K2319" s="115" t="str">
        <x:v>Pièces décrites, murs, portes, niveaux et mobilier inspectables à l’échelle. Volumes réservés, raccord au seed, butin, rencontres et services de campagne restent à terminer.</x:v>
      </x:c>
    </x:row>
    <x:row r="2320" ht="96" customHeight="1">
      <x:c r="A2320" s="115" t="str">
        <x:v>EXT-MONDE-T047-V15</x:v>
      </x:c>
      <x:c r="B2320" s="115" t="str">
        <x:v>EXT-MONDE-T047</x:v>
      </x:c>
      <x:c r="C2320" s="115" t="str">
        <x:v>Trailer parks</x:v>
      </x:c>
      <x:c r="D2320" s="115" t="str">
        <x:v>Camp de travailleurs</x:v>
      </x:c>
      <x:c r="E2320" s="115" t="n">
        <x:v>15</x:v>
      </x:c>
      <x:c r="F2320" s="115" t="str">
        <x:v>Inspection physique</x:v>
      </x:c>
      <x:c r="G2320" s="115" t="str">
        <x:v>1 niveaux ; 38 pièces ; 277 segments de mur ; 0 transitions. Inspection physique ; architecture complète encore ouverte.</x:v>
      </x:c>
      <x:c r="H2320" s="115" t="str">
        <x:v>L 86 ; l 142 ; hauteur 3,4 m ; choix de composition auteur ; dimensions réelles à documenter</x:v>
      </x:c>
      <x:c r="I2320" s="115" t="str">
        <x:v>À équilibrer</x:v>
      </x:c>
      <x:c r="J2320" s="115" t="str">
        <x:v>Non</x:v>
      </x:c>
      <x:c r="K2320" s="115" t="str">
        <x:v>Pièces décrites, murs, portes, niveaux et mobilier inspectables à l’échelle. Volumes réservés, raccord au seed, butin, rencontres et services de campagne restent à terminer.</x:v>
      </x:c>
    </x:row>
    <x:row r="2321" ht="96" customHeight="1">
      <x:c r="A2321" s="115" t="str">
        <x:v>EXT-MONDE-T047-V16</x:v>
      </x:c>
      <x:c r="B2321" s="115" t="str">
        <x:v>EXT-MONDE-T047</x:v>
      </x:c>
      <x:c r="C2321" s="115" t="str">
        <x:v>Trailer parks</x:v>
      </x:c>
      <x:c r="D2321" s="115" t="str">
        <x:v>Camp de travailleurs</x:v>
      </x:c>
      <x:c r="E2321" s="115" t="n">
        <x:v>16</x:v>
      </x:c>
      <x:c r="F2321" s="115" t="str">
        <x:v>Inspection physique</x:v>
      </x:c>
      <x:c r="G2321" s="115" t="str">
        <x:v>1 niveaux ; 50 pièces ; 363 segments de mur ; 0 transitions. Inspection physique ; architecture complète encore ouverte.</x:v>
      </x:c>
      <x:c r="H2321" s="115" t="str">
        <x:v>L 166 ; l 118 ; hauteur 3,4 m ; choix de composition auteur ; dimensions réelles à documenter</x:v>
      </x:c>
      <x:c r="I2321" s="115" t="str">
        <x:v>À équilibrer</x:v>
      </x:c>
      <x:c r="J2321" s="115" t="str">
        <x:v>Non</x:v>
      </x:c>
      <x:c r="K2321" s="115" t="str">
        <x:v>Pièces décrites, murs, portes, niveaux et mobilier inspectables à l’échelle. Volumes réservés, raccord au seed, butin, rencontres et services de campagne restent à terminer.</x:v>
      </x:c>
    </x:row>
    <x:row r="2322" ht="96" customHeight="1">
      <x:c r="A2322" s="115" t="str">
        <x:v>EXT-MONDE-T047-V17</x:v>
      </x:c>
      <x:c r="B2322" s="115" t="str">
        <x:v>EXT-MONDE-T047</x:v>
      </x:c>
      <x:c r="C2322" s="115" t="str">
        <x:v>Trailer parks</x:v>
      </x:c>
      <x:c r="D2322" s="115" t="str">
        <x:v>Camp de travailleurs</x:v>
      </x:c>
      <x:c r="E2322" s="115" t="n">
        <x:v>17</x:v>
      </x:c>
      <x:c r="F2322" s="115" t="str">
        <x:v>Inspection physique</x:v>
      </x:c>
      <x:c r="G2322" s="115" t="str">
        <x:v>1 niveaux ; 68 pièces ; 492 segments de mur ; 0 transitions. Inspection physique ; architecture complète encore ouverte.</x:v>
      </x:c>
      <x:c r="H2322" s="115" t="str">
        <x:v>L 166 ; l 119 ; hauteur 3,4 m ; choix de composition auteur ; dimensions réelles à documenter</x:v>
      </x:c>
      <x:c r="I2322" s="115" t="str">
        <x:v>À équilibrer</x:v>
      </x:c>
      <x:c r="J2322" s="115" t="str">
        <x:v>Non</x:v>
      </x:c>
      <x:c r="K2322" s="115" t="str">
        <x:v>Pièces décrites, murs, portes, niveaux et mobilier inspectables à l’échelle. Volumes réservés, raccord au seed, butin, rencontres et services de campagne restent à terminer.</x:v>
      </x:c>
    </x:row>
    <x:row r="2323" ht="96" customHeight="1">
      <x:c r="A2323" s="115" t="str">
        <x:v>EXT-MONDE-T047-V18</x:v>
      </x:c>
      <x:c r="B2323" s="115" t="str">
        <x:v>EXT-MONDE-T047</x:v>
      </x:c>
      <x:c r="C2323" s="115" t="str">
        <x:v>Trailer parks</x:v>
      </x:c>
      <x:c r="D2323" s="115" t="str">
        <x:v>Camp de travailleurs</x:v>
      </x:c>
      <x:c r="E2323" s="115" t="n">
        <x:v>18</x:v>
      </x:c>
      <x:c r="F2323" s="115" t="str">
        <x:v>Inspection physique</x:v>
      </x:c>
      <x:c r="G2323" s="115" t="str">
        <x:v>1 niveaux ; 56 pièces ; 406 segments de mur ; 0 transitions. Inspection physique ; architecture complète encore ouverte.</x:v>
      </x:c>
      <x:c r="H2323" s="115" t="str">
        <x:v>L 126 ; l 142 ; hauteur 3,4 m ; choix de composition auteur ; dimensions réelles à documenter</x:v>
      </x:c>
      <x:c r="I2323" s="115" t="str">
        <x:v>À équilibrer</x:v>
      </x:c>
      <x:c r="J2323" s="115" t="str">
        <x:v>Non</x:v>
      </x:c>
      <x:c r="K2323" s="115" t="str">
        <x:v>Pièces décrites, murs, portes, niveaux et mobilier inspectables à l’échelle. Volumes réservés, raccord au seed, butin, rencontres et services de campagne restent à terminer.</x:v>
      </x:c>
    </x:row>
    <x:row r="2324" ht="96" customHeight="1">
      <x:c r="A2324" s="115" t="str">
        <x:v>EXT-MONDE-T047-V19</x:v>
      </x:c>
      <x:c r="B2324" s="115" t="str">
        <x:v>EXT-MONDE-T047</x:v>
      </x:c>
      <x:c r="C2324" s="115" t="str">
        <x:v>Trailer parks</x:v>
      </x:c>
      <x:c r="D2324" s="115" t="str">
        <x:v>Camp de travailleurs</x:v>
      </x:c>
      <x:c r="E2324" s="115" t="n">
        <x:v>19</x:v>
      </x:c>
      <x:c r="F2324" s="115" t="str">
        <x:v>Inspection physique</x:v>
      </x:c>
      <x:c r="G2324" s="115" t="str">
        <x:v>1 niveaux ; 44 pièces ; 320 segments de mur ; 0 transitions. Inspection physique ; architecture complète encore ouverte.</x:v>
      </x:c>
      <x:c r="H2324" s="115" t="str">
        <x:v>L 126 ; l 119 ; hauteur 3,4 m ; choix de composition auteur ; dimensions réelles à documenter</x:v>
      </x:c>
      <x:c r="I2324" s="115" t="str">
        <x:v>À équilibrer</x:v>
      </x:c>
      <x:c r="J2324" s="115" t="str">
        <x:v>Non</x:v>
      </x:c>
      <x:c r="K2324" s="115" t="str">
        <x:v>Pièces décrites, murs, portes, niveaux et mobilier inspectables à l’échelle. Volumes réservés, raccord au seed, butin, rencontres et services de campagne restent à terminer.</x:v>
      </x:c>
    </x:row>
    <x:row r="2325" ht="96" customHeight="1">
      <x:c r="A2325" s="115" t="str">
        <x:v>EXT-MONDE-T047-V20</x:v>
      </x:c>
      <x:c r="B2325" s="115" t="str">
        <x:v>EXT-MONDE-T047</x:v>
      </x:c>
      <x:c r="C2325" s="115" t="str">
        <x:v>Trailer parks</x:v>
      </x:c>
      <x:c r="D2325" s="115" t="str">
        <x:v>Camp de travailleurs</x:v>
      </x:c>
      <x:c r="E2325" s="115" t="n">
        <x:v>20</x:v>
      </x:c>
      <x:c r="F2325" s="115" t="str">
        <x:v>Inspection physique</x:v>
      </x:c>
      <x:c r="G2325" s="115" t="str">
        <x:v>1 niveaux ; 74 pièces ; 535 segments de mur ; 0 transitions. Inspection physique ; architecture complète encore ouverte.</x:v>
      </x:c>
      <x:c r="H2325" s="115" t="str">
        <x:v>L 166 ; l 142 ; hauteur 3,4 m ; choix de composition auteur ; dimensions réelles à documenter</x:v>
      </x:c>
      <x:c r="I2325" s="115" t="str">
        <x:v>À équilibrer</x:v>
      </x:c>
      <x:c r="J2325" s="115" t="str">
        <x:v>Non</x:v>
      </x:c>
      <x:c r="K2325" s="115" t="str">
        <x:v>Pièces décrites, murs, portes, niveaux et mobilier inspectables à l’échelle. Volumes réservés, raccord au seed, butin, rencontres et services de campagne restent à terminer.</x:v>
      </x:c>
    </x:row>
    <x:row r="2326" ht="96" customHeight="1">
      <x:c r="A2326" s="115" t="str">
        <x:v>EXT-MONDE-T047-V21</x:v>
      </x:c>
      <x:c r="B2326" s="115" t="str">
        <x:v>EXT-MONDE-T047</x:v>
      </x:c>
      <x:c r="C2326" s="115" t="str">
        <x:v>Trailer parks</x:v>
      </x:c>
      <x:c r="D2326" s="115" t="str">
        <x:v>Camp de travailleurs</x:v>
      </x:c>
      <x:c r="E2326" s="115" t="n">
        <x:v>21</x:v>
      </x:c>
      <x:c r="F2326" s="115" t="str">
        <x:v>Inspection physique</x:v>
      </x:c>
      <x:c r="G2326" s="115" t="str">
        <x:v>1 niveaux ; 38 pièces ; 277 segments de mur ; 0 transitions. Inspection physique ; architecture complète encore ouverte.</x:v>
      </x:c>
      <x:c r="H2326" s="115" t="str">
        <x:v>L 130 ; l 118 ; hauteur 3,4 m ; choix de composition auteur ; dimensions réelles à documenter</x:v>
      </x:c>
      <x:c r="I2326" s="115" t="str">
        <x:v>À équilibrer</x:v>
      </x:c>
      <x:c r="J2326" s="115" t="str">
        <x:v>Non</x:v>
      </x:c>
      <x:c r="K2326" s="115" t="str">
        <x:v>Pièces décrites, murs, portes, niveaux et mobilier inspectables à l’échelle. Volumes réservés, raccord au seed, butin, rencontres et services de campagne restent à terminer.</x:v>
      </x:c>
    </x:row>
    <x:row r="2327" ht="96" customHeight="1">
      <x:c r="A2327" s="115" t="str">
        <x:v>EXT-MONDE-T047-V22</x:v>
      </x:c>
      <x:c r="B2327" s="115" t="str">
        <x:v>EXT-MONDE-T047</x:v>
      </x:c>
      <x:c r="C2327" s="115" t="str">
        <x:v>Trailer parks</x:v>
      </x:c>
      <x:c r="D2327" s="115" t="str">
        <x:v>Camp de travailleurs</x:v>
      </x:c>
      <x:c r="E2327" s="115" t="n">
        <x:v>22</x:v>
      </x:c>
      <x:c r="F2327" s="115" t="str">
        <x:v>Inspection physique</x:v>
      </x:c>
      <x:c r="G2327" s="115" t="str">
        <x:v>1 niveaux ; 50 pièces ; 363 segments de mur ; 0 transitions. Inspection physique ; architecture complète encore ouverte.</x:v>
      </x:c>
      <x:c r="H2327" s="115" t="str">
        <x:v>L 130 ; l 122 ; hauteur 3,4 m ; choix de composition auteur ; dimensions réelles à documenter</x:v>
      </x:c>
      <x:c r="I2327" s="115" t="str">
        <x:v>À équilibrer</x:v>
      </x:c>
      <x:c r="J2327" s="115" t="str">
        <x:v>Non</x:v>
      </x:c>
      <x:c r="K2327" s="115" t="str">
        <x:v>Pièces décrites, murs, portes, niveaux et mobilier inspectables à l’échelle. Volumes réservés, raccord au seed, butin, rencontres et services de campagne restent à terminer.</x:v>
      </x:c>
    </x:row>
    <x:row r="2328" ht="96" customHeight="1">
      <x:c r="A2328" s="115" t="str">
        <x:v>EXT-MONDE-T047-V23</x:v>
      </x:c>
      <x:c r="B2328" s="115" t="str">
        <x:v>EXT-MONDE-T047</x:v>
      </x:c>
      <x:c r="C2328" s="115" t="str">
        <x:v>Trailer parks</x:v>
      </x:c>
      <x:c r="D2328" s="115" t="str">
        <x:v>Camp de travailleurs</x:v>
      </x:c>
      <x:c r="E2328" s="115" t="n">
        <x:v>23</x:v>
      </x:c>
      <x:c r="F2328" s="115" t="str">
        <x:v>Inspection physique</x:v>
      </x:c>
      <x:c r="G2328" s="115" t="str">
        <x:v>1 niveaux ; 62 pièces ; 449 segments de mur ; 0 transitions. Inspection physique ; architecture complète encore ouverte.</x:v>
      </x:c>
      <x:c r="H2328" s="115" t="str">
        <x:v>L 130 ; l 146 ; hauteur 3,4 m ; choix de composition auteur ; dimensions réelles à documenter</x:v>
      </x:c>
      <x:c r="I2328" s="115" t="str">
        <x:v>À équilibrer</x:v>
      </x:c>
      <x:c r="J2328" s="115" t="str">
        <x:v>Non</x:v>
      </x:c>
      <x:c r="K2328" s="115" t="str">
        <x:v>Pièces décrites, murs, portes, niveaux et mobilier inspectables à l’échelle. Volumes réservés, raccord au seed, butin, rencontres et services de campagne restent à terminer.</x:v>
      </x:c>
    </x:row>
    <x:row r="2329" ht="96" customHeight="1">
      <x:c r="A2329" s="115" t="str">
        <x:v>EXT-MONDE-T047-V24</x:v>
      </x:c>
      <x:c r="B2329" s="115" t="str">
        <x:v>EXT-MONDE-T047</x:v>
      </x:c>
      <x:c r="C2329" s="115" t="str">
        <x:v>Trailer parks</x:v>
      </x:c>
      <x:c r="D2329" s="115" t="str">
        <x:v>Camp de travailleurs</x:v>
      </x:c>
      <x:c r="E2329" s="115" t="n">
        <x:v>24</x:v>
      </x:c>
      <x:c r="F2329" s="115" t="str">
        <x:v>Inspection physique</x:v>
      </x:c>
      <x:c r="G2329" s="115" t="str">
        <x:v>1 niveaux ; 32 pièces ; 234 segments de mur ; 0 transitions. Inspection physique ; architecture complète encore ouverte.</x:v>
      </x:c>
      <x:c r="H2329" s="115" t="str">
        <x:v>L 88 ; l 122 ; hauteur 3,4 m ; choix de composition auteur ; dimensions réelles à documenter</x:v>
      </x:c>
      <x:c r="I2329" s="115" t="str">
        <x:v>À équilibrer</x:v>
      </x:c>
      <x:c r="J2329" s="115" t="str">
        <x:v>Non</x:v>
      </x:c>
      <x:c r="K2329" s="115" t="str">
        <x:v>Pièces décrites, murs, portes, niveaux et mobilier inspectables à l’échelle. Volumes réservés, raccord au seed, butin, rencontres et services de campagne restent à terminer.</x:v>
      </x:c>
    </x:row>
    <x:row r="2330" ht="96" customHeight="1">
      <x:c r="A2330" s="115" t="str">
        <x:v>EXT-MONDE-T047-V25</x:v>
      </x:c>
      <x:c r="B2330" s="115" t="str">
        <x:v>EXT-MONDE-T047</x:v>
      </x:c>
      <x:c r="C2330" s="115" t="str">
        <x:v>Trailer parks</x:v>
      </x:c>
      <x:c r="D2330" s="115" t="str">
        <x:v>Camp de travailleurs</x:v>
      </x:c>
      <x:c r="E2330" s="115" t="n">
        <x:v>25</x:v>
      </x:c>
      <x:c r="F2330" s="115" t="str">
        <x:v>Inspection physique</x:v>
      </x:c>
      <x:c r="G2330" s="115" t="str">
        <x:v>1 niveaux ; 38 pièces ; 277 segments de mur ; 0 transitions. Inspection physique ; architecture complète encore ouverte.</x:v>
      </x:c>
      <x:c r="H2330" s="115" t="str">
        <x:v>L 88 ; l 146 ; hauteur 3,4 m ; choix de composition auteur ; dimensions réelles à documenter</x:v>
      </x:c>
      <x:c r="I2330" s="115" t="str">
        <x:v>À équilibrer</x:v>
      </x:c>
      <x:c r="J2330" s="115" t="str">
        <x:v>Non</x:v>
      </x:c>
      <x:c r="K2330" s="115" t="str">
        <x:v>Pièces décrites, murs, portes, niveaux et mobilier inspectables à l’échelle. Volumes réservés, raccord au seed, butin, rencontres et services de campagne restent à terminer.</x:v>
      </x:c>
    </x:row>
    <x:row r="2331" ht="96" customHeight="1">
      <x:c r="A2331" s="115" t="str">
        <x:v>EXT-MONDE-T047-V26</x:v>
      </x:c>
      <x:c r="B2331" s="115" t="str">
        <x:v>EXT-MONDE-T047</x:v>
      </x:c>
      <x:c r="C2331" s="115" t="str">
        <x:v>Trailer parks</x:v>
      </x:c>
      <x:c r="D2331" s="115" t="str">
        <x:v>Camp de travailleurs</x:v>
      </x:c>
      <x:c r="E2331" s="115" t="n">
        <x:v>26</x:v>
      </x:c>
      <x:c r="F2331" s="115" t="str">
        <x:v>Inspection physique</x:v>
      </x:c>
      <x:c r="G2331" s="115" t="str">
        <x:v>1 niveaux ; 50 pièces ; 363 segments de mur ; 0 transitions. Inspection physique ; architecture complète encore ouverte.</x:v>
      </x:c>
      <x:c r="H2331" s="115" t="str">
        <x:v>L 172 ; l 118 ; hauteur 3,4 m ; choix de composition auteur ; dimensions réelles à documenter</x:v>
      </x:c>
      <x:c r="I2331" s="115" t="str">
        <x:v>À équilibrer</x:v>
      </x:c>
      <x:c r="J2331" s="115" t="str">
        <x:v>Non</x:v>
      </x:c>
      <x:c r="K2331" s="115" t="str">
        <x:v>Pièces décrites, murs, portes, niveaux et mobilier inspectables à l’échelle. Volumes réservés, raccord au seed, butin, rencontres et services de campagne restent à terminer.</x:v>
      </x:c>
    </x:row>
    <x:row r="2332" ht="96" customHeight="1">
      <x:c r="A2332" s="115" t="str">
        <x:v>EXT-MONDE-T047-V27</x:v>
      </x:c>
      <x:c r="B2332" s="115" t="str">
        <x:v>EXT-MONDE-T047</x:v>
      </x:c>
      <x:c r="C2332" s="115" t="str">
        <x:v>Trailer parks</x:v>
      </x:c>
      <x:c r="D2332" s="115" t="str">
        <x:v>Camp de travailleurs</x:v>
      </x:c>
      <x:c r="E2332" s="115" t="n">
        <x:v>27</x:v>
      </x:c>
      <x:c r="F2332" s="115" t="str">
        <x:v>Inspection physique</x:v>
      </x:c>
      <x:c r="G2332" s="115" t="str">
        <x:v>1 niveaux ; 68 pièces ; 492 segments de mur ; 0 transitions. Inspection physique ; architecture complète encore ouverte.</x:v>
      </x:c>
      <x:c r="H2332" s="115" t="str">
        <x:v>L 172 ; l 122 ; hauteur 3,4 m ; choix de composition auteur ; dimensions réelles à documenter</x:v>
      </x:c>
      <x:c r="I2332" s="115" t="str">
        <x:v>À équilibrer</x:v>
      </x:c>
      <x:c r="J2332" s="115" t="str">
        <x:v>Non</x:v>
      </x:c>
      <x:c r="K2332" s="115" t="str">
        <x:v>Pièces décrites, murs, portes, niveaux et mobilier inspectables à l’échelle. Volumes réservés, raccord au seed, butin, rencontres et services de campagne restent à terminer.</x:v>
      </x:c>
    </x:row>
    <x:row r="2333" ht="96" customHeight="1">
      <x:c r="A2333" s="115" t="str">
        <x:v>EXT-MONDE-T047-V28</x:v>
      </x:c>
      <x:c r="B2333" s="115" t="str">
        <x:v>EXT-MONDE-T047</x:v>
      </x:c>
      <x:c r="C2333" s="115" t="str">
        <x:v>Trailer parks</x:v>
      </x:c>
      <x:c r="D2333" s="115" t="str">
        <x:v>Camp de travailleurs</x:v>
      </x:c>
      <x:c r="E2333" s="115" t="n">
        <x:v>28</x:v>
      </x:c>
      <x:c r="F2333" s="115" t="str">
        <x:v>Inspection physique</x:v>
      </x:c>
      <x:c r="G2333" s="115" t="str">
        <x:v>1 niveaux ; 56 pièces ; 406 segments de mur ; 0 transitions. Inspection physique ; architecture complète encore ouverte.</x:v>
      </x:c>
      <x:c r="H2333" s="115" t="str">
        <x:v>L 130 ; l 146 ; hauteur 3,4 m ; choix de composition auteur ; dimensions réelles à documenter</x:v>
      </x:c>
      <x:c r="I2333" s="115" t="str">
        <x:v>À équilibrer</x:v>
      </x:c>
      <x:c r="J2333" s="115" t="str">
        <x:v>Non</x:v>
      </x:c>
      <x:c r="K2333" s="115" t="str">
        <x:v>Pièces décrites, murs, portes, niveaux et mobilier inspectables à l’échelle. Volumes réservés, raccord au seed, butin, rencontres et services de campagne restent à terminer.</x:v>
      </x:c>
    </x:row>
    <x:row r="2334" ht="96" customHeight="1">
      <x:c r="A2334" s="115" t="str">
        <x:v>EXT-MONDE-T047-V29</x:v>
      </x:c>
      <x:c r="B2334" s="115" t="str">
        <x:v>EXT-MONDE-T047</x:v>
      </x:c>
      <x:c r="C2334" s="115" t="str">
        <x:v>Trailer parks</x:v>
      </x:c>
      <x:c r="D2334" s="115" t="str">
        <x:v>Camp de travailleurs</x:v>
      </x:c>
      <x:c r="E2334" s="115" t="n">
        <x:v>29</x:v>
      </x:c>
      <x:c r="F2334" s="115" t="str">
        <x:v>Inspection physique</x:v>
      </x:c>
      <x:c r="G2334" s="115" t="str">
        <x:v>1 niveaux ; 44 pièces ; 320 segments de mur ; 0 transitions. Inspection physique ; architecture complète encore ouverte.</x:v>
      </x:c>
      <x:c r="H2334" s="115" t="str">
        <x:v>L 130 ; l 122 ; hauteur 3,4 m ; choix de composition auteur ; dimensions réelles à documenter</x:v>
      </x:c>
      <x:c r="I2334" s="115" t="str">
        <x:v>À équilibrer</x:v>
      </x:c>
      <x:c r="J2334" s="115" t="str">
        <x:v>Non</x:v>
      </x:c>
      <x:c r="K2334" s="115" t="str">
        <x:v>Pièces décrites, murs, portes, niveaux et mobilier inspectables à l’échelle. Volumes réservés, raccord au seed, butin, rencontres et services de campagne restent à terminer.</x:v>
      </x:c>
    </x:row>
    <x:row r="2335" ht="96" customHeight="1">
      <x:c r="A2335" s="115" t="str">
        <x:v>EXT-MONDE-T047-V30</x:v>
      </x:c>
      <x:c r="B2335" s="115" t="str">
        <x:v>EXT-MONDE-T047</x:v>
      </x:c>
      <x:c r="C2335" s="115" t="str">
        <x:v>Trailer parks</x:v>
      </x:c>
      <x:c r="D2335" s="115" t="str">
        <x:v>Camp de travailleurs</x:v>
      </x:c>
      <x:c r="E2335" s="115" t="n">
        <x:v>30</x:v>
      </x:c>
      <x:c r="F2335" s="115" t="str">
        <x:v>Inspection physique</x:v>
      </x:c>
      <x:c r="G2335" s="115" t="str">
        <x:v>1 niveaux ; 74 pièces ; 535 segments de mur ; 0 transitions. Inspection physique ; architecture complète encore ouverte.</x:v>
      </x:c>
      <x:c r="H2335" s="115" t="str">
        <x:v>L 172 ; l 146 ; hauteur 3,4 m ; choix de composition auteur ; dimensions réelles à documenter</x:v>
      </x:c>
      <x:c r="I2335" s="115" t="str">
        <x:v>À équilibrer</x:v>
      </x:c>
      <x:c r="J2335" s="115" t="str">
        <x:v>Non</x:v>
      </x:c>
      <x:c r="K2335" s="115" t="str">
        <x:v>Pièces décrites, murs, portes, niveaux et mobilier inspectables à l’échelle. Volumes réservés, raccord au seed, butin, rencontres et services de campagne restent à terminer.</x:v>
      </x:c>
    </x:row>
    <x:row r="2336" ht="96" customHeight="1">
      <x:c r="A2336" s="115" t="str">
        <x:v>EXT-MONDE-T047-V31</x:v>
      </x:c>
      <x:c r="B2336" s="115" t="str">
        <x:v>EXT-MONDE-T047</x:v>
      </x:c>
      <x:c r="C2336" s="115" t="str">
        <x:v>Trailer parks</x:v>
      </x:c>
      <x:c r="D2336" s="115" t="str">
        <x:v>Camp de travailleurs</x:v>
      </x:c>
      <x:c r="E2336" s="115" t="n">
        <x:v>31</x:v>
      </x:c>
      <x:c r="F2336" s="115" t="str">
        <x:v>Inspection physique</x:v>
      </x:c>
      <x:c r="G2336" s="115" t="str">
        <x:v>1 niveaux ; 38 pièces ; 277 segments de mur ; 0 transitions. Inspection physique ; architecture complète encore ouverte.</x:v>
      </x:c>
      <x:c r="H2336" s="115" t="str">
        <x:v>L 134 ; l 118 ; hauteur 3,4 m ; choix de composition auteur ; dimensions réelles à documenter</x:v>
      </x:c>
      <x:c r="I2336" s="115" t="str">
        <x:v>À équilibrer</x:v>
      </x:c>
      <x:c r="J2336" s="115" t="str">
        <x:v>Non</x:v>
      </x:c>
      <x:c r="K2336" s="115" t="str">
        <x:v>Pièces décrites, murs, portes, niveaux et mobilier inspectables à l’échelle. Volumes réservés, raccord au seed, butin, rencontres et services de campagne restent à terminer.</x:v>
      </x:c>
    </x:row>
    <x:row r="2337" ht="96" customHeight="1">
      <x:c r="A2337" s="115" t="str">
        <x:v>EXT-MONDE-T047-V32</x:v>
      </x:c>
      <x:c r="B2337" s="115" t="str">
        <x:v>EXT-MONDE-T047</x:v>
      </x:c>
      <x:c r="C2337" s="115" t="str">
        <x:v>Trailer parks</x:v>
      </x:c>
      <x:c r="D2337" s="115" t="str">
        <x:v>Camp de travailleurs</x:v>
      </x:c>
      <x:c r="E2337" s="115" t="n">
        <x:v>32</x:v>
      </x:c>
      <x:c r="F2337" s="115" t="str">
        <x:v>Inspection physique</x:v>
      </x:c>
      <x:c r="G2337" s="115" t="str">
        <x:v>1 niveaux ; 50 pièces ; 363 segments de mur ; 0 transitions. Inspection physique ; architecture complète encore ouverte.</x:v>
      </x:c>
      <x:c r="H2337" s="115" t="str">
        <x:v>L 134 ; l 125 ; hauteur 3,4 m ; choix de composition auteur ; dimensions réelles à documenter</x:v>
      </x:c>
      <x:c r="I2337" s="115" t="str">
        <x:v>À équilibrer</x:v>
      </x:c>
      <x:c r="J2337" s="115" t="str">
        <x:v>Non</x:v>
      </x:c>
      <x:c r="K2337" s="115" t="str">
        <x:v>Pièces décrites, murs, portes, niveaux et mobilier inspectables à l’échelle. Volumes réservés, raccord au seed, butin, rencontres et services de campagne restent à terminer.</x:v>
      </x:c>
    </x:row>
    <x:row r="2338" ht="96" customHeight="1">
      <x:c r="A2338" s="115" t="str">
        <x:v>EXT-MONDE-T047-V33</x:v>
      </x:c>
      <x:c r="B2338" s="115" t="str">
        <x:v>EXT-MONDE-T047</x:v>
      </x:c>
      <x:c r="C2338" s="115" t="str">
        <x:v>Trailer parks</x:v>
      </x:c>
      <x:c r="D2338" s="115" t="str">
        <x:v>Camp de travailleurs</x:v>
      </x:c>
      <x:c r="E2338" s="115" t="n">
        <x:v>33</x:v>
      </x:c>
      <x:c r="F2338" s="115" t="str">
        <x:v>Inspection physique</x:v>
      </x:c>
      <x:c r="G2338" s="115" t="str">
        <x:v>1 niveaux ; 62 pièces ; 449 segments de mur ; 0 transitions. Inspection physique ; architecture complète encore ouverte.</x:v>
      </x:c>
      <x:c r="H2338" s="115" t="str">
        <x:v>L 134 ; l 150 ; hauteur 3,4 m ; choix de composition auteur ; dimensions réelles à documenter</x:v>
      </x:c>
      <x:c r="I2338" s="115" t="str">
        <x:v>À équilibrer</x:v>
      </x:c>
      <x:c r="J2338" s="115" t="str">
        <x:v>Non</x:v>
      </x:c>
      <x:c r="K2338" s="115" t="str">
        <x:v>Pièces décrites, murs, portes, niveaux et mobilier inspectables à l’échelle. Volumes réservés, raccord au seed, butin, rencontres et services de campagne restent à terminer.</x:v>
      </x:c>
    </x:row>
    <x:row r="2339" ht="96" customHeight="1">
      <x:c r="A2339" s="115" t="str">
        <x:v>EXT-MONDE-T047-V34</x:v>
      </x:c>
      <x:c r="B2339" s="115" t="str">
        <x:v>EXT-MONDE-T047</x:v>
      </x:c>
      <x:c r="C2339" s="115" t="str">
        <x:v>Trailer parks</x:v>
      </x:c>
      <x:c r="D2339" s="115" t="str">
        <x:v>Camp de travailleurs</x:v>
      </x:c>
      <x:c r="E2339" s="115" t="n">
        <x:v>34</x:v>
      </x:c>
      <x:c r="F2339" s="115" t="str">
        <x:v>Inspection physique</x:v>
      </x:c>
      <x:c r="G2339" s="115" t="str">
        <x:v>1 niveaux ; 32 pièces ; 234 segments de mur ; 0 transitions. Inspection physique ; architecture complète encore ouverte.</x:v>
      </x:c>
      <x:c r="H2339" s="115" t="str">
        <x:v>L 90 ; l 125 ; hauteur 3,4 m ; choix de composition auteur ; dimensions réelles à documenter</x:v>
      </x:c>
      <x:c r="I2339" s="115" t="str">
        <x:v>À équilibrer</x:v>
      </x:c>
      <x:c r="J2339" s="115" t="str">
        <x:v>Non</x:v>
      </x:c>
      <x:c r="K2339" s="115" t="str">
        <x:v>Pièces décrites, murs, portes, niveaux et mobilier inspectables à l’échelle. Volumes réservés, raccord au seed, butin, rencontres et services de campagne restent à terminer.</x:v>
      </x:c>
    </x:row>
    <x:row r="2340" ht="96" customHeight="1">
      <x:c r="A2340" s="115" t="str">
        <x:v>EXT-MONDE-T047-V35</x:v>
      </x:c>
      <x:c r="B2340" s="115" t="str">
        <x:v>EXT-MONDE-T047</x:v>
      </x:c>
      <x:c r="C2340" s="115" t="str">
        <x:v>Trailer parks</x:v>
      </x:c>
      <x:c r="D2340" s="115" t="str">
        <x:v>Camp de travailleurs</x:v>
      </x:c>
      <x:c r="E2340" s="115" t="n">
        <x:v>35</x:v>
      </x:c>
      <x:c r="F2340" s="115" t="str">
        <x:v>Inspection physique</x:v>
      </x:c>
      <x:c r="G2340" s="115" t="str">
        <x:v>1 niveaux ; 38 pièces ; 277 segments de mur ; 0 transitions. Inspection physique ; architecture complète encore ouverte.</x:v>
      </x:c>
      <x:c r="H2340" s="115" t="str">
        <x:v>L 90 ; l 150 ; hauteur 3,4 m ; choix de composition auteur ; dimensions réelles à documenter</x:v>
      </x:c>
      <x:c r="I2340" s="115" t="str">
        <x:v>À équilibrer</x:v>
      </x:c>
      <x:c r="J2340" s="115" t="str">
        <x:v>Non</x:v>
      </x:c>
      <x:c r="K2340" s="115" t="str">
        <x:v>Pièces décrites, murs, portes, niveaux et mobilier inspectables à l’échelle. Volumes réservés, raccord au seed, butin, rencontres et services de campagne restent à terminer.</x:v>
      </x:c>
    </x:row>
    <x:row r="2341" ht="96" customHeight="1">
      <x:c r="A2341" s="115" t="str">
        <x:v>EXT-MONDE-T047-V36</x:v>
      </x:c>
      <x:c r="B2341" s="115" t="str">
        <x:v>EXT-MONDE-T047</x:v>
      </x:c>
      <x:c r="C2341" s="115" t="str">
        <x:v>Trailer parks</x:v>
      </x:c>
      <x:c r="D2341" s="115" t="str">
        <x:v>Camp de travailleurs</x:v>
      </x:c>
      <x:c r="E2341" s="115" t="n">
        <x:v>36</x:v>
      </x:c>
      <x:c r="F2341" s="115" t="str">
        <x:v>Inspection physique</x:v>
      </x:c>
      <x:c r="G2341" s="115" t="str">
        <x:v>1 niveaux ; 50 pièces ; 363 segments de mur ; 0 transitions. Inspection physique ; architecture complète encore ouverte.</x:v>
      </x:c>
      <x:c r="H2341" s="115" t="str">
        <x:v>L 178 ; l 118 ; hauteur 3,4 m ; choix de composition auteur ; dimensions réelles à documenter</x:v>
      </x:c>
      <x:c r="I2341" s="115" t="str">
        <x:v>À équilibrer</x:v>
      </x:c>
      <x:c r="J2341" s="115" t="str">
        <x:v>Non</x:v>
      </x:c>
      <x:c r="K2341" s="115" t="str">
        <x:v>Pièces décrites, murs, portes, niveaux et mobilier inspectables à l’échelle. Volumes réservés, raccord au seed, butin, rencontres et services de campagne restent à terminer.</x:v>
      </x:c>
    </x:row>
    <x:row r="2342" ht="96" customHeight="1">
      <x:c r="A2342" s="115" t="str">
        <x:v>EXT-MONDE-T047-V37</x:v>
      </x:c>
      <x:c r="B2342" s="115" t="str">
        <x:v>EXT-MONDE-T047</x:v>
      </x:c>
      <x:c r="C2342" s="115" t="str">
        <x:v>Trailer parks</x:v>
      </x:c>
      <x:c r="D2342" s="115" t="str">
        <x:v>Camp de travailleurs</x:v>
      </x:c>
      <x:c r="E2342" s="115" t="n">
        <x:v>37</x:v>
      </x:c>
      <x:c r="F2342" s="115" t="str">
        <x:v>Inspection physique</x:v>
      </x:c>
      <x:c r="G2342" s="115" t="str">
        <x:v>1 niveaux ; 68 pièces ; 492 segments de mur ; 0 transitions. Inspection physique ; architecture complète encore ouverte.</x:v>
      </x:c>
      <x:c r="H2342" s="115" t="str">
        <x:v>L 178 ; l 125 ; hauteur 3,4 m ; choix de composition auteur ; dimensions réelles à documenter</x:v>
      </x:c>
      <x:c r="I2342" s="115" t="str">
        <x:v>À équilibrer</x:v>
      </x:c>
      <x:c r="J2342" s="115" t="str">
        <x:v>Non</x:v>
      </x:c>
      <x:c r="K2342" s="115" t="str">
        <x:v>Pièces décrites, murs, portes, niveaux et mobilier inspectables à l’échelle. Volumes réservés, raccord au seed, butin, rencontres et services de campagne restent à terminer.</x:v>
      </x:c>
    </x:row>
    <x:row r="2343" ht="96" customHeight="1">
      <x:c r="A2343" s="115" t="str">
        <x:v>EXT-MONDE-T047-V38</x:v>
      </x:c>
      <x:c r="B2343" s="115" t="str">
        <x:v>EXT-MONDE-T047</x:v>
      </x:c>
      <x:c r="C2343" s="115" t="str">
        <x:v>Trailer parks</x:v>
      </x:c>
      <x:c r="D2343" s="115" t="str">
        <x:v>Camp de travailleurs</x:v>
      </x:c>
      <x:c r="E2343" s="115" t="n">
        <x:v>38</x:v>
      </x:c>
      <x:c r="F2343" s="115" t="str">
        <x:v>Inspection physique</x:v>
      </x:c>
      <x:c r="G2343" s="115" t="str">
        <x:v>1 niveaux ; 56 pièces ; 406 segments de mur ; 0 transitions. Inspection physique ; architecture complète encore ouverte.</x:v>
      </x:c>
      <x:c r="H2343" s="115" t="str">
        <x:v>L 134 ; l 150 ; hauteur 3,4 m ; choix de composition auteur ; dimensions réelles à documenter</x:v>
      </x:c>
      <x:c r="I2343" s="115" t="str">
        <x:v>À équilibrer</x:v>
      </x:c>
      <x:c r="J2343" s="115" t="str">
        <x:v>Non</x:v>
      </x:c>
      <x:c r="K2343" s="115" t="str">
        <x:v>Pièces décrites, murs, portes, niveaux et mobilier inspectables à l’échelle. Volumes réservés, raccord au seed, butin, rencontres et services de campagne restent à terminer.</x:v>
      </x:c>
    </x:row>
    <x:row r="2344" ht="96" customHeight="1">
      <x:c r="A2344" s="115" t="str">
        <x:v>EXT-MONDE-T047-V39</x:v>
      </x:c>
      <x:c r="B2344" s="115" t="str">
        <x:v>EXT-MONDE-T047</x:v>
      </x:c>
      <x:c r="C2344" s="115" t="str">
        <x:v>Trailer parks</x:v>
      </x:c>
      <x:c r="D2344" s="115" t="str">
        <x:v>Camp de travailleurs</x:v>
      </x:c>
      <x:c r="E2344" s="115" t="n">
        <x:v>39</x:v>
      </x:c>
      <x:c r="F2344" s="115" t="str">
        <x:v>Inspection physique</x:v>
      </x:c>
      <x:c r="G2344" s="115" t="str">
        <x:v>1 niveaux ; 44 pièces ; 320 segments de mur ; 0 transitions. Inspection physique ; architecture complète encore ouverte.</x:v>
      </x:c>
      <x:c r="H2344" s="115" t="str">
        <x:v>L 134 ; l 125 ; hauteur 3,4 m ; choix de composition auteur ; dimensions réelles à documenter</x:v>
      </x:c>
      <x:c r="I2344" s="115" t="str">
        <x:v>À équilibrer</x:v>
      </x:c>
      <x:c r="J2344" s="115" t="str">
        <x:v>Non</x:v>
      </x:c>
      <x:c r="K2344" s="115" t="str">
        <x:v>Pièces décrites, murs, portes, niveaux et mobilier inspectables à l’échelle. Volumes réservés, raccord au seed, butin, rencontres et services de campagne restent à terminer.</x:v>
      </x:c>
    </x:row>
    <x:row r="2345" ht="96" customHeight="1">
      <x:c r="A2345" s="115" t="str">
        <x:v>EXT-MONDE-T047-V40</x:v>
      </x:c>
      <x:c r="B2345" s="115" t="str">
        <x:v>EXT-MONDE-T047</x:v>
      </x:c>
      <x:c r="C2345" s="115" t="str">
        <x:v>Trailer parks</x:v>
      </x:c>
      <x:c r="D2345" s="115" t="str">
        <x:v>Camp de travailleurs</x:v>
      </x:c>
      <x:c r="E2345" s="115" t="n">
        <x:v>40</x:v>
      </x:c>
      <x:c r="F2345" s="115" t="str">
        <x:v>Inspection physique</x:v>
      </x:c>
      <x:c r="G2345" s="115" t="str">
        <x:v>1 niveaux ; 74 pièces ; 535 segments de mur ; 0 transitions. Inspection physique ; architecture complète encore ouverte.</x:v>
      </x:c>
      <x:c r="H2345" s="115" t="str">
        <x:v>L 178 ; l 150 ; hauteur 3,4 m ; choix de composition auteur ; dimensions réelles à documenter</x:v>
      </x:c>
      <x:c r="I2345" s="115" t="str">
        <x:v>À équilibrer</x:v>
      </x:c>
      <x:c r="J2345" s="115" t="str">
        <x:v>Non</x:v>
      </x:c>
      <x:c r="K2345" s="115" t="str">
        <x:v>Pièces décrites, murs, portes, niveaux et mobilier inspectables à l’échelle. Volumes réservés, raccord au seed, butin, rencontres et services de campagne restent à terminer.</x:v>
      </x:c>
    </x:row>
    <x:row r="2346" ht="96" customHeight="1">
      <x:c r="A2346" s="115" t="str">
        <x:v>EXT-MONDE-T047-V41</x:v>
      </x:c>
      <x:c r="B2346" s="115" t="str">
        <x:v>EXT-MONDE-T047</x:v>
      </x:c>
      <x:c r="C2346" s="115" t="str">
        <x:v>Trailer parks</x:v>
      </x:c>
      <x:c r="D2346" s="115" t="str">
        <x:v>Camp de travailleurs</x:v>
      </x:c>
      <x:c r="E2346" s="115" t="n">
        <x:v>41</x:v>
      </x:c>
      <x:c r="F2346" s="115" t="str">
        <x:v>Inspection physique</x:v>
      </x:c>
      <x:c r="G2346" s="115" t="str">
        <x:v>1 niveaux ; 38 pièces ; 277 segments de mur ; 0 transitions. Inspection physique ; architecture complète encore ouverte.</x:v>
      </x:c>
      <x:c r="H2346" s="115" t="str">
        <x:v>L 138 ; l 118 ; hauteur 3,4 m ; choix de composition auteur ; dimensions réelles à documenter</x:v>
      </x:c>
      <x:c r="I2346" s="115" t="str">
        <x:v>À équilibrer</x:v>
      </x:c>
      <x:c r="J2346" s="115" t="str">
        <x:v>Non</x:v>
      </x:c>
      <x:c r="K2346" s="115" t="str">
        <x:v>Pièces décrites, murs, portes, niveaux et mobilier inspectables à l’échelle. Volumes réservés, raccord au seed, butin, rencontres et services de campagne restent à terminer.</x:v>
      </x:c>
    </x:row>
    <x:row r="2347" ht="96" customHeight="1">
      <x:c r="A2347" s="115" t="str">
        <x:v>EXT-MONDE-T047-V42</x:v>
      </x:c>
      <x:c r="B2347" s="115" t="str">
        <x:v>EXT-MONDE-T047</x:v>
      </x:c>
      <x:c r="C2347" s="115" t="str">
        <x:v>Trailer parks</x:v>
      </x:c>
      <x:c r="D2347" s="115" t="str">
        <x:v>Camp de travailleurs</x:v>
      </x:c>
      <x:c r="E2347" s="115" t="n">
        <x:v>42</x:v>
      </x:c>
      <x:c r="F2347" s="115" t="str">
        <x:v>Inspection physique</x:v>
      </x:c>
      <x:c r="G2347" s="115" t="str">
        <x:v>1 niveaux ; 50 pièces ; 363 segments de mur ; 0 transitions. Inspection physique ; architecture complète encore ouverte.</x:v>
      </x:c>
      <x:c r="H2347" s="115" t="str">
        <x:v>L 138 ; l 128 ; hauteur 3,4 m ; choix de composition auteur ; dimensions réelles à documenter</x:v>
      </x:c>
      <x:c r="I2347" s="115" t="str">
        <x:v>À équilibrer</x:v>
      </x:c>
      <x:c r="J2347" s="115" t="str">
        <x:v>Non</x:v>
      </x:c>
      <x:c r="K2347" s="115" t="str">
        <x:v>Pièces décrites, murs, portes, niveaux et mobilier inspectables à l’échelle. Volumes réservés, raccord au seed, butin, rencontres et services de campagne restent à terminer.</x:v>
      </x:c>
    </x:row>
    <x:row r="2348" ht="96" customHeight="1">
      <x:c r="A2348" s="115" t="str">
        <x:v>EXT-MONDE-T047-V43</x:v>
      </x:c>
      <x:c r="B2348" s="115" t="str">
        <x:v>EXT-MONDE-T047</x:v>
      </x:c>
      <x:c r="C2348" s="115" t="str">
        <x:v>Trailer parks</x:v>
      </x:c>
      <x:c r="D2348" s="115" t="str">
        <x:v>Camp de travailleurs</x:v>
      </x:c>
      <x:c r="E2348" s="115" t="n">
        <x:v>43</x:v>
      </x:c>
      <x:c r="F2348" s="115" t="str">
        <x:v>Inspection physique</x:v>
      </x:c>
      <x:c r="G2348" s="115" t="str">
        <x:v>1 niveaux ; 62 pièces ; 449 segments de mur ; 0 transitions. Inspection physique ; architecture complète encore ouverte.</x:v>
      </x:c>
      <x:c r="H2348" s="115" t="str">
        <x:v>L 138 ; l 154 ; hauteur 3,4 m ; choix de composition auteur ; dimensions réelles à documenter</x:v>
      </x:c>
      <x:c r="I2348" s="115" t="str">
        <x:v>À équilibrer</x:v>
      </x:c>
      <x:c r="J2348" s="115" t="str">
        <x:v>Non</x:v>
      </x:c>
      <x:c r="K2348" s="115" t="str">
        <x:v>Pièces décrites, murs, portes, niveaux et mobilier inspectables à l’échelle. Volumes réservés, raccord au seed, butin, rencontres et services de campagne restent à terminer.</x:v>
      </x:c>
    </x:row>
    <x:row r="2349" ht="96" customHeight="1">
      <x:c r="A2349" s="115" t="str">
        <x:v>EXT-MONDE-T047-V44</x:v>
      </x:c>
      <x:c r="B2349" s="115" t="str">
        <x:v>EXT-MONDE-T047</x:v>
      </x:c>
      <x:c r="C2349" s="115" t="str">
        <x:v>Trailer parks</x:v>
      </x:c>
      <x:c r="D2349" s="115" t="str">
        <x:v>Camp de travailleurs</x:v>
      </x:c>
      <x:c r="E2349" s="115" t="n">
        <x:v>44</x:v>
      </x:c>
      <x:c r="F2349" s="115" t="str">
        <x:v>Inspection physique</x:v>
      </x:c>
      <x:c r="G2349" s="115" t="str">
        <x:v>1 niveaux ; 32 pièces ; 234 segments de mur ; 0 transitions. Inspection physique ; architecture complète encore ouverte.</x:v>
      </x:c>
      <x:c r="H2349" s="115" t="str">
        <x:v>L 92 ; l 128 ; hauteur 3,4 m ; choix de composition auteur ; dimensions réelles à documenter</x:v>
      </x:c>
      <x:c r="I2349" s="115" t="str">
        <x:v>À équilibrer</x:v>
      </x:c>
      <x:c r="J2349" s="115" t="str">
        <x:v>Non</x:v>
      </x:c>
      <x:c r="K2349" s="115" t="str">
        <x:v>Pièces décrites, murs, portes, niveaux et mobilier inspectables à l’échelle. Volumes réservés, raccord au seed, butin, rencontres et services de campagne restent à terminer.</x:v>
      </x:c>
    </x:row>
    <x:row r="2350" ht="96" customHeight="1">
      <x:c r="A2350" s="115" t="str">
        <x:v>EXT-MONDE-T047-V45</x:v>
      </x:c>
      <x:c r="B2350" s="115" t="str">
        <x:v>EXT-MONDE-T047</x:v>
      </x:c>
      <x:c r="C2350" s="115" t="str">
        <x:v>Trailer parks</x:v>
      </x:c>
      <x:c r="D2350" s="115" t="str">
        <x:v>Camp de travailleurs</x:v>
      </x:c>
      <x:c r="E2350" s="115" t="n">
        <x:v>45</x:v>
      </x:c>
      <x:c r="F2350" s="115" t="str">
        <x:v>Inspection physique</x:v>
      </x:c>
      <x:c r="G2350" s="115" t="str">
        <x:v>1 niveaux ; 38 pièces ; 277 segments de mur ; 0 transitions. Inspection physique ; architecture complète encore ouverte.</x:v>
      </x:c>
      <x:c r="H2350" s="115" t="str">
        <x:v>L 92 ; l 154 ; hauteur 3,4 m ; choix de composition auteur ; dimensions réelles à documenter</x:v>
      </x:c>
      <x:c r="I2350" s="115" t="str">
        <x:v>À équilibrer</x:v>
      </x:c>
      <x:c r="J2350" s="115" t="str">
        <x:v>Non</x:v>
      </x:c>
      <x:c r="K2350" s="115" t="str">
        <x:v>Pièces décrites, murs, portes, niveaux et mobilier inspectables à l’échelle. Volumes réservés, raccord au seed, butin, rencontres et services de campagne restent à terminer.</x:v>
      </x:c>
    </x:row>
    <x:row r="2351" ht="96" customHeight="1">
      <x:c r="A2351" s="115" t="str">
        <x:v>EXT-MONDE-T047-V46</x:v>
      </x:c>
      <x:c r="B2351" s="115" t="str">
        <x:v>EXT-MONDE-T047</x:v>
      </x:c>
      <x:c r="C2351" s="115" t="str">
        <x:v>Trailer parks</x:v>
      </x:c>
      <x:c r="D2351" s="115" t="str">
        <x:v>Camp de travailleurs</x:v>
      </x:c>
      <x:c r="E2351" s="115" t="n">
        <x:v>46</x:v>
      </x:c>
      <x:c r="F2351" s="115" t="str">
        <x:v>Inspection physique</x:v>
      </x:c>
      <x:c r="G2351" s="115" t="str">
        <x:v>1 niveaux ; 50 pièces ; 363 segments de mur ; 0 transitions. Inspection physique ; architecture complète encore ouverte.</x:v>
      </x:c>
      <x:c r="H2351" s="115" t="str">
        <x:v>L 184 ; l 118 ; hauteur 3,4 m ; choix de composition auteur ; dimensions réelles à documenter</x:v>
      </x:c>
      <x:c r="I2351" s="115" t="str">
        <x:v>À équilibrer</x:v>
      </x:c>
      <x:c r="J2351" s="115" t="str">
        <x:v>Non</x:v>
      </x:c>
      <x:c r="K2351" s="115" t="str">
        <x:v>Pièces décrites, murs, portes, niveaux et mobilier inspectables à l’échelle. Volumes réservés, raccord au seed, butin, rencontres et services de campagne restent à terminer.</x:v>
      </x:c>
    </x:row>
    <x:row r="2352" ht="96" customHeight="1">
      <x:c r="A2352" s="115" t="str">
        <x:v>EXT-MONDE-T047-V47</x:v>
      </x:c>
      <x:c r="B2352" s="115" t="str">
        <x:v>EXT-MONDE-T047</x:v>
      </x:c>
      <x:c r="C2352" s="115" t="str">
        <x:v>Trailer parks</x:v>
      </x:c>
      <x:c r="D2352" s="115" t="str">
        <x:v>Camp de travailleurs</x:v>
      </x:c>
      <x:c r="E2352" s="115" t="n">
        <x:v>47</x:v>
      </x:c>
      <x:c r="F2352" s="115" t="str">
        <x:v>Inspection physique</x:v>
      </x:c>
      <x:c r="G2352" s="115" t="str">
        <x:v>1 niveaux ; 68 pièces ; 492 segments de mur ; 0 transitions. Inspection physique ; architecture complète encore ouverte.</x:v>
      </x:c>
      <x:c r="H2352" s="115" t="str">
        <x:v>L 184 ; l 128 ; hauteur 3,4 m ; choix de composition auteur ; dimensions réelles à documenter</x:v>
      </x:c>
      <x:c r="I2352" s="115" t="str">
        <x:v>À équilibrer</x:v>
      </x:c>
      <x:c r="J2352" s="115" t="str">
        <x:v>Non</x:v>
      </x:c>
      <x:c r="K2352" s="115" t="str">
        <x:v>Pièces décrites, murs, portes, niveaux et mobilier inspectables à l’échelle. Volumes réservés, raccord au seed, butin, rencontres et services de campagne restent à terminer.</x:v>
      </x:c>
    </x:row>
    <x:row r="2353" ht="96" customHeight="1">
      <x:c r="A2353" s="115" t="str">
        <x:v>EXT-MONDE-T047-V48</x:v>
      </x:c>
      <x:c r="B2353" s="115" t="str">
        <x:v>EXT-MONDE-T047</x:v>
      </x:c>
      <x:c r="C2353" s="115" t="str">
        <x:v>Trailer parks</x:v>
      </x:c>
      <x:c r="D2353" s="115" t="str">
        <x:v>Camp de travailleurs</x:v>
      </x:c>
      <x:c r="E2353" s="115" t="n">
        <x:v>48</x:v>
      </x:c>
      <x:c r="F2353" s="115" t="str">
        <x:v>Inspection physique</x:v>
      </x:c>
      <x:c r="G2353" s="115" t="str">
        <x:v>1 niveaux ; 56 pièces ; 406 segments de mur ; 0 transitions. Inspection physique ; architecture complète encore ouverte.</x:v>
      </x:c>
      <x:c r="H2353" s="115" t="str">
        <x:v>L 138 ; l 154 ; hauteur 3,4 m ; choix de composition auteur ; dimensions réelles à documenter</x:v>
      </x:c>
      <x:c r="I2353" s="115" t="str">
        <x:v>À équilibrer</x:v>
      </x:c>
      <x:c r="J2353" s="115" t="str">
        <x:v>Non</x:v>
      </x:c>
      <x:c r="K2353" s="115" t="str">
        <x:v>Pièces décrites, murs, portes, niveaux et mobilier inspectables à l’échelle. Volumes réservés, raccord au seed, butin, rencontres et services de campagne restent à terminer.</x:v>
      </x:c>
    </x:row>
    <x:row r="2354" ht="96" customHeight="1">
      <x:c r="A2354" s="115" t="str">
        <x:v>EXT-MONDE-T047-V49</x:v>
      </x:c>
      <x:c r="B2354" s="115" t="str">
        <x:v>EXT-MONDE-T047</x:v>
      </x:c>
      <x:c r="C2354" s="115" t="str">
        <x:v>Trailer parks</x:v>
      </x:c>
      <x:c r="D2354" s="115" t="str">
        <x:v>Camp de travailleurs</x:v>
      </x:c>
      <x:c r="E2354" s="115" t="n">
        <x:v>49</x:v>
      </x:c>
      <x:c r="F2354" s="115" t="str">
        <x:v>Inspection physique</x:v>
      </x:c>
      <x:c r="G2354" s="115" t="str">
        <x:v>1 niveaux ; 44 pièces ; 320 segments de mur ; 0 transitions. Inspection physique ; architecture complète encore ouverte.</x:v>
      </x:c>
      <x:c r="H2354" s="115" t="str">
        <x:v>L 138 ; l 128 ; hauteur 3,4 m ; choix de composition auteur ; dimensions réelles à documenter</x:v>
      </x:c>
      <x:c r="I2354" s="115" t="str">
        <x:v>À équilibrer</x:v>
      </x:c>
      <x:c r="J2354" s="115" t="str">
        <x:v>Non</x:v>
      </x:c>
      <x:c r="K2354" s="115" t="str">
        <x:v>Pièces décrites, murs, portes, niveaux et mobilier inspectables à l’échelle. Volumes réservés, raccord au seed, butin, rencontres et services de campagne restent à terminer.</x:v>
      </x:c>
    </x:row>
    <x:row r="2355" ht="96" customHeight="1">
      <x:c r="A2355" s="115" t="str">
        <x:v>EXT-MONDE-T047-V50</x:v>
      </x:c>
      <x:c r="B2355" s="115" t="str">
        <x:v>EXT-MONDE-T047</x:v>
      </x:c>
      <x:c r="C2355" s="115" t="str">
        <x:v>Trailer parks</x:v>
      </x:c>
      <x:c r="D2355" s="115" t="str">
        <x:v>Camp de travailleurs</x:v>
      </x:c>
      <x:c r="E2355" s="115" t="n">
        <x:v>50</x:v>
      </x:c>
      <x:c r="F2355" s="115" t="str">
        <x:v>Inspection physique</x:v>
      </x:c>
      <x:c r="G2355" s="115" t="str">
        <x:v>1 niveaux ; 74 pièces ; 535 segments de mur ; 0 transitions. Inspection physique ; architecture complète encore ouverte.</x:v>
      </x:c>
      <x:c r="H2355" s="115" t="str">
        <x:v>L 184 ; l 154 ; hauteur 3,4 m ; choix de composition auteur ; dimensions réelles à documenter</x:v>
      </x:c>
      <x:c r="I2355" s="115" t="str">
        <x:v>À équilibrer</x:v>
      </x:c>
      <x:c r="J2355" s="115" t="str">
        <x:v>Non</x:v>
      </x:c>
      <x:c r="K2355" s="115" t="str">
        <x:v>Pièces décrites, murs, portes, niveaux et mobilier inspectables à l’échelle. Volumes réservés, raccord au seed, butin, rencontres et services de campagne restent à terminer.</x:v>
      </x:c>
    </x:row>
    <x:row r="2356" ht="96" customHeight="1">
      <x:c r="A2356" s="115" t="str">
        <x:v>EXT-MONDE-T048-V01</x:v>
      </x:c>
      <x:c r="B2356" s="115" t="str">
        <x:v>EXT-MONDE-T048</x:v>
      </x:c>
      <x:c r="C2356" s="115" t="str">
        <x:v>Trailer parks</x:v>
      </x:c>
      <x:c r="D2356" s="115" t="str">
        <x:v>Parc de caravanes abandonné</x:v>
      </x:c>
      <x:c r="E2356" s="115" t="n">
        <x:v>1</x:v>
      </x:c>
      <x:c r="F2356" s="115" t="str">
        <x:v>Inspection physique</x:v>
      </x:c>
      <x:c r="G2356" s="115" t="str">
        <x:v>1 niveaux ; 24 pièces ; 179 segments de mur ; 0 transitions. Inspection physique ; architecture complète encore ouverte.</x:v>
      </x:c>
      <x:c r="H2356" s="115" t="str">
        <x:v>L 122 ; l 118 ; hauteur 3,2 m ; choix de composition auteur ; dimensions réelles à documenter</x:v>
      </x:c>
      <x:c r="I2356" s="115" t="str">
        <x:v>À équilibrer</x:v>
      </x:c>
      <x:c r="J2356" s="115" t="str">
        <x:v>Non</x:v>
      </x:c>
      <x:c r="K2356" s="115" t="str">
        <x:v>Pièces décrites, murs, portes, niveaux et mobilier inspectables à l’échelle. Volumes réservés, raccord au seed, butin, rencontres et services de campagne restent à terminer.</x:v>
      </x:c>
    </x:row>
    <x:row r="2357" ht="96" customHeight="1">
      <x:c r="A2357" s="115" t="str">
        <x:v>EXT-MONDE-T048-V02</x:v>
      </x:c>
      <x:c r="B2357" s="115" t="str">
        <x:v>EXT-MONDE-T048</x:v>
      </x:c>
      <x:c r="C2357" s="115" t="str">
        <x:v>Trailer parks</x:v>
      </x:c>
      <x:c r="D2357" s="115" t="str">
        <x:v>Parc de caravanes abandonné</x:v>
      </x:c>
      <x:c r="E2357" s="115" t="n">
        <x:v>2</x:v>
      </x:c>
      <x:c r="F2357" s="115" t="str">
        <x:v>Inspection physique</x:v>
      </x:c>
      <x:c r="G2357" s="115" t="str">
        <x:v>1 niveaux ; 24 pièces ; 179 segments de mur ; 0 transitions. Inspection physique ; architecture complète encore ouverte.</x:v>
      </x:c>
      <x:c r="H2357" s="115" t="str">
        <x:v>L 122 ; l 118 ; hauteur 3,2 m ; choix de composition auteur ; dimensions réelles à documenter</x:v>
      </x:c>
      <x:c r="I2357" s="115" t="str">
        <x:v>À équilibrer</x:v>
      </x:c>
      <x:c r="J2357" s="115" t="str">
        <x:v>Non</x:v>
      </x:c>
      <x:c r="K2357" s="115" t="str">
        <x:v>Pièces décrites, murs, portes, niveaux et mobilier inspectables à l’échelle. Volumes réservés, raccord au seed, butin, rencontres et services de campagne restent à terminer.</x:v>
      </x:c>
    </x:row>
    <x:row r="2358" ht="96" customHeight="1">
      <x:c r="A2358" s="115" t="str">
        <x:v>EXT-MONDE-T048-V03</x:v>
      </x:c>
      <x:c r="B2358" s="115" t="str">
        <x:v>EXT-MONDE-T048</x:v>
      </x:c>
      <x:c r="C2358" s="115" t="str">
        <x:v>Trailer parks</x:v>
      </x:c>
      <x:c r="D2358" s="115" t="str">
        <x:v>Parc de caravanes abandonné</x:v>
      </x:c>
      <x:c r="E2358" s="115" t="n">
        <x:v>3</x:v>
      </x:c>
      <x:c r="F2358" s="115" t="str">
        <x:v>Inspection physique</x:v>
      </x:c>
      <x:c r="G2358" s="115" t="str">
        <x:v>1 niveaux ; 30 pièces ; 222 segments de mur ; 0 transitions. Inspection physique ; architecture complète encore ouverte.</x:v>
      </x:c>
      <x:c r="H2358" s="115" t="str">
        <x:v>L 122 ; l 138 ; hauteur 3,2 m ; choix de composition auteur ; dimensions réelles à documenter</x:v>
      </x:c>
      <x:c r="I2358" s="115" t="str">
        <x:v>À équilibrer</x:v>
      </x:c>
      <x:c r="J2358" s="115" t="str">
        <x:v>Non</x:v>
      </x:c>
      <x:c r="K2358" s="115" t="str">
        <x:v>Pièces décrites, murs, portes, niveaux et mobilier inspectables à l’échelle. Volumes réservés, raccord au seed, butin, rencontres et services de campagne restent à terminer.</x:v>
      </x:c>
    </x:row>
    <x:row r="2359" ht="96" customHeight="1">
      <x:c r="A2359" s="115" t="str">
        <x:v>EXT-MONDE-T048-V04</x:v>
      </x:c>
      <x:c r="B2359" s="115" t="str">
        <x:v>EXT-MONDE-T048</x:v>
      </x:c>
      <x:c r="C2359" s="115" t="str">
        <x:v>Trailer parks</x:v>
      </x:c>
      <x:c r="D2359" s="115" t="str">
        <x:v>Parc de caravanes abandonné</x:v>
      </x:c>
      <x:c r="E2359" s="115" t="n">
        <x:v>4</x:v>
      </x:c>
      <x:c r="F2359" s="115" t="str">
        <x:v>Inspection physique</x:v>
      </x:c>
      <x:c r="G2359" s="115" t="str">
        <x:v>1 niveaux ; 18 pièces ; 136 segments de mur ; 0 transitions. Inspection physique ; architecture complète encore ouverte.</x:v>
      </x:c>
      <x:c r="H2359" s="115" t="str">
        <x:v>L 84 ; l 118 ; hauteur 3,2 m ; choix de composition auteur ; dimensions réelles à documenter</x:v>
      </x:c>
      <x:c r="I2359" s="115" t="str">
        <x:v>À équilibrer</x:v>
      </x:c>
      <x:c r="J2359" s="115" t="str">
        <x:v>Non</x:v>
      </x:c>
      <x:c r="K2359" s="115" t="str">
        <x:v>Pièces décrites, murs, portes, niveaux et mobilier inspectables à l’échelle. Volumes réservés, raccord au seed, butin, rencontres et services de campagne restent à terminer.</x:v>
      </x:c>
    </x:row>
    <x:row r="2360" ht="96" customHeight="1">
      <x:c r="A2360" s="115" t="str">
        <x:v>EXT-MONDE-T048-V05</x:v>
      </x:c>
      <x:c r="B2360" s="115" t="str">
        <x:v>EXT-MONDE-T048</x:v>
      </x:c>
      <x:c r="C2360" s="115" t="str">
        <x:v>Trailer parks</x:v>
      </x:c>
      <x:c r="D2360" s="115" t="str">
        <x:v>Parc de caravanes abandonné</x:v>
      </x:c>
      <x:c r="E2360" s="115" t="n">
        <x:v>5</x:v>
      </x:c>
      <x:c r="F2360" s="115" t="str">
        <x:v>Inspection physique</x:v>
      </x:c>
      <x:c r="G2360" s="115" t="str">
        <x:v>1 niveaux ; 24 pièces ; 179 segments de mur ; 0 transitions. Inspection physique ; architecture complète encore ouverte.</x:v>
      </x:c>
      <x:c r="H2360" s="115" t="str">
        <x:v>L 84 ; l 138 ; hauteur 3,2 m ; choix de composition auteur ; dimensions réelles à documenter</x:v>
      </x:c>
      <x:c r="I2360" s="115" t="str">
        <x:v>À équilibrer</x:v>
      </x:c>
      <x:c r="J2360" s="115" t="str">
        <x:v>Non</x:v>
      </x:c>
      <x:c r="K2360" s="115" t="str">
        <x:v>Pièces décrites, murs, portes, niveaux et mobilier inspectables à l’échelle. Volumes réservés, raccord au seed, butin, rencontres et services de campagne restent à terminer.</x:v>
      </x:c>
    </x:row>
    <x:row r="2361" ht="96" customHeight="1">
      <x:c r="A2361" s="115" t="str">
        <x:v>EXT-MONDE-T048-V06</x:v>
      </x:c>
      <x:c r="B2361" s="115" t="str">
        <x:v>EXT-MONDE-T048</x:v>
      </x:c>
      <x:c r="C2361" s="115" t="str">
        <x:v>Trailer parks</x:v>
      </x:c>
      <x:c r="D2361" s="115" t="str">
        <x:v>Parc de caravanes abandonné</x:v>
      </x:c>
      <x:c r="E2361" s="115" t="n">
        <x:v>6</x:v>
      </x:c>
      <x:c r="F2361" s="115" t="str">
        <x:v>Inspection physique</x:v>
      </x:c>
      <x:c r="G2361" s="115" t="str">
        <x:v>1 niveaux ; 24 pièces ; 179 segments de mur ; 0 transitions. Inspection physique ; architecture complète encore ouverte.</x:v>
      </x:c>
      <x:c r="H2361" s="115" t="str">
        <x:v>L 160 ; l 118 ; hauteur 3,2 m ; choix de composition auteur ; dimensions réelles à documenter</x:v>
      </x:c>
      <x:c r="I2361" s="115" t="str">
        <x:v>À équilibrer</x:v>
      </x:c>
      <x:c r="J2361" s="115" t="str">
        <x:v>Non</x:v>
      </x:c>
      <x:c r="K2361" s="115" t="str">
        <x:v>Pièces décrites, murs, portes, niveaux et mobilier inspectables à l’échelle. Volumes réservés, raccord au seed, butin, rencontres et services de campagne restent à terminer.</x:v>
      </x:c>
    </x:row>
    <x:row r="2362" ht="96" customHeight="1">
      <x:c r="A2362" s="115" t="str">
        <x:v>EXT-MONDE-T048-V07</x:v>
      </x:c>
      <x:c r="B2362" s="115" t="str">
        <x:v>EXT-MONDE-T048</x:v>
      </x:c>
      <x:c r="C2362" s="115" t="str">
        <x:v>Trailer parks</x:v>
      </x:c>
      <x:c r="D2362" s="115" t="str">
        <x:v>Parc de caravanes abandonné</x:v>
      </x:c>
      <x:c r="E2362" s="115" t="n">
        <x:v>7</x:v>
      </x:c>
      <x:c r="F2362" s="115" t="str">
        <x:v>Inspection physique</x:v>
      </x:c>
      <x:c r="G2362" s="115" t="str">
        <x:v>1 niveaux ; 30 pièces ; 222 segments de mur ; 0 transitions. Inspection physique ; architecture complète encore ouverte.</x:v>
      </x:c>
      <x:c r="H2362" s="115" t="str">
        <x:v>L 160 ; l 118 ; hauteur 3,2 m ; choix de composition auteur ; dimensions réelles à documenter</x:v>
      </x:c>
      <x:c r="I2362" s="115" t="str">
        <x:v>À équilibrer</x:v>
      </x:c>
      <x:c r="J2362" s="115" t="str">
        <x:v>Non</x:v>
      </x:c>
      <x:c r="K2362" s="115" t="str">
        <x:v>Pièces décrites, murs, portes, niveaux et mobilier inspectables à l’échelle. Volumes réservés, raccord au seed, butin, rencontres et services de campagne restent à terminer.</x:v>
      </x:c>
    </x:row>
    <x:row r="2363" ht="96" customHeight="1">
      <x:c r="A2363" s="115" t="str">
        <x:v>EXT-MONDE-T048-V08</x:v>
      </x:c>
      <x:c r="B2363" s="115" t="str">
        <x:v>EXT-MONDE-T048</x:v>
      </x:c>
      <x:c r="C2363" s="115" t="str">
        <x:v>Trailer parks</x:v>
      </x:c>
      <x:c r="D2363" s="115" t="str">
        <x:v>Parc de caravanes abandonné</x:v>
      </x:c>
      <x:c r="E2363" s="115" t="n">
        <x:v>8</x:v>
      </x:c>
      <x:c r="F2363" s="115" t="str">
        <x:v>Inspection physique</x:v>
      </x:c>
      <x:c r="G2363" s="115" t="str">
        <x:v>1 niveaux ; 30 pièces ; 222 segments de mur ; 0 transitions. Inspection physique ; architecture complète encore ouverte.</x:v>
      </x:c>
      <x:c r="H2363" s="115" t="str">
        <x:v>L 122 ; l 138 ; hauteur 3,2 m ; choix de composition auteur ; dimensions réelles à documenter</x:v>
      </x:c>
      <x:c r="I2363" s="115" t="str">
        <x:v>À équilibrer</x:v>
      </x:c>
      <x:c r="J2363" s="115" t="str">
        <x:v>Non</x:v>
      </x:c>
      <x:c r="K2363" s="115" t="str">
        <x:v>Pièces décrites, murs, portes, niveaux et mobilier inspectables à l’échelle. Volumes réservés, raccord au seed, butin, rencontres et services de campagne restent à terminer.</x:v>
      </x:c>
    </x:row>
    <x:row r="2364" ht="96" customHeight="1">
      <x:c r="A2364" s="115" t="str">
        <x:v>EXT-MONDE-T048-V09</x:v>
      </x:c>
      <x:c r="B2364" s="115" t="str">
        <x:v>EXT-MONDE-T048</x:v>
      </x:c>
      <x:c r="C2364" s="115" t="str">
        <x:v>Trailer parks</x:v>
      </x:c>
      <x:c r="D2364" s="115" t="str">
        <x:v>Parc de caravanes abandonné</x:v>
      </x:c>
      <x:c r="E2364" s="115" t="n">
        <x:v>9</x:v>
      </x:c>
      <x:c r="F2364" s="115" t="str">
        <x:v>Inspection physique</x:v>
      </x:c>
      <x:c r="G2364" s="115" t="str">
        <x:v>1 niveaux ; 24 pièces ; 179 segments de mur ; 0 transitions. Inspection physique ; architecture complète encore ouverte.</x:v>
      </x:c>
      <x:c r="H2364" s="115" t="str">
        <x:v>L 122 ; l 118 ; hauteur 3,2 m ; choix de composition auteur ; dimensions réelles à documenter</x:v>
      </x:c>
      <x:c r="I2364" s="115" t="str">
        <x:v>À équilibrer</x:v>
      </x:c>
      <x:c r="J2364" s="115" t="str">
        <x:v>Non</x:v>
      </x:c>
      <x:c r="K2364" s="115" t="str">
        <x:v>Pièces décrites, murs, portes, niveaux et mobilier inspectables à l’échelle. Volumes réservés, raccord au seed, butin, rencontres et services de campagne restent à terminer.</x:v>
      </x:c>
    </x:row>
    <x:row r="2365" ht="96" customHeight="1">
      <x:c r="A2365" s="115" t="str">
        <x:v>EXT-MONDE-T048-V10</x:v>
      </x:c>
      <x:c r="B2365" s="115" t="str">
        <x:v>EXT-MONDE-T048</x:v>
      </x:c>
      <x:c r="C2365" s="115" t="str">
        <x:v>Trailer parks</x:v>
      </x:c>
      <x:c r="D2365" s="115" t="str">
        <x:v>Parc de caravanes abandonné</x:v>
      </x:c>
      <x:c r="E2365" s="115" t="n">
        <x:v>10</x:v>
      </x:c>
      <x:c r="F2365" s="115" t="str">
        <x:v>Inspection physique</x:v>
      </x:c>
      <x:c r="G2365" s="115" t="str">
        <x:v>1 niveaux ; 30 pièces ; 222 segments de mur ; 0 transitions. Inspection physique ; architecture complète encore ouverte.</x:v>
      </x:c>
      <x:c r="H2365" s="115" t="str">
        <x:v>L 160 ; l 138 ; hauteur 3,2 m ; choix de composition auteur ; dimensions réelles à documenter</x:v>
      </x:c>
      <x:c r="I2365" s="115" t="str">
        <x:v>À équilibrer</x:v>
      </x:c>
      <x:c r="J2365" s="115" t="str">
        <x:v>Non</x:v>
      </x:c>
      <x:c r="K2365" s="115" t="str">
        <x:v>Pièces décrites, murs, portes, niveaux et mobilier inspectables à l’échelle. Volumes réservés, raccord au seed, butin, rencontres et services de campagne restent à terminer.</x:v>
      </x:c>
    </x:row>
    <x:row r="2366" ht="96" customHeight="1">
      <x:c r="A2366" s="115" t="str">
        <x:v>EXT-MONDE-T048-V11</x:v>
      </x:c>
      <x:c r="B2366" s="115" t="str">
        <x:v>EXT-MONDE-T048</x:v>
      </x:c>
      <x:c r="C2366" s="115" t="str">
        <x:v>Trailer parks</x:v>
      </x:c>
      <x:c r="D2366" s="115" t="str">
        <x:v>Parc de caravanes abandonné</x:v>
      </x:c>
      <x:c r="E2366" s="115" t="n">
        <x:v>11</x:v>
      </x:c>
      <x:c r="F2366" s="115" t="str">
        <x:v>Inspection physique</x:v>
      </x:c>
      <x:c r="G2366" s="115" t="str">
        <x:v>1 niveaux ; 24 pièces ; 179 segments de mur ; 0 transitions. Inspection physique ; architecture complète encore ouverte.</x:v>
      </x:c>
      <x:c r="H2366" s="115" t="str">
        <x:v>L 126 ; l 118 ; hauteur 3,2 m ; choix de composition auteur ; dimensions réelles à documenter</x:v>
      </x:c>
      <x:c r="I2366" s="115" t="str">
        <x:v>À équilibrer</x:v>
      </x:c>
      <x:c r="J2366" s="115" t="str">
        <x:v>Non</x:v>
      </x:c>
      <x:c r="K2366" s="115" t="str">
        <x:v>Pièces décrites, murs, portes, niveaux et mobilier inspectables à l’échelle. Volumes réservés, raccord au seed, butin, rencontres et services de campagne restent à terminer.</x:v>
      </x:c>
    </x:row>
    <x:row r="2367" ht="96" customHeight="1">
      <x:c r="A2367" s="115" t="str">
        <x:v>EXT-MONDE-T048-V12</x:v>
      </x:c>
      <x:c r="B2367" s="115" t="str">
        <x:v>EXT-MONDE-T048</x:v>
      </x:c>
      <x:c r="C2367" s="115" t="str">
        <x:v>Trailer parks</x:v>
      </x:c>
      <x:c r="D2367" s="115" t="str">
        <x:v>Parc de caravanes abandonné</x:v>
      </x:c>
      <x:c r="E2367" s="115" t="n">
        <x:v>12</x:v>
      </x:c>
      <x:c r="F2367" s="115" t="str">
        <x:v>Inspection physique</x:v>
      </x:c>
      <x:c r="G2367" s="115" t="str">
        <x:v>1 niveaux ; 24 pièces ; 179 segments de mur ; 0 transitions. Inspection physique ; architecture complète encore ouverte.</x:v>
      </x:c>
      <x:c r="H2367" s="115" t="str">
        <x:v>L 126 ; l 119 ; hauteur 3,2 m ; choix de composition auteur ; dimensions réelles à documenter</x:v>
      </x:c>
      <x:c r="I2367" s="115" t="str">
        <x:v>À équilibrer</x:v>
      </x:c>
      <x:c r="J2367" s="115" t="str">
        <x:v>Non</x:v>
      </x:c>
      <x:c r="K2367" s="115" t="str">
        <x:v>Pièces décrites, murs, portes, niveaux et mobilier inspectables à l’échelle. Volumes réservés, raccord au seed, butin, rencontres et services de campagne restent à terminer.</x:v>
      </x:c>
    </x:row>
    <x:row r="2368" ht="96" customHeight="1">
      <x:c r="A2368" s="115" t="str">
        <x:v>EXT-MONDE-T048-V13</x:v>
      </x:c>
      <x:c r="B2368" s="115" t="str">
        <x:v>EXT-MONDE-T048</x:v>
      </x:c>
      <x:c r="C2368" s="115" t="str">
        <x:v>Trailer parks</x:v>
      </x:c>
      <x:c r="D2368" s="115" t="str">
        <x:v>Parc de caravanes abandonné</x:v>
      </x:c>
      <x:c r="E2368" s="115" t="n">
        <x:v>13</x:v>
      </x:c>
      <x:c r="F2368" s="115" t="str">
        <x:v>Inspection physique</x:v>
      </x:c>
      <x:c r="G2368" s="115" t="str">
        <x:v>1 niveaux ; 30 pièces ; 222 segments de mur ; 0 transitions. Inspection physique ; architecture complète encore ouverte.</x:v>
      </x:c>
      <x:c r="H2368" s="115" t="str">
        <x:v>L 126 ; l 142 ; hauteur 3,2 m ; choix de composition auteur ; dimensions réelles à documenter</x:v>
      </x:c>
      <x:c r="I2368" s="115" t="str">
        <x:v>À équilibrer</x:v>
      </x:c>
      <x:c r="J2368" s="115" t="str">
        <x:v>Non</x:v>
      </x:c>
      <x:c r="K2368" s="115" t="str">
        <x:v>Pièces décrites, murs, portes, niveaux et mobilier inspectables à l’échelle. Volumes réservés, raccord au seed, butin, rencontres et services de campagne restent à terminer.</x:v>
      </x:c>
    </x:row>
    <x:row r="2369" ht="96" customHeight="1">
      <x:c r="A2369" s="115" t="str">
        <x:v>EXT-MONDE-T048-V14</x:v>
      </x:c>
      <x:c r="B2369" s="115" t="str">
        <x:v>EXT-MONDE-T048</x:v>
      </x:c>
      <x:c r="C2369" s="115" t="str">
        <x:v>Trailer parks</x:v>
      </x:c>
      <x:c r="D2369" s="115" t="str">
        <x:v>Parc de caravanes abandonné</x:v>
      </x:c>
      <x:c r="E2369" s="115" t="n">
        <x:v>14</x:v>
      </x:c>
      <x:c r="F2369" s="115" t="str">
        <x:v>Inspection physique</x:v>
      </x:c>
      <x:c r="G2369" s="115" t="str">
        <x:v>1 niveaux ; 18 pièces ; 136 segments de mur ; 0 transitions. Inspection physique ; architecture complète encore ouverte.</x:v>
      </x:c>
      <x:c r="H2369" s="115" t="str">
        <x:v>L 86 ; l 119 ; hauteur 3,2 m ; choix de composition auteur ; dimensions réelles à documenter</x:v>
      </x:c>
      <x:c r="I2369" s="115" t="str">
        <x:v>À équilibrer</x:v>
      </x:c>
      <x:c r="J2369" s="115" t="str">
        <x:v>Non</x:v>
      </x:c>
      <x:c r="K2369" s="115" t="str">
        <x:v>Pièces décrites, murs, portes, niveaux et mobilier inspectables à l’échelle. Volumes réservés, raccord au seed, butin, rencontres et services de campagne restent à terminer.</x:v>
      </x:c>
    </x:row>
    <x:row r="2370" ht="96" customHeight="1">
      <x:c r="A2370" s="115" t="str">
        <x:v>EXT-MONDE-T048-V15</x:v>
      </x:c>
      <x:c r="B2370" s="115" t="str">
        <x:v>EXT-MONDE-T048</x:v>
      </x:c>
      <x:c r="C2370" s="115" t="str">
        <x:v>Trailer parks</x:v>
      </x:c>
      <x:c r="D2370" s="115" t="str">
        <x:v>Parc de caravanes abandonné</x:v>
      </x:c>
      <x:c r="E2370" s="115" t="n">
        <x:v>15</x:v>
      </x:c>
      <x:c r="F2370" s="115" t="str">
        <x:v>Inspection physique</x:v>
      </x:c>
      <x:c r="G2370" s="115" t="str">
        <x:v>1 niveaux ; 24 pièces ; 179 segments de mur ; 0 transitions. Inspection physique ; architecture complète encore ouverte.</x:v>
      </x:c>
      <x:c r="H2370" s="115" t="str">
        <x:v>L 86 ; l 142 ; hauteur 3,2 m ; choix de composition auteur ; dimensions réelles à documenter</x:v>
      </x:c>
      <x:c r="I2370" s="115" t="str">
        <x:v>À équilibrer</x:v>
      </x:c>
      <x:c r="J2370" s="115" t="str">
        <x:v>Non</x:v>
      </x:c>
      <x:c r="K2370" s="115" t="str">
        <x:v>Pièces décrites, murs, portes, niveaux et mobilier inspectables à l’échelle. Volumes réservés, raccord au seed, butin, rencontres et services de campagne restent à terminer.</x:v>
      </x:c>
    </x:row>
    <x:row r="2371" ht="96" customHeight="1">
      <x:c r="A2371" s="115" t="str">
        <x:v>EXT-MONDE-T048-V16</x:v>
      </x:c>
      <x:c r="B2371" s="115" t="str">
        <x:v>EXT-MONDE-T048</x:v>
      </x:c>
      <x:c r="C2371" s="115" t="str">
        <x:v>Trailer parks</x:v>
      </x:c>
      <x:c r="D2371" s="115" t="str">
        <x:v>Parc de caravanes abandonné</x:v>
      </x:c>
      <x:c r="E2371" s="115" t="n">
        <x:v>16</x:v>
      </x:c>
      <x:c r="F2371" s="115" t="str">
        <x:v>Inspection physique</x:v>
      </x:c>
      <x:c r="G2371" s="115" t="str">
        <x:v>1 niveaux ; 24 pièces ; 179 segments de mur ; 0 transitions. Inspection physique ; architecture complète encore ouverte.</x:v>
      </x:c>
      <x:c r="H2371" s="115" t="str">
        <x:v>L 166 ; l 118 ; hauteur 3,2 m ; choix de composition auteur ; dimensions réelles à documenter</x:v>
      </x:c>
      <x:c r="I2371" s="115" t="str">
        <x:v>À équilibrer</x:v>
      </x:c>
      <x:c r="J2371" s="115" t="str">
        <x:v>Non</x:v>
      </x:c>
      <x:c r="K2371" s="115" t="str">
        <x:v>Pièces décrites, murs, portes, niveaux et mobilier inspectables à l’échelle. Volumes réservés, raccord au seed, butin, rencontres et services de campagne restent à terminer.</x:v>
      </x:c>
    </x:row>
    <x:row r="2372" ht="96" customHeight="1">
      <x:c r="A2372" s="115" t="str">
        <x:v>EXT-MONDE-T048-V17</x:v>
      </x:c>
      <x:c r="B2372" s="115" t="str">
        <x:v>EXT-MONDE-T048</x:v>
      </x:c>
      <x:c r="C2372" s="115" t="str">
        <x:v>Trailer parks</x:v>
      </x:c>
      <x:c r="D2372" s="115" t="str">
        <x:v>Parc de caravanes abandonné</x:v>
      </x:c>
      <x:c r="E2372" s="115" t="n">
        <x:v>17</x:v>
      </x:c>
      <x:c r="F2372" s="115" t="str">
        <x:v>Inspection physique</x:v>
      </x:c>
      <x:c r="G2372" s="115" t="str">
        <x:v>1 niveaux ; 30 pièces ; 222 segments de mur ; 0 transitions. Inspection physique ; architecture complète encore ouverte.</x:v>
      </x:c>
      <x:c r="H2372" s="115" t="str">
        <x:v>L 166 ; l 119 ; hauteur 3,2 m ; choix de composition auteur ; dimensions réelles à documenter</x:v>
      </x:c>
      <x:c r="I2372" s="115" t="str">
        <x:v>À équilibrer</x:v>
      </x:c>
      <x:c r="J2372" s="115" t="str">
        <x:v>Non</x:v>
      </x:c>
      <x:c r="K2372" s="115" t="str">
        <x:v>Pièces décrites, murs, portes, niveaux et mobilier inspectables à l’échelle. Volumes réservés, raccord au seed, butin, rencontres et services de campagne restent à terminer.</x:v>
      </x:c>
    </x:row>
    <x:row r="2373" ht="96" customHeight="1">
      <x:c r="A2373" s="115" t="str">
        <x:v>EXT-MONDE-T048-V18</x:v>
      </x:c>
      <x:c r="B2373" s="115" t="str">
        <x:v>EXT-MONDE-T048</x:v>
      </x:c>
      <x:c r="C2373" s="115" t="str">
        <x:v>Trailer parks</x:v>
      </x:c>
      <x:c r="D2373" s="115" t="str">
        <x:v>Parc de caravanes abandonné</x:v>
      </x:c>
      <x:c r="E2373" s="115" t="n">
        <x:v>18</x:v>
      </x:c>
      <x:c r="F2373" s="115" t="str">
        <x:v>Inspection physique</x:v>
      </x:c>
      <x:c r="G2373" s="115" t="str">
        <x:v>1 niveaux ; 30 pièces ; 222 segments de mur ; 0 transitions. Inspection physique ; architecture complète encore ouverte.</x:v>
      </x:c>
      <x:c r="H2373" s="115" t="str">
        <x:v>L 126 ; l 142 ; hauteur 3,2 m ; choix de composition auteur ; dimensions réelles à documenter</x:v>
      </x:c>
      <x:c r="I2373" s="115" t="str">
        <x:v>À équilibrer</x:v>
      </x:c>
      <x:c r="J2373" s="115" t="str">
        <x:v>Non</x:v>
      </x:c>
      <x:c r="K2373" s="115" t="str">
        <x:v>Pièces décrites, murs, portes, niveaux et mobilier inspectables à l’échelle. Volumes réservés, raccord au seed, butin, rencontres et services de campagne restent à terminer.</x:v>
      </x:c>
    </x:row>
    <x:row r="2374" ht="96" customHeight="1">
      <x:c r="A2374" s="115" t="str">
        <x:v>EXT-MONDE-T048-V19</x:v>
      </x:c>
      <x:c r="B2374" s="115" t="str">
        <x:v>EXT-MONDE-T048</x:v>
      </x:c>
      <x:c r="C2374" s="115" t="str">
        <x:v>Trailer parks</x:v>
      </x:c>
      <x:c r="D2374" s="115" t="str">
        <x:v>Parc de caravanes abandonné</x:v>
      </x:c>
      <x:c r="E2374" s="115" t="n">
        <x:v>19</x:v>
      </x:c>
      <x:c r="F2374" s="115" t="str">
        <x:v>Inspection physique</x:v>
      </x:c>
      <x:c r="G2374" s="115" t="str">
        <x:v>1 niveaux ; 24 pièces ; 179 segments de mur ; 0 transitions. Inspection physique ; architecture complète encore ouverte.</x:v>
      </x:c>
      <x:c r="H2374" s="115" t="str">
        <x:v>L 126 ; l 119 ; hauteur 3,2 m ; choix de composition auteur ; dimensions réelles à documenter</x:v>
      </x:c>
      <x:c r="I2374" s="115" t="str">
        <x:v>À équilibrer</x:v>
      </x:c>
      <x:c r="J2374" s="115" t="str">
        <x:v>Non</x:v>
      </x:c>
      <x:c r="K2374" s="115" t="str">
        <x:v>Pièces décrites, murs, portes, niveaux et mobilier inspectables à l’échelle. Volumes réservés, raccord au seed, butin, rencontres et services de campagne restent à terminer.</x:v>
      </x:c>
    </x:row>
    <x:row r="2375" ht="96" customHeight="1">
      <x:c r="A2375" s="115" t="str">
        <x:v>EXT-MONDE-T048-V20</x:v>
      </x:c>
      <x:c r="B2375" s="115" t="str">
        <x:v>EXT-MONDE-T048</x:v>
      </x:c>
      <x:c r="C2375" s="115" t="str">
        <x:v>Trailer parks</x:v>
      </x:c>
      <x:c r="D2375" s="115" t="str">
        <x:v>Parc de caravanes abandonné</x:v>
      </x:c>
      <x:c r="E2375" s="115" t="n">
        <x:v>20</x:v>
      </x:c>
      <x:c r="F2375" s="115" t="str">
        <x:v>Inspection physique</x:v>
      </x:c>
      <x:c r="G2375" s="115" t="str">
        <x:v>1 niveaux ; 30 pièces ; 222 segments de mur ; 0 transitions. Inspection physique ; architecture complète encore ouverte.</x:v>
      </x:c>
      <x:c r="H2375" s="115" t="str">
        <x:v>L 166 ; l 142 ; hauteur 3,2 m ; choix de composition auteur ; dimensions réelles à documenter</x:v>
      </x:c>
      <x:c r="I2375" s="115" t="str">
        <x:v>À équilibrer</x:v>
      </x:c>
      <x:c r="J2375" s="115" t="str">
        <x:v>Non</x:v>
      </x:c>
      <x:c r="K2375" s="115" t="str">
        <x:v>Pièces décrites, murs, portes, niveaux et mobilier inspectables à l’échelle. Volumes réservés, raccord au seed, butin, rencontres et services de campagne restent à terminer.</x:v>
      </x:c>
    </x:row>
    <x:row r="2376" ht="96" customHeight="1">
      <x:c r="A2376" s="115" t="str">
        <x:v>EXT-MONDE-T048-V21</x:v>
      </x:c>
      <x:c r="B2376" s="115" t="str">
        <x:v>EXT-MONDE-T048</x:v>
      </x:c>
      <x:c r="C2376" s="115" t="str">
        <x:v>Trailer parks</x:v>
      </x:c>
      <x:c r="D2376" s="115" t="str">
        <x:v>Parc de caravanes abandonné</x:v>
      </x:c>
      <x:c r="E2376" s="115" t="n">
        <x:v>21</x:v>
      </x:c>
      <x:c r="F2376" s="115" t="str">
        <x:v>Inspection physique</x:v>
      </x:c>
      <x:c r="G2376" s="115" t="str">
        <x:v>1 niveaux ; 24 pièces ; 179 segments de mur ; 0 transitions. Inspection physique ; architecture complète encore ouverte.</x:v>
      </x:c>
      <x:c r="H2376" s="115" t="str">
        <x:v>L 130 ; l 118 ; hauteur 3,2 m ; choix de composition auteur ; dimensions réelles à documenter</x:v>
      </x:c>
      <x:c r="I2376" s="115" t="str">
        <x:v>À équilibrer</x:v>
      </x:c>
      <x:c r="J2376" s="115" t="str">
        <x:v>Non</x:v>
      </x:c>
      <x:c r="K2376" s="115" t="str">
        <x:v>Pièces décrites, murs, portes, niveaux et mobilier inspectables à l’échelle. Volumes réservés, raccord au seed, butin, rencontres et services de campagne restent à terminer.</x:v>
      </x:c>
    </x:row>
    <x:row r="2377" ht="96" customHeight="1">
      <x:c r="A2377" s="115" t="str">
        <x:v>EXT-MONDE-T048-V22</x:v>
      </x:c>
      <x:c r="B2377" s="115" t="str">
        <x:v>EXT-MONDE-T048</x:v>
      </x:c>
      <x:c r="C2377" s="115" t="str">
        <x:v>Trailer parks</x:v>
      </x:c>
      <x:c r="D2377" s="115" t="str">
        <x:v>Parc de caravanes abandonné</x:v>
      </x:c>
      <x:c r="E2377" s="115" t="n">
        <x:v>22</x:v>
      </x:c>
      <x:c r="F2377" s="115" t="str">
        <x:v>Inspection physique</x:v>
      </x:c>
      <x:c r="G2377" s="115" t="str">
        <x:v>1 niveaux ; 24 pièces ; 179 segments de mur ; 0 transitions. Inspection physique ; architecture complète encore ouverte.</x:v>
      </x:c>
      <x:c r="H2377" s="115" t="str">
        <x:v>L 130 ; l 122 ; hauteur 3,2 m ; choix de composition auteur ; dimensions réelles à documenter</x:v>
      </x:c>
      <x:c r="I2377" s="115" t="str">
        <x:v>À équilibrer</x:v>
      </x:c>
      <x:c r="J2377" s="115" t="str">
        <x:v>Non</x:v>
      </x:c>
      <x:c r="K2377" s="115" t="str">
        <x:v>Pièces décrites, murs, portes, niveaux et mobilier inspectables à l’échelle. Volumes réservés, raccord au seed, butin, rencontres et services de campagne restent à terminer.</x:v>
      </x:c>
    </x:row>
    <x:row r="2378" ht="96" customHeight="1">
      <x:c r="A2378" s="115" t="str">
        <x:v>EXT-MONDE-T048-V23</x:v>
      </x:c>
      <x:c r="B2378" s="115" t="str">
        <x:v>EXT-MONDE-T048</x:v>
      </x:c>
      <x:c r="C2378" s="115" t="str">
        <x:v>Trailer parks</x:v>
      </x:c>
      <x:c r="D2378" s="115" t="str">
        <x:v>Parc de caravanes abandonné</x:v>
      </x:c>
      <x:c r="E2378" s="115" t="n">
        <x:v>23</x:v>
      </x:c>
      <x:c r="F2378" s="115" t="str">
        <x:v>Inspection physique</x:v>
      </x:c>
      <x:c r="G2378" s="115" t="str">
        <x:v>1 niveaux ; 30 pièces ; 222 segments de mur ; 0 transitions. Inspection physique ; architecture complète encore ouverte.</x:v>
      </x:c>
      <x:c r="H2378" s="115" t="str">
        <x:v>L 130 ; l 146 ; hauteur 3,2 m ; choix de composition auteur ; dimensions réelles à documenter</x:v>
      </x:c>
      <x:c r="I2378" s="115" t="str">
        <x:v>À équilibrer</x:v>
      </x:c>
      <x:c r="J2378" s="115" t="str">
        <x:v>Non</x:v>
      </x:c>
      <x:c r="K2378" s="115" t="str">
        <x:v>Pièces décrites, murs, portes, niveaux et mobilier inspectables à l’échelle. Volumes réservés, raccord au seed, butin, rencontres et services de campagne restent à terminer.</x:v>
      </x:c>
    </x:row>
    <x:row r="2379" ht="96" customHeight="1">
      <x:c r="A2379" s="115" t="str">
        <x:v>EXT-MONDE-T048-V24</x:v>
      </x:c>
      <x:c r="B2379" s="115" t="str">
        <x:v>EXT-MONDE-T048</x:v>
      </x:c>
      <x:c r="C2379" s="115" t="str">
        <x:v>Trailer parks</x:v>
      </x:c>
      <x:c r="D2379" s="115" t="str">
        <x:v>Parc de caravanes abandonné</x:v>
      </x:c>
      <x:c r="E2379" s="115" t="n">
        <x:v>24</x:v>
      </x:c>
      <x:c r="F2379" s="115" t="str">
        <x:v>Inspection physique</x:v>
      </x:c>
      <x:c r="G2379" s="115" t="str">
        <x:v>1 niveaux ; 18 pièces ; 136 segments de mur ; 0 transitions. Inspection physique ; architecture complète encore ouverte.</x:v>
      </x:c>
      <x:c r="H2379" s="115" t="str">
        <x:v>L 88 ; l 122 ; hauteur 3,2 m ; choix de composition auteur ; dimensions réelles à documenter</x:v>
      </x:c>
      <x:c r="I2379" s="115" t="str">
        <x:v>À équilibrer</x:v>
      </x:c>
      <x:c r="J2379" s="115" t="str">
        <x:v>Non</x:v>
      </x:c>
      <x:c r="K2379" s="115" t="str">
        <x:v>Pièces décrites, murs, portes, niveaux et mobilier inspectables à l’échelle. Volumes réservés, raccord au seed, butin, rencontres et services de campagne restent à terminer.</x:v>
      </x:c>
    </x:row>
    <x:row r="2380" ht="96" customHeight="1">
      <x:c r="A2380" s="115" t="str">
        <x:v>EXT-MONDE-T048-V25</x:v>
      </x:c>
      <x:c r="B2380" s="115" t="str">
        <x:v>EXT-MONDE-T048</x:v>
      </x:c>
      <x:c r="C2380" s="115" t="str">
        <x:v>Trailer parks</x:v>
      </x:c>
      <x:c r="D2380" s="115" t="str">
        <x:v>Parc de caravanes abandonné</x:v>
      </x:c>
      <x:c r="E2380" s="115" t="n">
        <x:v>25</x:v>
      </x:c>
      <x:c r="F2380" s="115" t="str">
        <x:v>Inspection physique</x:v>
      </x:c>
      <x:c r="G2380" s="115" t="str">
        <x:v>1 niveaux ; 24 pièces ; 179 segments de mur ; 0 transitions. Inspection physique ; architecture complète encore ouverte.</x:v>
      </x:c>
      <x:c r="H2380" s="115" t="str">
        <x:v>L 88 ; l 146 ; hauteur 3,2 m ; choix de composition auteur ; dimensions réelles à documenter</x:v>
      </x:c>
      <x:c r="I2380" s="115" t="str">
        <x:v>À équilibrer</x:v>
      </x:c>
      <x:c r="J2380" s="115" t="str">
        <x:v>Non</x:v>
      </x:c>
      <x:c r="K2380" s="115" t="str">
        <x:v>Pièces décrites, murs, portes, niveaux et mobilier inspectables à l’échelle. Volumes réservés, raccord au seed, butin, rencontres et services de campagne restent à terminer.</x:v>
      </x:c>
    </x:row>
    <x:row r="2381" ht="96" customHeight="1">
      <x:c r="A2381" s="115" t="str">
        <x:v>EXT-MONDE-T048-V26</x:v>
      </x:c>
      <x:c r="B2381" s="115" t="str">
        <x:v>EXT-MONDE-T048</x:v>
      </x:c>
      <x:c r="C2381" s="115" t="str">
        <x:v>Trailer parks</x:v>
      </x:c>
      <x:c r="D2381" s="115" t="str">
        <x:v>Parc de caravanes abandonné</x:v>
      </x:c>
      <x:c r="E2381" s="115" t="n">
        <x:v>26</x:v>
      </x:c>
      <x:c r="F2381" s="115" t="str">
        <x:v>Inspection physique</x:v>
      </x:c>
      <x:c r="G2381" s="115" t="str">
        <x:v>1 niveaux ; 24 pièces ; 179 segments de mur ; 0 transitions. Inspection physique ; architecture complète encore ouverte.</x:v>
      </x:c>
      <x:c r="H2381" s="115" t="str">
        <x:v>L 172 ; l 118 ; hauteur 3,2 m ; choix de composition auteur ; dimensions réelles à documenter</x:v>
      </x:c>
      <x:c r="I2381" s="115" t="str">
        <x:v>À équilibrer</x:v>
      </x:c>
      <x:c r="J2381" s="115" t="str">
        <x:v>Non</x:v>
      </x:c>
      <x:c r="K2381" s="115" t="str">
        <x:v>Pièces décrites, murs, portes, niveaux et mobilier inspectables à l’échelle. Volumes réservés, raccord au seed, butin, rencontres et services de campagne restent à terminer.</x:v>
      </x:c>
    </x:row>
    <x:row r="2382" ht="96" customHeight="1">
      <x:c r="A2382" s="115" t="str">
        <x:v>EXT-MONDE-T048-V27</x:v>
      </x:c>
      <x:c r="B2382" s="115" t="str">
        <x:v>EXT-MONDE-T048</x:v>
      </x:c>
      <x:c r="C2382" s="115" t="str">
        <x:v>Trailer parks</x:v>
      </x:c>
      <x:c r="D2382" s="115" t="str">
        <x:v>Parc de caravanes abandonné</x:v>
      </x:c>
      <x:c r="E2382" s="115" t="n">
        <x:v>27</x:v>
      </x:c>
      <x:c r="F2382" s="115" t="str">
        <x:v>Inspection physique</x:v>
      </x:c>
      <x:c r="G2382" s="115" t="str">
        <x:v>1 niveaux ; 30 pièces ; 222 segments de mur ; 0 transitions. Inspection physique ; architecture complète encore ouverte.</x:v>
      </x:c>
      <x:c r="H2382" s="115" t="str">
        <x:v>L 172 ; l 122 ; hauteur 3,2 m ; choix de composition auteur ; dimensions réelles à documenter</x:v>
      </x:c>
      <x:c r="I2382" s="115" t="str">
        <x:v>À équilibrer</x:v>
      </x:c>
      <x:c r="J2382" s="115" t="str">
        <x:v>Non</x:v>
      </x:c>
      <x:c r="K2382" s="115" t="str">
        <x:v>Pièces décrites, murs, portes, niveaux et mobilier inspectables à l’échelle. Volumes réservés, raccord au seed, butin, rencontres et services de campagne restent à terminer.</x:v>
      </x:c>
    </x:row>
    <x:row r="2383" ht="96" customHeight="1">
      <x:c r="A2383" s="115" t="str">
        <x:v>EXT-MONDE-T048-V28</x:v>
      </x:c>
      <x:c r="B2383" s="115" t="str">
        <x:v>EXT-MONDE-T048</x:v>
      </x:c>
      <x:c r="C2383" s="115" t="str">
        <x:v>Trailer parks</x:v>
      </x:c>
      <x:c r="D2383" s="115" t="str">
        <x:v>Parc de caravanes abandonné</x:v>
      </x:c>
      <x:c r="E2383" s="115" t="n">
        <x:v>28</x:v>
      </x:c>
      <x:c r="F2383" s="115" t="str">
        <x:v>Inspection physique</x:v>
      </x:c>
      <x:c r="G2383" s="115" t="str">
        <x:v>1 niveaux ; 30 pièces ; 222 segments de mur ; 0 transitions. Inspection physique ; architecture complète encore ouverte.</x:v>
      </x:c>
      <x:c r="H2383" s="115" t="str">
        <x:v>L 130 ; l 146 ; hauteur 3,2 m ; choix de composition auteur ; dimensions réelles à documenter</x:v>
      </x:c>
      <x:c r="I2383" s="115" t="str">
        <x:v>À équilibrer</x:v>
      </x:c>
      <x:c r="J2383" s="115" t="str">
        <x:v>Non</x:v>
      </x:c>
      <x:c r="K2383" s="115" t="str">
        <x:v>Pièces décrites, murs, portes, niveaux et mobilier inspectables à l’échelle. Volumes réservés, raccord au seed, butin, rencontres et services de campagne restent à terminer.</x:v>
      </x:c>
    </x:row>
    <x:row r="2384" ht="96" customHeight="1">
      <x:c r="A2384" s="115" t="str">
        <x:v>EXT-MONDE-T048-V29</x:v>
      </x:c>
      <x:c r="B2384" s="115" t="str">
        <x:v>EXT-MONDE-T048</x:v>
      </x:c>
      <x:c r="C2384" s="115" t="str">
        <x:v>Trailer parks</x:v>
      </x:c>
      <x:c r="D2384" s="115" t="str">
        <x:v>Parc de caravanes abandonné</x:v>
      </x:c>
      <x:c r="E2384" s="115" t="n">
        <x:v>29</x:v>
      </x:c>
      <x:c r="F2384" s="115" t="str">
        <x:v>Inspection physique</x:v>
      </x:c>
      <x:c r="G2384" s="115" t="str">
        <x:v>1 niveaux ; 24 pièces ; 179 segments de mur ; 0 transitions. Inspection physique ; architecture complète encore ouverte.</x:v>
      </x:c>
      <x:c r="H2384" s="115" t="str">
        <x:v>L 130 ; l 122 ; hauteur 3,2 m ; choix de composition auteur ; dimensions réelles à documenter</x:v>
      </x:c>
      <x:c r="I2384" s="115" t="str">
        <x:v>À équilibrer</x:v>
      </x:c>
      <x:c r="J2384" s="115" t="str">
        <x:v>Non</x:v>
      </x:c>
      <x:c r="K2384" s="115" t="str">
        <x:v>Pièces décrites, murs, portes, niveaux et mobilier inspectables à l’échelle. Volumes réservés, raccord au seed, butin, rencontres et services de campagne restent à terminer.</x:v>
      </x:c>
    </x:row>
    <x:row r="2385" ht="96" customHeight="1">
      <x:c r="A2385" s="115" t="str">
        <x:v>EXT-MONDE-T048-V30</x:v>
      </x:c>
      <x:c r="B2385" s="115" t="str">
        <x:v>EXT-MONDE-T048</x:v>
      </x:c>
      <x:c r="C2385" s="115" t="str">
        <x:v>Trailer parks</x:v>
      </x:c>
      <x:c r="D2385" s="115" t="str">
        <x:v>Parc de caravanes abandonné</x:v>
      </x:c>
      <x:c r="E2385" s="115" t="n">
        <x:v>30</x:v>
      </x:c>
      <x:c r="F2385" s="115" t="str">
        <x:v>Inspection physique</x:v>
      </x:c>
      <x:c r="G2385" s="115" t="str">
        <x:v>1 niveaux ; 30 pièces ; 222 segments de mur ; 0 transitions. Inspection physique ; architecture complète encore ouverte.</x:v>
      </x:c>
      <x:c r="H2385" s="115" t="str">
        <x:v>L 172 ; l 146 ; hauteur 3,2 m ; choix de composition auteur ; dimensions réelles à documenter</x:v>
      </x:c>
      <x:c r="I2385" s="115" t="str">
        <x:v>À équilibrer</x:v>
      </x:c>
      <x:c r="J2385" s="115" t="str">
        <x:v>Non</x:v>
      </x:c>
      <x:c r="K2385" s="115" t="str">
        <x:v>Pièces décrites, murs, portes, niveaux et mobilier inspectables à l’échelle. Volumes réservés, raccord au seed, butin, rencontres et services de campagne restent à terminer.</x:v>
      </x:c>
    </x:row>
    <x:row r="2386" ht="96" customHeight="1">
      <x:c r="A2386" s="115" t="str">
        <x:v>EXT-MONDE-T048-V31</x:v>
      </x:c>
      <x:c r="B2386" s="115" t="str">
        <x:v>EXT-MONDE-T048</x:v>
      </x:c>
      <x:c r="C2386" s="115" t="str">
        <x:v>Trailer parks</x:v>
      </x:c>
      <x:c r="D2386" s="115" t="str">
        <x:v>Parc de caravanes abandonné</x:v>
      </x:c>
      <x:c r="E2386" s="115" t="n">
        <x:v>31</x:v>
      </x:c>
      <x:c r="F2386" s="115" t="str">
        <x:v>Inspection physique</x:v>
      </x:c>
      <x:c r="G2386" s="115" t="str">
        <x:v>1 niveaux ; 24 pièces ; 179 segments de mur ; 0 transitions. Inspection physique ; architecture complète encore ouverte.</x:v>
      </x:c>
      <x:c r="H2386" s="115" t="str">
        <x:v>L 134 ; l 118 ; hauteur 3,2 m ; choix de composition auteur ; dimensions réelles à documenter</x:v>
      </x:c>
      <x:c r="I2386" s="115" t="str">
        <x:v>À équilibrer</x:v>
      </x:c>
      <x:c r="J2386" s="115" t="str">
        <x:v>Non</x:v>
      </x:c>
      <x:c r="K2386" s="115" t="str">
        <x:v>Pièces décrites, murs, portes, niveaux et mobilier inspectables à l’échelle. Volumes réservés, raccord au seed, butin, rencontres et services de campagne restent à terminer.</x:v>
      </x:c>
    </x:row>
    <x:row r="2387" ht="96" customHeight="1">
      <x:c r="A2387" s="115" t="str">
        <x:v>EXT-MONDE-T048-V32</x:v>
      </x:c>
      <x:c r="B2387" s="115" t="str">
        <x:v>EXT-MONDE-T048</x:v>
      </x:c>
      <x:c r="C2387" s="115" t="str">
        <x:v>Trailer parks</x:v>
      </x:c>
      <x:c r="D2387" s="115" t="str">
        <x:v>Parc de caravanes abandonné</x:v>
      </x:c>
      <x:c r="E2387" s="115" t="n">
        <x:v>32</x:v>
      </x:c>
      <x:c r="F2387" s="115" t="str">
        <x:v>Inspection physique</x:v>
      </x:c>
      <x:c r="G2387" s="115" t="str">
        <x:v>1 niveaux ; 24 pièces ; 179 segments de mur ; 0 transitions. Inspection physique ; architecture complète encore ouverte.</x:v>
      </x:c>
      <x:c r="H2387" s="115" t="str">
        <x:v>L 134 ; l 125 ; hauteur 3,2 m ; choix de composition auteur ; dimensions réelles à documenter</x:v>
      </x:c>
      <x:c r="I2387" s="115" t="str">
        <x:v>À équilibrer</x:v>
      </x:c>
      <x:c r="J2387" s="115" t="str">
        <x:v>Non</x:v>
      </x:c>
      <x:c r="K2387" s="115" t="str">
        <x:v>Pièces décrites, murs, portes, niveaux et mobilier inspectables à l’échelle. Volumes réservés, raccord au seed, butin, rencontres et services de campagne restent à terminer.</x:v>
      </x:c>
    </x:row>
    <x:row r="2388" ht="96" customHeight="1">
      <x:c r="A2388" s="115" t="str">
        <x:v>EXT-MONDE-T048-V33</x:v>
      </x:c>
      <x:c r="B2388" s="115" t="str">
        <x:v>EXT-MONDE-T048</x:v>
      </x:c>
      <x:c r="C2388" s="115" t="str">
        <x:v>Trailer parks</x:v>
      </x:c>
      <x:c r="D2388" s="115" t="str">
        <x:v>Parc de caravanes abandonné</x:v>
      </x:c>
      <x:c r="E2388" s="115" t="n">
        <x:v>33</x:v>
      </x:c>
      <x:c r="F2388" s="115" t="str">
        <x:v>Inspection physique</x:v>
      </x:c>
      <x:c r="G2388" s="115" t="str">
        <x:v>1 niveaux ; 30 pièces ; 222 segments de mur ; 0 transitions. Inspection physique ; architecture complète encore ouverte.</x:v>
      </x:c>
      <x:c r="H2388" s="115" t="str">
        <x:v>L 134 ; l 150 ; hauteur 3,2 m ; choix de composition auteur ; dimensions réelles à documenter</x:v>
      </x:c>
      <x:c r="I2388" s="115" t="str">
        <x:v>À équilibrer</x:v>
      </x:c>
      <x:c r="J2388" s="115" t="str">
        <x:v>Non</x:v>
      </x:c>
      <x:c r="K2388" s="115" t="str">
        <x:v>Pièces décrites, murs, portes, niveaux et mobilier inspectables à l’échelle. Volumes réservés, raccord au seed, butin, rencontres et services de campagne restent à terminer.</x:v>
      </x:c>
    </x:row>
    <x:row r="2389" ht="96" customHeight="1">
      <x:c r="A2389" s="115" t="str">
        <x:v>EXT-MONDE-T048-V34</x:v>
      </x:c>
      <x:c r="B2389" s="115" t="str">
        <x:v>EXT-MONDE-T048</x:v>
      </x:c>
      <x:c r="C2389" s="115" t="str">
        <x:v>Trailer parks</x:v>
      </x:c>
      <x:c r="D2389" s="115" t="str">
        <x:v>Parc de caravanes abandonné</x:v>
      </x:c>
      <x:c r="E2389" s="115" t="n">
        <x:v>34</x:v>
      </x:c>
      <x:c r="F2389" s="115" t="str">
        <x:v>Inspection physique</x:v>
      </x:c>
      <x:c r="G2389" s="115" t="str">
        <x:v>1 niveaux ; 18 pièces ; 136 segments de mur ; 0 transitions. Inspection physique ; architecture complète encore ouverte.</x:v>
      </x:c>
      <x:c r="H2389" s="115" t="str">
        <x:v>L 90 ; l 125 ; hauteur 3,2 m ; choix de composition auteur ; dimensions réelles à documenter</x:v>
      </x:c>
      <x:c r="I2389" s="115" t="str">
        <x:v>À équilibrer</x:v>
      </x:c>
      <x:c r="J2389" s="115" t="str">
        <x:v>Non</x:v>
      </x:c>
      <x:c r="K2389" s="115" t="str">
        <x:v>Pièces décrites, murs, portes, niveaux et mobilier inspectables à l’échelle. Volumes réservés, raccord au seed, butin, rencontres et services de campagne restent à terminer.</x:v>
      </x:c>
    </x:row>
    <x:row r="2390" ht="96" customHeight="1">
      <x:c r="A2390" s="115" t="str">
        <x:v>EXT-MONDE-T048-V35</x:v>
      </x:c>
      <x:c r="B2390" s="115" t="str">
        <x:v>EXT-MONDE-T048</x:v>
      </x:c>
      <x:c r="C2390" s="115" t="str">
        <x:v>Trailer parks</x:v>
      </x:c>
      <x:c r="D2390" s="115" t="str">
        <x:v>Parc de caravanes abandonné</x:v>
      </x:c>
      <x:c r="E2390" s="115" t="n">
        <x:v>35</x:v>
      </x:c>
      <x:c r="F2390" s="115" t="str">
        <x:v>Inspection physique</x:v>
      </x:c>
      <x:c r="G2390" s="115" t="str">
        <x:v>1 niveaux ; 24 pièces ; 179 segments de mur ; 0 transitions. Inspection physique ; architecture complète encore ouverte.</x:v>
      </x:c>
      <x:c r="H2390" s="115" t="str">
        <x:v>L 90 ; l 150 ; hauteur 3,2 m ; choix de composition auteur ; dimensions réelles à documenter</x:v>
      </x:c>
      <x:c r="I2390" s="115" t="str">
        <x:v>À équilibrer</x:v>
      </x:c>
      <x:c r="J2390" s="115" t="str">
        <x:v>Non</x:v>
      </x:c>
      <x:c r="K2390" s="115" t="str">
        <x:v>Pièces décrites, murs, portes, niveaux et mobilier inspectables à l’échelle. Volumes réservés, raccord au seed, butin, rencontres et services de campagne restent à terminer.</x:v>
      </x:c>
    </x:row>
    <x:row r="2391" ht="96" customHeight="1">
      <x:c r="A2391" s="115" t="str">
        <x:v>EXT-MONDE-T048-V36</x:v>
      </x:c>
      <x:c r="B2391" s="115" t="str">
        <x:v>EXT-MONDE-T048</x:v>
      </x:c>
      <x:c r="C2391" s="115" t="str">
        <x:v>Trailer parks</x:v>
      </x:c>
      <x:c r="D2391" s="115" t="str">
        <x:v>Parc de caravanes abandonné</x:v>
      </x:c>
      <x:c r="E2391" s="115" t="n">
        <x:v>36</x:v>
      </x:c>
      <x:c r="F2391" s="115" t="str">
        <x:v>Inspection physique</x:v>
      </x:c>
      <x:c r="G2391" s="115" t="str">
        <x:v>1 niveaux ; 24 pièces ; 179 segments de mur ; 0 transitions. Inspection physique ; architecture complète encore ouverte.</x:v>
      </x:c>
      <x:c r="H2391" s="115" t="str">
        <x:v>L 178 ; l 118 ; hauteur 3,2 m ; choix de composition auteur ; dimensions réelles à documenter</x:v>
      </x:c>
      <x:c r="I2391" s="115" t="str">
        <x:v>À équilibrer</x:v>
      </x:c>
      <x:c r="J2391" s="115" t="str">
        <x:v>Non</x:v>
      </x:c>
      <x:c r="K2391" s="115" t="str">
        <x:v>Pièces décrites, murs, portes, niveaux et mobilier inspectables à l’échelle. Volumes réservés, raccord au seed, butin, rencontres et services de campagne restent à terminer.</x:v>
      </x:c>
    </x:row>
    <x:row r="2392" ht="96" customHeight="1">
      <x:c r="A2392" s="115" t="str">
        <x:v>EXT-MONDE-T048-V37</x:v>
      </x:c>
      <x:c r="B2392" s="115" t="str">
        <x:v>EXT-MONDE-T048</x:v>
      </x:c>
      <x:c r="C2392" s="115" t="str">
        <x:v>Trailer parks</x:v>
      </x:c>
      <x:c r="D2392" s="115" t="str">
        <x:v>Parc de caravanes abandonné</x:v>
      </x:c>
      <x:c r="E2392" s="115" t="n">
        <x:v>37</x:v>
      </x:c>
      <x:c r="F2392" s="115" t="str">
        <x:v>Inspection physique</x:v>
      </x:c>
      <x:c r="G2392" s="115" t="str">
        <x:v>1 niveaux ; 30 pièces ; 222 segments de mur ; 0 transitions. Inspection physique ; architecture complète encore ouverte.</x:v>
      </x:c>
      <x:c r="H2392" s="115" t="str">
        <x:v>L 178 ; l 125 ; hauteur 3,2 m ; choix de composition auteur ; dimensions réelles à documenter</x:v>
      </x:c>
      <x:c r="I2392" s="115" t="str">
        <x:v>À équilibrer</x:v>
      </x:c>
      <x:c r="J2392" s="115" t="str">
        <x:v>Non</x:v>
      </x:c>
      <x:c r="K2392" s="115" t="str">
        <x:v>Pièces décrites, murs, portes, niveaux et mobilier inspectables à l’échelle. Volumes réservés, raccord au seed, butin, rencontres et services de campagne restent à terminer.</x:v>
      </x:c>
    </x:row>
    <x:row r="2393" ht="96" customHeight="1">
      <x:c r="A2393" s="115" t="str">
        <x:v>EXT-MONDE-T048-V38</x:v>
      </x:c>
      <x:c r="B2393" s="115" t="str">
        <x:v>EXT-MONDE-T048</x:v>
      </x:c>
      <x:c r="C2393" s="115" t="str">
        <x:v>Trailer parks</x:v>
      </x:c>
      <x:c r="D2393" s="115" t="str">
        <x:v>Parc de caravanes abandonné</x:v>
      </x:c>
      <x:c r="E2393" s="115" t="n">
        <x:v>38</x:v>
      </x:c>
      <x:c r="F2393" s="115" t="str">
        <x:v>Inspection physique</x:v>
      </x:c>
      <x:c r="G2393" s="115" t="str">
        <x:v>1 niveaux ; 30 pièces ; 222 segments de mur ; 0 transitions. Inspection physique ; architecture complète encore ouverte.</x:v>
      </x:c>
      <x:c r="H2393" s="115" t="str">
        <x:v>L 134 ; l 150 ; hauteur 3,2 m ; choix de composition auteur ; dimensions réelles à documenter</x:v>
      </x:c>
      <x:c r="I2393" s="115" t="str">
        <x:v>À équilibrer</x:v>
      </x:c>
      <x:c r="J2393" s="115" t="str">
        <x:v>Non</x:v>
      </x:c>
      <x:c r="K2393" s="115" t="str">
        <x:v>Pièces décrites, murs, portes, niveaux et mobilier inspectables à l’échelle. Volumes réservés, raccord au seed, butin, rencontres et services de campagne restent à terminer.</x:v>
      </x:c>
    </x:row>
    <x:row r="2394" ht="96" customHeight="1">
      <x:c r="A2394" s="115" t="str">
        <x:v>EXT-MONDE-T048-V39</x:v>
      </x:c>
      <x:c r="B2394" s="115" t="str">
        <x:v>EXT-MONDE-T048</x:v>
      </x:c>
      <x:c r="C2394" s="115" t="str">
        <x:v>Trailer parks</x:v>
      </x:c>
      <x:c r="D2394" s="115" t="str">
        <x:v>Parc de caravanes abandonné</x:v>
      </x:c>
      <x:c r="E2394" s="115" t="n">
        <x:v>39</x:v>
      </x:c>
      <x:c r="F2394" s="115" t="str">
        <x:v>Inspection physique</x:v>
      </x:c>
      <x:c r="G2394" s="115" t="str">
        <x:v>1 niveaux ; 24 pièces ; 179 segments de mur ; 0 transitions. Inspection physique ; architecture complète encore ouverte.</x:v>
      </x:c>
      <x:c r="H2394" s="115" t="str">
        <x:v>L 134 ; l 125 ; hauteur 3,2 m ; choix de composition auteur ; dimensions réelles à documenter</x:v>
      </x:c>
      <x:c r="I2394" s="115" t="str">
        <x:v>À équilibrer</x:v>
      </x:c>
      <x:c r="J2394" s="115" t="str">
        <x:v>Non</x:v>
      </x:c>
      <x:c r="K2394" s="115" t="str">
        <x:v>Pièces décrites, murs, portes, niveaux et mobilier inspectables à l’échelle. Volumes réservés, raccord au seed, butin, rencontres et services de campagne restent à terminer.</x:v>
      </x:c>
    </x:row>
    <x:row r="2395" ht="96" customHeight="1">
      <x:c r="A2395" s="115" t="str">
        <x:v>EXT-MONDE-T048-V40</x:v>
      </x:c>
      <x:c r="B2395" s="115" t="str">
        <x:v>EXT-MONDE-T048</x:v>
      </x:c>
      <x:c r="C2395" s="115" t="str">
        <x:v>Trailer parks</x:v>
      </x:c>
      <x:c r="D2395" s="115" t="str">
        <x:v>Parc de caravanes abandonné</x:v>
      </x:c>
      <x:c r="E2395" s="115" t="n">
        <x:v>40</x:v>
      </x:c>
      <x:c r="F2395" s="115" t="str">
        <x:v>Inspection physique</x:v>
      </x:c>
      <x:c r="G2395" s="115" t="str">
        <x:v>1 niveaux ; 30 pièces ; 222 segments de mur ; 0 transitions. Inspection physique ; architecture complète encore ouverte.</x:v>
      </x:c>
      <x:c r="H2395" s="115" t="str">
        <x:v>L 178 ; l 150 ; hauteur 3,2 m ; choix de composition auteur ; dimensions réelles à documenter</x:v>
      </x:c>
      <x:c r="I2395" s="115" t="str">
        <x:v>À équilibrer</x:v>
      </x:c>
      <x:c r="J2395" s="115" t="str">
        <x:v>Non</x:v>
      </x:c>
      <x:c r="K2395" s="115" t="str">
        <x:v>Pièces décrites, murs, portes, niveaux et mobilier inspectables à l’échelle. Volumes réservés, raccord au seed, butin, rencontres et services de campagne restent à terminer.</x:v>
      </x:c>
    </x:row>
    <x:row r="2396" ht="96" customHeight="1">
      <x:c r="A2396" s="115" t="str">
        <x:v>EXT-MONDE-T048-V41</x:v>
      </x:c>
      <x:c r="B2396" s="115" t="str">
        <x:v>EXT-MONDE-T048</x:v>
      </x:c>
      <x:c r="C2396" s="115" t="str">
        <x:v>Trailer parks</x:v>
      </x:c>
      <x:c r="D2396" s="115" t="str">
        <x:v>Parc de caravanes abandonné</x:v>
      </x:c>
      <x:c r="E2396" s="115" t="n">
        <x:v>41</x:v>
      </x:c>
      <x:c r="F2396" s="115" t="str">
        <x:v>Inspection physique</x:v>
      </x:c>
      <x:c r="G2396" s="115" t="str">
        <x:v>1 niveaux ; 24 pièces ; 179 segments de mur ; 0 transitions. Inspection physique ; architecture complète encore ouverte.</x:v>
      </x:c>
      <x:c r="H2396" s="115" t="str">
        <x:v>L 138 ; l 118 ; hauteur 3,2 m ; choix de composition auteur ; dimensions réelles à documenter</x:v>
      </x:c>
      <x:c r="I2396" s="115" t="str">
        <x:v>À équilibrer</x:v>
      </x:c>
      <x:c r="J2396" s="115" t="str">
        <x:v>Non</x:v>
      </x:c>
      <x:c r="K2396" s="115" t="str">
        <x:v>Pièces décrites, murs, portes, niveaux et mobilier inspectables à l’échelle. Volumes réservés, raccord au seed, butin, rencontres et services de campagne restent à terminer.</x:v>
      </x:c>
    </x:row>
    <x:row r="2397" ht="96" customHeight="1">
      <x:c r="A2397" s="115" t="str">
        <x:v>EXT-MONDE-T048-V42</x:v>
      </x:c>
      <x:c r="B2397" s="115" t="str">
        <x:v>EXT-MONDE-T048</x:v>
      </x:c>
      <x:c r="C2397" s="115" t="str">
        <x:v>Trailer parks</x:v>
      </x:c>
      <x:c r="D2397" s="115" t="str">
        <x:v>Parc de caravanes abandonné</x:v>
      </x:c>
      <x:c r="E2397" s="115" t="n">
        <x:v>42</x:v>
      </x:c>
      <x:c r="F2397" s="115" t="str">
        <x:v>Inspection physique</x:v>
      </x:c>
      <x:c r="G2397" s="115" t="str">
        <x:v>1 niveaux ; 24 pièces ; 179 segments de mur ; 0 transitions. Inspection physique ; architecture complète encore ouverte.</x:v>
      </x:c>
      <x:c r="H2397" s="115" t="str">
        <x:v>L 138 ; l 128 ; hauteur 3,2 m ; choix de composition auteur ; dimensions réelles à documenter</x:v>
      </x:c>
      <x:c r="I2397" s="115" t="str">
        <x:v>À équilibrer</x:v>
      </x:c>
      <x:c r="J2397" s="115" t="str">
        <x:v>Non</x:v>
      </x:c>
      <x:c r="K2397" s="115" t="str">
        <x:v>Pièces décrites, murs, portes, niveaux et mobilier inspectables à l’échelle. Volumes réservés, raccord au seed, butin, rencontres et services de campagne restent à terminer.</x:v>
      </x:c>
    </x:row>
    <x:row r="2398" ht="96" customHeight="1">
      <x:c r="A2398" s="115" t="str">
        <x:v>EXT-MONDE-T048-V43</x:v>
      </x:c>
      <x:c r="B2398" s="115" t="str">
        <x:v>EXT-MONDE-T048</x:v>
      </x:c>
      <x:c r="C2398" s="115" t="str">
        <x:v>Trailer parks</x:v>
      </x:c>
      <x:c r="D2398" s="115" t="str">
        <x:v>Parc de caravanes abandonné</x:v>
      </x:c>
      <x:c r="E2398" s="115" t="n">
        <x:v>43</x:v>
      </x:c>
      <x:c r="F2398" s="115" t="str">
        <x:v>Inspection physique</x:v>
      </x:c>
      <x:c r="G2398" s="115" t="str">
        <x:v>1 niveaux ; 30 pièces ; 222 segments de mur ; 0 transitions. Inspection physique ; architecture complète encore ouverte.</x:v>
      </x:c>
      <x:c r="H2398" s="115" t="str">
        <x:v>L 138 ; l 154 ; hauteur 3,2 m ; choix de composition auteur ; dimensions réelles à documenter</x:v>
      </x:c>
      <x:c r="I2398" s="115" t="str">
        <x:v>À équilibrer</x:v>
      </x:c>
      <x:c r="J2398" s="115" t="str">
        <x:v>Non</x:v>
      </x:c>
      <x:c r="K2398" s="115" t="str">
        <x:v>Pièces décrites, murs, portes, niveaux et mobilier inspectables à l’échelle. Volumes réservés, raccord au seed, butin, rencontres et services de campagne restent à terminer.</x:v>
      </x:c>
    </x:row>
    <x:row r="2399" ht="96" customHeight="1">
      <x:c r="A2399" s="115" t="str">
        <x:v>EXT-MONDE-T048-V44</x:v>
      </x:c>
      <x:c r="B2399" s="115" t="str">
        <x:v>EXT-MONDE-T048</x:v>
      </x:c>
      <x:c r="C2399" s="115" t="str">
        <x:v>Trailer parks</x:v>
      </x:c>
      <x:c r="D2399" s="115" t="str">
        <x:v>Parc de caravanes abandonné</x:v>
      </x:c>
      <x:c r="E2399" s="115" t="n">
        <x:v>44</x:v>
      </x:c>
      <x:c r="F2399" s="115" t="str">
        <x:v>Inspection physique</x:v>
      </x:c>
      <x:c r="G2399" s="115" t="str">
        <x:v>1 niveaux ; 18 pièces ; 136 segments de mur ; 0 transitions. Inspection physique ; architecture complète encore ouverte.</x:v>
      </x:c>
      <x:c r="H2399" s="115" t="str">
        <x:v>L 92 ; l 128 ; hauteur 3,2 m ; choix de composition auteur ; dimensions réelles à documenter</x:v>
      </x:c>
      <x:c r="I2399" s="115" t="str">
        <x:v>À équilibrer</x:v>
      </x:c>
      <x:c r="J2399" s="115" t="str">
        <x:v>Non</x:v>
      </x:c>
      <x:c r="K2399" s="115" t="str">
        <x:v>Pièces décrites, murs, portes, niveaux et mobilier inspectables à l’échelle. Volumes réservés, raccord au seed, butin, rencontres et services de campagne restent à terminer.</x:v>
      </x:c>
    </x:row>
    <x:row r="2400" ht="96" customHeight="1">
      <x:c r="A2400" s="115" t="str">
        <x:v>EXT-MONDE-T048-V45</x:v>
      </x:c>
      <x:c r="B2400" s="115" t="str">
        <x:v>EXT-MONDE-T048</x:v>
      </x:c>
      <x:c r="C2400" s="115" t="str">
        <x:v>Trailer parks</x:v>
      </x:c>
      <x:c r="D2400" s="115" t="str">
        <x:v>Parc de caravanes abandonné</x:v>
      </x:c>
      <x:c r="E2400" s="115" t="n">
        <x:v>45</x:v>
      </x:c>
      <x:c r="F2400" s="115" t="str">
        <x:v>Inspection physique</x:v>
      </x:c>
      <x:c r="G2400" s="115" t="str">
        <x:v>1 niveaux ; 24 pièces ; 179 segments de mur ; 0 transitions. Inspection physique ; architecture complète encore ouverte.</x:v>
      </x:c>
      <x:c r="H2400" s="115" t="str">
        <x:v>L 92 ; l 154 ; hauteur 3,2 m ; choix de composition auteur ; dimensions réelles à documenter</x:v>
      </x:c>
      <x:c r="I2400" s="115" t="str">
        <x:v>À équilibrer</x:v>
      </x:c>
      <x:c r="J2400" s="115" t="str">
        <x:v>Non</x:v>
      </x:c>
      <x:c r="K2400" s="115" t="str">
        <x:v>Pièces décrites, murs, portes, niveaux et mobilier inspectables à l’échelle. Volumes réservés, raccord au seed, butin, rencontres et services de campagne restent à terminer.</x:v>
      </x:c>
    </x:row>
    <x:row r="2401" ht="96" customHeight="1">
      <x:c r="A2401" s="115" t="str">
        <x:v>EXT-MONDE-T048-V46</x:v>
      </x:c>
      <x:c r="B2401" s="115" t="str">
        <x:v>EXT-MONDE-T048</x:v>
      </x:c>
      <x:c r="C2401" s="115" t="str">
        <x:v>Trailer parks</x:v>
      </x:c>
      <x:c r="D2401" s="115" t="str">
        <x:v>Parc de caravanes abandonné</x:v>
      </x:c>
      <x:c r="E2401" s="115" t="n">
        <x:v>46</x:v>
      </x:c>
      <x:c r="F2401" s="115" t="str">
        <x:v>Inspection physique</x:v>
      </x:c>
      <x:c r="G2401" s="115" t="str">
        <x:v>1 niveaux ; 24 pièces ; 179 segments de mur ; 0 transitions. Inspection physique ; architecture complète encore ouverte.</x:v>
      </x:c>
      <x:c r="H2401" s="115" t="str">
        <x:v>L 184 ; l 118 ; hauteur 3,2 m ; choix de composition auteur ; dimensions réelles à documenter</x:v>
      </x:c>
      <x:c r="I2401" s="115" t="str">
        <x:v>À équilibrer</x:v>
      </x:c>
      <x:c r="J2401" s="115" t="str">
        <x:v>Non</x:v>
      </x:c>
      <x:c r="K2401" s="115" t="str">
        <x:v>Pièces décrites, murs, portes, niveaux et mobilier inspectables à l’échelle. Volumes réservés, raccord au seed, butin, rencontres et services de campagne restent à terminer.</x:v>
      </x:c>
    </x:row>
    <x:row r="2402" ht="96" customHeight="1">
      <x:c r="A2402" s="115" t="str">
        <x:v>EXT-MONDE-T048-V47</x:v>
      </x:c>
      <x:c r="B2402" s="115" t="str">
        <x:v>EXT-MONDE-T048</x:v>
      </x:c>
      <x:c r="C2402" s="115" t="str">
        <x:v>Trailer parks</x:v>
      </x:c>
      <x:c r="D2402" s="115" t="str">
        <x:v>Parc de caravanes abandonné</x:v>
      </x:c>
      <x:c r="E2402" s="115" t="n">
        <x:v>47</x:v>
      </x:c>
      <x:c r="F2402" s="115" t="str">
        <x:v>Inspection physique</x:v>
      </x:c>
      <x:c r="G2402" s="115" t="str">
        <x:v>1 niveaux ; 30 pièces ; 222 segments de mur ; 0 transitions. Inspection physique ; architecture complète encore ouverte.</x:v>
      </x:c>
      <x:c r="H2402" s="115" t="str">
        <x:v>L 184 ; l 128 ; hauteur 3,2 m ; choix de composition auteur ; dimensions réelles à documenter</x:v>
      </x:c>
      <x:c r="I2402" s="115" t="str">
        <x:v>À équilibrer</x:v>
      </x:c>
      <x:c r="J2402" s="115" t="str">
        <x:v>Non</x:v>
      </x:c>
      <x:c r="K2402" s="115" t="str">
        <x:v>Pièces décrites, murs, portes, niveaux et mobilier inspectables à l’échelle. Volumes réservés, raccord au seed, butin, rencontres et services de campagne restent à terminer.</x:v>
      </x:c>
    </x:row>
    <x:row r="2403" ht="96" customHeight="1">
      <x:c r="A2403" s="115" t="str">
        <x:v>EXT-MONDE-T048-V48</x:v>
      </x:c>
      <x:c r="B2403" s="115" t="str">
        <x:v>EXT-MONDE-T048</x:v>
      </x:c>
      <x:c r="C2403" s="115" t="str">
        <x:v>Trailer parks</x:v>
      </x:c>
      <x:c r="D2403" s="115" t="str">
        <x:v>Parc de caravanes abandonné</x:v>
      </x:c>
      <x:c r="E2403" s="115" t="n">
        <x:v>48</x:v>
      </x:c>
      <x:c r="F2403" s="115" t="str">
        <x:v>Inspection physique</x:v>
      </x:c>
      <x:c r="G2403" s="115" t="str">
        <x:v>1 niveaux ; 30 pièces ; 222 segments de mur ; 0 transitions. Inspection physique ; architecture complète encore ouverte.</x:v>
      </x:c>
      <x:c r="H2403" s="115" t="str">
        <x:v>L 138 ; l 154 ; hauteur 3,2 m ; choix de composition auteur ; dimensions réelles à documenter</x:v>
      </x:c>
      <x:c r="I2403" s="115" t="str">
        <x:v>À équilibrer</x:v>
      </x:c>
      <x:c r="J2403" s="115" t="str">
        <x:v>Non</x:v>
      </x:c>
      <x:c r="K2403" s="115" t="str">
        <x:v>Pièces décrites, murs, portes, niveaux et mobilier inspectables à l’échelle. Volumes réservés, raccord au seed, butin, rencontres et services de campagne restent à terminer.</x:v>
      </x:c>
    </x:row>
    <x:row r="2404" ht="96" customHeight="1">
      <x:c r="A2404" s="115" t="str">
        <x:v>EXT-MONDE-T048-V49</x:v>
      </x:c>
      <x:c r="B2404" s="115" t="str">
        <x:v>EXT-MONDE-T048</x:v>
      </x:c>
      <x:c r="C2404" s="115" t="str">
        <x:v>Trailer parks</x:v>
      </x:c>
      <x:c r="D2404" s="115" t="str">
        <x:v>Parc de caravanes abandonné</x:v>
      </x:c>
      <x:c r="E2404" s="115" t="n">
        <x:v>49</x:v>
      </x:c>
      <x:c r="F2404" s="115" t="str">
        <x:v>Inspection physique</x:v>
      </x:c>
      <x:c r="G2404" s="115" t="str">
        <x:v>1 niveaux ; 24 pièces ; 179 segments de mur ; 0 transitions. Inspection physique ; architecture complète encore ouverte.</x:v>
      </x:c>
      <x:c r="H2404" s="115" t="str">
        <x:v>L 138 ; l 128 ; hauteur 3,2 m ; choix de composition auteur ; dimensions réelles à documenter</x:v>
      </x:c>
      <x:c r="I2404" s="115" t="str">
        <x:v>À équilibrer</x:v>
      </x:c>
      <x:c r="J2404" s="115" t="str">
        <x:v>Non</x:v>
      </x:c>
      <x:c r="K2404" s="115" t="str">
        <x:v>Pièces décrites, murs, portes, niveaux et mobilier inspectables à l’échelle. Volumes réservés, raccord au seed, butin, rencontres et services de campagne restent à terminer.</x:v>
      </x:c>
    </x:row>
    <x:row r="2405" ht="96" customHeight="1">
      <x:c r="A2405" s="115" t="str">
        <x:v>EXT-MONDE-T048-V50</x:v>
      </x:c>
      <x:c r="B2405" s="115" t="str">
        <x:v>EXT-MONDE-T048</x:v>
      </x:c>
      <x:c r="C2405" s="115" t="str">
        <x:v>Trailer parks</x:v>
      </x:c>
      <x:c r="D2405" s="115" t="str">
        <x:v>Parc de caravanes abandonné</x:v>
      </x:c>
      <x:c r="E2405" s="115" t="n">
        <x:v>50</x:v>
      </x:c>
      <x:c r="F2405" s="115" t="str">
        <x:v>Inspection physique</x:v>
      </x:c>
      <x:c r="G2405" s="115" t="str">
        <x:v>1 niveaux ; 30 pièces ; 222 segments de mur ; 0 transitions. Inspection physique ; architecture complète encore ouverte.</x:v>
      </x:c>
      <x:c r="H2405" s="115" t="str">
        <x:v>L 184 ; l 154 ; hauteur 3,2 m ; choix de composition auteur ; dimensions réelles à documenter</x:v>
      </x:c>
      <x:c r="I2405" s="115" t="str">
        <x:v>À équilibrer</x:v>
      </x:c>
      <x:c r="J2405" s="115" t="str">
        <x:v>Non</x:v>
      </x:c>
      <x:c r="K2405" s="115" t="str">
        <x:v>Pièces décrites, murs, portes, niveaux et mobilier inspectables à l’échelle. Volumes réservés, raccord au seed, butin, rencontres et services de campagne restent à terminer.</x:v>
      </x:c>
    </x:row>
    <x:row r="2406" ht="96" customHeight="1">
      <x:c r="A2406" s="115" t="str">
        <x:v>EXT-MONDE-T049-V01</x:v>
      </x:c>
      <x:c r="B2406" s="115" t="str">
        <x:v>EXT-MONDE-T049</x:v>
      </x:c>
      <x:c r="C2406" s="115" t="str">
        <x:v>Parcs attractions</x:v>
      </x:c>
      <x:c r="D2406" s="115" t="str">
        <x:v>Parc familial</x:v>
      </x:c>
      <x:c r="E2406" s="115" t="n">
        <x:v>1</x:v>
      </x:c>
      <x:c r="F2406" s="115" t="str">
        <x:v>Inspection physique</x:v>
      </x:c>
      <x:c r="G2406" s="115" t="str">
        <x:v>1 niveaux ; 32 pièces ; 248 segments de mur ; 0 transitions. Inspection physique ; architecture complète encore ouverte.</x:v>
      </x:c>
      <x:c r="H2406" s="115" t="str">
        <x:v>L 362 ; l 458 ; hauteur 18 m ; choix de composition auteur ; dimensions réelles à documenter</x:v>
      </x:c>
      <x:c r="I2406" s="115" t="str">
        <x:v>À équilibrer</x:v>
      </x:c>
      <x:c r="J2406" s="115" t="str">
        <x:v>Non</x:v>
      </x:c>
      <x:c r="K2406" s="115" t="str">
        <x:v>Pièces décrites, murs, portes, niveaux et mobilier inspectables à l’échelle. Volumes réservés, raccord au seed, butin, rencontres et services de campagne restent à terminer.</x:v>
      </x:c>
    </x:row>
    <x:row r="2407" ht="96" customHeight="1">
      <x:c r="A2407" s="115" t="str">
        <x:v>EXT-MONDE-T049-V02</x:v>
      </x:c>
      <x:c r="B2407" s="115" t="str">
        <x:v>EXT-MONDE-T049</x:v>
      </x:c>
      <x:c r="C2407" s="115" t="str">
        <x:v>Parcs attractions</x:v>
      </x:c>
      <x:c r="D2407" s="115" t="str">
        <x:v>Parc familial</x:v>
      </x:c>
      <x:c r="E2407" s="115" t="n">
        <x:v>2</x:v>
      </x:c>
      <x:c r="F2407" s="115" t="str">
        <x:v>Inspection physique</x:v>
      </x:c>
      <x:c r="G2407" s="115" t="str">
        <x:v>1 niveaux ; 32 pièces ; 248 segments de mur ; 0 transitions. Inspection physique ; architecture complète encore ouverte.</x:v>
      </x:c>
      <x:c r="H2407" s="115" t="str">
        <x:v>L 362 ; l 458 ; hauteur 18 m ; choix de composition auteur ; dimensions réelles à documenter</x:v>
      </x:c>
      <x:c r="I2407" s="115" t="str">
        <x:v>À équilibrer</x:v>
      </x:c>
      <x:c r="J2407" s="115" t="str">
        <x:v>Non</x:v>
      </x:c>
      <x:c r="K2407" s="115" t="str">
        <x:v>Pièces décrites, murs, portes, niveaux et mobilier inspectables à l’échelle. Volumes réservés, raccord au seed, butin, rencontres et services de campagne restent à terminer.</x:v>
      </x:c>
    </x:row>
    <x:row r="2408" ht="96" customHeight="1">
      <x:c r="A2408" s="115" t="str">
        <x:v>EXT-MONDE-T049-V03</x:v>
      </x:c>
      <x:c r="B2408" s="115" t="str">
        <x:v>EXT-MONDE-T049</x:v>
      </x:c>
      <x:c r="C2408" s="115" t="str">
        <x:v>Parcs attractions</x:v>
      </x:c>
      <x:c r="D2408" s="115" t="str">
        <x:v>Parc familial</x:v>
      </x:c>
      <x:c r="E2408" s="115" t="n">
        <x:v>3</x:v>
      </x:c>
      <x:c r="F2408" s="115" t="str">
        <x:v>Inspection physique</x:v>
      </x:c>
      <x:c r="G2408" s="115" t="str">
        <x:v>1 niveaux ; 32 pièces ; 248 segments de mur ; 0 transitions. Inspection physique ; architecture complète encore ouverte.</x:v>
      </x:c>
      <x:c r="H2408" s="115" t="str">
        <x:v>L 362 ; l 458 ; hauteur 18 m ; choix de composition auteur ; dimensions réelles à documenter</x:v>
      </x:c>
      <x:c r="I2408" s="115" t="str">
        <x:v>À équilibrer</x:v>
      </x:c>
      <x:c r="J2408" s="115" t="str">
        <x:v>Non</x:v>
      </x:c>
      <x:c r="K2408" s="115" t="str">
        <x:v>Pièces décrites, murs, portes, niveaux et mobilier inspectables à l’échelle. Volumes réservés, raccord au seed, butin, rencontres et services de campagne restent à terminer.</x:v>
      </x:c>
    </x:row>
    <x:row r="2409" ht="96" customHeight="1">
      <x:c r="A2409" s="115" t="str">
        <x:v>EXT-MONDE-T049-V04</x:v>
      </x:c>
      <x:c r="B2409" s="115" t="str">
        <x:v>EXT-MONDE-T049</x:v>
      </x:c>
      <x:c r="C2409" s="115" t="str">
        <x:v>Parcs attractions</x:v>
      </x:c>
      <x:c r="D2409" s="115" t="str">
        <x:v>Parc familial</x:v>
      </x:c>
      <x:c r="E2409" s="115" t="n">
        <x:v>4</x:v>
      </x:c>
      <x:c r="F2409" s="115" t="str">
        <x:v>Inspection physique</x:v>
      </x:c>
      <x:c r="G2409" s="115" t="str">
        <x:v>1 niveaux ; 32 pièces ; 248 segments de mur ; 0 transitions. Inspection physique ; architecture complète encore ouverte.</x:v>
      </x:c>
      <x:c r="H2409" s="115" t="str">
        <x:v>L 362 ; l 458 ; hauteur 18 m ; choix de composition auteur ; dimensions réelles à documenter</x:v>
      </x:c>
      <x:c r="I2409" s="115" t="str">
        <x:v>À équilibrer</x:v>
      </x:c>
      <x:c r="J2409" s="115" t="str">
        <x:v>Non</x:v>
      </x:c>
      <x:c r="K2409" s="115" t="str">
        <x:v>Pièces décrites, murs, portes, niveaux et mobilier inspectables à l’échelle. Volumes réservés, raccord au seed, butin, rencontres et services de campagne restent à terminer.</x:v>
      </x:c>
    </x:row>
    <x:row r="2410" ht="96" customHeight="1">
      <x:c r="A2410" s="115" t="str">
        <x:v>EXT-MONDE-T049-V05</x:v>
      </x:c>
      <x:c r="B2410" s="115" t="str">
        <x:v>EXT-MONDE-T049</x:v>
      </x:c>
      <x:c r="C2410" s="115" t="str">
        <x:v>Parcs attractions</x:v>
      </x:c>
      <x:c r="D2410" s="115" t="str">
        <x:v>Parc familial</x:v>
      </x:c>
      <x:c r="E2410" s="115" t="n">
        <x:v>5</x:v>
      </x:c>
      <x:c r="F2410" s="115" t="str">
        <x:v>Inspection physique</x:v>
      </x:c>
      <x:c r="G2410" s="115" t="str">
        <x:v>1 niveaux ; 32 pièces ; 248 segments de mur ; 0 transitions. Inspection physique ; architecture complète encore ouverte.</x:v>
      </x:c>
      <x:c r="H2410" s="115" t="str">
        <x:v>L 362 ; l 458 ; hauteur 18 m ; choix de composition auteur ; dimensions réelles à documenter</x:v>
      </x:c>
      <x:c r="I2410" s="115" t="str">
        <x:v>À équilibrer</x:v>
      </x:c>
      <x:c r="J2410" s="115" t="str">
        <x:v>Non</x:v>
      </x:c>
      <x:c r="K2410" s="115" t="str">
        <x:v>Pièces décrites, murs, portes, niveaux et mobilier inspectables à l’échelle. Volumes réservés, raccord au seed, butin, rencontres et services de campagne restent à terminer.</x:v>
      </x:c>
    </x:row>
    <x:row r="2411" ht="96" customHeight="1">
      <x:c r="A2411" s="115" t="str">
        <x:v>EXT-MONDE-T049-V06</x:v>
      </x:c>
      <x:c r="B2411" s="115" t="str">
        <x:v>EXT-MONDE-T049</x:v>
      </x:c>
      <x:c r="C2411" s="115" t="str">
        <x:v>Parcs attractions</x:v>
      </x:c>
      <x:c r="D2411" s="115" t="str">
        <x:v>Parc familial</x:v>
      </x:c>
      <x:c r="E2411" s="115" t="n">
        <x:v>6</x:v>
      </x:c>
      <x:c r="F2411" s="115" t="str">
        <x:v>Inspection physique</x:v>
      </x:c>
      <x:c r="G2411" s="115" t="str">
        <x:v>1 niveaux ; 32 pièces ; 248 segments de mur ; 0 transitions. Inspection physique ; architecture complète encore ouverte.</x:v>
      </x:c>
      <x:c r="H2411" s="115" t="str">
        <x:v>L 362 ; l 458 ; hauteur 18 m ; choix de composition auteur ; dimensions réelles à documenter</x:v>
      </x:c>
      <x:c r="I2411" s="115" t="str">
        <x:v>À équilibrer</x:v>
      </x:c>
      <x:c r="J2411" s="115" t="str">
        <x:v>Non</x:v>
      </x:c>
      <x:c r="K2411" s="115" t="str">
        <x:v>Pièces décrites, murs, portes, niveaux et mobilier inspectables à l’échelle. Volumes réservés, raccord au seed, butin, rencontres et services de campagne restent à terminer.</x:v>
      </x:c>
    </x:row>
    <x:row r="2412" ht="96" customHeight="1">
      <x:c r="A2412" s="115" t="str">
        <x:v>EXT-MONDE-T049-V07</x:v>
      </x:c>
      <x:c r="B2412" s="115" t="str">
        <x:v>EXT-MONDE-T049</x:v>
      </x:c>
      <x:c r="C2412" s="115" t="str">
        <x:v>Parcs attractions</x:v>
      </x:c>
      <x:c r="D2412" s="115" t="str">
        <x:v>Parc familial</x:v>
      </x:c>
      <x:c r="E2412" s="115" t="n">
        <x:v>7</x:v>
      </x:c>
      <x:c r="F2412" s="115" t="str">
        <x:v>Inspection physique</x:v>
      </x:c>
      <x:c r="G2412" s="115" t="str">
        <x:v>1 niveaux ; 32 pièces ; 248 segments de mur ; 0 transitions. Inspection physique ; architecture complète encore ouverte.</x:v>
      </x:c>
      <x:c r="H2412" s="115" t="str">
        <x:v>L 362 ; l 458 ; hauteur 18 m ; choix de composition auteur ; dimensions réelles à documenter</x:v>
      </x:c>
      <x:c r="I2412" s="115" t="str">
        <x:v>À équilibrer</x:v>
      </x:c>
      <x:c r="J2412" s="115" t="str">
        <x:v>Non</x:v>
      </x:c>
      <x:c r="K2412" s="115" t="str">
        <x:v>Pièces décrites, murs, portes, niveaux et mobilier inspectables à l’échelle. Volumes réservés, raccord au seed, butin, rencontres et services de campagne restent à terminer.</x:v>
      </x:c>
    </x:row>
    <x:row r="2413" ht="96" customHeight="1">
      <x:c r="A2413" s="115" t="str">
        <x:v>EXT-MONDE-T049-V08</x:v>
      </x:c>
      <x:c r="B2413" s="115" t="str">
        <x:v>EXT-MONDE-T049</x:v>
      </x:c>
      <x:c r="C2413" s="115" t="str">
        <x:v>Parcs attractions</x:v>
      </x:c>
      <x:c r="D2413" s="115" t="str">
        <x:v>Parc familial</x:v>
      </x:c>
      <x:c r="E2413" s="115" t="n">
        <x:v>8</x:v>
      </x:c>
      <x:c r="F2413" s="115" t="str">
        <x:v>Inspection physique</x:v>
      </x:c>
      <x:c r="G2413" s="115" t="str">
        <x:v>1 niveaux ; 32 pièces ; 248 segments de mur ; 0 transitions. Inspection physique ; architecture complète encore ouverte.</x:v>
      </x:c>
      <x:c r="H2413" s="115" t="str">
        <x:v>L 362 ; l 458 ; hauteur 18 m ; choix de composition auteur ; dimensions réelles à documenter</x:v>
      </x:c>
      <x:c r="I2413" s="115" t="str">
        <x:v>À équilibrer</x:v>
      </x:c>
      <x:c r="J2413" s="115" t="str">
        <x:v>Non</x:v>
      </x:c>
      <x:c r="K2413" s="115" t="str">
        <x:v>Pièces décrites, murs, portes, niveaux et mobilier inspectables à l’échelle. Volumes réservés, raccord au seed, butin, rencontres et services de campagne restent à terminer.</x:v>
      </x:c>
    </x:row>
    <x:row r="2414" ht="96" customHeight="1">
      <x:c r="A2414" s="115" t="str">
        <x:v>EXT-MONDE-T049-V09</x:v>
      </x:c>
      <x:c r="B2414" s="115" t="str">
        <x:v>EXT-MONDE-T049</x:v>
      </x:c>
      <x:c r="C2414" s="115" t="str">
        <x:v>Parcs attractions</x:v>
      </x:c>
      <x:c r="D2414" s="115" t="str">
        <x:v>Parc familial</x:v>
      </x:c>
      <x:c r="E2414" s="115" t="n">
        <x:v>9</x:v>
      </x:c>
      <x:c r="F2414" s="115" t="str">
        <x:v>Inspection physique</x:v>
      </x:c>
      <x:c r="G2414" s="115" t="str">
        <x:v>1 niveaux ; 32 pièces ; 248 segments de mur ; 0 transitions. Inspection physique ; architecture complète encore ouverte.</x:v>
      </x:c>
      <x:c r="H2414" s="115" t="str">
        <x:v>L 362 ; l 458 ; hauteur 18 m ; choix de composition auteur ; dimensions réelles à documenter</x:v>
      </x:c>
      <x:c r="I2414" s="115" t="str">
        <x:v>À équilibrer</x:v>
      </x:c>
      <x:c r="J2414" s="115" t="str">
        <x:v>Non</x:v>
      </x:c>
      <x:c r="K2414" s="115" t="str">
        <x:v>Pièces décrites, murs, portes, niveaux et mobilier inspectables à l’échelle. Volumes réservés, raccord au seed, butin, rencontres et services de campagne restent à terminer.</x:v>
      </x:c>
    </x:row>
    <x:row r="2415" ht="96" customHeight="1">
      <x:c r="A2415" s="115" t="str">
        <x:v>EXT-MONDE-T049-V10</x:v>
      </x:c>
      <x:c r="B2415" s="115" t="str">
        <x:v>EXT-MONDE-T049</x:v>
      </x:c>
      <x:c r="C2415" s="115" t="str">
        <x:v>Parcs attractions</x:v>
      </x:c>
      <x:c r="D2415" s="115" t="str">
        <x:v>Parc familial</x:v>
      </x:c>
      <x:c r="E2415" s="115" t="n">
        <x:v>10</x:v>
      </x:c>
      <x:c r="F2415" s="115" t="str">
        <x:v>Inspection physique</x:v>
      </x:c>
      <x:c r="G2415" s="115" t="str">
        <x:v>1 niveaux ; 32 pièces ; 248 segments de mur ; 0 transitions. Inspection physique ; architecture complète encore ouverte.</x:v>
      </x:c>
      <x:c r="H2415" s="115" t="str">
        <x:v>L 362 ; l 458 ; hauteur 18 m ; choix de composition auteur ; dimensions réelles à documenter</x:v>
      </x:c>
      <x:c r="I2415" s="115" t="str">
        <x:v>À équilibrer</x:v>
      </x:c>
      <x:c r="J2415" s="115" t="str">
        <x:v>Non</x:v>
      </x:c>
      <x:c r="K2415" s="115" t="str">
        <x:v>Pièces décrites, murs, portes, niveaux et mobilier inspectables à l’échelle. Volumes réservés, raccord au seed, butin, rencontres et services de campagne restent à terminer.</x:v>
      </x:c>
    </x:row>
    <x:row r="2416" ht="96" customHeight="1">
      <x:c r="A2416" s="115" t="str">
        <x:v>EXT-MONDE-T049-V11</x:v>
      </x:c>
      <x:c r="B2416" s="115" t="str">
        <x:v>EXT-MONDE-T049</x:v>
      </x:c>
      <x:c r="C2416" s="115" t="str">
        <x:v>Parcs attractions</x:v>
      </x:c>
      <x:c r="D2416" s="115" t="str">
        <x:v>Parc familial</x:v>
      </x:c>
      <x:c r="E2416" s="115" t="n">
        <x:v>11</x:v>
      </x:c>
      <x:c r="F2416" s="115" t="str">
        <x:v>Inspection physique</x:v>
      </x:c>
      <x:c r="G2416" s="115" t="str">
        <x:v>1 niveaux ; 32 pièces ; 248 segments de mur ; 0 transitions. Inspection physique ; architecture complète encore ouverte.</x:v>
      </x:c>
      <x:c r="H2416" s="115" t="str">
        <x:v>L 374 ; l 466 ; hauteur 18 m ; choix de composition auteur ; dimensions réelles à documenter</x:v>
      </x:c>
      <x:c r="I2416" s="115" t="str">
        <x:v>À équilibrer</x:v>
      </x:c>
      <x:c r="J2416" s="115" t="str">
        <x:v>Non</x:v>
      </x:c>
      <x:c r="K2416" s="115" t="str">
        <x:v>Pièces décrites, murs, portes, niveaux et mobilier inspectables à l’échelle. Volumes réservés, raccord au seed, butin, rencontres et services de campagne restent à terminer.</x:v>
      </x:c>
    </x:row>
    <x:row r="2417" ht="96" customHeight="1">
      <x:c r="A2417" s="115" t="str">
        <x:v>EXT-MONDE-T049-V12</x:v>
      </x:c>
      <x:c r="B2417" s="115" t="str">
        <x:v>EXT-MONDE-T049</x:v>
      </x:c>
      <x:c r="C2417" s="115" t="str">
        <x:v>Parcs attractions</x:v>
      </x:c>
      <x:c r="D2417" s="115" t="str">
        <x:v>Parc familial</x:v>
      </x:c>
      <x:c r="E2417" s="115" t="n">
        <x:v>12</x:v>
      </x:c>
      <x:c r="F2417" s="115" t="str">
        <x:v>Inspection physique</x:v>
      </x:c>
      <x:c r="G2417" s="115" t="str">
        <x:v>1 niveaux ; 32 pièces ; 248 segments de mur ; 0 transitions. Inspection physique ; architecture complète encore ouverte.</x:v>
      </x:c>
      <x:c r="H2417" s="115" t="str">
        <x:v>L 374 ; l 466 ; hauteur 18 m ; choix de composition auteur ; dimensions réelles à documenter</x:v>
      </x:c>
      <x:c r="I2417" s="115" t="str">
        <x:v>À équilibrer</x:v>
      </x:c>
      <x:c r="J2417" s="115" t="str">
        <x:v>Non</x:v>
      </x:c>
      <x:c r="K2417" s="115" t="str">
        <x:v>Pièces décrites, murs, portes, niveaux et mobilier inspectables à l’échelle. Volumes réservés, raccord au seed, butin, rencontres et services de campagne restent à terminer.</x:v>
      </x:c>
    </x:row>
    <x:row r="2418" ht="96" customHeight="1">
      <x:c r="A2418" s="115" t="str">
        <x:v>EXT-MONDE-T049-V13</x:v>
      </x:c>
      <x:c r="B2418" s="115" t="str">
        <x:v>EXT-MONDE-T049</x:v>
      </x:c>
      <x:c r="C2418" s="115" t="str">
        <x:v>Parcs attractions</x:v>
      </x:c>
      <x:c r="D2418" s="115" t="str">
        <x:v>Parc familial</x:v>
      </x:c>
      <x:c r="E2418" s="115" t="n">
        <x:v>13</x:v>
      </x:c>
      <x:c r="F2418" s="115" t="str">
        <x:v>Inspection physique</x:v>
      </x:c>
      <x:c r="G2418" s="115" t="str">
        <x:v>1 niveaux ; 32 pièces ; 248 segments de mur ; 0 transitions. Inspection physique ; architecture complète encore ouverte.</x:v>
      </x:c>
      <x:c r="H2418" s="115" t="str">
        <x:v>L 374 ; l 466 ; hauteur 18 m ; choix de composition auteur ; dimensions réelles à documenter</x:v>
      </x:c>
      <x:c r="I2418" s="115" t="str">
        <x:v>À équilibrer</x:v>
      </x:c>
      <x:c r="J2418" s="115" t="str">
        <x:v>Non</x:v>
      </x:c>
      <x:c r="K2418" s="115" t="str">
        <x:v>Pièces décrites, murs, portes, niveaux et mobilier inspectables à l’échelle. Volumes réservés, raccord au seed, butin, rencontres et services de campagne restent à terminer.</x:v>
      </x:c>
    </x:row>
    <x:row r="2419" ht="96" customHeight="1">
      <x:c r="A2419" s="115" t="str">
        <x:v>EXT-MONDE-T049-V14</x:v>
      </x:c>
      <x:c r="B2419" s="115" t="str">
        <x:v>EXT-MONDE-T049</x:v>
      </x:c>
      <x:c r="C2419" s="115" t="str">
        <x:v>Parcs attractions</x:v>
      </x:c>
      <x:c r="D2419" s="115" t="str">
        <x:v>Parc familial</x:v>
      </x:c>
      <x:c r="E2419" s="115" t="n">
        <x:v>14</x:v>
      </x:c>
      <x:c r="F2419" s="115" t="str">
        <x:v>Inspection physique</x:v>
      </x:c>
      <x:c r="G2419" s="115" t="str">
        <x:v>1 niveaux ; 32 pièces ; 248 segments de mur ; 0 transitions. Inspection physique ; architecture complète encore ouverte.</x:v>
      </x:c>
      <x:c r="H2419" s="115" t="str">
        <x:v>L 374 ; l 466 ; hauteur 18 m ; choix de composition auteur ; dimensions réelles à documenter</x:v>
      </x:c>
      <x:c r="I2419" s="115" t="str">
        <x:v>À équilibrer</x:v>
      </x:c>
      <x:c r="J2419" s="115" t="str">
        <x:v>Non</x:v>
      </x:c>
      <x:c r="K2419" s="115" t="str">
        <x:v>Pièces décrites, murs, portes, niveaux et mobilier inspectables à l’échelle. Volumes réservés, raccord au seed, butin, rencontres et services de campagne restent à terminer.</x:v>
      </x:c>
    </x:row>
    <x:row r="2420" ht="96" customHeight="1">
      <x:c r="A2420" s="115" t="str">
        <x:v>EXT-MONDE-T049-V15</x:v>
      </x:c>
      <x:c r="B2420" s="115" t="str">
        <x:v>EXT-MONDE-T049</x:v>
      </x:c>
      <x:c r="C2420" s="115" t="str">
        <x:v>Parcs attractions</x:v>
      </x:c>
      <x:c r="D2420" s="115" t="str">
        <x:v>Parc familial</x:v>
      </x:c>
      <x:c r="E2420" s="115" t="n">
        <x:v>15</x:v>
      </x:c>
      <x:c r="F2420" s="115" t="str">
        <x:v>Inspection physique</x:v>
      </x:c>
      <x:c r="G2420" s="115" t="str">
        <x:v>1 niveaux ; 32 pièces ; 248 segments de mur ; 0 transitions. Inspection physique ; architecture complète encore ouverte.</x:v>
      </x:c>
      <x:c r="H2420" s="115" t="str">
        <x:v>L 374 ; l 466 ; hauteur 18 m ; choix de composition auteur ; dimensions réelles à documenter</x:v>
      </x:c>
      <x:c r="I2420" s="115" t="str">
        <x:v>À équilibrer</x:v>
      </x:c>
      <x:c r="J2420" s="115" t="str">
        <x:v>Non</x:v>
      </x:c>
      <x:c r="K2420" s="115" t="str">
        <x:v>Pièces décrites, murs, portes, niveaux et mobilier inspectables à l’échelle. Volumes réservés, raccord au seed, butin, rencontres et services de campagne restent à terminer.</x:v>
      </x:c>
    </x:row>
    <x:row r="2421" ht="96" customHeight="1">
      <x:c r="A2421" s="115" t="str">
        <x:v>EXT-MONDE-T049-V16</x:v>
      </x:c>
      <x:c r="B2421" s="115" t="str">
        <x:v>EXT-MONDE-T049</x:v>
      </x:c>
      <x:c r="C2421" s="115" t="str">
        <x:v>Parcs attractions</x:v>
      </x:c>
      <x:c r="D2421" s="115" t="str">
        <x:v>Parc familial</x:v>
      </x:c>
      <x:c r="E2421" s="115" t="n">
        <x:v>16</x:v>
      </x:c>
      <x:c r="F2421" s="115" t="str">
        <x:v>Inspection physique</x:v>
      </x:c>
      <x:c r="G2421" s="115" t="str">
        <x:v>1 niveaux ; 32 pièces ; 248 segments de mur ; 0 transitions. Inspection physique ; architecture complète encore ouverte.</x:v>
      </x:c>
      <x:c r="H2421" s="115" t="str">
        <x:v>L 374 ; l 466 ; hauteur 18 m ; choix de composition auteur ; dimensions réelles à documenter</x:v>
      </x:c>
      <x:c r="I2421" s="115" t="str">
        <x:v>À équilibrer</x:v>
      </x:c>
      <x:c r="J2421" s="115" t="str">
        <x:v>Non</x:v>
      </x:c>
      <x:c r="K2421" s="115" t="str">
        <x:v>Pièces décrites, murs, portes, niveaux et mobilier inspectables à l’échelle. Volumes réservés, raccord au seed, butin, rencontres et services de campagne restent à terminer.</x:v>
      </x:c>
    </x:row>
    <x:row r="2422" ht="96" customHeight="1">
      <x:c r="A2422" s="115" t="str">
        <x:v>EXT-MONDE-T049-V17</x:v>
      </x:c>
      <x:c r="B2422" s="115" t="str">
        <x:v>EXT-MONDE-T049</x:v>
      </x:c>
      <x:c r="C2422" s="115" t="str">
        <x:v>Parcs attractions</x:v>
      </x:c>
      <x:c r="D2422" s="115" t="str">
        <x:v>Parc familial</x:v>
      </x:c>
      <x:c r="E2422" s="115" t="n">
        <x:v>17</x:v>
      </x:c>
      <x:c r="F2422" s="115" t="str">
        <x:v>Inspection physique</x:v>
      </x:c>
      <x:c r="G2422" s="115" t="str">
        <x:v>1 niveaux ; 32 pièces ; 248 segments de mur ; 0 transitions. Inspection physique ; architecture complète encore ouverte.</x:v>
      </x:c>
      <x:c r="H2422" s="115" t="str">
        <x:v>L 374 ; l 466 ; hauteur 18 m ; choix de composition auteur ; dimensions réelles à documenter</x:v>
      </x:c>
      <x:c r="I2422" s="115" t="str">
        <x:v>À équilibrer</x:v>
      </x:c>
      <x:c r="J2422" s="115" t="str">
        <x:v>Non</x:v>
      </x:c>
      <x:c r="K2422" s="115" t="str">
        <x:v>Pièces décrites, murs, portes, niveaux et mobilier inspectables à l’échelle. Volumes réservés, raccord au seed, butin, rencontres et services de campagne restent à terminer.</x:v>
      </x:c>
    </x:row>
    <x:row r="2423" ht="96" customHeight="1">
      <x:c r="A2423" s="115" t="str">
        <x:v>EXT-MONDE-T049-V18</x:v>
      </x:c>
      <x:c r="B2423" s="115" t="str">
        <x:v>EXT-MONDE-T049</x:v>
      </x:c>
      <x:c r="C2423" s="115" t="str">
        <x:v>Parcs attractions</x:v>
      </x:c>
      <x:c r="D2423" s="115" t="str">
        <x:v>Parc familial</x:v>
      </x:c>
      <x:c r="E2423" s="115" t="n">
        <x:v>18</x:v>
      </x:c>
      <x:c r="F2423" s="115" t="str">
        <x:v>Inspection physique</x:v>
      </x:c>
      <x:c r="G2423" s="115" t="str">
        <x:v>1 niveaux ; 32 pièces ; 248 segments de mur ; 0 transitions. Inspection physique ; architecture complète encore ouverte.</x:v>
      </x:c>
      <x:c r="H2423" s="115" t="str">
        <x:v>L 374 ; l 466 ; hauteur 18 m ; choix de composition auteur ; dimensions réelles à documenter</x:v>
      </x:c>
      <x:c r="I2423" s="115" t="str">
        <x:v>À équilibrer</x:v>
      </x:c>
      <x:c r="J2423" s="115" t="str">
        <x:v>Non</x:v>
      </x:c>
      <x:c r="K2423" s="115" t="str">
        <x:v>Pièces décrites, murs, portes, niveaux et mobilier inspectables à l’échelle. Volumes réservés, raccord au seed, butin, rencontres et services de campagne restent à terminer.</x:v>
      </x:c>
    </x:row>
    <x:row r="2424" ht="96" customHeight="1">
      <x:c r="A2424" s="115" t="str">
        <x:v>EXT-MONDE-T049-V19</x:v>
      </x:c>
      <x:c r="B2424" s="115" t="str">
        <x:v>EXT-MONDE-T049</x:v>
      </x:c>
      <x:c r="C2424" s="115" t="str">
        <x:v>Parcs attractions</x:v>
      </x:c>
      <x:c r="D2424" s="115" t="str">
        <x:v>Parc familial</x:v>
      </x:c>
      <x:c r="E2424" s="115" t="n">
        <x:v>19</x:v>
      </x:c>
      <x:c r="F2424" s="115" t="str">
        <x:v>Inspection physique</x:v>
      </x:c>
      <x:c r="G2424" s="115" t="str">
        <x:v>1 niveaux ; 32 pièces ; 248 segments de mur ; 0 transitions. Inspection physique ; architecture complète encore ouverte.</x:v>
      </x:c>
      <x:c r="H2424" s="115" t="str">
        <x:v>L 374 ; l 466 ; hauteur 18 m ; choix de composition auteur ; dimensions réelles à documenter</x:v>
      </x:c>
      <x:c r="I2424" s="115" t="str">
        <x:v>À équilibrer</x:v>
      </x:c>
      <x:c r="J2424" s="115" t="str">
        <x:v>Non</x:v>
      </x:c>
      <x:c r="K2424" s="115" t="str">
        <x:v>Pièces décrites, murs, portes, niveaux et mobilier inspectables à l’échelle. Volumes réservés, raccord au seed, butin, rencontres et services de campagne restent à terminer.</x:v>
      </x:c>
    </x:row>
    <x:row r="2425" ht="96" customHeight="1">
      <x:c r="A2425" s="115" t="str">
        <x:v>EXT-MONDE-T049-V20</x:v>
      </x:c>
      <x:c r="B2425" s="115" t="str">
        <x:v>EXT-MONDE-T049</x:v>
      </x:c>
      <x:c r="C2425" s="115" t="str">
        <x:v>Parcs attractions</x:v>
      </x:c>
      <x:c r="D2425" s="115" t="str">
        <x:v>Parc familial</x:v>
      </x:c>
      <x:c r="E2425" s="115" t="n">
        <x:v>20</x:v>
      </x:c>
      <x:c r="F2425" s="115" t="str">
        <x:v>Inspection physique</x:v>
      </x:c>
      <x:c r="G2425" s="115" t="str">
        <x:v>1 niveaux ; 32 pièces ; 248 segments de mur ; 0 transitions. Inspection physique ; architecture complète encore ouverte.</x:v>
      </x:c>
      <x:c r="H2425" s="115" t="str">
        <x:v>L 374 ; l 466 ; hauteur 18 m ; choix de composition auteur ; dimensions réelles à documenter</x:v>
      </x:c>
      <x:c r="I2425" s="115" t="str">
        <x:v>À équilibrer</x:v>
      </x:c>
      <x:c r="J2425" s="115" t="str">
        <x:v>Non</x:v>
      </x:c>
      <x:c r="K2425" s="115" t="str">
        <x:v>Pièces décrites, murs, portes, niveaux et mobilier inspectables à l’échelle. Volumes réservés, raccord au seed, butin, rencontres et services de campagne restent à terminer.</x:v>
      </x:c>
    </x:row>
    <x:row r="2426" ht="96" customHeight="1">
      <x:c r="A2426" s="115" t="str">
        <x:v>EXT-MONDE-T049-V21</x:v>
      </x:c>
      <x:c r="B2426" s="115" t="str">
        <x:v>EXT-MONDE-T049</x:v>
      </x:c>
      <x:c r="C2426" s="115" t="str">
        <x:v>Parcs attractions</x:v>
      </x:c>
      <x:c r="D2426" s="115" t="str">
        <x:v>Parc familial</x:v>
      </x:c>
      <x:c r="E2426" s="115" t="n">
        <x:v>21</x:v>
      </x:c>
      <x:c r="F2426" s="115" t="str">
        <x:v>Inspection physique</x:v>
      </x:c>
      <x:c r="G2426" s="115" t="str">
        <x:v>1 niveaux ; 32 pièces ; 248 segments de mur ; 0 transitions. Inspection physique ; architecture complète encore ouverte.</x:v>
      </x:c>
      <x:c r="H2426" s="115" t="str">
        <x:v>L 386 ; l 474 ; hauteur 18 m ; choix de composition auteur ; dimensions réelles à documenter</x:v>
      </x:c>
      <x:c r="I2426" s="115" t="str">
        <x:v>À équilibrer</x:v>
      </x:c>
      <x:c r="J2426" s="115" t="str">
        <x:v>Non</x:v>
      </x:c>
      <x:c r="K2426" s="115" t="str">
        <x:v>Pièces décrites, murs, portes, niveaux et mobilier inspectables à l’échelle. Volumes réservés, raccord au seed, butin, rencontres et services de campagne restent à terminer.</x:v>
      </x:c>
    </x:row>
    <x:row r="2427" ht="96" customHeight="1">
      <x:c r="A2427" s="115" t="str">
        <x:v>EXT-MONDE-T049-V22</x:v>
      </x:c>
      <x:c r="B2427" s="115" t="str">
        <x:v>EXT-MONDE-T049</x:v>
      </x:c>
      <x:c r="C2427" s="115" t="str">
        <x:v>Parcs attractions</x:v>
      </x:c>
      <x:c r="D2427" s="115" t="str">
        <x:v>Parc familial</x:v>
      </x:c>
      <x:c r="E2427" s="115" t="n">
        <x:v>22</x:v>
      </x:c>
      <x:c r="F2427" s="115" t="str">
        <x:v>Inspection physique</x:v>
      </x:c>
      <x:c r="G2427" s="115" t="str">
        <x:v>1 niveaux ; 32 pièces ; 248 segments de mur ; 0 transitions. Inspection physique ; architecture complète encore ouverte.</x:v>
      </x:c>
      <x:c r="H2427" s="115" t="str">
        <x:v>L 386 ; l 474 ; hauteur 18 m ; choix de composition auteur ; dimensions réelles à documenter</x:v>
      </x:c>
      <x:c r="I2427" s="115" t="str">
        <x:v>À équilibrer</x:v>
      </x:c>
      <x:c r="J2427" s="115" t="str">
        <x:v>Non</x:v>
      </x:c>
      <x:c r="K2427" s="115" t="str">
        <x:v>Pièces décrites, murs, portes, niveaux et mobilier inspectables à l’échelle. Volumes réservés, raccord au seed, butin, rencontres et services de campagne restent à terminer.</x:v>
      </x:c>
    </x:row>
    <x:row r="2428" ht="96" customHeight="1">
      <x:c r="A2428" s="115" t="str">
        <x:v>EXT-MONDE-T049-V23</x:v>
      </x:c>
      <x:c r="B2428" s="115" t="str">
        <x:v>EXT-MONDE-T049</x:v>
      </x:c>
      <x:c r="C2428" s="115" t="str">
        <x:v>Parcs attractions</x:v>
      </x:c>
      <x:c r="D2428" s="115" t="str">
        <x:v>Parc familial</x:v>
      </x:c>
      <x:c r="E2428" s="115" t="n">
        <x:v>23</x:v>
      </x:c>
      <x:c r="F2428" s="115" t="str">
        <x:v>Inspection physique</x:v>
      </x:c>
      <x:c r="G2428" s="115" t="str">
        <x:v>1 niveaux ; 32 pièces ; 248 segments de mur ; 0 transitions. Inspection physique ; architecture complète encore ouverte.</x:v>
      </x:c>
      <x:c r="H2428" s="115" t="str">
        <x:v>L 386 ; l 474 ; hauteur 18 m ; choix de composition auteur ; dimensions réelles à documenter</x:v>
      </x:c>
      <x:c r="I2428" s="115" t="str">
        <x:v>À équilibrer</x:v>
      </x:c>
      <x:c r="J2428" s="115" t="str">
        <x:v>Non</x:v>
      </x:c>
      <x:c r="K2428" s="115" t="str">
        <x:v>Pièces décrites, murs, portes, niveaux et mobilier inspectables à l’échelle. Volumes réservés, raccord au seed, butin, rencontres et services de campagne restent à terminer.</x:v>
      </x:c>
    </x:row>
    <x:row r="2429" ht="96" customHeight="1">
      <x:c r="A2429" s="115" t="str">
        <x:v>EXT-MONDE-T049-V24</x:v>
      </x:c>
      <x:c r="B2429" s="115" t="str">
        <x:v>EXT-MONDE-T049</x:v>
      </x:c>
      <x:c r="C2429" s="115" t="str">
        <x:v>Parcs attractions</x:v>
      </x:c>
      <x:c r="D2429" s="115" t="str">
        <x:v>Parc familial</x:v>
      </x:c>
      <x:c r="E2429" s="115" t="n">
        <x:v>24</x:v>
      </x:c>
      <x:c r="F2429" s="115" t="str">
        <x:v>Inspection physique</x:v>
      </x:c>
      <x:c r="G2429" s="115" t="str">
        <x:v>1 niveaux ; 32 pièces ; 248 segments de mur ; 0 transitions. Inspection physique ; architecture complète encore ouverte.</x:v>
      </x:c>
      <x:c r="H2429" s="115" t="str">
        <x:v>L 386 ; l 474 ; hauteur 18 m ; choix de composition auteur ; dimensions réelles à documenter</x:v>
      </x:c>
      <x:c r="I2429" s="115" t="str">
        <x:v>À équilibrer</x:v>
      </x:c>
      <x:c r="J2429" s="115" t="str">
        <x:v>Non</x:v>
      </x:c>
      <x:c r="K2429" s="115" t="str">
        <x:v>Pièces décrites, murs, portes, niveaux et mobilier inspectables à l’échelle. Volumes réservés, raccord au seed, butin, rencontres et services de campagne restent à terminer.</x:v>
      </x:c>
    </x:row>
    <x:row r="2430" ht="96" customHeight="1">
      <x:c r="A2430" s="115" t="str">
        <x:v>EXT-MONDE-T049-V25</x:v>
      </x:c>
      <x:c r="B2430" s="115" t="str">
        <x:v>EXT-MONDE-T049</x:v>
      </x:c>
      <x:c r="C2430" s="115" t="str">
        <x:v>Parcs attractions</x:v>
      </x:c>
      <x:c r="D2430" s="115" t="str">
        <x:v>Parc familial</x:v>
      </x:c>
      <x:c r="E2430" s="115" t="n">
        <x:v>25</x:v>
      </x:c>
      <x:c r="F2430" s="115" t="str">
        <x:v>Inspection physique</x:v>
      </x:c>
      <x:c r="G2430" s="115" t="str">
        <x:v>1 niveaux ; 32 pièces ; 248 segments de mur ; 0 transitions. Inspection physique ; architecture complète encore ouverte.</x:v>
      </x:c>
      <x:c r="H2430" s="115" t="str">
        <x:v>L 386 ; l 474 ; hauteur 18 m ; choix de composition auteur ; dimensions réelles à documenter</x:v>
      </x:c>
      <x:c r="I2430" s="115" t="str">
        <x:v>À équilibrer</x:v>
      </x:c>
      <x:c r="J2430" s="115" t="str">
        <x:v>Non</x:v>
      </x:c>
      <x:c r="K2430" s="115" t="str">
        <x:v>Pièces décrites, murs, portes, niveaux et mobilier inspectables à l’échelle. Volumes réservés, raccord au seed, butin, rencontres et services de campagne restent à terminer.</x:v>
      </x:c>
    </x:row>
    <x:row r="2431" ht="96" customHeight="1">
      <x:c r="A2431" s="115" t="str">
        <x:v>EXT-MONDE-T049-V26</x:v>
      </x:c>
      <x:c r="B2431" s="115" t="str">
        <x:v>EXT-MONDE-T049</x:v>
      </x:c>
      <x:c r="C2431" s="115" t="str">
        <x:v>Parcs attractions</x:v>
      </x:c>
      <x:c r="D2431" s="115" t="str">
        <x:v>Parc familial</x:v>
      </x:c>
      <x:c r="E2431" s="115" t="n">
        <x:v>26</x:v>
      </x:c>
      <x:c r="F2431" s="115" t="str">
        <x:v>Inspection physique</x:v>
      </x:c>
      <x:c r="G2431" s="115" t="str">
        <x:v>1 niveaux ; 32 pièces ; 248 segments de mur ; 0 transitions. Inspection physique ; architecture complète encore ouverte.</x:v>
      </x:c>
      <x:c r="H2431" s="115" t="str">
        <x:v>L 386 ; l 474 ; hauteur 18 m ; choix de composition auteur ; dimensions réelles à documenter</x:v>
      </x:c>
      <x:c r="I2431" s="115" t="str">
        <x:v>À équilibrer</x:v>
      </x:c>
      <x:c r="J2431" s="115" t="str">
        <x:v>Non</x:v>
      </x:c>
      <x:c r="K2431" s="115" t="str">
        <x:v>Pièces décrites, murs, portes, niveaux et mobilier inspectables à l’échelle. Volumes réservés, raccord au seed, butin, rencontres et services de campagne restent à terminer.</x:v>
      </x:c>
    </x:row>
    <x:row r="2432" ht="96" customHeight="1">
      <x:c r="A2432" s="115" t="str">
        <x:v>EXT-MONDE-T049-V27</x:v>
      </x:c>
      <x:c r="B2432" s="115" t="str">
        <x:v>EXT-MONDE-T049</x:v>
      </x:c>
      <x:c r="C2432" s="115" t="str">
        <x:v>Parcs attractions</x:v>
      </x:c>
      <x:c r="D2432" s="115" t="str">
        <x:v>Parc familial</x:v>
      </x:c>
      <x:c r="E2432" s="115" t="n">
        <x:v>27</x:v>
      </x:c>
      <x:c r="F2432" s="115" t="str">
        <x:v>Inspection physique</x:v>
      </x:c>
      <x:c r="G2432" s="115" t="str">
        <x:v>1 niveaux ; 32 pièces ; 248 segments de mur ; 0 transitions. Inspection physique ; architecture complète encore ouverte.</x:v>
      </x:c>
      <x:c r="H2432" s="115" t="str">
        <x:v>L 386 ; l 474 ; hauteur 18 m ; choix de composition auteur ; dimensions réelles à documenter</x:v>
      </x:c>
      <x:c r="I2432" s="115" t="str">
        <x:v>À équilibrer</x:v>
      </x:c>
      <x:c r="J2432" s="115" t="str">
        <x:v>Non</x:v>
      </x:c>
      <x:c r="K2432" s="115" t="str">
        <x:v>Pièces décrites, murs, portes, niveaux et mobilier inspectables à l’échelle. Volumes réservés, raccord au seed, butin, rencontres et services de campagne restent à terminer.</x:v>
      </x:c>
    </x:row>
    <x:row r="2433" ht="96" customHeight="1">
      <x:c r="A2433" s="115" t="str">
        <x:v>EXT-MONDE-T049-V28</x:v>
      </x:c>
      <x:c r="B2433" s="115" t="str">
        <x:v>EXT-MONDE-T049</x:v>
      </x:c>
      <x:c r="C2433" s="115" t="str">
        <x:v>Parcs attractions</x:v>
      </x:c>
      <x:c r="D2433" s="115" t="str">
        <x:v>Parc familial</x:v>
      </x:c>
      <x:c r="E2433" s="115" t="n">
        <x:v>28</x:v>
      </x:c>
      <x:c r="F2433" s="115" t="str">
        <x:v>Inspection physique</x:v>
      </x:c>
      <x:c r="G2433" s="115" t="str">
        <x:v>1 niveaux ; 32 pièces ; 248 segments de mur ; 0 transitions. Inspection physique ; architecture complète encore ouverte.</x:v>
      </x:c>
      <x:c r="H2433" s="115" t="str">
        <x:v>L 386 ; l 474 ; hauteur 18 m ; choix de composition auteur ; dimensions réelles à documenter</x:v>
      </x:c>
      <x:c r="I2433" s="115" t="str">
        <x:v>À équilibrer</x:v>
      </x:c>
      <x:c r="J2433" s="115" t="str">
        <x:v>Non</x:v>
      </x:c>
      <x:c r="K2433" s="115" t="str">
        <x:v>Pièces décrites, murs, portes, niveaux et mobilier inspectables à l’échelle. Volumes réservés, raccord au seed, butin, rencontres et services de campagne restent à terminer.</x:v>
      </x:c>
    </x:row>
    <x:row r="2434" ht="96" customHeight="1">
      <x:c r="A2434" s="115" t="str">
        <x:v>EXT-MONDE-T049-V29</x:v>
      </x:c>
      <x:c r="B2434" s="115" t="str">
        <x:v>EXT-MONDE-T049</x:v>
      </x:c>
      <x:c r="C2434" s="115" t="str">
        <x:v>Parcs attractions</x:v>
      </x:c>
      <x:c r="D2434" s="115" t="str">
        <x:v>Parc familial</x:v>
      </x:c>
      <x:c r="E2434" s="115" t="n">
        <x:v>29</x:v>
      </x:c>
      <x:c r="F2434" s="115" t="str">
        <x:v>Inspection physique</x:v>
      </x:c>
      <x:c r="G2434" s="115" t="str">
        <x:v>1 niveaux ; 32 pièces ; 248 segments de mur ; 0 transitions. Inspection physique ; architecture complète encore ouverte.</x:v>
      </x:c>
      <x:c r="H2434" s="115" t="str">
        <x:v>L 386 ; l 474 ; hauteur 18 m ; choix de composition auteur ; dimensions réelles à documenter</x:v>
      </x:c>
      <x:c r="I2434" s="115" t="str">
        <x:v>À équilibrer</x:v>
      </x:c>
      <x:c r="J2434" s="115" t="str">
        <x:v>Non</x:v>
      </x:c>
      <x:c r="K2434" s="115" t="str">
        <x:v>Pièces décrites, murs, portes, niveaux et mobilier inspectables à l’échelle. Volumes réservés, raccord au seed, butin, rencontres et services de campagne restent à terminer.</x:v>
      </x:c>
    </x:row>
    <x:row r="2435" ht="96" customHeight="1">
      <x:c r="A2435" s="115" t="str">
        <x:v>EXT-MONDE-T049-V30</x:v>
      </x:c>
      <x:c r="B2435" s="115" t="str">
        <x:v>EXT-MONDE-T049</x:v>
      </x:c>
      <x:c r="C2435" s="115" t="str">
        <x:v>Parcs attractions</x:v>
      </x:c>
      <x:c r="D2435" s="115" t="str">
        <x:v>Parc familial</x:v>
      </x:c>
      <x:c r="E2435" s="115" t="n">
        <x:v>30</x:v>
      </x:c>
      <x:c r="F2435" s="115" t="str">
        <x:v>Inspection physique</x:v>
      </x:c>
      <x:c r="G2435" s="115" t="str">
        <x:v>1 niveaux ; 32 pièces ; 248 segments de mur ; 0 transitions. Inspection physique ; architecture complète encore ouverte.</x:v>
      </x:c>
      <x:c r="H2435" s="115" t="str">
        <x:v>L 386 ; l 474 ; hauteur 18 m ; choix de composition auteur ; dimensions réelles à documenter</x:v>
      </x:c>
      <x:c r="I2435" s="115" t="str">
        <x:v>À équilibrer</x:v>
      </x:c>
      <x:c r="J2435" s="115" t="str">
        <x:v>Non</x:v>
      </x:c>
      <x:c r="K2435" s="115" t="str">
        <x:v>Pièces décrites, murs, portes, niveaux et mobilier inspectables à l’échelle. Volumes réservés, raccord au seed, butin, rencontres et services de campagne restent à terminer.</x:v>
      </x:c>
    </x:row>
    <x:row r="2436" ht="96" customHeight="1">
      <x:c r="A2436" s="115" t="str">
        <x:v>EXT-MONDE-T049-V31</x:v>
      </x:c>
      <x:c r="B2436" s="115" t="str">
        <x:v>EXT-MONDE-T049</x:v>
      </x:c>
      <x:c r="C2436" s="115" t="str">
        <x:v>Parcs attractions</x:v>
      </x:c>
      <x:c r="D2436" s="115" t="str">
        <x:v>Parc familial</x:v>
      </x:c>
      <x:c r="E2436" s="115" t="n">
        <x:v>31</x:v>
      </x:c>
      <x:c r="F2436" s="115" t="str">
        <x:v>Inspection physique</x:v>
      </x:c>
      <x:c r="G2436" s="115" t="str">
        <x:v>1 niveaux ; 32 pièces ; 248 segments de mur ; 0 transitions. Inspection physique ; architecture complète encore ouverte.</x:v>
      </x:c>
      <x:c r="H2436" s="115" t="str">
        <x:v>L 398 ; l 482 ; hauteur 18 m ; choix de composition auteur ; dimensions réelles à documenter</x:v>
      </x:c>
      <x:c r="I2436" s="115" t="str">
        <x:v>À équilibrer</x:v>
      </x:c>
      <x:c r="J2436" s="115" t="str">
        <x:v>Non</x:v>
      </x:c>
      <x:c r="K2436" s="115" t="str">
        <x:v>Pièces décrites, murs, portes, niveaux et mobilier inspectables à l’échelle. Volumes réservés, raccord au seed, butin, rencontres et services de campagne restent à terminer.</x:v>
      </x:c>
    </x:row>
    <x:row r="2437" ht="96" customHeight="1">
      <x:c r="A2437" s="115" t="str">
        <x:v>EXT-MONDE-T049-V32</x:v>
      </x:c>
      <x:c r="B2437" s="115" t="str">
        <x:v>EXT-MONDE-T049</x:v>
      </x:c>
      <x:c r="C2437" s="115" t="str">
        <x:v>Parcs attractions</x:v>
      </x:c>
      <x:c r="D2437" s="115" t="str">
        <x:v>Parc familial</x:v>
      </x:c>
      <x:c r="E2437" s="115" t="n">
        <x:v>32</x:v>
      </x:c>
      <x:c r="F2437" s="115" t="str">
        <x:v>Inspection physique</x:v>
      </x:c>
      <x:c r="G2437" s="115" t="str">
        <x:v>1 niveaux ; 32 pièces ; 248 segments de mur ; 0 transitions. Inspection physique ; architecture complète encore ouverte.</x:v>
      </x:c>
      <x:c r="H2437" s="115" t="str">
        <x:v>L 398 ; l 482 ; hauteur 18 m ; choix de composition auteur ; dimensions réelles à documenter</x:v>
      </x:c>
      <x:c r="I2437" s="115" t="str">
        <x:v>À équilibrer</x:v>
      </x:c>
      <x:c r="J2437" s="115" t="str">
        <x:v>Non</x:v>
      </x:c>
      <x:c r="K2437" s="115" t="str">
        <x:v>Pièces décrites, murs, portes, niveaux et mobilier inspectables à l’échelle. Volumes réservés, raccord au seed, butin, rencontres et services de campagne restent à terminer.</x:v>
      </x:c>
    </x:row>
    <x:row r="2438" ht="96" customHeight="1">
      <x:c r="A2438" s="115" t="str">
        <x:v>EXT-MONDE-T049-V33</x:v>
      </x:c>
      <x:c r="B2438" s="115" t="str">
        <x:v>EXT-MONDE-T049</x:v>
      </x:c>
      <x:c r="C2438" s="115" t="str">
        <x:v>Parcs attractions</x:v>
      </x:c>
      <x:c r="D2438" s="115" t="str">
        <x:v>Parc familial</x:v>
      </x:c>
      <x:c r="E2438" s="115" t="n">
        <x:v>33</x:v>
      </x:c>
      <x:c r="F2438" s="115" t="str">
        <x:v>Inspection physique</x:v>
      </x:c>
      <x:c r="G2438" s="115" t="str">
        <x:v>1 niveaux ; 32 pièces ; 248 segments de mur ; 0 transitions. Inspection physique ; architecture complète encore ouverte.</x:v>
      </x:c>
      <x:c r="H2438" s="115" t="str">
        <x:v>L 398 ; l 482 ; hauteur 18 m ; choix de composition auteur ; dimensions réelles à documenter</x:v>
      </x:c>
      <x:c r="I2438" s="115" t="str">
        <x:v>À équilibrer</x:v>
      </x:c>
      <x:c r="J2438" s="115" t="str">
        <x:v>Non</x:v>
      </x:c>
      <x:c r="K2438" s="115" t="str">
        <x:v>Pièces décrites, murs, portes, niveaux et mobilier inspectables à l’échelle. Volumes réservés, raccord au seed, butin, rencontres et services de campagne restent à terminer.</x:v>
      </x:c>
    </x:row>
    <x:row r="2439" ht="96" customHeight="1">
      <x:c r="A2439" s="115" t="str">
        <x:v>EXT-MONDE-T049-V34</x:v>
      </x:c>
      <x:c r="B2439" s="115" t="str">
        <x:v>EXT-MONDE-T049</x:v>
      </x:c>
      <x:c r="C2439" s="115" t="str">
        <x:v>Parcs attractions</x:v>
      </x:c>
      <x:c r="D2439" s="115" t="str">
        <x:v>Parc familial</x:v>
      </x:c>
      <x:c r="E2439" s="115" t="n">
        <x:v>34</x:v>
      </x:c>
      <x:c r="F2439" s="115" t="str">
        <x:v>Inspection physique</x:v>
      </x:c>
      <x:c r="G2439" s="115" t="str">
        <x:v>1 niveaux ; 32 pièces ; 248 segments de mur ; 0 transitions. Inspection physique ; architecture complète encore ouverte.</x:v>
      </x:c>
      <x:c r="H2439" s="115" t="str">
        <x:v>L 398 ; l 482 ; hauteur 18 m ; choix de composition auteur ; dimensions réelles à documenter</x:v>
      </x:c>
      <x:c r="I2439" s="115" t="str">
        <x:v>À équilibrer</x:v>
      </x:c>
      <x:c r="J2439" s="115" t="str">
        <x:v>Non</x:v>
      </x:c>
      <x:c r="K2439" s="115" t="str">
        <x:v>Pièces décrites, murs, portes, niveaux et mobilier inspectables à l’échelle. Volumes réservés, raccord au seed, butin, rencontres et services de campagne restent à terminer.</x:v>
      </x:c>
    </x:row>
    <x:row r="2440" ht="96" customHeight="1">
      <x:c r="A2440" s="115" t="str">
        <x:v>EXT-MONDE-T049-V35</x:v>
      </x:c>
      <x:c r="B2440" s="115" t="str">
        <x:v>EXT-MONDE-T049</x:v>
      </x:c>
      <x:c r="C2440" s="115" t="str">
        <x:v>Parcs attractions</x:v>
      </x:c>
      <x:c r="D2440" s="115" t="str">
        <x:v>Parc familial</x:v>
      </x:c>
      <x:c r="E2440" s="115" t="n">
        <x:v>35</x:v>
      </x:c>
      <x:c r="F2440" s="115" t="str">
        <x:v>Inspection physique</x:v>
      </x:c>
      <x:c r="G2440" s="115" t="str">
        <x:v>1 niveaux ; 32 pièces ; 248 segments de mur ; 0 transitions. Inspection physique ; architecture complète encore ouverte.</x:v>
      </x:c>
      <x:c r="H2440" s="115" t="str">
        <x:v>L 398 ; l 482 ; hauteur 18 m ; choix de composition auteur ; dimensions réelles à documenter</x:v>
      </x:c>
      <x:c r="I2440" s="115" t="str">
        <x:v>À équilibrer</x:v>
      </x:c>
      <x:c r="J2440" s="115" t="str">
        <x:v>Non</x:v>
      </x:c>
      <x:c r="K2440" s="115" t="str">
        <x:v>Pièces décrites, murs, portes, niveaux et mobilier inspectables à l’échelle. Volumes réservés, raccord au seed, butin, rencontres et services de campagne restent à terminer.</x:v>
      </x:c>
    </x:row>
    <x:row r="2441" ht="96" customHeight="1">
      <x:c r="A2441" s="115" t="str">
        <x:v>EXT-MONDE-T049-V36</x:v>
      </x:c>
      <x:c r="B2441" s="115" t="str">
        <x:v>EXT-MONDE-T049</x:v>
      </x:c>
      <x:c r="C2441" s="115" t="str">
        <x:v>Parcs attractions</x:v>
      </x:c>
      <x:c r="D2441" s="115" t="str">
        <x:v>Parc familial</x:v>
      </x:c>
      <x:c r="E2441" s="115" t="n">
        <x:v>36</x:v>
      </x:c>
      <x:c r="F2441" s="115" t="str">
        <x:v>Inspection physique</x:v>
      </x:c>
      <x:c r="G2441" s="115" t="str">
        <x:v>1 niveaux ; 32 pièces ; 248 segments de mur ; 0 transitions. Inspection physique ; architecture complète encore ouverte.</x:v>
      </x:c>
      <x:c r="H2441" s="115" t="str">
        <x:v>L 398 ; l 482 ; hauteur 18 m ; choix de composition auteur ; dimensions réelles à documenter</x:v>
      </x:c>
      <x:c r="I2441" s="115" t="str">
        <x:v>À équilibrer</x:v>
      </x:c>
      <x:c r="J2441" s="115" t="str">
        <x:v>Non</x:v>
      </x:c>
      <x:c r="K2441" s="115" t="str">
        <x:v>Pièces décrites, murs, portes, niveaux et mobilier inspectables à l’échelle. Volumes réservés, raccord au seed, butin, rencontres et services de campagne restent à terminer.</x:v>
      </x:c>
    </x:row>
    <x:row r="2442" ht="96" customHeight="1">
      <x:c r="A2442" s="115" t="str">
        <x:v>EXT-MONDE-T049-V37</x:v>
      </x:c>
      <x:c r="B2442" s="115" t="str">
        <x:v>EXT-MONDE-T049</x:v>
      </x:c>
      <x:c r="C2442" s="115" t="str">
        <x:v>Parcs attractions</x:v>
      </x:c>
      <x:c r="D2442" s="115" t="str">
        <x:v>Parc familial</x:v>
      </x:c>
      <x:c r="E2442" s="115" t="n">
        <x:v>37</x:v>
      </x:c>
      <x:c r="F2442" s="115" t="str">
        <x:v>Inspection physique</x:v>
      </x:c>
      <x:c r="G2442" s="115" t="str">
        <x:v>1 niveaux ; 32 pièces ; 248 segments de mur ; 0 transitions. Inspection physique ; architecture complète encore ouverte.</x:v>
      </x:c>
      <x:c r="H2442" s="115" t="str">
        <x:v>L 398 ; l 482 ; hauteur 18 m ; choix de composition auteur ; dimensions réelles à documenter</x:v>
      </x:c>
      <x:c r="I2442" s="115" t="str">
        <x:v>À équilibrer</x:v>
      </x:c>
      <x:c r="J2442" s="115" t="str">
        <x:v>Non</x:v>
      </x:c>
      <x:c r="K2442" s="115" t="str">
        <x:v>Pièces décrites, murs, portes, niveaux et mobilier inspectables à l’échelle. Volumes réservés, raccord au seed, butin, rencontres et services de campagne restent à terminer.</x:v>
      </x:c>
    </x:row>
    <x:row r="2443" ht="96" customHeight="1">
      <x:c r="A2443" s="115" t="str">
        <x:v>EXT-MONDE-T049-V38</x:v>
      </x:c>
      <x:c r="B2443" s="115" t="str">
        <x:v>EXT-MONDE-T049</x:v>
      </x:c>
      <x:c r="C2443" s="115" t="str">
        <x:v>Parcs attractions</x:v>
      </x:c>
      <x:c r="D2443" s="115" t="str">
        <x:v>Parc familial</x:v>
      </x:c>
      <x:c r="E2443" s="115" t="n">
        <x:v>38</x:v>
      </x:c>
      <x:c r="F2443" s="115" t="str">
        <x:v>Inspection physique</x:v>
      </x:c>
      <x:c r="G2443" s="115" t="str">
        <x:v>1 niveaux ; 32 pièces ; 248 segments de mur ; 0 transitions. Inspection physique ; architecture complète encore ouverte.</x:v>
      </x:c>
      <x:c r="H2443" s="115" t="str">
        <x:v>L 398 ; l 482 ; hauteur 18 m ; choix de composition auteur ; dimensions réelles à documenter</x:v>
      </x:c>
      <x:c r="I2443" s="115" t="str">
        <x:v>À équilibrer</x:v>
      </x:c>
      <x:c r="J2443" s="115" t="str">
        <x:v>Non</x:v>
      </x:c>
      <x:c r="K2443" s="115" t="str">
        <x:v>Pièces décrites, murs, portes, niveaux et mobilier inspectables à l’échelle. Volumes réservés, raccord au seed, butin, rencontres et services de campagne restent à terminer.</x:v>
      </x:c>
    </x:row>
    <x:row r="2444" ht="96" customHeight="1">
      <x:c r="A2444" s="115" t="str">
        <x:v>EXT-MONDE-T049-V39</x:v>
      </x:c>
      <x:c r="B2444" s="115" t="str">
        <x:v>EXT-MONDE-T049</x:v>
      </x:c>
      <x:c r="C2444" s="115" t="str">
        <x:v>Parcs attractions</x:v>
      </x:c>
      <x:c r="D2444" s="115" t="str">
        <x:v>Parc familial</x:v>
      </x:c>
      <x:c r="E2444" s="115" t="n">
        <x:v>39</x:v>
      </x:c>
      <x:c r="F2444" s="115" t="str">
        <x:v>Inspection physique</x:v>
      </x:c>
      <x:c r="G2444" s="115" t="str">
        <x:v>1 niveaux ; 32 pièces ; 248 segments de mur ; 0 transitions. Inspection physique ; architecture complète encore ouverte.</x:v>
      </x:c>
      <x:c r="H2444" s="115" t="str">
        <x:v>L 398 ; l 482 ; hauteur 18 m ; choix de composition auteur ; dimensions réelles à documenter</x:v>
      </x:c>
      <x:c r="I2444" s="115" t="str">
        <x:v>À équilibrer</x:v>
      </x:c>
      <x:c r="J2444" s="115" t="str">
        <x:v>Non</x:v>
      </x:c>
      <x:c r="K2444" s="115" t="str">
        <x:v>Pièces décrites, murs, portes, niveaux et mobilier inspectables à l’échelle. Volumes réservés, raccord au seed, butin, rencontres et services de campagne restent à terminer.</x:v>
      </x:c>
    </x:row>
    <x:row r="2445" ht="96" customHeight="1">
      <x:c r="A2445" s="115" t="str">
        <x:v>EXT-MONDE-T049-V40</x:v>
      </x:c>
      <x:c r="B2445" s="115" t="str">
        <x:v>EXT-MONDE-T049</x:v>
      </x:c>
      <x:c r="C2445" s="115" t="str">
        <x:v>Parcs attractions</x:v>
      </x:c>
      <x:c r="D2445" s="115" t="str">
        <x:v>Parc familial</x:v>
      </x:c>
      <x:c r="E2445" s="115" t="n">
        <x:v>40</x:v>
      </x:c>
      <x:c r="F2445" s="115" t="str">
        <x:v>Inspection physique</x:v>
      </x:c>
      <x:c r="G2445" s="115" t="str">
        <x:v>1 niveaux ; 32 pièces ; 248 segments de mur ; 0 transitions. Inspection physique ; architecture complète encore ouverte.</x:v>
      </x:c>
      <x:c r="H2445" s="115" t="str">
        <x:v>L 398 ; l 482 ; hauteur 18 m ; choix de composition auteur ; dimensions réelles à documenter</x:v>
      </x:c>
      <x:c r="I2445" s="115" t="str">
        <x:v>À équilibrer</x:v>
      </x:c>
      <x:c r="J2445" s="115" t="str">
        <x:v>Non</x:v>
      </x:c>
      <x:c r="K2445" s="115" t="str">
        <x:v>Pièces décrites, murs, portes, niveaux et mobilier inspectables à l’échelle. Volumes réservés, raccord au seed, butin, rencontres et services de campagne restent à terminer.</x:v>
      </x:c>
    </x:row>
    <x:row r="2446" ht="96" customHeight="1">
      <x:c r="A2446" s="115" t="str">
        <x:v>EXT-MONDE-T049-V41</x:v>
      </x:c>
      <x:c r="B2446" s="115" t="str">
        <x:v>EXT-MONDE-T049</x:v>
      </x:c>
      <x:c r="C2446" s="115" t="str">
        <x:v>Parcs attractions</x:v>
      </x:c>
      <x:c r="D2446" s="115" t="str">
        <x:v>Parc familial</x:v>
      </x:c>
      <x:c r="E2446" s="115" t="n">
        <x:v>41</x:v>
      </x:c>
      <x:c r="F2446" s="115" t="str">
        <x:v>Inspection physique</x:v>
      </x:c>
      <x:c r="G2446" s="115" t="str">
        <x:v>1 niveaux ; 32 pièces ; 248 segments de mur ; 0 transitions. Inspection physique ; architecture complète encore ouverte.</x:v>
      </x:c>
      <x:c r="H2446" s="115" t="str">
        <x:v>L 410 ; l 490 ; hauteur 18 m ; choix de composition auteur ; dimensions réelles à documenter</x:v>
      </x:c>
      <x:c r="I2446" s="115" t="str">
        <x:v>À équilibrer</x:v>
      </x:c>
      <x:c r="J2446" s="115" t="str">
        <x:v>Non</x:v>
      </x:c>
      <x:c r="K2446" s="115" t="str">
        <x:v>Pièces décrites, murs, portes, niveaux et mobilier inspectables à l’échelle. Volumes réservés, raccord au seed, butin, rencontres et services de campagne restent à terminer.</x:v>
      </x:c>
    </x:row>
    <x:row r="2447" ht="96" customHeight="1">
      <x:c r="A2447" s="115" t="str">
        <x:v>EXT-MONDE-T049-V42</x:v>
      </x:c>
      <x:c r="B2447" s="115" t="str">
        <x:v>EXT-MONDE-T049</x:v>
      </x:c>
      <x:c r="C2447" s="115" t="str">
        <x:v>Parcs attractions</x:v>
      </x:c>
      <x:c r="D2447" s="115" t="str">
        <x:v>Parc familial</x:v>
      </x:c>
      <x:c r="E2447" s="115" t="n">
        <x:v>42</x:v>
      </x:c>
      <x:c r="F2447" s="115" t="str">
        <x:v>Inspection physique</x:v>
      </x:c>
      <x:c r="G2447" s="115" t="str">
        <x:v>1 niveaux ; 32 pièces ; 248 segments de mur ; 0 transitions. Inspection physique ; architecture complète encore ouverte.</x:v>
      </x:c>
      <x:c r="H2447" s="115" t="str">
        <x:v>L 410 ; l 490 ; hauteur 18 m ; choix de composition auteur ; dimensions réelles à documenter</x:v>
      </x:c>
      <x:c r="I2447" s="115" t="str">
        <x:v>À équilibrer</x:v>
      </x:c>
      <x:c r="J2447" s="115" t="str">
        <x:v>Non</x:v>
      </x:c>
      <x:c r="K2447" s="115" t="str">
        <x:v>Pièces décrites, murs, portes, niveaux et mobilier inspectables à l’échelle. Volumes réservés, raccord au seed, butin, rencontres et services de campagne restent à terminer.</x:v>
      </x:c>
    </x:row>
    <x:row r="2448" ht="96" customHeight="1">
      <x:c r="A2448" s="115" t="str">
        <x:v>EXT-MONDE-T049-V43</x:v>
      </x:c>
      <x:c r="B2448" s="115" t="str">
        <x:v>EXT-MONDE-T049</x:v>
      </x:c>
      <x:c r="C2448" s="115" t="str">
        <x:v>Parcs attractions</x:v>
      </x:c>
      <x:c r="D2448" s="115" t="str">
        <x:v>Parc familial</x:v>
      </x:c>
      <x:c r="E2448" s="115" t="n">
        <x:v>43</x:v>
      </x:c>
      <x:c r="F2448" s="115" t="str">
        <x:v>Inspection physique</x:v>
      </x:c>
      <x:c r="G2448" s="115" t="str">
        <x:v>1 niveaux ; 32 pièces ; 248 segments de mur ; 0 transitions. Inspection physique ; architecture complète encore ouverte.</x:v>
      </x:c>
      <x:c r="H2448" s="115" t="str">
        <x:v>L 410 ; l 490 ; hauteur 18 m ; choix de composition auteur ; dimensions réelles à documenter</x:v>
      </x:c>
      <x:c r="I2448" s="115" t="str">
        <x:v>À équilibrer</x:v>
      </x:c>
      <x:c r="J2448" s="115" t="str">
        <x:v>Non</x:v>
      </x:c>
      <x:c r="K2448" s="115" t="str">
        <x:v>Pièces décrites, murs, portes, niveaux et mobilier inspectables à l’échelle. Volumes réservés, raccord au seed, butin, rencontres et services de campagne restent à terminer.</x:v>
      </x:c>
    </x:row>
    <x:row r="2449" ht="96" customHeight="1">
      <x:c r="A2449" s="115" t="str">
        <x:v>EXT-MONDE-T049-V44</x:v>
      </x:c>
      <x:c r="B2449" s="115" t="str">
        <x:v>EXT-MONDE-T049</x:v>
      </x:c>
      <x:c r="C2449" s="115" t="str">
        <x:v>Parcs attractions</x:v>
      </x:c>
      <x:c r="D2449" s="115" t="str">
        <x:v>Parc familial</x:v>
      </x:c>
      <x:c r="E2449" s="115" t="n">
        <x:v>44</x:v>
      </x:c>
      <x:c r="F2449" s="115" t="str">
        <x:v>Inspection physique</x:v>
      </x:c>
      <x:c r="G2449" s="115" t="str">
        <x:v>1 niveaux ; 32 pièces ; 248 segments de mur ; 0 transitions. Inspection physique ; architecture complète encore ouverte.</x:v>
      </x:c>
      <x:c r="H2449" s="115" t="str">
        <x:v>L 410 ; l 490 ; hauteur 18 m ; choix de composition auteur ; dimensions réelles à documenter</x:v>
      </x:c>
      <x:c r="I2449" s="115" t="str">
        <x:v>À équilibrer</x:v>
      </x:c>
      <x:c r="J2449" s="115" t="str">
        <x:v>Non</x:v>
      </x:c>
      <x:c r="K2449" s="115" t="str">
        <x:v>Pièces décrites, murs, portes, niveaux et mobilier inspectables à l’échelle. Volumes réservés, raccord au seed, butin, rencontres et services de campagne restent à terminer.</x:v>
      </x:c>
    </x:row>
    <x:row r="2450" ht="96" customHeight="1">
      <x:c r="A2450" s="115" t="str">
        <x:v>EXT-MONDE-T049-V45</x:v>
      </x:c>
      <x:c r="B2450" s="115" t="str">
        <x:v>EXT-MONDE-T049</x:v>
      </x:c>
      <x:c r="C2450" s="115" t="str">
        <x:v>Parcs attractions</x:v>
      </x:c>
      <x:c r="D2450" s="115" t="str">
        <x:v>Parc familial</x:v>
      </x:c>
      <x:c r="E2450" s="115" t="n">
        <x:v>45</x:v>
      </x:c>
      <x:c r="F2450" s="115" t="str">
        <x:v>Inspection physique</x:v>
      </x:c>
      <x:c r="G2450" s="115" t="str">
        <x:v>1 niveaux ; 32 pièces ; 248 segments de mur ; 0 transitions. Inspection physique ; architecture complète encore ouverte.</x:v>
      </x:c>
      <x:c r="H2450" s="115" t="str">
        <x:v>L 410 ; l 490 ; hauteur 18 m ; choix de composition auteur ; dimensions réelles à documenter</x:v>
      </x:c>
      <x:c r="I2450" s="115" t="str">
        <x:v>À équilibrer</x:v>
      </x:c>
      <x:c r="J2450" s="115" t="str">
        <x:v>Non</x:v>
      </x:c>
      <x:c r="K2450" s="115" t="str">
        <x:v>Pièces décrites, murs, portes, niveaux et mobilier inspectables à l’échelle. Volumes réservés, raccord au seed, butin, rencontres et services de campagne restent à terminer.</x:v>
      </x:c>
    </x:row>
    <x:row r="2451" ht="96" customHeight="1">
      <x:c r="A2451" s="115" t="str">
        <x:v>EXT-MONDE-T049-V46</x:v>
      </x:c>
      <x:c r="B2451" s="115" t="str">
        <x:v>EXT-MONDE-T049</x:v>
      </x:c>
      <x:c r="C2451" s="115" t="str">
        <x:v>Parcs attractions</x:v>
      </x:c>
      <x:c r="D2451" s="115" t="str">
        <x:v>Parc familial</x:v>
      </x:c>
      <x:c r="E2451" s="115" t="n">
        <x:v>46</x:v>
      </x:c>
      <x:c r="F2451" s="115" t="str">
        <x:v>Inspection physique</x:v>
      </x:c>
      <x:c r="G2451" s="115" t="str">
        <x:v>1 niveaux ; 32 pièces ; 248 segments de mur ; 0 transitions. Inspection physique ; architecture complète encore ouverte.</x:v>
      </x:c>
      <x:c r="H2451" s="115" t="str">
        <x:v>L 410 ; l 490 ; hauteur 18 m ; choix de composition auteur ; dimensions réelles à documenter</x:v>
      </x:c>
      <x:c r="I2451" s="115" t="str">
        <x:v>À équilibrer</x:v>
      </x:c>
      <x:c r="J2451" s="115" t="str">
        <x:v>Non</x:v>
      </x:c>
      <x:c r="K2451" s="115" t="str">
        <x:v>Pièces décrites, murs, portes, niveaux et mobilier inspectables à l’échelle. Volumes réservés, raccord au seed, butin, rencontres et services de campagne restent à terminer.</x:v>
      </x:c>
    </x:row>
    <x:row r="2452" ht="96" customHeight="1">
      <x:c r="A2452" s="115" t="str">
        <x:v>EXT-MONDE-T049-V47</x:v>
      </x:c>
      <x:c r="B2452" s="115" t="str">
        <x:v>EXT-MONDE-T049</x:v>
      </x:c>
      <x:c r="C2452" s="115" t="str">
        <x:v>Parcs attractions</x:v>
      </x:c>
      <x:c r="D2452" s="115" t="str">
        <x:v>Parc familial</x:v>
      </x:c>
      <x:c r="E2452" s="115" t="n">
        <x:v>47</x:v>
      </x:c>
      <x:c r="F2452" s="115" t="str">
        <x:v>Inspection physique</x:v>
      </x:c>
      <x:c r="G2452" s="115" t="str">
        <x:v>1 niveaux ; 32 pièces ; 248 segments de mur ; 0 transitions. Inspection physique ; architecture complète encore ouverte.</x:v>
      </x:c>
      <x:c r="H2452" s="115" t="str">
        <x:v>L 410 ; l 490 ; hauteur 18 m ; choix de composition auteur ; dimensions réelles à documenter</x:v>
      </x:c>
      <x:c r="I2452" s="115" t="str">
        <x:v>À équilibrer</x:v>
      </x:c>
      <x:c r="J2452" s="115" t="str">
        <x:v>Non</x:v>
      </x:c>
      <x:c r="K2452" s="115" t="str">
        <x:v>Pièces décrites, murs, portes, niveaux et mobilier inspectables à l’échelle. Volumes réservés, raccord au seed, butin, rencontres et services de campagne restent à terminer.</x:v>
      </x:c>
    </x:row>
    <x:row r="2453" ht="96" customHeight="1">
      <x:c r="A2453" s="115" t="str">
        <x:v>EXT-MONDE-T049-V48</x:v>
      </x:c>
      <x:c r="B2453" s="115" t="str">
        <x:v>EXT-MONDE-T049</x:v>
      </x:c>
      <x:c r="C2453" s="115" t="str">
        <x:v>Parcs attractions</x:v>
      </x:c>
      <x:c r="D2453" s="115" t="str">
        <x:v>Parc familial</x:v>
      </x:c>
      <x:c r="E2453" s="115" t="n">
        <x:v>48</x:v>
      </x:c>
      <x:c r="F2453" s="115" t="str">
        <x:v>Inspection physique</x:v>
      </x:c>
      <x:c r="G2453" s="115" t="str">
        <x:v>1 niveaux ; 32 pièces ; 248 segments de mur ; 0 transitions. Inspection physique ; architecture complète encore ouverte.</x:v>
      </x:c>
      <x:c r="H2453" s="115" t="str">
        <x:v>L 410 ; l 490 ; hauteur 18 m ; choix de composition auteur ; dimensions réelles à documenter</x:v>
      </x:c>
      <x:c r="I2453" s="115" t="str">
        <x:v>À équilibrer</x:v>
      </x:c>
      <x:c r="J2453" s="115" t="str">
        <x:v>Non</x:v>
      </x:c>
      <x:c r="K2453" s="115" t="str">
        <x:v>Pièces décrites, murs, portes, niveaux et mobilier inspectables à l’échelle. Volumes réservés, raccord au seed, butin, rencontres et services de campagne restent à terminer.</x:v>
      </x:c>
    </x:row>
    <x:row r="2454" ht="96" customHeight="1">
      <x:c r="A2454" s="115" t="str">
        <x:v>EXT-MONDE-T049-V49</x:v>
      </x:c>
      <x:c r="B2454" s="115" t="str">
        <x:v>EXT-MONDE-T049</x:v>
      </x:c>
      <x:c r="C2454" s="115" t="str">
        <x:v>Parcs attractions</x:v>
      </x:c>
      <x:c r="D2454" s="115" t="str">
        <x:v>Parc familial</x:v>
      </x:c>
      <x:c r="E2454" s="115" t="n">
        <x:v>49</x:v>
      </x:c>
      <x:c r="F2454" s="115" t="str">
        <x:v>Inspection physique</x:v>
      </x:c>
      <x:c r="G2454" s="115" t="str">
        <x:v>1 niveaux ; 32 pièces ; 248 segments de mur ; 0 transitions. Inspection physique ; architecture complète encore ouverte.</x:v>
      </x:c>
      <x:c r="H2454" s="115" t="str">
        <x:v>L 410 ; l 490 ; hauteur 18 m ; choix de composition auteur ; dimensions réelles à documenter</x:v>
      </x:c>
      <x:c r="I2454" s="115" t="str">
        <x:v>À équilibrer</x:v>
      </x:c>
      <x:c r="J2454" s="115" t="str">
        <x:v>Non</x:v>
      </x:c>
      <x:c r="K2454" s="115" t="str">
        <x:v>Pièces décrites, murs, portes, niveaux et mobilier inspectables à l’échelle. Volumes réservés, raccord au seed, butin, rencontres et services de campagne restent à terminer.</x:v>
      </x:c>
    </x:row>
    <x:row r="2455" ht="96" customHeight="1">
      <x:c r="A2455" s="115" t="str">
        <x:v>EXT-MONDE-T049-V50</x:v>
      </x:c>
      <x:c r="B2455" s="115" t="str">
        <x:v>EXT-MONDE-T049</x:v>
      </x:c>
      <x:c r="C2455" s="115" t="str">
        <x:v>Parcs attractions</x:v>
      </x:c>
      <x:c r="D2455" s="115" t="str">
        <x:v>Parc familial</x:v>
      </x:c>
      <x:c r="E2455" s="115" t="n">
        <x:v>50</x:v>
      </x:c>
      <x:c r="F2455" s="115" t="str">
        <x:v>Inspection physique</x:v>
      </x:c>
      <x:c r="G2455" s="115" t="str">
        <x:v>1 niveaux ; 32 pièces ; 248 segments de mur ; 0 transitions. Inspection physique ; architecture complète encore ouverte.</x:v>
      </x:c>
      <x:c r="H2455" s="115" t="str">
        <x:v>L 410 ; l 490 ; hauteur 18 m ; choix de composition auteur ; dimensions réelles à documenter</x:v>
      </x:c>
      <x:c r="I2455" s="115" t="str">
        <x:v>À équilibrer</x:v>
      </x:c>
      <x:c r="J2455" s="115" t="str">
        <x:v>Non</x:v>
      </x:c>
      <x:c r="K2455" s="115" t="str">
        <x:v>Pièces décrites, murs, portes, niveaux et mobilier inspectables à l’échelle. Volumes réservés, raccord au seed, butin, rencontres et services de campagne restent à terminer.</x:v>
      </x:c>
    </x:row>
    <x:row r="2456" ht="96" customHeight="1">
      <x:c r="A2456" s="115" t="str">
        <x:v>EXT-MONDE-T050-V01</x:v>
      </x:c>
      <x:c r="B2456" s="115" t="str">
        <x:v>EXT-MONDE-T050</x:v>
      </x:c>
      <x:c r="C2456" s="115" t="str">
        <x:v>Parcs attractions</x:v>
      </x:c>
      <x:c r="D2456" s="115" t="str">
        <x:v>Parc à sensations</x:v>
      </x:c>
      <x:c r="E2456" s="115" t="n">
        <x:v>1</x:v>
      </x:c>
      <x:c r="F2456" s="115" t="str">
        <x:v>Inspection physique</x:v>
      </x:c>
      <x:c r="G2456" s="115" t="str">
        <x:v>1 niveaux ; 32 pièces ; 248 segments de mur ; 0 transitions. Inspection physique ; architecture complète encore ouverte.</x:v>
      </x:c>
      <x:c r="H2456" s="115" t="str">
        <x:v>L 488 ; l 614 ; hauteur 58 m ; choix de composition auteur ; dimensions réelles à documenter</x:v>
      </x:c>
      <x:c r="I2456" s="115" t="str">
        <x:v>À équilibrer</x:v>
      </x:c>
      <x:c r="J2456" s="115" t="str">
        <x:v>Non</x:v>
      </x:c>
      <x:c r="K2456" s="115" t="str">
        <x:v>Pièces décrites, murs, portes, niveaux et mobilier inspectables à l’échelle. Volumes réservés, raccord au seed, butin, rencontres et services de campagne restent à terminer.</x:v>
      </x:c>
    </x:row>
    <x:row r="2457" ht="96" customHeight="1">
      <x:c r="A2457" s="115" t="str">
        <x:v>EXT-MONDE-T050-V02</x:v>
      </x:c>
      <x:c r="B2457" s="115" t="str">
        <x:v>EXT-MONDE-T050</x:v>
      </x:c>
      <x:c r="C2457" s="115" t="str">
        <x:v>Parcs attractions</x:v>
      </x:c>
      <x:c r="D2457" s="115" t="str">
        <x:v>Parc à sensations</x:v>
      </x:c>
      <x:c r="E2457" s="115" t="n">
        <x:v>2</x:v>
      </x:c>
      <x:c r="F2457" s="115" t="str">
        <x:v>Inspection physique</x:v>
      </x:c>
      <x:c r="G2457" s="115" t="str">
        <x:v>1 niveaux ; 32 pièces ; 248 segments de mur ; 0 transitions. Inspection physique ; architecture complète encore ouverte.</x:v>
      </x:c>
      <x:c r="H2457" s="115" t="str">
        <x:v>L 488 ; l 614 ; hauteur 58 m ; choix de composition auteur ; dimensions réelles à documenter</x:v>
      </x:c>
      <x:c r="I2457" s="115" t="str">
        <x:v>À équilibrer</x:v>
      </x:c>
      <x:c r="J2457" s="115" t="str">
        <x:v>Non</x:v>
      </x:c>
      <x:c r="K2457" s="115" t="str">
        <x:v>Pièces décrites, murs, portes, niveaux et mobilier inspectables à l’échelle. Volumes réservés, raccord au seed, butin, rencontres et services de campagne restent à terminer.</x:v>
      </x:c>
    </x:row>
    <x:row r="2458" ht="96" customHeight="1">
      <x:c r="A2458" s="115" t="str">
        <x:v>EXT-MONDE-T050-V03</x:v>
      </x:c>
      <x:c r="B2458" s="115" t="str">
        <x:v>EXT-MONDE-T050</x:v>
      </x:c>
      <x:c r="C2458" s="115" t="str">
        <x:v>Parcs attractions</x:v>
      </x:c>
      <x:c r="D2458" s="115" t="str">
        <x:v>Parc à sensations</x:v>
      </x:c>
      <x:c r="E2458" s="115" t="n">
        <x:v>3</x:v>
      </x:c>
      <x:c r="F2458" s="115" t="str">
        <x:v>Inspection physique</x:v>
      </x:c>
      <x:c r="G2458" s="115" t="str">
        <x:v>1 niveaux ; 32 pièces ; 248 segments de mur ; 0 transitions. Inspection physique ; architecture complète encore ouverte.</x:v>
      </x:c>
      <x:c r="H2458" s="115" t="str">
        <x:v>L 488 ; l 614 ; hauteur 58 m ; choix de composition auteur ; dimensions réelles à documenter</x:v>
      </x:c>
      <x:c r="I2458" s="115" t="str">
        <x:v>À équilibrer</x:v>
      </x:c>
      <x:c r="J2458" s="115" t="str">
        <x:v>Non</x:v>
      </x:c>
      <x:c r="K2458" s="115" t="str">
        <x:v>Pièces décrites, murs, portes, niveaux et mobilier inspectables à l’échelle. Volumes réservés, raccord au seed, butin, rencontres et services de campagne restent à terminer.</x:v>
      </x:c>
    </x:row>
    <x:row r="2459" ht="96" customHeight="1">
      <x:c r="A2459" s="115" t="str">
        <x:v>EXT-MONDE-T050-V04</x:v>
      </x:c>
      <x:c r="B2459" s="115" t="str">
        <x:v>EXT-MONDE-T050</x:v>
      </x:c>
      <x:c r="C2459" s="115" t="str">
        <x:v>Parcs attractions</x:v>
      </x:c>
      <x:c r="D2459" s="115" t="str">
        <x:v>Parc à sensations</x:v>
      </x:c>
      <x:c r="E2459" s="115" t="n">
        <x:v>4</x:v>
      </x:c>
      <x:c r="F2459" s="115" t="str">
        <x:v>Inspection physique</x:v>
      </x:c>
      <x:c r="G2459" s="115" t="str">
        <x:v>1 niveaux ; 32 pièces ; 248 segments de mur ; 0 transitions. Inspection physique ; architecture complète encore ouverte.</x:v>
      </x:c>
      <x:c r="H2459" s="115" t="str">
        <x:v>L 488 ; l 614 ; hauteur 58 m ; choix de composition auteur ; dimensions réelles à documenter</x:v>
      </x:c>
      <x:c r="I2459" s="115" t="str">
        <x:v>À équilibrer</x:v>
      </x:c>
      <x:c r="J2459" s="115" t="str">
        <x:v>Non</x:v>
      </x:c>
      <x:c r="K2459" s="115" t="str">
        <x:v>Pièces décrites, murs, portes, niveaux et mobilier inspectables à l’échelle. Volumes réservés, raccord au seed, butin, rencontres et services de campagne restent à terminer.</x:v>
      </x:c>
    </x:row>
    <x:row r="2460" ht="96" customHeight="1">
      <x:c r="A2460" s="115" t="str">
        <x:v>EXT-MONDE-T050-V05</x:v>
      </x:c>
      <x:c r="B2460" s="115" t="str">
        <x:v>EXT-MONDE-T050</x:v>
      </x:c>
      <x:c r="C2460" s="115" t="str">
        <x:v>Parcs attractions</x:v>
      </x:c>
      <x:c r="D2460" s="115" t="str">
        <x:v>Parc à sensations</x:v>
      </x:c>
      <x:c r="E2460" s="115" t="n">
        <x:v>5</x:v>
      </x:c>
      <x:c r="F2460" s="115" t="str">
        <x:v>Inspection physique</x:v>
      </x:c>
      <x:c r="G2460" s="115" t="str">
        <x:v>1 niveaux ; 32 pièces ; 248 segments de mur ; 0 transitions. Inspection physique ; architecture complète encore ouverte.</x:v>
      </x:c>
      <x:c r="H2460" s="115" t="str">
        <x:v>L 488 ; l 614 ; hauteur 58 m ; choix de composition auteur ; dimensions réelles à documenter</x:v>
      </x:c>
      <x:c r="I2460" s="115" t="str">
        <x:v>À équilibrer</x:v>
      </x:c>
      <x:c r="J2460" s="115" t="str">
        <x:v>Non</x:v>
      </x:c>
      <x:c r="K2460" s="115" t="str">
        <x:v>Pièces décrites, murs, portes, niveaux et mobilier inspectables à l’échelle. Volumes réservés, raccord au seed, butin, rencontres et services de campagne restent à terminer.</x:v>
      </x:c>
    </x:row>
    <x:row r="2461" ht="96" customHeight="1">
      <x:c r="A2461" s="115" t="str">
        <x:v>EXT-MONDE-T050-V06</x:v>
      </x:c>
      <x:c r="B2461" s="115" t="str">
        <x:v>EXT-MONDE-T050</x:v>
      </x:c>
      <x:c r="C2461" s="115" t="str">
        <x:v>Parcs attractions</x:v>
      </x:c>
      <x:c r="D2461" s="115" t="str">
        <x:v>Parc à sensations</x:v>
      </x:c>
      <x:c r="E2461" s="115" t="n">
        <x:v>6</x:v>
      </x:c>
      <x:c r="F2461" s="115" t="str">
        <x:v>Inspection physique</x:v>
      </x:c>
      <x:c r="G2461" s="115" t="str">
        <x:v>1 niveaux ; 32 pièces ; 248 segments de mur ; 0 transitions. Inspection physique ; architecture complète encore ouverte.</x:v>
      </x:c>
      <x:c r="H2461" s="115" t="str">
        <x:v>L 488 ; l 614 ; hauteur 58 m ; choix de composition auteur ; dimensions réelles à documenter</x:v>
      </x:c>
      <x:c r="I2461" s="115" t="str">
        <x:v>À équilibrer</x:v>
      </x:c>
      <x:c r="J2461" s="115" t="str">
        <x:v>Non</x:v>
      </x:c>
      <x:c r="K2461" s="115" t="str">
        <x:v>Pièces décrites, murs, portes, niveaux et mobilier inspectables à l’échelle. Volumes réservés, raccord au seed, butin, rencontres et services de campagne restent à terminer.</x:v>
      </x:c>
    </x:row>
    <x:row r="2462" ht="96" customHeight="1">
      <x:c r="A2462" s="115" t="str">
        <x:v>EXT-MONDE-T050-V07</x:v>
      </x:c>
      <x:c r="B2462" s="115" t="str">
        <x:v>EXT-MONDE-T050</x:v>
      </x:c>
      <x:c r="C2462" s="115" t="str">
        <x:v>Parcs attractions</x:v>
      </x:c>
      <x:c r="D2462" s="115" t="str">
        <x:v>Parc à sensations</x:v>
      </x:c>
      <x:c r="E2462" s="115" t="n">
        <x:v>7</x:v>
      </x:c>
      <x:c r="F2462" s="115" t="str">
        <x:v>Inspection physique</x:v>
      </x:c>
      <x:c r="G2462" s="115" t="str">
        <x:v>1 niveaux ; 32 pièces ; 248 segments de mur ; 0 transitions. Inspection physique ; architecture complète encore ouverte.</x:v>
      </x:c>
      <x:c r="H2462" s="115" t="str">
        <x:v>L 488 ; l 614 ; hauteur 58 m ; choix de composition auteur ; dimensions réelles à documenter</x:v>
      </x:c>
      <x:c r="I2462" s="115" t="str">
        <x:v>À équilibrer</x:v>
      </x:c>
      <x:c r="J2462" s="115" t="str">
        <x:v>Non</x:v>
      </x:c>
      <x:c r="K2462" s="115" t="str">
        <x:v>Pièces décrites, murs, portes, niveaux et mobilier inspectables à l’échelle. Volumes réservés, raccord au seed, butin, rencontres et services de campagne restent à terminer.</x:v>
      </x:c>
    </x:row>
    <x:row r="2463" ht="96" customHeight="1">
      <x:c r="A2463" s="115" t="str">
        <x:v>EXT-MONDE-T050-V08</x:v>
      </x:c>
      <x:c r="B2463" s="115" t="str">
        <x:v>EXT-MONDE-T050</x:v>
      </x:c>
      <x:c r="C2463" s="115" t="str">
        <x:v>Parcs attractions</x:v>
      </x:c>
      <x:c r="D2463" s="115" t="str">
        <x:v>Parc à sensations</x:v>
      </x:c>
      <x:c r="E2463" s="115" t="n">
        <x:v>8</x:v>
      </x:c>
      <x:c r="F2463" s="115" t="str">
        <x:v>Inspection physique</x:v>
      </x:c>
      <x:c r="G2463" s="115" t="str">
        <x:v>1 niveaux ; 32 pièces ; 248 segments de mur ; 0 transitions. Inspection physique ; architecture complète encore ouverte.</x:v>
      </x:c>
      <x:c r="H2463" s="115" t="str">
        <x:v>L 488 ; l 614 ; hauteur 58 m ; choix de composition auteur ; dimensions réelles à documenter</x:v>
      </x:c>
      <x:c r="I2463" s="115" t="str">
        <x:v>À équilibrer</x:v>
      </x:c>
      <x:c r="J2463" s="115" t="str">
        <x:v>Non</x:v>
      </x:c>
      <x:c r="K2463" s="115" t="str">
        <x:v>Pièces décrites, murs, portes, niveaux et mobilier inspectables à l’échelle. Volumes réservés, raccord au seed, butin, rencontres et services de campagne restent à terminer.</x:v>
      </x:c>
    </x:row>
    <x:row r="2464" ht="96" customHeight="1">
      <x:c r="A2464" s="115" t="str">
        <x:v>EXT-MONDE-T050-V09</x:v>
      </x:c>
      <x:c r="B2464" s="115" t="str">
        <x:v>EXT-MONDE-T050</x:v>
      </x:c>
      <x:c r="C2464" s="115" t="str">
        <x:v>Parcs attractions</x:v>
      </x:c>
      <x:c r="D2464" s="115" t="str">
        <x:v>Parc à sensations</x:v>
      </x:c>
      <x:c r="E2464" s="115" t="n">
        <x:v>9</x:v>
      </x:c>
      <x:c r="F2464" s="115" t="str">
        <x:v>Inspection physique</x:v>
      </x:c>
      <x:c r="G2464" s="115" t="str">
        <x:v>1 niveaux ; 32 pièces ; 248 segments de mur ; 0 transitions. Inspection physique ; architecture complète encore ouverte.</x:v>
      </x:c>
      <x:c r="H2464" s="115" t="str">
        <x:v>L 488 ; l 614 ; hauteur 58 m ; choix de composition auteur ; dimensions réelles à documenter</x:v>
      </x:c>
      <x:c r="I2464" s="115" t="str">
        <x:v>À équilibrer</x:v>
      </x:c>
      <x:c r="J2464" s="115" t="str">
        <x:v>Non</x:v>
      </x:c>
      <x:c r="K2464" s="115" t="str">
        <x:v>Pièces décrites, murs, portes, niveaux et mobilier inspectables à l’échelle. Volumes réservés, raccord au seed, butin, rencontres et services de campagne restent à terminer.</x:v>
      </x:c>
    </x:row>
    <x:row r="2465" ht="96" customHeight="1">
      <x:c r="A2465" s="115" t="str">
        <x:v>EXT-MONDE-T050-V10</x:v>
      </x:c>
      <x:c r="B2465" s="115" t="str">
        <x:v>EXT-MONDE-T050</x:v>
      </x:c>
      <x:c r="C2465" s="115" t="str">
        <x:v>Parcs attractions</x:v>
      </x:c>
      <x:c r="D2465" s="115" t="str">
        <x:v>Parc à sensations</x:v>
      </x:c>
      <x:c r="E2465" s="115" t="n">
        <x:v>10</x:v>
      </x:c>
      <x:c r="F2465" s="115" t="str">
        <x:v>Inspection physique</x:v>
      </x:c>
      <x:c r="G2465" s="115" t="str">
        <x:v>1 niveaux ; 32 pièces ; 248 segments de mur ; 0 transitions. Inspection physique ; architecture complète encore ouverte.</x:v>
      </x:c>
      <x:c r="H2465" s="115" t="str">
        <x:v>L 488 ; l 614 ; hauteur 58 m ; choix de composition auteur ; dimensions réelles à documenter</x:v>
      </x:c>
      <x:c r="I2465" s="115" t="str">
        <x:v>À équilibrer</x:v>
      </x:c>
      <x:c r="J2465" s="115" t="str">
        <x:v>Non</x:v>
      </x:c>
      <x:c r="K2465" s="115" t="str">
        <x:v>Pièces décrites, murs, portes, niveaux et mobilier inspectables à l’échelle. Volumes réservés, raccord au seed, butin, rencontres et services de campagne restent à terminer.</x:v>
      </x:c>
    </x:row>
    <x:row r="2466" ht="96" customHeight="1">
      <x:c r="A2466" s="115" t="str">
        <x:v>EXT-MONDE-T050-V11</x:v>
      </x:c>
      <x:c r="B2466" s="115" t="str">
        <x:v>EXT-MONDE-T050</x:v>
      </x:c>
      <x:c r="C2466" s="115" t="str">
        <x:v>Parcs attractions</x:v>
      </x:c>
      <x:c r="D2466" s="115" t="str">
        <x:v>Parc à sensations</x:v>
      </x:c>
      <x:c r="E2466" s="115" t="n">
        <x:v>11</x:v>
      </x:c>
      <x:c r="F2466" s="115" t="str">
        <x:v>Inspection physique</x:v>
      </x:c>
      <x:c r="G2466" s="115" t="str">
        <x:v>1 niveaux ; 32 pièces ; 248 segments de mur ; 0 transitions. Inspection physique ; architecture complète encore ouverte.</x:v>
      </x:c>
      <x:c r="H2466" s="115" t="str">
        <x:v>L 500 ; l 622 ; hauteur 58 m ; choix de composition auteur ; dimensions réelles à documenter</x:v>
      </x:c>
      <x:c r="I2466" s="115" t="str">
        <x:v>À équilibrer</x:v>
      </x:c>
      <x:c r="J2466" s="115" t="str">
        <x:v>Non</x:v>
      </x:c>
      <x:c r="K2466" s="115" t="str">
        <x:v>Pièces décrites, murs, portes, niveaux et mobilier inspectables à l’échelle. Volumes réservés, raccord au seed, butin, rencontres et services de campagne restent à terminer.</x:v>
      </x:c>
    </x:row>
    <x:row r="2467" ht="96" customHeight="1">
      <x:c r="A2467" s="115" t="str">
        <x:v>EXT-MONDE-T050-V12</x:v>
      </x:c>
      <x:c r="B2467" s="115" t="str">
        <x:v>EXT-MONDE-T050</x:v>
      </x:c>
      <x:c r="C2467" s="115" t="str">
        <x:v>Parcs attractions</x:v>
      </x:c>
      <x:c r="D2467" s="115" t="str">
        <x:v>Parc à sensations</x:v>
      </x:c>
      <x:c r="E2467" s="115" t="n">
        <x:v>12</x:v>
      </x:c>
      <x:c r="F2467" s="115" t="str">
        <x:v>Inspection physique</x:v>
      </x:c>
      <x:c r="G2467" s="115" t="str">
        <x:v>1 niveaux ; 32 pièces ; 248 segments de mur ; 0 transitions. Inspection physique ; architecture complète encore ouverte.</x:v>
      </x:c>
      <x:c r="H2467" s="115" t="str">
        <x:v>L 500 ; l 622 ; hauteur 58 m ; choix de composition auteur ; dimensions réelles à documenter</x:v>
      </x:c>
      <x:c r="I2467" s="115" t="str">
        <x:v>À équilibrer</x:v>
      </x:c>
      <x:c r="J2467" s="115" t="str">
        <x:v>Non</x:v>
      </x:c>
      <x:c r="K2467" s="115" t="str">
        <x:v>Pièces décrites, murs, portes, niveaux et mobilier inspectables à l’échelle. Volumes réservés, raccord au seed, butin, rencontres et services de campagne restent à terminer.</x:v>
      </x:c>
    </x:row>
    <x:row r="2468" ht="96" customHeight="1">
      <x:c r="A2468" s="115" t="str">
        <x:v>EXT-MONDE-T050-V13</x:v>
      </x:c>
      <x:c r="B2468" s="115" t="str">
        <x:v>EXT-MONDE-T050</x:v>
      </x:c>
      <x:c r="C2468" s="115" t="str">
        <x:v>Parcs attractions</x:v>
      </x:c>
      <x:c r="D2468" s="115" t="str">
        <x:v>Parc à sensations</x:v>
      </x:c>
      <x:c r="E2468" s="115" t="n">
        <x:v>13</x:v>
      </x:c>
      <x:c r="F2468" s="115" t="str">
        <x:v>Inspection physique</x:v>
      </x:c>
      <x:c r="G2468" s="115" t="str">
        <x:v>1 niveaux ; 32 pièces ; 248 segments de mur ; 0 transitions. Inspection physique ; architecture complète encore ouverte.</x:v>
      </x:c>
      <x:c r="H2468" s="115" t="str">
        <x:v>L 500 ; l 622 ; hauteur 58 m ; choix de composition auteur ; dimensions réelles à documenter</x:v>
      </x:c>
      <x:c r="I2468" s="115" t="str">
        <x:v>À équilibrer</x:v>
      </x:c>
      <x:c r="J2468" s="115" t="str">
        <x:v>Non</x:v>
      </x:c>
      <x:c r="K2468" s="115" t="str">
        <x:v>Pièces décrites, murs, portes, niveaux et mobilier inspectables à l’échelle. Volumes réservés, raccord au seed, butin, rencontres et services de campagne restent à terminer.</x:v>
      </x:c>
    </x:row>
    <x:row r="2469" ht="96" customHeight="1">
      <x:c r="A2469" s="115" t="str">
        <x:v>EXT-MONDE-T050-V14</x:v>
      </x:c>
      <x:c r="B2469" s="115" t="str">
        <x:v>EXT-MONDE-T050</x:v>
      </x:c>
      <x:c r="C2469" s="115" t="str">
        <x:v>Parcs attractions</x:v>
      </x:c>
      <x:c r="D2469" s="115" t="str">
        <x:v>Parc à sensations</x:v>
      </x:c>
      <x:c r="E2469" s="115" t="n">
        <x:v>14</x:v>
      </x:c>
      <x:c r="F2469" s="115" t="str">
        <x:v>Inspection physique</x:v>
      </x:c>
      <x:c r="G2469" s="115" t="str">
        <x:v>1 niveaux ; 32 pièces ; 248 segments de mur ; 0 transitions. Inspection physique ; architecture complète encore ouverte.</x:v>
      </x:c>
      <x:c r="H2469" s="115" t="str">
        <x:v>L 500 ; l 622 ; hauteur 58 m ; choix de composition auteur ; dimensions réelles à documenter</x:v>
      </x:c>
      <x:c r="I2469" s="115" t="str">
        <x:v>À équilibrer</x:v>
      </x:c>
      <x:c r="J2469" s="115" t="str">
        <x:v>Non</x:v>
      </x:c>
      <x:c r="K2469" s="115" t="str">
        <x:v>Pièces décrites, murs, portes, niveaux et mobilier inspectables à l’échelle. Volumes réservés, raccord au seed, butin, rencontres et services de campagne restent à terminer.</x:v>
      </x:c>
    </x:row>
    <x:row r="2470" ht="96" customHeight="1">
      <x:c r="A2470" s="115" t="str">
        <x:v>EXT-MONDE-T050-V15</x:v>
      </x:c>
      <x:c r="B2470" s="115" t="str">
        <x:v>EXT-MONDE-T050</x:v>
      </x:c>
      <x:c r="C2470" s="115" t="str">
        <x:v>Parcs attractions</x:v>
      </x:c>
      <x:c r="D2470" s="115" t="str">
        <x:v>Parc à sensations</x:v>
      </x:c>
      <x:c r="E2470" s="115" t="n">
        <x:v>15</x:v>
      </x:c>
      <x:c r="F2470" s="115" t="str">
        <x:v>Inspection physique</x:v>
      </x:c>
      <x:c r="G2470" s="115" t="str">
        <x:v>1 niveaux ; 32 pièces ; 248 segments de mur ; 0 transitions. Inspection physique ; architecture complète encore ouverte.</x:v>
      </x:c>
      <x:c r="H2470" s="115" t="str">
        <x:v>L 500 ; l 622 ; hauteur 58 m ; choix de composition auteur ; dimensions réelles à documenter</x:v>
      </x:c>
      <x:c r="I2470" s="115" t="str">
        <x:v>À équilibrer</x:v>
      </x:c>
      <x:c r="J2470" s="115" t="str">
        <x:v>Non</x:v>
      </x:c>
      <x:c r="K2470" s="115" t="str">
        <x:v>Pièces décrites, murs, portes, niveaux et mobilier inspectables à l’échelle. Volumes réservés, raccord au seed, butin, rencontres et services de campagne restent à terminer.</x:v>
      </x:c>
    </x:row>
    <x:row r="2471" ht="96" customHeight="1">
      <x:c r="A2471" s="115" t="str">
        <x:v>EXT-MONDE-T050-V16</x:v>
      </x:c>
      <x:c r="B2471" s="115" t="str">
        <x:v>EXT-MONDE-T050</x:v>
      </x:c>
      <x:c r="C2471" s="115" t="str">
        <x:v>Parcs attractions</x:v>
      </x:c>
      <x:c r="D2471" s="115" t="str">
        <x:v>Parc à sensations</x:v>
      </x:c>
      <x:c r="E2471" s="115" t="n">
        <x:v>16</x:v>
      </x:c>
      <x:c r="F2471" s="115" t="str">
        <x:v>Inspection physique</x:v>
      </x:c>
      <x:c r="G2471" s="115" t="str">
        <x:v>1 niveaux ; 32 pièces ; 248 segments de mur ; 0 transitions. Inspection physique ; architecture complète encore ouverte.</x:v>
      </x:c>
      <x:c r="H2471" s="115" t="str">
        <x:v>L 500 ; l 622 ; hauteur 58 m ; choix de composition auteur ; dimensions réelles à documenter</x:v>
      </x:c>
      <x:c r="I2471" s="115" t="str">
        <x:v>À équilibrer</x:v>
      </x:c>
      <x:c r="J2471" s="115" t="str">
        <x:v>Non</x:v>
      </x:c>
      <x:c r="K2471" s="115" t="str">
        <x:v>Pièces décrites, murs, portes, niveaux et mobilier inspectables à l’échelle. Volumes réservés, raccord au seed, butin, rencontres et services de campagne restent à terminer.</x:v>
      </x:c>
    </x:row>
    <x:row r="2472" ht="96" customHeight="1">
      <x:c r="A2472" s="115" t="str">
        <x:v>EXT-MONDE-T050-V17</x:v>
      </x:c>
      <x:c r="B2472" s="115" t="str">
        <x:v>EXT-MONDE-T050</x:v>
      </x:c>
      <x:c r="C2472" s="115" t="str">
        <x:v>Parcs attractions</x:v>
      </x:c>
      <x:c r="D2472" s="115" t="str">
        <x:v>Parc à sensations</x:v>
      </x:c>
      <x:c r="E2472" s="115" t="n">
        <x:v>17</x:v>
      </x:c>
      <x:c r="F2472" s="115" t="str">
        <x:v>Inspection physique</x:v>
      </x:c>
      <x:c r="G2472" s="115" t="str">
        <x:v>1 niveaux ; 32 pièces ; 248 segments de mur ; 0 transitions. Inspection physique ; architecture complète encore ouverte.</x:v>
      </x:c>
      <x:c r="H2472" s="115" t="str">
        <x:v>L 500 ; l 622 ; hauteur 58 m ; choix de composition auteur ; dimensions réelles à documenter</x:v>
      </x:c>
      <x:c r="I2472" s="115" t="str">
        <x:v>À équilibrer</x:v>
      </x:c>
      <x:c r="J2472" s="115" t="str">
        <x:v>Non</x:v>
      </x:c>
      <x:c r="K2472" s="115" t="str">
        <x:v>Pièces décrites, murs, portes, niveaux et mobilier inspectables à l’échelle. Volumes réservés, raccord au seed, butin, rencontres et services de campagne restent à terminer.</x:v>
      </x:c>
    </x:row>
    <x:row r="2473" ht="96" customHeight="1">
      <x:c r="A2473" s="115" t="str">
        <x:v>EXT-MONDE-T050-V18</x:v>
      </x:c>
      <x:c r="B2473" s="115" t="str">
        <x:v>EXT-MONDE-T050</x:v>
      </x:c>
      <x:c r="C2473" s="115" t="str">
        <x:v>Parcs attractions</x:v>
      </x:c>
      <x:c r="D2473" s="115" t="str">
        <x:v>Parc à sensations</x:v>
      </x:c>
      <x:c r="E2473" s="115" t="n">
        <x:v>18</x:v>
      </x:c>
      <x:c r="F2473" s="115" t="str">
        <x:v>Inspection physique</x:v>
      </x:c>
      <x:c r="G2473" s="115" t="str">
        <x:v>1 niveaux ; 32 pièces ; 248 segments de mur ; 0 transitions. Inspection physique ; architecture complète encore ouverte.</x:v>
      </x:c>
      <x:c r="H2473" s="115" t="str">
        <x:v>L 500 ; l 622 ; hauteur 58 m ; choix de composition auteur ; dimensions réelles à documenter</x:v>
      </x:c>
      <x:c r="I2473" s="115" t="str">
        <x:v>À équilibrer</x:v>
      </x:c>
      <x:c r="J2473" s="115" t="str">
        <x:v>Non</x:v>
      </x:c>
      <x:c r="K2473" s="115" t="str">
        <x:v>Pièces décrites, murs, portes, niveaux et mobilier inspectables à l’échelle. Volumes réservés, raccord au seed, butin, rencontres et services de campagne restent à terminer.</x:v>
      </x:c>
    </x:row>
    <x:row r="2474" ht="96" customHeight="1">
      <x:c r="A2474" s="115" t="str">
        <x:v>EXT-MONDE-T050-V19</x:v>
      </x:c>
      <x:c r="B2474" s="115" t="str">
        <x:v>EXT-MONDE-T050</x:v>
      </x:c>
      <x:c r="C2474" s="115" t="str">
        <x:v>Parcs attractions</x:v>
      </x:c>
      <x:c r="D2474" s="115" t="str">
        <x:v>Parc à sensations</x:v>
      </x:c>
      <x:c r="E2474" s="115" t="n">
        <x:v>19</x:v>
      </x:c>
      <x:c r="F2474" s="115" t="str">
        <x:v>Inspection physique</x:v>
      </x:c>
      <x:c r="G2474" s="115" t="str">
        <x:v>1 niveaux ; 32 pièces ; 248 segments de mur ; 0 transitions. Inspection physique ; architecture complète encore ouverte.</x:v>
      </x:c>
      <x:c r="H2474" s="115" t="str">
        <x:v>L 500 ; l 622 ; hauteur 58 m ; choix de composition auteur ; dimensions réelles à documenter</x:v>
      </x:c>
      <x:c r="I2474" s="115" t="str">
        <x:v>À équilibrer</x:v>
      </x:c>
      <x:c r="J2474" s="115" t="str">
        <x:v>Non</x:v>
      </x:c>
      <x:c r="K2474" s="115" t="str">
        <x:v>Pièces décrites, murs, portes, niveaux et mobilier inspectables à l’échelle. Volumes réservés, raccord au seed, butin, rencontres et services de campagne restent à terminer.</x:v>
      </x:c>
    </x:row>
    <x:row r="2475" ht="96" customHeight="1">
      <x:c r="A2475" s="115" t="str">
        <x:v>EXT-MONDE-T050-V20</x:v>
      </x:c>
      <x:c r="B2475" s="115" t="str">
        <x:v>EXT-MONDE-T050</x:v>
      </x:c>
      <x:c r="C2475" s="115" t="str">
        <x:v>Parcs attractions</x:v>
      </x:c>
      <x:c r="D2475" s="115" t="str">
        <x:v>Parc à sensations</x:v>
      </x:c>
      <x:c r="E2475" s="115" t="n">
        <x:v>20</x:v>
      </x:c>
      <x:c r="F2475" s="115" t="str">
        <x:v>Inspection physique</x:v>
      </x:c>
      <x:c r="G2475" s="115" t="str">
        <x:v>1 niveaux ; 32 pièces ; 248 segments de mur ; 0 transitions. Inspection physique ; architecture complète encore ouverte.</x:v>
      </x:c>
      <x:c r="H2475" s="115" t="str">
        <x:v>L 500 ; l 622 ; hauteur 58 m ; choix de composition auteur ; dimensions réelles à documenter</x:v>
      </x:c>
      <x:c r="I2475" s="115" t="str">
        <x:v>À équilibrer</x:v>
      </x:c>
      <x:c r="J2475" s="115" t="str">
        <x:v>Non</x:v>
      </x:c>
      <x:c r="K2475" s="115" t="str">
        <x:v>Pièces décrites, murs, portes, niveaux et mobilier inspectables à l’échelle. Volumes réservés, raccord au seed, butin, rencontres et services de campagne restent à terminer.</x:v>
      </x:c>
    </x:row>
    <x:row r="2476" ht="96" customHeight="1">
      <x:c r="A2476" s="115" t="str">
        <x:v>EXT-MONDE-T050-V21</x:v>
      </x:c>
      <x:c r="B2476" s="115" t="str">
        <x:v>EXT-MONDE-T050</x:v>
      </x:c>
      <x:c r="C2476" s="115" t="str">
        <x:v>Parcs attractions</x:v>
      </x:c>
      <x:c r="D2476" s="115" t="str">
        <x:v>Parc à sensations</x:v>
      </x:c>
      <x:c r="E2476" s="115" t="n">
        <x:v>21</x:v>
      </x:c>
      <x:c r="F2476" s="115" t="str">
        <x:v>Inspection physique</x:v>
      </x:c>
      <x:c r="G2476" s="115" t="str">
        <x:v>1 niveaux ; 32 pièces ; 248 segments de mur ; 0 transitions. Inspection physique ; architecture complète encore ouverte.</x:v>
      </x:c>
      <x:c r="H2476" s="115" t="str">
        <x:v>L 512 ; l 630 ; hauteur 58 m ; choix de composition auteur ; dimensions réelles à documenter</x:v>
      </x:c>
      <x:c r="I2476" s="115" t="str">
        <x:v>À équilibrer</x:v>
      </x:c>
      <x:c r="J2476" s="115" t="str">
        <x:v>Non</x:v>
      </x:c>
      <x:c r="K2476" s="115" t="str">
        <x:v>Pièces décrites, murs, portes, niveaux et mobilier inspectables à l’échelle. Volumes réservés, raccord au seed, butin, rencontres et services de campagne restent à terminer.</x:v>
      </x:c>
    </x:row>
    <x:row r="2477" ht="96" customHeight="1">
      <x:c r="A2477" s="115" t="str">
        <x:v>EXT-MONDE-T050-V22</x:v>
      </x:c>
      <x:c r="B2477" s="115" t="str">
        <x:v>EXT-MONDE-T050</x:v>
      </x:c>
      <x:c r="C2477" s="115" t="str">
        <x:v>Parcs attractions</x:v>
      </x:c>
      <x:c r="D2477" s="115" t="str">
        <x:v>Parc à sensations</x:v>
      </x:c>
      <x:c r="E2477" s="115" t="n">
        <x:v>22</x:v>
      </x:c>
      <x:c r="F2477" s="115" t="str">
        <x:v>Inspection physique</x:v>
      </x:c>
      <x:c r="G2477" s="115" t="str">
        <x:v>1 niveaux ; 32 pièces ; 248 segments de mur ; 0 transitions. Inspection physique ; architecture complète encore ouverte.</x:v>
      </x:c>
      <x:c r="H2477" s="115" t="str">
        <x:v>L 512 ; l 630 ; hauteur 58 m ; choix de composition auteur ; dimensions réelles à documenter</x:v>
      </x:c>
      <x:c r="I2477" s="115" t="str">
        <x:v>À équilibrer</x:v>
      </x:c>
      <x:c r="J2477" s="115" t="str">
        <x:v>Non</x:v>
      </x:c>
      <x:c r="K2477" s="115" t="str">
        <x:v>Pièces décrites, murs, portes, niveaux et mobilier inspectables à l’échelle. Volumes réservés, raccord au seed, butin, rencontres et services de campagne restent à terminer.</x:v>
      </x:c>
    </x:row>
    <x:row r="2478" ht="96" customHeight="1">
      <x:c r="A2478" s="115" t="str">
        <x:v>EXT-MONDE-T050-V23</x:v>
      </x:c>
      <x:c r="B2478" s="115" t="str">
        <x:v>EXT-MONDE-T050</x:v>
      </x:c>
      <x:c r="C2478" s="115" t="str">
        <x:v>Parcs attractions</x:v>
      </x:c>
      <x:c r="D2478" s="115" t="str">
        <x:v>Parc à sensations</x:v>
      </x:c>
      <x:c r="E2478" s="115" t="n">
        <x:v>23</x:v>
      </x:c>
      <x:c r="F2478" s="115" t="str">
        <x:v>Inspection physique</x:v>
      </x:c>
      <x:c r="G2478" s="115" t="str">
        <x:v>1 niveaux ; 32 pièces ; 248 segments de mur ; 0 transitions. Inspection physique ; architecture complète encore ouverte.</x:v>
      </x:c>
      <x:c r="H2478" s="115" t="str">
        <x:v>L 512 ; l 630 ; hauteur 58 m ; choix de composition auteur ; dimensions réelles à documenter</x:v>
      </x:c>
      <x:c r="I2478" s="115" t="str">
        <x:v>À équilibrer</x:v>
      </x:c>
      <x:c r="J2478" s="115" t="str">
        <x:v>Non</x:v>
      </x:c>
      <x:c r="K2478" s="115" t="str">
        <x:v>Pièces décrites, murs, portes, niveaux et mobilier inspectables à l’échelle. Volumes réservés, raccord au seed, butin, rencontres et services de campagne restent à terminer.</x:v>
      </x:c>
    </x:row>
    <x:row r="2479" ht="96" customHeight="1">
      <x:c r="A2479" s="115" t="str">
        <x:v>EXT-MONDE-T050-V24</x:v>
      </x:c>
      <x:c r="B2479" s="115" t="str">
        <x:v>EXT-MONDE-T050</x:v>
      </x:c>
      <x:c r="C2479" s="115" t="str">
        <x:v>Parcs attractions</x:v>
      </x:c>
      <x:c r="D2479" s="115" t="str">
        <x:v>Parc à sensations</x:v>
      </x:c>
      <x:c r="E2479" s="115" t="n">
        <x:v>24</x:v>
      </x:c>
      <x:c r="F2479" s="115" t="str">
        <x:v>Inspection physique</x:v>
      </x:c>
      <x:c r="G2479" s="115" t="str">
        <x:v>1 niveaux ; 32 pièces ; 248 segments de mur ; 0 transitions. Inspection physique ; architecture complète encore ouverte.</x:v>
      </x:c>
      <x:c r="H2479" s="115" t="str">
        <x:v>L 512 ; l 630 ; hauteur 58 m ; choix de composition auteur ; dimensions réelles à documenter</x:v>
      </x:c>
      <x:c r="I2479" s="115" t="str">
        <x:v>À équilibrer</x:v>
      </x:c>
      <x:c r="J2479" s="115" t="str">
        <x:v>Non</x:v>
      </x:c>
      <x:c r="K2479" s="115" t="str">
        <x:v>Pièces décrites, murs, portes, niveaux et mobilier inspectables à l’échelle. Volumes réservés, raccord au seed, butin, rencontres et services de campagne restent à terminer.</x:v>
      </x:c>
    </x:row>
    <x:row r="2480" ht="96" customHeight="1">
      <x:c r="A2480" s="115" t="str">
        <x:v>EXT-MONDE-T050-V25</x:v>
      </x:c>
      <x:c r="B2480" s="115" t="str">
        <x:v>EXT-MONDE-T050</x:v>
      </x:c>
      <x:c r="C2480" s="115" t="str">
        <x:v>Parcs attractions</x:v>
      </x:c>
      <x:c r="D2480" s="115" t="str">
        <x:v>Parc à sensations</x:v>
      </x:c>
      <x:c r="E2480" s="115" t="n">
        <x:v>25</x:v>
      </x:c>
      <x:c r="F2480" s="115" t="str">
        <x:v>Inspection physique</x:v>
      </x:c>
      <x:c r="G2480" s="115" t="str">
        <x:v>1 niveaux ; 32 pièces ; 248 segments de mur ; 0 transitions. Inspection physique ; architecture complète encore ouverte.</x:v>
      </x:c>
      <x:c r="H2480" s="115" t="str">
        <x:v>L 512 ; l 630 ; hauteur 58 m ; choix de composition auteur ; dimensions réelles à documenter</x:v>
      </x:c>
      <x:c r="I2480" s="115" t="str">
        <x:v>À équilibrer</x:v>
      </x:c>
      <x:c r="J2480" s="115" t="str">
        <x:v>Non</x:v>
      </x:c>
      <x:c r="K2480" s="115" t="str">
        <x:v>Pièces décrites, murs, portes, niveaux et mobilier inspectables à l’échelle. Volumes réservés, raccord au seed, butin, rencontres et services de campagne restent à terminer.</x:v>
      </x:c>
    </x:row>
    <x:row r="2481" ht="96" customHeight="1">
      <x:c r="A2481" s="115" t="str">
        <x:v>EXT-MONDE-T050-V26</x:v>
      </x:c>
      <x:c r="B2481" s="115" t="str">
        <x:v>EXT-MONDE-T050</x:v>
      </x:c>
      <x:c r="C2481" s="115" t="str">
        <x:v>Parcs attractions</x:v>
      </x:c>
      <x:c r="D2481" s="115" t="str">
        <x:v>Parc à sensations</x:v>
      </x:c>
      <x:c r="E2481" s="115" t="n">
        <x:v>26</x:v>
      </x:c>
      <x:c r="F2481" s="115" t="str">
        <x:v>Inspection physique</x:v>
      </x:c>
      <x:c r="G2481" s="115" t="str">
        <x:v>1 niveaux ; 32 pièces ; 248 segments de mur ; 0 transitions. Inspection physique ; architecture complète encore ouverte.</x:v>
      </x:c>
      <x:c r="H2481" s="115" t="str">
        <x:v>L 512 ; l 630 ; hauteur 58 m ; choix de composition auteur ; dimensions réelles à documenter</x:v>
      </x:c>
      <x:c r="I2481" s="115" t="str">
        <x:v>À équilibrer</x:v>
      </x:c>
      <x:c r="J2481" s="115" t="str">
        <x:v>Non</x:v>
      </x:c>
      <x:c r="K2481" s="115" t="str">
        <x:v>Pièces décrites, murs, portes, niveaux et mobilier inspectables à l’échelle. Volumes réservés, raccord au seed, butin, rencontres et services de campagne restent à terminer.</x:v>
      </x:c>
    </x:row>
    <x:row r="2482" ht="96" customHeight="1">
      <x:c r="A2482" s="115" t="str">
        <x:v>EXT-MONDE-T050-V27</x:v>
      </x:c>
      <x:c r="B2482" s="115" t="str">
        <x:v>EXT-MONDE-T050</x:v>
      </x:c>
      <x:c r="C2482" s="115" t="str">
        <x:v>Parcs attractions</x:v>
      </x:c>
      <x:c r="D2482" s="115" t="str">
        <x:v>Parc à sensations</x:v>
      </x:c>
      <x:c r="E2482" s="115" t="n">
        <x:v>27</x:v>
      </x:c>
      <x:c r="F2482" s="115" t="str">
        <x:v>Inspection physique</x:v>
      </x:c>
      <x:c r="G2482" s="115" t="str">
        <x:v>1 niveaux ; 32 pièces ; 248 segments de mur ; 0 transitions. Inspection physique ; architecture complète encore ouverte.</x:v>
      </x:c>
      <x:c r="H2482" s="115" t="str">
        <x:v>L 512 ; l 630 ; hauteur 58 m ; choix de composition auteur ; dimensions réelles à documenter</x:v>
      </x:c>
      <x:c r="I2482" s="115" t="str">
        <x:v>À équilibrer</x:v>
      </x:c>
      <x:c r="J2482" s="115" t="str">
        <x:v>Non</x:v>
      </x:c>
      <x:c r="K2482" s="115" t="str">
        <x:v>Pièces décrites, murs, portes, niveaux et mobilier inspectables à l’échelle. Volumes réservés, raccord au seed, butin, rencontres et services de campagne restent à terminer.</x:v>
      </x:c>
    </x:row>
    <x:row r="2483" ht="96" customHeight="1">
      <x:c r="A2483" s="115" t="str">
        <x:v>EXT-MONDE-T050-V28</x:v>
      </x:c>
      <x:c r="B2483" s="115" t="str">
        <x:v>EXT-MONDE-T050</x:v>
      </x:c>
      <x:c r="C2483" s="115" t="str">
        <x:v>Parcs attractions</x:v>
      </x:c>
      <x:c r="D2483" s="115" t="str">
        <x:v>Parc à sensations</x:v>
      </x:c>
      <x:c r="E2483" s="115" t="n">
        <x:v>28</x:v>
      </x:c>
      <x:c r="F2483" s="115" t="str">
        <x:v>Inspection physique</x:v>
      </x:c>
      <x:c r="G2483" s="115" t="str">
        <x:v>1 niveaux ; 32 pièces ; 248 segments de mur ; 0 transitions. Inspection physique ; architecture complète encore ouverte.</x:v>
      </x:c>
      <x:c r="H2483" s="115" t="str">
        <x:v>L 512 ; l 630 ; hauteur 58 m ; choix de composition auteur ; dimensions réelles à documenter</x:v>
      </x:c>
      <x:c r="I2483" s="115" t="str">
        <x:v>À équilibrer</x:v>
      </x:c>
      <x:c r="J2483" s="115" t="str">
        <x:v>Non</x:v>
      </x:c>
      <x:c r="K2483" s="115" t="str">
        <x:v>Pièces décrites, murs, portes, niveaux et mobilier inspectables à l’échelle. Volumes réservés, raccord au seed, butin, rencontres et services de campagne restent à terminer.</x:v>
      </x:c>
    </x:row>
    <x:row r="2484" ht="96" customHeight="1">
      <x:c r="A2484" s="115" t="str">
        <x:v>EXT-MONDE-T050-V29</x:v>
      </x:c>
      <x:c r="B2484" s="115" t="str">
        <x:v>EXT-MONDE-T050</x:v>
      </x:c>
      <x:c r="C2484" s="115" t="str">
        <x:v>Parcs attractions</x:v>
      </x:c>
      <x:c r="D2484" s="115" t="str">
        <x:v>Parc à sensations</x:v>
      </x:c>
      <x:c r="E2484" s="115" t="n">
        <x:v>29</x:v>
      </x:c>
      <x:c r="F2484" s="115" t="str">
        <x:v>Inspection physique</x:v>
      </x:c>
      <x:c r="G2484" s="115" t="str">
        <x:v>1 niveaux ; 32 pièces ; 248 segments de mur ; 0 transitions. Inspection physique ; architecture complète encore ouverte.</x:v>
      </x:c>
      <x:c r="H2484" s="115" t="str">
        <x:v>L 512 ; l 630 ; hauteur 58 m ; choix de composition auteur ; dimensions réelles à documenter</x:v>
      </x:c>
      <x:c r="I2484" s="115" t="str">
        <x:v>À équilibrer</x:v>
      </x:c>
      <x:c r="J2484" s="115" t="str">
        <x:v>Non</x:v>
      </x:c>
      <x:c r="K2484" s="115" t="str">
        <x:v>Pièces décrites, murs, portes, niveaux et mobilier inspectables à l’échelle. Volumes réservés, raccord au seed, butin, rencontres et services de campagne restent à terminer.</x:v>
      </x:c>
    </x:row>
    <x:row r="2485" ht="96" customHeight="1">
      <x:c r="A2485" s="115" t="str">
        <x:v>EXT-MONDE-T050-V30</x:v>
      </x:c>
      <x:c r="B2485" s="115" t="str">
        <x:v>EXT-MONDE-T050</x:v>
      </x:c>
      <x:c r="C2485" s="115" t="str">
        <x:v>Parcs attractions</x:v>
      </x:c>
      <x:c r="D2485" s="115" t="str">
        <x:v>Parc à sensations</x:v>
      </x:c>
      <x:c r="E2485" s="115" t="n">
        <x:v>30</x:v>
      </x:c>
      <x:c r="F2485" s="115" t="str">
        <x:v>Inspection physique</x:v>
      </x:c>
      <x:c r="G2485" s="115" t="str">
        <x:v>1 niveaux ; 32 pièces ; 248 segments de mur ; 0 transitions. Inspection physique ; architecture complète encore ouverte.</x:v>
      </x:c>
      <x:c r="H2485" s="115" t="str">
        <x:v>L 512 ; l 630 ; hauteur 58 m ; choix de composition auteur ; dimensions réelles à documenter</x:v>
      </x:c>
      <x:c r="I2485" s="115" t="str">
        <x:v>À équilibrer</x:v>
      </x:c>
      <x:c r="J2485" s="115" t="str">
        <x:v>Non</x:v>
      </x:c>
      <x:c r="K2485" s="115" t="str">
        <x:v>Pièces décrites, murs, portes, niveaux et mobilier inspectables à l’échelle. Volumes réservés, raccord au seed, butin, rencontres et services de campagne restent à terminer.</x:v>
      </x:c>
    </x:row>
    <x:row r="2486" ht="96" customHeight="1">
      <x:c r="A2486" s="115" t="str">
        <x:v>EXT-MONDE-T050-V31</x:v>
      </x:c>
      <x:c r="B2486" s="115" t="str">
        <x:v>EXT-MONDE-T050</x:v>
      </x:c>
      <x:c r="C2486" s="115" t="str">
        <x:v>Parcs attractions</x:v>
      </x:c>
      <x:c r="D2486" s="115" t="str">
        <x:v>Parc à sensations</x:v>
      </x:c>
      <x:c r="E2486" s="115" t="n">
        <x:v>31</x:v>
      </x:c>
      <x:c r="F2486" s="115" t="str">
        <x:v>Inspection physique</x:v>
      </x:c>
      <x:c r="G2486" s="115" t="str">
        <x:v>1 niveaux ; 32 pièces ; 248 segments de mur ; 0 transitions. Inspection physique ; architecture complète encore ouverte.</x:v>
      </x:c>
      <x:c r="H2486" s="115" t="str">
        <x:v>L 524 ; l 638 ; hauteur 58 m ; choix de composition auteur ; dimensions réelles à documenter</x:v>
      </x:c>
      <x:c r="I2486" s="115" t="str">
        <x:v>À équilibrer</x:v>
      </x:c>
      <x:c r="J2486" s="115" t="str">
        <x:v>Non</x:v>
      </x:c>
      <x:c r="K2486" s="115" t="str">
        <x:v>Pièces décrites, murs, portes, niveaux et mobilier inspectables à l’échelle. Volumes réservés, raccord au seed, butin, rencontres et services de campagne restent à terminer.</x:v>
      </x:c>
    </x:row>
    <x:row r="2487" ht="96" customHeight="1">
      <x:c r="A2487" s="115" t="str">
        <x:v>EXT-MONDE-T050-V32</x:v>
      </x:c>
      <x:c r="B2487" s="115" t="str">
        <x:v>EXT-MONDE-T050</x:v>
      </x:c>
      <x:c r="C2487" s="115" t="str">
        <x:v>Parcs attractions</x:v>
      </x:c>
      <x:c r="D2487" s="115" t="str">
        <x:v>Parc à sensations</x:v>
      </x:c>
      <x:c r="E2487" s="115" t="n">
        <x:v>32</x:v>
      </x:c>
      <x:c r="F2487" s="115" t="str">
        <x:v>Inspection physique</x:v>
      </x:c>
      <x:c r="G2487" s="115" t="str">
        <x:v>1 niveaux ; 32 pièces ; 248 segments de mur ; 0 transitions. Inspection physique ; architecture complète encore ouverte.</x:v>
      </x:c>
      <x:c r="H2487" s="115" t="str">
        <x:v>L 524 ; l 638 ; hauteur 58 m ; choix de composition auteur ; dimensions réelles à documenter</x:v>
      </x:c>
      <x:c r="I2487" s="115" t="str">
        <x:v>À équilibrer</x:v>
      </x:c>
      <x:c r="J2487" s="115" t="str">
        <x:v>Non</x:v>
      </x:c>
      <x:c r="K2487" s="115" t="str">
        <x:v>Pièces décrites, murs, portes, niveaux et mobilier inspectables à l’échelle. Volumes réservés, raccord au seed, butin, rencontres et services de campagne restent à terminer.</x:v>
      </x:c>
    </x:row>
    <x:row r="2488" ht="96" customHeight="1">
      <x:c r="A2488" s="115" t="str">
        <x:v>EXT-MONDE-T050-V33</x:v>
      </x:c>
      <x:c r="B2488" s="115" t="str">
        <x:v>EXT-MONDE-T050</x:v>
      </x:c>
      <x:c r="C2488" s="115" t="str">
        <x:v>Parcs attractions</x:v>
      </x:c>
      <x:c r="D2488" s="115" t="str">
        <x:v>Parc à sensations</x:v>
      </x:c>
      <x:c r="E2488" s="115" t="n">
        <x:v>33</x:v>
      </x:c>
      <x:c r="F2488" s="115" t="str">
        <x:v>Inspection physique</x:v>
      </x:c>
      <x:c r="G2488" s="115" t="str">
        <x:v>1 niveaux ; 32 pièces ; 248 segments de mur ; 0 transitions. Inspection physique ; architecture complète encore ouverte.</x:v>
      </x:c>
      <x:c r="H2488" s="115" t="str">
        <x:v>L 524 ; l 638 ; hauteur 58 m ; choix de composition auteur ; dimensions réelles à documenter</x:v>
      </x:c>
      <x:c r="I2488" s="115" t="str">
        <x:v>À équilibrer</x:v>
      </x:c>
      <x:c r="J2488" s="115" t="str">
        <x:v>Non</x:v>
      </x:c>
      <x:c r="K2488" s="115" t="str">
        <x:v>Pièces décrites, murs, portes, niveaux et mobilier inspectables à l’échelle. Volumes réservés, raccord au seed, butin, rencontres et services de campagne restent à terminer.</x:v>
      </x:c>
    </x:row>
    <x:row r="2489" ht="96" customHeight="1">
      <x:c r="A2489" s="115" t="str">
        <x:v>EXT-MONDE-T050-V34</x:v>
      </x:c>
      <x:c r="B2489" s="115" t="str">
        <x:v>EXT-MONDE-T050</x:v>
      </x:c>
      <x:c r="C2489" s="115" t="str">
        <x:v>Parcs attractions</x:v>
      </x:c>
      <x:c r="D2489" s="115" t="str">
        <x:v>Parc à sensations</x:v>
      </x:c>
      <x:c r="E2489" s="115" t="n">
        <x:v>34</x:v>
      </x:c>
      <x:c r="F2489" s="115" t="str">
        <x:v>Inspection physique</x:v>
      </x:c>
      <x:c r="G2489" s="115" t="str">
        <x:v>1 niveaux ; 32 pièces ; 248 segments de mur ; 0 transitions. Inspection physique ; architecture complète encore ouverte.</x:v>
      </x:c>
      <x:c r="H2489" s="115" t="str">
        <x:v>L 524 ; l 638 ; hauteur 58 m ; choix de composition auteur ; dimensions réelles à documenter</x:v>
      </x:c>
      <x:c r="I2489" s="115" t="str">
        <x:v>À équilibrer</x:v>
      </x:c>
      <x:c r="J2489" s="115" t="str">
        <x:v>Non</x:v>
      </x:c>
      <x:c r="K2489" s="115" t="str">
        <x:v>Pièces décrites, murs, portes, niveaux et mobilier inspectables à l’échelle. Volumes réservés, raccord au seed, butin, rencontres et services de campagne restent à terminer.</x:v>
      </x:c>
    </x:row>
    <x:row r="2490" ht="96" customHeight="1">
      <x:c r="A2490" s="115" t="str">
        <x:v>EXT-MONDE-T050-V35</x:v>
      </x:c>
      <x:c r="B2490" s="115" t="str">
        <x:v>EXT-MONDE-T050</x:v>
      </x:c>
      <x:c r="C2490" s="115" t="str">
        <x:v>Parcs attractions</x:v>
      </x:c>
      <x:c r="D2490" s="115" t="str">
        <x:v>Parc à sensations</x:v>
      </x:c>
      <x:c r="E2490" s="115" t="n">
        <x:v>35</x:v>
      </x:c>
      <x:c r="F2490" s="115" t="str">
        <x:v>Inspection physique</x:v>
      </x:c>
      <x:c r="G2490" s="115" t="str">
        <x:v>1 niveaux ; 32 pièces ; 248 segments de mur ; 0 transitions. Inspection physique ; architecture complète encore ouverte.</x:v>
      </x:c>
      <x:c r="H2490" s="115" t="str">
        <x:v>L 524 ; l 638 ; hauteur 58 m ; choix de composition auteur ; dimensions réelles à documenter</x:v>
      </x:c>
      <x:c r="I2490" s="115" t="str">
        <x:v>À équilibrer</x:v>
      </x:c>
      <x:c r="J2490" s="115" t="str">
        <x:v>Non</x:v>
      </x:c>
      <x:c r="K2490" s="115" t="str">
        <x:v>Pièces décrites, murs, portes, niveaux et mobilier inspectables à l’échelle. Volumes réservés, raccord au seed, butin, rencontres et services de campagne restent à terminer.</x:v>
      </x:c>
    </x:row>
    <x:row r="2491" ht="96" customHeight="1">
      <x:c r="A2491" s="115" t="str">
        <x:v>EXT-MONDE-T050-V36</x:v>
      </x:c>
      <x:c r="B2491" s="115" t="str">
        <x:v>EXT-MONDE-T050</x:v>
      </x:c>
      <x:c r="C2491" s="115" t="str">
        <x:v>Parcs attractions</x:v>
      </x:c>
      <x:c r="D2491" s="115" t="str">
        <x:v>Parc à sensations</x:v>
      </x:c>
      <x:c r="E2491" s="115" t="n">
        <x:v>36</x:v>
      </x:c>
      <x:c r="F2491" s="115" t="str">
        <x:v>Inspection physique</x:v>
      </x:c>
      <x:c r="G2491" s="115" t="str">
        <x:v>1 niveaux ; 32 pièces ; 248 segments de mur ; 0 transitions. Inspection physique ; architecture complète encore ouverte.</x:v>
      </x:c>
      <x:c r="H2491" s="115" t="str">
        <x:v>L 524 ; l 638 ; hauteur 58 m ; choix de composition auteur ; dimensions réelles à documenter</x:v>
      </x:c>
      <x:c r="I2491" s="115" t="str">
        <x:v>À équilibrer</x:v>
      </x:c>
      <x:c r="J2491" s="115" t="str">
        <x:v>Non</x:v>
      </x:c>
      <x:c r="K2491" s="115" t="str">
        <x:v>Pièces décrites, murs, portes, niveaux et mobilier inspectables à l’échelle. Volumes réservés, raccord au seed, butin, rencontres et services de campagne restent à terminer.</x:v>
      </x:c>
    </x:row>
    <x:row r="2492" ht="96" customHeight="1">
      <x:c r="A2492" s="115" t="str">
        <x:v>EXT-MONDE-T050-V37</x:v>
      </x:c>
      <x:c r="B2492" s="115" t="str">
        <x:v>EXT-MONDE-T050</x:v>
      </x:c>
      <x:c r="C2492" s="115" t="str">
        <x:v>Parcs attractions</x:v>
      </x:c>
      <x:c r="D2492" s="115" t="str">
        <x:v>Parc à sensations</x:v>
      </x:c>
      <x:c r="E2492" s="115" t="n">
        <x:v>37</x:v>
      </x:c>
      <x:c r="F2492" s="115" t="str">
        <x:v>Inspection physique</x:v>
      </x:c>
      <x:c r="G2492" s="115" t="str">
        <x:v>1 niveaux ; 32 pièces ; 248 segments de mur ; 0 transitions. Inspection physique ; architecture complète encore ouverte.</x:v>
      </x:c>
      <x:c r="H2492" s="115" t="str">
        <x:v>L 524 ; l 638 ; hauteur 58 m ; choix de composition auteur ; dimensions réelles à documenter</x:v>
      </x:c>
      <x:c r="I2492" s="115" t="str">
        <x:v>À équilibrer</x:v>
      </x:c>
      <x:c r="J2492" s="115" t="str">
        <x:v>Non</x:v>
      </x:c>
      <x:c r="K2492" s="115" t="str">
        <x:v>Pièces décrites, murs, portes, niveaux et mobilier inspectables à l’échelle. Volumes réservés, raccord au seed, butin, rencontres et services de campagne restent à terminer.</x:v>
      </x:c>
    </x:row>
    <x:row r="2493" ht="96" customHeight="1">
      <x:c r="A2493" s="115" t="str">
        <x:v>EXT-MONDE-T050-V38</x:v>
      </x:c>
      <x:c r="B2493" s="115" t="str">
        <x:v>EXT-MONDE-T050</x:v>
      </x:c>
      <x:c r="C2493" s="115" t="str">
        <x:v>Parcs attractions</x:v>
      </x:c>
      <x:c r="D2493" s="115" t="str">
        <x:v>Parc à sensations</x:v>
      </x:c>
      <x:c r="E2493" s="115" t="n">
        <x:v>38</x:v>
      </x:c>
      <x:c r="F2493" s="115" t="str">
        <x:v>Inspection physique</x:v>
      </x:c>
      <x:c r="G2493" s="115" t="str">
        <x:v>1 niveaux ; 32 pièces ; 248 segments de mur ; 0 transitions. Inspection physique ; architecture complète encore ouverte.</x:v>
      </x:c>
      <x:c r="H2493" s="115" t="str">
        <x:v>L 524 ; l 638 ; hauteur 58 m ; choix de composition auteur ; dimensions réelles à documenter</x:v>
      </x:c>
      <x:c r="I2493" s="115" t="str">
        <x:v>À équilibrer</x:v>
      </x:c>
      <x:c r="J2493" s="115" t="str">
        <x:v>Non</x:v>
      </x:c>
      <x:c r="K2493" s="115" t="str">
        <x:v>Pièces décrites, murs, portes, niveaux et mobilier inspectables à l’échelle. Volumes réservés, raccord au seed, butin, rencontres et services de campagne restent à terminer.</x:v>
      </x:c>
    </x:row>
    <x:row r="2494" ht="96" customHeight="1">
      <x:c r="A2494" s="115" t="str">
        <x:v>EXT-MONDE-T050-V39</x:v>
      </x:c>
      <x:c r="B2494" s="115" t="str">
        <x:v>EXT-MONDE-T050</x:v>
      </x:c>
      <x:c r="C2494" s="115" t="str">
        <x:v>Parcs attractions</x:v>
      </x:c>
      <x:c r="D2494" s="115" t="str">
        <x:v>Parc à sensations</x:v>
      </x:c>
      <x:c r="E2494" s="115" t="n">
        <x:v>39</x:v>
      </x:c>
      <x:c r="F2494" s="115" t="str">
        <x:v>Inspection physique</x:v>
      </x:c>
      <x:c r="G2494" s="115" t="str">
        <x:v>1 niveaux ; 32 pièces ; 248 segments de mur ; 0 transitions. Inspection physique ; architecture complète encore ouverte.</x:v>
      </x:c>
      <x:c r="H2494" s="115" t="str">
        <x:v>L 524 ; l 638 ; hauteur 58 m ; choix de composition auteur ; dimensions réelles à documenter</x:v>
      </x:c>
      <x:c r="I2494" s="115" t="str">
        <x:v>À équilibrer</x:v>
      </x:c>
      <x:c r="J2494" s="115" t="str">
        <x:v>Non</x:v>
      </x:c>
      <x:c r="K2494" s="115" t="str">
        <x:v>Pièces décrites, murs, portes, niveaux et mobilier inspectables à l’échelle. Volumes réservés, raccord au seed, butin, rencontres et services de campagne restent à terminer.</x:v>
      </x:c>
    </x:row>
    <x:row r="2495" ht="96" customHeight="1">
      <x:c r="A2495" s="115" t="str">
        <x:v>EXT-MONDE-T050-V40</x:v>
      </x:c>
      <x:c r="B2495" s="115" t="str">
        <x:v>EXT-MONDE-T050</x:v>
      </x:c>
      <x:c r="C2495" s="115" t="str">
        <x:v>Parcs attractions</x:v>
      </x:c>
      <x:c r="D2495" s="115" t="str">
        <x:v>Parc à sensations</x:v>
      </x:c>
      <x:c r="E2495" s="115" t="n">
        <x:v>40</x:v>
      </x:c>
      <x:c r="F2495" s="115" t="str">
        <x:v>Inspection physique</x:v>
      </x:c>
      <x:c r="G2495" s="115" t="str">
        <x:v>1 niveaux ; 32 pièces ; 248 segments de mur ; 0 transitions. Inspection physique ; architecture complète encore ouverte.</x:v>
      </x:c>
      <x:c r="H2495" s="115" t="str">
        <x:v>L 524 ; l 638 ; hauteur 58 m ; choix de composition auteur ; dimensions réelles à documenter</x:v>
      </x:c>
      <x:c r="I2495" s="115" t="str">
        <x:v>À équilibrer</x:v>
      </x:c>
      <x:c r="J2495" s="115" t="str">
        <x:v>Non</x:v>
      </x:c>
      <x:c r="K2495" s="115" t="str">
        <x:v>Pièces décrites, murs, portes, niveaux et mobilier inspectables à l’échelle. Volumes réservés, raccord au seed, butin, rencontres et services de campagne restent à terminer.</x:v>
      </x:c>
    </x:row>
    <x:row r="2496" ht="96" customHeight="1">
      <x:c r="A2496" s="115" t="str">
        <x:v>EXT-MONDE-T050-V41</x:v>
      </x:c>
      <x:c r="B2496" s="115" t="str">
        <x:v>EXT-MONDE-T050</x:v>
      </x:c>
      <x:c r="C2496" s="115" t="str">
        <x:v>Parcs attractions</x:v>
      </x:c>
      <x:c r="D2496" s="115" t="str">
        <x:v>Parc à sensations</x:v>
      </x:c>
      <x:c r="E2496" s="115" t="n">
        <x:v>41</x:v>
      </x:c>
      <x:c r="F2496" s="115" t="str">
        <x:v>Inspection physique</x:v>
      </x:c>
      <x:c r="G2496" s="115" t="str">
        <x:v>1 niveaux ; 32 pièces ; 248 segments de mur ; 0 transitions. Inspection physique ; architecture complète encore ouverte.</x:v>
      </x:c>
      <x:c r="H2496" s="115" t="str">
        <x:v>L 536 ; l 646 ; hauteur 58 m ; choix de composition auteur ; dimensions réelles à documenter</x:v>
      </x:c>
      <x:c r="I2496" s="115" t="str">
        <x:v>À équilibrer</x:v>
      </x:c>
      <x:c r="J2496" s="115" t="str">
        <x:v>Non</x:v>
      </x:c>
      <x:c r="K2496" s="115" t="str">
        <x:v>Pièces décrites, murs, portes, niveaux et mobilier inspectables à l’échelle. Volumes réservés, raccord au seed, butin, rencontres et services de campagne restent à terminer.</x:v>
      </x:c>
    </x:row>
    <x:row r="2497" ht="96" customHeight="1">
      <x:c r="A2497" s="115" t="str">
        <x:v>EXT-MONDE-T050-V42</x:v>
      </x:c>
      <x:c r="B2497" s="115" t="str">
        <x:v>EXT-MONDE-T050</x:v>
      </x:c>
      <x:c r="C2497" s="115" t="str">
        <x:v>Parcs attractions</x:v>
      </x:c>
      <x:c r="D2497" s="115" t="str">
        <x:v>Parc à sensations</x:v>
      </x:c>
      <x:c r="E2497" s="115" t="n">
        <x:v>42</x:v>
      </x:c>
      <x:c r="F2497" s="115" t="str">
        <x:v>Inspection physique</x:v>
      </x:c>
      <x:c r="G2497" s="115" t="str">
        <x:v>1 niveaux ; 32 pièces ; 248 segments de mur ; 0 transitions. Inspection physique ; architecture complète encore ouverte.</x:v>
      </x:c>
      <x:c r="H2497" s="115" t="str">
        <x:v>L 536 ; l 646 ; hauteur 58 m ; choix de composition auteur ; dimensions réelles à documenter</x:v>
      </x:c>
      <x:c r="I2497" s="115" t="str">
        <x:v>À équilibrer</x:v>
      </x:c>
      <x:c r="J2497" s="115" t="str">
        <x:v>Non</x:v>
      </x:c>
      <x:c r="K2497" s="115" t="str">
        <x:v>Pièces décrites, murs, portes, niveaux et mobilier inspectables à l’échelle. Volumes réservés, raccord au seed, butin, rencontres et services de campagne restent à terminer.</x:v>
      </x:c>
    </x:row>
    <x:row r="2498" ht="96" customHeight="1">
      <x:c r="A2498" s="115" t="str">
        <x:v>EXT-MONDE-T050-V43</x:v>
      </x:c>
      <x:c r="B2498" s="115" t="str">
        <x:v>EXT-MONDE-T050</x:v>
      </x:c>
      <x:c r="C2498" s="115" t="str">
        <x:v>Parcs attractions</x:v>
      </x:c>
      <x:c r="D2498" s="115" t="str">
        <x:v>Parc à sensations</x:v>
      </x:c>
      <x:c r="E2498" s="115" t="n">
        <x:v>43</x:v>
      </x:c>
      <x:c r="F2498" s="115" t="str">
        <x:v>Inspection physique</x:v>
      </x:c>
      <x:c r="G2498" s="115" t="str">
        <x:v>1 niveaux ; 32 pièces ; 248 segments de mur ; 0 transitions. Inspection physique ; architecture complète encore ouverte.</x:v>
      </x:c>
      <x:c r="H2498" s="115" t="str">
        <x:v>L 536 ; l 646 ; hauteur 58 m ; choix de composition auteur ; dimensions réelles à documenter</x:v>
      </x:c>
      <x:c r="I2498" s="115" t="str">
        <x:v>À équilibrer</x:v>
      </x:c>
      <x:c r="J2498" s="115" t="str">
        <x:v>Non</x:v>
      </x:c>
      <x:c r="K2498" s="115" t="str">
        <x:v>Pièces décrites, murs, portes, niveaux et mobilier inspectables à l’échelle. Volumes réservés, raccord au seed, butin, rencontres et services de campagne restent à terminer.</x:v>
      </x:c>
    </x:row>
    <x:row r="2499" ht="96" customHeight="1">
      <x:c r="A2499" s="115" t="str">
        <x:v>EXT-MONDE-T050-V44</x:v>
      </x:c>
      <x:c r="B2499" s="115" t="str">
        <x:v>EXT-MONDE-T050</x:v>
      </x:c>
      <x:c r="C2499" s="115" t="str">
        <x:v>Parcs attractions</x:v>
      </x:c>
      <x:c r="D2499" s="115" t="str">
        <x:v>Parc à sensations</x:v>
      </x:c>
      <x:c r="E2499" s="115" t="n">
        <x:v>44</x:v>
      </x:c>
      <x:c r="F2499" s="115" t="str">
        <x:v>Inspection physique</x:v>
      </x:c>
      <x:c r="G2499" s="115" t="str">
        <x:v>1 niveaux ; 32 pièces ; 248 segments de mur ; 0 transitions. Inspection physique ; architecture complète encore ouverte.</x:v>
      </x:c>
      <x:c r="H2499" s="115" t="str">
        <x:v>L 536 ; l 646 ; hauteur 58 m ; choix de composition auteur ; dimensions réelles à documenter</x:v>
      </x:c>
      <x:c r="I2499" s="115" t="str">
        <x:v>À équilibrer</x:v>
      </x:c>
      <x:c r="J2499" s="115" t="str">
        <x:v>Non</x:v>
      </x:c>
      <x:c r="K2499" s="115" t="str">
        <x:v>Pièces décrites, murs, portes, niveaux et mobilier inspectables à l’échelle. Volumes réservés, raccord au seed, butin, rencontres et services de campagne restent à terminer.</x:v>
      </x:c>
    </x:row>
    <x:row r="2500" ht="96" customHeight="1">
      <x:c r="A2500" s="115" t="str">
        <x:v>EXT-MONDE-T050-V45</x:v>
      </x:c>
      <x:c r="B2500" s="115" t="str">
        <x:v>EXT-MONDE-T050</x:v>
      </x:c>
      <x:c r="C2500" s="115" t="str">
        <x:v>Parcs attractions</x:v>
      </x:c>
      <x:c r="D2500" s="115" t="str">
        <x:v>Parc à sensations</x:v>
      </x:c>
      <x:c r="E2500" s="115" t="n">
        <x:v>45</x:v>
      </x:c>
      <x:c r="F2500" s="115" t="str">
        <x:v>Inspection physique</x:v>
      </x:c>
      <x:c r="G2500" s="115" t="str">
        <x:v>1 niveaux ; 32 pièces ; 248 segments de mur ; 0 transitions. Inspection physique ; architecture complète encore ouverte.</x:v>
      </x:c>
      <x:c r="H2500" s="115" t="str">
        <x:v>L 536 ; l 646 ; hauteur 58 m ; choix de composition auteur ; dimensions réelles à documenter</x:v>
      </x:c>
      <x:c r="I2500" s="115" t="str">
        <x:v>À équilibrer</x:v>
      </x:c>
      <x:c r="J2500" s="115" t="str">
        <x:v>Non</x:v>
      </x:c>
      <x:c r="K2500" s="115" t="str">
        <x:v>Pièces décrites, murs, portes, niveaux et mobilier inspectables à l’échelle. Volumes réservés, raccord au seed, butin, rencontres et services de campagne restent à terminer.</x:v>
      </x:c>
    </x:row>
    <x:row r="2501" ht="96" customHeight="1">
      <x:c r="A2501" s="115" t="str">
        <x:v>EXT-MONDE-T050-V46</x:v>
      </x:c>
      <x:c r="B2501" s="115" t="str">
        <x:v>EXT-MONDE-T050</x:v>
      </x:c>
      <x:c r="C2501" s="115" t="str">
        <x:v>Parcs attractions</x:v>
      </x:c>
      <x:c r="D2501" s="115" t="str">
        <x:v>Parc à sensations</x:v>
      </x:c>
      <x:c r="E2501" s="115" t="n">
        <x:v>46</x:v>
      </x:c>
      <x:c r="F2501" s="115" t="str">
        <x:v>Inspection physique</x:v>
      </x:c>
      <x:c r="G2501" s="115" t="str">
        <x:v>1 niveaux ; 32 pièces ; 248 segments de mur ; 0 transitions. Inspection physique ; architecture complète encore ouverte.</x:v>
      </x:c>
      <x:c r="H2501" s="115" t="str">
        <x:v>L 536 ; l 646 ; hauteur 58 m ; choix de composition auteur ; dimensions réelles à documenter</x:v>
      </x:c>
      <x:c r="I2501" s="115" t="str">
        <x:v>À équilibrer</x:v>
      </x:c>
      <x:c r="J2501" s="115" t="str">
        <x:v>Non</x:v>
      </x:c>
      <x:c r="K2501" s="115" t="str">
        <x:v>Pièces décrites, murs, portes, niveaux et mobilier inspectables à l’échelle. Volumes réservés, raccord au seed, butin, rencontres et services de campagne restent à terminer.</x:v>
      </x:c>
    </x:row>
    <x:row r="2502" ht="96" customHeight="1">
      <x:c r="A2502" s="115" t="str">
        <x:v>EXT-MONDE-T050-V47</x:v>
      </x:c>
      <x:c r="B2502" s="115" t="str">
        <x:v>EXT-MONDE-T050</x:v>
      </x:c>
      <x:c r="C2502" s="115" t="str">
        <x:v>Parcs attractions</x:v>
      </x:c>
      <x:c r="D2502" s="115" t="str">
        <x:v>Parc à sensations</x:v>
      </x:c>
      <x:c r="E2502" s="115" t="n">
        <x:v>47</x:v>
      </x:c>
      <x:c r="F2502" s="115" t="str">
        <x:v>Inspection physique</x:v>
      </x:c>
      <x:c r="G2502" s="115" t="str">
        <x:v>1 niveaux ; 32 pièces ; 248 segments de mur ; 0 transitions. Inspection physique ; architecture complète encore ouverte.</x:v>
      </x:c>
      <x:c r="H2502" s="115" t="str">
        <x:v>L 536 ; l 646 ; hauteur 58 m ; choix de composition auteur ; dimensions réelles à documenter</x:v>
      </x:c>
      <x:c r="I2502" s="115" t="str">
        <x:v>À équilibrer</x:v>
      </x:c>
      <x:c r="J2502" s="115" t="str">
        <x:v>Non</x:v>
      </x:c>
      <x:c r="K2502" s="115" t="str">
        <x:v>Pièces décrites, murs, portes, niveaux et mobilier inspectables à l’échelle. Volumes réservés, raccord au seed, butin, rencontres et services de campagne restent à terminer.</x:v>
      </x:c>
    </x:row>
    <x:row r="2503" ht="96" customHeight="1">
      <x:c r="A2503" s="115" t="str">
        <x:v>EXT-MONDE-T050-V48</x:v>
      </x:c>
      <x:c r="B2503" s="115" t="str">
        <x:v>EXT-MONDE-T050</x:v>
      </x:c>
      <x:c r="C2503" s="115" t="str">
        <x:v>Parcs attractions</x:v>
      </x:c>
      <x:c r="D2503" s="115" t="str">
        <x:v>Parc à sensations</x:v>
      </x:c>
      <x:c r="E2503" s="115" t="n">
        <x:v>48</x:v>
      </x:c>
      <x:c r="F2503" s="115" t="str">
        <x:v>Inspection physique</x:v>
      </x:c>
      <x:c r="G2503" s="115" t="str">
        <x:v>1 niveaux ; 32 pièces ; 248 segments de mur ; 0 transitions. Inspection physique ; architecture complète encore ouverte.</x:v>
      </x:c>
      <x:c r="H2503" s="115" t="str">
        <x:v>L 536 ; l 646 ; hauteur 58 m ; choix de composition auteur ; dimensions réelles à documenter</x:v>
      </x:c>
      <x:c r="I2503" s="115" t="str">
        <x:v>À équilibrer</x:v>
      </x:c>
      <x:c r="J2503" s="115" t="str">
        <x:v>Non</x:v>
      </x:c>
      <x:c r="K2503" s="115" t="str">
        <x:v>Pièces décrites, murs, portes, niveaux et mobilier inspectables à l’échelle. Volumes réservés, raccord au seed, butin, rencontres et services de campagne restent à terminer.</x:v>
      </x:c>
    </x:row>
    <x:row r="2504" ht="96" customHeight="1">
      <x:c r="A2504" s="115" t="str">
        <x:v>EXT-MONDE-T050-V49</x:v>
      </x:c>
      <x:c r="B2504" s="115" t="str">
        <x:v>EXT-MONDE-T050</x:v>
      </x:c>
      <x:c r="C2504" s="115" t="str">
        <x:v>Parcs attractions</x:v>
      </x:c>
      <x:c r="D2504" s="115" t="str">
        <x:v>Parc à sensations</x:v>
      </x:c>
      <x:c r="E2504" s="115" t="n">
        <x:v>49</x:v>
      </x:c>
      <x:c r="F2504" s="115" t="str">
        <x:v>Inspection physique</x:v>
      </x:c>
      <x:c r="G2504" s="115" t="str">
        <x:v>1 niveaux ; 32 pièces ; 248 segments de mur ; 0 transitions. Inspection physique ; architecture complète encore ouverte.</x:v>
      </x:c>
      <x:c r="H2504" s="115" t="str">
        <x:v>L 536 ; l 646 ; hauteur 58 m ; choix de composition auteur ; dimensions réelles à documenter</x:v>
      </x:c>
      <x:c r="I2504" s="115" t="str">
        <x:v>À équilibrer</x:v>
      </x:c>
      <x:c r="J2504" s="115" t="str">
        <x:v>Non</x:v>
      </x:c>
      <x:c r="K2504" s="115" t="str">
        <x:v>Pièces décrites, murs, portes, niveaux et mobilier inspectables à l’échelle. Volumes réservés, raccord au seed, butin, rencontres et services de campagne restent à terminer.</x:v>
      </x:c>
    </x:row>
    <x:row r="2505" ht="96" customHeight="1">
      <x:c r="A2505" s="115" t="str">
        <x:v>EXT-MONDE-T050-V50</x:v>
      </x:c>
      <x:c r="B2505" s="115" t="str">
        <x:v>EXT-MONDE-T050</x:v>
      </x:c>
      <x:c r="C2505" s="115" t="str">
        <x:v>Parcs attractions</x:v>
      </x:c>
      <x:c r="D2505" s="115" t="str">
        <x:v>Parc à sensations</x:v>
      </x:c>
      <x:c r="E2505" s="115" t="n">
        <x:v>50</x:v>
      </x:c>
      <x:c r="F2505" s="115" t="str">
        <x:v>Inspection physique</x:v>
      </x:c>
      <x:c r="G2505" s="115" t="str">
        <x:v>1 niveaux ; 32 pièces ; 248 segments de mur ; 0 transitions. Inspection physique ; architecture complète encore ouverte.</x:v>
      </x:c>
      <x:c r="H2505" s="115" t="str">
        <x:v>L 536 ; l 646 ; hauteur 58 m ; choix de composition auteur ; dimensions réelles à documenter</x:v>
      </x:c>
      <x:c r="I2505" s="115" t="str">
        <x:v>À équilibrer</x:v>
      </x:c>
      <x:c r="J2505" s="115" t="str">
        <x:v>Non</x:v>
      </x:c>
      <x:c r="K2505" s="115" t="str">
        <x:v>Pièces décrites, murs, portes, niveaux et mobilier inspectables à l’échelle. Volumes réservés, raccord au seed, butin, rencontres et services de campagne restent à terminer.</x:v>
      </x:c>
    </x:row>
    <x:row r="2506" ht="96" customHeight="1">
      <x:c r="A2506" s="115" t="str">
        <x:v>EXT-MONDE-T051-V01</x:v>
      </x:c>
      <x:c r="B2506" s="115" t="str">
        <x:v>EXT-MONDE-T051</x:v>
      </x:c>
      <x:c r="C2506" s="115" t="str">
        <x:v>Parcs attractions</x:v>
      </x:c>
      <x:c r="D2506" s="115" t="str">
        <x:v>Parc aquatique</x:v>
      </x:c>
      <x:c r="E2506" s="115" t="n">
        <x:v>1</x:v>
      </x:c>
      <x:c r="F2506" s="115" t="str">
        <x:v>Inspection physique</x:v>
      </x:c>
      <x:c r="G2506" s="115" t="str">
        <x:v>1 niveaux ; 32 pièces ; 248 segments de mur ; 0 transitions. Inspection physique ; architecture complète encore ouverte.</x:v>
      </x:c>
      <x:c r="H2506" s="115" t="str">
        <x:v>L 362 ; l 446 ; hauteur 18 m ; choix de composition auteur ; dimensions réelles à documenter</x:v>
      </x:c>
      <x:c r="I2506" s="115" t="str">
        <x:v>À équilibrer</x:v>
      </x:c>
      <x:c r="J2506" s="115" t="str">
        <x:v>Non</x:v>
      </x:c>
      <x:c r="K2506" s="115" t="str">
        <x:v>Pièces décrites, murs, portes, niveaux et mobilier inspectables à l’échelle. Volumes réservés, raccord au seed, butin, rencontres et services de campagne restent à terminer.</x:v>
      </x:c>
    </x:row>
    <x:row r="2507" ht="96" customHeight="1">
      <x:c r="A2507" s="115" t="str">
        <x:v>EXT-MONDE-T051-V02</x:v>
      </x:c>
      <x:c r="B2507" s="115" t="str">
        <x:v>EXT-MONDE-T051</x:v>
      </x:c>
      <x:c r="C2507" s="115" t="str">
        <x:v>Parcs attractions</x:v>
      </x:c>
      <x:c r="D2507" s="115" t="str">
        <x:v>Parc aquatique</x:v>
      </x:c>
      <x:c r="E2507" s="115" t="n">
        <x:v>2</x:v>
      </x:c>
      <x:c r="F2507" s="115" t="str">
        <x:v>Inspection physique</x:v>
      </x:c>
      <x:c r="G2507" s="115" t="str">
        <x:v>1 niveaux ; 32 pièces ; 248 segments de mur ; 0 transitions. Inspection physique ; architecture complète encore ouverte.</x:v>
      </x:c>
      <x:c r="H2507" s="115" t="str">
        <x:v>L 362 ; l 446 ; hauteur 18 m ; choix de composition auteur ; dimensions réelles à documenter</x:v>
      </x:c>
      <x:c r="I2507" s="115" t="str">
        <x:v>À équilibrer</x:v>
      </x:c>
      <x:c r="J2507" s="115" t="str">
        <x:v>Non</x:v>
      </x:c>
      <x:c r="K2507" s="115" t="str">
        <x:v>Pièces décrites, murs, portes, niveaux et mobilier inspectables à l’échelle. Volumes réservés, raccord au seed, butin, rencontres et services de campagne restent à terminer.</x:v>
      </x:c>
    </x:row>
    <x:row r="2508" ht="96" customHeight="1">
      <x:c r="A2508" s="115" t="str">
        <x:v>EXT-MONDE-T051-V03</x:v>
      </x:c>
      <x:c r="B2508" s="115" t="str">
        <x:v>EXT-MONDE-T051</x:v>
      </x:c>
      <x:c r="C2508" s="115" t="str">
        <x:v>Parcs attractions</x:v>
      </x:c>
      <x:c r="D2508" s="115" t="str">
        <x:v>Parc aquatique</x:v>
      </x:c>
      <x:c r="E2508" s="115" t="n">
        <x:v>3</x:v>
      </x:c>
      <x:c r="F2508" s="115" t="str">
        <x:v>Inspection physique</x:v>
      </x:c>
      <x:c r="G2508" s="115" t="str">
        <x:v>1 niveaux ; 32 pièces ; 248 segments de mur ; 0 transitions. Inspection physique ; architecture complète encore ouverte.</x:v>
      </x:c>
      <x:c r="H2508" s="115" t="str">
        <x:v>L 362 ; l 446 ; hauteur 18 m ; choix de composition auteur ; dimensions réelles à documenter</x:v>
      </x:c>
      <x:c r="I2508" s="115" t="str">
        <x:v>À équilibrer</x:v>
      </x:c>
      <x:c r="J2508" s="115" t="str">
        <x:v>Non</x:v>
      </x:c>
      <x:c r="K2508" s="115" t="str">
        <x:v>Pièces décrites, murs, portes, niveaux et mobilier inspectables à l’échelle. Volumes réservés, raccord au seed, butin, rencontres et services de campagne restent à terminer.</x:v>
      </x:c>
    </x:row>
    <x:row r="2509" ht="96" customHeight="1">
      <x:c r="A2509" s="115" t="str">
        <x:v>EXT-MONDE-T051-V04</x:v>
      </x:c>
      <x:c r="B2509" s="115" t="str">
        <x:v>EXT-MONDE-T051</x:v>
      </x:c>
      <x:c r="C2509" s="115" t="str">
        <x:v>Parcs attractions</x:v>
      </x:c>
      <x:c r="D2509" s="115" t="str">
        <x:v>Parc aquatique</x:v>
      </x:c>
      <x:c r="E2509" s="115" t="n">
        <x:v>4</x:v>
      </x:c>
      <x:c r="F2509" s="115" t="str">
        <x:v>Inspection physique</x:v>
      </x:c>
      <x:c r="G2509" s="115" t="str">
        <x:v>1 niveaux ; 32 pièces ; 248 segments de mur ; 0 transitions. Inspection physique ; architecture complète encore ouverte.</x:v>
      </x:c>
      <x:c r="H2509" s="115" t="str">
        <x:v>L 362 ; l 446 ; hauteur 18 m ; choix de composition auteur ; dimensions réelles à documenter</x:v>
      </x:c>
      <x:c r="I2509" s="115" t="str">
        <x:v>À équilibrer</x:v>
      </x:c>
      <x:c r="J2509" s="115" t="str">
        <x:v>Non</x:v>
      </x:c>
      <x:c r="K2509" s="115" t="str">
        <x:v>Pièces décrites, murs, portes, niveaux et mobilier inspectables à l’échelle. Volumes réservés, raccord au seed, butin, rencontres et services de campagne restent à terminer.</x:v>
      </x:c>
    </x:row>
    <x:row r="2510" ht="96" customHeight="1">
      <x:c r="A2510" s="115" t="str">
        <x:v>EXT-MONDE-T051-V05</x:v>
      </x:c>
      <x:c r="B2510" s="115" t="str">
        <x:v>EXT-MONDE-T051</x:v>
      </x:c>
      <x:c r="C2510" s="115" t="str">
        <x:v>Parcs attractions</x:v>
      </x:c>
      <x:c r="D2510" s="115" t="str">
        <x:v>Parc aquatique</x:v>
      </x:c>
      <x:c r="E2510" s="115" t="n">
        <x:v>5</x:v>
      </x:c>
      <x:c r="F2510" s="115" t="str">
        <x:v>Inspection physique</x:v>
      </x:c>
      <x:c r="G2510" s="115" t="str">
        <x:v>1 niveaux ; 32 pièces ; 248 segments de mur ; 0 transitions. Inspection physique ; architecture complète encore ouverte.</x:v>
      </x:c>
      <x:c r="H2510" s="115" t="str">
        <x:v>L 362 ; l 446 ; hauteur 18 m ; choix de composition auteur ; dimensions réelles à documenter</x:v>
      </x:c>
      <x:c r="I2510" s="115" t="str">
        <x:v>À équilibrer</x:v>
      </x:c>
      <x:c r="J2510" s="115" t="str">
        <x:v>Non</x:v>
      </x:c>
      <x:c r="K2510" s="115" t="str">
        <x:v>Pièces décrites, murs, portes, niveaux et mobilier inspectables à l’échelle. Volumes réservés, raccord au seed, butin, rencontres et services de campagne restent à terminer.</x:v>
      </x:c>
    </x:row>
    <x:row r="2511" ht="96" customHeight="1">
      <x:c r="A2511" s="115" t="str">
        <x:v>EXT-MONDE-T051-V06</x:v>
      </x:c>
      <x:c r="B2511" s="115" t="str">
        <x:v>EXT-MONDE-T051</x:v>
      </x:c>
      <x:c r="C2511" s="115" t="str">
        <x:v>Parcs attractions</x:v>
      </x:c>
      <x:c r="D2511" s="115" t="str">
        <x:v>Parc aquatique</x:v>
      </x:c>
      <x:c r="E2511" s="115" t="n">
        <x:v>6</x:v>
      </x:c>
      <x:c r="F2511" s="115" t="str">
        <x:v>Inspection physique</x:v>
      </x:c>
      <x:c r="G2511" s="115" t="str">
        <x:v>1 niveaux ; 32 pièces ; 248 segments de mur ; 0 transitions. Inspection physique ; architecture complète encore ouverte.</x:v>
      </x:c>
      <x:c r="H2511" s="115" t="str">
        <x:v>L 362 ; l 446 ; hauteur 18 m ; choix de composition auteur ; dimensions réelles à documenter</x:v>
      </x:c>
      <x:c r="I2511" s="115" t="str">
        <x:v>À équilibrer</x:v>
      </x:c>
      <x:c r="J2511" s="115" t="str">
        <x:v>Non</x:v>
      </x:c>
      <x:c r="K2511" s="115" t="str">
        <x:v>Pièces décrites, murs, portes, niveaux et mobilier inspectables à l’échelle. Volumes réservés, raccord au seed, butin, rencontres et services de campagne restent à terminer.</x:v>
      </x:c>
    </x:row>
    <x:row r="2512" ht="96" customHeight="1">
      <x:c r="A2512" s="115" t="str">
        <x:v>EXT-MONDE-T051-V07</x:v>
      </x:c>
      <x:c r="B2512" s="115" t="str">
        <x:v>EXT-MONDE-T051</x:v>
      </x:c>
      <x:c r="C2512" s="115" t="str">
        <x:v>Parcs attractions</x:v>
      </x:c>
      <x:c r="D2512" s="115" t="str">
        <x:v>Parc aquatique</x:v>
      </x:c>
      <x:c r="E2512" s="115" t="n">
        <x:v>7</x:v>
      </x:c>
      <x:c r="F2512" s="115" t="str">
        <x:v>Inspection physique</x:v>
      </x:c>
      <x:c r="G2512" s="115" t="str">
        <x:v>1 niveaux ; 32 pièces ; 248 segments de mur ; 0 transitions. Inspection physique ; architecture complète encore ouverte.</x:v>
      </x:c>
      <x:c r="H2512" s="115" t="str">
        <x:v>L 362 ; l 446 ; hauteur 18 m ; choix de composition auteur ; dimensions réelles à documenter</x:v>
      </x:c>
      <x:c r="I2512" s="115" t="str">
        <x:v>À équilibrer</x:v>
      </x:c>
      <x:c r="J2512" s="115" t="str">
        <x:v>Non</x:v>
      </x:c>
      <x:c r="K2512" s="115" t="str">
        <x:v>Pièces décrites, murs, portes, niveaux et mobilier inspectables à l’échelle. Volumes réservés, raccord au seed, butin, rencontres et services de campagne restent à terminer.</x:v>
      </x:c>
    </x:row>
    <x:row r="2513" ht="96" customHeight="1">
      <x:c r="A2513" s="115" t="str">
        <x:v>EXT-MONDE-T051-V08</x:v>
      </x:c>
      <x:c r="B2513" s="115" t="str">
        <x:v>EXT-MONDE-T051</x:v>
      </x:c>
      <x:c r="C2513" s="115" t="str">
        <x:v>Parcs attractions</x:v>
      </x:c>
      <x:c r="D2513" s="115" t="str">
        <x:v>Parc aquatique</x:v>
      </x:c>
      <x:c r="E2513" s="115" t="n">
        <x:v>8</x:v>
      </x:c>
      <x:c r="F2513" s="115" t="str">
        <x:v>Inspection physique</x:v>
      </x:c>
      <x:c r="G2513" s="115" t="str">
        <x:v>1 niveaux ; 32 pièces ; 248 segments de mur ; 0 transitions. Inspection physique ; architecture complète encore ouverte.</x:v>
      </x:c>
      <x:c r="H2513" s="115" t="str">
        <x:v>L 362 ; l 446 ; hauteur 18 m ; choix de composition auteur ; dimensions réelles à documenter</x:v>
      </x:c>
      <x:c r="I2513" s="115" t="str">
        <x:v>À équilibrer</x:v>
      </x:c>
      <x:c r="J2513" s="115" t="str">
        <x:v>Non</x:v>
      </x:c>
      <x:c r="K2513" s="115" t="str">
        <x:v>Pièces décrites, murs, portes, niveaux et mobilier inspectables à l’échelle. Volumes réservés, raccord au seed, butin, rencontres et services de campagne restent à terminer.</x:v>
      </x:c>
    </x:row>
    <x:row r="2514" ht="96" customHeight="1">
      <x:c r="A2514" s="115" t="str">
        <x:v>EXT-MONDE-T051-V09</x:v>
      </x:c>
      <x:c r="B2514" s="115" t="str">
        <x:v>EXT-MONDE-T051</x:v>
      </x:c>
      <x:c r="C2514" s="115" t="str">
        <x:v>Parcs attractions</x:v>
      </x:c>
      <x:c r="D2514" s="115" t="str">
        <x:v>Parc aquatique</x:v>
      </x:c>
      <x:c r="E2514" s="115" t="n">
        <x:v>9</x:v>
      </x:c>
      <x:c r="F2514" s="115" t="str">
        <x:v>Inspection physique</x:v>
      </x:c>
      <x:c r="G2514" s="115" t="str">
        <x:v>1 niveaux ; 32 pièces ; 248 segments de mur ; 0 transitions. Inspection physique ; architecture complète encore ouverte.</x:v>
      </x:c>
      <x:c r="H2514" s="115" t="str">
        <x:v>L 362 ; l 446 ; hauteur 18 m ; choix de composition auteur ; dimensions réelles à documenter</x:v>
      </x:c>
      <x:c r="I2514" s="115" t="str">
        <x:v>À équilibrer</x:v>
      </x:c>
      <x:c r="J2514" s="115" t="str">
        <x:v>Non</x:v>
      </x:c>
      <x:c r="K2514" s="115" t="str">
        <x:v>Pièces décrites, murs, portes, niveaux et mobilier inspectables à l’échelle. Volumes réservés, raccord au seed, butin, rencontres et services de campagne restent à terminer.</x:v>
      </x:c>
    </x:row>
    <x:row r="2515" ht="96" customHeight="1">
      <x:c r="A2515" s="115" t="str">
        <x:v>EXT-MONDE-T051-V10</x:v>
      </x:c>
      <x:c r="B2515" s="115" t="str">
        <x:v>EXT-MONDE-T051</x:v>
      </x:c>
      <x:c r="C2515" s="115" t="str">
        <x:v>Parcs attractions</x:v>
      </x:c>
      <x:c r="D2515" s="115" t="str">
        <x:v>Parc aquatique</x:v>
      </x:c>
      <x:c r="E2515" s="115" t="n">
        <x:v>10</x:v>
      </x:c>
      <x:c r="F2515" s="115" t="str">
        <x:v>Inspection physique</x:v>
      </x:c>
      <x:c r="G2515" s="115" t="str">
        <x:v>1 niveaux ; 32 pièces ; 248 segments de mur ; 0 transitions. Inspection physique ; architecture complète encore ouverte.</x:v>
      </x:c>
      <x:c r="H2515" s="115" t="str">
        <x:v>L 362 ; l 446 ; hauteur 18 m ; choix de composition auteur ; dimensions réelles à documenter</x:v>
      </x:c>
      <x:c r="I2515" s="115" t="str">
        <x:v>À équilibrer</x:v>
      </x:c>
      <x:c r="J2515" s="115" t="str">
        <x:v>Non</x:v>
      </x:c>
      <x:c r="K2515" s="115" t="str">
        <x:v>Pièces décrites, murs, portes, niveaux et mobilier inspectables à l’échelle. Volumes réservés, raccord au seed, butin, rencontres et services de campagne restent à terminer.</x:v>
      </x:c>
    </x:row>
    <x:row r="2516" ht="96" customHeight="1">
      <x:c r="A2516" s="115" t="str">
        <x:v>EXT-MONDE-T051-V11</x:v>
      </x:c>
      <x:c r="B2516" s="115" t="str">
        <x:v>EXT-MONDE-T051</x:v>
      </x:c>
      <x:c r="C2516" s="115" t="str">
        <x:v>Parcs attractions</x:v>
      </x:c>
      <x:c r="D2516" s="115" t="str">
        <x:v>Parc aquatique</x:v>
      </x:c>
      <x:c r="E2516" s="115" t="n">
        <x:v>11</x:v>
      </x:c>
      <x:c r="F2516" s="115" t="str">
        <x:v>Inspection physique</x:v>
      </x:c>
      <x:c r="G2516" s="115" t="str">
        <x:v>1 niveaux ; 32 pièces ; 248 segments de mur ; 0 transitions. Inspection physique ; architecture complète encore ouverte.</x:v>
      </x:c>
      <x:c r="H2516" s="115" t="str">
        <x:v>L 374 ; l 454 ; hauteur 18 m ; choix de composition auteur ; dimensions réelles à documenter</x:v>
      </x:c>
      <x:c r="I2516" s="115" t="str">
        <x:v>À équilibrer</x:v>
      </x:c>
      <x:c r="J2516" s="115" t="str">
        <x:v>Non</x:v>
      </x:c>
      <x:c r="K2516" s="115" t="str">
        <x:v>Pièces décrites, murs, portes, niveaux et mobilier inspectables à l’échelle. Volumes réservés, raccord au seed, butin, rencontres et services de campagne restent à terminer.</x:v>
      </x:c>
    </x:row>
    <x:row r="2517" ht="96" customHeight="1">
      <x:c r="A2517" s="115" t="str">
        <x:v>EXT-MONDE-T051-V12</x:v>
      </x:c>
      <x:c r="B2517" s="115" t="str">
        <x:v>EXT-MONDE-T051</x:v>
      </x:c>
      <x:c r="C2517" s="115" t="str">
        <x:v>Parcs attractions</x:v>
      </x:c>
      <x:c r="D2517" s="115" t="str">
        <x:v>Parc aquatique</x:v>
      </x:c>
      <x:c r="E2517" s="115" t="n">
        <x:v>12</x:v>
      </x:c>
      <x:c r="F2517" s="115" t="str">
        <x:v>Inspection physique</x:v>
      </x:c>
      <x:c r="G2517" s="115" t="str">
        <x:v>1 niveaux ; 32 pièces ; 248 segments de mur ; 0 transitions. Inspection physique ; architecture complète encore ouverte.</x:v>
      </x:c>
      <x:c r="H2517" s="115" t="str">
        <x:v>L 374 ; l 454 ; hauteur 18 m ; choix de composition auteur ; dimensions réelles à documenter</x:v>
      </x:c>
      <x:c r="I2517" s="115" t="str">
        <x:v>À équilibrer</x:v>
      </x:c>
      <x:c r="J2517" s="115" t="str">
        <x:v>Non</x:v>
      </x:c>
      <x:c r="K2517" s="115" t="str">
        <x:v>Pièces décrites, murs, portes, niveaux et mobilier inspectables à l’échelle. Volumes réservés, raccord au seed, butin, rencontres et services de campagne restent à terminer.</x:v>
      </x:c>
    </x:row>
    <x:row r="2518" ht="96" customHeight="1">
      <x:c r="A2518" s="115" t="str">
        <x:v>EXT-MONDE-T051-V13</x:v>
      </x:c>
      <x:c r="B2518" s="115" t="str">
        <x:v>EXT-MONDE-T051</x:v>
      </x:c>
      <x:c r="C2518" s="115" t="str">
        <x:v>Parcs attractions</x:v>
      </x:c>
      <x:c r="D2518" s="115" t="str">
        <x:v>Parc aquatique</x:v>
      </x:c>
      <x:c r="E2518" s="115" t="n">
        <x:v>13</x:v>
      </x:c>
      <x:c r="F2518" s="115" t="str">
        <x:v>Inspection physique</x:v>
      </x:c>
      <x:c r="G2518" s="115" t="str">
        <x:v>1 niveaux ; 32 pièces ; 248 segments de mur ; 0 transitions. Inspection physique ; architecture complète encore ouverte.</x:v>
      </x:c>
      <x:c r="H2518" s="115" t="str">
        <x:v>L 374 ; l 454 ; hauteur 18 m ; choix de composition auteur ; dimensions réelles à documenter</x:v>
      </x:c>
      <x:c r="I2518" s="115" t="str">
        <x:v>À équilibrer</x:v>
      </x:c>
      <x:c r="J2518" s="115" t="str">
        <x:v>Non</x:v>
      </x:c>
      <x:c r="K2518" s="115" t="str">
        <x:v>Pièces décrites, murs, portes, niveaux et mobilier inspectables à l’échelle. Volumes réservés, raccord au seed, butin, rencontres et services de campagne restent à terminer.</x:v>
      </x:c>
    </x:row>
    <x:row r="2519" ht="96" customHeight="1">
      <x:c r="A2519" s="115" t="str">
        <x:v>EXT-MONDE-T051-V14</x:v>
      </x:c>
      <x:c r="B2519" s="115" t="str">
        <x:v>EXT-MONDE-T051</x:v>
      </x:c>
      <x:c r="C2519" s="115" t="str">
        <x:v>Parcs attractions</x:v>
      </x:c>
      <x:c r="D2519" s="115" t="str">
        <x:v>Parc aquatique</x:v>
      </x:c>
      <x:c r="E2519" s="115" t="n">
        <x:v>14</x:v>
      </x:c>
      <x:c r="F2519" s="115" t="str">
        <x:v>Inspection physique</x:v>
      </x:c>
      <x:c r="G2519" s="115" t="str">
        <x:v>1 niveaux ; 32 pièces ; 248 segments de mur ; 0 transitions. Inspection physique ; architecture complète encore ouverte.</x:v>
      </x:c>
      <x:c r="H2519" s="115" t="str">
        <x:v>L 374 ; l 454 ; hauteur 18 m ; choix de composition auteur ; dimensions réelles à documenter</x:v>
      </x:c>
      <x:c r="I2519" s="115" t="str">
        <x:v>À équilibrer</x:v>
      </x:c>
      <x:c r="J2519" s="115" t="str">
        <x:v>Non</x:v>
      </x:c>
      <x:c r="K2519" s="115" t="str">
        <x:v>Pièces décrites, murs, portes, niveaux et mobilier inspectables à l’échelle. Volumes réservés, raccord au seed, butin, rencontres et services de campagne restent à terminer.</x:v>
      </x:c>
    </x:row>
    <x:row r="2520" ht="96" customHeight="1">
      <x:c r="A2520" s="115" t="str">
        <x:v>EXT-MONDE-T051-V15</x:v>
      </x:c>
      <x:c r="B2520" s="115" t="str">
        <x:v>EXT-MONDE-T051</x:v>
      </x:c>
      <x:c r="C2520" s="115" t="str">
        <x:v>Parcs attractions</x:v>
      </x:c>
      <x:c r="D2520" s="115" t="str">
        <x:v>Parc aquatique</x:v>
      </x:c>
      <x:c r="E2520" s="115" t="n">
        <x:v>15</x:v>
      </x:c>
      <x:c r="F2520" s="115" t="str">
        <x:v>Inspection physique</x:v>
      </x:c>
      <x:c r="G2520" s="115" t="str">
        <x:v>1 niveaux ; 32 pièces ; 248 segments de mur ; 0 transitions. Inspection physique ; architecture complète encore ouverte.</x:v>
      </x:c>
      <x:c r="H2520" s="115" t="str">
        <x:v>L 374 ; l 454 ; hauteur 18 m ; choix de composition auteur ; dimensions réelles à documenter</x:v>
      </x:c>
      <x:c r="I2520" s="115" t="str">
        <x:v>À équilibrer</x:v>
      </x:c>
      <x:c r="J2520" s="115" t="str">
        <x:v>Non</x:v>
      </x:c>
      <x:c r="K2520" s="115" t="str">
        <x:v>Pièces décrites, murs, portes, niveaux et mobilier inspectables à l’échelle. Volumes réservés, raccord au seed, butin, rencontres et services de campagne restent à terminer.</x:v>
      </x:c>
    </x:row>
    <x:row r="2521" ht="96" customHeight="1">
      <x:c r="A2521" s="115" t="str">
        <x:v>EXT-MONDE-T051-V16</x:v>
      </x:c>
      <x:c r="B2521" s="115" t="str">
        <x:v>EXT-MONDE-T051</x:v>
      </x:c>
      <x:c r="C2521" s="115" t="str">
        <x:v>Parcs attractions</x:v>
      </x:c>
      <x:c r="D2521" s="115" t="str">
        <x:v>Parc aquatique</x:v>
      </x:c>
      <x:c r="E2521" s="115" t="n">
        <x:v>16</x:v>
      </x:c>
      <x:c r="F2521" s="115" t="str">
        <x:v>Inspection physique</x:v>
      </x:c>
      <x:c r="G2521" s="115" t="str">
        <x:v>1 niveaux ; 32 pièces ; 248 segments de mur ; 0 transitions. Inspection physique ; architecture complète encore ouverte.</x:v>
      </x:c>
      <x:c r="H2521" s="115" t="str">
        <x:v>L 374 ; l 454 ; hauteur 18 m ; choix de composition auteur ; dimensions réelles à documenter</x:v>
      </x:c>
      <x:c r="I2521" s="115" t="str">
        <x:v>À équilibrer</x:v>
      </x:c>
      <x:c r="J2521" s="115" t="str">
        <x:v>Non</x:v>
      </x:c>
      <x:c r="K2521" s="115" t="str">
        <x:v>Pièces décrites, murs, portes, niveaux et mobilier inspectables à l’échelle. Volumes réservés, raccord au seed, butin, rencontres et services de campagne restent à terminer.</x:v>
      </x:c>
    </x:row>
    <x:row r="2522" ht="96" customHeight="1">
      <x:c r="A2522" s="115" t="str">
        <x:v>EXT-MONDE-T051-V17</x:v>
      </x:c>
      <x:c r="B2522" s="115" t="str">
        <x:v>EXT-MONDE-T051</x:v>
      </x:c>
      <x:c r="C2522" s="115" t="str">
        <x:v>Parcs attractions</x:v>
      </x:c>
      <x:c r="D2522" s="115" t="str">
        <x:v>Parc aquatique</x:v>
      </x:c>
      <x:c r="E2522" s="115" t="n">
        <x:v>17</x:v>
      </x:c>
      <x:c r="F2522" s="115" t="str">
        <x:v>Inspection physique</x:v>
      </x:c>
      <x:c r="G2522" s="115" t="str">
        <x:v>1 niveaux ; 32 pièces ; 248 segments de mur ; 0 transitions. Inspection physique ; architecture complète encore ouverte.</x:v>
      </x:c>
      <x:c r="H2522" s="115" t="str">
        <x:v>L 374 ; l 454 ; hauteur 18 m ; choix de composition auteur ; dimensions réelles à documenter</x:v>
      </x:c>
      <x:c r="I2522" s="115" t="str">
        <x:v>À équilibrer</x:v>
      </x:c>
      <x:c r="J2522" s="115" t="str">
        <x:v>Non</x:v>
      </x:c>
      <x:c r="K2522" s="115" t="str">
        <x:v>Pièces décrites, murs, portes, niveaux et mobilier inspectables à l’échelle. Volumes réservés, raccord au seed, butin, rencontres et services de campagne restent à terminer.</x:v>
      </x:c>
    </x:row>
    <x:row r="2523" ht="96" customHeight="1">
      <x:c r="A2523" s="115" t="str">
        <x:v>EXT-MONDE-T051-V18</x:v>
      </x:c>
      <x:c r="B2523" s="115" t="str">
        <x:v>EXT-MONDE-T051</x:v>
      </x:c>
      <x:c r="C2523" s="115" t="str">
        <x:v>Parcs attractions</x:v>
      </x:c>
      <x:c r="D2523" s="115" t="str">
        <x:v>Parc aquatique</x:v>
      </x:c>
      <x:c r="E2523" s="115" t="n">
        <x:v>18</x:v>
      </x:c>
      <x:c r="F2523" s="115" t="str">
        <x:v>Inspection physique</x:v>
      </x:c>
      <x:c r="G2523" s="115" t="str">
        <x:v>1 niveaux ; 32 pièces ; 248 segments de mur ; 0 transitions. Inspection physique ; architecture complète encore ouverte.</x:v>
      </x:c>
      <x:c r="H2523" s="115" t="str">
        <x:v>L 374 ; l 454 ; hauteur 18 m ; choix de composition auteur ; dimensions réelles à documenter</x:v>
      </x:c>
      <x:c r="I2523" s="115" t="str">
        <x:v>À équilibrer</x:v>
      </x:c>
      <x:c r="J2523" s="115" t="str">
        <x:v>Non</x:v>
      </x:c>
      <x:c r="K2523" s="115" t="str">
        <x:v>Pièces décrites, murs, portes, niveaux et mobilier inspectables à l’échelle. Volumes réservés, raccord au seed, butin, rencontres et services de campagne restent à terminer.</x:v>
      </x:c>
    </x:row>
    <x:row r="2524" ht="96" customHeight="1">
      <x:c r="A2524" s="115" t="str">
        <x:v>EXT-MONDE-T051-V19</x:v>
      </x:c>
      <x:c r="B2524" s="115" t="str">
        <x:v>EXT-MONDE-T051</x:v>
      </x:c>
      <x:c r="C2524" s="115" t="str">
        <x:v>Parcs attractions</x:v>
      </x:c>
      <x:c r="D2524" s="115" t="str">
        <x:v>Parc aquatique</x:v>
      </x:c>
      <x:c r="E2524" s="115" t="n">
        <x:v>19</x:v>
      </x:c>
      <x:c r="F2524" s="115" t="str">
        <x:v>Inspection physique</x:v>
      </x:c>
      <x:c r="G2524" s="115" t="str">
        <x:v>1 niveaux ; 32 pièces ; 248 segments de mur ; 0 transitions. Inspection physique ; architecture complète encore ouverte.</x:v>
      </x:c>
      <x:c r="H2524" s="115" t="str">
        <x:v>L 374 ; l 454 ; hauteur 18 m ; choix de composition auteur ; dimensions réelles à documenter</x:v>
      </x:c>
      <x:c r="I2524" s="115" t="str">
        <x:v>À équilibrer</x:v>
      </x:c>
      <x:c r="J2524" s="115" t="str">
        <x:v>Non</x:v>
      </x:c>
      <x:c r="K2524" s="115" t="str">
        <x:v>Pièces décrites, murs, portes, niveaux et mobilier inspectables à l’échelle. Volumes réservés, raccord au seed, butin, rencontres et services de campagne restent à terminer.</x:v>
      </x:c>
    </x:row>
    <x:row r="2525" ht="96" customHeight="1">
      <x:c r="A2525" s="115" t="str">
        <x:v>EXT-MONDE-T051-V20</x:v>
      </x:c>
      <x:c r="B2525" s="115" t="str">
        <x:v>EXT-MONDE-T051</x:v>
      </x:c>
      <x:c r="C2525" s="115" t="str">
        <x:v>Parcs attractions</x:v>
      </x:c>
      <x:c r="D2525" s="115" t="str">
        <x:v>Parc aquatique</x:v>
      </x:c>
      <x:c r="E2525" s="115" t="n">
        <x:v>20</x:v>
      </x:c>
      <x:c r="F2525" s="115" t="str">
        <x:v>Inspection physique</x:v>
      </x:c>
      <x:c r="G2525" s="115" t="str">
        <x:v>1 niveaux ; 32 pièces ; 248 segments de mur ; 0 transitions. Inspection physique ; architecture complète encore ouverte.</x:v>
      </x:c>
      <x:c r="H2525" s="115" t="str">
        <x:v>L 374 ; l 454 ; hauteur 18 m ; choix de composition auteur ; dimensions réelles à documenter</x:v>
      </x:c>
      <x:c r="I2525" s="115" t="str">
        <x:v>À équilibrer</x:v>
      </x:c>
      <x:c r="J2525" s="115" t="str">
        <x:v>Non</x:v>
      </x:c>
      <x:c r="K2525" s="115" t="str">
        <x:v>Pièces décrites, murs, portes, niveaux et mobilier inspectables à l’échelle. Volumes réservés, raccord au seed, butin, rencontres et services de campagne restent à terminer.</x:v>
      </x:c>
    </x:row>
    <x:row r="2526" ht="96" customHeight="1">
      <x:c r="A2526" s="115" t="str">
        <x:v>EXT-MONDE-T051-V21</x:v>
      </x:c>
      <x:c r="B2526" s="115" t="str">
        <x:v>EXT-MONDE-T051</x:v>
      </x:c>
      <x:c r="C2526" s="115" t="str">
        <x:v>Parcs attractions</x:v>
      </x:c>
      <x:c r="D2526" s="115" t="str">
        <x:v>Parc aquatique</x:v>
      </x:c>
      <x:c r="E2526" s="115" t="n">
        <x:v>21</x:v>
      </x:c>
      <x:c r="F2526" s="115" t="str">
        <x:v>Inspection physique</x:v>
      </x:c>
      <x:c r="G2526" s="115" t="str">
        <x:v>1 niveaux ; 32 pièces ; 248 segments de mur ; 0 transitions. Inspection physique ; architecture complète encore ouverte.</x:v>
      </x:c>
      <x:c r="H2526" s="115" t="str">
        <x:v>L 386 ; l 462 ; hauteur 18 m ; choix de composition auteur ; dimensions réelles à documenter</x:v>
      </x:c>
      <x:c r="I2526" s="115" t="str">
        <x:v>À équilibrer</x:v>
      </x:c>
      <x:c r="J2526" s="115" t="str">
        <x:v>Non</x:v>
      </x:c>
      <x:c r="K2526" s="115" t="str">
        <x:v>Pièces décrites, murs, portes, niveaux et mobilier inspectables à l’échelle. Volumes réservés, raccord au seed, butin, rencontres et services de campagne restent à terminer.</x:v>
      </x:c>
    </x:row>
    <x:row r="2527" ht="96" customHeight="1">
      <x:c r="A2527" s="115" t="str">
        <x:v>EXT-MONDE-T051-V22</x:v>
      </x:c>
      <x:c r="B2527" s="115" t="str">
        <x:v>EXT-MONDE-T051</x:v>
      </x:c>
      <x:c r="C2527" s="115" t="str">
        <x:v>Parcs attractions</x:v>
      </x:c>
      <x:c r="D2527" s="115" t="str">
        <x:v>Parc aquatique</x:v>
      </x:c>
      <x:c r="E2527" s="115" t="n">
        <x:v>22</x:v>
      </x:c>
      <x:c r="F2527" s="115" t="str">
        <x:v>Inspection physique</x:v>
      </x:c>
      <x:c r="G2527" s="115" t="str">
        <x:v>1 niveaux ; 32 pièces ; 248 segments de mur ; 0 transitions. Inspection physique ; architecture complète encore ouverte.</x:v>
      </x:c>
      <x:c r="H2527" s="115" t="str">
        <x:v>L 386 ; l 462 ; hauteur 18 m ; choix de composition auteur ; dimensions réelles à documenter</x:v>
      </x:c>
      <x:c r="I2527" s="115" t="str">
        <x:v>À équilibrer</x:v>
      </x:c>
      <x:c r="J2527" s="115" t="str">
        <x:v>Non</x:v>
      </x:c>
      <x:c r="K2527" s="115" t="str">
        <x:v>Pièces décrites, murs, portes, niveaux et mobilier inspectables à l’échelle. Volumes réservés, raccord au seed, butin, rencontres et services de campagne restent à terminer.</x:v>
      </x:c>
    </x:row>
    <x:row r="2528" ht="96" customHeight="1">
      <x:c r="A2528" s="115" t="str">
        <x:v>EXT-MONDE-T051-V23</x:v>
      </x:c>
      <x:c r="B2528" s="115" t="str">
        <x:v>EXT-MONDE-T051</x:v>
      </x:c>
      <x:c r="C2528" s="115" t="str">
        <x:v>Parcs attractions</x:v>
      </x:c>
      <x:c r="D2528" s="115" t="str">
        <x:v>Parc aquatique</x:v>
      </x:c>
      <x:c r="E2528" s="115" t="n">
        <x:v>23</x:v>
      </x:c>
      <x:c r="F2528" s="115" t="str">
        <x:v>Inspection physique</x:v>
      </x:c>
      <x:c r="G2528" s="115" t="str">
        <x:v>1 niveaux ; 32 pièces ; 248 segments de mur ; 0 transitions. Inspection physique ; architecture complète encore ouverte.</x:v>
      </x:c>
      <x:c r="H2528" s="115" t="str">
        <x:v>L 386 ; l 462 ; hauteur 18 m ; choix de composition auteur ; dimensions réelles à documenter</x:v>
      </x:c>
      <x:c r="I2528" s="115" t="str">
        <x:v>À équilibrer</x:v>
      </x:c>
      <x:c r="J2528" s="115" t="str">
        <x:v>Non</x:v>
      </x:c>
      <x:c r="K2528" s="115" t="str">
        <x:v>Pièces décrites, murs, portes, niveaux et mobilier inspectables à l’échelle. Volumes réservés, raccord au seed, butin, rencontres et services de campagne restent à terminer.</x:v>
      </x:c>
    </x:row>
    <x:row r="2529" ht="96" customHeight="1">
      <x:c r="A2529" s="115" t="str">
        <x:v>EXT-MONDE-T051-V24</x:v>
      </x:c>
      <x:c r="B2529" s="115" t="str">
        <x:v>EXT-MONDE-T051</x:v>
      </x:c>
      <x:c r="C2529" s="115" t="str">
        <x:v>Parcs attractions</x:v>
      </x:c>
      <x:c r="D2529" s="115" t="str">
        <x:v>Parc aquatique</x:v>
      </x:c>
      <x:c r="E2529" s="115" t="n">
        <x:v>24</x:v>
      </x:c>
      <x:c r="F2529" s="115" t="str">
        <x:v>Inspection physique</x:v>
      </x:c>
      <x:c r="G2529" s="115" t="str">
        <x:v>1 niveaux ; 32 pièces ; 248 segments de mur ; 0 transitions. Inspection physique ; architecture complète encore ouverte.</x:v>
      </x:c>
      <x:c r="H2529" s="115" t="str">
        <x:v>L 386 ; l 462 ; hauteur 18 m ; choix de composition auteur ; dimensions réelles à documenter</x:v>
      </x:c>
      <x:c r="I2529" s="115" t="str">
        <x:v>À équilibrer</x:v>
      </x:c>
      <x:c r="J2529" s="115" t="str">
        <x:v>Non</x:v>
      </x:c>
      <x:c r="K2529" s="115" t="str">
        <x:v>Pièces décrites, murs, portes, niveaux et mobilier inspectables à l’échelle. Volumes réservés, raccord au seed, butin, rencontres et services de campagne restent à terminer.</x:v>
      </x:c>
    </x:row>
    <x:row r="2530" ht="96" customHeight="1">
      <x:c r="A2530" s="115" t="str">
        <x:v>EXT-MONDE-T051-V25</x:v>
      </x:c>
      <x:c r="B2530" s="115" t="str">
        <x:v>EXT-MONDE-T051</x:v>
      </x:c>
      <x:c r="C2530" s="115" t="str">
        <x:v>Parcs attractions</x:v>
      </x:c>
      <x:c r="D2530" s="115" t="str">
        <x:v>Parc aquatique</x:v>
      </x:c>
      <x:c r="E2530" s="115" t="n">
        <x:v>25</x:v>
      </x:c>
      <x:c r="F2530" s="115" t="str">
        <x:v>Inspection physique</x:v>
      </x:c>
      <x:c r="G2530" s="115" t="str">
        <x:v>1 niveaux ; 32 pièces ; 248 segments de mur ; 0 transitions. Inspection physique ; architecture complète encore ouverte.</x:v>
      </x:c>
      <x:c r="H2530" s="115" t="str">
        <x:v>L 386 ; l 462 ; hauteur 18 m ; choix de composition auteur ; dimensions réelles à documenter</x:v>
      </x:c>
      <x:c r="I2530" s="115" t="str">
        <x:v>À équilibrer</x:v>
      </x:c>
      <x:c r="J2530" s="115" t="str">
        <x:v>Non</x:v>
      </x:c>
      <x:c r="K2530" s="115" t="str">
        <x:v>Pièces décrites, murs, portes, niveaux et mobilier inspectables à l’échelle. Volumes réservés, raccord au seed, butin, rencontres et services de campagne restent à terminer.</x:v>
      </x:c>
    </x:row>
    <x:row r="2531" ht="96" customHeight="1">
      <x:c r="A2531" s="115" t="str">
        <x:v>EXT-MONDE-T051-V26</x:v>
      </x:c>
      <x:c r="B2531" s="115" t="str">
        <x:v>EXT-MONDE-T051</x:v>
      </x:c>
      <x:c r="C2531" s="115" t="str">
        <x:v>Parcs attractions</x:v>
      </x:c>
      <x:c r="D2531" s="115" t="str">
        <x:v>Parc aquatique</x:v>
      </x:c>
      <x:c r="E2531" s="115" t="n">
        <x:v>26</x:v>
      </x:c>
      <x:c r="F2531" s="115" t="str">
        <x:v>Inspection physique</x:v>
      </x:c>
      <x:c r="G2531" s="115" t="str">
        <x:v>1 niveaux ; 32 pièces ; 248 segments de mur ; 0 transitions. Inspection physique ; architecture complète encore ouverte.</x:v>
      </x:c>
      <x:c r="H2531" s="115" t="str">
        <x:v>L 386 ; l 462 ; hauteur 18 m ; choix de composition auteur ; dimensions réelles à documenter</x:v>
      </x:c>
      <x:c r="I2531" s="115" t="str">
        <x:v>À équilibrer</x:v>
      </x:c>
      <x:c r="J2531" s="115" t="str">
        <x:v>Non</x:v>
      </x:c>
      <x:c r="K2531" s="115" t="str">
        <x:v>Pièces décrites, murs, portes, niveaux et mobilier inspectables à l’échelle. Volumes réservés, raccord au seed, butin, rencontres et services de campagne restent à terminer.</x:v>
      </x:c>
    </x:row>
    <x:row r="2532" ht="96" customHeight="1">
      <x:c r="A2532" s="115" t="str">
        <x:v>EXT-MONDE-T051-V27</x:v>
      </x:c>
      <x:c r="B2532" s="115" t="str">
        <x:v>EXT-MONDE-T051</x:v>
      </x:c>
      <x:c r="C2532" s="115" t="str">
        <x:v>Parcs attractions</x:v>
      </x:c>
      <x:c r="D2532" s="115" t="str">
        <x:v>Parc aquatique</x:v>
      </x:c>
      <x:c r="E2532" s="115" t="n">
        <x:v>27</x:v>
      </x:c>
      <x:c r="F2532" s="115" t="str">
        <x:v>Inspection physique</x:v>
      </x:c>
      <x:c r="G2532" s="115" t="str">
        <x:v>1 niveaux ; 32 pièces ; 248 segments de mur ; 0 transitions. Inspection physique ; architecture complète encore ouverte.</x:v>
      </x:c>
      <x:c r="H2532" s="115" t="str">
        <x:v>L 386 ; l 462 ; hauteur 18 m ; choix de composition auteur ; dimensions réelles à documenter</x:v>
      </x:c>
      <x:c r="I2532" s="115" t="str">
        <x:v>À équilibrer</x:v>
      </x:c>
      <x:c r="J2532" s="115" t="str">
        <x:v>Non</x:v>
      </x:c>
      <x:c r="K2532" s="115" t="str">
        <x:v>Pièces décrites, murs, portes, niveaux et mobilier inspectables à l’échelle. Volumes réservés, raccord au seed, butin, rencontres et services de campagne restent à terminer.</x:v>
      </x:c>
    </x:row>
    <x:row r="2533" ht="96" customHeight="1">
      <x:c r="A2533" s="115" t="str">
        <x:v>EXT-MONDE-T051-V28</x:v>
      </x:c>
      <x:c r="B2533" s="115" t="str">
        <x:v>EXT-MONDE-T051</x:v>
      </x:c>
      <x:c r="C2533" s="115" t="str">
        <x:v>Parcs attractions</x:v>
      </x:c>
      <x:c r="D2533" s="115" t="str">
        <x:v>Parc aquatique</x:v>
      </x:c>
      <x:c r="E2533" s="115" t="n">
        <x:v>28</x:v>
      </x:c>
      <x:c r="F2533" s="115" t="str">
        <x:v>Inspection physique</x:v>
      </x:c>
      <x:c r="G2533" s="115" t="str">
        <x:v>1 niveaux ; 32 pièces ; 248 segments de mur ; 0 transitions. Inspection physique ; architecture complète encore ouverte.</x:v>
      </x:c>
      <x:c r="H2533" s="115" t="str">
        <x:v>L 386 ; l 462 ; hauteur 18 m ; choix de composition auteur ; dimensions réelles à documenter</x:v>
      </x:c>
      <x:c r="I2533" s="115" t="str">
        <x:v>À équilibrer</x:v>
      </x:c>
      <x:c r="J2533" s="115" t="str">
        <x:v>Non</x:v>
      </x:c>
      <x:c r="K2533" s="115" t="str">
        <x:v>Pièces décrites, murs, portes, niveaux et mobilier inspectables à l’échelle. Volumes réservés, raccord au seed, butin, rencontres et services de campagne restent à terminer.</x:v>
      </x:c>
    </x:row>
    <x:row r="2534" ht="96" customHeight="1">
      <x:c r="A2534" s="115" t="str">
        <x:v>EXT-MONDE-T051-V29</x:v>
      </x:c>
      <x:c r="B2534" s="115" t="str">
        <x:v>EXT-MONDE-T051</x:v>
      </x:c>
      <x:c r="C2534" s="115" t="str">
        <x:v>Parcs attractions</x:v>
      </x:c>
      <x:c r="D2534" s="115" t="str">
        <x:v>Parc aquatique</x:v>
      </x:c>
      <x:c r="E2534" s="115" t="n">
        <x:v>29</x:v>
      </x:c>
      <x:c r="F2534" s="115" t="str">
        <x:v>Inspection physique</x:v>
      </x:c>
      <x:c r="G2534" s="115" t="str">
        <x:v>1 niveaux ; 32 pièces ; 248 segments de mur ; 0 transitions. Inspection physique ; architecture complète encore ouverte.</x:v>
      </x:c>
      <x:c r="H2534" s="115" t="str">
        <x:v>L 386 ; l 462 ; hauteur 18 m ; choix de composition auteur ; dimensions réelles à documenter</x:v>
      </x:c>
      <x:c r="I2534" s="115" t="str">
        <x:v>À équilibrer</x:v>
      </x:c>
      <x:c r="J2534" s="115" t="str">
        <x:v>Non</x:v>
      </x:c>
      <x:c r="K2534" s="115" t="str">
        <x:v>Pièces décrites, murs, portes, niveaux et mobilier inspectables à l’échelle. Volumes réservés, raccord au seed, butin, rencontres et services de campagne restent à terminer.</x:v>
      </x:c>
    </x:row>
    <x:row r="2535" ht="96" customHeight="1">
      <x:c r="A2535" s="115" t="str">
        <x:v>EXT-MONDE-T051-V30</x:v>
      </x:c>
      <x:c r="B2535" s="115" t="str">
        <x:v>EXT-MONDE-T051</x:v>
      </x:c>
      <x:c r="C2535" s="115" t="str">
        <x:v>Parcs attractions</x:v>
      </x:c>
      <x:c r="D2535" s="115" t="str">
        <x:v>Parc aquatique</x:v>
      </x:c>
      <x:c r="E2535" s="115" t="n">
        <x:v>30</x:v>
      </x:c>
      <x:c r="F2535" s="115" t="str">
        <x:v>Inspection physique</x:v>
      </x:c>
      <x:c r="G2535" s="115" t="str">
        <x:v>1 niveaux ; 32 pièces ; 248 segments de mur ; 0 transitions. Inspection physique ; architecture complète encore ouverte.</x:v>
      </x:c>
      <x:c r="H2535" s="115" t="str">
        <x:v>L 386 ; l 462 ; hauteur 18 m ; choix de composition auteur ; dimensions réelles à documenter</x:v>
      </x:c>
      <x:c r="I2535" s="115" t="str">
        <x:v>À équilibrer</x:v>
      </x:c>
      <x:c r="J2535" s="115" t="str">
        <x:v>Non</x:v>
      </x:c>
      <x:c r="K2535" s="115" t="str">
        <x:v>Pièces décrites, murs, portes, niveaux et mobilier inspectables à l’échelle. Volumes réservés, raccord au seed, butin, rencontres et services de campagne restent à terminer.</x:v>
      </x:c>
    </x:row>
    <x:row r="2536" ht="96" customHeight="1">
      <x:c r="A2536" s="115" t="str">
        <x:v>EXT-MONDE-T051-V31</x:v>
      </x:c>
      <x:c r="B2536" s="115" t="str">
        <x:v>EXT-MONDE-T051</x:v>
      </x:c>
      <x:c r="C2536" s="115" t="str">
        <x:v>Parcs attractions</x:v>
      </x:c>
      <x:c r="D2536" s="115" t="str">
        <x:v>Parc aquatique</x:v>
      </x:c>
      <x:c r="E2536" s="115" t="n">
        <x:v>31</x:v>
      </x:c>
      <x:c r="F2536" s="115" t="str">
        <x:v>Inspection physique</x:v>
      </x:c>
      <x:c r="G2536" s="115" t="str">
        <x:v>1 niveaux ; 32 pièces ; 248 segments de mur ; 0 transitions. Inspection physique ; architecture complète encore ouverte.</x:v>
      </x:c>
      <x:c r="H2536" s="115" t="str">
        <x:v>L 398 ; l 470 ; hauteur 18 m ; choix de composition auteur ; dimensions réelles à documenter</x:v>
      </x:c>
      <x:c r="I2536" s="115" t="str">
        <x:v>À équilibrer</x:v>
      </x:c>
      <x:c r="J2536" s="115" t="str">
        <x:v>Non</x:v>
      </x:c>
      <x:c r="K2536" s="115" t="str">
        <x:v>Pièces décrites, murs, portes, niveaux et mobilier inspectables à l’échelle. Volumes réservés, raccord au seed, butin, rencontres et services de campagne restent à terminer.</x:v>
      </x:c>
    </x:row>
    <x:row r="2537" ht="96" customHeight="1">
      <x:c r="A2537" s="115" t="str">
        <x:v>EXT-MONDE-T051-V32</x:v>
      </x:c>
      <x:c r="B2537" s="115" t="str">
        <x:v>EXT-MONDE-T051</x:v>
      </x:c>
      <x:c r="C2537" s="115" t="str">
        <x:v>Parcs attractions</x:v>
      </x:c>
      <x:c r="D2537" s="115" t="str">
        <x:v>Parc aquatique</x:v>
      </x:c>
      <x:c r="E2537" s="115" t="n">
        <x:v>32</x:v>
      </x:c>
      <x:c r="F2537" s="115" t="str">
        <x:v>Inspection physique</x:v>
      </x:c>
      <x:c r="G2537" s="115" t="str">
        <x:v>1 niveaux ; 32 pièces ; 248 segments de mur ; 0 transitions. Inspection physique ; architecture complète encore ouverte.</x:v>
      </x:c>
      <x:c r="H2537" s="115" t="str">
        <x:v>L 398 ; l 470 ; hauteur 18 m ; choix de composition auteur ; dimensions réelles à documenter</x:v>
      </x:c>
      <x:c r="I2537" s="115" t="str">
        <x:v>À équilibrer</x:v>
      </x:c>
      <x:c r="J2537" s="115" t="str">
        <x:v>Non</x:v>
      </x:c>
      <x:c r="K2537" s="115" t="str">
        <x:v>Pièces décrites, murs, portes, niveaux et mobilier inspectables à l’échelle. Volumes réservés, raccord au seed, butin, rencontres et services de campagne restent à terminer.</x:v>
      </x:c>
    </x:row>
    <x:row r="2538" ht="96" customHeight="1">
      <x:c r="A2538" s="115" t="str">
        <x:v>EXT-MONDE-T051-V33</x:v>
      </x:c>
      <x:c r="B2538" s="115" t="str">
        <x:v>EXT-MONDE-T051</x:v>
      </x:c>
      <x:c r="C2538" s="115" t="str">
        <x:v>Parcs attractions</x:v>
      </x:c>
      <x:c r="D2538" s="115" t="str">
        <x:v>Parc aquatique</x:v>
      </x:c>
      <x:c r="E2538" s="115" t="n">
        <x:v>33</x:v>
      </x:c>
      <x:c r="F2538" s="115" t="str">
        <x:v>Inspection physique</x:v>
      </x:c>
      <x:c r="G2538" s="115" t="str">
        <x:v>1 niveaux ; 32 pièces ; 248 segments de mur ; 0 transitions. Inspection physique ; architecture complète encore ouverte.</x:v>
      </x:c>
      <x:c r="H2538" s="115" t="str">
        <x:v>L 398 ; l 470 ; hauteur 18 m ; choix de composition auteur ; dimensions réelles à documenter</x:v>
      </x:c>
      <x:c r="I2538" s="115" t="str">
        <x:v>À équilibrer</x:v>
      </x:c>
      <x:c r="J2538" s="115" t="str">
        <x:v>Non</x:v>
      </x:c>
      <x:c r="K2538" s="115" t="str">
        <x:v>Pièces décrites, murs, portes, niveaux et mobilier inspectables à l’échelle. Volumes réservés, raccord au seed, butin, rencontres et services de campagne restent à terminer.</x:v>
      </x:c>
    </x:row>
    <x:row r="2539" ht="96" customHeight="1">
      <x:c r="A2539" s="115" t="str">
        <x:v>EXT-MONDE-T051-V34</x:v>
      </x:c>
      <x:c r="B2539" s="115" t="str">
        <x:v>EXT-MONDE-T051</x:v>
      </x:c>
      <x:c r="C2539" s="115" t="str">
        <x:v>Parcs attractions</x:v>
      </x:c>
      <x:c r="D2539" s="115" t="str">
        <x:v>Parc aquatique</x:v>
      </x:c>
      <x:c r="E2539" s="115" t="n">
        <x:v>34</x:v>
      </x:c>
      <x:c r="F2539" s="115" t="str">
        <x:v>Inspection physique</x:v>
      </x:c>
      <x:c r="G2539" s="115" t="str">
        <x:v>1 niveaux ; 32 pièces ; 248 segments de mur ; 0 transitions. Inspection physique ; architecture complète encore ouverte.</x:v>
      </x:c>
      <x:c r="H2539" s="115" t="str">
        <x:v>L 398 ; l 470 ; hauteur 18 m ; choix de composition auteur ; dimensions réelles à documenter</x:v>
      </x:c>
      <x:c r="I2539" s="115" t="str">
        <x:v>À équilibrer</x:v>
      </x:c>
      <x:c r="J2539" s="115" t="str">
        <x:v>Non</x:v>
      </x:c>
      <x:c r="K2539" s="115" t="str">
        <x:v>Pièces décrites, murs, portes, niveaux et mobilier inspectables à l’échelle. Volumes réservés, raccord au seed, butin, rencontres et services de campagne restent à terminer.</x:v>
      </x:c>
    </x:row>
    <x:row r="2540" ht="96" customHeight="1">
      <x:c r="A2540" s="115" t="str">
        <x:v>EXT-MONDE-T051-V35</x:v>
      </x:c>
      <x:c r="B2540" s="115" t="str">
        <x:v>EXT-MONDE-T051</x:v>
      </x:c>
      <x:c r="C2540" s="115" t="str">
        <x:v>Parcs attractions</x:v>
      </x:c>
      <x:c r="D2540" s="115" t="str">
        <x:v>Parc aquatique</x:v>
      </x:c>
      <x:c r="E2540" s="115" t="n">
        <x:v>35</x:v>
      </x:c>
      <x:c r="F2540" s="115" t="str">
        <x:v>Inspection physique</x:v>
      </x:c>
      <x:c r="G2540" s="115" t="str">
        <x:v>1 niveaux ; 32 pièces ; 248 segments de mur ; 0 transitions. Inspection physique ; architecture complète encore ouverte.</x:v>
      </x:c>
      <x:c r="H2540" s="115" t="str">
        <x:v>L 398 ; l 470 ; hauteur 18 m ; choix de composition auteur ; dimensions réelles à documenter</x:v>
      </x:c>
      <x:c r="I2540" s="115" t="str">
        <x:v>À équilibrer</x:v>
      </x:c>
      <x:c r="J2540" s="115" t="str">
        <x:v>Non</x:v>
      </x:c>
      <x:c r="K2540" s="115" t="str">
        <x:v>Pièces décrites, murs, portes, niveaux et mobilier inspectables à l’échelle. Volumes réservés, raccord au seed, butin, rencontres et services de campagne restent à terminer.</x:v>
      </x:c>
    </x:row>
    <x:row r="2541" ht="96" customHeight="1">
      <x:c r="A2541" s="115" t="str">
        <x:v>EXT-MONDE-T051-V36</x:v>
      </x:c>
      <x:c r="B2541" s="115" t="str">
        <x:v>EXT-MONDE-T051</x:v>
      </x:c>
      <x:c r="C2541" s="115" t="str">
        <x:v>Parcs attractions</x:v>
      </x:c>
      <x:c r="D2541" s="115" t="str">
        <x:v>Parc aquatique</x:v>
      </x:c>
      <x:c r="E2541" s="115" t="n">
        <x:v>36</x:v>
      </x:c>
      <x:c r="F2541" s="115" t="str">
        <x:v>Inspection physique</x:v>
      </x:c>
      <x:c r="G2541" s="115" t="str">
        <x:v>1 niveaux ; 32 pièces ; 248 segments de mur ; 0 transitions. Inspection physique ; architecture complète encore ouverte.</x:v>
      </x:c>
      <x:c r="H2541" s="115" t="str">
        <x:v>L 398 ; l 470 ; hauteur 18 m ; choix de composition auteur ; dimensions réelles à documenter</x:v>
      </x:c>
      <x:c r="I2541" s="115" t="str">
        <x:v>À équilibrer</x:v>
      </x:c>
      <x:c r="J2541" s="115" t="str">
        <x:v>Non</x:v>
      </x:c>
      <x:c r="K2541" s="115" t="str">
        <x:v>Pièces décrites, murs, portes, niveaux et mobilier inspectables à l’échelle. Volumes réservés, raccord au seed, butin, rencontres et services de campagne restent à terminer.</x:v>
      </x:c>
    </x:row>
    <x:row r="2542" ht="96" customHeight="1">
      <x:c r="A2542" s="115" t="str">
        <x:v>EXT-MONDE-T051-V37</x:v>
      </x:c>
      <x:c r="B2542" s="115" t="str">
        <x:v>EXT-MONDE-T051</x:v>
      </x:c>
      <x:c r="C2542" s="115" t="str">
        <x:v>Parcs attractions</x:v>
      </x:c>
      <x:c r="D2542" s="115" t="str">
        <x:v>Parc aquatique</x:v>
      </x:c>
      <x:c r="E2542" s="115" t="n">
        <x:v>37</x:v>
      </x:c>
      <x:c r="F2542" s="115" t="str">
        <x:v>Inspection physique</x:v>
      </x:c>
      <x:c r="G2542" s="115" t="str">
        <x:v>1 niveaux ; 32 pièces ; 248 segments de mur ; 0 transitions. Inspection physique ; architecture complète encore ouverte.</x:v>
      </x:c>
      <x:c r="H2542" s="115" t="str">
        <x:v>L 398 ; l 470 ; hauteur 18 m ; choix de composition auteur ; dimensions réelles à documenter</x:v>
      </x:c>
      <x:c r="I2542" s="115" t="str">
        <x:v>À équilibrer</x:v>
      </x:c>
      <x:c r="J2542" s="115" t="str">
        <x:v>Non</x:v>
      </x:c>
      <x:c r="K2542" s="115" t="str">
        <x:v>Pièces décrites, murs, portes, niveaux et mobilier inspectables à l’échelle. Volumes réservés, raccord au seed, butin, rencontres et services de campagne restent à terminer.</x:v>
      </x:c>
    </x:row>
    <x:row r="2543" ht="96" customHeight="1">
      <x:c r="A2543" s="115" t="str">
        <x:v>EXT-MONDE-T051-V38</x:v>
      </x:c>
      <x:c r="B2543" s="115" t="str">
        <x:v>EXT-MONDE-T051</x:v>
      </x:c>
      <x:c r="C2543" s="115" t="str">
        <x:v>Parcs attractions</x:v>
      </x:c>
      <x:c r="D2543" s="115" t="str">
        <x:v>Parc aquatique</x:v>
      </x:c>
      <x:c r="E2543" s="115" t="n">
        <x:v>38</x:v>
      </x:c>
      <x:c r="F2543" s="115" t="str">
        <x:v>Inspection physique</x:v>
      </x:c>
      <x:c r="G2543" s="115" t="str">
        <x:v>1 niveaux ; 32 pièces ; 248 segments de mur ; 0 transitions. Inspection physique ; architecture complète encore ouverte.</x:v>
      </x:c>
      <x:c r="H2543" s="115" t="str">
        <x:v>L 398 ; l 470 ; hauteur 18 m ; choix de composition auteur ; dimensions réelles à documenter</x:v>
      </x:c>
      <x:c r="I2543" s="115" t="str">
        <x:v>À équilibrer</x:v>
      </x:c>
      <x:c r="J2543" s="115" t="str">
        <x:v>Non</x:v>
      </x:c>
      <x:c r="K2543" s="115" t="str">
        <x:v>Pièces décrites, murs, portes, niveaux et mobilier inspectables à l’échelle. Volumes réservés, raccord au seed, butin, rencontres et services de campagne restent à terminer.</x:v>
      </x:c>
    </x:row>
    <x:row r="2544" ht="96" customHeight="1">
      <x:c r="A2544" s="115" t="str">
        <x:v>EXT-MONDE-T051-V39</x:v>
      </x:c>
      <x:c r="B2544" s="115" t="str">
        <x:v>EXT-MONDE-T051</x:v>
      </x:c>
      <x:c r="C2544" s="115" t="str">
        <x:v>Parcs attractions</x:v>
      </x:c>
      <x:c r="D2544" s="115" t="str">
        <x:v>Parc aquatique</x:v>
      </x:c>
      <x:c r="E2544" s="115" t="n">
        <x:v>39</x:v>
      </x:c>
      <x:c r="F2544" s="115" t="str">
        <x:v>Inspection physique</x:v>
      </x:c>
      <x:c r="G2544" s="115" t="str">
        <x:v>1 niveaux ; 32 pièces ; 248 segments de mur ; 0 transitions. Inspection physique ; architecture complète encore ouverte.</x:v>
      </x:c>
      <x:c r="H2544" s="115" t="str">
        <x:v>L 398 ; l 470 ; hauteur 18 m ; choix de composition auteur ; dimensions réelles à documenter</x:v>
      </x:c>
      <x:c r="I2544" s="115" t="str">
        <x:v>À équilibrer</x:v>
      </x:c>
      <x:c r="J2544" s="115" t="str">
        <x:v>Non</x:v>
      </x:c>
      <x:c r="K2544" s="115" t="str">
        <x:v>Pièces décrites, murs, portes, niveaux et mobilier inspectables à l’échelle. Volumes réservés, raccord au seed, butin, rencontres et services de campagne restent à terminer.</x:v>
      </x:c>
    </x:row>
    <x:row r="2545" ht="96" customHeight="1">
      <x:c r="A2545" s="115" t="str">
        <x:v>EXT-MONDE-T051-V40</x:v>
      </x:c>
      <x:c r="B2545" s="115" t="str">
        <x:v>EXT-MONDE-T051</x:v>
      </x:c>
      <x:c r="C2545" s="115" t="str">
        <x:v>Parcs attractions</x:v>
      </x:c>
      <x:c r="D2545" s="115" t="str">
        <x:v>Parc aquatique</x:v>
      </x:c>
      <x:c r="E2545" s="115" t="n">
        <x:v>40</x:v>
      </x:c>
      <x:c r="F2545" s="115" t="str">
        <x:v>Inspection physique</x:v>
      </x:c>
      <x:c r="G2545" s="115" t="str">
        <x:v>1 niveaux ; 32 pièces ; 248 segments de mur ; 0 transitions. Inspection physique ; architecture complète encore ouverte.</x:v>
      </x:c>
      <x:c r="H2545" s="115" t="str">
        <x:v>L 398 ; l 470 ; hauteur 18 m ; choix de composition auteur ; dimensions réelles à documenter</x:v>
      </x:c>
      <x:c r="I2545" s="115" t="str">
        <x:v>À équilibrer</x:v>
      </x:c>
      <x:c r="J2545" s="115" t="str">
        <x:v>Non</x:v>
      </x:c>
      <x:c r="K2545" s="115" t="str">
        <x:v>Pièces décrites, murs, portes, niveaux et mobilier inspectables à l’échelle. Volumes réservés, raccord au seed, butin, rencontres et services de campagne restent à terminer.</x:v>
      </x:c>
    </x:row>
    <x:row r="2546" ht="96" customHeight="1">
      <x:c r="A2546" s="115" t="str">
        <x:v>EXT-MONDE-T051-V41</x:v>
      </x:c>
      <x:c r="B2546" s="115" t="str">
        <x:v>EXT-MONDE-T051</x:v>
      </x:c>
      <x:c r="C2546" s="115" t="str">
        <x:v>Parcs attractions</x:v>
      </x:c>
      <x:c r="D2546" s="115" t="str">
        <x:v>Parc aquatique</x:v>
      </x:c>
      <x:c r="E2546" s="115" t="n">
        <x:v>41</x:v>
      </x:c>
      <x:c r="F2546" s="115" t="str">
        <x:v>Inspection physique</x:v>
      </x:c>
      <x:c r="G2546" s="115" t="str">
        <x:v>1 niveaux ; 32 pièces ; 248 segments de mur ; 0 transitions. Inspection physique ; architecture complète encore ouverte.</x:v>
      </x:c>
      <x:c r="H2546" s="115" t="str">
        <x:v>L 410 ; l 478 ; hauteur 18 m ; choix de composition auteur ; dimensions réelles à documenter</x:v>
      </x:c>
      <x:c r="I2546" s="115" t="str">
        <x:v>À équilibrer</x:v>
      </x:c>
      <x:c r="J2546" s="115" t="str">
        <x:v>Non</x:v>
      </x:c>
      <x:c r="K2546" s="115" t="str">
        <x:v>Pièces décrites, murs, portes, niveaux et mobilier inspectables à l’échelle. Volumes réservés, raccord au seed, butin, rencontres et services de campagne restent à terminer.</x:v>
      </x:c>
    </x:row>
    <x:row r="2547" ht="96" customHeight="1">
      <x:c r="A2547" s="115" t="str">
        <x:v>EXT-MONDE-T051-V42</x:v>
      </x:c>
      <x:c r="B2547" s="115" t="str">
        <x:v>EXT-MONDE-T051</x:v>
      </x:c>
      <x:c r="C2547" s="115" t="str">
        <x:v>Parcs attractions</x:v>
      </x:c>
      <x:c r="D2547" s="115" t="str">
        <x:v>Parc aquatique</x:v>
      </x:c>
      <x:c r="E2547" s="115" t="n">
        <x:v>42</x:v>
      </x:c>
      <x:c r="F2547" s="115" t="str">
        <x:v>Inspection physique</x:v>
      </x:c>
      <x:c r="G2547" s="115" t="str">
        <x:v>1 niveaux ; 32 pièces ; 248 segments de mur ; 0 transitions. Inspection physique ; architecture complète encore ouverte.</x:v>
      </x:c>
      <x:c r="H2547" s="115" t="str">
        <x:v>L 410 ; l 478 ; hauteur 18 m ; choix de composition auteur ; dimensions réelles à documenter</x:v>
      </x:c>
      <x:c r="I2547" s="115" t="str">
        <x:v>À équilibrer</x:v>
      </x:c>
      <x:c r="J2547" s="115" t="str">
        <x:v>Non</x:v>
      </x:c>
      <x:c r="K2547" s="115" t="str">
        <x:v>Pièces décrites, murs, portes, niveaux et mobilier inspectables à l’échelle. Volumes réservés, raccord au seed, butin, rencontres et services de campagne restent à terminer.</x:v>
      </x:c>
    </x:row>
    <x:row r="2548" ht="96" customHeight="1">
      <x:c r="A2548" s="115" t="str">
        <x:v>EXT-MONDE-T051-V43</x:v>
      </x:c>
      <x:c r="B2548" s="115" t="str">
        <x:v>EXT-MONDE-T051</x:v>
      </x:c>
      <x:c r="C2548" s="115" t="str">
        <x:v>Parcs attractions</x:v>
      </x:c>
      <x:c r="D2548" s="115" t="str">
        <x:v>Parc aquatique</x:v>
      </x:c>
      <x:c r="E2548" s="115" t="n">
        <x:v>43</x:v>
      </x:c>
      <x:c r="F2548" s="115" t="str">
        <x:v>Inspection physique</x:v>
      </x:c>
      <x:c r="G2548" s="115" t="str">
        <x:v>1 niveaux ; 32 pièces ; 248 segments de mur ; 0 transitions. Inspection physique ; architecture complète encore ouverte.</x:v>
      </x:c>
      <x:c r="H2548" s="115" t="str">
        <x:v>L 410 ; l 478 ; hauteur 18 m ; choix de composition auteur ; dimensions réelles à documenter</x:v>
      </x:c>
      <x:c r="I2548" s="115" t="str">
        <x:v>À équilibrer</x:v>
      </x:c>
      <x:c r="J2548" s="115" t="str">
        <x:v>Non</x:v>
      </x:c>
      <x:c r="K2548" s="115" t="str">
        <x:v>Pièces décrites, murs, portes, niveaux et mobilier inspectables à l’échelle. Volumes réservés, raccord au seed, butin, rencontres et services de campagne restent à terminer.</x:v>
      </x:c>
    </x:row>
    <x:row r="2549" ht="96" customHeight="1">
      <x:c r="A2549" s="115" t="str">
        <x:v>EXT-MONDE-T051-V44</x:v>
      </x:c>
      <x:c r="B2549" s="115" t="str">
        <x:v>EXT-MONDE-T051</x:v>
      </x:c>
      <x:c r="C2549" s="115" t="str">
        <x:v>Parcs attractions</x:v>
      </x:c>
      <x:c r="D2549" s="115" t="str">
        <x:v>Parc aquatique</x:v>
      </x:c>
      <x:c r="E2549" s="115" t="n">
        <x:v>44</x:v>
      </x:c>
      <x:c r="F2549" s="115" t="str">
        <x:v>Inspection physique</x:v>
      </x:c>
      <x:c r="G2549" s="115" t="str">
        <x:v>1 niveaux ; 32 pièces ; 248 segments de mur ; 0 transitions. Inspection physique ; architecture complète encore ouverte.</x:v>
      </x:c>
      <x:c r="H2549" s="115" t="str">
        <x:v>L 410 ; l 478 ; hauteur 18 m ; choix de composition auteur ; dimensions réelles à documenter</x:v>
      </x:c>
      <x:c r="I2549" s="115" t="str">
        <x:v>À équilibrer</x:v>
      </x:c>
      <x:c r="J2549" s="115" t="str">
        <x:v>Non</x:v>
      </x:c>
      <x:c r="K2549" s="115" t="str">
        <x:v>Pièces décrites, murs, portes, niveaux et mobilier inspectables à l’échelle. Volumes réservés, raccord au seed, butin, rencontres et services de campagne restent à terminer.</x:v>
      </x:c>
    </x:row>
    <x:row r="2550" ht="96" customHeight="1">
      <x:c r="A2550" s="115" t="str">
        <x:v>EXT-MONDE-T051-V45</x:v>
      </x:c>
      <x:c r="B2550" s="115" t="str">
        <x:v>EXT-MONDE-T051</x:v>
      </x:c>
      <x:c r="C2550" s="115" t="str">
        <x:v>Parcs attractions</x:v>
      </x:c>
      <x:c r="D2550" s="115" t="str">
        <x:v>Parc aquatique</x:v>
      </x:c>
      <x:c r="E2550" s="115" t="n">
        <x:v>45</x:v>
      </x:c>
      <x:c r="F2550" s="115" t="str">
        <x:v>Inspection physique</x:v>
      </x:c>
      <x:c r="G2550" s="115" t="str">
        <x:v>1 niveaux ; 32 pièces ; 248 segments de mur ; 0 transitions. Inspection physique ; architecture complète encore ouverte.</x:v>
      </x:c>
      <x:c r="H2550" s="115" t="str">
        <x:v>L 410 ; l 478 ; hauteur 18 m ; choix de composition auteur ; dimensions réelles à documenter</x:v>
      </x:c>
      <x:c r="I2550" s="115" t="str">
        <x:v>À équilibrer</x:v>
      </x:c>
      <x:c r="J2550" s="115" t="str">
        <x:v>Non</x:v>
      </x:c>
      <x:c r="K2550" s="115" t="str">
        <x:v>Pièces décrites, murs, portes, niveaux et mobilier inspectables à l’échelle. Volumes réservés, raccord au seed, butin, rencontres et services de campagne restent à terminer.</x:v>
      </x:c>
    </x:row>
    <x:row r="2551" ht="96" customHeight="1">
      <x:c r="A2551" s="115" t="str">
        <x:v>EXT-MONDE-T051-V46</x:v>
      </x:c>
      <x:c r="B2551" s="115" t="str">
        <x:v>EXT-MONDE-T051</x:v>
      </x:c>
      <x:c r="C2551" s="115" t="str">
        <x:v>Parcs attractions</x:v>
      </x:c>
      <x:c r="D2551" s="115" t="str">
        <x:v>Parc aquatique</x:v>
      </x:c>
      <x:c r="E2551" s="115" t="n">
        <x:v>46</x:v>
      </x:c>
      <x:c r="F2551" s="115" t="str">
        <x:v>Inspection physique</x:v>
      </x:c>
      <x:c r="G2551" s="115" t="str">
        <x:v>1 niveaux ; 32 pièces ; 248 segments de mur ; 0 transitions. Inspection physique ; architecture complète encore ouverte.</x:v>
      </x:c>
      <x:c r="H2551" s="115" t="str">
        <x:v>L 410 ; l 478 ; hauteur 18 m ; choix de composition auteur ; dimensions réelles à documenter</x:v>
      </x:c>
      <x:c r="I2551" s="115" t="str">
        <x:v>À équilibrer</x:v>
      </x:c>
      <x:c r="J2551" s="115" t="str">
        <x:v>Non</x:v>
      </x:c>
      <x:c r="K2551" s="115" t="str">
        <x:v>Pièces décrites, murs, portes, niveaux et mobilier inspectables à l’échelle. Volumes réservés, raccord au seed, butin, rencontres et services de campagne restent à terminer.</x:v>
      </x:c>
    </x:row>
    <x:row r="2552" ht="96" customHeight="1">
      <x:c r="A2552" s="115" t="str">
        <x:v>EXT-MONDE-T051-V47</x:v>
      </x:c>
      <x:c r="B2552" s="115" t="str">
        <x:v>EXT-MONDE-T051</x:v>
      </x:c>
      <x:c r="C2552" s="115" t="str">
        <x:v>Parcs attractions</x:v>
      </x:c>
      <x:c r="D2552" s="115" t="str">
        <x:v>Parc aquatique</x:v>
      </x:c>
      <x:c r="E2552" s="115" t="n">
        <x:v>47</x:v>
      </x:c>
      <x:c r="F2552" s="115" t="str">
        <x:v>Inspection physique</x:v>
      </x:c>
      <x:c r="G2552" s="115" t="str">
        <x:v>1 niveaux ; 32 pièces ; 248 segments de mur ; 0 transitions. Inspection physique ; architecture complète encore ouverte.</x:v>
      </x:c>
      <x:c r="H2552" s="115" t="str">
        <x:v>L 410 ; l 478 ; hauteur 18 m ; choix de composition auteur ; dimensions réelles à documenter</x:v>
      </x:c>
      <x:c r="I2552" s="115" t="str">
        <x:v>À équilibrer</x:v>
      </x:c>
      <x:c r="J2552" s="115" t="str">
        <x:v>Non</x:v>
      </x:c>
      <x:c r="K2552" s="115" t="str">
        <x:v>Pièces décrites, murs, portes, niveaux et mobilier inspectables à l’échelle. Volumes réservés, raccord au seed, butin, rencontres et services de campagne restent à terminer.</x:v>
      </x:c>
    </x:row>
    <x:row r="2553" ht="96" customHeight="1">
      <x:c r="A2553" s="115" t="str">
        <x:v>EXT-MONDE-T051-V48</x:v>
      </x:c>
      <x:c r="B2553" s="115" t="str">
        <x:v>EXT-MONDE-T051</x:v>
      </x:c>
      <x:c r="C2553" s="115" t="str">
        <x:v>Parcs attractions</x:v>
      </x:c>
      <x:c r="D2553" s="115" t="str">
        <x:v>Parc aquatique</x:v>
      </x:c>
      <x:c r="E2553" s="115" t="n">
        <x:v>48</x:v>
      </x:c>
      <x:c r="F2553" s="115" t="str">
        <x:v>Inspection physique</x:v>
      </x:c>
      <x:c r="G2553" s="115" t="str">
        <x:v>1 niveaux ; 32 pièces ; 248 segments de mur ; 0 transitions. Inspection physique ; architecture complète encore ouverte.</x:v>
      </x:c>
      <x:c r="H2553" s="115" t="str">
        <x:v>L 410 ; l 478 ; hauteur 18 m ; choix de composition auteur ; dimensions réelles à documenter</x:v>
      </x:c>
      <x:c r="I2553" s="115" t="str">
        <x:v>À équilibrer</x:v>
      </x:c>
      <x:c r="J2553" s="115" t="str">
        <x:v>Non</x:v>
      </x:c>
      <x:c r="K2553" s="115" t="str">
        <x:v>Pièces décrites, murs, portes, niveaux et mobilier inspectables à l’échelle. Volumes réservés, raccord au seed, butin, rencontres et services de campagne restent à terminer.</x:v>
      </x:c>
    </x:row>
    <x:row r="2554" ht="96" customHeight="1">
      <x:c r="A2554" s="115" t="str">
        <x:v>EXT-MONDE-T051-V49</x:v>
      </x:c>
      <x:c r="B2554" s="115" t="str">
        <x:v>EXT-MONDE-T051</x:v>
      </x:c>
      <x:c r="C2554" s="115" t="str">
        <x:v>Parcs attractions</x:v>
      </x:c>
      <x:c r="D2554" s="115" t="str">
        <x:v>Parc aquatique</x:v>
      </x:c>
      <x:c r="E2554" s="115" t="n">
        <x:v>49</x:v>
      </x:c>
      <x:c r="F2554" s="115" t="str">
        <x:v>Inspection physique</x:v>
      </x:c>
      <x:c r="G2554" s="115" t="str">
        <x:v>1 niveaux ; 32 pièces ; 248 segments de mur ; 0 transitions. Inspection physique ; architecture complète encore ouverte.</x:v>
      </x:c>
      <x:c r="H2554" s="115" t="str">
        <x:v>L 410 ; l 478 ; hauteur 18 m ; choix de composition auteur ; dimensions réelles à documenter</x:v>
      </x:c>
      <x:c r="I2554" s="115" t="str">
        <x:v>À équilibrer</x:v>
      </x:c>
      <x:c r="J2554" s="115" t="str">
        <x:v>Non</x:v>
      </x:c>
      <x:c r="K2554" s="115" t="str">
        <x:v>Pièces décrites, murs, portes, niveaux et mobilier inspectables à l’échelle. Volumes réservés, raccord au seed, butin, rencontres et services de campagne restent à terminer.</x:v>
      </x:c>
    </x:row>
    <x:row r="2555" ht="96" customHeight="1">
      <x:c r="A2555" s="115" t="str">
        <x:v>EXT-MONDE-T051-V50</x:v>
      </x:c>
      <x:c r="B2555" s="115" t="str">
        <x:v>EXT-MONDE-T051</x:v>
      </x:c>
      <x:c r="C2555" s="115" t="str">
        <x:v>Parcs attractions</x:v>
      </x:c>
      <x:c r="D2555" s="115" t="str">
        <x:v>Parc aquatique</x:v>
      </x:c>
      <x:c r="E2555" s="115" t="n">
        <x:v>50</x:v>
      </x:c>
      <x:c r="F2555" s="115" t="str">
        <x:v>Inspection physique</x:v>
      </x:c>
      <x:c r="G2555" s="115" t="str">
        <x:v>1 niveaux ; 32 pièces ; 248 segments de mur ; 0 transitions. Inspection physique ; architecture complète encore ouverte.</x:v>
      </x:c>
      <x:c r="H2555" s="115" t="str">
        <x:v>L 410 ; l 478 ; hauteur 18 m ; choix de composition auteur ; dimensions réelles à documenter</x:v>
      </x:c>
      <x:c r="I2555" s="115" t="str">
        <x:v>À équilibrer</x:v>
      </x:c>
      <x:c r="J2555" s="115" t="str">
        <x:v>Non</x:v>
      </x:c>
      <x:c r="K2555" s="115" t="str">
        <x:v>Pièces décrites, murs, portes, niveaux et mobilier inspectables à l’échelle. Volumes réservés, raccord au seed, butin, rencontres et services de campagne restent à terminer.</x:v>
      </x:c>
    </x:row>
    <x:row r="2556" ht="96" customHeight="1">
      <x:c r="A2556" s="115" t="str">
        <x:v>EXT-MONDE-T052-V01</x:v>
      </x:c>
      <x:c r="B2556" s="115" t="str">
        <x:v>EXT-MONDE-T052</x:v>
      </x:c>
      <x:c r="C2556" s="115" t="str">
        <x:v>Parcs attractions</x:v>
      </x:c>
      <x:c r="D2556" s="115" t="str">
        <x:v>Parc thématique abandonné</x:v>
      </x:c>
      <x:c r="E2556" s="115" t="n">
        <x:v>1</x:v>
      </x:c>
      <x:c r="F2556" s="115" t="str">
        <x:v>Inspection physique</x:v>
      </x:c>
      <x:c r="G2556" s="115" t="str">
        <x:v>1 niveaux ; 32 pièces ; 248 segments de mur ; 0 transitions. Inspection physique ; architecture complète encore ouverte.</x:v>
      </x:c>
      <x:c r="H2556" s="115" t="str">
        <x:v>L 362 ; l 502 ; hauteur 24 m ; choix de composition auteur ; dimensions réelles à documenter</x:v>
      </x:c>
      <x:c r="I2556" s="115" t="str">
        <x:v>À équilibrer</x:v>
      </x:c>
      <x:c r="J2556" s="115" t="str">
        <x:v>Non</x:v>
      </x:c>
      <x:c r="K2556" s="115" t="str">
        <x:v>Pièces décrites, murs, portes, niveaux et mobilier inspectables à l’échelle. Volumes réservés, raccord au seed, butin, rencontres et services de campagne restent à terminer.</x:v>
      </x:c>
    </x:row>
    <x:row r="2557" ht="96" customHeight="1">
      <x:c r="A2557" s="115" t="str">
        <x:v>EXT-MONDE-T052-V02</x:v>
      </x:c>
      <x:c r="B2557" s="115" t="str">
        <x:v>EXT-MONDE-T052</x:v>
      </x:c>
      <x:c r="C2557" s="115" t="str">
        <x:v>Parcs attractions</x:v>
      </x:c>
      <x:c r="D2557" s="115" t="str">
        <x:v>Parc thématique abandonné</x:v>
      </x:c>
      <x:c r="E2557" s="115" t="n">
        <x:v>2</x:v>
      </x:c>
      <x:c r="F2557" s="115" t="str">
        <x:v>Inspection physique</x:v>
      </x:c>
      <x:c r="G2557" s="115" t="str">
        <x:v>1 niveaux ; 32 pièces ; 248 segments de mur ; 0 transitions. Inspection physique ; architecture complète encore ouverte.</x:v>
      </x:c>
      <x:c r="H2557" s="115" t="str">
        <x:v>L 362 ; l 502 ; hauteur 24 m ; choix de composition auteur ; dimensions réelles à documenter</x:v>
      </x:c>
      <x:c r="I2557" s="115" t="str">
        <x:v>À équilibrer</x:v>
      </x:c>
      <x:c r="J2557" s="115" t="str">
        <x:v>Non</x:v>
      </x:c>
      <x:c r="K2557" s="115" t="str">
        <x:v>Pièces décrites, murs, portes, niveaux et mobilier inspectables à l’échelle. Volumes réservés, raccord au seed, butin, rencontres et services de campagne restent à terminer.</x:v>
      </x:c>
    </x:row>
    <x:row r="2558" ht="96" customHeight="1">
      <x:c r="A2558" s="115" t="str">
        <x:v>EXT-MONDE-T052-V03</x:v>
      </x:c>
      <x:c r="B2558" s="115" t="str">
        <x:v>EXT-MONDE-T052</x:v>
      </x:c>
      <x:c r="C2558" s="115" t="str">
        <x:v>Parcs attractions</x:v>
      </x:c>
      <x:c r="D2558" s="115" t="str">
        <x:v>Parc thématique abandonné</x:v>
      </x:c>
      <x:c r="E2558" s="115" t="n">
        <x:v>3</x:v>
      </x:c>
      <x:c r="F2558" s="115" t="str">
        <x:v>Inspection physique</x:v>
      </x:c>
      <x:c r="G2558" s="115" t="str">
        <x:v>1 niveaux ; 32 pièces ; 248 segments de mur ; 0 transitions. Inspection physique ; architecture complète encore ouverte.</x:v>
      </x:c>
      <x:c r="H2558" s="115" t="str">
        <x:v>L 362 ; l 502 ; hauteur 24 m ; choix de composition auteur ; dimensions réelles à documenter</x:v>
      </x:c>
      <x:c r="I2558" s="115" t="str">
        <x:v>À équilibrer</x:v>
      </x:c>
      <x:c r="J2558" s="115" t="str">
        <x:v>Non</x:v>
      </x:c>
      <x:c r="K2558" s="115" t="str">
        <x:v>Pièces décrites, murs, portes, niveaux et mobilier inspectables à l’échelle. Volumes réservés, raccord au seed, butin, rencontres et services de campagne restent à terminer.</x:v>
      </x:c>
    </x:row>
    <x:row r="2559" ht="96" customHeight="1">
      <x:c r="A2559" s="115" t="str">
        <x:v>EXT-MONDE-T052-V04</x:v>
      </x:c>
      <x:c r="B2559" s="115" t="str">
        <x:v>EXT-MONDE-T052</x:v>
      </x:c>
      <x:c r="C2559" s="115" t="str">
        <x:v>Parcs attractions</x:v>
      </x:c>
      <x:c r="D2559" s="115" t="str">
        <x:v>Parc thématique abandonné</x:v>
      </x:c>
      <x:c r="E2559" s="115" t="n">
        <x:v>4</x:v>
      </x:c>
      <x:c r="F2559" s="115" t="str">
        <x:v>Inspection physique</x:v>
      </x:c>
      <x:c r="G2559" s="115" t="str">
        <x:v>1 niveaux ; 32 pièces ; 248 segments de mur ; 0 transitions. Inspection physique ; architecture complète encore ouverte.</x:v>
      </x:c>
      <x:c r="H2559" s="115" t="str">
        <x:v>L 362 ; l 502 ; hauteur 24 m ; choix de composition auteur ; dimensions réelles à documenter</x:v>
      </x:c>
      <x:c r="I2559" s="115" t="str">
        <x:v>À équilibrer</x:v>
      </x:c>
      <x:c r="J2559" s="115" t="str">
        <x:v>Non</x:v>
      </x:c>
      <x:c r="K2559" s="115" t="str">
        <x:v>Pièces décrites, murs, portes, niveaux et mobilier inspectables à l’échelle. Volumes réservés, raccord au seed, butin, rencontres et services de campagne restent à terminer.</x:v>
      </x:c>
    </x:row>
    <x:row r="2560" ht="96" customHeight="1">
      <x:c r="A2560" s="115" t="str">
        <x:v>EXT-MONDE-T052-V05</x:v>
      </x:c>
      <x:c r="B2560" s="115" t="str">
        <x:v>EXT-MONDE-T052</x:v>
      </x:c>
      <x:c r="C2560" s="115" t="str">
        <x:v>Parcs attractions</x:v>
      </x:c>
      <x:c r="D2560" s="115" t="str">
        <x:v>Parc thématique abandonné</x:v>
      </x:c>
      <x:c r="E2560" s="115" t="n">
        <x:v>5</x:v>
      </x:c>
      <x:c r="F2560" s="115" t="str">
        <x:v>Inspection physique</x:v>
      </x:c>
      <x:c r="G2560" s="115" t="str">
        <x:v>1 niveaux ; 32 pièces ; 248 segments de mur ; 0 transitions. Inspection physique ; architecture complète encore ouverte.</x:v>
      </x:c>
      <x:c r="H2560" s="115" t="str">
        <x:v>L 362 ; l 502 ; hauteur 24 m ; choix de composition auteur ; dimensions réelles à documenter</x:v>
      </x:c>
      <x:c r="I2560" s="115" t="str">
        <x:v>À équilibrer</x:v>
      </x:c>
      <x:c r="J2560" s="115" t="str">
        <x:v>Non</x:v>
      </x:c>
      <x:c r="K2560" s="115" t="str">
        <x:v>Pièces décrites, murs, portes, niveaux et mobilier inspectables à l’échelle. Volumes réservés, raccord au seed, butin, rencontres et services de campagne restent à terminer.</x:v>
      </x:c>
    </x:row>
    <x:row r="2561" ht="96" customHeight="1">
      <x:c r="A2561" s="115" t="str">
        <x:v>EXT-MONDE-T052-V06</x:v>
      </x:c>
      <x:c r="B2561" s="115" t="str">
        <x:v>EXT-MONDE-T052</x:v>
      </x:c>
      <x:c r="C2561" s="115" t="str">
        <x:v>Parcs attractions</x:v>
      </x:c>
      <x:c r="D2561" s="115" t="str">
        <x:v>Parc thématique abandonné</x:v>
      </x:c>
      <x:c r="E2561" s="115" t="n">
        <x:v>6</x:v>
      </x:c>
      <x:c r="F2561" s="115" t="str">
        <x:v>Inspection physique</x:v>
      </x:c>
      <x:c r="G2561" s="115" t="str">
        <x:v>1 niveaux ; 32 pièces ; 248 segments de mur ; 0 transitions. Inspection physique ; architecture complète encore ouverte.</x:v>
      </x:c>
      <x:c r="H2561" s="115" t="str">
        <x:v>L 362 ; l 502 ; hauteur 24 m ; choix de composition auteur ; dimensions réelles à documenter</x:v>
      </x:c>
      <x:c r="I2561" s="115" t="str">
        <x:v>À équilibrer</x:v>
      </x:c>
      <x:c r="J2561" s="115" t="str">
        <x:v>Non</x:v>
      </x:c>
      <x:c r="K2561" s="115" t="str">
        <x:v>Pièces décrites, murs, portes, niveaux et mobilier inspectables à l’échelle. Volumes réservés, raccord au seed, butin, rencontres et services de campagne restent à terminer.</x:v>
      </x:c>
    </x:row>
    <x:row r="2562" ht="96" customHeight="1">
      <x:c r="A2562" s="115" t="str">
        <x:v>EXT-MONDE-T052-V07</x:v>
      </x:c>
      <x:c r="B2562" s="115" t="str">
        <x:v>EXT-MONDE-T052</x:v>
      </x:c>
      <x:c r="C2562" s="115" t="str">
        <x:v>Parcs attractions</x:v>
      </x:c>
      <x:c r="D2562" s="115" t="str">
        <x:v>Parc thématique abandonné</x:v>
      </x:c>
      <x:c r="E2562" s="115" t="n">
        <x:v>7</x:v>
      </x:c>
      <x:c r="F2562" s="115" t="str">
        <x:v>Inspection physique</x:v>
      </x:c>
      <x:c r="G2562" s="115" t="str">
        <x:v>1 niveaux ; 32 pièces ; 248 segments de mur ; 0 transitions. Inspection physique ; architecture complète encore ouverte.</x:v>
      </x:c>
      <x:c r="H2562" s="115" t="str">
        <x:v>L 362 ; l 502 ; hauteur 24 m ; choix de composition auteur ; dimensions réelles à documenter</x:v>
      </x:c>
      <x:c r="I2562" s="115" t="str">
        <x:v>À équilibrer</x:v>
      </x:c>
      <x:c r="J2562" s="115" t="str">
        <x:v>Non</x:v>
      </x:c>
      <x:c r="K2562" s="115" t="str">
        <x:v>Pièces décrites, murs, portes, niveaux et mobilier inspectables à l’échelle. Volumes réservés, raccord au seed, butin, rencontres et services de campagne restent à terminer.</x:v>
      </x:c>
    </x:row>
    <x:row r="2563" ht="96" customHeight="1">
      <x:c r="A2563" s="115" t="str">
        <x:v>EXT-MONDE-T052-V08</x:v>
      </x:c>
      <x:c r="B2563" s="115" t="str">
        <x:v>EXT-MONDE-T052</x:v>
      </x:c>
      <x:c r="C2563" s="115" t="str">
        <x:v>Parcs attractions</x:v>
      </x:c>
      <x:c r="D2563" s="115" t="str">
        <x:v>Parc thématique abandonné</x:v>
      </x:c>
      <x:c r="E2563" s="115" t="n">
        <x:v>8</x:v>
      </x:c>
      <x:c r="F2563" s="115" t="str">
        <x:v>Inspection physique</x:v>
      </x:c>
      <x:c r="G2563" s="115" t="str">
        <x:v>1 niveaux ; 32 pièces ; 248 segments de mur ; 0 transitions. Inspection physique ; architecture complète encore ouverte.</x:v>
      </x:c>
      <x:c r="H2563" s="115" t="str">
        <x:v>L 362 ; l 502 ; hauteur 24 m ; choix de composition auteur ; dimensions réelles à documenter</x:v>
      </x:c>
      <x:c r="I2563" s="115" t="str">
        <x:v>À équilibrer</x:v>
      </x:c>
      <x:c r="J2563" s="115" t="str">
        <x:v>Non</x:v>
      </x:c>
      <x:c r="K2563" s="115" t="str">
        <x:v>Pièces décrites, murs, portes, niveaux et mobilier inspectables à l’échelle. Volumes réservés, raccord au seed, butin, rencontres et services de campagne restent à terminer.</x:v>
      </x:c>
    </x:row>
    <x:row r="2564" ht="96" customHeight="1">
      <x:c r="A2564" s="115" t="str">
        <x:v>EXT-MONDE-T052-V09</x:v>
      </x:c>
      <x:c r="B2564" s="115" t="str">
        <x:v>EXT-MONDE-T052</x:v>
      </x:c>
      <x:c r="C2564" s="115" t="str">
        <x:v>Parcs attractions</x:v>
      </x:c>
      <x:c r="D2564" s="115" t="str">
        <x:v>Parc thématique abandonné</x:v>
      </x:c>
      <x:c r="E2564" s="115" t="n">
        <x:v>9</x:v>
      </x:c>
      <x:c r="F2564" s="115" t="str">
        <x:v>Inspection physique</x:v>
      </x:c>
      <x:c r="G2564" s="115" t="str">
        <x:v>1 niveaux ; 32 pièces ; 248 segments de mur ; 0 transitions. Inspection physique ; architecture complète encore ouverte.</x:v>
      </x:c>
      <x:c r="H2564" s="115" t="str">
        <x:v>L 362 ; l 502 ; hauteur 24 m ; choix de composition auteur ; dimensions réelles à documenter</x:v>
      </x:c>
      <x:c r="I2564" s="115" t="str">
        <x:v>À équilibrer</x:v>
      </x:c>
      <x:c r="J2564" s="115" t="str">
        <x:v>Non</x:v>
      </x:c>
      <x:c r="K2564" s="115" t="str">
        <x:v>Pièces décrites, murs, portes, niveaux et mobilier inspectables à l’échelle. Volumes réservés, raccord au seed, butin, rencontres et services de campagne restent à terminer.</x:v>
      </x:c>
    </x:row>
    <x:row r="2565" ht="96" customHeight="1">
      <x:c r="A2565" s="115" t="str">
        <x:v>EXT-MONDE-T052-V10</x:v>
      </x:c>
      <x:c r="B2565" s="115" t="str">
        <x:v>EXT-MONDE-T052</x:v>
      </x:c>
      <x:c r="C2565" s="115" t="str">
        <x:v>Parcs attractions</x:v>
      </x:c>
      <x:c r="D2565" s="115" t="str">
        <x:v>Parc thématique abandonné</x:v>
      </x:c>
      <x:c r="E2565" s="115" t="n">
        <x:v>10</x:v>
      </x:c>
      <x:c r="F2565" s="115" t="str">
        <x:v>Inspection physique</x:v>
      </x:c>
      <x:c r="G2565" s="115" t="str">
        <x:v>1 niveaux ; 32 pièces ; 248 segments de mur ; 0 transitions. Inspection physique ; architecture complète encore ouverte.</x:v>
      </x:c>
      <x:c r="H2565" s="115" t="str">
        <x:v>L 362 ; l 502 ; hauteur 24 m ; choix de composition auteur ; dimensions réelles à documenter</x:v>
      </x:c>
      <x:c r="I2565" s="115" t="str">
        <x:v>À équilibrer</x:v>
      </x:c>
      <x:c r="J2565" s="115" t="str">
        <x:v>Non</x:v>
      </x:c>
      <x:c r="K2565" s="115" t="str">
        <x:v>Pièces décrites, murs, portes, niveaux et mobilier inspectables à l’échelle. Volumes réservés, raccord au seed, butin, rencontres et services de campagne restent à terminer.</x:v>
      </x:c>
    </x:row>
    <x:row r="2566" ht="96" customHeight="1">
      <x:c r="A2566" s="115" t="str">
        <x:v>EXT-MONDE-T052-V11</x:v>
      </x:c>
      <x:c r="B2566" s="115" t="str">
        <x:v>EXT-MONDE-T052</x:v>
      </x:c>
      <x:c r="C2566" s="115" t="str">
        <x:v>Parcs attractions</x:v>
      </x:c>
      <x:c r="D2566" s="115" t="str">
        <x:v>Parc thématique abandonné</x:v>
      </x:c>
      <x:c r="E2566" s="115" t="n">
        <x:v>11</x:v>
      </x:c>
      <x:c r="F2566" s="115" t="str">
        <x:v>Inspection physique</x:v>
      </x:c>
      <x:c r="G2566" s="115" t="str">
        <x:v>1 niveaux ; 32 pièces ; 248 segments de mur ; 0 transitions. Inspection physique ; architecture complète encore ouverte.</x:v>
      </x:c>
      <x:c r="H2566" s="115" t="str">
        <x:v>L 374 ; l 510 ; hauteur 24 m ; choix de composition auteur ; dimensions réelles à documenter</x:v>
      </x:c>
      <x:c r="I2566" s="115" t="str">
        <x:v>À équilibrer</x:v>
      </x:c>
      <x:c r="J2566" s="115" t="str">
        <x:v>Non</x:v>
      </x:c>
      <x:c r="K2566" s="115" t="str">
        <x:v>Pièces décrites, murs, portes, niveaux et mobilier inspectables à l’échelle. Volumes réservés, raccord au seed, butin, rencontres et services de campagne restent à terminer.</x:v>
      </x:c>
    </x:row>
    <x:row r="2567" ht="96" customHeight="1">
      <x:c r="A2567" s="115" t="str">
        <x:v>EXT-MONDE-T052-V12</x:v>
      </x:c>
      <x:c r="B2567" s="115" t="str">
        <x:v>EXT-MONDE-T052</x:v>
      </x:c>
      <x:c r="C2567" s="115" t="str">
        <x:v>Parcs attractions</x:v>
      </x:c>
      <x:c r="D2567" s="115" t="str">
        <x:v>Parc thématique abandonné</x:v>
      </x:c>
      <x:c r="E2567" s="115" t="n">
        <x:v>12</x:v>
      </x:c>
      <x:c r="F2567" s="115" t="str">
        <x:v>Inspection physique</x:v>
      </x:c>
      <x:c r="G2567" s="115" t="str">
        <x:v>1 niveaux ; 32 pièces ; 248 segments de mur ; 0 transitions. Inspection physique ; architecture complète encore ouverte.</x:v>
      </x:c>
      <x:c r="H2567" s="115" t="str">
        <x:v>L 374 ; l 510 ; hauteur 24 m ; choix de composition auteur ; dimensions réelles à documenter</x:v>
      </x:c>
      <x:c r="I2567" s="115" t="str">
        <x:v>À équilibrer</x:v>
      </x:c>
      <x:c r="J2567" s="115" t="str">
        <x:v>Non</x:v>
      </x:c>
      <x:c r="K2567" s="115" t="str">
        <x:v>Pièces décrites, murs, portes, niveaux et mobilier inspectables à l’échelle. Volumes réservés, raccord au seed, butin, rencontres et services de campagne restent à terminer.</x:v>
      </x:c>
    </x:row>
    <x:row r="2568" ht="96" customHeight="1">
      <x:c r="A2568" s="115" t="str">
        <x:v>EXT-MONDE-T052-V13</x:v>
      </x:c>
      <x:c r="B2568" s="115" t="str">
        <x:v>EXT-MONDE-T052</x:v>
      </x:c>
      <x:c r="C2568" s="115" t="str">
        <x:v>Parcs attractions</x:v>
      </x:c>
      <x:c r="D2568" s="115" t="str">
        <x:v>Parc thématique abandonné</x:v>
      </x:c>
      <x:c r="E2568" s="115" t="n">
        <x:v>13</x:v>
      </x:c>
      <x:c r="F2568" s="115" t="str">
        <x:v>Inspection physique</x:v>
      </x:c>
      <x:c r="G2568" s="115" t="str">
        <x:v>1 niveaux ; 32 pièces ; 248 segments de mur ; 0 transitions. Inspection physique ; architecture complète encore ouverte.</x:v>
      </x:c>
      <x:c r="H2568" s="115" t="str">
        <x:v>L 374 ; l 510 ; hauteur 24 m ; choix de composition auteur ; dimensions réelles à documenter</x:v>
      </x:c>
      <x:c r="I2568" s="115" t="str">
        <x:v>À équilibrer</x:v>
      </x:c>
      <x:c r="J2568" s="115" t="str">
        <x:v>Non</x:v>
      </x:c>
      <x:c r="K2568" s="115" t="str">
        <x:v>Pièces décrites, murs, portes, niveaux et mobilier inspectables à l’échelle. Volumes réservés, raccord au seed, butin, rencontres et services de campagne restent à terminer.</x:v>
      </x:c>
    </x:row>
    <x:row r="2569" ht="96" customHeight="1">
      <x:c r="A2569" s="115" t="str">
        <x:v>EXT-MONDE-T052-V14</x:v>
      </x:c>
      <x:c r="B2569" s="115" t="str">
        <x:v>EXT-MONDE-T052</x:v>
      </x:c>
      <x:c r="C2569" s="115" t="str">
        <x:v>Parcs attractions</x:v>
      </x:c>
      <x:c r="D2569" s="115" t="str">
        <x:v>Parc thématique abandonné</x:v>
      </x:c>
      <x:c r="E2569" s="115" t="n">
        <x:v>14</x:v>
      </x:c>
      <x:c r="F2569" s="115" t="str">
        <x:v>Inspection physique</x:v>
      </x:c>
      <x:c r="G2569" s="115" t="str">
        <x:v>1 niveaux ; 32 pièces ; 248 segments de mur ; 0 transitions. Inspection physique ; architecture complète encore ouverte.</x:v>
      </x:c>
      <x:c r="H2569" s="115" t="str">
        <x:v>L 374 ; l 510 ; hauteur 24 m ; choix de composition auteur ; dimensions réelles à documenter</x:v>
      </x:c>
      <x:c r="I2569" s="115" t="str">
        <x:v>À équilibrer</x:v>
      </x:c>
      <x:c r="J2569" s="115" t="str">
        <x:v>Non</x:v>
      </x:c>
      <x:c r="K2569" s="115" t="str">
        <x:v>Pièces décrites, murs, portes, niveaux et mobilier inspectables à l’échelle. Volumes réservés, raccord au seed, butin, rencontres et services de campagne restent à terminer.</x:v>
      </x:c>
    </x:row>
    <x:row r="2570" ht="96" customHeight="1">
      <x:c r="A2570" s="115" t="str">
        <x:v>EXT-MONDE-T052-V15</x:v>
      </x:c>
      <x:c r="B2570" s="115" t="str">
        <x:v>EXT-MONDE-T052</x:v>
      </x:c>
      <x:c r="C2570" s="115" t="str">
        <x:v>Parcs attractions</x:v>
      </x:c>
      <x:c r="D2570" s="115" t="str">
        <x:v>Parc thématique abandonné</x:v>
      </x:c>
      <x:c r="E2570" s="115" t="n">
        <x:v>15</x:v>
      </x:c>
      <x:c r="F2570" s="115" t="str">
        <x:v>Inspection physique</x:v>
      </x:c>
      <x:c r="G2570" s="115" t="str">
        <x:v>1 niveaux ; 32 pièces ; 248 segments de mur ; 0 transitions. Inspection physique ; architecture complète encore ouverte.</x:v>
      </x:c>
      <x:c r="H2570" s="115" t="str">
        <x:v>L 374 ; l 510 ; hauteur 24 m ; choix de composition auteur ; dimensions réelles à documenter</x:v>
      </x:c>
      <x:c r="I2570" s="115" t="str">
        <x:v>À équilibrer</x:v>
      </x:c>
      <x:c r="J2570" s="115" t="str">
        <x:v>Non</x:v>
      </x:c>
      <x:c r="K2570" s="115" t="str">
        <x:v>Pièces décrites, murs, portes, niveaux et mobilier inspectables à l’échelle. Volumes réservés, raccord au seed, butin, rencontres et services de campagne restent à terminer.</x:v>
      </x:c>
    </x:row>
    <x:row r="2571" ht="96" customHeight="1">
      <x:c r="A2571" s="115" t="str">
        <x:v>EXT-MONDE-T052-V16</x:v>
      </x:c>
      <x:c r="B2571" s="115" t="str">
        <x:v>EXT-MONDE-T052</x:v>
      </x:c>
      <x:c r="C2571" s="115" t="str">
        <x:v>Parcs attractions</x:v>
      </x:c>
      <x:c r="D2571" s="115" t="str">
        <x:v>Parc thématique abandonné</x:v>
      </x:c>
      <x:c r="E2571" s="115" t="n">
        <x:v>16</x:v>
      </x:c>
      <x:c r="F2571" s="115" t="str">
        <x:v>Inspection physique</x:v>
      </x:c>
      <x:c r="G2571" s="115" t="str">
        <x:v>1 niveaux ; 32 pièces ; 248 segments de mur ; 0 transitions. Inspection physique ; architecture complète encore ouverte.</x:v>
      </x:c>
      <x:c r="H2571" s="115" t="str">
        <x:v>L 374 ; l 510 ; hauteur 24 m ; choix de composition auteur ; dimensions réelles à documenter</x:v>
      </x:c>
      <x:c r="I2571" s="115" t="str">
        <x:v>À équilibrer</x:v>
      </x:c>
      <x:c r="J2571" s="115" t="str">
        <x:v>Non</x:v>
      </x:c>
      <x:c r="K2571" s="115" t="str">
        <x:v>Pièces décrites, murs, portes, niveaux et mobilier inspectables à l’échelle. Volumes réservés, raccord au seed, butin, rencontres et services de campagne restent à terminer.</x:v>
      </x:c>
    </x:row>
    <x:row r="2572" ht="96" customHeight="1">
      <x:c r="A2572" s="115" t="str">
        <x:v>EXT-MONDE-T052-V17</x:v>
      </x:c>
      <x:c r="B2572" s="115" t="str">
        <x:v>EXT-MONDE-T052</x:v>
      </x:c>
      <x:c r="C2572" s="115" t="str">
        <x:v>Parcs attractions</x:v>
      </x:c>
      <x:c r="D2572" s="115" t="str">
        <x:v>Parc thématique abandonné</x:v>
      </x:c>
      <x:c r="E2572" s="115" t="n">
        <x:v>17</x:v>
      </x:c>
      <x:c r="F2572" s="115" t="str">
        <x:v>Inspection physique</x:v>
      </x:c>
      <x:c r="G2572" s="115" t="str">
        <x:v>1 niveaux ; 32 pièces ; 248 segments de mur ; 0 transitions. Inspection physique ; architecture complète encore ouverte.</x:v>
      </x:c>
      <x:c r="H2572" s="115" t="str">
        <x:v>L 374 ; l 510 ; hauteur 24 m ; choix de composition auteur ; dimensions réelles à documenter</x:v>
      </x:c>
      <x:c r="I2572" s="115" t="str">
        <x:v>À équilibrer</x:v>
      </x:c>
      <x:c r="J2572" s="115" t="str">
        <x:v>Non</x:v>
      </x:c>
      <x:c r="K2572" s="115" t="str">
        <x:v>Pièces décrites, murs, portes, niveaux et mobilier inspectables à l’échelle. Volumes réservés, raccord au seed, butin, rencontres et services de campagne restent à terminer.</x:v>
      </x:c>
    </x:row>
    <x:row r="2573" ht="96" customHeight="1">
      <x:c r="A2573" s="115" t="str">
        <x:v>EXT-MONDE-T052-V18</x:v>
      </x:c>
      <x:c r="B2573" s="115" t="str">
        <x:v>EXT-MONDE-T052</x:v>
      </x:c>
      <x:c r="C2573" s="115" t="str">
        <x:v>Parcs attractions</x:v>
      </x:c>
      <x:c r="D2573" s="115" t="str">
        <x:v>Parc thématique abandonné</x:v>
      </x:c>
      <x:c r="E2573" s="115" t="n">
        <x:v>18</x:v>
      </x:c>
      <x:c r="F2573" s="115" t="str">
        <x:v>Inspection physique</x:v>
      </x:c>
      <x:c r="G2573" s="115" t="str">
        <x:v>1 niveaux ; 32 pièces ; 248 segments de mur ; 0 transitions. Inspection physique ; architecture complète encore ouverte.</x:v>
      </x:c>
      <x:c r="H2573" s="115" t="str">
        <x:v>L 374 ; l 510 ; hauteur 24 m ; choix de composition auteur ; dimensions réelles à documenter</x:v>
      </x:c>
      <x:c r="I2573" s="115" t="str">
        <x:v>À équilibrer</x:v>
      </x:c>
      <x:c r="J2573" s="115" t="str">
        <x:v>Non</x:v>
      </x:c>
      <x:c r="K2573" s="115" t="str">
        <x:v>Pièces décrites, murs, portes, niveaux et mobilier inspectables à l’échelle. Volumes réservés, raccord au seed, butin, rencontres et services de campagne restent à terminer.</x:v>
      </x:c>
    </x:row>
    <x:row r="2574" ht="96" customHeight="1">
      <x:c r="A2574" s="115" t="str">
        <x:v>EXT-MONDE-T052-V19</x:v>
      </x:c>
      <x:c r="B2574" s="115" t="str">
        <x:v>EXT-MONDE-T052</x:v>
      </x:c>
      <x:c r="C2574" s="115" t="str">
        <x:v>Parcs attractions</x:v>
      </x:c>
      <x:c r="D2574" s="115" t="str">
        <x:v>Parc thématique abandonné</x:v>
      </x:c>
      <x:c r="E2574" s="115" t="n">
        <x:v>19</x:v>
      </x:c>
      <x:c r="F2574" s="115" t="str">
        <x:v>Inspection physique</x:v>
      </x:c>
      <x:c r="G2574" s="115" t="str">
        <x:v>1 niveaux ; 32 pièces ; 248 segments de mur ; 0 transitions. Inspection physique ; architecture complète encore ouverte.</x:v>
      </x:c>
      <x:c r="H2574" s="115" t="str">
        <x:v>L 374 ; l 510 ; hauteur 24 m ; choix de composition auteur ; dimensions réelles à documenter</x:v>
      </x:c>
      <x:c r="I2574" s="115" t="str">
        <x:v>À équilibrer</x:v>
      </x:c>
      <x:c r="J2574" s="115" t="str">
        <x:v>Non</x:v>
      </x:c>
      <x:c r="K2574" s="115" t="str">
        <x:v>Pièces décrites, murs, portes, niveaux et mobilier inspectables à l’échelle. Volumes réservés, raccord au seed, butin, rencontres et services de campagne restent à terminer.</x:v>
      </x:c>
    </x:row>
    <x:row r="2575" ht="96" customHeight="1">
      <x:c r="A2575" s="115" t="str">
        <x:v>EXT-MONDE-T052-V20</x:v>
      </x:c>
      <x:c r="B2575" s="115" t="str">
        <x:v>EXT-MONDE-T052</x:v>
      </x:c>
      <x:c r="C2575" s="115" t="str">
        <x:v>Parcs attractions</x:v>
      </x:c>
      <x:c r="D2575" s="115" t="str">
        <x:v>Parc thématique abandonné</x:v>
      </x:c>
      <x:c r="E2575" s="115" t="n">
        <x:v>20</x:v>
      </x:c>
      <x:c r="F2575" s="115" t="str">
        <x:v>Inspection physique</x:v>
      </x:c>
      <x:c r="G2575" s="115" t="str">
        <x:v>1 niveaux ; 32 pièces ; 248 segments de mur ; 0 transitions. Inspection physique ; architecture complète encore ouverte.</x:v>
      </x:c>
      <x:c r="H2575" s="115" t="str">
        <x:v>L 374 ; l 510 ; hauteur 24 m ; choix de composition auteur ; dimensions réelles à documenter</x:v>
      </x:c>
      <x:c r="I2575" s="115" t="str">
        <x:v>À équilibrer</x:v>
      </x:c>
      <x:c r="J2575" s="115" t="str">
        <x:v>Non</x:v>
      </x:c>
      <x:c r="K2575" s="115" t="str">
        <x:v>Pièces décrites, murs, portes, niveaux et mobilier inspectables à l’échelle. Volumes réservés, raccord au seed, butin, rencontres et services de campagne restent à terminer.</x:v>
      </x:c>
    </x:row>
    <x:row r="2576" ht="96" customHeight="1">
      <x:c r="A2576" s="115" t="str">
        <x:v>EXT-MONDE-T052-V21</x:v>
      </x:c>
      <x:c r="B2576" s="115" t="str">
        <x:v>EXT-MONDE-T052</x:v>
      </x:c>
      <x:c r="C2576" s="115" t="str">
        <x:v>Parcs attractions</x:v>
      </x:c>
      <x:c r="D2576" s="115" t="str">
        <x:v>Parc thématique abandonné</x:v>
      </x:c>
      <x:c r="E2576" s="115" t="n">
        <x:v>21</x:v>
      </x:c>
      <x:c r="F2576" s="115" t="str">
        <x:v>Inspection physique</x:v>
      </x:c>
      <x:c r="G2576" s="115" t="str">
        <x:v>1 niveaux ; 32 pièces ; 248 segments de mur ; 0 transitions. Inspection physique ; architecture complète encore ouverte.</x:v>
      </x:c>
      <x:c r="H2576" s="115" t="str">
        <x:v>L 386 ; l 518 ; hauteur 24 m ; choix de composition auteur ; dimensions réelles à documenter</x:v>
      </x:c>
      <x:c r="I2576" s="115" t="str">
        <x:v>À équilibrer</x:v>
      </x:c>
      <x:c r="J2576" s="115" t="str">
        <x:v>Non</x:v>
      </x:c>
      <x:c r="K2576" s="115" t="str">
        <x:v>Pièces décrites, murs, portes, niveaux et mobilier inspectables à l’échelle. Volumes réservés, raccord au seed, butin, rencontres et services de campagne restent à terminer.</x:v>
      </x:c>
    </x:row>
    <x:row r="2577" ht="96" customHeight="1">
      <x:c r="A2577" s="115" t="str">
        <x:v>EXT-MONDE-T052-V22</x:v>
      </x:c>
      <x:c r="B2577" s="115" t="str">
        <x:v>EXT-MONDE-T052</x:v>
      </x:c>
      <x:c r="C2577" s="115" t="str">
        <x:v>Parcs attractions</x:v>
      </x:c>
      <x:c r="D2577" s="115" t="str">
        <x:v>Parc thématique abandonné</x:v>
      </x:c>
      <x:c r="E2577" s="115" t="n">
        <x:v>22</x:v>
      </x:c>
      <x:c r="F2577" s="115" t="str">
        <x:v>Inspection physique</x:v>
      </x:c>
      <x:c r="G2577" s="115" t="str">
        <x:v>1 niveaux ; 32 pièces ; 248 segments de mur ; 0 transitions. Inspection physique ; architecture complète encore ouverte.</x:v>
      </x:c>
      <x:c r="H2577" s="115" t="str">
        <x:v>L 386 ; l 518 ; hauteur 24 m ; choix de composition auteur ; dimensions réelles à documenter</x:v>
      </x:c>
      <x:c r="I2577" s="115" t="str">
        <x:v>À équilibrer</x:v>
      </x:c>
      <x:c r="J2577" s="115" t="str">
        <x:v>Non</x:v>
      </x:c>
      <x:c r="K2577" s="115" t="str">
        <x:v>Pièces décrites, murs, portes, niveaux et mobilier inspectables à l’échelle. Volumes réservés, raccord au seed, butin, rencontres et services de campagne restent à terminer.</x:v>
      </x:c>
    </x:row>
    <x:row r="2578" ht="96" customHeight="1">
      <x:c r="A2578" s="115" t="str">
        <x:v>EXT-MONDE-T052-V23</x:v>
      </x:c>
      <x:c r="B2578" s="115" t="str">
        <x:v>EXT-MONDE-T052</x:v>
      </x:c>
      <x:c r="C2578" s="115" t="str">
        <x:v>Parcs attractions</x:v>
      </x:c>
      <x:c r="D2578" s="115" t="str">
        <x:v>Parc thématique abandonné</x:v>
      </x:c>
      <x:c r="E2578" s="115" t="n">
        <x:v>23</x:v>
      </x:c>
      <x:c r="F2578" s="115" t="str">
        <x:v>Inspection physique</x:v>
      </x:c>
      <x:c r="G2578" s="115" t="str">
        <x:v>1 niveaux ; 32 pièces ; 248 segments de mur ; 0 transitions. Inspection physique ; architecture complète encore ouverte.</x:v>
      </x:c>
      <x:c r="H2578" s="115" t="str">
        <x:v>L 386 ; l 518 ; hauteur 24 m ; choix de composition auteur ; dimensions réelles à documenter</x:v>
      </x:c>
      <x:c r="I2578" s="115" t="str">
        <x:v>À équilibrer</x:v>
      </x:c>
      <x:c r="J2578" s="115" t="str">
        <x:v>Non</x:v>
      </x:c>
      <x:c r="K2578" s="115" t="str">
        <x:v>Pièces décrites, murs, portes, niveaux et mobilier inspectables à l’échelle. Volumes réservés, raccord au seed, butin, rencontres et services de campagne restent à terminer.</x:v>
      </x:c>
    </x:row>
    <x:row r="2579" ht="96" customHeight="1">
      <x:c r="A2579" s="115" t="str">
        <x:v>EXT-MONDE-T052-V24</x:v>
      </x:c>
      <x:c r="B2579" s="115" t="str">
        <x:v>EXT-MONDE-T052</x:v>
      </x:c>
      <x:c r="C2579" s="115" t="str">
        <x:v>Parcs attractions</x:v>
      </x:c>
      <x:c r="D2579" s="115" t="str">
        <x:v>Parc thématique abandonné</x:v>
      </x:c>
      <x:c r="E2579" s="115" t="n">
        <x:v>24</x:v>
      </x:c>
      <x:c r="F2579" s="115" t="str">
        <x:v>Inspection physique</x:v>
      </x:c>
      <x:c r="G2579" s="115" t="str">
        <x:v>1 niveaux ; 32 pièces ; 248 segments de mur ; 0 transitions. Inspection physique ; architecture complète encore ouverte.</x:v>
      </x:c>
      <x:c r="H2579" s="115" t="str">
        <x:v>L 386 ; l 518 ; hauteur 24 m ; choix de composition auteur ; dimensions réelles à documenter</x:v>
      </x:c>
      <x:c r="I2579" s="115" t="str">
        <x:v>À équilibrer</x:v>
      </x:c>
      <x:c r="J2579" s="115" t="str">
        <x:v>Non</x:v>
      </x:c>
      <x:c r="K2579" s="115" t="str">
        <x:v>Pièces décrites, murs, portes, niveaux et mobilier inspectables à l’échelle. Volumes réservés, raccord au seed, butin, rencontres et services de campagne restent à terminer.</x:v>
      </x:c>
    </x:row>
    <x:row r="2580" ht="96" customHeight="1">
      <x:c r="A2580" s="115" t="str">
        <x:v>EXT-MONDE-T052-V25</x:v>
      </x:c>
      <x:c r="B2580" s="115" t="str">
        <x:v>EXT-MONDE-T052</x:v>
      </x:c>
      <x:c r="C2580" s="115" t="str">
        <x:v>Parcs attractions</x:v>
      </x:c>
      <x:c r="D2580" s="115" t="str">
        <x:v>Parc thématique abandonné</x:v>
      </x:c>
      <x:c r="E2580" s="115" t="n">
        <x:v>25</x:v>
      </x:c>
      <x:c r="F2580" s="115" t="str">
        <x:v>Inspection physique</x:v>
      </x:c>
      <x:c r="G2580" s="115" t="str">
        <x:v>1 niveaux ; 32 pièces ; 248 segments de mur ; 0 transitions. Inspection physique ; architecture complète encore ouverte.</x:v>
      </x:c>
      <x:c r="H2580" s="115" t="str">
        <x:v>L 386 ; l 518 ; hauteur 24 m ; choix de composition auteur ; dimensions réelles à documenter</x:v>
      </x:c>
      <x:c r="I2580" s="115" t="str">
        <x:v>À équilibrer</x:v>
      </x:c>
      <x:c r="J2580" s="115" t="str">
        <x:v>Non</x:v>
      </x:c>
      <x:c r="K2580" s="115" t="str">
        <x:v>Pièces décrites, murs, portes, niveaux et mobilier inspectables à l’échelle. Volumes réservés, raccord au seed, butin, rencontres et services de campagne restent à terminer.</x:v>
      </x:c>
    </x:row>
    <x:row r="2581" ht="96" customHeight="1">
      <x:c r="A2581" s="115" t="str">
        <x:v>EXT-MONDE-T052-V26</x:v>
      </x:c>
      <x:c r="B2581" s="115" t="str">
        <x:v>EXT-MONDE-T052</x:v>
      </x:c>
      <x:c r="C2581" s="115" t="str">
        <x:v>Parcs attractions</x:v>
      </x:c>
      <x:c r="D2581" s="115" t="str">
        <x:v>Parc thématique abandonné</x:v>
      </x:c>
      <x:c r="E2581" s="115" t="n">
        <x:v>26</x:v>
      </x:c>
      <x:c r="F2581" s="115" t="str">
        <x:v>Inspection physique</x:v>
      </x:c>
      <x:c r="G2581" s="115" t="str">
        <x:v>1 niveaux ; 32 pièces ; 248 segments de mur ; 0 transitions. Inspection physique ; architecture complète encore ouverte.</x:v>
      </x:c>
      <x:c r="H2581" s="115" t="str">
        <x:v>L 386 ; l 518 ; hauteur 24 m ; choix de composition auteur ; dimensions réelles à documenter</x:v>
      </x:c>
      <x:c r="I2581" s="115" t="str">
        <x:v>À équilibrer</x:v>
      </x:c>
      <x:c r="J2581" s="115" t="str">
        <x:v>Non</x:v>
      </x:c>
      <x:c r="K2581" s="115" t="str">
        <x:v>Pièces décrites, murs, portes, niveaux et mobilier inspectables à l’échelle. Volumes réservés, raccord au seed, butin, rencontres et services de campagne restent à terminer.</x:v>
      </x:c>
    </x:row>
    <x:row r="2582" ht="96" customHeight="1">
      <x:c r="A2582" s="115" t="str">
        <x:v>EXT-MONDE-T052-V27</x:v>
      </x:c>
      <x:c r="B2582" s="115" t="str">
        <x:v>EXT-MONDE-T052</x:v>
      </x:c>
      <x:c r="C2582" s="115" t="str">
        <x:v>Parcs attractions</x:v>
      </x:c>
      <x:c r="D2582" s="115" t="str">
        <x:v>Parc thématique abandonné</x:v>
      </x:c>
      <x:c r="E2582" s="115" t="n">
        <x:v>27</x:v>
      </x:c>
      <x:c r="F2582" s="115" t="str">
        <x:v>Inspection physique</x:v>
      </x:c>
      <x:c r="G2582" s="115" t="str">
        <x:v>1 niveaux ; 32 pièces ; 248 segments de mur ; 0 transitions. Inspection physique ; architecture complète encore ouverte.</x:v>
      </x:c>
      <x:c r="H2582" s="115" t="str">
        <x:v>L 386 ; l 518 ; hauteur 24 m ; choix de composition auteur ; dimensions réelles à documenter</x:v>
      </x:c>
      <x:c r="I2582" s="115" t="str">
        <x:v>À équilibrer</x:v>
      </x:c>
      <x:c r="J2582" s="115" t="str">
        <x:v>Non</x:v>
      </x:c>
      <x:c r="K2582" s="115" t="str">
        <x:v>Pièces décrites, murs, portes, niveaux et mobilier inspectables à l’échelle. Volumes réservés, raccord au seed, butin, rencontres et services de campagne restent à terminer.</x:v>
      </x:c>
    </x:row>
    <x:row r="2583" ht="96" customHeight="1">
      <x:c r="A2583" s="115" t="str">
        <x:v>EXT-MONDE-T052-V28</x:v>
      </x:c>
      <x:c r="B2583" s="115" t="str">
        <x:v>EXT-MONDE-T052</x:v>
      </x:c>
      <x:c r="C2583" s="115" t="str">
        <x:v>Parcs attractions</x:v>
      </x:c>
      <x:c r="D2583" s="115" t="str">
        <x:v>Parc thématique abandonné</x:v>
      </x:c>
      <x:c r="E2583" s="115" t="n">
        <x:v>28</x:v>
      </x:c>
      <x:c r="F2583" s="115" t="str">
        <x:v>Inspection physique</x:v>
      </x:c>
      <x:c r="G2583" s="115" t="str">
        <x:v>1 niveaux ; 32 pièces ; 248 segments de mur ; 0 transitions. Inspection physique ; architecture complète encore ouverte.</x:v>
      </x:c>
      <x:c r="H2583" s="115" t="str">
        <x:v>L 386 ; l 518 ; hauteur 24 m ; choix de composition auteur ; dimensions réelles à documenter</x:v>
      </x:c>
      <x:c r="I2583" s="115" t="str">
        <x:v>À équilibrer</x:v>
      </x:c>
      <x:c r="J2583" s="115" t="str">
        <x:v>Non</x:v>
      </x:c>
      <x:c r="K2583" s="115" t="str">
        <x:v>Pièces décrites, murs, portes, niveaux et mobilier inspectables à l’échelle. Volumes réservés, raccord au seed, butin, rencontres et services de campagne restent à terminer.</x:v>
      </x:c>
    </x:row>
    <x:row r="2584" ht="96" customHeight="1">
      <x:c r="A2584" s="115" t="str">
        <x:v>EXT-MONDE-T052-V29</x:v>
      </x:c>
      <x:c r="B2584" s="115" t="str">
        <x:v>EXT-MONDE-T052</x:v>
      </x:c>
      <x:c r="C2584" s="115" t="str">
        <x:v>Parcs attractions</x:v>
      </x:c>
      <x:c r="D2584" s="115" t="str">
        <x:v>Parc thématique abandonné</x:v>
      </x:c>
      <x:c r="E2584" s="115" t="n">
        <x:v>29</x:v>
      </x:c>
      <x:c r="F2584" s="115" t="str">
        <x:v>Inspection physique</x:v>
      </x:c>
      <x:c r="G2584" s="115" t="str">
        <x:v>1 niveaux ; 32 pièces ; 248 segments de mur ; 0 transitions. Inspection physique ; architecture complète encore ouverte.</x:v>
      </x:c>
      <x:c r="H2584" s="115" t="str">
        <x:v>L 386 ; l 518 ; hauteur 24 m ; choix de composition auteur ; dimensions réelles à documenter</x:v>
      </x:c>
      <x:c r="I2584" s="115" t="str">
        <x:v>À équilibrer</x:v>
      </x:c>
      <x:c r="J2584" s="115" t="str">
        <x:v>Non</x:v>
      </x:c>
      <x:c r="K2584" s="115" t="str">
        <x:v>Pièces décrites, murs, portes, niveaux et mobilier inspectables à l’échelle. Volumes réservés, raccord au seed, butin, rencontres et services de campagne restent à terminer.</x:v>
      </x:c>
    </x:row>
    <x:row r="2585" ht="96" customHeight="1">
      <x:c r="A2585" s="115" t="str">
        <x:v>EXT-MONDE-T052-V30</x:v>
      </x:c>
      <x:c r="B2585" s="115" t="str">
        <x:v>EXT-MONDE-T052</x:v>
      </x:c>
      <x:c r="C2585" s="115" t="str">
        <x:v>Parcs attractions</x:v>
      </x:c>
      <x:c r="D2585" s="115" t="str">
        <x:v>Parc thématique abandonné</x:v>
      </x:c>
      <x:c r="E2585" s="115" t="n">
        <x:v>30</x:v>
      </x:c>
      <x:c r="F2585" s="115" t="str">
        <x:v>Inspection physique</x:v>
      </x:c>
      <x:c r="G2585" s="115" t="str">
        <x:v>1 niveaux ; 32 pièces ; 248 segments de mur ; 0 transitions. Inspection physique ; architecture complète encore ouverte.</x:v>
      </x:c>
      <x:c r="H2585" s="115" t="str">
        <x:v>L 386 ; l 518 ; hauteur 24 m ; choix de composition auteur ; dimensions réelles à documenter</x:v>
      </x:c>
      <x:c r="I2585" s="115" t="str">
        <x:v>À équilibrer</x:v>
      </x:c>
      <x:c r="J2585" s="115" t="str">
        <x:v>Non</x:v>
      </x:c>
      <x:c r="K2585" s="115" t="str">
        <x:v>Pièces décrites, murs, portes, niveaux et mobilier inspectables à l’échelle. Volumes réservés, raccord au seed, butin, rencontres et services de campagne restent à terminer.</x:v>
      </x:c>
    </x:row>
    <x:row r="2586" ht="96" customHeight="1">
      <x:c r="A2586" s="115" t="str">
        <x:v>EXT-MONDE-T052-V31</x:v>
      </x:c>
      <x:c r="B2586" s="115" t="str">
        <x:v>EXT-MONDE-T052</x:v>
      </x:c>
      <x:c r="C2586" s="115" t="str">
        <x:v>Parcs attractions</x:v>
      </x:c>
      <x:c r="D2586" s="115" t="str">
        <x:v>Parc thématique abandonné</x:v>
      </x:c>
      <x:c r="E2586" s="115" t="n">
        <x:v>31</x:v>
      </x:c>
      <x:c r="F2586" s="115" t="str">
        <x:v>Inspection physique</x:v>
      </x:c>
      <x:c r="G2586" s="115" t="str">
        <x:v>1 niveaux ; 32 pièces ; 248 segments de mur ; 0 transitions. Inspection physique ; architecture complète encore ouverte.</x:v>
      </x:c>
      <x:c r="H2586" s="115" t="str">
        <x:v>L 398 ; l 526 ; hauteur 24 m ; choix de composition auteur ; dimensions réelles à documenter</x:v>
      </x:c>
      <x:c r="I2586" s="115" t="str">
        <x:v>À équilibrer</x:v>
      </x:c>
      <x:c r="J2586" s="115" t="str">
        <x:v>Non</x:v>
      </x:c>
      <x:c r="K2586" s="115" t="str">
        <x:v>Pièces décrites, murs, portes, niveaux et mobilier inspectables à l’échelle. Volumes réservés, raccord au seed, butin, rencontres et services de campagne restent à terminer.</x:v>
      </x:c>
    </x:row>
    <x:row r="2587" ht="96" customHeight="1">
      <x:c r="A2587" s="115" t="str">
        <x:v>EXT-MONDE-T052-V32</x:v>
      </x:c>
      <x:c r="B2587" s="115" t="str">
        <x:v>EXT-MONDE-T052</x:v>
      </x:c>
      <x:c r="C2587" s="115" t="str">
        <x:v>Parcs attractions</x:v>
      </x:c>
      <x:c r="D2587" s="115" t="str">
        <x:v>Parc thématique abandonné</x:v>
      </x:c>
      <x:c r="E2587" s="115" t="n">
        <x:v>32</x:v>
      </x:c>
      <x:c r="F2587" s="115" t="str">
        <x:v>Inspection physique</x:v>
      </x:c>
      <x:c r="G2587" s="115" t="str">
        <x:v>1 niveaux ; 32 pièces ; 248 segments de mur ; 0 transitions. Inspection physique ; architecture complète encore ouverte.</x:v>
      </x:c>
      <x:c r="H2587" s="115" t="str">
        <x:v>L 398 ; l 526 ; hauteur 24 m ; choix de composition auteur ; dimensions réelles à documenter</x:v>
      </x:c>
      <x:c r="I2587" s="115" t="str">
        <x:v>À équilibrer</x:v>
      </x:c>
      <x:c r="J2587" s="115" t="str">
        <x:v>Non</x:v>
      </x:c>
      <x:c r="K2587" s="115" t="str">
        <x:v>Pièces décrites, murs, portes, niveaux et mobilier inspectables à l’échelle. Volumes réservés, raccord au seed, butin, rencontres et services de campagne restent à terminer.</x:v>
      </x:c>
    </x:row>
    <x:row r="2588" ht="96" customHeight="1">
      <x:c r="A2588" s="115" t="str">
        <x:v>EXT-MONDE-T052-V33</x:v>
      </x:c>
      <x:c r="B2588" s="115" t="str">
        <x:v>EXT-MONDE-T052</x:v>
      </x:c>
      <x:c r="C2588" s="115" t="str">
        <x:v>Parcs attractions</x:v>
      </x:c>
      <x:c r="D2588" s="115" t="str">
        <x:v>Parc thématique abandonné</x:v>
      </x:c>
      <x:c r="E2588" s="115" t="n">
        <x:v>33</x:v>
      </x:c>
      <x:c r="F2588" s="115" t="str">
        <x:v>Inspection physique</x:v>
      </x:c>
      <x:c r="G2588" s="115" t="str">
        <x:v>1 niveaux ; 32 pièces ; 248 segments de mur ; 0 transitions. Inspection physique ; architecture complète encore ouverte.</x:v>
      </x:c>
      <x:c r="H2588" s="115" t="str">
        <x:v>L 398 ; l 526 ; hauteur 24 m ; choix de composition auteur ; dimensions réelles à documenter</x:v>
      </x:c>
      <x:c r="I2588" s="115" t="str">
        <x:v>À équilibrer</x:v>
      </x:c>
      <x:c r="J2588" s="115" t="str">
        <x:v>Non</x:v>
      </x:c>
      <x:c r="K2588" s="115" t="str">
        <x:v>Pièces décrites, murs, portes, niveaux et mobilier inspectables à l’échelle. Volumes réservés, raccord au seed, butin, rencontres et services de campagne restent à terminer.</x:v>
      </x:c>
    </x:row>
    <x:row r="2589" ht="96" customHeight="1">
      <x:c r="A2589" s="115" t="str">
        <x:v>EXT-MONDE-T052-V34</x:v>
      </x:c>
      <x:c r="B2589" s="115" t="str">
        <x:v>EXT-MONDE-T052</x:v>
      </x:c>
      <x:c r="C2589" s="115" t="str">
        <x:v>Parcs attractions</x:v>
      </x:c>
      <x:c r="D2589" s="115" t="str">
        <x:v>Parc thématique abandonné</x:v>
      </x:c>
      <x:c r="E2589" s="115" t="n">
        <x:v>34</x:v>
      </x:c>
      <x:c r="F2589" s="115" t="str">
        <x:v>Inspection physique</x:v>
      </x:c>
      <x:c r="G2589" s="115" t="str">
        <x:v>1 niveaux ; 32 pièces ; 248 segments de mur ; 0 transitions. Inspection physique ; architecture complète encore ouverte.</x:v>
      </x:c>
      <x:c r="H2589" s="115" t="str">
        <x:v>L 398 ; l 526 ; hauteur 24 m ; choix de composition auteur ; dimensions réelles à documenter</x:v>
      </x:c>
      <x:c r="I2589" s="115" t="str">
        <x:v>À équilibrer</x:v>
      </x:c>
      <x:c r="J2589" s="115" t="str">
        <x:v>Non</x:v>
      </x:c>
      <x:c r="K2589" s="115" t="str">
        <x:v>Pièces décrites, murs, portes, niveaux et mobilier inspectables à l’échelle. Volumes réservés, raccord au seed, butin, rencontres et services de campagne restent à terminer.</x:v>
      </x:c>
    </x:row>
    <x:row r="2590" ht="96" customHeight="1">
      <x:c r="A2590" s="115" t="str">
        <x:v>EXT-MONDE-T052-V35</x:v>
      </x:c>
      <x:c r="B2590" s="115" t="str">
        <x:v>EXT-MONDE-T052</x:v>
      </x:c>
      <x:c r="C2590" s="115" t="str">
        <x:v>Parcs attractions</x:v>
      </x:c>
      <x:c r="D2590" s="115" t="str">
        <x:v>Parc thématique abandonné</x:v>
      </x:c>
      <x:c r="E2590" s="115" t="n">
        <x:v>35</x:v>
      </x:c>
      <x:c r="F2590" s="115" t="str">
        <x:v>Inspection physique</x:v>
      </x:c>
      <x:c r="G2590" s="115" t="str">
        <x:v>1 niveaux ; 32 pièces ; 248 segments de mur ; 0 transitions. Inspection physique ; architecture complète encore ouverte.</x:v>
      </x:c>
      <x:c r="H2590" s="115" t="str">
        <x:v>L 398 ; l 526 ; hauteur 24 m ; choix de composition auteur ; dimensions réelles à documenter</x:v>
      </x:c>
      <x:c r="I2590" s="115" t="str">
        <x:v>À équilibrer</x:v>
      </x:c>
      <x:c r="J2590" s="115" t="str">
        <x:v>Non</x:v>
      </x:c>
      <x:c r="K2590" s="115" t="str">
        <x:v>Pièces décrites, murs, portes, niveaux et mobilier inspectables à l’échelle. Volumes réservés, raccord au seed, butin, rencontres et services de campagne restent à terminer.</x:v>
      </x:c>
    </x:row>
    <x:row r="2591" ht="96" customHeight="1">
      <x:c r="A2591" s="115" t="str">
        <x:v>EXT-MONDE-T052-V36</x:v>
      </x:c>
      <x:c r="B2591" s="115" t="str">
        <x:v>EXT-MONDE-T052</x:v>
      </x:c>
      <x:c r="C2591" s="115" t="str">
        <x:v>Parcs attractions</x:v>
      </x:c>
      <x:c r="D2591" s="115" t="str">
        <x:v>Parc thématique abandonné</x:v>
      </x:c>
      <x:c r="E2591" s="115" t="n">
        <x:v>36</x:v>
      </x:c>
      <x:c r="F2591" s="115" t="str">
        <x:v>Inspection physique</x:v>
      </x:c>
      <x:c r="G2591" s="115" t="str">
        <x:v>1 niveaux ; 32 pièces ; 248 segments de mur ; 0 transitions. Inspection physique ; architecture complète encore ouverte.</x:v>
      </x:c>
      <x:c r="H2591" s="115" t="str">
        <x:v>L 398 ; l 526 ; hauteur 24 m ; choix de composition auteur ; dimensions réelles à documenter</x:v>
      </x:c>
      <x:c r="I2591" s="115" t="str">
        <x:v>À équilibrer</x:v>
      </x:c>
      <x:c r="J2591" s="115" t="str">
        <x:v>Non</x:v>
      </x:c>
      <x:c r="K2591" s="115" t="str">
        <x:v>Pièces décrites, murs, portes, niveaux et mobilier inspectables à l’échelle. Volumes réservés, raccord au seed, butin, rencontres et services de campagne restent à terminer.</x:v>
      </x:c>
    </x:row>
    <x:row r="2592" ht="96" customHeight="1">
      <x:c r="A2592" s="115" t="str">
        <x:v>EXT-MONDE-T052-V37</x:v>
      </x:c>
      <x:c r="B2592" s="115" t="str">
        <x:v>EXT-MONDE-T052</x:v>
      </x:c>
      <x:c r="C2592" s="115" t="str">
        <x:v>Parcs attractions</x:v>
      </x:c>
      <x:c r="D2592" s="115" t="str">
        <x:v>Parc thématique abandonné</x:v>
      </x:c>
      <x:c r="E2592" s="115" t="n">
        <x:v>37</x:v>
      </x:c>
      <x:c r="F2592" s="115" t="str">
        <x:v>Inspection physique</x:v>
      </x:c>
      <x:c r="G2592" s="115" t="str">
        <x:v>1 niveaux ; 32 pièces ; 248 segments de mur ; 0 transitions. Inspection physique ; architecture complète encore ouverte.</x:v>
      </x:c>
      <x:c r="H2592" s="115" t="str">
        <x:v>L 398 ; l 526 ; hauteur 24 m ; choix de composition auteur ; dimensions réelles à documenter</x:v>
      </x:c>
      <x:c r="I2592" s="115" t="str">
        <x:v>À équilibrer</x:v>
      </x:c>
      <x:c r="J2592" s="115" t="str">
        <x:v>Non</x:v>
      </x:c>
      <x:c r="K2592" s="115" t="str">
        <x:v>Pièces décrites, murs, portes, niveaux et mobilier inspectables à l’échelle. Volumes réservés, raccord au seed, butin, rencontres et services de campagne restent à terminer.</x:v>
      </x:c>
    </x:row>
    <x:row r="2593" ht="96" customHeight="1">
      <x:c r="A2593" s="115" t="str">
        <x:v>EXT-MONDE-T052-V38</x:v>
      </x:c>
      <x:c r="B2593" s="115" t="str">
        <x:v>EXT-MONDE-T052</x:v>
      </x:c>
      <x:c r="C2593" s="115" t="str">
        <x:v>Parcs attractions</x:v>
      </x:c>
      <x:c r="D2593" s="115" t="str">
        <x:v>Parc thématique abandonné</x:v>
      </x:c>
      <x:c r="E2593" s="115" t="n">
        <x:v>38</x:v>
      </x:c>
      <x:c r="F2593" s="115" t="str">
        <x:v>Inspection physique</x:v>
      </x:c>
      <x:c r="G2593" s="115" t="str">
        <x:v>1 niveaux ; 32 pièces ; 248 segments de mur ; 0 transitions. Inspection physique ; architecture complète encore ouverte.</x:v>
      </x:c>
      <x:c r="H2593" s="115" t="str">
        <x:v>L 398 ; l 526 ; hauteur 24 m ; choix de composition auteur ; dimensions réelles à documenter</x:v>
      </x:c>
      <x:c r="I2593" s="115" t="str">
        <x:v>À équilibrer</x:v>
      </x:c>
      <x:c r="J2593" s="115" t="str">
        <x:v>Non</x:v>
      </x:c>
      <x:c r="K2593" s="115" t="str">
        <x:v>Pièces décrites, murs, portes, niveaux et mobilier inspectables à l’échelle. Volumes réservés, raccord au seed, butin, rencontres et services de campagne restent à terminer.</x:v>
      </x:c>
    </x:row>
    <x:row r="2594" ht="96" customHeight="1">
      <x:c r="A2594" s="115" t="str">
        <x:v>EXT-MONDE-T052-V39</x:v>
      </x:c>
      <x:c r="B2594" s="115" t="str">
        <x:v>EXT-MONDE-T052</x:v>
      </x:c>
      <x:c r="C2594" s="115" t="str">
        <x:v>Parcs attractions</x:v>
      </x:c>
      <x:c r="D2594" s="115" t="str">
        <x:v>Parc thématique abandonné</x:v>
      </x:c>
      <x:c r="E2594" s="115" t="n">
        <x:v>39</x:v>
      </x:c>
      <x:c r="F2594" s="115" t="str">
        <x:v>Inspection physique</x:v>
      </x:c>
      <x:c r="G2594" s="115" t="str">
        <x:v>1 niveaux ; 32 pièces ; 248 segments de mur ; 0 transitions. Inspection physique ; architecture complète encore ouverte.</x:v>
      </x:c>
      <x:c r="H2594" s="115" t="str">
        <x:v>L 398 ; l 526 ; hauteur 24 m ; choix de composition auteur ; dimensions réelles à documenter</x:v>
      </x:c>
      <x:c r="I2594" s="115" t="str">
        <x:v>À équilibrer</x:v>
      </x:c>
      <x:c r="J2594" s="115" t="str">
        <x:v>Non</x:v>
      </x:c>
      <x:c r="K2594" s="115" t="str">
        <x:v>Pièces décrites, murs, portes, niveaux et mobilier inspectables à l’échelle. Volumes réservés, raccord au seed, butin, rencontres et services de campagne restent à terminer.</x:v>
      </x:c>
    </x:row>
    <x:row r="2595" ht="96" customHeight="1">
      <x:c r="A2595" s="115" t="str">
        <x:v>EXT-MONDE-T052-V40</x:v>
      </x:c>
      <x:c r="B2595" s="115" t="str">
        <x:v>EXT-MONDE-T052</x:v>
      </x:c>
      <x:c r="C2595" s="115" t="str">
        <x:v>Parcs attractions</x:v>
      </x:c>
      <x:c r="D2595" s="115" t="str">
        <x:v>Parc thématique abandonné</x:v>
      </x:c>
      <x:c r="E2595" s="115" t="n">
        <x:v>40</x:v>
      </x:c>
      <x:c r="F2595" s="115" t="str">
        <x:v>Inspection physique</x:v>
      </x:c>
      <x:c r="G2595" s="115" t="str">
        <x:v>1 niveaux ; 32 pièces ; 248 segments de mur ; 0 transitions. Inspection physique ; architecture complète encore ouverte.</x:v>
      </x:c>
      <x:c r="H2595" s="115" t="str">
        <x:v>L 398 ; l 526 ; hauteur 24 m ; choix de composition auteur ; dimensions réelles à documenter</x:v>
      </x:c>
      <x:c r="I2595" s="115" t="str">
        <x:v>À équilibrer</x:v>
      </x:c>
      <x:c r="J2595" s="115" t="str">
        <x:v>Non</x:v>
      </x:c>
      <x:c r="K2595" s="115" t="str">
        <x:v>Pièces décrites, murs, portes, niveaux et mobilier inspectables à l’échelle. Volumes réservés, raccord au seed, butin, rencontres et services de campagne restent à terminer.</x:v>
      </x:c>
    </x:row>
    <x:row r="2596" ht="96" customHeight="1">
      <x:c r="A2596" s="115" t="str">
        <x:v>EXT-MONDE-T052-V41</x:v>
      </x:c>
      <x:c r="B2596" s="115" t="str">
        <x:v>EXT-MONDE-T052</x:v>
      </x:c>
      <x:c r="C2596" s="115" t="str">
        <x:v>Parcs attractions</x:v>
      </x:c>
      <x:c r="D2596" s="115" t="str">
        <x:v>Parc thématique abandonné</x:v>
      </x:c>
      <x:c r="E2596" s="115" t="n">
        <x:v>41</x:v>
      </x:c>
      <x:c r="F2596" s="115" t="str">
        <x:v>Inspection physique</x:v>
      </x:c>
      <x:c r="G2596" s="115" t="str">
        <x:v>1 niveaux ; 32 pièces ; 248 segments de mur ; 0 transitions. Inspection physique ; architecture complète encore ouverte.</x:v>
      </x:c>
      <x:c r="H2596" s="115" t="str">
        <x:v>L 410 ; l 534 ; hauteur 24 m ; choix de composition auteur ; dimensions réelles à documenter</x:v>
      </x:c>
      <x:c r="I2596" s="115" t="str">
        <x:v>À équilibrer</x:v>
      </x:c>
      <x:c r="J2596" s="115" t="str">
        <x:v>Non</x:v>
      </x:c>
      <x:c r="K2596" s="115" t="str">
        <x:v>Pièces décrites, murs, portes, niveaux et mobilier inspectables à l’échelle. Volumes réservés, raccord au seed, butin, rencontres et services de campagne restent à terminer.</x:v>
      </x:c>
    </x:row>
    <x:row r="2597" ht="96" customHeight="1">
      <x:c r="A2597" s="115" t="str">
        <x:v>EXT-MONDE-T052-V42</x:v>
      </x:c>
      <x:c r="B2597" s="115" t="str">
        <x:v>EXT-MONDE-T052</x:v>
      </x:c>
      <x:c r="C2597" s="115" t="str">
        <x:v>Parcs attractions</x:v>
      </x:c>
      <x:c r="D2597" s="115" t="str">
        <x:v>Parc thématique abandonné</x:v>
      </x:c>
      <x:c r="E2597" s="115" t="n">
        <x:v>42</x:v>
      </x:c>
      <x:c r="F2597" s="115" t="str">
        <x:v>Inspection physique</x:v>
      </x:c>
      <x:c r="G2597" s="115" t="str">
        <x:v>1 niveaux ; 32 pièces ; 248 segments de mur ; 0 transitions. Inspection physique ; architecture complète encore ouverte.</x:v>
      </x:c>
      <x:c r="H2597" s="115" t="str">
        <x:v>L 410 ; l 534 ; hauteur 24 m ; choix de composition auteur ; dimensions réelles à documenter</x:v>
      </x:c>
      <x:c r="I2597" s="115" t="str">
        <x:v>À équilibrer</x:v>
      </x:c>
      <x:c r="J2597" s="115" t="str">
        <x:v>Non</x:v>
      </x:c>
      <x:c r="K2597" s="115" t="str">
        <x:v>Pièces décrites, murs, portes, niveaux et mobilier inspectables à l’échelle. Volumes réservés, raccord au seed, butin, rencontres et services de campagne restent à terminer.</x:v>
      </x:c>
    </x:row>
    <x:row r="2598" ht="96" customHeight="1">
      <x:c r="A2598" s="115" t="str">
        <x:v>EXT-MONDE-T052-V43</x:v>
      </x:c>
      <x:c r="B2598" s="115" t="str">
        <x:v>EXT-MONDE-T052</x:v>
      </x:c>
      <x:c r="C2598" s="115" t="str">
        <x:v>Parcs attractions</x:v>
      </x:c>
      <x:c r="D2598" s="115" t="str">
        <x:v>Parc thématique abandonné</x:v>
      </x:c>
      <x:c r="E2598" s="115" t="n">
        <x:v>43</x:v>
      </x:c>
      <x:c r="F2598" s="115" t="str">
        <x:v>Inspection physique</x:v>
      </x:c>
      <x:c r="G2598" s="115" t="str">
        <x:v>1 niveaux ; 32 pièces ; 248 segments de mur ; 0 transitions. Inspection physique ; architecture complète encore ouverte.</x:v>
      </x:c>
      <x:c r="H2598" s="115" t="str">
        <x:v>L 410 ; l 534 ; hauteur 24 m ; choix de composition auteur ; dimensions réelles à documenter</x:v>
      </x:c>
      <x:c r="I2598" s="115" t="str">
        <x:v>À équilibrer</x:v>
      </x:c>
      <x:c r="J2598" s="115" t="str">
        <x:v>Non</x:v>
      </x:c>
      <x:c r="K2598" s="115" t="str">
        <x:v>Pièces décrites, murs, portes, niveaux et mobilier inspectables à l’échelle. Volumes réservés, raccord au seed, butin, rencontres et services de campagne restent à terminer.</x:v>
      </x:c>
    </x:row>
    <x:row r="2599" ht="96" customHeight="1">
      <x:c r="A2599" s="115" t="str">
        <x:v>EXT-MONDE-T052-V44</x:v>
      </x:c>
      <x:c r="B2599" s="115" t="str">
        <x:v>EXT-MONDE-T052</x:v>
      </x:c>
      <x:c r="C2599" s="115" t="str">
        <x:v>Parcs attractions</x:v>
      </x:c>
      <x:c r="D2599" s="115" t="str">
        <x:v>Parc thématique abandonné</x:v>
      </x:c>
      <x:c r="E2599" s="115" t="n">
        <x:v>44</x:v>
      </x:c>
      <x:c r="F2599" s="115" t="str">
        <x:v>Inspection physique</x:v>
      </x:c>
      <x:c r="G2599" s="115" t="str">
        <x:v>1 niveaux ; 32 pièces ; 248 segments de mur ; 0 transitions. Inspection physique ; architecture complète encore ouverte.</x:v>
      </x:c>
      <x:c r="H2599" s="115" t="str">
        <x:v>L 410 ; l 534 ; hauteur 24 m ; choix de composition auteur ; dimensions réelles à documenter</x:v>
      </x:c>
      <x:c r="I2599" s="115" t="str">
        <x:v>À équilibrer</x:v>
      </x:c>
      <x:c r="J2599" s="115" t="str">
        <x:v>Non</x:v>
      </x:c>
      <x:c r="K2599" s="115" t="str">
        <x:v>Pièces décrites, murs, portes, niveaux et mobilier inspectables à l’échelle. Volumes réservés, raccord au seed, butin, rencontres et services de campagne restent à terminer.</x:v>
      </x:c>
    </x:row>
    <x:row r="2600" ht="96" customHeight="1">
      <x:c r="A2600" s="115" t="str">
        <x:v>EXT-MONDE-T052-V45</x:v>
      </x:c>
      <x:c r="B2600" s="115" t="str">
        <x:v>EXT-MONDE-T052</x:v>
      </x:c>
      <x:c r="C2600" s="115" t="str">
        <x:v>Parcs attractions</x:v>
      </x:c>
      <x:c r="D2600" s="115" t="str">
        <x:v>Parc thématique abandonné</x:v>
      </x:c>
      <x:c r="E2600" s="115" t="n">
        <x:v>45</x:v>
      </x:c>
      <x:c r="F2600" s="115" t="str">
        <x:v>Inspection physique</x:v>
      </x:c>
      <x:c r="G2600" s="115" t="str">
        <x:v>1 niveaux ; 32 pièces ; 248 segments de mur ; 0 transitions. Inspection physique ; architecture complète encore ouverte.</x:v>
      </x:c>
      <x:c r="H2600" s="115" t="str">
        <x:v>L 410 ; l 534 ; hauteur 24 m ; choix de composition auteur ; dimensions réelles à documenter</x:v>
      </x:c>
      <x:c r="I2600" s="115" t="str">
        <x:v>À équilibrer</x:v>
      </x:c>
      <x:c r="J2600" s="115" t="str">
        <x:v>Non</x:v>
      </x:c>
      <x:c r="K2600" s="115" t="str">
        <x:v>Pièces décrites, murs, portes, niveaux et mobilier inspectables à l’échelle. Volumes réservés, raccord au seed, butin, rencontres et services de campagne restent à terminer.</x:v>
      </x:c>
    </x:row>
    <x:row r="2601" ht="96" customHeight="1">
      <x:c r="A2601" s="115" t="str">
        <x:v>EXT-MONDE-T052-V46</x:v>
      </x:c>
      <x:c r="B2601" s="115" t="str">
        <x:v>EXT-MONDE-T052</x:v>
      </x:c>
      <x:c r="C2601" s="115" t="str">
        <x:v>Parcs attractions</x:v>
      </x:c>
      <x:c r="D2601" s="115" t="str">
        <x:v>Parc thématique abandonné</x:v>
      </x:c>
      <x:c r="E2601" s="115" t="n">
        <x:v>46</x:v>
      </x:c>
      <x:c r="F2601" s="115" t="str">
        <x:v>Inspection physique</x:v>
      </x:c>
      <x:c r="G2601" s="115" t="str">
        <x:v>1 niveaux ; 32 pièces ; 248 segments de mur ; 0 transitions. Inspection physique ; architecture complète encore ouverte.</x:v>
      </x:c>
      <x:c r="H2601" s="115" t="str">
        <x:v>L 410 ; l 534 ; hauteur 24 m ; choix de composition auteur ; dimensions réelles à documenter</x:v>
      </x:c>
      <x:c r="I2601" s="115" t="str">
        <x:v>À équilibrer</x:v>
      </x:c>
      <x:c r="J2601" s="115" t="str">
        <x:v>Non</x:v>
      </x:c>
      <x:c r="K2601" s="115" t="str">
        <x:v>Pièces décrites, murs, portes, niveaux et mobilier inspectables à l’échelle. Volumes réservés, raccord au seed, butin, rencontres et services de campagne restent à terminer.</x:v>
      </x:c>
    </x:row>
    <x:row r="2602" ht="96" customHeight="1">
      <x:c r="A2602" s="115" t="str">
        <x:v>EXT-MONDE-T052-V47</x:v>
      </x:c>
      <x:c r="B2602" s="115" t="str">
        <x:v>EXT-MONDE-T052</x:v>
      </x:c>
      <x:c r="C2602" s="115" t="str">
        <x:v>Parcs attractions</x:v>
      </x:c>
      <x:c r="D2602" s="115" t="str">
        <x:v>Parc thématique abandonné</x:v>
      </x:c>
      <x:c r="E2602" s="115" t="n">
        <x:v>47</x:v>
      </x:c>
      <x:c r="F2602" s="115" t="str">
        <x:v>Inspection physique</x:v>
      </x:c>
      <x:c r="G2602" s="115" t="str">
        <x:v>1 niveaux ; 32 pièces ; 248 segments de mur ; 0 transitions. Inspection physique ; architecture complète encore ouverte.</x:v>
      </x:c>
      <x:c r="H2602" s="115" t="str">
        <x:v>L 410 ; l 534 ; hauteur 24 m ; choix de composition auteur ; dimensions réelles à documenter</x:v>
      </x:c>
      <x:c r="I2602" s="115" t="str">
        <x:v>À équilibrer</x:v>
      </x:c>
      <x:c r="J2602" s="115" t="str">
        <x:v>Non</x:v>
      </x:c>
      <x:c r="K2602" s="115" t="str">
        <x:v>Pièces décrites, murs, portes, niveaux et mobilier inspectables à l’échelle. Volumes réservés, raccord au seed, butin, rencontres et services de campagne restent à terminer.</x:v>
      </x:c>
    </x:row>
    <x:row r="2603" ht="96" customHeight="1">
      <x:c r="A2603" s="115" t="str">
        <x:v>EXT-MONDE-T052-V48</x:v>
      </x:c>
      <x:c r="B2603" s="115" t="str">
        <x:v>EXT-MONDE-T052</x:v>
      </x:c>
      <x:c r="C2603" s="115" t="str">
        <x:v>Parcs attractions</x:v>
      </x:c>
      <x:c r="D2603" s="115" t="str">
        <x:v>Parc thématique abandonné</x:v>
      </x:c>
      <x:c r="E2603" s="115" t="n">
        <x:v>48</x:v>
      </x:c>
      <x:c r="F2603" s="115" t="str">
        <x:v>Inspection physique</x:v>
      </x:c>
      <x:c r="G2603" s="115" t="str">
        <x:v>1 niveaux ; 32 pièces ; 248 segments de mur ; 0 transitions. Inspection physique ; architecture complète encore ouverte.</x:v>
      </x:c>
      <x:c r="H2603" s="115" t="str">
        <x:v>L 410 ; l 534 ; hauteur 24 m ; choix de composition auteur ; dimensions réelles à documenter</x:v>
      </x:c>
      <x:c r="I2603" s="115" t="str">
        <x:v>À équilibrer</x:v>
      </x:c>
      <x:c r="J2603" s="115" t="str">
        <x:v>Non</x:v>
      </x:c>
      <x:c r="K2603" s="115" t="str">
        <x:v>Pièces décrites, murs, portes, niveaux et mobilier inspectables à l’échelle. Volumes réservés, raccord au seed, butin, rencontres et services de campagne restent à terminer.</x:v>
      </x:c>
    </x:row>
    <x:row r="2604" ht="96" customHeight="1">
      <x:c r="A2604" s="115" t="str">
        <x:v>EXT-MONDE-T052-V49</x:v>
      </x:c>
      <x:c r="B2604" s="115" t="str">
        <x:v>EXT-MONDE-T052</x:v>
      </x:c>
      <x:c r="C2604" s="115" t="str">
        <x:v>Parcs attractions</x:v>
      </x:c>
      <x:c r="D2604" s="115" t="str">
        <x:v>Parc thématique abandonné</x:v>
      </x:c>
      <x:c r="E2604" s="115" t="n">
        <x:v>49</x:v>
      </x:c>
      <x:c r="F2604" s="115" t="str">
        <x:v>Inspection physique</x:v>
      </x:c>
      <x:c r="G2604" s="115" t="str">
        <x:v>1 niveaux ; 32 pièces ; 248 segments de mur ; 0 transitions. Inspection physique ; architecture complète encore ouverte.</x:v>
      </x:c>
      <x:c r="H2604" s="115" t="str">
        <x:v>L 410 ; l 534 ; hauteur 24 m ; choix de composition auteur ; dimensions réelles à documenter</x:v>
      </x:c>
      <x:c r="I2604" s="115" t="str">
        <x:v>À équilibrer</x:v>
      </x:c>
      <x:c r="J2604" s="115" t="str">
        <x:v>Non</x:v>
      </x:c>
      <x:c r="K2604" s="115" t="str">
        <x:v>Pièces décrites, murs, portes, niveaux et mobilier inspectables à l’échelle. Volumes réservés, raccord au seed, butin, rencontres et services de campagne restent à terminer.</x:v>
      </x:c>
    </x:row>
    <x:row r="2605" ht="96" customHeight="1">
      <x:c r="A2605" s="115" t="str">
        <x:v>EXT-MONDE-T052-V50</x:v>
      </x:c>
      <x:c r="B2605" s="115" t="str">
        <x:v>EXT-MONDE-T052</x:v>
      </x:c>
      <x:c r="C2605" s="115" t="str">
        <x:v>Parcs attractions</x:v>
      </x:c>
      <x:c r="D2605" s="115" t="str">
        <x:v>Parc thématique abandonné</x:v>
      </x:c>
      <x:c r="E2605" s="115" t="n">
        <x:v>50</x:v>
      </x:c>
      <x:c r="F2605" s="115" t="str">
        <x:v>Inspection physique</x:v>
      </x:c>
      <x:c r="G2605" s="115" t="str">
        <x:v>1 niveaux ; 32 pièces ; 248 segments de mur ; 0 transitions. Inspection physique ; architecture complète encore ouverte.</x:v>
      </x:c>
      <x:c r="H2605" s="115" t="str">
        <x:v>L 410 ; l 534 ; hauteur 24 m ; choix de composition auteur ; dimensions réelles à documenter</x:v>
      </x:c>
      <x:c r="I2605" s="115" t="str">
        <x:v>À équilibrer</x:v>
      </x:c>
      <x:c r="J2605" s="115" t="str">
        <x:v>Non</x:v>
      </x:c>
      <x:c r="K2605" s="115" t="str">
        <x:v>Pièces décrites, murs, portes, niveaux et mobilier inspectables à l’échelle. Volumes réservés, raccord au seed, butin, rencontres et services de campagne restent à terminer.</x:v>
      </x:c>
    </x:row>
    <x:row r="2606" ht="96" customHeight="1">
      <x:c r="A2606" s="115" t="str">
        <x:v>EXT-MONDE-T053-V01</x:v>
      </x:c>
      <x:c r="B2606" s="115" t="str">
        <x:v>EXT-MONDE-T053</x:v>
      </x:c>
      <x:c r="C2606" s="115" t="str">
        <x:v>Usines</x:v>
      </x:c>
      <x:c r="D2606" s="115" t="str">
        <x:v>Usine agroalimentaire</x:v>
      </x:c>
      <x:c r="E2606" s="115" t="n">
        <x:v>1</x:v>
      </x:c>
      <x:c r="F2606" s="115" t="str">
        <x:v>Inspection physique</x:v>
      </x:c>
      <x:c r="G2606" s="115" t="str">
        <x:v>1 niveaux ; 38 pièces ; 291 segments de mur ; 0 transitions. Inspection physique ; architecture complète encore ouverte.</x:v>
      </x:c>
      <x:c r="H2606" s="115" t="str">
        <x:v>L 350 ; l 320 ; hauteur 6,2 m ; choix de composition auteur ; dimensions réelles à documenter</x:v>
      </x:c>
      <x:c r="I2606" s="115" t="str">
        <x:v>À équilibrer</x:v>
      </x:c>
      <x:c r="J2606" s="115" t="str">
        <x:v>Non</x:v>
      </x:c>
      <x:c r="K2606" s="115" t="str">
        <x:v>Pièces décrites, murs, portes, niveaux et mobilier inspectables à l’échelle. Volumes réservés, raccord au seed, butin, rencontres et services de campagne restent à terminer.</x:v>
      </x:c>
    </x:row>
    <x:row r="2607" ht="96" customHeight="1">
      <x:c r="A2607" s="115" t="str">
        <x:v>EXT-MONDE-T053-V02</x:v>
      </x:c>
      <x:c r="B2607" s="115" t="str">
        <x:v>EXT-MONDE-T053</x:v>
      </x:c>
      <x:c r="C2607" s="115" t="str">
        <x:v>Usines</x:v>
      </x:c>
      <x:c r="D2607" s="115" t="str">
        <x:v>Usine agroalimentaire</x:v>
      </x:c>
      <x:c r="E2607" s="115" t="n">
        <x:v>2</x:v>
      </x:c>
      <x:c r="F2607" s="115" t="str">
        <x:v>Inspection physique</x:v>
      </x:c>
      <x:c r="G2607" s="115" t="str">
        <x:v>1 niveaux ; 38 pièces ; 291 segments de mur ; 0 transitions. Inspection physique ; architecture complète encore ouverte.</x:v>
      </x:c>
      <x:c r="H2607" s="115" t="str">
        <x:v>L 350 ; l 320 ; hauteur 6,2 m ; choix de composition auteur ; dimensions réelles à documenter</x:v>
      </x:c>
      <x:c r="I2607" s="115" t="str">
        <x:v>À équilibrer</x:v>
      </x:c>
      <x:c r="J2607" s="115" t="str">
        <x:v>Non</x:v>
      </x:c>
      <x:c r="K2607" s="115" t="str">
        <x:v>Pièces décrites, murs, portes, niveaux et mobilier inspectables à l’échelle. Volumes réservés, raccord au seed, butin, rencontres et services de campagne restent à terminer.</x:v>
      </x:c>
    </x:row>
    <x:row r="2608" ht="96" customHeight="1">
      <x:c r="A2608" s="115" t="str">
        <x:v>EXT-MONDE-T053-V03</x:v>
      </x:c>
      <x:c r="B2608" s="115" t="str">
        <x:v>EXT-MONDE-T053</x:v>
      </x:c>
      <x:c r="C2608" s="115" t="str">
        <x:v>Usines</x:v>
      </x:c>
      <x:c r="D2608" s="115" t="str">
        <x:v>Usine agroalimentaire</x:v>
      </x:c>
      <x:c r="E2608" s="115" t="n">
        <x:v>3</x:v>
      </x:c>
      <x:c r="F2608" s="115" t="str">
        <x:v>Inspection physique</x:v>
      </x:c>
      <x:c r="G2608" s="115" t="str">
        <x:v>1 niveaux ; 38 pièces ; 291 segments de mur ; 0 transitions. Inspection physique ; architecture complète encore ouverte.</x:v>
      </x:c>
      <x:c r="H2608" s="115" t="str">
        <x:v>L 350 ; l 320 ; hauteur 6,2 m ; choix de composition auteur ; dimensions réelles à documenter</x:v>
      </x:c>
      <x:c r="I2608" s="115" t="str">
        <x:v>À équilibrer</x:v>
      </x:c>
      <x:c r="J2608" s="115" t="str">
        <x:v>Non</x:v>
      </x:c>
      <x:c r="K2608" s="115" t="str">
        <x:v>Pièces décrites, murs, portes, niveaux et mobilier inspectables à l’échelle. Volumes réservés, raccord au seed, butin, rencontres et services de campagne restent à terminer.</x:v>
      </x:c>
    </x:row>
    <x:row r="2609" ht="96" customHeight="1">
      <x:c r="A2609" s="115" t="str">
        <x:v>EXT-MONDE-T053-V04</x:v>
      </x:c>
      <x:c r="B2609" s="115" t="str">
        <x:v>EXT-MONDE-T053</x:v>
      </x:c>
      <x:c r="C2609" s="115" t="str">
        <x:v>Usines</x:v>
      </x:c>
      <x:c r="D2609" s="115" t="str">
        <x:v>Usine agroalimentaire</x:v>
      </x:c>
      <x:c r="E2609" s="115" t="n">
        <x:v>4</x:v>
      </x:c>
      <x:c r="F2609" s="115" t="str">
        <x:v>Inspection physique</x:v>
      </x:c>
      <x:c r="G2609" s="115" t="str">
        <x:v>1 niveaux ; 38 pièces ; 291 segments de mur ; 0 transitions. Inspection physique ; architecture complète encore ouverte.</x:v>
      </x:c>
      <x:c r="H2609" s="115" t="str">
        <x:v>L 350 ; l 320 ; hauteur 6,2 m ; choix de composition auteur ; dimensions réelles à documenter</x:v>
      </x:c>
      <x:c r="I2609" s="115" t="str">
        <x:v>À équilibrer</x:v>
      </x:c>
      <x:c r="J2609" s="115" t="str">
        <x:v>Non</x:v>
      </x:c>
      <x:c r="K2609" s="115" t="str">
        <x:v>Pièces décrites, murs, portes, niveaux et mobilier inspectables à l’échelle. Volumes réservés, raccord au seed, butin, rencontres et services de campagne restent à terminer.</x:v>
      </x:c>
    </x:row>
    <x:row r="2610" ht="96" customHeight="1">
      <x:c r="A2610" s="115" t="str">
        <x:v>EXT-MONDE-T053-V05</x:v>
      </x:c>
      <x:c r="B2610" s="115" t="str">
        <x:v>EXT-MONDE-T053</x:v>
      </x:c>
      <x:c r="C2610" s="115" t="str">
        <x:v>Usines</x:v>
      </x:c>
      <x:c r="D2610" s="115" t="str">
        <x:v>Usine agroalimentaire</x:v>
      </x:c>
      <x:c r="E2610" s="115" t="n">
        <x:v>5</x:v>
      </x:c>
      <x:c r="F2610" s="115" t="str">
        <x:v>Inspection physique</x:v>
      </x:c>
      <x:c r="G2610" s="115" t="str">
        <x:v>1 niveaux ; 38 pièces ; 291 segments de mur ; 0 transitions. Inspection physique ; architecture complète encore ouverte.</x:v>
      </x:c>
      <x:c r="H2610" s="115" t="str">
        <x:v>L 350 ; l 320 ; hauteur 6,2 m ; choix de composition auteur ; dimensions réelles à documenter</x:v>
      </x:c>
      <x:c r="I2610" s="115" t="str">
        <x:v>À équilibrer</x:v>
      </x:c>
      <x:c r="J2610" s="115" t="str">
        <x:v>Non</x:v>
      </x:c>
      <x:c r="K2610" s="115" t="str">
        <x:v>Pièces décrites, murs, portes, niveaux et mobilier inspectables à l’échelle. Volumes réservés, raccord au seed, butin, rencontres et services de campagne restent à terminer.</x:v>
      </x:c>
    </x:row>
    <x:row r="2611" ht="96" customHeight="1">
      <x:c r="A2611" s="115" t="str">
        <x:v>EXT-MONDE-T053-V06</x:v>
      </x:c>
      <x:c r="B2611" s="115" t="str">
        <x:v>EXT-MONDE-T053</x:v>
      </x:c>
      <x:c r="C2611" s="115" t="str">
        <x:v>Usines</x:v>
      </x:c>
      <x:c r="D2611" s="115" t="str">
        <x:v>Usine agroalimentaire</x:v>
      </x:c>
      <x:c r="E2611" s="115" t="n">
        <x:v>6</x:v>
      </x:c>
      <x:c r="F2611" s="115" t="str">
        <x:v>Inspection physique</x:v>
      </x:c>
      <x:c r="G2611" s="115" t="str">
        <x:v>1 niveaux ; 38 pièces ; 291 segments de mur ; 0 transitions. Inspection physique ; architecture complète encore ouverte.</x:v>
      </x:c>
      <x:c r="H2611" s="115" t="str">
        <x:v>L 350 ; l 320 ; hauteur 6,2 m ; choix de composition auteur ; dimensions réelles à documenter</x:v>
      </x:c>
      <x:c r="I2611" s="115" t="str">
        <x:v>À équilibrer</x:v>
      </x:c>
      <x:c r="J2611" s="115" t="str">
        <x:v>Non</x:v>
      </x:c>
      <x:c r="K2611" s="115" t="str">
        <x:v>Pièces décrites, murs, portes, niveaux et mobilier inspectables à l’échelle. Volumes réservés, raccord au seed, butin, rencontres et services de campagne restent à terminer.</x:v>
      </x:c>
    </x:row>
    <x:row r="2612" ht="96" customHeight="1">
      <x:c r="A2612" s="115" t="str">
        <x:v>EXT-MONDE-T053-V07</x:v>
      </x:c>
      <x:c r="B2612" s="115" t="str">
        <x:v>EXT-MONDE-T053</x:v>
      </x:c>
      <x:c r="C2612" s="115" t="str">
        <x:v>Usines</x:v>
      </x:c>
      <x:c r="D2612" s="115" t="str">
        <x:v>Usine agroalimentaire</x:v>
      </x:c>
      <x:c r="E2612" s="115" t="n">
        <x:v>7</x:v>
      </x:c>
      <x:c r="F2612" s="115" t="str">
        <x:v>Inspection physique</x:v>
      </x:c>
      <x:c r="G2612" s="115" t="str">
        <x:v>1 niveaux ; 38 pièces ; 291 segments de mur ; 0 transitions. Inspection physique ; architecture complète encore ouverte.</x:v>
      </x:c>
      <x:c r="H2612" s="115" t="str">
        <x:v>L 350 ; l 320 ; hauteur 6,2 m ; choix de composition auteur ; dimensions réelles à documenter</x:v>
      </x:c>
      <x:c r="I2612" s="115" t="str">
        <x:v>À équilibrer</x:v>
      </x:c>
      <x:c r="J2612" s="115" t="str">
        <x:v>Non</x:v>
      </x:c>
      <x:c r="K2612" s="115" t="str">
        <x:v>Pièces décrites, murs, portes, niveaux et mobilier inspectables à l’échelle. Volumes réservés, raccord au seed, butin, rencontres et services de campagne restent à terminer.</x:v>
      </x:c>
    </x:row>
    <x:row r="2613" ht="96" customHeight="1">
      <x:c r="A2613" s="115" t="str">
        <x:v>EXT-MONDE-T053-V08</x:v>
      </x:c>
      <x:c r="B2613" s="115" t="str">
        <x:v>EXT-MONDE-T053</x:v>
      </x:c>
      <x:c r="C2613" s="115" t="str">
        <x:v>Usines</x:v>
      </x:c>
      <x:c r="D2613" s="115" t="str">
        <x:v>Usine agroalimentaire</x:v>
      </x:c>
      <x:c r="E2613" s="115" t="n">
        <x:v>8</x:v>
      </x:c>
      <x:c r="F2613" s="115" t="str">
        <x:v>Inspection physique</x:v>
      </x:c>
      <x:c r="G2613" s="115" t="str">
        <x:v>1 niveaux ; 38 pièces ; 291 segments de mur ; 0 transitions. Inspection physique ; architecture complète encore ouverte.</x:v>
      </x:c>
      <x:c r="H2613" s="115" t="str">
        <x:v>L 350 ; l 320 ; hauteur 6,2 m ; choix de composition auteur ; dimensions réelles à documenter</x:v>
      </x:c>
      <x:c r="I2613" s="115" t="str">
        <x:v>À équilibrer</x:v>
      </x:c>
      <x:c r="J2613" s="115" t="str">
        <x:v>Non</x:v>
      </x:c>
      <x:c r="K2613" s="115" t="str">
        <x:v>Pièces décrites, murs, portes, niveaux et mobilier inspectables à l’échelle. Volumes réservés, raccord au seed, butin, rencontres et services de campagne restent à terminer.</x:v>
      </x:c>
    </x:row>
    <x:row r="2614" ht="96" customHeight="1">
      <x:c r="A2614" s="115" t="str">
        <x:v>EXT-MONDE-T053-V09</x:v>
      </x:c>
      <x:c r="B2614" s="115" t="str">
        <x:v>EXT-MONDE-T053</x:v>
      </x:c>
      <x:c r="C2614" s="115" t="str">
        <x:v>Usines</x:v>
      </x:c>
      <x:c r="D2614" s="115" t="str">
        <x:v>Usine agroalimentaire</x:v>
      </x:c>
      <x:c r="E2614" s="115" t="n">
        <x:v>9</x:v>
      </x:c>
      <x:c r="F2614" s="115" t="str">
        <x:v>Inspection physique</x:v>
      </x:c>
      <x:c r="G2614" s="115" t="str">
        <x:v>1 niveaux ; 38 pièces ; 291 segments de mur ; 0 transitions. Inspection physique ; architecture complète encore ouverte.</x:v>
      </x:c>
      <x:c r="H2614" s="115" t="str">
        <x:v>L 350 ; l 320 ; hauteur 6,2 m ; choix de composition auteur ; dimensions réelles à documenter</x:v>
      </x:c>
      <x:c r="I2614" s="115" t="str">
        <x:v>À équilibrer</x:v>
      </x:c>
      <x:c r="J2614" s="115" t="str">
        <x:v>Non</x:v>
      </x:c>
      <x:c r="K2614" s="115" t="str">
        <x:v>Pièces décrites, murs, portes, niveaux et mobilier inspectables à l’échelle. Volumes réservés, raccord au seed, butin, rencontres et services de campagne restent à terminer.</x:v>
      </x:c>
    </x:row>
    <x:row r="2615" ht="96" customHeight="1">
      <x:c r="A2615" s="115" t="str">
        <x:v>EXT-MONDE-T053-V10</x:v>
      </x:c>
      <x:c r="B2615" s="115" t="str">
        <x:v>EXT-MONDE-T053</x:v>
      </x:c>
      <x:c r="C2615" s="115" t="str">
        <x:v>Usines</x:v>
      </x:c>
      <x:c r="D2615" s="115" t="str">
        <x:v>Usine agroalimentaire</x:v>
      </x:c>
      <x:c r="E2615" s="115" t="n">
        <x:v>10</x:v>
      </x:c>
      <x:c r="F2615" s="115" t="str">
        <x:v>Inspection physique</x:v>
      </x:c>
      <x:c r="G2615" s="115" t="str">
        <x:v>1 niveaux ; 38 pièces ; 291 segments de mur ; 0 transitions. Inspection physique ; architecture complète encore ouverte.</x:v>
      </x:c>
      <x:c r="H2615" s="115" t="str">
        <x:v>L 350 ; l 320 ; hauteur 6,2 m ; choix de composition auteur ; dimensions réelles à documenter</x:v>
      </x:c>
      <x:c r="I2615" s="115" t="str">
        <x:v>À équilibrer</x:v>
      </x:c>
      <x:c r="J2615" s="115" t="str">
        <x:v>Non</x:v>
      </x:c>
      <x:c r="K2615" s="115" t="str">
        <x:v>Pièces décrites, murs, portes, niveaux et mobilier inspectables à l’échelle. Volumes réservés, raccord au seed, butin, rencontres et services de campagne restent à terminer.</x:v>
      </x:c>
    </x:row>
    <x:row r="2616" ht="96" customHeight="1">
      <x:c r="A2616" s="115" t="str">
        <x:v>EXT-MONDE-T053-V11</x:v>
      </x:c>
      <x:c r="B2616" s="115" t="str">
        <x:v>EXT-MONDE-T053</x:v>
      </x:c>
      <x:c r="C2616" s="115" t="str">
        <x:v>Usines</x:v>
      </x:c>
      <x:c r="D2616" s="115" t="str">
        <x:v>Usine agroalimentaire</x:v>
      </x:c>
      <x:c r="E2616" s="115" t="n">
        <x:v>11</x:v>
      </x:c>
      <x:c r="F2616" s="115" t="str">
        <x:v>Inspection physique</x:v>
      </x:c>
      <x:c r="G2616" s="115" t="str">
        <x:v>1 niveaux ; 38 pièces ; 291 segments de mur ; 0 transitions. Inspection physique ; architecture complète encore ouverte.</x:v>
      </x:c>
      <x:c r="H2616" s="115" t="str">
        <x:v>L 368 ; l 344 ; hauteur 6,45 m ; choix de composition auteur ; dimensions réelles à documenter</x:v>
      </x:c>
      <x:c r="I2616" s="115" t="str">
        <x:v>À équilibrer</x:v>
      </x:c>
      <x:c r="J2616" s="115" t="str">
        <x:v>Non</x:v>
      </x:c>
      <x:c r="K2616" s="115" t="str">
        <x:v>Pièces décrites, murs, portes, niveaux et mobilier inspectables à l’échelle. Volumes réservés, raccord au seed, butin, rencontres et services de campagne restent à terminer.</x:v>
      </x:c>
    </x:row>
    <x:row r="2617" ht="96" customHeight="1">
      <x:c r="A2617" s="115" t="str">
        <x:v>EXT-MONDE-T053-V12</x:v>
      </x:c>
      <x:c r="B2617" s="115" t="str">
        <x:v>EXT-MONDE-T053</x:v>
      </x:c>
      <x:c r="C2617" s="115" t="str">
        <x:v>Usines</x:v>
      </x:c>
      <x:c r="D2617" s="115" t="str">
        <x:v>Usine agroalimentaire</x:v>
      </x:c>
      <x:c r="E2617" s="115" t="n">
        <x:v>12</x:v>
      </x:c>
      <x:c r="F2617" s="115" t="str">
        <x:v>Inspection physique</x:v>
      </x:c>
      <x:c r="G2617" s="115" t="str">
        <x:v>1 niveaux ; 38 pièces ; 291 segments de mur ; 0 transitions. Inspection physique ; architecture complète encore ouverte.</x:v>
      </x:c>
      <x:c r="H2617" s="115" t="str">
        <x:v>L 368 ; l 344 ; hauteur 6,45 m ; choix de composition auteur ; dimensions réelles à documenter</x:v>
      </x:c>
      <x:c r="I2617" s="115" t="str">
        <x:v>À équilibrer</x:v>
      </x:c>
      <x:c r="J2617" s="115" t="str">
        <x:v>Non</x:v>
      </x:c>
      <x:c r="K2617" s="115" t="str">
        <x:v>Pièces décrites, murs, portes, niveaux et mobilier inspectables à l’échelle. Volumes réservés, raccord au seed, butin, rencontres et services de campagne restent à terminer.</x:v>
      </x:c>
    </x:row>
    <x:row r="2618" ht="96" customHeight="1">
      <x:c r="A2618" s="115" t="str">
        <x:v>EXT-MONDE-T053-V13</x:v>
      </x:c>
      <x:c r="B2618" s="115" t="str">
        <x:v>EXT-MONDE-T053</x:v>
      </x:c>
      <x:c r="C2618" s="115" t="str">
        <x:v>Usines</x:v>
      </x:c>
      <x:c r="D2618" s="115" t="str">
        <x:v>Usine agroalimentaire</x:v>
      </x:c>
      <x:c r="E2618" s="115" t="n">
        <x:v>13</x:v>
      </x:c>
      <x:c r="F2618" s="115" t="str">
        <x:v>Inspection physique</x:v>
      </x:c>
      <x:c r="G2618" s="115" t="str">
        <x:v>1 niveaux ; 38 pièces ; 291 segments de mur ; 0 transitions. Inspection physique ; architecture complète encore ouverte.</x:v>
      </x:c>
      <x:c r="H2618" s="115" t="str">
        <x:v>L 368 ; l 344 ; hauteur 6,45 m ; choix de composition auteur ; dimensions réelles à documenter</x:v>
      </x:c>
      <x:c r="I2618" s="115" t="str">
        <x:v>À équilibrer</x:v>
      </x:c>
      <x:c r="J2618" s="115" t="str">
        <x:v>Non</x:v>
      </x:c>
      <x:c r="K2618" s="115" t="str">
        <x:v>Pièces décrites, murs, portes, niveaux et mobilier inspectables à l’échelle. Volumes réservés, raccord au seed, butin, rencontres et services de campagne restent à terminer.</x:v>
      </x:c>
    </x:row>
    <x:row r="2619" ht="96" customHeight="1">
      <x:c r="A2619" s="115" t="str">
        <x:v>EXT-MONDE-T053-V14</x:v>
      </x:c>
      <x:c r="B2619" s="115" t="str">
        <x:v>EXT-MONDE-T053</x:v>
      </x:c>
      <x:c r="C2619" s="115" t="str">
        <x:v>Usines</x:v>
      </x:c>
      <x:c r="D2619" s="115" t="str">
        <x:v>Usine agroalimentaire</x:v>
      </x:c>
      <x:c r="E2619" s="115" t="n">
        <x:v>14</x:v>
      </x:c>
      <x:c r="F2619" s="115" t="str">
        <x:v>Inspection physique</x:v>
      </x:c>
      <x:c r="G2619" s="115" t="str">
        <x:v>1 niveaux ; 38 pièces ; 291 segments de mur ; 0 transitions. Inspection physique ; architecture complète encore ouverte.</x:v>
      </x:c>
      <x:c r="H2619" s="115" t="str">
        <x:v>L 368 ; l 344 ; hauteur 6,45 m ; choix de composition auteur ; dimensions réelles à documenter</x:v>
      </x:c>
      <x:c r="I2619" s="115" t="str">
        <x:v>À équilibrer</x:v>
      </x:c>
      <x:c r="J2619" s="115" t="str">
        <x:v>Non</x:v>
      </x:c>
      <x:c r="K2619" s="115" t="str">
        <x:v>Pièces décrites, murs, portes, niveaux et mobilier inspectables à l’échelle. Volumes réservés, raccord au seed, butin, rencontres et services de campagne restent à terminer.</x:v>
      </x:c>
    </x:row>
    <x:row r="2620" ht="96" customHeight="1">
      <x:c r="A2620" s="115" t="str">
        <x:v>EXT-MONDE-T053-V15</x:v>
      </x:c>
      <x:c r="B2620" s="115" t="str">
        <x:v>EXT-MONDE-T053</x:v>
      </x:c>
      <x:c r="C2620" s="115" t="str">
        <x:v>Usines</x:v>
      </x:c>
      <x:c r="D2620" s="115" t="str">
        <x:v>Usine agroalimentaire</x:v>
      </x:c>
      <x:c r="E2620" s="115" t="n">
        <x:v>15</x:v>
      </x:c>
      <x:c r="F2620" s="115" t="str">
        <x:v>Inspection physique</x:v>
      </x:c>
      <x:c r="G2620" s="115" t="str">
        <x:v>1 niveaux ; 38 pièces ; 291 segments de mur ; 0 transitions. Inspection physique ; architecture complète encore ouverte.</x:v>
      </x:c>
      <x:c r="H2620" s="115" t="str">
        <x:v>L 368 ; l 344 ; hauteur 6,45 m ; choix de composition auteur ; dimensions réelles à documenter</x:v>
      </x:c>
      <x:c r="I2620" s="115" t="str">
        <x:v>À équilibrer</x:v>
      </x:c>
      <x:c r="J2620" s="115" t="str">
        <x:v>Non</x:v>
      </x:c>
      <x:c r="K2620" s="115" t="str">
        <x:v>Pièces décrites, murs, portes, niveaux et mobilier inspectables à l’échelle. Volumes réservés, raccord au seed, butin, rencontres et services de campagne restent à terminer.</x:v>
      </x:c>
    </x:row>
    <x:row r="2621" ht="96" customHeight="1">
      <x:c r="A2621" s="115" t="str">
        <x:v>EXT-MONDE-T053-V16</x:v>
      </x:c>
      <x:c r="B2621" s="115" t="str">
        <x:v>EXT-MONDE-T053</x:v>
      </x:c>
      <x:c r="C2621" s="115" t="str">
        <x:v>Usines</x:v>
      </x:c>
      <x:c r="D2621" s="115" t="str">
        <x:v>Usine agroalimentaire</x:v>
      </x:c>
      <x:c r="E2621" s="115" t="n">
        <x:v>16</x:v>
      </x:c>
      <x:c r="F2621" s="115" t="str">
        <x:v>Inspection physique</x:v>
      </x:c>
      <x:c r="G2621" s="115" t="str">
        <x:v>1 niveaux ; 38 pièces ; 291 segments de mur ; 0 transitions. Inspection physique ; architecture complète encore ouverte.</x:v>
      </x:c>
      <x:c r="H2621" s="115" t="str">
        <x:v>L 368 ; l 344 ; hauteur 6,45 m ; choix de composition auteur ; dimensions réelles à documenter</x:v>
      </x:c>
      <x:c r="I2621" s="115" t="str">
        <x:v>À équilibrer</x:v>
      </x:c>
      <x:c r="J2621" s="115" t="str">
        <x:v>Non</x:v>
      </x:c>
      <x:c r="K2621" s="115" t="str">
        <x:v>Pièces décrites, murs, portes, niveaux et mobilier inspectables à l’échelle. Volumes réservés, raccord au seed, butin, rencontres et services de campagne restent à terminer.</x:v>
      </x:c>
    </x:row>
    <x:row r="2622" ht="96" customHeight="1">
      <x:c r="A2622" s="115" t="str">
        <x:v>EXT-MONDE-T053-V17</x:v>
      </x:c>
      <x:c r="B2622" s="115" t="str">
        <x:v>EXT-MONDE-T053</x:v>
      </x:c>
      <x:c r="C2622" s="115" t="str">
        <x:v>Usines</x:v>
      </x:c>
      <x:c r="D2622" s="115" t="str">
        <x:v>Usine agroalimentaire</x:v>
      </x:c>
      <x:c r="E2622" s="115" t="n">
        <x:v>17</x:v>
      </x:c>
      <x:c r="F2622" s="115" t="str">
        <x:v>Inspection physique</x:v>
      </x:c>
      <x:c r="G2622" s="115" t="str">
        <x:v>1 niveaux ; 38 pièces ; 291 segments de mur ; 0 transitions. Inspection physique ; architecture complète encore ouverte.</x:v>
      </x:c>
      <x:c r="H2622" s="115" t="str">
        <x:v>L 368 ; l 344 ; hauteur 6,45 m ; choix de composition auteur ; dimensions réelles à documenter</x:v>
      </x:c>
      <x:c r="I2622" s="115" t="str">
        <x:v>À équilibrer</x:v>
      </x:c>
      <x:c r="J2622" s="115" t="str">
        <x:v>Non</x:v>
      </x:c>
      <x:c r="K2622" s="115" t="str">
        <x:v>Pièces décrites, murs, portes, niveaux et mobilier inspectables à l’échelle. Volumes réservés, raccord au seed, butin, rencontres et services de campagne restent à terminer.</x:v>
      </x:c>
    </x:row>
    <x:row r="2623" ht="96" customHeight="1">
      <x:c r="A2623" s="115" t="str">
        <x:v>EXT-MONDE-T053-V18</x:v>
      </x:c>
      <x:c r="B2623" s="115" t="str">
        <x:v>EXT-MONDE-T053</x:v>
      </x:c>
      <x:c r="C2623" s="115" t="str">
        <x:v>Usines</x:v>
      </x:c>
      <x:c r="D2623" s="115" t="str">
        <x:v>Usine agroalimentaire</x:v>
      </x:c>
      <x:c r="E2623" s="115" t="n">
        <x:v>18</x:v>
      </x:c>
      <x:c r="F2623" s="115" t="str">
        <x:v>Inspection physique</x:v>
      </x:c>
      <x:c r="G2623" s="115" t="str">
        <x:v>1 niveaux ; 38 pièces ; 291 segments de mur ; 0 transitions. Inspection physique ; architecture complète encore ouverte.</x:v>
      </x:c>
      <x:c r="H2623" s="115" t="str">
        <x:v>L 368 ; l 344 ; hauteur 6,45 m ; choix de composition auteur ; dimensions réelles à documenter</x:v>
      </x:c>
      <x:c r="I2623" s="115" t="str">
        <x:v>À équilibrer</x:v>
      </x:c>
      <x:c r="J2623" s="115" t="str">
        <x:v>Non</x:v>
      </x:c>
      <x:c r="K2623" s="115" t="str">
        <x:v>Pièces décrites, murs, portes, niveaux et mobilier inspectables à l’échelle. Volumes réservés, raccord au seed, butin, rencontres et services de campagne restent à terminer.</x:v>
      </x:c>
    </x:row>
    <x:row r="2624" ht="96" customHeight="1">
      <x:c r="A2624" s="115" t="str">
        <x:v>EXT-MONDE-T053-V19</x:v>
      </x:c>
      <x:c r="B2624" s="115" t="str">
        <x:v>EXT-MONDE-T053</x:v>
      </x:c>
      <x:c r="C2624" s="115" t="str">
        <x:v>Usines</x:v>
      </x:c>
      <x:c r="D2624" s="115" t="str">
        <x:v>Usine agroalimentaire</x:v>
      </x:c>
      <x:c r="E2624" s="115" t="n">
        <x:v>19</x:v>
      </x:c>
      <x:c r="F2624" s="115" t="str">
        <x:v>Inspection physique</x:v>
      </x:c>
      <x:c r="G2624" s="115" t="str">
        <x:v>1 niveaux ; 38 pièces ; 291 segments de mur ; 0 transitions. Inspection physique ; architecture complète encore ouverte.</x:v>
      </x:c>
      <x:c r="H2624" s="115" t="str">
        <x:v>L 368 ; l 344 ; hauteur 6,45 m ; choix de composition auteur ; dimensions réelles à documenter</x:v>
      </x:c>
      <x:c r="I2624" s="115" t="str">
        <x:v>À équilibrer</x:v>
      </x:c>
      <x:c r="J2624" s="115" t="str">
        <x:v>Non</x:v>
      </x:c>
      <x:c r="K2624" s="115" t="str">
        <x:v>Pièces décrites, murs, portes, niveaux et mobilier inspectables à l’échelle. Volumes réservés, raccord au seed, butin, rencontres et services de campagne restent à terminer.</x:v>
      </x:c>
    </x:row>
    <x:row r="2625" ht="96" customHeight="1">
      <x:c r="A2625" s="115" t="str">
        <x:v>EXT-MONDE-T053-V20</x:v>
      </x:c>
      <x:c r="B2625" s="115" t="str">
        <x:v>EXT-MONDE-T053</x:v>
      </x:c>
      <x:c r="C2625" s="115" t="str">
        <x:v>Usines</x:v>
      </x:c>
      <x:c r="D2625" s="115" t="str">
        <x:v>Usine agroalimentaire</x:v>
      </x:c>
      <x:c r="E2625" s="115" t="n">
        <x:v>20</x:v>
      </x:c>
      <x:c r="F2625" s="115" t="str">
        <x:v>Inspection physique</x:v>
      </x:c>
      <x:c r="G2625" s="115" t="str">
        <x:v>1 niveaux ; 38 pièces ; 291 segments de mur ; 0 transitions. Inspection physique ; architecture complète encore ouverte.</x:v>
      </x:c>
      <x:c r="H2625" s="115" t="str">
        <x:v>L 368 ; l 344 ; hauteur 6,45 m ; choix de composition auteur ; dimensions réelles à documenter</x:v>
      </x:c>
      <x:c r="I2625" s="115" t="str">
        <x:v>À équilibrer</x:v>
      </x:c>
      <x:c r="J2625" s="115" t="str">
        <x:v>Non</x:v>
      </x:c>
      <x:c r="K2625" s="115" t="str">
        <x:v>Pièces décrites, murs, portes, niveaux et mobilier inspectables à l’échelle. Volumes réservés, raccord au seed, butin, rencontres et services de campagne restent à terminer.</x:v>
      </x:c>
    </x:row>
    <x:row r="2626" ht="96" customHeight="1">
      <x:c r="A2626" s="115" t="str">
        <x:v>EXT-MONDE-T053-V21</x:v>
      </x:c>
      <x:c r="B2626" s="115" t="str">
        <x:v>EXT-MONDE-T053</x:v>
      </x:c>
      <x:c r="C2626" s="115" t="str">
        <x:v>Usines</x:v>
      </x:c>
      <x:c r="D2626" s="115" t="str">
        <x:v>Usine agroalimentaire</x:v>
      </x:c>
      <x:c r="E2626" s="115" t="n">
        <x:v>21</x:v>
      </x:c>
      <x:c r="F2626" s="115" t="str">
        <x:v>Inspection physique</x:v>
      </x:c>
      <x:c r="G2626" s="115" t="str">
        <x:v>1 niveaux ; 38 pièces ; 291 segments de mur ; 0 transitions. Inspection physique ; architecture complète encore ouverte.</x:v>
      </x:c>
      <x:c r="H2626" s="115" t="str">
        <x:v>L 386 ; l 368 ; hauteur 6,7 m ; choix de composition auteur ; dimensions réelles à documenter</x:v>
      </x:c>
      <x:c r="I2626" s="115" t="str">
        <x:v>À équilibrer</x:v>
      </x:c>
      <x:c r="J2626" s="115" t="str">
        <x:v>Non</x:v>
      </x:c>
      <x:c r="K2626" s="115" t="str">
        <x:v>Pièces décrites, murs, portes, niveaux et mobilier inspectables à l’échelle. Volumes réservés, raccord au seed, butin, rencontres et services de campagne restent à terminer.</x:v>
      </x:c>
    </x:row>
    <x:row r="2627" ht="96" customHeight="1">
      <x:c r="A2627" s="115" t="str">
        <x:v>EXT-MONDE-T053-V22</x:v>
      </x:c>
      <x:c r="B2627" s="115" t="str">
        <x:v>EXT-MONDE-T053</x:v>
      </x:c>
      <x:c r="C2627" s="115" t="str">
        <x:v>Usines</x:v>
      </x:c>
      <x:c r="D2627" s="115" t="str">
        <x:v>Usine agroalimentaire</x:v>
      </x:c>
      <x:c r="E2627" s="115" t="n">
        <x:v>22</x:v>
      </x:c>
      <x:c r="F2627" s="115" t="str">
        <x:v>Inspection physique</x:v>
      </x:c>
      <x:c r="G2627" s="115" t="str">
        <x:v>1 niveaux ; 38 pièces ; 291 segments de mur ; 0 transitions. Inspection physique ; architecture complète encore ouverte.</x:v>
      </x:c>
      <x:c r="H2627" s="115" t="str">
        <x:v>L 386 ; l 368 ; hauteur 6,7 m ; choix de composition auteur ; dimensions réelles à documenter</x:v>
      </x:c>
      <x:c r="I2627" s="115" t="str">
        <x:v>À équilibrer</x:v>
      </x:c>
      <x:c r="J2627" s="115" t="str">
        <x:v>Non</x:v>
      </x:c>
      <x:c r="K2627" s="115" t="str">
        <x:v>Pièces décrites, murs, portes, niveaux et mobilier inspectables à l’échelle. Volumes réservés, raccord au seed, butin, rencontres et services de campagne restent à terminer.</x:v>
      </x:c>
    </x:row>
    <x:row r="2628" ht="96" customHeight="1">
      <x:c r="A2628" s="115" t="str">
        <x:v>EXT-MONDE-T053-V23</x:v>
      </x:c>
      <x:c r="B2628" s="115" t="str">
        <x:v>EXT-MONDE-T053</x:v>
      </x:c>
      <x:c r="C2628" s="115" t="str">
        <x:v>Usines</x:v>
      </x:c>
      <x:c r="D2628" s="115" t="str">
        <x:v>Usine agroalimentaire</x:v>
      </x:c>
      <x:c r="E2628" s="115" t="n">
        <x:v>23</x:v>
      </x:c>
      <x:c r="F2628" s="115" t="str">
        <x:v>Inspection physique</x:v>
      </x:c>
      <x:c r="G2628" s="115" t="str">
        <x:v>1 niveaux ; 38 pièces ; 291 segments de mur ; 0 transitions. Inspection physique ; architecture complète encore ouverte.</x:v>
      </x:c>
      <x:c r="H2628" s="115" t="str">
        <x:v>L 386 ; l 368 ; hauteur 6,7 m ; choix de composition auteur ; dimensions réelles à documenter</x:v>
      </x:c>
      <x:c r="I2628" s="115" t="str">
        <x:v>À équilibrer</x:v>
      </x:c>
      <x:c r="J2628" s="115" t="str">
        <x:v>Non</x:v>
      </x:c>
      <x:c r="K2628" s="115" t="str">
        <x:v>Pièces décrites, murs, portes, niveaux et mobilier inspectables à l’échelle. Volumes réservés, raccord au seed, butin, rencontres et services de campagne restent à terminer.</x:v>
      </x:c>
    </x:row>
    <x:row r="2629" ht="96" customHeight="1">
      <x:c r="A2629" s="115" t="str">
        <x:v>EXT-MONDE-T053-V24</x:v>
      </x:c>
      <x:c r="B2629" s="115" t="str">
        <x:v>EXT-MONDE-T053</x:v>
      </x:c>
      <x:c r="C2629" s="115" t="str">
        <x:v>Usines</x:v>
      </x:c>
      <x:c r="D2629" s="115" t="str">
        <x:v>Usine agroalimentaire</x:v>
      </x:c>
      <x:c r="E2629" s="115" t="n">
        <x:v>24</x:v>
      </x:c>
      <x:c r="F2629" s="115" t="str">
        <x:v>Inspection physique</x:v>
      </x:c>
      <x:c r="G2629" s="115" t="str">
        <x:v>1 niveaux ; 38 pièces ; 291 segments de mur ; 0 transitions. Inspection physique ; architecture complète encore ouverte.</x:v>
      </x:c>
      <x:c r="H2629" s="115" t="str">
        <x:v>L 386 ; l 368 ; hauteur 6,7 m ; choix de composition auteur ; dimensions réelles à documenter</x:v>
      </x:c>
      <x:c r="I2629" s="115" t="str">
        <x:v>À équilibrer</x:v>
      </x:c>
      <x:c r="J2629" s="115" t="str">
        <x:v>Non</x:v>
      </x:c>
      <x:c r="K2629" s="115" t="str">
        <x:v>Pièces décrites, murs, portes, niveaux et mobilier inspectables à l’échelle. Volumes réservés, raccord au seed, butin, rencontres et services de campagne restent à terminer.</x:v>
      </x:c>
    </x:row>
    <x:row r="2630" ht="96" customHeight="1">
      <x:c r="A2630" s="115" t="str">
        <x:v>EXT-MONDE-T053-V25</x:v>
      </x:c>
      <x:c r="B2630" s="115" t="str">
        <x:v>EXT-MONDE-T053</x:v>
      </x:c>
      <x:c r="C2630" s="115" t="str">
        <x:v>Usines</x:v>
      </x:c>
      <x:c r="D2630" s="115" t="str">
        <x:v>Usine agroalimentaire</x:v>
      </x:c>
      <x:c r="E2630" s="115" t="n">
        <x:v>25</x:v>
      </x:c>
      <x:c r="F2630" s="115" t="str">
        <x:v>Inspection physique</x:v>
      </x:c>
      <x:c r="G2630" s="115" t="str">
        <x:v>1 niveaux ; 38 pièces ; 291 segments de mur ; 0 transitions. Inspection physique ; architecture complète encore ouverte.</x:v>
      </x:c>
      <x:c r="H2630" s="115" t="str">
        <x:v>L 386 ; l 368 ; hauteur 6,7 m ; choix de composition auteur ; dimensions réelles à documenter</x:v>
      </x:c>
      <x:c r="I2630" s="115" t="str">
        <x:v>À équilibrer</x:v>
      </x:c>
      <x:c r="J2630" s="115" t="str">
        <x:v>Non</x:v>
      </x:c>
      <x:c r="K2630" s="115" t="str">
        <x:v>Pièces décrites, murs, portes, niveaux et mobilier inspectables à l’échelle. Volumes réservés, raccord au seed, butin, rencontres et services de campagne restent à terminer.</x:v>
      </x:c>
    </x:row>
    <x:row r="2631" ht="96" customHeight="1">
      <x:c r="A2631" s="115" t="str">
        <x:v>EXT-MONDE-T053-V26</x:v>
      </x:c>
      <x:c r="B2631" s="115" t="str">
        <x:v>EXT-MONDE-T053</x:v>
      </x:c>
      <x:c r="C2631" s="115" t="str">
        <x:v>Usines</x:v>
      </x:c>
      <x:c r="D2631" s="115" t="str">
        <x:v>Usine agroalimentaire</x:v>
      </x:c>
      <x:c r="E2631" s="115" t="n">
        <x:v>26</x:v>
      </x:c>
      <x:c r="F2631" s="115" t="str">
        <x:v>Inspection physique</x:v>
      </x:c>
      <x:c r="G2631" s="115" t="str">
        <x:v>1 niveaux ; 38 pièces ; 291 segments de mur ; 0 transitions. Inspection physique ; architecture complète encore ouverte.</x:v>
      </x:c>
      <x:c r="H2631" s="115" t="str">
        <x:v>L 386 ; l 368 ; hauteur 6,7 m ; choix de composition auteur ; dimensions réelles à documenter</x:v>
      </x:c>
      <x:c r="I2631" s="115" t="str">
        <x:v>À équilibrer</x:v>
      </x:c>
      <x:c r="J2631" s="115" t="str">
        <x:v>Non</x:v>
      </x:c>
      <x:c r="K2631" s="115" t="str">
        <x:v>Pièces décrites, murs, portes, niveaux et mobilier inspectables à l’échelle. Volumes réservés, raccord au seed, butin, rencontres et services de campagne restent à terminer.</x:v>
      </x:c>
    </x:row>
    <x:row r="2632" ht="96" customHeight="1">
      <x:c r="A2632" s="115" t="str">
        <x:v>EXT-MONDE-T053-V27</x:v>
      </x:c>
      <x:c r="B2632" s="115" t="str">
        <x:v>EXT-MONDE-T053</x:v>
      </x:c>
      <x:c r="C2632" s="115" t="str">
        <x:v>Usines</x:v>
      </x:c>
      <x:c r="D2632" s="115" t="str">
        <x:v>Usine agroalimentaire</x:v>
      </x:c>
      <x:c r="E2632" s="115" t="n">
        <x:v>27</x:v>
      </x:c>
      <x:c r="F2632" s="115" t="str">
        <x:v>Inspection physique</x:v>
      </x:c>
      <x:c r="G2632" s="115" t="str">
        <x:v>1 niveaux ; 38 pièces ; 291 segments de mur ; 0 transitions. Inspection physique ; architecture complète encore ouverte.</x:v>
      </x:c>
      <x:c r="H2632" s="115" t="str">
        <x:v>L 386 ; l 368 ; hauteur 6,7 m ; choix de composition auteur ; dimensions réelles à documenter</x:v>
      </x:c>
      <x:c r="I2632" s="115" t="str">
        <x:v>À équilibrer</x:v>
      </x:c>
      <x:c r="J2632" s="115" t="str">
        <x:v>Non</x:v>
      </x:c>
      <x:c r="K2632" s="115" t="str">
        <x:v>Pièces décrites, murs, portes, niveaux et mobilier inspectables à l’échelle. Volumes réservés, raccord au seed, butin, rencontres et services de campagne restent à terminer.</x:v>
      </x:c>
    </x:row>
    <x:row r="2633" ht="96" customHeight="1">
      <x:c r="A2633" s="115" t="str">
        <x:v>EXT-MONDE-T053-V28</x:v>
      </x:c>
      <x:c r="B2633" s="115" t="str">
        <x:v>EXT-MONDE-T053</x:v>
      </x:c>
      <x:c r="C2633" s="115" t="str">
        <x:v>Usines</x:v>
      </x:c>
      <x:c r="D2633" s="115" t="str">
        <x:v>Usine agroalimentaire</x:v>
      </x:c>
      <x:c r="E2633" s="115" t="n">
        <x:v>28</x:v>
      </x:c>
      <x:c r="F2633" s="115" t="str">
        <x:v>Inspection physique</x:v>
      </x:c>
      <x:c r="G2633" s="115" t="str">
        <x:v>1 niveaux ; 38 pièces ; 291 segments de mur ; 0 transitions. Inspection physique ; architecture complète encore ouverte.</x:v>
      </x:c>
      <x:c r="H2633" s="115" t="str">
        <x:v>L 386 ; l 368 ; hauteur 6,7 m ; choix de composition auteur ; dimensions réelles à documenter</x:v>
      </x:c>
      <x:c r="I2633" s="115" t="str">
        <x:v>À équilibrer</x:v>
      </x:c>
      <x:c r="J2633" s="115" t="str">
        <x:v>Non</x:v>
      </x:c>
      <x:c r="K2633" s="115" t="str">
        <x:v>Pièces décrites, murs, portes, niveaux et mobilier inspectables à l’échelle. Volumes réservés, raccord au seed, butin, rencontres et services de campagne restent à terminer.</x:v>
      </x:c>
    </x:row>
    <x:row r="2634" ht="96" customHeight="1">
      <x:c r="A2634" s="115" t="str">
        <x:v>EXT-MONDE-T053-V29</x:v>
      </x:c>
      <x:c r="B2634" s="115" t="str">
        <x:v>EXT-MONDE-T053</x:v>
      </x:c>
      <x:c r="C2634" s="115" t="str">
        <x:v>Usines</x:v>
      </x:c>
      <x:c r="D2634" s="115" t="str">
        <x:v>Usine agroalimentaire</x:v>
      </x:c>
      <x:c r="E2634" s="115" t="n">
        <x:v>29</x:v>
      </x:c>
      <x:c r="F2634" s="115" t="str">
        <x:v>Inspection physique</x:v>
      </x:c>
      <x:c r="G2634" s="115" t="str">
        <x:v>1 niveaux ; 38 pièces ; 291 segments de mur ; 0 transitions. Inspection physique ; architecture complète encore ouverte.</x:v>
      </x:c>
      <x:c r="H2634" s="115" t="str">
        <x:v>L 386 ; l 368 ; hauteur 6,7 m ; choix de composition auteur ; dimensions réelles à documenter</x:v>
      </x:c>
      <x:c r="I2634" s="115" t="str">
        <x:v>À équilibrer</x:v>
      </x:c>
      <x:c r="J2634" s="115" t="str">
        <x:v>Non</x:v>
      </x:c>
      <x:c r="K2634" s="115" t="str">
        <x:v>Pièces décrites, murs, portes, niveaux et mobilier inspectables à l’échelle. Volumes réservés, raccord au seed, butin, rencontres et services de campagne restent à terminer.</x:v>
      </x:c>
    </x:row>
    <x:row r="2635" ht="96" customHeight="1">
      <x:c r="A2635" s="115" t="str">
        <x:v>EXT-MONDE-T053-V30</x:v>
      </x:c>
      <x:c r="B2635" s="115" t="str">
        <x:v>EXT-MONDE-T053</x:v>
      </x:c>
      <x:c r="C2635" s="115" t="str">
        <x:v>Usines</x:v>
      </x:c>
      <x:c r="D2635" s="115" t="str">
        <x:v>Usine agroalimentaire</x:v>
      </x:c>
      <x:c r="E2635" s="115" t="n">
        <x:v>30</x:v>
      </x:c>
      <x:c r="F2635" s="115" t="str">
        <x:v>Inspection physique</x:v>
      </x:c>
      <x:c r="G2635" s="115" t="str">
        <x:v>1 niveaux ; 38 pièces ; 291 segments de mur ; 0 transitions. Inspection physique ; architecture complète encore ouverte.</x:v>
      </x:c>
      <x:c r="H2635" s="115" t="str">
        <x:v>L 386 ; l 368 ; hauteur 6,7 m ; choix de composition auteur ; dimensions réelles à documenter</x:v>
      </x:c>
      <x:c r="I2635" s="115" t="str">
        <x:v>À équilibrer</x:v>
      </x:c>
      <x:c r="J2635" s="115" t="str">
        <x:v>Non</x:v>
      </x:c>
      <x:c r="K2635" s="115" t="str">
        <x:v>Pièces décrites, murs, portes, niveaux et mobilier inspectables à l’échelle. Volumes réservés, raccord au seed, butin, rencontres et services de campagne restent à terminer.</x:v>
      </x:c>
    </x:row>
    <x:row r="2636" ht="96" customHeight="1">
      <x:c r="A2636" s="115" t="str">
        <x:v>EXT-MONDE-T053-V31</x:v>
      </x:c>
      <x:c r="B2636" s="115" t="str">
        <x:v>EXT-MONDE-T053</x:v>
      </x:c>
      <x:c r="C2636" s="115" t="str">
        <x:v>Usines</x:v>
      </x:c>
      <x:c r="D2636" s="115" t="str">
        <x:v>Usine agroalimentaire</x:v>
      </x:c>
      <x:c r="E2636" s="115" t="n">
        <x:v>31</x:v>
      </x:c>
      <x:c r="F2636" s="115" t="str">
        <x:v>Inspection physique</x:v>
      </x:c>
      <x:c r="G2636" s="115" t="str">
        <x:v>1 niveaux ; 38 pièces ; 291 segments de mur ; 0 transitions. Inspection physique ; architecture complète encore ouverte.</x:v>
      </x:c>
      <x:c r="H2636" s="115" t="str">
        <x:v>L 404 ; l 392 ; hauteur 6,95 m ; choix de composition auteur ; dimensions réelles à documenter</x:v>
      </x:c>
      <x:c r="I2636" s="115" t="str">
        <x:v>À équilibrer</x:v>
      </x:c>
      <x:c r="J2636" s="115" t="str">
        <x:v>Non</x:v>
      </x:c>
      <x:c r="K2636" s="115" t="str">
        <x:v>Pièces décrites, murs, portes, niveaux et mobilier inspectables à l’échelle. Volumes réservés, raccord au seed, butin, rencontres et services de campagne restent à terminer.</x:v>
      </x:c>
    </x:row>
    <x:row r="2637" ht="96" customHeight="1">
      <x:c r="A2637" s="115" t="str">
        <x:v>EXT-MONDE-T053-V32</x:v>
      </x:c>
      <x:c r="B2637" s="115" t="str">
        <x:v>EXT-MONDE-T053</x:v>
      </x:c>
      <x:c r="C2637" s="115" t="str">
        <x:v>Usines</x:v>
      </x:c>
      <x:c r="D2637" s="115" t="str">
        <x:v>Usine agroalimentaire</x:v>
      </x:c>
      <x:c r="E2637" s="115" t="n">
        <x:v>32</x:v>
      </x:c>
      <x:c r="F2637" s="115" t="str">
        <x:v>Inspection physique</x:v>
      </x:c>
      <x:c r="G2637" s="115" t="str">
        <x:v>1 niveaux ; 38 pièces ; 291 segments de mur ; 0 transitions. Inspection physique ; architecture complète encore ouverte.</x:v>
      </x:c>
      <x:c r="H2637" s="115" t="str">
        <x:v>L 404 ; l 392 ; hauteur 6,95 m ; choix de composition auteur ; dimensions réelles à documenter</x:v>
      </x:c>
      <x:c r="I2637" s="115" t="str">
        <x:v>À équilibrer</x:v>
      </x:c>
      <x:c r="J2637" s="115" t="str">
        <x:v>Non</x:v>
      </x:c>
      <x:c r="K2637" s="115" t="str">
        <x:v>Pièces décrites, murs, portes, niveaux et mobilier inspectables à l’échelle. Volumes réservés, raccord au seed, butin, rencontres et services de campagne restent à terminer.</x:v>
      </x:c>
    </x:row>
    <x:row r="2638" ht="96" customHeight="1">
      <x:c r="A2638" s="115" t="str">
        <x:v>EXT-MONDE-T053-V33</x:v>
      </x:c>
      <x:c r="B2638" s="115" t="str">
        <x:v>EXT-MONDE-T053</x:v>
      </x:c>
      <x:c r="C2638" s="115" t="str">
        <x:v>Usines</x:v>
      </x:c>
      <x:c r="D2638" s="115" t="str">
        <x:v>Usine agroalimentaire</x:v>
      </x:c>
      <x:c r="E2638" s="115" t="n">
        <x:v>33</x:v>
      </x:c>
      <x:c r="F2638" s="115" t="str">
        <x:v>Inspection physique</x:v>
      </x:c>
      <x:c r="G2638" s="115" t="str">
        <x:v>1 niveaux ; 38 pièces ; 291 segments de mur ; 0 transitions. Inspection physique ; architecture complète encore ouverte.</x:v>
      </x:c>
      <x:c r="H2638" s="115" t="str">
        <x:v>L 404 ; l 392 ; hauteur 6,95 m ; choix de composition auteur ; dimensions réelles à documenter</x:v>
      </x:c>
      <x:c r="I2638" s="115" t="str">
        <x:v>À équilibrer</x:v>
      </x:c>
      <x:c r="J2638" s="115" t="str">
        <x:v>Non</x:v>
      </x:c>
      <x:c r="K2638" s="115" t="str">
        <x:v>Pièces décrites, murs, portes, niveaux et mobilier inspectables à l’échelle. Volumes réservés, raccord au seed, butin, rencontres et services de campagne restent à terminer.</x:v>
      </x:c>
    </x:row>
    <x:row r="2639" ht="96" customHeight="1">
      <x:c r="A2639" s="115" t="str">
        <x:v>EXT-MONDE-T053-V34</x:v>
      </x:c>
      <x:c r="B2639" s="115" t="str">
        <x:v>EXT-MONDE-T053</x:v>
      </x:c>
      <x:c r="C2639" s="115" t="str">
        <x:v>Usines</x:v>
      </x:c>
      <x:c r="D2639" s="115" t="str">
        <x:v>Usine agroalimentaire</x:v>
      </x:c>
      <x:c r="E2639" s="115" t="n">
        <x:v>34</x:v>
      </x:c>
      <x:c r="F2639" s="115" t="str">
        <x:v>Inspection physique</x:v>
      </x:c>
      <x:c r="G2639" s="115" t="str">
        <x:v>1 niveaux ; 38 pièces ; 291 segments de mur ; 0 transitions. Inspection physique ; architecture complète encore ouverte.</x:v>
      </x:c>
      <x:c r="H2639" s="115" t="str">
        <x:v>L 404 ; l 392 ; hauteur 6,95 m ; choix de composition auteur ; dimensions réelles à documenter</x:v>
      </x:c>
      <x:c r="I2639" s="115" t="str">
        <x:v>À équilibrer</x:v>
      </x:c>
      <x:c r="J2639" s="115" t="str">
        <x:v>Non</x:v>
      </x:c>
      <x:c r="K2639" s="115" t="str">
        <x:v>Pièces décrites, murs, portes, niveaux et mobilier inspectables à l’échelle. Volumes réservés, raccord au seed, butin, rencontres et services de campagne restent à terminer.</x:v>
      </x:c>
    </x:row>
    <x:row r="2640" ht="96" customHeight="1">
      <x:c r="A2640" s="115" t="str">
        <x:v>EXT-MONDE-T053-V35</x:v>
      </x:c>
      <x:c r="B2640" s="115" t="str">
        <x:v>EXT-MONDE-T053</x:v>
      </x:c>
      <x:c r="C2640" s="115" t="str">
        <x:v>Usines</x:v>
      </x:c>
      <x:c r="D2640" s="115" t="str">
        <x:v>Usine agroalimentaire</x:v>
      </x:c>
      <x:c r="E2640" s="115" t="n">
        <x:v>35</x:v>
      </x:c>
      <x:c r="F2640" s="115" t="str">
        <x:v>Inspection physique</x:v>
      </x:c>
      <x:c r="G2640" s="115" t="str">
        <x:v>1 niveaux ; 38 pièces ; 291 segments de mur ; 0 transitions. Inspection physique ; architecture complète encore ouverte.</x:v>
      </x:c>
      <x:c r="H2640" s="115" t="str">
        <x:v>L 404 ; l 392 ; hauteur 6,95 m ; choix de composition auteur ; dimensions réelles à documenter</x:v>
      </x:c>
      <x:c r="I2640" s="115" t="str">
        <x:v>À équilibrer</x:v>
      </x:c>
      <x:c r="J2640" s="115" t="str">
        <x:v>Non</x:v>
      </x:c>
      <x:c r="K2640" s="115" t="str">
        <x:v>Pièces décrites, murs, portes, niveaux et mobilier inspectables à l’échelle. Volumes réservés, raccord au seed, butin, rencontres et services de campagne restent à terminer.</x:v>
      </x:c>
    </x:row>
    <x:row r="2641" ht="96" customHeight="1">
      <x:c r="A2641" s="115" t="str">
        <x:v>EXT-MONDE-T053-V36</x:v>
      </x:c>
      <x:c r="B2641" s="115" t="str">
        <x:v>EXT-MONDE-T053</x:v>
      </x:c>
      <x:c r="C2641" s="115" t="str">
        <x:v>Usines</x:v>
      </x:c>
      <x:c r="D2641" s="115" t="str">
        <x:v>Usine agroalimentaire</x:v>
      </x:c>
      <x:c r="E2641" s="115" t="n">
        <x:v>36</x:v>
      </x:c>
      <x:c r="F2641" s="115" t="str">
        <x:v>Inspection physique</x:v>
      </x:c>
      <x:c r="G2641" s="115" t="str">
        <x:v>1 niveaux ; 38 pièces ; 291 segments de mur ; 0 transitions. Inspection physique ; architecture complète encore ouverte.</x:v>
      </x:c>
      <x:c r="H2641" s="115" t="str">
        <x:v>L 404 ; l 392 ; hauteur 6,95 m ; choix de composition auteur ; dimensions réelles à documenter</x:v>
      </x:c>
      <x:c r="I2641" s="115" t="str">
        <x:v>À équilibrer</x:v>
      </x:c>
      <x:c r="J2641" s="115" t="str">
        <x:v>Non</x:v>
      </x:c>
      <x:c r="K2641" s="115" t="str">
        <x:v>Pièces décrites, murs, portes, niveaux et mobilier inspectables à l’échelle. Volumes réservés, raccord au seed, butin, rencontres et services de campagne restent à terminer.</x:v>
      </x:c>
    </x:row>
    <x:row r="2642" ht="96" customHeight="1">
      <x:c r="A2642" s="115" t="str">
        <x:v>EXT-MONDE-T053-V37</x:v>
      </x:c>
      <x:c r="B2642" s="115" t="str">
        <x:v>EXT-MONDE-T053</x:v>
      </x:c>
      <x:c r="C2642" s="115" t="str">
        <x:v>Usines</x:v>
      </x:c>
      <x:c r="D2642" s="115" t="str">
        <x:v>Usine agroalimentaire</x:v>
      </x:c>
      <x:c r="E2642" s="115" t="n">
        <x:v>37</x:v>
      </x:c>
      <x:c r="F2642" s="115" t="str">
        <x:v>Inspection physique</x:v>
      </x:c>
      <x:c r="G2642" s="115" t="str">
        <x:v>1 niveaux ; 38 pièces ; 291 segments de mur ; 0 transitions. Inspection physique ; architecture complète encore ouverte.</x:v>
      </x:c>
      <x:c r="H2642" s="115" t="str">
        <x:v>L 404 ; l 392 ; hauteur 6,95 m ; choix de composition auteur ; dimensions réelles à documenter</x:v>
      </x:c>
      <x:c r="I2642" s="115" t="str">
        <x:v>À équilibrer</x:v>
      </x:c>
      <x:c r="J2642" s="115" t="str">
        <x:v>Non</x:v>
      </x:c>
      <x:c r="K2642" s="115" t="str">
        <x:v>Pièces décrites, murs, portes, niveaux et mobilier inspectables à l’échelle. Volumes réservés, raccord au seed, butin, rencontres et services de campagne restent à terminer.</x:v>
      </x:c>
    </x:row>
    <x:row r="2643" ht="96" customHeight="1">
      <x:c r="A2643" s="115" t="str">
        <x:v>EXT-MONDE-T053-V38</x:v>
      </x:c>
      <x:c r="B2643" s="115" t="str">
        <x:v>EXT-MONDE-T053</x:v>
      </x:c>
      <x:c r="C2643" s="115" t="str">
        <x:v>Usines</x:v>
      </x:c>
      <x:c r="D2643" s="115" t="str">
        <x:v>Usine agroalimentaire</x:v>
      </x:c>
      <x:c r="E2643" s="115" t="n">
        <x:v>38</x:v>
      </x:c>
      <x:c r="F2643" s="115" t="str">
        <x:v>Inspection physique</x:v>
      </x:c>
      <x:c r="G2643" s="115" t="str">
        <x:v>1 niveaux ; 38 pièces ; 291 segments de mur ; 0 transitions. Inspection physique ; architecture complète encore ouverte.</x:v>
      </x:c>
      <x:c r="H2643" s="115" t="str">
        <x:v>L 404 ; l 392 ; hauteur 6,95 m ; choix de composition auteur ; dimensions réelles à documenter</x:v>
      </x:c>
      <x:c r="I2643" s="115" t="str">
        <x:v>À équilibrer</x:v>
      </x:c>
      <x:c r="J2643" s="115" t="str">
        <x:v>Non</x:v>
      </x:c>
      <x:c r="K2643" s="115" t="str">
        <x:v>Pièces décrites, murs, portes, niveaux et mobilier inspectables à l’échelle. Volumes réservés, raccord au seed, butin, rencontres et services de campagne restent à terminer.</x:v>
      </x:c>
    </x:row>
    <x:row r="2644" ht="96" customHeight="1">
      <x:c r="A2644" s="115" t="str">
        <x:v>EXT-MONDE-T053-V39</x:v>
      </x:c>
      <x:c r="B2644" s="115" t="str">
        <x:v>EXT-MONDE-T053</x:v>
      </x:c>
      <x:c r="C2644" s="115" t="str">
        <x:v>Usines</x:v>
      </x:c>
      <x:c r="D2644" s="115" t="str">
        <x:v>Usine agroalimentaire</x:v>
      </x:c>
      <x:c r="E2644" s="115" t="n">
        <x:v>39</x:v>
      </x:c>
      <x:c r="F2644" s="115" t="str">
        <x:v>Inspection physique</x:v>
      </x:c>
      <x:c r="G2644" s="115" t="str">
        <x:v>1 niveaux ; 38 pièces ; 291 segments de mur ; 0 transitions. Inspection physique ; architecture complète encore ouverte.</x:v>
      </x:c>
      <x:c r="H2644" s="115" t="str">
        <x:v>L 404 ; l 392 ; hauteur 6,95 m ; choix de composition auteur ; dimensions réelles à documenter</x:v>
      </x:c>
      <x:c r="I2644" s="115" t="str">
        <x:v>À équilibrer</x:v>
      </x:c>
      <x:c r="J2644" s="115" t="str">
        <x:v>Non</x:v>
      </x:c>
      <x:c r="K2644" s="115" t="str">
        <x:v>Pièces décrites, murs, portes, niveaux et mobilier inspectables à l’échelle. Volumes réservés, raccord au seed, butin, rencontres et services de campagne restent à terminer.</x:v>
      </x:c>
    </x:row>
    <x:row r="2645" ht="96" customHeight="1">
      <x:c r="A2645" s="115" t="str">
        <x:v>EXT-MONDE-T053-V40</x:v>
      </x:c>
      <x:c r="B2645" s="115" t="str">
        <x:v>EXT-MONDE-T053</x:v>
      </x:c>
      <x:c r="C2645" s="115" t="str">
        <x:v>Usines</x:v>
      </x:c>
      <x:c r="D2645" s="115" t="str">
        <x:v>Usine agroalimentaire</x:v>
      </x:c>
      <x:c r="E2645" s="115" t="n">
        <x:v>40</x:v>
      </x:c>
      <x:c r="F2645" s="115" t="str">
        <x:v>Inspection physique</x:v>
      </x:c>
      <x:c r="G2645" s="115" t="str">
        <x:v>1 niveaux ; 38 pièces ; 291 segments de mur ; 0 transitions. Inspection physique ; architecture complète encore ouverte.</x:v>
      </x:c>
      <x:c r="H2645" s="115" t="str">
        <x:v>L 404 ; l 392 ; hauteur 6,95 m ; choix de composition auteur ; dimensions réelles à documenter</x:v>
      </x:c>
      <x:c r="I2645" s="115" t="str">
        <x:v>À équilibrer</x:v>
      </x:c>
      <x:c r="J2645" s="115" t="str">
        <x:v>Non</x:v>
      </x:c>
      <x:c r="K2645" s="115" t="str">
        <x:v>Pièces décrites, murs, portes, niveaux et mobilier inspectables à l’échelle. Volumes réservés, raccord au seed, butin, rencontres et services de campagne restent à terminer.</x:v>
      </x:c>
    </x:row>
    <x:row r="2646" ht="96" customHeight="1">
      <x:c r="A2646" s="115" t="str">
        <x:v>EXT-MONDE-T053-V41</x:v>
      </x:c>
      <x:c r="B2646" s="115" t="str">
        <x:v>EXT-MONDE-T053</x:v>
      </x:c>
      <x:c r="C2646" s="115" t="str">
        <x:v>Usines</x:v>
      </x:c>
      <x:c r="D2646" s="115" t="str">
        <x:v>Usine agroalimentaire</x:v>
      </x:c>
      <x:c r="E2646" s="115" t="n">
        <x:v>41</x:v>
      </x:c>
      <x:c r="F2646" s="115" t="str">
        <x:v>Inspection physique</x:v>
      </x:c>
      <x:c r="G2646" s="115" t="str">
        <x:v>1 niveaux ; 38 pièces ; 291 segments de mur ; 0 transitions. Inspection physique ; architecture complète encore ouverte.</x:v>
      </x:c>
      <x:c r="H2646" s="115" t="str">
        <x:v>L 422 ; l 416 ; hauteur 7,2 m ; choix de composition auteur ; dimensions réelles à documenter</x:v>
      </x:c>
      <x:c r="I2646" s="115" t="str">
        <x:v>À équilibrer</x:v>
      </x:c>
      <x:c r="J2646" s="115" t="str">
        <x:v>Non</x:v>
      </x:c>
      <x:c r="K2646" s="115" t="str">
        <x:v>Pièces décrites, murs, portes, niveaux et mobilier inspectables à l’échelle. Volumes réservés, raccord au seed, butin, rencontres et services de campagne restent à terminer.</x:v>
      </x:c>
    </x:row>
    <x:row r="2647" ht="96" customHeight="1">
      <x:c r="A2647" s="115" t="str">
        <x:v>EXT-MONDE-T053-V42</x:v>
      </x:c>
      <x:c r="B2647" s="115" t="str">
        <x:v>EXT-MONDE-T053</x:v>
      </x:c>
      <x:c r="C2647" s="115" t="str">
        <x:v>Usines</x:v>
      </x:c>
      <x:c r="D2647" s="115" t="str">
        <x:v>Usine agroalimentaire</x:v>
      </x:c>
      <x:c r="E2647" s="115" t="n">
        <x:v>42</x:v>
      </x:c>
      <x:c r="F2647" s="115" t="str">
        <x:v>Inspection physique</x:v>
      </x:c>
      <x:c r="G2647" s="115" t="str">
        <x:v>1 niveaux ; 38 pièces ; 291 segments de mur ; 0 transitions. Inspection physique ; architecture complète encore ouverte.</x:v>
      </x:c>
      <x:c r="H2647" s="115" t="str">
        <x:v>L 422 ; l 416 ; hauteur 7,2 m ; choix de composition auteur ; dimensions réelles à documenter</x:v>
      </x:c>
      <x:c r="I2647" s="115" t="str">
        <x:v>À équilibrer</x:v>
      </x:c>
      <x:c r="J2647" s="115" t="str">
        <x:v>Non</x:v>
      </x:c>
      <x:c r="K2647" s="115" t="str">
        <x:v>Pièces décrites, murs, portes, niveaux et mobilier inspectables à l’échelle. Volumes réservés, raccord au seed, butin, rencontres et services de campagne restent à terminer.</x:v>
      </x:c>
    </x:row>
    <x:row r="2648" ht="96" customHeight="1">
      <x:c r="A2648" s="115" t="str">
        <x:v>EXT-MONDE-T053-V43</x:v>
      </x:c>
      <x:c r="B2648" s="115" t="str">
        <x:v>EXT-MONDE-T053</x:v>
      </x:c>
      <x:c r="C2648" s="115" t="str">
        <x:v>Usines</x:v>
      </x:c>
      <x:c r="D2648" s="115" t="str">
        <x:v>Usine agroalimentaire</x:v>
      </x:c>
      <x:c r="E2648" s="115" t="n">
        <x:v>43</x:v>
      </x:c>
      <x:c r="F2648" s="115" t="str">
        <x:v>Inspection physique</x:v>
      </x:c>
      <x:c r="G2648" s="115" t="str">
        <x:v>1 niveaux ; 38 pièces ; 291 segments de mur ; 0 transitions. Inspection physique ; architecture complète encore ouverte.</x:v>
      </x:c>
      <x:c r="H2648" s="115" t="str">
        <x:v>L 422 ; l 416 ; hauteur 7,2 m ; choix de composition auteur ; dimensions réelles à documenter</x:v>
      </x:c>
      <x:c r="I2648" s="115" t="str">
        <x:v>À équilibrer</x:v>
      </x:c>
      <x:c r="J2648" s="115" t="str">
        <x:v>Non</x:v>
      </x:c>
      <x:c r="K2648" s="115" t="str">
        <x:v>Pièces décrites, murs, portes, niveaux et mobilier inspectables à l’échelle. Volumes réservés, raccord au seed, butin, rencontres et services de campagne restent à terminer.</x:v>
      </x:c>
    </x:row>
    <x:row r="2649" ht="96" customHeight="1">
      <x:c r="A2649" s="115" t="str">
        <x:v>EXT-MONDE-T053-V44</x:v>
      </x:c>
      <x:c r="B2649" s="115" t="str">
        <x:v>EXT-MONDE-T053</x:v>
      </x:c>
      <x:c r="C2649" s="115" t="str">
        <x:v>Usines</x:v>
      </x:c>
      <x:c r="D2649" s="115" t="str">
        <x:v>Usine agroalimentaire</x:v>
      </x:c>
      <x:c r="E2649" s="115" t="n">
        <x:v>44</x:v>
      </x:c>
      <x:c r="F2649" s="115" t="str">
        <x:v>Inspection physique</x:v>
      </x:c>
      <x:c r="G2649" s="115" t="str">
        <x:v>1 niveaux ; 38 pièces ; 291 segments de mur ; 0 transitions. Inspection physique ; architecture complète encore ouverte.</x:v>
      </x:c>
      <x:c r="H2649" s="115" t="str">
        <x:v>L 422 ; l 416 ; hauteur 7,2 m ; choix de composition auteur ; dimensions réelles à documenter</x:v>
      </x:c>
      <x:c r="I2649" s="115" t="str">
        <x:v>À équilibrer</x:v>
      </x:c>
      <x:c r="J2649" s="115" t="str">
        <x:v>Non</x:v>
      </x:c>
      <x:c r="K2649" s="115" t="str">
        <x:v>Pièces décrites, murs, portes, niveaux et mobilier inspectables à l’échelle. Volumes réservés, raccord au seed, butin, rencontres et services de campagne restent à terminer.</x:v>
      </x:c>
    </x:row>
    <x:row r="2650" ht="96" customHeight="1">
      <x:c r="A2650" s="115" t="str">
        <x:v>EXT-MONDE-T053-V45</x:v>
      </x:c>
      <x:c r="B2650" s="115" t="str">
        <x:v>EXT-MONDE-T053</x:v>
      </x:c>
      <x:c r="C2650" s="115" t="str">
        <x:v>Usines</x:v>
      </x:c>
      <x:c r="D2650" s="115" t="str">
        <x:v>Usine agroalimentaire</x:v>
      </x:c>
      <x:c r="E2650" s="115" t="n">
        <x:v>45</x:v>
      </x:c>
      <x:c r="F2650" s="115" t="str">
        <x:v>Inspection physique</x:v>
      </x:c>
      <x:c r="G2650" s="115" t="str">
        <x:v>1 niveaux ; 38 pièces ; 291 segments de mur ; 0 transitions. Inspection physique ; architecture complète encore ouverte.</x:v>
      </x:c>
      <x:c r="H2650" s="115" t="str">
        <x:v>L 422 ; l 416 ; hauteur 7,2 m ; choix de composition auteur ; dimensions réelles à documenter</x:v>
      </x:c>
      <x:c r="I2650" s="115" t="str">
        <x:v>À équilibrer</x:v>
      </x:c>
      <x:c r="J2650" s="115" t="str">
        <x:v>Non</x:v>
      </x:c>
      <x:c r="K2650" s="115" t="str">
        <x:v>Pièces décrites, murs, portes, niveaux et mobilier inspectables à l’échelle. Volumes réservés, raccord au seed, butin, rencontres et services de campagne restent à terminer.</x:v>
      </x:c>
    </x:row>
    <x:row r="2651" ht="96" customHeight="1">
      <x:c r="A2651" s="115" t="str">
        <x:v>EXT-MONDE-T053-V46</x:v>
      </x:c>
      <x:c r="B2651" s="115" t="str">
        <x:v>EXT-MONDE-T053</x:v>
      </x:c>
      <x:c r="C2651" s="115" t="str">
        <x:v>Usines</x:v>
      </x:c>
      <x:c r="D2651" s="115" t="str">
        <x:v>Usine agroalimentaire</x:v>
      </x:c>
      <x:c r="E2651" s="115" t="n">
        <x:v>46</x:v>
      </x:c>
      <x:c r="F2651" s="115" t="str">
        <x:v>Inspection physique</x:v>
      </x:c>
      <x:c r="G2651" s="115" t="str">
        <x:v>1 niveaux ; 38 pièces ; 291 segments de mur ; 0 transitions. Inspection physique ; architecture complète encore ouverte.</x:v>
      </x:c>
      <x:c r="H2651" s="115" t="str">
        <x:v>L 422 ; l 416 ; hauteur 7,2 m ; choix de composition auteur ; dimensions réelles à documenter</x:v>
      </x:c>
      <x:c r="I2651" s="115" t="str">
        <x:v>À équilibrer</x:v>
      </x:c>
      <x:c r="J2651" s="115" t="str">
        <x:v>Non</x:v>
      </x:c>
      <x:c r="K2651" s="115" t="str">
        <x:v>Pièces décrites, murs, portes, niveaux et mobilier inspectables à l’échelle. Volumes réservés, raccord au seed, butin, rencontres et services de campagne restent à terminer.</x:v>
      </x:c>
    </x:row>
    <x:row r="2652" ht="96" customHeight="1">
      <x:c r="A2652" s="115" t="str">
        <x:v>EXT-MONDE-T053-V47</x:v>
      </x:c>
      <x:c r="B2652" s="115" t="str">
        <x:v>EXT-MONDE-T053</x:v>
      </x:c>
      <x:c r="C2652" s="115" t="str">
        <x:v>Usines</x:v>
      </x:c>
      <x:c r="D2652" s="115" t="str">
        <x:v>Usine agroalimentaire</x:v>
      </x:c>
      <x:c r="E2652" s="115" t="n">
        <x:v>47</x:v>
      </x:c>
      <x:c r="F2652" s="115" t="str">
        <x:v>Inspection physique</x:v>
      </x:c>
      <x:c r="G2652" s="115" t="str">
        <x:v>1 niveaux ; 38 pièces ; 291 segments de mur ; 0 transitions. Inspection physique ; architecture complète encore ouverte.</x:v>
      </x:c>
      <x:c r="H2652" s="115" t="str">
        <x:v>L 422 ; l 416 ; hauteur 7,2 m ; choix de composition auteur ; dimensions réelles à documenter</x:v>
      </x:c>
      <x:c r="I2652" s="115" t="str">
        <x:v>À équilibrer</x:v>
      </x:c>
      <x:c r="J2652" s="115" t="str">
        <x:v>Non</x:v>
      </x:c>
      <x:c r="K2652" s="115" t="str">
        <x:v>Pièces décrites, murs, portes, niveaux et mobilier inspectables à l’échelle. Volumes réservés, raccord au seed, butin, rencontres et services de campagne restent à terminer.</x:v>
      </x:c>
    </x:row>
    <x:row r="2653" ht="96" customHeight="1">
      <x:c r="A2653" s="115" t="str">
        <x:v>EXT-MONDE-T053-V48</x:v>
      </x:c>
      <x:c r="B2653" s="115" t="str">
        <x:v>EXT-MONDE-T053</x:v>
      </x:c>
      <x:c r="C2653" s="115" t="str">
        <x:v>Usines</x:v>
      </x:c>
      <x:c r="D2653" s="115" t="str">
        <x:v>Usine agroalimentaire</x:v>
      </x:c>
      <x:c r="E2653" s="115" t="n">
        <x:v>48</x:v>
      </x:c>
      <x:c r="F2653" s="115" t="str">
        <x:v>Inspection physique</x:v>
      </x:c>
      <x:c r="G2653" s="115" t="str">
        <x:v>1 niveaux ; 38 pièces ; 291 segments de mur ; 0 transitions. Inspection physique ; architecture complète encore ouverte.</x:v>
      </x:c>
      <x:c r="H2653" s="115" t="str">
        <x:v>L 422 ; l 416 ; hauteur 7,2 m ; choix de composition auteur ; dimensions réelles à documenter</x:v>
      </x:c>
      <x:c r="I2653" s="115" t="str">
        <x:v>À équilibrer</x:v>
      </x:c>
      <x:c r="J2653" s="115" t="str">
        <x:v>Non</x:v>
      </x:c>
      <x:c r="K2653" s="115" t="str">
        <x:v>Pièces décrites, murs, portes, niveaux et mobilier inspectables à l’échelle. Volumes réservés, raccord au seed, butin, rencontres et services de campagne restent à terminer.</x:v>
      </x:c>
    </x:row>
    <x:row r="2654" ht="96" customHeight="1">
      <x:c r="A2654" s="115" t="str">
        <x:v>EXT-MONDE-T053-V49</x:v>
      </x:c>
      <x:c r="B2654" s="115" t="str">
        <x:v>EXT-MONDE-T053</x:v>
      </x:c>
      <x:c r="C2654" s="115" t="str">
        <x:v>Usines</x:v>
      </x:c>
      <x:c r="D2654" s="115" t="str">
        <x:v>Usine agroalimentaire</x:v>
      </x:c>
      <x:c r="E2654" s="115" t="n">
        <x:v>49</x:v>
      </x:c>
      <x:c r="F2654" s="115" t="str">
        <x:v>Inspection physique</x:v>
      </x:c>
      <x:c r="G2654" s="115" t="str">
        <x:v>1 niveaux ; 38 pièces ; 291 segments de mur ; 0 transitions. Inspection physique ; architecture complète encore ouverte.</x:v>
      </x:c>
      <x:c r="H2654" s="115" t="str">
        <x:v>L 422 ; l 416 ; hauteur 7,2 m ; choix de composition auteur ; dimensions réelles à documenter</x:v>
      </x:c>
      <x:c r="I2654" s="115" t="str">
        <x:v>À équilibrer</x:v>
      </x:c>
      <x:c r="J2654" s="115" t="str">
        <x:v>Non</x:v>
      </x:c>
      <x:c r="K2654" s="115" t="str">
        <x:v>Pièces décrites, murs, portes, niveaux et mobilier inspectables à l’échelle. Volumes réservés, raccord au seed, butin, rencontres et services de campagne restent à terminer.</x:v>
      </x:c>
    </x:row>
    <x:row r="2655" ht="96" customHeight="1">
      <x:c r="A2655" s="115" t="str">
        <x:v>EXT-MONDE-T053-V50</x:v>
      </x:c>
      <x:c r="B2655" s="115" t="str">
        <x:v>EXT-MONDE-T053</x:v>
      </x:c>
      <x:c r="C2655" s="115" t="str">
        <x:v>Usines</x:v>
      </x:c>
      <x:c r="D2655" s="115" t="str">
        <x:v>Usine agroalimentaire</x:v>
      </x:c>
      <x:c r="E2655" s="115" t="n">
        <x:v>50</x:v>
      </x:c>
      <x:c r="F2655" s="115" t="str">
        <x:v>Inspection physique</x:v>
      </x:c>
      <x:c r="G2655" s="115" t="str">
        <x:v>1 niveaux ; 38 pièces ; 291 segments de mur ; 0 transitions. Inspection physique ; architecture complète encore ouverte.</x:v>
      </x:c>
      <x:c r="H2655" s="115" t="str">
        <x:v>L 422 ; l 416 ; hauteur 7,2 m ; choix de composition auteur ; dimensions réelles à documenter</x:v>
      </x:c>
      <x:c r="I2655" s="115" t="str">
        <x:v>À équilibrer</x:v>
      </x:c>
      <x:c r="J2655" s="115" t="str">
        <x:v>Non</x:v>
      </x:c>
      <x:c r="K2655" s="115" t="str">
        <x:v>Pièces décrites, murs, portes, niveaux et mobilier inspectables à l’échelle. Volumes réservés, raccord au seed, butin, rencontres et services de campagne restent à terminer.</x:v>
      </x:c>
    </x:row>
    <x:row r="2656" ht="96" customHeight="1">
      <x:c r="A2656" s="115" t="str">
        <x:v>EXT-MONDE-T054-V01</x:v>
      </x:c>
      <x:c r="B2656" s="115" t="str">
        <x:v>EXT-MONDE-T054</x:v>
      </x:c>
      <x:c r="C2656" s="115" t="str">
        <x:v>Usines</x:v>
      </x:c>
      <x:c r="D2656" s="115" t="str">
        <x:v>Usine de mécanique</x:v>
      </x:c>
      <x:c r="E2656" s="115" t="n">
        <x:v>1</x:v>
      </x:c>
      <x:c r="F2656" s="115" t="str">
        <x:v>Inspection physique</x:v>
      </x:c>
      <x:c r="G2656" s="115" t="str">
        <x:v>1 niveaux ; 40 pièces ; 303 segments de mur ; 0 transitions. Inspection physique ; architecture complète encore ouverte.</x:v>
      </x:c>
      <x:c r="H2656" s="115" t="str">
        <x:v>L 350 ; l 320 ; hauteur 7,2 m ; choix de composition auteur ; dimensions réelles à documenter</x:v>
      </x:c>
      <x:c r="I2656" s="115" t="str">
        <x:v>À équilibrer</x:v>
      </x:c>
      <x:c r="J2656" s="115" t="str">
        <x:v>Non</x:v>
      </x:c>
      <x:c r="K2656" s="115" t="str">
        <x:v>Pièces décrites, murs, portes, niveaux et mobilier inspectables à l’échelle. Volumes réservés, raccord au seed, butin, rencontres et services de campagne restent à terminer.</x:v>
      </x:c>
    </x:row>
    <x:row r="2657" ht="96" customHeight="1">
      <x:c r="A2657" s="115" t="str">
        <x:v>EXT-MONDE-T054-V02</x:v>
      </x:c>
      <x:c r="B2657" s="115" t="str">
        <x:v>EXT-MONDE-T054</x:v>
      </x:c>
      <x:c r="C2657" s="115" t="str">
        <x:v>Usines</x:v>
      </x:c>
      <x:c r="D2657" s="115" t="str">
        <x:v>Usine de mécanique</x:v>
      </x:c>
      <x:c r="E2657" s="115" t="n">
        <x:v>2</x:v>
      </x:c>
      <x:c r="F2657" s="115" t="str">
        <x:v>Inspection physique</x:v>
      </x:c>
      <x:c r="G2657" s="115" t="str">
        <x:v>1 niveaux ; 40 pièces ; 303 segments de mur ; 0 transitions. Inspection physique ; architecture complète encore ouverte.</x:v>
      </x:c>
      <x:c r="H2657" s="115" t="str">
        <x:v>L 350 ; l 320 ; hauteur 7,2 m ; choix de composition auteur ; dimensions réelles à documenter</x:v>
      </x:c>
      <x:c r="I2657" s="115" t="str">
        <x:v>À équilibrer</x:v>
      </x:c>
      <x:c r="J2657" s="115" t="str">
        <x:v>Non</x:v>
      </x:c>
      <x:c r="K2657" s="115" t="str">
        <x:v>Pièces décrites, murs, portes, niveaux et mobilier inspectables à l’échelle. Volumes réservés, raccord au seed, butin, rencontres et services de campagne restent à terminer.</x:v>
      </x:c>
    </x:row>
    <x:row r="2658" ht="96" customHeight="1">
      <x:c r="A2658" s="115" t="str">
        <x:v>EXT-MONDE-T054-V03</x:v>
      </x:c>
      <x:c r="B2658" s="115" t="str">
        <x:v>EXT-MONDE-T054</x:v>
      </x:c>
      <x:c r="C2658" s="115" t="str">
        <x:v>Usines</x:v>
      </x:c>
      <x:c r="D2658" s="115" t="str">
        <x:v>Usine de mécanique</x:v>
      </x:c>
      <x:c r="E2658" s="115" t="n">
        <x:v>3</x:v>
      </x:c>
      <x:c r="F2658" s="115" t="str">
        <x:v>Inspection physique</x:v>
      </x:c>
      <x:c r="G2658" s="115" t="str">
        <x:v>1 niveaux ; 40 pièces ; 303 segments de mur ; 0 transitions. Inspection physique ; architecture complète encore ouverte.</x:v>
      </x:c>
      <x:c r="H2658" s="115" t="str">
        <x:v>L 350 ; l 320 ; hauteur 7,2 m ; choix de composition auteur ; dimensions réelles à documenter</x:v>
      </x:c>
      <x:c r="I2658" s="115" t="str">
        <x:v>À équilibrer</x:v>
      </x:c>
      <x:c r="J2658" s="115" t="str">
        <x:v>Non</x:v>
      </x:c>
      <x:c r="K2658" s="115" t="str">
        <x:v>Pièces décrites, murs, portes, niveaux et mobilier inspectables à l’échelle. Volumes réservés, raccord au seed, butin, rencontres et services de campagne restent à terminer.</x:v>
      </x:c>
    </x:row>
    <x:row r="2659" ht="96" customHeight="1">
      <x:c r="A2659" s="115" t="str">
        <x:v>EXT-MONDE-T054-V04</x:v>
      </x:c>
      <x:c r="B2659" s="115" t="str">
        <x:v>EXT-MONDE-T054</x:v>
      </x:c>
      <x:c r="C2659" s="115" t="str">
        <x:v>Usines</x:v>
      </x:c>
      <x:c r="D2659" s="115" t="str">
        <x:v>Usine de mécanique</x:v>
      </x:c>
      <x:c r="E2659" s="115" t="n">
        <x:v>4</x:v>
      </x:c>
      <x:c r="F2659" s="115" t="str">
        <x:v>Inspection physique</x:v>
      </x:c>
      <x:c r="G2659" s="115" t="str">
        <x:v>1 niveaux ; 40 pièces ; 303 segments de mur ; 0 transitions. Inspection physique ; architecture complète encore ouverte.</x:v>
      </x:c>
      <x:c r="H2659" s="115" t="str">
        <x:v>L 350 ; l 320 ; hauteur 7,2 m ; choix de composition auteur ; dimensions réelles à documenter</x:v>
      </x:c>
      <x:c r="I2659" s="115" t="str">
        <x:v>À équilibrer</x:v>
      </x:c>
      <x:c r="J2659" s="115" t="str">
        <x:v>Non</x:v>
      </x:c>
      <x:c r="K2659" s="115" t="str">
        <x:v>Pièces décrites, murs, portes, niveaux et mobilier inspectables à l’échelle. Volumes réservés, raccord au seed, butin, rencontres et services de campagne restent à terminer.</x:v>
      </x:c>
    </x:row>
    <x:row r="2660" ht="96" customHeight="1">
      <x:c r="A2660" s="115" t="str">
        <x:v>EXT-MONDE-T054-V05</x:v>
      </x:c>
      <x:c r="B2660" s="115" t="str">
        <x:v>EXT-MONDE-T054</x:v>
      </x:c>
      <x:c r="C2660" s="115" t="str">
        <x:v>Usines</x:v>
      </x:c>
      <x:c r="D2660" s="115" t="str">
        <x:v>Usine de mécanique</x:v>
      </x:c>
      <x:c r="E2660" s="115" t="n">
        <x:v>5</x:v>
      </x:c>
      <x:c r="F2660" s="115" t="str">
        <x:v>Inspection physique</x:v>
      </x:c>
      <x:c r="G2660" s="115" t="str">
        <x:v>1 niveaux ; 40 pièces ; 303 segments de mur ; 0 transitions. Inspection physique ; architecture complète encore ouverte.</x:v>
      </x:c>
      <x:c r="H2660" s="115" t="str">
        <x:v>L 350 ; l 320 ; hauteur 7,2 m ; choix de composition auteur ; dimensions réelles à documenter</x:v>
      </x:c>
      <x:c r="I2660" s="115" t="str">
        <x:v>À équilibrer</x:v>
      </x:c>
      <x:c r="J2660" s="115" t="str">
        <x:v>Non</x:v>
      </x:c>
      <x:c r="K2660" s="115" t="str">
        <x:v>Pièces décrites, murs, portes, niveaux et mobilier inspectables à l’échelle. Volumes réservés, raccord au seed, butin, rencontres et services de campagne restent à terminer.</x:v>
      </x:c>
    </x:row>
    <x:row r="2661" ht="96" customHeight="1">
      <x:c r="A2661" s="115" t="str">
        <x:v>EXT-MONDE-T054-V06</x:v>
      </x:c>
      <x:c r="B2661" s="115" t="str">
        <x:v>EXT-MONDE-T054</x:v>
      </x:c>
      <x:c r="C2661" s="115" t="str">
        <x:v>Usines</x:v>
      </x:c>
      <x:c r="D2661" s="115" t="str">
        <x:v>Usine de mécanique</x:v>
      </x:c>
      <x:c r="E2661" s="115" t="n">
        <x:v>6</x:v>
      </x:c>
      <x:c r="F2661" s="115" t="str">
        <x:v>Inspection physique</x:v>
      </x:c>
      <x:c r="G2661" s="115" t="str">
        <x:v>1 niveaux ; 40 pièces ; 303 segments de mur ; 0 transitions. Inspection physique ; architecture complète encore ouverte.</x:v>
      </x:c>
      <x:c r="H2661" s="115" t="str">
        <x:v>L 350 ; l 320 ; hauteur 7,2 m ; choix de composition auteur ; dimensions réelles à documenter</x:v>
      </x:c>
      <x:c r="I2661" s="115" t="str">
        <x:v>À équilibrer</x:v>
      </x:c>
      <x:c r="J2661" s="115" t="str">
        <x:v>Non</x:v>
      </x:c>
      <x:c r="K2661" s="115" t="str">
        <x:v>Pièces décrites, murs, portes, niveaux et mobilier inspectables à l’échelle. Volumes réservés, raccord au seed, butin, rencontres et services de campagne restent à terminer.</x:v>
      </x:c>
    </x:row>
    <x:row r="2662" ht="96" customHeight="1">
      <x:c r="A2662" s="115" t="str">
        <x:v>EXT-MONDE-T054-V07</x:v>
      </x:c>
      <x:c r="B2662" s="115" t="str">
        <x:v>EXT-MONDE-T054</x:v>
      </x:c>
      <x:c r="C2662" s="115" t="str">
        <x:v>Usines</x:v>
      </x:c>
      <x:c r="D2662" s="115" t="str">
        <x:v>Usine de mécanique</x:v>
      </x:c>
      <x:c r="E2662" s="115" t="n">
        <x:v>7</x:v>
      </x:c>
      <x:c r="F2662" s="115" t="str">
        <x:v>Inspection physique</x:v>
      </x:c>
      <x:c r="G2662" s="115" t="str">
        <x:v>1 niveaux ; 40 pièces ; 303 segments de mur ; 0 transitions. Inspection physique ; architecture complète encore ouverte.</x:v>
      </x:c>
      <x:c r="H2662" s="115" t="str">
        <x:v>L 350 ; l 320 ; hauteur 7,2 m ; choix de composition auteur ; dimensions réelles à documenter</x:v>
      </x:c>
      <x:c r="I2662" s="115" t="str">
        <x:v>À équilibrer</x:v>
      </x:c>
      <x:c r="J2662" s="115" t="str">
        <x:v>Non</x:v>
      </x:c>
      <x:c r="K2662" s="115" t="str">
        <x:v>Pièces décrites, murs, portes, niveaux et mobilier inspectables à l’échelle. Volumes réservés, raccord au seed, butin, rencontres et services de campagne restent à terminer.</x:v>
      </x:c>
    </x:row>
    <x:row r="2663" ht="96" customHeight="1">
      <x:c r="A2663" s="115" t="str">
        <x:v>EXT-MONDE-T054-V08</x:v>
      </x:c>
      <x:c r="B2663" s="115" t="str">
        <x:v>EXT-MONDE-T054</x:v>
      </x:c>
      <x:c r="C2663" s="115" t="str">
        <x:v>Usines</x:v>
      </x:c>
      <x:c r="D2663" s="115" t="str">
        <x:v>Usine de mécanique</x:v>
      </x:c>
      <x:c r="E2663" s="115" t="n">
        <x:v>8</x:v>
      </x:c>
      <x:c r="F2663" s="115" t="str">
        <x:v>Inspection physique</x:v>
      </x:c>
      <x:c r="G2663" s="115" t="str">
        <x:v>1 niveaux ; 40 pièces ; 303 segments de mur ; 0 transitions. Inspection physique ; architecture complète encore ouverte.</x:v>
      </x:c>
      <x:c r="H2663" s="115" t="str">
        <x:v>L 350 ; l 320 ; hauteur 7,2 m ; choix de composition auteur ; dimensions réelles à documenter</x:v>
      </x:c>
      <x:c r="I2663" s="115" t="str">
        <x:v>À équilibrer</x:v>
      </x:c>
      <x:c r="J2663" s="115" t="str">
        <x:v>Non</x:v>
      </x:c>
      <x:c r="K2663" s="115" t="str">
        <x:v>Pièces décrites, murs, portes, niveaux et mobilier inspectables à l’échelle. Volumes réservés, raccord au seed, butin, rencontres et services de campagne restent à terminer.</x:v>
      </x:c>
    </x:row>
    <x:row r="2664" ht="96" customHeight="1">
      <x:c r="A2664" s="115" t="str">
        <x:v>EXT-MONDE-T054-V09</x:v>
      </x:c>
      <x:c r="B2664" s="115" t="str">
        <x:v>EXT-MONDE-T054</x:v>
      </x:c>
      <x:c r="C2664" s="115" t="str">
        <x:v>Usines</x:v>
      </x:c>
      <x:c r="D2664" s="115" t="str">
        <x:v>Usine de mécanique</x:v>
      </x:c>
      <x:c r="E2664" s="115" t="n">
        <x:v>9</x:v>
      </x:c>
      <x:c r="F2664" s="115" t="str">
        <x:v>Inspection physique</x:v>
      </x:c>
      <x:c r="G2664" s="115" t="str">
        <x:v>1 niveaux ; 40 pièces ; 303 segments de mur ; 0 transitions. Inspection physique ; architecture complète encore ouverte.</x:v>
      </x:c>
      <x:c r="H2664" s="115" t="str">
        <x:v>L 350 ; l 320 ; hauteur 7,2 m ; choix de composition auteur ; dimensions réelles à documenter</x:v>
      </x:c>
      <x:c r="I2664" s="115" t="str">
        <x:v>À équilibrer</x:v>
      </x:c>
      <x:c r="J2664" s="115" t="str">
        <x:v>Non</x:v>
      </x:c>
      <x:c r="K2664" s="115" t="str">
        <x:v>Pièces décrites, murs, portes, niveaux et mobilier inspectables à l’échelle. Volumes réservés, raccord au seed, butin, rencontres et services de campagne restent à terminer.</x:v>
      </x:c>
    </x:row>
    <x:row r="2665" ht="96" customHeight="1">
      <x:c r="A2665" s="115" t="str">
        <x:v>EXT-MONDE-T054-V10</x:v>
      </x:c>
      <x:c r="B2665" s="115" t="str">
        <x:v>EXT-MONDE-T054</x:v>
      </x:c>
      <x:c r="C2665" s="115" t="str">
        <x:v>Usines</x:v>
      </x:c>
      <x:c r="D2665" s="115" t="str">
        <x:v>Usine de mécanique</x:v>
      </x:c>
      <x:c r="E2665" s="115" t="n">
        <x:v>10</x:v>
      </x:c>
      <x:c r="F2665" s="115" t="str">
        <x:v>Inspection physique</x:v>
      </x:c>
      <x:c r="G2665" s="115" t="str">
        <x:v>1 niveaux ; 40 pièces ; 303 segments de mur ; 0 transitions. Inspection physique ; architecture complète encore ouverte.</x:v>
      </x:c>
      <x:c r="H2665" s="115" t="str">
        <x:v>L 350 ; l 320 ; hauteur 7,2 m ; choix de composition auteur ; dimensions réelles à documenter</x:v>
      </x:c>
      <x:c r="I2665" s="115" t="str">
        <x:v>À équilibrer</x:v>
      </x:c>
      <x:c r="J2665" s="115" t="str">
        <x:v>Non</x:v>
      </x:c>
      <x:c r="K2665" s="115" t="str">
        <x:v>Pièces décrites, murs, portes, niveaux et mobilier inspectables à l’échelle. Volumes réservés, raccord au seed, butin, rencontres et services de campagne restent à terminer.</x:v>
      </x:c>
    </x:row>
    <x:row r="2666" ht="96" customHeight="1">
      <x:c r="A2666" s="115" t="str">
        <x:v>EXT-MONDE-T054-V11</x:v>
      </x:c>
      <x:c r="B2666" s="115" t="str">
        <x:v>EXT-MONDE-T054</x:v>
      </x:c>
      <x:c r="C2666" s="115" t="str">
        <x:v>Usines</x:v>
      </x:c>
      <x:c r="D2666" s="115" t="str">
        <x:v>Usine de mécanique</x:v>
      </x:c>
      <x:c r="E2666" s="115" t="n">
        <x:v>11</x:v>
      </x:c>
      <x:c r="F2666" s="115" t="str">
        <x:v>Inspection physique</x:v>
      </x:c>
      <x:c r="G2666" s="115" t="str">
        <x:v>1 niveaux ; 40 pièces ; 303 segments de mur ; 0 transitions. Inspection physique ; architecture complète encore ouverte.</x:v>
      </x:c>
      <x:c r="H2666" s="115" t="str">
        <x:v>L 368 ; l 344 ; hauteur 7,45 m ; choix de composition auteur ; dimensions réelles à documenter</x:v>
      </x:c>
      <x:c r="I2666" s="115" t="str">
        <x:v>À équilibrer</x:v>
      </x:c>
      <x:c r="J2666" s="115" t="str">
        <x:v>Non</x:v>
      </x:c>
      <x:c r="K2666" s="115" t="str">
        <x:v>Pièces décrites, murs, portes, niveaux et mobilier inspectables à l’échelle. Volumes réservés, raccord au seed, butin, rencontres et services de campagne restent à terminer.</x:v>
      </x:c>
    </x:row>
    <x:row r="2667" ht="96" customHeight="1">
      <x:c r="A2667" s="115" t="str">
        <x:v>EXT-MONDE-T054-V12</x:v>
      </x:c>
      <x:c r="B2667" s="115" t="str">
        <x:v>EXT-MONDE-T054</x:v>
      </x:c>
      <x:c r="C2667" s="115" t="str">
        <x:v>Usines</x:v>
      </x:c>
      <x:c r="D2667" s="115" t="str">
        <x:v>Usine de mécanique</x:v>
      </x:c>
      <x:c r="E2667" s="115" t="n">
        <x:v>12</x:v>
      </x:c>
      <x:c r="F2667" s="115" t="str">
        <x:v>Inspection physique</x:v>
      </x:c>
      <x:c r="G2667" s="115" t="str">
        <x:v>1 niveaux ; 40 pièces ; 303 segments de mur ; 0 transitions. Inspection physique ; architecture complète encore ouverte.</x:v>
      </x:c>
      <x:c r="H2667" s="115" t="str">
        <x:v>L 368 ; l 344 ; hauteur 7,45 m ; choix de composition auteur ; dimensions réelles à documenter</x:v>
      </x:c>
      <x:c r="I2667" s="115" t="str">
        <x:v>À équilibrer</x:v>
      </x:c>
      <x:c r="J2667" s="115" t="str">
        <x:v>Non</x:v>
      </x:c>
      <x:c r="K2667" s="115" t="str">
        <x:v>Pièces décrites, murs, portes, niveaux et mobilier inspectables à l’échelle. Volumes réservés, raccord au seed, butin, rencontres et services de campagne restent à terminer.</x:v>
      </x:c>
    </x:row>
    <x:row r="2668" ht="96" customHeight="1">
      <x:c r="A2668" s="115" t="str">
        <x:v>EXT-MONDE-T054-V13</x:v>
      </x:c>
      <x:c r="B2668" s="115" t="str">
        <x:v>EXT-MONDE-T054</x:v>
      </x:c>
      <x:c r="C2668" s="115" t="str">
        <x:v>Usines</x:v>
      </x:c>
      <x:c r="D2668" s="115" t="str">
        <x:v>Usine de mécanique</x:v>
      </x:c>
      <x:c r="E2668" s="115" t="n">
        <x:v>13</x:v>
      </x:c>
      <x:c r="F2668" s="115" t="str">
        <x:v>Inspection physique</x:v>
      </x:c>
      <x:c r="G2668" s="115" t="str">
        <x:v>1 niveaux ; 40 pièces ; 303 segments de mur ; 0 transitions. Inspection physique ; architecture complète encore ouverte.</x:v>
      </x:c>
      <x:c r="H2668" s="115" t="str">
        <x:v>L 368 ; l 344 ; hauteur 7,45 m ; choix de composition auteur ; dimensions réelles à documenter</x:v>
      </x:c>
      <x:c r="I2668" s="115" t="str">
        <x:v>À équilibrer</x:v>
      </x:c>
      <x:c r="J2668" s="115" t="str">
        <x:v>Non</x:v>
      </x:c>
      <x:c r="K2668" s="115" t="str">
        <x:v>Pièces décrites, murs, portes, niveaux et mobilier inspectables à l’échelle. Volumes réservés, raccord au seed, butin, rencontres et services de campagne restent à terminer.</x:v>
      </x:c>
    </x:row>
    <x:row r="2669" ht="96" customHeight="1">
      <x:c r="A2669" s="115" t="str">
        <x:v>EXT-MONDE-T054-V14</x:v>
      </x:c>
      <x:c r="B2669" s="115" t="str">
        <x:v>EXT-MONDE-T054</x:v>
      </x:c>
      <x:c r="C2669" s="115" t="str">
        <x:v>Usines</x:v>
      </x:c>
      <x:c r="D2669" s="115" t="str">
        <x:v>Usine de mécanique</x:v>
      </x:c>
      <x:c r="E2669" s="115" t="n">
        <x:v>14</x:v>
      </x:c>
      <x:c r="F2669" s="115" t="str">
        <x:v>Inspection physique</x:v>
      </x:c>
      <x:c r="G2669" s="115" t="str">
        <x:v>1 niveaux ; 40 pièces ; 303 segments de mur ; 0 transitions. Inspection physique ; architecture complète encore ouverte.</x:v>
      </x:c>
      <x:c r="H2669" s="115" t="str">
        <x:v>L 368 ; l 344 ; hauteur 7,45 m ; choix de composition auteur ; dimensions réelles à documenter</x:v>
      </x:c>
      <x:c r="I2669" s="115" t="str">
        <x:v>À équilibrer</x:v>
      </x:c>
      <x:c r="J2669" s="115" t="str">
        <x:v>Non</x:v>
      </x:c>
      <x:c r="K2669" s="115" t="str">
        <x:v>Pièces décrites, murs, portes, niveaux et mobilier inspectables à l’échelle. Volumes réservés, raccord au seed, butin, rencontres et services de campagne restent à terminer.</x:v>
      </x:c>
    </x:row>
    <x:row r="2670" ht="96" customHeight="1">
      <x:c r="A2670" s="115" t="str">
        <x:v>EXT-MONDE-T054-V15</x:v>
      </x:c>
      <x:c r="B2670" s="115" t="str">
        <x:v>EXT-MONDE-T054</x:v>
      </x:c>
      <x:c r="C2670" s="115" t="str">
        <x:v>Usines</x:v>
      </x:c>
      <x:c r="D2670" s="115" t="str">
        <x:v>Usine de mécanique</x:v>
      </x:c>
      <x:c r="E2670" s="115" t="n">
        <x:v>15</x:v>
      </x:c>
      <x:c r="F2670" s="115" t="str">
        <x:v>Inspection physique</x:v>
      </x:c>
      <x:c r="G2670" s="115" t="str">
        <x:v>1 niveaux ; 40 pièces ; 303 segments de mur ; 0 transitions. Inspection physique ; architecture complète encore ouverte.</x:v>
      </x:c>
      <x:c r="H2670" s="115" t="str">
        <x:v>L 368 ; l 344 ; hauteur 7,45 m ; choix de composition auteur ; dimensions réelles à documenter</x:v>
      </x:c>
      <x:c r="I2670" s="115" t="str">
        <x:v>À équilibrer</x:v>
      </x:c>
      <x:c r="J2670" s="115" t="str">
        <x:v>Non</x:v>
      </x:c>
      <x:c r="K2670" s="115" t="str">
        <x:v>Pièces décrites, murs, portes, niveaux et mobilier inspectables à l’échelle. Volumes réservés, raccord au seed, butin, rencontres et services de campagne restent à terminer.</x:v>
      </x:c>
    </x:row>
    <x:row r="2671" ht="96" customHeight="1">
      <x:c r="A2671" s="115" t="str">
        <x:v>EXT-MONDE-T054-V16</x:v>
      </x:c>
      <x:c r="B2671" s="115" t="str">
        <x:v>EXT-MONDE-T054</x:v>
      </x:c>
      <x:c r="C2671" s="115" t="str">
        <x:v>Usines</x:v>
      </x:c>
      <x:c r="D2671" s="115" t="str">
        <x:v>Usine de mécanique</x:v>
      </x:c>
      <x:c r="E2671" s="115" t="n">
        <x:v>16</x:v>
      </x:c>
      <x:c r="F2671" s="115" t="str">
        <x:v>Inspection physique</x:v>
      </x:c>
      <x:c r="G2671" s="115" t="str">
        <x:v>1 niveaux ; 40 pièces ; 303 segments de mur ; 0 transitions. Inspection physique ; architecture complète encore ouverte.</x:v>
      </x:c>
      <x:c r="H2671" s="115" t="str">
        <x:v>L 368 ; l 344 ; hauteur 7,45 m ; choix de composition auteur ; dimensions réelles à documenter</x:v>
      </x:c>
      <x:c r="I2671" s="115" t="str">
        <x:v>À équilibrer</x:v>
      </x:c>
      <x:c r="J2671" s="115" t="str">
        <x:v>Non</x:v>
      </x:c>
      <x:c r="K2671" s="115" t="str">
        <x:v>Pièces décrites, murs, portes, niveaux et mobilier inspectables à l’échelle. Volumes réservés, raccord au seed, butin, rencontres et services de campagne restent à terminer.</x:v>
      </x:c>
    </x:row>
    <x:row r="2672" ht="96" customHeight="1">
      <x:c r="A2672" s="115" t="str">
        <x:v>EXT-MONDE-T054-V17</x:v>
      </x:c>
      <x:c r="B2672" s="115" t="str">
        <x:v>EXT-MONDE-T054</x:v>
      </x:c>
      <x:c r="C2672" s="115" t="str">
        <x:v>Usines</x:v>
      </x:c>
      <x:c r="D2672" s="115" t="str">
        <x:v>Usine de mécanique</x:v>
      </x:c>
      <x:c r="E2672" s="115" t="n">
        <x:v>17</x:v>
      </x:c>
      <x:c r="F2672" s="115" t="str">
        <x:v>Inspection physique</x:v>
      </x:c>
      <x:c r="G2672" s="115" t="str">
        <x:v>1 niveaux ; 40 pièces ; 303 segments de mur ; 0 transitions. Inspection physique ; architecture complète encore ouverte.</x:v>
      </x:c>
      <x:c r="H2672" s="115" t="str">
        <x:v>L 368 ; l 344 ; hauteur 7,45 m ; choix de composition auteur ; dimensions réelles à documenter</x:v>
      </x:c>
      <x:c r="I2672" s="115" t="str">
        <x:v>À équilibrer</x:v>
      </x:c>
      <x:c r="J2672" s="115" t="str">
        <x:v>Non</x:v>
      </x:c>
      <x:c r="K2672" s="115" t="str">
        <x:v>Pièces décrites, murs, portes, niveaux et mobilier inspectables à l’échelle. Volumes réservés, raccord au seed, butin, rencontres et services de campagne restent à terminer.</x:v>
      </x:c>
    </x:row>
    <x:row r="2673" ht="96" customHeight="1">
      <x:c r="A2673" s="115" t="str">
        <x:v>EXT-MONDE-T054-V18</x:v>
      </x:c>
      <x:c r="B2673" s="115" t="str">
        <x:v>EXT-MONDE-T054</x:v>
      </x:c>
      <x:c r="C2673" s="115" t="str">
        <x:v>Usines</x:v>
      </x:c>
      <x:c r="D2673" s="115" t="str">
        <x:v>Usine de mécanique</x:v>
      </x:c>
      <x:c r="E2673" s="115" t="n">
        <x:v>18</x:v>
      </x:c>
      <x:c r="F2673" s="115" t="str">
        <x:v>Inspection physique</x:v>
      </x:c>
      <x:c r="G2673" s="115" t="str">
        <x:v>1 niveaux ; 40 pièces ; 303 segments de mur ; 0 transitions. Inspection physique ; architecture complète encore ouverte.</x:v>
      </x:c>
      <x:c r="H2673" s="115" t="str">
        <x:v>L 368 ; l 344 ; hauteur 7,45 m ; choix de composition auteur ; dimensions réelles à documenter</x:v>
      </x:c>
      <x:c r="I2673" s="115" t="str">
        <x:v>À équilibrer</x:v>
      </x:c>
      <x:c r="J2673" s="115" t="str">
        <x:v>Non</x:v>
      </x:c>
      <x:c r="K2673" s="115" t="str">
        <x:v>Pièces décrites, murs, portes, niveaux et mobilier inspectables à l’échelle. Volumes réservés, raccord au seed, butin, rencontres et services de campagne restent à terminer.</x:v>
      </x:c>
    </x:row>
    <x:row r="2674" ht="96" customHeight="1">
      <x:c r="A2674" s="115" t="str">
        <x:v>EXT-MONDE-T054-V19</x:v>
      </x:c>
      <x:c r="B2674" s="115" t="str">
        <x:v>EXT-MONDE-T054</x:v>
      </x:c>
      <x:c r="C2674" s="115" t="str">
        <x:v>Usines</x:v>
      </x:c>
      <x:c r="D2674" s="115" t="str">
        <x:v>Usine de mécanique</x:v>
      </x:c>
      <x:c r="E2674" s="115" t="n">
        <x:v>19</x:v>
      </x:c>
      <x:c r="F2674" s="115" t="str">
        <x:v>Inspection physique</x:v>
      </x:c>
      <x:c r="G2674" s="115" t="str">
        <x:v>1 niveaux ; 40 pièces ; 303 segments de mur ; 0 transitions. Inspection physique ; architecture complète encore ouverte.</x:v>
      </x:c>
      <x:c r="H2674" s="115" t="str">
        <x:v>L 368 ; l 344 ; hauteur 7,45 m ; choix de composition auteur ; dimensions réelles à documenter</x:v>
      </x:c>
      <x:c r="I2674" s="115" t="str">
        <x:v>À équilibrer</x:v>
      </x:c>
      <x:c r="J2674" s="115" t="str">
        <x:v>Non</x:v>
      </x:c>
      <x:c r="K2674" s="115" t="str">
        <x:v>Pièces décrites, murs, portes, niveaux et mobilier inspectables à l’échelle. Volumes réservés, raccord au seed, butin, rencontres et services de campagne restent à terminer.</x:v>
      </x:c>
    </x:row>
    <x:row r="2675" ht="96" customHeight="1">
      <x:c r="A2675" s="115" t="str">
        <x:v>EXT-MONDE-T054-V20</x:v>
      </x:c>
      <x:c r="B2675" s="115" t="str">
        <x:v>EXT-MONDE-T054</x:v>
      </x:c>
      <x:c r="C2675" s="115" t="str">
        <x:v>Usines</x:v>
      </x:c>
      <x:c r="D2675" s="115" t="str">
        <x:v>Usine de mécanique</x:v>
      </x:c>
      <x:c r="E2675" s="115" t="n">
        <x:v>20</x:v>
      </x:c>
      <x:c r="F2675" s="115" t="str">
        <x:v>Inspection physique</x:v>
      </x:c>
      <x:c r="G2675" s="115" t="str">
        <x:v>1 niveaux ; 40 pièces ; 303 segments de mur ; 0 transitions. Inspection physique ; architecture complète encore ouverte.</x:v>
      </x:c>
      <x:c r="H2675" s="115" t="str">
        <x:v>L 368 ; l 344 ; hauteur 7,45 m ; choix de composition auteur ; dimensions réelles à documenter</x:v>
      </x:c>
      <x:c r="I2675" s="115" t="str">
        <x:v>À équilibrer</x:v>
      </x:c>
      <x:c r="J2675" s="115" t="str">
        <x:v>Non</x:v>
      </x:c>
      <x:c r="K2675" s="115" t="str">
        <x:v>Pièces décrites, murs, portes, niveaux et mobilier inspectables à l’échelle. Volumes réservés, raccord au seed, butin, rencontres et services de campagne restent à terminer.</x:v>
      </x:c>
    </x:row>
    <x:row r="2676" ht="96" customHeight="1">
      <x:c r="A2676" s="115" t="str">
        <x:v>EXT-MONDE-T054-V21</x:v>
      </x:c>
      <x:c r="B2676" s="115" t="str">
        <x:v>EXT-MONDE-T054</x:v>
      </x:c>
      <x:c r="C2676" s="115" t="str">
        <x:v>Usines</x:v>
      </x:c>
      <x:c r="D2676" s="115" t="str">
        <x:v>Usine de mécanique</x:v>
      </x:c>
      <x:c r="E2676" s="115" t="n">
        <x:v>21</x:v>
      </x:c>
      <x:c r="F2676" s="115" t="str">
        <x:v>Inspection physique</x:v>
      </x:c>
      <x:c r="G2676" s="115" t="str">
        <x:v>1 niveaux ; 40 pièces ; 303 segments de mur ; 0 transitions. Inspection physique ; architecture complète encore ouverte.</x:v>
      </x:c>
      <x:c r="H2676" s="115" t="str">
        <x:v>L 386 ; l 368 ; hauteur 7,7 m ; choix de composition auteur ; dimensions réelles à documenter</x:v>
      </x:c>
      <x:c r="I2676" s="115" t="str">
        <x:v>À équilibrer</x:v>
      </x:c>
      <x:c r="J2676" s="115" t="str">
        <x:v>Non</x:v>
      </x:c>
      <x:c r="K2676" s="115" t="str">
        <x:v>Pièces décrites, murs, portes, niveaux et mobilier inspectables à l’échelle. Volumes réservés, raccord au seed, butin, rencontres et services de campagne restent à terminer.</x:v>
      </x:c>
    </x:row>
    <x:row r="2677" ht="96" customHeight="1">
      <x:c r="A2677" s="115" t="str">
        <x:v>EXT-MONDE-T054-V22</x:v>
      </x:c>
      <x:c r="B2677" s="115" t="str">
        <x:v>EXT-MONDE-T054</x:v>
      </x:c>
      <x:c r="C2677" s="115" t="str">
        <x:v>Usines</x:v>
      </x:c>
      <x:c r="D2677" s="115" t="str">
        <x:v>Usine de mécanique</x:v>
      </x:c>
      <x:c r="E2677" s="115" t="n">
        <x:v>22</x:v>
      </x:c>
      <x:c r="F2677" s="115" t="str">
        <x:v>Inspection physique</x:v>
      </x:c>
      <x:c r="G2677" s="115" t="str">
        <x:v>1 niveaux ; 40 pièces ; 303 segments de mur ; 0 transitions. Inspection physique ; architecture complète encore ouverte.</x:v>
      </x:c>
      <x:c r="H2677" s="115" t="str">
        <x:v>L 386 ; l 368 ; hauteur 7,7 m ; choix de composition auteur ; dimensions réelles à documenter</x:v>
      </x:c>
      <x:c r="I2677" s="115" t="str">
        <x:v>À équilibrer</x:v>
      </x:c>
      <x:c r="J2677" s="115" t="str">
        <x:v>Non</x:v>
      </x:c>
      <x:c r="K2677" s="115" t="str">
        <x:v>Pièces décrites, murs, portes, niveaux et mobilier inspectables à l’échelle. Volumes réservés, raccord au seed, butin, rencontres et services de campagne restent à terminer.</x:v>
      </x:c>
    </x:row>
    <x:row r="2678" ht="96" customHeight="1">
      <x:c r="A2678" s="115" t="str">
        <x:v>EXT-MONDE-T054-V23</x:v>
      </x:c>
      <x:c r="B2678" s="115" t="str">
        <x:v>EXT-MONDE-T054</x:v>
      </x:c>
      <x:c r="C2678" s="115" t="str">
        <x:v>Usines</x:v>
      </x:c>
      <x:c r="D2678" s="115" t="str">
        <x:v>Usine de mécanique</x:v>
      </x:c>
      <x:c r="E2678" s="115" t="n">
        <x:v>23</x:v>
      </x:c>
      <x:c r="F2678" s="115" t="str">
        <x:v>Inspection physique</x:v>
      </x:c>
      <x:c r="G2678" s="115" t="str">
        <x:v>1 niveaux ; 40 pièces ; 303 segments de mur ; 0 transitions. Inspection physique ; architecture complète encore ouverte.</x:v>
      </x:c>
      <x:c r="H2678" s="115" t="str">
        <x:v>L 386 ; l 368 ; hauteur 7,7 m ; choix de composition auteur ; dimensions réelles à documenter</x:v>
      </x:c>
      <x:c r="I2678" s="115" t="str">
        <x:v>À équilibrer</x:v>
      </x:c>
      <x:c r="J2678" s="115" t="str">
        <x:v>Non</x:v>
      </x:c>
      <x:c r="K2678" s="115" t="str">
        <x:v>Pièces décrites, murs, portes, niveaux et mobilier inspectables à l’échelle. Volumes réservés, raccord au seed, butin, rencontres et services de campagne restent à terminer.</x:v>
      </x:c>
    </x:row>
    <x:row r="2679" ht="96" customHeight="1">
      <x:c r="A2679" s="115" t="str">
        <x:v>EXT-MONDE-T054-V24</x:v>
      </x:c>
      <x:c r="B2679" s="115" t="str">
        <x:v>EXT-MONDE-T054</x:v>
      </x:c>
      <x:c r="C2679" s="115" t="str">
        <x:v>Usines</x:v>
      </x:c>
      <x:c r="D2679" s="115" t="str">
        <x:v>Usine de mécanique</x:v>
      </x:c>
      <x:c r="E2679" s="115" t="n">
        <x:v>24</x:v>
      </x:c>
      <x:c r="F2679" s="115" t="str">
        <x:v>Inspection physique</x:v>
      </x:c>
      <x:c r="G2679" s="115" t="str">
        <x:v>1 niveaux ; 40 pièces ; 303 segments de mur ; 0 transitions. Inspection physique ; architecture complète encore ouverte.</x:v>
      </x:c>
      <x:c r="H2679" s="115" t="str">
        <x:v>L 386 ; l 368 ; hauteur 7,7 m ; choix de composition auteur ; dimensions réelles à documenter</x:v>
      </x:c>
      <x:c r="I2679" s="115" t="str">
        <x:v>À équilibrer</x:v>
      </x:c>
      <x:c r="J2679" s="115" t="str">
        <x:v>Non</x:v>
      </x:c>
      <x:c r="K2679" s="115" t="str">
        <x:v>Pièces décrites, murs, portes, niveaux et mobilier inspectables à l’échelle. Volumes réservés, raccord au seed, butin, rencontres et services de campagne restent à terminer.</x:v>
      </x:c>
    </x:row>
    <x:row r="2680" ht="96" customHeight="1">
      <x:c r="A2680" s="115" t="str">
        <x:v>EXT-MONDE-T054-V25</x:v>
      </x:c>
      <x:c r="B2680" s="115" t="str">
        <x:v>EXT-MONDE-T054</x:v>
      </x:c>
      <x:c r="C2680" s="115" t="str">
        <x:v>Usines</x:v>
      </x:c>
      <x:c r="D2680" s="115" t="str">
        <x:v>Usine de mécanique</x:v>
      </x:c>
      <x:c r="E2680" s="115" t="n">
        <x:v>25</x:v>
      </x:c>
      <x:c r="F2680" s="115" t="str">
        <x:v>Inspection physique</x:v>
      </x:c>
      <x:c r="G2680" s="115" t="str">
        <x:v>1 niveaux ; 40 pièces ; 303 segments de mur ; 0 transitions. Inspection physique ; architecture complète encore ouverte.</x:v>
      </x:c>
      <x:c r="H2680" s="115" t="str">
        <x:v>L 386 ; l 368 ; hauteur 7,7 m ; choix de composition auteur ; dimensions réelles à documenter</x:v>
      </x:c>
      <x:c r="I2680" s="115" t="str">
        <x:v>À équilibrer</x:v>
      </x:c>
      <x:c r="J2680" s="115" t="str">
        <x:v>Non</x:v>
      </x:c>
      <x:c r="K2680" s="115" t="str">
        <x:v>Pièces décrites, murs, portes, niveaux et mobilier inspectables à l’échelle. Volumes réservés, raccord au seed, butin, rencontres et services de campagne restent à terminer.</x:v>
      </x:c>
    </x:row>
    <x:row r="2681" ht="96" customHeight="1">
      <x:c r="A2681" s="115" t="str">
        <x:v>EXT-MONDE-T054-V26</x:v>
      </x:c>
      <x:c r="B2681" s="115" t="str">
        <x:v>EXT-MONDE-T054</x:v>
      </x:c>
      <x:c r="C2681" s="115" t="str">
        <x:v>Usines</x:v>
      </x:c>
      <x:c r="D2681" s="115" t="str">
        <x:v>Usine de mécanique</x:v>
      </x:c>
      <x:c r="E2681" s="115" t="n">
        <x:v>26</x:v>
      </x:c>
      <x:c r="F2681" s="115" t="str">
        <x:v>Inspection physique</x:v>
      </x:c>
      <x:c r="G2681" s="115" t="str">
        <x:v>1 niveaux ; 40 pièces ; 303 segments de mur ; 0 transitions. Inspection physique ; architecture complète encore ouverte.</x:v>
      </x:c>
      <x:c r="H2681" s="115" t="str">
        <x:v>L 386 ; l 368 ; hauteur 7,7 m ; choix de composition auteur ; dimensions réelles à documenter</x:v>
      </x:c>
      <x:c r="I2681" s="115" t="str">
        <x:v>À équilibrer</x:v>
      </x:c>
      <x:c r="J2681" s="115" t="str">
        <x:v>Non</x:v>
      </x:c>
      <x:c r="K2681" s="115" t="str">
        <x:v>Pièces décrites, murs, portes, niveaux et mobilier inspectables à l’échelle. Volumes réservés, raccord au seed, butin, rencontres et services de campagne restent à terminer.</x:v>
      </x:c>
    </x:row>
    <x:row r="2682" ht="96" customHeight="1">
      <x:c r="A2682" s="115" t="str">
        <x:v>EXT-MONDE-T054-V27</x:v>
      </x:c>
      <x:c r="B2682" s="115" t="str">
        <x:v>EXT-MONDE-T054</x:v>
      </x:c>
      <x:c r="C2682" s="115" t="str">
        <x:v>Usines</x:v>
      </x:c>
      <x:c r="D2682" s="115" t="str">
        <x:v>Usine de mécanique</x:v>
      </x:c>
      <x:c r="E2682" s="115" t="n">
        <x:v>27</x:v>
      </x:c>
      <x:c r="F2682" s="115" t="str">
        <x:v>Inspection physique</x:v>
      </x:c>
      <x:c r="G2682" s="115" t="str">
        <x:v>1 niveaux ; 40 pièces ; 303 segments de mur ; 0 transitions. Inspection physique ; architecture complète encore ouverte.</x:v>
      </x:c>
      <x:c r="H2682" s="115" t="str">
        <x:v>L 386 ; l 368 ; hauteur 7,7 m ; choix de composition auteur ; dimensions réelles à documenter</x:v>
      </x:c>
      <x:c r="I2682" s="115" t="str">
        <x:v>À équilibrer</x:v>
      </x:c>
      <x:c r="J2682" s="115" t="str">
        <x:v>Non</x:v>
      </x:c>
      <x:c r="K2682" s="115" t="str">
        <x:v>Pièces décrites, murs, portes, niveaux et mobilier inspectables à l’échelle. Volumes réservés, raccord au seed, butin, rencontres et services de campagne restent à terminer.</x:v>
      </x:c>
    </x:row>
    <x:row r="2683" ht="96" customHeight="1">
      <x:c r="A2683" s="115" t="str">
        <x:v>EXT-MONDE-T054-V28</x:v>
      </x:c>
      <x:c r="B2683" s="115" t="str">
        <x:v>EXT-MONDE-T054</x:v>
      </x:c>
      <x:c r="C2683" s="115" t="str">
        <x:v>Usines</x:v>
      </x:c>
      <x:c r="D2683" s="115" t="str">
        <x:v>Usine de mécanique</x:v>
      </x:c>
      <x:c r="E2683" s="115" t="n">
        <x:v>28</x:v>
      </x:c>
      <x:c r="F2683" s="115" t="str">
        <x:v>Inspection physique</x:v>
      </x:c>
      <x:c r="G2683" s="115" t="str">
        <x:v>1 niveaux ; 40 pièces ; 303 segments de mur ; 0 transitions. Inspection physique ; architecture complète encore ouverte.</x:v>
      </x:c>
      <x:c r="H2683" s="115" t="str">
        <x:v>L 386 ; l 368 ; hauteur 7,7 m ; choix de composition auteur ; dimensions réelles à documenter</x:v>
      </x:c>
      <x:c r="I2683" s="115" t="str">
        <x:v>À équilibrer</x:v>
      </x:c>
      <x:c r="J2683" s="115" t="str">
        <x:v>Non</x:v>
      </x:c>
      <x:c r="K2683" s="115" t="str">
        <x:v>Pièces décrites, murs, portes, niveaux et mobilier inspectables à l’échelle. Volumes réservés, raccord au seed, butin, rencontres et services de campagne restent à terminer.</x:v>
      </x:c>
    </x:row>
    <x:row r="2684" ht="96" customHeight="1">
      <x:c r="A2684" s="115" t="str">
        <x:v>EXT-MONDE-T054-V29</x:v>
      </x:c>
      <x:c r="B2684" s="115" t="str">
        <x:v>EXT-MONDE-T054</x:v>
      </x:c>
      <x:c r="C2684" s="115" t="str">
        <x:v>Usines</x:v>
      </x:c>
      <x:c r="D2684" s="115" t="str">
        <x:v>Usine de mécanique</x:v>
      </x:c>
      <x:c r="E2684" s="115" t="n">
        <x:v>29</x:v>
      </x:c>
      <x:c r="F2684" s="115" t="str">
        <x:v>Inspection physique</x:v>
      </x:c>
      <x:c r="G2684" s="115" t="str">
        <x:v>1 niveaux ; 40 pièces ; 303 segments de mur ; 0 transitions. Inspection physique ; architecture complète encore ouverte.</x:v>
      </x:c>
      <x:c r="H2684" s="115" t="str">
        <x:v>L 386 ; l 368 ; hauteur 7,7 m ; choix de composition auteur ; dimensions réelles à documenter</x:v>
      </x:c>
      <x:c r="I2684" s="115" t="str">
        <x:v>À équilibrer</x:v>
      </x:c>
      <x:c r="J2684" s="115" t="str">
        <x:v>Non</x:v>
      </x:c>
      <x:c r="K2684" s="115" t="str">
        <x:v>Pièces décrites, murs, portes, niveaux et mobilier inspectables à l’échelle. Volumes réservés, raccord au seed, butin, rencontres et services de campagne restent à terminer.</x:v>
      </x:c>
    </x:row>
    <x:row r="2685" ht="96" customHeight="1">
      <x:c r="A2685" s="115" t="str">
        <x:v>EXT-MONDE-T054-V30</x:v>
      </x:c>
      <x:c r="B2685" s="115" t="str">
        <x:v>EXT-MONDE-T054</x:v>
      </x:c>
      <x:c r="C2685" s="115" t="str">
        <x:v>Usines</x:v>
      </x:c>
      <x:c r="D2685" s="115" t="str">
        <x:v>Usine de mécanique</x:v>
      </x:c>
      <x:c r="E2685" s="115" t="n">
        <x:v>30</x:v>
      </x:c>
      <x:c r="F2685" s="115" t="str">
        <x:v>Inspection physique</x:v>
      </x:c>
      <x:c r="G2685" s="115" t="str">
        <x:v>1 niveaux ; 40 pièces ; 303 segments de mur ; 0 transitions. Inspection physique ; architecture complète encore ouverte.</x:v>
      </x:c>
      <x:c r="H2685" s="115" t="str">
        <x:v>L 386 ; l 368 ; hauteur 7,7 m ; choix de composition auteur ; dimensions réelles à documenter</x:v>
      </x:c>
      <x:c r="I2685" s="115" t="str">
        <x:v>À équilibrer</x:v>
      </x:c>
      <x:c r="J2685" s="115" t="str">
        <x:v>Non</x:v>
      </x:c>
      <x:c r="K2685" s="115" t="str">
        <x:v>Pièces décrites, murs, portes, niveaux et mobilier inspectables à l’échelle. Volumes réservés, raccord au seed, butin, rencontres et services de campagne restent à terminer.</x:v>
      </x:c>
    </x:row>
    <x:row r="2686" ht="96" customHeight="1">
      <x:c r="A2686" s="115" t="str">
        <x:v>EXT-MONDE-T054-V31</x:v>
      </x:c>
      <x:c r="B2686" s="115" t="str">
        <x:v>EXT-MONDE-T054</x:v>
      </x:c>
      <x:c r="C2686" s="115" t="str">
        <x:v>Usines</x:v>
      </x:c>
      <x:c r="D2686" s="115" t="str">
        <x:v>Usine de mécanique</x:v>
      </x:c>
      <x:c r="E2686" s="115" t="n">
        <x:v>31</x:v>
      </x:c>
      <x:c r="F2686" s="115" t="str">
        <x:v>Inspection physique</x:v>
      </x:c>
      <x:c r="G2686" s="115" t="str">
        <x:v>1 niveaux ; 40 pièces ; 303 segments de mur ; 0 transitions. Inspection physique ; architecture complète encore ouverte.</x:v>
      </x:c>
      <x:c r="H2686" s="115" t="str">
        <x:v>L 404 ; l 392 ; hauteur 7,95 m ; choix de composition auteur ; dimensions réelles à documenter</x:v>
      </x:c>
      <x:c r="I2686" s="115" t="str">
        <x:v>À équilibrer</x:v>
      </x:c>
      <x:c r="J2686" s="115" t="str">
        <x:v>Non</x:v>
      </x:c>
      <x:c r="K2686" s="115" t="str">
        <x:v>Pièces décrites, murs, portes, niveaux et mobilier inspectables à l’échelle. Volumes réservés, raccord au seed, butin, rencontres et services de campagne restent à terminer.</x:v>
      </x:c>
    </x:row>
    <x:row r="2687" ht="96" customHeight="1">
      <x:c r="A2687" s="115" t="str">
        <x:v>EXT-MONDE-T054-V32</x:v>
      </x:c>
      <x:c r="B2687" s="115" t="str">
        <x:v>EXT-MONDE-T054</x:v>
      </x:c>
      <x:c r="C2687" s="115" t="str">
        <x:v>Usines</x:v>
      </x:c>
      <x:c r="D2687" s="115" t="str">
        <x:v>Usine de mécanique</x:v>
      </x:c>
      <x:c r="E2687" s="115" t="n">
        <x:v>32</x:v>
      </x:c>
      <x:c r="F2687" s="115" t="str">
        <x:v>Inspection physique</x:v>
      </x:c>
      <x:c r="G2687" s="115" t="str">
        <x:v>1 niveaux ; 40 pièces ; 303 segments de mur ; 0 transitions. Inspection physique ; architecture complète encore ouverte.</x:v>
      </x:c>
      <x:c r="H2687" s="115" t="str">
        <x:v>L 404 ; l 392 ; hauteur 7,95 m ; choix de composition auteur ; dimensions réelles à documenter</x:v>
      </x:c>
      <x:c r="I2687" s="115" t="str">
        <x:v>À équilibrer</x:v>
      </x:c>
      <x:c r="J2687" s="115" t="str">
        <x:v>Non</x:v>
      </x:c>
      <x:c r="K2687" s="115" t="str">
        <x:v>Pièces décrites, murs, portes, niveaux et mobilier inspectables à l’échelle. Volumes réservés, raccord au seed, butin, rencontres et services de campagne restent à terminer.</x:v>
      </x:c>
    </x:row>
    <x:row r="2688" ht="96" customHeight="1">
      <x:c r="A2688" s="115" t="str">
        <x:v>EXT-MONDE-T054-V33</x:v>
      </x:c>
      <x:c r="B2688" s="115" t="str">
        <x:v>EXT-MONDE-T054</x:v>
      </x:c>
      <x:c r="C2688" s="115" t="str">
        <x:v>Usines</x:v>
      </x:c>
      <x:c r="D2688" s="115" t="str">
        <x:v>Usine de mécanique</x:v>
      </x:c>
      <x:c r="E2688" s="115" t="n">
        <x:v>33</x:v>
      </x:c>
      <x:c r="F2688" s="115" t="str">
        <x:v>Inspection physique</x:v>
      </x:c>
      <x:c r="G2688" s="115" t="str">
        <x:v>1 niveaux ; 40 pièces ; 303 segments de mur ; 0 transitions. Inspection physique ; architecture complète encore ouverte.</x:v>
      </x:c>
      <x:c r="H2688" s="115" t="str">
        <x:v>L 404 ; l 392 ; hauteur 7,95 m ; choix de composition auteur ; dimensions réelles à documenter</x:v>
      </x:c>
      <x:c r="I2688" s="115" t="str">
        <x:v>À équilibrer</x:v>
      </x:c>
      <x:c r="J2688" s="115" t="str">
        <x:v>Non</x:v>
      </x:c>
      <x:c r="K2688" s="115" t="str">
        <x:v>Pièces décrites, murs, portes, niveaux et mobilier inspectables à l’échelle. Volumes réservés, raccord au seed, butin, rencontres et services de campagne restent à terminer.</x:v>
      </x:c>
    </x:row>
    <x:row r="2689" ht="96" customHeight="1">
      <x:c r="A2689" s="115" t="str">
        <x:v>EXT-MONDE-T054-V34</x:v>
      </x:c>
      <x:c r="B2689" s="115" t="str">
        <x:v>EXT-MONDE-T054</x:v>
      </x:c>
      <x:c r="C2689" s="115" t="str">
        <x:v>Usines</x:v>
      </x:c>
      <x:c r="D2689" s="115" t="str">
        <x:v>Usine de mécanique</x:v>
      </x:c>
      <x:c r="E2689" s="115" t="n">
        <x:v>34</x:v>
      </x:c>
      <x:c r="F2689" s="115" t="str">
        <x:v>Inspection physique</x:v>
      </x:c>
      <x:c r="G2689" s="115" t="str">
        <x:v>1 niveaux ; 40 pièces ; 303 segments de mur ; 0 transitions. Inspection physique ; architecture complète encore ouverte.</x:v>
      </x:c>
      <x:c r="H2689" s="115" t="str">
        <x:v>L 404 ; l 392 ; hauteur 7,95 m ; choix de composition auteur ; dimensions réelles à documenter</x:v>
      </x:c>
      <x:c r="I2689" s="115" t="str">
        <x:v>À équilibrer</x:v>
      </x:c>
      <x:c r="J2689" s="115" t="str">
        <x:v>Non</x:v>
      </x:c>
      <x:c r="K2689" s="115" t="str">
        <x:v>Pièces décrites, murs, portes, niveaux et mobilier inspectables à l’échelle. Volumes réservés, raccord au seed, butin, rencontres et services de campagne restent à terminer.</x:v>
      </x:c>
    </x:row>
    <x:row r="2690" ht="96" customHeight="1">
      <x:c r="A2690" s="115" t="str">
        <x:v>EXT-MONDE-T054-V35</x:v>
      </x:c>
      <x:c r="B2690" s="115" t="str">
        <x:v>EXT-MONDE-T054</x:v>
      </x:c>
      <x:c r="C2690" s="115" t="str">
        <x:v>Usines</x:v>
      </x:c>
      <x:c r="D2690" s="115" t="str">
        <x:v>Usine de mécanique</x:v>
      </x:c>
      <x:c r="E2690" s="115" t="n">
        <x:v>35</x:v>
      </x:c>
      <x:c r="F2690" s="115" t="str">
        <x:v>Inspection physique</x:v>
      </x:c>
      <x:c r="G2690" s="115" t="str">
        <x:v>1 niveaux ; 40 pièces ; 303 segments de mur ; 0 transitions. Inspection physique ; architecture complète encore ouverte.</x:v>
      </x:c>
      <x:c r="H2690" s="115" t="str">
        <x:v>L 404 ; l 392 ; hauteur 7,95 m ; choix de composition auteur ; dimensions réelles à documenter</x:v>
      </x:c>
      <x:c r="I2690" s="115" t="str">
        <x:v>À équilibrer</x:v>
      </x:c>
      <x:c r="J2690" s="115" t="str">
        <x:v>Non</x:v>
      </x:c>
      <x:c r="K2690" s="115" t="str">
        <x:v>Pièces décrites, murs, portes, niveaux et mobilier inspectables à l’échelle. Volumes réservés, raccord au seed, butin, rencontres et services de campagne restent à terminer.</x:v>
      </x:c>
    </x:row>
    <x:row r="2691" ht="96" customHeight="1">
      <x:c r="A2691" s="115" t="str">
        <x:v>EXT-MONDE-T054-V36</x:v>
      </x:c>
      <x:c r="B2691" s="115" t="str">
        <x:v>EXT-MONDE-T054</x:v>
      </x:c>
      <x:c r="C2691" s="115" t="str">
        <x:v>Usines</x:v>
      </x:c>
      <x:c r="D2691" s="115" t="str">
        <x:v>Usine de mécanique</x:v>
      </x:c>
      <x:c r="E2691" s="115" t="n">
        <x:v>36</x:v>
      </x:c>
      <x:c r="F2691" s="115" t="str">
        <x:v>Inspection physique</x:v>
      </x:c>
      <x:c r="G2691" s="115" t="str">
        <x:v>1 niveaux ; 40 pièces ; 303 segments de mur ; 0 transitions. Inspection physique ; architecture complète encore ouverte.</x:v>
      </x:c>
      <x:c r="H2691" s="115" t="str">
        <x:v>L 404 ; l 392 ; hauteur 7,95 m ; choix de composition auteur ; dimensions réelles à documenter</x:v>
      </x:c>
      <x:c r="I2691" s="115" t="str">
        <x:v>À équilibrer</x:v>
      </x:c>
      <x:c r="J2691" s="115" t="str">
        <x:v>Non</x:v>
      </x:c>
      <x:c r="K2691" s="115" t="str">
        <x:v>Pièces décrites, murs, portes, niveaux et mobilier inspectables à l’échelle. Volumes réservés, raccord au seed, butin, rencontres et services de campagne restent à terminer.</x:v>
      </x:c>
    </x:row>
    <x:row r="2692" ht="96" customHeight="1">
      <x:c r="A2692" s="115" t="str">
        <x:v>EXT-MONDE-T054-V37</x:v>
      </x:c>
      <x:c r="B2692" s="115" t="str">
        <x:v>EXT-MONDE-T054</x:v>
      </x:c>
      <x:c r="C2692" s="115" t="str">
        <x:v>Usines</x:v>
      </x:c>
      <x:c r="D2692" s="115" t="str">
        <x:v>Usine de mécanique</x:v>
      </x:c>
      <x:c r="E2692" s="115" t="n">
        <x:v>37</x:v>
      </x:c>
      <x:c r="F2692" s="115" t="str">
        <x:v>Inspection physique</x:v>
      </x:c>
      <x:c r="G2692" s="115" t="str">
        <x:v>1 niveaux ; 40 pièces ; 303 segments de mur ; 0 transitions. Inspection physique ; architecture complète encore ouverte.</x:v>
      </x:c>
      <x:c r="H2692" s="115" t="str">
        <x:v>L 404 ; l 392 ; hauteur 7,95 m ; choix de composition auteur ; dimensions réelles à documenter</x:v>
      </x:c>
      <x:c r="I2692" s="115" t="str">
        <x:v>À équilibrer</x:v>
      </x:c>
      <x:c r="J2692" s="115" t="str">
        <x:v>Non</x:v>
      </x:c>
      <x:c r="K2692" s="115" t="str">
        <x:v>Pièces décrites, murs, portes, niveaux et mobilier inspectables à l’échelle. Volumes réservés, raccord au seed, butin, rencontres et services de campagne restent à terminer.</x:v>
      </x:c>
    </x:row>
    <x:row r="2693" ht="96" customHeight="1">
      <x:c r="A2693" s="115" t="str">
        <x:v>EXT-MONDE-T054-V38</x:v>
      </x:c>
      <x:c r="B2693" s="115" t="str">
        <x:v>EXT-MONDE-T054</x:v>
      </x:c>
      <x:c r="C2693" s="115" t="str">
        <x:v>Usines</x:v>
      </x:c>
      <x:c r="D2693" s="115" t="str">
        <x:v>Usine de mécanique</x:v>
      </x:c>
      <x:c r="E2693" s="115" t="n">
        <x:v>38</x:v>
      </x:c>
      <x:c r="F2693" s="115" t="str">
        <x:v>Inspection physique</x:v>
      </x:c>
      <x:c r="G2693" s="115" t="str">
        <x:v>1 niveaux ; 40 pièces ; 303 segments de mur ; 0 transitions. Inspection physique ; architecture complète encore ouverte.</x:v>
      </x:c>
      <x:c r="H2693" s="115" t="str">
        <x:v>L 404 ; l 392 ; hauteur 7,95 m ; choix de composition auteur ; dimensions réelles à documenter</x:v>
      </x:c>
      <x:c r="I2693" s="115" t="str">
        <x:v>À équilibrer</x:v>
      </x:c>
      <x:c r="J2693" s="115" t="str">
        <x:v>Non</x:v>
      </x:c>
      <x:c r="K2693" s="115" t="str">
        <x:v>Pièces décrites, murs, portes, niveaux et mobilier inspectables à l’échelle. Volumes réservés, raccord au seed, butin, rencontres et services de campagne restent à terminer.</x:v>
      </x:c>
    </x:row>
    <x:row r="2694" ht="96" customHeight="1">
      <x:c r="A2694" s="115" t="str">
        <x:v>EXT-MONDE-T054-V39</x:v>
      </x:c>
      <x:c r="B2694" s="115" t="str">
        <x:v>EXT-MONDE-T054</x:v>
      </x:c>
      <x:c r="C2694" s="115" t="str">
        <x:v>Usines</x:v>
      </x:c>
      <x:c r="D2694" s="115" t="str">
        <x:v>Usine de mécanique</x:v>
      </x:c>
      <x:c r="E2694" s="115" t="n">
        <x:v>39</x:v>
      </x:c>
      <x:c r="F2694" s="115" t="str">
        <x:v>Inspection physique</x:v>
      </x:c>
      <x:c r="G2694" s="115" t="str">
        <x:v>1 niveaux ; 40 pièces ; 303 segments de mur ; 0 transitions. Inspection physique ; architecture complète encore ouverte.</x:v>
      </x:c>
      <x:c r="H2694" s="115" t="str">
        <x:v>L 404 ; l 392 ; hauteur 7,95 m ; choix de composition auteur ; dimensions réelles à documenter</x:v>
      </x:c>
      <x:c r="I2694" s="115" t="str">
        <x:v>À équilibrer</x:v>
      </x:c>
      <x:c r="J2694" s="115" t="str">
        <x:v>Non</x:v>
      </x:c>
      <x:c r="K2694" s="115" t="str">
        <x:v>Pièces décrites, murs, portes, niveaux et mobilier inspectables à l’échelle. Volumes réservés, raccord au seed, butin, rencontres et services de campagne restent à terminer.</x:v>
      </x:c>
    </x:row>
    <x:row r="2695" ht="96" customHeight="1">
      <x:c r="A2695" s="115" t="str">
        <x:v>EXT-MONDE-T054-V40</x:v>
      </x:c>
      <x:c r="B2695" s="115" t="str">
        <x:v>EXT-MONDE-T054</x:v>
      </x:c>
      <x:c r="C2695" s="115" t="str">
        <x:v>Usines</x:v>
      </x:c>
      <x:c r="D2695" s="115" t="str">
        <x:v>Usine de mécanique</x:v>
      </x:c>
      <x:c r="E2695" s="115" t="n">
        <x:v>40</x:v>
      </x:c>
      <x:c r="F2695" s="115" t="str">
        <x:v>Inspection physique</x:v>
      </x:c>
      <x:c r="G2695" s="115" t="str">
        <x:v>1 niveaux ; 40 pièces ; 303 segments de mur ; 0 transitions. Inspection physique ; architecture complète encore ouverte.</x:v>
      </x:c>
      <x:c r="H2695" s="115" t="str">
        <x:v>L 404 ; l 392 ; hauteur 7,95 m ; choix de composition auteur ; dimensions réelles à documenter</x:v>
      </x:c>
      <x:c r="I2695" s="115" t="str">
        <x:v>À équilibrer</x:v>
      </x:c>
      <x:c r="J2695" s="115" t="str">
        <x:v>Non</x:v>
      </x:c>
      <x:c r="K2695" s="115" t="str">
        <x:v>Pièces décrites, murs, portes, niveaux et mobilier inspectables à l’échelle. Volumes réservés, raccord au seed, butin, rencontres et services de campagne restent à terminer.</x:v>
      </x:c>
    </x:row>
    <x:row r="2696" ht="96" customHeight="1">
      <x:c r="A2696" s="115" t="str">
        <x:v>EXT-MONDE-T054-V41</x:v>
      </x:c>
      <x:c r="B2696" s="115" t="str">
        <x:v>EXT-MONDE-T054</x:v>
      </x:c>
      <x:c r="C2696" s="115" t="str">
        <x:v>Usines</x:v>
      </x:c>
      <x:c r="D2696" s="115" t="str">
        <x:v>Usine de mécanique</x:v>
      </x:c>
      <x:c r="E2696" s="115" t="n">
        <x:v>41</x:v>
      </x:c>
      <x:c r="F2696" s="115" t="str">
        <x:v>Inspection physique</x:v>
      </x:c>
      <x:c r="G2696" s="115" t="str">
        <x:v>1 niveaux ; 40 pièces ; 303 segments de mur ; 0 transitions. Inspection physique ; architecture complète encore ouverte.</x:v>
      </x:c>
      <x:c r="H2696" s="115" t="str">
        <x:v>L 422 ; l 416 ; hauteur 8,2 m ; choix de composition auteur ; dimensions réelles à documenter</x:v>
      </x:c>
      <x:c r="I2696" s="115" t="str">
        <x:v>À équilibrer</x:v>
      </x:c>
      <x:c r="J2696" s="115" t="str">
        <x:v>Non</x:v>
      </x:c>
      <x:c r="K2696" s="115" t="str">
        <x:v>Pièces décrites, murs, portes, niveaux et mobilier inspectables à l’échelle. Volumes réservés, raccord au seed, butin, rencontres et services de campagne restent à terminer.</x:v>
      </x:c>
    </x:row>
    <x:row r="2697" ht="96" customHeight="1">
      <x:c r="A2697" s="115" t="str">
        <x:v>EXT-MONDE-T054-V42</x:v>
      </x:c>
      <x:c r="B2697" s="115" t="str">
        <x:v>EXT-MONDE-T054</x:v>
      </x:c>
      <x:c r="C2697" s="115" t="str">
        <x:v>Usines</x:v>
      </x:c>
      <x:c r="D2697" s="115" t="str">
        <x:v>Usine de mécanique</x:v>
      </x:c>
      <x:c r="E2697" s="115" t="n">
        <x:v>42</x:v>
      </x:c>
      <x:c r="F2697" s="115" t="str">
        <x:v>Inspection physique</x:v>
      </x:c>
      <x:c r="G2697" s="115" t="str">
        <x:v>1 niveaux ; 40 pièces ; 303 segments de mur ; 0 transitions. Inspection physique ; architecture complète encore ouverte.</x:v>
      </x:c>
      <x:c r="H2697" s="115" t="str">
        <x:v>L 422 ; l 416 ; hauteur 8,2 m ; choix de composition auteur ; dimensions réelles à documenter</x:v>
      </x:c>
      <x:c r="I2697" s="115" t="str">
        <x:v>À équilibrer</x:v>
      </x:c>
      <x:c r="J2697" s="115" t="str">
        <x:v>Non</x:v>
      </x:c>
      <x:c r="K2697" s="115" t="str">
        <x:v>Pièces décrites, murs, portes, niveaux et mobilier inspectables à l’échelle. Volumes réservés, raccord au seed, butin, rencontres et services de campagne restent à terminer.</x:v>
      </x:c>
    </x:row>
    <x:row r="2698" ht="96" customHeight="1">
      <x:c r="A2698" s="115" t="str">
        <x:v>EXT-MONDE-T054-V43</x:v>
      </x:c>
      <x:c r="B2698" s="115" t="str">
        <x:v>EXT-MONDE-T054</x:v>
      </x:c>
      <x:c r="C2698" s="115" t="str">
        <x:v>Usines</x:v>
      </x:c>
      <x:c r="D2698" s="115" t="str">
        <x:v>Usine de mécanique</x:v>
      </x:c>
      <x:c r="E2698" s="115" t="n">
        <x:v>43</x:v>
      </x:c>
      <x:c r="F2698" s="115" t="str">
        <x:v>Inspection physique</x:v>
      </x:c>
      <x:c r="G2698" s="115" t="str">
        <x:v>1 niveaux ; 40 pièces ; 303 segments de mur ; 0 transitions. Inspection physique ; architecture complète encore ouverte.</x:v>
      </x:c>
      <x:c r="H2698" s="115" t="str">
        <x:v>L 422 ; l 416 ; hauteur 8,2 m ; choix de composition auteur ; dimensions réelles à documenter</x:v>
      </x:c>
      <x:c r="I2698" s="115" t="str">
        <x:v>À équilibrer</x:v>
      </x:c>
      <x:c r="J2698" s="115" t="str">
        <x:v>Non</x:v>
      </x:c>
      <x:c r="K2698" s="115" t="str">
        <x:v>Pièces décrites, murs, portes, niveaux et mobilier inspectables à l’échelle. Volumes réservés, raccord au seed, butin, rencontres et services de campagne restent à terminer.</x:v>
      </x:c>
    </x:row>
    <x:row r="2699" ht="96" customHeight="1">
      <x:c r="A2699" s="115" t="str">
        <x:v>EXT-MONDE-T054-V44</x:v>
      </x:c>
      <x:c r="B2699" s="115" t="str">
        <x:v>EXT-MONDE-T054</x:v>
      </x:c>
      <x:c r="C2699" s="115" t="str">
        <x:v>Usines</x:v>
      </x:c>
      <x:c r="D2699" s="115" t="str">
        <x:v>Usine de mécanique</x:v>
      </x:c>
      <x:c r="E2699" s="115" t="n">
        <x:v>44</x:v>
      </x:c>
      <x:c r="F2699" s="115" t="str">
        <x:v>Inspection physique</x:v>
      </x:c>
      <x:c r="G2699" s="115" t="str">
        <x:v>1 niveaux ; 40 pièces ; 303 segments de mur ; 0 transitions. Inspection physique ; architecture complète encore ouverte.</x:v>
      </x:c>
      <x:c r="H2699" s="115" t="str">
        <x:v>L 422 ; l 416 ; hauteur 8,2 m ; choix de composition auteur ; dimensions réelles à documenter</x:v>
      </x:c>
      <x:c r="I2699" s="115" t="str">
        <x:v>À équilibrer</x:v>
      </x:c>
      <x:c r="J2699" s="115" t="str">
        <x:v>Non</x:v>
      </x:c>
      <x:c r="K2699" s="115" t="str">
        <x:v>Pièces décrites, murs, portes, niveaux et mobilier inspectables à l’échelle. Volumes réservés, raccord au seed, butin, rencontres et services de campagne restent à terminer.</x:v>
      </x:c>
    </x:row>
    <x:row r="2700" ht="96" customHeight="1">
      <x:c r="A2700" s="115" t="str">
        <x:v>EXT-MONDE-T054-V45</x:v>
      </x:c>
      <x:c r="B2700" s="115" t="str">
        <x:v>EXT-MONDE-T054</x:v>
      </x:c>
      <x:c r="C2700" s="115" t="str">
        <x:v>Usines</x:v>
      </x:c>
      <x:c r="D2700" s="115" t="str">
        <x:v>Usine de mécanique</x:v>
      </x:c>
      <x:c r="E2700" s="115" t="n">
        <x:v>45</x:v>
      </x:c>
      <x:c r="F2700" s="115" t="str">
        <x:v>Inspection physique</x:v>
      </x:c>
      <x:c r="G2700" s="115" t="str">
        <x:v>1 niveaux ; 40 pièces ; 303 segments de mur ; 0 transitions. Inspection physique ; architecture complète encore ouverte.</x:v>
      </x:c>
      <x:c r="H2700" s="115" t="str">
        <x:v>L 422 ; l 416 ; hauteur 8,2 m ; choix de composition auteur ; dimensions réelles à documenter</x:v>
      </x:c>
      <x:c r="I2700" s="115" t="str">
        <x:v>À équilibrer</x:v>
      </x:c>
      <x:c r="J2700" s="115" t="str">
        <x:v>Non</x:v>
      </x:c>
      <x:c r="K2700" s="115" t="str">
        <x:v>Pièces décrites, murs, portes, niveaux et mobilier inspectables à l’échelle. Volumes réservés, raccord au seed, butin, rencontres et services de campagne restent à terminer.</x:v>
      </x:c>
    </x:row>
    <x:row r="2701" ht="96" customHeight="1">
      <x:c r="A2701" s="115" t="str">
        <x:v>EXT-MONDE-T054-V46</x:v>
      </x:c>
      <x:c r="B2701" s="115" t="str">
        <x:v>EXT-MONDE-T054</x:v>
      </x:c>
      <x:c r="C2701" s="115" t="str">
        <x:v>Usines</x:v>
      </x:c>
      <x:c r="D2701" s="115" t="str">
        <x:v>Usine de mécanique</x:v>
      </x:c>
      <x:c r="E2701" s="115" t="n">
        <x:v>46</x:v>
      </x:c>
      <x:c r="F2701" s="115" t="str">
        <x:v>Inspection physique</x:v>
      </x:c>
      <x:c r="G2701" s="115" t="str">
        <x:v>1 niveaux ; 40 pièces ; 303 segments de mur ; 0 transitions. Inspection physique ; architecture complète encore ouverte.</x:v>
      </x:c>
      <x:c r="H2701" s="115" t="str">
        <x:v>L 422 ; l 416 ; hauteur 8,2 m ; choix de composition auteur ; dimensions réelles à documenter</x:v>
      </x:c>
      <x:c r="I2701" s="115" t="str">
        <x:v>À équilibrer</x:v>
      </x:c>
      <x:c r="J2701" s="115" t="str">
        <x:v>Non</x:v>
      </x:c>
      <x:c r="K2701" s="115" t="str">
        <x:v>Pièces décrites, murs, portes, niveaux et mobilier inspectables à l’échelle. Volumes réservés, raccord au seed, butin, rencontres et services de campagne restent à terminer.</x:v>
      </x:c>
    </x:row>
    <x:row r="2702" ht="96" customHeight="1">
      <x:c r="A2702" s="115" t="str">
        <x:v>EXT-MONDE-T054-V47</x:v>
      </x:c>
      <x:c r="B2702" s="115" t="str">
        <x:v>EXT-MONDE-T054</x:v>
      </x:c>
      <x:c r="C2702" s="115" t="str">
        <x:v>Usines</x:v>
      </x:c>
      <x:c r="D2702" s="115" t="str">
        <x:v>Usine de mécanique</x:v>
      </x:c>
      <x:c r="E2702" s="115" t="n">
        <x:v>47</x:v>
      </x:c>
      <x:c r="F2702" s="115" t="str">
        <x:v>Inspection physique</x:v>
      </x:c>
      <x:c r="G2702" s="115" t="str">
        <x:v>1 niveaux ; 40 pièces ; 303 segments de mur ; 0 transitions. Inspection physique ; architecture complète encore ouverte.</x:v>
      </x:c>
      <x:c r="H2702" s="115" t="str">
        <x:v>L 422 ; l 416 ; hauteur 8,2 m ; choix de composition auteur ; dimensions réelles à documenter</x:v>
      </x:c>
      <x:c r="I2702" s="115" t="str">
        <x:v>À équilibrer</x:v>
      </x:c>
      <x:c r="J2702" s="115" t="str">
        <x:v>Non</x:v>
      </x:c>
      <x:c r="K2702" s="115" t="str">
        <x:v>Pièces décrites, murs, portes, niveaux et mobilier inspectables à l’échelle. Volumes réservés, raccord au seed, butin, rencontres et services de campagne restent à terminer.</x:v>
      </x:c>
    </x:row>
    <x:row r="2703" ht="96" customHeight="1">
      <x:c r="A2703" s="115" t="str">
        <x:v>EXT-MONDE-T054-V48</x:v>
      </x:c>
      <x:c r="B2703" s="115" t="str">
        <x:v>EXT-MONDE-T054</x:v>
      </x:c>
      <x:c r="C2703" s="115" t="str">
        <x:v>Usines</x:v>
      </x:c>
      <x:c r="D2703" s="115" t="str">
        <x:v>Usine de mécanique</x:v>
      </x:c>
      <x:c r="E2703" s="115" t="n">
        <x:v>48</x:v>
      </x:c>
      <x:c r="F2703" s="115" t="str">
        <x:v>Inspection physique</x:v>
      </x:c>
      <x:c r="G2703" s="115" t="str">
        <x:v>1 niveaux ; 40 pièces ; 303 segments de mur ; 0 transitions. Inspection physique ; architecture complète encore ouverte.</x:v>
      </x:c>
      <x:c r="H2703" s="115" t="str">
        <x:v>L 422 ; l 416 ; hauteur 8,2 m ; choix de composition auteur ; dimensions réelles à documenter</x:v>
      </x:c>
      <x:c r="I2703" s="115" t="str">
        <x:v>À équilibrer</x:v>
      </x:c>
      <x:c r="J2703" s="115" t="str">
        <x:v>Non</x:v>
      </x:c>
      <x:c r="K2703" s="115" t="str">
        <x:v>Pièces décrites, murs, portes, niveaux et mobilier inspectables à l’échelle. Volumes réservés, raccord au seed, butin, rencontres et services de campagne restent à terminer.</x:v>
      </x:c>
    </x:row>
    <x:row r="2704" ht="96" customHeight="1">
      <x:c r="A2704" s="115" t="str">
        <x:v>EXT-MONDE-T054-V49</x:v>
      </x:c>
      <x:c r="B2704" s="115" t="str">
        <x:v>EXT-MONDE-T054</x:v>
      </x:c>
      <x:c r="C2704" s="115" t="str">
        <x:v>Usines</x:v>
      </x:c>
      <x:c r="D2704" s="115" t="str">
        <x:v>Usine de mécanique</x:v>
      </x:c>
      <x:c r="E2704" s="115" t="n">
        <x:v>49</x:v>
      </x:c>
      <x:c r="F2704" s="115" t="str">
        <x:v>Inspection physique</x:v>
      </x:c>
      <x:c r="G2704" s="115" t="str">
        <x:v>1 niveaux ; 40 pièces ; 303 segments de mur ; 0 transitions. Inspection physique ; architecture complète encore ouverte.</x:v>
      </x:c>
      <x:c r="H2704" s="115" t="str">
        <x:v>L 422 ; l 416 ; hauteur 8,2 m ; choix de composition auteur ; dimensions réelles à documenter</x:v>
      </x:c>
      <x:c r="I2704" s="115" t="str">
        <x:v>À équilibrer</x:v>
      </x:c>
      <x:c r="J2704" s="115" t="str">
        <x:v>Non</x:v>
      </x:c>
      <x:c r="K2704" s="115" t="str">
        <x:v>Pièces décrites, murs, portes, niveaux et mobilier inspectables à l’échelle. Volumes réservés, raccord au seed, butin, rencontres et services de campagne restent à terminer.</x:v>
      </x:c>
    </x:row>
    <x:row r="2705" ht="96" customHeight="1">
      <x:c r="A2705" s="115" t="str">
        <x:v>EXT-MONDE-T054-V50</x:v>
      </x:c>
      <x:c r="B2705" s="115" t="str">
        <x:v>EXT-MONDE-T054</x:v>
      </x:c>
      <x:c r="C2705" s="115" t="str">
        <x:v>Usines</x:v>
      </x:c>
      <x:c r="D2705" s="115" t="str">
        <x:v>Usine de mécanique</x:v>
      </x:c>
      <x:c r="E2705" s="115" t="n">
        <x:v>50</x:v>
      </x:c>
      <x:c r="F2705" s="115" t="str">
        <x:v>Inspection physique</x:v>
      </x:c>
      <x:c r="G2705" s="115" t="str">
        <x:v>1 niveaux ; 40 pièces ; 303 segments de mur ; 0 transitions. Inspection physique ; architecture complète encore ouverte.</x:v>
      </x:c>
      <x:c r="H2705" s="115" t="str">
        <x:v>L 422 ; l 416 ; hauteur 8,2 m ; choix de composition auteur ; dimensions réelles à documenter</x:v>
      </x:c>
      <x:c r="I2705" s="115" t="str">
        <x:v>À équilibrer</x:v>
      </x:c>
      <x:c r="J2705" s="115" t="str">
        <x:v>Non</x:v>
      </x:c>
      <x:c r="K2705" s="115" t="str">
        <x:v>Pièces décrites, murs, portes, niveaux et mobilier inspectables à l’échelle. Volumes réservés, raccord au seed, butin, rencontres et services de campagne restent à terminer.</x:v>
      </x:c>
    </x:row>
    <x:row r="2706" ht="96" customHeight="1">
      <x:c r="A2706" s="115" t="str">
        <x:v>EXT-MONDE-T055-V01</x:v>
      </x:c>
      <x:c r="B2706" s="115" t="str">
        <x:v>EXT-MONDE-T055</x:v>
      </x:c>
      <x:c r="C2706" s="115" t="str">
        <x:v>Usines</x:v>
      </x:c>
      <x:c r="D2706" s="115" t="str">
        <x:v>Usine textile</x:v>
      </x:c>
      <x:c r="E2706" s="115" t="n">
        <x:v>1</x:v>
      </x:c>
      <x:c r="F2706" s="115" t="str">
        <x:v>Inspection physique</x:v>
      </x:c>
      <x:c r="G2706" s="115" t="str">
        <x:v>1 niveaux ; 40 pièces ; 303 segments de mur ; 0 transitions. Inspection physique ; architecture complète encore ouverte.</x:v>
      </x:c>
      <x:c r="H2706" s="115" t="str">
        <x:v>L 350 ; l 320 ; hauteur 5,8 m ; choix de composition auteur ; dimensions réelles à documenter</x:v>
      </x:c>
      <x:c r="I2706" s="115" t="str">
        <x:v>À équilibrer</x:v>
      </x:c>
      <x:c r="J2706" s="115" t="str">
        <x:v>Non</x:v>
      </x:c>
      <x:c r="K2706" s="115" t="str">
        <x:v>Pièces décrites, murs, portes, niveaux et mobilier inspectables à l’échelle. Volumes réservés, raccord au seed, butin, rencontres et services de campagne restent à terminer.</x:v>
      </x:c>
    </x:row>
    <x:row r="2707" ht="96" customHeight="1">
      <x:c r="A2707" s="115" t="str">
        <x:v>EXT-MONDE-T055-V02</x:v>
      </x:c>
      <x:c r="B2707" s="115" t="str">
        <x:v>EXT-MONDE-T055</x:v>
      </x:c>
      <x:c r="C2707" s="115" t="str">
        <x:v>Usines</x:v>
      </x:c>
      <x:c r="D2707" s="115" t="str">
        <x:v>Usine textile</x:v>
      </x:c>
      <x:c r="E2707" s="115" t="n">
        <x:v>2</x:v>
      </x:c>
      <x:c r="F2707" s="115" t="str">
        <x:v>Inspection physique</x:v>
      </x:c>
      <x:c r="G2707" s="115" t="str">
        <x:v>1 niveaux ; 40 pièces ; 303 segments de mur ; 0 transitions. Inspection physique ; architecture complète encore ouverte.</x:v>
      </x:c>
      <x:c r="H2707" s="115" t="str">
        <x:v>L 350 ; l 320 ; hauteur 5,8 m ; choix de composition auteur ; dimensions réelles à documenter</x:v>
      </x:c>
      <x:c r="I2707" s="115" t="str">
        <x:v>À équilibrer</x:v>
      </x:c>
      <x:c r="J2707" s="115" t="str">
        <x:v>Non</x:v>
      </x:c>
      <x:c r="K2707" s="115" t="str">
        <x:v>Pièces décrites, murs, portes, niveaux et mobilier inspectables à l’échelle. Volumes réservés, raccord au seed, butin, rencontres et services de campagne restent à terminer.</x:v>
      </x:c>
    </x:row>
    <x:row r="2708" ht="96" customHeight="1">
      <x:c r="A2708" s="115" t="str">
        <x:v>EXT-MONDE-T055-V03</x:v>
      </x:c>
      <x:c r="B2708" s="115" t="str">
        <x:v>EXT-MONDE-T055</x:v>
      </x:c>
      <x:c r="C2708" s="115" t="str">
        <x:v>Usines</x:v>
      </x:c>
      <x:c r="D2708" s="115" t="str">
        <x:v>Usine textile</x:v>
      </x:c>
      <x:c r="E2708" s="115" t="n">
        <x:v>3</x:v>
      </x:c>
      <x:c r="F2708" s="115" t="str">
        <x:v>Inspection physique</x:v>
      </x:c>
      <x:c r="G2708" s="115" t="str">
        <x:v>1 niveaux ; 40 pièces ; 303 segments de mur ; 0 transitions. Inspection physique ; architecture complète encore ouverte.</x:v>
      </x:c>
      <x:c r="H2708" s="115" t="str">
        <x:v>L 350 ; l 320 ; hauteur 5,8 m ; choix de composition auteur ; dimensions réelles à documenter</x:v>
      </x:c>
      <x:c r="I2708" s="115" t="str">
        <x:v>À équilibrer</x:v>
      </x:c>
      <x:c r="J2708" s="115" t="str">
        <x:v>Non</x:v>
      </x:c>
      <x:c r="K2708" s="115" t="str">
        <x:v>Pièces décrites, murs, portes, niveaux et mobilier inspectables à l’échelle. Volumes réservés, raccord au seed, butin, rencontres et services de campagne restent à terminer.</x:v>
      </x:c>
    </x:row>
    <x:row r="2709" ht="96" customHeight="1">
      <x:c r="A2709" s="115" t="str">
        <x:v>EXT-MONDE-T055-V04</x:v>
      </x:c>
      <x:c r="B2709" s="115" t="str">
        <x:v>EXT-MONDE-T055</x:v>
      </x:c>
      <x:c r="C2709" s="115" t="str">
        <x:v>Usines</x:v>
      </x:c>
      <x:c r="D2709" s="115" t="str">
        <x:v>Usine textile</x:v>
      </x:c>
      <x:c r="E2709" s="115" t="n">
        <x:v>4</x:v>
      </x:c>
      <x:c r="F2709" s="115" t="str">
        <x:v>Inspection physique</x:v>
      </x:c>
      <x:c r="G2709" s="115" t="str">
        <x:v>1 niveaux ; 40 pièces ; 303 segments de mur ; 0 transitions. Inspection physique ; architecture complète encore ouverte.</x:v>
      </x:c>
      <x:c r="H2709" s="115" t="str">
        <x:v>L 350 ; l 320 ; hauteur 5,8 m ; choix de composition auteur ; dimensions réelles à documenter</x:v>
      </x:c>
      <x:c r="I2709" s="115" t="str">
        <x:v>À équilibrer</x:v>
      </x:c>
      <x:c r="J2709" s="115" t="str">
        <x:v>Non</x:v>
      </x:c>
      <x:c r="K2709" s="115" t="str">
        <x:v>Pièces décrites, murs, portes, niveaux et mobilier inspectables à l’échelle. Volumes réservés, raccord au seed, butin, rencontres et services de campagne restent à terminer.</x:v>
      </x:c>
    </x:row>
    <x:row r="2710" ht="96" customHeight="1">
      <x:c r="A2710" s="115" t="str">
        <x:v>EXT-MONDE-T055-V05</x:v>
      </x:c>
      <x:c r="B2710" s="115" t="str">
        <x:v>EXT-MONDE-T055</x:v>
      </x:c>
      <x:c r="C2710" s="115" t="str">
        <x:v>Usines</x:v>
      </x:c>
      <x:c r="D2710" s="115" t="str">
        <x:v>Usine textile</x:v>
      </x:c>
      <x:c r="E2710" s="115" t="n">
        <x:v>5</x:v>
      </x:c>
      <x:c r="F2710" s="115" t="str">
        <x:v>Inspection physique</x:v>
      </x:c>
      <x:c r="G2710" s="115" t="str">
        <x:v>1 niveaux ; 40 pièces ; 303 segments de mur ; 0 transitions. Inspection physique ; architecture complète encore ouverte.</x:v>
      </x:c>
      <x:c r="H2710" s="115" t="str">
        <x:v>L 350 ; l 320 ; hauteur 5,8 m ; choix de composition auteur ; dimensions réelles à documenter</x:v>
      </x:c>
      <x:c r="I2710" s="115" t="str">
        <x:v>À équilibrer</x:v>
      </x:c>
      <x:c r="J2710" s="115" t="str">
        <x:v>Non</x:v>
      </x:c>
      <x:c r="K2710" s="115" t="str">
        <x:v>Pièces décrites, murs, portes, niveaux et mobilier inspectables à l’échelle. Volumes réservés, raccord au seed, butin, rencontres et services de campagne restent à terminer.</x:v>
      </x:c>
    </x:row>
    <x:row r="2711" ht="96" customHeight="1">
      <x:c r="A2711" s="115" t="str">
        <x:v>EXT-MONDE-T055-V06</x:v>
      </x:c>
      <x:c r="B2711" s="115" t="str">
        <x:v>EXT-MONDE-T055</x:v>
      </x:c>
      <x:c r="C2711" s="115" t="str">
        <x:v>Usines</x:v>
      </x:c>
      <x:c r="D2711" s="115" t="str">
        <x:v>Usine textile</x:v>
      </x:c>
      <x:c r="E2711" s="115" t="n">
        <x:v>6</x:v>
      </x:c>
      <x:c r="F2711" s="115" t="str">
        <x:v>Inspection physique</x:v>
      </x:c>
      <x:c r="G2711" s="115" t="str">
        <x:v>1 niveaux ; 40 pièces ; 303 segments de mur ; 0 transitions. Inspection physique ; architecture complète encore ouverte.</x:v>
      </x:c>
      <x:c r="H2711" s="115" t="str">
        <x:v>L 350 ; l 320 ; hauteur 5,8 m ; choix de composition auteur ; dimensions réelles à documenter</x:v>
      </x:c>
      <x:c r="I2711" s="115" t="str">
        <x:v>À équilibrer</x:v>
      </x:c>
      <x:c r="J2711" s="115" t="str">
        <x:v>Non</x:v>
      </x:c>
      <x:c r="K2711" s="115" t="str">
        <x:v>Pièces décrites, murs, portes, niveaux et mobilier inspectables à l’échelle. Volumes réservés, raccord au seed, butin, rencontres et services de campagne restent à terminer.</x:v>
      </x:c>
    </x:row>
    <x:row r="2712" ht="96" customHeight="1">
      <x:c r="A2712" s="115" t="str">
        <x:v>EXT-MONDE-T055-V07</x:v>
      </x:c>
      <x:c r="B2712" s="115" t="str">
        <x:v>EXT-MONDE-T055</x:v>
      </x:c>
      <x:c r="C2712" s="115" t="str">
        <x:v>Usines</x:v>
      </x:c>
      <x:c r="D2712" s="115" t="str">
        <x:v>Usine textile</x:v>
      </x:c>
      <x:c r="E2712" s="115" t="n">
        <x:v>7</x:v>
      </x:c>
      <x:c r="F2712" s="115" t="str">
        <x:v>Inspection physique</x:v>
      </x:c>
      <x:c r="G2712" s="115" t="str">
        <x:v>1 niveaux ; 40 pièces ; 303 segments de mur ; 0 transitions. Inspection physique ; architecture complète encore ouverte.</x:v>
      </x:c>
      <x:c r="H2712" s="115" t="str">
        <x:v>L 350 ; l 320 ; hauteur 5,8 m ; choix de composition auteur ; dimensions réelles à documenter</x:v>
      </x:c>
      <x:c r="I2712" s="115" t="str">
        <x:v>À équilibrer</x:v>
      </x:c>
      <x:c r="J2712" s="115" t="str">
        <x:v>Non</x:v>
      </x:c>
      <x:c r="K2712" s="115" t="str">
        <x:v>Pièces décrites, murs, portes, niveaux et mobilier inspectables à l’échelle. Volumes réservés, raccord au seed, butin, rencontres et services de campagne restent à terminer.</x:v>
      </x:c>
    </x:row>
    <x:row r="2713" ht="96" customHeight="1">
      <x:c r="A2713" s="115" t="str">
        <x:v>EXT-MONDE-T055-V08</x:v>
      </x:c>
      <x:c r="B2713" s="115" t="str">
        <x:v>EXT-MONDE-T055</x:v>
      </x:c>
      <x:c r="C2713" s="115" t="str">
        <x:v>Usines</x:v>
      </x:c>
      <x:c r="D2713" s="115" t="str">
        <x:v>Usine textile</x:v>
      </x:c>
      <x:c r="E2713" s="115" t="n">
        <x:v>8</x:v>
      </x:c>
      <x:c r="F2713" s="115" t="str">
        <x:v>Inspection physique</x:v>
      </x:c>
      <x:c r="G2713" s="115" t="str">
        <x:v>1 niveaux ; 40 pièces ; 303 segments de mur ; 0 transitions. Inspection physique ; architecture complète encore ouverte.</x:v>
      </x:c>
      <x:c r="H2713" s="115" t="str">
        <x:v>L 350 ; l 320 ; hauteur 5,8 m ; choix de composition auteur ; dimensions réelles à documenter</x:v>
      </x:c>
      <x:c r="I2713" s="115" t="str">
        <x:v>À équilibrer</x:v>
      </x:c>
      <x:c r="J2713" s="115" t="str">
        <x:v>Non</x:v>
      </x:c>
      <x:c r="K2713" s="115" t="str">
        <x:v>Pièces décrites, murs, portes, niveaux et mobilier inspectables à l’échelle. Volumes réservés, raccord au seed, butin, rencontres et services de campagne restent à terminer.</x:v>
      </x:c>
    </x:row>
    <x:row r="2714" ht="96" customHeight="1">
      <x:c r="A2714" s="115" t="str">
        <x:v>EXT-MONDE-T055-V09</x:v>
      </x:c>
      <x:c r="B2714" s="115" t="str">
        <x:v>EXT-MONDE-T055</x:v>
      </x:c>
      <x:c r="C2714" s="115" t="str">
        <x:v>Usines</x:v>
      </x:c>
      <x:c r="D2714" s="115" t="str">
        <x:v>Usine textile</x:v>
      </x:c>
      <x:c r="E2714" s="115" t="n">
        <x:v>9</x:v>
      </x:c>
      <x:c r="F2714" s="115" t="str">
        <x:v>Inspection physique</x:v>
      </x:c>
      <x:c r="G2714" s="115" t="str">
        <x:v>1 niveaux ; 40 pièces ; 303 segments de mur ; 0 transitions. Inspection physique ; architecture complète encore ouverte.</x:v>
      </x:c>
      <x:c r="H2714" s="115" t="str">
        <x:v>L 350 ; l 320 ; hauteur 5,8 m ; choix de composition auteur ; dimensions réelles à documenter</x:v>
      </x:c>
      <x:c r="I2714" s="115" t="str">
        <x:v>À équilibrer</x:v>
      </x:c>
      <x:c r="J2714" s="115" t="str">
        <x:v>Non</x:v>
      </x:c>
      <x:c r="K2714" s="115" t="str">
        <x:v>Pièces décrites, murs, portes, niveaux et mobilier inspectables à l’échelle. Volumes réservés, raccord au seed, butin, rencontres et services de campagne restent à terminer.</x:v>
      </x:c>
    </x:row>
    <x:row r="2715" ht="96" customHeight="1">
      <x:c r="A2715" s="115" t="str">
        <x:v>EXT-MONDE-T055-V10</x:v>
      </x:c>
      <x:c r="B2715" s="115" t="str">
        <x:v>EXT-MONDE-T055</x:v>
      </x:c>
      <x:c r="C2715" s="115" t="str">
        <x:v>Usines</x:v>
      </x:c>
      <x:c r="D2715" s="115" t="str">
        <x:v>Usine textile</x:v>
      </x:c>
      <x:c r="E2715" s="115" t="n">
        <x:v>10</x:v>
      </x:c>
      <x:c r="F2715" s="115" t="str">
        <x:v>Inspection physique</x:v>
      </x:c>
      <x:c r="G2715" s="115" t="str">
        <x:v>1 niveaux ; 40 pièces ; 303 segments de mur ; 0 transitions. Inspection physique ; architecture complète encore ouverte.</x:v>
      </x:c>
      <x:c r="H2715" s="115" t="str">
        <x:v>L 350 ; l 320 ; hauteur 5,8 m ; choix de composition auteur ; dimensions réelles à documenter</x:v>
      </x:c>
      <x:c r="I2715" s="115" t="str">
        <x:v>À équilibrer</x:v>
      </x:c>
      <x:c r="J2715" s="115" t="str">
        <x:v>Non</x:v>
      </x:c>
      <x:c r="K2715" s="115" t="str">
        <x:v>Pièces décrites, murs, portes, niveaux et mobilier inspectables à l’échelle. Volumes réservés, raccord au seed, butin, rencontres et services de campagne restent à terminer.</x:v>
      </x:c>
    </x:row>
    <x:row r="2716" ht="96" customHeight="1">
      <x:c r="A2716" s="115" t="str">
        <x:v>EXT-MONDE-T055-V11</x:v>
      </x:c>
      <x:c r="B2716" s="115" t="str">
        <x:v>EXT-MONDE-T055</x:v>
      </x:c>
      <x:c r="C2716" s="115" t="str">
        <x:v>Usines</x:v>
      </x:c>
      <x:c r="D2716" s="115" t="str">
        <x:v>Usine textile</x:v>
      </x:c>
      <x:c r="E2716" s="115" t="n">
        <x:v>11</x:v>
      </x:c>
      <x:c r="F2716" s="115" t="str">
        <x:v>Inspection physique</x:v>
      </x:c>
      <x:c r="G2716" s="115" t="str">
        <x:v>1 niveaux ; 40 pièces ; 303 segments de mur ; 0 transitions. Inspection physique ; architecture complète encore ouverte.</x:v>
      </x:c>
      <x:c r="H2716" s="115" t="str">
        <x:v>L 368 ; l 344 ; hauteur 6,05 m ; choix de composition auteur ; dimensions réelles à documenter</x:v>
      </x:c>
      <x:c r="I2716" s="115" t="str">
        <x:v>À équilibrer</x:v>
      </x:c>
      <x:c r="J2716" s="115" t="str">
        <x:v>Non</x:v>
      </x:c>
      <x:c r="K2716" s="115" t="str">
        <x:v>Pièces décrites, murs, portes, niveaux et mobilier inspectables à l’échelle. Volumes réservés, raccord au seed, butin, rencontres et services de campagne restent à terminer.</x:v>
      </x:c>
    </x:row>
    <x:row r="2717" ht="96" customHeight="1">
      <x:c r="A2717" s="115" t="str">
        <x:v>EXT-MONDE-T055-V12</x:v>
      </x:c>
      <x:c r="B2717" s="115" t="str">
        <x:v>EXT-MONDE-T055</x:v>
      </x:c>
      <x:c r="C2717" s="115" t="str">
        <x:v>Usines</x:v>
      </x:c>
      <x:c r="D2717" s="115" t="str">
        <x:v>Usine textile</x:v>
      </x:c>
      <x:c r="E2717" s="115" t="n">
        <x:v>12</x:v>
      </x:c>
      <x:c r="F2717" s="115" t="str">
        <x:v>Inspection physique</x:v>
      </x:c>
      <x:c r="G2717" s="115" t="str">
        <x:v>1 niveaux ; 40 pièces ; 303 segments de mur ; 0 transitions. Inspection physique ; architecture complète encore ouverte.</x:v>
      </x:c>
      <x:c r="H2717" s="115" t="str">
        <x:v>L 368 ; l 344 ; hauteur 6,05 m ; choix de composition auteur ; dimensions réelles à documenter</x:v>
      </x:c>
      <x:c r="I2717" s="115" t="str">
        <x:v>À équilibrer</x:v>
      </x:c>
      <x:c r="J2717" s="115" t="str">
        <x:v>Non</x:v>
      </x:c>
      <x:c r="K2717" s="115" t="str">
        <x:v>Pièces décrites, murs, portes, niveaux et mobilier inspectables à l’échelle. Volumes réservés, raccord au seed, butin, rencontres et services de campagne restent à terminer.</x:v>
      </x:c>
    </x:row>
    <x:row r="2718" ht="96" customHeight="1">
      <x:c r="A2718" s="115" t="str">
        <x:v>EXT-MONDE-T055-V13</x:v>
      </x:c>
      <x:c r="B2718" s="115" t="str">
        <x:v>EXT-MONDE-T055</x:v>
      </x:c>
      <x:c r="C2718" s="115" t="str">
        <x:v>Usines</x:v>
      </x:c>
      <x:c r="D2718" s="115" t="str">
        <x:v>Usine textile</x:v>
      </x:c>
      <x:c r="E2718" s="115" t="n">
        <x:v>13</x:v>
      </x:c>
      <x:c r="F2718" s="115" t="str">
        <x:v>Inspection physique</x:v>
      </x:c>
      <x:c r="G2718" s="115" t="str">
        <x:v>1 niveaux ; 40 pièces ; 303 segments de mur ; 0 transitions. Inspection physique ; architecture complète encore ouverte.</x:v>
      </x:c>
      <x:c r="H2718" s="115" t="str">
        <x:v>L 368 ; l 344 ; hauteur 6,05 m ; choix de composition auteur ; dimensions réelles à documenter</x:v>
      </x:c>
      <x:c r="I2718" s="115" t="str">
        <x:v>À équilibrer</x:v>
      </x:c>
      <x:c r="J2718" s="115" t="str">
        <x:v>Non</x:v>
      </x:c>
      <x:c r="K2718" s="115" t="str">
        <x:v>Pièces décrites, murs, portes, niveaux et mobilier inspectables à l’échelle. Volumes réservés, raccord au seed, butin, rencontres et services de campagne restent à terminer.</x:v>
      </x:c>
    </x:row>
    <x:row r="2719" ht="96" customHeight="1">
      <x:c r="A2719" s="115" t="str">
        <x:v>EXT-MONDE-T055-V14</x:v>
      </x:c>
      <x:c r="B2719" s="115" t="str">
        <x:v>EXT-MONDE-T055</x:v>
      </x:c>
      <x:c r="C2719" s="115" t="str">
        <x:v>Usines</x:v>
      </x:c>
      <x:c r="D2719" s="115" t="str">
        <x:v>Usine textile</x:v>
      </x:c>
      <x:c r="E2719" s="115" t="n">
        <x:v>14</x:v>
      </x:c>
      <x:c r="F2719" s="115" t="str">
        <x:v>Inspection physique</x:v>
      </x:c>
      <x:c r="G2719" s="115" t="str">
        <x:v>1 niveaux ; 40 pièces ; 303 segments de mur ; 0 transitions. Inspection physique ; architecture complète encore ouverte.</x:v>
      </x:c>
      <x:c r="H2719" s="115" t="str">
        <x:v>L 368 ; l 344 ; hauteur 6,05 m ; choix de composition auteur ; dimensions réelles à documenter</x:v>
      </x:c>
      <x:c r="I2719" s="115" t="str">
        <x:v>À équilibrer</x:v>
      </x:c>
      <x:c r="J2719" s="115" t="str">
        <x:v>Non</x:v>
      </x:c>
      <x:c r="K2719" s="115" t="str">
        <x:v>Pièces décrites, murs, portes, niveaux et mobilier inspectables à l’échelle. Volumes réservés, raccord au seed, butin, rencontres et services de campagne restent à terminer.</x:v>
      </x:c>
    </x:row>
    <x:row r="2720" ht="96" customHeight="1">
      <x:c r="A2720" s="115" t="str">
        <x:v>EXT-MONDE-T055-V15</x:v>
      </x:c>
      <x:c r="B2720" s="115" t="str">
        <x:v>EXT-MONDE-T055</x:v>
      </x:c>
      <x:c r="C2720" s="115" t="str">
        <x:v>Usines</x:v>
      </x:c>
      <x:c r="D2720" s="115" t="str">
        <x:v>Usine textile</x:v>
      </x:c>
      <x:c r="E2720" s="115" t="n">
        <x:v>15</x:v>
      </x:c>
      <x:c r="F2720" s="115" t="str">
        <x:v>Inspection physique</x:v>
      </x:c>
      <x:c r="G2720" s="115" t="str">
        <x:v>1 niveaux ; 40 pièces ; 303 segments de mur ; 0 transitions. Inspection physique ; architecture complète encore ouverte.</x:v>
      </x:c>
      <x:c r="H2720" s="115" t="str">
        <x:v>L 368 ; l 344 ; hauteur 6,05 m ; choix de composition auteur ; dimensions réelles à documenter</x:v>
      </x:c>
      <x:c r="I2720" s="115" t="str">
        <x:v>À équilibrer</x:v>
      </x:c>
      <x:c r="J2720" s="115" t="str">
        <x:v>Non</x:v>
      </x:c>
      <x:c r="K2720" s="115" t="str">
        <x:v>Pièces décrites, murs, portes, niveaux et mobilier inspectables à l’échelle. Volumes réservés, raccord au seed, butin, rencontres et services de campagne restent à terminer.</x:v>
      </x:c>
    </x:row>
    <x:row r="2721" ht="96" customHeight="1">
      <x:c r="A2721" s="115" t="str">
        <x:v>EXT-MONDE-T055-V16</x:v>
      </x:c>
      <x:c r="B2721" s="115" t="str">
        <x:v>EXT-MONDE-T055</x:v>
      </x:c>
      <x:c r="C2721" s="115" t="str">
        <x:v>Usines</x:v>
      </x:c>
      <x:c r="D2721" s="115" t="str">
        <x:v>Usine textile</x:v>
      </x:c>
      <x:c r="E2721" s="115" t="n">
        <x:v>16</x:v>
      </x:c>
      <x:c r="F2721" s="115" t="str">
        <x:v>Inspection physique</x:v>
      </x:c>
      <x:c r="G2721" s="115" t="str">
        <x:v>1 niveaux ; 40 pièces ; 303 segments de mur ; 0 transitions. Inspection physique ; architecture complète encore ouverte.</x:v>
      </x:c>
      <x:c r="H2721" s="115" t="str">
        <x:v>L 368 ; l 344 ; hauteur 6,05 m ; choix de composition auteur ; dimensions réelles à documenter</x:v>
      </x:c>
      <x:c r="I2721" s="115" t="str">
        <x:v>À équilibrer</x:v>
      </x:c>
      <x:c r="J2721" s="115" t="str">
        <x:v>Non</x:v>
      </x:c>
      <x:c r="K2721" s="115" t="str">
        <x:v>Pièces décrites, murs, portes, niveaux et mobilier inspectables à l’échelle. Volumes réservés, raccord au seed, butin, rencontres et services de campagne restent à terminer.</x:v>
      </x:c>
    </x:row>
    <x:row r="2722" ht="96" customHeight="1">
      <x:c r="A2722" s="115" t="str">
        <x:v>EXT-MONDE-T055-V17</x:v>
      </x:c>
      <x:c r="B2722" s="115" t="str">
        <x:v>EXT-MONDE-T055</x:v>
      </x:c>
      <x:c r="C2722" s="115" t="str">
        <x:v>Usines</x:v>
      </x:c>
      <x:c r="D2722" s="115" t="str">
        <x:v>Usine textile</x:v>
      </x:c>
      <x:c r="E2722" s="115" t="n">
        <x:v>17</x:v>
      </x:c>
      <x:c r="F2722" s="115" t="str">
        <x:v>Inspection physique</x:v>
      </x:c>
      <x:c r="G2722" s="115" t="str">
        <x:v>1 niveaux ; 40 pièces ; 303 segments de mur ; 0 transitions. Inspection physique ; architecture complète encore ouverte.</x:v>
      </x:c>
      <x:c r="H2722" s="115" t="str">
        <x:v>L 368 ; l 344 ; hauteur 6,05 m ; choix de composition auteur ; dimensions réelles à documenter</x:v>
      </x:c>
      <x:c r="I2722" s="115" t="str">
        <x:v>À équilibrer</x:v>
      </x:c>
      <x:c r="J2722" s="115" t="str">
        <x:v>Non</x:v>
      </x:c>
      <x:c r="K2722" s="115" t="str">
        <x:v>Pièces décrites, murs, portes, niveaux et mobilier inspectables à l’échelle. Volumes réservés, raccord au seed, butin, rencontres et services de campagne restent à terminer.</x:v>
      </x:c>
    </x:row>
    <x:row r="2723" ht="96" customHeight="1">
      <x:c r="A2723" s="115" t="str">
        <x:v>EXT-MONDE-T055-V18</x:v>
      </x:c>
      <x:c r="B2723" s="115" t="str">
        <x:v>EXT-MONDE-T055</x:v>
      </x:c>
      <x:c r="C2723" s="115" t="str">
        <x:v>Usines</x:v>
      </x:c>
      <x:c r="D2723" s="115" t="str">
        <x:v>Usine textile</x:v>
      </x:c>
      <x:c r="E2723" s="115" t="n">
        <x:v>18</x:v>
      </x:c>
      <x:c r="F2723" s="115" t="str">
        <x:v>Inspection physique</x:v>
      </x:c>
      <x:c r="G2723" s="115" t="str">
        <x:v>1 niveaux ; 40 pièces ; 303 segments de mur ; 0 transitions. Inspection physique ; architecture complète encore ouverte.</x:v>
      </x:c>
      <x:c r="H2723" s="115" t="str">
        <x:v>L 368 ; l 344 ; hauteur 6,05 m ; choix de composition auteur ; dimensions réelles à documenter</x:v>
      </x:c>
      <x:c r="I2723" s="115" t="str">
        <x:v>À équilibrer</x:v>
      </x:c>
      <x:c r="J2723" s="115" t="str">
        <x:v>Non</x:v>
      </x:c>
      <x:c r="K2723" s="115" t="str">
        <x:v>Pièces décrites, murs, portes, niveaux et mobilier inspectables à l’échelle. Volumes réservés, raccord au seed, butin, rencontres et services de campagne restent à terminer.</x:v>
      </x:c>
    </x:row>
    <x:row r="2724" ht="96" customHeight="1">
      <x:c r="A2724" s="115" t="str">
        <x:v>EXT-MONDE-T055-V19</x:v>
      </x:c>
      <x:c r="B2724" s="115" t="str">
        <x:v>EXT-MONDE-T055</x:v>
      </x:c>
      <x:c r="C2724" s="115" t="str">
        <x:v>Usines</x:v>
      </x:c>
      <x:c r="D2724" s="115" t="str">
        <x:v>Usine textile</x:v>
      </x:c>
      <x:c r="E2724" s="115" t="n">
        <x:v>19</x:v>
      </x:c>
      <x:c r="F2724" s="115" t="str">
        <x:v>Inspection physique</x:v>
      </x:c>
      <x:c r="G2724" s="115" t="str">
        <x:v>1 niveaux ; 40 pièces ; 303 segments de mur ; 0 transitions. Inspection physique ; architecture complète encore ouverte.</x:v>
      </x:c>
      <x:c r="H2724" s="115" t="str">
        <x:v>L 368 ; l 344 ; hauteur 6,05 m ; choix de composition auteur ; dimensions réelles à documenter</x:v>
      </x:c>
      <x:c r="I2724" s="115" t="str">
        <x:v>À équilibrer</x:v>
      </x:c>
      <x:c r="J2724" s="115" t="str">
        <x:v>Non</x:v>
      </x:c>
      <x:c r="K2724" s="115" t="str">
        <x:v>Pièces décrites, murs, portes, niveaux et mobilier inspectables à l’échelle. Volumes réservés, raccord au seed, butin, rencontres et services de campagne restent à terminer.</x:v>
      </x:c>
    </x:row>
    <x:row r="2725" ht="96" customHeight="1">
      <x:c r="A2725" s="115" t="str">
        <x:v>EXT-MONDE-T055-V20</x:v>
      </x:c>
      <x:c r="B2725" s="115" t="str">
        <x:v>EXT-MONDE-T055</x:v>
      </x:c>
      <x:c r="C2725" s="115" t="str">
        <x:v>Usines</x:v>
      </x:c>
      <x:c r="D2725" s="115" t="str">
        <x:v>Usine textile</x:v>
      </x:c>
      <x:c r="E2725" s="115" t="n">
        <x:v>20</x:v>
      </x:c>
      <x:c r="F2725" s="115" t="str">
        <x:v>Inspection physique</x:v>
      </x:c>
      <x:c r="G2725" s="115" t="str">
        <x:v>1 niveaux ; 40 pièces ; 303 segments de mur ; 0 transitions. Inspection physique ; architecture complète encore ouverte.</x:v>
      </x:c>
      <x:c r="H2725" s="115" t="str">
        <x:v>L 368 ; l 344 ; hauteur 6,05 m ; choix de composition auteur ; dimensions réelles à documenter</x:v>
      </x:c>
      <x:c r="I2725" s="115" t="str">
        <x:v>À équilibrer</x:v>
      </x:c>
      <x:c r="J2725" s="115" t="str">
        <x:v>Non</x:v>
      </x:c>
      <x:c r="K2725" s="115" t="str">
        <x:v>Pièces décrites, murs, portes, niveaux et mobilier inspectables à l’échelle. Volumes réservés, raccord au seed, butin, rencontres et services de campagne restent à terminer.</x:v>
      </x:c>
    </x:row>
    <x:row r="2726" ht="96" customHeight="1">
      <x:c r="A2726" s="115" t="str">
        <x:v>EXT-MONDE-T055-V21</x:v>
      </x:c>
      <x:c r="B2726" s="115" t="str">
        <x:v>EXT-MONDE-T055</x:v>
      </x:c>
      <x:c r="C2726" s="115" t="str">
        <x:v>Usines</x:v>
      </x:c>
      <x:c r="D2726" s="115" t="str">
        <x:v>Usine textile</x:v>
      </x:c>
      <x:c r="E2726" s="115" t="n">
        <x:v>21</x:v>
      </x:c>
      <x:c r="F2726" s="115" t="str">
        <x:v>Inspection physique</x:v>
      </x:c>
      <x:c r="G2726" s="115" t="str">
        <x:v>1 niveaux ; 40 pièces ; 303 segments de mur ; 0 transitions. Inspection physique ; architecture complète encore ouverte.</x:v>
      </x:c>
      <x:c r="H2726" s="115" t="str">
        <x:v>L 386 ; l 368 ; hauteur 6,3 m ; choix de composition auteur ; dimensions réelles à documenter</x:v>
      </x:c>
      <x:c r="I2726" s="115" t="str">
        <x:v>À équilibrer</x:v>
      </x:c>
      <x:c r="J2726" s="115" t="str">
        <x:v>Non</x:v>
      </x:c>
      <x:c r="K2726" s="115" t="str">
        <x:v>Pièces décrites, murs, portes, niveaux et mobilier inspectables à l’échelle. Volumes réservés, raccord au seed, butin, rencontres et services de campagne restent à terminer.</x:v>
      </x:c>
    </x:row>
    <x:row r="2727" ht="96" customHeight="1">
      <x:c r="A2727" s="115" t="str">
        <x:v>EXT-MONDE-T055-V22</x:v>
      </x:c>
      <x:c r="B2727" s="115" t="str">
        <x:v>EXT-MONDE-T055</x:v>
      </x:c>
      <x:c r="C2727" s="115" t="str">
        <x:v>Usines</x:v>
      </x:c>
      <x:c r="D2727" s="115" t="str">
        <x:v>Usine textile</x:v>
      </x:c>
      <x:c r="E2727" s="115" t="n">
        <x:v>22</x:v>
      </x:c>
      <x:c r="F2727" s="115" t="str">
        <x:v>Inspection physique</x:v>
      </x:c>
      <x:c r="G2727" s="115" t="str">
        <x:v>1 niveaux ; 40 pièces ; 303 segments de mur ; 0 transitions. Inspection physique ; architecture complète encore ouverte.</x:v>
      </x:c>
      <x:c r="H2727" s="115" t="str">
        <x:v>L 386 ; l 368 ; hauteur 6,3 m ; choix de composition auteur ; dimensions réelles à documenter</x:v>
      </x:c>
      <x:c r="I2727" s="115" t="str">
        <x:v>À équilibrer</x:v>
      </x:c>
      <x:c r="J2727" s="115" t="str">
        <x:v>Non</x:v>
      </x:c>
      <x:c r="K2727" s="115" t="str">
        <x:v>Pièces décrites, murs, portes, niveaux et mobilier inspectables à l’échelle. Volumes réservés, raccord au seed, butin, rencontres et services de campagne restent à terminer.</x:v>
      </x:c>
    </x:row>
    <x:row r="2728" ht="96" customHeight="1">
      <x:c r="A2728" s="115" t="str">
        <x:v>EXT-MONDE-T055-V23</x:v>
      </x:c>
      <x:c r="B2728" s="115" t="str">
        <x:v>EXT-MONDE-T055</x:v>
      </x:c>
      <x:c r="C2728" s="115" t="str">
        <x:v>Usines</x:v>
      </x:c>
      <x:c r="D2728" s="115" t="str">
        <x:v>Usine textile</x:v>
      </x:c>
      <x:c r="E2728" s="115" t="n">
        <x:v>23</x:v>
      </x:c>
      <x:c r="F2728" s="115" t="str">
        <x:v>Inspection physique</x:v>
      </x:c>
      <x:c r="G2728" s="115" t="str">
        <x:v>1 niveaux ; 40 pièces ; 303 segments de mur ; 0 transitions. Inspection physique ; architecture complète encore ouverte.</x:v>
      </x:c>
      <x:c r="H2728" s="115" t="str">
        <x:v>L 386 ; l 368 ; hauteur 6,3 m ; choix de composition auteur ; dimensions réelles à documenter</x:v>
      </x:c>
      <x:c r="I2728" s="115" t="str">
        <x:v>À équilibrer</x:v>
      </x:c>
      <x:c r="J2728" s="115" t="str">
        <x:v>Non</x:v>
      </x:c>
      <x:c r="K2728" s="115" t="str">
        <x:v>Pièces décrites, murs, portes, niveaux et mobilier inspectables à l’échelle. Volumes réservés, raccord au seed, butin, rencontres et services de campagne restent à terminer.</x:v>
      </x:c>
    </x:row>
    <x:row r="2729" ht="96" customHeight="1">
      <x:c r="A2729" s="115" t="str">
        <x:v>EXT-MONDE-T055-V24</x:v>
      </x:c>
      <x:c r="B2729" s="115" t="str">
        <x:v>EXT-MONDE-T055</x:v>
      </x:c>
      <x:c r="C2729" s="115" t="str">
        <x:v>Usines</x:v>
      </x:c>
      <x:c r="D2729" s="115" t="str">
        <x:v>Usine textile</x:v>
      </x:c>
      <x:c r="E2729" s="115" t="n">
        <x:v>24</x:v>
      </x:c>
      <x:c r="F2729" s="115" t="str">
        <x:v>Inspection physique</x:v>
      </x:c>
      <x:c r="G2729" s="115" t="str">
        <x:v>1 niveaux ; 40 pièces ; 303 segments de mur ; 0 transitions. Inspection physique ; architecture complète encore ouverte.</x:v>
      </x:c>
      <x:c r="H2729" s="115" t="str">
        <x:v>L 386 ; l 368 ; hauteur 6,3 m ; choix de composition auteur ; dimensions réelles à documenter</x:v>
      </x:c>
      <x:c r="I2729" s="115" t="str">
        <x:v>À équilibrer</x:v>
      </x:c>
      <x:c r="J2729" s="115" t="str">
        <x:v>Non</x:v>
      </x:c>
      <x:c r="K2729" s="115" t="str">
        <x:v>Pièces décrites, murs, portes, niveaux et mobilier inspectables à l’échelle. Volumes réservés, raccord au seed, butin, rencontres et services de campagne restent à terminer.</x:v>
      </x:c>
    </x:row>
    <x:row r="2730" ht="96" customHeight="1">
      <x:c r="A2730" s="115" t="str">
        <x:v>EXT-MONDE-T055-V25</x:v>
      </x:c>
      <x:c r="B2730" s="115" t="str">
        <x:v>EXT-MONDE-T055</x:v>
      </x:c>
      <x:c r="C2730" s="115" t="str">
        <x:v>Usines</x:v>
      </x:c>
      <x:c r="D2730" s="115" t="str">
        <x:v>Usine textile</x:v>
      </x:c>
      <x:c r="E2730" s="115" t="n">
        <x:v>25</x:v>
      </x:c>
      <x:c r="F2730" s="115" t="str">
        <x:v>Inspection physique</x:v>
      </x:c>
      <x:c r="G2730" s="115" t="str">
        <x:v>1 niveaux ; 40 pièces ; 303 segments de mur ; 0 transitions. Inspection physique ; architecture complète encore ouverte.</x:v>
      </x:c>
      <x:c r="H2730" s="115" t="str">
        <x:v>L 386 ; l 368 ; hauteur 6,3 m ; choix de composition auteur ; dimensions réelles à documenter</x:v>
      </x:c>
      <x:c r="I2730" s="115" t="str">
        <x:v>À équilibrer</x:v>
      </x:c>
      <x:c r="J2730" s="115" t="str">
        <x:v>Non</x:v>
      </x:c>
      <x:c r="K2730" s="115" t="str">
        <x:v>Pièces décrites, murs, portes, niveaux et mobilier inspectables à l’échelle. Volumes réservés, raccord au seed, butin, rencontres et services de campagne restent à terminer.</x:v>
      </x:c>
    </x:row>
    <x:row r="2731" ht="96" customHeight="1">
      <x:c r="A2731" s="115" t="str">
        <x:v>EXT-MONDE-T055-V26</x:v>
      </x:c>
      <x:c r="B2731" s="115" t="str">
        <x:v>EXT-MONDE-T055</x:v>
      </x:c>
      <x:c r="C2731" s="115" t="str">
        <x:v>Usines</x:v>
      </x:c>
      <x:c r="D2731" s="115" t="str">
        <x:v>Usine textile</x:v>
      </x:c>
      <x:c r="E2731" s="115" t="n">
        <x:v>26</x:v>
      </x:c>
      <x:c r="F2731" s="115" t="str">
        <x:v>Inspection physique</x:v>
      </x:c>
      <x:c r="G2731" s="115" t="str">
        <x:v>1 niveaux ; 40 pièces ; 303 segments de mur ; 0 transitions. Inspection physique ; architecture complète encore ouverte.</x:v>
      </x:c>
      <x:c r="H2731" s="115" t="str">
        <x:v>L 386 ; l 368 ; hauteur 6,3 m ; choix de composition auteur ; dimensions réelles à documenter</x:v>
      </x:c>
      <x:c r="I2731" s="115" t="str">
        <x:v>À équilibrer</x:v>
      </x:c>
      <x:c r="J2731" s="115" t="str">
        <x:v>Non</x:v>
      </x:c>
      <x:c r="K2731" s="115" t="str">
        <x:v>Pièces décrites, murs, portes, niveaux et mobilier inspectables à l’échelle. Volumes réservés, raccord au seed, butin, rencontres et services de campagne restent à terminer.</x:v>
      </x:c>
    </x:row>
    <x:row r="2732" ht="96" customHeight="1">
      <x:c r="A2732" s="115" t="str">
        <x:v>EXT-MONDE-T055-V27</x:v>
      </x:c>
      <x:c r="B2732" s="115" t="str">
        <x:v>EXT-MONDE-T055</x:v>
      </x:c>
      <x:c r="C2732" s="115" t="str">
        <x:v>Usines</x:v>
      </x:c>
      <x:c r="D2732" s="115" t="str">
        <x:v>Usine textile</x:v>
      </x:c>
      <x:c r="E2732" s="115" t="n">
        <x:v>27</x:v>
      </x:c>
      <x:c r="F2732" s="115" t="str">
        <x:v>Inspection physique</x:v>
      </x:c>
      <x:c r="G2732" s="115" t="str">
        <x:v>1 niveaux ; 40 pièces ; 303 segments de mur ; 0 transitions. Inspection physique ; architecture complète encore ouverte.</x:v>
      </x:c>
      <x:c r="H2732" s="115" t="str">
        <x:v>L 386 ; l 368 ; hauteur 6,3 m ; choix de composition auteur ; dimensions réelles à documenter</x:v>
      </x:c>
      <x:c r="I2732" s="115" t="str">
        <x:v>À équilibrer</x:v>
      </x:c>
      <x:c r="J2732" s="115" t="str">
        <x:v>Non</x:v>
      </x:c>
      <x:c r="K2732" s="115" t="str">
        <x:v>Pièces décrites, murs, portes, niveaux et mobilier inspectables à l’échelle. Volumes réservés, raccord au seed, butin, rencontres et services de campagne restent à terminer.</x:v>
      </x:c>
    </x:row>
    <x:row r="2733" ht="96" customHeight="1">
      <x:c r="A2733" s="115" t="str">
        <x:v>EXT-MONDE-T055-V28</x:v>
      </x:c>
      <x:c r="B2733" s="115" t="str">
        <x:v>EXT-MONDE-T055</x:v>
      </x:c>
      <x:c r="C2733" s="115" t="str">
        <x:v>Usines</x:v>
      </x:c>
      <x:c r="D2733" s="115" t="str">
        <x:v>Usine textile</x:v>
      </x:c>
      <x:c r="E2733" s="115" t="n">
        <x:v>28</x:v>
      </x:c>
      <x:c r="F2733" s="115" t="str">
        <x:v>Inspection physique</x:v>
      </x:c>
      <x:c r="G2733" s="115" t="str">
        <x:v>1 niveaux ; 40 pièces ; 303 segments de mur ; 0 transitions. Inspection physique ; architecture complète encore ouverte.</x:v>
      </x:c>
      <x:c r="H2733" s="115" t="str">
        <x:v>L 386 ; l 368 ; hauteur 6,3 m ; choix de composition auteur ; dimensions réelles à documenter</x:v>
      </x:c>
      <x:c r="I2733" s="115" t="str">
        <x:v>À équilibrer</x:v>
      </x:c>
      <x:c r="J2733" s="115" t="str">
        <x:v>Non</x:v>
      </x:c>
      <x:c r="K2733" s="115" t="str">
        <x:v>Pièces décrites, murs, portes, niveaux et mobilier inspectables à l’échelle. Volumes réservés, raccord au seed, butin, rencontres et services de campagne restent à terminer.</x:v>
      </x:c>
    </x:row>
    <x:row r="2734" ht="96" customHeight="1">
      <x:c r="A2734" s="115" t="str">
        <x:v>EXT-MONDE-T055-V29</x:v>
      </x:c>
      <x:c r="B2734" s="115" t="str">
        <x:v>EXT-MONDE-T055</x:v>
      </x:c>
      <x:c r="C2734" s="115" t="str">
        <x:v>Usines</x:v>
      </x:c>
      <x:c r="D2734" s="115" t="str">
        <x:v>Usine textile</x:v>
      </x:c>
      <x:c r="E2734" s="115" t="n">
        <x:v>29</x:v>
      </x:c>
      <x:c r="F2734" s="115" t="str">
        <x:v>Inspection physique</x:v>
      </x:c>
      <x:c r="G2734" s="115" t="str">
        <x:v>1 niveaux ; 40 pièces ; 303 segments de mur ; 0 transitions. Inspection physique ; architecture complète encore ouverte.</x:v>
      </x:c>
      <x:c r="H2734" s="115" t="str">
        <x:v>L 386 ; l 368 ; hauteur 6,3 m ; choix de composition auteur ; dimensions réelles à documenter</x:v>
      </x:c>
      <x:c r="I2734" s="115" t="str">
        <x:v>À équilibrer</x:v>
      </x:c>
      <x:c r="J2734" s="115" t="str">
        <x:v>Non</x:v>
      </x:c>
      <x:c r="K2734" s="115" t="str">
        <x:v>Pièces décrites, murs, portes, niveaux et mobilier inspectables à l’échelle. Volumes réservés, raccord au seed, butin, rencontres et services de campagne restent à terminer.</x:v>
      </x:c>
    </x:row>
    <x:row r="2735" ht="96" customHeight="1">
      <x:c r="A2735" s="115" t="str">
        <x:v>EXT-MONDE-T055-V30</x:v>
      </x:c>
      <x:c r="B2735" s="115" t="str">
        <x:v>EXT-MONDE-T055</x:v>
      </x:c>
      <x:c r="C2735" s="115" t="str">
        <x:v>Usines</x:v>
      </x:c>
      <x:c r="D2735" s="115" t="str">
        <x:v>Usine textile</x:v>
      </x:c>
      <x:c r="E2735" s="115" t="n">
        <x:v>30</x:v>
      </x:c>
      <x:c r="F2735" s="115" t="str">
        <x:v>Inspection physique</x:v>
      </x:c>
      <x:c r="G2735" s="115" t="str">
        <x:v>1 niveaux ; 40 pièces ; 303 segments de mur ; 0 transitions. Inspection physique ; architecture complète encore ouverte.</x:v>
      </x:c>
      <x:c r="H2735" s="115" t="str">
        <x:v>L 386 ; l 368 ; hauteur 6,3 m ; choix de composition auteur ; dimensions réelles à documenter</x:v>
      </x:c>
      <x:c r="I2735" s="115" t="str">
        <x:v>À équilibrer</x:v>
      </x:c>
      <x:c r="J2735" s="115" t="str">
        <x:v>Non</x:v>
      </x:c>
      <x:c r="K2735" s="115" t="str">
        <x:v>Pièces décrites, murs, portes, niveaux et mobilier inspectables à l’échelle. Volumes réservés, raccord au seed, butin, rencontres et services de campagne restent à terminer.</x:v>
      </x:c>
    </x:row>
    <x:row r="2736" ht="96" customHeight="1">
      <x:c r="A2736" s="115" t="str">
        <x:v>EXT-MONDE-T055-V31</x:v>
      </x:c>
      <x:c r="B2736" s="115" t="str">
        <x:v>EXT-MONDE-T055</x:v>
      </x:c>
      <x:c r="C2736" s="115" t="str">
        <x:v>Usines</x:v>
      </x:c>
      <x:c r="D2736" s="115" t="str">
        <x:v>Usine textile</x:v>
      </x:c>
      <x:c r="E2736" s="115" t="n">
        <x:v>31</x:v>
      </x:c>
      <x:c r="F2736" s="115" t="str">
        <x:v>Inspection physique</x:v>
      </x:c>
      <x:c r="G2736" s="115" t="str">
        <x:v>1 niveaux ; 40 pièces ; 303 segments de mur ; 0 transitions. Inspection physique ; architecture complète encore ouverte.</x:v>
      </x:c>
      <x:c r="H2736" s="115" t="str">
        <x:v>L 404 ; l 392 ; hauteur 6,55 m ; choix de composition auteur ; dimensions réelles à documenter</x:v>
      </x:c>
      <x:c r="I2736" s="115" t="str">
        <x:v>À équilibrer</x:v>
      </x:c>
      <x:c r="J2736" s="115" t="str">
        <x:v>Non</x:v>
      </x:c>
      <x:c r="K2736" s="115" t="str">
        <x:v>Pièces décrites, murs, portes, niveaux et mobilier inspectables à l’échelle. Volumes réservés, raccord au seed, butin, rencontres et services de campagne restent à terminer.</x:v>
      </x:c>
    </x:row>
    <x:row r="2737" ht="96" customHeight="1">
      <x:c r="A2737" s="115" t="str">
        <x:v>EXT-MONDE-T055-V32</x:v>
      </x:c>
      <x:c r="B2737" s="115" t="str">
        <x:v>EXT-MONDE-T055</x:v>
      </x:c>
      <x:c r="C2737" s="115" t="str">
        <x:v>Usines</x:v>
      </x:c>
      <x:c r="D2737" s="115" t="str">
        <x:v>Usine textile</x:v>
      </x:c>
      <x:c r="E2737" s="115" t="n">
        <x:v>32</x:v>
      </x:c>
      <x:c r="F2737" s="115" t="str">
        <x:v>Inspection physique</x:v>
      </x:c>
      <x:c r="G2737" s="115" t="str">
        <x:v>1 niveaux ; 40 pièces ; 303 segments de mur ; 0 transitions. Inspection physique ; architecture complète encore ouverte.</x:v>
      </x:c>
      <x:c r="H2737" s="115" t="str">
        <x:v>L 404 ; l 392 ; hauteur 6,55 m ; choix de composition auteur ; dimensions réelles à documenter</x:v>
      </x:c>
      <x:c r="I2737" s="115" t="str">
        <x:v>À équilibrer</x:v>
      </x:c>
      <x:c r="J2737" s="115" t="str">
        <x:v>Non</x:v>
      </x:c>
      <x:c r="K2737" s="115" t="str">
        <x:v>Pièces décrites, murs, portes, niveaux et mobilier inspectables à l’échelle. Volumes réservés, raccord au seed, butin, rencontres et services de campagne restent à terminer.</x:v>
      </x:c>
    </x:row>
    <x:row r="2738" ht="96" customHeight="1">
      <x:c r="A2738" s="115" t="str">
        <x:v>EXT-MONDE-T055-V33</x:v>
      </x:c>
      <x:c r="B2738" s="115" t="str">
        <x:v>EXT-MONDE-T055</x:v>
      </x:c>
      <x:c r="C2738" s="115" t="str">
        <x:v>Usines</x:v>
      </x:c>
      <x:c r="D2738" s="115" t="str">
        <x:v>Usine textile</x:v>
      </x:c>
      <x:c r="E2738" s="115" t="n">
        <x:v>33</x:v>
      </x:c>
      <x:c r="F2738" s="115" t="str">
        <x:v>Inspection physique</x:v>
      </x:c>
      <x:c r="G2738" s="115" t="str">
        <x:v>1 niveaux ; 40 pièces ; 303 segments de mur ; 0 transitions. Inspection physique ; architecture complète encore ouverte.</x:v>
      </x:c>
      <x:c r="H2738" s="115" t="str">
        <x:v>L 404 ; l 392 ; hauteur 6,55 m ; choix de composition auteur ; dimensions réelles à documenter</x:v>
      </x:c>
      <x:c r="I2738" s="115" t="str">
        <x:v>À équilibrer</x:v>
      </x:c>
      <x:c r="J2738" s="115" t="str">
        <x:v>Non</x:v>
      </x:c>
      <x:c r="K2738" s="115" t="str">
        <x:v>Pièces décrites, murs, portes, niveaux et mobilier inspectables à l’échelle. Volumes réservés, raccord au seed, butin, rencontres et services de campagne restent à terminer.</x:v>
      </x:c>
    </x:row>
    <x:row r="2739" ht="96" customHeight="1">
      <x:c r="A2739" s="115" t="str">
        <x:v>EXT-MONDE-T055-V34</x:v>
      </x:c>
      <x:c r="B2739" s="115" t="str">
        <x:v>EXT-MONDE-T055</x:v>
      </x:c>
      <x:c r="C2739" s="115" t="str">
        <x:v>Usines</x:v>
      </x:c>
      <x:c r="D2739" s="115" t="str">
        <x:v>Usine textile</x:v>
      </x:c>
      <x:c r="E2739" s="115" t="n">
        <x:v>34</x:v>
      </x:c>
      <x:c r="F2739" s="115" t="str">
        <x:v>Inspection physique</x:v>
      </x:c>
      <x:c r="G2739" s="115" t="str">
        <x:v>1 niveaux ; 40 pièces ; 303 segments de mur ; 0 transitions. Inspection physique ; architecture complète encore ouverte.</x:v>
      </x:c>
      <x:c r="H2739" s="115" t="str">
        <x:v>L 404 ; l 392 ; hauteur 6,55 m ; choix de composition auteur ; dimensions réelles à documenter</x:v>
      </x:c>
      <x:c r="I2739" s="115" t="str">
        <x:v>À équilibrer</x:v>
      </x:c>
      <x:c r="J2739" s="115" t="str">
        <x:v>Non</x:v>
      </x:c>
      <x:c r="K2739" s="115" t="str">
        <x:v>Pièces décrites, murs, portes, niveaux et mobilier inspectables à l’échelle. Volumes réservés, raccord au seed, butin, rencontres et services de campagne restent à terminer.</x:v>
      </x:c>
    </x:row>
    <x:row r="2740" ht="96" customHeight="1">
      <x:c r="A2740" s="115" t="str">
        <x:v>EXT-MONDE-T055-V35</x:v>
      </x:c>
      <x:c r="B2740" s="115" t="str">
        <x:v>EXT-MONDE-T055</x:v>
      </x:c>
      <x:c r="C2740" s="115" t="str">
        <x:v>Usines</x:v>
      </x:c>
      <x:c r="D2740" s="115" t="str">
        <x:v>Usine textile</x:v>
      </x:c>
      <x:c r="E2740" s="115" t="n">
        <x:v>35</x:v>
      </x:c>
      <x:c r="F2740" s="115" t="str">
        <x:v>Inspection physique</x:v>
      </x:c>
      <x:c r="G2740" s="115" t="str">
        <x:v>1 niveaux ; 40 pièces ; 303 segments de mur ; 0 transitions. Inspection physique ; architecture complète encore ouverte.</x:v>
      </x:c>
      <x:c r="H2740" s="115" t="str">
        <x:v>L 404 ; l 392 ; hauteur 6,55 m ; choix de composition auteur ; dimensions réelles à documenter</x:v>
      </x:c>
      <x:c r="I2740" s="115" t="str">
        <x:v>À équilibrer</x:v>
      </x:c>
      <x:c r="J2740" s="115" t="str">
        <x:v>Non</x:v>
      </x:c>
      <x:c r="K2740" s="115" t="str">
        <x:v>Pièces décrites, murs, portes, niveaux et mobilier inspectables à l’échelle. Volumes réservés, raccord au seed, butin, rencontres et services de campagne restent à terminer.</x:v>
      </x:c>
    </x:row>
    <x:row r="2741" ht="96" customHeight="1">
      <x:c r="A2741" s="115" t="str">
        <x:v>EXT-MONDE-T055-V36</x:v>
      </x:c>
      <x:c r="B2741" s="115" t="str">
        <x:v>EXT-MONDE-T055</x:v>
      </x:c>
      <x:c r="C2741" s="115" t="str">
        <x:v>Usines</x:v>
      </x:c>
      <x:c r="D2741" s="115" t="str">
        <x:v>Usine textile</x:v>
      </x:c>
      <x:c r="E2741" s="115" t="n">
        <x:v>36</x:v>
      </x:c>
      <x:c r="F2741" s="115" t="str">
        <x:v>Inspection physique</x:v>
      </x:c>
      <x:c r="G2741" s="115" t="str">
        <x:v>1 niveaux ; 40 pièces ; 303 segments de mur ; 0 transitions. Inspection physique ; architecture complète encore ouverte.</x:v>
      </x:c>
      <x:c r="H2741" s="115" t="str">
        <x:v>L 404 ; l 392 ; hauteur 6,55 m ; choix de composition auteur ; dimensions réelles à documenter</x:v>
      </x:c>
      <x:c r="I2741" s="115" t="str">
        <x:v>À équilibrer</x:v>
      </x:c>
      <x:c r="J2741" s="115" t="str">
        <x:v>Non</x:v>
      </x:c>
      <x:c r="K2741" s="115" t="str">
        <x:v>Pièces décrites, murs, portes, niveaux et mobilier inspectables à l’échelle. Volumes réservés, raccord au seed, butin, rencontres et services de campagne restent à terminer.</x:v>
      </x:c>
    </x:row>
    <x:row r="2742" ht="96" customHeight="1">
      <x:c r="A2742" s="115" t="str">
        <x:v>EXT-MONDE-T055-V37</x:v>
      </x:c>
      <x:c r="B2742" s="115" t="str">
        <x:v>EXT-MONDE-T055</x:v>
      </x:c>
      <x:c r="C2742" s="115" t="str">
        <x:v>Usines</x:v>
      </x:c>
      <x:c r="D2742" s="115" t="str">
        <x:v>Usine textile</x:v>
      </x:c>
      <x:c r="E2742" s="115" t="n">
        <x:v>37</x:v>
      </x:c>
      <x:c r="F2742" s="115" t="str">
        <x:v>Inspection physique</x:v>
      </x:c>
      <x:c r="G2742" s="115" t="str">
        <x:v>1 niveaux ; 40 pièces ; 303 segments de mur ; 0 transitions. Inspection physique ; architecture complète encore ouverte.</x:v>
      </x:c>
      <x:c r="H2742" s="115" t="str">
        <x:v>L 404 ; l 392 ; hauteur 6,55 m ; choix de composition auteur ; dimensions réelles à documenter</x:v>
      </x:c>
      <x:c r="I2742" s="115" t="str">
        <x:v>À équilibrer</x:v>
      </x:c>
      <x:c r="J2742" s="115" t="str">
        <x:v>Non</x:v>
      </x:c>
      <x:c r="K2742" s="115" t="str">
        <x:v>Pièces décrites, murs, portes, niveaux et mobilier inspectables à l’échelle. Volumes réservés, raccord au seed, butin, rencontres et services de campagne restent à terminer.</x:v>
      </x:c>
    </x:row>
    <x:row r="2743" ht="96" customHeight="1">
      <x:c r="A2743" s="115" t="str">
        <x:v>EXT-MONDE-T055-V38</x:v>
      </x:c>
      <x:c r="B2743" s="115" t="str">
        <x:v>EXT-MONDE-T055</x:v>
      </x:c>
      <x:c r="C2743" s="115" t="str">
        <x:v>Usines</x:v>
      </x:c>
      <x:c r="D2743" s="115" t="str">
        <x:v>Usine textile</x:v>
      </x:c>
      <x:c r="E2743" s="115" t="n">
        <x:v>38</x:v>
      </x:c>
      <x:c r="F2743" s="115" t="str">
        <x:v>Inspection physique</x:v>
      </x:c>
      <x:c r="G2743" s="115" t="str">
        <x:v>1 niveaux ; 40 pièces ; 303 segments de mur ; 0 transitions. Inspection physique ; architecture complète encore ouverte.</x:v>
      </x:c>
      <x:c r="H2743" s="115" t="str">
        <x:v>L 404 ; l 392 ; hauteur 6,55 m ; choix de composition auteur ; dimensions réelles à documenter</x:v>
      </x:c>
      <x:c r="I2743" s="115" t="str">
        <x:v>À équilibrer</x:v>
      </x:c>
      <x:c r="J2743" s="115" t="str">
        <x:v>Non</x:v>
      </x:c>
      <x:c r="K2743" s="115" t="str">
        <x:v>Pièces décrites, murs, portes, niveaux et mobilier inspectables à l’échelle. Volumes réservés, raccord au seed, butin, rencontres et services de campagne restent à terminer.</x:v>
      </x:c>
    </x:row>
    <x:row r="2744" ht="96" customHeight="1">
      <x:c r="A2744" s="115" t="str">
        <x:v>EXT-MONDE-T055-V39</x:v>
      </x:c>
      <x:c r="B2744" s="115" t="str">
        <x:v>EXT-MONDE-T055</x:v>
      </x:c>
      <x:c r="C2744" s="115" t="str">
        <x:v>Usines</x:v>
      </x:c>
      <x:c r="D2744" s="115" t="str">
        <x:v>Usine textile</x:v>
      </x:c>
      <x:c r="E2744" s="115" t="n">
        <x:v>39</x:v>
      </x:c>
      <x:c r="F2744" s="115" t="str">
        <x:v>Inspection physique</x:v>
      </x:c>
      <x:c r="G2744" s="115" t="str">
        <x:v>1 niveaux ; 40 pièces ; 303 segments de mur ; 0 transitions. Inspection physique ; architecture complète encore ouverte.</x:v>
      </x:c>
      <x:c r="H2744" s="115" t="str">
        <x:v>L 404 ; l 392 ; hauteur 6,55 m ; choix de composition auteur ; dimensions réelles à documenter</x:v>
      </x:c>
      <x:c r="I2744" s="115" t="str">
        <x:v>À équilibrer</x:v>
      </x:c>
      <x:c r="J2744" s="115" t="str">
        <x:v>Non</x:v>
      </x:c>
      <x:c r="K2744" s="115" t="str">
        <x:v>Pièces décrites, murs, portes, niveaux et mobilier inspectables à l’échelle. Volumes réservés, raccord au seed, butin, rencontres et services de campagne restent à terminer.</x:v>
      </x:c>
    </x:row>
    <x:row r="2745" ht="96" customHeight="1">
      <x:c r="A2745" s="115" t="str">
        <x:v>EXT-MONDE-T055-V40</x:v>
      </x:c>
      <x:c r="B2745" s="115" t="str">
        <x:v>EXT-MONDE-T055</x:v>
      </x:c>
      <x:c r="C2745" s="115" t="str">
        <x:v>Usines</x:v>
      </x:c>
      <x:c r="D2745" s="115" t="str">
        <x:v>Usine textile</x:v>
      </x:c>
      <x:c r="E2745" s="115" t="n">
        <x:v>40</x:v>
      </x:c>
      <x:c r="F2745" s="115" t="str">
        <x:v>Inspection physique</x:v>
      </x:c>
      <x:c r="G2745" s="115" t="str">
        <x:v>1 niveaux ; 40 pièces ; 303 segments de mur ; 0 transitions. Inspection physique ; architecture complète encore ouverte.</x:v>
      </x:c>
      <x:c r="H2745" s="115" t="str">
        <x:v>L 404 ; l 392 ; hauteur 6,55 m ; choix de composition auteur ; dimensions réelles à documenter</x:v>
      </x:c>
      <x:c r="I2745" s="115" t="str">
        <x:v>À équilibrer</x:v>
      </x:c>
      <x:c r="J2745" s="115" t="str">
        <x:v>Non</x:v>
      </x:c>
      <x:c r="K2745" s="115" t="str">
        <x:v>Pièces décrites, murs, portes, niveaux et mobilier inspectables à l’échelle. Volumes réservés, raccord au seed, butin, rencontres et services de campagne restent à terminer.</x:v>
      </x:c>
    </x:row>
    <x:row r="2746" ht="96" customHeight="1">
      <x:c r="A2746" s="115" t="str">
        <x:v>EXT-MONDE-T055-V41</x:v>
      </x:c>
      <x:c r="B2746" s="115" t="str">
        <x:v>EXT-MONDE-T055</x:v>
      </x:c>
      <x:c r="C2746" s="115" t="str">
        <x:v>Usines</x:v>
      </x:c>
      <x:c r="D2746" s="115" t="str">
        <x:v>Usine textile</x:v>
      </x:c>
      <x:c r="E2746" s="115" t="n">
        <x:v>41</x:v>
      </x:c>
      <x:c r="F2746" s="115" t="str">
        <x:v>Inspection physique</x:v>
      </x:c>
      <x:c r="G2746" s="115" t="str">
        <x:v>1 niveaux ; 40 pièces ; 303 segments de mur ; 0 transitions. Inspection physique ; architecture complète encore ouverte.</x:v>
      </x:c>
      <x:c r="H2746" s="115" t="str">
        <x:v>L 422 ; l 416 ; hauteur 6,8 m ; choix de composition auteur ; dimensions réelles à documenter</x:v>
      </x:c>
      <x:c r="I2746" s="115" t="str">
        <x:v>À équilibrer</x:v>
      </x:c>
      <x:c r="J2746" s="115" t="str">
        <x:v>Non</x:v>
      </x:c>
      <x:c r="K2746" s="115" t="str">
        <x:v>Pièces décrites, murs, portes, niveaux et mobilier inspectables à l’échelle. Volumes réservés, raccord au seed, butin, rencontres et services de campagne restent à terminer.</x:v>
      </x:c>
    </x:row>
    <x:row r="2747" ht="96" customHeight="1">
      <x:c r="A2747" s="115" t="str">
        <x:v>EXT-MONDE-T055-V42</x:v>
      </x:c>
      <x:c r="B2747" s="115" t="str">
        <x:v>EXT-MONDE-T055</x:v>
      </x:c>
      <x:c r="C2747" s="115" t="str">
        <x:v>Usines</x:v>
      </x:c>
      <x:c r="D2747" s="115" t="str">
        <x:v>Usine textile</x:v>
      </x:c>
      <x:c r="E2747" s="115" t="n">
        <x:v>42</x:v>
      </x:c>
      <x:c r="F2747" s="115" t="str">
        <x:v>Inspection physique</x:v>
      </x:c>
      <x:c r="G2747" s="115" t="str">
        <x:v>1 niveaux ; 40 pièces ; 303 segments de mur ; 0 transitions. Inspection physique ; architecture complète encore ouverte.</x:v>
      </x:c>
      <x:c r="H2747" s="115" t="str">
        <x:v>L 422 ; l 416 ; hauteur 6,8 m ; choix de composition auteur ; dimensions réelles à documenter</x:v>
      </x:c>
      <x:c r="I2747" s="115" t="str">
        <x:v>À équilibrer</x:v>
      </x:c>
      <x:c r="J2747" s="115" t="str">
        <x:v>Non</x:v>
      </x:c>
      <x:c r="K2747" s="115" t="str">
        <x:v>Pièces décrites, murs, portes, niveaux et mobilier inspectables à l’échelle. Volumes réservés, raccord au seed, butin, rencontres et services de campagne restent à terminer.</x:v>
      </x:c>
    </x:row>
    <x:row r="2748" ht="96" customHeight="1">
      <x:c r="A2748" s="115" t="str">
        <x:v>EXT-MONDE-T055-V43</x:v>
      </x:c>
      <x:c r="B2748" s="115" t="str">
        <x:v>EXT-MONDE-T055</x:v>
      </x:c>
      <x:c r="C2748" s="115" t="str">
        <x:v>Usines</x:v>
      </x:c>
      <x:c r="D2748" s="115" t="str">
        <x:v>Usine textile</x:v>
      </x:c>
      <x:c r="E2748" s="115" t="n">
        <x:v>43</x:v>
      </x:c>
      <x:c r="F2748" s="115" t="str">
        <x:v>Inspection physique</x:v>
      </x:c>
      <x:c r="G2748" s="115" t="str">
        <x:v>1 niveaux ; 40 pièces ; 303 segments de mur ; 0 transitions. Inspection physique ; architecture complète encore ouverte.</x:v>
      </x:c>
      <x:c r="H2748" s="115" t="str">
        <x:v>L 422 ; l 416 ; hauteur 6,8 m ; choix de composition auteur ; dimensions réelles à documenter</x:v>
      </x:c>
      <x:c r="I2748" s="115" t="str">
        <x:v>À équilibrer</x:v>
      </x:c>
      <x:c r="J2748" s="115" t="str">
        <x:v>Non</x:v>
      </x:c>
      <x:c r="K2748" s="115" t="str">
        <x:v>Pièces décrites, murs, portes, niveaux et mobilier inspectables à l’échelle. Volumes réservés, raccord au seed, butin, rencontres et services de campagne restent à terminer.</x:v>
      </x:c>
    </x:row>
    <x:row r="2749" ht="96" customHeight="1">
      <x:c r="A2749" s="115" t="str">
        <x:v>EXT-MONDE-T055-V44</x:v>
      </x:c>
      <x:c r="B2749" s="115" t="str">
        <x:v>EXT-MONDE-T055</x:v>
      </x:c>
      <x:c r="C2749" s="115" t="str">
        <x:v>Usines</x:v>
      </x:c>
      <x:c r="D2749" s="115" t="str">
        <x:v>Usine textile</x:v>
      </x:c>
      <x:c r="E2749" s="115" t="n">
        <x:v>44</x:v>
      </x:c>
      <x:c r="F2749" s="115" t="str">
        <x:v>Inspection physique</x:v>
      </x:c>
      <x:c r="G2749" s="115" t="str">
        <x:v>1 niveaux ; 40 pièces ; 303 segments de mur ; 0 transitions. Inspection physique ; architecture complète encore ouverte.</x:v>
      </x:c>
      <x:c r="H2749" s="115" t="str">
        <x:v>L 422 ; l 416 ; hauteur 6,8 m ; choix de composition auteur ; dimensions réelles à documenter</x:v>
      </x:c>
      <x:c r="I2749" s="115" t="str">
        <x:v>À équilibrer</x:v>
      </x:c>
      <x:c r="J2749" s="115" t="str">
        <x:v>Non</x:v>
      </x:c>
      <x:c r="K2749" s="115" t="str">
        <x:v>Pièces décrites, murs, portes, niveaux et mobilier inspectables à l’échelle. Volumes réservés, raccord au seed, butin, rencontres et services de campagne restent à terminer.</x:v>
      </x:c>
    </x:row>
    <x:row r="2750" ht="96" customHeight="1">
      <x:c r="A2750" s="115" t="str">
        <x:v>EXT-MONDE-T055-V45</x:v>
      </x:c>
      <x:c r="B2750" s="115" t="str">
        <x:v>EXT-MONDE-T055</x:v>
      </x:c>
      <x:c r="C2750" s="115" t="str">
        <x:v>Usines</x:v>
      </x:c>
      <x:c r="D2750" s="115" t="str">
        <x:v>Usine textile</x:v>
      </x:c>
      <x:c r="E2750" s="115" t="n">
        <x:v>45</x:v>
      </x:c>
      <x:c r="F2750" s="115" t="str">
        <x:v>Inspection physique</x:v>
      </x:c>
      <x:c r="G2750" s="115" t="str">
        <x:v>1 niveaux ; 40 pièces ; 303 segments de mur ; 0 transitions. Inspection physique ; architecture complète encore ouverte.</x:v>
      </x:c>
      <x:c r="H2750" s="115" t="str">
        <x:v>L 422 ; l 416 ; hauteur 6,8 m ; choix de composition auteur ; dimensions réelles à documenter</x:v>
      </x:c>
      <x:c r="I2750" s="115" t="str">
        <x:v>À équilibrer</x:v>
      </x:c>
      <x:c r="J2750" s="115" t="str">
        <x:v>Non</x:v>
      </x:c>
      <x:c r="K2750" s="115" t="str">
        <x:v>Pièces décrites, murs, portes, niveaux et mobilier inspectables à l’échelle. Volumes réservés, raccord au seed, butin, rencontres et services de campagne restent à terminer.</x:v>
      </x:c>
    </x:row>
    <x:row r="2751" ht="96" customHeight="1">
      <x:c r="A2751" s="115" t="str">
        <x:v>EXT-MONDE-T055-V46</x:v>
      </x:c>
      <x:c r="B2751" s="115" t="str">
        <x:v>EXT-MONDE-T055</x:v>
      </x:c>
      <x:c r="C2751" s="115" t="str">
        <x:v>Usines</x:v>
      </x:c>
      <x:c r="D2751" s="115" t="str">
        <x:v>Usine textile</x:v>
      </x:c>
      <x:c r="E2751" s="115" t="n">
        <x:v>46</x:v>
      </x:c>
      <x:c r="F2751" s="115" t="str">
        <x:v>Inspection physique</x:v>
      </x:c>
      <x:c r="G2751" s="115" t="str">
        <x:v>1 niveaux ; 40 pièces ; 303 segments de mur ; 0 transitions. Inspection physique ; architecture complète encore ouverte.</x:v>
      </x:c>
      <x:c r="H2751" s="115" t="str">
        <x:v>L 422 ; l 416 ; hauteur 6,8 m ; choix de composition auteur ; dimensions réelles à documenter</x:v>
      </x:c>
      <x:c r="I2751" s="115" t="str">
        <x:v>À équilibrer</x:v>
      </x:c>
      <x:c r="J2751" s="115" t="str">
        <x:v>Non</x:v>
      </x:c>
      <x:c r="K2751" s="115" t="str">
        <x:v>Pièces décrites, murs, portes, niveaux et mobilier inspectables à l’échelle. Volumes réservés, raccord au seed, butin, rencontres et services de campagne restent à terminer.</x:v>
      </x:c>
    </x:row>
    <x:row r="2752" ht="96" customHeight="1">
      <x:c r="A2752" s="115" t="str">
        <x:v>EXT-MONDE-T055-V47</x:v>
      </x:c>
      <x:c r="B2752" s="115" t="str">
        <x:v>EXT-MONDE-T055</x:v>
      </x:c>
      <x:c r="C2752" s="115" t="str">
        <x:v>Usines</x:v>
      </x:c>
      <x:c r="D2752" s="115" t="str">
        <x:v>Usine textile</x:v>
      </x:c>
      <x:c r="E2752" s="115" t="n">
        <x:v>47</x:v>
      </x:c>
      <x:c r="F2752" s="115" t="str">
        <x:v>Inspection physique</x:v>
      </x:c>
      <x:c r="G2752" s="115" t="str">
        <x:v>1 niveaux ; 40 pièces ; 303 segments de mur ; 0 transitions. Inspection physique ; architecture complète encore ouverte.</x:v>
      </x:c>
      <x:c r="H2752" s="115" t="str">
        <x:v>L 422 ; l 416 ; hauteur 6,8 m ; choix de composition auteur ; dimensions réelles à documenter</x:v>
      </x:c>
      <x:c r="I2752" s="115" t="str">
        <x:v>À équilibrer</x:v>
      </x:c>
      <x:c r="J2752" s="115" t="str">
        <x:v>Non</x:v>
      </x:c>
      <x:c r="K2752" s="115" t="str">
        <x:v>Pièces décrites, murs, portes, niveaux et mobilier inspectables à l’échelle. Volumes réservés, raccord au seed, butin, rencontres et services de campagne restent à terminer.</x:v>
      </x:c>
    </x:row>
    <x:row r="2753" ht="96" customHeight="1">
      <x:c r="A2753" s="115" t="str">
        <x:v>EXT-MONDE-T055-V48</x:v>
      </x:c>
      <x:c r="B2753" s="115" t="str">
        <x:v>EXT-MONDE-T055</x:v>
      </x:c>
      <x:c r="C2753" s="115" t="str">
        <x:v>Usines</x:v>
      </x:c>
      <x:c r="D2753" s="115" t="str">
        <x:v>Usine textile</x:v>
      </x:c>
      <x:c r="E2753" s="115" t="n">
        <x:v>48</x:v>
      </x:c>
      <x:c r="F2753" s="115" t="str">
        <x:v>Inspection physique</x:v>
      </x:c>
      <x:c r="G2753" s="115" t="str">
        <x:v>1 niveaux ; 40 pièces ; 303 segments de mur ; 0 transitions. Inspection physique ; architecture complète encore ouverte.</x:v>
      </x:c>
      <x:c r="H2753" s="115" t="str">
        <x:v>L 422 ; l 416 ; hauteur 6,8 m ; choix de composition auteur ; dimensions réelles à documenter</x:v>
      </x:c>
      <x:c r="I2753" s="115" t="str">
        <x:v>À équilibrer</x:v>
      </x:c>
      <x:c r="J2753" s="115" t="str">
        <x:v>Non</x:v>
      </x:c>
      <x:c r="K2753" s="115" t="str">
        <x:v>Pièces décrites, murs, portes, niveaux et mobilier inspectables à l’échelle. Volumes réservés, raccord au seed, butin, rencontres et services de campagne restent à terminer.</x:v>
      </x:c>
    </x:row>
    <x:row r="2754" ht="96" customHeight="1">
      <x:c r="A2754" s="115" t="str">
        <x:v>EXT-MONDE-T055-V49</x:v>
      </x:c>
      <x:c r="B2754" s="115" t="str">
        <x:v>EXT-MONDE-T055</x:v>
      </x:c>
      <x:c r="C2754" s="115" t="str">
        <x:v>Usines</x:v>
      </x:c>
      <x:c r="D2754" s="115" t="str">
        <x:v>Usine textile</x:v>
      </x:c>
      <x:c r="E2754" s="115" t="n">
        <x:v>49</x:v>
      </x:c>
      <x:c r="F2754" s="115" t="str">
        <x:v>Inspection physique</x:v>
      </x:c>
      <x:c r="G2754" s="115" t="str">
        <x:v>1 niveaux ; 40 pièces ; 303 segments de mur ; 0 transitions. Inspection physique ; architecture complète encore ouverte.</x:v>
      </x:c>
      <x:c r="H2754" s="115" t="str">
        <x:v>L 422 ; l 416 ; hauteur 6,8 m ; choix de composition auteur ; dimensions réelles à documenter</x:v>
      </x:c>
      <x:c r="I2754" s="115" t="str">
        <x:v>À équilibrer</x:v>
      </x:c>
      <x:c r="J2754" s="115" t="str">
        <x:v>Non</x:v>
      </x:c>
      <x:c r="K2754" s="115" t="str">
        <x:v>Pièces décrites, murs, portes, niveaux et mobilier inspectables à l’échelle. Volumes réservés, raccord au seed, butin, rencontres et services de campagne restent à terminer.</x:v>
      </x:c>
    </x:row>
    <x:row r="2755" ht="96" customHeight="1">
      <x:c r="A2755" s="115" t="str">
        <x:v>EXT-MONDE-T055-V50</x:v>
      </x:c>
      <x:c r="B2755" s="115" t="str">
        <x:v>EXT-MONDE-T055</x:v>
      </x:c>
      <x:c r="C2755" s="115" t="str">
        <x:v>Usines</x:v>
      </x:c>
      <x:c r="D2755" s="115" t="str">
        <x:v>Usine textile</x:v>
      </x:c>
      <x:c r="E2755" s="115" t="n">
        <x:v>50</x:v>
      </x:c>
      <x:c r="F2755" s="115" t="str">
        <x:v>Inspection physique</x:v>
      </x:c>
      <x:c r="G2755" s="115" t="str">
        <x:v>1 niveaux ; 40 pièces ; 303 segments de mur ; 0 transitions. Inspection physique ; architecture complète encore ouverte.</x:v>
      </x:c>
      <x:c r="H2755" s="115" t="str">
        <x:v>L 422 ; l 416 ; hauteur 6,8 m ; choix de composition auteur ; dimensions réelles à documenter</x:v>
      </x:c>
      <x:c r="I2755" s="115" t="str">
        <x:v>À équilibrer</x:v>
      </x:c>
      <x:c r="J2755" s="115" t="str">
        <x:v>Non</x:v>
      </x:c>
      <x:c r="K2755" s="115" t="str">
        <x:v>Pièces décrites, murs, portes, niveaux et mobilier inspectables à l’échelle. Volumes réservés, raccord au seed, butin, rencontres et services de campagne restent à terminer.</x:v>
      </x:c>
    </x:row>
    <x:row r="2756" ht="96" customHeight="1">
      <x:c r="A2756" s="115" t="str">
        <x:v>EXT-MONDE-T056-V01</x:v>
      </x:c>
      <x:c r="B2756" s="115" t="str">
        <x:v>EXT-MONDE-T056</x:v>
      </x:c>
      <x:c r="C2756" s="115" t="str">
        <x:v>Usines</x:v>
      </x:c>
      <x:c r="D2756" s="115" t="str">
        <x:v>Usine de matériaux</x:v>
      </x:c>
      <x:c r="E2756" s="115" t="n">
        <x:v>1</x:v>
      </x:c>
      <x:c r="F2756" s="115" t="str">
        <x:v>Inspection physique</x:v>
      </x:c>
      <x:c r="G2756" s="115" t="str">
        <x:v>1 niveaux ; 40 pièces ; 303 segments de mur ; 0 transitions. Inspection physique ; architecture complète encore ouverte.</x:v>
      </x:c>
      <x:c r="H2756" s="115" t="str">
        <x:v>L 350 ; l 320 ; hauteur 10,6 m ; choix de composition auteur ; dimensions réelles à documenter</x:v>
      </x:c>
      <x:c r="I2756" s="115" t="str">
        <x:v>À équilibrer</x:v>
      </x:c>
      <x:c r="J2756" s="115" t="str">
        <x:v>Non</x:v>
      </x:c>
      <x:c r="K2756" s="115" t="str">
        <x:v>Pièces décrites, murs, portes, niveaux et mobilier inspectables à l’échelle. Volumes réservés, raccord au seed, butin, rencontres et services de campagne restent à terminer.</x:v>
      </x:c>
    </x:row>
    <x:row r="2757" ht="96" customHeight="1">
      <x:c r="A2757" s="115" t="str">
        <x:v>EXT-MONDE-T056-V02</x:v>
      </x:c>
      <x:c r="B2757" s="115" t="str">
        <x:v>EXT-MONDE-T056</x:v>
      </x:c>
      <x:c r="C2757" s="115" t="str">
        <x:v>Usines</x:v>
      </x:c>
      <x:c r="D2757" s="115" t="str">
        <x:v>Usine de matériaux</x:v>
      </x:c>
      <x:c r="E2757" s="115" t="n">
        <x:v>2</x:v>
      </x:c>
      <x:c r="F2757" s="115" t="str">
        <x:v>Inspection physique</x:v>
      </x:c>
      <x:c r="G2757" s="115" t="str">
        <x:v>1 niveaux ; 40 pièces ; 303 segments de mur ; 0 transitions. Inspection physique ; architecture complète encore ouverte.</x:v>
      </x:c>
      <x:c r="H2757" s="115" t="str">
        <x:v>L 350 ; l 320 ; hauteur 10,6 m ; choix de composition auteur ; dimensions réelles à documenter</x:v>
      </x:c>
      <x:c r="I2757" s="115" t="str">
        <x:v>À équilibrer</x:v>
      </x:c>
      <x:c r="J2757" s="115" t="str">
        <x:v>Non</x:v>
      </x:c>
      <x:c r="K2757" s="115" t="str">
        <x:v>Pièces décrites, murs, portes, niveaux et mobilier inspectables à l’échelle. Volumes réservés, raccord au seed, butin, rencontres et services de campagne restent à terminer.</x:v>
      </x:c>
    </x:row>
    <x:row r="2758" ht="96" customHeight="1">
      <x:c r="A2758" s="115" t="str">
        <x:v>EXT-MONDE-T056-V03</x:v>
      </x:c>
      <x:c r="B2758" s="115" t="str">
        <x:v>EXT-MONDE-T056</x:v>
      </x:c>
      <x:c r="C2758" s="115" t="str">
        <x:v>Usines</x:v>
      </x:c>
      <x:c r="D2758" s="115" t="str">
        <x:v>Usine de matériaux</x:v>
      </x:c>
      <x:c r="E2758" s="115" t="n">
        <x:v>3</x:v>
      </x:c>
      <x:c r="F2758" s="115" t="str">
        <x:v>Inspection physique</x:v>
      </x:c>
      <x:c r="G2758" s="115" t="str">
        <x:v>1 niveaux ; 40 pièces ; 303 segments de mur ; 0 transitions. Inspection physique ; architecture complète encore ouverte.</x:v>
      </x:c>
      <x:c r="H2758" s="115" t="str">
        <x:v>L 350 ; l 320 ; hauteur 10,6 m ; choix de composition auteur ; dimensions réelles à documenter</x:v>
      </x:c>
      <x:c r="I2758" s="115" t="str">
        <x:v>À équilibrer</x:v>
      </x:c>
      <x:c r="J2758" s="115" t="str">
        <x:v>Non</x:v>
      </x:c>
      <x:c r="K2758" s="115" t="str">
        <x:v>Pièces décrites, murs, portes, niveaux et mobilier inspectables à l’échelle. Volumes réservés, raccord au seed, butin, rencontres et services de campagne restent à terminer.</x:v>
      </x:c>
    </x:row>
    <x:row r="2759" ht="96" customHeight="1">
      <x:c r="A2759" s="115" t="str">
        <x:v>EXT-MONDE-T056-V04</x:v>
      </x:c>
      <x:c r="B2759" s="115" t="str">
        <x:v>EXT-MONDE-T056</x:v>
      </x:c>
      <x:c r="C2759" s="115" t="str">
        <x:v>Usines</x:v>
      </x:c>
      <x:c r="D2759" s="115" t="str">
        <x:v>Usine de matériaux</x:v>
      </x:c>
      <x:c r="E2759" s="115" t="n">
        <x:v>4</x:v>
      </x:c>
      <x:c r="F2759" s="115" t="str">
        <x:v>Inspection physique</x:v>
      </x:c>
      <x:c r="G2759" s="115" t="str">
        <x:v>1 niveaux ; 40 pièces ; 303 segments de mur ; 0 transitions. Inspection physique ; architecture complète encore ouverte.</x:v>
      </x:c>
      <x:c r="H2759" s="115" t="str">
        <x:v>L 350 ; l 320 ; hauteur 10,6 m ; choix de composition auteur ; dimensions réelles à documenter</x:v>
      </x:c>
      <x:c r="I2759" s="115" t="str">
        <x:v>À équilibrer</x:v>
      </x:c>
      <x:c r="J2759" s="115" t="str">
        <x:v>Non</x:v>
      </x:c>
      <x:c r="K2759" s="115" t="str">
        <x:v>Pièces décrites, murs, portes, niveaux et mobilier inspectables à l’échelle. Volumes réservés, raccord au seed, butin, rencontres et services de campagne restent à terminer.</x:v>
      </x:c>
    </x:row>
    <x:row r="2760" ht="96" customHeight="1">
      <x:c r="A2760" s="115" t="str">
        <x:v>EXT-MONDE-T056-V05</x:v>
      </x:c>
      <x:c r="B2760" s="115" t="str">
        <x:v>EXT-MONDE-T056</x:v>
      </x:c>
      <x:c r="C2760" s="115" t="str">
        <x:v>Usines</x:v>
      </x:c>
      <x:c r="D2760" s="115" t="str">
        <x:v>Usine de matériaux</x:v>
      </x:c>
      <x:c r="E2760" s="115" t="n">
        <x:v>5</x:v>
      </x:c>
      <x:c r="F2760" s="115" t="str">
        <x:v>Inspection physique</x:v>
      </x:c>
      <x:c r="G2760" s="115" t="str">
        <x:v>1 niveaux ; 40 pièces ; 303 segments de mur ; 0 transitions. Inspection physique ; architecture complète encore ouverte.</x:v>
      </x:c>
      <x:c r="H2760" s="115" t="str">
        <x:v>L 350 ; l 320 ; hauteur 10,6 m ; choix de composition auteur ; dimensions réelles à documenter</x:v>
      </x:c>
      <x:c r="I2760" s="115" t="str">
        <x:v>À équilibrer</x:v>
      </x:c>
      <x:c r="J2760" s="115" t="str">
        <x:v>Non</x:v>
      </x:c>
      <x:c r="K2760" s="115" t="str">
        <x:v>Pièces décrites, murs, portes, niveaux et mobilier inspectables à l’échelle. Volumes réservés, raccord au seed, butin, rencontres et services de campagne restent à terminer.</x:v>
      </x:c>
    </x:row>
    <x:row r="2761" ht="96" customHeight="1">
      <x:c r="A2761" s="115" t="str">
        <x:v>EXT-MONDE-T056-V06</x:v>
      </x:c>
      <x:c r="B2761" s="115" t="str">
        <x:v>EXT-MONDE-T056</x:v>
      </x:c>
      <x:c r="C2761" s="115" t="str">
        <x:v>Usines</x:v>
      </x:c>
      <x:c r="D2761" s="115" t="str">
        <x:v>Usine de matériaux</x:v>
      </x:c>
      <x:c r="E2761" s="115" t="n">
        <x:v>6</x:v>
      </x:c>
      <x:c r="F2761" s="115" t="str">
        <x:v>Inspection physique</x:v>
      </x:c>
      <x:c r="G2761" s="115" t="str">
        <x:v>1 niveaux ; 40 pièces ; 303 segments de mur ; 0 transitions. Inspection physique ; architecture complète encore ouverte.</x:v>
      </x:c>
      <x:c r="H2761" s="115" t="str">
        <x:v>L 350 ; l 320 ; hauteur 10,6 m ; choix de composition auteur ; dimensions réelles à documenter</x:v>
      </x:c>
      <x:c r="I2761" s="115" t="str">
        <x:v>À équilibrer</x:v>
      </x:c>
      <x:c r="J2761" s="115" t="str">
        <x:v>Non</x:v>
      </x:c>
      <x:c r="K2761" s="115" t="str">
        <x:v>Pièces décrites, murs, portes, niveaux et mobilier inspectables à l’échelle. Volumes réservés, raccord au seed, butin, rencontres et services de campagne restent à terminer.</x:v>
      </x:c>
    </x:row>
    <x:row r="2762" ht="96" customHeight="1">
      <x:c r="A2762" s="115" t="str">
        <x:v>EXT-MONDE-T056-V07</x:v>
      </x:c>
      <x:c r="B2762" s="115" t="str">
        <x:v>EXT-MONDE-T056</x:v>
      </x:c>
      <x:c r="C2762" s="115" t="str">
        <x:v>Usines</x:v>
      </x:c>
      <x:c r="D2762" s="115" t="str">
        <x:v>Usine de matériaux</x:v>
      </x:c>
      <x:c r="E2762" s="115" t="n">
        <x:v>7</x:v>
      </x:c>
      <x:c r="F2762" s="115" t="str">
        <x:v>Inspection physique</x:v>
      </x:c>
      <x:c r="G2762" s="115" t="str">
        <x:v>1 niveaux ; 40 pièces ; 303 segments de mur ; 0 transitions. Inspection physique ; architecture complète encore ouverte.</x:v>
      </x:c>
      <x:c r="H2762" s="115" t="str">
        <x:v>L 350 ; l 320 ; hauteur 10,6 m ; choix de composition auteur ; dimensions réelles à documenter</x:v>
      </x:c>
      <x:c r="I2762" s="115" t="str">
        <x:v>À équilibrer</x:v>
      </x:c>
      <x:c r="J2762" s="115" t="str">
        <x:v>Non</x:v>
      </x:c>
      <x:c r="K2762" s="115" t="str">
        <x:v>Pièces décrites, murs, portes, niveaux et mobilier inspectables à l’échelle. Volumes réservés, raccord au seed, butin, rencontres et services de campagne restent à terminer.</x:v>
      </x:c>
    </x:row>
    <x:row r="2763" ht="96" customHeight="1">
      <x:c r="A2763" s="115" t="str">
        <x:v>EXT-MONDE-T056-V08</x:v>
      </x:c>
      <x:c r="B2763" s="115" t="str">
        <x:v>EXT-MONDE-T056</x:v>
      </x:c>
      <x:c r="C2763" s="115" t="str">
        <x:v>Usines</x:v>
      </x:c>
      <x:c r="D2763" s="115" t="str">
        <x:v>Usine de matériaux</x:v>
      </x:c>
      <x:c r="E2763" s="115" t="n">
        <x:v>8</x:v>
      </x:c>
      <x:c r="F2763" s="115" t="str">
        <x:v>Inspection physique</x:v>
      </x:c>
      <x:c r="G2763" s="115" t="str">
        <x:v>1 niveaux ; 40 pièces ; 303 segments de mur ; 0 transitions. Inspection physique ; architecture complète encore ouverte.</x:v>
      </x:c>
      <x:c r="H2763" s="115" t="str">
        <x:v>L 350 ; l 320 ; hauteur 10,6 m ; choix de composition auteur ; dimensions réelles à documenter</x:v>
      </x:c>
      <x:c r="I2763" s="115" t="str">
        <x:v>À équilibrer</x:v>
      </x:c>
      <x:c r="J2763" s="115" t="str">
        <x:v>Non</x:v>
      </x:c>
      <x:c r="K2763" s="115" t="str">
        <x:v>Pièces décrites, murs, portes, niveaux et mobilier inspectables à l’échelle. Volumes réservés, raccord au seed, butin, rencontres et services de campagne restent à terminer.</x:v>
      </x:c>
    </x:row>
    <x:row r="2764" ht="96" customHeight="1">
      <x:c r="A2764" s="115" t="str">
        <x:v>EXT-MONDE-T056-V09</x:v>
      </x:c>
      <x:c r="B2764" s="115" t="str">
        <x:v>EXT-MONDE-T056</x:v>
      </x:c>
      <x:c r="C2764" s="115" t="str">
        <x:v>Usines</x:v>
      </x:c>
      <x:c r="D2764" s="115" t="str">
        <x:v>Usine de matériaux</x:v>
      </x:c>
      <x:c r="E2764" s="115" t="n">
        <x:v>9</x:v>
      </x:c>
      <x:c r="F2764" s="115" t="str">
        <x:v>Inspection physique</x:v>
      </x:c>
      <x:c r="G2764" s="115" t="str">
        <x:v>1 niveaux ; 40 pièces ; 303 segments de mur ; 0 transitions. Inspection physique ; architecture complète encore ouverte.</x:v>
      </x:c>
      <x:c r="H2764" s="115" t="str">
        <x:v>L 350 ; l 320 ; hauteur 10,6 m ; choix de composition auteur ; dimensions réelles à documenter</x:v>
      </x:c>
      <x:c r="I2764" s="115" t="str">
        <x:v>À équilibrer</x:v>
      </x:c>
      <x:c r="J2764" s="115" t="str">
        <x:v>Non</x:v>
      </x:c>
      <x:c r="K2764" s="115" t="str">
        <x:v>Pièces décrites, murs, portes, niveaux et mobilier inspectables à l’échelle. Volumes réservés, raccord au seed, butin, rencontres et services de campagne restent à terminer.</x:v>
      </x:c>
    </x:row>
    <x:row r="2765" ht="96" customHeight="1">
      <x:c r="A2765" s="115" t="str">
        <x:v>EXT-MONDE-T056-V10</x:v>
      </x:c>
      <x:c r="B2765" s="115" t="str">
        <x:v>EXT-MONDE-T056</x:v>
      </x:c>
      <x:c r="C2765" s="115" t="str">
        <x:v>Usines</x:v>
      </x:c>
      <x:c r="D2765" s="115" t="str">
        <x:v>Usine de matériaux</x:v>
      </x:c>
      <x:c r="E2765" s="115" t="n">
        <x:v>10</x:v>
      </x:c>
      <x:c r="F2765" s="115" t="str">
        <x:v>Inspection physique</x:v>
      </x:c>
      <x:c r="G2765" s="115" t="str">
        <x:v>1 niveaux ; 40 pièces ; 303 segments de mur ; 0 transitions. Inspection physique ; architecture complète encore ouverte.</x:v>
      </x:c>
      <x:c r="H2765" s="115" t="str">
        <x:v>L 350 ; l 320 ; hauteur 10,6 m ; choix de composition auteur ; dimensions réelles à documenter</x:v>
      </x:c>
      <x:c r="I2765" s="115" t="str">
        <x:v>À équilibrer</x:v>
      </x:c>
      <x:c r="J2765" s="115" t="str">
        <x:v>Non</x:v>
      </x:c>
      <x:c r="K2765" s="115" t="str">
        <x:v>Pièces décrites, murs, portes, niveaux et mobilier inspectables à l’échelle. Volumes réservés, raccord au seed, butin, rencontres et services de campagne restent à terminer.</x:v>
      </x:c>
    </x:row>
    <x:row r="2766" ht="96" customHeight="1">
      <x:c r="A2766" s="115" t="str">
        <x:v>EXT-MONDE-T056-V11</x:v>
      </x:c>
      <x:c r="B2766" s="115" t="str">
        <x:v>EXT-MONDE-T056</x:v>
      </x:c>
      <x:c r="C2766" s="115" t="str">
        <x:v>Usines</x:v>
      </x:c>
      <x:c r="D2766" s="115" t="str">
        <x:v>Usine de matériaux</x:v>
      </x:c>
      <x:c r="E2766" s="115" t="n">
        <x:v>11</x:v>
      </x:c>
      <x:c r="F2766" s="115" t="str">
        <x:v>Inspection physique</x:v>
      </x:c>
      <x:c r="G2766" s="115" t="str">
        <x:v>1 niveaux ; 40 pièces ; 303 segments de mur ; 0 transitions. Inspection physique ; architecture complète encore ouverte.</x:v>
      </x:c>
      <x:c r="H2766" s="115" t="str">
        <x:v>L 368 ; l 344 ; hauteur 10,6 m ; choix de composition auteur ; dimensions réelles à documenter</x:v>
      </x:c>
      <x:c r="I2766" s="115" t="str">
        <x:v>À équilibrer</x:v>
      </x:c>
      <x:c r="J2766" s="115" t="str">
        <x:v>Non</x:v>
      </x:c>
      <x:c r="K2766" s="115" t="str">
        <x:v>Pièces décrites, murs, portes, niveaux et mobilier inspectables à l’échelle. Volumes réservés, raccord au seed, butin, rencontres et services de campagne restent à terminer.</x:v>
      </x:c>
    </x:row>
    <x:row r="2767" ht="96" customHeight="1">
      <x:c r="A2767" s="115" t="str">
        <x:v>EXT-MONDE-T056-V12</x:v>
      </x:c>
      <x:c r="B2767" s="115" t="str">
        <x:v>EXT-MONDE-T056</x:v>
      </x:c>
      <x:c r="C2767" s="115" t="str">
        <x:v>Usines</x:v>
      </x:c>
      <x:c r="D2767" s="115" t="str">
        <x:v>Usine de matériaux</x:v>
      </x:c>
      <x:c r="E2767" s="115" t="n">
        <x:v>12</x:v>
      </x:c>
      <x:c r="F2767" s="115" t="str">
        <x:v>Inspection physique</x:v>
      </x:c>
      <x:c r="G2767" s="115" t="str">
        <x:v>1 niveaux ; 40 pièces ; 303 segments de mur ; 0 transitions. Inspection physique ; architecture complète encore ouverte.</x:v>
      </x:c>
      <x:c r="H2767" s="115" t="str">
        <x:v>L 368 ; l 344 ; hauteur 10,6 m ; choix de composition auteur ; dimensions réelles à documenter</x:v>
      </x:c>
      <x:c r="I2767" s="115" t="str">
        <x:v>À équilibrer</x:v>
      </x:c>
      <x:c r="J2767" s="115" t="str">
        <x:v>Non</x:v>
      </x:c>
      <x:c r="K2767" s="115" t="str">
        <x:v>Pièces décrites, murs, portes, niveaux et mobilier inspectables à l’échelle. Volumes réservés, raccord au seed, butin, rencontres et services de campagne restent à terminer.</x:v>
      </x:c>
    </x:row>
    <x:row r="2768" ht="96" customHeight="1">
      <x:c r="A2768" s="115" t="str">
        <x:v>EXT-MONDE-T056-V13</x:v>
      </x:c>
      <x:c r="B2768" s="115" t="str">
        <x:v>EXT-MONDE-T056</x:v>
      </x:c>
      <x:c r="C2768" s="115" t="str">
        <x:v>Usines</x:v>
      </x:c>
      <x:c r="D2768" s="115" t="str">
        <x:v>Usine de matériaux</x:v>
      </x:c>
      <x:c r="E2768" s="115" t="n">
        <x:v>13</x:v>
      </x:c>
      <x:c r="F2768" s="115" t="str">
        <x:v>Inspection physique</x:v>
      </x:c>
      <x:c r="G2768" s="115" t="str">
        <x:v>1 niveaux ; 40 pièces ; 303 segments de mur ; 0 transitions. Inspection physique ; architecture complète encore ouverte.</x:v>
      </x:c>
      <x:c r="H2768" s="115" t="str">
        <x:v>L 368 ; l 344 ; hauteur 10,6 m ; choix de composition auteur ; dimensions réelles à documenter</x:v>
      </x:c>
      <x:c r="I2768" s="115" t="str">
        <x:v>À équilibrer</x:v>
      </x:c>
      <x:c r="J2768" s="115" t="str">
        <x:v>Non</x:v>
      </x:c>
      <x:c r="K2768" s="115" t="str">
        <x:v>Pièces décrites, murs, portes, niveaux et mobilier inspectables à l’échelle. Volumes réservés, raccord au seed, butin, rencontres et services de campagne restent à terminer.</x:v>
      </x:c>
    </x:row>
    <x:row r="2769" ht="96" customHeight="1">
      <x:c r="A2769" s="115" t="str">
        <x:v>EXT-MONDE-T056-V14</x:v>
      </x:c>
      <x:c r="B2769" s="115" t="str">
        <x:v>EXT-MONDE-T056</x:v>
      </x:c>
      <x:c r="C2769" s="115" t="str">
        <x:v>Usines</x:v>
      </x:c>
      <x:c r="D2769" s="115" t="str">
        <x:v>Usine de matériaux</x:v>
      </x:c>
      <x:c r="E2769" s="115" t="n">
        <x:v>14</x:v>
      </x:c>
      <x:c r="F2769" s="115" t="str">
        <x:v>Inspection physique</x:v>
      </x:c>
      <x:c r="G2769" s="115" t="str">
        <x:v>1 niveaux ; 40 pièces ; 303 segments de mur ; 0 transitions. Inspection physique ; architecture complète encore ouverte.</x:v>
      </x:c>
      <x:c r="H2769" s="115" t="str">
        <x:v>L 368 ; l 344 ; hauteur 10,6 m ; choix de composition auteur ; dimensions réelles à documenter</x:v>
      </x:c>
      <x:c r="I2769" s="115" t="str">
        <x:v>À équilibrer</x:v>
      </x:c>
      <x:c r="J2769" s="115" t="str">
        <x:v>Non</x:v>
      </x:c>
      <x:c r="K2769" s="115" t="str">
        <x:v>Pièces décrites, murs, portes, niveaux et mobilier inspectables à l’échelle. Volumes réservés, raccord au seed, butin, rencontres et services de campagne restent à terminer.</x:v>
      </x:c>
    </x:row>
    <x:row r="2770" ht="96" customHeight="1">
      <x:c r="A2770" s="115" t="str">
        <x:v>EXT-MONDE-T056-V15</x:v>
      </x:c>
      <x:c r="B2770" s="115" t="str">
        <x:v>EXT-MONDE-T056</x:v>
      </x:c>
      <x:c r="C2770" s="115" t="str">
        <x:v>Usines</x:v>
      </x:c>
      <x:c r="D2770" s="115" t="str">
        <x:v>Usine de matériaux</x:v>
      </x:c>
      <x:c r="E2770" s="115" t="n">
        <x:v>15</x:v>
      </x:c>
      <x:c r="F2770" s="115" t="str">
        <x:v>Inspection physique</x:v>
      </x:c>
      <x:c r="G2770" s="115" t="str">
        <x:v>1 niveaux ; 40 pièces ; 303 segments de mur ; 0 transitions. Inspection physique ; architecture complète encore ouverte.</x:v>
      </x:c>
      <x:c r="H2770" s="115" t="str">
        <x:v>L 368 ; l 344 ; hauteur 10,6 m ; choix de composition auteur ; dimensions réelles à documenter</x:v>
      </x:c>
      <x:c r="I2770" s="115" t="str">
        <x:v>À équilibrer</x:v>
      </x:c>
      <x:c r="J2770" s="115" t="str">
        <x:v>Non</x:v>
      </x:c>
      <x:c r="K2770" s="115" t="str">
        <x:v>Pièces décrites, murs, portes, niveaux et mobilier inspectables à l’échelle. Volumes réservés, raccord au seed, butin, rencontres et services de campagne restent à terminer.</x:v>
      </x:c>
    </x:row>
    <x:row r="2771" ht="96" customHeight="1">
      <x:c r="A2771" s="115" t="str">
        <x:v>EXT-MONDE-T056-V16</x:v>
      </x:c>
      <x:c r="B2771" s="115" t="str">
        <x:v>EXT-MONDE-T056</x:v>
      </x:c>
      <x:c r="C2771" s="115" t="str">
        <x:v>Usines</x:v>
      </x:c>
      <x:c r="D2771" s="115" t="str">
        <x:v>Usine de matériaux</x:v>
      </x:c>
      <x:c r="E2771" s="115" t="n">
        <x:v>16</x:v>
      </x:c>
      <x:c r="F2771" s="115" t="str">
        <x:v>Inspection physique</x:v>
      </x:c>
      <x:c r="G2771" s="115" t="str">
        <x:v>1 niveaux ; 40 pièces ; 303 segments de mur ; 0 transitions. Inspection physique ; architecture complète encore ouverte.</x:v>
      </x:c>
      <x:c r="H2771" s="115" t="str">
        <x:v>L 368 ; l 344 ; hauteur 10,6 m ; choix de composition auteur ; dimensions réelles à documenter</x:v>
      </x:c>
      <x:c r="I2771" s="115" t="str">
        <x:v>À équilibrer</x:v>
      </x:c>
      <x:c r="J2771" s="115" t="str">
        <x:v>Non</x:v>
      </x:c>
      <x:c r="K2771" s="115" t="str">
        <x:v>Pièces décrites, murs, portes, niveaux et mobilier inspectables à l’échelle. Volumes réservés, raccord au seed, butin, rencontres et services de campagne restent à terminer.</x:v>
      </x:c>
    </x:row>
    <x:row r="2772" ht="96" customHeight="1">
      <x:c r="A2772" s="115" t="str">
        <x:v>EXT-MONDE-T056-V17</x:v>
      </x:c>
      <x:c r="B2772" s="115" t="str">
        <x:v>EXT-MONDE-T056</x:v>
      </x:c>
      <x:c r="C2772" s="115" t="str">
        <x:v>Usines</x:v>
      </x:c>
      <x:c r="D2772" s="115" t="str">
        <x:v>Usine de matériaux</x:v>
      </x:c>
      <x:c r="E2772" s="115" t="n">
        <x:v>17</x:v>
      </x:c>
      <x:c r="F2772" s="115" t="str">
        <x:v>Inspection physique</x:v>
      </x:c>
      <x:c r="G2772" s="115" t="str">
        <x:v>1 niveaux ; 40 pièces ; 303 segments de mur ; 0 transitions. Inspection physique ; architecture complète encore ouverte.</x:v>
      </x:c>
      <x:c r="H2772" s="115" t="str">
        <x:v>L 368 ; l 344 ; hauteur 10,6 m ; choix de composition auteur ; dimensions réelles à documenter</x:v>
      </x:c>
      <x:c r="I2772" s="115" t="str">
        <x:v>À équilibrer</x:v>
      </x:c>
      <x:c r="J2772" s="115" t="str">
        <x:v>Non</x:v>
      </x:c>
      <x:c r="K2772" s="115" t="str">
        <x:v>Pièces décrites, murs, portes, niveaux et mobilier inspectables à l’échelle. Volumes réservés, raccord au seed, butin, rencontres et services de campagne restent à terminer.</x:v>
      </x:c>
    </x:row>
    <x:row r="2773" ht="96" customHeight="1">
      <x:c r="A2773" s="115" t="str">
        <x:v>EXT-MONDE-T056-V18</x:v>
      </x:c>
      <x:c r="B2773" s="115" t="str">
        <x:v>EXT-MONDE-T056</x:v>
      </x:c>
      <x:c r="C2773" s="115" t="str">
        <x:v>Usines</x:v>
      </x:c>
      <x:c r="D2773" s="115" t="str">
        <x:v>Usine de matériaux</x:v>
      </x:c>
      <x:c r="E2773" s="115" t="n">
        <x:v>18</x:v>
      </x:c>
      <x:c r="F2773" s="115" t="str">
        <x:v>Inspection physique</x:v>
      </x:c>
      <x:c r="G2773" s="115" t="str">
        <x:v>1 niveaux ; 40 pièces ; 303 segments de mur ; 0 transitions. Inspection physique ; architecture complète encore ouverte.</x:v>
      </x:c>
      <x:c r="H2773" s="115" t="str">
        <x:v>L 368 ; l 344 ; hauteur 10,6 m ; choix de composition auteur ; dimensions réelles à documenter</x:v>
      </x:c>
      <x:c r="I2773" s="115" t="str">
        <x:v>À équilibrer</x:v>
      </x:c>
      <x:c r="J2773" s="115" t="str">
        <x:v>Non</x:v>
      </x:c>
      <x:c r="K2773" s="115" t="str">
        <x:v>Pièces décrites, murs, portes, niveaux et mobilier inspectables à l’échelle. Volumes réservés, raccord au seed, butin, rencontres et services de campagne restent à terminer.</x:v>
      </x:c>
    </x:row>
    <x:row r="2774" ht="96" customHeight="1">
      <x:c r="A2774" s="115" t="str">
        <x:v>EXT-MONDE-T056-V19</x:v>
      </x:c>
      <x:c r="B2774" s="115" t="str">
        <x:v>EXT-MONDE-T056</x:v>
      </x:c>
      <x:c r="C2774" s="115" t="str">
        <x:v>Usines</x:v>
      </x:c>
      <x:c r="D2774" s="115" t="str">
        <x:v>Usine de matériaux</x:v>
      </x:c>
      <x:c r="E2774" s="115" t="n">
        <x:v>19</x:v>
      </x:c>
      <x:c r="F2774" s="115" t="str">
        <x:v>Inspection physique</x:v>
      </x:c>
      <x:c r="G2774" s="115" t="str">
        <x:v>1 niveaux ; 40 pièces ; 303 segments de mur ; 0 transitions. Inspection physique ; architecture complète encore ouverte.</x:v>
      </x:c>
      <x:c r="H2774" s="115" t="str">
        <x:v>L 368 ; l 344 ; hauteur 10,6 m ; choix de composition auteur ; dimensions réelles à documenter</x:v>
      </x:c>
      <x:c r="I2774" s="115" t="str">
        <x:v>À équilibrer</x:v>
      </x:c>
      <x:c r="J2774" s="115" t="str">
        <x:v>Non</x:v>
      </x:c>
      <x:c r="K2774" s="115" t="str">
        <x:v>Pièces décrites, murs, portes, niveaux et mobilier inspectables à l’échelle. Volumes réservés, raccord au seed, butin, rencontres et services de campagne restent à terminer.</x:v>
      </x:c>
    </x:row>
    <x:row r="2775" ht="96" customHeight="1">
      <x:c r="A2775" s="115" t="str">
        <x:v>EXT-MONDE-T056-V20</x:v>
      </x:c>
      <x:c r="B2775" s="115" t="str">
        <x:v>EXT-MONDE-T056</x:v>
      </x:c>
      <x:c r="C2775" s="115" t="str">
        <x:v>Usines</x:v>
      </x:c>
      <x:c r="D2775" s="115" t="str">
        <x:v>Usine de matériaux</x:v>
      </x:c>
      <x:c r="E2775" s="115" t="n">
        <x:v>20</x:v>
      </x:c>
      <x:c r="F2775" s="115" t="str">
        <x:v>Inspection physique</x:v>
      </x:c>
      <x:c r="G2775" s="115" t="str">
        <x:v>1 niveaux ; 40 pièces ; 303 segments de mur ; 0 transitions. Inspection physique ; architecture complète encore ouverte.</x:v>
      </x:c>
      <x:c r="H2775" s="115" t="str">
        <x:v>L 368 ; l 344 ; hauteur 10,6 m ; choix de composition auteur ; dimensions réelles à documenter</x:v>
      </x:c>
      <x:c r="I2775" s="115" t="str">
        <x:v>À équilibrer</x:v>
      </x:c>
      <x:c r="J2775" s="115" t="str">
        <x:v>Non</x:v>
      </x:c>
      <x:c r="K2775" s="115" t="str">
        <x:v>Pièces décrites, murs, portes, niveaux et mobilier inspectables à l’échelle. Volumes réservés, raccord au seed, butin, rencontres et services de campagne restent à terminer.</x:v>
      </x:c>
    </x:row>
    <x:row r="2776" ht="96" customHeight="1">
      <x:c r="A2776" s="115" t="str">
        <x:v>EXT-MONDE-T056-V21</x:v>
      </x:c>
      <x:c r="B2776" s="115" t="str">
        <x:v>EXT-MONDE-T056</x:v>
      </x:c>
      <x:c r="C2776" s="115" t="str">
        <x:v>Usines</x:v>
      </x:c>
      <x:c r="D2776" s="115" t="str">
        <x:v>Usine de matériaux</x:v>
      </x:c>
      <x:c r="E2776" s="115" t="n">
        <x:v>21</x:v>
      </x:c>
      <x:c r="F2776" s="115" t="str">
        <x:v>Inspection physique</x:v>
      </x:c>
      <x:c r="G2776" s="115" t="str">
        <x:v>1 niveaux ; 40 pièces ; 303 segments de mur ; 0 transitions. Inspection physique ; architecture complète encore ouverte.</x:v>
      </x:c>
      <x:c r="H2776" s="115" t="str">
        <x:v>L 386 ; l 368 ; hauteur 10,6 m ; choix de composition auteur ; dimensions réelles à documenter</x:v>
      </x:c>
      <x:c r="I2776" s="115" t="str">
        <x:v>À équilibrer</x:v>
      </x:c>
      <x:c r="J2776" s="115" t="str">
        <x:v>Non</x:v>
      </x:c>
      <x:c r="K2776" s="115" t="str">
        <x:v>Pièces décrites, murs, portes, niveaux et mobilier inspectables à l’échelle. Volumes réservés, raccord au seed, butin, rencontres et services de campagne restent à terminer.</x:v>
      </x:c>
    </x:row>
    <x:row r="2777" ht="96" customHeight="1">
      <x:c r="A2777" s="115" t="str">
        <x:v>EXT-MONDE-T056-V22</x:v>
      </x:c>
      <x:c r="B2777" s="115" t="str">
        <x:v>EXT-MONDE-T056</x:v>
      </x:c>
      <x:c r="C2777" s="115" t="str">
        <x:v>Usines</x:v>
      </x:c>
      <x:c r="D2777" s="115" t="str">
        <x:v>Usine de matériaux</x:v>
      </x:c>
      <x:c r="E2777" s="115" t="n">
        <x:v>22</x:v>
      </x:c>
      <x:c r="F2777" s="115" t="str">
        <x:v>Inspection physique</x:v>
      </x:c>
      <x:c r="G2777" s="115" t="str">
        <x:v>1 niveaux ; 40 pièces ; 303 segments de mur ; 0 transitions. Inspection physique ; architecture complète encore ouverte.</x:v>
      </x:c>
      <x:c r="H2777" s="115" t="str">
        <x:v>L 386 ; l 368 ; hauteur 10,6 m ; choix de composition auteur ; dimensions réelles à documenter</x:v>
      </x:c>
      <x:c r="I2777" s="115" t="str">
        <x:v>À équilibrer</x:v>
      </x:c>
      <x:c r="J2777" s="115" t="str">
        <x:v>Non</x:v>
      </x:c>
      <x:c r="K2777" s="115" t="str">
        <x:v>Pièces décrites, murs, portes, niveaux et mobilier inspectables à l’échelle. Volumes réservés, raccord au seed, butin, rencontres et services de campagne restent à terminer.</x:v>
      </x:c>
    </x:row>
    <x:row r="2778" ht="96" customHeight="1">
      <x:c r="A2778" s="115" t="str">
        <x:v>EXT-MONDE-T056-V23</x:v>
      </x:c>
      <x:c r="B2778" s="115" t="str">
        <x:v>EXT-MONDE-T056</x:v>
      </x:c>
      <x:c r="C2778" s="115" t="str">
        <x:v>Usines</x:v>
      </x:c>
      <x:c r="D2778" s="115" t="str">
        <x:v>Usine de matériaux</x:v>
      </x:c>
      <x:c r="E2778" s="115" t="n">
        <x:v>23</x:v>
      </x:c>
      <x:c r="F2778" s="115" t="str">
        <x:v>Inspection physique</x:v>
      </x:c>
      <x:c r="G2778" s="115" t="str">
        <x:v>1 niveaux ; 40 pièces ; 303 segments de mur ; 0 transitions. Inspection physique ; architecture complète encore ouverte.</x:v>
      </x:c>
      <x:c r="H2778" s="115" t="str">
        <x:v>L 386 ; l 368 ; hauteur 10,6 m ; choix de composition auteur ; dimensions réelles à documenter</x:v>
      </x:c>
      <x:c r="I2778" s="115" t="str">
        <x:v>À équilibrer</x:v>
      </x:c>
      <x:c r="J2778" s="115" t="str">
        <x:v>Non</x:v>
      </x:c>
      <x:c r="K2778" s="115" t="str">
        <x:v>Pièces décrites, murs, portes, niveaux et mobilier inspectables à l’échelle. Volumes réservés, raccord au seed, butin, rencontres et services de campagne restent à terminer.</x:v>
      </x:c>
    </x:row>
    <x:row r="2779" ht="96" customHeight="1">
      <x:c r="A2779" s="115" t="str">
        <x:v>EXT-MONDE-T056-V24</x:v>
      </x:c>
      <x:c r="B2779" s="115" t="str">
        <x:v>EXT-MONDE-T056</x:v>
      </x:c>
      <x:c r="C2779" s="115" t="str">
        <x:v>Usines</x:v>
      </x:c>
      <x:c r="D2779" s="115" t="str">
        <x:v>Usine de matériaux</x:v>
      </x:c>
      <x:c r="E2779" s="115" t="n">
        <x:v>24</x:v>
      </x:c>
      <x:c r="F2779" s="115" t="str">
        <x:v>Inspection physique</x:v>
      </x:c>
      <x:c r="G2779" s="115" t="str">
        <x:v>1 niveaux ; 40 pièces ; 303 segments de mur ; 0 transitions. Inspection physique ; architecture complète encore ouverte.</x:v>
      </x:c>
      <x:c r="H2779" s="115" t="str">
        <x:v>L 386 ; l 368 ; hauteur 10,6 m ; choix de composition auteur ; dimensions réelles à documenter</x:v>
      </x:c>
      <x:c r="I2779" s="115" t="str">
        <x:v>À équilibrer</x:v>
      </x:c>
      <x:c r="J2779" s="115" t="str">
        <x:v>Non</x:v>
      </x:c>
      <x:c r="K2779" s="115" t="str">
        <x:v>Pièces décrites, murs, portes, niveaux et mobilier inspectables à l’échelle. Volumes réservés, raccord au seed, butin, rencontres et services de campagne restent à terminer.</x:v>
      </x:c>
    </x:row>
    <x:row r="2780" ht="96" customHeight="1">
      <x:c r="A2780" s="115" t="str">
        <x:v>EXT-MONDE-T056-V25</x:v>
      </x:c>
      <x:c r="B2780" s="115" t="str">
        <x:v>EXT-MONDE-T056</x:v>
      </x:c>
      <x:c r="C2780" s="115" t="str">
        <x:v>Usines</x:v>
      </x:c>
      <x:c r="D2780" s="115" t="str">
        <x:v>Usine de matériaux</x:v>
      </x:c>
      <x:c r="E2780" s="115" t="n">
        <x:v>25</x:v>
      </x:c>
      <x:c r="F2780" s="115" t="str">
        <x:v>Inspection physique</x:v>
      </x:c>
      <x:c r="G2780" s="115" t="str">
        <x:v>1 niveaux ; 40 pièces ; 303 segments de mur ; 0 transitions. Inspection physique ; architecture complète encore ouverte.</x:v>
      </x:c>
      <x:c r="H2780" s="115" t="str">
        <x:v>L 386 ; l 368 ; hauteur 10,6 m ; choix de composition auteur ; dimensions réelles à documenter</x:v>
      </x:c>
      <x:c r="I2780" s="115" t="str">
        <x:v>À équilibrer</x:v>
      </x:c>
      <x:c r="J2780" s="115" t="str">
        <x:v>Non</x:v>
      </x:c>
      <x:c r="K2780" s="115" t="str">
        <x:v>Pièces décrites, murs, portes, niveaux et mobilier inspectables à l’échelle. Volumes réservés, raccord au seed, butin, rencontres et services de campagne restent à terminer.</x:v>
      </x:c>
    </x:row>
    <x:row r="2781" ht="96" customHeight="1">
      <x:c r="A2781" s="115" t="str">
        <x:v>EXT-MONDE-T056-V26</x:v>
      </x:c>
      <x:c r="B2781" s="115" t="str">
        <x:v>EXT-MONDE-T056</x:v>
      </x:c>
      <x:c r="C2781" s="115" t="str">
        <x:v>Usines</x:v>
      </x:c>
      <x:c r="D2781" s="115" t="str">
        <x:v>Usine de matériaux</x:v>
      </x:c>
      <x:c r="E2781" s="115" t="n">
        <x:v>26</x:v>
      </x:c>
      <x:c r="F2781" s="115" t="str">
        <x:v>Inspection physique</x:v>
      </x:c>
      <x:c r="G2781" s="115" t="str">
        <x:v>1 niveaux ; 40 pièces ; 303 segments de mur ; 0 transitions. Inspection physique ; architecture complète encore ouverte.</x:v>
      </x:c>
      <x:c r="H2781" s="115" t="str">
        <x:v>L 386 ; l 368 ; hauteur 10,6 m ; choix de composition auteur ; dimensions réelles à documenter</x:v>
      </x:c>
      <x:c r="I2781" s="115" t="str">
        <x:v>À équilibrer</x:v>
      </x:c>
      <x:c r="J2781" s="115" t="str">
        <x:v>Non</x:v>
      </x:c>
      <x:c r="K2781" s="115" t="str">
        <x:v>Pièces décrites, murs, portes, niveaux et mobilier inspectables à l’échelle. Volumes réservés, raccord au seed, butin, rencontres et services de campagne restent à terminer.</x:v>
      </x:c>
    </x:row>
    <x:row r="2782" ht="96" customHeight="1">
      <x:c r="A2782" s="115" t="str">
        <x:v>EXT-MONDE-T056-V27</x:v>
      </x:c>
      <x:c r="B2782" s="115" t="str">
        <x:v>EXT-MONDE-T056</x:v>
      </x:c>
      <x:c r="C2782" s="115" t="str">
        <x:v>Usines</x:v>
      </x:c>
      <x:c r="D2782" s="115" t="str">
        <x:v>Usine de matériaux</x:v>
      </x:c>
      <x:c r="E2782" s="115" t="n">
        <x:v>27</x:v>
      </x:c>
      <x:c r="F2782" s="115" t="str">
        <x:v>Inspection physique</x:v>
      </x:c>
      <x:c r="G2782" s="115" t="str">
        <x:v>1 niveaux ; 40 pièces ; 303 segments de mur ; 0 transitions. Inspection physique ; architecture complète encore ouverte.</x:v>
      </x:c>
      <x:c r="H2782" s="115" t="str">
        <x:v>L 386 ; l 368 ; hauteur 10,6 m ; choix de composition auteur ; dimensions réelles à documenter</x:v>
      </x:c>
      <x:c r="I2782" s="115" t="str">
        <x:v>À équilibrer</x:v>
      </x:c>
      <x:c r="J2782" s="115" t="str">
        <x:v>Non</x:v>
      </x:c>
      <x:c r="K2782" s="115" t="str">
        <x:v>Pièces décrites, murs, portes, niveaux et mobilier inspectables à l’échelle. Volumes réservés, raccord au seed, butin, rencontres et services de campagne restent à terminer.</x:v>
      </x:c>
    </x:row>
    <x:row r="2783" ht="96" customHeight="1">
      <x:c r="A2783" s="115" t="str">
        <x:v>EXT-MONDE-T056-V28</x:v>
      </x:c>
      <x:c r="B2783" s="115" t="str">
        <x:v>EXT-MONDE-T056</x:v>
      </x:c>
      <x:c r="C2783" s="115" t="str">
        <x:v>Usines</x:v>
      </x:c>
      <x:c r="D2783" s="115" t="str">
        <x:v>Usine de matériaux</x:v>
      </x:c>
      <x:c r="E2783" s="115" t="n">
        <x:v>28</x:v>
      </x:c>
      <x:c r="F2783" s="115" t="str">
        <x:v>Inspection physique</x:v>
      </x:c>
      <x:c r="G2783" s="115" t="str">
        <x:v>1 niveaux ; 40 pièces ; 303 segments de mur ; 0 transitions. Inspection physique ; architecture complète encore ouverte.</x:v>
      </x:c>
      <x:c r="H2783" s="115" t="str">
        <x:v>L 386 ; l 368 ; hauteur 10,6 m ; choix de composition auteur ; dimensions réelles à documenter</x:v>
      </x:c>
      <x:c r="I2783" s="115" t="str">
        <x:v>À équilibrer</x:v>
      </x:c>
      <x:c r="J2783" s="115" t="str">
        <x:v>Non</x:v>
      </x:c>
      <x:c r="K2783" s="115" t="str">
        <x:v>Pièces décrites, murs, portes, niveaux et mobilier inspectables à l’échelle. Volumes réservés, raccord au seed, butin, rencontres et services de campagne restent à terminer.</x:v>
      </x:c>
    </x:row>
    <x:row r="2784" ht="96" customHeight="1">
      <x:c r="A2784" s="115" t="str">
        <x:v>EXT-MONDE-T056-V29</x:v>
      </x:c>
      <x:c r="B2784" s="115" t="str">
        <x:v>EXT-MONDE-T056</x:v>
      </x:c>
      <x:c r="C2784" s="115" t="str">
        <x:v>Usines</x:v>
      </x:c>
      <x:c r="D2784" s="115" t="str">
        <x:v>Usine de matériaux</x:v>
      </x:c>
      <x:c r="E2784" s="115" t="n">
        <x:v>29</x:v>
      </x:c>
      <x:c r="F2784" s="115" t="str">
        <x:v>Inspection physique</x:v>
      </x:c>
      <x:c r="G2784" s="115" t="str">
        <x:v>1 niveaux ; 40 pièces ; 303 segments de mur ; 0 transitions. Inspection physique ; architecture complète encore ouverte.</x:v>
      </x:c>
      <x:c r="H2784" s="115" t="str">
        <x:v>L 386 ; l 368 ; hauteur 10,6 m ; choix de composition auteur ; dimensions réelles à documenter</x:v>
      </x:c>
      <x:c r="I2784" s="115" t="str">
        <x:v>À équilibrer</x:v>
      </x:c>
      <x:c r="J2784" s="115" t="str">
        <x:v>Non</x:v>
      </x:c>
      <x:c r="K2784" s="115" t="str">
        <x:v>Pièces décrites, murs, portes, niveaux et mobilier inspectables à l’échelle. Volumes réservés, raccord au seed, butin, rencontres et services de campagne restent à terminer.</x:v>
      </x:c>
    </x:row>
    <x:row r="2785" ht="96" customHeight="1">
      <x:c r="A2785" s="115" t="str">
        <x:v>EXT-MONDE-T056-V30</x:v>
      </x:c>
      <x:c r="B2785" s="115" t="str">
        <x:v>EXT-MONDE-T056</x:v>
      </x:c>
      <x:c r="C2785" s="115" t="str">
        <x:v>Usines</x:v>
      </x:c>
      <x:c r="D2785" s="115" t="str">
        <x:v>Usine de matériaux</x:v>
      </x:c>
      <x:c r="E2785" s="115" t="n">
        <x:v>30</x:v>
      </x:c>
      <x:c r="F2785" s="115" t="str">
        <x:v>Inspection physique</x:v>
      </x:c>
      <x:c r="G2785" s="115" t="str">
        <x:v>1 niveaux ; 40 pièces ; 303 segments de mur ; 0 transitions. Inspection physique ; architecture complète encore ouverte.</x:v>
      </x:c>
      <x:c r="H2785" s="115" t="str">
        <x:v>L 386 ; l 368 ; hauteur 10,6 m ; choix de composition auteur ; dimensions réelles à documenter</x:v>
      </x:c>
      <x:c r="I2785" s="115" t="str">
        <x:v>À équilibrer</x:v>
      </x:c>
      <x:c r="J2785" s="115" t="str">
        <x:v>Non</x:v>
      </x:c>
      <x:c r="K2785" s="115" t="str">
        <x:v>Pièces décrites, murs, portes, niveaux et mobilier inspectables à l’échelle. Volumes réservés, raccord au seed, butin, rencontres et services de campagne restent à terminer.</x:v>
      </x:c>
    </x:row>
    <x:row r="2786" ht="96" customHeight="1">
      <x:c r="A2786" s="115" t="str">
        <x:v>EXT-MONDE-T056-V31</x:v>
      </x:c>
      <x:c r="B2786" s="115" t="str">
        <x:v>EXT-MONDE-T056</x:v>
      </x:c>
      <x:c r="C2786" s="115" t="str">
        <x:v>Usines</x:v>
      </x:c>
      <x:c r="D2786" s="115" t="str">
        <x:v>Usine de matériaux</x:v>
      </x:c>
      <x:c r="E2786" s="115" t="n">
        <x:v>31</x:v>
      </x:c>
      <x:c r="F2786" s="115" t="str">
        <x:v>Inspection physique</x:v>
      </x:c>
      <x:c r="G2786" s="115" t="str">
        <x:v>1 niveaux ; 40 pièces ; 303 segments de mur ; 0 transitions. Inspection physique ; architecture complète encore ouverte.</x:v>
      </x:c>
      <x:c r="H2786" s="115" t="str">
        <x:v>L 404 ; l 392 ; hauteur 10,6 m ; choix de composition auteur ; dimensions réelles à documenter</x:v>
      </x:c>
      <x:c r="I2786" s="115" t="str">
        <x:v>À équilibrer</x:v>
      </x:c>
      <x:c r="J2786" s="115" t="str">
        <x:v>Non</x:v>
      </x:c>
      <x:c r="K2786" s="115" t="str">
        <x:v>Pièces décrites, murs, portes, niveaux et mobilier inspectables à l’échelle. Volumes réservés, raccord au seed, butin, rencontres et services de campagne restent à terminer.</x:v>
      </x:c>
    </x:row>
    <x:row r="2787" ht="96" customHeight="1">
      <x:c r="A2787" s="115" t="str">
        <x:v>EXT-MONDE-T056-V32</x:v>
      </x:c>
      <x:c r="B2787" s="115" t="str">
        <x:v>EXT-MONDE-T056</x:v>
      </x:c>
      <x:c r="C2787" s="115" t="str">
        <x:v>Usines</x:v>
      </x:c>
      <x:c r="D2787" s="115" t="str">
        <x:v>Usine de matériaux</x:v>
      </x:c>
      <x:c r="E2787" s="115" t="n">
        <x:v>32</x:v>
      </x:c>
      <x:c r="F2787" s="115" t="str">
        <x:v>Inspection physique</x:v>
      </x:c>
      <x:c r="G2787" s="115" t="str">
        <x:v>1 niveaux ; 40 pièces ; 303 segments de mur ; 0 transitions. Inspection physique ; architecture complète encore ouverte.</x:v>
      </x:c>
      <x:c r="H2787" s="115" t="str">
        <x:v>L 404 ; l 392 ; hauteur 10,6 m ; choix de composition auteur ; dimensions réelles à documenter</x:v>
      </x:c>
      <x:c r="I2787" s="115" t="str">
        <x:v>À équilibrer</x:v>
      </x:c>
      <x:c r="J2787" s="115" t="str">
        <x:v>Non</x:v>
      </x:c>
      <x:c r="K2787" s="115" t="str">
        <x:v>Pièces décrites, murs, portes, niveaux et mobilier inspectables à l’échelle. Volumes réservés, raccord au seed, butin, rencontres et services de campagne restent à terminer.</x:v>
      </x:c>
    </x:row>
    <x:row r="2788" ht="96" customHeight="1">
      <x:c r="A2788" s="115" t="str">
        <x:v>EXT-MONDE-T056-V33</x:v>
      </x:c>
      <x:c r="B2788" s="115" t="str">
        <x:v>EXT-MONDE-T056</x:v>
      </x:c>
      <x:c r="C2788" s="115" t="str">
        <x:v>Usines</x:v>
      </x:c>
      <x:c r="D2788" s="115" t="str">
        <x:v>Usine de matériaux</x:v>
      </x:c>
      <x:c r="E2788" s="115" t="n">
        <x:v>33</x:v>
      </x:c>
      <x:c r="F2788" s="115" t="str">
        <x:v>Inspection physique</x:v>
      </x:c>
      <x:c r="G2788" s="115" t="str">
        <x:v>1 niveaux ; 40 pièces ; 303 segments de mur ; 0 transitions. Inspection physique ; architecture complète encore ouverte.</x:v>
      </x:c>
      <x:c r="H2788" s="115" t="str">
        <x:v>L 404 ; l 392 ; hauteur 10,6 m ; choix de composition auteur ; dimensions réelles à documenter</x:v>
      </x:c>
      <x:c r="I2788" s="115" t="str">
        <x:v>À équilibrer</x:v>
      </x:c>
      <x:c r="J2788" s="115" t="str">
        <x:v>Non</x:v>
      </x:c>
      <x:c r="K2788" s="115" t="str">
        <x:v>Pièces décrites, murs, portes, niveaux et mobilier inspectables à l’échelle. Volumes réservés, raccord au seed, butin, rencontres et services de campagne restent à terminer.</x:v>
      </x:c>
    </x:row>
    <x:row r="2789" ht="96" customHeight="1">
      <x:c r="A2789" s="115" t="str">
        <x:v>EXT-MONDE-T056-V34</x:v>
      </x:c>
      <x:c r="B2789" s="115" t="str">
        <x:v>EXT-MONDE-T056</x:v>
      </x:c>
      <x:c r="C2789" s="115" t="str">
        <x:v>Usines</x:v>
      </x:c>
      <x:c r="D2789" s="115" t="str">
        <x:v>Usine de matériaux</x:v>
      </x:c>
      <x:c r="E2789" s="115" t="n">
        <x:v>34</x:v>
      </x:c>
      <x:c r="F2789" s="115" t="str">
        <x:v>Inspection physique</x:v>
      </x:c>
      <x:c r="G2789" s="115" t="str">
        <x:v>1 niveaux ; 40 pièces ; 303 segments de mur ; 0 transitions. Inspection physique ; architecture complète encore ouverte.</x:v>
      </x:c>
      <x:c r="H2789" s="115" t="str">
        <x:v>L 404 ; l 392 ; hauteur 10,6 m ; choix de composition auteur ; dimensions réelles à documenter</x:v>
      </x:c>
      <x:c r="I2789" s="115" t="str">
        <x:v>À équilibrer</x:v>
      </x:c>
      <x:c r="J2789" s="115" t="str">
        <x:v>Non</x:v>
      </x:c>
      <x:c r="K2789" s="115" t="str">
        <x:v>Pièces décrites, murs, portes, niveaux et mobilier inspectables à l’échelle. Volumes réservés, raccord au seed, butin, rencontres et services de campagne restent à terminer.</x:v>
      </x:c>
    </x:row>
    <x:row r="2790" ht="96" customHeight="1">
      <x:c r="A2790" s="115" t="str">
        <x:v>EXT-MONDE-T056-V35</x:v>
      </x:c>
      <x:c r="B2790" s="115" t="str">
        <x:v>EXT-MONDE-T056</x:v>
      </x:c>
      <x:c r="C2790" s="115" t="str">
        <x:v>Usines</x:v>
      </x:c>
      <x:c r="D2790" s="115" t="str">
        <x:v>Usine de matériaux</x:v>
      </x:c>
      <x:c r="E2790" s="115" t="n">
        <x:v>35</x:v>
      </x:c>
      <x:c r="F2790" s="115" t="str">
        <x:v>Inspection physique</x:v>
      </x:c>
      <x:c r="G2790" s="115" t="str">
        <x:v>1 niveaux ; 40 pièces ; 303 segments de mur ; 0 transitions. Inspection physique ; architecture complète encore ouverte.</x:v>
      </x:c>
      <x:c r="H2790" s="115" t="str">
        <x:v>L 404 ; l 392 ; hauteur 10,6 m ; choix de composition auteur ; dimensions réelles à documenter</x:v>
      </x:c>
      <x:c r="I2790" s="115" t="str">
        <x:v>À équilibrer</x:v>
      </x:c>
      <x:c r="J2790" s="115" t="str">
        <x:v>Non</x:v>
      </x:c>
      <x:c r="K2790" s="115" t="str">
        <x:v>Pièces décrites, murs, portes, niveaux et mobilier inspectables à l’échelle. Volumes réservés, raccord au seed, butin, rencontres et services de campagne restent à terminer.</x:v>
      </x:c>
    </x:row>
    <x:row r="2791" ht="96" customHeight="1">
      <x:c r="A2791" s="115" t="str">
        <x:v>EXT-MONDE-T056-V36</x:v>
      </x:c>
      <x:c r="B2791" s="115" t="str">
        <x:v>EXT-MONDE-T056</x:v>
      </x:c>
      <x:c r="C2791" s="115" t="str">
        <x:v>Usines</x:v>
      </x:c>
      <x:c r="D2791" s="115" t="str">
        <x:v>Usine de matériaux</x:v>
      </x:c>
      <x:c r="E2791" s="115" t="n">
        <x:v>36</x:v>
      </x:c>
      <x:c r="F2791" s="115" t="str">
        <x:v>Inspection physique</x:v>
      </x:c>
      <x:c r="G2791" s="115" t="str">
        <x:v>1 niveaux ; 40 pièces ; 303 segments de mur ; 0 transitions. Inspection physique ; architecture complète encore ouverte.</x:v>
      </x:c>
      <x:c r="H2791" s="115" t="str">
        <x:v>L 404 ; l 392 ; hauteur 10,6 m ; choix de composition auteur ; dimensions réelles à documenter</x:v>
      </x:c>
      <x:c r="I2791" s="115" t="str">
        <x:v>À équilibrer</x:v>
      </x:c>
      <x:c r="J2791" s="115" t="str">
        <x:v>Non</x:v>
      </x:c>
      <x:c r="K2791" s="115" t="str">
        <x:v>Pièces décrites, murs, portes, niveaux et mobilier inspectables à l’échelle. Volumes réservés, raccord au seed, butin, rencontres et services de campagne restent à terminer.</x:v>
      </x:c>
    </x:row>
    <x:row r="2792" ht="96" customHeight="1">
      <x:c r="A2792" s="115" t="str">
        <x:v>EXT-MONDE-T056-V37</x:v>
      </x:c>
      <x:c r="B2792" s="115" t="str">
        <x:v>EXT-MONDE-T056</x:v>
      </x:c>
      <x:c r="C2792" s="115" t="str">
        <x:v>Usines</x:v>
      </x:c>
      <x:c r="D2792" s="115" t="str">
        <x:v>Usine de matériaux</x:v>
      </x:c>
      <x:c r="E2792" s="115" t="n">
        <x:v>37</x:v>
      </x:c>
      <x:c r="F2792" s="115" t="str">
        <x:v>Inspection physique</x:v>
      </x:c>
      <x:c r="G2792" s="115" t="str">
        <x:v>1 niveaux ; 40 pièces ; 303 segments de mur ; 0 transitions. Inspection physique ; architecture complète encore ouverte.</x:v>
      </x:c>
      <x:c r="H2792" s="115" t="str">
        <x:v>L 404 ; l 392 ; hauteur 10,6 m ; choix de composition auteur ; dimensions réelles à documenter</x:v>
      </x:c>
      <x:c r="I2792" s="115" t="str">
        <x:v>À équilibrer</x:v>
      </x:c>
      <x:c r="J2792" s="115" t="str">
        <x:v>Non</x:v>
      </x:c>
      <x:c r="K2792" s="115" t="str">
        <x:v>Pièces décrites, murs, portes, niveaux et mobilier inspectables à l’échelle. Volumes réservés, raccord au seed, butin, rencontres et services de campagne restent à terminer.</x:v>
      </x:c>
    </x:row>
    <x:row r="2793" ht="96" customHeight="1">
      <x:c r="A2793" s="115" t="str">
        <x:v>EXT-MONDE-T056-V38</x:v>
      </x:c>
      <x:c r="B2793" s="115" t="str">
        <x:v>EXT-MONDE-T056</x:v>
      </x:c>
      <x:c r="C2793" s="115" t="str">
        <x:v>Usines</x:v>
      </x:c>
      <x:c r="D2793" s="115" t="str">
        <x:v>Usine de matériaux</x:v>
      </x:c>
      <x:c r="E2793" s="115" t="n">
        <x:v>38</x:v>
      </x:c>
      <x:c r="F2793" s="115" t="str">
        <x:v>Inspection physique</x:v>
      </x:c>
      <x:c r="G2793" s="115" t="str">
        <x:v>1 niveaux ; 40 pièces ; 303 segments de mur ; 0 transitions. Inspection physique ; architecture complète encore ouverte.</x:v>
      </x:c>
      <x:c r="H2793" s="115" t="str">
        <x:v>L 404 ; l 392 ; hauteur 10,6 m ; choix de composition auteur ; dimensions réelles à documenter</x:v>
      </x:c>
      <x:c r="I2793" s="115" t="str">
        <x:v>À équilibrer</x:v>
      </x:c>
      <x:c r="J2793" s="115" t="str">
        <x:v>Non</x:v>
      </x:c>
      <x:c r="K2793" s="115" t="str">
        <x:v>Pièces décrites, murs, portes, niveaux et mobilier inspectables à l’échelle. Volumes réservés, raccord au seed, butin, rencontres et services de campagne restent à terminer.</x:v>
      </x:c>
    </x:row>
    <x:row r="2794" ht="96" customHeight="1">
      <x:c r="A2794" s="115" t="str">
        <x:v>EXT-MONDE-T056-V39</x:v>
      </x:c>
      <x:c r="B2794" s="115" t="str">
        <x:v>EXT-MONDE-T056</x:v>
      </x:c>
      <x:c r="C2794" s="115" t="str">
        <x:v>Usines</x:v>
      </x:c>
      <x:c r="D2794" s="115" t="str">
        <x:v>Usine de matériaux</x:v>
      </x:c>
      <x:c r="E2794" s="115" t="n">
        <x:v>39</x:v>
      </x:c>
      <x:c r="F2794" s="115" t="str">
        <x:v>Inspection physique</x:v>
      </x:c>
      <x:c r="G2794" s="115" t="str">
        <x:v>1 niveaux ; 40 pièces ; 303 segments de mur ; 0 transitions. Inspection physique ; architecture complète encore ouverte.</x:v>
      </x:c>
      <x:c r="H2794" s="115" t="str">
        <x:v>L 404 ; l 392 ; hauteur 10,6 m ; choix de composition auteur ; dimensions réelles à documenter</x:v>
      </x:c>
      <x:c r="I2794" s="115" t="str">
        <x:v>À équilibrer</x:v>
      </x:c>
      <x:c r="J2794" s="115" t="str">
        <x:v>Non</x:v>
      </x:c>
      <x:c r="K2794" s="115" t="str">
        <x:v>Pièces décrites, murs, portes, niveaux et mobilier inspectables à l’échelle. Volumes réservés, raccord au seed, butin, rencontres et services de campagne restent à terminer.</x:v>
      </x:c>
    </x:row>
    <x:row r="2795" ht="96" customHeight="1">
      <x:c r="A2795" s="115" t="str">
        <x:v>EXT-MONDE-T056-V40</x:v>
      </x:c>
      <x:c r="B2795" s="115" t="str">
        <x:v>EXT-MONDE-T056</x:v>
      </x:c>
      <x:c r="C2795" s="115" t="str">
        <x:v>Usines</x:v>
      </x:c>
      <x:c r="D2795" s="115" t="str">
        <x:v>Usine de matériaux</x:v>
      </x:c>
      <x:c r="E2795" s="115" t="n">
        <x:v>40</x:v>
      </x:c>
      <x:c r="F2795" s="115" t="str">
        <x:v>Inspection physique</x:v>
      </x:c>
      <x:c r="G2795" s="115" t="str">
        <x:v>1 niveaux ; 40 pièces ; 303 segments de mur ; 0 transitions. Inspection physique ; architecture complète encore ouverte.</x:v>
      </x:c>
      <x:c r="H2795" s="115" t="str">
        <x:v>L 404 ; l 392 ; hauteur 10,6 m ; choix de composition auteur ; dimensions réelles à documenter</x:v>
      </x:c>
      <x:c r="I2795" s="115" t="str">
        <x:v>À équilibrer</x:v>
      </x:c>
      <x:c r="J2795" s="115" t="str">
        <x:v>Non</x:v>
      </x:c>
      <x:c r="K2795" s="115" t="str">
        <x:v>Pièces décrites, murs, portes, niveaux et mobilier inspectables à l’échelle. Volumes réservés, raccord au seed, butin, rencontres et services de campagne restent à terminer.</x:v>
      </x:c>
    </x:row>
    <x:row r="2796" ht="96" customHeight="1">
      <x:c r="A2796" s="115" t="str">
        <x:v>EXT-MONDE-T056-V41</x:v>
      </x:c>
      <x:c r="B2796" s="115" t="str">
        <x:v>EXT-MONDE-T056</x:v>
      </x:c>
      <x:c r="C2796" s="115" t="str">
        <x:v>Usines</x:v>
      </x:c>
      <x:c r="D2796" s="115" t="str">
        <x:v>Usine de matériaux</x:v>
      </x:c>
      <x:c r="E2796" s="115" t="n">
        <x:v>41</x:v>
      </x:c>
      <x:c r="F2796" s="115" t="str">
        <x:v>Inspection physique</x:v>
      </x:c>
      <x:c r="G2796" s="115" t="str">
        <x:v>1 niveaux ; 40 pièces ; 303 segments de mur ; 0 transitions. Inspection physique ; architecture complète encore ouverte.</x:v>
      </x:c>
      <x:c r="H2796" s="115" t="str">
        <x:v>L 422 ; l 416 ; hauteur 10,6 m ; choix de composition auteur ; dimensions réelles à documenter</x:v>
      </x:c>
      <x:c r="I2796" s="115" t="str">
        <x:v>À équilibrer</x:v>
      </x:c>
      <x:c r="J2796" s="115" t="str">
        <x:v>Non</x:v>
      </x:c>
      <x:c r="K2796" s="115" t="str">
        <x:v>Pièces décrites, murs, portes, niveaux et mobilier inspectables à l’échelle. Volumes réservés, raccord au seed, butin, rencontres et services de campagne restent à terminer.</x:v>
      </x:c>
    </x:row>
    <x:row r="2797" ht="96" customHeight="1">
      <x:c r="A2797" s="115" t="str">
        <x:v>EXT-MONDE-T056-V42</x:v>
      </x:c>
      <x:c r="B2797" s="115" t="str">
        <x:v>EXT-MONDE-T056</x:v>
      </x:c>
      <x:c r="C2797" s="115" t="str">
        <x:v>Usines</x:v>
      </x:c>
      <x:c r="D2797" s="115" t="str">
        <x:v>Usine de matériaux</x:v>
      </x:c>
      <x:c r="E2797" s="115" t="n">
        <x:v>42</x:v>
      </x:c>
      <x:c r="F2797" s="115" t="str">
        <x:v>Inspection physique</x:v>
      </x:c>
      <x:c r="G2797" s="115" t="str">
        <x:v>1 niveaux ; 40 pièces ; 303 segments de mur ; 0 transitions. Inspection physique ; architecture complète encore ouverte.</x:v>
      </x:c>
      <x:c r="H2797" s="115" t="str">
        <x:v>L 422 ; l 416 ; hauteur 10,6 m ; choix de composition auteur ; dimensions réelles à documenter</x:v>
      </x:c>
      <x:c r="I2797" s="115" t="str">
        <x:v>À équilibrer</x:v>
      </x:c>
      <x:c r="J2797" s="115" t="str">
        <x:v>Non</x:v>
      </x:c>
      <x:c r="K2797" s="115" t="str">
        <x:v>Pièces décrites, murs, portes, niveaux et mobilier inspectables à l’échelle. Volumes réservés, raccord au seed, butin, rencontres et services de campagne restent à terminer.</x:v>
      </x:c>
    </x:row>
    <x:row r="2798" ht="96" customHeight="1">
      <x:c r="A2798" s="115" t="str">
        <x:v>EXT-MONDE-T056-V43</x:v>
      </x:c>
      <x:c r="B2798" s="115" t="str">
        <x:v>EXT-MONDE-T056</x:v>
      </x:c>
      <x:c r="C2798" s="115" t="str">
        <x:v>Usines</x:v>
      </x:c>
      <x:c r="D2798" s="115" t="str">
        <x:v>Usine de matériaux</x:v>
      </x:c>
      <x:c r="E2798" s="115" t="n">
        <x:v>43</x:v>
      </x:c>
      <x:c r="F2798" s="115" t="str">
        <x:v>Inspection physique</x:v>
      </x:c>
      <x:c r="G2798" s="115" t="str">
        <x:v>1 niveaux ; 40 pièces ; 303 segments de mur ; 0 transitions. Inspection physique ; architecture complète encore ouverte.</x:v>
      </x:c>
      <x:c r="H2798" s="115" t="str">
        <x:v>L 422 ; l 416 ; hauteur 10,6 m ; choix de composition auteur ; dimensions réelles à documenter</x:v>
      </x:c>
      <x:c r="I2798" s="115" t="str">
        <x:v>À équilibrer</x:v>
      </x:c>
      <x:c r="J2798" s="115" t="str">
        <x:v>Non</x:v>
      </x:c>
      <x:c r="K2798" s="115" t="str">
        <x:v>Pièces décrites, murs, portes, niveaux et mobilier inspectables à l’échelle. Volumes réservés, raccord au seed, butin, rencontres et services de campagne restent à terminer.</x:v>
      </x:c>
    </x:row>
    <x:row r="2799" ht="96" customHeight="1">
      <x:c r="A2799" s="115" t="str">
        <x:v>EXT-MONDE-T056-V44</x:v>
      </x:c>
      <x:c r="B2799" s="115" t="str">
        <x:v>EXT-MONDE-T056</x:v>
      </x:c>
      <x:c r="C2799" s="115" t="str">
        <x:v>Usines</x:v>
      </x:c>
      <x:c r="D2799" s="115" t="str">
        <x:v>Usine de matériaux</x:v>
      </x:c>
      <x:c r="E2799" s="115" t="n">
        <x:v>44</x:v>
      </x:c>
      <x:c r="F2799" s="115" t="str">
        <x:v>Inspection physique</x:v>
      </x:c>
      <x:c r="G2799" s="115" t="str">
        <x:v>1 niveaux ; 40 pièces ; 303 segments de mur ; 0 transitions. Inspection physique ; architecture complète encore ouverte.</x:v>
      </x:c>
      <x:c r="H2799" s="115" t="str">
        <x:v>L 422 ; l 416 ; hauteur 10,6 m ; choix de composition auteur ; dimensions réelles à documenter</x:v>
      </x:c>
      <x:c r="I2799" s="115" t="str">
        <x:v>À équilibrer</x:v>
      </x:c>
      <x:c r="J2799" s="115" t="str">
        <x:v>Non</x:v>
      </x:c>
      <x:c r="K2799" s="115" t="str">
        <x:v>Pièces décrites, murs, portes, niveaux et mobilier inspectables à l’échelle. Volumes réservés, raccord au seed, butin, rencontres et services de campagne restent à terminer.</x:v>
      </x:c>
    </x:row>
    <x:row r="2800" ht="96" customHeight="1">
      <x:c r="A2800" s="115" t="str">
        <x:v>EXT-MONDE-T056-V45</x:v>
      </x:c>
      <x:c r="B2800" s="115" t="str">
        <x:v>EXT-MONDE-T056</x:v>
      </x:c>
      <x:c r="C2800" s="115" t="str">
        <x:v>Usines</x:v>
      </x:c>
      <x:c r="D2800" s="115" t="str">
        <x:v>Usine de matériaux</x:v>
      </x:c>
      <x:c r="E2800" s="115" t="n">
        <x:v>45</x:v>
      </x:c>
      <x:c r="F2800" s="115" t="str">
        <x:v>Inspection physique</x:v>
      </x:c>
      <x:c r="G2800" s="115" t="str">
        <x:v>1 niveaux ; 40 pièces ; 303 segments de mur ; 0 transitions. Inspection physique ; architecture complète encore ouverte.</x:v>
      </x:c>
      <x:c r="H2800" s="115" t="str">
        <x:v>L 422 ; l 416 ; hauteur 10,6 m ; choix de composition auteur ; dimensions réelles à documenter</x:v>
      </x:c>
      <x:c r="I2800" s="115" t="str">
        <x:v>À équilibrer</x:v>
      </x:c>
      <x:c r="J2800" s="115" t="str">
        <x:v>Non</x:v>
      </x:c>
      <x:c r="K2800" s="115" t="str">
        <x:v>Pièces décrites, murs, portes, niveaux et mobilier inspectables à l’échelle. Volumes réservés, raccord au seed, butin, rencontres et services de campagne restent à terminer.</x:v>
      </x:c>
    </x:row>
    <x:row r="2801" ht="96" customHeight="1">
      <x:c r="A2801" s="115" t="str">
        <x:v>EXT-MONDE-T056-V46</x:v>
      </x:c>
      <x:c r="B2801" s="115" t="str">
        <x:v>EXT-MONDE-T056</x:v>
      </x:c>
      <x:c r="C2801" s="115" t="str">
        <x:v>Usines</x:v>
      </x:c>
      <x:c r="D2801" s="115" t="str">
        <x:v>Usine de matériaux</x:v>
      </x:c>
      <x:c r="E2801" s="115" t="n">
        <x:v>46</x:v>
      </x:c>
      <x:c r="F2801" s="115" t="str">
        <x:v>Inspection physique</x:v>
      </x:c>
      <x:c r="G2801" s="115" t="str">
        <x:v>1 niveaux ; 40 pièces ; 303 segments de mur ; 0 transitions. Inspection physique ; architecture complète encore ouverte.</x:v>
      </x:c>
      <x:c r="H2801" s="115" t="str">
        <x:v>L 422 ; l 416 ; hauteur 10,6 m ; choix de composition auteur ; dimensions réelles à documenter</x:v>
      </x:c>
      <x:c r="I2801" s="115" t="str">
        <x:v>À équilibrer</x:v>
      </x:c>
      <x:c r="J2801" s="115" t="str">
        <x:v>Non</x:v>
      </x:c>
      <x:c r="K2801" s="115" t="str">
        <x:v>Pièces décrites, murs, portes, niveaux et mobilier inspectables à l’échelle. Volumes réservés, raccord au seed, butin, rencontres et services de campagne restent à terminer.</x:v>
      </x:c>
    </x:row>
    <x:row r="2802" ht="96" customHeight="1">
      <x:c r="A2802" s="115" t="str">
        <x:v>EXT-MONDE-T056-V47</x:v>
      </x:c>
      <x:c r="B2802" s="115" t="str">
        <x:v>EXT-MONDE-T056</x:v>
      </x:c>
      <x:c r="C2802" s="115" t="str">
        <x:v>Usines</x:v>
      </x:c>
      <x:c r="D2802" s="115" t="str">
        <x:v>Usine de matériaux</x:v>
      </x:c>
      <x:c r="E2802" s="115" t="n">
        <x:v>47</x:v>
      </x:c>
      <x:c r="F2802" s="115" t="str">
        <x:v>Inspection physique</x:v>
      </x:c>
      <x:c r="G2802" s="115" t="str">
        <x:v>1 niveaux ; 40 pièces ; 303 segments de mur ; 0 transitions. Inspection physique ; architecture complète encore ouverte.</x:v>
      </x:c>
      <x:c r="H2802" s="115" t="str">
        <x:v>L 422 ; l 416 ; hauteur 10,6 m ; choix de composition auteur ; dimensions réelles à documenter</x:v>
      </x:c>
      <x:c r="I2802" s="115" t="str">
        <x:v>À équilibrer</x:v>
      </x:c>
      <x:c r="J2802" s="115" t="str">
        <x:v>Non</x:v>
      </x:c>
      <x:c r="K2802" s="115" t="str">
        <x:v>Pièces décrites, murs, portes, niveaux et mobilier inspectables à l’échelle. Volumes réservés, raccord au seed, butin, rencontres et services de campagne restent à terminer.</x:v>
      </x:c>
    </x:row>
    <x:row r="2803" ht="96" customHeight="1">
      <x:c r="A2803" s="115" t="str">
        <x:v>EXT-MONDE-T056-V48</x:v>
      </x:c>
      <x:c r="B2803" s="115" t="str">
        <x:v>EXT-MONDE-T056</x:v>
      </x:c>
      <x:c r="C2803" s="115" t="str">
        <x:v>Usines</x:v>
      </x:c>
      <x:c r="D2803" s="115" t="str">
        <x:v>Usine de matériaux</x:v>
      </x:c>
      <x:c r="E2803" s="115" t="n">
        <x:v>48</x:v>
      </x:c>
      <x:c r="F2803" s="115" t="str">
        <x:v>Inspection physique</x:v>
      </x:c>
      <x:c r="G2803" s="115" t="str">
        <x:v>1 niveaux ; 40 pièces ; 303 segments de mur ; 0 transitions. Inspection physique ; architecture complète encore ouverte.</x:v>
      </x:c>
      <x:c r="H2803" s="115" t="str">
        <x:v>L 422 ; l 416 ; hauteur 10,6 m ; choix de composition auteur ; dimensions réelles à documenter</x:v>
      </x:c>
      <x:c r="I2803" s="115" t="str">
        <x:v>À équilibrer</x:v>
      </x:c>
      <x:c r="J2803" s="115" t="str">
        <x:v>Non</x:v>
      </x:c>
      <x:c r="K2803" s="115" t="str">
        <x:v>Pièces décrites, murs, portes, niveaux et mobilier inspectables à l’échelle. Volumes réservés, raccord au seed, butin, rencontres et services de campagne restent à terminer.</x:v>
      </x:c>
    </x:row>
    <x:row r="2804" ht="96" customHeight="1">
      <x:c r="A2804" s="115" t="str">
        <x:v>EXT-MONDE-T056-V49</x:v>
      </x:c>
      <x:c r="B2804" s="115" t="str">
        <x:v>EXT-MONDE-T056</x:v>
      </x:c>
      <x:c r="C2804" s="115" t="str">
        <x:v>Usines</x:v>
      </x:c>
      <x:c r="D2804" s="115" t="str">
        <x:v>Usine de matériaux</x:v>
      </x:c>
      <x:c r="E2804" s="115" t="n">
        <x:v>49</x:v>
      </x:c>
      <x:c r="F2804" s="115" t="str">
        <x:v>Inspection physique</x:v>
      </x:c>
      <x:c r="G2804" s="115" t="str">
        <x:v>1 niveaux ; 40 pièces ; 303 segments de mur ; 0 transitions. Inspection physique ; architecture complète encore ouverte.</x:v>
      </x:c>
      <x:c r="H2804" s="115" t="str">
        <x:v>L 422 ; l 416 ; hauteur 10,6 m ; choix de composition auteur ; dimensions réelles à documenter</x:v>
      </x:c>
      <x:c r="I2804" s="115" t="str">
        <x:v>À équilibrer</x:v>
      </x:c>
      <x:c r="J2804" s="115" t="str">
        <x:v>Non</x:v>
      </x:c>
      <x:c r="K2804" s="115" t="str">
        <x:v>Pièces décrites, murs, portes, niveaux et mobilier inspectables à l’échelle. Volumes réservés, raccord au seed, butin, rencontres et services de campagne restent à terminer.</x:v>
      </x:c>
    </x:row>
    <x:row r="2805" ht="96" customHeight="1">
      <x:c r="A2805" s="115" t="str">
        <x:v>EXT-MONDE-T056-V50</x:v>
      </x:c>
      <x:c r="B2805" s="115" t="str">
        <x:v>EXT-MONDE-T056</x:v>
      </x:c>
      <x:c r="C2805" s="115" t="str">
        <x:v>Usines</x:v>
      </x:c>
      <x:c r="D2805" s="115" t="str">
        <x:v>Usine de matériaux</x:v>
      </x:c>
      <x:c r="E2805" s="115" t="n">
        <x:v>50</x:v>
      </x:c>
      <x:c r="F2805" s="115" t="str">
        <x:v>Inspection physique</x:v>
      </x:c>
      <x:c r="G2805" s="115" t="str">
        <x:v>1 niveaux ; 40 pièces ; 303 segments de mur ; 0 transitions. Inspection physique ; architecture complète encore ouverte.</x:v>
      </x:c>
      <x:c r="H2805" s="115" t="str">
        <x:v>L 422 ; l 416 ; hauteur 10,6 m ; choix de composition auteur ; dimensions réelles à documenter</x:v>
      </x:c>
      <x:c r="I2805" s="115" t="str">
        <x:v>À équilibrer</x:v>
      </x:c>
      <x:c r="J2805" s="115" t="str">
        <x:v>Non</x:v>
      </x:c>
      <x:c r="K2805" s="115" t="str">
        <x:v>Pièces décrites, murs, portes, niveaux et mobilier inspectables à l’échelle. Volumes réservés, raccord au seed, butin, rencontres et services de campagne restent à terminer.</x:v>
      </x:c>
    </x:row>
    <x:row r="2806" ht="96" customHeight="1">
      <x:c r="A2806" s="115" t="str">
        <x:v>EXT-MONDE-T057-V01</x:v>
      </x:c>
      <x:c r="B2806" s="115" t="str">
        <x:v>EXT-MONDE-T057</x:v>
      </x:c>
      <x:c r="C2806" s="115" t="str">
        <x:v>Énergie</x:v>
      </x:c>
      <x:c r="D2806" s="115" t="str">
        <x:v>Centrale thermique</x:v>
      </x:c>
      <x:c r="E2806" s="115" t="n">
        <x:v>1</x:v>
      </x:c>
      <x:c r="F2806" s="115" t="str">
        <x:v>Inspection physique</x:v>
      </x:c>
      <x:c r="G2806" s="115" t="str">
        <x:v>1 niveaux ; 22 pièces ; 167 segments de mur ; 0 transitions. Inspection physique ; architecture complète encore ouverte.</x:v>
      </x:c>
      <x:c r="H2806" s="115" t="str">
        <x:v>L 430 ; l 440 ; hauteur 24 m ; choix de composition auteur ; dimensions réelles à documenter</x:v>
      </x:c>
      <x:c r="I2806" s="115" t="str">
        <x:v>À équilibrer</x:v>
      </x:c>
      <x:c r="J2806" s="115" t="str">
        <x:v>Non</x:v>
      </x:c>
      <x:c r="K2806" s="115" t="str">
        <x:v>Pièces décrites, murs, portes, niveaux et mobilier inspectables à l’échelle. Volumes réservés, raccord au seed, butin, rencontres et services de campagne restent à terminer.</x:v>
      </x:c>
    </x:row>
    <x:row r="2807" ht="96" customHeight="1">
      <x:c r="A2807" s="115" t="str">
        <x:v>EXT-MONDE-T057-V02</x:v>
      </x:c>
      <x:c r="B2807" s="115" t="str">
        <x:v>EXT-MONDE-T057</x:v>
      </x:c>
      <x:c r="C2807" s="115" t="str">
        <x:v>Énergie</x:v>
      </x:c>
      <x:c r="D2807" s="115" t="str">
        <x:v>Centrale thermique</x:v>
      </x:c>
      <x:c r="E2807" s="115" t="n">
        <x:v>2</x:v>
      </x:c>
      <x:c r="F2807" s="115" t="str">
        <x:v>Inspection physique</x:v>
      </x:c>
      <x:c r="G2807" s="115" t="str">
        <x:v>1 niveaux ; 22 pièces ; 167 segments de mur ; 0 transitions. Inspection physique ; architecture complète encore ouverte.</x:v>
      </x:c>
      <x:c r="H2807" s="115" t="str">
        <x:v>L 430 ; l 440 ; hauteur 24 m ; choix de composition auteur ; dimensions réelles à documenter</x:v>
      </x:c>
      <x:c r="I2807" s="115" t="str">
        <x:v>À équilibrer</x:v>
      </x:c>
      <x:c r="J2807" s="115" t="str">
        <x:v>Non</x:v>
      </x:c>
      <x:c r="K2807" s="115" t="str">
        <x:v>Pièces décrites, murs, portes, niveaux et mobilier inspectables à l’échelle. Volumes réservés, raccord au seed, butin, rencontres et services de campagne restent à terminer.</x:v>
      </x:c>
    </x:row>
    <x:row r="2808" ht="96" customHeight="1">
      <x:c r="A2808" s="115" t="str">
        <x:v>EXT-MONDE-T057-V03</x:v>
      </x:c>
      <x:c r="B2808" s="115" t="str">
        <x:v>EXT-MONDE-T057</x:v>
      </x:c>
      <x:c r="C2808" s="115" t="str">
        <x:v>Énergie</x:v>
      </x:c>
      <x:c r="D2808" s="115" t="str">
        <x:v>Centrale thermique</x:v>
      </x:c>
      <x:c r="E2808" s="115" t="n">
        <x:v>3</x:v>
      </x:c>
      <x:c r="F2808" s="115" t="str">
        <x:v>Inspection physique</x:v>
      </x:c>
      <x:c r="G2808" s="115" t="str">
        <x:v>1 niveaux ; 22 pièces ; 167 segments de mur ; 0 transitions. Inspection physique ; architecture complète encore ouverte.</x:v>
      </x:c>
      <x:c r="H2808" s="115" t="str">
        <x:v>L 430 ; l 440 ; hauteur 24 m ; choix de composition auteur ; dimensions réelles à documenter</x:v>
      </x:c>
      <x:c r="I2808" s="115" t="str">
        <x:v>À équilibrer</x:v>
      </x:c>
      <x:c r="J2808" s="115" t="str">
        <x:v>Non</x:v>
      </x:c>
      <x:c r="K2808" s="115" t="str">
        <x:v>Pièces décrites, murs, portes, niveaux et mobilier inspectables à l’échelle. Volumes réservés, raccord au seed, butin, rencontres et services de campagne restent à terminer.</x:v>
      </x:c>
    </x:row>
    <x:row r="2809" ht="96" customHeight="1">
      <x:c r="A2809" s="115" t="str">
        <x:v>EXT-MONDE-T057-V04</x:v>
      </x:c>
      <x:c r="B2809" s="115" t="str">
        <x:v>EXT-MONDE-T057</x:v>
      </x:c>
      <x:c r="C2809" s="115" t="str">
        <x:v>Énergie</x:v>
      </x:c>
      <x:c r="D2809" s="115" t="str">
        <x:v>Centrale thermique</x:v>
      </x:c>
      <x:c r="E2809" s="115" t="n">
        <x:v>4</x:v>
      </x:c>
      <x:c r="F2809" s="115" t="str">
        <x:v>Inspection physique</x:v>
      </x:c>
      <x:c r="G2809" s="115" t="str">
        <x:v>1 niveaux ; 22 pièces ; 167 segments de mur ; 0 transitions. Inspection physique ; architecture complète encore ouverte.</x:v>
      </x:c>
      <x:c r="H2809" s="115" t="str">
        <x:v>L 430 ; l 440 ; hauteur 24 m ; choix de composition auteur ; dimensions réelles à documenter</x:v>
      </x:c>
      <x:c r="I2809" s="115" t="str">
        <x:v>À équilibrer</x:v>
      </x:c>
      <x:c r="J2809" s="115" t="str">
        <x:v>Non</x:v>
      </x:c>
      <x:c r="K2809" s="115" t="str">
        <x:v>Pièces décrites, murs, portes, niveaux et mobilier inspectables à l’échelle. Volumes réservés, raccord au seed, butin, rencontres et services de campagne restent à terminer.</x:v>
      </x:c>
    </x:row>
    <x:row r="2810" ht="96" customHeight="1">
      <x:c r="A2810" s="115" t="str">
        <x:v>EXT-MONDE-T057-V05</x:v>
      </x:c>
      <x:c r="B2810" s="115" t="str">
        <x:v>EXT-MONDE-T057</x:v>
      </x:c>
      <x:c r="C2810" s="115" t="str">
        <x:v>Énergie</x:v>
      </x:c>
      <x:c r="D2810" s="115" t="str">
        <x:v>Centrale thermique</x:v>
      </x:c>
      <x:c r="E2810" s="115" t="n">
        <x:v>5</x:v>
      </x:c>
      <x:c r="F2810" s="115" t="str">
        <x:v>Inspection physique</x:v>
      </x:c>
      <x:c r="G2810" s="115" t="str">
        <x:v>1 niveaux ; 22 pièces ; 167 segments de mur ; 0 transitions. Inspection physique ; architecture complète encore ouverte.</x:v>
      </x:c>
      <x:c r="H2810" s="115" t="str">
        <x:v>L 430 ; l 440 ; hauteur 24 m ; choix de composition auteur ; dimensions réelles à documenter</x:v>
      </x:c>
      <x:c r="I2810" s="115" t="str">
        <x:v>À équilibrer</x:v>
      </x:c>
      <x:c r="J2810" s="115" t="str">
        <x:v>Non</x:v>
      </x:c>
      <x:c r="K2810" s="115" t="str">
        <x:v>Pièces décrites, murs, portes, niveaux et mobilier inspectables à l’échelle. Volumes réservés, raccord au seed, butin, rencontres et services de campagne restent à terminer.</x:v>
      </x:c>
    </x:row>
    <x:row r="2811" ht="96" customHeight="1">
      <x:c r="A2811" s="115" t="str">
        <x:v>EXT-MONDE-T057-V06</x:v>
      </x:c>
      <x:c r="B2811" s="115" t="str">
        <x:v>EXT-MONDE-T057</x:v>
      </x:c>
      <x:c r="C2811" s="115" t="str">
        <x:v>Énergie</x:v>
      </x:c>
      <x:c r="D2811" s="115" t="str">
        <x:v>Centrale thermique</x:v>
      </x:c>
      <x:c r="E2811" s="115" t="n">
        <x:v>6</x:v>
      </x:c>
      <x:c r="F2811" s="115" t="str">
        <x:v>Inspection physique</x:v>
      </x:c>
      <x:c r="G2811" s="115" t="str">
        <x:v>1 niveaux ; 22 pièces ; 167 segments de mur ; 0 transitions. Inspection physique ; architecture complète encore ouverte.</x:v>
      </x:c>
      <x:c r="H2811" s="115" t="str">
        <x:v>L 430 ; l 440 ; hauteur 24 m ; choix de composition auteur ; dimensions réelles à documenter</x:v>
      </x:c>
      <x:c r="I2811" s="115" t="str">
        <x:v>À équilibrer</x:v>
      </x:c>
      <x:c r="J2811" s="115" t="str">
        <x:v>Non</x:v>
      </x:c>
      <x:c r="K2811" s="115" t="str">
        <x:v>Pièces décrites, murs, portes, niveaux et mobilier inspectables à l’échelle. Volumes réservés, raccord au seed, butin, rencontres et services de campagne restent à terminer.</x:v>
      </x:c>
    </x:row>
    <x:row r="2812" ht="96" customHeight="1">
      <x:c r="A2812" s="115" t="str">
        <x:v>EXT-MONDE-T057-V07</x:v>
      </x:c>
      <x:c r="B2812" s="115" t="str">
        <x:v>EXT-MONDE-T057</x:v>
      </x:c>
      <x:c r="C2812" s="115" t="str">
        <x:v>Énergie</x:v>
      </x:c>
      <x:c r="D2812" s="115" t="str">
        <x:v>Centrale thermique</x:v>
      </x:c>
      <x:c r="E2812" s="115" t="n">
        <x:v>7</x:v>
      </x:c>
      <x:c r="F2812" s="115" t="str">
        <x:v>Inspection physique</x:v>
      </x:c>
      <x:c r="G2812" s="115" t="str">
        <x:v>1 niveaux ; 22 pièces ; 167 segments de mur ; 0 transitions. Inspection physique ; architecture complète encore ouverte.</x:v>
      </x:c>
      <x:c r="H2812" s="115" t="str">
        <x:v>L 430 ; l 440 ; hauteur 24 m ; choix de composition auteur ; dimensions réelles à documenter</x:v>
      </x:c>
      <x:c r="I2812" s="115" t="str">
        <x:v>À équilibrer</x:v>
      </x:c>
      <x:c r="J2812" s="115" t="str">
        <x:v>Non</x:v>
      </x:c>
      <x:c r="K2812" s="115" t="str">
        <x:v>Pièces décrites, murs, portes, niveaux et mobilier inspectables à l’échelle. Volumes réservés, raccord au seed, butin, rencontres et services de campagne restent à terminer.</x:v>
      </x:c>
    </x:row>
    <x:row r="2813" ht="96" customHeight="1">
      <x:c r="A2813" s="115" t="str">
        <x:v>EXT-MONDE-T057-V08</x:v>
      </x:c>
      <x:c r="B2813" s="115" t="str">
        <x:v>EXT-MONDE-T057</x:v>
      </x:c>
      <x:c r="C2813" s="115" t="str">
        <x:v>Énergie</x:v>
      </x:c>
      <x:c r="D2813" s="115" t="str">
        <x:v>Centrale thermique</x:v>
      </x:c>
      <x:c r="E2813" s="115" t="n">
        <x:v>8</x:v>
      </x:c>
      <x:c r="F2813" s="115" t="str">
        <x:v>Inspection physique</x:v>
      </x:c>
      <x:c r="G2813" s="115" t="str">
        <x:v>1 niveaux ; 22 pièces ; 167 segments de mur ; 0 transitions. Inspection physique ; architecture complète encore ouverte.</x:v>
      </x:c>
      <x:c r="H2813" s="115" t="str">
        <x:v>L 430 ; l 440 ; hauteur 24 m ; choix de composition auteur ; dimensions réelles à documenter</x:v>
      </x:c>
      <x:c r="I2813" s="115" t="str">
        <x:v>À équilibrer</x:v>
      </x:c>
      <x:c r="J2813" s="115" t="str">
        <x:v>Non</x:v>
      </x:c>
      <x:c r="K2813" s="115" t="str">
        <x:v>Pièces décrites, murs, portes, niveaux et mobilier inspectables à l’échelle. Volumes réservés, raccord au seed, butin, rencontres et services de campagne restent à terminer.</x:v>
      </x:c>
    </x:row>
    <x:row r="2814" ht="96" customHeight="1">
      <x:c r="A2814" s="115" t="str">
        <x:v>EXT-MONDE-T057-V09</x:v>
      </x:c>
      <x:c r="B2814" s="115" t="str">
        <x:v>EXT-MONDE-T057</x:v>
      </x:c>
      <x:c r="C2814" s="115" t="str">
        <x:v>Énergie</x:v>
      </x:c>
      <x:c r="D2814" s="115" t="str">
        <x:v>Centrale thermique</x:v>
      </x:c>
      <x:c r="E2814" s="115" t="n">
        <x:v>9</x:v>
      </x:c>
      <x:c r="F2814" s="115" t="str">
        <x:v>Inspection physique</x:v>
      </x:c>
      <x:c r="G2814" s="115" t="str">
        <x:v>1 niveaux ; 22 pièces ; 167 segments de mur ; 0 transitions. Inspection physique ; architecture complète encore ouverte.</x:v>
      </x:c>
      <x:c r="H2814" s="115" t="str">
        <x:v>L 430 ; l 440 ; hauteur 24 m ; choix de composition auteur ; dimensions réelles à documenter</x:v>
      </x:c>
      <x:c r="I2814" s="115" t="str">
        <x:v>À équilibrer</x:v>
      </x:c>
      <x:c r="J2814" s="115" t="str">
        <x:v>Non</x:v>
      </x:c>
      <x:c r="K2814" s="115" t="str">
        <x:v>Pièces décrites, murs, portes, niveaux et mobilier inspectables à l’échelle. Volumes réservés, raccord au seed, butin, rencontres et services de campagne restent à terminer.</x:v>
      </x:c>
    </x:row>
    <x:row r="2815" ht="96" customHeight="1">
      <x:c r="A2815" s="115" t="str">
        <x:v>EXT-MONDE-T057-V10</x:v>
      </x:c>
      <x:c r="B2815" s="115" t="str">
        <x:v>EXT-MONDE-T057</x:v>
      </x:c>
      <x:c r="C2815" s="115" t="str">
        <x:v>Énergie</x:v>
      </x:c>
      <x:c r="D2815" s="115" t="str">
        <x:v>Centrale thermique</x:v>
      </x:c>
      <x:c r="E2815" s="115" t="n">
        <x:v>10</x:v>
      </x:c>
      <x:c r="F2815" s="115" t="str">
        <x:v>Inspection physique</x:v>
      </x:c>
      <x:c r="G2815" s="115" t="str">
        <x:v>1 niveaux ; 22 pièces ; 167 segments de mur ; 0 transitions. Inspection physique ; architecture complète encore ouverte.</x:v>
      </x:c>
      <x:c r="H2815" s="115" t="str">
        <x:v>L 430 ; l 440 ; hauteur 24 m ; choix de composition auteur ; dimensions réelles à documenter</x:v>
      </x:c>
      <x:c r="I2815" s="115" t="str">
        <x:v>À équilibrer</x:v>
      </x:c>
      <x:c r="J2815" s="115" t="str">
        <x:v>Non</x:v>
      </x:c>
      <x:c r="K2815" s="115" t="str">
        <x:v>Pièces décrites, murs, portes, niveaux et mobilier inspectables à l’échelle. Volumes réservés, raccord au seed, butin, rencontres et services de campagne restent à terminer.</x:v>
      </x:c>
    </x:row>
    <x:row r="2816" ht="96" customHeight="1">
      <x:c r="A2816" s="115" t="str">
        <x:v>EXT-MONDE-T057-V11</x:v>
      </x:c>
      <x:c r="B2816" s="115" t="str">
        <x:v>EXT-MONDE-T057</x:v>
      </x:c>
      <x:c r="C2816" s="115" t="str">
        <x:v>Énergie</x:v>
      </x:c>
      <x:c r="D2816" s="115" t="str">
        <x:v>Centrale thermique</x:v>
      </x:c>
      <x:c r="E2816" s="115" t="n">
        <x:v>11</x:v>
      </x:c>
      <x:c r="F2816" s="115" t="str">
        <x:v>Inspection physique</x:v>
      </x:c>
      <x:c r="G2816" s="115" t="str">
        <x:v>1 niveaux ; 22 pièces ; 167 segments de mur ; 0 transitions. Inspection physique ; architecture complète encore ouverte.</x:v>
      </x:c>
      <x:c r="H2816" s="115" t="str">
        <x:v>L 448 ; l 460 ; hauteur 24 m ; choix de composition auteur ; dimensions réelles à documenter</x:v>
      </x:c>
      <x:c r="I2816" s="115" t="str">
        <x:v>À équilibrer</x:v>
      </x:c>
      <x:c r="J2816" s="115" t="str">
        <x:v>Non</x:v>
      </x:c>
      <x:c r="K2816" s="115" t="str">
        <x:v>Pièces décrites, murs, portes, niveaux et mobilier inspectables à l’échelle. Volumes réservés, raccord au seed, butin, rencontres et services de campagne restent à terminer.</x:v>
      </x:c>
    </x:row>
    <x:row r="2817" ht="96" customHeight="1">
      <x:c r="A2817" s="115" t="str">
        <x:v>EXT-MONDE-T057-V12</x:v>
      </x:c>
      <x:c r="B2817" s="115" t="str">
        <x:v>EXT-MONDE-T057</x:v>
      </x:c>
      <x:c r="C2817" s="115" t="str">
        <x:v>Énergie</x:v>
      </x:c>
      <x:c r="D2817" s="115" t="str">
        <x:v>Centrale thermique</x:v>
      </x:c>
      <x:c r="E2817" s="115" t="n">
        <x:v>12</x:v>
      </x:c>
      <x:c r="F2817" s="115" t="str">
        <x:v>Inspection physique</x:v>
      </x:c>
      <x:c r="G2817" s="115" t="str">
        <x:v>1 niveaux ; 22 pièces ; 167 segments de mur ; 0 transitions. Inspection physique ; architecture complète encore ouverte.</x:v>
      </x:c>
      <x:c r="H2817" s="115" t="str">
        <x:v>L 448 ; l 460 ; hauteur 24 m ; choix de composition auteur ; dimensions réelles à documenter</x:v>
      </x:c>
      <x:c r="I2817" s="115" t="str">
        <x:v>À équilibrer</x:v>
      </x:c>
      <x:c r="J2817" s="115" t="str">
        <x:v>Non</x:v>
      </x:c>
      <x:c r="K2817" s="115" t="str">
        <x:v>Pièces décrites, murs, portes, niveaux et mobilier inspectables à l’échelle. Volumes réservés, raccord au seed, butin, rencontres et services de campagne restent à terminer.</x:v>
      </x:c>
    </x:row>
    <x:row r="2818" ht="96" customHeight="1">
      <x:c r="A2818" s="115" t="str">
        <x:v>EXT-MONDE-T057-V13</x:v>
      </x:c>
      <x:c r="B2818" s="115" t="str">
        <x:v>EXT-MONDE-T057</x:v>
      </x:c>
      <x:c r="C2818" s="115" t="str">
        <x:v>Énergie</x:v>
      </x:c>
      <x:c r="D2818" s="115" t="str">
        <x:v>Centrale thermique</x:v>
      </x:c>
      <x:c r="E2818" s="115" t="n">
        <x:v>13</x:v>
      </x:c>
      <x:c r="F2818" s="115" t="str">
        <x:v>Inspection physique</x:v>
      </x:c>
      <x:c r="G2818" s="115" t="str">
        <x:v>1 niveaux ; 22 pièces ; 167 segments de mur ; 0 transitions. Inspection physique ; architecture complète encore ouverte.</x:v>
      </x:c>
      <x:c r="H2818" s="115" t="str">
        <x:v>L 448 ; l 460 ; hauteur 24 m ; choix de composition auteur ; dimensions réelles à documenter</x:v>
      </x:c>
      <x:c r="I2818" s="115" t="str">
        <x:v>À équilibrer</x:v>
      </x:c>
      <x:c r="J2818" s="115" t="str">
        <x:v>Non</x:v>
      </x:c>
      <x:c r="K2818" s="115" t="str">
        <x:v>Pièces décrites, murs, portes, niveaux et mobilier inspectables à l’échelle. Volumes réservés, raccord au seed, butin, rencontres et services de campagne restent à terminer.</x:v>
      </x:c>
    </x:row>
    <x:row r="2819" ht="96" customHeight="1">
      <x:c r="A2819" s="115" t="str">
        <x:v>EXT-MONDE-T057-V14</x:v>
      </x:c>
      <x:c r="B2819" s="115" t="str">
        <x:v>EXT-MONDE-T057</x:v>
      </x:c>
      <x:c r="C2819" s="115" t="str">
        <x:v>Énergie</x:v>
      </x:c>
      <x:c r="D2819" s="115" t="str">
        <x:v>Centrale thermique</x:v>
      </x:c>
      <x:c r="E2819" s="115" t="n">
        <x:v>14</x:v>
      </x:c>
      <x:c r="F2819" s="115" t="str">
        <x:v>Inspection physique</x:v>
      </x:c>
      <x:c r="G2819" s="115" t="str">
        <x:v>1 niveaux ; 22 pièces ; 167 segments de mur ; 0 transitions. Inspection physique ; architecture complète encore ouverte.</x:v>
      </x:c>
      <x:c r="H2819" s="115" t="str">
        <x:v>L 448 ; l 460 ; hauteur 24 m ; choix de composition auteur ; dimensions réelles à documenter</x:v>
      </x:c>
      <x:c r="I2819" s="115" t="str">
        <x:v>À équilibrer</x:v>
      </x:c>
      <x:c r="J2819" s="115" t="str">
        <x:v>Non</x:v>
      </x:c>
      <x:c r="K2819" s="115" t="str">
        <x:v>Pièces décrites, murs, portes, niveaux et mobilier inspectables à l’échelle. Volumes réservés, raccord au seed, butin, rencontres et services de campagne restent à terminer.</x:v>
      </x:c>
    </x:row>
    <x:row r="2820" ht="96" customHeight="1">
      <x:c r="A2820" s="115" t="str">
        <x:v>EXT-MONDE-T057-V15</x:v>
      </x:c>
      <x:c r="B2820" s="115" t="str">
        <x:v>EXT-MONDE-T057</x:v>
      </x:c>
      <x:c r="C2820" s="115" t="str">
        <x:v>Énergie</x:v>
      </x:c>
      <x:c r="D2820" s="115" t="str">
        <x:v>Centrale thermique</x:v>
      </x:c>
      <x:c r="E2820" s="115" t="n">
        <x:v>15</x:v>
      </x:c>
      <x:c r="F2820" s="115" t="str">
        <x:v>Inspection physique</x:v>
      </x:c>
      <x:c r="G2820" s="115" t="str">
        <x:v>1 niveaux ; 22 pièces ; 167 segments de mur ; 0 transitions. Inspection physique ; architecture complète encore ouverte.</x:v>
      </x:c>
      <x:c r="H2820" s="115" t="str">
        <x:v>L 448 ; l 460 ; hauteur 24 m ; choix de composition auteur ; dimensions réelles à documenter</x:v>
      </x:c>
      <x:c r="I2820" s="115" t="str">
        <x:v>À équilibrer</x:v>
      </x:c>
      <x:c r="J2820" s="115" t="str">
        <x:v>Non</x:v>
      </x:c>
      <x:c r="K2820" s="115" t="str">
        <x:v>Pièces décrites, murs, portes, niveaux et mobilier inspectables à l’échelle. Volumes réservés, raccord au seed, butin, rencontres et services de campagne restent à terminer.</x:v>
      </x:c>
    </x:row>
    <x:row r="2821" ht="96" customHeight="1">
      <x:c r="A2821" s="115" t="str">
        <x:v>EXT-MONDE-T057-V16</x:v>
      </x:c>
      <x:c r="B2821" s="115" t="str">
        <x:v>EXT-MONDE-T057</x:v>
      </x:c>
      <x:c r="C2821" s="115" t="str">
        <x:v>Énergie</x:v>
      </x:c>
      <x:c r="D2821" s="115" t="str">
        <x:v>Centrale thermique</x:v>
      </x:c>
      <x:c r="E2821" s="115" t="n">
        <x:v>16</x:v>
      </x:c>
      <x:c r="F2821" s="115" t="str">
        <x:v>Inspection physique</x:v>
      </x:c>
      <x:c r="G2821" s="115" t="str">
        <x:v>1 niveaux ; 22 pièces ; 167 segments de mur ; 0 transitions. Inspection physique ; architecture complète encore ouverte.</x:v>
      </x:c>
      <x:c r="H2821" s="115" t="str">
        <x:v>L 448 ; l 460 ; hauteur 24 m ; choix de composition auteur ; dimensions réelles à documenter</x:v>
      </x:c>
      <x:c r="I2821" s="115" t="str">
        <x:v>À équilibrer</x:v>
      </x:c>
      <x:c r="J2821" s="115" t="str">
        <x:v>Non</x:v>
      </x:c>
      <x:c r="K2821" s="115" t="str">
        <x:v>Pièces décrites, murs, portes, niveaux et mobilier inspectables à l’échelle. Volumes réservés, raccord au seed, butin, rencontres et services de campagne restent à terminer.</x:v>
      </x:c>
    </x:row>
    <x:row r="2822" ht="96" customHeight="1">
      <x:c r="A2822" s="115" t="str">
        <x:v>EXT-MONDE-T057-V17</x:v>
      </x:c>
      <x:c r="B2822" s="115" t="str">
        <x:v>EXT-MONDE-T057</x:v>
      </x:c>
      <x:c r="C2822" s="115" t="str">
        <x:v>Énergie</x:v>
      </x:c>
      <x:c r="D2822" s="115" t="str">
        <x:v>Centrale thermique</x:v>
      </x:c>
      <x:c r="E2822" s="115" t="n">
        <x:v>17</x:v>
      </x:c>
      <x:c r="F2822" s="115" t="str">
        <x:v>Inspection physique</x:v>
      </x:c>
      <x:c r="G2822" s="115" t="str">
        <x:v>1 niveaux ; 22 pièces ; 167 segments de mur ; 0 transitions. Inspection physique ; architecture complète encore ouverte.</x:v>
      </x:c>
      <x:c r="H2822" s="115" t="str">
        <x:v>L 448 ; l 460 ; hauteur 24 m ; choix de composition auteur ; dimensions réelles à documenter</x:v>
      </x:c>
      <x:c r="I2822" s="115" t="str">
        <x:v>À équilibrer</x:v>
      </x:c>
      <x:c r="J2822" s="115" t="str">
        <x:v>Non</x:v>
      </x:c>
      <x:c r="K2822" s="115" t="str">
        <x:v>Pièces décrites, murs, portes, niveaux et mobilier inspectables à l’échelle. Volumes réservés, raccord au seed, butin, rencontres et services de campagne restent à terminer.</x:v>
      </x:c>
    </x:row>
    <x:row r="2823" ht="96" customHeight="1">
      <x:c r="A2823" s="115" t="str">
        <x:v>EXT-MONDE-T057-V18</x:v>
      </x:c>
      <x:c r="B2823" s="115" t="str">
        <x:v>EXT-MONDE-T057</x:v>
      </x:c>
      <x:c r="C2823" s="115" t="str">
        <x:v>Énergie</x:v>
      </x:c>
      <x:c r="D2823" s="115" t="str">
        <x:v>Centrale thermique</x:v>
      </x:c>
      <x:c r="E2823" s="115" t="n">
        <x:v>18</x:v>
      </x:c>
      <x:c r="F2823" s="115" t="str">
        <x:v>Inspection physique</x:v>
      </x:c>
      <x:c r="G2823" s="115" t="str">
        <x:v>1 niveaux ; 22 pièces ; 167 segments de mur ; 0 transitions. Inspection physique ; architecture complète encore ouverte.</x:v>
      </x:c>
      <x:c r="H2823" s="115" t="str">
        <x:v>L 448 ; l 460 ; hauteur 24 m ; choix de composition auteur ; dimensions réelles à documenter</x:v>
      </x:c>
      <x:c r="I2823" s="115" t="str">
        <x:v>À équilibrer</x:v>
      </x:c>
      <x:c r="J2823" s="115" t="str">
        <x:v>Non</x:v>
      </x:c>
      <x:c r="K2823" s="115" t="str">
        <x:v>Pièces décrites, murs, portes, niveaux et mobilier inspectables à l’échelle. Volumes réservés, raccord au seed, butin, rencontres et services de campagne restent à terminer.</x:v>
      </x:c>
    </x:row>
    <x:row r="2824" ht="96" customHeight="1">
      <x:c r="A2824" s="115" t="str">
        <x:v>EXT-MONDE-T057-V19</x:v>
      </x:c>
      <x:c r="B2824" s="115" t="str">
        <x:v>EXT-MONDE-T057</x:v>
      </x:c>
      <x:c r="C2824" s="115" t="str">
        <x:v>Énergie</x:v>
      </x:c>
      <x:c r="D2824" s="115" t="str">
        <x:v>Centrale thermique</x:v>
      </x:c>
      <x:c r="E2824" s="115" t="n">
        <x:v>19</x:v>
      </x:c>
      <x:c r="F2824" s="115" t="str">
        <x:v>Inspection physique</x:v>
      </x:c>
      <x:c r="G2824" s="115" t="str">
        <x:v>1 niveaux ; 22 pièces ; 167 segments de mur ; 0 transitions. Inspection physique ; architecture complète encore ouverte.</x:v>
      </x:c>
      <x:c r="H2824" s="115" t="str">
        <x:v>L 448 ; l 460 ; hauteur 24 m ; choix de composition auteur ; dimensions réelles à documenter</x:v>
      </x:c>
      <x:c r="I2824" s="115" t="str">
        <x:v>À équilibrer</x:v>
      </x:c>
      <x:c r="J2824" s="115" t="str">
        <x:v>Non</x:v>
      </x:c>
      <x:c r="K2824" s="115" t="str">
        <x:v>Pièces décrites, murs, portes, niveaux et mobilier inspectables à l’échelle. Volumes réservés, raccord au seed, butin, rencontres et services de campagne restent à terminer.</x:v>
      </x:c>
    </x:row>
    <x:row r="2825" ht="96" customHeight="1">
      <x:c r="A2825" s="115" t="str">
        <x:v>EXT-MONDE-T057-V20</x:v>
      </x:c>
      <x:c r="B2825" s="115" t="str">
        <x:v>EXT-MONDE-T057</x:v>
      </x:c>
      <x:c r="C2825" s="115" t="str">
        <x:v>Énergie</x:v>
      </x:c>
      <x:c r="D2825" s="115" t="str">
        <x:v>Centrale thermique</x:v>
      </x:c>
      <x:c r="E2825" s="115" t="n">
        <x:v>20</x:v>
      </x:c>
      <x:c r="F2825" s="115" t="str">
        <x:v>Inspection physique</x:v>
      </x:c>
      <x:c r="G2825" s="115" t="str">
        <x:v>1 niveaux ; 22 pièces ; 167 segments de mur ; 0 transitions. Inspection physique ; architecture complète encore ouverte.</x:v>
      </x:c>
      <x:c r="H2825" s="115" t="str">
        <x:v>L 448 ; l 460 ; hauteur 24 m ; choix de composition auteur ; dimensions réelles à documenter</x:v>
      </x:c>
      <x:c r="I2825" s="115" t="str">
        <x:v>À équilibrer</x:v>
      </x:c>
      <x:c r="J2825" s="115" t="str">
        <x:v>Non</x:v>
      </x:c>
      <x:c r="K2825" s="115" t="str">
        <x:v>Pièces décrites, murs, portes, niveaux et mobilier inspectables à l’échelle. Volumes réservés, raccord au seed, butin, rencontres et services de campagne restent à terminer.</x:v>
      </x:c>
    </x:row>
    <x:row r="2826" ht="96" customHeight="1">
      <x:c r="A2826" s="115" t="str">
        <x:v>EXT-MONDE-T057-V21</x:v>
      </x:c>
      <x:c r="B2826" s="115" t="str">
        <x:v>EXT-MONDE-T057</x:v>
      </x:c>
      <x:c r="C2826" s="115" t="str">
        <x:v>Énergie</x:v>
      </x:c>
      <x:c r="D2826" s="115" t="str">
        <x:v>Centrale thermique</x:v>
      </x:c>
      <x:c r="E2826" s="115" t="n">
        <x:v>21</x:v>
      </x:c>
      <x:c r="F2826" s="115" t="str">
        <x:v>Inspection physique</x:v>
      </x:c>
      <x:c r="G2826" s="115" t="str">
        <x:v>1 niveaux ; 22 pièces ; 167 segments de mur ; 0 transitions. Inspection physique ; architecture complète encore ouverte.</x:v>
      </x:c>
      <x:c r="H2826" s="115" t="str">
        <x:v>L 466 ; l 480 ; hauteur 24 m ; choix de composition auteur ; dimensions réelles à documenter</x:v>
      </x:c>
      <x:c r="I2826" s="115" t="str">
        <x:v>À équilibrer</x:v>
      </x:c>
      <x:c r="J2826" s="115" t="str">
        <x:v>Non</x:v>
      </x:c>
      <x:c r="K2826" s="115" t="str">
        <x:v>Pièces décrites, murs, portes, niveaux et mobilier inspectables à l’échelle. Volumes réservés, raccord au seed, butin, rencontres et services de campagne restent à terminer.</x:v>
      </x:c>
    </x:row>
    <x:row r="2827" ht="96" customHeight="1">
      <x:c r="A2827" s="115" t="str">
        <x:v>EXT-MONDE-T057-V22</x:v>
      </x:c>
      <x:c r="B2827" s="115" t="str">
        <x:v>EXT-MONDE-T057</x:v>
      </x:c>
      <x:c r="C2827" s="115" t="str">
        <x:v>Énergie</x:v>
      </x:c>
      <x:c r="D2827" s="115" t="str">
        <x:v>Centrale thermique</x:v>
      </x:c>
      <x:c r="E2827" s="115" t="n">
        <x:v>22</x:v>
      </x:c>
      <x:c r="F2827" s="115" t="str">
        <x:v>Inspection physique</x:v>
      </x:c>
      <x:c r="G2827" s="115" t="str">
        <x:v>1 niveaux ; 22 pièces ; 167 segments de mur ; 0 transitions. Inspection physique ; architecture complète encore ouverte.</x:v>
      </x:c>
      <x:c r="H2827" s="115" t="str">
        <x:v>L 466 ; l 480 ; hauteur 24 m ; choix de composition auteur ; dimensions réelles à documenter</x:v>
      </x:c>
      <x:c r="I2827" s="115" t="str">
        <x:v>À équilibrer</x:v>
      </x:c>
      <x:c r="J2827" s="115" t="str">
        <x:v>Non</x:v>
      </x:c>
      <x:c r="K2827" s="115" t="str">
        <x:v>Pièces décrites, murs, portes, niveaux et mobilier inspectables à l’échelle. Volumes réservés, raccord au seed, butin, rencontres et services de campagne restent à terminer.</x:v>
      </x:c>
    </x:row>
    <x:row r="2828" ht="96" customHeight="1">
      <x:c r="A2828" s="115" t="str">
        <x:v>EXT-MONDE-T057-V23</x:v>
      </x:c>
      <x:c r="B2828" s="115" t="str">
        <x:v>EXT-MONDE-T057</x:v>
      </x:c>
      <x:c r="C2828" s="115" t="str">
        <x:v>Énergie</x:v>
      </x:c>
      <x:c r="D2828" s="115" t="str">
        <x:v>Centrale thermique</x:v>
      </x:c>
      <x:c r="E2828" s="115" t="n">
        <x:v>23</x:v>
      </x:c>
      <x:c r="F2828" s="115" t="str">
        <x:v>Inspection physique</x:v>
      </x:c>
      <x:c r="G2828" s="115" t="str">
        <x:v>1 niveaux ; 22 pièces ; 167 segments de mur ; 0 transitions. Inspection physique ; architecture complète encore ouverte.</x:v>
      </x:c>
      <x:c r="H2828" s="115" t="str">
        <x:v>L 466 ; l 480 ; hauteur 24 m ; choix de composition auteur ; dimensions réelles à documenter</x:v>
      </x:c>
      <x:c r="I2828" s="115" t="str">
        <x:v>À équilibrer</x:v>
      </x:c>
      <x:c r="J2828" s="115" t="str">
        <x:v>Non</x:v>
      </x:c>
      <x:c r="K2828" s="115" t="str">
        <x:v>Pièces décrites, murs, portes, niveaux et mobilier inspectables à l’échelle. Volumes réservés, raccord au seed, butin, rencontres et services de campagne restent à terminer.</x:v>
      </x:c>
    </x:row>
    <x:row r="2829" ht="96" customHeight="1">
      <x:c r="A2829" s="115" t="str">
        <x:v>EXT-MONDE-T057-V24</x:v>
      </x:c>
      <x:c r="B2829" s="115" t="str">
        <x:v>EXT-MONDE-T057</x:v>
      </x:c>
      <x:c r="C2829" s="115" t="str">
        <x:v>Énergie</x:v>
      </x:c>
      <x:c r="D2829" s="115" t="str">
        <x:v>Centrale thermique</x:v>
      </x:c>
      <x:c r="E2829" s="115" t="n">
        <x:v>24</x:v>
      </x:c>
      <x:c r="F2829" s="115" t="str">
        <x:v>Inspection physique</x:v>
      </x:c>
      <x:c r="G2829" s="115" t="str">
        <x:v>1 niveaux ; 22 pièces ; 167 segments de mur ; 0 transitions. Inspection physique ; architecture complète encore ouverte.</x:v>
      </x:c>
      <x:c r="H2829" s="115" t="str">
        <x:v>L 466 ; l 480 ; hauteur 24 m ; choix de composition auteur ; dimensions réelles à documenter</x:v>
      </x:c>
      <x:c r="I2829" s="115" t="str">
        <x:v>À équilibrer</x:v>
      </x:c>
      <x:c r="J2829" s="115" t="str">
        <x:v>Non</x:v>
      </x:c>
      <x:c r="K2829" s="115" t="str">
        <x:v>Pièces décrites, murs, portes, niveaux et mobilier inspectables à l’échelle. Volumes réservés, raccord au seed, butin, rencontres et services de campagne restent à terminer.</x:v>
      </x:c>
    </x:row>
    <x:row r="2830" ht="96" customHeight="1">
      <x:c r="A2830" s="115" t="str">
        <x:v>EXT-MONDE-T057-V25</x:v>
      </x:c>
      <x:c r="B2830" s="115" t="str">
        <x:v>EXT-MONDE-T057</x:v>
      </x:c>
      <x:c r="C2830" s="115" t="str">
        <x:v>Énergie</x:v>
      </x:c>
      <x:c r="D2830" s="115" t="str">
        <x:v>Centrale thermique</x:v>
      </x:c>
      <x:c r="E2830" s="115" t="n">
        <x:v>25</x:v>
      </x:c>
      <x:c r="F2830" s="115" t="str">
        <x:v>Inspection physique</x:v>
      </x:c>
      <x:c r="G2830" s="115" t="str">
        <x:v>1 niveaux ; 22 pièces ; 167 segments de mur ; 0 transitions. Inspection physique ; architecture complète encore ouverte.</x:v>
      </x:c>
      <x:c r="H2830" s="115" t="str">
        <x:v>L 466 ; l 480 ; hauteur 24 m ; choix de composition auteur ; dimensions réelles à documenter</x:v>
      </x:c>
      <x:c r="I2830" s="115" t="str">
        <x:v>À équilibrer</x:v>
      </x:c>
      <x:c r="J2830" s="115" t="str">
        <x:v>Non</x:v>
      </x:c>
      <x:c r="K2830" s="115" t="str">
        <x:v>Pièces décrites, murs, portes, niveaux et mobilier inspectables à l’échelle. Volumes réservés, raccord au seed, butin, rencontres et services de campagne restent à terminer.</x:v>
      </x:c>
    </x:row>
    <x:row r="2831" ht="96" customHeight="1">
      <x:c r="A2831" s="115" t="str">
        <x:v>EXT-MONDE-T057-V26</x:v>
      </x:c>
      <x:c r="B2831" s="115" t="str">
        <x:v>EXT-MONDE-T057</x:v>
      </x:c>
      <x:c r="C2831" s="115" t="str">
        <x:v>Énergie</x:v>
      </x:c>
      <x:c r="D2831" s="115" t="str">
        <x:v>Centrale thermique</x:v>
      </x:c>
      <x:c r="E2831" s="115" t="n">
        <x:v>26</x:v>
      </x:c>
      <x:c r="F2831" s="115" t="str">
        <x:v>Inspection physique</x:v>
      </x:c>
      <x:c r="G2831" s="115" t="str">
        <x:v>1 niveaux ; 22 pièces ; 167 segments de mur ; 0 transitions. Inspection physique ; architecture complète encore ouverte.</x:v>
      </x:c>
      <x:c r="H2831" s="115" t="str">
        <x:v>L 466 ; l 480 ; hauteur 24 m ; choix de composition auteur ; dimensions réelles à documenter</x:v>
      </x:c>
      <x:c r="I2831" s="115" t="str">
        <x:v>À équilibrer</x:v>
      </x:c>
      <x:c r="J2831" s="115" t="str">
        <x:v>Non</x:v>
      </x:c>
      <x:c r="K2831" s="115" t="str">
        <x:v>Pièces décrites, murs, portes, niveaux et mobilier inspectables à l’échelle. Volumes réservés, raccord au seed, butin, rencontres et services de campagne restent à terminer.</x:v>
      </x:c>
    </x:row>
    <x:row r="2832" ht="96" customHeight="1">
      <x:c r="A2832" s="115" t="str">
        <x:v>EXT-MONDE-T057-V27</x:v>
      </x:c>
      <x:c r="B2832" s="115" t="str">
        <x:v>EXT-MONDE-T057</x:v>
      </x:c>
      <x:c r="C2832" s="115" t="str">
        <x:v>Énergie</x:v>
      </x:c>
      <x:c r="D2832" s="115" t="str">
        <x:v>Centrale thermique</x:v>
      </x:c>
      <x:c r="E2832" s="115" t="n">
        <x:v>27</x:v>
      </x:c>
      <x:c r="F2832" s="115" t="str">
        <x:v>Inspection physique</x:v>
      </x:c>
      <x:c r="G2832" s="115" t="str">
        <x:v>1 niveaux ; 22 pièces ; 167 segments de mur ; 0 transitions. Inspection physique ; architecture complète encore ouverte.</x:v>
      </x:c>
      <x:c r="H2832" s="115" t="str">
        <x:v>L 466 ; l 480 ; hauteur 24 m ; choix de composition auteur ; dimensions réelles à documenter</x:v>
      </x:c>
      <x:c r="I2832" s="115" t="str">
        <x:v>À équilibrer</x:v>
      </x:c>
      <x:c r="J2832" s="115" t="str">
        <x:v>Non</x:v>
      </x:c>
      <x:c r="K2832" s="115" t="str">
        <x:v>Pièces décrites, murs, portes, niveaux et mobilier inspectables à l’échelle. Volumes réservés, raccord au seed, butin, rencontres et services de campagne restent à terminer.</x:v>
      </x:c>
    </x:row>
    <x:row r="2833" ht="96" customHeight="1">
      <x:c r="A2833" s="115" t="str">
        <x:v>EXT-MONDE-T057-V28</x:v>
      </x:c>
      <x:c r="B2833" s="115" t="str">
        <x:v>EXT-MONDE-T057</x:v>
      </x:c>
      <x:c r="C2833" s="115" t="str">
        <x:v>Énergie</x:v>
      </x:c>
      <x:c r="D2833" s="115" t="str">
        <x:v>Centrale thermique</x:v>
      </x:c>
      <x:c r="E2833" s="115" t="n">
        <x:v>28</x:v>
      </x:c>
      <x:c r="F2833" s="115" t="str">
        <x:v>Inspection physique</x:v>
      </x:c>
      <x:c r="G2833" s="115" t="str">
        <x:v>1 niveaux ; 22 pièces ; 167 segments de mur ; 0 transitions. Inspection physique ; architecture complète encore ouverte.</x:v>
      </x:c>
      <x:c r="H2833" s="115" t="str">
        <x:v>L 466 ; l 480 ; hauteur 24 m ; choix de composition auteur ; dimensions réelles à documenter</x:v>
      </x:c>
      <x:c r="I2833" s="115" t="str">
        <x:v>À équilibrer</x:v>
      </x:c>
      <x:c r="J2833" s="115" t="str">
        <x:v>Non</x:v>
      </x:c>
      <x:c r="K2833" s="115" t="str">
        <x:v>Pièces décrites, murs, portes, niveaux et mobilier inspectables à l’échelle. Volumes réservés, raccord au seed, butin, rencontres et services de campagne restent à terminer.</x:v>
      </x:c>
    </x:row>
    <x:row r="2834" ht="96" customHeight="1">
      <x:c r="A2834" s="115" t="str">
        <x:v>EXT-MONDE-T057-V29</x:v>
      </x:c>
      <x:c r="B2834" s="115" t="str">
        <x:v>EXT-MONDE-T057</x:v>
      </x:c>
      <x:c r="C2834" s="115" t="str">
        <x:v>Énergie</x:v>
      </x:c>
      <x:c r="D2834" s="115" t="str">
        <x:v>Centrale thermique</x:v>
      </x:c>
      <x:c r="E2834" s="115" t="n">
        <x:v>29</x:v>
      </x:c>
      <x:c r="F2834" s="115" t="str">
        <x:v>Inspection physique</x:v>
      </x:c>
      <x:c r="G2834" s="115" t="str">
        <x:v>1 niveaux ; 22 pièces ; 167 segments de mur ; 0 transitions. Inspection physique ; architecture complète encore ouverte.</x:v>
      </x:c>
      <x:c r="H2834" s="115" t="str">
        <x:v>L 466 ; l 480 ; hauteur 24 m ; choix de composition auteur ; dimensions réelles à documenter</x:v>
      </x:c>
      <x:c r="I2834" s="115" t="str">
        <x:v>À équilibrer</x:v>
      </x:c>
      <x:c r="J2834" s="115" t="str">
        <x:v>Non</x:v>
      </x:c>
      <x:c r="K2834" s="115" t="str">
        <x:v>Pièces décrites, murs, portes, niveaux et mobilier inspectables à l’échelle. Volumes réservés, raccord au seed, butin, rencontres et services de campagne restent à terminer.</x:v>
      </x:c>
    </x:row>
    <x:row r="2835" ht="96" customHeight="1">
      <x:c r="A2835" s="115" t="str">
        <x:v>EXT-MONDE-T057-V30</x:v>
      </x:c>
      <x:c r="B2835" s="115" t="str">
        <x:v>EXT-MONDE-T057</x:v>
      </x:c>
      <x:c r="C2835" s="115" t="str">
        <x:v>Énergie</x:v>
      </x:c>
      <x:c r="D2835" s="115" t="str">
        <x:v>Centrale thermique</x:v>
      </x:c>
      <x:c r="E2835" s="115" t="n">
        <x:v>30</x:v>
      </x:c>
      <x:c r="F2835" s="115" t="str">
        <x:v>Inspection physique</x:v>
      </x:c>
      <x:c r="G2835" s="115" t="str">
        <x:v>1 niveaux ; 22 pièces ; 167 segments de mur ; 0 transitions. Inspection physique ; architecture complète encore ouverte.</x:v>
      </x:c>
      <x:c r="H2835" s="115" t="str">
        <x:v>L 466 ; l 480 ; hauteur 24 m ; choix de composition auteur ; dimensions réelles à documenter</x:v>
      </x:c>
      <x:c r="I2835" s="115" t="str">
        <x:v>À équilibrer</x:v>
      </x:c>
      <x:c r="J2835" s="115" t="str">
        <x:v>Non</x:v>
      </x:c>
      <x:c r="K2835" s="115" t="str">
        <x:v>Pièces décrites, murs, portes, niveaux et mobilier inspectables à l’échelle. Volumes réservés, raccord au seed, butin, rencontres et services de campagne restent à terminer.</x:v>
      </x:c>
    </x:row>
    <x:row r="2836" ht="96" customHeight="1">
      <x:c r="A2836" s="115" t="str">
        <x:v>EXT-MONDE-T057-V31</x:v>
      </x:c>
      <x:c r="B2836" s="115" t="str">
        <x:v>EXT-MONDE-T057</x:v>
      </x:c>
      <x:c r="C2836" s="115" t="str">
        <x:v>Énergie</x:v>
      </x:c>
      <x:c r="D2836" s="115" t="str">
        <x:v>Centrale thermique</x:v>
      </x:c>
      <x:c r="E2836" s="115" t="n">
        <x:v>31</x:v>
      </x:c>
      <x:c r="F2836" s="115" t="str">
        <x:v>Inspection physique</x:v>
      </x:c>
      <x:c r="G2836" s="115" t="str">
        <x:v>1 niveaux ; 22 pièces ; 167 segments de mur ; 0 transitions. Inspection physique ; architecture complète encore ouverte.</x:v>
      </x:c>
      <x:c r="H2836" s="115" t="str">
        <x:v>L 484 ; l 500 ; hauteur 24 m ; choix de composition auteur ; dimensions réelles à documenter</x:v>
      </x:c>
      <x:c r="I2836" s="115" t="str">
        <x:v>À équilibrer</x:v>
      </x:c>
      <x:c r="J2836" s="115" t="str">
        <x:v>Non</x:v>
      </x:c>
      <x:c r="K2836" s="115" t="str">
        <x:v>Pièces décrites, murs, portes, niveaux et mobilier inspectables à l’échelle. Volumes réservés, raccord au seed, butin, rencontres et services de campagne restent à terminer.</x:v>
      </x:c>
    </x:row>
    <x:row r="2837" ht="96" customHeight="1">
      <x:c r="A2837" s="115" t="str">
        <x:v>EXT-MONDE-T057-V32</x:v>
      </x:c>
      <x:c r="B2837" s="115" t="str">
        <x:v>EXT-MONDE-T057</x:v>
      </x:c>
      <x:c r="C2837" s="115" t="str">
        <x:v>Énergie</x:v>
      </x:c>
      <x:c r="D2837" s="115" t="str">
        <x:v>Centrale thermique</x:v>
      </x:c>
      <x:c r="E2837" s="115" t="n">
        <x:v>32</x:v>
      </x:c>
      <x:c r="F2837" s="115" t="str">
        <x:v>Inspection physique</x:v>
      </x:c>
      <x:c r="G2837" s="115" t="str">
        <x:v>1 niveaux ; 22 pièces ; 167 segments de mur ; 0 transitions. Inspection physique ; architecture complète encore ouverte.</x:v>
      </x:c>
      <x:c r="H2837" s="115" t="str">
        <x:v>L 484 ; l 500 ; hauteur 24 m ; choix de composition auteur ; dimensions réelles à documenter</x:v>
      </x:c>
      <x:c r="I2837" s="115" t="str">
        <x:v>À équilibrer</x:v>
      </x:c>
      <x:c r="J2837" s="115" t="str">
        <x:v>Non</x:v>
      </x:c>
      <x:c r="K2837" s="115" t="str">
        <x:v>Pièces décrites, murs, portes, niveaux et mobilier inspectables à l’échelle. Volumes réservés, raccord au seed, butin, rencontres et services de campagne restent à terminer.</x:v>
      </x:c>
    </x:row>
    <x:row r="2838" ht="96" customHeight="1">
      <x:c r="A2838" s="115" t="str">
        <x:v>EXT-MONDE-T057-V33</x:v>
      </x:c>
      <x:c r="B2838" s="115" t="str">
        <x:v>EXT-MONDE-T057</x:v>
      </x:c>
      <x:c r="C2838" s="115" t="str">
        <x:v>Énergie</x:v>
      </x:c>
      <x:c r="D2838" s="115" t="str">
        <x:v>Centrale thermique</x:v>
      </x:c>
      <x:c r="E2838" s="115" t="n">
        <x:v>33</x:v>
      </x:c>
      <x:c r="F2838" s="115" t="str">
        <x:v>Inspection physique</x:v>
      </x:c>
      <x:c r="G2838" s="115" t="str">
        <x:v>1 niveaux ; 22 pièces ; 167 segments de mur ; 0 transitions. Inspection physique ; architecture complète encore ouverte.</x:v>
      </x:c>
      <x:c r="H2838" s="115" t="str">
        <x:v>L 484 ; l 500 ; hauteur 24 m ; choix de composition auteur ; dimensions réelles à documenter</x:v>
      </x:c>
      <x:c r="I2838" s="115" t="str">
        <x:v>À équilibrer</x:v>
      </x:c>
      <x:c r="J2838" s="115" t="str">
        <x:v>Non</x:v>
      </x:c>
      <x:c r="K2838" s="115" t="str">
        <x:v>Pièces décrites, murs, portes, niveaux et mobilier inspectables à l’échelle. Volumes réservés, raccord au seed, butin, rencontres et services de campagne restent à terminer.</x:v>
      </x:c>
    </x:row>
    <x:row r="2839" ht="96" customHeight="1">
      <x:c r="A2839" s="115" t="str">
        <x:v>EXT-MONDE-T057-V34</x:v>
      </x:c>
      <x:c r="B2839" s="115" t="str">
        <x:v>EXT-MONDE-T057</x:v>
      </x:c>
      <x:c r="C2839" s="115" t="str">
        <x:v>Énergie</x:v>
      </x:c>
      <x:c r="D2839" s="115" t="str">
        <x:v>Centrale thermique</x:v>
      </x:c>
      <x:c r="E2839" s="115" t="n">
        <x:v>34</x:v>
      </x:c>
      <x:c r="F2839" s="115" t="str">
        <x:v>Inspection physique</x:v>
      </x:c>
      <x:c r="G2839" s="115" t="str">
        <x:v>1 niveaux ; 22 pièces ; 167 segments de mur ; 0 transitions. Inspection physique ; architecture complète encore ouverte.</x:v>
      </x:c>
      <x:c r="H2839" s="115" t="str">
        <x:v>L 484 ; l 500 ; hauteur 24 m ; choix de composition auteur ; dimensions réelles à documenter</x:v>
      </x:c>
      <x:c r="I2839" s="115" t="str">
        <x:v>À équilibrer</x:v>
      </x:c>
      <x:c r="J2839" s="115" t="str">
        <x:v>Non</x:v>
      </x:c>
      <x:c r="K2839" s="115" t="str">
        <x:v>Pièces décrites, murs, portes, niveaux et mobilier inspectables à l’échelle. Volumes réservés, raccord au seed, butin, rencontres et services de campagne restent à terminer.</x:v>
      </x:c>
    </x:row>
    <x:row r="2840" ht="96" customHeight="1">
      <x:c r="A2840" s="115" t="str">
        <x:v>EXT-MONDE-T057-V35</x:v>
      </x:c>
      <x:c r="B2840" s="115" t="str">
        <x:v>EXT-MONDE-T057</x:v>
      </x:c>
      <x:c r="C2840" s="115" t="str">
        <x:v>Énergie</x:v>
      </x:c>
      <x:c r="D2840" s="115" t="str">
        <x:v>Centrale thermique</x:v>
      </x:c>
      <x:c r="E2840" s="115" t="n">
        <x:v>35</x:v>
      </x:c>
      <x:c r="F2840" s="115" t="str">
        <x:v>Inspection physique</x:v>
      </x:c>
      <x:c r="G2840" s="115" t="str">
        <x:v>1 niveaux ; 22 pièces ; 167 segments de mur ; 0 transitions. Inspection physique ; architecture complète encore ouverte.</x:v>
      </x:c>
      <x:c r="H2840" s="115" t="str">
        <x:v>L 484 ; l 500 ; hauteur 24 m ; choix de composition auteur ; dimensions réelles à documenter</x:v>
      </x:c>
      <x:c r="I2840" s="115" t="str">
        <x:v>À équilibrer</x:v>
      </x:c>
      <x:c r="J2840" s="115" t="str">
        <x:v>Non</x:v>
      </x:c>
      <x:c r="K2840" s="115" t="str">
        <x:v>Pièces décrites, murs, portes, niveaux et mobilier inspectables à l’échelle. Volumes réservés, raccord au seed, butin, rencontres et services de campagne restent à terminer.</x:v>
      </x:c>
    </x:row>
    <x:row r="2841" ht="96" customHeight="1">
      <x:c r="A2841" s="115" t="str">
        <x:v>EXT-MONDE-T057-V36</x:v>
      </x:c>
      <x:c r="B2841" s="115" t="str">
        <x:v>EXT-MONDE-T057</x:v>
      </x:c>
      <x:c r="C2841" s="115" t="str">
        <x:v>Énergie</x:v>
      </x:c>
      <x:c r="D2841" s="115" t="str">
        <x:v>Centrale thermique</x:v>
      </x:c>
      <x:c r="E2841" s="115" t="n">
        <x:v>36</x:v>
      </x:c>
      <x:c r="F2841" s="115" t="str">
        <x:v>Inspection physique</x:v>
      </x:c>
      <x:c r="G2841" s="115" t="str">
        <x:v>1 niveaux ; 22 pièces ; 167 segments de mur ; 0 transitions. Inspection physique ; architecture complète encore ouverte.</x:v>
      </x:c>
      <x:c r="H2841" s="115" t="str">
        <x:v>L 484 ; l 500 ; hauteur 24 m ; choix de composition auteur ; dimensions réelles à documenter</x:v>
      </x:c>
      <x:c r="I2841" s="115" t="str">
        <x:v>À équilibrer</x:v>
      </x:c>
      <x:c r="J2841" s="115" t="str">
        <x:v>Non</x:v>
      </x:c>
      <x:c r="K2841" s="115" t="str">
        <x:v>Pièces décrites, murs, portes, niveaux et mobilier inspectables à l’échelle. Volumes réservés, raccord au seed, butin, rencontres et services de campagne restent à terminer.</x:v>
      </x:c>
    </x:row>
    <x:row r="2842" ht="96" customHeight="1">
      <x:c r="A2842" s="115" t="str">
        <x:v>EXT-MONDE-T057-V37</x:v>
      </x:c>
      <x:c r="B2842" s="115" t="str">
        <x:v>EXT-MONDE-T057</x:v>
      </x:c>
      <x:c r="C2842" s="115" t="str">
        <x:v>Énergie</x:v>
      </x:c>
      <x:c r="D2842" s="115" t="str">
        <x:v>Centrale thermique</x:v>
      </x:c>
      <x:c r="E2842" s="115" t="n">
        <x:v>37</x:v>
      </x:c>
      <x:c r="F2842" s="115" t="str">
        <x:v>Inspection physique</x:v>
      </x:c>
      <x:c r="G2842" s="115" t="str">
        <x:v>1 niveaux ; 22 pièces ; 167 segments de mur ; 0 transitions. Inspection physique ; architecture complète encore ouverte.</x:v>
      </x:c>
      <x:c r="H2842" s="115" t="str">
        <x:v>L 484 ; l 500 ; hauteur 24 m ; choix de composition auteur ; dimensions réelles à documenter</x:v>
      </x:c>
      <x:c r="I2842" s="115" t="str">
        <x:v>À équilibrer</x:v>
      </x:c>
      <x:c r="J2842" s="115" t="str">
        <x:v>Non</x:v>
      </x:c>
      <x:c r="K2842" s="115" t="str">
        <x:v>Pièces décrites, murs, portes, niveaux et mobilier inspectables à l’échelle. Volumes réservés, raccord au seed, butin, rencontres et services de campagne restent à terminer.</x:v>
      </x:c>
    </x:row>
    <x:row r="2843" ht="96" customHeight="1">
      <x:c r="A2843" s="115" t="str">
        <x:v>EXT-MONDE-T057-V38</x:v>
      </x:c>
      <x:c r="B2843" s="115" t="str">
        <x:v>EXT-MONDE-T057</x:v>
      </x:c>
      <x:c r="C2843" s="115" t="str">
        <x:v>Énergie</x:v>
      </x:c>
      <x:c r="D2843" s="115" t="str">
        <x:v>Centrale thermique</x:v>
      </x:c>
      <x:c r="E2843" s="115" t="n">
        <x:v>38</x:v>
      </x:c>
      <x:c r="F2843" s="115" t="str">
        <x:v>Inspection physique</x:v>
      </x:c>
      <x:c r="G2843" s="115" t="str">
        <x:v>1 niveaux ; 22 pièces ; 167 segments de mur ; 0 transitions. Inspection physique ; architecture complète encore ouverte.</x:v>
      </x:c>
      <x:c r="H2843" s="115" t="str">
        <x:v>L 484 ; l 500 ; hauteur 24 m ; choix de composition auteur ; dimensions réelles à documenter</x:v>
      </x:c>
      <x:c r="I2843" s="115" t="str">
        <x:v>À équilibrer</x:v>
      </x:c>
      <x:c r="J2843" s="115" t="str">
        <x:v>Non</x:v>
      </x:c>
      <x:c r="K2843" s="115" t="str">
        <x:v>Pièces décrites, murs, portes, niveaux et mobilier inspectables à l’échelle. Volumes réservés, raccord au seed, butin, rencontres et services de campagne restent à terminer.</x:v>
      </x:c>
    </x:row>
    <x:row r="2844" ht="96" customHeight="1">
      <x:c r="A2844" s="115" t="str">
        <x:v>EXT-MONDE-T057-V39</x:v>
      </x:c>
      <x:c r="B2844" s="115" t="str">
        <x:v>EXT-MONDE-T057</x:v>
      </x:c>
      <x:c r="C2844" s="115" t="str">
        <x:v>Énergie</x:v>
      </x:c>
      <x:c r="D2844" s="115" t="str">
        <x:v>Centrale thermique</x:v>
      </x:c>
      <x:c r="E2844" s="115" t="n">
        <x:v>39</x:v>
      </x:c>
      <x:c r="F2844" s="115" t="str">
        <x:v>Inspection physique</x:v>
      </x:c>
      <x:c r="G2844" s="115" t="str">
        <x:v>1 niveaux ; 22 pièces ; 167 segments de mur ; 0 transitions. Inspection physique ; architecture complète encore ouverte.</x:v>
      </x:c>
      <x:c r="H2844" s="115" t="str">
        <x:v>L 484 ; l 500 ; hauteur 24 m ; choix de composition auteur ; dimensions réelles à documenter</x:v>
      </x:c>
      <x:c r="I2844" s="115" t="str">
        <x:v>À équilibrer</x:v>
      </x:c>
      <x:c r="J2844" s="115" t="str">
        <x:v>Non</x:v>
      </x:c>
      <x:c r="K2844" s="115" t="str">
        <x:v>Pièces décrites, murs, portes, niveaux et mobilier inspectables à l’échelle. Volumes réservés, raccord au seed, butin, rencontres et services de campagne restent à terminer.</x:v>
      </x:c>
    </x:row>
    <x:row r="2845" ht="96" customHeight="1">
      <x:c r="A2845" s="115" t="str">
        <x:v>EXT-MONDE-T057-V40</x:v>
      </x:c>
      <x:c r="B2845" s="115" t="str">
        <x:v>EXT-MONDE-T057</x:v>
      </x:c>
      <x:c r="C2845" s="115" t="str">
        <x:v>Énergie</x:v>
      </x:c>
      <x:c r="D2845" s="115" t="str">
        <x:v>Centrale thermique</x:v>
      </x:c>
      <x:c r="E2845" s="115" t="n">
        <x:v>40</x:v>
      </x:c>
      <x:c r="F2845" s="115" t="str">
        <x:v>Inspection physique</x:v>
      </x:c>
      <x:c r="G2845" s="115" t="str">
        <x:v>1 niveaux ; 22 pièces ; 167 segments de mur ; 0 transitions. Inspection physique ; architecture complète encore ouverte.</x:v>
      </x:c>
      <x:c r="H2845" s="115" t="str">
        <x:v>L 484 ; l 500 ; hauteur 24 m ; choix de composition auteur ; dimensions réelles à documenter</x:v>
      </x:c>
      <x:c r="I2845" s="115" t="str">
        <x:v>À équilibrer</x:v>
      </x:c>
      <x:c r="J2845" s="115" t="str">
        <x:v>Non</x:v>
      </x:c>
      <x:c r="K2845" s="115" t="str">
        <x:v>Pièces décrites, murs, portes, niveaux et mobilier inspectables à l’échelle. Volumes réservés, raccord au seed, butin, rencontres et services de campagne restent à terminer.</x:v>
      </x:c>
    </x:row>
    <x:row r="2846" ht="96" customHeight="1">
      <x:c r="A2846" s="115" t="str">
        <x:v>EXT-MONDE-T057-V41</x:v>
      </x:c>
      <x:c r="B2846" s="115" t="str">
        <x:v>EXT-MONDE-T057</x:v>
      </x:c>
      <x:c r="C2846" s="115" t="str">
        <x:v>Énergie</x:v>
      </x:c>
      <x:c r="D2846" s="115" t="str">
        <x:v>Centrale thermique</x:v>
      </x:c>
      <x:c r="E2846" s="115" t="n">
        <x:v>41</x:v>
      </x:c>
      <x:c r="F2846" s="115" t="str">
        <x:v>Inspection physique</x:v>
      </x:c>
      <x:c r="G2846" s="115" t="str">
        <x:v>1 niveaux ; 22 pièces ; 167 segments de mur ; 0 transitions. Inspection physique ; architecture complète encore ouverte.</x:v>
      </x:c>
      <x:c r="H2846" s="115" t="str">
        <x:v>L 502 ; l 520 ; hauteur 24 m ; choix de composition auteur ; dimensions réelles à documenter</x:v>
      </x:c>
      <x:c r="I2846" s="115" t="str">
        <x:v>À équilibrer</x:v>
      </x:c>
      <x:c r="J2846" s="115" t="str">
        <x:v>Non</x:v>
      </x:c>
      <x:c r="K2846" s="115" t="str">
        <x:v>Pièces décrites, murs, portes, niveaux et mobilier inspectables à l’échelle. Volumes réservés, raccord au seed, butin, rencontres et services de campagne restent à terminer.</x:v>
      </x:c>
    </x:row>
    <x:row r="2847" ht="96" customHeight="1">
      <x:c r="A2847" s="115" t="str">
        <x:v>EXT-MONDE-T057-V42</x:v>
      </x:c>
      <x:c r="B2847" s="115" t="str">
        <x:v>EXT-MONDE-T057</x:v>
      </x:c>
      <x:c r="C2847" s="115" t="str">
        <x:v>Énergie</x:v>
      </x:c>
      <x:c r="D2847" s="115" t="str">
        <x:v>Centrale thermique</x:v>
      </x:c>
      <x:c r="E2847" s="115" t="n">
        <x:v>42</x:v>
      </x:c>
      <x:c r="F2847" s="115" t="str">
        <x:v>Inspection physique</x:v>
      </x:c>
      <x:c r="G2847" s="115" t="str">
        <x:v>1 niveaux ; 22 pièces ; 167 segments de mur ; 0 transitions. Inspection physique ; architecture complète encore ouverte.</x:v>
      </x:c>
      <x:c r="H2847" s="115" t="str">
        <x:v>L 502 ; l 520 ; hauteur 24 m ; choix de composition auteur ; dimensions réelles à documenter</x:v>
      </x:c>
      <x:c r="I2847" s="115" t="str">
        <x:v>À équilibrer</x:v>
      </x:c>
      <x:c r="J2847" s="115" t="str">
        <x:v>Non</x:v>
      </x:c>
      <x:c r="K2847" s="115" t="str">
        <x:v>Pièces décrites, murs, portes, niveaux et mobilier inspectables à l’échelle. Volumes réservés, raccord au seed, butin, rencontres et services de campagne restent à terminer.</x:v>
      </x:c>
    </x:row>
    <x:row r="2848" ht="96" customHeight="1">
      <x:c r="A2848" s="115" t="str">
        <x:v>EXT-MONDE-T057-V43</x:v>
      </x:c>
      <x:c r="B2848" s="115" t="str">
        <x:v>EXT-MONDE-T057</x:v>
      </x:c>
      <x:c r="C2848" s="115" t="str">
        <x:v>Énergie</x:v>
      </x:c>
      <x:c r="D2848" s="115" t="str">
        <x:v>Centrale thermique</x:v>
      </x:c>
      <x:c r="E2848" s="115" t="n">
        <x:v>43</x:v>
      </x:c>
      <x:c r="F2848" s="115" t="str">
        <x:v>Inspection physique</x:v>
      </x:c>
      <x:c r="G2848" s="115" t="str">
        <x:v>1 niveaux ; 22 pièces ; 167 segments de mur ; 0 transitions. Inspection physique ; architecture complète encore ouverte.</x:v>
      </x:c>
      <x:c r="H2848" s="115" t="str">
        <x:v>L 502 ; l 520 ; hauteur 24 m ; choix de composition auteur ; dimensions réelles à documenter</x:v>
      </x:c>
      <x:c r="I2848" s="115" t="str">
        <x:v>À équilibrer</x:v>
      </x:c>
      <x:c r="J2848" s="115" t="str">
        <x:v>Non</x:v>
      </x:c>
      <x:c r="K2848" s="115" t="str">
        <x:v>Pièces décrites, murs, portes, niveaux et mobilier inspectables à l’échelle. Volumes réservés, raccord au seed, butin, rencontres et services de campagne restent à terminer.</x:v>
      </x:c>
    </x:row>
    <x:row r="2849" ht="96" customHeight="1">
      <x:c r="A2849" s="115" t="str">
        <x:v>EXT-MONDE-T057-V44</x:v>
      </x:c>
      <x:c r="B2849" s="115" t="str">
        <x:v>EXT-MONDE-T057</x:v>
      </x:c>
      <x:c r="C2849" s="115" t="str">
        <x:v>Énergie</x:v>
      </x:c>
      <x:c r="D2849" s="115" t="str">
        <x:v>Centrale thermique</x:v>
      </x:c>
      <x:c r="E2849" s="115" t="n">
        <x:v>44</x:v>
      </x:c>
      <x:c r="F2849" s="115" t="str">
        <x:v>Inspection physique</x:v>
      </x:c>
      <x:c r="G2849" s="115" t="str">
        <x:v>1 niveaux ; 22 pièces ; 167 segments de mur ; 0 transitions. Inspection physique ; architecture complète encore ouverte.</x:v>
      </x:c>
      <x:c r="H2849" s="115" t="str">
        <x:v>L 502 ; l 520 ; hauteur 24 m ; choix de composition auteur ; dimensions réelles à documenter</x:v>
      </x:c>
      <x:c r="I2849" s="115" t="str">
        <x:v>À équilibrer</x:v>
      </x:c>
      <x:c r="J2849" s="115" t="str">
        <x:v>Non</x:v>
      </x:c>
      <x:c r="K2849" s="115" t="str">
        <x:v>Pièces décrites, murs, portes, niveaux et mobilier inspectables à l’échelle. Volumes réservés, raccord au seed, butin, rencontres et services de campagne restent à terminer.</x:v>
      </x:c>
    </x:row>
    <x:row r="2850" ht="96" customHeight="1">
      <x:c r="A2850" s="115" t="str">
        <x:v>EXT-MONDE-T057-V45</x:v>
      </x:c>
      <x:c r="B2850" s="115" t="str">
        <x:v>EXT-MONDE-T057</x:v>
      </x:c>
      <x:c r="C2850" s="115" t="str">
        <x:v>Énergie</x:v>
      </x:c>
      <x:c r="D2850" s="115" t="str">
        <x:v>Centrale thermique</x:v>
      </x:c>
      <x:c r="E2850" s="115" t="n">
        <x:v>45</x:v>
      </x:c>
      <x:c r="F2850" s="115" t="str">
        <x:v>Inspection physique</x:v>
      </x:c>
      <x:c r="G2850" s="115" t="str">
        <x:v>1 niveaux ; 22 pièces ; 167 segments de mur ; 0 transitions. Inspection physique ; architecture complète encore ouverte.</x:v>
      </x:c>
      <x:c r="H2850" s="115" t="str">
        <x:v>L 502 ; l 520 ; hauteur 24 m ; choix de composition auteur ; dimensions réelles à documenter</x:v>
      </x:c>
      <x:c r="I2850" s="115" t="str">
        <x:v>À équilibrer</x:v>
      </x:c>
      <x:c r="J2850" s="115" t="str">
        <x:v>Non</x:v>
      </x:c>
      <x:c r="K2850" s="115" t="str">
        <x:v>Pièces décrites, murs, portes, niveaux et mobilier inspectables à l’échelle. Volumes réservés, raccord au seed, butin, rencontres et services de campagne restent à terminer.</x:v>
      </x:c>
    </x:row>
    <x:row r="2851" ht="96" customHeight="1">
      <x:c r="A2851" s="115" t="str">
        <x:v>EXT-MONDE-T057-V46</x:v>
      </x:c>
      <x:c r="B2851" s="115" t="str">
        <x:v>EXT-MONDE-T057</x:v>
      </x:c>
      <x:c r="C2851" s="115" t="str">
        <x:v>Énergie</x:v>
      </x:c>
      <x:c r="D2851" s="115" t="str">
        <x:v>Centrale thermique</x:v>
      </x:c>
      <x:c r="E2851" s="115" t="n">
        <x:v>46</x:v>
      </x:c>
      <x:c r="F2851" s="115" t="str">
        <x:v>Inspection physique</x:v>
      </x:c>
      <x:c r="G2851" s="115" t="str">
        <x:v>1 niveaux ; 22 pièces ; 167 segments de mur ; 0 transitions. Inspection physique ; architecture complète encore ouverte.</x:v>
      </x:c>
      <x:c r="H2851" s="115" t="str">
        <x:v>L 502 ; l 520 ; hauteur 24 m ; choix de composition auteur ; dimensions réelles à documenter</x:v>
      </x:c>
      <x:c r="I2851" s="115" t="str">
        <x:v>À équilibrer</x:v>
      </x:c>
      <x:c r="J2851" s="115" t="str">
        <x:v>Non</x:v>
      </x:c>
      <x:c r="K2851" s="115" t="str">
        <x:v>Pièces décrites, murs, portes, niveaux et mobilier inspectables à l’échelle. Volumes réservés, raccord au seed, butin, rencontres et services de campagne restent à terminer.</x:v>
      </x:c>
    </x:row>
    <x:row r="2852" ht="96" customHeight="1">
      <x:c r="A2852" s="115" t="str">
        <x:v>EXT-MONDE-T057-V47</x:v>
      </x:c>
      <x:c r="B2852" s="115" t="str">
        <x:v>EXT-MONDE-T057</x:v>
      </x:c>
      <x:c r="C2852" s="115" t="str">
        <x:v>Énergie</x:v>
      </x:c>
      <x:c r="D2852" s="115" t="str">
        <x:v>Centrale thermique</x:v>
      </x:c>
      <x:c r="E2852" s="115" t="n">
        <x:v>47</x:v>
      </x:c>
      <x:c r="F2852" s="115" t="str">
        <x:v>Inspection physique</x:v>
      </x:c>
      <x:c r="G2852" s="115" t="str">
        <x:v>1 niveaux ; 22 pièces ; 167 segments de mur ; 0 transitions. Inspection physique ; architecture complète encore ouverte.</x:v>
      </x:c>
      <x:c r="H2852" s="115" t="str">
        <x:v>L 502 ; l 520 ; hauteur 24 m ; choix de composition auteur ; dimensions réelles à documenter</x:v>
      </x:c>
      <x:c r="I2852" s="115" t="str">
        <x:v>À équilibrer</x:v>
      </x:c>
      <x:c r="J2852" s="115" t="str">
        <x:v>Non</x:v>
      </x:c>
      <x:c r="K2852" s="115" t="str">
        <x:v>Pièces décrites, murs, portes, niveaux et mobilier inspectables à l’échelle. Volumes réservés, raccord au seed, butin, rencontres et services de campagne restent à terminer.</x:v>
      </x:c>
    </x:row>
    <x:row r="2853" ht="96" customHeight="1">
      <x:c r="A2853" s="115" t="str">
        <x:v>EXT-MONDE-T057-V48</x:v>
      </x:c>
      <x:c r="B2853" s="115" t="str">
        <x:v>EXT-MONDE-T057</x:v>
      </x:c>
      <x:c r="C2853" s="115" t="str">
        <x:v>Énergie</x:v>
      </x:c>
      <x:c r="D2853" s="115" t="str">
        <x:v>Centrale thermique</x:v>
      </x:c>
      <x:c r="E2853" s="115" t="n">
        <x:v>48</x:v>
      </x:c>
      <x:c r="F2853" s="115" t="str">
        <x:v>Inspection physique</x:v>
      </x:c>
      <x:c r="G2853" s="115" t="str">
        <x:v>1 niveaux ; 22 pièces ; 167 segments de mur ; 0 transitions. Inspection physique ; architecture complète encore ouverte.</x:v>
      </x:c>
      <x:c r="H2853" s="115" t="str">
        <x:v>L 502 ; l 520 ; hauteur 24 m ; choix de composition auteur ; dimensions réelles à documenter</x:v>
      </x:c>
      <x:c r="I2853" s="115" t="str">
        <x:v>À équilibrer</x:v>
      </x:c>
      <x:c r="J2853" s="115" t="str">
        <x:v>Non</x:v>
      </x:c>
      <x:c r="K2853" s="115" t="str">
        <x:v>Pièces décrites, murs, portes, niveaux et mobilier inspectables à l’échelle. Volumes réservés, raccord au seed, butin, rencontres et services de campagne restent à terminer.</x:v>
      </x:c>
    </x:row>
    <x:row r="2854" ht="96" customHeight="1">
      <x:c r="A2854" s="115" t="str">
        <x:v>EXT-MONDE-T057-V49</x:v>
      </x:c>
      <x:c r="B2854" s="115" t="str">
        <x:v>EXT-MONDE-T057</x:v>
      </x:c>
      <x:c r="C2854" s="115" t="str">
        <x:v>Énergie</x:v>
      </x:c>
      <x:c r="D2854" s="115" t="str">
        <x:v>Centrale thermique</x:v>
      </x:c>
      <x:c r="E2854" s="115" t="n">
        <x:v>49</x:v>
      </x:c>
      <x:c r="F2854" s="115" t="str">
        <x:v>Inspection physique</x:v>
      </x:c>
      <x:c r="G2854" s="115" t="str">
        <x:v>1 niveaux ; 22 pièces ; 167 segments de mur ; 0 transitions. Inspection physique ; architecture complète encore ouverte.</x:v>
      </x:c>
      <x:c r="H2854" s="115" t="str">
        <x:v>L 502 ; l 520 ; hauteur 24 m ; choix de composition auteur ; dimensions réelles à documenter</x:v>
      </x:c>
      <x:c r="I2854" s="115" t="str">
        <x:v>À équilibrer</x:v>
      </x:c>
      <x:c r="J2854" s="115" t="str">
        <x:v>Non</x:v>
      </x:c>
      <x:c r="K2854" s="115" t="str">
        <x:v>Pièces décrites, murs, portes, niveaux et mobilier inspectables à l’échelle. Volumes réservés, raccord au seed, butin, rencontres et services de campagne restent à terminer.</x:v>
      </x:c>
    </x:row>
    <x:row r="2855" ht="96" customHeight="1">
      <x:c r="A2855" s="115" t="str">
        <x:v>EXT-MONDE-T057-V50</x:v>
      </x:c>
      <x:c r="B2855" s="115" t="str">
        <x:v>EXT-MONDE-T057</x:v>
      </x:c>
      <x:c r="C2855" s="115" t="str">
        <x:v>Énergie</x:v>
      </x:c>
      <x:c r="D2855" s="115" t="str">
        <x:v>Centrale thermique</x:v>
      </x:c>
      <x:c r="E2855" s="115" t="n">
        <x:v>50</x:v>
      </x:c>
      <x:c r="F2855" s="115" t="str">
        <x:v>Inspection physique</x:v>
      </x:c>
      <x:c r="G2855" s="115" t="str">
        <x:v>1 niveaux ; 22 pièces ; 167 segments de mur ; 0 transitions. Inspection physique ; architecture complète encore ouverte.</x:v>
      </x:c>
      <x:c r="H2855" s="115" t="str">
        <x:v>L 502 ; l 520 ; hauteur 24 m ; choix de composition auteur ; dimensions réelles à documenter</x:v>
      </x:c>
      <x:c r="I2855" s="115" t="str">
        <x:v>À équilibrer</x:v>
      </x:c>
      <x:c r="J2855" s="115" t="str">
        <x:v>Non</x:v>
      </x:c>
      <x:c r="K2855" s="115" t="str">
        <x:v>Pièces décrites, murs, portes, niveaux et mobilier inspectables à l’échelle. Volumes réservés, raccord au seed, butin, rencontres et services de campagne restent à terminer.</x:v>
      </x:c>
    </x:row>
    <x:row r="2856" ht="96" customHeight="1">
      <x:c r="A2856" s="115" t="str">
        <x:v>EXT-MONDE-T058-V01</x:v>
      </x:c>
      <x:c r="B2856" s="115" t="str">
        <x:v>EXT-MONDE-T058</x:v>
      </x:c>
      <x:c r="C2856" s="115" t="str">
        <x:v>Énergie</x:v>
      </x:c>
      <x:c r="D2856" s="115" t="str">
        <x:v>Centrale hydroélectrique</x:v>
      </x:c>
      <x:c r="E2856" s="115" t="n">
        <x:v>1</x:v>
      </x:c>
      <x:c r="F2856" s="115" t="str">
        <x:v>Inspection physique</x:v>
      </x:c>
      <x:c r="G2856" s="115" t="str">
        <x:v>1 niveaux ; 22 pièces ; 167 segments de mur ; 0 transitions. Inspection physique ; architecture complète encore ouverte.</x:v>
      </x:c>
      <x:c r="H2856" s="115" t="str">
        <x:v>L 430 ; l 440 ; hauteur 9 m ; choix de composition auteur ; dimensions réelles à documenter</x:v>
      </x:c>
      <x:c r="I2856" s="115" t="str">
        <x:v>À équilibrer</x:v>
      </x:c>
      <x:c r="J2856" s="115" t="str">
        <x:v>Non</x:v>
      </x:c>
      <x:c r="K2856" s="115" t="str">
        <x:v>Pièces décrites, murs, portes, niveaux et mobilier inspectables à l’échelle. Volumes réservés, raccord au seed, butin, rencontres et services de campagne restent à terminer.</x:v>
      </x:c>
    </x:row>
    <x:row r="2857" ht="96" customHeight="1">
      <x:c r="A2857" s="115" t="str">
        <x:v>EXT-MONDE-T058-V02</x:v>
      </x:c>
      <x:c r="B2857" s="115" t="str">
        <x:v>EXT-MONDE-T058</x:v>
      </x:c>
      <x:c r="C2857" s="115" t="str">
        <x:v>Énergie</x:v>
      </x:c>
      <x:c r="D2857" s="115" t="str">
        <x:v>Centrale hydroélectrique</x:v>
      </x:c>
      <x:c r="E2857" s="115" t="n">
        <x:v>2</x:v>
      </x:c>
      <x:c r="F2857" s="115" t="str">
        <x:v>Inspection physique</x:v>
      </x:c>
      <x:c r="G2857" s="115" t="str">
        <x:v>1 niveaux ; 22 pièces ; 167 segments de mur ; 0 transitions. Inspection physique ; architecture complète encore ouverte.</x:v>
      </x:c>
      <x:c r="H2857" s="115" t="str">
        <x:v>L 430 ; l 440 ; hauteur 9 m ; choix de composition auteur ; dimensions réelles à documenter</x:v>
      </x:c>
      <x:c r="I2857" s="115" t="str">
        <x:v>À équilibrer</x:v>
      </x:c>
      <x:c r="J2857" s="115" t="str">
        <x:v>Non</x:v>
      </x:c>
      <x:c r="K2857" s="115" t="str">
        <x:v>Pièces décrites, murs, portes, niveaux et mobilier inspectables à l’échelle. Volumes réservés, raccord au seed, butin, rencontres et services de campagne restent à terminer.</x:v>
      </x:c>
    </x:row>
    <x:row r="2858" ht="96" customHeight="1">
      <x:c r="A2858" s="115" t="str">
        <x:v>EXT-MONDE-T058-V03</x:v>
      </x:c>
      <x:c r="B2858" s="115" t="str">
        <x:v>EXT-MONDE-T058</x:v>
      </x:c>
      <x:c r="C2858" s="115" t="str">
        <x:v>Énergie</x:v>
      </x:c>
      <x:c r="D2858" s="115" t="str">
        <x:v>Centrale hydroélectrique</x:v>
      </x:c>
      <x:c r="E2858" s="115" t="n">
        <x:v>3</x:v>
      </x:c>
      <x:c r="F2858" s="115" t="str">
        <x:v>Inspection physique</x:v>
      </x:c>
      <x:c r="G2858" s="115" t="str">
        <x:v>1 niveaux ; 22 pièces ; 167 segments de mur ; 0 transitions. Inspection physique ; architecture complète encore ouverte.</x:v>
      </x:c>
      <x:c r="H2858" s="115" t="str">
        <x:v>L 430 ; l 440 ; hauteur 9 m ; choix de composition auteur ; dimensions réelles à documenter</x:v>
      </x:c>
      <x:c r="I2858" s="115" t="str">
        <x:v>À équilibrer</x:v>
      </x:c>
      <x:c r="J2858" s="115" t="str">
        <x:v>Non</x:v>
      </x:c>
      <x:c r="K2858" s="115" t="str">
        <x:v>Pièces décrites, murs, portes, niveaux et mobilier inspectables à l’échelle. Volumes réservés, raccord au seed, butin, rencontres et services de campagne restent à terminer.</x:v>
      </x:c>
    </x:row>
    <x:row r="2859" ht="96" customHeight="1">
      <x:c r="A2859" s="115" t="str">
        <x:v>EXT-MONDE-T058-V04</x:v>
      </x:c>
      <x:c r="B2859" s="115" t="str">
        <x:v>EXT-MONDE-T058</x:v>
      </x:c>
      <x:c r="C2859" s="115" t="str">
        <x:v>Énergie</x:v>
      </x:c>
      <x:c r="D2859" s="115" t="str">
        <x:v>Centrale hydroélectrique</x:v>
      </x:c>
      <x:c r="E2859" s="115" t="n">
        <x:v>4</x:v>
      </x:c>
      <x:c r="F2859" s="115" t="str">
        <x:v>Inspection physique</x:v>
      </x:c>
      <x:c r="G2859" s="115" t="str">
        <x:v>1 niveaux ; 22 pièces ; 167 segments de mur ; 0 transitions. Inspection physique ; architecture complète encore ouverte.</x:v>
      </x:c>
      <x:c r="H2859" s="115" t="str">
        <x:v>L 430 ; l 440 ; hauteur 9 m ; choix de composition auteur ; dimensions réelles à documenter</x:v>
      </x:c>
      <x:c r="I2859" s="115" t="str">
        <x:v>À équilibrer</x:v>
      </x:c>
      <x:c r="J2859" s="115" t="str">
        <x:v>Non</x:v>
      </x:c>
      <x:c r="K2859" s="115" t="str">
        <x:v>Pièces décrites, murs, portes, niveaux et mobilier inspectables à l’échelle. Volumes réservés, raccord au seed, butin, rencontres et services de campagne restent à terminer.</x:v>
      </x:c>
    </x:row>
    <x:row r="2860" ht="96" customHeight="1">
      <x:c r="A2860" s="115" t="str">
        <x:v>EXT-MONDE-T058-V05</x:v>
      </x:c>
      <x:c r="B2860" s="115" t="str">
        <x:v>EXT-MONDE-T058</x:v>
      </x:c>
      <x:c r="C2860" s="115" t="str">
        <x:v>Énergie</x:v>
      </x:c>
      <x:c r="D2860" s="115" t="str">
        <x:v>Centrale hydroélectrique</x:v>
      </x:c>
      <x:c r="E2860" s="115" t="n">
        <x:v>5</x:v>
      </x:c>
      <x:c r="F2860" s="115" t="str">
        <x:v>Inspection physique</x:v>
      </x:c>
      <x:c r="G2860" s="115" t="str">
        <x:v>1 niveaux ; 22 pièces ; 167 segments de mur ; 0 transitions. Inspection physique ; architecture complète encore ouverte.</x:v>
      </x:c>
      <x:c r="H2860" s="115" t="str">
        <x:v>L 430 ; l 440 ; hauteur 9 m ; choix de composition auteur ; dimensions réelles à documenter</x:v>
      </x:c>
      <x:c r="I2860" s="115" t="str">
        <x:v>À équilibrer</x:v>
      </x:c>
      <x:c r="J2860" s="115" t="str">
        <x:v>Non</x:v>
      </x:c>
      <x:c r="K2860" s="115" t="str">
        <x:v>Pièces décrites, murs, portes, niveaux et mobilier inspectables à l’échelle. Volumes réservés, raccord au seed, butin, rencontres et services de campagne restent à terminer.</x:v>
      </x:c>
    </x:row>
    <x:row r="2861" ht="96" customHeight="1">
      <x:c r="A2861" s="115" t="str">
        <x:v>EXT-MONDE-T058-V06</x:v>
      </x:c>
      <x:c r="B2861" s="115" t="str">
        <x:v>EXT-MONDE-T058</x:v>
      </x:c>
      <x:c r="C2861" s="115" t="str">
        <x:v>Énergie</x:v>
      </x:c>
      <x:c r="D2861" s="115" t="str">
        <x:v>Centrale hydroélectrique</x:v>
      </x:c>
      <x:c r="E2861" s="115" t="n">
        <x:v>6</x:v>
      </x:c>
      <x:c r="F2861" s="115" t="str">
        <x:v>Inspection physique</x:v>
      </x:c>
      <x:c r="G2861" s="115" t="str">
        <x:v>1 niveaux ; 22 pièces ; 167 segments de mur ; 0 transitions. Inspection physique ; architecture complète encore ouverte.</x:v>
      </x:c>
      <x:c r="H2861" s="115" t="str">
        <x:v>L 430 ; l 440 ; hauteur 9 m ; choix de composition auteur ; dimensions réelles à documenter</x:v>
      </x:c>
      <x:c r="I2861" s="115" t="str">
        <x:v>À équilibrer</x:v>
      </x:c>
      <x:c r="J2861" s="115" t="str">
        <x:v>Non</x:v>
      </x:c>
      <x:c r="K2861" s="115" t="str">
        <x:v>Pièces décrites, murs, portes, niveaux et mobilier inspectables à l’échelle. Volumes réservés, raccord au seed, butin, rencontres et services de campagne restent à terminer.</x:v>
      </x:c>
    </x:row>
    <x:row r="2862" ht="96" customHeight="1">
      <x:c r="A2862" s="115" t="str">
        <x:v>EXT-MONDE-T058-V07</x:v>
      </x:c>
      <x:c r="B2862" s="115" t="str">
        <x:v>EXT-MONDE-T058</x:v>
      </x:c>
      <x:c r="C2862" s="115" t="str">
        <x:v>Énergie</x:v>
      </x:c>
      <x:c r="D2862" s="115" t="str">
        <x:v>Centrale hydroélectrique</x:v>
      </x:c>
      <x:c r="E2862" s="115" t="n">
        <x:v>7</x:v>
      </x:c>
      <x:c r="F2862" s="115" t="str">
        <x:v>Inspection physique</x:v>
      </x:c>
      <x:c r="G2862" s="115" t="str">
        <x:v>1 niveaux ; 22 pièces ; 167 segments de mur ; 0 transitions. Inspection physique ; architecture complète encore ouverte.</x:v>
      </x:c>
      <x:c r="H2862" s="115" t="str">
        <x:v>L 430 ; l 440 ; hauteur 9 m ; choix de composition auteur ; dimensions réelles à documenter</x:v>
      </x:c>
      <x:c r="I2862" s="115" t="str">
        <x:v>À équilibrer</x:v>
      </x:c>
      <x:c r="J2862" s="115" t="str">
        <x:v>Non</x:v>
      </x:c>
      <x:c r="K2862" s="115" t="str">
        <x:v>Pièces décrites, murs, portes, niveaux et mobilier inspectables à l’échelle. Volumes réservés, raccord au seed, butin, rencontres et services de campagne restent à terminer.</x:v>
      </x:c>
    </x:row>
    <x:row r="2863" ht="96" customHeight="1">
      <x:c r="A2863" s="115" t="str">
        <x:v>EXT-MONDE-T058-V08</x:v>
      </x:c>
      <x:c r="B2863" s="115" t="str">
        <x:v>EXT-MONDE-T058</x:v>
      </x:c>
      <x:c r="C2863" s="115" t="str">
        <x:v>Énergie</x:v>
      </x:c>
      <x:c r="D2863" s="115" t="str">
        <x:v>Centrale hydroélectrique</x:v>
      </x:c>
      <x:c r="E2863" s="115" t="n">
        <x:v>8</x:v>
      </x:c>
      <x:c r="F2863" s="115" t="str">
        <x:v>Inspection physique</x:v>
      </x:c>
      <x:c r="G2863" s="115" t="str">
        <x:v>1 niveaux ; 22 pièces ; 167 segments de mur ; 0 transitions. Inspection physique ; architecture complète encore ouverte.</x:v>
      </x:c>
      <x:c r="H2863" s="115" t="str">
        <x:v>L 430 ; l 440 ; hauteur 9 m ; choix de composition auteur ; dimensions réelles à documenter</x:v>
      </x:c>
      <x:c r="I2863" s="115" t="str">
        <x:v>À équilibrer</x:v>
      </x:c>
      <x:c r="J2863" s="115" t="str">
        <x:v>Non</x:v>
      </x:c>
      <x:c r="K2863" s="115" t="str">
        <x:v>Pièces décrites, murs, portes, niveaux et mobilier inspectables à l’échelle. Volumes réservés, raccord au seed, butin, rencontres et services de campagne restent à terminer.</x:v>
      </x:c>
    </x:row>
    <x:row r="2864" ht="96" customHeight="1">
      <x:c r="A2864" s="115" t="str">
        <x:v>EXT-MONDE-T058-V09</x:v>
      </x:c>
      <x:c r="B2864" s="115" t="str">
        <x:v>EXT-MONDE-T058</x:v>
      </x:c>
      <x:c r="C2864" s="115" t="str">
        <x:v>Énergie</x:v>
      </x:c>
      <x:c r="D2864" s="115" t="str">
        <x:v>Centrale hydroélectrique</x:v>
      </x:c>
      <x:c r="E2864" s="115" t="n">
        <x:v>9</x:v>
      </x:c>
      <x:c r="F2864" s="115" t="str">
        <x:v>Inspection physique</x:v>
      </x:c>
      <x:c r="G2864" s="115" t="str">
        <x:v>1 niveaux ; 22 pièces ; 167 segments de mur ; 0 transitions. Inspection physique ; architecture complète encore ouverte.</x:v>
      </x:c>
      <x:c r="H2864" s="115" t="str">
        <x:v>L 430 ; l 440 ; hauteur 9 m ; choix de composition auteur ; dimensions réelles à documenter</x:v>
      </x:c>
      <x:c r="I2864" s="115" t="str">
        <x:v>À équilibrer</x:v>
      </x:c>
      <x:c r="J2864" s="115" t="str">
        <x:v>Non</x:v>
      </x:c>
      <x:c r="K2864" s="115" t="str">
        <x:v>Pièces décrites, murs, portes, niveaux et mobilier inspectables à l’échelle. Volumes réservés, raccord au seed, butin, rencontres et services de campagne restent à terminer.</x:v>
      </x:c>
    </x:row>
    <x:row r="2865" ht="96" customHeight="1">
      <x:c r="A2865" s="115" t="str">
        <x:v>EXT-MONDE-T058-V10</x:v>
      </x:c>
      <x:c r="B2865" s="115" t="str">
        <x:v>EXT-MONDE-T058</x:v>
      </x:c>
      <x:c r="C2865" s="115" t="str">
        <x:v>Énergie</x:v>
      </x:c>
      <x:c r="D2865" s="115" t="str">
        <x:v>Centrale hydroélectrique</x:v>
      </x:c>
      <x:c r="E2865" s="115" t="n">
        <x:v>10</x:v>
      </x:c>
      <x:c r="F2865" s="115" t="str">
        <x:v>Inspection physique</x:v>
      </x:c>
      <x:c r="G2865" s="115" t="str">
        <x:v>1 niveaux ; 22 pièces ; 167 segments de mur ; 0 transitions. Inspection physique ; architecture complète encore ouverte.</x:v>
      </x:c>
      <x:c r="H2865" s="115" t="str">
        <x:v>L 430 ; l 440 ; hauteur 9 m ; choix de composition auteur ; dimensions réelles à documenter</x:v>
      </x:c>
      <x:c r="I2865" s="115" t="str">
        <x:v>À équilibrer</x:v>
      </x:c>
      <x:c r="J2865" s="115" t="str">
        <x:v>Non</x:v>
      </x:c>
      <x:c r="K2865" s="115" t="str">
        <x:v>Pièces décrites, murs, portes, niveaux et mobilier inspectables à l’échelle. Volumes réservés, raccord au seed, butin, rencontres et services de campagne restent à terminer.</x:v>
      </x:c>
    </x:row>
    <x:row r="2866" ht="96" customHeight="1">
      <x:c r="A2866" s="115" t="str">
        <x:v>EXT-MONDE-T058-V11</x:v>
      </x:c>
      <x:c r="B2866" s="115" t="str">
        <x:v>EXT-MONDE-T058</x:v>
      </x:c>
      <x:c r="C2866" s="115" t="str">
        <x:v>Énergie</x:v>
      </x:c>
      <x:c r="D2866" s="115" t="str">
        <x:v>Centrale hydroélectrique</x:v>
      </x:c>
      <x:c r="E2866" s="115" t="n">
        <x:v>11</x:v>
      </x:c>
      <x:c r="F2866" s="115" t="str">
        <x:v>Inspection physique</x:v>
      </x:c>
      <x:c r="G2866" s="115" t="str">
        <x:v>1 niveaux ; 22 pièces ; 167 segments de mur ; 0 transitions. Inspection physique ; architecture complète encore ouverte.</x:v>
      </x:c>
      <x:c r="H2866" s="115" t="str">
        <x:v>L 448 ; l 460 ; hauteur 9,2 m ; choix de composition auteur ; dimensions réelles à documenter</x:v>
      </x:c>
      <x:c r="I2866" s="115" t="str">
        <x:v>À équilibrer</x:v>
      </x:c>
      <x:c r="J2866" s="115" t="str">
        <x:v>Non</x:v>
      </x:c>
      <x:c r="K2866" s="115" t="str">
        <x:v>Pièces décrites, murs, portes, niveaux et mobilier inspectables à l’échelle. Volumes réservés, raccord au seed, butin, rencontres et services de campagne restent à terminer.</x:v>
      </x:c>
    </x:row>
    <x:row r="2867" ht="96" customHeight="1">
      <x:c r="A2867" s="115" t="str">
        <x:v>EXT-MONDE-T058-V12</x:v>
      </x:c>
      <x:c r="B2867" s="115" t="str">
        <x:v>EXT-MONDE-T058</x:v>
      </x:c>
      <x:c r="C2867" s="115" t="str">
        <x:v>Énergie</x:v>
      </x:c>
      <x:c r="D2867" s="115" t="str">
        <x:v>Centrale hydroélectrique</x:v>
      </x:c>
      <x:c r="E2867" s="115" t="n">
        <x:v>12</x:v>
      </x:c>
      <x:c r="F2867" s="115" t="str">
        <x:v>Inspection physique</x:v>
      </x:c>
      <x:c r="G2867" s="115" t="str">
        <x:v>1 niveaux ; 22 pièces ; 167 segments de mur ; 0 transitions. Inspection physique ; architecture complète encore ouverte.</x:v>
      </x:c>
      <x:c r="H2867" s="115" t="str">
        <x:v>L 448 ; l 460 ; hauteur 9,2 m ; choix de composition auteur ; dimensions réelles à documenter</x:v>
      </x:c>
      <x:c r="I2867" s="115" t="str">
        <x:v>À équilibrer</x:v>
      </x:c>
      <x:c r="J2867" s="115" t="str">
        <x:v>Non</x:v>
      </x:c>
      <x:c r="K2867" s="115" t="str">
        <x:v>Pièces décrites, murs, portes, niveaux et mobilier inspectables à l’échelle. Volumes réservés, raccord au seed, butin, rencontres et services de campagne restent à terminer.</x:v>
      </x:c>
    </x:row>
    <x:row r="2868" ht="96" customHeight="1">
      <x:c r="A2868" s="115" t="str">
        <x:v>EXT-MONDE-T058-V13</x:v>
      </x:c>
      <x:c r="B2868" s="115" t="str">
        <x:v>EXT-MONDE-T058</x:v>
      </x:c>
      <x:c r="C2868" s="115" t="str">
        <x:v>Énergie</x:v>
      </x:c>
      <x:c r="D2868" s="115" t="str">
        <x:v>Centrale hydroélectrique</x:v>
      </x:c>
      <x:c r="E2868" s="115" t="n">
        <x:v>13</x:v>
      </x:c>
      <x:c r="F2868" s="115" t="str">
        <x:v>Inspection physique</x:v>
      </x:c>
      <x:c r="G2868" s="115" t="str">
        <x:v>1 niveaux ; 22 pièces ; 167 segments de mur ; 0 transitions. Inspection physique ; architecture complète encore ouverte.</x:v>
      </x:c>
      <x:c r="H2868" s="115" t="str">
        <x:v>L 448 ; l 460 ; hauteur 9,2 m ; choix de composition auteur ; dimensions réelles à documenter</x:v>
      </x:c>
      <x:c r="I2868" s="115" t="str">
        <x:v>À équilibrer</x:v>
      </x:c>
      <x:c r="J2868" s="115" t="str">
        <x:v>Non</x:v>
      </x:c>
      <x:c r="K2868" s="115" t="str">
        <x:v>Pièces décrites, murs, portes, niveaux et mobilier inspectables à l’échelle. Volumes réservés, raccord au seed, butin, rencontres et services de campagne restent à terminer.</x:v>
      </x:c>
    </x:row>
    <x:row r="2869" ht="96" customHeight="1">
      <x:c r="A2869" s="115" t="str">
        <x:v>EXT-MONDE-T058-V14</x:v>
      </x:c>
      <x:c r="B2869" s="115" t="str">
        <x:v>EXT-MONDE-T058</x:v>
      </x:c>
      <x:c r="C2869" s="115" t="str">
        <x:v>Énergie</x:v>
      </x:c>
      <x:c r="D2869" s="115" t="str">
        <x:v>Centrale hydroélectrique</x:v>
      </x:c>
      <x:c r="E2869" s="115" t="n">
        <x:v>14</x:v>
      </x:c>
      <x:c r="F2869" s="115" t="str">
        <x:v>Inspection physique</x:v>
      </x:c>
      <x:c r="G2869" s="115" t="str">
        <x:v>1 niveaux ; 22 pièces ; 167 segments de mur ; 0 transitions. Inspection physique ; architecture complète encore ouverte.</x:v>
      </x:c>
      <x:c r="H2869" s="115" t="str">
        <x:v>L 448 ; l 460 ; hauteur 9,2 m ; choix de composition auteur ; dimensions réelles à documenter</x:v>
      </x:c>
      <x:c r="I2869" s="115" t="str">
        <x:v>À équilibrer</x:v>
      </x:c>
      <x:c r="J2869" s="115" t="str">
        <x:v>Non</x:v>
      </x:c>
      <x:c r="K2869" s="115" t="str">
        <x:v>Pièces décrites, murs, portes, niveaux et mobilier inspectables à l’échelle. Volumes réservés, raccord au seed, butin, rencontres et services de campagne restent à terminer.</x:v>
      </x:c>
    </x:row>
    <x:row r="2870" ht="96" customHeight="1">
      <x:c r="A2870" s="115" t="str">
        <x:v>EXT-MONDE-T058-V15</x:v>
      </x:c>
      <x:c r="B2870" s="115" t="str">
        <x:v>EXT-MONDE-T058</x:v>
      </x:c>
      <x:c r="C2870" s="115" t="str">
        <x:v>Énergie</x:v>
      </x:c>
      <x:c r="D2870" s="115" t="str">
        <x:v>Centrale hydroélectrique</x:v>
      </x:c>
      <x:c r="E2870" s="115" t="n">
        <x:v>15</x:v>
      </x:c>
      <x:c r="F2870" s="115" t="str">
        <x:v>Inspection physique</x:v>
      </x:c>
      <x:c r="G2870" s="115" t="str">
        <x:v>1 niveaux ; 22 pièces ; 167 segments de mur ; 0 transitions. Inspection physique ; architecture complète encore ouverte.</x:v>
      </x:c>
      <x:c r="H2870" s="115" t="str">
        <x:v>L 448 ; l 460 ; hauteur 9,2 m ; choix de composition auteur ; dimensions réelles à documenter</x:v>
      </x:c>
      <x:c r="I2870" s="115" t="str">
        <x:v>À équilibrer</x:v>
      </x:c>
      <x:c r="J2870" s="115" t="str">
        <x:v>Non</x:v>
      </x:c>
      <x:c r="K2870" s="115" t="str">
        <x:v>Pièces décrites, murs, portes, niveaux et mobilier inspectables à l’échelle. Volumes réservés, raccord au seed, butin, rencontres et services de campagne restent à terminer.</x:v>
      </x:c>
    </x:row>
    <x:row r="2871" ht="96" customHeight="1">
      <x:c r="A2871" s="115" t="str">
        <x:v>EXT-MONDE-T058-V16</x:v>
      </x:c>
      <x:c r="B2871" s="115" t="str">
        <x:v>EXT-MONDE-T058</x:v>
      </x:c>
      <x:c r="C2871" s="115" t="str">
        <x:v>Énergie</x:v>
      </x:c>
      <x:c r="D2871" s="115" t="str">
        <x:v>Centrale hydroélectrique</x:v>
      </x:c>
      <x:c r="E2871" s="115" t="n">
        <x:v>16</x:v>
      </x:c>
      <x:c r="F2871" s="115" t="str">
        <x:v>Inspection physique</x:v>
      </x:c>
      <x:c r="G2871" s="115" t="str">
        <x:v>1 niveaux ; 22 pièces ; 167 segments de mur ; 0 transitions. Inspection physique ; architecture complète encore ouverte.</x:v>
      </x:c>
      <x:c r="H2871" s="115" t="str">
        <x:v>L 448 ; l 460 ; hauteur 9,2 m ; choix de composition auteur ; dimensions réelles à documenter</x:v>
      </x:c>
      <x:c r="I2871" s="115" t="str">
        <x:v>À équilibrer</x:v>
      </x:c>
      <x:c r="J2871" s="115" t="str">
        <x:v>Non</x:v>
      </x:c>
      <x:c r="K2871" s="115" t="str">
        <x:v>Pièces décrites, murs, portes, niveaux et mobilier inspectables à l’échelle. Volumes réservés, raccord au seed, butin, rencontres et services de campagne restent à terminer.</x:v>
      </x:c>
    </x:row>
    <x:row r="2872" ht="96" customHeight="1">
      <x:c r="A2872" s="115" t="str">
        <x:v>EXT-MONDE-T058-V17</x:v>
      </x:c>
      <x:c r="B2872" s="115" t="str">
        <x:v>EXT-MONDE-T058</x:v>
      </x:c>
      <x:c r="C2872" s="115" t="str">
        <x:v>Énergie</x:v>
      </x:c>
      <x:c r="D2872" s="115" t="str">
        <x:v>Centrale hydroélectrique</x:v>
      </x:c>
      <x:c r="E2872" s="115" t="n">
        <x:v>17</x:v>
      </x:c>
      <x:c r="F2872" s="115" t="str">
        <x:v>Inspection physique</x:v>
      </x:c>
      <x:c r="G2872" s="115" t="str">
        <x:v>1 niveaux ; 22 pièces ; 167 segments de mur ; 0 transitions. Inspection physique ; architecture complète encore ouverte.</x:v>
      </x:c>
      <x:c r="H2872" s="115" t="str">
        <x:v>L 448 ; l 460 ; hauteur 9,2 m ; choix de composition auteur ; dimensions réelles à documenter</x:v>
      </x:c>
      <x:c r="I2872" s="115" t="str">
        <x:v>À équilibrer</x:v>
      </x:c>
      <x:c r="J2872" s="115" t="str">
        <x:v>Non</x:v>
      </x:c>
      <x:c r="K2872" s="115" t="str">
        <x:v>Pièces décrites, murs, portes, niveaux et mobilier inspectables à l’échelle. Volumes réservés, raccord au seed, butin, rencontres et services de campagne restent à terminer.</x:v>
      </x:c>
    </x:row>
    <x:row r="2873" ht="96" customHeight="1">
      <x:c r="A2873" s="115" t="str">
        <x:v>EXT-MONDE-T058-V18</x:v>
      </x:c>
      <x:c r="B2873" s="115" t="str">
        <x:v>EXT-MONDE-T058</x:v>
      </x:c>
      <x:c r="C2873" s="115" t="str">
        <x:v>Énergie</x:v>
      </x:c>
      <x:c r="D2873" s="115" t="str">
        <x:v>Centrale hydroélectrique</x:v>
      </x:c>
      <x:c r="E2873" s="115" t="n">
        <x:v>18</x:v>
      </x:c>
      <x:c r="F2873" s="115" t="str">
        <x:v>Inspection physique</x:v>
      </x:c>
      <x:c r="G2873" s="115" t="str">
        <x:v>1 niveaux ; 22 pièces ; 167 segments de mur ; 0 transitions. Inspection physique ; architecture complète encore ouverte.</x:v>
      </x:c>
      <x:c r="H2873" s="115" t="str">
        <x:v>L 448 ; l 460 ; hauteur 9,2 m ; choix de composition auteur ; dimensions réelles à documenter</x:v>
      </x:c>
      <x:c r="I2873" s="115" t="str">
        <x:v>À équilibrer</x:v>
      </x:c>
      <x:c r="J2873" s="115" t="str">
        <x:v>Non</x:v>
      </x:c>
      <x:c r="K2873" s="115" t="str">
        <x:v>Pièces décrites, murs, portes, niveaux et mobilier inspectables à l’échelle. Volumes réservés, raccord au seed, butin, rencontres et services de campagne restent à terminer.</x:v>
      </x:c>
    </x:row>
    <x:row r="2874" ht="96" customHeight="1">
      <x:c r="A2874" s="115" t="str">
        <x:v>EXT-MONDE-T058-V19</x:v>
      </x:c>
      <x:c r="B2874" s="115" t="str">
        <x:v>EXT-MONDE-T058</x:v>
      </x:c>
      <x:c r="C2874" s="115" t="str">
        <x:v>Énergie</x:v>
      </x:c>
      <x:c r="D2874" s="115" t="str">
        <x:v>Centrale hydroélectrique</x:v>
      </x:c>
      <x:c r="E2874" s="115" t="n">
        <x:v>19</x:v>
      </x:c>
      <x:c r="F2874" s="115" t="str">
        <x:v>Inspection physique</x:v>
      </x:c>
      <x:c r="G2874" s="115" t="str">
        <x:v>1 niveaux ; 22 pièces ; 167 segments de mur ; 0 transitions. Inspection physique ; architecture complète encore ouverte.</x:v>
      </x:c>
      <x:c r="H2874" s="115" t="str">
        <x:v>L 448 ; l 460 ; hauteur 9,2 m ; choix de composition auteur ; dimensions réelles à documenter</x:v>
      </x:c>
      <x:c r="I2874" s="115" t="str">
        <x:v>À équilibrer</x:v>
      </x:c>
      <x:c r="J2874" s="115" t="str">
        <x:v>Non</x:v>
      </x:c>
      <x:c r="K2874" s="115" t="str">
        <x:v>Pièces décrites, murs, portes, niveaux et mobilier inspectables à l’échelle. Volumes réservés, raccord au seed, butin, rencontres et services de campagne restent à terminer.</x:v>
      </x:c>
    </x:row>
    <x:row r="2875" ht="96" customHeight="1">
      <x:c r="A2875" s="115" t="str">
        <x:v>EXT-MONDE-T058-V20</x:v>
      </x:c>
      <x:c r="B2875" s="115" t="str">
        <x:v>EXT-MONDE-T058</x:v>
      </x:c>
      <x:c r="C2875" s="115" t="str">
        <x:v>Énergie</x:v>
      </x:c>
      <x:c r="D2875" s="115" t="str">
        <x:v>Centrale hydroélectrique</x:v>
      </x:c>
      <x:c r="E2875" s="115" t="n">
        <x:v>20</x:v>
      </x:c>
      <x:c r="F2875" s="115" t="str">
        <x:v>Inspection physique</x:v>
      </x:c>
      <x:c r="G2875" s="115" t="str">
        <x:v>1 niveaux ; 22 pièces ; 167 segments de mur ; 0 transitions. Inspection physique ; architecture complète encore ouverte.</x:v>
      </x:c>
      <x:c r="H2875" s="115" t="str">
        <x:v>L 448 ; l 460 ; hauteur 9,2 m ; choix de composition auteur ; dimensions réelles à documenter</x:v>
      </x:c>
      <x:c r="I2875" s="115" t="str">
        <x:v>À équilibrer</x:v>
      </x:c>
      <x:c r="J2875" s="115" t="str">
        <x:v>Non</x:v>
      </x:c>
      <x:c r="K2875" s="115" t="str">
        <x:v>Pièces décrites, murs, portes, niveaux et mobilier inspectables à l’échelle. Volumes réservés, raccord au seed, butin, rencontres et services de campagne restent à terminer.</x:v>
      </x:c>
    </x:row>
    <x:row r="2876" ht="96" customHeight="1">
      <x:c r="A2876" s="115" t="str">
        <x:v>EXT-MONDE-T058-V21</x:v>
      </x:c>
      <x:c r="B2876" s="115" t="str">
        <x:v>EXT-MONDE-T058</x:v>
      </x:c>
      <x:c r="C2876" s="115" t="str">
        <x:v>Énergie</x:v>
      </x:c>
      <x:c r="D2876" s="115" t="str">
        <x:v>Centrale hydroélectrique</x:v>
      </x:c>
      <x:c r="E2876" s="115" t="n">
        <x:v>21</x:v>
      </x:c>
      <x:c r="F2876" s="115" t="str">
        <x:v>Inspection physique</x:v>
      </x:c>
      <x:c r="G2876" s="115" t="str">
        <x:v>1 niveaux ; 22 pièces ; 167 segments de mur ; 0 transitions. Inspection physique ; architecture complète encore ouverte.</x:v>
      </x:c>
      <x:c r="H2876" s="115" t="str">
        <x:v>L 466 ; l 480 ; hauteur 9,4 m ; choix de composition auteur ; dimensions réelles à documenter</x:v>
      </x:c>
      <x:c r="I2876" s="115" t="str">
        <x:v>À équilibrer</x:v>
      </x:c>
      <x:c r="J2876" s="115" t="str">
        <x:v>Non</x:v>
      </x:c>
      <x:c r="K2876" s="115" t="str">
        <x:v>Pièces décrites, murs, portes, niveaux et mobilier inspectables à l’échelle. Volumes réservés, raccord au seed, butin, rencontres et services de campagne restent à terminer.</x:v>
      </x:c>
    </x:row>
    <x:row r="2877" ht="96" customHeight="1">
      <x:c r="A2877" s="115" t="str">
        <x:v>EXT-MONDE-T058-V22</x:v>
      </x:c>
      <x:c r="B2877" s="115" t="str">
        <x:v>EXT-MONDE-T058</x:v>
      </x:c>
      <x:c r="C2877" s="115" t="str">
        <x:v>Énergie</x:v>
      </x:c>
      <x:c r="D2877" s="115" t="str">
        <x:v>Centrale hydroélectrique</x:v>
      </x:c>
      <x:c r="E2877" s="115" t="n">
        <x:v>22</x:v>
      </x:c>
      <x:c r="F2877" s="115" t="str">
        <x:v>Inspection physique</x:v>
      </x:c>
      <x:c r="G2877" s="115" t="str">
        <x:v>1 niveaux ; 22 pièces ; 167 segments de mur ; 0 transitions. Inspection physique ; architecture complète encore ouverte.</x:v>
      </x:c>
      <x:c r="H2877" s="115" t="str">
        <x:v>L 466 ; l 480 ; hauteur 9,4 m ; choix de composition auteur ; dimensions réelles à documenter</x:v>
      </x:c>
      <x:c r="I2877" s="115" t="str">
        <x:v>À équilibrer</x:v>
      </x:c>
      <x:c r="J2877" s="115" t="str">
        <x:v>Non</x:v>
      </x:c>
      <x:c r="K2877" s="115" t="str">
        <x:v>Pièces décrites, murs, portes, niveaux et mobilier inspectables à l’échelle. Volumes réservés, raccord au seed, butin, rencontres et services de campagne restent à terminer.</x:v>
      </x:c>
    </x:row>
    <x:row r="2878" ht="96" customHeight="1">
      <x:c r="A2878" s="115" t="str">
        <x:v>EXT-MONDE-T058-V23</x:v>
      </x:c>
      <x:c r="B2878" s="115" t="str">
        <x:v>EXT-MONDE-T058</x:v>
      </x:c>
      <x:c r="C2878" s="115" t="str">
        <x:v>Énergie</x:v>
      </x:c>
      <x:c r="D2878" s="115" t="str">
        <x:v>Centrale hydroélectrique</x:v>
      </x:c>
      <x:c r="E2878" s="115" t="n">
        <x:v>23</x:v>
      </x:c>
      <x:c r="F2878" s="115" t="str">
        <x:v>Inspection physique</x:v>
      </x:c>
      <x:c r="G2878" s="115" t="str">
        <x:v>1 niveaux ; 22 pièces ; 167 segments de mur ; 0 transitions. Inspection physique ; architecture complète encore ouverte.</x:v>
      </x:c>
      <x:c r="H2878" s="115" t="str">
        <x:v>L 466 ; l 480 ; hauteur 9,4 m ; choix de composition auteur ; dimensions réelles à documenter</x:v>
      </x:c>
      <x:c r="I2878" s="115" t="str">
        <x:v>À équilibrer</x:v>
      </x:c>
      <x:c r="J2878" s="115" t="str">
        <x:v>Non</x:v>
      </x:c>
      <x:c r="K2878" s="115" t="str">
        <x:v>Pièces décrites, murs, portes, niveaux et mobilier inspectables à l’échelle. Volumes réservés, raccord au seed, butin, rencontres et services de campagne restent à terminer.</x:v>
      </x:c>
    </x:row>
    <x:row r="2879" ht="96" customHeight="1">
      <x:c r="A2879" s="115" t="str">
        <x:v>EXT-MONDE-T058-V24</x:v>
      </x:c>
      <x:c r="B2879" s="115" t="str">
        <x:v>EXT-MONDE-T058</x:v>
      </x:c>
      <x:c r="C2879" s="115" t="str">
        <x:v>Énergie</x:v>
      </x:c>
      <x:c r="D2879" s="115" t="str">
        <x:v>Centrale hydroélectrique</x:v>
      </x:c>
      <x:c r="E2879" s="115" t="n">
        <x:v>24</x:v>
      </x:c>
      <x:c r="F2879" s="115" t="str">
        <x:v>Inspection physique</x:v>
      </x:c>
      <x:c r="G2879" s="115" t="str">
        <x:v>1 niveaux ; 22 pièces ; 167 segments de mur ; 0 transitions. Inspection physique ; architecture complète encore ouverte.</x:v>
      </x:c>
      <x:c r="H2879" s="115" t="str">
        <x:v>L 466 ; l 480 ; hauteur 9,4 m ; choix de composition auteur ; dimensions réelles à documenter</x:v>
      </x:c>
      <x:c r="I2879" s="115" t="str">
        <x:v>À équilibrer</x:v>
      </x:c>
      <x:c r="J2879" s="115" t="str">
        <x:v>Non</x:v>
      </x:c>
      <x:c r="K2879" s="115" t="str">
        <x:v>Pièces décrites, murs, portes, niveaux et mobilier inspectables à l’échelle. Volumes réservés, raccord au seed, butin, rencontres et services de campagne restent à terminer.</x:v>
      </x:c>
    </x:row>
    <x:row r="2880" ht="96" customHeight="1">
      <x:c r="A2880" s="115" t="str">
        <x:v>EXT-MONDE-T058-V25</x:v>
      </x:c>
      <x:c r="B2880" s="115" t="str">
        <x:v>EXT-MONDE-T058</x:v>
      </x:c>
      <x:c r="C2880" s="115" t="str">
        <x:v>Énergie</x:v>
      </x:c>
      <x:c r="D2880" s="115" t="str">
        <x:v>Centrale hydroélectrique</x:v>
      </x:c>
      <x:c r="E2880" s="115" t="n">
        <x:v>25</x:v>
      </x:c>
      <x:c r="F2880" s="115" t="str">
        <x:v>Inspection physique</x:v>
      </x:c>
      <x:c r="G2880" s="115" t="str">
        <x:v>1 niveaux ; 22 pièces ; 167 segments de mur ; 0 transitions. Inspection physique ; architecture complète encore ouverte.</x:v>
      </x:c>
      <x:c r="H2880" s="115" t="str">
        <x:v>L 466 ; l 480 ; hauteur 9,4 m ; choix de composition auteur ; dimensions réelles à documenter</x:v>
      </x:c>
      <x:c r="I2880" s="115" t="str">
        <x:v>À équilibrer</x:v>
      </x:c>
      <x:c r="J2880" s="115" t="str">
        <x:v>Non</x:v>
      </x:c>
      <x:c r="K2880" s="115" t="str">
        <x:v>Pièces décrites, murs, portes, niveaux et mobilier inspectables à l’échelle. Volumes réservés, raccord au seed, butin, rencontres et services de campagne restent à terminer.</x:v>
      </x:c>
    </x:row>
    <x:row r="2881" ht="96" customHeight="1">
      <x:c r="A2881" s="115" t="str">
        <x:v>EXT-MONDE-T058-V26</x:v>
      </x:c>
      <x:c r="B2881" s="115" t="str">
        <x:v>EXT-MONDE-T058</x:v>
      </x:c>
      <x:c r="C2881" s="115" t="str">
        <x:v>Énergie</x:v>
      </x:c>
      <x:c r="D2881" s="115" t="str">
        <x:v>Centrale hydroélectrique</x:v>
      </x:c>
      <x:c r="E2881" s="115" t="n">
        <x:v>26</x:v>
      </x:c>
      <x:c r="F2881" s="115" t="str">
        <x:v>Inspection physique</x:v>
      </x:c>
      <x:c r="G2881" s="115" t="str">
        <x:v>1 niveaux ; 22 pièces ; 167 segments de mur ; 0 transitions. Inspection physique ; architecture complète encore ouverte.</x:v>
      </x:c>
      <x:c r="H2881" s="115" t="str">
        <x:v>L 466 ; l 480 ; hauteur 9,4 m ; choix de composition auteur ; dimensions réelles à documenter</x:v>
      </x:c>
      <x:c r="I2881" s="115" t="str">
        <x:v>À équilibrer</x:v>
      </x:c>
      <x:c r="J2881" s="115" t="str">
        <x:v>Non</x:v>
      </x:c>
      <x:c r="K2881" s="115" t="str">
        <x:v>Pièces décrites, murs, portes, niveaux et mobilier inspectables à l’échelle. Volumes réservés, raccord au seed, butin, rencontres et services de campagne restent à terminer.</x:v>
      </x:c>
    </x:row>
    <x:row r="2882" ht="96" customHeight="1">
      <x:c r="A2882" s="115" t="str">
        <x:v>EXT-MONDE-T058-V27</x:v>
      </x:c>
      <x:c r="B2882" s="115" t="str">
        <x:v>EXT-MONDE-T058</x:v>
      </x:c>
      <x:c r="C2882" s="115" t="str">
        <x:v>Énergie</x:v>
      </x:c>
      <x:c r="D2882" s="115" t="str">
        <x:v>Centrale hydroélectrique</x:v>
      </x:c>
      <x:c r="E2882" s="115" t="n">
        <x:v>27</x:v>
      </x:c>
      <x:c r="F2882" s="115" t="str">
        <x:v>Inspection physique</x:v>
      </x:c>
      <x:c r="G2882" s="115" t="str">
        <x:v>1 niveaux ; 22 pièces ; 167 segments de mur ; 0 transitions. Inspection physique ; architecture complète encore ouverte.</x:v>
      </x:c>
      <x:c r="H2882" s="115" t="str">
        <x:v>L 466 ; l 480 ; hauteur 9,4 m ; choix de composition auteur ; dimensions réelles à documenter</x:v>
      </x:c>
      <x:c r="I2882" s="115" t="str">
        <x:v>À équilibrer</x:v>
      </x:c>
      <x:c r="J2882" s="115" t="str">
        <x:v>Non</x:v>
      </x:c>
      <x:c r="K2882" s="115" t="str">
        <x:v>Pièces décrites, murs, portes, niveaux et mobilier inspectables à l’échelle. Volumes réservés, raccord au seed, butin, rencontres et services de campagne restent à terminer.</x:v>
      </x:c>
    </x:row>
    <x:row r="2883" ht="96" customHeight="1">
      <x:c r="A2883" s="115" t="str">
        <x:v>EXT-MONDE-T058-V28</x:v>
      </x:c>
      <x:c r="B2883" s="115" t="str">
        <x:v>EXT-MONDE-T058</x:v>
      </x:c>
      <x:c r="C2883" s="115" t="str">
        <x:v>Énergie</x:v>
      </x:c>
      <x:c r="D2883" s="115" t="str">
        <x:v>Centrale hydroélectrique</x:v>
      </x:c>
      <x:c r="E2883" s="115" t="n">
        <x:v>28</x:v>
      </x:c>
      <x:c r="F2883" s="115" t="str">
        <x:v>Inspection physique</x:v>
      </x:c>
      <x:c r="G2883" s="115" t="str">
        <x:v>1 niveaux ; 22 pièces ; 167 segments de mur ; 0 transitions. Inspection physique ; architecture complète encore ouverte.</x:v>
      </x:c>
      <x:c r="H2883" s="115" t="str">
        <x:v>L 466 ; l 480 ; hauteur 9,4 m ; choix de composition auteur ; dimensions réelles à documenter</x:v>
      </x:c>
      <x:c r="I2883" s="115" t="str">
        <x:v>À équilibrer</x:v>
      </x:c>
      <x:c r="J2883" s="115" t="str">
        <x:v>Non</x:v>
      </x:c>
      <x:c r="K2883" s="115" t="str">
        <x:v>Pièces décrites, murs, portes, niveaux et mobilier inspectables à l’échelle. Volumes réservés, raccord au seed, butin, rencontres et services de campagne restent à terminer.</x:v>
      </x:c>
    </x:row>
    <x:row r="2884" ht="96" customHeight="1">
      <x:c r="A2884" s="115" t="str">
        <x:v>EXT-MONDE-T058-V29</x:v>
      </x:c>
      <x:c r="B2884" s="115" t="str">
        <x:v>EXT-MONDE-T058</x:v>
      </x:c>
      <x:c r="C2884" s="115" t="str">
        <x:v>Énergie</x:v>
      </x:c>
      <x:c r="D2884" s="115" t="str">
        <x:v>Centrale hydroélectrique</x:v>
      </x:c>
      <x:c r="E2884" s="115" t="n">
        <x:v>29</x:v>
      </x:c>
      <x:c r="F2884" s="115" t="str">
        <x:v>Inspection physique</x:v>
      </x:c>
      <x:c r="G2884" s="115" t="str">
        <x:v>1 niveaux ; 22 pièces ; 167 segments de mur ; 0 transitions. Inspection physique ; architecture complète encore ouverte.</x:v>
      </x:c>
      <x:c r="H2884" s="115" t="str">
        <x:v>L 466 ; l 480 ; hauteur 9,4 m ; choix de composition auteur ; dimensions réelles à documenter</x:v>
      </x:c>
      <x:c r="I2884" s="115" t="str">
        <x:v>À équilibrer</x:v>
      </x:c>
      <x:c r="J2884" s="115" t="str">
        <x:v>Non</x:v>
      </x:c>
      <x:c r="K2884" s="115" t="str">
        <x:v>Pièces décrites, murs, portes, niveaux et mobilier inspectables à l’échelle. Volumes réservés, raccord au seed, butin, rencontres et services de campagne restent à terminer.</x:v>
      </x:c>
    </x:row>
    <x:row r="2885" ht="96" customHeight="1">
      <x:c r="A2885" s="115" t="str">
        <x:v>EXT-MONDE-T058-V30</x:v>
      </x:c>
      <x:c r="B2885" s="115" t="str">
        <x:v>EXT-MONDE-T058</x:v>
      </x:c>
      <x:c r="C2885" s="115" t="str">
        <x:v>Énergie</x:v>
      </x:c>
      <x:c r="D2885" s="115" t="str">
        <x:v>Centrale hydroélectrique</x:v>
      </x:c>
      <x:c r="E2885" s="115" t="n">
        <x:v>30</x:v>
      </x:c>
      <x:c r="F2885" s="115" t="str">
        <x:v>Inspection physique</x:v>
      </x:c>
      <x:c r="G2885" s="115" t="str">
        <x:v>1 niveaux ; 22 pièces ; 167 segments de mur ; 0 transitions. Inspection physique ; architecture complète encore ouverte.</x:v>
      </x:c>
      <x:c r="H2885" s="115" t="str">
        <x:v>L 466 ; l 480 ; hauteur 9,4 m ; choix de composition auteur ; dimensions réelles à documenter</x:v>
      </x:c>
      <x:c r="I2885" s="115" t="str">
        <x:v>À équilibrer</x:v>
      </x:c>
      <x:c r="J2885" s="115" t="str">
        <x:v>Non</x:v>
      </x:c>
      <x:c r="K2885" s="115" t="str">
        <x:v>Pièces décrites, murs, portes, niveaux et mobilier inspectables à l’échelle. Volumes réservés, raccord au seed, butin, rencontres et services de campagne restent à terminer.</x:v>
      </x:c>
    </x:row>
    <x:row r="2886" ht="96" customHeight="1">
      <x:c r="A2886" s="115" t="str">
        <x:v>EXT-MONDE-T058-V31</x:v>
      </x:c>
      <x:c r="B2886" s="115" t="str">
        <x:v>EXT-MONDE-T058</x:v>
      </x:c>
      <x:c r="C2886" s="115" t="str">
        <x:v>Énergie</x:v>
      </x:c>
      <x:c r="D2886" s="115" t="str">
        <x:v>Centrale hydroélectrique</x:v>
      </x:c>
      <x:c r="E2886" s="115" t="n">
        <x:v>31</x:v>
      </x:c>
      <x:c r="F2886" s="115" t="str">
        <x:v>Inspection physique</x:v>
      </x:c>
      <x:c r="G2886" s="115" t="str">
        <x:v>1 niveaux ; 22 pièces ; 167 segments de mur ; 0 transitions. Inspection physique ; architecture complète encore ouverte.</x:v>
      </x:c>
      <x:c r="H2886" s="115" t="str">
        <x:v>L 484 ; l 500 ; hauteur 9,6 m ; choix de composition auteur ; dimensions réelles à documenter</x:v>
      </x:c>
      <x:c r="I2886" s="115" t="str">
        <x:v>À équilibrer</x:v>
      </x:c>
      <x:c r="J2886" s="115" t="str">
        <x:v>Non</x:v>
      </x:c>
      <x:c r="K2886" s="115" t="str">
        <x:v>Pièces décrites, murs, portes, niveaux et mobilier inspectables à l’échelle. Volumes réservés, raccord au seed, butin, rencontres et services de campagne restent à terminer.</x:v>
      </x:c>
    </x:row>
    <x:row r="2887" ht="96" customHeight="1">
      <x:c r="A2887" s="115" t="str">
        <x:v>EXT-MONDE-T058-V32</x:v>
      </x:c>
      <x:c r="B2887" s="115" t="str">
        <x:v>EXT-MONDE-T058</x:v>
      </x:c>
      <x:c r="C2887" s="115" t="str">
        <x:v>Énergie</x:v>
      </x:c>
      <x:c r="D2887" s="115" t="str">
        <x:v>Centrale hydroélectrique</x:v>
      </x:c>
      <x:c r="E2887" s="115" t="n">
        <x:v>32</x:v>
      </x:c>
      <x:c r="F2887" s="115" t="str">
        <x:v>Inspection physique</x:v>
      </x:c>
      <x:c r="G2887" s="115" t="str">
        <x:v>1 niveaux ; 22 pièces ; 167 segments de mur ; 0 transitions. Inspection physique ; architecture complète encore ouverte.</x:v>
      </x:c>
      <x:c r="H2887" s="115" t="str">
        <x:v>L 484 ; l 500 ; hauteur 9,6 m ; choix de composition auteur ; dimensions réelles à documenter</x:v>
      </x:c>
      <x:c r="I2887" s="115" t="str">
        <x:v>À équilibrer</x:v>
      </x:c>
      <x:c r="J2887" s="115" t="str">
        <x:v>Non</x:v>
      </x:c>
      <x:c r="K2887" s="115" t="str">
        <x:v>Pièces décrites, murs, portes, niveaux et mobilier inspectables à l’échelle. Volumes réservés, raccord au seed, butin, rencontres et services de campagne restent à terminer.</x:v>
      </x:c>
    </x:row>
    <x:row r="2888" ht="96" customHeight="1">
      <x:c r="A2888" s="115" t="str">
        <x:v>EXT-MONDE-T058-V33</x:v>
      </x:c>
      <x:c r="B2888" s="115" t="str">
        <x:v>EXT-MONDE-T058</x:v>
      </x:c>
      <x:c r="C2888" s="115" t="str">
        <x:v>Énergie</x:v>
      </x:c>
      <x:c r="D2888" s="115" t="str">
        <x:v>Centrale hydroélectrique</x:v>
      </x:c>
      <x:c r="E2888" s="115" t="n">
        <x:v>33</x:v>
      </x:c>
      <x:c r="F2888" s="115" t="str">
        <x:v>Inspection physique</x:v>
      </x:c>
      <x:c r="G2888" s="115" t="str">
        <x:v>1 niveaux ; 22 pièces ; 167 segments de mur ; 0 transitions. Inspection physique ; architecture complète encore ouverte.</x:v>
      </x:c>
      <x:c r="H2888" s="115" t="str">
        <x:v>L 484 ; l 500 ; hauteur 9,6 m ; choix de composition auteur ; dimensions réelles à documenter</x:v>
      </x:c>
      <x:c r="I2888" s="115" t="str">
        <x:v>À équilibrer</x:v>
      </x:c>
      <x:c r="J2888" s="115" t="str">
        <x:v>Non</x:v>
      </x:c>
      <x:c r="K2888" s="115" t="str">
        <x:v>Pièces décrites, murs, portes, niveaux et mobilier inspectables à l’échelle. Volumes réservés, raccord au seed, butin, rencontres et services de campagne restent à terminer.</x:v>
      </x:c>
    </x:row>
    <x:row r="2889" ht="96" customHeight="1">
      <x:c r="A2889" s="115" t="str">
        <x:v>EXT-MONDE-T058-V34</x:v>
      </x:c>
      <x:c r="B2889" s="115" t="str">
        <x:v>EXT-MONDE-T058</x:v>
      </x:c>
      <x:c r="C2889" s="115" t="str">
        <x:v>Énergie</x:v>
      </x:c>
      <x:c r="D2889" s="115" t="str">
        <x:v>Centrale hydroélectrique</x:v>
      </x:c>
      <x:c r="E2889" s="115" t="n">
        <x:v>34</x:v>
      </x:c>
      <x:c r="F2889" s="115" t="str">
        <x:v>Inspection physique</x:v>
      </x:c>
      <x:c r="G2889" s="115" t="str">
        <x:v>1 niveaux ; 22 pièces ; 167 segments de mur ; 0 transitions. Inspection physique ; architecture complète encore ouverte.</x:v>
      </x:c>
      <x:c r="H2889" s="115" t="str">
        <x:v>L 484 ; l 500 ; hauteur 9,6 m ; choix de composition auteur ; dimensions réelles à documenter</x:v>
      </x:c>
      <x:c r="I2889" s="115" t="str">
        <x:v>À équilibrer</x:v>
      </x:c>
      <x:c r="J2889" s="115" t="str">
        <x:v>Non</x:v>
      </x:c>
      <x:c r="K2889" s="115" t="str">
        <x:v>Pièces décrites, murs, portes, niveaux et mobilier inspectables à l’échelle. Volumes réservés, raccord au seed, butin, rencontres et services de campagne restent à terminer.</x:v>
      </x:c>
    </x:row>
    <x:row r="2890" ht="96" customHeight="1">
      <x:c r="A2890" s="115" t="str">
        <x:v>EXT-MONDE-T058-V35</x:v>
      </x:c>
      <x:c r="B2890" s="115" t="str">
        <x:v>EXT-MONDE-T058</x:v>
      </x:c>
      <x:c r="C2890" s="115" t="str">
        <x:v>Énergie</x:v>
      </x:c>
      <x:c r="D2890" s="115" t="str">
        <x:v>Centrale hydroélectrique</x:v>
      </x:c>
      <x:c r="E2890" s="115" t="n">
        <x:v>35</x:v>
      </x:c>
      <x:c r="F2890" s="115" t="str">
        <x:v>Inspection physique</x:v>
      </x:c>
      <x:c r="G2890" s="115" t="str">
        <x:v>1 niveaux ; 22 pièces ; 167 segments de mur ; 0 transitions. Inspection physique ; architecture complète encore ouverte.</x:v>
      </x:c>
      <x:c r="H2890" s="115" t="str">
        <x:v>L 484 ; l 500 ; hauteur 9,6 m ; choix de composition auteur ; dimensions réelles à documenter</x:v>
      </x:c>
      <x:c r="I2890" s="115" t="str">
        <x:v>À équilibrer</x:v>
      </x:c>
      <x:c r="J2890" s="115" t="str">
        <x:v>Non</x:v>
      </x:c>
      <x:c r="K2890" s="115" t="str">
        <x:v>Pièces décrites, murs, portes, niveaux et mobilier inspectables à l’échelle. Volumes réservés, raccord au seed, butin, rencontres et services de campagne restent à terminer.</x:v>
      </x:c>
    </x:row>
    <x:row r="2891" ht="96" customHeight="1">
      <x:c r="A2891" s="115" t="str">
        <x:v>EXT-MONDE-T058-V36</x:v>
      </x:c>
      <x:c r="B2891" s="115" t="str">
        <x:v>EXT-MONDE-T058</x:v>
      </x:c>
      <x:c r="C2891" s="115" t="str">
        <x:v>Énergie</x:v>
      </x:c>
      <x:c r="D2891" s="115" t="str">
        <x:v>Centrale hydroélectrique</x:v>
      </x:c>
      <x:c r="E2891" s="115" t="n">
        <x:v>36</x:v>
      </x:c>
      <x:c r="F2891" s="115" t="str">
        <x:v>Inspection physique</x:v>
      </x:c>
      <x:c r="G2891" s="115" t="str">
        <x:v>1 niveaux ; 22 pièces ; 167 segments de mur ; 0 transitions. Inspection physique ; architecture complète encore ouverte.</x:v>
      </x:c>
      <x:c r="H2891" s="115" t="str">
        <x:v>L 484 ; l 500 ; hauteur 9,6 m ; choix de composition auteur ; dimensions réelles à documenter</x:v>
      </x:c>
      <x:c r="I2891" s="115" t="str">
        <x:v>À équilibrer</x:v>
      </x:c>
      <x:c r="J2891" s="115" t="str">
        <x:v>Non</x:v>
      </x:c>
      <x:c r="K2891" s="115" t="str">
        <x:v>Pièces décrites, murs, portes, niveaux et mobilier inspectables à l’échelle. Volumes réservés, raccord au seed, butin, rencontres et services de campagne restent à terminer.</x:v>
      </x:c>
    </x:row>
    <x:row r="2892" ht="96" customHeight="1">
      <x:c r="A2892" s="115" t="str">
        <x:v>EXT-MONDE-T058-V37</x:v>
      </x:c>
      <x:c r="B2892" s="115" t="str">
        <x:v>EXT-MONDE-T058</x:v>
      </x:c>
      <x:c r="C2892" s="115" t="str">
        <x:v>Énergie</x:v>
      </x:c>
      <x:c r="D2892" s="115" t="str">
        <x:v>Centrale hydroélectrique</x:v>
      </x:c>
      <x:c r="E2892" s="115" t="n">
        <x:v>37</x:v>
      </x:c>
      <x:c r="F2892" s="115" t="str">
        <x:v>Inspection physique</x:v>
      </x:c>
      <x:c r="G2892" s="115" t="str">
        <x:v>1 niveaux ; 22 pièces ; 167 segments de mur ; 0 transitions. Inspection physique ; architecture complète encore ouverte.</x:v>
      </x:c>
      <x:c r="H2892" s="115" t="str">
        <x:v>L 484 ; l 500 ; hauteur 9,6 m ; choix de composition auteur ; dimensions réelles à documenter</x:v>
      </x:c>
      <x:c r="I2892" s="115" t="str">
        <x:v>À équilibrer</x:v>
      </x:c>
      <x:c r="J2892" s="115" t="str">
        <x:v>Non</x:v>
      </x:c>
      <x:c r="K2892" s="115" t="str">
        <x:v>Pièces décrites, murs, portes, niveaux et mobilier inspectables à l’échelle. Volumes réservés, raccord au seed, butin, rencontres et services de campagne restent à terminer.</x:v>
      </x:c>
    </x:row>
    <x:row r="2893" ht="96" customHeight="1">
      <x:c r="A2893" s="115" t="str">
        <x:v>EXT-MONDE-T058-V38</x:v>
      </x:c>
      <x:c r="B2893" s="115" t="str">
        <x:v>EXT-MONDE-T058</x:v>
      </x:c>
      <x:c r="C2893" s="115" t="str">
        <x:v>Énergie</x:v>
      </x:c>
      <x:c r="D2893" s="115" t="str">
        <x:v>Centrale hydroélectrique</x:v>
      </x:c>
      <x:c r="E2893" s="115" t="n">
        <x:v>38</x:v>
      </x:c>
      <x:c r="F2893" s="115" t="str">
        <x:v>Inspection physique</x:v>
      </x:c>
      <x:c r="G2893" s="115" t="str">
        <x:v>1 niveaux ; 22 pièces ; 167 segments de mur ; 0 transitions. Inspection physique ; architecture complète encore ouverte.</x:v>
      </x:c>
      <x:c r="H2893" s="115" t="str">
        <x:v>L 484 ; l 500 ; hauteur 9,6 m ; choix de composition auteur ; dimensions réelles à documenter</x:v>
      </x:c>
      <x:c r="I2893" s="115" t="str">
        <x:v>À équilibrer</x:v>
      </x:c>
      <x:c r="J2893" s="115" t="str">
        <x:v>Non</x:v>
      </x:c>
      <x:c r="K2893" s="115" t="str">
        <x:v>Pièces décrites, murs, portes, niveaux et mobilier inspectables à l’échelle. Volumes réservés, raccord au seed, butin, rencontres et services de campagne restent à terminer.</x:v>
      </x:c>
    </x:row>
    <x:row r="2894" ht="96" customHeight="1">
      <x:c r="A2894" s="115" t="str">
        <x:v>EXT-MONDE-T058-V39</x:v>
      </x:c>
      <x:c r="B2894" s="115" t="str">
        <x:v>EXT-MONDE-T058</x:v>
      </x:c>
      <x:c r="C2894" s="115" t="str">
        <x:v>Énergie</x:v>
      </x:c>
      <x:c r="D2894" s="115" t="str">
        <x:v>Centrale hydroélectrique</x:v>
      </x:c>
      <x:c r="E2894" s="115" t="n">
        <x:v>39</x:v>
      </x:c>
      <x:c r="F2894" s="115" t="str">
        <x:v>Inspection physique</x:v>
      </x:c>
      <x:c r="G2894" s="115" t="str">
        <x:v>1 niveaux ; 22 pièces ; 167 segments de mur ; 0 transitions. Inspection physique ; architecture complète encore ouverte.</x:v>
      </x:c>
      <x:c r="H2894" s="115" t="str">
        <x:v>L 484 ; l 500 ; hauteur 9,6 m ; choix de composition auteur ; dimensions réelles à documenter</x:v>
      </x:c>
      <x:c r="I2894" s="115" t="str">
        <x:v>À équilibrer</x:v>
      </x:c>
      <x:c r="J2894" s="115" t="str">
        <x:v>Non</x:v>
      </x:c>
      <x:c r="K2894" s="115" t="str">
        <x:v>Pièces décrites, murs, portes, niveaux et mobilier inspectables à l’échelle. Volumes réservés, raccord au seed, butin, rencontres et services de campagne restent à terminer.</x:v>
      </x:c>
    </x:row>
    <x:row r="2895" ht="96" customHeight="1">
      <x:c r="A2895" s="115" t="str">
        <x:v>EXT-MONDE-T058-V40</x:v>
      </x:c>
      <x:c r="B2895" s="115" t="str">
        <x:v>EXT-MONDE-T058</x:v>
      </x:c>
      <x:c r="C2895" s="115" t="str">
        <x:v>Énergie</x:v>
      </x:c>
      <x:c r="D2895" s="115" t="str">
        <x:v>Centrale hydroélectrique</x:v>
      </x:c>
      <x:c r="E2895" s="115" t="n">
        <x:v>40</x:v>
      </x:c>
      <x:c r="F2895" s="115" t="str">
        <x:v>Inspection physique</x:v>
      </x:c>
      <x:c r="G2895" s="115" t="str">
        <x:v>1 niveaux ; 22 pièces ; 167 segments de mur ; 0 transitions. Inspection physique ; architecture complète encore ouverte.</x:v>
      </x:c>
      <x:c r="H2895" s="115" t="str">
        <x:v>L 484 ; l 500 ; hauteur 9,6 m ; choix de composition auteur ; dimensions réelles à documenter</x:v>
      </x:c>
      <x:c r="I2895" s="115" t="str">
        <x:v>À équilibrer</x:v>
      </x:c>
      <x:c r="J2895" s="115" t="str">
        <x:v>Non</x:v>
      </x:c>
      <x:c r="K2895" s="115" t="str">
        <x:v>Pièces décrites, murs, portes, niveaux et mobilier inspectables à l’échelle. Volumes réservés, raccord au seed, butin, rencontres et services de campagne restent à terminer.</x:v>
      </x:c>
    </x:row>
    <x:row r="2896" ht="96" customHeight="1">
      <x:c r="A2896" s="115" t="str">
        <x:v>EXT-MONDE-T058-V41</x:v>
      </x:c>
      <x:c r="B2896" s="115" t="str">
        <x:v>EXT-MONDE-T058</x:v>
      </x:c>
      <x:c r="C2896" s="115" t="str">
        <x:v>Énergie</x:v>
      </x:c>
      <x:c r="D2896" s="115" t="str">
        <x:v>Centrale hydroélectrique</x:v>
      </x:c>
      <x:c r="E2896" s="115" t="n">
        <x:v>41</x:v>
      </x:c>
      <x:c r="F2896" s="115" t="str">
        <x:v>Inspection physique</x:v>
      </x:c>
      <x:c r="G2896" s="115" t="str">
        <x:v>1 niveaux ; 22 pièces ; 167 segments de mur ; 0 transitions. Inspection physique ; architecture complète encore ouverte.</x:v>
      </x:c>
      <x:c r="H2896" s="115" t="str">
        <x:v>L 502 ; l 520 ; hauteur 9,8 m ; choix de composition auteur ; dimensions réelles à documenter</x:v>
      </x:c>
      <x:c r="I2896" s="115" t="str">
        <x:v>À équilibrer</x:v>
      </x:c>
      <x:c r="J2896" s="115" t="str">
        <x:v>Non</x:v>
      </x:c>
      <x:c r="K2896" s="115" t="str">
        <x:v>Pièces décrites, murs, portes, niveaux et mobilier inspectables à l’échelle. Volumes réservés, raccord au seed, butin, rencontres et services de campagne restent à terminer.</x:v>
      </x:c>
    </x:row>
    <x:row r="2897" ht="96" customHeight="1">
      <x:c r="A2897" s="115" t="str">
        <x:v>EXT-MONDE-T058-V42</x:v>
      </x:c>
      <x:c r="B2897" s="115" t="str">
        <x:v>EXT-MONDE-T058</x:v>
      </x:c>
      <x:c r="C2897" s="115" t="str">
        <x:v>Énergie</x:v>
      </x:c>
      <x:c r="D2897" s="115" t="str">
        <x:v>Centrale hydroélectrique</x:v>
      </x:c>
      <x:c r="E2897" s="115" t="n">
        <x:v>42</x:v>
      </x:c>
      <x:c r="F2897" s="115" t="str">
        <x:v>Inspection physique</x:v>
      </x:c>
      <x:c r="G2897" s="115" t="str">
        <x:v>1 niveaux ; 22 pièces ; 167 segments de mur ; 0 transitions. Inspection physique ; architecture complète encore ouverte.</x:v>
      </x:c>
      <x:c r="H2897" s="115" t="str">
        <x:v>L 502 ; l 520 ; hauteur 9,8 m ; choix de composition auteur ; dimensions réelles à documenter</x:v>
      </x:c>
      <x:c r="I2897" s="115" t="str">
        <x:v>À équilibrer</x:v>
      </x:c>
      <x:c r="J2897" s="115" t="str">
        <x:v>Non</x:v>
      </x:c>
      <x:c r="K2897" s="115" t="str">
        <x:v>Pièces décrites, murs, portes, niveaux et mobilier inspectables à l’échelle. Volumes réservés, raccord au seed, butin, rencontres et services de campagne restent à terminer.</x:v>
      </x:c>
    </x:row>
    <x:row r="2898" ht="96" customHeight="1">
      <x:c r="A2898" s="115" t="str">
        <x:v>EXT-MONDE-T058-V43</x:v>
      </x:c>
      <x:c r="B2898" s="115" t="str">
        <x:v>EXT-MONDE-T058</x:v>
      </x:c>
      <x:c r="C2898" s="115" t="str">
        <x:v>Énergie</x:v>
      </x:c>
      <x:c r="D2898" s="115" t="str">
        <x:v>Centrale hydroélectrique</x:v>
      </x:c>
      <x:c r="E2898" s="115" t="n">
        <x:v>43</x:v>
      </x:c>
      <x:c r="F2898" s="115" t="str">
        <x:v>Inspection physique</x:v>
      </x:c>
      <x:c r="G2898" s="115" t="str">
        <x:v>1 niveaux ; 22 pièces ; 167 segments de mur ; 0 transitions. Inspection physique ; architecture complète encore ouverte.</x:v>
      </x:c>
      <x:c r="H2898" s="115" t="str">
        <x:v>L 502 ; l 520 ; hauteur 9,8 m ; choix de composition auteur ; dimensions réelles à documenter</x:v>
      </x:c>
      <x:c r="I2898" s="115" t="str">
        <x:v>À équilibrer</x:v>
      </x:c>
      <x:c r="J2898" s="115" t="str">
        <x:v>Non</x:v>
      </x:c>
      <x:c r="K2898" s="115" t="str">
        <x:v>Pièces décrites, murs, portes, niveaux et mobilier inspectables à l’échelle. Volumes réservés, raccord au seed, butin, rencontres et services de campagne restent à terminer.</x:v>
      </x:c>
    </x:row>
    <x:row r="2899" ht="96" customHeight="1">
      <x:c r="A2899" s="115" t="str">
        <x:v>EXT-MONDE-T058-V44</x:v>
      </x:c>
      <x:c r="B2899" s="115" t="str">
        <x:v>EXT-MONDE-T058</x:v>
      </x:c>
      <x:c r="C2899" s="115" t="str">
        <x:v>Énergie</x:v>
      </x:c>
      <x:c r="D2899" s="115" t="str">
        <x:v>Centrale hydroélectrique</x:v>
      </x:c>
      <x:c r="E2899" s="115" t="n">
        <x:v>44</x:v>
      </x:c>
      <x:c r="F2899" s="115" t="str">
        <x:v>Inspection physique</x:v>
      </x:c>
      <x:c r="G2899" s="115" t="str">
        <x:v>1 niveaux ; 22 pièces ; 167 segments de mur ; 0 transitions. Inspection physique ; architecture complète encore ouverte.</x:v>
      </x:c>
      <x:c r="H2899" s="115" t="str">
        <x:v>L 502 ; l 520 ; hauteur 9,8 m ; choix de composition auteur ; dimensions réelles à documenter</x:v>
      </x:c>
      <x:c r="I2899" s="115" t="str">
        <x:v>À équilibrer</x:v>
      </x:c>
      <x:c r="J2899" s="115" t="str">
        <x:v>Non</x:v>
      </x:c>
      <x:c r="K2899" s="115" t="str">
        <x:v>Pièces décrites, murs, portes, niveaux et mobilier inspectables à l’échelle. Volumes réservés, raccord au seed, butin, rencontres et services de campagne restent à terminer.</x:v>
      </x:c>
    </x:row>
    <x:row r="2900" ht="96" customHeight="1">
      <x:c r="A2900" s="115" t="str">
        <x:v>EXT-MONDE-T058-V45</x:v>
      </x:c>
      <x:c r="B2900" s="115" t="str">
        <x:v>EXT-MONDE-T058</x:v>
      </x:c>
      <x:c r="C2900" s="115" t="str">
        <x:v>Énergie</x:v>
      </x:c>
      <x:c r="D2900" s="115" t="str">
        <x:v>Centrale hydroélectrique</x:v>
      </x:c>
      <x:c r="E2900" s="115" t="n">
        <x:v>45</x:v>
      </x:c>
      <x:c r="F2900" s="115" t="str">
        <x:v>Inspection physique</x:v>
      </x:c>
      <x:c r="G2900" s="115" t="str">
        <x:v>1 niveaux ; 22 pièces ; 167 segments de mur ; 0 transitions. Inspection physique ; architecture complète encore ouverte.</x:v>
      </x:c>
      <x:c r="H2900" s="115" t="str">
        <x:v>L 502 ; l 520 ; hauteur 9,8 m ; choix de composition auteur ; dimensions réelles à documenter</x:v>
      </x:c>
      <x:c r="I2900" s="115" t="str">
        <x:v>À équilibrer</x:v>
      </x:c>
      <x:c r="J2900" s="115" t="str">
        <x:v>Non</x:v>
      </x:c>
      <x:c r="K2900" s="115" t="str">
        <x:v>Pièces décrites, murs, portes, niveaux et mobilier inspectables à l’échelle. Volumes réservés, raccord au seed, butin, rencontres et services de campagne restent à terminer.</x:v>
      </x:c>
    </x:row>
    <x:row r="2901" ht="96" customHeight="1">
      <x:c r="A2901" s="115" t="str">
        <x:v>EXT-MONDE-T058-V46</x:v>
      </x:c>
      <x:c r="B2901" s="115" t="str">
        <x:v>EXT-MONDE-T058</x:v>
      </x:c>
      <x:c r="C2901" s="115" t="str">
        <x:v>Énergie</x:v>
      </x:c>
      <x:c r="D2901" s="115" t="str">
        <x:v>Centrale hydroélectrique</x:v>
      </x:c>
      <x:c r="E2901" s="115" t="n">
        <x:v>46</x:v>
      </x:c>
      <x:c r="F2901" s="115" t="str">
        <x:v>Inspection physique</x:v>
      </x:c>
      <x:c r="G2901" s="115" t="str">
        <x:v>1 niveaux ; 22 pièces ; 167 segments de mur ; 0 transitions. Inspection physique ; architecture complète encore ouverte.</x:v>
      </x:c>
      <x:c r="H2901" s="115" t="str">
        <x:v>L 502 ; l 520 ; hauteur 9,8 m ; choix de composition auteur ; dimensions réelles à documenter</x:v>
      </x:c>
      <x:c r="I2901" s="115" t="str">
        <x:v>À équilibrer</x:v>
      </x:c>
      <x:c r="J2901" s="115" t="str">
        <x:v>Non</x:v>
      </x:c>
      <x:c r="K2901" s="115" t="str">
        <x:v>Pièces décrites, murs, portes, niveaux et mobilier inspectables à l’échelle. Volumes réservés, raccord au seed, butin, rencontres et services de campagne restent à terminer.</x:v>
      </x:c>
    </x:row>
    <x:row r="2902" ht="96" customHeight="1">
      <x:c r="A2902" s="115" t="str">
        <x:v>EXT-MONDE-T058-V47</x:v>
      </x:c>
      <x:c r="B2902" s="115" t="str">
        <x:v>EXT-MONDE-T058</x:v>
      </x:c>
      <x:c r="C2902" s="115" t="str">
        <x:v>Énergie</x:v>
      </x:c>
      <x:c r="D2902" s="115" t="str">
        <x:v>Centrale hydroélectrique</x:v>
      </x:c>
      <x:c r="E2902" s="115" t="n">
        <x:v>47</x:v>
      </x:c>
      <x:c r="F2902" s="115" t="str">
        <x:v>Inspection physique</x:v>
      </x:c>
      <x:c r="G2902" s="115" t="str">
        <x:v>1 niveaux ; 22 pièces ; 167 segments de mur ; 0 transitions. Inspection physique ; architecture complète encore ouverte.</x:v>
      </x:c>
      <x:c r="H2902" s="115" t="str">
        <x:v>L 502 ; l 520 ; hauteur 9,8 m ; choix de composition auteur ; dimensions réelles à documenter</x:v>
      </x:c>
      <x:c r="I2902" s="115" t="str">
        <x:v>À équilibrer</x:v>
      </x:c>
      <x:c r="J2902" s="115" t="str">
        <x:v>Non</x:v>
      </x:c>
      <x:c r="K2902" s="115" t="str">
        <x:v>Pièces décrites, murs, portes, niveaux et mobilier inspectables à l’échelle. Volumes réservés, raccord au seed, butin, rencontres et services de campagne restent à terminer.</x:v>
      </x:c>
    </x:row>
    <x:row r="2903" ht="96" customHeight="1">
      <x:c r="A2903" s="115" t="str">
        <x:v>EXT-MONDE-T058-V48</x:v>
      </x:c>
      <x:c r="B2903" s="115" t="str">
        <x:v>EXT-MONDE-T058</x:v>
      </x:c>
      <x:c r="C2903" s="115" t="str">
        <x:v>Énergie</x:v>
      </x:c>
      <x:c r="D2903" s="115" t="str">
        <x:v>Centrale hydroélectrique</x:v>
      </x:c>
      <x:c r="E2903" s="115" t="n">
        <x:v>48</x:v>
      </x:c>
      <x:c r="F2903" s="115" t="str">
        <x:v>Inspection physique</x:v>
      </x:c>
      <x:c r="G2903" s="115" t="str">
        <x:v>1 niveaux ; 22 pièces ; 167 segments de mur ; 0 transitions. Inspection physique ; architecture complète encore ouverte.</x:v>
      </x:c>
      <x:c r="H2903" s="115" t="str">
        <x:v>L 502 ; l 520 ; hauteur 9,8 m ; choix de composition auteur ; dimensions réelles à documenter</x:v>
      </x:c>
      <x:c r="I2903" s="115" t="str">
        <x:v>À équilibrer</x:v>
      </x:c>
      <x:c r="J2903" s="115" t="str">
        <x:v>Non</x:v>
      </x:c>
      <x:c r="K2903" s="115" t="str">
        <x:v>Pièces décrites, murs, portes, niveaux et mobilier inspectables à l’échelle. Volumes réservés, raccord au seed, butin, rencontres et services de campagne restent à terminer.</x:v>
      </x:c>
    </x:row>
    <x:row r="2904" ht="96" customHeight="1">
      <x:c r="A2904" s="115" t="str">
        <x:v>EXT-MONDE-T058-V49</x:v>
      </x:c>
      <x:c r="B2904" s="115" t="str">
        <x:v>EXT-MONDE-T058</x:v>
      </x:c>
      <x:c r="C2904" s="115" t="str">
        <x:v>Énergie</x:v>
      </x:c>
      <x:c r="D2904" s="115" t="str">
        <x:v>Centrale hydroélectrique</x:v>
      </x:c>
      <x:c r="E2904" s="115" t="n">
        <x:v>49</x:v>
      </x:c>
      <x:c r="F2904" s="115" t="str">
        <x:v>Inspection physique</x:v>
      </x:c>
      <x:c r="G2904" s="115" t="str">
        <x:v>1 niveaux ; 22 pièces ; 167 segments de mur ; 0 transitions. Inspection physique ; architecture complète encore ouverte.</x:v>
      </x:c>
      <x:c r="H2904" s="115" t="str">
        <x:v>L 502 ; l 520 ; hauteur 9,8 m ; choix de composition auteur ; dimensions réelles à documenter</x:v>
      </x:c>
      <x:c r="I2904" s="115" t="str">
        <x:v>À équilibrer</x:v>
      </x:c>
      <x:c r="J2904" s="115" t="str">
        <x:v>Non</x:v>
      </x:c>
      <x:c r="K2904" s="115" t="str">
        <x:v>Pièces décrites, murs, portes, niveaux et mobilier inspectables à l’échelle. Volumes réservés, raccord au seed, butin, rencontres et services de campagne restent à terminer.</x:v>
      </x:c>
    </x:row>
    <x:row r="2905" ht="96" customHeight="1">
      <x:c r="A2905" s="115" t="str">
        <x:v>EXT-MONDE-T058-V50</x:v>
      </x:c>
      <x:c r="B2905" s="115" t="str">
        <x:v>EXT-MONDE-T058</x:v>
      </x:c>
      <x:c r="C2905" s="115" t="str">
        <x:v>Énergie</x:v>
      </x:c>
      <x:c r="D2905" s="115" t="str">
        <x:v>Centrale hydroélectrique</x:v>
      </x:c>
      <x:c r="E2905" s="115" t="n">
        <x:v>50</x:v>
      </x:c>
      <x:c r="F2905" s="115" t="str">
        <x:v>Inspection physique</x:v>
      </x:c>
      <x:c r="G2905" s="115" t="str">
        <x:v>1 niveaux ; 22 pièces ; 167 segments de mur ; 0 transitions. Inspection physique ; architecture complète encore ouverte.</x:v>
      </x:c>
      <x:c r="H2905" s="115" t="str">
        <x:v>L 502 ; l 520 ; hauteur 9,8 m ; choix de composition auteur ; dimensions réelles à documenter</x:v>
      </x:c>
      <x:c r="I2905" s="115" t="str">
        <x:v>À équilibrer</x:v>
      </x:c>
      <x:c r="J2905" s="115" t="str">
        <x:v>Non</x:v>
      </x:c>
      <x:c r="K2905" s="115" t="str">
        <x:v>Pièces décrites, murs, portes, niveaux et mobilier inspectables à l’échelle. Volumes réservés, raccord au seed, butin, rencontres et services de campagne restent à terminer.</x:v>
      </x:c>
    </x:row>
    <x:row r="2906" ht="96" customHeight="1">
      <x:c r="A2906" s="115" t="str">
        <x:v>EXT-MONDE-T059-V01</x:v>
      </x:c>
      <x:c r="B2906" s="115" t="str">
        <x:v>EXT-MONDE-T059</x:v>
      </x:c>
      <x:c r="C2906" s="115" t="str">
        <x:v>Énergie</x:v>
      </x:c>
      <x:c r="D2906" s="115" t="str">
        <x:v>Poste électrique régional</x:v>
      </x:c>
      <x:c r="E2906" s="115" t="n">
        <x:v>1</x:v>
      </x:c>
      <x:c r="F2906" s="115" t="str">
        <x:v>Inspection physique</x:v>
      </x:c>
      <x:c r="G2906" s="115" t="str">
        <x:v>1 niveaux ; 22 pièces ; 167 segments de mur ; 0 transitions. Inspection physique ; architecture complète encore ouverte.</x:v>
      </x:c>
      <x:c r="H2906" s="115" t="str">
        <x:v>L 430 ; l 440 ; hauteur 6 m ; choix de composition auteur ; dimensions réelles à documenter</x:v>
      </x:c>
      <x:c r="I2906" s="115" t="str">
        <x:v>À équilibrer</x:v>
      </x:c>
      <x:c r="J2906" s="115" t="str">
        <x:v>Non</x:v>
      </x:c>
      <x:c r="K2906" s="115" t="str">
        <x:v>Pièces décrites, murs, portes, niveaux et mobilier inspectables à l’échelle. Volumes réservés, raccord au seed, butin, rencontres et services de campagne restent à terminer.</x:v>
      </x:c>
    </x:row>
    <x:row r="2907" ht="96" customHeight="1">
      <x:c r="A2907" s="115" t="str">
        <x:v>EXT-MONDE-T059-V02</x:v>
      </x:c>
      <x:c r="B2907" s="115" t="str">
        <x:v>EXT-MONDE-T059</x:v>
      </x:c>
      <x:c r="C2907" s="115" t="str">
        <x:v>Énergie</x:v>
      </x:c>
      <x:c r="D2907" s="115" t="str">
        <x:v>Poste électrique régional</x:v>
      </x:c>
      <x:c r="E2907" s="115" t="n">
        <x:v>2</x:v>
      </x:c>
      <x:c r="F2907" s="115" t="str">
        <x:v>Inspection physique</x:v>
      </x:c>
      <x:c r="G2907" s="115" t="str">
        <x:v>1 niveaux ; 22 pièces ; 167 segments de mur ; 0 transitions. Inspection physique ; architecture complète encore ouverte.</x:v>
      </x:c>
      <x:c r="H2907" s="115" t="str">
        <x:v>L 430 ; l 440 ; hauteur 6 m ; choix de composition auteur ; dimensions réelles à documenter</x:v>
      </x:c>
      <x:c r="I2907" s="115" t="str">
        <x:v>À équilibrer</x:v>
      </x:c>
      <x:c r="J2907" s="115" t="str">
        <x:v>Non</x:v>
      </x:c>
      <x:c r="K2907" s="115" t="str">
        <x:v>Pièces décrites, murs, portes, niveaux et mobilier inspectables à l’échelle. Volumes réservés, raccord au seed, butin, rencontres et services de campagne restent à terminer.</x:v>
      </x:c>
    </x:row>
    <x:row r="2908" ht="96" customHeight="1">
      <x:c r="A2908" s="115" t="str">
        <x:v>EXT-MONDE-T059-V03</x:v>
      </x:c>
      <x:c r="B2908" s="115" t="str">
        <x:v>EXT-MONDE-T059</x:v>
      </x:c>
      <x:c r="C2908" s="115" t="str">
        <x:v>Énergie</x:v>
      </x:c>
      <x:c r="D2908" s="115" t="str">
        <x:v>Poste électrique régional</x:v>
      </x:c>
      <x:c r="E2908" s="115" t="n">
        <x:v>3</x:v>
      </x:c>
      <x:c r="F2908" s="115" t="str">
        <x:v>Inspection physique</x:v>
      </x:c>
      <x:c r="G2908" s="115" t="str">
        <x:v>1 niveaux ; 22 pièces ; 167 segments de mur ; 0 transitions. Inspection physique ; architecture complète encore ouverte.</x:v>
      </x:c>
      <x:c r="H2908" s="115" t="str">
        <x:v>L 430 ; l 440 ; hauteur 6 m ; choix de composition auteur ; dimensions réelles à documenter</x:v>
      </x:c>
      <x:c r="I2908" s="115" t="str">
        <x:v>À équilibrer</x:v>
      </x:c>
      <x:c r="J2908" s="115" t="str">
        <x:v>Non</x:v>
      </x:c>
      <x:c r="K2908" s="115" t="str">
        <x:v>Pièces décrites, murs, portes, niveaux et mobilier inspectables à l’échelle. Volumes réservés, raccord au seed, butin, rencontres et services de campagne restent à terminer.</x:v>
      </x:c>
    </x:row>
    <x:row r="2909" ht="96" customHeight="1">
      <x:c r="A2909" s="115" t="str">
        <x:v>EXT-MONDE-T059-V04</x:v>
      </x:c>
      <x:c r="B2909" s="115" t="str">
        <x:v>EXT-MONDE-T059</x:v>
      </x:c>
      <x:c r="C2909" s="115" t="str">
        <x:v>Énergie</x:v>
      </x:c>
      <x:c r="D2909" s="115" t="str">
        <x:v>Poste électrique régional</x:v>
      </x:c>
      <x:c r="E2909" s="115" t="n">
        <x:v>4</x:v>
      </x:c>
      <x:c r="F2909" s="115" t="str">
        <x:v>Inspection physique</x:v>
      </x:c>
      <x:c r="G2909" s="115" t="str">
        <x:v>1 niveaux ; 22 pièces ; 167 segments de mur ; 0 transitions. Inspection physique ; architecture complète encore ouverte.</x:v>
      </x:c>
      <x:c r="H2909" s="115" t="str">
        <x:v>L 430 ; l 440 ; hauteur 6 m ; choix de composition auteur ; dimensions réelles à documenter</x:v>
      </x:c>
      <x:c r="I2909" s="115" t="str">
        <x:v>À équilibrer</x:v>
      </x:c>
      <x:c r="J2909" s="115" t="str">
        <x:v>Non</x:v>
      </x:c>
      <x:c r="K2909" s="115" t="str">
        <x:v>Pièces décrites, murs, portes, niveaux et mobilier inspectables à l’échelle. Volumes réservés, raccord au seed, butin, rencontres et services de campagne restent à terminer.</x:v>
      </x:c>
    </x:row>
    <x:row r="2910" ht="96" customHeight="1">
      <x:c r="A2910" s="115" t="str">
        <x:v>EXT-MONDE-T059-V05</x:v>
      </x:c>
      <x:c r="B2910" s="115" t="str">
        <x:v>EXT-MONDE-T059</x:v>
      </x:c>
      <x:c r="C2910" s="115" t="str">
        <x:v>Énergie</x:v>
      </x:c>
      <x:c r="D2910" s="115" t="str">
        <x:v>Poste électrique régional</x:v>
      </x:c>
      <x:c r="E2910" s="115" t="n">
        <x:v>5</x:v>
      </x:c>
      <x:c r="F2910" s="115" t="str">
        <x:v>Inspection physique</x:v>
      </x:c>
      <x:c r="G2910" s="115" t="str">
        <x:v>1 niveaux ; 22 pièces ; 167 segments de mur ; 0 transitions. Inspection physique ; architecture complète encore ouverte.</x:v>
      </x:c>
      <x:c r="H2910" s="115" t="str">
        <x:v>L 430 ; l 440 ; hauteur 6 m ; choix de composition auteur ; dimensions réelles à documenter</x:v>
      </x:c>
      <x:c r="I2910" s="115" t="str">
        <x:v>À équilibrer</x:v>
      </x:c>
      <x:c r="J2910" s="115" t="str">
        <x:v>Non</x:v>
      </x:c>
      <x:c r="K2910" s="115" t="str">
        <x:v>Pièces décrites, murs, portes, niveaux et mobilier inspectables à l’échelle. Volumes réservés, raccord au seed, butin, rencontres et services de campagne restent à terminer.</x:v>
      </x:c>
    </x:row>
    <x:row r="2911" ht="96" customHeight="1">
      <x:c r="A2911" s="115" t="str">
        <x:v>EXT-MONDE-T059-V06</x:v>
      </x:c>
      <x:c r="B2911" s="115" t="str">
        <x:v>EXT-MONDE-T059</x:v>
      </x:c>
      <x:c r="C2911" s="115" t="str">
        <x:v>Énergie</x:v>
      </x:c>
      <x:c r="D2911" s="115" t="str">
        <x:v>Poste électrique régional</x:v>
      </x:c>
      <x:c r="E2911" s="115" t="n">
        <x:v>6</x:v>
      </x:c>
      <x:c r="F2911" s="115" t="str">
        <x:v>Inspection physique</x:v>
      </x:c>
      <x:c r="G2911" s="115" t="str">
        <x:v>1 niveaux ; 22 pièces ; 167 segments de mur ; 0 transitions. Inspection physique ; architecture complète encore ouverte.</x:v>
      </x:c>
      <x:c r="H2911" s="115" t="str">
        <x:v>L 430 ; l 440 ; hauteur 6 m ; choix de composition auteur ; dimensions réelles à documenter</x:v>
      </x:c>
      <x:c r="I2911" s="115" t="str">
        <x:v>À équilibrer</x:v>
      </x:c>
      <x:c r="J2911" s="115" t="str">
        <x:v>Non</x:v>
      </x:c>
      <x:c r="K2911" s="115" t="str">
        <x:v>Pièces décrites, murs, portes, niveaux et mobilier inspectables à l’échelle. Volumes réservés, raccord au seed, butin, rencontres et services de campagne restent à terminer.</x:v>
      </x:c>
    </x:row>
    <x:row r="2912" ht="96" customHeight="1">
      <x:c r="A2912" s="115" t="str">
        <x:v>EXT-MONDE-T059-V07</x:v>
      </x:c>
      <x:c r="B2912" s="115" t="str">
        <x:v>EXT-MONDE-T059</x:v>
      </x:c>
      <x:c r="C2912" s="115" t="str">
        <x:v>Énergie</x:v>
      </x:c>
      <x:c r="D2912" s="115" t="str">
        <x:v>Poste électrique régional</x:v>
      </x:c>
      <x:c r="E2912" s="115" t="n">
        <x:v>7</x:v>
      </x:c>
      <x:c r="F2912" s="115" t="str">
        <x:v>Inspection physique</x:v>
      </x:c>
      <x:c r="G2912" s="115" t="str">
        <x:v>1 niveaux ; 22 pièces ; 167 segments de mur ; 0 transitions. Inspection physique ; architecture complète encore ouverte.</x:v>
      </x:c>
      <x:c r="H2912" s="115" t="str">
        <x:v>L 430 ; l 440 ; hauteur 6 m ; choix de composition auteur ; dimensions réelles à documenter</x:v>
      </x:c>
      <x:c r="I2912" s="115" t="str">
        <x:v>À équilibrer</x:v>
      </x:c>
      <x:c r="J2912" s="115" t="str">
        <x:v>Non</x:v>
      </x:c>
      <x:c r="K2912" s="115" t="str">
        <x:v>Pièces décrites, murs, portes, niveaux et mobilier inspectables à l’échelle. Volumes réservés, raccord au seed, butin, rencontres et services de campagne restent à terminer.</x:v>
      </x:c>
    </x:row>
    <x:row r="2913" ht="96" customHeight="1">
      <x:c r="A2913" s="115" t="str">
        <x:v>EXT-MONDE-T059-V08</x:v>
      </x:c>
      <x:c r="B2913" s="115" t="str">
        <x:v>EXT-MONDE-T059</x:v>
      </x:c>
      <x:c r="C2913" s="115" t="str">
        <x:v>Énergie</x:v>
      </x:c>
      <x:c r="D2913" s="115" t="str">
        <x:v>Poste électrique régional</x:v>
      </x:c>
      <x:c r="E2913" s="115" t="n">
        <x:v>8</x:v>
      </x:c>
      <x:c r="F2913" s="115" t="str">
        <x:v>Inspection physique</x:v>
      </x:c>
      <x:c r="G2913" s="115" t="str">
        <x:v>1 niveaux ; 22 pièces ; 167 segments de mur ; 0 transitions. Inspection physique ; architecture complète encore ouverte.</x:v>
      </x:c>
      <x:c r="H2913" s="115" t="str">
        <x:v>L 430 ; l 440 ; hauteur 6 m ; choix de composition auteur ; dimensions réelles à documenter</x:v>
      </x:c>
      <x:c r="I2913" s="115" t="str">
        <x:v>À équilibrer</x:v>
      </x:c>
      <x:c r="J2913" s="115" t="str">
        <x:v>Non</x:v>
      </x:c>
      <x:c r="K2913" s="115" t="str">
        <x:v>Pièces décrites, murs, portes, niveaux et mobilier inspectables à l’échelle. Volumes réservés, raccord au seed, butin, rencontres et services de campagne restent à terminer.</x:v>
      </x:c>
    </x:row>
    <x:row r="2914" ht="96" customHeight="1">
      <x:c r="A2914" s="115" t="str">
        <x:v>EXT-MONDE-T059-V09</x:v>
      </x:c>
      <x:c r="B2914" s="115" t="str">
        <x:v>EXT-MONDE-T059</x:v>
      </x:c>
      <x:c r="C2914" s="115" t="str">
        <x:v>Énergie</x:v>
      </x:c>
      <x:c r="D2914" s="115" t="str">
        <x:v>Poste électrique régional</x:v>
      </x:c>
      <x:c r="E2914" s="115" t="n">
        <x:v>9</x:v>
      </x:c>
      <x:c r="F2914" s="115" t="str">
        <x:v>Inspection physique</x:v>
      </x:c>
      <x:c r="G2914" s="115" t="str">
        <x:v>1 niveaux ; 22 pièces ; 167 segments de mur ; 0 transitions. Inspection physique ; architecture complète encore ouverte.</x:v>
      </x:c>
      <x:c r="H2914" s="115" t="str">
        <x:v>L 430 ; l 440 ; hauteur 6 m ; choix de composition auteur ; dimensions réelles à documenter</x:v>
      </x:c>
      <x:c r="I2914" s="115" t="str">
        <x:v>À équilibrer</x:v>
      </x:c>
      <x:c r="J2914" s="115" t="str">
        <x:v>Non</x:v>
      </x:c>
      <x:c r="K2914" s="115" t="str">
        <x:v>Pièces décrites, murs, portes, niveaux et mobilier inspectables à l’échelle. Volumes réservés, raccord au seed, butin, rencontres et services de campagne restent à terminer.</x:v>
      </x:c>
    </x:row>
    <x:row r="2915" ht="96" customHeight="1">
      <x:c r="A2915" s="115" t="str">
        <x:v>EXT-MONDE-T059-V10</x:v>
      </x:c>
      <x:c r="B2915" s="115" t="str">
        <x:v>EXT-MONDE-T059</x:v>
      </x:c>
      <x:c r="C2915" s="115" t="str">
        <x:v>Énergie</x:v>
      </x:c>
      <x:c r="D2915" s="115" t="str">
        <x:v>Poste électrique régional</x:v>
      </x:c>
      <x:c r="E2915" s="115" t="n">
        <x:v>10</x:v>
      </x:c>
      <x:c r="F2915" s="115" t="str">
        <x:v>Inspection physique</x:v>
      </x:c>
      <x:c r="G2915" s="115" t="str">
        <x:v>1 niveaux ; 22 pièces ; 167 segments de mur ; 0 transitions. Inspection physique ; architecture complète encore ouverte.</x:v>
      </x:c>
      <x:c r="H2915" s="115" t="str">
        <x:v>L 430 ; l 440 ; hauteur 6 m ; choix de composition auteur ; dimensions réelles à documenter</x:v>
      </x:c>
      <x:c r="I2915" s="115" t="str">
        <x:v>À équilibrer</x:v>
      </x:c>
      <x:c r="J2915" s="115" t="str">
        <x:v>Non</x:v>
      </x:c>
      <x:c r="K2915" s="115" t="str">
        <x:v>Pièces décrites, murs, portes, niveaux et mobilier inspectables à l’échelle. Volumes réservés, raccord au seed, butin, rencontres et services de campagne restent à terminer.</x:v>
      </x:c>
    </x:row>
    <x:row r="2916" ht="96" customHeight="1">
      <x:c r="A2916" s="115" t="str">
        <x:v>EXT-MONDE-T059-V11</x:v>
      </x:c>
      <x:c r="B2916" s="115" t="str">
        <x:v>EXT-MONDE-T059</x:v>
      </x:c>
      <x:c r="C2916" s="115" t="str">
        <x:v>Énergie</x:v>
      </x:c>
      <x:c r="D2916" s="115" t="str">
        <x:v>Poste électrique régional</x:v>
      </x:c>
      <x:c r="E2916" s="115" t="n">
        <x:v>11</x:v>
      </x:c>
      <x:c r="F2916" s="115" t="str">
        <x:v>Inspection physique</x:v>
      </x:c>
      <x:c r="G2916" s="115" t="str">
        <x:v>1 niveaux ; 22 pièces ; 167 segments de mur ; 0 transitions. Inspection physique ; architecture complète encore ouverte.</x:v>
      </x:c>
      <x:c r="H2916" s="115" t="str">
        <x:v>L 448 ; l 460 ; hauteur 6 m ; choix de composition auteur ; dimensions réelles à documenter</x:v>
      </x:c>
      <x:c r="I2916" s="115" t="str">
        <x:v>À équilibrer</x:v>
      </x:c>
      <x:c r="J2916" s="115" t="str">
        <x:v>Non</x:v>
      </x:c>
      <x:c r="K2916" s="115" t="str">
        <x:v>Pièces décrites, murs, portes, niveaux et mobilier inspectables à l’échelle. Volumes réservés, raccord au seed, butin, rencontres et services de campagne restent à terminer.</x:v>
      </x:c>
    </x:row>
    <x:row r="2917" ht="96" customHeight="1">
      <x:c r="A2917" s="115" t="str">
        <x:v>EXT-MONDE-T059-V12</x:v>
      </x:c>
      <x:c r="B2917" s="115" t="str">
        <x:v>EXT-MONDE-T059</x:v>
      </x:c>
      <x:c r="C2917" s="115" t="str">
        <x:v>Énergie</x:v>
      </x:c>
      <x:c r="D2917" s="115" t="str">
        <x:v>Poste électrique régional</x:v>
      </x:c>
      <x:c r="E2917" s="115" t="n">
        <x:v>12</x:v>
      </x:c>
      <x:c r="F2917" s="115" t="str">
        <x:v>Inspection physique</x:v>
      </x:c>
      <x:c r="G2917" s="115" t="str">
        <x:v>1 niveaux ; 22 pièces ; 167 segments de mur ; 0 transitions. Inspection physique ; architecture complète encore ouverte.</x:v>
      </x:c>
      <x:c r="H2917" s="115" t="str">
        <x:v>L 448 ; l 460 ; hauteur 6 m ; choix de composition auteur ; dimensions réelles à documenter</x:v>
      </x:c>
      <x:c r="I2917" s="115" t="str">
        <x:v>À équilibrer</x:v>
      </x:c>
      <x:c r="J2917" s="115" t="str">
        <x:v>Non</x:v>
      </x:c>
      <x:c r="K2917" s="115" t="str">
        <x:v>Pièces décrites, murs, portes, niveaux et mobilier inspectables à l’échelle. Volumes réservés, raccord au seed, butin, rencontres et services de campagne restent à terminer.</x:v>
      </x:c>
    </x:row>
    <x:row r="2918" ht="96" customHeight="1">
      <x:c r="A2918" s="115" t="str">
        <x:v>EXT-MONDE-T059-V13</x:v>
      </x:c>
      <x:c r="B2918" s="115" t="str">
        <x:v>EXT-MONDE-T059</x:v>
      </x:c>
      <x:c r="C2918" s="115" t="str">
        <x:v>Énergie</x:v>
      </x:c>
      <x:c r="D2918" s="115" t="str">
        <x:v>Poste électrique régional</x:v>
      </x:c>
      <x:c r="E2918" s="115" t="n">
        <x:v>13</x:v>
      </x:c>
      <x:c r="F2918" s="115" t="str">
        <x:v>Inspection physique</x:v>
      </x:c>
      <x:c r="G2918" s="115" t="str">
        <x:v>1 niveaux ; 22 pièces ; 167 segments de mur ; 0 transitions. Inspection physique ; architecture complète encore ouverte.</x:v>
      </x:c>
      <x:c r="H2918" s="115" t="str">
        <x:v>L 448 ; l 460 ; hauteur 6 m ; choix de composition auteur ; dimensions réelles à documenter</x:v>
      </x:c>
      <x:c r="I2918" s="115" t="str">
        <x:v>À équilibrer</x:v>
      </x:c>
      <x:c r="J2918" s="115" t="str">
        <x:v>Non</x:v>
      </x:c>
      <x:c r="K2918" s="115" t="str">
        <x:v>Pièces décrites, murs, portes, niveaux et mobilier inspectables à l’échelle. Volumes réservés, raccord au seed, butin, rencontres et services de campagne restent à terminer.</x:v>
      </x:c>
    </x:row>
    <x:row r="2919" ht="96" customHeight="1">
      <x:c r="A2919" s="115" t="str">
        <x:v>EXT-MONDE-T059-V14</x:v>
      </x:c>
      <x:c r="B2919" s="115" t="str">
        <x:v>EXT-MONDE-T059</x:v>
      </x:c>
      <x:c r="C2919" s="115" t="str">
        <x:v>Énergie</x:v>
      </x:c>
      <x:c r="D2919" s="115" t="str">
        <x:v>Poste électrique régional</x:v>
      </x:c>
      <x:c r="E2919" s="115" t="n">
        <x:v>14</x:v>
      </x:c>
      <x:c r="F2919" s="115" t="str">
        <x:v>Inspection physique</x:v>
      </x:c>
      <x:c r="G2919" s="115" t="str">
        <x:v>1 niveaux ; 22 pièces ; 167 segments de mur ; 0 transitions. Inspection physique ; architecture complète encore ouverte.</x:v>
      </x:c>
      <x:c r="H2919" s="115" t="str">
        <x:v>L 448 ; l 460 ; hauteur 6 m ; choix de composition auteur ; dimensions réelles à documenter</x:v>
      </x:c>
      <x:c r="I2919" s="115" t="str">
        <x:v>À équilibrer</x:v>
      </x:c>
      <x:c r="J2919" s="115" t="str">
        <x:v>Non</x:v>
      </x:c>
      <x:c r="K2919" s="115" t="str">
        <x:v>Pièces décrites, murs, portes, niveaux et mobilier inspectables à l’échelle. Volumes réservés, raccord au seed, butin, rencontres et services de campagne restent à terminer.</x:v>
      </x:c>
    </x:row>
    <x:row r="2920" ht="96" customHeight="1">
      <x:c r="A2920" s="115" t="str">
        <x:v>EXT-MONDE-T059-V15</x:v>
      </x:c>
      <x:c r="B2920" s="115" t="str">
        <x:v>EXT-MONDE-T059</x:v>
      </x:c>
      <x:c r="C2920" s="115" t="str">
        <x:v>Énergie</x:v>
      </x:c>
      <x:c r="D2920" s="115" t="str">
        <x:v>Poste électrique régional</x:v>
      </x:c>
      <x:c r="E2920" s="115" t="n">
        <x:v>15</x:v>
      </x:c>
      <x:c r="F2920" s="115" t="str">
        <x:v>Inspection physique</x:v>
      </x:c>
      <x:c r="G2920" s="115" t="str">
        <x:v>1 niveaux ; 22 pièces ; 167 segments de mur ; 0 transitions. Inspection physique ; architecture complète encore ouverte.</x:v>
      </x:c>
      <x:c r="H2920" s="115" t="str">
        <x:v>L 448 ; l 460 ; hauteur 6 m ; choix de composition auteur ; dimensions réelles à documenter</x:v>
      </x:c>
      <x:c r="I2920" s="115" t="str">
        <x:v>À équilibrer</x:v>
      </x:c>
      <x:c r="J2920" s="115" t="str">
        <x:v>Non</x:v>
      </x:c>
      <x:c r="K2920" s="115" t="str">
        <x:v>Pièces décrites, murs, portes, niveaux et mobilier inspectables à l’échelle. Volumes réservés, raccord au seed, butin, rencontres et services de campagne restent à terminer.</x:v>
      </x:c>
    </x:row>
    <x:row r="2921" ht="96" customHeight="1">
      <x:c r="A2921" s="115" t="str">
        <x:v>EXT-MONDE-T059-V16</x:v>
      </x:c>
      <x:c r="B2921" s="115" t="str">
        <x:v>EXT-MONDE-T059</x:v>
      </x:c>
      <x:c r="C2921" s="115" t="str">
        <x:v>Énergie</x:v>
      </x:c>
      <x:c r="D2921" s="115" t="str">
        <x:v>Poste électrique régional</x:v>
      </x:c>
      <x:c r="E2921" s="115" t="n">
        <x:v>16</x:v>
      </x:c>
      <x:c r="F2921" s="115" t="str">
        <x:v>Inspection physique</x:v>
      </x:c>
      <x:c r="G2921" s="115" t="str">
        <x:v>1 niveaux ; 22 pièces ; 167 segments de mur ; 0 transitions. Inspection physique ; architecture complète encore ouverte.</x:v>
      </x:c>
      <x:c r="H2921" s="115" t="str">
        <x:v>L 448 ; l 460 ; hauteur 6 m ; choix de composition auteur ; dimensions réelles à documenter</x:v>
      </x:c>
      <x:c r="I2921" s="115" t="str">
        <x:v>À équilibrer</x:v>
      </x:c>
      <x:c r="J2921" s="115" t="str">
        <x:v>Non</x:v>
      </x:c>
      <x:c r="K2921" s="115" t="str">
        <x:v>Pièces décrites, murs, portes, niveaux et mobilier inspectables à l’échelle. Volumes réservés, raccord au seed, butin, rencontres et services de campagne restent à terminer.</x:v>
      </x:c>
    </x:row>
    <x:row r="2922" ht="96" customHeight="1">
      <x:c r="A2922" s="115" t="str">
        <x:v>EXT-MONDE-T059-V17</x:v>
      </x:c>
      <x:c r="B2922" s="115" t="str">
        <x:v>EXT-MONDE-T059</x:v>
      </x:c>
      <x:c r="C2922" s="115" t="str">
        <x:v>Énergie</x:v>
      </x:c>
      <x:c r="D2922" s="115" t="str">
        <x:v>Poste électrique régional</x:v>
      </x:c>
      <x:c r="E2922" s="115" t="n">
        <x:v>17</x:v>
      </x:c>
      <x:c r="F2922" s="115" t="str">
        <x:v>Inspection physique</x:v>
      </x:c>
      <x:c r="G2922" s="115" t="str">
        <x:v>1 niveaux ; 22 pièces ; 167 segments de mur ; 0 transitions. Inspection physique ; architecture complète encore ouverte.</x:v>
      </x:c>
      <x:c r="H2922" s="115" t="str">
        <x:v>L 448 ; l 460 ; hauteur 6 m ; choix de composition auteur ; dimensions réelles à documenter</x:v>
      </x:c>
      <x:c r="I2922" s="115" t="str">
        <x:v>À équilibrer</x:v>
      </x:c>
      <x:c r="J2922" s="115" t="str">
        <x:v>Non</x:v>
      </x:c>
      <x:c r="K2922" s="115" t="str">
        <x:v>Pièces décrites, murs, portes, niveaux et mobilier inspectables à l’échelle. Volumes réservés, raccord au seed, butin, rencontres et services de campagne restent à terminer.</x:v>
      </x:c>
    </x:row>
    <x:row r="2923" ht="96" customHeight="1">
      <x:c r="A2923" s="115" t="str">
        <x:v>EXT-MONDE-T059-V18</x:v>
      </x:c>
      <x:c r="B2923" s="115" t="str">
        <x:v>EXT-MONDE-T059</x:v>
      </x:c>
      <x:c r="C2923" s="115" t="str">
        <x:v>Énergie</x:v>
      </x:c>
      <x:c r="D2923" s="115" t="str">
        <x:v>Poste électrique régional</x:v>
      </x:c>
      <x:c r="E2923" s="115" t="n">
        <x:v>18</x:v>
      </x:c>
      <x:c r="F2923" s="115" t="str">
        <x:v>Inspection physique</x:v>
      </x:c>
      <x:c r="G2923" s="115" t="str">
        <x:v>1 niveaux ; 22 pièces ; 167 segments de mur ; 0 transitions. Inspection physique ; architecture complète encore ouverte.</x:v>
      </x:c>
      <x:c r="H2923" s="115" t="str">
        <x:v>L 448 ; l 460 ; hauteur 6 m ; choix de composition auteur ; dimensions réelles à documenter</x:v>
      </x:c>
      <x:c r="I2923" s="115" t="str">
        <x:v>À équilibrer</x:v>
      </x:c>
      <x:c r="J2923" s="115" t="str">
        <x:v>Non</x:v>
      </x:c>
      <x:c r="K2923" s="115" t="str">
        <x:v>Pièces décrites, murs, portes, niveaux et mobilier inspectables à l’échelle. Volumes réservés, raccord au seed, butin, rencontres et services de campagne restent à terminer.</x:v>
      </x:c>
    </x:row>
    <x:row r="2924" ht="96" customHeight="1">
      <x:c r="A2924" s="115" t="str">
        <x:v>EXT-MONDE-T059-V19</x:v>
      </x:c>
      <x:c r="B2924" s="115" t="str">
        <x:v>EXT-MONDE-T059</x:v>
      </x:c>
      <x:c r="C2924" s="115" t="str">
        <x:v>Énergie</x:v>
      </x:c>
      <x:c r="D2924" s="115" t="str">
        <x:v>Poste électrique régional</x:v>
      </x:c>
      <x:c r="E2924" s="115" t="n">
        <x:v>19</x:v>
      </x:c>
      <x:c r="F2924" s="115" t="str">
        <x:v>Inspection physique</x:v>
      </x:c>
      <x:c r="G2924" s="115" t="str">
        <x:v>1 niveaux ; 22 pièces ; 167 segments de mur ; 0 transitions. Inspection physique ; architecture complète encore ouverte.</x:v>
      </x:c>
      <x:c r="H2924" s="115" t="str">
        <x:v>L 448 ; l 460 ; hauteur 6 m ; choix de composition auteur ; dimensions réelles à documenter</x:v>
      </x:c>
      <x:c r="I2924" s="115" t="str">
        <x:v>À équilibrer</x:v>
      </x:c>
      <x:c r="J2924" s="115" t="str">
        <x:v>Non</x:v>
      </x:c>
      <x:c r="K2924" s="115" t="str">
        <x:v>Pièces décrites, murs, portes, niveaux et mobilier inspectables à l’échelle. Volumes réservés, raccord au seed, butin, rencontres et services de campagne restent à terminer.</x:v>
      </x:c>
    </x:row>
    <x:row r="2925" ht="96" customHeight="1">
      <x:c r="A2925" s="115" t="str">
        <x:v>EXT-MONDE-T059-V20</x:v>
      </x:c>
      <x:c r="B2925" s="115" t="str">
        <x:v>EXT-MONDE-T059</x:v>
      </x:c>
      <x:c r="C2925" s="115" t="str">
        <x:v>Énergie</x:v>
      </x:c>
      <x:c r="D2925" s="115" t="str">
        <x:v>Poste électrique régional</x:v>
      </x:c>
      <x:c r="E2925" s="115" t="n">
        <x:v>20</x:v>
      </x:c>
      <x:c r="F2925" s="115" t="str">
        <x:v>Inspection physique</x:v>
      </x:c>
      <x:c r="G2925" s="115" t="str">
        <x:v>1 niveaux ; 22 pièces ; 167 segments de mur ; 0 transitions. Inspection physique ; architecture complète encore ouverte.</x:v>
      </x:c>
      <x:c r="H2925" s="115" t="str">
        <x:v>L 448 ; l 460 ; hauteur 6 m ; choix de composition auteur ; dimensions réelles à documenter</x:v>
      </x:c>
      <x:c r="I2925" s="115" t="str">
        <x:v>À équilibrer</x:v>
      </x:c>
      <x:c r="J2925" s="115" t="str">
        <x:v>Non</x:v>
      </x:c>
      <x:c r="K2925" s="115" t="str">
        <x:v>Pièces décrites, murs, portes, niveaux et mobilier inspectables à l’échelle. Volumes réservés, raccord au seed, butin, rencontres et services de campagne restent à terminer.</x:v>
      </x:c>
    </x:row>
    <x:row r="2926" ht="96" customHeight="1">
      <x:c r="A2926" s="115" t="str">
        <x:v>EXT-MONDE-T059-V21</x:v>
      </x:c>
      <x:c r="B2926" s="115" t="str">
        <x:v>EXT-MONDE-T059</x:v>
      </x:c>
      <x:c r="C2926" s="115" t="str">
        <x:v>Énergie</x:v>
      </x:c>
      <x:c r="D2926" s="115" t="str">
        <x:v>Poste électrique régional</x:v>
      </x:c>
      <x:c r="E2926" s="115" t="n">
        <x:v>21</x:v>
      </x:c>
      <x:c r="F2926" s="115" t="str">
        <x:v>Inspection physique</x:v>
      </x:c>
      <x:c r="G2926" s="115" t="str">
        <x:v>1 niveaux ; 22 pièces ; 167 segments de mur ; 0 transitions. Inspection physique ; architecture complète encore ouverte.</x:v>
      </x:c>
      <x:c r="H2926" s="115" t="str">
        <x:v>L 466 ; l 480 ; hauteur 6 m ; choix de composition auteur ; dimensions réelles à documenter</x:v>
      </x:c>
      <x:c r="I2926" s="115" t="str">
        <x:v>À équilibrer</x:v>
      </x:c>
      <x:c r="J2926" s="115" t="str">
        <x:v>Non</x:v>
      </x:c>
      <x:c r="K2926" s="115" t="str">
        <x:v>Pièces décrites, murs, portes, niveaux et mobilier inspectables à l’échelle. Volumes réservés, raccord au seed, butin, rencontres et services de campagne restent à terminer.</x:v>
      </x:c>
    </x:row>
    <x:row r="2927" ht="96" customHeight="1">
      <x:c r="A2927" s="115" t="str">
        <x:v>EXT-MONDE-T059-V22</x:v>
      </x:c>
      <x:c r="B2927" s="115" t="str">
        <x:v>EXT-MONDE-T059</x:v>
      </x:c>
      <x:c r="C2927" s="115" t="str">
        <x:v>Énergie</x:v>
      </x:c>
      <x:c r="D2927" s="115" t="str">
        <x:v>Poste électrique régional</x:v>
      </x:c>
      <x:c r="E2927" s="115" t="n">
        <x:v>22</x:v>
      </x:c>
      <x:c r="F2927" s="115" t="str">
        <x:v>Inspection physique</x:v>
      </x:c>
      <x:c r="G2927" s="115" t="str">
        <x:v>1 niveaux ; 22 pièces ; 167 segments de mur ; 0 transitions. Inspection physique ; architecture complète encore ouverte.</x:v>
      </x:c>
      <x:c r="H2927" s="115" t="str">
        <x:v>L 466 ; l 480 ; hauteur 6 m ; choix de composition auteur ; dimensions réelles à documenter</x:v>
      </x:c>
      <x:c r="I2927" s="115" t="str">
        <x:v>À équilibrer</x:v>
      </x:c>
      <x:c r="J2927" s="115" t="str">
        <x:v>Non</x:v>
      </x:c>
      <x:c r="K2927" s="115" t="str">
        <x:v>Pièces décrites, murs, portes, niveaux et mobilier inspectables à l’échelle. Volumes réservés, raccord au seed, butin, rencontres et services de campagne restent à terminer.</x:v>
      </x:c>
    </x:row>
    <x:row r="2928" ht="96" customHeight="1">
      <x:c r="A2928" s="115" t="str">
        <x:v>EXT-MONDE-T059-V23</x:v>
      </x:c>
      <x:c r="B2928" s="115" t="str">
        <x:v>EXT-MONDE-T059</x:v>
      </x:c>
      <x:c r="C2928" s="115" t="str">
        <x:v>Énergie</x:v>
      </x:c>
      <x:c r="D2928" s="115" t="str">
        <x:v>Poste électrique régional</x:v>
      </x:c>
      <x:c r="E2928" s="115" t="n">
        <x:v>23</x:v>
      </x:c>
      <x:c r="F2928" s="115" t="str">
        <x:v>Inspection physique</x:v>
      </x:c>
      <x:c r="G2928" s="115" t="str">
        <x:v>1 niveaux ; 22 pièces ; 167 segments de mur ; 0 transitions. Inspection physique ; architecture complète encore ouverte.</x:v>
      </x:c>
      <x:c r="H2928" s="115" t="str">
        <x:v>L 466 ; l 480 ; hauteur 6 m ; choix de composition auteur ; dimensions réelles à documenter</x:v>
      </x:c>
      <x:c r="I2928" s="115" t="str">
        <x:v>À équilibrer</x:v>
      </x:c>
      <x:c r="J2928" s="115" t="str">
        <x:v>Non</x:v>
      </x:c>
      <x:c r="K2928" s="115" t="str">
        <x:v>Pièces décrites, murs, portes, niveaux et mobilier inspectables à l’échelle. Volumes réservés, raccord au seed, butin, rencontres et services de campagne restent à terminer.</x:v>
      </x:c>
    </x:row>
    <x:row r="2929" ht="96" customHeight="1">
      <x:c r="A2929" s="115" t="str">
        <x:v>EXT-MONDE-T059-V24</x:v>
      </x:c>
      <x:c r="B2929" s="115" t="str">
        <x:v>EXT-MONDE-T059</x:v>
      </x:c>
      <x:c r="C2929" s="115" t="str">
        <x:v>Énergie</x:v>
      </x:c>
      <x:c r="D2929" s="115" t="str">
        <x:v>Poste électrique régional</x:v>
      </x:c>
      <x:c r="E2929" s="115" t="n">
        <x:v>24</x:v>
      </x:c>
      <x:c r="F2929" s="115" t="str">
        <x:v>Inspection physique</x:v>
      </x:c>
      <x:c r="G2929" s="115" t="str">
        <x:v>1 niveaux ; 22 pièces ; 167 segments de mur ; 0 transitions. Inspection physique ; architecture complète encore ouverte.</x:v>
      </x:c>
      <x:c r="H2929" s="115" t="str">
        <x:v>L 466 ; l 480 ; hauteur 6 m ; choix de composition auteur ; dimensions réelles à documenter</x:v>
      </x:c>
      <x:c r="I2929" s="115" t="str">
        <x:v>À équilibrer</x:v>
      </x:c>
      <x:c r="J2929" s="115" t="str">
        <x:v>Non</x:v>
      </x:c>
      <x:c r="K2929" s="115" t="str">
        <x:v>Pièces décrites, murs, portes, niveaux et mobilier inspectables à l’échelle. Volumes réservés, raccord au seed, butin, rencontres et services de campagne restent à terminer.</x:v>
      </x:c>
    </x:row>
    <x:row r="2930" ht="96" customHeight="1">
      <x:c r="A2930" s="115" t="str">
        <x:v>EXT-MONDE-T059-V25</x:v>
      </x:c>
      <x:c r="B2930" s="115" t="str">
        <x:v>EXT-MONDE-T059</x:v>
      </x:c>
      <x:c r="C2930" s="115" t="str">
        <x:v>Énergie</x:v>
      </x:c>
      <x:c r="D2930" s="115" t="str">
        <x:v>Poste électrique régional</x:v>
      </x:c>
      <x:c r="E2930" s="115" t="n">
        <x:v>25</x:v>
      </x:c>
      <x:c r="F2930" s="115" t="str">
        <x:v>Inspection physique</x:v>
      </x:c>
      <x:c r="G2930" s="115" t="str">
        <x:v>1 niveaux ; 22 pièces ; 167 segments de mur ; 0 transitions. Inspection physique ; architecture complète encore ouverte.</x:v>
      </x:c>
      <x:c r="H2930" s="115" t="str">
        <x:v>L 466 ; l 480 ; hauteur 6 m ; choix de composition auteur ; dimensions réelles à documenter</x:v>
      </x:c>
      <x:c r="I2930" s="115" t="str">
        <x:v>À équilibrer</x:v>
      </x:c>
      <x:c r="J2930" s="115" t="str">
        <x:v>Non</x:v>
      </x:c>
      <x:c r="K2930" s="115" t="str">
        <x:v>Pièces décrites, murs, portes, niveaux et mobilier inspectables à l’échelle. Volumes réservés, raccord au seed, butin, rencontres et services de campagne restent à terminer.</x:v>
      </x:c>
    </x:row>
    <x:row r="2931" ht="96" customHeight="1">
      <x:c r="A2931" s="115" t="str">
        <x:v>EXT-MONDE-T059-V26</x:v>
      </x:c>
      <x:c r="B2931" s="115" t="str">
        <x:v>EXT-MONDE-T059</x:v>
      </x:c>
      <x:c r="C2931" s="115" t="str">
        <x:v>Énergie</x:v>
      </x:c>
      <x:c r="D2931" s="115" t="str">
        <x:v>Poste électrique régional</x:v>
      </x:c>
      <x:c r="E2931" s="115" t="n">
        <x:v>26</x:v>
      </x:c>
      <x:c r="F2931" s="115" t="str">
        <x:v>Inspection physique</x:v>
      </x:c>
      <x:c r="G2931" s="115" t="str">
        <x:v>1 niveaux ; 22 pièces ; 167 segments de mur ; 0 transitions. Inspection physique ; architecture complète encore ouverte.</x:v>
      </x:c>
      <x:c r="H2931" s="115" t="str">
        <x:v>L 466 ; l 480 ; hauteur 6 m ; choix de composition auteur ; dimensions réelles à documenter</x:v>
      </x:c>
      <x:c r="I2931" s="115" t="str">
        <x:v>À équilibrer</x:v>
      </x:c>
      <x:c r="J2931" s="115" t="str">
        <x:v>Non</x:v>
      </x:c>
      <x:c r="K2931" s="115" t="str">
        <x:v>Pièces décrites, murs, portes, niveaux et mobilier inspectables à l’échelle. Volumes réservés, raccord au seed, butin, rencontres et services de campagne restent à terminer.</x:v>
      </x:c>
    </x:row>
    <x:row r="2932" ht="96" customHeight="1">
      <x:c r="A2932" s="115" t="str">
        <x:v>EXT-MONDE-T059-V27</x:v>
      </x:c>
      <x:c r="B2932" s="115" t="str">
        <x:v>EXT-MONDE-T059</x:v>
      </x:c>
      <x:c r="C2932" s="115" t="str">
        <x:v>Énergie</x:v>
      </x:c>
      <x:c r="D2932" s="115" t="str">
        <x:v>Poste électrique régional</x:v>
      </x:c>
      <x:c r="E2932" s="115" t="n">
        <x:v>27</x:v>
      </x:c>
      <x:c r="F2932" s="115" t="str">
        <x:v>Inspection physique</x:v>
      </x:c>
      <x:c r="G2932" s="115" t="str">
        <x:v>1 niveaux ; 22 pièces ; 167 segments de mur ; 0 transitions. Inspection physique ; architecture complète encore ouverte.</x:v>
      </x:c>
      <x:c r="H2932" s="115" t="str">
        <x:v>L 466 ; l 480 ; hauteur 6 m ; choix de composition auteur ; dimensions réelles à documenter</x:v>
      </x:c>
      <x:c r="I2932" s="115" t="str">
        <x:v>À équilibrer</x:v>
      </x:c>
      <x:c r="J2932" s="115" t="str">
        <x:v>Non</x:v>
      </x:c>
      <x:c r="K2932" s="115" t="str">
        <x:v>Pièces décrites, murs, portes, niveaux et mobilier inspectables à l’échelle. Volumes réservés, raccord au seed, butin, rencontres et services de campagne restent à terminer.</x:v>
      </x:c>
    </x:row>
    <x:row r="2933" ht="96" customHeight="1">
      <x:c r="A2933" s="115" t="str">
        <x:v>EXT-MONDE-T059-V28</x:v>
      </x:c>
      <x:c r="B2933" s="115" t="str">
        <x:v>EXT-MONDE-T059</x:v>
      </x:c>
      <x:c r="C2933" s="115" t="str">
        <x:v>Énergie</x:v>
      </x:c>
      <x:c r="D2933" s="115" t="str">
        <x:v>Poste électrique régional</x:v>
      </x:c>
      <x:c r="E2933" s="115" t="n">
        <x:v>28</x:v>
      </x:c>
      <x:c r="F2933" s="115" t="str">
        <x:v>Inspection physique</x:v>
      </x:c>
      <x:c r="G2933" s="115" t="str">
        <x:v>1 niveaux ; 22 pièces ; 167 segments de mur ; 0 transitions. Inspection physique ; architecture complète encore ouverte.</x:v>
      </x:c>
      <x:c r="H2933" s="115" t="str">
        <x:v>L 466 ; l 480 ; hauteur 6 m ; choix de composition auteur ; dimensions réelles à documenter</x:v>
      </x:c>
      <x:c r="I2933" s="115" t="str">
        <x:v>À équilibrer</x:v>
      </x:c>
      <x:c r="J2933" s="115" t="str">
        <x:v>Non</x:v>
      </x:c>
      <x:c r="K2933" s="115" t="str">
        <x:v>Pièces décrites, murs, portes, niveaux et mobilier inspectables à l’échelle. Volumes réservés, raccord au seed, butin, rencontres et services de campagne restent à terminer.</x:v>
      </x:c>
    </x:row>
    <x:row r="2934" ht="96" customHeight="1">
      <x:c r="A2934" s="115" t="str">
        <x:v>EXT-MONDE-T059-V29</x:v>
      </x:c>
      <x:c r="B2934" s="115" t="str">
        <x:v>EXT-MONDE-T059</x:v>
      </x:c>
      <x:c r="C2934" s="115" t="str">
        <x:v>Énergie</x:v>
      </x:c>
      <x:c r="D2934" s="115" t="str">
        <x:v>Poste électrique régional</x:v>
      </x:c>
      <x:c r="E2934" s="115" t="n">
        <x:v>29</x:v>
      </x:c>
      <x:c r="F2934" s="115" t="str">
        <x:v>Inspection physique</x:v>
      </x:c>
      <x:c r="G2934" s="115" t="str">
        <x:v>1 niveaux ; 22 pièces ; 167 segments de mur ; 0 transitions. Inspection physique ; architecture complète encore ouverte.</x:v>
      </x:c>
      <x:c r="H2934" s="115" t="str">
        <x:v>L 466 ; l 480 ; hauteur 6 m ; choix de composition auteur ; dimensions réelles à documenter</x:v>
      </x:c>
      <x:c r="I2934" s="115" t="str">
        <x:v>À équilibrer</x:v>
      </x:c>
      <x:c r="J2934" s="115" t="str">
        <x:v>Non</x:v>
      </x:c>
      <x:c r="K2934" s="115" t="str">
        <x:v>Pièces décrites, murs, portes, niveaux et mobilier inspectables à l’échelle. Volumes réservés, raccord au seed, butin, rencontres et services de campagne restent à terminer.</x:v>
      </x:c>
    </x:row>
    <x:row r="2935" ht="96" customHeight="1">
      <x:c r="A2935" s="115" t="str">
        <x:v>EXT-MONDE-T059-V30</x:v>
      </x:c>
      <x:c r="B2935" s="115" t="str">
        <x:v>EXT-MONDE-T059</x:v>
      </x:c>
      <x:c r="C2935" s="115" t="str">
        <x:v>Énergie</x:v>
      </x:c>
      <x:c r="D2935" s="115" t="str">
        <x:v>Poste électrique régional</x:v>
      </x:c>
      <x:c r="E2935" s="115" t="n">
        <x:v>30</x:v>
      </x:c>
      <x:c r="F2935" s="115" t="str">
        <x:v>Inspection physique</x:v>
      </x:c>
      <x:c r="G2935" s="115" t="str">
        <x:v>1 niveaux ; 22 pièces ; 167 segments de mur ; 0 transitions. Inspection physique ; architecture complète encore ouverte.</x:v>
      </x:c>
      <x:c r="H2935" s="115" t="str">
        <x:v>L 466 ; l 480 ; hauteur 6 m ; choix de composition auteur ; dimensions réelles à documenter</x:v>
      </x:c>
      <x:c r="I2935" s="115" t="str">
        <x:v>À équilibrer</x:v>
      </x:c>
      <x:c r="J2935" s="115" t="str">
        <x:v>Non</x:v>
      </x:c>
      <x:c r="K2935" s="115" t="str">
        <x:v>Pièces décrites, murs, portes, niveaux et mobilier inspectables à l’échelle. Volumes réservés, raccord au seed, butin, rencontres et services de campagne restent à terminer.</x:v>
      </x:c>
    </x:row>
    <x:row r="2936" ht="96" customHeight="1">
      <x:c r="A2936" s="115" t="str">
        <x:v>EXT-MONDE-T059-V31</x:v>
      </x:c>
      <x:c r="B2936" s="115" t="str">
        <x:v>EXT-MONDE-T059</x:v>
      </x:c>
      <x:c r="C2936" s="115" t="str">
        <x:v>Énergie</x:v>
      </x:c>
      <x:c r="D2936" s="115" t="str">
        <x:v>Poste électrique régional</x:v>
      </x:c>
      <x:c r="E2936" s="115" t="n">
        <x:v>31</x:v>
      </x:c>
      <x:c r="F2936" s="115" t="str">
        <x:v>Inspection physique</x:v>
      </x:c>
      <x:c r="G2936" s="115" t="str">
        <x:v>1 niveaux ; 22 pièces ; 167 segments de mur ; 0 transitions. Inspection physique ; architecture complète encore ouverte.</x:v>
      </x:c>
      <x:c r="H2936" s="115" t="str">
        <x:v>L 484 ; l 500 ; hauteur 6 m ; choix de composition auteur ; dimensions réelles à documenter</x:v>
      </x:c>
      <x:c r="I2936" s="115" t="str">
        <x:v>À équilibrer</x:v>
      </x:c>
      <x:c r="J2936" s="115" t="str">
        <x:v>Non</x:v>
      </x:c>
      <x:c r="K2936" s="115" t="str">
        <x:v>Pièces décrites, murs, portes, niveaux et mobilier inspectables à l’échelle. Volumes réservés, raccord au seed, butin, rencontres et services de campagne restent à terminer.</x:v>
      </x:c>
    </x:row>
    <x:row r="2937" ht="96" customHeight="1">
      <x:c r="A2937" s="115" t="str">
        <x:v>EXT-MONDE-T059-V32</x:v>
      </x:c>
      <x:c r="B2937" s="115" t="str">
        <x:v>EXT-MONDE-T059</x:v>
      </x:c>
      <x:c r="C2937" s="115" t="str">
        <x:v>Énergie</x:v>
      </x:c>
      <x:c r="D2937" s="115" t="str">
        <x:v>Poste électrique régional</x:v>
      </x:c>
      <x:c r="E2937" s="115" t="n">
        <x:v>32</x:v>
      </x:c>
      <x:c r="F2937" s="115" t="str">
        <x:v>Inspection physique</x:v>
      </x:c>
      <x:c r="G2937" s="115" t="str">
        <x:v>1 niveaux ; 22 pièces ; 167 segments de mur ; 0 transitions. Inspection physique ; architecture complète encore ouverte.</x:v>
      </x:c>
      <x:c r="H2937" s="115" t="str">
        <x:v>L 484 ; l 500 ; hauteur 6 m ; choix de composition auteur ; dimensions réelles à documenter</x:v>
      </x:c>
      <x:c r="I2937" s="115" t="str">
        <x:v>À équilibrer</x:v>
      </x:c>
      <x:c r="J2937" s="115" t="str">
        <x:v>Non</x:v>
      </x:c>
      <x:c r="K2937" s="115" t="str">
        <x:v>Pièces décrites, murs, portes, niveaux et mobilier inspectables à l’échelle. Volumes réservés, raccord au seed, butin, rencontres et services de campagne restent à terminer.</x:v>
      </x:c>
    </x:row>
    <x:row r="2938" ht="96" customHeight="1">
      <x:c r="A2938" s="115" t="str">
        <x:v>EXT-MONDE-T059-V33</x:v>
      </x:c>
      <x:c r="B2938" s="115" t="str">
        <x:v>EXT-MONDE-T059</x:v>
      </x:c>
      <x:c r="C2938" s="115" t="str">
        <x:v>Énergie</x:v>
      </x:c>
      <x:c r="D2938" s="115" t="str">
        <x:v>Poste électrique régional</x:v>
      </x:c>
      <x:c r="E2938" s="115" t="n">
        <x:v>33</x:v>
      </x:c>
      <x:c r="F2938" s="115" t="str">
        <x:v>Inspection physique</x:v>
      </x:c>
      <x:c r="G2938" s="115" t="str">
        <x:v>1 niveaux ; 22 pièces ; 167 segments de mur ; 0 transitions. Inspection physique ; architecture complète encore ouverte.</x:v>
      </x:c>
      <x:c r="H2938" s="115" t="str">
        <x:v>L 484 ; l 500 ; hauteur 6 m ; choix de composition auteur ; dimensions réelles à documenter</x:v>
      </x:c>
      <x:c r="I2938" s="115" t="str">
        <x:v>À équilibrer</x:v>
      </x:c>
      <x:c r="J2938" s="115" t="str">
        <x:v>Non</x:v>
      </x:c>
      <x:c r="K2938" s="115" t="str">
        <x:v>Pièces décrites, murs, portes, niveaux et mobilier inspectables à l’échelle. Volumes réservés, raccord au seed, butin, rencontres et services de campagne restent à terminer.</x:v>
      </x:c>
    </x:row>
    <x:row r="2939" ht="96" customHeight="1">
      <x:c r="A2939" s="115" t="str">
        <x:v>EXT-MONDE-T059-V34</x:v>
      </x:c>
      <x:c r="B2939" s="115" t="str">
        <x:v>EXT-MONDE-T059</x:v>
      </x:c>
      <x:c r="C2939" s="115" t="str">
        <x:v>Énergie</x:v>
      </x:c>
      <x:c r="D2939" s="115" t="str">
        <x:v>Poste électrique régional</x:v>
      </x:c>
      <x:c r="E2939" s="115" t="n">
        <x:v>34</x:v>
      </x:c>
      <x:c r="F2939" s="115" t="str">
        <x:v>Inspection physique</x:v>
      </x:c>
      <x:c r="G2939" s="115" t="str">
        <x:v>1 niveaux ; 22 pièces ; 167 segments de mur ; 0 transitions. Inspection physique ; architecture complète encore ouverte.</x:v>
      </x:c>
      <x:c r="H2939" s="115" t="str">
        <x:v>L 484 ; l 500 ; hauteur 6 m ; choix de composition auteur ; dimensions réelles à documenter</x:v>
      </x:c>
      <x:c r="I2939" s="115" t="str">
        <x:v>À équilibrer</x:v>
      </x:c>
      <x:c r="J2939" s="115" t="str">
        <x:v>Non</x:v>
      </x:c>
      <x:c r="K2939" s="115" t="str">
        <x:v>Pièces décrites, murs, portes, niveaux et mobilier inspectables à l’échelle. Volumes réservés, raccord au seed, butin, rencontres et services de campagne restent à terminer.</x:v>
      </x:c>
    </x:row>
    <x:row r="2940" ht="96" customHeight="1">
      <x:c r="A2940" s="115" t="str">
        <x:v>EXT-MONDE-T059-V35</x:v>
      </x:c>
      <x:c r="B2940" s="115" t="str">
        <x:v>EXT-MONDE-T059</x:v>
      </x:c>
      <x:c r="C2940" s="115" t="str">
        <x:v>Énergie</x:v>
      </x:c>
      <x:c r="D2940" s="115" t="str">
        <x:v>Poste électrique régional</x:v>
      </x:c>
      <x:c r="E2940" s="115" t="n">
        <x:v>35</x:v>
      </x:c>
      <x:c r="F2940" s="115" t="str">
        <x:v>Inspection physique</x:v>
      </x:c>
      <x:c r="G2940" s="115" t="str">
        <x:v>1 niveaux ; 22 pièces ; 167 segments de mur ; 0 transitions. Inspection physique ; architecture complète encore ouverte.</x:v>
      </x:c>
      <x:c r="H2940" s="115" t="str">
        <x:v>L 484 ; l 500 ; hauteur 6 m ; choix de composition auteur ; dimensions réelles à documenter</x:v>
      </x:c>
      <x:c r="I2940" s="115" t="str">
        <x:v>À équilibrer</x:v>
      </x:c>
      <x:c r="J2940" s="115" t="str">
        <x:v>Non</x:v>
      </x:c>
      <x:c r="K2940" s="115" t="str">
        <x:v>Pièces décrites, murs, portes, niveaux et mobilier inspectables à l’échelle. Volumes réservés, raccord au seed, butin, rencontres et services de campagne restent à terminer.</x:v>
      </x:c>
    </x:row>
    <x:row r="2941" ht="96" customHeight="1">
      <x:c r="A2941" s="115" t="str">
        <x:v>EXT-MONDE-T059-V36</x:v>
      </x:c>
      <x:c r="B2941" s="115" t="str">
        <x:v>EXT-MONDE-T059</x:v>
      </x:c>
      <x:c r="C2941" s="115" t="str">
        <x:v>Énergie</x:v>
      </x:c>
      <x:c r="D2941" s="115" t="str">
        <x:v>Poste électrique régional</x:v>
      </x:c>
      <x:c r="E2941" s="115" t="n">
        <x:v>36</x:v>
      </x:c>
      <x:c r="F2941" s="115" t="str">
        <x:v>Inspection physique</x:v>
      </x:c>
      <x:c r="G2941" s="115" t="str">
        <x:v>1 niveaux ; 22 pièces ; 167 segments de mur ; 0 transitions. Inspection physique ; architecture complète encore ouverte.</x:v>
      </x:c>
      <x:c r="H2941" s="115" t="str">
        <x:v>L 484 ; l 500 ; hauteur 6 m ; choix de composition auteur ; dimensions réelles à documenter</x:v>
      </x:c>
      <x:c r="I2941" s="115" t="str">
        <x:v>À équilibrer</x:v>
      </x:c>
      <x:c r="J2941" s="115" t="str">
        <x:v>Non</x:v>
      </x:c>
      <x:c r="K2941" s="115" t="str">
        <x:v>Pièces décrites, murs, portes, niveaux et mobilier inspectables à l’échelle. Volumes réservés, raccord au seed, butin, rencontres et services de campagne restent à terminer.</x:v>
      </x:c>
    </x:row>
    <x:row r="2942" ht="96" customHeight="1">
      <x:c r="A2942" s="115" t="str">
        <x:v>EXT-MONDE-T059-V37</x:v>
      </x:c>
      <x:c r="B2942" s="115" t="str">
        <x:v>EXT-MONDE-T059</x:v>
      </x:c>
      <x:c r="C2942" s="115" t="str">
        <x:v>Énergie</x:v>
      </x:c>
      <x:c r="D2942" s="115" t="str">
        <x:v>Poste électrique régional</x:v>
      </x:c>
      <x:c r="E2942" s="115" t="n">
        <x:v>37</x:v>
      </x:c>
      <x:c r="F2942" s="115" t="str">
        <x:v>Inspection physique</x:v>
      </x:c>
      <x:c r="G2942" s="115" t="str">
        <x:v>1 niveaux ; 22 pièces ; 167 segments de mur ; 0 transitions. Inspection physique ; architecture complète encore ouverte.</x:v>
      </x:c>
      <x:c r="H2942" s="115" t="str">
        <x:v>L 484 ; l 500 ; hauteur 6 m ; choix de composition auteur ; dimensions réelles à documenter</x:v>
      </x:c>
      <x:c r="I2942" s="115" t="str">
        <x:v>À équilibrer</x:v>
      </x:c>
      <x:c r="J2942" s="115" t="str">
        <x:v>Non</x:v>
      </x:c>
      <x:c r="K2942" s="115" t="str">
        <x:v>Pièces décrites, murs, portes, niveaux et mobilier inspectables à l’échelle. Volumes réservés, raccord au seed, butin, rencontres et services de campagne restent à terminer.</x:v>
      </x:c>
    </x:row>
    <x:row r="2943" ht="96" customHeight="1">
      <x:c r="A2943" s="115" t="str">
        <x:v>EXT-MONDE-T059-V38</x:v>
      </x:c>
      <x:c r="B2943" s="115" t="str">
        <x:v>EXT-MONDE-T059</x:v>
      </x:c>
      <x:c r="C2943" s="115" t="str">
        <x:v>Énergie</x:v>
      </x:c>
      <x:c r="D2943" s="115" t="str">
        <x:v>Poste électrique régional</x:v>
      </x:c>
      <x:c r="E2943" s="115" t="n">
        <x:v>38</x:v>
      </x:c>
      <x:c r="F2943" s="115" t="str">
        <x:v>Inspection physique</x:v>
      </x:c>
      <x:c r="G2943" s="115" t="str">
        <x:v>1 niveaux ; 22 pièces ; 167 segments de mur ; 0 transitions. Inspection physique ; architecture complète encore ouverte.</x:v>
      </x:c>
      <x:c r="H2943" s="115" t="str">
        <x:v>L 484 ; l 500 ; hauteur 6 m ; choix de composition auteur ; dimensions réelles à documenter</x:v>
      </x:c>
      <x:c r="I2943" s="115" t="str">
        <x:v>À équilibrer</x:v>
      </x:c>
      <x:c r="J2943" s="115" t="str">
        <x:v>Non</x:v>
      </x:c>
      <x:c r="K2943" s="115" t="str">
        <x:v>Pièces décrites, murs, portes, niveaux et mobilier inspectables à l’échelle. Volumes réservés, raccord au seed, butin, rencontres et services de campagne restent à terminer.</x:v>
      </x:c>
    </x:row>
    <x:row r="2944" ht="96" customHeight="1">
      <x:c r="A2944" s="115" t="str">
        <x:v>EXT-MONDE-T059-V39</x:v>
      </x:c>
      <x:c r="B2944" s="115" t="str">
        <x:v>EXT-MONDE-T059</x:v>
      </x:c>
      <x:c r="C2944" s="115" t="str">
        <x:v>Énergie</x:v>
      </x:c>
      <x:c r="D2944" s="115" t="str">
        <x:v>Poste électrique régional</x:v>
      </x:c>
      <x:c r="E2944" s="115" t="n">
        <x:v>39</x:v>
      </x:c>
      <x:c r="F2944" s="115" t="str">
        <x:v>Inspection physique</x:v>
      </x:c>
      <x:c r="G2944" s="115" t="str">
        <x:v>1 niveaux ; 22 pièces ; 167 segments de mur ; 0 transitions. Inspection physique ; architecture complète encore ouverte.</x:v>
      </x:c>
      <x:c r="H2944" s="115" t="str">
        <x:v>L 484 ; l 500 ; hauteur 6 m ; choix de composition auteur ; dimensions réelles à documenter</x:v>
      </x:c>
      <x:c r="I2944" s="115" t="str">
        <x:v>À équilibrer</x:v>
      </x:c>
      <x:c r="J2944" s="115" t="str">
        <x:v>Non</x:v>
      </x:c>
      <x:c r="K2944" s="115" t="str">
        <x:v>Pièces décrites, murs, portes, niveaux et mobilier inspectables à l’échelle. Volumes réservés, raccord au seed, butin, rencontres et services de campagne restent à terminer.</x:v>
      </x:c>
    </x:row>
    <x:row r="2945" ht="96" customHeight="1">
      <x:c r="A2945" s="115" t="str">
        <x:v>EXT-MONDE-T059-V40</x:v>
      </x:c>
      <x:c r="B2945" s="115" t="str">
        <x:v>EXT-MONDE-T059</x:v>
      </x:c>
      <x:c r="C2945" s="115" t="str">
        <x:v>Énergie</x:v>
      </x:c>
      <x:c r="D2945" s="115" t="str">
        <x:v>Poste électrique régional</x:v>
      </x:c>
      <x:c r="E2945" s="115" t="n">
        <x:v>40</x:v>
      </x:c>
      <x:c r="F2945" s="115" t="str">
        <x:v>Inspection physique</x:v>
      </x:c>
      <x:c r="G2945" s="115" t="str">
        <x:v>1 niveaux ; 22 pièces ; 167 segments de mur ; 0 transitions. Inspection physique ; architecture complète encore ouverte.</x:v>
      </x:c>
      <x:c r="H2945" s="115" t="str">
        <x:v>L 484 ; l 500 ; hauteur 6 m ; choix de composition auteur ; dimensions réelles à documenter</x:v>
      </x:c>
      <x:c r="I2945" s="115" t="str">
        <x:v>À équilibrer</x:v>
      </x:c>
      <x:c r="J2945" s="115" t="str">
        <x:v>Non</x:v>
      </x:c>
      <x:c r="K2945" s="115" t="str">
        <x:v>Pièces décrites, murs, portes, niveaux et mobilier inspectables à l’échelle. Volumes réservés, raccord au seed, butin, rencontres et services de campagne restent à terminer.</x:v>
      </x:c>
    </x:row>
    <x:row r="2946" ht="96" customHeight="1">
      <x:c r="A2946" s="115" t="str">
        <x:v>EXT-MONDE-T059-V41</x:v>
      </x:c>
      <x:c r="B2946" s="115" t="str">
        <x:v>EXT-MONDE-T059</x:v>
      </x:c>
      <x:c r="C2946" s="115" t="str">
        <x:v>Énergie</x:v>
      </x:c>
      <x:c r="D2946" s="115" t="str">
        <x:v>Poste électrique régional</x:v>
      </x:c>
      <x:c r="E2946" s="115" t="n">
        <x:v>41</x:v>
      </x:c>
      <x:c r="F2946" s="115" t="str">
        <x:v>Inspection physique</x:v>
      </x:c>
      <x:c r="G2946" s="115" t="str">
        <x:v>1 niveaux ; 22 pièces ; 167 segments de mur ; 0 transitions. Inspection physique ; architecture complète encore ouverte.</x:v>
      </x:c>
      <x:c r="H2946" s="115" t="str">
        <x:v>L 502 ; l 520 ; hauteur 6 m ; choix de composition auteur ; dimensions réelles à documenter</x:v>
      </x:c>
      <x:c r="I2946" s="115" t="str">
        <x:v>À équilibrer</x:v>
      </x:c>
      <x:c r="J2946" s="115" t="str">
        <x:v>Non</x:v>
      </x:c>
      <x:c r="K2946" s="115" t="str">
        <x:v>Pièces décrites, murs, portes, niveaux et mobilier inspectables à l’échelle. Volumes réservés, raccord au seed, butin, rencontres et services de campagne restent à terminer.</x:v>
      </x:c>
    </x:row>
    <x:row r="2947" ht="96" customHeight="1">
      <x:c r="A2947" s="115" t="str">
        <x:v>EXT-MONDE-T059-V42</x:v>
      </x:c>
      <x:c r="B2947" s="115" t="str">
        <x:v>EXT-MONDE-T059</x:v>
      </x:c>
      <x:c r="C2947" s="115" t="str">
        <x:v>Énergie</x:v>
      </x:c>
      <x:c r="D2947" s="115" t="str">
        <x:v>Poste électrique régional</x:v>
      </x:c>
      <x:c r="E2947" s="115" t="n">
        <x:v>42</x:v>
      </x:c>
      <x:c r="F2947" s="115" t="str">
        <x:v>Inspection physique</x:v>
      </x:c>
      <x:c r="G2947" s="115" t="str">
        <x:v>1 niveaux ; 22 pièces ; 167 segments de mur ; 0 transitions. Inspection physique ; architecture complète encore ouverte.</x:v>
      </x:c>
      <x:c r="H2947" s="115" t="str">
        <x:v>L 502 ; l 520 ; hauteur 6 m ; choix de composition auteur ; dimensions réelles à documenter</x:v>
      </x:c>
      <x:c r="I2947" s="115" t="str">
        <x:v>À équilibrer</x:v>
      </x:c>
      <x:c r="J2947" s="115" t="str">
        <x:v>Non</x:v>
      </x:c>
      <x:c r="K2947" s="115" t="str">
        <x:v>Pièces décrites, murs, portes, niveaux et mobilier inspectables à l’échelle. Volumes réservés, raccord au seed, butin, rencontres et services de campagne restent à terminer.</x:v>
      </x:c>
    </x:row>
    <x:row r="2948" ht="96" customHeight="1">
      <x:c r="A2948" s="115" t="str">
        <x:v>EXT-MONDE-T059-V43</x:v>
      </x:c>
      <x:c r="B2948" s="115" t="str">
        <x:v>EXT-MONDE-T059</x:v>
      </x:c>
      <x:c r="C2948" s="115" t="str">
        <x:v>Énergie</x:v>
      </x:c>
      <x:c r="D2948" s="115" t="str">
        <x:v>Poste électrique régional</x:v>
      </x:c>
      <x:c r="E2948" s="115" t="n">
        <x:v>43</x:v>
      </x:c>
      <x:c r="F2948" s="115" t="str">
        <x:v>Inspection physique</x:v>
      </x:c>
      <x:c r="G2948" s="115" t="str">
        <x:v>1 niveaux ; 22 pièces ; 167 segments de mur ; 0 transitions. Inspection physique ; architecture complète encore ouverte.</x:v>
      </x:c>
      <x:c r="H2948" s="115" t="str">
        <x:v>L 502 ; l 520 ; hauteur 6 m ; choix de composition auteur ; dimensions réelles à documenter</x:v>
      </x:c>
      <x:c r="I2948" s="115" t="str">
        <x:v>À équilibrer</x:v>
      </x:c>
      <x:c r="J2948" s="115" t="str">
        <x:v>Non</x:v>
      </x:c>
      <x:c r="K2948" s="115" t="str">
        <x:v>Pièces décrites, murs, portes, niveaux et mobilier inspectables à l’échelle. Volumes réservés, raccord au seed, butin, rencontres et services de campagne restent à terminer.</x:v>
      </x:c>
    </x:row>
    <x:row r="2949" ht="96" customHeight="1">
      <x:c r="A2949" s="115" t="str">
        <x:v>EXT-MONDE-T059-V44</x:v>
      </x:c>
      <x:c r="B2949" s="115" t="str">
        <x:v>EXT-MONDE-T059</x:v>
      </x:c>
      <x:c r="C2949" s="115" t="str">
        <x:v>Énergie</x:v>
      </x:c>
      <x:c r="D2949" s="115" t="str">
        <x:v>Poste électrique régional</x:v>
      </x:c>
      <x:c r="E2949" s="115" t="n">
        <x:v>44</x:v>
      </x:c>
      <x:c r="F2949" s="115" t="str">
        <x:v>Inspection physique</x:v>
      </x:c>
      <x:c r="G2949" s="115" t="str">
        <x:v>1 niveaux ; 22 pièces ; 167 segments de mur ; 0 transitions. Inspection physique ; architecture complète encore ouverte.</x:v>
      </x:c>
      <x:c r="H2949" s="115" t="str">
        <x:v>L 502 ; l 520 ; hauteur 6 m ; choix de composition auteur ; dimensions réelles à documenter</x:v>
      </x:c>
      <x:c r="I2949" s="115" t="str">
        <x:v>À équilibrer</x:v>
      </x:c>
      <x:c r="J2949" s="115" t="str">
        <x:v>Non</x:v>
      </x:c>
      <x:c r="K2949" s="115" t="str">
        <x:v>Pièces décrites, murs, portes, niveaux et mobilier inspectables à l’échelle. Volumes réservés, raccord au seed, butin, rencontres et services de campagne restent à terminer.</x:v>
      </x:c>
    </x:row>
    <x:row r="2950" ht="96" customHeight="1">
      <x:c r="A2950" s="115" t="str">
        <x:v>EXT-MONDE-T059-V45</x:v>
      </x:c>
      <x:c r="B2950" s="115" t="str">
        <x:v>EXT-MONDE-T059</x:v>
      </x:c>
      <x:c r="C2950" s="115" t="str">
        <x:v>Énergie</x:v>
      </x:c>
      <x:c r="D2950" s="115" t="str">
        <x:v>Poste électrique régional</x:v>
      </x:c>
      <x:c r="E2950" s="115" t="n">
        <x:v>45</x:v>
      </x:c>
      <x:c r="F2950" s="115" t="str">
        <x:v>Inspection physique</x:v>
      </x:c>
      <x:c r="G2950" s="115" t="str">
        <x:v>1 niveaux ; 22 pièces ; 167 segments de mur ; 0 transitions. Inspection physique ; architecture complète encore ouverte.</x:v>
      </x:c>
      <x:c r="H2950" s="115" t="str">
        <x:v>L 502 ; l 520 ; hauteur 6 m ; choix de composition auteur ; dimensions réelles à documenter</x:v>
      </x:c>
      <x:c r="I2950" s="115" t="str">
        <x:v>À équilibrer</x:v>
      </x:c>
      <x:c r="J2950" s="115" t="str">
        <x:v>Non</x:v>
      </x:c>
      <x:c r="K2950" s="115" t="str">
        <x:v>Pièces décrites, murs, portes, niveaux et mobilier inspectables à l’échelle. Volumes réservés, raccord au seed, butin, rencontres et services de campagne restent à terminer.</x:v>
      </x:c>
    </x:row>
    <x:row r="2951" ht="96" customHeight="1">
      <x:c r="A2951" s="115" t="str">
        <x:v>EXT-MONDE-T059-V46</x:v>
      </x:c>
      <x:c r="B2951" s="115" t="str">
        <x:v>EXT-MONDE-T059</x:v>
      </x:c>
      <x:c r="C2951" s="115" t="str">
        <x:v>Énergie</x:v>
      </x:c>
      <x:c r="D2951" s="115" t="str">
        <x:v>Poste électrique régional</x:v>
      </x:c>
      <x:c r="E2951" s="115" t="n">
        <x:v>46</x:v>
      </x:c>
      <x:c r="F2951" s="115" t="str">
        <x:v>Inspection physique</x:v>
      </x:c>
      <x:c r="G2951" s="115" t="str">
        <x:v>1 niveaux ; 22 pièces ; 167 segments de mur ; 0 transitions. Inspection physique ; architecture complète encore ouverte.</x:v>
      </x:c>
      <x:c r="H2951" s="115" t="str">
        <x:v>L 502 ; l 520 ; hauteur 6 m ; choix de composition auteur ; dimensions réelles à documenter</x:v>
      </x:c>
      <x:c r="I2951" s="115" t="str">
        <x:v>À équilibrer</x:v>
      </x:c>
      <x:c r="J2951" s="115" t="str">
        <x:v>Non</x:v>
      </x:c>
      <x:c r="K2951" s="115" t="str">
        <x:v>Pièces décrites, murs, portes, niveaux et mobilier inspectables à l’échelle. Volumes réservés, raccord au seed, butin, rencontres et services de campagne restent à terminer.</x:v>
      </x:c>
    </x:row>
    <x:row r="2952" ht="96" customHeight="1">
      <x:c r="A2952" s="115" t="str">
        <x:v>EXT-MONDE-T059-V47</x:v>
      </x:c>
      <x:c r="B2952" s="115" t="str">
        <x:v>EXT-MONDE-T059</x:v>
      </x:c>
      <x:c r="C2952" s="115" t="str">
        <x:v>Énergie</x:v>
      </x:c>
      <x:c r="D2952" s="115" t="str">
        <x:v>Poste électrique régional</x:v>
      </x:c>
      <x:c r="E2952" s="115" t="n">
        <x:v>47</x:v>
      </x:c>
      <x:c r="F2952" s="115" t="str">
        <x:v>Inspection physique</x:v>
      </x:c>
      <x:c r="G2952" s="115" t="str">
        <x:v>1 niveaux ; 22 pièces ; 167 segments de mur ; 0 transitions. Inspection physique ; architecture complète encore ouverte.</x:v>
      </x:c>
      <x:c r="H2952" s="115" t="str">
        <x:v>L 502 ; l 520 ; hauteur 6 m ; choix de composition auteur ; dimensions réelles à documenter</x:v>
      </x:c>
      <x:c r="I2952" s="115" t="str">
        <x:v>À équilibrer</x:v>
      </x:c>
      <x:c r="J2952" s="115" t="str">
        <x:v>Non</x:v>
      </x:c>
      <x:c r="K2952" s="115" t="str">
        <x:v>Pièces décrites, murs, portes, niveaux et mobilier inspectables à l’échelle. Volumes réservés, raccord au seed, butin, rencontres et services de campagne restent à terminer.</x:v>
      </x:c>
    </x:row>
    <x:row r="2953" ht="96" customHeight="1">
      <x:c r="A2953" s="115" t="str">
        <x:v>EXT-MONDE-T059-V48</x:v>
      </x:c>
      <x:c r="B2953" s="115" t="str">
        <x:v>EXT-MONDE-T059</x:v>
      </x:c>
      <x:c r="C2953" s="115" t="str">
        <x:v>Énergie</x:v>
      </x:c>
      <x:c r="D2953" s="115" t="str">
        <x:v>Poste électrique régional</x:v>
      </x:c>
      <x:c r="E2953" s="115" t="n">
        <x:v>48</x:v>
      </x:c>
      <x:c r="F2953" s="115" t="str">
        <x:v>Inspection physique</x:v>
      </x:c>
      <x:c r="G2953" s="115" t="str">
        <x:v>1 niveaux ; 22 pièces ; 167 segments de mur ; 0 transitions. Inspection physique ; architecture complète encore ouverte.</x:v>
      </x:c>
      <x:c r="H2953" s="115" t="str">
        <x:v>L 502 ; l 520 ; hauteur 6 m ; choix de composition auteur ; dimensions réelles à documenter</x:v>
      </x:c>
      <x:c r="I2953" s="115" t="str">
        <x:v>À équilibrer</x:v>
      </x:c>
      <x:c r="J2953" s="115" t="str">
        <x:v>Non</x:v>
      </x:c>
      <x:c r="K2953" s="115" t="str">
        <x:v>Pièces décrites, murs, portes, niveaux et mobilier inspectables à l’échelle. Volumes réservés, raccord au seed, butin, rencontres et services de campagne restent à terminer.</x:v>
      </x:c>
    </x:row>
    <x:row r="2954" ht="96" customHeight="1">
      <x:c r="A2954" s="115" t="str">
        <x:v>EXT-MONDE-T059-V49</x:v>
      </x:c>
      <x:c r="B2954" s="115" t="str">
        <x:v>EXT-MONDE-T059</x:v>
      </x:c>
      <x:c r="C2954" s="115" t="str">
        <x:v>Énergie</x:v>
      </x:c>
      <x:c r="D2954" s="115" t="str">
        <x:v>Poste électrique régional</x:v>
      </x:c>
      <x:c r="E2954" s="115" t="n">
        <x:v>49</x:v>
      </x:c>
      <x:c r="F2954" s="115" t="str">
        <x:v>Inspection physique</x:v>
      </x:c>
      <x:c r="G2954" s="115" t="str">
        <x:v>1 niveaux ; 22 pièces ; 167 segments de mur ; 0 transitions. Inspection physique ; architecture complète encore ouverte.</x:v>
      </x:c>
      <x:c r="H2954" s="115" t="str">
        <x:v>L 502 ; l 520 ; hauteur 6 m ; choix de composition auteur ; dimensions réelles à documenter</x:v>
      </x:c>
      <x:c r="I2954" s="115" t="str">
        <x:v>À équilibrer</x:v>
      </x:c>
      <x:c r="J2954" s="115" t="str">
        <x:v>Non</x:v>
      </x:c>
      <x:c r="K2954" s="115" t="str">
        <x:v>Pièces décrites, murs, portes, niveaux et mobilier inspectables à l’échelle. Volumes réservés, raccord au seed, butin, rencontres et services de campagne restent à terminer.</x:v>
      </x:c>
    </x:row>
    <x:row r="2955" ht="96" customHeight="1">
      <x:c r="A2955" s="115" t="str">
        <x:v>EXT-MONDE-T059-V50</x:v>
      </x:c>
      <x:c r="B2955" s="115" t="str">
        <x:v>EXT-MONDE-T059</x:v>
      </x:c>
      <x:c r="C2955" s="115" t="str">
        <x:v>Énergie</x:v>
      </x:c>
      <x:c r="D2955" s="115" t="str">
        <x:v>Poste électrique régional</x:v>
      </x:c>
      <x:c r="E2955" s="115" t="n">
        <x:v>50</x:v>
      </x:c>
      <x:c r="F2955" s="115" t="str">
        <x:v>Inspection physique</x:v>
      </x:c>
      <x:c r="G2955" s="115" t="str">
        <x:v>1 niveaux ; 22 pièces ; 167 segments de mur ; 0 transitions. Inspection physique ; architecture complète encore ouverte.</x:v>
      </x:c>
      <x:c r="H2955" s="115" t="str">
        <x:v>L 502 ; l 520 ; hauteur 6 m ; choix de composition auteur ; dimensions réelles à documenter</x:v>
      </x:c>
      <x:c r="I2955" s="115" t="str">
        <x:v>À équilibrer</x:v>
      </x:c>
      <x:c r="J2955" s="115" t="str">
        <x:v>Non</x:v>
      </x:c>
      <x:c r="K2955" s="115" t="str">
        <x:v>Pièces décrites, murs, portes, niveaux et mobilier inspectables à l’échelle. Volumes réservés, raccord au seed, butin, rencontres et services de campagne restent à terminer.</x:v>
      </x:c>
    </x:row>
    <x:row r="2956">
      <x:c r="A2956" t="str">
        <x:v>EXT-MONDE-T060-V01</x:v>
      </x:c>
      <x:c r="B2956" t="str">
        <x:v>EXT-MONDE-T060</x:v>
      </x:c>
      <x:c r="C2956" t="str">
        <x:v>Énergie</x:v>
      </x:c>
      <x:c r="D2956" t="str">
        <x:v>Champ d’éoliennes</x:v>
      </x:c>
      <x:c r="E2956" t="n">
        <x:v>1</x:v>
      </x:c>
      <x:c r="F2956" t="str">
        <x:v>Inspection physique</x:v>
      </x:c>
      <x:c r="G2956" t="str">
        <x:v>1 niveaux ; 12 pièces ; 93 segments de mur ; 0 transitions. Inspection physique ; architecture complète encore ouverte.</x:v>
      </x:c>
      <x:c r="H2956" t="str">
        <x:v>L 280 ; l 1280 ; hauteur 180 m ; emprise auteur, non relevé complet d’un lieu réel</x:v>
      </x:c>
      <x:c r="I2956" t="str">
        <x:v>À équilibrer</x:v>
      </x:c>
      <x:c r="J2956" t="str">
        <x:v>Non</x:v>
      </x:c>
      <x:c r="K2956" t="str">
        <x:v>Pièces décrites, murs, portes, niveaux et mobilier inspectables à l’échelle. Volumes réservés, raccord au seed, butin, rencontres et services de campagne restent à terminer.</x:v>
      </x:c>
    </x:row>
    <x:row r="2957">
      <x:c r="A2957" t="str">
        <x:v>EXT-MONDE-T060-V02</x:v>
      </x:c>
      <x:c r="B2957" t="str">
        <x:v>EXT-MONDE-T060</x:v>
      </x:c>
      <x:c r="C2957" t="str">
        <x:v>Énergie</x:v>
      </x:c>
      <x:c r="D2957" t="str">
        <x:v>Champ d’éoliennes</x:v>
      </x:c>
      <x:c r="E2957" t="n">
        <x:v>2</x:v>
      </x:c>
      <x:c r="F2957" t="str">
        <x:v>Inspection physique</x:v>
      </x:c>
      <x:c r="G2957" t="str">
        <x:v>1 niveaux ; 12 pièces ; 93 segments de mur ; 0 transitions. Inspection physique ; architecture complète encore ouverte.</x:v>
      </x:c>
      <x:c r="H2957" t="str">
        <x:v>L 280 ; l 2330 ; hauteur 180 m ; emprise auteur, non relevé complet d’un lieu réel</x:v>
      </x:c>
      <x:c r="I2957" t="str">
        <x:v>À équilibrer</x:v>
      </x:c>
      <x:c r="J2957" t="str">
        <x:v>Non</x:v>
      </x:c>
      <x:c r="K2957" t="str">
        <x:v>Pièces décrites, murs, portes, niveaux et mobilier inspectables à l’échelle. Volumes réservés, raccord au seed, butin, rencontres et services de campagne restent à terminer.</x:v>
      </x:c>
    </x:row>
    <x:row r="2958">
      <x:c r="A2958" t="str">
        <x:v>EXT-MONDE-T060-V03</x:v>
      </x:c>
      <x:c r="B2958" t="str">
        <x:v>EXT-MONDE-T060</x:v>
      </x:c>
      <x:c r="C2958" t="str">
        <x:v>Énergie</x:v>
      </x:c>
      <x:c r="D2958" t="str">
        <x:v>Champ d’éoliennes</x:v>
      </x:c>
      <x:c r="E2958" t="n">
        <x:v>3</x:v>
      </x:c>
      <x:c r="F2958" t="str">
        <x:v>Inspection physique</x:v>
      </x:c>
      <x:c r="G2958" t="str">
        <x:v>1 niveaux ; 12 pièces ; 93 segments de mur ; 0 transitions. Inspection physique ; architecture complète encore ouverte.</x:v>
      </x:c>
      <x:c r="H2958" t="str">
        <x:v>L 1030 ; l 1280 ; hauteur 180 m ; emprise auteur, non relevé complet d’un lieu réel</x:v>
      </x:c>
      <x:c r="I2958" t="str">
        <x:v>À équilibrer</x:v>
      </x:c>
      <x:c r="J2958" t="str">
        <x:v>Non</x:v>
      </x:c>
      <x:c r="K2958" t="str">
        <x:v>Pièces décrites, murs, portes, niveaux et mobilier inspectables à l’échelle. Volumes réservés, raccord au seed, butin, rencontres et services de campagne restent à terminer.</x:v>
      </x:c>
    </x:row>
    <x:row r="2959">
      <x:c r="A2959" t="str">
        <x:v>EXT-MONDE-T060-V04</x:v>
      </x:c>
      <x:c r="B2959" t="str">
        <x:v>EXT-MONDE-T060</x:v>
      </x:c>
      <x:c r="C2959" t="str">
        <x:v>Énergie</x:v>
      </x:c>
      <x:c r="D2959" t="str">
        <x:v>Champ d’éoliennes</x:v>
      </x:c>
      <x:c r="E2959" t="n">
        <x:v>4</x:v>
      </x:c>
      <x:c r="F2959" t="str">
        <x:v>Inspection physique</x:v>
      </x:c>
      <x:c r="G2959" t="str">
        <x:v>1 niveaux ; 12 pièces ; 93 segments de mur ; 0 transitions. Inspection physique ; architecture complète encore ouverte.</x:v>
      </x:c>
      <x:c r="H2959" t="str">
        <x:v>L 280 ; l 3380 ; hauteur 180 m ; emprise auteur, non relevé complet d’un lieu réel</x:v>
      </x:c>
      <x:c r="I2959" t="str">
        <x:v>À équilibrer</x:v>
      </x:c>
      <x:c r="J2959" t="str">
        <x:v>Non</x:v>
      </x:c>
      <x:c r="K2959" t="str">
        <x:v>Pièces décrites, murs, portes, niveaux et mobilier inspectables à l’échelle. Volumes réservés, raccord au seed, butin, rencontres et services de campagne restent à terminer.</x:v>
      </x:c>
    </x:row>
    <x:row r="2960">
      <x:c r="A2960" t="str">
        <x:v>EXT-MONDE-T060-V05</x:v>
      </x:c>
      <x:c r="B2960" t="str">
        <x:v>EXT-MONDE-T060</x:v>
      </x:c>
      <x:c r="C2960" t="str">
        <x:v>Énergie</x:v>
      </x:c>
      <x:c r="D2960" t="str">
        <x:v>Champ d’éoliennes</x:v>
      </x:c>
      <x:c r="E2960" t="n">
        <x:v>5</x:v>
      </x:c>
      <x:c r="F2960" t="str">
        <x:v>Inspection physique</x:v>
      </x:c>
      <x:c r="G2960" t="str">
        <x:v>1 niveaux ; 12 pièces ; 93 segments de mur ; 0 transitions. Inspection physique ; architecture complète encore ouverte.</x:v>
      </x:c>
      <x:c r="H2960" t="str">
        <x:v>L 1030 ; l 2330 ; hauteur 180 m ; emprise auteur, non relevé complet d’un lieu réel</x:v>
      </x:c>
      <x:c r="I2960" t="str">
        <x:v>À équilibrer</x:v>
      </x:c>
      <x:c r="J2960" t="str">
        <x:v>Non</x:v>
      </x:c>
      <x:c r="K2960" t="str">
        <x:v>Pièces décrites, murs, portes, niveaux et mobilier inspectables à l’échelle. Volumes réservés, raccord au seed, butin, rencontres et services de campagne restent à terminer.</x:v>
      </x:c>
    </x:row>
    <x:row r="2961">
      <x:c r="A2961" t="str">
        <x:v>EXT-MONDE-T060-V06</x:v>
      </x:c>
      <x:c r="B2961" t="str">
        <x:v>EXT-MONDE-T060</x:v>
      </x:c>
      <x:c r="C2961" t="str">
        <x:v>Énergie</x:v>
      </x:c>
      <x:c r="D2961" t="str">
        <x:v>Champ d’éoliennes</x:v>
      </x:c>
      <x:c r="E2961" t="n">
        <x:v>6</x:v>
      </x:c>
      <x:c r="F2961" t="str">
        <x:v>Inspection physique</x:v>
      </x:c>
      <x:c r="G2961" t="str">
        <x:v>1 niveaux ; 12 pièces ; 93 segments de mur ; 0 transitions. Inspection physique ; architecture complète encore ouverte.</x:v>
      </x:c>
      <x:c r="H2961" t="str">
        <x:v>L 1780 ; l 1280 ; hauteur 180 m ; emprise auteur, non relevé complet d’un lieu réel</x:v>
      </x:c>
      <x:c r="I2961" t="str">
        <x:v>À équilibrer</x:v>
      </x:c>
      <x:c r="J2961" t="str">
        <x:v>Non</x:v>
      </x:c>
      <x:c r="K2961" t="str">
        <x:v>Pièces décrites, murs, portes, niveaux et mobilier inspectables à l’échelle. Volumes réservés, raccord au seed, butin, rencontres et services de campagne restent à terminer.</x:v>
      </x:c>
    </x:row>
    <x:row r="2962">
      <x:c r="A2962" t="str">
        <x:v>EXT-MONDE-T060-V07</x:v>
      </x:c>
      <x:c r="B2962" t="str">
        <x:v>EXT-MONDE-T060</x:v>
      </x:c>
      <x:c r="C2962" t="str">
        <x:v>Énergie</x:v>
      </x:c>
      <x:c r="D2962" t="str">
        <x:v>Champ d’éoliennes</x:v>
      </x:c>
      <x:c r="E2962" t="n">
        <x:v>7</x:v>
      </x:c>
      <x:c r="F2962" t="str">
        <x:v>Inspection physique</x:v>
      </x:c>
      <x:c r="G2962" t="str">
        <x:v>1 niveaux ; 12 pièces ; 93 segments de mur ; 0 transitions. Inspection physique ; architecture complète encore ouverte.</x:v>
      </x:c>
      <x:c r="H2962" t="str">
        <x:v>L 1030 ; l 3380 ; hauteur 180 m ; emprise auteur, non relevé complet d’un lieu réel</x:v>
      </x:c>
      <x:c r="I2962" t="str">
        <x:v>À équilibrer</x:v>
      </x:c>
      <x:c r="J2962" t="str">
        <x:v>Non</x:v>
      </x:c>
      <x:c r="K2962" t="str">
        <x:v>Pièces décrites, murs, portes, niveaux et mobilier inspectables à l’échelle. Volumes réservés, raccord au seed, butin, rencontres et services de campagne restent à terminer.</x:v>
      </x:c>
    </x:row>
    <x:row r="2963">
      <x:c r="A2963" t="str">
        <x:v>EXT-MONDE-T060-V08</x:v>
      </x:c>
      <x:c r="B2963" t="str">
        <x:v>EXT-MONDE-T060</x:v>
      </x:c>
      <x:c r="C2963" t="str">
        <x:v>Énergie</x:v>
      </x:c>
      <x:c r="D2963" t="str">
        <x:v>Champ d’éoliennes</x:v>
      </x:c>
      <x:c r="E2963" t="n">
        <x:v>8</x:v>
      </x:c>
      <x:c r="F2963" t="str">
        <x:v>Inspection physique</x:v>
      </x:c>
      <x:c r="G2963" t="str">
        <x:v>1 niveaux ; 12 pièces ; 93 segments de mur ; 0 transitions. Inspection physique ; architecture complète encore ouverte.</x:v>
      </x:c>
      <x:c r="H2963" t="str">
        <x:v>L 1780 ; l 2330 ; hauteur 180 m ; emprise auteur, non relevé complet d’un lieu réel</x:v>
      </x:c>
      <x:c r="I2963" t="str">
        <x:v>À équilibrer</x:v>
      </x:c>
      <x:c r="J2963" t="str">
        <x:v>Non</x:v>
      </x:c>
      <x:c r="K2963" t="str">
        <x:v>Pièces décrites, murs, portes, niveaux et mobilier inspectables à l’échelle. Volumes réservés, raccord au seed, butin, rencontres et services de campagne restent à terminer.</x:v>
      </x:c>
    </x:row>
    <x:row r="2964">
      <x:c r="A2964" t="str">
        <x:v>EXT-MONDE-T060-V09</x:v>
      </x:c>
      <x:c r="B2964" t="str">
        <x:v>EXT-MONDE-T060</x:v>
      </x:c>
      <x:c r="C2964" t="str">
        <x:v>Énergie</x:v>
      </x:c>
      <x:c r="D2964" t="str">
        <x:v>Champ d’éoliennes</x:v>
      </x:c>
      <x:c r="E2964" t="n">
        <x:v>9</x:v>
      </x:c>
      <x:c r="F2964" t="str">
        <x:v>Inspection physique</x:v>
      </x:c>
      <x:c r="G2964" t="str">
        <x:v>1 niveaux ; 12 pièces ; 93 segments de mur ; 0 transitions. Inspection physique ; architecture complète encore ouverte.</x:v>
      </x:c>
      <x:c r="H2964" t="str">
        <x:v>L 1030 ; l 4430 ; hauteur 180 m ; emprise auteur, non relevé complet d’un lieu réel</x:v>
      </x:c>
      <x:c r="I2964" t="str">
        <x:v>À équilibrer</x:v>
      </x:c>
      <x:c r="J2964" t="str">
        <x:v>Non</x:v>
      </x:c>
      <x:c r="K2964" t="str">
        <x:v>Pièces décrites, murs, portes, niveaux et mobilier inspectables à l’échelle. Volumes réservés, raccord au seed, butin, rencontres et services de campagne restent à terminer.</x:v>
      </x:c>
    </x:row>
    <x:row r="2965">
      <x:c r="A2965" t="str">
        <x:v>EXT-MONDE-T060-V10</x:v>
      </x:c>
      <x:c r="B2965" t="str">
        <x:v>EXT-MONDE-T060</x:v>
      </x:c>
      <x:c r="C2965" t="str">
        <x:v>Énergie</x:v>
      </x:c>
      <x:c r="D2965" t="str">
        <x:v>Champ d’éoliennes</x:v>
      </x:c>
      <x:c r="E2965" t="n">
        <x:v>10</x:v>
      </x:c>
      <x:c r="F2965" t="str">
        <x:v>Inspection physique</x:v>
      </x:c>
      <x:c r="G2965" t="str">
        <x:v>1 niveaux ; 12 pièces ; 93 segments de mur ; 0 transitions. Inspection physique ; architecture complète encore ouverte.</x:v>
      </x:c>
      <x:c r="H2965" t="str">
        <x:v>L 1780 ; l 3380 ; hauteur 180 m ; emprise auteur, non relevé complet d’un lieu réel</x:v>
      </x:c>
      <x:c r="I2965" t="str">
        <x:v>À équilibrer</x:v>
      </x:c>
      <x:c r="J2965" t="str">
        <x:v>Non</x:v>
      </x:c>
      <x:c r="K2965" t="str">
        <x:v>Pièces décrites, murs, portes, niveaux et mobilier inspectables à l’échelle. Volumes réservés, raccord au seed, butin, rencontres et services de campagne restent à terminer.</x:v>
      </x:c>
    </x:row>
    <x:row r="2966">
      <x:c r="A2966" t="str">
        <x:v>EXT-MONDE-T060-V11</x:v>
      </x:c>
      <x:c r="B2966" t="str">
        <x:v>EXT-MONDE-T060</x:v>
      </x:c>
      <x:c r="C2966" t="str">
        <x:v>Énergie</x:v>
      </x:c>
      <x:c r="D2966" t="str">
        <x:v>Champ d’éoliennes</x:v>
      </x:c>
      <x:c r="E2966" t="n">
        <x:v>11</x:v>
      </x:c>
      <x:c r="F2966" t="str">
        <x:v>Inspection physique</x:v>
      </x:c>
      <x:c r="G2966" t="str">
        <x:v>1 niveaux ; 12 pièces ; 93 segments de mur ; 0 transitions. Inspection physique ; architecture complète encore ouverte.</x:v>
      </x:c>
      <x:c r="H2966" t="str">
        <x:v>L 280 ; l 1280 ; hauteur 198 m ; emprise auteur, non relevé complet d’un lieu réel</x:v>
      </x:c>
      <x:c r="I2966" t="str">
        <x:v>À équilibrer</x:v>
      </x:c>
      <x:c r="J2966" t="str">
        <x:v>Non</x:v>
      </x:c>
      <x:c r="K2966" t="str">
        <x:v>Pièces décrites, murs, portes, niveaux et mobilier inspectables à l’échelle. Volumes réservés, raccord au seed, butin, rencontres et services de campagne restent à terminer.</x:v>
      </x:c>
    </x:row>
    <x:row r="2967">
      <x:c r="A2967" t="str">
        <x:v>EXT-MONDE-T060-V12</x:v>
      </x:c>
      <x:c r="B2967" t="str">
        <x:v>EXT-MONDE-T060</x:v>
      </x:c>
      <x:c r="C2967" t="str">
        <x:v>Énergie</x:v>
      </x:c>
      <x:c r="D2967" t="str">
        <x:v>Champ d’éoliennes</x:v>
      </x:c>
      <x:c r="E2967" t="n">
        <x:v>12</x:v>
      </x:c>
      <x:c r="F2967" t="str">
        <x:v>Inspection physique</x:v>
      </x:c>
      <x:c r="G2967" t="str">
        <x:v>1 niveaux ; 12 pièces ; 93 segments de mur ; 0 transitions. Inspection physique ; architecture complète encore ouverte.</x:v>
      </x:c>
      <x:c r="H2967" t="str">
        <x:v>L 280 ; l 2330 ; hauteur 198 m ; emprise auteur, non relevé complet d’un lieu réel</x:v>
      </x:c>
      <x:c r="I2967" t="str">
        <x:v>À équilibrer</x:v>
      </x:c>
      <x:c r="J2967" t="str">
        <x:v>Non</x:v>
      </x:c>
      <x:c r="K2967" t="str">
        <x:v>Pièces décrites, murs, portes, niveaux et mobilier inspectables à l’échelle. Volumes réservés, raccord au seed, butin, rencontres et services de campagne restent à terminer.</x:v>
      </x:c>
    </x:row>
    <x:row r="2968">
      <x:c r="A2968" t="str">
        <x:v>EXT-MONDE-T060-V13</x:v>
      </x:c>
      <x:c r="B2968" t="str">
        <x:v>EXT-MONDE-T060</x:v>
      </x:c>
      <x:c r="C2968" t="str">
        <x:v>Énergie</x:v>
      </x:c>
      <x:c r="D2968" t="str">
        <x:v>Champ d’éoliennes</x:v>
      </x:c>
      <x:c r="E2968" t="n">
        <x:v>13</x:v>
      </x:c>
      <x:c r="F2968" t="str">
        <x:v>Inspection physique</x:v>
      </x:c>
      <x:c r="G2968" t="str">
        <x:v>1 niveaux ; 12 pièces ; 93 segments de mur ; 0 transitions. Inspection physique ; architecture complète encore ouverte.</x:v>
      </x:c>
      <x:c r="H2968" t="str">
        <x:v>L 1030 ; l 1280 ; hauteur 198 m ; emprise auteur, non relevé complet d’un lieu réel</x:v>
      </x:c>
      <x:c r="I2968" t="str">
        <x:v>À équilibrer</x:v>
      </x:c>
      <x:c r="J2968" t="str">
        <x:v>Non</x:v>
      </x:c>
      <x:c r="K2968" t="str">
        <x:v>Pièces décrites, murs, portes, niveaux et mobilier inspectables à l’échelle. Volumes réservés, raccord au seed, butin, rencontres et services de campagne restent à terminer.</x:v>
      </x:c>
    </x:row>
    <x:row r="2969">
      <x:c r="A2969" t="str">
        <x:v>EXT-MONDE-T060-V14</x:v>
      </x:c>
      <x:c r="B2969" t="str">
        <x:v>EXT-MONDE-T060</x:v>
      </x:c>
      <x:c r="C2969" t="str">
        <x:v>Énergie</x:v>
      </x:c>
      <x:c r="D2969" t="str">
        <x:v>Champ d’éoliennes</x:v>
      </x:c>
      <x:c r="E2969" t="n">
        <x:v>14</x:v>
      </x:c>
      <x:c r="F2969" t="str">
        <x:v>Inspection physique</x:v>
      </x:c>
      <x:c r="G2969" t="str">
        <x:v>1 niveaux ; 12 pièces ; 93 segments de mur ; 0 transitions. Inspection physique ; architecture complète encore ouverte.</x:v>
      </x:c>
      <x:c r="H2969" t="str">
        <x:v>L 280 ; l 3380 ; hauteur 198 m ; emprise auteur, non relevé complet d’un lieu réel</x:v>
      </x:c>
      <x:c r="I2969" t="str">
        <x:v>À équilibrer</x:v>
      </x:c>
      <x:c r="J2969" t="str">
        <x:v>Non</x:v>
      </x:c>
      <x:c r="K2969" t="str">
        <x:v>Pièces décrites, murs, portes, niveaux et mobilier inspectables à l’échelle. Volumes réservés, raccord au seed, butin, rencontres et services de campagne restent à terminer.</x:v>
      </x:c>
    </x:row>
    <x:row r="2970">
      <x:c r="A2970" t="str">
        <x:v>EXT-MONDE-T060-V15</x:v>
      </x:c>
      <x:c r="B2970" t="str">
        <x:v>EXT-MONDE-T060</x:v>
      </x:c>
      <x:c r="C2970" t="str">
        <x:v>Énergie</x:v>
      </x:c>
      <x:c r="D2970" t="str">
        <x:v>Champ d’éoliennes</x:v>
      </x:c>
      <x:c r="E2970" t="n">
        <x:v>15</x:v>
      </x:c>
      <x:c r="F2970" t="str">
        <x:v>Inspection physique</x:v>
      </x:c>
      <x:c r="G2970" t="str">
        <x:v>1 niveaux ; 12 pièces ; 93 segments de mur ; 0 transitions. Inspection physique ; architecture complète encore ouverte.</x:v>
      </x:c>
      <x:c r="H2970" t="str">
        <x:v>L 1030 ; l 2330 ; hauteur 198 m ; emprise auteur, non relevé complet d’un lieu réel</x:v>
      </x:c>
      <x:c r="I2970" t="str">
        <x:v>À équilibrer</x:v>
      </x:c>
      <x:c r="J2970" t="str">
        <x:v>Non</x:v>
      </x:c>
      <x:c r="K2970" t="str">
        <x:v>Pièces décrites, murs, portes, niveaux et mobilier inspectables à l’échelle. Volumes réservés, raccord au seed, butin, rencontres et services de campagne restent à terminer.</x:v>
      </x:c>
    </x:row>
    <x:row r="2971">
      <x:c r="A2971" t="str">
        <x:v>EXT-MONDE-T060-V16</x:v>
      </x:c>
      <x:c r="B2971" t="str">
        <x:v>EXT-MONDE-T060</x:v>
      </x:c>
      <x:c r="C2971" t="str">
        <x:v>Énergie</x:v>
      </x:c>
      <x:c r="D2971" t="str">
        <x:v>Champ d’éoliennes</x:v>
      </x:c>
      <x:c r="E2971" t="n">
        <x:v>16</x:v>
      </x:c>
      <x:c r="F2971" t="str">
        <x:v>Inspection physique</x:v>
      </x:c>
      <x:c r="G2971" t="str">
        <x:v>1 niveaux ; 12 pièces ; 93 segments de mur ; 0 transitions. Inspection physique ; architecture complète encore ouverte.</x:v>
      </x:c>
      <x:c r="H2971" t="str">
        <x:v>L 1780 ; l 1280 ; hauteur 198 m ; emprise auteur, non relevé complet d’un lieu réel</x:v>
      </x:c>
      <x:c r="I2971" t="str">
        <x:v>À équilibrer</x:v>
      </x:c>
      <x:c r="J2971" t="str">
        <x:v>Non</x:v>
      </x:c>
      <x:c r="K2971" t="str">
        <x:v>Pièces décrites, murs, portes, niveaux et mobilier inspectables à l’échelle. Volumes réservés, raccord au seed, butin, rencontres et services de campagne restent à terminer.</x:v>
      </x:c>
    </x:row>
    <x:row r="2972">
      <x:c r="A2972" t="str">
        <x:v>EXT-MONDE-T060-V17</x:v>
      </x:c>
      <x:c r="B2972" t="str">
        <x:v>EXT-MONDE-T060</x:v>
      </x:c>
      <x:c r="C2972" t="str">
        <x:v>Énergie</x:v>
      </x:c>
      <x:c r="D2972" t="str">
        <x:v>Champ d’éoliennes</x:v>
      </x:c>
      <x:c r="E2972" t="n">
        <x:v>17</x:v>
      </x:c>
      <x:c r="F2972" t="str">
        <x:v>Inspection physique</x:v>
      </x:c>
      <x:c r="G2972" t="str">
        <x:v>1 niveaux ; 12 pièces ; 93 segments de mur ; 0 transitions. Inspection physique ; architecture complète encore ouverte.</x:v>
      </x:c>
      <x:c r="H2972" t="str">
        <x:v>L 1030 ; l 3380 ; hauteur 198 m ; emprise auteur, non relevé complet d’un lieu réel</x:v>
      </x:c>
      <x:c r="I2972" t="str">
        <x:v>À équilibrer</x:v>
      </x:c>
      <x:c r="J2972" t="str">
        <x:v>Non</x:v>
      </x:c>
      <x:c r="K2972" t="str">
        <x:v>Pièces décrites, murs, portes, niveaux et mobilier inspectables à l’échelle. Volumes réservés, raccord au seed, butin, rencontres et services de campagne restent à terminer.</x:v>
      </x:c>
    </x:row>
    <x:row r="2973">
      <x:c r="A2973" t="str">
        <x:v>EXT-MONDE-T060-V18</x:v>
      </x:c>
      <x:c r="B2973" t="str">
        <x:v>EXT-MONDE-T060</x:v>
      </x:c>
      <x:c r="C2973" t="str">
        <x:v>Énergie</x:v>
      </x:c>
      <x:c r="D2973" t="str">
        <x:v>Champ d’éoliennes</x:v>
      </x:c>
      <x:c r="E2973" t="n">
        <x:v>18</x:v>
      </x:c>
      <x:c r="F2973" t="str">
        <x:v>Inspection physique</x:v>
      </x:c>
      <x:c r="G2973" t="str">
        <x:v>1 niveaux ; 12 pièces ; 93 segments de mur ; 0 transitions. Inspection physique ; architecture complète encore ouverte.</x:v>
      </x:c>
      <x:c r="H2973" t="str">
        <x:v>L 1780 ; l 2330 ; hauteur 198 m ; emprise auteur, non relevé complet d’un lieu réel</x:v>
      </x:c>
      <x:c r="I2973" t="str">
        <x:v>À équilibrer</x:v>
      </x:c>
      <x:c r="J2973" t="str">
        <x:v>Non</x:v>
      </x:c>
      <x:c r="K2973" t="str">
        <x:v>Pièces décrites, murs, portes, niveaux et mobilier inspectables à l’échelle. Volumes réservés, raccord au seed, butin, rencontres et services de campagne restent à terminer.</x:v>
      </x:c>
    </x:row>
    <x:row r="2974">
      <x:c r="A2974" t="str">
        <x:v>EXT-MONDE-T060-V19</x:v>
      </x:c>
      <x:c r="B2974" t="str">
        <x:v>EXT-MONDE-T060</x:v>
      </x:c>
      <x:c r="C2974" t="str">
        <x:v>Énergie</x:v>
      </x:c>
      <x:c r="D2974" t="str">
        <x:v>Champ d’éoliennes</x:v>
      </x:c>
      <x:c r="E2974" t="n">
        <x:v>19</x:v>
      </x:c>
      <x:c r="F2974" t="str">
        <x:v>Inspection physique</x:v>
      </x:c>
      <x:c r="G2974" t="str">
        <x:v>1 niveaux ; 12 pièces ; 93 segments de mur ; 0 transitions. Inspection physique ; architecture complète encore ouverte.</x:v>
      </x:c>
      <x:c r="H2974" t="str">
        <x:v>L 1030 ; l 4430 ; hauteur 198 m ; emprise auteur, non relevé complet d’un lieu réel</x:v>
      </x:c>
      <x:c r="I2974" t="str">
        <x:v>À équilibrer</x:v>
      </x:c>
      <x:c r="J2974" t="str">
        <x:v>Non</x:v>
      </x:c>
      <x:c r="K2974" t="str">
        <x:v>Pièces décrites, murs, portes, niveaux et mobilier inspectables à l’échelle. Volumes réservés, raccord au seed, butin, rencontres et services de campagne restent à terminer.</x:v>
      </x:c>
    </x:row>
    <x:row r="2975">
      <x:c r="A2975" t="str">
        <x:v>EXT-MONDE-T060-V20</x:v>
      </x:c>
      <x:c r="B2975" t="str">
        <x:v>EXT-MONDE-T060</x:v>
      </x:c>
      <x:c r="C2975" t="str">
        <x:v>Énergie</x:v>
      </x:c>
      <x:c r="D2975" t="str">
        <x:v>Champ d’éoliennes</x:v>
      </x:c>
      <x:c r="E2975" t="n">
        <x:v>20</x:v>
      </x:c>
      <x:c r="F2975" t="str">
        <x:v>Inspection physique</x:v>
      </x:c>
      <x:c r="G2975" t="str">
        <x:v>1 niveaux ; 12 pièces ; 93 segments de mur ; 0 transitions. Inspection physique ; architecture complète encore ouverte.</x:v>
      </x:c>
      <x:c r="H2975" t="str">
        <x:v>L 1780 ; l 3380 ; hauteur 198 m ; emprise auteur, non relevé complet d’un lieu réel</x:v>
      </x:c>
      <x:c r="I2975" t="str">
        <x:v>À équilibrer</x:v>
      </x:c>
      <x:c r="J2975" t="str">
        <x:v>Non</x:v>
      </x:c>
      <x:c r="K2975" t="str">
        <x:v>Pièces décrites, murs, portes, niveaux et mobilier inspectables à l’échelle. Volumes réservés, raccord au seed, butin, rencontres et services de campagne restent à terminer.</x:v>
      </x:c>
    </x:row>
    <x:row r="2976">
      <x:c r="A2976" t="str">
        <x:v>EXT-MONDE-T060-V21</x:v>
      </x:c>
      <x:c r="B2976" t="str">
        <x:v>EXT-MONDE-T060</x:v>
      </x:c>
      <x:c r="C2976" t="str">
        <x:v>Énergie</x:v>
      </x:c>
      <x:c r="D2976" t="str">
        <x:v>Champ d’éoliennes</x:v>
      </x:c>
      <x:c r="E2976" t="n">
        <x:v>21</x:v>
      </x:c>
      <x:c r="F2976" t="str">
        <x:v>Inspection physique</x:v>
      </x:c>
      <x:c r="G2976" t="str">
        <x:v>1 niveaux ; 12 pièces ; 93 segments de mur ; 0 transitions. Inspection physique ; architecture complète encore ouverte.</x:v>
      </x:c>
      <x:c r="H2976" t="str">
        <x:v>L 280 ; l 1280 ; hauteur 220 m ; emprise auteur, non relevé complet d’un lieu réel</x:v>
      </x:c>
      <x:c r="I2976" t="str">
        <x:v>À équilibrer</x:v>
      </x:c>
      <x:c r="J2976" t="str">
        <x:v>Non</x:v>
      </x:c>
      <x:c r="K2976" t="str">
        <x:v>Pièces décrites, murs, portes, niveaux et mobilier inspectables à l’échelle. Volumes réservés, raccord au seed, butin, rencontres et services de campagne restent à terminer.</x:v>
      </x:c>
    </x:row>
    <x:row r="2977">
      <x:c r="A2977" t="str">
        <x:v>EXT-MONDE-T060-V22</x:v>
      </x:c>
      <x:c r="B2977" t="str">
        <x:v>EXT-MONDE-T060</x:v>
      </x:c>
      <x:c r="C2977" t="str">
        <x:v>Énergie</x:v>
      </x:c>
      <x:c r="D2977" t="str">
        <x:v>Champ d’éoliennes</x:v>
      </x:c>
      <x:c r="E2977" t="n">
        <x:v>22</x:v>
      </x:c>
      <x:c r="F2977" t="str">
        <x:v>Inspection physique</x:v>
      </x:c>
      <x:c r="G2977" t="str">
        <x:v>1 niveaux ; 12 pièces ; 93 segments de mur ; 0 transitions. Inspection physique ; architecture complète encore ouverte.</x:v>
      </x:c>
      <x:c r="H2977" t="str">
        <x:v>L 280 ; l 2330 ; hauteur 220 m ; emprise auteur, non relevé complet d’un lieu réel</x:v>
      </x:c>
      <x:c r="I2977" t="str">
        <x:v>À équilibrer</x:v>
      </x:c>
      <x:c r="J2977" t="str">
        <x:v>Non</x:v>
      </x:c>
      <x:c r="K2977" t="str">
        <x:v>Pièces décrites, murs, portes, niveaux et mobilier inspectables à l’échelle. Volumes réservés, raccord au seed, butin, rencontres et services de campagne restent à terminer.</x:v>
      </x:c>
    </x:row>
    <x:row r="2978">
      <x:c r="A2978" t="str">
        <x:v>EXT-MONDE-T060-V23</x:v>
      </x:c>
      <x:c r="B2978" t="str">
        <x:v>EXT-MONDE-T060</x:v>
      </x:c>
      <x:c r="C2978" t="str">
        <x:v>Énergie</x:v>
      </x:c>
      <x:c r="D2978" t="str">
        <x:v>Champ d’éoliennes</x:v>
      </x:c>
      <x:c r="E2978" t="n">
        <x:v>23</x:v>
      </x:c>
      <x:c r="F2978" t="str">
        <x:v>Inspection physique</x:v>
      </x:c>
      <x:c r="G2978" t="str">
        <x:v>1 niveaux ; 12 pièces ; 93 segments de mur ; 0 transitions. Inspection physique ; architecture complète encore ouverte.</x:v>
      </x:c>
      <x:c r="H2978" t="str">
        <x:v>L 1030 ; l 1280 ; hauteur 220 m ; emprise auteur, non relevé complet d’un lieu réel</x:v>
      </x:c>
      <x:c r="I2978" t="str">
        <x:v>À équilibrer</x:v>
      </x:c>
      <x:c r="J2978" t="str">
        <x:v>Non</x:v>
      </x:c>
      <x:c r="K2978" t="str">
        <x:v>Pièces décrites, murs, portes, niveaux et mobilier inspectables à l’échelle. Volumes réservés, raccord au seed, butin, rencontres et services de campagne restent à terminer.</x:v>
      </x:c>
    </x:row>
    <x:row r="2979">
      <x:c r="A2979" t="str">
        <x:v>EXT-MONDE-T060-V24</x:v>
      </x:c>
      <x:c r="B2979" t="str">
        <x:v>EXT-MONDE-T060</x:v>
      </x:c>
      <x:c r="C2979" t="str">
        <x:v>Énergie</x:v>
      </x:c>
      <x:c r="D2979" t="str">
        <x:v>Champ d’éoliennes</x:v>
      </x:c>
      <x:c r="E2979" t="n">
        <x:v>24</x:v>
      </x:c>
      <x:c r="F2979" t="str">
        <x:v>Inspection physique</x:v>
      </x:c>
      <x:c r="G2979" t="str">
        <x:v>1 niveaux ; 12 pièces ; 93 segments de mur ; 0 transitions. Inspection physique ; architecture complète encore ouverte.</x:v>
      </x:c>
      <x:c r="H2979" t="str">
        <x:v>L 280 ; l 3380 ; hauteur 220 m ; emprise auteur, non relevé complet d’un lieu réel</x:v>
      </x:c>
      <x:c r="I2979" t="str">
        <x:v>À équilibrer</x:v>
      </x:c>
      <x:c r="J2979" t="str">
        <x:v>Non</x:v>
      </x:c>
      <x:c r="K2979" t="str">
        <x:v>Pièces décrites, murs, portes, niveaux et mobilier inspectables à l’échelle. Volumes réservés, raccord au seed, butin, rencontres et services de campagne restent à terminer.</x:v>
      </x:c>
    </x:row>
    <x:row r="2980">
      <x:c r="A2980" t="str">
        <x:v>EXT-MONDE-T060-V25</x:v>
      </x:c>
      <x:c r="B2980" t="str">
        <x:v>EXT-MONDE-T060</x:v>
      </x:c>
      <x:c r="C2980" t="str">
        <x:v>Énergie</x:v>
      </x:c>
      <x:c r="D2980" t="str">
        <x:v>Champ d’éoliennes</x:v>
      </x:c>
      <x:c r="E2980" t="n">
        <x:v>25</x:v>
      </x:c>
      <x:c r="F2980" t="str">
        <x:v>Inspection physique</x:v>
      </x:c>
      <x:c r="G2980" t="str">
        <x:v>1 niveaux ; 12 pièces ; 93 segments de mur ; 0 transitions. Inspection physique ; architecture complète encore ouverte.</x:v>
      </x:c>
      <x:c r="H2980" t="str">
        <x:v>L 1030 ; l 2330 ; hauteur 220 m ; emprise auteur, non relevé complet d’un lieu réel</x:v>
      </x:c>
      <x:c r="I2980" t="str">
        <x:v>À équilibrer</x:v>
      </x:c>
      <x:c r="J2980" t="str">
        <x:v>Non</x:v>
      </x:c>
      <x:c r="K2980" t="str">
        <x:v>Pièces décrites, murs, portes, niveaux et mobilier inspectables à l’échelle. Volumes réservés, raccord au seed, butin, rencontres et services de campagne restent à terminer.</x:v>
      </x:c>
    </x:row>
    <x:row r="2981">
      <x:c r="A2981" t="str">
        <x:v>EXT-MONDE-T060-V26</x:v>
      </x:c>
      <x:c r="B2981" t="str">
        <x:v>EXT-MONDE-T060</x:v>
      </x:c>
      <x:c r="C2981" t="str">
        <x:v>Énergie</x:v>
      </x:c>
      <x:c r="D2981" t="str">
        <x:v>Champ d’éoliennes</x:v>
      </x:c>
      <x:c r="E2981" t="n">
        <x:v>26</x:v>
      </x:c>
      <x:c r="F2981" t="str">
        <x:v>Inspection physique</x:v>
      </x:c>
      <x:c r="G2981" t="str">
        <x:v>1 niveaux ; 12 pièces ; 93 segments de mur ; 0 transitions. Inspection physique ; architecture complète encore ouverte.</x:v>
      </x:c>
      <x:c r="H2981" t="str">
        <x:v>L 1780 ; l 1280 ; hauteur 220 m ; emprise auteur, non relevé complet d’un lieu réel</x:v>
      </x:c>
      <x:c r="I2981" t="str">
        <x:v>À équilibrer</x:v>
      </x:c>
      <x:c r="J2981" t="str">
        <x:v>Non</x:v>
      </x:c>
      <x:c r="K2981" t="str">
        <x:v>Pièces décrites, murs, portes, niveaux et mobilier inspectables à l’échelle. Volumes réservés, raccord au seed, butin, rencontres et services de campagne restent à terminer.</x:v>
      </x:c>
    </x:row>
    <x:row r="2982">
      <x:c r="A2982" t="str">
        <x:v>EXT-MONDE-T060-V27</x:v>
      </x:c>
      <x:c r="B2982" t="str">
        <x:v>EXT-MONDE-T060</x:v>
      </x:c>
      <x:c r="C2982" t="str">
        <x:v>Énergie</x:v>
      </x:c>
      <x:c r="D2982" t="str">
        <x:v>Champ d’éoliennes</x:v>
      </x:c>
      <x:c r="E2982" t="n">
        <x:v>27</x:v>
      </x:c>
      <x:c r="F2982" t="str">
        <x:v>Inspection physique</x:v>
      </x:c>
      <x:c r="G2982" t="str">
        <x:v>1 niveaux ; 12 pièces ; 93 segments de mur ; 0 transitions. Inspection physique ; architecture complète encore ouverte.</x:v>
      </x:c>
      <x:c r="H2982" t="str">
        <x:v>L 1030 ; l 3380 ; hauteur 220 m ; emprise auteur, non relevé complet d’un lieu réel</x:v>
      </x:c>
      <x:c r="I2982" t="str">
        <x:v>À équilibrer</x:v>
      </x:c>
      <x:c r="J2982" t="str">
        <x:v>Non</x:v>
      </x:c>
      <x:c r="K2982" t="str">
        <x:v>Pièces décrites, murs, portes, niveaux et mobilier inspectables à l’échelle. Volumes réservés, raccord au seed, butin, rencontres et services de campagne restent à terminer.</x:v>
      </x:c>
    </x:row>
    <x:row r="2983">
      <x:c r="A2983" t="str">
        <x:v>EXT-MONDE-T060-V28</x:v>
      </x:c>
      <x:c r="B2983" t="str">
        <x:v>EXT-MONDE-T060</x:v>
      </x:c>
      <x:c r="C2983" t="str">
        <x:v>Énergie</x:v>
      </x:c>
      <x:c r="D2983" t="str">
        <x:v>Champ d’éoliennes</x:v>
      </x:c>
      <x:c r="E2983" t="n">
        <x:v>28</x:v>
      </x:c>
      <x:c r="F2983" t="str">
        <x:v>Inspection physique</x:v>
      </x:c>
      <x:c r="G2983" t="str">
        <x:v>1 niveaux ; 12 pièces ; 93 segments de mur ; 0 transitions. Inspection physique ; architecture complète encore ouverte.</x:v>
      </x:c>
      <x:c r="H2983" t="str">
        <x:v>L 1780 ; l 2330 ; hauteur 220 m ; emprise auteur, non relevé complet d’un lieu réel</x:v>
      </x:c>
      <x:c r="I2983" t="str">
        <x:v>À équilibrer</x:v>
      </x:c>
      <x:c r="J2983" t="str">
        <x:v>Non</x:v>
      </x:c>
      <x:c r="K2983" t="str">
        <x:v>Pièces décrites, murs, portes, niveaux et mobilier inspectables à l’échelle. Volumes réservés, raccord au seed, butin, rencontres et services de campagne restent à terminer.</x:v>
      </x:c>
    </x:row>
    <x:row r="2984">
      <x:c r="A2984" t="str">
        <x:v>EXT-MONDE-T060-V29</x:v>
      </x:c>
      <x:c r="B2984" t="str">
        <x:v>EXT-MONDE-T060</x:v>
      </x:c>
      <x:c r="C2984" t="str">
        <x:v>Énergie</x:v>
      </x:c>
      <x:c r="D2984" t="str">
        <x:v>Champ d’éoliennes</x:v>
      </x:c>
      <x:c r="E2984" t="n">
        <x:v>29</x:v>
      </x:c>
      <x:c r="F2984" t="str">
        <x:v>Inspection physique</x:v>
      </x:c>
      <x:c r="G2984" t="str">
        <x:v>1 niveaux ; 12 pièces ; 93 segments de mur ; 0 transitions. Inspection physique ; architecture complète encore ouverte.</x:v>
      </x:c>
      <x:c r="H2984" t="str">
        <x:v>L 1030 ; l 4430 ; hauteur 220 m ; emprise auteur, non relevé complet d’un lieu réel</x:v>
      </x:c>
      <x:c r="I2984" t="str">
        <x:v>À équilibrer</x:v>
      </x:c>
      <x:c r="J2984" t="str">
        <x:v>Non</x:v>
      </x:c>
      <x:c r="K2984" t="str">
        <x:v>Pièces décrites, murs, portes, niveaux et mobilier inspectables à l’échelle. Volumes réservés, raccord au seed, butin, rencontres et services de campagne restent à terminer.</x:v>
      </x:c>
    </x:row>
    <x:row r="2985">
      <x:c r="A2985" t="str">
        <x:v>EXT-MONDE-T060-V30</x:v>
      </x:c>
      <x:c r="B2985" t="str">
        <x:v>EXT-MONDE-T060</x:v>
      </x:c>
      <x:c r="C2985" t="str">
        <x:v>Énergie</x:v>
      </x:c>
      <x:c r="D2985" t="str">
        <x:v>Champ d’éoliennes</x:v>
      </x:c>
      <x:c r="E2985" t="n">
        <x:v>30</x:v>
      </x:c>
      <x:c r="F2985" t="str">
        <x:v>Inspection physique</x:v>
      </x:c>
      <x:c r="G2985" t="str">
        <x:v>1 niveaux ; 12 pièces ; 93 segments de mur ; 0 transitions. Inspection physique ; architecture complète encore ouverte.</x:v>
      </x:c>
      <x:c r="H2985" t="str">
        <x:v>L 1780 ; l 3380 ; hauteur 220 m ; emprise auteur, non relevé complet d’un lieu réel</x:v>
      </x:c>
      <x:c r="I2985" t="str">
        <x:v>À équilibrer</x:v>
      </x:c>
      <x:c r="J2985" t="str">
        <x:v>Non</x:v>
      </x:c>
      <x:c r="K2985" t="str">
        <x:v>Pièces décrites, murs, portes, niveaux et mobilier inspectables à l’échelle. Volumes réservés, raccord au seed, butin, rencontres et services de campagne restent à terminer.</x:v>
      </x:c>
    </x:row>
    <x:row r="2986">
      <x:c r="A2986" t="str">
        <x:v>EXT-MONDE-T060-V31</x:v>
      </x:c>
      <x:c r="B2986" t="str">
        <x:v>EXT-MONDE-T060</x:v>
      </x:c>
      <x:c r="C2986" t="str">
        <x:v>Énergie</x:v>
      </x:c>
      <x:c r="D2986" t="str">
        <x:v>Champ d’éoliennes</x:v>
      </x:c>
      <x:c r="E2986" t="n">
        <x:v>31</x:v>
      </x:c>
      <x:c r="F2986" t="str">
        <x:v>Inspection physique</x:v>
      </x:c>
      <x:c r="G2986" t="str">
        <x:v>1 niveaux ; 12 pièces ; 93 segments de mur ; 0 transitions. Inspection physique ; architecture complète encore ouverte.</x:v>
      </x:c>
      <x:c r="H2986" t="str">
        <x:v>L 280 ; l 1280 ; hauteur 230 m ; emprise auteur, non relevé complet d’un lieu réel</x:v>
      </x:c>
      <x:c r="I2986" t="str">
        <x:v>À équilibrer</x:v>
      </x:c>
      <x:c r="J2986" t="str">
        <x:v>Non</x:v>
      </x:c>
      <x:c r="K2986" t="str">
        <x:v>Pièces décrites, murs, portes, niveaux et mobilier inspectables à l’échelle. Volumes réservés, raccord au seed, butin, rencontres et services de campagne restent à terminer.</x:v>
      </x:c>
    </x:row>
    <x:row r="2987">
      <x:c r="A2987" t="str">
        <x:v>EXT-MONDE-T060-V32</x:v>
      </x:c>
      <x:c r="B2987" t="str">
        <x:v>EXT-MONDE-T060</x:v>
      </x:c>
      <x:c r="C2987" t="str">
        <x:v>Énergie</x:v>
      </x:c>
      <x:c r="D2987" t="str">
        <x:v>Champ d’éoliennes</x:v>
      </x:c>
      <x:c r="E2987" t="n">
        <x:v>32</x:v>
      </x:c>
      <x:c r="F2987" t="str">
        <x:v>Inspection physique</x:v>
      </x:c>
      <x:c r="G2987" t="str">
        <x:v>1 niveaux ; 12 pièces ; 93 segments de mur ; 0 transitions. Inspection physique ; architecture complète encore ouverte.</x:v>
      </x:c>
      <x:c r="H2987" t="str">
        <x:v>L 280 ; l 2330 ; hauteur 230 m ; emprise auteur, non relevé complet d’un lieu réel</x:v>
      </x:c>
      <x:c r="I2987" t="str">
        <x:v>À équilibrer</x:v>
      </x:c>
      <x:c r="J2987" t="str">
        <x:v>Non</x:v>
      </x:c>
      <x:c r="K2987" t="str">
        <x:v>Pièces décrites, murs, portes, niveaux et mobilier inspectables à l’échelle. Volumes réservés, raccord au seed, butin, rencontres et services de campagne restent à terminer.</x:v>
      </x:c>
    </x:row>
    <x:row r="2988">
      <x:c r="A2988" t="str">
        <x:v>EXT-MONDE-T060-V33</x:v>
      </x:c>
      <x:c r="B2988" t="str">
        <x:v>EXT-MONDE-T060</x:v>
      </x:c>
      <x:c r="C2988" t="str">
        <x:v>Énergie</x:v>
      </x:c>
      <x:c r="D2988" t="str">
        <x:v>Champ d’éoliennes</x:v>
      </x:c>
      <x:c r="E2988" t="n">
        <x:v>33</x:v>
      </x:c>
      <x:c r="F2988" t="str">
        <x:v>Inspection physique</x:v>
      </x:c>
      <x:c r="G2988" t="str">
        <x:v>1 niveaux ; 12 pièces ; 93 segments de mur ; 0 transitions. Inspection physique ; architecture complète encore ouverte.</x:v>
      </x:c>
      <x:c r="H2988" t="str">
        <x:v>L 1030 ; l 1280 ; hauteur 230 m ; emprise auteur, non relevé complet d’un lieu réel</x:v>
      </x:c>
      <x:c r="I2988" t="str">
        <x:v>À équilibrer</x:v>
      </x:c>
      <x:c r="J2988" t="str">
        <x:v>Non</x:v>
      </x:c>
      <x:c r="K2988" t="str">
        <x:v>Pièces décrites, murs, portes, niveaux et mobilier inspectables à l’échelle. Volumes réservés, raccord au seed, butin, rencontres et services de campagne restent à terminer.</x:v>
      </x:c>
    </x:row>
    <x:row r="2989">
      <x:c r="A2989" t="str">
        <x:v>EXT-MONDE-T060-V34</x:v>
      </x:c>
      <x:c r="B2989" t="str">
        <x:v>EXT-MONDE-T060</x:v>
      </x:c>
      <x:c r="C2989" t="str">
        <x:v>Énergie</x:v>
      </x:c>
      <x:c r="D2989" t="str">
        <x:v>Champ d’éoliennes</x:v>
      </x:c>
      <x:c r="E2989" t="n">
        <x:v>34</x:v>
      </x:c>
      <x:c r="F2989" t="str">
        <x:v>Inspection physique</x:v>
      </x:c>
      <x:c r="G2989" t="str">
        <x:v>1 niveaux ; 12 pièces ; 93 segments de mur ; 0 transitions. Inspection physique ; architecture complète encore ouverte.</x:v>
      </x:c>
      <x:c r="H2989" t="str">
        <x:v>L 280 ; l 3380 ; hauteur 230 m ; emprise auteur, non relevé complet d’un lieu réel</x:v>
      </x:c>
      <x:c r="I2989" t="str">
        <x:v>À équilibrer</x:v>
      </x:c>
      <x:c r="J2989" t="str">
        <x:v>Non</x:v>
      </x:c>
      <x:c r="K2989" t="str">
        <x:v>Pièces décrites, murs, portes, niveaux et mobilier inspectables à l’échelle. Volumes réservés, raccord au seed, butin, rencontres et services de campagne restent à terminer.</x:v>
      </x:c>
    </x:row>
    <x:row r="2990">
      <x:c r="A2990" t="str">
        <x:v>EXT-MONDE-T060-V35</x:v>
      </x:c>
      <x:c r="B2990" t="str">
        <x:v>EXT-MONDE-T060</x:v>
      </x:c>
      <x:c r="C2990" t="str">
        <x:v>Énergie</x:v>
      </x:c>
      <x:c r="D2990" t="str">
        <x:v>Champ d’éoliennes</x:v>
      </x:c>
      <x:c r="E2990" t="n">
        <x:v>35</x:v>
      </x:c>
      <x:c r="F2990" t="str">
        <x:v>Inspection physique</x:v>
      </x:c>
      <x:c r="G2990" t="str">
        <x:v>1 niveaux ; 12 pièces ; 93 segments de mur ; 0 transitions. Inspection physique ; architecture complète encore ouverte.</x:v>
      </x:c>
      <x:c r="H2990" t="str">
        <x:v>L 1030 ; l 2330 ; hauteur 230 m ; emprise auteur, non relevé complet d’un lieu réel</x:v>
      </x:c>
      <x:c r="I2990" t="str">
        <x:v>À équilibrer</x:v>
      </x:c>
      <x:c r="J2990" t="str">
        <x:v>Non</x:v>
      </x:c>
      <x:c r="K2990" t="str">
        <x:v>Pièces décrites, murs, portes, niveaux et mobilier inspectables à l’échelle. Volumes réservés, raccord au seed, butin, rencontres et services de campagne restent à terminer.</x:v>
      </x:c>
    </x:row>
    <x:row r="2991">
      <x:c r="A2991" t="str">
        <x:v>EXT-MONDE-T060-V36</x:v>
      </x:c>
      <x:c r="B2991" t="str">
        <x:v>EXT-MONDE-T060</x:v>
      </x:c>
      <x:c r="C2991" t="str">
        <x:v>Énergie</x:v>
      </x:c>
      <x:c r="D2991" t="str">
        <x:v>Champ d’éoliennes</x:v>
      </x:c>
      <x:c r="E2991" t="n">
        <x:v>36</x:v>
      </x:c>
      <x:c r="F2991" t="str">
        <x:v>Inspection physique</x:v>
      </x:c>
      <x:c r="G2991" t="str">
        <x:v>1 niveaux ; 12 pièces ; 93 segments de mur ; 0 transitions. Inspection physique ; architecture complète encore ouverte.</x:v>
      </x:c>
      <x:c r="H2991" t="str">
        <x:v>L 1780 ; l 1280 ; hauteur 230 m ; emprise auteur, non relevé complet d’un lieu réel</x:v>
      </x:c>
      <x:c r="I2991" t="str">
        <x:v>À équilibrer</x:v>
      </x:c>
      <x:c r="J2991" t="str">
        <x:v>Non</x:v>
      </x:c>
      <x:c r="K2991" t="str">
        <x:v>Pièces décrites, murs, portes, niveaux et mobilier inspectables à l’échelle. Volumes réservés, raccord au seed, butin, rencontres et services de campagne restent à terminer.</x:v>
      </x:c>
    </x:row>
    <x:row r="2992">
      <x:c r="A2992" t="str">
        <x:v>EXT-MONDE-T060-V37</x:v>
      </x:c>
      <x:c r="B2992" t="str">
        <x:v>EXT-MONDE-T060</x:v>
      </x:c>
      <x:c r="C2992" t="str">
        <x:v>Énergie</x:v>
      </x:c>
      <x:c r="D2992" t="str">
        <x:v>Champ d’éoliennes</x:v>
      </x:c>
      <x:c r="E2992" t="n">
        <x:v>37</x:v>
      </x:c>
      <x:c r="F2992" t="str">
        <x:v>Inspection physique</x:v>
      </x:c>
      <x:c r="G2992" t="str">
        <x:v>1 niveaux ; 12 pièces ; 93 segments de mur ; 0 transitions. Inspection physique ; architecture complète encore ouverte.</x:v>
      </x:c>
      <x:c r="H2992" t="str">
        <x:v>L 1030 ; l 3380 ; hauteur 230 m ; emprise auteur, non relevé complet d’un lieu réel</x:v>
      </x:c>
      <x:c r="I2992" t="str">
        <x:v>À équilibrer</x:v>
      </x:c>
      <x:c r="J2992" t="str">
        <x:v>Non</x:v>
      </x:c>
      <x:c r="K2992" t="str">
        <x:v>Pièces décrites, murs, portes, niveaux et mobilier inspectables à l’échelle. Volumes réservés, raccord au seed, butin, rencontres et services de campagne restent à terminer.</x:v>
      </x:c>
    </x:row>
    <x:row r="2993">
      <x:c r="A2993" t="str">
        <x:v>EXT-MONDE-T060-V38</x:v>
      </x:c>
      <x:c r="B2993" t="str">
        <x:v>EXT-MONDE-T060</x:v>
      </x:c>
      <x:c r="C2993" t="str">
        <x:v>Énergie</x:v>
      </x:c>
      <x:c r="D2993" t="str">
        <x:v>Champ d’éoliennes</x:v>
      </x:c>
      <x:c r="E2993" t="n">
        <x:v>38</x:v>
      </x:c>
      <x:c r="F2993" t="str">
        <x:v>Inspection physique</x:v>
      </x:c>
      <x:c r="G2993" t="str">
        <x:v>1 niveaux ; 12 pièces ; 93 segments de mur ; 0 transitions. Inspection physique ; architecture complète encore ouverte.</x:v>
      </x:c>
      <x:c r="H2993" t="str">
        <x:v>L 1780 ; l 2330 ; hauteur 230 m ; emprise auteur, non relevé complet d’un lieu réel</x:v>
      </x:c>
      <x:c r="I2993" t="str">
        <x:v>À équilibrer</x:v>
      </x:c>
      <x:c r="J2993" t="str">
        <x:v>Non</x:v>
      </x:c>
      <x:c r="K2993" t="str">
        <x:v>Pièces décrites, murs, portes, niveaux et mobilier inspectables à l’échelle. Volumes réservés, raccord au seed, butin, rencontres et services de campagne restent à terminer.</x:v>
      </x:c>
    </x:row>
    <x:row r="2994">
      <x:c r="A2994" t="str">
        <x:v>EXT-MONDE-T060-V39</x:v>
      </x:c>
      <x:c r="B2994" t="str">
        <x:v>EXT-MONDE-T060</x:v>
      </x:c>
      <x:c r="C2994" t="str">
        <x:v>Énergie</x:v>
      </x:c>
      <x:c r="D2994" t="str">
        <x:v>Champ d’éoliennes</x:v>
      </x:c>
      <x:c r="E2994" t="n">
        <x:v>39</x:v>
      </x:c>
      <x:c r="F2994" t="str">
        <x:v>Inspection physique</x:v>
      </x:c>
      <x:c r="G2994" t="str">
        <x:v>1 niveaux ; 12 pièces ; 93 segments de mur ; 0 transitions. Inspection physique ; architecture complète encore ouverte.</x:v>
      </x:c>
      <x:c r="H2994" t="str">
        <x:v>L 1030 ; l 4430 ; hauteur 230 m ; emprise auteur, non relevé complet d’un lieu réel</x:v>
      </x:c>
      <x:c r="I2994" t="str">
        <x:v>À équilibrer</x:v>
      </x:c>
      <x:c r="J2994" t="str">
        <x:v>Non</x:v>
      </x:c>
      <x:c r="K2994" t="str">
        <x:v>Pièces décrites, murs, portes, niveaux et mobilier inspectables à l’échelle. Volumes réservés, raccord au seed, butin, rencontres et services de campagne restent à terminer.</x:v>
      </x:c>
    </x:row>
    <x:row r="2995">
      <x:c r="A2995" t="str">
        <x:v>EXT-MONDE-T060-V40</x:v>
      </x:c>
      <x:c r="B2995" t="str">
        <x:v>EXT-MONDE-T060</x:v>
      </x:c>
      <x:c r="C2995" t="str">
        <x:v>Énergie</x:v>
      </x:c>
      <x:c r="D2995" t="str">
        <x:v>Champ d’éoliennes</x:v>
      </x:c>
      <x:c r="E2995" t="n">
        <x:v>40</x:v>
      </x:c>
      <x:c r="F2995" t="str">
        <x:v>Inspection physique</x:v>
      </x:c>
      <x:c r="G2995" t="str">
        <x:v>1 niveaux ; 12 pièces ; 93 segments de mur ; 0 transitions. Inspection physique ; architecture complète encore ouverte.</x:v>
      </x:c>
      <x:c r="H2995" t="str">
        <x:v>L 1780 ; l 3380 ; hauteur 230 m ; emprise auteur, non relevé complet d’un lieu réel</x:v>
      </x:c>
      <x:c r="I2995" t="str">
        <x:v>À équilibrer</x:v>
      </x:c>
      <x:c r="J2995" t="str">
        <x:v>Non</x:v>
      </x:c>
      <x:c r="K2995" t="str">
        <x:v>Pièces décrites, murs, portes, niveaux et mobilier inspectables à l’échelle. Volumes réservés, raccord au seed, butin, rencontres et services de campagne restent à terminer.</x:v>
      </x:c>
    </x:row>
    <x:row r="2996">
      <x:c r="A2996" t="str">
        <x:v>EXT-MONDE-T060-V41</x:v>
      </x:c>
      <x:c r="B2996" t="str">
        <x:v>EXT-MONDE-T060</x:v>
      </x:c>
      <x:c r="C2996" t="str">
        <x:v>Énergie</x:v>
      </x:c>
      <x:c r="D2996" t="str">
        <x:v>Champ d’éoliennes</x:v>
      </x:c>
      <x:c r="E2996" t="n">
        <x:v>41</x:v>
      </x:c>
      <x:c r="F2996" t="str">
        <x:v>Inspection physique</x:v>
      </x:c>
      <x:c r="G2996" t="str">
        <x:v>1 niveaux ; 12 pièces ; 93 segments de mur ; 0 transitions. Inspection physique ; architecture complète encore ouverte.</x:v>
      </x:c>
      <x:c r="H2996" t="str">
        <x:v>L 280 ; l 1280 ; hauteur 241 m ; emprise auteur, non relevé complet d’un lieu réel</x:v>
      </x:c>
      <x:c r="I2996" t="str">
        <x:v>À équilibrer</x:v>
      </x:c>
      <x:c r="J2996" t="str">
        <x:v>Non</x:v>
      </x:c>
      <x:c r="K2996" t="str">
        <x:v>Pièces décrites, murs, portes, niveaux et mobilier inspectables à l’échelle. Volumes réservés, raccord au seed, butin, rencontres et services de campagne restent à terminer.</x:v>
      </x:c>
    </x:row>
    <x:row r="2997">
      <x:c r="A2997" t="str">
        <x:v>EXT-MONDE-T060-V42</x:v>
      </x:c>
      <x:c r="B2997" t="str">
        <x:v>EXT-MONDE-T060</x:v>
      </x:c>
      <x:c r="C2997" t="str">
        <x:v>Énergie</x:v>
      </x:c>
      <x:c r="D2997" t="str">
        <x:v>Champ d’éoliennes</x:v>
      </x:c>
      <x:c r="E2997" t="n">
        <x:v>42</x:v>
      </x:c>
      <x:c r="F2997" t="str">
        <x:v>Inspection physique</x:v>
      </x:c>
      <x:c r="G2997" t="str">
        <x:v>1 niveaux ; 12 pièces ; 93 segments de mur ; 0 transitions. Inspection physique ; architecture complète encore ouverte.</x:v>
      </x:c>
      <x:c r="H2997" t="str">
        <x:v>L 280 ; l 2330 ; hauteur 241 m ; emprise auteur, non relevé complet d’un lieu réel</x:v>
      </x:c>
      <x:c r="I2997" t="str">
        <x:v>À équilibrer</x:v>
      </x:c>
      <x:c r="J2997" t="str">
        <x:v>Non</x:v>
      </x:c>
      <x:c r="K2997" t="str">
        <x:v>Pièces décrites, murs, portes, niveaux et mobilier inspectables à l’échelle. Volumes réservés, raccord au seed, butin, rencontres et services de campagne restent à terminer.</x:v>
      </x:c>
    </x:row>
    <x:row r="2998">
      <x:c r="A2998" t="str">
        <x:v>EXT-MONDE-T060-V43</x:v>
      </x:c>
      <x:c r="B2998" t="str">
        <x:v>EXT-MONDE-T060</x:v>
      </x:c>
      <x:c r="C2998" t="str">
        <x:v>Énergie</x:v>
      </x:c>
      <x:c r="D2998" t="str">
        <x:v>Champ d’éoliennes</x:v>
      </x:c>
      <x:c r="E2998" t="n">
        <x:v>43</x:v>
      </x:c>
      <x:c r="F2998" t="str">
        <x:v>Inspection physique</x:v>
      </x:c>
      <x:c r="G2998" t="str">
        <x:v>1 niveaux ; 12 pièces ; 93 segments de mur ; 0 transitions. Inspection physique ; architecture complète encore ouverte.</x:v>
      </x:c>
      <x:c r="H2998" t="str">
        <x:v>L 1030 ; l 1280 ; hauteur 241 m ; emprise auteur, non relevé complet d’un lieu réel</x:v>
      </x:c>
      <x:c r="I2998" t="str">
        <x:v>À équilibrer</x:v>
      </x:c>
      <x:c r="J2998" t="str">
        <x:v>Non</x:v>
      </x:c>
      <x:c r="K2998" t="str">
        <x:v>Pièces décrites, murs, portes, niveaux et mobilier inspectables à l’échelle. Volumes réservés, raccord au seed, butin, rencontres et services de campagne restent à terminer.</x:v>
      </x:c>
    </x:row>
    <x:row r="2999">
      <x:c r="A2999" t="str">
        <x:v>EXT-MONDE-T060-V44</x:v>
      </x:c>
      <x:c r="B2999" t="str">
        <x:v>EXT-MONDE-T060</x:v>
      </x:c>
      <x:c r="C2999" t="str">
        <x:v>Énergie</x:v>
      </x:c>
      <x:c r="D2999" t="str">
        <x:v>Champ d’éoliennes</x:v>
      </x:c>
      <x:c r="E2999" t="n">
        <x:v>44</x:v>
      </x:c>
      <x:c r="F2999" t="str">
        <x:v>Inspection physique</x:v>
      </x:c>
      <x:c r="G2999" t="str">
        <x:v>1 niveaux ; 12 pièces ; 93 segments de mur ; 0 transitions. Inspection physique ; architecture complète encore ouverte.</x:v>
      </x:c>
      <x:c r="H2999" t="str">
        <x:v>L 280 ; l 3380 ; hauteur 241 m ; emprise auteur, non relevé complet d’un lieu réel</x:v>
      </x:c>
      <x:c r="I2999" t="str">
        <x:v>À équilibrer</x:v>
      </x:c>
      <x:c r="J2999" t="str">
        <x:v>Non</x:v>
      </x:c>
      <x:c r="K2999" t="str">
        <x:v>Pièces décrites, murs, portes, niveaux et mobilier inspectables à l’échelle. Volumes réservés, raccord au seed, butin, rencontres et services de campagne restent à terminer.</x:v>
      </x:c>
    </x:row>
    <x:row r="3000">
      <x:c r="A3000" t="str">
        <x:v>EXT-MONDE-T060-V45</x:v>
      </x:c>
      <x:c r="B3000" t="str">
        <x:v>EXT-MONDE-T060</x:v>
      </x:c>
      <x:c r="C3000" t="str">
        <x:v>Énergie</x:v>
      </x:c>
      <x:c r="D3000" t="str">
        <x:v>Champ d’éoliennes</x:v>
      </x:c>
      <x:c r="E3000" t="n">
        <x:v>45</x:v>
      </x:c>
      <x:c r="F3000" t="str">
        <x:v>Inspection physique</x:v>
      </x:c>
      <x:c r="G3000" t="str">
        <x:v>1 niveaux ; 12 pièces ; 93 segments de mur ; 0 transitions. Inspection physique ; architecture complète encore ouverte.</x:v>
      </x:c>
      <x:c r="H3000" t="str">
        <x:v>L 1030 ; l 2330 ; hauteur 241 m ; emprise auteur, non relevé complet d’un lieu réel</x:v>
      </x:c>
      <x:c r="I3000" t="str">
        <x:v>À équilibrer</x:v>
      </x:c>
      <x:c r="J3000" t="str">
        <x:v>Non</x:v>
      </x:c>
      <x:c r="K3000" t="str">
        <x:v>Pièces décrites, murs, portes, niveaux et mobilier inspectables à l’échelle. Volumes réservés, raccord au seed, butin, rencontres et services de campagne restent à terminer.</x:v>
      </x:c>
    </x:row>
    <x:row r="3001">
      <x:c r="A3001" t="str">
        <x:v>EXT-MONDE-T060-V46</x:v>
      </x:c>
      <x:c r="B3001" t="str">
        <x:v>EXT-MONDE-T060</x:v>
      </x:c>
      <x:c r="C3001" t="str">
        <x:v>Énergie</x:v>
      </x:c>
      <x:c r="D3001" t="str">
        <x:v>Champ d’éoliennes</x:v>
      </x:c>
      <x:c r="E3001" t="n">
        <x:v>46</x:v>
      </x:c>
      <x:c r="F3001" t="str">
        <x:v>Inspection physique</x:v>
      </x:c>
      <x:c r="G3001" t="str">
        <x:v>1 niveaux ; 12 pièces ; 93 segments de mur ; 0 transitions. Inspection physique ; architecture complète encore ouverte.</x:v>
      </x:c>
      <x:c r="H3001" t="str">
        <x:v>L 1780 ; l 1280 ; hauteur 241 m ; emprise auteur, non relevé complet d’un lieu réel</x:v>
      </x:c>
      <x:c r="I3001" t="str">
        <x:v>À équilibrer</x:v>
      </x:c>
      <x:c r="J3001" t="str">
        <x:v>Non</x:v>
      </x:c>
      <x:c r="K3001" t="str">
        <x:v>Pièces décrites, murs, portes, niveaux et mobilier inspectables à l’échelle. Volumes réservés, raccord au seed, butin, rencontres et services de campagne restent à terminer.</x:v>
      </x:c>
    </x:row>
    <x:row r="3002">
      <x:c r="A3002" t="str">
        <x:v>EXT-MONDE-T060-V47</x:v>
      </x:c>
      <x:c r="B3002" t="str">
        <x:v>EXT-MONDE-T060</x:v>
      </x:c>
      <x:c r="C3002" t="str">
        <x:v>Énergie</x:v>
      </x:c>
      <x:c r="D3002" t="str">
        <x:v>Champ d’éoliennes</x:v>
      </x:c>
      <x:c r="E3002" t="n">
        <x:v>47</x:v>
      </x:c>
      <x:c r="F3002" t="str">
        <x:v>Inspection physique</x:v>
      </x:c>
      <x:c r="G3002" t="str">
        <x:v>1 niveaux ; 12 pièces ; 93 segments de mur ; 0 transitions. Inspection physique ; architecture complète encore ouverte.</x:v>
      </x:c>
      <x:c r="H3002" t="str">
        <x:v>L 1030 ; l 3380 ; hauteur 241 m ; emprise auteur, non relevé complet d’un lieu réel</x:v>
      </x:c>
      <x:c r="I3002" t="str">
        <x:v>À équilibrer</x:v>
      </x:c>
      <x:c r="J3002" t="str">
        <x:v>Non</x:v>
      </x:c>
      <x:c r="K3002" t="str">
        <x:v>Pièces décrites, murs, portes, niveaux et mobilier inspectables à l’échelle. Volumes réservés, raccord au seed, butin, rencontres et services de campagne restent à terminer.</x:v>
      </x:c>
    </x:row>
    <x:row r="3003">
      <x:c r="A3003" t="str">
        <x:v>EXT-MONDE-T060-V48</x:v>
      </x:c>
      <x:c r="B3003" t="str">
        <x:v>EXT-MONDE-T060</x:v>
      </x:c>
      <x:c r="C3003" t="str">
        <x:v>Énergie</x:v>
      </x:c>
      <x:c r="D3003" t="str">
        <x:v>Champ d’éoliennes</x:v>
      </x:c>
      <x:c r="E3003" t="n">
        <x:v>48</x:v>
      </x:c>
      <x:c r="F3003" t="str">
        <x:v>Inspection physique</x:v>
      </x:c>
      <x:c r="G3003" t="str">
        <x:v>1 niveaux ; 12 pièces ; 93 segments de mur ; 0 transitions. Inspection physique ; architecture complète encore ouverte.</x:v>
      </x:c>
      <x:c r="H3003" t="str">
        <x:v>L 1780 ; l 2330 ; hauteur 241 m ; emprise auteur, non relevé complet d’un lieu réel</x:v>
      </x:c>
      <x:c r="I3003" t="str">
        <x:v>À équilibrer</x:v>
      </x:c>
      <x:c r="J3003" t="str">
        <x:v>Non</x:v>
      </x:c>
      <x:c r="K3003" t="str">
        <x:v>Pièces décrites, murs, portes, niveaux et mobilier inspectables à l’échelle. Volumes réservés, raccord au seed, butin, rencontres et services de campagne restent à terminer.</x:v>
      </x:c>
    </x:row>
    <x:row r="3004">
      <x:c r="A3004" t="str">
        <x:v>EXT-MONDE-T060-V49</x:v>
      </x:c>
      <x:c r="B3004" t="str">
        <x:v>EXT-MONDE-T060</x:v>
      </x:c>
      <x:c r="C3004" t="str">
        <x:v>Énergie</x:v>
      </x:c>
      <x:c r="D3004" t="str">
        <x:v>Champ d’éoliennes</x:v>
      </x:c>
      <x:c r="E3004" t="n">
        <x:v>49</x:v>
      </x:c>
      <x:c r="F3004" t="str">
        <x:v>Inspection physique</x:v>
      </x:c>
      <x:c r="G3004" t="str">
        <x:v>1 niveaux ; 12 pièces ; 93 segments de mur ; 0 transitions. Inspection physique ; architecture complète encore ouverte.</x:v>
      </x:c>
      <x:c r="H3004" t="str">
        <x:v>L 1030 ; l 4430 ; hauteur 241 m ; emprise auteur, non relevé complet d’un lieu réel</x:v>
      </x:c>
      <x:c r="I3004" t="str">
        <x:v>À équilibrer</x:v>
      </x:c>
      <x:c r="J3004" t="str">
        <x:v>Non</x:v>
      </x:c>
      <x:c r="K3004" t="str">
        <x:v>Pièces décrites, murs, portes, niveaux et mobilier inspectables à l’échelle. Volumes réservés, raccord au seed, butin, rencontres et services de campagne restent à terminer.</x:v>
      </x:c>
    </x:row>
    <x:row r="3005">
      <x:c r="A3005" t="str">
        <x:v>EXT-MONDE-T060-V50</x:v>
      </x:c>
      <x:c r="B3005" t="str">
        <x:v>EXT-MONDE-T060</x:v>
      </x:c>
      <x:c r="C3005" t="str">
        <x:v>Énergie</x:v>
      </x:c>
      <x:c r="D3005" t="str">
        <x:v>Champ d’éoliennes</x:v>
      </x:c>
      <x:c r="E3005" t="n">
        <x:v>50</x:v>
      </x:c>
      <x:c r="F3005" t="str">
        <x:v>Inspection physique</x:v>
      </x:c>
      <x:c r="G3005" t="str">
        <x:v>1 niveaux ; 12 pièces ; 93 segments de mur ; 0 transitions. Inspection physique ; architecture complète encore ouverte.</x:v>
      </x:c>
      <x:c r="H3005" t="str">
        <x:v>L 1780 ; l 3380 ; hauteur 241 m ; emprise auteur, non relevé complet d’un lieu réel</x:v>
      </x:c>
      <x:c r="I3005" t="str">
        <x:v>À équilibrer</x:v>
      </x:c>
      <x:c r="J3005" t="str">
        <x:v>Non</x:v>
      </x:c>
      <x:c r="K3005" t="str">
        <x:v>Pièces décrites, murs, portes, niveaux et mobilier inspectables à l’échelle. Volumes réservés, raccord au seed, butin, rencontres et services de campagne restent à terminer.</x:v>
      </x:c>
    </x:row>
    <x:row r="3006" ht="96" customHeight="1">
      <x:c r="A3006" s="115" t="str">
        <x:v>EXT-MONDE-T061-V01</x:v>
      </x:c>
      <x:c r="B3006" s="115" t="str">
        <x:v>EXT-MONDE-T061</x:v>
      </x:c>
      <x:c r="C3006" s="115" t="str">
        <x:v>Épuration</x:v>
      </x:c>
      <x:c r="D3006" s="115" t="str">
        <x:v>Station d’épuration urbaine</x:v>
      </x:c>
      <x:c r="E3006" s="115" t="n">
        <x:v>1</x:v>
      </x:c>
      <x:c r="F3006" s="115" t="str">
        <x:v>Inspection physique</x:v>
      </x:c>
      <x:c r="G3006" s="115" t="str">
        <x:v>1 niveaux ; 22 pièces ; 167 segments de mur ; 0 transitions. Inspection physique ; architecture complète encore ouverte.</x:v>
      </x:c>
      <x:c r="H3006" s="115" t="str">
        <x:v>L 430 ; l 440 ; hauteur 12 m ; choix de composition auteur ; dimensions réelles à documenter</x:v>
      </x:c>
      <x:c r="I3006" s="115" t="str">
        <x:v>À équilibrer</x:v>
      </x:c>
      <x:c r="J3006" s="115" t="str">
        <x:v>Non</x:v>
      </x:c>
      <x:c r="K3006" s="115" t="str">
        <x:v>Pièces décrites, murs, portes, niveaux et mobilier inspectables à l’échelle. Volumes réservés, raccord au seed, butin, rencontres et services de campagne restent à terminer.</x:v>
      </x:c>
    </x:row>
    <x:row r="3007" ht="96" customHeight="1">
      <x:c r="A3007" s="115" t="str">
        <x:v>EXT-MONDE-T061-V02</x:v>
      </x:c>
      <x:c r="B3007" s="115" t="str">
        <x:v>EXT-MONDE-T061</x:v>
      </x:c>
      <x:c r="C3007" s="115" t="str">
        <x:v>Épuration</x:v>
      </x:c>
      <x:c r="D3007" s="115" t="str">
        <x:v>Station d’épuration urbaine</x:v>
      </x:c>
      <x:c r="E3007" s="115" t="n">
        <x:v>2</x:v>
      </x:c>
      <x:c r="F3007" s="115" t="str">
        <x:v>Inspection physique</x:v>
      </x:c>
      <x:c r="G3007" s="115" t="str">
        <x:v>1 niveaux ; 22 pièces ; 167 segments de mur ; 0 transitions. Inspection physique ; architecture complète encore ouverte.</x:v>
      </x:c>
      <x:c r="H3007" s="115" t="str">
        <x:v>L 430 ; l 440 ; hauteur 12 m ; choix de composition auteur ; dimensions réelles à documenter</x:v>
      </x:c>
      <x:c r="I3007" s="115" t="str">
        <x:v>À équilibrer</x:v>
      </x:c>
      <x:c r="J3007" s="115" t="str">
        <x:v>Non</x:v>
      </x:c>
      <x:c r="K3007" s="115" t="str">
        <x:v>Pièces décrites, murs, portes, niveaux et mobilier inspectables à l’échelle. Volumes réservés, raccord au seed, butin, rencontres et services de campagne restent à terminer.</x:v>
      </x:c>
    </x:row>
    <x:row r="3008" ht="96" customHeight="1">
      <x:c r="A3008" s="115" t="str">
        <x:v>EXT-MONDE-T061-V03</x:v>
      </x:c>
      <x:c r="B3008" s="115" t="str">
        <x:v>EXT-MONDE-T061</x:v>
      </x:c>
      <x:c r="C3008" s="115" t="str">
        <x:v>Épuration</x:v>
      </x:c>
      <x:c r="D3008" s="115" t="str">
        <x:v>Station d’épuration urbaine</x:v>
      </x:c>
      <x:c r="E3008" s="115" t="n">
        <x:v>3</x:v>
      </x:c>
      <x:c r="F3008" s="115" t="str">
        <x:v>Inspection physique</x:v>
      </x:c>
      <x:c r="G3008" s="115" t="str">
        <x:v>1 niveaux ; 22 pièces ; 167 segments de mur ; 0 transitions. Inspection physique ; architecture complète encore ouverte.</x:v>
      </x:c>
      <x:c r="H3008" s="115" t="str">
        <x:v>L 430 ; l 440 ; hauteur 12 m ; choix de composition auteur ; dimensions réelles à documenter</x:v>
      </x:c>
      <x:c r="I3008" s="115" t="str">
        <x:v>À équilibrer</x:v>
      </x:c>
      <x:c r="J3008" s="115" t="str">
        <x:v>Non</x:v>
      </x:c>
      <x:c r="K3008" s="115" t="str">
        <x:v>Pièces décrites, murs, portes, niveaux et mobilier inspectables à l’échelle. Volumes réservés, raccord au seed, butin, rencontres et services de campagne restent à terminer.</x:v>
      </x:c>
    </x:row>
    <x:row r="3009" ht="96" customHeight="1">
      <x:c r="A3009" s="115" t="str">
        <x:v>EXT-MONDE-T061-V04</x:v>
      </x:c>
      <x:c r="B3009" s="115" t="str">
        <x:v>EXT-MONDE-T061</x:v>
      </x:c>
      <x:c r="C3009" s="115" t="str">
        <x:v>Épuration</x:v>
      </x:c>
      <x:c r="D3009" s="115" t="str">
        <x:v>Station d’épuration urbaine</x:v>
      </x:c>
      <x:c r="E3009" s="115" t="n">
        <x:v>4</x:v>
      </x:c>
      <x:c r="F3009" s="115" t="str">
        <x:v>Inspection physique</x:v>
      </x:c>
      <x:c r="G3009" s="115" t="str">
        <x:v>1 niveaux ; 22 pièces ; 167 segments de mur ; 0 transitions. Inspection physique ; architecture complète encore ouverte.</x:v>
      </x:c>
      <x:c r="H3009" s="115" t="str">
        <x:v>L 430 ; l 440 ; hauteur 12 m ; choix de composition auteur ; dimensions réelles à documenter</x:v>
      </x:c>
      <x:c r="I3009" s="115" t="str">
        <x:v>À équilibrer</x:v>
      </x:c>
      <x:c r="J3009" s="115" t="str">
        <x:v>Non</x:v>
      </x:c>
      <x:c r="K3009" s="115" t="str">
        <x:v>Pièces décrites, murs, portes, niveaux et mobilier inspectables à l’échelle. Volumes réservés, raccord au seed, butin, rencontres et services de campagne restent à terminer.</x:v>
      </x:c>
    </x:row>
    <x:row r="3010" ht="96" customHeight="1">
      <x:c r="A3010" s="115" t="str">
        <x:v>EXT-MONDE-T061-V05</x:v>
      </x:c>
      <x:c r="B3010" s="115" t="str">
        <x:v>EXT-MONDE-T061</x:v>
      </x:c>
      <x:c r="C3010" s="115" t="str">
        <x:v>Épuration</x:v>
      </x:c>
      <x:c r="D3010" s="115" t="str">
        <x:v>Station d’épuration urbaine</x:v>
      </x:c>
      <x:c r="E3010" s="115" t="n">
        <x:v>5</x:v>
      </x:c>
      <x:c r="F3010" s="115" t="str">
        <x:v>Inspection physique</x:v>
      </x:c>
      <x:c r="G3010" s="115" t="str">
        <x:v>1 niveaux ; 22 pièces ; 167 segments de mur ; 0 transitions. Inspection physique ; architecture complète encore ouverte.</x:v>
      </x:c>
      <x:c r="H3010" s="115" t="str">
        <x:v>L 430 ; l 440 ; hauteur 12 m ; choix de composition auteur ; dimensions réelles à documenter</x:v>
      </x:c>
      <x:c r="I3010" s="115" t="str">
        <x:v>À équilibrer</x:v>
      </x:c>
      <x:c r="J3010" s="115" t="str">
        <x:v>Non</x:v>
      </x:c>
      <x:c r="K3010" s="115" t="str">
        <x:v>Pièces décrites, murs, portes, niveaux et mobilier inspectables à l’échelle. Volumes réservés, raccord au seed, butin, rencontres et services de campagne restent à terminer.</x:v>
      </x:c>
    </x:row>
    <x:row r="3011" ht="96" customHeight="1">
      <x:c r="A3011" s="115" t="str">
        <x:v>EXT-MONDE-T061-V06</x:v>
      </x:c>
      <x:c r="B3011" s="115" t="str">
        <x:v>EXT-MONDE-T061</x:v>
      </x:c>
      <x:c r="C3011" s="115" t="str">
        <x:v>Épuration</x:v>
      </x:c>
      <x:c r="D3011" s="115" t="str">
        <x:v>Station d’épuration urbaine</x:v>
      </x:c>
      <x:c r="E3011" s="115" t="n">
        <x:v>6</x:v>
      </x:c>
      <x:c r="F3011" s="115" t="str">
        <x:v>Inspection physique</x:v>
      </x:c>
      <x:c r="G3011" s="115" t="str">
        <x:v>1 niveaux ; 22 pièces ; 167 segments de mur ; 0 transitions. Inspection physique ; architecture complète encore ouverte.</x:v>
      </x:c>
      <x:c r="H3011" s="115" t="str">
        <x:v>L 430 ; l 440 ; hauteur 12 m ; choix de composition auteur ; dimensions réelles à documenter</x:v>
      </x:c>
      <x:c r="I3011" s="115" t="str">
        <x:v>À équilibrer</x:v>
      </x:c>
      <x:c r="J3011" s="115" t="str">
        <x:v>Non</x:v>
      </x:c>
      <x:c r="K3011" s="115" t="str">
        <x:v>Pièces décrites, murs, portes, niveaux et mobilier inspectables à l’échelle. Volumes réservés, raccord au seed, butin, rencontres et services de campagne restent à terminer.</x:v>
      </x:c>
    </x:row>
    <x:row r="3012" ht="96" customHeight="1">
      <x:c r="A3012" s="115" t="str">
        <x:v>EXT-MONDE-T061-V07</x:v>
      </x:c>
      <x:c r="B3012" s="115" t="str">
        <x:v>EXT-MONDE-T061</x:v>
      </x:c>
      <x:c r="C3012" s="115" t="str">
        <x:v>Épuration</x:v>
      </x:c>
      <x:c r="D3012" s="115" t="str">
        <x:v>Station d’épuration urbaine</x:v>
      </x:c>
      <x:c r="E3012" s="115" t="n">
        <x:v>7</x:v>
      </x:c>
      <x:c r="F3012" s="115" t="str">
        <x:v>Inspection physique</x:v>
      </x:c>
      <x:c r="G3012" s="115" t="str">
        <x:v>1 niveaux ; 22 pièces ; 167 segments de mur ; 0 transitions. Inspection physique ; architecture complète encore ouverte.</x:v>
      </x:c>
      <x:c r="H3012" s="115" t="str">
        <x:v>L 430 ; l 440 ; hauteur 12 m ; choix de composition auteur ; dimensions réelles à documenter</x:v>
      </x:c>
      <x:c r="I3012" s="115" t="str">
        <x:v>À équilibrer</x:v>
      </x:c>
      <x:c r="J3012" s="115" t="str">
        <x:v>Non</x:v>
      </x:c>
      <x:c r="K3012" s="115" t="str">
        <x:v>Pièces décrites, murs, portes, niveaux et mobilier inspectables à l’échelle. Volumes réservés, raccord au seed, butin, rencontres et services de campagne restent à terminer.</x:v>
      </x:c>
    </x:row>
    <x:row r="3013" ht="96" customHeight="1">
      <x:c r="A3013" s="115" t="str">
        <x:v>EXT-MONDE-T061-V08</x:v>
      </x:c>
      <x:c r="B3013" s="115" t="str">
        <x:v>EXT-MONDE-T061</x:v>
      </x:c>
      <x:c r="C3013" s="115" t="str">
        <x:v>Épuration</x:v>
      </x:c>
      <x:c r="D3013" s="115" t="str">
        <x:v>Station d’épuration urbaine</x:v>
      </x:c>
      <x:c r="E3013" s="115" t="n">
        <x:v>8</x:v>
      </x:c>
      <x:c r="F3013" s="115" t="str">
        <x:v>Inspection physique</x:v>
      </x:c>
      <x:c r="G3013" s="115" t="str">
        <x:v>1 niveaux ; 22 pièces ; 167 segments de mur ; 0 transitions. Inspection physique ; architecture complète encore ouverte.</x:v>
      </x:c>
      <x:c r="H3013" s="115" t="str">
        <x:v>L 430 ; l 440 ; hauteur 12 m ; choix de composition auteur ; dimensions réelles à documenter</x:v>
      </x:c>
      <x:c r="I3013" s="115" t="str">
        <x:v>À équilibrer</x:v>
      </x:c>
      <x:c r="J3013" s="115" t="str">
        <x:v>Non</x:v>
      </x:c>
      <x:c r="K3013" s="115" t="str">
        <x:v>Pièces décrites, murs, portes, niveaux et mobilier inspectables à l’échelle. Volumes réservés, raccord au seed, butin, rencontres et services de campagne restent à terminer.</x:v>
      </x:c>
    </x:row>
    <x:row r="3014" ht="96" customHeight="1">
      <x:c r="A3014" s="115" t="str">
        <x:v>EXT-MONDE-T061-V09</x:v>
      </x:c>
      <x:c r="B3014" s="115" t="str">
        <x:v>EXT-MONDE-T061</x:v>
      </x:c>
      <x:c r="C3014" s="115" t="str">
        <x:v>Épuration</x:v>
      </x:c>
      <x:c r="D3014" s="115" t="str">
        <x:v>Station d’épuration urbaine</x:v>
      </x:c>
      <x:c r="E3014" s="115" t="n">
        <x:v>9</x:v>
      </x:c>
      <x:c r="F3014" s="115" t="str">
        <x:v>Inspection physique</x:v>
      </x:c>
      <x:c r="G3014" s="115" t="str">
        <x:v>1 niveaux ; 22 pièces ; 167 segments de mur ; 0 transitions. Inspection physique ; architecture complète encore ouverte.</x:v>
      </x:c>
      <x:c r="H3014" s="115" t="str">
        <x:v>L 430 ; l 440 ; hauteur 12 m ; choix de composition auteur ; dimensions réelles à documenter</x:v>
      </x:c>
      <x:c r="I3014" s="115" t="str">
        <x:v>À équilibrer</x:v>
      </x:c>
      <x:c r="J3014" s="115" t="str">
        <x:v>Non</x:v>
      </x:c>
      <x:c r="K3014" s="115" t="str">
        <x:v>Pièces décrites, murs, portes, niveaux et mobilier inspectables à l’échelle. Volumes réservés, raccord au seed, butin, rencontres et services de campagne restent à terminer.</x:v>
      </x:c>
    </x:row>
    <x:row r="3015" ht="96" customHeight="1">
      <x:c r="A3015" s="115" t="str">
        <x:v>EXT-MONDE-T061-V10</x:v>
      </x:c>
      <x:c r="B3015" s="115" t="str">
        <x:v>EXT-MONDE-T061</x:v>
      </x:c>
      <x:c r="C3015" s="115" t="str">
        <x:v>Épuration</x:v>
      </x:c>
      <x:c r="D3015" s="115" t="str">
        <x:v>Station d’épuration urbaine</x:v>
      </x:c>
      <x:c r="E3015" s="115" t="n">
        <x:v>10</x:v>
      </x:c>
      <x:c r="F3015" s="115" t="str">
        <x:v>Inspection physique</x:v>
      </x:c>
      <x:c r="G3015" s="115" t="str">
        <x:v>1 niveaux ; 22 pièces ; 167 segments de mur ; 0 transitions. Inspection physique ; architecture complète encore ouverte.</x:v>
      </x:c>
      <x:c r="H3015" s="115" t="str">
        <x:v>L 430 ; l 440 ; hauteur 12 m ; choix de composition auteur ; dimensions réelles à documenter</x:v>
      </x:c>
      <x:c r="I3015" s="115" t="str">
        <x:v>À équilibrer</x:v>
      </x:c>
      <x:c r="J3015" s="115" t="str">
        <x:v>Non</x:v>
      </x:c>
      <x:c r="K3015" s="115" t="str">
        <x:v>Pièces décrites, murs, portes, niveaux et mobilier inspectables à l’échelle. Volumes réservés, raccord au seed, butin, rencontres et services de campagne restent à terminer.</x:v>
      </x:c>
    </x:row>
    <x:row r="3016" ht="96" customHeight="1">
      <x:c r="A3016" s="115" t="str">
        <x:v>EXT-MONDE-T061-V11</x:v>
      </x:c>
      <x:c r="B3016" s="115" t="str">
        <x:v>EXT-MONDE-T061</x:v>
      </x:c>
      <x:c r="C3016" s="115" t="str">
        <x:v>Épuration</x:v>
      </x:c>
      <x:c r="D3016" s="115" t="str">
        <x:v>Station d’épuration urbaine</x:v>
      </x:c>
      <x:c r="E3016" s="115" t="n">
        <x:v>11</x:v>
      </x:c>
      <x:c r="F3016" s="115" t="str">
        <x:v>Inspection physique</x:v>
      </x:c>
      <x:c r="G3016" s="115" t="str">
        <x:v>1 niveaux ; 22 pièces ; 167 segments de mur ; 0 transitions. Inspection physique ; architecture complète encore ouverte.</x:v>
      </x:c>
      <x:c r="H3016" s="115" t="str">
        <x:v>L 448 ; l 460 ; hauteur 12 m ; choix de composition auteur ; dimensions réelles à documenter</x:v>
      </x:c>
      <x:c r="I3016" s="115" t="str">
        <x:v>À équilibrer</x:v>
      </x:c>
      <x:c r="J3016" s="115" t="str">
        <x:v>Non</x:v>
      </x:c>
      <x:c r="K3016" s="115" t="str">
        <x:v>Pièces décrites, murs, portes, niveaux et mobilier inspectables à l’échelle. Volumes réservés, raccord au seed, butin, rencontres et services de campagne restent à terminer.</x:v>
      </x:c>
    </x:row>
    <x:row r="3017" ht="96" customHeight="1">
      <x:c r="A3017" s="115" t="str">
        <x:v>EXT-MONDE-T061-V12</x:v>
      </x:c>
      <x:c r="B3017" s="115" t="str">
        <x:v>EXT-MONDE-T061</x:v>
      </x:c>
      <x:c r="C3017" s="115" t="str">
        <x:v>Épuration</x:v>
      </x:c>
      <x:c r="D3017" s="115" t="str">
        <x:v>Station d’épuration urbaine</x:v>
      </x:c>
      <x:c r="E3017" s="115" t="n">
        <x:v>12</x:v>
      </x:c>
      <x:c r="F3017" s="115" t="str">
        <x:v>Inspection physique</x:v>
      </x:c>
      <x:c r="G3017" s="115" t="str">
        <x:v>1 niveaux ; 22 pièces ; 167 segments de mur ; 0 transitions. Inspection physique ; architecture complète encore ouverte.</x:v>
      </x:c>
      <x:c r="H3017" s="115" t="str">
        <x:v>L 448 ; l 460 ; hauteur 12 m ; choix de composition auteur ; dimensions réelles à documenter</x:v>
      </x:c>
      <x:c r="I3017" s="115" t="str">
        <x:v>À équilibrer</x:v>
      </x:c>
      <x:c r="J3017" s="115" t="str">
        <x:v>Non</x:v>
      </x:c>
      <x:c r="K3017" s="115" t="str">
        <x:v>Pièces décrites, murs, portes, niveaux et mobilier inspectables à l’échelle. Volumes réservés, raccord au seed, butin, rencontres et services de campagne restent à terminer.</x:v>
      </x:c>
    </x:row>
    <x:row r="3018" ht="96" customHeight="1">
      <x:c r="A3018" s="115" t="str">
        <x:v>EXT-MONDE-T061-V13</x:v>
      </x:c>
      <x:c r="B3018" s="115" t="str">
        <x:v>EXT-MONDE-T061</x:v>
      </x:c>
      <x:c r="C3018" s="115" t="str">
        <x:v>Épuration</x:v>
      </x:c>
      <x:c r="D3018" s="115" t="str">
        <x:v>Station d’épuration urbaine</x:v>
      </x:c>
      <x:c r="E3018" s="115" t="n">
        <x:v>13</x:v>
      </x:c>
      <x:c r="F3018" s="115" t="str">
        <x:v>Inspection physique</x:v>
      </x:c>
      <x:c r="G3018" s="115" t="str">
        <x:v>1 niveaux ; 22 pièces ; 167 segments de mur ; 0 transitions. Inspection physique ; architecture complète encore ouverte.</x:v>
      </x:c>
      <x:c r="H3018" s="115" t="str">
        <x:v>L 448 ; l 460 ; hauteur 12 m ; choix de composition auteur ; dimensions réelles à documenter</x:v>
      </x:c>
      <x:c r="I3018" s="115" t="str">
        <x:v>À équilibrer</x:v>
      </x:c>
      <x:c r="J3018" s="115" t="str">
        <x:v>Non</x:v>
      </x:c>
      <x:c r="K3018" s="115" t="str">
        <x:v>Pièces décrites, murs, portes, niveaux et mobilier inspectables à l’échelle. Volumes réservés, raccord au seed, butin, rencontres et services de campagne restent à terminer.</x:v>
      </x:c>
    </x:row>
    <x:row r="3019" ht="96" customHeight="1">
      <x:c r="A3019" s="115" t="str">
        <x:v>EXT-MONDE-T061-V14</x:v>
      </x:c>
      <x:c r="B3019" s="115" t="str">
        <x:v>EXT-MONDE-T061</x:v>
      </x:c>
      <x:c r="C3019" s="115" t="str">
        <x:v>Épuration</x:v>
      </x:c>
      <x:c r="D3019" s="115" t="str">
        <x:v>Station d’épuration urbaine</x:v>
      </x:c>
      <x:c r="E3019" s="115" t="n">
        <x:v>14</x:v>
      </x:c>
      <x:c r="F3019" s="115" t="str">
        <x:v>Inspection physique</x:v>
      </x:c>
      <x:c r="G3019" s="115" t="str">
        <x:v>1 niveaux ; 22 pièces ; 167 segments de mur ; 0 transitions. Inspection physique ; architecture complète encore ouverte.</x:v>
      </x:c>
      <x:c r="H3019" s="115" t="str">
        <x:v>L 448 ; l 460 ; hauteur 12 m ; choix de composition auteur ; dimensions réelles à documenter</x:v>
      </x:c>
      <x:c r="I3019" s="115" t="str">
        <x:v>À équilibrer</x:v>
      </x:c>
      <x:c r="J3019" s="115" t="str">
        <x:v>Non</x:v>
      </x:c>
      <x:c r="K3019" s="115" t="str">
        <x:v>Pièces décrites, murs, portes, niveaux et mobilier inspectables à l’échelle. Volumes réservés, raccord au seed, butin, rencontres et services de campagne restent à terminer.</x:v>
      </x:c>
    </x:row>
    <x:row r="3020" ht="96" customHeight="1">
      <x:c r="A3020" s="115" t="str">
        <x:v>EXT-MONDE-T061-V15</x:v>
      </x:c>
      <x:c r="B3020" s="115" t="str">
        <x:v>EXT-MONDE-T061</x:v>
      </x:c>
      <x:c r="C3020" s="115" t="str">
        <x:v>Épuration</x:v>
      </x:c>
      <x:c r="D3020" s="115" t="str">
        <x:v>Station d’épuration urbaine</x:v>
      </x:c>
      <x:c r="E3020" s="115" t="n">
        <x:v>15</x:v>
      </x:c>
      <x:c r="F3020" s="115" t="str">
        <x:v>Inspection physique</x:v>
      </x:c>
      <x:c r="G3020" s="115" t="str">
        <x:v>1 niveaux ; 22 pièces ; 167 segments de mur ; 0 transitions. Inspection physique ; architecture complète encore ouverte.</x:v>
      </x:c>
      <x:c r="H3020" s="115" t="str">
        <x:v>L 448 ; l 460 ; hauteur 12 m ; choix de composition auteur ; dimensions réelles à documenter</x:v>
      </x:c>
      <x:c r="I3020" s="115" t="str">
        <x:v>À équilibrer</x:v>
      </x:c>
      <x:c r="J3020" s="115" t="str">
        <x:v>Non</x:v>
      </x:c>
      <x:c r="K3020" s="115" t="str">
        <x:v>Pièces décrites, murs, portes, niveaux et mobilier inspectables à l’échelle. Volumes réservés, raccord au seed, butin, rencontres et services de campagne restent à terminer.</x:v>
      </x:c>
    </x:row>
    <x:row r="3021" ht="96" customHeight="1">
      <x:c r="A3021" s="115" t="str">
        <x:v>EXT-MONDE-T061-V16</x:v>
      </x:c>
      <x:c r="B3021" s="115" t="str">
        <x:v>EXT-MONDE-T061</x:v>
      </x:c>
      <x:c r="C3021" s="115" t="str">
        <x:v>Épuration</x:v>
      </x:c>
      <x:c r="D3021" s="115" t="str">
        <x:v>Station d’épuration urbaine</x:v>
      </x:c>
      <x:c r="E3021" s="115" t="n">
        <x:v>16</x:v>
      </x:c>
      <x:c r="F3021" s="115" t="str">
        <x:v>Inspection physique</x:v>
      </x:c>
      <x:c r="G3021" s="115" t="str">
        <x:v>1 niveaux ; 22 pièces ; 167 segments de mur ; 0 transitions. Inspection physique ; architecture complète encore ouverte.</x:v>
      </x:c>
      <x:c r="H3021" s="115" t="str">
        <x:v>L 448 ; l 460 ; hauteur 12 m ; choix de composition auteur ; dimensions réelles à documenter</x:v>
      </x:c>
      <x:c r="I3021" s="115" t="str">
        <x:v>À équilibrer</x:v>
      </x:c>
      <x:c r="J3021" s="115" t="str">
        <x:v>Non</x:v>
      </x:c>
      <x:c r="K3021" s="115" t="str">
        <x:v>Pièces décrites, murs, portes, niveaux et mobilier inspectables à l’échelle. Volumes réservés, raccord au seed, butin, rencontres et services de campagne restent à terminer.</x:v>
      </x:c>
    </x:row>
    <x:row r="3022" ht="96" customHeight="1">
      <x:c r="A3022" s="115" t="str">
        <x:v>EXT-MONDE-T061-V17</x:v>
      </x:c>
      <x:c r="B3022" s="115" t="str">
        <x:v>EXT-MONDE-T061</x:v>
      </x:c>
      <x:c r="C3022" s="115" t="str">
        <x:v>Épuration</x:v>
      </x:c>
      <x:c r="D3022" s="115" t="str">
        <x:v>Station d’épuration urbaine</x:v>
      </x:c>
      <x:c r="E3022" s="115" t="n">
        <x:v>17</x:v>
      </x:c>
      <x:c r="F3022" s="115" t="str">
        <x:v>Inspection physique</x:v>
      </x:c>
      <x:c r="G3022" s="115" t="str">
        <x:v>1 niveaux ; 22 pièces ; 167 segments de mur ; 0 transitions. Inspection physique ; architecture complète encore ouverte.</x:v>
      </x:c>
      <x:c r="H3022" s="115" t="str">
        <x:v>L 448 ; l 460 ; hauteur 12 m ; choix de composition auteur ; dimensions réelles à documenter</x:v>
      </x:c>
      <x:c r="I3022" s="115" t="str">
        <x:v>À équilibrer</x:v>
      </x:c>
      <x:c r="J3022" s="115" t="str">
        <x:v>Non</x:v>
      </x:c>
      <x:c r="K3022" s="115" t="str">
        <x:v>Pièces décrites, murs, portes, niveaux et mobilier inspectables à l’échelle. Volumes réservés, raccord au seed, butin, rencontres et services de campagne restent à terminer.</x:v>
      </x:c>
    </x:row>
    <x:row r="3023" ht="96" customHeight="1">
      <x:c r="A3023" s="115" t="str">
        <x:v>EXT-MONDE-T061-V18</x:v>
      </x:c>
      <x:c r="B3023" s="115" t="str">
        <x:v>EXT-MONDE-T061</x:v>
      </x:c>
      <x:c r="C3023" s="115" t="str">
        <x:v>Épuration</x:v>
      </x:c>
      <x:c r="D3023" s="115" t="str">
        <x:v>Station d’épuration urbaine</x:v>
      </x:c>
      <x:c r="E3023" s="115" t="n">
        <x:v>18</x:v>
      </x:c>
      <x:c r="F3023" s="115" t="str">
        <x:v>Inspection physique</x:v>
      </x:c>
      <x:c r="G3023" s="115" t="str">
        <x:v>1 niveaux ; 22 pièces ; 167 segments de mur ; 0 transitions. Inspection physique ; architecture complète encore ouverte.</x:v>
      </x:c>
      <x:c r="H3023" s="115" t="str">
        <x:v>L 448 ; l 460 ; hauteur 12 m ; choix de composition auteur ; dimensions réelles à documenter</x:v>
      </x:c>
      <x:c r="I3023" s="115" t="str">
        <x:v>À équilibrer</x:v>
      </x:c>
      <x:c r="J3023" s="115" t="str">
        <x:v>Non</x:v>
      </x:c>
      <x:c r="K3023" s="115" t="str">
        <x:v>Pièces décrites, murs, portes, niveaux et mobilier inspectables à l’échelle. Volumes réservés, raccord au seed, butin, rencontres et services de campagne restent à terminer.</x:v>
      </x:c>
    </x:row>
    <x:row r="3024" ht="96" customHeight="1">
      <x:c r="A3024" s="115" t="str">
        <x:v>EXT-MONDE-T061-V19</x:v>
      </x:c>
      <x:c r="B3024" s="115" t="str">
        <x:v>EXT-MONDE-T061</x:v>
      </x:c>
      <x:c r="C3024" s="115" t="str">
        <x:v>Épuration</x:v>
      </x:c>
      <x:c r="D3024" s="115" t="str">
        <x:v>Station d’épuration urbaine</x:v>
      </x:c>
      <x:c r="E3024" s="115" t="n">
        <x:v>19</x:v>
      </x:c>
      <x:c r="F3024" s="115" t="str">
        <x:v>Inspection physique</x:v>
      </x:c>
      <x:c r="G3024" s="115" t="str">
        <x:v>1 niveaux ; 22 pièces ; 167 segments de mur ; 0 transitions. Inspection physique ; architecture complète encore ouverte.</x:v>
      </x:c>
      <x:c r="H3024" s="115" t="str">
        <x:v>L 448 ; l 460 ; hauteur 12 m ; choix de composition auteur ; dimensions réelles à documenter</x:v>
      </x:c>
      <x:c r="I3024" s="115" t="str">
        <x:v>À équilibrer</x:v>
      </x:c>
      <x:c r="J3024" s="115" t="str">
        <x:v>Non</x:v>
      </x:c>
      <x:c r="K3024" s="115" t="str">
        <x:v>Pièces décrites, murs, portes, niveaux et mobilier inspectables à l’échelle. Volumes réservés, raccord au seed, butin, rencontres et services de campagne restent à terminer.</x:v>
      </x:c>
    </x:row>
    <x:row r="3025" ht="96" customHeight="1">
      <x:c r="A3025" s="115" t="str">
        <x:v>EXT-MONDE-T061-V20</x:v>
      </x:c>
      <x:c r="B3025" s="115" t="str">
        <x:v>EXT-MONDE-T061</x:v>
      </x:c>
      <x:c r="C3025" s="115" t="str">
        <x:v>Épuration</x:v>
      </x:c>
      <x:c r="D3025" s="115" t="str">
        <x:v>Station d’épuration urbaine</x:v>
      </x:c>
      <x:c r="E3025" s="115" t="n">
        <x:v>20</x:v>
      </x:c>
      <x:c r="F3025" s="115" t="str">
        <x:v>Inspection physique</x:v>
      </x:c>
      <x:c r="G3025" s="115" t="str">
        <x:v>1 niveaux ; 22 pièces ; 167 segments de mur ; 0 transitions. Inspection physique ; architecture complète encore ouverte.</x:v>
      </x:c>
      <x:c r="H3025" s="115" t="str">
        <x:v>L 448 ; l 460 ; hauteur 12 m ; choix de composition auteur ; dimensions réelles à documenter</x:v>
      </x:c>
      <x:c r="I3025" s="115" t="str">
        <x:v>À équilibrer</x:v>
      </x:c>
      <x:c r="J3025" s="115" t="str">
        <x:v>Non</x:v>
      </x:c>
      <x:c r="K3025" s="115" t="str">
        <x:v>Pièces décrites, murs, portes, niveaux et mobilier inspectables à l’échelle. Volumes réservés, raccord au seed, butin, rencontres et services de campagne restent à terminer.</x:v>
      </x:c>
    </x:row>
    <x:row r="3026" ht="96" customHeight="1">
      <x:c r="A3026" s="115" t="str">
        <x:v>EXT-MONDE-T061-V21</x:v>
      </x:c>
      <x:c r="B3026" s="115" t="str">
        <x:v>EXT-MONDE-T061</x:v>
      </x:c>
      <x:c r="C3026" s="115" t="str">
        <x:v>Épuration</x:v>
      </x:c>
      <x:c r="D3026" s="115" t="str">
        <x:v>Station d’épuration urbaine</x:v>
      </x:c>
      <x:c r="E3026" s="115" t="n">
        <x:v>21</x:v>
      </x:c>
      <x:c r="F3026" s="115" t="str">
        <x:v>Inspection physique</x:v>
      </x:c>
      <x:c r="G3026" s="115" t="str">
        <x:v>1 niveaux ; 22 pièces ; 167 segments de mur ; 0 transitions. Inspection physique ; architecture complète encore ouverte.</x:v>
      </x:c>
      <x:c r="H3026" s="115" t="str">
        <x:v>L 466 ; l 480 ; hauteur 12 m ; choix de composition auteur ; dimensions réelles à documenter</x:v>
      </x:c>
      <x:c r="I3026" s="115" t="str">
        <x:v>À équilibrer</x:v>
      </x:c>
      <x:c r="J3026" s="115" t="str">
        <x:v>Non</x:v>
      </x:c>
      <x:c r="K3026" s="115" t="str">
        <x:v>Pièces décrites, murs, portes, niveaux et mobilier inspectables à l’échelle. Volumes réservés, raccord au seed, butin, rencontres et services de campagne restent à terminer.</x:v>
      </x:c>
    </x:row>
    <x:row r="3027" ht="96" customHeight="1">
      <x:c r="A3027" s="115" t="str">
        <x:v>EXT-MONDE-T061-V22</x:v>
      </x:c>
      <x:c r="B3027" s="115" t="str">
        <x:v>EXT-MONDE-T061</x:v>
      </x:c>
      <x:c r="C3027" s="115" t="str">
        <x:v>Épuration</x:v>
      </x:c>
      <x:c r="D3027" s="115" t="str">
        <x:v>Station d’épuration urbaine</x:v>
      </x:c>
      <x:c r="E3027" s="115" t="n">
        <x:v>22</x:v>
      </x:c>
      <x:c r="F3027" s="115" t="str">
        <x:v>Inspection physique</x:v>
      </x:c>
      <x:c r="G3027" s="115" t="str">
        <x:v>1 niveaux ; 22 pièces ; 167 segments de mur ; 0 transitions. Inspection physique ; architecture complète encore ouverte.</x:v>
      </x:c>
      <x:c r="H3027" s="115" t="str">
        <x:v>L 466 ; l 480 ; hauteur 12 m ; choix de composition auteur ; dimensions réelles à documenter</x:v>
      </x:c>
      <x:c r="I3027" s="115" t="str">
        <x:v>À équilibrer</x:v>
      </x:c>
      <x:c r="J3027" s="115" t="str">
        <x:v>Non</x:v>
      </x:c>
      <x:c r="K3027" s="115" t="str">
        <x:v>Pièces décrites, murs, portes, niveaux et mobilier inspectables à l’échelle. Volumes réservés, raccord au seed, butin, rencontres et services de campagne restent à terminer.</x:v>
      </x:c>
    </x:row>
    <x:row r="3028" ht="96" customHeight="1">
      <x:c r="A3028" s="115" t="str">
        <x:v>EXT-MONDE-T061-V23</x:v>
      </x:c>
      <x:c r="B3028" s="115" t="str">
        <x:v>EXT-MONDE-T061</x:v>
      </x:c>
      <x:c r="C3028" s="115" t="str">
        <x:v>Épuration</x:v>
      </x:c>
      <x:c r="D3028" s="115" t="str">
        <x:v>Station d’épuration urbaine</x:v>
      </x:c>
      <x:c r="E3028" s="115" t="n">
        <x:v>23</x:v>
      </x:c>
      <x:c r="F3028" s="115" t="str">
        <x:v>Inspection physique</x:v>
      </x:c>
      <x:c r="G3028" s="115" t="str">
        <x:v>1 niveaux ; 22 pièces ; 167 segments de mur ; 0 transitions. Inspection physique ; architecture complète encore ouverte.</x:v>
      </x:c>
      <x:c r="H3028" s="115" t="str">
        <x:v>L 466 ; l 480 ; hauteur 12 m ; choix de composition auteur ; dimensions réelles à documenter</x:v>
      </x:c>
      <x:c r="I3028" s="115" t="str">
        <x:v>À équilibrer</x:v>
      </x:c>
      <x:c r="J3028" s="115" t="str">
        <x:v>Non</x:v>
      </x:c>
      <x:c r="K3028" s="115" t="str">
        <x:v>Pièces décrites, murs, portes, niveaux et mobilier inspectables à l’échelle. Volumes réservés, raccord au seed, butin, rencontres et services de campagne restent à terminer.</x:v>
      </x:c>
    </x:row>
    <x:row r="3029" ht="96" customHeight="1">
      <x:c r="A3029" s="115" t="str">
        <x:v>EXT-MONDE-T061-V24</x:v>
      </x:c>
      <x:c r="B3029" s="115" t="str">
        <x:v>EXT-MONDE-T061</x:v>
      </x:c>
      <x:c r="C3029" s="115" t="str">
        <x:v>Épuration</x:v>
      </x:c>
      <x:c r="D3029" s="115" t="str">
        <x:v>Station d’épuration urbaine</x:v>
      </x:c>
      <x:c r="E3029" s="115" t="n">
        <x:v>24</x:v>
      </x:c>
      <x:c r="F3029" s="115" t="str">
        <x:v>Inspection physique</x:v>
      </x:c>
      <x:c r="G3029" s="115" t="str">
        <x:v>1 niveaux ; 22 pièces ; 167 segments de mur ; 0 transitions. Inspection physique ; architecture complète encore ouverte.</x:v>
      </x:c>
      <x:c r="H3029" s="115" t="str">
        <x:v>L 466 ; l 480 ; hauteur 12 m ; choix de composition auteur ; dimensions réelles à documenter</x:v>
      </x:c>
      <x:c r="I3029" s="115" t="str">
        <x:v>À équilibrer</x:v>
      </x:c>
      <x:c r="J3029" s="115" t="str">
        <x:v>Non</x:v>
      </x:c>
      <x:c r="K3029" s="115" t="str">
        <x:v>Pièces décrites, murs, portes, niveaux et mobilier inspectables à l’échelle. Volumes réservés, raccord au seed, butin, rencontres et services de campagne restent à terminer.</x:v>
      </x:c>
    </x:row>
    <x:row r="3030" ht="96" customHeight="1">
      <x:c r="A3030" s="115" t="str">
        <x:v>EXT-MONDE-T061-V25</x:v>
      </x:c>
      <x:c r="B3030" s="115" t="str">
        <x:v>EXT-MONDE-T061</x:v>
      </x:c>
      <x:c r="C3030" s="115" t="str">
        <x:v>Épuration</x:v>
      </x:c>
      <x:c r="D3030" s="115" t="str">
        <x:v>Station d’épuration urbaine</x:v>
      </x:c>
      <x:c r="E3030" s="115" t="n">
        <x:v>25</x:v>
      </x:c>
      <x:c r="F3030" s="115" t="str">
        <x:v>Inspection physique</x:v>
      </x:c>
      <x:c r="G3030" s="115" t="str">
        <x:v>1 niveaux ; 22 pièces ; 167 segments de mur ; 0 transitions. Inspection physique ; architecture complète encore ouverte.</x:v>
      </x:c>
      <x:c r="H3030" s="115" t="str">
        <x:v>L 466 ; l 480 ; hauteur 12 m ; choix de composition auteur ; dimensions réelles à documenter</x:v>
      </x:c>
      <x:c r="I3030" s="115" t="str">
        <x:v>À équilibrer</x:v>
      </x:c>
      <x:c r="J3030" s="115" t="str">
        <x:v>Non</x:v>
      </x:c>
      <x:c r="K3030" s="115" t="str">
        <x:v>Pièces décrites, murs, portes, niveaux et mobilier inspectables à l’échelle. Volumes réservés, raccord au seed, butin, rencontres et services de campagne restent à terminer.</x:v>
      </x:c>
    </x:row>
    <x:row r="3031" ht="96" customHeight="1">
      <x:c r="A3031" s="115" t="str">
        <x:v>EXT-MONDE-T061-V26</x:v>
      </x:c>
      <x:c r="B3031" s="115" t="str">
        <x:v>EXT-MONDE-T061</x:v>
      </x:c>
      <x:c r="C3031" s="115" t="str">
        <x:v>Épuration</x:v>
      </x:c>
      <x:c r="D3031" s="115" t="str">
        <x:v>Station d’épuration urbaine</x:v>
      </x:c>
      <x:c r="E3031" s="115" t="n">
        <x:v>26</x:v>
      </x:c>
      <x:c r="F3031" s="115" t="str">
        <x:v>Inspection physique</x:v>
      </x:c>
      <x:c r="G3031" s="115" t="str">
        <x:v>1 niveaux ; 22 pièces ; 167 segments de mur ; 0 transitions. Inspection physique ; architecture complète encore ouverte.</x:v>
      </x:c>
      <x:c r="H3031" s="115" t="str">
        <x:v>L 466 ; l 480 ; hauteur 12 m ; choix de composition auteur ; dimensions réelles à documenter</x:v>
      </x:c>
      <x:c r="I3031" s="115" t="str">
        <x:v>À équilibrer</x:v>
      </x:c>
      <x:c r="J3031" s="115" t="str">
        <x:v>Non</x:v>
      </x:c>
      <x:c r="K3031" s="115" t="str">
        <x:v>Pièces décrites, murs, portes, niveaux et mobilier inspectables à l’échelle. Volumes réservés, raccord au seed, butin, rencontres et services de campagne restent à terminer.</x:v>
      </x:c>
    </x:row>
    <x:row r="3032" ht="96" customHeight="1">
      <x:c r="A3032" s="115" t="str">
        <x:v>EXT-MONDE-T061-V27</x:v>
      </x:c>
      <x:c r="B3032" s="115" t="str">
        <x:v>EXT-MONDE-T061</x:v>
      </x:c>
      <x:c r="C3032" s="115" t="str">
        <x:v>Épuration</x:v>
      </x:c>
      <x:c r="D3032" s="115" t="str">
        <x:v>Station d’épuration urbaine</x:v>
      </x:c>
      <x:c r="E3032" s="115" t="n">
        <x:v>27</x:v>
      </x:c>
      <x:c r="F3032" s="115" t="str">
        <x:v>Inspection physique</x:v>
      </x:c>
      <x:c r="G3032" s="115" t="str">
        <x:v>1 niveaux ; 22 pièces ; 167 segments de mur ; 0 transitions. Inspection physique ; architecture complète encore ouverte.</x:v>
      </x:c>
      <x:c r="H3032" s="115" t="str">
        <x:v>L 466 ; l 480 ; hauteur 12 m ; choix de composition auteur ; dimensions réelles à documenter</x:v>
      </x:c>
      <x:c r="I3032" s="115" t="str">
        <x:v>À équilibrer</x:v>
      </x:c>
      <x:c r="J3032" s="115" t="str">
        <x:v>Non</x:v>
      </x:c>
      <x:c r="K3032" s="115" t="str">
        <x:v>Pièces décrites, murs, portes, niveaux et mobilier inspectables à l’échelle. Volumes réservés, raccord au seed, butin, rencontres et services de campagne restent à terminer.</x:v>
      </x:c>
    </x:row>
    <x:row r="3033" ht="96" customHeight="1">
      <x:c r="A3033" s="115" t="str">
        <x:v>EXT-MONDE-T061-V28</x:v>
      </x:c>
      <x:c r="B3033" s="115" t="str">
        <x:v>EXT-MONDE-T061</x:v>
      </x:c>
      <x:c r="C3033" s="115" t="str">
        <x:v>Épuration</x:v>
      </x:c>
      <x:c r="D3033" s="115" t="str">
        <x:v>Station d’épuration urbaine</x:v>
      </x:c>
      <x:c r="E3033" s="115" t="n">
        <x:v>28</x:v>
      </x:c>
      <x:c r="F3033" s="115" t="str">
        <x:v>Inspection physique</x:v>
      </x:c>
      <x:c r="G3033" s="115" t="str">
        <x:v>1 niveaux ; 22 pièces ; 167 segments de mur ; 0 transitions. Inspection physique ; architecture complète encore ouverte.</x:v>
      </x:c>
      <x:c r="H3033" s="115" t="str">
        <x:v>L 466 ; l 480 ; hauteur 12 m ; choix de composition auteur ; dimensions réelles à documenter</x:v>
      </x:c>
      <x:c r="I3033" s="115" t="str">
        <x:v>À équilibrer</x:v>
      </x:c>
      <x:c r="J3033" s="115" t="str">
        <x:v>Non</x:v>
      </x:c>
      <x:c r="K3033" s="115" t="str">
        <x:v>Pièces décrites, murs, portes, niveaux et mobilier inspectables à l’échelle. Volumes réservés, raccord au seed, butin, rencontres et services de campagne restent à terminer.</x:v>
      </x:c>
    </x:row>
    <x:row r="3034" ht="96" customHeight="1">
      <x:c r="A3034" s="115" t="str">
        <x:v>EXT-MONDE-T061-V29</x:v>
      </x:c>
      <x:c r="B3034" s="115" t="str">
        <x:v>EXT-MONDE-T061</x:v>
      </x:c>
      <x:c r="C3034" s="115" t="str">
        <x:v>Épuration</x:v>
      </x:c>
      <x:c r="D3034" s="115" t="str">
        <x:v>Station d’épuration urbaine</x:v>
      </x:c>
      <x:c r="E3034" s="115" t="n">
        <x:v>29</x:v>
      </x:c>
      <x:c r="F3034" s="115" t="str">
        <x:v>Inspection physique</x:v>
      </x:c>
      <x:c r="G3034" s="115" t="str">
        <x:v>1 niveaux ; 22 pièces ; 167 segments de mur ; 0 transitions. Inspection physique ; architecture complète encore ouverte.</x:v>
      </x:c>
      <x:c r="H3034" s="115" t="str">
        <x:v>L 466 ; l 480 ; hauteur 12 m ; choix de composition auteur ; dimensions réelles à documenter</x:v>
      </x:c>
      <x:c r="I3034" s="115" t="str">
        <x:v>À équilibrer</x:v>
      </x:c>
      <x:c r="J3034" s="115" t="str">
        <x:v>Non</x:v>
      </x:c>
      <x:c r="K3034" s="115" t="str">
        <x:v>Pièces décrites, murs, portes, niveaux et mobilier inspectables à l’échelle. Volumes réservés, raccord au seed, butin, rencontres et services de campagne restent à terminer.</x:v>
      </x:c>
    </x:row>
    <x:row r="3035" ht="96" customHeight="1">
      <x:c r="A3035" s="115" t="str">
        <x:v>EXT-MONDE-T061-V30</x:v>
      </x:c>
      <x:c r="B3035" s="115" t="str">
        <x:v>EXT-MONDE-T061</x:v>
      </x:c>
      <x:c r="C3035" s="115" t="str">
        <x:v>Épuration</x:v>
      </x:c>
      <x:c r="D3035" s="115" t="str">
        <x:v>Station d’épuration urbaine</x:v>
      </x:c>
      <x:c r="E3035" s="115" t="n">
        <x:v>30</x:v>
      </x:c>
      <x:c r="F3035" s="115" t="str">
        <x:v>Inspection physique</x:v>
      </x:c>
      <x:c r="G3035" s="115" t="str">
        <x:v>1 niveaux ; 22 pièces ; 167 segments de mur ; 0 transitions. Inspection physique ; architecture complète encore ouverte.</x:v>
      </x:c>
      <x:c r="H3035" s="115" t="str">
        <x:v>L 466 ; l 480 ; hauteur 12 m ; choix de composition auteur ; dimensions réelles à documenter</x:v>
      </x:c>
      <x:c r="I3035" s="115" t="str">
        <x:v>À équilibrer</x:v>
      </x:c>
      <x:c r="J3035" s="115" t="str">
        <x:v>Non</x:v>
      </x:c>
      <x:c r="K3035" s="115" t="str">
        <x:v>Pièces décrites, murs, portes, niveaux et mobilier inspectables à l’échelle. Volumes réservés, raccord au seed, butin, rencontres et services de campagne restent à terminer.</x:v>
      </x:c>
    </x:row>
    <x:row r="3036" ht="96" customHeight="1">
      <x:c r="A3036" s="115" t="str">
        <x:v>EXT-MONDE-T061-V31</x:v>
      </x:c>
      <x:c r="B3036" s="115" t="str">
        <x:v>EXT-MONDE-T061</x:v>
      </x:c>
      <x:c r="C3036" s="115" t="str">
        <x:v>Épuration</x:v>
      </x:c>
      <x:c r="D3036" s="115" t="str">
        <x:v>Station d’épuration urbaine</x:v>
      </x:c>
      <x:c r="E3036" s="115" t="n">
        <x:v>31</x:v>
      </x:c>
      <x:c r="F3036" s="115" t="str">
        <x:v>Inspection physique</x:v>
      </x:c>
      <x:c r="G3036" s="115" t="str">
        <x:v>1 niveaux ; 22 pièces ; 167 segments de mur ; 0 transitions. Inspection physique ; architecture complète encore ouverte.</x:v>
      </x:c>
      <x:c r="H3036" s="115" t="str">
        <x:v>L 484 ; l 500 ; hauteur 12 m ; choix de composition auteur ; dimensions réelles à documenter</x:v>
      </x:c>
      <x:c r="I3036" s="115" t="str">
        <x:v>À équilibrer</x:v>
      </x:c>
      <x:c r="J3036" s="115" t="str">
        <x:v>Non</x:v>
      </x:c>
      <x:c r="K3036" s="115" t="str">
        <x:v>Pièces décrites, murs, portes, niveaux et mobilier inspectables à l’échelle. Volumes réservés, raccord au seed, butin, rencontres et services de campagne restent à terminer.</x:v>
      </x:c>
    </x:row>
    <x:row r="3037" ht="96" customHeight="1">
      <x:c r="A3037" s="115" t="str">
        <x:v>EXT-MONDE-T061-V32</x:v>
      </x:c>
      <x:c r="B3037" s="115" t="str">
        <x:v>EXT-MONDE-T061</x:v>
      </x:c>
      <x:c r="C3037" s="115" t="str">
        <x:v>Épuration</x:v>
      </x:c>
      <x:c r="D3037" s="115" t="str">
        <x:v>Station d’épuration urbaine</x:v>
      </x:c>
      <x:c r="E3037" s="115" t="n">
        <x:v>32</x:v>
      </x:c>
      <x:c r="F3037" s="115" t="str">
        <x:v>Inspection physique</x:v>
      </x:c>
      <x:c r="G3037" s="115" t="str">
        <x:v>1 niveaux ; 22 pièces ; 167 segments de mur ; 0 transitions. Inspection physique ; architecture complète encore ouverte.</x:v>
      </x:c>
      <x:c r="H3037" s="115" t="str">
        <x:v>L 484 ; l 500 ; hauteur 12 m ; choix de composition auteur ; dimensions réelles à documenter</x:v>
      </x:c>
      <x:c r="I3037" s="115" t="str">
        <x:v>À équilibrer</x:v>
      </x:c>
      <x:c r="J3037" s="115" t="str">
        <x:v>Non</x:v>
      </x:c>
      <x:c r="K3037" s="115" t="str">
        <x:v>Pièces décrites, murs, portes, niveaux et mobilier inspectables à l’échelle. Volumes réservés, raccord au seed, butin, rencontres et services de campagne restent à terminer.</x:v>
      </x:c>
    </x:row>
    <x:row r="3038" ht="96" customHeight="1">
      <x:c r="A3038" s="115" t="str">
        <x:v>EXT-MONDE-T061-V33</x:v>
      </x:c>
      <x:c r="B3038" s="115" t="str">
        <x:v>EXT-MONDE-T061</x:v>
      </x:c>
      <x:c r="C3038" s="115" t="str">
        <x:v>Épuration</x:v>
      </x:c>
      <x:c r="D3038" s="115" t="str">
        <x:v>Station d’épuration urbaine</x:v>
      </x:c>
      <x:c r="E3038" s="115" t="n">
        <x:v>33</x:v>
      </x:c>
      <x:c r="F3038" s="115" t="str">
        <x:v>Inspection physique</x:v>
      </x:c>
      <x:c r="G3038" s="115" t="str">
        <x:v>1 niveaux ; 22 pièces ; 167 segments de mur ; 0 transitions. Inspection physique ; architecture complète encore ouverte.</x:v>
      </x:c>
      <x:c r="H3038" s="115" t="str">
        <x:v>L 484 ; l 500 ; hauteur 12 m ; choix de composition auteur ; dimensions réelles à documenter</x:v>
      </x:c>
      <x:c r="I3038" s="115" t="str">
        <x:v>À équilibrer</x:v>
      </x:c>
      <x:c r="J3038" s="115" t="str">
        <x:v>Non</x:v>
      </x:c>
      <x:c r="K3038" s="115" t="str">
        <x:v>Pièces décrites, murs, portes, niveaux et mobilier inspectables à l’échelle. Volumes réservés, raccord au seed, butin, rencontres et services de campagne restent à terminer.</x:v>
      </x:c>
    </x:row>
    <x:row r="3039" ht="96" customHeight="1">
      <x:c r="A3039" s="115" t="str">
        <x:v>EXT-MONDE-T061-V34</x:v>
      </x:c>
      <x:c r="B3039" s="115" t="str">
        <x:v>EXT-MONDE-T061</x:v>
      </x:c>
      <x:c r="C3039" s="115" t="str">
        <x:v>Épuration</x:v>
      </x:c>
      <x:c r="D3039" s="115" t="str">
        <x:v>Station d’épuration urbaine</x:v>
      </x:c>
      <x:c r="E3039" s="115" t="n">
        <x:v>34</x:v>
      </x:c>
      <x:c r="F3039" s="115" t="str">
        <x:v>Inspection physique</x:v>
      </x:c>
      <x:c r="G3039" s="115" t="str">
        <x:v>1 niveaux ; 22 pièces ; 167 segments de mur ; 0 transitions. Inspection physique ; architecture complète encore ouverte.</x:v>
      </x:c>
      <x:c r="H3039" s="115" t="str">
        <x:v>L 484 ; l 500 ; hauteur 12 m ; choix de composition auteur ; dimensions réelles à documenter</x:v>
      </x:c>
      <x:c r="I3039" s="115" t="str">
        <x:v>À équilibrer</x:v>
      </x:c>
      <x:c r="J3039" s="115" t="str">
        <x:v>Non</x:v>
      </x:c>
      <x:c r="K3039" s="115" t="str">
        <x:v>Pièces décrites, murs, portes, niveaux et mobilier inspectables à l’échelle. Volumes réservés, raccord au seed, butin, rencontres et services de campagne restent à terminer.</x:v>
      </x:c>
    </x:row>
    <x:row r="3040" ht="96" customHeight="1">
      <x:c r="A3040" s="115" t="str">
        <x:v>EXT-MONDE-T061-V35</x:v>
      </x:c>
      <x:c r="B3040" s="115" t="str">
        <x:v>EXT-MONDE-T061</x:v>
      </x:c>
      <x:c r="C3040" s="115" t="str">
        <x:v>Épuration</x:v>
      </x:c>
      <x:c r="D3040" s="115" t="str">
        <x:v>Station d’épuration urbaine</x:v>
      </x:c>
      <x:c r="E3040" s="115" t="n">
        <x:v>35</x:v>
      </x:c>
      <x:c r="F3040" s="115" t="str">
        <x:v>Inspection physique</x:v>
      </x:c>
      <x:c r="G3040" s="115" t="str">
        <x:v>1 niveaux ; 22 pièces ; 167 segments de mur ; 0 transitions. Inspection physique ; architecture complète encore ouverte.</x:v>
      </x:c>
      <x:c r="H3040" s="115" t="str">
        <x:v>L 484 ; l 500 ; hauteur 12 m ; choix de composition auteur ; dimensions réelles à documenter</x:v>
      </x:c>
      <x:c r="I3040" s="115" t="str">
        <x:v>À équilibrer</x:v>
      </x:c>
      <x:c r="J3040" s="115" t="str">
        <x:v>Non</x:v>
      </x:c>
      <x:c r="K3040" s="115" t="str">
        <x:v>Pièces décrites, murs, portes, niveaux et mobilier inspectables à l’échelle. Volumes réservés, raccord au seed, butin, rencontres et services de campagne restent à terminer.</x:v>
      </x:c>
    </x:row>
    <x:row r="3041" ht="96" customHeight="1">
      <x:c r="A3041" s="115" t="str">
        <x:v>EXT-MONDE-T061-V36</x:v>
      </x:c>
      <x:c r="B3041" s="115" t="str">
        <x:v>EXT-MONDE-T061</x:v>
      </x:c>
      <x:c r="C3041" s="115" t="str">
        <x:v>Épuration</x:v>
      </x:c>
      <x:c r="D3041" s="115" t="str">
        <x:v>Station d’épuration urbaine</x:v>
      </x:c>
      <x:c r="E3041" s="115" t="n">
        <x:v>36</x:v>
      </x:c>
      <x:c r="F3041" s="115" t="str">
        <x:v>Inspection physique</x:v>
      </x:c>
      <x:c r="G3041" s="115" t="str">
        <x:v>1 niveaux ; 22 pièces ; 167 segments de mur ; 0 transitions. Inspection physique ; architecture complète encore ouverte.</x:v>
      </x:c>
      <x:c r="H3041" s="115" t="str">
        <x:v>L 484 ; l 500 ; hauteur 12 m ; choix de composition auteur ; dimensions réelles à documenter</x:v>
      </x:c>
      <x:c r="I3041" s="115" t="str">
        <x:v>À équilibrer</x:v>
      </x:c>
      <x:c r="J3041" s="115" t="str">
        <x:v>Non</x:v>
      </x:c>
      <x:c r="K3041" s="115" t="str">
        <x:v>Pièces décrites, murs, portes, niveaux et mobilier inspectables à l’échelle. Volumes réservés, raccord au seed, butin, rencontres et services de campagne restent à terminer.</x:v>
      </x:c>
    </x:row>
    <x:row r="3042" ht="96" customHeight="1">
      <x:c r="A3042" s="115" t="str">
        <x:v>EXT-MONDE-T061-V37</x:v>
      </x:c>
      <x:c r="B3042" s="115" t="str">
        <x:v>EXT-MONDE-T061</x:v>
      </x:c>
      <x:c r="C3042" s="115" t="str">
        <x:v>Épuration</x:v>
      </x:c>
      <x:c r="D3042" s="115" t="str">
        <x:v>Station d’épuration urbaine</x:v>
      </x:c>
      <x:c r="E3042" s="115" t="n">
        <x:v>37</x:v>
      </x:c>
      <x:c r="F3042" s="115" t="str">
        <x:v>Inspection physique</x:v>
      </x:c>
      <x:c r="G3042" s="115" t="str">
        <x:v>1 niveaux ; 22 pièces ; 167 segments de mur ; 0 transitions. Inspection physique ; architecture complète encore ouverte.</x:v>
      </x:c>
      <x:c r="H3042" s="115" t="str">
        <x:v>L 484 ; l 500 ; hauteur 12 m ; choix de composition auteur ; dimensions réelles à documenter</x:v>
      </x:c>
      <x:c r="I3042" s="115" t="str">
        <x:v>À équilibrer</x:v>
      </x:c>
      <x:c r="J3042" s="115" t="str">
        <x:v>Non</x:v>
      </x:c>
      <x:c r="K3042" s="115" t="str">
        <x:v>Pièces décrites, murs, portes, niveaux et mobilier inspectables à l’échelle. Volumes réservés, raccord au seed, butin, rencontres et services de campagne restent à terminer.</x:v>
      </x:c>
    </x:row>
    <x:row r="3043" ht="96" customHeight="1">
      <x:c r="A3043" s="115" t="str">
        <x:v>EXT-MONDE-T061-V38</x:v>
      </x:c>
      <x:c r="B3043" s="115" t="str">
        <x:v>EXT-MONDE-T061</x:v>
      </x:c>
      <x:c r="C3043" s="115" t="str">
        <x:v>Épuration</x:v>
      </x:c>
      <x:c r="D3043" s="115" t="str">
        <x:v>Station d’épuration urbaine</x:v>
      </x:c>
      <x:c r="E3043" s="115" t="n">
        <x:v>38</x:v>
      </x:c>
      <x:c r="F3043" s="115" t="str">
        <x:v>Inspection physique</x:v>
      </x:c>
      <x:c r="G3043" s="115" t="str">
        <x:v>1 niveaux ; 22 pièces ; 167 segments de mur ; 0 transitions. Inspection physique ; architecture complète encore ouverte.</x:v>
      </x:c>
      <x:c r="H3043" s="115" t="str">
        <x:v>L 484 ; l 500 ; hauteur 12 m ; choix de composition auteur ; dimensions réelles à documenter</x:v>
      </x:c>
      <x:c r="I3043" s="115" t="str">
        <x:v>À équilibrer</x:v>
      </x:c>
      <x:c r="J3043" s="115" t="str">
        <x:v>Non</x:v>
      </x:c>
      <x:c r="K3043" s="115" t="str">
        <x:v>Pièces décrites, murs, portes, niveaux et mobilier inspectables à l’échelle. Volumes réservés, raccord au seed, butin, rencontres et services de campagne restent à terminer.</x:v>
      </x:c>
    </x:row>
    <x:row r="3044" ht="96" customHeight="1">
      <x:c r="A3044" s="115" t="str">
        <x:v>EXT-MONDE-T061-V39</x:v>
      </x:c>
      <x:c r="B3044" s="115" t="str">
        <x:v>EXT-MONDE-T061</x:v>
      </x:c>
      <x:c r="C3044" s="115" t="str">
        <x:v>Épuration</x:v>
      </x:c>
      <x:c r="D3044" s="115" t="str">
        <x:v>Station d’épuration urbaine</x:v>
      </x:c>
      <x:c r="E3044" s="115" t="n">
        <x:v>39</x:v>
      </x:c>
      <x:c r="F3044" s="115" t="str">
        <x:v>Inspection physique</x:v>
      </x:c>
      <x:c r="G3044" s="115" t="str">
        <x:v>1 niveaux ; 22 pièces ; 167 segments de mur ; 0 transitions. Inspection physique ; architecture complète encore ouverte.</x:v>
      </x:c>
      <x:c r="H3044" s="115" t="str">
        <x:v>L 484 ; l 500 ; hauteur 12 m ; choix de composition auteur ; dimensions réelles à documenter</x:v>
      </x:c>
      <x:c r="I3044" s="115" t="str">
        <x:v>À équilibrer</x:v>
      </x:c>
      <x:c r="J3044" s="115" t="str">
        <x:v>Non</x:v>
      </x:c>
      <x:c r="K3044" s="115" t="str">
        <x:v>Pièces décrites, murs, portes, niveaux et mobilier inspectables à l’échelle. Volumes réservés, raccord au seed, butin, rencontres et services de campagne restent à terminer.</x:v>
      </x:c>
    </x:row>
    <x:row r="3045" ht="96" customHeight="1">
      <x:c r="A3045" s="115" t="str">
        <x:v>EXT-MONDE-T061-V40</x:v>
      </x:c>
      <x:c r="B3045" s="115" t="str">
        <x:v>EXT-MONDE-T061</x:v>
      </x:c>
      <x:c r="C3045" s="115" t="str">
        <x:v>Épuration</x:v>
      </x:c>
      <x:c r="D3045" s="115" t="str">
        <x:v>Station d’épuration urbaine</x:v>
      </x:c>
      <x:c r="E3045" s="115" t="n">
        <x:v>40</x:v>
      </x:c>
      <x:c r="F3045" s="115" t="str">
        <x:v>Inspection physique</x:v>
      </x:c>
      <x:c r="G3045" s="115" t="str">
        <x:v>1 niveaux ; 22 pièces ; 167 segments de mur ; 0 transitions. Inspection physique ; architecture complète encore ouverte.</x:v>
      </x:c>
      <x:c r="H3045" s="115" t="str">
        <x:v>L 484 ; l 500 ; hauteur 12 m ; choix de composition auteur ; dimensions réelles à documenter</x:v>
      </x:c>
      <x:c r="I3045" s="115" t="str">
        <x:v>À équilibrer</x:v>
      </x:c>
      <x:c r="J3045" s="115" t="str">
        <x:v>Non</x:v>
      </x:c>
      <x:c r="K3045" s="115" t="str">
        <x:v>Pièces décrites, murs, portes, niveaux et mobilier inspectables à l’échelle. Volumes réservés, raccord au seed, butin, rencontres et services de campagne restent à terminer.</x:v>
      </x:c>
    </x:row>
    <x:row r="3046" ht="96" customHeight="1">
      <x:c r="A3046" s="115" t="str">
        <x:v>EXT-MONDE-T061-V41</x:v>
      </x:c>
      <x:c r="B3046" s="115" t="str">
        <x:v>EXT-MONDE-T061</x:v>
      </x:c>
      <x:c r="C3046" s="115" t="str">
        <x:v>Épuration</x:v>
      </x:c>
      <x:c r="D3046" s="115" t="str">
        <x:v>Station d’épuration urbaine</x:v>
      </x:c>
      <x:c r="E3046" s="115" t="n">
        <x:v>41</x:v>
      </x:c>
      <x:c r="F3046" s="115" t="str">
        <x:v>Inspection physique</x:v>
      </x:c>
      <x:c r="G3046" s="115" t="str">
        <x:v>1 niveaux ; 22 pièces ; 167 segments de mur ; 0 transitions. Inspection physique ; architecture complète encore ouverte.</x:v>
      </x:c>
      <x:c r="H3046" s="115" t="str">
        <x:v>L 502 ; l 520 ; hauteur 12 m ; choix de composition auteur ; dimensions réelles à documenter</x:v>
      </x:c>
      <x:c r="I3046" s="115" t="str">
        <x:v>À équilibrer</x:v>
      </x:c>
      <x:c r="J3046" s="115" t="str">
        <x:v>Non</x:v>
      </x:c>
      <x:c r="K3046" s="115" t="str">
        <x:v>Pièces décrites, murs, portes, niveaux et mobilier inspectables à l’échelle. Volumes réservés, raccord au seed, butin, rencontres et services de campagne restent à terminer.</x:v>
      </x:c>
    </x:row>
    <x:row r="3047" ht="96" customHeight="1">
      <x:c r="A3047" s="115" t="str">
        <x:v>EXT-MONDE-T061-V42</x:v>
      </x:c>
      <x:c r="B3047" s="115" t="str">
        <x:v>EXT-MONDE-T061</x:v>
      </x:c>
      <x:c r="C3047" s="115" t="str">
        <x:v>Épuration</x:v>
      </x:c>
      <x:c r="D3047" s="115" t="str">
        <x:v>Station d’épuration urbaine</x:v>
      </x:c>
      <x:c r="E3047" s="115" t="n">
        <x:v>42</x:v>
      </x:c>
      <x:c r="F3047" s="115" t="str">
        <x:v>Inspection physique</x:v>
      </x:c>
      <x:c r="G3047" s="115" t="str">
        <x:v>1 niveaux ; 22 pièces ; 167 segments de mur ; 0 transitions. Inspection physique ; architecture complète encore ouverte.</x:v>
      </x:c>
      <x:c r="H3047" s="115" t="str">
        <x:v>L 502 ; l 520 ; hauteur 12 m ; choix de composition auteur ; dimensions réelles à documenter</x:v>
      </x:c>
      <x:c r="I3047" s="115" t="str">
        <x:v>À équilibrer</x:v>
      </x:c>
      <x:c r="J3047" s="115" t="str">
        <x:v>Non</x:v>
      </x:c>
      <x:c r="K3047" s="115" t="str">
        <x:v>Pièces décrites, murs, portes, niveaux et mobilier inspectables à l’échelle. Volumes réservés, raccord au seed, butin, rencontres et services de campagne restent à terminer.</x:v>
      </x:c>
    </x:row>
    <x:row r="3048" ht="96" customHeight="1">
      <x:c r="A3048" s="115" t="str">
        <x:v>EXT-MONDE-T061-V43</x:v>
      </x:c>
      <x:c r="B3048" s="115" t="str">
        <x:v>EXT-MONDE-T061</x:v>
      </x:c>
      <x:c r="C3048" s="115" t="str">
        <x:v>Épuration</x:v>
      </x:c>
      <x:c r="D3048" s="115" t="str">
        <x:v>Station d’épuration urbaine</x:v>
      </x:c>
      <x:c r="E3048" s="115" t="n">
        <x:v>43</x:v>
      </x:c>
      <x:c r="F3048" s="115" t="str">
        <x:v>Inspection physique</x:v>
      </x:c>
      <x:c r="G3048" s="115" t="str">
        <x:v>1 niveaux ; 22 pièces ; 167 segments de mur ; 0 transitions. Inspection physique ; architecture complète encore ouverte.</x:v>
      </x:c>
      <x:c r="H3048" s="115" t="str">
        <x:v>L 502 ; l 520 ; hauteur 12 m ; choix de composition auteur ; dimensions réelles à documenter</x:v>
      </x:c>
      <x:c r="I3048" s="115" t="str">
        <x:v>À équilibrer</x:v>
      </x:c>
      <x:c r="J3048" s="115" t="str">
        <x:v>Non</x:v>
      </x:c>
      <x:c r="K3048" s="115" t="str">
        <x:v>Pièces décrites, murs, portes, niveaux et mobilier inspectables à l’échelle. Volumes réservés, raccord au seed, butin, rencontres et services de campagne restent à terminer.</x:v>
      </x:c>
    </x:row>
    <x:row r="3049" ht="96" customHeight="1">
      <x:c r="A3049" s="115" t="str">
        <x:v>EXT-MONDE-T061-V44</x:v>
      </x:c>
      <x:c r="B3049" s="115" t="str">
        <x:v>EXT-MONDE-T061</x:v>
      </x:c>
      <x:c r="C3049" s="115" t="str">
        <x:v>Épuration</x:v>
      </x:c>
      <x:c r="D3049" s="115" t="str">
        <x:v>Station d’épuration urbaine</x:v>
      </x:c>
      <x:c r="E3049" s="115" t="n">
        <x:v>44</x:v>
      </x:c>
      <x:c r="F3049" s="115" t="str">
        <x:v>Inspection physique</x:v>
      </x:c>
      <x:c r="G3049" s="115" t="str">
        <x:v>1 niveaux ; 22 pièces ; 167 segments de mur ; 0 transitions. Inspection physique ; architecture complète encore ouverte.</x:v>
      </x:c>
      <x:c r="H3049" s="115" t="str">
        <x:v>L 502 ; l 520 ; hauteur 12 m ; choix de composition auteur ; dimensions réelles à documenter</x:v>
      </x:c>
      <x:c r="I3049" s="115" t="str">
        <x:v>À équilibrer</x:v>
      </x:c>
      <x:c r="J3049" s="115" t="str">
        <x:v>Non</x:v>
      </x:c>
      <x:c r="K3049" s="115" t="str">
        <x:v>Pièces décrites, murs, portes, niveaux et mobilier inspectables à l’échelle. Volumes réservés, raccord au seed, butin, rencontres et services de campagne restent à terminer.</x:v>
      </x:c>
    </x:row>
    <x:row r="3050" ht="96" customHeight="1">
      <x:c r="A3050" s="115" t="str">
        <x:v>EXT-MONDE-T061-V45</x:v>
      </x:c>
      <x:c r="B3050" s="115" t="str">
        <x:v>EXT-MONDE-T061</x:v>
      </x:c>
      <x:c r="C3050" s="115" t="str">
        <x:v>Épuration</x:v>
      </x:c>
      <x:c r="D3050" s="115" t="str">
        <x:v>Station d’épuration urbaine</x:v>
      </x:c>
      <x:c r="E3050" s="115" t="n">
        <x:v>45</x:v>
      </x:c>
      <x:c r="F3050" s="115" t="str">
        <x:v>Inspection physique</x:v>
      </x:c>
      <x:c r="G3050" s="115" t="str">
        <x:v>1 niveaux ; 22 pièces ; 167 segments de mur ; 0 transitions. Inspection physique ; architecture complète encore ouverte.</x:v>
      </x:c>
      <x:c r="H3050" s="115" t="str">
        <x:v>L 502 ; l 520 ; hauteur 12 m ; choix de composition auteur ; dimensions réelles à documenter</x:v>
      </x:c>
      <x:c r="I3050" s="115" t="str">
        <x:v>À équilibrer</x:v>
      </x:c>
      <x:c r="J3050" s="115" t="str">
        <x:v>Non</x:v>
      </x:c>
      <x:c r="K3050" s="115" t="str">
        <x:v>Pièces décrites, murs, portes, niveaux et mobilier inspectables à l’échelle. Volumes réservés, raccord au seed, butin, rencontres et services de campagne restent à terminer.</x:v>
      </x:c>
    </x:row>
    <x:row r="3051" ht="96" customHeight="1">
      <x:c r="A3051" s="115" t="str">
        <x:v>EXT-MONDE-T061-V46</x:v>
      </x:c>
      <x:c r="B3051" s="115" t="str">
        <x:v>EXT-MONDE-T061</x:v>
      </x:c>
      <x:c r="C3051" s="115" t="str">
        <x:v>Épuration</x:v>
      </x:c>
      <x:c r="D3051" s="115" t="str">
        <x:v>Station d’épuration urbaine</x:v>
      </x:c>
      <x:c r="E3051" s="115" t="n">
        <x:v>46</x:v>
      </x:c>
      <x:c r="F3051" s="115" t="str">
        <x:v>Inspection physique</x:v>
      </x:c>
      <x:c r="G3051" s="115" t="str">
        <x:v>1 niveaux ; 22 pièces ; 167 segments de mur ; 0 transitions. Inspection physique ; architecture complète encore ouverte.</x:v>
      </x:c>
      <x:c r="H3051" s="115" t="str">
        <x:v>L 502 ; l 520 ; hauteur 12 m ; choix de composition auteur ; dimensions réelles à documenter</x:v>
      </x:c>
      <x:c r="I3051" s="115" t="str">
        <x:v>À équilibrer</x:v>
      </x:c>
      <x:c r="J3051" s="115" t="str">
        <x:v>Non</x:v>
      </x:c>
      <x:c r="K3051" s="115" t="str">
        <x:v>Pièces décrites, murs, portes, niveaux et mobilier inspectables à l’échelle. Volumes réservés, raccord au seed, butin, rencontres et services de campagne restent à terminer.</x:v>
      </x:c>
    </x:row>
    <x:row r="3052" ht="96" customHeight="1">
      <x:c r="A3052" s="115" t="str">
        <x:v>EXT-MONDE-T061-V47</x:v>
      </x:c>
      <x:c r="B3052" s="115" t="str">
        <x:v>EXT-MONDE-T061</x:v>
      </x:c>
      <x:c r="C3052" s="115" t="str">
        <x:v>Épuration</x:v>
      </x:c>
      <x:c r="D3052" s="115" t="str">
        <x:v>Station d’épuration urbaine</x:v>
      </x:c>
      <x:c r="E3052" s="115" t="n">
        <x:v>47</x:v>
      </x:c>
      <x:c r="F3052" s="115" t="str">
        <x:v>Inspection physique</x:v>
      </x:c>
      <x:c r="G3052" s="115" t="str">
        <x:v>1 niveaux ; 22 pièces ; 167 segments de mur ; 0 transitions. Inspection physique ; architecture complète encore ouverte.</x:v>
      </x:c>
      <x:c r="H3052" s="115" t="str">
        <x:v>L 502 ; l 520 ; hauteur 12 m ; choix de composition auteur ; dimensions réelles à documenter</x:v>
      </x:c>
      <x:c r="I3052" s="115" t="str">
        <x:v>À équilibrer</x:v>
      </x:c>
      <x:c r="J3052" s="115" t="str">
        <x:v>Non</x:v>
      </x:c>
      <x:c r="K3052" s="115" t="str">
        <x:v>Pièces décrites, murs, portes, niveaux et mobilier inspectables à l’échelle. Volumes réservés, raccord au seed, butin, rencontres et services de campagne restent à terminer.</x:v>
      </x:c>
    </x:row>
    <x:row r="3053" ht="96" customHeight="1">
      <x:c r="A3053" s="115" t="str">
        <x:v>EXT-MONDE-T061-V48</x:v>
      </x:c>
      <x:c r="B3053" s="115" t="str">
        <x:v>EXT-MONDE-T061</x:v>
      </x:c>
      <x:c r="C3053" s="115" t="str">
        <x:v>Épuration</x:v>
      </x:c>
      <x:c r="D3053" s="115" t="str">
        <x:v>Station d’épuration urbaine</x:v>
      </x:c>
      <x:c r="E3053" s="115" t="n">
        <x:v>48</x:v>
      </x:c>
      <x:c r="F3053" s="115" t="str">
        <x:v>Inspection physique</x:v>
      </x:c>
      <x:c r="G3053" s="115" t="str">
        <x:v>1 niveaux ; 22 pièces ; 167 segments de mur ; 0 transitions. Inspection physique ; architecture complète encore ouverte.</x:v>
      </x:c>
      <x:c r="H3053" s="115" t="str">
        <x:v>L 502 ; l 520 ; hauteur 12 m ; choix de composition auteur ; dimensions réelles à documenter</x:v>
      </x:c>
      <x:c r="I3053" s="115" t="str">
        <x:v>À équilibrer</x:v>
      </x:c>
      <x:c r="J3053" s="115" t="str">
        <x:v>Non</x:v>
      </x:c>
      <x:c r="K3053" s="115" t="str">
        <x:v>Pièces décrites, murs, portes, niveaux et mobilier inspectables à l’échelle. Volumes réservés, raccord au seed, butin, rencontres et services de campagne restent à terminer.</x:v>
      </x:c>
    </x:row>
    <x:row r="3054" ht="96" customHeight="1">
      <x:c r="A3054" s="115" t="str">
        <x:v>EXT-MONDE-T061-V49</x:v>
      </x:c>
      <x:c r="B3054" s="115" t="str">
        <x:v>EXT-MONDE-T061</x:v>
      </x:c>
      <x:c r="C3054" s="115" t="str">
        <x:v>Épuration</x:v>
      </x:c>
      <x:c r="D3054" s="115" t="str">
        <x:v>Station d’épuration urbaine</x:v>
      </x:c>
      <x:c r="E3054" s="115" t="n">
        <x:v>49</x:v>
      </x:c>
      <x:c r="F3054" s="115" t="str">
        <x:v>Inspection physique</x:v>
      </x:c>
      <x:c r="G3054" s="115" t="str">
        <x:v>1 niveaux ; 22 pièces ; 167 segments de mur ; 0 transitions. Inspection physique ; architecture complète encore ouverte.</x:v>
      </x:c>
      <x:c r="H3054" s="115" t="str">
        <x:v>L 502 ; l 520 ; hauteur 12 m ; choix de composition auteur ; dimensions réelles à documenter</x:v>
      </x:c>
      <x:c r="I3054" s="115" t="str">
        <x:v>À équilibrer</x:v>
      </x:c>
      <x:c r="J3054" s="115" t="str">
        <x:v>Non</x:v>
      </x:c>
      <x:c r="K3054" s="115" t="str">
        <x:v>Pièces décrites, murs, portes, niveaux et mobilier inspectables à l’échelle. Volumes réservés, raccord au seed, butin, rencontres et services de campagne restent à terminer.</x:v>
      </x:c>
    </x:row>
    <x:row r="3055" ht="96" customHeight="1">
      <x:c r="A3055" s="115" t="str">
        <x:v>EXT-MONDE-T061-V50</x:v>
      </x:c>
      <x:c r="B3055" s="115" t="str">
        <x:v>EXT-MONDE-T061</x:v>
      </x:c>
      <x:c r="C3055" s="115" t="str">
        <x:v>Épuration</x:v>
      </x:c>
      <x:c r="D3055" s="115" t="str">
        <x:v>Station d’épuration urbaine</x:v>
      </x:c>
      <x:c r="E3055" s="115" t="n">
        <x:v>50</x:v>
      </x:c>
      <x:c r="F3055" s="115" t="str">
        <x:v>Inspection physique</x:v>
      </x:c>
      <x:c r="G3055" s="115" t="str">
        <x:v>1 niveaux ; 22 pièces ; 167 segments de mur ; 0 transitions. Inspection physique ; architecture complète encore ouverte.</x:v>
      </x:c>
      <x:c r="H3055" s="115" t="str">
        <x:v>L 502 ; l 520 ; hauteur 12 m ; choix de composition auteur ; dimensions réelles à documenter</x:v>
      </x:c>
      <x:c r="I3055" s="115" t="str">
        <x:v>À équilibrer</x:v>
      </x:c>
      <x:c r="J3055" s="115" t="str">
        <x:v>Non</x:v>
      </x:c>
      <x:c r="K3055" s="115" t="str">
        <x:v>Pièces décrites, murs, portes, niveaux et mobilier inspectables à l’échelle. Volumes réservés, raccord au seed, butin, rencontres et services de campagne restent à terminer.</x:v>
      </x:c>
    </x:row>
    <x:row r="3056" ht="96" customHeight="1">
      <x:c r="A3056" s="115" t="str">
        <x:v>EXT-MONDE-T062-V01</x:v>
      </x:c>
      <x:c r="B3056" s="115" t="str">
        <x:v>EXT-MONDE-T062</x:v>
      </x:c>
      <x:c r="C3056" s="115" t="str">
        <x:v>Épuration</x:v>
      </x:c>
      <x:c r="D3056" s="115" t="str">
        <x:v>Station de lagunage</x:v>
      </x:c>
      <x:c r="E3056" s="115" t="n">
        <x:v>1</x:v>
      </x:c>
      <x:c r="F3056" s="115" t="str">
        <x:v>Inspection physique</x:v>
      </x:c>
      <x:c r="G3056" s="115" t="str">
        <x:v>1 niveaux ; 22 pièces ; 167 segments de mur ; 0 transitions. Inspection physique ; architecture complète encore ouverte.</x:v>
      </x:c>
      <x:c r="H3056" s="115" t="str">
        <x:v>L 430 ; l 440 ; hauteur 5 m ; choix de composition auteur ; dimensions réelles à documenter</x:v>
      </x:c>
      <x:c r="I3056" s="115" t="str">
        <x:v>À équilibrer</x:v>
      </x:c>
      <x:c r="J3056" s="115" t="str">
        <x:v>Non</x:v>
      </x:c>
      <x:c r="K3056" s="115" t="str">
        <x:v>Pièces décrites, murs, portes, niveaux et mobilier inspectables à l’échelle. Volumes réservés, raccord au seed, butin, rencontres et services de campagne restent à terminer.</x:v>
      </x:c>
    </x:row>
    <x:row r="3057" ht="96" customHeight="1">
      <x:c r="A3057" s="115" t="str">
        <x:v>EXT-MONDE-T062-V02</x:v>
      </x:c>
      <x:c r="B3057" s="115" t="str">
        <x:v>EXT-MONDE-T062</x:v>
      </x:c>
      <x:c r="C3057" s="115" t="str">
        <x:v>Épuration</x:v>
      </x:c>
      <x:c r="D3057" s="115" t="str">
        <x:v>Station de lagunage</x:v>
      </x:c>
      <x:c r="E3057" s="115" t="n">
        <x:v>2</x:v>
      </x:c>
      <x:c r="F3057" s="115" t="str">
        <x:v>Inspection physique</x:v>
      </x:c>
      <x:c r="G3057" s="115" t="str">
        <x:v>1 niveaux ; 22 pièces ; 167 segments de mur ; 0 transitions. Inspection physique ; architecture complète encore ouverte.</x:v>
      </x:c>
      <x:c r="H3057" s="115" t="str">
        <x:v>L 430 ; l 440 ; hauteur 5 m ; choix de composition auteur ; dimensions réelles à documenter</x:v>
      </x:c>
      <x:c r="I3057" s="115" t="str">
        <x:v>À équilibrer</x:v>
      </x:c>
      <x:c r="J3057" s="115" t="str">
        <x:v>Non</x:v>
      </x:c>
      <x:c r="K3057" s="115" t="str">
        <x:v>Pièces décrites, murs, portes, niveaux et mobilier inspectables à l’échelle. Volumes réservés, raccord au seed, butin, rencontres et services de campagne restent à terminer.</x:v>
      </x:c>
    </x:row>
    <x:row r="3058" ht="96" customHeight="1">
      <x:c r="A3058" s="115" t="str">
        <x:v>EXT-MONDE-T062-V03</x:v>
      </x:c>
      <x:c r="B3058" s="115" t="str">
        <x:v>EXT-MONDE-T062</x:v>
      </x:c>
      <x:c r="C3058" s="115" t="str">
        <x:v>Épuration</x:v>
      </x:c>
      <x:c r="D3058" s="115" t="str">
        <x:v>Station de lagunage</x:v>
      </x:c>
      <x:c r="E3058" s="115" t="n">
        <x:v>3</x:v>
      </x:c>
      <x:c r="F3058" s="115" t="str">
        <x:v>Inspection physique</x:v>
      </x:c>
      <x:c r="G3058" s="115" t="str">
        <x:v>1 niveaux ; 22 pièces ; 167 segments de mur ; 0 transitions. Inspection physique ; architecture complète encore ouverte.</x:v>
      </x:c>
      <x:c r="H3058" s="115" t="str">
        <x:v>L 430 ; l 440 ; hauteur 5 m ; choix de composition auteur ; dimensions réelles à documenter</x:v>
      </x:c>
      <x:c r="I3058" s="115" t="str">
        <x:v>À équilibrer</x:v>
      </x:c>
      <x:c r="J3058" s="115" t="str">
        <x:v>Non</x:v>
      </x:c>
      <x:c r="K3058" s="115" t="str">
        <x:v>Pièces décrites, murs, portes, niveaux et mobilier inspectables à l’échelle. Volumes réservés, raccord au seed, butin, rencontres et services de campagne restent à terminer.</x:v>
      </x:c>
    </x:row>
    <x:row r="3059" ht="96" customHeight="1">
      <x:c r="A3059" s="115" t="str">
        <x:v>EXT-MONDE-T062-V04</x:v>
      </x:c>
      <x:c r="B3059" s="115" t="str">
        <x:v>EXT-MONDE-T062</x:v>
      </x:c>
      <x:c r="C3059" s="115" t="str">
        <x:v>Épuration</x:v>
      </x:c>
      <x:c r="D3059" s="115" t="str">
        <x:v>Station de lagunage</x:v>
      </x:c>
      <x:c r="E3059" s="115" t="n">
        <x:v>4</x:v>
      </x:c>
      <x:c r="F3059" s="115" t="str">
        <x:v>Inspection physique</x:v>
      </x:c>
      <x:c r="G3059" s="115" t="str">
        <x:v>1 niveaux ; 22 pièces ; 167 segments de mur ; 0 transitions. Inspection physique ; architecture complète encore ouverte.</x:v>
      </x:c>
      <x:c r="H3059" s="115" t="str">
        <x:v>L 430 ; l 440 ; hauteur 5 m ; choix de composition auteur ; dimensions réelles à documenter</x:v>
      </x:c>
      <x:c r="I3059" s="115" t="str">
        <x:v>À équilibrer</x:v>
      </x:c>
      <x:c r="J3059" s="115" t="str">
        <x:v>Non</x:v>
      </x:c>
      <x:c r="K3059" s="115" t="str">
        <x:v>Pièces décrites, murs, portes, niveaux et mobilier inspectables à l’échelle. Volumes réservés, raccord au seed, butin, rencontres et services de campagne restent à terminer.</x:v>
      </x:c>
    </x:row>
    <x:row r="3060" ht="96" customHeight="1">
      <x:c r="A3060" s="115" t="str">
        <x:v>EXT-MONDE-T062-V05</x:v>
      </x:c>
      <x:c r="B3060" s="115" t="str">
        <x:v>EXT-MONDE-T062</x:v>
      </x:c>
      <x:c r="C3060" s="115" t="str">
        <x:v>Épuration</x:v>
      </x:c>
      <x:c r="D3060" s="115" t="str">
        <x:v>Station de lagunage</x:v>
      </x:c>
      <x:c r="E3060" s="115" t="n">
        <x:v>5</x:v>
      </x:c>
      <x:c r="F3060" s="115" t="str">
        <x:v>Inspection physique</x:v>
      </x:c>
      <x:c r="G3060" s="115" t="str">
        <x:v>1 niveaux ; 22 pièces ; 167 segments de mur ; 0 transitions. Inspection physique ; architecture complète encore ouverte.</x:v>
      </x:c>
      <x:c r="H3060" s="115" t="str">
        <x:v>L 430 ; l 440 ; hauteur 5 m ; choix de composition auteur ; dimensions réelles à documenter</x:v>
      </x:c>
      <x:c r="I3060" s="115" t="str">
        <x:v>À équilibrer</x:v>
      </x:c>
      <x:c r="J3060" s="115" t="str">
        <x:v>Non</x:v>
      </x:c>
      <x:c r="K3060" s="115" t="str">
        <x:v>Pièces décrites, murs, portes, niveaux et mobilier inspectables à l’échelle. Volumes réservés, raccord au seed, butin, rencontres et services de campagne restent à terminer.</x:v>
      </x:c>
    </x:row>
    <x:row r="3061" ht="96" customHeight="1">
      <x:c r="A3061" s="115" t="str">
        <x:v>EXT-MONDE-T062-V06</x:v>
      </x:c>
      <x:c r="B3061" s="115" t="str">
        <x:v>EXT-MONDE-T062</x:v>
      </x:c>
      <x:c r="C3061" s="115" t="str">
        <x:v>Épuration</x:v>
      </x:c>
      <x:c r="D3061" s="115" t="str">
        <x:v>Station de lagunage</x:v>
      </x:c>
      <x:c r="E3061" s="115" t="n">
        <x:v>6</x:v>
      </x:c>
      <x:c r="F3061" s="115" t="str">
        <x:v>Inspection physique</x:v>
      </x:c>
      <x:c r="G3061" s="115" t="str">
        <x:v>1 niveaux ; 22 pièces ; 167 segments de mur ; 0 transitions. Inspection physique ; architecture complète encore ouverte.</x:v>
      </x:c>
      <x:c r="H3061" s="115" t="str">
        <x:v>L 430 ; l 440 ; hauteur 5 m ; choix de composition auteur ; dimensions réelles à documenter</x:v>
      </x:c>
      <x:c r="I3061" s="115" t="str">
        <x:v>À équilibrer</x:v>
      </x:c>
      <x:c r="J3061" s="115" t="str">
        <x:v>Non</x:v>
      </x:c>
      <x:c r="K3061" s="115" t="str">
        <x:v>Pièces décrites, murs, portes, niveaux et mobilier inspectables à l’échelle. Volumes réservés, raccord au seed, butin, rencontres et services de campagne restent à terminer.</x:v>
      </x:c>
    </x:row>
    <x:row r="3062" ht="96" customHeight="1">
      <x:c r="A3062" s="115" t="str">
        <x:v>EXT-MONDE-T062-V07</x:v>
      </x:c>
      <x:c r="B3062" s="115" t="str">
        <x:v>EXT-MONDE-T062</x:v>
      </x:c>
      <x:c r="C3062" s="115" t="str">
        <x:v>Épuration</x:v>
      </x:c>
      <x:c r="D3062" s="115" t="str">
        <x:v>Station de lagunage</x:v>
      </x:c>
      <x:c r="E3062" s="115" t="n">
        <x:v>7</x:v>
      </x:c>
      <x:c r="F3062" s="115" t="str">
        <x:v>Inspection physique</x:v>
      </x:c>
      <x:c r="G3062" s="115" t="str">
        <x:v>1 niveaux ; 22 pièces ; 167 segments de mur ; 0 transitions. Inspection physique ; architecture complète encore ouverte.</x:v>
      </x:c>
      <x:c r="H3062" s="115" t="str">
        <x:v>L 430 ; l 440 ; hauteur 5 m ; choix de composition auteur ; dimensions réelles à documenter</x:v>
      </x:c>
      <x:c r="I3062" s="115" t="str">
        <x:v>À équilibrer</x:v>
      </x:c>
      <x:c r="J3062" s="115" t="str">
        <x:v>Non</x:v>
      </x:c>
      <x:c r="K3062" s="115" t="str">
        <x:v>Pièces décrites, murs, portes, niveaux et mobilier inspectables à l’échelle. Volumes réservés, raccord au seed, butin, rencontres et services de campagne restent à terminer.</x:v>
      </x:c>
    </x:row>
    <x:row r="3063" ht="96" customHeight="1">
      <x:c r="A3063" s="115" t="str">
        <x:v>EXT-MONDE-T062-V08</x:v>
      </x:c>
      <x:c r="B3063" s="115" t="str">
        <x:v>EXT-MONDE-T062</x:v>
      </x:c>
      <x:c r="C3063" s="115" t="str">
        <x:v>Épuration</x:v>
      </x:c>
      <x:c r="D3063" s="115" t="str">
        <x:v>Station de lagunage</x:v>
      </x:c>
      <x:c r="E3063" s="115" t="n">
        <x:v>8</x:v>
      </x:c>
      <x:c r="F3063" s="115" t="str">
        <x:v>Inspection physique</x:v>
      </x:c>
      <x:c r="G3063" s="115" t="str">
        <x:v>1 niveaux ; 22 pièces ; 167 segments de mur ; 0 transitions. Inspection physique ; architecture complète encore ouverte.</x:v>
      </x:c>
      <x:c r="H3063" s="115" t="str">
        <x:v>L 430 ; l 440 ; hauteur 5 m ; choix de composition auteur ; dimensions réelles à documenter</x:v>
      </x:c>
      <x:c r="I3063" s="115" t="str">
        <x:v>À équilibrer</x:v>
      </x:c>
      <x:c r="J3063" s="115" t="str">
        <x:v>Non</x:v>
      </x:c>
      <x:c r="K3063" s="115" t="str">
        <x:v>Pièces décrites, murs, portes, niveaux et mobilier inspectables à l’échelle. Volumes réservés, raccord au seed, butin, rencontres et services de campagne restent à terminer.</x:v>
      </x:c>
    </x:row>
    <x:row r="3064" ht="96" customHeight="1">
      <x:c r="A3064" s="115" t="str">
        <x:v>EXT-MONDE-T062-V09</x:v>
      </x:c>
      <x:c r="B3064" s="115" t="str">
        <x:v>EXT-MONDE-T062</x:v>
      </x:c>
      <x:c r="C3064" s="115" t="str">
        <x:v>Épuration</x:v>
      </x:c>
      <x:c r="D3064" s="115" t="str">
        <x:v>Station de lagunage</x:v>
      </x:c>
      <x:c r="E3064" s="115" t="n">
        <x:v>9</x:v>
      </x:c>
      <x:c r="F3064" s="115" t="str">
        <x:v>Inspection physique</x:v>
      </x:c>
      <x:c r="G3064" s="115" t="str">
        <x:v>1 niveaux ; 22 pièces ; 167 segments de mur ; 0 transitions. Inspection physique ; architecture complète encore ouverte.</x:v>
      </x:c>
      <x:c r="H3064" s="115" t="str">
        <x:v>L 430 ; l 440 ; hauteur 5 m ; choix de composition auteur ; dimensions réelles à documenter</x:v>
      </x:c>
      <x:c r="I3064" s="115" t="str">
        <x:v>À équilibrer</x:v>
      </x:c>
      <x:c r="J3064" s="115" t="str">
        <x:v>Non</x:v>
      </x:c>
      <x:c r="K3064" s="115" t="str">
        <x:v>Pièces décrites, murs, portes, niveaux et mobilier inspectables à l’échelle. Volumes réservés, raccord au seed, butin, rencontres et services de campagne restent à terminer.</x:v>
      </x:c>
    </x:row>
    <x:row r="3065" ht="96" customHeight="1">
      <x:c r="A3065" s="115" t="str">
        <x:v>EXT-MONDE-T062-V10</x:v>
      </x:c>
      <x:c r="B3065" s="115" t="str">
        <x:v>EXT-MONDE-T062</x:v>
      </x:c>
      <x:c r="C3065" s="115" t="str">
        <x:v>Épuration</x:v>
      </x:c>
      <x:c r="D3065" s="115" t="str">
        <x:v>Station de lagunage</x:v>
      </x:c>
      <x:c r="E3065" s="115" t="n">
        <x:v>10</x:v>
      </x:c>
      <x:c r="F3065" s="115" t="str">
        <x:v>Inspection physique</x:v>
      </x:c>
      <x:c r="G3065" s="115" t="str">
        <x:v>1 niveaux ; 22 pièces ; 167 segments de mur ; 0 transitions. Inspection physique ; architecture complète encore ouverte.</x:v>
      </x:c>
      <x:c r="H3065" s="115" t="str">
        <x:v>L 430 ; l 440 ; hauteur 5 m ; choix de composition auteur ; dimensions réelles à documenter</x:v>
      </x:c>
      <x:c r="I3065" s="115" t="str">
        <x:v>À équilibrer</x:v>
      </x:c>
      <x:c r="J3065" s="115" t="str">
        <x:v>Non</x:v>
      </x:c>
      <x:c r="K3065" s="115" t="str">
        <x:v>Pièces décrites, murs, portes, niveaux et mobilier inspectables à l’échelle. Volumes réservés, raccord au seed, butin, rencontres et services de campagne restent à terminer.</x:v>
      </x:c>
    </x:row>
    <x:row r="3066" ht="96" customHeight="1">
      <x:c r="A3066" s="115" t="str">
        <x:v>EXT-MONDE-T062-V11</x:v>
      </x:c>
      <x:c r="B3066" s="115" t="str">
        <x:v>EXT-MONDE-T062</x:v>
      </x:c>
      <x:c r="C3066" s="115" t="str">
        <x:v>Épuration</x:v>
      </x:c>
      <x:c r="D3066" s="115" t="str">
        <x:v>Station de lagunage</x:v>
      </x:c>
      <x:c r="E3066" s="115" t="n">
        <x:v>11</x:v>
      </x:c>
      <x:c r="F3066" s="115" t="str">
        <x:v>Inspection physique</x:v>
      </x:c>
      <x:c r="G3066" s="115" t="str">
        <x:v>1 niveaux ; 22 pièces ; 167 segments de mur ; 0 transitions. Inspection physique ; architecture complète encore ouverte.</x:v>
      </x:c>
      <x:c r="H3066" s="115" t="str">
        <x:v>L 448 ; l 460 ; hauteur 5,2 m ; choix de composition auteur ; dimensions réelles à documenter</x:v>
      </x:c>
      <x:c r="I3066" s="115" t="str">
        <x:v>À équilibrer</x:v>
      </x:c>
      <x:c r="J3066" s="115" t="str">
        <x:v>Non</x:v>
      </x:c>
      <x:c r="K3066" s="115" t="str">
        <x:v>Pièces décrites, murs, portes, niveaux et mobilier inspectables à l’échelle. Volumes réservés, raccord au seed, butin, rencontres et services de campagne restent à terminer.</x:v>
      </x:c>
    </x:row>
    <x:row r="3067" ht="96" customHeight="1">
      <x:c r="A3067" s="115" t="str">
        <x:v>EXT-MONDE-T062-V12</x:v>
      </x:c>
      <x:c r="B3067" s="115" t="str">
        <x:v>EXT-MONDE-T062</x:v>
      </x:c>
      <x:c r="C3067" s="115" t="str">
        <x:v>Épuration</x:v>
      </x:c>
      <x:c r="D3067" s="115" t="str">
        <x:v>Station de lagunage</x:v>
      </x:c>
      <x:c r="E3067" s="115" t="n">
        <x:v>12</x:v>
      </x:c>
      <x:c r="F3067" s="115" t="str">
        <x:v>Inspection physique</x:v>
      </x:c>
      <x:c r="G3067" s="115" t="str">
        <x:v>1 niveaux ; 22 pièces ; 167 segments de mur ; 0 transitions. Inspection physique ; architecture complète encore ouverte.</x:v>
      </x:c>
      <x:c r="H3067" s="115" t="str">
        <x:v>L 448 ; l 460 ; hauteur 5,2 m ; choix de composition auteur ; dimensions réelles à documenter</x:v>
      </x:c>
      <x:c r="I3067" s="115" t="str">
        <x:v>À équilibrer</x:v>
      </x:c>
      <x:c r="J3067" s="115" t="str">
        <x:v>Non</x:v>
      </x:c>
      <x:c r="K3067" s="115" t="str">
        <x:v>Pièces décrites, murs, portes, niveaux et mobilier inspectables à l’échelle. Volumes réservés, raccord au seed, butin, rencontres et services de campagne restent à terminer.</x:v>
      </x:c>
    </x:row>
    <x:row r="3068" ht="96" customHeight="1">
      <x:c r="A3068" s="115" t="str">
        <x:v>EXT-MONDE-T062-V13</x:v>
      </x:c>
      <x:c r="B3068" s="115" t="str">
        <x:v>EXT-MONDE-T062</x:v>
      </x:c>
      <x:c r="C3068" s="115" t="str">
        <x:v>Épuration</x:v>
      </x:c>
      <x:c r="D3068" s="115" t="str">
        <x:v>Station de lagunage</x:v>
      </x:c>
      <x:c r="E3068" s="115" t="n">
        <x:v>13</x:v>
      </x:c>
      <x:c r="F3068" s="115" t="str">
        <x:v>Inspection physique</x:v>
      </x:c>
      <x:c r="G3068" s="115" t="str">
        <x:v>1 niveaux ; 22 pièces ; 167 segments de mur ; 0 transitions. Inspection physique ; architecture complète encore ouverte.</x:v>
      </x:c>
      <x:c r="H3068" s="115" t="str">
        <x:v>L 448 ; l 460 ; hauteur 5,2 m ; choix de composition auteur ; dimensions réelles à documenter</x:v>
      </x:c>
      <x:c r="I3068" s="115" t="str">
        <x:v>À équilibrer</x:v>
      </x:c>
      <x:c r="J3068" s="115" t="str">
        <x:v>Non</x:v>
      </x:c>
      <x:c r="K3068" s="115" t="str">
        <x:v>Pièces décrites, murs, portes, niveaux et mobilier inspectables à l’échelle. Volumes réservés, raccord au seed, butin, rencontres et services de campagne restent à terminer.</x:v>
      </x:c>
    </x:row>
    <x:row r="3069" ht="96" customHeight="1">
      <x:c r="A3069" s="115" t="str">
        <x:v>EXT-MONDE-T062-V14</x:v>
      </x:c>
      <x:c r="B3069" s="115" t="str">
        <x:v>EXT-MONDE-T062</x:v>
      </x:c>
      <x:c r="C3069" s="115" t="str">
        <x:v>Épuration</x:v>
      </x:c>
      <x:c r="D3069" s="115" t="str">
        <x:v>Station de lagunage</x:v>
      </x:c>
      <x:c r="E3069" s="115" t="n">
        <x:v>14</x:v>
      </x:c>
      <x:c r="F3069" s="115" t="str">
        <x:v>Inspection physique</x:v>
      </x:c>
      <x:c r="G3069" s="115" t="str">
        <x:v>1 niveaux ; 22 pièces ; 167 segments de mur ; 0 transitions. Inspection physique ; architecture complète encore ouverte.</x:v>
      </x:c>
      <x:c r="H3069" s="115" t="str">
        <x:v>L 448 ; l 460 ; hauteur 5,2 m ; choix de composition auteur ; dimensions réelles à documenter</x:v>
      </x:c>
      <x:c r="I3069" s="115" t="str">
        <x:v>À équilibrer</x:v>
      </x:c>
      <x:c r="J3069" s="115" t="str">
        <x:v>Non</x:v>
      </x:c>
      <x:c r="K3069" s="115" t="str">
        <x:v>Pièces décrites, murs, portes, niveaux et mobilier inspectables à l’échelle. Volumes réservés, raccord au seed, butin, rencontres et services de campagne restent à terminer.</x:v>
      </x:c>
    </x:row>
    <x:row r="3070" ht="96" customHeight="1">
      <x:c r="A3070" s="115" t="str">
        <x:v>EXT-MONDE-T062-V15</x:v>
      </x:c>
      <x:c r="B3070" s="115" t="str">
        <x:v>EXT-MONDE-T062</x:v>
      </x:c>
      <x:c r="C3070" s="115" t="str">
        <x:v>Épuration</x:v>
      </x:c>
      <x:c r="D3070" s="115" t="str">
        <x:v>Station de lagunage</x:v>
      </x:c>
      <x:c r="E3070" s="115" t="n">
        <x:v>15</x:v>
      </x:c>
      <x:c r="F3070" s="115" t="str">
        <x:v>Inspection physique</x:v>
      </x:c>
      <x:c r="G3070" s="115" t="str">
        <x:v>1 niveaux ; 22 pièces ; 167 segments de mur ; 0 transitions. Inspection physique ; architecture complète encore ouverte.</x:v>
      </x:c>
      <x:c r="H3070" s="115" t="str">
        <x:v>L 448 ; l 460 ; hauteur 5,2 m ; choix de composition auteur ; dimensions réelles à documenter</x:v>
      </x:c>
      <x:c r="I3070" s="115" t="str">
        <x:v>À équilibrer</x:v>
      </x:c>
      <x:c r="J3070" s="115" t="str">
        <x:v>Non</x:v>
      </x:c>
      <x:c r="K3070" s="115" t="str">
        <x:v>Pièces décrites, murs, portes, niveaux et mobilier inspectables à l’échelle. Volumes réservés, raccord au seed, butin, rencontres et services de campagne restent à terminer.</x:v>
      </x:c>
    </x:row>
    <x:row r="3071" ht="96" customHeight="1">
      <x:c r="A3071" s="115" t="str">
        <x:v>EXT-MONDE-T062-V16</x:v>
      </x:c>
      <x:c r="B3071" s="115" t="str">
        <x:v>EXT-MONDE-T062</x:v>
      </x:c>
      <x:c r="C3071" s="115" t="str">
        <x:v>Épuration</x:v>
      </x:c>
      <x:c r="D3071" s="115" t="str">
        <x:v>Station de lagunage</x:v>
      </x:c>
      <x:c r="E3071" s="115" t="n">
        <x:v>16</x:v>
      </x:c>
      <x:c r="F3071" s="115" t="str">
        <x:v>Inspection physique</x:v>
      </x:c>
      <x:c r="G3071" s="115" t="str">
        <x:v>1 niveaux ; 22 pièces ; 167 segments de mur ; 0 transitions. Inspection physique ; architecture complète encore ouverte.</x:v>
      </x:c>
      <x:c r="H3071" s="115" t="str">
        <x:v>L 448 ; l 460 ; hauteur 5,2 m ; choix de composition auteur ; dimensions réelles à documenter</x:v>
      </x:c>
      <x:c r="I3071" s="115" t="str">
        <x:v>À équilibrer</x:v>
      </x:c>
      <x:c r="J3071" s="115" t="str">
        <x:v>Non</x:v>
      </x:c>
      <x:c r="K3071" s="115" t="str">
        <x:v>Pièces décrites, murs, portes, niveaux et mobilier inspectables à l’échelle. Volumes réservés, raccord au seed, butin, rencontres et services de campagne restent à terminer.</x:v>
      </x:c>
    </x:row>
    <x:row r="3072" ht="96" customHeight="1">
      <x:c r="A3072" s="115" t="str">
        <x:v>EXT-MONDE-T062-V17</x:v>
      </x:c>
      <x:c r="B3072" s="115" t="str">
        <x:v>EXT-MONDE-T062</x:v>
      </x:c>
      <x:c r="C3072" s="115" t="str">
        <x:v>Épuration</x:v>
      </x:c>
      <x:c r="D3072" s="115" t="str">
        <x:v>Station de lagunage</x:v>
      </x:c>
      <x:c r="E3072" s="115" t="n">
        <x:v>17</x:v>
      </x:c>
      <x:c r="F3072" s="115" t="str">
        <x:v>Inspection physique</x:v>
      </x:c>
      <x:c r="G3072" s="115" t="str">
        <x:v>1 niveaux ; 22 pièces ; 167 segments de mur ; 0 transitions. Inspection physique ; architecture complète encore ouverte.</x:v>
      </x:c>
      <x:c r="H3072" s="115" t="str">
        <x:v>L 448 ; l 460 ; hauteur 5,2 m ; choix de composition auteur ; dimensions réelles à documenter</x:v>
      </x:c>
      <x:c r="I3072" s="115" t="str">
        <x:v>À équilibrer</x:v>
      </x:c>
      <x:c r="J3072" s="115" t="str">
        <x:v>Non</x:v>
      </x:c>
      <x:c r="K3072" s="115" t="str">
        <x:v>Pièces décrites, murs, portes, niveaux et mobilier inspectables à l’échelle. Volumes réservés, raccord au seed, butin, rencontres et services de campagne restent à terminer.</x:v>
      </x:c>
    </x:row>
    <x:row r="3073" ht="96" customHeight="1">
      <x:c r="A3073" s="115" t="str">
        <x:v>EXT-MONDE-T062-V18</x:v>
      </x:c>
      <x:c r="B3073" s="115" t="str">
        <x:v>EXT-MONDE-T062</x:v>
      </x:c>
      <x:c r="C3073" s="115" t="str">
        <x:v>Épuration</x:v>
      </x:c>
      <x:c r="D3073" s="115" t="str">
        <x:v>Station de lagunage</x:v>
      </x:c>
      <x:c r="E3073" s="115" t="n">
        <x:v>18</x:v>
      </x:c>
      <x:c r="F3073" s="115" t="str">
        <x:v>Inspection physique</x:v>
      </x:c>
      <x:c r="G3073" s="115" t="str">
        <x:v>1 niveaux ; 22 pièces ; 167 segments de mur ; 0 transitions. Inspection physique ; architecture complète encore ouverte.</x:v>
      </x:c>
      <x:c r="H3073" s="115" t="str">
        <x:v>L 448 ; l 460 ; hauteur 5,2 m ; choix de composition auteur ; dimensions réelles à documenter</x:v>
      </x:c>
      <x:c r="I3073" s="115" t="str">
        <x:v>À équilibrer</x:v>
      </x:c>
      <x:c r="J3073" s="115" t="str">
        <x:v>Non</x:v>
      </x:c>
      <x:c r="K3073" s="115" t="str">
        <x:v>Pièces décrites, murs, portes, niveaux et mobilier inspectables à l’échelle. Volumes réservés, raccord au seed, butin, rencontres et services de campagne restent à terminer.</x:v>
      </x:c>
    </x:row>
    <x:row r="3074" ht="96" customHeight="1">
      <x:c r="A3074" s="115" t="str">
        <x:v>EXT-MONDE-T062-V19</x:v>
      </x:c>
      <x:c r="B3074" s="115" t="str">
        <x:v>EXT-MONDE-T062</x:v>
      </x:c>
      <x:c r="C3074" s="115" t="str">
        <x:v>Épuration</x:v>
      </x:c>
      <x:c r="D3074" s="115" t="str">
        <x:v>Station de lagunage</x:v>
      </x:c>
      <x:c r="E3074" s="115" t="n">
        <x:v>19</x:v>
      </x:c>
      <x:c r="F3074" s="115" t="str">
        <x:v>Inspection physique</x:v>
      </x:c>
      <x:c r="G3074" s="115" t="str">
        <x:v>1 niveaux ; 22 pièces ; 167 segments de mur ; 0 transitions. Inspection physique ; architecture complète encore ouverte.</x:v>
      </x:c>
      <x:c r="H3074" s="115" t="str">
        <x:v>L 448 ; l 460 ; hauteur 5,2 m ; choix de composition auteur ; dimensions réelles à documenter</x:v>
      </x:c>
      <x:c r="I3074" s="115" t="str">
        <x:v>À équilibrer</x:v>
      </x:c>
      <x:c r="J3074" s="115" t="str">
        <x:v>Non</x:v>
      </x:c>
      <x:c r="K3074" s="115" t="str">
        <x:v>Pièces décrites, murs, portes, niveaux et mobilier inspectables à l’échelle. Volumes réservés, raccord au seed, butin, rencontres et services de campagne restent à terminer.</x:v>
      </x:c>
    </x:row>
    <x:row r="3075" ht="96" customHeight="1">
      <x:c r="A3075" s="115" t="str">
        <x:v>EXT-MONDE-T062-V20</x:v>
      </x:c>
      <x:c r="B3075" s="115" t="str">
        <x:v>EXT-MONDE-T062</x:v>
      </x:c>
      <x:c r="C3075" s="115" t="str">
        <x:v>Épuration</x:v>
      </x:c>
      <x:c r="D3075" s="115" t="str">
        <x:v>Station de lagunage</x:v>
      </x:c>
      <x:c r="E3075" s="115" t="n">
        <x:v>20</x:v>
      </x:c>
      <x:c r="F3075" s="115" t="str">
        <x:v>Inspection physique</x:v>
      </x:c>
      <x:c r="G3075" s="115" t="str">
        <x:v>1 niveaux ; 22 pièces ; 167 segments de mur ; 0 transitions. Inspection physique ; architecture complète encore ouverte.</x:v>
      </x:c>
      <x:c r="H3075" s="115" t="str">
        <x:v>L 448 ; l 460 ; hauteur 5,2 m ; choix de composition auteur ; dimensions réelles à documenter</x:v>
      </x:c>
      <x:c r="I3075" s="115" t="str">
        <x:v>À équilibrer</x:v>
      </x:c>
      <x:c r="J3075" s="115" t="str">
        <x:v>Non</x:v>
      </x:c>
      <x:c r="K3075" s="115" t="str">
        <x:v>Pièces décrites, murs, portes, niveaux et mobilier inspectables à l’échelle. Volumes réservés, raccord au seed, butin, rencontres et services de campagne restent à terminer.</x:v>
      </x:c>
    </x:row>
    <x:row r="3076" ht="96" customHeight="1">
      <x:c r="A3076" s="115" t="str">
        <x:v>EXT-MONDE-T062-V21</x:v>
      </x:c>
      <x:c r="B3076" s="115" t="str">
        <x:v>EXT-MONDE-T062</x:v>
      </x:c>
      <x:c r="C3076" s="115" t="str">
        <x:v>Épuration</x:v>
      </x:c>
      <x:c r="D3076" s="115" t="str">
        <x:v>Station de lagunage</x:v>
      </x:c>
      <x:c r="E3076" s="115" t="n">
        <x:v>21</x:v>
      </x:c>
      <x:c r="F3076" s="115" t="str">
        <x:v>Inspection physique</x:v>
      </x:c>
      <x:c r="G3076" s="115" t="str">
        <x:v>1 niveaux ; 22 pièces ; 167 segments de mur ; 0 transitions. Inspection physique ; architecture complète encore ouverte.</x:v>
      </x:c>
      <x:c r="H3076" s="115" t="str">
        <x:v>L 466 ; l 480 ; hauteur 5,4 m ; choix de composition auteur ; dimensions réelles à documenter</x:v>
      </x:c>
      <x:c r="I3076" s="115" t="str">
        <x:v>À équilibrer</x:v>
      </x:c>
      <x:c r="J3076" s="115" t="str">
        <x:v>Non</x:v>
      </x:c>
      <x:c r="K3076" s="115" t="str">
        <x:v>Pièces décrites, murs, portes, niveaux et mobilier inspectables à l’échelle. Volumes réservés, raccord au seed, butin, rencontres et services de campagne restent à terminer.</x:v>
      </x:c>
    </x:row>
    <x:row r="3077" ht="96" customHeight="1">
      <x:c r="A3077" s="115" t="str">
        <x:v>EXT-MONDE-T062-V22</x:v>
      </x:c>
      <x:c r="B3077" s="115" t="str">
        <x:v>EXT-MONDE-T062</x:v>
      </x:c>
      <x:c r="C3077" s="115" t="str">
        <x:v>Épuration</x:v>
      </x:c>
      <x:c r="D3077" s="115" t="str">
        <x:v>Station de lagunage</x:v>
      </x:c>
      <x:c r="E3077" s="115" t="n">
        <x:v>22</x:v>
      </x:c>
      <x:c r="F3077" s="115" t="str">
        <x:v>Inspection physique</x:v>
      </x:c>
      <x:c r="G3077" s="115" t="str">
        <x:v>1 niveaux ; 22 pièces ; 167 segments de mur ; 0 transitions. Inspection physique ; architecture complète encore ouverte.</x:v>
      </x:c>
      <x:c r="H3077" s="115" t="str">
        <x:v>L 466 ; l 480 ; hauteur 5,4 m ; choix de composition auteur ; dimensions réelles à documenter</x:v>
      </x:c>
      <x:c r="I3077" s="115" t="str">
        <x:v>À équilibrer</x:v>
      </x:c>
      <x:c r="J3077" s="115" t="str">
        <x:v>Non</x:v>
      </x:c>
      <x:c r="K3077" s="115" t="str">
        <x:v>Pièces décrites, murs, portes, niveaux et mobilier inspectables à l’échelle. Volumes réservés, raccord au seed, butin, rencontres et services de campagne restent à terminer.</x:v>
      </x:c>
    </x:row>
    <x:row r="3078" ht="96" customHeight="1">
      <x:c r="A3078" s="115" t="str">
        <x:v>EXT-MONDE-T062-V23</x:v>
      </x:c>
      <x:c r="B3078" s="115" t="str">
        <x:v>EXT-MONDE-T062</x:v>
      </x:c>
      <x:c r="C3078" s="115" t="str">
        <x:v>Épuration</x:v>
      </x:c>
      <x:c r="D3078" s="115" t="str">
        <x:v>Station de lagunage</x:v>
      </x:c>
      <x:c r="E3078" s="115" t="n">
        <x:v>23</x:v>
      </x:c>
      <x:c r="F3078" s="115" t="str">
        <x:v>Inspection physique</x:v>
      </x:c>
      <x:c r="G3078" s="115" t="str">
        <x:v>1 niveaux ; 22 pièces ; 167 segments de mur ; 0 transitions. Inspection physique ; architecture complète encore ouverte.</x:v>
      </x:c>
      <x:c r="H3078" s="115" t="str">
        <x:v>L 466 ; l 480 ; hauteur 5,4 m ; choix de composition auteur ; dimensions réelles à documenter</x:v>
      </x:c>
      <x:c r="I3078" s="115" t="str">
        <x:v>À équilibrer</x:v>
      </x:c>
      <x:c r="J3078" s="115" t="str">
        <x:v>Non</x:v>
      </x:c>
      <x:c r="K3078" s="115" t="str">
        <x:v>Pièces décrites, murs, portes, niveaux et mobilier inspectables à l’échelle. Volumes réservés, raccord au seed, butin, rencontres et services de campagne restent à terminer.</x:v>
      </x:c>
    </x:row>
    <x:row r="3079" ht="96" customHeight="1">
      <x:c r="A3079" s="115" t="str">
        <x:v>EXT-MONDE-T062-V24</x:v>
      </x:c>
      <x:c r="B3079" s="115" t="str">
        <x:v>EXT-MONDE-T062</x:v>
      </x:c>
      <x:c r="C3079" s="115" t="str">
        <x:v>Épuration</x:v>
      </x:c>
      <x:c r="D3079" s="115" t="str">
        <x:v>Station de lagunage</x:v>
      </x:c>
      <x:c r="E3079" s="115" t="n">
        <x:v>24</x:v>
      </x:c>
      <x:c r="F3079" s="115" t="str">
        <x:v>Inspection physique</x:v>
      </x:c>
      <x:c r="G3079" s="115" t="str">
        <x:v>1 niveaux ; 22 pièces ; 167 segments de mur ; 0 transitions. Inspection physique ; architecture complète encore ouverte.</x:v>
      </x:c>
      <x:c r="H3079" s="115" t="str">
        <x:v>L 466 ; l 480 ; hauteur 5,4 m ; choix de composition auteur ; dimensions réelles à documenter</x:v>
      </x:c>
      <x:c r="I3079" s="115" t="str">
        <x:v>À équilibrer</x:v>
      </x:c>
      <x:c r="J3079" s="115" t="str">
        <x:v>Non</x:v>
      </x:c>
      <x:c r="K3079" s="115" t="str">
        <x:v>Pièces décrites, murs, portes, niveaux et mobilier inspectables à l’échelle. Volumes réservés, raccord au seed, butin, rencontres et services de campagne restent à terminer.</x:v>
      </x:c>
    </x:row>
    <x:row r="3080" ht="96" customHeight="1">
      <x:c r="A3080" s="115" t="str">
        <x:v>EXT-MONDE-T062-V25</x:v>
      </x:c>
      <x:c r="B3080" s="115" t="str">
        <x:v>EXT-MONDE-T062</x:v>
      </x:c>
      <x:c r="C3080" s="115" t="str">
        <x:v>Épuration</x:v>
      </x:c>
      <x:c r="D3080" s="115" t="str">
        <x:v>Station de lagunage</x:v>
      </x:c>
      <x:c r="E3080" s="115" t="n">
        <x:v>25</x:v>
      </x:c>
      <x:c r="F3080" s="115" t="str">
        <x:v>Inspection physique</x:v>
      </x:c>
      <x:c r="G3080" s="115" t="str">
        <x:v>1 niveaux ; 22 pièces ; 167 segments de mur ; 0 transitions. Inspection physique ; architecture complète encore ouverte.</x:v>
      </x:c>
      <x:c r="H3080" s="115" t="str">
        <x:v>L 466 ; l 480 ; hauteur 5,4 m ; choix de composition auteur ; dimensions réelles à documenter</x:v>
      </x:c>
      <x:c r="I3080" s="115" t="str">
        <x:v>À équilibrer</x:v>
      </x:c>
      <x:c r="J3080" s="115" t="str">
        <x:v>Non</x:v>
      </x:c>
      <x:c r="K3080" s="115" t="str">
        <x:v>Pièces décrites, murs, portes, niveaux et mobilier inspectables à l’échelle. Volumes réservés, raccord au seed, butin, rencontres et services de campagne restent à terminer.</x:v>
      </x:c>
    </x:row>
    <x:row r="3081" ht="96" customHeight="1">
      <x:c r="A3081" s="115" t="str">
        <x:v>EXT-MONDE-T062-V26</x:v>
      </x:c>
      <x:c r="B3081" s="115" t="str">
        <x:v>EXT-MONDE-T062</x:v>
      </x:c>
      <x:c r="C3081" s="115" t="str">
        <x:v>Épuration</x:v>
      </x:c>
      <x:c r="D3081" s="115" t="str">
        <x:v>Station de lagunage</x:v>
      </x:c>
      <x:c r="E3081" s="115" t="n">
        <x:v>26</x:v>
      </x:c>
      <x:c r="F3081" s="115" t="str">
        <x:v>Inspection physique</x:v>
      </x:c>
      <x:c r="G3081" s="115" t="str">
        <x:v>1 niveaux ; 22 pièces ; 167 segments de mur ; 0 transitions. Inspection physique ; architecture complète encore ouverte.</x:v>
      </x:c>
      <x:c r="H3081" s="115" t="str">
        <x:v>L 466 ; l 480 ; hauteur 5,4 m ; choix de composition auteur ; dimensions réelles à documenter</x:v>
      </x:c>
      <x:c r="I3081" s="115" t="str">
        <x:v>À équilibrer</x:v>
      </x:c>
      <x:c r="J3081" s="115" t="str">
        <x:v>Non</x:v>
      </x:c>
      <x:c r="K3081" s="115" t="str">
        <x:v>Pièces décrites, murs, portes, niveaux et mobilier inspectables à l’échelle. Volumes réservés, raccord au seed, butin, rencontres et services de campagne restent à terminer.</x:v>
      </x:c>
    </x:row>
    <x:row r="3082" ht="96" customHeight="1">
      <x:c r="A3082" s="115" t="str">
        <x:v>EXT-MONDE-T062-V27</x:v>
      </x:c>
      <x:c r="B3082" s="115" t="str">
        <x:v>EXT-MONDE-T062</x:v>
      </x:c>
      <x:c r="C3082" s="115" t="str">
        <x:v>Épuration</x:v>
      </x:c>
      <x:c r="D3082" s="115" t="str">
        <x:v>Station de lagunage</x:v>
      </x:c>
      <x:c r="E3082" s="115" t="n">
        <x:v>27</x:v>
      </x:c>
      <x:c r="F3082" s="115" t="str">
        <x:v>Inspection physique</x:v>
      </x:c>
      <x:c r="G3082" s="115" t="str">
        <x:v>1 niveaux ; 22 pièces ; 167 segments de mur ; 0 transitions. Inspection physique ; architecture complète encore ouverte.</x:v>
      </x:c>
      <x:c r="H3082" s="115" t="str">
        <x:v>L 466 ; l 480 ; hauteur 5,4 m ; choix de composition auteur ; dimensions réelles à documenter</x:v>
      </x:c>
      <x:c r="I3082" s="115" t="str">
        <x:v>À équilibrer</x:v>
      </x:c>
      <x:c r="J3082" s="115" t="str">
        <x:v>Non</x:v>
      </x:c>
      <x:c r="K3082" s="115" t="str">
        <x:v>Pièces décrites, murs, portes, niveaux et mobilier inspectables à l’échelle. Volumes réservés, raccord au seed, butin, rencontres et services de campagne restent à terminer.</x:v>
      </x:c>
    </x:row>
    <x:row r="3083" ht="96" customHeight="1">
      <x:c r="A3083" s="115" t="str">
        <x:v>EXT-MONDE-T062-V28</x:v>
      </x:c>
      <x:c r="B3083" s="115" t="str">
        <x:v>EXT-MONDE-T062</x:v>
      </x:c>
      <x:c r="C3083" s="115" t="str">
        <x:v>Épuration</x:v>
      </x:c>
      <x:c r="D3083" s="115" t="str">
        <x:v>Station de lagunage</x:v>
      </x:c>
      <x:c r="E3083" s="115" t="n">
        <x:v>28</x:v>
      </x:c>
      <x:c r="F3083" s="115" t="str">
        <x:v>Inspection physique</x:v>
      </x:c>
      <x:c r="G3083" s="115" t="str">
        <x:v>1 niveaux ; 22 pièces ; 167 segments de mur ; 0 transitions. Inspection physique ; architecture complète encore ouverte.</x:v>
      </x:c>
      <x:c r="H3083" s="115" t="str">
        <x:v>L 466 ; l 480 ; hauteur 5,4 m ; choix de composition auteur ; dimensions réelles à documenter</x:v>
      </x:c>
      <x:c r="I3083" s="115" t="str">
        <x:v>À équilibrer</x:v>
      </x:c>
      <x:c r="J3083" s="115" t="str">
        <x:v>Non</x:v>
      </x:c>
      <x:c r="K3083" s="115" t="str">
        <x:v>Pièces décrites, murs, portes, niveaux et mobilier inspectables à l’échelle. Volumes réservés, raccord au seed, butin, rencontres et services de campagne restent à terminer.</x:v>
      </x:c>
    </x:row>
    <x:row r="3084" ht="96" customHeight="1">
      <x:c r="A3084" s="115" t="str">
        <x:v>EXT-MONDE-T062-V29</x:v>
      </x:c>
      <x:c r="B3084" s="115" t="str">
        <x:v>EXT-MONDE-T062</x:v>
      </x:c>
      <x:c r="C3084" s="115" t="str">
        <x:v>Épuration</x:v>
      </x:c>
      <x:c r="D3084" s="115" t="str">
        <x:v>Station de lagunage</x:v>
      </x:c>
      <x:c r="E3084" s="115" t="n">
        <x:v>29</x:v>
      </x:c>
      <x:c r="F3084" s="115" t="str">
        <x:v>Inspection physique</x:v>
      </x:c>
      <x:c r="G3084" s="115" t="str">
        <x:v>1 niveaux ; 22 pièces ; 167 segments de mur ; 0 transitions. Inspection physique ; architecture complète encore ouverte.</x:v>
      </x:c>
      <x:c r="H3084" s="115" t="str">
        <x:v>L 466 ; l 480 ; hauteur 5,4 m ; choix de composition auteur ; dimensions réelles à documenter</x:v>
      </x:c>
      <x:c r="I3084" s="115" t="str">
        <x:v>À équilibrer</x:v>
      </x:c>
      <x:c r="J3084" s="115" t="str">
        <x:v>Non</x:v>
      </x:c>
      <x:c r="K3084" s="115" t="str">
        <x:v>Pièces décrites, murs, portes, niveaux et mobilier inspectables à l’échelle. Volumes réservés, raccord au seed, butin, rencontres et services de campagne restent à terminer.</x:v>
      </x:c>
    </x:row>
    <x:row r="3085" ht="96" customHeight="1">
      <x:c r="A3085" s="115" t="str">
        <x:v>EXT-MONDE-T062-V30</x:v>
      </x:c>
      <x:c r="B3085" s="115" t="str">
        <x:v>EXT-MONDE-T062</x:v>
      </x:c>
      <x:c r="C3085" s="115" t="str">
        <x:v>Épuration</x:v>
      </x:c>
      <x:c r="D3085" s="115" t="str">
        <x:v>Station de lagunage</x:v>
      </x:c>
      <x:c r="E3085" s="115" t="n">
        <x:v>30</x:v>
      </x:c>
      <x:c r="F3085" s="115" t="str">
        <x:v>Inspection physique</x:v>
      </x:c>
      <x:c r="G3085" s="115" t="str">
        <x:v>1 niveaux ; 22 pièces ; 167 segments de mur ; 0 transitions. Inspection physique ; architecture complète encore ouverte.</x:v>
      </x:c>
      <x:c r="H3085" s="115" t="str">
        <x:v>L 466 ; l 480 ; hauteur 5,4 m ; choix de composition auteur ; dimensions réelles à documenter</x:v>
      </x:c>
      <x:c r="I3085" s="115" t="str">
        <x:v>À équilibrer</x:v>
      </x:c>
      <x:c r="J3085" s="115" t="str">
        <x:v>Non</x:v>
      </x:c>
      <x:c r="K3085" s="115" t="str">
        <x:v>Pièces décrites, murs, portes, niveaux et mobilier inspectables à l’échelle. Volumes réservés, raccord au seed, butin, rencontres et services de campagne restent à terminer.</x:v>
      </x:c>
    </x:row>
    <x:row r="3086" ht="96" customHeight="1">
      <x:c r="A3086" s="115" t="str">
        <x:v>EXT-MONDE-T062-V31</x:v>
      </x:c>
      <x:c r="B3086" s="115" t="str">
        <x:v>EXT-MONDE-T062</x:v>
      </x:c>
      <x:c r="C3086" s="115" t="str">
        <x:v>Épuration</x:v>
      </x:c>
      <x:c r="D3086" s="115" t="str">
        <x:v>Station de lagunage</x:v>
      </x:c>
      <x:c r="E3086" s="115" t="n">
        <x:v>31</x:v>
      </x:c>
      <x:c r="F3086" s="115" t="str">
        <x:v>Inspection physique</x:v>
      </x:c>
      <x:c r="G3086" s="115" t="str">
        <x:v>1 niveaux ; 22 pièces ; 167 segments de mur ; 0 transitions. Inspection physique ; architecture complète encore ouverte.</x:v>
      </x:c>
      <x:c r="H3086" s="115" t="str">
        <x:v>L 484 ; l 500 ; hauteur 5,6 m ; choix de composition auteur ; dimensions réelles à documenter</x:v>
      </x:c>
      <x:c r="I3086" s="115" t="str">
        <x:v>À équilibrer</x:v>
      </x:c>
      <x:c r="J3086" s="115" t="str">
        <x:v>Non</x:v>
      </x:c>
      <x:c r="K3086" s="115" t="str">
        <x:v>Pièces décrites, murs, portes, niveaux et mobilier inspectables à l’échelle. Volumes réservés, raccord au seed, butin, rencontres et services de campagne restent à terminer.</x:v>
      </x:c>
    </x:row>
    <x:row r="3087" ht="96" customHeight="1">
      <x:c r="A3087" s="115" t="str">
        <x:v>EXT-MONDE-T062-V32</x:v>
      </x:c>
      <x:c r="B3087" s="115" t="str">
        <x:v>EXT-MONDE-T062</x:v>
      </x:c>
      <x:c r="C3087" s="115" t="str">
        <x:v>Épuration</x:v>
      </x:c>
      <x:c r="D3087" s="115" t="str">
        <x:v>Station de lagunage</x:v>
      </x:c>
      <x:c r="E3087" s="115" t="n">
        <x:v>32</x:v>
      </x:c>
      <x:c r="F3087" s="115" t="str">
        <x:v>Inspection physique</x:v>
      </x:c>
      <x:c r="G3087" s="115" t="str">
        <x:v>1 niveaux ; 22 pièces ; 167 segments de mur ; 0 transitions. Inspection physique ; architecture complète encore ouverte.</x:v>
      </x:c>
      <x:c r="H3087" s="115" t="str">
        <x:v>L 484 ; l 500 ; hauteur 5,6 m ; choix de composition auteur ; dimensions réelles à documenter</x:v>
      </x:c>
      <x:c r="I3087" s="115" t="str">
        <x:v>À équilibrer</x:v>
      </x:c>
      <x:c r="J3087" s="115" t="str">
        <x:v>Non</x:v>
      </x:c>
      <x:c r="K3087" s="115" t="str">
        <x:v>Pièces décrites, murs, portes, niveaux et mobilier inspectables à l’échelle. Volumes réservés, raccord au seed, butin, rencontres et services de campagne restent à terminer.</x:v>
      </x:c>
    </x:row>
    <x:row r="3088" ht="96" customHeight="1">
      <x:c r="A3088" s="115" t="str">
        <x:v>EXT-MONDE-T062-V33</x:v>
      </x:c>
      <x:c r="B3088" s="115" t="str">
        <x:v>EXT-MONDE-T062</x:v>
      </x:c>
      <x:c r="C3088" s="115" t="str">
        <x:v>Épuration</x:v>
      </x:c>
      <x:c r="D3088" s="115" t="str">
        <x:v>Station de lagunage</x:v>
      </x:c>
      <x:c r="E3088" s="115" t="n">
        <x:v>33</x:v>
      </x:c>
      <x:c r="F3088" s="115" t="str">
        <x:v>Inspection physique</x:v>
      </x:c>
      <x:c r="G3088" s="115" t="str">
        <x:v>1 niveaux ; 22 pièces ; 167 segments de mur ; 0 transitions. Inspection physique ; architecture complète encore ouverte.</x:v>
      </x:c>
      <x:c r="H3088" s="115" t="str">
        <x:v>L 484 ; l 500 ; hauteur 5,6 m ; choix de composition auteur ; dimensions réelles à documenter</x:v>
      </x:c>
      <x:c r="I3088" s="115" t="str">
        <x:v>À équilibrer</x:v>
      </x:c>
      <x:c r="J3088" s="115" t="str">
        <x:v>Non</x:v>
      </x:c>
      <x:c r="K3088" s="115" t="str">
        <x:v>Pièces décrites, murs, portes, niveaux et mobilier inspectables à l’échelle. Volumes réservés, raccord au seed, butin, rencontres et services de campagne restent à terminer.</x:v>
      </x:c>
    </x:row>
    <x:row r="3089" ht="96" customHeight="1">
      <x:c r="A3089" s="115" t="str">
        <x:v>EXT-MONDE-T062-V34</x:v>
      </x:c>
      <x:c r="B3089" s="115" t="str">
        <x:v>EXT-MONDE-T062</x:v>
      </x:c>
      <x:c r="C3089" s="115" t="str">
        <x:v>Épuration</x:v>
      </x:c>
      <x:c r="D3089" s="115" t="str">
        <x:v>Station de lagunage</x:v>
      </x:c>
      <x:c r="E3089" s="115" t="n">
        <x:v>34</x:v>
      </x:c>
      <x:c r="F3089" s="115" t="str">
        <x:v>Inspection physique</x:v>
      </x:c>
      <x:c r="G3089" s="115" t="str">
        <x:v>1 niveaux ; 22 pièces ; 167 segments de mur ; 0 transitions. Inspection physique ; architecture complète encore ouverte.</x:v>
      </x:c>
      <x:c r="H3089" s="115" t="str">
        <x:v>L 484 ; l 500 ; hauteur 5,6 m ; choix de composition auteur ; dimensions réelles à documenter</x:v>
      </x:c>
      <x:c r="I3089" s="115" t="str">
        <x:v>À équilibrer</x:v>
      </x:c>
      <x:c r="J3089" s="115" t="str">
        <x:v>Non</x:v>
      </x:c>
      <x:c r="K3089" s="115" t="str">
        <x:v>Pièces décrites, murs, portes, niveaux et mobilier inspectables à l’échelle. Volumes réservés, raccord au seed, butin, rencontres et services de campagne restent à terminer.</x:v>
      </x:c>
    </x:row>
    <x:row r="3090" ht="96" customHeight="1">
      <x:c r="A3090" s="115" t="str">
        <x:v>EXT-MONDE-T062-V35</x:v>
      </x:c>
      <x:c r="B3090" s="115" t="str">
        <x:v>EXT-MONDE-T062</x:v>
      </x:c>
      <x:c r="C3090" s="115" t="str">
        <x:v>Épuration</x:v>
      </x:c>
      <x:c r="D3090" s="115" t="str">
        <x:v>Station de lagunage</x:v>
      </x:c>
      <x:c r="E3090" s="115" t="n">
        <x:v>35</x:v>
      </x:c>
      <x:c r="F3090" s="115" t="str">
        <x:v>Inspection physique</x:v>
      </x:c>
      <x:c r="G3090" s="115" t="str">
        <x:v>1 niveaux ; 22 pièces ; 167 segments de mur ; 0 transitions. Inspection physique ; architecture complète encore ouverte.</x:v>
      </x:c>
      <x:c r="H3090" s="115" t="str">
        <x:v>L 484 ; l 500 ; hauteur 5,6 m ; choix de composition auteur ; dimensions réelles à documenter</x:v>
      </x:c>
      <x:c r="I3090" s="115" t="str">
        <x:v>À équilibrer</x:v>
      </x:c>
      <x:c r="J3090" s="115" t="str">
        <x:v>Non</x:v>
      </x:c>
      <x:c r="K3090" s="115" t="str">
        <x:v>Pièces décrites, murs, portes, niveaux et mobilier inspectables à l’échelle. Volumes réservés, raccord au seed, butin, rencontres et services de campagne restent à terminer.</x:v>
      </x:c>
    </x:row>
    <x:row r="3091" ht="96" customHeight="1">
      <x:c r="A3091" s="115" t="str">
        <x:v>EXT-MONDE-T062-V36</x:v>
      </x:c>
      <x:c r="B3091" s="115" t="str">
        <x:v>EXT-MONDE-T062</x:v>
      </x:c>
      <x:c r="C3091" s="115" t="str">
        <x:v>Épuration</x:v>
      </x:c>
      <x:c r="D3091" s="115" t="str">
        <x:v>Station de lagunage</x:v>
      </x:c>
      <x:c r="E3091" s="115" t="n">
        <x:v>36</x:v>
      </x:c>
      <x:c r="F3091" s="115" t="str">
        <x:v>Inspection physique</x:v>
      </x:c>
      <x:c r="G3091" s="115" t="str">
        <x:v>1 niveaux ; 22 pièces ; 167 segments de mur ; 0 transitions. Inspection physique ; architecture complète encore ouverte.</x:v>
      </x:c>
      <x:c r="H3091" s="115" t="str">
        <x:v>L 484 ; l 500 ; hauteur 5,6 m ; choix de composition auteur ; dimensions réelles à documenter</x:v>
      </x:c>
      <x:c r="I3091" s="115" t="str">
        <x:v>À équilibrer</x:v>
      </x:c>
      <x:c r="J3091" s="115" t="str">
        <x:v>Non</x:v>
      </x:c>
      <x:c r="K3091" s="115" t="str">
        <x:v>Pièces décrites, murs, portes, niveaux et mobilier inspectables à l’échelle. Volumes réservés, raccord au seed, butin, rencontres et services de campagne restent à terminer.</x:v>
      </x:c>
    </x:row>
    <x:row r="3092" ht="96" customHeight="1">
      <x:c r="A3092" s="115" t="str">
        <x:v>EXT-MONDE-T062-V37</x:v>
      </x:c>
      <x:c r="B3092" s="115" t="str">
        <x:v>EXT-MONDE-T062</x:v>
      </x:c>
      <x:c r="C3092" s="115" t="str">
        <x:v>Épuration</x:v>
      </x:c>
      <x:c r="D3092" s="115" t="str">
        <x:v>Station de lagunage</x:v>
      </x:c>
      <x:c r="E3092" s="115" t="n">
        <x:v>37</x:v>
      </x:c>
      <x:c r="F3092" s="115" t="str">
        <x:v>Inspection physique</x:v>
      </x:c>
      <x:c r="G3092" s="115" t="str">
        <x:v>1 niveaux ; 22 pièces ; 167 segments de mur ; 0 transitions. Inspection physique ; architecture complète encore ouverte.</x:v>
      </x:c>
      <x:c r="H3092" s="115" t="str">
        <x:v>L 484 ; l 500 ; hauteur 5,6 m ; choix de composition auteur ; dimensions réelles à documenter</x:v>
      </x:c>
      <x:c r="I3092" s="115" t="str">
        <x:v>À équilibrer</x:v>
      </x:c>
      <x:c r="J3092" s="115" t="str">
        <x:v>Non</x:v>
      </x:c>
      <x:c r="K3092" s="115" t="str">
        <x:v>Pièces décrites, murs, portes, niveaux et mobilier inspectables à l’échelle. Volumes réservés, raccord au seed, butin, rencontres et services de campagne restent à terminer.</x:v>
      </x:c>
    </x:row>
    <x:row r="3093" ht="96" customHeight="1">
      <x:c r="A3093" s="115" t="str">
        <x:v>EXT-MONDE-T062-V38</x:v>
      </x:c>
      <x:c r="B3093" s="115" t="str">
        <x:v>EXT-MONDE-T062</x:v>
      </x:c>
      <x:c r="C3093" s="115" t="str">
        <x:v>Épuration</x:v>
      </x:c>
      <x:c r="D3093" s="115" t="str">
        <x:v>Station de lagunage</x:v>
      </x:c>
      <x:c r="E3093" s="115" t="n">
        <x:v>38</x:v>
      </x:c>
      <x:c r="F3093" s="115" t="str">
        <x:v>Inspection physique</x:v>
      </x:c>
      <x:c r="G3093" s="115" t="str">
        <x:v>1 niveaux ; 22 pièces ; 167 segments de mur ; 0 transitions. Inspection physique ; architecture complète encore ouverte.</x:v>
      </x:c>
      <x:c r="H3093" s="115" t="str">
        <x:v>L 484 ; l 500 ; hauteur 5,6 m ; choix de composition auteur ; dimensions réelles à documenter</x:v>
      </x:c>
      <x:c r="I3093" s="115" t="str">
        <x:v>À équilibrer</x:v>
      </x:c>
      <x:c r="J3093" s="115" t="str">
        <x:v>Non</x:v>
      </x:c>
      <x:c r="K3093" s="115" t="str">
        <x:v>Pièces décrites, murs, portes, niveaux et mobilier inspectables à l’échelle. Volumes réservés, raccord au seed, butin, rencontres et services de campagne restent à terminer.</x:v>
      </x:c>
    </x:row>
    <x:row r="3094" ht="96" customHeight="1">
      <x:c r="A3094" s="115" t="str">
        <x:v>EXT-MONDE-T062-V39</x:v>
      </x:c>
      <x:c r="B3094" s="115" t="str">
        <x:v>EXT-MONDE-T062</x:v>
      </x:c>
      <x:c r="C3094" s="115" t="str">
        <x:v>Épuration</x:v>
      </x:c>
      <x:c r="D3094" s="115" t="str">
        <x:v>Station de lagunage</x:v>
      </x:c>
      <x:c r="E3094" s="115" t="n">
        <x:v>39</x:v>
      </x:c>
      <x:c r="F3094" s="115" t="str">
        <x:v>Inspection physique</x:v>
      </x:c>
      <x:c r="G3094" s="115" t="str">
        <x:v>1 niveaux ; 22 pièces ; 167 segments de mur ; 0 transitions. Inspection physique ; architecture complète encore ouverte.</x:v>
      </x:c>
      <x:c r="H3094" s="115" t="str">
        <x:v>L 484 ; l 500 ; hauteur 5,6 m ; choix de composition auteur ; dimensions réelles à documenter</x:v>
      </x:c>
      <x:c r="I3094" s="115" t="str">
        <x:v>À équilibrer</x:v>
      </x:c>
      <x:c r="J3094" s="115" t="str">
        <x:v>Non</x:v>
      </x:c>
      <x:c r="K3094" s="115" t="str">
        <x:v>Pièces décrites, murs, portes, niveaux et mobilier inspectables à l’échelle. Volumes réservés, raccord au seed, butin, rencontres et services de campagne restent à terminer.</x:v>
      </x:c>
    </x:row>
    <x:row r="3095" ht="96" customHeight="1">
      <x:c r="A3095" s="115" t="str">
        <x:v>EXT-MONDE-T062-V40</x:v>
      </x:c>
      <x:c r="B3095" s="115" t="str">
        <x:v>EXT-MONDE-T062</x:v>
      </x:c>
      <x:c r="C3095" s="115" t="str">
        <x:v>Épuration</x:v>
      </x:c>
      <x:c r="D3095" s="115" t="str">
        <x:v>Station de lagunage</x:v>
      </x:c>
      <x:c r="E3095" s="115" t="n">
        <x:v>40</x:v>
      </x:c>
      <x:c r="F3095" s="115" t="str">
        <x:v>Inspection physique</x:v>
      </x:c>
      <x:c r="G3095" s="115" t="str">
        <x:v>1 niveaux ; 22 pièces ; 167 segments de mur ; 0 transitions. Inspection physique ; architecture complète encore ouverte.</x:v>
      </x:c>
      <x:c r="H3095" s="115" t="str">
        <x:v>L 484 ; l 500 ; hauteur 5,6 m ; choix de composition auteur ; dimensions réelles à documenter</x:v>
      </x:c>
      <x:c r="I3095" s="115" t="str">
        <x:v>À équilibrer</x:v>
      </x:c>
      <x:c r="J3095" s="115" t="str">
        <x:v>Non</x:v>
      </x:c>
      <x:c r="K3095" s="115" t="str">
        <x:v>Pièces décrites, murs, portes, niveaux et mobilier inspectables à l’échelle. Volumes réservés, raccord au seed, butin, rencontres et services de campagne restent à terminer.</x:v>
      </x:c>
    </x:row>
    <x:row r="3096" ht="96" customHeight="1">
      <x:c r="A3096" s="115" t="str">
        <x:v>EXT-MONDE-T062-V41</x:v>
      </x:c>
      <x:c r="B3096" s="115" t="str">
        <x:v>EXT-MONDE-T062</x:v>
      </x:c>
      <x:c r="C3096" s="115" t="str">
        <x:v>Épuration</x:v>
      </x:c>
      <x:c r="D3096" s="115" t="str">
        <x:v>Station de lagunage</x:v>
      </x:c>
      <x:c r="E3096" s="115" t="n">
        <x:v>41</x:v>
      </x:c>
      <x:c r="F3096" s="115" t="str">
        <x:v>Inspection physique</x:v>
      </x:c>
      <x:c r="G3096" s="115" t="str">
        <x:v>1 niveaux ; 22 pièces ; 167 segments de mur ; 0 transitions. Inspection physique ; architecture complète encore ouverte.</x:v>
      </x:c>
      <x:c r="H3096" s="115" t="str">
        <x:v>L 502 ; l 520 ; hauteur 5,8 m ; choix de composition auteur ; dimensions réelles à documenter</x:v>
      </x:c>
      <x:c r="I3096" s="115" t="str">
        <x:v>À équilibrer</x:v>
      </x:c>
      <x:c r="J3096" s="115" t="str">
        <x:v>Non</x:v>
      </x:c>
      <x:c r="K3096" s="115" t="str">
        <x:v>Pièces décrites, murs, portes, niveaux et mobilier inspectables à l’échelle. Volumes réservés, raccord au seed, butin, rencontres et services de campagne restent à terminer.</x:v>
      </x:c>
    </x:row>
    <x:row r="3097" ht="96" customHeight="1">
      <x:c r="A3097" s="115" t="str">
        <x:v>EXT-MONDE-T062-V42</x:v>
      </x:c>
      <x:c r="B3097" s="115" t="str">
        <x:v>EXT-MONDE-T062</x:v>
      </x:c>
      <x:c r="C3097" s="115" t="str">
        <x:v>Épuration</x:v>
      </x:c>
      <x:c r="D3097" s="115" t="str">
        <x:v>Station de lagunage</x:v>
      </x:c>
      <x:c r="E3097" s="115" t="n">
        <x:v>42</x:v>
      </x:c>
      <x:c r="F3097" s="115" t="str">
        <x:v>Inspection physique</x:v>
      </x:c>
      <x:c r="G3097" s="115" t="str">
        <x:v>1 niveaux ; 22 pièces ; 167 segments de mur ; 0 transitions. Inspection physique ; architecture complète encore ouverte.</x:v>
      </x:c>
      <x:c r="H3097" s="115" t="str">
        <x:v>L 502 ; l 520 ; hauteur 5,8 m ; choix de composition auteur ; dimensions réelles à documenter</x:v>
      </x:c>
      <x:c r="I3097" s="115" t="str">
        <x:v>À équilibrer</x:v>
      </x:c>
      <x:c r="J3097" s="115" t="str">
        <x:v>Non</x:v>
      </x:c>
      <x:c r="K3097" s="115" t="str">
        <x:v>Pièces décrites, murs, portes, niveaux et mobilier inspectables à l’échelle. Volumes réservés, raccord au seed, butin, rencontres et services de campagne restent à terminer.</x:v>
      </x:c>
    </x:row>
    <x:row r="3098" ht="96" customHeight="1">
      <x:c r="A3098" s="115" t="str">
        <x:v>EXT-MONDE-T062-V43</x:v>
      </x:c>
      <x:c r="B3098" s="115" t="str">
        <x:v>EXT-MONDE-T062</x:v>
      </x:c>
      <x:c r="C3098" s="115" t="str">
        <x:v>Épuration</x:v>
      </x:c>
      <x:c r="D3098" s="115" t="str">
        <x:v>Station de lagunage</x:v>
      </x:c>
      <x:c r="E3098" s="115" t="n">
        <x:v>43</x:v>
      </x:c>
      <x:c r="F3098" s="115" t="str">
        <x:v>Inspection physique</x:v>
      </x:c>
      <x:c r="G3098" s="115" t="str">
        <x:v>1 niveaux ; 22 pièces ; 167 segments de mur ; 0 transitions. Inspection physique ; architecture complète encore ouverte.</x:v>
      </x:c>
      <x:c r="H3098" s="115" t="str">
        <x:v>L 502 ; l 520 ; hauteur 5,8 m ; choix de composition auteur ; dimensions réelles à documenter</x:v>
      </x:c>
      <x:c r="I3098" s="115" t="str">
        <x:v>À équilibrer</x:v>
      </x:c>
      <x:c r="J3098" s="115" t="str">
        <x:v>Non</x:v>
      </x:c>
      <x:c r="K3098" s="115" t="str">
        <x:v>Pièces décrites, murs, portes, niveaux et mobilier inspectables à l’échelle. Volumes réservés, raccord au seed, butin, rencontres et services de campagne restent à terminer.</x:v>
      </x:c>
    </x:row>
    <x:row r="3099" ht="96" customHeight="1">
      <x:c r="A3099" s="115" t="str">
        <x:v>EXT-MONDE-T062-V44</x:v>
      </x:c>
      <x:c r="B3099" s="115" t="str">
        <x:v>EXT-MONDE-T062</x:v>
      </x:c>
      <x:c r="C3099" s="115" t="str">
        <x:v>Épuration</x:v>
      </x:c>
      <x:c r="D3099" s="115" t="str">
        <x:v>Station de lagunage</x:v>
      </x:c>
      <x:c r="E3099" s="115" t="n">
        <x:v>44</x:v>
      </x:c>
      <x:c r="F3099" s="115" t="str">
        <x:v>Inspection physique</x:v>
      </x:c>
      <x:c r="G3099" s="115" t="str">
        <x:v>1 niveaux ; 22 pièces ; 167 segments de mur ; 0 transitions. Inspection physique ; architecture complète encore ouverte.</x:v>
      </x:c>
      <x:c r="H3099" s="115" t="str">
        <x:v>L 502 ; l 520 ; hauteur 5,8 m ; choix de composition auteur ; dimensions réelles à documenter</x:v>
      </x:c>
      <x:c r="I3099" s="115" t="str">
        <x:v>À équilibrer</x:v>
      </x:c>
      <x:c r="J3099" s="115" t="str">
        <x:v>Non</x:v>
      </x:c>
      <x:c r="K3099" s="115" t="str">
        <x:v>Pièces décrites, murs, portes, niveaux et mobilier inspectables à l’échelle. Volumes réservés, raccord au seed, butin, rencontres et services de campagne restent à terminer.</x:v>
      </x:c>
    </x:row>
    <x:row r="3100" ht="96" customHeight="1">
      <x:c r="A3100" s="115" t="str">
        <x:v>EXT-MONDE-T062-V45</x:v>
      </x:c>
      <x:c r="B3100" s="115" t="str">
        <x:v>EXT-MONDE-T062</x:v>
      </x:c>
      <x:c r="C3100" s="115" t="str">
        <x:v>Épuration</x:v>
      </x:c>
      <x:c r="D3100" s="115" t="str">
        <x:v>Station de lagunage</x:v>
      </x:c>
      <x:c r="E3100" s="115" t="n">
        <x:v>45</x:v>
      </x:c>
      <x:c r="F3100" s="115" t="str">
        <x:v>Inspection physique</x:v>
      </x:c>
      <x:c r="G3100" s="115" t="str">
        <x:v>1 niveaux ; 22 pièces ; 167 segments de mur ; 0 transitions. Inspection physique ; architecture complète encore ouverte.</x:v>
      </x:c>
      <x:c r="H3100" s="115" t="str">
        <x:v>L 502 ; l 520 ; hauteur 5,8 m ; choix de composition auteur ; dimensions réelles à documenter</x:v>
      </x:c>
      <x:c r="I3100" s="115" t="str">
        <x:v>À équilibrer</x:v>
      </x:c>
      <x:c r="J3100" s="115" t="str">
        <x:v>Non</x:v>
      </x:c>
      <x:c r="K3100" s="115" t="str">
        <x:v>Pièces décrites, murs, portes, niveaux et mobilier inspectables à l’échelle. Volumes réservés, raccord au seed, butin, rencontres et services de campagne restent à terminer.</x:v>
      </x:c>
    </x:row>
    <x:row r="3101" ht="96" customHeight="1">
      <x:c r="A3101" s="115" t="str">
        <x:v>EXT-MONDE-T062-V46</x:v>
      </x:c>
      <x:c r="B3101" s="115" t="str">
        <x:v>EXT-MONDE-T062</x:v>
      </x:c>
      <x:c r="C3101" s="115" t="str">
        <x:v>Épuration</x:v>
      </x:c>
      <x:c r="D3101" s="115" t="str">
        <x:v>Station de lagunage</x:v>
      </x:c>
      <x:c r="E3101" s="115" t="n">
        <x:v>46</x:v>
      </x:c>
      <x:c r="F3101" s="115" t="str">
        <x:v>Inspection physique</x:v>
      </x:c>
      <x:c r="G3101" s="115" t="str">
        <x:v>1 niveaux ; 22 pièces ; 167 segments de mur ; 0 transitions. Inspection physique ; architecture complète encore ouverte.</x:v>
      </x:c>
      <x:c r="H3101" s="115" t="str">
        <x:v>L 502 ; l 520 ; hauteur 5,8 m ; choix de composition auteur ; dimensions réelles à documenter</x:v>
      </x:c>
      <x:c r="I3101" s="115" t="str">
        <x:v>À équilibrer</x:v>
      </x:c>
      <x:c r="J3101" s="115" t="str">
        <x:v>Non</x:v>
      </x:c>
      <x:c r="K3101" s="115" t="str">
        <x:v>Pièces décrites, murs, portes, niveaux et mobilier inspectables à l’échelle. Volumes réservés, raccord au seed, butin, rencontres et services de campagne restent à terminer.</x:v>
      </x:c>
    </x:row>
    <x:row r="3102" ht="96" customHeight="1">
      <x:c r="A3102" s="115" t="str">
        <x:v>EXT-MONDE-T062-V47</x:v>
      </x:c>
      <x:c r="B3102" s="115" t="str">
        <x:v>EXT-MONDE-T062</x:v>
      </x:c>
      <x:c r="C3102" s="115" t="str">
        <x:v>Épuration</x:v>
      </x:c>
      <x:c r="D3102" s="115" t="str">
        <x:v>Station de lagunage</x:v>
      </x:c>
      <x:c r="E3102" s="115" t="n">
        <x:v>47</x:v>
      </x:c>
      <x:c r="F3102" s="115" t="str">
        <x:v>Inspection physique</x:v>
      </x:c>
      <x:c r="G3102" s="115" t="str">
        <x:v>1 niveaux ; 22 pièces ; 167 segments de mur ; 0 transitions. Inspection physique ; architecture complète encore ouverte.</x:v>
      </x:c>
      <x:c r="H3102" s="115" t="str">
        <x:v>L 502 ; l 520 ; hauteur 5,8 m ; choix de composition auteur ; dimensions réelles à documenter</x:v>
      </x:c>
      <x:c r="I3102" s="115" t="str">
        <x:v>À équilibrer</x:v>
      </x:c>
      <x:c r="J3102" s="115" t="str">
        <x:v>Non</x:v>
      </x:c>
      <x:c r="K3102" s="115" t="str">
        <x:v>Pièces décrites, murs, portes, niveaux et mobilier inspectables à l’échelle. Volumes réservés, raccord au seed, butin, rencontres et services de campagne restent à terminer.</x:v>
      </x:c>
    </x:row>
    <x:row r="3103" ht="96" customHeight="1">
      <x:c r="A3103" s="115" t="str">
        <x:v>EXT-MONDE-T062-V48</x:v>
      </x:c>
      <x:c r="B3103" s="115" t="str">
        <x:v>EXT-MONDE-T062</x:v>
      </x:c>
      <x:c r="C3103" s="115" t="str">
        <x:v>Épuration</x:v>
      </x:c>
      <x:c r="D3103" s="115" t="str">
        <x:v>Station de lagunage</x:v>
      </x:c>
      <x:c r="E3103" s="115" t="n">
        <x:v>48</x:v>
      </x:c>
      <x:c r="F3103" s="115" t="str">
        <x:v>Inspection physique</x:v>
      </x:c>
      <x:c r="G3103" s="115" t="str">
        <x:v>1 niveaux ; 22 pièces ; 167 segments de mur ; 0 transitions. Inspection physique ; architecture complète encore ouverte.</x:v>
      </x:c>
      <x:c r="H3103" s="115" t="str">
        <x:v>L 502 ; l 520 ; hauteur 5,8 m ; choix de composition auteur ; dimensions réelles à documenter</x:v>
      </x:c>
      <x:c r="I3103" s="115" t="str">
        <x:v>À équilibrer</x:v>
      </x:c>
      <x:c r="J3103" s="115" t="str">
        <x:v>Non</x:v>
      </x:c>
      <x:c r="K3103" s="115" t="str">
        <x:v>Pièces décrites, murs, portes, niveaux et mobilier inspectables à l’échelle. Volumes réservés, raccord au seed, butin, rencontres et services de campagne restent à terminer.</x:v>
      </x:c>
    </x:row>
    <x:row r="3104" ht="96" customHeight="1">
      <x:c r="A3104" s="115" t="str">
        <x:v>EXT-MONDE-T062-V49</x:v>
      </x:c>
      <x:c r="B3104" s="115" t="str">
        <x:v>EXT-MONDE-T062</x:v>
      </x:c>
      <x:c r="C3104" s="115" t="str">
        <x:v>Épuration</x:v>
      </x:c>
      <x:c r="D3104" s="115" t="str">
        <x:v>Station de lagunage</x:v>
      </x:c>
      <x:c r="E3104" s="115" t="n">
        <x:v>49</x:v>
      </x:c>
      <x:c r="F3104" s="115" t="str">
        <x:v>Inspection physique</x:v>
      </x:c>
      <x:c r="G3104" s="115" t="str">
        <x:v>1 niveaux ; 22 pièces ; 167 segments de mur ; 0 transitions. Inspection physique ; architecture complète encore ouverte.</x:v>
      </x:c>
      <x:c r="H3104" s="115" t="str">
        <x:v>L 502 ; l 520 ; hauteur 5,8 m ; choix de composition auteur ; dimensions réelles à documenter</x:v>
      </x:c>
      <x:c r="I3104" s="115" t="str">
        <x:v>À équilibrer</x:v>
      </x:c>
      <x:c r="J3104" s="115" t="str">
        <x:v>Non</x:v>
      </x:c>
      <x:c r="K3104" s="115" t="str">
        <x:v>Pièces décrites, murs, portes, niveaux et mobilier inspectables à l’échelle. Volumes réservés, raccord au seed, butin, rencontres et services de campagne restent à terminer.</x:v>
      </x:c>
    </x:row>
    <x:row r="3105" ht="96" customHeight="1">
      <x:c r="A3105" s="115" t="str">
        <x:v>EXT-MONDE-T062-V50</x:v>
      </x:c>
      <x:c r="B3105" s="115" t="str">
        <x:v>EXT-MONDE-T062</x:v>
      </x:c>
      <x:c r="C3105" s="115" t="str">
        <x:v>Épuration</x:v>
      </x:c>
      <x:c r="D3105" s="115" t="str">
        <x:v>Station de lagunage</x:v>
      </x:c>
      <x:c r="E3105" s="115" t="n">
        <x:v>50</x:v>
      </x:c>
      <x:c r="F3105" s="115" t="str">
        <x:v>Inspection physique</x:v>
      </x:c>
      <x:c r="G3105" s="115" t="str">
        <x:v>1 niveaux ; 22 pièces ; 167 segments de mur ; 0 transitions. Inspection physique ; architecture complète encore ouverte.</x:v>
      </x:c>
      <x:c r="H3105" s="115" t="str">
        <x:v>L 502 ; l 520 ; hauteur 5,8 m ; choix de composition auteur ; dimensions réelles à documenter</x:v>
      </x:c>
      <x:c r="I3105" s="115" t="str">
        <x:v>À équilibrer</x:v>
      </x:c>
      <x:c r="J3105" s="115" t="str">
        <x:v>Non</x:v>
      </x:c>
      <x:c r="K3105" s="115" t="str">
        <x:v>Pièces décrites, murs, portes, niveaux et mobilier inspectables à l’échelle. Volumes réservés, raccord au seed, butin, rencontres et services de campagne restent à terminer.</x:v>
      </x:c>
    </x:row>
    <x:row r="3106" ht="96" customHeight="1">
      <x:c r="A3106" s="115" t="str">
        <x:v>EXT-MONDE-T063-V01</x:v>
      </x:c>
      <x:c r="B3106" s="115" t="str">
        <x:v>EXT-MONDE-T063</x:v>
      </x:c>
      <x:c r="C3106" s="115" t="str">
        <x:v>Épuration</x:v>
      </x:c>
      <x:c r="D3106" s="115" t="str">
        <x:v>Traitement des eaux industrielles</x:v>
      </x:c>
      <x:c r="E3106" s="115" t="n">
        <x:v>1</x:v>
      </x:c>
      <x:c r="F3106" s="115" t="str">
        <x:v>Inspection physique</x:v>
      </x:c>
      <x:c r="G3106" s="115" t="str">
        <x:v>1 niveaux ; 22 pièces ; 167 segments de mur ; 0 transitions. Inspection physique ; architecture complète encore ouverte.</x:v>
      </x:c>
      <x:c r="H3106" s="115" t="str">
        <x:v>L 430 ; l 440 ; hauteur 5,5 m ; choix de composition auteur ; dimensions réelles à documenter</x:v>
      </x:c>
      <x:c r="I3106" s="115" t="str">
        <x:v>À équilibrer</x:v>
      </x:c>
      <x:c r="J3106" s="115" t="str">
        <x:v>Non</x:v>
      </x:c>
      <x:c r="K3106" s="115" t="str">
        <x:v>Pièces décrites, murs, portes, niveaux et mobilier inspectables à l’échelle. Volumes réservés, raccord au seed, butin, rencontres et services de campagne restent à terminer.</x:v>
      </x:c>
    </x:row>
    <x:row r="3107" ht="96" customHeight="1">
      <x:c r="A3107" s="115" t="str">
        <x:v>EXT-MONDE-T063-V02</x:v>
      </x:c>
      <x:c r="B3107" s="115" t="str">
        <x:v>EXT-MONDE-T063</x:v>
      </x:c>
      <x:c r="C3107" s="115" t="str">
        <x:v>Épuration</x:v>
      </x:c>
      <x:c r="D3107" s="115" t="str">
        <x:v>Traitement des eaux industrielles</x:v>
      </x:c>
      <x:c r="E3107" s="115" t="n">
        <x:v>2</x:v>
      </x:c>
      <x:c r="F3107" s="115" t="str">
        <x:v>Inspection physique</x:v>
      </x:c>
      <x:c r="G3107" s="115" t="str">
        <x:v>1 niveaux ; 22 pièces ; 167 segments de mur ; 0 transitions. Inspection physique ; architecture complète encore ouverte.</x:v>
      </x:c>
      <x:c r="H3107" s="115" t="str">
        <x:v>L 430 ; l 440 ; hauteur 5,5 m ; choix de composition auteur ; dimensions réelles à documenter</x:v>
      </x:c>
      <x:c r="I3107" s="115" t="str">
        <x:v>À équilibrer</x:v>
      </x:c>
      <x:c r="J3107" s="115" t="str">
        <x:v>Non</x:v>
      </x:c>
      <x:c r="K3107" s="115" t="str">
        <x:v>Pièces décrites, murs, portes, niveaux et mobilier inspectables à l’échelle. Volumes réservés, raccord au seed, butin, rencontres et services de campagne restent à terminer.</x:v>
      </x:c>
    </x:row>
    <x:row r="3108" ht="96" customHeight="1">
      <x:c r="A3108" s="115" t="str">
        <x:v>EXT-MONDE-T063-V03</x:v>
      </x:c>
      <x:c r="B3108" s="115" t="str">
        <x:v>EXT-MONDE-T063</x:v>
      </x:c>
      <x:c r="C3108" s="115" t="str">
        <x:v>Épuration</x:v>
      </x:c>
      <x:c r="D3108" s="115" t="str">
        <x:v>Traitement des eaux industrielles</x:v>
      </x:c>
      <x:c r="E3108" s="115" t="n">
        <x:v>3</x:v>
      </x:c>
      <x:c r="F3108" s="115" t="str">
        <x:v>Inspection physique</x:v>
      </x:c>
      <x:c r="G3108" s="115" t="str">
        <x:v>1 niveaux ; 22 pièces ; 167 segments de mur ; 0 transitions. Inspection physique ; architecture complète encore ouverte.</x:v>
      </x:c>
      <x:c r="H3108" s="115" t="str">
        <x:v>L 430 ; l 440 ; hauteur 5,5 m ; choix de composition auteur ; dimensions réelles à documenter</x:v>
      </x:c>
      <x:c r="I3108" s="115" t="str">
        <x:v>À équilibrer</x:v>
      </x:c>
      <x:c r="J3108" s="115" t="str">
        <x:v>Non</x:v>
      </x:c>
      <x:c r="K3108" s="115" t="str">
        <x:v>Pièces décrites, murs, portes, niveaux et mobilier inspectables à l’échelle. Volumes réservés, raccord au seed, butin, rencontres et services de campagne restent à terminer.</x:v>
      </x:c>
    </x:row>
    <x:row r="3109" ht="96" customHeight="1">
      <x:c r="A3109" s="115" t="str">
        <x:v>EXT-MONDE-T063-V04</x:v>
      </x:c>
      <x:c r="B3109" s="115" t="str">
        <x:v>EXT-MONDE-T063</x:v>
      </x:c>
      <x:c r="C3109" s="115" t="str">
        <x:v>Épuration</x:v>
      </x:c>
      <x:c r="D3109" s="115" t="str">
        <x:v>Traitement des eaux industrielles</x:v>
      </x:c>
      <x:c r="E3109" s="115" t="n">
        <x:v>4</x:v>
      </x:c>
      <x:c r="F3109" s="115" t="str">
        <x:v>Inspection physique</x:v>
      </x:c>
      <x:c r="G3109" s="115" t="str">
        <x:v>1 niveaux ; 22 pièces ; 167 segments de mur ; 0 transitions. Inspection physique ; architecture complète encore ouverte.</x:v>
      </x:c>
      <x:c r="H3109" s="115" t="str">
        <x:v>L 430 ; l 440 ; hauteur 5,5 m ; choix de composition auteur ; dimensions réelles à documenter</x:v>
      </x:c>
      <x:c r="I3109" s="115" t="str">
        <x:v>À équilibrer</x:v>
      </x:c>
      <x:c r="J3109" s="115" t="str">
        <x:v>Non</x:v>
      </x:c>
      <x:c r="K3109" s="115" t="str">
        <x:v>Pièces décrites, murs, portes, niveaux et mobilier inspectables à l’échelle. Volumes réservés, raccord au seed, butin, rencontres et services de campagne restent à terminer.</x:v>
      </x:c>
    </x:row>
    <x:row r="3110" ht="96" customHeight="1">
      <x:c r="A3110" s="115" t="str">
        <x:v>EXT-MONDE-T063-V05</x:v>
      </x:c>
      <x:c r="B3110" s="115" t="str">
        <x:v>EXT-MONDE-T063</x:v>
      </x:c>
      <x:c r="C3110" s="115" t="str">
        <x:v>Épuration</x:v>
      </x:c>
      <x:c r="D3110" s="115" t="str">
        <x:v>Traitement des eaux industrielles</x:v>
      </x:c>
      <x:c r="E3110" s="115" t="n">
        <x:v>5</x:v>
      </x:c>
      <x:c r="F3110" s="115" t="str">
        <x:v>Inspection physique</x:v>
      </x:c>
      <x:c r="G3110" s="115" t="str">
        <x:v>1 niveaux ; 22 pièces ; 167 segments de mur ; 0 transitions. Inspection physique ; architecture complète encore ouverte.</x:v>
      </x:c>
      <x:c r="H3110" s="115" t="str">
        <x:v>L 430 ; l 440 ; hauteur 5,5 m ; choix de composition auteur ; dimensions réelles à documenter</x:v>
      </x:c>
      <x:c r="I3110" s="115" t="str">
        <x:v>À équilibrer</x:v>
      </x:c>
      <x:c r="J3110" s="115" t="str">
        <x:v>Non</x:v>
      </x:c>
      <x:c r="K3110" s="115" t="str">
        <x:v>Pièces décrites, murs, portes, niveaux et mobilier inspectables à l’échelle. Volumes réservés, raccord au seed, butin, rencontres et services de campagne restent à terminer.</x:v>
      </x:c>
    </x:row>
    <x:row r="3111" ht="96" customHeight="1">
      <x:c r="A3111" s="115" t="str">
        <x:v>EXT-MONDE-T063-V06</x:v>
      </x:c>
      <x:c r="B3111" s="115" t="str">
        <x:v>EXT-MONDE-T063</x:v>
      </x:c>
      <x:c r="C3111" s="115" t="str">
        <x:v>Épuration</x:v>
      </x:c>
      <x:c r="D3111" s="115" t="str">
        <x:v>Traitement des eaux industrielles</x:v>
      </x:c>
      <x:c r="E3111" s="115" t="n">
        <x:v>6</x:v>
      </x:c>
      <x:c r="F3111" s="115" t="str">
        <x:v>Inspection physique</x:v>
      </x:c>
      <x:c r="G3111" s="115" t="str">
        <x:v>1 niveaux ; 22 pièces ; 167 segments de mur ; 0 transitions. Inspection physique ; architecture complète encore ouverte.</x:v>
      </x:c>
      <x:c r="H3111" s="115" t="str">
        <x:v>L 430 ; l 440 ; hauteur 5,5 m ; choix de composition auteur ; dimensions réelles à documenter</x:v>
      </x:c>
      <x:c r="I3111" s="115" t="str">
        <x:v>À équilibrer</x:v>
      </x:c>
      <x:c r="J3111" s="115" t="str">
        <x:v>Non</x:v>
      </x:c>
      <x:c r="K3111" s="115" t="str">
        <x:v>Pièces décrites, murs, portes, niveaux et mobilier inspectables à l’échelle. Volumes réservés, raccord au seed, butin, rencontres et services de campagne restent à terminer.</x:v>
      </x:c>
    </x:row>
    <x:row r="3112" ht="96" customHeight="1">
      <x:c r="A3112" s="115" t="str">
        <x:v>EXT-MONDE-T063-V07</x:v>
      </x:c>
      <x:c r="B3112" s="115" t="str">
        <x:v>EXT-MONDE-T063</x:v>
      </x:c>
      <x:c r="C3112" s="115" t="str">
        <x:v>Épuration</x:v>
      </x:c>
      <x:c r="D3112" s="115" t="str">
        <x:v>Traitement des eaux industrielles</x:v>
      </x:c>
      <x:c r="E3112" s="115" t="n">
        <x:v>7</x:v>
      </x:c>
      <x:c r="F3112" s="115" t="str">
        <x:v>Inspection physique</x:v>
      </x:c>
      <x:c r="G3112" s="115" t="str">
        <x:v>1 niveaux ; 22 pièces ; 167 segments de mur ; 0 transitions. Inspection physique ; architecture complète encore ouverte.</x:v>
      </x:c>
      <x:c r="H3112" s="115" t="str">
        <x:v>L 430 ; l 440 ; hauteur 5,5 m ; choix de composition auteur ; dimensions réelles à documenter</x:v>
      </x:c>
      <x:c r="I3112" s="115" t="str">
        <x:v>À équilibrer</x:v>
      </x:c>
      <x:c r="J3112" s="115" t="str">
        <x:v>Non</x:v>
      </x:c>
      <x:c r="K3112" s="115" t="str">
        <x:v>Pièces décrites, murs, portes, niveaux et mobilier inspectables à l’échelle. Volumes réservés, raccord au seed, butin, rencontres et services de campagne restent à terminer.</x:v>
      </x:c>
    </x:row>
    <x:row r="3113" ht="96" customHeight="1">
      <x:c r="A3113" s="115" t="str">
        <x:v>EXT-MONDE-T063-V08</x:v>
      </x:c>
      <x:c r="B3113" s="115" t="str">
        <x:v>EXT-MONDE-T063</x:v>
      </x:c>
      <x:c r="C3113" s="115" t="str">
        <x:v>Épuration</x:v>
      </x:c>
      <x:c r="D3113" s="115" t="str">
        <x:v>Traitement des eaux industrielles</x:v>
      </x:c>
      <x:c r="E3113" s="115" t="n">
        <x:v>8</x:v>
      </x:c>
      <x:c r="F3113" s="115" t="str">
        <x:v>Inspection physique</x:v>
      </x:c>
      <x:c r="G3113" s="115" t="str">
        <x:v>1 niveaux ; 22 pièces ; 167 segments de mur ; 0 transitions. Inspection physique ; architecture complète encore ouverte.</x:v>
      </x:c>
      <x:c r="H3113" s="115" t="str">
        <x:v>L 430 ; l 440 ; hauteur 5,5 m ; choix de composition auteur ; dimensions réelles à documenter</x:v>
      </x:c>
      <x:c r="I3113" s="115" t="str">
        <x:v>À équilibrer</x:v>
      </x:c>
      <x:c r="J3113" s="115" t="str">
        <x:v>Non</x:v>
      </x:c>
      <x:c r="K3113" s="115" t="str">
        <x:v>Pièces décrites, murs, portes, niveaux et mobilier inspectables à l’échelle. Volumes réservés, raccord au seed, butin, rencontres et services de campagne restent à terminer.</x:v>
      </x:c>
    </x:row>
    <x:row r="3114" ht="96" customHeight="1">
      <x:c r="A3114" s="115" t="str">
        <x:v>EXT-MONDE-T063-V09</x:v>
      </x:c>
      <x:c r="B3114" s="115" t="str">
        <x:v>EXT-MONDE-T063</x:v>
      </x:c>
      <x:c r="C3114" s="115" t="str">
        <x:v>Épuration</x:v>
      </x:c>
      <x:c r="D3114" s="115" t="str">
        <x:v>Traitement des eaux industrielles</x:v>
      </x:c>
      <x:c r="E3114" s="115" t="n">
        <x:v>9</x:v>
      </x:c>
      <x:c r="F3114" s="115" t="str">
        <x:v>Inspection physique</x:v>
      </x:c>
      <x:c r="G3114" s="115" t="str">
        <x:v>1 niveaux ; 22 pièces ; 167 segments de mur ; 0 transitions. Inspection physique ; architecture complète encore ouverte.</x:v>
      </x:c>
      <x:c r="H3114" s="115" t="str">
        <x:v>L 430 ; l 440 ; hauteur 5,5 m ; choix de composition auteur ; dimensions réelles à documenter</x:v>
      </x:c>
      <x:c r="I3114" s="115" t="str">
        <x:v>À équilibrer</x:v>
      </x:c>
      <x:c r="J3114" s="115" t="str">
        <x:v>Non</x:v>
      </x:c>
      <x:c r="K3114" s="115" t="str">
        <x:v>Pièces décrites, murs, portes, niveaux et mobilier inspectables à l’échelle. Volumes réservés, raccord au seed, butin, rencontres et services de campagne restent à terminer.</x:v>
      </x:c>
    </x:row>
    <x:row r="3115" ht="96" customHeight="1">
      <x:c r="A3115" s="115" t="str">
        <x:v>EXT-MONDE-T063-V10</x:v>
      </x:c>
      <x:c r="B3115" s="115" t="str">
        <x:v>EXT-MONDE-T063</x:v>
      </x:c>
      <x:c r="C3115" s="115" t="str">
        <x:v>Épuration</x:v>
      </x:c>
      <x:c r="D3115" s="115" t="str">
        <x:v>Traitement des eaux industrielles</x:v>
      </x:c>
      <x:c r="E3115" s="115" t="n">
        <x:v>10</x:v>
      </x:c>
      <x:c r="F3115" s="115" t="str">
        <x:v>Inspection physique</x:v>
      </x:c>
      <x:c r="G3115" s="115" t="str">
        <x:v>1 niveaux ; 22 pièces ; 167 segments de mur ; 0 transitions. Inspection physique ; architecture complète encore ouverte.</x:v>
      </x:c>
      <x:c r="H3115" s="115" t="str">
        <x:v>L 430 ; l 440 ; hauteur 5,5 m ; choix de composition auteur ; dimensions réelles à documenter</x:v>
      </x:c>
      <x:c r="I3115" s="115" t="str">
        <x:v>À équilibrer</x:v>
      </x:c>
      <x:c r="J3115" s="115" t="str">
        <x:v>Non</x:v>
      </x:c>
      <x:c r="K3115" s="115" t="str">
        <x:v>Pièces décrites, murs, portes, niveaux et mobilier inspectables à l’échelle. Volumes réservés, raccord au seed, butin, rencontres et services de campagne restent à terminer.</x:v>
      </x:c>
    </x:row>
    <x:row r="3116" ht="96" customHeight="1">
      <x:c r="A3116" s="115" t="str">
        <x:v>EXT-MONDE-T063-V11</x:v>
      </x:c>
      <x:c r="B3116" s="115" t="str">
        <x:v>EXT-MONDE-T063</x:v>
      </x:c>
      <x:c r="C3116" s="115" t="str">
        <x:v>Épuration</x:v>
      </x:c>
      <x:c r="D3116" s="115" t="str">
        <x:v>Traitement des eaux industrielles</x:v>
      </x:c>
      <x:c r="E3116" s="115" t="n">
        <x:v>11</x:v>
      </x:c>
      <x:c r="F3116" s="115" t="str">
        <x:v>Inspection physique</x:v>
      </x:c>
      <x:c r="G3116" s="115" t="str">
        <x:v>1 niveaux ; 22 pièces ; 167 segments de mur ; 0 transitions. Inspection physique ; architecture complète encore ouverte.</x:v>
      </x:c>
      <x:c r="H3116" s="115" t="str">
        <x:v>L 448 ; l 460 ; hauteur 5,7 m ; choix de composition auteur ; dimensions réelles à documenter</x:v>
      </x:c>
      <x:c r="I3116" s="115" t="str">
        <x:v>À équilibrer</x:v>
      </x:c>
      <x:c r="J3116" s="115" t="str">
        <x:v>Non</x:v>
      </x:c>
      <x:c r="K3116" s="115" t="str">
        <x:v>Pièces décrites, murs, portes, niveaux et mobilier inspectables à l’échelle. Volumes réservés, raccord au seed, butin, rencontres et services de campagne restent à terminer.</x:v>
      </x:c>
    </x:row>
    <x:row r="3117" ht="96" customHeight="1">
      <x:c r="A3117" s="115" t="str">
        <x:v>EXT-MONDE-T063-V12</x:v>
      </x:c>
      <x:c r="B3117" s="115" t="str">
        <x:v>EXT-MONDE-T063</x:v>
      </x:c>
      <x:c r="C3117" s="115" t="str">
        <x:v>Épuration</x:v>
      </x:c>
      <x:c r="D3117" s="115" t="str">
        <x:v>Traitement des eaux industrielles</x:v>
      </x:c>
      <x:c r="E3117" s="115" t="n">
        <x:v>12</x:v>
      </x:c>
      <x:c r="F3117" s="115" t="str">
        <x:v>Inspection physique</x:v>
      </x:c>
      <x:c r="G3117" s="115" t="str">
        <x:v>1 niveaux ; 22 pièces ; 167 segments de mur ; 0 transitions. Inspection physique ; architecture complète encore ouverte.</x:v>
      </x:c>
      <x:c r="H3117" s="115" t="str">
        <x:v>L 448 ; l 460 ; hauteur 5,7 m ; choix de composition auteur ; dimensions réelles à documenter</x:v>
      </x:c>
      <x:c r="I3117" s="115" t="str">
        <x:v>À équilibrer</x:v>
      </x:c>
      <x:c r="J3117" s="115" t="str">
        <x:v>Non</x:v>
      </x:c>
      <x:c r="K3117" s="115" t="str">
        <x:v>Pièces décrites, murs, portes, niveaux et mobilier inspectables à l’échelle. Volumes réservés, raccord au seed, butin, rencontres et services de campagne restent à terminer.</x:v>
      </x:c>
    </x:row>
    <x:row r="3118" ht="96" customHeight="1">
      <x:c r="A3118" s="115" t="str">
        <x:v>EXT-MONDE-T063-V13</x:v>
      </x:c>
      <x:c r="B3118" s="115" t="str">
        <x:v>EXT-MONDE-T063</x:v>
      </x:c>
      <x:c r="C3118" s="115" t="str">
        <x:v>Épuration</x:v>
      </x:c>
      <x:c r="D3118" s="115" t="str">
        <x:v>Traitement des eaux industrielles</x:v>
      </x:c>
      <x:c r="E3118" s="115" t="n">
        <x:v>13</x:v>
      </x:c>
      <x:c r="F3118" s="115" t="str">
        <x:v>Inspection physique</x:v>
      </x:c>
      <x:c r="G3118" s="115" t="str">
        <x:v>1 niveaux ; 22 pièces ; 167 segments de mur ; 0 transitions. Inspection physique ; architecture complète encore ouverte.</x:v>
      </x:c>
      <x:c r="H3118" s="115" t="str">
        <x:v>L 448 ; l 460 ; hauteur 5,7 m ; choix de composition auteur ; dimensions réelles à documenter</x:v>
      </x:c>
      <x:c r="I3118" s="115" t="str">
        <x:v>À équilibrer</x:v>
      </x:c>
      <x:c r="J3118" s="115" t="str">
        <x:v>Non</x:v>
      </x:c>
      <x:c r="K3118" s="115" t="str">
        <x:v>Pièces décrites, murs, portes, niveaux et mobilier inspectables à l’échelle. Volumes réservés, raccord au seed, butin, rencontres et services de campagne restent à terminer.</x:v>
      </x:c>
    </x:row>
    <x:row r="3119" ht="96" customHeight="1">
      <x:c r="A3119" s="115" t="str">
        <x:v>EXT-MONDE-T063-V14</x:v>
      </x:c>
      <x:c r="B3119" s="115" t="str">
        <x:v>EXT-MONDE-T063</x:v>
      </x:c>
      <x:c r="C3119" s="115" t="str">
        <x:v>Épuration</x:v>
      </x:c>
      <x:c r="D3119" s="115" t="str">
        <x:v>Traitement des eaux industrielles</x:v>
      </x:c>
      <x:c r="E3119" s="115" t="n">
        <x:v>14</x:v>
      </x:c>
      <x:c r="F3119" s="115" t="str">
        <x:v>Inspection physique</x:v>
      </x:c>
      <x:c r="G3119" s="115" t="str">
        <x:v>1 niveaux ; 22 pièces ; 167 segments de mur ; 0 transitions. Inspection physique ; architecture complète encore ouverte.</x:v>
      </x:c>
      <x:c r="H3119" s="115" t="str">
        <x:v>L 448 ; l 460 ; hauteur 5,7 m ; choix de composition auteur ; dimensions réelles à documenter</x:v>
      </x:c>
      <x:c r="I3119" s="115" t="str">
        <x:v>À équilibrer</x:v>
      </x:c>
      <x:c r="J3119" s="115" t="str">
        <x:v>Non</x:v>
      </x:c>
      <x:c r="K3119" s="115" t="str">
        <x:v>Pièces décrites, murs, portes, niveaux et mobilier inspectables à l’échelle. Volumes réservés, raccord au seed, butin, rencontres et services de campagne restent à terminer.</x:v>
      </x:c>
    </x:row>
    <x:row r="3120" ht="96" customHeight="1">
      <x:c r="A3120" s="115" t="str">
        <x:v>EXT-MONDE-T063-V15</x:v>
      </x:c>
      <x:c r="B3120" s="115" t="str">
        <x:v>EXT-MONDE-T063</x:v>
      </x:c>
      <x:c r="C3120" s="115" t="str">
        <x:v>Épuration</x:v>
      </x:c>
      <x:c r="D3120" s="115" t="str">
        <x:v>Traitement des eaux industrielles</x:v>
      </x:c>
      <x:c r="E3120" s="115" t="n">
        <x:v>15</x:v>
      </x:c>
      <x:c r="F3120" s="115" t="str">
        <x:v>Inspection physique</x:v>
      </x:c>
      <x:c r="G3120" s="115" t="str">
        <x:v>1 niveaux ; 22 pièces ; 167 segments de mur ; 0 transitions. Inspection physique ; architecture complète encore ouverte.</x:v>
      </x:c>
      <x:c r="H3120" s="115" t="str">
        <x:v>L 448 ; l 460 ; hauteur 5,7 m ; choix de composition auteur ; dimensions réelles à documenter</x:v>
      </x:c>
      <x:c r="I3120" s="115" t="str">
        <x:v>À équilibrer</x:v>
      </x:c>
      <x:c r="J3120" s="115" t="str">
        <x:v>Non</x:v>
      </x:c>
      <x:c r="K3120" s="115" t="str">
        <x:v>Pièces décrites, murs, portes, niveaux et mobilier inspectables à l’échelle. Volumes réservés, raccord au seed, butin, rencontres et services de campagne restent à terminer.</x:v>
      </x:c>
    </x:row>
    <x:row r="3121" ht="96" customHeight="1">
      <x:c r="A3121" s="115" t="str">
        <x:v>EXT-MONDE-T063-V16</x:v>
      </x:c>
      <x:c r="B3121" s="115" t="str">
        <x:v>EXT-MONDE-T063</x:v>
      </x:c>
      <x:c r="C3121" s="115" t="str">
        <x:v>Épuration</x:v>
      </x:c>
      <x:c r="D3121" s="115" t="str">
        <x:v>Traitement des eaux industrielles</x:v>
      </x:c>
      <x:c r="E3121" s="115" t="n">
        <x:v>16</x:v>
      </x:c>
      <x:c r="F3121" s="115" t="str">
        <x:v>Inspection physique</x:v>
      </x:c>
      <x:c r="G3121" s="115" t="str">
        <x:v>1 niveaux ; 22 pièces ; 167 segments de mur ; 0 transitions. Inspection physique ; architecture complète encore ouverte.</x:v>
      </x:c>
      <x:c r="H3121" s="115" t="str">
        <x:v>L 448 ; l 460 ; hauteur 5,7 m ; choix de composition auteur ; dimensions réelles à documenter</x:v>
      </x:c>
      <x:c r="I3121" s="115" t="str">
        <x:v>À équilibrer</x:v>
      </x:c>
      <x:c r="J3121" s="115" t="str">
        <x:v>Non</x:v>
      </x:c>
      <x:c r="K3121" s="115" t="str">
        <x:v>Pièces décrites, murs, portes, niveaux et mobilier inspectables à l’échelle. Volumes réservés, raccord au seed, butin, rencontres et services de campagne restent à terminer.</x:v>
      </x:c>
    </x:row>
    <x:row r="3122" ht="96" customHeight="1">
      <x:c r="A3122" s="115" t="str">
        <x:v>EXT-MONDE-T063-V17</x:v>
      </x:c>
      <x:c r="B3122" s="115" t="str">
        <x:v>EXT-MONDE-T063</x:v>
      </x:c>
      <x:c r="C3122" s="115" t="str">
        <x:v>Épuration</x:v>
      </x:c>
      <x:c r="D3122" s="115" t="str">
        <x:v>Traitement des eaux industrielles</x:v>
      </x:c>
      <x:c r="E3122" s="115" t="n">
        <x:v>17</x:v>
      </x:c>
      <x:c r="F3122" s="115" t="str">
        <x:v>Inspection physique</x:v>
      </x:c>
      <x:c r="G3122" s="115" t="str">
        <x:v>1 niveaux ; 22 pièces ; 167 segments de mur ; 0 transitions. Inspection physique ; architecture complète encore ouverte.</x:v>
      </x:c>
      <x:c r="H3122" s="115" t="str">
        <x:v>L 448 ; l 460 ; hauteur 5,7 m ; choix de composition auteur ; dimensions réelles à documenter</x:v>
      </x:c>
      <x:c r="I3122" s="115" t="str">
        <x:v>À équilibrer</x:v>
      </x:c>
      <x:c r="J3122" s="115" t="str">
        <x:v>Non</x:v>
      </x:c>
      <x:c r="K3122" s="115" t="str">
        <x:v>Pièces décrites, murs, portes, niveaux et mobilier inspectables à l’échelle. Volumes réservés, raccord au seed, butin, rencontres et services de campagne restent à terminer.</x:v>
      </x:c>
    </x:row>
    <x:row r="3123" ht="96" customHeight="1">
      <x:c r="A3123" s="115" t="str">
        <x:v>EXT-MONDE-T063-V18</x:v>
      </x:c>
      <x:c r="B3123" s="115" t="str">
        <x:v>EXT-MONDE-T063</x:v>
      </x:c>
      <x:c r="C3123" s="115" t="str">
        <x:v>Épuration</x:v>
      </x:c>
      <x:c r="D3123" s="115" t="str">
        <x:v>Traitement des eaux industrielles</x:v>
      </x:c>
      <x:c r="E3123" s="115" t="n">
        <x:v>18</x:v>
      </x:c>
      <x:c r="F3123" s="115" t="str">
        <x:v>Inspection physique</x:v>
      </x:c>
      <x:c r="G3123" s="115" t="str">
        <x:v>1 niveaux ; 22 pièces ; 167 segments de mur ; 0 transitions. Inspection physique ; architecture complète encore ouverte.</x:v>
      </x:c>
      <x:c r="H3123" s="115" t="str">
        <x:v>L 448 ; l 460 ; hauteur 5,7 m ; choix de composition auteur ; dimensions réelles à documenter</x:v>
      </x:c>
      <x:c r="I3123" s="115" t="str">
        <x:v>À équilibrer</x:v>
      </x:c>
      <x:c r="J3123" s="115" t="str">
        <x:v>Non</x:v>
      </x:c>
      <x:c r="K3123" s="115" t="str">
        <x:v>Pièces décrites, murs, portes, niveaux et mobilier inspectables à l’échelle. Volumes réservés, raccord au seed, butin, rencontres et services de campagne restent à terminer.</x:v>
      </x:c>
    </x:row>
    <x:row r="3124" ht="96" customHeight="1">
      <x:c r="A3124" s="115" t="str">
        <x:v>EXT-MONDE-T063-V19</x:v>
      </x:c>
      <x:c r="B3124" s="115" t="str">
        <x:v>EXT-MONDE-T063</x:v>
      </x:c>
      <x:c r="C3124" s="115" t="str">
        <x:v>Épuration</x:v>
      </x:c>
      <x:c r="D3124" s="115" t="str">
        <x:v>Traitement des eaux industrielles</x:v>
      </x:c>
      <x:c r="E3124" s="115" t="n">
        <x:v>19</x:v>
      </x:c>
      <x:c r="F3124" s="115" t="str">
        <x:v>Inspection physique</x:v>
      </x:c>
      <x:c r="G3124" s="115" t="str">
        <x:v>1 niveaux ; 22 pièces ; 167 segments de mur ; 0 transitions. Inspection physique ; architecture complète encore ouverte.</x:v>
      </x:c>
      <x:c r="H3124" s="115" t="str">
        <x:v>L 448 ; l 460 ; hauteur 5,7 m ; choix de composition auteur ; dimensions réelles à documenter</x:v>
      </x:c>
      <x:c r="I3124" s="115" t="str">
        <x:v>À équilibrer</x:v>
      </x:c>
      <x:c r="J3124" s="115" t="str">
        <x:v>Non</x:v>
      </x:c>
      <x:c r="K3124" s="115" t="str">
        <x:v>Pièces décrites, murs, portes, niveaux et mobilier inspectables à l’échelle. Volumes réservés, raccord au seed, butin, rencontres et services de campagne restent à terminer.</x:v>
      </x:c>
    </x:row>
    <x:row r="3125" ht="96" customHeight="1">
      <x:c r="A3125" s="115" t="str">
        <x:v>EXT-MONDE-T063-V20</x:v>
      </x:c>
      <x:c r="B3125" s="115" t="str">
        <x:v>EXT-MONDE-T063</x:v>
      </x:c>
      <x:c r="C3125" s="115" t="str">
        <x:v>Épuration</x:v>
      </x:c>
      <x:c r="D3125" s="115" t="str">
        <x:v>Traitement des eaux industrielles</x:v>
      </x:c>
      <x:c r="E3125" s="115" t="n">
        <x:v>20</x:v>
      </x:c>
      <x:c r="F3125" s="115" t="str">
        <x:v>Inspection physique</x:v>
      </x:c>
      <x:c r="G3125" s="115" t="str">
        <x:v>1 niveaux ; 22 pièces ; 167 segments de mur ; 0 transitions. Inspection physique ; architecture complète encore ouverte.</x:v>
      </x:c>
      <x:c r="H3125" s="115" t="str">
        <x:v>L 448 ; l 460 ; hauteur 5,7 m ; choix de composition auteur ; dimensions réelles à documenter</x:v>
      </x:c>
      <x:c r="I3125" s="115" t="str">
        <x:v>À équilibrer</x:v>
      </x:c>
      <x:c r="J3125" s="115" t="str">
        <x:v>Non</x:v>
      </x:c>
      <x:c r="K3125" s="115" t="str">
        <x:v>Pièces décrites, murs, portes, niveaux et mobilier inspectables à l’échelle. Volumes réservés, raccord au seed, butin, rencontres et services de campagne restent à terminer.</x:v>
      </x:c>
    </x:row>
    <x:row r="3126" ht="96" customHeight="1">
      <x:c r="A3126" s="115" t="str">
        <x:v>EXT-MONDE-T063-V21</x:v>
      </x:c>
      <x:c r="B3126" s="115" t="str">
        <x:v>EXT-MONDE-T063</x:v>
      </x:c>
      <x:c r="C3126" s="115" t="str">
        <x:v>Épuration</x:v>
      </x:c>
      <x:c r="D3126" s="115" t="str">
        <x:v>Traitement des eaux industrielles</x:v>
      </x:c>
      <x:c r="E3126" s="115" t="n">
        <x:v>21</x:v>
      </x:c>
      <x:c r="F3126" s="115" t="str">
        <x:v>Inspection physique</x:v>
      </x:c>
      <x:c r="G3126" s="115" t="str">
        <x:v>1 niveaux ; 22 pièces ; 167 segments de mur ; 0 transitions. Inspection physique ; architecture complète encore ouverte.</x:v>
      </x:c>
      <x:c r="H3126" s="115" t="str">
        <x:v>L 466 ; l 480 ; hauteur 5,9 m ; choix de composition auteur ; dimensions réelles à documenter</x:v>
      </x:c>
      <x:c r="I3126" s="115" t="str">
        <x:v>À équilibrer</x:v>
      </x:c>
      <x:c r="J3126" s="115" t="str">
        <x:v>Non</x:v>
      </x:c>
      <x:c r="K3126" s="115" t="str">
        <x:v>Pièces décrites, murs, portes, niveaux et mobilier inspectables à l’échelle. Volumes réservés, raccord au seed, butin, rencontres et services de campagne restent à terminer.</x:v>
      </x:c>
    </x:row>
    <x:row r="3127" ht="96" customHeight="1">
      <x:c r="A3127" s="115" t="str">
        <x:v>EXT-MONDE-T063-V22</x:v>
      </x:c>
      <x:c r="B3127" s="115" t="str">
        <x:v>EXT-MONDE-T063</x:v>
      </x:c>
      <x:c r="C3127" s="115" t="str">
        <x:v>Épuration</x:v>
      </x:c>
      <x:c r="D3127" s="115" t="str">
        <x:v>Traitement des eaux industrielles</x:v>
      </x:c>
      <x:c r="E3127" s="115" t="n">
        <x:v>22</x:v>
      </x:c>
      <x:c r="F3127" s="115" t="str">
        <x:v>Inspection physique</x:v>
      </x:c>
      <x:c r="G3127" s="115" t="str">
        <x:v>1 niveaux ; 22 pièces ; 167 segments de mur ; 0 transitions. Inspection physique ; architecture complète encore ouverte.</x:v>
      </x:c>
      <x:c r="H3127" s="115" t="str">
        <x:v>L 466 ; l 480 ; hauteur 5,9 m ; choix de composition auteur ; dimensions réelles à documenter</x:v>
      </x:c>
      <x:c r="I3127" s="115" t="str">
        <x:v>À équilibrer</x:v>
      </x:c>
      <x:c r="J3127" s="115" t="str">
        <x:v>Non</x:v>
      </x:c>
      <x:c r="K3127" s="115" t="str">
        <x:v>Pièces décrites, murs, portes, niveaux et mobilier inspectables à l’échelle. Volumes réservés, raccord au seed, butin, rencontres et services de campagne restent à terminer.</x:v>
      </x:c>
    </x:row>
    <x:row r="3128" ht="96" customHeight="1">
      <x:c r="A3128" s="115" t="str">
        <x:v>EXT-MONDE-T063-V23</x:v>
      </x:c>
      <x:c r="B3128" s="115" t="str">
        <x:v>EXT-MONDE-T063</x:v>
      </x:c>
      <x:c r="C3128" s="115" t="str">
        <x:v>Épuration</x:v>
      </x:c>
      <x:c r="D3128" s="115" t="str">
        <x:v>Traitement des eaux industrielles</x:v>
      </x:c>
      <x:c r="E3128" s="115" t="n">
        <x:v>23</x:v>
      </x:c>
      <x:c r="F3128" s="115" t="str">
        <x:v>Inspection physique</x:v>
      </x:c>
      <x:c r="G3128" s="115" t="str">
        <x:v>1 niveaux ; 22 pièces ; 167 segments de mur ; 0 transitions. Inspection physique ; architecture complète encore ouverte.</x:v>
      </x:c>
      <x:c r="H3128" s="115" t="str">
        <x:v>L 466 ; l 480 ; hauteur 5,9 m ; choix de composition auteur ; dimensions réelles à documenter</x:v>
      </x:c>
      <x:c r="I3128" s="115" t="str">
        <x:v>À équilibrer</x:v>
      </x:c>
      <x:c r="J3128" s="115" t="str">
        <x:v>Non</x:v>
      </x:c>
      <x:c r="K3128" s="115" t="str">
        <x:v>Pièces décrites, murs, portes, niveaux et mobilier inspectables à l’échelle. Volumes réservés, raccord au seed, butin, rencontres et services de campagne restent à terminer.</x:v>
      </x:c>
    </x:row>
    <x:row r="3129" ht="96" customHeight="1">
      <x:c r="A3129" s="115" t="str">
        <x:v>EXT-MONDE-T063-V24</x:v>
      </x:c>
      <x:c r="B3129" s="115" t="str">
        <x:v>EXT-MONDE-T063</x:v>
      </x:c>
      <x:c r="C3129" s="115" t="str">
        <x:v>Épuration</x:v>
      </x:c>
      <x:c r="D3129" s="115" t="str">
        <x:v>Traitement des eaux industrielles</x:v>
      </x:c>
      <x:c r="E3129" s="115" t="n">
        <x:v>24</x:v>
      </x:c>
      <x:c r="F3129" s="115" t="str">
        <x:v>Inspection physique</x:v>
      </x:c>
      <x:c r="G3129" s="115" t="str">
        <x:v>1 niveaux ; 22 pièces ; 167 segments de mur ; 0 transitions. Inspection physique ; architecture complète encore ouverte.</x:v>
      </x:c>
      <x:c r="H3129" s="115" t="str">
        <x:v>L 466 ; l 480 ; hauteur 5,9 m ; choix de composition auteur ; dimensions réelles à documenter</x:v>
      </x:c>
      <x:c r="I3129" s="115" t="str">
        <x:v>À équilibrer</x:v>
      </x:c>
      <x:c r="J3129" s="115" t="str">
        <x:v>Non</x:v>
      </x:c>
      <x:c r="K3129" s="115" t="str">
        <x:v>Pièces décrites, murs, portes, niveaux et mobilier inspectables à l’échelle. Volumes réservés, raccord au seed, butin, rencontres et services de campagne restent à terminer.</x:v>
      </x:c>
    </x:row>
    <x:row r="3130" ht="96" customHeight="1">
      <x:c r="A3130" s="115" t="str">
        <x:v>EXT-MONDE-T063-V25</x:v>
      </x:c>
      <x:c r="B3130" s="115" t="str">
        <x:v>EXT-MONDE-T063</x:v>
      </x:c>
      <x:c r="C3130" s="115" t="str">
        <x:v>Épuration</x:v>
      </x:c>
      <x:c r="D3130" s="115" t="str">
        <x:v>Traitement des eaux industrielles</x:v>
      </x:c>
      <x:c r="E3130" s="115" t="n">
        <x:v>25</x:v>
      </x:c>
      <x:c r="F3130" s="115" t="str">
        <x:v>Inspection physique</x:v>
      </x:c>
      <x:c r="G3130" s="115" t="str">
        <x:v>1 niveaux ; 22 pièces ; 167 segments de mur ; 0 transitions. Inspection physique ; architecture complète encore ouverte.</x:v>
      </x:c>
      <x:c r="H3130" s="115" t="str">
        <x:v>L 466 ; l 480 ; hauteur 5,9 m ; choix de composition auteur ; dimensions réelles à documenter</x:v>
      </x:c>
      <x:c r="I3130" s="115" t="str">
        <x:v>À équilibrer</x:v>
      </x:c>
      <x:c r="J3130" s="115" t="str">
        <x:v>Non</x:v>
      </x:c>
      <x:c r="K3130" s="115" t="str">
        <x:v>Pièces décrites, murs, portes, niveaux et mobilier inspectables à l’échelle. Volumes réservés, raccord au seed, butin, rencontres et services de campagne restent à terminer.</x:v>
      </x:c>
    </x:row>
    <x:row r="3131" ht="96" customHeight="1">
      <x:c r="A3131" s="115" t="str">
        <x:v>EXT-MONDE-T063-V26</x:v>
      </x:c>
      <x:c r="B3131" s="115" t="str">
        <x:v>EXT-MONDE-T063</x:v>
      </x:c>
      <x:c r="C3131" s="115" t="str">
        <x:v>Épuration</x:v>
      </x:c>
      <x:c r="D3131" s="115" t="str">
        <x:v>Traitement des eaux industrielles</x:v>
      </x:c>
      <x:c r="E3131" s="115" t="n">
        <x:v>26</x:v>
      </x:c>
      <x:c r="F3131" s="115" t="str">
        <x:v>Inspection physique</x:v>
      </x:c>
      <x:c r="G3131" s="115" t="str">
        <x:v>1 niveaux ; 22 pièces ; 167 segments de mur ; 0 transitions. Inspection physique ; architecture complète encore ouverte.</x:v>
      </x:c>
      <x:c r="H3131" s="115" t="str">
        <x:v>L 466 ; l 480 ; hauteur 5,9 m ; choix de composition auteur ; dimensions réelles à documenter</x:v>
      </x:c>
      <x:c r="I3131" s="115" t="str">
        <x:v>À équilibrer</x:v>
      </x:c>
      <x:c r="J3131" s="115" t="str">
        <x:v>Non</x:v>
      </x:c>
      <x:c r="K3131" s="115" t="str">
        <x:v>Pièces décrites, murs, portes, niveaux et mobilier inspectables à l’échelle. Volumes réservés, raccord au seed, butin, rencontres et services de campagne restent à terminer.</x:v>
      </x:c>
    </x:row>
    <x:row r="3132" ht="96" customHeight="1">
      <x:c r="A3132" s="115" t="str">
        <x:v>EXT-MONDE-T063-V27</x:v>
      </x:c>
      <x:c r="B3132" s="115" t="str">
        <x:v>EXT-MONDE-T063</x:v>
      </x:c>
      <x:c r="C3132" s="115" t="str">
        <x:v>Épuration</x:v>
      </x:c>
      <x:c r="D3132" s="115" t="str">
        <x:v>Traitement des eaux industrielles</x:v>
      </x:c>
      <x:c r="E3132" s="115" t="n">
        <x:v>27</x:v>
      </x:c>
      <x:c r="F3132" s="115" t="str">
        <x:v>Inspection physique</x:v>
      </x:c>
      <x:c r="G3132" s="115" t="str">
        <x:v>1 niveaux ; 22 pièces ; 167 segments de mur ; 0 transitions. Inspection physique ; architecture complète encore ouverte.</x:v>
      </x:c>
      <x:c r="H3132" s="115" t="str">
        <x:v>L 466 ; l 480 ; hauteur 5,9 m ; choix de composition auteur ; dimensions réelles à documenter</x:v>
      </x:c>
      <x:c r="I3132" s="115" t="str">
        <x:v>À équilibrer</x:v>
      </x:c>
      <x:c r="J3132" s="115" t="str">
        <x:v>Non</x:v>
      </x:c>
      <x:c r="K3132" s="115" t="str">
        <x:v>Pièces décrites, murs, portes, niveaux et mobilier inspectables à l’échelle. Volumes réservés, raccord au seed, butin, rencontres et services de campagne restent à terminer.</x:v>
      </x:c>
    </x:row>
    <x:row r="3133" ht="96" customHeight="1">
      <x:c r="A3133" s="115" t="str">
        <x:v>EXT-MONDE-T063-V28</x:v>
      </x:c>
      <x:c r="B3133" s="115" t="str">
        <x:v>EXT-MONDE-T063</x:v>
      </x:c>
      <x:c r="C3133" s="115" t="str">
        <x:v>Épuration</x:v>
      </x:c>
      <x:c r="D3133" s="115" t="str">
        <x:v>Traitement des eaux industrielles</x:v>
      </x:c>
      <x:c r="E3133" s="115" t="n">
        <x:v>28</x:v>
      </x:c>
      <x:c r="F3133" s="115" t="str">
        <x:v>Inspection physique</x:v>
      </x:c>
      <x:c r="G3133" s="115" t="str">
        <x:v>1 niveaux ; 22 pièces ; 167 segments de mur ; 0 transitions. Inspection physique ; architecture complète encore ouverte.</x:v>
      </x:c>
      <x:c r="H3133" s="115" t="str">
        <x:v>L 466 ; l 480 ; hauteur 5,9 m ; choix de composition auteur ; dimensions réelles à documenter</x:v>
      </x:c>
      <x:c r="I3133" s="115" t="str">
        <x:v>À équilibrer</x:v>
      </x:c>
      <x:c r="J3133" s="115" t="str">
        <x:v>Non</x:v>
      </x:c>
      <x:c r="K3133" s="115" t="str">
        <x:v>Pièces décrites, murs, portes, niveaux et mobilier inspectables à l’échelle. Volumes réservés, raccord au seed, butin, rencontres et services de campagne restent à terminer.</x:v>
      </x:c>
    </x:row>
    <x:row r="3134" ht="96" customHeight="1">
      <x:c r="A3134" s="115" t="str">
        <x:v>EXT-MONDE-T063-V29</x:v>
      </x:c>
      <x:c r="B3134" s="115" t="str">
        <x:v>EXT-MONDE-T063</x:v>
      </x:c>
      <x:c r="C3134" s="115" t="str">
        <x:v>Épuration</x:v>
      </x:c>
      <x:c r="D3134" s="115" t="str">
        <x:v>Traitement des eaux industrielles</x:v>
      </x:c>
      <x:c r="E3134" s="115" t="n">
        <x:v>29</x:v>
      </x:c>
      <x:c r="F3134" s="115" t="str">
        <x:v>Inspection physique</x:v>
      </x:c>
      <x:c r="G3134" s="115" t="str">
        <x:v>1 niveaux ; 22 pièces ; 167 segments de mur ; 0 transitions. Inspection physique ; architecture complète encore ouverte.</x:v>
      </x:c>
      <x:c r="H3134" s="115" t="str">
        <x:v>L 466 ; l 480 ; hauteur 5,9 m ; choix de composition auteur ; dimensions réelles à documenter</x:v>
      </x:c>
      <x:c r="I3134" s="115" t="str">
        <x:v>À équilibrer</x:v>
      </x:c>
      <x:c r="J3134" s="115" t="str">
        <x:v>Non</x:v>
      </x:c>
      <x:c r="K3134" s="115" t="str">
        <x:v>Pièces décrites, murs, portes, niveaux et mobilier inspectables à l’échelle. Volumes réservés, raccord au seed, butin, rencontres et services de campagne restent à terminer.</x:v>
      </x:c>
    </x:row>
    <x:row r="3135" ht="96" customHeight="1">
      <x:c r="A3135" s="115" t="str">
        <x:v>EXT-MONDE-T063-V30</x:v>
      </x:c>
      <x:c r="B3135" s="115" t="str">
        <x:v>EXT-MONDE-T063</x:v>
      </x:c>
      <x:c r="C3135" s="115" t="str">
        <x:v>Épuration</x:v>
      </x:c>
      <x:c r="D3135" s="115" t="str">
        <x:v>Traitement des eaux industrielles</x:v>
      </x:c>
      <x:c r="E3135" s="115" t="n">
        <x:v>30</x:v>
      </x:c>
      <x:c r="F3135" s="115" t="str">
        <x:v>Inspection physique</x:v>
      </x:c>
      <x:c r="G3135" s="115" t="str">
        <x:v>1 niveaux ; 22 pièces ; 167 segments de mur ; 0 transitions. Inspection physique ; architecture complète encore ouverte.</x:v>
      </x:c>
      <x:c r="H3135" s="115" t="str">
        <x:v>L 466 ; l 480 ; hauteur 5,9 m ; choix de composition auteur ; dimensions réelles à documenter</x:v>
      </x:c>
      <x:c r="I3135" s="115" t="str">
        <x:v>À équilibrer</x:v>
      </x:c>
      <x:c r="J3135" s="115" t="str">
        <x:v>Non</x:v>
      </x:c>
      <x:c r="K3135" s="115" t="str">
        <x:v>Pièces décrites, murs, portes, niveaux et mobilier inspectables à l’échelle. Volumes réservés, raccord au seed, butin, rencontres et services de campagne restent à terminer.</x:v>
      </x:c>
    </x:row>
    <x:row r="3136" ht="96" customHeight="1">
      <x:c r="A3136" s="115" t="str">
        <x:v>EXT-MONDE-T063-V31</x:v>
      </x:c>
      <x:c r="B3136" s="115" t="str">
        <x:v>EXT-MONDE-T063</x:v>
      </x:c>
      <x:c r="C3136" s="115" t="str">
        <x:v>Épuration</x:v>
      </x:c>
      <x:c r="D3136" s="115" t="str">
        <x:v>Traitement des eaux industrielles</x:v>
      </x:c>
      <x:c r="E3136" s="115" t="n">
        <x:v>31</x:v>
      </x:c>
      <x:c r="F3136" s="115" t="str">
        <x:v>Inspection physique</x:v>
      </x:c>
      <x:c r="G3136" s="115" t="str">
        <x:v>1 niveaux ; 22 pièces ; 167 segments de mur ; 0 transitions. Inspection physique ; architecture complète encore ouverte.</x:v>
      </x:c>
      <x:c r="H3136" s="115" t="str">
        <x:v>L 484 ; l 500 ; hauteur 6,1 m ; choix de composition auteur ; dimensions réelles à documenter</x:v>
      </x:c>
      <x:c r="I3136" s="115" t="str">
        <x:v>À équilibrer</x:v>
      </x:c>
      <x:c r="J3136" s="115" t="str">
        <x:v>Non</x:v>
      </x:c>
      <x:c r="K3136" s="115" t="str">
        <x:v>Pièces décrites, murs, portes, niveaux et mobilier inspectables à l’échelle. Volumes réservés, raccord au seed, butin, rencontres et services de campagne restent à terminer.</x:v>
      </x:c>
    </x:row>
    <x:row r="3137" ht="96" customHeight="1">
      <x:c r="A3137" s="115" t="str">
        <x:v>EXT-MONDE-T063-V32</x:v>
      </x:c>
      <x:c r="B3137" s="115" t="str">
        <x:v>EXT-MONDE-T063</x:v>
      </x:c>
      <x:c r="C3137" s="115" t="str">
        <x:v>Épuration</x:v>
      </x:c>
      <x:c r="D3137" s="115" t="str">
        <x:v>Traitement des eaux industrielles</x:v>
      </x:c>
      <x:c r="E3137" s="115" t="n">
        <x:v>32</x:v>
      </x:c>
      <x:c r="F3137" s="115" t="str">
        <x:v>Inspection physique</x:v>
      </x:c>
      <x:c r="G3137" s="115" t="str">
        <x:v>1 niveaux ; 22 pièces ; 167 segments de mur ; 0 transitions. Inspection physique ; architecture complète encore ouverte.</x:v>
      </x:c>
      <x:c r="H3137" s="115" t="str">
        <x:v>L 484 ; l 500 ; hauteur 6,1 m ; choix de composition auteur ; dimensions réelles à documenter</x:v>
      </x:c>
      <x:c r="I3137" s="115" t="str">
        <x:v>À équilibrer</x:v>
      </x:c>
      <x:c r="J3137" s="115" t="str">
        <x:v>Non</x:v>
      </x:c>
      <x:c r="K3137" s="115" t="str">
        <x:v>Pièces décrites, murs, portes, niveaux et mobilier inspectables à l’échelle. Volumes réservés, raccord au seed, butin, rencontres et services de campagne restent à terminer.</x:v>
      </x:c>
    </x:row>
    <x:row r="3138" ht="96" customHeight="1">
      <x:c r="A3138" s="115" t="str">
        <x:v>EXT-MONDE-T063-V33</x:v>
      </x:c>
      <x:c r="B3138" s="115" t="str">
        <x:v>EXT-MONDE-T063</x:v>
      </x:c>
      <x:c r="C3138" s="115" t="str">
        <x:v>Épuration</x:v>
      </x:c>
      <x:c r="D3138" s="115" t="str">
        <x:v>Traitement des eaux industrielles</x:v>
      </x:c>
      <x:c r="E3138" s="115" t="n">
        <x:v>33</x:v>
      </x:c>
      <x:c r="F3138" s="115" t="str">
        <x:v>Inspection physique</x:v>
      </x:c>
      <x:c r="G3138" s="115" t="str">
        <x:v>1 niveaux ; 22 pièces ; 167 segments de mur ; 0 transitions. Inspection physique ; architecture complète encore ouverte.</x:v>
      </x:c>
      <x:c r="H3138" s="115" t="str">
        <x:v>L 484 ; l 500 ; hauteur 6,1 m ; choix de composition auteur ; dimensions réelles à documenter</x:v>
      </x:c>
      <x:c r="I3138" s="115" t="str">
        <x:v>À équilibrer</x:v>
      </x:c>
      <x:c r="J3138" s="115" t="str">
        <x:v>Non</x:v>
      </x:c>
      <x:c r="K3138" s="115" t="str">
        <x:v>Pièces décrites, murs, portes, niveaux et mobilier inspectables à l’échelle. Volumes réservés, raccord au seed, butin, rencontres et services de campagne restent à terminer.</x:v>
      </x:c>
    </x:row>
    <x:row r="3139" ht="96" customHeight="1">
      <x:c r="A3139" s="115" t="str">
        <x:v>EXT-MONDE-T063-V34</x:v>
      </x:c>
      <x:c r="B3139" s="115" t="str">
        <x:v>EXT-MONDE-T063</x:v>
      </x:c>
      <x:c r="C3139" s="115" t="str">
        <x:v>Épuration</x:v>
      </x:c>
      <x:c r="D3139" s="115" t="str">
        <x:v>Traitement des eaux industrielles</x:v>
      </x:c>
      <x:c r="E3139" s="115" t="n">
        <x:v>34</x:v>
      </x:c>
      <x:c r="F3139" s="115" t="str">
        <x:v>Inspection physique</x:v>
      </x:c>
      <x:c r="G3139" s="115" t="str">
        <x:v>1 niveaux ; 22 pièces ; 167 segments de mur ; 0 transitions. Inspection physique ; architecture complète encore ouverte.</x:v>
      </x:c>
      <x:c r="H3139" s="115" t="str">
        <x:v>L 484 ; l 500 ; hauteur 6,1 m ; choix de composition auteur ; dimensions réelles à documenter</x:v>
      </x:c>
      <x:c r="I3139" s="115" t="str">
        <x:v>À équilibrer</x:v>
      </x:c>
      <x:c r="J3139" s="115" t="str">
        <x:v>Non</x:v>
      </x:c>
      <x:c r="K3139" s="115" t="str">
        <x:v>Pièces décrites, murs, portes, niveaux et mobilier inspectables à l’échelle. Volumes réservés, raccord au seed, butin, rencontres et services de campagne restent à terminer.</x:v>
      </x:c>
    </x:row>
    <x:row r="3140" ht="96" customHeight="1">
      <x:c r="A3140" s="115" t="str">
        <x:v>EXT-MONDE-T063-V35</x:v>
      </x:c>
      <x:c r="B3140" s="115" t="str">
        <x:v>EXT-MONDE-T063</x:v>
      </x:c>
      <x:c r="C3140" s="115" t="str">
        <x:v>Épuration</x:v>
      </x:c>
      <x:c r="D3140" s="115" t="str">
        <x:v>Traitement des eaux industrielles</x:v>
      </x:c>
      <x:c r="E3140" s="115" t="n">
        <x:v>35</x:v>
      </x:c>
      <x:c r="F3140" s="115" t="str">
        <x:v>Inspection physique</x:v>
      </x:c>
      <x:c r="G3140" s="115" t="str">
        <x:v>1 niveaux ; 22 pièces ; 167 segments de mur ; 0 transitions. Inspection physique ; architecture complète encore ouverte.</x:v>
      </x:c>
      <x:c r="H3140" s="115" t="str">
        <x:v>L 484 ; l 500 ; hauteur 6,1 m ; choix de composition auteur ; dimensions réelles à documenter</x:v>
      </x:c>
      <x:c r="I3140" s="115" t="str">
        <x:v>À équilibrer</x:v>
      </x:c>
      <x:c r="J3140" s="115" t="str">
        <x:v>Non</x:v>
      </x:c>
      <x:c r="K3140" s="115" t="str">
        <x:v>Pièces décrites, murs, portes, niveaux et mobilier inspectables à l’échelle. Volumes réservés, raccord au seed, butin, rencontres et services de campagne restent à terminer.</x:v>
      </x:c>
    </x:row>
    <x:row r="3141" ht="96" customHeight="1">
      <x:c r="A3141" s="115" t="str">
        <x:v>EXT-MONDE-T063-V36</x:v>
      </x:c>
      <x:c r="B3141" s="115" t="str">
        <x:v>EXT-MONDE-T063</x:v>
      </x:c>
      <x:c r="C3141" s="115" t="str">
        <x:v>Épuration</x:v>
      </x:c>
      <x:c r="D3141" s="115" t="str">
        <x:v>Traitement des eaux industrielles</x:v>
      </x:c>
      <x:c r="E3141" s="115" t="n">
        <x:v>36</x:v>
      </x:c>
      <x:c r="F3141" s="115" t="str">
        <x:v>Inspection physique</x:v>
      </x:c>
      <x:c r="G3141" s="115" t="str">
        <x:v>1 niveaux ; 22 pièces ; 167 segments de mur ; 0 transitions. Inspection physique ; architecture complète encore ouverte.</x:v>
      </x:c>
      <x:c r="H3141" s="115" t="str">
        <x:v>L 484 ; l 500 ; hauteur 6,1 m ; choix de composition auteur ; dimensions réelles à documenter</x:v>
      </x:c>
      <x:c r="I3141" s="115" t="str">
        <x:v>À équilibrer</x:v>
      </x:c>
      <x:c r="J3141" s="115" t="str">
        <x:v>Non</x:v>
      </x:c>
      <x:c r="K3141" s="115" t="str">
        <x:v>Pièces décrites, murs, portes, niveaux et mobilier inspectables à l’échelle. Volumes réservés, raccord au seed, butin, rencontres et services de campagne restent à terminer.</x:v>
      </x:c>
    </x:row>
    <x:row r="3142" ht="96" customHeight="1">
      <x:c r="A3142" s="115" t="str">
        <x:v>EXT-MONDE-T063-V37</x:v>
      </x:c>
      <x:c r="B3142" s="115" t="str">
        <x:v>EXT-MONDE-T063</x:v>
      </x:c>
      <x:c r="C3142" s="115" t="str">
        <x:v>Épuration</x:v>
      </x:c>
      <x:c r="D3142" s="115" t="str">
        <x:v>Traitement des eaux industrielles</x:v>
      </x:c>
      <x:c r="E3142" s="115" t="n">
        <x:v>37</x:v>
      </x:c>
      <x:c r="F3142" s="115" t="str">
        <x:v>Inspection physique</x:v>
      </x:c>
      <x:c r="G3142" s="115" t="str">
        <x:v>1 niveaux ; 22 pièces ; 167 segments de mur ; 0 transitions. Inspection physique ; architecture complète encore ouverte.</x:v>
      </x:c>
      <x:c r="H3142" s="115" t="str">
        <x:v>L 484 ; l 500 ; hauteur 6,1 m ; choix de composition auteur ; dimensions réelles à documenter</x:v>
      </x:c>
      <x:c r="I3142" s="115" t="str">
        <x:v>À équilibrer</x:v>
      </x:c>
      <x:c r="J3142" s="115" t="str">
        <x:v>Non</x:v>
      </x:c>
      <x:c r="K3142" s="115" t="str">
        <x:v>Pièces décrites, murs, portes, niveaux et mobilier inspectables à l’échelle. Volumes réservés, raccord au seed, butin, rencontres et services de campagne restent à terminer.</x:v>
      </x:c>
    </x:row>
    <x:row r="3143" ht="96" customHeight="1">
      <x:c r="A3143" s="115" t="str">
        <x:v>EXT-MONDE-T063-V38</x:v>
      </x:c>
      <x:c r="B3143" s="115" t="str">
        <x:v>EXT-MONDE-T063</x:v>
      </x:c>
      <x:c r="C3143" s="115" t="str">
        <x:v>Épuration</x:v>
      </x:c>
      <x:c r="D3143" s="115" t="str">
        <x:v>Traitement des eaux industrielles</x:v>
      </x:c>
      <x:c r="E3143" s="115" t="n">
        <x:v>38</x:v>
      </x:c>
      <x:c r="F3143" s="115" t="str">
        <x:v>Inspection physique</x:v>
      </x:c>
      <x:c r="G3143" s="115" t="str">
        <x:v>1 niveaux ; 22 pièces ; 167 segments de mur ; 0 transitions. Inspection physique ; architecture complète encore ouverte.</x:v>
      </x:c>
      <x:c r="H3143" s="115" t="str">
        <x:v>L 484 ; l 500 ; hauteur 6,1 m ; choix de composition auteur ; dimensions réelles à documenter</x:v>
      </x:c>
      <x:c r="I3143" s="115" t="str">
        <x:v>À équilibrer</x:v>
      </x:c>
      <x:c r="J3143" s="115" t="str">
        <x:v>Non</x:v>
      </x:c>
      <x:c r="K3143" s="115" t="str">
        <x:v>Pièces décrites, murs, portes, niveaux et mobilier inspectables à l’échelle. Volumes réservés, raccord au seed, butin, rencontres et services de campagne restent à terminer.</x:v>
      </x:c>
    </x:row>
    <x:row r="3144" ht="96" customHeight="1">
      <x:c r="A3144" s="115" t="str">
        <x:v>EXT-MONDE-T063-V39</x:v>
      </x:c>
      <x:c r="B3144" s="115" t="str">
        <x:v>EXT-MONDE-T063</x:v>
      </x:c>
      <x:c r="C3144" s="115" t="str">
        <x:v>Épuration</x:v>
      </x:c>
      <x:c r="D3144" s="115" t="str">
        <x:v>Traitement des eaux industrielles</x:v>
      </x:c>
      <x:c r="E3144" s="115" t="n">
        <x:v>39</x:v>
      </x:c>
      <x:c r="F3144" s="115" t="str">
        <x:v>Inspection physique</x:v>
      </x:c>
      <x:c r="G3144" s="115" t="str">
        <x:v>1 niveaux ; 22 pièces ; 167 segments de mur ; 0 transitions. Inspection physique ; architecture complète encore ouverte.</x:v>
      </x:c>
      <x:c r="H3144" s="115" t="str">
        <x:v>L 484 ; l 500 ; hauteur 6,1 m ; choix de composition auteur ; dimensions réelles à documenter</x:v>
      </x:c>
      <x:c r="I3144" s="115" t="str">
        <x:v>À équilibrer</x:v>
      </x:c>
      <x:c r="J3144" s="115" t="str">
        <x:v>Non</x:v>
      </x:c>
      <x:c r="K3144" s="115" t="str">
        <x:v>Pièces décrites, murs, portes, niveaux et mobilier inspectables à l’échelle. Volumes réservés, raccord au seed, butin, rencontres et services de campagne restent à terminer.</x:v>
      </x:c>
    </x:row>
    <x:row r="3145" ht="96" customHeight="1">
      <x:c r="A3145" s="115" t="str">
        <x:v>EXT-MONDE-T063-V40</x:v>
      </x:c>
      <x:c r="B3145" s="115" t="str">
        <x:v>EXT-MONDE-T063</x:v>
      </x:c>
      <x:c r="C3145" s="115" t="str">
        <x:v>Épuration</x:v>
      </x:c>
      <x:c r="D3145" s="115" t="str">
        <x:v>Traitement des eaux industrielles</x:v>
      </x:c>
      <x:c r="E3145" s="115" t="n">
        <x:v>40</x:v>
      </x:c>
      <x:c r="F3145" s="115" t="str">
        <x:v>Inspection physique</x:v>
      </x:c>
      <x:c r="G3145" s="115" t="str">
        <x:v>1 niveaux ; 22 pièces ; 167 segments de mur ; 0 transitions. Inspection physique ; architecture complète encore ouverte.</x:v>
      </x:c>
      <x:c r="H3145" s="115" t="str">
        <x:v>L 484 ; l 500 ; hauteur 6,1 m ; choix de composition auteur ; dimensions réelles à documenter</x:v>
      </x:c>
      <x:c r="I3145" s="115" t="str">
        <x:v>À équilibrer</x:v>
      </x:c>
      <x:c r="J3145" s="115" t="str">
        <x:v>Non</x:v>
      </x:c>
      <x:c r="K3145" s="115" t="str">
        <x:v>Pièces décrites, murs, portes, niveaux et mobilier inspectables à l’échelle. Volumes réservés, raccord au seed, butin, rencontres et services de campagne restent à terminer.</x:v>
      </x:c>
    </x:row>
    <x:row r="3146" ht="96" customHeight="1">
      <x:c r="A3146" s="115" t="str">
        <x:v>EXT-MONDE-T063-V41</x:v>
      </x:c>
      <x:c r="B3146" s="115" t="str">
        <x:v>EXT-MONDE-T063</x:v>
      </x:c>
      <x:c r="C3146" s="115" t="str">
        <x:v>Épuration</x:v>
      </x:c>
      <x:c r="D3146" s="115" t="str">
        <x:v>Traitement des eaux industrielles</x:v>
      </x:c>
      <x:c r="E3146" s="115" t="n">
        <x:v>41</x:v>
      </x:c>
      <x:c r="F3146" s="115" t="str">
        <x:v>Inspection physique</x:v>
      </x:c>
      <x:c r="G3146" s="115" t="str">
        <x:v>1 niveaux ; 22 pièces ; 167 segments de mur ; 0 transitions. Inspection physique ; architecture complète encore ouverte.</x:v>
      </x:c>
      <x:c r="H3146" s="115" t="str">
        <x:v>L 502 ; l 520 ; hauteur 6,3 m ; choix de composition auteur ; dimensions réelles à documenter</x:v>
      </x:c>
      <x:c r="I3146" s="115" t="str">
        <x:v>À équilibrer</x:v>
      </x:c>
      <x:c r="J3146" s="115" t="str">
        <x:v>Non</x:v>
      </x:c>
      <x:c r="K3146" s="115" t="str">
        <x:v>Pièces décrites, murs, portes, niveaux et mobilier inspectables à l’échelle. Volumes réservés, raccord au seed, butin, rencontres et services de campagne restent à terminer.</x:v>
      </x:c>
    </x:row>
    <x:row r="3147" ht="96" customHeight="1">
      <x:c r="A3147" s="115" t="str">
        <x:v>EXT-MONDE-T063-V42</x:v>
      </x:c>
      <x:c r="B3147" s="115" t="str">
        <x:v>EXT-MONDE-T063</x:v>
      </x:c>
      <x:c r="C3147" s="115" t="str">
        <x:v>Épuration</x:v>
      </x:c>
      <x:c r="D3147" s="115" t="str">
        <x:v>Traitement des eaux industrielles</x:v>
      </x:c>
      <x:c r="E3147" s="115" t="n">
        <x:v>42</x:v>
      </x:c>
      <x:c r="F3147" s="115" t="str">
        <x:v>Inspection physique</x:v>
      </x:c>
      <x:c r="G3147" s="115" t="str">
        <x:v>1 niveaux ; 22 pièces ; 167 segments de mur ; 0 transitions. Inspection physique ; architecture complète encore ouverte.</x:v>
      </x:c>
      <x:c r="H3147" s="115" t="str">
        <x:v>L 502 ; l 520 ; hauteur 6,3 m ; choix de composition auteur ; dimensions réelles à documenter</x:v>
      </x:c>
      <x:c r="I3147" s="115" t="str">
        <x:v>À équilibrer</x:v>
      </x:c>
      <x:c r="J3147" s="115" t="str">
        <x:v>Non</x:v>
      </x:c>
      <x:c r="K3147" s="115" t="str">
        <x:v>Pièces décrites, murs, portes, niveaux et mobilier inspectables à l’échelle. Volumes réservés, raccord au seed, butin, rencontres et services de campagne restent à terminer.</x:v>
      </x:c>
    </x:row>
    <x:row r="3148" ht="96" customHeight="1">
      <x:c r="A3148" s="115" t="str">
        <x:v>EXT-MONDE-T063-V43</x:v>
      </x:c>
      <x:c r="B3148" s="115" t="str">
        <x:v>EXT-MONDE-T063</x:v>
      </x:c>
      <x:c r="C3148" s="115" t="str">
        <x:v>Épuration</x:v>
      </x:c>
      <x:c r="D3148" s="115" t="str">
        <x:v>Traitement des eaux industrielles</x:v>
      </x:c>
      <x:c r="E3148" s="115" t="n">
        <x:v>43</x:v>
      </x:c>
      <x:c r="F3148" s="115" t="str">
        <x:v>Inspection physique</x:v>
      </x:c>
      <x:c r="G3148" s="115" t="str">
        <x:v>1 niveaux ; 22 pièces ; 167 segments de mur ; 0 transitions. Inspection physique ; architecture complète encore ouverte.</x:v>
      </x:c>
      <x:c r="H3148" s="115" t="str">
        <x:v>L 502 ; l 520 ; hauteur 6,3 m ; choix de composition auteur ; dimensions réelles à documenter</x:v>
      </x:c>
      <x:c r="I3148" s="115" t="str">
        <x:v>À équilibrer</x:v>
      </x:c>
      <x:c r="J3148" s="115" t="str">
        <x:v>Non</x:v>
      </x:c>
      <x:c r="K3148" s="115" t="str">
        <x:v>Pièces décrites, murs, portes, niveaux et mobilier inspectables à l’échelle. Volumes réservés, raccord au seed, butin, rencontres et services de campagne restent à terminer.</x:v>
      </x:c>
    </x:row>
    <x:row r="3149" ht="96" customHeight="1">
      <x:c r="A3149" s="115" t="str">
        <x:v>EXT-MONDE-T063-V44</x:v>
      </x:c>
      <x:c r="B3149" s="115" t="str">
        <x:v>EXT-MONDE-T063</x:v>
      </x:c>
      <x:c r="C3149" s="115" t="str">
        <x:v>Épuration</x:v>
      </x:c>
      <x:c r="D3149" s="115" t="str">
        <x:v>Traitement des eaux industrielles</x:v>
      </x:c>
      <x:c r="E3149" s="115" t="n">
        <x:v>44</x:v>
      </x:c>
      <x:c r="F3149" s="115" t="str">
        <x:v>Inspection physique</x:v>
      </x:c>
      <x:c r="G3149" s="115" t="str">
        <x:v>1 niveaux ; 22 pièces ; 167 segments de mur ; 0 transitions. Inspection physique ; architecture complète encore ouverte.</x:v>
      </x:c>
      <x:c r="H3149" s="115" t="str">
        <x:v>L 502 ; l 520 ; hauteur 6,3 m ; choix de composition auteur ; dimensions réelles à documenter</x:v>
      </x:c>
      <x:c r="I3149" s="115" t="str">
        <x:v>À équilibrer</x:v>
      </x:c>
      <x:c r="J3149" s="115" t="str">
        <x:v>Non</x:v>
      </x:c>
      <x:c r="K3149" s="115" t="str">
        <x:v>Pièces décrites, murs, portes, niveaux et mobilier inspectables à l’échelle. Volumes réservés, raccord au seed, butin, rencontres et services de campagne restent à terminer.</x:v>
      </x:c>
    </x:row>
    <x:row r="3150" ht="96" customHeight="1">
      <x:c r="A3150" s="115" t="str">
        <x:v>EXT-MONDE-T063-V45</x:v>
      </x:c>
      <x:c r="B3150" s="115" t="str">
        <x:v>EXT-MONDE-T063</x:v>
      </x:c>
      <x:c r="C3150" s="115" t="str">
        <x:v>Épuration</x:v>
      </x:c>
      <x:c r="D3150" s="115" t="str">
        <x:v>Traitement des eaux industrielles</x:v>
      </x:c>
      <x:c r="E3150" s="115" t="n">
        <x:v>45</x:v>
      </x:c>
      <x:c r="F3150" s="115" t="str">
        <x:v>Inspection physique</x:v>
      </x:c>
      <x:c r="G3150" s="115" t="str">
        <x:v>1 niveaux ; 22 pièces ; 167 segments de mur ; 0 transitions. Inspection physique ; architecture complète encore ouverte.</x:v>
      </x:c>
      <x:c r="H3150" s="115" t="str">
        <x:v>L 502 ; l 520 ; hauteur 6,3 m ; choix de composition auteur ; dimensions réelles à documenter</x:v>
      </x:c>
      <x:c r="I3150" s="115" t="str">
        <x:v>À équilibrer</x:v>
      </x:c>
      <x:c r="J3150" s="115" t="str">
        <x:v>Non</x:v>
      </x:c>
      <x:c r="K3150" s="115" t="str">
        <x:v>Pièces décrites, murs, portes, niveaux et mobilier inspectables à l’échelle. Volumes réservés, raccord au seed, butin, rencontres et services de campagne restent à terminer.</x:v>
      </x:c>
    </x:row>
    <x:row r="3151" ht="96" customHeight="1">
      <x:c r="A3151" s="115" t="str">
        <x:v>EXT-MONDE-T063-V46</x:v>
      </x:c>
      <x:c r="B3151" s="115" t="str">
        <x:v>EXT-MONDE-T063</x:v>
      </x:c>
      <x:c r="C3151" s="115" t="str">
        <x:v>Épuration</x:v>
      </x:c>
      <x:c r="D3151" s="115" t="str">
        <x:v>Traitement des eaux industrielles</x:v>
      </x:c>
      <x:c r="E3151" s="115" t="n">
        <x:v>46</x:v>
      </x:c>
      <x:c r="F3151" s="115" t="str">
        <x:v>Inspection physique</x:v>
      </x:c>
      <x:c r="G3151" s="115" t="str">
        <x:v>1 niveaux ; 22 pièces ; 167 segments de mur ; 0 transitions. Inspection physique ; architecture complète encore ouverte.</x:v>
      </x:c>
      <x:c r="H3151" s="115" t="str">
        <x:v>L 502 ; l 520 ; hauteur 6,3 m ; choix de composition auteur ; dimensions réelles à documenter</x:v>
      </x:c>
      <x:c r="I3151" s="115" t="str">
        <x:v>À équilibrer</x:v>
      </x:c>
      <x:c r="J3151" s="115" t="str">
        <x:v>Non</x:v>
      </x:c>
      <x:c r="K3151" s="115" t="str">
        <x:v>Pièces décrites, murs, portes, niveaux et mobilier inspectables à l’échelle. Volumes réservés, raccord au seed, butin, rencontres et services de campagne restent à terminer.</x:v>
      </x:c>
    </x:row>
    <x:row r="3152" ht="96" customHeight="1">
      <x:c r="A3152" s="115" t="str">
        <x:v>EXT-MONDE-T063-V47</x:v>
      </x:c>
      <x:c r="B3152" s="115" t="str">
        <x:v>EXT-MONDE-T063</x:v>
      </x:c>
      <x:c r="C3152" s="115" t="str">
        <x:v>Épuration</x:v>
      </x:c>
      <x:c r="D3152" s="115" t="str">
        <x:v>Traitement des eaux industrielles</x:v>
      </x:c>
      <x:c r="E3152" s="115" t="n">
        <x:v>47</x:v>
      </x:c>
      <x:c r="F3152" s="115" t="str">
        <x:v>Inspection physique</x:v>
      </x:c>
      <x:c r="G3152" s="115" t="str">
        <x:v>1 niveaux ; 22 pièces ; 167 segments de mur ; 0 transitions. Inspection physique ; architecture complète encore ouverte.</x:v>
      </x:c>
      <x:c r="H3152" s="115" t="str">
        <x:v>L 502 ; l 520 ; hauteur 6,3 m ; choix de composition auteur ; dimensions réelles à documenter</x:v>
      </x:c>
      <x:c r="I3152" s="115" t="str">
        <x:v>À équilibrer</x:v>
      </x:c>
      <x:c r="J3152" s="115" t="str">
        <x:v>Non</x:v>
      </x:c>
      <x:c r="K3152" s="115" t="str">
        <x:v>Pièces décrites, murs, portes, niveaux et mobilier inspectables à l’échelle. Volumes réservés, raccord au seed, butin, rencontres et services de campagne restent à terminer.</x:v>
      </x:c>
    </x:row>
    <x:row r="3153" ht="96" customHeight="1">
      <x:c r="A3153" s="115" t="str">
        <x:v>EXT-MONDE-T063-V48</x:v>
      </x:c>
      <x:c r="B3153" s="115" t="str">
        <x:v>EXT-MONDE-T063</x:v>
      </x:c>
      <x:c r="C3153" s="115" t="str">
        <x:v>Épuration</x:v>
      </x:c>
      <x:c r="D3153" s="115" t="str">
        <x:v>Traitement des eaux industrielles</x:v>
      </x:c>
      <x:c r="E3153" s="115" t="n">
        <x:v>48</x:v>
      </x:c>
      <x:c r="F3153" s="115" t="str">
        <x:v>Inspection physique</x:v>
      </x:c>
      <x:c r="G3153" s="115" t="str">
        <x:v>1 niveaux ; 22 pièces ; 167 segments de mur ; 0 transitions. Inspection physique ; architecture complète encore ouverte.</x:v>
      </x:c>
      <x:c r="H3153" s="115" t="str">
        <x:v>L 502 ; l 520 ; hauteur 6,3 m ; choix de composition auteur ; dimensions réelles à documenter</x:v>
      </x:c>
      <x:c r="I3153" s="115" t="str">
        <x:v>À équilibrer</x:v>
      </x:c>
      <x:c r="J3153" s="115" t="str">
        <x:v>Non</x:v>
      </x:c>
      <x:c r="K3153" s="115" t="str">
        <x:v>Pièces décrites, murs, portes, niveaux et mobilier inspectables à l’échelle. Volumes réservés, raccord au seed, butin, rencontres et services de campagne restent à terminer.</x:v>
      </x:c>
    </x:row>
    <x:row r="3154" ht="96" customHeight="1">
      <x:c r="A3154" s="115" t="str">
        <x:v>EXT-MONDE-T063-V49</x:v>
      </x:c>
      <x:c r="B3154" s="115" t="str">
        <x:v>EXT-MONDE-T063</x:v>
      </x:c>
      <x:c r="C3154" s="115" t="str">
        <x:v>Épuration</x:v>
      </x:c>
      <x:c r="D3154" s="115" t="str">
        <x:v>Traitement des eaux industrielles</x:v>
      </x:c>
      <x:c r="E3154" s="115" t="n">
        <x:v>49</x:v>
      </x:c>
      <x:c r="F3154" s="115" t="str">
        <x:v>Inspection physique</x:v>
      </x:c>
      <x:c r="G3154" s="115" t="str">
        <x:v>1 niveaux ; 22 pièces ; 167 segments de mur ; 0 transitions. Inspection physique ; architecture complète encore ouverte.</x:v>
      </x:c>
      <x:c r="H3154" s="115" t="str">
        <x:v>L 502 ; l 520 ; hauteur 6,3 m ; choix de composition auteur ; dimensions réelles à documenter</x:v>
      </x:c>
      <x:c r="I3154" s="115" t="str">
        <x:v>À équilibrer</x:v>
      </x:c>
      <x:c r="J3154" s="115" t="str">
        <x:v>Non</x:v>
      </x:c>
      <x:c r="K3154" s="115" t="str">
        <x:v>Pièces décrites, murs, portes, niveaux et mobilier inspectables à l’échelle. Volumes réservés, raccord au seed, butin, rencontres et services de campagne restent à terminer.</x:v>
      </x:c>
    </x:row>
    <x:row r="3155" ht="96" customHeight="1">
      <x:c r="A3155" s="115" t="str">
        <x:v>EXT-MONDE-T063-V50</x:v>
      </x:c>
      <x:c r="B3155" s="115" t="str">
        <x:v>EXT-MONDE-T063</x:v>
      </x:c>
      <x:c r="C3155" s="115" t="str">
        <x:v>Épuration</x:v>
      </x:c>
      <x:c r="D3155" s="115" t="str">
        <x:v>Traitement des eaux industrielles</x:v>
      </x:c>
      <x:c r="E3155" s="115" t="n">
        <x:v>50</x:v>
      </x:c>
      <x:c r="F3155" s="115" t="str">
        <x:v>Inspection physique</x:v>
      </x:c>
      <x:c r="G3155" s="115" t="str">
        <x:v>1 niveaux ; 22 pièces ; 167 segments de mur ; 0 transitions. Inspection physique ; architecture complète encore ouverte.</x:v>
      </x:c>
      <x:c r="H3155" s="115" t="str">
        <x:v>L 502 ; l 520 ; hauteur 6,3 m ; choix de composition auteur ; dimensions réelles à documenter</x:v>
      </x:c>
      <x:c r="I3155" s="115" t="str">
        <x:v>À équilibrer</x:v>
      </x:c>
      <x:c r="J3155" s="115" t="str">
        <x:v>Non</x:v>
      </x:c>
      <x:c r="K3155" s="115" t="str">
        <x:v>Pièces décrites, murs, portes, niveaux et mobilier inspectables à l’échelle. Volumes réservés, raccord au seed, butin, rencontres et services de campagne restent à terminer.</x:v>
      </x:c>
    </x:row>
    <x:row r="3156" ht="96" customHeight="1">
      <x:c r="A3156" s="115" t="str">
        <x:v>EXT-MONDE-T064-V01</x:v>
      </x:c>
      <x:c r="B3156" s="115" t="str">
        <x:v>EXT-MONDE-T064</x:v>
      </x:c>
      <x:c r="C3156" s="115" t="str">
        <x:v>Épuration</x:v>
      </x:c>
      <x:c r="D3156" s="115" t="str">
        <x:v>Usine de potabilisation</x:v>
      </x:c>
      <x:c r="E3156" s="115" t="n">
        <x:v>1</x:v>
      </x:c>
      <x:c r="F3156" s="115" t="str">
        <x:v>Inspection physique</x:v>
      </x:c>
      <x:c r="G3156" s="115" t="str">
        <x:v>1 niveaux ; 22 pièces ; 167 segments de mur ; 0 transitions. Inspection physique ; architecture complète encore ouverte.</x:v>
      </x:c>
      <x:c r="H3156" s="115" t="str">
        <x:v>L 430 ; l 440 ; hauteur 6 m ; choix de composition auteur ; dimensions réelles à documenter</x:v>
      </x:c>
      <x:c r="I3156" s="115" t="str">
        <x:v>À équilibrer</x:v>
      </x:c>
      <x:c r="J3156" s="115" t="str">
        <x:v>Non</x:v>
      </x:c>
      <x:c r="K3156" s="115" t="str">
        <x:v>Pièces décrites, murs, portes, niveaux et mobilier inspectables à l’échelle. Volumes réservés, raccord au seed, butin, rencontres et services de campagne restent à terminer.</x:v>
      </x:c>
    </x:row>
    <x:row r="3157" ht="96" customHeight="1">
      <x:c r="A3157" s="115" t="str">
        <x:v>EXT-MONDE-T064-V02</x:v>
      </x:c>
      <x:c r="B3157" s="115" t="str">
        <x:v>EXT-MONDE-T064</x:v>
      </x:c>
      <x:c r="C3157" s="115" t="str">
        <x:v>Épuration</x:v>
      </x:c>
      <x:c r="D3157" s="115" t="str">
        <x:v>Usine de potabilisation</x:v>
      </x:c>
      <x:c r="E3157" s="115" t="n">
        <x:v>2</x:v>
      </x:c>
      <x:c r="F3157" s="115" t="str">
        <x:v>Inspection physique</x:v>
      </x:c>
      <x:c r="G3157" s="115" t="str">
        <x:v>1 niveaux ; 22 pièces ; 167 segments de mur ; 0 transitions. Inspection physique ; architecture complète encore ouverte.</x:v>
      </x:c>
      <x:c r="H3157" s="115" t="str">
        <x:v>L 430 ; l 440 ; hauteur 6 m ; choix de composition auteur ; dimensions réelles à documenter</x:v>
      </x:c>
      <x:c r="I3157" s="115" t="str">
        <x:v>À équilibrer</x:v>
      </x:c>
      <x:c r="J3157" s="115" t="str">
        <x:v>Non</x:v>
      </x:c>
      <x:c r="K3157" s="115" t="str">
        <x:v>Pièces décrites, murs, portes, niveaux et mobilier inspectables à l’échelle. Volumes réservés, raccord au seed, butin, rencontres et services de campagne restent à terminer.</x:v>
      </x:c>
    </x:row>
    <x:row r="3158" ht="96" customHeight="1">
      <x:c r="A3158" s="115" t="str">
        <x:v>EXT-MONDE-T064-V03</x:v>
      </x:c>
      <x:c r="B3158" s="115" t="str">
        <x:v>EXT-MONDE-T064</x:v>
      </x:c>
      <x:c r="C3158" s="115" t="str">
        <x:v>Épuration</x:v>
      </x:c>
      <x:c r="D3158" s="115" t="str">
        <x:v>Usine de potabilisation</x:v>
      </x:c>
      <x:c r="E3158" s="115" t="n">
        <x:v>3</x:v>
      </x:c>
      <x:c r="F3158" s="115" t="str">
        <x:v>Inspection physique</x:v>
      </x:c>
      <x:c r="G3158" s="115" t="str">
        <x:v>1 niveaux ; 22 pièces ; 167 segments de mur ; 0 transitions. Inspection physique ; architecture complète encore ouverte.</x:v>
      </x:c>
      <x:c r="H3158" s="115" t="str">
        <x:v>L 430 ; l 440 ; hauteur 6 m ; choix de composition auteur ; dimensions réelles à documenter</x:v>
      </x:c>
      <x:c r="I3158" s="115" t="str">
        <x:v>À équilibrer</x:v>
      </x:c>
      <x:c r="J3158" s="115" t="str">
        <x:v>Non</x:v>
      </x:c>
      <x:c r="K3158" s="115" t="str">
        <x:v>Pièces décrites, murs, portes, niveaux et mobilier inspectables à l’échelle. Volumes réservés, raccord au seed, butin, rencontres et services de campagne restent à terminer.</x:v>
      </x:c>
    </x:row>
    <x:row r="3159" ht="96" customHeight="1">
      <x:c r="A3159" s="115" t="str">
        <x:v>EXT-MONDE-T064-V04</x:v>
      </x:c>
      <x:c r="B3159" s="115" t="str">
        <x:v>EXT-MONDE-T064</x:v>
      </x:c>
      <x:c r="C3159" s="115" t="str">
        <x:v>Épuration</x:v>
      </x:c>
      <x:c r="D3159" s="115" t="str">
        <x:v>Usine de potabilisation</x:v>
      </x:c>
      <x:c r="E3159" s="115" t="n">
        <x:v>4</x:v>
      </x:c>
      <x:c r="F3159" s="115" t="str">
        <x:v>Inspection physique</x:v>
      </x:c>
      <x:c r="G3159" s="115" t="str">
        <x:v>1 niveaux ; 22 pièces ; 167 segments de mur ; 0 transitions. Inspection physique ; architecture complète encore ouverte.</x:v>
      </x:c>
      <x:c r="H3159" s="115" t="str">
        <x:v>L 430 ; l 440 ; hauteur 6 m ; choix de composition auteur ; dimensions réelles à documenter</x:v>
      </x:c>
      <x:c r="I3159" s="115" t="str">
        <x:v>À équilibrer</x:v>
      </x:c>
      <x:c r="J3159" s="115" t="str">
        <x:v>Non</x:v>
      </x:c>
      <x:c r="K3159" s="115" t="str">
        <x:v>Pièces décrites, murs, portes, niveaux et mobilier inspectables à l’échelle. Volumes réservés, raccord au seed, butin, rencontres et services de campagne restent à terminer.</x:v>
      </x:c>
    </x:row>
    <x:row r="3160" ht="96" customHeight="1">
      <x:c r="A3160" s="115" t="str">
        <x:v>EXT-MONDE-T064-V05</x:v>
      </x:c>
      <x:c r="B3160" s="115" t="str">
        <x:v>EXT-MONDE-T064</x:v>
      </x:c>
      <x:c r="C3160" s="115" t="str">
        <x:v>Épuration</x:v>
      </x:c>
      <x:c r="D3160" s="115" t="str">
        <x:v>Usine de potabilisation</x:v>
      </x:c>
      <x:c r="E3160" s="115" t="n">
        <x:v>5</x:v>
      </x:c>
      <x:c r="F3160" s="115" t="str">
        <x:v>Inspection physique</x:v>
      </x:c>
      <x:c r="G3160" s="115" t="str">
        <x:v>1 niveaux ; 22 pièces ; 167 segments de mur ; 0 transitions. Inspection physique ; architecture complète encore ouverte.</x:v>
      </x:c>
      <x:c r="H3160" s="115" t="str">
        <x:v>L 430 ; l 440 ; hauteur 6 m ; choix de composition auteur ; dimensions réelles à documenter</x:v>
      </x:c>
      <x:c r="I3160" s="115" t="str">
        <x:v>À équilibrer</x:v>
      </x:c>
      <x:c r="J3160" s="115" t="str">
        <x:v>Non</x:v>
      </x:c>
      <x:c r="K3160" s="115" t="str">
        <x:v>Pièces décrites, murs, portes, niveaux et mobilier inspectables à l’échelle. Volumes réservés, raccord au seed, butin, rencontres et services de campagne restent à terminer.</x:v>
      </x:c>
    </x:row>
    <x:row r="3161" ht="96" customHeight="1">
      <x:c r="A3161" s="115" t="str">
        <x:v>EXT-MONDE-T064-V06</x:v>
      </x:c>
      <x:c r="B3161" s="115" t="str">
        <x:v>EXT-MONDE-T064</x:v>
      </x:c>
      <x:c r="C3161" s="115" t="str">
        <x:v>Épuration</x:v>
      </x:c>
      <x:c r="D3161" s="115" t="str">
        <x:v>Usine de potabilisation</x:v>
      </x:c>
      <x:c r="E3161" s="115" t="n">
        <x:v>6</x:v>
      </x:c>
      <x:c r="F3161" s="115" t="str">
        <x:v>Inspection physique</x:v>
      </x:c>
      <x:c r="G3161" s="115" t="str">
        <x:v>1 niveaux ; 22 pièces ; 167 segments de mur ; 0 transitions. Inspection physique ; architecture complète encore ouverte.</x:v>
      </x:c>
      <x:c r="H3161" s="115" t="str">
        <x:v>L 430 ; l 440 ; hauteur 6 m ; choix de composition auteur ; dimensions réelles à documenter</x:v>
      </x:c>
      <x:c r="I3161" s="115" t="str">
        <x:v>À équilibrer</x:v>
      </x:c>
      <x:c r="J3161" s="115" t="str">
        <x:v>Non</x:v>
      </x:c>
      <x:c r="K3161" s="115" t="str">
        <x:v>Pièces décrites, murs, portes, niveaux et mobilier inspectables à l’échelle. Volumes réservés, raccord au seed, butin, rencontres et services de campagne restent à terminer.</x:v>
      </x:c>
    </x:row>
    <x:row r="3162" ht="96" customHeight="1">
      <x:c r="A3162" s="115" t="str">
        <x:v>EXT-MONDE-T064-V07</x:v>
      </x:c>
      <x:c r="B3162" s="115" t="str">
        <x:v>EXT-MONDE-T064</x:v>
      </x:c>
      <x:c r="C3162" s="115" t="str">
        <x:v>Épuration</x:v>
      </x:c>
      <x:c r="D3162" s="115" t="str">
        <x:v>Usine de potabilisation</x:v>
      </x:c>
      <x:c r="E3162" s="115" t="n">
        <x:v>7</x:v>
      </x:c>
      <x:c r="F3162" s="115" t="str">
        <x:v>Inspection physique</x:v>
      </x:c>
      <x:c r="G3162" s="115" t="str">
        <x:v>1 niveaux ; 22 pièces ; 167 segments de mur ; 0 transitions. Inspection physique ; architecture complète encore ouverte.</x:v>
      </x:c>
      <x:c r="H3162" s="115" t="str">
        <x:v>L 430 ; l 440 ; hauteur 6 m ; choix de composition auteur ; dimensions réelles à documenter</x:v>
      </x:c>
      <x:c r="I3162" s="115" t="str">
        <x:v>À équilibrer</x:v>
      </x:c>
      <x:c r="J3162" s="115" t="str">
        <x:v>Non</x:v>
      </x:c>
      <x:c r="K3162" s="115" t="str">
        <x:v>Pièces décrites, murs, portes, niveaux et mobilier inspectables à l’échelle. Volumes réservés, raccord au seed, butin, rencontres et services de campagne restent à terminer.</x:v>
      </x:c>
    </x:row>
    <x:row r="3163" ht="96" customHeight="1">
      <x:c r="A3163" s="115" t="str">
        <x:v>EXT-MONDE-T064-V08</x:v>
      </x:c>
      <x:c r="B3163" s="115" t="str">
        <x:v>EXT-MONDE-T064</x:v>
      </x:c>
      <x:c r="C3163" s="115" t="str">
        <x:v>Épuration</x:v>
      </x:c>
      <x:c r="D3163" s="115" t="str">
        <x:v>Usine de potabilisation</x:v>
      </x:c>
      <x:c r="E3163" s="115" t="n">
        <x:v>8</x:v>
      </x:c>
      <x:c r="F3163" s="115" t="str">
        <x:v>Inspection physique</x:v>
      </x:c>
      <x:c r="G3163" s="115" t="str">
        <x:v>1 niveaux ; 22 pièces ; 167 segments de mur ; 0 transitions. Inspection physique ; architecture complète encore ouverte.</x:v>
      </x:c>
      <x:c r="H3163" s="115" t="str">
        <x:v>L 430 ; l 440 ; hauteur 6 m ; choix de composition auteur ; dimensions réelles à documenter</x:v>
      </x:c>
      <x:c r="I3163" s="115" t="str">
        <x:v>À équilibrer</x:v>
      </x:c>
      <x:c r="J3163" s="115" t="str">
        <x:v>Non</x:v>
      </x:c>
      <x:c r="K3163" s="115" t="str">
        <x:v>Pièces décrites, murs, portes, niveaux et mobilier inspectables à l’échelle. Volumes réservés, raccord au seed, butin, rencontres et services de campagne restent à terminer.</x:v>
      </x:c>
    </x:row>
    <x:row r="3164" ht="96" customHeight="1">
      <x:c r="A3164" s="115" t="str">
        <x:v>EXT-MONDE-T064-V09</x:v>
      </x:c>
      <x:c r="B3164" s="115" t="str">
        <x:v>EXT-MONDE-T064</x:v>
      </x:c>
      <x:c r="C3164" s="115" t="str">
        <x:v>Épuration</x:v>
      </x:c>
      <x:c r="D3164" s="115" t="str">
        <x:v>Usine de potabilisation</x:v>
      </x:c>
      <x:c r="E3164" s="115" t="n">
        <x:v>9</x:v>
      </x:c>
      <x:c r="F3164" s="115" t="str">
        <x:v>Inspection physique</x:v>
      </x:c>
      <x:c r="G3164" s="115" t="str">
        <x:v>1 niveaux ; 22 pièces ; 167 segments de mur ; 0 transitions. Inspection physique ; architecture complète encore ouverte.</x:v>
      </x:c>
      <x:c r="H3164" s="115" t="str">
        <x:v>L 430 ; l 440 ; hauteur 6 m ; choix de composition auteur ; dimensions réelles à documenter</x:v>
      </x:c>
      <x:c r="I3164" s="115" t="str">
        <x:v>À équilibrer</x:v>
      </x:c>
      <x:c r="J3164" s="115" t="str">
        <x:v>Non</x:v>
      </x:c>
      <x:c r="K3164" s="115" t="str">
        <x:v>Pièces décrites, murs, portes, niveaux et mobilier inspectables à l’échelle. Volumes réservés, raccord au seed, butin, rencontres et services de campagne restent à terminer.</x:v>
      </x:c>
    </x:row>
    <x:row r="3165" ht="96" customHeight="1">
      <x:c r="A3165" s="115" t="str">
        <x:v>EXT-MONDE-T064-V10</x:v>
      </x:c>
      <x:c r="B3165" s="115" t="str">
        <x:v>EXT-MONDE-T064</x:v>
      </x:c>
      <x:c r="C3165" s="115" t="str">
        <x:v>Épuration</x:v>
      </x:c>
      <x:c r="D3165" s="115" t="str">
        <x:v>Usine de potabilisation</x:v>
      </x:c>
      <x:c r="E3165" s="115" t="n">
        <x:v>10</x:v>
      </x:c>
      <x:c r="F3165" s="115" t="str">
        <x:v>Inspection physique</x:v>
      </x:c>
      <x:c r="G3165" s="115" t="str">
        <x:v>1 niveaux ; 22 pièces ; 167 segments de mur ; 0 transitions. Inspection physique ; architecture complète encore ouverte.</x:v>
      </x:c>
      <x:c r="H3165" s="115" t="str">
        <x:v>L 430 ; l 440 ; hauteur 6 m ; choix de composition auteur ; dimensions réelles à documenter</x:v>
      </x:c>
      <x:c r="I3165" s="115" t="str">
        <x:v>À équilibrer</x:v>
      </x:c>
      <x:c r="J3165" s="115" t="str">
        <x:v>Non</x:v>
      </x:c>
      <x:c r="K3165" s="115" t="str">
        <x:v>Pièces décrites, murs, portes, niveaux et mobilier inspectables à l’échelle. Volumes réservés, raccord au seed, butin, rencontres et services de campagne restent à terminer.</x:v>
      </x:c>
    </x:row>
    <x:row r="3166" ht="96" customHeight="1">
      <x:c r="A3166" s="115" t="str">
        <x:v>EXT-MONDE-T064-V11</x:v>
      </x:c>
      <x:c r="B3166" s="115" t="str">
        <x:v>EXT-MONDE-T064</x:v>
      </x:c>
      <x:c r="C3166" s="115" t="str">
        <x:v>Épuration</x:v>
      </x:c>
      <x:c r="D3166" s="115" t="str">
        <x:v>Usine de potabilisation</x:v>
      </x:c>
      <x:c r="E3166" s="115" t="n">
        <x:v>11</x:v>
      </x:c>
      <x:c r="F3166" s="115" t="str">
        <x:v>Inspection physique</x:v>
      </x:c>
      <x:c r="G3166" s="115" t="str">
        <x:v>1 niveaux ; 22 pièces ; 167 segments de mur ; 0 transitions. Inspection physique ; architecture complète encore ouverte.</x:v>
      </x:c>
      <x:c r="H3166" s="115" t="str">
        <x:v>L 448 ; l 460 ; hauteur 6 m ; choix de composition auteur ; dimensions réelles à documenter</x:v>
      </x:c>
      <x:c r="I3166" s="115" t="str">
        <x:v>À équilibrer</x:v>
      </x:c>
      <x:c r="J3166" s="115" t="str">
        <x:v>Non</x:v>
      </x:c>
      <x:c r="K3166" s="115" t="str">
        <x:v>Pièces décrites, murs, portes, niveaux et mobilier inspectables à l’échelle. Volumes réservés, raccord au seed, butin, rencontres et services de campagne restent à terminer.</x:v>
      </x:c>
    </x:row>
    <x:row r="3167" ht="96" customHeight="1">
      <x:c r="A3167" s="115" t="str">
        <x:v>EXT-MONDE-T064-V12</x:v>
      </x:c>
      <x:c r="B3167" s="115" t="str">
        <x:v>EXT-MONDE-T064</x:v>
      </x:c>
      <x:c r="C3167" s="115" t="str">
        <x:v>Épuration</x:v>
      </x:c>
      <x:c r="D3167" s="115" t="str">
        <x:v>Usine de potabilisation</x:v>
      </x:c>
      <x:c r="E3167" s="115" t="n">
        <x:v>12</x:v>
      </x:c>
      <x:c r="F3167" s="115" t="str">
        <x:v>Inspection physique</x:v>
      </x:c>
      <x:c r="G3167" s="115" t="str">
        <x:v>1 niveaux ; 22 pièces ; 167 segments de mur ; 0 transitions. Inspection physique ; architecture complète encore ouverte.</x:v>
      </x:c>
      <x:c r="H3167" s="115" t="str">
        <x:v>L 448 ; l 460 ; hauteur 6 m ; choix de composition auteur ; dimensions réelles à documenter</x:v>
      </x:c>
      <x:c r="I3167" s="115" t="str">
        <x:v>À équilibrer</x:v>
      </x:c>
      <x:c r="J3167" s="115" t="str">
        <x:v>Non</x:v>
      </x:c>
      <x:c r="K3167" s="115" t="str">
        <x:v>Pièces décrites, murs, portes, niveaux et mobilier inspectables à l’échelle. Volumes réservés, raccord au seed, butin, rencontres et services de campagne restent à terminer.</x:v>
      </x:c>
    </x:row>
    <x:row r="3168" ht="96" customHeight="1">
      <x:c r="A3168" s="115" t="str">
        <x:v>EXT-MONDE-T064-V13</x:v>
      </x:c>
      <x:c r="B3168" s="115" t="str">
        <x:v>EXT-MONDE-T064</x:v>
      </x:c>
      <x:c r="C3168" s="115" t="str">
        <x:v>Épuration</x:v>
      </x:c>
      <x:c r="D3168" s="115" t="str">
        <x:v>Usine de potabilisation</x:v>
      </x:c>
      <x:c r="E3168" s="115" t="n">
        <x:v>13</x:v>
      </x:c>
      <x:c r="F3168" s="115" t="str">
        <x:v>Inspection physique</x:v>
      </x:c>
      <x:c r="G3168" s="115" t="str">
        <x:v>1 niveaux ; 22 pièces ; 167 segments de mur ; 0 transitions. Inspection physique ; architecture complète encore ouverte.</x:v>
      </x:c>
      <x:c r="H3168" s="115" t="str">
        <x:v>L 448 ; l 460 ; hauteur 6 m ; choix de composition auteur ; dimensions réelles à documenter</x:v>
      </x:c>
      <x:c r="I3168" s="115" t="str">
        <x:v>À équilibrer</x:v>
      </x:c>
      <x:c r="J3168" s="115" t="str">
        <x:v>Non</x:v>
      </x:c>
      <x:c r="K3168" s="115" t="str">
        <x:v>Pièces décrites, murs, portes, niveaux et mobilier inspectables à l’échelle. Volumes réservés, raccord au seed, butin, rencontres et services de campagne restent à terminer.</x:v>
      </x:c>
    </x:row>
    <x:row r="3169" ht="96" customHeight="1">
      <x:c r="A3169" s="115" t="str">
        <x:v>EXT-MONDE-T064-V14</x:v>
      </x:c>
      <x:c r="B3169" s="115" t="str">
        <x:v>EXT-MONDE-T064</x:v>
      </x:c>
      <x:c r="C3169" s="115" t="str">
        <x:v>Épuration</x:v>
      </x:c>
      <x:c r="D3169" s="115" t="str">
        <x:v>Usine de potabilisation</x:v>
      </x:c>
      <x:c r="E3169" s="115" t="n">
        <x:v>14</x:v>
      </x:c>
      <x:c r="F3169" s="115" t="str">
        <x:v>Inspection physique</x:v>
      </x:c>
      <x:c r="G3169" s="115" t="str">
        <x:v>1 niveaux ; 22 pièces ; 167 segments de mur ; 0 transitions. Inspection physique ; architecture complète encore ouverte.</x:v>
      </x:c>
      <x:c r="H3169" s="115" t="str">
        <x:v>L 448 ; l 460 ; hauteur 6 m ; choix de composition auteur ; dimensions réelles à documenter</x:v>
      </x:c>
      <x:c r="I3169" s="115" t="str">
        <x:v>À équilibrer</x:v>
      </x:c>
      <x:c r="J3169" s="115" t="str">
        <x:v>Non</x:v>
      </x:c>
      <x:c r="K3169" s="115" t="str">
        <x:v>Pièces décrites, murs, portes, niveaux et mobilier inspectables à l’échelle. Volumes réservés, raccord au seed, butin, rencontres et services de campagne restent à terminer.</x:v>
      </x:c>
    </x:row>
    <x:row r="3170" ht="96" customHeight="1">
      <x:c r="A3170" s="115" t="str">
        <x:v>EXT-MONDE-T064-V15</x:v>
      </x:c>
      <x:c r="B3170" s="115" t="str">
        <x:v>EXT-MONDE-T064</x:v>
      </x:c>
      <x:c r="C3170" s="115" t="str">
        <x:v>Épuration</x:v>
      </x:c>
      <x:c r="D3170" s="115" t="str">
        <x:v>Usine de potabilisation</x:v>
      </x:c>
      <x:c r="E3170" s="115" t="n">
        <x:v>15</x:v>
      </x:c>
      <x:c r="F3170" s="115" t="str">
        <x:v>Inspection physique</x:v>
      </x:c>
      <x:c r="G3170" s="115" t="str">
        <x:v>1 niveaux ; 22 pièces ; 167 segments de mur ; 0 transitions. Inspection physique ; architecture complète encore ouverte.</x:v>
      </x:c>
      <x:c r="H3170" s="115" t="str">
        <x:v>L 448 ; l 460 ; hauteur 6 m ; choix de composition auteur ; dimensions réelles à documenter</x:v>
      </x:c>
      <x:c r="I3170" s="115" t="str">
        <x:v>À équilibrer</x:v>
      </x:c>
      <x:c r="J3170" s="115" t="str">
        <x:v>Non</x:v>
      </x:c>
      <x:c r="K3170" s="115" t="str">
        <x:v>Pièces décrites, murs, portes, niveaux et mobilier inspectables à l’échelle. Volumes réservés, raccord au seed, butin, rencontres et services de campagne restent à terminer.</x:v>
      </x:c>
    </x:row>
    <x:row r="3171" ht="96" customHeight="1">
      <x:c r="A3171" s="115" t="str">
        <x:v>EXT-MONDE-T064-V16</x:v>
      </x:c>
      <x:c r="B3171" s="115" t="str">
        <x:v>EXT-MONDE-T064</x:v>
      </x:c>
      <x:c r="C3171" s="115" t="str">
        <x:v>Épuration</x:v>
      </x:c>
      <x:c r="D3171" s="115" t="str">
        <x:v>Usine de potabilisation</x:v>
      </x:c>
      <x:c r="E3171" s="115" t="n">
        <x:v>16</x:v>
      </x:c>
      <x:c r="F3171" s="115" t="str">
        <x:v>Inspection physique</x:v>
      </x:c>
      <x:c r="G3171" s="115" t="str">
        <x:v>1 niveaux ; 22 pièces ; 167 segments de mur ; 0 transitions. Inspection physique ; architecture complète encore ouverte.</x:v>
      </x:c>
      <x:c r="H3171" s="115" t="str">
        <x:v>L 448 ; l 460 ; hauteur 6 m ; choix de composition auteur ; dimensions réelles à documenter</x:v>
      </x:c>
      <x:c r="I3171" s="115" t="str">
        <x:v>À équilibrer</x:v>
      </x:c>
      <x:c r="J3171" s="115" t="str">
        <x:v>Non</x:v>
      </x:c>
      <x:c r="K3171" s="115" t="str">
        <x:v>Pièces décrites, murs, portes, niveaux et mobilier inspectables à l’échelle. Volumes réservés, raccord au seed, butin, rencontres et services de campagne restent à terminer.</x:v>
      </x:c>
    </x:row>
    <x:row r="3172" ht="96" customHeight="1">
      <x:c r="A3172" s="115" t="str">
        <x:v>EXT-MONDE-T064-V17</x:v>
      </x:c>
      <x:c r="B3172" s="115" t="str">
        <x:v>EXT-MONDE-T064</x:v>
      </x:c>
      <x:c r="C3172" s="115" t="str">
        <x:v>Épuration</x:v>
      </x:c>
      <x:c r="D3172" s="115" t="str">
        <x:v>Usine de potabilisation</x:v>
      </x:c>
      <x:c r="E3172" s="115" t="n">
        <x:v>17</x:v>
      </x:c>
      <x:c r="F3172" s="115" t="str">
        <x:v>Inspection physique</x:v>
      </x:c>
      <x:c r="G3172" s="115" t="str">
        <x:v>1 niveaux ; 22 pièces ; 167 segments de mur ; 0 transitions. Inspection physique ; architecture complète encore ouverte.</x:v>
      </x:c>
      <x:c r="H3172" s="115" t="str">
        <x:v>L 448 ; l 460 ; hauteur 6 m ; choix de composition auteur ; dimensions réelles à documenter</x:v>
      </x:c>
      <x:c r="I3172" s="115" t="str">
        <x:v>À équilibrer</x:v>
      </x:c>
      <x:c r="J3172" s="115" t="str">
        <x:v>Non</x:v>
      </x:c>
      <x:c r="K3172" s="115" t="str">
        <x:v>Pièces décrites, murs, portes, niveaux et mobilier inspectables à l’échelle. Volumes réservés, raccord au seed, butin, rencontres et services de campagne restent à terminer.</x:v>
      </x:c>
    </x:row>
    <x:row r="3173" ht="96" customHeight="1">
      <x:c r="A3173" s="115" t="str">
        <x:v>EXT-MONDE-T064-V18</x:v>
      </x:c>
      <x:c r="B3173" s="115" t="str">
        <x:v>EXT-MONDE-T064</x:v>
      </x:c>
      <x:c r="C3173" s="115" t="str">
        <x:v>Épuration</x:v>
      </x:c>
      <x:c r="D3173" s="115" t="str">
        <x:v>Usine de potabilisation</x:v>
      </x:c>
      <x:c r="E3173" s="115" t="n">
        <x:v>18</x:v>
      </x:c>
      <x:c r="F3173" s="115" t="str">
        <x:v>Inspection physique</x:v>
      </x:c>
      <x:c r="G3173" s="115" t="str">
        <x:v>1 niveaux ; 22 pièces ; 167 segments de mur ; 0 transitions. Inspection physique ; architecture complète encore ouverte.</x:v>
      </x:c>
      <x:c r="H3173" s="115" t="str">
        <x:v>L 448 ; l 460 ; hauteur 6 m ; choix de composition auteur ; dimensions réelles à documenter</x:v>
      </x:c>
      <x:c r="I3173" s="115" t="str">
        <x:v>À équilibrer</x:v>
      </x:c>
      <x:c r="J3173" s="115" t="str">
        <x:v>Non</x:v>
      </x:c>
      <x:c r="K3173" s="115" t="str">
        <x:v>Pièces décrites, murs, portes, niveaux et mobilier inspectables à l’échelle. Volumes réservés, raccord au seed, butin, rencontres et services de campagne restent à terminer.</x:v>
      </x:c>
    </x:row>
    <x:row r="3174" ht="96" customHeight="1">
      <x:c r="A3174" s="115" t="str">
        <x:v>EXT-MONDE-T064-V19</x:v>
      </x:c>
      <x:c r="B3174" s="115" t="str">
        <x:v>EXT-MONDE-T064</x:v>
      </x:c>
      <x:c r="C3174" s="115" t="str">
        <x:v>Épuration</x:v>
      </x:c>
      <x:c r="D3174" s="115" t="str">
        <x:v>Usine de potabilisation</x:v>
      </x:c>
      <x:c r="E3174" s="115" t="n">
        <x:v>19</x:v>
      </x:c>
      <x:c r="F3174" s="115" t="str">
        <x:v>Inspection physique</x:v>
      </x:c>
      <x:c r="G3174" s="115" t="str">
        <x:v>1 niveaux ; 22 pièces ; 167 segments de mur ; 0 transitions. Inspection physique ; architecture complète encore ouverte.</x:v>
      </x:c>
      <x:c r="H3174" s="115" t="str">
        <x:v>L 448 ; l 460 ; hauteur 6 m ; choix de composition auteur ; dimensions réelles à documenter</x:v>
      </x:c>
      <x:c r="I3174" s="115" t="str">
        <x:v>À équilibrer</x:v>
      </x:c>
      <x:c r="J3174" s="115" t="str">
        <x:v>Non</x:v>
      </x:c>
      <x:c r="K3174" s="115" t="str">
        <x:v>Pièces décrites, murs, portes, niveaux et mobilier inspectables à l’échelle. Volumes réservés, raccord au seed, butin, rencontres et services de campagne restent à terminer.</x:v>
      </x:c>
    </x:row>
    <x:row r="3175" ht="96" customHeight="1">
      <x:c r="A3175" s="115" t="str">
        <x:v>EXT-MONDE-T064-V20</x:v>
      </x:c>
      <x:c r="B3175" s="115" t="str">
        <x:v>EXT-MONDE-T064</x:v>
      </x:c>
      <x:c r="C3175" s="115" t="str">
        <x:v>Épuration</x:v>
      </x:c>
      <x:c r="D3175" s="115" t="str">
        <x:v>Usine de potabilisation</x:v>
      </x:c>
      <x:c r="E3175" s="115" t="n">
        <x:v>20</x:v>
      </x:c>
      <x:c r="F3175" s="115" t="str">
        <x:v>Inspection physique</x:v>
      </x:c>
      <x:c r="G3175" s="115" t="str">
        <x:v>1 niveaux ; 22 pièces ; 167 segments de mur ; 0 transitions. Inspection physique ; architecture complète encore ouverte.</x:v>
      </x:c>
      <x:c r="H3175" s="115" t="str">
        <x:v>L 448 ; l 460 ; hauteur 6 m ; choix de composition auteur ; dimensions réelles à documenter</x:v>
      </x:c>
      <x:c r="I3175" s="115" t="str">
        <x:v>À équilibrer</x:v>
      </x:c>
      <x:c r="J3175" s="115" t="str">
        <x:v>Non</x:v>
      </x:c>
      <x:c r="K3175" s="115" t="str">
        <x:v>Pièces décrites, murs, portes, niveaux et mobilier inspectables à l’échelle. Volumes réservés, raccord au seed, butin, rencontres et services de campagne restent à terminer.</x:v>
      </x:c>
    </x:row>
    <x:row r="3176" ht="96" customHeight="1">
      <x:c r="A3176" s="115" t="str">
        <x:v>EXT-MONDE-T064-V21</x:v>
      </x:c>
      <x:c r="B3176" s="115" t="str">
        <x:v>EXT-MONDE-T064</x:v>
      </x:c>
      <x:c r="C3176" s="115" t="str">
        <x:v>Épuration</x:v>
      </x:c>
      <x:c r="D3176" s="115" t="str">
        <x:v>Usine de potabilisation</x:v>
      </x:c>
      <x:c r="E3176" s="115" t="n">
        <x:v>21</x:v>
      </x:c>
      <x:c r="F3176" s="115" t="str">
        <x:v>Inspection physique</x:v>
      </x:c>
      <x:c r="G3176" s="115" t="str">
        <x:v>1 niveaux ; 22 pièces ; 167 segments de mur ; 0 transitions. Inspection physique ; architecture complète encore ouverte.</x:v>
      </x:c>
      <x:c r="H3176" s="115" t="str">
        <x:v>L 466 ; l 480 ; hauteur 6 m ; choix de composition auteur ; dimensions réelles à documenter</x:v>
      </x:c>
      <x:c r="I3176" s="115" t="str">
        <x:v>À équilibrer</x:v>
      </x:c>
      <x:c r="J3176" s="115" t="str">
        <x:v>Non</x:v>
      </x:c>
      <x:c r="K3176" s="115" t="str">
        <x:v>Pièces décrites, murs, portes, niveaux et mobilier inspectables à l’échelle. Volumes réservés, raccord au seed, butin, rencontres et services de campagne restent à terminer.</x:v>
      </x:c>
    </x:row>
    <x:row r="3177" ht="96" customHeight="1">
      <x:c r="A3177" s="115" t="str">
        <x:v>EXT-MONDE-T064-V22</x:v>
      </x:c>
      <x:c r="B3177" s="115" t="str">
        <x:v>EXT-MONDE-T064</x:v>
      </x:c>
      <x:c r="C3177" s="115" t="str">
        <x:v>Épuration</x:v>
      </x:c>
      <x:c r="D3177" s="115" t="str">
        <x:v>Usine de potabilisation</x:v>
      </x:c>
      <x:c r="E3177" s="115" t="n">
        <x:v>22</x:v>
      </x:c>
      <x:c r="F3177" s="115" t="str">
        <x:v>Inspection physique</x:v>
      </x:c>
      <x:c r="G3177" s="115" t="str">
        <x:v>1 niveaux ; 22 pièces ; 167 segments de mur ; 0 transitions. Inspection physique ; architecture complète encore ouverte.</x:v>
      </x:c>
      <x:c r="H3177" s="115" t="str">
        <x:v>L 466 ; l 480 ; hauteur 6 m ; choix de composition auteur ; dimensions réelles à documenter</x:v>
      </x:c>
      <x:c r="I3177" s="115" t="str">
        <x:v>À équilibrer</x:v>
      </x:c>
      <x:c r="J3177" s="115" t="str">
        <x:v>Non</x:v>
      </x:c>
      <x:c r="K3177" s="115" t="str">
        <x:v>Pièces décrites, murs, portes, niveaux et mobilier inspectables à l’échelle. Volumes réservés, raccord au seed, butin, rencontres et services de campagne restent à terminer.</x:v>
      </x:c>
    </x:row>
    <x:row r="3178" ht="96" customHeight="1">
      <x:c r="A3178" s="115" t="str">
        <x:v>EXT-MONDE-T064-V23</x:v>
      </x:c>
      <x:c r="B3178" s="115" t="str">
        <x:v>EXT-MONDE-T064</x:v>
      </x:c>
      <x:c r="C3178" s="115" t="str">
        <x:v>Épuration</x:v>
      </x:c>
      <x:c r="D3178" s="115" t="str">
        <x:v>Usine de potabilisation</x:v>
      </x:c>
      <x:c r="E3178" s="115" t="n">
        <x:v>23</x:v>
      </x:c>
      <x:c r="F3178" s="115" t="str">
        <x:v>Inspection physique</x:v>
      </x:c>
      <x:c r="G3178" s="115" t="str">
        <x:v>1 niveaux ; 22 pièces ; 167 segments de mur ; 0 transitions. Inspection physique ; architecture complète encore ouverte.</x:v>
      </x:c>
      <x:c r="H3178" s="115" t="str">
        <x:v>L 466 ; l 480 ; hauteur 6 m ; choix de composition auteur ; dimensions réelles à documenter</x:v>
      </x:c>
      <x:c r="I3178" s="115" t="str">
        <x:v>À équilibrer</x:v>
      </x:c>
      <x:c r="J3178" s="115" t="str">
        <x:v>Non</x:v>
      </x:c>
      <x:c r="K3178" s="115" t="str">
        <x:v>Pièces décrites, murs, portes, niveaux et mobilier inspectables à l’échelle. Volumes réservés, raccord au seed, butin, rencontres et services de campagne restent à terminer.</x:v>
      </x:c>
    </x:row>
    <x:row r="3179" ht="96" customHeight="1">
      <x:c r="A3179" s="115" t="str">
        <x:v>EXT-MONDE-T064-V24</x:v>
      </x:c>
      <x:c r="B3179" s="115" t="str">
        <x:v>EXT-MONDE-T064</x:v>
      </x:c>
      <x:c r="C3179" s="115" t="str">
        <x:v>Épuration</x:v>
      </x:c>
      <x:c r="D3179" s="115" t="str">
        <x:v>Usine de potabilisation</x:v>
      </x:c>
      <x:c r="E3179" s="115" t="n">
        <x:v>24</x:v>
      </x:c>
      <x:c r="F3179" s="115" t="str">
        <x:v>Inspection physique</x:v>
      </x:c>
      <x:c r="G3179" s="115" t="str">
        <x:v>1 niveaux ; 22 pièces ; 167 segments de mur ; 0 transitions. Inspection physique ; architecture complète encore ouverte.</x:v>
      </x:c>
      <x:c r="H3179" s="115" t="str">
        <x:v>L 466 ; l 480 ; hauteur 6 m ; choix de composition auteur ; dimensions réelles à documenter</x:v>
      </x:c>
      <x:c r="I3179" s="115" t="str">
        <x:v>À équilibrer</x:v>
      </x:c>
      <x:c r="J3179" s="115" t="str">
        <x:v>Non</x:v>
      </x:c>
      <x:c r="K3179" s="115" t="str">
        <x:v>Pièces décrites, murs, portes, niveaux et mobilier inspectables à l’échelle. Volumes réservés, raccord au seed, butin, rencontres et services de campagne restent à terminer.</x:v>
      </x:c>
    </x:row>
    <x:row r="3180" ht="96" customHeight="1">
      <x:c r="A3180" s="115" t="str">
        <x:v>EXT-MONDE-T064-V25</x:v>
      </x:c>
      <x:c r="B3180" s="115" t="str">
        <x:v>EXT-MONDE-T064</x:v>
      </x:c>
      <x:c r="C3180" s="115" t="str">
        <x:v>Épuration</x:v>
      </x:c>
      <x:c r="D3180" s="115" t="str">
        <x:v>Usine de potabilisation</x:v>
      </x:c>
      <x:c r="E3180" s="115" t="n">
        <x:v>25</x:v>
      </x:c>
      <x:c r="F3180" s="115" t="str">
        <x:v>Inspection physique</x:v>
      </x:c>
      <x:c r="G3180" s="115" t="str">
        <x:v>1 niveaux ; 22 pièces ; 167 segments de mur ; 0 transitions. Inspection physique ; architecture complète encore ouverte.</x:v>
      </x:c>
      <x:c r="H3180" s="115" t="str">
        <x:v>L 466 ; l 480 ; hauteur 6 m ; choix de composition auteur ; dimensions réelles à documenter</x:v>
      </x:c>
      <x:c r="I3180" s="115" t="str">
        <x:v>À équilibrer</x:v>
      </x:c>
      <x:c r="J3180" s="115" t="str">
        <x:v>Non</x:v>
      </x:c>
      <x:c r="K3180" s="115" t="str">
        <x:v>Pièces décrites, murs, portes, niveaux et mobilier inspectables à l’échelle. Volumes réservés, raccord au seed, butin, rencontres et services de campagne restent à terminer.</x:v>
      </x:c>
    </x:row>
    <x:row r="3181" ht="96" customHeight="1">
      <x:c r="A3181" s="115" t="str">
        <x:v>EXT-MONDE-T064-V26</x:v>
      </x:c>
      <x:c r="B3181" s="115" t="str">
        <x:v>EXT-MONDE-T064</x:v>
      </x:c>
      <x:c r="C3181" s="115" t="str">
        <x:v>Épuration</x:v>
      </x:c>
      <x:c r="D3181" s="115" t="str">
        <x:v>Usine de potabilisation</x:v>
      </x:c>
      <x:c r="E3181" s="115" t="n">
        <x:v>26</x:v>
      </x:c>
      <x:c r="F3181" s="115" t="str">
        <x:v>Inspection physique</x:v>
      </x:c>
      <x:c r="G3181" s="115" t="str">
        <x:v>1 niveaux ; 22 pièces ; 167 segments de mur ; 0 transitions. Inspection physique ; architecture complète encore ouverte.</x:v>
      </x:c>
      <x:c r="H3181" s="115" t="str">
        <x:v>L 466 ; l 480 ; hauteur 6 m ; choix de composition auteur ; dimensions réelles à documenter</x:v>
      </x:c>
      <x:c r="I3181" s="115" t="str">
        <x:v>À équilibrer</x:v>
      </x:c>
      <x:c r="J3181" s="115" t="str">
        <x:v>Non</x:v>
      </x:c>
      <x:c r="K3181" s="115" t="str">
        <x:v>Pièces décrites, murs, portes, niveaux et mobilier inspectables à l’échelle. Volumes réservés, raccord au seed, butin, rencontres et services de campagne restent à terminer.</x:v>
      </x:c>
    </x:row>
    <x:row r="3182" ht="96" customHeight="1">
      <x:c r="A3182" s="115" t="str">
        <x:v>EXT-MONDE-T064-V27</x:v>
      </x:c>
      <x:c r="B3182" s="115" t="str">
        <x:v>EXT-MONDE-T064</x:v>
      </x:c>
      <x:c r="C3182" s="115" t="str">
        <x:v>Épuration</x:v>
      </x:c>
      <x:c r="D3182" s="115" t="str">
        <x:v>Usine de potabilisation</x:v>
      </x:c>
      <x:c r="E3182" s="115" t="n">
        <x:v>27</x:v>
      </x:c>
      <x:c r="F3182" s="115" t="str">
        <x:v>Inspection physique</x:v>
      </x:c>
      <x:c r="G3182" s="115" t="str">
        <x:v>1 niveaux ; 22 pièces ; 167 segments de mur ; 0 transitions. Inspection physique ; architecture complète encore ouverte.</x:v>
      </x:c>
      <x:c r="H3182" s="115" t="str">
        <x:v>L 466 ; l 480 ; hauteur 6 m ; choix de composition auteur ; dimensions réelles à documenter</x:v>
      </x:c>
      <x:c r="I3182" s="115" t="str">
        <x:v>À équilibrer</x:v>
      </x:c>
      <x:c r="J3182" s="115" t="str">
        <x:v>Non</x:v>
      </x:c>
      <x:c r="K3182" s="115" t="str">
        <x:v>Pièces décrites, murs, portes, niveaux et mobilier inspectables à l’échelle. Volumes réservés, raccord au seed, butin, rencontres et services de campagne restent à terminer.</x:v>
      </x:c>
    </x:row>
    <x:row r="3183" ht="96" customHeight="1">
      <x:c r="A3183" s="115" t="str">
        <x:v>EXT-MONDE-T064-V28</x:v>
      </x:c>
      <x:c r="B3183" s="115" t="str">
        <x:v>EXT-MONDE-T064</x:v>
      </x:c>
      <x:c r="C3183" s="115" t="str">
        <x:v>Épuration</x:v>
      </x:c>
      <x:c r="D3183" s="115" t="str">
        <x:v>Usine de potabilisation</x:v>
      </x:c>
      <x:c r="E3183" s="115" t="n">
        <x:v>28</x:v>
      </x:c>
      <x:c r="F3183" s="115" t="str">
        <x:v>Inspection physique</x:v>
      </x:c>
      <x:c r="G3183" s="115" t="str">
        <x:v>1 niveaux ; 22 pièces ; 167 segments de mur ; 0 transitions. Inspection physique ; architecture complète encore ouverte.</x:v>
      </x:c>
      <x:c r="H3183" s="115" t="str">
        <x:v>L 466 ; l 480 ; hauteur 6 m ; choix de composition auteur ; dimensions réelles à documenter</x:v>
      </x:c>
      <x:c r="I3183" s="115" t="str">
        <x:v>À équilibrer</x:v>
      </x:c>
      <x:c r="J3183" s="115" t="str">
        <x:v>Non</x:v>
      </x:c>
      <x:c r="K3183" s="115" t="str">
        <x:v>Pièces décrites, murs, portes, niveaux et mobilier inspectables à l’échelle. Volumes réservés, raccord au seed, butin, rencontres et services de campagne restent à terminer.</x:v>
      </x:c>
    </x:row>
    <x:row r="3184" ht="96" customHeight="1">
      <x:c r="A3184" s="115" t="str">
        <x:v>EXT-MONDE-T064-V29</x:v>
      </x:c>
      <x:c r="B3184" s="115" t="str">
        <x:v>EXT-MONDE-T064</x:v>
      </x:c>
      <x:c r="C3184" s="115" t="str">
        <x:v>Épuration</x:v>
      </x:c>
      <x:c r="D3184" s="115" t="str">
        <x:v>Usine de potabilisation</x:v>
      </x:c>
      <x:c r="E3184" s="115" t="n">
        <x:v>29</x:v>
      </x:c>
      <x:c r="F3184" s="115" t="str">
        <x:v>Inspection physique</x:v>
      </x:c>
      <x:c r="G3184" s="115" t="str">
        <x:v>1 niveaux ; 22 pièces ; 167 segments de mur ; 0 transitions. Inspection physique ; architecture complète encore ouverte.</x:v>
      </x:c>
      <x:c r="H3184" s="115" t="str">
        <x:v>L 466 ; l 480 ; hauteur 6 m ; choix de composition auteur ; dimensions réelles à documenter</x:v>
      </x:c>
      <x:c r="I3184" s="115" t="str">
        <x:v>À équilibrer</x:v>
      </x:c>
      <x:c r="J3184" s="115" t="str">
        <x:v>Non</x:v>
      </x:c>
      <x:c r="K3184" s="115" t="str">
        <x:v>Pièces décrites, murs, portes, niveaux et mobilier inspectables à l’échelle. Volumes réservés, raccord au seed, butin, rencontres et services de campagne restent à terminer.</x:v>
      </x:c>
    </x:row>
    <x:row r="3185" ht="96" customHeight="1">
      <x:c r="A3185" s="115" t="str">
        <x:v>EXT-MONDE-T064-V30</x:v>
      </x:c>
      <x:c r="B3185" s="115" t="str">
        <x:v>EXT-MONDE-T064</x:v>
      </x:c>
      <x:c r="C3185" s="115" t="str">
        <x:v>Épuration</x:v>
      </x:c>
      <x:c r="D3185" s="115" t="str">
        <x:v>Usine de potabilisation</x:v>
      </x:c>
      <x:c r="E3185" s="115" t="n">
        <x:v>30</x:v>
      </x:c>
      <x:c r="F3185" s="115" t="str">
        <x:v>Inspection physique</x:v>
      </x:c>
      <x:c r="G3185" s="115" t="str">
        <x:v>1 niveaux ; 22 pièces ; 167 segments de mur ; 0 transitions. Inspection physique ; architecture complète encore ouverte.</x:v>
      </x:c>
      <x:c r="H3185" s="115" t="str">
        <x:v>L 466 ; l 480 ; hauteur 6 m ; choix de composition auteur ; dimensions réelles à documenter</x:v>
      </x:c>
      <x:c r="I3185" s="115" t="str">
        <x:v>À équilibrer</x:v>
      </x:c>
      <x:c r="J3185" s="115" t="str">
        <x:v>Non</x:v>
      </x:c>
      <x:c r="K3185" s="115" t="str">
        <x:v>Pièces décrites, murs, portes, niveaux et mobilier inspectables à l’échelle. Volumes réservés, raccord au seed, butin, rencontres et services de campagne restent à terminer.</x:v>
      </x:c>
    </x:row>
    <x:row r="3186" ht="96" customHeight="1">
      <x:c r="A3186" s="115" t="str">
        <x:v>EXT-MONDE-T064-V31</x:v>
      </x:c>
      <x:c r="B3186" s="115" t="str">
        <x:v>EXT-MONDE-T064</x:v>
      </x:c>
      <x:c r="C3186" s="115" t="str">
        <x:v>Épuration</x:v>
      </x:c>
      <x:c r="D3186" s="115" t="str">
        <x:v>Usine de potabilisation</x:v>
      </x:c>
      <x:c r="E3186" s="115" t="n">
        <x:v>31</x:v>
      </x:c>
      <x:c r="F3186" s="115" t="str">
        <x:v>Inspection physique</x:v>
      </x:c>
      <x:c r="G3186" s="115" t="str">
        <x:v>1 niveaux ; 22 pièces ; 167 segments de mur ; 0 transitions. Inspection physique ; architecture complète encore ouverte.</x:v>
      </x:c>
      <x:c r="H3186" s="115" t="str">
        <x:v>L 484 ; l 500 ; hauteur 6,1 m ; choix de composition auteur ; dimensions réelles à documenter</x:v>
      </x:c>
      <x:c r="I3186" s="115" t="str">
        <x:v>À équilibrer</x:v>
      </x:c>
      <x:c r="J3186" s="115" t="str">
        <x:v>Non</x:v>
      </x:c>
      <x:c r="K3186" s="115" t="str">
        <x:v>Pièces décrites, murs, portes, niveaux et mobilier inspectables à l’échelle. Volumes réservés, raccord au seed, butin, rencontres et services de campagne restent à terminer.</x:v>
      </x:c>
    </x:row>
    <x:row r="3187" ht="96" customHeight="1">
      <x:c r="A3187" s="115" t="str">
        <x:v>EXT-MONDE-T064-V32</x:v>
      </x:c>
      <x:c r="B3187" s="115" t="str">
        <x:v>EXT-MONDE-T064</x:v>
      </x:c>
      <x:c r="C3187" s="115" t="str">
        <x:v>Épuration</x:v>
      </x:c>
      <x:c r="D3187" s="115" t="str">
        <x:v>Usine de potabilisation</x:v>
      </x:c>
      <x:c r="E3187" s="115" t="n">
        <x:v>32</x:v>
      </x:c>
      <x:c r="F3187" s="115" t="str">
        <x:v>Inspection physique</x:v>
      </x:c>
      <x:c r="G3187" s="115" t="str">
        <x:v>1 niveaux ; 22 pièces ; 167 segments de mur ; 0 transitions. Inspection physique ; architecture complète encore ouverte.</x:v>
      </x:c>
      <x:c r="H3187" s="115" t="str">
        <x:v>L 484 ; l 500 ; hauteur 6,1 m ; choix de composition auteur ; dimensions réelles à documenter</x:v>
      </x:c>
      <x:c r="I3187" s="115" t="str">
        <x:v>À équilibrer</x:v>
      </x:c>
      <x:c r="J3187" s="115" t="str">
        <x:v>Non</x:v>
      </x:c>
      <x:c r="K3187" s="115" t="str">
        <x:v>Pièces décrites, murs, portes, niveaux et mobilier inspectables à l’échelle. Volumes réservés, raccord au seed, butin, rencontres et services de campagne restent à terminer.</x:v>
      </x:c>
    </x:row>
    <x:row r="3188" ht="96" customHeight="1">
      <x:c r="A3188" s="115" t="str">
        <x:v>EXT-MONDE-T064-V33</x:v>
      </x:c>
      <x:c r="B3188" s="115" t="str">
        <x:v>EXT-MONDE-T064</x:v>
      </x:c>
      <x:c r="C3188" s="115" t="str">
        <x:v>Épuration</x:v>
      </x:c>
      <x:c r="D3188" s="115" t="str">
        <x:v>Usine de potabilisation</x:v>
      </x:c>
      <x:c r="E3188" s="115" t="n">
        <x:v>33</x:v>
      </x:c>
      <x:c r="F3188" s="115" t="str">
        <x:v>Inspection physique</x:v>
      </x:c>
      <x:c r="G3188" s="115" t="str">
        <x:v>1 niveaux ; 22 pièces ; 167 segments de mur ; 0 transitions. Inspection physique ; architecture complète encore ouverte.</x:v>
      </x:c>
      <x:c r="H3188" s="115" t="str">
        <x:v>L 484 ; l 500 ; hauteur 6,1 m ; choix de composition auteur ; dimensions réelles à documenter</x:v>
      </x:c>
      <x:c r="I3188" s="115" t="str">
        <x:v>À équilibrer</x:v>
      </x:c>
      <x:c r="J3188" s="115" t="str">
        <x:v>Non</x:v>
      </x:c>
      <x:c r="K3188" s="115" t="str">
        <x:v>Pièces décrites, murs, portes, niveaux et mobilier inspectables à l’échelle. Volumes réservés, raccord au seed, butin, rencontres et services de campagne restent à terminer.</x:v>
      </x:c>
    </x:row>
    <x:row r="3189" ht="96" customHeight="1">
      <x:c r="A3189" s="115" t="str">
        <x:v>EXT-MONDE-T064-V34</x:v>
      </x:c>
      <x:c r="B3189" s="115" t="str">
        <x:v>EXT-MONDE-T064</x:v>
      </x:c>
      <x:c r="C3189" s="115" t="str">
        <x:v>Épuration</x:v>
      </x:c>
      <x:c r="D3189" s="115" t="str">
        <x:v>Usine de potabilisation</x:v>
      </x:c>
      <x:c r="E3189" s="115" t="n">
        <x:v>34</x:v>
      </x:c>
      <x:c r="F3189" s="115" t="str">
        <x:v>Inspection physique</x:v>
      </x:c>
      <x:c r="G3189" s="115" t="str">
        <x:v>1 niveaux ; 22 pièces ; 167 segments de mur ; 0 transitions. Inspection physique ; architecture complète encore ouverte.</x:v>
      </x:c>
      <x:c r="H3189" s="115" t="str">
        <x:v>L 484 ; l 500 ; hauteur 6,1 m ; choix de composition auteur ; dimensions réelles à documenter</x:v>
      </x:c>
      <x:c r="I3189" s="115" t="str">
        <x:v>À équilibrer</x:v>
      </x:c>
      <x:c r="J3189" s="115" t="str">
        <x:v>Non</x:v>
      </x:c>
      <x:c r="K3189" s="115" t="str">
        <x:v>Pièces décrites, murs, portes, niveaux et mobilier inspectables à l’échelle. Volumes réservés, raccord au seed, butin, rencontres et services de campagne restent à terminer.</x:v>
      </x:c>
    </x:row>
    <x:row r="3190" ht="96" customHeight="1">
      <x:c r="A3190" s="115" t="str">
        <x:v>EXT-MONDE-T064-V35</x:v>
      </x:c>
      <x:c r="B3190" s="115" t="str">
        <x:v>EXT-MONDE-T064</x:v>
      </x:c>
      <x:c r="C3190" s="115" t="str">
        <x:v>Épuration</x:v>
      </x:c>
      <x:c r="D3190" s="115" t="str">
        <x:v>Usine de potabilisation</x:v>
      </x:c>
      <x:c r="E3190" s="115" t="n">
        <x:v>35</x:v>
      </x:c>
      <x:c r="F3190" s="115" t="str">
        <x:v>Inspection physique</x:v>
      </x:c>
      <x:c r="G3190" s="115" t="str">
        <x:v>1 niveaux ; 22 pièces ; 167 segments de mur ; 0 transitions. Inspection physique ; architecture complète encore ouverte.</x:v>
      </x:c>
      <x:c r="H3190" s="115" t="str">
        <x:v>L 484 ; l 500 ; hauteur 6,1 m ; choix de composition auteur ; dimensions réelles à documenter</x:v>
      </x:c>
      <x:c r="I3190" s="115" t="str">
        <x:v>À équilibrer</x:v>
      </x:c>
      <x:c r="J3190" s="115" t="str">
        <x:v>Non</x:v>
      </x:c>
      <x:c r="K3190" s="115" t="str">
        <x:v>Pièces décrites, murs, portes, niveaux et mobilier inspectables à l’échelle. Volumes réservés, raccord au seed, butin, rencontres et services de campagne restent à terminer.</x:v>
      </x:c>
    </x:row>
    <x:row r="3191" ht="96" customHeight="1">
      <x:c r="A3191" s="115" t="str">
        <x:v>EXT-MONDE-T064-V36</x:v>
      </x:c>
      <x:c r="B3191" s="115" t="str">
        <x:v>EXT-MONDE-T064</x:v>
      </x:c>
      <x:c r="C3191" s="115" t="str">
        <x:v>Épuration</x:v>
      </x:c>
      <x:c r="D3191" s="115" t="str">
        <x:v>Usine de potabilisation</x:v>
      </x:c>
      <x:c r="E3191" s="115" t="n">
        <x:v>36</x:v>
      </x:c>
      <x:c r="F3191" s="115" t="str">
        <x:v>Inspection physique</x:v>
      </x:c>
      <x:c r="G3191" s="115" t="str">
        <x:v>1 niveaux ; 22 pièces ; 167 segments de mur ; 0 transitions. Inspection physique ; architecture complète encore ouverte.</x:v>
      </x:c>
      <x:c r="H3191" s="115" t="str">
        <x:v>L 484 ; l 500 ; hauteur 6,1 m ; choix de composition auteur ; dimensions réelles à documenter</x:v>
      </x:c>
      <x:c r="I3191" s="115" t="str">
        <x:v>À équilibrer</x:v>
      </x:c>
      <x:c r="J3191" s="115" t="str">
        <x:v>Non</x:v>
      </x:c>
      <x:c r="K3191" s="115" t="str">
        <x:v>Pièces décrites, murs, portes, niveaux et mobilier inspectables à l’échelle. Volumes réservés, raccord au seed, butin, rencontres et services de campagne restent à terminer.</x:v>
      </x:c>
    </x:row>
    <x:row r="3192" ht="96" customHeight="1">
      <x:c r="A3192" s="115" t="str">
        <x:v>EXT-MONDE-T064-V37</x:v>
      </x:c>
      <x:c r="B3192" s="115" t="str">
        <x:v>EXT-MONDE-T064</x:v>
      </x:c>
      <x:c r="C3192" s="115" t="str">
        <x:v>Épuration</x:v>
      </x:c>
      <x:c r="D3192" s="115" t="str">
        <x:v>Usine de potabilisation</x:v>
      </x:c>
      <x:c r="E3192" s="115" t="n">
        <x:v>37</x:v>
      </x:c>
      <x:c r="F3192" s="115" t="str">
        <x:v>Inspection physique</x:v>
      </x:c>
      <x:c r="G3192" s="115" t="str">
        <x:v>1 niveaux ; 22 pièces ; 167 segments de mur ; 0 transitions. Inspection physique ; architecture complète encore ouverte.</x:v>
      </x:c>
      <x:c r="H3192" s="115" t="str">
        <x:v>L 484 ; l 500 ; hauteur 6,1 m ; choix de composition auteur ; dimensions réelles à documenter</x:v>
      </x:c>
      <x:c r="I3192" s="115" t="str">
        <x:v>À équilibrer</x:v>
      </x:c>
      <x:c r="J3192" s="115" t="str">
        <x:v>Non</x:v>
      </x:c>
      <x:c r="K3192" s="115" t="str">
        <x:v>Pièces décrites, murs, portes, niveaux et mobilier inspectables à l’échelle. Volumes réservés, raccord au seed, butin, rencontres et services de campagne restent à terminer.</x:v>
      </x:c>
    </x:row>
    <x:row r="3193" ht="96" customHeight="1">
      <x:c r="A3193" s="115" t="str">
        <x:v>EXT-MONDE-T064-V38</x:v>
      </x:c>
      <x:c r="B3193" s="115" t="str">
        <x:v>EXT-MONDE-T064</x:v>
      </x:c>
      <x:c r="C3193" s="115" t="str">
        <x:v>Épuration</x:v>
      </x:c>
      <x:c r="D3193" s="115" t="str">
        <x:v>Usine de potabilisation</x:v>
      </x:c>
      <x:c r="E3193" s="115" t="n">
        <x:v>38</x:v>
      </x:c>
      <x:c r="F3193" s="115" t="str">
        <x:v>Inspection physique</x:v>
      </x:c>
      <x:c r="G3193" s="115" t="str">
        <x:v>1 niveaux ; 22 pièces ; 167 segments de mur ; 0 transitions. Inspection physique ; architecture complète encore ouverte.</x:v>
      </x:c>
      <x:c r="H3193" s="115" t="str">
        <x:v>L 484 ; l 500 ; hauteur 6,1 m ; choix de composition auteur ; dimensions réelles à documenter</x:v>
      </x:c>
      <x:c r="I3193" s="115" t="str">
        <x:v>À équilibrer</x:v>
      </x:c>
      <x:c r="J3193" s="115" t="str">
        <x:v>Non</x:v>
      </x:c>
      <x:c r="K3193" s="115" t="str">
        <x:v>Pièces décrites, murs, portes, niveaux et mobilier inspectables à l’échelle. Volumes réservés, raccord au seed, butin, rencontres et services de campagne restent à terminer.</x:v>
      </x:c>
    </x:row>
    <x:row r="3194" ht="96" customHeight="1">
      <x:c r="A3194" s="115" t="str">
        <x:v>EXT-MONDE-T064-V39</x:v>
      </x:c>
      <x:c r="B3194" s="115" t="str">
        <x:v>EXT-MONDE-T064</x:v>
      </x:c>
      <x:c r="C3194" s="115" t="str">
        <x:v>Épuration</x:v>
      </x:c>
      <x:c r="D3194" s="115" t="str">
        <x:v>Usine de potabilisation</x:v>
      </x:c>
      <x:c r="E3194" s="115" t="n">
        <x:v>39</x:v>
      </x:c>
      <x:c r="F3194" s="115" t="str">
        <x:v>Inspection physique</x:v>
      </x:c>
      <x:c r="G3194" s="115" t="str">
        <x:v>1 niveaux ; 22 pièces ; 167 segments de mur ; 0 transitions. Inspection physique ; architecture complète encore ouverte.</x:v>
      </x:c>
      <x:c r="H3194" s="115" t="str">
        <x:v>L 484 ; l 500 ; hauteur 6,1 m ; choix de composition auteur ; dimensions réelles à documenter</x:v>
      </x:c>
      <x:c r="I3194" s="115" t="str">
        <x:v>À équilibrer</x:v>
      </x:c>
      <x:c r="J3194" s="115" t="str">
        <x:v>Non</x:v>
      </x:c>
      <x:c r="K3194" s="115" t="str">
        <x:v>Pièces décrites, murs, portes, niveaux et mobilier inspectables à l’échelle. Volumes réservés, raccord au seed, butin, rencontres et services de campagne restent à terminer.</x:v>
      </x:c>
    </x:row>
    <x:row r="3195" ht="96" customHeight="1">
      <x:c r="A3195" s="115" t="str">
        <x:v>EXT-MONDE-T064-V40</x:v>
      </x:c>
      <x:c r="B3195" s="115" t="str">
        <x:v>EXT-MONDE-T064</x:v>
      </x:c>
      <x:c r="C3195" s="115" t="str">
        <x:v>Épuration</x:v>
      </x:c>
      <x:c r="D3195" s="115" t="str">
        <x:v>Usine de potabilisation</x:v>
      </x:c>
      <x:c r="E3195" s="115" t="n">
        <x:v>40</x:v>
      </x:c>
      <x:c r="F3195" s="115" t="str">
        <x:v>Inspection physique</x:v>
      </x:c>
      <x:c r="G3195" s="115" t="str">
        <x:v>1 niveaux ; 22 pièces ; 167 segments de mur ; 0 transitions. Inspection physique ; architecture complète encore ouverte.</x:v>
      </x:c>
      <x:c r="H3195" s="115" t="str">
        <x:v>L 484 ; l 500 ; hauteur 6,1 m ; choix de composition auteur ; dimensions réelles à documenter</x:v>
      </x:c>
      <x:c r="I3195" s="115" t="str">
        <x:v>À équilibrer</x:v>
      </x:c>
      <x:c r="J3195" s="115" t="str">
        <x:v>Non</x:v>
      </x:c>
      <x:c r="K3195" s="115" t="str">
        <x:v>Pièces décrites, murs, portes, niveaux et mobilier inspectables à l’échelle. Volumes réservés, raccord au seed, butin, rencontres et services de campagne restent à terminer.</x:v>
      </x:c>
    </x:row>
    <x:row r="3196" ht="96" customHeight="1">
      <x:c r="A3196" s="115" t="str">
        <x:v>EXT-MONDE-T064-V41</x:v>
      </x:c>
      <x:c r="B3196" s="115" t="str">
        <x:v>EXT-MONDE-T064</x:v>
      </x:c>
      <x:c r="C3196" s="115" t="str">
        <x:v>Épuration</x:v>
      </x:c>
      <x:c r="D3196" s="115" t="str">
        <x:v>Usine de potabilisation</x:v>
      </x:c>
      <x:c r="E3196" s="115" t="n">
        <x:v>41</x:v>
      </x:c>
      <x:c r="F3196" s="115" t="str">
        <x:v>Inspection physique</x:v>
      </x:c>
      <x:c r="G3196" s="115" t="str">
        <x:v>1 niveaux ; 22 pièces ; 167 segments de mur ; 0 transitions. Inspection physique ; architecture complète encore ouverte.</x:v>
      </x:c>
      <x:c r="H3196" s="115" t="str">
        <x:v>L 502 ; l 520 ; hauteur 6,3 m ; choix de composition auteur ; dimensions réelles à documenter</x:v>
      </x:c>
      <x:c r="I3196" s="115" t="str">
        <x:v>À équilibrer</x:v>
      </x:c>
      <x:c r="J3196" s="115" t="str">
        <x:v>Non</x:v>
      </x:c>
      <x:c r="K3196" s="115" t="str">
        <x:v>Pièces décrites, murs, portes, niveaux et mobilier inspectables à l’échelle. Volumes réservés, raccord au seed, butin, rencontres et services de campagne restent à terminer.</x:v>
      </x:c>
    </x:row>
    <x:row r="3197" ht="96" customHeight="1">
      <x:c r="A3197" s="115" t="str">
        <x:v>EXT-MONDE-T064-V42</x:v>
      </x:c>
      <x:c r="B3197" s="115" t="str">
        <x:v>EXT-MONDE-T064</x:v>
      </x:c>
      <x:c r="C3197" s="115" t="str">
        <x:v>Épuration</x:v>
      </x:c>
      <x:c r="D3197" s="115" t="str">
        <x:v>Usine de potabilisation</x:v>
      </x:c>
      <x:c r="E3197" s="115" t="n">
        <x:v>42</x:v>
      </x:c>
      <x:c r="F3197" s="115" t="str">
        <x:v>Inspection physique</x:v>
      </x:c>
      <x:c r="G3197" s="115" t="str">
        <x:v>1 niveaux ; 22 pièces ; 167 segments de mur ; 0 transitions. Inspection physique ; architecture complète encore ouverte.</x:v>
      </x:c>
      <x:c r="H3197" s="115" t="str">
        <x:v>L 502 ; l 520 ; hauteur 6,3 m ; choix de composition auteur ; dimensions réelles à documenter</x:v>
      </x:c>
      <x:c r="I3197" s="115" t="str">
        <x:v>À équilibrer</x:v>
      </x:c>
      <x:c r="J3197" s="115" t="str">
        <x:v>Non</x:v>
      </x:c>
      <x:c r="K3197" s="115" t="str">
        <x:v>Pièces décrites, murs, portes, niveaux et mobilier inspectables à l’échelle. Volumes réservés, raccord au seed, butin, rencontres et services de campagne restent à terminer.</x:v>
      </x:c>
    </x:row>
    <x:row r="3198" ht="96" customHeight="1">
      <x:c r="A3198" s="115" t="str">
        <x:v>EXT-MONDE-T064-V43</x:v>
      </x:c>
      <x:c r="B3198" s="115" t="str">
        <x:v>EXT-MONDE-T064</x:v>
      </x:c>
      <x:c r="C3198" s="115" t="str">
        <x:v>Épuration</x:v>
      </x:c>
      <x:c r="D3198" s="115" t="str">
        <x:v>Usine de potabilisation</x:v>
      </x:c>
      <x:c r="E3198" s="115" t="n">
        <x:v>43</x:v>
      </x:c>
      <x:c r="F3198" s="115" t="str">
        <x:v>Inspection physique</x:v>
      </x:c>
      <x:c r="G3198" s="115" t="str">
        <x:v>1 niveaux ; 22 pièces ; 167 segments de mur ; 0 transitions. Inspection physique ; architecture complète encore ouverte.</x:v>
      </x:c>
      <x:c r="H3198" s="115" t="str">
        <x:v>L 502 ; l 520 ; hauteur 6,3 m ; choix de composition auteur ; dimensions réelles à documenter</x:v>
      </x:c>
      <x:c r="I3198" s="115" t="str">
        <x:v>À équilibrer</x:v>
      </x:c>
      <x:c r="J3198" s="115" t="str">
        <x:v>Non</x:v>
      </x:c>
      <x:c r="K3198" s="115" t="str">
        <x:v>Pièces décrites, murs, portes, niveaux et mobilier inspectables à l’échelle. Volumes réservés, raccord au seed, butin, rencontres et services de campagne restent à terminer.</x:v>
      </x:c>
    </x:row>
    <x:row r="3199" ht="96" customHeight="1">
      <x:c r="A3199" s="115" t="str">
        <x:v>EXT-MONDE-T064-V44</x:v>
      </x:c>
      <x:c r="B3199" s="115" t="str">
        <x:v>EXT-MONDE-T064</x:v>
      </x:c>
      <x:c r="C3199" s="115" t="str">
        <x:v>Épuration</x:v>
      </x:c>
      <x:c r="D3199" s="115" t="str">
        <x:v>Usine de potabilisation</x:v>
      </x:c>
      <x:c r="E3199" s="115" t="n">
        <x:v>44</x:v>
      </x:c>
      <x:c r="F3199" s="115" t="str">
        <x:v>Inspection physique</x:v>
      </x:c>
      <x:c r="G3199" s="115" t="str">
        <x:v>1 niveaux ; 22 pièces ; 167 segments de mur ; 0 transitions. Inspection physique ; architecture complète encore ouverte.</x:v>
      </x:c>
      <x:c r="H3199" s="115" t="str">
        <x:v>L 502 ; l 520 ; hauteur 6,3 m ; choix de composition auteur ; dimensions réelles à documenter</x:v>
      </x:c>
      <x:c r="I3199" s="115" t="str">
        <x:v>À équilibrer</x:v>
      </x:c>
      <x:c r="J3199" s="115" t="str">
        <x:v>Non</x:v>
      </x:c>
      <x:c r="K3199" s="115" t="str">
        <x:v>Pièces décrites, murs, portes, niveaux et mobilier inspectables à l’échelle. Volumes réservés, raccord au seed, butin, rencontres et services de campagne restent à terminer.</x:v>
      </x:c>
    </x:row>
    <x:row r="3200" ht="96" customHeight="1">
      <x:c r="A3200" s="115" t="str">
        <x:v>EXT-MONDE-T064-V45</x:v>
      </x:c>
      <x:c r="B3200" s="115" t="str">
        <x:v>EXT-MONDE-T064</x:v>
      </x:c>
      <x:c r="C3200" s="115" t="str">
        <x:v>Épuration</x:v>
      </x:c>
      <x:c r="D3200" s="115" t="str">
        <x:v>Usine de potabilisation</x:v>
      </x:c>
      <x:c r="E3200" s="115" t="n">
        <x:v>45</x:v>
      </x:c>
      <x:c r="F3200" s="115" t="str">
        <x:v>Inspection physique</x:v>
      </x:c>
      <x:c r="G3200" s="115" t="str">
        <x:v>1 niveaux ; 22 pièces ; 167 segments de mur ; 0 transitions. Inspection physique ; architecture complète encore ouverte.</x:v>
      </x:c>
      <x:c r="H3200" s="115" t="str">
        <x:v>L 502 ; l 520 ; hauteur 6,3 m ; choix de composition auteur ; dimensions réelles à documenter</x:v>
      </x:c>
      <x:c r="I3200" s="115" t="str">
        <x:v>À équilibrer</x:v>
      </x:c>
      <x:c r="J3200" s="115" t="str">
        <x:v>Non</x:v>
      </x:c>
      <x:c r="K3200" s="115" t="str">
        <x:v>Pièces décrites, murs, portes, niveaux et mobilier inspectables à l’échelle. Volumes réservés, raccord au seed, butin, rencontres et services de campagne restent à terminer.</x:v>
      </x:c>
    </x:row>
    <x:row r="3201" ht="96" customHeight="1">
      <x:c r="A3201" s="115" t="str">
        <x:v>EXT-MONDE-T064-V46</x:v>
      </x:c>
      <x:c r="B3201" s="115" t="str">
        <x:v>EXT-MONDE-T064</x:v>
      </x:c>
      <x:c r="C3201" s="115" t="str">
        <x:v>Épuration</x:v>
      </x:c>
      <x:c r="D3201" s="115" t="str">
        <x:v>Usine de potabilisation</x:v>
      </x:c>
      <x:c r="E3201" s="115" t="n">
        <x:v>46</x:v>
      </x:c>
      <x:c r="F3201" s="115" t="str">
        <x:v>Inspection physique</x:v>
      </x:c>
      <x:c r="G3201" s="115" t="str">
        <x:v>1 niveaux ; 22 pièces ; 167 segments de mur ; 0 transitions. Inspection physique ; architecture complète encore ouverte.</x:v>
      </x:c>
      <x:c r="H3201" s="115" t="str">
        <x:v>L 502 ; l 520 ; hauteur 6,3 m ; choix de composition auteur ; dimensions réelles à documenter</x:v>
      </x:c>
      <x:c r="I3201" s="115" t="str">
        <x:v>À équilibrer</x:v>
      </x:c>
      <x:c r="J3201" s="115" t="str">
        <x:v>Non</x:v>
      </x:c>
      <x:c r="K3201" s="115" t="str">
        <x:v>Pièces décrites, murs, portes, niveaux et mobilier inspectables à l’échelle. Volumes réservés, raccord au seed, butin, rencontres et services de campagne restent à terminer.</x:v>
      </x:c>
    </x:row>
    <x:row r="3202" ht="96" customHeight="1">
      <x:c r="A3202" s="115" t="str">
        <x:v>EXT-MONDE-T064-V47</x:v>
      </x:c>
      <x:c r="B3202" s="115" t="str">
        <x:v>EXT-MONDE-T064</x:v>
      </x:c>
      <x:c r="C3202" s="115" t="str">
        <x:v>Épuration</x:v>
      </x:c>
      <x:c r="D3202" s="115" t="str">
        <x:v>Usine de potabilisation</x:v>
      </x:c>
      <x:c r="E3202" s="115" t="n">
        <x:v>47</x:v>
      </x:c>
      <x:c r="F3202" s="115" t="str">
        <x:v>Inspection physique</x:v>
      </x:c>
      <x:c r="G3202" s="115" t="str">
        <x:v>1 niveaux ; 22 pièces ; 167 segments de mur ; 0 transitions. Inspection physique ; architecture complète encore ouverte.</x:v>
      </x:c>
      <x:c r="H3202" s="115" t="str">
        <x:v>L 502 ; l 520 ; hauteur 6,3 m ; choix de composition auteur ; dimensions réelles à documenter</x:v>
      </x:c>
      <x:c r="I3202" s="115" t="str">
        <x:v>À équilibrer</x:v>
      </x:c>
      <x:c r="J3202" s="115" t="str">
        <x:v>Non</x:v>
      </x:c>
      <x:c r="K3202" s="115" t="str">
        <x:v>Pièces décrites, murs, portes, niveaux et mobilier inspectables à l’échelle. Volumes réservés, raccord au seed, butin, rencontres et services de campagne restent à terminer.</x:v>
      </x:c>
    </x:row>
    <x:row r="3203" ht="96" customHeight="1">
      <x:c r="A3203" s="115" t="str">
        <x:v>EXT-MONDE-T064-V48</x:v>
      </x:c>
      <x:c r="B3203" s="115" t="str">
        <x:v>EXT-MONDE-T064</x:v>
      </x:c>
      <x:c r="C3203" s="115" t="str">
        <x:v>Épuration</x:v>
      </x:c>
      <x:c r="D3203" s="115" t="str">
        <x:v>Usine de potabilisation</x:v>
      </x:c>
      <x:c r="E3203" s="115" t="n">
        <x:v>48</x:v>
      </x:c>
      <x:c r="F3203" s="115" t="str">
        <x:v>Inspection physique</x:v>
      </x:c>
      <x:c r="G3203" s="115" t="str">
        <x:v>1 niveaux ; 22 pièces ; 167 segments de mur ; 0 transitions. Inspection physique ; architecture complète encore ouverte.</x:v>
      </x:c>
      <x:c r="H3203" s="115" t="str">
        <x:v>L 502 ; l 520 ; hauteur 6,3 m ; choix de composition auteur ; dimensions réelles à documenter</x:v>
      </x:c>
      <x:c r="I3203" s="115" t="str">
        <x:v>À équilibrer</x:v>
      </x:c>
      <x:c r="J3203" s="115" t="str">
        <x:v>Non</x:v>
      </x:c>
      <x:c r="K3203" s="115" t="str">
        <x:v>Pièces décrites, murs, portes, niveaux et mobilier inspectables à l’échelle. Volumes réservés, raccord au seed, butin, rencontres et services de campagne restent à terminer.</x:v>
      </x:c>
    </x:row>
    <x:row r="3204" ht="96" customHeight="1">
      <x:c r="A3204" s="115" t="str">
        <x:v>EXT-MONDE-T064-V49</x:v>
      </x:c>
      <x:c r="B3204" s="115" t="str">
        <x:v>EXT-MONDE-T064</x:v>
      </x:c>
      <x:c r="C3204" s="115" t="str">
        <x:v>Épuration</x:v>
      </x:c>
      <x:c r="D3204" s="115" t="str">
        <x:v>Usine de potabilisation</x:v>
      </x:c>
      <x:c r="E3204" s="115" t="n">
        <x:v>49</x:v>
      </x:c>
      <x:c r="F3204" s="115" t="str">
        <x:v>Inspection physique</x:v>
      </x:c>
      <x:c r="G3204" s="115" t="str">
        <x:v>1 niveaux ; 22 pièces ; 167 segments de mur ; 0 transitions. Inspection physique ; architecture complète encore ouverte.</x:v>
      </x:c>
      <x:c r="H3204" s="115" t="str">
        <x:v>L 502 ; l 520 ; hauteur 6,3 m ; choix de composition auteur ; dimensions réelles à documenter</x:v>
      </x:c>
      <x:c r="I3204" s="115" t="str">
        <x:v>À équilibrer</x:v>
      </x:c>
      <x:c r="J3204" s="115" t="str">
        <x:v>Non</x:v>
      </x:c>
      <x:c r="K3204" s="115" t="str">
        <x:v>Pièces décrites, murs, portes, niveaux et mobilier inspectables à l’échelle. Volumes réservés, raccord au seed, butin, rencontres et services de campagne restent à terminer.</x:v>
      </x:c>
    </x:row>
    <x:row r="3205" ht="96" customHeight="1">
      <x:c r="A3205" s="115" t="str">
        <x:v>EXT-MONDE-T064-V50</x:v>
      </x:c>
      <x:c r="B3205" s="115" t="str">
        <x:v>EXT-MONDE-T064</x:v>
      </x:c>
      <x:c r="C3205" s="115" t="str">
        <x:v>Épuration</x:v>
      </x:c>
      <x:c r="D3205" s="115" t="str">
        <x:v>Usine de potabilisation</x:v>
      </x:c>
      <x:c r="E3205" s="115" t="n">
        <x:v>50</x:v>
      </x:c>
      <x:c r="F3205" s="115" t="str">
        <x:v>Inspection physique</x:v>
      </x:c>
      <x:c r="G3205" s="115" t="str">
        <x:v>1 niveaux ; 22 pièces ; 167 segments de mur ; 0 transitions. Inspection physique ; architecture complète encore ouverte.</x:v>
      </x:c>
      <x:c r="H3205" s="115" t="str">
        <x:v>L 502 ; l 520 ; hauteur 6,3 m ; choix de composition auteur ; dimensions réelles à documenter</x:v>
      </x:c>
      <x:c r="I3205" s="115" t="str">
        <x:v>À équilibrer</x:v>
      </x:c>
      <x:c r="J3205" s="115" t="str">
        <x:v>Non</x:v>
      </x:c>
      <x:c r="K3205" s="115" t="str">
        <x:v>Pièces décrites, murs, portes, niveaux et mobilier inspectables à l’échelle. Volumes réservés, raccord au seed, butin, rencontres et services de campagne restent à terminer.</x:v>
      </x:c>
    </x:row>
    <x:row r="3206">
      <x:c r="A3206" t="str">
        <x:v>EXT-MONDE-T065-V01</x:v>
      </x:c>
      <x:c r="B3206" t="str">
        <x:v>EXT-MONDE-T065</x:v>
      </x:c>
      <x:c r="C3206" t="str">
        <x:v>Stades</x:v>
      </x:c>
      <x:c r="D3206" t="str">
        <x:v>Stade municipal</x:v>
      </x:c>
      <x:c r="E3206" t="n">
        <x:v>1</x:v>
      </x:c>
      <x:c r="F3206" t="str">
        <x:v>Inspection physique</x:v>
      </x:c>
      <x:c r="G3206" t="str">
        <x:v>1 niveaux ; 40 pièces ; 310 segments de mur ; 0 transitions. Inspection physique ; architecture complète encore ouverte.</x:v>
      </x:c>
      <x:c r="H3206" t="str">
        <x:v>L 162 ; l 201 ; hauteur 7 m ; emprise auteur, non relevé complet d’un lieu réel</x:v>
      </x:c>
      <x:c r="I3206" t="str">
        <x:v>À équilibrer</x:v>
      </x:c>
      <x:c r="J3206" t="str">
        <x:v>Non</x:v>
      </x:c>
      <x:c r="K3206" t="str">
        <x:v>Pièces décrites, murs, portes, niveaux et mobilier inspectables à l’échelle. Volumes réservés, raccord au seed, butin, rencontres et services de campagne restent à terminer.</x:v>
      </x:c>
    </x:row>
    <x:row r="3207">
      <x:c r="A3207" t="str">
        <x:v>EXT-MONDE-T065-V02</x:v>
      </x:c>
      <x:c r="B3207" t="str">
        <x:v>EXT-MONDE-T065</x:v>
      </x:c>
      <x:c r="C3207" t="str">
        <x:v>Stades</x:v>
      </x:c>
      <x:c r="D3207" t="str">
        <x:v>Stade municipal</x:v>
      </x:c>
      <x:c r="E3207" t="n">
        <x:v>2</x:v>
      </x:c>
      <x:c r="F3207" t="str">
        <x:v>Inspection physique</x:v>
      </x:c>
      <x:c r="G3207" t="str">
        <x:v>1 niveaux ; 40 pièces ; 310 segments de mur ; 0 transitions. Inspection physique ; architecture complète encore ouverte.</x:v>
      </x:c>
      <x:c r="H3207" t="str">
        <x:v>L 166 ; l 205 ; hauteur 7 m ; emprise auteur, non relevé complet d’un lieu réel</x:v>
      </x:c>
      <x:c r="I3207" t="str">
        <x:v>À équilibrer</x:v>
      </x:c>
      <x:c r="J3207" t="str">
        <x:v>Non</x:v>
      </x:c>
      <x:c r="K3207" t="str">
        <x:v>Pièces décrites, murs, portes, niveaux et mobilier inspectables à l’échelle. Volumes réservés, raccord au seed, butin, rencontres et services de campagne restent à terminer.</x:v>
      </x:c>
    </x:row>
    <x:row r="3208">
      <x:c r="A3208" t="str">
        <x:v>EXT-MONDE-T065-V03</x:v>
      </x:c>
      <x:c r="B3208" t="str">
        <x:v>EXT-MONDE-T065</x:v>
      </x:c>
      <x:c r="C3208" t="str">
        <x:v>Stades</x:v>
      </x:c>
      <x:c r="D3208" t="str">
        <x:v>Stade municipal</x:v>
      </x:c>
      <x:c r="E3208" t="n">
        <x:v>3</x:v>
      </x:c>
      <x:c r="F3208" t="str">
        <x:v>Inspection physique</x:v>
      </x:c>
      <x:c r="G3208" t="str">
        <x:v>1 niveaux ; 40 pièces ; 310 segments de mur ; 0 transitions. Inspection physique ; architecture complète encore ouverte.</x:v>
      </x:c>
      <x:c r="H3208" t="str">
        <x:v>L 170 ; l 209 ; hauteur 7 m ; emprise auteur, non relevé complet d’un lieu réel</x:v>
      </x:c>
      <x:c r="I3208" t="str">
        <x:v>À équilibrer</x:v>
      </x:c>
      <x:c r="J3208" t="str">
        <x:v>Non</x:v>
      </x:c>
      <x:c r="K3208" t="str">
        <x:v>Pièces décrites, murs, portes, niveaux et mobilier inspectables à l’échelle. Volumes réservés, raccord au seed, butin, rencontres et services de campagne restent à terminer.</x:v>
      </x:c>
    </x:row>
    <x:row r="3209">
      <x:c r="A3209" t="str">
        <x:v>EXT-MONDE-T065-V04</x:v>
      </x:c>
      <x:c r="B3209" t="str">
        <x:v>EXT-MONDE-T065</x:v>
      </x:c>
      <x:c r="C3209" t="str">
        <x:v>Stades</x:v>
      </x:c>
      <x:c r="D3209" t="str">
        <x:v>Stade municipal</x:v>
      </x:c>
      <x:c r="E3209" t="n">
        <x:v>4</x:v>
      </x:c>
      <x:c r="F3209" t="str">
        <x:v>Inspection physique</x:v>
      </x:c>
      <x:c r="G3209" t="str">
        <x:v>1 niveaux ; 40 pièces ; 310 segments de mur ; 0 transitions. Inspection physique ; architecture complète encore ouverte.</x:v>
      </x:c>
      <x:c r="H3209" t="str">
        <x:v>L 174 ; l 213 ; hauteur 7 m ; emprise auteur, non relevé complet d’un lieu réel</x:v>
      </x:c>
      <x:c r="I3209" t="str">
        <x:v>À équilibrer</x:v>
      </x:c>
      <x:c r="J3209" t="str">
        <x:v>Non</x:v>
      </x:c>
      <x:c r="K3209" t="str">
        <x:v>Pièces décrites, murs, portes, niveaux et mobilier inspectables à l’échelle. Volumes réservés, raccord au seed, butin, rencontres et services de campagne restent à terminer.</x:v>
      </x:c>
    </x:row>
    <x:row r="3210">
      <x:c r="A3210" t="str">
        <x:v>EXT-MONDE-T065-V05</x:v>
      </x:c>
      <x:c r="B3210" t="str">
        <x:v>EXT-MONDE-T065</x:v>
      </x:c>
      <x:c r="C3210" t="str">
        <x:v>Stades</x:v>
      </x:c>
      <x:c r="D3210" t="str">
        <x:v>Stade municipal</x:v>
      </x:c>
      <x:c r="E3210" t="n">
        <x:v>5</x:v>
      </x:c>
      <x:c r="F3210" t="str">
        <x:v>Inspection physique</x:v>
      </x:c>
      <x:c r="G3210" t="str">
        <x:v>1 niveaux ; 40 pièces ; 310 segments de mur ; 0 transitions. Inspection physique ; architecture complète encore ouverte.</x:v>
      </x:c>
      <x:c r="H3210" t="str">
        <x:v>L 178 ; l 217 ; hauteur 7 m ; emprise auteur, non relevé complet d’un lieu réel</x:v>
      </x:c>
      <x:c r="I3210" t="str">
        <x:v>À équilibrer</x:v>
      </x:c>
      <x:c r="J3210" t="str">
        <x:v>Non</x:v>
      </x:c>
      <x:c r="K3210" t="str">
        <x:v>Pièces décrites, murs, portes, niveaux et mobilier inspectables à l’échelle. Volumes réservés, raccord au seed, butin, rencontres et services de campagne restent à terminer.</x:v>
      </x:c>
    </x:row>
    <x:row r="3211">
      <x:c r="A3211" t="str">
        <x:v>EXT-MONDE-T065-V06</x:v>
      </x:c>
      <x:c r="B3211" t="str">
        <x:v>EXT-MONDE-T065</x:v>
      </x:c>
      <x:c r="C3211" t="str">
        <x:v>Stades</x:v>
      </x:c>
      <x:c r="D3211" t="str">
        <x:v>Stade municipal</x:v>
      </x:c>
      <x:c r="E3211" t="n">
        <x:v>6</x:v>
      </x:c>
      <x:c r="F3211" t="str">
        <x:v>Inspection physique</x:v>
      </x:c>
      <x:c r="G3211" t="str">
        <x:v>1 niveaux ; 40 pièces ; 310 segments de mur ; 0 transitions. Inspection physique ; architecture complète encore ouverte.</x:v>
      </x:c>
      <x:c r="H3211" t="str">
        <x:v>L 182 ; l 221 ; hauteur 7 m ; emprise auteur, non relevé complet d’un lieu réel</x:v>
      </x:c>
      <x:c r="I3211" t="str">
        <x:v>À équilibrer</x:v>
      </x:c>
      <x:c r="J3211" t="str">
        <x:v>Non</x:v>
      </x:c>
      <x:c r="K3211" t="str">
        <x:v>Pièces décrites, murs, portes, niveaux et mobilier inspectables à l’échelle. Volumes réservés, raccord au seed, butin, rencontres et services de campagne restent à terminer.</x:v>
      </x:c>
    </x:row>
    <x:row r="3212">
      <x:c r="A3212" t="str">
        <x:v>EXT-MONDE-T065-V07</x:v>
      </x:c>
      <x:c r="B3212" t="str">
        <x:v>EXT-MONDE-T065</x:v>
      </x:c>
      <x:c r="C3212" t="str">
        <x:v>Stades</x:v>
      </x:c>
      <x:c r="D3212" t="str">
        <x:v>Stade municipal</x:v>
      </x:c>
      <x:c r="E3212" t="n">
        <x:v>7</x:v>
      </x:c>
      <x:c r="F3212" t="str">
        <x:v>Inspection physique</x:v>
      </x:c>
      <x:c r="G3212" t="str">
        <x:v>1 niveaux ; 40 pièces ; 310 segments de mur ; 0 transitions. Inspection physique ; architecture complète encore ouverte.</x:v>
      </x:c>
      <x:c r="H3212" t="str">
        <x:v>L 186 ; l 225 ; hauteur 7 m ; emprise auteur, non relevé complet d’un lieu réel</x:v>
      </x:c>
      <x:c r="I3212" t="str">
        <x:v>À équilibrer</x:v>
      </x:c>
      <x:c r="J3212" t="str">
        <x:v>Non</x:v>
      </x:c>
      <x:c r="K3212" t="str">
        <x:v>Pièces décrites, murs, portes, niveaux et mobilier inspectables à l’échelle. Volumes réservés, raccord au seed, butin, rencontres et services de campagne restent à terminer.</x:v>
      </x:c>
    </x:row>
    <x:row r="3213">
      <x:c r="A3213" t="str">
        <x:v>EXT-MONDE-T065-V08</x:v>
      </x:c>
      <x:c r="B3213" t="str">
        <x:v>EXT-MONDE-T065</x:v>
      </x:c>
      <x:c r="C3213" t="str">
        <x:v>Stades</x:v>
      </x:c>
      <x:c r="D3213" t="str">
        <x:v>Stade municipal</x:v>
      </x:c>
      <x:c r="E3213" t="n">
        <x:v>8</x:v>
      </x:c>
      <x:c r="F3213" t="str">
        <x:v>Inspection physique</x:v>
      </x:c>
      <x:c r="G3213" t="str">
        <x:v>1 niveaux ; 40 pièces ; 310 segments de mur ; 0 transitions. Inspection physique ; architecture complète encore ouverte.</x:v>
      </x:c>
      <x:c r="H3213" t="str">
        <x:v>L 190 ; l 229 ; hauteur 7 m ; emprise auteur, non relevé complet d’un lieu réel</x:v>
      </x:c>
      <x:c r="I3213" t="str">
        <x:v>À équilibrer</x:v>
      </x:c>
      <x:c r="J3213" t="str">
        <x:v>Non</x:v>
      </x:c>
      <x:c r="K3213" t="str">
        <x:v>Pièces décrites, murs, portes, niveaux et mobilier inspectables à l’échelle. Volumes réservés, raccord au seed, butin, rencontres et services de campagne restent à terminer.</x:v>
      </x:c>
    </x:row>
    <x:row r="3214">
      <x:c r="A3214" t="str">
        <x:v>EXT-MONDE-T065-V09</x:v>
      </x:c>
      <x:c r="B3214" t="str">
        <x:v>EXT-MONDE-T065</x:v>
      </x:c>
      <x:c r="C3214" t="str">
        <x:v>Stades</x:v>
      </x:c>
      <x:c r="D3214" t="str">
        <x:v>Stade municipal</x:v>
      </x:c>
      <x:c r="E3214" t="n">
        <x:v>9</x:v>
      </x:c>
      <x:c r="F3214" t="str">
        <x:v>Inspection physique</x:v>
      </x:c>
      <x:c r="G3214" t="str">
        <x:v>1 niveaux ; 40 pièces ; 310 segments de mur ; 0 transitions. Inspection physique ; architecture complète encore ouverte.</x:v>
      </x:c>
      <x:c r="H3214" t="str">
        <x:v>L 194 ; l 233 ; hauteur 7 m ; emprise auteur, non relevé complet d’un lieu réel</x:v>
      </x:c>
      <x:c r="I3214" t="str">
        <x:v>À équilibrer</x:v>
      </x:c>
      <x:c r="J3214" t="str">
        <x:v>Non</x:v>
      </x:c>
      <x:c r="K3214" t="str">
        <x:v>Pièces décrites, murs, portes, niveaux et mobilier inspectables à l’échelle. Volumes réservés, raccord au seed, butin, rencontres et services de campagne restent à terminer.</x:v>
      </x:c>
    </x:row>
    <x:row r="3215">
      <x:c r="A3215" t="str">
        <x:v>EXT-MONDE-T065-V10</x:v>
      </x:c>
      <x:c r="B3215" t="str">
        <x:v>EXT-MONDE-T065</x:v>
      </x:c>
      <x:c r="C3215" t="str">
        <x:v>Stades</x:v>
      </x:c>
      <x:c r="D3215" t="str">
        <x:v>Stade municipal</x:v>
      </x:c>
      <x:c r="E3215" t="n">
        <x:v>10</x:v>
      </x:c>
      <x:c r="F3215" t="str">
        <x:v>Inspection physique</x:v>
      </x:c>
      <x:c r="G3215" t="str">
        <x:v>1 niveaux ; 40 pièces ; 310 segments de mur ; 0 transitions. Inspection physique ; architecture complète encore ouverte.</x:v>
      </x:c>
      <x:c r="H3215" t="str">
        <x:v>L 198 ; l 237 ; hauteur 7 m ; emprise auteur, non relevé complet d’un lieu réel</x:v>
      </x:c>
      <x:c r="I3215" t="str">
        <x:v>À équilibrer</x:v>
      </x:c>
      <x:c r="J3215" t="str">
        <x:v>Non</x:v>
      </x:c>
      <x:c r="K3215" t="str">
        <x:v>Pièces décrites, murs, portes, niveaux et mobilier inspectables à l’échelle. Volumes réservés, raccord au seed, butin, rencontres et services de campagne restent à terminer.</x:v>
      </x:c>
    </x:row>
    <x:row r="3216">
      <x:c r="A3216" t="str">
        <x:v>EXT-MONDE-T065-V11</x:v>
      </x:c>
      <x:c r="B3216" t="str">
        <x:v>EXT-MONDE-T065</x:v>
      </x:c>
      <x:c r="C3216" t="str">
        <x:v>Stades</x:v>
      </x:c>
      <x:c r="D3216" t="str">
        <x:v>Stade municipal</x:v>
      </x:c>
      <x:c r="E3216" t="n">
        <x:v>11</x:v>
      </x:c>
      <x:c r="F3216" t="str">
        <x:v>Inspection physique</x:v>
      </x:c>
      <x:c r="G3216" t="str">
        <x:v>1 niveaux ; 40 pièces ; 310 segments de mur ; 0 transitions. Inspection physique ; architecture complète encore ouverte.</x:v>
      </x:c>
      <x:c r="H3216" t="str">
        <x:v>L 170 ; l 209 ; hauteur 9 m ; emprise auteur, non relevé complet d’un lieu réel</x:v>
      </x:c>
      <x:c r="I3216" t="str">
        <x:v>À équilibrer</x:v>
      </x:c>
      <x:c r="J3216" t="str">
        <x:v>Non</x:v>
      </x:c>
      <x:c r="K3216" t="str">
        <x:v>Pièces décrites, murs, portes, niveaux et mobilier inspectables à l’échelle. Volumes réservés, raccord au seed, butin, rencontres et services de campagne restent à terminer.</x:v>
      </x:c>
    </x:row>
    <x:row r="3217">
      <x:c r="A3217" t="str">
        <x:v>EXT-MONDE-T065-V12</x:v>
      </x:c>
      <x:c r="B3217" t="str">
        <x:v>EXT-MONDE-T065</x:v>
      </x:c>
      <x:c r="C3217" t="str">
        <x:v>Stades</x:v>
      </x:c>
      <x:c r="D3217" t="str">
        <x:v>Stade municipal</x:v>
      </x:c>
      <x:c r="E3217" t="n">
        <x:v>12</x:v>
      </x:c>
      <x:c r="F3217" t="str">
        <x:v>Inspection physique</x:v>
      </x:c>
      <x:c r="G3217" t="str">
        <x:v>1 niveaux ; 40 pièces ; 310 segments de mur ; 0 transitions. Inspection physique ; architecture complète encore ouverte.</x:v>
      </x:c>
      <x:c r="H3217" t="str">
        <x:v>L 174 ; l 213 ; hauteur 9 m ; emprise auteur, non relevé complet d’un lieu réel</x:v>
      </x:c>
      <x:c r="I3217" t="str">
        <x:v>À équilibrer</x:v>
      </x:c>
      <x:c r="J3217" t="str">
        <x:v>Non</x:v>
      </x:c>
      <x:c r="K3217" t="str">
        <x:v>Pièces décrites, murs, portes, niveaux et mobilier inspectables à l’échelle. Volumes réservés, raccord au seed, butin, rencontres et services de campagne restent à terminer.</x:v>
      </x:c>
    </x:row>
    <x:row r="3218">
      <x:c r="A3218" t="str">
        <x:v>EXT-MONDE-T065-V13</x:v>
      </x:c>
      <x:c r="B3218" t="str">
        <x:v>EXT-MONDE-T065</x:v>
      </x:c>
      <x:c r="C3218" t="str">
        <x:v>Stades</x:v>
      </x:c>
      <x:c r="D3218" t="str">
        <x:v>Stade municipal</x:v>
      </x:c>
      <x:c r="E3218" t="n">
        <x:v>13</x:v>
      </x:c>
      <x:c r="F3218" t="str">
        <x:v>Inspection physique</x:v>
      </x:c>
      <x:c r="G3218" t="str">
        <x:v>1 niveaux ; 40 pièces ; 310 segments de mur ; 0 transitions. Inspection physique ; architecture complète encore ouverte.</x:v>
      </x:c>
      <x:c r="H3218" t="str">
        <x:v>L 178 ; l 217 ; hauteur 9 m ; emprise auteur, non relevé complet d’un lieu réel</x:v>
      </x:c>
      <x:c r="I3218" t="str">
        <x:v>À équilibrer</x:v>
      </x:c>
      <x:c r="J3218" t="str">
        <x:v>Non</x:v>
      </x:c>
      <x:c r="K3218" t="str">
        <x:v>Pièces décrites, murs, portes, niveaux et mobilier inspectables à l’échelle. Volumes réservés, raccord au seed, butin, rencontres et services de campagne restent à terminer.</x:v>
      </x:c>
    </x:row>
    <x:row r="3219">
      <x:c r="A3219" t="str">
        <x:v>EXT-MONDE-T065-V14</x:v>
      </x:c>
      <x:c r="B3219" t="str">
        <x:v>EXT-MONDE-T065</x:v>
      </x:c>
      <x:c r="C3219" t="str">
        <x:v>Stades</x:v>
      </x:c>
      <x:c r="D3219" t="str">
        <x:v>Stade municipal</x:v>
      </x:c>
      <x:c r="E3219" t="n">
        <x:v>14</x:v>
      </x:c>
      <x:c r="F3219" t="str">
        <x:v>Inspection physique</x:v>
      </x:c>
      <x:c r="G3219" t="str">
        <x:v>1 niveaux ; 40 pièces ; 310 segments de mur ; 0 transitions. Inspection physique ; architecture complète encore ouverte.</x:v>
      </x:c>
      <x:c r="H3219" t="str">
        <x:v>L 182 ; l 221 ; hauteur 9 m ; emprise auteur, non relevé complet d’un lieu réel</x:v>
      </x:c>
      <x:c r="I3219" t="str">
        <x:v>À équilibrer</x:v>
      </x:c>
      <x:c r="J3219" t="str">
        <x:v>Non</x:v>
      </x:c>
      <x:c r="K3219" t="str">
        <x:v>Pièces décrites, murs, portes, niveaux et mobilier inspectables à l’échelle. Volumes réservés, raccord au seed, butin, rencontres et services de campagne restent à terminer.</x:v>
      </x:c>
    </x:row>
    <x:row r="3220">
      <x:c r="A3220" t="str">
        <x:v>EXT-MONDE-T065-V15</x:v>
      </x:c>
      <x:c r="B3220" t="str">
        <x:v>EXT-MONDE-T065</x:v>
      </x:c>
      <x:c r="C3220" t="str">
        <x:v>Stades</x:v>
      </x:c>
      <x:c r="D3220" t="str">
        <x:v>Stade municipal</x:v>
      </x:c>
      <x:c r="E3220" t="n">
        <x:v>15</x:v>
      </x:c>
      <x:c r="F3220" t="str">
        <x:v>Inspection physique</x:v>
      </x:c>
      <x:c r="G3220" t="str">
        <x:v>1 niveaux ; 40 pièces ; 310 segments de mur ; 0 transitions. Inspection physique ; architecture complète encore ouverte.</x:v>
      </x:c>
      <x:c r="H3220" t="str">
        <x:v>L 186 ; l 225 ; hauteur 9 m ; emprise auteur, non relevé complet d’un lieu réel</x:v>
      </x:c>
      <x:c r="I3220" t="str">
        <x:v>À équilibrer</x:v>
      </x:c>
      <x:c r="J3220" t="str">
        <x:v>Non</x:v>
      </x:c>
      <x:c r="K3220" t="str">
        <x:v>Pièces décrites, murs, portes, niveaux et mobilier inspectables à l’échelle. Volumes réservés, raccord au seed, butin, rencontres et services de campagne restent à terminer.</x:v>
      </x:c>
    </x:row>
    <x:row r="3221">
      <x:c r="A3221" t="str">
        <x:v>EXT-MONDE-T065-V16</x:v>
      </x:c>
      <x:c r="B3221" t="str">
        <x:v>EXT-MONDE-T065</x:v>
      </x:c>
      <x:c r="C3221" t="str">
        <x:v>Stades</x:v>
      </x:c>
      <x:c r="D3221" t="str">
        <x:v>Stade municipal</x:v>
      </x:c>
      <x:c r="E3221" t="n">
        <x:v>16</x:v>
      </x:c>
      <x:c r="F3221" t="str">
        <x:v>Inspection physique</x:v>
      </x:c>
      <x:c r="G3221" t="str">
        <x:v>1 niveaux ; 40 pièces ; 310 segments de mur ; 0 transitions. Inspection physique ; architecture complète encore ouverte.</x:v>
      </x:c>
      <x:c r="H3221" t="str">
        <x:v>L 190 ; l 229 ; hauteur 9 m ; emprise auteur, non relevé complet d’un lieu réel</x:v>
      </x:c>
      <x:c r="I3221" t="str">
        <x:v>À équilibrer</x:v>
      </x:c>
      <x:c r="J3221" t="str">
        <x:v>Non</x:v>
      </x:c>
      <x:c r="K3221" t="str">
        <x:v>Pièces décrites, murs, portes, niveaux et mobilier inspectables à l’échelle. Volumes réservés, raccord au seed, butin, rencontres et services de campagne restent à terminer.</x:v>
      </x:c>
    </x:row>
    <x:row r="3222">
      <x:c r="A3222" t="str">
        <x:v>EXT-MONDE-T065-V17</x:v>
      </x:c>
      <x:c r="B3222" t="str">
        <x:v>EXT-MONDE-T065</x:v>
      </x:c>
      <x:c r="C3222" t="str">
        <x:v>Stades</x:v>
      </x:c>
      <x:c r="D3222" t="str">
        <x:v>Stade municipal</x:v>
      </x:c>
      <x:c r="E3222" t="n">
        <x:v>17</x:v>
      </x:c>
      <x:c r="F3222" t="str">
        <x:v>Inspection physique</x:v>
      </x:c>
      <x:c r="G3222" t="str">
        <x:v>1 niveaux ; 40 pièces ; 310 segments de mur ; 0 transitions. Inspection physique ; architecture complète encore ouverte.</x:v>
      </x:c>
      <x:c r="H3222" t="str">
        <x:v>L 194 ; l 233 ; hauteur 9 m ; emprise auteur, non relevé complet d’un lieu réel</x:v>
      </x:c>
      <x:c r="I3222" t="str">
        <x:v>À équilibrer</x:v>
      </x:c>
      <x:c r="J3222" t="str">
        <x:v>Non</x:v>
      </x:c>
      <x:c r="K3222" t="str">
        <x:v>Pièces décrites, murs, portes, niveaux et mobilier inspectables à l’échelle. Volumes réservés, raccord au seed, butin, rencontres et services de campagne restent à terminer.</x:v>
      </x:c>
    </x:row>
    <x:row r="3223">
      <x:c r="A3223" t="str">
        <x:v>EXT-MONDE-T065-V18</x:v>
      </x:c>
      <x:c r="B3223" t="str">
        <x:v>EXT-MONDE-T065</x:v>
      </x:c>
      <x:c r="C3223" t="str">
        <x:v>Stades</x:v>
      </x:c>
      <x:c r="D3223" t="str">
        <x:v>Stade municipal</x:v>
      </x:c>
      <x:c r="E3223" t="n">
        <x:v>18</x:v>
      </x:c>
      <x:c r="F3223" t="str">
        <x:v>Inspection physique</x:v>
      </x:c>
      <x:c r="G3223" t="str">
        <x:v>1 niveaux ; 40 pièces ; 310 segments de mur ; 0 transitions. Inspection physique ; architecture complète encore ouverte.</x:v>
      </x:c>
      <x:c r="H3223" t="str">
        <x:v>L 198 ; l 237 ; hauteur 9 m ; emprise auteur, non relevé complet d’un lieu réel</x:v>
      </x:c>
      <x:c r="I3223" t="str">
        <x:v>À équilibrer</x:v>
      </x:c>
      <x:c r="J3223" t="str">
        <x:v>Non</x:v>
      </x:c>
      <x:c r="K3223" t="str">
        <x:v>Pièces décrites, murs, portes, niveaux et mobilier inspectables à l’échelle. Volumes réservés, raccord au seed, butin, rencontres et services de campagne restent à terminer.</x:v>
      </x:c>
    </x:row>
    <x:row r="3224">
      <x:c r="A3224" t="str">
        <x:v>EXT-MONDE-T065-V19</x:v>
      </x:c>
      <x:c r="B3224" t="str">
        <x:v>EXT-MONDE-T065</x:v>
      </x:c>
      <x:c r="C3224" t="str">
        <x:v>Stades</x:v>
      </x:c>
      <x:c r="D3224" t="str">
        <x:v>Stade municipal</x:v>
      </x:c>
      <x:c r="E3224" t="n">
        <x:v>19</x:v>
      </x:c>
      <x:c r="F3224" t="str">
        <x:v>Inspection physique</x:v>
      </x:c>
      <x:c r="G3224" t="str">
        <x:v>1 niveaux ; 40 pièces ; 310 segments de mur ; 0 transitions. Inspection physique ; architecture complète encore ouverte.</x:v>
      </x:c>
      <x:c r="H3224" t="str">
        <x:v>L 202 ; l 241 ; hauteur 9 m ; emprise auteur, non relevé complet d’un lieu réel</x:v>
      </x:c>
      <x:c r="I3224" t="str">
        <x:v>À équilibrer</x:v>
      </x:c>
      <x:c r="J3224" t="str">
        <x:v>Non</x:v>
      </x:c>
      <x:c r="K3224" t="str">
        <x:v>Pièces décrites, murs, portes, niveaux et mobilier inspectables à l’échelle. Volumes réservés, raccord au seed, butin, rencontres et services de campagne restent à terminer.</x:v>
      </x:c>
    </x:row>
    <x:row r="3225">
      <x:c r="A3225" t="str">
        <x:v>EXT-MONDE-T065-V20</x:v>
      </x:c>
      <x:c r="B3225" t="str">
        <x:v>EXT-MONDE-T065</x:v>
      </x:c>
      <x:c r="C3225" t="str">
        <x:v>Stades</x:v>
      </x:c>
      <x:c r="D3225" t="str">
        <x:v>Stade municipal</x:v>
      </x:c>
      <x:c r="E3225" t="n">
        <x:v>20</x:v>
      </x:c>
      <x:c r="F3225" t="str">
        <x:v>Inspection physique</x:v>
      </x:c>
      <x:c r="G3225" t="str">
        <x:v>1 niveaux ; 40 pièces ; 310 segments de mur ; 0 transitions. Inspection physique ; architecture complète encore ouverte.</x:v>
      </x:c>
      <x:c r="H3225" t="str">
        <x:v>L 206 ; l 245 ; hauteur 9 m ; emprise auteur, non relevé complet d’un lieu réel</x:v>
      </x:c>
      <x:c r="I3225" t="str">
        <x:v>À équilibrer</x:v>
      </x:c>
      <x:c r="J3225" t="str">
        <x:v>Non</x:v>
      </x:c>
      <x:c r="K3225" t="str">
        <x:v>Pièces décrites, murs, portes, niveaux et mobilier inspectables à l’échelle. Volumes réservés, raccord au seed, butin, rencontres et services de campagne restent à terminer.</x:v>
      </x:c>
    </x:row>
    <x:row r="3226">
      <x:c r="A3226" t="str">
        <x:v>EXT-MONDE-T065-V21</x:v>
      </x:c>
      <x:c r="B3226" t="str">
        <x:v>EXT-MONDE-T065</x:v>
      </x:c>
      <x:c r="C3226" t="str">
        <x:v>Stades</x:v>
      </x:c>
      <x:c r="D3226" t="str">
        <x:v>Stade municipal</x:v>
      </x:c>
      <x:c r="E3226" t="n">
        <x:v>21</x:v>
      </x:c>
      <x:c r="F3226" t="str">
        <x:v>Inspection physique</x:v>
      </x:c>
      <x:c r="G3226" t="str">
        <x:v>1 niveaux ; 40 pièces ; 310 segments de mur ; 0 transitions. Inspection physique ; architecture complète encore ouverte.</x:v>
      </x:c>
      <x:c r="H3226" t="str">
        <x:v>L 178 ; l 217 ; hauteur 11 m ; emprise auteur, non relevé complet d’un lieu réel</x:v>
      </x:c>
      <x:c r="I3226" t="str">
        <x:v>À équilibrer</x:v>
      </x:c>
      <x:c r="J3226" t="str">
        <x:v>Non</x:v>
      </x:c>
      <x:c r="K3226" t="str">
        <x:v>Pièces décrites, murs, portes, niveaux et mobilier inspectables à l’échelle. Volumes réservés, raccord au seed, butin, rencontres et services de campagne restent à terminer.</x:v>
      </x:c>
    </x:row>
    <x:row r="3227">
      <x:c r="A3227" t="str">
        <x:v>EXT-MONDE-T065-V22</x:v>
      </x:c>
      <x:c r="B3227" t="str">
        <x:v>EXT-MONDE-T065</x:v>
      </x:c>
      <x:c r="C3227" t="str">
        <x:v>Stades</x:v>
      </x:c>
      <x:c r="D3227" t="str">
        <x:v>Stade municipal</x:v>
      </x:c>
      <x:c r="E3227" t="n">
        <x:v>22</x:v>
      </x:c>
      <x:c r="F3227" t="str">
        <x:v>Inspection physique</x:v>
      </x:c>
      <x:c r="G3227" t="str">
        <x:v>1 niveaux ; 40 pièces ; 310 segments de mur ; 0 transitions. Inspection physique ; architecture complète encore ouverte.</x:v>
      </x:c>
      <x:c r="H3227" t="str">
        <x:v>L 182 ; l 221 ; hauteur 11 m ; emprise auteur, non relevé complet d’un lieu réel</x:v>
      </x:c>
      <x:c r="I3227" t="str">
        <x:v>À équilibrer</x:v>
      </x:c>
      <x:c r="J3227" t="str">
        <x:v>Non</x:v>
      </x:c>
      <x:c r="K3227" t="str">
        <x:v>Pièces décrites, murs, portes, niveaux et mobilier inspectables à l’échelle. Volumes réservés, raccord au seed, butin, rencontres et services de campagne restent à terminer.</x:v>
      </x:c>
    </x:row>
    <x:row r="3228">
      <x:c r="A3228" t="str">
        <x:v>EXT-MONDE-T065-V23</x:v>
      </x:c>
      <x:c r="B3228" t="str">
        <x:v>EXT-MONDE-T065</x:v>
      </x:c>
      <x:c r="C3228" t="str">
        <x:v>Stades</x:v>
      </x:c>
      <x:c r="D3228" t="str">
        <x:v>Stade municipal</x:v>
      </x:c>
      <x:c r="E3228" t="n">
        <x:v>23</x:v>
      </x:c>
      <x:c r="F3228" t="str">
        <x:v>Inspection physique</x:v>
      </x:c>
      <x:c r="G3228" t="str">
        <x:v>1 niveaux ; 40 pièces ; 310 segments de mur ; 0 transitions. Inspection physique ; architecture complète encore ouverte.</x:v>
      </x:c>
      <x:c r="H3228" t="str">
        <x:v>L 186 ; l 225 ; hauteur 11 m ; emprise auteur, non relevé complet d’un lieu réel</x:v>
      </x:c>
      <x:c r="I3228" t="str">
        <x:v>À équilibrer</x:v>
      </x:c>
      <x:c r="J3228" t="str">
        <x:v>Non</x:v>
      </x:c>
      <x:c r="K3228" t="str">
        <x:v>Pièces décrites, murs, portes, niveaux et mobilier inspectables à l’échelle. Volumes réservés, raccord au seed, butin, rencontres et services de campagne restent à terminer.</x:v>
      </x:c>
    </x:row>
    <x:row r="3229">
      <x:c r="A3229" t="str">
        <x:v>EXT-MONDE-T065-V24</x:v>
      </x:c>
      <x:c r="B3229" t="str">
        <x:v>EXT-MONDE-T065</x:v>
      </x:c>
      <x:c r="C3229" t="str">
        <x:v>Stades</x:v>
      </x:c>
      <x:c r="D3229" t="str">
        <x:v>Stade municipal</x:v>
      </x:c>
      <x:c r="E3229" t="n">
        <x:v>24</x:v>
      </x:c>
      <x:c r="F3229" t="str">
        <x:v>Inspection physique</x:v>
      </x:c>
      <x:c r="G3229" t="str">
        <x:v>1 niveaux ; 40 pièces ; 310 segments de mur ; 0 transitions. Inspection physique ; architecture complète encore ouverte.</x:v>
      </x:c>
      <x:c r="H3229" t="str">
        <x:v>L 190 ; l 229 ; hauteur 11 m ; emprise auteur, non relevé complet d’un lieu réel</x:v>
      </x:c>
      <x:c r="I3229" t="str">
        <x:v>À équilibrer</x:v>
      </x:c>
      <x:c r="J3229" t="str">
        <x:v>Non</x:v>
      </x:c>
      <x:c r="K3229" t="str">
        <x:v>Pièces décrites, murs, portes, niveaux et mobilier inspectables à l’échelle. Volumes réservés, raccord au seed, butin, rencontres et services de campagne restent à terminer.</x:v>
      </x:c>
    </x:row>
    <x:row r="3230">
      <x:c r="A3230" t="str">
        <x:v>EXT-MONDE-T065-V25</x:v>
      </x:c>
      <x:c r="B3230" t="str">
        <x:v>EXT-MONDE-T065</x:v>
      </x:c>
      <x:c r="C3230" t="str">
        <x:v>Stades</x:v>
      </x:c>
      <x:c r="D3230" t="str">
        <x:v>Stade municipal</x:v>
      </x:c>
      <x:c r="E3230" t="n">
        <x:v>25</x:v>
      </x:c>
      <x:c r="F3230" t="str">
        <x:v>Inspection physique</x:v>
      </x:c>
      <x:c r="G3230" t="str">
        <x:v>1 niveaux ; 40 pièces ; 310 segments de mur ; 0 transitions. Inspection physique ; architecture complète encore ouverte.</x:v>
      </x:c>
      <x:c r="H3230" t="str">
        <x:v>L 194 ; l 233 ; hauteur 11 m ; emprise auteur, non relevé complet d’un lieu réel</x:v>
      </x:c>
      <x:c r="I3230" t="str">
        <x:v>À équilibrer</x:v>
      </x:c>
      <x:c r="J3230" t="str">
        <x:v>Non</x:v>
      </x:c>
      <x:c r="K3230" t="str">
        <x:v>Pièces décrites, murs, portes, niveaux et mobilier inspectables à l’échelle. Volumes réservés, raccord au seed, butin, rencontres et services de campagne restent à terminer.</x:v>
      </x:c>
    </x:row>
    <x:row r="3231">
      <x:c r="A3231" t="str">
        <x:v>EXT-MONDE-T065-V26</x:v>
      </x:c>
      <x:c r="B3231" t="str">
        <x:v>EXT-MONDE-T065</x:v>
      </x:c>
      <x:c r="C3231" t="str">
        <x:v>Stades</x:v>
      </x:c>
      <x:c r="D3231" t="str">
        <x:v>Stade municipal</x:v>
      </x:c>
      <x:c r="E3231" t="n">
        <x:v>26</x:v>
      </x:c>
      <x:c r="F3231" t="str">
        <x:v>Inspection physique</x:v>
      </x:c>
      <x:c r="G3231" t="str">
        <x:v>1 niveaux ; 40 pièces ; 310 segments de mur ; 0 transitions. Inspection physique ; architecture complète encore ouverte.</x:v>
      </x:c>
      <x:c r="H3231" t="str">
        <x:v>L 198 ; l 237 ; hauteur 11 m ; emprise auteur, non relevé complet d’un lieu réel</x:v>
      </x:c>
      <x:c r="I3231" t="str">
        <x:v>À équilibrer</x:v>
      </x:c>
      <x:c r="J3231" t="str">
        <x:v>Non</x:v>
      </x:c>
      <x:c r="K3231" t="str">
        <x:v>Pièces décrites, murs, portes, niveaux et mobilier inspectables à l’échelle. Volumes réservés, raccord au seed, butin, rencontres et services de campagne restent à terminer.</x:v>
      </x:c>
    </x:row>
    <x:row r="3232">
      <x:c r="A3232" t="str">
        <x:v>EXT-MONDE-T065-V27</x:v>
      </x:c>
      <x:c r="B3232" t="str">
        <x:v>EXT-MONDE-T065</x:v>
      </x:c>
      <x:c r="C3232" t="str">
        <x:v>Stades</x:v>
      </x:c>
      <x:c r="D3232" t="str">
        <x:v>Stade municipal</x:v>
      </x:c>
      <x:c r="E3232" t="n">
        <x:v>27</x:v>
      </x:c>
      <x:c r="F3232" t="str">
        <x:v>Inspection physique</x:v>
      </x:c>
      <x:c r="G3232" t="str">
        <x:v>1 niveaux ; 40 pièces ; 310 segments de mur ; 0 transitions. Inspection physique ; architecture complète encore ouverte.</x:v>
      </x:c>
      <x:c r="H3232" t="str">
        <x:v>L 202 ; l 241 ; hauteur 11 m ; emprise auteur, non relevé complet d’un lieu réel</x:v>
      </x:c>
      <x:c r="I3232" t="str">
        <x:v>À équilibrer</x:v>
      </x:c>
      <x:c r="J3232" t="str">
        <x:v>Non</x:v>
      </x:c>
      <x:c r="K3232" t="str">
        <x:v>Pièces décrites, murs, portes, niveaux et mobilier inspectables à l’échelle. Volumes réservés, raccord au seed, butin, rencontres et services de campagne restent à terminer.</x:v>
      </x:c>
    </x:row>
    <x:row r="3233">
      <x:c r="A3233" t="str">
        <x:v>EXT-MONDE-T065-V28</x:v>
      </x:c>
      <x:c r="B3233" t="str">
        <x:v>EXT-MONDE-T065</x:v>
      </x:c>
      <x:c r="C3233" t="str">
        <x:v>Stades</x:v>
      </x:c>
      <x:c r="D3233" t="str">
        <x:v>Stade municipal</x:v>
      </x:c>
      <x:c r="E3233" t="n">
        <x:v>28</x:v>
      </x:c>
      <x:c r="F3233" t="str">
        <x:v>Inspection physique</x:v>
      </x:c>
      <x:c r="G3233" t="str">
        <x:v>1 niveaux ; 40 pièces ; 310 segments de mur ; 0 transitions. Inspection physique ; architecture complète encore ouverte.</x:v>
      </x:c>
      <x:c r="H3233" t="str">
        <x:v>L 206 ; l 245 ; hauteur 11 m ; emprise auteur, non relevé complet d’un lieu réel</x:v>
      </x:c>
      <x:c r="I3233" t="str">
        <x:v>À équilibrer</x:v>
      </x:c>
      <x:c r="J3233" t="str">
        <x:v>Non</x:v>
      </x:c>
      <x:c r="K3233" t="str">
        <x:v>Pièces décrites, murs, portes, niveaux et mobilier inspectables à l’échelle. Volumes réservés, raccord au seed, butin, rencontres et services de campagne restent à terminer.</x:v>
      </x:c>
    </x:row>
    <x:row r="3234">
      <x:c r="A3234" t="str">
        <x:v>EXT-MONDE-T065-V29</x:v>
      </x:c>
      <x:c r="B3234" t="str">
        <x:v>EXT-MONDE-T065</x:v>
      </x:c>
      <x:c r="C3234" t="str">
        <x:v>Stades</x:v>
      </x:c>
      <x:c r="D3234" t="str">
        <x:v>Stade municipal</x:v>
      </x:c>
      <x:c r="E3234" t="n">
        <x:v>29</x:v>
      </x:c>
      <x:c r="F3234" t="str">
        <x:v>Inspection physique</x:v>
      </x:c>
      <x:c r="G3234" t="str">
        <x:v>1 niveaux ; 40 pièces ; 310 segments de mur ; 0 transitions. Inspection physique ; architecture complète encore ouverte.</x:v>
      </x:c>
      <x:c r="H3234" t="str">
        <x:v>L 210 ; l 249 ; hauteur 11 m ; emprise auteur, non relevé complet d’un lieu réel</x:v>
      </x:c>
      <x:c r="I3234" t="str">
        <x:v>À équilibrer</x:v>
      </x:c>
      <x:c r="J3234" t="str">
        <x:v>Non</x:v>
      </x:c>
      <x:c r="K3234" t="str">
        <x:v>Pièces décrites, murs, portes, niveaux et mobilier inspectables à l’échelle. Volumes réservés, raccord au seed, butin, rencontres et services de campagne restent à terminer.</x:v>
      </x:c>
    </x:row>
    <x:row r="3235">
      <x:c r="A3235" t="str">
        <x:v>EXT-MONDE-T065-V30</x:v>
      </x:c>
      <x:c r="B3235" t="str">
        <x:v>EXT-MONDE-T065</x:v>
      </x:c>
      <x:c r="C3235" t="str">
        <x:v>Stades</x:v>
      </x:c>
      <x:c r="D3235" t="str">
        <x:v>Stade municipal</x:v>
      </x:c>
      <x:c r="E3235" t="n">
        <x:v>30</x:v>
      </x:c>
      <x:c r="F3235" t="str">
        <x:v>Inspection physique</x:v>
      </x:c>
      <x:c r="G3235" t="str">
        <x:v>1 niveaux ; 40 pièces ; 310 segments de mur ; 0 transitions. Inspection physique ; architecture complète encore ouverte.</x:v>
      </x:c>
      <x:c r="H3235" t="str">
        <x:v>L 214 ; l 253 ; hauteur 11 m ; emprise auteur, non relevé complet d’un lieu réel</x:v>
      </x:c>
      <x:c r="I3235" t="str">
        <x:v>À équilibrer</x:v>
      </x:c>
      <x:c r="J3235" t="str">
        <x:v>Non</x:v>
      </x:c>
      <x:c r="K3235" t="str">
        <x:v>Pièces décrites, murs, portes, niveaux et mobilier inspectables à l’échelle. Volumes réservés, raccord au seed, butin, rencontres et services de campagne restent à terminer.</x:v>
      </x:c>
    </x:row>
    <x:row r="3236">
      <x:c r="A3236" t="str">
        <x:v>EXT-MONDE-T065-V31</x:v>
      </x:c>
      <x:c r="B3236" t="str">
        <x:v>EXT-MONDE-T065</x:v>
      </x:c>
      <x:c r="C3236" t="str">
        <x:v>Stades</x:v>
      </x:c>
      <x:c r="D3236" t="str">
        <x:v>Stade municipal</x:v>
      </x:c>
      <x:c r="E3236" t="n">
        <x:v>31</x:v>
      </x:c>
      <x:c r="F3236" t="str">
        <x:v>Inspection physique</x:v>
      </x:c>
      <x:c r="G3236" t="str">
        <x:v>1 niveaux ; 40 pièces ; 310 segments de mur ; 0 transitions. Inspection physique ; architecture complète encore ouverte.</x:v>
      </x:c>
      <x:c r="H3236" t="str">
        <x:v>L 186 ; l 225 ; hauteur 13 m ; emprise auteur, non relevé complet d’un lieu réel</x:v>
      </x:c>
      <x:c r="I3236" t="str">
        <x:v>À équilibrer</x:v>
      </x:c>
      <x:c r="J3236" t="str">
        <x:v>Non</x:v>
      </x:c>
      <x:c r="K3236" t="str">
        <x:v>Pièces décrites, murs, portes, niveaux et mobilier inspectables à l’échelle. Volumes réservés, raccord au seed, butin, rencontres et services de campagne restent à terminer.</x:v>
      </x:c>
    </x:row>
    <x:row r="3237">
      <x:c r="A3237" t="str">
        <x:v>EXT-MONDE-T065-V32</x:v>
      </x:c>
      <x:c r="B3237" t="str">
        <x:v>EXT-MONDE-T065</x:v>
      </x:c>
      <x:c r="C3237" t="str">
        <x:v>Stades</x:v>
      </x:c>
      <x:c r="D3237" t="str">
        <x:v>Stade municipal</x:v>
      </x:c>
      <x:c r="E3237" t="n">
        <x:v>32</x:v>
      </x:c>
      <x:c r="F3237" t="str">
        <x:v>Inspection physique</x:v>
      </x:c>
      <x:c r="G3237" t="str">
        <x:v>1 niveaux ; 40 pièces ; 310 segments de mur ; 0 transitions. Inspection physique ; architecture complète encore ouverte.</x:v>
      </x:c>
      <x:c r="H3237" t="str">
        <x:v>L 190 ; l 229 ; hauteur 13 m ; emprise auteur, non relevé complet d’un lieu réel</x:v>
      </x:c>
      <x:c r="I3237" t="str">
        <x:v>À équilibrer</x:v>
      </x:c>
      <x:c r="J3237" t="str">
        <x:v>Non</x:v>
      </x:c>
      <x:c r="K3237" t="str">
        <x:v>Pièces décrites, murs, portes, niveaux et mobilier inspectables à l’échelle. Volumes réservés, raccord au seed, butin, rencontres et services de campagne restent à terminer.</x:v>
      </x:c>
    </x:row>
    <x:row r="3238">
      <x:c r="A3238" t="str">
        <x:v>EXT-MONDE-T065-V33</x:v>
      </x:c>
      <x:c r="B3238" t="str">
        <x:v>EXT-MONDE-T065</x:v>
      </x:c>
      <x:c r="C3238" t="str">
        <x:v>Stades</x:v>
      </x:c>
      <x:c r="D3238" t="str">
        <x:v>Stade municipal</x:v>
      </x:c>
      <x:c r="E3238" t="n">
        <x:v>33</x:v>
      </x:c>
      <x:c r="F3238" t="str">
        <x:v>Inspection physique</x:v>
      </x:c>
      <x:c r="G3238" t="str">
        <x:v>1 niveaux ; 40 pièces ; 310 segments de mur ; 0 transitions. Inspection physique ; architecture complète encore ouverte.</x:v>
      </x:c>
      <x:c r="H3238" t="str">
        <x:v>L 194 ; l 233 ; hauteur 13 m ; emprise auteur, non relevé complet d’un lieu réel</x:v>
      </x:c>
      <x:c r="I3238" t="str">
        <x:v>À équilibrer</x:v>
      </x:c>
      <x:c r="J3238" t="str">
        <x:v>Non</x:v>
      </x:c>
      <x:c r="K3238" t="str">
        <x:v>Pièces décrites, murs, portes, niveaux et mobilier inspectables à l’échelle. Volumes réservés, raccord au seed, butin, rencontres et services de campagne restent à terminer.</x:v>
      </x:c>
    </x:row>
    <x:row r="3239">
      <x:c r="A3239" t="str">
        <x:v>EXT-MONDE-T065-V34</x:v>
      </x:c>
      <x:c r="B3239" t="str">
        <x:v>EXT-MONDE-T065</x:v>
      </x:c>
      <x:c r="C3239" t="str">
        <x:v>Stades</x:v>
      </x:c>
      <x:c r="D3239" t="str">
        <x:v>Stade municipal</x:v>
      </x:c>
      <x:c r="E3239" t="n">
        <x:v>34</x:v>
      </x:c>
      <x:c r="F3239" t="str">
        <x:v>Inspection physique</x:v>
      </x:c>
      <x:c r="G3239" t="str">
        <x:v>1 niveaux ; 40 pièces ; 310 segments de mur ; 0 transitions. Inspection physique ; architecture complète encore ouverte.</x:v>
      </x:c>
      <x:c r="H3239" t="str">
        <x:v>L 198 ; l 237 ; hauteur 13 m ; emprise auteur, non relevé complet d’un lieu réel</x:v>
      </x:c>
      <x:c r="I3239" t="str">
        <x:v>À équilibrer</x:v>
      </x:c>
      <x:c r="J3239" t="str">
        <x:v>Non</x:v>
      </x:c>
      <x:c r="K3239" t="str">
        <x:v>Pièces décrites, murs, portes, niveaux et mobilier inspectables à l’échelle. Volumes réservés, raccord au seed, butin, rencontres et services de campagne restent à terminer.</x:v>
      </x:c>
    </x:row>
    <x:row r="3240">
      <x:c r="A3240" t="str">
        <x:v>EXT-MONDE-T065-V35</x:v>
      </x:c>
      <x:c r="B3240" t="str">
        <x:v>EXT-MONDE-T065</x:v>
      </x:c>
      <x:c r="C3240" t="str">
        <x:v>Stades</x:v>
      </x:c>
      <x:c r="D3240" t="str">
        <x:v>Stade municipal</x:v>
      </x:c>
      <x:c r="E3240" t="n">
        <x:v>35</x:v>
      </x:c>
      <x:c r="F3240" t="str">
        <x:v>Inspection physique</x:v>
      </x:c>
      <x:c r="G3240" t="str">
        <x:v>1 niveaux ; 40 pièces ; 310 segments de mur ; 0 transitions. Inspection physique ; architecture complète encore ouverte.</x:v>
      </x:c>
      <x:c r="H3240" t="str">
        <x:v>L 202 ; l 241 ; hauteur 13 m ; emprise auteur, non relevé complet d’un lieu réel</x:v>
      </x:c>
      <x:c r="I3240" t="str">
        <x:v>À équilibrer</x:v>
      </x:c>
      <x:c r="J3240" t="str">
        <x:v>Non</x:v>
      </x:c>
      <x:c r="K3240" t="str">
        <x:v>Pièces décrites, murs, portes, niveaux et mobilier inspectables à l’échelle. Volumes réservés, raccord au seed, butin, rencontres et services de campagne restent à terminer.</x:v>
      </x:c>
    </x:row>
    <x:row r="3241">
      <x:c r="A3241" t="str">
        <x:v>EXT-MONDE-T065-V36</x:v>
      </x:c>
      <x:c r="B3241" t="str">
        <x:v>EXT-MONDE-T065</x:v>
      </x:c>
      <x:c r="C3241" t="str">
        <x:v>Stades</x:v>
      </x:c>
      <x:c r="D3241" t="str">
        <x:v>Stade municipal</x:v>
      </x:c>
      <x:c r="E3241" t="n">
        <x:v>36</x:v>
      </x:c>
      <x:c r="F3241" t="str">
        <x:v>Inspection physique</x:v>
      </x:c>
      <x:c r="G3241" t="str">
        <x:v>1 niveaux ; 40 pièces ; 310 segments de mur ; 0 transitions. Inspection physique ; architecture complète encore ouverte.</x:v>
      </x:c>
      <x:c r="H3241" t="str">
        <x:v>L 206 ; l 245 ; hauteur 13 m ; emprise auteur, non relevé complet d’un lieu réel</x:v>
      </x:c>
      <x:c r="I3241" t="str">
        <x:v>À équilibrer</x:v>
      </x:c>
      <x:c r="J3241" t="str">
        <x:v>Non</x:v>
      </x:c>
      <x:c r="K3241" t="str">
        <x:v>Pièces décrites, murs, portes, niveaux et mobilier inspectables à l’échelle. Volumes réservés, raccord au seed, butin, rencontres et services de campagne restent à terminer.</x:v>
      </x:c>
    </x:row>
    <x:row r="3242">
      <x:c r="A3242" t="str">
        <x:v>EXT-MONDE-T065-V37</x:v>
      </x:c>
      <x:c r="B3242" t="str">
        <x:v>EXT-MONDE-T065</x:v>
      </x:c>
      <x:c r="C3242" t="str">
        <x:v>Stades</x:v>
      </x:c>
      <x:c r="D3242" t="str">
        <x:v>Stade municipal</x:v>
      </x:c>
      <x:c r="E3242" t="n">
        <x:v>37</x:v>
      </x:c>
      <x:c r="F3242" t="str">
        <x:v>Inspection physique</x:v>
      </x:c>
      <x:c r="G3242" t="str">
        <x:v>1 niveaux ; 40 pièces ; 310 segments de mur ; 0 transitions. Inspection physique ; architecture complète encore ouverte.</x:v>
      </x:c>
      <x:c r="H3242" t="str">
        <x:v>L 210 ; l 249 ; hauteur 13 m ; emprise auteur, non relevé complet d’un lieu réel</x:v>
      </x:c>
      <x:c r="I3242" t="str">
        <x:v>À équilibrer</x:v>
      </x:c>
      <x:c r="J3242" t="str">
        <x:v>Non</x:v>
      </x:c>
      <x:c r="K3242" t="str">
        <x:v>Pièces décrites, murs, portes, niveaux et mobilier inspectables à l’échelle. Volumes réservés, raccord au seed, butin, rencontres et services de campagne restent à terminer.</x:v>
      </x:c>
    </x:row>
    <x:row r="3243">
      <x:c r="A3243" t="str">
        <x:v>EXT-MONDE-T065-V38</x:v>
      </x:c>
      <x:c r="B3243" t="str">
        <x:v>EXT-MONDE-T065</x:v>
      </x:c>
      <x:c r="C3243" t="str">
        <x:v>Stades</x:v>
      </x:c>
      <x:c r="D3243" t="str">
        <x:v>Stade municipal</x:v>
      </x:c>
      <x:c r="E3243" t="n">
        <x:v>38</x:v>
      </x:c>
      <x:c r="F3243" t="str">
        <x:v>Inspection physique</x:v>
      </x:c>
      <x:c r="G3243" t="str">
        <x:v>1 niveaux ; 40 pièces ; 310 segments de mur ; 0 transitions. Inspection physique ; architecture complète encore ouverte.</x:v>
      </x:c>
      <x:c r="H3243" t="str">
        <x:v>L 214 ; l 253 ; hauteur 13 m ; emprise auteur, non relevé complet d’un lieu réel</x:v>
      </x:c>
      <x:c r="I3243" t="str">
        <x:v>À équilibrer</x:v>
      </x:c>
      <x:c r="J3243" t="str">
        <x:v>Non</x:v>
      </x:c>
      <x:c r="K3243" t="str">
        <x:v>Pièces décrites, murs, portes, niveaux et mobilier inspectables à l’échelle. Volumes réservés, raccord au seed, butin, rencontres et services de campagne restent à terminer.</x:v>
      </x:c>
    </x:row>
    <x:row r="3244">
      <x:c r="A3244" t="str">
        <x:v>EXT-MONDE-T065-V39</x:v>
      </x:c>
      <x:c r="B3244" t="str">
        <x:v>EXT-MONDE-T065</x:v>
      </x:c>
      <x:c r="C3244" t="str">
        <x:v>Stades</x:v>
      </x:c>
      <x:c r="D3244" t="str">
        <x:v>Stade municipal</x:v>
      </x:c>
      <x:c r="E3244" t="n">
        <x:v>39</x:v>
      </x:c>
      <x:c r="F3244" t="str">
        <x:v>Inspection physique</x:v>
      </x:c>
      <x:c r="G3244" t="str">
        <x:v>1 niveaux ; 40 pièces ; 310 segments de mur ; 0 transitions. Inspection physique ; architecture complète encore ouverte.</x:v>
      </x:c>
      <x:c r="H3244" t="str">
        <x:v>L 218 ; l 257 ; hauteur 13 m ; emprise auteur, non relevé complet d’un lieu réel</x:v>
      </x:c>
      <x:c r="I3244" t="str">
        <x:v>À équilibrer</x:v>
      </x:c>
      <x:c r="J3244" t="str">
        <x:v>Non</x:v>
      </x:c>
      <x:c r="K3244" t="str">
        <x:v>Pièces décrites, murs, portes, niveaux et mobilier inspectables à l’échelle. Volumes réservés, raccord au seed, butin, rencontres et services de campagne restent à terminer.</x:v>
      </x:c>
    </x:row>
    <x:row r="3245">
      <x:c r="A3245" t="str">
        <x:v>EXT-MONDE-T065-V40</x:v>
      </x:c>
      <x:c r="B3245" t="str">
        <x:v>EXT-MONDE-T065</x:v>
      </x:c>
      <x:c r="C3245" t="str">
        <x:v>Stades</x:v>
      </x:c>
      <x:c r="D3245" t="str">
        <x:v>Stade municipal</x:v>
      </x:c>
      <x:c r="E3245" t="n">
        <x:v>40</x:v>
      </x:c>
      <x:c r="F3245" t="str">
        <x:v>Inspection physique</x:v>
      </x:c>
      <x:c r="G3245" t="str">
        <x:v>1 niveaux ; 40 pièces ; 310 segments de mur ; 0 transitions. Inspection physique ; architecture complète encore ouverte.</x:v>
      </x:c>
      <x:c r="H3245" t="str">
        <x:v>L 222 ; l 261 ; hauteur 13 m ; emprise auteur, non relevé complet d’un lieu réel</x:v>
      </x:c>
      <x:c r="I3245" t="str">
        <x:v>À équilibrer</x:v>
      </x:c>
      <x:c r="J3245" t="str">
        <x:v>Non</x:v>
      </x:c>
      <x:c r="K3245" t="str">
        <x:v>Pièces décrites, murs, portes, niveaux et mobilier inspectables à l’échelle. Volumes réservés, raccord au seed, butin, rencontres et services de campagne restent à terminer.</x:v>
      </x:c>
    </x:row>
    <x:row r="3246">
      <x:c r="A3246" t="str">
        <x:v>EXT-MONDE-T065-V41</x:v>
      </x:c>
      <x:c r="B3246" t="str">
        <x:v>EXT-MONDE-T065</x:v>
      </x:c>
      <x:c r="C3246" t="str">
        <x:v>Stades</x:v>
      </x:c>
      <x:c r="D3246" t="str">
        <x:v>Stade municipal</x:v>
      </x:c>
      <x:c r="E3246" t="n">
        <x:v>41</x:v>
      </x:c>
      <x:c r="F3246" t="str">
        <x:v>Inspection physique</x:v>
      </x:c>
      <x:c r="G3246" t="str">
        <x:v>1 niveaux ; 40 pièces ; 310 segments de mur ; 0 transitions. Inspection physique ; architecture complète encore ouverte.</x:v>
      </x:c>
      <x:c r="H3246" t="str">
        <x:v>L 194 ; l 233 ; hauteur 15 m ; emprise auteur, non relevé complet d’un lieu réel</x:v>
      </x:c>
      <x:c r="I3246" t="str">
        <x:v>À équilibrer</x:v>
      </x:c>
      <x:c r="J3246" t="str">
        <x:v>Non</x:v>
      </x:c>
      <x:c r="K3246" t="str">
        <x:v>Pièces décrites, murs, portes, niveaux et mobilier inspectables à l’échelle. Volumes réservés, raccord au seed, butin, rencontres et services de campagne restent à terminer.</x:v>
      </x:c>
    </x:row>
    <x:row r="3247">
      <x:c r="A3247" t="str">
        <x:v>EXT-MONDE-T065-V42</x:v>
      </x:c>
      <x:c r="B3247" t="str">
        <x:v>EXT-MONDE-T065</x:v>
      </x:c>
      <x:c r="C3247" t="str">
        <x:v>Stades</x:v>
      </x:c>
      <x:c r="D3247" t="str">
        <x:v>Stade municipal</x:v>
      </x:c>
      <x:c r="E3247" t="n">
        <x:v>42</x:v>
      </x:c>
      <x:c r="F3247" t="str">
        <x:v>Inspection physique</x:v>
      </x:c>
      <x:c r="G3247" t="str">
        <x:v>1 niveaux ; 40 pièces ; 310 segments de mur ; 0 transitions. Inspection physique ; architecture complète encore ouverte.</x:v>
      </x:c>
      <x:c r="H3247" t="str">
        <x:v>L 198 ; l 237 ; hauteur 15 m ; emprise auteur, non relevé complet d’un lieu réel</x:v>
      </x:c>
      <x:c r="I3247" t="str">
        <x:v>À équilibrer</x:v>
      </x:c>
      <x:c r="J3247" t="str">
        <x:v>Non</x:v>
      </x:c>
      <x:c r="K3247" t="str">
        <x:v>Pièces décrites, murs, portes, niveaux et mobilier inspectables à l’échelle. Volumes réservés, raccord au seed, butin, rencontres et services de campagne restent à terminer.</x:v>
      </x:c>
    </x:row>
    <x:row r="3248">
      <x:c r="A3248" t="str">
        <x:v>EXT-MONDE-T065-V43</x:v>
      </x:c>
      <x:c r="B3248" t="str">
        <x:v>EXT-MONDE-T065</x:v>
      </x:c>
      <x:c r="C3248" t="str">
        <x:v>Stades</x:v>
      </x:c>
      <x:c r="D3248" t="str">
        <x:v>Stade municipal</x:v>
      </x:c>
      <x:c r="E3248" t="n">
        <x:v>43</x:v>
      </x:c>
      <x:c r="F3248" t="str">
        <x:v>Inspection physique</x:v>
      </x:c>
      <x:c r="G3248" t="str">
        <x:v>1 niveaux ; 40 pièces ; 310 segments de mur ; 0 transitions. Inspection physique ; architecture complète encore ouverte.</x:v>
      </x:c>
      <x:c r="H3248" t="str">
        <x:v>L 202 ; l 241 ; hauteur 15 m ; emprise auteur, non relevé complet d’un lieu réel</x:v>
      </x:c>
      <x:c r="I3248" t="str">
        <x:v>À équilibrer</x:v>
      </x:c>
      <x:c r="J3248" t="str">
        <x:v>Non</x:v>
      </x:c>
      <x:c r="K3248" t="str">
        <x:v>Pièces décrites, murs, portes, niveaux et mobilier inspectables à l’échelle. Volumes réservés, raccord au seed, butin, rencontres et services de campagne restent à terminer.</x:v>
      </x:c>
    </x:row>
    <x:row r="3249">
      <x:c r="A3249" t="str">
        <x:v>EXT-MONDE-T065-V44</x:v>
      </x:c>
      <x:c r="B3249" t="str">
        <x:v>EXT-MONDE-T065</x:v>
      </x:c>
      <x:c r="C3249" t="str">
        <x:v>Stades</x:v>
      </x:c>
      <x:c r="D3249" t="str">
        <x:v>Stade municipal</x:v>
      </x:c>
      <x:c r="E3249" t="n">
        <x:v>44</x:v>
      </x:c>
      <x:c r="F3249" t="str">
        <x:v>Inspection physique</x:v>
      </x:c>
      <x:c r="G3249" t="str">
        <x:v>1 niveaux ; 40 pièces ; 310 segments de mur ; 0 transitions. Inspection physique ; architecture complète encore ouverte.</x:v>
      </x:c>
      <x:c r="H3249" t="str">
        <x:v>L 206 ; l 245 ; hauteur 15 m ; emprise auteur, non relevé complet d’un lieu réel</x:v>
      </x:c>
      <x:c r="I3249" t="str">
        <x:v>À équilibrer</x:v>
      </x:c>
      <x:c r="J3249" t="str">
        <x:v>Non</x:v>
      </x:c>
      <x:c r="K3249" t="str">
        <x:v>Pièces décrites, murs, portes, niveaux et mobilier inspectables à l’échelle. Volumes réservés, raccord au seed, butin, rencontres et services de campagne restent à terminer.</x:v>
      </x:c>
    </x:row>
    <x:row r="3250">
      <x:c r="A3250" t="str">
        <x:v>EXT-MONDE-T065-V45</x:v>
      </x:c>
      <x:c r="B3250" t="str">
        <x:v>EXT-MONDE-T065</x:v>
      </x:c>
      <x:c r="C3250" t="str">
        <x:v>Stades</x:v>
      </x:c>
      <x:c r="D3250" t="str">
        <x:v>Stade municipal</x:v>
      </x:c>
      <x:c r="E3250" t="n">
        <x:v>45</x:v>
      </x:c>
      <x:c r="F3250" t="str">
        <x:v>Inspection physique</x:v>
      </x:c>
      <x:c r="G3250" t="str">
        <x:v>1 niveaux ; 40 pièces ; 310 segments de mur ; 0 transitions. Inspection physique ; architecture complète encore ouverte.</x:v>
      </x:c>
      <x:c r="H3250" t="str">
        <x:v>L 210 ; l 249 ; hauteur 15 m ; emprise auteur, non relevé complet d’un lieu réel</x:v>
      </x:c>
      <x:c r="I3250" t="str">
        <x:v>À équilibrer</x:v>
      </x:c>
      <x:c r="J3250" t="str">
        <x:v>Non</x:v>
      </x:c>
      <x:c r="K3250" t="str">
        <x:v>Pièces décrites, murs, portes, niveaux et mobilier inspectables à l’échelle. Volumes réservés, raccord au seed, butin, rencontres et services de campagne restent à terminer.</x:v>
      </x:c>
    </x:row>
    <x:row r="3251">
      <x:c r="A3251" t="str">
        <x:v>EXT-MONDE-T065-V46</x:v>
      </x:c>
      <x:c r="B3251" t="str">
        <x:v>EXT-MONDE-T065</x:v>
      </x:c>
      <x:c r="C3251" t="str">
        <x:v>Stades</x:v>
      </x:c>
      <x:c r="D3251" t="str">
        <x:v>Stade municipal</x:v>
      </x:c>
      <x:c r="E3251" t="n">
        <x:v>46</x:v>
      </x:c>
      <x:c r="F3251" t="str">
        <x:v>Inspection physique</x:v>
      </x:c>
      <x:c r="G3251" t="str">
        <x:v>1 niveaux ; 40 pièces ; 310 segments de mur ; 0 transitions. Inspection physique ; architecture complète encore ouverte.</x:v>
      </x:c>
      <x:c r="H3251" t="str">
        <x:v>L 214 ; l 253 ; hauteur 15 m ; emprise auteur, non relevé complet d’un lieu réel</x:v>
      </x:c>
      <x:c r="I3251" t="str">
        <x:v>À équilibrer</x:v>
      </x:c>
      <x:c r="J3251" t="str">
        <x:v>Non</x:v>
      </x:c>
      <x:c r="K3251" t="str">
        <x:v>Pièces décrites, murs, portes, niveaux et mobilier inspectables à l’échelle. Volumes réservés, raccord au seed, butin, rencontres et services de campagne restent à terminer.</x:v>
      </x:c>
    </x:row>
    <x:row r="3252">
      <x:c r="A3252" t="str">
        <x:v>EXT-MONDE-T065-V47</x:v>
      </x:c>
      <x:c r="B3252" t="str">
        <x:v>EXT-MONDE-T065</x:v>
      </x:c>
      <x:c r="C3252" t="str">
        <x:v>Stades</x:v>
      </x:c>
      <x:c r="D3252" t="str">
        <x:v>Stade municipal</x:v>
      </x:c>
      <x:c r="E3252" t="n">
        <x:v>47</x:v>
      </x:c>
      <x:c r="F3252" t="str">
        <x:v>Inspection physique</x:v>
      </x:c>
      <x:c r="G3252" t="str">
        <x:v>1 niveaux ; 40 pièces ; 310 segments de mur ; 0 transitions. Inspection physique ; architecture complète encore ouverte.</x:v>
      </x:c>
      <x:c r="H3252" t="str">
        <x:v>L 218 ; l 257 ; hauteur 15 m ; emprise auteur, non relevé complet d’un lieu réel</x:v>
      </x:c>
      <x:c r="I3252" t="str">
        <x:v>À équilibrer</x:v>
      </x:c>
      <x:c r="J3252" t="str">
        <x:v>Non</x:v>
      </x:c>
      <x:c r="K3252" t="str">
        <x:v>Pièces décrites, murs, portes, niveaux et mobilier inspectables à l’échelle. Volumes réservés, raccord au seed, butin, rencontres et services de campagne restent à terminer.</x:v>
      </x:c>
    </x:row>
    <x:row r="3253">
      <x:c r="A3253" t="str">
        <x:v>EXT-MONDE-T065-V48</x:v>
      </x:c>
      <x:c r="B3253" t="str">
        <x:v>EXT-MONDE-T065</x:v>
      </x:c>
      <x:c r="C3253" t="str">
        <x:v>Stades</x:v>
      </x:c>
      <x:c r="D3253" t="str">
        <x:v>Stade municipal</x:v>
      </x:c>
      <x:c r="E3253" t="n">
        <x:v>48</x:v>
      </x:c>
      <x:c r="F3253" t="str">
        <x:v>Inspection physique</x:v>
      </x:c>
      <x:c r="G3253" t="str">
        <x:v>1 niveaux ; 40 pièces ; 310 segments de mur ; 0 transitions. Inspection physique ; architecture complète encore ouverte.</x:v>
      </x:c>
      <x:c r="H3253" t="str">
        <x:v>L 222 ; l 261 ; hauteur 15 m ; emprise auteur, non relevé complet d’un lieu réel</x:v>
      </x:c>
      <x:c r="I3253" t="str">
        <x:v>À équilibrer</x:v>
      </x:c>
      <x:c r="J3253" t="str">
        <x:v>Non</x:v>
      </x:c>
      <x:c r="K3253" t="str">
        <x:v>Pièces décrites, murs, portes, niveaux et mobilier inspectables à l’échelle. Volumes réservés, raccord au seed, butin, rencontres et services de campagne restent à terminer.</x:v>
      </x:c>
    </x:row>
    <x:row r="3254">
      <x:c r="A3254" t="str">
        <x:v>EXT-MONDE-T065-V49</x:v>
      </x:c>
      <x:c r="B3254" t="str">
        <x:v>EXT-MONDE-T065</x:v>
      </x:c>
      <x:c r="C3254" t="str">
        <x:v>Stades</x:v>
      </x:c>
      <x:c r="D3254" t="str">
        <x:v>Stade municipal</x:v>
      </x:c>
      <x:c r="E3254" t="n">
        <x:v>49</x:v>
      </x:c>
      <x:c r="F3254" t="str">
        <x:v>Inspection physique</x:v>
      </x:c>
      <x:c r="G3254" t="str">
        <x:v>1 niveaux ; 40 pièces ; 310 segments de mur ; 0 transitions. Inspection physique ; architecture complète encore ouverte.</x:v>
      </x:c>
      <x:c r="H3254" t="str">
        <x:v>L 226 ; l 265 ; hauteur 15 m ; emprise auteur, non relevé complet d’un lieu réel</x:v>
      </x:c>
      <x:c r="I3254" t="str">
        <x:v>À équilibrer</x:v>
      </x:c>
      <x:c r="J3254" t="str">
        <x:v>Non</x:v>
      </x:c>
      <x:c r="K3254" t="str">
        <x:v>Pièces décrites, murs, portes, niveaux et mobilier inspectables à l’échelle. Volumes réservés, raccord au seed, butin, rencontres et services de campagne restent à terminer.</x:v>
      </x:c>
    </x:row>
    <x:row r="3255">
      <x:c r="A3255" t="str">
        <x:v>EXT-MONDE-T065-V50</x:v>
      </x:c>
      <x:c r="B3255" t="str">
        <x:v>EXT-MONDE-T065</x:v>
      </x:c>
      <x:c r="C3255" t="str">
        <x:v>Stades</x:v>
      </x:c>
      <x:c r="D3255" t="str">
        <x:v>Stade municipal</x:v>
      </x:c>
      <x:c r="E3255" t="n">
        <x:v>50</x:v>
      </x:c>
      <x:c r="F3255" t="str">
        <x:v>Inspection physique</x:v>
      </x:c>
      <x:c r="G3255" t="str">
        <x:v>1 niveaux ; 40 pièces ; 310 segments de mur ; 0 transitions. Inspection physique ; architecture complète encore ouverte.</x:v>
      </x:c>
      <x:c r="H3255" t="str">
        <x:v>L 230 ; l 269 ; hauteur 15 m ; emprise auteur, non relevé complet d’un lieu réel</x:v>
      </x:c>
      <x:c r="I3255" t="str">
        <x:v>À équilibrer</x:v>
      </x:c>
      <x:c r="J3255" t="str">
        <x:v>Non</x:v>
      </x:c>
      <x:c r="K3255" t="str">
        <x:v>Pièces décrites, murs, portes, niveaux et mobilier inspectables à l’échelle. Volumes réservés, raccord au seed, butin, rencontres et services de campagne restent à terminer.</x:v>
      </x:c>
    </x:row>
    <x:row r="3256">
      <x:c r="A3256" t="str">
        <x:v>EXT-MONDE-T066-V01</x:v>
      </x:c>
      <x:c r="B3256" t="str">
        <x:v>EXT-MONDE-T066</x:v>
      </x:c>
      <x:c r="C3256" t="str">
        <x:v>Stades</x:v>
      </x:c>
      <x:c r="D3256" t="str">
        <x:v>Grand stade couvert</x:v>
      </x:c>
      <x:c r="E3256" t="n">
        <x:v>1</x:v>
      </x:c>
      <x:c r="F3256" t="str">
        <x:v>Inspection physique</x:v>
      </x:c>
      <x:c r="G3256" t="str">
        <x:v>1 niveaux ; 40 pièces ; 310 segments de mur ; 0 transitions. Inspection physique ; architecture complète encore ouverte.</x:v>
      </x:c>
      <x:c r="H3256" t="str">
        <x:v>L 180 ; l 219 ; hauteur 36 m ; emprise auteur, non relevé complet d’un lieu réel</x:v>
      </x:c>
      <x:c r="I3256" t="str">
        <x:v>À équilibrer</x:v>
      </x:c>
      <x:c r="J3256" t="str">
        <x:v>Non</x:v>
      </x:c>
      <x:c r="K3256" t="str">
        <x:v>Pièces décrites, murs, portes, niveaux et mobilier inspectables à l’échelle. Volumes réservés, raccord au seed, butin, rencontres et services de campagne restent à terminer.</x:v>
      </x:c>
    </x:row>
    <x:row r="3257">
      <x:c r="A3257" t="str">
        <x:v>EXT-MONDE-T066-V02</x:v>
      </x:c>
      <x:c r="B3257" t="str">
        <x:v>EXT-MONDE-T066</x:v>
      </x:c>
      <x:c r="C3257" t="str">
        <x:v>Stades</x:v>
      </x:c>
      <x:c r="D3257" t="str">
        <x:v>Grand stade couvert</x:v>
      </x:c>
      <x:c r="E3257" t="n">
        <x:v>2</x:v>
      </x:c>
      <x:c r="F3257" t="str">
        <x:v>Inspection physique</x:v>
      </x:c>
      <x:c r="G3257" t="str">
        <x:v>1 niveaux ; 40 pièces ; 310 segments de mur ; 0 transitions. Inspection physique ; architecture complète encore ouverte.</x:v>
      </x:c>
      <x:c r="H3257" t="str">
        <x:v>L 184 ; l 223 ; hauteur 36 m ; emprise auteur, non relevé complet d’un lieu réel</x:v>
      </x:c>
      <x:c r="I3257" t="str">
        <x:v>À équilibrer</x:v>
      </x:c>
      <x:c r="J3257" t="str">
        <x:v>Non</x:v>
      </x:c>
      <x:c r="K3257" t="str">
        <x:v>Pièces décrites, murs, portes, niveaux et mobilier inspectables à l’échelle. Volumes réservés, raccord au seed, butin, rencontres et services de campagne restent à terminer.</x:v>
      </x:c>
    </x:row>
    <x:row r="3258">
      <x:c r="A3258" t="str">
        <x:v>EXT-MONDE-T066-V03</x:v>
      </x:c>
      <x:c r="B3258" t="str">
        <x:v>EXT-MONDE-T066</x:v>
      </x:c>
      <x:c r="C3258" t="str">
        <x:v>Stades</x:v>
      </x:c>
      <x:c r="D3258" t="str">
        <x:v>Grand stade couvert</x:v>
      </x:c>
      <x:c r="E3258" t="n">
        <x:v>3</x:v>
      </x:c>
      <x:c r="F3258" t="str">
        <x:v>Inspection physique</x:v>
      </x:c>
      <x:c r="G3258" t="str">
        <x:v>1 niveaux ; 40 pièces ; 310 segments de mur ; 0 transitions. Inspection physique ; architecture complète encore ouverte.</x:v>
      </x:c>
      <x:c r="H3258" t="str">
        <x:v>L 188 ; l 227 ; hauteur 36 m ; emprise auteur, non relevé complet d’un lieu réel</x:v>
      </x:c>
      <x:c r="I3258" t="str">
        <x:v>À équilibrer</x:v>
      </x:c>
      <x:c r="J3258" t="str">
        <x:v>Non</x:v>
      </x:c>
      <x:c r="K3258" t="str">
        <x:v>Pièces décrites, murs, portes, niveaux et mobilier inspectables à l’échelle. Volumes réservés, raccord au seed, butin, rencontres et services de campagne restent à terminer.</x:v>
      </x:c>
    </x:row>
    <x:row r="3259">
      <x:c r="A3259" t="str">
        <x:v>EXT-MONDE-T066-V04</x:v>
      </x:c>
      <x:c r="B3259" t="str">
        <x:v>EXT-MONDE-T066</x:v>
      </x:c>
      <x:c r="C3259" t="str">
        <x:v>Stades</x:v>
      </x:c>
      <x:c r="D3259" t="str">
        <x:v>Grand stade couvert</x:v>
      </x:c>
      <x:c r="E3259" t="n">
        <x:v>4</x:v>
      </x:c>
      <x:c r="F3259" t="str">
        <x:v>Inspection physique</x:v>
      </x:c>
      <x:c r="G3259" t="str">
        <x:v>1 niveaux ; 40 pièces ; 310 segments de mur ; 0 transitions. Inspection physique ; architecture complète encore ouverte.</x:v>
      </x:c>
      <x:c r="H3259" t="str">
        <x:v>L 192 ; l 231 ; hauteur 36 m ; emprise auteur, non relevé complet d’un lieu réel</x:v>
      </x:c>
      <x:c r="I3259" t="str">
        <x:v>À équilibrer</x:v>
      </x:c>
      <x:c r="J3259" t="str">
        <x:v>Non</x:v>
      </x:c>
      <x:c r="K3259" t="str">
        <x:v>Pièces décrites, murs, portes, niveaux et mobilier inspectables à l’échelle. Volumes réservés, raccord au seed, butin, rencontres et services de campagne restent à terminer.</x:v>
      </x:c>
    </x:row>
    <x:row r="3260">
      <x:c r="A3260" t="str">
        <x:v>EXT-MONDE-T066-V05</x:v>
      </x:c>
      <x:c r="B3260" t="str">
        <x:v>EXT-MONDE-T066</x:v>
      </x:c>
      <x:c r="C3260" t="str">
        <x:v>Stades</x:v>
      </x:c>
      <x:c r="D3260" t="str">
        <x:v>Grand stade couvert</x:v>
      </x:c>
      <x:c r="E3260" t="n">
        <x:v>5</x:v>
      </x:c>
      <x:c r="F3260" t="str">
        <x:v>Inspection physique</x:v>
      </x:c>
      <x:c r="G3260" t="str">
        <x:v>1 niveaux ; 40 pièces ; 310 segments de mur ; 0 transitions. Inspection physique ; architecture complète encore ouverte.</x:v>
      </x:c>
      <x:c r="H3260" t="str">
        <x:v>L 196 ; l 235 ; hauteur 36 m ; emprise auteur, non relevé complet d’un lieu réel</x:v>
      </x:c>
      <x:c r="I3260" t="str">
        <x:v>À équilibrer</x:v>
      </x:c>
      <x:c r="J3260" t="str">
        <x:v>Non</x:v>
      </x:c>
      <x:c r="K3260" t="str">
        <x:v>Pièces décrites, murs, portes, niveaux et mobilier inspectables à l’échelle. Volumes réservés, raccord au seed, butin, rencontres et services de campagne restent à terminer.</x:v>
      </x:c>
    </x:row>
    <x:row r="3261">
      <x:c r="A3261" t="str">
        <x:v>EXT-MONDE-T066-V06</x:v>
      </x:c>
      <x:c r="B3261" t="str">
        <x:v>EXT-MONDE-T066</x:v>
      </x:c>
      <x:c r="C3261" t="str">
        <x:v>Stades</x:v>
      </x:c>
      <x:c r="D3261" t="str">
        <x:v>Grand stade couvert</x:v>
      </x:c>
      <x:c r="E3261" t="n">
        <x:v>6</x:v>
      </x:c>
      <x:c r="F3261" t="str">
        <x:v>Inspection physique</x:v>
      </x:c>
      <x:c r="G3261" t="str">
        <x:v>1 niveaux ; 40 pièces ; 310 segments de mur ; 0 transitions. Inspection physique ; architecture complète encore ouverte.</x:v>
      </x:c>
      <x:c r="H3261" t="str">
        <x:v>L 200 ; l 239 ; hauteur 36 m ; emprise auteur, non relevé complet d’un lieu réel</x:v>
      </x:c>
      <x:c r="I3261" t="str">
        <x:v>À équilibrer</x:v>
      </x:c>
      <x:c r="J3261" t="str">
        <x:v>Non</x:v>
      </x:c>
      <x:c r="K3261" t="str">
        <x:v>Pièces décrites, murs, portes, niveaux et mobilier inspectables à l’échelle. Volumes réservés, raccord au seed, butin, rencontres et services de campagne restent à terminer.</x:v>
      </x:c>
    </x:row>
    <x:row r="3262">
      <x:c r="A3262" t="str">
        <x:v>EXT-MONDE-T066-V07</x:v>
      </x:c>
      <x:c r="B3262" t="str">
        <x:v>EXT-MONDE-T066</x:v>
      </x:c>
      <x:c r="C3262" t="str">
        <x:v>Stades</x:v>
      </x:c>
      <x:c r="D3262" t="str">
        <x:v>Grand stade couvert</x:v>
      </x:c>
      <x:c r="E3262" t="n">
        <x:v>7</x:v>
      </x:c>
      <x:c r="F3262" t="str">
        <x:v>Inspection physique</x:v>
      </x:c>
      <x:c r="G3262" t="str">
        <x:v>1 niveaux ; 40 pièces ; 310 segments de mur ; 0 transitions. Inspection physique ; architecture complète encore ouverte.</x:v>
      </x:c>
      <x:c r="H3262" t="str">
        <x:v>L 204 ; l 243 ; hauteur 36 m ; emprise auteur, non relevé complet d’un lieu réel</x:v>
      </x:c>
      <x:c r="I3262" t="str">
        <x:v>À équilibrer</x:v>
      </x:c>
      <x:c r="J3262" t="str">
        <x:v>Non</x:v>
      </x:c>
      <x:c r="K3262" t="str">
        <x:v>Pièces décrites, murs, portes, niveaux et mobilier inspectables à l’échelle. Volumes réservés, raccord au seed, butin, rencontres et services de campagne restent à terminer.</x:v>
      </x:c>
    </x:row>
    <x:row r="3263">
      <x:c r="A3263" t="str">
        <x:v>EXT-MONDE-T066-V08</x:v>
      </x:c>
      <x:c r="B3263" t="str">
        <x:v>EXT-MONDE-T066</x:v>
      </x:c>
      <x:c r="C3263" t="str">
        <x:v>Stades</x:v>
      </x:c>
      <x:c r="D3263" t="str">
        <x:v>Grand stade couvert</x:v>
      </x:c>
      <x:c r="E3263" t="n">
        <x:v>8</x:v>
      </x:c>
      <x:c r="F3263" t="str">
        <x:v>Inspection physique</x:v>
      </x:c>
      <x:c r="G3263" t="str">
        <x:v>1 niveaux ; 40 pièces ; 310 segments de mur ; 0 transitions. Inspection physique ; architecture complète encore ouverte.</x:v>
      </x:c>
      <x:c r="H3263" t="str">
        <x:v>L 208 ; l 247 ; hauteur 36 m ; emprise auteur, non relevé complet d’un lieu réel</x:v>
      </x:c>
      <x:c r="I3263" t="str">
        <x:v>À équilibrer</x:v>
      </x:c>
      <x:c r="J3263" t="str">
        <x:v>Non</x:v>
      </x:c>
      <x:c r="K3263" t="str">
        <x:v>Pièces décrites, murs, portes, niveaux et mobilier inspectables à l’échelle. Volumes réservés, raccord au seed, butin, rencontres et services de campagne restent à terminer.</x:v>
      </x:c>
    </x:row>
    <x:row r="3264">
      <x:c r="A3264" t="str">
        <x:v>EXT-MONDE-T066-V09</x:v>
      </x:c>
      <x:c r="B3264" t="str">
        <x:v>EXT-MONDE-T066</x:v>
      </x:c>
      <x:c r="C3264" t="str">
        <x:v>Stades</x:v>
      </x:c>
      <x:c r="D3264" t="str">
        <x:v>Grand stade couvert</x:v>
      </x:c>
      <x:c r="E3264" t="n">
        <x:v>9</x:v>
      </x:c>
      <x:c r="F3264" t="str">
        <x:v>Inspection physique</x:v>
      </x:c>
      <x:c r="G3264" t="str">
        <x:v>1 niveaux ; 40 pièces ; 310 segments de mur ; 0 transitions. Inspection physique ; architecture complète encore ouverte.</x:v>
      </x:c>
      <x:c r="H3264" t="str">
        <x:v>L 212 ; l 251 ; hauteur 36 m ; emprise auteur, non relevé complet d’un lieu réel</x:v>
      </x:c>
      <x:c r="I3264" t="str">
        <x:v>À équilibrer</x:v>
      </x:c>
      <x:c r="J3264" t="str">
        <x:v>Non</x:v>
      </x:c>
      <x:c r="K3264" t="str">
        <x:v>Pièces décrites, murs, portes, niveaux et mobilier inspectables à l’échelle. Volumes réservés, raccord au seed, butin, rencontres et services de campagne restent à terminer.</x:v>
      </x:c>
    </x:row>
    <x:row r="3265">
      <x:c r="A3265" t="str">
        <x:v>EXT-MONDE-T066-V10</x:v>
      </x:c>
      <x:c r="B3265" t="str">
        <x:v>EXT-MONDE-T066</x:v>
      </x:c>
      <x:c r="C3265" t="str">
        <x:v>Stades</x:v>
      </x:c>
      <x:c r="D3265" t="str">
        <x:v>Grand stade couvert</x:v>
      </x:c>
      <x:c r="E3265" t="n">
        <x:v>10</x:v>
      </x:c>
      <x:c r="F3265" t="str">
        <x:v>Inspection physique</x:v>
      </x:c>
      <x:c r="G3265" t="str">
        <x:v>1 niveaux ; 40 pièces ; 310 segments de mur ; 0 transitions. Inspection physique ; architecture complète encore ouverte.</x:v>
      </x:c>
      <x:c r="H3265" t="str">
        <x:v>L 216 ; l 255 ; hauteur 36 m ; emprise auteur, non relevé complet d’un lieu réel</x:v>
      </x:c>
      <x:c r="I3265" t="str">
        <x:v>À équilibrer</x:v>
      </x:c>
      <x:c r="J3265" t="str">
        <x:v>Non</x:v>
      </x:c>
      <x:c r="K3265" t="str">
        <x:v>Pièces décrites, murs, portes, niveaux et mobilier inspectables à l’échelle. Volumes réservés, raccord au seed, butin, rencontres et services de campagne restent à terminer.</x:v>
      </x:c>
    </x:row>
    <x:row r="3266">
      <x:c r="A3266" t="str">
        <x:v>EXT-MONDE-T066-V11</x:v>
      </x:c>
      <x:c r="B3266" t="str">
        <x:v>EXT-MONDE-T066</x:v>
      </x:c>
      <x:c r="C3266" t="str">
        <x:v>Stades</x:v>
      </x:c>
      <x:c r="D3266" t="str">
        <x:v>Grand stade couvert</x:v>
      </x:c>
      <x:c r="E3266" t="n">
        <x:v>11</x:v>
      </x:c>
      <x:c r="F3266" t="str">
        <x:v>Inspection physique</x:v>
      </x:c>
      <x:c r="G3266" t="str">
        <x:v>1 niveaux ; 40 pièces ; 310 segments de mur ; 0 transitions. Inspection physique ; architecture complète encore ouverte.</x:v>
      </x:c>
      <x:c r="H3266" t="str">
        <x:v>L 196 ; l 235 ; hauteur 40 m ; emprise auteur, non relevé complet d’un lieu réel</x:v>
      </x:c>
      <x:c r="I3266" t="str">
        <x:v>À équilibrer</x:v>
      </x:c>
      <x:c r="J3266" t="str">
        <x:v>Non</x:v>
      </x:c>
      <x:c r="K3266" t="str">
        <x:v>Pièces décrites, murs, portes, niveaux et mobilier inspectables à l’échelle. Volumes réservés, raccord au seed, butin, rencontres et services de campagne restent à terminer.</x:v>
      </x:c>
    </x:row>
    <x:row r="3267">
      <x:c r="A3267" t="str">
        <x:v>EXT-MONDE-T066-V12</x:v>
      </x:c>
      <x:c r="B3267" t="str">
        <x:v>EXT-MONDE-T066</x:v>
      </x:c>
      <x:c r="C3267" t="str">
        <x:v>Stades</x:v>
      </x:c>
      <x:c r="D3267" t="str">
        <x:v>Grand stade couvert</x:v>
      </x:c>
      <x:c r="E3267" t="n">
        <x:v>12</x:v>
      </x:c>
      <x:c r="F3267" t="str">
        <x:v>Inspection physique</x:v>
      </x:c>
      <x:c r="G3267" t="str">
        <x:v>1 niveaux ; 40 pièces ; 310 segments de mur ; 0 transitions. Inspection physique ; architecture complète encore ouverte.</x:v>
      </x:c>
      <x:c r="H3267" t="str">
        <x:v>L 200 ; l 239 ; hauteur 40 m ; emprise auteur, non relevé complet d’un lieu réel</x:v>
      </x:c>
      <x:c r="I3267" t="str">
        <x:v>À équilibrer</x:v>
      </x:c>
      <x:c r="J3267" t="str">
        <x:v>Non</x:v>
      </x:c>
      <x:c r="K3267" t="str">
        <x:v>Pièces décrites, murs, portes, niveaux et mobilier inspectables à l’échelle. Volumes réservés, raccord au seed, butin, rencontres et services de campagne restent à terminer.</x:v>
      </x:c>
    </x:row>
    <x:row r="3268">
      <x:c r="A3268" t="str">
        <x:v>EXT-MONDE-T066-V13</x:v>
      </x:c>
      <x:c r="B3268" t="str">
        <x:v>EXT-MONDE-T066</x:v>
      </x:c>
      <x:c r="C3268" t="str">
        <x:v>Stades</x:v>
      </x:c>
      <x:c r="D3268" t="str">
        <x:v>Grand stade couvert</x:v>
      </x:c>
      <x:c r="E3268" t="n">
        <x:v>13</x:v>
      </x:c>
      <x:c r="F3268" t="str">
        <x:v>Inspection physique</x:v>
      </x:c>
      <x:c r="G3268" t="str">
        <x:v>1 niveaux ; 40 pièces ; 310 segments de mur ; 0 transitions. Inspection physique ; architecture complète encore ouverte.</x:v>
      </x:c>
      <x:c r="H3268" t="str">
        <x:v>L 204 ; l 243 ; hauteur 40 m ; emprise auteur, non relevé complet d’un lieu réel</x:v>
      </x:c>
      <x:c r="I3268" t="str">
        <x:v>À équilibrer</x:v>
      </x:c>
      <x:c r="J3268" t="str">
        <x:v>Non</x:v>
      </x:c>
      <x:c r="K3268" t="str">
        <x:v>Pièces décrites, murs, portes, niveaux et mobilier inspectables à l’échelle. Volumes réservés, raccord au seed, butin, rencontres et services de campagne restent à terminer.</x:v>
      </x:c>
    </x:row>
    <x:row r="3269">
      <x:c r="A3269" t="str">
        <x:v>EXT-MONDE-T066-V14</x:v>
      </x:c>
      <x:c r="B3269" t="str">
        <x:v>EXT-MONDE-T066</x:v>
      </x:c>
      <x:c r="C3269" t="str">
        <x:v>Stades</x:v>
      </x:c>
      <x:c r="D3269" t="str">
        <x:v>Grand stade couvert</x:v>
      </x:c>
      <x:c r="E3269" t="n">
        <x:v>14</x:v>
      </x:c>
      <x:c r="F3269" t="str">
        <x:v>Inspection physique</x:v>
      </x:c>
      <x:c r="G3269" t="str">
        <x:v>1 niveaux ; 40 pièces ; 310 segments de mur ; 0 transitions. Inspection physique ; architecture complète encore ouverte.</x:v>
      </x:c>
      <x:c r="H3269" t="str">
        <x:v>L 208 ; l 247 ; hauteur 40 m ; emprise auteur, non relevé complet d’un lieu réel</x:v>
      </x:c>
      <x:c r="I3269" t="str">
        <x:v>À équilibrer</x:v>
      </x:c>
      <x:c r="J3269" t="str">
        <x:v>Non</x:v>
      </x:c>
      <x:c r="K3269" t="str">
        <x:v>Pièces décrites, murs, portes, niveaux et mobilier inspectables à l’échelle. Volumes réservés, raccord au seed, butin, rencontres et services de campagne restent à terminer.</x:v>
      </x:c>
    </x:row>
    <x:row r="3270">
      <x:c r="A3270" t="str">
        <x:v>EXT-MONDE-T066-V15</x:v>
      </x:c>
      <x:c r="B3270" t="str">
        <x:v>EXT-MONDE-T066</x:v>
      </x:c>
      <x:c r="C3270" t="str">
        <x:v>Stades</x:v>
      </x:c>
      <x:c r="D3270" t="str">
        <x:v>Grand stade couvert</x:v>
      </x:c>
      <x:c r="E3270" t="n">
        <x:v>15</x:v>
      </x:c>
      <x:c r="F3270" t="str">
        <x:v>Inspection physique</x:v>
      </x:c>
      <x:c r="G3270" t="str">
        <x:v>1 niveaux ; 40 pièces ; 310 segments de mur ; 0 transitions. Inspection physique ; architecture complète encore ouverte.</x:v>
      </x:c>
      <x:c r="H3270" t="str">
        <x:v>L 212 ; l 251 ; hauteur 40 m ; emprise auteur, non relevé complet d’un lieu réel</x:v>
      </x:c>
      <x:c r="I3270" t="str">
        <x:v>À équilibrer</x:v>
      </x:c>
      <x:c r="J3270" t="str">
        <x:v>Non</x:v>
      </x:c>
      <x:c r="K3270" t="str">
        <x:v>Pièces décrites, murs, portes, niveaux et mobilier inspectables à l’échelle. Volumes réservés, raccord au seed, butin, rencontres et services de campagne restent à terminer.</x:v>
      </x:c>
    </x:row>
    <x:row r="3271">
      <x:c r="A3271" t="str">
        <x:v>EXT-MONDE-T066-V16</x:v>
      </x:c>
      <x:c r="B3271" t="str">
        <x:v>EXT-MONDE-T066</x:v>
      </x:c>
      <x:c r="C3271" t="str">
        <x:v>Stades</x:v>
      </x:c>
      <x:c r="D3271" t="str">
        <x:v>Grand stade couvert</x:v>
      </x:c>
      <x:c r="E3271" t="n">
        <x:v>16</x:v>
      </x:c>
      <x:c r="F3271" t="str">
        <x:v>Inspection physique</x:v>
      </x:c>
      <x:c r="G3271" t="str">
        <x:v>1 niveaux ; 40 pièces ; 310 segments de mur ; 0 transitions. Inspection physique ; architecture complète encore ouverte.</x:v>
      </x:c>
      <x:c r="H3271" t="str">
        <x:v>L 216 ; l 255 ; hauteur 40 m ; emprise auteur, non relevé complet d’un lieu réel</x:v>
      </x:c>
      <x:c r="I3271" t="str">
        <x:v>À équilibrer</x:v>
      </x:c>
      <x:c r="J3271" t="str">
        <x:v>Non</x:v>
      </x:c>
      <x:c r="K3271" t="str">
        <x:v>Pièces décrites, murs, portes, niveaux et mobilier inspectables à l’échelle. Volumes réservés, raccord au seed, butin, rencontres et services de campagne restent à terminer.</x:v>
      </x:c>
    </x:row>
    <x:row r="3272">
      <x:c r="A3272" t="str">
        <x:v>EXT-MONDE-T066-V17</x:v>
      </x:c>
      <x:c r="B3272" t="str">
        <x:v>EXT-MONDE-T066</x:v>
      </x:c>
      <x:c r="C3272" t="str">
        <x:v>Stades</x:v>
      </x:c>
      <x:c r="D3272" t="str">
        <x:v>Grand stade couvert</x:v>
      </x:c>
      <x:c r="E3272" t="n">
        <x:v>17</x:v>
      </x:c>
      <x:c r="F3272" t="str">
        <x:v>Inspection physique</x:v>
      </x:c>
      <x:c r="G3272" t="str">
        <x:v>1 niveaux ; 40 pièces ; 310 segments de mur ; 0 transitions. Inspection physique ; architecture complète encore ouverte.</x:v>
      </x:c>
      <x:c r="H3272" t="str">
        <x:v>L 220 ; l 259 ; hauteur 40 m ; emprise auteur, non relevé complet d’un lieu réel</x:v>
      </x:c>
      <x:c r="I3272" t="str">
        <x:v>À équilibrer</x:v>
      </x:c>
      <x:c r="J3272" t="str">
        <x:v>Non</x:v>
      </x:c>
      <x:c r="K3272" t="str">
        <x:v>Pièces décrites, murs, portes, niveaux et mobilier inspectables à l’échelle. Volumes réservés, raccord au seed, butin, rencontres et services de campagne restent à terminer.</x:v>
      </x:c>
    </x:row>
    <x:row r="3273">
      <x:c r="A3273" t="str">
        <x:v>EXT-MONDE-T066-V18</x:v>
      </x:c>
      <x:c r="B3273" t="str">
        <x:v>EXT-MONDE-T066</x:v>
      </x:c>
      <x:c r="C3273" t="str">
        <x:v>Stades</x:v>
      </x:c>
      <x:c r="D3273" t="str">
        <x:v>Grand stade couvert</x:v>
      </x:c>
      <x:c r="E3273" t="n">
        <x:v>18</x:v>
      </x:c>
      <x:c r="F3273" t="str">
        <x:v>Inspection physique</x:v>
      </x:c>
      <x:c r="G3273" t="str">
        <x:v>1 niveaux ; 40 pièces ; 310 segments de mur ; 0 transitions. Inspection physique ; architecture complète encore ouverte.</x:v>
      </x:c>
      <x:c r="H3273" t="str">
        <x:v>L 224 ; l 263 ; hauteur 40 m ; emprise auteur, non relevé complet d’un lieu réel</x:v>
      </x:c>
      <x:c r="I3273" t="str">
        <x:v>À équilibrer</x:v>
      </x:c>
      <x:c r="J3273" t="str">
        <x:v>Non</x:v>
      </x:c>
      <x:c r="K3273" t="str">
        <x:v>Pièces décrites, murs, portes, niveaux et mobilier inspectables à l’échelle. Volumes réservés, raccord au seed, butin, rencontres et services de campagne restent à terminer.</x:v>
      </x:c>
    </x:row>
    <x:row r="3274">
      <x:c r="A3274" t="str">
        <x:v>EXT-MONDE-T066-V19</x:v>
      </x:c>
      <x:c r="B3274" t="str">
        <x:v>EXT-MONDE-T066</x:v>
      </x:c>
      <x:c r="C3274" t="str">
        <x:v>Stades</x:v>
      </x:c>
      <x:c r="D3274" t="str">
        <x:v>Grand stade couvert</x:v>
      </x:c>
      <x:c r="E3274" t="n">
        <x:v>19</x:v>
      </x:c>
      <x:c r="F3274" t="str">
        <x:v>Inspection physique</x:v>
      </x:c>
      <x:c r="G3274" t="str">
        <x:v>1 niveaux ; 40 pièces ; 310 segments de mur ; 0 transitions. Inspection physique ; architecture complète encore ouverte.</x:v>
      </x:c>
      <x:c r="H3274" t="str">
        <x:v>L 228 ; l 267 ; hauteur 40 m ; emprise auteur, non relevé complet d’un lieu réel</x:v>
      </x:c>
      <x:c r="I3274" t="str">
        <x:v>À équilibrer</x:v>
      </x:c>
      <x:c r="J3274" t="str">
        <x:v>Non</x:v>
      </x:c>
      <x:c r="K3274" t="str">
        <x:v>Pièces décrites, murs, portes, niveaux et mobilier inspectables à l’échelle. Volumes réservés, raccord au seed, butin, rencontres et services de campagne restent à terminer.</x:v>
      </x:c>
    </x:row>
    <x:row r="3275">
      <x:c r="A3275" t="str">
        <x:v>EXT-MONDE-T066-V20</x:v>
      </x:c>
      <x:c r="B3275" t="str">
        <x:v>EXT-MONDE-T066</x:v>
      </x:c>
      <x:c r="C3275" t="str">
        <x:v>Stades</x:v>
      </x:c>
      <x:c r="D3275" t="str">
        <x:v>Grand stade couvert</x:v>
      </x:c>
      <x:c r="E3275" t="n">
        <x:v>20</x:v>
      </x:c>
      <x:c r="F3275" t="str">
        <x:v>Inspection physique</x:v>
      </x:c>
      <x:c r="G3275" t="str">
        <x:v>1 niveaux ; 40 pièces ; 310 segments de mur ; 0 transitions. Inspection physique ; architecture complète encore ouverte.</x:v>
      </x:c>
      <x:c r="H3275" t="str">
        <x:v>L 232 ; l 271 ; hauteur 40 m ; emprise auteur, non relevé complet d’un lieu réel</x:v>
      </x:c>
      <x:c r="I3275" t="str">
        <x:v>À équilibrer</x:v>
      </x:c>
      <x:c r="J3275" t="str">
        <x:v>Non</x:v>
      </x:c>
      <x:c r="K3275" t="str">
        <x:v>Pièces décrites, murs, portes, niveaux et mobilier inspectables à l’échelle. Volumes réservés, raccord au seed, butin, rencontres et services de campagne restent à terminer.</x:v>
      </x:c>
    </x:row>
    <x:row r="3276">
      <x:c r="A3276" t="str">
        <x:v>EXT-MONDE-T066-V21</x:v>
      </x:c>
      <x:c r="B3276" t="str">
        <x:v>EXT-MONDE-T066</x:v>
      </x:c>
      <x:c r="C3276" t="str">
        <x:v>Stades</x:v>
      </x:c>
      <x:c r="D3276" t="str">
        <x:v>Grand stade couvert</x:v>
      </x:c>
      <x:c r="E3276" t="n">
        <x:v>21</x:v>
      </x:c>
      <x:c r="F3276" t="str">
        <x:v>Inspection physique</x:v>
      </x:c>
      <x:c r="G3276" t="str">
        <x:v>1 niveaux ; 40 pièces ; 310 segments de mur ; 0 transitions. Inspection physique ; architecture complète encore ouverte.</x:v>
      </x:c>
      <x:c r="H3276" t="str">
        <x:v>L 212 ; l 251 ; hauteur 44 m ; emprise auteur, non relevé complet d’un lieu réel</x:v>
      </x:c>
      <x:c r="I3276" t="str">
        <x:v>À équilibrer</x:v>
      </x:c>
      <x:c r="J3276" t="str">
        <x:v>Non</x:v>
      </x:c>
      <x:c r="K3276" t="str">
        <x:v>Pièces décrites, murs, portes, niveaux et mobilier inspectables à l’échelle. Volumes réservés, raccord au seed, butin, rencontres et services de campagne restent à terminer.</x:v>
      </x:c>
    </x:row>
    <x:row r="3277">
      <x:c r="A3277" t="str">
        <x:v>EXT-MONDE-T066-V22</x:v>
      </x:c>
      <x:c r="B3277" t="str">
        <x:v>EXT-MONDE-T066</x:v>
      </x:c>
      <x:c r="C3277" t="str">
        <x:v>Stades</x:v>
      </x:c>
      <x:c r="D3277" t="str">
        <x:v>Grand stade couvert</x:v>
      </x:c>
      <x:c r="E3277" t="n">
        <x:v>22</x:v>
      </x:c>
      <x:c r="F3277" t="str">
        <x:v>Inspection physique</x:v>
      </x:c>
      <x:c r="G3277" t="str">
        <x:v>1 niveaux ; 40 pièces ; 310 segments de mur ; 0 transitions. Inspection physique ; architecture complète encore ouverte.</x:v>
      </x:c>
      <x:c r="H3277" t="str">
        <x:v>L 216 ; l 255 ; hauteur 44 m ; emprise auteur, non relevé complet d’un lieu réel</x:v>
      </x:c>
      <x:c r="I3277" t="str">
        <x:v>À équilibrer</x:v>
      </x:c>
      <x:c r="J3277" t="str">
        <x:v>Non</x:v>
      </x:c>
      <x:c r="K3277" t="str">
        <x:v>Pièces décrites, murs, portes, niveaux et mobilier inspectables à l’échelle. Volumes réservés, raccord au seed, butin, rencontres et services de campagne restent à terminer.</x:v>
      </x:c>
    </x:row>
    <x:row r="3278">
      <x:c r="A3278" t="str">
        <x:v>EXT-MONDE-T066-V23</x:v>
      </x:c>
      <x:c r="B3278" t="str">
        <x:v>EXT-MONDE-T066</x:v>
      </x:c>
      <x:c r="C3278" t="str">
        <x:v>Stades</x:v>
      </x:c>
      <x:c r="D3278" t="str">
        <x:v>Grand stade couvert</x:v>
      </x:c>
      <x:c r="E3278" t="n">
        <x:v>23</x:v>
      </x:c>
      <x:c r="F3278" t="str">
        <x:v>Inspection physique</x:v>
      </x:c>
      <x:c r="G3278" t="str">
        <x:v>1 niveaux ; 40 pièces ; 310 segments de mur ; 0 transitions. Inspection physique ; architecture complète encore ouverte.</x:v>
      </x:c>
      <x:c r="H3278" t="str">
        <x:v>L 220 ; l 259 ; hauteur 44 m ; emprise auteur, non relevé complet d’un lieu réel</x:v>
      </x:c>
      <x:c r="I3278" t="str">
        <x:v>À équilibrer</x:v>
      </x:c>
      <x:c r="J3278" t="str">
        <x:v>Non</x:v>
      </x:c>
      <x:c r="K3278" t="str">
        <x:v>Pièces décrites, murs, portes, niveaux et mobilier inspectables à l’échelle. Volumes réservés, raccord au seed, butin, rencontres et services de campagne restent à terminer.</x:v>
      </x:c>
    </x:row>
    <x:row r="3279">
      <x:c r="A3279" t="str">
        <x:v>EXT-MONDE-T066-V24</x:v>
      </x:c>
      <x:c r="B3279" t="str">
        <x:v>EXT-MONDE-T066</x:v>
      </x:c>
      <x:c r="C3279" t="str">
        <x:v>Stades</x:v>
      </x:c>
      <x:c r="D3279" t="str">
        <x:v>Grand stade couvert</x:v>
      </x:c>
      <x:c r="E3279" t="n">
        <x:v>24</x:v>
      </x:c>
      <x:c r="F3279" t="str">
        <x:v>Inspection physique</x:v>
      </x:c>
      <x:c r="G3279" t="str">
        <x:v>1 niveaux ; 40 pièces ; 310 segments de mur ; 0 transitions. Inspection physique ; architecture complète encore ouverte.</x:v>
      </x:c>
      <x:c r="H3279" t="str">
        <x:v>L 224 ; l 263 ; hauteur 44 m ; emprise auteur, non relevé complet d’un lieu réel</x:v>
      </x:c>
      <x:c r="I3279" t="str">
        <x:v>À équilibrer</x:v>
      </x:c>
      <x:c r="J3279" t="str">
        <x:v>Non</x:v>
      </x:c>
      <x:c r="K3279" t="str">
        <x:v>Pièces décrites, murs, portes, niveaux et mobilier inspectables à l’échelle. Volumes réservés, raccord au seed, butin, rencontres et services de campagne restent à terminer.</x:v>
      </x:c>
    </x:row>
    <x:row r="3280">
      <x:c r="A3280" t="str">
        <x:v>EXT-MONDE-T066-V25</x:v>
      </x:c>
      <x:c r="B3280" t="str">
        <x:v>EXT-MONDE-T066</x:v>
      </x:c>
      <x:c r="C3280" t="str">
        <x:v>Stades</x:v>
      </x:c>
      <x:c r="D3280" t="str">
        <x:v>Grand stade couvert</x:v>
      </x:c>
      <x:c r="E3280" t="n">
        <x:v>25</x:v>
      </x:c>
      <x:c r="F3280" t="str">
        <x:v>Inspection physique</x:v>
      </x:c>
      <x:c r="G3280" t="str">
        <x:v>1 niveaux ; 40 pièces ; 310 segments de mur ; 0 transitions. Inspection physique ; architecture complète encore ouverte.</x:v>
      </x:c>
      <x:c r="H3280" t="str">
        <x:v>L 228 ; l 267 ; hauteur 44 m ; emprise auteur, non relevé complet d’un lieu réel</x:v>
      </x:c>
      <x:c r="I3280" t="str">
        <x:v>À équilibrer</x:v>
      </x:c>
      <x:c r="J3280" t="str">
        <x:v>Non</x:v>
      </x:c>
      <x:c r="K3280" t="str">
        <x:v>Pièces décrites, murs, portes, niveaux et mobilier inspectables à l’échelle. Volumes réservés, raccord au seed, butin, rencontres et services de campagne restent à terminer.</x:v>
      </x:c>
    </x:row>
    <x:row r="3281">
      <x:c r="A3281" t="str">
        <x:v>EXT-MONDE-T066-V26</x:v>
      </x:c>
      <x:c r="B3281" t="str">
        <x:v>EXT-MONDE-T066</x:v>
      </x:c>
      <x:c r="C3281" t="str">
        <x:v>Stades</x:v>
      </x:c>
      <x:c r="D3281" t="str">
        <x:v>Grand stade couvert</x:v>
      </x:c>
      <x:c r="E3281" t="n">
        <x:v>26</x:v>
      </x:c>
      <x:c r="F3281" t="str">
        <x:v>Inspection physique</x:v>
      </x:c>
      <x:c r="G3281" t="str">
        <x:v>1 niveaux ; 40 pièces ; 310 segments de mur ; 0 transitions. Inspection physique ; architecture complète encore ouverte.</x:v>
      </x:c>
      <x:c r="H3281" t="str">
        <x:v>L 232 ; l 271 ; hauteur 44 m ; emprise auteur, non relevé complet d’un lieu réel</x:v>
      </x:c>
      <x:c r="I3281" t="str">
        <x:v>À équilibrer</x:v>
      </x:c>
      <x:c r="J3281" t="str">
        <x:v>Non</x:v>
      </x:c>
      <x:c r="K3281" t="str">
        <x:v>Pièces décrites, murs, portes, niveaux et mobilier inspectables à l’échelle. Volumes réservés, raccord au seed, butin, rencontres et services de campagne restent à terminer.</x:v>
      </x:c>
    </x:row>
    <x:row r="3282">
      <x:c r="A3282" t="str">
        <x:v>EXT-MONDE-T066-V27</x:v>
      </x:c>
      <x:c r="B3282" t="str">
        <x:v>EXT-MONDE-T066</x:v>
      </x:c>
      <x:c r="C3282" t="str">
        <x:v>Stades</x:v>
      </x:c>
      <x:c r="D3282" t="str">
        <x:v>Grand stade couvert</x:v>
      </x:c>
      <x:c r="E3282" t="n">
        <x:v>27</x:v>
      </x:c>
      <x:c r="F3282" t="str">
        <x:v>Inspection physique</x:v>
      </x:c>
      <x:c r="G3282" t="str">
        <x:v>1 niveaux ; 40 pièces ; 310 segments de mur ; 0 transitions. Inspection physique ; architecture complète encore ouverte.</x:v>
      </x:c>
      <x:c r="H3282" t="str">
        <x:v>L 236 ; l 275 ; hauteur 44 m ; emprise auteur, non relevé complet d’un lieu réel</x:v>
      </x:c>
      <x:c r="I3282" t="str">
        <x:v>À équilibrer</x:v>
      </x:c>
      <x:c r="J3282" t="str">
        <x:v>Non</x:v>
      </x:c>
      <x:c r="K3282" t="str">
        <x:v>Pièces décrites, murs, portes, niveaux et mobilier inspectables à l’échelle. Volumes réservés, raccord au seed, butin, rencontres et services de campagne restent à terminer.</x:v>
      </x:c>
    </x:row>
    <x:row r="3283">
      <x:c r="A3283" t="str">
        <x:v>EXT-MONDE-T066-V28</x:v>
      </x:c>
      <x:c r="B3283" t="str">
        <x:v>EXT-MONDE-T066</x:v>
      </x:c>
      <x:c r="C3283" t="str">
        <x:v>Stades</x:v>
      </x:c>
      <x:c r="D3283" t="str">
        <x:v>Grand stade couvert</x:v>
      </x:c>
      <x:c r="E3283" t="n">
        <x:v>28</x:v>
      </x:c>
      <x:c r="F3283" t="str">
        <x:v>Inspection physique</x:v>
      </x:c>
      <x:c r="G3283" t="str">
        <x:v>1 niveaux ; 40 pièces ; 310 segments de mur ; 0 transitions. Inspection physique ; architecture complète encore ouverte.</x:v>
      </x:c>
      <x:c r="H3283" t="str">
        <x:v>L 240 ; l 279 ; hauteur 44 m ; emprise auteur, non relevé complet d’un lieu réel</x:v>
      </x:c>
      <x:c r="I3283" t="str">
        <x:v>À équilibrer</x:v>
      </x:c>
      <x:c r="J3283" t="str">
        <x:v>Non</x:v>
      </x:c>
      <x:c r="K3283" t="str">
        <x:v>Pièces décrites, murs, portes, niveaux et mobilier inspectables à l’échelle. Volumes réservés, raccord au seed, butin, rencontres et services de campagne restent à terminer.</x:v>
      </x:c>
    </x:row>
    <x:row r="3284">
      <x:c r="A3284" t="str">
        <x:v>EXT-MONDE-T066-V29</x:v>
      </x:c>
      <x:c r="B3284" t="str">
        <x:v>EXT-MONDE-T066</x:v>
      </x:c>
      <x:c r="C3284" t="str">
        <x:v>Stades</x:v>
      </x:c>
      <x:c r="D3284" t="str">
        <x:v>Grand stade couvert</x:v>
      </x:c>
      <x:c r="E3284" t="n">
        <x:v>29</x:v>
      </x:c>
      <x:c r="F3284" t="str">
        <x:v>Inspection physique</x:v>
      </x:c>
      <x:c r="G3284" t="str">
        <x:v>1 niveaux ; 40 pièces ; 310 segments de mur ; 0 transitions. Inspection physique ; architecture complète encore ouverte.</x:v>
      </x:c>
      <x:c r="H3284" t="str">
        <x:v>L 244 ; l 283 ; hauteur 44 m ; emprise auteur, non relevé complet d’un lieu réel</x:v>
      </x:c>
      <x:c r="I3284" t="str">
        <x:v>À équilibrer</x:v>
      </x:c>
      <x:c r="J3284" t="str">
        <x:v>Non</x:v>
      </x:c>
      <x:c r="K3284" t="str">
        <x:v>Pièces décrites, murs, portes, niveaux et mobilier inspectables à l’échelle. Volumes réservés, raccord au seed, butin, rencontres et services de campagne restent à terminer.</x:v>
      </x:c>
    </x:row>
    <x:row r="3285">
      <x:c r="A3285" t="str">
        <x:v>EXT-MONDE-T066-V30</x:v>
      </x:c>
      <x:c r="B3285" t="str">
        <x:v>EXT-MONDE-T066</x:v>
      </x:c>
      <x:c r="C3285" t="str">
        <x:v>Stades</x:v>
      </x:c>
      <x:c r="D3285" t="str">
        <x:v>Grand stade couvert</x:v>
      </x:c>
      <x:c r="E3285" t="n">
        <x:v>30</x:v>
      </x:c>
      <x:c r="F3285" t="str">
        <x:v>Inspection physique</x:v>
      </x:c>
      <x:c r="G3285" t="str">
        <x:v>1 niveaux ; 40 pièces ; 310 segments de mur ; 0 transitions. Inspection physique ; architecture complète encore ouverte.</x:v>
      </x:c>
      <x:c r="H3285" t="str">
        <x:v>L 248 ; l 287 ; hauteur 44 m ; emprise auteur, non relevé complet d’un lieu réel</x:v>
      </x:c>
      <x:c r="I3285" t="str">
        <x:v>À équilibrer</x:v>
      </x:c>
      <x:c r="J3285" t="str">
        <x:v>Non</x:v>
      </x:c>
      <x:c r="K3285" t="str">
        <x:v>Pièces décrites, murs, portes, niveaux et mobilier inspectables à l’échelle. Volumes réservés, raccord au seed, butin, rencontres et services de campagne restent à terminer.</x:v>
      </x:c>
    </x:row>
    <x:row r="3286">
      <x:c r="A3286" t="str">
        <x:v>EXT-MONDE-T066-V31</x:v>
      </x:c>
      <x:c r="B3286" t="str">
        <x:v>EXT-MONDE-T066</x:v>
      </x:c>
      <x:c r="C3286" t="str">
        <x:v>Stades</x:v>
      </x:c>
      <x:c r="D3286" t="str">
        <x:v>Grand stade couvert</x:v>
      </x:c>
      <x:c r="E3286" t="n">
        <x:v>31</x:v>
      </x:c>
      <x:c r="F3286" t="str">
        <x:v>Inspection physique</x:v>
      </x:c>
      <x:c r="G3286" t="str">
        <x:v>1 niveaux ; 40 pièces ; 310 segments de mur ; 0 transitions. Inspection physique ; architecture complète encore ouverte.</x:v>
      </x:c>
      <x:c r="H3286" t="str">
        <x:v>L 228 ; l 267 ; hauteur 48 m ; emprise auteur, non relevé complet d’un lieu réel</x:v>
      </x:c>
      <x:c r="I3286" t="str">
        <x:v>À équilibrer</x:v>
      </x:c>
      <x:c r="J3286" t="str">
        <x:v>Non</x:v>
      </x:c>
      <x:c r="K3286" t="str">
        <x:v>Pièces décrites, murs, portes, niveaux et mobilier inspectables à l’échelle. Volumes réservés, raccord au seed, butin, rencontres et services de campagne restent à terminer.</x:v>
      </x:c>
    </x:row>
    <x:row r="3287">
      <x:c r="A3287" t="str">
        <x:v>EXT-MONDE-T066-V32</x:v>
      </x:c>
      <x:c r="B3287" t="str">
        <x:v>EXT-MONDE-T066</x:v>
      </x:c>
      <x:c r="C3287" t="str">
        <x:v>Stades</x:v>
      </x:c>
      <x:c r="D3287" t="str">
        <x:v>Grand stade couvert</x:v>
      </x:c>
      <x:c r="E3287" t="n">
        <x:v>32</x:v>
      </x:c>
      <x:c r="F3287" t="str">
        <x:v>Inspection physique</x:v>
      </x:c>
      <x:c r="G3287" t="str">
        <x:v>1 niveaux ; 40 pièces ; 310 segments de mur ; 0 transitions. Inspection physique ; architecture complète encore ouverte.</x:v>
      </x:c>
      <x:c r="H3287" t="str">
        <x:v>L 232 ; l 271 ; hauteur 48 m ; emprise auteur, non relevé complet d’un lieu réel</x:v>
      </x:c>
      <x:c r="I3287" t="str">
        <x:v>À équilibrer</x:v>
      </x:c>
      <x:c r="J3287" t="str">
        <x:v>Non</x:v>
      </x:c>
      <x:c r="K3287" t="str">
        <x:v>Pièces décrites, murs, portes, niveaux et mobilier inspectables à l’échelle. Volumes réservés, raccord au seed, butin, rencontres et services de campagne restent à terminer.</x:v>
      </x:c>
    </x:row>
    <x:row r="3288">
      <x:c r="A3288" t="str">
        <x:v>EXT-MONDE-T066-V33</x:v>
      </x:c>
      <x:c r="B3288" t="str">
        <x:v>EXT-MONDE-T066</x:v>
      </x:c>
      <x:c r="C3288" t="str">
        <x:v>Stades</x:v>
      </x:c>
      <x:c r="D3288" t="str">
        <x:v>Grand stade couvert</x:v>
      </x:c>
      <x:c r="E3288" t="n">
        <x:v>33</x:v>
      </x:c>
      <x:c r="F3288" t="str">
        <x:v>Inspection physique</x:v>
      </x:c>
      <x:c r="G3288" t="str">
        <x:v>1 niveaux ; 40 pièces ; 310 segments de mur ; 0 transitions. Inspection physique ; architecture complète encore ouverte.</x:v>
      </x:c>
      <x:c r="H3288" t="str">
        <x:v>L 236 ; l 275 ; hauteur 48 m ; emprise auteur, non relevé complet d’un lieu réel</x:v>
      </x:c>
      <x:c r="I3288" t="str">
        <x:v>À équilibrer</x:v>
      </x:c>
      <x:c r="J3288" t="str">
        <x:v>Non</x:v>
      </x:c>
      <x:c r="K3288" t="str">
        <x:v>Pièces décrites, murs, portes, niveaux et mobilier inspectables à l’échelle. Volumes réservés, raccord au seed, butin, rencontres et services de campagne restent à terminer.</x:v>
      </x:c>
    </x:row>
    <x:row r="3289">
      <x:c r="A3289" t="str">
        <x:v>EXT-MONDE-T066-V34</x:v>
      </x:c>
      <x:c r="B3289" t="str">
        <x:v>EXT-MONDE-T066</x:v>
      </x:c>
      <x:c r="C3289" t="str">
        <x:v>Stades</x:v>
      </x:c>
      <x:c r="D3289" t="str">
        <x:v>Grand stade couvert</x:v>
      </x:c>
      <x:c r="E3289" t="n">
        <x:v>34</x:v>
      </x:c>
      <x:c r="F3289" t="str">
        <x:v>Inspection physique</x:v>
      </x:c>
      <x:c r="G3289" t="str">
        <x:v>1 niveaux ; 40 pièces ; 310 segments de mur ; 0 transitions. Inspection physique ; architecture complète encore ouverte.</x:v>
      </x:c>
      <x:c r="H3289" t="str">
        <x:v>L 240 ; l 279 ; hauteur 48 m ; emprise auteur, non relevé complet d’un lieu réel</x:v>
      </x:c>
      <x:c r="I3289" t="str">
        <x:v>À équilibrer</x:v>
      </x:c>
      <x:c r="J3289" t="str">
        <x:v>Non</x:v>
      </x:c>
      <x:c r="K3289" t="str">
        <x:v>Pièces décrites, murs, portes, niveaux et mobilier inspectables à l’échelle. Volumes réservés, raccord au seed, butin, rencontres et services de campagne restent à terminer.</x:v>
      </x:c>
    </x:row>
    <x:row r="3290">
      <x:c r="A3290" t="str">
        <x:v>EXT-MONDE-T066-V35</x:v>
      </x:c>
      <x:c r="B3290" t="str">
        <x:v>EXT-MONDE-T066</x:v>
      </x:c>
      <x:c r="C3290" t="str">
        <x:v>Stades</x:v>
      </x:c>
      <x:c r="D3290" t="str">
        <x:v>Grand stade couvert</x:v>
      </x:c>
      <x:c r="E3290" t="n">
        <x:v>35</x:v>
      </x:c>
      <x:c r="F3290" t="str">
        <x:v>Inspection physique</x:v>
      </x:c>
      <x:c r="G3290" t="str">
        <x:v>1 niveaux ; 40 pièces ; 310 segments de mur ; 0 transitions. Inspection physique ; architecture complète encore ouverte.</x:v>
      </x:c>
      <x:c r="H3290" t="str">
        <x:v>L 244 ; l 283 ; hauteur 48 m ; emprise auteur, non relevé complet d’un lieu réel</x:v>
      </x:c>
      <x:c r="I3290" t="str">
        <x:v>À équilibrer</x:v>
      </x:c>
      <x:c r="J3290" t="str">
        <x:v>Non</x:v>
      </x:c>
      <x:c r="K3290" t="str">
        <x:v>Pièces décrites, murs, portes, niveaux et mobilier inspectables à l’échelle. Volumes réservés, raccord au seed, butin, rencontres et services de campagne restent à terminer.</x:v>
      </x:c>
    </x:row>
    <x:row r="3291">
      <x:c r="A3291" t="str">
        <x:v>EXT-MONDE-T066-V36</x:v>
      </x:c>
      <x:c r="B3291" t="str">
        <x:v>EXT-MONDE-T066</x:v>
      </x:c>
      <x:c r="C3291" t="str">
        <x:v>Stades</x:v>
      </x:c>
      <x:c r="D3291" t="str">
        <x:v>Grand stade couvert</x:v>
      </x:c>
      <x:c r="E3291" t="n">
        <x:v>36</x:v>
      </x:c>
      <x:c r="F3291" t="str">
        <x:v>Inspection physique</x:v>
      </x:c>
      <x:c r="G3291" t="str">
        <x:v>1 niveaux ; 40 pièces ; 310 segments de mur ; 0 transitions. Inspection physique ; architecture complète encore ouverte.</x:v>
      </x:c>
      <x:c r="H3291" t="str">
        <x:v>L 248 ; l 287 ; hauteur 48 m ; emprise auteur, non relevé complet d’un lieu réel</x:v>
      </x:c>
      <x:c r="I3291" t="str">
        <x:v>À équilibrer</x:v>
      </x:c>
      <x:c r="J3291" t="str">
        <x:v>Non</x:v>
      </x:c>
      <x:c r="K3291" t="str">
        <x:v>Pièces décrites, murs, portes, niveaux et mobilier inspectables à l’échelle. Volumes réservés, raccord au seed, butin, rencontres et services de campagne restent à terminer.</x:v>
      </x:c>
    </x:row>
    <x:row r="3292">
      <x:c r="A3292" t="str">
        <x:v>EXT-MONDE-T066-V37</x:v>
      </x:c>
      <x:c r="B3292" t="str">
        <x:v>EXT-MONDE-T066</x:v>
      </x:c>
      <x:c r="C3292" t="str">
        <x:v>Stades</x:v>
      </x:c>
      <x:c r="D3292" t="str">
        <x:v>Grand stade couvert</x:v>
      </x:c>
      <x:c r="E3292" t="n">
        <x:v>37</x:v>
      </x:c>
      <x:c r="F3292" t="str">
        <x:v>Inspection physique</x:v>
      </x:c>
      <x:c r="G3292" t="str">
        <x:v>1 niveaux ; 40 pièces ; 310 segments de mur ; 0 transitions. Inspection physique ; architecture complète encore ouverte.</x:v>
      </x:c>
      <x:c r="H3292" t="str">
        <x:v>L 252 ; l 291 ; hauteur 48 m ; emprise auteur, non relevé complet d’un lieu réel</x:v>
      </x:c>
      <x:c r="I3292" t="str">
        <x:v>À équilibrer</x:v>
      </x:c>
      <x:c r="J3292" t="str">
        <x:v>Non</x:v>
      </x:c>
      <x:c r="K3292" t="str">
        <x:v>Pièces décrites, murs, portes, niveaux et mobilier inspectables à l’échelle. Volumes réservés, raccord au seed, butin, rencontres et services de campagne restent à terminer.</x:v>
      </x:c>
    </x:row>
    <x:row r="3293">
      <x:c r="A3293" t="str">
        <x:v>EXT-MONDE-T066-V38</x:v>
      </x:c>
      <x:c r="B3293" t="str">
        <x:v>EXT-MONDE-T066</x:v>
      </x:c>
      <x:c r="C3293" t="str">
        <x:v>Stades</x:v>
      </x:c>
      <x:c r="D3293" t="str">
        <x:v>Grand stade couvert</x:v>
      </x:c>
      <x:c r="E3293" t="n">
        <x:v>38</x:v>
      </x:c>
      <x:c r="F3293" t="str">
        <x:v>Inspection physique</x:v>
      </x:c>
      <x:c r="G3293" t="str">
        <x:v>1 niveaux ; 40 pièces ; 310 segments de mur ; 0 transitions. Inspection physique ; architecture complète encore ouverte.</x:v>
      </x:c>
      <x:c r="H3293" t="str">
        <x:v>L 256 ; l 295 ; hauteur 48 m ; emprise auteur, non relevé complet d’un lieu réel</x:v>
      </x:c>
      <x:c r="I3293" t="str">
        <x:v>À équilibrer</x:v>
      </x:c>
      <x:c r="J3293" t="str">
        <x:v>Non</x:v>
      </x:c>
      <x:c r="K3293" t="str">
        <x:v>Pièces décrites, murs, portes, niveaux et mobilier inspectables à l’échelle. Volumes réservés, raccord au seed, butin, rencontres et services de campagne restent à terminer.</x:v>
      </x:c>
    </x:row>
    <x:row r="3294">
      <x:c r="A3294" t="str">
        <x:v>EXT-MONDE-T066-V39</x:v>
      </x:c>
      <x:c r="B3294" t="str">
        <x:v>EXT-MONDE-T066</x:v>
      </x:c>
      <x:c r="C3294" t="str">
        <x:v>Stades</x:v>
      </x:c>
      <x:c r="D3294" t="str">
        <x:v>Grand stade couvert</x:v>
      </x:c>
      <x:c r="E3294" t="n">
        <x:v>39</x:v>
      </x:c>
      <x:c r="F3294" t="str">
        <x:v>Inspection physique</x:v>
      </x:c>
      <x:c r="G3294" t="str">
        <x:v>1 niveaux ; 40 pièces ; 310 segments de mur ; 0 transitions. Inspection physique ; architecture complète encore ouverte.</x:v>
      </x:c>
      <x:c r="H3294" t="str">
        <x:v>L 260 ; l 299 ; hauteur 48 m ; emprise auteur, non relevé complet d’un lieu réel</x:v>
      </x:c>
      <x:c r="I3294" t="str">
        <x:v>À équilibrer</x:v>
      </x:c>
      <x:c r="J3294" t="str">
        <x:v>Non</x:v>
      </x:c>
      <x:c r="K3294" t="str">
        <x:v>Pièces décrites, murs, portes, niveaux et mobilier inspectables à l’échelle. Volumes réservés, raccord au seed, butin, rencontres et services de campagne restent à terminer.</x:v>
      </x:c>
    </x:row>
    <x:row r="3295">
      <x:c r="A3295" t="str">
        <x:v>EXT-MONDE-T066-V40</x:v>
      </x:c>
      <x:c r="B3295" t="str">
        <x:v>EXT-MONDE-T066</x:v>
      </x:c>
      <x:c r="C3295" t="str">
        <x:v>Stades</x:v>
      </x:c>
      <x:c r="D3295" t="str">
        <x:v>Grand stade couvert</x:v>
      </x:c>
      <x:c r="E3295" t="n">
        <x:v>40</x:v>
      </x:c>
      <x:c r="F3295" t="str">
        <x:v>Inspection physique</x:v>
      </x:c>
      <x:c r="G3295" t="str">
        <x:v>1 niveaux ; 40 pièces ; 310 segments de mur ; 0 transitions. Inspection physique ; architecture complète encore ouverte.</x:v>
      </x:c>
      <x:c r="H3295" t="str">
        <x:v>L 264 ; l 303 ; hauteur 48 m ; emprise auteur, non relevé complet d’un lieu réel</x:v>
      </x:c>
      <x:c r="I3295" t="str">
        <x:v>À équilibrer</x:v>
      </x:c>
      <x:c r="J3295" t="str">
        <x:v>Non</x:v>
      </x:c>
      <x:c r="K3295" t="str">
        <x:v>Pièces décrites, murs, portes, niveaux et mobilier inspectables à l’échelle. Volumes réservés, raccord au seed, butin, rencontres et services de campagne restent à terminer.</x:v>
      </x:c>
    </x:row>
    <x:row r="3296">
      <x:c r="A3296" t="str">
        <x:v>EXT-MONDE-T066-V41</x:v>
      </x:c>
      <x:c r="B3296" t="str">
        <x:v>EXT-MONDE-T066</x:v>
      </x:c>
      <x:c r="C3296" t="str">
        <x:v>Stades</x:v>
      </x:c>
      <x:c r="D3296" t="str">
        <x:v>Grand stade couvert</x:v>
      </x:c>
      <x:c r="E3296" t="n">
        <x:v>41</x:v>
      </x:c>
      <x:c r="F3296" t="str">
        <x:v>Inspection physique</x:v>
      </x:c>
      <x:c r="G3296" t="str">
        <x:v>1 niveaux ; 40 pièces ; 310 segments de mur ; 0 transitions. Inspection physique ; architecture complète encore ouverte.</x:v>
      </x:c>
      <x:c r="H3296" t="str">
        <x:v>L 244 ; l 283 ; hauteur 52 m ; emprise auteur, non relevé complet d’un lieu réel</x:v>
      </x:c>
      <x:c r="I3296" t="str">
        <x:v>À équilibrer</x:v>
      </x:c>
      <x:c r="J3296" t="str">
        <x:v>Non</x:v>
      </x:c>
      <x:c r="K3296" t="str">
        <x:v>Pièces décrites, murs, portes, niveaux et mobilier inspectables à l’échelle. Volumes réservés, raccord au seed, butin, rencontres et services de campagne restent à terminer.</x:v>
      </x:c>
    </x:row>
    <x:row r="3297">
      <x:c r="A3297" t="str">
        <x:v>EXT-MONDE-T066-V42</x:v>
      </x:c>
      <x:c r="B3297" t="str">
        <x:v>EXT-MONDE-T066</x:v>
      </x:c>
      <x:c r="C3297" t="str">
        <x:v>Stades</x:v>
      </x:c>
      <x:c r="D3297" t="str">
        <x:v>Grand stade couvert</x:v>
      </x:c>
      <x:c r="E3297" t="n">
        <x:v>42</x:v>
      </x:c>
      <x:c r="F3297" t="str">
        <x:v>Inspection physique</x:v>
      </x:c>
      <x:c r="G3297" t="str">
        <x:v>1 niveaux ; 40 pièces ; 310 segments de mur ; 0 transitions. Inspection physique ; architecture complète encore ouverte.</x:v>
      </x:c>
      <x:c r="H3297" t="str">
        <x:v>L 248 ; l 287 ; hauteur 52 m ; emprise auteur, non relevé complet d’un lieu réel</x:v>
      </x:c>
      <x:c r="I3297" t="str">
        <x:v>À équilibrer</x:v>
      </x:c>
      <x:c r="J3297" t="str">
        <x:v>Non</x:v>
      </x:c>
      <x:c r="K3297" t="str">
        <x:v>Pièces décrites, murs, portes, niveaux et mobilier inspectables à l’échelle. Volumes réservés, raccord au seed, butin, rencontres et services de campagne restent à terminer.</x:v>
      </x:c>
    </x:row>
    <x:row r="3298">
      <x:c r="A3298" t="str">
        <x:v>EXT-MONDE-T066-V43</x:v>
      </x:c>
      <x:c r="B3298" t="str">
        <x:v>EXT-MONDE-T066</x:v>
      </x:c>
      <x:c r="C3298" t="str">
        <x:v>Stades</x:v>
      </x:c>
      <x:c r="D3298" t="str">
        <x:v>Grand stade couvert</x:v>
      </x:c>
      <x:c r="E3298" t="n">
        <x:v>43</x:v>
      </x:c>
      <x:c r="F3298" t="str">
        <x:v>Inspection physique</x:v>
      </x:c>
      <x:c r="G3298" t="str">
        <x:v>1 niveaux ; 40 pièces ; 310 segments de mur ; 0 transitions. Inspection physique ; architecture complète encore ouverte.</x:v>
      </x:c>
      <x:c r="H3298" t="str">
        <x:v>L 252 ; l 291 ; hauteur 52 m ; emprise auteur, non relevé complet d’un lieu réel</x:v>
      </x:c>
      <x:c r="I3298" t="str">
        <x:v>À équilibrer</x:v>
      </x:c>
      <x:c r="J3298" t="str">
        <x:v>Non</x:v>
      </x:c>
      <x:c r="K3298" t="str">
        <x:v>Pièces décrites, murs, portes, niveaux et mobilier inspectables à l’échelle. Volumes réservés, raccord au seed, butin, rencontres et services de campagne restent à terminer.</x:v>
      </x:c>
    </x:row>
    <x:row r="3299">
      <x:c r="A3299" t="str">
        <x:v>EXT-MONDE-T066-V44</x:v>
      </x:c>
      <x:c r="B3299" t="str">
        <x:v>EXT-MONDE-T066</x:v>
      </x:c>
      <x:c r="C3299" t="str">
        <x:v>Stades</x:v>
      </x:c>
      <x:c r="D3299" t="str">
        <x:v>Grand stade couvert</x:v>
      </x:c>
      <x:c r="E3299" t="n">
        <x:v>44</x:v>
      </x:c>
      <x:c r="F3299" t="str">
        <x:v>Inspection physique</x:v>
      </x:c>
      <x:c r="G3299" t="str">
        <x:v>1 niveaux ; 40 pièces ; 310 segments de mur ; 0 transitions. Inspection physique ; architecture complète encore ouverte.</x:v>
      </x:c>
      <x:c r="H3299" t="str">
        <x:v>L 256 ; l 295 ; hauteur 52 m ; emprise auteur, non relevé complet d’un lieu réel</x:v>
      </x:c>
      <x:c r="I3299" t="str">
        <x:v>À équilibrer</x:v>
      </x:c>
      <x:c r="J3299" t="str">
        <x:v>Non</x:v>
      </x:c>
      <x:c r="K3299" t="str">
        <x:v>Pièces décrites, murs, portes, niveaux et mobilier inspectables à l’échelle. Volumes réservés, raccord au seed, butin, rencontres et services de campagne restent à terminer.</x:v>
      </x:c>
    </x:row>
    <x:row r="3300">
      <x:c r="A3300" t="str">
        <x:v>EXT-MONDE-T066-V45</x:v>
      </x:c>
      <x:c r="B3300" t="str">
        <x:v>EXT-MONDE-T066</x:v>
      </x:c>
      <x:c r="C3300" t="str">
        <x:v>Stades</x:v>
      </x:c>
      <x:c r="D3300" t="str">
        <x:v>Grand stade couvert</x:v>
      </x:c>
      <x:c r="E3300" t="n">
        <x:v>45</x:v>
      </x:c>
      <x:c r="F3300" t="str">
        <x:v>Inspection physique</x:v>
      </x:c>
      <x:c r="G3300" t="str">
        <x:v>1 niveaux ; 40 pièces ; 310 segments de mur ; 0 transitions. Inspection physique ; architecture complète encore ouverte.</x:v>
      </x:c>
      <x:c r="H3300" t="str">
        <x:v>L 260 ; l 299 ; hauteur 52 m ; emprise auteur, non relevé complet d’un lieu réel</x:v>
      </x:c>
      <x:c r="I3300" t="str">
        <x:v>À équilibrer</x:v>
      </x:c>
      <x:c r="J3300" t="str">
        <x:v>Non</x:v>
      </x:c>
      <x:c r="K3300" t="str">
        <x:v>Pièces décrites, murs, portes, niveaux et mobilier inspectables à l’échelle. Volumes réservés, raccord au seed, butin, rencontres et services de campagne restent à terminer.</x:v>
      </x:c>
    </x:row>
    <x:row r="3301">
      <x:c r="A3301" t="str">
        <x:v>EXT-MONDE-T066-V46</x:v>
      </x:c>
      <x:c r="B3301" t="str">
        <x:v>EXT-MONDE-T066</x:v>
      </x:c>
      <x:c r="C3301" t="str">
        <x:v>Stades</x:v>
      </x:c>
      <x:c r="D3301" t="str">
        <x:v>Grand stade couvert</x:v>
      </x:c>
      <x:c r="E3301" t="n">
        <x:v>46</x:v>
      </x:c>
      <x:c r="F3301" t="str">
        <x:v>Inspection physique</x:v>
      </x:c>
      <x:c r="G3301" t="str">
        <x:v>1 niveaux ; 40 pièces ; 310 segments de mur ; 0 transitions. Inspection physique ; architecture complète encore ouverte.</x:v>
      </x:c>
      <x:c r="H3301" t="str">
        <x:v>L 264 ; l 303 ; hauteur 52 m ; emprise auteur, non relevé complet d’un lieu réel</x:v>
      </x:c>
      <x:c r="I3301" t="str">
        <x:v>À équilibrer</x:v>
      </x:c>
      <x:c r="J3301" t="str">
        <x:v>Non</x:v>
      </x:c>
      <x:c r="K3301" t="str">
        <x:v>Pièces décrites, murs, portes, niveaux et mobilier inspectables à l’échelle. Volumes réservés, raccord au seed, butin, rencontres et services de campagne restent à terminer.</x:v>
      </x:c>
    </x:row>
    <x:row r="3302">
      <x:c r="A3302" t="str">
        <x:v>EXT-MONDE-T066-V47</x:v>
      </x:c>
      <x:c r="B3302" t="str">
        <x:v>EXT-MONDE-T066</x:v>
      </x:c>
      <x:c r="C3302" t="str">
        <x:v>Stades</x:v>
      </x:c>
      <x:c r="D3302" t="str">
        <x:v>Grand stade couvert</x:v>
      </x:c>
      <x:c r="E3302" t="n">
        <x:v>47</x:v>
      </x:c>
      <x:c r="F3302" t="str">
        <x:v>Inspection physique</x:v>
      </x:c>
      <x:c r="G3302" t="str">
        <x:v>1 niveaux ; 40 pièces ; 310 segments de mur ; 0 transitions. Inspection physique ; architecture complète encore ouverte.</x:v>
      </x:c>
      <x:c r="H3302" t="str">
        <x:v>L 268 ; l 307 ; hauteur 52 m ; emprise auteur, non relevé complet d’un lieu réel</x:v>
      </x:c>
      <x:c r="I3302" t="str">
        <x:v>À équilibrer</x:v>
      </x:c>
      <x:c r="J3302" t="str">
        <x:v>Non</x:v>
      </x:c>
      <x:c r="K3302" t="str">
        <x:v>Pièces décrites, murs, portes, niveaux et mobilier inspectables à l’échelle. Volumes réservés, raccord au seed, butin, rencontres et services de campagne restent à terminer.</x:v>
      </x:c>
    </x:row>
    <x:row r="3303">
      <x:c r="A3303" t="str">
        <x:v>EXT-MONDE-T066-V48</x:v>
      </x:c>
      <x:c r="B3303" t="str">
        <x:v>EXT-MONDE-T066</x:v>
      </x:c>
      <x:c r="C3303" t="str">
        <x:v>Stades</x:v>
      </x:c>
      <x:c r="D3303" t="str">
        <x:v>Grand stade couvert</x:v>
      </x:c>
      <x:c r="E3303" t="n">
        <x:v>48</x:v>
      </x:c>
      <x:c r="F3303" t="str">
        <x:v>Inspection physique</x:v>
      </x:c>
      <x:c r="G3303" t="str">
        <x:v>1 niveaux ; 40 pièces ; 310 segments de mur ; 0 transitions. Inspection physique ; architecture complète encore ouverte.</x:v>
      </x:c>
      <x:c r="H3303" t="str">
        <x:v>L 272 ; l 311 ; hauteur 52 m ; emprise auteur, non relevé complet d’un lieu réel</x:v>
      </x:c>
      <x:c r="I3303" t="str">
        <x:v>À équilibrer</x:v>
      </x:c>
      <x:c r="J3303" t="str">
        <x:v>Non</x:v>
      </x:c>
      <x:c r="K3303" t="str">
        <x:v>Pièces décrites, murs, portes, niveaux et mobilier inspectables à l’échelle. Volumes réservés, raccord au seed, butin, rencontres et services de campagne restent à terminer.</x:v>
      </x:c>
    </x:row>
    <x:row r="3304">
      <x:c r="A3304" t="str">
        <x:v>EXT-MONDE-T066-V49</x:v>
      </x:c>
      <x:c r="B3304" t="str">
        <x:v>EXT-MONDE-T066</x:v>
      </x:c>
      <x:c r="C3304" t="str">
        <x:v>Stades</x:v>
      </x:c>
      <x:c r="D3304" t="str">
        <x:v>Grand stade couvert</x:v>
      </x:c>
      <x:c r="E3304" t="n">
        <x:v>49</x:v>
      </x:c>
      <x:c r="F3304" t="str">
        <x:v>Inspection physique</x:v>
      </x:c>
      <x:c r="G3304" t="str">
        <x:v>1 niveaux ; 40 pièces ; 310 segments de mur ; 0 transitions. Inspection physique ; architecture complète encore ouverte.</x:v>
      </x:c>
      <x:c r="H3304" t="str">
        <x:v>L 276 ; l 315 ; hauteur 52 m ; emprise auteur, non relevé complet d’un lieu réel</x:v>
      </x:c>
      <x:c r="I3304" t="str">
        <x:v>À équilibrer</x:v>
      </x:c>
      <x:c r="J3304" t="str">
        <x:v>Non</x:v>
      </x:c>
      <x:c r="K3304" t="str">
        <x:v>Pièces décrites, murs, portes, niveaux et mobilier inspectables à l’échelle. Volumes réservés, raccord au seed, butin, rencontres et services de campagne restent à terminer.</x:v>
      </x:c>
    </x:row>
    <x:row r="3305">
      <x:c r="A3305" t="str">
        <x:v>EXT-MONDE-T066-V50</x:v>
      </x:c>
      <x:c r="B3305" t="str">
        <x:v>EXT-MONDE-T066</x:v>
      </x:c>
      <x:c r="C3305" t="str">
        <x:v>Stades</x:v>
      </x:c>
      <x:c r="D3305" t="str">
        <x:v>Grand stade couvert</x:v>
      </x:c>
      <x:c r="E3305" t="n">
        <x:v>50</x:v>
      </x:c>
      <x:c r="F3305" t="str">
        <x:v>Inspection physique</x:v>
      </x:c>
      <x:c r="G3305" t="str">
        <x:v>1 niveaux ; 40 pièces ; 310 segments de mur ; 0 transitions. Inspection physique ; architecture complète encore ouverte.</x:v>
      </x:c>
      <x:c r="H3305" t="str">
        <x:v>L 280 ; l 319 ; hauteur 52 m ; emprise auteur, non relevé complet d’un lieu réel</x:v>
      </x:c>
      <x:c r="I3305" t="str">
        <x:v>À équilibrer</x:v>
      </x:c>
      <x:c r="J3305" t="str">
        <x:v>Non</x:v>
      </x:c>
      <x:c r="K3305" t="str">
        <x:v>Pièces décrites, murs, portes, niveaux et mobilier inspectables à l’échelle. Volumes réservés, raccord au seed, butin, rencontres et services de campagne restent à terminer.</x:v>
      </x:c>
    </x:row>
    <x:row r="3306" ht="96" customHeight="1">
      <x:c r="A3306" s="115" t="str">
        <x:v>EXT-MONDE-T067-V01</x:v>
      </x:c>
      <x:c r="B3306" s="115" t="str">
        <x:v>EXT-MONDE-T067</x:v>
      </x:c>
      <x:c r="C3306" s="115" t="str">
        <x:v>Stades</x:v>
      </x:c>
      <x:c r="D3306" s="115" t="str">
        <x:v>Vélodrome</x:v>
      </x:c>
      <x:c r="E3306" s="115" t="n">
        <x:v>1</x:v>
      </x:c>
      <x:c r="F3306" s="115" t="str">
        <x:v>Inspection physique</x:v>
      </x:c>
      <x:c r="G3306" s="115" t="str">
        <x:v>1 niveaux ; 32 pièces ; 248 segments de mur ; 0 transitions. Inspection physique ; architecture complète encore ouverte.</x:v>
      </x:c>
      <x:c r="H3306" s="115" t="str">
        <x:v>L 434 ; l 590 ; hauteur 16 m ; choix de composition auteur ; dimensions réelles à documenter</x:v>
      </x:c>
      <x:c r="I3306" s="115" t="str">
        <x:v>À équilibrer</x:v>
      </x:c>
      <x:c r="J3306" s="115" t="str">
        <x:v>Non</x:v>
      </x:c>
      <x:c r="K3306" s="115" t="str">
        <x:v>Pièces décrites, murs, portes, niveaux et mobilier inspectables à l’échelle. Volumes réservés, raccord au seed, butin, rencontres et services de campagne restent à terminer.</x:v>
      </x:c>
    </x:row>
    <x:row r="3307" ht="96" customHeight="1">
      <x:c r="A3307" s="115" t="str">
        <x:v>EXT-MONDE-T067-V02</x:v>
      </x:c>
      <x:c r="B3307" s="115" t="str">
        <x:v>EXT-MONDE-T067</x:v>
      </x:c>
      <x:c r="C3307" s="115" t="str">
        <x:v>Stades</x:v>
      </x:c>
      <x:c r="D3307" s="115" t="str">
        <x:v>Vélodrome</x:v>
      </x:c>
      <x:c r="E3307" s="115" t="n">
        <x:v>2</x:v>
      </x:c>
      <x:c r="F3307" s="115" t="str">
        <x:v>Inspection physique</x:v>
      </x:c>
      <x:c r="G3307" s="115" t="str">
        <x:v>1 niveaux ; 32 pièces ; 248 segments de mur ; 0 transitions. Inspection physique ; architecture complète encore ouverte.</x:v>
      </x:c>
      <x:c r="H3307" s="115" t="str">
        <x:v>L 434 ; l 590 ; hauteur 16 m ; choix de composition auteur ; dimensions réelles à documenter</x:v>
      </x:c>
      <x:c r="I3307" s="115" t="str">
        <x:v>À équilibrer</x:v>
      </x:c>
      <x:c r="J3307" s="115" t="str">
        <x:v>Non</x:v>
      </x:c>
      <x:c r="K3307" s="115" t="str">
        <x:v>Pièces décrites, murs, portes, niveaux et mobilier inspectables à l’échelle. Volumes réservés, raccord au seed, butin, rencontres et services de campagne restent à terminer.</x:v>
      </x:c>
    </x:row>
    <x:row r="3308" ht="96" customHeight="1">
      <x:c r="A3308" s="115" t="str">
        <x:v>EXT-MONDE-T067-V03</x:v>
      </x:c>
      <x:c r="B3308" s="115" t="str">
        <x:v>EXT-MONDE-T067</x:v>
      </x:c>
      <x:c r="C3308" s="115" t="str">
        <x:v>Stades</x:v>
      </x:c>
      <x:c r="D3308" s="115" t="str">
        <x:v>Vélodrome</x:v>
      </x:c>
      <x:c r="E3308" s="115" t="n">
        <x:v>3</x:v>
      </x:c>
      <x:c r="F3308" s="115" t="str">
        <x:v>Inspection physique</x:v>
      </x:c>
      <x:c r="G3308" s="115" t="str">
        <x:v>1 niveaux ; 32 pièces ; 248 segments de mur ; 0 transitions. Inspection physique ; architecture complète encore ouverte.</x:v>
      </x:c>
      <x:c r="H3308" s="115" t="str">
        <x:v>L 434 ; l 590 ; hauteur 16 m ; choix de composition auteur ; dimensions réelles à documenter</x:v>
      </x:c>
      <x:c r="I3308" s="115" t="str">
        <x:v>À équilibrer</x:v>
      </x:c>
      <x:c r="J3308" s="115" t="str">
        <x:v>Non</x:v>
      </x:c>
      <x:c r="K3308" s="115" t="str">
        <x:v>Pièces décrites, murs, portes, niveaux et mobilier inspectables à l’échelle. Volumes réservés, raccord au seed, butin, rencontres et services de campagne restent à terminer.</x:v>
      </x:c>
    </x:row>
    <x:row r="3309" ht="96" customHeight="1">
      <x:c r="A3309" s="115" t="str">
        <x:v>EXT-MONDE-T067-V04</x:v>
      </x:c>
      <x:c r="B3309" s="115" t="str">
        <x:v>EXT-MONDE-T067</x:v>
      </x:c>
      <x:c r="C3309" s="115" t="str">
        <x:v>Stades</x:v>
      </x:c>
      <x:c r="D3309" s="115" t="str">
        <x:v>Vélodrome</x:v>
      </x:c>
      <x:c r="E3309" s="115" t="n">
        <x:v>4</x:v>
      </x:c>
      <x:c r="F3309" s="115" t="str">
        <x:v>Inspection physique</x:v>
      </x:c>
      <x:c r="G3309" s="115" t="str">
        <x:v>1 niveaux ; 32 pièces ; 248 segments de mur ; 0 transitions. Inspection physique ; architecture complète encore ouverte.</x:v>
      </x:c>
      <x:c r="H3309" s="115" t="str">
        <x:v>L 434 ; l 590 ; hauteur 16 m ; choix de composition auteur ; dimensions réelles à documenter</x:v>
      </x:c>
      <x:c r="I3309" s="115" t="str">
        <x:v>À équilibrer</x:v>
      </x:c>
      <x:c r="J3309" s="115" t="str">
        <x:v>Non</x:v>
      </x:c>
      <x:c r="K3309" s="115" t="str">
        <x:v>Pièces décrites, murs, portes, niveaux et mobilier inspectables à l’échelle. Volumes réservés, raccord au seed, butin, rencontres et services de campagne restent à terminer.</x:v>
      </x:c>
    </x:row>
    <x:row r="3310" ht="96" customHeight="1">
      <x:c r="A3310" s="115" t="str">
        <x:v>EXT-MONDE-T067-V05</x:v>
      </x:c>
      <x:c r="B3310" s="115" t="str">
        <x:v>EXT-MONDE-T067</x:v>
      </x:c>
      <x:c r="C3310" s="115" t="str">
        <x:v>Stades</x:v>
      </x:c>
      <x:c r="D3310" s="115" t="str">
        <x:v>Vélodrome</x:v>
      </x:c>
      <x:c r="E3310" s="115" t="n">
        <x:v>5</x:v>
      </x:c>
      <x:c r="F3310" s="115" t="str">
        <x:v>Inspection physique</x:v>
      </x:c>
      <x:c r="G3310" s="115" t="str">
        <x:v>1 niveaux ; 32 pièces ; 248 segments de mur ; 0 transitions. Inspection physique ; architecture complète encore ouverte.</x:v>
      </x:c>
      <x:c r="H3310" s="115" t="str">
        <x:v>L 434 ; l 590 ; hauteur 16 m ; choix de composition auteur ; dimensions réelles à documenter</x:v>
      </x:c>
      <x:c r="I3310" s="115" t="str">
        <x:v>À équilibrer</x:v>
      </x:c>
      <x:c r="J3310" s="115" t="str">
        <x:v>Non</x:v>
      </x:c>
      <x:c r="K3310" s="115" t="str">
        <x:v>Pièces décrites, murs, portes, niveaux et mobilier inspectables à l’échelle. Volumes réservés, raccord au seed, butin, rencontres et services de campagne restent à terminer.</x:v>
      </x:c>
    </x:row>
    <x:row r="3311" ht="96" customHeight="1">
      <x:c r="A3311" s="115" t="str">
        <x:v>EXT-MONDE-T067-V06</x:v>
      </x:c>
      <x:c r="B3311" s="115" t="str">
        <x:v>EXT-MONDE-T067</x:v>
      </x:c>
      <x:c r="C3311" s="115" t="str">
        <x:v>Stades</x:v>
      </x:c>
      <x:c r="D3311" s="115" t="str">
        <x:v>Vélodrome</x:v>
      </x:c>
      <x:c r="E3311" s="115" t="n">
        <x:v>6</x:v>
      </x:c>
      <x:c r="F3311" s="115" t="str">
        <x:v>Inspection physique</x:v>
      </x:c>
      <x:c r="G3311" s="115" t="str">
        <x:v>1 niveaux ; 32 pièces ; 248 segments de mur ; 0 transitions. Inspection physique ; architecture complète encore ouverte.</x:v>
      </x:c>
      <x:c r="H3311" s="115" t="str">
        <x:v>L 434 ; l 590 ; hauteur 16 m ; choix de composition auteur ; dimensions réelles à documenter</x:v>
      </x:c>
      <x:c r="I3311" s="115" t="str">
        <x:v>À équilibrer</x:v>
      </x:c>
      <x:c r="J3311" s="115" t="str">
        <x:v>Non</x:v>
      </x:c>
      <x:c r="K3311" s="115" t="str">
        <x:v>Pièces décrites, murs, portes, niveaux et mobilier inspectables à l’échelle. Volumes réservés, raccord au seed, butin, rencontres et services de campagne restent à terminer.</x:v>
      </x:c>
    </x:row>
    <x:row r="3312" ht="96" customHeight="1">
      <x:c r="A3312" s="115" t="str">
        <x:v>EXT-MONDE-T067-V07</x:v>
      </x:c>
      <x:c r="B3312" s="115" t="str">
        <x:v>EXT-MONDE-T067</x:v>
      </x:c>
      <x:c r="C3312" s="115" t="str">
        <x:v>Stades</x:v>
      </x:c>
      <x:c r="D3312" s="115" t="str">
        <x:v>Vélodrome</x:v>
      </x:c>
      <x:c r="E3312" s="115" t="n">
        <x:v>7</x:v>
      </x:c>
      <x:c r="F3312" s="115" t="str">
        <x:v>Inspection physique</x:v>
      </x:c>
      <x:c r="G3312" s="115" t="str">
        <x:v>1 niveaux ; 32 pièces ; 248 segments de mur ; 0 transitions. Inspection physique ; architecture complète encore ouverte.</x:v>
      </x:c>
      <x:c r="H3312" s="115" t="str">
        <x:v>L 434 ; l 590 ; hauteur 16 m ; choix de composition auteur ; dimensions réelles à documenter</x:v>
      </x:c>
      <x:c r="I3312" s="115" t="str">
        <x:v>À équilibrer</x:v>
      </x:c>
      <x:c r="J3312" s="115" t="str">
        <x:v>Non</x:v>
      </x:c>
      <x:c r="K3312" s="115" t="str">
        <x:v>Pièces décrites, murs, portes, niveaux et mobilier inspectables à l’échelle. Volumes réservés, raccord au seed, butin, rencontres et services de campagne restent à terminer.</x:v>
      </x:c>
    </x:row>
    <x:row r="3313" ht="96" customHeight="1">
      <x:c r="A3313" s="115" t="str">
        <x:v>EXT-MONDE-T067-V08</x:v>
      </x:c>
      <x:c r="B3313" s="115" t="str">
        <x:v>EXT-MONDE-T067</x:v>
      </x:c>
      <x:c r="C3313" s="115" t="str">
        <x:v>Stades</x:v>
      </x:c>
      <x:c r="D3313" s="115" t="str">
        <x:v>Vélodrome</x:v>
      </x:c>
      <x:c r="E3313" s="115" t="n">
        <x:v>8</x:v>
      </x:c>
      <x:c r="F3313" s="115" t="str">
        <x:v>Inspection physique</x:v>
      </x:c>
      <x:c r="G3313" s="115" t="str">
        <x:v>1 niveaux ; 32 pièces ; 248 segments de mur ; 0 transitions. Inspection physique ; architecture complète encore ouverte.</x:v>
      </x:c>
      <x:c r="H3313" s="115" t="str">
        <x:v>L 434 ; l 590 ; hauteur 16 m ; choix de composition auteur ; dimensions réelles à documenter</x:v>
      </x:c>
      <x:c r="I3313" s="115" t="str">
        <x:v>À équilibrer</x:v>
      </x:c>
      <x:c r="J3313" s="115" t="str">
        <x:v>Non</x:v>
      </x:c>
      <x:c r="K3313" s="115" t="str">
        <x:v>Pièces décrites, murs, portes, niveaux et mobilier inspectables à l’échelle. Volumes réservés, raccord au seed, butin, rencontres et services de campagne restent à terminer.</x:v>
      </x:c>
    </x:row>
    <x:row r="3314" ht="96" customHeight="1">
      <x:c r="A3314" s="115" t="str">
        <x:v>EXT-MONDE-T067-V09</x:v>
      </x:c>
      <x:c r="B3314" s="115" t="str">
        <x:v>EXT-MONDE-T067</x:v>
      </x:c>
      <x:c r="C3314" s="115" t="str">
        <x:v>Stades</x:v>
      </x:c>
      <x:c r="D3314" s="115" t="str">
        <x:v>Vélodrome</x:v>
      </x:c>
      <x:c r="E3314" s="115" t="n">
        <x:v>9</x:v>
      </x:c>
      <x:c r="F3314" s="115" t="str">
        <x:v>Inspection physique</x:v>
      </x:c>
      <x:c r="G3314" s="115" t="str">
        <x:v>1 niveaux ; 32 pièces ; 248 segments de mur ; 0 transitions. Inspection physique ; architecture complète encore ouverte.</x:v>
      </x:c>
      <x:c r="H3314" s="115" t="str">
        <x:v>L 434 ; l 590 ; hauteur 16 m ; choix de composition auteur ; dimensions réelles à documenter</x:v>
      </x:c>
      <x:c r="I3314" s="115" t="str">
        <x:v>À équilibrer</x:v>
      </x:c>
      <x:c r="J3314" s="115" t="str">
        <x:v>Non</x:v>
      </x:c>
      <x:c r="K3314" s="115" t="str">
        <x:v>Pièces décrites, murs, portes, niveaux et mobilier inspectables à l’échelle. Volumes réservés, raccord au seed, butin, rencontres et services de campagne restent à terminer.</x:v>
      </x:c>
    </x:row>
    <x:row r="3315" ht="96" customHeight="1">
      <x:c r="A3315" s="115" t="str">
        <x:v>EXT-MONDE-T067-V10</x:v>
      </x:c>
      <x:c r="B3315" s="115" t="str">
        <x:v>EXT-MONDE-T067</x:v>
      </x:c>
      <x:c r="C3315" s="115" t="str">
        <x:v>Stades</x:v>
      </x:c>
      <x:c r="D3315" s="115" t="str">
        <x:v>Vélodrome</x:v>
      </x:c>
      <x:c r="E3315" s="115" t="n">
        <x:v>10</x:v>
      </x:c>
      <x:c r="F3315" s="115" t="str">
        <x:v>Inspection physique</x:v>
      </x:c>
      <x:c r="G3315" s="115" t="str">
        <x:v>1 niveaux ; 32 pièces ; 248 segments de mur ; 0 transitions. Inspection physique ; architecture complète encore ouverte.</x:v>
      </x:c>
      <x:c r="H3315" s="115" t="str">
        <x:v>L 434 ; l 590 ; hauteur 16 m ; choix de composition auteur ; dimensions réelles à documenter</x:v>
      </x:c>
      <x:c r="I3315" s="115" t="str">
        <x:v>À équilibrer</x:v>
      </x:c>
      <x:c r="J3315" s="115" t="str">
        <x:v>Non</x:v>
      </x:c>
      <x:c r="K3315" s="115" t="str">
        <x:v>Pièces décrites, murs, portes, niveaux et mobilier inspectables à l’échelle. Volumes réservés, raccord au seed, butin, rencontres et services de campagne restent à terminer.</x:v>
      </x:c>
    </x:row>
    <x:row r="3316" ht="96" customHeight="1">
      <x:c r="A3316" s="115" t="str">
        <x:v>EXT-MONDE-T067-V11</x:v>
      </x:c>
      <x:c r="B3316" s="115" t="str">
        <x:v>EXT-MONDE-T067</x:v>
      </x:c>
      <x:c r="C3316" s="115" t="str">
        <x:v>Stades</x:v>
      </x:c>
      <x:c r="D3316" s="115" t="str">
        <x:v>Vélodrome</x:v>
      </x:c>
      <x:c r="E3316" s="115" t="n">
        <x:v>11</x:v>
      </x:c>
      <x:c r="F3316" s="115" t="str">
        <x:v>Inspection physique</x:v>
      </x:c>
      <x:c r="G3316" s="115" t="str">
        <x:v>1 niveaux ; 32 pièces ; 248 segments de mur ; 0 transitions. Inspection physique ; architecture complète encore ouverte.</x:v>
      </x:c>
      <x:c r="H3316" s="115" t="str">
        <x:v>L 446 ; l 598 ; hauteur 16 m ; choix de composition auteur ; dimensions réelles à documenter</x:v>
      </x:c>
      <x:c r="I3316" s="115" t="str">
        <x:v>À équilibrer</x:v>
      </x:c>
      <x:c r="J3316" s="115" t="str">
        <x:v>Non</x:v>
      </x:c>
      <x:c r="K3316" s="115" t="str">
        <x:v>Pièces décrites, murs, portes, niveaux et mobilier inspectables à l’échelle. Volumes réservés, raccord au seed, butin, rencontres et services de campagne restent à terminer.</x:v>
      </x:c>
    </x:row>
    <x:row r="3317" ht="96" customHeight="1">
      <x:c r="A3317" s="115" t="str">
        <x:v>EXT-MONDE-T067-V12</x:v>
      </x:c>
      <x:c r="B3317" s="115" t="str">
        <x:v>EXT-MONDE-T067</x:v>
      </x:c>
      <x:c r="C3317" s="115" t="str">
        <x:v>Stades</x:v>
      </x:c>
      <x:c r="D3317" s="115" t="str">
        <x:v>Vélodrome</x:v>
      </x:c>
      <x:c r="E3317" s="115" t="n">
        <x:v>12</x:v>
      </x:c>
      <x:c r="F3317" s="115" t="str">
        <x:v>Inspection physique</x:v>
      </x:c>
      <x:c r="G3317" s="115" t="str">
        <x:v>1 niveaux ; 32 pièces ; 248 segments de mur ; 0 transitions. Inspection physique ; architecture complète encore ouverte.</x:v>
      </x:c>
      <x:c r="H3317" s="115" t="str">
        <x:v>L 446 ; l 598 ; hauteur 16 m ; choix de composition auteur ; dimensions réelles à documenter</x:v>
      </x:c>
      <x:c r="I3317" s="115" t="str">
        <x:v>À équilibrer</x:v>
      </x:c>
      <x:c r="J3317" s="115" t="str">
        <x:v>Non</x:v>
      </x:c>
      <x:c r="K3317" s="115" t="str">
        <x:v>Pièces décrites, murs, portes, niveaux et mobilier inspectables à l’échelle. Volumes réservés, raccord au seed, butin, rencontres et services de campagne restent à terminer.</x:v>
      </x:c>
    </x:row>
    <x:row r="3318" ht="96" customHeight="1">
      <x:c r="A3318" s="115" t="str">
        <x:v>EXT-MONDE-T067-V13</x:v>
      </x:c>
      <x:c r="B3318" s="115" t="str">
        <x:v>EXT-MONDE-T067</x:v>
      </x:c>
      <x:c r="C3318" s="115" t="str">
        <x:v>Stades</x:v>
      </x:c>
      <x:c r="D3318" s="115" t="str">
        <x:v>Vélodrome</x:v>
      </x:c>
      <x:c r="E3318" s="115" t="n">
        <x:v>13</x:v>
      </x:c>
      <x:c r="F3318" s="115" t="str">
        <x:v>Inspection physique</x:v>
      </x:c>
      <x:c r="G3318" s="115" t="str">
        <x:v>1 niveaux ; 32 pièces ; 248 segments de mur ; 0 transitions. Inspection physique ; architecture complète encore ouverte.</x:v>
      </x:c>
      <x:c r="H3318" s="115" t="str">
        <x:v>L 446 ; l 598 ; hauteur 16 m ; choix de composition auteur ; dimensions réelles à documenter</x:v>
      </x:c>
      <x:c r="I3318" s="115" t="str">
        <x:v>À équilibrer</x:v>
      </x:c>
      <x:c r="J3318" s="115" t="str">
        <x:v>Non</x:v>
      </x:c>
      <x:c r="K3318" s="115" t="str">
        <x:v>Pièces décrites, murs, portes, niveaux et mobilier inspectables à l’échelle. Volumes réservés, raccord au seed, butin, rencontres et services de campagne restent à terminer.</x:v>
      </x:c>
    </x:row>
    <x:row r="3319" ht="96" customHeight="1">
      <x:c r="A3319" s="115" t="str">
        <x:v>EXT-MONDE-T067-V14</x:v>
      </x:c>
      <x:c r="B3319" s="115" t="str">
        <x:v>EXT-MONDE-T067</x:v>
      </x:c>
      <x:c r="C3319" s="115" t="str">
        <x:v>Stades</x:v>
      </x:c>
      <x:c r="D3319" s="115" t="str">
        <x:v>Vélodrome</x:v>
      </x:c>
      <x:c r="E3319" s="115" t="n">
        <x:v>14</x:v>
      </x:c>
      <x:c r="F3319" s="115" t="str">
        <x:v>Inspection physique</x:v>
      </x:c>
      <x:c r="G3319" s="115" t="str">
        <x:v>1 niveaux ; 32 pièces ; 248 segments de mur ; 0 transitions. Inspection physique ; architecture complète encore ouverte.</x:v>
      </x:c>
      <x:c r="H3319" s="115" t="str">
        <x:v>L 446 ; l 598 ; hauteur 16 m ; choix de composition auteur ; dimensions réelles à documenter</x:v>
      </x:c>
      <x:c r="I3319" s="115" t="str">
        <x:v>À équilibrer</x:v>
      </x:c>
      <x:c r="J3319" s="115" t="str">
        <x:v>Non</x:v>
      </x:c>
      <x:c r="K3319" s="115" t="str">
        <x:v>Pièces décrites, murs, portes, niveaux et mobilier inspectables à l’échelle. Volumes réservés, raccord au seed, butin, rencontres et services de campagne restent à terminer.</x:v>
      </x:c>
    </x:row>
    <x:row r="3320" ht="96" customHeight="1">
      <x:c r="A3320" s="115" t="str">
        <x:v>EXT-MONDE-T067-V15</x:v>
      </x:c>
      <x:c r="B3320" s="115" t="str">
        <x:v>EXT-MONDE-T067</x:v>
      </x:c>
      <x:c r="C3320" s="115" t="str">
        <x:v>Stades</x:v>
      </x:c>
      <x:c r="D3320" s="115" t="str">
        <x:v>Vélodrome</x:v>
      </x:c>
      <x:c r="E3320" s="115" t="n">
        <x:v>15</x:v>
      </x:c>
      <x:c r="F3320" s="115" t="str">
        <x:v>Inspection physique</x:v>
      </x:c>
      <x:c r="G3320" s="115" t="str">
        <x:v>1 niveaux ; 32 pièces ; 248 segments de mur ; 0 transitions. Inspection physique ; architecture complète encore ouverte.</x:v>
      </x:c>
      <x:c r="H3320" s="115" t="str">
        <x:v>L 446 ; l 598 ; hauteur 16 m ; choix de composition auteur ; dimensions réelles à documenter</x:v>
      </x:c>
      <x:c r="I3320" s="115" t="str">
        <x:v>À équilibrer</x:v>
      </x:c>
      <x:c r="J3320" s="115" t="str">
        <x:v>Non</x:v>
      </x:c>
      <x:c r="K3320" s="115" t="str">
        <x:v>Pièces décrites, murs, portes, niveaux et mobilier inspectables à l’échelle. Volumes réservés, raccord au seed, butin, rencontres et services de campagne restent à terminer.</x:v>
      </x:c>
    </x:row>
    <x:row r="3321" ht="96" customHeight="1">
      <x:c r="A3321" s="115" t="str">
        <x:v>EXT-MONDE-T067-V16</x:v>
      </x:c>
      <x:c r="B3321" s="115" t="str">
        <x:v>EXT-MONDE-T067</x:v>
      </x:c>
      <x:c r="C3321" s="115" t="str">
        <x:v>Stades</x:v>
      </x:c>
      <x:c r="D3321" s="115" t="str">
        <x:v>Vélodrome</x:v>
      </x:c>
      <x:c r="E3321" s="115" t="n">
        <x:v>16</x:v>
      </x:c>
      <x:c r="F3321" s="115" t="str">
        <x:v>Inspection physique</x:v>
      </x:c>
      <x:c r="G3321" s="115" t="str">
        <x:v>1 niveaux ; 32 pièces ; 248 segments de mur ; 0 transitions. Inspection physique ; architecture complète encore ouverte.</x:v>
      </x:c>
      <x:c r="H3321" s="115" t="str">
        <x:v>L 446 ; l 598 ; hauteur 16 m ; choix de composition auteur ; dimensions réelles à documenter</x:v>
      </x:c>
      <x:c r="I3321" s="115" t="str">
        <x:v>À équilibrer</x:v>
      </x:c>
      <x:c r="J3321" s="115" t="str">
        <x:v>Non</x:v>
      </x:c>
      <x:c r="K3321" s="115" t="str">
        <x:v>Pièces décrites, murs, portes, niveaux et mobilier inspectables à l’échelle. Volumes réservés, raccord au seed, butin, rencontres et services de campagne restent à terminer.</x:v>
      </x:c>
    </x:row>
    <x:row r="3322" ht="96" customHeight="1">
      <x:c r="A3322" s="115" t="str">
        <x:v>EXT-MONDE-T067-V17</x:v>
      </x:c>
      <x:c r="B3322" s="115" t="str">
        <x:v>EXT-MONDE-T067</x:v>
      </x:c>
      <x:c r="C3322" s="115" t="str">
        <x:v>Stades</x:v>
      </x:c>
      <x:c r="D3322" s="115" t="str">
        <x:v>Vélodrome</x:v>
      </x:c>
      <x:c r="E3322" s="115" t="n">
        <x:v>17</x:v>
      </x:c>
      <x:c r="F3322" s="115" t="str">
        <x:v>Inspection physique</x:v>
      </x:c>
      <x:c r="G3322" s="115" t="str">
        <x:v>1 niveaux ; 32 pièces ; 248 segments de mur ; 0 transitions. Inspection physique ; architecture complète encore ouverte.</x:v>
      </x:c>
      <x:c r="H3322" s="115" t="str">
        <x:v>L 446 ; l 598 ; hauteur 16 m ; choix de composition auteur ; dimensions réelles à documenter</x:v>
      </x:c>
      <x:c r="I3322" s="115" t="str">
        <x:v>À équilibrer</x:v>
      </x:c>
      <x:c r="J3322" s="115" t="str">
        <x:v>Non</x:v>
      </x:c>
      <x:c r="K3322" s="115" t="str">
        <x:v>Pièces décrites, murs, portes, niveaux et mobilier inspectables à l’échelle. Volumes réservés, raccord au seed, butin, rencontres et services de campagne restent à terminer.</x:v>
      </x:c>
    </x:row>
    <x:row r="3323" ht="96" customHeight="1">
      <x:c r="A3323" s="115" t="str">
        <x:v>EXT-MONDE-T067-V18</x:v>
      </x:c>
      <x:c r="B3323" s="115" t="str">
        <x:v>EXT-MONDE-T067</x:v>
      </x:c>
      <x:c r="C3323" s="115" t="str">
        <x:v>Stades</x:v>
      </x:c>
      <x:c r="D3323" s="115" t="str">
        <x:v>Vélodrome</x:v>
      </x:c>
      <x:c r="E3323" s="115" t="n">
        <x:v>18</x:v>
      </x:c>
      <x:c r="F3323" s="115" t="str">
        <x:v>Inspection physique</x:v>
      </x:c>
      <x:c r="G3323" s="115" t="str">
        <x:v>1 niveaux ; 32 pièces ; 248 segments de mur ; 0 transitions. Inspection physique ; architecture complète encore ouverte.</x:v>
      </x:c>
      <x:c r="H3323" s="115" t="str">
        <x:v>L 446 ; l 598 ; hauteur 16 m ; choix de composition auteur ; dimensions réelles à documenter</x:v>
      </x:c>
      <x:c r="I3323" s="115" t="str">
        <x:v>À équilibrer</x:v>
      </x:c>
      <x:c r="J3323" s="115" t="str">
        <x:v>Non</x:v>
      </x:c>
      <x:c r="K3323" s="115" t="str">
        <x:v>Pièces décrites, murs, portes, niveaux et mobilier inspectables à l’échelle. Volumes réservés, raccord au seed, butin, rencontres et services de campagne restent à terminer.</x:v>
      </x:c>
    </x:row>
    <x:row r="3324" ht="96" customHeight="1">
      <x:c r="A3324" s="115" t="str">
        <x:v>EXT-MONDE-T067-V19</x:v>
      </x:c>
      <x:c r="B3324" s="115" t="str">
        <x:v>EXT-MONDE-T067</x:v>
      </x:c>
      <x:c r="C3324" s="115" t="str">
        <x:v>Stades</x:v>
      </x:c>
      <x:c r="D3324" s="115" t="str">
        <x:v>Vélodrome</x:v>
      </x:c>
      <x:c r="E3324" s="115" t="n">
        <x:v>19</x:v>
      </x:c>
      <x:c r="F3324" s="115" t="str">
        <x:v>Inspection physique</x:v>
      </x:c>
      <x:c r="G3324" s="115" t="str">
        <x:v>1 niveaux ; 32 pièces ; 248 segments de mur ; 0 transitions. Inspection physique ; architecture complète encore ouverte.</x:v>
      </x:c>
      <x:c r="H3324" s="115" t="str">
        <x:v>L 446 ; l 598 ; hauteur 16 m ; choix de composition auteur ; dimensions réelles à documenter</x:v>
      </x:c>
      <x:c r="I3324" s="115" t="str">
        <x:v>À équilibrer</x:v>
      </x:c>
      <x:c r="J3324" s="115" t="str">
        <x:v>Non</x:v>
      </x:c>
      <x:c r="K3324" s="115" t="str">
        <x:v>Pièces décrites, murs, portes, niveaux et mobilier inspectables à l’échelle. Volumes réservés, raccord au seed, butin, rencontres et services de campagne restent à terminer.</x:v>
      </x:c>
    </x:row>
    <x:row r="3325" ht="96" customHeight="1">
      <x:c r="A3325" s="115" t="str">
        <x:v>EXT-MONDE-T067-V20</x:v>
      </x:c>
      <x:c r="B3325" s="115" t="str">
        <x:v>EXT-MONDE-T067</x:v>
      </x:c>
      <x:c r="C3325" s="115" t="str">
        <x:v>Stades</x:v>
      </x:c>
      <x:c r="D3325" s="115" t="str">
        <x:v>Vélodrome</x:v>
      </x:c>
      <x:c r="E3325" s="115" t="n">
        <x:v>20</x:v>
      </x:c>
      <x:c r="F3325" s="115" t="str">
        <x:v>Inspection physique</x:v>
      </x:c>
      <x:c r="G3325" s="115" t="str">
        <x:v>1 niveaux ; 32 pièces ; 248 segments de mur ; 0 transitions. Inspection physique ; architecture complète encore ouverte.</x:v>
      </x:c>
      <x:c r="H3325" s="115" t="str">
        <x:v>L 446 ; l 598 ; hauteur 16 m ; choix de composition auteur ; dimensions réelles à documenter</x:v>
      </x:c>
      <x:c r="I3325" s="115" t="str">
        <x:v>À équilibrer</x:v>
      </x:c>
      <x:c r="J3325" s="115" t="str">
        <x:v>Non</x:v>
      </x:c>
      <x:c r="K3325" s="115" t="str">
        <x:v>Pièces décrites, murs, portes, niveaux et mobilier inspectables à l’échelle. Volumes réservés, raccord au seed, butin, rencontres et services de campagne restent à terminer.</x:v>
      </x:c>
    </x:row>
    <x:row r="3326" ht="96" customHeight="1">
      <x:c r="A3326" s="115" t="str">
        <x:v>EXT-MONDE-T067-V21</x:v>
      </x:c>
      <x:c r="B3326" s="115" t="str">
        <x:v>EXT-MONDE-T067</x:v>
      </x:c>
      <x:c r="C3326" s="115" t="str">
        <x:v>Stades</x:v>
      </x:c>
      <x:c r="D3326" s="115" t="str">
        <x:v>Vélodrome</x:v>
      </x:c>
      <x:c r="E3326" s="115" t="n">
        <x:v>21</x:v>
      </x:c>
      <x:c r="F3326" s="115" t="str">
        <x:v>Inspection physique</x:v>
      </x:c>
      <x:c r="G3326" s="115" t="str">
        <x:v>1 niveaux ; 32 pièces ; 248 segments de mur ; 0 transitions. Inspection physique ; architecture complète encore ouverte.</x:v>
      </x:c>
      <x:c r="H3326" s="115" t="str">
        <x:v>L 458 ; l 606 ; hauteur 16 m ; choix de composition auteur ; dimensions réelles à documenter</x:v>
      </x:c>
      <x:c r="I3326" s="115" t="str">
        <x:v>À équilibrer</x:v>
      </x:c>
      <x:c r="J3326" s="115" t="str">
        <x:v>Non</x:v>
      </x:c>
      <x:c r="K3326" s="115" t="str">
        <x:v>Pièces décrites, murs, portes, niveaux et mobilier inspectables à l’échelle. Volumes réservés, raccord au seed, butin, rencontres et services de campagne restent à terminer.</x:v>
      </x:c>
    </x:row>
    <x:row r="3327" ht="96" customHeight="1">
      <x:c r="A3327" s="115" t="str">
        <x:v>EXT-MONDE-T067-V22</x:v>
      </x:c>
      <x:c r="B3327" s="115" t="str">
        <x:v>EXT-MONDE-T067</x:v>
      </x:c>
      <x:c r="C3327" s="115" t="str">
        <x:v>Stades</x:v>
      </x:c>
      <x:c r="D3327" s="115" t="str">
        <x:v>Vélodrome</x:v>
      </x:c>
      <x:c r="E3327" s="115" t="n">
        <x:v>22</x:v>
      </x:c>
      <x:c r="F3327" s="115" t="str">
        <x:v>Inspection physique</x:v>
      </x:c>
      <x:c r="G3327" s="115" t="str">
        <x:v>1 niveaux ; 32 pièces ; 248 segments de mur ; 0 transitions. Inspection physique ; architecture complète encore ouverte.</x:v>
      </x:c>
      <x:c r="H3327" s="115" t="str">
        <x:v>L 458 ; l 606 ; hauteur 16 m ; choix de composition auteur ; dimensions réelles à documenter</x:v>
      </x:c>
      <x:c r="I3327" s="115" t="str">
        <x:v>À équilibrer</x:v>
      </x:c>
      <x:c r="J3327" s="115" t="str">
        <x:v>Non</x:v>
      </x:c>
      <x:c r="K3327" s="115" t="str">
        <x:v>Pièces décrites, murs, portes, niveaux et mobilier inspectables à l’échelle. Volumes réservés, raccord au seed, butin, rencontres et services de campagne restent à terminer.</x:v>
      </x:c>
    </x:row>
    <x:row r="3328" ht="96" customHeight="1">
      <x:c r="A3328" s="115" t="str">
        <x:v>EXT-MONDE-T067-V23</x:v>
      </x:c>
      <x:c r="B3328" s="115" t="str">
        <x:v>EXT-MONDE-T067</x:v>
      </x:c>
      <x:c r="C3328" s="115" t="str">
        <x:v>Stades</x:v>
      </x:c>
      <x:c r="D3328" s="115" t="str">
        <x:v>Vélodrome</x:v>
      </x:c>
      <x:c r="E3328" s="115" t="n">
        <x:v>23</x:v>
      </x:c>
      <x:c r="F3328" s="115" t="str">
        <x:v>Inspection physique</x:v>
      </x:c>
      <x:c r="G3328" s="115" t="str">
        <x:v>1 niveaux ; 32 pièces ; 248 segments de mur ; 0 transitions. Inspection physique ; architecture complète encore ouverte.</x:v>
      </x:c>
      <x:c r="H3328" s="115" t="str">
        <x:v>L 458 ; l 606 ; hauteur 16 m ; choix de composition auteur ; dimensions réelles à documenter</x:v>
      </x:c>
      <x:c r="I3328" s="115" t="str">
        <x:v>À équilibrer</x:v>
      </x:c>
      <x:c r="J3328" s="115" t="str">
        <x:v>Non</x:v>
      </x:c>
      <x:c r="K3328" s="115" t="str">
        <x:v>Pièces décrites, murs, portes, niveaux et mobilier inspectables à l’échelle. Volumes réservés, raccord au seed, butin, rencontres et services de campagne restent à terminer.</x:v>
      </x:c>
    </x:row>
    <x:row r="3329" ht="96" customHeight="1">
      <x:c r="A3329" s="115" t="str">
        <x:v>EXT-MONDE-T067-V24</x:v>
      </x:c>
      <x:c r="B3329" s="115" t="str">
        <x:v>EXT-MONDE-T067</x:v>
      </x:c>
      <x:c r="C3329" s="115" t="str">
        <x:v>Stades</x:v>
      </x:c>
      <x:c r="D3329" s="115" t="str">
        <x:v>Vélodrome</x:v>
      </x:c>
      <x:c r="E3329" s="115" t="n">
        <x:v>24</x:v>
      </x:c>
      <x:c r="F3329" s="115" t="str">
        <x:v>Inspection physique</x:v>
      </x:c>
      <x:c r="G3329" s="115" t="str">
        <x:v>1 niveaux ; 32 pièces ; 248 segments de mur ; 0 transitions. Inspection physique ; architecture complète encore ouverte.</x:v>
      </x:c>
      <x:c r="H3329" s="115" t="str">
        <x:v>L 458 ; l 606 ; hauteur 16 m ; choix de composition auteur ; dimensions réelles à documenter</x:v>
      </x:c>
      <x:c r="I3329" s="115" t="str">
        <x:v>À équilibrer</x:v>
      </x:c>
      <x:c r="J3329" s="115" t="str">
        <x:v>Non</x:v>
      </x:c>
      <x:c r="K3329" s="115" t="str">
        <x:v>Pièces décrites, murs, portes, niveaux et mobilier inspectables à l’échelle. Volumes réservés, raccord au seed, butin, rencontres et services de campagne restent à terminer.</x:v>
      </x:c>
    </x:row>
    <x:row r="3330" ht="96" customHeight="1">
      <x:c r="A3330" s="115" t="str">
        <x:v>EXT-MONDE-T067-V25</x:v>
      </x:c>
      <x:c r="B3330" s="115" t="str">
        <x:v>EXT-MONDE-T067</x:v>
      </x:c>
      <x:c r="C3330" s="115" t="str">
        <x:v>Stades</x:v>
      </x:c>
      <x:c r="D3330" s="115" t="str">
        <x:v>Vélodrome</x:v>
      </x:c>
      <x:c r="E3330" s="115" t="n">
        <x:v>25</x:v>
      </x:c>
      <x:c r="F3330" s="115" t="str">
        <x:v>Inspection physique</x:v>
      </x:c>
      <x:c r="G3330" s="115" t="str">
        <x:v>1 niveaux ; 32 pièces ; 248 segments de mur ; 0 transitions. Inspection physique ; architecture complète encore ouverte.</x:v>
      </x:c>
      <x:c r="H3330" s="115" t="str">
        <x:v>L 458 ; l 606 ; hauteur 16 m ; choix de composition auteur ; dimensions réelles à documenter</x:v>
      </x:c>
      <x:c r="I3330" s="115" t="str">
        <x:v>À équilibrer</x:v>
      </x:c>
      <x:c r="J3330" s="115" t="str">
        <x:v>Non</x:v>
      </x:c>
      <x:c r="K3330" s="115" t="str">
        <x:v>Pièces décrites, murs, portes, niveaux et mobilier inspectables à l’échelle. Volumes réservés, raccord au seed, butin, rencontres et services de campagne restent à terminer.</x:v>
      </x:c>
    </x:row>
    <x:row r="3331" ht="96" customHeight="1">
      <x:c r="A3331" s="115" t="str">
        <x:v>EXT-MONDE-T067-V26</x:v>
      </x:c>
      <x:c r="B3331" s="115" t="str">
        <x:v>EXT-MONDE-T067</x:v>
      </x:c>
      <x:c r="C3331" s="115" t="str">
        <x:v>Stades</x:v>
      </x:c>
      <x:c r="D3331" s="115" t="str">
        <x:v>Vélodrome</x:v>
      </x:c>
      <x:c r="E3331" s="115" t="n">
        <x:v>26</x:v>
      </x:c>
      <x:c r="F3331" s="115" t="str">
        <x:v>Inspection physique</x:v>
      </x:c>
      <x:c r="G3331" s="115" t="str">
        <x:v>1 niveaux ; 32 pièces ; 248 segments de mur ; 0 transitions. Inspection physique ; architecture complète encore ouverte.</x:v>
      </x:c>
      <x:c r="H3331" s="115" t="str">
        <x:v>L 458 ; l 606 ; hauteur 16 m ; choix de composition auteur ; dimensions réelles à documenter</x:v>
      </x:c>
      <x:c r="I3331" s="115" t="str">
        <x:v>À équilibrer</x:v>
      </x:c>
      <x:c r="J3331" s="115" t="str">
        <x:v>Non</x:v>
      </x:c>
      <x:c r="K3331" s="115" t="str">
        <x:v>Pièces décrites, murs, portes, niveaux et mobilier inspectables à l’échelle. Volumes réservés, raccord au seed, butin, rencontres et services de campagne restent à terminer.</x:v>
      </x:c>
    </x:row>
    <x:row r="3332" ht="96" customHeight="1">
      <x:c r="A3332" s="115" t="str">
        <x:v>EXT-MONDE-T067-V27</x:v>
      </x:c>
      <x:c r="B3332" s="115" t="str">
        <x:v>EXT-MONDE-T067</x:v>
      </x:c>
      <x:c r="C3332" s="115" t="str">
        <x:v>Stades</x:v>
      </x:c>
      <x:c r="D3332" s="115" t="str">
        <x:v>Vélodrome</x:v>
      </x:c>
      <x:c r="E3332" s="115" t="n">
        <x:v>27</x:v>
      </x:c>
      <x:c r="F3332" s="115" t="str">
        <x:v>Inspection physique</x:v>
      </x:c>
      <x:c r="G3332" s="115" t="str">
        <x:v>1 niveaux ; 32 pièces ; 248 segments de mur ; 0 transitions. Inspection physique ; architecture complète encore ouverte.</x:v>
      </x:c>
      <x:c r="H3332" s="115" t="str">
        <x:v>L 458 ; l 606 ; hauteur 16 m ; choix de composition auteur ; dimensions réelles à documenter</x:v>
      </x:c>
      <x:c r="I3332" s="115" t="str">
        <x:v>À équilibrer</x:v>
      </x:c>
      <x:c r="J3332" s="115" t="str">
        <x:v>Non</x:v>
      </x:c>
      <x:c r="K3332" s="115" t="str">
        <x:v>Pièces décrites, murs, portes, niveaux et mobilier inspectables à l’échelle. Volumes réservés, raccord au seed, butin, rencontres et services de campagne restent à terminer.</x:v>
      </x:c>
    </x:row>
    <x:row r="3333" ht="96" customHeight="1">
      <x:c r="A3333" s="115" t="str">
        <x:v>EXT-MONDE-T067-V28</x:v>
      </x:c>
      <x:c r="B3333" s="115" t="str">
        <x:v>EXT-MONDE-T067</x:v>
      </x:c>
      <x:c r="C3333" s="115" t="str">
        <x:v>Stades</x:v>
      </x:c>
      <x:c r="D3333" s="115" t="str">
        <x:v>Vélodrome</x:v>
      </x:c>
      <x:c r="E3333" s="115" t="n">
        <x:v>28</x:v>
      </x:c>
      <x:c r="F3333" s="115" t="str">
        <x:v>Inspection physique</x:v>
      </x:c>
      <x:c r="G3333" s="115" t="str">
        <x:v>1 niveaux ; 32 pièces ; 248 segments de mur ; 0 transitions. Inspection physique ; architecture complète encore ouverte.</x:v>
      </x:c>
      <x:c r="H3333" s="115" t="str">
        <x:v>L 458 ; l 606 ; hauteur 16 m ; choix de composition auteur ; dimensions réelles à documenter</x:v>
      </x:c>
      <x:c r="I3333" s="115" t="str">
        <x:v>À équilibrer</x:v>
      </x:c>
      <x:c r="J3333" s="115" t="str">
        <x:v>Non</x:v>
      </x:c>
      <x:c r="K3333" s="115" t="str">
        <x:v>Pièces décrites, murs, portes, niveaux et mobilier inspectables à l’échelle. Volumes réservés, raccord au seed, butin, rencontres et services de campagne restent à terminer.</x:v>
      </x:c>
    </x:row>
    <x:row r="3334" ht="96" customHeight="1">
      <x:c r="A3334" s="115" t="str">
        <x:v>EXT-MONDE-T067-V29</x:v>
      </x:c>
      <x:c r="B3334" s="115" t="str">
        <x:v>EXT-MONDE-T067</x:v>
      </x:c>
      <x:c r="C3334" s="115" t="str">
        <x:v>Stades</x:v>
      </x:c>
      <x:c r="D3334" s="115" t="str">
        <x:v>Vélodrome</x:v>
      </x:c>
      <x:c r="E3334" s="115" t="n">
        <x:v>29</x:v>
      </x:c>
      <x:c r="F3334" s="115" t="str">
        <x:v>Inspection physique</x:v>
      </x:c>
      <x:c r="G3334" s="115" t="str">
        <x:v>1 niveaux ; 32 pièces ; 248 segments de mur ; 0 transitions. Inspection physique ; architecture complète encore ouverte.</x:v>
      </x:c>
      <x:c r="H3334" s="115" t="str">
        <x:v>L 458 ; l 606 ; hauteur 16 m ; choix de composition auteur ; dimensions réelles à documenter</x:v>
      </x:c>
      <x:c r="I3334" s="115" t="str">
        <x:v>À équilibrer</x:v>
      </x:c>
      <x:c r="J3334" s="115" t="str">
        <x:v>Non</x:v>
      </x:c>
      <x:c r="K3334" s="115" t="str">
        <x:v>Pièces décrites, murs, portes, niveaux et mobilier inspectables à l’échelle. Volumes réservés, raccord au seed, butin, rencontres et services de campagne restent à terminer.</x:v>
      </x:c>
    </x:row>
    <x:row r="3335" ht="96" customHeight="1">
      <x:c r="A3335" s="115" t="str">
        <x:v>EXT-MONDE-T067-V30</x:v>
      </x:c>
      <x:c r="B3335" s="115" t="str">
        <x:v>EXT-MONDE-T067</x:v>
      </x:c>
      <x:c r="C3335" s="115" t="str">
        <x:v>Stades</x:v>
      </x:c>
      <x:c r="D3335" s="115" t="str">
        <x:v>Vélodrome</x:v>
      </x:c>
      <x:c r="E3335" s="115" t="n">
        <x:v>30</x:v>
      </x:c>
      <x:c r="F3335" s="115" t="str">
        <x:v>Inspection physique</x:v>
      </x:c>
      <x:c r="G3335" s="115" t="str">
        <x:v>1 niveaux ; 32 pièces ; 248 segments de mur ; 0 transitions. Inspection physique ; architecture complète encore ouverte.</x:v>
      </x:c>
      <x:c r="H3335" s="115" t="str">
        <x:v>L 458 ; l 606 ; hauteur 16 m ; choix de composition auteur ; dimensions réelles à documenter</x:v>
      </x:c>
      <x:c r="I3335" s="115" t="str">
        <x:v>À équilibrer</x:v>
      </x:c>
      <x:c r="J3335" s="115" t="str">
        <x:v>Non</x:v>
      </x:c>
      <x:c r="K3335" s="115" t="str">
        <x:v>Pièces décrites, murs, portes, niveaux et mobilier inspectables à l’échelle. Volumes réservés, raccord au seed, butin, rencontres et services de campagne restent à terminer.</x:v>
      </x:c>
    </x:row>
    <x:row r="3336" ht="96" customHeight="1">
      <x:c r="A3336" s="115" t="str">
        <x:v>EXT-MONDE-T067-V31</x:v>
      </x:c>
      <x:c r="B3336" s="115" t="str">
        <x:v>EXT-MONDE-T067</x:v>
      </x:c>
      <x:c r="C3336" s="115" t="str">
        <x:v>Stades</x:v>
      </x:c>
      <x:c r="D3336" s="115" t="str">
        <x:v>Vélodrome</x:v>
      </x:c>
      <x:c r="E3336" s="115" t="n">
        <x:v>31</x:v>
      </x:c>
      <x:c r="F3336" s="115" t="str">
        <x:v>Inspection physique</x:v>
      </x:c>
      <x:c r="G3336" s="115" t="str">
        <x:v>1 niveaux ; 32 pièces ; 248 segments de mur ; 0 transitions. Inspection physique ; architecture complète encore ouverte.</x:v>
      </x:c>
      <x:c r="H3336" s="115" t="str">
        <x:v>L 470 ; l 614 ; hauteur 16 m ; choix de composition auteur ; dimensions réelles à documenter</x:v>
      </x:c>
      <x:c r="I3336" s="115" t="str">
        <x:v>À équilibrer</x:v>
      </x:c>
      <x:c r="J3336" s="115" t="str">
        <x:v>Non</x:v>
      </x:c>
      <x:c r="K3336" s="115" t="str">
        <x:v>Pièces décrites, murs, portes, niveaux et mobilier inspectables à l’échelle. Volumes réservés, raccord au seed, butin, rencontres et services de campagne restent à terminer.</x:v>
      </x:c>
    </x:row>
    <x:row r="3337" ht="96" customHeight="1">
      <x:c r="A3337" s="115" t="str">
        <x:v>EXT-MONDE-T067-V32</x:v>
      </x:c>
      <x:c r="B3337" s="115" t="str">
        <x:v>EXT-MONDE-T067</x:v>
      </x:c>
      <x:c r="C3337" s="115" t="str">
        <x:v>Stades</x:v>
      </x:c>
      <x:c r="D3337" s="115" t="str">
        <x:v>Vélodrome</x:v>
      </x:c>
      <x:c r="E3337" s="115" t="n">
        <x:v>32</x:v>
      </x:c>
      <x:c r="F3337" s="115" t="str">
        <x:v>Inspection physique</x:v>
      </x:c>
      <x:c r="G3337" s="115" t="str">
        <x:v>1 niveaux ; 32 pièces ; 248 segments de mur ; 0 transitions. Inspection physique ; architecture complète encore ouverte.</x:v>
      </x:c>
      <x:c r="H3337" s="115" t="str">
        <x:v>L 470 ; l 614 ; hauteur 16 m ; choix de composition auteur ; dimensions réelles à documenter</x:v>
      </x:c>
      <x:c r="I3337" s="115" t="str">
        <x:v>À équilibrer</x:v>
      </x:c>
      <x:c r="J3337" s="115" t="str">
        <x:v>Non</x:v>
      </x:c>
      <x:c r="K3337" s="115" t="str">
        <x:v>Pièces décrites, murs, portes, niveaux et mobilier inspectables à l’échelle. Volumes réservés, raccord au seed, butin, rencontres et services de campagne restent à terminer.</x:v>
      </x:c>
    </x:row>
    <x:row r="3338" ht="96" customHeight="1">
      <x:c r="A3338" s="115" t="str">
        <x:v>EXT-MONDE-T067-V33</x:v>
      </x:c>
      <x:c r="B3338" s="115" t="str">
        <x:v>EXT-MONDE-T067</x:v>
      </x:c>
      <x:c r="C3338" s="115" t="str">
        <x:v>Stades</x:v>
      </x:c>
      <x:c r="D3338" s="115" t="str">
        <x:v>Vélodrome</x:v>
      </x:c>
      <x:c r="E3338" s="115" t="n">
        <x:v>33</x:v>
      </x:c>
      <x:c r="F3338" s="115" t="str">
        <x:v>Inspection physique</x:v>
      </x:c>
      <x:c r="G3338" s="115" t="str">
        <x:v>1 niveaux ; 32 pièces ; 248 segments de mur ; 0 transitions. Inspection physique ; architecture complète encore ouverte.</x:v>
      </x:c>
      <x:c r="H3338" s="115" t="str">
        <x:v>L 470 ; l 614 ; hauteur 16 m ; choix de composition auteur ; dimensions réelles à documenter</x:v>
      </x:c>
      <x:c r="I3338" s="115" t="str">
        <x:v>À équilibrer</x:v>
      </x:c>
      <x:c r="J3338" s="115" t="str">
        <x:v>Non</x:v>
      </x:c>
      <x:c r="K3338" s="115" t="str">
        <x:v>Pièces décrites, murs, portes, niveaux et mobilier inspectables à l’échelle. Volumes réservés, raccord au seed, butin, rencontres et services de campagne restent à terminer.</x:v>
      </x:c>
    </x:row>
    <x:row r="3339" ht="96" customHeight="1">
      <x:c r="A3339" s="115" t="str">
        <x:v>EXT-MONDE-T067-V34</x:v>
      </x:c>
      <x:c r="B3339" s="115" t="str">
        <x:v>EXT-MONDE-T067</x:v>
      </x:c>
      <x:c r="C3339" s="115" t="str">
        <x:v>Stades</x:v>
      </x:c>
      <x:c r="D3339" s="115" t="str">
        <x:v>Vélodrome</x:v>
      </x:c>
      <x:c r="E3339" s="115" t="n">
        <x:v>34</x:v>
      </x:c>
      <x:c r="F3339" s="115" t="str">
        <x:v>Inspection physique</x:v>
      </x:c>
      <x:c r="G3339" s="115" t="str">
        <x:v>1 niveaux ; 32 pièces ; 248 segments de mur ; 0 transitions. Inspection physique ; architecture complète encore ouverte.</x:v>
      </x:c>
      <x:c r="H3339" s="115" t="str">
        <x:v>L 470 ; l 614 ; hauteur 16 m ; choix de composition auteur ; dimensions réelles à documenter</x:v>
      </x:c>
      <x:c r="I3339" s="115" t="str">
        <x:v>À équilibrer</x:v>
      </x:c>
      <x:c r="J3339" s="115" t="str">
        <x:v>Non</x:v>
      </x:c>
      <x:c r="K3339" s="115" t="str">
        <x:v>Pièces décrites, murs, portes, niveaux et mobilier inspectables à l’échelle. Volumes réservés, raccord au seed, butin, rencontres et services de campagne restent à terminer.</x:v>
      </x:c>
    </x:row>
    <x:row r="3340" ht="96" customHeight="1">
      <x:c r="A3340" s="115" t="str">
        <x:v>EXT-MONDE-T067-V35</x:v>
      </x:c>
      <x:c r="B3340" s="115" t="str">
        <x:v>EXT-MONDE-T067</x:v>
      </x:c>
      <x:c r="C3340" s="115" t="str">
        <x:v>Stades</x:v>
      </x:c>
      <x:c r="D3340" s="115" t="str">
        <x:v>Vélodrome</x:v>
      </x:c>
      <x:c r="E3340" s="115" t="n">
        <x:v>35</x:v>
      </x:c>
      <x:c r="F3340" s="115" t="str">
        <x:v>Inspection physique</x:v>
      </x:c>
      <x:c r="G3340" s="115" t="str">
        <x:v>1 niveaux ; 32 pièces ; 248 segments de mur ; 0 transitions. Inspection physique ; architecture complète encore ouverte.</x:v>
      </x:c>
      <x:c r="H3340" s="115" t="str">
        <x:v>L 470 ; l 614 ; hauteur 16 m ; choix de composition auteur ; dimensions réelles à documenter</x:v>
      </x:c>
      <x:c r="I3340" s="115" t="str">
        <x:v>À équilibrer</x:v>
      </x:c>
      <x:c r="J3340" s="115" t="str">
        <x:v>Non</x:v>
      </x:c>
      <x:c r="K3340" s="115" t="str">
        <x:v>Pièces décrites, murs, portes, niveaux et mobilier inspectables à l’échelle. Volumes réservés, raccord au seed, butin, rencontres et services de campagne restent à terminer.</x:v>
      </x:c>
    </x:row>
    <x:row r="3341" ht="96" customHeight="1">
      <x:c r="A3341" s="115" t="str">
        <x:v>EXT-MONDE-T067-V36</x:v>
      </x:c>
      <x:c r="B3341" s="115" t="str">
        <x:v>EXT-MONDE-T067</x:v>
      </x:c>
      <x:c r="C3341" s="115" t="str">
        <x:v>Stades</x:v>
      </x:c>
      <x:c r="D3341" s="115" t="str">
        <x:v>Vélodrome</x:v>
      </x:c>
      <x:c r="E3341" s="115" t="n">
        <x:v>36</x:v>
      </x:c>
      <x:c r="F3341" s="115" t="str">
        <x:v>Inspection physique</x:v>
      </x:c>
      <x:c r="G3341" s="115" t="str">
        <x:v>1 niveaux ; 32 pièces ; 248 segments de mur ; 0 transitions. Inspection physique ; architecture complète encore ouverte.</x:v>
      </x:c>
      <x:c r="H3341" s="115" t="str">
        <x:v>L 470 ; l 614 ; hauteur 16 m ; choix de composition auteur ; dimensions réelles à documenter</x:v>
      </x:c>
      <x:c r="I3341" s="115" t="str">
        <x:v>À équilibrer</x:v>
      </x:c>
      <x:c r="J3341" s="115" t="str">
        <x:v>Non</x:v>
      </x:c>
      <x:c r="K3341" s="115" t="str">
        <x:v>Pièces décrites, murs, portes, niveaux et mobilier inspectables à l’échelle. Volumes réservés, raccord au seed, butin, rencontres et services de campagne restent à terminer.</x:v>
      </x:c>
    </x:row>
    <x:row r="3342" ht="96" customHeight="1">
      <x:c r="A3342" s="115" t="str">
        <x:v>EXT-MONDE-T067-V37</x:v>
      </x:c>
      <x:c r="B3342" s="115" t="str">
        <x:v>EXT-MONDE-T067</x:v>
      </x:c>
      <x:c r="C3342" s="115" t="str">
        <x:v>Stades</x:v>
      </x:c>
      <x:c r="D3342" s="115" t="str">
        <x:v>Vélodrome</x:v>
      </x:c>
      <x:c r="E3342" s="115" t="n">
        <x:v>37</x:v>
      </x:c>
      <x:c r="F3342" s="115" t="str">
        <x:v>Inspection physique</x:v>
      </x:c>
      <x:c r="G3342" s="115" t="str">
        <x:v>1 niveaux ; 32 pièces ; 248 segments de mur ; 0 transitions. Inspection physique ; architecture complète encore ouverte.</x:v>
      </x:c>
      <x:c r="H3342" s="115" t="str">
        <x:v>L 470 ; l 614 ; hauteur 16 m ; choix de composition auteur ; dimensions réelles à documenter</x:v>
      </x:c>
      <x:c r="I3342" s="115" t="str">
        <x:v>À équilibrer</x:v>
      </x:c>
      <x:c r="J3342" s="115" t="str">
        <x:v>Non</x:v>
      </x:c>
      <x:c r="K3342" s="115" t="str">
        <x:v>Pièces décrites, murs, portes, niveaux et mobilier inspectables à l’échelle. Volumes réservés, raccord au seed, butin, rencontres et services de campagne restent à terminer.</x:v>
      </x:c>
    </x:row>
    <x:row r="3343" ht="96" customHeight="1">
      <x:c r="A3343" s="115" t="str">
        <x:v>EXT-MONDE-T067-V38</x:v>
      </x:c>
      <x:c r="B3343" s="115" t="str">
        <x:v>EXT-MONDE-T067</x:v>
      </x:c>
      <x:c r="C3343" s="115" t="str">
        <x:v>Stades</x:v>
      </x:c>
      <x:c r="D3343" s="115" t="str">
        <x:v>Vélodrome</x:v>
      </x:c>
      <x:c r="E3343" s="115" t="n">
        <x:v>38</x:v>
      </x:c>
      <x:c r="F3343" s="115" t="str">
        <x:v>Inspection physique</x:v>
      </x:c>
      <x:c r="G3343" s="115" t="str">
        <x:v>1 niveaux ; 32 pièces ; 248 segments de mur ; 0 transitions. Inspection physique ; architecture complète encore ouverte.</x:v>
      </x:c>
      <x:c r="H3343" s="115" t="str">
        <x:v>L 470 ; l 614 ; hauteur 16 m ; choix de composition auteur ; dimensions réelles à documenter</x:v>
      </x:c>
      <x:c r="I3343" s="115" t="str">
        <x:v>À équilibrer</x:v>
      </x:c>
      <x:c r="J3343" s="115" t="str">
        <x:v>Non</x:v>
      </x:c>
      <x:c r="K3343" s="115" t="str">
        <x:v>Pièces décrites, murs, portes, niveaux et mobilier inspectables à l’échelle. Volumes réservés, raccord au seed, butin, rencontres et services de campagne restent à terminer.</x:v>
      </x:c>
    </x:row>
    <x:row r="3344" ht="96" customHeight="1">
      <x:c r="A3344" s="115" t="str">
        <x:v>EXT-MONDE-T067-V39</x:v>
      </x:c>
      <x:c r="B3344" s="115" t="str">
        <x:v>EXT-MONDE-T067</x:v>
      </x:c>
      <x:c r="C3344" s="115" t="str">
        <x:v>Stades</x:v>
      </x:c>
      <x:c r="D3344" s="115" t="str">
        <x:v>Vélodrome</x:v>
      </x:c>
      <x:c r="E3344" s="115" t="n">
        <x:v>39</x:v>
      </x:c>
      <x:c r="F3344" s="115" t="str">
        <x:v>Inspection physique</x:v>
      </x:c>
      <x:c r="G3344" s="115" t="str">
        <x:v>1 niveaux ; 32 pièces ; 248 segments de mur ; 0 transitions. Inspection physique ; architecture complète encore ouverte.</x:v>
      </x:c>
      <x:c r="H3344" s="115" t="str">
        <x:v>L 470 ; l 614 ; hauteur 16 m ; choix de composition auteur ; dimensions réelles à documenter</x:v>
      </x:c>
      <x:c r="I3344" s="115" t="str">
        <x:v>À équilibrer</x:v>
      </x:c>
      <x:c r="J3344" s="115" t="str">
        <x:v>Non</x:v>
      </x:c>
      <x:c r="K3344" s="115" t="str">
        <x:v>Pièces décrites, murs, portes, niveaux et mobilier inspectables à l’échelle. Volumes réservés, raccord au seed, butin, rencontres et services de campagne restent à terminer.</x:v>
      </x:c>
    </x:row>
    <x:row r="3345" ht="96" customHeight="1">
      <x:c r="A3345" s="115" t="str">
        <x:v>EXT-MONDE-T067-V40</x:v>
      </x:c>
      <x:c r="B3345" s="115" t="str">
        <x:v>EXT-MONDE-T067</x:v>
      </x:c>
      <x:c r="C3345" s="115" t="str">
        <x:v>Stades</x:v>
      </x:c>
      <x:c r="D3345" s="115" t="str">
        <x:v>Vélodrome</x:v>
      </x:c>
      <x:c r="E3345" s="115" t="n">
        <x:v>40</x:v>
      </x:c>
      <x:c r="F3345" s="115" t="str">
        <x:v>Inspection physique</x:v>
      </x:c>
      <x:c r="G3345" s="115" t="str">
        <x:v>1 niveaux ; 32 pièces ; 248 segments de mur ; 0 transitions. Inspection physique ; architecture complète encore ouverte.</x:v>
      </x:c>
      <x:c r="H3345" s="115" t="str">
        <x:v>L 470 ; l 614 ; hauteur 16 m ; choix de composition auteur ; dimensions réelles à documenter</x:v>
      </x:c>
      <x:c r="I3345" s="115" t="str">
        <x:v>À équilibrer</x:v>
      </x:c>
      <x:c r="J3345" s="115" t="str">
        <x:v>Non</x:v>
      </x:c>
      <x:c r="K3345" s="115" t="str">
        <x:v>Pièces décrites, murs, portes, niveaux et mobilier inspectables à l’échelle. Volumes réservés, raccord au seed, butin, rencontres et services de campagne restent à terminer.</x:v>
      </x:c>
    </x:row>
    <x:row r="3346" ht="96" customHeight="1">
      <x:c r="A3346" s="115" t="str">
        <x:v>EXT-MONDE-T067-V41</x:v>
      </x:c>
      <x:c r="B3346" s="115" t="str">
        <x:v>EXT-MONDE-T067</x:v>
      </x:c>
      <x:c r="C3346" s="115" t="str">
        <x:v>Stades</x:v>
      </x:c>
      <x:c r="D3346" s="115" t="str">
        <x:v>Vélodrome</x:v>
      </x:c>
      <x:c r="E3346" s="115" t="n">
        <x:v>41</x:v>
      </x:c>
      <x:c r="F3346" s="115" t="str">
        <x:v>Inspection physique</x:v>
      </x:c>
      <x:c r="G3346" s="115" t="str">
        <x:v>1 niveaux ; 32 pièces ; 248 segments de mur ; 0 transitions. Inspection physique ; architecture complète encore ouverte.</x:v>
      </x:c>
      <x:c r="H3346" s="115" t="str">
        <x:v>L 482 ; l 622 ; hauteur 16 m ; choix de composition auteur ; dimensions réelles à documenter</x:v>
      </x:c>
      <x:c r="I3346" s="115" t="str">
        <x:v>À équilibrer</x:v>
      </x:c>
      <x:c r="J3346" s="115" t="str">
        <x:v>Non</x:v>
      </x:c>
      <x:c r="K3346" s="115" t="str">
        <x:v>Pièces décrites, murs, portes, niveaux et mobilier inspectables à l’échelle. Volumes réservés, raccord au seed, butin, rencontres et services de campagne restent à terminer.</x:v>
      </x:c>
    </x:row>
    <x:row r="3347" ht="96" customHeight="1">
      <x:c r="A3347" s="115" t="str">
        <x:v>EXT-MONDE-T067-V42</x:v>
      </x:c>
      <x:c r="B3347" s="115" t="str">
        <x:v>EXT-MONDE-T067</x:v>
      </x:c>
      <x:c r="C3347" s="115" t="str">
        <x:v>Stades</x:v>
      </x:c>
      <x:c r="D3347" s="115" t="str">
        <x:v>Vélodrome</x:v>
      </x:c>
      <x:c r="E3347" s="115" t="n">
        <x:v>42</x:v>
      </x:c>
      <x:c r="F3347" s="115" t="str">
        <x:v>Inspection physique</x:v>
      </x:c>
      <x:c r="G3347" s="115" t="str">
        <x:v>1 niveaux ; 32 pièces ; 248 segments de mur ; 0 transitions. Inspection physique ; architecture complète encore ouverte.</x:v>
      </x:c>
      <x:c r="H3347" s="115" t="str">
        <x:v>L 482 ; l 622 ; hauteur 16 m ; choix de composition auteur ; dimensions réelles à documenter</x:v>
      </x:c>
      <x:c r="I3347" s="115" t="str">
        <x:v>À équilibrer</x:v>
      </x:c>
      <x:c r="J3347" s="115" t="str">
        <x:v>Non</x:v>
      </x:c>
      <x:c r="K3347" s="115" t="str">
        <x:v>Pièces décrites, murs, portes, niveaux et mobilier inspectables à l’échelle. Volumes réservés, raccord au seed, butin, rencontres et services de campagne restent à terminer.</x:v>
      </x:c>
    </x:row>
    <x:row r="3348" ht="96" customHeight="1">
      <x:c r="A3348" s="115" t="str">
        <x:v>EXT-MONDE-T067-V43</x:v>
      </x:c>
      <x:c r="B3348" s="115" t="str">
        <x:v>EXT-MONDE-T067</x:v>
      </x:c>
      <x:c r="C3348" s="115" t="str">
        <x:v>Stades</x:v>
      </x:c>
      <x:c r="D3348" s="115" t="str">
        <x:v>Vélodrome</x:v>
      </x:c>
      <x:c r="E3348" s="115" t="n">
        <x:v>43</x:v>
      </x:c>
      <x:c r="F3348" s="115" t="str">
        <x:v>Inspection physique</x:v>
      </x:c>
      <x:c r="G3348" s="115" t="str">
        <x:v>1 niveaux ; 32 pièces ; 248 segments de mur ; 0 transitions. Inspection physique ; architecture complète encore ouverte.</x:v>
      </x:c>
      <x:c r="H3348" s="115" t="str">
        <x:v>L 482 ; l 622 ; hauteur 16 m ; choix de composition auteur ; dimensions réelles à documenter</x:v>
      </x:c>
      <x:c r="I3348" s="115" t="str">
        <x:v>À équilibrer</x:v>
      </x:c>
      <x:c r="J3348" s="115" t="str">
        <x:v>Non</x:v>
      </x:c>
      <x:c r="K3348" s="115" t="str">
        <x:v>Pièces décrites, murs, portes, niveaux et mobilier inspectables à l’échelle. Volumes réservés, raccord au seed, butin, rencontres et services de campagne restent à terminer.</x:v>
      </x:c>
    </x:row>
    <x:row r="3349" ht="96" customHeight="1">
      <x:c r="A3349" s="115" t="str">
        <x:v>EXT-MONDE-T067-V44</x:v>
      </x:c>
      <x:c r="B3349" s="115" t="str">
        <x:v>EXT-MONDE-T067</x:v>
      </x:c>
      <x:c r="C3349" s="115" t="str">
        <x:v>Stades</x:v>
      </x:c>
      <x:c r="D3349" s="115" t="str">
        <x:v>Vélodrome</x:v>
      </x:c>
      <x:c r="E3349" s="115" t="n">
        <x:v>44</x:v>
      </x:c>
      <x:c r="F3349" s="115" t="str">
        <x:v>Inspection physique</x:v>
      </x:c>
      <x:c r="G3349" s="115" t="str">
        <x:v>1 niveaux ; 32 pièces ; 248 segments de mur ; 0 transitions. Inspection physique ; architecture complète encore ouverte.</x:v>
      </x:c>
      <x:c r="H3349" s="115" t="str">
        <x:v>L 482 ; l 622 ; hauteur 16 m ; choix de composition auteur ; dimensions réelles à documenter</x:v>
      </x:c>
      <x:c r="I3349" s="115" t="str">
        <x:v>À équilibrer</x:v>
      </x:c>
      <x:c r="J3349" s="115" t="str">
        <x:v>Non</x:v>
      </x:c>
      <x:c r="K3349" s="115" t="str">
        <x:v>Pièces décrites, murs, portes, niveaux et mobilier inspectables à l’échelle. Volumes réservés, raccord au seed, butin, rencontres et services de campagne restent à terminer.</x:v>
      </x:c>
    </x:row>
    <x:row r="3350" ht="96" customHeight="1">
      <x:c r="A3350" s="115" t="str">
        <x:v>EXT-MONDE-T067-V45</x:v>
      </x:c>
      <x:c r="B3350" s="115" t="str">
        <x:v>EXT-MONDE-T067</x:v>
      </x:c>
      <x:c r="C3350" s="115" t="str">
        <x:v>Stades</x:v>
      </x:c>
      <x:c r="D3350" s="115" t="str">
        <x:v>Vélodrome</x:v>
      </x:c>
      <x:c r="E3350" s="115" t="n">
        <x:v>45</x:v>
      </x:c>
      <x:c r="F3350" s="115" t="str">
        <x:v>Inspection physique</x:v>
      </x:c>
      <x:c r="G3350" s="115" t="str">
        <x:v>1 niveaux ; 32 pièces ; 248 segments de mur ; 0 transitions. Inspection physique ; architecture complète encore ouverte.</x:v>
      </x:c>
      <x:c r="H3350" s="115" t="str">
        <x:v>L 482 ; l 622 ; hauteur 16 m ; choix de composition auteur ; dimensions réelles à documenter</x:v>
      </x:c>
      <x:c r="I3350" s="115" t="str">
        <x:v>À équilibrer</x:v>
      </x:c>
      <x:c r="J3350" s="115" t="str">
        <x:v>Non</x:v>
      </x:c>
      <x:c r="K3350" s="115" t="str">
        <x:v>Pièces décrites, murs, portes, niveaux et mobilier inspectables à l’échelle. Volumes réservés, raccord au seed, butin, rencontres et services de campagne restent à terminer.</x:v>
      </x:c>
    </x:row>
    <x:row r="3351" ht="96" customHeight="1">
      <x:c r="A3351" s="115" t="str">
        <x:v>EXT-MONDE-T067-V46</x:v>
      </x:c>
      <x:c r="B3351" s="115" t="str">
        <x:v>EXT-MONDE-T067</x:v>
      </x:c>
      <x:c r="C3351" s="115" t="str">
        <x:v>Stades</x:v>
      </x:c>
      <x:c r="D3351" s="115" t="str">
        <x:v>Vélodrome</x:v>
      </x:c>
      <x:c r="E3351" s="115" t="n">
        <x:v>46</x:v>
      </x:c>
      <x:c r="F3351" s="115" t="str">
        <x:v>Inspection physique</x:v>
      </x:c>
      <x:c r="G3351" s="115" t="str">
        <x:v>1 niveaux ; 32 pièces ; 248 segments de mur ; 0 transitions. Inspection physique ; architecture complète encore ouverte.</x:v>
      </x:c>
      <x:c r="H3351" s="115" t="str">
        <x:v>L 482 ; l 622 ; hauteur 16 m ; choix de composition auteur ; dimensions réelles à documenter</x:v>
      </x:c>
      <x:c r="I3351" s="115" t="str">
        <x:v>À équilibrer</x:v>
      </x:c>
      <x:c r="J3351" s="115" t="str">
        <x:v>Non</x:v>
      </x:c>
      <x:c r="K3351" s="115" t="str">
        <x:v>Pièces décrites, murs, portes, niveaux et mobilier inspectables à l’échelle. Volumes réservés, raccord au seed, butin, rencontres et services de campagne restent à terminer.</x:v>
      </x:c>
    </x:row>
    <x:row r="3352" ht="96" customHeight="1">
      <x:c r="A3352" s="115" t="str">
        <x:v>EXT-MONDE-T067-V47</x:v>
      </x:c>
      <x:c r="B3352" s="115" t="str">
        <x:v>EXT-MONDE-T067</x:v>
      </x:c>
      <x:c r="C3352" s="115" t="str">
        <x:v>Stades</x:v>
      </x:c>
      <x:c r="D3352" s="115" t="str">
        <x:v>Vélodrome</x:v>
      </x:c>
      <x:c r="E3352" s="115" t="n">
        <x:v>47</x:v>
      </x:c>
      <x:c r="F3352" s="115" t="str">
        <x:v>Inspection physique</x:v>
      </x:c>
      <x:c r="G3352" s="115" t="str">
        <x:v>1 niveaux ; 32 pièces ; 248 segments de mur ; 0 transitions. Inspection physique ; architecture complète encore ouverte.</x:v>
      </x:c>
      <x:c r="H3352" s="115" t="str">
        <x:v>L 482 ; l 622 ; hauteur 16 m ; choix de composition auteur ; dimensions réelles à documenter</x:v>
      </x:c>
      <x:c r="I3352" s="115" t="str">
        <x:v>À équilibrer</x:v>
      </x:c>
      <x:c r="J3352" s="115" t="str">
        <x:v>Non</x:v>
      </x:c>
      <x:c r="K3352" s="115" t="str">
        <x:v>Pièces décrites, murs, portes, niveaux et mobilier inspectables à l’échelle. Volumes réservés, raccord au seed, butin, rencontres et services de campagne restent à terminer.</x:v>
      </x:c>
    </x:row>
    <x:row r="3353" ht="96" customHeight="1">
      <x:c r="A3353" s="115" t="str">
        <x:v>EXT-MONDE-T067-V48</x:v>
      </x:c>
      <x:c r="B3353" s="115" t="str">
        <x:v>EXT-MONDE-T067</x:v>
      </x:c>
      <x:c r="C3353" s="115" t="str">
        <x:v>Stades</x:v>
      </x:c>
      <x:c r="D3353" s="115" t="str">
        <x:v>Vélodrome</x:v>
      </x:c>
      <x:c r="E3353" s="115" t="n">
        <x:v>48</x:v>
      </x:c>
      <x:c r="F3353" s="115" t="str">
        <x:v>Inspection physique</x:v>
      </x:c>
      <x:c r="G3353" s="115" t="str">
        <x:v>1 niveaux ; 32 pièces ; 248 segments de mur ; 0 transitions. Inspection physique ; architecture complète encore ouverte.</x:v>
      </x:c>
      <x:c r="H3353" s="115" t="str">
        <x:v>L 482 ; l 622 ; hauteur 16 m ; choix de composition auteur ; dimensions réelles à documenter</x:v>
      </x:c>
      <x:c r="I3353" s="115" t="str">
        <x:v>À équilibrer</x:v>
      </x:c>
      <x:c r="J3353" s="115" t="str">
        <x:v>Non</x:v>
      </x:c>
      <x:c r="K3353" s="115" t="str">
        <x:v>Pièces décrites, murs, portes, niveaux et mobilier inspectables à l’échelle. Volumes réservés, raccord au seed, butin, rencontres et services de campagne restent à terminer.</x:v>
      </x:c>
    </x:row>
    <x:row r="3354" ht="96" customHeight="1">
      <x:c r="A3354" s="115" t="str">
        <x:v>EXT-MONDE-T067-V49</x:v>
      </x:c>
      <x:c r="B3354" s="115" t="str">
        <x:v>EXT-MONDE-T067</x:v>
      </x:c>
      <x:c r="C3354" s="115" t="str">
        <x:v>Stades</x:v>
      </x:c>
      <x:c r="D3354" s="115" t="str">
        <x:v>Vélodrome</x:v>
      </x:c>
      <x:c r="E3354" s="115" t="n">
        <x:v>49</x:v>
      </x:c>
      <x:c r="F3354" s="115" t="str">
        <x:v>Inspection physique</x:v>
      </x:c>
      <x:c r="G3354" s="115" t="str">
        <x:v>1 niveaux ; 32 pièces ; 248 segments de mur ; 0 transitions. Inspection physique ; architecture complète encore ouverte.</x:v>
      </x:c>
      <x:c r="H3354" s="115" t="str">
        <x:v>L 482 ; l 622 ; hauteur 16 m ; choix de composition auteur ; dimensions réelles à documenter</x:v>
      </x:c>
      <x:c r="I3354" s="115" t="str">
        <x:v>À équilibrer</x:v>
      </x:c>
      <x:c r="J3354" s="115" t="str">
        <x:v>Non</x:v>
      </x:c>
      <x:c r="K3354" s="115" t="str">
        <x:v>Pièces décrites, murs, portes, niveaux et mobilier inspectables à l’échelle. Volumes réservés, raccord au seed, butin, rencontres et services de campagne restent à terminer.</x:v>
      </x:c>
    </x:row>
    <x:row r="3355" ht="96" customHeight="1">
      <x:c r="A3355" s="115" t="str">
        <x:v>EXT-MONDE-T067-V50</x:v>
      </x:c>
      <x:c r="B3355" s="115" t="str">
        <x:v>EXT-MONDE-T067</x:v>
      </x:c>
      <x:c r="C3355" s="115" t="str">
        <x:v>Stades</x:v>
      </x:c>
      <x:c r="D3355" s="115" t="str">
        <x:v>Vélodrome</x:v>
      </x:c>
      <x:c r="E3355" s="115" t="n">
        <x:v>50</x:v>
      </x:c>
      <x:c r="F3355" s="115" t="str">
        <x:v>Inspection physique</x:v>
      </x:c>
      <x:c r="G3355" s="115" t="str">
        <x:v>1 niveaux ; 32 pièces ; 248 segments de mur ; 0 transitions. Inspection physique ; architecture complète encore ouverte.</x:v>
      </x:c>
      <x:c r="H3355" s="115" t="str">
        <x:v>L 482 ; l 622 ; hauteur 16 m ; choix de composition auteur ; dimensions réelles à documenter</x:v>
      </x:c>
      <x:c r="I3355" s="115" t="str">
        <x:v>À équilibrer</x:v>
      </x:c>
      <x:c r="J3355" s="115" t="str">
        <x:v>Non</x:v>
      </x:c>
      <x:c r="K3355" s="115" t="str">
        <x:v>Pièces décrites, murs, portes, niveaux et mobilier inspectables à l’échelle. Volumes réservés, raccord au seed, butin, rencontres et services de campagne restent à terminer.</x:v>
      </x:c>
    </x:row>
    <x:row r="3356" ht="96" customHeight="1">
      <x:c r="A3356" s="115" t="str">
        <x:v>EXT-MONDE-T068-V01</x:v>
      </x:c>
      <x:c r="B3356" s="115" t="str">
        <x:v>EXT-MONDE-T068</x:v>
      </x:c>
      <x:c r="C3356" s="115" t="str">
        <x:v>Stades</x:v>
      </x:c>
      <x:c r="D3356" s="115" t="str">
        <x:v>Complexe sportif</x:v>
      </x:c>
      <x:c r="E3356" s="115" t="n">
        <x:v>1</x:v>
      </x:c>
      <x:c r="F3356" s="115" t="str">
        <x:v>Inspection physique</x:v>
      </x:c>
      <x:c r="G3356" s="115" t="str">
        <x:v>1 niveaux ; 32 pièces ; 248 segments de mur ; 0 transitions. Inspection physique ; architecture complète encore ouverte.</x:v>
      </x:c>
      <x:c r="H3356" s="115" t="str">
        <x:v>L 362 ; l 570 ; hauteur 10 m ; choix de composition auteur ; dimensions réelles à documenter</x:v>
      </x:c>
      <x:c r="I3356" s="115" t="str">
        <x:v>À équilibrer</x:v>
      </x:c>
      <x:c r="J3356" s="115" t="str">
        <x:v>Non</x:v>
      </x:c>
      <x:c r="K3356" s="115" t="str">
        <x:v>Pièces décrites, murs, portes, niveaux et mobilier inspectables à l’échelle. Volumes réservés, raccord au seed, butin, rencontres et services de campagne restent à terminer.</x:v>
      </x:c>
    </x:row>
    <x:row r="3357" ht="96" customHeight="1">
      <x:c r="A3357" s="115" t="str">
        <x:v>EXT-MONDE-T068-V02</x:v>
      </x:c>
      <x:c r="B3357" s="115" t="str">
        <x:v>EXT-MONDE-T068</x:v>
      </x:c>
      <x:c r="C3357" s="115" t="str">
        <x:v>Stades</x:v>
      </x:c>
      <x:c r="D3357" s="115" t="str">
        <x:v>Complexe sportif</x:v>
      </x:c>
      <x:c r="E3357" s="115" t="n">
        <x:v>2</x:v>
      </x:c>
      <x:c r="F3357" s="115" t="str">
        <x:v>Inspection physique</x:v>
      </x:c>
      <x:c r="G3357" s="115" t="str">
        <x:v>1 niveaux ; 32 pièces ; 248 segments de mur ; 0 transitions. Inspection physique ; architecture complète encore ouverte.</x:v>
      </x:c>
      <x:c r="H3357" s="115" t="str">
        <x:v>L 362 ; l 570 ; hauteur 10 m ; choix de composition auteur ; dimensions réelles à documenter</x:v>
      </x:c>
      <x:c r="I3357" s="115" t="str">
        <x:v>À équilibrer</x:v>
      </x:c>
      <x:c r="J3357" s="115" t="str">
        <x:v>Non</x:v>
      </x:c>
      <x:c r="K3357" s="115" t="str">
        <x:v>Pièces décrites, murs, portes, niveaux et mobilier inspectables à l’échelle. Volumes réservés, raccord au seed, butin, rencontres et services de campagne restent à terminer.</x:v>
      </x:c>
    </x:row>
    <x:row r="3358" ht="96" customHeight="1">
      <x:c r="A3358" s="115" t="str">
        <x:v>EXT-MONDE-T068-V03</x:v>
      </x:c>
      <x:c r="B3358" s="115" t="str">
        <x:v>EXT-MONDE-T068</x:v>
      </x:c>
      <x:c r="C3358" s="115" t="str">
        <x:v>Stades</x:v>
      </x:c>
      <x:c r="D3358" s="115" t="str">
        <x:v>Complexe sportif</x:v>
      </x:c>
      <x:c r="E3358" s="115" t="n">
        <x:v>3</x:v>
      </x:c>
      <x:c r="F3358" s="115" t="str">
        <x:v>Inspection physique</x:v>
      </x:c>
      <x:c r="G3358" s="115" t="str">
        <x:v>1 niveaux ; 32 pièces ; 248 segments de mur ; 0 transitions. Inspection physique ; architecture complète encore ouverte.</x:v>
      </x:c>
      <x:c r="H3358" s="115" t="str">
        <x:v>L 362 ; l 570 ; hauteur 10 m ; choix de composition auteur ; dimensions réelles à documenter</x:v>
      </x:c>
      <x:c r="I3358" s="115" t="str">
        <x:v>À équilibrer</x:v>
      </x:c>
      <x:c r="J3358" s="115" t="str">
        <x:v>Non</x:v>
      </x:c>
      <x:c r="K3358" s="115" t="str">
        <x:v>Pièces décrites, murs, portes, niveaux et mobilier inspectables à l’échelle. Volumes réservés, raccord au seed, butin, rencontres et services de campagne restent à terminer.</x:v>
      </x:c>
    </x:row>
    <x:row r="3359" ht="96" customHeight="1">
      <x:c r="A3359" s="115" t="str">
        <x:v>EXT-MONDE-T068-V04</x:v>
      </x:c>
      <x:c r="B3359" s="115" t="str">
        <x:v>EXT-MONDE-T068</x:v>
      </x:c>
      <x:c r="C3359" s="115" t="str">
        <x:v>Stades</x:v>
      </x:c>
      <x:c r="D3359" s="115" t="str">
        <x:v>Complexe sportif</x:v>
      </x:c>
      <x:c r="E3359" s="115" t="n">
        <x:v>4</x:v>
      </x:c>
      <x:c r="F3359" s="115" t="str">
        <x:v>Inspection physique</x:v>
      </x:c>
      <x:c r="G3359" s="115" t="str">
        <x:v>1 niveaux ; 32 pièces ; 248 segments de mur ; 0 transitions. Inspection physique ; architecture complète encore ouverte.</x:v>
      </x:c>
      <x:c r="H3359" s="115" t="str">
        <x:v>L 362 ; l 570 ; hauteur 10 m ; choix de composition auteur ; dimensions réelles à documenter</x:v>
      </x:c>
      <x:c r="I3359" s="115" t="str">
        <x:v>À équilibrer</x:v>
      </x:c>
      <x:c r="J3359" s="115" t="str">
        <x:v>Non</x:v>
      </x:c>
      <x:c r="K3359" s="115" t="str">
        <x:v>Pièces décrites, murs, portes, niveaux et mobilier inspectables à l’échelle. Volumes réservés, raccord au seed, butin, rencontres et services de campagne restent à terminer.</x:v>
      </x:c>
    </x:row>
    <x:row r="3360" ht="96" customHeight="1">
      <x:c r="A3360" s="115" t="str">
        <x:v>EXT-MONDE-T068-V05</x:v>
      </x:c>
      <x:c r="B3360" s="115" t="str">
        <x:v>EXT-MONDE-T068</x:v>
      </x:c>
      <x:c r="C3360" s="115" t="str">
        <x:v>Stades</x:v>
      </x:c>
      <x:c r="D3360" s="115" t="str">
        <x:v>Complexe sportif</x:v>
      </x:c>
      <x:c r="E3360" s="115" t="n">
        <x:v>5</x:v>
      </x:c>
      <x:c r="F3360" s="115" t="str">
        <x:v>Inspection physique</x:v>
      </x:c>
      <x:c r="G3360" s="115" t="str">
        <x:v>1 niveaux ; 32 pièces ; 248 segments de mur ; 0 transitions. Inspection physique ; architecture complète encore ouverte.</x:v>
      </x:c>
      <x:c r="H3360" s="115" t="str">
        <x:v>L 362 ; l 570 ; hauteur 10 m ; choix de composition auteur ; dimensions réelles à documenter</x:v>
      </x:c>
      <x:c r="I3360" s="115" t="str">
        <x:v>À équilibrer</x:v>
      </x:c>
      <x:c r="J3360" s="115" t="str">
        <x:v>Non</x:v>
      </x:c>
      <x:c r="K3360" s="115" t="str">
        <x:v>Pièces décrites, murs, portes, niveaux et mobilier inspectables à l’échelle. Volumes réservés, raccord au seed, butin, rencontres et services de campagne restent à terminer.</x:v>
      </x:c>
    </x:row>
    <x:row r="3361" ht="96" customHeight="1">
      <x:c r="A3361" s="115" t="str">
        <x:v>EXT-MONDE-T068-V06</x:v>
      </x:c>
      <x:c r="B3361" s="115" t="str">
        <x:v>EXT-MONDE-T068</x:v>
      </x:c>
      <x:c r="C3361" s="115" t="str">
        <x:v>Stades</x:v>
      </x:c>
      <x:c r="D3361" s="115" t="str">
        <x:v>Complexe sportif</x:v>
      </x:c>
      <x:c r="E3361" s="115" t="n">
        <x:v>6</x:v>
      </x:c>
      <x:c r="F3361" s="115" t="str">
        <x:v>Inspection physique</x:v>
      </x:c>
      <x:c r="G3361" s="115" t="str">
        <x:v>1 niveaux ; 32 pièces ; 248 segments de mur ; 0 transitions. Inspection physique ; architecture complète encore ouverte.</x:v>
      </x:c>
      <x:c r="H3361" s="115" t="str">
        <x:v>L 362 ; l 570 ; hauteur 10 m ; choix de composition auteur ; dimensions réelles à documenter</x:v>
      </x:c>
      <x:c r="I3361" s="115" t="str">
        <x:v>À équilibrer</x:v>
      </x:c>
      <x:c r="J3361" s="115" t="str">
        <x:v>Non</x:v>
      </x:c>
      <x:c r="K3361" s="115" t="str">
        <x:v>Pièces décrites, murs, portes, niveaux et mobilier inspectables à l’échelle. Volumes réservés, raccord au seed, butin, rencontres et services de campagne restent à terminer.</x:v>
      </x:c>
    </x:row>
    <x:row r="3362" ht="96" customHeight="1">
      <x:c r="A3362" s="115" t="str">
        <x:v>EXT-MONDE-T068-V07</x:v>
      </x:c>
      <x:c r="B3362" s="115" t="str">
        <x:v>EXT-MONDE-T068</x:v>
      </x:c>
      <x:c r="C3362" s="115" t="str">
        <x:v>Stades</x:v>
      </x:c>
      <x:c r="D3362" s="115" t="str">
        <x:v>Complexe sportif</x:v>
      </x:c>
      <x:c r="E3362" s="115" t="n">
        <x:v>7</x:v>
      </x:c>
      <x:c r="F3362" s="115" t="str">
        <x:v>Inspection physique</x:v>
      </x:c>
      <x:c r="G3362" s="115" t="str">
        <x:v>1 niveaux ; 32 pièces ; 248 segments de mur ; 0 transitions. Inspection physique ; architecture complète encore ouverte.</x:v>
      </x:c>
      <x:c r="H3362" s="115" t="str">
        <x:v>L 362 ; l 570 ; hauteur 10 m ; choix de composition auteur ; dimensions réelles à documenter</x:v>
      </x:c>
      <x:c r="I3362" s="115" t="str">
        <x:v>À équilibrer</x:v>
      </x:c>
      <x:c r="J3362" s="115" t="str">
        <x:v>Non</x:v>
      </x:c>
      <x:c r="K3362" s="115" t="str">
        <x:v>Pièces décrites, murs, portes, niveaux et mobilier inspectables à l’échelle. Volumes réservés, raccord au seed, butin, rencontres et services de campagne restent à terminer.</x:v>
      </x:c>
    </x:row>
    <x:row r="3363" ht="96" customHeight="1">
      <x:c r="A3363" s="115" t="str">
        <x:v>EXT-MONDE-T068-V08</x:v>
      </x:c>
      <x:c r="B3363" s="115" t="str">
        <x:v>EXT-MONDE-T068</x:v>
      </x:c>
      <x:c r="C3363" s="115" t="str">
        <x:v>Stades</x:v>
      </x:c>
      <x:c r="D3363" s="115" t="str">
        <x:v>Complexe sportif</x:v>
      </x:c>
      <x:c r="E3363" s="115" t="n">
        <x:v>8</x:v>
      </x:c>
      <x:c r="F3363" s="115" t="str">
        <x:v>Inspection physique</x:v>
      </x:c>
      <x:c r="G3363" s="115" t="str">
        <x:v>1 niveaux ; 32 pièces ; 248 segments de mur ; 0 transitions. Inspection physique ; architecture complète encore ouverte.</x:v>
      </x:c>
      <x:c r="H3363" s="115" t="str">
        <x:v>L 362 ; l 570 ; hauteur 10 m ; choix de composition auteur ; dimensions réelles à documenter</x:v>
      </x:c>
      <x:c r="I3363" s="115" t="str">
        <x:v>À équilibrer</x:v>
      </x:c>
      <x:c r="J3363" s="115" t="str">
        <x:v>Non</x:v>
      </x:c>
      <x:c r="K3363" s="115" t="str">
        <x:v>Pièces décrites, murs, portes, niveaux et mobilier inspectables à l’échelle. Volumes réservés, raccord au seed, butin, rencontres et services de campagne restent à terminer.</x:v>
      </x:c>
    </x:row>
    <x:row r="3364" ht="96" customHeight="1">
      <x:c r="A3364" s="115" t="str">
        <x:v>EXT-MONDE-T068-V09</x:v>
      </x:c>
      <x:c r="B3364" s="115" t="str">
        <x:v>EXT-MONDE-T068</x:v>
      </x:c>
      <x:c r="C3364" s="115" t="str">
        <x:v>Stades</x:v>
      </x:c>
      <x:c r="D3364" s="115" t="str">
        <x:v>Complexe sportif</x:v>
      </x:c>
      <x:c r="E3364" s="115" t="n">
        <x:v>9</x:v>
      </x:c>
      <x:c r="F3364" s="115" t="str">
        <x:v>Inspection physique</x:v>
      </x:c>
      <x:c r="G3364" s="115" t="str">
        <x:v>1 niveaux ; 32 pièces ; 248 segments de mur ; 0 transitions. Inspection physique ; architecture complète encore ouverte.</x:v>
      </x:c>
      <x:c r="H3364" s="115" t="str">
        <x:v>L 362 ; l 570 ; hauteur 10 m ; choix de composition auteur ; dimensions réelles à documenter</x:v>
      </x:c>
      <x:c r="I3364" s="115" t="str">
        <x:v>À équilibrer</x:v>
      </x:c>
      <x:c r="J3364" s="115" t="str">
        <x:v>Non</x:v>
      </x:c>
      <x:c r="K3364" s="115" t="str">
        <x:v>Pièces décrites, murs, portes, niveaux et mobilier inspectables à l’échelle. Volumes réservés, raccord au seed, butin, rencontres et services de campagne restent à terminer.</x:v>
      </x:c>
    </x:row>
    <x:row r="3365" ht="96" customHeight="1">
      <x:c r="A3365" s="115" t="str">
        <x:v>EXT-MONDE-T068-V10</x:v>
      </x:c>
      <x:c r="B3365" s="115" t="str">
        <x:v>EXT-MONDE-T068</x:v>
      </x:c>
      <x:c r="C3365" s="115" t="str">
        <x:v>Stades</x:v>
      </x:c>
      <x:c r="D3365" s="115" t="str">
        <x:v>Complexe sportif</x:v>
      </x:c>
      <x:c r="E3365" s="115" t="n">
        <x:v>10</x:v>
      </x:c>
      <x:c r="F3365" s="115" t="str">
        <x:v>Inspection physique</x:v>
      </x:c>
      <x:c r="G3365" s="115" t="str">
        <x:v>1 niveaux ; 32 pièces ; 248 segments de mur ; 0 transitions. Inspection physique ; architecture complète encore ouverte.</x:v>
      </x:c>
      <x:c r="H3365" s="115" t="str">
        <x:v>L 362 ; l 570 ; hauteur 10 m ; choix de composition auteur ; dimensions réelles à documenter</x:v>
      </x:c>
      <x:c r="I3365" s="115" t="str">
        <x:v>À équilibrer</x:v>
      </x:c>
      <x:c r="J3365" s="115" t="str">
        <x:v>Non</x:v>
      </x:c>
      <x:c r="K3365" s="115" t="str">
        <x:v>Pièces décrites, murs, portes, niveaux et mobilier inspectables à l’échelle. Volumes réservés, raccord au seed, butin, rencontres et services de campagne restent à terminer.</x:v>
      </x:c>
    </x:row>
    <x:row r="3366" ht="96" customHeight="1">
      <x:c r="A3366" s="115" t="str">
        <x:v>EXT-MONDE-T068-V11</x:v>
      </x:c>
      <x:c r="B3366" s="115" t="str">
        <x:v>EXT-MONDE-T068</x:v>
      </x:c>
      <x:c r="C3366" s="115" t="str">
        <x:v>Stades</x:v>
      </x:c>
      <x:c r="D3366" s="115" t="str">
        <x:v>Complexe sportif</x:v>
      </x:c>
      <x:c r="E3366" s="115" t="n">
        <x:v>11</x:v>
      </x:c>
      <x:c r="F3366" s="115" t="str">
        <x:v>Inspection physique</x:v>
      </x:c>
      <x:c r="G3366" s="115" t="str">
        <x:v>1 niveaux ; 32 pièces ; 248 segments de mur ; 0 transitions. Inspection physique ; architecture complète encore ouverte.</x:v>
      </x:c>
      <x:c r="H3366" s="115" t="str">
        <x:v>L 374 ; l 578 ; hauteur 10 m ; choix de composition auteur ; dimensions réelles à documenter</x:v>
      </x:c>
      <x:c r="I3366" s="115" t="str">
        <x:v>À équilibrer</x:v>
      </x:c>
      <x:c r="J3366" s="115" t="str">
        <x:v>Non</x:v>
      </x:c>
      <x:c r="K3366" s="115" t="str">
        <x:v>Pièces décrites, murs, portes, niveaux et mobilier inspectables à l’échelle. Volumes réservés, raccord au seed, butin, rencontres et services de campagne restent à terminer.</x:v>
      </x:c>
    </x:row>
    <x:row r="3367" ht="96" customHeight="1">
      <x:c r="A3367" s="115" t="str">
        <x:v>EXT-MONDE-T068-V12</x:v>
      </x:c>
      <x:c r="B3367" s="115" t="str">
        <x:v>EXT-MONDE-T068</x:v>
      </x:c>
      <x:c r="C3367" s="115" t="str">
        <x:v>Stades</x:v>
      </x:c>
      <x:c r="D3367" s="115" t="str">
        <x:v>Complexe sportif</x:v>
      </x:c>
      <x:c r="E3367" s="115" t="n">
        <x:v>12</x:v>
      </x:c>
      <x:c r="F3367" s="115" t="str">
        <x:v>Inspection physique</x:v>
      </x:c>
      <x:c r="G3367" s="115" t="str">
        <x:v>1 niveaux ; 32 pièces ; 248 segments de mur ; 0 transitions. Inspection physique ; architecture complète encore ouverte.</x:v>
      </x:c>
      <x:c r="H3367" s="115" t="str">
        <x:v>L 374 ; l 578 ; hauteur 10 m ; choix de composition auteur ; dimensions réelles à documenter</x:v>
      </x:c>
      <x:c r="I3367" s="115" t="str">
        <x:v>À équilibrer</x:v>
      </x:c>
      <x:c r="J3367" s="115" t="str">
        <x:v>Non</x:v>
      </x:c>
      <x:c r="K3367" s="115" t="str">
        <x:v>Pièces décrites, murs, portes, niveaux et mobilier inspectables à l’échelle. Volumes réservés, raccord au seed, butin, rencontres et services de campagne restent à terminer.</x:v>
      </x:c>
    </x:row>
    <x:row r="3368" ht="96" customHeight="1">
      <x:c r="A3368" s="115" t="str">
        <x:v>EXT-MONDE-T068-V13</x:v>
      </x:c>
      <x:c r="B3368" s="115" t="str">
        <x:v>EXT-MONDE-T068</x:v>
      </x:c>
      <x:c r="C3368" s="115" t="str">
        <x:v>Stades</x:v>
      </x:c>
      <x:c r="D3368" s="115" t="str">
        <x:v>Complexe sportif</x:v>
      </x:c>
      <x:c r="E3368" s="115" t="n">
        <x:v>13</x:v>
      </x:c>
      <x:c r="F3368" s="115" t="str">
        <x:v>Inspection physique</x:v>
      </x:c>
      <x:c r="G3368" s="115" t="str">
        <x:v>1 niveaux ; 32 pièces ; 248 segments de mur ; 0 transitions. Inspection physique ; architecture complète encore ouverte.</x:v>
      </x:c>
      <x:c r="H3368" s="115" t="str">
        <x:v>L 374 ; l 578 ; hauteur 10 m ; choix de composition auteur ; dimensions réelles à documenter</x:v>
      </x:c>
      <x:c r="I3368" s="115" t="str">
        <x:v>À équilibrer</x:v>
      </x:c>
      <x:c r="J3368" s="115" t="str">
        <x:v>Non</x:v>
      </x:c>
      <x:c r="K3368" s="115" t="str">
        <x:v>Pièces décrites, murs, portes, niveaux et mobilier inspectables à l’échelle. Volumes réservés, raccord au seed, butin, rencontres et services de campagne restent à terminer.</x:v>
      </x:c>
    </x:row>
    <x:row r="3369" ht="96" customHeight="1">
      <x:c r="A3369" s="115" t="str">
        <x:v>EXT-MONDE-T068-V14</x:v>
      </x:c>
      <x:c r="B3369" s="115" t="str">
        <x:v>EXT-MONDE-T068</x:v>
      </x:c>
      <x:c r="C3369" s="115" t="str">
        <x:v>Stades</x:v>
      </x:c>
      <x:c r="D3369" s="115" t="str">
        <x:v>Complexe sportif</x:v>
      </x:c>
      <x:c r="E3369" s="115" t="n">
        <x:v>14</x:v>
      </x:c>
      <x:c r="F3369" s="115" t="str">
        <x:v>Inspection physique</x:v>
      </x:c>
      <x:c r="G3369" s="115" t="str">
        <x:v>1 niveaux ; 32 pièces ; 248 segments de mur ; 0 transitions. Inspection physique ; architecture complète encore ouverte.</x:v>
      </x:c>
      <x:c r="H3369" s="115" t="str">
        <x:v>L 374 ; l 578 ; hauteur 10 m ; choix de composition auteur ; dimensions réelles à documenter</x:v>
      </x:c>
      <x:c r="I3369" s="115" t="str">
        <x:v>À équilibrer</x:v>
      </x:c>
      <x:c r="J3369" s="115" t="str">
        <x:v>Non</x:v>
      </x:c>
      <x:c r="K3369" s="115" t="str">
        <x:v>Pièces décrites, murs, portes, niveaux et mobilier inspectables à l’échelle. Volumes réservés, raccord au seed, butin, rencontres et services de campagne restent à terminer.</x:v>
      </x:c>
    </x:row>
    <x:row r="3370" ht="96" customHeight="1">
      <x:c r="A3370" s="115" t="str">
        <x:v>EXT-MONDE-T068-V15</x:v>
      </x:c>
      <x:c r="B3370" s="115" t="str">
        <x:v>EXT-MONDE-T068</x:v>
      </x:c>
      <x:c r="C3370" s="115" t="str">
        <x:v>Stades</x:v>
      </x:c>
      <x:c r="D3370" s="115" t="str">
        <x:v>Complexe sportif</x:v>
      </x:c>
      <x:c r="E3370" s="115" t="n">
        <x:v>15</x:v>
      </x:c>
      <x:c r="F3370" s="115" t="str">
        <x:v>Inspection physique</x:v>
      </x:c>
      <x:c r="G3370" s="115" t="str">
        <x:v>1 niveaux ; 32 pièces ; 248 segments de mur ; 0 transitions. Inspection physique ; architecture complète encore ouverte.</x:v>
      </x:c>
      <x:c r="H3370" s="115" t="str">
        <x:v>L 374 ; l 578 ; hauteur 10 m ; choix de composition auteur ; dimensions réelles à documenter</x:v>
      </x:c>
      <x:c r="I3370" s="115" t="str">
        <x:v>À équilibrer</x:v>
      </x:c>
      <x:c r="J3370" s="115" t="str">
        <x:v>Non</x:v>
      </x:c>
      <x:c r="K3370" s="115" t="str">
        <x:v>Pièces décrites, murs, portes, niveaux et mobilier inspectables à l’échelle. Volumes réservés, raccord au seed, butin, rencontres et services de campagne restent à terminer.</x:v>
      </x:c>
    </x:row>
    <x:row r="3371" ht="96" customHeight="1">
      <x:c r="A3371" s="115" t="str">
        <x:v>EXT-MONDE-T068-V16</x:v>
      </x:c>
      <x:c r="B3371" s="115" t="str">
        <x:v>EXT-MONDE-T068</x:v>
      </x:c>
      <x:c r="C3371" s="115" t="str">
        <x:v>Stades</x:v>
      </x:c>
      <x:c r="D3371" s="115" t="str">
        <x:v>Complexe sportif</x:v>
      </x:c>
      <x:c r="E3371" s="115" t="n">
        <x:v>16</x:v>
      </x:c>
      <x:c r="F3371" s="115" t="str">
        <x:v>Inspection physique</x:v>
      </x:c>
      <x:c r="G3371" s="115" t="str">
        <x:v>1 niveaux ; 32 pièces ; 248 segments de mur ; 0 transitions. Inspection physique ; architecture complète encore ouverte.</x:v>
      </x:c>
      <x:c r="H3371" s="115" t="str">
        <x:v>L 374 ; l 578 ; hauteur 10 m ; choix de composition auteur ; dimensions réelles à documenter</x:v>
      </x:c>
      <x:c r="I3371" s="115" t="str">
        <x:v>À équilibrer</x:v>
      </x:c>
      <x:c r="J3371" s="115" t="str">
        <x:v>Non</x:v>
      </x:c>
      <x:c r="K3371" s="115" t="str">
        <x:v>Pièces décrites, murs, portes, niveaux et mobilier inspectables à l’échelle. Volumes réservés, raccord au seed, butin, rencontres et services de campagne restent à terminer.</x:v>
      </x:c>
    </x:row>
    <x:row r="3372" ht="96" customHeight="1">
      <x:c r="A3372" s="115" t="str">
        <x:v>EXT-MONDE-T068-V17</x:v>
      </x:c>
      <x:c r="B3372" s="115" t="str">
        <x:v>EXT-MONDE-T068</x:v>
      </x:c>
      <x:c r="C3372" s="115" t="str">
        <x:v>Stades</x:v>
      </x:c>
      <x:c r="D3372" s="115" t="str">
        <x:v>Complexe sportif</x:v>
      </x:c>
      <x:c r="E3372" s="115" t="n">
        <x:v>17</x:v>
      </x:c>
      <x:c r="F3372" s="115" t="str">
        <x:v>Inspection physique</x:v>
      </x:c>
      <x:c r="G3372" s="115" t="str">
        <x:v>1 niveaux ; 32 pièces ; 248 segments de mur ; 0 transitions. Inspection physique ; architecture complète encore ouverte.</x:v>
      </x:c>
      <x:c r="H3372" s="115" t="str">
        <x:v>L 374 ; l 578 ; hauteur 10 m ; choix de composition auteur ; dimensions réelles à documenter</x:v>
      </x:c>
      <x:c r="I3372" s="115" t="str">
        <x:v>À équilibrer</x:v>
      </x:c>
      <x:c r="J3372" s="115" t="str">
        <x:v>Non</x:v>
      </x:c>
      <x:c r="K3372" s="115" t="str">
        <x:v>Pièces décrites, murs, portes, niveaux et mobilier inspectables à l’échelle. Volumes réservés, raccord au seed, butin, rencontres et services de campagne restent à terminer.</x:v>
      </x:c>
    </x:row>
    <x:row r="3373" ht="96" customHeight="1">
      <x:c r="A3373" s="115" t="str">
        <x:v>EXT-MONDE-T068-V18</x:v>
      </x:c>
      <x:c r="B3373" s="115" t="str">
        <x:v>EXT-MONDE-T068</x:v>
      </x:c>
      <x:c r="C3373" s="115" t="str">
        <x:v>Stades</x:v>
      </x:c>
      <x:c r="D3373" s="115" t="str">
        <x:v>Complexe sportif</x:v>
      </x:c>
      <x:c r="E3373" s="115" t="n">
        <x:v>18</x:v>
      </x:c>
      <x:c r="F3373" s="115" t="str">
        <x:v>Inspection physique</x:v>
      </x:c>
      <x:c r="G3373" s="115" t="str">
        <x:v>1 niveaux ; 32 pièces ; 248 segments de mur ; 0 transitions. Inspection physique ; architecture complète encore ouverte.</x:v>
      </x:c>
      <x:c r="H3373" s="115" t="str">
        <x:v>L 374 ; l 578 ; hauteur 10 m ; choix de composition auteur ; dimensions réelles à documenter</x:v>
      </x:c>
      <x:c r="I3373" s="115" t="str">
        <x:v>À équilibrer</x:v>
      </x:c>
      <x:c r="J3373" s="115" t="str">
        <x:v>Non</x:v>
      </x:c>
      <x:c r="K3373" s="115" t="str">
        <x:v>Pièces décrites, murs, portes, niveaux et mobilier inspectables à l’échelle. Volumes réservés, raccord au seed, butin, rencontres et services de campagne restent à terminer.</x:v>
      </x:c>
    </x:row>
    <x:row r="3374" ht="96" customHeight="1">
      <x:c r="A3374" s="115" t="str">
        <x:v>EXT-MONDE-T068-V19</x:v>
      </x:c>
      <x:c r="B3374" s="115" t="str">
        <x:v>EXT-MONDE-T068</x:v>
      </x:c>
      <x:c r="C3374" s="115" t="str">
        <x:v>Stades</x:v>
      </x:c>
      <x:c r="D3374" s="115" t="str">
        <x:v>Complexe sportif</x:v>
      </x:c>
      <x:c r="E3374" s="115" t="n">
        <x:v>19</x:v>
      </x:c>
      <x:c r="F3374" s="115" t="str">
        <x:v>Inspection physique</x:v>
      </x:c>
      <x:c r="G3374" s="115" t="str">
        <x:v>1 niveaux ; 32 pièces ; 248 segments de mur ; 0 transitions. Inspection physique ; architecture complète encore ouverte.</x:v>
      </x:c>
      <x:c r="H3374" s="115" t="str">
        <x:v>L 374 ; l 578 ; hauteur 10 m ; choix de composition auteur ; dimensions réelles à documenter</x:v>
      </x:c>
      <x:c r="I3374" s="115" t="str">
        <x:v>À équilibrer</x:v>
      </x:c>
      <x:c r="J3374" s="115" t="str">
        <x:v>Non</x:v>
      </x:c>
      <x:c r="K3374" s="115" t="str">
        <x:v>Pièces décrites, murs, portes, niveaux et mobilier inspectables à l’échelle. Volumes réservés, raccord au seed, butin, rencontres et services de campagne restent à terminer.</x:v>
      </x:c>
    </x:row>
    <x:row r="3375" ht="96" customHeight="1">
      <x:c r="A3375" s="115" t="str">
        <x:v>EXT-MONDE-T068-V20</x:v>
      </x:c>
      <x:c r="B3375" s="115" t="str">
        <x:v>EXT-MONDE-T068</x:v>
      </x:c>
      <x:c r="C3375" s="115" t="str">
        <x:v>Stades</x:v>
      </x:c>
      <x:c r="D3375" s="115" t="str">
        <x:v>Complexe sportif</x:v>
      </x:c>
      <x:c r="E3375" s="115" t="n">
        <x:v>20</x:v>
      </x:c>
      <x:c r="F3375" s="115" t="str">
        <x:v>Inspection physique</x:v>
      </x:c>
      <x:c r="G3375" s="115" t="str">
        <x:v>1 niveaux ; 32 pièces ; 248 segments de mur ; 0 transitions. Inspection physique ; architecture complète encore ouverte.</x:v>
      </x:c>
      <x:c r="H3375" s="115" t="str">
        <x:v>L 374 ; l 578 ; hauteur 10 m ; choix de composition auteur ; dimensions réelles à documenter</x:v>
      </x:c>
      <x:c r="I3375" s="115" t="str">
        <x:v>À équilibrer</x:v>
      </x:c>
      <x:c r="J3375" s="115" t="str">
        <x:v>Non</x:v>
      </x:c>
      <x:c r="K3375" s="115" t="str">
        <x:v>Pièces décrites, murs, portes, niveaux et mobilier inspectables à l’échelle. Volumes réservés, raccord au seed, butin, rencontres et services de campagne restent à terminer.</x:v>
      </x:c>
    </x:row>
    <x:row r="3376" ht="96" customHeight="1">
      <x:c r="A3376" s="115" t="str">
        <x:v>EXT-MONDE-T068-V21</x:v>
      </x:c>
      <x:c r="B3376" s="115" t="str">
        <x:v>EXT-MONDE-T068</x:v>
      </x:c>
      <x:c r="C3376" s="115" t="str">
        <x:v>Stades</x:v>
      </x:c>
      <x:c r="D3376" s="115" t="str">
        <x:v>Complexe sportif</x:v>
      </x:c>
      <x:c r="E3376" s="115" t="n">
        <x:v>21</x:v>
      </x:c>
      <x:c r="F3376" s="115" t="str">
        <x:v>Inspection physique</x:v>
      </x:c>
      <x:c r="G3376" s="115" t="str">
        <x:v>1 niveaux ; 32 pièces ; 248 segments de mur ; 0 transitions. Inspection physique ; architecture complète encore ouverte.</x:v>
      </x:c>
      <x:c r="H3376" s="115" t="str">
        <x:v>L 386 ; l 586 ; hauteur 10 m ; choix de composition auteur ; dimensions réelles à documenter</x:v>
      </x:c>
      <x:c r="I3376" s="115" t="str">
        <x:v>À équilibrer</x:v>
      </x:c>
      <x:c r="J3376" s="115" t="str">
        <x:v>Non</x:v>
      </x:c>
      <x:c r="K3376" s="115" t="str">
        <x:v>Pièces décrites, murs, portes, niveaux et mobilier inspectables à l’échelle. Volumes réservés, raccord au seed, butin, rencontres et services de campagne restent à terminer.</x:v>
      </x:c>
    </x:row>
    <x:row r="3377" ht="96" customHeight="1">
      <x:c r="A3377" s="115" t="str">
        <x:v>EXT-MONDE-T068-V22</x:v>
      </x:c>
      <x:c r="B3377" s="115" t="str">
        <x:v>EXT-MONDE-T068</x:v>
      </x:c>
      <x:c r="C3377" s="115" t="str">
        <x:v>Stades</x:v>
      </x:c>
      <x:c r="D3377" s="115" t="str">
        <x:v>Complexe sportif</x:v>
      </x:c>
      <x:c r="E3377" s="115" t="n">
        <x:v>22</x:v>
      </x:c>
      <x:c r="F3377" s="115" t="str">
        <x:v>Inspection physique</x:v>
      </x:c>
      <x:c r="G3377" s="115" t="str">
        <x:v>1 niveaux ; 32 pièces ; 248 segments de mur ; 0 transitions. Inspection physique ; architecture complète encore ouverte.</x:v>
      </x:c>
      <x:c r="H3377" s="115" t="str">
        <x:v>L 386 ; l 586 ; hauteur 10 m ; choix de composition auteur ; dimensions réelles à documenter</x:v>
      </x:c>
      <x:c r="I3377" s="115" t="str">
        <x:v>À équilibrer</x:v>
      </x:c>
      <x:c r="J3377" s="115" t="str">
        <x:v>Non</x:v>
      </x:c>
      <x:c r="K3377" s="115" t="str">
        <x:v>Pièces décrites, murs, portes, niveaux et mobilier inspectables à l’échelle. Volumes réservés, raccord au seed, butin, rencontres et services de campagne restent à terminer.</x:v>
      </x:c>
    </x:row>
    <x:row r="3378" ht="96" customHeight="1">
      <x:c r="A3378" s="115" t="str">
        <x:v>EXT-MONDE-T068-V23</x:v>
      </x:c>
      <x:c r="B3378" s="115" t="str">
        <x:v>EXT-MONDE-T068</x:v>
      </x:c>
      <x:c r="C3378" s="115" t="str">
        <x:v>Stades</x:v>
      </x:c>
      <x:c r="D3378" s="115" t="str">
        <x:v>Complexe sportif</x:v>
      </x:c>
      <x:c r="E3378" s="115" t="n">
        <x:v>23</x:v>
      </x:c>
      <x:c r="F3378" s="115" t="str">
        <x:v>Inspection physique</x:v>
      </x:c>
      <x:c r="G3378" s="115" t="str">
        <x:v>1 niveaux ; 32 pièces ; 248 segments de mur ; 0 transitions. Inspection physique ; architecture complète encore ouverte.</x:v>
      </x:c>
      <x:c r="H3378" s="115" t="str">
        <x:v>L 386 ; l 586 ; hauteur 10 m ; choix de composition auteur ; dimensions réelles à documenter</x:v>
      </x:c>
      <x:c r="I3378" s="115" t="str">
        <x:v>À équilibrer</x:v>
      </x:c>
      <x:c r="J3378" s="115" t="str">
        <x:v>Non</x:v>
      </x:c>
      <x:c r="K3378" s="115" t="str">
        <x:v>Pièces décrites, murs, portes, niveaux et mobilier inspectables à l’échelle. Volumes réservés, raccord au seed, butin, rencontres et services de campagne restent à terminer.</x:v>
      </x:c>
    </x:row>
    <x:row r="3379" ht="96" customHeight="1">
      <x:c r="A3379" s="115" t="str">
        <x:v>EXT-MONDE-T068-V24</x:v>
      </x:c>
      <x:c r="B3379" s="115" t="str">
        <x:v>EXT-MONDE-T068</x:v>
      </x:c>
      <x:c r="C3379" s="115" t="str">
        <x:v>Stades</x:v>
      </x:c>
      <x:c r="D3379" s="115" t="str">
        <x:v>Complexe sportif</x:v>
      </x:c>
      <x:c r="E3379" s="115" t="n">
        <x:v>24</x:v>
      </x:c>
      <x:c r="F3379" s="115" t="str">
        <x:v>Inspection physique</x:v>
      </x:c>
      <x:c r="G3379" s="115" t="str">
        <x:v>1 niveaux ; 32 pièces ; 248 segments de mur ; 0 transitions. Inspection physique ; architecture complète encore ouverte.</x:v>
      </x:c>
      <x:c r="H3379" s="115" t="str">
        <x:v>L 386 ; l 586 ; hauteur 10 m ; choix de composition auteur ; dimensions réelles à documenter</x:v>
      </x:c>
      <x:c r="I3379" s="115" t="str">
        <x:v>À équilibrer</x:v>
      </x:c>
      <x:c r="J3379" s="115" t="str">
        <x:v>Non</x:v>
      </x:c>
      <x:c r="K3379" s="115" t="str">
        <x:v>Pièces décrites, murs, portes, niveaux et mobilier inspectables à l’échelle. Volumes réservés, raccord au seed, butin, rencontres et services de campagne restent à terminer.</x:v>
      </x:c>
    </x:row>
    <x:row r="3380" ht="96" customHeight="1">
      <x:c r="A3380" s="115" t="str">
        <x:v>EXT-MONDE-T068-V25</x:v>
      </x:c>
      <x:c r="B3380" s="115" t="str">
        <x:v>EXT-MONDE-T068</x:v>
      </x:c>
      <x:c r="C3380" s="115" t="str">
        <x:v>Stades</x:v>
      </x:c>
      <x:c r="D3380" s="115" t="str">
        <x:v>Complexe sportif</x:v>
      </x:c>
      <x:c r="E3380" s="115" t="n">
        <x:v>25</x:v>
      </x:c>
      <x:c r="F3380" s="115" t="str">
        <x:v>Inspection physique</x:v>
      </x:c>
      <x:c r="G3380" s="115" t="str">
        <x:v>1 niveaux ; 32 pièces ; 248 segments de mur ; 0 transitions. Inspection physique ; architecture complète encore ouverte.</x:v>
      </x:c>
      <x:c r="H3380" s="115" t="str">
        <x:v>L 386 ; l 586 ; hauteur 10 m ; choix de composition auteur ; dimensions réelles à documenter</x:v>
      </x:c>
      <x:c r="I3380" s="115" t="str">
        <x:v>À équilibrer</x:v>
      </x:c>
      <x:c r="J3380" s="115" t="str">
        <x:v>Non</x:v>
      </x:c>
      <x:c r="K3380" s="115" t="str">
        <x:v>Pièces décrites, murs, portes, niveaux et mobilier inspectables à l’échelle. Volumes réservés, raccord au seed, butin, rencontres et services de campagne restent à terminer.</x:v>
      </x:c>
    </x:row>
    <x:row r="3381" ht="96" customHeight="1">
      <x:c r="A3381" s="115" t="str">
        <x:v>EXT-MONDE-T068-V26</x:v>
      </x:c>
      <x:c r="B3381" s="115" t="str">
        <x:v>EXT-MONDE-T068</x:v>
      </x:c>
      <x:c r="C3381" s="115" t="str">
        <x:v>Stades</x:v>
      </x:c>
      <x:c r="D3381" s="115" t="str">
        <x:v>Complexe sportif</x:v>
      </x:c>
      <x:c r="E3381" s="115" t="n">
        <x:v>26</x:v>
      </x:c>
      <x:c r="F3381" s="115" t="str">
        <x:v>Inspection physique</x:v>
      </x:c>
      <x:c r="G3381" s="115" t="str">
        <x:v>1 niveaux ; 32 pièces ; 248 segments de mur ; 0 transitions. Inspection physique ; architecture complète encore ouverte.</x:v>
      </x:c>
      <x:c r="H3381" s="115" t="str">
        <x:v>L 386 ; l 586 ; hauteur 10 m ; choix de composition auteur ; dimensions réelles à documenter</x:v>
      </x:c>
      <x:c r="I3381" s="115" t="str">
        <x:v>À équilibrer</x:v>
      </x:c>
      <x:c r="J3381" s="115" t="str">
        <x:v>Non</x:v>
      </x:c>
      <x:c r="K3381" s="115" t="str">
        <x:v>Pièces décrites, murs, portes, niveaux et mobilier inspectables à l’échelle. Volumes réservés, raccord au seed, butin, rencontres et services de campagne restent à terminer.</x:v>
      </x:c>
    </x:row>
    <x:row r="3382" ht="96" customHeight="1">
      <x:c r="A3382" s="115" t="str">
        <x:v>EXT-MONDE-T068-V27</x:v>
      </x:c>
      <x:c r="B3382" s="115" t="str">
        <x:v>EXT-MONDE-T068</x:v>
      </x:c>
      <x:c r="C3382" s="115" t="str">
        <x:v>Stades</x:v>
      </x:c>
      <x:c r="D3382" s="115" t="str">
        <x:v>Complexe sportif</x:v>
      </x:c>
      <x:c r="E3382" s="115" t="n">
        <x:v>27</x:v>
      </x:c>
      <x:c r="F3382" s="115" t="str">
        <x:v>Inspection physique</x:v>
      </x:c>
      <x:c r="G3382" s="115" t="str">
        <x:v>1 niveaux ; 32 pièces ; 248 segments de mur ; 0 transitions. Inspection physique ; architecture complète encore ouverte.</x:v>
      </x:c>
      <x:c r="H3382" s="115" t="str">
        <x:v>L 386 ; l 586 ; hauteur 10 m ; choix de composition auteur ; dimensions réelles à documenter</x:v>
      </x:c>
      <x:c r="I3382" s="115" t="str">
        <x:v>À équilibrer</x:v>
      </x:c>
      <x:c r="J3382" s="115" t="str">
        <x:v>Non</x:v>
      </x:c>
      <x:c r="K3382" s="115" t="str">
        <x:v>Pièces décrites, murs, portes, niveaux et mobilier inspectables à l’échelle. Volumes réservés, raccord au seed, butin, rencontres et services de campagne restent à terminer.</x:v>
      </x:c>
    </x:row>
    <x:row r="3383" ht="96" customHeight="1">
      <x:c r="A3383" s="115" t="str">
        <x:v>EXT-MONDE-T068-V28</x:v>
      </x:c>
      <x:c r="B3383" s="115" t="str">
        <x:v>EXT-MONDE-T068</x:v>
      </x:c>
      <x:c r="C3383" s="115" t="str">
        <x:v>Stades</x:v>
      </x:c>
      <x:c r="D3383" s="115" t="str">
        <x:v>Complexe sportif</x:v>
      </x:c>
      <x:c r="E3383" s="115" t="n">
        <x:v>28</x:v>
      </x:c>
      <x:c r="F3383" s="115" t="str">
        <x:v>Inspection physique</x:v>
      </x:c>
      <x:c r="G3383" s="115" t="str">
        <x:v>1 niveaux ; 32 pièces ; 248 segments de mur ; 0 transitions. Inspection physique ; architecture complète encore ouverte.</x:v>
      </x:c>
      <x:c r="H3383" s="115" t="str">
        <x:v>L 386 ; l 586 ; hauteur 10 m ; choix de composition auteur ; dimensions réelles à documenter</x:v>
      </x:c>
      <x:c r="I3383" s="115" t="str">
        <x:v>À équilibrer</x:v>
      </x:c>
      <x:c r="J3383" s="115" t="str">
        <x:v>Non</x:v>
      </x:c>
      <x:c r="K3383" s="115" t="str">
        <x:v>Pièces décrites, murs, portes, niveaux et mobilier inspectables à l’échelle. Volumes réservés, raccord au seed, butin, rencontres et services de campagne restent à terminer.</x:v>
      </x:c>
    </x:row>
    <x:row r="3384" ht="96" customHeight="1">
      <x:c r="A3384" s="115" t="str">
        <x:v>EXT-MONDE-T068-V29</x:v>
      </x:c>
      <x:c r="B3384" s="115" t="str">
        <x:v>EXT-MONDE-T068</x:v>
      </x:c>
      <x:c r="C3384" s="115" t="str">
        <x:v>Stades</x:v>
      </x:c>
      <x:c r="D3384" s="115" t="str">
        <x:v>Complexe sportif</x:v>
      </x:c>
      <x:c r="E3384" s="115" t="n">
        <x:v>29</x:v>
      </x:c>
      <x:c r="F3384" s="115" t="str">
        <x:v>Inspection physique</x:v>
      </x:c>
      <x:c r="G3384" s="115" t="str">
        <x:v>1 niveaux ; 32 pièces ; 248 segments de mur ; 0 transitions. Inspection physique ; architecture complète encore ouverte.</x:v>
      </x:c>
      <x:c r="H3384" s="115" t="str">
        <x:v>L 386 ; l 586 ; hauteur 10 m ; choix de composition auteur ; dimensions réelles à documenter</x:v>
      </x:c>
      <x:c r="I3384" s="115" t="str">
        <x:v>À équilibrer</x:v>
      </x:c>
      <x:c r="J3384" s="115" t="str">
        <x:v>Non</x:v>
      </x:c>
      <x:c r="K3384" s="115" t="str">
        <x:v>Pièces décrites, murs, portes, niveaux et mobilier inspectables à l’échelle. Volumes réservés, raccord au seed, butin, rencontres et services de campagne restent à terminer.</x:v>
      </x:c>
    </x:row>
    <x:row r="3385" ht="96" customHeight="1">
      <x:c r="A3385" s="115" t="str">
        <x:v>EXT-MONDE-T068-V30</x:v>
      </x:c>
      <x:c r="B3385" s="115" t="str">
        <x:v>EXT-MONDE-T068</x:v>
      </x:c>
      <x:c r="C3385" s="115" t="str">
        <x:v>Stades</x:v>
      </x:c>
      <x:c r="D3385" s="115" t="str">
        <x:v>Complexe sportif</x:v>
      </x:c>
      <x:c r="E3385" s="115" t="n">
        <x:v>30</x:v>
      </x:c>
      <x:c r="F3385" s="115" t="str">
        <x:v>Inspection physique</x:v>
      </x:c>
      <x:c r="G3385" s="115" t="str">
        <x:v>1 niveaux ; 32 pièces ; 248 segments de mur ; 0 transitions. Inspection physique ; architecture complète encore ouverte.</x:v>
      </x:c>
      <x:c r="H3385" s="115" t="str">
        <x:v>L 386 ; l 586 ; hauteur 10 m ; choix de composition auteur ; dimensions réelles à documenter</x:v>
      </x:c>
      <x:c r="I3385" s="115" t="str">
        <x:v>À équilibrer</x:v>
      </x:c>
      <x:c r="J3385" s="115" t="str">
        <x:v>Non</x:v>
      </x:c>
      <x:c r="K3385" s="115" t="str">
        <x:v>Pièces décrites, murs, portes, niveaux et mobilier inspectables à l’échelle. Volumes réservés, raccord au seed, butin, rencontres et services de campagne restent à terminer.</x:v>
      </x:c>
    </x:row>
    <x:row r="3386" ht="96" customHeight="1">
      <x:c r="A3386" s="115" t="str">
        <x:v>EXT-MONDE-T068-V31</x:v>
      </x:c>
      <x:c r="B3386" s="115" t="str">
        <x:v>EXT-MONDE-T068</x:v>
      </x:c>
      <x:c r="C3386" s="115" t="str">
        <x:v>Stades</x:v>
      </x:c>
      <x:c r="D3386" s="115" t="str">
        <x:v>Complexe sportif</x:v>
      </x:c>
      <x:c r="E3386" s="115" t="n">
        <x:v>31</x:v>
      </x:c>
      <x:c r="F3386" s="115" t="str">
        <x:v>Inspection physique</x:v>
      </x:c>
      <x:c r="G3386" s="115" t="str">
        <x:v>1 niveaux ; 32 pièces ; 248 segments de mur ; 0 transitions. Inspection physique ; architecture complète encore ouverte.</x:v>
      </x:c>
      <x:c r="H3386" s="115" t="str">
        <x:v>L 398 ; l 594 ; hauteur 10 m ; choix de composition auteur ; dimensions réelles à documenter</x:v>
      </x:c>
      <x:c r="I3386" s="115" t="str">
        <x:v>À équilibrer</x:v>
      </x:c>
      <x:c r="J3386" s="115" t="str">
        <x:v>Non</x:v>
      </x:c>
      <x:c r="K3386" s="115" t="str">
        <x:v>Pièces décrites, murs, portes, niveaux et mobilier inspectables à l’échelle. Volumes réservés, raccord au seed, butin, rencontres et services de campagne restent à terminer.</x:v>
      </x:c>
    </x:row>
    <x:row r="3387" ht="96" customHeight="1">
      <x:c r="A3387" s="115" t="str">
        <x:v>EXT-MONDE-T068-V32</x:v>
      </x:c>
      <x:c r="B3387" s="115" t="str">
        <x:v>EXT-MONDE-T068</x:v>
      </x:c>
      <x:c r="C3387" s="115" t="str">
        <x:v>Stades</x:v>
      </x:c>
      <x:c r="D3387" s="115" t="str">
        <x:v>Complexe sportif</x:v>
      </x:c>
      <x:c r="E3387" s="115" t="n">
        <x:v>32</x:v>
      </x:c>
      <x:c r="F3387" s="115" t="str">
        <x:v>Inspection physique</x:v>
      </x:c>
      <x:c r="G3387" s="115" t="str">
        <x:v>1 niveaux ; 32 pièces ; 248 segments de mur ; 0 transitions. Inspection physique ; architecture complète encore ouverte.</x:v>
      </x:c>
      <x:c r="H3387" s="115" t="str">
        <x:v>L 398 ; l 594 ; hauteur 10 m ; choix de composition auteur ; dimensions réelles à documenter</x:v>
      </x:c>
      <x:c r="I3387" s="115" t="str">
        <x:v>À équilibrer</x:v>
      </x:c>
      <x:c r="J3387" s="115" t="str">
        <x:v>Non</x:v>
      </x:c>
      <x:c r="K3387" s="115" t="str">
        <x:v>Pièces décrites, murs, portes, niveaux et mobilier inspectables à l’échelle. Volumes réservés, raccord au seed, butin, rencontres et services de campagne restent à terminer.</x:v>
      </x:c>
    </x:row>
    <x:row r="3388" ht="96" customHeight="1">
      <x:c r="A3388" s="115" t="str">
        <x:v>EXT-MONDE-T068-V33</x:v>
      </x:c>
      <x:c r="B3388" s="115" t="str">
        <x:v>EXT-MONDE-T068</x:v>
      </x:c>
      <x:c r="C3388" s="115" t="str">
        <x:v>Stades</x:v>
      </x:c>
      <x:c r="D3388" s="115" t="str">
        <x:v>Complexe sportif</x:v>
      </x:c>
      <x:c r="E3388" s="115" t="n">
        <x:v>33</x:v>
      </x:c>
      <x:c r="F3388" s="115" t="str">
        <x:v>Inspection physique</x:v>
      </x:c>
      <x:c r="G3388" s="115" t="str">
        <x:v>1 niveaux ; 32 pièces ; 248 segments de mur ; 0 transitions. Inspection physique ; architecture complète encore ouverte.</x:v>
      </x:c>
      <x:c r="H3388" s="115" t="str">
        <x:v>L 398 ; l 594 ; hauteur 10 m ; choix de composition auteur ; dimensions réelles à documenter</x:v>
      </x:c>
      <x:c r="I3388" s="115" t="str">
        <x:v>À équilibrer</x:v>
      </x:c>
      <x:c r="J3388" s="115" t="str">
        <x:v>Non</x:v>
      </x:c>
      <x:c r="K3388" s="115" t="str">
        <x:v>Pièces décrites, murs, portes, niveaux et mobilier inspectables à l’échelle. Volumes réservés, raccord au seed, butin, rencontres et services de campagne restent à terminer.</x:v>
      </x:c>
    </x:row>
    <x:row r="3389" ht="96" customHeight="1">
      <x:c r="A3389" s="115" t="str">
        <x:v>EXT-MONDE-T068-V34</x:v>
      </x:c>
      <x:c r="B3389" s="115" t="str">
        <x:v>EXT-MONDE-T068</x:v>
      </x:c>
      <x:c r="C3389" s="115" t="str">
        <x:v>Stades</x:v>
      </x:c>
      <x:c r="D3389" s="115" t="str">
        <x:v>Complexe sportif</x:v>
      </x:c>
      <x:c r="E3389" s="115" t="n">
        <x:v>34</x:v>
      </x:c>
      <x:c r="F3389" s="115" t="str">
        <x:v>Inspection physique</x:v>
      </x:c>
      <x:c r="G3389" s="115" t="str">
        <x:v>1 niveaux ; 32 pièces ; 248 segments de mur ; 0 transitions. Inspection physique ; architecture complète encore ouverte.</x:v>
      </x:c>
      <x:c r="H3389" s="115" t="str">
        <x:v>L 398 ; l 594 ; hauteur 10 m ; choix de composition auteur ; dimensions réelles à documenter</x:v>
      </x:c>
      <x:c r="I3389" s="115" t="str">
        <x:v>À équilibrer</x:v>
      </x:c>
      <x:c r="J3389" s="115" t="str">
        <x:v>Non</x:v>
      </x:c>
      <x:c r="K3389" s="115" t="str">
        <x:v>Pièces décrites, murs, portes, niveaux et mobilier inspectables à l’échelle. Volumes réservés, raccord au seed, butin, rencontres et services de campagne restent à terminer.</x:v>
      </x:c>
    </x:row>
    <x:row r="3390" ht="96" customHeight="1">
      <x:c r="A3390" s="115" t="str">
        <x:v>EXT-MONDE-T068-V35</x:v>
      </x:c>
      <x:c r="B3390" s="115" t="str">
        <x:v>EXT-MONDE-T068</x:v>
      </x:c>
      <x:c r="C3390" s="115" t="str">
        <x:v>Stades</x:v>
      </x:c>
      <x:c r="D3390" s="115" t="str">
        <x:v>Complexe sportif</x:v>
      </x:c>
      <x:c r="E3390" s="115" t="n">
        <x:v>35</x:v>
      </x:c>
      <x:c r="F3390" s="115" t="str">
        <x:v>Inspection physique</x:v>
      </x:c>
      <x:c r="G3390" s="115" t="str">
        <x:v>1 niveaux ; 32 pièces ; 248 segments de mur ; 0 transitions. Inspection physique ; architecture complète encore ouverte.</x:v>
      </x:c>
      <x:c r="H3390" s="115" t="str">
        <x:v>L 398 ; l 594 ; hauteur 10 m ; choix de composition auteur ; dimensions réelles à documenter</x:v>
      </x:c>
      <x:c r="I3390" s="115" t="str">
        <x:v>À équilibrer</x:v>
      </x:c>
      <x:c r="J3390" s="115" t="str">
        <x:v>Non</x:v>
      </x:c>
      <x:c r="K3390" s="115" t="str">
        <x:v>Pièces décrites, murs, portes, niveaux et mobilier inspectables à l’échelle. Volumes réservés, raccord au seed, butin, rencontres et services de campagne restent à terminer.</x:v>
      </x:c>
    </x:row>
    <x:row r="3391" ht="96" customHeight="1">
      <x:c r="A3391" s="115" t="str">
        <x:v>EXT-MONDE-T068-V36</x:v>
      </x:c>
      <x:c r="B3391" s="115" t="str">
        <x:v>EXT-MONDE-T068</x:v>
      </x:c>
      <x:c r="C3391" s="115" t="str">
        <x:v>Stades</x:v>
      </x:c>
      <x:c r="D3391" s="115" t="str">
        <x:v>Complexe sportif</x:v>
      </x:c>
      <x:c r="E3391" s="115" t="n">
        <x:v>36</x:v>
      </x:c>
      <x:c r="F3391" s="115" t="str">
        <x:v>Inspection physique</x:v>
      </x:c>
      <x:c r="G3391" s="115" t="str">
        <x:v>1 niveaux ; 32 pièces ; 248 segments de mur ; 0 transitions. Inspection physique ; architecture complète encore ouverte.</x:v>
      </x:c>
      <x:c r="H3391" s="115" t="str">
        <x:v>L 398 ; l 594 ; hauteur 10 m ; choix de composition auteur ; dimensions réelles à documenter</x:v>
      </x:c>
      <x:c r="I3391" s="115" t="str">
        <x:v>À équilibrer</x:v>
      </x:c>
      <x:c r="J3391" s="115" t="str">
        <x:v>Non</x:v>
      </x:c>
      <x:c r="K3391" s="115" t="str">
        <x:v>Pièces décrites, murs, portes, niveaux et mobilier inspectables à l’échelle. Volumes réservés, raccord au seed, butin, rencontres et services de campagne restent à terminer.</x:v>
      </x:c>
    </x:row>
    <x:row r="3392" ht="96" customHeight="1">
      <x:c r="A3392" s="115" t="str">
        <x:v>EXT-MONDE-T068-V37</x:v>
      </x:c>
      <x:c r="B3392" s="115" t="str">
        <x:v>EXT-MONDE-T068</x:v>
      </x:c>
      <x:c r="C3392" s="115" t="str">
        <x:v>Stades</x:v>
      </x:c>
      <x:c r="D3392" s="115" t="str">
        <x:v>Complexe sportif</x:v>
      </x:c>
      <x:c r="E3392" s="115" t="n">
        <x:v>37</x:v>
      </x:c>
      <x:c r="F3392" s="115" t="str">
        <x:v>Inspection physique</x:v>
      </x:c>
      <x:c r="G3392" s="115" t="str">
        <x:v>1 niveaux ; 32 pièces ; 248 segments de mur ; 0 transitions. Inspection physique ; architecture complète encore ouverte.</x:v>
      </x:c>
      <x:c r="H3392" s="115" t="str">
        <x:v>L 398 ; l 594 ; hauteur 10 m ; choix de composition auteur ; dimensions réelles à documenter</x:v>
      </x:c>
      <x:c r="I3392" s="115" t="str">
        <x:v>À équilibrer</x:v>
      </x:c>
      <x:c r="J3392" s="115" t="str">
        <x:v>Non</x:v>
      </x:c>
      <x:c r="K3392" s="115" t="str">
        <x:v>Pièces décrites, murs, portes, niveaux et mobilier inspectables à l’échelle. Volumes réservés, raccord au seed, butin, rencontres et services de campagne restent à terminer.</x:v>
      </x:c>
    </x:row>
    <x:row r="3393" ht="96" customHeight="1">
      <x:c r="A3393" s="115" t="str">
        <x:v>EXT-MONDE-T068-V38</x:v>
      </x:c>
      <x:c r="B3393" s="115" t="str">
        <x:v>EXT-MONDE-T068</x:v>
      </x:c>
      <x:c r="C3393" s="115" t="str">
        <x:v>Stades</x:v>
      </x:c>
      <x:c r="D3393" s="115" t="str">
        <x:v>Complexe sportif</x:v>
      </x:c>
      <x:c r="E3393" s="115" t="n">
        <x:v>38</x:v>
      </x:c>
      <x:c r="F3393" s="115" t="str">
        <x:v>Inspection physique</x:v>
      </x:c>
      <x:c r="G3393" s="115" t="str">
        <x:v>1 niveaux ; 32 pièces ; 248 segments de mur ; 0 transitions. Inspection physique ; architecture complète encore ouverte.</x:v>
      </x:c>
      <x:c r="H3393" s="115" t="str">
        <x:v>L 398 ; l 594 ; hauteur 10 m ; choix de composition auteur ; dimensions réelles à documenter</x:v>
      </x:c>
      <x:c r="I3393" s="115" t="str">
        <x:v>À équilibrer</x:v>
      </x:c>
      <x:c r="J3393" s="115" t="str">
        <x:v>Non</x:v>
      </x:c>
      <x:c r="K3393" s="115" t="str">
        <x:v>Pièces décrites, murs, portes, niveaux et mobilier inspectables à l’échelle. Volumes réservés, raccord au seed, butin, rencontres et services de campagne restent à terminer.</x:v>
      </x:c>
    </x:row>
    <x:row r="3394" ht="96" customHeight="1">
      <x:c r="A3394" s="115" t="str">
        <x:v>EXT-MONDE-T068-V39</x:v>
      </x:c>
      <x:c r="B3394" s="115" t="str">
        <x:v>EXT-MONDE-T068</x:v>
      </x:c>
      <x:c r="C3394" s="115" t="str">
        <x:v>Stades</x:v>
      </x:c>
      <x:c r="D3394" s="115" t="str">
        <x:v>Complexe sportif</x:v>
      </x:c>
      <x:c r="E3394" s="115" t="n">
        <x:v>39</x:v>
      </x:c>
      <x:c r="F3394" s="115" t="str">
        <x:v>Inspection physique</x:v>
      </x:c>
      <x:c r="G3394" s="115" t="str">
        <x:v>1 niveaux ; 32 pièces ; 248 segments de mur ; 0 transitions. Inspection physique ; architecture complète encore ouverte.</x:v>
      </x:c>
      <x:c r="H3394" s="115" t="str">
        <x:v>L 398 ; l 594 ; hauteur 10 m ; choix de composition auteur ; dimensions réelles à documenter</x:v>
      </x:c>
      <x:c r="I3394" s="115" t="str">
        <x:v>À équilibrer</x:v>
      </x:c>
      <x:c r="J3394" s="115" t="str">
        <x:v>Non</x:v>
      </x:c>
      <x:c r="K3394" s="115" t="str">
        <x:v>Pièces décrites, murs, portes, niveaux et mobilier inspectables à l’échelle. Volumes réservés, raccord au seed, butin, rencontres et services de campagne restent à terminer.</x:v>
      </x:c>
    </x:row>
    <x:row r="3395" ht="96" customHeight="1">
      <x:c r="A3395" s="115" t="str">
        <x:v>EXT-MONDE-T068-V40</x:v>
      </x:c>
      <x:c r="B3395" s="115" t="str">
        <x:v>EXT-MONDE-T068</x:v>
      </x:c>
      <x:c r="C3395" s="115" t="str">
        <x:v>Stades</x:v>
      </x:c>
      <x:c r="D3395" s="115" t="str">
        <x:v>Complexe sportif</x:v>
      </x:c>
      <x:c r="E3395" s="115" t="n">
        <x:v>40</x:v>
      </x:c>
      <x:c r="F3395" s="115" t="str">
        <x:v>Inspection physique</x:v>
      </x:c>
      <x:c r="G3395" s="115" t="str">
        <x:v>1 niveaux ; 32 pièces ; 248 segments de mur ; 0 transitions. Inspection physique ; architecture complète encore ouverte.</x:v>
      </x:c>
      <x:c r="H3395" s="115" t="str">
        <x:v>L 398 ; l 594 ; hauteur 10 m ; choix de composition auteur ; dimensions réelles à documenter</x:v>
      </x:c>
      <x:c r="I3395" s="115" t="str">
        <x:v>À équilibrer</x:v>
      </x:c>
      <x:c r="J3395" s="115" t="str">
        <x:v>Non</x:v>
      </x:c>
      <x:c r="K3395" s="115" t="str">
        <x:v>Pièces décrites, murs, portes, niveaux et mobilier inspectables à l’échelle. Volumes réservés, raccord au seed, butin, rencontres et services de campagne restent à terminer.</x:v>
      </x:c>
    </x:row>
    <x:row r="3396" ht="96" customHeight="1">
      <x:c r="A3396" s="115" t="str">
        <x:v>EXT-MONDE-T068-V41</x:v>
      </x:c>
      <x:c r="B3396" s="115" t="str">
        <x:v>EXT-MONDE-T068</x:v>
      </x:c>
      <x:c r="C3396" s="115" t="str">
        <x:v>Stades</x:v>
      </x:c>
      <x:c r="D3396" s="115" t="str">
        <x:v>Complexe sportif</x:v>
      </x:c>
      <x:c r="E3396" s="115" t="n">
        <x:v>41</x:v>
      </x:c>
      <x:c r="F3396" s="115" t="str">
        <x:v>Inspection physique</x:v>
      </x:c>
      <x:c r="G3396" s="115" t="str">
        <x:v>1 niveaux ; 32 pièces ; 248 segments de mur ; 0 transitions. Inspection physique ; architecture complète encore ouverte.</x:v>
      </x:c>
      <x:c r="H3396" s="115" t="str">
        <x:v>L 410 ; l 602 ; hauteur 10 m ; choix de composition auteur ; dimensions réelles à documenter</x:v>
      </x:c>
      <x:c r="I3396" s="115" t="str">
        <x:v>À équilibrer</x:v>
      </x:c>
      <x:c r="J3396" s="115" t="str">
        <x:v>Non</x:v>
      </x:c>
      <x:c r="K3396" s="115" t="str">
        <x:v>Pièces décrites, murs, portes, niveaux et mobilier inspectables à l’échelle. Volumes réservés, raccord au seed, butin, rencontres et services de campagne restent à terminer.</x:v>
      </x:c>
    </x:row>
    <x:row r="3397" ht="96" customHeight="1">
      <x:c r="A3397" s="115" t="str">
        <x:v>EXT-MONDE-T068-V42</x:v>
      </x:c>
      <x:c r="B3397" s="115" t="str">
        <x:v>EXT-MONDE-T068</x:v>
      </x:c>
      <x:c r="C3397" s="115" t="str">
        <x:v>Stades</x:v>
      </x:c>
      <x:c r="D3397" s="115" t="str">
        <x:v>Complexe sportif</x:v>
      </x:c>
      <x:c r="E3397" s="115" t="n">
        <x:v>42</x:v>
      </x:c>
      <x:c r="F3397" s="115" t="str">
        <x:v>Inspection physique</x:v>
      </x:c>
      <x:c r="G3397" s="115" t="str">
        <x:v>1 niveaux ; 32 pièces ; 248 segments de mur ; 0 transitions. Inspection physique ; architecture complète encore ouverte.</x:v>
      </x:c>
      <x:c r="H3397" s="115" t="str">
        <x:v>L 410 ; l 602 ; hauteur 10 m ; choix de composition auteur ; dimensions réelles à documenter</x:v>
      </x:c>
      <x:c r="I3397" s="115" t="str">
        <x:v>À équilibrer</x:v>
      </x:c>
      <x:c r="J3397" s="115" t="str">
        <x:v>Non</x:v>
      </x:c>
      <x:c r="K3397" s="115" t="str">
        <x:v>Pièces décrites, murs, portes, niveaux et mobilier inspectables à l’échelle. Volumes réservés, raccord au seed, butin, rencontres et services de campagne restent à terminer.</x:v>
      </x:c>
    </x:row>
    <x:row r="3398" ht="96" customHeight="1">
      <x:c r="A3398" s="115" t="str">
        <x:v>EXT-MONDE-T068-V43</x:v>
      </x:c>
      <x:c r="B3398" s="115" t="str">
        <x:v>EXT-MONDE-T068</x:v>
      </x:c>
      <x:c r="C3398" s="115" t="str">
        <x:v>Stades</x:v>
      </x:c>
      <x:c r="D3398" s="115" t="str">
        <x:v>Complexe sportif</x:v>
      </x:c>
      <x:c r="E3398" s="115" t="n">
        <x:v>43</x:v>
      </x:c>
      <x:c r="F3398" s="115" t="str">
        <x:v>Inspection physique</x:v>
      </x:c>
      <x:c r="G3398" s="115" t="str">
        <x:v>1 niveaux ; 32 pièces ; 248 segments de mur ; 0 transitions. Inspection physique ; architecture complète encore ouverte.</x:v>
      </x:c>
      <x:c r="H3398" s="115" t="str">
        <x:v>L 410 ; l 602 ; hauteur 10 m ; choix de composition auteur ; dimensions réelles à documenter</x:v>
      </x:c>
      <x:c r="I3398" s="115" t="str">
        <x:v>À équilibrer</x:v>
      </x:c>
      <x:c r="J3398" s="115" t="str">
        <x:v>Non</x:v>
      </x:c>
      <x:c r="K3398" s="115" t="str">
        <x:v>Pièces décrites, murs, portes, niveaux et mobilier inspectables à l’échelle. Volumes réservés, raccord au seed, butin, rencontres et services de campagne restent à terminer.</x:v>
      </x:c>
    </x:row>
    <x:row r="3399" ht="96" customHeight="1">
      <x:c r="A3399" s="115" t="str">
        <x:v>EXT-MONDE-T068-V44</x:v>
      </x:c>
      <x:c r="B3399" s="115" t="str">
        <x:v>EXT-MONDE-T068</x:v>
      </x:c>
      <x:c r="C3399" s="115" t="str">
        <x:v>Stades</x:v>
      </x:c>
      <x:c r="D3399" s="115" t="str">
        <x:v>Complexe sportif</x:v>
      </x:c>
      <x:c r="E3399" s="115" t="n">
        <x:v>44</x:v>
      </x:c>
      <x:c r="F3399" s="115" t="str">
        <x:v>Inspection physique</x:v>
      </x:c>
      <x:c r="G3399" s="115" t="str">
        <x:v>1 niveaux ; 32 pièces ; 248 segments de mur ; 0 transitions. Inspection physique ; architecture complète encore ouverte.</x:v>
      </x:c>
      <x:c r="H3399" s="115" t="str">
        <x:v>L 410 ; l 602 ; hauteur 10 m ; choix de composition auteur ; dimensions réelles à documenter</x:v>
      </x:c>
      <x:c r="I3399" s="115" t="str">
        <x:v>À équilibrer</x:v>
      </x:c>
      <x:c r="J3399" s="115" t="str">
        <x:v>Non</x:v>
      </x:c>
      <x:c r="K3399" s="115" t="str">
        <x:v>Pièces décrites, murs, portes, niveaux et mobilier inspectables à l’échelle. Volumes réservés, raccord au seed, butin, rencontres et services de campagne restent à terminer.</x:v>
      </x:c>
    </x:row>
    <x:row r="3400" ht="96" customHeight="1">
      <x:c r="A3400" s="115" t="str">
        <x:v>EXT-MONDE-T068-V45</x:v>
      </x:c>
      <x:c r="B3400" s="115" t="str">
        <x:v>EXT-MONDE-T068</x:v>
      </x:c>
      <x:c r="C3400" s="115" t="str">
        <x:v>Stades</x:v>
      </x:c>
      <x:c r="D3400" s="115" t="str">
        <x:v>Complexe sportif</x:v>
      </x:c>
      <x:c r="E3400" s="115" t="n">
        <x:v>45</x:v>
      </x:c>
      <x:c r="F3400" s="115" t="str">
        <x:v>Inspection physique</x:v>
      </x:c>
      <x:c r="G3400" s="115" t="str">
        <x:v>1 niveaux ; 32 pièces ; 248 segments de mur ; 0 transitions. Inspection physique ; architecture complète encore ouverte.</x:v>
      </x:c>
      <x:c r="H3400" s="115" t="str">
        <x:v>L 410 ; l 602 ; hauteur 10 m ; choix de composition auteur ; dimensions réelles à documenter</x:v>
      </x:c>
      <x:c r="I3400" s="115" t="str">
        <x:v>À équilibrer</x:v>
      </x:c>
      <x:c r="J3400" s="115" t="str">
        <x:v>Non</x:v>
      </x:c>
      <x:c r="K3400" s="115" t="str">
        <x:v>Pièces décrites, murs, portes, niveaux et mobilier inspectables à l’échelle. Volumes réservés, raccord au seed, butin, rencontres et services de campagne restent à terminer.</x:v>
      </x:c>
    </x:row>
    <x:row r="3401" ht="96" customHeight="1">
      <x:c r="A3401" s="115" t="str">
        <x:v>EXT-MONDE-T068-V46</x:v>
      </x:c>
      <x:c r="B3401" s="115" t="str">
        <x:v>EXT-MONDE-T068</x:v>
      </x:c>
      <x:c r="C3401" s="115" t="str">
        <x:v>Stades</x:v>
      </x:c>
      <x:c r="D3401" s="115" t="str">
        <x:v>Complexe sportif</x:v>
      </x:c>
      <x:c r="E3401" s="115" t="n">
        <x:v>46</x:v>
      </x:c>
      <x:c r="F3401" s="115" t="str">
        <x:v>Inspection physique</x:v>
      </x:c>
      <x:c r="G3401" s="115" t="str">
        <x:v>1 niveaux ; 32 pièces ; 248 segments de mur ; 0 transitions. Inspection physique ; architecture complète encore ouverte.</x:v>
      </x:c>
      <x:c r="H3401" s="115" t="str">
        <x:v>L 410 ; l 602 ; hauteur 10 m ; choix de composition auteur ; dimensions réelles à documenter</x:v>
      </x:c>
      <x:c r="I3401" s="115" t="str">
        <x:v>À équilibrer</x:v>
      </x:c>
      <x:c r="J3401" s="115" t="str">
        <x:v>Non</x:v>
      </x:c>
      <x:c r="K3401" s="115" t="str">
        <x:v>Pièces décrites, murs, portes, niveaux et mobilier inspectables à l’échelle. Volumes réservés, raccord au seed, butin, rencontres et services de campagne restent à terminer.</x:v>
      </x:c>
    </x:row>
    <x:row r="3402" ht="96" customHeight="1">
      <x:c r="A3402" s="115" t="str">
        <x:v>EXT-MONDE-T068-V47</x:v>
      </x:c>
      <x:c r="B3402" s="115" t="str">
        <x:v>EXT-MONDE-T068</x:v>
      </x:c>
      <x:c r="C3402" s="115" t="str">
        <x:v>Stades</x:v>
      </x:c>
      <x:c r="D3402" s="115" t="str">
        <x:v>Complexe sportif</x:v>
      </x:c>
      <x:c r="E3402" s="115" t="n">
        <x:v>47</x:v>
      </x:c>
      <x:c r="F3402" s="115" t="str">
        <x:v>Inspection physique</x:v>
      </x:c>
      <x:c r="G3402" s="115" t="str">
        <x:v>1 niveaux ; 32 pièces ; 248 segments de mur ; 0 transitions. Inspection physique ; architecture complète encore ouverte.</x:v>
      </x:c>
      <x:c r="H3402" s="115" t="str">
        <x:v>L 410 ; l 602 ; hauteur 10 m ; choix de composition auteur ; dimensions réelles à documenter</x:v>
      </x:c>
      <x:c r="I3402" s="115" t="str">
        <x:v>À équilibrer</x:v>
      </x:c>
      <x:c r="J3402" s="115" t="str">
        <x:v>Non</x:v>
      </x:c>
      <x:c r="K3402" s="115" t="str">
        <x:v>Pièces décrites, murs, portes, niveaux et mobilier inspectables à l’échelle. Volumes réservés, raccord au seed, butin, rencontres et services de campagne restent à terminer.</x:v>
      </x:c>
    </x:row>
    <x:row r="3403" ht="96" customHeight="1">
      <x:c r="A3403" s="115" t="str">
        <x:v>EXT-MONDE-T068-V48</x:v>
      </x:c>
      <x:c r="B3403" s="115" t="str">
        <x:v>EXT-MONDE-T068</x:v>
      </x:c>
      <x:c r="C3403" s="115" t="str">
        <x:v>Stades</x:v>
      </x:c>
      <x:c r="D3403" s="115" t="str">
        <x:v>Complexe sportif</x:v>
      </x:c>
      <x:c r="E3403" s="115" t="n">
        <x:v>48</x:v>
      </x:c>
      <x:c r="F3403" s="115" t="str">
        <x:v>Inspection physique</x:v>
      </x:c>
      <x:c r="G3403" s="115" t="str">
        <x:v>1 niveaux ; 32 pièces ; 248 segments de mur ; 0 transitions. Inspection physique ; architecture complète encore ouverte.</x:v>
      </x:c>
      <x:c r="H3403" s="115" t="str">
        <x:v>L 410 ; l 602 ; hauteur 10 m ; choix de composition auteur ; dimensions réelles à documenter</x:v>
      </x:c>
      <x:c r="I3403" s="115" t="str">
        <x:v>À équilibrer</x:v>
      </x:c>
      <x:c r="J3403" s="115" t="str">
        <x:v>Non</x:v>
      </x:c>
      <x:c r="K3403" s="115" t="str">
        <x:v>Pièces décrites, murs, portes, niveaux et mobilier inspectables à l’échelle. Volumes réservés, raccord au seed, butin, rencontres et services de campagne restent à terminer.</x:v>
      </x:c>
    </x:row>
    <x:row r="3404" ht="96" customHeight="1">
      <x:c r="A3404" s="115" t="str">
        <x:v>EXT-MONDE-T068-V49</x:v>
      </x:c>
      <x:c r="B3404" s="115" t="str">
        <x:v>EXT-MONDE-T068</x:v>
      </x:c>
      <x:c r="C3404" s="115" t="str">
        <x:v>Stades</x:v>
      </x:c>
      <x:c r="D3404" s="115" t="str">
        <x:v>Complexe sportif</x:v>
      </x:c>
      <x:c r="E3404" s="115" t="n">
        <x:v>49</x:v>
      </x:c>
      <x:c r="F3404" s="115" t="str">
        <x:v>Inspection physique</x:v>
      </x:c>
      <x:c r="G3404" s="115" t="str">
        <x:v>1 niveaux ; 32 pièces ; 248 segments de mur ; 0 transitions. Inspection physique ; architecture complète encore ouverte.</x:v>
      </x:c>
      <x:c r="H3404" s="115" t="str">
        <x:v>L 410 ; l 602 ; hauteur 10 m ; choix de composition auteur ; dimensions réelles à documenter</x:v>
      </x:c>
      <x:c r="I3404" s="115" t="str">
        <x:v>À équilibrer</x:v>
      </x:c>
      <x:c r="J3404" s="115" t="str">
        <x:v>Non</x:v>
      </x:c>
      <x:c r="K3404" s="115" t="str">
        <x:v>Pièces décrites, murs, portes, niveaux et mobilier inspectables à l’échelle. Volumes réservés, raccord au seed, butin, rencontres et services de campagne restent à terminer.</x:v>
      </x:c>
    </x:row>
    <x:row r="3405" ht="96" customHeight="1">
      <x:c r="A3405" s="115" t="str">
        <x:v>EXT-MONDE-T068-V50</x:v>
      </x:c>
      <x:c r="B3405" s="115" t="str">
        <x:v>EXT-MONDE-T068</x:v>
      </x:c>
      <x:c r="C3405" s="115" t="str">
        <x:v>Stades</x:v>
      </x:c>
      <x:c r="D3405" s="115" t="str">
        <x:v>Complexe sportif</x:v>
      </x:c>
      <x:c r="E3405" s="115" t="n">
        <x:v>50</x:v>
      </x:c>
      <x:c r="F3405" s="115" t="str">
        <x:v>Inspection physique</x:v>
      </x:c>
      <x:c r="G3405" s="115" t="str">
        <x:v>1 niveaux ; 32 pièces ; 248 segments de mur ; 0 transitions. Inspection physique ; architecture complète encore ouverte.</x:v>
      </x:c>
      <x:c r="H3405" s="115" t="str">
        <x:v>L 410 ; l 602 ; hauteur 10 m ; choix de composition auteur ; dimensions réelles à documenter</x:v>
      </x:c>
      <x:c r="I3405" s="115" t="str">
        <x:v>À équilibrer</x:v>
      </x:c>
      <x:c r="J3405" s="115" t="str">
        <x:v>Non</x:v>
      </x:c>
      <x:c r="K3405" s="115" t="str">
        <x:v>Pièces décrites, murs, portes, niveaux et mobilier inspectables à l’échelle. Volumes réservés, raccord au seed, butin, rencontres et services de campagne restent à terminer.</x:v>
      </x:c>
    </x:row>
    <x:row r="3406" ht="96" customHeight="1">
      <x:c r="A3406" s="115" t="str">
        <x:v>EXT-MONDE-T069-V01</x:v>
      </x:c>
      <x:c r="B3406" s="115" t="str">
        <x:v>EXT-MONDE-T069</x:v>
      </x:c>
      <x:c r="C3406" s="115" t="str">
        <x:v>Aéroports</x:v>
      </x:c>
      <x:c r="D3406" s="115" t="str">
        <x:v>Aérodrome régional</x:v>
      </x:c>
      <x:c r="E3406" s="115" t="n">
        <x:v>1</x:v>
      </x:c>
      <x:c r="F3406" s="115" t="str">
        <x:v>Inspection physique</x:v>
      </x:c>
      <x:c r="G3406" s="115" t="str">
        <x:v>1 niveaux ; 36 pièces ; 265 segments de mur ; 0 transitions. Inspection physique ; architecture complète encore ouverte.</x:v>
      </x:c>
      <x:c r="H3406" s="115" t="str">
        <x:v>L 1100 ; l 1600 ; hauteur 18 m ; choix de composition auteur ; dimensions réelles à documenter</x:v>
      </x:c>
      <x:c r="I3406" s="115" t="str">
        <x:v>À équilibrer</x:v>
      </x:c>
      <x:c r="J3406" s="115" t="str">
        <x:v>Non</x:v>
      </x:c>
      <x:c r="K3406" s="115" t="str">
        <x:v>Pièces décrites, murs, portes, niveaux et mobilier inspectables à l’échelle. Volumes réservés, raccord au seed, butin, rencontres et services de campagne restent à terminer.</x:v>
      </x:c>
    </x:row>
    <x:row r="3407" ht="96" customHeight="1">
      <x:c r="A3407" s="115" t="str">
        <x:v>EXT-MONDE-T069-V02</x:v>
      </x:c>
      <x:c r="B3407" s="115" t="str">
        <x:v>EXT-MONDE-T069</x:v>
      </x:c>
      <x:c r="C3407" s="115" t="str">
        <x:v>Aéroports</x:v>
      </x:c>
      <x:c r="D3407" s="115" t="str">
        <x:v>Aérodrome régional</x:v>
      </x:c>
      <x:c r="E3407" s="115" t="n">
        <x:v>2</x:v>
      </x:c>
      <x:c r="F3407" s="115" t="str">
        <x:v>Inspection physique</x:v>
      </x:c>
      <x:c r="G3407" s="115" t="str">
        <x:v>1 niveaux ; 36 pièces ; 265 segments de mur ; 0 transitions. Inspection physique ; architecture complète encore ouverte.</x:v>
      </x:c>
      <x:c r="H3407" s="115" t="str">
        <x:v>L 1100 ; l 1600 ; hauteur 18 m ; choix de composition auteur ; dimensions réelles à documenter</x:v>
      </x:c>
      <x:c r="I3407" s="115" t="str">
        <x:v>À équilibrer</x:v>
      </x:c>
      <x:c r="J3407" s="115" t="str">
        <x:v>Non</x:v>
      </x:c>
      <x:c r="K3407" s="115" t="str">
        <x:v>Pièces décrites, murs, portes, niveaux et mobilier inspectables à l’échelle. Volumes réservés, raccord au seed, butin, rencontres et services de campagne restent à terminer.</x:v>
      </x:c>
    </x:row>
    <x:row r="3408" ht="96" customHeight="1">
      <x:c r="A3408" s="115" t="str">
        <x:v>EXT-MONDE-T069-V03</x:v>
      </x:c>
      <x:c r="B3408" s="115" t="str">
        <x:v>EXT-MONDE-T069</x:v>
      </x:c>
      <x:c r="C3408" s="115" t="str">
        <x:v>Aéroports</x:v>
      </x:c>
      <x:c r="D3408" s="115" t="str">
        <x:v>Aérodrome régional</x:v>
      </x:c>
      <x:c r="E3408" s="115" t="n">
        <x:v>3</x:v>
      </x:c>
      <x:c r="F3408" s="115" t="str">
        <x:v>Inspection physique</x:v>
      </x:c>
      <x:c r="G3408" s="115" t="str">
        <x:v>1 niveaux ; 36 pièces ; 265 segments de mur ; 0 transitions. Inspection physique ; architecture complète encore ouverte.</x:v>
      </x:c>
      <x:c r="H3408" s="115" t="str">
        <x:v>L 1100 ; l 1600 ; hauteur 18 m ; choix de composition auteur ; dimensions réelles à documenter</x:v>
      </x:c>
      <x:c r="I3408" s="115" t="str">
        <x:v>À équilibrer</x:v>
      </x:c>
      <x:c r="J3408" s="115" t="str">
        <x:v>Non</x:v>
      </x:c>
      <x:c r="K3408" s="115" t="str">
        <x:v>Pièces décrites, murs, portes, niveaux et mobilier inspectables à l’échelle. Volumes réservés, raccord au seed, butin, rencontres et services de campagne restent à terminer.</x:v>
      </x:c>
    </x:row>
    <x:row r="3409" ht="96" customHeight="1">
      <x:c r="A3409" s="115" t="str">
        <x:v>EXT-MONDE-T069-V04</x:v>
      </x:c>
      <x:c r="B3409" s="115" t="str">
        <x:v>EXT-MONDE-T069</x:v>
      </x:c>
      <x:c r="C3409" s="115" t="str">
        <x:v>Aéroports</x:v>
      </x:c>
      <x:c r="D3409" s="115" t="str">
        <x:v>Aérodrome régional</x:v>
      </x:c>
      <x:c r="E3409" s="115" t="n">
        <x:v>4</x:v>
      </x:c>
      <x:c r="F3409" s="115" t="str">
        <x:v>Inspection physique</x:v>
      </x:c>
      <x:c r="G3409" s="115" t="str">
        <x:v>1 niveaux ; 36 pièces ; 265 segments de mur ; 0 transitions. Inspection physique ; architecture complète encore ouverte.</x:v>
      </x:c>
      <x:c r="H3409" s="115" t="str">
        <x:v>L 1100 ; l 1600 ; hauteur 18 m ; choix de composition auteur ; dimensions réelles à documenter</x:v>
      </x:c>
      <x:c r="I3409" s="115" t="str">
        <x:v>À équilibrer</x:v>
      </x:c>
      <x:c r="J3409" s="115" t="str">
        <x:v>Non</x:v>
      </x:c>
      <x:c r="K3409" s="115" t="str">
        <x:v>Pièces décrites, murs, portes, niveaux et mobilier inspectables à l’échelle. Volumes réservés, raccord au seed, butin, rencontres et services de campagne restent à terminer.</x:v>
      </x:c>
    </x:row>
    <x:row r="3410" ht="96" customHeight="1">
      <x:c r="A3410" s="115" t="str">
        <x:v>EXT-MONDE-T069-V05</x:v>
      </x:c>
      <x:c r="B3410" s="115" t="str">
        <x:v>EXT-MONDE-T069</x:v>
      </x:c>
      <x:c r="C3410" s="115" t="str">
        <x:v>Aéroports</x:v>
      </x:c>
      <x:c r="D3410" s="115" t="str">
        <x:v>Aérodrome régional</x:v>
      </x:c>
      <x:c r="E3410" s="115" t="n">
        <x:v>5</x:v>
      </x:c>
      <x:c r="F3410" s="115" t="str">
        <x:v>Inspection physique</x:v>
      </x:c>
      <x:c r="G3410" s="115" t="str">
        <x:v>1 niveaux ; 36 pièces ; 265 segments de mur ; 0 transitions. Inspection physique ; architecture complète encore ouverte.</x:v>
      </x:c>
      <x:c r="H3410" s="115" t="str">
        <x:v>L 1100 ; l 1600 ; hauteur 18 m ; choix de composition auteur ; dimensions réelles à documenter</x:v>
      </x:c>
      <x:c r="I3410" s="115" t="str">
        <x:v>À équilibrer</x:v>
      </x:c>
      <x:c r="J3410" s="115" t="str">
        <x:v>Non</x:v>
      </x:c>
      <x:c r="K3410" s="115" t="str">
        <x:v>Pièces décrites, murs, portes, niveaux et mobilier inspectables à l’échelle. Volumes réservés, raccord au seed, butin, rencontres et services de campagne restent à terminer.</x:v>
      </x:c>
    </x:row>
    <x:row r="3411" ht="96" customHeight="1">
      <x:c r="A3411" s="115" t="str">
        <x:v>EXT-MONDE-T069-V06</x:v>
      </x:c>
      <x:c r="B3411" s="115" t="str">
        <x:v>EXT-MONDE-T069</x:v>
      </x:c>
      <x:c r="C3411" s="115" t="str">
        <x:v>Aéroports</x:v>
      </x:c>
      <x:c r="D3411" s="115" t="str">
        <x:v>Aérodrome régional</x:v>
      </x:c>
      <x:c r="E3411" s="115" t="n">
        <x:v>6</x:v>
      </x:c>
      <x:c r="F3411" s="115" t="str">
        <x:v>Inspection physique</x:v>
      </x:c>
      <x:c r="G3411" s="115" t="str">
        <x:v>1 niveaux ; 36 pièces ; 265 segments de mur ; 0 transitions. Inspection physique ; architecture complète encore ouverte.</x:v>
      </x:c>
      <x:c r="H3411" s="115" t="str">
        <x:v>L 1100 ; l 1600 ; hauteur 18 m ; choix de composition auteur ; dimensions réelles à documenter</x:v>
      </x:c>
      <x:c r="I3411" s="115" t="str">
        <x:v>À équilibrer</x:v>
      </x:c>
      <x:c r="J3411" s="115" t="str">
        <x:v>Non</x:v>
      </x:c>
      <x:c r="K3411" s="115" t="str">
        <x:v>Pièces décrites, murs, portes, niveaux et mobilier inspectables à l’échelle. Volumes réservés, raccord au seed, butin, rencontres et services de campagne restent à terminer.</x:v>
      </x:c>
    </x:row>
    <x:row r="3412" ht="96" customHeight="1">
      <x:c r="A3412" s="115" t="str">
        <x:v>EXT-MONDE-T069-V07</x:v>
      </x:c>
      <x:c r="B3412" s="115" t="str">
        <x:v>EXT-MONDE-T069</x:v>
      </x:c>
      <x:c r="C3412" s="115" t="str">
        <x:v>Aéroports</x:v>
      </x:c>
      <x:c r="D3412" s="115" t="str">
        <x:v>Aérodrome régional</x:v>
      </x:c>
      <x:c r="E3412" s="115" t="n">
        <x:v>7</x:v>
      </x:c>
      <x:c r="F3412" s="115" t="str">
        <x:v>Inspection physique</x:v>
      </x:c>
      <x:c r="G3412" s="115" t="str">
        <x:v>1 niveaux ; 36 pièces ; 265 segments de mur ; 0 transitions. Inspection physique ; architecture complète encore ouverte.</x:v>
      </x:c>
      <x:c r="H3412" s="115" t="str">
        <x:v>L 1100 ; l 1600 ; hauteur 18 m ; choix de composition auteur ; dimensions réelles à documenter</x:v>
      </x:c>
      <x:c r="I3412" s="115" t="str">
        <x:v>À équilibrer</x:v>
      </x:c>
      <x:c r="J3412" s="115" t="str">
        <x:v>Non</x:v>
      </x:c>
      <x:c r="K3412" s="115" t="str">
        <x:v>Pièces décrites, murs, portes, niveaux et mobilier inspectables à l’échelle. Volumes réservés, raccord au seed, butin, rencontres et services de campagne restent à terminer.</x:v>
      </x:c>
    </x:row>
    <x:row r="3413" ht="96" customHeight="1">
      <x:c r="A3413" s="115" t="str">
        <x:v>EXT-MONDE-T069-V08</x:v>
      </x:c>
      <x:c r="B3413" s="115" t="str">
        <x:v>EXT-MONDE-T069</x:v>
      </x:c>
      <x:c r="C3413" s="115" t="str">
        <x:v>Aéroports</x:v>
      </x:c>
      <x:c r="D3413" s="115" t="str">
        <x:v>Aérodrome régional</x:v>
      </x:c>
      <x:c r="E3413" s="115" t="n">
        <x:v>8</x:v>
      </x:c>
      <x:c r="F3413" s="115" t="str">
        <x:v>Inspection physique</x:v>
      </x:c>
      <x:c r="G3413" s="115" t="str">
        <x:v>1 niveaux ; 36 pièces ; 265 segments de mur ; 0 transitions. Inspection physique ; architecture complète encore ouverte.</x:v>
      </x:c>
      <x:c r="H3413" s="115" t="str">
        <x:v>L 1100 ; l 1600 ; hauteur 18 m ; choix de composition auteur ; dimensions réelles à documenter</x:v>
      </x:c>
      <x:c r="I3413" s="115" t="str">
        <x:v>À équilibrer</x:v>
      </x:c>
      <x:c r="J3413" s="115" t="str">
        <x:v>Non</x:v>
      </x:c>
      <x:c r="K3413" s="115" t="str">
        <x:v>Pièces décrites, murs, portes, niveaux et mobilier inspectables à l’échelle. Volumes réservés, raccord au seed, butin, rencontres et services de campagne restent à terminer.</x:v>
      </x:c>
    </x:row>
    <x:row r="3414" ht="96" customHeight="1">
      <x:c r="A3414" s="115" t="str">
        <x:v>EXT-MONDE-T069-V09</x:v>
      </x:c>
      <x:c r="B3414" s="115" t="str">
        <x:v>EXT-MONDE-T069</x:v>
      </x:c>
      <x:c r="C3414" s="115" t="str">
        <x:v>Aéroports</x:v>
      </x:c>
      <x:c r="D3414" s="115" t="str">
        <x:v>Aérodrome régional</x:v>
      </x:c>
      <x:c r="E3414" s="115" t="n">
        <x:v>9</x:v>
      </x:c>
      <x:c r="F3414" s="115" t="str">
        <x:v>Inspection physique</x:v>
      </x:c>
      <x:c r="G3414" s="115" t="str">
        <x:v>1 niveaux ; 36 pièces ; 265 segments de mur ; 0 transitions. Inspection physique ; architecture complète encore ouverte.</x:v>
      </x:c>
      <x:c r="H3414" s="115" t="str">
        <x:v>L 1100 ; l 1600 ; hauteur 18 m ; choix de composition auteur ; dimensions réelles à documenter</x:v>
      </x:c>
      <x:c r="I3414" s="115" t="str">
        <x:v>À équilibrer</x:v>
      </x:c>
      <x:c r="J3414" s="115" t="str">
        <x:v>Non</x:v>
      </x:c>
      <x:c r="K3414" s="115" t="str">
        <x:v>Pièces décrites, murs, portes, niveaux et mobilier inspectables à l’échelle. Volumes réservés, raccord au seed, butin, rencontres et services de campagne restent à terminer.</x:v>
      </x:c>
    </x:row>
    <x:row r="3415" ht="96" customHeight="1">
      <x:c r="A3415" s="115" t="str">
        <x:v>EXT-MONDE-T069-V10</x:v>
      </x:c>
      <x:c r="B3415" s="115" t="str">
        <x:v>EXT-MONDE-T069</x:v>
      </x:c>
      <x:c r="C3415" s="115" t="str">
        <x:v>Aéroports</x:v>
      </x:c>
      <x:c r="D3415" s="115" t="str">
        <x:v>Aérodrome régional</x:v>
      </x:c>
      <x:c r="E3415" s="115" t="n">
        <x:v>10</x:v>
      </x:c>
      <x:c r="F3415" s="115" t="str">
        <x:v>Inspection physique</x:v>
      </x:c>
      <x:c r="G3415" s="115" t="str">
        <x:v>1 niveaux ; 36 pièces ; 265 segments de mur ; 0 transitions. Inspection physique ; architecture complète encore ouverte.</x:v>
      </x:c>
      <x:c r="H3415" s="115" t="str">
        <x:v>L 1100 ; l 1600 ; hauteur 18 m ; choix de composition auteur ; dimensions réelles à documenter</x:v>
      </x:c>
      <x:c r="I3415" s="115" t="str">
        <x:v>À équilibrer</x:v>
      </x:c>
      <x:c r="J3415" s="115" t="str">
        <x:v>Non</x:v>
      </x:c>
      <x:c r="K3415" s="115" t="str">
        <x:v>Pièces décrites, murs, portes, niveaux et mobilier inspectables à l’échelle. Volumes réservés, raccord au seed, butin, rencontres et services de campagne restent à terminer.</x:v>
      </x:c>
    </x:row>
    <x:row r="3416" ht="96" customHeight="1">
      <x:c r="A3416" s="115" t="str">
        <x:v>EXT-MONDE-T069-V11</x:v>
      </x:c>
      <x:c r="B3416" s="115" t="str">
        <x:v>EXT-MONDE-T069</x:v>
      </x:c>
      <x:c r="C3416" s="115" t="str">
        <x:v>Aéroports</x:v>
      </x:c>
      <x:c r="D3416" s="115" t="str">
        <x:v>Aérodrome régional</x:v>
      </x:c>
      <x:c r="E3416" s="115" t="n">
        <x:v>11</x:v>
      </x:c>
      <x:c r="F3416" s="115" t="str">
        <x:v>Inspection physique</x:v>
      </x:c>
      <x:c r="G3416" s="115" t="str">
        <x:v>1 niveaux ; 36 pièces ; 265 segments de mur ; 0 transitions. Inspection physique ; architecture complète encore ouverte.</x:v>
      </x:c>
      <x:c r="H3416" s="115" t="str">
        <x:v>L 1100 ; l 1700 ; hauteur 20 m ; choix de composition auteur ; dimensions réelles à documenter</x:v>
      </x:c>
      <x:c r="I3416" s="115" t="str">
        <x:v>À équilibrer</x:v>
      </x:c>
      <x:c r="J3416" s="115" t="str">
        <x:v>Non</x:v>
      </x:c>
      <x:c r="K3416" s="115" t="str">
        <x:v>Pièces décrites, murs, portes, niveaux et mobilier inspectables à l’échelle. Volumes réservés, raccord au seed, butin, rencontres et services de campagne restent à terminer.</x:v>
      </x:c>
    </x:row>
    <x:row r="3417" ht="96" customHeight="1">
      <x:c r="A3417" s="115" t="str">
        <x:v>EXT-MONDE-T069-V12</x:v>
      </x:c>
      <x:c r="B3417" s="115" t="str">
        <x:v>EXT-MONDE-T069</x:v>
      </x:c>
      <x:c r="C3417" s="115" t="str">
        <x:v>Aéroports</x:v>
      </x:c>
      <x:c r="D3417" s="115" t="str">
        <x:v>Aérodrome régional</x:v>
      </x:c>
      <x:c r="E3417" s="115" t="n">
        <x:v>12</x:v>
      </x:c>
      <x:c r="F3417" s="115" t="str">
        <x:v>Inspection physique</x:v>
      </x:c>
      <x:c r="G3417" s="115" t="str">
        <x:v>1 niveaux ; 36 pièces ; 265 segments de mur ; 0 transitions. Inspection physique ; architecture complète encore ouverte.</x:v>
      </x:c>
      <x:c r="H3417" s="115" t="str">
        <x:v>L 1100 ; l 1700 ; hauteur 20 m ; choix de composition auteur ; dimensions réelles à documenter</x:v>
      </x:c>
      <x:c r="I3417" s="115" t="str">
        <x:v>À équilibrer</x:v>
      </x:c>
      <x:c r="J3417" s="115" t="str">
        <x:v>Non</x:v>
      </x:c>
      <x:c r="K3417" s="115" t="str">
        <x:v>Pièces décrites, murs, portes, niveaux et mobilier inspectables à l’échelle. Volumes réservés, raccord au seed, butin, rencontres et services de campagne restent à terminer.</x:v>
      </x:c>
    </x:row>
    <x:row r="3418" ht="96" customHeight="1">
      <x:c r="A3418" s="115" t="str">
        <x:v>EXT-MONDE-T069-V13</x:v>
      </x:c>
      <x:c r="B3418" s="115" t="str">
        <x:v>EXT-MONDE-T069</x:v>
      </x:c>
      <x:c r="C3418" s="115" t="str">
        <x:v>Aéroports</x:v>
      </x:c>
      <x:c r="D3418" s="115" t="str">
        <x:v>Aérodrome régional</x:v>
      </x:c>
      <x:c r="E3418" s="115" t="n">
        <x:v>13</x:v>
      </x:c>
      <x:c r="F3418" s="115" t="str">
        <x:v>Inspection physique</x:v>
      </x:c>
      <x:c r="G3418" s="115" t="str">
        <x:v>1 niveaux ; 36 pièces ; 265 segments de mur ; 0 transitions. Inspection physique ; architecture complète encore ouverte.</x:v>
      </x:c>
      <x:c r="H3418" s="115" t="str">
        <x:v>L 1100 ; l 1700 ; hauteur 20 m ; choix de composition auteur ; dimensions réelles à documenter</x:v>
      </x:c>
      <x:c r="I3418" s="115" t="str">
        <x:v>À équilibrer</x:v>
      </x:c>
      <x:c r="J3418" s="115" t="str">
        <x:v>Non</x:v>
      </x:c>
      <x:c r="K3418" s="115" t="str">
        <x:v>Pièces décrites, murs, portes, niveaux et mobilier inspectables à l’échelle. Volumes réservés, raccord au seed, butin, rencontres et services de campagne restent à terminer.</x:v>
      </x:c>
    </x:row>
    <x:row r="3419" ht="96" customHeight="1">
      <x:c r="A3419" s="115" t="str">
        <x:v>EXT-MONDE-T069-V14</x:v>
      </x:c>
      <x:c r="B3419" s="115" t="str">
        <x:v>EXT-MONDE-T069</x:v>
      </x:c>
      <x:c r="C3419" s="115" t="str">
        <x:v>Aéroports</x:v>
      </x:c>
      <x:c r="D3419" s="115" t="str">
        <x:v>Aérodrome régional</x:v>
      </x:c>
      <x:c r="E3419" s="115" t="n">
        <x:v>14</x:v>
      </x:c>
      <x:c r="F3419" s="115" t="str">
        <x:v>Inspection physique</x:v>
      </x:c>
      <x:c r="G3419" s="115" t="str">
        <x:v>1 niveaux ; 36 pièces ; 265 segments de mur ; 0 transitions. Inspection physique ; architecture complète encore ouverte.</x:v>
      </x:c>
      <x:c r="H3419" s="115" t="str">
        <x:v>L 1100 ; l 1700 ; hauteur 20 m ; choix de composition auteur ; dimensions réelles à documenter</x:v>
      </x:c>
      <x:c r="I3419" s="115" t="str">
        <x:v>À équilibrer</x:v>
      </x:c>
      <x:c r="J3419" s="115" t="str">
        <x:v>Non</x:v>
      </x:c>
      <x:c r="K3419" s="115" t="str">
        <x:v>Pièces décrites, murs, portes, niveaux et mobilier inspectables à l’échelle. Volumes réservés, raccord au seed, butin, rencontres et services de campagne restent à terminer.</x:v>
      </x:c>
    </x:row>
    <x:row r="3420" ht="96" customHeight="1">
      <x:c r="A3420" s="115" t="str">
        <x:v>EXT-MONDE-T069-V15</x:v>
      </x:c>
      <x:c r="B3420" s="115" t="str">
        <x:v>EXT-MONDE-T069</x:v>
      </x:c>
      <x:c r="C3420" s="115" t="str">
        <x:v>Aéroports</x:v>
      </x:c>
      <x:c r="D3420" s="115" t="str">
        <x:v>Aérodrome régional</x:v>
      </x:c>
      <x:c r="E3420" s="115" t="n">
        <x:v>15</x:v>
      </x:c>
      <x:c r="F3420" s="115" t="str">
        <x:v>Inspection physique</x:v>
      </x:c>
      <x:c r="G3420" s="115" t="str">
        <x:v>1 niveaux ; 36 pièces ; 265 segments de mur ; 0 transitions. Inspection physique ; architecture complète encore ouverte.</x:v>
      </x:c>
      <x:c r="H3420" s="115" t="str">
        <x:v>L 1100 ; l 1700 ; hauteur 20 m ; choix de composition auteur ; dimensions réelles à documenter</x:v>
      </x:c>
      <x:c r="I3420" s="115" t="str">
        <x:v>À équilibrer</x:v>
      </x:c>
      <x:c r="J3420" s="115" t="str">
        <x:v>Non</x:v>
      </x:c>
      <x:c r="K3420" s="115" t="str">
        <x:v>Pièces décrites, murs, portes, niveaux et mobilier inspectables à l’échelle. Volumes réservés, raccord au seed, butin, rencontres et services de campagne restent à terminer.</x:v>
      </x:c>
    </x:row>
    <x:row r="3421" ht="96" customHeight="1">
      <x:c r="A3421" s="115" t="str">
        <x:v>EXT-MONDE-T069-V16</x:v>
      </x:c>
      <x:c r="B3421" s="115" t="str">
        <x:v>EXT-MONDE-T069</x:v>
      </x:c>
      <x:c r="C3421" s="115" t="str">
        <x:v>Aéroports</x:v>
      </x:c>
      <x:c r="D3421" s="115" t="str">
        <x:v>Aérodrome régional</x:v>
      </x:c>
      <x:c r="E3421" s="115" t="n">
        <x:v>16</x:v>
      </x:c>
      <x:c r="F3421" s="115" t="str">
        <x:v>Inspection physique</x:v>
      </x:c>
      <x:c r="G3421" s="115" t="str">
        <x:v>1 niveaux ; 36 pièces ; 265 segments de mur ; 0 transitions. Inspection physique ; architecture complète encore ouverte.</x:v>
      </x:c>
      <x:c r="H3421" s="115" t="str">
        <x:v>L 1100 ; l 1700 ; hauteur 20 m ; choix de composition auteur ; dimensions réelles à documenter</x:v>
      </x:c>
      <x:c r="I3421" s="115" t="str">
        <x:v>À équilibrer</x:v>
      </x:c>
      <x:c r="J3421" s="115" t="str">
        <x:v>Non</x:v>
      </x:c>
      <x:c r="K3421" s="115" t="str">
        <x:v>Pièces décrites, murs, portes, niveaux et mobilier inspectables à l’échelle. Volumes réservés, raccord au seed, butin, rencontres et services de campagne restent à terminer.</x:v>
      </x:c>
    </x:row>
    <x:row r="3422" ht="96" customHeight="1">
      <x:c r="A3422" s="115" t="str">
        <x:v>EXT-MONDE-T069-V17</x:v>
      </x:c>
      <x:c r="B3422" s="115" t="str">
        <x:v>EXT-MONDE-T069</x:v>
      </x:c>
      <x:c r="C3422" s="115" t="str">
        <x:v>Aéroports</x:v>
      </x:c>
      <x:c r="D3422" s="115" t="str">
        <x:v>Aérodrome régional</x:v>
      </x:c>
      <x:c r="E3422" s="115" t="n">
        <x:v>17</x:v>
      </x:c>
      <x:c r="F3422" s="115" t="str">
        <x:v>Inspection physique</x:v>
      </x:c>
      <x:c r="G3422" s="115" t="str">
        <x:v>1 niveaux ; 36 pièces ; 265 segments de mur ; 0 transitions. Inspection physique ; architecture complète encore ouverte.</x:v>
      </x:c>
      <x:c r="H3422" s="115" t="str">
        <x:v>L 1100 ; l 1700 ; hauteur 20 m ; choix de composition auteur ; dimensions réelles à documenter</x:v>
      </x:c>
      <x:c r="I3422" s="115" t="str">
        <x:v>À équilibrer</x:v>
      </x:c>
      <x:c r="J3422" s="115" t="str">
        <x:v>Non</x:v>
      </x:c>
      <x:c r="K3422" s="115" t="str">
        <x:v>Pièces décrites, murs, portes, niveaux et mobilier inspectables à l’échelle. Volumes réservés, raccord au seed, butin, rencontres et services de campagne restent à terminer.</x:v>
      </x:c>
    </x:row>
    <x:row r="3423" ht="96" customHeight="1">
      <x:c r="A3423" s="115" t="str">
        <x:v>EXT-MONDE-T069-V18</x:v>
      </x:c>
      <x:c r="B3423" s="115" t="str">
        <x:v>EXT-MONDE-T069</x:v>
      </x:c>
      <x:c r="C3423" s="115" t="str">
        <x:v>Aéroports</x:v>
      </x:c>
      <x:c r="D3423" s="115" t="str">
        <x:v>Aérodrome régional</x:v>
      </x:c>
      <x:c r="E3423" s="115" t="n">
        <x:v>18</x:v>
      </x:c>
      <x:c r="F3423" s="115" t="str">
        <x:v>Inspection physique</x:v>
      </x:c>
      <x:c r="G3423" s="115" t="str">
        <x:v>1 niveaux ; 36 pièces ; 265 segments de mur ; 0 transitions. Inspection physique ; architecture complète encore ouverte.</x:v>
      </x:c>
      <x:c r="H3423" s="115" t="str">
        <x:v>L 1100 ; l 1700 ; hauteur 20 m ; choix de composition auteur ; dimensions réelles à documenter</x:v>
      </x:c>
      <x:c r="I3423" s="115" t="str">
        <x:v>À équilibrer</x:v>
      </x:c>
      <x:c r="J3423" s="115" t="str">
        <x:v>Non</x:v>
      </x:c>
      <x:c r="K3423" s="115" t="str">
        <x:v>Pièces décrites, murs, portes, niveaux et mobilier inspectables à l’échelle. Volumes réservés, raccord au seed, butin, rencontres et services de campagne restent à terminer.</x:v>
      </x:c>
    </x:row>
    <x:row r="3424" ht="96" customHeight="1">
      <x:c r="A3424" s="115" t="str">
        <x:v>EXT-MONDE-T069-V19</x:v>
      </x:c>
      <x:c r="B3424" s="115" t="str">
        <x:v>EXT-MONDE-T069</x:v>
      </x:c>
      <x:c r="C3424" s="115" t="str">
        <x:v>Aéroports</x:v>
      </x:c>
      <x:c r="D3424" s="115" t="str">
        <x:v>Aérodrome régional</x:v>
      </x:c>
      <x:c r="E3424" s="115" t="n">
        <x:v>19</x:v>
      </x:c>
      <x:c r="F3424" s="115" t="str">
        <x:v>Inspection physique</x:v>
      </x:c>
      <x:c r="G3424" s="115" t="str">
        <x:v>1 niveaux ; 36 pièces ; 265 segments de mur ; 0 transitions. Inspection physique ; architecture complète encore ouverte.</x:v>
      </x:c>
      <x:c r="H3424" s="115" t="str">
        <x:v>L 1100 ; l 1700 ; hauteur 20 m ; choix de composition auteur ; dimensions réelles à documenter</x:v>
      </x:c>
      <x:c r="I3424" s="115" t="str">
        <x:v>À équilibrer</x:v>
      </x:c>
      <x:c r="J3424" s="115" t="str">
        <x:v>Non</x:v>
      </x:c>
      <x:c r="K3424" s="115" t="str">
        <x:v>Pièces décrites, murs, portes, niveaux et mobilier inspectables à l’échelle. Volumes réservés, raccord au seed, butin, rencontres et services de campagne restent à terminer.</x:v>
      </x:c>
    </x:row>
    <x:row r="3425" ht="96" customHeight="1">
      <x:c r="A3425" s="115" t="str">
        <x:v>EXT-MONDE-T069-V20</x:v>
      </x:c>
      <x:c r="B3425" s="115" t="str">
        <x:v>EXT-MONDE-T069</x:v>
      </x:c>
      <x:c r="C3425" s="115" t="str">
        <x:v>Aéroports</x:v>
      </x:c>
      <x:c r="D3425" s="115" t="str">
        <x:v>Aérodrome régional</x:v>
      </x:c>
      <x:c r="E3425" s="115" t="n">
        <x:v>20</x:v>
      </x:c>
      <x:c r="F3425" s="115" t="str">
        <x:v>Inspection physique</x:v>
      </x:c>
      <x:c r="G3425" s="115" t="str">
        <x:v>1 niveaux ; 36 pièces ; 265 segments de mur ; 0 transitions. Inspection physique ; architecture complète encore ouverte.</x:v>
      </x:c>
      <x:c r="H3425" s="115" t="str">
        <x:v>L 1100 ; l 1700 ; hauteur 20 m ; choix de composition auteur ; dimensions réelles à documenter</x:v>
      </x:c>
      <x:c r="I3425" s="115" t="str">
        <x:v>À équilibrer</x:v>
      </x:c>
      <x:c r="J3425" s="115" t="str">
        <x:v>Non</x:v>
      </x:c>
      <x:c r="K3425" s="115" t="str">
        <x:v>Pièces décrites, murs, portes, niveaux et mobilier inspectables à l’échelle. Volumes réservés, raccord au seed, butin, rencontres et services de campagne restent à terminer.</x:v>
      </x:c>
    </x:row>
    <x:row r="3426" ht="96" customHeight="1">
      <x:c r="A3426" s="115" t="str">
        <x:v>EXT-MONDE-T069-V21</x:v>
      </x:c>
      <x:c r="B3426" s="115" t="str">
        <x:v>EXT-MONDE-T069</x:v>
      </x:c>
      <x:c r="C3426" s="115" t="str">
        <x:v>Aéroports</x:v>
      </x:c>
      <x:c r="D3426" s="115" t="str">
        <x:v>Aérodrome régional</x:v>
      </x:c>
      <x:c r="E3426" s="115" t="n">
        <x:v>21</x:v>
      </x:c>
      <x:c r="F3426" s="115" t="str">
        <x:v>Inspection physique</x:v>
      </x:c>
      <x:c r="G3426" s="115" t="str">
        <x:v>1 niveaux ; 36 pièces ; 265 segments de mur ; 0 transitions. Inspection physique ; architecture complète encore ouverte.</x:v>
      </x:c>
      <x:c r="H3426" s="115" t="str">
        <x:v>L 1100 ; l 1800 ; hauteur 22 m ; choix de composition auteur ; dimensions réelles à documenter</x:v>
      </x:c>
      <x:c r="I3426" s="115" t="str">
        <x:v>À équilibrer</x:v>
      </x:c>
      <x:c r="J3426" s="115" t="str">
        <x:v>Non</x:v>
      </x:c>
      <x:c r="K3426" s="115" t="str">
        <x:v>Pièces décrites, murs, portes, niveaux et mobilier inspectables à l’échelle. Volumes réservés, raccord au seed, butin, rencontres et services de campagne restent à terminer.</x:v>
      </x:c>
    </x:row>
    <x:row r="3427" ht="96" customHeight="1">
      <x:c r="A3427" s="115" t="str">
        <x:v>EXT-MONDE-T069-V22</x:v>
      </x:c>
      <x:c r="B3427" s="115" t="str">
        <x:v>EXT-MONDE-T069</x:v>
      </x:c>
      <x:c r="C3427" s="115" t="str">
        <x:v>Aéroports</x:v>
      </x:c>
      <x:c r="D3427" s="115" t="str">
        <x:v>Aérodrome régional</x:v>
      </x:c>
      <x:c r="E3427" s="115" t="n">
        <x:v>22</x:v>
      </x:c>
      <x:c r="F3427" s="115" t="str">
        <x:v>Inspection physique</x:v>
      </x:c>
      <x:c r="G3427" s="115" t="str">
        <x:v>1 niveaux ; 36 pièces ; 265 segments de mur ; 0 transitions. Inspection physique ; architecture complète encore ouverte.</x:v>
      </x:c>
      <x:c r="H3427" s="115" t="str">
        <x:v>L 1100 ; l 1800 ; hauteur 22 m ; choix de composition auteur ; dimensions réelles à documenter</x:v>
      </x:c>
      <x:c r="I3427" s="115" t="str">
        <x:v>À équilibrer</x:v>
      </x:c>
      <x:c r="J3427" s="115" t="str">
        <x:v>Non</x:v>
      </x:c>
      <x:c r="K3427" s="115" t="str">
        <x:v>Pièces décrites, murs, portes, niveaux et mobilier inspectables à l’échelle. Volumes réservés, raccord au seed, butin, rencontres et services de campagne restent à terminer.</x:v>
      </x:c>
    </x:row>
    <x:row r="3428" ht="96" customHeight="1">
      <x:c r="A3428" s="115" t="str">
        <x:v>EXT-MONDE-T069-V23</x:v>
      </x:c>
      <x:c r="B3428" s="115" t="str">
        <x:v>EXT-MONDE-T069</x:v>
      </x:c>
      <x:c r="C3428" s="115" t="str">
        <x:v>Aéroports</x:v>
      </x:c>
      <x:c r="D3428" s="115" t="str">
        <x:v>Aérodrome régional</x:v>
      </x:c>
      <x:c r="E3428" s="115" t="n">
        <x:v>23</x:v>
      </x:c>
      <x:c r="F3428" s="115" t="str">
        <x:v>Inspection physique</x:v>
      </x:c>
      <x:c r="G3428" s="115" t="str">
        <x:v>1 niveaux ; 36 pièces ; 265 segments de mur ; 0 transitions. Inspection physique ; architecture complète encore ouverte.</x:v>
      </x:c>
      <x:c r="H3428" s="115" t="str">
        <x:v>L 1100 ; l 1800 ; hauteur 22 m ; choix de composition auteur ; dimensions réelles à documenter</x:v>
      </x:c>
      <x:c r="I3428" s="115" t="str">
        <x:v>À équilibrer</x:v>
      </x:c>
      <x:c r="J3428" s="115" t="str">
        <x:v>Non</x:v>
      </x:c>
      <x:c r="K3428" s="115" t="str">
        <x:v>Pièces décrites, murs, portes, niveaux et mobilier inspectables à l’échelle. Volumes réservés, raccord au seed, butin, rencontres et services de campagne restent à terminer.</x:v>
      </x:c>
    </x:row>
    <x:row r="3429" ht="96" customHeight="1">
      <x:c r="A3429" s="115" t="str">
        <x:v>EXT-MONDE-T069-V24</x:v>
      </x:c>
      <x:c r="B3429" s="115" t="str">
        <x:v>EXT-MONDE-T069</x:v>
      </x:c>
      <x:c r="C3429" s="115" t="str">
        <x:v>Aéroports</x:v>
      </x:c>
      <x:c r="D3429" s="115" t="str">
        <x:v>Aérodrome régional</x:v>
      </x:c>
      <x:c r="E3429" s="115" t="n">
        <x:v>24</x:v>
      </x:c>
      <x:c r="F3429" s="115" t="str">
        <x:v>Inspection physique</x:v>
      </x:c>
      <x:c r="G3429" s="115" t="str">
        <x:v>1 niveaux ; 36 pièces ; 265 segments de mur ; 0 transitions. Inspection physique ; architecture complète encore ouverte.</x:v>
      </x:c>
      <x:c r="H3429" s="115" t="str">
        <x:v>L 1100 ; l 1800 ; hauteur 22 m ; choix de composition auteur ; dimensions réelles à documenter</x:v>
      </x:c>
      <x:c r="I3429" s="115" t="str">
        <x:v>À équilibrer</x:v>
      </x:c>
      <x:c r="J3429" s="115" t="str">
        <x:v>Non</x:v>
      </x:c>
      <x:c r="K3429" s="115" t="str">
        <x:v>Pièces décrites, murs, portes, niveaux et mobilier inspectables à l’échelle. Volumes réservés, raccord au seed, butin, rencontres et services de campagne restent à terminer.</x:v>
      </x:c>
    </x:row>
    <x:row r="3430" ht="96" customHeight="1">
      <x:c r="A3430" s="115" t="str">
        <x:v>EXT-MONDE-T069-V25</x:v>
      </x:c>
      <x:c r="B3430" s="115" t="str">
        <x:v>EXT-MONDE-T069</x:v>
      </x:c>
      <x:c r="C3430" s="115" t="str">
        <x:v>Aéroports</x:v>
      </x:c>
      <x:c r="D3430" s="115" t="str">
        <x:v>Aérodrome régional</x:v>
      </x:c>
      <x:c r="E3430" s="115" t="n">
        <x:v>25</x:v>
      </x:c>
      <x:c r="F3430" s="115" t="str">
        <x:v>Inspection physique</x:v>
      </x:c>
      <x:c r="G3430" s="115" t="str">
        <x:v>1 niveaux ; 36 pièces ; 265 segments de mur ; 0 transitions. Inspection physique ; architecture complète encore ouverte.</x:v>
      </x:c>
      <x:c r="H3430" s="115" t="str">
        <x:v>L 1100 ; l 1800 ; hauteur 22 m ; choix de composition auteur ; dimensions réelles à documenter</x:v>
      </x:c>
      <x:c r="I3430" s="115" t="str">
        <x:v>À équilibrer</x:v>
      </x:c>
      <x:c r="J3430" s="115" t="str">
        <x:v>Non</x:v>
      </x:c>
      <x:c r="K3430" s="115" t="str">
        <x:v>Pièces décrites, murs, portes, niveaux et mobilier inspectables à l’échelle. Volumes réservés, raccord au seed, butin, rencontres et services de campagne restent à terminer.</x:v>
      </x:c>
    </x:row>
    <x:row r="3431" ht="96" customHeight="1">
      <x:c r="A3431" s="115" t="str">
        <x:v>EXT-MONDE-T069-V26</x:v>
      </x:c>
      <x:c r="B3431" s="115" t="str">
        <x:v>EXT-MONDE-T069</x:v>
      </x:c>
      <x:c r="C3431" s="115" t="str">
        <x:v>Aéroports</x:v>
      </x:c>
      <x:c r="D3431" s="115" t="str">
        <x:v>Aérodrome régional</x:v>
      </x:c>
      <x:c r="E3431" s="115" t="n">
        <x:v>26</x:v>
      </x:c>
      <x:c r="F3431" s="115" t="str">
        <x:v>Inspection physique</x:v>
      </x:c>
      <x:c r="G3431" s="115" t="str">
        <x:v>1 niveaux ; 36 pièces ; 265 segments de mur ; 0 transitions. Inspection physique ; architecture complète encore ouverte.</x:v>
      </x:c>
      <x:c r="H3431" s="115" t="str">
        <x:v>L 1100 ; l 1800 ; hauteur 22 m ; choix de composition auteur ; dimensions réelles à documenter</x:v>
      </x:c>
      <x:c r="I3431" s="115" t="str">
        <x:v>À équilibrer</x:v>
      </x:c>
      <x:c r="J3431" s="115" t="str">
        <x:v>Non</x:v>
      </x:c>
      <x:c r="K3431" s="115" t="str">
        <x:v>Pièces décrites, murs, portes, niveaux et mobilier inspectables à l’échelle. Volumes réservés, raccord au seed, butin, rencontres et services de campagne restent à terminer.</x:v>
      </x:c>
    </x:row>
    <x:row r="3432" ht="96" customHeight="1">
      <x:c r="A3432" s="115" t="str">
        <x:v>EXT-MONDE-T069-V27</x:v>
      </x:c>
      <x:c r="B3432" s="115" t="str">
        <x:v>EXT-MONDE-T069</x:v>
      </x:c>
      <x:c r="C3432" s="115" t="str">
        <x:v>Aéroports</x:v>
      </x:c>
      <x:c r="D3432" s="115" t="str">
        <x:v>Aérodrome régional</x:v>
      </x:c>
      <x:c r="E3432" s="115" t="n">
        <x:v>27</x:v>
      </x:c>
      <x:c r="F3432" s="115" t="str">
        <x:v>Inspection physique</x:v>
      </x:c>
      <x:c r="G3432" s="115" t="str">
        <x:v>1 niveaux ; 36 pièces ; 265 segments de mur ; 0 transitions. Inspection physique ; architecture complète encore ouverte.</x:v>
      </x:c>
      <x:c r="H3432" s="115" t="str">
        <x:v>L 1100 ; l 1800 ; hauteur 22 m ; choix de composition auteur ; dimensions réelles à documenter</x:v>
      </x:c>
      <x:c r="I3432" s="115" t="str">
        <x:v>À équilibrer</x:v>
      </x:c>
      <x:c r="J3432" s="115" t="str">
        <x:v>Non</x:v>
      </x:c>
      <x:c r="K3432" s="115" t="str">
        <x:v>Pièces décrites, murs, portes, niveaux et mobilier inspectables à l’échelle. Volumes réservés, raccord au seed, butin, rencontres et services de campagne restent à terminer.</x:v>
      </x:c>
    </x:row>
    <x:row r="3433" ht="96" customHeight="1">
      <x:c r="A3433" s="115" t="str">
        <x:v>EXT-MONDE-T069-V28</x:v>
      </x:c>
      <x:c r="B3433" s="115" t="str">
        <x:v>EXT-MONDE-T069</x:v>
      </x:c>
      <x:c r="C3433" s="115" t="str">
        <x:v>Aéroports</x:v>
      </x:c>
      <x:c r="D3433" s="115" t="str">
        <x:v>Aérodrome régional</x:v>
      </x:c>
      <x:c r="E3433" s="115" t="n">
        <x:v>28</x:v>
      </x:c>
      <x:c r="F3433" s="115" t="str">
        <x:v>Inspection physique</x:v>
      </x:c>
      <x:c r="G3433" s="115" t="str">
        <x:v>1 niveaux ; 36 pièces ; 265 segments de mur ; 0 transitions. Inspection physique ; architecture complète encore ouverte.</x:v>
      </x:c>
      <x:c r="H3433" s="115" t="str">
        <x:v>L 1100 ; l 1800 ; hauteur 22 m ; choix de composition auteur ; dimensions réelles à documenter</x:v>
      </x:c>
      <x:c r="I3433" s="115" t="str">
        <x:v>À équilibrer</x:v>
      </x:c>
      <x:c r="J3433" s="115" t="str">
        <x:v>Non</x:v>
      </x:c>
      <x:c r="K3433" s="115" t="str">
        <x:v>Pièces décrites, murs, portes, niveaux et mobilier inspectables à l’échelle. Volumes réservés, raccord au seed, butin, rencontres et services de campagne restent à terminer.</x:v>
      </x:c>
    </x:row>
    <x:row r="3434" ht="96" customHeight="1">
      <x:c r="A3434" s="115" t="str">
        <x:v>EXT-MONDE-T069-V29</x:v>
      </x:c>
      <x:c r="B3434" s="115" t="str">
        <x:v>EXT-MONDE-T069</x:v>
      </x:c>
      <x:c r="C3434" s="115" t="str">
        <x:v>Aéroports</x:v>
      </x:c>
      <x:c r="D3434" s="115" t="str">
        <x:v>Aérodrome régional</x:v>
      </x:c>
      <x:c r="E3434" s="115" t="n">
        <x:v>29</x:v>
      </x:c>
      <x:c r="F3434" s="115" t="str">
        <x:v>Inspection physique</x:v>
      </x:c>
      <x:c r="G3434" s="115" t="str">
        <x:v>1 niveaux ; 36 pièces ; 265 segments de mur ; 0 transitions. Inspection physique ; architecture complète encore ouverte.</x:v>
      </x:c>
      <x:c r="H3434" s="115" t="str">
        <x:v>L 1100 ; l 1800 ; hauteur 22 m ; choix de composition auteur ; dimensions réelles à documenter</x:v>
      </x:c>
      <x:c r="I3434" s="115" t="str">
        <x:v>À équilibrer</x:v>
      </x:c>
      <x:c r="J3434" s="115" t="str">
        <x:v>Non</x:v>
      </x:c>
      <x:c r="K3434" s="115" t="str">
        <x:v>Pièces décrites, murs, portes, niveaux et mobilier inspectables à l’échelle. Volumes réservés, raccord au seed, butin, rencontres et services de campagne restent à terminer.</x:v>
      </x:c>
    </x:row>
    <x:row r="3435" ht="96" customHeight="1">
      <x:c r="A3435" s="115" t="str">
        <x:v>EXT-MONDE-T069-V30</x:v>
      </x:c>
      <x:c r="B3435" s="115" t="str">
        <x:v>EXT-MONDE-T069</x:v>
      </x:c>
      <x:c r="C3435" s="115" t="str">
        <x:v>Aéroports</x:v>
      </x:c>
      <x:c r="D3435" s="115" t="str">
        <x:v>Aérodrome régional</x:v>
      </x:c>
      <x:c r="E3435" s="115" t="n">
        <x:v>30</x:v>
      </x:c>
      <x:c r="F3435" s="115" t="str">
        <x:v>Inspection physique</x:v>
      </x:c>
      <x:c r="G3435" s="115" t="str">
        <x:v>1 niveaux ; 36 pièces ; 265 segments de mur ; 0 transitions. Inspection physique ; architecture complète encore ouverte.</x:v>
      </x:c>
      <x:c r="H3435" s="115" t="str">
        <x:v>L 1100 ; l 1800 ; hauteur 22 m ; choix de composition auteur ; dimensions réelles à documenter</x:v>
      </x:c>
      <x:c r="I3435" s="115" t="str">
        <x:v>À équilibrer</x:v>
      </x:c>
      <x:c r="J3435" s="115" t="str">
        <x:v>Non</x:v>
      </x:c>
      <x:c r="K3435" s="115" t="str">
        <x:v>Pièces décrites, murs, portes, niveaux et mobilier inspectables à l’échelle. Volumes réservés, raccord au seed, butin, rencontres et services de campagne restent à terminer.</x:v>
      </x:c>
    </x:row>
    <x:row r="3436" ht="96" customHeight="1">
      <x:c r="A3436" s="115" t="str">
        <x:v>EXT-MONDE-T069-V31</x:v>
      </x:c>
      <x:c r="B3436" s="115" t="str">
        <x:v>EXT-MONDE-T069</x:v>
      </x:c>
      <x:c r="C3436" s="115" t="str">
        <x:v>Aéroports</x:v>
      </x:c>
      <x:c r="D3436" s="115" t="str">
        <x:v>Aérodrome régional</x:v>
      </x:c>
      <x:c r="E3436" s="115" t="n">
        <x:v>31</x:v>
      </x:c>
      <x:c r="F3436" s="115" t="str">
        <x:v>Inspection physique</x:v>
      </x:c>
      <x:c r="G3436" s="115" t="str">
        <x:v>1 niveaux ; 36 pièces ; 265 segments de mur ; 0 transitions. Inspection physique ; architecture complète encore ouverte.</x:v>
      </x:c>
      <x:c r="H3436" s="115" t="str">
        <x:v>L 1100 ; l 1900 ; hauteur 24 m ; choix de composition auteur ; dimensions réelles à documenter</x:v>
      </x:c>
      <x:c r="I3436" s="115" t="str">
        <x:v>À équilibrer</x:v>
      </x:c>
      <x:c r="J3436" s="115" t="str">
        <x:v>Non</x:v>
      </x:c>
      <x:c r="K3436" s="115" t="str">
        <x:v>Pièces décrites, murs, portes, niveaux et mobilier inspectables à l’échelle. Volumes réservés, raccord au seed, butin, rencontres et services de campagne restent à terminer.</x:v>
      </x:c>
    </x:row>
    <x:row r="3437" ht="96" customHeight="1">
      <x:c r="A3437" s="115" t="str">
        <x:v>EXT-MONDE-T069-V32</x:v>
      </x:c>
      <x:c r="B3437" s="115" t="str">
        <x:v>EXT-MONDE-T069</x:v>
      </x:c>
      <x:c r="C3437" s="115" t="str">
        <x:v>Aéroports</x:v>
      </x:c>
      <x:c r="D3437" s="115" t="str">
        <x:v>Aérodrome régional</x:v>
      </x:c>
      <x:c r="E3437" s="115" t="n">
        <x:v>32</x:v>
      </x:c>
      <x:c r="F3437" s="115" t="str">
        <x:v>Inspection physique</x:v>
      </x:c>
      <x:c r="G3437" s="115" t="str">
        <x:v>1 niveaux ; 36 pièces ; 265 segments de mur ; 0 transitions. Inspection physique ; architecture complète encore ouverte.</x:v>
      </x:c>
      <x:c r="H3437" s="115" t="str">
        <x:v>L 1100 ; l 1900 ; hauteur 24 m ; choix de composition auteur ; dimensions réelles à documenter</x:v>
      </x:c>
      <x:c r="I3437" s="115" t="str">
        <x:v>À équilibrer</x:v>
      </x:c>
      <x:c r="J3437" s="115" t="str">
        <x:v>Non</x:v>
      </x:c>
      <x:c r="K3437" s="115" t="str">
        <x:v>Pièces décrites, murs, portes, niveaux et mobilier inspectables à l’échelle. Volumes réservés, raccord au seed, butin, rencontres et services de campagne restent à terminer.</x:v>
      </x:c>
    </x:row>
    <x:row r="3438" ht="96" customHeight="1">
      <x:c r="A3438" s="115" t="str">
        <x:v>EXT-MONDE-T069-V33</x:v>
      </x:c>
      <x:c r="B3438" s="115" t="str">
        <x:v>EXT-MONDE-T069</x:v>
      </x:c>
      <x:c r="C3438" s="115" t="str">
        <x:v>Aéroports</x:v>
      </x:c>
      <x:c r="D3438" s="115" t="str">
        <x:v>Aérodrome régional</x:v>
      </x:c>
      <x:c r="E3438" s="115" t="n">
        <x:v>33</x:v>
      </x:c>
      <x:c r="F3438" s="115" t="str">
        <x:v>Inspection physique</x:v>
      </x:c>
      <x:c r="G3438" s="115" t="str">
        <x:v>1 niveaux ; 36 pièces ; 265 segments de mur ; 0 transitions. Inspection physique ; architecture complète encore ouverte.</x:v>
      </x:c>
      <x:c r="H3438" s="115" t="str">
        <x:v>L 1100 ; l 1900 ; hauteur 24 m ; choix de composition auteur ; dimensions réelles à documenter</x:v>
      </x:c>
      <x:c r="I3438" s="115" t="str">
        <x:v>À équilibrer</x:v>
      </x:c>
      <x:c r="J3438" s="115" t="str">
        <x:v>Non</x:v>
      </x:c>
      <x:c r="K3438" s="115" t="str">
        <x:v>Pièces décrites, murs, portes, niveaux et mobilier inspectables à l’échelle. Volumes réservés, raccord au seed, butin, rencontres et services de campagne restent à terminer.</x:v>
      </x:c>
    </x:row>
    <x:row r="3439" ht="96" customHeight="1">
      <x:c r="A3439" s="115" t="str">
        <x:v>EXT-MONDE-T069-V34</x:v>
      </x:c>
      <x:c r="B3439" s="115" t="str">
        <x:v>EXT-MONDE-T069</x:v>
      </x:c>
      <x:c r="C3439" s="115" t="str">
        <x:v>Aéroports</x:v>
      </x:c>
      <x:c r="D3439" s="115" t="str">
        <x:v>Aérodrome régional</x:v>
      </x:c>
      <x:c r="E3439" s="115" t="n">
        <x:v>34</x:v>
      </x:c>
      <x:c r="F3439" s="115" t="str">
        <x:v>Inspection physique</x:v>
      </x:c>
      <x:c r="G3439" s="115" t="str">
        <x:v>1 niveaux ; 36 pièces ; 265 segments de mur ; 0 transitions. Inspection physique ; architecture complète encore ouverte.</x:v>
      </x:c>
      <x:c r="H3439" s="115" t="str">
        <x:v>L 1100 ; l 1900 ; hauteur 24 m ; choix de composition auteur ; dimensions réelles à documenter</x:v>
      </x:c>
      <x:c r="I3439" s="115" t="str">
        <x:v>À équilibrer</x:v>
      </x:c>
      <x:c r="J3439" s="115" t="str">
        <x:v>Non</x:v>
      </x:c>
      <x:c r="K3439" s="115" t="str">
        <x:v>Pièces décrites, murs, portes, niveaux et mobilier inspectables à l’échelle. Volumes réservés, raccord au seed, butin, rencontres et services de campagne restent à terminer.</x:v>
      </x:c>
    </x:row>
    <x:row r="3440" ht="96" customHeight="1">
      <x:c r="A3440" s="115" t="str">
        <x:v>EXT-MONDE-T069-V35</x:v>
      </x:c>
      <x:c r="B3440" s="115" t="str">
        <x:v>EXT-MONDE-T069</x:v>
      </x:c>
      <x:c r="C3440" s="115" t="str">
        <x:v>Aéroports</x:v>
      </x:c>
      <x:c r="D3440" s="115" t="str">
        <x:v>Aérodrome régional</x:v>
      </x:c>
      <x:c r="E3440" s="115" t="n">
        <x:v>35</x:v>
      </x:c>
      <x:c r="F3440" s="115" t="str">
        <x:v>Inspection physique</x:v>
      </x:c>
      <x:c r="G3440" s="115" t="str">
        <x:v>1 niveaux ; 36 pièces ; 265 segments de mur ; 0 transitions. Inspection physique ; architecture complète encore ouverte.</x:v>
      </x:c>
      <x:c r="H3440" s="115" t="str">
        <x:v>L 1100 ; l 1900 ; hauteur 24 m ; choix de composition auteur ; dimensions réelles à documenter</x:v>
      </x:c>
      <x:c r="I3440" s="115" t="str">
        <x:v>À équilibrer</x:v>
      </x:c>
      <x:c r="J3440" s="115" t="str">
        <x:v>Non</x:v>
      </x:c>
      <x:c r="K3440" s="115" t="str">
        <x:v>Pièces décrites, murs, portes, niveaux et mobilier inspectables à l’échelle. Volumes réservés, raccord au seed, butin, rencontres et services de campagne restent à terminer.</x:v>
      </x:c>
    </x:row>
    <x:row r="3441" ht="96" customHeight="1">
      <x:c r="A3441" s="115" t="str">
        <x:v>EXT-MONDE-T069-V36</x:v>
      </x:c>
      <x:c r="B3441" s="115" t="str">
        <x:v>EXT-MONDE-T069</x:v>
      </x:c>
      <x:c r="C3441" s="115" t="str">
        <x:v>Aéroports</x:v>
      </x:c>
      <x:c r="D3441" s="115" t="str">
        <x:v>Aérodrome régional</x:v>
      </x:c>
      <x:c r="E3441" s="115" t="n">
        <x:v>36</x:v>
      </x:c>
      <x:c r="F3441" s="115" t="str">
        <x:v>Inspection physique</x:v>
      </x:c>
      <x:c r="G3441" s="115" t="str">
        <x:v>1 niveaux ; 36 pièces ; 265 segments de mur ; 0 transitions. Inspection physique ; architecture complète encore ouverte.</x:v>
      </x:c>
      <x:c r="H3441" s="115" t="str">
        <x:v>L 1100 ; l 1900 ; hauteur 24 m ; choix de composition auteur ; dimensions réelles à documenter</x:v>
      </x:c>
      <x:c r="I3441" s="115" t="str">
        <x:v>À équilibrer</x:v>
      </x:c>
      <x:c r="J3441" s="115" t="str">
        <x:v>Non</x:v>
      </x:c>
      <x:c r="K3441" s="115" t="str">
        <x:v>Pièces décrites, murs, portes, niveaux et mobilier inspectables à l’échelle. Volumes réservés, raccord au seed, butin, rencontres et services de campagne restent à terminer.</x:v>
      </x:c>
    </x:row>
    <x:row r="3442" ht="96" customHeight="1">
      <x:c r="A3442" s="115" t="str">
        <x:v>EXT-MONDE-T069-V37</x:v>
      </x:c>
      <x:c r="B3442" s="115" t="str">
        <x:v>EXT-MONDE-T069</x:v>
      </x:c>
      <x:c r="C3442" s="115" t="str">
        <x:v>Aéroports</x:v>
      </x:c>
      <x:c r="D3442" s="115" t="str">
        <x:v>Aérodrome régional</x:v>
      </x:c>
      <x:c r="E3442" s="115" t="n">
        <x:v>37</x:v>
      </x:c>
      <x:c r="F3442" s="115" t="str">
        <x:v>Inspection physique</x:v>
      </x:c>
      <x:c r="G3442" s="115" t="str">
        <x:v>1 niveaux ; 36 pièces ; 265 segments de mur ; 0 transitions. Inspection physique ; architecture complète encore ouverte.</x:v>
      </x:c>
      <x:c r="H3442" s="115" t="str">
        <x:v>L 1100 ; l 1900 ; hauteur 24 m ; choix de composition auteur ; dimensions réelles à documenter</x:v>
      </x:c>
      <x:c r="I3442" s="115" t="str">
        <x:v>À équilibrer</x:v>
      </x:c>
      <x:c r="J3442" s="115" t="str">
        <x:v>Non</x:v>
      </x:c>
      <x:c r="K3442" s="115" t="str">
        <x:v>Pièces décrites, murs, portes, niveaux et mobilier inspectables à l’échelle. Volumes réservés, raccord au seed, butin, rencontres et services de campagne restent à terminer.</x:v>
      </x:c>
    </x:row>
    <x:row r="3443" ht="96" customHeight="1">
      <x:c r="A3443" s="115" t="str">
        <x:v>EXT-MONDE-T069-V38</x:v>
      </x:c>
      <x:c r="B3443" s="115" t="str">
        <x:v>EXT-MONDE-T069</x:v>
      </x:c>
      <x:c r="C3443" s="115" t="str">
        <x:v>Aéroports</x:v>
      </x:c>
      <x:c r="D3443" s="115" t="str">
        <x:v>Aérodrome régional</x:v>
      </x:c>
      <x:c r="E3443" s="115" t="n">
        <x:v>38</x:v>
      </x:c>
      <x:c r="F3443" s="115" t="str">
        <x:v>Inspection physique</x:v>
      </x:c>
      <x:c r="G3443" s="115" t="str">
        <x:v>1 niveaux ; 36 pièces ; 265 segments de mur ; 0 transitions. Inspection physique ; architecture complète encore ouverte.</x:v>
      </x:c>
      <x:c r="H3443" s="115" t="str">
        <x:v>L 1100 ; l 1900 ; hauteur 24 m ; choix de composition auteur ; dimensions réelles à documenter</x:v>
      </x:c>
      <x:c r="I3443" s="115" t="str">
        <x:v>À équilibrer</x:v>
      </x:c>
      <x:c r="J3443" s="115" t="str">
        <x:v>Non</x:v>
      </x:c>
      <x:c r="K3443" s="115" t="str">
        <x:v>Pièces décrites, murs, portes, niveaux et mobilier inspectables à l’échelle. Volumes réservés, raccord au seed, butin, rencontres et services de campagne restent à terminer.</x:v>
      </x:c>
    </x:row>
    <x:row r="3444" ht="96" customHeight="1">
      <x:c r="A3444" s="115" t="str">
        <x:v>EXT-MONDE-T069-V39</x:v>
      </x:c>
      <x:c r="B3444" s="115" t="str">
        <x:v>EXT-MONDE-T069</x:v>
      </x:c>
      <x:c r="C3444" s="115" t="str">
        <x:v>Aéroports</x:v>
      </x:c>
      <x:c r="D3444" s="115" t="str">
        <x:v>Aérodrome régional</x:v>
      </x:c>
      <x:c r="E3444" s="115" t="n">
        <x:v>39</x:v>
      </x:c>
      <x:c r="F3444" s="115" t="str">
        <x:v>Inspection physique</x:v>
      </x:c>
      <x:c r="G3444" s="115" t="str">
        <x:v>1 niveaux ; 36 pièces ; 265 segments de mur ; 0 transitions. Inspection physique ; architecture complète encore ouverte.</x:v>
      </x:c>
      <x:c r="H3444" s="115" t="str">
        <x:v>L 1100 ; l 1900 ; hauteur 24 m ; choix de composition auteur ; dimensions réelles à documenter</x:v>
      </x:c>
      <x:c r="I3444" s="115" t="str">
        <x:v>À équilibrer</x:v>
      </x:c>
      <x:c r="J3444" s="115" t="str">
        <x:v>Non</x:v>
      </x:c>
      <x:c r="K3444" s="115" t="str">
        <x:v>Pièces décrites, murs, portes, niveaux et mobilier inspectables à l’échelle. Volumes réservés, raccord au seed, butin, rencontres et services de campagne restent à terminer.</x:v>
      </x:c>
    </x:row>
    <x:row r="3445" ht="96" customHeight="1">
      <x:c r="A3445" s="115" t="str">
        <x:v>EXT-MONDE-T069-V40</x:v>
      </x:c>
      <x:c r="B3445" s="115" t="str">
        <x:v>EXT-MONDE-T069</x:v>
      </x:c>
      <x:c r="C3445" s="115" t="str">
        <x:v>Aéroports</x:v>
      </x:c>
      <x:c r="D3445" s="115" t="str">
        <x:v>Aérodrome régional</x:v>
      </x:c>
      <x:c r="E3445" s="115" t="n">
        <x:v>40</x:v>
      </x:c>
      <x:c r="F3445" s="115" t="str">
        <x:v>Inspection physique</x:v>
      </x:c>
      <x:c r="G3445" s="115" t="str">
        <x:v>1 niveaux ; 36 pièces ; 265 segments de mur ; 0 transitions. Inspection physique ; architecture complète encore ouverte.</x:v>
      </x:c>
      <x:c r="H3445" s="115" t="str">
        <x:v>L 1100 ; l 1900 ; hauteur 24 m ; choix de composition auteur ; dimensions réelles à documenter</x:v>
      </x:c>
      <x:c r="I3445" s="115" t="str">
        <x:v>À équilibrer</x:v>
      </x:c>
      <x:c r="J3445" s="115" t="str">
        <x:v>Non</x:v>
      </x:c>
      <x:c r="K3445" s="115" t="str">
        <x:v>Pièces décrites, murs, portes, niveaux et mobilier inspectables à l’échelle. Volumes réservés, raccord au seed, butin, rencontres et services de campagne restent à terminer.</x:v>
      </x:c>
    </x:row>
    <x:row r="3446" ht="96" customHeight="1">
      <x:c r="A3446" s="115" t="str">
        <x:v>EXT-MONDE-T069-V41</x:v>
      </x:c>
      <x:c r="B3446" s="115" t="str">
        <x:v>EXT-MONDE-T069</x:v>
      </x:c>
      <x:c r="C3446" s="115" t="str">
        <x:v>Aéroports</x:v>
      </x:c>
      <x:c r="D3446" s="115" t="str">
        <x:v>Aérodrome régional</x:v>
      </x:c>
      <x:c r="E3446" s="115" t="n">
        <x:v>41</x:v>
      </x:c>
      <x:c r="F3446" s="115" t="str">
        <x:v>Inspection physique</x:v>
      </x:c>
      <x:c r="G3446" s="115" t="str">
        <x:v>1 niveaux ; 36 pièces ; 265 segments de mur ; 0 transitions. Inspection physique ; architecture complète encore ouverte.</x:v>
      </x:c>
      <x:c r="H3446" s="115" t="str">
        <x:v>L 1100 ; l 2000 ; hauteur 26 m ; choix de composition auteur ; dimensions réelles à documenter</x:v>
      </x:c>
      <x:c r="I3446" s="115" t="str">
        <x:v>À équilibrer</x:v>
      </x:c>
      <x:c r="J3446" s="115" t="str">
        <x:v>Non</x:v>
      </x:c>
      <x:c r="K3446" s="115" t="str">
        <x:v>Pièces décrites, murs, portes, niveaux et mobilier inspectables à l’échelle. Volumes réservés, raccord au seed, butin, rencontres et services de campagne restent à terminer.</x:v>
      </x:c>
    </x:row>
    <x:row r="3447" ht="96" customHeight="1">
      <x:c r="A3447" s="115" t="str">
        <x:v>EXT-MONDE-T069-V42</x:v>
      </x:c>
      <x:c r="B3447" s="115" t="str">
        <x:v>EXT-MONDE-T069</x:v>
      </x:c>
      <x:c r="C3447" s="115" t="str">
        <x:v>Aéroports</x:v>
      </x:c>
      <x:c r="D3447" s="115" t="str">
        <x:v>Aérodrome régional</x:v>
      </x:c>
      <x:c r="E3447" s="115" t="n">
        <x:v>42</x:v>
      </x:c>
      <x:c r="F3447" s="115" t="str">
        <x:v>Inspection physique</x:v>
      </x:c>
      <x:c r="G3447" s="115" t="str">
        <x:v>1 niveaux ; 36 pièces ; 265 segments de mur ; 0 transitions. Inspection physique ; architecture complète encore ouverte.</x:v>
      </x:c>
      <x:c r="H3447" s="115" t="str">
        <x:v>L 1100 ; l 2000 ; hauteur 26 m ; choix de composition auteur ; dimensions réelles à documenter</x:v>
      </x:c>
      <x:c r="I3447" s="115" t="str">
        <x:v>À équilibrer</x:v>
      </x:c>
      <x:c r="J3447" s="115" t="str">
        <x:v>Non</x:v>
      </x:c>
      <x:c r="K3447" s="115" t="str">
        <x:v>Pièces décrites, murs, portes, niveaux et mobilier inspectables à l’échelle. Volumes réservés, raccord au seed, butin, rencontres et services de campagne restent à terminer.</x:v>
      </x:c>
    </x:row>
    <x:row r="3448" ht="96" customHeight="1">
      <x:c r="A3448" s="115" t="str">
        <x:v>EXT-MONDE-T069-V43</x:v>
      </x:c>
      <x:c r="B3448" s="115" t="str">
        <x:v>EXT-MONDE-T069</x:v>
      </x:c>
      <x:c r="C3448" s="115" t="str">
        <x:v>Aéroports</x:v>
      </x:c>
      <x:c r="D3448" s="115" t="str">
        <x:v>Aérodrome régional</x:v>
      </x:c>
      <x:c r="E3448" s="115" t="n">
        <x:v>43</x:v>
      </x:c>
      <x:c r="F3448" s="115" t="str">
        <x:v>Inspection physique</x:v>
      </x:c>
      <x:c r="G3448" s="115" t="str">
        <x:v>1 niveaux ; 36 pièces ; 265 segments de mur ; 0 transitions. Inspection physique ; architecture complète encore ouverte.</x:v>
      </x:c>
      <x:c r="H3448" s="115" t="str">
        <x:v>L 1100 ; l 2000 ; hauteur 26 m ; choix de composition auteur ; dimensions réelles à documenter</x:v>
      </x:c>
      <x:c r="I3448" s="115" t="str">
        <x:v>À équilibrer</x:v>
      </x:c>
      <x:c r="J3448" s="115" t="str">
        <x:v>Non</x:v>
      </x:c>
      <x:c r="K3448" s="115" t="str">
        <x:v>Pièces décrites, murs, portes, niveaux et mobilier inspectables à l’échelle. Volumes réservés, raccord au seed, butin, rencontres et services de campagne restent à terminer.</x:v>
      </x:c>
    </x:row>
    <x:row r="3449" ht="96" customHeight="1">
      <x:c r="A3449" s="115" t="str">
        <x:v>EXT-MONDE-T069-V44</x:v>
      </x:c>
      <x:c r="B3449" s="115" t="str">
        <x:v>EXT-MONDE-T069</x:v>
      </x:c>
      <x:c r="C3449" s="115" t="str">
        <x:v>Aéroports</x:v>
      </x:c>
      <x:c r="D3449" s="115" t="str">
        <x:v>Aérodrome régional</x:v>
      </x:c>
      <x:c r="E3449" s="115" t="n">
        <x:v>44</x:v>
      </x:c>
      <x:c r="F3449" s="115" t="str">
        <x:v>Inspection physique</x:v>
      </x:c>
      <x:c r="G3449" s="115" t="str">
        <x:v>1 niveaux ; 36 pièces ; 265 segments de mur ; 0 transitions. Inspection physique ; architecture complète encore ouverte.</x:v>
      </x:c>
      <x:c r="H3449" s="115" t="str">
        <x:v>L 1100 ; l 2000 ; hauteur 26 m ; choix de composition auteur ; dimensions réelles à documenter</x:v>
      </x:c>
      <x:c r="I3449" s="115" t="str">
        <x:v>À équilibrer</x:v>
      </x:c>
      <x:c r="J3449" s="115" t="str">
        <x:v>Non</x:v>
      </x:c>
      <x:c r="K3449" s="115" t="str">
        <x:v>Pièces décrites, murs, portes, niveaux et mobilier inspectables à l’échelle. Volumes réservés, raccord au seed, butin, rencontres et services de campagne restent à terminer.</x:v>
      </x:c>
    </x:row>
    <x:row r="3450" ht="96" customHeight="1">
      <x:c r="A3450" s="115" t="str">
        <x:v>EXT-MONDE-T069-V45</x:v>
      </x:c>
      <x:c r="B3450" s="115" t="str">
        <x:v>EXT-MONDE-T069</x:v>
      </x:c>
      <x:c r="C3450" s="115" t="str">
        <x:v>Aéroports</x:v>
      </x:c>
      <x:c r="D3450" s="115" t="str">
        <x:v>Aérodrome régional</x:v>
      </x:c>
      <x:c r="E3450" s="115" t="n">
        <x:v>45</x:v>
      </x:c>
      <x:c r="F3450" s="115" t="str">
        <x:v>Inspection physique</x:v>
      </x:c>
      <x:c r="G3450" s="115" t="str">
        <x:v>1 niveaux ; 36 pièces ; 265 segments de mur ; 0 transitions. Inspection physique ; architecture complète encore ouverte.</x:v>
      </x:c>
      <x:c r="H3450" s="115" t="str">
        <x:v>L 1100 ; l 2000 ; hauteur 26 m ; choix de composition auteur ; dimensions réelles à documenter</x:v>
      </x:c>
      <x:c r="I3450" s="115" t="str">
        <x:v>À équilibrer</x:v>
      </x:c>
      <x:c r="J3450" s="115" t="str">
        <x:v>Non</x:v>
      </x:c>
      <x:c r="K3450" s="115" t="str">
        <x:v>Pièces décrites, murs, portes, niveaux et mobilier inspectables à l’échelle. Volumes réservés, raccord au seed, butin, rencontres et services de campagne restent à terminer.</x:v>
      </x:c>
    </x:row>
    <x:row r="3451" ht="96" customHeight="1">
      <x:c r="A3451" s="115" t="str">
        <x:v>EXT-MONDE-T069-V46</x:v>
      </x:c>
      <x:c r="B3451" s="115" t="str">
        <x:v>EXT-MONDE-T069</x:v>
      </x:c>
      <x:c r="C3451" s="115" t="str">
        <x:v>Aéroports</x:v>
      </x:c>
      <x:c r="D3451" s="115" t="str">
        <x:v>Aérodrome régional</x:v>
      </x:c>
      <x:c r="E3451" s="115" t="n">
        <x:v>46</x:v>
      </x:c>
      <x:c r="F3451" s="115" t="str">
        <x:v>Inspection physique</x:v>
      </x:c>
      <x:c r="G3451" s="115" t="str">
        <x:v>1 niveaux ; 36 pièces ; 265 segments de mur ; 0 transitions. Inspection physique ; architecture complète encore ouverte.</x:v>
      </x:c>
      <x:c r="H3451" s="115" t="str">
        <x:v>L 1100 ; l 2000 ; hauteur 26 m ; choix de composition auteur ; dimensions réelles à documenter</x:v>
      </x:c>
      <x:c r="I3451" s="115" t="str">
        <x:v>À équilibrer</x:v>
      </x:c>
      <x:c r="J3451" s="115" t="str">
        <x:v>Non</x:v>
      </x:c>
      <x:c r="K3451" s="115" t="str">
        <x:v>Pièces décrites, murs, portes, niveaux et mobilier inspectables à l’échelle. Volumes réservés, raccord au seed, butin, rencontres et services de campagne restent à terminer.</x:v>
      </x:c>
    </x:row>
    <x:row r="3452" ht="96" customHeight="1">
      <x:c r="A3452" s="115" t="str">
        <x:v>EXT-MONDE-T069-V47</x:v>
      </x:c>
      <x:c r="B3452" s="115" t="str">
        <x:v>EXT-MONDE-T069</x:v>
      </x:c>
      <x:c r="C3452" s="115" t="str">
        <x:v>Aéroports</x:v>
      </x:c>
      <x:c r="D3452" s="115" t="str">
        <x:v>Aérodrome régional</x:v>
      </x:c>
      <x:c r="E3452" s="115" t="n">
        <x:v>47</x:v>
      </x:c>
      <x:c r="F3452" s="115" t="str">
        <x:v>Inspection physique</x:v>
      </x:c>
      <x:c r="G3452" s="115" t="str">
        <x:v>1 niveaux ; 36 pièces ; 265 segments de mur ; 0 transitions. Inspection physique ; architecture complète encore ouverte.</x:v>
      </x:c>
      <x:c r="H3452" s="115" t="str">
        <x:v>L 1100 ; l 2000 ; hauteur 26 m ; choix de composition auteur ; dimensions réelles à documenter</x:v>
      </x:c>
      <x:c r="I3452" s="115" t="str">
        <x:v>À équilibrer</x:v>
      </x:c>
      <x:c r="J3452" s="115" t="str">
        <x:v>Non</x:v>
      </x:c>
      <x:c r="K3452" s="115" t="str">
        <x:v>Pièces décrites, murs, portes, niveaux et mobilier inspectables à l’échelle. Volumes réservés, raccord au seed, butin, rencontres et services de campagne restent à terminer.</x:v>
      </x:c>
    </x:row>
    <x:row r="3453" ht="96" customHeight="1">
      <x:c r="A3453" s="115" t="str">
        <x:v>EXT-MONDE-T069-V48</x:v>
      </x:c>
      <x:c r="B3453" s="115" t="str">
        <x:v>EXT-MONDE-T069</x:v>
      </x:c>
      <x:c r="C3453" s="115" t="str">
        <x:v>Aéroports</x:v>
      </x:c>
      <x:c r="D3453" s="115" t="str">
        <x:v>Aérodrome régional</x:v>
      </x:c>
      <x:c r="E3453" s="115" t="n">
        <x:v>48</x:v>
      </x:c>
      <x:c r="F3453" s="115" t="str">
        <x:v>Inspection physique</x:v>
      </x:c>
      <x:c r="G3453" s="115" t="str">
        <x:v>1 niveaux ; 36 pièces ; 265 segments de mur ; 0 transitions. Inspection physique ; architecture complète encore ouverte.</x:v>
      </x:c>
      <x:c r="H3453" s="115" t="str">
        <x:v>L 1100 ; l 2000 ; hauteur 26 m ; choix de composition auteur ; dimensions réelles à documenter</x:v>
      </x:c>
      <x:c r="I3453" s="115" t="str">
        <x:v>À équilibrer</x:v>
      </x:c>
      <x:c r="J3453" s="115" t="str">
        <x:v>Non</x:v>
      </x:c>
      <x:c r="K3453" s="115" t="str">
        <x:v>Pièces décrites, murs, portes, niveaux et mobilier inspectables à l’échelle. Volumes réservés, raccord au seed, butin, rencontres et services de campagne restent à terminer.</x:v>
      </x:c>
    </x:row>
    <x:row r="3454" ht="96" customHeight="1">
      <x:c r="A3454" s="115" t="str">
        <x:v>EXT-MONDE-T069-V49</x:v>
      </x:c>
      <x:c r="B3454" s="115" t="str">
        <x:v>EXT-MONDE-T069</x:v>
      </x:c>
      <x:c r="C3454" s="115" t="str">
        <x:v>Aéroports</x:v>
      </x:c>
      <x:c r="D3454" s="115" t="str">
        <x:v>Aérodrome régional</x:v>
      </x:c>
      <x:c r="E3454" s="115" t="n">
        <x:v>49</x:v>
      </x:c>
      <x:c r="F3454" s="115" t="str">
        <x:v>Inspection physique</x:v>
      </x:c>
      <x:c r="G3454" s="115" t="str">
        <x:v>1 niveaux ; 36 pièces ; 265 segments de mur ; 0 transitions. Inspection physique ; architecture complète encore ouverte.</x:v>
      </x:c>
      <x:c r="H3454" s="115" t="str">
        <x:v>L 1100 ; l 2000 ; hauteur 26 m ; choix de composition auteur ; dimensions réelles à documenter</x:v>
      </x:c>
      <x:c r="I3454" s="115" t="str">
        <x:v>À équilibrer</x:v>
      </x:c>
      <x:c r="J3454" s="115" t="str">
        <x:v>Non</x:v>
      </x:c>
      <x:c r="K3454" s="115" t="str">
        <x:v>Pièces décrites, murs, portes, niveaux et mobilier inspectables à l’échelle. Volumes réservés, raccord au seed, butin, rencontres et services de campagne restent à terminer.</x:v>
      </x:c>
    </x:row>
    <x:row r="3455" ht="96" customHeight="1">
      <x:c r="A3455" s="115" t="str">
        <x:v>EXT-MONDE-T069-V50</x:v>
      </x:c>
      <x:c r="B3455" s="115" t="str">
        <x:v>EXT-MONDE-T069</x:v>
      </x:c>
      <x:c r="C3455" s="115" t="str">
        <x:v>Aéroports</x:v>
      </x:c>
      <x:c r="D3455" s="115" t="str">
        <x:v>Aérodrome régional</x:v>
      </x:c>
      <x:c r="E3455" s="115" t="n">
        <x:v>50</x:v>
      </x:c>
      <x:c r="F3455" s="115" t="str">
        <x:v>Inspection physique</x:v>
      </x:c>
      <x:c r="G3455" s="115" t="str">
        <x:v>1 niveaux ; 36 pièces ; 265 segments de mur ; 0 transitions. Inspection physique ; architecture complète encore ouverte.</x:v>
      </x:c>
      <x:c r="H3455" s="115" t="str">
        <x:v>L 1100 ; l 2000 ; hauteur 26 m ; choix de composition auteur ; dimensions réelles à documenter</x:v>
      </x:c>
      <x:c r="I3455" s="115" t="str">
        <x:v>À équilibrer</x:v>
      </x:c>
      <x:c r="J3455" s="115" t="str">
        <x:v>Non</x:v>
      </x:c>
      <x:c r="K3455" s="115" t="str">
        <x:v>Pièces décrites, murs, portes, niveaux et mobilier inspectables à l’échelle. Volumes réservés, raccord au seed, butin, rencontres et services de campagne restent à terminer.</x:v>
      </x:c>
    </x:row>
    <x:row r="3456" ht="96" customHeight="1">
      <x:c r="A3456" s="115" t="str">
        <x:v>EXT-MONDE-T070-V01</x:v>
      </x:c>
      <x:c r="B3456" s="115" t="str">
        <x:v>EXT-MONDE-T070</x:v>
      </x:c>
      <x:c r="C3456" s="115" t="str">
        <x:v>Aéroports</x:v>
      </x:c>
      <x:c r="D3456" s="115" t="str">
        <x:v>Aéroport international</x:v>
      </x:c>
      <x:c r="E3456" s="115" t="n">
        <x:v>1</x:v>
      </x:c>
      <x:c r="F3456" s="115" t="str">
        <x:v>Inspection physique</x:v>
      </x:c>
      <x:c r="G3456" s="115" t="str">
        <x:v>1 niveaux ; 36 pièces ; 265 segments de mur ; 0 transitions. Inspection physique ; architecture complète encore ouverte.</x:v>
      </x:c>
      <x:c r="H3456" s="115" t="str">
        <x:v>L 1460 ; l 3000 ; hauteur 36 m ; choix de composition auteur ; dimensions réelles à documenter</x:v>
      </x:c>
      <x:c r="I3456" s="115" t="str">
        <x:v>À équilibrer</x:v>
      </x:c>
      <x:c r="J3456" s="115" t="str">
        <x:v>Non</x:v>
      </x:c>
      <x:c r="K3456" s="115" t="str">
        <x:v>Pièces décrites, murs, portes, niveaux et mobilier inspectables à l’échelle. Volumes réservés, raccord au seed, butin, rencontres et services de campagne restent à terminer.</x:v>
      </x:c>
    </x:row>
    <x:row r="3457" ht="96" customHeight="1">
      <x:c r="A3457" s="115" t="str">
        <x:v>EXT-MONDE-T070-V02</x:v>
      </x:c>
      <x:c r="B3457" s="115" t="str">
        <x:v>EXT-MONDE-T070</x:v>
      </x:c>
      <x:c r="C3457" s="115" t="str">
        <x:v>Aéroports</x:v>
      </x:c>
      <x:c r="D3457" s="115" t="str">
        <x:v>Aéroport international</x:v>
      </x:c>
      <x:c r="E3457" s="115" t="n">
        <x:v>2</x:v>
      </x:c>
      <x:c r="F3457" s="115" t="str">
        <x:v>Inspection physique</x:v>
      </x:c>
      <x:c r="G3457" s="115" t="str">
        <x:v>1 niveaux ; 36 pièces ; 265 segments de mur ; 0 transitions. Inspection physique ; architecture complète encore ouverte.</x:v>
      </x:c>
      <x:c r="H3457" s="115" t="str">
        <x:v>L 1460 ; l 3000 ; hauteur 36 m ; choix de composition auteur ; dimensions réelles à documenter</x:v>
      </x:c>
      <x:c r="I3457" s="115" t="str">
        <x:v>À équilibrer</x:v>
      </x:c>
      <x:c r="J3457" s="115" t="str">
        <x:v>Non</x:v>
      </x:c>
      <x:c r="K3457" s="115" t="str">
        <x:v>Pièces décrites, murs, portes, niveaux et mobilier inspectables à l’échelle. Volumes réservés, raccord au seed, butin, rencontres et services de campagne restent à terminer.</x:v>
      </x:c>
    </x:row>
    <x:row r="3458" ht="96" customHeight="1">
      <x:c r="A3458" s="115" t="str">
        <x:v>EXT-MONDE-T070-V03</x:v>
      </x:c>
      <x:c r="B3458" s="115" t="str">
        <x:v>EXT-MONDE-T070</x:v>
      </x:c>
      <x:c r="C3458" s="115" t="str">
        <x:v>Aéroports</x:v>
      </x:c>
      <x:c r="D3458" s="115" t="str">
        <x:v>Aéroport international</x:v>
      </x:c>
      <x:c r="E3458" s="115" t="n">
        <x:v>3</x:v>
      </x:c>
      <x:c r="F3458" s="115" t="str">
        <x:v>Inspection physique</x:v>
      </x:c>
      <x:c r="G3458" s="115" t="str">
        <x:v>1 niveaux ; 36 pièces ; 265 segments de mur ; 0 transitions. Inspection physique ; architecture complète encore ouverte.</x:v>
      </x:c>
      <x:c r="H3458" s="115" t="str">
        <x:v>L 1460 ; l 3000 ; hauteur 36 m ; choix de composition auteur ; dimensions réelles à documenter</x:v>
      </x:c>
      <x:c r="I3458" s="115" t="str">
        <x:v>À équilibrer</x:v>
      </x:c>
      <x:c r="J3458" s="115" t="str">
        <x:v>Non</x:v>
      </x:c>
      <x:c r="K3458" s="115" t="str">
        <x:v>Pièces décrites, murs, portes, niveaux et mobilier inspectables à l’échelle. Volumes réservés, raccord au seed, butin, rencontres et services de campagne restent à terminer.</x:v>
      </x:c>
    </x:row>
    <x:row r="3459" ht="96" customHeight="1">
      <x:c r="A3459" s="115" t="str">
        <x:v>EXT-MONDE-T070-V04</x:v>
      </x:c>
      <x:c r="B3459" s="115" t="str">
        <x:v>EXT-MONDE-T070</x:v>
      </x:c>
      <x:c r="C3459" s="115" t="str">
        <x:v>Aéroports</x:v>
      </x:c>
      <x:c r="D3459" s="115" t="str">
        <x:v>Aéroport international</x:v>
      </x:c>
      <x:c r="E3459" s="115" t="n">
        <x:v>4</x:v>
      </x:c>
      <x:c r="F3459" s="115" t="str">
        <x:v>Inspection physique</x:v>
      </x:c>
      <x:c r="G3459" s="115" t="str">
        <x:v>1 niveaux ; 36 pièces ; 265 segments de mur ; 0 transitions. Inspection physique ; architecture complète encore ouverte.</x:v>
      </x:c>
      <x:c r="H3459" s="115" t="str">
        <x:v>L 1460 ; l 3000 ; hauteur 36 m ; choix de composition auteur ; dimensions réelles à documenter</x:v>
      </x:c>
      <x:c r="I3459" s="115" t="str">
        <x:v>À équilibrer</x:v>
      </x:c>
      <x:c r="J3459" s="115" t="str">
        <x:v>Non</x:v>
      </x:c>
      <x:c r="K3459" s="115" t="str">
        <x:v>Pièces décrites, murs, portes, niveaux et mobilier inspectables à l’échelle. Volumes réservés, raccord au seed, butin, rencontres et services de campagne restent à terminer.</x:v>
      </x:c>
    </x:row>
    <x:row r="3460" ht="96" customHeight="1">
      <x:c r="A3460" s="115" t="str">
        <x:v>EXT-MONDE-T070-V05</x:v>
      </x:c>
      <x:c r="B3460" s="115" t="str">
        <x:v>EXT-MONDE-T070</x:v>
      </x:c>
      <x:c r="C3460" s="115" t="str">
        <x:v>Aéroports</x:v>
      </x:c>
      <x:c r="D3460" s="115" t="str">
        <x:v>Aéroport international</x:v>
      </x:c>
      <x:c r="E3460" s="115" t="n">
        <x:v>5</x:v>
      </x:c>
      <x:c r="F3460" s="115" t="str">
        <x:v>Inspection physique</x:v>
      </x:c>
      <x:c r="G3460" s="115" t="str">
        <x:v>1 niveaux ; 36 pièces ; 265 segments de mur ; 0 transitions. Inspection physique ; architecture complète encore ouverte.</x:v>
      </x:c>
      <x:c r="H3460" s="115" t="str">
        <x:v>L 1460 ; l 3000 ; hauteur 36 m ; choix de composition auteur ; dimensions réelles à documenter</x:v>
      </x:c>
      <x:c r="I3460" s="115" t="str">
        <x:v>À équilibrer</x:v>
      </x:c>
      <x:c r="J3460" s="115" t="str">
        <x:v>Non</x:v>
      </x:c>
      <x:c r="K3460" s="115" t="str">
        <x:v>Pièces décrites, murs, portes, niveaux et mobilier inspectables à l’échelle. Volumes réservés, raccord au seed, butin, rencontres et services de campagne restent à terminer.</x:v>
      </x:c>
    </x:row>
    <x:row r="3461" ht="96" customHeight="1">
      <x:c r="A3461" s="115" t="str">
        <x:v>EXT-MONDE-T070-V06</x:v>
      </x:c>
      <x:c r="B3461" s="115" t="str">
        <x:v>EXT-MONDE-T070</x:v>
      </x:c>
      <x:c r="C3461" s="115" t="str">
        <x:v>Aéroports</x:v>
      </x:c>
      <x:c r="D3461" s="115" t="str">
        <x:v>Aéroport international</x:v>
      </x:c>
      <x:c r="E3461" s="115" t="n">
        <x:v>6</x:v>
      </x:c>
      <x:c r="F3461" s="115" t="str">
        <x:v>Inspection physique</x:v>
      </x:c>
      <x:c r="G3461" s="115" t="str">
        <x:v>1 niveaux ; 36 pièces ; 265 segments de mur ; 0 transitions. Inspection physique ; architecture complète encore ouverte.</x:v>
      </x:c>
      <x:c r="H3461" s="115" t="str">
        <x:v>L 1460 ; l 3000 ; hauteur 36 m ; choix de composition auteur ; dimensions réelles à documenter</x:v>
      </x:c>
      <x:c r="I3461" s="115" t="str">
        <x:v>À équilibrer</x:v>
      </x:c>
      <x:c r="J3461" s="115" t="str">
        <x:v>Non</x:v>
      </x:c>
      <x:c r="K3461" s="115" t="str">
        <x:v>Pièces décrites, murs, portes, niveaux et mobilier inspectables à l’échelle. Volumes réservés, raccord au seed, butin, rencontres et services de campagne restent à terminer.</x:v>
      </x:c>
    </x:row>
    <x:row r="3462" ht="96" customHeight="1">
      <x:c r="A3462" s="115" t="str">
        <x:v>EXT-MONDE-T070-V07</x:v>
      </x:c>
      <x:c r="B3462" s="115" t="str">
        <x:v>EXT-MONDE-T070</x:v>
      </x:c>
      <x:c r="C3462" s="115" t="str">
        <x:v>Aéroports</x:v>
      </x:c>
      <x:c r="D3462" s="115" t="str">
        <x:v>Aéroport international</x:v>
      </x:c>
      <x:c r="E3462" s="115" t="n">
        <x:v>7</x:v>
      </x:c>
      <x:c r="F3462" s="115" t="str">
        <x:v>Inspection physique</x:v>
      </x:c>
      <x:c r="G3462" s="115" t="str">
        <x:v>1 niveaux ; 36 pièces ; 265 segments de mur ; 0 transitions. Inspection physique ; architecture complète encore ouverte.</x:v>
      </x:c>
      <x:c r="H3462" s="115" t="str">
        <x:v>L 1460 ; l 3000 ; hauteur 36 m ; choix de composition auteur ; dimensions réelles à documenter</x:v>
      </x:c>
      <x:c r="I3462" s="115" t="str">
        <x:v>À équilibrer</x:v>
      </x:c>
      <x:c r="J3462" s="115" t="str">
        <x:v>Non</x:v>
      </x:c>
      <x:c r="K3462" s="115" t="str">
        <x:v>Pièces décrites, murs, portes, niveaux et mobilier inspectables à l’échelle. Volumes réservés, raccord au seed, butin, rencontres et services de campagne restent à terminer.</x:v>
      </x:c>
    </x:row>
    <x:row r="3463" ht="96" customHeight="1">
      <x:c r="A3463" s="115" t="str">
        <x:v>EXT-MONDE-T070-V08</x:v>
      </x:c>
      <x:c r="B3463" s="115" t="str">
        <x:v>EXT-MONDE-T070</x:v>
      </x:c>
      <x:c r="C3463" s="115" t="str">
        <x:v>Aéroports</x:v>
      </x:c>
      <x:c r="D3463" s="115" t="str">
        <x:v>Aéroport international</x:v>
      </x:c>
      <x:c r="E3463" s="115" t="n">
        <x:v>8</x:v>
      </x:c>
      <x:c r="F3463" s="115" t="str">
        <x:v>Inspection physique</x:v>
      </x:c>
      <x:c r="G3463" s="115" t="str">
        <x:v>1 niveaux ; 36 pièces ; 265 segments de mur ; 0 transitions. Inspection physique ; architecture complète encore ouverte.</x:v>
      </x:c>
      <x:c r="H3463" s="115" t="str">
        <x:v>L 1460 ; l 3000 ; hauteur 36 m ; choix de composition auteur ; dimensions réelles à documenter</x:v>
      </x:c>
      <x:c r="I3463" s="115" t="str">
        <x:v>À équilibrer</x:v>
      </x:c>
      <x:c r="J3463" s="115" t="str">
        <x:v>Non</x:v>
      </x:c>
      <x:c r="K3463" s="115" t="str">
        <x:v>Pièces décrites, murs, portes, niveaux et mobilier inspectables à l’échelle. Volumes réservés, raccord au seed, butin, rencontres et services de campagne restent à terminer.</x:v>
      </x:c>
    </x:row>
    <x:row r="3464" ht="96" customHeight="1">
      <x:c r="A3464" s="115" t="str">
        <x:v>EXT-MONDE-T070-V09</x:v>
      </x:c>
      <x:c r="B3464" s="115" t="str">
        <x:v>EXT-MONDE-T070</x:v>
      </x:c>
      <x:c r="C3464" s="115" t="str">
        <x:v>Aéroports</x:v>
      </x:c>
      <x:c r="D3464" s="115" t="str">
        <x:v>Aéroport international</x:v>
      </x:c>
      <x:c r="E3464" s="115" t="n">
        <x:v>9</x:v>
      </x:c>
      <x:c r="F3464" s="115" t="str">
        <x:v>Inspection physique</x:v>
      </x:c>
      <x:c r="G3464" s="115" t="str">
        <x:v>1 niveaux ; 36 pièces ; 265 segments de mur ; 0 transitions. Inspection physique ; architecture complète encore ouverte.</x:v>
      </x:c>
      <x:c r="H3464" s="115" t="str">
        <x:v>L 1460 ; l 3000 ; hauteur 36 m ; choix de composition auteur ; dimensions réelles à documenter</x:v>
      </x:c>
      <x:c r="I3464" s="115" t="str">
        <x:v>À équilibrer</x:v>
      </x:c>
      <x:c r="J3464" s="115" t="str">
        <x:v>Non</x:v>
      </x:c>
      <x:c r="K3464" s="115" t="str">
        <x:v>Pièces décrites, murs, portes, niveaux et mobilier inspectables à l’échelle. Volumes réservés, raccord au seed, butin, rencontres et services de campagne restent à terminer.</x:v>
      </x:c>
    </x:row>
    <x:row r="3465" ht="96" customHeight="1">
      <x:c r="A3465" s="115" t="str">
        <x:v>EXT-MONDE-T070-V10</x:v>
      </x:c>
      <x:c r="B3465" s="115" t="str">
        <x:v>EXT-MONDE-T070</x:v>
      </x:c>
      <x:c r="C3465" s="115" t="str">
        <x:v>Aéroports</x:v>
      </x:c>
      <x:c r="D3465" s="115" t="str">
        <x:v>Aéroport international</x:v>
      </x:c>
      <x:c r="E3465" s="115" t="n">
        <x:v>10</x:v>
      </x:c>
      <x:c r="F3465" s="115" t="str">
        <x:v>Inspection physique</x:v>
      </x:c>
      <x:c r="G3465" s="115" t="str">
        <x:v>1 niveaux ; 36 pièces ; 265 segments de mur ; 0 transitions. Inspection physique ; architecture complète encore ouverte.</x:v>
      </x:c>
      <x:c r="H3465" s="115" t="str">
        <x:v>L 1460 ; l 3000 ; hauteur 36 m ; choix de composition auteur ; dimensions réelles à documenter</x:v>
      </x:c>
      <x:c r="I3465" s="115" t="str">
        <x:v>À équilibrer</x:v>
      </x:c>
      <x:c r="J3465" s="115" t="str">
        <x:v>Non</x:v>
      </x:c>
      <x:c r="K3465" s="115" t="str">
        <x:v>Pièces décrites, murs, portes, niveaux et mobilier inspectables à l’échelle. Volumes réservés, raccord au seed, butin, rencontres et services de campagne restent à terminer.</x:v>
      </x:c>
    </x:row>
    <x:row r="3466" ht="96" customHeight="1">
      <x:c r="A3466" s="115" t="str">
        <x:v>EXT-MONDE-T070-V11</x:v>
      </x:c>
      <x:c r="B3466" s="115" t="str">
        <x:v>EXT-MONDE-T070</x:v>
      </x:c>
      <x:c r="C3466" s="115" t="str">
        <x:v>Aéroports</x:v>
      </x:c>
      <x:c r="D3466" s="115" t="str">
        <x:v>Aéroport international</x:v>
      </x:c>
      <x:c r="E3466" s="115" t="n">
        <x:v>11</x:v>
      </x:c>
      <x:c r="F3466" s="115" t="str">
        <x:v>Inspection physique</x:v>
      </x:c>
      <x:c r="G3466" s="115" t="str">
        <x:v>1 niveaux ; 36 pièces ; 265 segments de mur ; 0 transitions. Inspection physique ; architecture complète encore ouverte.</x:v>
      </x:c>
      <x:c r="H3466" s="115" t="str">
        <x:v>L 1460 ; l 3200 ; hauteur 38 m ; choix de composition auteur ; dimensions réelles à documenter</x:v>
      </x:c>
      <x:c r="I3466" s="115" t="str">
        <x:v>À équilibrer</x:v>
      </x:c>
      <x:c r="J3466" s="115" t="str">
        <x:v>Non</x:v>
      </x:c>
      <x:c r="K3466" s="115" t="str">
        <x:v>Pièces décrites, murs, portes, niveaux et mobilier inspectables à l’échelle. Volumes réservés, raccord au seed, butin, rencontres et services de campagne restent à terminer.</x:v>
      </x:c>
    </x:row>
    <x:row r="3467" ht="96" customHeight="1">
      <x:c r="A3467" s="115" t="str">
        <x:v>EXT-MONDE-T070-V12</x:v>
      </x:c>
      <x:c r="B3467" s="115" t="str">
        <x:v>EXT-MONDE-T070</x:v>
      </x:c>
      <x:c r="C3467" s="115" t="str">
        <x:v>Aéroports</x:v>
      </x:c>
      <x:c r="D3467" s="115" t="str">
        <x:v>Aéroport international</x:v>
      </x:c>
      <x:c r="E3467" s="115" t="n">
        <x:v>12</x:v>
      </x:c>
      <x:c r="F3467" s="115" t="str">
        <x:v>Inspection physique</x:v>
      </x:c>
      <x:c r="G3467" s="115" t="str">
        <x:v>1 niveaux ; 36 pièces ; 265 segments de mur ; 0 transitions. Inspection physique ; architecture complète encore ouverte.</x:v>
      </x:c>
      <x:c r="H3467" s="115" t="str">
        <x:v>L 1460 ; l 3200 ; hauteur 38 m ; choix de composition auteur ; dimensions réelles à documenter</x:v>
      </x:c>
      <x:c r="I3467" s="115" t="str">
        <x:v>À équilibrer</x:v>
      </x:c>
      <x:c r="J3467" s="115" t="str">
        <x:v>Non</x:v>
      </x:c>
      <x:c r="K3467" s="115" t="str">
        <x:v>Pièces décrites, murs, portes, niveaux et mobilier inspectables à l’échelle. Volumes réservés, raccord au seed, butin, rencontres et services de campagne restent à terminer.</x:v>
      </x:c>
    </x:row>
    <x:row r="3468" ht="96" customHeight="1">
      <x:c r="A3468" s="115" t="str">
        <x:v>EXT-MONDE-T070-V13</x:v>
      </x:c>
      <x:c r="B3468" s="115" t="str">
        <x:v>EXT-MONDE-T070</x:v>
      </x:c>
      <x:c r="C3468" s="115" t="str">
        <x:v>Aéroports</x:v>
      </x:c>
      <x:c r="D3468" s="115" t="str">
        <x:v>Aéroport international</x:v>
      </x:c>
      <x:c r="E3468" s="115" t="n">
        <x:v>13</x:v>
      </x:c>
      <x:c r="F3468" s="115" t="str">
        <x:v>Inspection physique</x:v>
      </x:c>
      <x:c r="G3468" s="115" t="str">
        <x:v>1 niveaux ; 36 pièces ; 265 segments de mur ; 0 transitions. Inspection physique ; architecture complète encore ouverte.</x:v>
      </x:c>
      <x:c r="H3468" s="115" t="str">
        <x:v>L 1460 ; l 3200 ; hauteur 38 m ; choix de composition auteur ; dimensions réelles à documenter</x:v>
      </x:c>
      <x:c r="I3468" s="115" t="str">
        <x:v>À équilibrer</x:v>
      </x:c>
      <x:c r="J3468" s="115" t="str">
        <x:v>Non</x:v>
      </x:c>
      <x:c r="K3468" s="115" t="str">
        <x:v>Pièces décrites, murs, portes, niveaux et mobilier inspectables à l’échelle. Volumes réservés, raccord au seed, butin, rencontres et services de campagne restent à terminer.</x:v>
      </x:c>
    </x:row>
    <x:row r="3469" ht="96" customHeight="1">
      <x:c r="A3469" s="115" t="str">
        <x:v>EXT-MONDE-T070-V14</x:v>
      </x:c>
      <x:c r="B3469" s="115" t="str">
        <x:v>EXT-MONDE-T070</x:v>
      </x:c>
      <x:c r="C3469" s="115" t="str">
        <x:v>Aéroports</x:v>
      </x:c>
      <x:c r="D3469" s="115" t="str">
        <x:v>Aéroport international</x:v>
      </x:c>
      <x:c r="E3469" s="115" t="n">
        <x:v>14</x:v>
      </x:c>
      <x:c r="F3469" s="115" t="str">
        <x:v>Inspection physique</x:v>
      </x:c>
      <x:c r="G3469" s="115" t="str">
        <x:v>1 niveaux ; 36 pièces ; 265 segments de mur ; 0 transitions. Inspection physique ; architecture complète encore ouverte.</x:v>
      </x:c>
      <x:c r="H3469" s="115" t="str">
        <x:v>L 1460 ; l 3200 ; hauteur 38 m ; choix de composition auteur ; dimensions réelles à documenter</x:v>
      </x:c>
      <x:c r="I3469" s="115" t="str">
        <x:v>À équilibrer</x:v>
      </x:c>
      <x:c r="J3469" s="115" t="str">
        <x:v>Non</x:v>
      </x:c>
      <x:c r="K3469" s="115" t="str">
        <x:v>Pièces décrites, murs, portes, niveaux et mobilier inspectables à l’échelle. Volumes réservés, raccord au seed, butin, rencontres et services de campagne restent à terminer.</x:v>
      </x:c>
    </x:row>
    <x:row r="3470" ht="96" customHeight="1">
      <x:c r="A3470" s="115" t="str">
        <x:v>EXT-MONDE-T070-V15</x:v>
      </x:c>
      <x:c r="B3470" s="115" t="str">
        <x:v>EXT-MONDE-T070</x:v>
      </x:c>
      <x:c r="C3470" s="115" t="str">
        <x:v>Aéroports</x:v>
      </x:c>
      <x:c r="D3470" s="115" t="str">
        <x:v>Aéroport international</x:v>
      </x:c>
      <x:c r="E3470" s="115" t="n">
        <x:v>15</x:v>
      </x:c>
      <x:c r="F3470" s="115" t="str">
        <x:v>Inspection physique</x:v>
      </x:c>
      <x:c r="G3470" s="115" t="str">
        <x:v>1 niveaux ; 36 pièces ; 265 segments de mur ; 0 transitions. Inspection physique ; architecture complète encore ouverte.</x:v>
      </x:c>
      <x:c r="H3470" s="115" t="str">
        <x:v>L 1460 ; l 3200 ; hauteur 38 m ; choix de composition auteur ; dimensions réelles à documenter</x:v>
      </x:c>
      <x:c r="I3470" s="115" t="str">
        <x:v>À équilibrer</x:v>
      </x:c>
      <x:c r="J3470" s="115" t="str">
        <x:v>Non</x:v>
      </x:c>
      <x:c r="K3470" s="115" t="str">
        <x:v>Pièces décrites, murs, portes, niveaux et mobilier inspectables à l’échelle. Volumes réservés, raccord au seed, butin, rencontres et services de campagne restent à terminer.</x:v>
      </x:c>
    </x:row>
    <x:row r="3471" ht="96" customHeight="1">
      <x:c r="A3471" s="115" t="str">
        <x:v>EXT-MONDE-T070-V16</x:v>
      </x:c>
      <x:c r="B3471" s="115" t="str">
        <x:v>EXT-MONDE-T070</x:v>
      </x:c>
      <x:c r="C3471" s="115" t="str">
        <x:v>Aéroports</x:v>
      </x:c>
      <x:c r="D3471" s="115" t="str">
        <x:v>Aéroport international</x:v>
      </x:c>
      <x:c r="E3471" s="115" t="n">
        <x:v>16</x:v>
      </x:c>
      <x:c r="F3471" s="115" t="str">
        <x:v>Inspection physique</x:v>
      </x:c>
      <x:c r="G3471" s="115" t="str">
        <x:v>1 niveaux ; 36 pièces ; 265 segments de mur ; 0 transitions. Inspection physique ; architecture complète encore ouverte.</x:v>
      </x:c>
      <x:c r="H3471" s="115" t="str">
        <x:v>L 1460 ; l 3200 ; hauteur 38 m ; choix de composition auteur ; dimensions réelles à documenter</x:v>
      </x:c>
      <x:c r="I3471" s="115" t="str">
        <x:v>À équilibrer</x:v>
      </x:c>
      <x:c r="J3471" s="115" t="str">
        <x:v>Non</x:v>
      </x:c>
      <x:c r="K3471" s="115" t="str">
        <x:v>Pièces décrites, murs, portes, niveaux et mobilier inspectables à l’échelle. Volumes réservés, raccord au seed, butin, rencontres et services de campagne restent à terminer.</x:v>
      </x:c>
    </x:row>
    <x:row r="3472" ht="96" customHeight="1">
      <x:c r="A3472" s="115" t="str">
        <x:v>EXT-MONDE-T070-V17</x:v>
      </x:c>
      <x:c r="B3472" s="115" t="str">
        <x:v>EXT-MONDE-T070</x:v>
      </x:c>
      <x:c r="C3472" s="115" t="str">
        <x:v>Aéroports</x:v>
      </x:c>
      <x:c r="D3472" s="115" t="str">
        <x:v>Aéroport international</x:v>
      </x:c>
      <x:c r="E3472" s="115" t="n">
        <x:v>17</x:v>
      </x:c>
      <x:c r="F3472" s="115" t="str">
        <x:v>Inspection physique</x:v>
      </x:c>
      <x:c r="G3472" s="115" t="str">
        <x:v>1 niveaux ; 36 pièces ; 265 segments de mur ; 0 transitions. Inspection physique ; architecture complète encore ouverte.</x:v>
      </x:c>
      <x:c r="H3472" s="115" t="str">
        <x:v>L 1460 ; l 3200 ; hauteur 38 m ; choix de composition auteur ; dimensions réelles à documenter</x:v>
      </x:c>
      <x:c r="I3472" s="115" t="str">
        <x:v>À équilibrer</x:v>
      </x:c>
      <x:c r="J3472" s="115" t="str">
        <x:v>Non</x:v>
      </x:c>
      <x:c r="K3472" s="115" t="str">
        <x:v>Pièces décrites, murs, portes, niveaux et mobilier inspectables à l’échelle. Volumes réservés, raccord au seed, butin, rencontres et services de campagne restent à terminer.</x:v>
      </x:c>
    </x:row>
    <x:row r="3473" ht="96" customHeight="1">
      <x:c r="A3473" s="115" t="str">
        <x:v>EXT-MONDE-T070-V18</x:v>
      </x:c>
      <x:c r="B3473" s="115" t="str">
        <x:v>EXT-MONDE-T070</x:v>
      </x:c>
      <x:c r="C3473" s="115" t="str">
        <x:v>Aéroports</x:v>
      </x:c>
      <x:c r="D3473" s="115" t="str">
        <x:v>Aéroport international</x:v>
      </x:c>
      <x:c r="E3473" s="115" t="n">
        <x:v>18</x:v>
      </x:c>
      <x:c r="F3473" s="115" t="str">
        <x:v>Inspection physique</x:v>
      </x:c>
      <x:c r="G3473" s="115" t="str">
        <x:v>1 niveaux ; 36 pièces ; 265 segments de mur ; 0 transitions. Inspection physique ; architecture complète encore ouverte.</x:v>
      </x:c>
      <x:c r="H3473" s="115" t="str">
        <x:v>L 1460 ; l 3200 ; hauteur 38 m ; choix de composition auteur ; dimensions réelles à documenter</x:v>
      </x:c>
      <x:c r="I3473" s="115" t="str">
        <x:v>À équilibrer</x:v>
      </x:c>
      <x:c r="J3473" s="115" t="str">
        <x:v>Non</x:v>
      </x:c>
      <x:c r="K3473" s="115" t="str">
        <x:v>Pièces décrites, murs, portes, niveaux et mobilier inspectables à l’échelle. Volumes réservés, raccord au seed, butin, rencontres et services de campagne restent à terminer.</x:v>
      </x:c>
    </x:row>
    <x:row r="3474" ht="96" customHeight="1">
      <x:c r="A3474" s="115" t="str">
        <x:v>EXT-MONDE-T070-V19</x:v>
      </x:c>
      <x:c r="B3474" s="115" t="str">
        <x:v>EXT-MONDE-T070</x:v>
      </x:c>
      <x:c r="C3474" s="115" t="str">
        <x:v>Aéroports</x:v>
      </x:c>
      <x:c r="D3474" s="115" t="str">
        <x:v>Aéroport international</x:v>
      </x:c>
      <x:c r="E3474" s="115" t="n">
        <x:v>19</x:v>
      </x:c>
      <x:c r="F3474" s="115" t="str">
        <x:v>Inspection physique</x:v>
      </x:c>
      <x:c r="G3474" s="115" t="str">
        <x:v>1 niveaux ; 36 pièces ; 265 segments de mur ; 0 transitions. Inspection physique ; architecture complète encore ouverte.</x:v>
      </x:c>
      <x:c r="H3474" s="115" t="str">
        <x:v>L 1460 ; l 3200 ; hauteur 38 m ; choix de composition auteur ; dimensions réelles à documenter</x:v>
      </x:c>
      <x:c r="I3474" s="115" t="str">
        <x:v>À équilibrer</x:v>
      </x:c>
      <x:c r="J3474" s="115" t="str">
        <x:v>Non</x:v>
      </x:c>
      <x:c r="K3474" s="115" t="str">
        <x:v>Pièces décrites, murs, portes, niveaux et mobilier inspectables à l’échelle. Volumes réservés, raccord au seed, butin, rencontres et services de campagne restent à terminer.</x:v>
      </x:c>
    </x:row>
    <x:row r="3475" ht="96" customHeight="1">
      <x:c r="A3475" s="115" t="str">
        <x:v>EXT-MONDE-T070-V20</x:v>
      </x:c>
      <x:c r="B3475" s="115" t="str">
        <x:v>EXT-MONDE-T070</x:v>
      </x:c>
      <x:c r="C3475" s="115" t="str">
        <x:v>Aéroports</x:v>
      </x:c>
      <x:c r="D3475" s="115" t="str">
        <x:v>Aéroport international</x:v>
      </x:c>
      <x:c r="E3475" s="115" t="n">
        <x:v>20</x:v>
      </x:c>
      <x:c r="F3475" s="115" t="str">
        <x:v>Inspection physique</x:v>
      </x:c>
      <x:c r="G3475" s="115" t="str">
        <x:v>1 niveaux ; 36 pièces ; 265 segments de mur ; 0 transitions. Inspection physique ; architecture complète encore ouverte.</x:v>
      </x:c>
      <x:c r="H3475" s="115" t="str">
        <x:v>L 1460 ; l 3200 ; hauteur 38 m ; choix de composition auteur ; dimensions réelles à documenter</x:v>
      </x:c>
      <x:c r="I3475" s="115" t="str">
        <x:v>À équilibrer</x:v>
      </x:c>
      <x:c r="J3475" s="115" t="str">
        <x:v>Non</x:v>
      </x:c>
      <x:c r="K3475" s="115" t="str">
        <x:v>Pièces décrites, murs, portes, niveaux et mobilier inspectables à l’échelle. Volumes réservés, raccord au seed, butin, rencontres et services de campagne restent à terminer.</x:v>
      </x:c>
    </x:row>
    <x:row r="3476" ht="96" customHeight="1">
      <x:c r="A3476" s="115" t="str">
        <x:v>EXT-MONDE-T070-V21</x:v>
      </x:c>
      <x:c r="B3476" s="115" t="str">
        <x:v>EXT-MONDE-T070</x:v>
      </x:c>
      <x:c r="C3476" s="115" t="str">
        <x:v>Aéroports</x:v>
      </x:c>
      <x:c r="D3476" s="115" t="str">
        <x:v>Aéroport international</x:v>
      </x:c>
      <x:c r="E3476" s="115" t="n">
        <x:v>21</x:v>
      </x:c>
      <x:c r="F3476" s="115" t="str">
        <x:v>Inspection physique</x:v>
      </x:c>
      <x:c r="G3476" s="115" t="str">
        <x:v>1 niveaux ; 36 pièces ; 265 segments de mur ; 0 transitions. Inspection physique ; architecture complète encore ouverte.</x:v>
      </x:c>
      <x:c r="H3476" s="115" t="str">
        <x:v>L 1460 ; l 3400 ; hauteur 40 m ; choix de composition auteur ; dimensions réelles à documenter</x:v>
      </x:c>
      <x:c r="I3476" s="115" t="str">
        <x:v>À équilibrer</x:v>
      </x:c>
      <x:c r="J3476" s="115" t="str">
        <x:v>Non</x:v>
      </x:c>
      <x:c r="K3476" s="115" t="str">
        <x:v>Pièces décrites, murs, portes, niveaux et mobilier inspectables à l’échelle. Volumes réservés, raccord au seed, butin, rencontres et services de campagne restent à terminer.</x:v>
      </x:c>
    </x:row>
    <x:row r="3477" ht="96" customHeight="1">
      <x:c r="A3477" s="115" t="str">
        <x:v>EXT-MONDE-T070-V22</x:v>
      </x:c>
      <x:c r="B3477" s="115" t="str">
        <x:v>EXT-MONDE-T070</x:v>
      </x:c>
      <x:c r="C3477" s="115" t="str">
        <x:v>Aéroports</x:v>
      </x:c>
      <x:c r="D3477" s="115" t="str">
        <x:v>Aéroport international</x:v>
      </x:c>
      <x:c r="E3477" s="115" t="n">
        <x:v>22</x:v>
      </x:c>
      <x:c r="F3477" s="115" t="str">
        <x:v>Inspection physique</x:v>
      </x:c>
      <x:c r="G3477" s="115" t="str">
        <x:v>1 niveaux ; 36 pièces ; 265 segments de mur ; 0 transitions. Inspection physique ; architecture complète encore ouverte.</x:v>
      </x:c>
      <x:c r="H3477" s="115" t="str">
        <x:v>L 1460 ; l 3400 ; hauteur 40 m ; choix de composition auteur ; dimensions réelles à documenter</x:v>
      </x:c>
      <x:c r="I3477" s="115" t="str">
        <x:v>À équilibrer</x:v>
      </x:c>
      <x:c r="J3477" s="115" t="str">
        <x:v>Non</x:v>
      </x:c>
      <x:c r="K3477" s="115" t="str">
        <x:v>Pièces décrites, murs, portes, niveaux et mobilier inspectables à l’échelle. Volumes réservés, raccord au seed, butin, rencontres et services de campagne restent à terminer.</x:v>
      </x:c>
    </x:row>
    <x:row r="3478" ht="96" customHeight="1">
      <x:c r="A3478" s="115" t="str">
        <x:v>EXT-MONDE-T070-V23</x:v>
      </x:c>
      <x:c r="B3478" s="115" t="str">
        <x:v>EXT-MONDE-T070</x:v>
      </x:c>
      <x:c r="C3478" s="115" t="str">
        <x:v>Aéroports</x:v>
      </x:c>
      <x:c r="D3478" s="115" t="str">
        <x:v>Aéroport international</x:v>
      </x:c>
      <x:c r="E3478" s="115" t="n">
        <x:v>23</x:v>
      </x:c>
      <x:c r="F3478" s="115" t="str">
        <x:v>Inspection physique</x:v>
      </x:c>
      <x:c r="G3478" s="115" t="str">
        <x:v>1 niveaux ; 36 pièces ; 265 segments de mur ; 0 transitions. Inspection physique ; architecture complète encore ouverte.</x:v>
      </x:c>
      <x:c r="H3478" s="115" t="str">
        <x:v>L 1460 ; l 3400 ; hauteur 40 m ; choix de composition auteur ; dimensions réelles à documenter</x:v>
      </x:c>
      <x:c r="I3478" s="115" t="str">
        <x:v>À équilibrer</x:v>
      </x:c>
      <x:c r="J3478" s="115" t="str">
        <x:v>Non</x:v>
      </x:c>
      <x:c r="K3478" s="115" t="str">
        <x:v>Pièces décrites, murs, portes, niveaux et mobilier inspectables à l’échelle. Volumes réservés, raccord au seed, butin, rencontres et services de campagne restent à terminer.</x:v>
      </x:c>
    </x:row>
    <x:row r="3479" ht="96" customHeight="1">
      <x:c r="A3479" s="115" t="str">
        <x:v>EXT-MONDE-T070-V24</x:v>
      </x:c>
      <x:c r="B3479" s="115" t="str">
        <x:v>EXT-MONDE-T070</x:v>
      </x:c>
      <x:c r="C3479" s="115" t="str">
        <x:v>Aéroports</x:v>
      </x:c>
      <x:c r="D3479" s="115" t="str">
        <x:v>Aéroport international</x:v>
      </x:c>
      <x:c r="E3479" s="115" t="n">
        <x:v>24</x:v>
      </x:c>
      <x:c r="F3479" s="115" t="str">
        <x:v>Inspection physique</x:v>
      </x:c>
      <x:c r="G3479" s="115" t="str">
        <x:v>1 niveaux ; 36 pièces ; 265 segments de mur ; 0 transitions. Inspection physique ; architecture complète encore ouverte.</x:v>
      </x:c>
      <x:c r="H3479" s="115" t="str">
        <x:v>L 1460 ; l 3400 ; hauteur 40 m ; choix de composition auteur ; dimensions réelles à documenter</x:v>
      </x:c>
      <x:c r="I3479" s="115" t="str">
        <x:v>À équilibrer</x:v>
      </x:c>
      <x:c r="J3479" s="115" t="str">
        <x:v>Non</x:v>
      </x:c>
      <x:c r="K3479" s="115" t="str">
        <x:v>Pièces décrites, murs, portes, niveaux et mobilier inspectables à l’échelle. Volumes réservés, raccord au seed, butin, rencontres et services de campagne restent à terminer.</x:v>
      </x:c>
    </x:row>
    <x:row r="3480" ht="96" customHeight="1">
      <x:c r="A3480" s="115" t="str">
        <x:v>EXT-MONDE-T070-V25</x:v>
      </x:c>
      <x:c r="B3480" s="115" t="str">
        <x:v>EXT-MONDE-T070</x:v>
      </x:c>
      <x:c r="C3480" s="115" t="str">
        <x:v>Aéroports</x:v>
      </x:c>
      <x:c r="D3480" s="115" t="str">
        <x:v>Aéroport international</x:v>
      </x:c>
      <x:c r="E3480" s="115" t="n">
        <x:v>25</x:v>
      </x:c>
      <x:c r="F3480" s="115" t="str">
        <x:v>Inspection physique</x:v>
      </x:c>
      <x:c r="G3480" s="115" t="str">
        <x:v>1 niveaux ; 36 pièces ; 265 segments de mur ; 0 transitions. Inspection physique ; architecture complète encore ouverte.</x:v>
      </x:c>
      <x:c r="H3480" s="115" t="str">
        <x:v>L 1460 ; l 3400 ; hauteur 40 m ; choix de composition auteur ; dimensions réelles à documenter</x:v>
      </x:c>
      <x:c r="I3480" s="115" t="str">
        <x:v>À équilibrer</x:v>
      </x:c>
      <x:c r="J3480" s="115" t="str">
        <x:v>Non</x:v>
      </x:c>
      <x:c r="K3480" s="115" t="str">
        <x:v>Pièces décrites, murs, portes, niveaux et mobilier inspectables à l’échelle. Volumes réservés, raccord au seed, butin, rencontres et services de campagne restent à terminer.</x:v>
      </x:c>
    </x:row>
    <x:row r="3481" ht="96" customHeight="1">
      <x:c r="A3481" s="115" t="str">
        <x:v>EXT-MONDE-T070-V26</x:v>
      </x:c>
      <x:c r="B3481" s="115" t="str">
        <x:v>EXT-MONDE-T070</x:v>
      </x:c>
      <x:c r="C3481" s="115" t="str">
        <x:v>Aéroports</x:v>
      </x:c>
      <x:c r="D3481" s="115" t="str">
        <x:v>Aéroport international</x:v>
      </x:c>
      <x:c r="E3481" s="115" t="n">
        <x:v>26</x:v>
      </x:c>
      <x:c r="F3481" s="115" t="str">
        <x:v>Inspection physique</x:v>
      </x:c>
      <x:c r="G3481" s="115" t="str">
        <x:v>1 niveaux ; 36 pièces ; 265 segments de mur ; 0 transitions. Inspection physique ; architecture complète encore ouverte.</x:v>
      </x:c>
      <x:c r="H3481" s="115" t="str">
        <x:v>L 1460 ; l 3400 ; hauteur 40 m ; choix de composition auteur ; dimensions réelles à documenter</x:v>
      </x:c>
      <x:c r="I3481" s="115" t="str">
        <x:v>À équilibrer</x:v>
      </x:c>
      <x:c r="J3481" s="115" t="str">
        <x:v>Non</x:v>
      </x:c>
      <x:c r="K3481" s="115" t="str">
        <x:v>Pièces décrites, murs, portes, niveaux et mobilier inspectables à l’échelle. Volumes réservés, raccord au seed, butin, rencontres et services de campagne restent à terminer.</x:v>
      </x:c>
    </x:row>
    <x:row r="3482" ht="96" customHeight="1">
      <x:c r="A3482" s="115" t="str">
        <x:v>EXT-MONDE-T070-V27</x:v>
      </x:c>
      <x:c r="B3482" s="115" t="str">
        <x:v>EXT-MONDE-T070</x:v>
      </x:c>
      <x:c r="C3482" s="115" t="str">
        <x:v>Aéroports</x:v>
      </x:c>
      <x:c r="D3482" s="115" t="str">
        <x:v>Aéroport international</x:v>
      </x:c>
      <x:c r="E3482" s="115" t="n">
        <x:v>27</x:v>
      </x:c>
      <x:c r="F3482" s="115" t="str">
        <x:v>Inspection physique</x:v>
      </x:c>
      <x:c r="G3482" s="115" t="str">
        <x:v>1 niveaux ; 36 pièces ; 265 segments de mur ; 0 transitions. Inspection physique ; architecture complète encore ouverte.</x:v>
      </x:c>
      <x:c r="H3482" s="115" t="str">
        <x:v>L 1460 ; l 3400 ; hauteur 40 m ; choix de composition auteur ; dimensions réelles à documenter</x:v>
      </x:c>
      <x:c r="I3482" s="115" t="str">
        <x:v>À équilibrer</x:v>
      </x:c>
      <x:c r="J3482" s="115" t="str">
        <x:v>Non</x:v>
      </x:c>
      <x:c r="K3482" s="115" t="str">
        <x:v>Pièces décrites, murs, portes, niveaux et mobilier inspectables à l’échelle. Volumes réservés, raccord au seed, butin, rencontres et services de campagne restent à terminer.</x:v>
      </x:c>
    </x:row>
    <x:row r="3483" ht="96" customHeight="1">
      <x:c r="A3483" s="115" t="str">
        <x:v>EXT-MONDE-T070-V28</x:v>
      </x:c>
      <x:c r="B3483" s="115" t="str">
        <x:v>EXT-MONDE-T070</x:v>
      </x:c>
      <x:c r="C3483" s="115" t="str">
        <x:v>Aéroports</x:v>
      </x:c>
      <x:c r="D3483" s="115" t="str">
        <x:v>Aéroport international</x:v>
      </x:c>
      <x:c r="E3483" s="115" t="n">
        <x:v>28</x:v>
      </x:c>
      <x:c r="F3483" s="115" t="str">
        <x:v>Inspection physique</x:v>
      </x:c>
      <x:c r="G3483" s="115" t="str">
        <x:v>1 niveaux ; 36 pièces ; 265 segments de mur ; 0 transitions. Inspection physique ; architecture complète encore ouverte.</x:v>
      </x:c>
      <x:c r="H3483" s="115" t="str">
        <x:v>L 1460 ; l 3400 ; hauteur 40 m ; choix de composition auteur ; dimensions réelles à documenter</x:v>
      </x:c>
      <x:c r="I3483" s="115" t="str">
        <x:v>À équilibrer</x:v>
      </x:c>
      <x:c r="J3483" s="115" t="str">
        <x:v>Non</x:v>
      </x:c>
      <x:c r="K3483" s="115" t="str">
        <x:v>Pièces décrites, murs, portes, niveaux et mobilier inspectables à l’échelle. Volumes réservés, raccord au seed, butin, rencontres et services de campagne restent à terminer.</x:v>
      </x:c>
    </x:row>
    <x:row r="3484" ht="96" customHeight="1">
      <x:c r="A3484" s="115" t="str">
        <x:v>EXT-MONDE-T070-V29</x:v>
      </x:c>
      <x:c r="B3484" s="115" t="str">
        <x:v>EXT-MONDE-T070</x:v>
      </x:c>
      <x:c r="C3484" s="115" t="str">
        <x:v>Aéroports</x:v>
      </x:c>
      <x:c r="D3484" s="115" t="str">
        <x:v>Aéroport international</x:v>
      </x:c>
      <x:c r="E3484" s="115" t="n">
        <x:v>29</x:v>
      </x:c>
      <x:c r="F3484" s="115" t="str">
        <x:v>Inspection physique</x:v>
      </x:c>
      <x:c r="G3484" s="115" t="str">
        <x:v>1 niveaux ; 36 pièces ; 265 segments de mur ; 0 transitions. Inspection physique ; architecture complète encore ouverte.</x:v>
      </x:c>
      <x:c r="H3484" s="115" t="str">
        <x:v>L 1460 ; l 3400 ; hauteur 40 m ; choix de composition auteur ; dimensions réelles à documenter</x:v>
      </x:c>
      <x:c r="I3484" s="115" t="str">
        <x:v>À équilibrer</x:v>
      </x:c>
      <x:c r="J3484" s="115" t="str">
        <x:v>Non</x:v>
      </x:c>
      <x:c r="K3484" s="115" t="str">
        <x:v>Pièces décrites, murs, portes, niveaux et mobilier inspectables à l’échelle. Volumes réservés, raccord au seed, butin, rencontres et services de campagne restent à terminer.</x:v>
      </x:c>
    </x:row>
    <x:row r="3485" ht="96" customHeight="1">
      <x:c r="A3485" s="115" t="str">
        <x:v>EXT-MONDE-T070-V30</x:v>
      </x:c>
      <x:c r="B3485" s="115" t="str">
        <x:v>EXT-MONDE-T070</x:v>
      </x:c>
      <x:c r="C3485" s="115" t="str">
        <x:v>Aéroports</x:v>
      </x:c>
      <x:c r="D3485" s="115" t="str">
        <x:v>Aéroport international</x:v>
      </x:c>
      <x:c r="E3485" s="115" t="n">
        <x:v>30</x:v>
      </x:c>
      <x:c r="F3485" s="115" t="str">
        <x:v>Inspection physique</x:v>
      </x:c>
      <x:c r="G3485" s="115" t="str">
        <x:v>1 niveaux ; 36 pièces ; 265 segments de mur ; 0 transitions. Inspection physique ; architecture complète encore ouverte.</x:v>
      </x:c>
      <x:c r="H3485" s="115" t="str">
        <x:v>L 1460 ; l 3400 ; hauteur 40 m ; choix de composition auteur ; dimensions réelles à documenter</x:v>
      </x:c>
      <x:c r="I3485" s="115" t="str">
        <x:v>À équilibrer</x:v>
      </x:c>
      <x:c r="J3485" s="115" t="str">
        <x:v>Non</x:v>
      </x:c>
      <x:c r="K3485" s="115" t="str">
        <x:v>Pièces décrites, murs, portes, niveaux et mobilier inspectables à l’échelle. Volumes réservés, raccord au seed, butin, rencontres et services de campagne restent à terminer.</x:v>
      </x:c>
    </x:row>
    <x:row r="3486" ht="96" customHeight="1">
      <x:c r="A3486" s="115" t="str">
        <x:v>EXT-MONDE-T070-V31</x:v>
      </x:c>
      <x:c r="B3486" s="115" t="str">
        <x:v>EXT-MONDE-T070</x:v>
      </x:c>
      <x:c r="C3486" s="115" t="str">
        <x:v>Aéroports</x:v>
      </x:c>
      <x:c r="D3486" s="115" t="str">
        <x:v>Aéroport international</x:v>
      </x:c>
      <x:c r="E3486" s="115" t="n">
        <x:v>31</x:v>
      </x:c>
      <x:c r="F3486" s="115" t="str">
        <x:v>Inspection physique</x:v>
      </x:c>
      <x:c r="G3486" s="115" t="str">
        <x:v>1 niveaux ; 36 pièces ; 265 segments de mur ; 0 transitions. Inspection physique ; architecture complète encore ouverte.</x:v>
      </x:c>
      <x:c r="H3486" s="115" t="str">
        <x:v>L 1460 ; l 3600 ; hauteur 42 m ; choix de composition auteur ; dimensions réelles à documenter</x:v>
      </x:c>
      <x:c r="I3486" s="115" t="str">
        <x:v>À équilibrer</x:v>
      </x:c>
      <x:c r="J3486" s="115" t="str">
        <x:v>Non</x:v>
      </x:c>
      <x:c r="K3486" s="115" t="str">
        <x:v>Pièces décrites, murs, portes, niveaux et mobilier inspectables à l’échelle. Volumes réservés, raccord au seed, butin, rencontres et services de campagne restent à terminer.</x:v>
      </x:c>
    </x:row>
    <x:row r="3487" ht="96" customHeight="1">
      <x:c r="A3487" s="115" t="str">
        <x:v>EXT-MONDE-T070-V32</x:v>
      </x:c>
      <x:c r="B3487" s="115" t="str">
        <x:v>EXT-MONDE-T070</x:v>
      </x:c>
      <x:c r="C3487" s="115" t="str">
        <x:v>Aéroports</x:v>
      </x:c>
      <x:c r="D3487" s="115" t="str">
        <x:v>Aéroport international</x:v>
      </x:c>
      <x:c r="E3487" s="115" t="n">
        <x:v>32</x:v>
      </x:c>
      <x:c r="F3487" s="115" t="str">
        <x:v>Inspection physique</x:v>
      </x:c>
      <x:c r="G3487" s="115" t="str">
        <x:v>1 niveaux ; 36 pièces ; 265 segments de mur ; 0 transitions. Inspection physique ; architecture complète encore ouverte.</x:v>
      </x:c>
      <x:c r="H3487" s="115" t="str">
        <x:v>L 1460 ; l 3600 ; hauteur 42 m ; choix de composition auteur ; dimensions réelles à documenter</x:v>
      </x:c>
      <x:c r="I3487" s="115" t="str">
        <x:v>À équilibrer</x:v>
      </x:c>
      <x:c r="J3487" s="115" t="str">
        <x:v>Non</x:v>
      </x:c>
      <x:c r="K3487" s="115" t="str">
        <x:v>Pièces décrites, murs, portes, niveaux et mobilier inspectables à l’échelle. Volumes réservés, raccord au seed, butin, rencontres et services de campagne restent à terminer.</x:v>
      </x:c>
    </x:row>
    <x:row r="3488" ht="96" customHeight="1">
      <x:c r="A3488" s="115" t="str">
        <x:v>EXT-MONDE-T070-V33</x:v>
      </x:c>
      <x:c r="B3488" s="115" t="str">
        <x:v>EXT-MONDE-T070</x:v>
      </x:c>
      <x:c r="C3488" s="115" t="str">
        <x:v>Aéroports</x:v>
      </x:c>
      <x:c r="D3488" s="115" t="str">
        <x:v>Aéroport international</x:v>
      </x:c>
      <x:c r="E3488" s="115" t="n">
        <x:v>33</x:v>
      </x:c>
      <x:c r="F3488" s="115" t="str">
        <x:v>Inspection physique</x:v>
      </x:c>
      <x:c r="G3488" s="115" t="str">
        <x:v>1 niveaux ; 36 pièces ; 265 segments de mur ; 0 transitions. Inspection physique ; architecture complète encore ouverte.</x:v>
      </x:c>
      <x:c r="H3488" s="115" t="str">
        <x:v>L 1460 ; l 3600 ; hauteur 42 m ; choix de composition auteur ; dimensions réelles à documenter</x:v>
      </x:c>
      <x:c r="I3488" s="115" t="str">
        <x:v>À équilibrer</x:v>
      </x:c>
      <x:c r="J3488" s="115" t="str">
        <x:v>Non</x:v>
      </x:c>
      <x:c r="K3488" s="115" t="str">
        <x:v>Pièces décrites, murs, portes, niveaux et mobilier inspectables à l’échelle. Volumes réservés, raccord au seed, butin, rencontres et services de campagne restent à terminer.</x:v>
      </x:c>
    </x:row>
    <x:row r="3489" ht="96" customHeight="1">
      <x:c r="A3489" s="115" t="str">
        <x:v>EXT-MONDE-T070-V34</x:v>
      </x:c>
      <x:c r="B3489" s="115" t="str">
        <x:v>EXT-MONDE-T070</x:v>
      </x:c>
      <x:c r="C3489" s="115" t="str">
        <x:v>Aéroports</x:v>
      </x:c>
      <x:c r="D3489" s="115" t="str">
        <x:v>Aéroport international</x:v>
      </x:c>
      <x:c r="E3489" s="115" t="n">
        <x:v>34</x:v>
      </x:c>
      <x:c r="F3489" s="115" t="str">
        <x:v>Inspection physique</x:v>
      </x:c>
      <x:c r="G3489" s="115" t="str">
        <x:v>1 niveaux ; 36 pièces ; 265 segments de mur ; 0 transitions. Inspection physique ; architecture complète encore ouverte.</x:v>
      </x:c>
      <x:c r="H3489" s="115" t="str">
        <x:v>L 1460 ; l 3600 ; hauteur 42 m ; choix de composition auteur ; dimensions réelles à documenter</x:v>
      </x:c>
      <x:c r="I3489" s="115" t="str">
        <x:v>À équilibrer</x:v>
      </x:c>
      <x:c r="J3489" s="115" t="str">
        <x:v>Non</x:v>
      </x:c>
      <x:c r="K3489" s="115" t="str">
        <x:v>Pièces décrites, murs, portes, niveaux et mobilier inspectables à l’échelle. Volumes réservés, raccord au seed, butin, rencontres et services de campagne restent à terminer.</x:v>
      </x:c>
    </x:row>
    <x:row r="3490" ht="96" customHeight="1">
      <x:c r="A3490" s="115" t="str">
        <x:v>EXT-MONDE-T070-V35</x:v>
      </x:c>
      <x:c r="B3490" s="115" t="str">
        <x:v>EXT-MONDE-T070</x:v>
      </x:c>
      <x:c r="C3490" s="115" t="str">
        <x:v>Aéroports</x:v>
      </x:c>
      <x:c r="D3490" s="115" t="str">
        <x:v>Aéroport international</x:v>
      </x:c>
      <x:c r="E3490" s="115" t="n">
        <x:v>35</x:v>
      </x:c>
      <x:c r="F3490" s="115" t="str">
        <x:v>Inspection physique</x:v>
      </x:c>
      <x:c r="G3490" s="115" t="str">
        <x:v>1 niveaux ; 36 pièces ; 265 segments de mur ; 0 transitions. Inspection physique ; architecture complète encore ouverte.</x:v>
      </x:c>
      <x:c r="H3490" s="115" t="str">
        <x:v>L 1460 ; l 3600 ; hauteur 42 m ; choix de composition auteur ; dimensions réelles à documenter</x:v>
      </x:c>
      <x:c r="I3490" s="115" t="str">
        <x:v>À équilibrer</x:v>
      </x:c>
      <x:c r="J3490" s="115" t="str">
        <x:v>Non</x:v>
      </x:c>
      <x:c r="K3490" s="115" t="str">
        <x:v>Pièces décrites, murs, portes, niveaux et mobilier inspectables à l’échelle. Volumes réservés, raccord au seed, butin, rencontres et services de campagne restent à terminer.</x:v>
      </x:c>
    </x:row>
    <x:row r="3491" ht="96" customHeight="1">
      <x:c r="A3491" s="115" t="str">
        <x:v>EXT-MONDE-T070-V36</x:v>
      </x:c>
      <x:c r="B3491" s="115" t="str">
        <x:v>EXT-MONDE-T070</x:v>
      </x:c>
      <x:c r="C3491" s="115" t="str">
        <x:v>Aéroports</x:v>
      </x:c>
      <x:c r="D3491" s="115" t="str">
        <x:v>Aéroport international</x:v>
      </x:c>
      <x:c r="E3491" s="115" t="n">
        <x:v>36</x:v>
      </x:c>
      <x:c r="F3491" s="115" t="str">
        <x:v>Inspection physique</x:v>
      </x:c>
      <x:c r="G3491" s="115" t="str">
        <x:v>1 niveaux ; 36 pièces ; 265 segments de mur ; 0 transitions. Inspection physique ; architecture complète encore ouverte.</x:v>
      </x:c>
      <x:c r="H3491" s="115" t="str">
        <x:v>L 1460 ; l 3600 ; hauteur 42 m ; choix de composition auteur ; dimensions réelles à documenter</x:v>
      </x:c>
      <x:c r="I3491" s="115" t="str">
        <x:v>À équilibrer</x:v>
      </x:c>
      <x:c r="J3491" s="115" t="str">
        <x:v>Non</x:v>
      </x:c>
      <x:c r="K3491" s="115" t="str">
        <x:v>Pièces décrites, murs, portes, niveaux et mobilier inspectables à l’échelle. Volumes réservés, raccord au seed, butin, rencontres et services de campagne restent à terminer.</x:v>
      </x:c>
    </x:row>
    <x:row r="3492" ht="96" customHeight="1">
      <x:c r="A3492" s="115" t="str">
        <x:v>EXT-MONDE-T070-V37</x:v>
      </x:c>
      <x:c r="B3492" s="115" t="str">
        <x:v>EXT-MONDE-T070</x:v>
      </x:c>
      <x:c r="C3492" s="115" t="str">
        <x:v>Aéroports</x:v>
      </x:c>
      <x:c r="D3492" s="115" t="str">
        <x:v>Aéroport international</x:v>
      </x:c>
      <x:c r="E3492" s="115" t="n">
        <x:v>37</x:v>
      </x:c>
      <x:c r="F3492" s="115" t="str">
        <x:v>Inspection physique</x:v>
      </x:c>
      <x:c r="G3492" s="115" t="str">
        <x:v>1 niveaux ; 36 pièces ; 265 segments de mur ; 0 transitions. Inspection physique ; architecture complète encore ouverte.</x:v>
      </x:c>
      <x:c r="H3492" s="115" t="str">
        <x:v>L 1460 ; l 3600 ; hauteur 42 m ; choix de composition auteur ; dimensions réelles à documenter</x:v>
      </x:c>
      <x:c r="I3492" s="115" t="str">
        <x:v>À équilibrer</x:v>
      </x:c>
      <x:c r="J3492" s="115" t="str">
        <x:v>Non</x:v>
      </x:c>
      <x:c r="K3492" s="115" t="str">
        <x:v>Pièces décrites, murs, portes, niveaux et mobilier inspectables à l’échelle. Volumes réservés, raccord au seed, butin, rencontres et services de campagne restent à terminer.</x:v>
      </x:c>
    </x:row>
    <x:row r="3493" ht="96" customHeight="1">
      <x:c r="A3493" s="115" t="str">
        <x:v>EXT-MONDE-T070-V38</x:v>
      </x:c>
      <x:c r="B3493" s="115" t="str">
        <x:v>EXT-MONDE-T070</x:v>
      </x:c>
      <x:c r="C3493" s="115" t="str">
        <x:v>Aéroports</x:v>
      </x:c>
      <x:c r="D3493" s="115" t="str">
        <x:v>Aéroport international</x:v>
      </x:c>
      <x:c r="E3493" s="115" t="n">
        <x:v>38</x:v>
      </x:c>
      <x:c r="F3493" s="115" t="str">
        <x:v>Inspection physique</x:v>
      </x:c>
      <x:c r="G3493" s="115" t="str">
        <x:v>1 niveaux ; 36 pièces ; 265 segments de mur ; 0 transitions. Inspection physique ; architecture complète encore ouverte.</x:v>
      </x:c>
      <x:c r="H3493" s="115" t="str">
        <x:v>L 1460 ; l 3600 ; hauteur 42 m ; choix de composition auteur ; dimensions réelles à documenter</x:v>
      </x:c>
      <x:c r="I3493" s="115" t="str">
        <x:v>À équilibrer</x:v>
      </x:c>
      <x:c r="J3493" s="115" t="str">
        <x:v>Non</x:v>
      </x:c>
      <x:c r="K3493" s="115" t="str">
        <x:v>Pièces décrites, murs, portes, niveaux et mobilier inspectables à l’échelle. Volumes réservés, raccord au seed, butin, rencontres et services de campagne restent à terminer.</x:v>
      </x:c>
    </x:row>
    <x:row r="3494" ht="96" customHeight="1">
      <x:c r="A3494" s="115" t="str">
        <x:v>EXT-MONDE-T070-V39</x:v>
      </x:c>
      <x:c r="B3494" s="115" t="str">
        <x:v>EXT-MONDE-T070</x:v>
      </x:c>
      <x:c r="C3494" s="115" t="str">
        <x:v>Aéroports</x:v>
      </x:c>
      <x:c r="D3494" s="115" t="str">
        <x:v>Aéroport international</x:v>
      </x:c>
      <x:c r="E3494" s="115" t="n">
        <x:v>39</x:v>
      </x:c>
      <x:c r="F3494" s="115" t="str">
        <x:v>Inspection physique</x:v>
      </x:c>
      <x:c r="G3494" s="115" t="str">
        <x:v>1 niveaux ; 36 pièces ; 265 segments de mur ; 0 transitions. Inspection physique ; architecture complète encore ouverte.</x:v>
      </x:c>
      <x:c r="H3494" s="115" t="str">
        <x:v>L 1460 ; l 3600 ; hauteur 42 m ; choix de composition auteur ; dimensions réelles à documenter</x:v>
      </x:c>
      <x:c r="I3494" s="115" t="str">
        <x:v>À équilibrer</x:v>
      </x:c>
      <x:c r="J3494" s="115" t="str">
        <x:v>Non</x:v>
      </x:c>
      <x:c r="K3494" s="115" t="str">
        <x:v>Pièces décrites, murs, portes, niveaux et mobilier inspectables à l’échelle. Volumes réservés, raccord au seed, butin, rencontres et services de campagne restent à terminer.</x:v>
      </x:c>
    </x:row>
    <x:row r="3495" ht="96" customHeight="1">
      <x:c r="A3495" s="115" t="str">
        <x:v>EXT-MONDE-T070-V40</x:v>
      </x:c>
      <x:c r="B3495" s="115" t="str">
        <x:v>EXT-MONDE-T070</x:v>
      </x:c>
      <x:c r="C3495" s="115" t="str">
        <x:v>Aéroports</x:v>
      </x:c>
      <x:c r="D3495" s="115" t="str">
        <x:v>Aéroport international</x:v>
      </x:c>
      <x:c r="E3495" s="115" t="n">
        <x:v>40</x:v>
      </x:c>
      <x:c r="F3495" s="115" t="str">
        <x:v>Inspection physique</x:v>
      </x:c>
      <x:c r="G3495" s="115" t="str">
        <x:v>1 niveaux ; 36 pièces ; 265 segments de mur ; 0 transitions. Inspection physique ; architecture complète encore ouverte.</x:v>
      </x:c>
      <x:c r="H3495" s="115" t="str">
        <x:v>L 1460 ; l 3600 ; hauteur 42 m ; choix de composition auteur ; dimensions réelles à documenter</x:v>
      </x:c>
      <x:c r="I3495" s="115" t="str">
        <x:v>À équilibrer</x:v>
      </x:c>
      <x:c r="J3495" s="115" t="str">
        <x:v>Non</x:v>
      </x:c>
      <x:c r="K3495" s="115" t="str">
        <x:v>Pièces décrites, murs, portes, niveaux et mobilier inspectables à l’échelle. Volumes réservés, raccord au seed, butin, rencontres et services de campagne restent à terminer.</x:v>
      </x:c>
    </x:row>
    <x:row r="3496" ht="96" customHeight="1">
      <x:c r="A3496" s="115" t="str">
        <x:v>EXT-MONDE-T070-V41</x:v>
      </x:c>
      <x:c r="B3496" s="115" t="str">
        <x:v>EXT-MONDE-T070</x:v>
      </x:c>
      <x:c r="C3496" s="115" t="str">
        <x:v>Aéroports</x:v>
      </x:c>
      <x:c r="D3496" s="115" t="str">
        <x:v>Aéroport international</x:v>
      </x:c>
      <x:c r="E3496" s="115" t="n">
        <x:v>41</x:v>
      </x:c>
      <x:c r="F3496" s="115" t="str">
        <x:v>Inspection physique</x:v>
      </x:c>
      <x:c r="G3496" s="115" t="str">
        <x:v>1 niveaux ; 36 pièces ; 265 segments de mur ; 0 transitions. Inspection physique ; architecture complète encore ouverte.</x:v>
      </x:c>
      <x:c r="H3496" s="115" t="str">
        <x:v>L 1460 ; l 3800 ; hauteur 44 m ; choix de composition auteur ; dimensions réelles à documenter</x:v>
      </x:c>
      <x:c r="I3496" s="115" t="str">
        <x:v>À équilibrer</x:v>
      </x:c>
      <x:c r="J3496" s="115" t="str">
        <x:v>Non</x:v>
      </x:c>
      <x:c r="K3496" s="115" t="str">
        <x:v>Pièces décrites, murs, portes, niveaux et mobilier inspectables à l’échelle. Volumes réservés, raccord au seed, butin, rencontres et services de campagne restent à terminer.</x:v>
      </x:c>
    </x:row>
    <x:row r="3497" ht="96" customHeight="1">
      <x:c r="A3497" s="115" t="str">
        <x:v>EXT-MONDE-T070-V42</x:v>
      </x:c>
      <x:c r="B3497" s="115" t="str">
        <x:v>EXT-MONDE-T070</x:v>
      </x:c>
      <x:c r="C3497" s="115" t="str">
        <x:v>Aéroports</x:v>
      </x:c>
      <x:c r="D3497" s="115" t="str">
        <x:v>Aéroport international</x:v>
      </x:c>
      <x:c r="E3497" s="115" t="n">
        <x:v>42</x:v>
      </x:c>
      <x:c r="F3497" s="115" t="str">
        <x:v>Inspection physique</x:v>
      </x:c>
      <x:c r="G3497" s="115" t="str">
        <x:v>1 niveaux ; 36 pièces ; 265 segments de mur ; 0 transitions. Inspection physique ; architecture complète encore ouverte.</x:v>
      </x:c>
      <x:c r="H3497" s="115" t="str">
        <x:v>L 1460 ; l 3800 ; hauteur 44 m ; choix de composition auteur ; dimensions réelles à documenter</x:v>
      </x:c>
      <x:c r="I3497" s="115" t="str">
        <x:v>À équilibrer</x:v>
      </x:c>
      <x:c r="J3497" s="115" t="str">
        <x:v>Non</x:v>
      </x:c>
      <x:c r="K3497" s="115" t="str">
        <x:v>Pièces décrites, murs, portes, niveaux et mobilier inspectables à l’échelle. Volumes réservés, raccord au seed, butin, rencontres et services de campagne restent à terminer.</x:v>
      </x:c>
    </x:row>
    <x:row r="3498" ht="96" customHeight="1">
      <x:c r="A3498" s="115" t="str">
        <x:v>EXT-MONDE-T070-V43</x:v>
      </x:c>
      <x:c r="B3498" s="115" t="str">
        <x:v>EXT-MONDE-T070</x:v>
      </x:c>
      <x:c r="C3498" s="115" t="str">
        <x:v>Aéroports</x:v>
      </x:c>
      <x:c r="D3498" s="115" t="str">
        <x:v>Aéroport international</x:v>
      </x:c>
      <x:c r="E3498" s="115" t="n">
        <x:v>43</x:v>
      </x:c>
      <x:c r="F3498" s="115" t="str">
        <x:v>Inspection physique</x:v>
      </x:c>
      <x:c r="G3498" s="115" t="str">
        <x:v>1 niveaux ; 36 pièces ; 265 segments de mur ; 0 transitions. Inspection physique ; architecture complète encore ouverte.</x:v>
      </x:c>
      <x:c r="H3498" s="115" t="str">
        <x:v>L 1460 ; l 3800 ; hauteur 44 m ; choix de composition auteur ; dimensions réelles à documenter</x:v>
      </x:c>
      <x:c r="I3498" s="115" t="str">
        <x:v>À équilibrer</x:v>
      </x:c>
      <x:c r="J3498" s="115" t="str">
        <x:v>Non</x:v>
      </x:c>
      <x:c r="K3498" s="115" t="str">
        <x:v>Pièces décrites, murs, portes, niveaux et mobilier inspectables à l’échelle. Volumes réservés, raccord au seed, butin, rencontres et services de campagne restent à terminer.</x:v>
      </x:c>
    </x:row>
    <x:row r="3499" ht="96" customHeight="1">
      <x:c r="A3499" s="115" t="str">
        <x:v>EXT-MONDE-T070-V44</x:v>
      </x:c>
      <x:c r="B3499" s="115" t="str">
        <x:v>EXT-MONDE-T070</x:v>
      </x:c>
      <x:c r="C3499" s="115" t="str">
        <x:v>Aéroports</x:v>
      </x:c>
      <x:c r="D3499" s="115" t="str">
        <x:v>Aéroport international</x:v>
      </x:c>
      <x:c r="E3499" s="115" t="n">
        <x:v>44</x:v>
      </x:c>
      <x:c r="F3499" s="115" t="str">
        <x:v>Inspection physique</x:v>
      </x:c>
      <x:c r="G3499" s="115" t="str">
        <x:v>1 niveaux ; 36 pièces ; 265 segments de mur ; 0 transitions. Inspection physique ; architecture complète encore ouverte.</x:v>
      </x:c>
      <x:c r="H3499" s="115" t="str">
        <x:v>L 1460 ; l 3800 ; hauteur 44 m ; choix de composition auteur ; dimensions réelles à documenter</x:v>
      </x:c>
      <x:c r="I3499" s="115" t="str">
        <x:v>À équilibrer</x:v>
      </x:c>
      <x:c r="J3499" s="115" t="str">
        <x:v>Non</x:v>
      </x:c>
      <x:c r="K3499" s="115" t="str">
        <x:v>Pièces décrites, murs, portes, niveaux et mobilier inspectables à l’échelle. Volumes réservés, raccord au seed, butin, rencontres et services de campagne restent à terminer.</x:v>
      </x:c>
    </x:row>
    <x:row r="3500" ht="96" customHeight="1">
      <x:c r="A3500" s="115" t="str">
        <x:v>EXT-MONDE-T070-V45</x:v>
      </x:c>
      <x:c r="B3500" s="115" t="str">
        <x:v>EXT-MONDE-T070</x:v>
      </x:c>
      <x:c r="C3500" s="115" t="str">
        <x:v>Aéroports</x:v>
      </x:c>
      <x:c r="D3500" s="115" t="str">
        <x:v>Aéroport international</x:v>
      </x:c>
      <x:c r="E3500" s="115" t="n">
        <x:v>45</x:v>
      </x:c>
      <x:c r="F3500" s="115" t="str">
        <x:v>Inspection physique</x:v>
      </x:c>
      <x:c r="G3500" s="115" t="str">
        <x:v>1 niveaux ; 36 pièces ; 265 segments de mur ; 0 transitions. Inspection physique ; architecture complète encore ouverte.</x:v>
      </x:c>
      <x:c r="H3500" s="115" t="str">
        <x:v>L 1460 ; l 3800 ; hauteur 44 m ; choix de composition auteur ; dimensions réelles à documenter</x:v>
      </x:c>
      <x:c r="I3500" s="115" t="str">
        <x:v>À équilibrer</x:v>
      </x:c>
      <x:c r="J3500" s="115" t="str">
        <x:v>Non</x:v>
      </x:c>
      <x:c r="K3500" s="115" t="str">
        <x:v>Pièces décrites, murs, portes, niveaux et mobilier inspectables à l’échelle. Volumes réservés, raccord au seed, butin, rencontres et services de campagne restent à terminer.</x:v>
      </x:c>
    </x:row>
    <x:row r="3501" ht="96" customHeight="1">
      <x:c r="A3501" s="115" t="str">
        <x:v>EXT-MONDE-T070-V46</x:v>
      </x:c>
      <x:c r="B3501" s="115" t="str">
        <x:v>EXT-MONDE-T070</x:v>
      </x:c>
      <x:c r="C3501" s="115" t="str">
        <x:v>Aéroports</x:v>
      </x:c>
      <x:c r="D3501" s="115" t="str">
        <x:v>Aéroport international</x:v>
      </x:c>
      <x:c r="E3501" s="115" t="n">
        <x:v>46</x:v>
      </x:c>
      <x:c r="F3501" s="115" t="str">
        <x:v>Inspection physique</x:v>
      </x:c>
      <x:c r="G3501" s="115" t="str">
        <x:v>1 niveaux ; 36 pièces ; 265 segments de mur ; 0 transitions. Inspection physique ; architecture complète encore ouverte.</x:v>
      </x:c>
      <x:c r="H3501" s="115" t="str">
        <x:v>L 1460 ; l 3800 ; hauteur 44 m ; choix de composition auteur ; dimensions réelles à documenter</x:v>
      </x:c>
      <x:c r="I3501" s="115" t="str">
        <x:v>À équilibrer</x:v>
      </x:c>
      <x:c r="J3501" s="115" t="str">
        <x:v>Non</x:v>
      </x:c>
      <x:c r="K3501" s="115" t="str">
        <x:v>Pièces décrites, murs, portes, niveaux et mobilier inspectables à l’échelle. Volumes réservés, raccord au seed, butin, rencontres et services de campagne restent à terminer.</x:v>
      </x:c>
    </x:row>
    <x:row r="3502" ht="96" customHeight="1">
      <x:c r="A3502" s="115" t="str">
        <x:v>EXT-MONDE-T070-V47</x:v>
      </x:c>
      <x:c r="B3502" s="115" t="str">
        <x:v>EXT-MONDE-T070</x:v>
      </x:c>
      <x:c r="C3502" s="115" t="str">
        <x:v>Aéroports</x:v>
      </x:c>
      <x:c r="D3502" s="115" t="str">
        <x:v>Aéroport international</x:v>
      </x:c>
      <x:c r="E3502" s="115" t="n">
        <x:v>47</x:v>
      </x:c>
      <x:c r="F3502" s="115" t="str">
        <x:v>Inspection physique</x:v>
      </x:c>
      <x:c r="G3502" s="115" t="str">
        <x:v>1 niveaux ; 36 pièces ; 265 segments de mur ; 0 transitions. Inspection physique ; architecture complète encore ouverte.</x:v>
      </x:c>
      <x:c r="H3502" s="115" t="str">
        <x:v>L 1460 ; l 3800 ; hauteur 44 m ; choix de composition auteur ; dimensions réelles à documenter</x:v>
      </x:c>
      <x:c r="I3502" s="115" t="str">
        <x:v>À équilibrer</x:v>
      </x:c>
      <x:c r="J3502" s="115" t="str">
        <x:v>Non</x:v>
      </x:c>
      <x:c r="K3502" s="115" t="str">
        <x:v>Pièces décrites, murs, portes, niveaux et mobilier inspectables à l’échelle. Volumes réservés, raccord au seed, butin, rencontres et services de campagne restent à terminer.</x:v>
      </x:c>
    </x:row>
    <x:row r="3503" ht="96" customHeight="1">
      <x:c r="A3503" s="115" t="str">
        <x:v>EXT-MONDE-T070-V48</x:v>
      </x:c>
      <x:c r="B3503" s="115" t="str">
        <x:v>EXT-MONDE-T070</x:v>
      </x:c>
      <x:c r="C3503" s="115" t="str">
        <x:v>Aéroports</x:v>
      </x:c>
      <x:c r="D3503" s="115" t="str">
        <x:v>Aéroport international</x:v>
      </x:c>
      <x:c r="E3503" s="115" t="n">
        <x:v>48</x:v>
      </x:c>
      <x:c r="F3503" s="115" t="str">
        <x:v>Inspection physique</x:v>
      </x:c>
      <x:c r="G3503" s="115" t="str">
        <x:v>1 niveaux ; 36 pièces ; 265 segments de mur ; 0 transitions. Inspection physique ; architecture complète encore ouverte.</x:v>
      </x:c>
      <x:c r="H3503" s="115" t="str">
        <x:v>L 1460 ; l 3800 ; hauteur 44 m ; choix de composition auteur ; dimensions réelles à documenter</x:v>
      </x:c>
      <x:c r="I3503" s="115" t="str">
        <x:v>À équilibrer</x:v>
      </x:c>
      <x:c r="J3503" s="115" t="str">
        <x:v>Non</x:v>
      </x:c>
      <x:c r="K3503" s="115" t="str">
        <x:v>Pièces décrites, murs, portes, niveaux et mobilier inspectables à l’échelle. Volumes réservés, raccord au seed, butin, rencontres et services de campagne restent à terminer.</x:v>
      </x:c>
    </x:row>
    <x:row r="3504" ht="96" customHeight="1">
      <x:c r="A3504" s="115" t="str">
        <x:v>EXT-MONDE-T070-V49</x:v>
      </x:c>
      <x:c r="B3504" s="115" t="str">
        <x:v>EXT-MONDE-T070</x:v>
      </x:c>
      <x:c r="C3504" s="115" t="str">
        <x:v>Aéroports</x:v>
      </x:c>
      <x:c r="D3504" s="115" t="str">
        <x:v>Aéroport international</x:v>
      </x:c>
      <x:c r="E3504" s="115" t="n">
        <x:v>49</x:v>
      </x:c>
      <x:c r="F3504" s="115" t="str">
        <x:v>Inspection physique</x:v>
      </x:c>
      <x:c r="G3504" s="115" t="str">
        <x:v>1 niveaux ; 36 pièces ; 265 segments de mur ; 0 transitions. Inspection physique ; architecture complète encore ouverte.</x:v>
      </x:c>
      <x:c r="H3504" s="115" t="str">
        <x:v>L 1460 ; l 3800 ; hauteur 44 m ; choix de composition auteur ; dimensions réelles à documenter</x:v>
      </x:c>
      <x:c r="I3504" s="115" t="str">
        <x:v>À équilibrer</x:v>
      </x:c>
      <x:c r="J3504" s="115" t="str">
        <x:v>Non</x:v>
      </x:c>
      <x:c r="K3504" s="115" t="str">
        <x:v>Pièces décrites, murs, portes, niveaux et mobilier inspectables à l’échelle. Volumes réservés, raccord au seed, butin, rencontres et services de campagne restent à terminer.</x:v>
      </x:c>
    </x:row>
    <x:row r="3505" ht="96" customHeight="1">
      <x:c r="A3505" s="115" t="str">
        <x:v>EXT-MONDE-T070-V50</x:v>
      </x:c>
      <x:c r="B3505" s="115" t="str">
        <x:v>EXT-MONDE-T070</x:v>
      </x:c>
      <x:c r="C3505" s="115" t="str">
        <x:v>Aéroports</x:v>
      </x:c>
      <x:c r="D3505" s="115" t="str">
        <x:v>Aéroport international</x:v>
      </x:c>
      <x:c r="E3505" s="115" t="n">
        <x:v>50</x:v>
      </x:c>
      <x:c r="F3505" s="115" t="str">
        <x:v>Inspection physique</x:v>
      </x:c>
      <x:c r="G3505" s="115" t="str">
        <x:v>1 niveaux ; 36 pièces ; 265 segments de mur ; 0 transitions. Inspection physique ; architecture complète encore ouverte.</x:v>
      </x:c>
      <x:c r="H3505" s="115" t="str">
        <x:v>L 1460 ; l 3800 ; hauteur 44 m ; choix de composition auteur ; dimensions réelles à documenter</x:v>
      </x:c>
      <x:c r="I3505" s="115" t="str">
        <x:v>À équilibrer</x:v>
      </x:c>
      <x:c r="J3505" s="115" t="str">
        <x:v>Non</x:v>
      </x:c>
      <x:c r="K3505" s="115" t="str">
        <x:v>Pièces décrites, murs, portes, niveaux et mobilier inspectables à l’échelle. Volumes réservés, raccord au seed, butin, rencontres et services de campagne restent à terminer.</x:v>
      </x:c>
    </x:row>
    <x:row r="3506" ht="96" customHeight="1">
      <x:c r="A3506" s="115" t="str">
        <x:v>EXT-MONDE-T071-V01</x:v>
      </x:c>
      <x:c r="B3506" s="115" t="str">
        <x:v>EXT-MONDE-T071</x:v>
      </x:c>
      <x:c r="C3506" s="115" t="str">
        <x:v>Aéroports</x:v>
      </x:c>
      <x:c r="D3506" s="115" t="str">
        <x:v>Aéroport de fret</x:v>
      </x:c>
      <x:c r="E3506" s="115" t="n">
        <x:v>1</x:v>
      </x:c>
      <x:c r="F3506" s="115" t="str">
        <x:v>Inspection physique</x:v>
      </x:c>
      <x:c r="G3506" s="115" t="str">
        <x:v>1 niveaux ; 36 pièces ; 265 segments de mur ; 0 transitions. Inspection physique ; architecture complète encore ouverte.</x:v>
      </x:c>
      <x:c r="H3506" s="115" t="str">
        <x:v>L 1100 ; l 2600 ; hauteur 28 m ; choix de composition auteur ; dimensions réelles à documenter</x:v>
      </x:c>
      <x:c r="I3506" s="115" t="str">
        <x:v>À équilibrer</x:v>
      </x:c>
      <x:c r="J3506" s="115" t="str">
        <x:v>Non</x:v>
      </x:c>
      <x:c r="K3506" s="115" t="str">
        <x:v>Pièces décrites, murs, portes, niveaux et mobilier inspectables à l’échelle. Volumes réservés, raccord au seed, butin, rencontres et services de campagne restent à terminer.</x:v>
      </x:c>
    </x:row>
    <x:row r="3507" ht="96" customHeight="1">
      <x:c r="A3507" s="115" t="str">
        <x:v>EXT-MONDE-T071-V02</x:v>
      </x:c>
      <x:c r="B3507" s="115" t="str">
        <x:v>EXT-MONDE-T071</x:v>
      </x:c>
      <x:c r="C3507" s="115" t="str">
        <x:v>Aéroports</x:v>
      </x:c>
      <x:c r="D3507" s="115" t="str">
        <x:v>Aéroport de fret</x:v>
      </x:c>
      <x:c r="E3507" s="115" t="n">
        <x:v>2</x:v>
      </x:c>
      <x:c r="F3507" s="115" t="str">
        <x:v>Inspection physique</x:v>
      </x:c>
      <x:c r="G3507" s="115" t="str">
        <x:v>1 niveaux ; 36 pièces ; 265 segments de mur ; 0 transitions. Inspection physique ; architecture complète encore ouverte.</x:v>
      </x:c>
      <x:c r="H3507" s="115" t="str">
        <x:v>L 1100 ; l 2600 ; hauteur 28 m ; choix de composition auteur ; dimensions réelles à documenter</x:v>
      </x:c>
      <x:c r="I3507" s="115" t="str">
        <x:v>À équilibrer</x:v>
      </x:c>
      <x:c r="J3507" s="115" t="str">
        <x:v>Non</x:v>
      </x:c>
      <x:c r="K3507" s="115" t="str">
        <x:v>Pièces décrites, murs, portes, niveaux et mobilier inspectables à l’échelle. Volumes réservés, raccord au seed, butin, rencontres et services de campagne restent à terminer.</x:v>
      </x:c>
    </x:row>
    <x:row r="3508" ht="96" customHeight="1">
      <x:c r="A3508" s="115" t="str">
        <x:v>EXT-MONDE-T071-V03</x:v>
      </x:c>
      <x:c r="B3508" s="115" t="str">
        <x:v>EXT-MONDE-T071</x:v>
      </x:c>
      <x:c r="C3508" s="115" t="str">
        <x:v>Aéroports</x:v>
      </x:c>
      <x:c r="D3508" s="115" t="str">
        <x:v>Aéroport de fret</x:v>
      </x:c>
      <x:c r="E3508" s="115" t="n">
        <x:v>3</x:v>
      </x:c>
      <x:c r="F3508" s="115" t="str">
        <x:v>Inspection physique</x:v>
      </x:c>
      <x:c r="G3508" s="115" t="str">
        <x:v>1 niveaux ; 36 pièces ; 265 segments de mur ; 0 transitions. Inspection physique ; architecture complète encore ouverte.</x:v>
      </x:c>
      <x:c r="H3508" s="115" t="str">
        <x:v>L 1100 ; l 2600 ; hauteur 28 m ; choix de composition auteur ; dimensions réelles à documenter</x:v>
      </x:c>
      <x:c r="I3508" s="115" t="str">
        <x:v>À équilibrer</x:v>
      </x:c>
      <x:c r="J3508" s="115" t="str">
        <x:v>Non</x:v>
      </x:c>
      <x:c r="K3508" s="115" t="str">
        <x:v>Pièces décrites, murs, portes, niveaux et mobilier inspectables à l’échelle. Volumes réservés, raccord au seed, butin, rencontres et services de campagne restent à terminer.</x:v>
      </x:c>
    </x:row>
    <x:row r="3509" ht="96" customHeight="1">
      <x:c r="A3509" s="115" t="str">
        <x:v>EXT-MONDE-T071-V04</x:v>
      </x:c>
      <x:c r="B3509" s="115" t="str">
        <x:v>EXT-MONDE-T071</x:v>
      </x:c>
      <x:c r="C3509" s="115" t="str">
        <x:v>Aéroports</x:v>
      </x:c>
      <x:c r="D3509" s="115" t="str">
        <x:v>Aéroport de fret</x:v>
      </x:c>
      <x:c r="E3509" s="115" t="n">
        <x:v>4</x:v>
      </x:c>
      <x:c r="F3509" s="115" t="str">
        <x:v>Inspection physique</x:v>
      </x:c>
      <x:c r="G3509" s="115" t="str">
        <x:v>1 niveaux ; 36 pièces ; 265 segments de mur ; 0 transitions. Inspection physique ; architecture complète encore ouverte.</x:v>
      </x:c>
      <x:c r="H3509" s="115" t="str">
        <x:v>L 1100 ; l 2600 ; hauteur 28 m ; choix de composition auteur ; dimensions réelles à documenter</x:v>
      </x:c>
      <x:c r="I3509" s="115" t="str">
        <x:v>À équilibrer</x:v>
      </x:c>
      <x:c r="J3509" s="115" t="str">
        <x:v>Non</x:v>
      </x:c>
      <x:c r="K3509" s="115" t="str">
        <x:v>Pièces décrites, murs, portes, niveaux et mobilier inspectables à l’échelle. Volumes réservés, raccord au seed, butin, rencontres et services de campagne restent à terminer.</x:v>
      </x:c>
    </x:row>
    <x:row r="3510" ht="96" customHeight="1">
      <x:c r="A3510" s="115" t="str">
        <x:v>EXT-MONDE-T071-V05</x:v>
      </x:c>
      <x:c r="B3510" s="115" t="str">
        <x:v>EXT-MONDE-T071</x:v>
      </x:c>
      <x:c r="C3510" s="115" t="str">
        <x:v>Aéroports</x:v>
      </x:c>
      <x:c r="D3510" s="115" t="str">
        <x:v>Aéroport de fret</x:v>
      </x:c>
      <x:c r="E3510" s="115" t="n">
        <x:v>5</x:v>
      </x:c>
      <x:c r="F3510" s="115" t="str">
        <x:v>Inspection physique</x:v>
      </x:c>
      <x:c r="G3510" s="115" t="str">
        <x:v>1 niveaux ; 36 pièces ; 265 segments de mur ; 0 transitions. Inspection physique ; architecture complète encore ouverte.</x:v>
      </x:c>
      <x:c r="H3510" s="115" t="str">
        <x:v>L 1100 ; l 2600 ; hauteur 28 m ; choix de composition auteur ; dimensions réelles à documenter</x:v>
      </x:c>
      <x:c r="I3510" s="115" t="str">
        <x:v>À équilibrer</x:v>
      </x:c>
      <x:c r="J3510" s="115" t="str">
        <x:v>Non</x:v>
      </x:c>
      <x:c r="K3510" s="115" t="str">
        <x:v>Pièces décrites, murs, portes, niveaux et mobilier inspectables à l’échelle. Volumes réservés, raccord au seed, butin, rencontres et services de campagne restent à terminer.</x:v>
      </x:c>
    </x:row>
    <x:row r="3511" ht="96" customHeight="1">
      <x:c r="A3511" s="115" t="str">
        <x:v>EXT-MONDE-T071-V06</x:v>
      </x:c>
      <x:c r="B3511" s="115" t="str">
        <x:v>EXT-MONDE-T071</x:v>
      </x:c>
      <x:c r="C3511" s="115" t="str">
        <x:v>Aéroports</x:v>
      </x:c>
      <x:c r="D3511" s="115" t="str">
        <x:v>Aéroport de fret</x:v>
      </x:c>
      <x:c r="E3511" s="115" t="n">
        <x:v>6</x:v>
      </x:c>
      <x:c r="F3511" s="115" t="str">
        <x:v>Inspection physique</x:v>
      </x:c>
      <x:c r="G3511" s="115" t="str">
        <x:v>1 niveaux ; 36 pièces ; 265 segments de mur ; 0 transitions. Inspection physique ; architecture complète encore ouverte.</x:v>
      </x:c>
      <x:c r="H3511" s="115" t="str">
        <x:v>L 1100 ; l 2600 ; hauteur 28 m ; choix de composition auteur ; dimensions réelles à documenter</x:v>
      </x:c>
      <x:c r="I3511" s="115" t="str">
        <x:v>À équilibrer</x:v>
      </x:c>
      <x:c r="J3511" s="115" t="str">
        <x:v>Non</x:v>
      </x:c>
      <x:c r="K3511" s="115" t="str">
        <x:v>Pièces décrites, murs, portes, niveaux et mobilier inspectables à l’échelle. Volumes réservés, raccord au seed, butin, rencontres et services de campagne restent à terminer.</x:v>
      </x:c>
    </x:row>
    <x:row r="3512" ht="96" customHeight="1">
      <x:c r="A3512" s="115" t="str">
        <x:v>EXT-MONDE-T071-V07</x:v>
      </x:c>
      <x:c r="B3512" s="115" t="str">
        <x:v>EXT-MONDE-T071</x:v>
      </x:c>
      <x:c r="C3512" s="115" t="str">
        <x:v>Aéroports</x:v>
      </x:c>
      <x:c r="D3512" s="115" t="str">
        <x:v>Aéroport de fret</x:v>
      </x:c>
      <x:c r="E3512" s="115" t="n">
        <x:v>7</x:v>
      </x:c>
      <x:c r="F3512" s="115" t="str">
        <x:v>Inspection physique</x:v>
      </x:c>
      <x:c r="G3512" s="115" t="str">
        <x:v>1 niveaux ; 36 pièces ; 265 segments de mur ; 0 transitions. Inspection physique ; architecture complète encore ouverte.</x:v>
      </x:c>
      <x:c r="H3512" s="115" t="str">
        <x:v>L 1100 ; l 2600 ; hauteur 28 m ; choix de composition auteur ; dimensions réelles à documenter</x:v>
      </x:c>
      <x:c r="I3512" s="115" t="str">
        <x:v>À équilibrer</x:v>
      </x:c>
      <x:c r="J3512" s="115" t="str">
        <x:v>Non</x:v>
      </x:c>
      <x:c r="K3512" s="115" t="str">
        <x:v>Pièces décrites, murs, portes, niveaux et mobilier inspectables à l’échelle. Volumes réservés, raccord au seed, butin, rencontres et services de campagne restent à terminer.</x:v>
      </x:c>
    </x:row>
    <x:row r="3513" ht="96" customHeight="1">
      <x:c r="A3513" s="115" t="str">
        <x:v>EXT-MONDE-T071-V08</x:v>
      </x:c>
      <x:c r="B3513" s="115" t="str">
        <x:v>EXT-MONDE-T071</x:v>
      </x:c>
      <x:c r="C3513" s="115" t="str">
        <x:v>Aéroports</x:v>
      </x:c>
      <x:c r="D3513" s="115" t="str">
        <x:v>Aéroport de fret</x:v>
      </x:c>
      <x:c r="E3513" s="115" t="n">
        <x:v>8</x:v>
      </x:c>
      <x:c r="F3513" s="115" t="str">
        <x:v>Inspection physique</x:v>
      </x:c>
      <x:c r="G3513" s="115" t="str">
        <x:v>1 niveaux ; 36 pièces ; 265 segments de mur ; 0 transitions. Inspection physique ; architecture complète encore ouverte.</x:v>
      </x:c>
      <x:c r="H3513" s="115" t="str">
        <x:v>L 1100 ; l 2600 ; hauteur 28 m ; choix de composition auteur ; dimensions réelles à documenter</x:v>
      </x:c>
      <x:c r="I3513" s="115" t="str">
        <x:v>À équilibrer</x:v>
      </x:c>
      <x:c r="J3513" s="115" t="str">
        <x:v>Non</x:v>
      </x:c>
      <x:c r="K3513" s="115" t="str">
        <x:v>Pièces décrites, murs, portes, niveaux et mobilier inspectables à l’échelle. Volumes réservés, raccord au seed, butin, rencontres et services de campagne restent à terminer.</x:v>
      </x:c>
    </x:row>
    <x:row r="3514" ht="96" customHeight="1">
      <x:c r="A3514" s="115" t="str">
        <x:v>EXT-MONDE-T071-V09</x:v>
      </x:c>
      <x:c r="B3514" s="115" t="str">
        <x:v>EXT-MONDE-T071</x:v>
      </x:c>
      <x:c r="C3514" s="115" t="str">
        <x:v>Aéroports</x:v>
      </x:c>
      <x:c r="D3514" s="115" t="str">
        <x:v>Aéroport de fret</x:v>
      </x:c>
      <x:c r="E3514" s="115" t="n">
        <x:v>9</x:v>
      </x:c>
      <x:c r="F3514" s="115" t="str">
        <x:v>Inspection physique</x:v>
      </x:c>
      <x:c r="G3514" s="115" t="str">
        <x:v>1 niveaux ; 36 pièces ; 265 segments de mur ; 0 transitions. Inspection physique ; architecture complète encore ouverte.</x:v>
      </x:c>
      <x:c r="H3514" s="115" t="str">
        <x:v>L 1100 ; l 2600 ; hauteur 28 m ; choix de composition auteur ; dimensions réelles à documenter</x:v>
      </x:c>
      <x:c r="I3514" s="115" t="str">
        <x:v>À équilibrer</x:v>
      </x:c>
      <x:c r="J3514" s="115" t="str">
        <x:v>Non</x:v>
      </x:c>
      <x:c r="K3514" s="115" t="str">
        <x:v>Pièces décrites, murs, portes, niveaux et mobilier inspectables à l’échelle. Volumes réservés, raccord au seed, butin, rencontres et services de campagne restent à terminer.</x:v>
      </x:c>
    </x:row>
    <x:row r="3515" ht="96" customHeight="1">
      <x:c r="A3515" s="115" t="str">
        <x:v>EXT-MONDE-T071-V10</x:v>
      </x:c>
      <x:c r="B3515" s="115" t="str">
        <x:v>EXT-MONDE-T071</x:v>
      </x:c>
      <x:c r="C3515" s="115" t="str">
        <x:v>Aéroports</x:v>
      </x:c>
      <x:c r="D3515" s="115" t="str">
        <x:v>Aéroport de fret</x:v>
      </x:c>
      <x:c r="E3515" s="115" t="n">
        <x:v>10</x:v>
      </x:c>
      <x:c r="F3515" s="115" t="str">
        <x:v>Inspection physique</x:v>
      </x:c>
      <x:c r="G3515" s="115" t="str">
        <x:v>1 niveaux ; 36 pièces ; 265 segments de mur ; 0 transitions. Inspection physique ; architecture complète encore ouverte.</x:v>
      </x:c>
      <x:c r="H3515" s="115" t="str">
        <x:v>L 1100 ; l 2600 ; hauteur 28 m ; choix de composition auteur ; dimensions réelles à documenter</x:v>
      </x:c>
      <x:c r="I3515" s="115" t="str">
        <x:v>À équilibrer</x:v>
      </x:c>
      <x:c r="J3515" s="115" t="str">
        <x:v>Non</x:v>
      </x:c>
      <x:c r="K3515" s="115" t="str">
        <x:v>Pièces décrites, murs, portes, niveaux et mobilier inspectables à l’échelle. Volumes réservés, raccord au seed, butin, rencontres et services de campagne restent à terminer.</x:v>
      </x:c>
    </x:row>
    <x:row r="3516" ht="96" customHeight="1">
      <x:c r="A3516" s="115" t="str">
        <x:v>EXT-MONDE-T071-V11</x:v>
      </x:c>
      <x:c r="B3516" s="115" t="str">
        <x:v>EXT-MONDE-T071</x:v>
      </x:c>
      <x:c r="C3516" s="115" t="str">
        <x:v>Aéroports</x:v>
      </x:c>
      <x:c r="D3516" s="115" t="str">
        <x:v>Aéroport de fret</x:v>
      </x:c>
      <x:c r="E3516" s="115" t="n">
        <x:v>11</x:v>
      </x:c>
      <x:c r="F3516" s="115" t="str">
        <x:v>Inspection physique</x:v>
      </x:c>
      <x:c r="G3516" s="115" t="str">
        <x:v>1 niveaux ; 36 pièces ; 265 segments de mur ; 0 transitions. Inspection physique ; architecture complète encore ouverte.</x:v>
      </x:c>
      <x:c r="H3516" s="115" t="str">
        <x:v>L 1100 ; l 2800 ; hauteur 30 m ; choix de composition auteur ; dimensions réelles à documenter</x:v>
      </x:c>
      <x:c r="I3516" s="115" t="str">
        <x:v>À équilibrer</x:v>
      </x:c>
      <x:c r="J3516" s="115" t="str">
        <x:v>Non</x:v>
      </x:c>
      <x:c r="K3516" s="115" t="str">
        <x:v>Pièces décrites, murs, portes, niveaux et mobilier inspectables à l’échelle. Volumes réservés, raccord au seed, butin, rencontres et services de campagne restent à terminer.</x:v>
      </x:c>
    </x:row>
    <x:row r="3517" ht="96" customHeight="1">
      <x:c r="A3517" s="115" t="str">
        <x:v>EXT-MONDE-T071-V12</x:v>
      </x:c>
      <x:c r="B3517" s="115" t="str">
        <x:v>EXT-MONDE-T071</x:v>
      </x:c>
      <x:c r="C3517" s="115" t="str">
        <x:v>Aéroports</x:v>
      </x:c>
      <x:c r="D3517" s="115" t="str">
        <x:v>Aéroport de fret</x:v>
      </x:c>
      <x:c r="E3517" s="115" t="n">
        <x:v>12</x:v>
      </x:c>
      <x:c r="F3517" s="115" t="str">
        <x:v>Inspection physique</x:v>
      </x:c>
      <x:c r="G3517" s="115" t="str">
        <x:v>1 niveaux ; 36 pièces ; 265 segments de mur ; 0 transitions. Inspection physique ; architecture complète encore ouverte.</x:v>
      </x:c>
      <x:c r="H3517" s="115" t="str">
        <x:v>L 1100 ; l 2800 ; hauteur 30 m ; choix de composition auteur ; dimensions réelles à documenter</x:v>
      </x:c>
      <x:c r="I3517" s="115" t="str">
        <x:v>À équilibrer</x:v>
      </x:c>
      <x:c r="J3517" s="115" t="str">
        <x:v>Non</x:v>
      </x:c>
      <x:c r="K3517" s="115" t="str">
        <x:v>Pièces décrites, murs, portes, niveaux et mobilier inspectables à l’échelle. Volumes réservés, raccord au seed, butin, rencontres et services de campagne restent à terminer.</x:v>
      </x:c>
    </x:row>
    <x:row r="3518" ht="96" customHeight="1">
      <x:c r="A3518" s="115" t="str">
        <x:v>EXT-MONDE-T071-V13</x:v>
      </x:c>
      <x:c r="B3518" s="115" t="str">
        <x:v>EXT-MONDE-T071</x:v>
      </x:c>
      <x:c r="C3518" s="115" t="str">
        <x:v>Aéroports</x:v>
      </x:c>
      <x:c r="D3518" s="115" t="str">
        <x:v>Aéroport de fret</x:v>
      </x:c>
      <x:c r="E3518" s="115" t="n">
        <x:v>13</x:v>
      </x:c>
      <x:c r="F3518" s="115" t="str">
        <x:v>Inspection physique</x:v>
      </x:c>
      <x:c r="G3518" s="115" t="str">
        <x:v>1 niveaux ; 36 pièces ; 265 segments de mur ; 0 transitions. Inspection physique ; architecture complète encore ouverte.</x:v>
      </x:c>
      <x:c r="H3518" s="115" t="str">
        <x:v>L 1100 ; l 2800 ; hauteur 30 m ; choix de composition auteur ; dimensions réelles à documenter</x:v>
      </x:c>
      <x:c r="I3518" s="115" t="str">
        <x:v>À équilibrer</x:v>
      </x:c>
      <x:c r="J3518" s="115" t="str">
        <x:v>Non</x:v>
      </x:c>
      <x:c r="K3518" s="115" t="str">
        <x:v>Pièces décrites, murs, portes, niveaux et mobilier inspectables à l’échelle. Volumes réservés, raccord au seed, butin, rencontres et services de campagne restent à terminer.</x:v>
      </x:c>
    </x:row>
    <x:row r="3519" ht="96" customHeight="1">
      <x:c r="A3519" s="115" t="str">
        <x:v>EXT-MONDE-T071-V14</x:v>
      </x:c>
      <x:c r="B3519" s="115" t="str">
        <x:v>EXT-MONDE-T071</x:v>
      </x:c>
      <x:c r="C3519" s="115" t="str">
        <x:v>Aéroports</x:v>
      </x:c>
      <x:c r="D3519" s="115" t="str">
        <x:v>Aéroport de fret</x:v>
      </x:c>
      <x:c r="E3519" s="115" t="n">
        <x:v>14</x:v>
      </x:c>
      <x:c r="F3519" s="115" t="str">
        <x:v>Inspection physique</x:v>
      </x:c>
      <x:c r="G3519" s="115" t="str">
        <x:v>1 niveaux ; 36 pièces ; 265 segments de mur ; 0 transitions. Inspection physique ; architecture complète encore ouverte.</x:v>
      </x:c>
      <x:c r="H3519" s="115" t="str">
        <x:v>L 1100 ; l 2800 ; hauteur 30 m ; choix de composition auteur ; dimensions réelles à documenter</x:v>
      </x:c>
      <x:c r="I3519" s="115" t="str">
        <x:v>À équilibrer</x:v>
      </x:c>
      <x:c r="J3519" s="115" t="str">
        <x:v>Non</x:v>
      </x:c>
      <x:c r="K3519" s="115" t="str">
        <x:v>Pièces décrites, murs, portes, niveaux et mobilier inspectables à l’échelle. Volumes réservés, raccord au seed, butin, rencontres et services de campagne restent à terminer.</x:v>
      </x:c>
    </x:row>
    <x:row r="3520" ht="96" customHeight="1">
      <x:c r="A3520" s="115" t="str">
        <x:v>EXT-MONDE-T071-V15</x:v>
      </x:c>
      <x:c r="B3520" s="115" t="str">
        <x:v>EXT-MONDE-T071</x:v>
      </x:c>
      <x:c r="C3520" s="115" t="str">
        <x:v>Aéroports</x:v>
      </x:c>
      <x:c r="D3520" s="115" t="str">
        <x:v>Aéroport de fret</x:v>
      </x:c>
      <x:c r="E3520" s="115" t="n">
        <x:v>15</x:v>
      </x:c>
      <x:c r="F3520" s="115" t="str">
        <x:v>Inspection physique</x:v>
      </x:c>
      <x:c r="G3520" s="115" t="str">
        <x:v>1 niveaux ; 36 pièces ; 265 segments de mur ; 0 transitions. Inspection physique ; architecture complète encore ouverte.</x:v>
      </x:c>
      <x:c r="H3520" s="115" t="str">
        <x:v>L 1100 ; l 2800 ; hauteur 30 m ; choix de composition auteur ; dimensions réelles à documenter</x:v>
      </x:c>
      <x:c r="I3520" s="115" t="str">
        <x:v>À équilibrer</x:v>
      </x:c>
      <x:c r="J3520" s="115" t="str">
        <x:v>Non</x:v>
      </x:c>
      <x:c r="K3520" s="115" t="str">
        <x:v>Pièces décrites, murs, portes, niveaux et mobilier inspectables à l’échelle. Volumes réservés, raccord au seed, butin, rencontres et services de campagne restent à terminer.</x:v>
      </x:c>
    </x:row>
    <x:row r="3521" ht="96" customHeight="1">
      <x:c r="A3521" s="115" t="str">
        <x:v>EXT-MONDE-T071-V16</x:v>
      </x:c>
      <x:c r="B3521" s="115" t="str">
        <x:v>EXT-MONDE-T071</x:v>
      </x:c>
      <x:c r="C3521" s="115" t="str">
        <x:v>Aéroports</x:v>
      </x:c>
      <x:c r="D3521" s="115" t="str">
        <x:v>Aéroport de fret</x:v>
      </x:c>
      <x:c r="E3521" s="115" t="n">
        <x:v>16</x:v>
      </x:c>
      <x:c r="F3521" s="115" t="str">
        <x:v>Inspection physique</x:v>
      </x:c>
      <x:c r="G3521" s="115" t="str">
        <x:v>1 niveaux ; 36 pièces ; 265 segments de mur ; 0 transitions. Inspection physique ; architecture complète encore ouverte.</x:v>
      </x:c>
      <x:c r="H3521" s="115" t="str">
        <x:v>L 1100 ; l 2800 ; hauteur 30 m ; choix de composition auteur ; dimensions réelles à documenter</x:v>
      </x:c>
      <x:c r="I3521" s="115" t="str">
        <x:v>À équilibrer</x:v>
      </x:c>
      <x:c r="J3521" s="115" t="str">
        <x:v>Non</x:v>
      </x:c>
      <x:c r="K3521" s="115" t="str">
        <x:v>Pièces décrites, murs, portes, niveaux et mobilier inspectables à l’échelle. Volumes réservés, raccord au seed, butin, rencontres et services de campagne restent à terminer.</x:v>
      </x:c>
    </x:row>
    <x:row r="3522" ht="96" customHeight="1">
      <x:c r="A3522" s="115" t="str">
        <x:v>EXT-MONDE-T071-V17</x:v>
      </x:c>
      <x:c r="B3522" s="115" t="str">
        <x:v>EXT-MONDE-T071</x:v>
      </x:c>
      <x:c r="C3522" s="115" t="str">
        <x:v>Aéroports</x:v>
      </x:c>
      <x:c r="D3522" s="115" t="str">
        <x:v>Aéroport de fret</x:v>
      </x:c>
      <x:c r="E3522" s="115" t="n">
        <x:v>17</x:v>
      </x:c>
      <x:c r="F3522" s="115" t="str">
        <x:v>Inspection physique</x:v>
      </x:c>
      <x:c r="G3522" s="115" t="str">
        <x:v>1 niveaux ; 36 pièces ; 265 segments de mur ; 0 transitions. Inspection physique ; architecture complète encore ouverte.</x:v>
      </x:c>
      <x:c r="H3522" s="115" t="str">
        <x:v>L 1100 ; l 2800 ; hauteur 30 m ; choix de composition auteur ; dimensions réelles à documenter</x:v>
      </x:c>
      <x:c r="I3522" s="115" t="str">
        <x:v>À équilibrer</x:v>
      </x:c>
      <x:c r="J3522" s="115" t="str">
        <x:v>Non</x:v>
      </x:c>
      <x:c r="K3522" s="115" t="str">
        <x:v>Pièces décrites, murs, portes, niveaux et mobilier inspectables à l’échelle. Volumes réservés, raccord au seed, butin, rencontres et services de campagne restent à terminer.</x:v>
      </x:c>
    </x:row>
    <x:row r="3523" ht="96" customHeight="1">
      <x:c r="A3523" s="115" t="str">
        <x:v>EXT-MONDE-T071-V18</x:v>
      </x:c>
      <x:c r="B3523" s="115" t="str">
        <x:v>EXT-MONDE-T071</x:v>
      </x:c>
      <x:c r="C3523" s="115" t="str">
        <x:v>Aéroports</x:v>
      </x:c>
      <x:c r="D3523" s="115" t="str">
        <x:v>Aéroport de fret</x:v>
      </x:c>
      <x:c r="E3523" s="115" t="n">
        <x:v>18</x:v>
      </x:c>
      <x:c r="F3523" s="115" t="str">
        <x:v>Inspection physique</x:v>
      </x:c>
      <x:c r="G3523" s="115" t="str">
        <x:v>1 niveaux ; 36 pièces ; 265 segments de mur ; 0 transitions. Inspection physique ; architecture complète encore ouverte.</x:v>
      </x:c>
      <x:c r="H3523" s="115" t="str">
        <x:v>L 1100 ; l 2800 ; hauteur 30 m ; choix de composition auteur ; dimensions réelles à documenter</x:v>
      </x:c>
      <x:c r="I3523" s="115" t="str">
        <x:v>À équilibrer</x:v>
      </x:c>
      <x:c r="J3523" s="115" t="str">
        <x:v>Non</x:v>
      </x:c>
      <x:c r="K3523" s="115" t="str">
        <x:v>Pièces décrites, murs, portes, niveaux et mobilier inspectables à l’échelle. Volumes réservés, raccord au seed, butin, rencontres et services de campagne restent à terminer.</x:v>
      </x:c>
    </x:row>
    <x:row r="3524" ht="96" customHeight="1">
      <x:c r="A3524" s="115" t="str">
        <x:v>EXT-MONDE-T071-V19</x:v>
      </x:c>
      <x:c r="B3524" s="115" t="str">
        <x:v>EXT-MONDE-T071</x:v>
      </x:c>
      <x:c r="C3524" s="115" t="str">
        <x:v>Aéroports</x:v>
      </x:c>
      <x:c r="D3524" s="115" t="str">
        <x:v>Aéroport de fret</x:v>
      </x:c>
      <x:c r="E3524" s="115" t="n">
        <x:v>19</x:v>
      </x:c>
      <x:c r="F3524" s="115" t="str">
        <x:v>Inspection physique</x:v>
      </x:c>
      <x:c r="G3524" s="115" t="str">
        <x:v>1 niveaux ; 36 pièces ; 265 segments de mur ; 0 transitions. Inspection physique ; architecture complète encore ouverte.</x:v>
      </x:c>
      <x:c r="H3524" s="115" t="str">
        <x:v>L 1100 ; l 2800 ; hauteur 30 m ; choix de composition auteur ; dimensions réelles à documenter</x:v>
      </x:c>
      <x:c r="I3524" s="115" t="str">
        <x:v>À équilibrer</x:v>
      </x:c>
      <x:c r="J3524" s="115" t="str">
        <x:v>Non</x:v>
      </x:c>
      <x:c r="K3524" s="115" t="str">
        <x:v>Pièces décrites, murs, portes, niveaux et mobilier inspectables à l’échelle. Volumes réservés, raccord au seed, butin, rencontres et services de campagne restent à terminer.</x:v>
      </x:c>
    </x:row>
    <x:row r="3525" ht="96" customHeight="1">
      <x:c r="A3525" s="115" t="str">
        <x:v>EXT-MONDE-T071-V20</x:v>
      </x:c>
      <x:c r="B3525" s="115" t="str">
        <x:v>EXT-MONDE-T071</x:v>
      </x:c>
      <x:c r="C3525" s="115" t="str">
        <x:v>Aéroports</x:v>
      </x:c>
      <x:c r="D3525" s="115" t="str">
        <x:v>Aéroport de fret</x:v>
      </x:c>
      <x:c r="E3525" s="115" t="n">
        <x:v>20</x:v>
      </x:c>
      <x:c r="F3525" s="115" t="str">
        <x:v>Inspection physique</x:v>
      </x:c>
      <x:c r="G3525" s="115" t="str">
        <x:v>1 niveaux ; 36 pièces ; 265 segments de mur ; 0 transitions. Inspection physique ; architecture complète encore ouverte.</x:v>
      </x:c>
      <x:c r="H3525" s="115" t="str">
        <x:v>L 1100 ; l 2800 ; hauteur 30 m ; choix de composition auteur ; dimensions réelles à documenter</x:v>
      </x:c>
      <x:c r="I3525" s="115" t="str">
        <x:v>À équilibrer</x:v>
      </x:c>
      <x:c r="J3525" s="115" t="str">
        <x:v>Non</x:v>
      </x:c>
      <x:c r="K3525" s="115" t="str">
        <x:v>Pièces décrites, murs, portes, niveaux et mobilier inspectables à l’échelle. Volumes réservés, raccord au seed, butin, rencontres et services de campagne restent à terminer.</x:v>
      </x:c>
    </x:row>
    <x:row r="3526" ht="96" customHeight="1">
      <x:c r="A3526" s="115" t="str">
        <x:v>EXT-MONDE-T071-V21</x:v>
      </x:c>
      <x:c r="B3526" s="115" t="str">
        <x:v>EXT-MONDE-T071</x:v>
      </x:c>
      <x:c r="C3526" s="115" t="str">
        <x:v>Aéroports</x:v>
      </x:c>
      <x:c r="D3526" s="115" t="str">
        <x:v>Aéroport de fret</x:v>
      </x:c>
      <x:c r="E3526" s="115" t="n">
        <x:v>21</x:v>
      </x:c>
      <x:c r="F3526" s="115" t="str">
        <x:v>Inspection physique</x:v>
      </x:c>
      <x:c r="G3526" s="115" t="str">
        <x:v>1 niveaux ; 36 pièces ; 265 segments de mur ; 0 transitions. Inspection physique ; architecture complète encore ouverte.</x:v>
      </x:c>
      <x:c r="H3526" s="115" t="str">
        <x:v>L 1100 ; l 3000 ; hauteur 32 m ; choix de composition auteur ; dimensions réelles à documenter</x:v>
      </x:c>
      <x:c r="I3526" s="115" t="str">
        <x:v>À équilibrer</x:v>
      </x:c>
      <x:c r="J3526" s="115" t="str">
        <x:v>Non</x:v>
      </x:c>
      <x:c r="K3526" s="115" t="str">
        <x:v>Pièces décrites, murs, portes, niveaux et mobilier inspectables à l’échelle. Volumes réservés, raccord au seed, butin, rencontres et services de campagne restent à terminer.</x:v>
      </x:c>
    </x:row>
    <x:row r="3527" ht="96" customHeight="1">
      <x:c r="A3527" s="115" t="str">
        <x:v>EXT-MONDE-T071-V22</x:v>
      </x:c>
      <x:c r="B3527" s="115" t="str">
        <x:v>EXT-MONDE-T071</x:v>
      </x:c>
      <x:c r="C3527" s="115" t="str">
        <x:v>Aéroports</x:v>
      </x:c>
      <x:c r="D3527" s="115" t="str">
        <x:v>Aéroport de fret</x:v>
      </x:c>
      <x:c r="E3527" s="115" t="n">
        <x:v>22</x:v>
      </x:c>
      <x:c r="F3527" s="115" t="str">
        <x:v>Inspection physique</x:v>
      </x:c>
      <x:c r="G3527" s="115" t="str">
        <x:v>1 niveaux ; 36 pièces ; 265 segments de mur ; 0 transitions. Inspection physique ; architecture complète encore ouverte.</x:v>
      </x:c>
      <x:c r="H3527" s="115" t="str">
        <x:v>L 1100 ; l 3000 ; hauteur 32 m ; choix de composition auteur ; dimensions réelles à documenter</x:v>
      </x:c>
      <x:c r="I3527" s="115" t="str">
        <x:v>À équilibrer</x:v>
      </x:c>
      <x:c r="J3527" s="115" t="str">
        <x:v>Non</x:v>
      </x:c>
      <x:c r="K3527" s="115" t="str">
        <x:v>Pièces décrites, murs, portes, niveaux et mobilier inspectables à l’échelle. Volumes réservés, raccord au seed, butin, rencontres et services de campagne restent à terminer.</x:v>
      </x:c>
    </x:row>
    <x:row r="3528" ht="96" customHeight="1">
      <x:c r="A3528" s="115" t="str">
        <x:v>EXT-MONDE-T071-V23</x:v>
      </x:c>
      <x:c r="B3528" s="115" t="str">
        <x:v>EXT-MONDE-T071</x:v>
      </x:c>
      <x:c r="C3528" s="115" t="str">
        <x:v>Aéroports</x:v>
      </x:c>
      <x:c r="D3528" s="115" t="str">
        <x:v>Aéroport de fret</x:v>
      </x:c>
      <x:c r="E3528" s="115" t="n">
        <x:v>23</x:v>
      </x:c>
      <x:c r="F3528" s="115" t="str">
        <x:v>Inspection physique</x:v>
      </x:c>
      <x:c r="G3528" s="115" t="str">
        <x:v>1 niveaux ; 36 pièces ; 265 segments de mur ; 0 transitions. Inspection physique ; architecture complète encore ouverte.</x:v>
      </x:c>
      <x:c r="H3528" s="115" t="str">
        <x:v>L 1100 ; l 3000 ; hauteur 32 m ; choix de composition auteur ; dimensions réelles à documenter</x:v>
      </x:c>
      <x:c r="I3528" s="115" t="str">
        <x:v>À équilibrer</x:v>
      </x:c>
      <x:c r="J3528" s="115" t="str">
        <x:v>Non</x:v>
      </x:c>
      <x:c r="K3528" s="115" t="str">
        <x:v>Pièces décrites, murs, portes, niveaux et mobilier inspectables à l’échelle. Volumes réservés, raccord au seed, butin, rencontres et services de campagne restent à terminer.</x:v>
      </x:c>
    </x:row>
    <x:row r="3529" ht="96" customHeight="1">
      <x:c r="A3529" s="115" t="str">
        <x:v>EXT-MONDE-T071-V24</x:v>
      </x:c>
      <x:c r="B3529" s="115" t="str">
        <x:v>EXT-MONDE-T071</x:v>
      </x:c>
      <x:c r="C3529" s="115" t="str">
        <x:v>Aéroports</x:v>
      </x:c>
      <x:c r="D3529" s="115" t="str">
        <x:v>Aéroport de fret</x:v>
      </x:c>
      <x:c r="E3529" s="115" t="n">
        <x:v>24</x:v>
      </x:c>
      <x:c r="F3529" s="115" t="str">
        <x:v>Inspection physique</x:v>
      </x:c>
      <x:c r="G3529" s="115" t="str">
        <x:v>1 niveaux ; 36 pièces ; 265 segments de mur ; 0 transitions. Inspection physique ; architecture complète encore ouverte.</x:v>
      </x:c>
      <x:c r="H3529" s="115" t="str">
        <x:v>L 1100 ; l 3000 ; hauteur 32 m ; choix de composition auteur ; dimensions réelles à documenter</x:v>
      </x:c>
      <x:c r="I3529" s="115" t="str">
        <x:v>À équilibrer</x:v>
      </x:c>
      <x:c r="J3529" s="115" t="str">
        <x:v>Non</x:v>
      </x:c>
      <x:c r="K3529" s="115" t="str">
        <x:v>Pièces décrites, murs, portes, niveaux et mobilier inspectables à l’échelle. Volumes réservés, raccord au seed, butin, rencontres et services de campagne restent à terminer.</x:v>
      </x:c>
    </x:row>
    <x:row r="3530" ht="96" customHeight="1">
      <x:c r="A3530" s="115" t="str">
        <x:v>EXT-MONDE-T071-V25</x:v>
      </x:c>
      <x:c r="B3530" s="115" t="str">
        <x:v>EXT-MONDE-T071</x:v>
      </x:c>
      <x:c r="C3530" s="115" t="str">
        <x:v>Aéroports</x:v>
      </x:c>
      <x:c r="D3530" s="115" t="str">
        <x:v>Aéroport de fret</x:v>
      </x:c>
      <x:c r="E3530" s="115" t="n">
        <x:v>25</x:v>
      </x:c>
      <x:c r="F3530" s="115" t="str">
        <x:v>Inspection physique</x:v>
      </x:c>
      <x:c r="G3530" s="115" t="str">
        <x:v>1 niveaux ; 36 pièces ; 265 segments de mur ; 0 transitions. Inspection physique ; architecture complète encore ouverte.</x:v>
      </x:c>
      <x:c r="H3530" s="115" t="str">
        <x:v>L 1100 ; l 3000 ; hauteur 32 m ; choix de composition auteur ; dimensions réelles à documenter</x:v>
      </x:c>
      <x:c r="I3530" s="115" t="str">
        <x:v>À équilibrer</x:v>
      </x:c>
      <x:c r="J3530" s="115" t="str">
        <x:v>Non</x:v>
      </x:c>
      <x:c r="K3530" s="115" t="str">
        <x:v>Pièces décrites, murs, portes, niveaux et mobilier inspectables à l’échelle. Volumes réservés, raccord au seed, butin, rencontres et services de campagne restent à terminer.</x:v>
      </x:c>
    </x:row>
    <x:row r="3531" ht="96" customHeight="1">
      <x:c r="A3531" s="115" t="str">
        <x:v>EXT-MONDE-T071-V26</x:v>
      </x:c>
      <x:c r="B3531" s="115" t="str">
        <x:v>EXT-MONDE-T071</x:v>
      </x:c>
      <x:c r="C3531" s="115" t="str">
        <x:v>Aéroports</x:v>
      </x:c>
      <x:c r="D3531" s="115" t="str">
        <x:v>Aéroport de fret</x:v>
      </x:c>
      <x:c r="E3531" s="115" t="n">
        <x:v>26</x:v>
      </x:c>
      <x:c r="F3531" s="115" t="str">
        <x:v>Inspection physique</x:v>
      </x:c>
      <x:c r="G3531" s="115" t="str">
        <x:v>1 niveaux ; 36 pièces ; 265 segments de mur ; 0 transitions. Inspection physique ; architecture complète encore ouverte.</x:v>
      </x:c>
      <x:c r="H3531" s="115" t="str">
        <x:v>L 1100 ; l 3000 ; hauteur 32 m ; choix de composition auteur ; dimensions réelles à documenter</x:v>
      </x:c>
      <x:c r="I3531" s="115" t="str">
        <x:v>À équilibrer</x:v>
      </x:c>
      <x:c r="J3531" s="115" t="str">
        <x:v>Non</x:v>
      </x:c>
      <x:c r="K3531" s="115" t="str">
        <x:v>Pièces décrites, murs, portes, niveaux et mobilier inspectables à l’échelle. Volumes réservés, raccord au seed, butin, rencontres et services de campagne restent à terminer.</x:v>
      </x:c>
    </x:row>
    <x:row r="3532" ht="96" customHeight="1">
      <x:c r="A3532" s="115" t="str">
        <x:v>EXT-MONDE-T071-V27</x:v>
      </x:c>
      <x:c r="B3532" s="115" t="str">
        <x:v>EXT-MONDE-T071</x:v>
      </x:c>
      <x:c r="C3532" s="115" t="str">
        <x:v>Aéroports</x:v>
      </x:c>
      <x:c r="D3532" s="115" t="str">
        <x:v>Aéroport de fret</x:v>
      </x:c>
      <x:c r="E3532" s="115" t="n">
        <x:v>27</x:v>
      </x:c>
      <x:c r="F3532" s="115" t="str">
        <x:v>Inspection physique</x:v>
      </x:c>
      <x:c r="G3532" s="115" t="str">
        <x:v>1 niveaux ; 36 pièces ; 265 segments de mur ; 0 transitions. Inspection physique ; architecture complète encore ouverte.</x:v>
      </x:c>
      <x:c r="H3532" s="115" t="str">
        <x:v>L 1100 ; l 3000 ; hauteur 32 m ; choix de composition auteur ; dimensions réelles à documenter</x:v>
      </x:c>
      <x:c r="I3532" s="115" t="str">
        <x:v>À équilibrer</x:v>
      </x:c>
      <x:c r="J3532" s="115" t="str">
        <x:v>Non</x:v>
      </x:c>
      <x:c r="K3532" s="115" t="str">
        <x:v>Pièces décrites, murs, portes, niveaux et mobilier inspectables à l’échelle. Volumes réservés, raccord au seed, butin, rencontres et services de campagne restent à terminer.</x:v>
      </x:c>
    </x:row>
    <x:row r="3533" ht="96" customHeight="1">
      <x:c r="A3533" s="115" t="str">
        <x:v>EXT-MONDE-T071-V28</x:v>
      </x:c>
      <x:c r="B3533" s="115" t="str">
        <x:v>EXT-MONDE-T071</x:v>
      </x:c>
      <x:c r="C3533" s="115" t="str">
        <x:v>Aéroports</x:v>
      </x:c>
      <x:c r="D3533" s="115" t="str">
        <x:v>Aéroport de fret</x:v>
      </x:c>
      <x:c r="E3533" s="115" t="n">
        <x:v>28</x:v>
      </x:c>
      <x:c r="F3533" s="115" t="str">
        <x:v>Inspection physique</x:v>
      </x:c>
      <x:c r="G3533" s="115" t="str">
        <x:v>1 niveaux ; 36 pièces ; 265 segments de mur ; 0 transitions. Inspection physique ; architecture complète encore ouverte.</x:v>
      </x:c>
      <x:c r="H3533" s="115" t="str">
        <x:v>L 1100 ; l 3000 ; hauteur 32 m ; choix de composition auteur ; dimensions réelles à documenter</x:v>
      </x:c>
      <x:c r="I3533" s="115" t="str">
        <x:v>À équilibrer</x:v>
      </x:c>
      <x:c r="J3533" s="115" t="str">
        <x:v>Non</x:v>
      </x:c>
      <x:c r="K3533" s="115" t="str">
        <x:v>Pièces décrites, murs, portes, niveaux et mobilier inspectables à l’échelle. Volumes réservés, raccord au seed, butin, rencontres et services de campagne restent à terminer.</x:v>
      </x:c>
    </x:row>
    <x:row r="3534" ht="96" customHeight="1">
      <x:c r="A3534" s="115" t="str">
        <x:v>EXT-MONDE-T071-V29</x:v>
      </x:c>
      <x:c r="B3534" s="115" t="str">
        <x:v>EXT-MONDE-T071</x:v>
      </x:c>
      <x:c r="C3534" s="115" t="str">
        <x:v>Aéroports</x:v>
      </x:c>
      <x:c r="D3534" s="115" t="str">
        <x:v>Aéroport de fret</x:v>
      </x:c>
      <x:c r="E3534" s="115" t="n">
        <x:v>29</x:v>
      </x:c>
      <x:c r="F3534" s="115" t="str">
        <x:v>Inspection physique</x:v>
      </x:c>
      <x:c r="G3534" s="115" t="str">
        <x:v>1 niveaux ; 36 pièces ; 265 segments de mur ; 0 transitions. Inspection physique ; architecture complète encore ouverte.</x:v>
      </x:c>
      <x:c r="H3534" s="115" t="str">
        <x:v>L 1100 ; l 3000 ; hauteur 32 m ; choix de composition auteur ; dimensions réelles à documenter</x:v>
      </x:c>
      <x:c r="I3534" s="115" t="str">
        <x:v>À équilibrer</x:v>
      </x:c>
      <x:c r="J3534" s="115" t="str">
        <x:v>Non</x:v>
      </x:c>
      <x:c r="K3534" s="115" t="str">
        <x:v>Pièces décrites, murs, portes, niveaux et mobilier inspectables à l’échelle. Volumes réservés, raccord au seed, butin, rencontres et services de campagne restent à terminer.</x:v>
      </x:c>
    </x:row>
    <x:row r="3535" ht="96" customHeight="1">
      <x:c r="A3535" s="115" t="str">
        <x:v>EXT-MONDE-T071-V30</x:v>
      </x:c>
      <x:c r="B3535" s="115" t="str">
        <x:v>EXT-MONDE-T071</x:v>
      </x:c>
      <x:c r="C3535" s="115" t="str">
        <x:v>Aéroports</x:v>
      </x:c>
      <x:c r="D3535" s="115" t="str">
        <x:v>Aéroport de fret</x:v>
      </x:c>
      <x:c r="E3535" s="115" t="n">
        <x:v>30</x:v>
      </x:c>
      <x:c r="F3535" s="115" t="str">
        <x:v>Inspection physique</x:v>
      </x:c>
      <x:c r="G3535" s="115" t="str">
        <x:v>1 niveaux ; 36 pièces ; 265 segments de mur ; 0 transitions. Inspection physique ; architecture complète encore ouverte.</x:v>
      </x:c>
      <x:c r="H3535" s="115" t="str">
        <x:v>L 1100 ; l 3000 ; hauteur 32 m ; choix de composition auteur ; dimensions réelles à documenter</x:v>
      </x:c>
      <x:c r="I3535" s="115" t="str">
        <x:v>À équilibrer</x:v>
      </x:c>
      <x:c r="J3535" s="115" t="str">
        <x:v>Non</x:v>
      </x:c>
      <x:c r="K3535" s="115" t="str">
        <x:v>Pièces décrites, murs, portes, niveaux et mobilier inspectables à l’échelle. Volumes réservés, raccord au seed, butin, rencontres et services de campagne restent à terminer.</x:v>
      </x:c>
    </x:row>
    <x:row r="3536" ht="96" customHeight="1">
      <x:c r="A3536" s="115" t="str">
        <x:v>EXT-MONDE-T071-V31</x:v>
      </x:c>
      <x:c r="B3536" s="115" t="str">
        <x:v>EXT-MONDE-T071</x:v>
      </x:c>
      <x:c r="C3536" s="115" t="str">
        <x:v>Aéroports</x:v>
      </x:c>
      <x:c r="D3536" s="115" t="str">
        <x:v>Aéroport de fret</x:v>
      </x:c>
      <x:c r="E3536" s="115" t="n">
        <x:v>31</x:v>
      </x:c>
      <x:c r="F3536" s="115" t="str">
        <x:v>Inspection physique</x:v>
      </x:c>
      <x:c r="G3536" s="115" t="str">
        <x:v>1 niveaux ; 36 pièces ; 265 segments de mur ; 0 transitions. Inspection physique ; architecture complète encore ouverte.</x:v>
      </x:c>
      <x:c r="H3536" s="115" t="str">
        <x:v>L 1100 ; l 3200 ; hauteur 34 m ; choix de composition auteur ; dimensions réelles à documenter</x:v>
      </x:c>
      <x:c r="I3536" s="115" t="str">
        <x:v>À équilibrer</x:v>
      </x:c>
      <x:c r="J3536" s="115" t="str">
        <x:v>Non</x:v>
      </x:c>
      <x:c r="K3536" s="115" t="str">
        <x:v>Pièces décrites, murs, portes, niveaux et mobilier inspectables à l’échelle. Volumes réservés, raccord au seed, butin, rencontres et services de campagne restent à terminer.</x:v>
      </x:c>
    </x:row>
    <x:row r="3537" ht="96" customHeight="1">
      <x:c r="A3537" s="115" t="str">
        <x:v>EXT-MONDE-T071-V32</x:v>
      </x:c>
      <x:c r="B3537" s="115" t="str">
        <x:v>EXT-MONDE-T071</x:v>
      </x:c>
      <x:c r="C3537" s="115" t="str">
        <x:v>Aéroports</x:v>
      </x:c>
      <x:c r="D3537" s="115" t="str">
        <x:v>Aéroport de fret</x:v>
      </x:c>
      <x:c r="E3537" s="115" t="n">
        <x:v>32</x:v>
      </x:c>
      <x:c r="F3537" s="115" t="str">
        <x:v>Inspection physique</x:v>
      </x:c>
      <x:c r="G3537" s="115" t="str">
        <x:v>1 niveaux ; 36 pièces ; 265 segments de mur ; 0 transitions. Inspection physique ; architecture complète encore ouverte.</x:v>
      </x:c>
      <x:c r="H3537" s="115" t="str">
        <x:v>L 1100 ; l 3200 ; hauteur 34 m ; choix de composition auteur ; dimensions réelles à documenter</x:v>
      </x:c>
      <x:c r="I3537" s="115" t="str">
        <x:v>À équilibrer</x:v>
      </x:c>
      <x:c r="J3537" s="115" t="str">
        <x:v>Non</x:v>
      </x:c>
      <x:c r="K3537" s="115" t="str">
        <x:v>Pièces décrites, murs, portes, niveaux et mobilier inspectables à l’échelle. Volumes réservés, raccord au seed, butin, rencontres et services de campagne restent à terminer.</x:v>
      </x:c>
    </x:row>
    <x:row r="3538" ht="96" customHeight="1">
      <x:c r="A3538" s="115" t="str">
        <x:v>EXT-MONDE-T071-V33</x:v>
      </x:c>
      <x:c r="B3538" s="115" t="str">
        <x:v>EXT-MONDE-T071</x:v>
      </x:c>
      <x:c r="C3538" s="115" t="str">
        <x:v>Aéroports</x:v>
      </x:c>
      <x:c r="D3538" s="115" t="str">
        <x:v>Aéroport de fret</x:v>
      </x:c>
      <x:c r="E3538" s="115" t="n">
        <x:v>33</x:v>
      </x:c>
      <x:c r="F3538" s="115" t="str">
        <x:v>Inspection physique</x:v>
      </x:c>
      <x:c r="G3538" s="115" t="str">
        <x:v>1 niveaux ; 36 pièces ; 265 segments de mur ; 0 transitions. Inspection physique ; architecture complète encore ouverte.</x:v>
      </x:c>
      <x:c r="H3538" s="115" t="str">
        <x:v>L 1100 ; l 3200 ; hauteur 34 m ; choix de composition auteur ; dimensions réelles à documenter</x:v>
      </x:c>
      <x:c r="I3538" s="115" t="str">
        <x:v>À équilibrer</x:v>
      </x:c>
      <x:c r="J3538" s="115" t="str">
        <x:v>Non</x:v>
      </x:c>
      <x:c r="K3538" s="115" t="str">
        <x:v>Pièces décrites, murs, portes, niveaux et mobilier inspectables à l’échelle. Volumes réservés, raccord au seed, butin, rencontres et services de campagne restent à terminer.</x:v>
      </x:c>
    </x:row>
    <x:row r="3539" ht="96" customHeight="1">
      <x:c r="A3539" s="115" t="str">
        <x:v>EXT-MONDE-T071-V34</x:v>
      </x:c>
      <x:c r="B3539" s="115" t="str">
        <x:v>EXT-MONDE-T071</x:v>
      </x:c>
      <x:c r="C3539" s="115" t="str">
        <x:v>Aéroports</x:v>
      </x:c>
      <x:c r="D3539" s="115" t="str">
        <x:v>Aéroport de fret</x:v>
      </x:c>
      <x:c r="E3539" s="115" t="n">
        <x:v>34</x:v>
      </x:c>
      <x:c r="F3539" s="115" t="str">
        <x:v>Inspection physique</x:v>
      </x:c>
      <x:c r="G3539" s="115" t="str">
        <x:v>1 niveaux ; 36 pièces ; 265 segments de mur ; 0 transitions. Inspection physique ; architecture complète encore ouverte.</x:v>
      </x:c>
      <x:c r="H3539" s="115" t="str">
        <x:v>L 1100 ; l 3200 ; hauteur 34 m ; choix de composition auteur ; dimensions réelles à documenter</x:v>
      </x:c>
      <x:c r="I3539" s="115" t="str">
        <x:v>À équilibrer</x:v>
      </x:c>
      <x:c r="J3539" s="115" t="str">
        <x:v>Non</x:v>
      </x:c>
      <x:c r="K3539" s="115" t="str">
        <x:v>Pièces décrites, murs, portes, niveaux et mobilier inspectables à l’échelle. Volumes réservés, raccord au seed, butin, rencontres et services de campagne restent à terminer.</x:v>
      </x:c>
    </x:row>
    <x:row r="3540" ht="96" customHeight="1">
      <x:c r="A3540" s="115" t="str">
        <x:v>EXT-MONDE-T071-V35</x:v>
      </x:c>
      <x:c r="B3540" s="115" t="str">
        <x:v>EXT-MONDE-T071</x:v>
      </x:c>
      <x:c r="C3540" s="115" t="str">
        <x:v>Aéroports</x:v>
      </x:c>
      <x:c r="D3540" s="115" t="str">
        <x:v>Aéroport de fret</x:v>
      </x:c>
      <x:c r="E3540" s="115" t="n">
        <x:v>35</x:v>
      </x:c>
      <x:c r="F3540" s="115" t="str">
        <x:v>Inspection physique</x:v>
      </x:c>
      <x:c r="G3540" s="115" t="str">
        <x:v>1 niveaux ; 36 pièces ; 265 segments de mur ; 0 transitions. Inspection physique ; architecture complète encore ouverte.</x:v>
      </x:c>
      <x:c r="H3540" s="115" t="str">
        <x:v>L 1100 ; l 3200 ; hauteur 34 m ; choix de composition auteur ; dimensions réelles à documenter</x:v>
      </x:c>
      <x:c r="I3540" s="115" t="str">
        <x:v>À équilibrer</x:v>
      </x:c>
      <x:c r="J3540" s="115" t="str">
        <x:v>Non</x:v>
      </x:c>
      <x:c r="K3540" s="115" t="str">
        <x:v>Pièces décrites, murs, portes, niveaux et mobilier inspectables à l’échelle. Volumes réservés, raccord au seed, butin, rencontres et services de campagne restent à terminer.</x:v>
      </x:c>
    </x:row>
    <x:row r="3541" ht="96" customHeight="1">
      <x:c r="A3541" s="115" t="str">
        <x:v>EXT-MONDE-T071-V36</x:v>
      </x:c>
      <x:c r="B3541" s="115" t="str">
        <x:v>EXT-MONDE-T071</x:v>
      </x:c>
      <x:c r="C3541" s="115" t="str">
        <x:v>Aéroports</x:v>
      </x:c>
      <x:c r="D3541" s="115" t="str">
        <x:v>Aéroport de fret</x:v>
      </x:c>
      <x:c r="E3541" s="115" t="n">
        <x:v>36</x:v>
      </x:c>
      <x:c r="F3541" s="115" t="str">
        <x:v>Inspection physique</x:v>
      </x:c>
      <x:c r="G3541" s="115" t="str">
        <x:v>1 niveaux ; 36 pièces ; 265 segments de mur ; 0 transitions. Inspection physique ; architecture complète encore ouverte.</x:v>
      </x:c>
      <x:c r="H3541" s="115" t="str">
        <x:v>L 1100 ; l 3200 ; hauteur 34 m ; choix de composition auteur ; dimensions réelles à documenter</x:v>
      </x:c>
      <x:c r="I3541" s="115" t="str">
        <x:v>À équilibrer</x:v>
      </x:c>
      <x:c r="J3541" s="115" t="str">
        <x:v>Non</x:v>
      </x:c>
      <x:c r="K3541" s="115" t="str">
        <x:v>Pièces décrites, murs, portes, niveaux et mobilier inspectables à l’échelle. Volumes réservés, raccord au seed, butin, rencontres et services de campagne restent à terminer.</x:v>
      </x:c>
    </x:row>
    <x:row r="3542" ht="96" customHeight="1">
      <x:c r="A3542" s="115" t="str">
        <x:v>EXT-MONDE-T071-V37</x:v>
      </x:c>
      <x:c r="B3542" s="115" t="str">
        <x:v>EXT-MONDE-T071</x:v>
      </x:c>
      <x:c r="C3542" s="115" t="str">
        <x:v>Aéroports</x:v>
      </x:c>
      <x:c r="D3542" s="115" t="str">
        <x:v>Aéroport de fret</x:v>
      </x:c>
      <x:c r="E3542" s="115" t="n">
        <x:v>37</x:v>
      </x:c>
      <x:c r="F3542" s="115" t="str">
        <x:v>Inspection physique</x:v>
      </x:c>
      <x:c r="G3542" s="115" t="str">
        <x:v>1 niveaux ; 36 pièces ; 265 segments de mur ; 0 transitions. Inspection physique ; architecture complète encore ouverte.</x:v>
      </x:c>
      <x:c r="H3542" s="115" t="str">
        <x:v>L 1100 ; l 3200 ; hauteur 34 m ; choix de composition auteur ; dimensions réelles à documenter</x:v>
      </x:c>
      <x:c r="I3542" s="115" t="str">
        <x:v>À équilibrer</x:v>
      </x:c>
      <x:c r="J3542" s="115" t="str">
        <x:v>Non</x:v>
      </x:c>
      <x:c r="K3542" s="115" t="str">
        <x:v>Pièces décrites, murs, portes, niveaux et mobilier inspectables à l’échelle. Volumes réservés, raccord au seed, butin, rencontres et services de campagne restent à terminer.</x:v>
      </x:c>
    </x:row>
    <x:row r="3543" ht="96" customHeight="1">
      <x:c r="A3543" s="115" t="str">
        <x:v>EXT-MONDE-T071-V38</x:v>
      </x:c>
      <x:c r="B3543" s="115" t="str">
        <x:v>EXT-MONDE-T071</x:v>
      </x:c>
      <x:c r="C3543" s="115" t="str">
        <x:v>Aéroports</x:v>
      </x:c>
      <x:c r="D3543" s="115" t="str">
        <x:v>Aéroport de fret</x:v>
      </x:c>
      <x:c r="E3543" s="115" t="n">
        <x:v>38</x:v>
      </x:c>
      <x:c r="F3543" s="115" t="str">
        <x:v>Inspection physique</x:v>
      </x:c>
      <x:c r="G3543" s="115" t="str">
        <x:v>1 niveaux ; 36 pièces ; 265 segments de mur ; 0 transitions. Inspection physique ; architecture complète encore ouverte.</x:v>
      </x:c>
      <x:c r="H3543" s="115" t="str">
        <x:v>L 1100 ; l 3200 ; hauteur 34 m ; choix de composition auteur ; dimensions réelles à documenter</x:v>
      </x:c>
      <x:c r="I3543" s="115" t="str">
        <x:v>À équilibrer</x:v>
      </x:c>
      <x:c r="J3543" s="115" t="str">
        <x:v>Non</x:v>
      </x:c>
      <x:c r="K3543" s="115" t="str">
        <x:v>Pièces décrites, murs, portes, niveaux et mobilier inspectables à l’échelle. Volumes réservés, raccord au seed, butin, rencontres et services de campagne restent à terminer.</x:v>
      </x:c>
    </x:row>
    <x:row r="3544" ht="96" customHeight="1">
      <x:c r="A3544" s="115" t="str">
        <x:v>EXT-MONDE-T071-V39</x:v>
      </x:c>
      <x:c r="B3544" s="115" t="str">
        <x:v>EXT-MONDE-T071</x:v>
      </x:c>
      <x:c r="C3544" s="115" t="str">
        <x:v>Aéroports</x:v>
      </x:c>
      <x:c r="D3544" s="115" t="str">
        <x:v>Aéroport de fret</x:v>
      </x:c>
      <x:c r="E3544" s="115" t="n">
        <x:v>39</x:v>
      </x:c>
      <x:c r="F3544" s="115" t="str">
        <x:v>Inspection physique</x:v>
      </x:c>
      <x:c r="G3544" s="115" t="str">
        <x:v>1 niveaux ; 36 pièces ; 265 segments de mur ; 0 transitions. Inspection physique ; architecture complète encore ouverte.</x:v>
      </x:c>
      <x:c r="H3544" s="115" t="str">
        <x:v>L 1100 ; l 3200 ; hauteur 34 m ; choix de composition auteur ; dimensions réelles à documenter</x:v>
      </x:c>
      <x:c r="I3544" s="115" t="str">
        <x:v>À équilibrer</x:v>
      </x:c>
      <x:c r="J3544" s="115" t="str">
        <x:v>Non</x:v>
      </x:c>
      <x:c r="K3544" s="115" t="str">
        <x:v>Pièces décrites, murs, portes, niveaux et mobilier inspectables à l’échelle. Volumes réservés, raccord au seed, butin, rencontres et services de campagne restent à terminer.</x:v>
      </x:c>
    </x:row>
    <x:row r="3545" ht="96" customHeight="1">
      <x:c r="A3545" s="115" t="str">
        <x:v>EXT-MONDE-T071-V40</x:v>
      </x:c>
      <x:c r="B3545" s="115" t="str">
        <x:v>EXT-MONDE-T071</x:v>
      </x:c>
      <x:c r="C3545" s="115" t="str">
        <x:v>Aéroports</x:v>
      </x:c>
      <x:c r="D3545" s="115" t="str">
        <x:v>Aéroport de fret</x:v>
      </x:c>
      <x:c r="E3545" s="115" t="n">
        <x:v>40</x:v>
      </x:c>
      <x:c r="F3545" s="115" t="str">
        <x:v>Inspection physique</x:v>
      </x:c>
      <x:c r="G3545" s="115" t="str">
        <x:v>1 niveaux ; 36 pièces ; 265 segments de mur ; 0 transitions. Inspection physique ; architecture complète encore ouverte.</x:v>
      </x:c>
      <x:c r="H3545" s="115" t="str">
        <x:v>L 1100 ; l 3200 ; hauteur 34 m ; choix de composition auteur ; dimensions réelles à documenter</x:v>
      </x:c>
      <x:c r="I3545" s="115" t="str">
        <x:v>À équilibrer</x:v>
      </x:c>
      <x:c r="J3545" s="115" t="str">
        <x:v>Non</x:v>
      </x:c>
      <x:c r="K3545" s="115" t="str">
        <x:v>Pièces décrites, murs, portes, niveaux et mobilier inspectables à l’échelle. Volumes réservés, raccord au seed, butin, rencontres et services de campagne restent à terminer.</x:v>
      </x:c>
    </x:row>
    <x:row r="3546" ht="96" customHeight="1">
      <x:c r="A3546" s="115" t="str">
        <x:v>EXT-MONDE-T071-V41</x:v>
      </x:c>
      <x:c r="B3546" s="115" t="str">
        <x:v>EXT-MONDE-T071</x:v>
      </x:c>
      <x:c r="C3546" s="115" t="str">
        <x:v>Aéroports</x:v>
      </x:c>
      <x:c r="D3546" s="115" t="str">
        <x:v>Aéroport de fret</x:v>
      </x:c>
      <x:c r="E3546" s="115" t="n">
        <x:v>41</x:v>
      </x:c>
      <x:c r="F3546" s="115" t="str">
        <x:v>Inspection physique</x:v>
      </x:c>
      <x:c r="G3546" s="115" t="str">
        <x:v>1 niveaux ; 36 pièces ; 265 segments de mur ; 0 transitions. Inspection physique ; architecture complète encore ouverte.</x:v>
      </x:c>
      <x:c r="H3546" s="115" t="str">
        <x:v>L 1100 ; l 3400 ; hauteur 36 m ; choix de composition auteur ; dimensions réelles à documenter</x:v>
      </x:c>
      <x:c r="I3546" s="115" t="str">
        <x:v>À équilibrer</x:v>
      </x:c>
      <x:c r="J3546" s="115" t="str">
        <x:v>Non</x:v>
      </x:c>
      <x:c r="K3546" s="115" t="str">
        <x:v>Pièces décrites, murs, portes, niveaux et mobilier inspectables à l’échelle. Volumes réservés, raccord au seed, butin, rencontres et services de campagne restent à terminer.</x:v>
      </x:c>
    </x:row>
    <x:row r="3547" ht="96" customHeight="1">
      <x:c r="A3547" s="115" t="str">
        <x:v>EXT-MONDE-T071-V42</x:v>
      </x:c>
      <x:c r="B3547" s="115" t="str">
        <x:v>EXT-MONDE-T071</x:v>
      </x:c>
      <x:c r="C3547" s="115" t="str">
        <x:v>Aéroports</x:v>
      </x:c>
      <x:c r="D3547" s="115" t="str">
        <x:v>Aéroport de fret</x:v>
      </x:c>
      <x:c r="E3547" s="115" t="n">
        <x:v>42</x:v>
      </x:c>
      <x:c r="F3547" s="115" t="str">
        <x:v>Inspection physique</x:v>
      </x:c>
      <x:c r="G3547" s="115" t="str">
        <x:v>1 niveaux ; 36 pièces ; 265 segments de mur ; 0 transitions. Inspection physique ; architecture complète encore ouverte.</x:v>
      </x:c>
      <x:c r="H3547" s="115" t="str">
        <x:v>L 1100 ; l 3400 ; hauteur 36 m ; choix de composition auteur ; dimensions réelles à documenter</x:v>
      </x:c>
      <x:c r="I3547" s="115" t="str">
        <x:v>À équilibrer</x:v>
      </x:c>
      <x:c r="J3547" s="115" t="str">
        <x:v>Non</x:v>
      </x:c>
      <x:c r="K3547" s="115" t="str">
        <x:v>Pièces décrites, murs, portes, niveaux et mobilier inspectables à l’échelle. Volumes réservés, raccord au seed, butin, rencontres et services de campagne restent à terminer.</x:v>
      </x:c>
    </x:row>
    <x:row r="3548" ht="96" customHeight="1">
      <x:c r="A3548" s="115" t="str">
        <x:v>EXT-MONDE-T071-V43</x:v>
      </x:c>
      <x:c r="B3548" s="115" t="str">
        <x:v>EXT-MONDE-T071</x:v>
      </x:c>
      <x:c r="C3548" s="115" t="str">
        <x:v>Aéroports</x:v>
      </x:c>
      <x:c r="D3548" s="115" t="str">
        <x:v>Aéroport de fret</x:v>
      </x:c>
      <x:c r="E3548" s="115" t="n">
        <x:v>43</x:v>
      </x:c>
      <x:c r="F3548" s="115" t="str">
        <x:v>Inspection physique</x:v>
      </x:c>
      <x:c r="G3548" s="115" t="str">
        <x:v>1 niveaux ; 36 pièces ; 265 segments de mur ; 0 transitions. Inspection physique ; architecture complète encore ouverte.</x:v>
      </x:c>
      <x:c r="H3548" s="115" t="str">
        <x:v>L 1100 ; l 3400 ; hauteur 36 m ; choix de composition auteur ; dimensions réelles à documenter</x:v>
      </x:c>
      <x:c r="I3548" s="115" t="str">
        <x:v>À équilibrer</x:v>
      </x:c>
      <x:c r="J3548" s="115" t="str">
        <x:v>Non</x:v>
      </x:c>
      <x:c r="K3548" s="115" t="str">
        <x:v>Pièces décrites, murs, portes, niveaux et mobilier inspectables à l’échelle. Volumes réservés, raccord au seed, butin, rencontres et services de campagne restent à terminer.</x:v>
      </x:c>
    </x:row>
    <x:row r="3549" ht="96" customHeight="1">
      <x:c r="A3549" s="115" t="str">
        <x:v>EXT-MONDE-T071-V44</x:v>
      </x:c>
      <x:c r="B3549" s="115" t="str">
        <x:v>EXT-MONDE-T071</x:v>
      </x:c>
      <x:c r="C3549" s="115" t="str">
        <x:v>Aéroports</x:v>
      </x:c>
      <x:c r="D3549" s="115" t="str">
        <x:v>Aéroport de fret</x:v>
      </x:c>
      <x:c r="E3549" s="115" t="n">
        <x:v>44</x:v>
      </x:c>
      <x:c r="F3549" s="115" t="str">
        <x:v>Inspection physique</x:v>
      </x:c>
      <x:c r="G3549" s="115" t="str">
        <x:v>1 niveaux ; 36 pièces ; 265 segments de mur ; 0 transitions. Inspection physique ; architecture complète encore ouverte.</x:v>
      </x:c>
      <x:c r="H3549" s="115" t="str">
        <x:v>L 1100 ; l 3400 ; hauteur 36 m ; choix de composition auteur ; dimensions réelles à documenter</x:v>
      </x:c>
      <x:c r="I3549" s="115" t="str">
        <x:v>À équilibrer</x:v>
      </x:c>
      <x:c r="J3549" s="115" t="str">
        <x:v>Non</x:v>
      </x:c>
      <x:c r="K3549" s="115" t="str">
        <x:v>Pièces décrites, murs, portes, niveaux et mobilier inspectables à l’échelle. Volumes réservés, raccord au seed, butin, rencontres et services de campagne restent à terminer.</x:v>
      </x:c>
    </x:row>
    <x:row r="3550" ht="96" customHeight="1">
      <x:c r="A3550" s="115" t="str">
        <x:v>EXT-MONDE-T071-V45</x:v>
      </x:c>
      <x:c r="B3550" s="115" t="str">
        <x:v>EXT-MONDE-T071</x:v>
      </x:c>
      <x:c r="C3550" s="115" t="str">
        <x:v>Aéroports</x:v>
      </x:c>
      <x:c r="D3550" s="115" t="str">
        <x:v>Aéroport de fret</x:v>
      </x:c>
      <x:c r="E3550" s="115" t="n">
        <x:v>45</x:v>
      </x:c>
      <x:c r="F3550" s="115" t="str">
        <x:v>Inspection physique</x:v>
      </x:c>
      <x:c r="G3550" s="115" t="str">
        <x:v>1 niveaux ; 36 pièces ; 265 segments de mur ; 0 transitions. Inspection physique ; architecture complète encore ouverte.</x:v>
      </x:c>
      <x:c r="H3550" s="115" t="str">
        <x:v>L 1100 ; l 3400 ; hauteur 36 m ; choix de composition auteur ; dimensions réelles à documenter</x:v>
      </x:c>
      <x:c r="I3550" s="115" t="str">
        <x:v>À équilibrer</x:v>
      </x:c>
      <x:c r="J3550" s="115" t="str">
        <x:v>Non</x:v>
      </x:c>
      <x:c r="K3550" s="115" t="str">
        <x:v>Pièces décrites, murs, portes, niveaux et mobilier inspectables à l’échelle. Volumes réservés, raccord au seed, butin, rencontres et services de campagne restent à terminer.</x:v>
      </x:c>
    </x:row>
    <x:row r="3551" ht="96" customHeight="1">
      <x:c r="A3551" s="115" t="str">
        <x:v>EXT-MONDE-T071-V46</x:v>
      </x:c>
      <x:c r="B3551" s="115" t="str">
        <x:v>EXT-MONDE-T071</x:v>
      </x:c>
      <x:c r="C3551" s="115" t="str">
        <x:v>Aéroports</x:v>
      </x:c>
      <x:c r="D3551" s="115" t="str">
        <x:v>Aéroport de fret</x:v>
      </x:c>
      <x:c r="E3551" s="115" t="n">
        <x:v>46</x:v>
      </x:c>
      <x:c r="F3551" s="115" t="str">
        <x:v>Inspection physique</x:v>
      </x:c>
      <x:c r="G3551" s="115" t="str">
        <x:v>1 niveaux ; 36 pièces ; 265 segments de mur ; 0 transitions. Inspection physique ; architecture complète encore ouverte.</x:v>
      </x:c>
      <x:c r="H3551" s="115" t="str">
        <x:v>L 1100 ; l 3400 ; hauteur 36 m ; choix de composition auteur ; dimensions réelles à documenter</x:v>
      </x:c>
      <x:c r="I3551" s="115" t="str">
        <x:v>À équilibrer</x:v>
      </x:c>
      <x:c r="J3551" s="115" t="str">
        <x:v>Non</x:v>
      </x:c>
      <x:c r="K3551" s="115" t="str">
        <x:v>Pièces décrites, murs, portes, niveaux et mobilier inspectables à l’échelle. Volumes réservés, raccord au seed, butin, rencontres et services de campagne restent à terminer.</x:v>
      </x:c>
    </x:row>
    <x:row r="3552" ht="96" customHeight="1">
      <x:c r="A3552" s="115" t="str">
        <x:v>EXT-MONDE-T071-V47</x:v>
      </x:c>
      <x:c r="B3552" s="115" t="str">
        <x:v>EXT-MONDE-T071</x:v>
      </x:c>
      <x:c r="C3552" s="115" t="str">
        <x:v>Aéroports</x:v>
      </x:c>
      <x:c r="D3552" s="115" t="str">
        <x:v>Aéroport de fret</x:v>
      </x:c>
      <x:c r="E3552" s="115" t="n">
        <x:v>47</x:v>
      </x:c>
      <x:c r="F3552" s="115" t="str">
        <x:v>Inspection physique</x:v>
      </x:c>
      <x:c r="G3552" s="115" t="str">
        <x:v>1 niveaux ; 36 pièces ; 265 segments de mur ; 0 transitions. Inspection physique ; architecture complète encore ouverte.</x:v>
      </x:c>
      <x:c r="H3552" s="115" t="str">
        <x:v>L 1100 ; l 3400 ; hauteur 36 m ; choix de composition auteur ; dimensions réelles à documenter</x:v>
      </x:c>
      <x:c r="I3552" s="115" t="str">
        <x:v>À équilibrer</x:v>
      </x:c>
      <x:c r="J3552" s="115" t="str">
        <x:v>Non</x:v>
      </x:c>
      <x:c r="K3552" s="115" t="str">
        <x:v>Pièces décrites, murs, portes, niveaux et mobilier inspectables à l’échelle. Volumes réservés, raccord au seed, butin, rencontres et services de campagne restent à terminer.</x:v>
      </x:c>
    </x:row>
    <x:row r="3553" ht="96" customHeight="1">
      <x:c r="A3553" s="115" t="str">
        <x:v>EXT-MONDE-T071-V48</x:v>
      </x:c>
      <x:c r="B3553" s="115" t="str">
        <x:v>EXT-MONDE-T071</x:v>
      </x:c>
      <x:c r="C3553" s="115" t="str">
        <x:v>Aéroports</x:v>
      </x:c>
      <x:c r="D3553" s="115" t="str">
        <x:v>Aéroport de fret</x:v>
      </x:c>
      <x:c r="E3553" s="115" t="n">
        <x:v>48</x:v>
      </x:c>
      <x:c r="F3553" s="115" t="str">
        <x:v>Inspection physique</x:v>
      </x:c>
      <x:c r="G3553" s="115" t="str">
        <x:v>1 niveaux ; 36 pièces ; 265 segments de mur ; 0 transitions. Inspection physique ; architecture complète encore ouverte.</x:v>
      </x:c>
      <x:c r="H3553" s="115" t="str">
        <x:v>L 1100 ; l 3400 ; hauteur 36 m ; choix de composition auteur ; dimensions réelles à documenter</x:v>
      </x:c>
      <x:c r="I3553" s="115" t="str">
        <x:v>À équilibrer</x:v>
      </x:c>
      <x:c r="J3553" s="115" t="str">
        <x:v>Non</x:v>
      </x:c>
      <x:c r="K3553" s="115" t="str">
        <x:v>Pièces décrites, murs, portes, niveaux et mobilier inspectables à l’échelle. Volumes réservés, raccord au seed, butin, rencontres et services de campagne restent à terminer.</x:v>
      </x:c>
    </x:row>
    <x:row r="3554" ht="96" customHeight="1">
      <x:c r="A3554" s="115" t="str">
        <x:v>EXT-MONDE-T071-V49</x:v>
      </x:c>
      <x:c r="B3554" s="115" t="str">
        <x:v>EXT-MONDE-T071</x:v>
      </x:c>
      <x:c r="C3554" s="115" t="str">
        <x:v>Aéroports</x:v>
      </x:c>
      <x:c r="D3554" s="115" t="str">
        <x:v>Aéroport de fret</x:v>
      </x:c>
      <x:c r="E3554" s="115" t="n">
        <x:v>49</x:v>
      </x:c>
      <x:c r="F3554" s="115" t="str">
        <x:v>Inspection physique</x:v>
      </x:c>
      <x:c r="G3554" s="115" t="str">
        <x:v>1 niveaux ; 36 pièces ; 265 segments de mur ; 0 transitions. Inspection physique ; architecture complète encore ouverte.</x:v>
      </x:c>
      <x:c r="H3554" s="115" t="str">
        <x:v>L 1100 ; l 3400 ; hauteur 36 m ; choix de composition auteur ; dimensions réelles à documenter</x:v>
      </x:c>
      <x:c r="I3554" s="115" t="str">
        <x:v>À équilibrer</x:v>
      </x:c>
      <x:c r="J3554" s="115" t="str">
        <x:v>Non</x:v>
      </x:c>
      <x:c r="K3554" s="115" t="str">
        <x:v>Pièces décrites, murs, portes, niveaux et mobilier inspectables à l’échelle. Volumes réservés, raccord au seed, butin, rencontres et services de campagne restent à terminer.</x:v>
      </x:c>
    </x:row>
    <x:row r="3555" ht="96" customHeight="1">
      <x:c r="A3555" s="115" t="str">
        <x:v>EXT-MONDE-T071-V50</x:v>
      </x:c>
      <x:c r="B3555" s="115" t="str">
        <x:v>EXT-MONDE-T071</x:v>
      </x:c>
      <x:c r="C3555" s="115" t="str">
        <x:v>Aéroports</x:v>
      </x:c>
      <x:c r="D3555" s="115" t="str">
        <x:v>Aéroport de fret</x:v>
      </x:c>
      <x:c r="E3555" s="115" t="n">
        <x:v>50</x:v>
      </x:c>
      <x:c r="F3555" s="115" t="str">
        <x:v>Inspection physique</x:v>
      </x:c>
      <x:c r="G3555" s="115" t="str">
        <x:v>1 niveaux ; 36 pièces ; 265 segments de mur ; 0 transitions. Inspection physique ; architecture complète encore ouverte.</x:v>
      </x:c>
      <x:c r="H3555" s="115" t="str">
        <x:v>L 1100 ; l 3400 ; hauteur 36 m ; choix de composition auteur ; dimensions réelles à documenter</x:v>
      </x:c>
      <x:c r="I3555" s="115" t="str">
        <x:v>À équilibrer</x:v>
      </x:c>
      <x:c r="J3555" s="115" t="str">
        <x:v>Non</x:v>
      </x:c>
      <x:c r="K3555" s="115" t="str">
        <x:v>Pièces décrites, murs, portes, niveaux et mobilier inspectables à l’échelle. Volumes réservés, raccord au seed, butin, rencontres et services de campagne restent à terminer.</x:v>
      </x:c>
    </x:row>
    <x:row r="3556" ht="96" customHeight="1">
      <x:c r="A3556" s="115" t="str">
        <x:v>EXT-MONDE-T072-V01</x:v>
      </x:c>
      <x:c r="B3556" s="115" t="str">
        <x:v>EXT-MONDE-T072</x:v>
      </x:c>
      <x:c r="C3556" s="115" t="str">
        <x:v>Aéroports</x:v>
      </x:c>
      <x:c r="D3556" s="115" t="str">
        <x:v>Aérodrome insulaire</x:v>
      </x:c>
      <x:c r="E3556" s="115" t="n">
        <x:v>1</x:v>
      </x:c>
      <x:c r="F3556" s="115" t="str">
        <x:v>Inspection physique</x:v>
      </x:c>
      <x:c r="G3556" s="115" t="str">
        <x:v>1 niveaux ; 36 pièces ; 265 segments de mur ; 0 transitions. Inspection physique ; architecture complète encore ouverte.</x:v>
      </x:c>
      <x:c r="H3556" s="115" t="str">
        <x:v>L 1100 ; l 1300 ; hauteur 14 m ; choix de composition auteur ; dimensions réelles à documenter</x:v>
      </x:c>
      <x:c r="I3556" s="115" t="str">
        <x:v>À équilibrer</x:v>
      </x:c>
      <x:c r="J3556" s="115" t="str">
        <x:v>Non</x:v>
      </x:c>
      <x:c r="K3556" s="115" t="str">
        <x:v>Pièces décrites, murs, portes, niveaux et mobilier inspectables à l’échelle. Volumes réservés, raccord au seed, butin, rencontres et services de campagne restent à terminer.</x:v>
      </x:c>
    </x:row>
    <x:row r="3557" ht="96" customHeight="1">
      <x:c r="A3557" s="115" t="str">
        <x:v>EXT-MONDE-T072-V02</x:v>
      </x:c>
      <x:c r="B3557" s="115" t="str">
        <x:v>EXT-MONDE-T072</x:v>
      </x:c>
      <x:c r="C3557" s="115" t="str">
        <x:v>Aéroports</x:v>
      </x:c>
      <x:c r="D3557" s="115" t="str">
        <x:v>Aérodrome insulaire</x:v>
      </x:c>
      <x:c r="E3557" s="115" t="n">
        <x:v>2</x:v>
      </x:c>
      <x:c r="F3557" s="115" t="str">
        <x:v>Inspection physique</x:v>
      </x:c>
      <x:c r="G3557" s="115" t="str">
        <x:v>1 niveaux ; 36 pièces ; 265 segments de mur ; 0 transitions. Inspection physique ; architecture complète encore ouverte.</x:v>
      </x:c>
      <x:c r="H3557" s="115" t="str">
        <x:v>L 1100 ; l 1300 ; hauteur 14 m ; choix de composition auteur ; dimensions réelles à documenter</x:v>
      </x:c>
      <x:c r="I3557" s="115" t="str">
        <x:v>À équilibrer</x:v>
      </x:c>
      <x:c r="J3557" s="115" t="str">
        <x:v>Non</x:v>
      </x:c>
      <x:c r="K3557" s="115" t="str">
        <x:v>Pièces décrites, murs, portes, niveaux et mobilier inspectables à l’échelle. Volumes réservés, raccord au seed, butin, rencontres et services de campagne restent à terminer.</x:v>
      </x:c>
    </x:row>
    <x:row r="3558" ht="96" customHeight="1">
      <x:c r="A3558" s="115" t="str">
        <x:v>EXT-MONDE-T072-V03</x:v>
      </x:c>
      <x:c r="B3558" s="115" t="str">
        <x:v>EXT-MONDE-T072</x:v>
      </x:c>
      <x:c r="C3558" s="115" t="str">
        <x:v>Aéroports</x:v>
      </x:c>
      <x:c r="D3558" s="115" t="str">
        <x:v>Aérodrome insulaire</x:v>
      </x:c>
      <x:c r="E3558" s="115" t="n">
        <x:v>3</x:v>
      </x:c>
      <x:c r="F3558" s="115" t="str">
        <x:v>Inspection physique</x:v>
      </x:c>
      <x:c r="G3558" s="115" t="str">
        <x:v>1 niveaux ; 36 pièces ; 265 segments de mur ; 0 transitions. Inspection physique ; architecture complète encore ouverte.</x:v>
      </x:c>
      <x:c r="H3558" s="115" t="str">
        <x:v>L 1100 ; l 1300 ; hauteur 14 m ; choix de composition auteur ; dimensions réelles à documenter</x:v>
      </x:c>
      <x:c r="I3558" s="115" t="str">
        <x:v>À équilibrer</x:v>
      </x:c>
      <x:c r="J3558" s="115" t="str">
        <x:v>Non</x:v>
      </x:c>
      <x:c r="K3558" s="115" t="str">
        <x:v>Pièces décrites, murs, portes, niveaux et mobilier inspectables à l’échelle. Volumes réservés, raccord au seed, butin, rencontres et services de campagne restent à terminer.</x:v>
      </x:c>
    </x:row>
    <x:row r="3559" ht="96" customHeight="1">
      <x:c r="A3559" s="115" t="str">
        <x:v>EXT-MONDE-T072-V04</x:v>
      </x:c>
      <x:c r="B3559" s="115" t="str">
        <x:v>EXT-MONDE-T072</x:v>
      </x:c>
      <x:c r="C3559" s="115" t="str">
        <x:v>Aéroports</x:v>
      </x:c>
      <x:c r="D3559" s="115" t="str">
        <x:v>Aérodrome insulaire</x:v>
      </x:c>
      <x:c r="E3559" s="115" t="n">
        <x:v>4</x:v>
      </x:c>
      <x:c r="F3559" s="115" t="str">
        <x:v>Inspection physique</x:v>
      </x:c>
      <x:c r="G3559" s="115" t="str">
        <x:v>1 niveaux ; 36 pièces ; 265 segments de mur ; 0 transitions. Inspection physique ; architecture complète encore ouverte.</x:v>
      </x:c>
      <x:c r="H3559" s="115" t="str">
        <x:v>L 1100 ; l 1300 ; hauteur 14 m ; choix de composition auteur ; dimensions réelles à documenter</x:v>
      </x:c>
      <x:c r="I3559" s="115" t="str">
        <x:v>À équilibrer</x:v>
      </x:c>
      <x:c r="J3559" s="115" t="str">
        <x:v>Non</x:v>
      </x:c>
      <x:c r="K3559" s="115" t="str">
        <x:v>Pièces décrites, murs, portes, niveaux et mobilier inspectables à l’échelle. Volumes réservés, raccord au seed, butin, rencontres et services de campagne restent à terminer.</x:v>
      </x:c>
    </x:row>
    <x:row r="3560" ht="96" customHeight="1">
      <x:c r="A3560" s="115" t="str">
        <x:v>EXT-MONDE-T072-V05</x:v>
      </x:c>
      <x:c r="B3560" s="115" t="str">
        <x:v>EXT-MONDE-T072</x:v>
      </x:c>
      <x:c r="C3560" s="115" t="str">
        <x:v>Aéroports</x:v>
      </x:c>
      <x:c r="D3560" s="115" t="str">
        <x:v>Aérodrome insulaire</x:v>
      </x:c>
      <x:c r="E3560" s="115" t="n">
        <x:v>5</x:v>
      </x:c>
      <x:c r="F3560" s="115" t="str">
        <x:v>Inspection physique</x:v>
      </x:c>
      <x:c r="G3560" s="115" t="str">
        <x:v>1 niveaux ; 36 pièces ; 265 segments de mur ; 0 transitions. Inspection physique ; architecture complète encore ouverte.</x:v>
      </x:c>
      <x:c r="H3560" s="115" t="str">
        <x:v>L 1100 ; l 1300 ; hauteur 14 m ; choix de composition auteur ; dimensions réelles à documenter</x:v>
      </x:c>
      <x:c r="I3560" s="115" t="str">
        <x:v>À équilibrer</x:v>
      </x:c>
      <x:c r="J3560" s="115" t="str">
        <x:v>Non</x:v>
      </x:c>
      <x:c r="K3560" s="115" t="str">
        <x:v>Pièces décrites, murs, portes, niveaux et mobilier inspectables à l’échelle. Volumes réservés, raccord au seed, butin, rencontres et services de campagne restent à terminer.</x:v>
      </x:c>
    </x:row>
    <x:row r="3561" ht="96" customHeight="1">
      <x:c r="A3561" s="115" t="str">
        <x:v>EXT-MONDE-T072-V06</x:v>
      </x:c>
      <x:c r="B3561" s="115" t="str">
        <x:v>EXT-MONDE-T072</x:v>
      </x:c>
      <x:c r="C3561" s="115" t="str">
        <x:v>Aéroports</x:v>
      </x:c>
      <x:c r="D3561" s="115" t="str">
        <x:v>Aérodrome insulaire</x:v>
      </x:c>
      <x:c r="E3561" s="115" t="n">
        <x:v>6</x:v>
      </x:c>
      <x:c r="F3561" s="115" t="str">
        <x:v>Inspection physique</x:v>
      </x:c>
      <x:c r="G3561" s="115" t="str">
        <x:v>1 niveaux ; 36 pièces ; 265 segments de mur ; 0 transitions. Inspection physique ; architecture complète encore ouverte.</x:v>
      </x:c>
      <x:c r="H3561" s="115" t="str">
        <x:v>L 1100 ; l 1300 ; hauteur 14 m ; choix de composition auteur ; dimensions réelles à documenter</x:v>
      </x:c>
      <x:c r="I3561" s="115" t="str">
        <x:v>À équilibrer</x:v>
      </x:c>
      <x:c r="J3561" s="115" t="str">
        <x:v>Non</x:v>
      </x:c>
      <x:c r="K3561" s="115" t="str">
        <x:v>Pièces décrites, murs, portes, niveaux et mobilier inspectables à l’échelle. Volumes réservés, raccord au seed, butin, rencontres et services de campagne restent à terminer.</x:v>
      </x:c>
    </x:row>
    <x:row r="3562" ht="96" customHeight="1">
      <x:c r="A3562" s="115" t="str">
        <x:v>EXT-MONDE-T072-V07</x:v>
      </x:c>
      <x:c r="B3562" s="115" t="str">
        <x:v>EXT-MONDE-T072</x:v>
      </x:c>
      <x:c r="C3562" s="115" t="str">
        <x:v>Aéroports</x:v>
      </x:c>
      <x:c r="D3562" s="115" t="str">
        <x:v>Aérodrome insulaire</x:v>
      </x:c>
      <x:c r="E3562" s="115" t="n">
        <x:v>7</x:v>
      </x:c>
      <x:c r="F3562" s="115" t="str">
        <x:v>Inspection physique</x:v>
      </x:c>
      <x:c r="G3562" s="115" t="str">
        <x:v>1 niveaux ; 36 pièces ; 265 segments de mur ; 0 transitions. Inspection physique ; architecture complète encore ouverte.</x:v>
      </x:c>
      <x:c r="H3562" s="115" t="str">
        <x:v>L 1100 ; l 1300 ; hauteur 14 m ; choix de composition auteur ; dimensions réelles à documenter</x:v>
      </x:c>
      <x:c r="I3562" s="115" t="str">
        <x:v>À équilibrer</x:v>
      </x:c>
      <x:c r="J3562" s="115" t="str">
        <x:v>Non</x:v>
      </x:c>
      <x:c r="K3562" s="115" t="str">
        <x:v>Pièces décrites, murs, portes, niveaux et mobilier inspectables à l’échelle. Volumes réservés, raccord au seed, butin, rencontres et services de campagne restent à terminer.</x:v>
      </x:c>
    </x:row>
    <x:row r="3563" ht="96" customHeight="1">
      <x:c r="A3563" s="115" t="str">
        <x:v>EXT-MONDE-T072-V08</x:v>
      </x:c>
      <x:c r="B3563" s="115" t="str">
        <x:v>EXT-MONDE-T072</x:v>
      </x:c>
      <x:c r="C3563" s="115" t="str">
        <x:v>Aéroports</x:v>
      </x:c>
      <x:c r="D3563" s="115" t="str">
        <x:v>Aérodrome insulaire</x:v>
      </x:c>
      <x:c r="E3563" s="115" t="n">
        <x:v>8</x:v>
      </x:c>
      <x:c r="F3563" s="115" t="str">
        <x:v>Inspection physique</x:v>
      </x:c>
      <x:c r="G3563" s="115" t="str">
        <x:v>1 niveaux ; 36 pièces ; 265 segments de mur ; 0 transitions. Inspection physique ; architecture complète encore ouverte.</x:v>
      </x:c>
      <x:c r="H3563" s="115" t="str">
        <x:v>L 1100 ; l 1300 ; hauteur 14 m ; choix de composition auteur ; dimensions réelles à documenter</x:v>
      </x:c>
      <x:c r="I3563" s="115" t="str">
        <x:v>À équilibrer</x:v>
      </x:c>
      <x:c r="J3563" s="115" t="str">
        <x:v>Non</x:v>
      </x:c>
      <x:c r="K3563" s="115" t="str">
        <x:v>Pièces décrites, murs, portes, niveaux et mobilier inspectables à l’échelle. Volumes réservés, raccord au seed, butin, rencontres et services de campagne restent à terminer.</x:v>
      </x:c>
    </x:row>
    <x:row r="3564" ht="96" customHeight="1">
      <x:c r="A3564" s="115" t="str">
        <x:v>EXT-MONDE-T072-V09</x:v>
      </x:c>
      <x:c r="B3564" s="115" t="str">
        <x:v>EXT-MONDE-T072</x:v>
      </x:c>
      <x:c r="C3564" s="115" t="str">
        <x:v>Aéroports</x:v>
      </x:c>
      <x:c r="D3564" s="115" t="str">
        <x:v>Aérodrome insulaire</x:v>
      </x:c>
      <x:c r="E3564" s="115" t="n">
        <x:v>9</x:v>
      </x:c>
      <x:c r="F3564" s="115" t="str">
        <x:v>Inspection physique</x:v>
      </x:c>
      <x:c r="G3564" s="115" t="str">
        <x:v>1 niveaux ; 36 pièces ; 265 segments de mur ; 0 transitions. Inspection physique ; architecture complète encore ouverte.</x:v>
      </x:c>
      <x:c r="H3564" s="115" t="str">
        <x:v>L 1100 ; l 1300 ; hauteur 14 m ; choix de composition auteur ; dimensions réelles à documenter</x:v>
      </x:c>
      <x:c r="I3564" s="115" t="str">
        <x:v>À équilibrer</x:v>
      </x:c>
      <x:c r="J3564" s="115" t="str">
        <x:v>Non</x:v>
      </x:c>
      <x:c r="K3564" s="115" t="str">
        <x:v>Pièces décrites, murs, portes, niveaux et mobilier inspectables à l’échelle. Volumes réservés, raccord au seed, butin, rencontres et services de campagne restent à terminer.</x:v>
      </x:c>
    </x:row>
    <x:row r="3565" ht="96" customHeight="1">
      <x:c r="A3565" s="115" t="str">
        <x:v>EXT-MONDE-T072-V10</x:v>
      </x:c>
      <x:c r="B3565" s="115" t="str">
        <x:v>EXT-MONDE-T072</x:v>
      </x:c>
      <x:c r="C3565" s="115" t="str">
        <x:v>Aéroports</x:v>
      </x:c>
      <x:c r="D3565" s="115" t="str">
        <x:v>Aérodrome insulaire</x:v>
      </x:c>
      <x:c r="E3565" s="115" t="n">
        <x:v>10</x:v>
      </x:c>
      <x:c r="F3565" s="115" t="str">
        <x:v>Inspection physique</x:v>
      </x:c>
      <x:c r="G3565" s="115" t="str">
        <x:v>1 niveaux ; 36 pièces ; 265 segments de mur ; 0 transitions. Inspection physique ; architecture complète encore ouverte.</x:v>
      </x:c>
      <x:c r="H3565" s="115" t="str">
        <x:v>L 1100 ; l 1300 ; hauteur 14 m ; choix de composition auteur ; dimensions réelles à documenter</x:v>
      </x:c>
      <x:c r="I3565" s="115" t="str">
        <x:v>À équilibrer</x:v>
      </x:c>
      <x:c r="J3565" s="115" t="str">
        <x:v>Non</x:v>
      </x:c>
      <x:c r="K3565" s="115" t="str">
        <x:v>Pièces décrites, murs, portes, niveaux et mobilier inspectables à l’échelle. Volumes réservés, raccord au seed, butin, rencontres et services de campagne restent à terminer.</x:v>
      </x:c>
    </x:row>
    <x:row r="3566" ht="96" customHeight="1">
      <x:c r="A3566" s="115" t="str">
        <x:v>EXT-MONDE-T072-V11</x:v>
      </x:c>
      <x:c r="B3566" s="115" t="str">
        <x:v>EXT-MONDE-T072</x:v>
      </x:c>
      <x:c r="C3566" s="115" t="str">
        <x:v>Aéroports</x:v>
      </x:c>
      <x:c r="D3566" s="115" t="str">
        <x:v>Aérodrome insulaire</x:v>
      </x:c>
      <x:c r="E3566" s="115" t="n">
        <x:v>11</x:v>
      </x:c>
      <x:c r="F3566" s="115" t="str">
        <x:v>Inspection physique</x:v>
      </x:c>
      <x:c r="G3566" s="115" t="str">
        <x:v>1 niveaux ; 36 pièces ; 265 segments de mur ; 0 transitions. Inspection physique ; architecture complète encore ouverte.</x:v>
      </x:c>
      <x:c r="H3566" s="115" t="str">
        <x:v>L 1100 ; l 1400 ; hauteur 16 m ; choix de composition auteur ; dimensions réelles à documenter</x:v>
      </x:c>
      <x:c r="I3566" s="115" t="str">
        <x:v>À équilibrer</x:v>
      </x:c>
      <x:c r="J3566" s="115" t="str">
        <x:v>Non</x:v>
      </x:c>
      <x:c r="K3566" s="115" t="str">
        <x:v>Pièces décrites, murs, portes, niveaux et mobilier inspectables à l’échelle. Volumes réservés, raccord au seed, butin, rencontres et services de campagne restent à terminer.</x:v>
      </x:c>
    </x:row>
    <x:row r="3567" ht="96" customHeight="1">
      <x:c r="A3567" s="115" t="str">
        <x:v>EXT-MONDE-T072-V12</x:v>
      </x:c>
      <x:c r="B3567" s="115" t="str">
        <x:v>EXT-MONDE-T072</x:v>
      </x:c>
      <x:c r="C3567" s="115" t="str">
        <x:v>Aéroports</x:v>
      </x:c>
      <x:c r="D3567" s="115" t="str">
        <x:v>Aérodrome insulaire</x:v>
      </x:c>
      <x:c r="E3567" s="115" t="n">
        <x:v>12</x:v>
      </x:c>
      <x:c r="F3567" s="115" t="str">
        <x:v>Inspection physique</x:v>
      </x:c>
      <x:c r="G3567" s="115" t="str">
        <x:v>1 niveaux ; 36 pièces ; 265 segments de mur ; 0 transitions. Inspection physique ; architecture complète encore ouverte.</x:v>
      </x:c>
      <x:c r="H3567" s="115" t="str">
        <x:v>L 1100 ; l 1400 ; hauteur 16 m ; choix de composition auteur ; dimensions réelles à documenter</x:v>
      </x:c>
      <x:c r="I3567" s="115" t="str">
        <x:v>À équilibrer</x:v>
      </x:c>
      <x:c r="J3567" s="115" t="str">
        <x:v>Non</x:v>
      </x:c>
      <x:c r="K3567" s="115" t="str">
        <x:v>Pièces décrites, murs, portes, niveaux et mobilier inspectables à l’échelle. Volumes réservés, raccord au seed, butin, rencontres et services de campagne restent à terminer.</x:v>
      </x:c>
    </x:row>
    <x:row r="3568" ht="96" customHeight="1">
      <x:c r="A3568" s="115" t="str">
        <x:v>EXT-MONDE-T072-V13</x:v>
      </x:c>
      <x:c r="B3568" s="115" t="str">
        <x:v>EXT-MONDE-T072</x:v>
      </x:c>
      <x:c r="C3568" s="115" t="str">
        <x:v>Aéroports</x:v>
      </x:c>
      <x:c r="D3568" s="115" t="str">
        <x:v>Aérodrome insulaire</x:v>
      </x:c>
      <x:c r="E3568" s="115" t="n">
        <x:v>13</x:v>
      </x:c>
      <x:c r="F3568" s="115" t="str">
        <x:v>Inspection physique</x:v>
      </x:c>
      <x:c r="G3568" s="115" t="str">
        <x:v>1 niveaux ; 36 pièces ; 265 segments de mur ; 0 transitions. Inspection physique ; architecture complète encore ouverte.</x:v>
      </x:c>
      <x:c r="H3568" s="115" t="str">
        <x:v>L 1100 ; l 1400 ; hauteur 16 m ; choix de composition auteur ; dimensions réelles à documenter</x:v>
      </x:c>
      <x:c r="I3568" s="115" t="str">
        <x:v>À équilibrer</x:v>
      </x:c>
      <x:c r="J3568" s="115" t="str">
        <x:v>Non</x:v>
      </x:c>
      <x:c r="K3568" s="115" t="str">
        <x:v>Pièces décrites, murs, portes, niveaux et mobilier inspectables à l’échelle. Volumes réservés, raccord au seed, butin, rencontres et services de campagne restent à terminer.</x:v>
      </x:c>
    </x:row>
    <x:row r="3569" ht="96" customHeight="1">
      <x:c r="A3569" s="115" t="str">
        <x:v>EXT-MONDE-T072-V14</x:v>
      </x:c>
      <x:c r="B3569" s="115" t="str">
        <x:v>EXT-MONDE-T072</x:v>
      </x:c>
      <x:c r="C3569" s="115" t="str">
        <x:v>Aéroports</x:v>
      </x:c>
      <x:c r="D3569" s="115" t="str">
        <x:v>Aérodrome insulaire</x:v>
      </x:c>
      <x:c r="E3569" s="115" t="n">
        <x:v>14</x:v>
      </x:c>
      <x:c r="F3569" s="115" t="str">
        <x:v>Inspection physique</x:v>
      </x:c>
      <x:c r="G3569" s="115" t="str">
        <x:v>1 niveaux ; 36 pièces ; 265 segments de mur ; 0 transitions. Inspection physique ; architecture complète encore ouverte.</x:v>
      </x:c>
      <x:c r="H3569" s="115" t="str">
        <x:v>L 1100 ; l 1400 ; hauteur 16 m ; choix de composition auteur ; dimensions réelles à documenter</x:v>
      </x:c>
      <x:c r="I3569" s="115" t="str">
        <x:v>À équilibrer</x:v>
      </x:c>
      <x:c r="J3569" s="115" t="str">
        <x:v>Non</x:v>
      </x:c>
      <x:c r="K3569" s="115" t="str">
        <x:v>Pièces décrites, murs, portes, niveaux et mobilier inspectables à l’échelle. Volumes réservés, raccord au seed, butin, rencontres et services de campagne restent à terminer.</x:v>
      </x:c>
    </x:row>
    <x:row r="3570" ht="96" customHeight="1">
      <x:c r="A3570" s="115" t="str">
        <x:v>EXT-MONDE-T072-V15</x:v>
      </x:c>
      <x:c r="B3570" s="115" t="str">
        <x:v>EXT-MONDE-T072</x:v>
      </x:c>
      <x:c r="C3570" s="115" t="str">
        <x:v>Aéroports</x:v>
      </x:c>
      <x:c r="D3570" s="115" t="str">
        <x:v>Aérodrome insulaire</x:v>
      </x:c>
      <x:c r="E3570" s="115" t="n">
        <x:v>15</x:v>
      </x:c>
      <x:c r="F3570" s="115" t="str">
        <x:v>Inspection physique</x:v>
      </x:c>
      <x:c r="G3570" s="115" t="str">
        <x:v>1 niveaux ; 36 pièces ; 265 segments de mur ; 0 transitions. Inspection physique ; architecture complète encore ouverte.</x:v>
      </x:c>
      <x:c r="H3570" s="115" t="str">
        <x:v>L 1100 ; l 1400 ; hauteur 16 m ; choix de composition auteur ; dimensions réelles à documenter</x:v>
      </x:c>
      <x:c r="I3570" s="115" t="str">
        <x:v>À équilibrer</x:v>
      </x:c>
      <x:c r="J3570" s="115" t="str">
        <x:v>Non</x:v>
      </x:c>
      <x:c r="K3570" s="115" t="str">
        <x:v>Pièces décrites, murs, portes, niveaux et mobilier inspectables à l’échelle. Volumes réservés, raccord au seed, butin, rencontres et services de campagne restent à terminer.</x:v>
      </x:c>
    </x:row>
    <x:row r="3571" ht="96" customHeight="1">
      <x:c r="A3571" s="115" t="str">
        <x:v>EXT-MONDE-T072-V16</x:v>
      </x:c>
      <x:c r="B3571" s="115" t="str">
        <x:v>EXT-MONDE-T072</x:v>
      </x:c>
      <x:c r="C3571" s="115" t="str">
        <x:v>Aéroports</x:v>
      </x:c>
      <x:c r="D3571" s="115" t="str">
        <x:v>Aérodrome insulaire</x:v>
      </x:c>
      <x:c r="E3571" s="115" t="n">
        <x:v>16</x:v>
      </x:c>
      <x:c r="F3571" s="115" t="str">
        <x:v>Inspection physique</x:v>
      </x:c>
      <x:c r="G3571" s="115" t="str">
        <x:v>1 niveaux ; 36 pièces ; 265 segments de mur ; 0 transitions. Inspection physique ; architecture complète encore ouverte.</x:v>
      </x:c>
      <x:c r="H3571" s="115" t="str">
        <x:v>L 1100 ; l 1400 ; hauteur 16 m ; choix de composition auteur ; dimensions réelles à documenter</x:v>
      </x:c>
      <x:c r="I3571" s="115" t="str">
        <x:v>À équilibrer</x:v>
      </x:c>
      <x:c r="J3571" s="115" t="str">
        <x:v>Non</x:v>
      </x:c>
      <x:c r="K3571" s="115" t="str">
        <x:v>Pièces décrites, murs, portes, niveaux et mobilier inspectables à l’échelle. Volumes réservés, raccord au seed, butin, rencontres et services de campagne restent à terminer.</x:v>
      </x:c>
    </x:row>
    <x:row r="3572" ht="96" customHeight="1">
      <x:c r="A3572" s="115" t="str">
        <x:v>EXT-MONDE-T072-V17</x:v>
      </x:c>
      <x:c r="B3572" s="115" t="str">
        <x:v>EXT-MONDE-T072</x:v>
      </x:c>
      <x:c r="C3572" s="115" t="str">
        <x:v>Aéroports</x:v>
      </x:c>
      <x:c r="D3572" s="115" t="str">
        <x:v>Aérodrome insulaire</x:v>
      </x:c>
      <x:c r="E3572" s="115" t="n">
        <x:v>17</x:v>
      </x:c>
      <x:c r="F3572" s="115" t="str">
        <x:v>Inspection physique</x:v>
      </x:c>
      <x:c r="G3572" s="115" t="str">
        <x:v>1 niveaux ; 36 pièces ; 265 segments de mur ; 0 transitions. Inspection physique ; architecture complète encore ouverte.</x:v>
      </x:c>
      <x:c r="H3572" s="115" t="str">
        <x:v>L 1100 ; l 1400 ; hauteur 16 m ; choix de composition auteur ; dimensions réelles à documenter</x:v>
      </x:c>
      <x:c r="I3572" s="115" t="str">
        <x:v>À équilibrer</x:v>
      </x:c>
      <x:c r="J3572" s="115" t="str">
        <x:v>Non</x:v>
      </x:c>
      <x:c r="K3572" s="115" t="str">
        <x:v>Pièces décrites, murs, portes, niveaux et mobilier inspectables à l’échelle. Volumes réservés, raccord au seed, butin, rencontres et services de campagne restent à terminer.</x:v>
      </x:c>
    </x:row>
    <x:row r="3573" ht="96" customHeight="1">
      <x:c r="A3573" s="115" t="str">
        <x:v>EXT-MONDE-T072-V18</x:v>
      </x:c>
      <x:c r="B3573" s="115" t="str">
        <x:v>EXT-MONDE-T072</x:v>
      </x:c>
      <x:c r="C3573" s="115" t="str">
        <x:v>Aéroports</x:v>
      </x:c>
      <x:c r="D3573" s="115" t="str">
        <x:v>Aérodrome insulaire</x:v>
      </x:c>
      <x:c r="E3573" s="115" t="n">
        <x:v>18</x:v>
      </x:c>
      <x:c r="F3573" s="115" t="str">
        <x:v>Inspection physique</x:v>
      </x:c>
      <x:c r="G3573" s="115" t="str">
        <x:v>1 niveaux ; 36 pièces ; 265 segments de mur ; 0 transitions. Inspection physique ; architecture complète encore ouverte.</x:v>
      </x:c>
      <x:c r="H3573" s="115" t="str">
        <x:v>L 1100 ; l 1400 ; hauteur 16 m ; choix de composition auteur ; dimensions réelles à documenter</x:v>
      </x:c>
      <x:c r="I3573" s="115" t="str">
        <x:v>À équilibrer</x:v>
      </x:c>
      <x:c r="J3573" s="115" t="str">
        <x:v>Non</x:v>
      </x:c>
      <x:c r="K3573" s="115" t="str">
        <x:v>Pièces décrites, murs, portes, niveaux et mobilier inspectables à l’échelle. Volumes réservés, raccord au seed, butin, rencontres et services de campagne restent à terminer.</x:v>
      </x:c>
    </x:row>
    <x:row r="3574" ht="96" customHeight="1">
      <x:c r="A3574" s="115" t="str">
        <x:v>EXT-MONDE-T072-V19</x:v>
      </x:c>
      <x:c r="B3574" s="115" t="str">
        <x:v>EXT-MONDE-T072</x:v>
      </x:c>
      <x:c r="C3574" s="115" t="str">
        <x:v>Aéroports</x:v>
      </x:c>
      <x:c r="D3574" s="115" t="str">
        <x:v>Aérodrome insulaire</x:v>
      </x:c>
      <x:c r="E3574" s="115" t="n">
        <x:v>19</x:v>
      </x:c>
      <x:c r="F3574" s="115" t="str">
        <x:v>Inspection physique</x:v>
      </x:c>
      <x:c r="G3574" s="115" t="str">
        <x:v>1 niveaux ; 36 pièces ; 265 segments de mur ; 0 transitions. Inspection physique ; architecture complète encore ouverte.</x:v>
      </x:c>
      <x:c r="H3574" s="115" t="str">
        <x:v>L 1100 ; l 1400 ; hauteur 16 m ; choix de composition auteur ; dimensions réelles à documenter</x:v>
      </x:c>
      <x:c r="I3574" s="115" t="str">
        <x:v>À équilibrer</x:v>
      </x:c>
      <x:c r="J3574" s="115" t="str">
        <x:v>Non</x:v>
      </x:c>
      <x:c r="K3574" s="115" t="str">
        <x:v>Pièces décrites, murs, portes, niveaux et mobilier inspectables à l’échelle. Volumes réservés, raccord au seed, butin, rencontres et services de campagne restent à terminer.</x:v>
      </x:c>
    </x:row>
    <x:row r="3575" ht="96" customHeight="1">
      <x:c r="A3575" s="115" t="str">
        <x:v>EXT-MONDE-T072-V20</x:v>
      </x:c>
      <x:c r="B3575" s="115" t="str">
        <x:v>EXT-MONDE-T072</x:v>
      </x:c>
      <x:c r="C3575" s="115" t="str">
        <x:v>Aéroports</x:v>
      </x:c>
      <x:c r="D3575" s="115" t="str">
        <x:v>Aérodrome insulaire</x:v>
      </x:c>
      <x:c r="E3575" s="115" t="n">
        <x:v>20</x:v>
      </x:c>
      <x:c r="F3575" s="115" t="str">
        <x:v>Inspection physique</x:v>
      </x:c>
      <x:c r="G3575" s="115" t="str">
        <x:v>1 niveaux ; 36 pièces ; 265 segments de mur ; 0 transitions. Inspection physique ; architecture complète encore ouverte.</x:v>
      </x:c>
      <x:c r="H3575" s="115" t="str">
        <x:v>L 1100 ; l 1400 ; hauteur 16 m ; choix de composition auteur ; dimensions réelles à documenter</x:v>
      </x:c>
      <x:c r="I3575" s="115" t="str">
        <x:v>À équilibrer</x:v>
      </x:c>
      <x:c r="J3575" s="115" t="str">
        <x:v>Non</x:v>
      </x:c>
      <x:c r="K3575" s="115" t="str">
        <x:v>Pièces décrites, murs, portes, niveaux et mobilier inspectables à l’échelle. Volumes réservés, raccord au seed, butin, rencontres et services de campagne restent à terminer.</x:v>
      </x:c>
    </x:row>
    <x:row r="3576" ht="96" customHeight="1">
      <x:c r="A3576" s="115" t="str">
        <x:v>EXT-MONDE-T072-V21</x:v>
      </x:c>
      <x:c r="B3576" s="115" t="str">
        <x:v>EXT-MONDE-T072</x:v>
      </x:c>
      <x:c r="C3576" s="115" t="str">
        <x:v>Aéroports</x:v>
      </x:c>
      <x:c r="D3576" s="115" t="str">
        <x:v>Aérodrome insulaire</x:v>
      </x:c>
      <x:c r="E3576" s="115" t="n">
        <x:v>21</x:v>
      </x:c>
      <x:c r="F3576" s="115" t="str">
        <x:v>Inspection physique</x:v>
      </x:c>
      <x:c r="G3576" s="115" t="str">
        <x:v>1 niveaux ; 36 pièces ; 265 segments de mur ; 0 transitions. Inspection physique ; architecture complète encore ouverte.</x:v>
      </x:c>
      <x:c r="H3576" s="115" t="str">
        <x:v>L 1100 ; l 1500 ; hauteur 18 m ; choix de composition auteur ; dimensions réelles à documenter</x:v>
      </x:c>
      <x:c r="I3576" s="115" t="str">
        <x:v>À équilibrer</x:v>
      </x:c>
      <x:c r="J3576" s="115" t="str">
        <x:v>Non</x:v>
      </x:c>
      <x:c r="K3576" s="115" t="str">
        <x:v>Pièces décrites, murs, portes, niveaux et mobilier inspectables à l’échelle. Volumes réservés, raccord au seed, butin, rencontres et services de campagne restent à terminer.</x:v>
      </x:c>
    </x:row>
    <x:row r="3577" ht="96" customHeight="1">
      <x:c r="A3577" s="115" t="str">
        <x:v>EXT-MONDE-T072-V22</x:v>
      </x:c>
      <x:c r="B3577" s="115" t="str">
        <x:v>EXT-MONDE-T072</x:v>
      </x:c>
      <x:c r="C3577" s="115" t="str">
        <x:v>Aéroports</x:v>
      </x:c>
      <x:c r="D3577" s="115" t="str">
        <x:v>Aérodrome insulaire</x:v>
      </x:c>
      <x:c r="E3577" s="115" t="n">
        <x:v>22</x:v>
      </x:c>
      <x:c r="F3577" s="115" t="str">
        <x:v>Inspection physique</x:v>
      </x:c>
      <x:c r="G3577" s="115" t="str">
        <x:v>1 niveaux ; 36 pièces ; 265 segments de mur ; 0 transitions. Inspection physique ; architecture complète encore ouverte.</x:v>
      </x:c>
      <x:c r="H3577" s="115" t="str">
        <x:v>L 1100 ; l 1500 ; hauteur 18 m ; choix de composition auteur ; dimensions réelles à documenter</x:v>
      </x:c>
      <x:c r="I3577" s="115" t="str">
        <x:v>À équilibrer</x:v>
      </x:c>
      <x:c r="J3577" s="115" t="str">
        <x:v>Non</x:v>
      </x:c>
      <x:c r="K3577" s="115" t="str">
        <x:v>Pièces décrites, murs, portes, niveaux et mobilier inspectables à l’échelle. Volumes réservés, raccord au seed, butin, rencontres et services de campagne restent à terminer.</x:v>
      </x:c>
    </x:row>
    <x:row r="3578" ht="96" customHeight="1">
      <x:c r="A3578" s="115" t="str">
        <x:v>EXT-MONDE-T072-V23</x:v>
      </x:c>
      <x:c r="B3578" s="115" t="str">
        <x:v>EXT-MONDE-T072</x:v>
      </x:c>
      <x:c r="C3578" s="115" t="str">
        <x:v>Aéroports</x:v>
      </x:c>
      <x:c r="D3578" s="115" t="str">
        <x:v>Aérodrome insulaire</x:v>
      </x:c>
      <x:c r="E3578" s="115" t="n">
        <x:v>23</x:v>
      </x:c>
      <x:c r="F3578" s="115" t="str">
        <x:v>Inspection physique</x:v>
      </x:c>
      <x:c r="G3578" s="115" t="str">
        <x:v>1 niveaux ; 36 pièces ; 265 segments de mur ; 0 transitions. Inspection physique ; architecture complète encore ouverte.</x:v>
      </x:c>
      <x:c r="H3578" s="115" t="str">
        <x:v>L 1100 ; l 1500 ; hauteur 18 m ; choix de composition auteur ; dimensions réelles à documenter</x:v>
      </x:c>
      <x:c r="I3578" s="115" t="str">
        <x:v>À équilibrer</x:v>
      </x:c>
      <x:c r="J3578" s="115" t="str">
        <x:v>Non</x:v>
      </x:c>
      <x:c r="K3578" s="115" t="str">
        <x:v>Pièces décrites, murs, portes, niveaux et mobilier inspectables à l’échelle. Volumes réservés, raccord au seed, butin, rencontres et services de campagne restent à terminer.</x:v>
      </x:c>
    </x:row>
    <x:row r="3579" ht="96" customHeight="1">
      <x:c r="A3579" s="115" t="str">
        <x:v>EXT-MONDE-T072-V24</x:v>
      </x:c>
      <x:c r="B3579" s="115" t="str">
        <x:v>EXT-MONDE-T072</x:v>
      </x:c>
      <x:c r="C3579" s="115" t="str">
        <x:v>Aéroports</x:v>
      </x:c>
      <x:c r="D3579" s="115" t="str">
        <x:v>Aérodrome insulaire</x:v>
      </x:c>
      <x:c r="E3579" s="115" t="n">
        <x:v>24</x:v>
      </x:c>
      <x:c r="F3579" s="115" t="str">
        <x:v>Inspection physique</x:v>
      </x:c>
      <x:c r="G3579" s="115" t="str">
        <x:v>1 niveaux ; 36 pièces ; 265 segments de mur ; 0 transitions. Inspection physique ; architecture complète encore ouverte.</x:v>
      </x:c>
      <x:c r="H3579" s="115" t="str">
        <x:v>L 1100 ; l 1500 ; hauteur 18 m ; choix de composition auteur ; dimensions réelles à documenter</x:v>
      </x:c>
      <x:c r="I3579" s="115" t="str">
        <x:v>À équilibrer</x:v>
      </x:c>
      <x:c r="J3579" s="115" t="str">
        <x:v>Non</x:v>
      </x:c>
      <x:c r="K3579" s="115" t="str">
        <x:v>Pièces décrites, murs, portes, niveaux et mobilier inspectables à l’échelle. Volumes réservés, raccord au seed, butin, rencontres et services de campagne restent à terminer.</x:v>
      </x:c>
    </x:row>
    <x:row r="3580" ht="96" customHeight="1">
      <x:c r="A3580" s="115" t="str">
        <x:v>EXT-MONDE-T072-V25</x:v>
      </x:c>
      <x:c r="B3580" s="115" t="str">
        <x:v>EXT-MONDE-T072</x:v>
      </x:c>
      <x:c r="C3580" s="115" t="str">
        <x:v>Aéroports</x:v>
      </x:c>
      <x:c r="D3580" s="115" t="str">
        <x:v>Aérodrome insulaire</x:v>
      </x:c>
      <x:c r="E3580" s="115" t="n">
        <x:v>25</x:v>
      </x:c>
      <x:c r="F3580" s="115" t="str">
        <x:v>Inspection physique</x:v>
      </x:c>
      <x:c r="G3580" s="115" t="str">
        <x:v>1 niveaux ; 36 pièces ; 265 segments de mur ; 0 transitions. Inspection physique ; architecture complète encore ouverte.</x:v>
      </x:c>
      <x:c r="H3580" s="115" t="str">
        <x:v>L 1100 ; l 1500 ; hauteur 18 m ; choix de composition auteur ; dimensions réelles à documenter</x:v>
      </x:c>
      <x:c r="I3580" s="115" t="str">
        <x:v>À équilibrer</x:v>
      </x:c>
      <x:c r="J3580" s="115" t="str">
        <x:v>Non</x:v>
      </x:c>
      <x:c r="K3580" s="115" t="str">
        <x:v>Pièces décrites, murs, portes, niveaux et mobilier inspectables à l’échelle. Volumes réservés, raccord au seed, butin, rencontres et services de campagne restent à terminer.</x:v>
      </x:c>
    </x:row>
    <x:row r="3581" ht="96" customHeight="1">
      <x:c r="A3581" s="115" t="str">
        <x:v>EXT-MONDE-T072-V26</x:v>
      </x:c>
      <x:c r="B3581" s="115" t="str">
        <x:v>EXT-MONDE-T072</x:v>
      </x:c>
      <x:c r="C3581" s="115" t="str">
        <x:v>Aéroports</x:v>
      </x:c>
      <x:c r="D3581" s="115" t="str">
        <x:v>Aérodrome insulaire</x:v>
      </x:c>
      <x:c r="E3581" s="115" t="n">
        <x:v>26</x:v>
      </x:c>
      <x:c r="F3581" s="115" t="str">
        <x:v>Inspection physique</x:v>
      </x:c>
      <x:c r="G3581" s="115" t="str">
        <x:v>1 niveaux ; 36 pièces ; 265 segments de mur ; 0 transitions. Inspection physique ; architecture complète encore ouverte.</x:v>
      </x:c>
      <x:c r="H3581" s="115" t="str">
        <x:v>L 1100 ; l 1500 ; hauteur 18 m ; choix de composition auteur ; dimensions réelles à documenter</x:v>
      </x:c>
      <x:c r="I3581" s="115" t="str">
        <x:v>À équilibrer</x:v>
      </x:c>
      <x:c r="J3581" s="115" t="str">
        <x:v>Non</x:v>
      </x:c>
      <x:c r="K3581" s="115" t="str">
        <x:v>Pièces décrites, murs, portes, niveaux et mobilier inspectables à l’échelle. Volumes réservés, raccord au seed, butin, rencontres et services de campagne restent à terminer.</x:v>
      </x:c>
    </x:row>
    <x:row r="3582" ht="96" customHeight="1">
      <x:c r="A3582" s="115" t="str">
        <x:v>EXT-MONDE-T072-V27</x:v>
      </x:c>
      <x:c r="B3582" s="115" t="str">
        <x:v>EXT-MONDE-T072</x:v>
      </x:c>
      <x:c r="C3582" s="115" t="str">
        <x:v>Aéroports</x:v>
      </x:c>
      <x:c r="D3582" s="115" t="str">
        <x:v>Aérodrome insulaire</x:v>
      </x:c>
      <x:c r="E3582" s="115" t="n">
        <x:v>27</x:v>
      </x:c>
      <x:c r="F3582" s="115" t="str">
        <x:v>Inspection physique</x:v>
      </x:c>
      <x:c r="G3582" s="115" t="str">
        <x:v>1 niveaux ; 36 pièces ; 265 segments de mur ; 0 transitions. Inspection physique ; architecture complète encore ouverte.</x:v>
      </x:c>
      <x:c r="H3582" s="115" t="str">
        <x:v>L 1100 ; l 1500 ; hauteur 18 m ; choix de composition auteur ; dimensions réelles à documenter</x:v>
      </x:c>
      <x:c r="I3582" s="115" t="str">
        <x:v>À équilibrer</x:v>
      </x:c>
      <x:c r="J3582" s="115" t="str">
        <x:v>Non</x:v>
      </x:c>
      <x:c r="K3582" s="115" t="str">
        <x:v>Pièces décrites, murs, portes, niveaux et mobilier inspectables à l’échelle. Volumes réservés, raccord au seed, butin, rencontres et services de campagne restent à terminer.</x:v>
      </x:c>
    </x:row>
    <x:row r="3583" ht="96" customHeight="1">
      <x:c r="A3583" s="115" t="str">
        <x:v>EXT-MONDE-T072-V28</x:v>
      </x:c>
      <x:c r="B3583" s="115" t="str">
        <x:v>EXT-MONDE-T072</x:v>
      </x:c>
      <x:c r="C3583" s="115" t="str">
        <x:v>Aéroports</x:v>
      </x:c>
      <x:c r="D3583" s="115" t="str">
        <x:v>Aérodrome insulaire</x:v>
      </x:c>
      <x:c r="E3583" s="115" t="n">
        <x:v>28</x:v>
      </x:c>
      <x:c r="F3583" s="115" t="str">
        <x:v>Inspection physique</x:v>
      </x:c>
      <x:c r="G3583" s="115" t="str">
        <x:v>1 niveaux ; 36 pièces ; 265 segments de mur ; 0 transitions. Inspection physique ; architecture complète encore ouverte.</x:v>
      </x:c>
      <x:c r="H3583" s="115" t="str">
        <x:v>L 1100 ; l 1500 ; hauteur 18 m ; choix de composition auteur ; dimensions réelles à documenter</x:v>
      </x:c>
      <x:c r="I3583" s="115" t="str">
        <x:v>À équilibrer</x:v>
      </x:c>
      <x:c r="J3583" s="115" t="str">
        <x:v>Non</x:v>
      </x:c>
      <x:c r="K3583" s="115" t="str">
        <x:v>Pièces décrites, murs, portes, niveaux et mobilier inspectables à l’échelle. Volumes réservés, raccord au seed, butin, rencontres et services de campagne restent à terminer.</x:v>
      </x:c>
    </x:row>
    <x:row r="3584" ht="96" customHeight="1">
      <x:c r="A3584" s="115" t="str">
        <x:v>EXT-MONDE-T072-V29</x:v>
      </x:c>
      <x:c r="B3584" s="115" t="str">
        <x:v>EXT-MONDE-T072</x:v>
      </x:c>
      <x:c r="C3584" s="115" t="str">
        <x:v>Aéroports</x:v>
      </x:c>
      <x:c r="D3584" s="115" t="str">
        <x:v>Aérodrome insulaire</x:v>
      </x:c>
      <x:c r="E3584" s="115" t="n">
        <x:v>29</x:v>
      </x:c>
      <x:c r="F3584" s="115" t="str">
        <x:v>Inspection physique</x:v>
      </x:c>
      <x:c r="G3584" s="115" t="str">
        <x:v>1 niveaux ; 36 pièces ; 265 segments de mur ; 0 transitions. Inspection physique ; architecture complète encore ouverte.</x:v>
      </x:c>
      <x:c r="H3584" s="115" t="str">
        <x:v>L 1100 ; l 1500 ; hauteur 18 m ; choix de composition auteur ; dimensions réelles à documenter</x:v>
      </x:c>
      <x:c r="I3584" s="115" t="str">
        <x:v>À équilibrer</x:v>
      </x:c>
      <x:c r="J3584" s="115" t="str">
        <x:v>Non</x:v>
      </x:c>
      <x:c r="K3584" s="115" t="str">
        <x:v>Pièces décrites, murs, portes, niveaux et mobilier inspectables à l’échelle. Volumes réservés, raccord au seed, butin, rencontres et services de campagne restent à terminer.</x:v>
      </x:c>
    </x:row>
    <x:row r="3585" ht="96" customHeight="1">
      <x:c r="A3585" s="115" t="str">
        <x:v>EXT-MONDE-T072-V30</x:v>
      </x:c>
      <x:c r="B3585" s="115" t="str">
        <x:v>EXT-MONDE-T072</x:v>
      </x:c>
      <x:c r="C3585" s="115" t="str">
        <x:v>Aéroports</x:v>
      </x:c>
      <x:c r="D3585" s="115" t="str">
        <x:v>Aérodrome insulaire</x:v>
      </x:c>
      <x:c r="E3585" s="115" t="n">
        <x:v>30</x:v>
      </x:c>
      <x:c r="F3585" s="115" t="str">
        <x:v>Inspection physique</x:v>
      </x:c>
      <x:c r="G3585" s="115" t="str">
        <x:v>1 niveaux ; 36 pièces ; 265 segments de mur ; 0 transitions. Inspection physique ; architecture complète encore ouverte.</x:v>
      </x:c>
      <x:c r="H3585" s="115" t="str">
        <x:v>L 1100 ; l 1500 ; hauteur 18 m ; choix de composition auteur ; dimensions réelles à documenter</x:v>
      </x:c>
      <x:c r="I3585" s="115" t="str">
        <x:v>À équilibrer</x:v>
      </x:c>
      <x:c r="J3585" s="115" t="str">
        <x:v>Non</x:v>
      </x:c>
      <x:c r="K3585" s="115" t="str">
        <x:v>Pièces décrites, murs, portes, niveaux et mobilier inspectables à l’échelle. Volumes réservés, raccord au seed, butin, rencontres et services de campagne restent à terminer.</x:v>
      </x:c>
    </x:row>
    <x:row r="3586" ht="96" customHeight="1">
      <x:c r="A3586" s="115" t="str">
        <x:v>EXT-MONDE-T072-V31</x:v>
      </x:c>
      <x:c r="B3586" s="115" t="str">
        <x:v>EXT-MONDE-T072</x:v>
      </x:c>
      <x:c r="C3586" s="115" t="str">
        <x:v>Aéroports</x:v>
      </x:c>
      <x:c r="D3586" s="115" t="str">
        <x:v>Aérodrome insulaire</x:v>
      </x:c>
      <x:c r="E3586" s="115" t="n">
        <x:v>31</x:v>
      </x:c>
      <x:c r="F3586" s="115" t="str">
        <x:v>Inspection physique</x:v>
      </x:c>
      <x:c r="G3586" s="115" t="str">
        <x:v>1 niveaux ; 36 pièces ; 265 segments de mur ; 0 transitions. Inspection physique ; architecture complète encore ouverte.</x:v>
      </x:c>
      <x:c r="H3586" s="115" t="str">
        <x:v>L 1100 ; l 1600 ; hauteur 20 m ; choix de composition auteur ; dimensions réelles à documenter</x:v>
      </x:c>
      <x:c r="I3586" s="115" t="str">
        <x:v>À équilibrer</x:v>
      </x:c>
      <x:c r="J3586" s="115" t="str">
        <x:v>Non</x:v>
      </x:c>
      <x:c r="K3586" s="115" t="str">
        <x:v>Pièces décrites, murs, portes, niveaux et mobilier inspectables à l’échelle. Volumes réservés, raccord au seed, butin, rencontres et services de campagne restent à terminer.</x:v>
      </x:c>
    </x:row>
    <x:row r="3587" ht="96" customHeight="1">
      <x:c r="A3587" s="115" t="str">
        <x:v>EXT-MONDE-T072-V32</x:v>
      </x:c>
      <x:c r="B3587" s="115" t="str">
        <x:v>EXT-MONDE-T072</x:v>
      </x:c>
      <x:c r="C3587" s="115" t="str">
        <x:v>Aéroports</x:v>
      </x:c>
      <x:c r="D3587" s="115" t="str">
        <x:v>Aérodrome insulaire</x:v>
      </x:c>
      <x:c r="E3587" s="115" t="n">
        <x:v>32</x:v>
      </x:c>
      <x:c r="F3587" s="115" t="str">
        <x:v>Inspection physique</x:v>
      </x:c>
      <x:c r="G3587" s="115" t="str">
        <x:v>1 niveaux ; 36 pièces ; 265 segments de mur ; 0 transitions. Inspection physique ; architecture complète encore ouverte.</x:v>
      </x:c>
      <x:c r="H3587" s="115" t="str">
        <x:v>L 1100 ; l 1600 ; hauteur 20 m ; choix de composition auteur ; dimensions réelles à documenter</x:v>
      </x:c>
      <x:c r="I3587" s="115" t="str">
        <x:v>À équilibrer</x:v>
      </x:c>
      <x:c r="J3587" s="115" t="str">
        <x:v>Non</x:v>
      </x:c>
      <x:c r="K3587" s="115" t="str">
        <x:v>Pièces décrites, murs, portes, niveaux et mobilier inspectables à l’échelle. Volumes réservés, raccord au seed, butin, rencontres et services de campagne restent à terminer.</x:v>
      </x:c>
    </x:row>
    <x:row r="3588" ht="96" customHeight="1">
      <x:c r="A3588" s="115" t="str">
        <x:v>EXT-MONDE-T072-V33</x:v>
      </x:c>
      <x:c r="B3588" s="115" t="str">
        <x:v>EXT-MONDE-T072</x:v>
      </x:c>
      <x:c r="C3588" s="115" t="str">
        <x:v>Aéroports</x:v>
      </x:c>
      <x:c r="D3588" s="115" t="str">
        <x:v>Aérodrome insulaire</x:v>
      </x:c>
      <x:c r="E3588" s="115" t="n">
        <x:v>33</x:v>
      </x:c>
      <x:c r="F3588" s="115" t="str">
        <x:v>Inspection physique</x:v>
      </x:c>
      <x:c r="G3588" s="115" t="str">
        <x:v>1 niveaux ; 36 pièces ; 265 segments de mur ; 0 transitions. Inspection physique ; architecture complète encore ouverte.</x:v>
      </x:c>
      <x:c r="H3588" s="115" t="str">
        <x:v>L 1100 ; l 1600 ; hauteur 20 m ; choix de composition auteur ; dimensions réelles à documenter</x:v>
      </x:c>
      <x:c r="I3588" s="115" t="str">
        <x:v>À équilibrer</x:v>
      </x:c>
      <x:c r="J3588" s="115" t="str">
        <x:v>Non</x:v>
      </x:c>
      <x:c r="K3588" s="115" t="str">
        <x:v>Pièces décrites, murs, portes, niveaux et mobilier inspectables à l’échelle. Volumes réservés, raccord au seed, butin, rencontres et services de campagne restent à terminer.</x:v>
      </x:c>
    </x:row>
    <x:row r="3589" ht="96" customHeight="1">
      <x:c r="A3589" s="115" t="str">
        <x:v>EXT-MONDE-T072-V34</x:v>
      </x:c>
      <x:c r="B3589" s="115" t="str">
        <x:v>EXT-MONDE-T072</x:v>
      </x:c>
      <x:c r="C3589" s="115" t="str">
        <x:v>Aéroports</x:v>
      </x:c>
      <x:c r="D3589" s="115" t="str">
        <x:v>Aérodrome insulaire</x:v>
      </x:c>
      <x:c r="E3589" s="115" t="n">
        <x:v>34</x:v>
      </x:c>
      <x:c r="F3589" s="115" t="str">
        <x:v>Inspection physique</x:v>
      </x:c>
      <x:c r="G3589" s="115" t="str">
        <x:v>1 niveaux ; 36 pièces ; 265 segments de mur ; 0 transitions. Inspection physique ; architecture complète encore ouverte.</x:v>
      </x:c>
      <x:c r="H3589" s="115" t="str">
        <x:v>L 1100 ; l 1600 ; hauteur 20 m ; choix de composition auteur ; dimensions réelles à documenter</x:v>
      </x:c>
      <x:c r="I3589" s="115" t="str">
        <x:v>À équilibrer</x:v>
      </x:c>
      <x:c r="J3589" s="115" t="str">
        <x:v>Non</x:v>
      </x:c>
      <x:c r="K3589" s="115" t="str">
        <x:v>Pièces décrites, murs, portes, niveaux et mobilier inspectables à l’échelle. Volumes réservés, raccord au seed, butin, rencontres et services de campagne restent à terminer.</x:v>
      </x:c>
    </x:row>
    <x:row r="3590" ht="96" customHeight="1">
      <x:c r="A3590" s="115" t="str">
        <x:v>EXT-MONDE-T072-V35</x:v>
      </x:c>
      <x:c r="B3590" s="115" t="str">
        <x:v>EXT-MONDE-T072</x:v>
      </x:c>
      <x:c r="C3590" s="115" t="str">
        <x:v>Aéroports</x:v>
      </x:c>
      <x:c r="D3590" s="115" t="str">
        <x:v>Aérodrome insulaire</x:v>
      </x:c>
      <x:c r="E3590" s="115" t="n">
        <x:v>35</x:v>
      </x:c>
      <x:c r="F3590" s="115" t="str">
        <x:v>Inspection physique</x:v>
      </x:c>
      <x:c r="G3590" s="115" t="str">
        <x:v>1 niveaux ; 36 pièces ; 265 segments de mur ; 0 transitions. Inspection physique ; architecture complète encore ouverte.</x:v>
      </x:c>
      <x:c r="H3590" s="115" t="str">
        <x:v>L 1100 ; l 1600 ; hauteur 20 m ; choix de composition auteur ; dimensions réelles à documenter</x:v>
      </x:c>
      <x:c r="I3590" s="115" t="str">
        <x:v>À équilibrer</x:v>
      </x:c>
      <x:c r="J3590" s="115" t="str">
        <x:v>Non</x:v>
      </x:c>
      <x:c r="K3590" s="115" t="str">
        <x:v>Pièces décrites, murs, portes, niveaux et mobilier inspectables à l’échelle. Volumes réservés, raccord au seed, butin, rencontres et services de campagne restent à terminer.</x:v>
      </x:c>
    </x:row>
    <x:row r="3591" ht="96" customHeight="1">
      <x:c r="A3591" s="115" t="str">
        <x:v>EXT-MONDE-T072-V36</x:v>
      </x:c>
      <x:c r="B3591" s="115" t="str">
        <x:v>EXT-MONDE-T072</x:v>
      </x:c>
      <x:c r="C3591" s="115" t="str">
        <x:v>Aéroports</x:v>
      </x:c>
      <x:c r="D3591" s="115" t="str">
        <x:v>Aérodrome insulaire</x:v>
      </x:c>
      <x:c r="E3591" s="115" t="n">
        <x:v>36</x:v>
      </x:c>
      <x:c r="F3591" s="115" t="str">
        <x:v>Inspection physique</x:v>
      </x:c>
      <x:c r="G3591" s="115" t="str">
        <x:v>1 niveaux ; 36 pièces ; 265 segments de mur ; 0 transitions. Inspection physique ; architecture complète encore ouverte.</x:v>
      </x:c>
      <x:c r="H3591" s="115" t="str">
        <x:v>L 1100 ; l 1600 ; hauteur 20 m ; choix de composition auteur ; dimensions réelles à documenter</x:v>
      </x:c>
      <x:c r="I3591" s="115" t="str">
        <x:v>À équilibrer</x:v>
      </x:c>
      <x:c r="J3591" s="115" t="str">
        <x:v>Non</x:v>
      </x:c>
      <x:c r="K3591" s="115" t="str">
        <x:v>Pièces décrites, murs, portes, niveaux et mobilier inspectables à l’échelle. Volumes réservés, raccord au seed, butin, rencontres et services de campagne restent à terminer.</x:v>
      </x:c>
    </x:row>
    <x:row r="3592" ht="96" customHeight="1">
      <x:c r="A3592" s="115" t="str">
        <x:v>EXT-MONDE-T072-V37</x:v>
      </x:c>
      <x:c r="B3592" s="115" t="str">
        <x:v>EXT-MONDE-T072</x:v>
      </x:c>
      <x:c r="C3592" s="115" t="str">
        <x:v>Aéroports</x:v>
      </x:c>
      <x:c r="D3592" s="115" t="str">
        <x:v>Aérodrome insulaire</x:v>
      </x:c>
      <x:c r="E3592" s="115" t="n">
        <x:v>37</x:v>
      </x:c>
      <x:c r="F3592" s="115" t="str">
        <x:v>Inspection physique</x:v>
      </x:c>
      <x:c r="G3592" s="115" t="str">
        <x:v>1 niveaux ; 36 pièces ; 265 segments de mur ; 0 transitions. Inspection physique ; architecture complète encore ouverte.</x:v>
      </x:c>
      <x:c r="H3592" s="115" t="str">
        <x:v>L 1100 ; l 1600 ; hauteur 20 m ; choix de composition auteur ; dimensions réelles à documenter</x:v>
      </x:c>
      <x:c r="I3592" s="115" t="str">
        <x:v>À équilibrer</x:v>
      </x:c>
      <x:c r="J3592" s="115" t="str">
        <x:v>Non</x:v>
      </x:c>
      <x:c r="K3592" s="115" t="str">
        <x:v>Pièces décrites, murs, portes, niveaux et mobilier inspectables à l’échelle. Volumes réservés, raccord au seed, butin, rencontres et services de campagne restent à terminer.</x:v>
      </x:c>
    </x:row>
    <x:row r="3593" ht="96" customHeight="1">
      <x:c r="A3593" s="115" t="str">
        <x:v>EXT-MONDE-T072-V38</x:v>
      </x:c>
      <x:c r="B3593" s="115" t="str">
        <x:v>EXT-MONDE-T072</x:v>
      </x:c>
      <x:c r="C3593" s="115" t="str">
        <x:v>Aéroports</x:v>
      </x:c>
      <x:c r="D3593" s="115" t="str">
        <x:v>Aérodrome insulaire</x:v>
      </x:c>
      <x:c r="E3593" s="115" t="n">
        <x:v>38</x:v>
      </x:c>
      <x:c r="F3593" s="115" t="str">
        <x:v>Inspection physique</x:v>
      </x:c>
      <x:c r="G3593" s="115" t="str">
        <x:v>1 niveaux ; 36 pièces ; 265 segments de mur ; 0 transitions. Inspection physique ; architecture complète encore ouverte.</x:v>
      </x:c>
      <x:c r="H3593" s="115" t="str">
        <x:v>L 1100 ; l 1600 ; hauteur 20 m ; choix de composition auteur ; dimensions réelles à documenter</x:v>
      </x:c>
      <x:c r="I3593" s="115" t="str">
        <x:v>À équilibrer</x:v>
      </x:c>
      <x:c r="J3593" s="115" t="str">
        <x:v>Non</x:v>
      </x:c>
      <x:c r="K3593" s="115" t="str">
        <x:v>Pièces décrites, murs, portes, niveaux et mobilier inspectables à l’échelle. Volumes réservés, raccord au seed, butin, rencontres et services de campagne restent à terminer.</x:v>
      </x:c>
    </x:row>
    <x:row r="3594" ht="96" customHeight="1">
      <x:c r="A3594" s="115" t="str">
        <x:v>EXT-MONDE-T072-V39</x:v>
      </x:c>
      <x:c r="B3594" s="115" t="str">
        <x:v>EXT-MONDE-T072</x:v>
      </x:c>
      <x:c r="C3594" s="115" t="str">
        <x:v>Aéroports</x:v>
      </x:c>
      <x:c r="D3594" s="115" t="str">
        <x:v>Aérodrome insulaire</x:v>
      </x:c>
      <x:c r="E3594" s="115" t="n">
        <x:v>39</x:v>
      </x:c>
      <x:c r="F3594" s="115" t="str">
        <x:v>Inspection physique</x:v>
      </x:c>
      <x:c r="G3594" s="115" t="str">
        <x:v>1 niveaux ; 36 pièces ; 265 segments de mur ; 0 transitions. Inspection physique ; architecture complète encore ouverte.</x:v>
      </x:c>
      <x:c r="H3594" s="115" t="str">
        <x:v>L 1100 ; l 1600 ; hauteur 20 m ; choix de composition auteur ; dimensions réelles à documenter</x:v>
      </x:c>
      <x:c r="I3594" s="115" t="str">
        <x:v>À équilibrer</x:v>
      </x:c>
      <x:c r="J3594" s="115" t="str">
        <x:v>Non</x:v>
      </x:c>
      <x:c r="K3594" s="115" t="str">
        <x:v>Pièces décrites, murs, portes, niveaux et mobilier inspectables à l’échelle. Volumes réservés, raccord au seed, butin, rencontres et services de campagne restent à terminer.</x:v>
      </x:c>
    </x:row>
    <x:row r="3595" ht="96" customHeight="1">
      <x:c r="A3595" s="115" t="str">
        <x:v>EXT-MONDE-T072-V40</x:v>
      </x:c>
      <x:c r="B3595" s="115" t="str">
        <x:v>EXT-MONDE-T072</x:v>
      </x:c>
      <x:c r="C3595" s="115" t="str">
        <x:v>Aéroports</x:v>
      </x:c>
      <x:c r="D3595" s="115" t="str">
        <x:v>Aérodrome insulaire</x:v>
      </x:c>
      <x:c r="E3595" s="115" t="n">
        <x:v>40</x:v>
      </x:c>
      <x:c r="F3595" s="115" t="str">
        <x:v>Inspection physique</x:v>
      </x:c>
      <x:c r="G3595" s="115" t="str">
        <x:v>1 niveaux ; 36 pièces ; 265 segments de mur ; 0 transitions. Inspection physique ; architecture complète encore ouverte.</x:v>
      </x:c>
      <x:c r="H3595" s="115" t="str">
        <x:v>L 1100 ; l 1600 ; hauteur 20 m ; choix de composition auteur ; dimensions réelles à documenter</x:v>
      </x:c>
      <x:c r="I3595" s="115" t="str">
        <x:v>À équilibrer</x:v>
      </x:c>
      <x:c r="J3595" s="115" t="str">
        <x:v>Non</x:v>
      </x:c>
      <x:c r="K3595" s="115" t="str">
        <x:v>Pièces décrites, murs, portes, niveaux et mobilier inspectables à l’échelle. Volumes réservés, raccord au seed, butin, rencontres et services de campagne restent à terminer.</x:v>
      </x:c>
    </x:row>
    <x:row r="3596" ht="96" customHeight="1">
      <x:c r="A3596" s="115" t="str">
        <x:v>EXT-MONDE-T072-V41</x:v>
      </x:c>
      <x:c r="B3596" s="115" t="str">
        <x:v>EXT-MONDE-T072</x:v>
      </x:c>
      <x:c r="C3596" s="115" t="str">
        <x:v>Aéroports</x:v>
      </x:c>
      <x:c r="D3596" s="115" t="str">
        <x:v>Aérodrome insulaire</x:v>
      </x:c>
      <x:c r="E3596" s="115" t="n">
        <x:v>41</x:v>
      </x:c>
      <x:c r="F3596" s="115" t="str">
        <x:v>Inspection physique</x:v>
      </x:c>
      <x:c r="G3596" s="115" t="str">
        <x:v>1 niveaux ; 36 pièces ; 265 segments de mur ; 0 transitions. Inspection physique ; architecture complète encore ouverte.</x:v>
      </x:c>
      <x:c r="H3596" s="115" t="str">
        <x:v>L 1100 ; l 1700 ; hauteur 22 m ; choix de composition auteur ; dimensions réelles à documenter</x:v>
      </x:c>
      <x:c r="I3596" s="115" t="str">
        <x:v>À équilibrer</x:v>
      </x:c>
      <x:c r="J3596" s="115" t="str">
        <x:v>Non</x:v>
      </x:c>
      <x:c r="K3596" s="115" t="str">
        <x:v>Pièces décrites, murs, portes, niveaux et mobilier inspectables à l’échelle. Volumes réservés, raccord au seed, butin, rencontres et services de campagne restent à terminer.</x:v>
      </x:c>
    </x:row>
    <x:row r="3597" ht="96" customHeight="1">
      <x:c r="A3597" s="115" t="str">
        <x:v>EXT-MONDE-T072-V42</x:v>
      </x:c>
      <x:c r="B3597" s="115" t="str">
        <x:v>EXT-MONDE-T072</x:v>
      </x:c>
      <x:c r="C3597" s="115" t="str">
        <x:v>Aéroports</x:v>
      </x:c>
      <x:c r="D3597" s="115" t="str">
        <x:v>Aérodrome insulaire</x:v>
      </x:c>
      <x:c r="E3597" s="115" t="n">
        <x:v>42</x:v>
      </x:c>
      <x:c r="F3597" s="115" t="str">
        <x:v>Inspection physique</x:v>
      </x:c>
      <x:c r="G3597" s="115" t="str">
        <x:v>1 niveaux ; 36 pièces ; 265 segments de mur ; 0 transitions. Inspection physique ; architecture complète encore ouverte.</x:v>
      </x:c>
      <x:c r="H3597" s="115" t="str">
        <x:v>L 1100 ; l 1700 ; hauteur 22 m ; choix de composition auteur ; dimensions réelles à documenter</x:v>
      </x:c>
      <x:c r="I3597" s="115" t="str">
        <x:v>À équilibrer</x:v>
      </x:c>
      <x:c r="J3597" s="115" t="str">
        <x:v>Non</x:v>
      </x:c>
      <x:c r="K3597" s="115" t="str">
        <x:v>Pièces décrites, murs, portes, niveaux et mobilier inspectables à l’échelle. Volumes réservés, raccord au seed, butin, rencontres et services de campagne restent à terminer.</x:v>
      </x:c>
    </x:row>
    <x:row r="3598" ht="96" customHeight="1">
      <x:c r="A3598" s="115" t="str">
        <x:v>EXT-MONDE-T072-V43</x:v>
      </x:c>
      <x:c r="B3598" s="115" t="str">
        <x:v>EXT-MONDE-T072</x:v>
      </x:c>
      <x:c r="C3598" s="115" t="str">
        <x:v>Aéroports</x:v>
      </x:c>
      <x:c r="D3598" s="115" t="str">
        <x:v>Aérodrome insulaire</x:v>
      </x:c>
      <x:c r="E3598" s="115" t="n">
        <x:v>43</x:v>
      </x:c>
      <x:c r="F3598" s="115" t="str">
        <x:v>Inspection physique</x:v>
      </x:c>
      <x:c r="G3598" s="115" t="str">
        <x:v>1 niveaux ; 36 pièces ; 265 segments de mur ; 0 transitions. Inspection physique ; architecture complète encore ouverte.</x:v>
      </x:c>
      <x:c r="H3598" s="115" t="str">
        <x:v>L 1100 ; l 1700 ; hauteur 22 m ; choix de composition auteur ; dimensions réelles à documenter</x:v>
      </x:c>
      <x:c r="I3598" s="115" t="str">
        <x:v>À équilibrer</x:v>
      </x:c>
      <x:c r="J3598" s="115" t="str">
        <x:v>Non</x:v>
      </x:c>
      <x:c r="K3598" s="115" t="str">
        <x:v>Pièces décrites, murs, portes, niveaux et mobilier inspectables à l’échelle. Volumes réservés, raccord au seed, butin, rencontres et services de campagne restent à terminer.</x:v>
      </x:c>
    </x:row>
    <x:row r="3599" ht="96" customHeight="1">
      <x:c r="A3599" s="115" t="str">
        <x:v>EXT-MONDE-T072-V44</x:v>
      </x:c>
      <x:c r="B3599" s="115" t="str">
        <x:v>EXT-MONDE-T072</x:v>
      </x:c>
      <x:c r="C3599" s="115" t="str">
        <x:v>Aéroports</x:v>
      </x:c>
      <x:c r="D3599" s="115" t="str">
        <x:v>Aérodrome insulaire</x:v>
      </x:c>
      <x:c r="E3599" s="115" t="n">
        <x:v>44</x:v>
      </x:c>
      <x:c r="F3599" s="115" t="str">
        <x:v>Inspection physique</x:v>
      </x:c>
      <x:c r="G3599" s="115" t="str">
        <x:v>1 niveaux ; 36 pièces ; 265 segments de mur ; 0 transitions. Inspection physique ; architecture complète encore ouverte.</x:v>
      </x:c>
      <x:c r="H3599" s="115" t="str">
        <x:v>L 1100 ; l 1700 ; hauteur 22 m ; choix de composition auteur ; dimensions réelles à documenter</x:v>
      </x:c>
      <x:c r="I3599" s="115" t="str">
        <x:v>À équilibrer</x:v>
      </x:c>
      <x:c r="J3599" s="115" t="str">
        <x:v>Non</x:v>
      </x:c>
      <x:c r="K3599" s="115" t="str">
        <x:v>Pièces décrites, murs, portes, niveaux et mobilier inspectables à l’échelle. Volumes réservés, raccord au seed, butin, rencontres et services de campagne restent à terminer.</x:v>
      </x:c>
    </x:row>
    <x:row r="3600" ht="96" customHeight="1">
      <x:c r="A3600" s="115" t="str">
        <x:v>EXT-MONDE-T072-V45</x:v>
      </x:c>
      <x:c r="B3600" s="115" t="str">
        <x:v>EXT-MONDE-T072</x:v>
      </x:c>
      <x:c r="C3600" s="115" t="str">
        <x:v>Aéroports</x:v>
      </x:c>
      <x:c r="D3600" s="115" t="str">
        <x:v>Aérodrome insulaire</x:v>
      </x:c>
      <x:c r="E3600" s="115" t="n">
        <x:v>45</x:v>
      </x:c>
      <x:c r="F3600" s="115" t="str">
        <x:v>Inspection physique</x:v>
      </x:c>
      <x:c r="G3600" s="115" t="str">
        <x:v>1 niveaux ; 36 pièces ; 265 segments de mur ; 0 transitions. Inspection physique ; architecture complète encore ouverte.</x:v>
      </x:c>
      <x:c r="H3600" s="115" t="str">
        <x:v>L 1100 ; l 1700 ; hauteur 22 m ; choix de composition auteur ; dimensions réelles à documenter</x:v>
      </x:c>
      <x:c r="I3600" s="115" t="str">
        <x:v>À équilibrer</x:v>
      </x:c>
      <x:c r="J3600" s="115" t="str">
        <x:v>Non</x:v>
      </x:c>
      <x:c r="K3600" s="115" t="str">
        <x:v>Pièces décrites, murs, portes, niveaux et mobilier inspectables à l’échelle. Volumes réservés, raccord au seed, butin, rencontres et services de campagne restent à terminer.</x:v>
      </x:c>
    </x:row>
    <x:row r="3601" ht="96" customHeight="1">
      <x:c r="A3601" s="115" t="str">
        <x:v>EXT-MONDE-T072-V46</x:v>
      </x:c>
      <x:c r="B3601" s="115" t="str">
        <x:v>EXT-MONDE-T072</x:v>
      </x:c>
      <x:c r="C3601" s="115" t="str">
        <x:v>Aéroports</x:v>
      </x:c>
      <x:c r="D3601" s="115" t="str">
        <x:v>Aérodrome insulaire</x:v>
      </x:c>
      <x:c r="E3601" s="115" t="n">
        <x:v>46</x:v>
      </x:c>
      <x:c r="F3601" s="115" t="str">
        <x:v>Inspection physique</x:v>
      </x:c>
      <x:c r="G3601" s="115" t="str">
        <x:v>1 niveaux ; 36 pièces ; 265 segments de mur ; 0 transitions. Inspection physique ; architecture complète encore ouverte.</x:v>
      </x:c>
      <x:c r="H3601" s="115" t="str">
        <x:v>L 1100 ; l 1700 ; hauteur 22 m ; choix de composition auteur ; dimensions réelles à documenter</x:v>
      </x:c>
      <x:c r="I3601" s="115" t="str">
        <x:v>À équilibrer</x:v>
      </x:c>
      <x:c r="J3601" s="115" t="str">
        <x:v>Non</x:v>
      </x:c>
      <x:c r="K3601" s="115" t="str">
        <x:v>Pièces décrites, murs, portes, niveaux et mobilier inspectables à l’échelle. Volumes réservés, raccord au seed, butin, rencontres et services de campagne restent à terminer.</x:v>
      </x:c>
    </x:row>
    <x:row r="3602" ht="96" customHeight="1">
      <x:c r="A3602" s="115" t="str">
        <x:v>EXT-MONDE-T072-V47</x:v>
      </x:c>
      <x:c r="B3602" s="115" t="str">
        <x:v>EXT-MONDE-T072</x:v>
      </x:c>
      <x:c r="C3602" s="115" t="str">
        <x:v>Aéroports</x:v>
      </x:c>
      <x:c r="D3602" s="115" t="str">
        <x:v>Aérodrome insulaire</x:v>
      </x:c>
      <x:c r="E3602" s="115" t="n">
        <x:v>47</x:v>
      </x:c>
      <x:c r="F3602" s="115" t="str">
        <x:v>Inspection physique</x:v>
      </x:c>
      <x:c r="G3602" s="115" t="str">
        <x:v>1 niveaux ; 36 pièces ; 265 segments de mur ; 0 transitions. Inspection physique ; architecture complète encore ouverte.</x:v>
      </x:c>
      <x:c r="H3602" s="115" t="str">
        <x:v>L 1100 ; l 1700 ; hauteur 22 m ; choix de composition auteur ; dimensions réelles à documenter</x:v>
      </x:c>
      <x:c r="I3602" s="115" t="str">
        <x:v>À équilibrer</x:v>
      </x:c>
      <x:c r="J3602" s="115" t="str">
        <x:v>Non</x:v>
      </x:c>
      <x:c r="K3602" s="115" t="str">
        <x:v>Pièces décrites, murs, portes, niveaux et mobilier inspectables à l’échelle. Volumes réservés, raccord au seed, butin, rencontres et services de campagne restent à terminer.</x:v>
      </x:c>
    </x:row>
    <x:row r="3603" ht="96" customHeight="1">
      <x:c r="A3603" s="115" t="str">
        <x:v>EXT-MONDE-T072-V48</x:v>
      </x:c>
      <x:c r="B3603" s="115" t="str">
        <x:v>EXT-MONDE-T072</x:v>
      </x:c>
      <x:c r="C3603" s="115" t="str">
        <x:v>Aéroports</x:v>
      </x:c>
      <x:c r="D3603" s="115" t="str">
        <x:v>Aérodrome insulaire</x:v>
      </x:c>
      <x:c r="E3603" s="115" t="n">
        <x:v>48</x:v>
      </x:c>
      <x:c r="F3603" s="115" t="str">
        <x:v>Inspection physique</x:v>
      </x:c>
      <x:c r="G3603" s="115" t="str">
        <x:v>1 niveaux ; 36 pièces ; 265 segments de mur ; 0 transitions. Inspection physique ; architecture complète encore ouverte.</x:v>
      </x:c>
      <x:c r="H3603" s="115" t="str">
        <x:v>L 1100 ; l 1700 ; hauteur 22 m ; choix de composition auteur ; dimensions réelles à documenter</x:v>
      </x:c>
      <x:c r="I3603" s="115" t="str">
        <x:v>À équilibrer</x:v>
      </x:c>
      <x:c r="J3603" s="115" t="str">
        <x:v>Non</x:v>
      </x:c>
      <x:c r="K3603" s="115" t="str">
        <x:v>Pièces décrites, murs, portes, niveaux et mobilier inspectables à l’échelle. Volumes réservés, raccord au seed, butin, rencontres et services de campagne restent à terminer.</x:v>
      </x:c>
    </x:row>
    <x:row r="3604" ht="96" customHeight="1">
      <x:c r="A3604" s="115" t="str">
        <x:v>EXT-MONDE-T072-V49</x:v>
      </x:c>
      <x:c r="B3604" s="115" t="str">
        <x:v>EXT-MONDE-T072</x:v>
      </x:c>
      <x:c r="C3604" s="115" t="str">
        <x:v>Aéroports</x:v>
      </x:c>
      <x:c r="D3604" s="115" t="str">
        <x:v>Aérodrome insulaire</x:v>
      </x:c>
      <x:c r="E3604" s="115" t="n">
        <x:v>49</x:v>
      </x:c>
      <x:c r="F3604" s="115" t="str">
        <x:v>Inspection physique</x:v>
      </x:c>
      <x:c r="G3604" s="115" t="str">
        <x:v>1 niveaux ; 36 pièces ; 265 segments de mur ; 0 transitions. Inspection physique ; architecture complète encore ouverte.</x:v>
      </x:c>
      <x:c r="H3604" s="115" t="str">
        <x:v>L 1100 ; l 1700 ; hauteur 22 m ; choix de composition auteur ; dimensions réelles à documenter</x:v>
      </x:c>
      <x:c r="I3604" s="115" t="str">
        <x:v>À équilibrer</x:v>
      </x:c>
      <x:c r="J3604" s="115" t="str">
        <x:v>Non</x:v>
      </x:c>
      <x:c r="K3604" s="115" t="str">
        <x:v>Pièces décrites, murs, portes, niveaux et mobilier inspectables à l’échelle. Volumes réservés, raccord au seed, butin, rencontres et services de campagne restent à terminer.</x:v>
      </x:c>
    </x:row>
    <x:row r="3605" ht="96" customHeight="1">
      <x:c r="A3605" s="115" t="str">
        <x:v>EXT-MONDE-T072-V50</x:v>
      </x:c>
      <x:c r="B3605" s="115" t="str">
        <x:v>EXT-MONDE-T072</x:v>
      </x:c>
      <x:c r="C3605" s="115" t="str">
        <x:v>Aéroports</x:v>
      </x:c>
      <x:c r="D3605" s="115" t="str">
        <x:v>Aérodrome insulaire</x:v>
      </x:c>
      <x:c r="E3605" s="115" t="n">
        <x:v>50</x:v>
      </x:c>
      <x:c r="F3605" s="115" t="str">
        <x:v>Inspection physique</x:v>
      </x:c>
      <x:c r="G3605" s="115" t="str">
        <x:v>1 niveaux ; 36 pièces ; 265 segments de mur ; 0 transitions. Inspection physique ; architecture complète encore ouverte.</x:v>
      </x:c>
      <x:c r="H3605" s="115" t="str">
        <x:v>L 1100 ; l 1700 ; hauteur 22 m ; choix de composition auteur ; dimensions réelles à documenter</x:v>
      </x:c>
      <x:c r="I3605" s="115" t="str">
        <x:v>À équilibrer</x:v>
      </x:c>
      <x:c r="J3605" s="115" t="str">
        <x:v>Non</x:v>
      </x:c>
      <x:c r="K3605" s="115" t="str">
        <x:v>Pièces décrites, murs, portes, niveaux et mobilier inspectables à l’échelle. Volumes réservés, raccord au seed, butin, rencontres et services de campagne restent à terminer.</x:v>
      </x:c>
    </x:row>
    <x:row r="3606" ht="96" customHeight="1">
      <x:c r="A3606" s="115" t="str">
        <x:v>EXT-MONDE-T073-V01</x:v>
      </x:c>
      <x:c r="B3606" s="115" t="str">
        <x:v>EXT-MONDE-T073</x:v>
      </x:c>
      <x:c r="C3606" s="115" t="str">
        <x:v>Ferroviaire</x:v>
      </x:c>
      <x:c r="D3606" s="115" t="str">
        <x:v>Gare de passage</x:v>
      </x:c>
      <x:c r="E3606" s="115" t="n">
        <x:v>1</x:v>
      </x:c>
      <x:c r="F3606" s="115" t="str">
        <x:v>Inspection physique</x:v>
      </x:c>
      <x:c r="G3606" s="115" t="str">
        <x:v>1 niveaux ; 36 pièces ; 265 segments de mur ; 0 transitions. Inspection physique ; architecture complète encore ouverte.</x:v>
      </x:c>
      <x:c r="H3606" s="115" t="str">
        <x:v>L 800 ; l 1700 ; hauteur 7 m ; choix de composition auteur ; dimensions réelles à documenter</x:v>
      </x:c>
      <x:c r="I3606" s="115" t="str">
        <x:v>À équilibrer</x:v>
      </x:c>
      <x:c r="J3606" s="115" t="str">
        <x:v>Non</x:v>
      </x:c>
      <x:c r="K3606" s="115" t="str">
        <x:v>Pièces décrites, murs, portes, niveaux et mobilier inspectables à l’échelle. Volumes réservés, raccord au seed, butin, rencontres et services de campagne restent à terminer.</x:v>
      </x:c>
    </x:row>
    <x:row r="3607" ht="96" customHeight="1">
      <x:c r="A3607" s="115" t="str">
        <x:v>EXT-MONDE-T073-V02</x:v>
      </x:c>
      <x:c r="B3607" s="115" t="str">
        <x:v>EXT-MONDE-T073</x:v>
      </x:c>
      <x:c r="C3607" s="115" t="str">
        <x:v>Ferroviaire</x:v>
      </x:c>
      <x:c r="D3607" s="115" t="str">
        <x:v>Gare de passage</x:v>
      </x:c>
      <x:c r="E3607" s="115" t="n">
        <x:v>2</x:v>
      </x:c>
      <x:c r="F3607" s="115" t="str">
        <x:v>Inspection physique</x:v>
      </x:c>
      <x:c r="G3607" s="115" t="str">
        <x:v>1 niveaux ; 36 pièces ; 265 segments de mur ; 0 transitions. Inspection physique ; architecture complète encore ouverte.</x:v>
      </x:c>
      <x:c r="H3607" s="115" t="str">
        <x:v>L 800 ; l 1700 ; hauteur 7 m ; choix de composition auteur ; dimensions réelles à documenter</x:v>
      </x:c>
      <x:c r="I3607" s="115" t="str">
        <x:v>À équilibrer</x:v>
      </x:c>
      <x:c r="J3607" s="115" t="str">
        <x:v>Non</x:v>
      </x:c>
      <x:c r="K3607" s="115" t="str">
        <x:v>Pièces décrites, murs, portes, niveaux et mobilier inspectables à l’échelle. Volumes réservés, raccord au seed, butin, rencontres et services de campagne restent à terminer.</x:v>
      </x:c>
    </x:row>
    <x:row r="3608" ht="96" customHeight="1">
      <x:c r="A3608" s="115" t="str">
        <x:v>EXT-MONDE-T073-V03</x:v>
      </x:c>
      <x:c r="B3608" s="115" t="str">
        <x:v>EXT-MONDE-T073</x:v>
      </x:c>
      <x:c r="C3608" s="115" t="str">
        <x:v>Ferroviaire</x:v>
      </x:c>
      <x:c r="D3608" s="115" t="str">
        <x:v>Gare de passage</x:v>
      </x:c>
      <x:c r="E3608" s="115" t="n">
        <x:v>3</x:v>
      </x:c>
      <x:c r="F3608" s="115" t="str">
        <x:v>Inspection physique</x:v>
      </x:c>
      <x:c r="G3608" s="115" t="str">
        <x:v>1 niveaux ; 36 pièces ; 265 segments de mur ; 0 transitions. Inspection physique ; architecture complète encore ouverte.</x:v>
      </x:c>
      <x:c r="H3608" s="115" t="str">
        <x:v>L 800 ; l 1700 ; hauteur 7 m ; choix de composition auteur ; dimensions réelles à documenter</x:v>
      </x:c>
      <x:c r="I3608" s="115" t="str">
        <x:v>À équilibrer</x:v>
      </x:c>
      <x:c r="J3608" s="115" t="str">
        <x:v>Non</x:v>
      </x:c>
      <x:c r="K3608" s="115" t="str">
        <x:v>Pièces décrites, murs, portes, niveaux et mobilier inspectables à l’échelle. Volumes réservés, raccord au seed, butin, rencontres et services de campagne restent à terminer.</x:v>
      </x:c>
    </x:row>
    <x:row r="3609" ht="96" customHeight="1">
      <x:c r="A3609" s="115" t="str">
        <x:v>EXT-MONDE-T073-V04</x:v>
      </x:c>
      <x:c r="B3609" s="115" t="str">
        <x:v>EXT-MONDE-T073</x:v>
      </x:c>
      <x:c r="C3609" s="115" t="str">
        <x:v>Ferroviaire</x:v>
      </x:c>
      <x:c r="D3609" s="115" t="str">
        <x:v>Gare de passage</x:v>
      </x:c>
      <x:c r="E3609" s="115" t="n">
        <x:v>4</x:v>
      </x:c>
      <x:c r="F3609" s="115" t="str">
        <x:v>Inspection physique</x:v>
      </x:c>
      <x:c r="G3609" s="115" t="str">
        <x:v>1 niveaux ; 36 pièces ; 265 segments de mur ; 0 transitions. Inspection physique ; architecture complète encore ouverte.</x:v>
      </x:c>
      <x:c r="H3609" s="115" t="str">
        <x:v>L 800 ; l 1700 ; hauteur 7 m ; choix de composition auteur ; dimensions réelles à documenter</x:v>
      </x:c>
      <x:c r="I3609" s="115" t="str">
        <x:v>À équilibrer</x:v>
      </x:c>
      <x:c r="J3609" s="115" t="str">
        <x:v>Non</x:v>
      </x:c>
      <x:c r="K3609" s="115" t="str">
        <x:v>Pièces décrites, murs, portes, niveaux et mobilier inspectables à l’échelle. Volumes réservés, raccord au seed, butin, rencontres et services de campagne restent à terminer.</x:v>
      </x:c>
    </x:row>
    <x:row r="3610" ht="96" customHeight="1">
      <x:c r="A3610" s="115" t="str">
        <x:v>EXT-MONDE-T073-V05</x:v>
      </x:c>
      <x:c r="B3610" s="115" t="str">
        <x:v>EXT-MONDE-T073</x:v>
      </x:c>
      <x:c r="C3610" s="115" t="str">
        <x:v>Ferroviaire</x:v>
      </x:c>
      <x:c r="D3610" s="115" t="str">
        <x:v>Gare de passage</x:v>
      </x:c>
      <x:c r="E3610" s="115" t="n">
        <x:v>5</x:v>
      </x:c>
      <x:c r="F3610" s="115" t="str">
        <x:v>Inspection physique</x:v>
      </x:c>
      <x:c r="G3610" s="115" t="str">
        <x:v>1 niveaux ; 36 pièces ; 265 segments de mur ; 0 transitions. Inspection physique ; architecture complète encore ouverte.</x:v>
      </x:c>
      <x:c r="H3610" s="115" t="str">
        <x:v>L 800 ; l 1700 ; hauteur 7 m ; choix de composition auteur ; dimensions réelles à documenter</x:v>
      </x:c>
      <x:c r="I3610" s="115" t="str">
        <x:v>À équilibrer</x:v>
      </x:c>
      <x:c r="J3610" s="115" t="str">
        <x:v>Non</x:v>
      </x:c>
      <x:c r="K3610" s="115" t="str">
        <x:v>Pièces décrites, murs, portes, niveaux et mobilier inspectables à l’échelle. Volumes réservés, raccord au seed, butin, rencontres et services de campagne restent à terminer.</x:v>
      </x:c>
    </x:row>
    <x:row r="3611" ht="96" customHeight="1">
      <x:c r="A3611" s="115" t="str">
        <x:v>EXT-MONDE-T073-V06</x:v>
      </x:c>
      <x:c r="B3611" s="115" t="str">
        <x:v>EXT-MONDE-T073</x:v>
      </x:c>
      <x:c r="C3611" s="115" t="str">
        <x:v>Ferroviaire</x:v>
      </x:c>
      <x:c r="D3611" s="115" t="str">
        <x:v>Gare de passage</x:v>
      </x:c>
      <x:c r="E3611" s="115" t="n">
        <x:v>6</x:v>
      </x:c>
      <x:c r="F3611" s="115" t="str">
        <x:v>Inspection physique</x:v>
      </x:c>
      <x:c r="G3611" s="115" t="str">
        <x:v>1 niveaux ; 36 pièces ; 265 segments de mur ; 0 transitions. Inspection physique ; architecture complète encore ouverte.</x:v>
      </x:c>
      <x:c r="H3611" s="115" t="str">
        <x:v>L 800 ; l 1700 ; hauteur 7 m ; choix de composition auteur ; dimensions réelles à documenter</x:v>
      </x:c>
      <x:c r="I3611" s="115" t="str">
        <x:v>À équilibrer</x:v>
      </x:c>
      <x:c r="J3611" s="115" t="str">
        <x:v>Non</x:v>
      </x:c>
      <x:c r="K3611" s="115" t="str">
        <x:v>Pièces décrites, murs, portes, niveaux et mobilier inspectables à l’échelle. Volumes réservés, raccord au seed, butin, rencontres et services de campagne restent à terminer.</x:v>
      </x:c>
    </x:row>
    <x:row r="3612" ht="96" customHeight="1">
      <x:c r="A3612" s="115" t="str">
        <x:v>EXT-MONDE-T073-V07</x:v>
      </x:c>
      <x:c r="B3612" s="115" t="str">
        <x:v>EXT-MONDE-T073</x:v>
      </x:c>
      <x:c r="C3612" s="115" t="str">
        <x:v>Ferroviaire</x:v>
      </x:c>
      <x:c r="D3612" s="115" t="str">
        <x:v>Gare de passage</x:v>
      </x:c>
      <x:c r="E3612" s="115" t="n">
        <x:v>7</x:v>
      </x:c>
      <x:c r="F3612" s="115" t="str">
        <x:v>Inspection physique</x:v>
      </x:c>
      <x:c r="G3612" s="115" t="str">
        <x:v>1 niveaux ; 36 pièces ; 265 segments de mur ; 0 transitions. Inspection physique ; architecture complète encore ouverte.</x:v>
      </x:c>
      <x:c r="H3612" s="115" t="str">
        <x:v>L 800 ; l 1700 ; hauteur 7 m ; choix de composition auteur ; dimensions réelles à documenter</x:v>
      </x:c>
      <x:c r="I3612" s="115" t="str">
        <x:v>À équilibrer</x:v>
      </x:c>
      <x:c r="J3612" s="115" t="str">
        <x:v>Non</x:v>
      </x:c>
      <x:c r="K3612" s="115" t="str">
        <x:v>Pièces décrites, murs, portes, niveaux et mobilier inspectables à l’échelle. Volumes réservés, raccord au seed, butin, rencontres et services de campagne restent à terminer.</x:v>
      </x:c>
    </x:row>
    <x:row r="3613" ht="96" customHeight="1">
      <x:c r="A3613" s="115" t="str">
        <x:v>EXT-MONDE-T073-V08</x:v>
      </x:c>
      <x:c r="B3613" s="115" t="str">
        <x:v>EXT-MONDE-T073</x:v>
      </x:c>
      <x:c r="C3613" s="115" t="str">
        <x:v>Ferroviaire</x:v>
      </x:c>
      <x:c r="D3613" s="115" t="str">
        <x:v>Gare de passage</x:v>
      </x:c>
      <x:c r="E3613" s="115" t="n">
        <x:v>8</x:v>
      </x:c>
      <x:c r="F3613" s="115" t="str">
        <x:v>Inspection physique</x:v>
      </x:c>
      <x:c r="G3613" s="115" t="str">
        <x:v>1 niveaux ; 36 pièces ; 265 segments de mur ; 0 transitions. Inspection physique ; architecture complète encore ouverte.</x:v>
      </x:c>
      <x:c r="H3613" s="115" t="str">
        <x:v>L 800 ; l 1700 ; hauteur 7 m ; choix de composition auteur ; dimensions réelles à documenter</x:v>
      </x:c>
      <x:c r="I3613" s="115" t="str">
        <x:v>À équilibrer</x:v>
      </x:c>
      <x:c r="J3613" s="115" t="str">
        <x:v>Non</x:v>
      </x:c>
      <x:c r="K3613" s="115" t="str">
        <x:v>Pièces décrites, murs, portes, niveaux et mobilier inspectables à l’échelle. Volumes réservés, raccord au seed, butin, rencontres et services de campagne restent à terminer.</x:v>
      </x:c>
    </x:row>
    <x:row r="3614" ht="96" customHeight="1">
      <x:c r="A3614" s="115" t="str">
        <x:v>EXT-MONDE-T073-V09</x:v>
      </x:c>
      <x:c r="B3614" s="115" t="str">
        <x:v>EXT-MONDE-T073</x:v>
      </x:c>
      <x:c r="C3614" s="115" t="str">
        <x:v>Ferroviaire</x:v>
      </x:c>
      <x:c r="D3614" s="115" t="str">
        <x:v>Gare de passage</x:v>
      </x:c>
      <x:c r="E3614" s="115" t="n">
        <x:v>9</x:v>
      </x:c>
      <x:c r="F3614" s="115" t="str">
        <x:v>Inspection physique</x:v>
      </x:c>
      <x:c r="G3614" s="115" t="str">
        <x:v>1 niveaux ; 36 pièces ; 265 segments de mur ; 0 transitions. Inspection physique ; architecture complète encore ouverte.</x:v>
      </x:c>
      <x:c r="H3614" s="115" t="str">
        <x:v>L 800 ; l 1700 ; hauteur 7 m ; choix de composition auteur ; dimensions réelles à documenter</x:v>
      </x:c>
      <x:c r="I3614" s="115" t="str">
        <x:v>À équilibrer</x:v>
      </x:c>
      <x:c r="J3614" s="115" t="str">
        <x:v>Non</x:v>
      </x:c>
      <x:c r="K3614" s="115" t="str">
        <x:v>Pièces décrites, murs, portes, niveaux et mobilier inspectables à l’échelle. Volumes réservés, raccord au seed, butin, rencontres et services de campagne restent à terminer.</x:v>
      </x:c>
    </x:row>
    <x:row r="3615" ht="96" customHeight="1">
      <x:c r="A3615" s="115" t="str">
        <x:v>EXT-MONDE-T073-V10</x:v>
      </x:c>
      <x:c r="B3615" s="115" t="str">
        <x:v>EXT-MONDE-T073</x:v>
      </x:c>
      <x:c r="C3615" s="115" t="str">
        <x:v>Ferroviaire</x:v>
      </x:c>
      <x:c r="D3615" s="115" t="str">
        <x:v>Gare de passage</x:v>
      </x:c>
      <x:c r="E3615" s="115" t="n">
        <x:v>10</x:v>
      </x:c>
      <x:c r="F3615" s="115" t="str">
        <x:v>Inspection physique</x:v>
      </x:c>
      <x:c r="G3615" s="115" t="str">
        <x:v>1 niveaux ; 36 pièces ; 265 segments de mur ; 0 transitions. Inspection physique ; architecture complète encore ouverte.</x:v>
      </x:c>
      <x:c r="H3615" s="115" t="str">
        <x:v>L 800 ; l 1700 ; hauteur 7 m ; choix de composition auteur ; dimensions réelles à documenter</x:v>
      </x:c>
      <x:c r="I3615" s="115" t="str">
        <x:v>À équilibrer</x:v>
      </x:c>
      <x:c r="J3615" s="115" t="str">
        <x:v>Non</x:v>
      </x:c>
      <x:c r="K3615" s="115" t="str">
        <x:v>Pièces décrites, murs, portes, niveaux et mobilier inspectables à l’échelle. Volumes réservés, raccord au seed, butin, rencontres et services de campagne restent à terminer.</x:v>
      </x:c>
    </x:row>
    <x:row r="3616" ht="96" customHeight="1">
      <x:c r="A3616" s="115" t="str">
        <x:v>EXT-MONDE-T073-V11</x:v>
      </x:c>
      <x:c r="B3616" s="115" t="str">
        <x:v>EXT-MONDE-T073</x:v>
      </x:c>
      <x:c r="C3616" s="115" t="str">
        <x:v>Ferroviaire</x:v>
      </x:c>
      <x:c r="D3616" s="115" t="str">
        <x:v>Gare de passage</x:v>
      </x:c>
      <x:c r="E3616" s="115" t="n">
        <x:v>11</x:v>
      </x:c>
      <x:c r="F3616" s="115" t="str">
        <x:v>Inspection physique</x:v>
      </x:c>
      <x:c r="G3616" s="115" t="str">
        <x:v>1 niveaux ; 36 pièces ; 265 segments de mur ; 0 transitions. Inspection physique ; architecture complète encore ouverte.</x:v>
      </x:c>
      <x:c r="H3616" s="115" t="str">
        <x:v>L 800 ; l 1860 ; hauteur 7,2 m ; choix de composition auteur ; dimensions réelles à documenter</x:v>
      </x:c>
      <x:c r="I3616" s="115" t="str">
        <x:v>À équilibrer</x:v>
      </x:c>
      <x:c r="J3616" s="115" t="str">
        <x:v>Non</x:v>
      </x:c>
      <x:c r="K3616" s="115" t="str">
        <x:v>Pièces décrites, murs, portes, niveaux et mobilier inspectables à l’échelle. Volumes réservés, raccord au seed, butin, rencontres et services de campagne restent à terminer.</x:v>
      </x:c>
    </x:row>
    <x:row r="3617" ht="96" customHeight="1">
      <x:c r="A3617" s="115" t="str">
        <x:v>EXT-MONDE-T073-V12</x:v>
      </x:c>
      <x:c r="B3617" s="115" t="str">
        <x:v>EXT-MONDE-T073</x:v>
      </x:c>
      <x:c r="C3617" s="115" t="str">
        <x:v>Ferroviaire</x:v>
      </x:c>
      <x:c r="D3617" s="115" t="str">
        <x:v>Gare de passage</x:v>
      </x:c>
      <x:c r="E3617" s="115" t="n">
        <x:v>12</x:v>
      </x:c>
      <x:c r="F3617" s="115" t="str">
        <x:v>Inspection physique</x:v>
      </x:c>
      <x:c r="G3617" s="115" t="str">
        <x:v>1 niveaux ; 36 pièces ; 265 segments de mur ; 0 transitions. Inspection physique ; architecture complète encore ouverte.</x:v>
      </x:c>
      <x:c r="H3617" s="115" t="str">
        <x:v>L 800 ; l 1860 ; hauteur 7,2 m ; choix de composition auteur ; dimensions réelles à documenter</x:v>
      </x:c>
      <x:c r="I3617" s="115" t="str">
        <x:v>À équilibrer</x:v>
      </x:c>
      <x:c r="J3617" s="115" t="str">
        <x:v>Non</x:v>
      </x:c>
      <x:c r="K3617" s="115" t="str">
        <x:v>Pièces décrites, murs, portes, niveaux et mobilier inspectables à l’échelle. Volumes réservés, raccord au seed, butin, rencontres et services de campagne restent à terminer.</x:v>
      </x:c>
    </x:row>
    <x:row r="3618" ht="96" customHeight="1">
      <x:c r="A3618" s="115" t="str">
        <x:v>EXT-MONDE-T073-V13</x:v>
      </x:c>
      <x:c r="B3618" s="115" t="str">
        <x:v>EXT-MONDE-T073</x:v>
      </x:c>
      <x:c r="C3618" s="115" t="str">
        <x:v>Ferroviaire</x:v>
      </x:c>
      <x:c r="D3618" s="115" t="str">
        <x:v>Gare de passage</x:v>
      </x:c>
      <x:c r="E3618" s="115" t="n">
        <x:v>13</x:v>
      </x:c>
      <x:c r="F3618" s="115" t="str">
        <x:v>Inspection physique</x:v>
      </x:c>
      <x:c r="G3618" s="115" t="str">
        <x:v>1 niveaux ; 36 pièces ; 265 segments de mur ; 0 transitions. Inspection physique ; architecture complète encore ouverte.</x:v>
      </x:c>
      <x:c r="H3618" s="115" t="str">
        <x:v>L 800 ; l 1860 ; hauteur 7,2 m ; choix de composition auteur ; dimensions réelles à documenter</x:v>
      </x:c>
      <x:c r="I3618" s="115" t="str">
        <x:v>À équilibrer</x:v>
      </x:c>
      <x:c r="J3618" s="115" t="str">
        <x:v>Non</x:v>
      </x:c>
      <x:c r="K3618" s="115" t="str">
        <x:v>Pièces décrites, murs, portes, niveaux et mobilier inspectables à l’échelle. Volumes réservés, raccord au seed, butin, rencontres et services de campagne restent à terminer.</x:v>
      </x:c>
    </x:row>
    <x:row r="3619" ht="96" customHeight="1">
      <x:c r="A3619" s="115" t="str">
        <x:v>EXT-MONDE-T073-V14</x:v>
      </x:c>
      <x:c r="B3619" s="115" t="str">
        <x:v>EXT-MONDE-T073</x:v>
      </x:c>
      <x:c r="C3619" s="115" t="str">
        <x:v>Ferroviaire</x:v>
      </x:c>
      <x:c r="D3619" s="115" t="str">
        <x:v>Gare de passage</x:v>
      </x:c>
      <x:c r="E3619" s="115" t="n">
        <x:v>14</x:v>
      </x:c>
      <x:c r="F3619" s="115" t="str">
        <x:v>Inspection physique</x:v>
      </x:c>
      <x:c r="G3619" s="115" t="str">
        <x:v>1 niveaux ; 36 pièces ; 265 segments de mur ; 0 transitions. Inspection physique ; architecture complète encore ouverte.</x:v>
      </x:c>
      <x:c r="H3619" s="115" t="str">
        <x:v>L 800 ; l 1860 ; hauteur 7,2 m ; choix de composition auteur ; dimensions réelles à documenter</x:v>
      </x:c>
      <x:c r="I3619" s="115" t="str">
        <x:v>À équilibrer</x:v>
      </x:c>
      <x:c r="J3619" s="115" t="str">
        <x:v>Non</x:v>
      </x:c>
      <x:c r="K3619" s="115" t="str">
        <x:v>Pièces décrites, murs, portes, niveaux et mobilier inspectables à l’échelle. Volumes réservés, raccord au seed, butin, rencontres et services de campagne restent à terminer.</x:v>
      </x:c>
    </x:row>
    <x:row r="3620" ht="96" customHeight="1">
      <x:c r="A3620" s="115" t="str">
        <x:v>EXT-MONDE-T073-V15</x:v>
      </x:c>
      <x:c r="B3620" s="115" t="str">
        <x:v>EXT-MONDE-T073</x:v>
      </x:c>
      <x:c r="C3620" s="115" t="str">
        <x:v>Ferroviaire</x:v>
      </x:c>
      <x:c r="D3620" s="115" t="str">
        <x:v>Gare de passage</x:v>
      </x:c>
      <x:c r="E3620" s="115" t="n">
        <x:v>15</x:v>
      </x:c>
      <x:c r="F3620" s="115" t="str">
        <x:v>Inspection physique</x:v>
      </x:c>
      <x:c r="G3620" s="115" t="str">
        <x:v>1 niveaux ; 36 pièces ; 265 segments de mur ; 0 transitions. Inspection physique ; architecture complète encore ouverte.</x:v>
      </x:c>
      <x:c r="H3620" s="115" t="str">
        <x:v>L 800 ; l 1860 ; hauteur 7,2 m ; choix de composition auteur ; dimensions réelles à documenter</x:v>
      </x:c>
      <x:c r="I3620" s="115" t="str">
        <x:v>À équilibrer</x:v>
      </x:c>
      <x:c r="J3620" s="115" t="str">
        <x:v>Non</x:v>
      </x:c>
      <x:c r="K3620" s="115" t="str">
        <x:v>Pièces décrites, murs, portes, niveaux et mobilier inspectables à l’échelle. Volumes réservés, raccord au seed, butin, rencontres et services de campagne restent à terminer.</x:v>
      </x:c>
    </x:row>
    <x:row r="3621" ht="96" customHeight="1">
      <x:c r="A3621" s="115" t="str">
        <x:v>EXT-MONDE-T073-V16</x:v>
      </x:c>
      <x:c r="B3621" s="115" t="str">
        <x:v>EXT-MONDE-T073</x:v>
      </x:c>
      <x:c r="C3621" s="115" t="str">
        <x:v>Ferroviaire</x:v>
      </x:c>
      <x:c r="D3621" s="115" t="str">
        <x:v>Gare de passage</x:v>
      </x:c>
      <x:c r="E3621" s="115" t="n">
        <x:v>16</x:v>
      </x:c>
      <x:c r="F3621" s="115" t="str">
        <x:v>Inspection physique</x:v>
      </x:c>
      <x:c r="G3621" s="115" t="str">
        <x:v>1 niveaux ; 36 pièces ; 265 segments de mur ; 0 transitions. Inspection physique ; architecture complète encore ouverte.</x:v>
      </x:c>
      <x:c r="H3621" s="115" t="str">
        <x:v>L 800 ; l 1860 ; hauteur 7,2 m ; choix de composition auteur ; dimensions réelles à documenter</x:v>
      </x:c>
      <x:c r="I3621" s="115" t="str">
        <x:v>À équilibrer</x:v>
      </x:c>
      <x:c r="J3621" s="115" t="str">
        <x:v>Non</x:v>
      </x:c>
      <x:c r="K3621" s="115" t="str">
        <x:v>Pièces décrites, murs, portes, niveaux et mobilier inspectables à l’échelle. Volumes réservés, raccord au seed, butin, rencontres et services de campagne restent à terminer.</x:v>
      </x:c>
    </x:row>
    <x:row r="3622" ht="96" customHeight="1">
      <x:c r="A3622" s="115" t="str">
        <x:v>EXT-MONDE-T073-V17</x:v>
      </x:c>
      <x:c r="B3622" s="115" t="str">
        <x:v>EXT-MONDE-T073</x:v>
      </x:c>
      <x:c r="C3622" s="115" t="str">
        <x:v>Ferroviaire</x:v>
      </x:c>
      <x:c r="D3622" s="115" t="str">
        <x:v>Gare de passage</x:v>
      </x:c>
      <x:c r="E3622" s="115" t="n">
        <x:v>17</x:v>
      </x:c>
      <x:c r="F3622" s="115" t="str">
        <x:v>Inspection physique</x:v>
      </x:c>
      <x:c r="G3622" s="115" t="str">
        <x:v>1 niveaux ; 36 pièces ; 265 segments de mur ; 0 transitions. Inspection physique ; architecture complète encore ouverte.</x:v>
      </x:c>
      <x:c r="H3622" s="115" t="str">
        <x:v>L 800 ; l 1860 ; hauteur 7,2 m ; choix de composition auteur ; dimensions réelles à documenter</x:v>
      </x:c>
      <x:c r="I3622" s="115" t="str">
        <x:v>À équilibrer</x:v>
      </x:c>
      <x:c r="J3622" s="115" t="str">
        <x:v>Non</x:v>
      </x:c>
      <x:c r="K3622" s="115" t="str">
        <x:v>Pièces décrites, murs, portes, niveaux et mobilier inspectables à l’échelle. Volumes réservés, raccord au seed, butin, rencontres et services de campagne restent à terminer.</x:v>
      </x:c>
    </x:row>
    <x:row r="3623" ht="96" customHeight="1">
      <x:c r="A3623" s="115" t="str">
        <x:v>EXT-MONDE-T073-V18</x:v>
      </x:c>
      <x:c r="B3623" s="115" t="str">
        <x:v>EXT-MONDE-T073</x:v>
      </x:c>
      <x:c r="C3623" s="115" t="str">
        <x:v>Ferroviaire</x:v>
      </x:c>
      <x:c r="D3623" s="115" t="str">
        <x:v>Gare de passage</x:v>
      </x:c>
      <x:c r="E3623" s="115" t="n">
        <x:v>18</x:v>
      </x:c>
      <x:c r="F3623" s="115" t="str">
        <x:v>Inspection physique</x:v>
      </x:c>
      <x:c r="G3623" s="115" t="str">
        <x:v>1 niveaux ; 36 pièces ; 265 segments de mur ; 0 transitions. Inspection physique ; architecture complète encore ouverte.</x:v>
      </x:c>
      <x:c r="H3623" s="115" t="str">
        <x:v>L 800 ; l 1860 ; hauteur 7,2 m ; choix de composition auteur ; dimensions réelles à documenter</x:v>
      </x:c>
      <x:c r="I3623" s="115" t="str">
        <x:v>À équilibrer</x:v>
      </x:c>
      <x:c r="J3623" s="115" t="str">
        <x:v>Non</x:v>
      </x:c>
      <x:c r="K3623" s="115" t="str">
        <x:v>Pièces décrites, murs, portes, niveaux et mobilier inspectables à l’échelle. Volumes réservés, raccord au seed, butin, rencontres et services de campagne restent à terminer.</x:v>
      </x:c>
    </x:row>
    <x:row r="3624" ht="96" customHeight="1">
      <x:c r="A3624" s="115" t="str">
        <x:v>EXT-MONDE-T073-V19</x:v>
      </x:c>
      <x:c r="B3624" s="115" t="str">
        <x:v>EXT-MONDE-T073</x:v>
      </x:c>
      <x:c r="C3624" s="115" t="str">
        <x:v>Ferroviaire</x:v>
      </x:c>
      <x:c r="D3624" s="115" t="str">
        <x:v>Gare de passage</x:v>
      </x:c>
      <x:c r="E3624" s="115" t="n">
        <x:v>19</x:v>
      </x:c>
      <x:c r="F3624" s="115" t="str">
        <x:v>Inspection physique</x:v>
      </x:c>
      <x:c r="G3624" s="115" t="str">
        <x:v>1 niveaux ; 36 pièces ; 265 segments de mur ; 0 transitions. Inspection physique ; architecture complète encore ouverte.</x:v>
      </x:c>
      <x:c r="H3624" s="115" t="str">
        <x:v>L 800 ; l 1860 ; hauteur 7,2 m ; choix de composition auteur ; dimensions réelles à documenter</x:v>
      </x:c>
      <x:c r="I3624" s="115" t="str">
        <x:v>À équilibrer</x:v>
      </x:c>
      <x:c r="J3624" s="115" t="str">
        <x:v>Non</x:v>
      </x:c>
      <x:c r="K3624" s="115" t="str">
        <x:v>Pièces décrites, murs, portes, niveaux et mobilier inspectables à l’échelle. Volumes réservés, raccord au seed, butin, rencontres et services de campagne restent à terminer.</x:v>
      </x:c>
    </x:row>
    <x:row r="3625" ht="96" customHeight="1">
      <x:c r="A3625" s="115" t="str">
        <x:v>EXT-MONDE-T073-V20</x:v>
      </x:c>
      <x:c r="B3625" s="115" t="str">
        <x:v>EXT-MONDE-T073</x:v>
      </x:c>
      <x:c r="C3625" s="115" t="str">
        <x:v>Ferroviaire</x:v>
      </x:c>
      <x:c r="D3625" s="115" t="str">
        <x:v>Gare de passage</x:v>
      </x:c>
      <x:c r="E3625" s="115" t="n">
        <x:v>20</x:v>
      </x:c>
      <x:c r="F3625" s="115" t="str">
        <x:v>Inspection physique</x:v>
      </x:c>
      <x:c r="G3625" s="115" t="str">
        <x:v>1 niveaux ; 36 pièces ; 265 segments de mur ; 0 transitions. Inspection physique ; architecture complète encore ouverte.</x:v>
      </x:c>
      <x:c r="H3625" s="115" t="str">
        <x:v>L 800 ; l 1860 ; hauteur 7,2 m ; choix de composition auteur ; dimensions réelles à documenter</x:v>
      </x:c>
      <x:c r="I3625" s="115" t="str">
        <x:v>À équilibrer</x:v>
      </x:c>
      <x:c r="J3625" s="115" t="str">
        <x:v>Non</x:v>
      </x:c>
      <x:c r="K3625" s="115" t="str">
        <x:v>Pièces décrites, murs, portes, niveaux et mobilier inspectables à l’échelle. Volumes réservés, raccord au seed, butin, rencontres et services de campagne restent à terminer.</x:v>
      </x:c>
    </x:row>
    <x:row r="3626" ht="96" customHeight="1">
      <x:c r="A3626" s="115" t="str">
        <x:v>EXT-MONDE-T073-V21</x:v>
      </x:c>
      <x:c r="B3626" s="115" t="str">
        <x:v>EXT-MONDE-T073</x:v>
      </x:c>
      <x:c r="C3626" s="115" t="str">
        <x:v>Ferroviaire</x:v>
      </x:c>
      <x:c r="D3626" s="115" t="str">
        <x:v>Gare de passage</x:v>
      </x:c>
      <x:c r="E3626" s="115" t="n">
        <x:v>21</x:v>
      </x:c>
      <x:c r="F3626" s="115" t="str">
        <x:v>Inspection physique</x:v>
      </x:c>
      <x:c r="G3626" s="115" t="str">
        <x:v>1 niveaux ; 36 pièces ; 265 segments de mur ; 0 transitions. Inspection physique ; architecture complète encore ouverte.</x:v>
      </x:c>
      <x:c r="H3626" s="115" t="str">
        <x:v>L 800 ; l 2020 ; hauteur 7,4 m ; choix de composition auteur ; dimensions réelles à documenter</x:v>
      </x:c>
      <x:c r="I3626" s="115" t="str">
        <x:v>À équilibrer</x:v>
      </x:c>
      <x:c r="J3626" s="115" t="str">
        <x:v>Non</x:v>
      </x:c>
      <x:c r="K3626" s="115" t="str">
        <x:v>Pièces décrites, murs, portes, niveaux et mobilier inspectables à l’échelle. Volumes réservés, raccord au seed, butin, rencontres et services de campagne restent à terminer.</x:v>
      </x:c>
    </x:row>
    <x:row r="3627" ht="96" customHeight="1">
      <x:c r="A3627" s="115" t="str">
        <x:v>EXT-MONDE-T073-V22</x:v>
      </x:c>
      <x:c r="B3627" s="115" t="str">
        <x:v>EXT-MONDE-T073</x:v>
      </x:c>
      <x:c r="C3627" s="115" t="str">
        <x:v>Ferroviaire</x:v>
      </x:c>
      <x:c r="D3627" s="115" t="str">
        <x:v>Gare de passage</x:v>
      </x:c>
      <x:c r="E3627" s="115" t="n">
        <x:v>22</x:v>
      </x:c>
      <x:c r="F3627" s="115" t="str">
        <x:v>Inspection physique</x:v>
      </x:c>
      <x:c r="G3627" s="115" t="str">
        <x:v>1 niveaux ; 36 pièces ; 265 segments de mur ; 0 transitions. Inspection physique ; architecture complète encore ouverte.</x:v>
      </x:c>
      <x:c r="H3627" s="115" t="str">
        <x:v>L 800 ; l 2020 ; hauteur 7,4 m ; choix de composition auteur ; dimensions réelles à documenter</x:v>
      </x:c>
      <x:c r="I3627" s="115" t="str">
        <x:v>À équilibrer</x:v>
      </x:c>
      <x:c r="J3627" s="115" t="str">
        <x:v>Non</x:v>
      </x:c>
      <x:c r="K3627" s="115" t="str">
        <x:v>Pièces décrites, murs, portes, niveaux et mobilier inspectables à l’échelle. Volumes réservés, raccord au seed, butin, rencontres et services de campagne restent à terminer.</x:v>
      </x:c>
    </x:row>
    <x:row r="3628" ht="96" customHeight="1">
      <x:c r="A3628" s="115" t="str">
        <x:v>EXT-MONDE-T073-V23</x:v>
      </x:c>
      <x:c r="B3628" s="115" t="str">
        <x:v>EXT-MONDE-T073</x:v>
      </x:c>
      <x:c r="C3628" s="115" t="str">
        <x:v>Ferroviaire</x:v>
      </x:c>
      <x:c r="D3628" s="115" t="str">
        <x:v>Gare de passage</x:v>
      </x:c>
      <x:c r="E3628" s="115" t="n">
        <x:v>23</x:v>
      </x:c>
      <x:c r="F3628" s="115" t="str">
        <x:v>Inspection physique</x:v>
      </x:c>
      <x:c r="G3628" s="115" t="str">
        <x:v>1 niveaux ; 36 pièces ; 265 segments de mur ; 0 transitions. Inspection physique ; architecture complète encore ouverte.</x:v>
      </x:c>
      <x:c r="H3628" s="115" t="str">
        <x:v>L 800 ; l 2020 ; hauteur 7,4 m ; choix de composition auteur ; dimensions réelles à documenter</x:v>
      </x:c>
      <x:c r="I3628" s="115" t="str">
        <x:v>À équilibrer</x:v>
      </x:c>
      <x:c r="J3628" s="115" t="str">
        <x:v>Non</x:v>
      </x:c>
      <x:c r="K3628" s="115" t="str">
        <x:v>Pièces décrites, murs, portes, niveaux et mobilier inspectables à l’échelle. Volumes réservés, raccord au seed, butin, rencontres et services de campagne restent à terminer.</x:v>
      </x:c>
    </x:row>
    <x:row r="3629" ht="96" customHeight="1">
      <x:c r="A3629" s="115" t="str">
        <x:v>EXT-MONDE-T073-V24</x:v>
      </x:c>
      <x:c r="B3629" s="115" t="str">
        <x:v>EXT-MONDE-T073</x:v>
      </x:c>
      <x:c r="C3629" s="115" t="str">
        <x:v>Ferroviaire</x:v>
      </x:c>
      <x:c r="D3629" s="115" t="str">
        <x:v>Gare de passage</x:v>
      </x:c>
      <x:c r="E3629" s="115" t="n">
        <x:v>24</x:v>
      </x:c>
      <x:c r="F3629" s="115" t="str">
        <x:v>Inspection physique</x:v>
      </x:c>
      <x:c r="G3629" s="115" t="str">
        <x:v>1 niveaux ; 36 pièces ; 265 segments de mur ; 0 transitions. Inspection physique ; architecture complète encore ouverte.</x:v>
      </x:c>
      <x:c r="H3629" s="115" t="str">
        <x:v>L 800 ; l 2020 ; hauteur 7,4 m ; choix de composition auteur ; dimensions réelles à documenter</x:v>
      </x:c>
      <x:c r="I3629" s="115" t="str">
        <x:v>À équilibrer</x:v>
      </x:c>
      <x:c r="J3629" s="115" t="str">
        <x:v>Non</x:v>
      </x:c>
      <x:c r="K3629" s="115" t="str">
        <x:v>Pièces décrites, murs, portes, niveaux et mobilier inspectables à l’échelle. Volumes réservés, raccord au seed, butin, rencontres et services de campagne restent à terminer.</x:v>
      </x:c>
    </x:row>
    <x:row r="3630" ht="96" customHeight="1">
      <x:c r="A3630" s="115" t="str">
        <x:v>EXT-MONDE-T073-V25</x:v>
      </x:c>
      <x:c r="B3630" s="115" t="str">
        <x:v>EXT-MONDE-T073</x:v>
      </x:c>
      <x:c r="C3630" s="115" t="str">
        <x:v>Ferroviaire</x:v>
      </x:c>
      <x:c r="D3630" s="115" t="str">
        <x:v>Gare de passage</x:v>
      </x:c>
      <x:c r="E3630" s="115" t="n">
        <x:v>25</x:v>
      </x:c>
      <x:c r="F3630" s="115" t="str">
        <x:v>Inspection physique</x:v>
      </x:c>
      <x:c r="G3630" s="115" t="str">
        <x:v>1 niveaux ; 36 pièces ; 265 segments de mur ; 0 transitions. Inspection physique ; architecture complète encore ouverte.</x:v>
      </x:c>
      <x:c r="H3630" s="115" t="str">
        <x:v>L 800 ; l 2020 ; hauteur 7,4 m ; choix de composition auteur ; dimensions réelles à documenter</x:v>
      </x:c>
      <x:c r="I3630" s="115" t="str">
        <x:v>À équilibrer</x:v>
      </x:c>
      <x:c r="J3630" s="115" t="str">
        <x:v>Non</x:v>
      </x:c>
      <x:c r="K3630" s="115" t="str">
        <x:v>Pièces décrites, murs, portes, niveaux et mobilier inspectables à l’échelle. Volumes réservés, raccord au seed, butin, rencontres et services de campagne restent à terminer.</x:v>
      </x:c>
    </x:row>
    <x:row r="3631" ht="96" customHeight="1">
      <x:c r="A3631" s="115" t="str">
        <x:v>EXT-MONDE-T073-V26</x:v>
      </x:c>
      <x:c r="B3631" s="115" t="str">
        <x:v>EXT-MONDE-T073</x:v>
      </x:c>
      <x:c r="C3631" s="115" t="str">
        <x:v>Ferroviaire</x:v>
      </x:c>
      <x:c r="D3631" s="115" t="str">
        <x:v>Gare de passage</x:v>
      </x:c>
      <x:c r="E3631" s="115" t="n">
        <x:v>26</x:v>
      </x:c>
      <x:c r="F3631" s="115" t="str">
        <x:v>Inspection physique</x:v>
      </x:c>
      <x:c r="G3631" s="115" t="str">
        <x:v>1 niveaux ; 36 pièces ; 265 segments de mur ; 0 transitions. Inspection physique ; architecture complète encore ouverte.</x:v>
      </x:c>
      <x:c r="H3631" s="115" t="str">
        <x:v>L 800 ; l 2020 ; hauteur 7,4 m ; choix de composition auteur ; dimensions réelles à documenter</x:v>
      </x:c>
      <x:c r="I3631" s="115" t="str">
        <x:v>À équilibrer</x:v>
      </x:c>
      <x:c r="J3631" s="115" t="str">
        <x:v>Non</x:v>
      </x:c>
      <x:c r="K3631" s="115" t="str">
        <x:v>Pièces décrites, murs, portes, niveaux et mobilier inspectables à l’échelle. Volumes réservés, raccord au seed, butin, rencontres et services de campagne restent à terminer.</x:v>
      </x:c>
    </x:row>
    <x:row r="3632" ht="96" customHeight="1">
      <x:c r="A3632" s="115" t="str">
        <x:v>EXT-MONDE-T073-V27</x:v>
      </x:c>
      <x:c r="B3632" s="115" t="str">
        <x:v>EXT-MONDE-T073</x:v>
      </x:c>
      <x:c r="C3632" s="115" t="str">
        <x:v>Ferroviaire</x:v>
      </x:c>
      <x:c r="D3632" s="115" t="str">
        <x:v>Gare de passage</x:v>
      </x:c>
      <x:c r="E3632" s="115" t="n">
        <x:v>27</x:v>
      </x:c>
      <x:c r="F3632" s="115" t="str">
        <x:v>Inspection physique</x:v>
      </x:c>
      <x:c r="G3632" s="115" t="str">
        <x:v>1 niveaux ; 36 pièces ; 265 segments de mur ; 0 transitions. Inspection physique ; architecture complète encore ouverte.</x:v>
      </x:c>
      <x:c r="H3632" s="115" t="str">
        <x:v>L 800 ; l 2020 ; hauteur 7,4 m ; choix de composition auteur ; dimensions réelles à documenter</x:v>
      </x:c>
      <x:c r="I3632" s="115" t="str">
        <x:v>À équilibrer</x:v>
      </x:c>
      <x:c r="J3632" s="115" t="str">
        <x:v>Non</x:v>
      </x:c>
      <x:c r="K3632" s="115" t="str">
        <x:v>Pièces décrites, murs, portes, niveaux et mobilier inspectables à l’échelle. Volumes réservés, raccord au seed, butin, rencontres et services de campagne restent à terminer.</x:v>
      </x:c>
    </x:row>
    <x:row r="3633" ht="96" customHeight="1">
      <x:c r="A3633" s="115" t="str">
        <x:v>EXT-MONDE-T073-V28</x:v>
      </x:c>
      <x:c r="B3633" s="115" t="str">
        <x:v>EXT-MONDE-T073</x:v>
      </x:c>
      <x:c r="C3633" s="115" t="str">
        <x:v>Ferroviaire</x:v>
      </x:c>
      <x:c r="D3633" s="115" t="str">
        <x:v>Gare de passage</x:v>
      </x:c>
      <x:c r="E3633" s="115" t="n">
        <x:v>28</x:v>
      </x:c>
      <x:c r="F3633" s="115" t="str">
        <x:v>Inspection physique</x:v>
      </x:c>
      <x:c r="G3633" s="115" t="str">
        <x:v>1 niveaux ; 36 pièces ; 265 segments de mur ; 0 transitions. Inspection physique ; architecture complète encore ouverte.</x:v>
      </x:c>
      <x:c r="H3633" s="115" t="str">
        <x:v>L 800 ; l 2020 ; hauteur 7,4 m ; choix de composition auteur ; dimensions réelles à documenter</x:v>
      </x:c>
      <x:c r="I3633" s="115" t="str">
        <x:v>À équilibrer</x:v>
      </x:c>
      <x:c r="J3633" s="115" t="str">
        <x:v>Non</x:v>
      </x:c>
      <x:c r="K3633" s="115" t="str">
        <x:v>Pièces décrites, murs, portes, niveaux et mobilier inspectables à l’échelle. Volumes réservés, raccord au seed, butin, rencontres et services de campagne restent à terminer.</x:v>
      </x:c>
    </x:row>
    <x:row r="3634" ht="96" customHeight="1">
      <x:c r="A3634" s="115" t="str">
        <x:v>EXT-MONDE-T073-V29</x:v>
      </x:c>
      <x:c r="B3634" s="115" t="str">
        <x:v>EXT-MONDE-T073</x:v>
      </x:c>
      <x:c r="C3634" s="115" t="str">
        <x:v>Ferroviaire</x:v>
      </x:c>
      <x:c r="D3634" s="115" t="str">
        <x:v>Gare de passage</x:v>
      </x:c>
      <x:c r="E3634" s="115" t="n">
        <x:v>29</x:v>
      </x:c>
      <x:c r="F3634" s="115" t="str">
        <x:v>Inspection physique</x:v>
      </x:c>
      <x:c r="G3634" s="115" t="str">
        <x:v>1 niveaux ; 36 pièces ; 265 segments de mur ; 0 transitions. Inspection physique ; architecture complète encore ouverte.</x:v>
      </x:c>
      <x:c r="H3634" s="115" t="str">
        <x:v>L 800 ; l 2020 ; hauteur 7,4 m ; choix de composition auteur ; dimensions réelles à documenter</x:v>
      </x:c>
      <x:c r="I3634" s="115" t="str">
        <x:v>À équilibrer</x:v>
      </x:c>
      <x:c r="J3634" s="115" t="str">
        <x:v>Non</x:v>
      </x:c>
      <x:c r="K3634" s="115" t="str">
        <x:v>Pièces décrites, murs, portes, niveaux et mobilier inspectables à l’échelle. Volumes réservés, raccord au seed, butin, rencontres et services de campagne restent à terminer.</x:v>
      </x:c>
    </x:row>
    <x:row r="3635" ht="96" customHeight="1">
      <x:c r="A3635" s="115" t="str">
        <x:v>EXT-MONDE-T073-V30</x:v>
      </x:c>
      <x:c r="B3635" s="115" t="str">
        <x:v>EXT-MONDE-T073</x:v>
      </x:c>
      <x:c r="C3635" s="115" t="str">
        <x:v>Ferroviaire</x:v>
      </x:c>
      <x:c r="D3635" s="115" t="str">
        <x:v>Gare de passage</x:v>
      </x:c>
      <x:c r="E3635" s="115" t="n">
        <x:v>30</x:v>
      </x:c>
      <x:c r="F3635" s="115" t="str">
        <x:v>Inspection physique</x:v>
      </x:c>
      <x:c r="G3635" s="115" t="str">
        <x:v>1 niveaux ; 36 pièces ; 265 segments de mur ; 0 transitions. Inspection physique ; architecture complète encore ouverte.</x:v>
      </x:c>
      <x:c r="H3635" s="115" t="str">
        <x:v>L 800 ; l 2020 ; hauteur 7,4 m ; choix de composition auteur ; dimensions réelles à documenter</x:v>
      </x:c>
      <x:c r="I3635" s="115" t="str">
        <x:v>À équilibrer</x:v>
      </x:c>
      <x:c r="J3635" s="115" t="str">
        <x:v>Non</x:v>
      </x:c>
      <x:c r="K3635" s="115" t="str">
        <x:v>Pièces décrites, murs, portes, niveaux et mobilier inspectables à l’échelle. Volumes réservés, raccord au seed, butin, rencontres et services de campagne restent à terminer.</x:v>
      </x:c>
    </x:row>
    <x:row r="3636" ht="96" customHeight="1">
      <x:c r="A3636" s="115" t="str">
        <x:v>EXT-MONDE-T073-V31</x:v>
      </x:c>
      <x:c r="B3636" s="115" t="str">
        <x:v>EXT-MONDE-T073</x:v>
      </x:c>
      <x:c r="C3636" s="115" t="str">
        <x:v>Ferroviaire</x:v>
      </x:c>
      <x:c r="D3636" s="115" t="str">
        <x:v>Gare de passage</x:v>
      </x:c>
      <x:c r="E3636" s="115" t="n">
        <x:v>31</x:v>
      </x:c>
      <x:c r="F3636" s="115" t="str">
        <x:v>Inspection physique</x:v>
      </x:c>
      <x:c r="G3636" s="115" t="str">
        <x:v>1 niveaux ; 36 pièces ; 265 segments de mur ; 0 transitions. Inspection physique ; architecture complète encore ouverte.</x:v>
      </x:c>
      <x:c r="H3636" s="115" t="str">
        <x:v>L 800 ; l 2180 ; hauteur 7,6 m ; choix de composition auteur ; dimensions réelles à documenter</x:v>
      </x:c>
      <x:c r="I3636" s="115" t="str">
        <x:v>À équilibrer</x:v>
      </x:c>
      <x:c r="J3636" s="115" t="str">
        <x:v>Non</x:v>
      </x:c>
      <x:c r="K3636" s="115" t="str">
        <x:v>Pièces décrites, murs, portes, niveaux et mobilier inspectables à l’échelle. Volumes réservés, raccord au seed, butin, rencontres et services de campagne restent à terminer.</x:v>
      </x:c>
    </x:row>
    <x:row r="3637" ht="96" customHeight="1">
      <x:c r="A3637" s="115" t="str">
        <x:v>EXT-MONDE-T073-V32</x:v>
      </x:c>
      <x:c r="B3637" s="115" t="str">
        <x:v>EXT-MONDE-T073</x:v>
      </x:c>
      <x:c r="C3637" s="115" t="str">
        <x:v>Ferroviaire</x:v>
      </x:c>
      <x:c r="D3637" s="115" t="str">
        <x:v>Gare de passage</x:v>
      </x:c>
      <x:c r="E3637" s="115" t="n">
        <x:v>32</x:v>
      </x:c>
      <x:c r="F3637" s="115" t="str">
        <x:v>Inspection physique</x:v>
      </x:c>
      <x:c r="G3637" s="115" t="str">
        <x:v>1 niveaux ; 36 pièces ; 265 segments de mur ; 0 transitions. Inspection physique ; architecture complète encore ouverte.</x:v>
      </x:c>
      <x:c r="H3637" s="115" t="str">
        <x:v>L 800 ; l 2180 ; hauteur 7,6 m ; choix de composition auteur ; dimensions réelles à documenter</x:v>
      </x:c>
      <x:c r="I3637" s="115" t="str">
        <x:v>À équilibrer</x:v>
      </x:c>
      <x:c r="J3637" s="115" t="str">
        <x:v>Non</x:v>
      </x:c>
      <x:c r="K3637" s="115" t="str">
        <x:v>Pièces décrites, murs, portes, niveaux et mobilier inspectables à l’échelle. Volumes réservés, raccord au seed, butin, rencontres et services de campagne restent à terminer.</x:v>
      </x:c>
    </x:row>
    <x:row r="3638" ht="96" customHeight="1">
      <x:c r="A3638" s="115" t="str">
        <x:v>EXT-MONDE-T073-V33</x:v>
      </x:c>
      <x:c r="B3638" s="115" t="str">
        <x:v>EXT-MONDE-T073</x:v>
      </x:c>
      <x:c r="C3638" s="115" t="str">
        <x:v>Ferroviaire</x:v>
      </x:c>
      <x:c r="D3638" s="115" t="str">
        <x:v>Gare de passage</x:v>
      </x:c>
      <x:c r="E3638" s="115" t="n">
        <x:v>33</x:v>
      </x:c>
      <x:c r="F3638" s="115" t="str">
        <x:v>Inspection physique</x:v>
      </x:c>
      <x:c r="G3638" s="115" t="str">
        <x:v>1 niveaux ; 36 pièces ; 265 segments de mur ; 0 transitions. Inspection physique ; architecture complète encore ouverte.</x:v>
      </x:c>
      <x:c r="H3638" s="115" t="str">
        <x:v>L 800 ; l 2180 ; hauteur 7,6 m ; choix de composition auteur ; dimensions réelles à documenter</x:v>
      </x:c>
      <x:c r="I3638" s="115" t="str">
        <x:v>À équilibrer</x:v>
      </x:c>
      <x:c r="J3638" s="115" t="str">
        <x:v>Non</x:v>
      </x:c>
      <x:c r="K3638" s="115" t="str">
        <x:v>Pièces décrites, murs, portes, niveaux et mobilier inspectables à l’échelle. Volumes réservés, raccord au seed, butin, rencontres et services de campagne restent à terminer.</x:v>
      </x:c>
    </x:row>
    <x:row r="3639" ht="96" customHeight="1">
      <x:c r="A3639" s="115" t="str">
        <x:v>EXT-MONDE-T073-V34</x:v>
      </x:c>
      <x:c r="B3639" s="115" t="str">
        <x:v>EXT-MONDE-T073</x:v>
      </x:c>
      <x:c r="C3639" s="115" t="str">
        <x:v>Ferroviaire</x:v>
      </x:c>
      <x:c r="D3639" s="115" t="str">
        <x:v>Gare de passage</x:v>
      </x:c>
      <x:c r="E3639" s="115" t="n">
        <x:v>34</x:v>
      </x:c>
      <x:c r="F3639" s="115" t="str">
        <x:v>Inspection physique</x:v>
      </x:c>
      <x:c r="G3639" s="115" t="str">
        <x:v>1 niveaux ; 36 pièces ; 265 segments de mur ; 0 transitions. Inspection physique ; architecture complète encore ouverte.</x:v>
      </x:c>
      <x:c r="H3639" s="115" t="str">
        <x:v>L 800 ; l 2180 ; hauteur 7,6 m ; choix de composition auteur ; dimensions réelles à documenter</x:v>
      </x:c>
      <x:c r="I3639" s="115" t="str">
        <x:v>À équilibrer</x:v>
      </x:c>
      <x:c r="J3639" s="115" t="str">
        <x:v>Non</x:v>
      </x:c>
      <x:c r="K3639" s="115" t="str">
        <x:v>Pièces décrites, murs, portes, niveaux et mobilier inspectables à l’échelle. Volumes réservés, raccord au seed, butin, rencontres et services de campagne restent à terminer.</x:v>
      </x:c>
    </x:row>
    <x:row r="3640" ht="96" customHeight="1">
      <x:c r="A3640" s="115" t="str">
        <x:v>EXT-MONDE-T073-V35</x:v>
      </x:c>
      <x:c r="B3640" s="115" t="str">
        <x:v>EXT-MONDE-T073</x:v>
      </x:c>
      <x:c r="C3640" s="115" t="str">
        <x:v>Ferroviaire</x:v>
      </x:c>
      <x:c r="D3640" s="115" t="str">
        <x:v>Gare de passage</x:v>
      </x:c>
      <x:c r="E3640" s="115" t="n">
        <x:v>35</x:v>
      </x:c>
      <x:c r="F3640" s="115" t="str">
        <x:v>Inspection physique</x:v>
      </x:c>
      <x:c r="G3640" s="115" t="str">
        <x:v>1 niveaux ; 36 pièces ; 265 segments de mur ; 0 transitions. Inspection physique ; architecture complète encore ouverte.</x:v>
      </x:c>
      <x:c r="H3640" s="115" t="str">
        <x:v>L 800 ; l 2180 ; hauteur 7,6 m ; choix de composition auteur ; dimensions réelles à documenter</x:v>
      </x:c>
      <x:c r="I3640" s="115" t="str">
        <x:v>À équilibrer</x:v>
      </x:c>
      <x:c r="J3640" s="115" t="str">
        <x:v>Non</x:v>
      </x:c>
      <x:c r="K3640" s="115" t="str">
        <x:v>Pièces décrites, murs, portes, niveaux et mobilier inspectables à l’échelle. Volumes réservés, raccord au seed, butin, rencontres et services de campagne restent à terminer.</x:v>
      </x:c>
    </x:row>
    <x:row r="3641" ht="96" customHeight="1">
      <x:c r="A3641" s="115" t="str">
        <x:v>EXT-MONDE-T073-V36</x:v>
      </x:c>
      <x:c r="B3641" s="115" t="str">
        <x:v>EXT-MONDE-T073</x:v>
      </x:c>
      <x:c r="C3641" s="115" t="str">
        <x:v>Ferroviaire</x:v>
      </x:c>
      <x:c r="D3641" s="115" t="str">
        <x:v>Gare de passage</x:v>
      </x:c>
      <x:c r="E3641" s="115" t="n">
        <x:v>36</x:v>
      </x:c>
      <x:c r="F3641" s="115" t="str">
        <x:v>Inspection physique</x:v>
      </x:c>
      <x:c r="G3641" s="115" t="str">
        <x:v>1 niveaux ; 36 pièces ; 265 segments de mur ; 0 transitions. Inspection physique ; architecture complète encore ouverte.</x:v>
      </x:c>
      <x:c r="H3641" s="115" t="str">
        <x:v>L 800 ; l 2180 ; hauteur 7,6 m ; choix de composition auteur ; dimensions réelles à documenter</x:v>
      </x:c>
      <x:c r="I3641" s="115" t="str">
        <x:v>À équilibrer</x:v>
      </x:c>
      <x:c r="J3641" s="115" t="str">
        <x:v>Non</x:v>
      </x:c>
      <x:c r="K3641" s="115" t="str">
        <x:v>Pièces décrites, murs, portes, niveaux et mobilier inspectables à l’échelle. Volumes réservés, raccord au seed, butin, rencontres et services de campagne restent à terminer.</x:v>
      </x:c>
    </x:row>
    <x:row r="3642" ht="96" customHeight="1">
      <x:c r="A3642" s="115" t="str">
        <x:v>EXT-MONDE-T073-V37</x:v>
      </x:c>
      <x:c r="B3642" s="115" t="str">
        <x:v>EXT-MONDE-T073</x:v>
      </x:c>
      <x:c r="C3642" s="115" t="str">
        <x:v>Ferroviaire</x:v>
      </x:c>
      <x:c r="D3642" s="115" t="str">
        <x:v>Gare de passage</x:v>
      </x:c>
      <x:c r="E3642" s="115" t="n">
        <x:v>37</x:v>
      </x:c>
      <x:c r="F3642" s="115" t="str">
        <x:v>Inspection physique</x:v>
      </x:c>
      <x:c r="G3642" s="115" t="str">
        <x:v>1 niveaux ; 36 pièces ; 265 segments de mur ; 0 transitions. Inspection physique ; architecture complète encore ouverte.</x:v>
      </x:c>
      <x:c r="H3642" s="115" t="str">
        <x:v>L 800 ; l 2180 ; hauteur 7,6 m ; choix de composition auteur ; dimensions réelles à documenter</x:v>
      </x:c>
      <x:c r="I3642" s="115" t="str">
        <x:v>À équilibrer</x:v>
      </x:c>
      <x:c r="J3642" s="115" t="str">
        <x:v>Non</x:v>
      </x:c>
      <x:c r="K3642" s="115" t="str">
        <x:v>Pièces décrites, murs, portes, niveaux et mobilier inspectables à l’échelle. Volumes réservés, raccord au seed, butin, rencontres et services de campagne restent à terminer.</x:v>
      </x:c>
    </x:row>
    <x:row r="3643" ht="96" customHeight="1">
      <x:c r="A3643" s="115" t="str">
        <x:v>EXT-MONDE-T073-V38</x:v>
      </x:c>
      <x:c r="B3643" s="115" t="str">
        <x:v>EXT-MONDE-T073</x:v>
      </x:c>
      <x:c r="C3643" s="115" t="str">
        <x:v>Ferroviaire</x:v>
      </x:c>
      <x:c r="D3643" s="115" t="str">
        <x:v>Gare de passage</x:v>
      </x:c>
      <x:c r="E3643" s="115" t="n">
        <x:v>38</x:v>
      </x:c>
      <x:c r="F3643" s="115" t="str">
        <x:v>Inspection physique</x:v>
      </x:c>
      <x:c r="G3643" s="115" t="str">
        <x:v>1 niveaux ; 36 pièces ; 265 segments de mur ; 0 transitions. Inspection physique ; architecture complète encore ouverte.</x:v>
      </x:c>
      <x:c r="H3643" s="115" t="str">
        <x:v>L 800 ; l 2180 ; hauteur 7,6 m ; choix de composition auteur ; dimensions réelles à documenter</x:v>
      </x:c>
      <x:c r="I3643" s="115" t="str">
        <x:v>À équilibrer</x:v>
      </x:c>
      <x:c r="J3643" s="115" t="str">
        <x:v>Non</x:v>
      </x:c>
      <x:c r="K3643" s="115" t="str">
        <x:v>Pièces décrites, murs, portes, niveaux et mobilier inspectables à l’échelle. Volumes réservés, raccord au seed, butin, rencontres et services de campagne restent à terminer.</x:v>
      </x:c>
    </x:row>
    <x:row r="3644" ht="96" customHeight="1">
      <x:c r="A3644" s="115" t="str">
        <x:v>EXT-MONDE-T073-V39</x:v>
      </x:c>
      <x:c r="B3644" s="115" t="str">
        <x:v>EXT-MONDE-T073</x:v>
      </x:c>
      <x:c r="C3644" s="115" t="str">
        <x:v>Ferroviaire</x:v>
      </x:c>
      <x:c r="D3644" s="115" t="str">
        <x:v>Gare de passage</x:v>
      </x:c>
      <x:c r="E3644" s="115" t="n">
        <x:v>39</x:v>
      </x:c>
      <x:c r="F3644" s="115" t="str">
        <x:v>Inspection physique</x:v>
      </x:c>
      <x:c r="G3644" s="115" t="str">
        <x:v>1 niveaux ; 36 pièces ; 265 segments de mur ; 0 transitions. Inspection physique ; architecture complète encore ouverte.</x:v>
      </x:c>
      <x:c r="H3644" s="115" t="str">
        <x:v>L 800 ; l 2180 ; hauteur 7,6 m ; choix de composition auteur ; dimensions réelles à documenter</x:v>
      </x:c>
      <x:c r="I3644" s="115" t="str">
        <x:v>À équilibrer</x:v>
      </x:c>
      <x:c r="J3644" s="115" t="str">
        <x:v>Non</x:v>
      </x:c>
      <x:c r="K3644" s="115" t="str">
        <x:v>Pièces décrites, murs, portes, niveaux et mobilier inspectables à l’échelle. Volumes réservés, raccord au seed, butin, rencontres et services de campagne restent à terminer.</x:v>
      </x:c>
    </x:row>
    <x:row r="3645" ht="96" customHeight="1">
      <x:c r="A3645" s="115" t="str">
        <x:v>EXT-MONDE-T073-V40</x:v>
      </x:c>
      <x:c r="B3645" s="115" t="str">
        <x:v>EXT-MONDE-T073</x:v>
      </x:c>
      <x:c r="C3645" s="115" t="str">
        <x:v>Ferroviaire</x:v>
      </x:c>
      <x:c r="D3645" s="115" t="str">
        <x:v>Gare de passage</x:v>
      </x:c>
      <x:c r="E3645" s="115" t="n">
        <x:v>40</x:v>
      </x:c>
      <x:c r="F3645" s="115" t="str">
        <x:v>Inspection physique</x:v>
      </x:c>
      <x:c r="G3645" s="115" t="str">
        <x:v>1 niveaux ; 36 pièces ; 265 segments de mur ; 0 transitions. Inspection physique ; architecture complète encore ouverte.</x:v>
      </x:c>
      <x:c r="H3645" s="115" t="str">
        <x:v>L 800 ; l 2180 ; hauteur 7,6 m ; choix de composition auteur ; dimensions réelles à documenter</x:v>
      </x:c>
      <x:c r="I3645" s="115" t="str">
        <x:v>À équilibrer</x:v>
      </x:c>
      <x:c r="J3645" s="115" t="str">
        <x:v>Non</x:v>
      </x:c>
      <x:c r="K3645" s="115" t="str">
        <x:v>Pièces décrites, murs, portes, niveaux et mobilier inspectables à l’échelle. Volumes réservés, raccord au seed, butin, rencontres et services de campagne restent à terminer.</x:v>
      </x:c>
    </x:row>
    <x:row r="3646" ht="96" customHeight="1">
      <x:c r="A3646" s="115" t="str">
        <x:v>EXT-MONDE-T073-V41</x:v>
      </x:c>
      <x:c r="B3646" s="115" t="str">
        <x:v>EXT-MONDE-T073</x:v>
      </x:c>
      <x:c r="C3646" s="115" t="str">
        <x:v>Ferroviaire</x:v>
      </x:c>
      <x:c r="D3646" s="115" t="str">
        <x:v>Gare de passage</x:v>
      </x:c>
      <x:c r="E3646" s="115" t="n">
        <x:v>41</x:v>
      </x:c>
      <x:c r="F3646" s="115" t="str">
        <x:v>Inspection physique</x:v>
      </x:c>
      <x:c r="G3646" s="115" t="str">
        <x:v>1 niveaux ; 36 pièces ; 265 segments de mur ; 0 transitions. Inspection physique ; architecture complète encore ouverte.</x:v>
      </x:c>
      <x:c r="H3646" s="115" t="str">
        <x:v>L 800 ; l 2340 ; hauteur 7,8 m ; choix de composition auteur ; dimensions réelles à documenter</x:v>
      </x:c>
      <x:c r="I3646" s="115" t="str">
        <x:v>À équilibrer</x:v>
      </x:c>
      <x:c r="J3646" s="115" t="str">
        <x:v>Non</x:v>
      </x:c>
      <x:c r="K3646" s="115" t="str">
        <x:v>Pièces décrites, murs, portes, niveaux et mobilier inspectables à l’échelle. Volumes réservés, raccord au seed, butin, rencontres et services de campagne restent à terminer.</x:v>
      </x:c>
    </x:row>
    <x:row r="3647" ht="96" customHeight="1">
      <x:c r="A3647" s="115" t="str">
        <x:v>EXT-MONDE-T073-V42</x:v>
      </x:c>
      <x:c r="B3647" s="115" t="str">
        <x:v>EXT-MONDE-T073</x:v>
      </x:c>
      <x:c r="C3647" s="115" t="str">
        <x:v>Ferroviaire</x:v>
      </x:c>
      <x:c r="D3647" s="115" t="str">
        <x:v>Gare de passage</x:v>
      </x:c>
      <x:c r="E3647" s="115" t="n">
        <x:v>42</x:v>
      </x:c>
      <x:c r="F3647" s="115" t="str">
        <x:v>Inspection physique</x:v>
      </x:c>
      <x:c r="G3647" s="115" t="str">
        <x:v>1 niveaux ; 36 pièces ; 265 segments de mur ; 0 transitions. Inspection physique ; architecture complète encore ouverte.</x:v>
      </x:c>
      <x:c r="H3647" s="115" t="str">
        <x:v>L 800 ; l 2340 ; hauteur 7,8 m ; choix de composition auteur ; dimensions réelles à documenter</x:v>
      </x:c>
      <x:c r="I3647" s="115" t="str">
        <x:v>À équilibrer</x:v>
      </x:c>
      <x:c r="J3647" s="115" t="str">
        <x:v>Non</x:v>
      </x:c>
      <x:c r="K3647" s="115" t="str">
        <x:v>Pièces décrites, murs, portes, niveaux et mobilier inspectables à l’échelle. Volumes réservés, raccord au seed, butin, rencontres et services de campagne restent à terminer.</x:v>
      </x:c>
    </x:row>
    <x:row r="3648" ht="96" customHeight="1">
      <x:c r="A3648" s="115" t="str">
        <x:v>EXT-MONDE-T073-V43</x:v>
      </x:c>
      <x:c r="B3648" s="115" t="str">
        <x:v>EXT-MONDE-T073</x:v>
      </x:c>
      <x:c r="C3648" s="115" t="str">
        <x:v>Ferroviaire</x:v>
      </x:c>
      <x:c r="D3648" s="115" t="str">
        <x:v>Gare de passage</x:v>
      </x:c>
      <x:c r="E3648" s="115" t="n">
        <x:v>43</x:v>
      </x:c>
      <x:c r="F3648" s="115" t="str">
        <x:v>Inspection physique</x:v>
      </x:c>
      <x:c r="G3648" s="115" t="str">
        <x:v>1 niveaux ; 36 pièces ; 265 segments de mur ; 0 transitions. Inspection physique ; architecture complète encore ouverte.</x:v>
      </x:c>
      <x:c r="H3648" s="115" t="str">
        <x:v>L 800 ; l 2340 ; hauteur 7,8 m ; choix de composition auteur ; dimensions réelles à documenter</x:v>
      </x:c>
      <x:c r="I3648" s="115" t="str">
        <x:v>À équilibrer</x:v>
      </x:c>
      <x:c r="J3648" s="115" t="str">
        <x:v>Non</x:v>
      </x:c>
      <x:c r="K3648" s="115" t="str">
        <x:v>Pièces décrites, murs, portes, niveaux et mobilier inspectables à l’échelle. Volumes réservés, raccord au seed, butin, rencontres et services de campagne restent à terminer.</x:v>
      </x:c>
    </x:row>
    <x:row r="3649" ht="96" customHeight="1">
      <x:c r="A3649" s="115" t="str">
        <x:v>EXT-MONDE-T073-V44</x:v>
      </x:c>
      <x:c r="B3649" s="115" t="str">
        <x:v>EXT-MONDE-T073</x:v>
      </x:c>
      <x:c r="C3649" s="115" t="str">
        <x:v>Ferroviaire</x:v>
      </x:c>
      <x:c r="D3649" s="115" t="str">
        <x:v>Gare de passage</x:v>
      </x:c>
      <x:c r="E3649" s="115" t="n">
        <x:v>44</x:v>
      </x:c>
      <x:c r="F3649" s="115" t="str">
        <x:v>Inspection physique</x:v>
      </x:c>
      <x:c r="G3649" s="115" t="str">
        <x:v>1 niveaux ; 36 pièces ; 265 segments de mur ; 0 transitions. Inspection physique ; architecture complète encore ouverte.</x:v>
      </x:c>
      <x:c r="H3649" s="115" t="str">
        <x:v>L 800 ; l 2340 ; hauteur 7,8 m ; choix de composition auteur ; dimensions réelles à documenter</x:v>
      </x:c>
      <x:c r="I3649" s="115" t="str">
        <x:v>À équilibrer</x:v>
      </x:c>
      <x:c r="J3649" s="115" t="str">
        <x:v>Non</x:v>
      </x:c>
      <x:c r="K3649" s="115" t="str">
        <x:v>Pièces décrites, murs, portes, niveaux et mobilier inspectables à l’échelle. Volumes réservés, raccord au seed, butin, rencontres et services de campagne restent à terminer.</x:v>
      </x:c>
    </x:row>
    <x:row r="3650" ht="96" customHeight="1">
      <x:c r="A3650" s="115" t="str">
        <x:v>EXT-MONDE-T073-V45</x:v>
      </x:c>
      <x:c r="B3650" s="115" t="str">
        <x:v>EXT-MONDE-T073</x:v>
      </x:c>
      <x:c r="C3650" s="115" t="str">
        <x:v>Ferroviaire</x:v>
      </x:c>
      <x:c r="D3650" s="115" t="str">
        <x:v>Gare de passage</x:v>
      </x:c>
      <x:c r="E3650" s="115" t="n">
        <x:v>45</x:v>
      </x:c>
      <x:c r="F3650" s="115" t="str">
        <x:v>Inspection physique</x:v>
      </x:c>
      <x:c r="G3650" s="115" t="str">
        <x:v>1 niveaux ; 36 pièces ; 265 segments de mur ; 0 transitions. Inspection physique ; architecture complète encore ouverte.</x:v>
      </x:c>
      <x:c r="H3650" s="115" t="str">
        <x:v>L 800 ; l 2340 ; hauteur 7,8 m ; choix de composition auteur ; dimensions réelles à documenter</x:v>
      </x:c>
      <x:c r="I3650" s="115" t="str">
        <x:v>À équilibrer</x:v>
      </x:c>
      <x:c r="J3650" s="115" t="str">
        <x:v>Non</x:v>
      </x:c>
      <x:c r="K3650" s="115" t="str">
        <x:v>Pièces décrites, murs, portes, niveaux et mobilier inspectables à l’échelle. Volumes réservés, raccord au seed, butin, rencontres et services de campagne restent à terminer.</x:v>
      </x:c>
    </x:row>
    <x:row r="3651" ht="96" customHeight="1">
      <x:c r="A3651" s="115" t="str">
        <x:v>EXT-MONDE-T073-V46</x:v>
      </x:c>
      <x:c r="B3651" s="115" t="str">
        <x:v>EXT-MONDE-T073</x:v>
      </x:c>
      <x:c r="C3651" s="115" t="str">
        <x:v>Ferroviaire</x:v>
      </x:c>
      <x:c r="D3651" s="115" t="str">
        <x:v>Gare de passage</x:v>
      </x:c>
      <x:c r="E3651" s="115" t="n">
        <x:v>46</x:v>
      </x:c>
      <x:c r="F3651" s="115" t="str">
        <x:v>Inspection physique</x:v>
      </x:c>
      <x:c r="G3651" s="115" t="str">
        <x:v>1 niveaux ; 36 pièces ; 265 segments de mur ; 0 transitions. Inspection physique ; architecture complète encore ouverte.</x:v>
      </x:c>
      <x:c r="H3651" s="115" t="str">
        <x:v>L 800 ; l 2340 ; hauteur 7,8 m ; choix de composition auteur ; dimensions réelles à documenter</x:v>
      </x:c>
      <x:c r="I3651" s="115" t="str">
        <x:v>À équilibrer</x:v>
      </x:c>
      <x:c r="J3651" s="115" t="str">
        <x:v>Non</x:v>
      </x:c>
      <x:c r="K3651" s="115" t="str">
        <x:v>Pièces décrites, murs, portes, niveaux et mobilier inspectables à l’échelle. Volumes réservés, raccord au seed, butin, rencontres et services de campagne restent à terminer.</x:v>
      </x:c>
    </x:row>
    <x:row r="3652" ht="96" customHeight="1">
      <x:c r="A3652" s="115" t="str">
        <x:v>EXT-MONDE-T073-V47</x:v>
      </x:c>
      <x:c r="B3652" s="115" t="str">
        <x:v>EXT-MONDE-T073</x:v>
      </x:c>
      <x:c r="C3652" s="115" t="str">
        <x:v>Ferroviaire</x:v>
      </x:c>
      <x:c r="D3652" s="115" t="str">
        <x:v>Gare de passage</x:v>
      </x:c>
      <x:c r="E3652" s="115" t="n">
        <x:v>47</x:v>
      </x:c>
      <x:c r="F3652" s="115" t="str">
        <x:v>Inspection physique</x:v>
      </x:c>
      <x:c r="G3652" s="115" t="str">
        <x:v>1 niveaux ; 36 pièces ; 265 segments de mur ; 0 transitions. Inspection physique ; architecture complète encore ouverte.</x:v>
      </x:c>
      <x:c r="H3652" s="115" t="str">
        <x:v>L 800 ; l 2340 ; hauteur 7,8 m ; choix de composition auteur ; dimensions réelles à documenter</x:v>
      </x:c>
      <x:c r="I3652" s="115" t="str">
        <x:v>À équilibrer</x:v>
      </x:c>
      <x:c r="J3652" s="115" t="str">
        <x:v>Non</x:v>
      </x:c>
      <x:c r="K3652" s="115" t="str">
        <x:v>Pièces décrites, murs, portes, niveaux et mobilier inspectables à l’échelle. Volumes réservés, raccord au seed, butin, rencontres et services de campagne restent à terminer.</x:v>
      </x:c>
    </x:row>
    <x:row r="3653" ht="96" customHeight="1">
      <x:c r="A3653" s="115" t="str">
        <x:v>EXT-MONDE-T073-V48</x:v>
      </x:c>
      <x:c r="B3653" s="115" t="str">
        <x:v>EXT-MONDE-T073</x:v>
      </x:c>
      <x:c r="C3653" s="115" t="str">
        <x:v>Ferroviaire</x:v>
      </x:c>
      <x:c r="D3653" s="115" t="str">
        <x:v>Gare de passage</x:v>
      </x:c>
      <x:c r="E3653" s="115" t="n">
        <x:v>48</x:v>
      </x:c>
      <x:c r="F3653" s="115" t="str">
        <x:v>Inspection physique</x:v>
      </x:c>
      <x:c r="G3653" s="115" t="str">
        <x:v>1 niveaux ; 36 pièces ; 265 segments de mur ; 0 transitions. Inspection physique ; architecture complète encore ouverte.</x:v>
      </x:c>
      <x:c r="H3653" s="115" t="str">
        <x:v>L 800 ; l 2340 ; hauteur 7,8 m ; choix de composition auteur ; dimensions réelles à documenter</x:v>
      </x:c>
      <x:c r="I3653" s="115" t="str">
        <x:v>À équilibrer</x:v>
      </x:c>
      <x:c r="J3653" s="115" t="str">
        <x:v>Non</x:v>
      </x:c>
      <x:c r="K3653" s="115" t="str">
        <x:v>Pièces décrites, murs, portes, niveaux et mobilier inspectables à l’échelle. Volumes réservés, raccord au seed, butin, rencontres et services de campagne restent à terminer.</x:v>
      </x:c>
    </x:row>
    <x:row r="3654" ht="96" customHeight="1">
      <x:c r="A3654" s="115" t="str">
        <x:v>EXT-MONDE-T073-V49</x:v>
      </x:c>
      <x:c r="B3654" s="115" t="str">
        <x:v>EXT-MONDE-T073</x:v>
      </x:c>
      <x:c r="C3654" s="115" t="str">
        <x:v>Ferroviaire</x:v>
      </x:c>
      <x:c r="D3654" s="115" t="str">
        <x:v>Gare de passage</x:v>
      </x:c>
      <x:c r="E3654" s="115" t="n">
        <x:v>49</x:v>
      </x:c>
      <x:c r="F3654" s="115" t="str">
        <x:v>Inspection physique</x:v>
      </x:c>
      <x:c r="G3654" s="115" t="str">
        <x:v>1 niveaux ; 36 pièces ; 265 segments de mur ; 0 transitions. Inspection physique ; architecture complète encore ouverte.</x:v>
      </x:c>
      <x:c r="H3654" s="115" t="str">
        <x:v>L 800 ; l 2340 ; hauteur 7,8 m ; choix de composition auteur ; dimensions réelles à documenter</x:v>
      </x:c>
      <x:c r="I3654" s="115" t="str">
        <x:v>À équilibrer</x:v>
      </x:c>
      <x:c r="J3654" s="115" t="str">
        <x:v>Non</x:v>
      </x:c>
      <x:c r="K3654" s="115" t="str">
        <x:v>Pièces décrites, murs, portes, niveaux et mobilier inspectables à l’échelle. Volumes réservés, raccord au seed, butin, rencontres et services de campagne restent à terminer.</x:v>
      </x:c>
    </x:row>
    <x:row r="3655" ht="96" customHeight="1">
      <x:c r="A3655" s="115" t="str">
        <x:v>EXT-MONDE-T073-V50</x:v>
      </x:c>
      <x:c r="B3655" s="115" t="str">
        <x:v>EXT-MONDE-T073</x:v>
      </x:c>
      <x:c r="C3655" s="115" t="str">
        <x:v>Ferroviaire</x:v>
      </x:c>
      <x:c r="D3655" s="115" t="str">
        <x:v>Gare de passage</x:v>
      </x:c>
      <x:c r="E3655" s="115" t="n">
        <x:v>50</x:v>
      </x:c>
      <x:c r="F3655" s="115" t="str">
        <x:v>Inspection physique</x:v>
      </x:c>
      <x:c r="G3655" s="115" t="str">
        <x:v>1 niveaux ; 36 pièces ; 265 segments de mur ; 0 transitions. Inspection physique ; architecture complète encore ouverte.</x:v>
      </x:c>
      <x:c r="H3655" s="115" t="str">
        <x:v>L 800 ; l 2340 ; hauteur 7,8 m ; choix de composition auteur ; dimensions réelles à documenter</x:v>
      </x:c>
      <x:c r="I3655" s="115" t="str">
        <x:v>À équilibrer</x:v>
      </x:c>
      <x:c r="J3655" s="115" t="str">
        <x:v>Non</x:v>
      </x:c>
      <x:c r="K3655" s="115" t="str">
        <x:v>Pièces décrites, murs, portes, niveaux et mobilier inspectables à l’échelle. Volumes réservés, raccord au seed, butin, rencontres et services de campagne restent à terminer.</x:v>
      </x:c>
    </x:row>
    <x:row r="3656" ht="96" customHeight="1">
      <x:c r="A3656" s="115" t="str">
        <x:v>EXT-MONDE-T074-V01</x:v>
      </x:c>
      <x:c r="B3656" s="115" t="str">
        <x:v>EXT-MONDE-T074</x:v>
      </x:c>
      <x:c r="C3656" s="115" t="str">
        <x:v>Ferroviaire</x:v>
      </x:c>
      <x:c r="D3656" s="115" t="str">
        <x:v>Gare terminus</x:v>
      </x:c>
      <x:c r="E3656" s="115" t="n">
        <x:v>1</x:v>
      </x:c>
      <x:c r="F3656" s="115" t="str">
        <x:v>Inspection physique</x:v>
      </x:c>
      <x:c r="G3656" s="115" t="str">
        <x:v>1 niveaux ; 36 pièces ; 265 segments de mur ; 0 transitions. Inspection physique ; architecture complète encore ouverte.</x:v>
      </x:c>
      <x:c r="H3656" s="115" t="str">
        <x:v>L 800 ; l 1900 ; hauteur 7 m ; choix de composition auteur ; dimensions réelles à documenter</x:v>
      </x:c>
      <x:c r="I3656" s="115" t="str">
        <x:v>À équilibrer</x:v>
      </x:c>
      <x:c r="J3656" s="115" t="str">
        <x:v>Non</x:v>
      </x:c>
      <x:c r="K3656" s="115" t="str">
        <x:v>Pièces décrites, murs, portes, niveaux et mobilier inspectables à l’échelle. Volumes réservés, raccord au seed, butin, rencontres et services de campagne restent à terminer.</x:v>
      </x:c>
    </x:row>
    <x:row r="3657" ht="96" customHeight="1">
      <x:c r="A3657" s="115" t="str">
        <x:v>EXT-MONDE-T074-V02</x:v>
      </x:c>
      <x:c r="B3657" s="115" t="str">
        <x:v>EXT-MONDE-T074</x:v>
      </x:c>
      <x:c r="C3657" s="115" t="str">
        <x:v>Ferroviaire</x:v>
      </x:c>
      <x:c r="D3657" s="115" t="str">
        <x:v>Gare terminus</x:v>
      </x:c>
      <x:c r="E3657" s="115" t="n">
        <x:v>2</x:v>
      </x:c>
      <x:c r="F3657" s="115" t="str">
        <x:v>Inspection physique</x:v>
      </x:c>
      <x:c r="G3657" s="115" t="str">
        <x:v>1 niveaux ; 36 pièces ; 265 segments de mur ; 0 transitions. Inspection physique ; architecture complète encore ouverte.</x:v>
      </x:c>
      <x:c r="H3657" s="115" t="str">
        <x:v>L 800 ; l 1900 ; hauteur 7 m ; choix de composition auteur ; dimensions réelles à documenter</x:v>
      </x:c>
      <x:c r="I3657" s="115" t="str">
        <x:v>À équilibrer</x:v>
      </x:c>
      <x:c r="J3657" s="115" t="str">
        <x:v>Non</x:v>
      </x:c>
      <x:c r="K3657" s="115" t="str">
        <x:v>Pièces décrites, murs, portes, niveaux et mobilier inspectables à l’échelle. Volumes réservés, raccord au seed, butin, rencontres et services de campagne restent à terminer.</x:v>
      </x:c>
    </x:row>
    <x:row r="3658" ht="96" customHeight="1">
      <x:c r="A3658" s="115" t="str">
        <x:v>EXT-MONDE-T074-V03</x:v>
      </x:c>
      <x:c r="B3658" s="115" t="str">
        <x:v>EXT-MONDE-T074</x:v>
      </x:c>
      <x:c r="C3658" s="115" t="str">
        <x:v>Ferroviaire</x:v>
      </x:c>
      <x:c r="D3658" s="115" t="str">
        <x:v>Gare terminus</x:v>
      </x:c>
      <x:c r="E3658" s="115" t="n">
        <x:v>3</x:v>
      </x:c>
      <x:c r="F3658" s="115" t="str">
        <x:v>Inspection physique</x:v>
      </x:c>
      <x:c r="G3658" s="115" t="str">
        <x:v>1 niveaux ; 36 pièces ; 265 segments de mur ; 0 transitions. Inspection physique ; architecture complète encore ouverte.</x:v>
      </x:c>
      <x:c r="H3658" s="115" t="str">
        <x:v>L 800 ; l 1900 ; hauteur 7 m ; choix de composition auteur ; dimensions réelles à documenter</x:v>
      </x:c>
      <x:c r="I3658" s="115" t="str">
        <x:v>À équilibrer</x:v>
      </x:c>
      <x:c r="J3658" s="115" t="str">
        <x:v>Non</x:v>
      </x:c>
      <x:c r="K3658" s="115" t="str">
        <x:v>Pièces décrites, murs, portes, niveaux et mobilier inspectables à l’échelle. Volumes réservés, raccord au seed, butin, rencontres et services de campagne restent à terminer.</x:v>
      </x:c>
    </x:row>
    <x:row r="3659" ht="96" customHeight="1">
      <x:c r="A3659" s="115" t="str">
        <x:v>EXT-MONDE-T074-V04</x:v>
      </x:c>
      <x:c r="B3659" s="115" t="str">
        <x:v>EXT-MONDE-T074</x:v>
      </x:c>
      <x:c r="C3659" s="115" t="str">
        <x:v>Ferroviaire</x:v>
      </x:c>
      <x:c r="D3659" s="115" t="str">
        <x:v>Gare terminus</x:v>
      </x:c>
      <x:c r="E3659" s="115" t="n">
        <x:v>4</x:v>
      </x:c>
      <x:c r="F3659" s="115" t="str">
        <x:v>Inspection physique</x:v>
      </x:c>
      <x:c r="G3659" s="115" t="str">
        <x:v>1 niveaux ; 36 pièces ; 265 segments de mur ; 0 transitions. Inspection physique ; architecture complète encore ouverte.</x:v>
      </x:c>
      <x:c r="H3659" s="115" t="str">
        <x:v>L 800 ; l 1900 ; hauteur 7 m ; choix de composition auteur ; dimensions réelles à documenter</x:v>
      </x:c>
      <x:c r="I3659" s="115" t="str">
        <x:v>À équilibrer</x:v>
      </x:c>
      <x:c r="J3659" s="115" t="str">
        <x:v>Non</x:v>
      </x:c>
      <x:c r="K3659" s="115" t="str">
        <x:v>Pièces décrites, murs, portes, niveaux et mobilier inspectables à l’échelle. Volumes réservés, raccord au seed, butin, rencontres et services de campagne restent à terminer.</x:v>
      </x:c>
    </x:row>
    <x:row r="3660" ht="96" customHeight="1">
      <x:c r="A3660" s="115" t="str">
        <x:v>EXT-MONDE-T074-V05</x:v>
      </x:c>
      <x:c r="B3660" s="115" t="str">
        <x:v>EXT-MONDE-T074</x:v>
      </x:c>
      <x:c r="C3660" s="115" t="str">
        <x:v>Ferroviaire</x:v>
      </x:c>
      <x:c r="D3660" s="115" t="str">
        <x:v>Gare terminus</x:v>
      </x:c>
      <x:c r="E3660" s="115" t="n">
        <x:v>5</x:v>
      </x:c>
      <x:c r="F3660" s="115" t="str">
        <x:v>Inspection physique</x:v>
      </x:c>
      <x:c r="G3660" s="115" t="str">
        <x:v>1 niveaux ; 36 pièces ; 265 segments de mur ; 0 transitions. Inspection physique ; architecture complète encore ouverte.</x:v>
      </x:c>
      <x:c r="H3660" s="115" t="str">
        <x:v>L 800 ; l 1900 ; hauteur 7 m ; choix de composition auteur ; dimensions réelles à documenter</x:v>
      </x:c>
      <x:c r="I3660" s="115" t="str">
        <x:v>À équilibrer</x:v>
      </x:c>
      <x:c r="J3660" s="115" t="str">
        <x:v>Non</x:v>
      </x:c>
      <x:c r="K3660" s="115" t="str">
        <x:v>Pièces décrites, murs, portes, niveaux et mobilier inspectables à l’échelle. Volumes réservés, raccord au seed, butin, rencontres et services de campagne restent à terminer.</x:v>
      </x:c>
    </x:row>
    <x:row r="3661" ht="96" customHeight="1">
      <x:c r="A3661" s="115" t="str">
        <x:v>EXT-MONDE-T074-V06</x:v>
      </x:c>
      <x:c r="B3661" s="115" t="str">
        <x:v>EXT-MONDE-T074</x:v>
      </x:c>
      <x:c r="C3661" s="115" t="str">
        <x:v>Ferroviaire</x:v>
      </x:c>
      <x:c r="D3661" s="115" t="str">
        <x:v>Gare terminus</x:v>
      </x:c>
      <x:c r="E3661" s="115" t="n">
        <x:v>6</x:v>
      </x:c>
      <x:c r="F3661" s="115" t="str">
        <x:v>Inspection physique</x:v>
      </x:c>
      <x:c r="G3661" s="115" t="str">
        <x:v>1 niveaux ; 36 pièces ; 265 segments de mur ; 0 transitions. Inspection physique ; architecture complète encore ouverte.</x:v>
      </x:c>
      <x:c r="H3661" s="115" t="str">
        <x:v>L 800 ; l 1900 ; hauteur 7 m ; choix de composition auteur ; dimensions réelles à documenter</x:v>
      </x:c>
      <x:c r="I3661" s="115" t="str">
        <x:v>À équilibrer</x:v>
      </x:c>
      <x:c r="J3661" s="115" t="str">
        <x:v>Non</x:v>
      </x:c>
      <x:c r="K3661" s="115" t="str">
        <x:v>Pièces décrites, murs, portes, niveaux et mobilier inspectables à l’échelle. Volumes réservés, raccord au seed, butin, rencontres et services de campagne restent à terminer.</x:v>
      </x:c>
    </x:row>
    <x:row r="3662" ht="96" customHeight="1">
      <x:c r="A3662" s="115" t="str">
        <x:v>EXT-MONDE-T074-V07</x:v>
      </x:c>
      <x:c r="B3662" s="115" t="str">
        <x:v>EXT-MONDE-T074</x:v>
      </x:c>
      <x:c r="C3662" s="115" t="str">
        <x:v>Ferroviaire</x:v>
      </x:c>
      <x:c r="D3662" s="115" t="str">
        <x:v>Gare terminus</x:v>
      </x:c>
      <x:c r="E3662" s="115" t="n">
        <x:v>7</x:v>
      </x:c>
      <x:c r="F3662" s="115" t="str">
        <x:v>Inspection physique</x:v>
      </x:c>
      <x:c r="G3662" s="115" t="str">
        <x:v>1 niveaux ; 36 pièces ; 265 segments de mur ; 0 transitions. Inspection physique ; architecture complète encore ouverte.</x:v>
      </x:c>
      <x:c r="H3662" s="115" t="str">
        <x:v>L 800 ; l 1900 ; hauteur 7 m ; choix de composition auteur ; dimensions réelles à documenter</x:v>
      </x:c>
      <x:c r="I3662" s="115" t="str">
        <x:v>À équilibrer</x:v>
      </x:c>
      <x:c r="J3662" s="115" t="str">
        <x:v>Non</x:v>
      </x:c>
      <x:c r="K3662" s="115" t="str">
        <x:v>Pièces décrites, murs, portes, niveaux et mobilier inspectables à l’échelle. Volumes réservés, raccord au seed, butin, rencontres et services de campagne restent à terminer.</x:v>
      </x:c>
    </x:row>
    <x:row r="3663" ht="96" customHeight="1">
      <x:c r="A3663" s="115" t="str">
        <x:v>EXT-MONDE-T074-V08</x:v>
      </x:c>
      <x:c r="B3663" s="115" t="str">
        <x:v>EXT-MONDE-T074</x:v>
      </x:c>
      <x:c r="C3663" s="115" t="str">
        <x:v>Ferroviaire</x:v>
      </x:c>
      <x:c r="D3663" s="115" t="str">
        <x:v>Gare terminus</x:v>
      </x:c>
      <x:c r="E3663" s="115" t="n">
        <x:v>8</x:v>
      </x:c>
      <x:c r="F3663" s="115" t="str">
        <x:v>Inspection physique</x:v>
      </x:c>
      <x:c r="G3663" s="115" t="str">
        <x:v>1 niveaux ; 36 pièces ; 265 segments de mur ; 0 transitions. Inspection physique ; architecture complète encore ouverte.</x:v>
      </x:c>
      <x:c r="H3663" s="115" t="str">
        <x:v>L 800 ; l 1900 ; hauteur 7 m ; choix de composition auteur ; dimensions réelles à documenter</x:v>
      </x:c>
      <x:c r="I3663" s="115" t="str">
        <x:v>À équilibrer</x:v>
      </x:c>
      <x:c r="J3663" s="115" t="str">
        <x:v>Non</x:v>
      </x:c>
      <x:c r="K3663" s="115" t="str">
        <x:v>Pièces décrites, murs, portes, niveaux et mobilier inspectables à l’échelle. Volumes réservés, raccord au seed, butin, rencontres et services de campagne restent à terminer.</x:v>
      </x:c>
    </x:row>
    <x:row r="3664" ht="96" customHeight="1">
      <x:c r="A3664" s="115" t="str">
        <x:v>EXT-MONDE-T074-V09</x:v>
      </x:c>
      <x:c r="B3664" s="115" t="str">
        <x:v>EXT-MONDE-T074</x:v>
      </x:c>
      <x:c r="C3664" s="115" t="str">
        <x:v>Ferroviaire</x:v>
      </x:c>
      <x:c r="D3664" s="115" t="str">
        <x:v>Gare terminus</x:v>
      </x:c>
      <x:c r="E3664" s="115" t="n">
        <x:v>9</x:v>
      </x:c>
      <x:c r="F3664" s="115" t="str">
        <x:v>Inspection physique</x:v>
      </x:c>
      <x:c r="G3664" s="115" t="str">
        <x:v>1 niveaux ; 36 pièces ; 265 segments de mur ; 0 transitions. Inspection physique ; architecture complète encore ouverte.</x:v>
      </x:c>
      <x:c r="H3664" s="115" t="str">
        <x:v>L 800 ; l 1900 ; hauteur 7 m ; choix de composition auteur ; dimensions réelles à documenter</x:v>
      </x:c>
      <x:c r="I3664" s="115" t="str">
        <x:v>À équilibrer</x:v>
      </x:c>
      <x:c r="J3664" s="115" t="str">
        <x:v>Non</x:v>
      </x:c>
      <x:c r="K3664" s="115" t="str">
        <x:v>Pièces décrites, murs, portes, niveaux et mobilier inspectables à l’échelle. Volumes réservés, raccord au seed, butin, rencontres et services de campagne restent à terminer.</x:v>
      </x:c>
    </x:row>
    <x:row r="3665" ht="96" customHeight="1">
      <x:c r="A3665" s="115" t="str">
        <x:v>EXT-MONDE-T074-V10</x:v>
      </x:c>
      <x:c r="B3665" s="115" t="str">
        <x:v>EXT-MONDE-T074</x:v>
      </x:c>
      <x:c r="C3665" s="115" t="str">
        <x:v>Ferroviaire</x:v>
      </x:c>
      <x:c r="D3665" s="115" t="str">
        <x:v>Gare terminus</x:v>
      </x:c>
      <x:c r="E3665" s="115" t="n">
        <x:v>10</x:v>
      </x:c>
      <x:c r="F3665" s="115" t="str">
        <x:v>Inspection physique</x:v>
      </x:c>
      <x:c r="G3665" s="115" t="str">
        <x:v>1 niveaux ; 36 pièces ; 265 segments de mur ; 0 transitions. Inspection physique ; architecture complète encore ouverte.</x:v>
      </x:c>
      <x:c r="H3665" s="115" t="str">
        <x:v>L 800 ; l 1900 ; hauteur 7 m ; choix de composition auteur ; dimensions réelles à documenter</x:v>
      </x:c>
      <x:c r="I3665" s="115" t="str">
        <x:v>À équilibrer</x:v>
      </x:c>
      <x:c r="J3665" s="115" t="str">
        <x:v>Non</x:v>
      </x:c>
      <x:c r="K3665" s="115" t="str">
        <x:v>Pièces décrites, murs, portes, niveaux et mobilier inspectables à l’échelle. Volumes réservés, raccord au seed, butin, rencontres et services de campagne restent à terminer.</x:v>
      </x:c>
    </x:row>
    <x:row r="3666" ht="96" customHeight="1">
      <x:c r="A3666" s="115" t="str">
        <x:v>EXT-MONDE-T074-V11</x:v>
      </x:c>
      <x:c r="B3666" s="115" t="str">
        <x:v>EXT-MONDE-T074</x:v>
      </x:c>
      <x:c r="C3666" s="115" t="str">
        <x:v>Ferroviaire</x:v>
      </x:c>
      <x:c r="D3666" s="115" t="str">
        <x:v>Gare terminus</x:v>
      </x:c>
      <x:c r="E3666" s="115" t="n">
        <x:v>11</x:v>
      </x:c>
      <x:c r="F3666" s="115" t="str">
        <x:v>Inspection physique</x:v>
      </x:c>
      <x:c r="G3666" s="115" t="str">
        <x:v>1 niveaux ; 36 pièces ; 265 segments de mur ; 0 transitions. Inspection physique ; architecture complète encore ouverte.</x:v>
      </x:c>
      <x:c r="H3666" s="115" t="str">
        <x:v>L 800 ; l 2100 ; hauteur 7,2 m ; choix de composition auteur ; dimensions réelles à documenter</x:v>
      </x:c>
      <x:c r="I3666" s="115" t="str">
        <x:v>À équilibrer</x:v>
      </x:c>
      <x:c r="J3666" s="115" t="str">
        <x:v>Non</x:v>
      </x:c>
      <x:c r="K3666" s="115" t="str">
        <x:v>Pièces décrites, murs, portes, niveaux et mobilier inspectables à l’échelle. Volumes réservés, raccord au seed, butin, rencontres et services de campagne restent à terminer.</x:v>
      </x:c>
    </x:row>
    <x:row r="3667" ht="96" customHeight="1">
      <x:c r="A3667" s="115" t="str">
        <x:v>EXT-MONDE-T074-V12</x:v>
      </x:c>
      <x:c r="B3667" s="115" t="str">
        <x:v>EXT-MONDE-T074</x:v>
      </x:c>
      <x:c r="C3667" s="115" t="str">
        <x:v>Ferroviaire</x:v>
      </x:c>
      <x:c r="D3667" s="115" t="str">
        <x:v>Gare terminus</x:v>
      </x:c>
      <x:c r="E3667" s="115" t="n">
        <x:v>12</x:v>
      </x:c>
      <x:c r="F3667" s="115" t="str">
        <x:v>Inspection physique</x:v>
      </x:c>
      <x:c r="G3667" s="115" t="str">
        <x:v>1 niveaux ; 36 pièces ; 265 segments de mur ; 0 transitions. Inspection physique ; architecture complète encore ouverte.</x:v>
      </x:c>
      <x:c r="H3667" s="115" t="str">
        <x:v>L 800 ; l 2100 ; hauteur 7,2 m ; choix de composition auteur ; dimensions réelles à documenter</x:v>
      </x:c>
      <x:c r="I3667" s="115" t="str">
        <x:v>À équilibrer</x:v>
      </x:c>
      <x:c r="J3667" s="115" t="str">
        <x:v>Non</x:v>
      </x:c>
      <x:c r="K3667" s="115" t="str">
        <x:v>Pièces décrites, murs, portes, niveaux et mobilier inspectables à l’échelle. Volumes réservés, raccord au seed, butin, rencontres et services de campagne restent à terminer.</x:v>
      </x:c>
    </x:row>
    <x:row r="3668" ht="96" customHeight="1">
      <x:c r="A3668" s="115" t="str">
        <x:v>EXT-MONDE-T074-V13</x:v>
      </x:c>
      <x:c r="B3668" s="115" t="str">
        <x:v>EXT-MONDE-T074</x:v>
      </x:c>
      <x:c r="C3668" s="115" t="str">
        <x:v>Ferroviaire</x:v>
      </x:c>
      <x:c r="D3668" s="115" t="str">
        <x:v>Gare terminus</x:v>
      </x:c>
      <x:c r="E3668" s="115" t="n">
        <x:v>13</x:v>
      </x:c>
      <x:c r="F3668" s="115" t="str">
        <x:v>Inspection physique</x:v>
      </x:c>
      <x:c r="G3668" s="115" t="str">
        <x:v>1 niveaux ; 36 pièces ; 265 segments de mur ; 0 transitions. Inspection physique ; architecture complète encore ouverte.</x:v>
      </x:c>
      <x:c r="H3668" s="115" t="str">
        <x:v>L 800 ; l 2100 ; hauteur 7,2 m ; choix de composition auteur ; dimensions réelles à documenter</x:v>
      </x:c>
      <x:c r="I3668" s="115" t="str">
        <x:v>À équilibrer</x:v>
      </x:c>
      <x:c r="J3668" s="115" t="str">
        <x:v>Non</x:v>
      </x:c>
      <x:c r="K3668" s="115" t="str">
        <x:v>Pièces décrites, murs, portes, niveaux et mobilier inspectables à l’échelle. Volumes réservés, raccord au seed, butin, rencontres et services de campagne restent à terminer.</x:v>
      </x:c>
    </x:row>
    <x:row r="3669" ht="96" customHeight="1">
      <x:c r="A3669" s="115" t="str">
        <x:v>EXT-MONDE-T074-V14</x:v>
      </x:c>
      <x:c r="B3669" s="115" t="str">
        <x:v>EXT-MONDE-T074</x:v>
      </x:c>
      <x:c r="C3669" s="115" t="str">
        <x:v>Ferroviaire</x:v>
      </x:c>
      <x:c r="D3669" s="115" t="str">
        <x:v>Gare terminus</x:v>
      </x:c>
      <x:c r="E3669" s="115" t="n">
        <x:v>14</x:v>
      </x:c>
      <x:c r="F3669" s="115" t="str">
        <x:v>Inspection physique</x:v>
      </x:c>
      <x:c r="G3669" s="115" t="str">
        <x:v>1 niveaux ; 36 pièces ; 265 segments de mur ; 0 transitions. Inspection physique ; architecture complète encore ouverte.</x:v>
      </x:c>
      <x:c r="H3669" s="115" t="str">
        <x:v>L 800 ; l 2100 ; hauteur 7,2 m ; choix de composition auteur ; dimensions réelles à documenter</x:v>
      </x:c>
      <x:c r="I3669" s="115" t="str">
        <x:v>À équilibrer</x:v>
      </x:c>
      <x:c r="J3669" s="115" t="str">
        <x:v>Non</x:v>
      </x:c>
      <x:c r="K3669" s="115" t="str">
        <x:v>Pièces décrites, murs, portes, niveaux et mobilier inspectables à l’échelle. Volumes réservés, raccord au seed, butin, rencontres et services de campagne restent à terminer.</x:v>
      </x:c>
    </x:row>
    <x:row r="3670" ht="96" customHeight="1">
      <x:c r="A3670" s="115" t="str">
        <x:v>EXT-MONDE-T074-V15</x:v>
      </x:c>
      <x:c r="B3670" s="115" t="str">
        <x:v>EXT-MONDE-T074</x:v>
      </x:c>
      <x:c r="C3670" s="115" t="str">
        <x:v>Ferroviaire</x:v>
      </x:c>
      <x:c r="D3670" s="115" t="str">
        <x:v>Gare terminus</x:v>
      </x:c>
      <x:c r="E3670" s="115" t="n">
        <x:v>15</x:v>
      </x:c>
      <x:c r="F3670" s="115" t="str">
        <x:v>Inspection physique</x:v>
      </x:c>
      <x:c r="G3670" s="115" t="str">
        <x:v>1 niveaux ; 36 pièces ; 265 segments de mur ; 0 transitions. Inspection physique ; architecture complète encore ouverte.</x:v>
      </x:c>
      <x:c r="H3670" s="115" t="str">
        <x:v>L 800 ; l 2100 ; hauteur 7,2 m ; choix de composition auteur ; dimensions réelles à documenter</x:v>
      </x:c>
      <x:c r="I3670" s="115" t="str">
        <x:v>À équilibrer</x:v>
      </x:c>
      <x:c r="J3670" s="115" t="str">
        <x:v>Non</x:v>
      </x:c>
      <x:c r="K3670" s="115" t="str">
        <x:v>Pièces décrites, murs, portes, niveaux et mobilier inspectables à l’échelle. Volumes réservés, raccord au seed, butin, rencontres et services de campagne restent à terminer.</x:v>
      </x:c>
    </x:row>
    <x:row r="3671" ht="96" customHeight="1">
      <x:c r="A3671" s="115" t="str">
        <x:v>EXT-MONDE-T074-V16</x:v>
      </x:c>
      <x:c r="B3671" s="115" t="str">
        <x:v>EXT-MONDE-T074</x:v>
      </x:c>
      <x:c r="C3671" s="115" t="str">
        <x:v>Ferroviaire</x:v>
      </x:c>
      <x:c r="D3671" s="115" t="str">
        <x:v>Gare terminus</x:v>
      </x:c>
      <x:c r="E3671" s="115" t="n">
        <x:v>16</x:v>
      </x:c>
      <x:c r="F3671" s="115" t="str">
        <x:v>Inspection physique</x:v>
      </x:c>
      <x:c r="G3671" s="115" t="str">
        <x:v>1 niveaux ; 36 pièces ; 265 segments de mur ; 0 transitions. Inspection physique ; architecture complète encore ouverte.</x:v>
      </x:c>
      <x:c r="H3671" s="115" t="str">
        <x:v>L 800 ; l 2100 ; hauteur 7,2 m ; choix de composition auteur ; dimensions réelles à documenter</x:v>
      </x:c>
      <x:c r="I3671" s="115" t="str">
        <x:v>À équilibrer</x:v>
      </x:c>
      <x:c r="J3671" s="115" t="str">
        <x:v>Non</x:v>
      </x:c>
      <x:c r="K3671" s="115" t="str">
        <x:v>Pièces décrites, murs, portes, niveaux et mobilier inspectables à l’échelle. Volumes réservés, raccord au seed, butin, rencontres et services de campagne restent à terminer.</x:v>
      </x:c>
    </x:row>
    <x:row r="3672" ht="96" customHeight="1">
      <x:c r="A3672" s="115" t="str">
        <x:v>EXT-MONDE-T074-V17</x:v>
      </x:c>
      <x:c r="B3672" s="115" t="str">
        <x:v>EXT-MONDE-T074</x:v>
      </x:c>
      <x:c r="C3672" s="115" t="str">
        <x:v>Ferroviaire</x:v>
      </x:c>
      <x:c r="D3672" s="115" t="str">
        <x:v>Gare terminus</x:v>
      </x:c>
      <x:c r="E3672" s="115" t="n">
        <x:v>17</x:v>
      </x:c>
      <x:c r="F3672" s="115" t="str">
        <x:v>Inspection physique</x:v>
      </x:c>
      <x:c r="G3672" s="115" t="str">
        <x:v>1 niveaux ; 36 pièces ; 265 segments de mur ; 0 transitions. Inspection physique ; architecture complète encore ouverte.</x:v>
      </x:c>
      <x:c r="H3672" s="115" t="str">
        <x:v>L 800 ; l 2100 ; hauteur 7,2 m ; choix de composition auteur ; dimensions réelles à documenter</x:v>
      </x:c>
      <x:c r="I3672" s="115" t="str">
        <x:v>À équilibrer</x:v>
      </x:c>
      <x:c r="J3672" s="115" t="str">
        <x:v>Non</x:v>
      </x:c>
      <x:c r="K3672" s="115" t="str">
        <x:v>Pièces décrites, murs, portes, niveaux et mobilier inspectables à l’échelle. Volumes réservés, raccord au seed, butin, rencontres et services de campagne restent à terminer.</x:v>
      </x:c>
    </x:row>
    <x:row r="3673" ht="96" customHeight="1">
      <x:c r="A3673" s="115" t="str">
        <x:v>EXT-MONDE-T074-V18</x:v>
      </x:c>
      <x:c r="B3673" s="115" t="str">
        <x:v>EXT-MONDE-T074</x:v>
      </x:c>
      <x:c r="C3673" s="115" t="str">
        <x:v>Ferroviaire</x:v>
      </x:c>
      <x:c r="D3673" s="115" t="str">
        <x:v>Gare terminus</x:v>
      </x:c>
      <x:c r="E3673" s="115" t="n">
        <x:v>18</x:v>
      </x:c>
      <x:c r="F3673" s="115" t="str">
        <x:v>Inspection physique</x:v>
      </x:c>
      <x:c r="G3673" s="115" t="str">
        <x:v>1 niveaux ; 36 pièces ; 265 segments de mur ; 0 transitions. Inspection physique ; architecture complète encore ouverte.</x:v>
      </x:c>
      <x:c r="H3673" s="115" t="str">
        <x:v>L 800 ; l 2100 ; hauteur 7,2 m ; choix de composition auteur ; dimensions réelles à documenter</x:v>
      </x:c>
      <x:c r="I3673" s="115" t="str">
        <x:v>À équilibrer</x:v>
      </x:c>
      <x:c r="J3673" s="115" t="str">
        <x:v>Non</x:v>
      </x:c>
      <x:c r="K3673" s="115" t="str">
        <x:v>Pièces décrites, murs, portes, niveaux et mobilier inspectables à l’échelle. Volumes réservés, raccord au seed, butin, rencontres et services de campagne restent à terminer.</x:v>
      </x:c>
    </x:row>
    <x:row r="3674" ht="96" customHeight="1">
      <x:c r="A3674" s="115" t="str">
        <x:v>EXT-MONDE-T074-V19</x:v>
      </x:c>
      <x:c r="B3674" s="115" t="str">
        <x:v>EXT-MONDE-T074</x:v>
      </x:c>
      <x:c r="C3674" s="115" t="str">
        <x:v>Ferroviaire</x:v>
      </x:c>
      <x:c r="D3674" s="115" t="str">
        <x:v>Gare terminus</x:v>
      </x:c>
      <x:c r="E3674" s="115" t="n">
        <x:v>19</x:v>
      </x:c>
      <x:c r="F3674" s="115" t="str">
        <x:v>Inspection physique</x:v>
      </x:c>
      <x:c r="G3674" s="115" t="str">
        <x:v>1 niveaux ; 36 pièces ; 265 segments de mur ; 0 transitions. Inspection physique ; architecture complète encore ouverte.</x:v>
      </x:c>
      <x:c r="H3674" s="115" t="str">
        <x:v>L 800 ; l 2100 ; hauteur 7,2 m ; choix de composition auteur ; dimensions réelles à documenter</x:v>
      </x:c>
      <x:c r="I3674" s="115" t="str">
        <x:v>À équilibrer</x:v>
      </x:c>
      <x:c r="J3674" s="115" t="str">
        <x:v>Non</x:v>
      </x:c>
      <x:c r="K3674" s="115" t="str">
        <x:v>Pièces décrites, murs, portes, niveaux et mobilier inspectables à l’échelle. Volumes réservés, raccord au seed, butin, rencontres et services de campagne restent à terminer.</x:v>
      </x:c>
    </x:row>
    <x:row r="3675" ht="96" customHeight="1">
      <x:c r="A3675" s="115" t="str">
        <x:v>EXT-MONDE-T074-V20</x:v>
      </x:c>
      <x:c r="B3675" s="115" t="str">
        <x:v>EXT-MONDE-T074</x:v>
      </x:c>
      <x:c r="C3675" s="115" t="str">
        <x:v>Ferroviaire</x:v>
      </x:c>
      <x:c r="D3675" s="115" t="str">
        <x:v>Gare terminus</x:v>
      </x:c>
      <x:c r="E3675" s="115" t="n">
        <x:v>20</x:v>
      </x:c>
      <x:c r="F3675" s="115" t="str">
        <x:v>Inspection physique</x:v>
      </x:c>
      <x:c r="G3675" s="115" t="str">
        <x:v>1 niveaux ; 36 pièces ; 265 segments de mur ; 0 transitions. Inspection physique ; architecture complète encore ouverte.</x:v>
      </x:c>
      <x:c r="H3675" s="115" t="str">
        <x:v>L 800 ; l 2100 ; hauteur 7,2 m ; choix de composition auteur ; dimensions réelles à documenter</x:v>
      </x:c>
      <x:c r="I3675" s="115" t="str">
        <x:v>À équilibrer</x:v>
      </x:c>
      <x:c r="J3675" s="115" t="str">
        <x:v>Non</x:v>
      </x:c>
      <x:c r="K3675" s="115" t="str">
        <x:v>Pièces décrites, murs, portes, niveaux et mobilier inspectables à l’échelle. Volumes réservés, raccord au seed, butin, rencontres et services de campagne restent à terminer.</x:v>
      </x:c>
    </x:row>
    <x:row r="3676" ht="96" customHeight="1">
      <x:c r="A3676" s="115" t="str">
        <x:v>EXT-MONDE-T074-V21</x:v>
      </x:c>
      <x:c r="B3676" s="115" t="str">
        <x:v>EXT-MONDE-T074</x:v>
      </x:c>
      <x:c r="C3676" s="115" t="str">
        <x:v>Ferroviaire</x:v>
      </x:c>
      <x:c r="D3676" s="115" t="str">
        <x:v>Gare terminus</x:v>
      </x:c>
      <x:c r="E3676" s="115" t="n">
        <x:v>21</x:v>
      </x:c>
      <x:c r="F3676" s="115" t="str">
        <x:v>Inspection physique</x:v>
      </x:c>
      <x:c r="G3676" s="115" t="str">
        <x:v>1 niveaux ; 36 pièces ; 265 segments de mur ; 0 transitions. Inspection physique ; architecture complète encore ouverte.</x:v>
      </x:c>
      <x:c r="H3676" s="115" t="str">
        <x:v>L 800 ; l 2300 ; hauteur 7,4 m ; choix de composition auteur ; dimensions réelles à documenter</x:v>
      </x:c>
      <x:c r="I3676" s="115" t="str">
        <x:v>À équilibrer</x:v>
      </x:c>
      <x:c r="J3676" s="115" t="str">
        <x:v>Non</x:v>
      </x:c>
      <x:c r="K3676" s="115" t="str">
        <x:v>Pièces décrites, murs, portes, niveaux et mobilier inspectables à l’échelle. Volumes réservés, raccord au seed, butin, rencontres et services de campagne restent à terminer.</x:v>
      </x:c>
    </x:row>
    <x:row r="3677" ht="96" customHeight="1">
      <x:c r="A3677" s="115" t="str">
        <x:v>EXT-MONDE-T074-V22</x:v>
      </x:c>
      <x:c r="B3677" s="115" t="str">
        <x:v>EXT-MONDE-T074</x:v>
      </x:c>
      <x:c r="C3677" s="115" t="str">
        <x:v>Ferroviaire</x:v>
      </x:c>
      <x:c r="D3677" s="115" t="str">
        <x:v>Gare terminus</x:v>
      </x:c>
      <x:c r="E3677" s="115" t="n">
        <x:v>22</x:v>
      </x:c>
      <x:c r="F3677" s="115" t="str">
        <x:v>Inspection physique</x:v>
      </x:c>
      <x:c r="G3677" s="115" t="str">
        <x:v>1 niveaux ; 36 pièces ; 265 segments de mur ; 0 transitions. Inspection physique ; architecture complète encore ouverte.</x:v>
      </x:c>
      <x:c r="H3677" s="115" t="str">
        <x:v>L 800 ; l 2300 ; hauteur 7,4 m ; choix de composition auteur ; dimensions réelles à documenter</x:v>
      </x:c>
      <x:c r="I3677" s="115" t="str">
        <x:v>À équilibrer</x:v>
      </x:c>
      <x:c r="J3677" s="115" t="str">
        <x:v>Non</x:v>
      </x:c>
      <x:c r="K3677" s="115" t="str">
        <x:v>Pièces décrites, murs, portes, niveaux et mobilier inspectables à l’échelle. Volumes réservés, raccord au seed, butin, rencontres et services de campagne restent à terminer.</x:v>
      </x:c>
    </x:row>
    <x:row r="3678" ht="96" customHeight="1">
      <x:c r="A3678" s="115" t="str">
        <x:v>EXT-MONDE-T074-V23</x:v>
      </x:c>
      <x:c r="B3678" s="115" t="str">
        <x:v>EXT-MONDE-T074</x:v>
      </x:c>
      <x:c r="C3678" s="115" t="str">
        <x:v>Ferroviaire</x:v>
      </x:c>
      <x:c r="D3678" s="115" t="str">
        <x:v>Gare terminus</x:v>
      </x:c>
      <x:c r="E3678" s="115" t="n">
        <x:v>23</x:v>
      </x:c>
      <x:c r="F3678" s="115" t="str">
        <x:v>Inspection physique</x:v>
      </x:c>
      <x:c r="G3678" s="115" t="str">
        <x:v>1 niveaux ; 36 pièces ; 265 segments de mur ; 0 transitions. Inspection physique ; architecture complète encore ouverte.</x:v>
      </x:c>
      <x:c r="H3678" s="115" t="str">
        <x:v>L 800 ; l 2300 ; hauteur 7,4 m ; choix de composition auteur ; dimensions réelles à documenter</x:v>
      </x:c>
      <x:c r="I3678" s="115" t="str">
        <x:v>À équilibrer</x:v>
      </x:c>
      <x:c r="J3678" s="115" t="str">
        <x:v>Non</x:v>
      </x:c>
      <x:c r="K3678" s="115" t="str">
        <x:v>Pièces décrites, murs, portes, niveaux et mobilier inspectables à l’échelle. Volumes réservés, raccord au seed, butin, rencontres et services de campagne restent à terminer.</x:v>
      </x:c>
    </x:row>
    <x:row r="3679" ht="96" customHeight="1">
      <x:c r="A3679" s="115" t="str">
        <x:v>EXT-MONDE-T074-V24</x:v>
      </x:c>
      <x:c r="B3679" s="115" t="str">
        <x:v>EXT-MONDE-T074</x:v>
      </x:c>
      <x:c r="C3679" s="115" t="str">
        <x:v>Ferroviaire</x:v>
      </x:c>
      <x:c r="D3679" s="115" t="str">
        <x:v>Gare terminus</x:v>
      </x:c>
      <x:c r="E3679" s="115" t="n">
        <x:v>24</x:v>
      </x:c>
      <x:c r="F3679" s="115" t="str">
        <x:v>Inspection physique</x:v>
      </x:c>
      <x:c r="G3679" s="115" t="str">
        <x:v>1 niveaux ; 36 pièces ; 265 segments de mur ; 0 transitions. Inspection physique ; architecture complète encore ouverte.</x:v>
      </x:c>
      <x:c r="H3679" s="115" t="str">
        <x:v>L 800 ; l 2300 ; hauteur 7,4 m ; choix de composition auteur ; dimensions réelles à documenter</x:v>
      </x:c>
      <x:c r="I3679" s="115" t="str">
        <x:v>À équilibrer</x:v>
      </x:c>
      <x:c r="J3679" s="115" t="str">
        <x:v>Non</x:v>
      </x:c>
      <x:c r="K3679" s="115" t="str">
        <x:v>Pièces décrites, murs, portes, niveaux et mobilier inspectables à l’échelle. Volumes réservés, raccord au seed, butin, rencontres et services de campagne restent à terminer.</x:v>
      </x:c>
    </x:row>
    <x:row r="3680" ht="96" customHeight="1">
      <x:c r="A3680" s="115" t="str">
        <x:v>EXT-MONDE-T074-V25</x:v>
      </x:c>
      <x:c r="B3680" s="115" t="str">
        <x:v>EXT-MONDE-T074</x:v>
      </x:c>
      <x:c r="C3680" s="115" t="str">
        <x:v>Ferroviaire</x:v>
      </x:c>
      <x:c r="D3680" s="115" t="str">
        <x:v>Gare terminus</x:v>
      </x:c>
      <x:c r="E3680" s="115" t="n">
        <x:v>25</x:v>
      </x:c>
      <x:c r="F3680" s="115" t="str">
        <x:v>Inspection physique</x:v>
      </x:c>
      <x:c r="G3680" s="115" t="str">
        <x:v>1 niveaux ; 36 pièces ; 265 segments de mur ; 0 transitions. Inspection physique ; architecture complète encore ouverte.</x:v>
      </x:c>
      <x:c r="H3680" s="115" t="str">
        <x:v>L 800 ; l 2300 ; hauteur 7,4 m ; choix de composition auteur ; dimensions réelles à documenter</x:v>
      </x:c>
      <x:c r="I3680" s="115" t="str">
        <x:v>À équilibrer</x:v>
      </x:c>
      <x:c r="J3680" s="115" t="str">
        <x:v>Non</x:v>
      </x:c>
      <x:c r="K3680" s="115" t="str">
        <x:v>Pièces décrites, murs, portes, niveaux et mobilier inspectables à l’échelle. Volumes réservés, raccord au seed, butin, rencontres et services de campagne restent à terminer.</x:v>
      </x:c>
    </x:row>
    <x:row r="3681" ht="96" customHeight="1">
      <x:c r="A3681" s="115" t="str">
        <x:v>EXT-MONDE-T074-V26</x:v>
      </x:c>
      <x:c r="B3681" s="115" t="str">
        <x:v>EXT-MONDE-T074</x:v>
      </x:c>
      <x:c r="C3681" s="115" t="str">
        <x:v>Ferroviaire</x:v>
      </x:c>
      <x:c r="D3681" s="115" t="str">
        <x:v>Gare terminus</x:v>
      </x:c>
      <x:c r="E3681" s="115" t="n">
        <x:v>26</x:v>
      </x:c>
      <x:c r="F3681" s="115" t="str">
        <x:v>Inspection physique</x:v>
      </x:c>
      <x:c r="G3681" s="115" t="str">
        <x:v>1 niveaux ; 36 pièces ; 265 segments de mur ; 0 transitions. Inspection physique ; architecture complète encore ouverte.</x:v>
      </x:c>
      <x:c r="H3681" s="115" t="str">
        <x:v>L 800 ; l 2300 ; hauteur 7,4 m ; choix de composition auteur ; dimensions réelles à documenter</x:v>
      </x:c>
      <x:c r="I3681" s="115" t="str">
        <x:v>À équilibrer</x:v>
      </x:c>
      <x:c r="J3681" s="115" t="str">
        <x:v>Non</x:v>
      </x:c>
      <x:c r="K3681" s="115" t="str">
        <x:v>Pièces décrites, murs, portes, niveaux et mobilier inspectables à l’échelle. Volumes réservés, raccord au seed, butin, rencontres et services de campagne restent à terminer.</x:v>
      </x:c>
    </x:row>
    <x:row r="3682" ht="96" customHeight="1">
      <x:c r="A3682" s="115" t="str">
        <x:v>EXT-MONDE-T074-V27</x:v>
      </x:c>
      <x:c r="B3682" s="115" t="str">
        <x:v>EXT-MONDE-T074</x:v>
      </x:c>
      <x:c r="C3682" s="115" t="str">
        <x:v>Ferroviaire</x:v>
      </x:c>
      <x:c r="D3682" s="115" t="str">
        <x:v>Gare terminus</x:v>
      </x:c>
      <x:c r="E3682" s="115" t="n">
        <x:v>27</x:v>
      </x:c>
      <x:c r="F3682" s="115" t="str">
        <x:v>Inspection physique</x:v>
      </x:c>
      <x:c r="G3682" s="115" t="str">
        <x:v>1 niveaux ; 36 pièces ; 265 segments de mur ; 0 transitions. Inspection physique ; architecture complète encore ouverte.</x:v>
      </x:c>
      <x:c r="H3682" s="115" t="str">
        <x:v>L 800 ; l 2300 ; hauteur 7,4 m ; choix de composition auteur ; dimensions réelles à documenter</x:v>
      </x:c>
      <x:c r="I3682" s="115" t="str">
        <x:v>À équilibrer</x:v>
      </x:c>
      <x:c r="J3682" s="115" t="str">
        <x:v>Non</x:v>
      </x:c>
      <x:c r="K3682" s="115" t="str">
        <x:v>Pièces décrites, murs, portes, niveaux et mobilier inspectables à l’échelle. Volumes réservés, raccord au seed, butin, rencontres et services de campagne restent à terminer.</x:v>
      </x:c>
    </x:row>
    <x:row r="3683" ht="96" customHeight="1">
      <x:c r="A3683" s="115" t="str">
        <x:v>EXT-MONDE-T074-V28</x:v>
      </x:c>
      <x:c r="B3683" s="115" t="str">
        <x:v>EXT-MONDE-T074</x:v>
      </x:c>
      <x:c r="C3683" s="115" t="str">
        <x:v>Ferroviaire</x:v>
      </x:c>
      <x:c r="D3683" s="115" t="str">
        <x:v>Gare terminus</x:v>
      </x:c>
      <x:c r="E3683" s="115" t="n">
        <x:v>28</x:v>
      </x:c>
      <x:c r="F3683" s="115" t="str">
        <x:v>Inspection physique</x:v>
      </x:c>
      <x:c r="G3683" s="115" t="str">
        <x:v>1 niveaux ; 36 pièces ; 265 segments de mur ; 0 transitions. Inspection physique ; architecture complète encore ouverte.</x:v>
      </x:c>
      <x:c r="H3683" s="115" t="str">
        <x:v>L 800 ; l 2300 ; hauteur 7,4 m ; choix de composition auteur ; dimensions réelles à documenter</x:v>
      </x:c>
      <x:c r="I3683" s="115" t="str">
        <x:v>À équilibrer</x:v>
      </x:c>
      <x:c r="J3683" s="115" t="str">
        <x:v>Non</x:v>
      </x:c>
      <x:c r="K3683" s="115" t="str">
        <x:v>Pièces décrites, murs, portes, niveaux et mobilier inspectables à l’échelle. Volumes réservés, raccord au seed, butin, rencontres et services de campagne restent à terminer.</x:v>
      </x:c>
    </x:row>
    <x:row r="3684" ht="96" customHeight="1">
      <x:c r="A3684" s="115" t="str">
        <x:v>EXT-MONDE-T074-V29</x:v>
      </x:c>
      <x:c r="B3684" s="115" t="str">
        <x:v>EXT-MONDE-T074</x:v>
      </x:c>
      <x:c r="C3684" s="115" t="str">
        <x:v>Ferroviaire</x:v>
      </x:c>
      <x:c r="D3684" s="115" t="str">
        <x:v>Gare terminus</x:v>
      </x:c>
      <x:c r="E3684" s="115" t="n">
        <x:v>29</x:v>
      </x:c>
      <x:c r="F3684" s="115" t="str">
        <x:v>Inspection physique</x:v>
      </x:c>
      <x:c r="G3684" s="115" t="str">
        <x:v>1 niveaux ; 36 pièces ; 265 segments de mur ; 0 transitions. Inspection physique ; architecture complète encore ouverte.</x:v>
      </x:c>
      <x:c r="H3684" s="115" t="str">
        <x:v>L 800 ; l 2300 ; hauteur 7,4 m ; choix de composition auteur ; dimensions réelles à documenter</x:v>
      </x:c>
      <x:c r="I3684" s="115" t="str">
        <x:v>À équilibrer</x:v>
      </x:c>
      <x:c r="J3684" s="115" t="str">
        <x:v>Non</x:v>
      </x:c>
      <x:c r="K3684" s="115" t="str">
        <x:v>Pièces décrites, murs, portes, niveaux et mobilier inspectables à l’échelle. Volumes réservés, raccord au seed, butin, rencontres et services de campagne restent à terminer.</x:v>
      </x:c>
    </x:row>
    <x:row r="3685" ht="96" customHeight="1">
      <x:c r="A3685" s="115" t="str">
        <x:v>EXT-MONDE-T074-V30</x:v>
      </x:c>
      <x:c r="B3685" s="115" t="str">
        <x:v>EXT-MONDE-T074</x:v>
      </x:c>
      <x:c r="C3685" s="115" t="str">
        <x:v>Ferroviaire</x:v>
      </x:c>
      <x:c r="D3685" s="115" t="str">
        <x:v>Gare terminus</x:v>
      </x:c>
      <x:c r="E3685" s="115" t="n">
        <x:v>30</x:v>
      </x:c>
      <x:c r="F3685" s="115" t="str">
        <x:v>Inspection physique</x:v>
      </x:c>
      <x:c r="G3685" s="115" t="str">
        <x:v>1 niveaux ; 36 pièces ; 265 segments de mur ; 0 transitions. Inspection physique ; architecture complète encore ouverte.</x:v>
      </x:c>
      <x:c r="H3685" s="115" t="str">
        <x:v>L 800 ; l 2300 ; hauteur 7,4 m ; choix de composition auteur ; dimensions réelles à documenter</x:v>
      </x:c>
      <x:c r="I3685" s="115" t="str">
        <x:v>À équilibrer</x:v>
      </x:c>
      <x:c r="J3685" s="115" t="str">
        <x:v>Non</x:v>
      </x:c>
      <x:c r="K3685" s="115" t="str">
        <x:v>Pièces décrites, murs, portes, niveaux et mobilier inspectables à l’échelle. Volumes réservés, raccord au seed, butin, rencontres et services de campagne restent à terminer.</x:v>
      </x:c>
    </x:row>
    <x:row r="3686" ht="96" customHeight="1">
      <x:c r="A3686" s="115" t="str">
        <x:v>EXT-MONDE-T074-V31</x:v>
      </x:c>
      <x:c r="B3686" s="115" t="str">
        <x:v>EXT-MONDE-T074</x:v>
      </x:c>
      <x:c r="C3686" s="115" t="str">
        <x:v>Ferroviaire</x:v>
      </x:c>
      <x:c r="D3686" s="115" t="str">
        <x:v>Gare terminus</x:v>
      </x:c>
      <x:c r="E3686" s="115" t="n">
        <x:v>31</x:v>
      </x:c>
      <x:c r="F3686" s="115" t="str">
        <x:v>Inspection physique</x:v>
      </x:c>
      <x:c r="G3686" s="115" t="str">
        <x:v>1 niveaux ; 36 pièces ; 265 segments de mur ; 0 transitions. Inspection physique ; architecture complète encore ouverte.</x:v>
      </x:c>
      <x:c r="H3686" s="115" t="str">
        <x:v>L 800 ; l 2500 ; hauteur 7,6 m ; choix de composition auteur ; dimensions réelles à documenter</x:v>
      </x:c>
      <x:c r="I3686" s="115" t="str">
        <x:v>À équilibrer</x:v>
      </x:c>
      <x:c r="J3686" s="115" t="str">
        <x:v>Non</x:v>
      </x:c>
      <x:c r="K3686" s="115" t="str">
        <x:v>Pièces décrites, murs, portes, niveaux et mobilier inspectables à l’échelle. Volumes réservés, raccord au seed, butin, rencontres et services de campagne restent à terminer.</x:v>
      </x:c>
    </x:row>
    <x:row r="3687" ht="96" customHeight="1">
      <x:c r="A3687" s="115" t="str">
        <x:v>EXT-MONDE-T074-V32</x:v>
      </x:c>
      <x:c r="B3687" s="115" t="str">
        <x:v>EXT-MONDE-T074</x:v>
      </x:c>
      <x:c r="C3687" s="115" t="str">
        <x:v>Ferroviaire</x:v>
      </x:c>
      <x:c r="D3687" s="115" t="str">
        <x:v>Gare terminus</x:v>
      </x:c>
      <x:c r="E3687" s="115" t="n">
        <x:v>32</x:v>
      </x:c>
      <x:c r="F3687" s="115" t="str">
        <x:v>Inspection physique</x:v>
      </x:c>
      <x:c r="G3687" s="115" t="str">
        <x:v>1 niveaux ; 36 pièces ; 265 segments de mur ; 0 transitions. Inspection physique ; architecture complète encore ouverte.</x:v>
      </x:c>
      <x:c r="H3687" s="115" t="str">
        <x:v>L 800 ; l 2500 ; hauteur 7,6 m ; choix de composition auteur ; dimensions réelles à documenter</x:v>
      </x:c>
      <x:c r="I3687" s="115" t="str">
        <x:v>À équilibrer</x:v>
      </x:c>
      <x:c r="J3687" s="115" t="str">
        <x:v>Non</x:v>
      </x:c>
      <x:c r="K3687" s="115" t="str">
        <x:v>Pièces décrites, murs, portes, niveaux et mobilier inspectables à l’échelle. Volumes réservés, raccord au seed, butin, rencontres et services de campagne restent à terminer.</x:v>
      </x:c>
    </x:row>
    <x:row r="3688" ht="96" customHeight="1">
      <x:c r="A3688" s="115" t="str">
        <x:v>EXT-MONDE-T074-V33</x:v>
      </x:c>
      <x:c r="B3688" s="115" t="str">
        <x:v>EXT-MONDE-T074</x:v>
      </x:c>
      <x:c r="C3688" s="115" t="str">
        <x:v>Ferroviaire</x:v>
      </x:c>
      <x:c r="D3688" s="115" t="str">
        <x:v>Gare terminus</x:v>
      </x:c>
      <x:c r="E3688" s="115" t="n">
        <x:v>33</x:v>
      </x:c>
      <x:c r="F3688" s="115" t="str">
        <x:v>Inspection physique</x:v>
      </x:c>
      <x:c r="G3688" s="115" t="str">
        <x:v>1 niveaux ; 36 pièces ; 265 segments de mur ; 0 transitions. Inspection physique ; architecture complète encore ouverte.</x:v>
      </x:c>
      <x:c r="H3688" s="115" t="str">
        <x:v>L 800 ; l 2500 ; hauteur 7,6 m ; choix de composition auteur ; dimensions réelles à documenter</x:v>
      </x:c>
      <x:c r="I3688" s="115" t="str">
        <x:v>À équilibrer</x:v>
      </x:c>
      <x:c r="J3688" s="115" t="str">
        <x:v>Non</x:v>
      </x:c>
      <x:c r="K3688" s="115" t="str">
        <x:v>Pièces décrites, murs, portes, niveaux et mobilier inspectables à l’échelle. Volumes réservés, raccord au seed, butin, rencontres et services de campagne restent à terminer.</x:v>
      </x:c>
    </x:row>
    <x:row r="3689" ht="96" customHeight="1">
      <x:c r="A3689" s="115" t="str">
        <x:v>EXT-MONDE-T074-V34</x:v>
      </x:c>
      <x:c r="B3689" s="115" t="str">
        <x:v>EXT-MONDE-T074</x:v>
      </x:c>
      <x:c r="C3689" s="115" t="str">
        <x:v>Ferroviaire</x:v>
      </x:c>
      <x:c r="D3689" s="115" t="str">
        <x:v>Gare terminus</x:v>
      </x:c>
      <x:c r="E3689" s="115" t="n">
        <x:v>34</x:v>
      </x:c>
      <x:c r="F3689" s="115" t="str">
        <x:v>Inspection physique</x:v>
      </x:c>
      <x:c r="G3689" s="115" t="str">
        <x:v>1 niveaux ; 36 pièces ; 265 segments de mur ; 0 transitions. Inspection physique ; architecture complète encore ouverte.</x:v>
      </x:c>
      <x:c r="H3689" s="115" t="str">
        <x:v>L 800 ; l 2500 ; hauteur 7,6 m ; choix de composition auteur ; dimensions réelles à documenter</x:v>
      </x:c>
      <x:c r="I3689" s="115" t="str">
        <x:v>À équilibrer</x:v>
      </x:c>
      <x:c r="J3689" s="115" t="str">
        <x:v>Non</x:v>
      </x:c>
      <x:c r="K3689" s="115" t="str">
        <x:v>Pièces décrites, murs, portes, niveaux et mobilier inspectables à l’échelle. Volumes réservés, raccord au seed, butin, rencontres et services de campagne restent à terminer.</x:v>
      </x:c>
    </x:row>
    <x:row r="3690" ht="96" customHeight="1">
      <x:c r="A3690" s="115" t="str">
        <x:v>EXT-MONDE-T074-V35</x:v>
      </x:c>
      <x:c r="B3690" s="115" t="str">
        <x:v>EXT-MONDE-T074</x:v>
      </x:c>
      <x:c r="C3690" s="115" t="str">
        <x:v>Ferroviaire</x:v>
      </x:c>
      <x:c r="D3690" s="115" t="str">
        <x:v>Gare terminus</x:v>
      </x:c>
      <x:c r="E3690" s="115" t="n">
        <x:v>35</x:v>
      </x:c>
      <x:c r="F3690" s="115" t="str">
        <x:v>Inspection physique</x:v>
      </x:c>
      <x:c r="G3690" s="115" t="str">
        <x:v>1 niveaux ; 36 pièces ; 265 segments de mur ; 0 transitions. Inspection physique ; architecture complète encore ouverte.</x:v>
      </x:c>
      <x:c r="H3690" s="115" t="str">
        <x:v>L 800 ; l 2500 ; hauteur 7,6 m ; choix de composition auteur ; dimensions réelles à documenter</x:v>
      </x:c>
      <x:c r="I3690" s="115" t="str">
        <x:v>À équilibrer</x:v>
      </x:c>
      <x:c r="J3690" s="115" t="str">
        <x:v>Non</x:v>
      </x:c>
      <x:c r="K3690" s="115" t="str">
        <x:v>Pièces décrites, murs, portes, niveaux et mobilier inspectables à l’échelle. Volumes réservés, raccord au seed, butin, rencontres et services de campagne restent à terminer.</x:v>
      </x:c>
    </x:row>
    <x:row r="3691" ht="96" customHeight="1">
      <x:c r="A3691" s="115" t="str">
        <x:v>EXT-MONDE-T074-V36</x:v>
      </x:c>
      <x:c r="B3691" s="115" t="str">
        <x:v>EXT-MONDE-T074</x:v>
      </x:c>
      <x:c r="C3691" s="115" t="str">
        <x:v>Ferroviaire</x:v>
      </x:c>
      <x:c r="D3691" s="115" t="str">
        <x:v>Gare terminus</x:v>
      </x:c>
      <x:c r="E3691" s="115" t="n">
        <x:v>36</x:v>
      </x:c>
      <x:c r="F3691" s="115" t="str">
        <x:v>Inspection physique</x:v>
      </x:c>
      <x:c r="G3691" s="115" t="str">
        <x:v>1 niveaux ; 36 pièces ; 265 segments de mur ; 0 transitions. Inspection physique ; architecture complète encore ouverte.</x:v>
      </x:c>
      <x:c r="H3691" s="115" t="str">
        <x:v>L 800 ; l 2500 ; hauteur 7,6 m ; choix de composition auteur ; dimensions réelles à documenter</x:v>
      </x:c>
      <x:c r="I3691" s="115" t="str">
        <x:v>À équilibrer</x:v>
      </x:c>
      <x:c r="J3691" s="115" t="str">
        <x:v>Non</x:v>
      </x:c>
      <x:c r="K3691" s="115" t="str">
        <x:v>Pièces décrites, murs, portes, niveaux et mobilier inspectables à l’échelle. Volumes réservés, raccord au seed, butin, rencontres et services de campagne restent à terminer.</x:v>
      </x:c>
    </x:row>
    <x:row r="3692" ht="96" customHeight="1">
      <x:c r="A3692" s="115" t="str">
        <x:v>EXT-MONDE-T074-V37</x:v>
      </x:c>
      <x:c r="B3692" s="115" t="str">
        <x:v>EXT-MONDE-T074</x:v>
      </x:c>
      <x:c r="C3692" s="115" t="str">
        <x:v>Ferroviaire</x:v>
      </x:c>
      <x:c r="D3692" s="115" t="str">
        <x:v>Gare terminus</x:v>
      </x:c>
      <x:c r="E3692" s="115" t="n">
        <x:v>37</x:v>
      </x:c>
      <x:c r="F3692" s="115" t="str">
        <x:v>Inspection physique</x:v>
      </x:c>
      <x:c r="G3692" s="115" t="str">
        <x:v>1 niveaux ; 36 pièces ; 265 segments de mur ; 0 transitions. Inspection physique ; architecture complète encore ouverte.</x:v>
      </x:c>
      <x:c r="H3692" s="115" t="str">
        <x:v>L 800 ; l 2500 ; hauteur 7,6 m ; choix de composition auteur ; dimensions réelles à documenter</x:v>
      </x:c>
      <x:c r="I3692" s="115" t="str">
        <x:v>À équilibrer</x:v>
      </x:c>
      <x:c r="J3692" s="115" t="str">
        <x:v>Non</x:v>
      </x:c>
      <x:c r="K3692" s="115" t="str">
        <x:v>Pièces décrites, murs, portes, niveaux et mobilier inspectables à l’échelle. Volumes réservés, raccord au seed, butin, rencontres et services de campagne restent à terminer.</x:v>
      </x:c>
    </x:row>
    <x:row r="3693" ht="96" customHeight="1">
      <x:c r="A3693" s="115" t="str">
        <x:v>EXT-MONDE-T074-V38</x:v>
      </x:c>
      <x:c r="B3693" s="115" t="str">
        <x:v>EXT-MONDE-T074</x:v>
      </x:c>
      <x:c r="C3693" s="115" t="str">
        <x:v>Ferroviaire</x:v>
      </x:c>
      <x:c r="D3693" s="115" t="str">
        <x:v>Gare terminus</x:v>
      </x:c>
      <x:c r="E3693" s="115" t="n">
        <x:v>38</x:v>
      </x:c>
      <x:c r="F3693" s="115" t="str">
        <x:v>Inspection physique</x:v>
      </x:c>
      <x:c r="G3693" s="115" t="str">
        <x:v>1 niveaux ; 36 pièces ; 265 segments de mur ; 0 transitions. Inspection physique ; architecture complète encore ouverte.</x:v>
      </x:c>
      <x:c r="H3693" s="115" t="str">
        <x:v>L 800 ; l 2500 ; hauteur 7,6 m ; choix de composition auteur ; dimensions réelles à documenter</x:v>
      </x:c>
      <x:c r="I3693" s="115" t="str">
        <x:v>À équilibrer</x:v>
      </x:c>
      <x:c r="J3693" s="115" t="str">
        <x:v>Non</x:v>
      </x:c>
      <x:c r="K3693" s="115" t="str">
        <x:v>Pièces décrites, murs, portes, niveaux et mobilier inspectables à l’échelle. Volumes réservés, raccord au seed, butin, rencontres et services de campagne restent à terminer.</x:v>
      </x:c>
    </x:row>
    <x:row r="3694" ht="96" customHeight="1">
      <x:c r="A3694" s="115" t="str">
        <x:v>EXT-MONDE-T074-V39</x:v>
      </x:c>
      <x:c r="B3694" s="115" t="str">
        <x:v>EXT-MONDE-T074</x:v>
      </x:c>
      <x:c r="C3694" s="115" t="str">
        <x:v>Ferroviaire</x:v>
      </x:c>
      <x:c r="D3694" s="115" t="str">
        <x:v>Gare terminus</x:v>
      </x:c>
      <x:c r="E3694" s="115" t="n">
        <x:v>39</x:v>
      </x:c>
      <x:c r="F3694" s="115" t="str">
        <x:v>Inspection physique</x:v>
      </x:c>
      <x:c r="G3694" s="115" t="str">
        <x:v>1 niveaux ; 36 pièces ; 265 segments de mur ; 0 transitions. Inspection physique ; architecture complète encore ouverte.</x:v>
      </x:c>
      <x:c r="H3694" s="115" t="str">
        <x:v>L 800 ; l 2500 ; hauteur 7,6 m ; choix de composition auteur ; dimensions réelles à documenter</x:v>
      </x:c>
      <x:c r="I3694" s="115" t="str">
        <x:v>À équilibrer</x:v>
      </x:c>
      <x:c r="J3694" s="115" t="str">
        <x:v>Non</x:v>
      </x:c>
      <x:c r="K3694" s="115" t="str">
        <x:v>Pièces décrites, murs, portes, niveaux et mobilier inspectables à l’échelle. Volumes réservés, raccord au seed, butin, rencontres et services de campagne restent à terminer.</x:v>
      </x:c>
    </x:row>
    <x:row r="3695" ht="96" customHeight="1">
      <x:c r="A3695" s="115" t="str">
        <x:v>EXT-MONDE-T074-V40</x:v>
      </x:c>
      <x:c r="B3695" s="115" t="str">
        <x:v>EXT-MONDE-T074</x:v>
      </x:c>
      <x:c r="C3695" s="115" t="str">
        <x:v>Ferroviaire</x:v>
      </x:c>
      <x:c r="D3695" s="115" t="str">
        <x:v>Gare terminus</x:v>
      </x:c>
      <x:c r="E3695" s="115" t="n">
        <x:v>40</x:v>
      </x:c>
      <x:c r="F3695" s="115" t="str">
        <x:v>Inspection physique</x:v>
      </x:c>
      <x:c r="G3695" s="115" t="str">
        <x:v>1 niveaux ; 36 pièces ; 265 segments de mur ; 0 transitions. Inspection physique ; architecture complète encore ouverte.</x:v>
      </x:c>
      <x:c r="H3695" s="115" t="str">
        <x:v>L 800 ; l 2500 ; hauteur 7,6 m ; choix de composition auteur ; dimensions réelles à documenter</x:v>
      </x:c>
      <x:c r="I3695" s="115" t="str">
        <x:v>À équilibrer</x:v>
      </x:c>
      <x:c r="J3695" s="115" t="str">
        <x:v>Non</x:v>
      </x:c>
      <x:c r="K3695" s="115" t="str">
        <x:v>Pièces décrites, murs, portes, niveaux et mobilier inspectables à l’échelle. Volumes réservés, raccord au seed, butin, rencontres et services de campagne restent à terminer.</x:v>
      </x:c>
    </x:row>
    <x:row r="3696" ht="96" customHeight="1">
      <x:c r="A3696" s="115" t="str">
        <x:v>EXT-MONDE-T074-V41</x:v>
      </x:c>
      <x:c r="B3696" s="115" t="str">
        <x:v>EXT-MONDE-T074</x:v>
      </x:c>
      <x:c r="C3696" s="115" t="str">
        <x:v>Ferroviaire</x:v>
      </x:c>
      <x:c r="D3696" s="115" t="str">
        <x:v>Gare terminus</x:v>
      </x:c>
      <x:c r="E3696" s="115" t="n">
        <x:v>41</x:v>
      </x:c>
      <x:c r="F3696" s="115" t="str">
        <x:v>Inspection physique</x:v>
      </x:c>
      <x:c r="G3696" s="115" t="str">
        <x:v>1 niveaux ; 36 pièces ; 265 segments de mur ; 0 transitions. Inspection physique ; architecture complète encore ouverte.</x:v>
      </x:c>
      <x:c r="H3696" s="115" t="str">
        <x:v>L 800 ; l 2700 ; hauteur 7,8 m ; choix de composition auteur ; dimensions réelles à documenter</x:v>
      </x:c>
      <x:c r="I3696" s="115" t="str">
        <x:v>À équilibrer</x:v>
      </x:c>
      <x:c r="J3696" s="115" t="str">
        <x:v>Non</x:v>
      </x:c>
      <x:c r="K3696" s="115" t="str">
        <x:v>Pièces décrites, murs, portes, niveaux et mobilier inspectables à l’échelle. Volumes réservés, raccord au seed, butin, rencontres et services de campagne restent à terminer.</x:v>
      </x:c>
    </x:row>
    <x:row r="3697" ht="96" customHeight="1">
      <x:c r="A3697" s="115" t="str">
        <x:v>EXT-MONDE-T074-V42</x:v>
      </x:c>
      <x:c r="B3697" s="115" t="str">
        <x:v>EXT-MONDE-T074</x:v>
      </x:c>
      <x:c r="C3697" s="115" t="str">
        <x:v>Ferroviaire</x:v>
      </x:c>
      <x:c r="D3697" s="115" t="str">
        <x:v>Gare terminus</x:v>
      </x:c>
      <x:c r="E3697" s="115" t="n">
        <x:v>42</x:v>
      </x:c>
      <x:c r="F3697" s="115" t="str">
        <x:v>Inspection physique</x:v>
      </x:c>
      <x:c r="G3697" s="115" t="str">
        <x:v>1 niveaux ; 36 pièces ; 265 segments de mur ; 0 transitions. Inspection physique ; architecture complète encore ouverte.</x:v>
      </x:c>
      <x:c r="H3697" s="115" t="str">
        <x:v>L 800 ; l 2700 ; hauteur 7,8 m ; choix de composition auteur ; dimensions réelles à documenter</x:v>
      </x:c>
      <x:c r="I3697" s="115" t="str">
        <x:v>À équilibrer</x:v>
      </x:c>
      <x:c r="J3697" s="115" t="str">
        <x:v>Non</x:v>
      </x:c>
      <x:c r="K3697" s="115" t="str">
        <x:v>Pièces décrites, murs, portes, niveaux et mobilier inspectables à l’échelle. Volumes réservés, raccord au seed, butin, rencontres et services de campagne restent à terminer.</x:v>
      </x:c>
    </x:row>
    <x:row r="3698" ht="96" customHeight="1">
      <x:c r="A3698" s="115" t="str">
        <x:v>EXT-MONDE-T074-V43</x:v>
      </x:c>
      <x:c r="B3698" s="115" t="str">
        <x:v>EXT-MONDE-T074</x:v>
      </x:c>
      <x:c r="C3698" s="115" t="str">
        <x:v>Ferroviaire</x:v>
      </x:c>
      <x:c r="D3698" s="115" t="str">
        <x:v>Gare terminus</x:v>
      </x:c>
      <x:c r="E3698" s="115" t="n">
        <x:v>43</x:v>
      </x:c>
      <x:c r="F3698" s="115" t="str">
        <x:v>Inspection physique</x:v>
      </x:c>
      <x:c r="G3698" s="115" t="str">
        <x:v>1 niveaux ; 36 pièces ; 265 segments de mur ; 0 transitions. Inspection physique ; architecture complète encore ouverte.</x:v>
      </x:c>
      <x:c r="H3698" s="115" t="str">
        <x:v>L 800 ; l 2700 ; hauteur 7,8 m ; choix de composition auteur ; dimensions réelles à documenter</x:v>
      </x:c>
      <x:c r="I3698" s="115" t="str">
        <x:v>À équilibrer</x:v>
      </x:c>
      <x:c r="J3698" s="115" t="str">
        <x:v>Non</x:v>
      </x:c>
      <x:c r="K3698" s="115" t="str">
        <x:v>Pièces décrites, murs, portes, niveaux et mobilier inspectables à l’échelle. Volumes réservés, raccord au seed, butin, rencontres et services de campagne restent à terminer.</x:v>
      </x:c>
    </x:row>
    <x:row r="3699" ht="96" customHeight="1">
      <x:c r="A3699" s="115" t="str">
        <x:v>EXT-MONDE-T074-V44</x:v>
      </x:c>
      <x:c r="B3699" s="115" t="str">
        <x:v>EXT-MONDE-T074</x:v>
      </x:c>
      <x:c r="C3699" s="115" t="str">
        <x:v>Ferroviaire</x:v>
      </x:c>
      <x:c r="D3699" s="115" t="str">
        <x:v>Gare terminus</x:v>
      </x:c>
      <x:c r="E3699" s="115" t="n">
        <x:v>44</x:v>
      </x:c>
      <x:c r="F3699" s="115" t="str">
        <x:v>Inspection physique</x:v>
      </x:c>
      <x:c r="G3699" s="115" t="str">
        <x:v>1 niveaux ; 36 pièces ; 265 segments de mur ; 0 transitions. Inspection physique ; architecture complète encore ouverte.</x:v>
      </x:c>
      <x:c r="H3699" s="115" t="str">
        <x:v>L 800 ; l 2700 ; hauteur 7,8 m ; choix de composition auteur ; dimensions réelles à documenter</x:v>
      </x:c>
      <x:c r="I3699" s="115" t="str">
        <x:v>À équilibrer</x:v>
      </x:c>
      <x:c r="J3699" s="115" t="str">
        <x:v>Non</x:v>
      </x:c>
      <x:c r="K3699" s="115" t="str">
        <x:v>Pièces décrites, murs, portes, niveaux et mobilier inspectables à l’échelle. Volumes réservés, raccord au seed, butin, rencontres et services de campagne restent à terminer.</x:v>
      </x:c>
    </x:row>
    <x:row r="3700" ht="96" customHeight="1">
      <x:c r="A3700" s="115" t="str">
        <x:v>EXT-MONDE-T074-V45</x:v>
      </x:c>
      <x:c r="B3700" s="115" t="str">
        <x:v>EXT-MONDE-T074</x:v>
      </x:c>
      <x:c r="C3700" s="115" t="str">
        <x:v>Ferroviaire</x:v>
      </x:c>
      <x:c r="D3700" s="115" t="str">
        <x:v>Gare terminus</x:v>
      </x:c>
      <x:c r="E3700" s="115" t="n">
        <x:v>45</x:v>
      </x:c>
      <x:c r="F3700" s="115" t="str">
        <x:v>Inspection physique</x:v>
      </x:c>
      <x:c r="G3700" s="115" t="str">
        <x:v>1 niveaux ; 36 pièces ; 265 segments de mur ; 0 transitions. Inspection physique ; architecture complète encore ouverte.</x:v>
      </x:c>
      <x:c r="H3700" s="115" t="str">
        <x:v>L 800 ; l 2700 ; hauteur 7,8 m ; choix de composition auteur ; dimensions réelles à documenter</x:v>
      </x:c>
      <x:c r="I3700" s="115" t="str">
        <x:v>À équilibrer</x:v>
      </x:c>
      <x:c r="J3700" s="115" t="str">
        <x:v>Non</x:v>
      </x:c>
      <x:c r="K3700" s="115" t="str">
        <x:v>Pièces décrites, murs, portes, niveaux et mobilier inspectables à l’échelle. Volumes réservés, raccord au seed, butin, rencontres et services de campagne restent à terminer.</x:v>
      </x:c>
    </x:row>
    <x:row r="3701" ht="96" customHeight="1">
      <x:c r="A3701" s="115" t="str">
        <x:v>EXT-MONDE-T074-V46</x:v>
      </x:c>
      <x:c r="B3701" s="115" t="str">
        <x:v>EXT-MONDE-T074</x:v>
      </x:c>
      <x:c r="C3701" s="115" t="str">
        <x:v>Ferroviaire</x:v>
      </x:c>
      <x:c r="D3701" s="115" t="str">
        <x:v>Gare terminus</x:v>
      </x:c>
      <x:c r="E3701" s="115" t="n">
        <x:v>46</x:v>
      </x:c>
      <x:c r="F3701" s="115" t="str">
        <x:v>Inspection physique</x:v>
      </x:c>
      <x:c r="G3701" s="115" t="str">
        <x:v>1 niveaux ; 36 pièces ; 265 segments de mur ; 0 transitions. Inspection physique ; architecture complète encore ouverte.</x:v>
      </x:c>
      <x:c r="H3701" s="115" t="str">
        <x:v>L 800 ; l 2700 ; hauteur 7,8 m ; choix de composition auteur ; dimensions réelles à documenter</x:v>
      </x:c>
      <x:c r="I3701" s="115" t="str">
        <x:v>À équilibrer</x:v>
      </x:c>
      <x:c r="J3701" s="115" t="str">
        <x:v>Non</x:v>
      </x:c>
      <x:c r="K3701" s="115" t="str">
        <x:v>Pièces décrites, murs, portes, niveaux et mobilier inspectables à l’échelle. Volumes réservés, raccord au seed, butin, rencontres et services de campagne restent à terminer.</x:v>
      </x:c>
    </x:row>
    <x:row r="3702" ht="96" customHeight="1">
      <x:c r="A3702" s="115" t="str">
        <x:v>EXT-MONDE-T074-V47</x:v>
      </x:c>
      <x:c r="B3702" s="115" t="str">
        <x:v>EXT-MONDE-T074</x:v>
      </x:c>
      <x:c r="C3702" s="115" t="str">
        <x:v>Ferroviaire</x:v>
      </x:c>
      <x:c r="D3702" s="115" t="str">
        <x:v>Gare terminus</x:v>
      </x:c>
      <x:c r="E3702" s="115" t="n">
        <x:v>47</x:v>
      </x:c>
      <x:c r="F3702" s="115" t="str">
        <x:v>Inspection physique</x:v>
      </x:c>
      <x:c r="G3702" s="115" t="str">
        <x:v>1 niveaux ; 36 pièces ; 265 segments de mur ; 0 transitions. Inspection physique ; architecture complète encore ouverte.</x:v>
      </x:c>
      <x:c r="H3702" s="115" t="str">
        <x:v>L 800 ; l 2700 ; hauteur 7,8 m ; choix de composition auteur ; dimensions réelles à documenter</x:v>
      </x:c>
      <x:c r="I3702" s="115" t="str">
        <x:v>À équilibrer</x:v>
      </x:c>
      <x:c r="J3702" s="115" t="str">
        <x:v>Non</x:v>
      </x:c>
      <x:c r="K3702" s="115" t="str">
        <x:v>Pièces décrites, murs, portes, niveaux et mobilier inspectables à l’échelle. Volumes réservés, raccord au seed, butin, rencontres et services de campagne restent à terminer.</x:v>
      </x:c>
    </x:row>
    <x:row r="3703" ht="96" customHeight="1">
      <x:c r="A3703" s="115" t="str">
        <x:v>EXT-MONDE-T074-V48</x:v>
      </x:c>
      <x:c r="B3703" s="115" t="str">
        <x:v>EXT-MONDE-T074</x:v>
      </x:c>
      <x:c r="C3703" s="115" t="str">
        <x:v>Ferroviaire</x:v>
      </x:c>
      <x:c r="D3703" s="115" t="str">
        <x:v>Gare terminus</x:v>
      </x:c>
      <x:c r="E3703" s="115" t="n">
        <x:v>48</x:v>
      </x:c>
      <x:c r="F3703" s="115" t="str">
        <x:v>Inspection physique</x:v>
      </x:c>
      <x:c r="G3703" s="115" t="str">
        <x:v>1 niveaux ; 36 pièces ; 265 segments de mur ; 0 transitions. Inspection physique ; architecture complète encore ouverte.</x:v>
      </x:c>
      <x:c r="H3703" s="115" t="str">
        <x:v>L 800 ; l 2700 ; hauteur 7,8 m ; choix de composition auteur ; dimensions réelles à documenter</x:v>
      </x:c>
      <x:c r="I3703" s="115" t="str">
        <x:v>À équilibrer</x:v>
      </x:c>
      <x:c r="J3703" s="115" t="str">
        <x:v>Non</x:v>
      </x:c>
      <x:c r="K3703" s="115" t="str">
        <x:v>Pièces décrites, murs, portes, niveaux et mobilier inspectables à l’échelle. Volumes réservés, raccord au seed, butin, rencontres et services de campagne restent à terminer.</x:v>
      </x:c>
    </x:row>
    <x:row r="3704" ht="96" customHeight="1">
      <x:c r="A3704" s="115" t="str">
        <x:v>EXT-MONDE-T074-V49</x:v>
      </x:c>
      <x:c r="B3704" s="115" t="str">
        <x:v>EXT-MONDE-T074</x:v>
      </x:c>
      <x:c r="C3704" s="115" t="str">
        <x:v>Ferroviaire</x:v>
      </x:c>
      <x:c r="D3704" s="115" t="str">
        <x:v>Gare terminus</x:v>
      </x:c>
      <x:c r="E3704" s="115" t="n">
        <x:v>49</x:v>
      </x:c>
      <x:c r="F3704" s="115" t="str">
        <x:v>Inspection physique</x:v>
      </x:c>
      <x:c r="G3704" s="115" t="str">
        <x:v>1 niveaux ; 36 pièces ; 265 segments de mur ; 0 transitions. Inspection physique ; architecture complète encore ouverte.</x:v>
      </x:c>
      <x:c r="H3704" s="115" t="str">
        <x:v>L 800 ; l 2700 ; hauteur 7,8 m ; choix de composition auteur ; dimensions réelles à documenter</x:v>
      </x:c>
      <x:c r="I3704" s="115" t="str">
        <x:v>À équilibrer</x:v>
      </x:c>
      <x:c r="J3704" s="115" t="str">
        <x:v>Non</x:v>
      </x:c>
      <x:c r="K3704" s="115" t="str">
        <x:v>Pièces décrites, murs, portes, niveaux et mobilier inspectables à l’échelle. Volumes réservés, raccord au seed, butin, rencontres et services de campagne restent à terminer.</x:v>
      </x:c>
    </x:row>
    <x:row r="3705" ht="96" customHeight="1">
      <x:c r="A3705" s="115" t="str">
        <x:v>EXT-MONDE-T074-V50</x:v>
      </x:c>
      <x:c r="B3705" s="115" t="str">
        <x:v>EXT-MONDE-T074</x:v>
      </x:c>
      <x:c r="C3705" s="115" t="str">
        <x:v>Ferroviaire</x:v>
      </x:c>
      <x:c r="D3705" s="115" t="str">
        <x:v>Gare terminus</x:v>
      </x:c>
      <x:c r="E3705" s="115" t="n">
        <x:v>50</x:v>
      </x:c>
      <x:c r="F3705" s="115" t="str">
        <x:v>Inspection physique</x:v>
      </x:c>
      <x:c r="G3705" s="115" t="str">
        <x:v>1 niveaux ; 36 pièces ; 265 segments de mur ; 0 transitions. Inspection physique ; architecture complète encore ouverte.</x:v>
      </x:c>
      <x:c r="H3705" s="115" t="str">
        <x:v>L 800 ; l 2700 ; hauteur 7,8 m ; choix de composition auteur ; dimensions réelles à documenter</x:v>
      </x:c>
      <x:c r="I3705" s="115" t="str">
        <x:v>À équilibrer</x:v>
      </x:c>
      <x:c r="J3705" s="115" t="str">
        <x:v>Non</x:v>
      </x:c>
      <x:c r="K3705" s="115" t="str">
        <x:v>Pièces décrites, murs, portes, niveaux et mobilier inspectables à l’échelle. Volumes réservés, raccord au seed, butin, rencontres et services de campagne restent à terminer.</x:v>
      </x:c>
    </x:row>
    <x:row r="3706" ht="96" customHeight="1">
      <x:c r="A3706" s="115" t="str">
        <x:v>EXT-MONDE-T075-V01</x:v>
      </x:c>
      <x:c r="B3706" s="115" t="str">
        <x:v>EXT-MONDE-T075</x:v>
      </x:c>
      <x:c r="C3706" s="115" t="str">
        <x:v>Ferroviaire</x:v>
      </x:c>
      <x:c r="D3706" s="115" t="str">
        <x:v>Gare de triage</x:v>
      </x:c>
      <x:c r="E3706" s="115" t="n">
        <x:v>1</x:v>
      </x:c>
      <x:c r="F3706" s="115" t="str">
        <x:v>Inspection physique</x:v>
      </x:c>
      <x:c r="G3706" s="115" t="str">
        <x:v>1 niveaux ; 36 pièces ; 265 segments de mur ; 0 transitions. Inspection physique ; architecture complète encore ouverte.</x:v>
      </x:c>
      <x:c r="H3706" s="115" t="str">
        <x:v>L 800 ; l 2500 ; hauteur 7 m ; choix de composition auteur ; dimensions réelles à documenter</x:v>
      </x:c>
      <x:c r="I3706" s="115" t="str">
        <x:v>À équilibrer</x:v>
      </x:c>
      <x:c r="J3706" s="115" t="str">
        <x:v>Non</x:v>
      </x:c>
      <x:c r="K3706" s="115" t="str">
        <x:v>Pièces décrites, murs, portes, niveaux et mobilier inspectables à l’échelle. Volumes réservés, raccord au seed, butin, rencontres et services de campagne restent à terminer.</x:v>
      </x:c>
    </x:row>
    <x:row r="3707" ht="96" customHeight="1">
      <x:c r="A3707" s="115" t="str">
        <x:v>EXT-MONDE-T075-V02</x:v>
      </x:c>
      <x:c r="B3707" s="115" t="str">
        <x:v>EXT-MONDE-T075</x:v>
      </x:c>
      <x:c r="C3707" s="115" t="str">
        <x:v>Ferroviaire</x:v>
      </x:c>
      <x:c r="D3707" s="115" t="str">
        <x:v>Gare de triage</x:v>
      </x:c>
      <x:c r="E3707" s="115" t="n">
        <x:v>2</x:v>
      </x:c>
      <x:c r="F3707" s="115" t="str">
        <x:v>Inspection physique</x:v>
      </x:c>
      <x:c r="G3707" s="115" t="str">
        <x:v>1 niveaux ; 36 pièces ; 265 segments de mur ; 0 transitions. Inspection physique ; architecture complète encore ouverte.</x:v>
      </x:c>
      <x:c r="H3707" s="115" t="str">
        <x:v>L 800 ; l 2500 ; hauteur 7 m ; choix de composition auteur ; dimensions réelles à documenter</x:v>
      </x:c>
      <x:c r="I3707" s="115" t="str">
        <x:v>À équilibrer</x:v>
      </x:c>
      <x:c r="J3707" s="115" t="str">
        <x:v>Non</x:v>
      </x:c>
      <x:c r="K3707" s="115" t="str">
        <x:v>Pièces décrites, murs, portes, niveaux et mobilier inspectables à l’échelle. Volumes réservés, raccord au seed, butin, rencontres et services de campagne restent à terminer.</x:v>
      </x:c>
    </x:row>
    <x:row r="3708" ht="96" customHeight="1">
      <x:c r="A3708" s="115" t="str">
        <x:v>EXT-MONDE-T075-V03</x:v>
      </x:c>
      <x:c r="B3708" s="115" t="str">
        <x:v>EXT-MONDE-T075</x:v>
      </x:c>
      <x:c r="C3708" s="115" t="str">
        <x:v>Ferroviaire</x:v>
      </x:c>
      <x:c r="D3708" s="115" t="str">
        <x:v>Gare de triage</x:v>
      </x:c>
      <x:c r="E3708" s="115" t="n">
        <x:v>3</x:v>
      </x:c>
      <x:c r="F3708" s="115" t="str">
        <x:v>Inspection physique</x:v>
      </x:c>
      <x:c r="G3708" s="115" t="str">
        <x:v>1 niveaux ; 36 pièces ; 265 segments de mur ; 0 transitions. Inspection physique ; architecture complète encore ouverte.</x:v>
      </x:c>
      <x:c r="H3708" s="115" t="str">
        <x:v>L 800 ; l 2500 ; hauteur 7 m ; choix de composition auteur ; dimensions réelles à documenter</x:v>
      </x:c>
      <x:c r="I3708" s="115" t="str">
        <x:v>À équilibrer</x:v>
      </x:c>
      <x:c r="J3708" s="115" t="str">
        <x:v>Non</x:v>
      </x:c>
      <x:c r="K3708" s="115" t="str">
        <x:v>Pièces décrites, murs, portes, niveaux et mobilier inspectables à l’échelle. Volumes réservés, raccord au seed, butin, rencontres et services de campagne restent à terminer.</x:v>
      </x:c>
    </x:row>
    <x:row r="3709" ht="96" customHeight="1">
      <x:c r="A3709" s="115" t="str">
        <x:v>EXT-MONDE-T075-V04</x:v>
      </x:c>
      <x:c r="B3709" s="115" t="str">
        <x:v>EXT-MONDE-T075</x:v>
      </x:c>
      <x:c r="C3709" s="115" t="str">
        <x:v>Ferroviaire</x:v>
      </x:c>
      <x:c r="D3709" s="115" t="str">
        <x:v>Gare de triage</x:v>
      </x:c>
      <x:c r="E3709" s="115" t="n">
        <x:v>4</x:v>
      </x:c>
      <x:c r="F3709" s="115" t="str">
        <x:v>Inspection physique</x:v>
      </x:c>
      <x:c r="G3709" s="115" t="str">
        <x:v>1 niveaux ; 36 pièces ; 265 segments de mur ; 0 transitions. Inspection physique ; architecture complète encore ouverte.</x:v>
      </x:c>
      <x:c r="H3709" s="115" t="str">
        <x:v>L 800 ; l 2500 ; hauteur 7 m ; choix de composition auteur ; dimensions réelles à documenter</x:v>
      </x:c>
      <x:c r="I3709" s="115" t="str">
        <x:v>À équilibrer</x:v>
      </x:c>
      <x:c r="J3709" s="115" t="str">
        <x:v>Non</x:v>
      </x:c>
      <x:c r="K3709" s="115" t="str">
        <x:v>Pièces décrites, murs, portes, niveaux et mobilier inspectables à l’échelle. Volumes réservés, raccord au seed, butin, rencontres et services de campagne restent à terminer.</x:v>
      </x:c>
    </x:row>
    <x:row r="3710" ht="96" customHeight="1">
      <x:c r="A3710" s="115" t="str">
        <x:v>EXT-MONDE-T075-V05</x:v>
      </x:c>
      <x:c r="B3710" s="115" t="str">
        <x:v>EXT-MONDE-T075</x:v>
      </x:c>
      <x:c r="C3710" s="115" t="str">
        <x:v>Ferroviaire</x:v>
      </x:c>
      <x:c r="D3710" s="115" t="str">
        <x:v>Gare de triage</x:v>
      </x:c>
      <x:c r="E3710" s="115" t="n">
        <x:v>5</x:v>
      </x:c>
      <x:c r="F3710" s="115" t="str">
        <x:v>Inspection physique</x:v>
      </x:c>
      <x:c r="G3710" s="115" t="str">
        <x:v>1 niveaux ; 36 pièces ; 265 segments de mur ; 0 transitions. Inspection physique ; architecture complète encore ouverte.</x:v>
      </x:c>
      <x:c r="H3710" s="115" t="str">
        <x:v>L 800 ; l 2500 ; hauteur 7 m ; choix de composition auteur ; dimensions réelles à documenter</x:v>
      </x:c>
      <x:c r="I3710" s="115" t="str">
        <x:v>À équilibrer</x:v>
      </x:c>
      <x:c r="J3710" s="115" t="str">
        <x:v>Non</x:v>
      </x:c>
      <x:c r="K3710" s="115" t="str">
        <x:v>Pièces décrites, murs, portes, niveaux et mobilier inspectables à l’échelle. Volumes réservés, raccord au seed, butin, rencontres et services de campagne restent à terminer.</x:v>
      </x:c>
    </x:row>
    <x:row r="3711" ht="96" customHeight="1">
      <x:c r="A3711" s="115" t="str">
        <x:v>EXT-MONDE-T075-V06</x:v>
      </x:c>
      <x:c r="B3711" s="115" t="str">
        <x:v>EXT-MONDE-T075</x:v>
      </x:c>
      <x:c r="C3711" s="115" t="str">
        <x:v>Ferroviaire</x:v>
      </x:c>
      <x:c r="D3711" s="115" t="str">
        <x:v>Gare de triage</x:v>
      </x:c>
      <x:c r="E3711" s="115" t="n">
        <x:v>6</x:v>
      </x:c>
      <x:c r="F3711" s="115" t="str">
        <x:v>Inspection physique</x:v>
      </x:c>
      <x:c r="G3711" s="115" t="str">
        <x:v>1 niveaux ; 36 pièces ; 265 segments de mur ; 0 transitions. Inspection physique ; architecture complète encore ouverte.</x:v>
      </x:c>
      <x:c r="H3711" s="115" t="str">
        <x:v>L 800 ; l 2500 ; hauteur 7 m ; choix de composition auteur ; dimensions réelles à documenter</x:v>
      </x:c>
      <x:c r="I3711" s="115" t="str">
        <x:v>À équilibrer</x:v>
      </x:c>
      <x:c r="J3711" s="115" t="str">
        <x:v>Non</x:v>
      </x:c>
      <x:c r="K3711" s="115" t="str">
        <x:v>Pièces décrites, murs, portes, niveaux et mobilier inspectables à l’échelle. Volumes réservés, raccord au seed, butin, rencontres et services de campagne restent à terminer.</x:v>
      </x:c>
    </x:row>
    <x:row r="3712" ht="96" customHeight="1">
      <x:c r="A3712" s="115" t="str">
        <x:v>EXT-MONDE-T075-V07</x:v>
      </x:c>
      <x:c r="B3712" s="115" t="str">
        <x:v>EXT-MONDE-T075</x:v>
      </x:c>
      <x:c r="C3712" s="115" t="str">
        <x:v>Ferroviaire</x:v>
      </x:c>
      <x:c r="D3712" s="115" t="str">
        <x:v>Gare de triage</x:v>
      </x:c>
      <x:c r="E3712" s="115" t="n">
        <x:v>7</x:v>
      </x:c>
      <x:c r="F3712" s="115" t="str">
        <x:v>Inspection physique</x:v>
      </x:c>
      <x:c r="G3712" s="115" t="str">
        <x:v>1 niveaux ; 36 pièces ; 265 segments de mur ; 0 transitions. Inspection physique ; architecture complète encore ouverte.</x:v>
      </x:c>
      <x:c r="H3712" s="115" t="str">
        <x:v>L 800 ; l 2500 ; hauteur 7 m ; choix de composition auteur ; dimensions réelles à documenter</x:v>
      </x:c>
      <x:c r="I3712" s="115" t="str">
        <x:v>À équilibrer</x:v>
      </x:c>
      <x:c r="J3712" s="115" t="str">
        <x:v>Non</x:v>
      </x:c>
      <x:c r="K3712" s="115" t="str">
        <x:v>Pièces décrites, murs, portes, niveaux et mobilier inspectables à l’échelle. Volumes réservés, raccord au seed, butin, rencontres et services de campagne restent à terminer.</x:v>
      </x:c>
    </x:row>
    <x:row r="3713" ht="96" customHeight="1">
      <x:c r="A3713" s="115" t="str">
        <x:v>EXT-MONDE-T075-V08</x:v>
      </x:c>
      <x:c r="B3713" s="115" t="str">
        <x:v>EXT-MONDE-T075</x:v>
      </x:c>
      <x:c r="C3713" s="115" t="str">
        <x:v>Ferroviaire</x:v>
      </x:c>
      <x:c r="D3713" s="115" t="str">
        <x:v>Gare de triage</x:v>
      </x:c>
      <x:c r="E3713" s="115" t="n">
        <x:v>8</x:v>
      </x:c>
      <x:c r="F3713" s="115" t="str">
        <x:v>Inspection physique</x:v>
      </x:c>
      <x:c r="G3713" s="115" t="str">
        <x:v>1 niveaux ; 36 pièces ; 265 segments de mur ; 0 transitions. Inspection physique ; architecture complète encore ouverte.</x:v>
      </x:c>
      <x:c r="H3713" s="115" t="str">
        <x:v>L 800 ; l 2500 ; hauteur 7 m ; choix de composition auteur ; dimensions réelles à documenter</x:v>
      </x:c>
      <x:c r="I3713" s="115" t="str">
        <x:v>À équilibrer</x:v>
      </x:c>
      <x:c r="J3713" s="115" t="str">
        <x:v>Non</x:v>
      </x:c>
      <x:c r="K3713" s="115" t="str">
        <x:v>Pièces décrites, murs, portes, niveaux et mobilier inspectables à l’échelle. Volumes réservés, raccord au seed, butin, rencontres et services de campagne restent à terminer.</x:v>
      </x:c>
    </x:row>
    <x:row r="3714" ht="96" customHeight="1">
      <x:c r="A3714" s="115" t="str">
        <x:v>EXT-MONDE-T075-V09</x:v>
      </x:c>
      <x:c r="B3714" s="115" t="str">
        <x:v>EXT-MONDE-T075</x:v>
      </x:c>
      <x:c r="C3714" s="115" t="str">
        <x:v>Ferroviaire</x:v>
      </x:c>
      <x:c r="D3714" s="115" t="str">
        <x:v>Gare de triage</x:v>
      </x:c>
      <x:c r="E3714" s="115" t="n">
        <x:v>9</x:v>
      </x:c>
      <x:c r="F3714" s="115" t="str">
        <x:v>Inspection physique</x:v>
      </x:c>
      <x:c r="G3714" s="115" t="str">
        <x:v>1 niveaux ; 36 pièces ; 265 segments de mur ; 0 transitions. Inspection physique ; architecture complète encore ouverte.</x:v>
      </x:c>
      <x:c r="H3714" s="115" t="str">
        <x:v>L 800 ; l 2500 ; hauteur 7 m ; choix de composition auteur ; dimensions réelles à documenter</x:v>
      </x:c>
      <x:c r="I3714" s="115" t="str">
        <x:v>À équilibrer</x:v>
      </x:c>
      <x:c r="J3714" s="115" t="str">
        <x:v>Non</x:v>
      </x:c>
      <x:c r="K3714" s="115" t="str">
        <x:v>Pièces décrites, murs, portes, niveaux et mobilier inspectables à l’échelle. Volumes réservés, raccord au seed, butin, rencontres et services de campagne restent à terminer.</x:v>
      </x:c>
    </x:row>
    <x:row r="3715" ht="96" customHeight="1">
      <x:c r="A3715" s="115" t="str">
        <x:v>EXT-MONDE-T075-V10</x:v>
      </x:c>
      <x:c r="B3715" s="115" t="str">
        <x:v>EXT-MONDE-T075</x:v>
      </x:c>
      <x:c r="C3715" s="115" t="str">
        <x:v>Ferroviaire</x:v>
      </x:c>
      <x:c r="D3715" s="115" t="str">
        <x:v>Gare de triage</x:v>
      </x:c>
      <x:c r="E3715" s="115" t="n">
        <x:v>10</x:v>
      </x:c>
      <x:c r="F3715" s="115" t="str">
        <x:v>Inspection physique</x:v>
      </x:c>
      <x:c r="G3715" s="115" t="str">
        <x:v>1 niveaux ; 36 pièces ; 265 segments de mur ; 0 transitions. Inspection physique ; architecture complète encore ouverte.</x:v>
      </x:c>
      <x:c r="H3715" s="115" t="str">
        <x:v>L 800 ; l 2500 ; hauteur 7 m ; choix de composition auteur ; dimensions réelles à documenter</x:v>
      </x:c>
      <x:c r="I3715" s="115" t="str">
        <x:v>À équilibrer</x:v>
      </x:c>
      <x:c r="J3715" s="115" t="str">
        <x:v>Non</x:v>
      </x:c>
      <x:c r="K3715" s="115" t="str">
        <x:v>Pièces décrites, murs, portes, niveaux et mobilier inspectables à l’échelle. Volumes réservés, raccord au seed, butin, rencontres et services de campagne restent à terminer.</x:v>
      </x:c>
    </x:row>
    <x:row r="3716" ht="96" customHeight="1">
      <x:c r="A3716" s="115" t="str">
        <x:v>EXT-MONDE-T075-V11</x:v>
      </x:c>
      <x:c r="B3716" s="115" t="str">
        <x:v>EXT-MONDE-T075</x:v>
      </x:c>
      <x:c r="C3716" s="115" t="str">
        <x:v>Ferroviaire</x:v>
      </x:c>
      <x:c r="D3716" s="115" t="str">
        <x:v>Gare de triage</x:v>
      </x:c>
      <x:c r="E3716" s="115" t="n">
        <x:v>11</x:v>
      </x:c>
      <x:c r="F3716" s="115" t="str">
        <x:v>Inspection physique</x:v>
      </x:c>
      <x:c r="G3716" s="115" t="str">
        <x:v>1 niveaux ; 36 pièces ; 265 segments de mur ; 0 transitions. Inspection physique ; architecture complète encore ouverte.</x:v>
      </x:c>
      <x:c r="H3716" s="115" t="str">
        <x:v>L 800 ; l 2700 ; hauteur 7,2 m ; choix de composition auteur ; dimensions réelles à documenter</x:v>
      </x:c>
      <x:c r="I3716" s="115" t="str">
        <x:v>À équilibrer</x:v>
      </x:c>
      <x:c r="J3716" s="115" t="str">
        <x:v>Non</x:v>
      </x:c>
      <x:c r="K3716" s="115" t="str">
        <x:v>Pièces décrites, murs, portes, niveaux et mobilier inspectables à l’échelle. Volumes réservés, raccord au seed, butin, rencontres et services de campagne restent à terminer.</x:v>
      </x:c>
    </x:row>
    <x:row r="3717" ht="96" customHeight="1">
      <x:c r="A3717" s="115" t="str">
        <x:v>EXT-MONDE-T075-V12</x:v>
      </x:c>
      <x:c r="B3717" s="115" t="str">
        <x:v>EXT-MONDE-T075</x:v>
      </x:c>
      <x:c r="C3717" s="115" t="str">
        <x:v>Ferroviaire</x:v>
      </x:c>
      <x:c r="D3717" s="115" t="str">
        <x:v>Gare de triage</x:v>
      </x:c>
      <x:c r="E3717" s="115" t="n">
        <x:v>12</x:v>
      </x:c>
      <x:c r="F3717" s="115" t="str">
        <x:v>Inspection physique</x:v>
      </x:c>
      <x:c r="G3717" s="115" t="str">
        <x:v>1 niveaux ; 36 pièces ; 265 segments de mur ; 0 transitions. Inspection physique ; architecture complète encore ouverte.</x:v>
      </x:c>
      <x:c r="H3717" s="115" t="str">
        <x:v>L 800 ; l 2700 ; hauteur 7,2 m ; choix de composition auteur ; dimensions réelles à documenter</x:v>
      </x:c>
      <x:c r="I3717" s="115" t="str">
        <x:v>À équilibrer</x:v>
      </x:c>
      <x:c r="J3717" s="115" t="str">
        <x:v>Non</x:v>
      </x:c>
      <x:c r="K3717" s="115" t="str">
        <x:v>Pièces décrites, murs, portes, niveaux et mobilier inspectables à l’échelle. Volumes réservés, raccord au seed, butin, rencontres et services de campagne restent à terminer.</x:v>
      </x:c>
    </x:row>
    <x:row r="3718" ht="96" customHeight="1">
      <x:c r="A3718" s="115" t="str">
        <x:v>EXT-MONDE-T075-V13</x:v>
      </x:c>
      <x:c r="B3718" s="115" t="str">
        <x:v>EXT-MONDE-T075</x:v>
      </x:c>
      <x:c r="C3718" s="115" t="str">
        <x:v>Ferroviaire</x:v>
      </x:c>
      <x:c r="D3718" s="115" t="str">
        <x:v>Gare de triage</x:v>
      </x:c>
      <x:c r="E3718" s="115" t="n">
        <x:v>13</x:v>
      </x:c>
      <x:c r="F3718" s="115" t="str">
        <x:v>Inspection physique</x:v>
      </x:c>
      <x:c r="G3718" s="115" t="str">
        <x:v>1 niveaux ; 36 pièces ; 265 segments de mur ; 0 transitions. Inspection physique ; architecture complète encore ouverte.</x:v>
      </x:c>
      <x:c r="H3718" s="115" t="str">
        <x:v>L 800 ; l 2700 ; hauteur 7,2 m ; choix de composition auteur ; dimensions réelles à documenter</x:v>
      </x:c>
      <x:c r="I3718" s="115" t="str">
        <x:v>À équilibrer</x:v>
      </x:c>
      <x:c r="J3718" s="115" t="str">
        <x:v>Non</x:v>
      </x:c>
      <x:c r="K3718" s="115" t="str">
        <x:v>Pièces décrites, murs, portes, niveaux et mobilier inspectables à l’échelle. Volumes réservés, raccord au seed, butin, rencontres et services de campagne restent à terminer.</x:v>
      </x:c>
    </x:row>
    <x:row r="3719" ht="96" customHeight="1">
      <x:c r="A3719" s="115" t="str">
        <x:v>EXT-MONDE-T075-V14</x:v>
      </x:c>
      <x:c r="B3719" s="115" t="str">
        <x:v>EXT-MONDE-T075</x:v>
      </x:c>
      <x:c r="C3719" s="115" t="str">
        <x:v>Ferroviaire</x:v>
      </x:c>
      <x:c r="D3719" s="115" t="str">
        <x:v>Gare de triage</x:v>
      </x:c>
      <x:c r="E3719" s="115" t="n">
        <x:v>14</x:v>
      </x:c>
      <x:c r="F3719" s="115" t="str">
        <x:v>Inspection physique</x:v>
      </x:c>
      <x:c r="G3719" s="115" t="str">
        <x:v>1 niveaux ; 36 pièces ; 265 segments de mur ; 0 transitions. Inspection physique ; architecture complète encore ouverte.</x:v>
      </x:c>
      <x:c r="H3719" s="115" t="str">
        <x:v>L 800 ; l 2700 ; hauteur 7,2 m ; choix de composition auteur ; dimensions réelles à documenter</x:v>
      </x:c>
      <x:c r="I3719" s="115" t="str">
        <x:v>À équilibrer</x:v>
      </x:c>
      <x:c r="J3719" s="115" t="str">
        <x:v>Non</x:v>
      </x:c>
      <x:c r="K3719" s="115" t="str">
        <x:v>Pièces décrites, murs, portes, niveaux et mobilier inspectables à l’échelle. Volumes réservés, raccord au seed, butin, rencontres et services de campagne restent à terminer.</x:v>
      </x:c>
    </x:row>
    <x:row r="3720" ht="96" customHeight="1">
      <x:c r="A3720" s="115" t="str">
        <x:v>EXT-MONDE-T075-V15</x:v>
      </x:c>
      <x:c r="B3720" s="115" t="str">
        <x:v>EXT-MONDE-T075</x:v>
      </x:c>
      <x:c r="C3720" s="115" t="str">
        <x:v>Ferroviaire</x:v>
      </x:c>
      <x:c r="D3720" s="115" t="str">
        <x:v>Gare de triage</x:v>
      </x:c>
      <x:c r="E3720" s="115" t="n">
        <x:v>15</x:v>
      </x:c>
      <x:c r="F3720" s="115" t="str">
        <x:v>Inspection physique</x:v>
      </x:c>
      <x:c r="G3720" s="115" t="str">
        <x:v>1 niveaux ; 36 pièces ; 265 segments de mur ; 0 transitions. Inspection physique ; architecture complète encore ouverte.</x:v>
      </x:c>
      <x:c r="H3720" s="115" t="str">
        <x:v>L 800 ; l 2700 ; hauteur 7,2 m ; choix de composition auteur ; dimensions réelles à documenter</x:v>
      </x:c>
      <x:c r="I3720" s="115" t="str">
        <x:v>À équilibrer</x:v>
      </x:c>
      <x:c r="J3720" s="115" t="str">
        <x:v>Non</x:v>
      </x:c>
      <x:c r="K3720" s="115" t="str">
        <x:v>Pièces décrites, murs, portes, niveaux et mobilier inspectables à l’échelle. Volumes réservés, raccord au seed, butin, rencontres et services de campagne restent à terminer.</x:v>
      </x:c>
    </x:row>
    <x:row r="3721" ht="96" customHeight="1">
      <x:c r="A3721" s="115" t="str">
        <x:v>EXT-MONDE-T075-V16</x:v>
      </x:c>
      <x:c r="B3721" s="115" t="str">
        <x:v>EXT-MONDE-T075</x:v>
      </x:c>
      <x:c r="C3721" s="115" t="str">
        <x:v>Ferroviaire</x:v>
      </x:c>
      <x:c r="D3721" s="115" t="str">
        <x:v>Gare de triage</x:v>
      </x:c>
      <x:c r="E3721" s="115" t="n">
        <x:v>16</x:v>
      </x:c>
      <x:c r="F3721" s="115" t="str">
        <x:v>Inspection physique</x:v>
      </x:c>
      <x:c r="G3721" s="115" t="str">
        <x:v>1 niveaux ; 36 pièces ; 265 segments de mur ; 0 transitions. Inspection physique ; architecture complète encore ouverte.</x:v>
      </x:c>
      <x:c r="H3721" s="115" t="str">
        <x:v>L 800 ; l 2700 ; hauteur 7,2 m ; choix de composition auteur ; dimensions réelles à documenter</x:v>
      </x:c>
      <x:c r="I3721" s="115" t="str">
        <x:v>À équilibrer</x:v>
      </x:c>
      <x:c r="J3721" s="115" t="str">
        <x:v>Non</x:v>
      </x:c>
      <x:c r="K3721" s="115" t="str">
        <x:v>Pièces décrites, murs, portes, niveaux et mobilier inspectables à l’échelle. Volumes réservés, raccord au seed, butin, rencontres et services de campagne restent à terminer.</x:v>
      </x:c>
    </x:row>
    <x:row r="3722" ht="96" customHeight="1">
      <x:c r="A3722" s="115" t="str">
        <x:v>EXT-MONDE-T075-V17</x:v>
      </x:c>
      <x:c r="B3722" s="115" t="str">
        <x:v>EXT-MONDE-T075</x:v>
      </x:c>
      <x:c r="C3722" s="115" t="str">
        <x:v>Ferroviaire</x:v>
      </x:c>
      <x:c r="D3722" s="115" t="str">
        <x:v>Gare de triage</x:v>
      </x:c>
      <x:c r="E3722" s="115" t="n">
        <x:v>17</x:v>
      </x:c>
      <x:c r="F3722" s="115" t="str">
        <x:v>Inspection physique</x:v>
      </x:c>
      <x:c r="G3722" s="115" t="str">
        <x:v>1 niveaux ; 36 pièces ; 265 segments de mur ; 0 transitions. Inspection physique ; architecture complète encore ouverte.</x:v>
      </x:c>
      <x:c r="H3722" s="115" t="str">
        <x:v>L 800 ; l 2700 ; hauteur 7,2 m ; choix de composition auteur ; dimensions réelles à documenter</x:v>
      </x:c>
      <x:c r="I3722" s="115" t="str">
        <x:v>À équilibrer</x:v>
      </x:c>
      <x:c r="J3722" s="115" t="str">
        <x:v>Non</x:v>
      </x:c>
      <x:c r="K3722" s="115" t="str">
        <x:v>Pièces décrites, murs, portes, niveaux et mobilier inspectables à l’échelle. Volumes réservés, raccord au seed, butin, rencontres et services de campagne restent à terminer.</x:v>
      </x:c>
    </x:row>
    <x:row r="3723" ht="96" customHeight="1">
      <x:c r="A3723" s="115" t="str">
        <x:v>EXT-MONDE-T075-V18</x:v>
      </x:c>
      <x:c r="B3723" s="115" t="str">
        <x:v>EXT-MONDE-T075</x:v>
      </x:c>
      <x:c r="C3723" s="115" t="str">
        <x:v>Ferroviaire</x:v>
      </x:c>
      <x:c r="D3723" s="115" t="str">
        <x:v>Gare de triage</x:v>
      </x:c>
      <x:c r="E3723" s="115" t="n">
        <x:v>18</x:v>
      </x:c>
      <x:c r="F3723" s="115" t="str">
        <x:v>Inspection physique</x:v>
      </x:c>
      <x:c r="G3723" s="115" t="str">
        <x:v>1 niveaux ; 36 pièces ; 265 segments de mur ; 0 transitions. Inspection physique ; architecture complète encore ouverte.</x:v>
      </x:c>
      <x:c r="H3723" s="115" t="str">
        <x:v>L 800 ; l 2700 ; hauteur 7,2 m ; choix de composition auteur ; dimensions réelles à documenter</x:v>
      </x:c>
      <x:c r="I3723" s="115" t="str">
        <x:v>À équilibrer</x:v>
      </x:c>
      <x:c r="J3723" s="115" t="str">
        <x:v>Non</x:v>
      </x:c>
      <x:c r="K3723" s="115" t="str">
        <x:v>Pièces décrites, murs, portes, niveaux et mobilier inspectables à l’échelle. Volumes réservés, raccord au seed, butin, rencontres et services de campagne restent à terminer.</x:v>
      </x:c>
    </x:row>
    <x:row r="3724" ht="96" customHeight="1">
      <x:c r="A3724" s="115" t="str">
        <x:v>EXT-MONDE-T075-V19</x:v>
      </x:c>
      <x:c r="B3724" s="115" t="str">
        <x:v>EXT-MONDE-T075</x:v>
      </x:c>
      <x:c r="C3724" s="115" t="str">
        <x:v>Ferroviaire</x:v>
      </x:c>
      <x:c r="D3724" s="115" t="str">
        <x:v>Gare de triage</x:v>
      </x:c>
      <x:c r="E3724" s="115" t="n">
        <x:v>19</x:v>
      </x:c>
      <x:c r="F3724" s="115" t="str">
        <x:v>Inspection physique</x:v>
      </x:c>
      <x:c r="G3724" s="115" t="str">
        <x:v>1 niveaux ; 36 pièces ; 265 segments de mur ; 0 transitions. Inspection physique ; architecture complète encore ouverte.</x:v>
      </x:c>
      <x:c r="H3724" s="115" t="str">
        <x:v>L 800 ; l 2700 ; hauteur 7,2 m ; choix de composition auteur ; dimensions réelles à documenter</x:v>
      </x:c>
      <x:c r="I3724" s="115" t="str">
        <x:v>À équilibrer</x:v>
      </x:c>
      <x:c r="J3724" s="115" t="str">
        <x:v>Non</x:v>
      </x:c>
      <x:c r="K3724" s="115" t="str">
        <x:v>Pièces décrites, murs, portes, niveaux et mobilier inspectables à l’échelle. Volumes réservés, raccord au seed, butin, rencontres et services de campagne restent à terminer.</x:v>
      </x:c>
    </x:row>
    <x:row r="3725" ht="96" customHeight="1">
      <x:c r="A3725" s="115" t="str">
        <x:v>EXT-MONDE-T075-V20</x:v>
      </x:c>
      <x:c r="B3725" s="115" t="str">
        <x:v>EXT-MONDE-T075</x:v>
      </x:c>
      <x:c r="C3725" s="115" t="str">
        <x:v>Ferroviaire</x:v>
      </x:c>
      <x:c r="D3725" s="115" t="str">
        <x:v>Gare de triage</x:v>
      </x:c>
      <x:c r="E3725" s="115" t="n">
        <x:v>20</x:v>
      </x:c>
      <x:c r="F3725" s="115" t="str">
        <x:v>Inspection physique</x:v>
      </x:c>
      <x:c r="G3725" s="115" t="str">
        <x:v>1 niveaux ; 36 pièces ; 265 segments de mur ; 0 transitions. Inspection physique ; architecture complète encore ouverte.</x:v>
      </x:c>
      <x:c r="H3725" s="115" t="str">
        <x:v>L 800 ; l 2700 ; hauteur 7,2 m ; choix de composition auteur ; dimensions réelles à documenter</x:v>
      </x:c>
      <x:c r="I3725" s="115" t="str">
        <x:v>À équilibrer</x:v>
      </x:c>
      <x:c r="J3725" s="115" t="str">
        <x:v>Non</x:v>
      </x:c>
      <x:c r="K3725" s="115" t="str">
        <x:v>Pièces décrites, murs, portes, niveaux et mobilier inspectables à l’échelle. Volumes réservés, raccord au seed, butin, rencontres et services de campagne restent à terminer.</x:v>
      </x:c>
    </x:row>
    <x:row r="3726" ht="96" customHeight="1">
      <x:c r="A3726" s="115" t="str">
        <x:v>EXT-MONDE-T075-V21</x:v>
      </x:c>
      <x:c r="B3726" s="115" t="str">
        <x:v>EXT-MONDE-T075</x:v>
      </x:c>
      <x:c r="C3726" s="115" t="str">
        <x:v>Ferroviaire</x:v>
      </x:c>
      <x:c r="D3726" s="115" t="str">
        <x:v>Gare de triage</x:v>
      </x:c>
      <x:c r="E3726" s="115" t="n">
        <x:v>21</x:v>
      </x:c>
      <x:c r="F3726" s="115" t="str">
        <x:v>Inspection physique</x:v>
      </x:c>
      <x:c r="G3726" s="115" t="str">
        <x:v>1 niveaux ; 36 pièces ; 265 segments de mur ; 0 transitions. Inspection physique ; architecture complète encore ouverte.</x:v>
      </x:c>
      <x:c r="H3726" s="115" t="str">
        <x:v>L 800 ; l 2900 ; hauteur 7,4 m ; choix de composition auteur ; dimensions réelles à documenter</x:v>
      </x:c>
      <x:c r="I3726" s="115" t="str">
        <x:v>À équilibrer</x:v>
      </x:c>
      <x:c r="J3726" s="115" t="str">
        <x:v>Non</x:v>
      </x:c>
      <x:c r="K3726" s="115" t="str">
        <x:v>Pièces décrites, murs, portes, niveaux et mobilier inspectables à l’échelle. Volumes réservés, raccord au seed, butin, rencontres et services de campagne restent à terminer.</x:v>
      </x:c>
    </x:row>
    <x:row r="3727" ht="96" customHeight="1">
      <x:c r="A3727" s="115" t="str">
        <x:v>EXT-MONDE-T075-V22</x:v>
      </x:c>
      <x:c r="B3727" s="115" t="str">
        <x:v>EXT-MONDE-T075</x:v>
      </x:c>
      <x:c r="C3727" s="115" t="str">
        <x:v>Ferroviaire</x:v>
      </x:c>
      <x:c r="D3727" s="115" t="str">
        <x:v>Gare de triage</x:v>
      </x:c>
      <x:c r="E3727" s="115" t="n">
        <x:v>22</x:v>
      </x:c>
      <x:c r="F3727" s="115" t="str">
        <x:v>Inspection physique</x:v>
      </x:c>
      <x:c r="G3727" s="115" t="str">
        <x:v>1 niveaux ; 36 pièces ; 265 segments de mur ; 0 transitions. Inspection physique ; architecture complète encore ouverte.</x:v>
      </x:c>
      <x:c r="H3727" s="115" t="str">
        <x:v>L 800 ; l 2900 ; hauteur 7,4 m ; choix de composition auteur ; dimensions réelles à documenter</x:v>
      </x:c>
      <x:c r="I3727" s="115" t="str">
        <x:v>À équilibrer</x:v>
      </x:c>
      <x:c r="J3727" s="115" t="str">
        <x:v>Non</x:v>
      </x:c>
      <x:c r="K3727" s="115" t="str">
        <x:v>Pièces décrites, murs, portes, niveaux et mobilier inspectables à l’échelle. Volumes réservés, raccord au seed, butin, rencontres et services de campagne restent à terminer.</x:v>
      </x:c>
    </x:row>
    <x:row r="3728" ht="96" customHeight="1">
      <x:c r="A3728" s="115" t="str">
        <x:v>EXT-MONDE-T075-V23</x:v>
      </x:c>
      <x:c r="B3728" s="115" t="str">
        <x:v>EXT-MONDE-T075</x:v>
      </x:c>
      <x:c r="C3728" s="115" t="str">
        <x:v>Ferroviaire</x:v>
      </x:c>
      <x:c r="D3728" s="115" t="str">
        <x:v>Gare de triage</x:v>
      </x:c>
      <x:c r="E3728" s="115" t="n">
        <x:v>23</x:v>
      </x:c>
      <x:c r="F3728" s="115" t="str">
        <x:v>Inspection physique</x:v>
      </x:c>
      <x:c r="G3728" s="115" t="str">
        <x:v>1 niveaux ; 36 pièces ; 265 segments de mur ; 0 transitions. Inspection physique ; architecture complète encore ouverte.</x:v>
      </x:c>
      <x:c r="H3728" s="115" t="str">
        <x:v>L 800 ; l 2900 ; hauteur 7,4 m ; choix de composition auteur ; dimensions réelles à documenter</x:v>
      </x:c>
      <x:c r="I3728" s="115" t="str">
        <x:v>À équilibrer</x:v>
      </x:c>
      <x:c r="J3728" s="115" t="str">
        <x:v>Non</x:v>
      </x:c>
      <x:c r="K3728" s="115" t="str">
        <x:v>Pièces décrites, murs, portes, niveaux et mobilier inspectables à l’échelle. Volumes réservés, raccord au seed, butin, rencontres et services de campagne restent à terminer.</x:v>
      </x:c>
    </x:row>
    <x:row r="3729" ht="96" customHeight="1">
      <x:c r="A3729" s="115" t="str">
        <x:v>EXT-MONDE-T075-V24</x:v>
      </x:c>
      <x:c r="B3729" s="115" t="str">
        <x:v>EXT-MONDE-T075</x:v>
      </x:c>
      <x:c r="C3729" s="115" t="str">
        <x:v>Ferroviaire</x:v>
      </x:c>
      <x:c r="D3729" s="115" t="str">
        <x:v>Gare de triage</x:v>
      </x:c>
      <x:c r="E3729" s="115" t="n">
        <x:v>24</x:v>
      </x:c>
      <x:c r="F3729" s="115" t="str">
        <x:v>Inspection physique</x:v>
      </x:c>
      <x:c r="G3729" s="115" t="str">
        <x:v>1 niveaux ; 36 pièces ; 265 segments de mur ; 0 transitions. Inspection physique ; architecture complète encore ouverte.</x:v>
      </x:c>
      <x:c r="H3729" s="115" t="str">
        <x:v>L 800 ; l 2900 ; hauteur 7,4 m ; choix de composition auteur ; dimensions réelles à documenter</x:v>
      </x:c>
      <x:c r="I3729" s="115" t="str">
        <x:v>À équilibrer</x:v>
      </x:c>
      <x:c r="J3729" s="115" t="str">
        <x:v>Non</x:v>
      </x:c>
      <x:c r="K3729" s="115" t="str">
        <x:v>Pièces décrites, murs, portes, niveaux et mobilier inspectables à l’échelle. Volumes réservés, raccord au seed, butin, rencontres et services de campagne restent à terminer.</x:v>
      </x:c>
    </x:row>
    <x:row r="3730" ht="96" customHeight="1">
      <x:c r="A3730" s="115" t="str">
        <x:v>EXT-MONDE-T075-V25</x:v>
      </x:c>
      <x:c r="B3730" s="115" t="str">
        <x:v>EXT-MONDE-T075</x:v>
      </x:c>
      <x:c r="C3730" s="115" t="str">
        <x:v>Ferroviaire</x:v>
      </x:c>
      <x:c r="D3730" s="115" t="str">
        <x:v>Gare de triage</x:v>
      </x:c>
      <x:c r="E3730" s="115" t="n">
        <x:v>25</x:v>
      </x:c>
      <x:c r="F3730" s="115" t="str">
        <x:v>Inspection physique</x:v>
      </x:c>
      <x:c r="G3730" s="115" t="str">
        <x:v>1 niveaux ; 36 pièces ; 265 segments de mur ; 0 transitions. Inspection physique ; architecture complète encore ouverte.</x:v>
      </x:c>
      <x:c r="H3730" s="115" t="str">
        <x:v>L 800 ; l 2900 ; hauteur 7,4 m ; choix de composition auteur ; dimensions réelles à documenter</x:v>
      </x:c>
      <x:c r="I3730" s="115" t="str">
        <x:v>À équilibrer</x:v>
      </x:c>
      <x:c r="J3730" s="115" t="str">
        <x:v>Non</x:v>
      </x:c>
      <x:c r="K3730" s="115" t="str">
        <x:v>Pièces décrites, murs, portes, niveaux et mobilier inspectables à l’échelle. Volumes réservés, raccord au seed, butin, rencontres et services de campagne restent à terminer.</x:v>
      </x:c>
    </x:row>
    <x:row r="3731" ht="96" customHeight="1">
      <x:c r="A3731" s="115" t="str">
        <x:v>EXT-MONDE-T075-V26</x:v>
      </x:c>
      <x:c r="B3731" s="115" t="str">
        <x:v>EXT-MONDE-T075</x:v>
      </x:c>
      <x:c r="C3731" s="115" t="str">
        <x:v>Ferroviaire</x:v>
      </x:c>
      <x:c r="D3731" s="115" t="str">
        <x:v>Gare de triage</x:v>
      </x:c>
      <x:c r="E3731" s="115" t="n">
        <x:v>26</x:v>
      </x:c>
      <x:c r="F3731" s="115" t="str">
        <x:v>Inspection physique</x:v>
      </x:c>
      <x:c r="G3731" s="115" t="str">
        <x:v>1 niveaux ; 36 pièces ; 265 segments de mur ; 0 transitions. Inspection physique ; architecture complète encore ouverte.</x:v>
      </x:c>
      <x:c r="H3731" s="115" t="str">
        <x:v>L 800 ; l 2900 ; hauteur 7,4 m ; choix de composition auteur ; dimensions réelles à documenter</x:v>
      </x:c>
      <x:c r="I3731" s="115" t="str">
        <x:v>À équilibrer</x:v>
      </x:c>
      <x:c r="J3731" s="115" t="str">
        <x:v>Non</x:v>
      </x:c>
      <x:c r="K3731" s="115" t="str">
        <x:v>Pièces décrites, murs, portes, niveaux et mobilier inspectables à l’échelle. Volumes réservés, raccord au seed, butin, rencontres et services de campagne restent à terminer.</x:v>
      </x:c>
    </x:row>
    <x:row r="3732" ht="96" customHeight="1">
      <x:c r="A3732" s="115" t="str">
        <x:v>EXT-MONDE-T075-V27</x:v>
      </x:c>
      <x:c r="B3732" s="115" t="str">
        <x:v>EXT-MONDE-T075</x:v>
      </x:c>
      <x:c r="C3732" s="115" t="str">
        <x:v>Ferroviaire</x:v>
      </x:c>
      <x:c r="D3732" s="115" t="str">
        <x:v>Gare de triage</x:v>
      </x:c>
      <x:c r="E3732" s="115" t="n">
        <x:v>27</x:v>
      </x:c>
      <x:c r="F3732" s="115" t="str">
        <x:v>Inspection physique</x:v>
      </x:c>
      <x:c r="G3732" s="115" t="str">
        <x:v>1 niveaux ; 36 pièces ; 265 segments de mur ; 0 transitions. Inspection physique ; architecture complète encore ouverte.</x:v>
      </x:c>
      <x:c r="H3732" s="115" t="str">
        <x:v>L 800 ; l 2900 ; hauteur 7,4 m ; choix de composition auteur ; dimensions réelles à documenter</x:v>
      </x:c>
      <x:c r="I3732" s="115" t="str">
        <x:v>À équilibrer</x:v>
      </x:c>
      <x:c r="J3732" s="115" t="str">
        <x:v>Non</x:v>
      </x:c>
      <x:c r="K3732" s="115" t="str">
        <x:v>Pièces décrites, murs, portes, niveaux et mobilier inspectables à l’échelle. Volumes réservés, raccord au seed, butin, rencontres et services de campagne restent à terminer.</x:v>
      </x:c>
    </x:row>
    <x:row r="3733" ht="96" customHeight="1">
      <x:c r="A3733" s="115" t="str">
        <x:v>EXT-MONDE-T075-V28</x:v>
      </x:c>
      <x:c r="B3733" s="115" t="str">
        <x:v>EXT-MONDE-T075</x:v>
      </x:c>
      <x:c r="C3733" s="115" t="str">
        <x:v>Ferroviaire</x:v>
      </x:c>
      <x:c r="D3733" s="115" t="str">
        <x:v>Gare de triage</x:v>
      </x:c>
      <x:c r="E3733" s="115" t="n">
        <x:v>28</x:v>
      </x:c>
      <x:c r="F3733" s="115" t="str">
        <x:v>Inspection physique</x:v>
      </x:c>
      <x:c r="G3733" s="115" t="str">
        <x:v>1 niveaux ; 36 pièces ; 265 segments de mur ; 0 transitions. Inspection physique ; architecture complète encore ouverte.</x:v>
      </x:c>
      <x:c r="H3733" s="115" t="str">
        <x:v>L 800 ; l 2900 ; hauteur 7,4 m ; choix de composition auteur ; dimensions réelles à documenter</x:v>
      </x:c>
      <x:c r="I3733" s="115" t="str">
        <x:v>À équilibrer</x:v>
      </x:c>
      <x:c r="J3733" s="115" t="str">
        <x:v>Non</x:v>
      </x:c>
      <x:c r="K3733" s="115" t="str">
        <x:v>Pièces décrites, murs, portes, niveaux et mobilier inspectables à l’échelle. Volumes réservés, raccord au seed, butin, rencontres et services de campagne restent à terminer.</x:v>
      </x:c>
    </x:row>
    <x:row r="3734" ht="96" customHeight="1">
      <x:c r="A3734" s="115" t="str">
        <x:v>EXT-MONDE-T075-V29</x:v>
      </x:c>
      <x:c r="B3734" s="115" t="str">
        <x:v>EXT-MONDE-T075</x:v>
      </x:c>
      <x:c r="C3734" s="115" t="str">
        <x:v>Ferroviaire</x:v>
      </x:c>
      <x:c r="D3734" s="115" t="str">
        <x:v>Gare de triage</x:v>
      </x:c>
      <x:c r="E3734" s="115" t="n">
        <x:v>29</x:v>
      </x:c>
      <x:c r="F3734" s="115" t="str">
        <x:v>Inspection physique</x:v>
      </x:c>
      <x:c r="G3734" s="115" t="str">
        <x:v>1 niveaux ; 36 pièces ; 265 segments de mur ; 0 transitions. Inspection physique ; architecture complète encore ouverte.</x:v>
      </x:c>
      <x:c r="H3734" s="115" t="str">
        <x:v>L 800 ; l 2900 ; hauteur 7,4 m ; choix de composition auteur ; dimensions réelles à documenter</x:v>
      </x:c>
      <x:c r="I3734" s="115" t="str">
        <x:v>À équilibrer</x:v>
      </x:c>
      <x:c r="J3734" s="115" t="str">
        <x:v>Non</x:v>
      </x:c>
      <x:c r="K3734" s="115" t="str">
        <x:v>Pièces décrites, murs, portes, niveaux et mobilier inspectables à l’échelle. Volumes réservés, raccord au seed, butin, rencontres et services de campagne restent à terminer.</x:v>
      </x:c>
    </x:row>
    <x:row r="3735" ht="96" customHeight="1">
      <x:c r="A3735" s="115" t="str">
        <x:v>EXT-MONDE-T075-V30</x:v>
      </x:c>
      <x:c r="B3735" s="115" t="str">
        <x:v>EXT-MONDE-T075</x:v>
      </x:c>
      <x:c r="C3735" s="115" t="str">
        <x:v>Ferroviaire</x:v>
      </x:c>
      <x:c r="D3735" s="115" t="str">
        <x:v>Gare de triage</x:v>
      </x:c>
      <x:c r="E3735" s="115" t="n">
        <x:v>30</x:v>
      </x:c>
      <x:c r="F3735" s="115" t="str">
        <x:v>Inspection physique</x:v>
      </x:c>
      <x:c r="G3735" s="115" t="str">
        <x:v>1 niveaux ; 36 pièces ; 265 segments de mur ; 0 transitions. Inspection physique ; architecture complète encore ouverte.</x:v>
      </x:c>
      <x:c r="H3735" s="115" t="str">
        <x:v>L 800 ; l 2900 ; hauteur 7,4 m ; choix de composition auteur ; dimensions réelles à documenter</x:v>
      </x:c>
      <x:c r="I3735" s="115" t="str">
        <x:v>À équilibrer</x:v>
      </x:c>
      <x:c r="J3735" s="115" t="str">
        <x:v>Non</x:v>
      </x:c>
      <x:c r="K3735" s="115" t="str">
        <x:v>Pièces décrites, murs, portes, niveaux et mobilier inspectables à l’échelle. Volumes réservés, raccord au seed, butin, rencontres et services de campagne restent à terminer.</x:v>
      </x:c>
    </x:row>
    <x:row r="3736" ht="96" customHeight="1">
      <x:c r="A3736" s="115" t="str">
        <x:v>EXT-MONDE-T075-V31</x:v>
      </x:c>
      <x:c r="B3736" s="115" t="str">
        <x:v>EXT-MONDE-T075</x:v>
      </x:c>
      <x:c r="C3736" s="115" t="str">
        <x:v>Ferroviaire</x:v>
      </x:c>
      <x:c r="D3736" s="115" t="str">
        <x:v>Gare de triage</x:v>
      </x:c>
      <x:c r="E3736" s="115" t="n">
        <x:v>31</x:v>
      </x:c>
      <x:c r="F3736" s="115" t="str">
        <x:v>Inspection physique</x:v>
      </x:c>
      <x:c r="G3736" s="115" t="str">
        <x:v>1 niveaux ; 36 pièces ; 265 segments de mur ; 0 transitions. Inspection physique ; architecture complète encore ouverte.</x:v>
      </x:c>
      <x:c r="H3736" s="115" t="str">
        <x:v>L 800 ; l 3100 ; hauteur 7,6 m ; choix de composition auteur ; dimensions réelles à documenter</x:v>
      </x:c>
      <x:c r="I3736" s="115" t="str">
        <x:v>À équilibrer</x:v>
      </x:c>
      <x:c r="J3736" s="115" t="str">
        <x:v>Non</x:v>
      </x:c>
      <x:c r="K3736" s="115" t="str">
        <x:v>Pièces décrites, murs, portes, niveaux et mobilier inspectables à l’échelle. Volumes réservés, raccord au seed, butin, rencontres et services de campagne restent à terminer.</x:v>
      </x:c>
    </x:row>
    <x:row r="3737" ht="96" customHeight="1">
      <x:c r="A3737" s="115" t="str">
        <x:v>EXT-MONDE-T075-V32</x:v>
      </x:c>
      <x:c r="B3737" s="115" t="str">
        <x:v>EXT-MONDE-T075</x:v>
      </x:c>
      <x:c r="C3737" s="115" t="str">
        <x:v>Ferroviaire</x:v>
      </x:c>
      <x:c r="D3737" s="115" t="str">
        <x:v>Gare de triage</x:v>
      </x:c>
      <x:c r="E3737" s="115" t="n">
        <x:v>32</x:v>
      </x:c>
      <x:c r="F3737" s="115" t="str">
        <x:v>Inspection physique</x:v>
      </x:c>
      <x:c r="G3737" s="115" t="str">
        <x:v>1 niveaux ; 36 pièces ; 265 segments de mur ; 0 transitions. Inspection physique ; architecture complète encore ouverte.</x:v>
      </x:c>
      <x:c r="H3737" s="115" t="str">
        <x:v>L 800 ; l 3100 ; hauteur 7,6 m ; choix de composition auteur ; dimensions réelles à documenter</x:v>
      </x:c>
      <x:c r="I3737" s="115" t="str">
        <x:v>À équilibrer</x:v>
      </x:c>
      <x:c r="J3737" s="115" t="str">
        <x:v>Non</x:v>
      </x:c>
      <x:c r="K3737" s="115" t="str">
        <x:v>Pièces décrites, murs, portes, niveaux et mobilier inspectables à l’échelle. Volumes réservés, raccord au seed, butin, rencontres et services de campagne restent à terminer.</x:v>
      </x:c>
    </x:row>
    <x:row r="3738" ht="96" customHeight="1">
      <x:c r="A3738" s="115" t="str">
        <x:v>EXT-MONDE-T075-V33</x:v>
      </x:c>
      <x:c r="B3738" s="115" t="str">
        <x:v>EXT-MONDE-T075</x:v>
      </x:c>
      <x:c r="C3738" s="115" t="str">
        <x:v>Ferroviaire</x:v>
      </x:c>
      <x:c r="D3738" s="115" t="str">
        <x:v>Gare de triage</x:v>
      </x:c>
      <x:c r="E3738" s="115" t="n">
        <x:v>33</x:v>
      </x:c>
      <x:c r="F3738" s="115" t="str">
        <x:v>Inspection physique</x:v>
      </x:c>
      <x:c r="G3738" s="115" t="str">
        <x:v>1 niveaux ; 36 pièces ; 265 segments de mur ; 0 transitions. Inspection physique ; architecture complète encore ouverte.</x:v>
      </x:c>
      <x:c r="H3738" s="115" t="str">
        <x:v>L 800 ; l 3100 ; hauteur 7,6 m ; choix de composition auteur ; dimensions réelles à documenter</x:v>
      </x:c>
      <x:c r="I3738" s="115" t="str">
        <x:v>À équilibrer</x:v>
      </x:c>
      <x:c r="J3738" s="115" t="str">
        <x:v>Non</x:v>
      </x:c>
      <x:c r="K3738" s="115" t="str">
        <x:v>Pièces décrites, murs, portes, niveaux et mobilier inspectables à l’échelle. Volumes réservés, raccord au seed, butin, rencontres et services de campagne restent à terminer.</x:v>
      </x:c>
    </x:row>
    <x:row r="3739" ht="96" customHeight="1">
      <x:c r="A3739" s="115" t="str">
        <x:v>EXT-MONDE-T075-V34</x:v>
      </x:c>
      <x:c r="B3739" s="115" t="str">
        <x:v>EXT-MONDE-T075</x:v>
      </x:c>
      <x:c r="C3739" s="115" t="str">
        <x:v>Ferroviaire</x:v>
      </x:c>
      <x:c r="D3739" s="115" t="str">
        <x:v>Gare de triage</x:v>
      </x:c>
      <x:c r="E3739" s="115" t="n">
        <x:v>34</x:v>
      </x:c>
      <x:c r="F3739" s="115" t="str">
        <x:v>Inspection physique</x:v>
      </x:c>
      <x:c r="G3739" s="115" t="str">
        <x:v>1 niveaux ; 36 pièces ; 265 segments de mur ; 0 transitions. Inspection physique ; architecture complète encore ouverte.</x:v>
      </x:c>
      <x:c r="H3739" s="115" t="str">
        <x:v>L 800 ; l 3100 ; hauteur 7,6 m ; choix de composition auteur ; dimensions réelles à documenter</x:v>
      </x:c>
      <x:c r="I3739" s="115" t="str">
        <x:v>À équilibrer</x:v>
      </x:c>
      <x:c r="J3739" s="115" t="str">
        <x:v>Non</x:v>
      </x:c>
      <x:c r="K3739" s="115" t="str">
        <x:v>Pièces décrites, murs, portes, niveaux et mobilier inspectables à l’échelle. Volumes réservés, raccord au seed, butin, rencontres et services de campagne restent à terminer.</x:v>
      </x:c>
    </x:row>
    <x:row r="3740" ht="96" customHeight="1">
      <x:c r="A3740" s="115" t="str">
        <x:v>EXT-MONDE-T075-V35</x:v>
      </x:c>
      <x:c r="B3740" s="115" t="str">
        <x:v>EXT-MONDE-T075</x:v>
      </x:c>
      <x:c r="C3740" s="115" t="str">
        <x:v>Ferroviaire</x:v>
      </x:c>
      <x:c r="D3740" s="115" t="str">
        <x:v>Gare de triage</x:v>
      </x:c>
      <x:c r="E3740" s="115" t="n">
        <x:v>35</x:v>
      </x:c>
      <x:c r="F3740" s="115" t="str">
        <x:v>Inspection physique</x:v>
      </x:c>
      <x:c r="G3740" s="115" t="str">
        <x:v>1 niveaux ; 36 pièces ; 265 segments de mur ; 0 transitions. Inspection physique ; architecture complète encore ouverte.</x:v>
      </x:c>
      <x:c r="H3740" s="115" t="str">
        <x:v>L 800 ; l 3100 ; hauteur 7,6 m ; choix de composition auteur ; dimensions réelles à documenter</x:v>
      </x:c>
      <x:c r="I3740" s="115" t="str">
        <x:v>À équilibrer</x:v>
      </x:c>
      <x:c r="J3740" s="115" t="str">
        <x:v>Non</x:v>
      </x:c>
      <x:c r="K3740" s="115" t="str">
        <x:v>Pièces décrites, murs, portes, niveaux et mobilier inspectables à l’échelle. Volumes réservés, raccord au seed, butin, rencontres et services de campagne restent à terminer.</x:v>
      </x:c>
    </x:row>
    <x:row r="3741" ht="96" customHeight="1">
      <x:c r="A3741" s="115" t="str">
        <x:v>EXT-MONDE-T075-V36</x:v>
      </x:c>
      <x:c r="B3741" s="115" t="str">
        <x:v>EXT-MONDE-T075</x:v>
      </x:c>
      <x:c r="C3741" s="115" t="str">
        <x:v>Ferroviaire</x:v>
      </x:c>
      <x:c r="D3741" s="115" t="str">
        <x:v>Gare de triage</x:v>
      </x:c>
      <x:c r="E3741" s="115" t="n">
        <x:v>36</x:v>
      </x:c>
      <x:c r="F3741" s="115" t="str">
        <x:v>Inspection physique</x:v>
      </x:c>
      <x:c r="G3741" s="115" t="str">
        <x:v>1 niveaux ; 36 pièces ; 265 segments de mur ; 0 transitions. Inspection physique ; architecture complète encore ouverte.</x:v>
      </x:c>
      <x:c r="H3741" s="115" t="str">
        <x:v>L 800 ; l 3100 ; hauteur 7,6 m ; choix de composition auteur ; dimensions réelles à documenter</x:v>
      </x:c>
      <x:c r="I3741" s="115" t="str">
        <x:v>À équilibrer</x:v>
      </x:c>
      <x:c r="J3741" s="115" t="str">
        <x:v>Non</x:v>
      </x:c>
      <x:c r="K3741" s="115" t="str">
        <x:v>Pièces décrites, murs, portes, niveaux et mobilier inspectables à l’échelle. Volumes réservés, raccord au seed, butin, rencontres et services de campagne restent à terminer.</x:v>
      </x:c>
    </x:row>
    <x:row r="3742" ht="96" customHeight="1">
      <x:c r="A3742" s="115" t="str">
        <x:v>EXT-MONDE-T075-V37</x:v>
      </x:c>
      <x:c r="B3742" s="115" t="str">
        <x:v>EXT-MONDE-T075</x:v>
      </x:c>
      <x:c r="C3742" s="115" t="str">
        <x:v>Ferroviaire</x:v>
      </x:c>
      <x:c r="D3742" s="115" t="str">
        <x:v>Gare de triage</x:v>
      </x:c>
      <x:c r="E3742" s="115" t="n">
        <x:v>37</x:v>
      </x:c>
      <x:c r="F3742" s="115" t="str">
        <x:v>Inspection physique</x:v>
      </x:c>
      <x:c r="G3742" s="115" t="str">
        <x:v>1 niveaux ; 36 pièces ; 265 segments de mur ; 0 transitions. Inspection physique ; architecture complète encore ouverte.</x:v>
      </x:c>
      <x:c r="H3742" s="115" t="str">
        <x:v>L 800 ; l 3100 ; hauteur 7,6 m ; choix de composition auteur ; dimensions réelles à documenter</x:v>
      </x:c>
      <x:c r="I3742" s="115" t="str">
        <x:v>À équilibrer</x:v>
      </x:c>
      <x:c r="J3742" s="115" t="str">
        <x:v>Non</x:v>
      </x:c>
      <x:c r="K3742" s="115" t="str">
        <x:v>Pièces décrites, murs, portes, niveaux et mobilier inspectables à l’échelle. Volumes réservés, raccord au seed, butin, rencontres et services de campagne restent à terminer.</x:v>
      </x:c>
    </x:row>
    <x:row r="3743" ht="96" customHeight="1">
      <x:c r="A3743" s="115" t="str">
        <x:v>EXT-MONDE-T075-V38</x:v>
      </x:c>
      <x:c r="B3743" s="115" t="str">
        <x:v>EXT-MONDE-T075</x:v>
      </x:c>
      <x:c r="C3743" s="115" t="str">
        <x:v>Ferroviaire</x:v>
      </x:c>
      <x:c r="D3743" s="115" t="str">
        <x:v>Gare de triage</x:v>
      </x:c>
      <x:c r="E3743" s="115" t="n">
        <x:v>38</x:v>
      </x:c>
      <x:c r="F3743" s="115" t="str">
        <x:v>Inspection physique</x:v>
      </x:c>
      <x:c r="G3743" s="115" t="str">
        <x:v>1 niveaux ; 36 pièces ; 265 segments de mur ; 0 transitions. Inspection physique ; architecture complète encore ouverte.</x:v>
      </x:c>
      <x:c r="H3743" s="115" t="str">
        <x:v>L 800 ; l 3100 ; hauteur 7,6 m ; choix de composition auteur ; dimensions réelles à documenter</x:v>
      </x:c>
      <x:c r="I3743" s="115" t="str">
        <x:v>À équilibrer</x:v>
      </x:c>
      <x:c r="J3743" s="115" t="str">
        <x:v>Non</x:v>
      </x:c>
      <x:c r="K3743" s="115" t="str">
        <x:v>Pièces décrites, murs, portes, niveaux et mobilier inspectables à l’échelle. Volumes réservés, raccord au seed, butin, rencontres et services de campagne restent à terminer.</x:v>
      </x:c>
    </x:row>
    <x:row r="3744" ht="96" customHeight="1">
      <x:c r="A3744" s="115" t="str">
        <x:v>EXT-MONDE-T075-V39</x:v>
      </x:c>
      <x:c r="B3744" s="115" t="str">
        <x:v>EXT-MONDE-T075</x:v>
      </x:c>
      <x:c r="C3744" s="115" t="str">
        <x:v>Ferroviaire</x:v>
      </x:c>
      <x:c r="D3744" s="115" t="str">
        <x:v>Gare de triage</x:v>
      </x:c>
      <x:c r="E3744" s="115" t="n">
        <x:v>39</x:v>
      </x:c>
      <x:c r="F3744" s="115" t="str">
        <x:v>Inspection physique</x:v>
      </x:c>
      <x:c r="G3744" s="115" t="str">
        <x:v>1 niveaux ; 36 pièces ; 265 segments de mur ; 0 transitions. Inspection physique ; architecture complète encore ouverte.</x:v>
      </x:c>
      <x:c r="H3744" s="115" t="str">
        <x:v>L 800 ; l 3100 ; hauteur 7,6 m ; choix de composition auteur ; dimensions réelles à documenter</x:v>
      </x:c>
      <x:c r="I3744" s="115" t="str">
        <x:v>À équilibrer</x:v>
      </x:c>
      <x:c r="J3744" s="115" t="str">
        <x:v>Non</x:v>
      </x:c>
      <x:c r="K3744" s="115" t="str">
        <x:v>Pièces décrites, murs, portes, niveaux et mobilier inspectables à l’échelle. Volumes réservés, raccord au seed, butin, rencontres et services de campagne restent à terminer.</x:v>
      </x:c>
    </x:row>
    <x:row r="3745" ht="96" customHeight="1">
      <x:c r="A3745" s="115" t="str">
        <x:v>EXT-MONDE-T075-V40</x:v>
      </x:c>
      <x:c r="B3745" s="115" t="str">
        <x:v>EXT-MONDE-T075</x:v>
      </x:c>
      <x:c r="C3745" s="115" t="str">
        <x:v>Ferroviaire</x:v>
      </x:c>
      <x:c r="D3745" s="115" t="str">
        <x:v>Gare de triage</x:v>
      </x:c>
      <x:c r="E3745" s="115" t="n">
        <x:v>40</x:v>
      </x:c>
      <x:c r="F3745" s="115" t="str">
        <x:v>Inspection physique</x:v>
      </x:c>
      <x:c r="G3745" s="115" t="str">
        <x:v>1 niveaux ; 36 pièces ; 265 segments de mur ; 0 transitions. Inspection physique ; architecture complète encore ouverte.</x:v>
      </x:c>
      <x:c r="H3745" s="115" t="str">
        <x:v>L 800 ; l 3100 ; hauteur 7,6 m ; choix de composition auteur ; dimensions réelles à documenter</x:v>
      </x:c>
      <x:c r="I3745" s="115" t="str">
        <x:v>À équilibrer</x:v>
      </x:c>
      <x:c r="J3745" s="115" t="str">
        <x:v>Non</x:v>
      </x:c>
      <x:c r="K3745" s="115" t="str">
        <x:v>Pièces décrites, murs, portes, niveaux et mobilier inspectables à l’échelle. Volumes réservés, raccord au seed, butin, rencontres et services de campagne restent à terminer.</x:v>
      </x:c>
    </x:row>
    <x:row r="3746" ht="96" customHeight="1">
      <x:c r="A3746" s="115" t="str">
        <x:v>EXT-MONDE-T075-V41</x:v>
      </x:c>
      <x:c r="B3746" s="115" t="str">
        <x:v>EXT-MONDE-T075</x:v>
      </x:c>
      <x:c r="C3746" s="115" t="str">
        <x:v>Ferroviaire</x:v>
      </x:c>
      <x:c r="D3746" s="115" t="str">
        <x:v>Gare de triage</x:v>
      </x:c>
      <x:c r="E3746" s="115" t="n">
        <x:v>41</x:v>
      </x:c>
      <x:c r="F3746" s="115" t="str">
        <x:v>Inspection physique</x:v>
      </x:c>
      <x:c r="G3746" s="115" t="str">
        <x:v>1 niveaux ; 36 pièces ; 265 segments de mur ; 0 transitions. Inspection physique ; architecture complète encore ouverte.</x:v>
      </x:c>
      <x:c r="H3746" s="115" t="str">
        <x:v>L 800 ; l 3300 ; hauteur 7,8 m ; choix de composition auteur ; dimensions réelles à documenter</x:v>
      </x:c>
      <x:c r="I3746" s="115" t="str">
        <x:v>À équilibrer</x:v>
      </x:c>
      <x:c r="J3746" s="115" t="str">
        <x:v>Non</x:v>
      </x:c>
      <x:c r="K3746" s="115" t="str">
        <x:v>Pièces décrites, murs, portes, niveaux et mobilier inspectables à l’échelle. Volumes réservés, raccord au seed, butin, rencontres et services de campagne restent à terminer.</x:v>
      </x:c>
    </x:row>
    <x:row r="3747" ht="96" customHeight="1">
      <x:c r="A3747" s="115" t="str">
        <x:v>EXT-MONDE-T075-V42</x:v>
      </x:c>
      <x:c r="B3747" s="115" t="str">
        <x:v>EXT-MONDE-T075</x:v>
      </x:c>
      <x:c r="C3747" s="115" t="str">
        <x:v>Ferroviaire</x:v>
      </x:c>
      <x:c r="D3747" s="115" t="str">
        <x:v>Gare de triage</x:v>
      </x:c>
      <x:c r="E3747" s="115" t="n">
        <x:v>42</x:v>
      </x:c>
      <x:c r="F3747" s="115" t="str">
        <x:v>Inspection physique</x:v>
      </x:c>
      <x:c r="G3747" s="115" t="str">
        <x:v>1 niveaux ; 36 pièces ; 265 segments de mur ; 0 transitions. Inspection physique ; architecture complète encore ouverte.</x:v>
      </x:c>
      <x:c r="H3747" s="115" t="str">
        <x:v>L 800 ; l 3300 ; hauteur 7,8 m ; choix de composition auteur ; dimensions réelles à documenter</x:v>
      </x:c>
      <x:c r="I3747" s="115" t="str">
        <x:v>À équilibrer</x:v>
      </x:c>
      <x:c r="J3747" s="115" t="str">
        <x:v>Non</x:v>
      </x:c>
      <x:c r="K3747" s="115" t="str">
        <x:v>Pièces décrites, murs, portes, niveaux et mobilier inspectables à l’échelle. Volumes réservés, raccord au seed, butin, rencontres et services de campagne restent à terminer.</x:v>
      </x:c>
    </x:row>
    <x:row r="3748" ht="96" customHeight="1">
      <x:c r="A3748" s="115" t="str">
        <x:v>EXT-MONDE-T075-V43</x:v>
      </x:c>
      <x:c r="B3748" s="115" t="str">
        <x:v>EXT-MONDE-T075</x:v>
      </x:c>
      <x:c r="C3748" s="115" t="str">
        <x:v>Ferroviaire</x:v>
      </x:c>
      <x:c r="D3748" s="115" t="str">
        <x:v>Gare de triage</x:v>
      </x:c>
      <x:c r="E3748" s="115" t="n">
        <x:v>43</x:v>
      </x:c>
      <x:c r="F3748" s="115" t="str">
        <x:v>Inspection physique</x:v>
      </x:c>
      <x:c r="G3748" s="115" t="str">
        <x:v>1 niveaux ; 36 pièces ; 265 segments de mur ; 0 transitions. Inspection physique ; architecture complète encore ouverte.</x:v>
      </x:c>
      <x:c r="H3748" s="115" t="str">
        <x:v>L 800 ; l 3300 ; hauteur 7,8 m ; choix de composition auteur ; dimensions réelles à documenter</x:v>
      </x:c>
      <x:c r="I3748" s="115" t="str">
        <x:v>À équilibrer</x:v>
      </x:c>
      <x:c r="J3748" s="115" t="str">
        <x:v>Non</x:v>
      </x:c>
      <x:c r="K3748" s="115" t="str">
        <x:v>Pièces décrites, murs, portes, niveaux et mobilier inspectables à l’échelle. Volumes réservés, raccord au seed, butin, rencontres et services de campagne restent à terminer.</x:v>
      </x:c>
    </x:row>
    <x:row r="3749" ht="96" customHeight="1">
      <x:c r="A3749" s="115" t="str">
        <x:v>EXT-MONDE-T075-V44</x:v>
      </x:c>
      <x:c r="B3749" s="115" t="str">
        <x:v>EXT-MONDE-T075</x:v>
      </x:c>
      <x:c r="C3749" s="115" t="str">
        <x:v>Ferroviaire</x:v>
      </x:c>
      <x:c r="D3749" s="115" t="str">
        <x:v>Gare de triage</x:v>
      </x:c>
      <x:c r="E3749" s="115" t="n">
        <x:v>44</x:v>
      </x:c>
      <x:c r="F3749" s="115" t="str">
        <x:v>Inspection physique</x:v>
      </x:c>
      <x:c r="G3749" s="115" t="str">
        <x:v>1 niveaux ; 36 pièces ; 265 segments de mur ; 0 transitions. Inspection physique ; architecture complète encore ouverte.</x:v>
      </x:c>
      <x:c r="H3749" s="115" t="str">
        <x:v>L 800 ; l 3300 ; hauteur 7,8 m ; choix de composition auteur ; dimensions réelles à documenter</x:v>
      </x:c>
      <x:c r="I3749" s="115" t="str">
        <x:v>À équilibrer</x:v>
      </x:c>
      <x:c r="J3749" s="115" t="str">
        <x:v>Non</x:v>
      </x:c>
      <x:c r="K3749" s="115" t="str">
        <x:v>Pièces décrites, murs, portes, niveaux et mobilier inspectables à l’échelle. Volumes réservés, raccord au seed, butin, rencontres et services de campagne restent à terminer.</x:v>
      </x:c>
    </x:row>
    <x:row r="3750" ht="96" customHeight="1">
      <x:c r="A3750" s="115" t="str">
        <x:v>EXT-MONDE-T075-V45</x:v>
      </x:c>
      <x:c r="B3750" s="115" t="str">
        <x:v>EXT-MONDE-T075</x:v>
      </x:c>
      <x:c r="C3750" s="115" t="str">
        <x:v>Ferroviaire</x:v>
      </x:c>
      <x:c r="D3750" s="115" t="str">
        <x:v>Gare de triage</x:v>
      </x:c>
      <x:c r="E3750" s="115" t="n">
        <x:v>45</x:v>
      </x:c>
      <x:c r="F3750" s="115" t="str">
        <x:v>Inspection physique</x:v>
      </x:c>
      <x:c r="G3750" s="115" t="str">
        <x:v>1 niveaux ; 36 pièces ; 265 segments de mur ; 0 transitions. Inspection physique ; architecture complète encore ouverte.</x:v>
      </x:c>
      <x:c r="H3750" s="115" t="str">
        <x:v>L 800 ; l 3300 ; hauteur 7,8 m ; choix de composition auteur ; dimensions réelles à documenter</x:v>
      </x:c>
      <x:c r="I3750" s="115" t="str">
        <x:v>À équilibrer</x:v>
      </x:c>
      <x:c r="J3750" s="115" t="str">
        <x:v>Non</x:v>
      </x:c>
      <x:c r="K3750" s="115" t="str">
        <x:v>Pièces décrites, murs, portes, niveaux et mobilier inspectables à l’échelle. Volumes réservés, raccord au seed, butin, rencontres et services de campagne restent à terminer.</x:v>
      </x:c>
    </x:row>
    <x:row r="3751" ht="96" customHeight="1">
      <x:c r="A3751" s="115" t="str">
        <x:v>EXT-MONDE-T075-V46</x:v>
      </x:c>
      <x:c r="B3751" s="115" t="str">
        <x:v>EXT-MONDE-T075</x:v>
      </x:c>
      <x:c r="C3751" s="115" t="str">
        <x:v>Ferroviaire</x:v>
      </x:c>
      <x:c r="D3751" s="115" t="str">
        <x:v>Gare de triage</x:v>
      </x:c>
      <x:c r="E3751" s="115" t="n">
        <x:v>46</x:v>
      </x:c>
      <x:c r="F3751" s="115" t="str">
        <x:v>Inspection physique</x:v>
      </x:c>
      <x:c r="G3751" s="115" t="str">
        <x:v>1 niveaux ; 36 pièces ; 265 segments de mur ; 0 transitions. Inspection physique ; architecture complète encore ouverte.</x:v>
      </x:c>
      <x:c r="H3751" s="115" t="str">
        <x:v>L 800 ; l 3300 ; hauteur 7,8 m ; choix de composition auteur ; dimensions réelles à documenter</x:v>
      </x:c>
      <x:c r="I3751" s="115" t="str">
        <x:v>À équilibrer</x:v>
      </x:c>
      <x:c r="J3751" s="115" t="str">
        <x:v>Non</x:v>
      </x:c>
      <x:c r="K3751" s="115" t="str">
        <x:v>Pièces décrites, murs, portes, niveaux et mobilier inspectables à l’échelle. Volumes réservés, raccord au seed, butin, rencontres et services de campagne restent à terminer.</x:v>
      </x:c>
    </x:row>
    <x:row r="3752" ht="96" customHeight="1">
      <x:c r="A3752" s="115" t="str">
        <x:v>EXT-MONDE-T075-V47</x:v>
      </x:c>
      <x:c r="B3752" s="115" t="str">
        <x:v>EXT-MONDE-T075</x:v>
      </x:c>
      <x:c r="C3752" s="115" t="str">
        <x:v>Ferroviaire</x:v>
      </x:c>
      <x:c r="D3752" s="115" t="str">
        <x:v>Gare de triage</x:v>
      </x:c>
      <x:c r="E3752" s="115" t="n">
        <x:v>47</x:v>
      </x:c>
      <x:c r="F3752" s="115" t="str">
        <x:v>Inspection physique</x:v>
      </x:c>
      <x:c r="G3752" s="115" t="str">
        <x:v>1 niveaux ; 36 pièces ; 265 segments de mur ; 0 transitions. Inspection physique ; architecture complète encore ouverte.</x:v>
      </x:c>
      <x:c r="H3752" s="115" t="str">
        <x:v>L 800 ; l 3300 ; hauteur 7,8 m ; choix de composition auteur ; dimensions réelles à documenter</x:v>
      </x:c>
      <x:c r="I3752" s="115" t="str">
        <x:v>À équilibrer</x:v>
      </x:c>
      <x:c r="J3752" s="115" t="str">
        <x:v>Non</x:v>
      </x:c>
      <x:c r="K3752" s="115" t="str">
        <x:v>Pièces décrites, murs, portes, niveaux et mobilier inspectables à l’échelle. Volumes réservés, raccord au seed, butin, rencontres et services de campagne restent à terminer.</x:v>
      </x:c>
    </x:row>
    <x:row r="3753" ht="96" customHeight="1">
      <x:c r="A3753" s="115" t="str">
        <x:v>EXT-MONDE-T075-V48</x:v>
      </x:c>
      <x:c r="B3753" s="115" t="str">
        <x:v>EXT-MONDE-T075</x:v>
      </x:c>
      <x:c r="C3753" s="115" t="str">
        <x:v>Ferroviaire</x:v>
      </x:c>
      <x:c r="D3753" s="115" t="str">
        <x:v>Gare de triage</x:v>
      </x:c>
      <x:c r="E3753" s="115" t="n">
        <x:v>48</x:v>
      </x:c>
      <x:c r="F3753" s="115" t="str">
        <x:v>Inspection physique</x:v>
      </x:c>
      <x:c r="G3753" s="115" t="str">
        <x:v>1 niveaux ; 36 pièces ; 265 segments de mur ; 0 transitions. Inspection physique ; architecture complète encore ouverte.</x:v>
      </x:c>
      <x:c r="H3753" s="115" t="str">
        <x:v>L 800 ; l 3300 ; hauteur 7,8 m ; choix de composition auteur ; dimensions réelles à documenter</x:v>
      </x:c>
      <x:c r="I3753" s="115" t="str">
        <x:v>À équilibrer</x:v>
      </x:c>
      <x:c r="J3753" s="115" t="str">
        <x:v>Non</x:v>
      </x:c>
      <x:c r="K3753" s="115" t="str">
        <x:v>Pièces décrites, murs, portes, niveaux et mobilier inspectables à l’échelle. Volumes réservés, raccord au seed, butin, rencontres et services de campagne restent à terminer.</x:v>
      </x:c>
    </x:row>
    <x:row r="3754" ht="96" customHeight="1">
      <x:c r="A3754" s="115" t="str">
        <x:v>EXT-MONDE-T075-V49</x:v>
      </x:c>
      <x:c r="B3754" s="115" t="str">
        <x:v>EXT-MONDE-T075</x:v>
      </x:c>
      <x:c r="C3754" s="115" t="str">
        <x:v>Ferroviaire</x:v>
      </x:c>
      <x:c r="D3754" s="115" t="str">
        <x:v>Gare de triage</x:v>
      </x:c>
      <x:c r="E3754" s="115" t="n">
        <x:v>49</x:v>
      </x:c>
      <x:c r="F3754" s="115" t="str">
        <x:v>Inspection physique</x:v>
      </x:c>
      <x:c r="G3754" s="115" t="str">
        <x:v>1 niveaux ; 36 pièces ; 265 segments de mur ; 0 transitions. Inspection physique ; architecture complète encore ouverte.</x:v>
      </x:c>
      <x:c r="H3754" s="115" t="str">
        <x:v>L 800 ; l 3300 ; hauteur 7,8 m ; choix de composition auteur ; dimensions réelles à documenter</x:v>
      </x:c>
      <x:c r="I3754" s="115" t="str">
        <x:v>À équilibrer</x:v>
      </x:c>
      <x:c r="J3754" s="115" t="str">
        <x:v>Non</x:v>
      </x:c>
      <x:c r="K3754" s="115" t="str">
        <x:v>Pièces décrites, murs, portes, niveaux et mobilier inspectables à l’échelle. Volumes réservés, raccord au seed, butin, rencontres et services de campagne restent à terminer.</x:v>
      </x:c>
    </x:row>
    <x:row r="3755" ht="96" customHeight="1">
      <x:c r="A3755" s="115" t="str">
        <x:v>EXT-MONDE-T075-V50</x:v>
      </x:c>
      <x:c r="B3755" s="115" t="str">
        <x:v>EXT-MONDE-T075</x:v>
      </x:c>
      <x:c r="C3755" s="115" t="str">
        <x:v>Ferroviaire</x:v>
      </x:c>
      <x:c r="D3755" s="115" t="str">
        <x:v>Gare de triage</x:v>
      </x:c>
      <x:c r="E3755" s="115" t="n">
        <x:v>50</x:v>
      </x:c>
      <x:c r="F3755" s="115" t="str">
        <x:v>Inspection physique</x:v>
      </x:c>
      <x:c r="G3755" s="115" t="str">
        <x:v>1 niveaux ; 36 pièces ; 265 segments de mur ; 0 transitions. Inspection physique ; architecture complète encore ouverte.</x:v>
      </x:c>
      <x:c r="H3755" s="115" t="str">
        <x:v>L 800 ; l 3300 ; hauteur 7,8 m ; choix de composition auteur ; dimensions réelles à documenter</x:v>
      </x:c>
      <x:c r="I3755" s="115" t="str">
        <x:v>À équilibrer</x:v>
      </x:c>
      <x:c r="J3755" s="115" t="str">
        <x:v>Non</x:v>
      </x:c>
      <x:c r="K3755" s="115" t="str">
        <x:v>Pièces décrites, murs, portes, niveaux et mobilier inspectables à l’échelle. Volumes réservés, raccord au seed, butin, rencontres et services de campagne restent à terminer.</x:v>
      </x:c>
    </x:row>
    <x:row r="3756" ht="96" customHeight="1">
      <x:c r="A3756" s="115" t="str">
        <x:v>EXT-MONDE-T076-V01</x:v>
      </x:c>
      <x:c r="B3756" s="115" t="str">
        <x:v>EXT-MONDE-T076</x:v>
      </x:c>
      <x:c r="C3756" s="115" t="str">
        <x:v>Ferroviaire</x:v>
      </x:c>
      <x:c r="D3756" s="115" t="str">
        <x:v>Dépôt ferroviaire</x:v>
      </x:c>
      <x:c r="E3756" s="115" t="n">
        <x:v>1</x:v>
      </x:c>
      <x:c r="F3756" s="115" t="str">
        <x:v>Inspection physique</x:v>
      </x:c>
      <x:c r="G3756" s="115" t="str">
        <x:v>1 niveaux ; 36 pièces ; 265 segments de mur ; 0 transitions. Inspection physique ; architecture complète encore ouverte.</x:v>
      </x:c>
      <x:c r="H3756" s="115" t="str">
        <x:v>L 800 ; l 2100 ; hauteur 7 m ; choix de composition auteur ; dimensions réelles à documenter</x:v>
      </x:c>
      <x:c r="I3756" s="115" t="str">
        <x:v>À équilibrer</x:v>
      </x:c>
      <x:c r="J3756" s="115" t="str">
        <x:v>Non</x:v>
      </x:c>
      <x:c r="K3756" s="115" t="str">
        <x:v>Pièces décrites, murs, portes, niveaux et mobilier inspectables à l’échelle. Volumes réservés, raccord au seed, butin, rencontres et services de campagne restent à terminer.</x:v>
      </x:c>
    </x:row>
    <x:row r="3757" ht="96" customHeight="1">
      <x:c r="A3757" s="115" t="str">
        <x:v>EXT-MONDE-T076-V02</x:v>
      </x:c>
      <x:c r="B3757" s="115" t="str">
        <x:v>EXT-MONDE-T076</x:v>
      </x:c>
      <x:c r="C3757" s="115" t="str">
        <x:v>Ferroviaire</x:v>
      </x:c>
      <x:c r="D3757" s="115" t="str">
        <x:v>Dépôt ferroviaire</x:v>
      </x:c>
      <x:c r="E3757" s="115" t="n">
        <x:v>2</x:v>
      </x:c>
      <x:c r="F3757" s="115" t="str">
        <x:v>Inspection physique</x:v>
      </x:c>
      <x:c r="G3757" s="115" t="str">
        <x:v>1 niveaux ; 36 pièces ; 265 segments de mur ; 0 transitions. Inspection physique ; architecture complète encore ouverte.</x:v>
      </x:c>
      <x:c r="H3757" s="115" t="str">
        <x:v>L 800 ; l 2100 ; hauteur 7 m ; choix de composition auteur ; dimensions réelles à documenter</x:v>
      </x:c>
      <x:c r="I3757" s="115" t="str">
        <x:v>À équilibrer</x:v>
      </x:c>
      <x:c r="J3757" s="115" t="str">
        <x:v>Non</x:v>
      </x:c>
      <x:c r="K3757" s="115" t="str">
        <x:v>Pièces décrites, murs, portes, niveaux et mobilier inspectables à l’échelle. Volumes réservés, raccord au seed, butin, rencontres et services de campagne restent à terminer.</x:v>
      </x:c>
    </x:row>
    <x:row r="3758" ht="96" customHeight="1">
      <x:c r="A3758" s="115" t="str">
        <x:v>EXT-MONDE-T076-V03</x:v>
      </x:c>
      <x:c r="B3758" s="115" t="str">
        <x:v>EXT-MONDE-T076</x:v>
      </x:c>
      <x:c r="C3758" s="115" t="str">
        <x:v>Ferroviaire</x:v>
      </x:c>
      <x:c r="D3758" s="115" t="str">
        <x:v>Dépôt ferroviaire</x:v>
      </x:c>
      <x:c r="E3758" s="115" t="n">
        <x:v>3</x:v>
      </x:c>
      <x:c r="F3758" s="115" t="str">
        <x:v>Inspection physique</x:v>
      </x:c>
      <x:c r="G3758" s="115" t="str">
        <x:v>1 niveaux ; 36 pièces ; 265 segments de mur ; 0 transitions. Inspection physique ; architecture complète encore ouverte.</x:v>
      </x:c>
      <x:c r="H3758" s="115" t="str">
        <x:v>L 800 ; l 2100 ; hauteur 7 m ; choix de composition auteur ; dimensions réelles à documenter</x:v>
      </x:c>
      <x:c r="I3758" s="115" t="str">
        <x:v>À équilibrer</x:v>
      </x:c>
      <x:c r="J3758" s="115" t="str">
        <x:v>Non</x:v>
      </x:c>
      <x:c r="K3758" s="115" t="str">
        <x:v>Pièces décrites, murs, portes, niveaux et mobilier inspectables à l’échelle. Volumes réservés, raccord au seed, butin, rencontres et services de campagne restent à terminer.</x:v>
      </x:c>
    </x:row>
    <x:row r="3759" ht="96" customHeight="1">
      <x:c r="A3759" s="115" t="str">
        <x:v>EXT-MONDE-T076-V04</x:v>
      </x:c>
      <x:c r="B3759" s="115" t="str">
        <x:v>EXT-MONDE-T076</x:v>
      </x:c>
      <x:c r="C3759" s="115" t="str">
        <x:v>Ferroviaire</x:v>
      </x:c>
      <x:c r="D3759" s="115" t="str">
        <x:v>Dépôt ferroviaire</x:v>
      </x:c>
      <x:c r="E3759" s="115" t="n">
        <x:v>4</x:v>
      </x:c>
      <x:c r="F3759" s="115" t="str">
        <x:v>Inspection physique</x:v>
      </x:c>
      <x:c r="G3759" s="115" t="str">
        <x:v>1 niveaux ; 36 pièces ; 265 segments de mur ; 0 transitions. Inspection physique ; architecture complète encore ouverte.</x:v>
      </x:c>
      <x:c r="H3759" s="115" t="str">
        <x:v>L 800 ; l 2100 ; hauteur 7 m ; choix de composition auteur ; dimensions réelles à documenter</x:v>
      </x:c>
      <x:c r="I3759" s="115" t="str">
        <x:v>À équilibrer</x:v>
      </x:c>
      <x:c r="J3759" s="115" t="str">
        <x:v>Non</x:v>
      </x:c>
      <x:c r="K3759" s="115" t="str">
        <x:v>Pièces décrites, murs, portes, niveaux et mobilier inspectables à l’échelle. Volumes réservés, raccord au seed, butin, rencontres et services de campagne restent à terminer.</x:v>
      </x:c>
    </x:row>
    <x:row r="3760" ht="96" customHeight="1">
      <x:c r="A3760" s="115" t="str">
        <x:v>EXT-MONDE-T076-V05</x:v>
      </x:c>
      <x:c r="B3760" s="115" t="str">
        <x:v>EXT-MONDE-T076</x:v>
      </x:c>
      <x:c r="C3760" s="115" t="str">
        <x:v>Ferroviaire</x:v>
      </x:c>
      <x:c r="D3760" s="115" t="str">
        <x:v>Dépôt ferroviaire</x:v>
      </x:c>
      <x:c r="E3760" s="115" t="n">
        <x:v>5</x:v>
      </x:c>
      <x:c r="F3760" s="115" t="str">
        <x:v>Inspection physique</x:v>
      </x:c>
      <x:c r="G3760" s="115" t="str">
        <x:v>1 niveaux ; 36 pièces ; 265 segments de mur ; 0 transitions. Inspection physique ; architecture complète encore ouverte.</x:v>
      </x:c>
      <x:c r="H3760" s="115" t="str">
        <x:v>L 800 ; l 2100 ; hauteur 7 m ; choix de composition auteur ; dimensions réelles à documenter</x:v>
      </x:c>
      <x:c r="I3760" s="115" t="str">
        <x:v>À équilibrer</x:v>
      </x:c>
      <x:c r="J3760" s="115" t="str">
        <x:v>Non</x:v>
      </x:c>
      <x:c r="K3760" s="115" t="str">
        <x:v>Pièces décrites, murs, portes, niveaux et mobilier inspectables à l’échelle. Volumes réservés, raccord au seed, butin, rencontres et services de campagne restent à terminer.</x:v>
      </x:c>
    </x:row>
    <x:row r="3761" ht="96" customHeight="1">
      <x:c r="A3761" s="115" t="str">
        <x:v>EXT-MONDE-T076-V06</x:v>
      </x:c>
      <x:c r="B3761" s="115" t="str">
        <x:v>EXT-MONDE-T076</x:v>
      </x:c>
      <x:c r="C3761" s="115" t="str">
        <x:v>Ferroviaire</x:v>
      </x:c>
      <x:c r="D3761" s="115" t="str">
        <x:v>Dépôt ferroviaire</x:v>
      </x:c>
      <x:c r="E3761" s="115" t="n">
        <x:v>6</x:v>
      </x:c>
      <x:c r="F3761" s="115" t="str">
        <x:v>Inspection physique</x:v>
      </x:c>
      <x:c r="G3761" s="115" t="str">
        <x:v>1 niveaux ; 36 pièces ; 265 segments de mur ; 0 transitions. Inspection physique ; architecture complète encore ouverte.</x:v>
      </x:c>
      <x:c r="H3761" s="115" t="str">
        <x:v>L 800 ; l 2100 ; hauteur 7 m ; choix de composition auteur ; dimensions réelles à documenter</x:v>
      </x:c>
      <x:c r="I3761" s="115" t="str">
        <x:v>À équilibrer</x:v>
      </x:c>
      <x:c r="J3761" s="115" t="str">
        <x:v>Non</x:v>
      </x:c>
      <x:c r="K3761" s="115" t="str">
        <x:v>Pièces décrites, murs, portes, niveaux et mobilier inspectables à l’échelle. Volumes réservés, raccord au seed, butin, rencontres et services de campagne restent à terminer.</x:v>
      </x:c>
    </x:row>
    <x:row r="3762" ht="96" customHeight="1">
      <x:c r="A3762" s="115" t="str">
        <x:v>EXT-MONDE-T076-V07</x:v>
      </x:c>
      <x:c r="B3762" s="115" t="str">
        <x:v>EXT-MONDE-T076</x:v>
      </x:c>
      <x:c r="C3762" s="115" t="str">
        <x:v>Ferroviaire</x:v>
      </x:c>
      <x:c r="D3762" s="115" t="str">
        <x:v>Dépôt ferroviaire</x:v>
      </x:c>
      <x:c r="E3762" s="115" t="n">
        <x:v>7</x:v>
      </x:c>
      <x:c r="F3762" s="115" t="str">
        <x:v>Inspection physique</x:v>
      </x:c>
      <x:c r="G3762" s="115" t="str">
        <x:v>1 niveaux ; 36 pièces ; 265 segments de mur ; 0 transitions. Inspection physique ; architecture complète encore ouverte.</x:v>
      </x:c>
      <x:c r="H3762" s="115" t="str">
        <x:v>L 800 ; l 2100 ; hauteur 7 m ; choix de composition auteur ; dimensions réelles à documenter</x:v>
      </x:c>
      <x:c r="I3762" s="115" t="str">
        <x:v>À équilibrer</x:v>
      </x:c>
      <x:c r="J3762" s="115" t="str">
        <x:v>Non</x:v>
      </x:c>
      <x:c r="K3762" s="115" t="str">
        <x:v>Pièces décrites, murs, portes, niveaux et mobilier inspectables à l’échelle. Volumes réservés, raccord au seed, butin, rencontres et services de campagne restent à terminer.</x:v>
      </x:c>
    </x:row>
    <x:row r="3763" ht="96" customHeight="1">
      <x:c r="A3763" s="115" t="str">
        <x:v>EXT-MONDE-T076-V08</x:v>
      </x:c>
      <x:c r="B3763" s="115" t="str">
        <x:v>EXT-MONDE-T076</x:v>
      </x:c>
      <x:c r="C3763" s="115" t="str">
        <x:v>Ferroviaire</x:v>
      </x:c>
      <x:c r="D3763" s="115" t="str">
        <x:v>Dépôt ferroviaire</x:v>
      </x:c>
      <x:c r="E3763" s="115" t="n">
        <x:v>8</x:v>
      </x:c>
      <x:c r="F3763" s="115" t="str">
        <x:v>Inspection physique</x:v>
      </x:c>
      <x:c r="G3763" s="115" t="str">
        <x:v>1 niveaux ; 36 pièces ; 265 segments de mur ; 0 transitions. Inspection physique ; architecture complète encore ouverte.</x:v>
      </x:c>
      <x:c r="H3763" s="115" t="str">
        <x:v>L 800 ; l 2100 ; hauteur 7 m ; choix de composition auteur ; dimensions réelles à documenter</x:v>
      </x:c>
      <x:c r="I3763" s="115" t="str">
        <x:v>À équilibrer</x:v>
      </x:c>
      <x:c r="J3763" s="115" t="str">
        <x:v>Non</x:v>
      </x:c>
      <x:c r="K3763" s="115" t="str">
        <x:v>Pièces décrites, murs, portes, niveaux et mobilier inspectables à l’échelle. Volumes réservés, raccord au seed, butin, rencontres et services de campagne restent à terminer.</x:v>
      </x:c>
    </x:row>
    <x:row r="3764" ht="96" customHeight="1">
      <x:c r="A3764" s="115" t="str">
        <x:v>EXT-MONDE-T076-V09</x:v>
      </x:c>
      <x:c r="B3764" s="115" t="str">
        <x:v>EXT-MONDE-T076</x:v>
      </x:c>
      <x:c r="C3764" s="115" t="str">
        <x:v>Ferroviaire</x:v>
      </x:c>
      <x:c r="D3764" s="115" t="str">
        <x:v>Dépôt ferroviaire</x:v>
      </x:c>
      <x:c r="E3764" s="115" t="n">
        <x:v>9</x:v>
      </x:c>
      <x:c r="F3764" s="115" t="str">
        <x:v>Inspection physique</x:v>
      </x:c>
      <x:c r="G3764" s="115" t="str">
        <x:v>1 niveaux ; 36 pièces ; 265 segments de mur ; 0 transitions. Inspection physique ; architecture complète encore ouverte.</x:v>
      </x:c>
      <x:c r="H3764" s="115" t="str">
        <x:v>L 800 ; l 2100 ; hauteur 7 m ; choix de composition auteur ; dimensions réelles à documenter</x:v>
      </x:c>
      <x:c r="I3764" s="115" t="str">
        <x:v>À équilibrer</x:v>
      </x:c>
      <x:c r="J3764" s="115" t="str">
        <x:v>Non</x:v>
      </x:c>
      <x:c r="K3764" s="115" t="str">
        <x:v>Pièces décrites, murs, portes, niveaux et mobilier inspectables à l’échelle. Volumes réservés, raccord au seed, butin, rencontres et services de campagne restent à terminer.</x:v>
      </x:c>
    </x:row>
    <x:row r="3765" ht="96" customHeight="1">
      <x:c r="A3765" s="115" t="str">
        <x:v>EXT-MONDE-T076-V10</x:v>
      </x:c>
      <x:c r="B3765" s="115" t="str">
        <x:v>EXT-MONDE-T076</x:v>
      </x:c>
      <x:c r="C3765" s="115" t="str">
        <x:v>Ferroviaire</x:v>
      </x:c>
      <x:c r="D3765" s="115" t="str">
        <x:v>Dépôt ferroviaire</x:v>
      </x:c>
      <x:c r="E3765" s="115" t="n">
        <x:v>10</x:v>
      </x:c>
      <x:c r="F3765" s="115" t="str">
        <x:v>Inspection physique</x:v>
      </x:c>
      <x:c r="G3765" s="115" t="str">
        <x:v>1 niveaux ; 36 pièces ; 265 segments de mur ; 0 transitions. Inspection physique ; architecture complète encore ouverte.</x:v>
      </x:c>
      <x:c r="H3765" s="115" t="str">
        <x:v>L 800 ; l 2100 ; hauteur 7 m ; choix de composition auteur ; dimensions réelles à documenter</x:v>
      </x:c>
      <x:c r="I3765" s="115" t="str">
        <x:v>À équilibrer</x:v>
      </x:c>
      <x:c r="J3765" s="115" t="str">
        <x:v>Non</x:v>
      </x:c>
      <x:c r="K3765" s="115" t="str">
        <x:v>Pièces décrites, murs, portes, niveaux et mobilier inspectables à l’échelle. Volumes réservés, raccord au seed, butin, rencontres et services de campagne restent à terminer.</x:v>
      </x:c>
    </x:row>
    <x:row r="3766" ht="96" customHeight="1">
      <x:c r="A3766" s="115" t="str">
        <x:v>EXT-MONDE-T076-V11</x:v>
      </x:c>
      <x:c r="B3766" s="115" t="str">
        <x:v>EXT-MONDE-T076</x:v>
      </x:c>
      <x:c r="C3766" s="115" t="str">
        <x:v>Ferroviaire</x:v>
      </x:c>
      <x:c r="D3766" s="115" t="str">
        <x:v>Dépôt ferroviaire</x:v>
      </x:c>
      <x:c r="E3766" s="115" t="n">
        <x:v>11</x:v>
      </x:c>
      <x:c r="F3766" s="115" t="str">
        <x:v>Inspection physique</x:v>
      </x:c>
      <x:c r="G3766" s="115" t="str">
        <x:v>1 niveaux ; 36 pièces ; 265 segments de mur ; 0 transitions. Inspection physique ; architecture complète encore ouverte.</x:v>
      </x:c>
      <x:c r="H3766" s="115" t="str">
        <x:v>L 800 ; l 2260 ; hauteur 7,2 m ; choix de composition auteur ; dimensions réelles à documenter</x:v>
      </x:c>
      <x:c r="I3766" s="115" t="str">
        <x:v>À équilibrer</x:v>
      </x:c>
      <x:c r="J3766" s="115" t="str">
        <x:v>Non</x:v>
      </x:c>
      <x:c r="K3766" s="115" t="str">
        <x:v>Pièces décrites, murs, portes, niveaux et mobilier inspectables à l’échelle. Volumes réservés, raccord au seed, butin, rencontres et services de campagne restent à terminer.</x:v>
      </x:c>
    </x:row>
    <x:row r="3767" ht="96" customHeight="1">
      <x:c r="A3767" s="115" t="str">
        <x:v>EXT-MONDE-T076-V12</x:v>
      </x:c>
      <x:c r="B3767" s="115" t="str">
        <x:v>EXT-MONDE-T076</x:v>
      </x:c>
      <x:c r="C3767" s="115" t="str">
        <x:v>Ferroviaire</x:v>
      </x:c>
      <x:c r="D3767" s="115" t="str">
        <x:v>Dépôt ferroviaire</x:v>
      </x:c>
      <x:c r="E3767" s="115" t="n">
        <x:v>12</x:v>
      </x:c>
      <x:c r="F3767" s="115" t="str">
        <x:v>Inspection physique</x:v>
      </x:c>
      <x:c r="G3767" s="115" t="str">
        <x:v>1 niveaux ; 36 pièces ; 265 segments de mur ; 0 transitions. Inspection physique ; architecture complète encore ouverte.</x:v>
      </x:c>
      <x:c r="H3767" s="115" t="str">
        <x:v>L 800 ; l 2260 ; hauteur 7,2 m ; choix de composition auteur ; dimensions réelles à documenter</x:v>
      </x:c>
      <x:c r="I3767" s="115" t="str">
        <x:v>À équilibrer</x:v>
      </x:c>
      <x:c r="J3767" s="115" t="str">
        <x:v>Non</x:v>
      </x:c>
      <x:c r="K3767" s="115" t="str">
        <x:v>Pièces décrites, murs, portes, niveaux et mobilier inspectables à l’échelle. Volumes réservés, raccord au seed, butin, rencontres et services de campagne restent à terminer.</x:v>
      </x:c>
    </x:row>
    <x:row r="3768" ht="96" customHeight="1">
      <x:c r="A3768" s="115" t="str">
        <x:v>EXT-MONDE-T076-V13</x:v>
      </x:c>
      <x:c r="B3768" s="115" t="str">
        <x:v>EXT-MONDE-T076</x:v>
      </x:c>
      <x:c r="C3768" s="115" t="str">
        <x:v>Ferroviaire</x:v>
      </x:c>
      <x:c r="D3768" s="115" t="str">
        <x:v>Dépôt ferroviaire</x:v>
      </x:c>
      <x:c r="E3768" s="115" t="n">
        <x:v>13</x:v>
      </x:c>
      <x:c r="F3768" s="115" t="str">
        <x:v>Inspection physique</x:v>
      </x:c>
      <x:c r="G3768" s="115" t="str">
        <x:v>1 niveaux ; 36 pièces ; 265 segments de mur ; 0 transitions. Inspection physique ; architecture complète encore ouverte.</x:v>
      </x:c>
      <x:c r="H3768" s="115" t="str">
        <x:v>L 800 ; l 2260 ; hauteur 7,2 m ; choix de composition auteur ; dimensions réelles à documenter</x:v>
      </x:c>
      <x:c r="I3768" s="115" t="str">
        <x:v>À équilibrer</x:v>
      </x:c>
      <x:c r="J3768" s="115" t="str">
        <x:v>Non</x:v>
      </x:c>
      <x:c r="K3768" s="115" t="str">
        <x:v>Pièces décrites, murs, portes, niveaux et mobilier inspectables à l’échelle. Volumes réservés, raccord au seed, butin, rencontres et services de campagne restent à terminer.</x:v>
      </x:c>
    </x:row>
    <x:row r="3769" ht="96" customHeight="1">
      <x:c r="A3769" s="115" t="str">
        <x:v>EXT-MONDE-T076-V14</x:v>
      </x:c>
      <x:c r="B3769" s="115" t="str">
        <x:v>EXT-MONDE-T076</x:v>
      </x:c>
      <x:c r="C3769" s="115" t="str">
        <x:v>Ferroviaire</x:v>
      </x:c>
      <x:c r="D3769" s="115" t="str">
        <x:v>Dépôt ferroviaire</x:v>
      </x:c>
      <x:c r="E3769" s="115" t="n">
        <x:v>14</x:v>
      </x:c>
      <x:c r="F3769" s="115" t="str">
        <x:v>Inspection physique</x:v>
      </x:c>
      <x:c r="G3769" s="115" t="str">
        <x:v>1 niveaux ; 36 pièces ; 265 segments de mur ; 0 transitions. Inspection physique ; architecture complète encore ouverte.</x:v>
      </x:c>
      <x:c r="H3769" s="115" t="str">
        <x:v>L 800 ; l 2260 ; hauteur 7,2 m ; choix de composition auteur ; dimensions réelles à documenter</x:v>
      </x:c>
      <x:c r="I3769" s="115" t="str">
        <x:v>À équilibrer</x:v>
      </x:c>
      <x:c r="J3769" s="115" t="str">
        <x:v>Non</x:v>
      </x:c>
      <x:c r="K3769" s="115" t="str">
        <x:v>Pièces décrites, murs, portes, niveaux et mobilier inspectables à l’échelle. Volumes réservés, raccord au seed, butin, rencontres et services de campagne restent à terminer.</x:v>
      </x:c>
    </x:row>
    <x:row r="3770" ht="96" customHeight="1">
      <x:c r="A3770" s="115" t="str">
        <x:v>EXT-MONDE-T076-V15</x:v>
      </x:c>
      <x:c r="B3770" s="115" t="str">
        <x:v>EXT-MONDE-T076</x:v>
      </x:c>
      <x:c r="C3770" s="115" t="str">
        <x:v>Ferroviaire</x:v>
      </x:c>
      <x:c r="D3770" s="115" t="str">
        <x:v>Dépôt ferroviaire</x:v>
      </x:c>
      <x:c r="E3770" s="115" t="n">
        <x:v>15</x:v>
      </x:c>
      <x:c r="F3770" s="115" t="str">
        <x:v>Inspection physique</x:v>
      </x:c>
      <x:c r="G3770" s="115" t="str">
        <x:v>1 niveaux ; 36 pièces ; 265 segments de mur ; 0 transitions. Inspection physique ; architecture complète encore ouverte.</x:v>
      </x:c>
      <x:c r="H3770" s="115" t="str">
        <x:v>L 800 ; l 2260 ; hauteur 7,2 m ; choix de composition auteur ; dimensions réelles à documenter</x:v>
      </x:c>
      <x:c r="I3770" s="115" t="str">
        <x:v>À équilibrer</x:v>
      </x:c>
      <x:c r="J3770" s="115" t="str">
        <x:v>Non</x:v>
      </x:c>
      <x:c r="K3770" s="115" t="str">
        <x:v>Pièces décrites, murs, portes, niveaux et mobilier inspectables à l’échelle. Volumes réservés, raccord au seed, butin, rencontres et services de campagne restent à terminer.</x:v>
      </x:c>
    </x:row>
    <x:row r="3771" ht="96" customHeight="1">
      <x:c r="A3771" s="115" t="str">
        <x:v>EXT-MONDE-T076-V16</x:v>
      </x:c>
      <x:c r="B3771" s="115" t="str">
        <x:v>EXT-MONDE-T076</x:v>
      </x:c>
      <x:c r="C3771" s="115" t="str">
        <x:v>Ferroviaire</x:v>
      </x:c>
      <x:c r="D3771" s="115" t="str">
        <x:v>Dépôt ferroviaire</x:v>
      </x:c>
      <x:c r="E3771" s="115" t="n">
        <x:v>16</x:v>
      </x:c>
      <x:c r="F3771" s="115" t="str">
        <x:v>Inspection physique</x:v>
      </x:c>
      <x:c r="G3771" s="115" t="str">
        <x:v>1 niveaux ; 36 pièces ; 265 segments de mur ; 0 transitions. Inspection physique ; architecture complète encore ouverte.</x:v>
      </x:c>
      <x:c r="H3771" s="115" t="str">
        <x:v>L 800 ; l 2260 ; hauteur 7,2 m ; choix de composition auteur ; dimensions réelles à documenter</x:v>
      </x:c>
      <x:c r="I3771" s="115" t="str">
        <x:v>À équilibrer</x:v>
      </x:c>
      <x:c r="J3771" s="115" t="str">
        <x:v>Non</x:v>
      </x:c>
      <x:c r="K3771" s="115" t="str">
        <x:v>Pièces décrites, murs, portes, niveaux et mobilier inspectables à l’échelle. Volumes réservés, raccord au seed, butin, rencontres et services de campagne restent à terminer.</x:v>
      </x:c>
    </x:row>
    <x:row r="3772" ht="96" customHeight="1">
      <x:c r="A3772" s="115" t="str">
        <x:v>EXT-MONDE-T076-V17</x:v>
      </x:c>
      <x:c r="B3772" s="115" t="str">
        <x:v>EXT-MONDE-T076</x:v>
      </x:c>
      <x:c r="C3772" s="115" t="str">
        <x:v>Ferroviaire</x:v>
      </x:c>
      <x:c r="D3772" s="115" t="str">
        <x:v>Dépôt ferroviaire</x:v>
      </x:c>
      <x:c r="E3772" s="115" t="n">
        <x:v>17</x:v>
      </x:c>
      <x:c r="F3772" s="115" t="str">
        <x:v>Inspection physique</x:v>
      </x:c>
      <x:c r="G3772" s="115" t="str">
        <x:v>1 niveaux ; 36 pièces ; 265 segments de mur ; 0 transitions. Inspection physique ; architecture complète encore ouverte.</x:v>
      </x:c>
      <x:c r="H3772" s="115" t="str">
        <x:v>L 800 ; l 2260 ; hauteur 7,2 m ; choix de composition auteur ; dimensions réelles à documenter</x:v>
      </x:c>
      <x:c r="I3772" s="115" t="str">
        <x:v>À équilibrer</x:v>
      </x:c>
      <x:c r="J3772" s="115" t="str">
        <x:v>Non</x:v>
      </x:c>
      <x:c r="K3772" s="115" t="str">
        <x:v>Pièces décrites, murs, portes, niveaux et mobilier inspectables à l’échelle. Volumes réservés, raccord au seed, butin, rencontres et services de campagne restent à terminer.</x:v>
      </x:c>
    </x:row>
    <x:row r="3773" ht="96" customHeight="1">
      <x:c r="A3773" s="115" t="str">
        <x:v>EXT-MONDE-T076-V18</x:v>
      </x:c>
      <x:c r="B3773" s="115" t="str">
        <x:v>EXT-MONDE-T076</x:v>
      </x:c>
      <x:c r="C3773" s="115" t="str">
        <x:v>Ferroviaire</x:v>
      </x:c>
      <x:c r="D3773" s="115" t="str">
        <x:v>Dépôt ferroviaire</x:v>
      </x:c>
      <x:c r="E3773" s="115" t="n">
        <x:v>18</x:v>
      </x:c>
      <x:c r="F3773" s="115" t="str">
        <x:v>Inspection physique</x:v>
      </x:c>
      <x:c r="G3773" s="115" t="str">
        <x:v>1 niveaux ; 36 pièces ; 265 segments de mur ; 0 transitions. Inspection physique ; architecture complète encore ouverte.</x:v>
      </x:c>
      <x:c r="H3773" s="115" t="str">
        <x:v>L 800 ; l 2260 ; hauteur 7,2 m ; choix de composition auteur ; dimensions réelles à documenter</x:v>
      </x:c>
      <x:c r="I3773" s="115" t="str">
        <x:v>À équilibrer</x:v>
      </x:c>
      <x:c r="J3773" s="115" t="str">
        <x:v>Non</x:v>
      </x:c>
      <x:c r="K3773" s="115" t="str">
        <x:v>Pièces décrites, murs, portes, niveaux et mobilier inspectables à l’échelle. Volumes réservés, raccord au seed, butin, rencontres et services de campagne restent à terminer.</x:v>
      </x:c>
    </x:row>
    <x:row r="3774" ht="96" customHeight="1">
      <x:c r="A3774" s="115" t="str">
        <x:v>EXT-MONDE-T076-V19</x:v>
      </x:c>
      <x:c r="B3774" s="115" t="str">
        <x:v>EXT-MONDE-T076</x:v>
      </x:c>
      <x:c r="C3774" s="115" t="str">
        <x:v>Ferroviaire</x:v>
      </x:c>
      <x:c r="D3774" s="115" t="str">
        <x:v>Dépôt ferroviaire</x:v>
      </x:c>
      <x:c r="E3774" s="115" t="n">
        <x:v>19</x:v>
      </x:c>
      <x:c r="F3774" s="115" t="str">
        <x:v>Inspection physique</x:v>
      </x:c>
      <x:c r="G3774" s="115" t="str">
        <x:v>1 niveaux ; 36 pièces ; 265 segments de mur ; 0 transitions. Inspection physique ; architecture complète encore ouverte.</x:v>
      </x:c>
      <x:c r="H3774" s="115" t="str">
        <x:v>L 800 ; l 2260 ; hauteur 7,2 m ; choix de composition auteur ; dimensions réelles à documenter</x:v>
      </x:c>
      <x:c r="I3774" s="115" t="str">
        <x:v>À équilibrer</x:v>
      </x:c>
      <x:c r="J3774" s="115" t="str">
        <x:v>Non</x:v>
      </x:c>
      <x:c r="K3774" s="115" t="str">
        <x:v>Pièces décrites, murs, portes, niveaux et mobilier inspectables à l’échelle. Volumes réservés, raccord au seed, butin, rencontres et services de campagne restent à terminer.</x:v>
      </x:c>
    </x:row>
    <x:row r="3775" ht="96" customHeight="1">
      <x:c r="A3775" s="115" t="str">
        <x:v>EXT-MONDE-T076-V20</x:v>
      </x:c>
      <x:c r="B3775" s="115" t="str">
        <x:v>EXT-MONDE-T076</x:v>
      </x:c>
      <x:c r="C3775" s="115" t="str">
        <x:v>Ferroviaire</x:v>
      </x:c>
      <x:c r="D3775" s="115" t="str">
        <x:v>Dépôt ferroviaire</x:v>
      </x:c>
      <x:c r="E3775" s="115" t="n">
        <x:v>20</x:v>
      </x:c>
      <x:c r="F3775" s="115" t="str">
        <x:v>Inspection physique</x:v>
      </x:c>
      <x:c r="G3775" s="115" t="str">
        <x:v>1 niveaux ; 36 pièces ; 265 segments de mur ; 0 transitions. Inspection physique ; architecture complète encore ouverte.</x:v>
      </x:c>
      <x:c r="H3775" s="115" t="str">
        <x:v>L 800 ; l 2260 ; hauteur 7,2 m ; choix de composition auteur ; dimensions réelles à documenter</x:v>
      </x:c>
      <x:c r="I3775" s="115" t="str">
        <x:v>À équilibrer</x:v>
      </x:c>
      <x:c r="J3775" s="115" t="str">
        <x:v>Non</x:v>
      </x:c>
      <x:c r="K3775" s="115" t="str">
        <x:v>Pièces décrites, murs, portes, niveaux et mobilier inspectables à l’échelle. Volumes réservés, raccord au seed, butin, rencontres et services de campagne restent à terminer.</x:v>
      </x:c>
    </x:row>
    <x:row r="3776" ht="96" customHeight="1">
      <x:c r="A3776" s="115" t="str">
        <x:v>EXT-MONDE-T076-V21</x:v>
      </x:c>
      <x:c r="B3776" s="115" t="str">
        <x:v>EXT-MONDE-T076</x:v>
      </x:c>
      <x:c r="C3776" s="115" t="str">
        <x:v>Ferroviaire</x:v>
      </x:c>
      <x:c r="D3776" s="115" t="str">
        <x:v>Dépôt ferroviaire</x:v>
      </x:c>
      <x:c r="E3776" s="115" t="n">
        <x:v>21</x:v>
      </x:c>
      <x:c r="F3776" s="115" t="str">
        <x:v>Inspection physique</x:v>
      </x:c>
      <x:c r="G3776" s="115" t="str">
        <x:v>1 niveaux ; 36 pièces ; 265 segments de mur ; 0 transitions. Inspection physique ; architecture complète encore ouverte.</x:v>
      </x:c>
      <x:c r="H3776" s="115" t="str">
        <x:v>L 800 ; l 2420 ; hauteur 7,4 m ; choix de composition auteur ; dimensions réelles à documenter</x:v>
      </x:c>
      <x:c r="I3776" s="115" t="str">
        <x:v>À équilibrer</x:v>
      </x:c>
      <x:c r="J3776" s="115" t="str">
        <x:v>Non</x:v>
      </x:c>
      <x:c r="K3776" s="115" t="str">
        <x:v>Pièces décrites, murs, portes, niveaux et mobilier inspectables à l’échelle. Volumes réservés, raccord au seed, butin, rencontres et services de campagne restent à terminer.</x:v>
      </x:c>
    </x:row>
    <x:row r="3777" ht="96" customHeight="1">
      <x:c r="A3777" s="115" t="str">
        <x:v>EXT-MONDE-T076-V22</x:v>
      </x:c>
      <x:c r="B3777" s="115" t="str">
        <x:v>EXT-MONDE-T076</x:v>
      </x:c>
      <x:c r="C3777" s="115" t="str">
        <x:v>Ferroviaire</x:v>
      </x:c>
      <x:c r="D3777" s="115" t="str">
        <x:v>Dépôt ferroviaire</x:v>
      </x:c>
      <x:c r="E3777" s="115" t="n">
        <x:v>22</x:v>
      </x:c>
      <x:c r="F3777" s="115" t="str">
        <x:v>Inspection physique</x:v>
      </x:c>
      <x:c r="G3777" s="115" t="str">
        <x:v>1 niveaux ; 36 pièces ; 265 segments de mur ; 0 transitions. Inspection physique ; architecture complète encore ouverte.</x:v>
      </x:c>
      <x:c r="H3777" s="115" t="str">
        <x:v>L 800 ; l 2420 ; hauteur 7,4 m ; choix de composition auteur ; dimensions réelles à documenter</x:v>
      </x:c>
      <x:c r="I3777" s="115" t="str">
        <x:v>À équilibrer</x:v>
      </x:c>
      <x:c r="J3777" s="115" t="str">
        <x:v>Non</x:v>
      </x:c>
      <x:c r="K3777" s="115" t="str">
        <x:v>Pièces décrites, murs, portes, niveaux et mobilier inspectables à l’échelle. Volumes réservés, raccord au seed, butin, rencontres et services de campagne restent à terminer.</x:v>
      </x:c>
    </x:row>
    <x:row r="3778" ht="96" customHeight="1">
      <x:c r="A3778" s="115" t="str">
        <x:v>EXT-MONDE-T076-V23</x:v>
      </x:c>
      <x:c r="B3778" s="115" t="str">
        <x:v>EXT-MONDE-T076</x:v>
      </x:c>
      <x:c r="C3778" s="115" t="str">
        <x:v>Ferroviaire</x:v>
      </x:c>
      <x:c r="D3778" s="115" t="str">
        <x:v>Dépôt ferroviaire</x:v>
      </x:c>
      <x:c r="E3778" s="115" t="n">
        <x:v>23</x:v>
      </x:c>
      <x:c r="F3778" s="115" t="str">
        <x:v>Inspection physique</x:v>
      </x:c>
      <x:c r="G3778" s="115" t="str">
        <x:v>1 niveaux ; 36 pièces ; 265 segments de mur ; 0 transitions. Inspection physique ; architecture complète encore ouverte.</x:v>
      </x:c>
      <x:c r="H3778" s="115" t="str">
        <x:v>L 800 ; l 2420 ; hauteur 7,4 m ; choix de composition auteur ; dimensions réelles à documenter</x:v>
      </x:c>
      <x:c r="I3778" s="115" t="str">
        <x:v>À équilibrer</x:v>
      </x:c>
      <x:c r="J3778" s="115" t="str">
        <x:v>Non</x:v>
      </x:c>
      <x:c r="K3778" s="115" t="str">
        <x:v>Pièces décrites, murs, portes, niveaux et mobilier inspectables à l’échelle. Volumes réservés, raccord au seed, butin, rencontres et services de campagne restent à terminer.</x:v>
      </x:c>
    </x:row>
    <x:row r="3779" ht="96" customHeight="1">
      <x:c r="A3779" s="115" t="str">
        <x:v>EXT-MONDE-T076-V24</x:v>
      </x:c>
      <x:c r="B3779" s="115" t="str">
        <x:v>EXT-MONDE-T076</x:v>
      </x:c>
      <x:c r="C3779" s="115" t="str">
        <x:v>Ferroviaire</x:v>
      </x:c>
      <x:c r="D3779" s="115" t="str">
        <x:v>Dépôt ferroviaire</x:v>
      </x:c>
      <x:c r="E3779" s="115" t="n">
        <x:v>24</x:v>
      </x:c>
      <x:c r="F3779" s="115" t="str">
        <x:v>Inspection physique</x:v>
      </x:c>
      <x:c r="G3779" s="115" t="str">
        <x:v>1 niveaux ; 36 pièces ; 265 segments de mur ; 0 transitions. Inspection physique ; architecture complète encore ouverte.</x:v>
      </x:c>
      <x:c r="H3779" s="115" t="str">
        <x:v>L 800 ; l 2420 ; hauteur 7,4 m ; choix de composition auteur ; dimensions réelles à documenter</x:v>
      </x:c>
      <x:c r="I3779" s="115" t="str">
        <x:v>À équilibrer</x:v>
      </x:c>
      <x:c r="J3779" s="115" t="str">
        <x:v>Non</x:v>
      </x:c>
      <x:c r="K3779" s="115" t="str">
        <x:v>Pièces décrites, murs, portes, niveaux et mobilier inspectables à l’échelle. Volumes réservés, raccord au seed, butin, rencontres et services de campagne restent à terminer.</x:v>
      </x:c>
    </x:row>
    <x:row r="3780" ht="96" customHeight="1">
      <x:c r="A3780" s="115" t="str">
        <x:v>EXT-MONDE-T076-V25</x:v>
      </x:c>
      <x:c r="B3780" s="115" t="str">
        <x:v>EXT-MONDE-T076</x:v>
      </x:c>
      <x:c r="C3780" s="115" t="str">
        <x:v>Ferroviaire</x:v>
      </x:c>
      <x:c r="D3780" s="115" t="str">
        <x:v>Dépôt ferroviaire</x:v>
      </x:c>
      <x:c r="E3780" s="115" t="n">
        <x:v>25</x:v>
      </x:c>
      <x:c r="F3780" s="115" t="str">
        <x:v>Inspection physique</x:v>
      </x:c>
      <x:c r="G3780" s="115" t="str">
        <x:v>1 niveaux ; 36 pièces ; 265 segments de mur ; 0 transitions. Inspection physique ; architecture complète encore ouverte.</x:v>
      </x:c>
      <x:c r="H3780" s="115" t="str">
        <x:v>L 800 ; l 2420 ; hauteur 7,4 m ; choix de composition auteur ; dimensions réelles à documenter</x:v>
      </x:c>
      <x:c r="I3780" s="115" t="str">
        <x:v>À équilibrer</x:v>
      </x:c>
      <x:c r="J3780" s="115" t="str">
        <x:v>Non</x:v>
      </x:c>
      <x:c r="K3780" s="115" t="str">
        <x:v>Pièces décrites, murs, portes, niveaux et mobilier inspectables à l’échelle. Volumes réservés, raccord au seed, butin, rencontres et services de campagne restent à terminer.</x:v>
      </x:c>
    </x:row>
    <x:row r="3781" ht="96" customHeight="1">
      <x:c r="A3781" s="115" t="str">
        <x:v>EXT-MONDE-T076-V26</x:v>
      </x:c>
      <x:c r="B3781" s="115" t="str">
        <x:v>EXT-MONDE-T076</x:v>
      </x:c>
      <x:c r="C3781" s="115" t="str">
        <x:v>Ferroviaire</x:v>
      </x:c>
      <x:c r="D3781" s="115" t="str">
        <x:v>Dépôt ferroviaire</x:v>
      </x:c>
      <x:c r="E3781" s="115" t="n">
        <x:v>26</x:v>
      </x:c>
      <x:c r="F3781" s="115" t="str">
        <x:v>Inspection physique</x:v>
      </x:c>
      <x:c r="G3781" s="115" t="str">
        <x:v>1 niveaux ; 36 pièces ; 265 segments de mur ; 0 transitions. Inspection physique ; architecture complète encore ouverte.</x:v>
      </x:c>
      <x:c r="H3781" s="115" t="str">
        <x:v>L 800 ; l 2420 ; hauteur 7,4 m ; choix de composition auteur ; dimensions réelles à documenter</x:v>
      </x:c>
      <x:c r="I3781" s="115" t="str">
        <x:v>À équilibrer</x:v>
      </x:c>
      <x:c r="J3781" s="115" t="str">
        <x:v>Non</x:v>
      </x:c>
      <x:c r="K3781" s="115" t="str">
        <x:v>Pièces décrites, murs, portes, niveaux et mobilier inspectables à l’échelle. Volumes réservés, raccord au seed, butin, rencontres et services de campagne restent à terminer.</x:v>
      </x:c>
    </x:row>
    <x:row r="3782" ht="96" customHeight="1">
      <x:c r="A3782" s="115" t="str">
        <x:v>EXT-MONDE-T076-V27</x:v>
      </x:c>
      <x:c r="B3782" s="115" t="str">
        <x:v>EXT-MONDE-T076</x:v>
      </x:c>
      <x:c r="C3782" s="115" t="str">
        <x:v>Ferroviaire</x:v>
      </x:c>
      <x:c r="D3782" s="115" t="str">
        <x:v>Dépôt ferroviaire</x:v>
      </x:c>
      <x:c r="E3782" s="115" t="n">
        <x:v>27</x:v>
      </x:c>
      <x:c r="F3782" s="115" t="str">
        <x:v>Inspection physique</x:v>
      </x:c>
      <x:c r="G3782" s="115" t="str">
        <x:v>1 niveaux ; 36 pièces ; 265 segments de mur ; 0 transitions. Inspection physique ; architecture complète encore ouverte.</x:v>
      </x:c>
      <x:c r="H3782" s="115" t="str">
        <x:v>L 800 ; l 2420 ; hauteur 7,4 m ; choix de composition auteur ; dimensions réelles à documenter</x:v>
      </x:c>
      <x:c r="I3782" s="115" t="str">
        <x:v>À équilibrer</x:v>
      </x:c>
      <x:c r="J3782" s="115" t="str">
        <x:v>Non</x:v>
      </x:c>
      <x:c r="K3782" s="115" t="str">
        <x:v>Pièces décrites, murs, portes, niveaux et mobilier inspectables à l’échelle. Volumes réservés, raccord au seed, butin, rencontres et services de campagne restent à terminer.</x:v>
      </x:c>
    </x:row>
    <x:row r="3783" ht="96" customHeight="1">
      <x:c r="A3783" s="115" t="str">
        <x:v>EXT-MONDE-T076-V28</x:v>
      </x:c>
      <x:c r="B3783" s="115" t="str">
        <x:v>EXT-MONDE-T076</x:v>
      </x:c>
      <x:c r="C3783" s="115" t="str">
        <x:v>Ferroviaire</x:v>
      </x:c>
      <x:c r="D3783" s="115" t="str">
        <x:v>Dépôt ferroviaire</x:v>
      </x:c>
      <x:c r="E3783" s="115" t="n">
        <x:v>28</x:v>
      </x:c>
      <x:c r="F3783" s="115" t="str">
        <x:v>Inspection physique</x:v>
      </x:c>
      <x:c r="G3783" s="115" t="str">
        <x:v>1 niveaux ; 36 pièces ; 265 segments de mur ; 0 transitions. Inspection physique ; architecture complète encore ouverte.</x:v>
      </x:c>
      <x:c r="H3783" s="115" t="str">
        <x:v>L 800 ; l 2420 ; hauteur 7,4 m ; choix de composition auteur ; dimensions réelles à documenter</x:v>
      </x:c>
      <x:c r="I3783" s="115" t="str">
        <x:v>À équilibrer</x:v>
      </x:c>
      <x:c r="J3783" s="115" t="str">
        <x:v>Non</x:v>
      </x:c>
      <x:c r="K3783" s="115" t="str">
        <x:v>Pièces décrites, murs, portes, niveaux et mobilier inspectables à l’échelle. Volumes réservés, raccord au seed, butin, rencontres et services de campagne restent à terminer.</x:v>
      </x:c>
    </x:row>
    <x:row r="3784" ht="96" customHeight="1">
      <x:c r="A3784" s="115" t="str">
        <x:v>EXT-MONDE-T076-V29</x:v>
      </x:c>
      <x:c r="B3784" s="115" t="str">
        <x:v>EXT-MONDE-T076</x:v>
      </x:c>
      <x:c r="C3784" s="115" t="str">
        <x:v>Ferroviaire</x:v>
      </x:c>
      <x:c r="D3784" s="115" t="str">
        <x:v>Dépôt ferroviaire</x:v>
      </x:c>
      <x:c r="E3784" s="115" t="n">
        <x:v>29</x:v>
      </x:c>
      <x:c r="F3784" s="115" t="str">
        <x:v>Inspection physique</x:v>
      </x:c>
      <x:c r="G3784" s="115" t="str">
        <x:v>1 niveaux ; 36 pièces ; 265 segments de mur ; 0 transitions. Inspection physique ; architecture complète encore ouverte.</x:v>
      </x:c>
      <x:c r="H3784" s="115" t="str">
        <x:v>L 800 ; l 2420 ; hauteur 7,4 m ; choix de composition auteur ; dimensions réelles à documenter</x:v>
      </x:c>
      <x:c r="I3784" s="115" t="str">
        <x:v>À équilibrer</x:v>
      </x:c>
      <x:c r="J3784" s="115" t="str">
        <x:v>Non</x:v>
      </x:c>
      <x:c r="K3784" s="115" t="str">
        <x:v>Pièces décrites, murs, portes, niveaux et mobilier inspectables à l’échelle. Volumes réservés, raccord au seed, butin, rencontres et services de campagne restent à terminer.</x:v>
      </x:c>
    </x:row>
    <x:row r="3785" ht="96" customHeight="1">
      <x:c r="A3785" s="115" t="str">
        <x:v>EXT-MONDE-T076-V30</x:v>
      </x:c>
      <x:c r="B3785" s="115" t="str">
        <x:v>EXT-MONDE-T076</x:v>
      </x:c>
      <x:c r="C3785" s="115" t="str">
        <x:v>Ferroviaire</x:v>
      </x:c>
      <x:c r="D3785" s="115" t="str">
        <x:v>Dépôt ferroviaire</x:v>
      </x:c>
      <x:c r="E3785" s="115" t="n">
        <x:v>30</x:v>
      </x:c>
      <x:c r="F3785" s="115" t="str">
        <x:v>Inspection physique</x:v>
      </x:c>
      <x:c r="G3785" s="115" t="str">
        <x:v>1 niveaux ; 36 pièces ; 265 segments de mur ; 0 transitions. Inspection physique ; architecture complète encore ouverte.</x:v>
      </x:c>
      <x:c r="H3785" s="115" t="str">
        <x:v>L 800 ; l 2420 ; hauteur 7,4 m ; choix de composition auteur ; dimensions réelles à documenter</x:v>
      </x:c>
      <x:c r="I3785" s="115" t="str">
        <x:v>À équilibrer</x:v>
      </x:c>
      <x:c r="J3785" s="115" t="str">
        <x:v>Non</x:v>
      </x:c>
      <x:c r="K3785" s="115" t="str">
        <x:v>Pièces décrites, murs, portes, niveaux et mobilier inspectables à l’échelle. Volumes réservés, raccord au seed, butin, rencontres et services de campagne restent à terminer.</x:v>
      </x:c>
    </x:row>
    <x:row r="3786" ht="96" customHeight="1">
      <x:c r="A3786" s="115" t="str">
        <x:v>EXT-MONDE-T076-V31</x:v>
      </x:c>
      <x:c r="B3786" s="115" t="str">
        <x:v>EXT-MONDE-T076</x:v>
      </x:c>
      <x:c r="C3786" s="115" t="str">
        <x:v>Ferroviaire</x:v>
      </x:c>
      <x:c r="D3786" s="115" t="str">
        <x:v>Dépôt ferroviaire</x:v>
      </x:c>
      <x:c r="E3786" s="115" t="n">
        <x:v>31</x:v>
      </x:c>
      <x:c r="F3786" s="115" t="str">
        <x:v>Inspection physique</x:v>
      </x:c>
      <x:c r="G3786" s="115" t="str">
        <x:v>1 niveaux ; 36 pièces ; 265 segments de mur ; 0 transitions. Inspection physique ; architecture complète encore ouverte.</x:v>
      </x:c>
      <x:c r="H3786" s="115" t="str">
        <x:v>L 800 ; l 2580 ; hauteur 7,6 m ; choix de composition auteur ; dimensions réelles à documenter</x:v>
      </x:c>
      <x:c r="I3786" s="115" t="str">
        <x:v>À équilibrer</x:v>
      </x:c>
      <x:c r="J3786" s="115" t="str">
        <x:v>Non</x:v>
      </x:c>
      <x:c r="K3786" s="115" t="str">
        <x:v>Pièces décrites, murs, portes, niveaux et mobilier inspectables à l’échelle. Volumes réservés, raccord au seed, butin, rencontres et services de campagne restent à terminer.</x:v>
      </x:c>
    </x:row>
    <x:row r="3787" ht="96" customHeight="1">
      <x:c r="A3787" s="115" t="str">
        <x:v>EXT-MONDE-T076-V32</x:v>
      </x:c>
      <x:c r="B3787" s="115" t="str">
        <x:v>EXT-MONDE-T076</x:v>
      </x:c>
      <x:c r="C3787" s="115" t="str">
        <x:v>Ferroviaire</x:v>
      </x:c>
      <x:c r="D3787" s="115" t="str">
        <x:v>Dépôt ferroviaire</x:v>
      </x:c>
      <x:c r="E3787" s="115" t="n">
        <x:v>32</x:v>
      </x:c>
      <x:c r="F3787" s="115" t="str">
        <x:v>Inspection physique</x:v>
      </x:c>
      <x:c r="G3787" s="115" t="str">
        <x:v>1 niveaux ; 36 pièces ; 265 segments de mur ; 0 transitions. Inspection physique ; architecture complète encore ouverte.</x:v>
      </x:c>
      <x:c r="H3787" s="115" t="str">
        <x:v>L 800 ; l 2580 ; hauteur 7,6 m ; choix de composition auteur ; dimensions réelles à documenter</x:v>
      </x:c>
      <x:c r="I3787" s="115" t="str">
        <x:v>À équilibrer</x:v>
      </x:c>
      <x:c r="J3787" s="115" t="str">
        <x:v>Non</x:v>
      </x:c>
      <x:c r="K3787" s="115" t="str">
        <x:v>Pièces décrites, murs, portes, niveaux et mobilier inspectables à l’échelle. Volumes réservés, raccord au seed, butin, rencontres et services de campagne restent à terminer.</x:v>
      </x:c>
    </x:row>
    <x:row r="3788" ht="96" customHeight="1">
      <x:c r="A3788" s="115" t="str">
        <x:v>EXT-MONDE-T076-V33</x:v>
      </x:c>
      <x:c r="B3788" s="115" t="str">
        <x:v>EXT-MONDE-T076</x:v>
      </x:c>
      <x:c r="C3788" s="115" t="str">
        <x:v>Ferroviaire</x:v>
      </x:c>
      <x:c r="D3788" s="115" t="str">
        <x:v>Dépôt ferroviaire</x:v>
      </x:c>
      <x:c r="E3788" s="115" t="n">
        <x:v>33</x:v>
      </x:c>
      <x:c r="F3788" s="115" t="str">
        <x:v>Inspection physique</x:v>
      </x:c>
      <x:c r="G3788" s="115" t="str">
        <x:v>1 niveaux ; 36 pièces ; 265 segments de mur ; 0 transitions. Inspection physique ; architecture complète encore ouverte.</x:v>
      </x:c>
      <x:c r="H3788" s="115" t="str">
        <x:v>L 800 ; l 2580 ; hauteur 7,6 m ; choix de composition auteur ; dimensions réelles à documenter</x:v>
      </x:c>
      <x:c r="I3788" s="115" t="str">
        <x:v>À équilibrer</x:v>
      </x:c>
      <x:c r="J3788" s="115" t="str">
        <x:v>Non</x:v>
      </x:c>
      <x:c r="K3788" s="115" t="str">
        <x:v>Pièces décrites, murs, portes, niveaux et mobilier inspectables à l’échelle. Volumes réservés, raccord au seed, butin, rencontres et services de campagne restent à terminer.</x:v>
      </x:c>
    </x:row>
    <x:row r="3789" ht="96" customHeight="1">
      <x:c r="A3789" s="115" t="str">
        <x:v>EXT-MONDE-T076-V34</x:v>
      </x:c>
      <x:c r="B3789" s="115" t="str">
        <x:v>EXT-MONDE-T076</x:v>
      </x:c>
      <x:c r="C3789" s="115" t="str">
        <x:v>Ferroviaire</x:v>
      </x:c>
      <x:c r="D3789" s="115" t="str">
        <x:v>Dépôt ferroviaire</x:v>
      </x:c>
      <x:c r="E3789" s="115" t="n">
        <x:v>34</x:v>
      </x:c>
      <x:c r="F3789" s="115" t="str">
        <x:v>Inspection physique</x:v>
      </x:c>
      <x:c r="G3789" s="115" t="str">
        <x:v>1 niveaux ; 36 pièces ; 265 segments de mur ; 0 transitions. Inspection physique ; architecture complète encore ouverte.</x:v>
      </x:c>
      <x:c r="H3789" s="115" t="str">
        <x:v>L 800 ; l 2580 ; hauteur 7,6 m ; choix de composition auteur ; dimensions réelles à documenter</x:v>
      </x:c>
      <x:c r="I3789" s="115" t="str">
        <x:v>À équilibrer</x:v>
      </x:c>
      <x:c r="J3789" s="115" t="str">
        <x:v>Non</x:v>
      </x:c>
      <x:c r="K3789" s="115" t="str">
        <x:v>Pièces décrites, murs, portes, niveaux et mobilier inspectables à l’échelle. Volumes réservés, raccord au seed, butin, rencontres et services de campagne restent à terminer.</x:v>
      </x:c>
    </x:row>
    <x:row r="3790" ht="96" customHeight="1">
      <x:c r="A3790" s="115" t="str">
        <x:v>EXT-MONDE-T076-V35</x:v>
      </x:c>
      <x:c r="B3790" s="115" t="str">
        <x:v>EXT-MONDE-T076</x:v>
      </x:c>
      <x:c r="C3790" s="115" t="str">
        <x:v>Ferroviaire</x:v>
      </x:c>
      <x:c r="D3790" s="115" t="str">
        <x:v>Dépôt ferroviaire</x:v>
      </x:c>
      <x:c r="E3790" s="115" t="n">
        <x:v>35</x:v>
      </x:c>
      <x:c r="F3790" s="115" t="str">
        <x:v>Inspection physique</x:v>
      </x:c>
      <x:c r="G3790" s="115" t="str">
        <x:v>1 niveaux ; 36 pièces ; 265 segments de mur ; 0 transitions. Inspection physique ; architecture complète encore ouverte.</x:v>
      </x:c>
      <x:c r="H3790" s="115" t="str">
        <x:v>L 800 ; l 2580 ; hauteur 7,6 m ; choix de composition auteur ; dimensions réelles à documenter</x:v>
      </x:c>
      <x:c r="I3790" s="115" t="str">
        <x:v>À équilibrer</x:v>
      </x:c>
      <x:c r="J3790" s="115" t="str">
        <x:v>Non</x:v>
      </x:c>
      <x:c r="K3790" s="115" t="str">
        <x:v>Pièces décrites, murs, portes, niveaux et mobilier inspectables à l’échelle. Volumes réservés, raccord au seed, butin, rencontres et services de campagne restent à terminer.</x:v>
      </x:c>
    </x:row>
    <x:row r="3791" ht="96" customHeight="1">
      <x:c r="A3791" s="115" t="str">
        <x:v>EXT-MONDE-T076-V36</x:v>
      </x:c>
      <x:c r="B3791" s="115" t="str">
        <x:v>EXT-MONDE-T076</x:v>
      </x:c>
      <x:c r="C3791" s="115" t="str">
        <x:v>Ferroviaire</x:v>
      </x:c>
      <x:c r="D3791" s="115" t="str">
        <x:v>Dépôt ferroviaire</x:v>
      </x:c>
      <x:c r="E3791" s="115" t="n">
        <x:v>36</x:v>
      </x:c>
      <x:c r="F3791" s="115" t="str">
        <x:v>Inspection physique</x:v>
      </x:c>
      <x:c r="G3791" s="115" t="str">
        <x:v>1 niveaux ; 36 pièces ; 265 segments de mur ; 0 transitions. Inspection physique ; architecture complète encore ouverte.</x:v>
      </x:c>
      <x:c r="H3791" s="115" t="str">
        <x:v>L 800 ; l 2580 ; hauteur 7,6 m ; choix de composition auteur ; dimensions réelles à documenter</x:v>
      </x:c>
      <x:c r="I3791" s="115" t="str">
        <x:v>À équilibrer</x:v>
      </x:c>
      <x:c r="J3791" s="115" t="str">
        <x:v>Non</x:v>
      </x:c>
      <x:c r="K3791" s="115" t="str">
        <x:v>Pièces décrites, murs, portes, niveaux et mobilier inspectables à l’échelle. Volumes réservés, raccord au seed, butin, rencontres et services de campagne restent à terminer.</x:v>
      </x:c>
    </x:row>
    <x:row r="3792" ht="96" customHeight="1">
      <x:c r="A3792" s="115" t="str">
        <x:v>EXT-MONDE-T076-V37</x:v>
      </x:c>
      <x:c r="B3792" s="115" t="str">
        <x:v>EXT-MONDE-T076</x:v>
      </x:c>
      <x:c r="C3792" s="115" t="str">
        <x:v>Ferroviaire</x:v>
      </x:c>
      <x:c r="D3792" s="115" t="str">
        <x:v>Dépôt ferroviaire</x:v>
      </x:c>
      <x:c r="E3792" s="115" t="n">
        <x:v>37</x:v>
      </x:c>
      <x:c r="F3792" s="115" t="str">
        <x:v>Inspection physique</x:v>
      </x:c>
      <x:c r="G3792" s="115" t="str">
        <x:v>1 niveaux ; 36 pièces ; 265 segments de mur ; 0 transitions. Inspection physique ; architecture complète encore ouverte.</x:v>
      </x:c>
      <x:c r="H3792" s="115" t="str">
        <x:v>L 800 ; l 2580 ; hauteur 7,6 m ; choix de composition auteur ; dimensions réelles à documenter</x:v>
      </x:c>
      <x:c r="I3792" s="115" t="str">
        <x:v>À équilibrer</x:v>
      </x:c>
      <x:c r="J3792" s="115" t="str">
        <x:v>Non</x:v>
      </x:c>
      <x:c r="K3792" s="115" t="str">
        <x:v>Pièces décrites, murs, portes, niveaux et mobilier inspectables à l’échelle. Volumes réservés, raccord au seed, butin, rencontres et services de campagne restent à terminer.</x:v>
      </x:c>
    </x:row>
    <x:row r="3793" ht="96" customHeight="1">
      <x:c r="A3793" s="115" t="str">
        <x:v>EXT-MONDE-T076-V38</x:v>
      </x:c>
      <x:c r="B3793" s="115" t="str">
        <x:v>EXT-MONDE-T076</x:v>
      </x:c>
      <x:c r="C3793" s="115" t="str">
        <x:v>Ferroviaire</x:v>
      </x:c>
      <x:c r="D3793" s="115" t="str">
        <x:v>Dépôt ferroviaire</x:v>
      </x:c>
      <x:c r="E3793" s="115" t="n">
        <x:v>38</x:v>
      </x:c>
      <x:c r="F3793" s="115" t="str">
        <x:v>Inspection physique</x:v>
      </x:c>
      <x:c r="G3793" s="115" t="str">
        <x:v>1 niveaux ; 36 pièces ; 265 segments de mur ; 0 transitions. Inspection physique ; architecture complète encore ouverte.</x:v>
      </x:c>
      <x:c r="H3793" s="115" t="str">
        <x:v>L 800 ; l 2580 ; hauteur 7,6 m ; choix de composition auteur ; dimensions réelles à documenter</x:v>
      </x:c>
      <x:c r="I3793" s="115" t="str">
        <x:v>À équilibrer</x:v>
      </x:c>
      <x:c r="J3793" s="115" t="str">
        <x:v>Non</x:v>
      </x:c>
      <x:c r="K3793" s="115" t="str">
        <x:v>Pièces décrites, murs, portes, niveaux et mobilier inspectables à l’échelle. Volumes réservés, raccord au seed, butin, rencontres et services de campagne restent à terminer.</x:v>
      </x:c>
    </x:row>
    <x:row r="3794" ht="96" customHeight="1">
      <x:c r="A3794" s="115" t="str">
        <x:v>EXT-MONDE-T076-V39</x:v>
      </x:c>
      <x:c r="B3794" s="115" t="str">
        <x:v>EXT-MONDE-T076</x:v>
      </x:c>
      <x:c r="C3794" s="115" t="str">
        <x:v>Ferroviaire</x:v>
      </x:c>
      <x:c r="D3794" s="115" t="str">
        <x:v>Dépôt ferroviaire</x:v>
      </x:c>
      <x:c r="E3794" s="115" t="n">
        <x:v>39</x:v>
      </x:c>
      <x:c r="F3794" s="115" t="str">
        <x:v>Inspection physique</x:v>
      </x:c>
      <x:c r="G3794" s="115" t="str">
        <x:v>1 niveaux ; 36 pièces ; 265 segments de mur ; 0 transitions. Inspection physique ; architecture complète encore ouverte.</x:v>
      </x:c>
      <x:c r="H3794" s="115" t="str">
        <x:v>L 800 ; l 2580 ; hauteur 7,6 m ; choix de composition auteur ; dimensions réelles à documenter</x:v>
      </x:c>
      <x:c r="I3794" s="115" t="str">
        <x:v>À équilibrer</x:v>
      </x:c>
      <x:c r="J3794" s="115" t="str">
        <x:v>Non</x:v>
      </x:c>
      <x:c r="K3794" s="115" t="str">
        <x:v>Pièces décrites, murs, portes, niveaux et mobilier inspectables à l’échelle. Volumes réservés, raccord au seed, butin, rencontres et services de campagne restent à terminer.</x:v>
      </x:c>
    </x:row>
    <x:row r="3795" ht="96" customHeight="1">
      <x:c r="A3795" s="115" t="str">
        <x:v>EXT-MONDE-T076-V40</x:v>
      </x:c>
      <x:c r="B3795" s="115" t="str">
        <x:v>EXT-MONDE-T076</x:v>
      </x:c>
      <x:c r="C3795" s="115" t="str">
        <x:v>Ferroviaire</x:v>
      </x:c>
      <x:c r="D3795" s="115" t="str">
        <x:v>Dépôt ferroviaire</x:v>
      </x:c>
      <x:c r="E3795" s="115" t="n">
        <x:v>40</x:v>
      </x:c>
      <x:c r="F3795" s="115" t="str">
        <x:v>Inspection physique</x:v>
      </x:c>
      <x:c r="G3795" s="115" t="str">
        <x:v>1 niveaux ; 36 pièces ; 265 segments de mur ; 0 transitions. Inspection physique ; architecture complète encore ouverte.</x:v>
      </x:c>
      <x:c r="H3795" s="115" t="str">
        <x:v>L 800 ; l 2580 ; hauteur 7,6 m ; choix de composition auteur ; dimensions réelles à documenter</x:v>
      </x:c>
      <x:c r="I3795" s="115" t="str">
        <x:v>À équilibrer</x:v>
      </x:c>
      <x:c r="J3795" s="115" t="str">
        <x:v>Non</x:v>
      </x:c>
      <x:c r="K3795" s="115" t="str">
        <x:v>Pièces décrites, murs, portes, niveaux et mobilier inspectables à l’échelle. Volumes réservés, raccord au seed, butin, rencontres et services de campagne restent à terminer.</x:v>
      </x:c>
    </x:row>
    <x:row r="3796" ht="96" customHeight="1">
      <x:c r="A3796" s="115" t="str">
        <x:v>EXT-MONDE-T076-V41</x:v>
      </x:c>
      <x:c r="B3796" s="115" t="str">
        <x:v>EXT-MONDE-T076</x:v>
      </x:c>
      <x:c r="C3796" s="115" t="str">
        <x:v>Ferroviaire</x:v>
      </x:c>
      <x:c r="D3796" s="115" t="str">
        <x:v>Dépôt ferroviaire</x:v>
      </x:c>
      <x:c r="E3796" s="115" t="n">
        <x:v>41</x:v>
      </x:c>
      <x:c r="F3796" s="115" t="str">
        <x:v>Inspection physique</x:v>
      </x:c>
      <x:c r="G3796" s="115" t="str">
        <x:v>1 niveaux ; 36 pièces ; 265 segments de mur ; 0 transitions. Inspection physique ; architecture complète encore ouverte.</x:v>
      </x:c>
      <x:c r="H3796" s="115" t="str">
        <x:v>L 800 ; l 2740 ; hauteur 7,8 m ; choix de composition auteur ; dimensions réelles à documenter</x:v>
      </x:c>
      <x:c r="I3796" s="115" t="str">
        <x:v>À équilibrer</x:v>
      </x:c>
      <x:c r="J3796" s="115" t="str">
        <x:v>Non</x:v>
      </x:c>
      <x:c r="K3796" s="115" t="str">
        <x:v>Pièces décrites, murs, portes, niveaux et mobilier inspectables à l’échelle. Volumes réservés, raccord au seed, butin, rencontres et services de campagne restent à terminer.</x:v>
      </x:c>
    </x:row>
    <x:row r="3797" ht="96" customHeight="1">
      <x:c r="A3797" s="115" t="str">
        <x:v>EXT-MONDE-T076-V42</x:v>
      </x:c>
      <x:c r="B3797" s="115" t="str">
        <x:v>EXT-MONDE-T076</x:v>
      </x:c>
      <x:c r="C3797" s="115" t="str">
        <x:v>Ferroviaire</x:v>
      </x:c>
      <x:c r="D3797" s="115" t="str">
        <x:v>Dépôt ferroviaire</x:v>
      </x:c>
      <x:c r="E3797" s="115" t="n">
        <x:v>42</x:v>
      </x:c>
      <x:c r="F3797" s="115" t="str">
        <x:v>Inspection physique</x:v>
      </x:c>
      <x:c r="G3797" s="115" t="str">
        <x:v>1 niveaux ; 36 pièces ; 265 segments de mur ; 0 transitions. Inspection physique ; architecture complète encore ouverte.</x:v>
      </x:c>
      <x:c r="H3797" s="115" t="str">
        <x:v>L 800 ; l 2740 ; hauteur 7,8 m ; choix de composition auteur ; dimensions réelles à documenter</x:v>
      </x:c>
      <x:c r="I3797" s="115" t="str">
        <x:v>À équilibrer</x:v>
      </x:c>
      <x:c r="J3797" s="115" t="str">
        <x:v>Non</x:v>
      </x:c>
      <x:c r="K3797" s="115" t="str">
        <x:v>Pièces décrites, murs, portes, niveaux et mobilier inspectables à l’échelle. Volumes réservés, raccord au seed, butin, rencontres et services de campagne restent à terminer.</x:v>
      </x:c>
    </x:row>
    <x:row r="3798" ht="96" customHeight="1">
      <x:c r="A3798" s="115" t="str">
        <x:v>EXT-MONDE-T076-V43</x:v>
      </x:c>
      <x:c r="B3798" s="115" t="str">
        <x:v>EXT-MONDE-T076</x:v>
      </x:c>
      <x:c r="C3798" s="115" t="str">
        <x:v>Ferroviaire</x:v>
      </x:c>
      <x:c r="D3798" s="115" t="str">
        <x:v>Dépôt ferroviaire</x:v>
      </x:c>
      <x:c r="E3798" s="115" t="n">
        <x:v>43</x:v>
      </x:c>
      <x:c r="F3798" s="115" t="str">
        <x:v>Inspection physique</x:v>
      </x:c>
      <x:c r="G3798" s="115" t="str">
        <x:v>1 niveaux ; 36 pièces ; 265 segments de mur ; 0 transitions. Inspection physique ; architecture complète encore ouverte.</x:v>
      </x:c>
      <x:c r="H3798" s="115" t="str">
        <x:v>L 800 ; l 2740 ; hauteur 7,8 m ; choix de composition auteur ; dimensions réelles à documenter</x:v>
      </x:c>
      <x:c r="I3798" s="115" t="str">
        <x:v>À équilibrer</x:v>
      </x:c>
      <x:c r="J3798" s="115" t="str">
        <x:v>Non</x:v>
      </x:c>
      <x:c r="K3798" s="115" t="str">
        <x:v>Pièces décrites, murs, portes, niveaux et mobilier inspectables à l’échelle. Volumes réservés, raccord au seed, butin, rencontres et services de campagne restent à terminer.</x:v>
      </x:c>
    </x:row>
    <x:row r="3799" ht="96" customHeight="1">
      <x:c r="A3799" s="115" t="str">
        <x:v>EXT-MONDE-T076-V44</x:v>
      </x:c>
      <x:c r="B3799" s="115" t="str">
        <x:v>EXT-MONDE-T076</x:v>
      </x:c>
      <x:c r="C3799" s="115" t="str">
        <x:v>Ferroviaire</x:v>
      </x:c>
      <x:c r="D3799" s="115" t="str">
        <x:v>Dépôt ferroviaire</x:v>
      </x:c>
      <x:c r="E3799" s="115" t="n">
        <x:v>44</x:v>
      </x:c>
      <x:c r="F3799" s="115" t="str">
        <x:v>Inspection physique</x:v>
      </x:c>
      <x:c r="G3799" s="115" t="str">
        <x:v>1 niveaux ; 36 pièces ; 265 segments de mur ; 0 transitions. Inspection physique ; architecture complète encore ouverte.</x:v>
      </x:c>
      <x:c r="H3799" s="115" t="str">
        <x:v>L 800 ; l 2740 ; hauteur 7,8 m ; choix de composition auteur ; dimensions réelles à documenter</x:v>
      </x:c>
      <x:c r="I3799" s="115" t="str">
        <x:v>À équilibrer</x:v>
      </x:c>
      <x:c r="J3799" s="115" t="str">
        <x:v>Non</x:v>
      </x:c>
      <x:c r="K3799" s="115" t="str">
        <x:v>Pièces décrites, murs, portes, niveaux et mobilier inspectables à l’échelle. Volumes réservés, raccord au seed, butin, rencontres et services de campagne restent à terminer.</x:v>
      </x:c>
    </x:row>
    <x:row r="3800" ht="96" customHeight="1">
      <x:c r="A3800" s="115" t="str">
        <x:v>EXT-MONDE-T076-V45</x:v>
      </x:c>
      <x:c r="B3800" s="115" t="str">
        <x:v>EXT-MONDE-T076</x:v>
      </x:c>
      <x:c r="C3800" s="115" t="str">
        <x:v>Ferroviaire</x:v>
      </x:c>
      <x:c r="D3800" s="115" t="str">
        <x:v>Dépôt ferroviaire</x:v>
      </x:c>
      <x:c r="E3800" s="115" t="n">
        <x:v>45</x:v>
      </x:c>
      <x:c r="F3800" s="115" t="str">
        <x:v>Inspection physique</x:v>
      </x:c>
      <x:c r="G3800" s="115" t="str">
        <x:v>1 niveaux ; 36 pièces ; 265 segments de mur ; 0 transitions. Inspection physique ; architecture complète encore ouverte.</x:v>
      </x:c>
      <x:c r="H3800" s="115" t="str">
        <x:v>L 800 ; l 2740 ; hauteur 7,8 m ; choix de composition auteur ; dimensions réelles à documenter</x:v>
      </x:c>
      <x:c r="I3800" s="115" t="str">
        <x:v>À équilibrer</x:v>
      </x:c>
      <x:c r="J3800" s="115" t="str">
        <x:v>Non</x:v>
      </x:c>
      <x:c r="K3800" s="115" t="str">
        <x:v>Pièces décrites, murs, portes, niveaux et mobilier inspectables à l’échelle. Volumes réservés, raccord au seed, butin, rencontres et services de campagne restent à terminer.</x:v>
      </x:c>
    </x:row>
    <x:row r="3801" ht="96" customHeight="1">
      <x:c r="A3801" s="115" t="str">
        <x:v>EXT-MONDE-T076-V46</x:v>
      </x:c>
      <x:c r="B3801" s="115" t="str">
        <x:v>EXT-MONDE-T076</x:v>
      </x:c>
      <x:c r="C3801" s="115" t="str">
        <x:v>Ferroviaire</x:v>
      </x:c>
      <x:c r="D3801" s="115" t="str">
        <x:v>Dépôt ferroviaire</x:v>
      </x:c>
      <x:c r="E3801" s="115" t="n">
        <x:v>46</x:v>
      </x:c>
      <x:c r="F3801" s="115" t="str">
        <x:v>Inspection physique</x:v>
      </x:c>
      <x:c r="G3801" s="115" t="str">
        <x:v>1 niveaux ; 36 pièces ; 265 segments de mur ; 0 transitions. Inspection physique ; architecture complète encore ouverte.</x:v>
      </x:c>
      <x:c r="H3801" s="115" t="str">
        <x:v>L 800 ; l 2740 ; hauteur 7,8 m ; choix de composition auteur ; dimensions réelles à documenter</x:v>
      </x:c>
      <x:c r="I3801" s="115" t="str">
        <x:v>À équilibrer</x:v>
      </x:c>
      <x:c r="J3801" s="115" t="str">
        <x:v>Non</x:v>
      </x:c>
      <x:c r="K3801" s="115" t="str">
        <x:v>Pièces décrites, murs, portes, niveaux et mobilier inspectables à l’échelle. Volumes réservés, raccord au seed, butin, rencontres et services de campagne restent à terminer.</x:v>
      </x:c>
    </x:row>
    <x:row r="3802" ht="96" customHeight="1">
      <x:c r="A3802" s="115" t="str">
        <x:v>EXT-MONDE-T076-V47</x:v>
      </x:c>
      <x:c r="B3802" s="115" t="str">
        <x:v>EXT-MONDE-T076</x:v>
      </x:c>
      <x:c r="C3802" s="115" t="str">
        <x:v>Ferroviaire</x:v>
      </x:c>
      <x:c r="D3802" s="115" t="str">
        <x:v>Dépôt ferroviaire</x:v>
      </x:c>
      <x:c r="E3802" s="115" t="n">
        <x:v>47</x:v>
      </x:c>
      <x:c r="F3802" s="115" t="str">
        <x:v>Inspection physique</x:v>
      </x:c>
      <x:c r="G3802" s="115" t="str">
        <x:v>1 niveaux ; 36 pièces ; 265 segments de mur ; 0 transitions. Inspection physique ; architecture complète encore ouverte.</x:v>
      </x:c>
      <x:c r="H3802" s="115" t="str">
        <x:v>L 800 ; l 2740 ; hauteur 7,8 m ; choix de composition auteur ; dimensions réelles à documenter</x:v>
      </x:c>
      <x:c r="I3802" s="115" t="str">
        <x:v>À équilibrer</x:v>
      </x:c>
      <x:c r="J3802" s="115" t="str">
        <x:v>Non</x:v>
      </x:c>
      <x:c r="K3802" s="115" t="str">
        <x:v>Pièces décrites, murs, portes, niveaux et mobilier inspectables à l’échelle. Volumes réservés, raccord au seed, butin, rencontres et services de campagne restent à terminer.</x:v>
      </x:c>
    </x:row>
    <x:row r="3803" ht="96" customHeight="1">
      <x:c r="A3803" s="115" t="str">
        <x:v>EXT-MONDE-T076-V48</x:v>
      </x:c>
      <x:c r="B3803" s="115" t="str">
        <x:v>EXT-MONDE-T076</x:v>
      </x:c>
      <x:c r="C3803" s="115" t="str">
        <x:v>Ferroviaire</x:v>
      </x:c>
      <x:c r="D3803" s="115" t="str">
        <x:v>Dépôt ferroviaire</x:v>
      </x:c>
      <x:c r="E3803" s="115" t="n">
        <x:v>48</x:v>
      </x:c>
      <x:c r="F3803" s="115" t="str">
        <x:v>Inspection physique</x:v>
      </x:c>
      <x:c r="G3803" s="115" t="str">
        <x:v>1 niveaux ; 36 pièces ; 265 segments de mur ; 0 transitions. Inspection physique ; architecture complète encore ouverte.</x:v>
      </x:c>
      <x:c r="H3803" s="115" t="str">
        <x:v>L 800 ; l 2740 ; hauteur 7,8 m ; choix de composition auteur ; dimensions réelles à documenter</x:v>
      </x:c>
      <x:c r="I3803" s="115" t="str">
        <x:v>À équilibrer</x:v>
      </x:c>
      <x:c r="J3803" s="115" t="str">
        <x:v>Non</x:v>
      </x:c>
      <x:c r="K3803" s="115" t="str">
        <x:v>Pièces décrites, murs, portes, niveaux et mobilier inspectables à l’échelle. Volumes réservés, raccord au seed, butin, rencontres et services de campagne restent à terminer.</x:v>
      </x:c>
    </x:row>
    <x:row r="3804" ht="96" customHeight="1">
      <x:c r="A3804" s="115" t="str">
        <x:v>EXT-MONDE-T076-V49</x:v>
      </x:c>
      <x:c r="B3804" s="115" t="str">
        <x:v>EXT-MONDE-T076</x:v>
      </x:c>
      <x:c r="C3804" s="115" t="str">
        <x:v>Ferroviaire</x:v>
      </x:c>
      <x:c r="D3804" s="115" t="str">
        <x:v>Dépôt ferroviaire</x:v>
      </x:c>
      <x:c r="E3804" s="115" t="n">
        <x:v>49</x:v>
      </x:c>
      <x:c r="F3804" s="115" t="str">
        <x:v>Inspection physique</x:v>
      </x:c>
      <x:c r="G3804" s="115" t="str">
        <x:v>1 niveaux ; 36 pièces ; 265 segments de mur ; 0 transitions. Inspection physique ; architecture complète encore ouverte.</x:v>
      </x:c>
      <x:c r="H3804" s="115" t="str">
        <x:v>L 800 ; l 2740 ; hauteur 7,8 m ; choix de composition auteur ; dimensions réelles à documenter</x:v>
      </x:c>
      <x:c r="I3804" s="115" t="str">
        <x:v>À équilibrer</x:v>
      </x:c>
      <x:c r="J3804" s="115" t="str">
        <x:v>Non</x:v>
      </x:c>
      <x:c r="K3804" s="115" t="str">
        <x:v>Pièces décrites, murs, portes, niveaux et mobilier inspectables à l’échelle. Volumes réservés, raccord au seed, butin, rencontres et services de campagne restent à terminer.</x:v>
      </x:c>
    </x:row>
    <x:row r="3805" ht="96" customHeight="1">
      <x:c r="A3805" s="115" t="str">
        <x:v>EXT-MONDE-T076-V50</x:v>
      </x:c>
      <x:c r="B3805" s="115" t="str">
        <x:v>EXT-MONDE-T076</x:v>
      </x:c>
      <x:c r="C3805" s="115" t="str">
        <x:v>Ferroviaire</x:v>
      </x:c>
      <x:c r="D3805" s="115" t="str">
        <x:v>Dépôt ferroviaire</x:v>
      </x:c>
      <x:c r="E3805" s="115" t="n">
        <x:v>50</x:v>
      </x:c>
      <x:c r="F3805" s="115" t="str">
        <x:v>Inspection physique</x:v>
      </x:c>
      <x:c r="G3805" s="115" t="str">
        <x:v>1 niveaux ; 36 pièces ; 265 segments de mur ; 0 transitions. Inspection physique ; architecture complète encore ouverte.</x:v>
      </x:c>
      <x:c r="H3805" s="115" t="str">
        <x:v>L 800 ; l 2740 ; hauteur 7,8 m ; choix de composition auteur ; dimensions réelles à documenter</x:v>
      </x:c>
      <x:c r="I3805" s="115" t="str">
        <x:v>À équilibrer</x:v>
      </x:c>
      <x:c r="J3805" s="115" t="str">
        <x:v>Non</x:v>
      </x:c>
      <x:c r="K3805" s="115" t="str">
        <x:v>Pièces décrites, murs, portes, niveaux et mobilier inspectables à l’échelle. Volumes réservés, raccord au seed, butin, rencontres et services de campagne restent à terminer.</x:v>
      </x:c>
    </x:row>
    <x:row r="3806" ht="96" customHeight="1">
      <x:c r="A3806" s="115" t="str">
        <x:v>EXT-MONDE-T077-V01</x:v>
      </x:c>
      <x:c r="B3806" s="115" t="str">
        <x:v>EXT-MONDE-T077</x:v>
      </x:c>
      <x:c r="C3806" s="115" t="str">
        <x:v>Îles</x:v>
      </x:c>
      <x:c r="D3806" s="115" t="str">
        <x:v>Îlot de phare</x:v>
      </x:c>
      <x:c r="E3806" s="115" t="n">
        <x:v>1</x:v>
      </x:c>
      <x:c r="F3806" s="115" t="str">
        <x:v>Inspection physique</x:v>
      </x:c>
      <x:c r="G3806" s="115" t="str">
        <x:v>1 niveaux ; 32 pièces ; 248 segments de mur ; 0 transitions. Inspection physique ; architecture complète encore ouverte.</x:v>
      </x:c>
      <x:c r="H3806" s="115" t="str">
        <x:v>L 336 ; l 276 ; hauteur 32 m ; choix de composition auteur ; dimensions réelles à documenter</x:v>
      </x:c>
      <x:c r="I3806" s="115" t="str">
        <x:v>À équilibrer</x:v>
      </x:c>
      <x:c r="J3806" s="115" t="str">
        <x:v>Non</x:v>
      </x:c>
      <x:c r="K3806" s="115" t="str">
        <x:v>Pièces décrites, murs, portes, niveaux et mobilier inspectables à l’échelle. Volumes réservés, raccord au seed, butin, rencontres et services de campagne restent à terminer.</x:v>
      </x:c>
    </x:row>
    <x:row r="3807" ht="96" customHeight="1">
      <x:c r="A3807" s="115" t="str">
        <x:v>EXT-MONDE-T077-V02</x:v>
      </x:c>
      <x:c r="B3807" s="115" t="str">
        <x:v>EXT-MONDE-T077</x:v>
      </x:c>
      <x:c r="C3807" s="115" t="str">
        <x:v>Îles</x:v>
      </x:c>
      <x:c r="D3807" s="115" t="str">
        <x:v>Îlot de phare</x:v>
      </x:c>
      <x:c r="E3807" s="115" t="n">
        <x:v>2</x:v>
      </x:c>
      <x:c r="F3807" s="115" t="str">
        <x:v>Inspection physique</x:v>
      </x:c>
      <x:c r="G3807" s="115" t="str">
        <x:v>1 niveaux ; 32 pièces ; 248 segments de mur ; 0 transitions. Inspection physique ; architecture complète encore ouverte.</x:v>
      </x:c>
      <x:c r="H3807" s="115" t="str">
        <x:v>L 336 ; l 276 ; hauteur 32 m ; choix de composition auteur ; dimensions réelles à documenter</x:v>
      </x:c>
      <x:c r="I3807" s="115" t="str">
        <x:v>À équilibrer</x:v>
      </x:c>
      <x:c r="J3807" s="115" t="str">
        <x:v>Non</x:v>
      </x:c>
      <x:c r="K3807" s="115" t="str">
        <x:v>Pièces décrites, murs, portes, niveaux et mobilier inspectables à l’échelle. Volumes réservés, raccord au seed, butin, rencontres et services de campagne restent à terminer.</x:v>
      </x:c>
    </x:row>
    <x:row r="3808" ht="96" customHeight="1">
      <x:c r="A3808" s="115" t="str">
        <x:v>EXT-MONDE-T077-V03</x:v>
      </x:c>
      <x:c r="B3808" s="115" t="str">
        <x:v>EXT-MONDE-T077</x:v>
      </x:c>
      <x:c r="C3808" s="115" t="str">
        <x:v>Îles</x:v>
      </x:c>
      <x:c r="D3808" s="115" t="str">
        <x:v>Îlot de phare</x:v>
      </x:c>
      <x:c r="E3808" s="115" t="n">
        <x:v>3</x:v>
      </x:c>
      <x:c r="F3808" s="115" t="str">
        <x:v>Inspection physique</x:v>
      </x:c>
      <x:c r="G3808" s="115" t="str">
        <x:v>1 niveaux ; 32 pièces ; 248 segments de mur ; 0 transitions. Inspection physique ; architecture complète encore ouverte.</x:v>
      </x:c>
      <x:c r="H3808" s="115" t="str">
        <x:v>L 336 ; l 276 ; hauteur 32 m ; choix de composition auteur ; dimensions réelles à documenter</x:v>
      </x:c>
      <x:c r="I3808" s="115" t="str">
        <x:v>À équilibrer</x:v>
      </x:c>
      <x:c r="J3808" s="115" t="str">
        <x:v>Non</x:v>
      </x:c>
      <x:c r="K3808" s="115" t="str">
        <x:v>Pièces décrites, murs, portes, niveaux et mobilier inspectables à l’échelle. Volumes réservés, raccord au seed, butin, rencontres et services de campagne restent à terminer.</x:v>
      </x:c>
    </x:row>
    <x:row r="3809" ht="96" customHeight="1">
      <x:c r="A3809" s="115" t="str">
        <x:v>EXT-MONDE-T077-V04</x:v>
      </x:c>
      <x:c r="B3809" s="115" t="str">
        <x:v>EXT-MONDE-T077</x:v>
      </x:c>
      <x:c r="C3809" s="115" t="str">
        <x:v>Îles</x:v>
      </x:c>
      <x:c r="D3809" s="115" t="str">
        <x:v>Îlot de phare</x:v>
      </x:c>
      <x:c r="E3809" s="115" t="n">
        <x:v>4</x:v>
      </x:c>
      <x:c r="F3809" s="115" t="str">
        <x:v>Inspection physique</x:v>
      </x:c>
      <x:c r="G3809" s="115" t="str">
        <x:v>1 niveaux ; 32 pièces ; 248 segments de mur ; 0 transitions. Inspection physique ; architecture complète encore ouverte.</x:v>
      </x:c>
      <x:c r="H3809" s="115" t="str">
        <x:v>L 336 ; l 276 ; hauteur 32 m ; choix de composition auteur ; dimensions réelles à documenter</x:v>
      </x:c>
      <x:c r="I3809" s="115" t="str">
        <x:v>À équilibrer</x:v>
      </x:c>
      <x:c r="J3809" s="115" t="str">
        <x:v>Non</x:v>
      </x:c>
      <x:c r="K3809" s="115" t="str">
        <x:v>Pièces décrites, murs, portes, niveaux et mobilier inspectables à l’échelle. Volumes réservés, raccord au seed, butin, rencontres et services de campagne restent à terminer.</x:v>
      </x:c>
    </x:row>
    <x:row r="3810" ht="96" customHeight="1">
      <x:c r="A3810" s="115" t="str">
        <x:v>EXT-MONDE-T077-V05</x:v>
      </x:c>
      <x:c r="B3810" s="115" t="str">
        <x:v>EXT-MONDE-T077</x:v>
      </x:c>
      <x:c r="C3810" s="115" t="str">
        <x:v>Îles</x:v>
      </x:c>
      <x:c r="D3810" s="115" t="str">
        <x:v>Îlot de phare</x:v>
      </x:c>
      <x:c r="E3810" s="115" t="n">
        <x:v>5</x:v>
      </x:c>
      <x:c r="F3810" s="115" t="str">
        <x:v>Inspection physique</x:v>
      </x:c>
      <x:c r="G3810" s="115" t="str">
        <x:v>1 niveaux ; 32 pièces ; 248 segments de mur ; 0 transitions. Inspection physique ; architecture complète encore ouverte.</x:v>
      </x:c>
      <x:c r="H3810" s="115" t="str">
        <x:v>L 336 ; l 276 ; hauteur 32 m ; choix de composition auteur ; dimensions réelles à documenter</x:v>
      </x:c>
      <x:c r="I3810" s="115" t="str">
        <x:v>À équilibrer</x:v>
      </x:c>
      <x:c r="J3810" s="115" t="str">
        <x:v>Non</x:v>
      </x:c>
      <x:c r="K3810" s="115" t="str">
        <x:v>Pièces décrites, murs, portes, niveaux et mobilier inspectables à l’échelle. Volumes réservés, raccord au seed, butin, rencontres et services de campagne restent à terminer.</x:v>
      </x:c>
    </x:row>
    <x:row r="3811" ht="96" customHeight="1">
      <x:c r="A3811" s="115" t="str">
        <x:v>EXT-MONDE-T077-V06</x:v>
      </x:c>
      <x:c r="B3811" s="115" t="str">
        <x:v>EXT-MONDE-T077</x:v>
      </x:c>
      <x:c r="C3811" s="115" t="str">
        <x:v>Îles</x:v>
      </x:c>
      <x:c r="D3811" s="115" t="str">
        <x:v>Îlot de phare</x:v>
      </x:c>
      <x:c r="E3811" s="115" t="n">
        <x:v>6</x:v>
      </x:c>
      <x:c r="F3811" s="115" t="str">
        <x:v>Inspection physique</x:v>
      </x:c>
      <x:c r="G3811" s="115" t="str">
        <x:v>1 niveaux ; 32 pièces ; 248 segments de mur ; 0 transitions. Inspection physique ; architecture complète encore ouverte.</x:v>
      </x:c>
      <x:c r="H3811" s="115" t="str">
        <x:v>L 336 ; l 276 ; hauteur 32 m ; choix de composition auteur ; dimensions réelles à documenter</x:v>
      </x:c>
      <x:c r="I3811" s="115" t="str">
        <x:v>À équilibrer</x:v>
      </x:c>
      <x:c r="J3811" s="115" t="str">
        <x:v>Non</x:v>
      </x:c>
      <x:c r="K3811" s="115" t="str">
        <x:v>Pièces décrites, murs, portes, niveaux et mobilier inspectables à l’échelle. Volumes réservés, raccord au seed, butin, rencontres et services de campagne restent à terminer.</x:v>
      </x:c>
    </x:row>
    <x:row r="3812" ht="96" customHeight="1">
      <x:c r="A3812" s="115" t="str">
        <x:v>EXT-MONDE-T077-V07</x:v>
      </x:c>
      <x:c r="B3812" s="115" t="str">
        <x:v>EXT-MONDE-T077</x:v>
      </x:c>
      <x:c r="C3812" s="115" t="str">
        <x:v>Îles</x:v>
      </x:c>
      <x:c r="D3812" s="115" t="str">
        <x:v>Îlot de phare</x:v>
      </x:c>
      <x:c r="E3812" s="115" t="n">
        <x:v>7</x:v>
      </x:c>
      <x:c r="F3812" s="115" t="str">
        <x:v>Inspection physique</x:v>
      </x:c>
      <x:c r="G3812" s="115" t="str">
        <x:v>1 niveaux ; 32 pièces ; 248 segments de mur ; 0 transitions. Inspection physique ; architecture complète encore ouverte.</x:v>
      </x:c>
      <x:c r="H3812" s="115" t="str">
        <x:v>L 336 ; l 276 ; hauteur 32 m ; choix de composition auteur ; dimensions réelles à documenter</x:v>
      </x:c>
      <x:c r="I3812" s="115" t="str">
        <x:v>À équilibrer</x:v>
      </x:c>
      <x:c r="J3812" s="115" t="str">
        <x:v>Non</x:v>
      </x:c>
      <x:c r="K3812" s="115" t="str">
        <x:v>Pièces décrites, murs, portes, niveaux et mobilier inspectables à l’échelle. Volumes réservés, raccord au seed, butin, rencontres et services de campagne restent à terminer.</x:v>
      </x:c>
    </x:row>
    <x:row r="3813" ht="96" customHeight="1">
      <x:c r="A3813" s="115" t="str">
        <x:v>EXT-MONDE-T077-V08</x:v>
      </x:c>
      <x:c r="B3813" s="115" t="str">
        <x:v>EXT-MONDE-T077</x:v>
      </x:c>
      <x:c r="C3813" s="115" t="str">
        <x:v>Îles</x:v>
      </x:c>
      <x:c r="D3813" s="115" t="str">
        <x:v>Îlot de phare</x:v>
      </x:c>
      <x:c r="E3813" s="115" t="n">
        <x:v>8</x:v>
      </x:c>
      <x:c r="F3813" s="115" t="str">
        <x:v>Inspection physique</x:v>
      </x:c>
      <x:c r="G3813" s="115" t="str">
        <x:v>1 niveaux ; 32 pièces ; 248 segments de mur ; 0 transitions. Inspection physique ; architecture complète encore ouverte.</x:v>
      </x:c>
      <x:c r="H3813" s="115" t="str">
        <x:v>L 336 ; l 276 ; hauteur 32 m ; choix de composition auteur ; dimensions réelles à documenter</x:v>
      </x:c>
      <x:c r="I3813" s="115" t="str">
        <x:v>À équilibrer</x:v>
      </x:c>
      <x:c r="J3813" s="115" t="str">
        <x:v>Non</x:v>
      </x:c>
      <x:c r="K3813" s="115" t="str">
        <x:v>Pièces décrites, murs, portes, niveaux et mobilier inspectables à l’échelle. Volumes réservés, raccord au seed, butin, rencontres et services de campagne restent à terminer.</x:v>
      </x:c>
    </x:row>
    <x:row r="3814" ht="96" customHeight="1">
      <x:c r="A3814" s="115" t="str">
        <x:v>EXT-MONDE-T077-V09</x:v>
      </x:c>
      <x:c r="B3814" s="115" t="str">
        <x:v>EXT-MONDE-T077</x:v>
      </x:c>
      <x:c r="C3814" s="115" t="str">
        <x:v>Îles</x:v>
      </x:c>
      <x:c r="D3814" s="115" t="str">
        <x:v>Îlot de phare</x:v>
      </x:c>
      <x:c r="E3814" s="115" t="n">
        <x:v>9</x:v>
      </x:c>
      <x:c r="F3814" s="115" t="str">
        <x:v>Inspection physique</x:v>
      </x:c>
      <x:c r="G3814" s="115" t="str">
        <x:v>1 niveaux ; 32 pièces ; 248 segments de mur ; 0 transitions. Inspection physique ; architecture complète encore ouverte.</x:v>
      </x:c>
      <x:c r="H3814" s="115" t="str">
        <x:v>L 336 ; l 276 ; hauteur 32 m ; choix de composition auteur ; dimensions réelles à documenter</x:v>
      </x:c>
      <x:c r="I3814" s="115" t="str">
        <x:v>À équilibrer</x:v>
      </x:c>
      <x:c r="J3814" s="115" t="str">
        <x:v>Non</x:v>
      </x:c>
      <x:c r="K3814" s="115" t="str">
        <x:v>Pièces décrites, murs, portes, niveaux et mobilier inspectables à l’échelle. Volumes réservés, raccord au seed, butin, rencontres et services de campagne restent à terminer.</x:v>
      </x:c>
    </x:row>
    <x:row r="3815" ht="96" customHeight="1">
      <x:c r="A3815" s="115" t="str">
        <x:v>EXT-MONDE-T077-V10</x:v>
      </x:c>
      <x:c r="B3815" s="115" t="str">
        <x:v>EXT-MONDE-T077</x:v>
      </x:c>
      <x:c r="C3815" s="115" t="str">
        <x:v>Îles</x:v>
      </x:c>
      <x:c r="D3815" s="115" t="str">
        <x:v>Îlot de phare</x:v>
      </x:c>
      <x:c r="E3815" s="115" t="n">
        <x:v>10</x:v>
      </x:c>
      <x:c r="F3815" s="115" t="str">
        <x:v>Inspection physique</x:v>
      </x:c>
      <x:c r="G3815" s="115" t="str">
        <x:v>1 niveaux ; 32 pièces ; 248 segments de mur ; 0 transitions. Inspection physique ; architecture complète encore ouverte.</x:v>
      </x:c>
      <x:c r="H3815" s="115" t="str">
        <x:v>L 336 ; l 276 ; hauteur 32 m ; choix de composition auteur ; dimensions réelles à documenter</x:v>
      </x:c>
      <x:c r="I3815" s="115" t="str">
        <x:v>À équilibrer</x:v>
      </x:c>
      <x:c r="J3815" s="115" t="str">
        <x:v>Non</x:v>
      </x:c>
      <x:c r="K3815" s="115" t="str">
        <x:v>Pièces décrites, murs, portes, niveaux et mobilier inspectables à l’échelle. Volumes réservés, raccord au seed, butin, rencontres et services de campagne restent à terminer.</x:v>
      </x:c>
    </x:row>
    <x:row r="3816" ht="96" customHeight="1">
      <x:c r="A3816" s="115" t="str">
        <x:v>EXT-MONDE-T077-V11</x:v>
      </x:c>
      <x:c r="B3816" s="115" t="str">
        <x:v>EXT-MONDE-T077</x:v>
      </x:c>
      <x:c r="C3816" s="115" t="str">
        <x:v>Îles</x:v>
      </x:c>
      <x:c r="D3816" s="115" t="str">
        <x:v>Îlot de phare</x:v>
      </x:c>
      <x:c r="E3816" s="115" t="n">
        <x:v>11</x:v>
      </x:c>
      <x:c r="F3816" s="115" t="str">
        <x:v>Inspection physique</x:v>
      </x:c>
      <x:c r="G3816" s="115" t="str">
        <x:v>1 niveaux ; 32 pièces ; 248 segments de mur ; 0 transitions. Inspection physique ; architecture complète encore ouverte.</x:v>
      </x:c>
      <x:c r="H3816" s="115" t="str">
        <x:v>L 350 ; l 288 ; hauteur 32 m ; choix de composition auteur ; dimensions réelles à documenter</x:v>
      </x:c>
      <x:c r="I3816" s="115" t="str">
        <x:v>À équilibrer</x:v>
      </x:c>
      <x:c r="J3816" s="115" t="str">
        <x:v>Non</x:v>
      </x:c>
      <x:c r="K3816" s="115" t="str">
        <x:v>Pièces décrites, murs, portes, niveaux et mobilier inspectables à l’échelle. Volumes réservés, raccord au seed, butin, rencontres et services de campagne restent à terminer.</x:v>
      </x:c>
    </x:row>
    <x:row r="3817" ht="96" customHeight="1">
      <x:c r="A3817" s="115" t="str">
        <x:v>EXT-MONDE-T077-V12</x:v>
      </x:c>
      <x:c r="B3817" s="115" t="str">
        <x:v>EXT-MONDE-T077</x:v>
      </x:c>
      <x:c r="C3817" s="115" t="str">
        <x:v>Îles</x:v>
      </x:c>
      <x:c r="D3817" s="115" t="str">
        <x:v>Îlot de phare</x:v>
      </x:c>
      <x:c r="E3817" s="115" t="n">
        <x:v>12</x:v>
      </x:c>
      <x:c r="F3817" s="115" t="str">
        <x:v>Inspection physique</x:v>
      </x:c>
      <x:c r="G3817" s="115" t="str">
        <x:v>1 niveaux ; 32 pièces ; 248 segments de mur ; 0 transitions. Inspection physique ; architecture complète encore ouverte.</x:v>
      </x:c>
      <x:c r="H3817" s="115" t="str">
        <x:v>L 350 ; l 288 ; hauteur 32 m ; choix de composition auteur ; dimensions réelles à documenter</x:v>
      </x:c>
      <x:c r="I3817" s="115" t="str">
        <x:v>À équilibrer</x:v>
      </x:c>
      <x:c r="J3817" s="115" t="str">
        <x:v>Non</x:v>
      </x:c>
      <x:c r="K3817" s="115" t="str">
        <x:v>Pièces décrites, murs, portes, niveaux et mobilier inspectables à l’échelle. Volumes réservés, raccord au seed, butin, rencontres et services de campagne restent à terminer.</x:v>
      </x:c>
    </x:row>
    <x:row r="3818" ht="96" customHeight="1">
      <x:c r="A3818" s="115" t="str">
        <x:v>EXT-MONDE-T077-V13</x:v>
      </x:c>
      <x:c r="B3818" s="115" t="str">
        <x:v>EXT-MONDE-T077</x:v>
      </x:c>
      <x:c r="C3818" s="115" t="str">
        <x:v>Îles</x:v>
      </x:c>
      <x:c r="D3818" s="115" t="str">
        <x:v>Îlot de phare</x:v>
      </x:c>
      <x:c r="E3818" s="115" t="n">
        <x:v>13</x:v>
      </x:c>
      <x:c r="F3818" s="115" t="str">
        <x:v>Inspection physique</x:v>
      </x:c>
      <x:c r="G3818" s="115" t="str">
        <x:v>1 niveaux ; 32 pièces ; 248 segments de mur ; 0 transitions. Inspection physique ; architecture complète encore ouverte.</x:v>
      </x:c>
      <x:c r="H3818" s="115" t="str">
        <x:v>L 350 ; l 288 ; hauteur 32 m ; choix de composition auteur ; dimensions réelles à documenter</x:v>
      </x:c>
      <x:c r="I3818" s="115" t="str">
        <x:v>À équilibrer</x:v>
      </x:c>
      <x:c r="J3818" s="115" t="str">
        <x:v>Non</x:v>
      </x:c>
      <x:c r="K3818" s="115" t="str">
        <x:v>Pièces décrites, murs, portes, niveaux et mobilier inspectables à l’échelle. Volumes réservés, raccord au seed, butin, rencontres et services de campagne restent à terminer.</x:v>
      </x:c>
    </x:row>
    <x:row r="3819" ht="96" customHeight="1">
      <x:c r="A3819" s="115" t="str">
        <x:v>EXT-MONDE-T077-V14</x:v>
      </x:c>
      <x:c r="B3819" s="115" t="str">
        <x:v>EXT-MONDE-T077</x:v>
      </x:c>
      <x:c r="C3819" s="115" t="str">
        <x:v>Îles</x:v>
      </x:c>
      <x:c r="D3819" s="115" t="str">
        <x:v>Îlot de phare</x:v>
      </x:c>
      <x:c r="E3819" s="115" t="n">
        <x:v>14</x:v>
      </x:c>
      <x:c r="F3819" s="115" t="str">
        <x:v>Inspection physique</x:v>
      </x:c>
      <x:c r="G3819" s="115" t="str">
        <x:v>1 niveaux ; 32 pièces ; 248 segments de mur ; 0 transitions. Inspection physique ; architecture complète encore ouverte.</x:v>
      </x:c>
      <x:c r="H3819" s="115" t="str">
        <x:v>L 350 ; l 288 ; hauteur 32 m ; choix de composition auteur ; dimensions réelles à documenter</x:v>
      </x:c>
      <x:c r="I3819" s="115" t="str">
        <x:v>À équilibrer</x:v>
      </x:c>
      <x:c r="J3819" s="115" t="str">
        <x:v>Non</x:v>
      </x:c>
      <x:c r="K3819" s="115" t="str">
        <x:v>Pièces décrites, murs, portes, niveaux et mobilier inspectables à l’échelle. Volumes réservés, raccord au seed, butin, rencontres et services de campagne restent à terminer.</x:v>
      </x:c>
    </x:row>
    <x:row r="3820" ht="96" customHeight="1">
      <x:c r="A3820" s="115" t="str">
        <x:v>EXT-MONDE-T077-V15</x:v>
      </x:c>
      <x:c r="B3820" s="115" t="str">
        <x:v>EXT-MONDE-T077</x:v>
      </x:c>
      <x:c r="C3820" s="115" t="str">
        <x:v>Îles</x:v>
      </x:c>
      <x:c r="D3820" s="115" t="str">
        <x:v>Îlot de phare</x:v>
      </x:c>
      <x:c r="E3820" s="115" t="n">
        <x:v>15</x:v>
      </x:c>
      <x:c r="F3820" s="115" t="str">
        <x:v>Inspection physique</x:v>
      </x:c>
      <x:c r="G3820" s="115" t="str">
        <x:v>1 niveaux ; 32 pièces ; 248 segments de mur ; 0 transitions. Inspection physique ; architecture complète encore ouverte.</x:v>
      </x:c>
      <x:c r="H3820" s="115" t="str">
        <x:v>L 350 ; l 288 ; hauteur 32 m ; choix de composition auteur ; dimensions réelles à documenter</x:v>
      </x:c>
      <x:c r="I3820" s="115" t="str">
        <x:v>À équilibrer</x:v>
      </x:c>
      <x:c r="J3820" s="115" t="str">
        <x:v>Non</x:v>
      </x:c>
      <x:c r="K3820" s="115" t="str">
        <x:v>Pièces décrites, murs, portes, niveaux et mobilier inspectables à l’échelle. Volumes réservés, raccord au seed, butin, rencontres et services de campagne restent à terminer.</x:v>
      </x:c>
    </x:row>
    <x:row r="3821" ht="96" customHeight="1">
      <x:c r="A3821" s="115" t="str">
        <x:v>EXT-MONDE-T077-V16</x:v>
      </x:c>
      <x:c r="B3821" s="115" t="str">
        <x:v>EXT-MONDE-T077</x:v>
      </x:c>
      <x:c r="C3821" s="115" t="str">
        <x:v>Îles</x:v>
      </x:c>
      <x:c r="D3821" s="115" t="str">
        <x:v>Îlot de phare</x:v>
      </x:c>
      <x:c r="E3821" s="115" t="n">
        <x:v>16</x:v>
      </x:c>
      <x:c r="F3821" s="115" t="str">
        <x:v>Inspection physique</x:v>
      </x:c>
      <x:c r="G3821" s="115" t="str">
        <x:v>1 niveaux ; 32 pièces ; 248 segments de mur ; 0 transitions. Inspection physique ; architecture complète encore ouverte.</x:v>
      </x:c>
      <x:c r="H3821" s="115" t="str">
        <x:v>L 350 ; l 288 ; hauteur 32 m ; choix de composition auteur ; dimensions réelles à documenter</x:v>
      </x:c>
      <x:c r="I3821" s="115" t="str">
        <x:v>À équilibrer</x:v>
      </x:c>
      <x:c r="J3821" s="115" t="str">
        <x:v>Non</x:v>
      </x:c>
      <x:c r="K3821" s="115" t="str">
        <x:v>Pièces décrites, murs, portes, niveaux et mobilier inspectables à l’échelle. Volumes réservés, raccord au seed, butin, rencontres et services de campagne restent à terminer.</x:v>
      </x:c>
    </x:row>
    <x:row r="3822" ht="96" customHeight="1">
      <x:c r="A3822" s="115" t="str">
        <x:v>EXT-MONDE-T077-V17</x:v>
      </x:c>
      <x:c r="B3822" s="115" t="str">
        <x:v>EXT-MONDE-T077</x:v>
      </x:c>
      <x:c r="C3822" s="115" t="str">
        <x:v>Îles</x:v>
      </x:c>
      <x:c r="D3822" s="115" t="str">
        <x:v>Îlot de phare</x:v>
      </x:c>
      <x:c r="E3822" s="115" t="n">
        <x:v>17</x:v>
      </x:c>
      <x:c r="F3822" s="115" t="str">
        <x:v>Inspection physique</x:v>
      </x:c>
      <x:c r="G3822" s="115" t="str">
        <x:v>1 niveaux ; 32 pièces ; 248 segments de mur ; 0 transitions. Inspection physique ; architecture complète encore ouverte.</x:v>
      </x:c>
      <x:c r="H3822" s="115" t="str">
        <x:v>L 350 ; l 288 ; hauteur 32 m ; choix de composition auteur ; dimensions réelles à documenter</x:v>
      </x:c>
      <x:c r="I3822" s="115" t="str">
        <x:v>À équilibrer</x:v>
      </x:c>
      <x:c r="J3822" s="115" t="str">
        <x:v>Non</x:v>
      </x:c>
      <x:c r="K3822" s="115" t="str">
        <x:v>Pièces décrites, murs, portes, niveaux et mobilier inspectables à l’échelle. Volumes réservés, raccord au seed, butin, rencontres et services de campagne restent à terminer.</x:v>
      </x:c>
    </x:row>
    <x:row r="3823" ht="96" customHeight="1">
      <x:c r="A3823" s="115" t="str">
        <x:v>EXT-MONDE-T077-V18</x:v>
      </x:c>
      <x:c r="B3823" s="115" t="str">
        <x:v>EXT-MONDE-T077</x:v>
      </x:c>
      <x:c r="C3823" s="115" t="str">
        <x:v>Îles</x:v>
      </x:c>
      <x:c r="D3823" s="115" t="str">
        <x:v>Îlot de phare</x:v>
      </x:c>
      <x:c r="E3823" s="115" t="n">
        <x:v>18</x:v>
      </x:c>
      <x:c r="F3823" s="115" t="str">
        <x:v>Inspection physique</x:v>
      </x:c>
      <x:c r="G3823" s="115" t="str">
        <x:v>1 niveaux ; 32 pièces ; 248 segments de mur ; 0 transitions. Inspection physique ; architecture complète encore ouverte.</x:v>
      </x:c>
      <x:c r="H3823" s="115" t="str">
        <x:v>L 350 ; l 288 ; hauteur 32 m ; choix de composition auteur ; dimensions réelles à documenter</x:v>
      </x:c>
      <x:c r="I3823" s="115" t="str">
        <x:v>À équilibrer</x:v>
      </x:c>
      <x:c r="J3823" s="115" t="str">
        <x:v>Non</x:v>
      </x:c>
      <x:c r="K3823" s="115" t="str">
        <x:v>Pièces décrites, murs, portes, niveaux et mobilier inspectables à l’échelle. Volumes réservés, raccord au seed, butin, rencontres et services de campagne restent à terminer.</x:v>
      </x:c>
    </x:row>
    <x:row r="3824" ht="96" customHeight="1">
      <x:c r="A3824" s="115" t="str">
        <x:v>EXT-MONDE-T077-V19</x:v>
      </x:c>
      <x:c r="B3824" s="115" t="str">
        <x:v>EXT-MONDE-T077</x:v>
      </x:c>
      <x:c r="C3824" s="115" t="str">
        <x:v>Îles</x:v>
      </x:c>
      <x:c r="D3824" s="115" t="str">
        <x:v>Îlot de phare</x:v>
      </x:c>
      <x:c r="E3824" s="115" t="n">
        <x:v>19</x:v>
      </x:c>
      <x:c r="F3824" s="115" t="str">
        <x:v>Inspection physique</x:v>
      </x:c>
      <x:c r="G3824" s="115" t="str">
        <x:v>1 niveaux ; 32 pièces ; 248 segments de mur ; 0 transitions. Inspection physique ; architecture complète encore ouverte.</x:v>
      </x:c>
      <x:c r="H3824" s="115" t="str">
        <x:v>L 350 ; l 288 ; hauteur 32 m ; choix de composition auteur ; dimensions réelles à documenter</x:v>
      </x:c>
      <x:c r="I3824" s="115" t="str">
        <x:v>À équilibrer</x:v>
      </x:c>
      <x:c r="J3824" s="115" t="str">
        <x:v>Non</x:v>
      </x:c>
      <x:c r="K3824" s="115" t="str">
        <x:v>Pièces décrites, murs, portes, niveaux et mobilier inspectables à l’échelle. Volumes réservés, raccord au seed, butin, rencontres et services de campagne restent à terminer.</x:v>
      </x:c>
    </x:row>
    <x:row r="3825" ht="96" customHeight="1">
      <x:c r="A3825" s="115" t="str">
        <x:v>EXT-MONDE-T077-V20</x:v>
      </x:c>
      <x:c r="B3825" s="115" t="str">
        <x:v>EXT-MONDE-T077</x:v>
      </x:c>
      <x:c r="C3825" s="115" t="str">
        <x:v>Îles</x:v>
      </x:c>
      <x:c r="D3825" s="115" t="str">
        <x:v>Îlot de phare</x:v>
      </x:c>
      <x:c r="E3825" s="115" t="n">
        <x:v>20</x:v>
      </x:c>
      <x:c r="F3825" s="115" t="str">
        <x:v>Inspection physique</x:v>
      </x:c>
      <x:c r="G3825" s="115" t="str">
        <x:v>1 niveaux ; 32 pièces ; 248 segments de mur ; 0 transitions. Inspection physique ; architecture complète encore ouverte.</x:v>
      </x:c>
      <x:c r="H3825" s="115" t="str">
        <x:v>L 350 ; l 288 ; hauteur 32 m ; choix de composition auteur ; dimensions réelles à documenter</x:v>
      </x:c>
      <x:c r="I3825" s="115" t="str">
        <x:v>À équilibrer</x:v>
      </x:c>
      <x:c r="J3825" s="115" t="str">
        <x:v>Non</x:v>
      </x:c>
      <x:c r="K3825" s="115" t="str">
        <x:v>Pièces décrites, murs, portes, niveaux et mobilier inspectables à l’échelle. Volumes réservés, raccord au seed, butin, rencontres et services de campagne restent à terminer.</x:v>
      </x:c>
    </x:row>
    <x:row r="3826" ht="96" customHeight="1">
      <x:c r="A3826" s="115" t="str">
        <x:v>EXT-MONDE-T077-V21</x:v>
      </x:c>
      <x:c r="B3826" s="115" t="str">
        <x:v>EXT-MONDE-T077</x:v>
      </x:c>
      <x:c r="C3826" s="115" t="str">
        <x:v>Îles</x:v>
      </x:c>
      <x:c r="D3826" s="115" t="str">
        <x:v>Îlot de phare</x:v>
      </x:c>
      <x:c r="E3826" s="115" t="n">
        <x:v>21</x:v>
      </x:c>
      <x:c r="F3826" s="115" t="str">
        <x:v>Inspection physique</x:v>
      </x:c>
      <x:c r="G3826" s="115" t="str">
        <x:v>1 niveaux ; 32 pièces ; 248 segments de mur ; 0 transitions. Inspection physique ; architecture complète encore ouverte.</x:v>
      </x:c>
      <x:c r="H3826" s="115" t="str">
        <x:v>L 364 ; l 300 ; hauteur 32 m ; choix de composition auteur ; dimensions réelles à documenter</x:v>
      </x:c>
      <x:c r="I3826" s="115" t="str">
        <x:v>À équilibrer</x:v>
      </x:c>
      <x:c r="J3826" s="115" t="str">
        <x:v>Non</x:v>
      </x:c>
      <x:c r="K3826" s="115" t="str">
        <x:v>Pièces décrites, murs, portes, niveaux et mobilier inspectables à l’échelle. Volumes réservés, raccord au seed, butin, rencontres et services de campagne restent à terminer.</x:v>
      </x:c>
    </x:row>
    <x:row r="3827" ht="96" customHeight="1">
      <x:c r="A3827" s="115" t="str">
        <x:v>EXT-MONDE-T077-V22</x:v>
      </x:c>
      <x:c r="B3827" s="115" t="str">
        <x:v>EXT-MONDE-T077</x:v>
      </x:c>
      <x:c r="C3827" s="115" t="str">
        <x:v>Îles</x:v>
      </x:c>
      <x:c r="D3827" s="115" t="str">
        <x:v>Îlot de phare</x:v>
      </x:c>
      <x:c r="E3827" s="115" t="n">
        <x:v>22</x:v>
      </x:c>
      <x:c r="F3827" s="115" t="str">
        <x:v>Inspection physique</x:v>
      </x:c>
      <x:c r="G3827" s="115" t="str">
        <x:v>1 niveaux ; 32 pièces ; 248 segments de mur ; 0 transitions. Inspection physique ; architecture complète encore ouverte.</x:v>
      </x:c>
      <x:c r="H3827" s="115" t="str">
        <x:v>L 364 ; l 300 ; hauteur 32 m ; choix de composition auteur ; dimensions réelles à documenter</x:v>
      </x:c>
      <x:c r="I3827" s="115" t="str">
        <x:v>À équilibrer</x:v>
      </x:c>
      <x:c r="J3827" s="115" t="str">
        <x:v>Non</x:v>
      </x:c>
      <x:c r="K3827" s="115" t="str">
        <x:v>Pièces décrites, murs, portes, niveaux et mobilier inspectables à l’échelle. Volumes réservés, raccord au seed, butin, rencontres et services de campagne restent à terminer.</x:v>
      </x:c>
    </x:row>
    <x:row r="3828" ht="96" customHeight="1">
      <x:c r="A3828" s="115" t="str">
        <x:v>EXT-MONDE-T077-V23</x:v>
      </x:c>
      <x:c r="B3828" s="115" t="str">
        <x:v>EXT-MONDE-T077</x:v>
      </x:c>
      <x:c r="C3828" s="115" t="str">
        <x:v>Îles</x:v>
      </x:c>
      <x:c r="D3828" s="115" t="str">
        <x:v>Îlot de phare</x:v>
      </x:c>
      <x:c r="E3828" s="115" t="n">
        <x:v>23</x:v>
      </x:c>
      <x:c r="F3828" s="115" t="str">
        <x:v>Inspection physique</x:v>
      </x:c>
      <x:c r="G3828" s="115" t="str">
        <x:v>1 niveaux ; 32 pièces ; 248 segments de mur ; 0 transitions. Inspection physique ; architecture complète encore ouverte.</x:v>
      </x:c>
      <x:c r="H3828" s="115" t="str">
        <x:v>L 364 ; l 300 ; hauteur 32 m ; choix de composition auteur ; dimensions réelles à documenter</x:v>
      </x:c>
      <x:c r="I3828" s="115" t="str">
        <x:v>À équilibrer</x:v>
      </x:c>
      <x:c r="J3828" s="115" t="str">
        <x:v>Non</x:v>
      </x:c>
      <x:c r="K3828" s="115" t="str">
        <x:v>Pièces décrites, murs, portes, niveaux et mobilier inspectables à l’échelle. Volumes réservés, raccord au seed, butin, rencontres et services de campagne restent à terminer.</x:v>
      </x:c>
    </x:row>
    <x:row r="3829" ht="96" customHeight="1">
      <x:c r="A3829" s="115" t="str">
        <x:v>EXT-MONDE-T077-V24</x:v>
      </x:c>
      <x:c r="B3829" s="115" t="str">
        <x:v>EXT-MONDE-T077</x:v>
      </x:c>
      <x:c r="C3829" s="115" t="str">
        <x:v>Îles</x:v>
      </x:c>
      <x:c r="D3829" s="115" t="str">
        <x:v>Îlot de phare</x:v>
      </x:c>
      <x:c r="E3829" s="115" t="n">
        <x:v>24</x:v>
      </x:c>
      <x:c r="F3829" s="115" t="str">
        <x:v>Inspection physique</x:v>
      </x:c>
      <x:c r="G3829" s="115" t="str">
        <x:v>1 niveaux ; 32 pièces ; 248 segments de mur ; 0 transitions. Inspection physique ; architecture complète encore ouverte.</x:v>
      </x:c>
      <x:c r="H3829" s="115" t="str">
        <x:v>L 364 ; l 300 ; hauteur 32 m ; choix de composition auteur ; dimensions réelles à documenter</x:v>
      </x:c>
      <x:c r="I3829" s="115" t="str">
        <x:v>À équilibrer</x:v>
      </x:c>
      <x:c r="J3829" s="115" t="str">
        <x:v>Non</x:v>
      </x:c>
      <x:c r="K3829" s="115" t="str">
        <x:v>Pièces décrites, murs, portes, niveaux et mobilier inspectables à l’échelle. Volumes réservés, raccord au seed, butin, rencontres et services de campagne restent à terminer.</x:v>
      </x:c>
    </x:row>
    <x:row r="3830" ht="96" customHeight="1">
      <x:c r="A3830" s="115" t="str">
        <x:v>EXT-MONDE-T077-V25</x:v>
      </x:c>
      <x:c r="B3830" s="115" t="str">
        <x:v>EXT-MONDE-T077</x:v>
      </x:c>
      <x:c r="C3830" s="115" t="str">
        <x:v>Îles</x:v>
      </x:c>
      <x:c r="D3830" s="115" t="str">
        <x:v>Îlot de phare</x:v>
      </x:c>
      <x:c r="E3830" s="115" t="n">
        <x:v>25</x:v>
      </x:c>
      <x:c r="F3830" s="115" t="str">
        <x:v>Inspection physique</x:v>
      </x:c>
      <x:c r="G3830" s="115" t="str">
        <x:v>1 niveaux ; 32 pièces ; 248 segments de mur ; 0 transitions. Inspection physique ; architecture complète encore ouverte.</x:v>
      </x:c>
      <x:c r="H3830" s="115" t="str">
        <x:v>L 364 ; l 300 ; hauteur 32 m ; choix de composition auteur ; dimensions réelles à documenter</x:v>
      </x:c>
      <x:c r="I3830" s="115" t="str">
        <x:v>À équilibrer</x:v>
      </x:c>
      <x:c r="J3830" s="115" t="str">
        <x:v>Non</x:v>
      </x:c>
      <x:c r="K3830" s="115" t="str">
        <x:v>Pièces décrites, murs, portes, niveaux et mobilier inspectables à l’échelle. Volumes réservés, raccord au seed, butin, rencontres et services de campagne restent à terminer.</x:v>
      </x:c>
    </x:row>
    <x:row r="3831" ht="96" customHeight="1">
      <x:c r="A3831" s="115" t="str">
        <x:v>EXT-MONDE-T077-V26</x:v>
      </x:c>
      <x:c r="B3831" s="115" t="str">
        <x:v>EXT-MONDE-T077</x:v>
      </x:c>
      <x:c r="C3831" s="115" t="str">
        <x:v>Îles</x:v>
      </x:c>
      <x:c r="D3831" s="115" t="str">
        <x:v>Îlot de phare</x:v>
      </x:c>
      <x:c r="E3831" s="115" t="n">
        <x:v>26</x:v>
      </x:c>
      <x:c r="F3831" s="115" t="str">
        <x:v>Inspection physique</x:v>
      </x:c>
      <x:c r="G3831" s="115" t="str">
        <x:v>1 niveaux ; 32 pièces ; 248 segments de mur ; 0 transitions. Inspection physique ; architecture complète encore ouverte.</x:v>
      </x:c>
      <x:c r="H3831" s="115" t="str">
        <x:v>L 364 ; l 300 ; hauteur 32 m ; choix de composition auteur ; dimensions réelles à documenter</x:v>
      </x:c>
      <x:c r="I3831" s="115" t="str">
        <x:v>À équilibrer</x:v>
      </x:c>
      <x:c r="J3831" s="115" t="str">
        <x:v>Non</x:v>
      </x:c>
      <x:c r="K3831" s="115" t="str">
        <x:v>Pièces décrites, murs, portes, niveaux et mobilier inspectables à l’échelle. Volumes réservés, raccord au seed, butin, rencontres et services de campagne restent à terminer.</x:v>
      </x:c>
    </x:row>
    <x:row r="3832" ht="96" customHeight="1">
      <x:c r="A3832" s="115" t="str">
        <x:v>EXT-MONDE-T077-V27</x:v>
      </x:c>
      <x:c r="B3832" s="115" t="str">
        <x:v>EXT-MONDE-T077</x:v>
      </x:c>
      <x:c r="C3832" s="115" t="str">
        <x:v>Îles</x:v>
      </x:c>
      <x:c r="D3832" s="115" t="str">
        <x:v>Îlot de phare</x:v>
      </x:c>
      <x:c r="E3832" s="115" t="n">
        <x:v>27</x:v>
      </x:c>
      <x:c r="F3832" s="115" t="str">
        <x:v>Inspection physique</x:v>
      </x:c>
      <x:c r="G3832" s="115" t="str">
        <x:v>1 niveaux ; 32 pièces ; 248 segments de mur ; 0 transitions. Inspection physique ; architecture complète encore ouverte.</x:v>
      </x:c>
      <x:c r="H3832" s="115" t="str">
        <x:v>L 364 ; l 300 ; hauteur 32 m ; choix de composition auteur ; dimensions réelles à documenter</x:v>
      </x:c>
      <x:c r="I3832" s="115" t="str">
        <x:v>À équilibrer</x:v>
      </x:c>
      <x:c r="J3832" s="115" t="str">
        <x:v>Non</x:v>
      </x:c>
      <x:c r="K3832" s="115" t="str">
        <x:v>Pièces décrites, murs, portes, niveaux et mobilier inspectables à l’échelle. Volumes réservés, raccord au seed, butin, rencontres et services de campagne restent à terminer.</x:v>
      </x:c>
    </x:row>
    <x:row r="3833" ht="96" customHeight="1">
      <x:c r="A3833" s="115" t="str">
        <x:v>EXT-MONDE-T077-V28</x:v>
      </x:c>
      <x:c r="B3833" s="115" t="str">
        <x:v>EXT-MONDE-T077</x:v>
      </x:c>
      <x:c r="C3833" s="115" t="str">
        <x:v>Îles</x:v>
      </x:c>
      <x:c r="D3833" s="115" t="str">
        <x:v>Îlot de phare</x:v>
      </x:c>
      <x:c r="E3833" s="115" t="n">
        <x:v>28</x:v>
      </x:c>
      <x:c r="F3833" s="115" t="str">
        <x:v>Inspection physique</x:v>
      </x:c>
      <x:c r="G3833" s="115" t="str">
        <x:v>1 niveaux ; 32 pièces ; 248 segments de mur ; 0 transitions. Inspection physique ; architecture complète encore ouverte.</x:v>
      </x:c>
      <x:c r="H3833" s="115" t="str">
        <x:v>L 364 ; l 300 ; hauteur 32 m ; choix de composition auteur ; dimensions réelles à documenter</x:v>
      </x:c>
      <x:c r="I3833" s="115" t="str">
        <x:v>À équilibrer</x:v>
      </x:c>
      <x:c r="J3833" s="115" t="str">
        <x:v>Non</x:v>
      </x:c>
      <x:c r="K3833" s="115" t="str">
        <x:v>Pièces décrites, murs, portes, niveaux et mobilier inspectables à l’échelle. Volumes réservés, raccord au seed, butin, rencontres et services de campagne restent à terminer.</x:v>
      </x:c>
    </x:row>
    <x:row r="3834" ht="96" customHeight="1">
      <x:c r="A3834" s="115" t="str">
        <x:v>EXT-MONDE-T077-V29</x:v>
      </x:c>
      <x:c r="B3834" s="115" t="str">
        <x:v>EXT-MONDE-T077</x:v>
      </x:c>
      <x:c r="C3834" s="115" t="str">
        <x:v>Îles</x:v>
      </x:c>
      <x:c r="D3834" s="115" t="str">
        <x:v>Îlot de phare</x:v>
      </x:c>
      <x:c r="E3834" s="115" t="n">
        <x:v>29</x:v>
      </x:c>
      <x:c r="F3834" s="115" t="str">
        <x:v>Inspection physique</x:v>
      </x:c>
      <x:c r="G3834" s="115" t="str">
        <x:v>1 niveaux ; 32 pièces ; 248 segments de mur ; 0 transitions. Inspection physique ; architecture complète encore ouverte.</x:v>
      </x:c>
      <x:c r="H3834" s="115" t="str">
        <x:v>L 364 ; l 300 ; hauteur 32 m ; choix de composition auteur ; dimensions réelles à documenter</x:v>
      </x:c>
      <x:c r="I3834" s="115" t="str">
        <x:v>À équilibrer</x:v>
      </x:c>
      <x:c r="J3834" s="115" t="str">
        <x:v>Non</x:v>
      </x:c>
      <x:c r="K3834" s="115" t="str">
        <x:v>Pièces décrites, murs, portes, niveaux et mobilier inspectables à l’échelle. Volumes réservés, raccord au seed, butin, rencontres et services de campagne restent à terminer.</x:v>
      </x:c>
    </x:row>
    <x:row r="3835" ht="96" customHeight="1">
      <x:c r="A3835" s="115" t="str">
        <x:v>EXT-MONDE-T077-V30</x:v>
      </x:c>
      <x:c r="B3835" s="115" t="str">
        <x:v>EXT-MONDE-T077</x:v>
      </x:c>
      <x:c r="C3835" s="115" t="str">
        <x:v>Îles</x:v>
      </x:c>
      <x:c r="D3835" s="115" t="str">
        <x:v>Îlot de phare</x:v>
      </x:c>
      <x:c r="E3835" s="115" t="n">
        <x:v>30</x:v>
      </x:c>
      <x:c r="F3835" s="115" t="str">
        <x:v>Inspection physique</x:v>
      </x:c>
      <x:c r="G3835" s="115" t="str">
        <x:v>1 niveaux ; 32 pièces ; 248 segments de mur ; 0 transitions. Inspection physique ; architecture complète encore ouverte.</x:v>
      </x:c>
      <x:c r="H3835" s="115" t="str">
        <x:v>L 364 ; l 300 ; hauteur 32 m ; choix de composition auteur ; dimensions réelles à documenter</x:v>
      </x:c>
      <x:c r="I3835" s="115" t="str">
        <x:v>À équilibrer</x:v>
      </x:c>
      <x:c r="J3835" s="115" t="str">
        <x:v>Non</x:v>
      </x:c>
      <x:c r="K3835" s="115" t="str">
        <x:v>Pièces décrites, murs, portes, niveaux et mobilier inspectables à l’échelle. Volumes réservés, raccord au seed, butin, rencontres et services de campagne restent à terminer.</x:v>
      </x:c>
    </x:row>
    <x:row r="3836" ht="96" customHeight="1">
      <x:c r="A3836" s="115" t="str">
        <x:v>EXT-MONDE-T077-V31</x:v>
      </x:c>
      <x:c r="B3836" s="115" t="str">
        <x:v>EXT-MONDE-T077</x:v>
      </x:c>
      <x:c r="C3836" s="115" t="str">
        <x:v>Îles</x:v>
      </x:c>
      <x:c r="D3836" s="115" t="str">
        <x:v>Îlot de phare</x:v>
      </x:c>
      <x:c r="E3836" s="115" t="n">
        <x:v>31</x:v>
      </x:c>
      <x:c r="F3836" s="115" t="str">
        <x:v>Inspection physique</x:v>
      </x:c>
      <x:c r="G3836" s="115" t="str">
        <x:v>1 niveaux ; 32 pièces ; 248 segments de mur ; 0 transitions. Inspection physique ; architecture complète encore ouverte.</x:v>
      </x:c>
      <x:c r="H3836" s="115" t="str">
        <x:v>L 378 ; l 312 ; hauteur 32 m ; choix de composition auteur ; dimensions réelles à documenter</x:v>
      </x:c>
      <x:c r="I3836" s="115" t="str">
        <x:v>À équilibrer</x:v>
      </x:c>
      <x:c r="J3836" s="115" t="str">
        <x:v>Non</x:v>
      </x:c>
      <x:c r="K3836" s="115" t="str">
        <x:v>Pièces décrites, murs, portes, niveaux et mobilier inspectables à l’échelle. Volumes réservés, raccord au seed, butin, rencontres et services de campagne restent à terminer.</x:v>
      </x:c>
    </x:row>
    <x:row r="3837" ht="96" customHeight="1">
      <x:c r="A3837" s="115" t="str">
        <x:v>EXT-MONDE-T077-V32</x:v>
      </x:c>
      <x:c r="B3837" s="115" t="str">
        <x:v>EXT-MONDE-T077</x:v>
      </x:c>
      <x:c r="C3837" s="115" t="str">
        <x:v>Îles</x:v>
      </x:c>
      <x:c r="D3837" s="115" t="str">
        <x:v>Îlot de phare</x:v>
      </x:c>
      <x:c r="E3837" s="115" t="n">
        <x:v>32</x:v>
      </x:c>
      <x:c r="F3837" s="115" t="str">
        <x:v>Inspection physique</x:v>
      </x:c>
      <x:c r="G3837" s="115" t="str">
        <x:v>1 niveaux ; 32 pièces ; 248 segments de mur ; 0 transitions. Inspection physique ; architecture complète encore ouverte.</x:v>
      </x:c>
      <x:c r="H3837" s="115" t="str">
        <x:v>L 378 ; l 312 ; hauteur 32 m ; choix de composition auteur ; dimensions réelles à documenter</x:v>
      </x:c>
      <x:c r="I3837" s="115" t="str">
        <x:v>À équilibrer</x:v>
      </x:c>
      <x:c r="J3837" s="115" t="str">
        <x:v>Non</x:v>
      </x:c>
      <x:c r="K3837" s="115" t="str">
        <x:v>Pièces décrites, murs, portes, niveaux et mobilier inspectables à l’échelle. Volumes réservés, raccord au seed, butin, rencontres et services de campagne restent à terminer.</x:v>
      </x:c>
    </x:row>
    <x:row r="3838" ht="96" customHeight="1">
      <x:c r="A3838" s="115" t="str">
        <x:v>EXT-MONDE-T077-V33</x:v>
      </x:c>
      <x:c r="B3838" s="115" t="str">
        <x:v>EXT-MONDE-T077</x:v>
      </x:c>
      <x:c r="C3838" s="115" t="str">
        <x:v>Îles</x:v>
      </x:c>
      <x:c r="D3838" s="115" t="str">
        <x:v>Îlot de phare</x:v>
      </x:c>
      <x:c r="E3838" s="115" t="n">
        <x:v>33</x:v>
      </x:c>
      <x:c r="F3838" s="115" t="str">
        <x:v>Inspection physique</x:v>
      </x:c>
      <x:c r="G3838" s="115" t="str">
        <x:v>1 niveaux ; 32 pièces ; 248 segments de mur ; 0 transitions. Inspection physique ; architecture complète encore ouverte.</x:v>
      </x:c>
      <x:c r="H3838" s="115" t="str">
        <x:v>L 378 ; l 312 ; hauteur 32 m ; choix de composition auteur ; dimensions réelles à documenter</x:v>
      </x:c>
      <x:c r="I3838" s="115" t="str">
        <x:v>À équilibrer</x:v>
      </x:c>
      <x:c r="J3838" s="115" t="str">
        <x:v>Non</x:v>
      </x:c>
      <x:c r="K3838" s="115" t="str">
        <x:v>Pièces décrites, murs, portes, niveaux et mobilier inspectables à l’échelle. Volumes réservés, raccord au seed, butin, rencontres et services de campagne restent à terminer.</x:v>
      </x:c>
    </x:row>
    <x:row r="3839" ht="96" customHeight="1">
      <x:c r="A3839" s="115" t="str">
        <x:v>EXT-MONDE-T077-V34</x:v>
      </x:c>
      <x:c r="B3839" s="115" t="str">
        <x:v>EXT-MONDE-T077</x:v>
      </x:c>
      <x:c r="C3839" s="115" t="str">
        <x:v>Îles</x:v>
      </x:c>
      <x:c r="D3839" s="115" t="str">
        <x:v>Îlot de phare</x:v>
      </x:c>
      <x:c r="E3839" s="115" t="n">
        <x:v>34</x:v>
      </x:c>
      <x:c r="F3839" s="115" t="str">
        <x:v>Inspection physique</x:v>
      </x:c>
      <x:c r="G3839" s="115" t="str">
        <x:v>1 niveaux ; 32 pièces ; 248 segments de mur ; 0 transitions. Inspection physique ; architecture complète encore ouverte.</x:v>
      </x:c>
      <x:c r="H3839" s="115" t="str">
        <x:v>L 378 ; l 312 ; hauteur 32 m ; choix de composition auteur ; dimensions réelles à documenter</x:v>
      </x:c>
      <x:c r="I3839" s="115" t="str">
        <x:v>À équilibrer</x:v>
      </x:c>
      <x:c r="J3839" s="115" t="str">
        <x:v>Non</x:v>
      </x:c>
      <x:c r="K3839" s="115" t="str">
        <x:v>Pièces décrites, murs, portes, niveaux et mobilier inspectables à l’échelle. Volumes réservés, raccord au seed, butin, rencontres et services de campagne restent à terminer.</x:v>
      </x:c>
    </x:row>
    <x:row r="3840" ht="96" customHeight="1">
      <x:c r="A3840" s="115" t="str">
        <x:v>EXT-MONDE-T077-V35</x:v>
      </x:c>
      <x:c r="B3840" s="115" t="str">
        <x:v>EXT-MONDE-T077</x:v>
      </x:c>
      <x:c r="C3840" s="115" t="str">
        <x:v>Îles</x:v>
      </x:c>
      <x:c r="D3840" s="115" t="str">
        <x:v>Îlot de phare</x:v>
      </x:c>
      <x:c r="E3840" s="115" t="n">
        <x:v>35</x:v>
      </x:c>
      <x:c r="F3840" s="115" t="str">
        <x:v>Inspection physique</x:v>
      </x:c>
      <x:c r="G3840" s="115" t="str">
        <x:v>1 niveaux ; 32 pièces ; 248 segments de mur ; 0 transitions. Inspection physique ; architecture complète encore ouverte.</x:v>
      </x:c>
      <x:c r="H3840" s="115" t="str">
        <x:v>L 378 ; l 312 ; hauteur 32 m ; choix de composition auteur ; dimensions réelles à documenter</x:v>
      </x:c>
      <x:c r="I3840" s="115" t="str">
        <x:v>À équilibrer</x:v>
      </x:c>
      <x:c r="J3840" s="115" t="str">
        <x:v>Non</x:v>
      </x:c>
      <x:c r="K3840" s="115" t="str">
        <x:v>Pièces décrites, murs, portes, niveaux et mobilier inspectables à l’échelle. Volumes réservés, raccord au seed, butin, rencontres et services de campagne restent à terminer.</x:v>
      </x:c>
    </x:row>
    <x:row r="3841" ht="96" customHeight="1">
      <x:c r="A3841" s="115" t="str">
        <x:v>EXT-MONDE-T077-V36</x:v>
      </x:c>
      <x:c r="B3841" s="115" t="str">
        <x:v>EXT-MONDE-T077</x:v>
      </x:c>
      <x:c r="C3841" s="115" t="str">
        <x:v>Îles</x:v>
      </x:c>
      <x:c r="D3841" s="115" t="str">
        <x:v>Îlot de phare</x:v>
      </x:c>
      <x:c r="E3841" s="115" t="n">
        <x:v>36</x:v>
      </x:c>
      <x:c r="F3841" s="115" t="str">
        <x:v>Inspection physique</x:v>
      </x:c>
      <x:c r="G3841" s="115" t="str">
        <x:v>1 niveaux ; 32 pièces ; 248 segments de mur ; 0 transitions. Inspection physique ; architecture complète encore ouverte.</x:v>
      </x:c>
      <x:c r="H3841" s="115" t="str">
        <x:v>L 378 ; l 312 ; hauteur 32 m ; choix de composition auteur ; dimensions réelles à documenter</x:v>
      </x:c>
      <x:c r="I3841" s="115" t="str">
        <x:v>À équilibrer</x:v>
      </x:c>
      <x:c r="J3841" s="115" t="str">
        <x:v>Non</x:v>
      </x:c>
      <x:c r="K3841" s="115" t="str">
        <x:v>Pièces décrites, murs, portes, niveaux et mobilier inspectables à l’échelle. Volumes réservés, raccord au seed, butin, rencontres et services de campagne restent à terminer.</x:v>
      </x:c>
    </x:row>
    <x:row r="3842" ht="96" customHeight="1">
      <x:c r="A3842" s="115" t="str">
        <x:v>EXT-MONDE-T077-V37</x:v>
      </x:c>
      <x:c r="B3842" s="115" t="str">
        <x:v>EXT-MONDE-T077</x:v>
      </x:c>
      <x:c r="C3842" s="115" t="str">
        <x:v>Îles</x:v>
      </x:c>
      <x:c r="D3842" s="115" t="str">
        <x:v>Îlot de phare</x:v>
      </x:c>
      <x:c r="E3842" s="115" t="n">
        <x:v>37</x:v>
      </x:c>
      <x:c r="F3842" s="115" t="str">
        <x:v>Inspection physique</x:v>
      </x:c>
      <x:c r="G3842" s="115" t="str">
        <x:v>1 niveaux ; 32 pièces ; 248 segments de mur ; 0 transitions. Inspection physique ; architecture complète encore ouverte.</x:v>
      </x:c>
      <x:c r="H3842" s="115" t="str">
        <x:v>L 378 ; l 312 ; hauteur 32 m ; choix de composition auteur ; dimensions réelles à documenter</x:v>
      </x:c>
      <x:c r="I3842" s="115" t="str">
        <x:v>À équilibrer</x:v>
      </x:c>
      <x:c r="J3842" s="115" t="str">
        <x:v>Non</x:v>
      </x:c>
      <x:c r="K3842" s="115" t="str">
        <x:v>Pièces décrites, murs, portes, niveaux et mobilier inspectables à l’échelle. Volumes réservés, raccord au seed, butin, rencontres et services de campagne restent à terminer.</x:v>
      </x:c>
    </x:row>
    <x:row r="3843" ht="96" customHeight="1">
      <x:c r="A3843" s="115" t="str">
        <x:v>EXT-MONDE-T077-V38</x:v>
      </x:c>
      <x:c r="B3843" s="115" t="str">
        <x:v>EXT-MONDE-T077</x:v>
      </x:c>
      <x:c r="C3843" s="115" t="str">
        <x:v>Îles</x:v>
      </x:c>
      <x:c r="D3843" s="115" t="str">
        <x:v>Îlot de phare</x:v>
      </x:c>
      <x:c r="E3843" s="115" t="n">
        <x:v>38</x:v>
      </x:c>
      <x:c r="F3843" s="115" t="str">
        <x:v>Inspection physique</x:v>
      </x:c>
      <x:c r="G3843" s="115" t="str">
        <x:v>1 niveaux ; 32 pièces ; 248 segments de mur ; 0 transitions. Inspection physique ; architecture complète encore ouverte.</x:v>
      </x:c>
      <x:c r="H3843" s="115" t="str">
        <x:v>L 378 ; l 312 ; hauteur 32 m ; choix de composition auteur ; dimensions réelles à documenter</x:v>
      </x:c>
      <x:c r="I3843" s="115" t="str">
        <x:v>À équilibrer</x:v>
      </x:c>
      <x:c r="J3843" s="115" t="str">
        <x:v>Non</x:v>
      </x:c>
      <x:c r="K3843" s="115" t="str">
        <x:v>Pièces décrites, murs, portes, niveaux et mobilier inspectables à l’échelle. Volumes réservés, raccord au seed, butin, rencontres et services de campagne restent à terminer.</x:v>
      </x:c>
    </x:row>
    <x:row r="3844" ht="96" customHeight="1">
      <x:c r="A3844" s="115" t="str">
        <x:v>EXT-MONDE-T077-V39</x:v>
      </x:c>
      <x:c r="B3844" s="115" t="str">
        <x:v>EXT-MONDE-T077</x:v>
      </x:c>
      <x:c r="C3844" s="115" t="str">
        <x:v>Îles</x:v>
      </x:c>
      <x:c r="D3844" s="115" t="str">
        <x:v>Îlot de phare</x:v>
      </x:c>
      <x:c r="E3844" s="115" t="n">
        <x:v>39</x:v>
      </x:c>
      <x:c r="F3844" s="115" t="str">
        <x:v>Inspection physique</x:v>
      </x:c>
      <x:c r="G3844" s="115" t="str">
        <x:v>1 niveaux ; 32 pièces ; 248 segments de mur ; 0 transitions. Inspection physique ; architecture complète encore ouverte.</x:v>
      </x:c>
      <x:c r="H3844" s="115" t="str">
        <x:v>L 378 ; l 312 ; hauteur 32 m ; choix de composition auteur ; dimensions réelles à documenter</x:v>
      </x:c>
      <x:c r="I3844" s="115" t="str">
        <x:v>À équilibrer</x:v>
      </x:c>
      <x:c r="J3844" s="115" t="str">
        <x:v>Non</x:v>
      </x:c>
      <x:c r="K3844" s="115" t="str">
        <x:v>Pièces décrites, murs, portes, niveaux et mobilier inspectables à l’échelle. Volumes réservés, raccord au seed, butin, rencontres et services de campagne restent à terminer.</x:v>
      </x:c>
    </x:row>
    <x:row r="3845" ht="96" customHeight="1">
      <x:c r="A3845" s="115" t="str">
        <x:v>EXT-MONDE-T077-V40</x:v>
      </x:c>
      <x:c r="B3845" s="115" t="str">
        <x:v>EXT-MONDE-T077</x:v>
      </x:c>
      <x:c r="C3845" s="115" t="str">
        <x:v>Îles</x:v>
      </x:c>
      <x:c r="D3845" s="115" t="str">
        <x:v>Îlot de phare</x:v>
      </x:c>
      <x:c r="E3845" s="115" t="n">
        <x:v>40</x:v>
      </x:c>
      <x:c r="F3845" s="115" t="str">
        <x:v>Inspection physique</x:v>
      </x:c>
      <x:c r="G3845" s="115" t="str">
        <x:v>1 niveaux ; 32 pièces ; 248 segments de mur ; 0 transitions. Inspection physique ; architecture complète encore ouverte.</x:v>
      </x:c>
      <x:c r="H3845" s="115" t="str">
        <x:v>L 378 ; l 312 ; hauteur 32 m ; choix de composition auteur ; dimensions réelles à documenter</x:v>
      </x:c>
      <x:c r="I3845" s="115" t="str">
        <x:v>À équilibrer</x:v>
      </x:c>
      <x:c r="J3845" s="115" t="str">
        <x:v>Non</x:v>
      </x:c>
      <x:c r="K3845" s="115" t="str">
        <x:v>Pièces décrites, murs, portes, niveaux et mobilier inspectables à l’échelle. Volumes réservés, raccord au seed, butin, rencontres et services de campagne restent à terminer.</x:v>
      </x:c>
    </x:row>
    <x:row r="3846" ht="96" customHeight="1">
      <x:c r="A3846" s="115" t="str">
        <x:v>EXT-MONDE-T077-V41</x:v>
      </x:c>
      <x:c r="B3846" s="115" t="str">
        <x:v>EXT-MONDE-T077</x:v>
      </x:c>
      <x:c r="C3846" s="115" t="str">
        <x:v>Îles</x:v>
      </x:c>
      <x:c r="D3846" s="115" t="str">
        <x:v>Îlot de phare</x:v>
      </x:c>
      <x:c r="E3846" s="115" t="n">
        <x:v>41</x:v>
      </x:c>
      <x:c r="F3846" s="115" t="str">
        <x:v>Inspection physique</x:v>
      </x:c>
      <x:c r="G3846" s="115" t="str">
        <x:v>1 niveaux ; 32 pièces ; 248 segments de mur ; 0 transitions. Inspection physique ; architecture complète encore ouverte.</x:v>
      </x:c>
      <x:c r="H3846" s="115" t="str">
        <x:v>L 392 ; l 324 ; hauteur 32 m ; choix de composition auteur ; dimensions réelles à documenter</x:v>
      </x:c>
      <x:c r="I3846" s="115" t="str">
        <x:v>À équilibrer</x:v>
      </x:c>
      <x:c r="J3846" s="115" t="str">
        <x:v>Non</x:v>
      </x:c>
      <x:c r="K3846" s="115" t="str">
        <x:v>Pièces décrites, murs, portes, niveaux et mobilier inspectables à l’échelle. Volumes réservés, raccord au seed, butin, rencontres et services de campagne restent à terminer.</x:v>
      </x:c>
    </x:row>
    <x:row r="3847" ht="96" customHeight="1">
      <x:c r="A3847" s="115" t="str">
        <x:v>EXT-MONDE-T077-V42</x:v>
      </x:c>
      <x:c r="B3847" s="115" t="str">
        <x:v>EXT-MONDE-T077</x:v>
      </x:c>
      <x:c r="C3847" s="115" t="str">
        <x:v>Îles</x:v>
      </x:c>
      <x:c r="D3847" s="115" t="str">
        <x:v>Îlot de phare</x:v>
      </x:c>
      <x:c r="E3847" s="115" t="n">
        <x:v>42</x:v>
      </x:c>
      <x:c r="F3847" s="115" t="str">
        <x:v>Inspection physique</x:v>
      </x:c>
      <x:c r="G3847" s="115" t="str">
        <x:v>1 niveaux ; 32 pièces ; 248 segments de mur ; 0 transitions. Inspection physique ; architecture complète encore ouverte.</x:v>
      </x:c>
      <x:c r="H3847" s="115" t="str">
        <x:v>L 392 ; l 324 ; hauteur 32 m ; choix de composition auteur ; dimensions réelles à documenter</x:v>
      </x:c>
      <x:c r="I3847" s="115" t="str">
        <x:v>À équilibrer</x:v>
      </x:c>
      <x:c r="J3847" s="115" t="str">
        <x:v>Non</x:v>
      </x:c>
      <x:c r="K3847" s="115" t="str">
        <x:v>Pièces décrites, murs, portes, niveaux et mobilier inspectables à l’échelle. Volumes réservés, raccord au seed, butin, rencontres et services de campagne restent à terminer.</x:v>
      </x:c>
    </x:row>
    <x:row r="3848" ht="96" customHeight="1">
      <x:c r="A3848" s="115" t="str">
        <x:v>EXT-MONDE-T077-V43</x:v>
      </x:c>
      <x:c r="B3848" s="115" t="str">
        <x:v>EXT-MONDE-T077</x:v>
      </x:c>
      <x:c r="C3848" s="115" t="str">
        <x:v>Îles</x:v>
      </x:c>
      <x:c r="D3848" s="115" t="str">
        <x:v>Îlot de phare</x:v>
      </x:c>
      <x:c r="E3848" s="115" t="n">
        <x:v>43</x:v>
      </x:c>
      <x:c r="F3848" s="115" t="str">
        <x:v>Inspection physique</x:v>
      </x:c>
      <x:c r="G3848" s="115" t="str">
        <x:v>1 niveaux ; 32 pièces ; 248 segments de mur ; 0 transitions. Inspection physique ; architecture complète encore ouverte.</x:v>
      </x:c>
      <x:c r="H3848" s="115" t="str">
        <x:v>L 392 ; l 324 ; hauteur 32 m ; choix de composition auteur ; dimensions réelles à documenter</x:v>
      </x:c>
      <x:c r="I3848" s="115" t="str">
        <x:v>À équilibrer</x:v>
      </x:c>
      <x:c r="J3848" s="115" t="str">
        <x:v>Non</x:v>
      </x:c>
      <x:c r="K3848" s="115" t="str">
        <x:v>Pièces décrites, murs, portes, niveaux et mobilier inspectables à l’échelle. Volumes réservés, raccord au seed, butin, rencontres et services de campagne restent à terminer.</x:v>
      </x:c>
    </x:row>
    <x:row r="3849" ht="96" customHeight="1">
      <x:c r="A3849" s="115" t="str">
        <x:v>EXT-MONDE-T077-V44</x:v>
      </x:c>
      <x:c r="B3849" s="115" t="str">
        <x:v>EXT-MONDE-T077</x:v>
      </x:c>
      <x:c r="C3849" s="115" t="str">
        <x:v>Îles</x:v>
      </x:c>
      <x:c r="D3849" s="115" t="str">
        <x:v>Îlot de phare</x:v>
      </x:c>
      <x:c r="E3849" s="115" t="n">
        <x:v>44</x:v>
      </x:c>
      <x:c r="F3849" s="115" t="str">
        <x:v>Inspection physique</x:v>
      </x:c>
      <x:c r="G3849" s="115" t="str">
        <x:v>1 niveaux ; 32 pièces ; 248 segments de mur ; 0 transitions. Inspection physique ; architecture complète encore ouverte.</x:v>
      </x:c>
      <x:c r="H3849" s="115" t="str">
        <x:v>L 392 ; l 324 ; hauteur 32 m ; choix de composition auteur ; dimensions réelles à documenter</x:v>
      </x:c>
      <x:c r="I3849" s="115" t="str">
        <x:v>À équilibrer</x:v>
      </x:c>
      <x:c r="J3849" s="115" t="str">
        <x:v>Non</x:v>
      </x:c>
      <x:c r="K3849" s="115" t="str">
        <x:v>Pièces décrites, murs, portes, niveaux et mobilier inspectables à l’échelle. Volumes réservés, raccord au seed, butin, rencontres et services de campagne restent à terminer.</x:v>
      </x:c>
    </x:row>
    <x:row r="3850" ht="96" customHeight="1">
      <x:c r="A3850" s="115" t="str">
        <x:v>EXT-MONDE-T077-V45</x:v>
      </x:c>
      <x:c r="B3850" s="115" t="str">
        <x:v>EXT-MONDE-T077</x:v>
      </x:c>
      <x:c r="C3850" s="115" t="str">
        <x:v>Îles</x:v>
      </x:c>
      <x:c r="D3850" s="115" t="str">
        <x:v>Îlot de phare</x:v>
      </x:c>
      <x:c r="E3850" s="115" t="n">
        <x:v>45</x:v>
      </x:c>
      <x:c r="F3850" s="115" t="str">
        <x:v>Inspection physique</x:v>
      </x:c>
      <x:c r="G3850" s="115" t="str">
        <x:v>1 niveaux ; 32 pièces ; 248 segments de mur ; 0 transitions. Inspection physique ; architecture complète encore ouverte.</x:v>
      </x:c>
      <x:c r="H3850" s="115" t="str">
        <x:v>L 392 ; l 324 ; hauteur 32 m ; choix de composition auteur ; dimensions réelles à documenter</x:v>
      </x:c>
      <x:c r="I3850" s="115" t="str">
        <x:v>À équilibrer</x:v>
      </x:c>
      <x:c r="J3850" s="115" t="str">
        <x:v>Non</x:v>
      </x:c>
      <x:c r="K3850" s="115" t="str">
        <x:v>Pièces décrites, murs, portes, niveaux et mobilier inspectables à l’échelle. Volumes réservés, raccord au seed, butin, rencontres et services de campagne restent à terminer.</x:v>
      </x:c>
    </x:row>
    <x:row r="3851" ht="96" customHeight="1">
      <x:c r="A3851" s="115" t="str">
        <x:v>EXT-MONDE-T077-V46</x:v>
      </x:c>
      <x:c r="B3851" s="115" t="str">
        <x:v>EXT-MONDE-T077</x:v>
      </x:c>
      <x:c r="C3851" s="115" t="str">
        <x:v>Îles</x:v>
      </x:c>
      <x:c r="D3851" s="115" t="str">
        <x:v>Îlot de phare</x:v>
      </x:c>
      <x:c r="E3851" s="115" t="n">
        <x:v>46</x:v>
      </x:c>
      <x:c r="F3851" s="115" t="str">
        <x:v>Inspection physique</x:v>
      </x:c>
      <x:c r="G3851" s="115" t="str">
        <x:v>1 niveaux ; 32 pièces ; 248 segments de mur ; 0 transitions. Inspection physique ; architecture complète encore ouverte.</x:v>
      </x:c>
      <x:c r="H3851" s="115" t="str">
        <x:v>L 392 ; l 324 ; hauteur 32 m ; choix de composition auteur ; dimensions réelles à documenter</x:v>
      </x:c>
      <x:c r="I3851" s="115" t="str">
        <x:v>À équilibrer</x:v>
      </x:c>
      <x:c r="J3851" s="115" t="str">
        <x:v>Non</x:v>
      </x:c>
      <x:c r="K3851" s="115" t="str">
        <x:v>Pièces décrites, murs, portes, niveaux et mobilier inspectables à l’échelle. Volumes réservés, raccord au seed, butin, rencontres et services de campagne restent à terminer.</x:v>
      </x:c>
    </x:row>
    <x:row r="3852" ht="96" customHeight="1">
      <x:c r="A3852" s="115" t="str">
        <x:v>EXT-MONDE-T077-V47</x:v>
      </x:c>
      <x:c r="B3852" s="115" t="str">
        <x:v>EXT-MONDE-T077</x:v>
      </x:c>
      <x:c r="C3852" s="115" t="str">
        <x:v>Îles</x:v>
      </x:c>
      <x:c r="D3852" s="115" t="str">
        <x:v>Îlot de phare</x:v>
      </x:c>
      <x:c r="E3852" s="115" t="n">
        <x:v>47</x:v>
      </x:c>
      <x:c r="F3852" s="115" t="str">
        <x:v>Inspection physique</x:v>
      </x:c>
      <x:c r="G3852" s="115" t="str">
        <x:v>1 niveaux ; 32 pièces ; 248 segments de mur ; 0 transitions. Inspection physique ; architecture complète encore ouverte.</x:v>
      </x:c>
      <x:c r="H3852" s="115" t="str">
        <x:v>L 392 ; l 324 ; hauteur 32 m ; choix de composition auteur ; dimensions réelles à documenter</x:v>
      </x:c>
      <x:c r="I3852" s="115" t="str">
        <x:v>À équilibrer</x:v>
      </x:c>
      <x:c r="J3852" s="115" t="str">
        <x:v>Non</x:v>
      </x:c>
      <x:c r="K3852" s="115" t="str">
        <x:v>Pièces décrites, murs, portes, niveaux et mobilier inspectables à l’échelle. Volumes réservés, raccord au seed, butin, rencontres et services de campagne restent à terminer.</x:v>
      </x:c>
    </x:row>
    <x:row r="3853" ht="96" customHeight="1">
      <x:c r="A3853" s="115" t="str">
        <x:v>EXT-MONDE-T077-V48</x:v>
      </x:c>
      <x:c r="B3853" s="115" t="str">
        <x:v>EXT-MONDE-T077</x:v>
      </x:c>
      <x:c r="C3853" s="115" t="str">
        <x:v>Îles</x:v>
      </x:c>
      <x:c r="D3853" s="115" t="str">
        <x:v>Îlot de phare</x:v>
      </x:c>
      <x:c r="E3853" s="115" t="n">
        <x:v>48</x:v>
      </x:c>
      <x:c r="F3853" s="115" t="str">
        <x:v>Inspection physique</x:v>
      </x:c>
      <x:c r="G3853" s="115" t="str">
        <x:v>1 niveaux ; 32 pièces ; 248 segments de mur ; 0 transitions. Inspection physique ; architecture complète encore ouverte.</x:v>
      </x:c>
      <x:c r="H3853" s="115" t="str">
        <x:v>L 392 ; l 324 ; hauteur 32 m ; choix de composition auteur ; dimensions réelles à documenter</x:v>
      </x:c>
      <x:c r="I3853" s="115" t="str">
        <x:v>À équilibrer</x:v>
      </x:c>
      <x:c r="J3853" s="115" t="str">
        <x:v>Non</x:v>
      </x:c>
      <x:c r="K3853" s="115" t="str">
        <x:v>Pièces décrites, murs, portes, niveaux et mobilier inspectables à l’échelle. Volumes réservés, raccord au seed, butin, rencontres et services de campagne restent à terminer.</x:v>
      </x:c>
    </x:row>
    <x:row r="3854" ht="96" customHeight="1">
      <x:c r="A3854" s="115" t="str">
        <x:v>EXT-MONDE-T077-V49</x:v>
      </x:c>
      <x:c r="B3854" s="115" t="str">
        <x:v>EXT-MONDE-T077</x:v>
      </x:c>
      <x:c r="C3854" s="115" t="str">
        <x:v>Îles</x:v>
      </x:c>
      <x:c r="D3854" s="115" t="str">
        <x:v>Îlot de phare</x:v>
      </x:c>
      <x:c r="E3854" s="115" t="n">
        <x:v>49</x:v>
      </x:c>
      <x:c r="F3854" s="115" t="str">
        <x:v>Inspection physique</x:v>
      </x:c>
      <x:c r="G3854" s="115" t="str">
        <x:v>1 niveaux ; 32 pièces ; 248 segments de mur ; 0 transitions. Inspection physique ; architecture complète encore ouverte.</x:v>
      </x:c>
      <x:c r="H3854" s="115" t="str">
        <x:v>L 392 ; l 324 ; hauteur 32 m ; choix de composition auteur ; dimensions réelles à documenter</x:v>
      </x:c>
      <x:c r="I3854" s="115" t="str">
        <x:v>À équilibrer</x:v>
      </x:c>
      <x:c r="J3854" s="115" t="str">
        <x:v>Non</x:v>
      </x:c>
      <x:c r="K3854" s="115" t="str">
        <x:v>Pièces décrites, murs, portes, niveaux et mobilier inspectables à l’échelle. Volumes réservés, raccord au seed, butin, rencontres et services de campagne restent à terminer.</x:v>
      </x:c>
    </x:row>
    <x:row r="3855" ht="96" customHeight="1">
      <x:c r="A3855" s="115" t="str">
        <x:v>EXT-MONDE-T077-V50</x:v>
      </x:c>
      <x:c r="B3855" s="115" t="str">
        <x:v>EXT-MONDE-T077</x:v>
      </x:c>
      <x:c r="C3855" s="115" t="str">
        <x:v>Îles</x:v>
      </x:c>
      <x:c r="D3855" s="115" t="str">
        <x:v>Îlot de phare</x:v>
      </x:c>
      <x:c r="E3855" s="115" t="n">
        <x:v>50</x:v>
      </x:c>
      <x:c r="F3855" s="115" t="str">
        <x:v>Inspection physique</x:v>
      </x:c>
      <x:c r="G3855" s="115" t="str">
        <x:v>1 niveaux ; 32 pièces ; 248 segments de mur ; 0 transitions. Inspection physique ; architecture complète encore ouverte.</x:v>
      </x:c>
      <x:c r="H3855" s="115" t="str">
        <x:v>L 392 ; l 324 ; hauteur 32 m ; choix de composition auteur ; dimensions réelles à documenter</x:v>
      </x:c>
      <x:c r="I3855" s="115" t="str">
        <x:v>À équilibrer</x:v>
      </x:c>
      <x:c r="J3855" s="115" t="str">
        <x:v>Non</x:v>
      </x:c>
      <x:c r="K3855" s="115" t="str">
        <x:v>Pièces décrites, murs, portes, niveaux et mobilier inspectables à l’échelle. Volumes réservés, raccord au seed, butin, rencontres et services de campagne restent à terminer.</x:v>
      </x:c>
    </x:row>
    <x:row r="3856" ht="96" customHeight="1">
      <x:c r="A3856" s="115" t="str">
        <x:v>EXT-MONDE-T078-V01</x:v>
      </x:c>
      <x:c r="B3856" s="115" t="str">
        <x:v>EXT-MONDE-T078</x:v>
      </x:c>
      <x:c r="C3856" s="115" t="str">
        <x:v>Îles</x:v>
      </x:c>
      <x:c r="D3856" s="115" t="str">
        <x:v>Île agricole habitée</x:v>
      </x:c>
      <x:c r="E3856" s="115" t="n">
        <x:v>1</x:v>
      </x:c>
      <x:c r="F3856" s="115" t="str">
        <x:v>Inspection physique</x:v>
      </x:c>
      <x:c r="G3856" s="115" t="str">
        <x:v>1 niveaux ; 32 pièces ; 248 segments de mur ; 0 transitions. Inspection physique ; architecture complète encore ouverte.</x:v>
      </x:c>
      <x:c r="H3856" s="115" t="str">
        <x:v>L 576 ; l 556 ; hauteur 14 m ; choix de composition auteur ; dimensions réelles à documenter</x:v>
      </x:c>
      <x:c r="I3856" s="115" t="str">
        <x:v>À équilibrer</x:v>
      </x:c>
      <x:c r="J3856" s="115" t="str">
        <x:v>Non</x:v>
      </x:c>
      <x:c r="K3856" s="115" t="str">
        <x:v>Pièces décrites, murs, portes, niveaux et mobilier inspectables à l’échelle. Volumes réservés, raccord au seed, butin, rencontres et services de campagne restent à terminer.</x:v>
      </x:c>
    </x:row>
    <x:row r="3857" ht="96" customHeight="1">
      <x:c r="A3857" s="115" t="str">
        <x:v>EXT-MONDE-T078-V02</x:v>
      </x:c>
      <x:c r="B3857" s="115" t="str">
        <x:v>EXT-MONDE-T078</x:v>
      </x:c>
      <x:c r="C3857" s="115" t="str">
        <x:v>Îles</x:v>
      </x:c>
      <x:c r="D3857" s="115" t="str">
        <x:v>Île agricole habitée</x:v>
      </x:c>
      <x:c r="E3857" s="115" t="n">
        <x:v>2</x:v>
      </x:c>
      <x:c r="F3857" s="115" t="str">
        <x:v>Inspection physique</x:v>
      </x:c>
      <x:c r="G3857" s="115" t="str">
        <x:v>1 niveaux ; 32 pièces ; 248 segments de mur ; 0 transitions. Inspection physique ; architecture complète encore ouverte.</x:v>
      </x:c>
      <x:c r="H3857" s="115" t="str">
        <x:v>L 576 ; l 556 ; hauteur 14 m ; choix de composition auteur ; dimensions réelles à documenter</x:v>
      </x:c>
      <x:c r="I3857" s="115" t="str">
        <x:v>À équilibrer</x:v>
      </x:c>
      <x:c r="J3857" s="115" t="str">
        <x:v>Non</x:v>
      </x:c>
      <x:c r="K3857" s="115" t="str">
        <x:v>Pièces décrites, murs, portes, niveaux et mobilier inspectables à l’échelle. Volumes réservés, raccord au seed, butin, rencontres et services de campagne restent à terminer.</x:v>
      </x:c>
    </x:row>
    <x:row r="3858" ht="96" customHeight="1">
      <x:c r="A3858" s="115" t="str">
        <x:v>EXT-MONDE-T078-V03</x:v>
      </x:c>
      <x:c r="B3858" s="115" t="str">
        <x:v>EXT-MONDE-T078</x:v>
      </x:c>
      <x:c r="C3858" s="115" t="str">
        <x:v>Îles</x:v>
      </x:c>
      <x:c r="D3858" s="115" t="str">
        <x:v>Île agricole habitée</x:v>
      </x:c>
      <x:c r="E3858" s="115" t="n">
        <x:v>3</x:v>
      </x:c>
      <x:c r="F3858" s="115" t="str">
        <x:v>Inspection physique</x:v>
      </x:c>
      <x:c r="G3858" s="115" t="str">
        <x:v>1 niveaux ; 32 pièces ; 248 segments de mur ; 0 transitions. Inspection physique ; architecture complète encore ouverte.</x:v>
      </x:c>
      <x:c r="H3858" s="115" t="str">
        <x:v>L 576 ; l 556 ; hauteur 14 m ; choix de composition auteur ; dimensions réelles à documenter</x:v>
      </x:c>
      <x:c r="I3858" s="115" t="str">
        <x:v>À équilibrer</x:v>
      </x:c>
      <x:c r="J3858" s="115" t="str">
        <x:v>Non</x:v>
      </x:c>
      <x:c r="K3858" s="115" t="str">
        <x:v>Pièces décrites, murs, portes, niveaux et mobilier inspectables à l’échelle. Volumes réservés, raccord au seed, butin, rencontres et services de campagne restent à terminer.</x:v>
      </x:c>
    </x:row>
    <x:row r="3859" ht="96" customHeight="1">
      <x:c r="A3859" s="115" t="str">
        <x:v>EXT-MONDE-T078-V04</x:v>
      </x:c>
      <x:c r="B3859" s="115" t="str">
        <x:v>EXT-MONDE-T078</x:v>
      </x:c>
      <x:c r="C3859" s="115" t="str">
        <x:v>Îles</x:v>
      </x:c>
      <x:c r="D3859" s="115" t="str">
        <x:v>Île agricole habitée</x:v>
      </x:c>
      <x:c r="E3859" s="115" t="n">
        <x:v>4</x:v>
      </x:c>
      <x:c r="F3859" s="115" t="str">
        <x:v>Inspection physique</x:v>
      </x:c>
      <x:c r="G3859" s="115" t="str">
        <x:v>1 niveaux ; 32 pièces ; 248 segments de mur ; 0 transitions. Inspection physique ; architecture complète encore ouverte.</x:v>
      </x:c>
      <x:c r="H3859" s="115" t="str">
        <x:v>L 576 ; l 556 ; hauteur 14 m ; choix de composition auteur ; dimensions réelles à documenter</x:v>
      </x:c>
      <x:c r="I3859" s="115" t="str">
        <x:v>À équilibrer</x:v>
      </x:c>
      <x:c r="J3859" s="115" t="str">
        <x:v>Non</x:v>
      </x:c>
      <x:c r="K3859" s="115" t="str">
        <x:v>Pièces décrites, murs, portes, niveaux et mobilier inspectables à l’échelle. Volumes réservés, raccord au seed, butin, rencontres et services de campagne restent à terminer.</x:v>
      </x:c>
    </x:row>
    <x:row r="3860" ht="96" customHeight="1">
      <x:c r="A3860" s="115" t="str">
        <x:v>EXT-MONDE-T078-V05</x:v>
      </x:c>
      <x:c r="B3860" s="115" t="str">
        <x:v>EXT-MONDE-T078</x:v>
      </x:c>
      <x:c r="C3860" s="115" t="str">
        <x:v>Îles</x:v>
      </x:c>
      <x:c r="D3860" s="115" t="str">
        <x:v>Île agricole habitée</x:v>
      </x:c>
      <x:c r="E3860" s="115" t="n">
        <x:v>5</x:v>
      </x:c>
      <x:c r="F3860" s="115" t="str">
        <x:v>Inspection physique</x:v>
      </x:c>
      <x:c r="G3860" s="115" t="str">
        <x:v>1 niveaux ; 32 pièces ; 248 segments de mur ; 0 transitions. Inspection physique ; architecture complète encore ouverte.</x:v>
      </x:c>
      <x:c r="H3860" s="115" t="str">
        <x:v>L 576 ; l 556 ; hauteur 14 m ; choix de composition auteur ; dimensions réelles à documenter</x:v>
      </x:c>
      <x:c r="I3860" s="115" t="str">
        <x:v>À équilibrer</x:v>
      </x:c>
      <x:c r="J3860" s="115" t="str">
        <x:v>Non</x:v>
      </x:c>
      <x:c r="K3860" s="115" t="str">
        <x:v>Pièces décrites, murs, portes, niveaux et mobilier inspectables à l’échelle. Volumes réservés, raccord au seed, butin, rencontres et services de campagne restent à terminer.</x:v>
      </x:c>
    </x:row>
    <x:row r="3861" ht="96" customHeight="1">
      <x:c r="A3861" s="115" t="str">
        <x:v>EXT-MONDE-T078-V06</x:v>
      </x:c>
      <x:c r="B3861" s="115" t="str">
        <x:v>EXT-MONDE-T078</x:v>
      </x:c>
      <x:c r="C3861" s="115" t="str">
        <x:v>Îles</x:v>
      </x:c>
      <x:c r="D3861" s="115" t="str">
        <x:v>Île agricole habitée</x:v>
      </x:c>
      <x:c r="E3861" s="115" t="n">
        <x:v>6</x:v>
      </x:c>
      <x:c r="F3861" s="115" t="str">
        <x:v>Inspection physique</x:v>
      </x:c>
      <x:c r="G3861" s="115" t="str">
        <x:v>1 niveaux ; 32 pièces ; 248 segments de mur ; 0 transitions. Inspection physique ; architecture complète encore ouverte.</x:v>
      </x:c>
      <x:c r="H3861" s="115" t="str">
        <x:v>L 576 ; l 556 ; hauteur 14 m ; choix de composition auteur ; dimensions réelles à documenter</x:v>
      </x:c>
      <x:c r="I3861" s="115" t="str">
        <x:v>À équilibrer</x:v>
      </x:c>
      <x:c r="J3861" s="115" t="str">
        <x:v>Non</x:v>
      </x:c>
      <x:c r="K3861" s="115" t="str">
        <x:v>Pièces décrites, murs, portes, niveaux et mobilier inspectables à l’échelle. Volumes réservés, raccord au seed, butin, rencontres et services de campagne restent à terminer.</x:v>
      </x:c>
    </x:row>
    <x:row r="3862" ht="96" customHeight="1">
      <x:c r="A3862" s="115" t="str">
        <x:v>EXT-MONDE-T078-V07</x:v>
      </x:c>
      <x:c r="B3862" s="115" t="str">
        <x:v>EXT-MONDE-T078</x:v>
      </x:c>
      <x:c r="C3862" s="115" t="str">
        <x:v>Îles</x:v>
      </x:c>
      <x:c r="D3862" s="115" t="str">
        <x:v>Île agricole habitée</x:v>
      </x:c>
      <x:c r="E3862" s="115" t="n">
        <x:v>7</x:v>
      </x:c>
      <x:c r="F3862" s="115" t="str">
        <x:v>Inspection physique</x:v>
      </x:c>
      <x:c r="G3862" s="115" t="str">
        <x:v>1 niveaux ; 32 pièces ; 248 segments de mur ; 0 transitions. Inspection physique ; architecture complète encore ouverte.</x:v>
      </x:c>
      <x:c r="H3862" s="115" t="str">
        <x:v>L 576 ; l 556 ; hauteur 14 m ; choix de composition auteur ; dimensions réelles à documenter</x:v>
      </x:c>
      <x:c r="I3862" s="115" t="str">
        <x:v>À équilibrer</x:v>
      </x:c>
      <x:c r="J3862" s="115" t="str">
        <x:v>Non</x:v>
      </x:c>
      <x:c r="K3862" s="115" t="str">
        <x:v>Pièces décrites, murs, portes, niveaux et mobilier inspectables à l’échelle. Volumes réservés, raccord au seed, butin, rencontres et services de campagne restent à terminer.</x:v>
      </x:c>
    </x:row>
    <x:row r="3863" ht="96" customHeight="1">
      <x:c r="A3863" s="115" t="str">
        <x:v>EXT-MONDE-T078-V08</x:v>
      </x:c>
      <x:c r="B3863" s="115" t="str">
        <x:v>EXT-MONDE-T078</x:v>
      </x:c>
      <x:c r="C3863" s="115" t="str">
        <x:v>Îles</x:v>
      </x:c>
      <x:c r="D3863" s="115" t="str">
        <x:v>Île agricole habitée</x:v>
      </x:c>
      <x:c r="E3863" s="115" t="n">
        <x:v>8</x:v>
      </x:c>
      <x:c r="F3863" s="115" t="str">
        <x:v>Inspection physique</x:v>
      </x:c>
      <x:c r="G3863" s="115" t="str">
        <x:v>1 niveaux ; 32 pièces ; 248 segments de mur ; 0 transitions. Inspection physique ; architecture complète encore ouverte.</x:v>
      </x:c>
      <x:c r="H3863" s="115" t="str">
        <x:v>L 576 ; l 556 ; hauteur 14 m ; choix de composition auteur ; dimensions réelles à documenter</x:v>
      </x:c>
      <x:c r="I3863" s="115" t="str">
        <x:v>À équilibrer</x:v>
      </x:c>
      <x:c r="J3863" s="115" t="str">
        <x:v>Non</x:v>
      </x:c>
      <x:c r="K3863" s="115" t="str">
        <x:v>Pièces décrites, murs, portes, niveaux et mobilier inspectables à l’échelle. Volumes réservés, raccord au seed, butin, rencontres et services de campagne restent à terminer.</x:v>
      </x:c>
    </x:row>
    <x:row r="3864" ht="96" customHeight="1">
      <x:c r="A3864" s="115" t="str">
        <x:v>EXT-MONDE-T078-V09</x:v>
      </x:c>
      <x:c r="B3864" s="115" t="str">
        <x:v>EXT-MONDE-T078</x:v>
      </x:c>
      <x:c r="C3864" s="115" t="str">
        <x:v>Îles</x:v>
      </x:c>
      <x:c r="D3864" s="115" t="str">
        <x:v>Île agricole habitée</x:v>
      </x:c>
      <x:c r="E3864" s="115" t="n">
        <x:v>9</x:v>
      </x:c>
      <x:c r="F3864" s="115" t="str">
        <x:v>Inspection physique</x:v>
      </x:c>
      <x:c r="G3864" s="115" t="str">
        <x:v>1 niveaux ; 32 pièces ; 248 segments de mur ; 0 transitions. Inspection physique ; architecture complète encore ouverte.</x:v>
      </x:c>
      <x:c r="H3864" s="115" t="str">
        <x:v>L 576 ; l 556 ; hauteur 14 m ; choix de composition auteur ; dimensions réelles à documenter</x:v>
      </x:c>
      <x:c r="I3864" s="115" t="str">
        <x:v>À équilibrer</x:v>
      </x:c>
      <x:c r="J3864" s="115" t="str">
        <x:v>Non</x:v>
      </x:c>
      <x:c r="K3864" s="115" t="str">
        <x:v>Pièces décrites, murs, portes, niveaux et mobilier inspectables à l’échelle. Volumes réservés, raccord au seed, butin, rencontres et services de campagne restent à terminer.</x:v>
      </x:c>
    </x:row>
    <x:row r="3865" ht="96" customHeight="1">
      <x:c r="A3865" s="115" t="str">
        <x:v>EXT-MONDE-T078-V10</x:v>
      </x:c>
      <x:c r="B3865" s="115" t="str">
        <x:v>EXT-MONDE-T078</x:v>
      </x:c>
      <x:c r="C3865" s="115" t="str">
        <x:v>Îles</x:v>
      </x:c>
      <x:c r="D3865" s="115" t="str">
        <x:v>Île agricole habitée</x:v>
      </x:c>
      <x:c r="E3865" s="115" t="n">
        <x:v>10</x:v>
      </x:c>
      <x:c r="F3865" s="115" t="str">
        <x:v>Inspection physique</x:v>
      </x:c>
      <x:c r="G3865" s="115" t="str">
        <x:v>1 niveaux ; 32 pièces ; 248 segments de mur ; 0 transitions. Inspection physique ; architecture complète encore ouverte.</x:v>
      </x:c>
      <x:c r="H3865" s="115" t="str">
        <x:v>L 576 ; l 556 ; hauteur 14 m ; choix de composition auteur ; dimensions réelles à documenter</x:v>
      </x:c>
      <x:c r="I3865" s="115" t="str">
        <x:v>À équilibrer</x:v>
      </x:c>
      <x:c r="J3865" s="115" t="str">
        <x:v>Non</x:v>
      </x:c>
      <x:c r="K3865" s="115" t="str">
        <x:v>Pièces décrites, murs, portes, niveaux et mobilier inspectables à l’échelle. Volumes réservés, raccord au seed, butin, rencontres et services de campagne restent à terminer.</x:v>
      </x:c>
    </x:row>
    <x:row r="3866" ht="96" customHeight="1">
      <x:c r="A3866" s="115" t="str">
        <x:v>EXT-MONDE-T078-V11</x:v>
      </x:c>
      <x:c r="B3866" s="115" t="str">
        <x:v>EXT-MONDE-T078</x:v>
      </x:c>
      <x:c r="C3866" s="115" t="str">
        <x:v>Îles</x:v>
      </x:c>
      <x:c r="D3866" s="115" t="str">
        <x:v>Île agricole habitée</x:v>
      </x:c>
      <x:c r="E3866" s="115" t="n">
        <x:v>11</x:v>
      </x:c>
      <x:c r="F3866" s="115" t="str">
        <x:v>Inspection physique</x:v>
      </x:c>
      <x:c r="G3866" s="115" t="str">
        <x:v>1 niveaux ; 32 pièces ; 248 segments de mur ; 0 transitions. Inspection physique ; architecture complète encore ouverte.</x:v>
      </x:c>
      <x:c r="H3866" s="115" t="str">
        <x:v>L 590 ; l 568 ; hauteur 14 m ; choix de composition auteur ; dimensions réelles à documenter</x:v>
      </x:c>
      <x:c r="I3866" s="115" t="str">
        <x:v>À équilibrer</x:v>
      </x:c>
      <x:c r="J3866" s="115" t="str">
        <x:v>Non</x:v>
      </x:c>
      <x:c r="K3866" s="115" t="str">
        <x:v>Pièces décrites, murs, portes, niveaux et mobilier inspectables à l’échelle. Volumes réservés, raccord au seed, butin, rencontres et services de campagne restent à terminer.</x:v>
      </x:c>
    </x:row>
    <x:row r="3867" ht="96" customHeight="1">
      <x:c r="A3867" s="115" t="str">
        <x:v>EXT-MONDE-T078-V12</x:v>
      </x:c>
      <x:c r="B3867" s="115" t="str">
        <x:v>EXT-MONDE-T078</x:v>
      </x:c>
      <x:c r="C3867" s="115" t="str">
        <x:v>Îles</x:v>
      </x:c>
      <x:c r="D3867" s="115" t="str">
        <x:v>Île agricole habitée</x:v>
      </x:c>
      <x:c r="E3867" s="115" t="n">
        <x:v>12</x:v>
      </x:c>
      <x:c r="F3867" s="115" t="str">
        <x:v>Inspection physique</x:v>
      </x:c>
      <x:c r="G3867" s="115" t="str">
        <x:v>1 niveaux ; 32 pièces ; 248 segments de mur ; 0 transitions. Inspection physique ; architecture complète encore ouverte.</x:v>
      </x:c>
      <x:c r="H3867" s="115" t="str">
        <x:v>L 590 ; l 568 ; hauteur 14 m ; choix de composition auteur ; dimensions réelles à documenter</x:v>
      </x:c>
      <x:c r="I3867" s="115" t="str">
        <x:v>À équilibrer</x:v>
      </x:c>
      <x:c r="J3867" s="115" t="str">
        <x:v>Non</x:v>
      </x:c>
      <x:c r="K3867" s="115" t="str">
        <x:v>Pièces décrites, murs, portes, niveaux et mobilier inspectables à l’échelle. Volumes réservés, raccord au seed, butin, rencontres et services de campagne restent à terminer.</x:v>
      </x:c>
    </x:row>
    <x:row r="3868" ht="96" customHeight="1">
      <x:c r="A3868" s="115" t="str">
        <x:v>EXT-MONDE-T078-V13</x:v>
      </x:c>
      <x:c r="B3868" s="115" t="str">
        <x:v>EXT-MONDE-T078</x:v>
      </x:c>
      <x:c r="C3868" s="115" t="str">
        <x:v>Îles</x:v>
      </x:c>
      <x:c r="D3868" s="115" t="str">
        <x:v>Île agricole habitée</x:v>
      </x:c>
      <x:c r="E3868" s="115" t="n">
        <x:v>13</x:v>
      </x:c>
      <x:c r="F3868" s="115" t="str">
        <x:v>Inspection physique</x:v>
      </x:c>
      <x:c r="G3868" s="115" t="str">
        <x:v>1 niveaux ; 32 pièces ; 248 segments de mur ; 0 transitions. Inspection physique ; architecture complète encore ouverte.</x:v>
      </x:c>
      <x:c r="H3868" s="115" t="str">
        <x:v>L 590 ; l 568 ; hauteur 14 m ; choix de composition auteur ; dimensions réelles à documenter</x:v>
      </x:c>
      <x:c r="I3868" s="115" t="str">
        <x:v>À équilibrer</x:v>
      </x:c>
      <x:c r="J3868" s="115" t="str">
        <x:v>Non</x:v>
      </x:c>
      <x:c r="K3868" s="115" t="str">
        <x:v>Pièces décrites, murs, portes, niveaux et mobilier inspectables à l’échelle. Volumes réservés, raccord au seed, butin, rencontres et services de campagne restent à terminer.</x:v>
      </x:c>
    </x:row>
    <x:row r="3869" ht="96" customHeight="1">
      <x:c r="A3869" s="115" t="str">
        <x:v>EXT-MONDE-T078-V14</x:v>
      </x:c>
      <x:c r="B3869" s="115" t="str">
        <x:v>EXT-MONDE-T078</x:v>
      </x:c>
      <x:c r="C3869" s="115" t="str">
        <x:v>Îles</x:v>
      </x:c>
      <x:c r="D3869" s="115" t="str">
        <x:v>Île agricole habitée</x:v>
      </x:c>
      <x:c r="E3869" s="115" t="n">
        <x:v>14</x:v>
      </x:c>
      <x:c r="F3869" s="115" t="str">
        <x:v>Inspection physique</x:v>
      </x:c>
      <x:c r="G3869" s="115" t="str">
        <x:v>1 niveaux ; 32 pièces ; 248 segments de mur ; 0 transitions. Inspection physique ; architecture complète encore ouverte.</x:v>
      </x:c>
      <x:c r="H3869" s="115" t="str">
        <x:v>L 590 ; l 568 ; hauteur 14 m ; choix de composition auteur ; dimensions réelles à documenter</x:v>
      </x:c>
      <x:c r="I3869" s="115" t="str">
        <x:v>À équilibrer</x:v>
      </x:c>
      <x:c r="J3869" s="115" t="str">
        <x:v>Non</x:v>
      </x:c>
      <x:c r="K3869" s="115" t="str">
        <x:v>Pièces décrites, murs, portes, niveaux et mobilier inspectables à l’échelle. Volumes réservés, raccord au seed, butin, rencontres et services de campagne restent à terminer.</x:v>
      </x:c>
    </x:row>
    <x:row r="3870" ht="96" customHeight="1">
      <x:c r="A3870" s="115" t="str">
        <x:v>EXT-MONDE-T078-V15</x:v>
      </x:c>
      <x:c r="B3870" s="115" t="str">
        <x:v>EXT-MONDE-T078</x:v>
      </x:c>
      <x:c r="C3870" s="115" t="str">
        <x:v>Îles</x:v>
      </x:c>
      <x:c r="D3870" s="115" t="str">
        <x:v>Île agricole habitée</x:v>
      </x:c>
      <x:c r="E3870" s="115" t="n">
        <x:v>15</x:v>
      </x:c>
      <x:c r="F3870" s="115" t="str">
        <x:v>Inspection physique</x:v>
      </x:c>
      <x:c r="G3870" s="115" t="str">
        <x:v>1 niveaux ; 32 pièces ; 248 segments de mur ; 0 transitions. Inspection physique ; architecture complète encore ouverte.</x:v>
      </x:c>
      <x:c r="H3870" s="115" t="str">
        <x:v>L 590 ; l 568 ; hauteur 14 m ; choix de composition auteur ; dimensions réelles à documenter</x:v>
      </x:c>
      <x:c r="I3870" s="115" t="str">
        <x:v>À équilibrer</x:v>
      </x:c>
      <x:c r="J3870" s="115" t="str">
        <x:v>Non</x:v>
      </x:c>
      <x:c r="K3870" s="115" t="str">
        <x:v>Pièces décrites, murs, portes, niveaux et mobilier inspectables à l’échelle. Volumes réservés, raccord au seed, butin, rencontres et services de campagne restent à terminer.</x:v>
      </x:c>
    </x:row>
    <x:row r="3871" ht="96" customHeight="1">
      <x:c r="A3871" s="115" t="str">
        <x:v>EXT-MONDE-T078-V16</x:v>
      </x:c>
      <x:c r="B3871" s="115" t="str">
        <x:v>EXT-MONDE-T078</x:v>
      </x:c>
      <x:c r="C3871" s="115" t="str">
        <x:v>Îles</x:v>
      </x:c>
      <x:c r="D3871" s="115" t="str">
        <x:v>Île agricole habitée</x:v>
      </x:c>
      <x:c r="E3871" s="115" t="n">
        <x:v>16</x:v>
      </x:c>
      <x:c r="F3871" s="115" t="str">
        <x:v>Inspection physique</x:v>
      </x:c>
      <x:c r="G3871" s="115" t="str">
        <x:v>1 niveaux ; 32 pièces ; 248 segments de mur ; 0 transitions. Inspection physique ; architecture complète encore ouverte.</x:v>
      </x:c>
      <x:c r="H3871" s="115" t="str">
        <x:v>L 590 ; l 568 ; hauteur 14 m ; choix de composition auteur ; dimensions réelles à documenter</x:v>
      </x:c>
      <x:c r="I3871" s="115" t="str">
        <x:v>À équilibrer</x:v>
      </x:c>
      <x:c r="J3871" s="115" t="str">
        <x:v>Non</x:v>
      </x:c>
      <x:c r="K3871" s="115" t="str">
        <x:v>Pièces décrites, murs, portes, niveaux et mobilier inspectables à l’échelle. Volumes réservés, raccord au seed, butin, rencontres et services de campagne restent à terminer.</x:v>
      </x:c>
    </x:row>
    <x:row r="3872" ht="96" customHeight="1">
      <x:c r="A3872" s="115" t="str">
        <x:v>EXT-MONDE-T078-V17</x:v>
      </x:c>
      <x:c r="B3872" s="115" t="str">
        <x:v>EXT-MONDE-T078</x:v>
      </x:c>
      <x:c r="C3872" s="115" t="str">
        <x:v>Îles</x:v>
      </x:c>
      <x:c r="D3872" s="115" t="str">
        <x:v>Île agricole habitée</x:v>
      </x:c>
      <x:c r="E3872" s="115" t="n">
        <x:v>17</x:v>
      </x:c>
      <x:c r="F3872" s="115" t="str">
        <x:v>Inspection physique</x:v>
      </x:c>
      <x:c r="G3872" s="115" t="str">
        <x:v>1 niveaux ; 32 pièces ; 248 segments de mur ; 0 transitions. Inspection physique ; architecture complète encore ouverte.</x:v>
      </x:c>
      <x:c r="H3872" s="115" t="str">
        <x:v>L 590 ; l 568 ; hauteur 14 m ; choix de composition auteur ; dimensions réelles à documenter</x:v>
      </x:c>
      <x:c r="I3872" s="115" t="str">
        <x:v>À équilibrer</x:v>
      </x:c>
      <x:c r="J3872" s="115" t="str">
        <x:v>Non</x:v>
      </x:c>
      <x:c r="K3872" s="115" t="str">
        <x:v>Pièces décrites, murs, portes, niveaux et mobilier inspectables à l’échelle. Volumes réservés, raccord au seed, butin, rencontres et services de campagne restent à terminer.</x:v>
      </x:c>
    </x:row>
    <x:row r="3873" ht="96" customHeight="1">
      <x:c r="A3873" s="115" t="str">
        <x:v>EXT-MONDE-T078-V18</x:v>
      </x:c>
      <x:c r="B3873" s="115" t="str">
        <x:v>EXT-MONDE-T078</x:v>
      </x:c>
      <x:c r="C3873" s="115" t="str">
        <x:v>Îles</x:v>
      </x:c>
      <x:c r="D3873" s="115" t="str">
        <x:v>Île agricole habitée</x:v>
      </x:c>
      <x:c r="E3873" s="115" t="n">
        <x:v>18</x:v>
      </x:c>
      <x:c r="F3873" s="115" t="str">
        <x:v>Inspection physique</x:v>
      </x:c>
      <x:c r="G3873" s="115" t="str">
        <x:v>1 niveaux ; 32 pièces ; 248 segments de mur ; 0 transitions. Inspection physique ; architecture complète encore ouverte.</x:v>
      </x:c>
      <x:c r="H3873" s="115" t="str">
        <x:v>L 590 ; l 568 ; hauteur 14 m ; choix de composition auteur ; dimensions réelles à documenter</x:v>
      </x:c>
      <x:c r="I3873" s="115" t="str">
        <x:v>À équilibrer</x:v>
      </x:c>
      <x:c r="J3873" s="115" t="str">
        <x:v>Non</x:v>
      </x:c>
      <x:c r="K3873" s="115" t="str">
        <x:v>Pièces décrites, murs, portes, niveaux et mobilier inspectables à l’échelle. Volumes réservés, raccord au seed, butin, rencontres et services de campagne restent à terminer.</x:v>
      </x:c>
    </x:row>
    <x:row r="3874" ht="96" customHeight="1">
      <x:c r="A3874" s="115" t="str">
        <x:v>EXT-MONDE-T078-V19</x:v>
      </x:c>
      <x:c r="B3874" s="115" t="str">
        <x:v>EXT-MONDE-T078</x:v>
      </x:c>
      <x:c r="C3874" s="115" t="str">
        <x:v>Îles</x:v>
      </x:c>
      <x:c r="D3874" s="115" t="str">
        <x:v>Île agricole habitée</x:v>
      </x:c>
      <x:c r="E3874" s="115" t="n">
        <x:v>19</x:v>
      </x:c>
      <x:c r="F3874" s="115" t="str">
        <x:v>Inspection physique</x:v>
      </x:c>
      <x:c r="G3874" s="115" t="str">
        <x:v>1 niveaux ; 32 pièces ; 248 segments de mur ; 0 transitions. Inspection physique ; architecture complète encore ouverte.</x:v>
      </x:c>
      <x:c r="H3874" s="115" t="str">
        <x:v>L 590 ; l 568 ; hauteur 14 m ; choix de composition auteur ; dimensions réelles à documenter</x:v>
      </x:c>
      <x:c r="I3874" s="115" t="str">
        <x:v>À équilibrer</x:v>
      </x:c>
      <x:c r="J3874" s="115" t="str">
        <x:v>Non</x:v>
      </x:c>
      <x:c r="K3874" s="115" t="str">
        <x:v>Pièces décrites, murs, portes, niveaux et mobilier inspectables à l’échelle. Volumes réservés, raccord au seed, butin, rencontres et services de campagne restent à terminer.</x:v>
      </x:c>
    </x:row>
    <x:row r="3875" ht="96" customHeight="1">
      <x:c r="A3875" s="115" t="str">
        <x:v>EXT-MONDE-T078-V20</x:v>
      </x:c>
      <x:c r="B3875" s="115" t="str">
        <x:v>EXT-MONDE-T078</x:v>
      </x:c>
      <x:c r="C3875" s="115" t="str">
        <x:v>Îles</x:v>
      </x:c>
      <x:c r="D3875" s="115" t="str">
        <x:v>Île agricole habitée</x:v>
      </x:c>
      <x:c r="E3875" s="115" t="n">
        <x:v>20</x:v>
      </x:c>
      <x:c r="F3875" s="115" t="str">
        <x:v>Inspection physique</x:v>
      </x:c>
      <x:c r="G3875" s="115" t="str">
        <x:v>1 niveaux ; 32 pièces ; 248 segments de mur ; 0 transitions. Inspection physique ; architecture complète encore ouverte.</x:v>
      </x:c>
      <x:c r="H3875" s="115" t="str">
        <x:v>L 590 ; l 568 ; hauteur 14 m ; choix de composition auteur ; dimensions réelles à documenter</x:v>
      </x:c>
      <x:c r="I3875" s="115" t="str">
        <x:v>À équilibrer</x:v>
      </x:c>
      <x:c r="J3875" s="115" t="str">
        <x:v>Non</x:v>
      </x:c>
      <x:c r="K3875" s="115" t="str">
        <x:v>Pièces décrites, murs, portes, niveaux et mobilier inspectables à l’échelle. Volumes réservés, raccord au seed, butin, rencontres et services de campagne restent à terminer.</x:v>
      </x:c>
    </x:row>
    <x:row r="3876" ht="96" customHeight="1">
      <x:c r="A3876" s="115" t="str">
        <x:v>EXT-MONDE-T078-V21</x:v>
      </x:c>
      <x:c r="B3876" s="115" t="str">
        <x:v>EXT-MONDE-T078</x:v>
      </x:c>
      <x:c r="C3876" s="115" t="str">
        <x:v>Îles</x:v>
      </x:c>
      <x:c r="D3876" s="115" t="str">
        <x:v>Île agricole habitée</x:v>
      </x:c>
      <x:c r="E3876" s="115" t="n">
        <x:v>21</x:v>
      </x:c>
      <x:c r="F3876" s="115" t="str">
        <x:v>Inspection physique</x:v>
      </x:c>
      <x:c r="G3876" s="115" t="str">
        <x:v>1 niveaux ; 32 pièces ; 248 segments de mur ; 0 transitions. Inspection physique ; architecture complète encore ouverte.</x:v>
      </x:c>
      <x:c r="H3876" s="115" t="str">
        <x:v>L 604 ; l 580 ; hauteur 14 m ; choix de composition auteur ; dimensions réelles à documenter</x:v>
      </x:c>
      <x:c r="I3876" s="115" t="str">
        <x:v>À équilibrer</x:v>
      </x:c>
      <x:c r="J3876" s="115" t="str">
        <x:v>Non</x:v>
      </x:c>
      <x:c r="K3876" s="115" t="str">
        <x:v>Pièces décrites, murs, portes, niveaux et mobilier inspectables à l’échelle. Volumes réservés, raccord au seed, butin, rencontres et services de campagne restent à terminer.</x:v>
      </x:c>
    </x:row>
    <x:row r="3877" ht="96" customHeight="1">
      <x:c r="A3877" s="115" t="str">
        <x:v>EXT-MONDE-T078-V22</x:v>
      </x:c>
      <x:c r="B3877" s="115" t="str">
        <x:v>EXT-MONDE-T078</x:v>
      </x:c>
      <x:c r="C3877" s="115" t="str">
        <x:v>Îles</x:v>
      </x:c>
      <x:c r="D3877" s="115" t="str">
        <x:v>Île agricole habitée</x:v>
      </x:c>
      <x:c r="E3877" s="115" t="n">
        <x:v>22</x:v>
      </x:c>
      <x:c r="F3877" s="115" t="str">
        <x:v>Inspection physique</x:v>
      </x:c>
      <x:c r="G3877" s="115" t="str">
        <x:v>1 niveaux ; 32 pièces ; 248 segments de mur ; 0 transitions. Inspection physique ; architecture complète encore ouverte.</x:v>
      </x:c>
      <x:c r="H3877" s="115" t="str">
        <x:v>L 604 ; l 580 ; hauteur 14 m ; choix de composition auteur ; dimensions réelles à documenter</x:v>
      </x:c>
      <x:c r="I3877" s="115" t="str">
        <x:v>À équilibrer</x:v>
      </x:c>
      <x:c r="J3877" s="115" t="str">
        <x:v>Non</x:v>
      </x:c>
      <x:c r="K3877" s="115" t="str">
        <x:v>Pièces décrites, murs, portes, niveaux et mobilier inspectables à l’échelle. Volumes réservés, raccord au seed, butin, rencontres et services de campagne restent à terminer.</x:v>
      </x:c>
    </x:row>
    <x:row r="3878" ht="96" customHeight="1">
      <x:c r="A3878" s="115" t="str">
        <x:v>EXT-MONDE-T078-V23</x:v>
      </x:c>
      <x:c r="B3878" s="115" t="str">
        <x:v>EXT-MONDE-T078</x:v>
      </x:c>
      <x:c r="C3878" s="115" t="str">
        <x:v>Îles</x:v>
      </x:c>
      <x:c r="D3878" s="115" t="str">
        <x:v>Île agricole habitée</x:v>
      </x:c>
      <x:c r="E3878" s="115" t="n">
        <x:v>23</x:v>
      </x:c>
      <x:c r="F3878" s="115" t="str">
        <x:v>Inspection physique</x:v>
      </x:c>
      <x:c r="G3878" s="115" t="str">
        <x:v>1 niveaux ; 32 pièces ; 248 segments de mur ; 0 transitions. Inspection physique ; architecture complète encore ouverte.</x:v>
      </x:c>
      <x:c r="H3878" s="115" t="str">
        <x:v>L 604 ; l 580 ; hauteur 14 m ; choix de composition auteur ; dimensions réelles à documenter</x:v>
      </x:c>
      <x:c r="I3878" s="115" t="str">
        <x:v>À équilibrer</x:v>
      </x:c>
      <x:c r="J3878" s="115" t="str">
        <x:v>Non</x:v>
      </x:c>
      <x:c r="K3878" s="115" t="str">
        <x:v>Pièces décrites, murs, portes, niveaux et mobilier inspectables à l’échelle. Volumes réservés, raccord au seed, butin, rencontres et services de campagne restent à terminer.</x:v>
      </x:c>
    </x:row>
    <x:row r="3879" ht="96" customHeight="1">
      <x:c r="A3879" s="115" t="str">
        <x:v>EXT-MONDE-T078-V24</x:v>
      </x:c>
      <x:c r="B3879" s="115" t="str">
        <x:v>EXT-MONDE-T078</x:v>
      </x:c>
      <x:c r="C3879" s="115" t="str">
        <x:v>Îles</x:v>
      </x:c>
      <x:c r="D3879" s="115" t="str">
        <x:v>Île agricole habitée</x:v>
      </x:c>
      <x:c r="E3879" s="115" t="n">
        <x:v>24</x:v>
      </x:c>
      <x:c r="F3879" s="115" t="str">
        <x:v>Inspection physique</x:v>
      </x:c>
      <x:c r="G3879" s="115" t="str">
        <x:v>1 niveaux ; 32 pièces ; 248 segments de mur ; 0 transitions. Inspection physique ; architecture complète encore ouverte.</x:v>
      </x:c>
      <x:c r="H3879" s="115" t="str">
        <x:v>L 604 ; l 580 ; hauteur 14 m ; choix de composition auteur ; dimensions réelles à documenter</x:v>
      </x:c>
      <x:c r="I3879" s="115" t="str">
        <x:v>À équilibrer</x:v>
      </x:c>
      <x:c r="J3879" s="115" t="str">
        <x:v>Non</x:v>
      </x:c>
      <x:c r="K3879" s="115" t="str">
        <x:v>Pièces décrites, murs, portes, niveaux et mobilier inspectables à l’échelle. Volumes réservés, raccord au seed, butin, rencontres et services de campagne restent à terminer.</x:v>
      </x:c>
    </x:row>
    <x:row r="3880" ht="96" customHeight="1">
      <x:c r="A3880" s="115" t="str">
        <x:v>EXT-MONDE-T078-V25</x:v>
      </x:c>
      <x:c r="B3880" s="115" t="str">
        <x:v>EXT-MONDE-T078</x:v>
      </x:c>
      <x:c r="C3880" s="115" t="str">
        <x:v>Îles</x:v>
      </x:c>
      <x:c r="D3880" s="115" t="str">
        <x:v>Île agricole habitée</x:v>
      </x:c>
      <x:c r="E3880" s="115" t="n">
        <x:v>25</x:v>
      </x:c>
      <x:c r="F3880" s="115" t="str">
        <x:v>Inspection physique</x:v>
      </x:c>
      <x:c r="G3880" s="115" t="str">
        <x:v>1 niveaux ; 32 pièces ; 248 segments de mur ; 0 transitions. Inspection physique ; architecture complète encore ouverte.</x:v>
      </x:c>
      <x:c r="H3880" s="115" t="str">
        <x:v>L 604 ; l 580 ; hauteur 14 m ; choix de composition auteur ; dimensions réelles à documenter</x:v>
      </x:c>
      <x:c r="I3880" s="115" t="str">
        <x:v>À équilibrer</x:v>
      </x:c>
      <x:c r="J3880" s="115" t="str">
        <x:v>Non</x:v>
      </x:c>
      <x:c r="K3880" s="115" t="str">
        <x:v>Pièces décrites, murs, portes, niveaux et mobilier inspectables à l’échelle. Volumes réservés, raccord au seed, butin, rencontres et services de campagne restent à terminer.</x:v>
      </x:c>
    </x:row>
    <x:row r="3881" ht="96" customHeight="1">
      <x:c r="A3881" s="115" t="str">
        <x:v>EXT-MONDE-T078-V26</x:v>
      </x:c>
      <x:c r="B3881" s="115" t="str">
        <x:v>EXT-MONDE-T078</x:v>
      </x:c>
      <x:c r="C3881" s="115" t="str">
        <x:v>Îles</x:v>
      </x:c>
      <x:c r="D3881" s="115" t="str">
        <x:v>Île agricole habitée</x:v>
      </x:c>
      <x:c r="E3881" s="115" t="n">
        <x:v>26</x:v>
      </x:c>
      <x:c r="F3881" s="115" t="str">
        <x:v>Inspection physique</x:v>
      </x:c>
      <x:c r="G3881" s="115" t="str">
        <x:v>1 niveaux ; 32 pièces ; 248 segments de mur ; 0 transitions. Inspection physique ; architecture complète encore ouverte.</x:v>
      </x:c>
      <x:c r="H3881" s="115" t="str">
        <x:v>L 604 ; l 580 ; hauteur 14 m ; choix de composition auteur ; dimensions réelles à documenter</x:v>
      </x:c>
      <x:c r="I3881" s="115" t="str">
        <x:v>À équilibrer</x:v>
      </x:c>
      <x:c r="J3881" s="115" t="str">
        <x:v>Non</x:v>
      </x:c>
      <x:c r="K3881" s="115" t="str">
        <x:v>Pièces décrites, murs, portes, niveaux et mobilier inspectables à l’échelle. Volumes réservés, raccord au seed, butin, rencontres et services de campagne restent à terminer.</x:v>
      </x:c>
    </x:row>
    <x:row r="3882" ht="96" customHeight="1">
      <x:c r="A3882" s="115" t="str">
        <x:v>EXT-MONDE-T078-V27</x:v>
      </x:c>
      <x:c r="B3882" s="115" t="str">
        <x:v>EXT-MONDE-T078</x:v>
      </x:c>
      <x:c r="C3882" s="115" t="str">
        <x:v>Îles</x:v>
      </x:c>
      <x:c r="D3882" s="115" t="str">
        <x:v>Île agricole habitée</x:v>
      </x:c>
      <x:c r="E3882" s="115" t="n">
        <x:v>27</x:v>
      </x:c>
      <x:c r="F3882" s="115" t="str">
        <x:v>Inspection physique</x:v>
      </x:c>
      <x:c r="G3882" s="115" t="str">
        <x:v>1 niveaux ; 32 pièces ; 248 segments de mur ; 0 transitions. Inspection physique ; architecture complète encore ouverte.</x:v>
      </x:c>
      <x:c r="H3882" s="115" t="str">
        <x:v>L 604 ; l 580 ; hauteur 14 m ; choix de composition auteur ; dimensions réelles à documenter</x:v>
      </x:c>
      <x:c r="I3882" s="115" t="str">
        <x:v>À équilibrer</x:v>
      </x:c>
      <x:c r="J3882" s="115" t="str">
        <x:v>Non</x:v>
      </x:c>
      <x:c r="K3882" s="115" t="str">
        <x:v>Pièces décrites, murs, portes, niveaux et mobilier inspectables à l’échelle. Volumes réservés, raccord au seed, butin, rencontres et services de campagne restent à terminer.</x:v>
      </x:c>
    </x:row>
    <x:row r="3883" ht="96" customHeight="1">
      <x:c r="A3883" s="115" t="str">
        <x:v>EXT-MONDE-T078-V28</x:v>
      </x:c>
      <x:c r="B3883" s="115" t="str">
        <x:v>EXT-MONDE-T078</x:v>
      </x:c>
      <x:c r="C3883" s="115" t="str">
        <x:v>Îles</x:v>
      </x:c>
      <x:c r="D3883" s="115" t="str">
        <x:v>Île agricole habitée</x:v>
      </x:c>
      <x:c r="E3883" s="115" t="n">
        <x:v>28</x:v>
      </x:c>
      <x:c r="F3883" s="115" t="str">
        <x:v>Inspection physique</x:v>
      </x:c>
      <x:c r="G3883" s="115" t="str">
        <x:v>1 niveaux ; 32 pièces ; 248 segments de mur ; 0 transitions. Inspection physique ; architecture complète encore ouverte.</x:v>
      </x:c>
      <x:c r="H3883" s="115" t="str">
        <x:v>L 604 ; l 580 ; hauteur 14 m ; choix de composition auteur ; dimensions réelles à documenter</x:v>
      </x:c>
      <x:c r="I3883" s="115" t="str">
        <x:v>À équilibrer</x:v>
      </x:c>
      <x:c r="J3883" s="115" t="str">
        <x:v>Non</x:v>
      </x:c>
      <x:c r="K3883" s="115" t="str">
        <x:v>Pièces décrites, murs, portes, niveaux et mobilier inspectables à l’échelle. Volumes réservés, raccord au seed, butin, rencontres et services de campagne restent à terminer.</x:v>
      </x:c>
    </x:row>
    <x:row r="3884" ht="96" customHeight="1">
      <x:c r="A3884" s="115" t="str">
        <x:v>EXT-MONDE-T078-V29</x:v>
      </x:c>
      <x:c r="B3884" s="115" t="str">
        <x:v>EXT-MONDE-T078</x:v>
      </x:c>
      <x:c r="C3884" s="115" t="str">
        <x:v>Îles</x:v>
      </x:c>
      <x:c r="D3884" s="115" t="str">
        <x:v>Île agricole habitée</x:v>
      </x:c>
      <x:c r="E3884" s="115" t="n">
        <x:v>29</x:v>
      </x:c>
      <x:c r="F3884" s="115" t="str">
        <x:v>Inspection physique</x:v>
      </x:c>
      <x:c r="G3884" s="115" t="str">
        <x:v>1 niveaux ; 32 pièces ; 248 segments de mur ; 0 transitions. Inspection physique ; architecture complète encore ouverte.</x:v>
      </x:c>
      <x:c r="H3884" s="115" t="str">
        <x:v>L 604 ; l 580 ; hauteur 14 m ; choix de composition auteur ; dimensions réelles à documenter</x:v>
      </x:c>
      <x:c r="I3884" s="115" t="str">
        <x:v>À équilibrer</x:v>
      </x:c>
      <x:c r="J3884" s="115" t="str">
        <x:v>Non</x:v>
      </x:c>
      <x:c r="K3884" s="115" t="str">
        <x:v>Pièces décrites, murs, portes, niveaux et mobilier inspectables à l’échelle. Volumes réservés, raccord au seed, butin, rencontres et services de campagne restent à terminer.</x:v>
      </x:c>
    </x:row>
    <x:row r="3885" ht="96" customHeight="1">
      <x:c r="A3885" s="115" t="str">
        <x:v>EXT-MONDE-T078-V30</x:v>
      </x:c>
      <x:c r="B3885" s="115" t="str">
        <x:v>EXT-MONDE-T078</x:v>
      </x:c>
      <x:c r="C3885" s="115" t="str">
        <x:v>Îles</x:v>
      </x:c>
      <x:c r="D3885" s="115" t="str">
        <x:v>Île agricole habitée</x:v>
      </x:c>
      <x:c r="E3885" s="115" t="n">
        <x:v>30</x:v>
      </x:c>
      <x:c r="F3885" s="115" t="str">
        <x:v>Inspection physique</x:v>
      </x:c>
      <x:c r="G3885" s="115" t="str">
        <x:v>1 niveaux ; 32 pièces ; 248 segments de mur ; 0 transitions. Inspection physique ; architecture complète encore ouverte.</x:v>
      </x:c>
      <x:c r="H3885" s="115" t="str">
        <x:v>L 604 ; l 580 ; hauteur 14 m ; choix de composition auteur ; dimensions réelles à documenter</x:v>
      </x:c>
      <x:c r="I3885" s="115" t="str">
        <x:v>À équilibrer</x:v>
      </x:c>
      <x:c r="J3885" s="115" t="str">
        <x:v>Non</x:v>
      </x:c>
      <x:c r="K3885" s="115" t="str">
        <x:v>Pièces décrites, murs, portes, niveaux et mobilier inspectables à l’échelle. Volumes réservés, raccord au seed, butin, rencontres et services de campagne restent à terminer.</x:v>
      </x:c>
    </x:row>
    <x:row r="3886" ht="96" customHeight="1">
      <x:c r="A3886" s="115" t="str">
        <x:v>EXT-MONDE-T078-V31</x:v>
      </x:c>
      <x:c r="B3886" s="115" t="str">
        <x:v>EXT-MONDE-T078</x:v>
      </x:c>
      <x:c r="C3886" s="115" t="str">
        <x:v>Îles</x:v>
      </x:c>
      <x:c r="D3886" s="115" t="str">
        <x:v>Île agricole habitée</x:v>
      </x:c>
      <x:c r="E3886" s="115" t="n">
        <x:v>31</x:v>
      </x:c>
      <x:c r="F3886" s="115" t="str">
        <x:v>Inspection physique</x:v>
      </x:c>
      <x:c r="G3886" s="115" t="str">
        <x:v>1 niveaux ; 32 pièces ; 248 segments de mur ; 0 transitions. Inspection physique ; architecture complète encore ouverte.</x:v>
      </x:c>
      <x:c r="H3886" s="115" t="str">
        <x:v>L 618 ; l 592 ; hauteur 14 m ; choix de composition auteur ; dimensions réelles à documenter</x:v>
      </x:c>
      <x:c r="I3886" s="115" t="str">
        <x:v>À équilibrer</x:v>
      </x:c>
      <x:c r="J3886" s="115" t="str">
        <x:v>Non</x:v>
      </x:c>
      <x:c r="K3886" s="115" t="str">
        <x:v>Pièces décrites, murs, portes, niveaux et mobilier inspectables à l’échelle. Volumes réservés, raccord au seed, butin, rencontres et services de campagne restent à terminer.</x:v>
      </x:c>
    </x:row>
    <x:row r="3887" ht="96" customHeight="1">
      <x:c r="A3887" s="115" t="str">
        <x:v>EXT-MONDE-T078-V32</x:v>
      </x:c>
      <x:c r="B3887" s="115" t="str">
        <x:v>EXT-MONDE-T078</x:v>
      </x:c>
      <x:c r="C3887" s="115" t="str">
        <x:v>Îles</x:v>
      </x:c>
      <x:c r="D3887" s="115" t="str">
        <x:v>Île agricole habitée</x:v>
      </x:c>
      <x:c r="E3887" s="115" t="n">
        <x:v>32</x:v>
      </x:c>
      <x:c r="F3887" s="115" t="str">
        <x:v>Inspection physique</x:v>
      </x:c>
      <x:c r="G3887" s="115" t="str">
        <x:v>1 niveaux ; 32 pièces ; 248 segments de mur ; 0 transitions. Inspection physique ; architecture complète encore ouverte.</x:v>
      </x:c>
      <x:c r="H3887" s="115" t="str">
        <x:v>L 618 ; l 592 ; hauteur 14 m ; choix de composition auteur ; dimensions réelles à documenter</x:v>
      </x:c>
      <x:c r="I3887" s="115" t="str">
        <x:v>À équilibrer</x:v>
      </x:c>
      <x:c r="J3887" s="115" t="str">
        <x:v>Non</x:v>
      </x:c>
      <x:c r="K3887" s="115" t="str">
        <x:v>Pièces décrites, murs, portes, niveaux et mobilier inspectables à l’échelle. Volumes réservés, raccord au seed, butin, rencontres et services de campagne restent à terminer.</x:v>
      </x:c>
    </x:row>
    <x:row r="3888" ht="96" customHeight="1">
      <x:c r="A3888" s="115" t="str">
        <x:v>EXT-MONDE-T078-V33</x:v>
      </x:c>
      <x:c r="B3888" s="115" t="str">
        <x:v>EXT-MONDE-T078</x:v>
      </x:c>
      <x:c r="C3888" s="115" t="str">
        <x:v>Îles</x:v>
      </x:c>
      <x:c r="D3888" s="115" t="str">
        <x:v>Île agricole habitée</x:v>
      </x:c>
      <x:c r="E3888" s="115" t="n">
        <x:v>33</x:v>
      </x:c>
      <x:c r="F3888" s="115" t="str">
        <x:v>Inspection physique</x:v>
      </x:c>
      <x:c r="G3888" s="115" t="str">
        <x:v>1 niveaux ; 32 pièces ; 248 segments de mur ; 0 transitions. Inspection physique ; architecture complète encore ouverte.</x:v>
      </x:c>
      <x:c r="H3888" s="115" t="str">
        <x:v>L 618 ; l 592 ; hauteur 14 m ; choix de composition auteur ; dimensions réelles à documenter</x:v>
      </x:c>
      <x:c r="I3888" s="115" t="str">
        <x:v>À équilibrer</x:v>
      </x:c>
      <x:c r="J3888" s="115" t="str">
        <x:v>Non</x:v>
      </x:c>
      <x:c r="K3888" s="115" t="str">
        <x:v>Pièces décrites, murs, portes, niveaux et mobilier inspectables à l’échelle. Volumes réservés, raccord au seed, butin, rencontres et services de campagne restent à terminer.</x:v>
      </x:c>
    </x:row>
    <x:row r="3889" ht="96" customHeight="1">
      <x:c r="A3889" s="115" t="str">
        <x:v>EXT-MONDE-T078-V34</x:v>
      </x:c>
      <x:c r="B3889" s="115" t="str">
        <x:v>EXT-MONDE-T078</x:v>
      </x:c>
      <x:c r="C3889" s="115" t="str">
        <x:v>Îles</x:v>
      </x:c>
      <x:c r="D3889" s="115" t="str">
        <x:v>Île agricole habitée</x:v>
      </x:c>
      <x:c r="E3889" s="115" t="n">
        <x:v>34</x:v>
      </x:c>
      <x:c r="F3889" s="115" t="str">
        <x:v>Inspection physique</x:v>
      </x:c>
      <x:c r="G3889" s="115" t="str">
        <x:v>1 niveaux ; 32 pièces ; 248 segments de mur ; 0 transitions. Inspection physique ; architecture complète encore ouverte.</x:v>
      </x:c>
      <x:c r="H3889" s="115" t="str">
        <x:v>L 618 ; l 592 ; hauteur 14 m ; choix de composition auteur ; dimensions réelles à documenter</x:v>
      </x:c>
      <x:c r="I3889" s="115" t="str">
        <x:v>À équilibrer</x:v>
      </x:c>
      <x:c r="J3889" s="115" t="str">
        <x:v>Non</x:v>
      </x:c>
      <x:c r="K3889" s="115" t="str">
        <x:v>Pièces décrites, murs, portes, niveaux et mobilier inspectables à l’échelle. Volumes réservés, raccord au seed, butin, rencontres et services de campagne restent à terminer.</x:v>
      </x:c>
    </x:row>
    <x:row r="3890" ht="96" customHeight="1">
      <x:c r="A3890" s="115" t="str">
        <x:v>EXT-MONDE-T078-V35</x:v>
      </x:c>
      <x:c r="B3890" s="115" t="str">
        <x:v>EXT-MONDE-T078</x:v>
      </x:c>
      <x:c r="C3890" s="115" t="str">
        <x:v>Îles</x:v>
      </x:c>
      <x:c r="D3890" s="115" t="str">
        <x:v>Île agricole habitée</x:v>
      </x:c>
      <x:c r="E3890" s="115" t="n">
        <x:v>35</x:v>
      </x:c>
      <x:c r="F3890" s="115" t="str">
        <x:v>Inspection physique</x:v>
      </x:c>
      <x:c r="G3890" s="115" t="str">
        <x:v>1 niveaux ; 32 pièces ; 248 segments de mur ; 0 transitions. Inspection physique ; architecture complète encore ouverte.</x:v>
      </x:c>
      <x:c r="H3890" s="115" t="str">
        <x:v>L 618 ; l 592 ; hauteur 14 m ; choix de composition auteur ; dimensions réelles à documenter</x:v>
      </x:c>
      <x:c r="I3890" s="115" t="str">
        <x:v>À équilibrer</x:v>
      </x:c>
      <x:c r="J3890" s="115" t="str">
        <x:v>Non</x:v>
      </x:c>
      <x:c r="K3890" s="115" t="str">
        <x:v>Pièces décrites, murs, portes, niveaux et mobilier inspectables à l’échelle. Volumes réservés, raccord au seed, butin, rencontres et services de campagne restent à terminer.</x:v>
      </x:c>
    </x:row>
    <x:row r="3891" ht="96" customHeight="1">
      <x:c r="A3891" s="115" t="str">
        <x:v>EXT-MONDE-T078-V36</x:v>
      </x:c>
      <x:c r="B3891" s="115" t="str">
        <x:v>EXT-MONDE-T078</x:v>
      </x:c>
      <x:c r="C3891" s="115" t="str">
        <x:v>Îles</x:v>
      </x:c>
      <x:c r="D3891" s="115" t="str">
        <x:v>Île agricole habitée</x:v>
      </x:c>
      <x:c r="E3891" s="115" t="n">
        <x:v>36</x:v>
      </x:c>
      <x:c r="F3891" s="115" t="str">
        <x:v>Inspection physique</x:v>
      </x:c>
      <x:c r="G3891" s="115" t="str">
        <x:v>1 niveaux ; 32 pièces ; 248 segments de mur ; 0 transitions. Inspection physique ; architecture complète encore ouverte.</x:v>
      </x:c>
      <x:c r="H3891" s="115" t="str">
        <x:v>L 618 ; l 592 ; hauteur 14 m ; choix de composition auteur ; dimensions réelles à documenter</x:v>
      </x:c>
      <x:c r="I3891" s="115" t="str">
        <x:v>À équilibrer</x:v>
      </x:c>
      <x:c r="J3891" s="115" t="str">
        <x:v>Non</x:v>
      </x:c>
      <x:c r="K3891" s="115" t="str">
        <x:v>Pièces décrites, murs, portes, niveaux et mobilier inspectables à l’échelle. Volumes réservés, raccord au seed, butin, rencontres et services de campagne restent à terminer.</x:v>
      </x:c>
    </x:row>
    <x:row r="3892" ht="96" customHeight="1">
      <x:c r="A3892" s="115" t="str">
        <x:v>EXT-MONDE-T078-V37</x:v>
      </x:c>
      <x:c r="B3892" s="115" t="str">
        <x:v>EXT-MONDE-T078</x:v>
      </x:c>
      <x:c r="C3892" s="115" t="str">
        <x:v>Îles</x:v>
      </x:c>
      <x:c r="D3892" s="115" t="str">
        <x:v>Île agricole habitée</x:v>
      </x:c>
      <x:c r="E3892" s="115" t="n">
        <x:v>37</x:v>
      </x:c>
      <x:c r="F3892" s="115" t="str">
        <x:v>Inspection physique</x:v>
      </x:c>
      <x:c r="G3892" s="115" t="str">
        <x:v>1 niveaux ; 32 pièces ; 248 segments de mur ; 0 transitions. Inspection physique ; architecture complète encore ouverte.</x:v>
      </x:c>
      <x:c r="H3892" s="115" t="str">
        <x:v>L 618 ; l 592 ; hauteur 14 m ; choix de composition auteur ; dimensions réelles à documenter</x:v>
      </x:c>
      <x:c r="I3892" s="115" t="str">
        <x:v>À équilibrer</x:v>
      </x:c>
      <x:c r="J3892" s="115" t="str">
        <x:v>Non</x:v>
      </x:c>
      <x:c r="K3892" s="115" t="str">
        <x:v>Pièces décrites, murs, portes, niveaux et mobilier inspectables à l’échelle. Volumes réservés, raccord au seed, butin, rencontres et services de campagne restent à terminer.</x:v>
      </x:c>
    </x:row>
    <x:row r="3893" ht="96" customHeight="1">
      <x:c r="A3893" s="115" t="str">
        <x:v>EXT-MONDE-T078-V38</x:v>
      </x:c>
      <x:c r="B3893" s="115" t="str">
        <x:v>EXT-MONDE-T078</x:v>
      </x:c>
      <x:c r="C3893" s="115" t="str">
        <x:v>Îles</x:v>
      </x:c>
      <x:c r="D3893" s="115" t="str">
        <x:v>Île agricole habitée</x:v>
      </x:c>
      <x:c r="E3893" s="115" t="n">
        <x:v>38</x:v>
      </x:c>
      <x:c r="F3893" s="115" t="str">
        <x:v>Inspection physique</x:v>
      </x:c>
      <x:c r="G3893" s="115" t="str">
        <x:v>1 niveaux ; 32 pièces ; 248 segments de mur ; 0 transitions. Inspection physique ; architecture complète encore ouverte.</x:v>
      </x:c>
      <x:c r="H3893" s="115" t="str">
        <x:v>L 618 ; l 592 ; hauteur 14 m ; choix de composition auteur ; dimensions réelles à documenter</x:v>
      </x:c>
      <x:c r="I3893" s="115" t="str">
        <x:v>À équilibrer</x:v>
      </x:c>
      <x:c r="J3893" s="115" t="str">
        <x:v>Non</x:v>
      </x:c>
      <x:c r="K3893" s="115" t="str">
        <x:v>Pièces décrites, murs, portes, niveaux et mobilier inspectables à l’échelle. Volumes réservés, raccord au seed, butin, rencontres et services de campagne restent à terminer.</x:v>
      </x:c>
    </x:row>
    <x:row r="3894" ht="96" customHeight="1">
      <x:c r="A3894" s="115" t="str">
        <x:v>EXT-MONDE-T078-V39</x:v>
      </x:c>
      <x:c r="B3894" s="115" t="str">
        <x:v>EXT-MONDE-T078</x:v>
      </x:c>
      <x:c r="C3894" s="115" t="str">
        <x:v>Îles</x:v>
      </x:c>
      <x:c r="D3894" s="115" t="str">
        <x:v>Île agricole habitée</x:v>
      </x:c>
      <x:c r="E3894" s="115" t="n">
        <x:v>39</x:v>
      </x:c>
      <x:c r="F3894" s="115" t="str">
        <x:v>Inspection physique</x:v>
      </x:c>
      <x:c r="G3894" s="115" t="str">
        <x:v>1 niveaux ; 32 pièces ; 248 segments de mur ; 0 transitions. Inspection physique ; architecture complète encore ouverte.</x:v>
      </x:c>
      <x:c r="H3894" s="115" t="str">
        <x:v>L 618 ; l 592 ; hauteur 14 m ; choix de composition auteur ; dimensions réelles à documenter</x:v>
      </x:c>
      <x:c r="I3894" s="115" t="str">
        <x:v>À équilibrer</x:v>
      </x:c>
      <x:c r="J3894" s="115" t="str">
        <x:v>Non</x:v>
      </x:c>
      <x:c r="K3894" s="115" t="str">
        <x:v>Pièces décrites, murs, portes, niveaux et mobilier inspectables à l’échelle. Volumes réservés, raccord au seed, butin, rencontres et services de campagne restent à terminer.</x:v>
      </x:c>
    </x:row>
    <x:row r="3895" ht="96" customHeight="1">
      <x:c r="A3895" s="115" t="str">
        <x:v>EXT-MONDE-T078-V40</x:v>
      </x:c>
      <x:c r="B3895" s="115" t="str">
        <x:v>EXT-MONDE-T078</x:v>
      </x:c>
      <x:c r="C3895" s="115" t="str">
        <x:v>Îles</x:v>
      </x:c>
      <x:c r="D3895" s="115" t="str">
        <x:v>Île agricole habitée</x:v>
      </x:c>
      <x:c r="E3895" s="115" t="n">
        <x:v>40</x:v>
      </x:c>
      <x:c r="F3895" s="115" t="str">
        <x:v>Inspection physique</x:v>
      </x:c>
      <x:c r="G3895" s="115" t="str">
        <x:v>1 niveaux ; 32 pièces ; 248 segments de mur ; 0 transitions. Inspection physique ; architecture complète encore ouverte.</x:v>
      </x:c>
      <x:c r="H3895" s="115" t="str">
        <x:v>L 618 ; l 592 ; hauteur 14 m ; choix de composition auteur ; dimensions réelles à documenter</x:v>
      </x:c>
      <x:c r="I3895" s="115" t="str">
        <x:v>À équilibrer</x:v>
      </x:c>
      <x:c r="J3895" s="115" t="str">
        <x:v>Non</x:v>
      </x:c>
      <x:c r="K3895" s="115" t="str">
        <x:v>Pièces décrites, murs, portes, niveaux et mobilier inspectables à l’échelle. Volumes réservés, raccord au seed, butin, rencontres et services de campagne restent à terminer.</x:v>
      </x:c>
    </x:row>
    <x:row r="3896" ht="96" customHeight="1">
      <x:c r="A3896" s="115" t="str">
        <x:v>EXT-MONDE-T078-V41</x:v>
      </x:c>
      <x:c r="B3896" s="115" t="str">
        <x:v>EXT-MONDE-T078</x:v>
      </x:c>
      <x:c r="C3896" s="115" t="str">
        <x:v>Îles</x:v>
      </x:c>
      <x:c r="D3896" s="115" t="str">
        <x:v>Île agricole habitée</x:v>
      </x:c>
      <x:c r="E3896" s="115" t="n">
        <x:v>41</x:v>
      </x:c>
      <x:c r="F3896" s="115" t="str">
        <x:v>Inspection physique</x:v>
      </x:c>
      <x:c r="G3896" s="115" t="str">
        <x:v>1 niveaux ; 32 pièces ; 248 segments de mur ; 0 transitions. Inspection physique ; architecture complète encore ouverte.</x:v>
      </x:c>
      <x:c r="H3896" s="115" t="str">
        <x:v>L 632 ; l 604 ; hauteur 14 m ; choix de composition auteur ; dimensions réelles à documenter</x:v>
      </x:c>
      <x:c r="I3896" s="115" t="str">
        <x:v>À équilibrer</x:v>
      </x:c>
      <x:c r="J3896" s="115" t="str">
        <x:v>Non</x:v>
      </x:c>
      <x:c r="K3896" s="115" t="str">
        <x:v>Pièces décrites, murs, portes, niveaux et mobilier inspectables à l’échelle. Volumes réservés, raccord au seed, butin, rencontres et services de campagne restent à terminer.</x:v>
      </x:c>
    </x:row>
    <x:row r="3897" ht="96" customHeight="1">
      <x:c r="A3897" s="115" t="str">
        <x:v>EXT-MONDE-T078-V42</x:v>
      </x:c>
      <x:c r="B3897" s="115" t="str">
        <x:v>EXT-MONDE-T078</x:v>
      </x:c>
      <x:c r="C3897" s="115" t="str">
        <x:v>Îles</x:v>
      </x:c>
      <x:c r="D3897" s="115" t="str">
        <x:v>Île agricole habitée</x:v>
      </x:c>
      <x:c r="E3897" s="115" t="n">
        <x:v>42</x:v>
      </x:c>
      <x:c r="F3897" s="115" t="str">
        <x:v>Inspection physique</x:v>
      </x:c>
      <x:c r="G3897" s="115" t="str">
        <x:v>1 niveaux ; 32 pièces ; 248 segments de mur ; 0 transitions. Inspection physique ; architecture complète encore ouverte.</x:v>
      </x:c>
      <x:c r="H3897" s="115" t="str">
        <x:v>L 632 ; l 604 ; hauteur 14 m ; choix de composition auteur ; dimensions réelles à documenter</x:v>
      </x:c>
      <x:c r="I3897" s="115" t="str">
        <x:v>À équilibrer</x:v>
      </x:c>
      <x:c r="J3897" s="115" t="str">
        <x:v>Non</x:v>
      </x:c>
      <x:c r="K3897" s="115" t="str">
        <x:v>Pièces décrites, murs, portes, niveaux et mobilier inspectables à l’échelle. Volumes réservés, raccord au seed, butin, rencontres et services de campagne restent à terminer.</x:v>
      </x:c>
    </x:row>
    <x:row r="3898" ht="96" customHeight="1">
      <x:c r="A3898" s="115" t="str">
        <x:v>EXT-MONDE-T078-V43</x:v>
      </x:c>
      <x:c r="B3898" s="115" t="str">
        <x:v>EXT-MONDE-T078</x:v>
      </x:c>
      <x:c r="C3898" s="115" t="str">
        <x:v>Îles</x:v>
      </x:c>
      <x:c r="D3898" s="115" t="str">
        <x:v>Île agricole habitée</x:v>
      </x:c>
      <x:c r="E3898" s="115" t="n">
        <x:v>43</x:v>
      </x:c>
      <x:c r="F3898" s="115" t="str">
        <x:v>Inspection physique</x:v>
      </x:c>
      <x:c r="G3898" s="115" t="str">
        <x:v>1 niveaux ; 32 pièces ; 248 segments de mur ; 0 transitions. Inspection physique ; architecture complète encore ouverte.</x:v>
      </x:c>
      <x:c r="H3898" s="115" t="str">
        <x:v>L 632 ; l 604 ; hauteur 14 m ; choix de composition auteur ; dimensions réelles à documenter</x:v>
      </x:c>
      <x:c r="I3898" s="115" t="str">
        <x:v>À équilibrer</x:v>
      </x:c>
      <x:c r="J3898" s="115" t="str">
        <x:v>Non</x:v>
      </x:c>
      <x:c r="K3898" s="115" t="str">
        <x:v>Pièces décrites, murs, portes, niveaux et mobilier inspectables à l’échelle. Volumes réservés, raccord au seed, butin, rencontres et services de campagne restent à terminer.</x:v>
      </x:c>
    </x:row>
    <x:row r="3899" ht="96" customHeight="1">
      <x:c r="A3899" s="115" t="str">
        <x:v>EXT-MONDE-T078-V44</x:v>
      </x:c>
      <x:c r="B3899" s="115" t="str">
        <x:v>EXT-MONDE-T078</x:v>
      </x:c>
      <x:c r="C3899" s="115" t="str">
        <x:v>Îles</x:v>
      </x:c>
      <x:c r="D3899" s="115" t="str">
        <x:v>Île agricole habitée</x:v>
      </x:c>
      <x:c r="E3899" s="115" t="n">
        <x:v>44</x:v>
      </x:c>
      <x:c r="F3899" s="115" t="str">
        <x:v>Inspection physique</x:v>
      </x:c>
      <x:c r="G3899" s="115" t="str">
        <x:v>1 niveaux ; 32 pièces ; 248 segments de mur ; 0 transitions. Inspection physique ; architecture complète encore ouverte.</x:v>
      </x:c>
      <x:c r="H3899" s="115" t="str">
        <x:v>L 632 ; l 604 ; hauteur 14 m ; choix de composition auteur ; dimensions réelles à documenter</x:v>
      </x:c>
      <x:c r="I3899" s="115" t="str">
        <x:v>À équilibrer</x:v>
      </x:c>
      <x:c r="J3899" s="115" t="str">
        <x:v>Non</x:v>
      </x:c>
      <x:c r="K3899" s="115" t="str">
        <x:v>Pièces décrites, murs, portes, niveaux et mobilier inspectables à l’échelle. Volumes réservés, raccord au seed, butin, rencontres et services de campagne restent à terminer.</x:v>
      </x:c>
    </x:row>
    <x:row r="3900" ht="96" customHeight="1">
      <x:c r="A3900" s="115" t="str">
        <x:v>EXT-MONDE-T078-V45</x:v>
      </x:c>
      <x:c r="B3900" s="115" t="str">
        <x:v>EXT-MONDE-T078</x:v>
      </x:c>
      <x:c r="C3900" s="115" t="str">
        <x:v>Îles</x:v>
      </x:c>
      <x:c r="D3900" s="115" t="str">
        <x:v>Île agricole habitée</x:v>
      </x:c>
      <x:c r="E3900" s="115" t="n">
        <x:v>45</x:v>
      </x:c>
      <x:c r="F3900" s="115" t="str">
        <x:v>Inspection physique</x:v>
      </x:c>
      <x:c r="G3900" s="115" t="str">
        <x:v>1 niveaux ; 32 pièces ; 248 segments de mur ; 0 transitions. Inspection physique ; architecture complète encore ouverte.</x:v>
      </x:c>
      <x:c r="H3900" s="115" t="str">
        <x:v>L 632 ; l 604 ; hauteur 14 m ; choix de composition auteur ; dimensions réelles à documenter</x:v>
      </x:c>
      <x:c r="I3900" s="115" t="str">
        <x:v>À équilibrer</x:v>
      </x:c>
      <x:c r="J3900" s="115" t="str">
        <x:v>Non</x:v>
      </x:c>
      <x:c r="K3900" s="115" t="str">
        <x:v>Pièces décrites, murs, portes, niveaux et mobilier inspectables à l’échelle. Volumes réservés, raccord au seed, butin, rencontres et services de campagne restent à terminer.</x:v>
      </x:c>
    </x:row>
    <x:row r="3901" ht="96" customHeight="1">
      <x:c r="A3901" s="115" t="str">
        <x:v>EXT-MONDE-T078-V46</x:v>
      </x:c>
      <x:c r="B3901" s="115" t="str">
        <x:v>EXT-MONDE-T078</x:v>
      </x:c>
      <x:c r="C3901" s="115" t="str">
        <x:v>Îles</x:v>
      </x:c>
      <x:c r="D3901" s="115" t="str">
        <x:v>Île agricole habitée</x:v>
      </x:c>
      <x:c r="E3901" s="115" t="n">
        <x:v>46</x:v>
      </x:c>
      <x:c r="F3901" s="115" t="str">
        <x:v>Inspection physique</x:v>
      </x:c>
      <x:c r="G3901" s="115" t="str">
        <x:v>1 niveaux ; 32 pièces ; 248 segments de mur ; 0 transitions. Inspection physique ; architecture complète encore ouverte.</x:v>
      </x:c>
      <x:c r="H3901" s="115" t="str">
        <x:v>L 632 ; l 604 ; hauteur 14 m ; choix de composition auteur ; dimensions réelles à documenter</x:v>
      </x:c>
      <x:c r="I3901" s="115" t="str">
        <x:v>À équilibrer</x:v>
      </x:c>
      <x:c r="J3901" s="115" t="str">
        <x:v>Non</x:v>
      </x:c>
      <x:c r="K3901" s="115" t="str">
        <x:v>Pièces décrites, murs, portes, niveaux et mobilier inspectables à l’échelle. Volumes réservés, raccord au seed, butin, rencontres et services de campagne restent à terminer.</x:v>
      </x:c>
    </x:row>
    <x:row r="3902" ht="96" customHeight="1">
      <x:c r="A3902" s="115" t="str">
        <x:v>EXT-MONDE-T078-V47</x:v>
      </x:c>
      <x:c r="B3902" s="115" t="str">
        <x:v>EXT-MONDE-T078</x:v>
      </x:c>
      <x:c r="C3902" s="115" t="str">
        <x:v>Îles</x:v>
      </x:c>
      <x:c r="D3902" s="115" t="str">
        <x:v>Île agricole habitée</x:v>
      </x:c>
      <x:c r="E3902" s="115" t="n">
        <x:v>47</x:v>
      </x:c>
      <x:c r="F3902" s="115" t="str">
        <x:v>Inspection physique</x:v>
      </x:c>
      <x:c r="G3902" s="115" t="str">
        <x:v>1 niveaux ; 32 pièces ; 248 segments de mur ; 0 transitions. Inspection physique ; architecture complète encore ouverte.</x:v>
      </x:c>
      <x:c r="H3902" s="115" t="str">
        <x:v>L 632 ; l 604 ; hauteur 14 m ; choix de composition auteur ; dimensions réelles à documenter</x:v>
      </x:c>
      <x:c r="I3902" s="115" t="str">
        <x:v>À équilibrer</x:v>
      </x:c>
      <x:c r="J3902" s="115" t="str">
        <x:v>Non</x:v>
      </x:c>
      <x:c r="K3902" s="115" t="str">
        <x:v>Pièces décrites, murs, portes, niveaux et mobilier inspectables à l’échelle. Volumes réservés, raccord au seed, butin, rencontres et services de campagne restent à terminer.</x:v>
      </x:c>
    </x:row>
    <x:row r="3903" ht="96" customHeight="1">
      <x:c r="A3903" s="115" t="str">
        <x:v>EXT-MONDE-T078-V48</x:v>
      </x:c>
      <x:c r="B3903" s="115" t="str">
        <x:v>EXT-MONDE-T078</x:v>
      </x:c>
      <x:c r="C3903" s="115" t="str">
        <x:v>Îles</x:v>
      </x:c>
      <x:c r="D3903" s="115" t="str">
        <x:v>Île agricole habitée</x:v>
      </x:c>
      <x:c r="E3903" s="115" t="n">
        <x:v>48</x:v>
      </x:c>
      <x:c r="F3903" s="115" t="str">
        <x:v>Inspection physique</x:v>
      </x:c>
      <x:c r="G3903" s="115" t="str">
        <x:v>1 niveaux ; 32 pièces ; 248 segments de mur ; 0 transitions. Inspection physique ; architecture complète encore ouverte.</x:v>
      </x:c>
      <x:c r="H3903" s="115" t="str">
        <x:v>L 632 ; l 604 ; hauteur 14 m ; choix de composition auteur ; dimensions réelles à documenter</x:v>
      </x:c>
      <x:c r="I3903" s="115" t="str">
        <x:v>À équilibrer</x:v>
      </x:c>
      <x:c r="J3903" s="115" t="str">
        <x:v>Non</x:v>
      </x:c>
      <x:c r="K3903" s="115" t="str">
        <x:v>Pièces décrites, murs, portes, niveaux et mobilier inspectables à l’échelle. Volumes réservés, raccord au seed, butin, rencontres et services de campagne restent à terminer.</x:v>
      </x:c>
    </x:row>
    <x:row r="3904" ht="96" customHeight="1">
      <x:c r="A3904" s="115" t="str">
        <x:v>EXT-MONDE-T078-V49</x:v>
      </x:c>
      <x:c r="B3904" s="115" t="str">
        <x:v>EXT-MONDE-T078</x:v>
      </x:c>
      <x:c r="C3904" s="115" t="str">
        <x:v>Îles</x:v>
      </x:c>
      <x:c r="D3904" s="115" t="str">
        <x:v>Île agricole habitée</x:v>
      </x:c>
      <x:c r="E3904" s="115" t="n">
        <x:v>49</x:v>
      </x:c>
      <x:c r="F3904" s="115" t="str">
        <x:v>Inspection physique</x:v>
      </x:c>
      <x:c r="G3904" s="115" t="str">
        <x:v>1 niveaux ; 32 pièces ; 248 segments de mur ; 0 transitions. Inspection physique ; architecture complète encore ouverte.</x:v>
      </x:c>
      <x:c r="H3904" s="115" t="str">
        <x:v>L 632 ; l 604 ; hauteur 14 m ; choix de composition auteur ; dimensions réelles à documenter</x:v>
      </x:c>
      <x:c r="I3904" s="115" t="str">
        <x:v>À équilibrer</x:v>
      </x:c>
      <x:c r="J3904" s="115" t="str">
        <x:v>Non</x:v>
      </x:c>
      <x:c r="K3904" s="115" t="str">
        <x:v>Pièces décrites, murs, portes, niveaux et mobilier inspectables à l’échelle. Volumes réservés, raccord au seed, butin, rencontres et services de campagne restent à terminer.</x:v>
      </x:c>
    </x:row>
    <x:row r="3905" ht="96" customHeight="1">
      <x:c r="A3905" s="115" t="str">
        <x:v>EXT-MONDE-T078-V50</x:v>
      </x:c>
      <x:c r="B3905" s="115" t="str">
        <x:v>EXT-MONDE-T078</x:v>
      </x:c>
      <x:c r="C3905" s="115" t="str">
        <x:v>Îles</x:v>
      </x:c>
      <x:c r="D3905" s="115" t="str">
        <x:v>Île agricole habitée</x:v>
      </x:c>
      <x:c r="E3905" s="115" t="n">
        <x:v>50</x:v>
      </x:c>
      <x:c r="F3905" s="115" t="str">
        <x:v>Inspection physique</x:v>
      </x:c>
      <x:c r="G3905" s="115" t="str">
        <x:v>1 niveaux ; 32 pièces ; 248 segments de mur ; 0 transitions. Inspection physique ; architecture complète encore ouverte.</x:v>
      </x:c>
      <x:c r="H3905" s="115" t="str">
        <x:v>L 632 ; l 604 ; hauteur 14 m ; choix de composition auteur ; dimensions réelles à documenter</x:v>
      </x:c>
      <x:c r="I3905" s="115" t="str">
        <x:v>À équilibrer</x:v>
      </x:c>
      <x:c r="J3905" s="115" t="str">
        <x:v>Non</x:v>
      </x:c>
      <x:c r="K3905" s="115" t="str">
        <x:v>Pièces décrites, murs, portes, niveaux et mobilier inspectables à l’échelle. Volumes réservés, raccord au seed, butin, rencontres et services de campagne restent à terminer.</x:v>
      </x:c>
    </x:row>
    <x:row r="3906" ht="96" customHeight="1">
      <x:c r="A3906" s="115" t="str">
        <x:v>EXT-MONDE-T079-V01</x:v>
      </x:c>
      <x:c r="B3906" s="115" t="str">
        <x:v>EXT-MONDE-T079</x:v>
      </x:c>
      <x:c r="C3906" s="115" t="str">
        <x:v>Îles</x:v>
      </x:c>
      <x:c r="D3906" s="115" t="str">
        <x:v>Île portuaire industrielle</x:v>
      </x:c>
      <x:c r="E3906" s="115" t="n">
        <x:v>1</x:v>
      </x:c>
      <x:c r="F3906" s="115" t="str">
        <x:v>Inspection physique</x:v>
      </x:c>
      <x:c r="G3906" s="115" t="str">
        <x:v>1 niveaux ; 34 pièces ; 260 segments de mur ; 0 transitions. Inspection physique ; architecture complète encore ouverte.</x:v>
      </x:c>
      <x:c r="H3906" s="115" t="str">
        <x:v>L 696 ; l 716 ; hauteur 30 m ; choix de composition auteur ; dimensions réelles à documenter</x:v>
      </x:c>
      <x:c r="I3906" s="115" t="str">
        <x:v>À équilibrer</x:v>
      </x:c>
      <x:c r="J3906" s="115" t="str">
        <x:v>Non</x:v>
      </x:c>
      <x:c r="K3906" s="115" t="str">
        <x:v>Pièces décrites, murs, portes, niveaux et mobilier inspectables à l’échelle. Volumes réservés, raccord au seed, butin, rencontres et services de campagne restent à terminer.</x:v>
      </x:c>
    </x:row>
    <x:row r="3907" ht="96" customHeight="1">
      <x:c r="A3907" s="115" t="str">
        <x:v>EXT-MONDE-T079-V02</x:v>
      </x:c>
      <x:c r="B3907" s="115" t="str">
        <x:v>EXT-MONDE-T079</x:v>
      </x:c>
      <x:c r="C3907" s="115" t="str">
        <x:v>Îles</x:v>
      </x:c>
      <x:c r="D3907" s="115" t="str">
        <x:v>Île portuaire industrielle</x:v>
      </x:c>
      <x:c r="E3907" s="115" t="n">
        <x:v>2</x:v>
      </x:c>
      <x:c r="F3907" s="115" t="str">
        <x:v>Inspection physique</x:v>
      </x:c>
      <x:c r="G3907" s="115" t="str">
        <x:v>1 niveaux ; 34 pièces ; 260 segments de mur ; 0 transitions. Inspection physique ; architecture complète encore ouverte.</x:v>
      </x:c>
      <x:c r="H3907" s="115" t="str">
        <x:v>L 696 ; l 716 ; hauteur 30 m ; choix de composition auteur ; dimensions réelles à documenter</x:v>
      </x:c>
      <x:c r="I3907" s="115" t="str">
        <x:v>À équilibrer</x:v>
      </x:c>
      <x:c r="J3907" s="115" t="str">
        <x:v>Non</x:v>
      </x:c>
      <x:c r="K3907" s="115" t="str">
        <x:v>Pièces décrites, murs, portes, niveaux et mobilier inspectables à l’échelle. Volumes réservés, raccord au seed, butin, rencontres et services de campagne restent à terminer.</x:v>
      </x:c>
    </x:row>
    <x:row r="3908" ht="96" customHeight="1">
      <x:c r="A3908" s="115" t="str">
        <x:v>EXT-MONDE-T079-V03</x:v>
      </x:c>
      <x:c r="B3908" s="115" t="str">
        <x:v>EXT-MONDE-T079</x:v>
      </x:c>
      <x:c r="C3908" s="115" t="str">
        <x:v>Îles</x:v>
      </x:c>
      <x:c r="D3908" s="115" t="str">
        <x:v>Île portuaire industrielle</x:v>
      </x:c>
      <x:c r="E3908" s="115" t="n">
        <x:v>3</x:v>
      </x:c>
      <x:c r="F3908" s="115" t="str">
        <x:v>Inspection physique</x:v>
      </x:c>
      <x:c r="G3908" s="115" t="str">
        <x:v>1 niveaux ; 34 pièces ; 260 segments de mur ; 0 transitions. Inspection physique ; architecture complète encore ouverte.</x:v>
      </x:c>
      <x:c r="H3908" s="115" t="str">
        <x:v>L 696 ; l 716 ; hauteur 30 m ; choix de composition auteur ; dimensions réelles à documenter</x:v>
      </x:c>
      <x:c r="I3908" s="115" t="str">
        <x:v>À équilibrer</x:v>
      </x:c>
      <x:c r="J3908" s="115" t="str">
        <x:v>Non</x:v>
      </x:c>
      <x:c r="K3908" s="115" t="str">
        <x:v>Pièces décrites, murs, portes, niveaux et mobilier inspectables à l’échelle. Volumes réservés, raccord au seed, butin, rencontres et services de campagne restent à terminer.</x:v>
      </x:c>
    </x:row>
    <x:row r="3909" ht="96" customHeight="1">
      <x:c r="A3909" s="115" t="str">
        <x:v>EXT-MONDE-T079-V04</x:v>
      </x:c>
      <x:c r="B3909" s="115" t="str">
        <x:v>EXT-MONDE-T079</x:v>
      </x:c>
      <x:c r="C3909" s="115" t="str">
        <x:v>Îles</x:v>
      </x:c>
      <x:c r="D3909" s="115" t="str">
        <x:v>Île portuaire industrielle</x:v>
      </x:c>
      <x:c r="E3909" s="115" t="n">
        <x:v>4</x:v>
      </x:c>
      <x:c r="F3909" s="115" t="str">
        <x:v>Inspection physique</x:v>
      </x:c>
      <x:c r="G3909" s="115" t="str">
        <x:v>1 niveaux ; 34 pièces ; 260 segments de mur ; 0 transitions. Inspection physique ; architecture complète encore ouverte.</x:v>
      </x:c>
      <x:c r="H3909" s="115" t="str">
        <x:v>L 696 ; l 716 ; hauteur 30 m ; choix de composition auteur ; dimensions réelles à documenter</x:v>
      </x:c>
      <x:c r="I3909" s="115" t="str">
        <x:v>À équilibrer</x:v>
      </x:c>
      <x:c r="J3909" s="115" t="str">
        <x:v>Non</x:v>
      </x:c>
      <x:c r="K3909" s="115" t="str">
        <x:v>Pièces décrites, murs, portes, niveaux et mobilier inspectables à l’échelle. Volumes réservés, raccord au seed, butin, rencontres et services de campagne restent à terminer.</x:v>
      </x:c>
    </x:row>
    <x:row r="3910" ht="96" customHeight="1">
      <x:c r="A3910" s="115" t="str">
        <x:v>EXT-MONDE-T079-V05</x:v>
      </x:c>
      <x:c r="B3910" s="115" t="str">
        <x:v>EXT-MONDE-T079</x:v>
      </x:c>
      <x:c r="C3910" s="115" t="str">
        <x:v>Îles</x:v>
      </x:c>
      <x:c r="D3910" s="115" t="str">
        <x:v>Île portuaire industrielle</x:v>
      </x:c>
      <x:c r="E3910" s="115" t="n">
        <x:v>5</x:v>
      </x:c>
      <x:c r="F3910" s="115" t="str">
        <x:v>Inspection physique</x:v>
      </x:c>
      <x:c r="G3910" s="115" t="str">
        <x:v>1 niveaux ; 34 pièces ; 260 segments de mur ; 0 transitions. Inspection physique ; architecture complète encore ouverte.</x:v>
      </x:c>
      <x:c r="H3910" s="115" t="str">
        <x:v>L 696 ; l 716 ; hauteur 30 m ; choix de composition auteur ; dimensions réelles à documenter</x:v>
      </x:c>
      <x:c r="I3910" s="115" t="str">
        <x:v>À équilibrer</x:v>
      </x:c>
      <x:c r="J3910" s="115" t="str">
        <x:v>Non</x:v>
      </x:c>
      <x:c r="K3910" s="115" t="str">
        <x:v>Pièces décrites, murs, portes, niveaux et mobilier inspectables à l’échelle. Volumes réservés, raccord au seed, butin, rencontres et services de campagne restent à terminer.</x:v>
      </x:c>
    </x:row>
    <x:row r="3911" ht="96" customHeight="1">
      <x:c r="A3911" s="115" t="str">
        <x:v>EXT-MONDE-T079-V06</x:v>
      </x:c>
      <x:c r="B3911" s="115" t="str">
        <x:v>EXT-MONDE-T079</x:v>
      </x:c>
      <x:c r="C3911" s="115" t="str">
        <x:v>Îles</x:v>
      </x:c>
      <x:c r="D3911" s="115" t="str">
        <x:v>Île portuaire industrielle</x:v>
      </x:c>
      <x:c r="E3911" s="115" t="n">
        <x:v>6</x:v>
      </x:c>
      <x:c r="F3911" s="115" t="str">
        <x:v>Inspection physique</x:v>
      </x:c>
      <x:c r="G3911" s="115" t="str">
        <x:v>1 niveaux ; 34 pièces ; 260 segments de mur ; 0 transitions. Inspection physique ; architecture complète encore ouverte.</x:v>
      </x:c>
      <x:c r="H3911" s="115" t="str">
        <x:v>L 696 ; l 716 ; hauteur 30 m ; choix de composition auteur ; dimensions réelles à documenter</x:v>
      </x:c>
      <x:c r="I3911" s="115" t="str">
        <x:v>À équilibrer</x:v>
      </x:c>
      <x:c r="J3911" s="115" t="str">
        <x:v>Non</x:v>
      </x:c>
      <x:c r="K3911" s="115" t="str">
        <x:v>Pièces décrites, murs, portes, niveaux et mobilier inspectables à l’échelle. Volumes réservés, raccord au seed, butin, rencontres et services de campagne restent à terminer.</x:v>
      </x:c>
    </x:row>
    <x:row r="3912" ht="96" customHeight="1">
      <x:c r="A3912" s="115" t="str">
        <x:v>EXT-MONDE-T079-V07</x:v>
      </x:c>
      <x:c r="B3912" s="115" t="str">
        <x:v>EXT-MONDE-T079</x:v>
      </x:c>
      <x:c r="C3912" s="115" t="str">
        <x:v>Îles</x:v>
      </x:c>
      <x:c r="D3912" s="115" t="str">
        <x:v>Île portuaire industrielle</x:v>
      </x:c>
      <x:c r="E3912" s="115" t="n">
        <x:v>7</x:v>
      </x:c>
      <x:c r="F3912" s="115" t="str">
        <x:v>Inspection physique</x:v>
      </x:c>
      <x:c r="G3912" s="115" t="str">
        <x:v>1 niveaux ; 34 pièces ; 260 segments de mur ; 0 transitions. Inspection physique ; architecture complète encore ouverte.</x:v>
      </x:c>
      <x:c r="H3912" s="115" t="str">
        <x:v>L 696 ; l 716 ; hauteur 30 m ; choix de composition auteur ; dimensions réelles à documenter</x:v>
      </x:c>
      <x:c r="I3912" s="115" t="str">
        <x:v>À équilibrer</x:v>
      </x:c>
      <x:c r="J3912" s="115" t="str">
        <x:v>Non</x:v>
      </x:c>
      <x:c r="K3912" s="115" t="str">
        <x:v>Pièces décrites, murs, portes, niveaux et mobilier inspectables à l’échelle. Volumes réservés, raccord au seed, butin, rencontres et services de campagne restent à terminer.</x:v>
      </x:c>
    </x:row>
    <x:row r="3913" ht="96" customHeight="1">
      <x:c r="A3913" s="115" t="str">
        <x:v>EXT-MONDE-T079-V08</x:v>
      </x:c>
      <x:c r="B3913" s="115" t="str">
        <x:v>EXT-MONDE-T079</x:v>
      </x:c>
      <x:c r="C3913" s="115" t="str">
        <x:v>Îles</x:v>
      </x:c>
      <x:c r="D3913" s="115" t="str">
        <x:v>Île portuaire industrielle</x:v>
      </x:c>
      <x:c r="E3913" s="115" t="n">
        <x:v>8</x:v>
      </x:c>
      <x:c r="F3913" s="115" t="str">
        <x:v>Inspection physique</x:v>
      </x:c>
      <x:c r="G3913" s="115" t="str">
        <x:v>1 niveaux ; 34 pièces ; 260 segments de mur ; 0 transitions. Inspection physique ; architecture complète encore ouverte.</x:v>
      </x:c>
      <x:c r="H3913" s="115" t="str">
        <x:v>L 696 ; l 716 ; hauteur 30 m ; choix de composition auteur ; dimensions réelles à documenter</x:v>
      </x:c>
      <x:c r="I3913" s="115" t="str">
        <x:v>À équilibrer</x:v>
      </x:c>
      <x:c r="J3913" s="115" t="str">
        <x:v>Non</x:v>
      </x:c>
      <x:c r="K3913" s="115" t="str">
        <x:v>Pièces décrites, murs, portes, niveaux et mobilier inspectables à l’échelle. Volumes réservés, raccord au seed, butin, rencontres et services de campagne restent à terminer.</x:v>
      </x:c>
    </x:row>
    <x:row r="3914" ht="96" customHeight="1">
      <x:c r="A3914" s="115" t="str">
        <x:v>EXT-MONDE-T079-V09</x:v>
      </x:c>
      <x:c r="B3914" s="115" t="str">
        <x:v>EXT-MONDE-T079</x:v>
      </x:c>
      <x:c r="C3914" s="115" t="str">
        <x:v>Îles</x:v>
      </x:c>
      <x:c r="D3914" s="115" t="str">
        <x:v>Île portuaire industrielle</x:v>
      </x:c>
      <x:c r="E3914" s="115" t="n">
        <x:v>9</x:v>
      </x:c>
      <x:c r="F3914" s="115" t="str">
        <x:v>Inspection physique</x:v>
      </x:c>
      <x:c r="G3914" s="115" t="str">
        <x:v>1 niveaux ; 34 pièces ; 260 segments de mur ; 0 transitions. Inspection physique ; architecture complète encore ouverte.</x:v>
      </x:c>
      <x:c r="H3914" s="115" t="str">
        <x:v>L 696 ; l 716 ; hauteur 30 m ; choix de composition auteur ; dimensions réelles à documenter</x:v>
      </x:c>
      <x:c r="I3914" s="115" t="str">
        <x:v>À équilibrer</x:v>
      </x:c>
      <x:c r="J3914" s="115" t="str">
        <x:v>Non</x:v>
      </x:c>
      <x:c r="K3914" s="115" t="str">
        <x:v>Pièces décrites, murs, portes, niveaux et mobilier inspectables à l’échelle. Volumes réservés, raccord au seed, butin, rencontres et services de campagne restent à terminer.</x:v>
      </x:c>
    </x:row>
    <x:row r="3915" ht="96" customHeight="1">
      <x:c r="A3915" s="115" t="str">
        <x:v>EXT-MONDE-T079-V10</x:v>
      </x:c>
      <x:c r="B3915" s="115" t="str">
        <x:v>EXT-MONDE-T079</x:v>
      </x:c>
      <x:c r="C3915" s="115" t="str">
        <x:v>Îles</x:v>
      </x:c>
      <x:c r="D3915" s="115" t="str">
        <x:v>Île portuaire industrielle</x:v>
      </x:c>
      <x:c r="E3915" s="115" t="n">
        <x:v>10</x:v>
      </x:c>
      <x:c r="F3915" s="115" t="str">
        <x:v>Inspection physique</x:v>
      </x:c>
      <x:c r="G3915" s="115" t="str">
        <x:v>1 niveaux ; 34 pièces ; 260 segments de mur ; 0 transitions. Inspection physique ; architecture complète encore ouverte.</x:v>
      </x:c>
      <x:c r="H3915" s="115" t="str">
        <x:v>L 696 ; l 716 ; hauteur 30 m ; choix de composition auteur ; dimensions réelles à documenter</x:v>
      </x:c>
      <x:c r="I3915" s="115" t="str">
        <x:v>À équilibrer</x:v>
      </x:c>
      <x:c r="J3915" s="115" t="str">
        <x:v>Non</x:v>
      </x:c>
      <x:c r="K3915" s="115" t="str">
        <x:v>Pièces décrites, murs, portes, niveaux et mobilier inspectables à l’échelle. Volumes réservés, raccord au seed, butin, rencontres et services de campagne restent à terminer.</x:v>
      </x:c>
    </x:row>
    <x:row r="3916" ht="96" customHeight="1">
      <x:c r="A3916" s="115" t="str">
        <x:v>EXT-MONDE-T079-V11</x:v>
      </x:c>
      <x:c r="B3916" s="115" t="str">
        <x:v>EXT-MONDE-T079</x:v>
      </x:c>
      <x:c r="C3916" s="115" t="str">
        <x:v>Îles</x:v>
      </x:c>
      <x:c r="D3916" s="115" t="str">
        <x:v>Île portuaire industrielle</x:v>
      </x:c>
      <x:c r="E3916" s="115" t="n">
        <x:v>11</x:v>
      </x:c>
      <x:c r="F3916" s="115" t="str">
        <x:v>Inspection physique</x:v>
      </x:c>
      <x:c r="G3916" s="115" t="str">
        <x:v>1 niveaux ; 34 pièces ; 260 segments de mur ; 0 transitions. Inspection physique ; architecture complète encore ouverte.</x:v>
      </x:c>
      <x:c r="H3916" s="115" t="str">
        <x:v>L 710 ; l 728 ; hauteur 30 m ; choix de composition auteur ; dimensions réelles à documenter</x:v>
      </x:c>
      <x:c r="I3916" s="115" t="str">
        <x:v>À équilibrer</x:v>
      </x:c>
      <x:c r="J3916" s="115" t="str">
        <x:v>Non</x:v>
      </x:c>
      <x:c r="K3916" s="115" t="str">
        <x:v>Pièces décrites, murs, portes, niveaux et mobilier inspectables à l’échelle. Volumes réservés, raccord au seed, butin, rencontres et services de campagne restent à terminer.</x:v>
      </x:c>
    </x:row>
    <x:row r="3917" ht="96" customHeight="1">
      <x:c r="A3917" s="115" t="str">
        <x:v>EXT-MONDE-T079-V12</x:v>
      </x:c>
      <x:c r="B3917" s="115" t="str">
        <x:v>EXT-MONDE-T079</x:v>
      </x:c>
      <x:c r="C3917" s="115" t="str">
        <x:v>Îles</x:v>
      </x:c>
      <x:c r="D3917" s="115" t="str">
        <x:v>Île portuaire industrielle</x:v>
      </x:c>
      <x:c r="E3917" s="115" t="n">
        <x:v>12</x:v>
      </x:c>
      <x:c r="F3917" s="115" t="str">
        <x:v>Inspection physique</x:v>
      </x:c>
      <x:c r="G3917" s="115" t="str">
        <x:v>1 niveaux ; 34 pièces ; 260 segments de mur ; 0 transitions. Inspection physique ; architecture complète encore ouverte.</x:v>
      </x:c>
      <x:c r="H3917" s="115" t="str">
        <x:v>L 710 ; l 728 ; hauteur 30 m ; choix de composition auteur ; dimensions réelles à documenter</x:v>
      </x:c>
      <x:c r="I3917" s="115" t="str">
        <x:v>À équilibrer</x:v>
      </x:c>
      <x:c r="J3917" s="115" t="str">
        <x:v>Non</x:v>
      </x:c>
      <x:c r="K3917" s="115" t="str">
        <x:v>Pièces décrites, murs, portes, niveaux et mobilier inspectables à l’échelle. Volumes réservés, raccord au seed, butin, rencontres et services de campagne restent à terminer.</x:v>
      </x:c>
    </x:row>
    <x:row r="3918" ht="96" customHeight="1">
      <x:c r="A3918" s="115" t="str">
        <x:v>EXT-MONDE-T079-V13</x:v>
      </x:c>
      <x:c r="B3918" s="115" t="str">
        <x:v>EXT-MONDE-T079</x:v>
      </x:c>
      <x:c r="C3918" s="115" t="str">
        <x:v>Îles</x:v>
      </x:c>
      <x:c r="D3918" s="115" t="str">
        <x:v>Île portuaire industrielle</x:v>
      </x:c>
      <x:c r="E3918" s="115" t="n">
        <x:v>13</x:v>
      </x:c>
      <x:c r="F3918" s="115" t="str">
        <x:v>Inspection physique</x:v>
      </x:c>
      <x:c r="G3918" s="115" t="str">
        <x:v>1 niveaux ; 34 pièces ; 260 segments de mur ; 0 transitions. Inspection physique ; architecture complète encore ouverte.</x:v>
      </x:c>
      <x:c r="H3918" s="115" t="str">
        <x:v>L 710 ; l 728 ; hauteur 30 m ; choix de composition auteur ; dimensions réelles à documenter</x:v>
      </x:c>
      <x:c r="I3918" s="115" t="str">
        <x:v>À équilibrer</x:v>
      </x:c>
      <x:c r="J3918" s="115" t="str">
        <x:v>Non</x:v>
      </x:c>
      <x:c r="K3918" s="115" t="str">
        <x:v>Pièces décrites, murs, portes, niveaux et mobilier inspectables à l’échelle. Volumes réservés, raccord au seed, butin, rencontres et services de campagne restent à terminer.</x:v>
      </x:c>
    </x:row>
    <x:row r="3919" ht="96" customHeight="1">
      <x:c r="A3919" s="115" t="str">
        <x:v>EXT-MONDE-T079-V14</x:v>
      </x:c>
      <x:c r="B3919" s="115" t="str">
        <x:v>EXT-MONDE-T079</x:v>
      </x:c>
      <x:c r="C3919" s="115" t="str">
        <x:v>Îles</x:v>
      </x:c>
      <x:c r="D3919" s="115" t="str">
        <x:v>Île portuaire industrielle</x:v>
      </x:c>
      <x:c r="E3919" s="115" t="n">
        <x:v>14</x:v>
      </x:c>
      <x:c r="F3919" s="115" t="str">
        <x:v>Inspection physique</x:v>
      </x:c>
      <x:c r="G3919" s="115" t="str">
        <x:v>1 niveaux ; 34 pièces ; 260 segments de mur ; 0 transitions. Inspection physique ; architecture complète encore ouverte.</x:v>
      </x:c>
      <x:c r="H3919" s="115" t="str">
        <x:v>L 710 ; l 728 ; hauteur 30 m ; choix de composition auteur ; dimensions réelles à documenter</x:v>
      </x:c>
      <x:c r="I3919" s="115" t="str">
        <x:v>À équilibrer</x:v>
      </x:c>
      <x:c r="J3919" s="115" t="str">
        <x:v>Non</x:v>
      </x:c>
      <x:c r="K3919" s="115" t="str">
        <x:v>Pièces décrites, murs, portes, niveaux et mobilier inspectables à l’échelle. Volumes réservés, raccord au seed, butin, rencontres et services de campagne restent à terminer.</x:v>
      </x:c>
    </x:row>
    <x:row r="3920" ht="96" customHeight="1">
      <x:c r="A3920" s="115" t="str">
        <x:v>EXT-MONDE-T079-V15</x:v>
      </x:c>
      <x:c r="B3920" s="115" t="str">
        <x:v>EXT-MONDE-T079</x:v>
      </x:c>
      <x:c r="C3920" s="115" t="str">
        <x:v>Îles</x:v>
      </x:c>
      <x:c r="D3920" s="115" t="str">
        <x:v>Île portuaire industrielle</x:v>
      </x:c>
      <x:c r="E3920" s="115" t="n">
        <x:v>15</x:v>
      </x:c>
      <x:c r="F3920" s="115" t="str">
        <x:v>Inspection physique</x:v>
      </x:c>
      <x:c r="G3920" s="115" t="str">
        <x:v>1 niveaux ; 34 pièces ; 260 segments de mur ; 0 transitions. Inspection physique ; architecture complète encore ouverte.</x:v>
      </x:c>
      <x:c r="H3920" s="115" t="str">
        <x:v>L 710 ; l 728 ; hauteur 30 m ; choix de composition auteur ; dimensions réelles à documenter</x:v>
      </x:c>
      <x:c r="I3920" s="115" t="str">
        <x:v>À équilibrer</x:v>
      </x:c>
      <x:c r="J3920" s="115" t="str">
        <x:v>Non</x:v>
      </x:c>
      <x:c r="K3920" s="115" t="str">
        <x:v>Pièces décrites, murs, portes, niveaux et mobilier inspectables à l’échelle. Volumes réservés, raccord au seed, butin, rencontres et services de campagne restent à terminer.</x:v>
      </x:c>
    </x:row>
    <x:row r="3921" ht="96" customHeight="1">
      <x:c r="A3921" s="115" t="str">
        <x:v>EXT-MONDE-T079-V16</x:v>
      </x:c>
      <x:c r="B3921" s="115" t="str">
        <x:v>EXT-MONDE-T079</x:v>
      </x:c>
      <x:c r="C3921" s="115" t="str">
        <x:v>Îles</x:v>
      </x:c>
      <x:c r="D3921" s="115" t="str">
        <x:v>Île portuaire industrielle</x:v>
      </x:c>
      <x:c r="E3921" s="115" t="n">
        <x:v>16</x:v>
      </x:c>
      <x:c r="F3921" s="115" t="str">
        <x:v>Inspection physique</x:v>
      </x:c>
      <x:c r="G3921" s="115" t="str">
        <x:v>1 niveaux ; 34 pièces ; 260 segments de mur ; 0 transitions. Inspection physique ; architecture complète encore ouverte.</x:v>
      </x:c>
      <x:c r="H3921" s="115" t="str">
        <x:v>L 710 ; l 728 ; hauteur 30 m ; choix de composition auteur ; dimensions réelles à documenter</x:v>
      </x:c>
      <x:c r="I3921" s="115" t="str">
        <x:v>À équilibrer</x:v>
      </x:c>
      <x:c r="J3921" s="115" t="str">
        <x:v>Non</x:v>
      </x:c>
      <x:c r="K3921" s="115" t="str">
        <x:v>Pièces décrites, murs, portes, niveaux et mobilier inspectables à l’échelle. Volumes réservés, raccord au seed, butin, rencontres et services de campagne restent à terminer.</x:v>
      </x:c>
    </x:row>
    <x:row r="3922" ht="96" customHeight="1">
      <x:c r="A3922" s="115" t="str">
        <x:v>EXT-MONDE-T079-V17</x:v>
      </x:c>
      <x:c r="B3922" s="115" t="str">
        <x:v>EXT-MONDE-T079</x:v>
      </x:c>
      <x:c r="C3922" s="115" t="str">
        <x:v>Îles</x:v>
      </x:c>
      <x:c r="D3922" s="115" t="str">
        <x:v>Île portuaire industrielle</x:v>
      </x:c>
      <x:c r="E3922" s="115" t="n">
        <x:v>17</x:v>
      </x:c>
      <x:c r="F3922" s="115" t="str">
        <x:v>Inspection physique</x:v>
      </x:c>
      <x:c r="G3922" s="115" t="str">
        <x:v>1 niveaux ; 34 pièces ; 260 segments de mur ; 0 transitions. Inspection physique ; architecture complète encore ouverte.</x:v>
      </x:c>
      <x:c r="H3922" s="115" t="str">
        <x:v>L 710 ; l 728 ; hauteur 30 m ; choix de composition auteur ; dimensions réelles à documenter</x:v>
      </x:c>
      <x:c r="I3922" s="115" t="str">
        <x:v>À équilibrer</x:v>
      </x:c>
      <x:c r="J3922" s="115" t="str">
        <x:v>Non</x:v>
      </x:c>
      <x:c r="K3922" s="115" t="str">
        <x:v>Pièces décrites, murs, portes, niveaux et mobilier inspectables à l’échelle. Volumes réservés, raccord au seed, butin, rencontres et services de campagne restent à terminer.</x:v>
      </x:c>
    </x:row>
    <x:row r="3923" ht="96" customHeight="1">
      <x:c r="A3923" s="115" t="str">
        <x:v>EXT-MONDE-T079-V18</x:v>
      </x:c>
      <x:c r="B3923" s="115" t="str">
        <x:v>EXT-MONDE-T079</x:v>
      </x:c>
      <x:c r="C3923" s="115" t="str">
        <x:v>Îles</x:v>
      </x:c>
      <x:c r="D3923" s="115" t="str">
        <x:v>Île portuaire industrielle</x:v>
      </x:c>
      <x:c r="E3923" s="115" t="n">
        <x:v>18</x:v>
      </x:c>
      <x:c r="F3923" s="115" t="str">
        <x:v>Inspection physique</x:v>
      </x:c>
      <x:c r="G3923" s="115" t="str">
        <x:v>1 niveaux ; 34 pièces ; 260 segments de mur ; 0 transitions. Inspection physique ; architecture complète encore ouverte.</x:v>
      </x:c>
      <x:c r="H3923" s="115" t="str">
        <x:v>L 710 ; l 728 ; hauteur 30 m ; choix de composition auteur ; dimensions réelles à documenter</x:v>
      </x:c>
      <x:c r="I3923" s="115" t="str">
        <x:v>À équilibrer</x:v>
      </x:c>
      <x:c r="J3923" s="115" t="str">
        <x:v>Non</x:v>
      </x:c>
      <x:c r="K3923" s="115" t="str">
        <x:v>Pièces décrites, murs, portes, niveaux et mobilier inspectables à l’échelle. Volumes réservés, raccord au seed, butin, rencontres et services de campagne restent à terminer.</x:v>
      </x:c>
    </x:row>
    <x:row r="3924" ht="96" customHeight="1">
      <x:c r="A3924" s="115" t="str">
        <x:v>EXT-MONDE-T079-V19</x:v>
      </x:c>
      <x:c r="B3924" s="115" t="str">
        <x:v>EXT-MONDE-T079</x:v>
      </x:c>
      <x:c r="C3924" s="115" t="str">
        <x:v>Îles</x:v>
      </x:c>
      <x:c r="D3924" s="115" t="str">
        <x:v>Île portuaire industrielle</x:v>
      </x:c>
      <x:c r="E3924" s="115" t="n">
        <x:v>19</x:v>
      </x:c>
      <x:c r="F3924" s="115" t="str">
        <x:v>Inspection physique</x:v>
      </x:c>
      <x:c r="G3924" s="115" t="str">
        <x:v>1 niveaux ; 34 pièces ; 260 segments de mur ; 0 transitions. Inspection physique ; architecture complète encore ouverte.</x:v>
      </x:c>
      <x:c r="H3924" s="115" t="str">
        <x:v>L 710 ; l 728 ; hauteur 30 m ; choix de composition auteur ; dimensions réelles à documenter</x:v>
      </x:c>
      <x:c r="I3924" s="115" t="str">
        <x:v>À équilibrer</x:v>
      </x:c>
      <x:c r="J3924" s="115" t="str">
        <x:v>Non</x:v>
      </x:c>
      <x:c r="K3924" s="115" t="str">
        <x:v>Pièces décrites, murs, portes, niveaux et mobilier inspectables à l’échelle. Volumes réservés, raccord au seed, butin, rencontres et services de campagne restent à terminer.</x:v>
      </x:c>
    </x:row>
    <x:row r="3925" ht="96" customHeight="1">
      <x:c r="A3925" s="115" t="str">
        <x:v>EXT-MONDE-T079-V20</x:v>
      </x:c>
      <x:c r="B3925" s="115" t="str">
        <x:v>EXT-MONDE-T079</x:v>
      </x:c>
      <x:c r="C3925" s="115" t="str">
        <x:v>Îles</x:v>
      </x:c>
      <x:c r="D3925" s="115" t="str">
        <x:v>Île portuaire industrielle</x:v>
      </x:c>
      <x:c r="E3925" s="115" t="n">
        <x:v>20</x:v>
      </x:c>
      <x:c r="F3925" s="115" t="str">
        <x:v>Inspection physique</x:v>
      </x:c>
      <x:c r="G3925" s="115" t="str">
        <x:v>1 niveaux ; 34 pièces ; 260 segments de mur ; 0 transitions. Inspection physique ; architecture complète encore ouverte.</x:v>
      </x:c>
      <x:c r="H3925" s="115" t="str">
        <x:v>L 710 ; l 728 ; hauteur 30 m ; choix de composition auteur ; dimensions réelles à documenter</x:v>
      </x:c>
      <x:c r="I3925" s="115" t="str">
        <x:v>À équilibrer</x:v>
      </x:c>
      <x:c r="J3925" s="115" t="str">
        <x:v>Non</x:v>
      </x:c>
      <x:c r="K3925" s="115" t="str">
        <x:v>Pièces décrites, murs, portes, niveaux et mobilier inspectables à l’échelle. Volumes réservés, raccord au seed, butin, rencontres et services de campagne restent à terminer.</x:v>
      </x:c>
    </x:row>
    <x:row r="3926" ht="96" customHeight="1">
      <x:c r="A3926" s="115" t="str">
        <x:v>EXT-MONDE-T079-V21</x:v>
      </x:c>
      <x:c r="B3926" s="115" t="str">
        <x:v>EXT-MONDE-T079</x:v>
      </x:c>
      <x:c r="C3926" s="115" t="str">
        <x:v>Îles</x:v>
      </x:c>
      <x:c r="D3926" s="115" t="str">
        <x:v>Île portuaire industrielle</x:v>
      </x:c>
      <x:c r="E3926" s="115" t="n">
        <x:v>21</x:v>
      </x:c>
      <x:c r="F3926" s="115" t="str">
        <x:v>Inspection physique</x:v>
      </x:c>
      <x:c r="G3926" s="115" t="str">
        <x:v>1 niveaux ; 34 pièces ; 260 segments de mur ; 0 transitions. Inspection physique ; architecture complète encore ouverte.</x:v>
      </x:c>
      <x:c r="H3926" s="115" t="str">
        <x:v>L 724 ; l 740 ; hauteur 30 m ; choix de composition auteur ; dimensions réelles à documenter</x:v>
      </x:c>
      <x:c r="I3926" s="115" t="str">
        <x:v>À équilibrer</x:v>
      </x:c>
      <x:c r="J3926" s="115" t="str">
        <x:v>Non</x:v>
      </x:c>
      <x:c r="K3926" s="115" t="str">
        <x:v>Pièces décrites, murs, portes, niveaux et mobilier inspectables à l’échelle. Volumes réservés, raccord au seed, butin, rencontres et services de campagne restent à terminer.</x:v>
      </x:c>
    </x:row>
    <x:row r="3927" ht="96" customHeight="1">
      <x:c r="A3927" s="115" t="str">
        <x:v>EXT-MONDE-T079-V22</x:v>
      </x:c>
      <x:c r="B3927" s="115" t="str">
        <x:v>EXT-MONDE-T079</x:v>
      </x:c>
      <x:c r="C3927" s="115" t="str">
        <x:v>Îles</x:v>
      </x:c>
      <x:c r="D3927" s="115" t="str">
        <x:v>Île portuaire industrielle</x:v>
      </x:c>
      <x:c r="E3927" s="115" t="n">
        <x:v>22</x:v>
      </x:c>
      <x:c r="F3927" s="115" t="str">
        <x:v>Inspection physique</x:v>
      </x:c>
      <x:c r="G3927" s="115" t="str">
        <x:v>1 niveaux ; 34 pièces ; 260 segments de mur ; 0 transitions. Inspection physique ; architecture complète encore ouverte.</x:v>
      </x:c>
      <x:c r="H3927" s="115" t="str">
        <x:v>L 724 ; l 740 ; hauteur 30 m ; choix de composition auteur ; dimensions réelles à documenter</x:v>
      </x:c>
      <x:c r="I3927" s="115" t="str">
        <x:v>À équilibrer</x:v>
      </x:c>
      <x:c r="J3927" s="115" t="str">
        <x:v>Non</x:v>
      </x:c>
      <x:c r="K3927" s="115" t="str">
        <x:v>Pièces décrites, murs, portes, niveaux et mobilier inspectables à l’échelle. Volumes réservés, raccord au seed, butin, rencontres et services de campagne restent à terminer.</x:v>
      </x:c>
    </x:row>
    <x:row r="3928" ht="96" customHeight="1">
      <x:c r="A3928" s="115" t="str">
        <x:v>EXT-MONDE-T079-V23</x:v>
      </x:c>
      <x:c r="B3928" s="115" t="str">
        <x:v>EXT-MONDE-T079</x:v>
      </x:c>
      <x:c r="C3928" s="115" t="str">
        <x:v>Îles</x:v>
      </x:c>
      <x:c r="D3928" s="115" t="str">
        <x:v>Île portuaire industrielle</x:v>
      </x:c>
      <x:c r="E3928" s="115" t="n">
        <x:v>23</x:v>
      </x:c>
      <x:c r="F3928" s="115" t="str">
        <x:v>Inspection physique</x:v>
      </x:c>
      <x:c r="G3928" s="115" t="str">
        <x:v>1 niveaux ; 34 pièces ; 260 segments de mur ; 0 transitions. Inspection physique ; architecture complète encore ouverte.</x:v>
      </x:c>
      <x:c r="H3928" s="115" t="str">
        <x:v>L 724 ; l 740 ; hauteur 30 m ; choix de composition auteur ; dimensions réelles à documenter</x:v>
      </x:c>
      <x:c r="I3928" s="115" t="str">
        <x:v>À équilibrer</x:v>
      </x:c>
      <x:c r="J3928" s="115" t="str">
        <x:v>Non</x:v>
      </x:c>
      <x:c r="K3928" s="115" t="str">
        <x:v>Pièces décrites, murs, portes, niveaux et mobilier inspectables à l’échelle. Volumes réservés, raccord au seed, butin, rencontres et services de campagne restent à terminer.</x:v>
      </x:c>
    </x:row>
    <x:row r="3929" ht="96" customHeight="1">
      <x:c r="A3929" s="115" t="str">
        <x:v>EXT-MONDE-T079-V24</x:v>
      </x:c>
      <x:c r="B3929" s="115" t="str">
        <x:v>EXT-MONDE-T079</x:v>
      </x:c>
      <x:c r="C3929" s="115" t="str">
        <x:v>Îles</x:v>
      </x:c>
      <x:c r="D3929" s="115" t="str">
        <x:v>Île portuaire industrielle</x:v>
      </x:c>
      <x:c r="E3929" s="115" t="n">
        <x:v>24</x:v>
      </x:c>
      <x:c r="F3929" s="115" t="str">
        <x:v>Inspection physique</x:v>
      </x:c>
      <x:c r="G3929" s="115" t="str">
        <x:v>1 niveaux ; 34 pièces ; 260 segments de mur ; 0 transitions. Inspection physique ; architecture complète encore ouverte.</x:v>
      </x:c>
      <x:c r="H3929" s="115" t="str">
        <x:v>L 724 ; l 740 ; hauteur 30 m ; choix de composition auteur ; dimensions réelles à documenter</x:v>
      </x:c>
      <x:c r="I3929" s="115" t="str">
        <x:v>À équilibrer</x:v>
      </x:c>
      <x:c r="J3929" s="115" t="str">
        <x:v>Non</x:v>
      </x:c>
      <x:c r="K3929" s="115" t="str">
        <x:v>Pièces décrites, murs, portes, niveaux et mobilier inspectables à l’échelle. Volumes réservés, raccord au seed, butin, rencontres et services de campagne restent à terminer.</x:v>
      </x:c>
    </x:row>
    <x:row r="3930" ht="96" customHeight="1">
      <x:c r="A3930" s="115" t="str">
        <x:v>EXT-MONDE-T079-V25</x:v>
      </x:c>
      <x:c r="B3930" s="115" t="str">
        <x:v>EXT-MONDE-T079</x:v>
      </x:c>
      <x:c r="C3930" s="115" t="str">
        <x:v>Îles</x:v>
      </x:c>
      <x:c r="D3930" s="115" t="str">
        <x:v>Île portuaire industrielle</x:v>
      </x:c>
      <x:c r="E3930" s="115" t="n">
        <x:v>25</x:v>
      </x:c>
      <x:c r="F3930" s="115" t="str">
        <x:v>Inspection physique</x:v>
      </x:c>
      <x:c r="G3930" s="115" t="str">
        <x:v>1 niveaux ; 34 pièces ; 260 segments de mur ; 0 transitions. Inspection physique ; architecture complète encore ouverte.</x:v>
      </x:c>
      <x:c r="H3930" s="115" t="str">
        <x:v>L 724 ; l 740 ; hauteur 30 m ; choix de composition auteur ; dimensions réelles à documenter</x:v>
      </x:c>
      <x:c r="I3930" s="115" t="str">
        <x:v>À équilibrer</x:v>
      </x:c>
      <x:c r="J3930" s="115" t="str">
        <x:v>Non</x:v>
      </x:c>
      <x:c r="K3930" s="115" t="str">
        <x:v>Pièces décrites, murs, portes, niveaux et mobilier inspectables à l’échelle. Volumes réservés, raccord au seed, butin, rencontres et services de campagne restent à terminer.</x:v>
      </x:c>
    </x:row>
    <x:row r="3931" ht="96" customHeight="1">
      <x:c r="A3931" s="115" t="str">
        <x:v>EXT-MONDE-T079-V26</x:v>
      </x:c>
      <x:c r="B3931" s="115" t="str">
        <x:v>EXT-MONDE-T079</x:v>
      </x:c>
      <x:c r="C3931" s="115" t="str">
        <x:v>Îles</x:v>
      </x:c>
      <x:c r="D3931" s="115" t="str">
        <x:v>Île portuaire industrielle</x:v>
      </x:c>
      <x:c r="E3931" s="115" t="n">
        <x:v>26</x:v>
      </x:c>
      <x:c r="F3931" s="115" t="str">
        <x:v>Inspection physique</x:v>
      </x:c>
      <x:c r="G3931" s="115" t="str">
        <x:v>1 niveaux ; 34 pièces ; 260 segments de mur ; 0 transitions. Inspection physique ; architecture complète encore ouverte.</x:v>
      </x:c>
      <x:c r="H3931" s="115" t="str">
        <x:v>L 724 ; l 740 ; hauteur 30 m ; choix de composition auteur ; dimensions réelles à documenter</x:v>
      </x:c>
      <x:c r="I3931" s="115" t="str">
        <x:v>À équilibrer</x:v>
      </x:c>
      <x:c r="J3931" s="115" t="str">
        <x:v>Non</x:v>
      </x:c>
      <x:c r="K3931" s="115" t="str">
        <x:v>Pièces décrites, murs, portes, niveaux et mobilier inspectables à l’échelle. Volumes réservés, raccord au seed, butin, rencontres et services de campagne restent à terminer.</x:v>
      </x:c>
    </x:row>
    <x:row r="3932" ht="96" customHeight="1">
      <x:c r="A3932" s="115" t="str">
        <x:v>EXT-MONDE-T079-V27</x:v>
      </x:c>
      <x:c r="B3932" s="115" t="str">
        <x:v>EXT-MONDE-T079</x:v>
      </x:c>
      <x:c r="C3932" s="115" t="str">
        <x:v>Îles</x:v>
      </x:c>
      <x:c r="D3932" s="115" t="str">
        <x:v>Île portuaire industrielle</x:v>
      </x:c>
      <x:c r="E3932" s="115" t="n">
        <x:v>27</x:v>
      </x:c>
      <x:c r="F3932" s="115" t="str">
        <x:v>Inspection physique</x:v>
      </x:c>
      <x:c r="G3932" s="115" t="str">
        <x:v>1 niveaux ; 34 pièces ; 260 segments de mur ; 0 transitions. Inspection physique ; architecture complète encore ouverte.</x:v>
      </x:c>
      <x:c r="H3932" s="115" t="str">
        <x:v>L 724 ; l 740 ; hauteur 30 m ; choix de composition auteur ; dimensions réelles à documenter</x:v>
      </x:c>
      <x:c r="I3932" s="115" t="str">
        <x:v>À équilibrer</x:v>
      </x:c>
      <x:c r="J3932" s="115" t="str">
        <x:v>Non</x:v>
      </x:c>
      <x:c r="K3932" s="115" t="str">
        <x:v>Pièces décrites, murs, portes, niveaux et mobilier inspectables à l’échelle. Volumes réservés, raccord au seed, butin, rencontres et services de campagne restent à terminer.</x:v>
      </x:c>
    </x:row>
    <x:row r="3933" ht="96" customHeight="1">
      <x:c r="A3933" s="115" t="str">
        <x:v>EXT-MONDE-T079-V28</x:v>
      </x:c>
      <x:c r="B3933" s="115" t="str">
        <x:v>EXT-MONDE-T079</x:v>
      </x:c>
      <x:c r="C3933" s="115" t="str">
        <x:v>Îles</x:v>
      </x:c>
      <x:c r="D3933" s="115" t="str">
        <x:v>Île portuaire industrielle</x:v>
      </x:c>
      <x:c r="E3933" s="115" t="n">
        <x:v>28</x:v>
      </x:c>
      <x:c r="F3933" s="115" t="str">
        <x:v>Inspection physique</x:v>
      </x:c>
      <x:c r="G3933" s="115" t="str">
        <x:v>1 niveaux ; 34 pièces ; 260 segments de mur ; 0 transitions. Inspection physique ; architecture complète encore ouverte.</x:v>
      </x:c>
      <x:c r="H3933" s="115" t="str">
        <x:v>L 724 ; l 740 ; hauteur 30 m ; choix de composition auteur ; dimensions réelles à documenter</x:v>
      </x:c>
      <x:c r="I3933" s="115" t="str">
        <x:v>À équilibrer</x:v>
      </x:c>
      <x:c r="J3933" s="115" t="str">
        <x:v>Non</x:v>
      </x:c>
      <x:c r="K3933" s="115" t="str">
        <x:v>Pièces décrites, murs, portes, niveaux et mobilier inspectables à l’échelle. Volumes réservés, raccord au seed, butin, rencontres et services de campagne restent à terminer.</x:v>
      </x:c>
    </x:row>
    <x:row r="3934" ht="96" customHeight="1">
      <x:c r="A3934" s="115" t="str">
        <x:v>EXT-MONDE-T079-V29</x:v>
      </x:c>
      <x:c r="B3934" s="115" t="str">
        <x:v>EXT-MONDE-T079</x:v>
      </x:c>
      <x:c r="C3934" s="115" t="str">
        <x:v>Îles</x:v>
      </x:c>
      <x:c r="D3934" s="115" t="str">
        <x:v>Île portuaire industrielle</x:v>
      </x:c>
      <x:c r="E3934" s="115" t="n">
        <x:v>29</x:v>
      </x:c>
      <x:c r="F3934" s="115" t="str">
        <x:v>Inspection physique</x:v>
      </x:c>
      <x:c r="G3934" s="115" t="str">
        <x:v>1 niveaux ; 34 pièces ; 260 segments de mur ; 0 transitions. Inspection physique ; architecture complète encore ouverte.</x:v>
      </x:c>
      <x:c r="H3934" s="115" t="str">
        <x:v>L 724 ; l 740 ; hauteur 30 m ; choix de composition auteur ; dimensions réelles à documenter</x:v>
      </x:c>
      <x:c r="I3934" s="115" t="str">
        <x:v>À équilibrer</x:v>
      </x:c>
      <x:c r="J3934" s="115" t="str">
        <x:v>Non</x:v>
      </x:c>
      <x:c r="K3934" s="115" t="str">
        <x:v>Pièces décrites, murs, portes, niveaux et mobilier inspectables à l’échelle. Volumes réservés, raccord au seed, butin, rencontres et services de campagne restent à terminer.</x:v>
      </x:c>
    </x:row>
    <x:row r="3935" ht="96" customHeight="1">
      <x:c r="A3935" s="115" t="str">
        <x:v>EXT-MONDE-T079-V30</x:v>
      </x:c>
      <x:c r="B3935" s="115" t="str">
        <x:v>EXT-MONDE-T079</x:v>
      </x:c>
      <x:c r="C3935" s="115" t="str">
        <x:v>Îles</x:v>
      </x:c>
      <x:c r="D3935" s="115" t="str">
        <x:v>Île portuaire industrielle</x:v>
      </x:c>
      <x:c r="E3935" s="115" t="n">
        <x:v>30</x:v>
      </x:c>
      <x:c r="F3935" s="115" t="str">
        <x:v>Inspection physique</x:v>
      </x:c>
      <x:c r="G3935" s="115" t="str">
        <x:v>1 niveaux ; 34 pièces ; 260 segments de mur ; 0 transitions. Inspection physique ; architecture complète encore ouverte.</x:v>
      </x:c>
      <x:c r="H3935" s="115" t="str">
        <x:v>L 724 ; l 740 ; hauteur 30 m ; choix de composition auteur ; dimensions réelles à documenter</x:v>
      </x:c>
      <x:c r="I3935" s="115" t="str">
        <x:v>À équilibrer</x:v>
      </x:c>
      <x:c r="J3935" s="115" t="str">
        <x:v>Non</x:v>
      </x:c>
      <x:c r="K3935" s="115" t="str">
        <x:v>Pièces décrites, murs, portes, niveaux et mobilier inspectables à l’échelle. Volumes réservés, raccord au seed, butin, rencontres et services de campagne restent à terminer.</x:v>
      </x:c>
    </x:row>
    <x:row r="3936" ht="96" customHeight="1">
      <x:c r="A3936" s="115" t="str">
        <x:v>EXT-MONDE-T079-V31</x:v>
      </x:c>
      <x:c r="B3936" s="115" t="str">
        <x:v>EXT-MONDE-T079</x:v>
      </x:c>
      <x:c r="C3936" s="115" t="str">
        <x:v>Îles</x:v>
      </x:c>
      <x:c r="D3936" s="115" t="str">
        <x:v>Île portuaire industrielle</x:v>
      </x:c>
      <x:c r="E3936" s="115" t="n">
        <x:v>31</x:v>
      </x:c>
      <x:c r="F3936" s="115" t="str">
        <x:v>Inspection physique</x:v>
      </x:c>
      <x:c r="G3936" s="115" t="str">
        <x:v>1 niveaux ; 34 pièces ; 260 segments de mur ; 0 transitions. Inspection physique ; architecture complète encore ouverte.</x:v>
      </x:c>
      <x:c r="H3936" s="115" t="str">
        <x:v>L 738 ; l 752 ; hauteur 30 m ; choix de composition auteur ; dimensions réelles à documenter</x:v>
      </x:c>
      <x:c r="I3936" s="115" t="str">
        <x:v>À équilibrer</x:v>
      </x:c>
      <x:c r="J3936" s="115" t="str">
        <x:v>Non</x:v>
      </x:c>
      <x:c r="K3936" s="115" t="str">
        <x:v>Pièces décrites, murs, portes, niveaux et mobilier inspectables à l’échelle. Volumes réservés, raccord au seed, butin, rencontres et services de campagne restent à terminer.</x:v>
      </x:c>
    </x:row>
    <x:row r="3937" ht="96" customHeight="1">
      <x:c r="A3937" s="115" t="str">
        <x:v>EXT-MONDE-T079-V32</x:v>
      </x:c>
      <x:c r="B3937" s="115" t="str">
        <x:v>EXT-MONDE-T079</x:v>
      </x:c>
      <x:c r="C3937" s="115" t="str">
        <x:v>Îles</x:v>
      </x:c>
      <x:c r="D3937" s="115" t="str">
        <x:v>Île portuaire industrielle</x:v>
      </x:c>
      <x:c r="E3937" s="115" t="n">
        <x:v>32</x:v>
      </x:c>
      <x:c r="F3937" s="115" t="str">
        <x:v>Inspection physique</x:v>
      </x:c>
      <x:c r="G3937" s="115" t="str">
        <x:v>1 niveaux ; 34 pièces ; 260 segments de mur ; 0 transitions. Inspection physique ; architecture complète encore ouverte.</x:v>
      </x:c>
      <x:c r="H3937" s="115" t="str">
        <x:v>L 738 ; l 752 ; hauteur 30 m ; choix de composition auteur ; dimensions réelles à documenter</x:v>
      </x:c>
      <x:c r="I3937" s="115" t="str">
        <x:v>À équilibrer</x:v>
      </x:c>
      <x:c r="J3937" s="115" t="str">
        <x:v>Non</x:v>
      </x:c>
      <x:c r="K3937" s="115" t="str">
        <x:v>Pièces décrites, murs, portes, niveaux et mobilier inspectables à l’échelle. Volumes réservés, raccord au seed, butin, rencontres et services de campagne restent à terminer.</x:v>
      </x:c>
    </x:row>
    <x:row r="3938" ht="96" customHeight="1">
      <x:c r="A3938" s="115" t="str">
        <x:v>EXT-MONDE-T079-V33</x:v>
      </x:c>
      <x:c r="B3938" s="115" t="str">
        <x:v>EXT-MONDE-T079</x:v>
      </x:c>
      <x:c r="C3938" s="115" t="str">
        <x:v>Îles</x:v>
      </x:c>
      <x:c r="D3938" s="115" t="str">
        <x:v>Île portuaire industrielle</x:v>
      </x:c>
      <x:c r="E3938" s="115" t="n">
        <x:v>33</x:v>
      </x:c>
      <x:c r="F3938" s="115" t="str">
        <x:v>Inspection physique</x:v>
      </x:c>
      <x:c r="G3938" s="115" t="str">
        <x:v>1 niveaux ; 34 pièces ; 260 segments de mur ; 0 transitions. Inspection physique ; architecture complète encore ouverte.</x:v>
      </x:c>
      <x:c r="H3938" s="115" t="str">
        <x:v>L 738 ; l 752 ; hauteur 30 m ; choix de composition auteur ; dimensions réelles à documenter</x:v>
      </x:c>
      <x:c r="I3938" s="115" t="str">
        <x:v>À équilibrer</x:v>
      </x:c>
      <x:c r="J3938" s="115" t="str">
        <x:v>Non</x:v>
      </x:c>
      <x:c r="K3938" s="115" t="str">
        <x:v>Pièces décrites, murs, portes, niveaux et mobilier inspectables à l’échelle. Volumes réservés, raccord au seed, butin, rencontres et services de campagne restent à terminer.</x:v>
      </x:c>
    </x:row>
    <x:row r="3939" ht="96" customHeight="1">
      <x:c r="A3939" s="115" t="str">
        <x:v>EXT-MONDE-T079-V34</x:v>
      </x:c>
      <x:c r="B3939" s="115" t="str">
        <x:v>EXT-MONDE-T079</x:v>
      </x:c>
      <x:c r="C3939" s="115" t="str">
        <x:v>Îles</x:v>
      </x:c>
      <x:c r="D3939" s="115" t="str">
        <x:v>Île portuaire industrielle</x:v>
      </x:c>
      <x:c r="E3939" s="115" t="n">
        <x:v>34</x:v>
      </x:c>
      <x:c r="F3939" s="115" t="str">
        <x:v>Inspection physique</x:v>
      </x:c>
      <x:c r="G3939" s="115" t="str">
        <x:v>1 niveaux ; 34 pièces ; 260 segments de mur ; 0 transitions. Inspection physique ; architecture complète encore ouverte.</x:v>
      </x:c>
      <x:c r="H3939" s="115" t="str">
        <x:v>L 738 ; l 752 ; hauteur 30 m ; choix de composition auteur ; dimensions réelles à documenter</x:v>
      </x:c>
      <x:c r="I3939" s="115" t="str">
        <x:v>À équilibrer</x:v>
      </x:c>
      <x:c r="J3939" s="115" t="str">
        <x:v>Non</x:v>
      </x:c>
      <x:c r="K3939" s="115" t="str">
        <x:v>Pièces décrites, murs, portes, niveaux et mobilier inspectables à l’échelle. Volumes réservés, raccord au seed, butin, rencontres et services de campagne restent à terminer.</x:v>
      </x:c>
    </x:row>
    <x:row r="3940" ht="96" customHeight="1">
      <x:c r="A3940" s="115" t="str">
        <x:v>EXT-MONDE-T079-V35</x:v>
      </x:c>
      <x:c r="B3940" s="115" t="str">
        <x:v>EXT-MONDE-T079</x:v>
      </x:c>
      <x:c r="C3940" s="115" t="str">
        <x:v>Îles</x:v>
      </x:c>
      <x:c r="D3940" s="115" t="str">
        <x:v>Île portuaire industrielle</x:v>
      </x:c>
      <x:c r="E3940" s="115" t="n">
        <x:v>35</x:v>
      </x:c>
      <x:c r="F3940" s="115" t="str">
        <x:v>Inspection physique</x:v>
      </x:c>
      <x:c r="G3940" s="115" t="str">
        <x:v>1 niveaux ; 34 pièces ; 260 segments de mur ; 0 transitions. Inspection physique ; architecture complète encore ouverte.</x:v>
      </x:c>
      <x:c r="H3940" s="115" t="str">
        <x:v>L 738 ; l 752 ; hauteur 30 m ; choix de composition auteur ; dimensions réelles à documenter</x:v>
      </x:c>
      <x:c r="I3940" s="115" t="str">
        <x:v>À équilibrer</x:v>
      </x:c>
      <x:c r="J3940" s="115" t="str">
        <x:v>Non</x:v>
      </x:c>
      <x:c r="K3940" s="115" t="str">
        <x:v>Pièces décrites, murs, portes, niveaux et mobilier inspectables à l’échelle. Volumes réservés, raccord au seed, butin, rencontres et services de campagne restent à terminer.</x:v>
      </x:c>
    </x:row>
    <x:row r="3941" ht="96" customHeight="1">
      <x:c r="A3941" s="115" t="str">
        <x:v>EXT-MONDE-T079-V36</x:v>
      </x:c>
      <x:c r="B3941" s="115" t="str">
        <x:v>EXT-MONDE-T079</x:v>
      </x:c>
      <x:c r="C3941" s="115" t="str">
        <x:v>Îles</x:v>
      </x:c>
      <x:c r="D3941" s="115" t="str">
        <x:v>Île portuaire industrielle</x:v>
      </x:c>
      <x:c r="E3941" s="115" t="n">
        <x:v>36</x:v>
      </x:c>
      <x:c r="F3941" s="115" t="str">
        <x:v>Inspection physique</x:v>
      </x:c>
      <x:c r="G3941" s="115" t="str">
        <x:v>1 niveaux ; 34 pièces ; 260 segments de mur ; 0 transitions. Inspection physique ; architecture complète encore ouverte.</x:v>
      </x:c>
      <x:c r="H3941" s="115" t="str">
        <x:v>L 738 ; l 752 ; hauteur 30 m ; choix de composition auteur ; dimensions réelles à documenter</x:v>
      </x:c>
      <x:c r="I3941" s="115" t="str">
        <x:v>À équilibrer</x:v>
      </x:c>
      <x:c r="J3941" s="115" t="str">
        <x:v>Non</x:v>
      </x:c>
      <x:c r="K3941" s="115" t="str">
        <x:v>Pièces décrites, murs, portes, niveaux et mobilier inspectables à l’échelle. Volumes réservés, raccord au seed, butin, rencontres et services de campagne restent à terminer.</x:v>
      </x:c>
    </x:row>
    <x:row r="3942" ht="96" customHeight="1">
      <x:c r="A3942" s="115" t="str">
        <x:v>EXT-MONDE-T079-V37</x:v>
      </x:c>
      <x:c r="B3942" s="115" t="str">
        <x:v>EXT-MONDE-T079</x:v>
      </x:c>
      <x:c r="C3942" s="115" t="str">
        <x:v>Îles</x:v>
      </x:c>
      <x:c r="D3942" s="115" t="str">
        <x:v>Île portuaire industrielle</x:v>
      </x:c>
      <x:c r="E3942" s="115" t="n">
        <x:v>37</x:v>
      </x:c>
      <x:c r="F3942" s="115" t="str">
        <x:v>Inspection physique</x:v>
      </x:c>
      <x:c r="G3942" s="115" t="str">
        <x:v>1 niveaux ; 34 pièces ; 260 segments de mur ; 0 transitions. Inspection physique ; architecture complète encore ouverte.</x:v>
      </x:c>
      <x:c r="H3942" s="115" t="str">
        <x:v>L 738 ; l 752 ; hauteur 30 m ; choix de composition auteur ; dimensions réelles à documenter</x:v>
      </x:c>
      <x:c r="I3942" s="115" t="str">
        <x:v>À équilibrer</x:v>
      </x:c>
      <x:c r="J3942" s="115" t="str">
        <x:v>Non</x:v>
      </x:c>
      <x:c r="K3942" s="115" t="str">
        <x:v>Pièces décrites, murs, portes, niveaux et mobilier inspectables à l’échelle. Volumes réservés, raccord au seed, butin, rencontres et services de campagne restent à terminer.</x:v>
      </x:c>
    </x:row>
    <x:row r="3943" ht="96" customHeight="1">
      <x:c r="A3943" s="115" t="str">
        <x:v>EXT-MONDE-T079-V38</x:v>
      </x:c>
      <x:c r="B3943" s="115" t="str">
        <x:v>EXT-MONDE-T079</x:v>
      </x:c>
      <x:c r="C3943" s="115" t="str">
        <x:v>Îles</x:v>
      </x:c>
      <x:c r="D3943" s="115" t="str">
        <x:v>Île portuaire industrielle</x:v>
      </x:c>
      <x:c r="E3943" s="115" t="n">
        <x:v>38</x:v>
      </x:c>
      <x:c r="F3943" s="115" t="str">
        <x:v>Inspection physique</x:v>
      </x:c>
      <x:c r="G3943" s="115" t="str">
        <x:v>1 niveaux ; 34 pièces ; 260 segments de mur ; 0 transitions. Inspection physique ; architecture complète encore ouverte.</x:v>
      </x:c>
      <x:c r="H3943" s="115" t="str">
        <x:v>L 738 ; l 752 ; hauteur 30 m ; choix de composition auteur ; dimensions réelles à documenter</x:v>
      </x:c>
      <x:c r="I3943" s="115" t="str">
        <x:v>À équilibrer</x:v>
      </x:c>
      <x:c r="J3943" s="115" t="str">
        <x:v>Non</x:v>
      </x:c>
      <x:c r="K3943" s="115" t="str">
        <x:v>Pièces décrites, murs, portes, niveaux et mobilier inspectables à l’échelle. Volumes réservés, raccord au seed, butin, rencontres et services de campagne restent à terminer.</x:v>
      </x:c>
    </x:row>
    <x:row r="3944" ht="96" customHeight="1">
      <x:c r="A3944" s="115" t="str">
        <x:v>EXT-MONDE-T079-V39</x:v>
      </x:c>
      <x:c r="B3944" s="115" t="str">
        <x:v>EXT-MONDE-T079</x:v>
      </x:c>
      <x:c r="C3944" s="115" t="str">
        <x:v>Îles</x:v>
      </x:c>
      <x:c r="D3944" s="115" t="str">
        <x:v>Île portuaire industrielle</x:v>
      </x:c>
      <x:c r="E3944" s="115" t="n">
        <x:v>39</x:v>
      </x:c>
      <x:c r="F3944" s="115" t="str">
        <x:v>Inspection physique</x:v>
      </x:c>
      <x:c r="G3944" s="115" t="str">
        <x:v>1 niveaux ; 34 pièces ; 260 segments de mur ; 0 transitions. Inspection physique ; architecture complète encore ouverte.</x:v>
      </x:c>
      <x:c r="H3944" s="115" t="str">
        <x:v>L 738 ; l 752 ; hauteur 30 m ; choix de composition auteur ; dimensions réelles à documenter</x:v>
      </x:c>
      <x:c r="I3944" s="115" t="str">
        <x:v>À équilibrer</x:v>
      </x:c>
      <x:c r="J3944" s="115" t="str">
        <x:v>Non</x:v>
      </x:c>
      <x:c r="K3944" s="115" t="str">
        <x:v>Pièces décrites, murs, portes, niveaux et mobilier inspectables à l’échelle. Volumes réservés, raccord au seed, butin, rencontres et services de campagne restent à terminer.</x:v>
      </x:c>
    </x:row>
    <x:row r="3945" ht="96" customHeight="1">
      <x:c r="A3945" s="115" t="str">
        <x:v>EXT-MONDE-T079-V40</x:v>
      </x:c>
      <x:c r="B3945" s="115" t="str">
        <x:v>EXT-MONDE-T079</x:v>
      </x:c>
      <x:c r="C3945" s="115" t="str">
        <x:v>Îles</x:v>
      </x:c>
      <x:c r="D3945" s="115" t="str">
        <x:v>Île portuaire industrielle</x:v>
      </x:c>
      <x:c r="E3945" s="115" t="n">
        <x:v>40</x:v>
      </x:c>
      <x:c r="F3945" s="115" t="str">
        <x:v>Inspection physique</x:v>
      </x:c>
      <x:c r="G3945" s="115" t="str">
        <x:v>1 niveaux ; 34 pièces ; 260 segments de mur ; 0 transitions. Inspection physique ; architecture complète encore ouverte.</x:v>
      </x:c>
      <x:c r="H3945" s="115" t="str">
        <x:v>L 738 ; l 752 ; hauteur 30 m ; choix de composition auteur ; dimensions réelles à documenter</x:v>
      </x:c>
      <x:c r="I3945" s="115" t="str">
        <x:v>À équilibrer</x:v>
      </x:c>
      <x:c r="J3945" s="115" t="str">
        <x:v>Non</x:v>
      </x:c>
      <x:c r="K3945" s="115" t="str">
        <x:v>Pièces décrites, murs, portes, niveaux et mobilier inspectables à l’échelle. Volumes réservés, raccord au seed, butin, rencontres et services de campagne restent à terminer.</x:v>
      </x:c>
    </x:row>
    <x:row r="3946" ht="96" customHeight="1">
      <x:c r="A3946" s="115" t="str">
        <x:v>EXT-MONDE-T079-V41</x:v>
      </x:c>
      <x:c r="B3946" s="115" t="str">
        <x:v>EXT-MONDE-T079</x:v>
      </x:c>
      <x:c r="C3946" s="115" t="str">
        <x:v>Îles</x:v>
      </x:c>
      <x:c r="D3946" s="115" t="str">
        <x:v>Île portuaire industrielle</x:v>
      </x:c>
      <x:c r="E3946" s="115" t="n">
        <x:v>41</x:v>
      </x:c>
      <x:c r="F3946" s="115" t="str">
        <x:v>Inspection physique</x:v>
      </x:c>
      <x:c r="G3946" s="115" t="str">
        <x:v>1 niveaux ; 34 pièces ; 260 segments de mur ; 0 transitions. Inspection physique ; architecture complète encore ouverte.</x:v>
      </x:c>
      <x:c r="H3946" s="115" t="str">
        <x:v>L 752 ; l 764 ; hauteur 30 m ; choix de composition auteur ; dimensions réelles à documenter</x:v>
      </x:c>
      <x:c r="I3946" s="115" t="str">
        <x:v>À équilibrer</x:v>
      </x:c>
      <x:c r="J3946" s="115" t="str">
        <x:v>Non</x:v>
      </x:c>
      <x:c r="K3946" s="115" t="str">
        <x:v>Pièces décrites, murs, portes, niveaux et mobilier inspectables à l’échelle. Volumes réservés, raccord au seed, butin, rencontres et services de campagne restent à terminer.</x:v>
      </x:c>
    </x:row>
    <x:row r="3947" ht="96" customHeight="1">
      <x:c r="A3947" s="115" t="str">
        <x:v>EXT-MONDE-T079-V42</x:v>
      </x:c>
      <x:c r="B3947" s="115" t="str">
        <x:v>EXT-MONDE-T079</x:v>
      </x:c>
      <x:c r="C3947" s="115" t="str">
        <x:v>Îles</x:v>
      </x:c>
      <x:c r="D3947" s="115" t="str">
        <x:v>Île portuaire industrielle</x:v>
      </x:c>
      <x:c r="E3947" s="115" t="n">
        <x:v>42</x:v>
      </x:c>
      <x:c r="F3947" s="115" t="str">
        <x:v>Inspection physique</x:v>
      </x:c>
      <x:c r="G3947" s="115" t="str">
        <x:v>1 niveaux ; 34 pièces ; 260 segments de mur ; 0 transitions. Inspection physique ; architecture complète encore ouverte.</x:v>
      </x:c>
      <x:c r="H3947" s="115" t="str">
        <x:v>L 752 ; l 764 ; hauteur 30 m ; choix de composition auteur ; dimensions réelles à documenter</x:v>
      </x:c>
      <x:c r="I3947" s="115" t="str">
        <x:v>À équilibrer</x:v>
      </x:c>
      <x:c r="J3947" s="115" t="str">
        <x:v>Non</x:v>
      </x:c>
      <x:c r="K3947" s="115" t="str">
        <x:v>Pièces décrites, murs, portes, niveaux et mobilier inspectables à l’échelle. Volumes réservés, raccord au seed, butin, rencontres et services de campagne restent à terminer.</x:v>
      </x:c>
    </x:row>
    <x:row r="3948" ht="96" customHeight="1">
      <x:c r="A3948" s="115" t="str">
        <x:v>EXT-MONDE-T079-V43</x:v>
      </x:c>
      <x:c r="B3948" s="115" t="str">
        <x:v>EXT-MONDE-T079</x:v>
      </x:c>
      <x:c r="C3948" s="115" t="str">
        <x:v>Îles</x:v>
      </x:c>
      <x:c r="D3948" s="115" t="str">
        <x:v>Île portuaire industrielle</x:v>
      </x:c>
      <x:c r="E3948" s="115" t="n">
        <x:v>43</x:v>
      </x:c>
      <x:c r="F3948" s="115" t="str">
        <x:v>Inspection physique</x:v>
      </x:c>
      <x:c r="G3948" s="115" t="str">
        <x:v>1 niveaux ; 34 pièces ; 260 segments de mur ; 0 transitions. Inspection physique ; architecture complète encore ouverte.</x:v>
      </x:c>
      <x:c r="H3948" s="115" t="str">
        <x:v>L 752 ; l 764 ; hauteur 30 m ; choix de composition auteur ; dimensions réelles à documenter</x:v>
      </x:c>
      <x:c r="I3948" s="115" t="str">
        <x:v>À équilibrer</x:v>
      </x:c>
      <x:c r="J3948" s="115" t="str">
        <x:v>Non</x:v>
      </x:c>
      <x:c r="K3948" s="115" t="str">
        <x:v>Pièces décrites, murs, portes, niveaux et mobilier inspectables à l’échelle. Volumes réservés, raccord au seed, butin, rencontres et services de campagne restent à terminer.</x:v>
      </x:c>
    </x:row>
    <x:row r="3949" ht="96" customHeight="1">
      <x:c r="A3949" s="115" t="str">
        <x:v>EXT-MONDE-T079-V44</x:v>
      </x:c>
      <x:c r="B3949" s="115" t="str">
        <x:v>EXT-MONDE-T079</x:v>
      </x:c>
      <x:c r="C3949" s="115" t="str">
        <x:v>Îles</x:v>
      </x:c>
      <x:c r="D3949" s="115" t="str">
        <x:v>Île portuaire industrielle</x:v>
      </x:c>
      <x:c r="E3949" s="115" t="n">
        <x:v>44</x:v>
      </x:c>
      <x:c r="F3949" s="115" t="str">
        <x:v>Inspection physique</x:v>
      </x:c>
      <x:c r="G3949" s="115" t="str">
        <x:v>1 niveaux ; 34 pièces ; 260 segments de mur ; 0 transitions. Inspection physique ; architecture complète encore ouverte.</x:v>
      </x:c>
      <x:c r="H3949" s="115" t="str">
        <x:v>L 752 ; l 764 ; hauteur 30 m ; choix de composition auteur ; dimensions réelles à documenter</x:v>
      </x:c>
      <x:c r="I3949" s="115" t="str">
        <x:v>À équilibrer</x:v>
      </x:c>
      <x:c r="J3949" s="115" t="str">
        <x:v>Non</x:v>
      </x:c>
      <x:c r="K3949" s="115" t="str">
        <x:v>Pièces décrites, murs, portes, niveaux et mobilier inspectables à l’échelle. Volumes réservés, raccord au seed, butin, rencontres et services de campagne restent à terminer.</x:v>
      </x:c>
    </x:row>
    <x:row r="3950" ht="96" customHeight="1">
      <x:c r="A3950" s="115" t="str">
        <x:v>EXT-MONDE-T079-V45</x:v>
      </x:c>
      <x:c r="B3950" s="115" t="str">
        <x:v>EXT-MONDE-T079</x:v>
      </x:c>
      <x:c r="C3950" s="115" t="str">
        <x:v>Îles</x:v>
      </x:c>
      <x:c r="D3950" s="115" t="str">
        <x:v>Île portuaire industrielle</x:v>
      </x:c>
      <x:c r="E3950" s="115" t="n">
        <x:v>45</x:v>
      </x:c>
      <x:c r="F3950" s="115" t="str">
        <x:v>Inspection physique</x:v>
      </x:c>
      <x:c r="G3950" s="115" t="str">
        <x:v>1 niveaux ; 34 pièces ; 260 segments de mur ; 0 transitions. Inspection physique ; architecture complète encore ouverte.</x:v>
      </x:c>
      <x:c r="H3950" s="115" t="str">
        <x:v>L 752 ; l 764 ; hauteur 30 m ; choix de composition auteur ; dimensions réelles à documenter</x:v>
      </x:c>
      <x:c r="I3950" s="115" t="str">
        <x:v>À équilibrer</x:v>
      </x:c>
      <x:c r="J3950" s="115" t="str">
        <x:v>Non</x:v>
      </x:c>
      <x:c r="K3950" s="115" t="str">
        <x:v>Pièces décrites, murs, portes, niveaux et mobilier inspectables à l’échelle. Volumes réservés, raccord au seed, butin, rencontres et services de campagne restent à terminer.</x:v>
      </x:c>
    </x:row>
    <x:row r="3951" ht="96" customHeight="1">
      <x:c r="A3951" s="115" t="str">
        <x:v>EXT-MONDE-T079-V46</x:v>
      </x:c>
      <x:c r="B3951" s="115" t="str">
        <x:v>EXT-MONDE-T079</x:v>
      </x:c>
      <x:c r="C3951" s="115" t="str">
        <x:v>Îles</x:v>
      </x:c>
      <x:c r="D3951" s="115" t="str">
        <x:v>Île portuaire industrielle</x:v>
      </x:c>
      <x:c r="E3951" s="115" t="n">
        <x:v>46</x:v>
      </x:c>
      <x:c r="F3951" s="115" t="str">
        <x:v>Inspection physique</x:v>
      </x:c>
      <x:c r="G3951" s="115" t="str">
        <x:v>1 niveaux ; 34 pièces ; 260 segments de mur ; 0 transitions. Inspection physique ; architecture complète encore ouverte.</x:v>
      </x:c>
      <x:c r="H3951" s="115" t="str">
        <x:v>L 752 ; l 764 ; hauteur 30 m ; choix de composition auteur ; dimensions réelles à documenter</x:v>
      </x:c>
      <x:c r="I3951" s="115" t="str">
        <x:v>À équilibrer</x:v>
      </x:c>
      <x:c r="J3951" s="115" t="str">
        <x:v>Non</x:v>
      </x:c>
      <x:c r="K3951" s="115" t="str">
        <x:v>Pièces décrites, murs, portes, niveaux et mobilier inspectables à l’échelle. Volumes réservés, raccord au seed, butin, rencontres et services de campagne restent à terminer.</x:v>
      </x:c>
    </x:row>
    <x:row r="3952" ht="96" customHeight="1">
      <x:c r="A3952" s="115" t="str">
        <x:v>EXT-MONDE-T079-V47</x:v>
      </x:c>
      <x:c r="B3952" s="115" t="str">
        <x:v>EXT-MONDE-T079</x:v>
      </x:c>
      <x:c r="C3952" s="115" t="str">
        <x:v>Îles</x:v>
      </x:c>
      <x:c r="D3952" s="115" t="str">
        <x:v>Île portuaire industrielle</x:v>
      </x:c>
      <x:c r="E3952" s="115" t="n">
        <x:v>47</x:v>
      </x:c>
      <x:c r="F3952" s="115" t="str">
        <x:v>Inspection physique</x:v>
      </x:c>
      <x:c r="G3952" s="115" t="str">
        <x:v>1 niveaux ; 34 pièces ; 260 segments de mur ; 0 transitions. Inspection physique ; architecture complète encore ouverte.</x:v>
      </x:c>
      <x:c r="H3952" s="115" t="str">
        <x:v>L 752 ; l 764 ; hauteur 30 m ; choix de composition auteur ; dimensions réelles à documenter</x:v>
      </x:c>
      <x:c r="I3952" s="115" t="str">
        <x:v>À équilibrer</x:v>
      </x:c>
      <x:c r="J3952" s="115" t="str">
        <x:v>Non</x:v>
      </x:c>
      <x:c r="K3952" s="115" t="str">
        <x:v>Pièces décrites, murs, portes, niveaux et mobilier inspectables à l’échelle. Volumes réservés, raccord au seed, butin, rencontres et services de campagne restent à terminer.</x:v>
      </x:c>
    </x:row>
    <x:row r="3953" ht="96" customHeight="1">
      <x:c r="A3953" s="115" t="str">
        <x:v>EXT-MONDE-T079-V48</x:v>
      </x:c>
      <x:c r="B3953" s="115" t="str">
        <x:v>EXT-MONDE-T079</x:v>
      </x:c>
      <x:c r="C3953" s="115" t="str">
        <x:v>Îles</x:v>
      </x:c>
      <x:c r="D3953" s="115" t="str">
        <x:v>Île portuaire industrielle</x:v>
      </x:c>
      <x:c r="E3953" s="115" t="n">
        <x:v>48</x:v>
      </x:c>
      <x:c r="F3953" s="115" t="str">
        <x:v>Inspection physique</x:v>
      </x:c>
      <x:c r="G3953" s="115" t="str">
        <x:v>1 niveaux ; 34 pièces ; 260 segments de mur ; 0 transitions. Inspection physique ; architecture complète encore ouverte.</x:v>
      </x:c>
      <x:c r="H3953" s="115" t="str">
        <x:v>L 752 ; l 764 ; hauteur 30 m ; choix de composition auteur ; dimensions réelles à documenter</x:v>
      </x:c>
      <x:c r="I3953" s="115" t="str">
        <x:v>À équilibrer</x:v>
      </x:c>
      <x:c r="J3953" s="115" t="str">
        <x:v>Non</x:v>
      </x:c>
      <x:c r="K3953" s="115" t="str">
        <x:v>Pièces décrites, murs, portes, niveaux et mobilier inspectables à l’échelle. Volumes réservés, raccord au seed, butin, rencontres et services de campagne restent à terminer.</x:v>
      </x:c>
    </x:row>
    <x:row r="3954" ht="96" customHeight="1">
      <x:c r="A3954" s="115" t="str">
        <x:v>EXT-MONDE-T079-V49</x:v>
      </x:c>
      <x:c r="B3954" s="115" t="str">
        <x:v>EXT-MONDE-T079</x:v>
      </x:c>
      <x:c r="C3954" s="115" t="str">
        <x:v>Îles</x:v>
      </x:c>
      <x:c r="D3954" s="115" t="str">
        <x:v>Île portuaire industrielle</x:v>
      </x:c>
      <x:c r="E3954" s="115" t="n">
        <x:v>49</x:v>
      </x:c>
      <x:c r="F3954" s="115" t="str">
        <x:v>Inspection physique</x:v>
      </x:c>
      <x:c r="G3954" s="115" t="str">
        <x:v>1 niveaux ; 34 pièces ; 260 segments de mur ; 0 transitions. Inspection physique ; architecture complète encore ouverte.</x:v>
      </x:c>
      <x:c r="H3954" s="115" t="str">
        <x:v>L 752 ; l 764 ; hauteur 30 m ; choix de composition auteur ; dimensions réelles à documenter</x:v>
      </x:c>
      <x:c r="I3954" s="115" t="str">
        <x:v>À équilibrer</x:v>
      </x:c>
      <x:c r="J3954" s="115" t="str">
        <x:v>Non</x:v>
      </x:c>
      <x:c r="K3954" s="115" t="str">
        <x:v>Pièces décrites, murs, portes, niveaux et mobilier inspectables à l’échelle. Volumes réservés, raccord au seed, butin, rencontres et services de campagne restent à terminer.</x:v>
      </x:c>
    </x:row>
    <x:row r="3955" ht="96" customHeight="1">
      <x:c r="A3955" s="115" t="str">
        <x:v>EXT-MONDE-T079-V50</x:v>
      </x:c>
      <x:c r="B3955" s="115" t="str">
        <x:v>EXT-MONDE-T079</x:v>
      </x:c>
      <x:c r="C3955" s="115" t="str">
        <x:v>Îles</x:v>
      </x:c>
      <x:c r="D3955" s="115" t="str">
        <x:v>Île portuaire industrielle</x:v>
      </x:c>
      <x:c r="E3955" s="115" t="n">
        <x:v>50</x:v>
      </x:c>
      <x:c r="F3955" s="115" t="str">
        <x:v>Inspection physique</x:v>
      </x:c>
      <x:c r="G3955" s="115" t="str">
        <x:v>1 niveaux ; 34 pièces ; 260 segments de mur ; 0 transitions. Inspection physique ; architecture complète encore ouverte.</x:v>
      </x:c>
      <x:c r="H3955" s="115" t="str">
        <x:v>L 752 ; l 764 ; hauteur 30 m ; choix de composition auteur ; dimensions réelles à documenter</x:v>
      </x:c>
      <x:c r="I3955" s="115" t="str">
        <x:v>À équilibrer</x:v>
      </x:c>
      <x:c r="J3955" s="115" t="str">
        <x:v>Non</x:v>
      </x:c>
      <x:c r="K3955" s="115" t="str">
        <x:v>Pièces décrites, murs, portes, niveaux et mobilier inspectables à l’échelle. Volumes réservés, raccord au seed, butin, rencontres et services de campagne restent à terminer.</x:v>
      </x:c>
    </x:row>
    <x:row r="3956" ht="96" customHeight="1">
      <x:c r="A3956" s="115" t="str">
        <x:v>EXT-MONDE-T080-V01</x:v>
      </x:c>
      <x:c r="B3956" s="115" t="str">
        <x:v>EXT-MONDE-T080</x:v>
      </x:c>
      <x:c r="C3956" s="115" t="str">
        <x:v>Îles</x:v>
      </x:c>
      <x:c r="D3956" s="115" t="str">
        <x:v>Grande île mixte</x:v>
      </x:c>
      <x:c r="E3956" s="115" t="n">
        <x:v>1</x:v>
      </x:c>
      <x:c r="F3956" s="115" t="str">
        <x:v>Inspection physique</x:v>
      </x:c>
      <x:c r="G3956" s="115" t="str">
        <x:v>1 niveaux ; 32 pièces ; 248 segments de mur ; 0 transitions. Inspection physique ; architecture complète encore ouverte.</x:v>
      </x:c>
      <x:c r="H3956" s="115" t="str">
        <x:v>L 856 ; l 896 ; hauteur 8 m ; choix de composition auteur ; dimensions réelles à documenter</x:v>
      </x:c>
      <x:c r="I3956" s="115" t="str">
        <x:v>À équilibrer</x:v>
      </x:c>
      <x:c r="J3956" s="115" t="str">
        <x:v>Non</x:v>
      </x:c>
      <x:c r="K3956" s="115" t="str">
        <x:v>Pièces décrites, murs, portes, niveaux et mobilier inspectables à l’échelle. Volumes réservés, raccord au seed, butin, rencontres et services de campagne restent à terminer.</x:v>
      </x:c>
    </x:row>
    <x:row r="3957" ht="96" customHeight="1">
      <x:c r="A3957" s="115" t="str">
        <x:v>EXT-MONDE-T080-V02</x:v>
      </x:c>
      <x:c r="B3957" s="115" t="str">
        <x:v>EXT-MONDE-T080</x:v>
      </x:c>
      <x:c r="C3957" s="115" t="str">
        <x:v>Îles</x:v>
      </x:c>
      <x:c r="D3957" s="115" t="str">
        <x:v>Grande île mixte</x:v>
      </x:c>
      <x:c r="E3957" s="115" t="n">
        <x:v>2</x:v>
      </x:c>
      <x:c r="F3957" s="115" t="str">
        <x:v>Inspection physique</x:v>
      </x:c>
      <x:c r="G3957" s="115" t="str">
        <x:v>1 niveaux ; 32 pièces ; 248 segments de mur ; 0 transitions. Inspection physique ; architecture complète encore ouverte.</x:v>
      </x:c>
      <x:c r="H3957" s="115" t="str">
        <x:v>L 856 ; l 896 ; hauteur 8 m ; choix de composition auteur ; dimensions réelles à documenter</x:v>
      </x:c>
      <x:c r="I3957" s="115" t="str">
        <x:v>À équilibrer</x:v>
      </x:c>
      <x:c r="J3957" s="115" t="str">
        <x:v>Non</x:v>
      </x:c>
      <x:c r="K3957" s="115" t="str">
        <x:v>Pièces décrites, murs, portes, niveaux et mobilier inspectables à l’échelle. Volumes réservés, raccord au seed, butin, rencontres et services de campagne restent à terminer.</x:v>
      </x:c>
    </x:row>
    <x:row r="3958" ht="96" customHeight="1">
      <x:c r="A3958" s="115" t="str">
        <x:v>EXT-MONDE-T080-V03</x:v>
      </x:c>
      <x:c r="B3958" s="115" t="str">
        <x:v>EXT-MONDE-T080</x:v>
      </x:c>
      <x:c r="C3958" s="115" t="str">
        <x:v>Îles</x:v>
      </x:c>
      <x:c r="D3958" s="115" t="str">
        <x:v>Grande île mixte</x:v>
      </x:c>
      <x:c r="E3958" s="115" t="n">
        <x:v>3</x:v>
      </x:c>
      <x:c r="F3958" s="115" t="str">
        <x:v>Inspection physique</x:v>
      </x:c>
      <x:c r="G3958" s="115" t="str">
        <x:v>1 niveaux ; 32 pièces ; 248 segments de mur ; 0 transitions. Inspection physique ; architecture complète encore ouverte.</x:v>
      </x:c>
      <x:c r="H3958" s="115" t="str">
        <x:v>L 856 ; l 896 ; hauteur 8 m ; choix de composition auteur ; dimensions réelles à documenter</x:v>
      </x:c>
      <x:c r="I3958" s="115" t="str">
        <x:v>À équilibrer</x:v>
      </x:c>
      <x:c r="J3958" s="115" t="str">
        <x:v>Non</x:v>
      </x:c>
      <x:c r="K3958" s="115" t="str">
        <x:v>Pièces décrites, murs, portes, niveaux et mobilier inspectables à l’échelle. Volumes réservés, raccord au seed, butin, rencontres et services de campagne restent à terminer.</x:v>
      </x:c>
    </x:row>
    <x:row r="3959" ht="96" customHeight="1">
      <x:c r="A3959" s="115" t="str">
        <x:v>EXT-MONDE-T080-V04</x:v>
      </x:c>
      <x:c r="B3959" s="115" t="str">
        <x:v>EXT-MONDE-T080</x:v>
      </x:c>
      <x:c r="C3959" s="115" t="str">
        <x:v>Îles</x:v>
      </x:c>
      <x:c r="D3959" s="115" t="str">
        <x:v>Grande île mixte</x:v>
      </x:c>
      <x:c r="E3959" s="115" t="n">
        <x:v>4</x:v>
      </x:c>
      <x:c r="F3959" s="115" t="str">
        <x:v>Inspection physique</x:v>
      </x:c>
      <x:c r="G3959" s="115" t="str">
        <x:v>1 niveaux ; 32 pièces ; 248 segments de mur ; 0 transitions. Inspection physique ; architecture complète encore ouverte.</x:v>
      </x:c>
      <x:c r="H3959" s="115" t="str">
        <x:v>L 856 ; l 896 ; hauteur 8 m ; choix de composition auteur ; dimensions réelles à documenter</x:v>
      </x:c>
      <x:c r="I3959" s="115" t="str">
        <x:v>À équilibrer</x:v>
      </x:c>
      <x:c r="J3959" s="115" t="str">
        <x:v>Non</x:v>
      </x:c>
      <x:c r="K3959" s="115" t="str">
        <x:v>Pièces décrites, murs, portes, niveaux et mobilier inspectables à l’échelle. Volumes réservés, raccord au seed, butin, rencontres et services de campagne restent à terminer.</x:v>
      </x:c>
    </x:row>
    <x:row r="3960" ht="96" customHeight="1">
      <x:c r="A3960" s="115" t="str">
        <x:v>EXT-MONDE-T080-V05</x:v>
      </x:c>
      <x:c r="B3960" s="115" t="str">
        <x:v>EXT-MONDE-T080</x:v>
      </x:c>
      <x:c r="C3960" s="115" t="str">
        <x:v>Îles</x:v>
      </x:c>
      <x:c r="D3960" s="115" t="str">
        <x:v>Grande île mixte</x:v>
      </x:c>
      <x:c r="E3960" s="115" t="n">
        <x:v>5</x:v>
      </x:c>
      <x:c r="F3960" s="115" t="str">
        <x:v>Inspection physique</x:v>
      </x:c>
      <x:c r="G3960" s="115" t="str">
        <x:v>1 niveaux ; 32 pièces ; 248 segments de mur ; 0 transitions. Inspection physique ; architecture complète encore ouverte.</x:v>
      </x:c>
      <x:c r="H3960" s="115" t="str">
        <x:v>L 856 ; l 896 ; hauteur 8 m ; choix de composition auteur ; dimensions réelles à documenter</x:v>
      </x:c>
      <x:c r="I3960" s="115" t="str">
        <x:v>À équilibrer</x:v>
      </x:c>
      <x:c r="J3960" s="115" t="str">
        <x:v>Non</x:v>
      </x:c>
      <x:c r="K3960" s="115" t="str">
        <x:v>Pièces décrites, murs, portes, niveaux et mobilier inspectables à l’échelle. Volumes réservés, raccord au seed, butin, rencontres et services de campagne restent à terminer.</x:v>
      </x:c>
    </x:row>
    <x:row r="3961" ht="96" customHeight="1">
      <x:c r="A3961" s="115" t="str">
        <x:v>EXT-MONDE-T080-V06</x:v>
      </x:c>
      <x:c r="B3961" s="115" t="str">
        <x:v>EXT-MONDE-T080</x:v>
      </x:c>
      <x:c r="C3961" s="115" t="str">
        <x:v>Îles</x:v>
      </x:c>
      <x:c r="D3961" s="115" t="str">
        <x:v>Grande île mixte</x:v>
      </x:c>
      <x:c r="E3961" s="115" t="n">
        <x:v>6</x:v>
      </x:c>
      <x:c r="F3961" s="115" t="str">
        <x:v>Inspection physique</x:v>
      </x:c>
      <x:c r="G3961" s="115" t="str">
        <x:v>1 niveaux ; 32 pièces ; 248 segments de mur ; 0 transitions. Inspection physique ; architecture complète encore ouverte.</x:v>
      </x:c>
      <x:c r="H3961" s="115" t="str">
        <x:v>L 856 ; l 896 ; hauteur 8 m ; choix de composition auteur ; dimensions réelles à documenter</x:v>
      </x:c>
      <x:c r="I3961" s="115" t="str">
        <x:v>À équilibrer</x:v>
      </x:c>
      <x:c r="J3961" s="115" t="str">
        <x:v>Non</x:v>
      </x:c>
      <x:c r="K3961" s="115" t="str">
        <x:v>Pièces décrites, murs, portes, niveaux et mobilier inspectables à l’échelle. Volumes réservés, raccord au seed, butin, rencontres et services de campagne restent à terminer.</x:v>
      </x:c>
    </x:row>
    <x:row r="3962" ht="96" customHeight="1">
      <x:c r="A3962" s="115" t="str">
        <x:v>EXT-MONDE-T080-V07</x:v>
      </x:c>
      <x:c r="B3962" s="115" t="str">
        <x:v>EXT-MONDE-T080</x:v>
      </x:c>
      <x:c r="C3962" s="115" t="str">
        <x:v>Îles</x:v>
      </x:c>
      <x:c r="D3962" s="115" t="str">
        <x:v>Grande île mixte</x:v>
      </x:c>
      <x:c r="E3962" s="115" t="n">
        <x:v>7</x:v>
      </x:c>
      <x:c r="F3962" s="115" t="str">
        <x:v>Inspection physique</x:v>
      </x:c>
      <x:c r="G3962" s="115" t="str">
        <x:v>1 niveaux ; 32 pièces ; 248 segments de mur ; 0 transitions. Inspection physique ; architecture complète encore ouverte.</x:v>
      </x:c>
      <x:c r="H3962" s="115" t="str">
        <x:v>L 856 ; l 896 ; hauteur 8 m ; choix de composition auteur ; dimensions réelles à documenter</x:v>
      </x:c>
      <x:c r="I3962" s="115" t="str">
        <x:v>À équilibrer</x:v>
      </x:c>
      <x:c r="J3962" s="115" t="str">
        <x:v>Non</x:v>
      </x:c>
      <x:c r="K3962" s="115" t="str">
        <x:v>Pièces décrites, murs, portes, niveaux et mobilier inspectables à l’échelle. Volumes réservés, raccord au seed, butin, rencontres et services de campagne restent à terminer.</x:v>
      </x:c>
    </x:row>
    <x:row r="3963" ht="96" customHeight="1">
      <x:c r="A3963" s="115" t="str">
        <x:v>EXT-MONDE-T080-V08</x:v>
      </x:c>
      <x:c r="B3963" s="115" t="str">
        <x:v>EXT-MONDE-T080</x:v>
      </x:c>
      <x:c r="C3963" s="115" t="str">
        <x:v>Îles</x:v>
      </x:c>
      <x:c r="D3963" s="115" t="str">
        <x:v>Grande île mixte</x:v>
      </x:c>
      <x:c r="E3963" s="115" t="n">
        <x:v>8</x:v>
      </x:c>
      <x:c r="F3963" s="115" t="str">
        <x:v>Inspection physique</x:v>
      </x:c>
      <x:c r="G3963" s="115" t="str">
        <x:v>1 niveaux ; 32 pièces ; 248 segments de mur ; 0 transitions. Inspection physique ; architecture complète encore ouverte.</x:v>
      </x:c>
      <x:c r="H3963" s="115" t="str">
        <x:v>L 856 ; l 896 ; hauteur 8 m ; choix de composition auteur ; dimensions réelles à documenter</x:v>
      </x:c>
      <x:c r="I3963" s="115" t="str">
        <x:v>À équilibrer</x:v>
      </x:c>
      <x:c r="J3963" s="115" t="str">
        <x:v>Non</x:v>
      </x:c>
      <x:c r="K3963" s="115" t="str">
        <x:v>Pièces décrites, murs, portes, niveaux et mobilier inspectables à l’échelle. Volumes réservés, raccord au seed, butin, rencontres et services de campagne restent à terminer.</x:v>
      </x:c>
    </x:row>
    <x:row r="3964" ht="96" customHeight="1">
      <x:c r="A3964" s="115" t="str">
        <x:v>EXT-MONDE-T080-V09</x:v>
      </x:c>
      <x:c r="B3964" s="115" t="str">
        <x:v>EXT-MONDE-T080</x:v>
      </x:c>
      <x:c r="C3964" s="115" t="str">
        <x:v>Îles</x:v>
      </x:c>
      <x:c r="D3964" s="115" t="str">
        <x:v>Grande île mixte</x:v>
      </x:c>
      <x:c r="E3964" s="115" t="n">
        <x:v>9</x:v>
      </x:c>
      <x:c r="F3964" s="115" t="str">
        <x:v>Inspection physique</x:v>
      </x:c>
      <x:c r="G3964" s="115" t="str">
        <x:v>1 niveaux ; 32 pièces ; 248 segments de mur ; 0 transitions. Inspection physique ; architecture complète encore ouverte.</x:v>
      </x:c>
      <x:c r="H3964" s="115" t="str">
        <x:v>L 856 ; l 896 ; hauteur 8 m ; choix de composition auteur ; dimensions réelles à documenter</x:v>
      </x:c>
      <x:c r="I3964" s="115" t="str">
        <x:v>À équilibrer</x:v>
      </x:c>
      <x:c r="J3964" s="115" t="str">
        <x:v>Non</x:v>
      </x:c>
      <x:c r="K3964" s="115" t="str">
        <x:v>Pièces décrites, murs, portes, niveaux et mobilier inspectables à l’échelle. Volumes réservés, raccord au seed, butin, rencontres et services de campagne restent à terminer.</x:v>
      </x:c>
    </x:row>
    <x:row r="3965" ht="96" customHeight="1">
      <x:c r="A3965" s="115" t="str">
        <x:v>EXT-MONDE-T080-V10</x:v>
      </x:c>
      <x:c r="B3965" s="115" t="str">
        <x:v>EXT-MONDE-T080</x:v>
      </x:c>
      <x:c r="C3965" s="115" t="str">
        <x:v>Îles</x:v>
      </x:c>
      <x:c r="D3965" s="115" t="str">
        <x:v>Grande île mixte</x:v>
      </x:c>
      <x:c r="E3965" s="115" t="n">
        <x:v>10</x:v>
      </x:c>
      <x:c r="F3965" s="115" t="str">
        <x:v>Inspection physique</x:v>
      </x:c>
      <x:c r="G3965" s="115" t="str">
        <x:v>1 niveaux ; 32 pièces ; 248 segments de mur ; 0 transitions. Inspection physique ; architecture complète encore ouverte.</x:v>
      </x:c>
      <x:c r="H3965" s="115" t="str">
        <x:v>L 856 ; l 896 ; hauteur 8 m ; choix de composition auteur ; dimensions réelles à documenter</x:v>
      </x:c>
      <x:c r="I3965" s="115" t="str">
        <x:v>À équilibrer</x:v>
      </x:c>
      <x:c r="J3965" s="115" t="str">
        <x:v>Non</x:v>
      </x:c>
      <x:c r="K3965" s="115" t="str">
        <x:v>Pièces décrites, murs, portes, niveaux et mobilier inspectables à l’échelle. Volumes réservés, raccord au seed, butin, rencontres et services de campagne restent à terminer.</x:v>
      </x:c>
    </x:row>
    <x:row r="3966" ht="96" customHeight="1">
      <x:c r="A3966" s="115" t="str">
        <x:v>EXT-MONDE-T080-V11</x:v>
      </x:c>
      <x:c r="B3966" s="115" t="str">
        <x:v>EXT-MONDE-T080</x:v>
      </x:c>
      <x:c r="C3966" s="115" t="str">
        <x:v>Îles</x:v>
      </x:c>
      <x:c r="D3966" s="115" t="str">
        <x:v>Grande île mixte</x:v>
      </x:c>
      <x:c r="E3966" s="115" t="n">
        <x:v>11</x:v>
      </x:c>
      <x:c r="F3966" s="115" t="str">
        <x:v>Inspection physique</x:v>
      </x:c>
      <x:c r="G3966" s="115" t="str">
        <x:v>1 niveaux ; 32 pièces ; 248 segments de mur ; 0 transitions. Inspection physique ; architecture complète encore ouverte.</x:v>
      </x:c>
      <x:c r="H3966" s="115" t="str">
        <x:v>L 870 ; l 908 ; hauteur 8 m ; choix de composition auteur ; dimensions réelles à documenter</x:v>
      </x:c>
      <x:c r="I3966" s="115" t="str">
        <x:v>À équilibrer</x:v>
      </x:c>
      <x:c r="J3966" s="115" t="str">
        <x:v>Non</x:v>
      </x:c>
      <x:c r="K3966" s="115" t="str">
        <x:v>Pièces décrites, murs, portes, niveaux et mobilier inspectables à l’échelle. Volumes réservés, raccord au seed, butin, rencontres et services de campagne restent à terminer.</x:v>
      </x:c>
    </x:row>
    <x:row r="3967" ht="96" customHeight="1">
      <x:c r="A3967" s="115" t="str">
        <x:v>EXT-MONDE-T080-V12</x:v>
      </x:c>
      <x:c r="B3967" s="115" t="str">
        <x:v>EXT-MONDE-T080</x:v>
      </x:c>
      <x:c r="C3967" s="115" t="str">
        <x:v>Îles</x:v>
      </x:c>
      <x:c r="D3967" s="115" t="str">
        <x:v>Grande île mixte</x:v>
      </x:c>
      <x:c r="E3967" s="115" t="n">
        <x:v>12</x:v>
      </x:c>
      <x:c r="F3967" s="115" t="str">
        <x:v>Inspection physique</x:v>
      </x:c>
      <x:c r="G3967" s="115" t="str">
        <x:v>1 niveaux ; 32 pièces ; 248 segments de mur ; 0 transitions. Inspection physique ; architecture complète encore ouverte.</x:v>
      </x:c>
      <x:c r="H3967" s="115" t="str">
        <x:v>L 870 ; l 908 ; hauteur 8 m ; choix de composition auteur ; dimensions réelles à documenter</x:v>
      </x:c>
      <x:c r="I3967" s="115" t="str">
        <x:v>À équilibrer</x:v>
      </x:c>
      <x:c r="J3967" s="115" t="str">
        <x:v>Non</x:v>
      </x:c>
      <x:c r="K3967" s="115" t="str">
        <x:v>Pièces décrites, murs, portes, niveaux et mobilier inspectables à l’échelle. Volumes réservés, raccord au seed, butin, rencontres et services de campagne restent à terminer.</x:v>
      </x:c>
    </x:row>
    <x:row r="3968" ht="96" customHeight="1">
      <x:c r="A3968" s="115" t="str">
        <x:v>EXT-MONDE-T080-V13</x:v>
      </x:c>
      <x:c r="B3968" s="115" t="str">
        <x:v>EXT-MONDE-T080</x:v>
      </x:c>
      <x:c r="C3968" s="115" t="str">
        <x:v>Îles</x:v>
      </x:c>
      <x:c r="D3968" s="115" t="str">
        <x:v>Grande île mixte</x:v>
      </x:c>
      <x:c r="E3968" s="115" t="n">
        <x:v>13</x:v>
      </x:c>
      <x:c r="F3968" s="115" t="str">
        <x:v>Inspection physique</x:v>
      </x:c>
      <x:c r="G3968" s="115" t="str">
        <x:v>1 niveaux ; 32 pièces ; 248 segments de mur ; 0 transitions. Inspection physique ; architecture complète encore ouverte.</x:v>
      </x:c>
      <x:c r="H3968" s="115" t="str">
        <x:v>L 870 ; l 908 ; hauteur 8 m ; choix de composition auteur ; dimensions réelles à documenter</x:v>
      </x:c>
      <x:c r="I3968" s="115" t="str">
        <x:v>À équilibrer</x:v>
      </x:c>
      <x:c r="J3968" s="115" t="str">
        <x:v>Non</x:v>
      </x:c>
      <x:c r="K3968" s="115" t="str">
        <x:v>Pièces décrites, murs, portes, niveaux et mobilier inspectables à l’échelle. Volumes réservés, raccord au seed, butin, rencontres et services de campagne restent à terminer.</x:v>
      </x:c>
    </x:row>
    <x:row r="3969" ht="96" customHeight="1">
      <x:c r="A3969" s="115" t="str">
        <x:v>EXT-MONDE-T080-V14</x:v>
      </x:c>
      <x:c r="B3969" s="115" t="str">
        <x:v>EXT-MONDE-T080</x:v>
      </x:c>
      <x:c r="C3969" s="115" t="str">
        <x:v>Îles</x:v>
      </x:c>
      <x:c r="D3969" s="115" t="str">
        <x:v>Grande île mixte</x:v>
      </x:c>
      <x:c r="E3969" s="115" t="n">
        <x:v>14</x:v>
      </x:c>
      <x:c r="F3969" s="115" t="str">
        <x:v>Inspection physique</x:v>
      </x:c>
      <x:c r="G3969" s="115" t="str">
        <x:v>1 niveaux ; 32 pièces ; 248 segments de mur ; 0 transitions. Inspection physique ; architecture complète encore ouverte.</x:v>
      </x:c>
      <x:c r="H3969" s="115" t="str">
        <x:v>L 870 ; l 908 ; hauteur 8 m ; choix de composition auteur ; dimensions réelles à documenter</x:v>
      </x:c>
      <x:c r="I3969" s="115" t="str">
        <x:v>À équilibrer</x:v>
      </x:c>
      <x:c r="J3969" s="115" t="str">
        <x:v>Non</x:v>
      </x:c>
      <x:c r="K3969" s="115" t="str">
        <x:v>Pièces décrites, murs, portes, niveaux et mobilier inspectables à l’échelle. Volumes réservés, raccord au seed, butin, rencontres et services de campagne restent à terminer.</x:v>
      </x:c>
    </x:row>
    <x:row r="3970" ht="96" customHeight="1">
      <x:c r="A3970" s="115" t="str">
        <x:v>EXT-MONDE-T080-V15</x:v>
      </x:c>
      <x:c r="B3970" s="115" t="str">
        <x:v>EXT-MONDE-T080</x:v>
      </x:c>
      <x:c r="C3970" s="115" t="str">
        <x:v>Îles</x:v>
      </x:c>
      <x:c r="D3970" s="115" t="str">
        <x:v>Grande île mixte</x:v>
      </x:c>
      <x:c r="E3970" s="115" t="n">
        <x:v>15</x:v>
      </x:c>
      <x:c r="F3970" s="115" t="str">
        <x:v>Inspection physique</x:v>
      </x:c>
      <x:c r="G3970" s="115" t="str">
        <x:v>1 niveaux ; 32 pièces ; 248 segments de mur ; 0 transitions. Inspection physique ; architecture complète encore ouverte.</x:v>
      </x:c>
      <x:c r="H3970" s="115" t="str">
        <x:v>L 870 ; l 908 ; hauteur 8 m ; choix de composition auteur ; dimensions réelles à documenter</x:v>
      </x:c>
      <x:c r="I3970" s="115" t="str">
        <x:v>À équilibrer</x:v>
      </x:c>
      <x:c r="J3970" s="115" t="str">
        <x:v>Non</x:v>
      </x:c>
      <x:c r="K3970" s="115" t="str">
        <x:v>Pièces décrites, murs, portes, niveaux et mobilier inspectables à l’échelle. Volumes réservés, raccord au seed, butin, rencontres et services de campagne restent à terminer.</x:v>
      </x:c>
    </x:row>
    <x:row r="3971" ht="96" customHeight="1">
      <x:c r="A3971" s="115" t="str">
        <x:v>EXT-MONDE-T080-V16</x:v>
      </x:c>
      <x:c r="B3971" s="115" t="str">
        <x:v>EXT-MONDE-T080</x:v>
      </x:c>
      <x:c r="C3971" s="115" t="str">
        <x:v>Îles</x:v>
      </x:c>
      <x:c r="D3971" s="115" t="str">
        <x:v>Grande île mixte</x:v>
      </x:c>
      <x:c r="E3971" s="115" t="n">
        <x:v>16</x:v>
      </x:c>
      <x:c r="F3971" s="115" t="str">
        <x:v>Inspection physique</x:v>
      </x:c>
      <x:c r="G3971" s="115" t="str">
        <x:v>1 niveaux ; 32 pièces ; 248 segments de mur ; 0 transitions. Inspection physique ; architecture complète encore ouverte.</x:v>
      </x:c>
      <x:c r="H3971" s="115" t="str">
        <x:v>L 870 ; l 908 ; hauteur 8 m ; choix de composition auteur ; dimensions réelles à documenter</x:v>
      </x:c>
      <x:c r="I3971" s="115" t="str">
        <x:v>À équilibrer</x:v>
      </x:c>
      <x:c r="J3971" s="115" t="str">
        <x:v>Non</x:v>
      </x:c>
      <x:c r="K3971" s="115" t="str">
        <x:v>Pièces décrites, murs, portes, niveaux et mobilier inspectables à l’échelle. Volumes réservés, raccord au seed, butin, rencontres et services de campagne restent à terminer.</x:v>
      </x:c>
    </x:row>
    <x:row r="3972" ht="96" customHeight="1">
      <x:c r="A3972" s="115" t="str">
        <x:v>EXT-MONDE-T080-V17</x:v>
      </x:c>
      <x:c r="B3972" s="115" t="str">
        <x:v>EXT-MONDE-T080</x:v>
      </x:c>
      <x:c r="C3972" s="115" t="str">
        <x:v>Îles</x:v>
      </x:c>
      <x:c r="D3972" s="115" t="str">
        <x:v>Grande île mixte</x:v>
      </x:c>
      <x:c r="E3972" s="115" t="n">
        <x:v>17</x:v>
      </x:c>
      <x:c r="F3972" s="115" t="str">
        <x:v>Inspection physique</x:v>
      </x:c>
      <x:c r="G3972" s="115" t="str">
        <x:v>1 niveaux ; 32 pièces ; 248 segments de mur ; 0 transitions. Inspection physique ; architecture complète encore ouverte.</x:v>
      </x:c>
      <x:c r="H3972" s="115" t="str">
        <x:v>L 870 ; l 908 ; hauteur 8 m ; choix de composition auteur ; dimensions réelles à documenter</x:v>
      </x:c>
      <x:c r="I3972" s="115" t="str">
        <x:v>À équilibrer</x:v>
      </x:c>
      <x:c r="J3972" s="115" t="str">
        <x:v>Non</x:v>
      </x:c>
      <x:c r="K3972" s="115" t="str">
        <x:v>Pièces décrites, murs, portes, niveaux et mobilier inspectables à l’échelle. Volumes réservés, raccord au seed, butin, rencontres et services de campagne restent à terminer.</x:v>
      </x:c>
    </x:row>
    <x:row r="3973" ht="96" customHeight="1">
      <x:c r="A3973" s="115" t="str">
        <x:v>EXT-MONDE-T080-V18</x:v>
      </x:c>
      <x:c r="B3973" s="115" t="str">
        <x:v>EXT-MONDE-T080</x:v>
      </x:c>
      <x:c r="C3973" s="115" t="str">
        <x:v>Îles</x:v>
      </x:c>
      <x:c r="D3973" s="115" t="str">
        <x:v>Grande île mixte</x:v>
      </x:c>
      <x:c r="E3973" s="115" t="n">
        <x:v>18</x:v>
      </x:c>
      <x:c r="F3973" s="115" t="str">
        <x:v>Inspection physique</x:v>
      </x:c>
      <x:c r="G3973" s="115" t="str">
        <x:v>1 niveaux ; 32 pièces ; 248 segments de mur ; 0 transitions. Inspection physique ; architecture complète encore ouverte.</x:v>
      </x:c>
      <x:c r="H3973" s="115" t="str">
        <x:v>L 870 ; l 908 ; hauteur 8 m ; choix de composition auteur ; dimensions réelles à documenter</x:v>
      </x:c>
      <x:c r="I3973" s="115" t="str">
        <x:v>À équilibrer</x:v>
      </x:c>
      <x:c r="J3973" s="115" t="str">
        <x:v>Non</x:v>
      </x:c>
      <x:c r="K3973" s="115" t="str">
        <x:v>Pièces décrites, murs, portes, niveaux et mobilier inspectables à l’échelle. Volumes réservés, raccord au seed, butin, rencontres et services de campagne restent à terminer.</x:v>
      </x:c>
    </x:row>
    <x:row r="3974" ht="96" customHeight="1">
      <x:c r="A3974" s="115" t="str">
        <x:v>EXT-MONDE-T080-V19</x:v>
      </x:c>
      <x:c r="B3974" s="115" t="str">
        <x:v>EXT-MONDE-T080</x:v>
      </x:c>
      <x:c r="C3974" s="115" t="str">
        <x:v>Îles</x:v>
      </x:c>
      <x:c r="D3974" s="115" t="str">
        <x:v>Grande île mixte</x:v>
      </x:c>
      <x:c r="E3974" s="115" t="n">
        <x:v>19</x:v>
      </x:c>
      <x:c r="F3974" s="115" t="str">
        <x:v>Inspection physique</x:v>
      </x:c>
      <x:c r="G3974" s="115" t="str">
        <x:v>1 niveaux ; 32 pièces ; 248 segments de mur ; 0 transitions. Inspection physique ; architecture complète encore ouverte.</x:v>
      </x:c>
      <x:c r="H3974" s="115" t="str">
        <x:v>L 870 ; l 908 ; hauteur 8 m ; choix de composition auteur ; dimensions réelles à documenter</x:v>
      </x:c>
      <x:c r="I3974" s="115" t="str">
        <x:v>À équilibrer</x:v>
      </x:c>
      <x:c r="J3974" s="115" t="str">
        <x:v>Non</x:v>
      </x:c>
      <x:c r="K3974" s="115" t="str">
        <x:v>Pièces décrites, murs, portes, niveaux et mobilier inspectables à l’échelle. Volumes réservés, raccord au seed, butin, rencontres et services de campagne restent à terminer.</x:v>
      </x:c>
    </x:row>
    <x:row r="3975" ht="96" customHeight="1">
      <x:c r="A3975" s="115" t="str">
        <x:v>EXT-MONDE-T080-V20</x:v>
      </x:c>
      <x:c r="B3975" s="115" t="str">
        <x:v>EXT-MONDE-T080</x:v>
      </x:c>
      <x:c r="C3975" s="115" t="str">
        <x:v>Îles</x:v>
      </x:c>
      <x:c r="D3975" s="115" t="str">
        <x:v>Grande île mixte</x:v>
      </x:c>
      <x:c r="E3975" s="115" t="n">
        <x:v>20</x:v>
      </x:c>
      <x:c r="F3975" s="115" t="str">
        <x:v>Inspection physique</x:v>
      </x:c>
      <x:c r="G3975" s="115" t="str">
        <x:v>1 niveaux ; 32 pièces ; 248 segments de mur ; 0 transitions. Inspection physique ; architecture complète encore ouverte.</x:v>
      </x:c>
      <x:c r="H3975" s="115" t="str">
        <x:v>L 870 ; l 908 ; hauteur 8 m ; choix de composition auteur ; dimensions réelles à documenter</x:v>
      </x:c>
      <x:c r="I3975" s="115" t="str">
        <x:v>À équilibrer</x:v>
      </x:c>
      <x:c r="J3975" s="115" t="str">
        <x:v>Non</x:v>
      </x:c>
      <x:c r="K3975" s="115" t="str">
        <x:v>Pièces décrites, murs, portes, niveaux et mobilier inspectables à l’échelle. Volumes réservés, raccord au seed, butin, rencontres et services de campagne restent à terminer.</x:v>
      </x:c>
    </x:row>
    <x:row r="3976" ht="96" customHeight="1">
      <x:c r="A3976" s="115" t="str">
        <x:v>EXT-MONDE-T080-V21</x:v>
      </x:c>
      <x:c r="B3976" s="115" t="str">
        <x:v>EXT-MONDE-T080</x:v>
      </x:c>
      <x:c r="C3976" s="115" t="str">
        <x:v>Îles</x:v>
      </x:c>
      <x:c r="D3976" s="115" t="str">
        <x:v>Grande île mixte</x:v>
      </x:c>
      <x:c r="E3976" s="115" t="n">
        <x:v>21</x:v>
      </x:c>
      <x:c r="F3976" s="115" t="str">
        <x:v>Inspection physique</x:v>
      </x:c>
      <x:c r="G3976" s="115" t="str">
        <x:v>1 niveaux ; 32 pièces ; 248 segments de mur ; 0 transitions. Inspection physique ; architecture complète encore ouverte.</x:v>
      </x:c>
      <x:c r="H3976" s="115" t="str">
        <x:v>L 884 ; l 920 ; hauteur 8 m ; choix de composition auteur ; dimensions réelles à documenter</x:v>
      </x:c>
      <x:c r="I3976" s="115" t="str">
        <x:v>À équilibrer</x:v>
      </x:c>
      <x:c r="J3976" s="115" t="str">
        <x:v>Non</x:v>
      </x:c>
      <x:c r="K3976" s="115" t="str">
        <x:v>Pièces décrites, murs, portes, niveaux et mobilier inspectables à l’échelle. Volumes réservés, raccord au seed, butin, rencontres et services de campagne restent à terminer.</x:v>
      </x:c>
    </x:row>
    <x:row r="3977" ht="96" customHeight="1">
      <x:c r="A3977" s="115" t="str">
        <x:v>EXT-MONDE-T080-V22</x:v>
      </x:c>
      <x:c r="B3977" s="115" t="str">
        <x:v>EXT-MONDE-T080</x:v>
      </x:c>
      <x:c r="C3977" s="115" t="str">
        <x:v>Îles</x:v>
      </x:c>
      <x:c r="D3977" s="115" t="str">
        <x:v>Grande île mixte</x:v>
      </x:c>
      <x:c r="E3977" s="115" t="n">
        <x:v>22</x:v>
      </x:c>
      <x:c r="F3977" s="115" t="str">
        <x:v>Inspection physique</x:v>
      </x:c>
      <x:c r="G3977" s="115" t="str">
        <x:v>1 niveaux ; 32 pièces ; 248 segments de mur ; 0 transitions. Inspection physique ; architecture complète encore ouverte.</x:v>
      </x:c>
      <x:c r="H3977" s="115" t="str">
        <x:v>L 884 ; l 920 ; hauteur 8 m ; choix de composition auteur ; dimensions réelles à documenter</x:v>
      </x:c>
      <x:c r="I3977" s="115" t="str">
        <x:v>À équilibrer</x:v>
      </x:c>
      <x:c r="J3977" s="115" t="str">
        <x:v>Non</x:v>
      </x:c>
      <x:c r="K3977" s="115" t="str">
        <x:v>Pièces décrites, murs, portes, niveaux et mobilier inspectables à l’échelle. Volumes réservés, raccord au seed, butin, rencontres et services de campagne restent à terminer.</x:v>
      </x:c>
    </x:row>
    <x:row r="3978" ht="96" customHeight="1">
      <x:c r="A3978" s="115" t="str">
        <x:v>EXT-MONDE-T080-V23</x:v>
      </x:c>
      <x:c r="B3978" s="115" t="str">
        <x:v>EXT-MONDE-T080</x:v>
      </x:c>
      <x:c r="C3978" s="115" t="str">
        <x:v>Îles</x:v>
      </x:c>
      <x:c r="D3978" s="115" t="str">
        <x:v>Grande île mixte</x:v>
      </x:c>
      <x:c r="E3978" s="115" t="n">
        <x:v>23</x:v>
      </x:c>
      <x:c r="F3978" s="115" t="str">
        <x:v>Inspection physique</x:v>
      </x:c>
      <x:c r="G3978" s="115" t="str">
        <x:v>1 niveaux ; 32 pièces ; 248 segments de mur ; 0 transitions. Inspection physique ; architecture complète encore ouverte.</x:v>
      </x:c>
      <x:c r="H3978" s="115" t="str">
        <x:v>L 884 ; l 920 ; hauteur 8 m ; choix de composition auteur ; dimensions réelles à documenter</x:v>
      </x:c>
      <x:c r="I3978" s="115" t="str">
        <x:v>À équilibrer</x:v>
      </x:c>
      <x:c r="J3978" s="115" t="str">
        <x:v>Non</x:v>
      </x:c>
      <x:c r="K3978" s="115" t="str">
        <x:v>Pièces décrites, murs, portes, niveaux et mobilier inspectables à l’échelle. Volumes réservés, raccord au seed, butin, rencontres et services de campagne restent à terminer.</x:v>
      </x:c>
    </x:row>
    <x:row r="3979" ht="96" customHeight="1">
      <x:c r="A3979" s="115" t="str">
        <x:v>EXT-MONDE-T080-V24</x:v>
      </x:c>
      <x:c r="B3979" s="115" t="str">
        <x:v>EXT-MONDE-T080</x:v>
      </x:c>
      <x:c r="C3979" s="115" t="str">
        <x:v>Îles</x:v>
      </x:c>
      <x:c r="D3979" s="115" t="str">
        <x:v>Grande île mixte</x:v>
      </x:c>
      <x:c r="E3979" s="115" t="n">
        <x:v>24</x:v>
      </x:c>
      <x:c r="F3979" s="115" t="str">
        <x:v>Inspection physique</x:v>
      </x:c>
      <x:c r="G3979" s="115" t="str">
        <x:v>1 niveaux ; 32 pièces ; 248 segments de mur ; 0 transitions. Inspection physique ; architecture complète encore ouverte.</x:v>
      </x:c>
      <x:c r="H3979" s="115" t="str">
        <x:v>L 884 ; l 920 ; hauteur 8 m ; choix de composition auteur ; dimensions réelles à documenter</x:v>
      </x:c>
      <x:c r="I3979" s="115" t="str">
        <x:v>À équilibrer</x:v>
      </x:c>
      <x:c r="J3979" s="115" t="str">
        <x:v>Non</x:v>
      </x:c>
      <x:c r="K3979" s="115" t="str">
        <x:v>Pièces décrites, murs, portes, niveaux et mobilier inspectables à l’échelle. Volumes réservés, raccord au seed, butin, rencontres et services de campagne restent à terminer.</x:v>
      </x:c>
    </x:row>
    <x:row r="3980" ht="96" customHeight="1">
      <x:c r="A3980" s="115" t="str">
        <x:v>EXT-MONDE-T080-V25</x:v>
      </x:c>
      <x:c r="B3980" s="115" t="str">
        <x:v>EXT-MONDE-T080</x:v>
      </x:c>
      <x:c r="C3980" s="115" t="str">
        <x:v>Îles</x:v>
      </x:c>
      <x:c r="D3980" s="115" t="str">
        <x:v>Grande île mixte</x:v>
      </x:c>
      <x:c r="E3980" s="115" t="n">
        <x:v>25</x:v>
      </x:c>
      <x:c r="F3980" s="115" t="str">
        <x:v>Inspection physique</x:v>
      </x:c>
      <x:c r="G3980" s="115" t="str">
        <x:v>1 niveaux ; 32 pièces ; 248 segments de mur ; 0 transitions. Inspection physique ; architecture complète encore ouverte.</x:v>
      </x:c>
      <x:c r="H3980" s="115" t="str">
        <x:v>L 884 ; l 920 ; hauteur 8 m ; choix de composition auteur ; dimensions réelles à documenter</x:v>
      </x:c>
      <x:c r="I3980" s="115" t="str">
        <x:v>À équilibrer</x:v>
      </x:c>
      <x:c r="J3980" s="115" t="str">
        <x:v>Non</x:v>
      </x:c>
      <x:c r="K3980" s="115" t="str">
        <x:v>Pièces décrites, murs, portes, niveaux et mobilier inspectables à l’échelle. Volumes réservés, raccord au seed, butin, rencontres et services de campagne restent à terminer.</x:v>
      </x:c>
    </x:row>
    <x:row r="3981" ht="96" customHeight="1">
      <x:c r="A3981" s="115" t="str">
        <x:v>EXT-MONDE-T080-V26</x:v>
      </x:c>
      <x:c r="B3981" s="115" t="str">
        <x:v>EXT-MONDE-T080</x:v>
      </x:c>
      <x:c r="C3981" s="115" t="str">
        <x:v>Îles</x:v>
      </x:c>
      <x:c r="D3981" s="115" t="str">
        <x:v>Grande île mixte</x:v>
      </x:c>
      <x:c r="E3981" s="115" t="n">
        <x:v>26</x:v>
      </x:c>
      <x:c r="F3981" s="115" t="str">
        <x:v>Inspection physique</x:v>
      </x:c>
      <x:c r="G3981" s="115" t="str">
        <x:v>1 niveaux ; 32 pièces ; 248 segments de mur ; 0 transitions. Inspection physique ; architecture complète encore ouverte.</x:v>
      </x:c>
      <x:c r="H3981" s="115" t="str">
        <x:v>L 884 ; l 920 ; hauteur 8 m ; choix de composition auteur ; dimensions réelles à documenter</x:v>
      </x:c>
      <x:c r="I3981" s="115" t="str">
        <x:v>À équilibrer</x:v>
      </x:c>
      <x:c r="J3981" s="115" t="str">
        <x:v>Non</x:v>
      </x:c>
      <x:c r="K3981" s="115" t="str">
        <x:v>Pièces décrites, murs, portes, niveaux et mobilier inspectables à l’échelle. Volumes réservés, raccord au seed, butin, rencontres et services de campagne restent à terminer.</x:v>
      </x:c>
    </x:row>
    <x:row r="3982" ht="96" customHeight="1">
      <x:c r="A3982" s="115" t="str">
        <x:v>EXT-MONDE-T080-V27</x:v>
      </x:c>
      <x:c r="B3982" s="115" t="str">
        <x:v>EXT-MONDE-T080</x:v>
      </x:c>
      <x:c r="C3982" s="115" t="str">
        <x:v>Îles</x:v>
      </x:c>
      <x:c r="D3982" s="115" t="str">
        <x:v>Grande île mixte</x:v>
      </x:c>
      <x:c r="E3982" s="115" t="n">
        <x:v>27</x:v>
      </x:c>
      <x:c r="F3982" s="115" t="str">
        <x:v>Inspection physique</x:v>
      </x:c>
      <x:c r="G3982" s="115" t="str">
        <x:v>1 niveaux ; 32 pièces ; 248 segments de mur ; 0 transitions. Inspection physique ; architecture complète encore ouverte.</x:v>
      </x:c>
      <x:c r="H3982" s="115" t="str">
        <x:v>L 884 ; l 920 ; hauteur 8 m ; choix de composition auteur ; dimensions réelles à documenter</x:v>
      </x:c>
      <x:c r="I3982" s="115" t="str">
        <x:v>À équilibrer</x:v>
      </x:c>
      <x:c r="J3982" s="115" t="str">
        <x:v>Non</x:v>
      </x:c>
      <x:c r="K3982" s="115" t="str">
        <x:v>Pièces décrites, murs, portes, niveaux et mobilier inspectables à l’échelle. Volumes réservés, raccord au seed, butin, rencontres et services de campagne restent à terminer.</x:v>
      </x:c>
    </x:row>
    <x:row r="3983" ht="96" customHeight="1">
      <x:c r="A3983" s="115" t="str">
        <x:v>EXT-MONDE-T080-V28</x:v>
      </x:c>
      <x:c r="B3983" s="115" t="str">
        <x:v>EXT-MONDE-T080</x:v>
      </x:c>
      <x:c r="C3983" s="115" t="str">
        <x:v>Îles</x:v>
      </x:c>
      <x:c r="D3983" s="115" t="str">
        <x:v>Grande île mixte</x:v>
      </x:c>
      <x:c r="E3983" s="115" t="n">
        <x:v>28</x:v>
      </x:c>
      <x:c r="F3983" s="115" t="str">
        <x:v>Inspection physique</x:v>
      </x:c>
      <x:c r="G3983" s="115" t="str">
        <x:v>1 niveaux ; 32 pièces ; 248 segments de mur ; 0 transitions. Inspection physique ; architecture complète encore ouverte.</x:v>
      </x:c>
      <x:c r="H3983" s="115" t="str">
        <x:v>L 884 ; l 920 ; hauteur 8 m ; choix de composition auteur ; dimensions réelles à documenter</x:v>
      </x:c>
      <x:c r="I3983" s="115" t="str">
        <x:v>À équilibrer</x:v>
      </x:c>
      <x:c r="J3983" s="115" t="str">
        <x:v>Non</x:v>
      </x:c>
      <x:c r="K3983" s="115" t="str">
        <x:v>Pièces décrites, murs, portes, niveaux et mobilier inspectables à l’échelle. Volumes réservés, raccord au seed, butin, rencontres et services de campagne restent à terminer.</x:v>
      </x:c>
    </x:row>
    <x:row r="3984" ht="96" customHeight="1">
      <x:c r="A3984" s="115" t="str">
        <x:v>EXT-MONDE-T080-V29</x:v>
      </x:c>
      <x:c r="B3984" s="115" t="str">
        <x:v>EXT-MONDE-T080</x:v>
      </x:c>
      <x:c r="C3984" s="115" t="str">
        <x:v>Îles</x:v>
      </x:c>
      <x:c r="D3984" s="115" t="str">
        <x:v>Grande île mixte</x:v>
      </x:c>
      <x:c r="E3984" s="115" t="n">
        <x:v>29</x:v>
      </x:c>
      <x:c r="F3984" s="115" t="str">
        <x:v>Inspection physique</x:v>
      </x:c>
      <x:c r="G3984" s="115" t="str">
        <x:v>1 niveaux ; 32 pièces ; 248 segments de mur ; 0 transitions. Inspection physique ; architecture complète encore ouverte.</x:v>
      </x:c>
      <x:c r="H3984" s="115" t="str">
        <x:v>L 884 ; l 920 ; hauteur 8 m ; choix de composition auteur ; dimensions réelles à documenter</x:v>
      </x:c>
      <x:c r="I3984" s="115" t="str">
        <x:v>À équilibrer</x:v>
      </x:c>
      <x:c r="J3984" s="115" t="str">
        <x:v>Non</x:v>
      </x:c>
      <x:c r="K3984" s="115" t="str">
        <x:v>Pièces décrites, murs, portes, niveaux et mobilier inspectables à l’échelle. Volumes réservés, raccord au seed, butin, rencontres et services de campagne restent à terminer.</x:v>
      </x:c>
    </x:row>
    <x:row r="3985" ht="96" customHeight="1">
      <x:c r="A3985" s="115" t="str">
        <x:v>EXT-MONDE-T080-V30</x:v>
      </x:c>
      <x:c r="B3985" s="115" t="str">
        <x:v>EXT-MONDE-T080</x:v>
      </x:c>
      <x:c r="C3985" s="115" t="str">
        <x:v>Îles</x:v>
      </x:c>
      <x:c r="D3985" s="115" t="str">
        <x:v>Grande île mixte</x:v>
      </x:c>
      <x:c r="E3985" s="115" t="n">
        <x:v>30</x:v>
      </x:c>
      <x:c r="F3985" s="115" t="str">
        <x:v>Inspection physique</x:v>
      </x:c>
      <x:c r="G3985" s="115" t="str">
        <x:v>1 niveaux ; 32 pièces ; 248 segments de mur ; 0 transitions. Inspection physique ; architecture complète encore ouverte.</x:v>
      </x:c>
      <x:c r="H3985" s="115" t="str">
        <x:v>L 884 ; l 920 ; hauteur 8 m ; choix de composition auteur ; dimensions réelles à documenter</x:v>
      </x:c>
      <x:c r="I3985" s="115" t="str">
        <x:v>À équilibrer</x:v>
      </x:c>
      <x:c r="J3985" s="115" t="str">
        <x:v>Non</x:v>
      </x:c>
      <x:c r="K3985" s="115" t="str">
        <x:v>Pièces décrites, murs, portes, niveaux et mobilier inspectables à l’échelle. Volumes réservés, raccord au seed, butin, rencontres et services de campagne restent à terminer.</x:v>
      </x:c>
    </x:row>
    <x:row r="3986" ht="96" customHeight="1">
      <x:c r="A3986" s="115" t="str">
        <x:v>EXT-MONDE-T080-V31</x:v>
      </x:c>
      <x:c r="B3986" s="115" t="str">
        <x:v>EXT-MONDE-T080</x:v>
      </x:c>
      <x:c r="C3986" s="115" t="str">
        <x:v>Îles</x:v>
      </x:c>
      <x:c r="D3986" s="115" t="str">
        <x:v>Grande île mixte</x:v>
      </x:c>
      <x:c r="E3986" s="115" t="n">
        <x:v>31</x:v>
      </x:c>
      <x:c r="F3986" s="115" t="str">
        <x:v>Inspection physique</x:v>
      </x:c>
      <x:c r="G3986" s="115" t="str">
        <x:v>1 niveaux ; 32 pièces ; 248 segments de mur ; 0 transitions. Inspection physique ; architecture complète encore ouverte.</x:v>
      </x:c>
      <x:c r="H3986" s="115" t="str">
        <x:v>L 898 ; l 932 ; hauteur 8 m ; choix de composition auteur ; dimensions réelles à documenter</x:v>
      </x:c>
      <x:c r="I3986" s="115" t="str">
        <x:v>À équilibrer</x:v>
      </x:c>
      <x:c r="J3986" s="115" t="str">
        <x:v>Non</x:v>
      </x:c>
      <x:c r="K3986" s="115" t="str">
        <x:v>Pièces décrites, murs, portes, niveaux et mobilier inspectables à l’échelle. Volumes réservés, raccord au seed, butin, rencontres et services de campagne restent à terminer.</x:v>
      </x:c>
    </x:row>
    <x:row r="3987" ht="96" customHeight="1">
      <x:c r="A3987" s="115" t="str">
        <x:v>EXT-MONDE-T080-V32</x:v>
      </x:c>
      <x:c r="B3987" s="115" t="str">
        <x:v>EXT-MONDE-T080</x:v>
      </x:c>
      <x:c r="C3987" s="115" t="str">
        <x:v>Îles</x:v>
      </x:c>
      <x:c r="D3987" s="115" t="str">
        <x:v>Grande île mixte</x:v>
      </x:c>
      <x:c r="E3987" s="115" t="n">
        <x:v>32</x:v>
      </x:c>
      <x:c r="F3987" s="115" t="str">
        <x:v>Inspection physique</x:v>
      </x:c>
      <x:c r="G3987" s="115" t="str">
        <x:v>1 niveaux ; 32 pièces ; 248 segments de mur ; 0 transitions. Inspection physique ; architecture complète encore ouverte.</x:v>
      </x:c>
      <x:c r="H3987" s="115" t="str">
        <x:v>L 898 ; l 932 ; hauteur 8 m ; choix de composition auteur ; dimensions réelles à documenter</x:v>
      </x:c>
      <x:c r="I3987" s="115" t="str">
        <x:v>À équilibrer</x:v>
      </x:c>
      <x:c r="J3987" s="115" t="str">
        <x:v>Non</x:v>
      </x:c>
      <x:c r="K3987" s="115" t="str">
        <x:v>Pièces décrites, murs, portes, niveaux et mobilier inspectables à l’échelle. Volumes réservés, raccord au seed, butin, rencontres et services de campagne restent à terminer.</x:v>
      </x:c>
    </x:row>
    <x:row r="3988" ht="96" customHeight="1">
      <x:c r="A3988" s="115" t="str">
        <x:v>EXT-MONDE-T080-V33</x:v>
      </x:c>
      <x:c r="B3988" s="115" t="str">
        <x:v>EXT-MONDE-T080</x:v>
      </x:c>
      <x:c r="C3988" s="115" t="str">
        <x:v>Îles</x:v>
      </x:c>
      <x:c r="D3988" s="115" t="str">
        <x:v>Grande île mixte</x:v>
      </x:c>
      <x:c r="E3988" s="115" t="n">
        <x:v>33</x:v>
      </x:c>
      <x:c r="F3988" s="115" t="str">
        <x:v>Inspection physique</x:v>
      </x:c>
      <x:c r="G3988" s="115" t="str">
        <x:v>1 niveaux ; 32 pièces ; 248 segments de mur ; 0 transitions. Inspection physique ; architecture complète encore ouverte.</x:v>
      </x:c>
      <x:c r="H3988" s="115" t="str">
        <x:v>L 898 ; l 932 ; hauteur 8 m ; choix de composition auteur ; dimensions réelles à documenter</x:v>
      </x:c>
      <x:c r="I3988" s="115" t="str">
        <x:v>À équilibrer</x:v>
      </x:c>
      <x:c r="J3988" s="115" t="str">
        <x:v>Non</x:v>
      </x:c>
      <x:c r="K3988" s="115" t="str">
        <x:v>Pièces décrites, murs, portes, niveaux et mobilier inspectables à l’échelle. Volumes réservés, raccord au seed, butin, rencontres et services de campagne restent à terminer.</x:v>
      </x:c>
    </x:row>
    <x:row r="3989" ht="96" customHeight="1">
      <x:c r="A3989" s="115" t="str">
        <x:v>EXT-MONDE-T080-V34</x:v>
      </x:c>
      <x:c r="B3989" s="115" t="str">
        <x:v>EXT-MONDE-T080</x:v>
      </x:c>
      <x:c r="C3989" s="115" t="str">
        <x:v>Îles</x:v>
      </x:c>
      <x:c r="D3989" s="115" t="str">
        <x:v>Grande île mixte</x:v>
      </x:c>
      <x:c r="E3989" s="115" t="n">
        <x:v>34</x:v>
      </x:c>
      <x:c r="F3989" s="115" t="str">
        <x:v>Inspection physique</x:v>
      </x:c>
      <x:c r="G3989" s="115" t="str">
        <x:v>1 niveaux ; 32 pièces ; 248 segments de mur ; 0 transitions. Inspection physique ; architecture complète encore ouverte.</x:v>
      </x:c>
      <x:c r="H3989" s="115" t="str">
        <x:v>L 898 ; l 932 ; hauteur 8 m ; choix de composition auteur ; dimensions réelles à documenter</x:v>
      </x:c>
      <x:c r="I3989" s="115" t="str">
        <x:v>À équilibrer</x:v>
      </x:c>
      <x:c r="J3989" s="115" t="str">
        <x:v>Non</x:v>
      </x:c>
      <x:c r="K3989" s="115" t="str">
        <x:v>Pièces décrites, murs, portes, niveaux et mobilier inspectables à l’échelle. Volumes réservés, raccord au seed, butin, rencontres et services de campagne restent à terminer.</x:v>
      </x:c>
    </x:row>
    <x:row r="3990" ht="96" customHeight="1">
      <x:c r="A3990" s="115" t="str">
        <x:v>EXT-MONDE-T080-V35</x:v>
      </x:c>
      <x:c r="B3990" s="115" t="str">
        <x:v>EXT-MONDE-T080</x:v>
      </x:c>
      <x:c r="C3990" s="115" t="str">
        <x:v>Îles</x:v>
      </x:c>
      <x:c r="D3990" s="115" t="str">
        <x:v>Grande île mixte</x:v>
      </x:c>
      <x:c r="E3990" s="115" t="n">
        <x:v>35</x:v>
      </x:c>
      <x:c r="F3990" s="115" t="str">
        <x:v>Inspection physique</x:v>
      </x:c>
      <x:c r="G3990" s="115" t="str">
        <x:v>1 niveaux ; 32 pièces ; 248 segments de mur ; 0 transitions. Inspection physique ; architecture complète encore ouverte.</x:v>
      </x:c>
      <x:c r="H3990" s="115" t="str">
        <x:v>L 898 ; l 932 ; hauteur 8 m ; choix de composition auteur ; dimensions réelles à documenter</x:v>
      </x:c>
      <x:c r="I3990" s="115" t="str">
        <x:v>À équilibrer</x:v>
      </x:c>
      <x:c r="J3990" s="115" t="str">
        <x:v>Non</x:v>
      </x:c>
      <x:c r="K3990" s="115" t="str">
        <x:v>Pièces décrites, murs, portes, niveaux et mobilier inspectables à l’échelle. Volumes réservés, raccord au seed, butin, rencontres et services de campagne restent à terminer.</x:v>
      </x:c>
    </x:row>
    <x:row r="3991" ht="96" customHeight="1">
      <x:c r="A3991" s="115" t="str">
        <x:v>EXT-MONDE-T080-V36</x:v>
      </x:c>
      <x:c r="B3991" s="115" t="str">
        <x:v>EXT-MONDE-T080</x:v>
      </x:c>
      <x:c r="C3991" s="115" t="str">
        <x:v>Îles</x:v>
      </x:c>
      <x:c r="D3991" s="115" t="str">
        <x:v>Grande île mixte</x:v>
      </x:c>
      <x:c r="E3991" s="115" t="n">
        <x:v>36</x:v>
      </x:c>
      <x:c r="F3991" s="115" t="str">
        <x:v>Inspection physique</x:v>
      </x:c>
      <x:c r="G3991" s="115" t="str">
        <x:v>1 niveaux ; 32 pièces ; 248 segments de mur ; 0 transitions. Inspection physique ; architecture complète encore ouverte.</x:v>
      </x:c>
      <x:c r="H3991" s="115" t="str">
        <x:v>L 898 ; l 932 ; hauteur 8 m ; choix de composition auteur ; dimensions réelles à documenter</x:v>
      </x:c>
      <x:c r="I3991" s="115" t="str">
        <x:v>À équilibrer</x:v>
      </x:c>
      <x:c r="J3991" s="115" t="str">
        <x:v>Non</x:v>
      </x:c>
      <x:c r="K3991" s="115" t="str">
        <x:v>Pièces décrites, murs, portes, niveaux et mobilier inspectables à l’échelle. Volumes réservés, raccord au seed, butin, rencontres et services de campagne restent à terminer.</x:v>
      </x:c>
    </x:row>
    <x:row r="3992" ht="96" customHeight="1">
      <x:c r="A3992" s="115" t="str">
        <x:v>EXT-MONDE-T080-V37</x:v>
      </x:c>
      <x:c r="B3992" s="115" t="str">
        <x:v>EXT-MONDE-T080</x:v>
      </x:c>
      <x:c r="C3992" s="115" t="str">
        <x:v>Îles</x:v>
      </x:c>
      <x:c r="D3992" s="115" t="str">
        <x:v>Grande île mixte</x:v>
      </x:c>
      <x:c r="E3992" s="115" t="n">
        <x:v>37</x:v>
      </x:c>
      <x:c r="F3992" s="115" t="str">
        <x:v>Inspection physique</x:v>
      </x:c>
      <x:c r="G3992" s="115" t="str">
        <x:v>1 niveaux ; 32 pièces ; 248 segments de mur ; 0 transitions. Inspection physique ; architecture complète encore ouverte.</x:v>
      </x:c>
      <x:c r="H3992" s="115" t="str">
        <x:v>L 898 ; l 932 ; hauteur 8 m ; choix de composition auteur ; dimensions réelles à documenter</x:v>
      </x:c>
      <x:c r="I3992" s="115" t="str">
        <x:v>À équilibrer</x:v>
      </x:c>
      <x:c r="J3992" s="115" t="str">
        <x:v>Non</x:v>
      </x:c>
      <x:c r="K3992" s="115" t="str">
        <x:v>Pièces décrites, murs, portes, niveaux et mobilier inspectables à l’échelle. Volumes réservés, raccord au seed, butin, rencontres et services de campagne restent à terminer.</x:v>
      </x:c>
    </x:row>
    <x:row r="3993" ht="96" customHeight="1">
      <x:c r="A3993" s="115" t="str">
        <x:v>EXT-MONDE-T080-V38</x:v>
      </x:c>
      <x:c r="B3993" s="115" t="str">
        <x:v>EXT-MONDE-T080</x:v>
      </x:c>
      <x:c r="C3993" s="115" t="str">
        <x:v>Îles</x:v>
      </x:c>
      <x:c r="D3993" s="115" t="str">
        <x:v>Grande île mixte</x:v>
      </x:c>
      <x:c r="E3993" s="115" t="n">
        <x:v>38</x:v>
      </x:c>
      <x:c r="F3993" s="115" t="str">
        <x:v>Inspection physique</x:v>
      </x:c>
      <x:c r="G3993" s="115" t="str">
        <x:v>1 niveaux ; 32 pièces ; 248 segments de mur ; 0 transitions. Inspection physique ; architecture complète encore ouverte.</x:v>
      </x:c>
      <x:c r="H3993" s="115" t="str">
        <x:v>L 898 ; l 932 ; hauteur 8 m ; choix de composition auteur ; dimensions réelles à documenter</x:v>
      </x:c>
      <x:c r="I3993" s="115" t="str">
        <x:v>À équilibrer</x:v>
      </x:c>
      <x:c r="J3993" s="115" t="str">
        <x:v>Non</x:v>
      </x:c>
      <x:c r="K3993" s="115" t="str">
        <x:v>Pièces décrites, murs, portes, niveaux et mobilier inspectables à l’échelle. Volumes réservés, raccord au seed, butin, rencontres et services de campagne restent à terminer.</x:v>
      </x:c>
    </x:row>
    <x:row r="3994" ht="96" customHeight="1">
      <x:c r="A3994" s="115" t="str">
        <x:v>EXT-MONDE-T080-V39</x:v>
      </x:c>
      <x:c r="B3994" s="115" t="str">
        <x:v>EXT-MONDE-T080</x:v>
      </x:c>
      <x:c r="C3994" s="115" t="str">
        <x:v>Îles</x:v>
      </x:c>
      <x:c r="D3994" s="115" t="str">
        <x:v>Grande île mixte</x:v>
      </x:c>
      <x:c r="E3994" s="115" t="n">
        <x:v>39</x:v>
      </x:c>
      <x:c r="F3994" s="115" t="str">
        <x:v>Inspection physique</x:v>
      </x:c>
      <x:c r="G3994" s="115" t="str">
        <x:v>1 niveaux ; 32 pièces ; 248 segments de mur ; 0 transitions. Inspection physique ; architecture complète encore ouverte.</x:v>
      </x:c>
      <x:c r="H3994" s="115" t="str">
        <x:v>L 898 ; l 932 ; hauteur 8 m ; choix de composition auteur ; dimensions réelles à documenter</x:v>
      </x:c>
      <x:c r="I3994" s="115" t="str">
        <x:v>À équilibrer</x:v>
      </x:c>
      <x:c r="J3994" s="115" t="str">
        <x:v>Non</x:v>
      </x:c>
      <x:c r="K3994" s="115" t="str">
        <x:v>Pièces décrites, murs, portes, niveaux et mobilier inspectables à l’échelle. Volumes réservés, raccord au seed, butin, rencontres et services de campagne restent à terminer.</x:v>
      </x:c>
    </x:row>
    <x:row r="3995" ht="96" customHeight="1">
      <x:c r="A3995" s="115" t="str">
        <x:v>EXT-MONDE-T080-V40</x:v>
      </x:c>
      <x:c r="B3995" s="115" t="str">
        <x:v>EXT-MONDE-T080</x:v>
      </x:c>
      <x:c r="C3995" s="115" t="str">
        <x:v>Îles</x:v>
      </x:c>
      <x:c r="D3995" s="115" t="str">
        <x:v>Grande île mixte</x:v>
      </x:c>
      <x:c r="E3995" s="115" t="n">
        <x:v>40</x:v>
      </x:c>
      <x:c r="F3995" s="115" t="str">
        <x:v>Inspection physique</x:v>
      </x:c>
      <x:c r="G3995" s="115" t="str">
        <x:v>1 niveaux ; 32 pièces ; 248 segments de mur ; 0 transitions. Inspection physique ; architecture complète encore ouverte.</x:v>
      </x:c>
      <x:c r="H3995" s="115" t="str">
        <x:v>L 898 ; l 932 ; hauteur 8 m ; choix de composition auteur ; dimensions réelles à documenter</x:v>
      </x:c>
      <x:c r="I3995" s="115" t="str">
        <x:v>À équilibrer</x:v>
      </x:c>
      <x:c r="J3995" s="115" t="str">
        <x:v>Non</x:v>
      </x:c>
      <x:c r="K3995" s="115" t="str">
        <x:v>Pièces décrites, murs, portes, niveaux et mobilier inspectables à l’échelle. Volumes réservés, raccord au seed, butin, rencontres et services de campagne restent à terminer.</x:v>
      </x:c>
    </x:row>
    <x:row r="3996" ht="96" customHeight="1">
      <x:c r="A3996" s="115" t="str">
        <x:v>EXT-MONDE-T080-V41</x:v>
      </x:c>
      <x:c r="B3996" s="115" t="str">
        <x:v>EXT-MONDE-T080</x:v>
      </x:c>
      <x:c r="C3996" s="115" t="str">
        <x:v>Îles</x:v>
      </x:c>
      <x:c r="D3996" s="115" t="str">
        <x:v>Grande île mixte</x:v>
      </x:c>
      <x:c r="E3996" s="115" t="n">
        <x:v>41</x:v>
      </x:c>
      <x:c r="F3996" s="115" t="str">
        <x:v>Inspection physique</x:v>
      </x:c>
      <x:c r="G3996" s="115" t="str">
        <x:v>1 niveaux ; 32 pièces ; 248 segments de mur ; 0 transitions. Inspection physique ; architecture complète encore ouverte.</x:v>
      </x:c>
      <x:c r="H3996" s="115" t="str">
        <x:v>L 912 ; l 944 ; hauteur 8 m ; choix de composition auteur ; dimensions réelles à documenter</x:v>
      </x:c>
      <x:c r="I3996" s="115" t="str">
        <x:v>À équilibrer</x:v>
      </x:c>
      <x:c r="J3996" s="115" t="str">
        <x:v>Non</x:v>
      </x:c>
      <x:c r="K3996" s="115" t="str">
        <x:v>Pièces décrites, murs, portes, niveaux et mobilier inspectables à l’échelle. Volumes réservés, raccord au seed, butin, rencontres et services de campagne restent à terminer.</x:v>
      </x:c>
    </x:row>
    <x:row r="3997" ht="96" customHeight="1">
      <x:c r="A3997" s="115" t="str">
        <x:v>EXT-MONDE-T080-V42</x:v>
      </x:c>
      <x:c r="B3997" s="115" t="str">
        <x:v>EXT-MONDE-T080</x:v>
      </x:c>
      <x:c r="C3997" s="115" t="str">
        <x:v>Îles</x:v>
      </x:c>
      <x:c r="D3997" s="115" t="str">
        <x:v>Grande île mixte</x:v>
      </x:c>
      <x:c r="E3997" s="115" t="n">
        <x:v>42</x:v>
      </x:c>
      <x:c r="F3997" s="115" t="str">
        <x:v>Inspection physique</x:v>
      </x:c>
      <x:c r="G3997" s="115" t="str">
        <x:v>1 niveaux ; 32 pièces ; 248 segments de mur ; 0 transitions. Inspection physique ; architecture complète encore ouverte.</x:v>
      </x:c>
      <x:c r="H3997" s="115" t="str">
        <x:v>L 912 ; l 944 ; hauteur 8 m ; choix de composition auteur ; dimensions réelles à documenter</x:v>
      </x:c>
      <x:c r="I3997" s="115" t="str">
        <x:v>À équilibrer</x:v>
      </x:c>
      <x:c r="J3997" s="115" t="str">
        <x:v>Non</x:v>
      </x:c>
      <x:c r="K3997" s="115" t="str">
        <x:v>Pièces décrites, murs, portes, niveaux et mobilier inspectables à l’échelle. Volumes réservés, raccord au seed, butin, rencontres et services de campagne restent à terminer.</x:v>
      </x:c>
    </x:row>
    <x:row r="3998" ht="96" customHeight="1">
      <x:c r="A3998" s="115" t="str">
        <x:v>EXT-MONDE-T080-V43</x:v>
      </x:c>
      <x:c r="B3998" s="115" t="str">
        <x:v>EXT-MONDE-T080</x:v>
      </x:c>
      <x:c r="C3998" s="115" t="str">
        <x:v>Îles</x:v>
      </x:c>
      <x:c r="D3998" s="115" t="str">
        <x:v>Grande île mixte</x:v>
      </x:c>
      <x:c r="E3998" s="115" t="n">
        <x:v>43</x:v>
      </x:c>
      <x:c r="F3998" s="115" t="str">
        <x:v>Inspection physique</x:v>
      </x:c>
      <x:c r="G3998" s="115" t="str">
        <x:v>1 niveaux ; 32 pièces ; 248 segments de mur ; 0 transitions. Inspection physique ; architecture complète encore ouverte.</x:v>
      </x:c>
      <x:c r="H3998" s="115" t="str">
        <x:v>L 912 ; l 944 ; hauteur 8 m ; choix de composition auteur ; dimensions réelles à documenter</x:v>
      </x:c>
      <x:c r="I3998" s="115" t="str">
        <x:v>À équilibrer</x:v>
      </x:c>
      <x:c r="J3998" s="115" t="str">
        <x:v>Non</x:v>
      </x:c>
      <x:c r="K3998" s="115" t="str">
        <x:v>Pièces décrites, murs, portes, niveaux et mobilier inspectables à l’échelle. Volumes réservés, raccord au seed, butin, rencontres et services de campagne restent à terminer.</x:v>
      </x:c>
    </x:row>
    <x:row r="3999" ht="96" customHeight="1">
      <x:c r="A3999" s="115" t="str">
        <x:v>EXT-MONDE-T080-V44</x:v>
      </x:c>
      <x:c r="B3999" s="115" t="str">
        <x:v>EXT-MONDE-T080</x:v>
      </x:c>
      <x:c r="C3999" s="115" t="str">
        <x:v>Îles</x:v>
      </x:c>
      <x:c r="D3999" s="115" t="str">
        <x:v>Grande île mixte</x:v>
      </x:c>
      <x:c r="E3999" s="115" t="n">
        <x:v>44</x:v>
      </x:c>
      <x:c r="F3999" s="115" t="str">
        <x:v>Inspection physique</x:v>
      </x:c>
      <x:c r="G3999" s="115" t="str">
        <x:v>1 niveaux ; 32 pièces ; 248 segments de mur ; 0 transitions. Inspection physique ; architecture complète encore ouverte.</x:v>
      </x:c>
      <x:c r="H3999" s="115" t="str">
        <x:v>L 912 ; l 944 ; hauteur 8 m ; choix de composition auteur ; dimensions réelles à documenter</x:v>
      </x:c>
      <x:c r="I3999" s="115" t="str">
        <x:v>À équilibrer</x:v>
      </x:c>
      <x:c r="J3999" s="115" t="str">
        <x:v>Non</x:v>
      </x:c>
      <x:c r="K3999" s="115" t="str">
        <x:v>Pièces décrites, murs, portes, niveaux et mobilier inspectables à l’échelle. Volumes réservés, raccord au seed, butin, rencontres et services de campagne restent à terminer.</x:v>
      </x:c>
    </x:row>
    <x:row r="4000" ht="96" customHeight="1">
      <x:c r="A4000" s="115" t="str">
        <x:v>EXT-MONDE-T080-V45</x:v>
      </x:c>
      <x:c r="B4000" s="115" t="str">
        <x:v>EXT-MONDE-T080</x:v>
      </x:c>
      <x:c r="C4000" s="115" t="str">
        <x:v>Îles</x:v>
      </x:c>
      <x:c r="D4000" s="115" t="str">
        <x:v>Grande île mixte</x:v>
      </x:c>
      <x:c r="E4000" s="115" t="n">
        <x:v>45</x:v>
      </x:c>
      <x:c r="F4000" s="115" t="str">
        <x:v>Inspection physique</x:v>
      </x:c>
      <x:c r="G4000" s="115" t="str">
        <x:v>1 niveaux ; 32 pièces ; 248 segments de mur ; 0 transitions. Inspection physique ; architecture complète encore ouverte.</x:v>
      </x:c>
      <x:c r="H4000" s="115" t="str">
        <x:v>L 912 ; l 944 ; hauteur 8 m ; choix de composition auteur ; dimensions réelles à documenter</x:v>
      </x:c>
      <x:c r="I4000" s="115" t="str">
        <x:v>À équilibrer</x:v>
      </x:c>
      <x:c r="J4000" s="115" t="str">
        <x:v>Non</x:v>
      </x:c>
      <x:c r="K4000" s="115" t="str">
        <x:v>Pièces décrites, murs, portes, niveaux et mobilier inspectables à l’échelle. Volumes réservés, raccord au seed, butin, rencontres et services de campagne restent à terminer.</x:v>
      </x:c>
    </x:row>
    <x:row r="4001" ht="96" customHeight="1">
      <x:c r="A4001" s="115" t="str">
        <x:v>EXT-MONDE-T080-V46</x:v>
      </x:c>
      <x:c r="B4001" s="115" t="str">
        <x:v>EXT-MONDE-T080</x:v>
      </x:c>
      <x:c r="C4001" s="115" t="str">
        <x:v>Îles</x:v>
      </x:c>
      <x:c r="D4001" s="115" t="str">
        <x:v>Grande île mixte</x:v>
      </x:c>
      <x:c r="E4001" s="115" t="n">
        <x:v>46</x:v>
      </x:c>
      <x:c r="F4001" s="115" t="str">
        <x:v>Inspection physique</x:v>
      </x:c>
      <x:c r="G4001" s="115" t="str">
        <x:v>1 niveaux ; 32 pièces ; 248 segments de mur ; 0 transitions. Inspection physique ; architecture complète encore ouverte.</x:v>
      </x:c>
      <x:c r="H4001" s="115" t="str">
        <x:v>L 912 ; l 944 ; hauteur 8 m ; choix de composition auteur ; dimensions réelles à documenter</x:v>
      </x:c>
      <x:c r="I4001" s="115" t="str">
        <x:v>À équilibrer</x:v>
      </x:c>
      <x:c r="J4001" s="115" t="str">
        <x:v>Non</x:v>
      </x:c>
      <x:c r="K4001" s="115" t="str">
        <x:v>Pièces décrites, murs, portes, niveaux et mobilier inspectables à l’échelle. Volumes réservés, raccord au seed, butin, rencontres et services de campagne restent à terminer.</x:v>
      </x:c>
    </x:row>
    <x:row r="4002" ht="96" customHeight="1">
      <x:c r="A4002" s="115" t="str">
        <x:v>EXT-MONDE-T080-V47</x:v>
      </x:c>
      <x:c r="B4002" s="115" t="str">
        <x:v>EXT-MONDE-T080</x:v>
      </x:c>
      <x:c r="C4002" s="115" t="str">
        <x:v>Îles</x:v>
      </x:c>
      <x:c r="D4002" s="115" t="str">
        <x:v>Grande île mixte</x:v>
      </x:c>
      <x:c r="E4002" s="115" t="n">
        <x:v>47</x:v>
      </x:c>
      <x:c r="F4002" s="115" t="str">
        <x:v>Inspection physique</x:v>
      </x:c>
      <x:c r="G4002" s="115" t="str">
        <x:v>1 niveaux ; 32 pièces ; 248 segments de mur ; 0 transitions. Inspection physique ; architecture complète encore ouverte.</x:v>
      </x:c>
      <x:c r="H4002" s="115" t="str">
        <x:v>L 912 ; l 944 ; hauteur 8 m ; choix de composition auteur ; dimensions réelles à documenter</x:v>
      </x:c>
      <x:c r="I4002" s="115" t="str">
        <x:v>À équilibrer</x:v>
      </x:c>
      <x:c r="J4002" s="115" t="str">
        <x:v>Non</x:v>
      </x:c>
      <x:c r="K4002" s="115" t="str">
        <x:v>Pièces décrites, murs, portes, niveaux et mobilier inspectables à l’échelle. Volumes réservés, raccord au seed, butin, rencontres et services de campagne restent à terminer.</x:v>
      </x:c>
    </x:row>
    <x:row r="4003" ht="96" customHeight="1">
      <x:c r="A4003" s="115" t="str">
        <x:v>EXT-MONDE-T080-V48</x:v>
      </x:c>
      <x:c r="B4003" s="115" t="str">
        <x:v>EXT-MONDE-T080</x:v>
      </x:c>
      <x:c r="C4003" s="115" t="str">
        <x:v>Îles</x:v>
      </x:c>
      <x:c r="D4003" s="115" t="str">
        <x:v>Grande île mixte</x:v>
      </x:c>
      <x:c r="E4003" s="115" t="n">
        <x:v>48</x:v>
      </x:c>
      <x:c r="F4003" s="115" t="str">
        <x:v>Inspection physique</x:v>
      </x:c>
      <x:c r="G4003" s="115" t="str">
        <x:v>1 niveaux ; 32 pièces ; 248 segments de mur ; 0 transitions. Inspection physique ; architecture complète encore ouverte.</x:v>
      </x:c>
      <x:c r="H4003" s="115" t="str">
        <x:v>L 912 ; l 944 ; hauteur 8 m ; choix de composition auteur ; dimensions réelles à documenter</x:v>
      </x:c>
      <x:c r="I4003" s="115" t="str">
        <x:v>À équilibrer</x:v>
      </x:c>
      <x:c r="J4003" s="115" t="str">
        <x:v>Non</x:v>
      </x:c>
      <x:c r="K4003" s="115" t="str">
        <x:v>Pièces décrites, murs, portes, niveaux et mobilier inspectables à l’échelle. Volumes réservés, raccord au seed, butin, rencontres et services de campagne restent à terminer.</x:v>
      </x:c>
    </x:row>
    <x:row r="4004" ht="96" customHeight="1">
      <x:c r="A4004" s="115" t="str">
        <x:v>EXT-MONDE-T080-V49</x:v>
      </x:c>
      <x:c r="B4004" s="115" t="str">
        <x:v>EXT-MONDE-T080</x:v>
      </x:c>
      <x:c r="C4004" s="115" t="str">
        <x:v>Îles</x:v>
      </x:c>
      <x:c r="D4004" s="115" t="str">
        <x:v>Grande île mixte</x:v>
      </x:c>
      <x:c r="E4004" s="115" t="n">
        <x:v>49</x:v>
      </x:c>
      <x:c r="F4004" s="115" t="str">
        <x:v>Inspection physique</x:v>
      </x:c>
      <x:c r="G4004" s="115" t="str">
        <x:v>1 niveaux ; 32 pièces ; 248 segments de mur ; 0 transitions. Inspection physique ; architecture complète encore ouverte.</x:v>
      </x:c>
      <x:c r="H4004" s="115" t="str">
        <x:v>L 912 ; l 944 ; hauteur 8 m ; choix de composition auteur ; dimensions réelles à documenter</x:v>
      </x:c>
      <x:c r="I4004" s="115" t="str">
        <x:v>À équilibrer</x:v>
      </x:c>
      <x:c r="J4004" s="115" t="str">
        <x:v>Non</x:v>
      </x:c>
      <x:c r="K4004" s="115" t="str">
        <x:v>Pièces décrites, murs, portes, niveaux et mobilier inspectables à l’échelle. Volumes réservés, raccord au seed, butin, rencontres et services de campagne restent à terminer.</x:v>
      </x:c>
    </x:row>
    <x:row r="4005" ht="96" customHeight="1">
      <x:c r="A4005" s="115" t="str">
        <x:v>EXT-MONDE-T080-V50</x:v>
      </x:c>
      <x:c r="B4005" s="115" t="str">
        <x:v>EXT-MONDE-T080</x:v>
      </x:c>
      <x:c r="C4005" s="115" t="str">
        <x:v>Îles</x:v>
      </x:c>
      <x:c r="D4005" s="115" t="str">
        <x:v>Grande île mixte</x:v>
      </x:c>
      <x:c r="E4005" s="115" t="n">
        <x:v>50</x:v>
      </x:c>
      <x:c r="F4005" s="115" t="str">
        <x:v>Inspection physique</x:v>
      </x:c>
      <x:c r="G4005" s="115" t="str">
        <x:v>1 niveaux ; 32 pièces ; 248 segments de mur ; 0 transitions. Inspection physique ; architecture complète encore ouverte.</x:v>
      </x:c>
      <x:c r="H4005" s="115" t="str">
        <x:v>L 912 ; l 944 ; hauteur 8 m ; choix de composition auteur ; dimensions réelles à documenter</x:v>
      </x:c>
      <x:c r="I4005" s="115" t="str">
        <x:v>À équilibrer</x:v>
      </x:c>
      <x:c r="J4005" s="115" t="str">
        <x:v>Non</x:v>
      </x:c>
      <x:c r="K4005" s="115" t="str">
        <x:v>Pièces décrites, murs, portes, niveaux et mobilier inspectables à l’échelle. Volumes réservés, raccord au seed, butin, rencontres et services de campagne restent à terminer.</x:v>
      </x:c>
    </x:row>
  </x:sheetData>
  <x:mergeCells>
    <x:mergeCell ref="A1:K1"/>
    <x:mergeCell ref="A2:K3"/>
  </x:mergeCells>
  <x:dataValidations count="1">
    <x:dataValidation type="list" sqref="F6:F4005">
      <x:formula1>"À concevoir,Gabarit métrique,Avant-projet maritime,Inspection physique,À vérifier"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932ee40db40471d"/>
  </x:tableParts>
</x:worksheet>
</file>

<file path=xl/worksheets/sheet5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0" hidden="0" customWidth="1"/>
    <x:col min="2" max="2" width="24" hidden="0" customWidth="1"/>
    <x:col min="3" max="3" width="28" hidden="0" customWidth="1"/>
    <x:col min="4" max="4" width="40" hidden="0" customWidth="1"/>
    <x:col min="5" max="5" width="38" hidden="0" customWidth="1"/>
    <x:col min="6" max="6" width="14" hidden="0" customWidth="1"/>
    <x:col min="7" max="7" width="20" hidden="0" customWidth="1"/>
    <x:col min="8" max="8" width="24" hidden="0" customWidth="1"/>
    <x:col min="9" max="9" width="65" hidden="0" customWidth="1"/>
    <x:col min="10" max="10" width="45" hidden="0" customWidth="1"/>
  </x:cols>
  <x:sheetData>
    <x:row r="1" ht="32" customHeight="1">
      <x:c r="A1" s="3" t="str">
        <x:v>08  /  800 TÂCHES DE L’EXTENSION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0" customHeight="1">
      <x:c r="A2" s="9" t="str">
        <x:v>Dix étapes par typologie. Passer à « Validé » exige une preuve renseignée ; publier un catalogue ne termine pas les tâches d’architecture, de réseau ou de jouabilité.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3" ht="20" customHeight="1">
      <x:c r="A3" s="9"/>
      <x:c r="B3" s="9"/>
      <x:c r="C3" s="9"/>
      <x:c r="D3" s="9"/>
      <x:c r="E3" s="9"/>
      <x:c r="F3" s="9"/>
      <x:c r="G3" s="9"/>
      <x:c r="H3" s="9"/>
      <x:c r="I3" s="9"/>
      <x:c r="J3" s="9"/>
    </x:row>
    <x:row r="5" ht="34" customHeight="1">
      <x:c r="A5" s="112" t="str">
        <x:v>ID tâche</x:v>
      </x:c>
      <x:c r="B5" s="112" t="str">
        <x:v>Typologie ID</x:v>
      </x:c>
      <x:c r="C5" s="112" t="str">
        <x:v>Domaine</x:v>
      </x:c>
      <x:c r="D5" s="112" t="str">
        <x:v>Typologie</x:v>
      </x:c>
      <x:c r="E5" s="112" t="str">
        <x:v>Livrable</x:v>
      </x:c>
      <x:c r="F5" s="112" t="str">
        <x:v>Priorité</x:v>
      </x:c>
      <x:c r="G5" s="112" t="str">
        <x:v>Statut</x:v>
      </x:c>
      <x:c r="H5" s="112" t="str">
        <x:v>Responsable</x:v>
      </x:c>
      <x:c r="I5" s="112" t="str">
        <x:v>Critère de réception</x:v>
      </x:c>
      <x:c r="J5" s="112" t="str">
        <x:v>Preuve / commit</x:v>
      </x:c>
    </x:row>
    <x:row r="6" ht="34" customHeight="1">
      <x:c r="A6" s="16" t="str">
        <x:v>EXT-MONDE-T001/dimensions</x:v>
      </x:c>
      <x:c r="B6" s="16" t="str">
        <x:v>EXT-MONDE-T001</x:v>
      </x:c>
      <x:c r="C6" s="16" t="str">
        <x:v>Lacs</x:v>
      </x:c>
      <x:c r="D6" s="16" t="str">
        <x:v>Base nautique lacustre</x:v>
      </x:c>
      <x:c r="E6" s="16" t="str">
        <x:v>Dimensions et plans de référence</x:v>
      </x:c>
      <x:c r="F6" s="16" t="str">
        <x:v>P0</x:v>
      </x:c>
      <x:c r="G6" s="16" t="str">
        <x:v>En cours</x:v>
      </x:c>
      <x:c r="H6" s="16" t="str">
        <x:v>Production Codex</x:v>
      </x:c>
      <x:c r="I6" s="16" t="str">
        <x:v>Sources publiques identifiées ; unités en mètres ; emprise au sol distincte de la hauteur.</x:v>
      </x:c>
      <x:c r="J6" s="16" t="str">
        <x:v>https://github.com/darknigthmare/deadwall-last-enclosure/blob/1b3b9c5ba232734b1bda3453b4e20a0481bcdd74/docs/codex/suivi-monde2026/LACUSTRE_2026.md</x:v>
      </x:c>
    </x:row>
    <x:row r="7" ht="34" customHeight="1">
      <x:c r="A7" s="16" t="str">
        <x:v>EXT-MONDE-T001/architecture</x:v>
      </x:c>
      <x:c r="B7" s="16" t="str">
        <x:v>EXT-MONDE-T001</x:v>
      </x:c>
      <x:c r="C7" s="16" t="str">
        <x:v>Lacs</x:v>
      </x:c>
      <x:c r="D7" s="16" t="str">
        <x:v>Base nautique lacustre</x:v>
      </x:c>
      <x:c r="E7" s="16" t="str">
        <x:v>Pièces, étages, annexes</x:v>
      </x:c>
      <x:c r="F7" s="16" t="str">
        <x:v>P0</x:v>
      </x:c>
      <x:c r="G7" s="16" t="str">
        <x:v>En cours</x:v>
      </x:c>
      <x:c r="H7" s="16" t="str">
        <x:v>Production Codex</x:v>
      </x:c>
      <x:c r="I7" s="16" t="str">
        <x:v>Livrable explicite, tests positifs et négatifs ; aucune validation déduite de la seule présence de la fiche.</x:v>
      </x:c>
      <x:c r="J7" s="16" t="str">
        <x:v>https://github.com/darknigthmare/deadwall-last-enclosure/blob/1b3b9c5ba232734b1bda3453b4e20a0481bcdd74/docs/codex/suivi-monde2026/INSPECTION_PHYSIQUE_2026.md</x:v>
      </x:c>
    </x:row>
    <x:row r="8" ht="34" customHeight="1">
      <x:c r="A8" s="16" t="str">
        <x:v>EXT-MONDE-T001/seed</x:v>
      </x:c>
      <x:c r="B8" s="16" t="str">
        <x:v>EXT-MONDE-T001</x:v>
      </x:c>
      <x:c r="C8" s="16" t="str">
        <x:v>Lacs</x:v>
      </x:c>
      <x:c r="D8" s="16" t="str">
        <x:v>Base nautique lacustre</x:v>
      </x:c>
      <x:c r="E8" s="16" t="str">
        <x:v>Implantation et réseaux</x:v>
      </x:c>
      <x:c r="F8" s="16" t="str">
        <x:v>P0</x:v>
      </x:c>
      <x:c r="G8" s="16" t="str">
        <x:v>À faire</x:v>
      </x:c>
      <x:c r="H8" s="16" t="str">
        <x:v>Non affecté</x:v>
      </x:c>
      <x:c r="I8" s="16" t="str">
        <x:v>Rive et profondeur compatibles ; retour terrestre praticable ; aucun ponton flottant sans support.</x:v>
      </x:c>
      <x:c r="J8" s="16" t="str"/>
    </x:row>
    <x:row r="9" ht="34" customHeight="1">
      <x:c r="A9" s="16" t="str">
        <x:v>EXT-MONDE-T001/props</x:v>
      </x:c>
      <x:c r="B9" s="16" t="str">
        <x:v>EXT-MONDE-T001</x:v>
      </x:c>
      <x:c r="C9" s="16" t="str">
        <x:v>Lacs</x:v>
      </x:c>
      <x:c r="D9" s="16" t="str">
        <x:v>Base nautique lacustre</x:v>
      </x:c>
      <x:c r="E9" s="16" t="str">
        <x:v>Objets, décors et dégagements</x:v>
      </x:c>
      <x:c r="F9" s="16" t="str">
        <x:v>P1</x:v>
      </x:c>
      <x:c r="G9" s="16" t="str">
        <x:v>En cours</x:v>
      </x:c>
      <x:c r="H9" s="16" t="str">
        <x:v>Production Codex</x:v>
      </x:c>
      <x:c r="I9" s="16" t="str">
        <x:v>Livrable explicite, tests positifs et négatifs ; aucune validation déduite de la seule présence de la fiche.</x:v>
      </x:c>
      <x:c r="J9" s="16" t="str">
        <x:v>https://github.com/darknigthmare/deadwall-last-enclosure/blob/1b3b9c5ba232734b1bda3453b4e20a0481bcdd74/docs/codex/suivi-monde2026/INSPECTION_PHYSIQUE_2026.md</x:v>
      </x:c>
    </x:row>
    <x:row r="10" ht="34" customHeight="1">
      <x:c r="A10" s="16" t="str">
        <x:v>EXT-MONDE-T001/loot</x:v>
      </x:c>
      <x:c r="B10" s="16" t="str">
        <x:v>EXT-MONDE-T001</x:v>
      </x:c>
      <x:c r="C10" s="16" t="str">
        <x:v>Lacs</x:v>
      </x:c>
      <x:c r="D10" s="16" t="str">
        <x:v>Base nautique lacustre</x:v>
      </x:c>
      <x:c r="E10" s="16" t="str">
        <x:v>Budget de butin persistant</x:v>
      </x:c>
      <x:c r="F10" s="16" t="str">
        <x:v>P1</x:v>
      </x:c>
      <x:c r="G10" s="16" t="str">
        <x:v>À faire</x:v>
      </x:c>
      <x:c r="H10" s="16" t="str">
        <x:v>Non affecté</x:v>
      </x:c>
      <x:c r="I10" s="16" t="str">
        <x:v>Livrable explicite, tests positifs et négatifs ; aucune validation déduite de la seule présence de la fiche.</x:v>
      </x:c>
      <x:c r="J10" s="16" t="str"/>
    </x:row>
    <x:row r="11" ht="34" customHeight="1">
      <x:c r="A11" s="16" t="str">
        <x:v>EXT-MONDE-T001/rencontres</x:v>
      </x:c>
      <x:c r="B11" s="16" t="str">
        <x:v>EXT-MONDE-T001</x:v>
      </x:c>
      <x:c r="C11" s="16" t="str">
        <x:v>Lacs</x:v>
      </x:c>
      <x:c r="D11" s="16" t="str">
        <x:v>Base nautique lacustre</x:v>
      </x:c>
      <x:c r="E11" s="16" t="str">
        <x:v>Ennemis et faune contextualisés</x:v>
      </x:c>
      <x:c r="F11" s="16" t="str">
        <x:v>P1</x:v>
      </x:c>
      <x:c r="G11" s="16" t="str">
        <x:v>À faire</x:v>
      </x:c>
      <x:c r="H11" s="16" t="str">
        <x:v>Non affecté</x:v>
      </x:c>
      <x:c r="I11" s="16" t="str">
        <x:v>Livrable explicite, tests positifs et négatifs ; aucune validation déduite de la seule présence de la fiche.</x:v>
      </x:c>
      <x:c r="J11" s="16" t="str"/>
    </x:row>
    <x:row r="12" ht="34" customHeight="1">
      <x:c r="A12" s="16" t="str">
        <x:v>EXT-MONDE-T001/services</x:v>
      </x:c>
      <x:c r="B12" s="16" t="str">
        <x:v>EXT-MONDE-T001</x:v>
      </x:c>
      <x:c r="C12" s="16" t="str">
        <x:v>Lacs</x:v>
      </x:c>
      <x:c r="D12" s="16" t="str">
        <x:v>Base nautique lacustre</x:v>
      </x:c>
      <x:c r="E12" s="16" t="str">
        <x:v>Énergie, eau et interactions</x:v>
      </x:c>
      <x:c r="F12" s="16" t="str">
        <x:v>P1</x:v>
      </x:c>
      <x:c r="G12" s="16" t="str">
        <x:v>À faire</x:v>
      </x:c>
      <x:c r="H12" s="16" t="str">
        <x:v>Non affecté</x:v>
      </x:c>
      <x:c r="I12" s="16" t="str">
        <x:v>Livrable explicite, tests positifs et négatifs ; aucune validation déduite de la seule présence de la fiche.</x:v>
      </x:c>
      <x:c r="J12" s="16" t="str"/>
    </x:row>
    <x:row r="13" ht="34" customHeight="1">
      <x:c r="A13" s="16" t="str">
        <x:v>EXT-MONDE-T001/art</x:v>
      </x:c>
      <x:c r="B13" s="16" t="str">
        <x:v>EXT-MONDE-T001</x:v>
      </x:c>
      <x:c r="C13" s="16" t="str">
        <x:v>Lacs</x:v>
      </x:c>
      <x:c r="D13" s="16" t="str">
        <x:v>Base nautique lacustre</x:v>
      </x:c>
      <x:c r="E13" s="16" t="str">
        <x:v>Sprites, proportions et animations</x:v>
      </x:c>
      <x:c r="F13" s="16" t="str">
        <x:v>P1</x:v>
      </x:c>
      <x:c r="G13" s="16" t="str">
        <x:v>À faire</x:v>
      </x:c>
      <x:c r="H13" s="16" t="str">
        <x:v>Non affecté</x:v>
      </x:c>
      <x:c r="I13" s="16" t="str">
        <x:v>Livrable explicite, tests positifs et négatifs ; aucune validation déduite de la seule présence de la fiche.</x:v>
      </x:c>
      <x:c r="J13" s="16" t="str"/>
    </x:row>
    <x:row r="14" ht="34" customHeight="1">
      <x:c r="A14" s="16" t="str">
        <x:v>EXT-MONDE-T001/sauvegarde</x:v>
      </x:c>
      <x:c r="B14" s="16" t="str">
        <x:v>EXT-MONDE-T001</x:v>
      </x:c>
      <x:c r="C14" s="16" t="str">
        <x:v>Lacs</x:v>
      </x:c>
      <x:c r="D14" s="16" t="str">
        <x:v>Base nautique lacustre</x:v>
      </x:c>
      <x:c r="E14" s="16" t="str">
        <x:v>Identités, migration et reprise</x:v>
      </x:c>
      <x:c r="F14" s="16" t="str">
        <x:v>P1</x:v>
      </x:c>
      <x:c r="G14" s="16" t="str">
        <x:v>En cours</x:v>
      </x:c>
      <x:c r="H14" s="16" t="str">
        <x:v>Production Codex</x:v>
      </x:c>
      <x:c r="I14" s="16" t="str">
        <x:v>Livrable explicite, tests positifs et négatifs ; aucune validation déduite de la seule présence de la fiche.</x:v>
      </x:c>
      <x:c r="J14" s="16" t="str">
        <x:v>https://github.com/darknigthmare/deadwall-last-enclosure/blob/1b3b9c5ba232734b1bda3453b4e20a0481bcdd74/docs/codex/suivi-monde2026/INSPECTION_PHYSIQUE_2026.md</x:v>
      </x:c>
    </x:row>
    <x:row r="15" ht="34" customHeight="1">
      <x:c r="A15" s="16" t="str">
        <x:v>EXT-MONDE-T001/qa</x:v>
      </x:c>
      <x:c r="B15" s="16" t="str">
        <x:v>EXT-MONDE-T001</x:v>
      </x:c>
      <x:c r="C15" s="16" t="str">
        <x:v>Lacs</x:v>
      </x:c>
      <x:c r="D15" s="16" t="str">
        <x:v>Base nautique lacustre</x:v>
      </x:c>
      <x:c r="E15" s="16" t="str">
        <x:v>Navigation et parcours jouables</x:v>
      </x:c>
      <x:c r="F15" s="16" t="str">
        <x:v>P1</x:v>
      </x:c>
      <x:c r="G15" s="16" t="str">
        <x:v>En cours</x:v>
      </x:c>
      <x:c r="H15" s="16" t="str">
        <x:v>Production Codex</x:v>
      </x:c>
      <x:c r="I15" s="16" t="str">
        <x:v>Livrable explicite, tests positifs et négatifs ; aucune validation déduite de la seule présence de la fiche.</x:v>
      </x:c>
      <x:c r="J15" s="16" t="str">
        <x:v>https://github.com/darknigthmare/deadwall-last-enclosure/blob/1b3b9c5ba232734b1bda3453b4e20a0481bcdd74/docs/codex/suivi-monde2026/INSPECTION_PHYSIQUE_2026.md</x:v>
      </x:c>
    </x:row>
    <x:row r="16" ht="34" customHeight="1">
      <x:c r="A16" s="16" t="str">
        <x:v>EXT-MONDE-T002/dimensions</x:v>
      </x:c>
      <x:c r="B16" s="16" t="str">
        <x:v>EXT-MONDE-T002</x:v>
      </x:c>
      <x:c r="C16" s="16" t="str">
        <x:v>Lacs</x:v>
      </x:c>
      <x:c r="D16" s="16" t="str">
        <x:v>Village de pêche lacustre</x:v>
      </x:c>
      <x:c r="E16" s="16" t="str">
        <x:v>Dimensions et plans de référence</x:v>
      </x:c>
      <x:c r="F16" s="16" t="str">
        <x:v>P0</x:v>
      </x:c>
      <x:c r="G16" s="16" t="str">
        <x:v>En cours</x:v>
      </x:c>
      <x:c r="H16" s="16" t="str">
        <x:v>Production Codex</x:v>
      </x:c>
      <x:c r="I16" s="16" t="str">
        <x:v>Sources publiques identifiées ; unités en mètres ; emprise au sol distincte de la hauteur.</x:v>
      </x:c>
      <x:c r="J16" s="16" t="str">
        <x:v>https://github.com/darknigthmare/deadwall-last-enclosure/blob/1b3b9c5ba232734b1bda3453b4e20a0481bcdd74/docs/codex/suivi-monde2026/LACUSTRE_2026.md</x:v>
      </x:c>
    </x:row>
    <x:row r="17" ht="34" customHeight="1">
      <x:c r="A17" s="16" t="str">
        <x:v>EXT-MONDE-T002/architecture</x:v>
      </x:c>
      <x:c r="B17" s="16" t="str">
        <x:v>EXT-MONDE-T002</x:v>
      </x:c>
      <x:c r="C17" s="16" t="str">
        <x:v>Lacs</x:v>
      </x:c>
      <x:c r="D17" s="16" t="str">
        <x:v>Village de pêche lacustre</x:v>
      </x:c>
      <x:c r="E17" s="16" t="str">
        <x:v>Pièces, étages, annexes</x:v>
      </x:c>
      <x:c r="F17" s="16" t="str">
        <x:v>P0</x:v>
      </x:c>
      <x:c r="G17" s="16" t="str">
        <x:v>En cours</x:v>
      </x:c>
      <x:c r="H17" s="16" t="str">
        <x:v>Production Codex</x:v>
      </x:c>
      <x:c r="I17" s="16" t="str">
        <x:v>Livrable explicite, tests positifs et négatifs ; aucune validation déduite de la seule présence de la fiche.</x:v>
      </x:c>
      <x:c r="J17" s="16" t="str">
        <x:v>https://github.com/darknigthmare/deadwall-last-enclosure/blob/1b3b9c5ba232734b1bda3453b4e20a0481bcdd74/docs/codex/suivi-monde2026/INSPECTION_PHYSIQUE_2026.md</x:v>
      </x:c>
    </x:row>
    <x:row r="18" ht="34" customHeight="1">
      <x:c r="A18" s="16" t="str">
        <x:v>EXT-MONDE-T002/seed</x:v>
      </x:c>
      <x:c r="B18" s="16" t="str">
        <x:v>EXT-MONDE-T002</x:v>
      </x:c>
      <x:c r="C18" s="16" t="str">
        <x:v>Lacs</x:v>
      </x:c>
      <x:c r="D18" s="16" t="str">
        <x:v>Village de pêche lacustre</x:v>
      </x:c>
      <x:c r="E18" s="16" t="str">
        <x:v>Implantation et réseaux</x:v>
      </x:c>
      <x:c r="F18" s="16" t="str">
        <x:v>P0</x:v>
      </x:c>
      <x:c r="G18" s="16" t="str">
        <x:v>À faire</x:v>
      </x:c>
      <x:c r="H18" s="16" t="str">
        <x:v>Non affecté</x:v>
      </x:c>
      <x:c r="I18" s="16" t="str">
        <x:v>Rive et profondeur compatibles ; retour terrestre praticable ; aucun ponton flottant sans support.</x:v>
      </x:c>
      <x:c r="J18" s="16" t="str"/>
    </x:row>
    <x:row r="19" ht="34" customHeight="1">
      <x:c r="A19" s="16" t="str">
        <x:v>EXT-MONDE-T002/props</x:v>
      </x:c>
      <x:c r="B19" s="16" t="str">
        <x:v>EXT-MONDE-T002</x:v>
      </x:c>
      <x:c r="C19" s="16" t="str">
        <x:v>Lacs</x:v>
      </x:c>
      <x:c r="D19" s="16" t="str">
        <x:v>Village de pêche lacustre</x:v>
      </x:c>
      <x:c r="E19" s="16" t="str">
        <x:v>Objets, décors et dégagements</x:v>
      </x:c>
      <x:c r="F19" s="16" t="str">
        <x:v>P1</x:v>
      </x:c>
      <x:c r="G19" s="16" t="str">
        <x:v>En cours</x:v>
      </x:c>
      <x:c r="H19" s="16" t="str">
        <x:v>Production Codex</x:v>
      </x:c>
      <x:c r="I19" s="16" t="str">
        <x:v>Livrable explicite, tests positifs et négatifs ; aucune validation déduite de la seule présence de la fiche.</x:v>
      </x:c>
      <x:c r="J19" s="16" t="str">
        <x:v>https://github.com/darknigthmare/deadwall-last-enclosure/blob/1b3b9c5ba232734b1bda3453b4e20a0481bcdd74/docs/codex/suivi-monde2026/INSPECTION_PHYSIQUE_2026.md</x:v>
      </x:c>
    </x:row>
    <x:row r="20" ht="34" customHeight="1">
      <x:c r="A20" s="16" t="str">
        <x:v>EXT-MONDE-T002/loot</x:v>
      </x:c>
      <x:c r="B20" s="16" t="str">
        <x:v>EXT-MONDE-T002</x:v>
      </x:c>
      <x:c r="C20" s="16" t="str">
        <x:v>Lacs</x:v>
      </x:c>
      <x:c r="D20" s="16" t="str">
        <x:v>Village de pêche lacustre</x:v>
      </x:c>
      <x:c r="E20" s="16" t="str">
        <x:v>Budget de butin persistant</x:v>
      </x:c>
      <x:c r="F20" s="16" t="str">
        <x:v>P1</x:v>
      </x:c>
      <x:c r="G20" s="16" t="str">
        <x:v>À faire</x:v>
      </x:c>
      <x:c r="H20" s="16" t="str">
        <x:v>Non affecté</x:v>
      </x:c>
      <x:c r="I20" s="16" t="str">
        <x:v>Livrable explicite, tests positifs et négatifs ; aucune validation déduite de la seule présence de la fiche.</x:v>
      </x:c>
      <x:c r="J20" s="16" t="str"/>
    </x:row>
    <x:row r="21" ht="34" customHeight="1">
      <x:c r="A21" s="16" t="str">
        <x:v>EXT-MONDE-T002/rencontres</x:v>
      </x:c>
      <x:c r="B21" s="16" t="str">
        <x:v>EXT-MONDE-T002</x:v>
      </x:c>
      <x:c r="C21" s="16" t="str">
        <x:v>Lacs</x:v>
      </x:c>
      <x:c r="D21" s="16" t="str">
        <x:v>Village de pêche lacustre</x:v>
      </x:c>
      <x:c r="E21" s="16" t="str">
        <x:v>Ennemis et faune contextualisés</x:v>
      </x:c>
      <x:c r="F21" s="16" t="str">
        <x:v>P1</x:v>
      </x:c>
      <x:c r="G21" s="16" t="str">
        <x:v>À faire</x:v>
      </x:c>
      <x:c r="H21" s="16" t="str">
        <x:v>Non affecté</x:v>
      </x:c>
      <x:c r="I21" s="16" t="str">
        <x:v>Livrable explicite, tests positifs et négatifs ; aucune validation déduite de la seule présence de la fiche.</x:v>
      </x:c>
      <x:c r="J21" s="16" t="str"/>
    </x:row>
    <x:row r="22" ht="34" customHeight="1">
      <x:c r="A22" s="16" t="str">
        <x:v>EXT-MONDE-T002/services</x:v>
      </x:c>
      <x:c r="B22" s="16" t="str">
        <x:v>EXT-MONDE-T002</x:v>
      </x:c>
      <x:c r="C22" s="16" t="str">
        <x:v>Lacs</x:v>
      </x:c>
      <x:c r="D22" s="16" t="str">
        <x:v>Village de pêche lacustre</x:v>
      </x:c>
      <x:c r="E22" s="16" t="str">
        <x:v>Énergie, eau et interactions</x:v>
      </x:c>
      <x:c r="F22" s="16" t="str">
        <x:v>P1</x:v>
      </x:c>
      <x:c r="G22" s="16" t="str">
        <x:v>À faire</x:v>
      </x:c>
      <x:c r="H22" s="16" t="str">
        <x:v>Non affecté</x:v>
      </x:c>
      <x:c r="I22" s="16" t="str">
        <x:v>Livrable explicite, tests positifs et négatifs ; aucune validation déduite de la seule présence de la fiche.</x:v>
      </x:c>
      <x:c r="J22" s="16" t="str"/>
    </x:row>
    <x:row r="23" ht="34" customHeight="1">
      <x:c r="A23" s="16" t="str">
        <x:v>EXT-MONDE-T002/art</x:v>
      </x:c>
      <x:c r="B23" s="16" t="str">
        <x:v>EXT-MONDE-T002</x:v>
      </x:c>
      <x:c r="C23" s="16" t="str">
        <x:v>Lacs</x:v>
      </x:c>
      <x:c r="D23" s="16" t="str">
        <x:v>Village de pêche lacustre</x:v>
      </x:c>
      <x:c r="E23" s="16" t="str">
        <x:v>Sprites, proportions et animations</x:v>
      </x:c>
      <x:c r="F23" s="16" t="str">
        <x:v>P1</x:v>
      </x:c>
      <x:c r="G23" s="16" t="str">
        <x:v>À faire</x:v>
      </x:c>
      <x:c r="H23" s="16" t="str">
        <x:v>Non affecté</x:v>
      </x:c>
      <x:c r="I23" s="16" t="str">
        <x:v>Livrable explicite, tests positifs et négatifs ; aucune validation déduite de la seule présence de la fiche.</x:v>
      </x:c>
      <x:c r="J23" s="16" t="str"/>
    </x:row>
    <x:row r="24" ht="34" customHeight="1">
      <x:c r="A24" s="16" t="str">
        <x:v>EXT-MONDE-T002/sauvegarde</x:v>
      </x:c>
      <x:c r="B24" s="16" t="str">
        <x:v>EXT-MONDE-T002</x:v>
      </x:c>
      <x:c r="C24" s="16" t="str">
        <x:v>Lacs</x:v>
      </x:c>
      <x:c r="D24" s="16" t="str">
        <x:v>Village de pêche lacustre</x:v>
      </x:c>
      <x:c r="E24" s="16" t="str">
        <x:v>Identités, migration et reprise</x:v>
      </x:c>
      <x:c r="F24" s="16" t="str">
        <x:v>P1</x:v>
      </x:c>
      <x:c r="G24" s="16" t="str">
        <x:v>En cours</x:v>
      </x:c>
      <x:c r="H24" s="16" t="str">
        <x:v>Production Codex</x:v>
      </x:c>
      <x:c r="I24" s="16" t="str">
        <x:v>Livrable explicite, tests positifs et négatifs ; aucune validation déduite de la seule présence de la fiche.</x:v>
      </x:c>
      <x:c r="J24" s="16" t="str">
        <x:v>https://github.com/darknigthmare/deadwall-last-enclosure/blob/1b3b9c5ba232734b1bda3453b4e20a0481bcdd74/docs/codex/suivi-monde2026/INSPECTION_PHYSIQUE_2026.md</x:v>
      </x:c>
    </x:row>
    <x:row r="25" ht="34" customHeight="1">
      <x:c r="A25" s="16" t="str">
        <x:v>EXT-MONDE-T002/qa</x:v>
      </x:c>
      <x:c r="B25" s="16" t="str">
        <x:v>EXT-MONDE-T002</x:v>
      </x:c>
      <x:c r="C25" s="16" t="str">
        <x:v>Lacs</x:v>
      </x:c>
      <x:c r="D25" s="16" t="str">
        <x:v>Village de pêche lacustre</x:v>
      </x:c>
      <x:c r="E25" s="16" t="str">
        <x:v>Navigation et parcours jouables</x:v>
      </x:c>
      <x:c r="F25" s="16" t="str">
        <x:v>P1</x:v>
      </x:c>
      <x:c r="G25" s="16" t="str">
        <x:v>En cours</x:v>
      </x:c>
      <x:c r="H25" s="16" t="str">
        <x:v>Production Codex</x:v>
      </x:c>
      <x:c r="I25" s="16" t="str">
        <x:v>Livrable explicite, tests positifs et négatifs ; aucune validation déduite de la seule présence de la fiche.</x:v>
      </x:c>
      <x:c r="J25" s="16" t="str">
        <x:v>https://github.com/darknigthmare/deadwall-last-enclosure/blob/1b3b9c5ba232734b1bda3453b4e20a0481bcdd74/docs/codex/suivi-monde2026/INSPECTION_PHYSIQUE_2026.md</x:v>
      </x:c>
    </x:row>
    <x:row r="26" ht="34" customHeight="1">
      <x:c r="A26" s="16" t="str">
        <x:v>EXT-MONDE-T003/dimensions</x:v>
      </x:c>
      <x:c r="B26" s="16" t="str">
        <x:v>EXT-MONDE-T003</x:v>
      </x:c>
      <x:c r="C26" s="16" t="str">
        <x:v>Lacs</x:v>
      </x:c>
      <x:c r="D26" s="16" t="str">
        <x:v>Station limnologique</x:v>
      </x:c>
      <x:c r="E26" s="16" t="str">
        <x:v>Dimensions et plans de référence</x:v>
      </x:c>
      <x:c r="F26" s="16" t="str">
        <x:v>P0</x:v>
      </x:c>
      <x:c r="G26" s="16" t="str">
        <x:v>En cours</x:v>
      </x:c>
      <x:c r="H26" s="16" t="str">
        <x:v>Production Codex</x:v>
      </x:c>
      <x:c r="I26" s="16" t="str">
        <x:v>Sources publiques identifiées ; unités en mètres ; emprise au sol distincte de la hauteur.</x:v>
      </x:c>
      <x:c r="J26" s="16" t="str">
        <x:v>https://github.com/darknigthmare/deadwall-last-enclosure/blob/1b3b9c5ba232734b1bda3453b4e20a0481bcdd74/docs/codex/suivi-monde2026/LACUSTRE_2026.md</x:v>
      </x:c>
    </x:row>
    <x:row r="27" ht="34" customHeight="1">
      <x:c r="A27" s="16" t="str">
        <x:v>EXT-MONDE-T003/architecture</x:v>
      </x:c>
      <x:c r="B27" s="16" t="str">
        <x:v>EXT-MONDE-T003</x:v>
      </x:c>
      <x:c r="C27" s="16" t="str">
        <x:v>Lacs</x:v>
      </x:c>
      <x:c r="D27" s="16" t="str">
        <x:v>Station limnologique</x:v>
      </x:c>
      <x:c r="E27" s="16" t="str">
        <x:v>Pièces, étages, annexes</x:v>
      </x:c>
      <x:c r="F27" s="16" t="str">
        <x:v>P0</x:v>
      </x:c>
      <x:c r="G27" s="16" t="str">
        <x:v>En cours</x:v>
      </x:c>
      <x:c r="H27" s="16" t="str">
        <x:v>Production Codex</x:v>
      </x:c>
      <x:c r="I27" s="16" t="str">
        <x:v>Livrable explicite, tests positifs et négatifs ; aucune validation déduite de la seule présence de la fiche.</x:v>
      </x:c>
      <x:c r="J27" s="16" t="str">
        <x:v>https://github.com/darknigthmare/deadwall-last-enclosure/blob/1b3b9c5ba232734b1bda3453b4e20a0481bcdd74/docs/codex/suivi-monde2026/INSPECTION_PHYSIQUE_2026.md</x:v>
      </x:c>
    </x:row>
    <x:row r="28" ht="34" customHeight="1">
      <x:c r="A28" s="16" t="str">
        <x:v>EXT-MONDE-T003/seed</x:v>
      </x:c>
      <x:c r="B28" s="16" t="str">
        <x:v>EXT-MONDE-T003</x:v>
      </x:c>
      <x:c r="C28" s="16" t="str">
        <x:v>Lacs</x:v>
      </x:c>
      <x:c r="D28" s="16" t="str">
        <x:v>Station limnologique</x:v>
      </x:c>
      <x:c r="E28" s="16" t="str">
        <x:v>Implantation et réseaux</x:v>
      </x:c>
      <x:c r="F28" s="16" t="str">
        <x:v>P0</x:v>
      </x:c>
      <x:c r="G28" s="16" t="str">
        <x:v>À faire</x:v>
      </x:c>
      <x:c r="H28" s="16" t="str">
        <x:v>Non affecté</x:v>
      </x:c>
      <x:c r="I28" s="16" t="str">
        <x:v>Rive et profondeur compatibles ; retour terrestre praticable ; aucun ponton flottant sans support.</x:v>
      </x:c>
      <x:c r="J28" s="16" t="str"/>
    </x:row>
    <x:row r="29" ht="34" customHeight="1">
      <x:c r="A29" s="16" t="str">
        <x:v>EXT-MONDE-T003/props</x:v>
      </x:c>
      <x:c r="B29" s="16" t="str">
        <x:v>EXT-MONDE-T003</x:v>
      </x:c>
      <x:c r="C29" s="16" t="str">
        <x:v>Lacs</x:v>
      </x:c>
      <x:c r="D29" s="16" t="str">
        <x:v>Station limnologique</x:v>
      </x:c>
      <x:c r="E29" s="16" t="str">
        <x:v>Objets, décors et dégagements</x:v>
      </x:c>
      <x:c r="F29" s="16" t="str">
        <x:v>P1</x:v>
      </x:c>
      <x:c r="G29" s="16" t="str">
        <x:v>En cours</x:v>
      </x:c>
      <x:c r="H29" s="16" t="str">
        <x:v>Production Codex</x:v>
      </x:c>
      <x:c r="I29" s="16" t="str">
        <x:v>Livrable explicite, tests positifs et négatifs ; aucune validation déduite de la seule présence de la fiche.</x:v>
      </x:c>
      <x:c r="J29" s="16" t="str">
        <x:v>https://github.com/darknigthmare/deadwall-last-enclosure/blob/1b3b9c5ba232734b1bda3453b4e20a0481bcdd74/docs/codex/suivi-monde2026/INSPECTION_PHYSIQUE_2026.md</x:v>
      </x:c>
    </x:row>
    <x:row r="30" ht="34" customHeight="1">
      <x:c r="A30" s="16" t="str">
        <x:v>EXT-MONDE-T003/loot</x:v>
      </x:c>
      <x:c r="B30" s="16" t="str">
        <x:v>EXT-MONDE-T003</x:v>
      </x:c>
      <x:c r="C30" s="16" t="str">
        <x:v>Lacs</x:v>
      </x:c>
      <x:c r="D30" s="16" t="str">
        <x:v>Station limnologique</x:v>
      </x:c>
      <x:c r="E30" s="16" t="str">
        <x:v>Budget de butin persistant</x:v>
      </x:c>
      <x:c r="F30" s="16" t="str">
        <x:v>P1</x:v>
      </x:c>
      <x:c r="G30" s="16" t="str">
        <x:v>À faire</x:v>
      </x:c>
      <x:c r="H30" s="16" t="str">
        <x:v>Non affecté</x:v>
      </x:c>
      <x:c r="I30" s="16" t="str">
        <x:v>Livrable explicite, tests positifs et négatifs ; aucune validation déduite de la seule présence de la fiche.</x:v>
      </x:c>
      <x:c r="J30" s="16" t="str"/>
    </x:row>
    <x:row r="31" ht="34" customHeight="1">
      <x:c r="A31" s="16" t="str">
        <x:v>EXT-MONDE-T003/rencontres</x:v>
      </x:c>
      <x:c r="B31" s="16" t="str">
        <x:v>EXT-MONDE-T003</x:v>
      </x:c>
      <x:c r="C31" s="16" t="str">
        <x:v>Lacs</x:v>
      </x:c>
      <x:c r="D31" s="16" t="str">
        <x:v>Station limnologique</x:v>
      </x:c>
      <x:c r="E31" s="16" t="str">
        <x:v>Ennemis et faune contextualisés</x:v>
      </x:c>
      <x:c r="F31" s="16" t="str">
        <x:v>P1</x:v>
      </x:c>
      <x:c r="G31" s="16" t="str">
        <x:v>À faire</x:v>
      </x:c>
      <x:c r="H31" s="16" t="str">
        <x:v>Non affecté</x:v>
      </x:c>
      <x:c r="I31" s="16" t="str">
        <x:v>Livrable explicite, tests positifs et négatifs ; aucune validation déduite de la seule présence de la fiche.</x:v>
      </x:c>
      <x:c r="J31" s="16" t="str"/>
    </x:row>
    <x:row r="32" ht="34" customHeight="1">
      <x:c r="A32" s="16" t="str">
        <x:v>EXT-MONDE-T003/services</x:v>
      </x:c>
      <x:c r="B32" s="16" t="str">
        <x:v>EXT-MONDE-T003</x:v>
      </x:c>
      <x:c r="C32" s="16" t="str">
        <x:v>Lacs</x:v>
      </x:c>
      <x:c r="D32" s="16" t="str">
        <x:v>Station limnologique</x:v>
      </x:c>
      <x:c r="E32" s="16" t="str">
        <x:v>Énergie, eau et interactions</x:v>
      </x:c>
      <x:c r="F32" s="16" t="str">
        <x:v>P1</x:v>
      </x:c>
      <x:c r="G32" s="16" t="str">
        <x:v>À faire</x:v>
      </x:c>
      <x:c r="H32" s="16" t="str">
        <x:v>Non affecté</x:v>
      </x:c>
      <x:c r="I32" s="16" t="str">
        <x:v>Livrable explicite, tests positifs et négatifs ; aucune validation déduite de la seule présence de la fiche.</x:v>
      </x:c>
      <x:c r="J32" s="16" t="str"/>
    </x:row>
    <x:row r="33" ht="34" customHeight="1">
      <x:c r="A33" s="16" t="str">
        <x:v>EXT-MONDE-T003/art</x:v>
      </x:c>
      <x:c r="B33" s="16" t="str">
        <x:v>EXT-MONDE-T003</x:v>
      </x:c>
      <x:c r="C33" s="16" t="str">
        <x:v>Lacs</x:v>
      </x:c>
      <x:c r="D33" s="16" t="str">
        <x:v>Station limnologique</x:v>
      </x:c>
      <x:c r="E33" s="16" t="str">
        <x:v>Sprites, proportions et animations</x:v>
      </x:c>
      <x:c r="F33" s="16" t="str">
        <x:v>P1</x:v>
      </x:c>
      <x:c r="G33" s="16" t="str">
        <x:v>À faire</x:v>
      </x:c>
      <x:c r="H33" s="16" t="str">
        <x:v>Non affecté</x:v>
      </x:c>
      <x:c r="I33" s="16" t="str">
        <x:v>Livrable explicite, tests positifs et négatifs ; aucune validation déduite de la seule présence de la fiche.</x:v>
      </x:c>
      <x:c r="J33" s="16" t="str"/>
    </x:row>
    <x:row r="34" ht="34" customHeight="1">
      <x:c r="A34" s="16" t="str">
        <x:v>EXT-MONDE-T003/sauvegarde</x:v>
      </x:c>
      <x:c r="B34" s="16" t="str">
        <x:v>EXT-MONDE-T003</x:v>
      </x:c>
      <x:c r="C34" s="16" t="str">
        <x:v>Lacs</x:v>
      </x:c>
      <x:c r="D34" s="16" t="str">
        <x:v>Station limnologique</x:v>
      </x:c>
      <x:c r="E34" s="16" t="str">
        <x:v>Identités, migration et reprise</x:v>
      </x:c>
      <x:c r="F34" s="16" t="str">
        <x:v>P1</x:v>
      </x:c>
      <x:c r="G34" s="16" t="str">
        <x:v>En cours</x:v>
      </x:c>
      <x:c r="H34" s="16" t="str">
        <x:v>Production Codex</x:v>
      </x:c>
      <x:c r="I34" s="16" t="str">
        <x:v>Livrable explicite, tests positifs et négatifs ; aucune validation déduite de la seule présence de la fiche.</x:v>
      </x:c>
      <x:c r="J34" s="16" t="str">
        <x:v>https://github.com/darknigthmare/deadwall-last-enclosure/blob/1b3b9c5ba232734b1bda3453b4e20a0481bcdd74/docs/codex/suivi-monde2026/INSPECTION_PHYSIQUE_2026.md</x:v>
      </x:c>
    </x:row>
    <x:row r="35" ht="34" customHeight="1">
      <x:c r="A35" s="16" t="str">
        <x:v>EXT-MONDE-T003/qa</x:v>
      </x:c>
      <x:c r="B35" s="16" t="str">
        <x:v>EXT-MONDE-T003</x:v>
      </x:c>
      <x:c r="C35" s="16" t="str">
        <x:v>Lacs</x:v>
      </x:c>
      <x:c r="D35" s="16" t="str">
        <x:v>Station limnologique</x:v>
      </x:c>
      <x:c r="E35" s="16" t="str">
        <x:v>Navigation et parcours jouables</x:v>
      </x:c>
      <x:c r="F35" s="16" t="str">
        <x:v>P1</x:v>
      </x:c>
      <x:c r="G35" s="16" t="str">
        <x:v>En cours</x:v>
      </x:c>
      <x:c r="H35" s="16" t="str">
        <x:v>Production Codex</x:v>
      </x:c>
      <x:c r="I35" s="16" t="str">
        <x:v>Livrable explicite, tests positifs et négatifs ; aucune validation déduite de la seule présence de la fiche.</x:v>
      </x:c>
      <x:c r="J35" s="16" t="str">
        <x:v>https://github.com/darknigthmare/deadwall-last-enclosure/blob/1b3b9c5ba232734b1bda3453b4e20a0481bcdd74/docs/codex/suivi-monde2026/INSPECTION_PHYSIQUE_2026.md</x:v>
      </x:c>
    </x:row>
    <x:row r="36">
      <x:c r="A36" t="str">
        <x:v>EXT-MONDE-T004/dimensions</x:v>
      </x:c>
      <x:c r="B36" t="str">
        <x:v>EXT-MONDE-T004</x:v>
      </x:c>
      <x:c r="C36" t="str">
        <x:v>Lacs</x:v>
      </x:c>
      <x:c r="D36" t="str">
        <x:v>Camping de rive</x:v>
      </x:c>
      <x:c r="E36" t="str">
        <x:v>Dimensions et plans de référence</x:v>
      </x:c>
      <x:c r="F36" t="str">
        <x:v>P0</x:v>
      </x:c>
      <x:c r="G36" t="str">
        <x:v>En cours</x:v>
      </x:c>
      <x:c r="H36" t="str">
        <x:v>Production Codex</x:v>
      </x:c>
      <x:c r="I36" t="str">
        <x:v>Sources publiques identifiées ; unités en mètres ; emprise au sol distincte de la hauteur.</x:v>
      </x:c>
      <x:c r="J36" t="str">
        <x:v>https://github.com/darknigthmare/deadwall-last-enclosure/blob/1b3b9c5ba232734b1bda3453b4e20a0481bcdd74/docs/codex/suivi-monde2026/LACUSTRE_2026.md</x:v>
      </x:c>
    </x:row>
    <x:row r="37">
      <x:c r="A37" t="str">
        <x:v>EXT-MONDE-T004/architecture</x:v>
      </x:c>
      <x:c r="B37" t="str">
        <x:v>EXT-MONDE-T004</x:v>
      </x:c>
      <x:c r="C37" t="str">
        <x:v>Lacs</x:v>
      </x:c>
      <x:c r="D37" t="str">
        <x:v>Camping de rive</x:v>
      </x:c>
      <x:c r="E37" t="str">
        <x:v>Pièces, étages, annexes</x:v>
      </x:c>
      <x:c r="F37" t="str">
        <x:v>P0</x:v>
      </x:c>
      <x:c r="G37" t="str">
        <x:v>En cours</x:v>
      </x:c>
      <x:c r="H37" t="str">
        <x:v>Production Codex</x:v>
      </x:c>
      <x:c r="I37" t="str">
        <x:v>Livrable explicite, tests positifs et négatifs ; aucune validation déduite de la seule présence de la fiche.</x:v>
      </x:c>
      <x:c r="J37" t="str">
        <x:v>https://github.com/darknigthmare/deadwall-last-enclosure/blob/1b3b9c5ba232734b1bda3453b4e20a0481bcdd74/docs/codex/suivi-monde2026/INSPECTION_PHYSIQUE_2026.md</x:v>
      </x:c>
    </x:row>
    <x:row r="38">
      <x:c r="A38" t="str">
        <x:v>EXT-MONDE-T004/seed</x:v>
      </x:c>
      <x:c r="B38" t="str">
        <x:v>EXT-MONDE-T004</x:v>
      </x:c>
      <x:c r="C38" t="str">
        <x:v>Lacs</x:v>
      </x:c>
      <x:c r="D38" t="str">
        <x:v>Camping de rive</x:v>
      </x:c>
      <x:c r="E38" t="str">
        <x:v>Implantation et réseaux</x:v>
      </x:c>
      <x:c r="F38" t="str">
        <x:v>P0</x:v>
      </x:c>
      <x:c r="G38" t="str">
        <x:v>À faire</x:v>
      </x:c>
      <x:c r="H38" t="str">
        <x:v>Non affecté</x:v>
      </x:c>
      <x:c r="I38" t="str">
        <x:v>Rive et profondeur compatibles ; retour terrestre praticable ; aucun ponton flottant sans support.</x:v>
      </x:c>
      <x:c r="J38" t="str"/>
    </x:row>
    <x:row r="39">
      <x:c r="A39" t="str">
        <x:v>EXT-MONDE-T004/props</x:v>
      </x:c>
      <x:c r="B39" t="str">
        <x:v>EXT-MONDE-T004</x:v>
      </x:c>
      <x:c r="C39" t="str">
        <x:v>Lacs</x:v>
      </x:c>
      <x:c r="D39" t="str">
        <x:v>Camping de rive</x:v>
      </x:c>
      <x:c r="E39" t="str">
        <x:v>Objets, décors et dégagements</x:v>
      </x:c>
      <x:c r="F39" t="str">
        <x:v>P1</x:v>
      </x:c>
      <x:c r="G39" t="str">
        <x:v>En cours</x:v>
      </x:c>
      <x:c r="H39" t="str">
        <x:v>Production Codex</x:v>
      </x:c>
      <x:c r="I39" t="str">
        <x:v>Livrable explicite, tests positifs et négatifs ; aucune validation déduite de la seule présence de la fiche.</x:v>
      </x:c>
      <x:c r="J39" t="str">
        <x:v>https://github.com/darknigthmare/deadwall-last-enclosure/blob/1b3b9c5ba232734b1bda3453b4e20a0481bcdd74/docs/codex/suivi-monde2026/INSPECTION_PHYSIQUE_2026.md</x:v>
      </x:c>
    </x:row>
    <x:row r="40">
      <x:c r="A40" t="str">
        <x:v>EXT-MONDE-T004/loot</x:v>
      </x:c>
      <x:c r="B40" t="str">
        <x:v>EXT-MONDE-T004</x:v>
      </x:c>
      <x:c r="C40" t="str">
        <x:v>Lacs</x:v>
      </x:c>
      <x:c r="D40" t="str">
        <x:v>Camping de rive</x:v>
      </x:c>
      <x:c r="E40" t="str">
        <x:v>Budget de butin persistant</x:v>
      </x:c>
      <x:c r="F40" t="str">
        <x:v>P1</x:v>
      </x:c>
      <x:c r="G40" t="str">
        <x:v>À faire</x:v>
      </x:c>
      <x:c r="H40" t="str">
        <x:v>Non affecté</x:v>
      </x:c>
      <x:c r="I40" t="str">
        <x:v>Livrable explicite, tests positifs et négatifs ; aucune validation déduite de la seule présence de la fiche.</x:v>
      </x:c>
      <x:c r="J40" t="str"/>
    </x:row>
    <x:row r="41">
      <x:c r="A41" t="str">
        <x:v>EXT-MONDE-T004/rencontres</x:v>
      </x:c>
      <x:c r="B41" t="str">
        <x:v>EXT-MONDE-T004</x:v>
      </x:c>
      <x:c r="C41" t="str">
        <x:v>Lacs</x:v>
      </x:c>
      <x:c r="D41" t="str">
        <x:v>Camping de rive</x:v>
      </x:c>
      <x:c r="E41" t="str">
        <x:v>Ennemis et faune contextualisés</x:v>
      </x:c>
      <x:c r="F41" t="str">
        <x:v>P1</x:v>
      </x:c>
      <x:c r="G41" t="str">
        <x:v>À faire</x:v>
      </x:c>
      <x:c r="H41" t="str">
        <x:v>Non affecté</x:v>
      </x:c>
      <x:c r="I41" t="str">
        <x:v>Livrable explicite, tests positifs et négatifs ; aucune validation déduite de la seule présence de la fiche.</x:v>
      </x:c>
      <x:c r="J41" t="str"/>
    </x:row>
    <x:row r="42">
      <x:c r="A42" t="str">
        <x:v>EXT-MONDE-T004/services</x:v>
      </x:c>
      <x:c r="B42" t="str">
        <x:v>EXT-MONDE-T004</x:v>
      </x:c>
      <x:c r="C42" t="str">
        <x:v>Lacs</x:v>
      </x:c>
      <x:c r="D42" t="str">
        <x:v>Camping de rive</x:v>
      </x:c>
      <x:c r="E42" t="str">
        <x:v>Énergie, eau et interactions</x:v>
      </x:c>
      <x:c r="F42" t="str">
        <x:v>P1</x:v>
      </x:c>
      <x:c r="G42" t="str">
        <x:v>À faire</x:v>
      </x:c>
      <x:c r="H42" t="str">
        <x:v>Non affecté</x:v>
      </x:c>
      <x:c r="I42" t="str">
        <x:v>Livrable explicite, tests positifs et négatifs ; aucune validation déduite de la seule présence de la fiche.</x:v>
      </x:c>
      <x:c r="J42" t="str"/>
    </x:row>
    <x:row r="43">
      <x:c r="A43" t="str">
        <x:v>EXT-MONDE-T004/art</x:v>
      </x:c>
      <x:c r="B43" t="str">
        <x:v>EXT-MONDE-T004</x:v>
      </x:c>
      <x:c r="C43" t="str">
        <x:v>Lacs</x:v>
      </x:c>
      <x:c r="D43" t="str">
        <x:v>Camping de rive</x:v>
      </x:c>
      <x:c r="E43" t="str">
        <x:v>Sprites, proportions et animations</x:v>
      </x:c>
      <x:c r="F43" t="str">
        <x:v>P1</x:v>
      </x:c>
      <x:c r="G43" t="str">
        <x:v>À faire</x:v>
      </x:c>
      <x:c r="H43" t="str">
        <x:v>Non affecté</x:v>
      </x:c>
      <x:c r="I43" t="str">
        <x:v>Livrable explicite, tests positifs et négatifs ; aucune validation déduite de la seule présence de la fiche.</x:v>
      </x:c>
      <x:c r="J43" t="str"/>
    </x:row>
    <x:row r="44">
      <x:c r="A44" t="str">
        <x:v>EXT-MONDE-T004/sauvegarde</x:v>
      </x:c>
      <x:c r="B44" t="str">
        <x:v>EXT-MONDE-T004</x:v>
      </x:c>
      <x:c r="C44" t="str">
        <x:v>Lacs</x:v>
      </x:c>
      <x:c r="D44" t="str">
        <x:v>Camping de rive</x:v>
      </x:c>
      <x:c r="E44" t="str">
        <x:v>Identités, migration et reprise</x:v>
      </x:c>
      <x:c r="F44" t="str">
        <x:v>P1</x:v>
      </x:c>
      <x:c r="G44" t="str">
        <x:v>En cours</x:v>
      </x:c>
      <x:c r="H44" t="str">
        <x:v>Production Codex</x:v>
      </x:c>
      <x:c r="I44" t="str">
        <x:v>Livrable explicite, tests positifs et négatifs ; aucune validation déduite de la seule présence de la fiche.</x:v>
      </x:c>
      <x:c r="J44" t="str">
        <x:v>https://github.com/darknigthmare/deadwall-last-enclosure/blob/1b3b9c5ba232734b1bda3453b4e20a0481bcdd74/docs/codex/suivi-monde2026/INSPECTION_PHYSIQUE_2026.md</x:v>
      </x:c>
    </x:row>
    <x:row r="45">
      <x:c r="A45" t="str">
        <x:v>EXT-MONDE-T004/qa</x:v>
      </x:c>
      <x:c r="B45" t="str">
        <x:v>EXT-MONDE-T004</x:v>
      </x:c>
      <x:c r="C45" t="str">
        <x:v>Lacs</x:v>
      </x:c>
      <x:c r="D45" t="str">
        <x:v>Camping de rive</x:v>
      </x:c>
      <x:c r="E45" t="str">
        <x:v>Navigation et parcours jouables</x:v>
      </x:c>
      <x:c r="F45" t="str">
        <x:v>P1</x:v>
      </x:c>
      <x:c r="G45" t="str">
        <x:v>En cours</x:v>
      </x:c>
      <x:c r="H45" t="str">
        <x:v>Production Codex</x:v>
      </x:c>
      <x:c r="I45" t="str">
        <x:v>Livrable explicite, tests positifs et négatifs ; aucune validation déduite de la seule présence de la fiche.</x:v>
      </x:c>
      <x:c r="J45" t="str">
        <x:v>https://github.com/darknigthmare/deadwall-last-enclosure/blob/1b3b9c5ba232734b1bda3453b4e20a0481bcdd74/docs/codex/suivi-monde2026/INSPECTION_PHYSIQUE_2026.md</x:v>
      </x:c>
    </x:row>
    <x:row r="46">
      <x:c r="A46" t="str">
        <x:v>EXT-MONDE-T005/dimensions</x:v>
      </x:c>
      <x:c r="B46" t="str">
        <x:v>EXT-MONDE-T005</x:v>
      </x:c>
      <x:c r="C46" t="str">
        <x:v>Navires de haute mer</x:v>
      </x:c>
      <x:c r="D46" t="str">
        <x:v>Cargo polyvalent</x:v>
      </x:c>
      <x:c r="E46" t="str">
        <x:v>Dimensions et plans de référence</x:v>
      </x:c>
      <x:c r="F46" t="str">
        <x:v>P0</x:v>
      </x:c>
      <x:c r="G46" t="str">
        <x:v>En cours</x:v>
      </x:c>
      <x:c r="H46" t="str">
        <x:v>Production Codex</x:v>
      </x:c>
      <x:c r="I46" t="str">
        <x:v>Sources publiques identifiées ; unités en mètres ; emprise au sol distincte de la hauteur.</x:v>
      </x:c>
      <x:c r="J46" t="str">
        <x:v>https://github.com/darknigthmare/deadwall-last-enclosure/blob/1b3b9c5ba232734b1bda3453b4e20a0481bcdd74/docs/codex/suivi-monde2026/MARITIME_AUTEUR_2026.md</x:v>
      </x:c>
    </x:row>
    <x:row r="47">
      <x:c r="A47" t="str">
        <x:v>EXT-MONDE-T005/architecture</x:v>
      </x:c>
      <x:c r="B47" t="str">
        <x:v>EXT-MONDE-T005</x:v>
      </x:c>
      <x:c r="C47" t="str">
        <x:v>Navires de haute mer</x:v>
      </x:c>
      <x:c r="D47" t="str">
        <x:v>Cargo polyvalent</x:v>
      </x:c>
      <x:c r="E47" t="str">
        <x:v>Pièces, étages, annexes</x:v>
      </x:c>
      <x:c r="F47" t="str">
        <x:v>P0</x:v>
      </x:c>
      <x:c r="G47" t="str">
        <x:v>En cours</x:v>
      </x:c>
      <x:c r="H47" t="str">
        <x:v>Production Codex</x:v>
      </x:c>
      <x:c r="I47" t="str">
        <x:v>Livrable explicite, tests positifs et négatifs ; aucune validation déduite de la seule présence de la fiche.</x:v>
      </x:c>
      <x:c r="J47" t="str">
        <x:v>https://github.com/darknigthmare/deadwall-last-enclosure/blob/1b3b9c5ba232734b1bda3453b4e20a0481bcdd74/docs/codex/suivi-monde2026/INSPECTION_PHYSIQUE_2026.md</x:v>
      </x:c>
    </x:row>
    <x:row r="48">
      <x:c r="A48" t="str">
        <x:v>EXT-MONDE-T005/seed</x:v>
      </x:c>
      <x:c r="B48" t="str">
        <x:v>EXT-MONDE-T005</x:v>
      </x:c>
      <x:c r="C48" t="str">
        <x:v>Navires de haute mer</x:v>
      </x:c>
      <x:c r="D48" t="str">
        <x:v>Cargo polyvalent</x:v>
      </x:c>
      <x:c r="E48" t="str">
        <x:v>Implantation et réseaux</x:v>
      </x:c>
      <x:c r="F48" t="str">
        <x:v>P0</x:v>
      </x:c>
      <x:c r="G48" t="str">
        <x:v>À faire</x:v>
      </x:c>
      <x:c r="H48" t="str">
        <x:v>Non affecté</x:v>
      </x:c>
      <x:c r="I48" t="str">
        <x:v>Tirant d’eau, compartiments et accès à vérifier par type ; aucune circulation piétonne sur eau.</x:v>
      </x:c>
      <x:c r="J48" t="str"/>
    </x:row>
    <x:row r="49">
      <x:c r="A49" t="str">
        <x:v>EXT-MONDE-T005/props</x:v>
      </x:c>
      <x:c r="B49" t="str">
        <x:v>EXT-MONDE-T005</x:v>
      </x:c>
      <x:c r="C49" t="str">
        <x:v>Navires de haute mer</x:v>
      </x:c>
      <x:c r="D49" t="str">
        <x:v>Cargo polyvalent</x:v>
      </x:c>
      <x:c r="E49" t="str">
        <x:v>Objets, décors et dégagements</x:v>
      </x:c>
      <x:c r="F49" t="str">
        <x:v>P1</x:v>
      </x:c>
      <x:c r="G49" t="str">
        <x:v>En cours</x:v>
      </x:c>
      <x:c r="H49" t="str">
        <x:v>Production Codex</x:v>
      </x:c>
      <x:c r="I49" t="str">
        <x:v>Livrable explicite, tests positifs et négatifs ; aucune validation déduite de la seule présence de la fiche.</x:v>
      </x:c>
      <x:c r="J49" t="str">
        <x:v>https://github.com/darknigthmare/deadwall-last-enclosure/blob/1b3b9c5ba232734b1bda3453b4e20a0481bcdd74/docs/codex/suivi-monde2026/INSPECTION_PHYSIQUE_2026.md</x:v>
      </x:c>
    </x:row>
    <x:row r="50">
      <x:c r="A50" t="str">
        <x:v>EXT-MONDE-T005/loot</x:v>
      </x:c>
      <x:c r="B50" t="str">
        <x:v>EXT-MONDE-T005</x:v>
      </x:c>
      <x:c r="C50" t="str">
        <x:v>Navires de haute mer</x:v>
      </x:c>
      <x:c r="D50" t="str">
        <x:v>Cargo polyvalent</x:v>
      </x:c>
      <x:c r="E50" t="str">
        <x:v>Budget de butin persistant</x:v>
      </x:c>
      <x:c r="F50" t="str">
        <x:v>P1</x:v>
      </x:c>
      <x:c r="G50" t="str">
        <x:v>À faire</x:v>
      </x:c>
      <x:c r="H50" t="str">
        <x:v>Non affecté</x:v>
      </x:c>
      <x:c r="I50" t="str">
        <x:v>Livrable explicite, tests positifs et négatifs ; aucune validation déduite de la seule présence de la fiche.</x:v>
      </x:c>
      <x:c r="J50" t="str"/>
    </x:row>
    <x:row r="51">
      <x:c r="A51" t="str">
        <x:v>EXT-MONDE-T005/rencontres</x:v>
      </x:c>
      <x:c r="B51" t="str">
        <x:v>EXT-MONDE-T005</x:v>
      </x:c>
      <x:c r="C51" t="str">
        <x:v>Navires de haute mer</x:v>
      </x:c>
      <x:c r="D51" t="str">
        <x:v>Cargo polyvalent</x:v>
      </x:c>
      <x:c r="E51" t="str">
        <x:v>Ennemis et faune contextualisés</x:v>
      </x:c>
      <x:c r="F51" t="str">
        <x:v>P1</x:v>
      </x:c>
      <x:c r="G51" t="str">
        <x:v>À faire</x:v>
      </x:c>
      <x:c r="H51" t="str">
        <x:v>Non affecté</x:v>
      </x:c>
      <x:c r="I51" t="str">
        <x:v>Livrable explicite, tests positifs et négatifs ; aucune validation déduite de la seule présence de la fiche.</x:v>
      </x:c>
      <x:c r="J51" t="str"/>
    </x:row>
    <x:row r="52">
      <x:c r="A52" t="str">
        <x:v>EXT-MONDE-T005/services</x:v>
      </x:c>
      <x:c r="B52" t="str">
        <x:v>EXT-MONDE-T005</x:v>
      </x:c>
      <x:c r="C52" t="str">
        <x:v>Navires de haute mer</x:v>
      </x:c>
      <x:c r="D52" t="str">
        <x:v>Cargo polyvalent</x:v>
      </x:c>
      <x:c r="E52" t="str">
        <x:v>Énergie, eau et interactions</x:v>
      </x:c>
      <x:c r="F52" t="str">
        <x:v>P1</x:v>
      </x:c>
      <x:c r="G52" t="str">
        <x:v>À faire</x:v>
      </x:c>
      <x:c r="H52" t="str">
        <x:v>Non affecté</x:v>
      </x:c>
      <x:c r="I52" t="str">
        <x:v>Livrable explicite, tests positifs et négatifs ; aucune validation déduite de la seule présence de la fiche.</x:v>
      </x:c>
      <x:c r="J52" t="str"/>
    </x:row>
    <x:row r="53">
      <x:c r="A53" t="str">
        <x:v>EXT-MONDE-T005/art</x:v>
      </x:c>
      <x:c r="B53" t="str">
        <x:v>EXT-MONDE-T005</x:v>
      </x:c>
      <x:c r="C53" t="str">
        <x:v>Navires de haute mer</x:v>
      </x:c>
      <x:c r="D53" t="str">
        <x:v>Cargo polyvalent</x:v>
      </x:c>
      <x:c r="E53" t="str">
        <x:v>Sprites, proportions et animations</x:v>
      </x:c>
      <x:c r="F53" t="str">
        <x:v>P1</x:v>
      </x:c>
      <x:c r="G53" t="str">
        <x:v>À faire</x:v>
      </x:c>
      <x:c r="H53" t="str">
        <x:v>Non affecté</x:v>
      </x:c>
      <x:c r="I53" t="str">
        <x:v>Livrable explicite, tests positifs et négatifs ; aucune validation déduite de la seule présence de la fiche.</x:v>
      </x:c>
      <x:c r="J53" t="str"/>
    </x:row>
    <x:row r="54">
      <x:c r="A54" t="str">
        <x:v>EXT-MONDE-T005/sauvegarde</x:v>
      </x:c>
      <x:c r="B54" t="str">
        <x:v>EXT-MONDE-T005</x:v>
      </x:c>
      <x:c r="C54" t="str">
        <x:v>Navires de haute mer</x:v>
      </x:c>
      <x:c r="D54" t="str">
        <x:v>Cargo polyvalent</x:v>
      </x:c>
      <x:c r="E54" t="str">
        <x:v>Identités, migration et reprise</x:v>
      </x:c>
      <x:c r="F54" t="str">
        <x:v>P1</x:v>
      </x:c>
      <x:c r="G54" t="str">
        <x:v>En cours</x:v>
      </x:c>
      <x:c r="H54" t="str">
        <x:v>Production Codex</x:v>
      </x:c>
      <x:c r="I54" t="str">
        <x:v>Livrable explicite, tests positifs et négatifs ; aucune validation déduite de la seule présence de la fiche.</x:v>
      </x:c>
      <x:c r="J54" t="str">
        <x:v>https://github.com/darknigthmare/deadwall-last-enclosure/blob/1b3b9c5ba232734b1bda3453b4e20a0481bcdd74/docs/codex/suivi-monde2026/INSPECTION_PHYSIQUE_2026.md</x:v>
      </x:c>
    </x:row>
    <x:row r="55">
      <x:c r="A55" t="str">
        <x:v>EXT-MONDE-T005/qa</x:v>
      </x:c>
      <x:c r="B55" t="str">
        <x:v>EXT-MONDE-T005</x:v>
      </x:c>
      <x:c r="C55" t="str">
        <x:v>Navires de haute mer</x:v>
      </x:c>
      <x:c r="D55" t="str">
        <x:v>Cargo polyvalent</x:v>
      </x:c>
      <x:c r="E55" t="str">
        <x:v>Navigation et parcours jouables</x:v>
      </x:c>
      <x:c r="F55" t="str">
        <x:v>P1</x:v>
      </x:c>
      <x:c r="G55" t="str">
        <x:v>En cours</x:v>
      </x:c>
      <x:c r="H55" t="str">
        <x:v>Production Codex</x:v>
      </x:c>
      <x:c r="I55" t="str">
        <x:v>Livrable explicite, tests positifs et négatifs ; aucune validation déduite de la seule présence de la fiche.</x:v>
      </x:c>
      <x:c r="J55" t="str">
        <x:v>https://github.com/darknigthmare/deadwall-last-enclosure/blob/1b3b9c5ba232734b1bda3453b4e20a0481bcdd74/docs/codex/suivi-monde2026/INSPECTION_PHYSIQUE_2026.md</x:v>
      </x:c>
    </x:row>
    <x:row r="56">
      <x:c r="A56" t="str">
        <x:v>EXT-MONDE-T006/dimensions</x:v>
      </x:c>
      <x:c r="B56" t="str">
        <x:v>EXT-MONDE-T006</x:v>
      </x:c>
      <x:c r="C56" t="str">
        <x:v>Navires de haute mer</x:v>
      </x:c>
      <x:c r="D56" t="str">
        <x:v>Pétrolier océanique</x:v>
      </x:c>
      <x:c r="E56" t="str">
        <x:v>Dimensions et plans de référence</x:v>
      </x:c>
      <x:c r="F56" t="str">
        <x:v>P0</x:v>
      </x:c>
      <x:c r="G56" t="str">
        <x:v>En cours</x:v>
      </x:c>
      <x:c r="H56" t="str">
        <x:v>Production Codex</x:v>
      </x:c>
      <x:c r="I56" t="str">
        <x:v>Sources publiques identifiées ; unités en mètres ; emprise au sol distincte de la hauteur.</x:v>
      </x:c>
      <x:c r="J56" t="str">
        <x:v>https://github.com/darknigthmare/deadwall-last-enclosure/blob/1b3b9c5ba232734b1bda3453b4e20a0481bcdd74/docs/codex/suivi-monde2026/MARITIME_AUTEUR_2026.md</x:v>
      </x:c>
    </x:row>
    <x:row r="57">
      <x:c r="A57" t="str">
        <x:v>EXT-MONDE-T006/architecture</x:v>
      </x:c>
      <x:c r="B57" t="str">
        <x:v>EXT-MONDE-T006</x:v>
      </x:c>
      <x:c r="C57" t="str">
        <x:v>Navires de haute mer</x:v>
      </x:c>
      <x:c r="D57" t="str">
        <x:v>Pétrolier océanique</x:v>
      </x:c>
      <x:c r="E57" t="str">
        <x:v>Pièces, étages, annexes</x:v>
      </x:c>
      <x:c r="F57" t="str">
        <x:v>P0</x:v>
      </x:c>
      <x:c r="G57" t="str">
        <x:v>En cours</x:v>
      </x:c>
      <x:c r="H57" t="str">
        <x:v>Production Codex</x:v>
      </x:c>
      <x:c r="I57" t="str">
        <x:v>Livrable explicite, tests positifs et négatifs ; aucune validation déduite de la seule présence de la fiche.</x:v>
      </x:c>
      <x:c r="J57" t="str">
        <x:v>https://github.com/darknigthmare/deadwall-last-enclosure/blob/1b3b9c5ba232734b1bda3453b4e20a0481bcdd74/docs/codex/suivi-monde2026/INSPECTION_PHYSIQUE_2026.md</x:v>
      </x:c>
    </x:row>
    <x:row r="58">
      <x:c r="A58" t="str">
        <x:v>EXT-MONDE-T006/seed</x:v>
      </x:c>
      <x:c r="B58" t="str">
        <x:v>EXT-MONDE-T006</x:v>
      </x:c>
      <x:c r="C58" t="str">
        <x:v>Navires de haute mer</x:v>
      </x:c>
      <x:c r="D58" t="str">
        <x:v>Pétrolier océanique</x:v>
      </x:c>
      <x:c r="E58" t="str">
        <x:v>Implantation et réseaux</x:v>
      </x:c>
      <x:c r="F58" t="str">
        <x:v>P0</x:v>
      </x:c>
      <x:c r="G58" t="str">
        <x:v>À faire</x:v>
      </x:c>
      <x:c r="H58" t="str">
        <x:v>Non affecté</x:v>
      </x:c>
      <x:c r="I58" t="str">
        <x:v>Tirant d’eau, compartiments et accès à vérifier par type ; aucune circulation piétonne sur eau.</x:v>
      </x:c>
      <x:c r="J58" t="str"/>
    </x:row>
    <x:row r="59">
      <x:c r="A59" t="str">
        <x:v>EXT-MONDE-T006/props</x:v>
      </x:c>
      <x:c r="B59" t="str">
        <x:v>EXT-MONDE-T006</x:v>
      </x:c>
      <x:c r="C59" t="str">
        <x:v>Navires de haute mer</x:v>
      </x:c>
      <x:c r="D59" t="str">
        <x:v>Pétrolier océanique</x:v>
      </x:c>
      <x:c r="E59" t="str">
        <x:v>Objets, décors et dégagements</x:v>
      </x:c>
      <x:c r="F59" t="str">
        <x:v>P1</x:v>
      </x:c>
      <x:c r="G59" t="str">
        <x:v>En cours</x:v>
      </x:c>
      <x:c r="H59" t="str">
        <x:v>Production Codex</x:v>
      </x:c>
      <x:c r="I59" t="str">
        <x:v>Livrable explicite, tests positifs et négatifs ; aucune validation déduite de la seule présence de la fiche.</x:v>
      </x:c>
      <x:c r="J59" t="str">
        <x:v>https://github.com/darknigthmare/deadwall-last-enclosure/blob/1b3b9c5ba232734b1bda3453b4e20a0481bcdd74/docs/codex/suivi-monde2026/INSPECTION_PHYSIQUE_2026.md</x:v>
      </x:c>
    </x:row>
    <x:row r="60">
      <x:c r="A60" t="str">
        <x:v>EXT-MONDE-T006/loot</x:v>
      </x:c>
      <x:c r="B60" t="str">
        <x:v>EXT-MONDE-T006</x:v>
      </x:c>
      <x:c r="C60" t="str">
        <x:v>Navires de haute mer</x:v>
      </x:c>
      <x:c r="D60" t="str">
        <x:v>Pétrolier océanique</x:v>
      </x:c>
      <x:c r="E60" t="str">
        <x:v>Budget de butin persistant</x:v>
      </x:c>
      <x:c r="F60" t="str">
        <x:v>P1</x:v>
      </x:c>
      <x:c r="G60" t="str">
        <x:v>À faire</x:v>
      </x:c>
      <x:c r="H60" t="str">
        <x:v>Non affecté</x:v>
      </x:c>
      <x:c r="I60" t="str">
        <x:v>Livrable explicite, tests positifs et négatifs ; aucune validation déduite de la seule présence de la fiche.</x:v>
      </x:c>
      <x:c r="J60" t="str"/>
    </x:row>
    <x:row r="61">
      <x:c r="A61" t="str">
        <x:v>EXT-MONDE-T006/rencontres</x:v>
      </x:c>
      <x:c r="B61" t="str">
        <x:v>EXT-MONDE-T006</x:v>
      </x:c>
      <x:c r="C61" t="str">
        <x:v>Navires de haute mer</x:v>
      </x:c>
      <x:c r="D61" t="str">
        <x:v>Pétrolier océanique</x:v>
      </x:c>
      <x:c r="E61" t="str">
        <x:v>Ennemis et faune contextualisés</x:v>
      </x:c>
      <x:c r="F61" t="str">
        <x:v>P1</x:v>
      </x:c>
      <x:c r="G61" t="str">
        <x:v>À faire</x:v>
      </x:c>
      <x:c r="H61" t="str">
        <x:v>Non affecté</x:v>
      </x:c>
      <x:c r="I61" t="str">
        <x:v>Livrable explicite, tests positifs et négatifs ; aucune validation déduite de la seule présence de la fiche.</x:v>
      </x:c>
      <x:c r="J61" t="str"/>
    </x:row>
    <x:row r="62">
      <x:c r="A62" t="str">
        <x:v>EXT-MONDE-T006/services</x:v>
      </x:c>
      <x:c r="B62" t="str">
        <x:v>EXT-MONDE-T006</x:v>
      </x:c>
      <x:c r="C62" t="str">
        <x:v>Navires de haute mer</x:v>
      </x:c>
      <x:c r="D62" t="str">
        <x:v>Pétrolier océanique</x:v>
      </x:c>
      <x:c r="E62" t="str">
        <x:v>Énergie, eau et interactions</x:v>
      </x:c>
      <x:c r="F62" t="str">
        <x:v>P1</x:v>
      </x:c>
      <x:c r="G62" t="str">
        <x:v>À faire</x:v>
      </x:c>
      <x:c r="H62" t="str">
        <x:v>Non affecté</x:v>
      </x:c>
      <x:c r="I62" t="str">
        <x:v>Livrable explicite, tests positifs et négatifs ; aucune validation déduite de la seule présence de la fiche.</x:v>
      </x:c>
      <x:c r="J62" t="str"/>
    </x:row>
    <x:row r="63">
      <x:c r="A63" t="str">
        <x:v>EXT-MONDE-T006/art</x:v>
      </x:c>
      <x:c r="B63" t="str">
        <x:v>EXT-MONDE-T006</x:v>
      </x:c>
      <x:c r="C63" t="str">
        <x:v>Navires de haute mer</x:v>
      </x:c>
      <x:c r="D63" t="str">
        <x:v>Pétrolier océanique</x:v>
      </x:c>
      <x:c r="E63" t="str">
        <x:v>Sprites, proportions et animations</x:v>
      </x:c>
      <x:c r="F63" t="str">
        <x:v>P1</x:v>
      </x:c>
      <x:c r="G63" t="str">
        <x:v>À faire</x:v>
      </x:c>
      <x:c r="H63" t="str">
        <x:v>Non affecté</x:v>
      </x:c>
      <x:c r="I63" t="str">
        <x:v>Livrable explicite, tests positifs et négatifs ; aucune validation déduite de la seule présence de la fiche.</x:v>
      </x:c>
      <x:c r="J63" t="str"/>
    </x:row>
    <x:row r="64">
      <x:c r="A64" t="str">
        <x:v>EXT-MONDE-T006/sauvegarde</x:v>
      </x:c>
      <x:c r="B64" t="str">
        <x:v>EXT-MONDE-T006</x:v>
      </x:c>
      <x:c r="C64" t="str">
        <x:v>Navires de haute mer</x:v>
      </x:c>
      <x:c r="D64" t="str">
        <x:v>Pétrolier océanique</x:v>
      </x:c>
      <x:c r="E64" t="str">
        <x:v>Identités, migration et reprise</x:v>
      </x:c>
      <x:c r="F64" t="str">
        <x:v>P1</x:v>
      </x:c>
      <x:c r="G64" t="str">
        <x:v>En cours</x:v>
      </x:c>
      <x:c r="H64" t="str">
        <x:v>Production Codex</x:v>
      </x:c>
      <x:c r="I64" t="str">
        <x:v>Livrable explicite, tests positifs et négatifs ; aucune validation déduite de la seule présence de la fiche.</x:v>
      </x:c>
      <x:c r="J64" t="str">
        <x:v>https://github.com/darknigthmare/deadwall-last-enclosure/blob/1b3b9c5ba232734b1bda3453b4e20a0481bcdd74/docs/codex/suivi-monde2026/INSPECTION_PHYSIQUE_2026.md</x:v>
      </x:c>
    </x:row>
    <x:row r="65">
      <x:c r="A65" t="str">
        <x:v>EXT-MONDE-T006/qa</x:v>
      </x:c>
      <x:c r="B65" t="str">
        <x:v>EXT-MONDE-T006</x:v>
      </x:c>
      <x:c r="C65" t="str">
        <x:v>Navires de haute mer</x:v>
      </x:c>
      <x:c r="D65" t="str">
        <x:v>Pétrolier océanique</x:v>
      </x:c>
      <x:c r="E65" t="str">
        <x:v>Navigation et parcours jouables</x:v>
      </x:c>
      <x:c r="F65" t="str">
        <x:v>P1</x:v>
      </x:c>
      <x:c r="G65" t="str">
        <x:v>En cours</x:v>
      </x:c>
      <x:c r="H65" t="str">
        <x:v>Production Codex</x:v>
      </x:c>
      <x:c r="I65" t="str">
        <x:v>Livrable explicite, tests positifs et négatifs ; aucune validation déduite de la seule présence de la fiche.</x:v>
      </x:c>
      <x:c r="J65" t="str">
        <x:v>https://github.com/darknigthmare/deadwall-last-enclosure/blob/1b3b9c5ba232734b1bda3453b4e20a0481bcdd74/docs/codex/suivi-monde2026/INSPECTION_PHYSIQUE_2026.md</x:v>
      </x:c>
    </x:row>
    <x:row r="66">
      <x:c r="A66" t="str">
        <x:v>EXT-MONDE-T007/dimensions</x:v>
      </x:c>
      <x:c r="B66" t="str">
        <x:v>EXT-MONDE-T007</x:v>
      </x:c>
      <x:c r="C66" t="str">
        <x:v>Navires de haute mer</x:v>
      </x:c>
      <x:c r="D66" t="str">
        <x:v>Croiseur militaire abandonné</x:v>
      </x:c>
      <x:c r="E66" t="str">
        <x:v>Dimensions et plans de référence</x:v>
      </x:c>
      <x:c r="F66" t="str">
        <x:v>P0</x:v>
      </x:c>
      <x:c r="G66" t="str">
        <x:v>En cours</x:v>
      </x:c>
      <x:c r="H66" t="str">
        <x:v>Production Codex</x:v>
      </x:c>
      <x:c r="I66" t="str">
        <x:v>Sources publiques identifiées ; unités en mètres ; emprise au sol distincte de la hauteur.</x:v>
      </x:c>
      <x:c r="J66" t="str">
        <x:v>https://github.com/darknigthmare/deadwall-last-enclosure/blob/1b3b9c5ba232734b1bda3453b4e20a0481bcdd74/docs/codex/suivi-monde2026/MARITIME_AUTEUR_2026.md</x:v>
      </x:c>
    </x:row>
    <x:row r="67">
      <x:c r="A67" t="str">
        <x:v>EXT-MONDE-T007/architecture</x:v>
      </x:c>
      <x:c r="B67" t="str">
        <x:v>EXT-MONDE-T007</x:v>
      </x:c>
      <x:c r="C67" t="str">
        <x:v>Navires de haute mer</x:v>
      </x:c>
      <x:c r="D67" t="str">
        <x:v>Croiseur militaire abandonné</x:v>
      </x:c>
      <x:c r="E67" t="str">
        <x:v>Pièces, étages, annexes</x:v>
      </x:c>
      <x:c r="F67" t="str">
        <x:v>P0</x:v>
      </x:c>
      <x:c r="G67" t="str">
        <x:v>En cours</x:v>
      </x:c>
      <x:c r="H67" t="str">
        <x:v>Production Codex</x:v>
      </x:c>
      <x:c r="I67" t="str">
        <x:v>Livrable explicite, tests positifs et négatifs ; aucune validation déduite de la seule présence de la fiche.</x:v>
      </x:c>
      <x:c r="J67" t="str">
        <x:v>https://github.com/darknigthmare/deadwall-last-enclosure/blob/1b3b9c5ba232734b1bda3453b4e20a0481bcdd74/docs/codex/suivi-monde2026/INSPECTION_PHYSIQUE_2026.md</x:v>
      </x:c>
    </x:row>
    <x:row r="68">
      <x:c r="A68" t="str">
        <x:v>EXT-MONDE-T007/seed</x:v>
      </x:c>
      <x:c r="B68" t="str">
        <x:v>EXT-MONDE-T007</x:v>
      </x:c>
      <x:c r="C68" t="str">
        <x:v>Navires de haute mer</x:v>
      </x:c>
      <x:c r="D68" t="str">
        <x:v>Croiseur militaire abandonné</x:v>
      </x:c>
      <x:c r="E68" t="str">
        <x:v>Implantation et réseaux</x:v>
      </x:c>
      <x:c r="F68" t="str">
        <x:v>P0</x:v>
      </x:c>
      <x:c r="G68" t="str">
        <x:v>À faire</x:v>
      </x:c>
      <x:c r="H68" t="str">
        <x:v>Non affecté</x:v>
      </x:c>
      <x:c r="I68" t="str">
        <x:v>Tirant d’eau, compartiments et accès à vérifier par type ; aucune circulation piétonne sur eau.</x:v>
      </x:c>
      <x:c r="J68" t="str"/>
    </x:row>
    <x:row r="69">
      <x:c r="A69" t="str">
        <x:v>EXT-MONDE-T007/props</x:v>
      </x:c>
      <x:c r="B69" t="str">
        <x:v>EXT-MONDE-T007</x:v>
      </x:c>
      <x:c r="C69" t="str">
        <x:v>Navires de haute mer</x:v>
      </x:c>
      <x:c r="D69" t="str">
        <x:v>Croiseur militaire abandonné</x:v>
      </x:c>
      <x:c r="E69" t="str">
        <x:v>Objets, décors et dégagements</x:v>
      </x:c>
      <x:c r="F69" t="str">
        <x:v>P1</x:v>
      </x:c>
      <x:c r="G69" t="str">
        <x:v>En cours</x:v>
      </x:c>
      <x:c r="H69" t="str">
        <x:v>Production Codex</x:v>
      </x:c>
      <x:c r="I69" t="str">
        <x:v>Livrable explicite, tests positifs et négatifs ; aucune validation déduite de la seule présence de la fiche.</x:v>
      </x:c>
      <x:c r="J69" t="str">
        <x:v>https://github.com/darknigthmare/deadwall-last-enclosure/blob/1b3b9c5ba232734b1bda3453b4e20a0481bcdd74/docs/codex/suivi-monde2026/INSPECTION_PHYSIQUE_2026.md</x:v>
      </x:c>
    </x:row>
    <x:row r="70">
      <x:c r="A70" t="str">
        <x:v>EXT-MONDE-T007/loot</x:v>
      </x:c>
      <x:c r="B70" t="str">
        <x:v>EXT-MONDE-T007</x:v>
      </x:c>
      <x:c r="C70" t="str">
        <x:v>Navires de haute mer</x:v>
      </x:c>
      <x:c r="D70" t="str">
        <x:v>Croiseur militaire abandonné</x:v>
      </x:c>
      <x:c r="E70" t="str">
        <x:v>Budget de butin persistant</x:v>
      </x:c>
      <x:c r="F70" t="str">
        <x:v>P1</x:v>
      </x:c>
      <x:c r="G70" t="str">
        <x:v>À faire</x:v>
      </x:c>
      <x:c r="H70" t="str">
        <x:v>Non affecté</x:v>
      </x:c>
      <x:c r="I70" t="str">
        <x:v>Livrable explicite, tests positifs et négatifs ; aucune validation déduite de la seule présence de la fiche.</x:v>
      </x:c>
      <x:c r="J70" t="str"/>
    </x:row>
    <x:row r="71">
      <x:c r="A71" t="str">
        <x:v>EXT-MONDE-T007/rencontres</x:v>
      </x:c>
      <x:c r="B71" t="str">
        <x:v>EXT-MONDE-T007</x:v>
      </x:c>
      <x:c r="C71" t="str">
        <x:v>Navires de haute mer</x:v>
      </x:c>
      <x:c r="D71" t="str">
        <x:v>Croiseur militaire abandonné</x:v>
      </x:c>
      <x:c r="E71" t="str">
        <x:v>Ennemis et faune contextualisés</x:v>
      </x:c>
      <x:c r="F71" t="str">
        <x:v>P1</x:v>
      </x:c>
      <x:c r="G71" t="str">
        <x:v>À faire</x:v>
      </x:c>
      <x:c r="H71" t="str">
        <x:v>Non affecté</x:v>
      </x:c>
      <x:c r="I71" t="str">
        <x:v>Livrable explicite, tests positifs et négatifs ; aucune validation déduite de la seule présence de la fiche.</x:v>
      </x:c>
      <x:c r="J71" t="str"/>
    </x:row>
    <x:row r="72">
      <x:c r="A72" t="str">
        <x:v>EXT-MONDE-T007/services</x:v>
      </x:c>
      <x:c r="B72" t="str">
        <x:v>EXT-MONDE-T007</x:v>
      </x:c>
      <x:c r="C72" t="str">
        <x:v>Navires de haute mer</x:v>
      </x:c>
      <x:c r="D72" t="str">
        <x:v>Croiseur militaire abandonné</x:v>
      </x:c>
      <x:c r="E72" t="str">
        <x:v>Énergie, eau et interactions</x:v>
      </x:c>
      <x:c r="F72" t="str">
        <x:v>P1</x:v>
      </x:c>
      <x:c r="G72" t="str">
        <x:v>À faire</x:v>
      </x:c>
      <x:c r="H72" t="str">
        <x:v>Non affecté</x:v>
      </x:c>
      <x:c r="I72" t="str">
        <x:v>Livrable explicite, tests positifs et négatifs ; aucune validation déduite de la seule présence de la fiche.</x:v>
      </x:c>
      <x:c r="J72" t="str"/>
    </x:row>
    <x:row r="73">
      <x:c r="A73" t="str">
        <x:v>EXT-MONDE-T007/art</x:v>
      </x:c>
      <x:c r="B73" t="str">
        <x:v>EXT-MONDE-T007</x:v>
      </x:c>
      <x:c r="C73" t="str">
        <x:v>Navires de haute mer</x:v>
      </x:c>
      <x:c r="D73" t="str">
        <x:v>Croiseur militaire abandonné</x:v>
      </x:c>
      <x:c r="E73" t="str">
        <x:v>Sprites, proportions et animations</x:v>
      </x:c>
      <x:c r="F73" t="str">
        <x:v>P1</x:v>
      </x:c>
      <x:c r="G73" t="str">
        <x:v>À faire</x:v>
      </x:c>
      <x:c r="H73" t="str">
        <x:v>Non affecté</x:v>
      </x:c>
      <x:c r="I73" t="str">
        <x:v>Livrable explicite, tests positifs et négatifs ; aucune validation déduite de la seule présence de la fiche.</x:v>
      </x:c>
      <x:c r="J73" t="str"/>
    </x:row>
    <x:row r="74">
      <x:c r="A74" t="str">
        <x:v>EXT-MONDE-T007/sauvegarde</x:v>
      </x:c>
      <x:c r="B74" t="str">
        <x:v>EXT-MONDE-T007</x:v>
      </x:c>
      <x:c r="C74" t="str">
        <x:v>Navires de haute mer</x:v>
      </x:c>
      <x:c r="D74" t="str">
        <x:v>Croiseur militaire abandonné</x:v>
      </x:c>
      <x:c r="E74" t="str">
        <x:v>Identités, migration et reprise</x:v>
      </x:c>
      <x:c r="F74" t="str">
        <x:v>P1</x:v>
      </x:c>
      <x:c r="G74" t="str">
        <x:v>En cours</x:v>
      </x:c>
      <x:c r="H74" t="str">
        <x:v>Production Codex</x:v>
      </x:c>
      <x:c r="I74" t="str">
        <x:v>Livrable explicite, tests positifs et négatifs ; aucune validation déduite de la seule présence de la fiche.</x:v>
      </x:c>
      <x:c r="J74" t="str">
        <x:v>https://github.com/darknigthmare/deadwall-last-enclosure/blob/1b3b9c5ba232734b1bda3453b4e20a0481bcdd74/docs/codex/suivi-monde2026/INSPECTION_PHYSIQUE_2026.md</x:v>
      </x:c>
    </x:row>
    <x:row r="75">
      <x:c r="A75" t="str">
        <x:v>EXT-MONDE-T007/qa</x:v>
      </x:c>
      <x:c r="B75" t="str">
        <x:v>EXT-MONDE-T007</x:v>
      </x:c>
      <x:c r="C75" t="str">
        <x:v>Navires de haute mer</x:v>
      </x:c>
      <x:c r="D75" t="str">
        <x:v>Croiseur militaire abandonné</x:v>
      </x:c>
      <x:c r="E75" t="str">
        <x:v>Navigation et parcours jouables</x:v>
      </x:c>
      <x:c r="F75" t="str">
        <x:v>P1</x:v>
      </x:c>
      <x:c r="G75" t="str">
        <x:v>En cours</x:v>
      </x:c>
      <x:c r="H75" t="str">
        <x:v>Production Codex</x:v>
      </x:c>
      <x:c r="I75" t="str">
        <x:v>Livrable explicite, tests positifs et négatifs ; aucune validation déduite de la seule présence de la fiche.</x:v>
      </x:c>
      <x:c r="J75" t="str">
        <x:v>https://github.com/darknigthmare/deadwall-last-enclosure/blob/1b3b9c5ba232734b1bda3453b4e20a0481bcdd74/docs/codex/suivi-monde2026/INSPECTION_PHYSIQUE_2026.md</x:v>
      </x:c>
    </x:row>
    <x:row r="76">
      <x:c r="A76" t="str">
        <x:v>EXT-MONDE-T008/dimensions</x:v>
      </x:c>
      <x:c r="B76" t="str">
        <x:v>EXT-MONDE-T008</x:v>
      </x:c>
      <x:c r="C76" t="str">
        <x:v>Navires de haute mer</x:v>
      </x:c>
      <x:c r="D76" t="str">
        <x:v>Sous-marin en surface</x:v>
      </x:c>
      <x:c r="E76" t="str">
        <x:v>Dimensions et plans de référence</x:v>
      </x:c>
      <x:c r="F76" t="str">
        <x:v>P0</x:v>
      </x:c>
      <x:c r="G76" t="str">
        <x:v>En cours</x:v>
      </x:c>
      <x:c r="H76" t="str">
        <x:v>Production Codex</x:v>
      </x:c>
      <x:c r="I76" t="str">
        <x:v>Sources publiques identifiées ; unités en mètres ; emprise au sol distincte de la hauteur.</x:v>
      </x:c>
      <x:c r="J76" t="str">
        <x:v>https://github.com/darknigthmare/deadwall-last-enclosure/blob/1b3b9c5ba232734b1bda3453b4e20a0481bcdd74/docs/codex/suivi-monde2026/MARITIME_AUTEUR_2026.md</x:v>
      </x:c>
    </x:row>
    <x:row r="77">
      <x:c r="A77" t="str">
        <x:v>EXT-MONDE-T008/architecture</x:v>
      </x:c>
      <x:c r="B77" t="str">
        <x:v>EXT-MONDE-T008</x:v>
      </x:c>
      <x:c r="C77" t="str">
        <x:v>Navires de haute mer</x:v>
      </x:c>
      <x:c r="D77" t="str">
        <x:v>Sous-marin en surface</x:v>
      </x:c>
      <x:c r="E77" t="str">
        <x:v>Pièces, étages, annexes</x:v>
      </x:c>
      <x:c r="F77" t="str">
        <x:v>P0</x:v>
      </x:c>
      <x:c r="G77" t="str">
        <x:v>En cours</x:v>
      </x:c>
      <x:c r="H77" t="str">
        <x:v>Production Codex</x:v>
      </x:c>
      <x:c r="I77" t="str">
        <x:v>Livrable explicite, tests positifs et négatifs ; aucune validation déduite de la seule présence de la fiche.</x:v>
      </x:c>
      <x:c r="J77" t="str">
        <x:v>https://github.com/darknigthmare/deadwall-last-enclosure/blob/1b3b9c5ba232734b1bda3453b4e20a0481bcdd74/docs/codex/suivi-monde2026/INSPECTION_PHYSIQUE_2026.md</x:v>
      </x:c>
    </x:row>
    <x:row r="78">
      <x:c r="A78" t="str">
        <x:v>EXT-MONDE-T008/seed</x:v>
      </x:c>
      <x:c r="B78" t="str">
        <x:v>EXT-MONDE-T008</x:v>
      </x:c>
      <x:c r="C78" t="str">
        <x:v>Navires de haute mer</x:v>
      </x:c>
      <x:c r="D78" t="str">
        <x:v>Sous-marin en surface</x:v>
      </x:c>
      <x:c r="E78" t="str">
        <x:v>Implantation et réseaux</x:v>
      </x:c>
      <x:c r="F78" t="str">
        <x:v>P0</x:v>
      </x:c>
      <x:c r="G78" t="str">
        <x:v>À faire</x:v>
      </x:c>
      <x:c r="H78" t="str">
        <x:v>Non affecté</x:v>
      </x:c>
      <x:c r="I78" t="str">
        <x:v>Tirant d’eau, compartiments et accès à vérifier par type ; aucune circulation piétonne sur eau.</x:v>
      </x:c>
      <x:c r="J78" t="str"/>
    </x:row>
    <x:row r="79">
      <x:c r="A79" t="str">
        <x:v>EXT-MONDE-T008/props</x:v>
      </x:c>
      <x:c r="B79" t="str">
        <x:v>EXT-MONDE-T008</x:v>
      </x:c>
      <x:c r="C79" t="str">
        <x:v>Navires de haute mer</x:v>
      </x:c>
      <x:c r="D79" t="str">
        <x:v>Sous-marin en surface</x:v>
      </x:c>
      <x:c r="E79" t="str">
        <x:v>Objets, décors et dégagements</x:v>
      </x:c>
      <x:c r="F79" t="str">
        <x:v>P1</x:v>
      </x:c>
      <x:c r="G79" t="str">
        <x:v>En cours</x:v>
      </x:c>
      <x:c r="H79" t="str">
        <x:v>Production Codex</x:v>
      </x:c>
      <x:c r="I79" t="str">
        <x:v>Livrable explicite, tests positifs et négatifs ; aucune validation déduite de la seule présence de la fiche.</x:v>
      </x:c>
      <x:c r="J79" t="str">
        <x:v>https://github.com/darknigthmare/deadwall-last-enclosure/blob/1b3b9c5ba232734b1bda3453b4e20a0481bcdd74/docs/codex/suivi-monde2026/INSPECTION_PHYSIQUE_2026.md</x:v>
      </x:c>
    </x:row>
    <x:row r="80">
      <x:c r="A80" t="str">
        <x:v>EXT-MONDE-T008/loot</x:v>
      </x:c>
      <x:c r="B80" t="str">
        <x:v>EXT-MONDE-T008</x:v>
      </x:c>
      <x:c r="C80" t="str">
        <x:v>Navires de haute mer</x:v>
      </x:c>
      <x:c r="D80" t="str">
        <x:v>Sous-marin en surface</x:v>
      </x:c>
      <x:c r="E80" t="str">
        <x:v>Budget de butin persistant</x:v>
      </x:c>
      <x:c r="F80" t="str">
        <x:v>P1</x:v>
      </x:c>
      <x:c r="G80" t="str">
        <x:v>À faire</x:v>
      </x:c>
      <x:c r="H80" t="str">
        <x:v>Non affecté</x:v>
      </x:c>
      <x:c r="I80" t="str">
        <x:v>Livrable explicite, tests positifs et négatifs ; aucune validation déduite de la seule présence de la fiche.</x:v>
      </x:c>
      <x:c r="J80" t="str"/>
    </x:row>
    <x:row r="81">
      <x:c r="A81" t="str">
        <x:v>EXT-MONDE-T008/rencontres</x:v>
      </x:c>
      <x:c r="B81" t="str">
        <x:v>EXT-MONDE-T008</x:v>
      </x:c>
      <x:c r="C81" t="str">
        <x:v>Navires de haute mer</x:v>
      </x:c>
      <x:c r="D81" t="str">
        <x:v>Sous-marin en surface</x:v>
      </x:c>
      <x:c r="E81" t="str">
        <x:v>Ennemis et faune contextualisés</x:v>
      </x:c>
      <x:c r="F81" t="str">
        <x:v>P1</x:v>
      </x:c>
      <x:c r="G81" t="str">
        <x:v>À faire</x:v>
      </x:c>
      <x:c r="H81" t="str">
        <x:v>Non affecté</x:v>
      </x:c>
      <x:c r="I81" t="str">
        <x:v>Livrable explicite, tests positifs et négatifs ; aucune validation déduite de la seule présence de la fiche.</x:v>
      </x:c>
      <x:c r="J81" t="str"/>
    </x:row>
    <x:row r="82">
      <x:c r="A82" t="str">
        <x:v>EXT-MONDE-T008/services</x:v>
      </x:c>
      <x:c r="B82" t="str">
        <x:v>EXT-MONDE-T008</x:v>
      </x:c>
      <x:c r="C82" t="str">
        <x:v>Navires de haute mer</x:v>
      </x:c>
      <x:c r="D82" t="str">
        <x:v>Sous-marin en surface</x:v>
      </x:c>
      <x:c r="E82" t="str">
        <x:v>Énergie, eau et interactions</x:v>
      </x:c>
      <x:c r="F82" t="str">
        <x:v>P1</x:v>
      </x:c>
      <x:c r="G82" t="str">
        <x:v>À faire</x:v>
      </x:c>
      <x:c r="H82" t="str">
        <x:v>Non affecté</x:v>
      </x:c>
      <x:c r="I82" t="str">
        <x:v>Livrable explicite, tests positifs et négatifs ; aucune validation déduite de la seule présence de la fiche.</x:v>
      </x:c>
      <x:c r="J82" t="str"/>
    </x:row>
    <x:row r="83">
      <x:c r="A83" t="str">
        <x:v>EXT-MONDE-T008/art</x:v>
      </x:c>
      <x:c r="B83" t="str">
        <x:v>EXT-MONDE-T008</x:v>
      </x:c>
      <x:c r="C83" t="str">
        <x:v>Navires de haute mer</x:v>
      </x:c>
      <x:c r="D83" t="str">
        <x:v>Sous-marin en surface</x:v>
      </x:c>
      <x:c r="E83" t="str">
        <x:v>Sprites, proportions et animations</x:v>
      </x:c>
      <x:c r="F83" t="str">
        <x:v>P1</x:v>
      </x:c>
      <x:c r="G83" t="str">
        <x:v>À faire</x:v>
      </x:c>
      <x:c r="H83" t="str">
        <x:v>Non affecté</x:v>
      </x:c>
      <x:c r="I83" t="str">
        <x:v>Livrable explicite, tests positifs et négatifs ; aucune validation déduite de la seule présence de la fiche.</x:v>
      </x:c>
      <x:c r="J83" t="str"/>
    </x:row>
    <x:row r="84">
      <x:c r="A84" t="str">
        <x:v>EXT-MONDE-T008/sauvegarde</x:v>
      </x:c>
      <x:c r="B84" t="str">
        <x:v>EXT-MONDE-T008</x:v>
      </x:c>
      <x:c r="C84" t="str">
        <x:v>Navires de haute mer</x:v>
      </x:c>
      <x:c r="D84" t="str">
        <x:v>Sous-marin en surface</x:v>
      </x:c>
      <x:c r="E84" t="str">
        <x:v>Identités, migration et reprise</x:v>
      </x:c>
      <x:c r="F84" t="str">
        <x:v>P1</x:v>
      </x:c>
      <x:c r="G84" t="str">
        <x:v>En cours</x:v>
      </x:c>
      <x:c r="H84" t="str">
        <x:v>Production Codex</x:v>
      </x:c>
      <x:c r="I84" t="str">
        <x:v>Livrable explicite, tests positifs et négatifs ; aucune validation déduite de la seule présence de la fiche.</x:v>
      </x:c>
      <x:c r="J84" t="str">
        <x:v>https://github.com/darknigthmare/deadwall-last-enclosure/blob/1b3b9c5ba232734b1bda3453b4e20a0481bcdd74/docs/codex/suivi-monde2026/INSPECTION_PHYSIQUE_2026.md</x:v>
      </x:c>
    </x:row>
    <x:row r="85">
      <x:c r="A85" t="str">
        <x:v>EXT-MONDE-T008/qa</x:v>
      </x:c>
      <x:c r="B85" t="str">
        <x:v>EXT-MONDE-T008</x:v>
      </x:c>
      <x:c r="C85" t="str">
        <x:v>Navires de haute mer</x:v>
      </x:c>
      <x:c r="D85" t="str">
        <x:v>Sous-marin en surface</x:v>
      </x:c>
      <x:c r="E85" t="str">
        <x:v>Navigation et parcours jouables</x:v>
      </x:c>
      <x:c r="F85" t="str">
        <x:v>P1</x:v>
      </x:c>
      <x:c r="G85" t="str">
        <x:v>En cours</x:v>
      </x:c>
      <x:c r="H85" t="str">
        <x:v>Production Codex</x:v>
      </x:c>
      <x:c r="I85" t="str">
        <x:v>Livrable explicite, tests positifs et négatifs ; aucune validation déduite de la seule présence de la fiche.</x:v>
      </x:c>
      <x:c r="J85" t="str">
        <x:v>https://github.com/darknigthmare/deadwall-last-enclosure/blob/1b3b9c5ba232734b1bda3453b4e20a0481bcdd74/docs/codex/suivi-monde2026/INSPECTION_PHYSIQUE_2026.md</x:v>
      </x:c>
    </x:row>
    <x:row r="86">
      <x:c r="A86" t="str">
        <x:v>EXT-MONDE-T009/dimensions</x:v>
      </x:c>
      <x:c r="B86" t="str">
        <x:v>EXT-MONDE-T009</x:v>
      </x:c>
      <x:c r="C86" t="str">
        <x:v>Offshore</x:v>
      </x:c>
      <x:c r="D86" t="str">
        <x:v>Plateforme pétrolière fixe</x:v>
      </x:c>
      <x:c r="E86" t="str">
        <x:v>Dimensions et plans de référence</x:v>
      </x:c>
      <x:c r="F86" t="str">
        <x:v>P0</x:v>
      </x:c>
      <x:c r="G86" t="str">
        <x:v>En cours</x:v>
      </x:c>
      <x:c r="H86" t="str">
        <x:v>Production Codex</x:v>
      </x:c>
      <x:c r="I86" t="str">
        <x:v>Sources publiques identifiées ; unités en mètres ; emprise au sol distincte de la hauteur.</x:v>
      </x:c>
      <x:c r="J86" t="str">
        <x:v>https://github.com/darknigthmare/deadwall-last-enclosure/blob/1b3b9c5ba232734b1bda3453b4e20a0481bcdd74/docs/codex/suivi-monde2026/PORTS_ILES_2026.md</x:v>
      </x:c>
    </x:row>
    <x:row r="87">
      <x:c r="A87" t="str">
        <x:v>EXT-MONDE-T009/architecture</x:v>
      </x:c>
      <x:c r="B87" t="str">
        <x:v>EXT-MONDE-T009</x:v>
      </x:c>
      <x:c r="C87" t="str">
        <x:v>Offshore</x:v>
      </x:c>
      <x:c r="D87" t="str">
        <x:v>Plateforme pétrolière fixe</x:v>
      </x:c>
      <x:c r="E87" t="str">
        <x:v>Pièces, étages, annexes</x:v>
      </x:c>
      <x:c r="F87" t="str">
        <x:v>P0</x:v>
      </x:c>
      <x:c r="G87" t="str">
        <x:v>En cours</x:v>
      </x:c>
      <x:c r="H87" t="str">
        <x:v>Production Codex</x:v>
      </x:c>
      <x:c r="I87" t="str">
        <x:v>Livrable explicite, tests positifs et négatifs ; aucune validation déduite de la seule présence de la fiche.</x:v>
      </x:c>
      <x:c r="J87" t="str">
        <x:v>https://github.com/darknigthmare/deadwall-last-enclosure/blob/1b3b9c5ba232734b1bda3453b4e20a0481bcdd74/docs/codex/suivi-monde2026/INSPECTION_PHYSIQUE_2026.md</x:v>
      </x:c>
    </x:row>
    <x:row r="88">
      <x:c r="A88" t="str">
        <x:v>EXT-MONDE-T009/seed</x:v>
      </x:c>
      <x:c r="B88" t="str">
        <x:v>EXT-MONDE-T009</x:v>
      </x:c>
      <x:c r="C88" t="str">
        <x:v>Offshore</x:v>
      </x:c>
      <x:c r="D88" t="str">
        <x:v>Plateforme pétrolière fixe</x:v>
      </x:c>
      <x:c r="E88" t="str">
        <x:v>Implantation et réseaux</x:v>
      </x:c>
      <x:c r="F88" t="str">
        <x:v>P0</x:v>
      </x:c>
      <x:c r="G88" t="str">
        <x:v>À faire</x:v>
      </x:c>
      <x:c r="H88" t="str">
        <x:v>Non affecté</x:v>
      </x:c>
      <x:c r="I88" t="str">
        <x:v>Structure maritime réservée ; appuis et niveaux indépendants ; pas de production automatique.</x:v>
      </x:c>
      <x:c r="J88" t="str"/>
    </x:row>
    <x:row r="89">
      <x:c r="A89" t="str">
        <x:v>EXT-MONDE-T009/props</x:v>
      </x:c>
      <x:c r="B89" t="str">
        <x:v>EXT-MONDE-T009</x:v>
      </x:c>
      <x:c r="C89" t="str">
        <x:v>Offshore</x:v>
      </x:c>
      <x:c r="D89" t="str">
        <x:v>Plateforme pétrolière fixe</x:v>
      </x:c>
      <x:c r="E89" t="str">
        <x:v>Objets, décors et dégagements</x:v>
      </x:c>
      <x:c r="F89" t="str">
        <x:v>P1</x:v>
      </x:c>
      <x:c r="G89" t="str">
        <x:v>En cours</x:v>
      </x:c>
      <x:c r="H89" t="str">
        <x:v>Production Codex</x:v>
      </x:c>
      <x:c r="I89" t="str">
        <x:v>Livrable explicite, tests positifs et négatifs ; aucune validation déduite de la seule présence de la fiche.</x:v>
      </x:c>
      <x:c r="J89" t="str">
        <x:v>https://github.com/darknigthmare/deadwall-last-enclosure/blob/1b3b9c5ba232734b1bda3453b4e20a0481bcdd74/docs/codex/suivi-monde2026/INSPECTION_PHYSIQUE_2026.md</x:v>
      </x:c>
    </x:row>
    <x:row r="90">
      <x:c r="A90" t="str">
        <x:v>EXT-MONDE-T009/loot</x:v>
      </x:c>
      <x:c r="B90" t="str">
        <x:v>EXT-MONDE-T009</x:v>
      </x:c>
      <x:c r="C90" t="str">
        <x:v>Offshore</x:v>
      </x:c>
      <x:c r="D90" t="str">
        <x:v>Plateforme pétrolière fixe</x:v>
      </x:c>
      <x:c r="E90" t="str">
        <x:v>Budget de butin persistant</x:v>
      </x:c>
      <x:c r="F90" t="str">
        <x:v>P1</x:v>
      </x:c>
      <x:c r="G90" t="str">
        <x:v>À faire</x:v>
      </x:c>
      <x:c r="H90" t="str">
        <x:v>Non affecté</x:v>
      </x:c>
      <x:c r="I90" t="str">
        <x:v>Livrable explicite, tests positifs et négatifs ; aucune validation déduite de la seule présence de la fiche.</x:v>
      </x:c>
      <x:c r="J90" t="str"/>
    </x:row>
    <x:row r="91">
      <x:c r="A91" t="str">
        <x:v>EXT-MONDE-T009/rencontres</x:v>
      </x:c>
      <x:c r="B91" t="str">
        <x:v>EXT-MONDE-T009</x:v>
      </x:c>
      <x:c r="C91" t="str">
        <x:v>Offshore</x:v>
      </x:c>
      <x:c r="D91" t="str">
        <x:v>Plateforme pétrolière fixe</x:v>
      </x:c>
      <x:c r="E91" t="str">
        <x:v>Ennemis et faune contextualisés</x:v>
      </x:c>
      <x:c r="F91" t="str">
        <x:v>P1</x:v>
      </x:c>
      <x:c r="G91" t="str">
        <x:v>À faire</x:v>
      </x:c>
      <x:c r="H91" t="str">
        <x:v>Non affecté</x:v>
      </x:c>
      <x:c r="I91" t="str">
        <x:v>Livrable explicite, tests positifs et négatifs ; aucune validation déduite de la seule présence de la fiche.</x:v>
      </x:c>
      <x:c r="J91" t="str"/>
    </x:row>
    <x:row r="92">
      <x:c r="A92" t="str">
        <x:v>EXT-MONDE-T009/services</x:v>
      </x:c>
      <x:c r="B92" t="str">
        <x:v>EXT-MONDE-T009</x:v>
      </x:c>
      <x:c r="C92" t="str">
        <x:v>Offshore</x:v>
      </x:c>
      <x:c r="D92" t="str">
        <x:v>Plateforme pétrolière fixe</x:v>
      </x:c>
      <x:c r="E92" t="str">
        <x:v>Énergie, eau et interactions</x:v>
      </x:c>
      <x:c r="F92" t="str">
        <x:v>P1</x:v>
      </x:c>
      <x:c r="G92" t="str">
        <x:v>À faire</x:v>
      </x:c>
      <x:c r="H92" t="str">
        <x:v>Non affecté</x:v>
      </x:c>
      <x:c r="I92" t="str">
        <x:v>Livrable explicite, tests positifs et négatifs ; aucune validation déduite de la seule présence de la fiche.</x:v>
      </x:c>
      <x:c r="J92" t="str"/>
    </x:row>
    <x:row r="93">
      <x:c r="A93" t="str">
        <x:v>EXT-MONDE-T009/art</x:v>
      </x:c>
      <x:c r="B93" t="str">
        <x:v>EXT-MONDE-T009</x:v>
      </x:c>
      <x:c r="C93" t="str">
        <x:v>Offshore</x:v>
      </x:c>
      <x:c r="D93" t="str">
        <x:v>Plateforme pétrolière fixe</x:v>
      </x:c>
      <x:c r="E93" t="str">
        <x:v>Sprites, proportions et animations</x:v>
      </x:c>
      <x:c r="F93" t="str">
        <x:v>P1</x:v>
      </x:c>
      <x:c r="G93" t="str">
        <x:v>À faire</x:v>
      </x:c>
      <x:c r="H93" t="str">
        <x:v>Non affecté</x:v>
      </x:c>
      <x:c r="I93" t="str">
        <x:v>Livrable explicite, tests positifs et négatifs ; aucune validation déduite de la seule présence de la fiche.</x:v>
      </x:c>
      <x:c r="J93" t="str"/>
    </x:row>
    <x:row r="94">
      <x:c r="A94" t="str">
        <x:v>EXT-MONDE-T009/sauvegarde</x:v>
      </x:c>
      <x:c r="B94" t="str">
        <x:v>EXT-MONDE-T009</x:v>
      </x:c>
      <x:c r="C94" t="str">
        <x:v>Offshore</x:v>
      </x:c>
      <x:c r="D94" t="str">
        <x:v>Plateforme pétrolière fixe</x:v>
      </x:c>
      <x:c r="E94" t="str">
        <x:v>Identités, migration et reprise</x:v>
      </x:c>
      <x:c r="F94" t="str">
        <x:v>P1</x:v>
      </x:c>
      <x:c r="G94" t="str">
        <x:v>En cours</x:v>
      </x:c>
      <x:c r="H94" t="str">
        <x:v>Production Codex</x:v>
      </x:c>
      <x:c r="I94" t="str">
        <x:v>Livrable explicite, tests positifs et négatifs ; aucune validation déduite de la seule présence de la fiche.</x:v>
      </x:c>
      <x:c r="J94" t="str">
        <x:v>https://github.com/darknigthmare/deadwall-last-enclosure/blob/1b3b9c5ba232734b1bda3453b4e20a0481bcdd74/docs/codex/suivi-monde2026/INSPECTION_PHYSIQUE_2026.md</x:v>
      </x:c>
    </x:row>
    <x:row r="95">
      <x:c r="A95" t="str">
        <x:v>EXT-MONDE-T009/qa</x:v>
      </x:c>
      <x:c r="B95" t="str">
        <x:v>EXT-MONDE-T009</x:v>
      </x:c>
      <x:c r="C95" t="str">
        <x:v>Offshore</x:v>
      </x:c>
      <x:c r="D95" t="str">
        <x:v>Plateforme pétrolière fixe</x:v>
      </x:c>
      <x:c r="E95" t="str">
        <x:v>Navigation et parcours jouables</x:v>
      </x:c>
      <x:c r="F95" t="str">
        <x:v>P1</x:v>
      </x:c>
      <x:c r="G95" t="str">
        <x:v>En cours</x:v>
      </x:c>
      <x:c r="H95" t="str">
        <x:v>Production Codex</x:v>
      </x:c>
      <x:c r="I95" t="str">
        <x:v>Livrable explicite, tests positifs et négatifs ; aucune validation déduite de la seule présence de la fiche.</x:v>
      </x:c>
      <x:c r="J95" t="str">
        <x:v>https://github.com/darknigthmare/deadwall-last-enclosure/blob/1b3b9c5ba232734b1bda3453b4e20a0481bcdd74/docs/codex/suivi-monde2026/INSPECTION_PHYSIQUE_2026.md</x:v>
      </x:c>
    </x:row>
    <x:row r="96">
      <x:c r="A96" t="str">
        <x:v>EXT-MONDE-T010/dimensions</x:v>
      </x:c>
      <x:c r="B96" t="str">
        <x:v>EXT-MONDE-T010</x:v>
      </x:c>
      <x:c r="C96" t="str">
        <x:v>Offshore</x:v>
      </x:c>
      <x:c r="D96" t="str">
        <x:v>Plateforme semi-submersible</x:v>
      </x:c>
      <x:c r="E96" t="str">
        <x:v>Dimensions et plans de référence</x:v>
      </x:c>
      <x:c r="F96" t="str">
        <x:v>P0</x:v>
      </x:c>
      <x:c r="G96" t="str">
        <x:v>En cours</x:v>
      </x:c>
      <x:c r="H96" t="str">
        <x:v>Production Codex</x:v>
      </x:c>
      <x:c r="I96" t="str">
        <x:v>Sources publiques identifiées ; unités en mètres ; emprise au sol distincte de la hauteur.</x:v>
      </x:c>
      <x:c r="J96" t="str">
        <x:v>https://github.com/darknigthmare/deadwall-last-enclosure/blob/1b3b9c5ba232734b1bda3453b4e20a0481bcdd74/docs/codex/suivi-monde2026/PORTS_ILES_2026.md</x:v>
      </x:c>
    </x:row>
    <x:row r="97">
      <x:c r="A97" t="str">
        <x:v>EXT-MONDE-T010/architecture</x:v>
      </x:c>
      <x:c r="B97" t="str">
        <x:v>EXT-MONDE-T010</x:v>
      </x:c>
      <x:c r="C97" t="str">
        <x:v>Offshore</x:v>
      </x:c>
      <x:c r="D97" t="str">
        <x:v>Plateforme semi-submersible</x:v>
      </x:c>
      <x:c r="E97" t="str">
        <x:v>Pièces, étages, annexes</x:v>
      </x:c>
      <x:c r="F97" t="str">
        <x:v>P0</x:v>
      </x:c>
      <x:c r="G97" t="str">
        <x:v>En cours</x:v>
      </x:c>
      <x:c r="H97" t="str">
        <x:v>Production Codex</x:v>
      </x:c>
      <x:c r="I97" t="str">
        <x:v>Livrable explicite, tests positifs et négatifs ; aucune validation déduite de la seule présence de la fiche.</x:v>
      </x:c>
      <x:c r="J97" t="str">
        <x:v>https://github.com/darknigthmare/deadwall-last-enclosure/blob/1b3b9c5ba232734b1bda3453b4e20a0481bcdd74/docs/codex/suivi-monde2026/INSPECTION_PHYSIQUE_2026.md</x:v>
      </x:c>
    </x:row>
    <x:row r="98">
      <x:c r="A98" t="str">
        <x:v>EXT-MONDE-T010/seed</x:v>
      </x:c>
      <x:c r="B98" t="str">
        <x:v>EXT-MONDE-T010</x:v>
      </x:c>
      <x:c r="C98" t="str">
        <x:v>Offshore</x:v>
      </x:c>
      <x:c r="D98" t="str">
        <x:v>Plateforme semi-submersible</x:v>
      </x:c>
      <x:c r="E98" t="str">
        <x:v>Implantation et réseaux</x:v>
      </x:c>
      <x:c r="F98" t="str">
        <x:v>P0</x:v>
      </x:c>
      <x:c r="G98" t="str">
        <x:v>À faire</x:v>
      </x:c>
      <x:c r="H98" t="str">
        <x:v>Non affecté</x:v>
      </x:c>
      <x:c r="I98" t="str">
        <x:v>Structure maritime réservée ; appuis et niveaux indépendants ; pas de production automatique.</x:v>
      </x:c>
      <x:c r="J98" t="str"/>
    </x:row>
    <x:row r="99">
      <x:c r="A99" t="str">
        <x:v>EXT-MONDE-T010/props</x:v>
      </x:c>
      <x:c r="B99" t="str">
        <x:v>EXT-MONDE-T010</x:v>
      </x:c>
      <x:c r="C99" t="str">
        <x:v>Offshore</x:v>
      </x:c>
      <x:c r="D99" t="str">
        <x:v>Plateforme semi-submersible</x:v>
      </x:c>
      <x:c r="E99" t="str">
        <x:v>Objets, décors et dégagements</x:v>
      </x:c>
      <x:c r="F99" t="str">
        <x:v>P1</x:v>
      </x:c>
      <x:c r="G99" t="str">
        <x:v>En cours</x:v>
      </x:c>
      <x:c r="H99" t="str">
        <x:v>Production Codex</x:v>
      </x:c>
      <x:c r="I99" t="str">
        <x:v>Livrable explicite, tests positifs et négatifs ; aucune validation déduite de la seule présence de la fiche.</x:v>
      </x:c>
      <x:c r="J99" t="str">
        <x:v>https://github.com/darknigthmare/deadwall-last-enclosure/blob/1b3b9c5ba232734b1bda3453b4e20a0481bcdd74/docs/codex/suivi-monde2026/INSPECTION_PHYSIQUE_2026.md</x:v>
      </x:c>
    </x:row>
    <x:row r="100">
      <x:c r="A100" t="str">
        <x:v>EXT-MONDE-T010/loot</x:v>
      </x:c>
      <x:c r="B100" t="str">
        <x:v>EXT-MONDE-T010</x:v>
      </x:c>
      <x:c r="C100" t="str">
        <x:v>Offshore</x:v>
      </x:c>
      <x:c r="D100" t="str">
        <x:v>Plateforme semi-submersible</x:v>
      </x:c>
      <x:c r="E100" t="str">
        <x:v>Budget de butin persistant</x:v>
      </x:c>
      <x:c r="F100" t="str">
        <x:v>P1</x:v>
      </x:c>
      <x:c r="G100" t="str">
        <x:v>À faire</x:v>
      </x:c>
      <x:c r="H100" t="str">
        <x:v>Non affecté</x:v>
      </x:c>
      <x:c r="I100" t="str">
        <x:v>Livrable explicite, tests positifs et négatifs ; aucune validation déduite de la seule présence de la fiche.</x:v>
      </x:c>
      <x:c r="J100" t="str"/>
    </x:row>
    <x:row r="101">
      <x:c r="A101" t="str">
        <x:v>EXT-MONDE-T010/rencontres</x:v>
      </x:c>
      <x:c r="B101" t="str">
        <x:v>EXT-MONDE-T010</x:v>
      </x:c>
      <x:c r="C101" t="str">
        <x:v>Offshore</x:v>
      </x:c>
      <x:c r="D101" t="str">
        <x:v>Plateforme semi-submersible</x:v>
      </x:c>
      <x:c r="E101" t="str">
        <x:v>Ennemis et faune contextualisés</x:v>
      </x:c>
      <x:c r="F101" t="str">
        <x:v>P1</x:v>
      </x:c>
      <x:c r="G101" t="str">
        <x:v>À faire</x:v>
      </x:c>
      <x:c r="H101" t="str">
        <x:v>Non affecté</x:v>
      </x:c>
      <x:c r="I101" t="str">
        <x:v>Livrable explicite, tests positifs et négatifs ; aucune validation déduite de la seule présence de la fiche.</x:v>
      </x:c>
      <x:c r="J101" t="str"/>
    </x:row>
    <x:row r="102">
      <x:c r="A102" t="str">
        <x:v>EXT-MONDE-T010/services</x:v>
      </x:c>
      <x:c r="B102" t="str">
        <x:v>EXT-MONDE-T010</x:v>
      </x:c>
      <x:c r="C102" t="str">
        <x:v>Offshore</x:v>
      </x:c>
      <x:c r="D102" t="str">
        <x:v>Plateforme semi-submersible</x:v>
      </x:c>
      <x:c r="E102" t="str">
        <x:v>Énergie, eau et interactions</x:v>
      </x:c>
      <x:c r="F102" t="str">
        <x:v>P1</x:v>
      </x:c>
      <x:c r="G102" t="str">
        <x:v>À faire</x:v>
      </x:c>
      <x:c r="H102" t="str">
        <x:v>Non affecté</x:v>
      </x:c>
      <x:c r="I102" t="str">
        <x:v>Livrable explicite, tests positifs et négatifs ; aucune validation déduite de la seule présence de la fiche.</x:v>
      </x:c>
      <x:c r="J102" t="str"/>
    </x:row>
    <x:row r="103">
      <x:c r="A103" t="str">
        <x:v>EXT-MONDE-T010/art</x:v>
      </x:c>
      <x:c r="B103" t="str">
        <x:v>EXT-MONDE-T010</x:v>
      </x:c>
      <x:c r="C103" t="str">
        <x:v>Offshore</x:v>
      </x:c>
      <x:c r="D103" t="str">
        <x:v>Plateforme semi-submersible</x:v>
      </x:c>
      <x:c r="E103" t="str">
        <x:v>Sprites, proportions et animations</x:v>
      </x:c>
      <x:c r="F103" t="str">
        <x:v>P1</x:v>
      </x:c>
      <x:c r="G103" t="str">
        <x:v>À faire</x:v>
      </x:c>
      <x:c r="H103" t="str">
        <x:v>Non affecté</x:v>
      </x:c>
      <x:c r="I103" t="str">
        <x:v>Livrable explicite, tests positifs et négatifs ; aucune validation déduite de la seule présence de la fiche.</x:v>
      </x:c>
      <x:c r="J103" t="str"/>
    </x:row>
    <x:row r="104">
      <x:c r="A104" t="str">
        <x:v>EXT-MONDE-T010/sauvegarde</x:v>
      </x:c>
      <x:c r="B104" t="str">
        <x:v>EXT-MONDE-T010</x:v>
      </x:c>
      <x:c r="C104" t="str">
        <x:v>Offshore</x:v>
      </x:c>
      <x:c r="D104" t="str">
        <x:v>Plateforme semi-submersible</x:v>
      </x:c>
      <x:c r="E104" t="str">
        <x:v>Identités, migration et reprise</x:v>
      </x:c>
      <x:c r="F104" t="str">
        <x:v>P1</x:v>
      </x:c>
      <x:c r="G104" t="str">
        <x:v>En cours</x:v>
      </x:c>
      <x:c r="H104" t="str">
        <x:v>Production Codex</x:v>
      </x:c>
      <x:c r="I104" t="str">
        <x:v>Livrable explicite, tests positifs et négatifs ; aucune validation déduite de la seule présence de la fiche.</x:v>
      </x:c>
      <x:c r="J104" t="str">
        <x:v>https://github.com/darknigthmare/deadwall-last-enclosure/blob/1b3b9c5ba232734b1bda3453b4e20a0481bcdd74/docs/codex/suivi-monde2026/INSPECTION_PHYSIQUE_2026.md</x:v>
      </x:c>
    </x:row>
    <x:row r="105">
      <x:c r="A105" t="str">
        <x:v>EXT-MONDE-T010/qa</x:v>
      </x:c>
      <x:c r="B105" t="str">
        <x:v>EXT-MONDE-T010</x:v>
      </x:c>
      <x:c r="C105" t="str">
        <x:v>Offshore</x:v>
      </x:c>
      <x:c r="D105" t="str">
        <x:v>Plateforme semi-submersible</x:v>
      </x:c>
      <x:c r="E105" t="str">
        <x:v>Navigation et parcours jouables</x:v>
      </x:c>
      <x:c r="F105" t="str">
        <x:v>P1</x:v>
      </x:c>
      <x:c r="G105" t="str">
        <x:v>En cours</x:v>
      </x:c>
      <x:c r="H105" t="str">
        <x:v>Production Codex</x:v>
      </x:c>
      <x:c r="I105" t="str">
        <x:v>Livrable explicite, tests positifs et négatifs ; aucune validation déduite de la seule présence de la fiche.</x:v>
      </x:c>
      <x:c r="J105" t="str">
        <x:v>https://github.com/darknigthmare/deadwall-last-enclosure/blob/1b3b9c5ba232734b1bda3453b4e20a0481bcdd74/docs/codex/suivi-monde2026/INSPECTION_PHYSIQUE_2026.md</x:v>
      </x:c>
    </x:row>
    <x:row r="106">
      <x:c r="A106" t="str">
        <x:v>EXT-MONDE-T011/dimensions</x:v>
      </x:c>
      <x:c r="B106" t="str">
        <x:v>EXT-MONDE-T011</x:v>
      </x:c>
      <x:c r="C106" t="str">
        <x:v>Offshore</x:v>
      </x:c>
      <x:c r="D106" t="str">
        <x:v>Navire de soutien offshore</x:v>
      </x:c>
      <x:c r="E106" t="str">
        <x:v>Dimensions et plans de référence</x:v>
      </x:c>
      <x:c r="F106" t="str">
        <x:v>P0</x:v>
      </x:c>
      <x:c r="G106" t="str">
        <x:v>En cours</x:v>
      </x:c>
      <x:c r="H106" t="str">
        <x:v>Production Codex</x:v>
      </x:c>
      <x:c r="I106" t="str">
        <x:v>Sources publiques identifiées ; unités en mètres ; emprise au sol distincte de la hauteur.</x:v>
      </x:c>
      <x:c r="J106" t="str">
        <x:v>https://github.com/darknigthmare/deadwall-last-enclosure/blob/1b3b9c5ba232734b1bda3453b4e20a0481bcdd74/docs/codex/suivi-monde2026/MARITIME_AUTEUR_2026.md</x:v>
      </x:c>
    </x:row>
    <x:row r="107">
      <x:c r="A107" t="str">
        <x:v>EXT-MONDE-T011/architecture</x:v>
      </x:c>
      <x:c r="B107" t="str">
        <x:v>EXT-MONDE-T011</x:v>
      </x:c>
      <x:c r="C107" t="str">
        <x:v>Offshore</x:v>
      </x:c>
      <x:c r="D107" t="str">
        <x:v>Navire de soutien offshore</x:v>
      </x:c>
      <x:c r="E107" t="str">
        <x:v>Pièces, étages, annexes</x:v>
      </x:c>
      <x:c r="F107" t="str">
        <x:v>P0</x:v>
      </x:c>
      <x:c r="G107" t="str">
        <x:v>En cours</x:v>
      </x:c>
      <x:c r="H107" t="str">
        <x:v>Production Codex</x:v>
      </x:c>
      <x:c r="I107" t="str">
        <x:v>Livrable explicite, tests positifs et négatifs ; aucune validation déduite de la seule présence de la fiche.</x:v>
      </x:c>
      <x:c r="J107" t="str">
        <x:v>https://github.com/darknigthmare/deadwall-last-enclosure/blob/1b3b9c5ba232734b1bda3453b4e20a0481bcdd74/docs/codex/suivi-monde2026/INSPECTION_PHYSIQUE_2026.md</x:v>
      </x:c>
    </x:row>
    <x:row r="108">
      <x:c r="A108" t="str">
        <x:v>EXT-MONDE-T011/seed</x:v>
      </x:c>
      <x:c r="B108" t="str">
        <x:v>EXT-MONDE-T011</x:v>
      </x:c>
      <x:c r="C108" t="str">
        <x:v>Offshore</x:v>
      </x:c>
      <x:c r="D108" t="str">
        <x:v>Navire de soutien offshore</x:v>
      </x:c>
      <x:c r="E108" t="str">
        <x:v>Implantation et réseaux</x:v>
      </x:c>
      <x:c r="F108" t="str">
        <x:v>P0</x:v>
      </x:c>
      <x:c r="G108" t="str">
        <x:v>À faire</x:v>
      </x:c>
      <x:c r="H108" t="str">
        <x:v>Non affecté</x:v>
      </x:c>
      <x:c r="I108" t="str">
        <x:v>Structure maritime réservée ; appuis et niveaux indépendants ; pas de production automatique.</x:v>
      </x:c>
      <x:c r="J108" t="str"/>
    </x:row>
    <x:row r="109">
      <x:c r="A109" t="str">
        <x:v>EXT-MONDE-T011/props</x:v>
      </x:c>
      <x:c r="B109" t="str">
        <x:v>EXT-MONDE-T011</x:v>
      </x:c>
      <x:c r="C109" t="str">
        <x:v>Offshore</x:v>
      </x:c>
      <x:c r="D109" t="str">
        <x:v>Navire de soutien offshore</x:v>
      </x:c>
      <x:c r="E109" t="str">
        <x:v>Objets, décors et dégagements</x:v>
      </x:c>
      <x:c r="F109" t="str">
        <x:v>P1</x:v>
      </x:c>
      <x:c r="G109" t="str">
        <x:v>En cours</x:v>
      </x:c>
      <x:c r="H109" t="str">
        <x:v>Production Codex</x:v>
      </x:c>
      <x:c r="I109" t="str">
        <x:v>Livrable explicite, tests positifs et négatifs ; aucune validation déduite de la seule présence de la fiche.</x:v>
      </x:c>
      <x:c r="J109" t="str">
        <x:v>https://github.com/darknigthmare/deadwall-last-enclosure/blob/1b3b9c5ba232734b1bda3453b4e20a0481bcdd74/docs/codex/suivi-monde2026/INSPECTION_PHYSIQUE_2026.md</x:v>
      </x:c>
    </x:row>
    <x:row r="110">
      <x:c r="A110" t="str">
        <x:v>EXT-MONDE-T011/loot</x:v>
      </x:c>
      <x:c r="B110" t="str">
        <x:v>EXT-MONDE-T011</x:v>
      </x:c>
      <x:c r="C110" t="str">
        <x:v>Offshore</x:v>
      </x:c>
      <x:c r="D110" t="str">
        <x:v>Navire de soutien offshore</x:v>
      </x:c>
      <x:c r="E110" t="str">
        <x:v>Budget de butin persistant</x:v>
      </x:c>
      <x:c r="F110" t="str">
        <x:v>P1</x:v>
      </x:c>
      <x:c r="G110" t="str">
        <x:v>À faire</x:v>
      </x:c>
      <x:c r="H110" t="str">
        <x:v>Non affecté</x:v>
      </x:c>
      <x:c r="I110" t="str">
        <x:v>Livrable explicite, tests positifs et négatifs ; aucune validation déduite de la seule présence de la fiche.</x:v>
      </x:c>
      <x:c r="J110" t="str"/>
    </x:row>
    <x:row r="111">
      <x:c r="A111" t="str">
        <x:v>EXT-MONDE-T011/rencontres</x:v>
      </x:c>
      <x:c r="B111" t="str">
        <x:v>EXT-MONDE-T011</x:v>
      </x:c>
      <x:c r="C111" t="str">
        <x:v>Offshore</x:v>
      </x:c>
      <x:c r="D111" t="str">
        <x:v>Navire de soutien offshore</x:v>
      </x:c>
      <x:c r="E111" t="str">
        <x:v>Ennemis et faune contextualisés</x:v>
      </x:c>
      <x:c r="F111" t="str">
        <x:v>P1</x:v>
      </x:c>
      <x:c r="G111" t="str">
        <x:v>À faire</x:v>
      </x:c>
      <x:c r="H111" t="str">
        <x:v>Non affecté</x:v>
      </x:c>
      <x:c r="I111" t="str">
        <x:v>Livrable explicite, tests positifs et négatifs ; aucune validation déduite de la seule présence de la fiche.</x:v>
      </x:c>
      <x:c r="J111" t="str"/>
    </x:row>
    <x:row r="112">
      <x:c r="A112" t="str">
        <x:v>EXT-MONDE-T011/services</x:v>
      </x:c>
      <x:c r="B112" t="str">
        <x:v>EXT-MONDE-T011</x:v>
      </x:c>
      <x:c r="C112" t="str">
        <x:v>Offshore</x:v>
      </x:c>
      <x:c r="D112" t="str">
        <x:v>Navire de soutien offshore</x:v>
      </x:c>
      <x:c r="E112" t="str">
        <x:v>Énergie, eau et interactions</x:v>
      </x:c>
      <x:c r="F112" t="str">
        <x:v>P1</x:v>
      </x:c>
      <x:c r="G112" t="str">
        <x:v>À faire</x:v>
      </x:c>
      <x:c r="H112" t="str">
        <x:v>Non affecté</x:v>
      </x:c>
      <x:c r="I112" t="str">
        <x:v>Livrable explicite, tests positifs et négatifs ; aucune validation déduite de la seule présence de la fiche.</x:v>
      </x:c>
      <x:c r="J112" t="str"/>
    </x:row>
    <x:row r="113">
      <x:c r="A113" t="str">
        <x:v>EXT-MONDE-T011/art</x:v>
      </x:c>
      <x:c r="B113" t="str">
        <x:v>EXT-MONDE-T011</x:v>
      </x:c>
      <x:c r="C113" t="str">
        <x:v>Offshore</x:v>
      </x:c>
      <x:c r="D113" t="str">
        <x:v>Navire de soutien offshore</x:v>
      </x:c>
      <x:c r="E113" t="str">
        <x:v>Sprites, proportions et animations</x:v>
      </x:c>
      <x:c r="F113" t="str">
        <x:v>P1</x:v>
      </x:c>
      <x:c r="G113" t="str">
        <x:v>À faire</x:v>
      </x:c>
      <x:c r="H113" t="str">
        <x:v>Non affecté</x:v>
      </x:c>
      <x:c r="I113" t="str">
        <x:v>Livrable explicite, tests positifs et négatifs ; aucune validation déduite de la seule présence de la fiche.</x:v>
      </x:c>
      <x:c r="J113" t="str"/>
    </x:row>
    <x:row r="114">
      <x:c r="A114" t="str">
        <x:v>EXT-MONDE-T011/sauvegarde</x:v>
      </x:c>
      <x:c r="B114" t="str">
        <x:v>EXT-MONDE-T011</x:v>
      </x:c>
      <x:c r="C114" t="str">
        <x:v>Offshore</x:v>
      </x:c>
      <x:c r="D114" t="str">
        <x:v>Navire de soutien offshore</x:v>
      </x:c>
      <x:c r="E114" t="str">
        <x:v>Identités, migration et reprise</x:v>
      </x:c>
      <x:c r="F114" t="str">
        <x:v>P1</x:v>
      </x:c>
      <x:c r="G114" t="str">
        <x:v>En cours</x:v>
      </x:c>
      <x:c r="H114" t="str">
        <x:v>Production Codex</x:v>
      </x:c>
      <x:c r="I114" t="str">
        <x:v>Livrable explicite, tests positifs et négatifs ; aucune validation déduite de la seule présence de la fiche.</x:v>
      </x:c>
      <x:c r="J114" t="str">
        <x:v>https://github.com/darknigthmare/deadwall-last-enclosure/blob/1b3b9c5ba232734b1bda3453b4e20a0481bcdd74/docs/codex/suivi-monde2026/INSPECTION_PHYSIQUE_2026.md</x:v>
      </x:c>
    </x:row>
    <x:row r="115">
      <x:c r="A115" t="str">
        <x:v>EXT-MONDE-T011/qa</x:v>
      </x:c>
      <x:c r="B115" t="str">
        <x:v>EXT-MONDE-T011</x:v>
      </x:c>
      <x:c r="C115" t="str">
        <x:v>Offshore</x:v>
      </x:c>
      <x:c r="D115" t="str">
        <x:v>Navire de soutien offshore</x:v>
      </x:c>
      <x:c r="E115" t="str">
        <x:v>Navigation et parcours jouables</x:v>
      </x:c>
      <x:c r="F115" t="str">
        <x:v>P1</x:v>
      </x:c>
      <x:c r="G115" t="str">
        <x:v>En cours</x:v>
      </x:c>
      <x:c r="H115" t="str">
        <x:v>Production Codex</x:v>
      </x:c>
      <x:c r="I115" t="str">
        <x:v>Livrable explicite, tests positifs et négatifs ; aucune validation déduite de la seule présence de la fiche.</x:v>
      </x:c>
      <x:c r="J115" t="str">
        <x:v>https://github.com/darknigthmare/deadwall-last-enclosure/blob/1b3b9c5ba232734b1bda3453b4e20a0481bcdd74/docs/codex/suivi-monde2026/INSPECTION_PHYSIQUE_2026.md</x:v>
      </x:c>
    </x:row>
    <x:row r="116">
      <x:c r="A116" t="str">
        <x:v>EXT-MONDE-T012/dimensions</x:v>
      </x:c>
      <x:c r="B116" t="str">
        <x:v>EXT-MONDE-T012</x:v>
      </x:c>
      <x:c r="C116" t="str">
        <x:v>Offshore</x:v>
      </x:c>
      <x:c r="D116" t="str">
        <x:v>Station scientifique marine</x:v>
      </x:c>
      <x:c r="E116" t="str">
        <x:v>Dimensions et plans de référence</x:v>
      </x:c>
      <x:c r="F116" t="str">
        <x:v>P0</x:v>
      </x:c>
      <x:c r="G116" t="str">
        <x:v>En cours</x:v>
      </x:c>
      <x:c r="H116" t="str">
        <x:v>Production Codex</x:v>
      </x:c>
      <x:c r="I116" t="str">
        <x:v>Sources publiques identifiées ; unités en mètres ; emprise au sol distincte de la hauteur.</x:v>
      </x:c>
      <x:c r="J116" t="str">
        <x:v>https://github.com/darknigthmare/deadwall-last-enclosure/blob/1b3b9c5ba232734b1bda3453b4e20a0481bcdd74/docs/codex/suivi-monde2026/PORTS_ILES_2026.md</x:v>
      </x:c>
    </x:row>
    <x:row r="117">
      <x:c r="A117" t="str">
        <x:v>EXT-MONDE-T012/architecture</x:v>
      </x:c>
      <x:c r="B117" t="str">
        <x:v>EXT-MONDE-T012</x:v>
      </x:c>
      <x:c r="C117" t="str">
        <x:v>Offshore</x:v>
      </x:c>
      <x:c r="D117" t="str">
        <x:v>Station scientifique marine</x:v>
      </x:c>
      <x:c r="E117" t="str">
        <x:v>Pièces, étages, annexes</x:v>
      </x:c>
      <x:c r="F117" t="str">
        <x:v>P0</x:v>
      </x:c>
      <x:c r="G117" t="str">
        <x:v>En cours</x:v>
      </x:c>
      <x:c r="H117" t="str">
        <x:v>Production Codex</x:v>
      </x:c>
      <x:c r="I117" t="str">
        <x:v>Livrable explicite, tests positifs et négatifs ; aucune validation déduite de la seule présence de la fiche.</x:v>
      </x:c>
      <x:c r="J117" t="str">
        <x:v>https://github.com/darknigthmare/deadwall-last-enclosure/blob/1b3b9c5ba232734b1bda3453b4e20a0481bcdd74/docs/codex/suivi-monde2026/INSPECTION_PHYSIQUE_2026.md</x:v>
      </x:c>
    </x:row>
    <x:row r="118">
      <x:c r="A118" t="str">
        <x:v>EXT-MONDE-T012/seed</x:v>
      </x:c>
      <x:c r="B118" t="str">
        <x:v>EXT-MONDE-T012</x:v>
      </x:c>
      <x:c r="C118" t="str">
        <x:v>Offshore</x:v>
      </x:c>
      <x:c r="D118" t="str">
        <x:v>Station scientifique marine</x:v>
      </x:c>
      <x:c r="E118" t="str">
        <x:v>Implantation et réseaux</x:v>
      </x:c>
      <x:c r="F118" t="str">
        <x:v>P0</x:v>
      </x:c>
      <x:c r="G118" t="str">
        <x:v>À faire</x:v>
      </x:c>
      <x:c r="H118" t="str">
        <x:v>Non affecté</x:v>
      </x:c>
      <x:c r="I118" t="str">
        <x:v>Structure maritime réservée ; appuis et niveaux indépendants ; pas de production automatique.</x:v>
      </x:c>
      <x:c r="J118" t="str"/>
    </x:row>
    <x:row r="119">
      <x:c r="A119" t="str">
        <x:v>EXT-MONDE-T012/props</x:v>
      </x:c>
      <x:c r="B119" t="str">
        <x:v>EXT-MONDE-T012</x:v>
      </x:c>
      <x:c r="C119" t="str">
        <x:v>Offshore</x:v>
      </x:c>
      <x:c r="D119" t="str">
        <x:v>Station scientifique marine</x:v>
      </x:c>
      <x:c r="E119" t="str">
        <x:v>Objets, décors et dégagements</x:v>
      </x:c>
      <x:c r="F119" t="str">
        <x:v>P1</x:v>
      </x:c>
      <x:c r="G119" t="str">
        <x:v>En cours</x:v>
      </x:c>
      <x:c r="H119" t="str">
        <x:v>Production Codex</x:v>
      </x:c>
      <x:c r="I119" t="str">
        <x:v>Livrable explicite, tests positifs et négatifs ; aucune validation déduite de la seule présence de la fiche.</x:v>
      </x:c>
      <x:c r="J119" t="str">
        <x:v>https://github.com/darknigthmare/deadwall-last-enclosure/blob/1b3b9c5ba232734b1bda3453b4e20a0481bcdd74/docs/codex/suivi-monde2026/INSPECTION_PHYSIQUE_2026.md</x:v>
      </x:c>
    </x:row>
    <x:row r="120">
      <x:c r="A120" t="str">
        <x:v>EXT-MONDE-T012/loot</x:v>
      </x:c>
      <x:c r="B120" t="str">
        <x:v>EXT-MONDE-T012</x:v>
      </x:c>
      <x:c r="C120" t="str">
        <x:v>Offshore</x:v>
      </x:c>
      <x:c r="D120" t="str">
        <x:v>Station scientifique marine</x:v>
      </x:c>
      <x:c r="E120" t="str">
        <x:v>Budget de butin persistant</x:v>
      </x:c>
      <x:c r="F120" t="str">
        <x:v>P1</x:v>
      </x:c>
      <x:c r="G120" t="str">
        <x:v>À faire</x:v>
      </x:c>
      <x:c r="H120" t="str">
        <x:v>Non affecté</x:v>
      </x:c>
      <x:c r="I120" t="str">
        <x:v>Livrable explicite, tests positifs et négatifs ; aucune validation déduite de la seule présence de la fiche.</x:v>
      </x:c>
      <x:c r="J120" t="str"/>
    </x:row>
    <x:row r="121">
      <x:c r="A121" t="str">
        <x:v>EXT-MONDE-T012/rencontres</x:v>
      </x:c>
      <x:c r="B121" t="str">
        <x:v>EXT-MONDE-T012</x:v>
      </x:c>
      <x:c r="C121" t="str">
        <x:v>Offshore</x:v>
      </x:c>
      <x:c r="D121" t="str">
        <x:v>Station scientifique marine</x:v>
      </x:c>
      <x:c r="E121" t="str">
        <x:v>Ennemis et faune contextualisés</x:v>
      </x:c>
      <x:c r="F121" t="str">
        <x:v>P1</x:v>
      </x:c>
      <x:c r="G121" t="str">
        <x:v>À faire</x:v>
      </x:c>
      <x:c r="H121" t="str">
        <x:v>Non affecté</x:v>
      </x:c>
      <x:c r="I121" t="str">
        <x:v>Livrable explicite, tests positifs et négatifs ; aucune validation déduite de la seule présence de la fiche.</x:v>
      </x:c>
      <x:c r="J121" t="str"/>
    </x:row>
    <x:row r="122">
      <x:c r="A122" t="str">
        <x:v>EXT-MONDE-T012/services</x:v>
      </x:c>
      <x:c r="B122" t="str">
        <x:v>EXT-MONDE-T012</x:v>
      </x:c>
      <x:c r="C122" t="str">
        <x:v>Offshore</x:v>
      </x:c>
      <x:c r="D122" t="str">
        <x:v>Station scientifique marine</x:v>
      </x:c>
      <x:c r="E122" t="str">
        <x:v>Énergie, eau et interactions</x:v>
      </x:c>
      <x:c r="F122" t="str">
        <x:v>P1</x:v>
      </x:c>
      <x:c r="G122" t="str">
        <x:v>À faire</x:v>
      </x:c>
      <x:c r="H122" t="str">
        <x:v>Non affecté</x:v>
      </x:c>
      <x:c r="I122" t="str">
        <x:v>Livrable explicite, tests positifs et négatifs ; aucune validation déduite de la seule présence de la fiche.</x:v>
      </x:c>
      <x:c r="J122" t="str"/>
    </x:row>
    <x:row r="123">
      <x:c r="A123" t="str">
        <x:v>EXT-MONDE-T012/art</x:v>
      </x:c>
      <x:c r="B123" t="str">
        <x:v>EXT-MONDE-T012</x:v>
      </x:c>
      <x:c r="C123" t="str">
        <x:v>Offshore</x:v>
      </x:c>
      <x:c r="D123" t="str">
        <x:v>Station scientifique marine</x:v>
      </x:c>
      <x:c r="E123" t="str">
        <x:v>Sprites, proportions et animations</x:v>
      </x:c>
      <x:c r="F123" t="str">
        <x:v>P1</x:v>
      </x:c>
      <x:c r="G123" t="str">
        <x:v>À faire</x:v>
      </x:c>
      <x:c r="H123" t="str">
        <x:v>Non affecté</x:v>
      </x:c>
      <x:c r="I123" t="str">
        <x:v>Livrable explicite, tests positifs et négatifs ; aucune validation déduite de la seule présence de la fiche.</x:v>
      </x:c>
      <x:c r="J123" t="str"/>
    </x:row>
    <x:row r="124">
      <x:c r="A124" t="str">
        <x:v>EXT-MONDE-T012/sauvegarde</x:v>
      </x:c>
      <x:c r="B124" t="str">
        <x:v>EXT-MONDE-T012</x:v>
      </x:c>
      <x:c r="C124" t="str">
        <x:v>Offshore</x:v>
      </x:c>
      <x:c r="D124" t="str">
        <x:v>Station scientifique marine</x:v>
      </x:c>
      <x:c r="E124" t="str">
        <x:v>Identités, migration et reprise</x:v>
      </x:c>
      <x:c r="F124" t="str">
        <x:v>P1</x:v>
      </x:c>
      <x:c r="G124" t="str">
        <x:v>En cours</x:v>
      </x:c>
      <x:c r="H124" t="str">
        <x:v>Production Codex</x:v>
      </x:c>
      <x:c r="I124" t="str">
        <x:v>Livrable explicite, tests positifs et négatifs ; aucune validation déduite de la seule présence de la fiche.</x:v>
      </x:c>
      <x:c r="J124" t="str">
        <x:v>https://github.com/darknigthmare/deadwall-last-enclosure/blob/1b3b9c5ba232734b1bda3453b4e20a0481bcdd74/docs/codex/suivi-monde2026/INSPECTION_PHYSIQUE_2026.md</x:v>
      </x:c>
    </x:row>
    <x:row r="125">
      <x:c r="A125" t="str">
        <x:v>EXT-MONDE-T012/qa</x:v>
      </x:c>
      <x:c r="B125" t="str">
        <x:v>EXT-MONDE-T012</x:v>
      </x:c>
      <x:c r="C125" t="str">
        <x:v>Offshore</x:v>
      </x:c>
      <x:c r="D125" t="str">
        <x:v>Station scientifique marine</x:v>
      </x:c>
      <x:c r="E125" t="str">
        <x:v>Navigation et parcours jouables</x:v>
      </x:c>
      <x:c r="F125" t="str">
        <x:v>P1</x:v>
      </x:c>
      <x:c r="G125" t="str">
        <x:v>En cours</x:v>
      </x:c>
      <x:c r="H125" t="str">
        <x:v>Production Codex</x:v>
      </x:c>
      <x:c r="I125" t="str">
        <x:v>Livrable explicite, tests positifs et négatifs ; aucune validation déduite de la seule présence de la fiche.</x:v>
      </x:c>
      <x:c r="J125" t="str">
        <x:v>https://github.com/darknigthmare/deadwall-last-enclosure/blob/1b3b9c5ba232734b1bda3453b4e20a0481bcdd74/docs/codex/suivi-monde2026/INSPECTION_PHYSIQUE_2026.md</x:v>
      </x:c>
    </x:row>
    <x:row r="126">
      <x:c r="A126" t="str">
        <x:v>EXT-MONDE-T013/dimensions</x:v>
      </x:c>
      <x:c r="B126" t="str">
        <x:v>EXT-MONDE-T013</x:v>
      </x:c>
      <x:c r="C126" t="str">
        <x:v>Ports</x:v>
      </x:c>
      <x:c r="D126" t="str">
        <x:v>Port de pêche</x:v>
      </x:c>
      <x:c r="E126" t="str">
        <x:v>Dimensions et plans de référence</x:v>
      </x:c>
      <x:c r="F126" t="str">
        <x:v>P0</x:v>
      </x:c>
      <x:c r="G126" t="str">
        <x:v>En cours</x:v>
      </x:c>
      <x:c r="H126" t="str">
        <x:v>Production Codex</x:v>
      </x:c>
      <x:c r="I126" t="str">
        <x:v>Sources publiques identifiées ; unités en mètres ; emprise au sol distincte de la hauteur.</x:v>
      </x:c>
      <x:c r="J126" t="str">
        <x:v>https://github.com/darknigthmare/deadwall-last-enclosure/blob/1b3b9c5ba232734b1bda3453b4e20a0481bcdd74/docs/codex/suivi-monde2026/PORTS_ILES_2026.md</x:v>
      </x:c>
    </x:row>
    <x:row r="127">
      <x:c r="A127" t="str">
        <x:v>EXT-MONDE-T013/architecture</x:v>
      </x:c>
      <x:c r="B127" t="str">
        <x:v>EXT-MONDE-T013</x:v>
      </x:c>
      <x:c r="C127" t="str">
        <x:v>Ports</x:v>
      </x:c>
      <x:c r="D127" t="str">
        <x:v>Port de pêche</x:v>
      </x:c>
      <x:c r="E127" t="str">
        <x:v>Pièces, étages, annexes</x:v>
      </x:c>
      <x:c r="F127" t="str">
        <x:v>P0</x:v>
      </x:c>
      <x:c r="G127" t="str">
        <x:v>En cours</x:v>
      </x:c>
      <x:c r="H127" t="str">
        <x:v>Production Codex</x:v>
      </x:c>
      <x:c r="I127" t="str">
        <x:v>Livrable explicite, tests positifs et négatifs ; aucune validation déduite de la seule présence de la fiche.</x:v>
      </x:c>
      <x:c r="J127" t="str">
        <x:v>https://github.com/darknigthmare/deadwall-last-enclosure/blob/1b3b9c5ba232734b1bda3453b4e20a0481bcdd74/docs/codex/suivi-monde2026/INSPECTION_PHYSIQUE_2026.md</x:v>
      </x:c>
    </x:row>
    <x:row r="128">
      <x:c r="A128" t="str">
        <x:v>EXT-MONDE-T013/seed</x:v>
      </x:c>
      <x:c r="B128" t="str">
        <x:v>EXT-MONDE-T013</x:v>
      </x:c>
      <x:c r="C128" t="str">
        <x:v>Ports</x:v>
      </x:c>
      <x:c r="D128" t="str">
        <x:v>Port de pêche</x:v>
      </x:c>
      <x:c r="E128" t="str">
        <x:v>Implantation et réseaux</x:v>
      </x:c>
      <x:c r="F128" t="str">
        <x:v>P0</x:v>
      </x:c>
      <x:c r="G128" t="str">
        <x:v>À faire</x:v>
      </x:c>
      <x:c r="H128" t="str">
        <x:v>Non affecté</x:v>
      </x:c>
      <x:c r="I128" t="str">
        <x:v>Côté terre/eau explicite ; chenal connecté ; manutention et visiteurs séparés.</x:v>
      </x:c>
      <x:c r="J128" t="str"/>
    </x:row>
    <x:row r="129">
      <x:c r="A129" t="str">
        <x:v>EXT-MONDE-T013/props</x:v>
      </x:c>
      <x:c r="B129" t="str">
        <x:v>EXT-MONDE-T013</x:v>
      </x:c>
      <x:c r="C129" t="str">
        <x:v>Ports</x:v>
      </x:c>
      <x:c r="D129" t="str">
        <x:v>Port de pêche</x:v>
      </x:c>
      <x:c r="E129" t="str">
        <x:v>Objets, décors et dégagements</x:v>
      </x:c>
      <x:c r="F129" t="str">
        <x:v>P1</x:v>
      </x:c>
      <x:c r="G129" t="str">
        <x:v>En cours</x:v>
      </x:c>
      <x:c r="H129" t="str">
        <x:v>Production Codex</x:v>
      </x:c>
      <x:c r="I129" t="str">
        <x:v>Livrable explicite, tests positifs et négatifs ; aucune validation déduite de la seule présence de la fiche.</x:v>
      </x:c>
      <x:c r="J129" t="str">
        <x:v>https://github.com/darknigthmare/deadwall-last-enclosure/blob/1b3b9c5ba232734b1bda3453b4e20a0481bcdd74/docs/codex/suivi-monde2026/INSPECTION_PHYSIQUE_2026.md</x:v>
      </x:c>
    </x:row>
    <x:row r="130">
      <x:c r="A130" t="str">
        <x:v>EXT-MONDE-T013/loot</x:v>
      </x:c>
      <x:c r="B130" t="str">
        <x:v>EXT-MONDE-T013</x:v>
      </x:c>
      <x:c r="C130" t="str">
        <x:v>Ports</x:v>
      </x:c>
      <x:c r="D130" t="str">
        <x:v>Port de pêche</x:v>
      </x:c>
      <x:c r="E130" t="str">
        <x:v>Budget de butin persistant</x:v>
      </x:c>
      <x:c r="F130" t="str">
        <x:v>P1</x:v>
      </x:c>
      <x:c r="G130" t="str">
        <x:v>À faire</x:v>
      </x:c>
      <x:c r="H130" t="str">
        <x:v>Non affecté</x:v>
      </x:c>
      <x:c r="I130" t="str">
        <x:v>Livrable explicite, tests positifs et négatifs ; aucune validation déduite de la seule présence de la fiche.</x:v>
      </x:c>
      <x:c r="J130" t="str"/>
    </x:row>
    <x:row r="131">
      <x:c r="A131" t="str">
        <x:v>EXT-MONDE-T013/rencontres</x:v>
      </x:c>
      <x:c r="B131" t="str">
        <x:v>EXT-MONDE-T013</x:v>
      </x:c>
      <x:c r="C131" t="str">
        <x:v>Ports</x:v>
      </x:c>
      <x:c r="D131" t="str">
        <x:v>Port de pêche</x:v>
      </x:c>
      <x:c r="E131" t="str">
        <x:v>Ennemis et faune contextualisés</x:v>
      </x:c>
      <x:c r="F131" t="str">
        <x:v>P1</x:v>
      </x:c>
      <x:c r="G131" t="str">
        <x:v>À faire</x:v>
      </x:c>
      <x:c r="H131" t="str">
        <x:v>Non affecté</x:v>
      </x:c>
      <x:c r="I131" t="str">
        <x:v>Livrable explicite, tests positifs et négatifs ; aucune validation déduite de la seule présence de la fiche.</x:v>
      </x:c>
      <x:c r="J131" t="str"/>
    </x:row>
    <x:row r="132">
      <x:c r="A132" t="str">
        <x:v>EXT-MONDE-T013/services</x:v>
      </x:c>
      <x:c r="B132" t="str">
        <x:v>EXT-MONDE-T013</x:v>
      </x:c>
      <x:c r="C132" t="str">
        <x:v>Ports</x:v>
      </x:c>
      <x:c r="D132" t="str">
        <x:v>Port de pêche</x:v>
      </x:c>
      <x:c r="E132" t="str">
        <x:v>Énergie, eau et interactions</x:v>
      </x:c>
      <x:c r="F132" t="str">
        <x:v>P1</x:v>
      </x:c>
      <x:c r="G132" t="str">
        <x:v>À faire</x:v>
      </x:c>
      <x:c r="H132" t="str">
        <x:v>Non affecté</x:v>
      </x:c>
      <x:c r="I132" t="str">
        <x:v>Livrable explicite, tests positifs et négatifs ; aucune validation déduite de la seule présence de la fiche.</x:v>
      </x:c>
      <x:c r="J132" t="str"/>
    </x:row>
    <x:row r="133">
      <x:c r="A133" t="str">
        <x:v>EXT-MONDE-T013/art</x:v>
      </x:c>
      <x:c r="B133" t="str">
        <x:v>EXT-MONDE-T013</x:v>
      </x:c>
      <x:c r="C133" t="str">
        <x:v>Ports</x:v>
      </x:c>
      <x:c r="D133" t="str">
        <x:v>Port de pêche</x:v>
      </x:c>
      <x:c r="E133" t="str">
        <x:v>Sprites, proportions et animations</x:v>
      </x:c>
      <x:c r="F133" t="str">
        <x:v>P1</x:v>
      </x:c>
      <x:c r="G133" t="str">
        <x:v>À faire</x:v>
      </x:c>
      <x:c r="H133" t="str">
        <x:v>Non affecté</x:v>
      </x:c>
      <x:c r="I133" t="str">
        <x:v>Livrable explicite, tests positifs et négatifs ; aucune validation déduite de la seule présence de la fiche.</x:v>
      </x:c>
      <x:c r="J133" t="str"/>
    </x:row>
    <x:row r="134">
      <x:c r="A134" t="str">
        <x:v>EXT-MONDE-T013/sauvegarde</x:v>
      </x:c>
      <x:c r="B134" t="str">
        <x:v>EXT-MONDE-T013</x:v>
      </x:c>
      <x:c r="C134" t="str">
        <x:v>Ports</x:v>
      </x:c>
      <x:c r="D134" t="str">
        <x:v>Port de pêche</x:v>
      </x:c>
      <x:c r="E134" t="str">
        <x:v>Identités, migration et reprise</x:v>
      </x:c>
      <x:c r="F134" t="str">
        <x:v>P1</x:v>
      </x:c>
      <x:c r="G134" t="str">
        <x:v>En cours</x:v>
      </x:c>
      <x:c r="H134" t="str">
        <x:v>Production Codex</x:v>
      </x:c>
      <x:c r="I134" t="str">
        <x:v>Livrable explicite, tests positifs et négatifs ; aucune validation déduite de la seule présence de la fiche.</x:v>
      </x:c>
      <x:c r="J134" t="str">
        <x:v>https://github.com/darknigthmare/deadwall-last-enclosure/blob/1b3b9c5ba232734b1bda3453b4e20a0481bcdd74/docs/codex/suivi-monde2026/INSPECTION_PHYSIQUE_2026.md</x:v>
      </x:c>
    </x:row>
    <x:row r="135">
      <x:c r="A135" t="str">
        <x:v>EXT-MONDE-T013/qa</x:v>
      </x:c>
      <x:c r="B135" t="str">
        <x:v>EXT-MONDE-T013</x:v>
      </x:c>
      <x:c r="C135" t="str">
        <x:v>Ports</x:v>
      </x:c>
      <x:c r="D135" t="str">
        <x:v>Port de pêche</x:v>
      </x:c>
      <x:c r="E135" t="str">
        <x:v>Navigation et parcours jouables</x:v>
      </x:c>
      <x:c r="F135" t="str">
        <x:v>P1</x:v>
      </x:c>
      <x:c r="G135" t="str">
        <x:v>En cours</x:v>
      </x:c>
      <x:c r="H135" t="str">
        <x:v>Production Codex</x:v>
      </x:c>
      <x:c r="I135" t="str">
        <x:v>Livrable explicite, tests positifs et négatifs ; aucune validation déduite de la seule présence de la fiche.</x:v>
      </x:c>
      <x:c r="J135" t="str">
        <x:v>https://github.com/darknigthmare/deadwall-last-enclosure/blob/1b3b9c5ba232734b1bda3453b4e20a0481bcdd74/docs/codex/suivi-monde2026/INSPECTION_PHYSIQUE_2026.md</x:v>
      </x:c>
    </x:row>
    <x:row r="136">
      <x:c r="A136" t="str">
        <x:v>EXT-MONDE-T014/dimensions</x:v>
      </x:c>
      <x:c r="B136" t="str">
        <x:v>EXT-MONDE-T014</x:v>
      </x:c>
      <x:c r="C136" t="str">
        <x:v>Ports</x:v>
      </x:c>
      <x:c r="D136" t="str">
        <x:v>Marina</x:v>
      </x:c>
      <x:c r="E136" t="str">
        <x:v>Dimensions et plans de référence</x:v>
      </x:c>
      <x:c r="F136" t="str">
        <x:v>P0</x:v>
      </x:c>
      <x:c r="G136" t="str">
        <x:v>En cours</x:v>
      </x:c>
      <x:c r="H136" t="str">
        <x:v>Production Codex</x:v>
      </x:c>
      <x:c r="I136" t="str">
        <x:v>Sources publiques identifiées ; unités en mètres ; emprise au sol distincte de la hauteur.</x:v>
      </x:c>
      <x:c r="J136" t="str">
        <x:v>https://github.com/darknigthmare/deadwall-last-enclosure/blob/1b3b9c5ba232734b1bda3453b4e20a0481bcdd74/docs/codex/suivi-monde2026/PORTS_ILES_2026.md</x:v>
      </x:c>
    </x:row>
    <x:row r="137">
      <x:c r="A137" t="str">
        <x:v>EXT-MONDE-T014/architecture</x:v>
      </x:c>
      <x:c r="B137" t="str">
        <x:v>EXT-MONDE-T014</x:v>
      </x:c>
      <x:c r="C137" t="str">
        <x:v>Ports</x:v>
      </x:c>
      <x:c r="D137" t="str">
        <x:v>Marina</x:v>
      </x:c>
      <x:c r="E137" t="str">
        <x:v>Pièces, étages, annexes</x:v>
      </x:c>
      <x:c r="F137" t="str">
        <x:v>P0</x:v>
      </x:c>
      <x:c r="G137" t="str">
        <x:v>En cours</x:v>
      </x:c>
      <x:c r="H137" t="str">
        <x:v>Production Codex</x:v>
      </x:c>
      <x:c r="I137" t="str">
        <x:v>Livrable explicite, tests positifs et négatifs ; aucune validation déduite de la seule présence de la fiche.</x:v>
      </x:c>
      <x:c r="J137" t="str">
        <x:v>https://github.com/darknigthmare/deadwall-last-enclosure/blob/1b3b9c5ba232734b1bda3453b4e20a0481bcdd74/docs/codex/suivi-monde2026/INSPECTION_PHYSIQUE_2026.md</x:v>
      </x:c>
    </x:row>
    <x:row r="138">
      <x:c r="A138" t="str">
        <x:v>EXT-MONDE-T014/seed</x:v>
      </x:c>
      <x:c r="B138" t="str">
        <x:v>EXT-MONDE-T014</x:v>
      </x:c>
      <x:c r="C138" t="str">
        <x:v>Ports</x:v>
      </x:c>
      <x:c r="D138" t="str">
        <x:v>Marina</x:v>
      </x:c>
      <x:c r="E138" t="str">
        <x:v>Implantation et réseaux</x:v>
      </x:c>
      <x:c r="F138" t="str">
        <x:v>P0</x:v>
      </x:c>
      <x:c r="G138" t="str">
        <x:v>À faire</x:v>
      </x:c>
      <x:c r="H138" t="str">
        <x:v>Non affecté</x:v>
      </x:c>
      <x:c r="I138" t="str">
        <x:v>Côté terre/eau explicite ; chenal connecté ; manutention et visiteurs séparés.</x:v>
      </x:c>
      <x:c r="J138" t="str"/>
    </x:row>
    <x:row r="139">
      <x:c r="A139" t="str">
        <x:v>EXT-MONDE-T014/props</x:v>
      </x:c>
      <x:c r="B139" t="str">
        <x:v>EXT-MONDE-T014</x:v>
      </x:c>
      <x:c r="C139" t="str">
        <x:v>Ports</x:v>
      </x:c>
      <x:c r="D139" t="str">
        <x:v>Marina</x:v>
      </x:c>
      <x:c r="E139" t="str">
        <x:v>Objets, décors et dégagements</x:v>
      </x:c>
      <x:c r="F139" t="str">
        <x:v>P1</x:v>
      </x:c>
      <x:c r="G139" t="str">
        <x:v>En cours</x:v>
      </x:c>
      <x:c r="H139" t="str">
        <x:v>Production Codex</x:v>
      </x:c>
      <x:c r="I139" t="str">
        <x:v>Livrable explicite, tests positifs et négatifs ; aucune validation déduite de la seule présence de la fiche.</x:v>
      </x:c>
      <x:c r="J139" t="str">
        <x:v>https://github.com/darknigthmare/deadwall-last-enclosure/blob/1b3b9c5ba232734b1bda3453b4e20a0481bcdd74/docs/codex/suivi-monde2026/INSPECTION_PHYSIQUE_2026.md</x:v>
      </x:c>
    </x:row>
    <x:row r="140">
      <x:c r="A140" t="str">
        <x:v>EXT-MONDE-T014/loot</x:v>
      </x:c>
      <x:c r="B140" t="str">
        <x:v>EXT-MONDE-T014</x:v>
      </x:c>
      <x:c r="C140" t="str">
        <x:v>Ports</x:v>
      </x:c>
      <x:c r="D140" t="str">
        <x:v>Marina</x:v>
      </x:c>
      <x:c r="E140" t="str">
        <x:v>Budget de butin persistant</x:v>
      </x:c>
      <x:c r="F140" t="str">
        <x:v>P1</x:v>
      </x:c>
      <x:c r="G140" t="str">
        <x:v>À faire</x:v>
      </x:c>
      <x:c r="H140" t="str">
        <x:v>Non affecté</x:v>
      </x:c>
      <x:c r="I140" t="str">
        <x:v>Livrable explicite, tests positifs et négatifs ; aucune validation déduite de la seule présence de la fiche.</x:v>
      </x:c>
      <x:c r="J140" t="str"/>
    </x:row>
    <x:row r="141">
      <x:c r="A141" t="str">
        <x:v>EXT-MONDE-T014/rencontres</x:v>
      </x:c>
      <x:c r="B141" t="str">
        <x:v>EXT-MONDE-T014</x:v>
      </x:c>
      <x:c r="C141" t="str">
        <x:v>Ports</x:v>
      </x:c>
      <x:c r="D141" t="str">
        <x:v>Marina</x:v>
      </x:c>
      <x:c r="E141" t="str">
        <x:v>Ennemis et faune contextualisés</x:v>
      </x:c>
      <x:c r="F141" t="str">
        <x:v>P1</x:v>
      </x:c>
      <x:c r="G141" t="str">
        <x:v>À faire</x:v>
      </x:c>
      <x:c r="H141" t="str">
        <x:v>Non affecté</x:v>
      </x:c>
      <x:c r="I141" t="str">
        <x:v>Livrable explicite, tests positifs et négatifs ; aucune validation déduite de la seule présence de la fiche.</x:v>
      </x:c>
      <x:c r="J141" t="str"/>
    </x:row>
    <x:row r="142">
      <x:c r="A142" t="str">
        <x:v>EXT-MONDE-T014/services</x:v>
      </x:c>
      <x:c r="B142" t="str">
        <x:v>EXT-MONDE-T014</x:v>
      </x:c>
      <x:c r="C142" t="str">
        <x:v>Ports</x:v>
      </x:c>
      <x:c r="D142" t="str">
        <x:v>Marina</x:v>
      </x:c>
      <x:c r="E142" t="str">
        <x:v>Énergie, eau et interactions</x:v>
      </x:c>
      <x:c r="F142" t="str">
        <x:v>P1</x:v>
      </x:c>
      <x:c r="G142" t="str">
        <x:v>À faire</x:v>
      </x:c>
      <x:c r="H142" t="str">
        <x:v>Non affecté</x:v>
      </x:c>
      <x:c r="I142" t="str">
        <x:v>Livrable explicite, tests positifs et négatifs ; aucune validation déduite de la seule présence de la fiche.</x:v>
      </x:c>
      <x:c r="J142" t="str"/>
    </x:row>
    <x:row r="143">
      <x:c r="A143" t="str">
        <x:v>EXT-MONDE-T014/art</x:v>
      </x:c>
      <x:c r="B143" t="str">
        <x:v>EXT-MONDE-T014</x:v>
      </x:c>
      <x:c r="C143" t="str">
        <x:v>Ports</x:v>
      </x:c>
      <x:c r="D143" t="str">
        <x:v>Marina</x:v>
      </x:c>
      <x:c r="E143" t="str">
        <x:v>Sprites, proportions et animations</x:v>
      </x:c>
      <x:c r="F143" t="str">
        <x:v>P1</x:v>
      </x:c>
      <x:c r="G143" t="str">
        <x:v>À faire</x:v>
      </x:c>
      <x:c r="H143" t="str">
        <x:v>Non affecté</x:v>
      </x:c>
      <x:c r="I143" t="str">
        <x:v>Livrable explicite, tests positifs et négatifs ; aucune validation déduite de la seule présence de la fiche.</x:v>
      </x:c>
      <x:c r="J143" t="str"/>
    </x:row>
    <x:row r="144">
      <x:c r="A144" t="str">
        <x:v>EXT-MONDE-T014/sauvegarde</x:v>
      </x:c>
      <x:c r="B144" t="str">
        <x:v>EXT-MONDE-T014</x:v>
      </x:c>
      <x:c r="C144" t="str">
        <x:v>Ports</x:v>
      </x:c>
      <x:c r="D144" t="str">
        <x:v>Marina</x:v>
      </x:c>
      <x:c r="E144" t="str">
        <x:v>Identités, migration et reprise</x:v>
      </x:c>
      <x:c r="F144" t="str">
        <x:v>P1</x:v>
      </x:c>
      <x:c r="G144" t="str">
        <x:v>En cours</x:v>
      </x:c>
      <x:c r="H144" t="str">
        <x:v>Production Codex</x:v>
      </x:c>
      <x:c r="I144" t="str">
        <x:v>Livrable explicite, tests positifs et négatifs ; aucune validation déduite de la seule présence de la fiche.</x:v>
      </x:c>
      <x:c r="J144" t="str">
        <x:v>https://github.com/darknigthmare/deadwall-last-enclosure/blob/1b3b9c5ba232734b1bda3453b4e20a0481bcdd74/docs/codex/suivi-monde2026/INSPECTION_PHYSIQUE_2026.md</x:v>
      </x:c>
    </x:row>
    <x:row r="145">
      <x:c r="A145" t="str">
        <x:v>EXT-MONDE-T014/qa</x:v>
      </x:c>
      <x:c r="B145" t="str">
        <x:v>EXT-MONDE-T014</x:v>
      </x:c>
      <x:c r="C145" t="str">
        <x:v>Ports</x:v>
      </x:c>
      <x:c r="D145" t="str">
        <x:v>Marina</x:v>
      </x:c>
      <x:c r="E145" t="str">
        <x:v>Navigation et parcours jouables</x:v>
      </x:c>
      <x:c r="F145" t="str">
        <x:v>P1</x:v>
      </x:c>
      <x:c r="G145" t="str">
        <x:v>En cours</x:v>
      </x:c>
      <x:c r="H145" t="str">
        <x:v>Production Codex</x:v>
      </x:c>
      <x:c r="I145" t="str">
        <x:v>Livrable explicite, tests positifs et négatifs ; aucune validation déduite de la seule présence de la fiche.</x:v>
      </x:c>
      <x:c r="J145" t="str">
        <x:v>https://github.com/darknigthmare/deadwall-last-enclosure/blob/1b3b9c5ba232734b1bda3453b4e20a0481bcdd74/docs/codex/suivi-monde2026/INSPECTION_PHYSIQUE_2026.md</x:v>
      </x:c>
    </x:row>
    <x:row r="146">
      <x:c r="A146" t="str">
        <x:v>EXT-MONDE-T015/dimensions</x:v>
      </x:c>
      <x:c r="B146" t="str">
        <x:v>EXT-MONDE-T015</x:v>
      </x:c>
      <x:c r="C146" t="str">
        <x:v>Ports</x:v>
      </x:c>
      <x:c r="D146" t="str">
        <x:v>Terminal conteneurs</x:v>
      </x:c>
      <x:c r="E146" t="str">
        <x:v>Dimensions et plans de référence</x:v>
      </x:c>
      <x:c r="F146" t="str">
        <x:v>P0</x:v>
      </x:c>
      <x:c r="G146" t="str">
        <x:v>En cours</x:v>
      </x:c>
      <x:c r="H146" t="str">
        <x:v>Production Codex</x:v>
      </x:c>
      <x:c r="I146" t="str">
        <x:v>Sources publiques identifiées ; unités en mètres ; emprise au sol distincte de la hauteur.</x:v>
      </x:c>
      <x:c r="J146" t="str">
        <x:v>https://github.com/darknigthmare/deadwall-last-enclosure/blob/1b3b9c5ba232734b1bda3453b4e20a0481bcdd74/docs/codex/suivi-monde2026/PORTS_ILES_2026.md</x:v>
      </x:c>
    </x:row>
    <x:row r="147">
      <x:c r="A147" t="str">
        <x:v>EXT-MONDE-T015/architecture</x:v>
      </x:c>
      <x:c r="B147" t="str">
        <x:v>EXT-MONDE-T015</x:v>
      </x:c>
      <x:c r="C147" t="str">
        <x:v>Ports</x:v>
      </x:c>
      <x:c r="D147" t="str">
        <x:v>Terminal conteneurs</x:v>
      </x:c>
      <x:c r="E147" t="str">
        <x:v>Pièces, étages, annexes</x:v>
      </x:c>
      <x:c r="F147" t="str">
        <x:v>P0</x:v>
      </x:c>
      <x:c r="G147" t="str">
        <x:v>En cours</x:v>
      </x:c>
      <x:c r="H147" t="str">
        <x:v>Production Codex</x:v>
      </x:c>
      <x:c r="I147" t="str">
        <x:v>Livrable explicite, tests positifs et négatifs ; aucune validation déduite de la seule présence de la fiche.</x:v>
      </x:c>
      <x:c r="J147" t="str">
        <x:v>https://github.com/darknigthmare/deadwall-last-enclosure/blob/1b3b9c5ba232734b1bda3453b4e20a0481bcdd74/docs/codex/suivi-monde2026/INSPECTION_PHYSIQUE_2026.md</x:v>
      </x:c>
    </x:row>
    <x:row r="148">
      <x:c r="A148" t="str">
        <x:v>EXT-MONDE-T015/seed</x:v>
      </x:c>
      <x:c r="B148" t="str">
        <x:v>EXT-MONDE-T015</x:v>
      </x:c>
      <x:c r="C148" t="str">
        <x:v>Ports</x:v>
      </x:c>
      <x:c r="D148" t="str">
        <x:v>Terminal conteneurs</x:v>
      </x:c>
      <x:c r="E148" t="str">
        <x:v>Implantation et réseaux</x:v>
      </x:c>
      <x:c r="F148" t="str">
        <x:v>P0</x:v>
      </x:c>
      <x:c r="G148" t="str">
        <x:v>À faire</x:v>
      </x:c>
      <x:c r="H148" t="str">
        <x:v>Non affecté</x:v>
      </x:c>
      <x:c r="I148" t="str">
        <x:v>Côté terre/eau explicite ; chenal connecté ; manutention et visiteurs séparés.</x:v>
      </x:c>
      <x:c r="J148" t="str"/>
    </x:row>
    <x:row r="149">
      <x:c r="A149" t="str">
        <x:v>EXT-MONDE-T015/props</x:v>
      </x:c>
      <x:c r="B149" t="str">
        <x:v>EXT-MONDE-T015</x:v>
      </x:c>
      <x:c r="C149" t="str">
        <x:v>Ports</x:v>
      </x:c>
      <x:c r="D149" t="str">
        <x:v>Terminal conteneurs</x:v>
      </x:c>
      <x:c r="E149" t="str">
        <x:v>Objets, décors et dégagements</x:v>
      </x:c>
      <x:c r="F149" t="str">
        <x:v>P1</x:v>
      </x:c>
      <x:c r="G149" t="str">
        <x:v>En cours</x:v>
      </x:c>
      <x:c r="H149" t="str">
        <x:v>Production Codex</x:v>
      </x:c>
      <x:c r="I149" t="str">
        <x:v>Livrable explicite, tests positifs et négatifs ; aucune validation déduite de la seule présence de la fiche.</x:v>
      </x:c>
      <x:c r="J149" t="str">
        <x:v>https://github.com/darknigthmare/deadwall-last-enclosure/blob/1b3b9c5ba232734b1bda3453b4e20a0481bcdd74/docs/codex/suivi-monde2026/INSPECTION_PHYSIQUE_2026.md</x:v>
      </x:c>
    </x:row>
    <x:row r="150">
      <x:c r="A150" t="str">
        <x:v>EXT-MONDE-T015/loot</x:v>
      </x:c>
      <x:c r="B150" t="str">
        <x:v>EXT-MONDE-T015</x:v>
      </x:c>
      <x:c r="C150" t="str">
        <x:v>Ports</x:v>
      </x:c>
      <x:c r="D150" t="str">
        <x:v>Terminal conteneurs</x:v>
      </x:c>
      <x:c r="E150" t="str">
        <x:v>Budget de butin persistant</x:v>
      </x:c>
      <x:c r="F150" t="str">
        <x:v>P1</x:v>
      </x:c>
      <x:c r="G150" t="str">
        <x:v>À faire</x:v>
      </x:c>
      <x:c r="H150" t="str">
        <x:v>Non affecté</x:v>
      </x:c>
      <x:c r="I150" t="str">
        <x:v>Livrable explicite, tests positifs et négatifs ; aucune validation déduite de la seule présence de la fiche.</x:v>
      </x:c>
      <x:c r="J150" t="str"/>
    </x:row>
    <x:row r="151">
      <x:c r="A151" t="str">
        <x:v>EXT-MONDE-T015/rencontres</x:v>
      </x:c>
      <x:c r="B151" t="str">
        <x:v>EXT-MONDE-T015</x:v>
      </x:c>
      <x:c r="C151" t="str">
        <x:v>Ports</x:v>
      </x:c>
      <x:c r="D151" t="str">
        <x:v>Terminal conteneurs</x:v>
      </x:c>
      <x:c r="E151" t="str">
        <x:v>Ennemis et faune contextualisés</x:v>
      </x:c>
      <x:c r="F151" t="str">
        <x:v>P1</x:v>
      </x:c>
      <x:c r="G151" t="str">
        <x:v>À faire</x:v>
      </x:c>
      <x:c r="H151" t="str">
        <x:v>Non affecté</x:v>
      </x:c>
      <x:c r="I151" t="str">
        <x:v>Livrable explicite, tests positifs et négatifs ; aucune validation déduite de la seule présence de la fiche.</x:v>
      </x:c>
      <x:c r="J151" t="str"/>
    </x:row>
    <x:row r="152">
      <x:c r="A152" t="str">
        <x:v>EXT-MONDE-T015/services</x:v>
      </x:c>
      <x:c r="B152" t="str">
        <x:v>EXT-MONDE-T015</x:v>
      </x:c>
      <x:c r="C152" t="str">
        <x:v>Ports</x:v>
      </x:c>
      <x:c r="D152" t="str">
        <x:v>Terminal conteneurs</x:v>
      </x:c>
      <x:c r="E152" t="str">
        <x:v>Énergie, eau et interactions</x:v>
      </x:c>
      <x:c r="F152" t="str">
        <x:v>P1</x:v>
      </x:c>
      <x:c r="G152" t="str">
        <x:v>À faire</x:v>
      </x:c>
      <x:c r="H152" t="str">
        <x:v>Non affecté</x:v>
      </x:c>
      <x:c r="I152" t="str">
        <x:v>Livrable explicite, tests positifs et négatifs ; aucune validation déduite de la seule présence de la fiche.</x:v>
      </x:c>
      <x:c r="J152" t="str"/>
    </x:row>
    <x:row r="153">
      <x:c r="A153" t="str">
        <x:v>EXT-MONDE-T015/art</x:v>
      </x:c>
      <x:c r="B153" t="str">
        <x:v>EXT-MONDE-T015</x:v>
      </x:c>
      <x:c r="C153" t="str">
        <x:v>Ports</x:v>
      </x:c>
      <x:c r="D153" t="str">
        <x:v>Terminal conteneurs</x:v>
      </x:c>
      <x:c r="E153" t="str">
        <x:v>Sprites, proportions et animations</x:v>
      </x:c>
      <x:c r="F153" t="str">
        <x:v>P1</x:v>
      </x:c>
      <x:c r="G153" t="str">
        <x:v>À faire</x:v>
      </x:c>
      <x:c r="H153" t="str">
        <x:v>Non affecté</x:v>
      </x:c>
      <x:c r="I153" t="str">
        <x:v>Livrable explicite, tests positifs et négatifs ; aucune validation déduite de la seule présence de la fiche.</x:v>
      </x:c>
      <x:c r="J153" t="str"/>
    </x:row>
    <x:row r="154">
      <x:c r="A154" t="str">
        <x:v>EXT-MONDE-T015/sauvegarde</x:v>
      </x:c>
      <x:c r="B154" t="str">
        <x:v>EXT-MONDE-T015</x:v>
      </x:c>
      <x:c r="C154" t="str">
        <x:v>Ports</x:v>
      </x:c>
      <x:c r="D154" t="str">
        <x:v>Terminal conteneurs</x:v>
      </x:c>
      <x:c r="E154" t="str">
        <x:v>Identités, migration et reprise</x:v>
      </x:c>
      <x:c r="F154" t="str">
        <x:v>P1</x:v>
      </x:c>
      <x:c r="G154" t="str">
        <x:v>En cours</x:v>
      </x:c>
      <x:c r="H154" t="str">
        <x:v>Production Codex</x:v>
      </x:c>
      <x:c r="I154" t="str">
        <x:v>Livrable explicite, tests positifs et négatifs ; aucune validation déduite de la seule présence de la fiche.</x:v>
      </x:c>
      <x:c r="J154" t="str">
        <x:v>https://github.com/darknigthmare/deadwall-last-enclosure/blob/1b3b9c5ba232734b1bda3453b4e20a0481bcdd74/docs/codex/suivi-monde2026/INSPECTION_PHYSIQUE_2026.md</x:v>
      </x:c>
    </x:row>
    <x:row r="155">
      <x:c r="A155" t="str">
        <x:v>EXT-MONDE-T015/qa</x:v>
      </x:c>
      <x:c r="B155" t="str">
        <x:v>EXT-MONDE-T015</x:v>
      </x:c>
      <x:c r="C155" t="str">
        <x:v>Ports</x:v>
      </x:c>
      <x:c r="D155" t="str">
        <x:v>Terminal conteneurs</x:v>
      </x:c>
      <x:c r="E155" t="str">
        <x:v>Navigation et parcours jouables</x:v>
      </x:c>
      <x:c r="F155" t="str">
        <x:v>P1</x:v>
      </x:c>
      <x:c r="G155" t="str">
        <x:v>En cours</x:v>
      </x:c>
      <x:c r="H155" t="str">
        <x:v>Production Codex</x:v>
      </x:c>
      <x:c r="I155" t="str">
        <x:v>Livrable explicite, tests positifs et négatifs ; aucune validation déduite de la seule présence de la fiche.</x:v>
      </x:c>
      <x:c r="J155" t="str">
        <x:v>https://github.com/darknigthmare/deadwall-last-enclosure/blob/1b3b9c5ba232734b1bda3453b4e20a0481bcdd74/docs/codex/suivi-monde2026/INSPECTION_PHYSIQUE_2026.md</x:v>
      </x:c>
    </x:row>
    <x:row r="156">
      <x:c r="A156" t="str">
        <x:v>EXT-MONDE-T016/dimensions</x:v>
      </x:c>
      <x:c r="B156" t="str">
        <x:v>EXT-MONDE-T016</x:v>
      </x:c>
      <x:c r="C156" t="str">
        <x:v>Ports</x:v>
      </x:c>
      <x:c r="D156" t="str">
        <x:v>Terminal ferry</x:v>
      </x:c>
      <x:c r="E156" t="str">
        <x:v>Dimensions et plans de référence</x:v>
      </x:c>
      <x:c r="F156" t="str">
        <x:v>P0</x:v>
      </x:c>
      <x:c r="G156" t="str">
        <x:v>En cours</x:v>
      </x:c>
      <x:c r="H156" t="str">
        <x:v>Production Codex</x:v>
      </x:c>
      <x:c r="I156" t="str">
        <x:v>Sources publiques identifiées ; unités en mètres ; emprise au sol distincte de la hauteur.</x:v>
      </x:c>
      <x:c r="J156" t="str">
        <x:v>https://github.com/darknigthmare/deadwall-last-enclosure/blob/1b3b9c5ba232734b1bda3453b4e20a0481bcdd74/docs/codex/suivi-monde2026/PORTS_ILES_2026.md</x:v>
      </x:c>
    </x:row>
    <x:row r="157">
      <x:c r="A157" t="str">
        <x:v>EXT-MONDE-T016/architecture</x:v>
      </x:c>
      <x:c r="B157" t="str">
        <x:v>EXT-MONDE-T016</x:v>
      </x:c>
      <x:c r="C157" t="str">
        <x:v>Ports</x:v>
      </x:c>
      <x:c r="D157" t="str">
        <x:v>Terminal ferry</x:v>
      </x:c>
      <x:c r="E157" t="str">
        <x:v>Pièces, étages, annexes</x:v>
      </x:c>
      <x:c r="F157" t="str">
        <x:v>P0</x:v>
      </x:c>
      <x:c r="G157" t="str">
        <x:v>En cours</x:v>
      </x:c>
      <x:c r="H157" t="str">
        <x:v>Production Codex</x:v>
      </x:c>
      <x:c r="I157" t="str">
        <x:v>Livrable explicite, tests positifs et négatifs ; aucune validation déduite de la seule présence de la fiche.</x:v>
      </x:c>
      <x:c r="J157" t="str">
        <x:v>https://github.com/darknigthmare/deadwall-last-enclosure/blob/1b3b9c5ba232734b1bda3453b4e20a0481bcdd74/docs/codex/suivi-monde2026/INSPECTION_PHYSIQUE_2026.md</x:v>
      </x:c>
    </x:row>
    <x:row r="158">
      <x:c r="A158" t="str">
        <x:v>EXT-MONDE-T016/seed</x:v>
      </x:c>
      <x:c r="B158" t="str">
        <x:v>EXT-MONDE-T016</x:v>
      </x:c>
      <x:c r="C158" t="str">
        <x:v>Ports</x:v>
      </x:c>
      <x:c r="D158" t="str">
        <x:v>Terminal ferry</x:v>
      </x:c>
      <x:c r="E158" t="str">
        <x:v>Implantation et réseaux</x:v>
      </x:c>
      <x:c r="F158" t="str">
        <x:v>P0</x:v>
      </x:c>
      <x:c r="G158" t="str">
        <x:v>À faire</x:v>
      </x:c>
      <x:c r="H158" t="str">
        <x:v>Non affecté</x:v>
      </x:c>
      <x:c r="I158" t="str">
        <x:v>Côté terre/eau explicite ; chenal connecté ; manutention et visiteurs séparés.</x:v>
      </x:c>
      <x:c r="J158" t="str"/>
    </x:row>
    <x:row r="159">
      <x:c r="A159" t="str">
        <x:v>EXT-MONDE-T016/props</x:v>
      </x:c>
      <x:c r="B159" t="str">
        <x:v>EXT-MONDE-T016</x:v>
      </x:c>
      <x:c r="C159" t="str">
        <x:v>Ports</x:v>
      </x:c>
      <x:c r="D159" t="str">
        <x:v>Terminal ferry</x:v>
      </x:c>
      <x:c r="E159" t="str">
        <x:v>Objets, décors et dégagements</x:v>
      </x:c>
      <x:c r="F159" t="str">
        <x:v>P1</x:v>
      </x:c>
      <x:c r="G159" t="str">
        <x:v>En cours</x:v>
      </x:c>
      <x:c r="H159" t="str">
        <x:v>Production Codex</x:v>
      </x:c>
      <x:c r="I159" t="str">
        <x:v>Livrable explicite, tests positifs et négatifs ; aucune validation déduite de la seule présence de la fiche.</x:v>
      </x:c>
      <x:c r="J159" t="str">
        <x:v>https://github.com/darknigthmare/deadwall-last-enclosure/blob/1b3b9c5ba232734b1bda3453b4e20a0481bcdd74/docs/codex/suivi-monde2026/INSPECTION_PHYSIQUE_2026.md</x:v>
      </x:c>
    </x:row>
    <x:row r="160">
      <x:c r="A160" t="str">
        <x:v>EXT-MONDE-T016/loot</x:v>
      </x:c>
      <x:c r="B160" t="str">
        <x:v>EXT-MONDE-T016</x:v>
      </x:c>
      <x:c r="C160" t="str">
        <x:v>Ports</x:v>
      </x:c>
      <x:c r="D160" t="str">
        <x:v>Terminal ferry</x:v>
      </x:c>
      <x:c r="E160" t="str">
        <x:v>Budget de butin persistant</x:v>
      </x:c>
      <x:c r="F160" t="str">
        <x:v>P1</x:v>
      </x:c>
      <x:c r="G160" t="str">
        <x:v>À faire</x:v>
      </x:c>
      <x:c r="H160" t="str">
        <x:v>Non affecté</x:v>
      </x:c>
      <x:c r="I160" t="str">
        <x:v>Livrable explicite, tests positifs et négatifs ; aucune validation déduite de la seule présence de la fiche.</x:v>
      </x:c>
      <x:c r="J160" t="str"/>
    </x:row>
    <x:row r="161">
      <x:c r="A161" t="str">
        <x:v>EXT-MONDE-T016/rencontres</x:v>
      </x:c>
      <x:c r="B161" t="str">
        <x:v>EXT-MONDE-T016</x:v>
      </x:c>
      <x:c r="C161" t="str">
        <x:v>Ports</x:v>
      </x:c>
      <x:c r="D161" t="str">
        <x:v>Terminal ferry</x:v>
      </x:c>
      <x:c r="E161" t="str">
        <x:v>Ennemis et faune contextualisés</x:v>
      </x:c>
      <x:c r="F161" t="str">
        <x:v>P1</x:v>
      </x:c>
      <x:c r="G161" t="str">
        <x:v>À faire</x:v>
      </x:c>
      <x:c r="H161" t="str">
        <x:v>Non affecté</x:v>
      </x:c>
      <x:c r="I161" t="str">
        <x:v>Livrable explicite, tests positifs et négatifs ; aucune validation déduite de la seule présence de la fiche.</x:v>
      </x:c>
      <x:c r="J161" t="str"/>
    </x:row>
    <x:row r="162">
      <x:c r="A162" t="str">
        <x:v>EXT-MONDE-T016/services</x:v>
      </x:c>
      <x:c r="B162" t="str">
        <x:v>EXT-MONDE-T016</x:v>
      </x:c>
      <x:c r="C162" t="str">
        <x:v>Ports</x:v>
      </x:c>
      <x:c r="D162" t="str">
        <x:v>Terminal ferry</x:v>
      </x:c>
      <x:c r="E162" t="str">
        <x:v>Énergie, eau et interactions</x:v>
      </x:c>
      <x:c r="F162" t="str">
        <x:v>P1</x:v>
      </x:c>
      <x:c r="G162" t="str">
        <x:v>À faire</x:v>
      </x:c>
      <x:c r="H162" t="str">
        <x:v>Non affecté</x:v>
      </x:c>
      <x:c r="I162" t="str">
        <x:v>Livrable explicite, tests positifs et négatifs ; aucune validation déduite de la seule présence de la fiche.</x:v>
      </x:c>
      <x:c r="J162" t="str"/>
    </x:row>
    <x:row r="163">
      <x:c r="A163" t="str">
        <x:v>EXT-MONDE-T016/art</x:v>
      </x:c>
      <x:c r="B163" t="str">
        <x:v>EXT-MONDE-T016</x:v>
      </x:c>
      <x:c r="C163" t="str">
        <x:v>Ports</x:v>
      </x:c>
      <x:c r="D163" t="str">
        <x:v>Terminal ferry</x:v>
      </x:c>
      <x:c r="E163" t="str">
        <x:v>Sprites, proportions et animations</x:v>
      </x:c>
      <x:c r="F163" t="str">
        <x:v>P1</x:v>
      </x:c>
      <x:c r="G163" t="str">
        <x:v>À faire</x:v>
      </x:c>
      <x:c r="H163" t="str">
        <x:v>Non affecté</x:v>
      </x:c>
      <x:c r="I163" t="str">
        <x:v>Livrable explicite, tests positifs et négatifs ; aucune validation déduite de la seule présence de la fiche.</x:v>
      </x:c>
      <x:c r="J163" t="str"/>
    </x:row>
    <x:row r="164">
      <x:c r="A164" t="str">
        <x:v>EXT-MONDE-T016/sauvegarde</x:v>
      </x:c>
      <x:c r="B164" t="str">
        <x:v>EXT-MONDE-T016</x:v>
      </x:c>
      <x:c r="C164" t="str">
        <x:v>Ports</x:v>
      </x:c>
      <x:c r="D164" t="str">
        <x:v>Terminal ferry</x:v>
      </x:c>
      <x:c r="E164" t="str">
        <x:v>Identités, migration et reprise</x:v>
      </x:c>
      <x:c r="F164" t="str">
        <x:v>P1</x:v>
      </x:c>
      <x:c r="G164" t="str">
        <x:v>En cours</x:v>
      </x:c>
      <x:c r="H164" t="str">
        <x:v>Production Codex</x:v>
      </x:c>
      <x:c r="I164" t="str">
        <x:v>Livrable explicite, tests positifs et négatifs ; aucune validation déduite de la seule présence de la fiche.</x:v>
      </x:c>
      <x:c r="J164" t="str">
        <x:v>https://github.com/darknigthmare/deadwall-last-enclosure/blob/1b3b9c5ba232734b1bda3453b4e20a0481bcdd74/docs/codex/suivi-monde2026/INSPECTION_PHYSIQUE_2026.md</x:v>
      </x:c>
    </x:row>
    <x:row r="165">
      <x:c r="A165" t="str">
        <x:v>EXT-MONDE-T016/qa</x:v>
      </x:c>
      <x:c r="B165" t="str">
        <x:v>EXT-MONDE-T016</x:v>
      </x:c>
      <x:c r="C165" t="str">
        <x:v>Ports</x:v>
      </x:c>
      <x:c r="D165" t="str">
        <x:v>Terminal ferry</x:v>
      </x:c>
      <x:c r="E165" t="str">
        <x:v>Navigation et parcours jouables</x:v>
      </x:c>
      <x:c r="F165" t="str">
        <x:v>P1</x:v>
      </x:c>
      <x:c r="G165" t="str">
        <x:v>En cours</x:v>
      </x:c>
      <x:c r="H165" t="str">
        <x:v>Production Codex</x:v>
      </x:c>
      <x:c r="I165" t="str">
        <x:v>Livrable explicite, tests positifs et négatifs ; aucune validation déduite de la seule présence de la fiche.</x:v>
      </x:c>
      <x:c r="J165" t="str">
        <x:v>https://github.com/darknigthmare/deadwall-last-enclosure/blob/1b3b9c5ba232734b1bda3453b4e20a0481bcdd74/docs/codex/suivi-monde2026/INSPECTION_PHYSIQUE_2026.md</x:v>
      </x:c>
    </x:row>
    <x:row r="166">
      <x:c r="A166" t="str">
        <x:v>EXT-MONDE-T017/dimensions</x:v>
      </x:c>
      <x:c r="B166" t="str">
        <x:v>EXT-MONDE-T017</x:v>
      </x:c>
      <x:c r="C166" t="str">
        <x:v>Littoral</x:v>
      </x:c>
      <x:c r="D166" t="str">
        <x:v>Phare et logements</x:v>
      </x:c>
      <x:c r="E166" t="str">
        <x:v>Dimensions et plans de référence</x:v>
      </x:c>
      <x:c r="F166" t="str">
        <x:v>P0</x:v>
      </x:c>
      <x:c r="G166" t="str">
        <x:v>En cours</x:v>
      </x:c>
      <x:c r="H166" t="str">
        <x:v>Production Codex</x:v>
      </x:c>
      <x:c r="I166" t="str">
        <x:v>Sources publiques identifiées ; unités en mètres ; emprise au sol distincte de la hauteur.</x:v>
      </x:c>
      <x:c r="J166" t="str">
        <x:v>https://github.com/darknigthmare/deadwall-last-enclosure/blob/1b3b9c5ba232734b1bda3453b4e20a0481bcdd74/docs/codex/suivi-monde2026/LITTORAL_2026.md</x:v>
      </x:c>
    </x:row>
    <x:row r="167">
      <x:c r="A167" t="str">
        <x:v>EXT-MONDE-T017/architecture</x:v>
      </x:c>
      <x:c r="B167" t="str">
        <x:v>EXT-MONDE-T017</x:v>
      </x:c>
      <x:c r="C167" t="str">
        <x:v>Littoral</x:v>
      </x:c>
      <x:c r="D167" t="str">
        <x:v>Phare et logements</x:v>
      </x:c>
      <x:c r="E167" t="str">
        <x:v>Pièces, étages, annexes</x:v>
      </x:c>
      <x:c r="F167" t="str">
        <x:v>P0</x:v>
      </x:c>
      <x:c r="G167" t="str">
        <x:v>En cours</x:v>
      </x:c>
      <x:c r="H167" t="str">
        <x:v>Production Codex</x:v>
      </x:c>
      <x:c r="I167" t="str">
        <x:v>Livrable explicite, tests positifs et négatifs ; aucune validation déduite de la seule présence de la fiche.</x:v>
      </x:c>
      <x:c r="J167" t="str">
        <x:v>https://github.com/darknigthmare/deadwall-last-enclosure/blob/1b3b9c5ba232734b1bda3453b4e20a0481bcdd74/docs/codex/suivi-monde2026/INSPECTION_PHYSIQUE_2026.md</x:v>
      </x:c>
    </x:row>
    <x:row r="168">
      <x:c r="A168" t="str">
        <x:v>EXT-MONDE-T017/seed</x:v>
      </x:c>
      <x:c r="B168" t="str">
        <x:v>EXT-MONDE-T017</x:v>
      </x:c>
      <x:c r="C168" t="str">
        <x:v>Littoral</x:v>
      </x:c>
      <x:c r="D168" t="str">
        <x:v>Phare et logements</x:v>
      </x:c>
      <x:c r="E168" t="str">
        <x:v>Implantation et réseaux</x:v>
      </x:c>
      <x:c r="F168" t="str">
        <x:v>P0</x:v>
      </x:c>
      <x:c r="G168" t="str">
        <x:v>À faire</x:v>
      </x:c>
      <x:c r="H168" t="str">
        <x:v>Non affecté</x:v>
      </x:c>
      <x:c r="I168" t="str">
        <x:v>Adapter les pièces à l’usage ; relief, marée nominale et rivage avant implantation.</x:v>
      </x:c>
      <x:c r="J168" t="str"/>
    </x:row>
    <x:row r="169">
      <x:c r="A169" t="str">
        <x:v>EXT-MONDE-T017/props</x:v>
      </x:c>
      <x:c r="B169" t="str">
        <x:v>EXT-MONDE-T017</x:v>
      </x:c>
      <x:c r="C169" t="str">
        <x:v>Littoral</x:v>
      </x:c>
      <x:c r="D169" t="str">
        <x:v>Phare et logements</x:v>
      </x:c>
      <x:c r="E169" t="str">
        <x:v>Objets, décors et dégagements</x:v>
      </x:c>
      <x:c r="F169" t="str">
        <x:v>P1</x:v>
      </x:c>
      <x:c r="G169" t="str">
        <x:v>En cours</x:v>
      </x:c>
      <x:c r="H169" t="str">
        <x:v>Production Codex</x:v>
      </x:c>
      <x:c r="I169" t="str">
        <x:v>Livrable explicite, tests positifs et négatifs ; aucune validation déduite de la seule présence de la fiche.</x:v>
      </x:c>
      <x:c r="J169" t="str">
        <x:v>https://github.com/darknigthmare/deadwall-last-enclosure/blob/1b3b9c5ba232734b1bda3453b4e20a0481bcdd74/docs/codex/suivi-monde2026/INSPECTION_PHYSIQUE_2026.md</x:v>
      </x:c>
    </x:row>
    <x:row r="170">
      <x:c r="A170" t="str">
        <x:v>EXT-MONDE-T017/loot</x:v>
      </x:c>
      <x:c r="B170" t="str">
        <x:v>EXT-MONDE-T017</x:v>
      </x:c>
      <x:c r="C170" t="str">
        <x:v>Littoral</x:v>
      </x:c>
      <x:c r="D170" t="str">
        <x:v>Phare et logements</x:v>
      </x:c>
      <x:c r="E170" t="str">
        <x:v>Budget de butin persistant</x:v>
      </x:c>
      <x:c r="F170" t="str">
        <x:v>P1</x:v>
      </x:c>
      <x:c r="G170" t="str">
        <x:v>À faire</x:v>
      </x:c>
      <x:c r="H170" t="str">
        <x:v>Non affecté</x:v>
      </x:c>
      <x:c r="I170" t="str">
        <x:v>Livrable explicite, tests positifs et négatifs ; aucune validation déduite de la seule présence de la fiche.</x:v>
      </x:c>
      <x:c r="J170" t="str"/>
    </x:row>
    <x:row r="171">
      <x:c r="A171" t="str">
        <x:v>EXT-MONDE-T017/rencontres</x:v>
      </x:c>
      <x:c r="B171" t="str">
        <x:v>EXT-MONDE-T017</x:v>
      </x:c>
      <x:c r="C171" t="str">
        <x:v>Littoral</x:v>
      </x:c>
      <x:c r="D171" t="str">
        <x:v>Phare et logements</x:v>
      </x:c>
      <x:c r="E171" t="str">
        <x:v>Ennemis et faune contextualisés</x:v>
      </x:c>
      <x:c r="F171" t="str">
        <x:v>P1</x:v>
      </x:c>
      <x:c r="G171" t="str">
        <x:v>À faire</x:v>
      </x:c>
      <x:c r="H171" t="str">
        <x:v>Non affecté</x:v>
      </x:c>
      <x:c r="I171" t="str">
        <x:v>Livrable explicite, tests positifs et négatifs ; aucune validation déduite de la seule présence de la fiche.</x:v>
      </x:c>
      <x:c r="J171" t="str"/>
    </x:row>
    <x:row r="172">
      <x:c r="A172" t="str">
        <x:v>EXT-MONDE-T017/services</x:v>
      </x:c>
      <x:c r="B172" t="str">
        <x:v>EXT-MONDE-T017</x:v>
      </x:c>
      <x:c r="C172" t="str">
        <x:v>Littoral</x:v>
      </x:c>
      <x:c r="D172" t="str">
        <x:v>Phare et logements</x:v>
      </x:c>
      <x:c r="E172" t="str">
        <x:v>Énergie, eau et interactions</x:v>
      </x:c>
      <x:c r="F172" t="str">
        <x:v>P1</x:v>
      </x:c>
      <x:c r="G172" t="str">
        <x:v>À faire</x:v>
      </x:c>
      <x:c r="H172" t="str">
        <x:v>Non affecté</x:v>
      </x:c>
      <x:c r="I172" t="str">
        <x:v>Livrable explicite, tests positifs et négatifs ; aucune validation déduite de la seule présence de la fiche.</x:v>
      </x:c>
      <x:c r="J172" t="str"/>
    </x:row>
    <x:row r="173">
      <x:c r="A173" t="str">
        <x:v>EXT-MONDE-T017/art</x:v>
      </x:c>
      <x:c r="B173" t="str">
        <x:v>EXT-MONDE-T017</x:v>
      </x:c>
      <x:c r="C173" t="str">
        <x:v>Littoral</x:v>
      </x:c>
      <x:c r="D173" t="str">
        <x:v>Phare et logements</x:v>
      </x:c>
      <x:c r="E173" t="str">
        <x:v>Sprites, proportions et animations</x:v>
      </x:c>
      <x:c r="F173" t="str">
        <x:v>P1</x:v>
      </x:c>
      <x:c r="G173" t="str">
        <x:v>À faire</x:v>
      </x:c>
      <x:c r="H173" t="str">
        <x:v>Non affecté</x:v>
      </x:c>
      <x:c r="I173" t="str">
        <x:v>Livrable explicite, tests positifs et négatifs ; aucune validation déduite de la seule présence de la fiche.</x:v>
      </x:c>
      <x:c r="J173" t="str"/>
    </x:row>
    <x:row r="174">
      <x:c r="A174" t="str">
        <x:v>EXT-MONDE-T017/sauvegarde</x:v>
      </x:c>
      <x:c r="B174" t="str">
        <x:v>EXT-MONDE-T017</x:v>
      </x:c>
      <x:c r="C174" t="str">
        <x:v>Littoral</x:v>
      </x:c>
      <x:c r="D174" t="str">
        <x:v>Phare et logements</x:v>
      </x:c>
      <x:c r="E174" t="str">
        <x:v>Identités, migration et reprise</x:v>
      </x:c>
      <x:c r="F174" t="str">
        <x:v>P1</x:v>
      </x:c>
      <x:c r="G174" t="str">
        <x:v>En cours</x:v>
      </x:c>
      <x:c r="H174" t="str">
        <x:v>Production Codex</x:v>
      </x:c>
      <x:c r="I174" t="str">
        <x:v>Livrable explicite, tests positifs et négatifs ; aucune validation déduite de la seule présence de la fiche.</x:v>
      </x:c>
      <x:c r="J174" t="str">
        <x:v>https://github.com/darknigthmare/deadwall-last-enclosure/blob/1b3b9c5ba232734b1bda3453b4e20a0481bcdd74/docs/codex/suivi-monde2026/INSPECTION_PHYSIQUE_2026.md</x:v>
      </x:c>
    </x:row>
    <x:row r="175">
      <x:c r="A175" t="str">
        <x:v>EXT-MONDE-T017/qa</x:v>
      </x:c>
      <x:c r="B175" t="str">
        <x:v>EXT-MONDE-T017</x:v>
      </x:c>
      <x:c r="C175" t="str">
        <x:v>Littoral</x:v>
      </x:c>
      <x:c r="D175" t="str">
        <x:v>Phare et logements</x:v>
      </x:c>
      <x:c r="E175" t="str">
        <x:v>Navigation et parcours jouables</x:v>
      </x:c>
      <x:c r="F175" t="str">
        <x:v>P1</x:v>
      </x:c>
      <x:c r="G175" t="str">
        <x:v>En cours</x:v>
      </x:c>
      <x:c r="H175" t="str">
        <x:v>Production Codex</x:v>
      </x:c>
      <x:c r="I175" t="str">
        <x:v>Livrable explicite, tests positifs et négatifs ; aucune validation déduite de la seule présence de la fiche.</x:v>
      </x:c>
      <x:c r="J175" t="str">
        <x:v>https://github.com/darknigthmare/deadwall-last-enclosure/blob/1b3b9c5ba232734b1bda3453b4e20a0481bcdd74/docs/codex/suivi-monde2026/INSPECTION_PHYSIQUE_2026.md</x:v>
      </x:c>
    </x:row>
    <x:row r="176">
      <x:c r="A176" t="str">
        <x:v>EXT-MONDE-T018/dimensions</x:v>
      </x:c>
      <x:c r="B176" t="str">
        <x:v>EXT-MONDE-T018</x:v>
      </x:c>
      <x:c r="C176" t="str">
        <x:v>Littoral</x:v>
      </x:c>
      <x:c r="D176" t="str">
        <x:v>Fête foraine portuaire</x:v>
      </x:c>
      <x:c r="E176" t="str">
        <x:v>Dimensions et plans de référence</x:v>
      </x:c>
      <x:c r="F176" t="str">
        <x:v>P0</x:v>
      </x:c>
      <x:c r="G176" t="str">
        <x:v>En cours</x:v>
      </x:c>
      <x:c r="H176" t="str">
        <x:v>Production Codex</x:v>
      </x:c>
      <x:c r="I176" t="str">
        <x:v>Sources publiques identifiées ; unités en mètres ; emprise au sol distincte de la hauteur.</x:v>
      </x:c>
      <x:c r="J176" t="str">
        <x:v>https://github.com/darknigthmare/deadwall-last-enclosure/blob/1b3b9c5ba232734b1bda3453b4e20a0481bcdd74/docs/codex/suivi-monde2026/LITTORAL_2026.md</x:v>
      </x:c>
    </x:row>
    <x:row r="177">
      <x:c r="A177" t="str">
        <x:v>EXT-MONDE-T018/architecture</x:v>
      </x:c>
      <x:c r="B177" t="str">
        <x:v>EXT-MONDE-T018</x:v>
      </x:c>
      <x:c r="C177" t="str">
        <x:v>Littoral</x:v>
      </x:c>
      <x:c r="D177" t="str">
        <x:v>Fête foraine portuaire</x:v>
      </x:c>
      <x:c r="E177" t="str">
        <x:v>Pièces, étages, annexes</x:v>
      </x:c>
      <x:c r="F177" t="str">
        <x:v>P0</x:v>
      </x:c>
      <x:c r="G177" t="str">
        <x:v>En cours</x:v>
      </x:c>
      <x:c r="H177" t="str">
        <x:v>Production Codex</x:v>
      </x:c>
      <x:c r="I177" t="str">
        <x:v>Livrable explicite, tests positifs et négatifs ; aucune validation déduite de la seule présence de la fiche.</x:v>
      </x:c>
      <x:c r="J177" t="str">
        <x:v>https://github.com/darknigthmare/deadwall-last-enclosure/blob/1b3b9c5ba232734b1bda3453b4e20a0481bcdd74/docs/codex/suivi-monde2026/INSPECTION_PHYSIQUE_2026.md</x:v>
      </x:c>
    </x:row>
    <x:row r="178">
      <x:c r="A178" t="str">
        <x:v>EXT-MONDE-T018/seed</x:v>
      </x:c>
      <x:c r="B178" t="str">
        <x:v>EXT-MONDE-T018</x:v>
      </x:c>
      <x:c r="C178" t="str">
        <x:v>Littoral</x:v>
      </x:c>
      <x:c r="D178" t="str">
        <x:v>Fête foraine portuaire</x:v>
      </x:c>
      <x:c r="E178" t="str">
        <x:v>Implantation et réseaux</x:v>
      </x:c>
      <x:c r="F178" t="str">
        <x:v>P0</x:v>
      </x:c>
      <x:c r="G178" t="str">
        <x:v>À faire</x:v>
      </x:c>
      <x:c r="H178" t="str">
        <x:v>Non affecté</x:v>
      </x:c>
      <x:c r="I178" t="str">
        <x:v>Adapter les pièces à l’usage ; relief, marée nominale et rivage avant implantation.</x:v>
      </x:c>
      <x:c r="J178" t="str"/>
    </x:row>
    <x:row r="179">
      <x:c r="A179" t="str">
        <x:v>EXT-MONDE-T018/props</x:v>
      </x:c>
      <x:c r="B179" t="str">
        <x:v>EXT-MONDE-T018</x:v>
      </x:c>
      <x:c r="C179" t="str">
        <x:v>Littoral</x:v>
      </x:c>
      <x:c r="D179" t="str">
        <x:v>Fête foraine portuaire</x:v>
      </x:c>
      <x:c r="E179" t="str">
        <x:v>Objets, décors et dégagements</x:v>
      </x:c>
      <x:c r="F179" t="str">
        <x:v>P1</x:v>
      </x:c>
      <x:c r="G179" t="str">
        <x:v>En cours</x:v>
      </x:c>
      <x:c r="H179" t="str">
        <x:v>Production Codex</x:v>
      </x:c>
      <x:c r="I179" t="str">
        <x:v>Livrable explicite, tests positifs et négatifs ; aucune validation déduite de la seule présence de la fiche.</x:v>
      </x:c>
      <x:c r="J179" t="str">
        <x:v>https://github.com/darknigthmare/deadwall-last-enclosure/blob/1b3b9c5ba232734b1bda3453b4e20a0481bcdd74/docs/codex/suivi-monde2026/INSPECTION_PHYSIQUE_2026.md</x:v>
      </x:c>
    </x:row>
    <x:row r="180">
      <x:c r="A180" t="str">
        <x:v>EXT-MONDE-T018/loot</x:v>
      </x:c>
      <x:c r="B180" t="str">
        <x:v>EXT-MONDE-T018</x:v>
      </x:c>
      <x:c r="C180" t="str">
        <x:v>Littoral</x:v>
      </x:c>
      <x:c r="D180" t="str">
        <x:v>Fête foraine portuaire</x:v>
      </x:c>
      <x:c r="E180" t="str">
        <x:v>Budget de butin persistant</x:v>
      </x:c>
      <x:c r="F180" t="str">
        <x:v>P1</x:v>
      </x:c>
      <x:c r="G180" t="str">
        <x:v>À faire</x:v>
      </x:c>
      <x:c r="H180" t="str">
        <x:v>Non affecté</x:v>
      </x:c>
      <x:c r="I180" t="str">
        <x:v>Livrable explicite, tests positifs et négatifs ; aucune validation déduite de la seule présence de la fiche.</x:v>
      </x:c>
      <x:c r="J180" t="str"/>
    </x:row>
    <x:row r="181">
      <x:c r="A181" t="str">
        <x:v>EXT-MONDE-T018/rencontres</x:v>
      </x:c>
      <x:c r="B181" t="str">
        <x:v>EXT-MONDE-T018</x:v>
      </x:c>
      <x:c r="C181" t="str">
        <x:v>Littoral</x:v>
      </x:c>
      <x:c r="D181" t="str">
        <x:v>Fête foraine portuaire</x:v>
      </x:c>
      <x:c r="E181" t="str">
        <x:v>Ennemis et faune contextualisés</x:v>
      </x:c>
      <x:c r="F181" t="str">
        <x:v>P1</x:v>
      </x:c>
      <x:c r="G181" t="str">
        <x:v>À faire</x:v>
      </x:c>
      <x:c r="H181" t="str">
        <x:v>Non affecté</x:v>
      </x:c>
      <x:c r="I181" t="str">
        <x:v>Livrable explicite, tests positifs et négatifs ; aucune validation déduite de la seule présence de la fiche.</x:v>
      </x:c>
      <x:c r="J181" t="str"/>
    </x:row>
    <x:row r="182">
      <x:c r="A182" t="str">
        <x:v>EXT-MONDE-T018/services</x:v>
      </x:c>
      <x:c r="B182" t="str">
        <x:v>EXT-MONDE-T018</x:v>
      </x:c>
      <x:c r="C182" t="str">
        <x:v>Littoral</x:v>
      </x:c>
      <x:c r="D182" t="str">
        <x:v>Fête foraine portuaire</x:v>
      </x:c>
      <x:c r="E182" t="str">
        <x:v>Énergie, eau et interactions</x:v>
      </x:c>
      <x:c r="F182" t="str">
        <x:v>P1</x:v>
      </x:c>
      <x:c r="G182" t="str">
        <x:v>À faire</x:v>
      </x:c>
      <x:c r="H182" t="str">
        <x:v>Non affecté</x:v>
      </x:c>
      <x:c r="I182" t="str">
        <x:v>Livrable explicite, tests positifs et négatifs ; aucune validation déduite de la seule présence de la fiche.</x:v>
      </x:c>
      <x:c r="J182" t="str"/>
    </x:row>
    <x:row r="183">
      <x:c r="A183" t="str">
        <x:v>EXT-MONDE-T018/art</x:v>
      </x:c>
      <x:c r="B183" t="str">
        <x:v>EXT-MONDE-T018</x:v>
      </x:c>
      <x:c r="C183" t="str">
        <x:v>Littoral</x:v>
      </x:c>
      <x:c r="D183" t="str">
        <x:v>Fête foraine portuaire</x:v>
      </x:c>
      <x:c r="E183" t="str">
        <x:v>Sprites, proportions et animations</x:v>
      </x:c>
      <x:c r="F183" t="str">
        <x:v>P1</x:v>
      </x:c>
      <x:c r="G183" t="str">
        <x:v>À faire</x:v>
      </x:c>
      <x:c r="H183" t="str">
        <x:v>Non affecté</x:v>
      </x:c>
      <x:c r="I183" t="str">
        <x:v>Livrable explicite, tests positifs et négatifs ; aucune validation déduite de la seule présence de la fiche.</x:v>
      </x:c>
      <x:c r="J183" t="str"/>
    </x:row>
    <x:row r="184">
      <x:c r="A184" t="str">
        <x:v>EXT-MONDE-T018/sauvegarde</x:v>
      </x:c>
      <x:c r="B184" t="str">
        <x:v>EXT-MONDE-T018</x:v>
      </x:c>
      <x:c r="C184" t="str">
        <x:v>Littoral</x:v>
      </x:c>
      <x:c r="D184" t="str">
        <x:v>Fête foraine portuaire</x:v>
      </x:c>
      <x:c r="E184" t="str">
        <x:v>Identités, migration et reprise</x:v>
      </x:c>
      <x:c r="F184" t="str">
        <x:v>P1</x:v>
      </x:c>
      <x:c r="G184" t="str">
        <x:v>En cours</x:v>
      </x:c>
      <x:c r="H184" t="str">
        <x:v>Production Codex</x:v>
      </x:c>
      <x:c r="I184" t="str">
        <x:v>Livrable explicite, tests positifs et négatifs ; aucune validation déduite de la seule présence de la fiche.</x:v>
      </x:c>
      <x:c r="J184" t="str">
        <x:v>https://github.com/darknigthmare/deadwall-last-enclosure/blob/1b3b9c5ba232734b1bda3453b4e20a0481bcdd74/docs/codex/suivi-monde2026/INSPECTION_PHYSIQUE_2026.md</x:v>
      </x:c>
    </x:row>
    <x:row r="185">
      <x:c r="A185" t="str">
        <x:v>EXT-MONDE-T018/qa</x:v>
      </x:c>
      <x:c r="B185" t="str">
        <x:v>EXT-MONDE-T018</x:v>
      </x:c>
      <x:c r="C185" t="str">
        <x:v>Littoral</x:v>
      </x:c>
      <x:c r="D185" t="str">
        <x:v>Fête foraine portuaire</x:v>
      </x:c>
      <x:c r="E185" t="str">
        <x:v>Navigation et parcours jouables</x:v>
      </x:c>
      <x:c r="F185" t="str">
        <x:v>P1</x:v>
      </x:c>
      <x:c r="G185" t="str">
        <x:v>En cours</x:v>
      </x:c>
      <x:c r="H185" t="str">
        <x:v>Production Codex</x:v>
      </x:c>
      <x:c r="I185" t="str">
        <x:v>Livrable explicite, tests positifs et négatifs ; aucune validation déduite de la seule présence de la fiche.</x:v>
      </x:c>
      <x:c r="J185" t="str">
        <x:v>https://github.com/darknigthmare/deadwall-last-enclosure/blob/1b3b9c5ba232734b1bda3453b4e20a0481bcdd74/docs/codex/suivi-monde2026/INSPECTION_PHYSIQUE_2026.md</x:v>
      </x:c>
    </x:row>
    <x:row r="186">
      <x:c r="A186" t="str">
        <x:v>EXT-MONDE-T019/dimensions</x:v>
      </x:c>
      <x:c r="B186" t="str">
        <x:v>EXT-MONDE-T019</x:v>
      </x:c>
      <x:c r="C186" t="str">
        <x:v>Littoral</x:v>
      </x:c>
      <x:c r="D186" t="str">
        <x:v>Chantier naval côtier</x:v>
      </x:c>
      <x:c r="E186" t="str">
        <x:v>Dimensions et plans de référence</x:v>
      </x:c>
      <x:c r="F186" t="str">
        <x:v>P0</x:v>
      </x:c>
      <x:c r="G186" t="str">
        <x:v>En cours</x:v>
      </x:c>
      <x:c r="H186" t="str">
        <x:v>Production Codex</x:v>
      </x:c>
      <x:c r="I186" t="str">
        <x:v>Sources publiques identifiées ; unités en mètres ; emprise au sol distincte de la hauteur.</x:v>
      </x:c>
      <x:c r="J186" t="str">
        <x:v>https://github.com/darknigthmare/deadwall-last-enclosure/blob/1b3b9c5ba232734b1bda3453b4e20a0481bcdd74/docs/codex/suivi-monde2026/LITTORAL_2026.md</x:v>
      </x:c>
    </x:row>
    <x:row r="187">
      <x:c r="A187" t="str">
        <x:v>EXT-MONDE-T019/architecture</x:v>
      </x:c>
      <x:c r="B187" t="str">
        <x:v>EXT-MONDE-T019</x:v>
      </x:c>
      <x:c r="C187" t="str">
        <x:v>Littoral</x:v>
      </x:c>
      <x:c r="D187" t="str">
        <x:v>Chantier naval côtier</x:v>
      </x:c>
      <x:c r="E187" t="str">
        <x:v>Pièces, étages, annexes</x:v>
      </x:c>
      <x:c r="F187" t="str">
        <x:v>P0</x:v>
      </x:c>
      <x:c r="G187" t="str">
        <x:v>En cours</x:v>
      </x:c>
      <x:c r="H187" t="str">
        <x:v>Production Codex</x:v>
      </x:c>
      <x:c r="I187" t="str">
        <x:v>Livrable explicite, tests positifs et négatifs ; aucune validation déduite de la seule présence de la fiche.</x:v>
      </x:c>
      <x:c r="J187" t="str">
        <x:v>https://github.com/darknigthmare/deadwall-last-enclosure/blob/1b3b9c5ba232734b1bda3453b4e20a0481bcdd74/docs/codex/suivi-monde2026/INSPECTION_PHYSIQUE_2026.md</x:v>
      </x:c>
    </x:row>
    <x:row r="188">
      <x:c r="A188" t="str">
        <x:v>EXT-MONDE-T019/seed</x:v>
      </x:c>
      <x:c r="B188" t="str">
        <x:v>EXT-MONDE-T019</x:v>
      </x:c>
      <x:c r="C188" t="str">
        <x:v>Littoral</x:v>
      </x:c>
      <x:c r="D188" t="str">
        <x:v>Chantier naval côtier</x:v>
      </x:c>
      <x:c r="E188" t="str">
        <x:v>Implantation et réseaux</x:v>
      </x:c>
      <x:c r="F188" t="str">
        <x:v>P0</x:v>
      </x:c>
      <x:c r="G188" t="str">
        <x:v>À faire</x:v>
      </x:c>
      <x:c r="H188" t="str">
        <x:v>Non affecté</x:v>
      </x:c>
      <x:c r="I188" t="str">
        <x:v>Adapter les pièces à l’usage ; relief, marée nominale et rivage avant implantation.</x:v>
      </x:c>
      <x:c r="J188" t="str"/>
    </x:row>
    <x:row r="189">
      <x:c r="A189" t="str">
        <x:v>EXT-MONDE-T019/props</x:v>
      </x:c>
      <x:c r="B189" t="str">
        <x:v>EXT-MONDE-T019</x:v>
      </x:c>
      <x:c r="C189" t="str">
        <x:v>Littoral</x:v>
      </x:c>
      <x:c r="D189" t="str">
        <x:v>Chantier naval côtier</x:v>
      </x:c>
      <x:c r="E189" t="str">
        <x:v>Objets, décors et dégagements</x:v>
      </x:c>
      <x:c r="F189" t="str">
        <x:v>P1</x:v>
      </x:c>
      <x:c r="G189" t="str">
        <x:v>En cours</x:v>
      </x:c>
      <x:c r="H189" t="str">
        <x:v>Production Codex</x:v>
      </x:c>
      <x:c r="I189" t="str">
        <x:v>Livrable explicite, tests positifs et négatifs ; aucune validation déduite de la seule présence de la fiche.</x:v>
      </x:c>
      <x:c r="J189" t="str">
        <x:v>https://github.com/darknigthmare/deadwall-last-enclosure/blob/1b3b9c5ba232734b1bda3453b4e20a0481bcdd74/docs/codex/suivi-monde2026/INSPECTION_PHYSIQUE_2026.md</x:v>
      </x:c>
    </x:row>
    <x:row r="190">
      <x:c r="A190" t="str">
        <x:v>EXT-MONDE-T019/loot</x:v>
      </x:c>
      <x:c r="B190" t="str">
        <x:v>EXT-MONDE-T019</x:v>
      </x:c>
      <x:c r="C190" t="str">
        <x:v>Littoral</x:v>
      </x:c>
      <x:c r="D190" t="str">
        <x:v>Chantier naval côtier</x:v>
      </x:c>
      <x:c r="E190" t="str">
        <x:v>Budget de butin persistant</x:v>
      </x:c>
      <x:c r="F190" t="str">
        <x:v>P1</x:v>
      </x:c>
      <x:c r="G190" t="str">
        <x:v>À faire</x:v>
      </x:c>
      <x:c r="H190" t="str">
        <x:v>Non affecté</x:v>
      </x:c>
      <x:c r="I190" t="str">
        <x:v>Livrable explicite, tests positifs et négatifs ; aucune validation déduite de la seule présence de la fiche.</x:v>
      </x:c>
      <x:c r="J190" t="str"/>
    </x:row>
    <x:row r="191">
      <x:c r="A191" t="str">
        <x:v>EXT-MONDE-T019/rencontres</x:v>
      </x:c>
      <x:c r="B191" t="str">
        <x:v>EXT-MONDE-T019</x:v>
      </x:c>
      <x:c r="C191" t="str">
        <x:v>Littoral</x:v>
      </x:c>
      <x:c r="D191" t="str">
        <x:v>Chantier naval côtier</x:v>
      </x:c>
      <x:c r="E191" t="str">
        <x:v>Ennemis et faune contextualisés</x:v>
      </x:c>
      <x:c r="F191" t="str">
        <x:v>P1</x:v>
      </x:c>
      <x:c r="G191" t="str">
        <x:v>À faire</x:v>
      </x:c>
      <x:c r="H191" t="str">
        <x:v>Non affecté</x:v>
      </x:c>
      <x:c r="I191" t="str">
        <x:v>Livrable explicite, tests positifs et négatifs ; aucune validation déduite de la seule présence de la fiche.</x:v>
      </x:c>
      <x:c r="J191" t="str"/>
    </x:row>
    <x:row r="192">
      <x:c r="A192" t="str">
        <x:v>EXT-MONDE-T019/services</x:v>
      </x:c>
      <x:c r="B192" t="str">
        <x:v>EXT-MONDE-T019</x:v>
      </x:c>
      <x:c r="C192" t="str">
        <x:v>Littoral</x:v>
      </x:c>
      <x:c r="D192" t="str">
        <x:v>Chantier naval côtier</x:v>
      </x:c>
      <x:c r="E192" t="str">
        <x:v>Énergie, eau et interactions</x:v>
      </x:c>
      <x:c r="F192" t="str">
        <x:v>P1</x:v>
      </x:c>
      <x:c r="G192" t="str">
        <x:v>À faire</x:v>
      </x:c>
      <x:c r="H192" t="str">
        <x:v>Non affecté</x:v>
      </x:c>
      <x:c r="I192" t="str">
        <x:v>Livrable explicite, tests positifs et négatifs ; aucune validation déduite de la seule présence de la fiche.</x:v>
      </x:c>
      <x:c r="J192" t="str"/>
    </x:row>
    <x:row r="193">
      <x:c r="A193" t="str">
        <x:v>EXT-MONDE-T019/art</x:v>
      </x:c>
      <x:c r="B193" t="str">
        <x:v>EXT-MONDE-T019</x:v>
      </x:c>
      <x:c r="C193" t="str">
        <x:v>Littoral</x:v>
      </x:c>
      <x:c r="D193" t="str">
        <x:v>Chantier naval côtier</x:v>
      </x:c>
      <x:c r="E193" t="str">
        <x:v>Sprites, proportions et animations</x:v>
      </x:c>
      <x:c r="F193" t="str">
        <x:v>P1</x:v>
      </x:c>
      <x:c r="G193" t="str">
        <x:v>À faire</x:v>
      </x:c>
      <x:c r="H193" t="str">
        <x:v>Non affecté</x:v>
      </x:c>
      <x:c r="I193" t="str">
        <x:v>Livrable explicite, tests positifs et négatifs ; aucune validation déduite de la seule présence de la fiche.</x:v>
      </x:c>
      <x:c r="J193" t="str"/>
    </x:row>
    <x:row r="194">
      <x:c r="A194" t="str">
        <x:v>EXT-MONDE-T019/sauvegarde</x:v>
      </x:c>
      <x:c r="B194" t="str">
        <x:v>EXT-MONDE-T019</x:v>
      </x:c>
      <x:c r="C194" t="str">
        <x:v>Littoral</x:v>
      </x:c>
      <x:c r="D194" t="str">
        <x:v>Chantier naval côtier</x:v>
      </x:c>
      <x:c r="E194" t="str">
        <x:v>Identités, migration et reprise</x:v>
      </x:c>
      <x:c r="F194" t="str">
        <x:v>P1</x:v>
      </x:c>
      <x:c r="G194" t="str">
        <x:v>En cours</x:v>
      </x:c>
      <x:c r="H194" t="str">
        <x:v>Production Codex</x:v>
      </x:c>
      <x:c r="I194" t="str">
        <x:v>Livrable explicite, tests positifs et négatifs ; aucune validation déduite de la seule présence de la fiche.</x:v>
      </x:c>
      <x:c r="J194" t="str">
        <x:v>https://github.com/darknigthmare/deadwall-last-enclosure/blob/1b3b9c5ba232734b1bda3453b4e20a0481bcdd74/docs/codex/suivi-monde2026/INSPECTION_PHYSIQUE_2026.md</x:v>
      </x:c>
    </x:row>
    <x:row r="195">
      <x:c r="A195" t="str">
        <x:v>EXT-MONDE-T019/qa</x:v>
      </x:c>
      <x:c r="B195" t="str">
        <x:v>EXT-MONDE-T019</x:v>
      </x:c>
      <x:c r="C195" t="str">
        <x:v>Littoral</x:v>
      </x:c>
      <x:c r="D195" t="str">
        <x:v>Chantier naval côtier</x:v>
      </x:c>
      <x:c r="E195" t="str">
        <x:v>Navigation et parcours jouables</x:v>
      </x:c>
      <x:c r="F195" t="str">
        <x:v>P1</x:v>
      </x:c>
      <x:c r="G195" t="str">
        <x:v>En cours</x:v>
      </x:c>
      <x:c r="H195" t="str">
        <x:v>Production Codex</x:v>
      </x:c>
      <x:c r="I195" t="str">
        <x:v>Livrable explicite, tests positifs et négatifs ; aucune validation déduite de la seule présence de la fiche.</x:v>
      </x:c>
      <x:c r="J195" t="str">
        <x:v>https://github.com/darknigthmare/deadwall-last-enclosure/blob/1b3b9c5ba232734b1bda3453b4e20a0481bcdd74/docs/codex/suivi-monde2026/INSPECTION_PHYSIQUE_2026.md</x:v>
      </x:c>
    </x:row>
    <x:row r="196">
      <x:c r="A196" t="str">
        <x:v>EXT-MONDE-T020/dimensions</x:v>
      </x:c>
      <x:c r="B196" t="str">
        <x:v>EXT-MONDE-T020</x:v>
      </x:c>
      <x:c r="C196" t="str">
        <x:v>Littoral</x:v>
      </x:c>
      <x:c r="D196" t="str">
        <x:v>Baie avec village côtier</x:v>
      </x:c>
      <x:c r="E196" t="str">
        <x:v>Dimensions et plans de référence</x:v>
      </x:c>
      <x:c r="F196" t="str">
        <x:v>P0</x:v>
      </x:c>
      <x:c r="G196" t="str">
        <x:v>En cours</x:v>
      </x:c>
      <x:c r="H196" t="str">
        <x:v>Production Codex</x:v>
      </x:c>
      <x:c r="I196" t="str">
        <x:v>Sources publiques identifiées ; unités en mètres ; emprise au sol distincte de la hauteur.</x:v>
      </x:c>
      <x:c r="J196" t="str">
        <x:v>https://github.com/darknigthmare/deadwall-last-enclosure/blob/1b3b9c5ba232734b1bda3453b4e20a0481bcdd74/docs/codex/suivi-monde2026/LITTORAL_2026.md</x:v>
      </x:c>
    </x:row>
    <x:row r="197">
      <x:c r="A197" t="str">
        <x:v>EXT-MONDE-T020/architecture</x:v>
      </x:c>
      <x:c r="B197" t="str">
        <x:v>EXT-MONDE-T020</x:v>
      </x:c>
      <x:c r="C197" t="str">
        <x:v>Littoral</x:v>
      </x:c>
      <x:c r="D197" t="str">
        <x:v>Baie avec village côtier</x:v>
      </x:c>
      <x:c r="E197" t="str">
        <x:v>Pièces, étages, annexes</x:v>
      </x:c>
      <x:c r="F197" t="str">
        <x:v>P0</x:v>
      </x:c>
      <x:c r="G197" t="str">
        <x:v>En cours</x:v>
      </x:c>
      <x:c r="H197" t="str">
        <x:v>Production Codex</x:v>
      </x:c>
      <x:c r="I197" t="str">
        <x:v>Livrable explicite, tests positifs et négatifs ; aucune validation déduite de la seule présence de la fiche.</x:v>
      </x:c>
      <x:c r="J197" t="str">
        <x:v>https://github.com/darknigthmare/deadwall-last-enclosure/blob/1b3b9c5ba232734b1bda3453b4e20a0481bcdd74/docs/codex/suivi-monde2026/INSPECTION_PHYSIQUE_2026.md</x:v>
      </x:c>
    </x:row>
    <x:row r="198">
      <x:c r="A198" t="str">
        <x:v>EXT-MONDE-T020/seed</x:v>
      </x:c>
      <x:c r="B198" t="str">
        <x:v>EXT-MONDE-T020</x:v>
      </x:c>
      <x:c r="C198" t="str">
        <x:v>Littoral</x:v>
      </x:c>
      <x:c r="D198" t="str">
        <x:v>Baie avec village côtier</x:v>
      </x:c>
      <x:c r="E198" t="str">
        <x:v>Implantation et réseaux</x:v>
      </x:c>
      <x:c r="F198" t="str">
        <x:v>P0</x:v>
      </x:c>
      <x:c r="G198" t="str">
        <x:v>À faire</x:v>
      </x:c>
      <x:c r="H198" t="str">
        <x:v>Non affecté</x:v>
      </x:c>
      <x:c r="I198" t="str">
        <x:v>Adapter les pièces à l’usage ; relief, marée nominale et rivage avant implantation.</x:v>
      </x:c>
      <x:c r="J198" t="str"/>
    </x:row>
    <x:row r="199">
      <x:c r="A199" t="str">
        <x:v>EXT-MONDE-T020/props</x:v>
      </x:c>
      <x:c r="B199" t="str">
        <x:v>EXT-MONDE-T020</x:v>
      </x:c>
      <x:c r="C199" t="str">
        <x:v>Littoral</x:v>
      </x:c>
      <x:c r="D199" t="str">
        <x:v>Baie avec village côtier</x:v>
      </x:c>
      <x:c r="E199" t="str">
        <x:v>Objets, décors et dégagements</x:v>
      </x:c>
      <x:c r="F199" t="str">
        <x:v>P1</x:v>
      </x:c>
      <x:c r="G199" t="str">
        <x:v>En cours</x:v>
      </x:c>
      <x:c r="H199" t="str">
        <x:v>Production Codex</x:v>
      </x:c>
      <x:c r="I199" t="str">
        <x:v>Livrable explicite, tests positifs et négatifs ; aucune validation déduite de la seule présence de la fiche.</x:v>
      </x:c>
      <x:c r="J199" t="str">
        <x:v>https://github.com/darknigthmare/deadwall-last-enclosure/blob/1b3b9c5ba232734b1bda3453b4e20a0481bcdd74/docs/codex/suivi-monde2026/INSPECTION_PHYSIQUE_2026.md</x:v>
      </x:c>
    </x:row>
    <x:row r="200">
      <x:c r="A200" t="str">
        <x:v>EXT-MONDE-T020/loot</x:v>
      </x:c>
      <x:c r="B200" t="str">
        <x:v>EXT-MONDE-T020</x:v>
      </x:c>
      <x:c r="C200" t="str">
        <x:v>Littoral</x:v>
      </x:c>
      <x:c r="D200" t="str">
        <x:v>Baie avec village côtier</x:v>
      </x:c>
      <x:c r="E200" t="str">
        <x:v>Budget de butin persistant</x:v>
      </x:c>
      <x:c r="F200" t="str">
        <x:v>P1</x:v>
      </x:c>
      <x:c r="G200" t="str">
        <x:v>À faire</x:v>
      </x:c>
      <x:c r="H200" t="str">
        <x:v>Non affecté</x:v>
      </x:c>
      <x:c r="I200" t="str">
        <x:v>Livrable explicite, tests positifs et négatifs ; aucune validation déduite de la seule présence de la fiche.</x:v>
      </x:c>
      <x:c r="J200" t="str"/>
    </x:row>
    <x:row r="201">
      <x:c r="A201" t="str">
        <x:v>EXT-MONDE-T020/rencontres</x:v>
      </x:c>
      <x:c r="B201" t="str">
        <x:v>EXT-MONDE-T020</x:v>
      </x:c>
      <x:c r="C201" t="str">
        <x:v>Littoral</x:v>
      </x:c>
      <x:c r="D201" t="str">
        <x:v>Baie avec village côtier</x:v>
      </x:c>
      <x:c r="E201" t="str">
        <x:v>Ennemis et faune contextualisés</x:v>
      </x:c>
      <x:c r="F201" t="str">
        <x:v>P1</x:v>
      </x:c>
      <x:c r="G201" t="str">
        <x:v>À faire</x:v>
      </x:c>
      <x:c r="H201" t="str">
        <x:v>Non affecté</x:v>
      </x:c>
      <x:c r="I201" t="str">
        <x:v>Livrable explicite, tests positifs et négatifs ; aucune validation déduite de la seule présence de la fiche.</x:v>
      </x:c>
      <x:c r="J201" t="str"/>
    </x:row>
    <x:row r="202">
      <x:c r="A202" t="str">
        <x:v>EXT-MONDE-T020/services</x:v>
      </x:c>
      <x:c r="B202" t="str">
        <x:v>EXT-MONDE-T020</x:v>
      </x:c>
      <x:c r="C202" t="str">
        <x:v>Littoral</x:v>
      </x:c>
      <x:c r="D202" t="str">
        <x:v>Baie avec village côtier</x:v>
      </x:c>
      <x:c r="E202" t="str">
        <x:v>Énergie, eau et interactions</x:v>
      </x:c>
      <x:c r="F202" t="str">
        <x:v>P1</x:v>
      </x:c>
      <x:c r="G202" t="str">
        <x:v>À faire</x:v>
      </x:c>
      <x:c r="H202" t="str">
        <x:v>Non affecté</x:v>
      </x:c>
      <x:c r="I202" t="str">
        <x:v>Livrable explicite, tests positifs et négatifs ; aucune validation déduite de la seule présence de la fiche.</x:v>
      </x:c>
      <x:c r="J202" t="str"/>
    </x:row>
    <x:row r="203">
      <x:c r="A203" t="str">
        <x:v>EXT-MONDE-T020/art</x:v>
      </x:c>
      <x:c r="B203" t="str">
        <x:v>EXT-MONDE-T020</x:v>
      </x:c>
      <x:c r="C203" t="str">
        <x:v>Littoral</x:v>
      </x:c>
      <x:c r="D203" t="str">
        <x:v>Baie avec village côtier</x:v>
      </x:c>
      <x:c r="E203" t="str">
        <x:v>Sprites, proportions et animations</x:v>
      </x:c>
      <x:c r="F203" t="str">
        <x:v>P1</x:v>
      </x:c>
      <x:c r="G203" t="str">
        <x:v>À faire</x:v>
      </x:c>
      <x:c r="H203" t="str">
        <x:v>Non affecté</x:v>
      </x:c>
      <x:c r="I203" t="str">
        <x:v>Livrable explicite, tests positifs et négatifs ; aucune validation déduite de la seule présence de la fiche.</x:v>
      </x:c>
      <x:c r="J203" t="str"/>
    </x:row>
    <x:row r="204">
      <x:c r="A204" t="str">
        <x:v>EXT-MONDE-T020/sauvegarde</x:v>
      </x:c>
      <x:c r="B204" t="str">
        <x:v>EXT-MONDE-T020</x:v>
      </x:c>
      <x:c r="C204" t="str">
        <x:v>Littoral</x:v>
      </x:c>
      <x:c r="D204" t="str">
        <x:v>Baie avec village côtier</x:v>
      </x:c>
      <x:c r="E204" t="str">
        <x:v>Identités, migration et reprise</x:v>
      </x:c>
      <x:c r="F204" t="str">
        <x:v>P1</x:v>
      </x:c>
      <x:c r="G204" t="str">
        <x:v>En cours</x:v>
      </x:c>
      <x:c r="H204" t="str">
        <x:v>Production Codex</x:v>
      </x:c>
      <x:c r="I204" t="str">
        <x:v>Livrable explicite, tests positifs et négatifs ; aucune validation déduite de la seule présence de la fiche.</x:v>
      </x:c>
      <x:c r="J204" t="str">
        <x:v>https://github.com/darknigthmare/deadwall-last-enclosure/blob/1b3b9c5ba232734b1bda3453b4e20a0481bcdd74/docs/codex/suivi-monde2026/INSPECTION_PHYSIQUE_2026.md</x:v>
      </x:c>
    </x:row>
    <x:row r="205">
      <x:c r="A205" t="str">
        <x:v>EXT-MONDE-T020/qa</x:v>
      </x:c>
      <x:c r="B205" t="str">
        <x:v>EXT-MONDE-T020</x:v>
      </x:c>
      <x:c r="C205" t="str">
        <x:v>Littoral</x:v>
      </x:c>
      <x:c r="D205" t="str">
        <x:v>Baie avec village côtier</x:v>
      </x:c>
      <x:c r="E205" t="str">
        <x:v>Navigation et parcours jouables</x:v>
      </x:c>
      <x:c r="F205" t="str">
        <x:v>P1</x:v>
      </x:c>
      <x:c r="G205" t="str">
        <x:v>En cours</x:v>
      </x:c>
      <x:c r="H205" t="str">
        <x:v>Production Codex</x:v>
      </x:c>
      <x:c r="I205" t="str">
        <x:v>Livrable explicite, tests positifs et négatifs ; aucune validation déduite de la seule présence de la fiche.</x:v>
      </x:c>
      <x:c r="J205" t="str">
        <x:v>https://github.com/darknigthmare/deadwall-last-enclosure/blob/1b3b9c5ba232734b1bda3453b4e20a0481bcdd74/docs/codex/suivi-monde2026/INSPECTION_PHYSIQUE_2026.md</x:v>
      </x:c>
    </x:row>
    <x:row r="206">
      <x:c r="A206" t="str">
        <x:v>EXT-MONDE-T021/dimensions</x:v>
      </x:c>
      <x:c r="B206" t="str">
        <x:v>EXT-MONDE-T021</x:v>
      </x:c>
      <x:c r="C206" t="str">
        <x:v>Fermes élevage</x:v>
      </x:c>
      <x:c r="D206" t="str">
        <x:v>Ferme laitière</x:v>
      </x:c>
      <x:c r="E206" t="str">
        <x:v>Dimensions et plans de référence</x:v>
      </x:c>
      <x:c r="F206" t="str">
        <x:v>P0</x:v>
      </x:c>
      <x:c r="G206" t="str">
        <x:v>En cours</x:v>
      </x:c>
      <x:c r="H206" t="str">
        <x:v>Production Codex</x:v>
      </x:c>
      <x:c r="I206" t="str">
        <x:v>Sources publiques identifiées ; unités en mètres ; emprise au sol distincte de la hauteur.</x:v>
      </x:c>
      <x:c r="J206" t="str">
        <x:v>https://github.com/darknigthmare/deadwall-last-enclosure/blob/1b3b9c5ba232734b1bda3453b4e20a0481bcdd74/docs/codex/suivi-monde2026/AGRICULTURE_2026.md</x:v>
      </x:c>
    </x:row>
    <x:row r="207">
      <x:c r="A207" t="str">
        <x:v>EXT-MONDE-T021/architecture</x:v>
      </x:c>
      <x:c r="B207" t="str">
        <x:v>EXT-MONDE-T021</x:v>
      </x:c>
      <x:c r="C207" t="str">
        <x:v>Fermes élevage</x:v>
      </x:c>
      <x:c r="D207" t="str">
        <x:v>Ferme laitière</x:v>
      </x:c>
      <x:c r="E207" t="str">
        <x:v>Pièces, étages, annexes</x:v>
      </x:c>
      <x:c r="F207" t="str">
        <x:v>P0</x:v>
      </x:c>
      <x:c r="G207" t="str">
        <x:v>En cours</x:v>
      </x:c>
      <x:c r="H207" t="str">
        <x:v>Production Codex</x:v>
      </x:c>
      <x:c r="I207" t="str">
        <x:v>Livrable explicite, tests positifs et négatifs ; aucune validation déduite de la seule présence de la fiche.</x:v>
      </x:c>
      <x:c r="J207" t="str">
        <x:v>https://github.com/darknigthmare/deadwall-last-enclosure/blob/1b3b9c5ba232734b1bda3453b4e20a0481bcdd74/docs/codex/suivi-monde2026/INSPECTION_PHYSIQUE_2026.md</x:v>
      </x:c>
    </x:row>
    <x:row r="208">
      <x:c r="A208" t="str">
        <x:v>EXT-MONDE-T021/seed</x:v>
      </x:c>
      <x:c r="B208" t="str">
        <x:v>EXT-MONDE-T021</x:v>
      </x:c>
      <x:c r="C208" t="str">
        <x:v>Fermes élevage</x:v>
      </x:c>
      <x:c r="D208" t="str">
        <x:v>Ferme laitière</x:v>
      </x:c>
      <x:c r="E208" t="str">
        <x:v>Implantation et réseaux</x:v>
      </x:c>
      <x:c r="F208" t="str">
        <x:v>P0</x:v>
      </x:c>
      <x:c r="G208" t="str">
        <x:v>À faire</x:v>
      </x:c>
      <x:c r="H208" t="str">
        <x:v>Non affecté</x:v>
      </x:c>
      <x:c r="I208" t="str">
        <x:v>Enclos compatibles avec espèces ; alimentation finie ; animaux, visiteurs et livraisons séparés.</x:v>
      </x:c>
      <x:c r="J208" t="str"/>
    </x:row>
    <x:row r="209">
      <x:c r="A209" t="str">
        <x:v>EXT-MONDE-T021/props</x:v>
      </x:c>
      <x:c r="B209" t="str">
        <x:v>EXT-MONDE-T021</x:v>
      </x:c>
      <x:c r="C209" t="str">
        <x:v>Fermes élevage</x:v>
      </x:c>
      <x:c r="D209" t="str">
        <x:v>Ferme laitière</x:v>
      </x:c>
      <x:c r="E209" t="str">
        <x:v>Objets, décors et dégagements</x:v>
      </x:c>
      <x:c r="F209" t="str">
        <x:v>P1</x:v>
      </x:c>
      <x:c r="G209" t="str">
        <x:v>En cours</x:v>
      </x:c>
      <x:c r="H209" t="str">
        <x:v>Production Codex</x:v>
      </x:c>
      <x:c r="I209" t="str">
        <x:v>Livrable explicite, tests positifs et négatifs ; aucune validation déduite de la seule présence de la fiche.</x:v>
      </x:c>
      <x:c r="J209" t="str">
        <x:v>https://github.com/darknigthmare/deadwall-last-enclosure/blob/1b3b9c5ba232734b1bda3453b4e20a0481bcdd74/docs/codex/suivi-monde2026/INSPECTION_PHYSIQUE_2026.md</x:v>
      </x:c>
    </x:row>
    <x:row r="210">
      <x:c r="A210" t="str">
        <x:v>EXT-MONDE-T021/loot</x:v>
      </x:c>
      <x:c r="B210" t="str">
        <x:v>EXT-MONDE-T021</x:v>
      </x:c>
      <x:c r="C210" t="str">
        <x:v>Fermes élevage</x:v>
      </x:c>
      <x:c r="D210" t="str">
        <x:v>Ferme laitière</x:v>
      </x:c>
      <x:c r="E210" t="str">
        <x:v>Budget de butin persistant</x:v>
      </x:c>
      <x:c r="F210" t="str">
        <x:v>P1</x:v>
      </x:c>
      <x:c r="G210" t="str">
        <x:v>À faire</x:v>
      </x:c>
      <x:c r="H210" t="str">
        <x:v>Non affecté</x:v>
      </x:c>
      <x:c r="I210" t="str">
        <x:v>Livrable explicite, tests positifs et négatifs ; aucune validation déduite de la seule présence de la fiche.</x:v>
      </x:c>
      <x:c r="J210" t="str"/>
    </x:row>
    <x:row r="211">
      <x:c r="A211" t="str">
        <x:v>EXT-MONDE-T021/rencontres</x:v>
      </x:c>
      <x:c r="B211" t="str">
        <x:v>EXT-MONDE-T021</x:v>
      </x:c>
      <x:c r="C211" t="str">
        <x:v>Fermes élevage</x:v>
      </x:c>
      <x:c r="D211" t="str">
        <x:v>Ferme laitière</x:v>
      </x:c>
      <x:c r="E211" t="str">
        <x:v>Ennemis et faune contextualisés</x:v>
      </x:c>
      <x:c r="F211" t="str">
        <x:v>P1</x:v>
      </x:c>
      <x:c r="G211" t="str">
        <x:v>À faire</x:v>
      </x:c>
      <x:c r="H211" t="str">
        <x:v>Non affecté</x:v>
      </x:c>
      <x:c r="I211" t="str">
        <x:v>Livrable explicite, tests positifs et négatifs ; aucune validation déduite de la seule présence de la fiche.</x:v>
      </x:c>
      <x:c r="J211" t="str"/>
    </x:row>
    <x:row r="212">
      <x:c r="A212" t="str">
        <x:v>EXT-MONDE-T021/services</x:v>
      </x:c>
      <x:c r="B212" t="str">
        <x:v>EXT-MONDE-T021</x:v>
      </x:c>
      <x:c r="C212" t="str">
        <x:v>Fermes élevage</x:v>
      </x:c>
      <x:c r="D212" t="str">
        <x:v>Ferme laitière</x:v>
      </x:c>
      <x:c r="E212" t="str">
        <x:v>Énergie, eau et interactions</x:v>
      </x:c>
      <x:c r="F212" t="str">
        <x:v>P1</x:v>
      </x:c>
      <x:c r="G212" t="str">
        <x:v>À faire</x:v>
      </x:c>
      <x:c r="H212" t="str">
        <x:v>Non affecté</x:v>
      </x:c>
      <x:c r="I212" t="str">
        <x:v>Livrable explicite, tests positifs et négatifs ; aucune validation déduite de la seule présence de la fiche.</x:v>
      </x:c>
      <x:c r="J212" t="str"/>
    </x:row>
    <x:row r="213">
      <x:c r="A213" t="str">
        <x:v>EXT-MONDE-T021/art</x:v>
      </x:c>
      <x:c r="B213" t="str">
        <x:v>EXT-MONDE-T021</x:v>
      </x:c>
      <x:c r="C213" t="str">
        <x:v>Fermes élevage</x:v>
      </x:c>
      <x:c r="D213" t="str">
        <x:v>Ferme laitière</x:v>
      </x:c>
      <x:c r="E213" t="str">
        <x:v>Sprites, proportions et animations</x:v>
      </x:c>
      <x:c r="F213" t="str">
        <x:v>P1</x:v>
      </x:c>
      <x:c r="G213" t="str">
        <x:v>À faire</x:v>
      </x:c>
      <x:c r="H213" t="str">
        <x:v>Non affecté</x:v>
      </x:c>
      <x:c r="I213" t="str">
        <x:v>Livrable explicite, tests positifs et négatifs ; aucune validation déduite de la seule présence de la fiche.</x:v>
      </x:c>
      <x:c r="J213" t="str"/>
    </x:row>
    <x:row r="214">
      <x:c r="A214" t="str">
        <x:v>EXT-MONDE-T021/sauvegarde</x:v>
      </x:c>
      <x:c r="B214" t="str">
        <x:v>EXT-MONDE-T021</x:v>
      </x:c>
      <x:c r="C214" t="str">
        <x:v>Fermes élevage</x:v>
      </x:c>
      <x:c r="D214" t="str">
        <x:v>Ferme laitière</x:v>
      </x:c>
      <x:c r="E214" t="str">
        <x:v>Identités, migration et reprise</x:v>
      </x:c>
      <x:c r="F214" t="str">
        <x:v>P1</x:v>
      </x:c>
      <x:c r="G214" t="str">
        <x:v>En cours</x:v>
      </x:c>
      <x:c r="H214" t="str">
        <x:v>Production Codex</x:v>
      </x:c>
      <x:c r="I214" t="str">
        <x:v>Livrable explicite, tests positifs et négatifs ; aucune validation déduite de la seule présence de la fiche.</x:v>
      </x:c>
      <x:c r="J214" t="str">
        <x:v>https://github.com/darknigthmare/deadwall-last-enclosure/blob/1b3b9c5ba232734b1bda3453b4e20a0481bcdd74/docs/codex/suivi-monde2026/INSPECTION_PHYSIQUE_2026.md</x:v>
      </x:c>
    </x:row>
    <x:row r="215">
      <x:c r="A215" t="str">
        <x:v>EXT-MONDE-T021/qa</x:v>
      </x:c>
      <x:c r="B215" t="str">
        <x:v>EXT-MONDE-T021</x:v>
      </x:c>
      <x:c r="C215" t="str">
        <x:v>Fermes élevage</x:v>
      </x:c>
      <x:c r="D215" t="str">
        <x:v>Ferme laitière</x:v>
      </x:c>
      <x:c r="E215" t="str">
        <x:v>Navigation et parcours jouables</x:v>
      </x:c>
      <x:c r="F215" t="str">
        <x:v>P1</x:v>
      </x:c>
      <x:c r="G215" t="str">
        <x:v>En cours</x:v>
      </x:c>
      <x:c r="H215" t="str">
        <x:v>Production Codex</x:v>
      </x:c>
      <x:c r="I215" t="str">
        <x:v>Livrable explicite, tests positifs et négatifs ; aucune validation déduite de la seule présence de la fiche.</x:v>
      </x:c>
      <x:c r="J215" t="str">
        <x:v>https://github.com/darknigthmare/deadwall-last-enclosure/blob/1b3b9c5ba232734b1bda3453b4e20a0481bcdd74/docs/codex/suivi-monde2026/INSPECTION_PHYSIQUE_2026.md</x:v>
      </x:c>
    </x:row>
    <x:row r="216">
      <x:c r="A216" t="str">
        <x:v>EXT-MONDE-T022/dimensions</x:v>
      </x:c>
      <x:c r="B216" t="str">
        <x:v>EXT-MONDE-T022</x:v>
      </x:c>
      <x:c r="C216" t="str">
        <x:v>Fermes élevage</x:v>
      </x:c>
      <x:c r="D216" t="str">
        <x:v>Élevage ovin</x:v>
      </x:c>
      <x:c r="E216" t="str">
        <x:v>Dimensions et plans de référence</x:v>
      </x:c>
      <x:c r="F216" t="str">
        <x:v>P0</x:v>
      </x:c>
      <x:c r="G216" t="str">
        <x:v>En cours</x:v>
      </x:c>
      <x:c r="H216" t="str">
        <x:v>Production Codex</x:v>
      </x:c>
      <x:c r="I216" t="str">
        <x:v>Sources publiques identifiées ; unités en mètres ; emprise au sol distincte de la hauteur.</x:v>
      </x:c>
      <x:c r="J216" t="str">
        <x:v>https://github.com/darknigthmare/deadwall-last-enclosure/blob/1b3b9c5ba232734b1bda3453b4e20a0481bcdd74/docs/codex/suivi-monde2026/AGRICULTURE_2026.md</x:v>
      </x:c>
    </x:row>
    <x:row r="217">
      <x:c r="A217" t="str">
        <x:v>EXT-MONDE-T022/architecture</x:v>
      </x:c>
      <x:c r="B217" t="str">
        <x:v>EXT-MONDE-T022</x:v>
      </x:c>
      <x:c r="C217" t="str">
        <x:v>Fermes élevage</x:v>
      </x:c>
      <x:c r="D217" t="str">
        <x:v>Élevage ovin</x:v>
      </x:c>
      <x:c r="E217" t="str">
        <x:v>Pièces, étages, annexes</x:v>
      </x:c>
      <x:c r="F217" t="str">
        <x:v>P0</x:v>
      </x:c>
      <x:c r="G217" t="str">
        <x:v>En cours</x:v>
      </x:c>
      <x:c r="H217" t="str">
        <x:v>Production Codex</x:v>
      </x:c>
      <x:c r="I217" t="str">
        <x:v>Livrable explicite, tests positifs et négatifs ; aucune validation déduite de la seule présence de la fiche.</x:v>
      </x:c>
      <x:c r="J217" t="str">
        <x:v>https://github.com/darknigthmare/deadwall-last-enclosure/blob/1b3b9c5ba232734b1bda3453b4e20a0481bcdd74/docs/codex/suivi-monde2026/INSPECTION_PHYSIQUE_2026.md</x:v>
      </x:c>
    </x:row>
    <x:row r="218">
      <x:c r="A218" t="str">
        <x:v>EXT-MONDE-T022/seed</x:v>
      </x:c>
      <x:c r="B218" t="str">
        <x:v>EXT-MONDE-T022</x:v>
      </x:c>
      <x:c r="C218" t="str">
        <x:v>Fermes élevage</x:v>
      </x:c>
      <x:c r="D218" t="str">
        <x:v>Élevage ovin</x:v>
      </x:c>
      <x:c r="E218" t="str">
        <x:v>Implantation et réseaux</x:v>
      </x:c>
      <x:c r="F218" t="str">
        <x:v>P0</x:v>
      </x:c>
      <x:c r="G218" t="str">
        <x:v>À faire</x:v>
      </x:c>
      <x:c r="H218" t="str">
        <x:v>Non affecté</x:v>
      </x:c>
      <x:c r="I218" t="str">
        <x:v>Enclos compatibles avec espèces ; alimentation finie ; animaux, visiteurs et livraisons séparés.</x:v>
      </x:c>
      <x:c r="J218" t="str"/>
    </x:row>
    <x:row r="219">
      <x:c r="A219" t="str">
        <x:v>EXT-MONDE-T022/props</x:v>
      </x:c>
      <x:c r="B219" t="str">
        <x:v>EXT-MONDE-T022</x:v>
      </x:c>
      <x:c r="C219" t="str">
        <x:v>Fermes élevage</x:v>
      </x:c>
      <x:c r="D219" t="str">
        <x:v>Élevage ovin</x:v>
      </x:c>
      <x:c r="E219" t="str">
        <x:v>Objets, décors et dégagements</x:v>
      </x:c>
      <x:c r="F219" t="str">
        <x:v>P1</x:v>
      </x:c>
      <x:c r="G219" t="str">
        <x:v>En cours</x:v>
      </x:c>
      <x:c r="H219" t="str">
        <x:v>Production Codex</x:v>
      </x:c>
      <x:c r="I219" t="str">
        <x:v>Livrable explicite, tests positifs et négatifs ; aucune validation déduite de la seule présence de la fiche.</x:v>
      </x:c>
      <x:c r="J219" t="str">
        <x:v>https://github.com/darknigthmare/deadwall-last-enclosure/blob/1b3b9c5ba232734b1bda3453b4e20a0481bcdd74/docs/codex/suivi-monde2026/INSPECTION_PHYSIQUE_2026.md</x:v>
      </x:c>
    </x:row>
    <x:row r="220">
      <x:c r="A220" t="str">
        <x:v>EXT-MONDE-T022/loot</x:v>
      </x:c>
      <x:c r="B220" t="str">
        <x:v>EXT-MONDE-T022</x:v>
      </x:c>
      <x:c r="C220" t="str">
        <x:v>Fermes élevage</x:v>
      </x:c>
      <x:c r="D220" t="str">
        <x:v>Élevage ovin</x:v>
      </x:c>
      <x:c r="E220" t="str">
        <x:v>Budget de butin persistant</x:v>
      </x:c>
      <x:c r="F220" t="str">
        <x:v>P1</x:v>
      </x:c>
      <x:c r="G220" t="str">
        <x:v>À faire</x:v>
      </x:c>
      <x:c r="H220" t="str">
        <x:v>Non affecté</x:v>
      </x:c>
      <x:c r="I220" t="str">
        <x:v>Livrable explicite, tests positifs et négatifs ; aucune validation déduite de la seule présence de la fiche.</x:v>
      </x:c>
      <x:c r="J220" t="str"/>
    </x:row>
    <x:row r="221">
      <x:c r="A221" t="str">
        <x:v>EXT-MONDE-T022/rencontres</x:v>
      </x:c>
      <x:c r="B221" t="str">
        <x:v>EXT-MONDE-T022</x:v>
      </x:c>
      <x:c r="C221" t="str">
        <x:v>Fermes élevage</x:v>
      </x:c>
      <x:c r="D221" t="str">
        <x:v>Élevage ovin</x:v>
      </x:c>
      <x:c r="E221" t="str">
        <x:v>Ennemis et faune contextualisés</x:v>
      </x:c>
      <x:c r="F221" t="str">
        <x:v>P1</x:v>
      </x:c>
      <x:c r="G221" t="str">
        <x:v>À faire</x:v>
      </x:c>
      <x:c r="H221" t="str">
        <x:v>Non affecté</x:v>
      </x:c>
      <x:c r="I221" t="str">
        <x:v>Livrable explicite, tests positifs et négatifs ; aucune validation déduite de la seule présence de la fiche.</x:v>
      </x:c>
      <x:c r="J221" t="str"/>
    </x:row>
    <x:row r="222">
      <x:c r="A222" t="str">
        <x:v>EXT-MONDE-T022/services</x:v>
      </x:c>
      <x:c r="B222" t="str">
        <x:v>EXT-MONDE-T022</x:v>
      </x:c>
      <x:c r="C222" t="str">
        <x:v>Fermes élevage</x:v>
      </x:c>
      <x:c r="D222" t="str">
        <x:v>Élevage ovin</x:v>
      </x:c>
      <x:c r="E222" t="str">
        <x:v>Énergie, eau et interactions</x:v>
      </x:c>
      <x:c r="F222" t="str">
        <x:v>P1</x:v>
      </x:c>
      <x:c r="G222" t="str">
        <x:v>À faire</x:v>
      </x:c>
      <x:c r="H222" t="str">
        <x:v>Non affecté</x:v>
      </x:c>
      <x:c r="I222" t="str">
        <x:v>Livrable explicite, tests positifs et négatifs ; aucune validation déduite de la seule présence de la fiche.</x:v>
      </x:c>
      <x:c r="J222" t="str"/>
    </x:row>
    <x:row r="223">
      <x:c r="A223" t="str">
        <x:v>EXT-MONDE-T022/art</x:v>
      </x:c>
      <x:c r="B223" t="str">
        <x:v>EXT-MONDE-T022</x:v>
      </x:c>
      <x:c r="C223" t="str">
        <x:v>Fermes élevage</x:v>
      </x:c>
      <x:c r="D223" t="str">
        <x:v>Élevage ovin</x:v>
      </x:c>
      <x:c r="E223" t="str">
        <x:v>Sprites, proportions et animations</x:v>
      </x:c>
      <x:c r="F223" t="str">
        <x:v>P1</x:v>
      </x:c>
      <x:c r="G223" t="str">
        <x:v>À faire</x:v>
      </x:c>
      <x:c r="H223" t="str">
        <x:v>Non affecté</x:v>
      </x:c>
      <x:c r="I223" t="str">
        <x:v>Livrable explicite, tests positifs et négatifs ; aucune validation déduite de la seule présence de la fiche.</x:v>
      </x:c>
      <x:c r="J223" t="str"/>
    </x:row>
    <x:row r="224">
      <x:c r="A224" t="str">
        <x:v>EXT-MONDE-T022/sauvegarde</x:v>
      </x:c>
      <x:c r="B224" t="str">
        <x:v>EXT-MONDE-T022</x:v>
      </x:c>
      <x:c r="C224" t="str">
        <x:v>Fermes élevage</x:v>
      </x:c>
      <x:c r="D224" t="str">
        <x:v>Élevage ovin</x:v>
      </x:c>
      <x:c r="E224" t="str">
        <x:v>Identités, migration et reprise</x:v>
      </x:c>
      <x:c r="F224" t="str">
        <x:v>P1</x:v>
      </x:c>
      <x:c r="G224" t="str">
        <x:v>En cours</x:v>
      </x:c>
      <x:c r="H224" t="str">
        <x:v>Production Codex</x:v>
      </x:c>
      <x:c r="I224" t="str">
        <x:v>Livrable explicite, tests positifs et négatifs ; aucune validation déduite de la seule présence de la fiche.</x:v>
      </x:c>
      <x:c r="J224" t="str">
        <x:v>https://github.com/darknigthmare/deadwall-last-enclosure/blob/1b3b9c5ba232734b1bda3453b4e20a0481bcdd74/docs/codex/suivi-monde2026/INSPECTION_PHYSIQUE_2026.md</x:v>
      </x:c>
    </x:row>
    <x:row r="225">
      <x:c r="A225" t="str">
        <x:v>EXT-MONDE-T022/qa</x:v>
      </x:c>
      <x:c r="B225" t="str">
        <x:v>EXT-MONDE-T022</x:v>
      </x:c>
      <x:c r="C225" t="str">
        <x:v>Fermes élevage</x:v>
      </x:c>
      <x:c r="D225" t="str">
        <x:v>Élevage ovin</x:v>
      </x:c>
      <x:c r="E225" t="str">
        <x:v>Navigation et parcours jouables</x:v>
      </x:c>
      <x:c r="F225" t="str">
        <x:v>P1</x:v>
      </x:c>
      <x:c r="G225" t="str">
        <x:v>En cours</x:v>
      </x:c>
      <x:c r="H225" t="str">
        <x:v>Production Codex</x:v>
      </x:c>
      <x:c r="I225" t="str">
        <x:v>Livrable explicite, tests positifs et négatifs ; aucune validation déduite de la seule présence de la fiche.</x:v>
      </x:c>
      <x:c r="J225" t="str">
        <x:v>https://github.com/darknigthmare/deadwall-last-enclosure/blob/1b3b9c5ba232734b1bda3453b4e20a0481bcdd74/docs/codex/suivi-monde2026/INSPECTION_PHYSIQUE_2026.md</x:v>
      </x:c>
    </x:row>
    <x:row r="226">
      <x:c r="A226" t="str">
        <x:v>EXT-MONDE-T023/dimensions</x:v>
      </x:c>
      <x:c r="B226" t="str">
        <x:v>EXT-MONDE-T023</x:v>
      </x:c>
      <x:c r="C226" t="str">
        <x:v>Fermes élevage</x:v>
      </x:c>
      <x:c r="D226" t="str">
        <x:v>Ferme avicole</x:v>
      </x:c>
      <x:c r="E226" t="str">
        <x:v>Dimensions et plans de référence</x:v>
      </x:c>
      <x:c r="F226" t="str">
        <x:v>P0</x:v>
      </x:c>
      <x:c r="G226" t="str">
        <x:v>En cours</x:v>
      </x:c>
      <x:c r="H226" t="str">
        <x:v>Production Codex</x:v>
      </x:c>
      <x:c r="I226" t="str">
        <x:v>Sources publiques identifiées ; unités en mètres ; emprise au sol distincte de la hauteur.</x:v>
      </x:c>
      <x:c r="J226" t="str">
        <x:v>https://github.com/darknigthmare/deadwall-last-enclosure/blob/1b3b9c5ba232734b1bda3453b4e20a0481bcdd74/docs/codex/suivi-monde2026/AGRICULTURE_2026.md</x:v>
      </x:c>
    </x:row>
    <x:row r="227">
      <x:c r="A227" t="str">
        <x:v>EXT-MONDE-T023/architecture</x:v>
      </x:c>
      <x:c r="B227" t="str">
        <x:v>EXT-MONDE-T023</x:v>
      </x:c>
      <x:c r="C227" t="str">
        <x:v>Fermes élevage</x:v>
      </x:c>
      <x:c r="D227" t="str">
        <x:v>Ferme avicole</x:v>
      </x:c>
      <x:c r="E227" t="str">
        <x:v>Pièces, étages, annexes</x:v>
      </x:c>
      <x:c r="F227" t="str">
        <x:v>P0</x:v>
      </x:c>
      <x:c r="G227" t="str">
        <x:v>En cours</x:v>
      </x:c>
      <x:c r="H227" t="str">
        <x:v>Production Codex</x:v>
      </x:c>
      <x:c r="I227" t="str">
        <x:v>Livrable explicite, tests positifs et négatifs ; aucune validation déduite de la seule présence de la fiche.</x:v>
      </x:c>
      <x:c r="J227" t="str">
        <x:v>https://github.com/darknigthmare/deadwall-last-enclosure/blob/1b3b9c5ba232734b1bda3453b4e20a0481bcdd74/docs/codex/suivi-monde2026/INSPECTION_PHYSIQUE_2026.md</x:v>
      </x:c>
    </x:row>
    <x:row r="228">
      <x:c r="A228" t="str">
        <x:v>EXT-MONDE-T023/seed</x:v>
      </x:c>
      <x:c r="B228" t="str">
        <x:v>EXT-MONDE-T023</x:v>
      </x:c>
      <x:c r="C228" t="str">
        <x:v>Fermes élevage</x:v>
      </x:c>
      <x:c r="D228" t="str">
        <x:v>Ferme avicole</x:v>
      </x:c>
      <x:c r="E228" t="str">
        <x:v>Implantation et réseaux</x:v>
      </x:c>
      <x:c r="F228" t="str">
        <x:v>P0</x:v>
      </x:c>
      <x:c r="G228" t="str">
        <x:v>À faire</x:v>
      </x:c>
      <x:c r="H228" t="str">
        <x:v>Non affecté</x:v>
      </x:c>
      <x:c r="I228" t="str">
        <x:v>Enclos compatibles avec espèces ; alimentation finie ; animaux, visiteurs et livraisons séparés.</x:v>
      </x:c>
      <x:c r="J228" t="str"/>
    </x:row>
    <x:row r="229">
      <x:c r="A229" t="str">
        <x:v>EXT-MONDE-T023/props</x:v>
      </x:c>
      <x:c r="B229" t="str">
        <x:v>EXT-MONDE-T023</x:v>
      </x:c>
      <x:c r="C229" t="str">
        <x:v>Fermes élevage</x:v>
      </x:c>
      <x:c r="D229" t="str">
        <x:v>Ferme avicole</x:v>
      </x:c>
      <x:c r="E229" t="str">
        <x:v>Objets, décors et dégagements</x:v>
      </x:c>
      <x:c r="F229" t="str">
        <x:v>P1</x:v>
      </x:c>
      <x:c r="G229" t="str">
        <x:v>En cours</x:v>
      </x:c>
      <x:c r="H229" t="str">
        <x:v>Production Codex</x:v>
      </x:c>
      <x:c r="I229" t="str">
        <x:v>Livrable explicite, tests positifs et négatifs ; aucune validation déduite de la seule présence de la fiche.</x:v>
      </x:c>
      <x:c r="J229" t="str">
        <x:v>https://github.com/darknigthmare/deadwall-last-enclosure/blob/1b3b9c5ba232734b1bda3453b4e20a0481bcdd74/docs/codex/suivi-monde2026/INSPECTION_PHYSIQUE_2026.md</x:v>
      </x:c>
    </x:row>
    <x:row r="230">
      <x:c r="A230" t="str">
        <x:v>EXT-MONDE-T023/loot</x:v>
      </x:c>
      <x:c r="B230" t="str">
        <x:v>EXT-MONDE-T023</x:v>
      </x:c>
      <x:c r="C230" t="str">
        <x:v>Fermes élevage</x:v>
      </x:c>
      <x:c r="D230" t="str">
        <x:v>Ferme avicole</x:v>
      </x:c>
      <x:c r="E230" t="str">
        <x:v>Budget de butin persistant</x:v>
      </x:c>
      <x:c r="F230" t="str">
        <x:v>P1</x:v>
      </x:c>
      <x:c r="G230" t="str">
        <x:v>À faire</x:v>
      </x:c>
      <x:c r="H230" t="str">
        <x:v>Non affecté</x:v>
      </x:c>
      <x:c r="I230" t="str">
        <x:v>Livrable explicite, tests positifs et négatifs ; aucune validation déduite de la seule présence de la fiche.</x:v>
      </x:c>
      <x:c r="J230" t="str"/>
    </x:row>
    <x:row r="231">
      <x:c r="A231" t="str">
        <x:v>EXT-MONDE-T023/rencontres</x:v>
      </x:c>
      <x:c r="B231" t="str">
        <x:v>EXT-MONDE-T023</x:v>
      </x:c>
      <x:c r="C231" t="str">
        <x:v>Fermes élevage</x:v>
      </x:c>
      <x:c r="D231" t="str">
        <x:v>Ferme avicole</x:v>
      </x:c>
      <x:c r="E231" t="str">
        <x:v>Ennemis et faune contextualisés</x:v>
      </x:c>
      <x:c r="F231" t="str">
        <x:v>P1</x:v>
      </x:c>
      <x:c r="G231" t="str">
        <x:v>À faire</x:v>
      </x:c>
      <x:c r="H231" t="str">
        <x:v>Non affecté</x:v>
      </x:c>
      <x:c r="I231" t="str">
        <x:v>Livrable explicite, tests positifs et négatifs ; aucune validation déduite de la seule présence de la fiche.</x:v>
      </x:c>
      <x:c r="J231" t="str"/>
    </x:row>
    <x:row r="232">
      <x:c r="A232" t="str">
        <x:v>EXT-MONDE-T023/services</x:v>
      </x:c>
      <x:c r="B232" t="str">
        <x:v>EXT-MONDE-T023</x:v>
      </x:c>
      <x:c r="C232" t="str">
        <x:v>Fermes élevage</x:v>
      </x:c>
      <x:c r="D232" t="str">
        <x:v>Ferme avicole</x:v>
      </x:c>
      <x:c r="E232" t="str">
        <x:v>Énergie, eau et interactions</x:v>
      </x:c>
      <x:c r="F232" t="str">
        <x:v>P1</x:v>
      </x:c>
      <x:c r="G232" t="str">
        <x:v>À faire</x:v>
      </x:c>
      <x:c r="H232" t="str">
        <x:v>Non affecté</x:v>
      </x:c>
      <x:c r="I232" t="str">
        <x:v>Livrable explicite, tests positifs et négatifs ; aucune validation déduite de la seule présence de la fiche.</x:v>
      </x:c>
      <x:c r="J232" t="str"/>
    </x:row>
    <x:row r="233">
      <x:c r="A233" t="str">
        <x:v>EXT-MONDE-T023/art</x:v>
      </x:c>
      <x:c r="B233" t="str">
        <x:v>EXT-MONDE-T023</x:v>
      </x:c>
      <x:c r="C233" t="str">
        <x:v>Fermes élevage</x:v>
      </x:c>
      <x:c r="D233" t="str">
        <x:v>Ferme avicole</x:v>
      </x:c>
      <x:c r="E233" t="str">
        <x:v>Sprites, proportions et animations</x:v>
      </x:c>
      <x:c r="F233" t="str">
        <x:v>P1</x:v>
      </x:c>
      <x:c r="G233" t="str">
        <x:v>À faire</x:v>
      </x:c>
      <x:c r="H233" t="str">
        <x:v>Non affecté</x:v>
      </x:c>
      <x:c r="I233" t="str">
        <x:v>Livrable explicite, tests positifs et négatifs ; aucune validation déduite de la seule présence de la fiche.</x:v>
      </x:c>
      <x:c r="J233" t="str"/>
    </x:row>
    <x:row r="234">
      <x:c r="A234" t="str">
        <x:v>EXT-MONDE-T023/sauvegarde</x:v>
      </x:c>
      <x:c r="B234" t="str">
        <x:v>EXT-MONDE-T023</x:v>
      </x:c>
      <x:c r="C234" t="str">
        <x:v>Fermes élevage</x:v>
      </x:c>
      <x:c r="D234" t="str">
        <x:v>Ferme avicole</x:v>
      </x:c>
      <x:c r="E234" t="str">
        <x:v>Identités, migration et reprise</x:v>
      </x:c>
      <x:c r="F234" t="str">
        <x:v>P1</x:v>
      </x:c>
      <x:c r="G234" t="str">
        <x:v>En cours</x:v>
      </x:c>
      <x:c r="H234" t="str">
        <x:v>Production Codex</x:v>
      </x:c>
      <x:c r="I234" t="str">
        <x:v>Livrable explicite, tests positifs et négatifs ; aucune validation déduite de la seule présence de la fiche.</x:v>
      </x:c>
      <x:c r="J234" t="str">
        <x:v>https://github.com/darknigthmare/deadwall-last-enclosure/blob/1b3b9c5ba232734b1bda3453b4e20a0481bcdd74/docs/codex/suivi-monde2026/INSPECTION_PHYSIQUE_2026.md</x:v>
      </x:c>
    </x:row>
    <x:row r="235">
      <x:c r="A235" t="str">
        <x:v>EXT-MONDE-T023/qa</x:v>
      </x:c>
      <x:c r="B235" t="str">
        <x:v>EXT-MONDE-T023</x:v>
      </x:c>
      <x:c r="C235" t="str">
        <x:v>Fermes élevage</x:v>
      </x:c>
      <x:c r="D235" t="str">
        <x:v>Ferme avicole</x:v>
      </x:c>
      <x:c r="E235" t="str">
        <x:v>Navigation et parcours jouables</x:v>
      </x:c>
      <x:c r="F235" t="str">
        <x:v>P1</x:v>
      </x:c>
      <x:c r="G235" t="str">
        <x:v>En cours</x:v>
      </x:c>
      <x:c r="H235" t="str">
        <x:v>Production Codex</x:v>
      </x:c>
      <x:c r="I235" t="str">
        <x:v>Livrable explicite, tests positifs et négatifs ; aucune validation déduite de la seule présence de la fiche.</x:v>
      </x:c>
      <x:c r="J235" t="str">
        <x:v>https://github.com/darknigthmare/deadwall-last-enclosure/blob/1b3b9c5ba232734b1bda3453b4e20a0481bcdd74/docs/codex/suivi-monde2026/INSPECTION_PHYSIQUE_2026.md</x:v>
      </x:c>
    </x:row>
    <x:row r="236">
      <x:c r="A236" t="str">
        <x:v>EXT-MONDE-T024/dimensions</x:v>
      </x:c>
      <x:c r="B236" t="str">
        <x:v>EXT-MONDE-T024</x:v>
      </x:c>
      <x:c r="C236" t="str">
        <x:v>Fermes élevage</x:v>
      </x:c>
      <x:c r="D236" t="str">
        <x:v>Centre équestre rural</x:v>
      </x:c>
      <x:c r="E236" t="str">
        <x:v>Dimensions et plans de référence</x:v>
      </x:c>
      <x:c r="F236" t="str">
        <x:v>P0</x:v>
      </x:c>
      <x:c r="G236" t="str">
        <x:v>En cours</x:v>
      </x:c>
      <x:c r="H236" t="str">
        <x:v>Production Codex</x:v>
      </x:c>
      <x:c r="I236" t="str">
        <x:v>Sources publiques identifiées ; unités en mètres ; emprise au sol distincte de la hauteur.</x:v>
      </x:c>
      <x:c r="J236" t="str">
        <x:v>https://github.com/darknigthmare/deadwall-last-enclosure/blob/1b3b9c5ba232734b1bda3453b4e20a0481bcdd74/docs/codex/suivi-monde2026/AGRICULTURE_2026.md</x:v>
      </x:c>
    </x:row>
    <x:row r="237">
      <x:c r="A237" t="str">
        <x:v>EXT-MONDE-T024/architecture</x:v>
      </x:c>
      <x:c r="B237" t="str">
        <x:v>EXT-MONDE-T024</x:v>
      </x:c>
      <x:c r="C237" t="str">
        <x:v>Fermes élevage</x:v>
      </x:c>
      <x:c r="D237" t="str">
        <x:v>Centre équestre rural</x:v>
      </x:c>
      <x:c r="E237" t="str">
        <x:v>Pièces, étages, annexes</x:v>
      </x:c>
      <x:c r="F237" t="str">
        <x:v>P0</x:v>
      </x:c>
      <x:c r="G237" t="str">
        <x:v>En cours</x:v>
      </x:c>
      <x:c r="H237" t="str">
        <x:v>Production Codex</x:v>
      </x:c>
      <x:c r="I237" t="str">
        <x:v>Livrable explicite, tests positifs et négatifs ; aucune validation déduite de la seule présence de la fiche.</x:v>
      </x:c>
      <x:c r="J237" t="str">
        <x:v>https://github.com/darknigthmare/deadwall-last-enclosure/blob/1b3b9c5ba232734b1bda3453b4e20a0481bcdd74/docs/codex/suivi-monde2026/INSPECTION_PHYSIQUE_2026.md</x:v>
      </x:c>
    </x:row>
    <x:row r="238">
      <x:c r="A238" t="str">
        <x:v>EXT-MONDE-T024/seed</x:v>
      </x:c>
      <x:c r="B238" t="str">
        <x:v>EXT-MONDE-T024</x:v>
      </x:c>
      <x:c r="C238" t="str">
        <x:v>Fermes élevage</x:v>
      </x:c>
      <x:c r="D238" t="str">
        <x:v>Centre équestre rural</x:v>
      </x:c>
      <x:c r="E238" t="str">
        <x:v>Implantation et réseaux</x:v>
      </x:c>
      <x:c r="F238" t="str">
        <x:v>P0</x:v>
      </x:c>
      <x:c r="G238" t="str">
        <x:v>À faire</x:v>
      </x:c>
      <x:c r="H238" t="str">
        <x:v>Non affecté</x:v>
      </x:c>
      <x:c r="I238" t="str">
        <x:v>Enclos compatibles avec espèces ; alimentation finie ; animaux, visiteurs et livraisons séparés.</x:v>
      </x:c>
      <x:c r="J238" t="str"/>
    </x:row>
    <x:row r="239">
      <x:c r="A239" t="str">
        <x:v>EXT-MONDE-T024/props</x:v>
      </x:c>
      <x:c r="B239" t="str">
        <x:v>EXT-MONDE-T024</x:v>
      </x:c>
      <x:c r="C239" t="str">
        <x:v>Fermes élevage</x:v>
      </x:c>
      <x:c r="D239" t="str">
        <x:v>Centre équestre rural</x:v>
      </x:c>
      <x:c r="E239" t="str">
        <x:v>Objets, décors et dégagements</x:v>
      </x:c>
      <x:c r="F239" t="str">
        <x:v>P1</x:v>
      </x:c>
      <x:c r="G239" t="str">
        <x:v>En cours</x:v>
      </x:c>
      <x:c r="H239" t="str">
        <x:v>Production Codex</x:v>
      </x:c>
      <x:c r="I239" t="str">
        <x:v>Livrable explicite, tests positifs et négatifs ; aucune validation déduite de la seule présence de la fiche.</x:v>
      </x:c>
      <x:c r="J239" t="str">
        <x:v>https://github.com/darknigthmare/deadwall-last-enclosure/blob/1b3b9c5ba232734b1bda3453b4e20a0481bcdd74/docs/codex/suivi-monde2026/INSPECTION_PHYSIQUE_2026.md</x:v>
      </x:c>
    </x:row>
    <x:row r="240">
      <x:c r="A240" t="str">
        <x:v>EXT-MONDE-T024/loot</x:v>
      </x:c>
      <x:c r="B240" t="str">
        <x:v>EXT-MONDE-T024</x:v>
      </x:c>
      <x:c r="C240" t="str">
        <x:v>Fermes élevage</x:v>
      </x:c>
      <x:c r="D240" t="str">
        <x:v>Centre équestre rural</x:v>
      </x:c>
      <x:c r="E240" t="str">
        <x:v>Budget de butin persistant</x:v>
      </x:c>
      <x:c r="F240" t="str">
        <x:v>P1</x:v>
      </x:c>
      <x:c r="G240" t="str">
        <x:v>À faire</x:v>
      </x:c>
      <x:c r="H240" t="str">
        <x:v>Non affecté</x:v>
      </x:c>
      <x:c r="I240" t="str">
        <x:v>Livrable explicite, tests positifs et négatifs ; aucune validation déduite de la seule présence de la fiche.</x:v>
      </x:c>
      <x:c r="J240" t="str"/>
    </x:row>
    <x:row r="241">
      <x:c r="A241" t="str">
        <x:v>EXT-MONDE-T024/rencontres</x:v>
      </x:c>
      <x:c r="B241" t="str">
        <x:v>EXT-MONDE-T024</x:v>
      </x:c>
      <x:c r="C241" t="str">
        <x:v>Fermes élevage</x:v>
      </x:c>
      <x:c r="D241" t="str">
        <x:v>Centre équestre rural</x:v>
      </x:c>
      <x:c r="E241" t="str">
        <x:v>Ennemis et faune contextualisés</x:v>
      </x:c>
      <x:c r="F241" t="str">
        <x:v>P1</x:v>
      </x:c>
      <x:c r="G241" t="str">
        <x:v>À faire</x:v>
      </x:c>
      <x:c r="H241" t="str">
        <x:v>Non affecté</x:v>
      </x:c>
      <x:c r="I241" t="str">
        <x:v>Livrable explicite, tests positifs et négatifs ; aucune validation déduite de la seule présence de la fiche.</x:v>
      </x:c>
      <x:c r="J241" t="str"/>
    </x:row>
    <x:row r="242">
      <x:c r="A242" t="str">
        <x:v>EXT-MONDE-T024/services</x:v>
      </x:c>
      <x:c r="B242" t="str">
        <x:v>EXT-MONDE-T024</x:v>
      </x:c>
      <x:c r="C242" t="str">
        <x:v>Fermes élevage</x:v>
      </x:c>
      <x:c r="D242" t="str">
        <x:v>Centre équestre rural</x:v>
      </x:c>
      <x:c r="E242" t="str">
        <x:v>Énergie, eau et interactions</x:v>
      </x:c>
      <x:c r="F242" t="str">
        <x:v>P1</x:v>
      </x:c>
      <x:c r="G242" t="str">
        <x:v>À faire</x:v>
      </x:c>
      <x:c r="H242" t="str">
        <x:v>Non affecté</x:v>
      </x:c>
      <x:c r="I242" t="str">
        <x:v>Livrable explicite, tests positifs et négatifs ; aucune validation déduite de la seule présence de la fiche.</x:v>
      </x:c>
      <x:c r="J242" t="str"/>
    </x:row>
    <x:row r="243">
      <x:c r="A243" t="str">
        <x:v>EXT-MONDE-T024/art</x:v>
      </x:c>
      <x:c r="B243" t="str">
        <x:v>EXT-MONDE-T024</x:v>
      </x:c>
      <x:c r="C243" t="str">
        <x:v>Fermes élevage</x:v>
      </x:c>
      <x:c r="D243" t="str">
        <x:v>Centre équestre rural</x:v>
      </x:c>
      <x:c r="E243" t="str">
        <x:v>Sprites, proportions et animations</x:v>
      </x:c>
      <x:c r="F243" t="str">
        <x:v>P1</x:v>
      </x:c>
      <x:c r="G243" t="str">
        <x:v>À faire</x:v>
      </x:c>
      <x:c r="H243" t="str">
        <x:v>Non affecté</x:v>
      </x:c>
      <x:c r="I243" t="str">
        <x:v>Livrable explicite, tests positifs et négatifs ; aucune validation déduite de la seule présence de la fiche.</x:v>
      </x:c>
      <x:c r="J243" t="str"/>
    </x:row>
    <x:row r="244">
      <x:c r="A244" t="str">
        <x:v>EXT-MONDE-T024/sauvegarde</x:v>
      </x:c>
      <x:c r="B244" t="str">
        <x:v>EXT-MONDE-T024</x:v>
      </x:c>
      <x:c r="C244" t="str">
        <x:v>Fermes élevage</x:v>
      </x:c>
      <x:c r="D244" t="str">
        <x:v>Centre équestre rural</x:v>
      </x:c>
      <x:c r="E244" t="str">
        <x:v>Identités, migration et reprise</x:v>
      </x:c>
      <x:c r="F244" t="str">
        <x:v>P1</x:v>
      </x:c>
      <x:c r="G244" t="str">
        <x:v>En cours</x:v>
      </x:c>
      <x:c r="H244" t="str">
        <x:v>Production Codex</x:v>
      </x:c>
      <x:c r="I244" t="str">
        <x:v>Livrable explicite, tests positifs et négatifs ; aucune validation déduite de la seule présence de la fiche.</x:v>
      </x:c>
      <x:c r="J244" t="str">
        <x:v>https://github.com/darknigthmare/deadwall-last-enclosure/blob/1b3b9c5ba232734b1bda3453b4e20a0481bcdd74/docs/codex/suivi-monde2026/INSPECTION_PHYSIQUE_2026.md</x:v>
      </x:c>
    </x:row>
    <x:row r="245">
      <x:c r="A245" t="str">
        <x:v>EXT-MONDE-T024/qa</x:v>
      </x:c>
      <x:c r="B245" t="str">
        <x:v>EXT-MONDE-T024</x:v>
      </x:c>
      <x:c r="C245" t="str">
        <x:v>Fermes élevage</x:v>
      </x:c>
      <x:c r="D245" t="str">
        <x:v>Centre équestre rural</x:v>
      </x:c>
      <x:c r="E245" t="str">
        <x:v>Navigation et parcours jouables</x:v>
      </x:c>
      <x:c r="F245" t="str">
        <x:v>P1</x:v>
      </x:c>
      <x:c r="G245" t="str">
        <x:v>En cours</x:v>
      </x:c>
      <x:c r="H245" t="str">
        <x:v>Production Codex</x:v>
      </x:c>
      <x:c r="I245" t="str">
        <x:v>Livrable explicite, tests positifs et négatifs ; aucune validation déduite de la seule présence de la fiche.</x:v>
      </x:c>
      <x:c r="J245" t="str">
        <x:v>https://github.com/darknigthmare/deadwall-last-enclosure/blob/1b3b9c5ba232734b1bda3453b4e20a0481bcdd74/docs/codex/suivi-monde2026/INSPECTION_PHYSIQUE_2026.md</x:v>
      </x:c>
    </x:row>
    <x:row r="246">
      <x:c r="A246" t="str">
        <x:v>EXT-MONDE-T025/dimensions</x:v>
      </x:c>
      <x:c r="B246" t="str">
        <x:v>EXT-MONDE-T025</x:v>
      </x:c>
      <x:c r="C246" t="str">
        <x:v>Fermes cultures</x:v>
      </x:c>
      <x:c r="D246" t="str">
        <x:v>Exploitation céréalière</x:v>
      </x:c>
      <x:c r="E246" t="str">
        <x:v>Dimensions et plans de référence</x:v>
      </x:c>
      <x:c r="F246" t="str">
        <x:v>P0</x:v>
      </x:c>
      <x:c r="G246" t="str">
        <x:v>En cours</x:v>
      </x:c>
      <x:c r="H246" t="str">
        <x:v>Production Codex</x:v>
      </x:c>
      <x:c r="I246" t="str">
        <x:v>Sources publiques identifiées ; unités en mètres ; emprise au sol distincte de la hauteur.</x:v>
      </x:c>
      <x:c r="J246" t="str">
        <x:v>https://github.com/darknigthmare/deadwall-last-enclosure/blob/1b3b9c5ba232734b1bda3453b4e20a0481bcdd74/docs/codex/suivi-monde2026/AGRICULTURE_2026.md</x:v>
      </x:c>
    </x:row>
    <x:row r="247">
      <x:c r="A247" t="str">
        <x:v>EXT-MONDE-T025/architecture</x:v>
      </x:c>
      <x:c r="B247" t="str">
        <x:v>EXT-MONDE-T025</x:v>
      </x:c>
      <x:c r="C247" t="str">
        <x:v>Fermes cultures</x:v>
      </x:c>
      <x:c r="D247" t="str">
        <x:v>Exploitation céréalière</x:v>
      </x:c>
      <x:c r="E247" t="str">
        <x:v>Pièces, étages, annexes</x:v>
      </x:c>
      <x:c r="F247" t="str">
        <x:v>P0</x:v>
      </x:c>
      <x:c r="G247" t="str">
        <x:v>En cours</x:v>
      </x:c>
      <x:c r="H247" t="str">
        <x:v>Production Codex</x:v>
      </x:c>
      <x:c r="I247" t="str">
        <x:v>Livrable explicite, tests positifs et négatifs ; aucune validation déduite de la seule présence de la fiche.</x:v>
      </x:c>
      <x:c r="J247" t="str">
        <x:v>https://github.com/darknigthmare/deadwall-last-enclosure/blob/1b3b9c5ba232734b1bda3453b4e20a0481bcdd74/docs/codex/suivi-monde2026/INSPECTION_PHYSIQUE_2026.md</x:v>
      </x:c>
    </x:row>
    <x:row r="248">
      <x:c r="A248" t="str">
        <x:v>EXT-MONDE-T025/seed</x:v>
      </x:c>
      <x:c r="B248" t="str">
        <x:v>EXT-MONDE-T025</x:v>
      </x:c>
      <x:c r="C248" t="str">
        <x:v>Fermes cultures</x:v>
      </x:c>
      <x:c r="D248" t="str">
        <x:v>Exploitation céréalière</x:v>
      </x:c>
      <x:c r="E248" t="str">
        <x:v>Implantation et réseaux</x:v>
      </x:c>
      <x:c r="F248" t="str">
        <x:v>P0</x:v>
      </x:c>
      <x:c r="G248" t="str">
        <x:v>À faire</x:v>
      </x:c>
      <x:c r="H248" t="str">
        <x:v>Non affecté</x:v>
      </x:c>
      <x:c r="I248" t="str">
        <x:v>Cultures adaptées au terrain ; parcelles contiguës ; pas de stock renouvelé par visite.</x:v>
      </x:c>
      <x:c r="J248" t="str"/>
    </x:row>
    <x:row r="249">
      <x:c r="A249" t="str">
        <x:v>EXT-MONDE-T025/props</x:v>
      </x:c>
      <x:c r="B249" t="str">
        <x:v>EXT-MONDE-T025</x:v>
      </x:c>
      <x:c r="C249" t="str">
        <x:v>Fermes cultures</x:v>
      </x:c>
      <x:c r="D249" t="str">
        <x:v>Exploitation céréalière</x:v>
      </x:c>
      <x:c r="E249" t="str">
        <x:v>Objets, décors et dégagements</x:v>
      </x:c>
      <x:c r="F249" t="str">
        <x:v>P1</x:v>
      </x:c>
      <x:c r="G249" t="str">
        <x:v>En cours</x:v>
      </x:c>
      <x:c r="H249" t="str">
        <x:v>Production Codex</x:v>
      </x:c>
      <x:c r="I249" t="str">
        <x:v>Livrable explicite, tests positifs et négatifs ; aucune validation déduite de la seule présence de la fiche.</x:v>
      </x:c>
      <x:c r="J249" t="str">
        <x:v>https://github.com/darknigthmare/deadwall-last-enclosure/blob/1b3b9c5ba232734b1bda3453b4e20a0481bcdd74/docs/codex/suivi-monde2026/INSPECTION_PHYSIQUE_2026.md</x:v>
      </x:c>
    </x:row>
    <x:row r="250">
      <x:c r="A250" t="str">
        <x:v>EXT-MONDE-T025/loot</x:v>
      </x:c>
      <x:c r="B250" t="str">
        <x:v>EXT-MONDE-T025</x:v>
      </x:c>
      <x:c r="C250" t="str">
        <x:v>Fermes cultures</x:v>
      </x:c>
      <x:c r="D250" t="str">
        <x:v>Exploitation céréalière</x:v>
      </x:c>
      <x:c r="E250" t="str">
        <x:v>Budget de butin persistant</x:v>
      </x:c>
      <x:c r="F250" t="str">
        <x:v>P1</x:v>
      </x:c>
      <x:c r="G250" t="str">
        <x:v>À faire</x:v>
      </x:c>
      <x:c r="H250" t="str">
        <x:v>Non affecté</x:v>
      </x:c>
      <x:c r="I250" t="str">
        <x:v>Livrable explicite, tests positifs et négatifs ; aucune validation déduite de la seule présence de la fiche.</x:v>
      </x:c>
      <x:c r="J250" t="str"/>
    </x:row>
    <x:row r="251">
      <x:c r="A251" t="str">
        <x:v>EXT-MONDE-T025/rencontres</x:v>
      </x:c>
      <x:c r="B251" t="str">
        <x:v>EXT-MONDE-T025</x:v>
      </x:c>
      <x:c r="C251" t="str">
        <x:v>Fermes cultures</x:v>
      </x:c>
      <x:c r="D251" t="str">
        <x:v>Exploitation céréalière</x:v>
      </x:c>
      <x:c r="E251" t="str">
        <x:v>Ennemis et faune contextualisés</x:v>
      </x:c>
      <x:c r="F251" t="str">
        <x:v>P1</x:v>
      </x:c>
      <x:c r="G251" t="str">
        <x:v>À faire</x:v>
      </x:c>
      <x:c r="H251" t="str">
        <x:v>Non affecté</x:v>
      </x:c>
      <x:c r="I251" t="str">
        <x:v>Livrable explicite, tests positifs et négatifs ; aucune validation déduite de la seule présence de la fiche.</x:v>
      </x:c>
      <x:c r="J251" t="str"/>
    </x:row>
    <x:row r="252">
      <x:c r="A252" t="str">
        <x:v>EXT-MONDE-T025/services</x:v>
      </x:c>
      <x:c r="B252" t="str">
        <x:v>EXT-MONDE-T025</x:v>
      </x:c>
      <x:c r="C252" t="str">
        <x:v>Fermes cultures</x:v>
      </x:c>
      <x:c r="D252" t="str">
        <x:v>Exploitation céréalière</x:v>
      </x:c>
      <x:c r="E252" t="str">
        <x:v>Énergie, eau et interactions</x:v>
      </x:c>
      <x:c r="F252" t="str">
        <x:v>P1</x:v>
      </x:c>
      <x:c r="G252" t="str">
        <x:v>À faire</x:v>
      </x:c>
      <x:c r="H252" t="str">
        <x:v>Non affecté</x:v>
      </x:c>
      <x:c r="I252" t="str">
        <x:v>Livrable explicite, tests positifs et négatifs ; aucune validation déduite de la seule présence de la fiche.</x:v>
      </x:c>
      <x:c r="J252" t="str"/>
    </x:row>
    <x:row r="253">
      <x:c r="A253" t="str">
        <x:v>EXT-MONDE-T025/art</x:v>
      </x:c>
      <x:c r="B253" t="str">
        <x:v>EXT-MONDE-T025</x:v>
      </x:c>
      <x:c r="C253" t="str">
        <x:v>Fermes cultures</x:v>
      </x:c>
      <x:c r="D253" t="str">
        <x:v>Exploitation céréalière</x:v>
      </x:c>
      <x:c r="E253" t="str">
        <x:v>Sprites, proportions et animations</x:v>
      </x:c>
      <x:c r="F253" t="str">
        <x:v>P1</x:v>
      </x:c>
      <x:c r="G253" t="str">
        <x:v>À faire</x:v>
      </x:c>
      <x:c r="H253" t="str">
        <x:v>Non affecté</x:v>
      </x:c>
      <x:c r="I253" t="str">
        <x:v>Livrable explicite, tests positifs et négatifs ; aucune validation déduite de la seule présence de la fiche.</x:v>
      </x:c>
      <x:c r="J253" t="str"/>
    </x:row>
    <x:row r="254">
      <x:c r="A254" t="str">
        <x:v>EXT-MONDE-T025/sauvegarde</x:v>
      </x:c>
      <x:c r="B254" t="str">
        <x:v>EXT-MONDE-T025</x:v>
      </x:c>
      <x:c r="C254" t="str">
        <x:v>Fermes cultures</x:v>
      </x:c>
      <x:c r="D254" t="str">
        <x:v>Exploitation céréalière</x:v>
      </x:c>
      <x:c r="E254" t="str">
        <x:v>Identités, migration et reprise</x:v>
      </x:c>
      <x:c r="F254" t="str">
        <x:v>P1</x:v>
      </x:c>
      <x:c r="G254" t="str">
        <x:v>En cours</x:v>
      </x:c>
      <x:c r="H254" t="str">
        <x:v>Production Codex</x:v>
      </x:c>
      <x:c r="I254" t="str">
        <x:v>Livrable explicite, tests positifs et négatifs ; aucune validation déduite de la seule présence de la fiche.</x:v>
      </x:c>
      <x:c r="J254" t="str">
        <x:v>https://github.com/darknigthmare/deadwall-last-enclosure/blob/1b3b9c5ba232734b1bda3453b4e20a0481bcdd74/docs/codex/suivi-monde2026/INSPECTION_PHYSIQUE_2026.md</x:v>
      </x:c>
    </x:row>
    <x:row r="255">
      <x:c r="A255" t="str">
        <x:v>EXT-MONDE-T025/qa</x:v>
      </x:c>
      <x:c r="B255" t="str">
        <x:v>EXT-MONDE-T025</x:v>
      </x:c>
      <x:c r="C255" t="str">
        <x:v>Fermes cultures</x:v>
      </x:c>
      <x:c r="D255" t="str">
        <x:v>Exploitation céréalière</x:v>
      </x:c>
      <x:c r="E255" t="str">
        <x:v>Navigation et parcours jouables</x:v>
      </x:c>
      <x:c r="F255" t="str">
        <x:v>P1</x:v>
      </x:c>
      <x:c r="G255" t="str">
        <x:v>En cours</x:v>
      </x:c>
      <x:c r="H255" t="str">
        <x:v>Production Codex</x:v>
      </x:c>
      <x:c r="I255" t="str">
        <x:v>Livrable explicite, tests positifs et négatifs ; aucune validation déduite de la seule présence de la fiche.</x:v>
      </x:c>
      <x:c r="J255" t="str">
        <x:v>https://github.com/darknigthmare/deadwall-last-enclosure/blob/1b3b9c5ba232734b1bda3453b4e20a0481bcdd74/docs/codex/suivi-monde2026/INSPECTION_PHYSIQUE_2026.md</x:v>
      </x:c>
    </x:row>
    <x:row r="256">
      <x:c r="A256" t="str">
        <x:v>EXT-MONDE-T026/dimensions</x:v>
      </x:c>
      <x:c r="B256" t="str">
        <x:v>EXT-MONDE-T026</x:v>
      </x:c>
      <x:c r="C256" t="str">
        <x:v>Fermes cultures</x:v>
      </x:c>
      <x:c r="D256" t="str">
        <x:v>Domaine viticole</x:v>
      </x:c>
      <x:c r="E256" t="str">
        <x:v>Dimensions et plans de référence</x:v>
      </x:c>
      <x:c r="F256" t="str">
        <x:v>P0</x:v>
      </x:c>
      <x:c r="G256" t="str">
        <x:v>En cours</x:v>
      </x:c>
      <x:c r="H256" t="str">
        <x:v>Production Codex</x:v>
      </x:c>
      <x:c r="I256" t="str">
        <x:v>Sources publiques identifiées ; unités en mètres ; emprise au sol distincte de la hauteur.</x:v>
      </x:c>
      <x:c r="J256" t="str">
        <x:v>https://github.com/darknigthmare/deadwall-last-enclosure/blob/1b3b9c5ba232734b1bda3453b4e20a0481bcdd74/docs/codex/suivi-monde2026/AGRICULTURE_2026.md</x:v>
      </x:c>
    </x:row>
    <x:row r="257">
      <x:c r="A257" t="str">
        <x:v>EXT-MONDE-T026/architecture</x:v>
      </x:c>
      <x:c r="B257" t="str">
        <x:v>EXT-MONDE-T026</x:v>
      </x:c>
      <x:c r="C257" t="str">
        <x:v>Fermes cultures</x:v>
      </x:c>
      <x:c r="D257" t="str">
        <x:v>Domaine viticole</x:v>
      </x:c>
      <x:c r="E257" t="str">
        <x:v>Pièces, étages, annexes</x:v>
      </x:c>
      <x:c r="F257" t="str">
        <x:v>P0</x:v>
      </x:c>
      <x:c r="G257" t="str">
        <x:v>En cours</x:v>
      </x:c>
      <x:c r="H257" t="str">
        <x:v>Production Codex</x:v>
      </x:c>
      <x:c r="I257" t="str">
        <x:v>Livrable explicite, tests positifs et négatifs ; aucune validation déduite de la seule présence de la fiche.</x:v>
      </x:c>
      <x:c r="J257" t="str">
        <x:v>https://github.com/darknigthmare/deadwall-last-enclosure/blob/1b3b9c5ba232734b1bda3453b4e20a0481bcdd74/docs/codex/suivi-monde2026/INSPECTION_PHYSIQUE_2026.md</x:v>
      </x:c>
    </x:row>
    <x:row r="258">
      <x:c r="A258" t="str">
        <x:v>EXT-MONDE-T026/seed</x:v>
      </x:c>
      <x:c r="B258" t="str">
        <x:v>EXT-MONDE-T026</x:v>
      </x:c>
      <x:c r="C258" t="str">
        <x:v>Fermes cultures</x:v>
      </x:c>
      <x:c r="D258" t="str">
        <x:v>Domaine viticole</x:v>
      </x:c>
      <x:c r="E258" t="str">
        <x:v>Implantation et réseaux</x:v>
      </x:c>
      <x:c r="F258" t="str">
        <x:v>P0</x:v>
      </x:c>
      <x:c r="G258" t="str">
        <x:v>À faire</x:v>
      </x:c>
      <x:c r="H258" t="str">
        <x:v>Non affecté</x:v>
      </x:c>
      <x:c r="I258" t="str">
        <x:v>Cultures adaptées au terrain ; parcelles contiguës ; pas de stock renouvelé par visite.</x:v>
      </x:c>
      <x:c r="J258" t="str"/>
    </x:row>
    <x:row r="259">
      <x:c r="A259" t="str">
        <x:v>EXT-MONDE-T026/props</x:v>
      </x:c>
      <x:c r="B259" t="str">
        <x:v>EXT-MONDE-T026</x:v>
      </x:c>
      <x:c r="C259" t="str">
        <x:v>Fermes cultures</x:v>
      </x:c>
      <x:c r="D259" t="str">
        <x:v>Domaine viticole</x:v>
      </x:c>
      <x:c r="E259" t="str">
        <x:v>Objets, décors et dégagements</x:v>
      </x:c>
      <x:c r="F259" t="str">
        <x:v>P1</x:v>
      </x:c>
      <x:c r="G259" t="str">
        <x:v>En cours</x:v>
      </x:c>
      <x:c r="H259" t="str">
        <x:v>Production Codex</x:v>
      </x:c>
      <x:c r="I259" t="str">
        <x:v>Livrable explicite, tests positifs et négatifs ; aucune validation déduite de la seule présence de la fiche.</x:v>
      </x:c>
      <x:c r="J259" t="str">
        <x:v>https://github.com/darknigthmare/deadwall-last-enclosure/blob/1b3b9c5ba232734b1bda3453b4e20a0481bcdd74/docs/codex/suivi-monde2026/INSPECTION_PHYSIQUE_2026.md</x:v>
      </x:c>
    </x:row>
    <x:row r="260">
      <x:c r="A260" t="str">
        <x:v>EXT-MONDE-T026/loot</x:v>
      </x:c>
      <x:c r="B260" t="str">
        <x:v>EXT-MONDE-T026</x:v>
      </x:c>
      <x:c r="C260" t="str">
        <x:v>Fermes cultures</x:v>
      </x:c>
      <x:c r="D260" t="str">
        <x:v>Domaine viticole</x:v>
      </x:c>
      <x:c r="E260" t="str">
        <x:v>Budget de butin persistant</x:v>
      </x:c>
      <x:c r="F260" t="str">
        <x:v>P1</x:v>
      </x:c>
      <x:c r="G260" t="str">
        <x:v>À faire</x:v>
      </x:c>
      <x:c r="H260" t="str">
        <x:v>Non affecté</x:v>
      </x:c>
      <x:c r="I260" t="str">
        <x:v>Livrable explicite, tests positifs et négatifs ; aucune validation déduite de la seule présence de la fiche.</x:v>
      </x:c>
      <x:c r="J260" t="str"/>
    </x:row>
    <x:row r="261">
      <x:c r="A261" t="str">
        <x:v>EXT-MONDE-T026/rencontres</x:v>
      </x:c>
      <x:c r="B261" t="str">
        <x:v>EXT-MONDE-T026</x:v>
      </x:c>
      <x:c r="C261" t="str">
        <x:v>Fermes cultures</x:v>
      </x:c>
      <x:c r="D261" t="str">
        <x:v>Domaine viticole</x:v>
      </x:c>
      <x:c r="E261" t="str">
        <x:v>Ennemis et faune contextualisés</x:v>
      </x:c>
      <x:c r="F261" t="str">
        <x:v>P1</x:v>
      </x:c>
      <x:c r="G261" t="str">
        <x:v>À faire</x:v>
      </x:c>
      <x:c r="H261" t="str">
        <x:v>Non affecté</x:v>
      </x:c>
      <x:c r="I261" t="str">
        <x:v>Livrable explicite, tests positifs et négatifs ; aucune validation déduite de la seule présence de la fiche.</x:v>
      </x:c>
      <x:c r="J261" t="str"/>
    </x:row>
    <x:row r="262">
      <x:c r="A262" t="str">
        <x:v>EXT-MONDE-T026/services</x:v>
      </x:c>
      <x:c r="B262" t="str">
        <x:v>EXT-MONDE-T026</x:v>
      </x:c>
      <x:c r="C262" t="str">
        <x:v>Fermes cultures</x:v>
      </x:c>
      <x:c r="D262" t="str">
        <x:v>Domaine viticole</x:v>
      </x:c>
      <x:c r="E262" t="str">
        <x:v>Énergie, eau et interactions</x:v>
      </x:c>
      <x:c r="F262" t="str">
        <x:v>P1</x:v>
      </x:c>
      <x:c r="G262" t="str">
        <x:v>À faire</x:v>
      </x:c>
      <x:c r="H262" t="str">
        <x:v>Non affecté</x:v>
      </x:c>
      <x:c r="I262" t="str">
        <x:v>Livrable explicite, tests positifs et négatifs ; aucune validation déduite de la seule présence de la fiche.</x:v>
      </x:c>
      <x:c r="J262" t="str"/>
    </x:row>
    <x:row r="263">
      <x:c r="A263" t="str">
        <x:v>EXT-MONDE-T026/art</x:v>
      </x:c>
      <x:c r="B263" t="str">
        <x:v>EXT-MONDE-T026</x:v>
      </x:c>
      <x:c r="C263" t="str">
        <x:v>Fermes cultures</x:v>
      </x:c>
      <x:c r="D263" t="str">
        <x:v>Domaine viticole</x:v>
      </x:c>
      <x:c r="E263" t="str">
        <x:v>Sprites, proportions et animations</x:v>
      </x:c>
      <x:c r="F263" t="str">
        <x:v>P1</x:v>
      </x:c>
      <x:c r="G263" t="str">
        <x:v>À faire</x:v>
      </x:c>
      <x:c r="H263" t="str">
        <x:v>Non affecté</x:v>
      </x:c>
      <x:c r="I263" t="str">
        <x:v>Livrable explicite, tests positifs et négatifs ; aucune validation déduite de la seule présence de la fiche.</x:v>
      </x:c>
      <x:c r="J263" t="str"/>
    </x:row>
    <x:row r="264">
      <x:c r="A264" t="str">
        <x:v>EXT-MONDE-T026/sauvegarde</x:v>
      </x:c>
      <x:c r="B264" t="str">
        <x:v>EXT-MONDE-T026</x:v>
      </x:c>
      <x:c r="C264" t="str">
        <x:v>Fermes cultures</x:v>
      </x:c>
      <x:c r="D264" t="str">
        <x:v>Domaine viticole</x:v>
      </x:c>
      <x:c r="E264" t="str">
        <x:v>Identités, migration et reprise</x:v>
      </x:c>
      <x:c r="F264" t="str">
        <x:v>P1</x:v>
      </x:c>
      <x:c r="G264" t="str">
        <x:v>En cours</x:v>
      </x:c>
      <x:c r="H264" t="str">
        <x:v>Production Codex</x:v>
      </x:c>
      <x:c r="I264" t="str">
        <x:v>Livrable explicite, tests positifs et négatifs ; aucune validation déduite de la seule présence de la fiche.</x:v>
      </x:c>
      <x:c r="J264" t="str">
        <x:v>https://github.com/darknigthmare/deadwall-last-enclosure/blob/1b3b9c5ba232734b1bda3453b4e20a0481bcdd74/docs/codex/suivi-monde2026/INSPECTION_PHYSIQUE_2026.md</x:v>
      </x:c>
    </x:row>
    <x:row r="265">
      <x:c r="A265" t="str">
        <x:v>EXT-MONDE-T026/qa</x:v>
      </x:c>
      <x:c r="B265" t="str">
        <x:v>EXT-MONDE-T026</x:v>
      </x:c>
      <x:c r="C265" t="str">
        <x:v>Fermes cultures</x:v>
      </x:c>
      <x:c r="D265" t="str">
        <x:v>Domaine viticole</x:v>
      </x:c>
      <x:c r="E265" t="str">
        <x:v>Navigation et parcours jouables</x:v>
      </x:c>
      <x:c r="F265" t="str">
        <x:v>P1</x:v>
      </x:c>
      <x:c r="G265" t="str">
        <x:v>En cours</x:v>
      </x:c>
      <x:c r="H265" t="str">
        <x:v>Production Codex</x:v>
      </x:c>
      <x:c r="I265" t="str">
        <x:v>Livrable explicite, tests positifs et négatifs ; aucune validation déduite de la seule présence de la fiche.</x:v>
      </x:c>
      <x:c r="J265" t="str">
        <x:v>https://github.com/darknigthmare/deadwall-last-enclosure/blob/1b3b9c5ba232734b1bda3453b4e20a0481bcdd74/docs/codex/suivi-monde2026/INSPECTION_PHYSIQUE_2026.md</x:v>
      </x:c>
    </x:row>
    <x:row r="266">
      <x:c r="A266" t="str">
        <x:v>EXT-MONDE-T027/dimensions</x:v>
      </x:c>
      <x:c r="B266" t="str">
        <x:v>EXT-MONDE-T027</x:v>
      </x:c>
      <x:c r="C266" t="str">
        <x:v>Fermes cultures</x:v>
      </x:c>
      <x:c r="D266" t="str">
        <x:v>Ferme maraîchère</x:v>
      </x:c>
      <x:c r="E266" t="str">
        <x:v>Dimensions et plans de référence</x:v>
      </x:c>
      <x:c r="F266" t="str">
        <x:v>P0</x:v>
      </x:c>
      <x:c r="G266" t="str">
        <x:v>En cours</x:v>
      </x:c>
      <x:c r="H266" t="str">
        <x:v>Production Codex</x:v>
      </x:c>
      <x:c r="I266" t="str">
        <x:v>Sources publiques identifiées ; unités en mètres ; emprise au sol distincte de la hauteur.</x:v>
      </x:c>
      <x:c r="J266" t="str">
        <x:v>https://github.com/darknigthmare/deadwall-last-enclosure/blob/1b3b9c5ba232734b1bda3453b4e20a0481bcdd74/docs/codex/suivi-monde2026/AGRICULTURE_2026.md</x:v>
      </x:c>
    </x:row>
    <x:row r="267">
      <x:c r="A267" t="str">
        <x:v>EXT-MONDE-T027/architecture</x:v>
      </x:c>
      <x:c r="B267" t="str">
        <x:v>EXT-MONDE-T027</x:v>
      </x:c>
      <x:c r="C267" t="str">
        <x:v>Fermes cultures</x:v>
      </x:c>
      <x:c r="D267" t="str">
        <x:v>Ferme maraîchère</x:v>
      </x:c>
      <x:c r="E267" t="str">
        <x:v>Pièces, étages, annexes</x:v>
      </x:c>
      <x:c r="F267" t="str">
        <x:v>P0</x:v>
      </x:c>
      <x:c r="G267" t="str">
        <x:v>En cours</x:v>
      </x:c>
      <x:c r="H267" t="str">
        <x:v>Production Codex</x:v>
      </x:c>
      <x:c r="I267" t="str">
        <x:v>Livrable explicite, tests positifs et négatifs ; aucune validation déduite de la seule présence de la fiche.</x:v>
      </x:c>
      <x:c r="J267" t="str">
        <x:v>https://github.com/darknigthmare/deadwall-last-enclosure/blob/1b3b9c5ba232734b1bda3453b4e20a0481bcdd74/docs/codex/suivi-monde2026/INSPECTION_PHYSIQUE_2026.md</x:v>
      </x:c>
    </x:row>
    <x:row r="268">
      <x:c r="A268" t="str">
        <x:v>EXT-MONDE-T027/seed</x:v>
      </x:c>
      <x:c r="B268" t="str">
        <x:v>EXT-MONDE-T027</x:v>
      </x:c>
      <x:c r="C268" t="str">
        <x:v>Fermes cultures</x:v>
      </x:c>
      <x:c r="D268" t="str">
        <x:v>Ferme maraîchère</x:v>
      </x:c>
      <x:c r="E268" t="str">
        <x:v>Implantation et réseaux</x:v>
      </x:c>
      <x:c r="F268" t="str">
        <x:v>P0</x:v>
      </x:c>
      <x:c r="G268" t="str">
        <x:v>À faire</x:v>
      </x:c>
      <x:c r="H268" t="str">
        <x:v>Non affecté</x:v>
      </x:c>
      <x:c r="I268" t="str">
        <x:v>Cultures adaptées au terrain ; parcelles contiguës ; pas de stock renouvelé par visite.</x:v>
      </x:c>
      <x:c r="J268" t="str"/>
    </x:row>
    <x:row r="269">
      <x:c r="A269" t="str">
        <x:v>EXT-MONDE-T027/props</x:v>
      </x:c>
      <x:c r="B269" t="str">
        <x:v>EXT-MONDE-T027</x:v>
      </x:c>
      <x:c r="C269" t="str">
        <x:v>Fermes cultures</x:v>
      </x:c>
      <x:c r="D269" t="str">
        <x:v>Ferme maraîchère</x:v>
      </x:c>
      <x:c r="E269" t="str">
        <x:v>Objets, décors et dégagements</x:v>
      </x:c>
      <x:c r="F269" t="str">
        <x:v>P1</x:v>
      </x:c>
      <x:c r="G269" t="str">
        <x:v>En cours</x:v>
      </x:c>
      <x:c r="H269" t="str">
        <x:v>Production Codex</x:v>
      </x:c>
      <x:c r="I269" t="str">
        <x:v>Livrable explicite, tests positifs et négatifs ; aucune validation déduite de la seule présence de la fiche.</x:v>
      </x:c>
      <x:c r="J269" t="str">
        <x:v>https://github.com/darknigthmare/deadwall-last-enclosure/blob/1b3b9c5ba232734b1bda3453b4e20a0481bcdd74/docs/codex/suivi-monde2026/INSPECTION_PHYSIQUE_2026.md</x:v>
      </x:c>
    </x:row>
    <x:row r="270">
      <x:c r="A270" t="str">
        <x:v>EXT-MONDE-T027/loot</x:v>
      </x:c>
      <x:c r="B270" t="str">
        <x:v>EXT-MONDE-T027</x:v>
      </x:c>
      <x:c r="C270" t="str">
        <x:v>Fermes cultures</x:v>
      </x:c>
      <x:c r="D270" t="str">
        <x:v>Ferme maraîchère</x:v>
      </x:c>
      <x:c r="E270" t="str">
        <x:v>Budget de butin persistant</x:v>
      </x:c>
      <x:c r="F270" t="str">
        <x:v>P1</x:v>
      </x:c>
      <x:c r="G270" t="str">
        <x:v>À faire</x:v>
      </x:c>
      <x:c r="H270" t="str">
        <x:v>Non affecté</x:v>
      </x:c>
      <x:c r="I270" t="str">
        <x:v>Livrable explicite, tests positifs et négatifs ; aucune validation déduite de la seule présence de la fiche.</x:v>
      </x:c>
      <x:c r="J270" t="str"/>
    </x:row>
    <x:row r="271">
      <x:c r="A271" t="str">
        <x:v>EXT-MONDE-T027/rencontres</x:v>
      </x:c>
      <x:c r="B271" t="str">
        <x:v>EXT-MONDE-T027</x:v>
      </x:c>
      <x:c r="C271" t="str">
        <x:v>Fermes cultures</x:v>
      </x:c>
      <x:c r="D271" t="str">
        <x:v>Ferme maraîchère</x:v>
      </x:c>
      <x:c r="E271" t="str">
        <x:v>Ennemis et faune contextualisés</x:v>
      </x:c>
      <x:c r="F271" t="str">
        <x:v>P1</x:v>
      </x:c>
      <x:c r="G271" t="str">
        <x:v>À faire</x:v>
      </x:c>
      <x:c r="H271" t="str">
        <x:v>Non affecté</x:v>
      </x:c>
      <x:c r="I271" t="str">
        <x:v>Livrable explicite, tests positifs et négatifs ; aucune validation déduite de la seule présence de la fiche.</x:v>
      </x:c>
      <x:c r="J271" t="str"/>
    </x:row>
    <x:row r="272">
      <x:c r="A272" t="str">
        <x:v>EXT-MONDE-T027/services</x:v>
      </x:c>
      <x:c r="B272" t="str">
        <x:v>EXT-MONDE-T027</x:v>
      </x:c>
      <x:c r="C272" t="str">
        <x:v>Fermes cultures</x:v>
      </x:c>
      <x:c r="D272" t="str">
        <x:v>Ferme maraîchère</x:v>
      </x:c>
      <x:c r="E272" t="str">
        <x:v>Énergie, eau et interactions</x:v>
      </x:c>
      <x:c r="F272" t="str">
        <x:v>P1</x:v>
      </x:c>
      <x:c r="G272" t="str">
        <x:v>À faire</x:v>
      </x:c>
      <x:c r="H272" t="str">
        <x:v>Non affecté</x:v>
      </x:c>
      <x:c r="I272" t="str">
        <x:v>Livrable explicite, tests positifs et négatifs ; aucune validation déduite de la seule présence de la fiche.</x:v>
      </x:c>
      <x:c r="J272" t="str"/>
    </x:row>
    <x:row r="273">
      <x:c r="A273" t="str">
        <x:v>EXT-MONDE-T027/art</x:v>
      </x:c>
      <x:c r="B273" t="str">
        <x:v>EXT-MONDE-T027</x:v>
      </x:c>
      <x:c r="C273" t="str">
        <x:v>Fermes cultures</x:v>
      </x:c>
      <x:c r="D273" t="str">
        <x:v>Ferme maraîchère</x:v>
      </x:c>
      <x:c r="E273" t="str">
        <x:v>Sprites, proportions et animations</x:v>
      </x:c>
      <x:c r="F273" t="str">
        <x:v>P1</x:v>
      </x:c>
      <x:c r="G273" t="str">
        <x:v>À faire</x:v>
      </x:c>
      <x:c r="H273" t="str">
        <x:v>Non affecté</x:v>
      </x:c>
      <x:c r="I273" t="str">
        <x:v>Livrable explicite, tests positifs et négatifs ; aucune validation déduite de la seule présence de la fiche.</x:v>
      </x:c>
      <x:c r="J273" t="str"/>
    </x:row>
    <x:row r="274">
      <x:c r="A274" t="str">
        <x:v>EXT-MONDE-T027/sauvegarde</x:v>
      </x:c>
      <x:c r="B274" t="str">
        <x:v>EXT-MONDE-T027</x:v>
      </x:c>
      <x:c r="C274" t="str">
        <x:v>Fermes cultures</x:v>
      </x:c>
      <x:c r="D274" t="str">
        <x:v>Ferme maraîchère</x:v>
      </x:c>
      <x:c r="E274" t="str">
        <x:v>Identités, migration et reprise</x:v>
      </x:c>
      <x:c r="F274" t="str">
        <x:v>P1</x:v>
      </x:c>
      <x:c r="G274" t="str">
        <x:v>En cours</x:v>
      </x:c>
      <x:c r="H274" t="str">
        <x:v>Production Codex</x:v>
      </x:c>
      <x:c r="I274" t="str">
        <x:v>Livrable explicite, tests positifs et négatifs ; aucune validation déduite de la seule présence de la fiche.</x:v>
      </x:c>
      <x:c r="J274" t="str">
        <x:v>https://github.com/darknigthmare/deadwall-last-enclosure/blob/1b3b9c5ba232734b1bda3453b4e20a0481bcdd74/docs/codex/suivi-monde2026/INSPECTION_PHYSIQUE_2026.md</x:v>
      </x:c>
    </x:row>
    <x:row r="275">
      <x:c r="A275" t="str">
        <x:v>EXT-MONDE-T027/qa</x:v>
      </x:c>
      <x:c r="B275" t="str">
        <x:v>EXT-MONDE-T027</x:v>
      </x:c>
      <x:c r="C275" t="str">
        <x:v>Fermes cultures</x:v>
      </x:c>
      <x:c r="D275" t="str">
        <x:v>Ferme maraîchère</x:v>
      </x:c>
      <x:c r="E275" t="str">
        <x:v>Navigation et parcours jouables</x:v>
      </x:c>
      <x:c r="F275" t="str">
        <x:v>P1</x:v>
      </x:c>
      <x:c r="G275" t="str">
        <x:v>En cours</x:v>
      </x:c>
      <x:c r="H275" t="str">
        <x:v>Production Codex</x:v>
      </x:c>
      <x:c r="I275" t="str">
        <x:v>Livrable explicite, tests positifs et négatifs ; aucune validation déduite de la seule présence de la fiche.</x:v>
      </x:c>
      <x:c r="J275" t="str">
        <x:v>https://github.com/darknigthmare/deadwall-last-enclosure/blob/1b3b9c5ba232734b1bda3453b4e20a0481bcdd74/docs/codex/suivi-monde2026/INSPECTION_PHYSIQUE_2026.md</x:v>
      </x:c>
    </x:row>
    <x:row r="276">
      <x:c r="A276" t="str">
        <x:v>EXT-MONDE-T028/dimensions</x:v>
      </x:c>
      <x:c r="B276" t="str">
        <x:v>EXT-MONDE-T028</x:v>
      </x:c>
      <x:c r="C276" t="str">
        <x:v>Fermes cultures</x:v>
      </x:c>
      <x:c r="D276" t="str">
        <x:v>Verger avec conditionnement</x:v>
      </x:c>
      <x:c r="E276" t="str">
        <x:v>Dimensions et plans de référence</x:v>
      </x:c>
      <x:c r="F276" t="str">
        <x:v>P0</x:v>
      </x:c>
      <x:c r="G276" t="str">
        <x:v>En cours</x:v>
      </x:c>
      <x:c r="H276" t="str">
        <x:v>Production Codex</x:v>
      </x:c>
      <x:c r="I276" t="str">
        <x:v>Sources publiques identifiées ; unités en mètres ; emprise au sol distincte de la hauteur.</x:v>
      </x:c>
      <x:c r="J276" t="str">
        <x:v>https://github.com/darknigthmare/deadwall-last-enclosure/blob/1b3b9c5ba232734b1bda3453b4e20a0481bcdd74/docs/codex/suivi-monde2026/AGRICULTURE_2026.md</x:v>
      </x:c>
    </x:row>
    <x:row r="277">
      <x:c r="A277" t="str">
        <x:v>EXT-MONDE-T028/architecture</x:v>
      </x:c>
      <x:c r="B277" t="str">
        <x:v>EXT-MONDE-T028</x:v>
      </x:c>
      <x:c r="C277" t="str">
        <x:v>Fermes cultures</x:v>
      </x:c>
      <x:c r="D277" t="str">
        <x:v>Verger avec conditionnement</x:v>
      </x:c>
      <x:c r="E277" t="str">
        <x:v>Pièces, étages, annexes</x:v>
      </x:c>
      <x:c r="F277" t="str">
        <x:v>P0</x:v>
      </x:c>
      <x:c r="G277" t="str">
        <x:v>En cours</x:v>
      </x:c>
      <x:c r="H277" t="str">
        <x:v>Production Codex</x:v>
      </x:c>
      <x:c r="I277" t="str">
        <x:v>Livrable explicite, tests positifs et négatifs ; aucune validation déduite de la seule présence de la fiche.</x:v>
      </x:c>
      <x:c r="J277" t="str">
        <x:v>https://github.com/darknigthmare/deadwall-last-enclosure/blob/1b3b9c5ba232734b1bda3453b4e20a0481bcdd74/docs/codex/suivi-monde2026/INSPECTION_PHYSIQUE_2026.md</x:v>
      </x:c>
    </x:row>
    <x:row r="278">
      <x:c r="A278" t="str">
        <x:v>EXT-MONDE-T028/seed</x:v>
      </x:c>
      <x:c r="B278" t="str">
        <x:v>EXT-MONDE-T028</x:v>
      </x:c>
      <x:c r="C278" t="str">
        <x:v>Fermes cultures</x:v>
      </x:c>
      <x:c r="D278" t="str">
        <x:v>Verger avec conditionnement</x:v>
      </x:c>
      <x:c r="E278" t="str">
        <x:v>Implantation et réseaux</x:v>
      </x:c>
      <x:c r="F278" t="str">
        <x:v>P0</x:v>
      </x:c>
      <x:c r="G278" t="str">
        <x:v>À faire</x:v>
      </x:c>
      <x:c r="H278" t="str">
        <x:v>Non affecté</x:v>
      </x:c>
      <x:c r="I278" t="str">
        <x:v>Cultures adaptées au terrain ; parcelles contiguës ; pas de stock renouvelé par visite.</x:v>
      </x:c>
      <x:c r="J278" t="str"/>
    </x:row>
    <x:row r="279">
      <x:c r="A279" t="str">
        <x:v>EXT-MONDE-T028/props</x:v>
      </x:c>
      <x:c r="B279" t="str">
        <x:v>EXT-MONDE-T028</x:v>
      </x:c>
      <x:c r="C279" t="str">
        <x:v>Fermes cultures</x:v>
      </x:c>
      <x:c r="D279" t="str">
        <x:v>Verger avec conditionnement</x:v>
      </x:c>
      <x:c r="E279" t="str">
        <x:v>Objets, décors et dégagements</x:v>
      </x:c>
      <x:c r="F279" t="str">
        <x:v>P1</x:v>
      </x:c>
      <x:c r="G279" t="str">
        <x:v>En cours</x:v>
      </x:c>
      <x:c r="H279" t="str">
        <x:v>Production Codex</x:v>
      </x:c>
      <x:c r="I279" t="str">
        <x:v>Livrable explicite, tests positifs et négatifs ; aucune validation déduite de la seule présence de la fiche.</x:v>
      </x:c>
      <x:c r="J279" t="str">
        <x:v>https://github.com/darknigthmare/deadwall-last-enclosure/blob/1b3b9c5ba232734b1bda3453b4e20a0481bcdd74/docs/codex/suivi-monde2026/INSPECTION_PHYSIQUE_2026.md</x:v>
      </x:c>
    </x:row>
    <x:row r="280">
      <x:c r="A280" t="str">
        <x:v>EXT-MONDE-T028/loot</x:v>
      </x:c>
      <x:c r="B280" t="str">
        <x:v>EXT-MONDE-T028</x:v>
      </x:c>
      <x:c r="C280" t="str">
        <x:v>Fermes cultures</x:v>
      </x:c>
      <x:c r="D280" t="str">
        <x:v>Verger avec conditionnement</x:v>
      </x:c>
      <x:c r="E280" t="str">
        <x:v>Budget de butin persistant</x:v>
      </x:c>
      <x:c r="F280" t="str">
        <x:v>P1</x:v>
      </x:c>
      <x:c r="G280" t="str">
        <x:v>À faire</x:v>
      </x:c>
      <x:c r="H280" t="str">
        <x:v>Non affecté</x:v>
      </x:c>
      <x:c r="I280" t="str">
        <x:v>Livrable explicite, tests positifs et négatifs ; aucune validation déduite de la seule présence de la fiche.</x:v>
      </x:c>
      <x:c r="J280" t="str"/>
    </x:row>
    <x:row r="281">
      <x:c r="A281" t="str">
        <x:v>EXT-MONDE-T028/rencontres</x:v>
      </x:c>
      <x:c r="B281" t="str">
        <x:v>EXT-MONDE-T028</x:v>
      </x:c>
      <x:c r="C281" t="str">
        <x:v>Fermes cultures</x:v>
      </x:c>
      <x:c r="D281" t="str">
        <x:v>Verger avec conditionnement</x:v>
      </x:c>
      <x:c r="E281" t="str">
        <x:v>Ennemis et faune contextualisés</x:v>
      </x:c>
      <x:c r="F281" t="str">
        <x:v>P1</x:v>
      </x:c>
      <x:c r="G281" t="str">
        <x:v>À faire</x:v>
      </x:c>
      <x:c r="H281" t="str">
        <x:v>Non affecté</x:v>
      </x:c>
      <x:c r="I281" t="str">
        <x:v>Livrable explicite, tests positifs et négatifs ; aucune validation déduite de la seule présence de la fiche.</x:v>
      </x:c>
      <x:c r="J281" t="str"/>
    </x:row>
    <x:row r="282">
      <x:c r="A282" t="str">
        <x:v>EXT-MONDE-T028/services</x:v>
      </x:c>
      <x:c r="B282" t="str">
        <x:v>EXT-MONDE-T028</x:v>
      </x:c>
      <x:c r="C282" t="str">
        <x:v>Fermes cultures</x:v>
      </x:c>
      <x:c r="D282" t="str">
        <x:v>Verger avec conditionnement</x:v>
      </x:c>
      <x:c r="E282" t="str">
        <x:v>Énergie, eau et interactions</x:v>
      </x:c>
      <x:c r="F282" t="str">
        <x:v>P1</x:v>
      </x:c>
      <x:c r="G282" t="str">
        <x:v>À faire</x:v>
      </x:c>
      <x:c r="H282" t="str">
        <x:v>Non affecté</x:v>
      </x:c>
      <x:c r="I282" t="str">
        <x:v>Livrable explicite, tests positifs et négatifs ; aucune validation déduite de la seule présence de la fiche.</x:v>
      </x:c>
      <x:c r="J282" t="str"/>
    </x:row>
    <x:row r="283">
      <x:c r="A283" t="str">
        <x:v>EXT-MONDE-T028/art</x:v>
      </x:c>
      <x:c r="B283" t="str">
        <x:v>EXT-MONDE-T028</x:v>
      </x:c>
      <x:c r="C283" t="str">
        <x:v>Fermes cultures</x:v>
      </x:c>
      <x:c r="D283" t="str">
        <x:v>Verger avec conditionnement</x:v>
      </x:c>
      <x:c r="E283" t="str">
        <x:v>Sprites, proportions et animations</x:v>
      </x:c>
      <x:c r="F283" t="str">
        <x:v>P1</x:v>
      </x:c>
      <x:c r="G283" t="str">
        <x:v>À faire</x:v>
      </x:c>
      <x:c r="H283" t="str">
        <x:v>Non affecté</x:v>
      </x:c>
      <x:c r="I283" t="str">
        <x:v>Livrable explicite, tests positifs et négatifs ; aucune validation déduite de la seule présence de la fiche.</x:v>
      </x:c>
      <x:c r="J283" t="str"/>
    </x:row>
    <x:row r="284">
      <x:c r="A284" t="str">
        <x:v>EXT-MONDE-T028/sauvegarde</x:v>
      </x:c>
      <x:c r="B284" t="str">
        <x:v>EXT-MONDE-T028</x:v>
      </x:c>
      <x:c r="C284" t="str">
        <x:v>Fermes cultures</x:v>
      </x:c>
      <x:c r="D284" t="str">
        <x:v>Verger avec conditionnement</x:v>
      </x:c>
      <x:c r="E284" t="str">
        <x:v>Identités, migration et reprise</x:v>
      </x:c>
      <x:c r="F284" t="str">
        <x:v>P1</x:v>
      </x:c>
      <x:c r="G284" t="str">
        <x:v>En cours</x:v>
      </x:c>
      <x:c r="H284" t="str">
        <x:v>Production Codex</x:v>
      </x:c>
      <x:c r="I284" t="str">
        <x:v>Livrable explicite, tests positifs et négatifs ; aucune validation déduite de la seule présence de la fiche.</x:v>
      </x:c>
      <x:c r="J284" t="str">
        <x:v>https://github.com/darknigthmare/deadwall-last-enclosure/blob/1b3b9c5ba232734b1bda3453b4e20a0481bcdd74/docs/codex/suivi-monde2026/INSPECTION_PHYSIQUE_2026.md</x:v>
      </x:c>
    </x:row>
    <x:row r="285">
      <x:c r="A285" t="str">
        <x:v>EXT-MONDE-T028/qa</x:v>
      </x:c>
      <x:c r="B285" t="str">
        <x:v>EXT-MONDE-T028</x:v>
      </x:c>
      <x:c r="C285" t="str">
        <x:v>Fermes cultures</x:v>
      </x:c>
      <x:c r="D285" t="str">
        <x:v>Verger avec conditionnement</x:v>
      </x:c>
      <x:c r="E285" t="str">
        <x:v>Navigation et parcours jouables</x:v>
      </x:c>
      <x:c r="F285" t="str">
        <x:v>P1</x:v>
      </x:c>
      <x:c r="G285" t="str">
        <x:v>En cours</x:v>
      </x:c>
      <x:c r="H285" t="str">
        <x:v>Production Codex</x:v>
      </x:c>
      <x:c r="I285" t="str">
        <x:v>Livrable explicite, tests positifs et négatifs ; aucune validation déduite de la seule présence de la fiche.</x:v>
      </x:c>
      <x:c r="J285" t="str">
        <x:v>https://github.com/darknigthmare/deadwall-last-enclosure/blob/1b3b9c5ba232734b1bda3453b4e20a0481bcdd74/docs/codex/suivi-monde2026/INSPECTION_PHYSIQUE_2026.md</x:v>
      </x:c>
    </x:row>
    <x:row r="286">
      <x:c r="A286" t="str">
        <x:v>EXT-MONDE-T029/dimensions</x:v>
      </x:c>
      <x:c r="B286" t="str">
        <x:v>EXT-MONDE-T029</x:v>
      </x:c>
      <x:c r="C286" t="str">
        <x:v>Ponts</x:v>
      </x:c>
      <x:c r="D286" t="str">
        <x:v>Pont routier à poutres</x:v>
      </x:c>
      <x:c r="E286" t="str">
        <x:v>Dimensions et plans de référence</x:v>
      </x:c>
      <x:c r="F286" t="str">
        <x:v>P0</x:v>
      </x:c>
      <x:c r="G286" t="str">
        <x:v>En cours</x:v>
      </x:c>
      <x:c r="H286" t="str">
        <x:v>Production Codex</x:v>
      </x:c>
      <x:c r="I286" t="str">
        <x:v>Sources publiques identifiées ; unités en mètres ; emprise au sol distincte de la hauteur.</x:v>
      </x:c>
      <x:c r="J286" t="str">
        <x:v>https://github.com/darknigthmare/deadwall-last-enclosure/blob/1b3b9c5ba232734b1bda3453b4e20a0481bcdd74/docs/codex/suivi-monde2026/PONTS_ECHANGEURS_2026.md</x:v>
      </x:c>
    </x:row>
    <x:row r="287">
      <x:c r="A287" t="str">
        <x:v>EXT-MONDE-T029/architecture</x:v>
      </x:c>
      <x:c r="B287" t="str">
        <x:v>EXT-MONDE-T029</x:v>
      </x:c>
      <x:c r="C287" t="str">
        <x:v>Ponts</x:v>
      </x:c>
      <x:c r="D287" t="str">
        <x:v>Pont routier à poutres</x:v>
      </x:c>
      <x:c r="E287" t="str">
        <x:v>Pièces, étages, annexes</x:v>
      </x:c>
      <x:c r="F287" t="str">
        <x:v>P0</x:v>
      </x:c>
      <x:c r="G287" t="str">
        <x:v>En cours</x:v>
      </x:c>
      <x:c r="H287" t="str">
        <x:v>Production Codex</x:v>
      </x:c>
      <x:c r="I287" t="str">
        <x:v>Livrable explicite, tests positifs et négatifs ; aucune validation déduite de la seule présence de la fiche.</x:v>
      </x:c>
      <x:c r="J287" t="str">
        <x:v>https://github.com/darknigthmare/deadwall-last-enclosure/blob/1b3b9c5ba232734b1bda3453b4e20a0481bcdd74/docs/codex/suivi-monde2026/INSPECTION_PHYSIQUE_2026.md</x:v>
      </x:c>
    </x:row>
    <x:row r="288">
      <x:c r="A288" t="str">
        <x:v>EXT-MONDE-T029/seed</x:v>
      </x:c>
      <x:c r="B288" t="str">
        <x:v>EXT-MONDE-T029</x:v>
      </x:c>
      <x:c r="C288" t="str">
        <x:v>Ponts</x:v>
      </x:c>
      <x:c r="D288" t="str">
        <x:v>Pont routier à poutres</x:v>
      </x:c>
      <x:c r="E288" t="str">
        <x:v>Implantation et réseaux</x:v>
      </x:c>
      <x:c r="F288" t="str">
        <x:v>P0</x:v>
      </x:c>
      <x:c r="G288" t="str">
        <x:v>À faire</x:v>
      </x:c>
      <x:c r="H288" t="str">
        <x:v>Non affecté</x:v>
      </x:c>
      <x:c r="I288" t="str">
        <x:v>Gabarit libre sous tablier ; extrémités raccordées ; aucun nœud entre voies superposées.</x:v>
      </x:c>
      <x:c r="J288" t="str"/>
    </x:row>
    <x:row r="289">
      <x:c r="A289" t="str">
        <x:v>EXT-MONDE-T029/props</x:v>
      </x:c>
      <x:c r="B289" t="str">
        <x:v>EXT-MONDE-T029</x:v>
      </x:c>
      <x:c r="C289" t="str">
        <x:v>Ponts</x:v>
      </x:c>
      <x:c r="D289" t="str">
        <x:v>Pont routier à poutres</x:v>
      </x:c>
      <x:c r="E289" t="str">
        <x:v>Objets, décors et dégagements</x:v>
      </x:c>
      <x:c r="F289" t="str">
        <x:v>P1</x:v>
      </x:c>
      <x:c r="G289" t="str">
        <x:v>En cours</x:v>
      </x:c>
      <x:c r="H289" t="str">
        <x:v>Production Codex</x:v>
      </x:c>
      <x:c r="I289" t="str">
        <x:v>Livrable explicite, tests positifs et négatifs ; aucune validation déduite de la seule présence de la fiche.</x:v>
      </x:c>
      <x:c r="J289" t="str">
        <x:v>https://github.com/darknigthmare/deadwall-last-enclosure/blob/1b3b9c5ba232734b1bda3453b4e20a0481bcdd74/docs/codex/suivi-monde2026/INSPECTION_PHYSIQUE_2026.md</x:v>
      </x:c>
    </x:row>
    <x:row r="290">
      <x:c r="A290" t="str">
        <x:v>EXT-MONDE-T029/loot</x:v>
      </x:c>
      <x:c r="B290" t="str">
        <x:v>EXT-MONDE-T029</x:v>
      </x:c>
      <x:c r="C290" t="str">
        <x:v>Ponts</x:v>
      </x:c>
      <x:c r="D290" t="str">
        <x:v>Pont routier à poutres</x:v>
      </x:c>
      <x:c r="E290" t="str">
        <x:v>Budget de butin persistant</x:v>
      </x:c>
      <x:c r="F290" t="str">
        <x:v>P1</x:v>
      </x:c>
      <x:c r="G290" t="str">
        <x:v>À faire</x:v>
      </x:c>
      <x:c r="H290" t="str">
        <x:v>Non affecté</x:v>
      </x:c>
      <x:c r="I290" t="str">
        <x:v>Livrable explicite, tests positifs et négatifs ; aucune validation déduite de la seule présence de la fiche.</x:v>
      </x:c>
      <x:c r="J290" t="str"/>
    </x:row>
    <x:row r="291">
      <x:c r="A291" t="str">
        <x:v>EXT-MONDE-T029/rencontres</x:v>
      </x:c>
      <x:c r="B291" t="str">
        <x:v>EXT-MONDE-T029</x:v>
      </x:c>
      <x:c r="C291" t="str">
        <x:v>Ponts</x:v>
      </x:c>
      <x:c r="D291" t="str">
        <x:v>Pont routier à poutres</x:v>
      </x:c>
      <x:c r="E291" t="str">
        <x:v>Ennemis et faune contextualisés</x:v>
      </x:c>
      <x:c r="F291" t="str">
        <x:v>P1</x:v>
      </x:c>
      <x:c r="G291" t="str">
        <x:v>À faire</x:v>
      </x:c>
      <x:c r="H291" t="str">
        <x:v>Non affecté</x:v>
      </x:c>
      <x:c r="I291" t="str">
        <x:v>Livrable explicite, tests positifs et négatifs ; aucune validation déduite de la seule présence de la fiche.</x:v>
      </x:c>
      <x:c r="J291" t="str"/>
    </x:row>
    <x:row r="292">
      <x:c r="A292" t="str">
        <x:v>EXT-MONDE-T029/services</x:v>
      </x:c>
      <x:c r="B292" t="str">
        <x:v>EXT-MONDE-T029</x:v>
      </x:c>
      <x:c r="C292" t="str">
        <x:v>Ponts</x:v>
      </x:c>
      <x:c r="D292" t="str">
        <x:v>Pont routier à poutres</x:v>
      </x:c>
      <x:c r="E292" t="str">
        <x:v>Énergie, eau et interactions</x:v>
      </x:c>
      <x:c r="F292" t="str">
        <x:v>P1</x:v>
      </x:c>
      <x:c r="G292" t="str">
        <x:v>À faire</x:v>
      </x:c>
      <x:c r="H292" t="str">
        <x:v>Non affecté</x:v>
      </x:c>
      <x:c r="I292" t="str">
        <x:v>Livrable explicite, tests positifs et négatifs ; aucune validation déduite de la seule présence de la fiche.</x:v>
      </x:c>
      <x:c r="J292" t="str"/>
    </x:row>
    <x:row r="293">
      <x:c r="A293" t="str">
        <x:v>EXT-MONDE-T029/art</x:v>
      </x:c>
      <x:c r="B293" t="str">
        <x:v>EXT-MONDE-T029</x:v>
      </x:c>
      <x:c r="C293" t="str">
        <x:v>Ponts</x:v>
      </x:c>
      <x:c r="D293" t="str">
        <x:v>Pont routier à poutres</x:v>
      </x:c>
      <x:c r="E293" t="str">
        <x:v>Sprites, proportions et animations</x:v>
      </x:c>
      <x:c r="F293" t="str">
        <x:v>P1</x:v>
      </x:c>
      <x:c r="G293" t="str">
        <x:v>À faire</x:v>
      </x:c>
      <x:c r="H293" t="str">
        <x:v>Non affecté</x:v>
      </x:c>
      <x:c r="I293" t="str">
        <x:v>Livrable explicite, tests positifs et négatifs ; aucune validation déduite de la seule présence de la fiche.</x:v>
      </x:c>
      <x:c r="J293" t="str"/>
    </x:row>
    <x:row r="294">
      <x:c r="A294" t="str">
        <x:v>EXT-MONDE-T029/sauvegarde</x:v>
      </x:c>
      <x:c r="B294" t="str">
        <x:v>EXT-MONDE-T029</x:v>
      </x:c>
      <x:c r="C294" t="str">
        <x:v>Ponts</x:v>
      </x:c>
      <x:c r="D294" t="str">
        <x:v>Pont routier à poutres</x:v>
      </x:c>
      <x:c r="E294" t="str">
        <x:v>Identités, migration et reprise</x:v>
      </x:c>
      <x:c r="F294" t="str">
        <x:v>P1</x:v>
      </x:c>
      <x:c r="G294" t="str">
        <x:v>En cours</x:v>
      </x:c>
      <x:c r="H294" t="str">
        <x:v>Production Codex</x:v>
      </x:c>
      <x:c r="I294" t="str">
        <x:v>Livrable explicite, tests positifs et négatifs ; aucune validation déduite de la seule présence de la fiche.</x:v>
      </x:c>
      <x:c r="J294" t="str">
        <x:v>https://github.com/darknigthmare/deadwall-last-enclosure/blob/1b3b9c5ba232734b1bda3453b4e20a0481bcdd74/docs/codex/suivi-monde2026/INSPECTION_PHYSIQUE_2026.md</x:v>
      </x:c>
    </x:row>
    <x:row r="295">
      <x:c r="A295" t="str">
        <x:v>EXT-MONDE-T029/qa</x:v>
      </x:c>
      <x:c r="B295" t="str">
        <x:v>EXT-MONDE-T029</x:v>
      </x:c>
      <x:c r="C295" t="str">
        <x:v>Ponts</x:v>
      </x:c>
      <x:c r="D295" t="str">
        <x:v>Pont routier à poutres</x:v>
      </x:c>
      <x:c r="E295" t="str">
        <x:v>Navigation et parcours jouables</x:v>
      </x:c>
      <x:c r="F295" t="str">
        <x:v>P1</x:v>
      </x:c>
      <x:c r="G295" t="str">
        <x:v>En cours</x:v>
      </x:c>
      <x:c r="H295" t="str">
        <x:v>Production Codex</x:v>
      </x:c>
      <x:c r="I295" t="str">
        <x:v>Livrable explicite, tests positifs et négatifs ; aucune validation déduite de la seule présence de la fiche.</x:v>
      </x:c>
      <x:c r="J295" t="str">
        <x:v>https://github.com/darknigthmare/deadwall-last-enclosure/blob/1b3b9c5ba232734b1bda3453b4e20a0481bcdd74/docs/codex/suivi-monde2026/INSPECTION_PHYSIQUE_2026.md</x:v>
      </x:c>
    </x:row>
    <x:row r="296">
      <x:c r="A296" t="str">
        <x:v>EXT-MONDE-T030/dimensions</x:v>
      </x:c>
      <x:c r="B296" t="str">
        <x:v>EXT-MONDE-T030</x:v>
      </x:c>
      <x:c r="C296" t="str">
        <x:v>Ponts</x:v>
      </x:c>
      <x:c r="D296" t="str">
        <x:v>Pont à arches</x:v>
      </x:c>
      <x:c r="E296" t="str">
        <x:v>Dimensions et plans de référence</x:v>
      </x:c>
      <x:c r="F296" t="str">
        <x:v>P0</x:v>
      </x:c>
      <x:c r="G296" t="str">
        <x:v>En cours</x:v>
      </x:c>
      <x:c r="H296" t="str">
        <x:v>Production Codex</x:v>
      </x:c>
      <x:c r="I296" t="str">
        <x:v>Sources publiques identifiées ; unités en mètres ; emprise au sol distincte de la hauteur.</x:v>
      </x:c>
      <x:c r="J296" t="str">
        <x:v>https://github.com/darknigthmare/deadwall-last-enclosure/blob/1b3b9c5ba232734b1bda3453b4e20a0481bcdd74/docs/codex/suivi-monde2026/PONTS_ECHANGEURS_2026.md</x:v>
      </x:c>
    </x:row>
    <x:row r="297">
      <x:c r="A297" t="str">
        <x:v>EXT-MONDE-T030/architecture</x:v>
      </x:c>
      <x:c r="B297" t="str">
        <x:v>EXT-MONDE-T030</x:v>
      </x:c>
      <x:c r="C297" t="str">
        <x:v>Ponts</x:v>
      </x:c>
      <x:c r="D297" t="str">
        <x:v>Pont à arches</x:v>
      </x:c>
      <x:c r="E297" t="str">
        <x:v>Pièces, étages, annexes</x:v>
      </x:c>
      <x:c r="F297" t="str">
        <x:v>P0</x:v>
      </x:c>
      <x:c r="G297" t="str">
        <x:v>En cours</x:v>
      </x:c>
      <x:c r="H297" t="str">
        <x:v>Production Codex</x:v>
      </x:c>
      <x:c r="I297" t="str">
        <x:v>Livrable explicite, tests positifs et négatifs ; aucune validation déduite de la seule présence de la fiche.</x:v>
      </x:c>
      <x:c r="J297" t="str">
        <x:v>https://github.com/darknigthmare/deadwall-last-enclosure/blob/1b3b9c5ba232734b1bda3453b4e20a0481bcdd74/docs/codex/suivi-monde2026/INSPECTION_PHYSIQUE_2026.md</x:v>
      </x:c>
    </x:row>
    <x:row r="298">
      <x:c r="A298" t="str">
        <x:v>EXT-MONDE-T030/seed</x:v>
      </x:c>
      <x:c r="B298" t="str">
        <x:v>EXT-MONDE-T030</x:v>
      </x:c>
      <x:c r="C298" t="str">
        <x:v>Ponts</x:v>
      </x:c>
      <x:c r="D298" t="str">
        <x:v>Pont à arches</x:v>
      </x:c>
      <x:c r="E298" t="str">
        <x:v>Implantation et réseaux</x:v>
      </x:c>
      <x:c r="F298" t="str">
        <x:v>P0</x:v>
      </x:c>
      <x:c r="G298" t="str">
        <x:v>À faire</x:v>
      </x:c>
      <x:c r="H298" t="str">
        <x:v>Non affecté</x:v>
      </x:c>
      <x:c r="I298" t="str">
        <x:v>Gabarit libre sous tablier ; extrémités raccordées ; aucun nœud entre voies superposées.</x:v>
      </x:c>
      <x:c r="J298" t="str"/>
    </x:row>
    <x:row r="299">
      <x:c r="A299" t="str">
        <x:v>EXT-MONDE-T030/props</x:v>
      </x:c>
      <x:c r="B299" t="str">
        <x:v>EXT-MONDE-T030</x:v>
      </x:c>
      <x:c r="C299" t="str">
        <x:v>Ponts</x:v>
      </x:c>
      <x:c r="D299" t="str">
        <x:v>Pont à arches</x:v>
      </x:c>
      <x:c r="E299" t="str">
        <x:v>Objets, décors et dégagements</x:v>
      </x:c>
      <x:c r="F299" t="str">
        <x:v>P1</x:v>
      </x:c>
      <x:c r="G299" t="str">
        <x:v>En cours</x:v>
      </x:c>
      <x:c r="H299" t="str">
        <x:v>Production Codex</x:v>
      </x:c>
      <x:c r="I299" t="str">
        <x:v>Livrable explicite, tests positifs et négatifs ; aucune validation déduite de la seule présence de la fiche.</x:v>
      </x:c>
      <x:c r="J299" t="str">
        <x:v>https://github.com/darknigthmare/deadwall-last-enclosure/blob/1b3b9c5ba232734b1bda3453b4e20a0481bcdd74/docs/codex/suivi-monde2026/INSPECTION_PHYSIQUE_2026.md</x:v>
      </x:c>
    </x:row>
    <x:row r="300">
      <x:c r="A300" t="str">
        <x:v>EXT-MONDE-T030/loot</x:v>
      </x:c>
      <x:c r="B300" t="str">
        <x:v>EXT-MONDE-T030</x:v>
      </x:c>
      <x:c r="C300" t="str">
        <x:v>Ponts</x:v>
      </x:c>
      <x:c r="D300" t="str">
        <x:v>Pont à arches</x:v>
      </x:c>
      <x:c r="E300" t="str">
        <x:v>Budget de butin persistant</x:v>
      </x:c>
      <x:c r="F300" t="str">
        <x:v>P1</x:v>
      </x:c>
      <x:c r="G300" t="str">
        <x:v>À faire</x:v>
      </x:c>
      <x:c r="H300" t="str">
        <x:v>Non affecté</x:v>
      </x:c>
      <x:c r="I300" t="str">
        <x:v>Livrable explicite, tests positifs et négatifs ; aucune validation déduite de la seule présence de la fiche.</x:v>
      </x:c>
      <x:c r="J300" t="str"/>
    </x:row>
    <x:row r="301">
      <x:c r="A301" t="str">
        <x:v>EXT-MONDE-T030/rencontres</x:v>
      </x:c>
      <x:c r="B301" t="str">
        <x:v>EXT-MONDE-T030</x:v>
      </x:c>
      <x:c r="C301" t="str">
        <x:v>Ponts</x:v>
      </x:c>
      <x:c r="D301" t="str">
        <x:v>Pont à arches</x:v>
      </x:c>
      <x:c r="E301" t="str">
        <x:v>Ennemis et faune contextualisés</x:v>
      </x:c>
      <x:c r="F301" t="str">
        <x:v>P1</x:v>
      </x:c>
      <x:c r="G301" t="str">
        <x:v>À faire</x:v>
      </x:c>
      <x:c r="H301" t="str">
        <x:v>Non affecté</x:v>
      </x:c>
      <x:c r="I301" t="str">
        <x:v>Livrable explicite, tests positifs et négatifs ; aucune validation déduite de la seule présence de la fiche.</x:v>
      </x:c>
      <x:c r="J301" t="str"/>
    </x:row>
    <x:row r="302">
      <x:c r="A302" t="str">
        <x:v>EXT-MONDE-T030/services</x:v>
      </x:c>
      <x:c r="B302" t="str">
        <x:v>EXT-MONDE-T030</x:v>
      </x:c>
      <x:c r="C302" t="str">
        <x:v>Ponts</x:v>
      </x:c>
      <x:c r="D302" t="str">
        <x:v>Pont à arches</x:v>
      </x:c>
      <x:c r="E302" t="str">
        <x:v>Énergie, eau et interactions</x:v>
      </x:c>
      <x:c r="F302" t="str">
        <x:v>P1</x:v>
      </x:c>
      <x:c r="G302" t="str">
        <x:v>À faire</x:v>
      </x:c>
      <x:c r="H302" t="str">
        <x:v>Non affecté</x:v>
      </x:c>
      <x:c r="I302" t="str">
        <x:v>Livrable explicite, tests positifs et négatifs ; aucune validation déduite de la seule présence de la fiche.</x:v>
      </x:c>
      <x:c r="J302" t="str"/>
    </x:row>
    <x:row r="303">
      <x:c r="A303" t="str">
        <x:v>EXT-MONDE-T030/art</x:v>
      </x:c>
      <x:c r="B303" t="str">
        <x:v>EXT-MONDE-T030</x:v>
      </x:c>
      <x:c r="C303" t="str">
        <x:v>Ponts</x:v>
      </x:c>
      <x:c r="D303" t="str">
        <x:v>Pont à arches</x:v>
      </x:c>
      <x:c r="E303" t="str">
        <x:v>Sprites, proportions et animations</x:v>
      </x:c>
      <x:c r="F303" t="str">
        <x:v>P1</x:v>
      </x:c>
      <x:c r="G303" t="str">
        <x:v>À faire</x:v>
      </x:c>
      <x:c r="H303" t="str">
        <x:v>Non affecté</x:v>
      </x:c>
      <x:c r="I303" t="str">
        <x:v>Livrable explicite, tests positifs et négatifs ; aucune validation déduite de la seule présence de la fiche.</x:v>
      </x:c>
      <x:c r="J303" t="str"/>
    </x:row>
    <x:row r="304">
      <x:c r="A304" t="str">
        <x:v>EXT-MONDE-T030/sauvegarde</x:v>
      </x:c>
      <x:c r="B304" t="str">
        <x:v>EXT-MONDE-T030</x:v>
      </x:c>
      <x:c r="C304" t="str">
        <x:v>Ponts</x:v>
      </x:c>
      <x:c r="D304" t="str">
        <x:v>Pont à arches</x:v>
      </x:c>
      <x:c r="E304" t="str">
        <x:v>Identités, migration et reprise</x:v>
      </x:c>
      <x:c r="F304" t="str">
        <x:v>P1</x:v>
      </x:c>
      <x:c r="G304" t="str">
        <x:v>En cours</x:v>
      </x:c>
      <x:c r="H304" t="str">
        <x:v>Production Codex</x:v>
      </x:c>
      <x:c r="I304" t="str">
        <x:v>Livrable explicite, tests positifs et négatifs ; aucune validation déduite de la seule présence de la fiche.</x:v>
      </x:c>
      <x:c r="J304" t="str">
        <x:v>https://github.com/darknigthmare/deadwall-last-enclosure/blob/1b3b9c5ba232734b1bda3453b4e20a0481bcdd74/docs/codex/suivi-monde2026/INSPECTION_PHYSIQUE_2026.md</x:v>
      </x:c>
    </x:row>
    <x:row r="305">
      <x:c r="A305" t="str">
        <x:v>EXT-MONDE-T030/qa</x:v>
      </x:c>
      <x:c r="B305" t="str">
        <x:v>EXT-MONDE-T030</x:v>
      </x:c>
      <x:c r="C305" t="str">
        <x:v>Ponts</x:v>
      </x:c>
      <x:c r="D305" t="str">
        <x:v>Pont à arches</x:v>
      </x:c>
      <x:c r="E305" t="str">
        <x:v>Navigation et parcours jouables</x:v>
      </x:c>
      <x:c r="F305" t="str">
        <x:v>P1</x:v>
      </x:c>
      <x:c r="G305" t="str">
        <x:v>En cours</x:v>
      </x:c>
      <x:c r="H305" t="str">
        <x:v>Production Codex</x:v>
      </x:c>
      <x:c r="I305" t="str">
        <x:v>Livrable explicite, tests positifs et négatifs ; aucune validation déduite de la seule présence de la fiche.</x:v>
      </x:c>
      <x:c r="J305" t="str">
        <x:v>https://github.com/darknigthmare/deadwall-last-enclosure/blob/1b3b9c5ba232734b1bda3453b4e20a0481bcdd74/docs/codex/suivi-monde2026/INSPECTION_PHYSIQUE_2026.md</x:v>
      </x:c>
    </x:row>
    <x:row r="306">
      <x:c r="A306" t="str">
        <x:v>EXT-MONDE-T031/dimensions</x:v>
      </x:c>
      <x:c r="B306" t="str">
        <x:v>EXT-MONDE-T031</x:v>
      </x:c>
      <x:c r="C306" t="str">
        <x:v>Ponts</x:v>
      </x:c>
      <x:c r="D306" t="str">
        <x:v>Pont levant portuaire</x:v>
      </x:c>
      <x:c r="E306" t="str">
        <x:v>Dimensions et plans de référence</x:v>
      </x:c>
      <x:c r="F306" t="str">
        <x:v>P0</x:v>
      </x:c>
      <x:c r="G306" t="str">
        <x:v>En cours</x:v>
      </x:c>
      <x:c r="H306" t="str">
        <x:v>Production Codex</x:v>
      </x:c>
      <x:c r="I306" t="str">
        <x:v>Sources publiques identifiées ; unités en mètres ; emprise au sol distincte de la hauteur.</x:v>
      </x:c>
      <x:c r="J306" t="str">
        <x:v>https://github.com/darknigthmare/deadwall-last-enclosure/blob/1b3b9c5ba232734b1bda3453b4e20a0481bcdd74/docs/codex/suivi-monde2026/PONTS_ECHANGEURS_2026.md</x:v>
      </x:c>
    </x:row>
    <x:row r="307">
      <x:c r="A307" t="str">
        <x:v>EXT-MONDE-T031/architecture</x:v>
      </x:c>
      <x:c r="B307" t="str">
        <x:v>EXT-MONDE-T031</x:v>
      </x:c>
      <x:c r="C307" t="str">
        <x:v>Ponts</x:v>
      </x:c>
      <x:c r="D307" t="str">
        <x:v>Pont levant portuaire</x:v>
      </x:c>
      <x:c r="E307" t="str">
        <x:v>Pièces, étages, annexes</x:v>
      </x:c>
      <x:c r="F307" t="str">
        <x:v>P0</x:v>
      </x:c>
      <x:c r="G307" t="str">
        <x:v>En cours</x:v>
      </x:c>
      <x:c r="H307" t="str">
        <x:v>Production Codex</x:v>
      </x:c>
      <x:c r="I307" t="str">
        <x:v>Livrable explicite, tests positifs et négatifs ; aucune validation déduite de la seule présence de la fiche.</x:v>
      </x:c>
      <x:c r="J307" t="str">
        <x:v>https://github.com/darknigthmare/deadwall-last-enclosure/blob/1b3b9c5ba232734b1bda3453b4e20a0481bcdd74/docs/codex/suivi-monde2026/INSPECTION_PHYSIQUE_2026.md</x:v>
      </x:c>
    </x:row>
    <x:row r="308">
      <x:c r="A308" t="str">
        <x:v>EXT-MONDE-T031/seed</x:v>
      </x:c>
      <x:c r="B308" t="str">
        <x:v>EXT-MONDE-T031</x:v>
      </x:c>
      <x:c r="C308" t="str">
        <x:v>Ponts</x:v>
      </x:c>
      <x:c r="D308" t="str">
        <x:v>Pont levant portuaire</x:v>
      </x:c>
      <x:c r="E308" t="str">
        <x:v>Implantation et réseaux</x:v>
      </x:c>
      <x:c r="F308" t="str">
        <x:v>P0</x:v>
      </x:c>
      <x:c r="G308" t="str">
        <x:v>À faire</x:v>
      </x:c>
      <x:c r="H308" t="str">
        <x:v>Non affecté</x:v>
      </x:c>
      <x:c r="I308" t="str">
        <x:v>Gabarit libre sous tablier ; extrémités raccordées ; aucun nœud entre voies superposées.</x:v>
      </x:c>
      <x:c r="J308" t="str"/>
    </x:row>
    <x:row r="309">
      <x:c r="A309" t="str">
        <x:v>EXT-MONDE-T031/props</x:v>
      </x:c>
      <x:c r="B309" t="str">
        <x:v>EXT-MONDE-T031</x:v>
      </x:c>
      <x:c r="C309" t="str">
        <x:v>Ponts</x:v>
      </x:c>
      <x:c r="D309" t="str">
        <x:v>Pont levant portuaire</x:v>
      </x:c>
      <x:c r="E309" t="str">
        <x:v>Objets, décors et dégagements</x:v>
      </x:c>
      <x:c r="F309" t="str">
        <x:v>P1</x:v>
      </x:c>
      <x:c r="G309" t="str">
        <x:v>En cours</x:v>
      </x:c>
      <x:c r="H309" t="str">
        <x:v>Production Codex</x:v>
      </x:c>
      <x:c r="I309" t="str">
        <x:v>Livrable explicite, tests positifs et négatifs ; aucune validation déduite de la seule présence de la fiche.</x:v>
      </x:c>
      <x:c r="J309" t="str">
        <x:v>https://github.com/darknigthmare/deadwall-last-enclosure/blob/1b3b9c5ba232734b1bda3453b4e20a0481bcdd74/docs/codex/suivi-monde2026/INSPECTION_PHYSIQUE_2026.md</x:v>
      </x:c>
    </x:row>
    <x:row r="310">
      <x:c r="A310" t="str">
        <x:v>EXT-MONDE-T031/loot</x:v>
      </x:c>
      <x:c r="B310" t="str">
        <x:v>EXT-MONDE-T031</x:v>
      </x:c>
      <x:c r="C310" t="str">
        <x:v>Ponts</x:v>
      </x:c>
      <x:c r="D310" t="str">
        <x:v>Pont levant portuaire</x:v>
      </x:c>
      <x:c r="E310" t="str">
        <x:v>Budget de butin persistant</x:v>
      </x:c>
      <x:c r="F310" t="str">
        <x:v>P1</x:v>
      </x:c>
      <x:c r="G310" t="str">
        <x:v>À faire</x:v>
      </x:c>
      <x:c r="H310" t="str">
        <x:v>Non affecté</x:v>
      </x:c>
      <x:c r="I310" t="str">
        <x:v>Livrable explicite, tests positifs et négatifs ; aucune validation déduite de la seule présence de la fiche.</x:v>
      </x:c>
      <x:c r="J310" t="str"/>
    </x:row>
    <x:row r="311">
      <x:c r="A311" t="str">
        <x:v>EXT-MONDE-T031/rencontres</x:v>
      </x:c>
      <x:c r="B311" t="str">
        <x:v>EXT-MONDE-T031</x:v>
      </x:c>
      <x:c r="C311" t="str">
        <x:v>Ponts</x:v>
      </x:c>
      <x:c r="D311" t="str">
        <x:v>Pont levant portuaire</x:v>
      </x:c>
      <x:c r="E311" t="str">
        <x:v>Ennemis et faune contextualisés</x:v>
      </x:c>
      <x:c r="F311" t="str">
        <x:v>P1</x:v>
      </x:c>
      <x:c r="G311" t="str">
        <x:v>À faire</x:v>
      </x:c>
      <x:c r="H311" t="str">
        <x:v>Non affecté</x:v>
      </x:c>
      <x:c r="I311" t="str">
        <x:v>Livrable explicite, tests positifs et négatifs ; aucune validation déduite de la seule présence de la fiche.</x:v>
      </x:c>
      <x:c r="J311" t="str"/>
    </x:row>
    <x:row r="312">
      <x:c r="A312" t="str">
        <x:v>EXT-MONDE-T031/services</x:v>
      </x:c>
      <x:c r="B312" t="str">
        <x:v>EXT-MONDE-T031</x:v>
      </x:c>
      <x:c r="C312" t="str">
        <x:v>Ponts</x:v>
      </x:c>
      <x:c r="D312" t="str">
        <x:v>Pont levant portuaire</x:v>
      </x:c>
      <x:c r="E312" t="str">
        <x:v>Énergie, eau et interactions</x:v>
      </x:c>
      <x:c r="F312" t="str">
        <x:v>P1</x:v>
      </x:c>
      <x:c r="G312" t="str">
        <x:v>À faire</x:v>
      </x:c>
      <x:c r="H312" t="str">
        <x:v>Non affecté</x:v>
      </x:c>
      <x:c r="I312" t="str">
        <x:v>Livrable explicite, tests positifs et négatifs ; aucune validation déduite de la seule présence de la fiche.</x:v>
      </x:c>
      <x:c r="J312" t="str"/>
    </x:row>
    <x:row r="313">
      <x:c r="A313" t="str">
        <x:v>EXT-MONDE-T031/art</x:v>
      </x:c>
      <x:c r="B313" t="str">
        <x:v>EXT-MONDE-T031</x:v>
      </x:c>
      <x:c r="C313" t="str">
        <x:v>Ponts</x:v>
      </x:c>
      <x:c r="D313" t="str">
        <x:v>Pont levant portuaire</x:v>
      </x:c>
      <x:c r="E313" t="str">
        <x:v>Sprites, proportions et animations</x:v>
      </x:c>
      <x:c r="F313" t="str">
        <x:v>P1</x:v>
      </x:c>
      <x:c r="G313" t="str">
        <x:v>À faire</x:v>
      </x:c>
      <x:c r="H313" t="str">
        <x:v>Non affecté</x:v>
      </x:c>
      <x:c r="I313" t="str">
        <x:v>Livrable explicite, tests positifs et négatifs ; aucune validation déduite de la seule présence de la fiche.</x:v>
      </x:c>
      <x:c r="J313" t="str"/>
    </x:row>
    <x:row r="314">
      <x:c r="A314" t="str">
        <x:v>EXT-MONDE-T031/sauvegarde</x:v>
      </x:c>
      <x:c r="B314" t="str">
        <x:v>EXT-MONDE-T031</x:v>
      </x:c>
      <x:c r="C314" t="str">
        <x:v>Ponts</x:v>
      </x:c>
      <x:c r="D314" t="str">
        <x:v>Pont levant portuaire</x:v>
      </x:c>
      <x:c r="E314" t="str">
        <x:v>Identités, migration et reprise</x:v>
      </x:c>
      <x:c r="F314" t="str">
        <x:v>P1</x:v>
      </x:c>
      <x:c r="G314" t="str">
        <x:v>En cours</x:v>
      </x:c>
      <x:c r="H314" t="str">
        <x:v>Production Codex</x:v>
      </x:c>
      <x:c r="I314" t="str">
        <x:v>Livrable explicite, tests positifs et négatifs ; aucune validation déduite de la seule présence de la fiche.</x:v>
      </x:c>
      <x:c r="J314" t="str">
        <x:v>https://github.com/darknigthmare/deadwall-last-enclosure/blob/1b3b9c5ba232734b1bda3453b4e20a0481bcdd74/docs/codex/suivi-monde2026/INSPECTION_PHYSIQUE_2026.md</x:v>
      </x:c>
    </x:row>
    <x:row r="315">
      <x:c r="A315" t="str">
        <x:v>EXT-MONDE-T031/qa</x:v>
      </x:c>
      <x:c r="B315" t="str">
        <x:v>EXT-MONDE-T031</x:v>
      </x:c>
      <x:c r="C315" t="str">
        <x:v>Ponts</x:v>
      </x:c>
      <x:c r="D315" t="str">
        <x:v>Pont levant portuaire</x:v>
      </x:c>
      <x:c r="E315" t="str">
        <x:v>Navigation et parcours jouables</x:v>
      </x:c>
      <x:c r="F315" t="str">
        <x:v>P1</x:v>
      </x:c>
      <x:c r="G315" t="str">
        <x:v>En cours</x:v>
      </x:c>
      <x:c r="H315" t="str">
        <x:v>Production Codex</x:v>
      </x:c>
      <x:c r="I315" t="str">
        <x:v>Livrable explicite, tests positifs et négatifs ; aucune validation déduite de la seule présence de la fiche.</x:v>
      </x:c>
      <x:c r="J315" t="str">
        <x:v>https://github.com/darknigthmare/deadwall-last-enclosure/blob/1b3b9c5ba232734b1bda3453b4e20a0481bcdd74/docs/codex/suivi-monde2026/INSPECTION_PHYSIQUE_2026.md</x:v>
      </x:c>
    </x:row>
    <x:row r="316">
      <x:c r="A316" t="str">
        <x:v>EXT-MONDE-T032/dimensions</x:v>
      </x:c>
      <x:c r="B316" t="str">
        <x:v>EXT-MONDE-T032</x:v>
      </x:c>
      <x:c r="C316" t="str">
        <x:v>Ponts</x:v>
      </x:c>
      <x:c r="D316" t="str">
        <x:v>Viaduc ferroviaire</x:v>
      </x:c>
      <x:c r="E316" t="str">
        <x:v>Dimensions et plans de référence</x:v>
      </x:c>
      <x:c r="F316" t="str">
        <x:v>P0</x:v>
      </x:c>
      <x:c r="G316" t="str">
        <x:v>En cours</x:v>
      </x:c>
      <x:c r="H316" t="str">
        <x:v>Production Codex</x:v>
      </x:c>
      <x:c r="I316" t="str">
        <x:v>Sources publiques identifiées ; unités en mètres ; emprise au sol distincte de la hauteur.</x:v>
      </x:c>
      <x:c r="J316" t="str">
        <x:v>https://github.com/darknigthmare/deadwall-last-enclosure/blob/1b3b9c5ba232734b1bda3453b4e20a0481bcdd74/docs/codex/suivi-monde2026/PONTS_ECHANGEURS_2026.md</x:v>
      </x:c>
    </x:row>
    <x:row r="317">
      <x:c r="A317" t="str">
        <x:v>EXT-MONDE-T032/architecture</x:v>
      </x:c>
      <x:c r="B317" t="str">
        <x:v>EXT-MONDE-T032</x:v>
      </x:c>
      <x:c r="C317" t="str">
        <x:v>Ponts</x:v>
      </x:c>
      <x:c r="D317" t="str">
        <x:v>Viaduc ferroviaire</x:v>
      </x:c>
      <x:c r="E317" t="str">
        <x:v>Pièces, étages, annexes</x:v>
      </x:c>
      <x:c r="F317" t="str">
        <x:v>P0</x:v>
      </x:c>
      <x:c r="G317" t="str">
        <x:v>En cours</x:v>
      </x:c>
      <x:c r="H317" t="str">
        <x:v>Production Codex</x:v>
      </x:c>
      <x:c r="I317" t="str">
        <x:v>Livrable explicite, tests positifs et négatifs ; aucune validation déduite de la seule présence de la fiche.</x:v>
      </x:c>
      <x:c r="J317" t="str">
        <x:v>https://github.com/darknigthmare/deadwall-last-enclosure/blob/1b3b9c5ba232734b1bda3453b4e20a0481bcdd74/docs/codex/suivi-monde2026/INSPECTION_PHYSIQUE_2026.md</x:v>
      </x:c>
    </x:row>
    <x:row r="318">
      <x:c r="A318" t="str">
        <x:v>EXT-MONDE-T032/seed</x:v>
      </x:c>
      <x:c r="B318" t="str">
        <x:v>EXT-MONDE-T032</x:v>
      </x:c>
      <x:c r="C318" t="str">
        <x:v>Ponts</x:v>
      </x:c>
      <x:c r="D318" t="str">
        <x:v>Viaduc ferroviaire</x:v>
      </x:c>
      <x:c r="E318" t="str">
        <x:v>Implantation et réseaux</x:v>
      </x:c>
      <x:c r="F318" t="str">
        <x:v>P0</x:v>
      </x:c>
      <x:c r="G318" t="str">
        <x:v>À faire</x:v>
      </x:c>
      <x:c r="H318" t="str">
        <x:v>Non affecté</x:v>
      </x:c>
      <x:c r="I318" t="str">
        <x:v>Gabarit libre sous tablier ; extrémités raccordées ; aucun nœud entre voies superposées.</x:v>
      </x:c>
      <x:c r="J318" t="str"/>
    </x:row>
    <x:row r="319">
      <x:c r="A319" t="str">
        <x:v>EXT-MONDE-T032/props</x:v>
      </x:c>
      <x:c r="B319" t="str">
        <x:v>EXT-MONDE-T032</x:v>
      </x:c>
      <x:c r="C319" t="str">
        <x:v>Ponts</x:v>
      </x:c>
      <x:c r="D319" t="str">
        <x:v>Viaduc ferroviaire</x:v>
      </x:c>
      <x:c r="E319" t="str">
        <x:v>Objets, décors et dégagements</x:v>
      </x:c>
      <x:c r="F319" t="str">
        <x:v>P1</x:v>
      </x:c>
      <x:c r="G319" t="str">
        <x:v>En cours</x:v>
      </x:c>
      <x:c r="H319" t="str">
        <x:v>Production Codex</x:v>
      </x:c>
      <x:c r="I319" t="str">
        <x:v>Livrable explicite, tests positifs et négatifs ; aucune validation déduite de la seule présence de la fiche.</x:v>
      </x:c>
      <x:c r="J319" t="str">
        <x:v>https://github.com/darknigthmare/deadwall-last-enclosure/blob/1b3b9c5ba232734b1bda3453b4e20a0481bcdd74/docs/codex/suivi-monde2026/INSPECTION_PHYSIQUE_2026.md</x:v>
      </x:c>
    </x:row>
    <x:row r="320">
      <x:c r="A320" t="str">
        <x:v>EXT-MONDE-T032/loot</x:v>
      </x:c>
      <x:c r="B320" t="str">
        <x:v>EXT-MONDE-T032</x:v>
      </x:c>
      <x:c r="C320" t="str">
        <x:v>Ponts</x:v>
      </x:c>
      <x:c r="D320" t="str">
        <x:v>Viaduc ferroviaire</x:v>
      </x:c>
      <x:c r="E320" t="str">
        <x:v>Budget de butin persistant</x:v>
      </x:c>
      <x:c r="F320" t="str">
        <x:v>P1</x:v>
      </x:c>
      <x:c r="G320" t="str">
        <x:v>À faire</x:v>
      </x:c>
      <x:c r="H320" t="str">
        <x:v>Non affecté</x:v>
      </x:c>
      <x:c r="I320" t="str">
        <x:v>Livrable explicite, tests positifs et négatifs ; aucune validation déduite de la seule présence de la fiche.</x:v>
      </x:c>
      <x:c r="J320" t="str"/>
    </x:row>
    <x:row r="321">
      <x:c r="A321" t="str">
        <x:v>EXT-MONDE-T032/rencontres</x:v>
      </x:c>
      <x:c r="B321" t="str">
        <x:v>EXT-MONDE-T032</x:v>
      </x:c>
      <x:c r="C321" t="str">
        <x:v>Ponts</x:v>
      </x:c>
      <x:c r="D321" t="str">
        <x:v>Viaduc ferroviaire</x:v>
      </x:c>
      <x:c r="E321" t="str">
        <x:v>Ennemis et faune contextualisés</x:v>
      </x:c>
      <x:c r="F321" t="str">
        <x:v>P1</x:v>
      </x:c>
      <x:c r="G321" t="str">
        <x:v>À faire</x:v>
      </x:c>
      <x:c r="H321" t="str">
        <x:v>Non affecté</x:v>
      </x:c>
      <x:c r="I321" t="str">
        <x:v>Livrable explicite, tests positifs et négatifs ; aucune validation déduite de la seule présence de la fiche.</x:v>
      </x:c>
      <x:c r="J321" t="str"/>
    </x:row>
    <x:row r="322">
      <x:c r="A322" t="str">
        <x:v>EXT-MONDE-T032/services</x:v>
      </x:c>
      <x:c r="B322" t="str">
        <x:v>EXT-MONDE-T032</x:v>
      </x:c>
      <x:c r="C322" t="str">
        <x:v>Ponts</x:v>
      </x:c>
      <x:c r="D322" t="str">
        <x:v>Viaduc ferroviaire</x:v>
      </x:c>
      <x:c r="E322" t="str">
        <x:v>Énergie, eau et interactions</x:v>
      </x:c>
      <x:c r="F322" t="str">
        <x:v>P1</x:v>
      </x:c>
      <x:c r="G322" t="str">
        <x:v>À faire</x:v>
      </x:c>
      <x:c r="H322" t="str">
        <x:v>Non affecté</x:v>
      </x:c>
      <x:c r="I322" t="str">
        <x:v>Livrable explicite, tests positifs et négatifs ; aucune validation déduite de la seule présence de la fiche.</x:v>
      </x:c>
      <x:c r="J322" t="str"/>
    </x:row>
    <x:row r="323">
      <x:c r="A323" t="str">
        <x:v>EXT-MONDE-T032/art</x:v>
      </x:c>
      <x:c r="B323" t="str">
        <x:v>EXT-MONDE-T032</x:v>
      </x:c>
      <x:c r="C323" t="str">
        <x:v>Ponts</x:v>
      </x:c>
      <x:c r="D323" t="str">
        <x:v>Viaduc ferroviaire</x:v>
      </x:c>
      <x:c r="E323" t="str">
        <x:v>Sprites, proportions et animations</x:v>
      </x:c>
      <x:c r="F323" t="str">
        <x:v>P1</x:v>
      </x:c>
      <x:c r="G323" t="str">
        <x:v>À faire</x:v>
      </x:c>
      <x:c r="H323" t="str">
        <x:v>Non affecté</x:v>
      </x:c>
      <x:c r="I323" t="str">
        <x:v>Livrable explicite, tests positifs et négatifs ; aucune validation déduite de la seule présence de la fiche.</x:v>
      </x:c>
      <x:c r="J323" t="str"/>
    </x:row>
    <x:row r="324">
      <x:c r="A324" t="str">
        <x:v>EXT-MONDE-T032/sauvegarde</x:v>
      </x:c>
      <x:c r="B324" t="str">
        <x:v>EXT-MONDE-T032</x:v>
      </x:c>
      <x:c r="C324" t="str">
        <x:v>Ponts</x:v>
      </x:c>
      <x:c r="D324" t="str">
        <x:v>Viaduc ferroviaire</x:v>
      </x:c>
      <x:c r="E324" t="str">
        <x:v>Identités, migration et reprise</x:v>
      </x:c>
      <x:c r="F324" t="str">
        <x:v>P1</x:v>
      </x:c>
      <x:c r="G324" t="str">
        <x:v>En cours</x:v>
      </x:c>
      <x:c r="H324" t="str">
        <x:v>Production Codex</x:v>
      </x:c>
      <x:c r="I324" t="str">
        <x:v>Livrable explicite, tests positifs et négatifs ; aucune validation déduite de la seule présence de la fiche.</x:v>
      </x:c>
      <x:c r="J324" t="str">
        <x:v>https://github.com/darknigthmare/deadwall-last-enclosure/blob/1b3b9c5ba232734b1bda3453b4e20a0481bcdd74/docs/codex/suivi-monde2026/INSPECTION_PHYSIQUE_2026.md</x:v>
      </x:c>
    </x:row>
    <x:row r="325">
      <x:c r="A325" t="str">
        <x:v>EXT-MONDE-T032/qa</x:v>
      </x:c>
      <x:c r="B325" t="str">
        <x:v>EXT-MONDE-T032</x:v>
      </x:c>
      <x:c r="C325" t="str">
        <x:v>Ponts</x:v>
      </x:c>
      <x:c r="D325" t="str">
        <x:v>Viaduc ferroviaire</x:v>
      </x:c>
      <x:c r="E325" t="str">
        <x:v>Navigation et parcours jouables</x:v>
      </x:c>
      <x:c r="F325" t="str">
        <x:v>P1</x:v>
      </x:c>
      <x:c r="G325" t="str">
        <x:v>En cours</x:v>
      </x:c>
      <x:c r="H325" t="str">
        <x:v>Production Codex</x:v>
      </x:c>
      <x:c r="I325" t="str">
        <x:v>Livrable explicite, tests positifs et négatifs ; aucune validation déduite de la seule présence de la fiche.</x:v>
      </x:c>
      <x:c r="J325" t="str">
        <x:v>https://github.com/darknigthmare/deadwall-last-enclosure/blob/1b3b9c5ba232734b1bda3453b4e20a0481bcdd74/docs/codex/suivi-monde2026/INSPECTION_PHYSIQUE_2026.md</x:v>
      </x:c>
    </x:row>
    <x:row r="326">
      <x:c r="A326" t="str">
        <x:v>EXT-MONDE-T033/dimensions</x:v>
      </x:c>
      <x:c r="B326" t="str">
        <x:v>EXT-MONDE-T033</x:v>
      </x:c>
      <x:c r="C326" t="str">
        <x:v>Échangeurs</x:v>
      </x:c>
      <x:c r="D326" t="str">
        <x:v>Échangeur en losange</x:v>
      </x:c>
      <x:c r="E326" t="str">
        <x:v>Dimensions et plans de référence</x:v>
      </x:c>
      <x:c r="F326" t="str">
        <x:v>P0</x:v>
      </x:c>
      <x:c r="G326" t="str">
        <x:v>En cours</x:v>
      </x:c>
      <x:c r="H326" t="str">
        <x:v>Production Codex</x:v>
      </x:c>
      <x:c r="I326" t="str">
        <x:v>Sources publiques identifiées ; unités en mètres ; emprise au sol distincte de la hauteur.</x:v>
      </x:c>
      <x:c r="J326" t="str">
        <x:v>https://github.com/darknigthmare/deadwall-last-enclosure/blob/1b3b9c5ba232734b1bda3453b4e20a0481bcdd74/docs/codex/suivi-monde2026/PONTS_ECHANGEURS_2026.md</x:v>
      </x:c>
    </x:row>
    <x:row r="327">
      <x:c r="A327" t="str">
        <x:v>EXT-MONDE-T033/architecture</x:v>
      </x:c>
      <x:c r="B327" t="str">
        <x:v>EXT-MONDE-T033</x:v>
      </x:c>
      <x:c r="C327" t="str">
        <x:v>Échangeurs</x:v>
      </x:c>
      <x:c r="D327" t="str">
        <x:v>Échangeur en losange</x:v>
      </x:c>
      <x:c r="E327" t="str">
        <x:v>Pièces, étages, annexes</x:v>
      </x:c>
      <x:c r="F327" t="str">
        <x:v>P0</x:v>
      </x:c>
      <x:c r="G327" t="str">
        <x:v>En cours</x:v>
      </x:c>
      <x:c r="H327" t="str">
        <x:v>Production Codex</x:v>
      </x:c>
      <x:c r="I327" t="str">
        <x:v>Livrable explicite, tests positifs et négatifs ; aucune validation déduite de la seule présence de la fiche.</x:v>
      </x:c>
      <x:c r="J327" t="str">
        <x:v>https://github.com/darknigthmare/deadwall-last-enclosure/blob/1b3b9c5ba232734b1bda3453b4e20a0481bcdd74/docs/codex/suivi-monde2026/INSPECTION_PHYSIQUE_2026.md</x:v>
      </x:c>
    </x:row>
    <x:row r="328">
      <x:c r="A328" t="str">
        <x:v>EXT-MONDE-T033/seed</x:v>
      </x:c>
      <x:c r="B328" t="str">
        <x:v>EXT-MONDE-T033</x:v>
      </x:c>
      <x:c r="C328" t="str">
        <x:v>Échangeurs</x:v>
      </x:c>
      <x:c r="D328" t="str">
        <x:v>Échangeur en losange</x:v>
      </x:c>
      <x:c r="E328" t="str">
        <x:v>Implantation et réseaux</x:v>
      </x:c>
      <x:c r="F328" t="str">
        <x:v>P0</x:v>
      </x:c>
      <x:c r="G328" t="str">
        <x:v>À faire</x:v>
      </x:c>
      <x:c r="H328" t="str">
        <x:v>Non affecté</x:v>
      </x:c>
      <x:c r="I328" t="str">
        <x:v>Classes de routes et raccords progressifs ; rayons, pentes et emprises à valider avant génération.</x:v>
      </x:c>
      <x:c r="J328" t="str"/>
    </x:row>
    <x:row r="329">
      <x:c r="A329" t="str">
        <x:v>EXT-MONDE-T033/props</x:v>
      </x:c>
      <x:c r="B329" t="str">
        <x:v>EXT-MONDE-T033</x:v>
      </x:c>
      <x:c r="C329" t="str">
        <x:v>Échangeurs</x:v>
      </x:c>
      <x:c r="D329" t="str">
        <x:v>Échangeur en losange</x:v>
      </x:c>
      <x:c r="E329" t="str">
        <x:v>Objets, décors et dégagements</x:v>
      </x:c>
      <x:c r="F329" t="str">
        <x:v>P1</x:v>
      </x:c>
      <x:c r="G329" t="str">
        <x:v>En cours</x:v>
      </x:c>
      <x:c r="H329" t="str">
        <x:v>Production Codex</x:v>
      </x:c>
      <x:c r="I329" t="str">
        <x:v>Livrable explicite, tests positifs et négatifs ; aucune validation déduite de la seule présence de la fiche.</x:v>
      </x:c>
      <x:c r="J329" t="str">
        <x:v>https://github.com/darknigthmare/deadwall-last-enclosure/blob/1b3b9c5ba232734b1bda3453b4e20a0481bcdd74/docs/codex/suivi-monde2026/INSPECTION_PHYSIQUE_2026.md</x:v>
      </x:c>
    </x:row>
    <x:row r="330">
      <x:c r="A330" t="str">
        <x:v>EXT-MONDE-T033/loot</x:v>
      </x:c>
      <x:c r="B330" t="str">
        <x:v>EXT-MONDE-T033</x:v>
      </x:c>
      <x:c r="C330" t="str">
        <x:v>Échangeurs</x:v>
      </x:c>
      <x:c r="D330" t="str">
        <x:v>Échangeur en losange</x:v>
      </x:c>
      <x:c r="E330" t="str">
        <x:v>Budget de butin persistant</x:v>
      </x:c>
      <x:c r="F330" t="str">
        <x:v>P1</x:v>
      </x:c>
      <x:c r="G330" t="str">
        <x:v>À faire</x:v>
      </x:c>
      <x:c r="H330" t="str">
        <x:v>Non affecté</x:v>
      </x:c>
      <x:c r="I330" t="str">
        <x:v>Livrable explicite, tests positifs et négatifs ; aucune validation déduite de la seule présence de la fiche.</x:v>
      </x:c>
      <x:c r="J330" t="str"/>
    </x:row>
    <x:row r="331">
      <x:c r="A331" t="str">
        <x:v>EXT-MONDE-T033/rencontres</x:v>
      </x:c>
      <x:c r="B331" t="str">
        <x:v>EXT-MONDE-T033</x:v>
      </x:c>
      <x:c r="C331" t="str">
        <x:v>Échangeurs</x:v>
      </x:c>
      <x:c r="D331" t="str">
        <x:v>Échangeur en losange</x:v>
      </x:c>
      <x:c r="E331" t="str">
        <x:v>Ennemis et faune contextualisés</x:v>
      </x:c>
      <x:c r="F331" t="str">
        <x:v>P1</x:v>
      </x:c>
      <x:c r="G331" t="str">
        <x:v>À faire</x:v>
      </x:c>
      <x:c r="H331" t="str">
        <x:v>Non affecté</x:v>
      </x:c>
      <x:c r="I331" t="str">
        <x:v>Livrable explicite, tests positifs et négatifs ; aucune validation déduite de la seule présence de la fiche.</x:v>
      </x:c>
      <x:c r="J331" t="str"/>
    </x:row>
    <x:row r="332">
      <x:c r="A332" t="str">
        <x:v>EXT-MONDE-T033/services</x:v>
      </x:c>
      <x:c r="B332" t="str">
        <x:v>EXT-MONDE-T033</x:v>
      </x:c>
      <x:c r="C332" t="str">
        <x:v>Échangeurs</x:v>
      </x:c>
      <x:c r="D332" t="str">
        <x:v>Échangeur en losange</x:v>
      </x:c>
      <x:c r="E332" t="str">
        <x:v>Énergie, eau et interactions</x:v>
      </x:c>
      <x:c r="F332" t="str">
        <x:v>P1</x:v>
      </x:c>
      <x:c r="G332" t="str">
        <x:v>À faire</x:v>
      </x:c>
      <x:c r="H332" t="str">
        <x:v>Non affecté</x:v>
      </x:c>
      <x:c r="I332" t="str">
        <x:v>Livrable explicite, tests positifs et négatifs ; aucune validation déduite de la seule présence de la fiche.</x:v>
      </x:c>
      <x:c r="J332" t="str"/>
    </x:row>
    <x:row r="333">
      <x:c r="A333" t="str">
        <x:v>EXT-MONDE-T033/art</x:v>
      </x:c>
      <x:c r="B333" t="str">
        <x:v>EXT-MONDE-T033</x:v>
      </x:c>
      <x:c r="C333" t="str">
        <x:v>Échangeurs</x:v>
      </x:c>
      <x:c r="D333" t="str">
        <x:v>Échangeur en losange</x:v>
      </x:c>
      <x:c r="E333" t="str">
        <x:v>Sprites, proportions et animations</x:v>
      </x:c>
      <x:c r="F333" t="str">
        <x:v>P1</x:v>
      </x:c>
      <x:c r="G333" t="str">
        <x:v>À faire</x:v>
      </x:c>
      <x:c r="H333" t="str">
        <x:v>Non affecté</x:v>
      </x:c>
      <x:c r="I333" t="str">
        <x:v>Livrable explicite, tests positifs et négatifs ; aucune validation déduite de la seule présence de la fiche.</x:v>
      </x:c>
      <x:c r="J333" t="str"/>
    </x:row>
    <x:row r="334">
      <x:c r="A334" t="str">
        <x:v>EXT-MONDE-T033/sauvegarde</x:v>
      </x:c>
      <x:c r="B334" t="str">
        <x:v>EXT-MONDE-T033</x:v>
      </x:c>
      <x:c r="C334" t="str">
        <x:v>Échangeurs</x:v>
      </x:c>
      <x:c r="D334" t="str">
        <x:v>Échangeur en losange</x:v>
      </x:c>
      <x:c r="E334" t="str">
        <x:v>Identités, migration et reprise</x:v>
      </x:c>
      <x:c r="F334" t="str">
        <x:v>P1</x:v>
      </x:c>
      <x:c r="G334" t="str">
        <x:v>En cours</x:v>
      </x:c>
      <x:c r="H334" t="str">
        <x:v>Production Codex</x:v>
      </x:c>
      <x:c r="I334" t="str">
        <x:v>Livrable explicite, tests positifs et négatifs ; aucune validation déduite de la seule présence de la fiche.</x:v>
      </x:c>
      <x:c r="J334" t="str">
        <x:v>https://github.com/darknigthmare/deadwall-last-enclosure/blob/1b3b9c5ba232734b1bda3453b4e20a0481bcdd74/docs/codex/suivi-monde2026/INSPECTION_PHYSIQUE_2026.md</x:v>
      </x:c>
    </x:row>
    <x:row r="335">
      <x:c r="A335" t="str">
        <x:v>EXT-MONDE-T033/qa</x:v>
      </x:c>
      <x:c r="B335" t="str">
        <x:v>EXT-MONDE-T033</x:v>
      </x:c>
      <x:c r="C335" t="str">
        <x:v>Échangeurs</x:v>
      </x:c>
      <x:c r="D335" t="str">
        <x:v>Échangeur en losange</x:v>
      </x:c>
      <x:c r="E335" t="str">
        <x:v>Navigation et parcours jouables</x:v>
      </x:c>
      <x:c r="F335" t="str">
        <x:v>P1</x:v>
      </x:c>
      <x:c r="G335" t="str">
        <x:v>En cours</x:v>
      </x:c>
      <x:c r="H335" t="str">
        <x:v>Production Codex</x:v>
      </x:c>
      <x:c r="I335" t="str">
        <x:v>Livrable explicite, tests positifs et négatifs ; aucune validation déduite de la seule présence de la fiche.</x:v>
      </x:c>
      <x:c r="J335" t="str">
        <x:v>https://github.com/darknigthmare/deadwall-last-enclosure/blob/1b3b9c5ba232734b1bda3453b4e20a0481bcdd74/docs/codex/suivi-monde2026/INSPECTION_PHYSIQUE_2026.md</x:v>
      </x:c>
    </x:row>
    <x:row r="336">
      <x:c r="A336" t="str">
        <x:v>EXT-MONDE-T034/dimensions</x:v>
      </x:c>
      <x:c r="B336" t="str">
        <x:v>EXT-MONDE-T034</x:v>
      </x:c>
      <x:c r="C336" t="str">
        <x:v>Échangeurs</x:v>
      </x:c>
      <x:c r="D336" t="str">
        <x:v>Échangeur en trompette</x:v>
      </x:c>
      <x:c r="E336" t="str">
        <x:v>Dimensions et plans de référence</x:v>
      </x:c>
      <x:c r="F336" t="str">
        <x:v>P0</x:v>
      </x:c>
      <x:c r="G336" t="str">
        <x:v>En cours</x:v>
      </x:c>
      <x:c r="H336" t="str">
        <x:v>Production Codex</x:v>
      </x:c>
      <x:c r="I336" t="str">
        <x:v>Sources publiques identifiées ; unités en mètres ; emprise au sol distincte de la hauteur.</x:v>
      </x:c>
      <x:c r="J336" t="str">
        <x:v>https://github.com/darknigthmare/deadwall-last-enclosure/blob/1b3b9c5ba232734b1bda3453b4e20a0481bcdd74/docs/codex/suivi-monde2026/PONTS_ECHANGEURS_2026.md</x:v>
      </x:c>
    </x:row>
    <x:row r="337">
      <x:c r="A337" t="str">
        <x:v>EXT-MONDE-T034/architecture</x:v>
      </x:c>
      <x:c r="B337" t="str">
        <x:v>EXT-MONDE-T034</x:v>
      </x:c>
      <x:c r="C337" t="str">
        <x:v>Échangeurs</x:v>
      </x:c>
      <x:c r="D337" t="str">
        <x:v>Échangeur en trompette</x:v>
      </x:c>
      <x:c r="E337" t="str">
        <x:v>Pièces, étages, annexes</x:v>
      </x:c>
      <x:c r="F337" t="str">
        <x:v>P0</x:v>
      </x:c>
      <x:c r="G337" t="str">
        <x:v>En cours</x:v>
      </x:c>
      <x:c r="H337" t="str">
        <x:v>Production Codex</x:v>
      </x:c>
      <x:c r="I337" t="str">
        <x:v>Livrable explicite, tests positifs et négatifs ; aucune validation déduite de la seule présence de la fiche.</x:v>
      </x:c>
      <x:c r="J337" t="str">
        <x:v>https://github.com/darknigthmare/deadwall-last-enclosure/blob/1b3b9c5ba232734b1bda3453b4e20a0481bcdd74/docs/codex/suivi-monde2026/INSPECTION_PHYSIQUE_2026.md</x:v>
      </x:c>
    </x:row>
    <x:row r="338">
      <x:c r="A338" t="str">
        <x:v>EXT-MONDE-T034/seed</x:v>
      </x:c>
      <x:c r="B338" t="str">
        <x:v>EXT-MONDE-T034</x:v>
      </x:c>
      <x:c r="C338" t="str">
        <x:v>Échangeurs</x:v>
      </x:c>
      <x:c r="D338" t="str">
        <x:v>Échangeur en trompette</x:v>
      </x:c>
      <x:c r="E338" t="str">
        <x:v>Implantation et réseaux</x:v>
      </x:c>
      <x:c r="F338" t="str">
        <x:v>P0</x:v>
      </x:c>
      <x:c r="G338" t="str">
        <x:v>À faire</x:v>
      </x:c>
      <x:c r="H338" t="str">
        <x:v>Non affecté</x:v>
      </x:c>
      <x:c r="I338" t="str">
        <x:v>Classes de routes et raccords progressifs ; rayons, pentes et emprises à valider avant génération.</x:v>
      </x:c>
      <x:c r="J338" t="str"/>
    </x:row>
    <x:row r="339">
      <x:c r="A339" t="str">
        <x:v>EXT-MONDE-T034/props</x:v>
      </x:c>
      <x:c r="B339" t="str">
        <x:v>EXT-MONDE-T034</x:v>
      </x:c>
      <x:c r="C339" t="str">
        <x:v>Échangeurs</x:v>
      </x:c>
      <x:c r="D339" t="str">
        <x:v>Échangeur en trompette</x:v>
      </x:c>
      <x:c r="E339" t="str">
        <x:v>Objets, décors et dégagements</x:v>
      </x:c>
      <x:c r="F339" t="str">
        <x:v>P1</x:v>
      </x:c>
      <x:c r="G339" t="str">
        <x:v>En cours</x:v>
      </x:c>
      <x:c r="H339" t="str">
        <x:v>Production Codex</x:v>
      </x:c>
      <x:c r="I339" t="str">
        <x:v>Livrable explicite, tests positifs et négatifs ; aucune validation déduite de la seule présence de la fiche.</x:v>
      </x:c>
      <x:c r="J339" t="str">
        <x:v>https://github.com/darknigthmare/deadwall-last-enclosure/blob/1b3b9c5ba232734b1bda3453b4e20a0481bcdd74/docs/codex/suivi-monde2026/INSPECTION_PHYSIQUE_2026.md</x:v>
      </x:c>
    </x:row>
    <x:row r="340">
      <x:c r="A340" t="str">
        <x:v>EXT-MONDE-T034/loot</x:v>
      </x:c>
      <x:c r="B340" t="str">
        <x:v>EXT-MONDE-T034</x:v>
      </x:c>
      <x:c r="C340" t="str">
        <x:v>Échangeurs</x:v>
      </x:c>
      <x:c r="D340" t="str">
        <x:v>Échangeur en trompette</x:v>
      </x:c>
      <x:c r="E340" t="str">
        <x:v>Budget de butin persistant</x:v>
      </x:c>
      <x:c r="F340" t="str">
        <x:v>P1</x:v>
      </x:c>
      <x:c r="G340" t="str">
        <x:v>À faire</x:v>
      </x:c>
      <x:c r="H340" t="str">
        <x:v>Non affecté</x:v>
      </x:c>
      <x:c r="I340" t="str">
        <x:v>Livrable explicite, tests positifs et négatifs ; aucune validation déduite de la seule présence de la fiche.</x:v>
      </x:c>
      <x:c r="J340" t="str"/>
    </x:row>
    <x:row r="341">
      <x:c r="A341" t="str">
        <x:v>EXT-MONDE-T034/rencontres</x:v>
      </x:c>
      <x:c r="B341" t="str">
        <x:v>EXT-MONDE-T034</x:v>
      </x:c>
      <x:c r="C341" t="str">
        <x:v>Échangeurs</x:v>
      </x:c>
      <x:c r="D341" t="str">
        <x:v>Échangeur en trompette</x:v>
      </x:c>
      <x:c r="E341" t="str">
        <x:v>Ennemis et faune contextualisés</x:v>
      </x:c>
      <x:c r="F341" t="str">
        <x:v>P1</x:v>
      </x:c>
      <x:c r="G341" t="str">
        <x:v>À faire</x:v>
      </x:c>
      <x:c r="H341" t="str">
        <x:v>Non affecté</x:v>
      </x:c>
      <x:c r="I341" t="str">
        <x:v>Livrable explicite, tests positifs et négatifs ; aucune validation déduite de la seule présence de la fiche.</x:v>
      </x:c>
      <x:c r="J341" t="str"/>
    </x:row>
    <x:row r="342">
      <x:c r="A342" t="str">
        <x:v>EXT-MONDE-T034/services</x:v>
      </x:c>
      <x:c r="B342" t="str">
        <x:v>EXT-MONDE-T034</x:v>
      </x:c>
      <x:c r="C342" t="str">
        <x:v>Échangeurs</x:v>
      </x:c>
      <x:c r="D342" t="str">
        <x:v>Échangeur en trompette</x:v>
      </x:c>
      <x:c r="E342" t="str">
        <x:v>Énergie, eau et interactions</x:v>
      </x:c>
      <x:c r="F342" t="str">
        <x:v>P1</x:v>
      </x:c>
      <x:c r="G342" t="str">
        <x:v>À faire</x:v>
      </x:c>
      <x:c r="H342" t="str">
        <x:v>Non affecté</x:v>
      </x:c>
      <x:c r="I342" t="str">
        <x:v>Livrable explicite, tests positifs et négatifs ; aucune validation déduite de la seule présence de la fiche.</x:v>
      </x:c>
      <x:c r="J342" t="str"/>
    </x:row>
    <x:row r="343">
      <x:c r="A343" t="str">
        <x:v>EXT-MONDE-T034/art</x:v>
      </x:c>
      <x:c r="B343" t="str">
        <x:v>EXT-MONDE-T034</x:v>
      </x:c>
      <x:c r="C343" t="str">
        <x:v>Échangeurs</x:v>
      </x:c>
      <x:c r="D343" t="str">
        <x:v>Échangeur en trompette</x:v>
      </x:c>
      <x:c r="E343" t="str">
        <x:v>Sprites, proportions et animations</x:v>
      </x:c>
      <x:c r="F343" t="str">
        <x:v>P1</x:v>
      </x:c>
      <x:c r="G343" t="str">
        <x:v>À faire</x:v>
      </x:c>
      <x:c r="H343" t="str">
        <x:v>Non affecté</x:v>
      </x:c>
      <x:c r="I343" t="str">
        <x:v>Livrable explicite, tests positifs et négatifs ; aucune validation déduite de la seule présence de la fiche.</x:v>
      </x:c>
      <x:c r="J343" t="str"/>
    </x:row>
    <x:row r="344">
      <x:c r="A344" t="str">
        <x:v>EXT-MONDE-T034/sauvegarde</x:v>
      </x:c>
      <x:c r="B344" t="str">
        <x:v>EXT-MONDE-T034</x:v>
      </x:c>
      <x:c r="C344" t="str">
        <x:v>Échangeurs</x:v>
      </x:c>
      <x:c r="D344" t="str">
        <x:v>Échangeur en trompette</x:v>
      </x:c>
      <x:c r="E344" t="str">
        <x:v>Identités, migration et reprise</x:v>
      </x:c>
      <x:c r="F344" t="str">
        <x:v>P1</x:v>
      </x:c>
      <x:c r="G344" t="str">
        <x:v>En cours</x:v>
      </x:c>
      <x:c r="H344" t="str">
        <x:v>Production Codex</x:v>
      </x:c>
      <x:c r="I344" t="str">
        <x:v>Livrable explicite, tests positifs et négatifs ; aucune validation déduite de la seule présence de la fiche.</x:v>
      </x:c>
      <x:c r="J344" t="str">
        <x:v>https://github.com/darknigthmare/deadwall-last-enclosure/blob/1b3b9c5ba232734b1bda3453b4e20a0481bcdd74/docs/codex/suivi-monde2026/INSPECTION_PHYSIQUE_2026.md</x:v>
      </x:c>
    </x:row>
    <x:row r="345">
      <x:c r="A345" t="str">
        <x:v>EXT-MONDE-T034/qa</x:v>
      </x:c>
      <x:c r="B345" t="str">
        <x:v>EXT-MONDE-T034</x:v>
      </x:c>
      <x:c r="C345" t="str">
        <x:v>Échangeurs</x:v>
      </x:c>
      <x:c r="D345" t="str">
        <x:v>Échangeur en trompette</x:v>
      </x:c>
      <x:c r="E345" t="str">
        <x:v>Navigation et parcours jouables</x:v>
      </x:c>
      <x:c r="F345" t="str">
        <x:v>P1</x:v>
      </x:c>
      <x:c r="G345" t="str">
        <x:v>En cours</x:v>
      </x:c>
      <x:c r="H345" t="str">
        <x:v>Production Codex</x:v>
      </x:c>
      <x:c r="I345" t="str">
        <x:v>Livrable explicite, tests positifs et négatifs ; aucune validation déduite de la seule présence de la fiche.</x:v>
      </x:c>
      <x:c r="J345" t="str">
        <x:v>https://github.com/darknigthmare/deadwall-last-enclosure/blob/1b3b9c5ba232734b1bda3453b4e20a0481bcdd74/docs/codex/suivi-monde2026/INSPECTION_PHYSIQUE_2026.md</x:v>
      </x:c>
    </x:row>
    <x:row r="346">
      <x:c r="A346" t="str">
        <x:v>EXT-MONDE-T035/dimensions</x:v>
      </x:c>
      <x:c r="B346" t="str">
        <x:v>EXT-MONDE-T035</x:v>
      </x:c>
      <x:c r="C346" t="str">
        <x:v>Échangeurs</x:v>
      </x:c>
      <x:c r="D346" t="str">
        <x:v>Trèfle autoroutier</x:v>
      </x:c>
      <x:c r="E346" t="str">
        <x:v>Dimensions et plans de référence</x:v>
      </x:c>
      <x:c r="F346" t="str">
        <x:v>P0</x:v>
      </x:c>
      <x:c r="G346" t="str">
        <x:v>En cours</x:v>
      </x:c>
      <x:c r="H346" t="str">
        <x:v>Production Codex</x:v>
      </x:c>
      <x:c r="I346" t="str">
        <x:v>Sources publiques identifiées ; unités en mètres ; emprise au sol distincte de la hauteur.</x:v>
      </x:c>
      <x:c r="J346" t="str">
        <x:v>https://github.com/darknigthmare/deadwall-last-enclosure/blob/1b3b9c5ba232734b1bda3453b4e20a0481bcdd74/docs/codex/suivi-monde2026/PONTS_ECHANGEURS_2026.md</x:v>
      </x:c>
    </x:row>
    <x:row r="347">
      <x:c r="A347" t="str">
        <x:v>EXT-MONDE-T035/architecture</x:v>
      </x:c>
      <x:c r="B347" t="str">
        <x:v>EXT-MONDE-T035</x:v>
      </x:c>
      <x:c r="C347" t="str">
        <x:v>Échangeurs</x:v>
      </x:c>
      <x:c r="D347" t="str">
        <x:v>Trèfle autoroutier</x:v>
      </x:c>
      <x:c r="E347" t="str">
        <x:v>Pièces, étages, annexes</x:v>
      </x:c>
      <x:c r="F347" t="str">
        <x:v>P0</x:v>
      </x:c>
      <x:c r="G347" t="str">
        <x:v>En cours</x:v>
      </x:c>
      <x:c r="H347" t="str">
        <x:v>Production Codex</x:v>
      </x:c>
      <x:c r="I347" t="str">
        <x:v>Livrable explicite, tests positifs et négatifs ; aucune validation déduite de la seule présence de la fiche.</x:v>
      </x:c>
      <x:c r="J347" t="str">
        <x:v>https://github.com/darknigthmare/deadwall-last-enclosure/blob/1b3b9c5ba232734b1bda3453b4e20a0481bcdd74/docs/codex/suivi-monde2026/INSPECTION_PHYSIQUE_2026.md</x:v>
      </x:c>
    </x:row>
    <x:row r="348">
      <x:c r="A348" t="str">
        <x:v>EXT-MONDE-T035/seed</x:v>
      </x:c>
      <x:c r="B348" t="str">
        <x:v>EXT-MONDE-T035</x:v>
      </x:c>
      <x:c r="C348" t="str">
        <x:v>Échangeurs</x:v>
      </x:c>
      <x:c r="D348" t="str">
        <x:v>Trèfle autoroutier</x:v>
      </x:c>
      <x:c r="E348" t="str">
        <x:v>Implantation et réseaux</x:v>
      </x:c>
      <x:c r="F348" t="str">
        <x:v>P0</x:v>
      </x:c>
      <x:c r="G348" t="str">
        <x:v>À faire</x:v>
      </x:c>
      <x:c r="H348" t="str">
        <x:v>Non affecté</x:v>
      </x:c>
      <x:c r="I348" t="str">
        <x:v>Classes de routes et raccords progressifs ; rayons, pentes et emprises à valider avant génération.</x:v>
      </x:c>
      <x:c r="J348" t="str"/>
    </x:row>
    <x:row r="349">
      <x:c r="A349" t="str">
        <x:v>EXT-MONDE-T035/props</x:v>
      </x:c>
      <x:c r="B349" t="str">
        <x:v>EXT-MONDE-T035</x:v>
      </x:c>
      <x:c r="C349" t="str">
        <x:v>Échangeurs</x:v>
      </x:c>
      <x:c r="D349" t="str">
        <x:v>Trèfle autoroutier</x:v>
      </x:c>
      <x:c r="E349" t="str">
        <x:v>Objets, décors et dégagements</x:v>
      </x:c>
      <x:c r="F349" t="str">
        <x:v>P1</x:v>
      </x:c>
      <x:c r="G349" t="str">
        <x:v>En cours</x:v>
      </x:c>
      <x:c r="H349" t="str">
        <x:v>Production Codex</x:v>
      </x:c>
      <x:c r="I349" t="str">
        <x:v>Livrable explicite, tests positifs et négatifs ; aucune validation déduite de la seule présence de la fiche.</x:v>
      </x:c>
      <x:c r="J349" t="str">
        <x:v>https://github.com/darknigthmare/deadwall-last-enclosure/blob/1b3b9c5ba232734b1bda3453b4e20a0481bcdd74/docs/codex/suivi-monde2026/INSPECTION_PHYSIQUE_2026.md</x:v>
      </x:c>
    </x:row>
    <x:row r="350">
      <x:c r="A350" t="str">
        <x:v>EXT-MONDE-T035/loot</x:v>
      </x:c>
      <x:c r="B350" t="str">
        <x:v>EXT-MONDE-T035</x:v>
      </x:c>
      <x:c r="C350" t="str">
        <x:v>Échangeurs</x:v>
      </x:c>
      <x:c r="D350" t="str">
        <x:v>Trèfle autoroutier</x:v>
      </x:c>
      <x:c r="E350" t="str">
        <x:v>Budget de butin persistant</x:v>
      </x:c>
      <x:c r="F350" t="str">
        <x:v>P1</x:v>
      </x:c>
      <x:c r="G350" t="str">
        <x:v>À faire</x:v>
      </x:c>
      <x:c r="H350" t="str">
        <x:v>Non affecté</x:v>
      </x:c>
      <x:c r="I350" t="str">
        <x:v>Livrable explicite, tests positifs et négatifs ; aucune validation déduite de la seule présence de la fiche.</x:v>
      </x:c>
      <x:c r="J350" t="str"/>
    </x:row>
    <x:row r="351">
      <x:c r="A351" t="str">
        <x:v>EXT-MONDE-T035/rencontres</x:v>
      </x:c>
      <x:c r="B351" t="str">
        <x:v>EXT-MONDE-T035</x:v>
      </x:c>
      <x:c r="C351" t="str">
        <x:v>Échangeurs</x:v>
      </x:c>
      <x:c r="D351" t="str">
        <x:v>Trèfle autoroutier</x:v>
      </x:c>
      <x:c r="E351" t="str">
        <x:v>Ennemis et faune contextualisés</x:v>
      </x:c>
      <x:c r="F351" t="str">
        <x:v>P1</x:v>
      </x:c>
      <x:c r="G351" t="str">
        <x:v>À faire</x:v>
      </x:c>
      <x:c r="H351" t="str">
        <x:v>Non affecté</x:v>
      </x:c>
      <x:c r="I351" t="str">
        <x:v>Livrable explicite, tests positifs et négatifs ; aucune validation déduite de la seule présence de la fiche.</x:v>
      </x:c>
      <x:c r="J351" t="str"/>
    </x:row>
    <x:row r="352">
      <x:c r="A352" t="str">
        <x:v>EXT-MONDE-T035/services</x:v>
      </x:c>
      <x:c r="B352" t="str">
        <x:v>EXT-MONDE-T035</x:v>
      </x:c>
      <x:c r="C352" t="str">
        <x:v>Échangeurs</x:v>
      </x:c>
      <x:c r="D352" t="str">
        <x:v>Trèfle autoroutier</x:v>
      </x:c>
      <x:c r="E352" t="str">
        <x:v>Énergie, eau et interactions</x:v>
      </x:c>
      <x:c r="F352" t="str">
        <x:v>P1</x:v>
      </x:c>
      <x:c r="G352" t="str">
        <x:v>À faire</x:v>
      </x:c>
      <x:c r="H352" t="str">
        <x:v>Non affecté</x:v>
      </x:c>
      <x:c r="I352" t="str">
        <x:v>Livrable explicite, tests positifs et négatifs ; aucune validation déduite de la seule présence de la fiche.</x:v>
      </x:c>
      <x:c r="J352" t="str"/>
    </x:row>
    <x:row r="353">
      <x:c r="A353" t="str">
        <x:v>EXT-MONDE-T035/art</x:v>
      </x:c>
      <x:c r="B353" t="str">
        <x:v>EXT-MONDE-T035</x:v>
      </x:c>
      <x:c r="C353" t="str">
        <x:v>Échangeurs</x:v>
      </x:c>
      <x:c r="D353" t="str">
        <x:v>Trèfle autoroutier</x:v>
      </x:c>
      <x:c r="E353" t="str">
        <x:v>Sprites, proportions et animations</x:v>
      </x:c>
      <x:c r="F353" t="str">
        <x:v>P1</x:v>
      </x:c>
      <x:c r="G353" t="str">
        <x:v>À faire</x:v>
      </x:c>
      <x:c r="H353" t="str">
        <x:v>Non affecté</x:v>
      </x:c>
      <x:c r="I353" t="str">
        <x:v>Livrable explicite, tests positifs et négatifs ; aucune validation déduite de la seule présence de la fiche.</x:v>
      </x:c>
      <x:c r="J353" t="str"/>
    </x:row>
    <x:row r="354">
      <x:c r="A354" t="str">
        <x:v>EXT-MONDE-T035/sauvegarde</x:v>
      </x:c>
      <x:c r="B354" t="str">
        <x:v>EXT-MONDE-T035</x:v>
      </x:c>
      <x:c r="C354" t="str">
        <x:v>Échangeurs</x:v>
      </x:c>
      <x:c r="D354" t="str">
        <x:v>Trèfle autoroutier</x:v>
      </x:c>
      <x:c r="E354" t="str">
        <x:v>Identités, migration et reprise</x:v>
      </x:c>
      <x:c r="F354" t="str">
        <x:v>P1</x:v>
      </x:c>
      <x:c r="G354" t="str">
        <x:v>En cours</x:v>
      </x:c>
      <x:c r="H354" t="str">
        <x:v>Production Codex</x:v>
      </x:c>
      <x:c r="I354" t="str">
        <x:v>Livrable explicite, tests positifs et négatifs ; aucune validation déduite de la seule présence de la fiche.</x:v>
      </x:c>
      <x:c r="J354" t="str">
        <x:v>https://github.com/darknigthmare/deadwall-last-enclosure/blob/1b3b9c5ba232734b1bda3453b4e20a0481bcdd74/docs/codex/suivi-monde2026/INSPECTION_PHYSIQUE_2026.md</x:v>
      </x:c>
    </x:row>
    <x:row r="355">
      <x:c r="A355" t="str">
        <x:v>EXT-MONDE-T035/qa</x:v>
      </x:c>
      <x:c r="B355" t="str">
        <x:v>EXT-MONDE-T035</x:v>
      </x:c>
      <x:c r="C355" t="str">
        <x:v>Échangeurs</x:v>
      </x:c>
      <x:c r="D355" t="str">
        <x:v>Trèfle autoroutier</x:v>
      </x:c>
      <x:c r="E355" t="str">
        <x:v>Navigation et parcours jouables</x:v>
      </x:c>
      <x:c r="F355" t="str">
        <x:v>P1</x:v>
      </x:c>
      <x:c r="G355" t="str">
        <x:v>En cours</x:v>
      </x:c>
      <x:c r="H355" t="str">
        <x:v>Production Codex</x:v>
      </x:c>
      <x:c r="I355" t="str">
        <x:v>Livrable explicite, tests positifs et négatifs ; aucune validation déduite de la seule présence de la fiche.</x:v>
      </x:c>
      <x:c r="J355" t="str">
        <x:v>https://github.com/darknigthmare/deadwall-last-enclosure/blob/1b3b9c5ba232734b1bda3453b4e20a0481bcdd74/docs/codex/suivi-monde2026/INSPECTION_PHYSIQUE_2026.md</x:v>
      </x:c>
    </x:row>
    <x:row r="356">
      <x:c r="A356" t="str">
        <x:v>EXT-MONDE-T036/dimensions</x:v>
      </x:c>
      <x:c r="B356" t="str">
        <x:v>EXT-MONDE-T036</x:v>
      </x:c>
      <x:c r="C356" t="str">
        <x:v>Échangeurs</x:v>
      </x:c>
      <x:c r="D356" t="str">
        <x:v>Échangeur directionnel</x:v>
      </x:c>
      <x:c r="E356" t="str">
        <x:v>Dimensions et plans de référence</x:v>
      </x:c>
      <x:c r="F356" t="str">
        <x:v>P0</x:v>
      </x:c>
      <x:c r="G356" t="str">
        <x:v>En cours</x:v>
      </x:c>
      <x:c r="H356" t="str">
        <x:v>Production Codex</x:v>
      </x:c>
      <x:c r="I356" t="str">
        <x:v>Sources publiques identifiées ; unités en mètres ; emprise au sol distincte de la hauteur.</x:v>
      </x:c>
      <x:c r="J356" t="str">
        <x:v>https://github.com/darknigthmare/deadwall-last-enclosure/blob/1b3b9c5ba232734b1bda3453b4e20a0481bcdd74/docs/codex/suivi-monde2026/PONTS_ECHANGEURS_2026.md</x:v>
      </x:c>
    </x:row>
    <x:row r="357">
      <x:c r="A357" t="str">
        <x:v>EXT-MONDE-T036/architecture</x:v>
      </x:c>
      <x:c r="B357" t="str">
        <x:v>EXT-MONDE-T036</x:v>
      </x:c>
      <x:c r="C357" t="str">
        <x:v>Échangeurs</x:v>
      </x:c>
      <x:c r="D357" t="str">
        <x:v>Échangeur directionnel</x:v>
      </x:c>
      <x:c r="E357" t="str">
        <x:v>Pièces, étages, annexes</x:v>
      </x:c>
      <x:c r="F357" t="str">
        <x:v>P0</x:v>
      </x:c>
      <x:c r="G357" t="str">
        <x:v>En cours</x:v>
      </x:c>
      <x:c r="H357" t="str">
        <x:v>Production Codex</x:v>
      </x:c>
      <x:c r="I357" t="str">
        <x:v>Livrable explicite, tests positifs et négatifs ; aucune validation déduite de la seule présence de la fiche.</x:v>
      </x:c>
      <x:c r="J357" t="str">
        <x:v>https://github.com/darknigthmare/deadwall-last-enclosure/blob/1b3b9c5ba232734b1bda3453b4e20a0481bcdd74/docs/codex/suivi-monde2026/INSPECTION_PHYSIQUE_2026.md</x:v>
      </x:c>
    </x:row>
    <x:row r="358">
      <x:c r="A358" t="str">
        <x:v>EXT-MONDE-T036/seed</x:v>
      </x:c>
      <x:c r="B358" t="str">
        <x:v>EXT-MONDE-T036</x:v>
      </x:c>
      <x:c r="C358" t="str">
        <x:v>Échangeurs</x:v>
      </x:c>
      <x:c r="D358" t="str">
        <x:v>Échangeur directionnel</x:v>
      </x:c>
      <x:c r="E358" t="str">
        <x:v>Implantation et réseaux</x:v>
      </x:c>
      <x:c r="F358" t="str">
        <x:v>P0</x:v>
      </x:c>
      <x:c r="G358" t="str">
        <x:v>À faire</x:v>
      </x:c>
      <x:c r="H358" t="str">
        <x:v>Non affecté</x:v>
      </x:c>
      <x:c r="I358" t="str">
        <x:v>Classes de routes et raccords progressifs ; rayons, pentes et emprises à valider avant génération.</x:v>
      </x:c>
      <x:c r="J358" t="str"/>
    </x:row>
    <x:row r="359">
      <x:c r="A359" t="str">
        <x:v>EXT-MONDE-T036/props</x:v>
      </x:c>
      <x:c r="B359" t="str">
        <x:v>EXT-MONDE-T036</x:v>
      </x:c>
      <x:c r="C359" t="str">
        <x:v>Échangeurs</x:v>
      </x:c>
      <x:c r="D359" t="str">
        <x:v>Échangeur directionnel</x:v>
      </x:c>
      <x:c r="E359" t="str">
        <x:v>Objets, décors et dégagements</x:v>
      </x:c>
      <x:c r="F359" t="str">
        <x:v>P1</x:v>
      </x:c>
      <x:c r="G359" t="str">
        <x:v>En cours</x:v>
      </x:c>
      <x:c r="H359" t="str">
        <x:v>Production Codex</x:v>
      </x:c>
      <x:c r="I359" t="str">
        <x:v>Livrable explicite, tests positifs et négatifs ; aucune validation déduite de la seule présence de la fiche.</x:v>
      </x:c>
      <x:c r="J359" t="str">
        <x:v>https://github.com/darknigthmare/deadwall-last-enclosure/blob/1b3b9c5ba232734b1bda3453b4e20a0481bcdd74/docs/codex/suivi-monde2026/INSPECTION_PHYSIQUE_2026.md</x:v>
      </x:c>
    </x:row>
    <x:row r="360">
      <x:c r="A360" t="str">
        <x:v>EXT-MONDE-T036/loot</x:v>
      </x:c>
      <x:c r="B360" t="str">
        <x:v>EXT-MONDE-T036</x:v>
      </x:c>
      <x:c r="C360" t="str">
        <x:v>Échangeurs</x:v>
      </x:c>
      <x:c r="D360" t="str">
        <x:v>Échangeur directionnel</x:v>
      </x:c>
      <x:c r="E360" t="str">
        <x:v>Budget de butin persistant</x:v>
      </x:c>
      <x:c r="F360" t="str">
        <x:v>P1</x:v>
      </x:c>
      <x:c r="G360" t="str">
        <x:v>À faire</x:v>
      </x:c>
      <x:c r="H360" t="str">
        <x:v>Non affecté</x:v>
      </x:c>
      <x:c r="I360" t="str">
        <x:v>Livrable explicite, tests positifs et négatifs ; aucune validation déduite de la seule présence de la fiche.</x:v>
      </x:c>
      <x:c r="J360" t="str"/>
    </x:row>
    <x:row r="361">
      <x:c r="A361" t="str">
        <x:v>EXT-MONDE-T036/rencontres</x:v>
      </x:c>
      <x:c r="B361" t="str">
        <x:v>EXT-MONDE-T036</x:v>
      </x:c>
      <x:c r="C361" t="str">
        <x:v>Échangeurs</x:v>
      </x:c>
      <x:c r="D361" t="str">
        <x:v>Échangeur directionnel</x:v>
      </x:c>
      <x:c r="E361" t="str">
        <x:v>Ennemis et faune contextualisés</x:v>
      </x:c>
      <x:c r="F361" t="str">
        <x:v>P1</x:v>
      </x:c>
      <x:c r="G361" t="str">
        <x:v>À faire</x:v>
      </x:c>
      <x:c r="H361" t="str">
        <x:v>Non affecté</x:v>
      </x:c>
      <x:c r="I361" t="str">
        <x:v>Livrable explicite, tests positifs et négatifs ; aucune validation déduite de la seule présence de la fiche.</x:v>
      </x:c>
      <x:c r="J361" t="str"/>
    </x:row>
    <x:row r="362">
      <x:c r="A362" t="str">
        <x:v>EXT-MONDE-T036/services</x:v>
      </x:c>
      <x:c r="B362" t="str">
        <x:v>EXT-MONDE-T036</x:v>
      </x:c>
      <x:c r="C362" t="str">
        <x:v>Échangeurs</x:v>
      </x:c>
      <x:c r="D362" t="str">
        <x:v>Échangeur directionnel</x:v>
      </x:c>
      <x:c r="E362" t="str">
        <x:v>Énergie, eau et interactions</x:v>
      </x:c>
      <x:c r="F362" t="str">
        <x:v>P1</x:v>
      </x:c>
      <x:c r="G362" t="str">
        <x:v>À faire</x:v>
      </x:c>
      <x:c r="H362" t="str">
        <x:v>Non affecté</x:v>
      </x:c>
      <x:c r="I362" t="str">
        <x:v>Livrable explicite, tests positifs et négatifs ; aucune validation déduite de la seule présence de la fiche.</x:v>
      </x:c>
      <x:c r="J362" t="str"/>
    </x:row>
    <x:row r="363">
      <x:c r="A363" t="str">
        <x:v>EXT-MONDE-T036/art</x:v>
      </x:c>
      <x:c r="B363" t="str">
        <x:v>EXT-MONDE-T036</x:v>
      </x:c>
      <x:c r="C363" t="str">
        <x:v>Échangeurs</x:v>
      </x:c>
      <x:c r="D363" t="str">
        <x:v>Échangeur directionnel</x:v>
      </x:c>
      <x:c r="E363" t="str">
        <x:v>Sprites, proportions et animations</x:v>
      </x:c>
      <x:c r="F363" t="str">
        <x:v>P1</x:v>
      </x:c>
      <x:c r="G363" t="str">
        <x:v>À faire</x:v>
      </x:c>
      <x:c r="H363" t="str">
        <x:v>Non affecté</x:v>
      </x:c>
      <x:c r="I363" t="str">
        <x:v>Livrable explicite, tests positifs et négatifs ; aucune validation déduite de la seule présence de la fiche.</x:v>
      </x:c>
      <x:c r="J363" t="str"/>
    </x:row>
    <x:row r="364">
      <x:c r="A364" t="str">
        <x:v>EXT-MONDE-T036/sauvegarde</x:v>
      </x:c>
      <x:c r="B364" t="str">
        <x:v>EXT-MONDE-T036</x:v>
      </x:c>
      <x:c r="C364" t="str">
        <x:v>Échangeurs</x:v>
      </x:c>
      <x:c r="D364" t="str">
        <x:v>Échangeur directionnel</x:v>
      </x:c>
      <x:c r="E364" t="str">
        <x:v>Identités, migration et reprise</x:v>
      </x:c>
      <x:c r="F364" t="str">
        <x:v>P1</x:v>
      </x:c>
      <x:c r="G364" t="str">
        <x:v>En cours</x:v>
      </x:c>
      <x:c r="H364" t="str">
        <x:v>Production Codex</x:v>
      </x:c>
      <x:c r="I364" t="str">
        <x:v>Livrable explicite, tests positifs et négatifs ; aucune validation déduite de la seule présence de la fiche.</x:v>
      </x:c>
      <x:c r="J364" t="str">
        <x:v>https://github.com/darknigthmare/deadwall-last-enclosure/blob/1b3b9c5ba232734b1bda3453b4e20a0481bcdd74/docs/codex/suivi-monde2026/INSPECTION_PHYSIQUE_2026.md</x:v>
      </x:c>
    </x:row>
    <x:row r="365">
      <x:c r="A365" t="str">
        <x:v>EXT-MONDE-T036/qa</x:v>
      </x:c>
      <x:c r="B365" t="str">
        <x:v>EXT-MONDE-T036</x:v>
      </x:c>
      <x:c r="C365" t="str">
        <x:v>Échangeurs</x:v>
      </x:c>
      <x:c r="D365" t="str">
        <x:v>Échangeur directionnel</x:v>
      </x:c>
      <x:c r="E365" t="str">
        <x:v>Navigation et parcours jouables</x:v>
      </x:c>
      <x:c r="F365" t="str">
        <x:v>P1</x:v>
      </x:c>
      <x:c r="G365" t="str">
        <x:v>En cours</x:v>
      </x:c>
      <x:c r="H365" t="str">
        <x:v>Production Codex</x:v>
      </x:c>
      <x:c r="I365" t="str">
        <x:v>Livrable explicite, tests positifs et négatifs ; aucune validation déduite de la seule présence de la fiche.</x:v>
      </x:c>
      <x:c r="J365" t="str">
        <x:v>https://github.com/darknigthmare/deadwall-last-enclosure/blob/1b3b9c5ba232734b1bda3453b4e20a0481bcdd74/docs/codex/suivi-monde2026/INSPECTION_PHYSIQUE_2026.md</x:v>
      </x:c>
    </x:row>
    <x:row r="366">
      <x:c r="A366" t="str">
        <x:v>EXT-MONDE-T037/dimensions</x:v>
      </x:c>
      <x:c r="B366" t="str">
        <x:v>EXT-MONDE-T037</x:v>
      </x:c>
      <x:c r="C366" t="str">
        <x:v>Égouts</x:v>
      </x:c>
      <x:c r="D366" t="str">
        <x:v>Collecteur urbain</x:v>
      </x:c>
      <x:c r="E366" t="str">
        <x:v>Dimensions et plans de référence</x:v>
      </x:c>
      <x:c r="F366" t="str">
        <x:v>P0</x:v>
      </x:c>
      <x:c r="G366" t="str">
        <x:v>En cours</x:v>
      </x:c>
      <x:c r="H366" t="str">
        <x:v>Production Codex</x:v>
      </x:c>
      <x:c r="I366" t="str">
        <x:v>Sources publiques identifiées ; unités en mètres ; emprise au sol distincte de la hauteur.</x:v>
      </x:c>
      <x:c r="J366" t="str">
        <x:v>https://github.com/darknigthmare/deadwall-last-enclosure/blob/1b3b9c5ba232734b1bda3453b4e20a0481bcdd74/docs/codex/suivi-monde2026/HLM_ASSAINISSEMENT_2026.md</x:v>
      </x:c>
    </x:row>
    <x:row r="367">
      <x:c r="A367" t="str">
        <x:v>EXT-MONDE-T037/architecture</x:v>
      </x:c>
      <x:c r="B367" t="str">
        <x:v>EXT-MONDE-T037</x:v>
      </x:c>
      <x:c r="C367" t="str">
        <x:v>Égouts</x:v>
      </x:c>
      <x:c r="D367" t="str">
        <x:v>Collecteur urbain</x:v>
      </x:c>
      <x:c r="E367" t="str">
        <x:v>Pièces, étages, annexes</x:v>
      </x:c>
      <x:c r="F367" t="str">
        <x:v>P0</x:v>
      </x:c>
      <x:c r="G367" t="str">
        <x:v>En cours</x:v>
      </x:c>
      <x:c r="H367" t="str">
        <x:v>Production Codex</x:v>
      </x:c>
      <x:c r="I367" t="str">
        <x:v>Livrable explicite, tests positifs et négatifs ; aucune validation déduite de la seule présence de la fiche.</x:v>
      </x:c>
      <x:c r="J367" t="str">
        <x:v>https://github.com/darknigthmare/deadwall-last-enclosure/blob/1b3b9c5ba232734b1bda3453b4e20a0481bcdd74/docs/codex/suivi-monde2026/INSPECTION_PHYSIQUE_2026.md</x:v>
      </x:c>
    </x:row>
    <x:row r="368">
      <x:c r="A368" t="str">
        <x:v>EXT-MONDE-T037/seed</x:v>
      </x:c>
      <x:c r="B368" t="str">
        <x:v>EXT-MONDE-T037</x:v>
      </x:c>
      <x:c r="C368" t="str">
        <x:v>Égouts</x:v>
      </x:c>
      <x:c r="D368" t="str">
        <x:v>Collecteur urbain</x:v>
      </x:c>
      <x:c r="E368" t="str">
        <x:v>Implantation et réseaux</x:v>
      </x:c>
      <x:c r="F368" t="str">
        <x:v>P0</x:v>
      </x:c>
      <x:c r="G368" t="str">
        <x:v>À faire</x:v>
      </x:c>
      <x:c r="H368" t="str">
        <x:v>Non affecté</x:v>
      </x:c>
      <x:c r="I368" t="str">
        <x:v>Graphe dirigé vers exutoire ; jonctions explicites ; niveaux et accès de secours sans téléportation.</x:v>
      </x:c>
      <x:c r="J368" t="str"/>
    </x:row>
    <x:row r="369">
      <x:c r="A369" t="str">
        <x:v>EXT-MONDE-T037/props</x:v>
      </x:c>
      <x:c r="B369" t="str">
        <x:v>EXT-MONDE-T037</x:v>
      </x:c>
      <x:c r="C369" t="str">
        <x:v>Égouts</x:v>
      </x:c>
      <x:c r="D369" t="str">
        <x:v>Collecteur urbain</x:v>
      </x:c>
      <x:c r="E369" t="str">
        <x:v>Objets, décors et dégagements</x:v>
      </x:c>
      <x:c r="F369" t="str">
        <x:v>P1</x:v>
      </x:c>
      <x:c r="G369" t="str">
        <x:v>En cours</x:v>
      </x:c>
      <x:c r="H369" t="str">
        <x:v>Production Codex</x:v>
      </x:c>
      <x:c r="I369" t="str">
        <x:v>Livrable explicite, tests positifs et négatifs ; aucune validation déduite de la seule présence de la fiche.</x:v>
      </x:c>
      <x:c r="J369" t="str">
        <x:v>https://github.com/darknigthmare/deadwall-last-enclosure/blob/1b3b9c5ba232734b1bda3453b4e20a0481bcdd74/docs/codex/suivi-monde2026/INSPECTION_PHYSIQUE_2026.md</x:v>
      </x:c>
    </x:row>
    <x:row r="370">
      <x:c r="A370" t="str">
        <x:v>EXT-MONDE-T037/loot</x:v>
      </x:c>
      <x:c r="B370" t="str">
        <x:v>EXT-MONDE-T037</x:v>
      </x:c>
      <x:c r="C370" t="str">
        <x:v>Égouts</x:v>
      </x:c>
      <x:c r="D370" t="str">
        <x:v>Collecteur urbain</x:v>
      </x:c>
      <x:c r="E370" t="str">
        <x:v>Budget de butin persistant</x:v>
      </x:c>
      <x:c r="F370" t="str">
        <x:v>P1</x:v>
      </x:c>
      <x:c r="G370" t="str">
        <x:v>À faire</x:v>
      </x:c>
      <x:c r="H370" t="str">
        <x:v>Non affecté</x:v>
      </x:c>
      <x:c r="I370" t="str">
        <x:v>Livrable explicite, tests positifs et négatifs ; aucune validation déduite de la seule présence de la fiche.</x:v>
      </x:c>
      <x:c r="J370" t="str"/>
    </x:row>
    <x:row r="371">
      <x:c r="A371" t="str">
        <x:v>EXT-MONDE-T037/rencontres</x:v>
      </x:c>
      <x:c r="B371" t="str">
        <x:v>EXT-MONDE-T037</x:v>
      </x:c>
      <x:c r="C371" t="str">
        <x:v>Égouts</x:v>
      </x:c>
      <x:c r="D371" t="str">
        <x:v>Collecteur urbain</x:v>
      </x:c>
      <x:c r="E371" t="str">
        <x:v>Ennemis et faune contextualisés</x:v>
      </x:c>
      <x:c r="F371" t="str">
        <x:v>P1</x:v>
      </x:c>
      <x:c r="G371" t="str">
        <x:v>À faire</x:v>
      </x:c>
      <x:c r="H371" t="str">
        <x:v>Non affecté</x:v>
      </x:c>
      <x:c r="I371" t="str">
        <x:v>Livrable explicite, tests positifs et négatifs ; aucune validation déduite de la seule présence de la fiche.</x:v>
      </x:c>
      <x:c r="J371" t="str"/>
    </x:row>
    <x:row r="372">
      <x:c r="A372" t="str">
        <x:v>EXT-MONDE-T037/services</x:v>
      </x:c>
      <x:c r="B372" t="str">
        <x:v>EXT-MONDE-T037</x:v>
      </x:c>
      <x:c r="C372" t="str">
        <x:v>Égouts</x:v>
      </x:c>
      <x:c r="D372" t="str">
        <x:v>Collecteur urbain</x:v>
      </x:c>
      <x:c r="E372" t="str">
        <x:v>Énergie, eau et interactions</x:v>
      </x:c>
      <x:c r="F372" t="str">
        <x:v>P1</x:v>
      </x:c>
      <x:c r="G372" t="str">
        <x:v>À faire</x:v>
      </x:c>
      <x:c r="H372" t="str">
        <x:v>Non affecté</x:v>
      </x:c>
      <x:c r="I372" t="str">
        <x:v>Livrable explicite, tests positifs et négatifs ; aucune validation déduite de la seule présence de la fiche.</x:v>
      </x:c>
      <x:c r="J372" t="str"/>
    </x:row>
    <x:row r="373">
      <x:c r="A373" t="str">
        <x:v>EXT-MONDE-T037/art</x:v>
      </x:c>
      <x:c r="B373" t="str">
        <x:v>EXT-MONDE-T037</x:v>
      </x:c>
      <x:c r="C373" t="str">
        <x:v>Égouts</x:v>
      </x:c>
      <x:c r="D373" t="str">
        <x:v>Collecteur urbain</x:v>
      </x:c>
      <x:c r="E373" t="str">
        <x:v>Sprites, proportions et animations</x:v>
      </x:c>
      <x:c r="F373" t="str">
        <x:v>P1</x:v>
      </x:c>
      <x:c r="G373" t="str">
        <x:v>À faire</x:v>
      </x:c>
      <x:c r="H373" t="str">
        <x:v>Non affecté</x:v>
      </x:c>
      <x:c r="I373" t="str">
        <x:v>Livrable explicite, tests positifs et négatifs ; aucune validation déduite de la seule présence de la fiche.</x:v>
      </x:c>
      <x:c r="J373" t="str"/>
    </x:row>
    <x:row r="374">
      <x:c r="A374" t="str">
        <x:v>EXT-MONDE-T037/sauvegarde</x:v>
      </x:c>
      <x:c r="B374" t="str">
        <x:v>EXT-MONDE-T037</x:v>
      </x:c>
      <x:c r="C374" t="str">
        <x:v>Égouts</x:v>
      </x:c>
      <x:c r="D374" t="str">
        <x:v>Collecteur urbain</x:v>
      </x:c>
      <x:c r="E374" t="str">
        <x:v>Identités, migration et reprise</x:v>
      </x:c>
      <x:c r="F374" t="str">
        <x:v>P1</x:v>
      </x:c>
      <x:c r="G374" t="str">
        <x:v>En cours</x:v>
      </x:c>
      <x:c r="H374" t="str">
        <x:v>Production Codex</x:v>
      </x:c>
      <x:c r="I374" t="str">
        <x:v>Livrable explicite, tests positifs et négatifs ; aucune validation déduite de la seule présence de la fiche.</x:v>
      </x:c>
      <x:c r="J374" t="str">
        <x:v>https://github.com/darknigthmare/deadwall-last-enclosure/blob/1b3b9c5ba232734b1bda3453b4e20a0481bcdd74/docs/codex/suivi-monde2026/INSPECTION_PHYSIQUE_2026.md</x:v>
      </x:c>
    </x:row>
    <x:row r="375">
      <x:c r="A375" t="str">
        <x:v>EXT-MONDE-T037/qa</x:v>
      </x:c>
      <x:c r="B375" t="str">
        <x:v>EXT-MONDE-T037</x:v>
      </x:c>
      <x:c r="C375" t="str">
        <x:v>Égouts</x:v>
      </x:c>
      <x:c r="D375" t="str">
        <x:v>Collecteur urbain</x:v>
      </x:c>
      <x:c r="E375" t="str">
        <x:v>Navigation et parcours jouables</x:v>
      </x:c>
      <x:c r="F375" t="str">
        <x:v>P1</x:v>
      </x:c>
      <x:c r="G375" t="str">
        <x:v>En cours</x:v>
      </x:c>
      <x:c r="H375" t="str">
        <x:v>Production Codex</x:v>
      </x:c>
      <x:c r="I375" t="str">
        <x:v>Livrable explicite, tests positifs et négatifs ; aucune validation déduite de la seule présence de la fiche.</x:v>
      </x:c>
      <x:c r="J375" t="str">
        <x:v>https://github.com/darknigthmare/deadwall-last-enclosure/blob/1b3b9c5ba232734b1bda3453b4e20a0481bcdd74/docs/codex/suivi-monde2026/INSPECTION_PHYSIQUE_2026.md</x:v>
      </x:c>
    </x:row>
    <x:row r="376">
      <x:c r="A376" t="str">
        <x:v>EXT-MONDE-T038/dimensions</x:v>
      </x:c>
      <x:c r="B376" t="str">
        <x:v>EXT-MONDE-T038</x:v>
      </x:c>
      <x:c r="C376" t="str">
        <x:v>Égouts</x:v>
      </x:c>
      <x:c r="D376" t="str">
        <x:v>Réseau unitaire ancien</x:v>
      </x:c>
      <x:c r="E376" t="str">
        <x:v>Dimensions et plans de référence</x:v>
      </x:c>
      <x:c r="F376" t="str">
        <x:v>P0</x:v>
      </x:c>
      <x:c r="G376" t="str">
        <x:v>En cours</x:v>
      </x:c>
      <x:c r="H376" t="str">
        <x:v>Production Codex</x:v>
      </x:c>
      <x:c r="I376" t="str">
        <x:v>Sources publiques identifiées ; unités en mètres ; emprise au sol distincte de la hauteur.</x:v>
      </x:c>
      <x:c r="J376" t="str">
        <x:v>https://github.com/darknigthmare/deadwall-last-enclosure/blob/1b3b9c5ba232734b1bda3453b4e20a0481bcdd74/docs/codex/suivi-monde2026/HLM_ASSAINISSEMENT_2026.md</x:v>
      </x:c>
    </x:row>
    <x:row r="377">
      <x:c r="A377" t="str">
        <x:v>EXT-MONDE-T038/architecture</x:v>
      </x:c>
      <x:c r="B377" t="str">
        <x:v>EXT-MONDE-T038</x:v>
      </x:c>
      <x:c r="C377" t="str">
        <x:v>Égouts</x:v>
      </x:c>
      <x:c r="D377" t="str">
        <x:v>Réseau unitaire ancien</x:v>
      </x:c>
      <x:c r="E377" t="str">
        <x:v>Pièces, étages, annexes</x:v>
      </x:c>
      <x:c r="F377" t="str">
        <x:v>P0</x:v>
      </x:c>
      <x:c r="G377" t="str">
        <x:v>En cours</x:v>
      </x:c>
      <x:c r="H377" t="str">
        <x:v>Production Codex</x:v>
      </x:c>
      <x:c r="I377" t="str">
        <x:v>Livrable explicite, tests positifs et négatifs ; aucune validation déduite de la seule présence de la fiche.</x:v>
      </x:c>
      <x:c r="J377" t="str">
        <x:v>https://github.com/darknigthmare/deadwall-last-enclosure/blob/1b3b9c5ba232734b1bda3453b4e20a0481bcdd74/docs/codex/suivi-monde2026/INSPECTION_PHYSIQUE_2026.md</x:v>
      </x:c>
    </x:row>
    <x:row r="378">
      <x:c r="A378" t="str">
        <x:v>EXT-MONDE-T038/seed</x:v>
      </x:c>
      <x:c r="B378" t="str">
        <x:v>EXT-MONDE-T038</x:v>
      </x:c>
      <x:c r="C378" t="str">
        <x:v>Égouts</x:v>
      </x:c>
      <x:c r="D378" t="str">
        <x:v>Réseau unitaire ancien</x:v>
      </x:c>
      <x:c r="E378" t="str">
        <x:v>Implantation et réseaux</x:v>
      </x:c>
      <x:c r="F378" t="str">
        <x:v>P0</x:v>
      </x:c>
      <x:c r="G378" t="str">
        <x:v>À faire</x:v>
      </x:c>
      <x:c r="H378" t="str">
        <x:v>Non affecté</x:v>
      </x:c>
      <x:c r="I378" t="str">
        <x:v>Graphe dirigé vers exutoire ; jonctions explicites ; niveaux et accès de secours sans téléportation.</x:v>
      </x:c>
      <x:c r="J378" t="str"/>
    </x:row>
    <x:row r="379">
      <x:c r="A379" t="str">
        <x:v>EXT-MONDE-T038/props</x:v>
      </x:c>
      <x:c r="B379" t="str">
        <x:v>EXT-MONDE-T038</x:v>
      </x:c>
      <x:c r="C379" t="str">
        <x:v>Égouts</x:v>
      </x:c>
      <x:c r="D379" t="str">
        <x:v>Réseau unitaire ancien</x:v>
      </x:c>
      <x:c r="E379" t="str">
        <x:v>Objets, décors et dégagements</x:v>
      </x:c>
      <x:c r="F379" t="str">
        <x:v>P1</x:v>
      </x:c>
      <x:c r="G379" t="str">
        <x:v>En cours</x:v>
      </x:c>
      <x:c r="H379" t="str">
        <x:v>Production Codex</x:v>
      </x:c>
      <x:c r="I379" t="str">
        <x:v>Livrable explicite, tests positifs et négatifs ; aucune validation déduite de la seule présence de la fiche.</x:v>
      </x:c>
      <x:c r="J379" t="str">
        <x:v>https://github.com/darknigthmare/deadwall-last-enclosure/blob/1b3b9c5ba232734b1bda3453b4e20a0481bcdd74/docs/codex/suivi-monde2026/INSPECTION_PHYSIQUE_2026.md</x:v>
      </x:c>
    </x:row>
    <x:row r="380">
      <x:c r="A380" t="str">
        <x:v>EXT-MONDE-T038/loot</x:v>
      </x:c>
      <x:c r="B380" t="str">
        <x:v>EXT-MONDE-T038</x:v>
      </x:c>
      <x:c r="C380" t="str">
        <x:v>Égouts</x:v>
      </x:c>
      <x:c r="D380" t="str">
        <x:v>Réseau unitaire ancien</x:v>
      </x:c>
      <x:c r="E380" t="str">
        <x:v>Budget de butin persistant</x:v>
      </x:c>
      <x:c r="F380" t="str">
        <x:v>P1</x:v>
      </x:c>
      <x:c r="G380" t="str">
        <x:v>À faire</x:v>
      </x:c>
      <x:c r="H380" t="str">
        <x:v>Non affecté</x:v>
      </x:c>
      <x:c r="I380" t="str">
        <x:v>Livrable explicite, tests positifs et négatifs ; aucune validation déduite de la seule présence de la fiche.</x:v>
      </x:c>
      <x:c r="J380" t="str"/>
    </x:row>
    <x:row r="381">
      <x:c r="A381" t="str">
        <x:v>EXT-MONDE-T038/rencontres</x:v>
      </x:c>
      <x:c r="B381" t="str">
        <x:v>EXT-MONDE-T038</x:v>
      </x:c>
      <x:c r="C381" t="str">
        <x:v>Égouts</x:v>
      </x:c>
      <x:c r="D381" t="str">
        <x:v>Réseau unitaire ancien</x:v>
      </x:c>
      <x:c r="E381" t="str">
        <x:v>Ennemis et faune contextualisés</x:v>
      </x:c>
      <x:c r="F381" t="str">
        <x:v>P1</x:v>
      </x:c>
      <x:c r="G381" t="str">
        <x:v>À faire</x:v>
      </x:c>
      <x:c r="H381" t="str">
        <x:v>Non affecté</x:v>
      </x:c>
      <x:c r="I381" t="str">
        <x:v>Livrable explicite, tests positifs et négatifs ; aucune validation déduite de la seule présence de la fiche.</x:v>
      </x:c>
      <x:c r="J381" t="str"/>
    </x:row>
    <x:row r="382">
      <x:c r="A382" t="str">
        <x:v>EXT-MONDE-T038/services</x:v>
      </x:c>
      <x:c r="B382" t="str">
        <x:v>EXT-MONDE-T038</x:v>
      </x:c>
      <x:c r="C382" t="str">
        <x:v>Égouts</x:v>
      </x:c>
      <x:c r="D382" t="str">
        <x:v>Réseau unitaire ancien</x:v>
      </x:c>
      <x:c r="E382" t="str">
        <x:v>Énergie, eau et interactions</x:v>
      </x:c>
      <x:c r="F382" t="str">
        <x:v>P1</x:v>
      </x:c>
      <x:c r="G382" t="str">
        <x:v>À faire</x:v>
      </x:c>
      <x:c r="H382" t="str">
        <x:v>Non affecté</x:v>
      </x:c>
      <x:c r="I382" t="str">
        <x:v>Livrable explicite, tests positifs et négatifs ; aucune validation déduite de la seule présence de la fiche.</x:v>
      </x:c>
      <x:c r="J382" t="str"/>
    </x:row>
    <x:row r="383">
      <x:c r="A383" t="str">
        <x:v>EXT-MONDE-T038/art</x:v>
      </x:c>
      <x:c r="B383" t="str">
        <x:v>EXT-MONDE-T038</x:v>
      </x:c>
      <x:c r="C383" t="str">
        <x:v>Égouts</x:v>
      </x:c>
      <x:c r="D383" t="str">
        <x:v>Réseau unitaire ancien</x:v>
      </x:c>
      <x:c r="E383" t="str">
        <x:v>Sprites, proportions et animations</x:v>
      </x:c>
      <x:c r="F383" t="str">
        <x:v>P1</x:v>
      </x:c>
      <x:c r="G383" t="str">
        <x:v>À faire</x:v>
      </x:c>
      <x:c r="H383" t="str">
        <x:v>Non affecté</x:v>
      </x:c>
      <x:c r="I383" t="str">
        <x:v>Livrable explicite, tests positifs et négatifs ; aucune validation déduite de la seule présence de la fiche.</x:v>
      </x:c>
      <x:c r="J383" t="str"/>
    </x:row>
    <x:row r="384">
      <x:c r="A384" t="str">
        <x:v>EXT-MONDE-T038/sauvegarde</x:v>
      </x:c>
      <x:c r="B384" t="str">
        <x:v>EXT-MONDE-T038</x:v>
      </x:c>
      <x:c r="C384" t="str">
        <x:v>Égouts</x:v>
      </x:c>
      <x:c r="D384" t="str">
        <x:v>Réseau unitaire ancien</x:v>
      </x:c>
      <x:c r="E384" t="str">
        <x:v>Identités, migration et reprise</x:v>
      </x:c>
      <x:c r="F384" t="str">
        <x:v>P1</x:v>
      </x:c>
      <x:c r="G384" t="str">
        <x:v>En cours</x:v>
      </x:c>
      <x:c r="H384" t="str">
        <x:v>Production Codex</x:v>
      </x:c>
      <x:c r="I384" t="str">
        <x:v>Livrable explicite, tests positifs et négatifs ; aucune validation déduite de la seule présence de la fiche.</x:v>
      </x:c>
      <x:c r="J384" t="str">
        <x:v>https://github.com/darknigthmare/deadwall-last-enclosure/blob/1b3b9c5ba232734b1bda3453b4e20a0481bcdd74/docs/codex/suivi-monde2026/INSPECTION_PHYSIQUE_2026.md</x:v>
      </x:c>
    </x:row>
    <x:row r="385">
      <x:c r="A385" t="str">
        <x:v>EXT-MONDE-T038/qa</x:v>
      </x:c>
      <x:c r="B385" t="str">
        <x:v>EXT-MONDE-T038</x:v>
      </x:c>
      <x:c r="C385" t="str">
        <x:v>Égouts</x:v>
      </x:c>
      <x:c r="D385" t="str">
        <x:v>Réseau unitaire ancien</x:v>
      </x:c>
      <x:c r="E385" t="str">
        <x:v>Navigation et parcours jouables</x:v>
      </x:c>
      <x:c r="F385" t="str">
        <x:v>P1</x:v>
      </x:c>
      <x:c r="G385" t="str">
        <x:v>En cours</x:v>
      </x:c>
      <x:c r="H385" t="str">
        <x:v>Production Codex</x:v>
      </x:c>
      <x:c r="I385" t="str">
        <x:v>Livrable explicite, tests positifs et négatifs ; aucune validation déduite de la seule présence de la fiche.</x:v>
      </x:c>
      <x:c r="J385" t="str">
        <x:v>https://github.com/darknigthmare/deadwall-last-enclosure/blob/1b3b9c5ba232734b1bda3453b4e20a0481bcdd74/docs/codex/suivi-monde2026/INSPECTION_PHYSIQUE_2026.md</x:v>
      </x:c>
    </x:row>
    <x:row r="386">
      <x:c r="A386" t="str">
        <x:v>EXT-MONDE-T039/dimensions</x:v>
      </x:c>
      <x:c r="B386" t="str">
        <x:v>EXT-MONDE-T039</x:v>
      </x:c>
      <x:c r="C386" t="str">
        <x:v>Égouts</x:v>
      </x:c>
      <x:c r="D386" t="str">
        <x:v>Galerie pluviale</x:v>
      </x:c>
      <x:c r="E386" t="str">
        <x:v>Dimensions et plans de référence</x:v>
      </x:c>
      <x:c r="F386" t="str">
        <x:v>P0</x:v>
      </x:c>
      <x:c r="G386" t="str">
        <x:v>En cours</x:v>
      </x:c>
      <x:c r="H386" t="str">
        <x:v>Production Codex</x:v>
      </x:c>
      <x:c r="I386" t="str">
        <x:v>Sources publiques identifiées ; unités en mètres ; emprise au sol distincte de la hauteur.</x:v>
      </x:c>
      <x:c r="J386" t="str">
        <x:v>https://github.com/darknigthmare/deadwall-last-enclosure/blob/1b3b9c5ba232734b1bda3453b4e20a0481bcdd74/docs/codex/suivi-monde2026/HLM_ASSAINISSEMENT_2026.md</x:v>
      </x:c>
    </x:row>
    <x:row r="387">
      <x:c r="A387" t="str">
        <x:v>EXT-MONDE-T039/architecture</x:v>
      </x:c>
      <x:c r="B387" t="str">
        <x:v>EXT-MONDE-T039</x:v>
      </x:c>
      <x:c r="C387" t="str">
        <x:v>Égouts</x:v>
      </x:c>
      <x:c r="D387" t="str">
        <x:v>Galerie pluviale</x:v>
      </x:c>
      <x:c r="E387" t="str">
        <x:v>Pièces, étages, annexes</x:v>
      </x:c>
      <x:c r="F387" t="str">
        <x:v>P0</x:v>
      </x:c>
      <x:c r="G387" t="str">
        <x:v>En cours</x:v>
      </x:c>
      <x:c r="H387" t="str">
        <x:v>Production Codex</x:v>
      </x:c>
      <x:c r="I387" t="str">
        <x:v>Livrable explicite, tests positifs et négatifs ; aucune validation déduite de la seule présence de la fiche.</x:v>
      </x:c>
      <x:c r="J387" t="str">
        <x:v>https://github.com/darknigthmare/deadwall-last-enclosure/blob/1b3b9c5ba232734b1bda3453b4e20a0481bcdd74/docs/codex/suivi-monde2026/INSPECTION_PHYSIQUE_2026.md</x:v>
      </x:c>
    </x:row>
    <x:row r="388">
      <x:c r="A388" t="str">
        <x:v>EXT-MONDE-T039/seed</x:v>
      </x:c>
      <x:c r="B388" t="str">
        <x:v>EXT-MONDE-T039</x:v>
      </x:c>
      <x:c r="C388" t="str">
        <x:v>Égouts</x:v>
      </x:c>
      <x:c r="D388" t="str">
        <x:v>Galerie pluviale</x:v>
      </x:c>
      <x:c r="E388" t="str">
        <x:v>Implantation et réseaux</x:v>
      </x:c>
      <x:c r="F388" t="str">
        <x:v>P0</x:v>
      </x:c>
      <x:c r="G388" t="str">
        <x:v>À faire</x:v>
      </x:c>
      <x:c r="H388" t="str">
        <x:v>Non affecté</x:v>
      </x:c>
      <x:c r="I388" t="str">
        <x:v>Graphe dirigé vers exutoire ; jonctions explicites ; niveaux et accès de secours sans téléportation.</x:v>
      </x:c>
      <x:c r="J388" t="str"/>
    </x:row>
    <x:row r="389">
      <x:c r="A389" t="str">
        <x:v>EXT-MONDE-T039/props</x:v>
      </x:c>
      <x:c r="B389" t="str">
        <x:v>EXT-MONDE-T039</x:v>
      </x:c>
      <x:c r="C389" t="str">
        <x:v>Égouts</x:v>
      </x:c>
      <x:c r="D389" t="str">
        <x:v>Galerie pluviale</x:v>
      </x:c>
      <x:c r="E389" t="str">
        <x:v>Objets, décors et dégagements</x:v>
      </x:c>
      <x:c r="F389" t="str">
        <x:v>P1</x:v>
      </x:c>
      <x:c r="G389" t="str">
        <x:v>En cours</x:v>
      </x:c>
      <x:c r="H389" t="str">
        <x:v>Production Codex</x:v>
      </x:c>
      <x:c r="I389" t="str">
        <x:v>Livrable explicite, tests positifs et négatifs ; aucune validation déduite de la seule présence de la fiche.</x:v>
      </x:c>
      <x:c r="J389" t="str">
        <x:v>https://github.com/darknigthmare/deadwall-last-enclosure/blob/1b3b9c5ba232734b1bda3453b4e20a0481bcdd74/docs/codex/suivi-monde2026/INSPECTION_PHYSIQUE_2026.md</x:v>
      </x:c>
    </x:row>
    <x:row r="390">
      <x:c r="A390" t="str">
        <x:v>EXT-MONDE-T039/loot</x:v>
      </x:c>
      <x:c r="B390" t="str">
        <x:v>EXT-MONDE-T039</x:v>
      </x:c>
      <x:c r="C390" t="str">
        <x:v>Égouts</x:v>
      </x:c>
      <x:c r="D390" t="str">
        <x:v>Galerie pluviale</x:v>
      </x:c>
      <x:c r="E390" t="str">
        <x:v>Budget de butin persistant</x:v>
      </x:c>
      <x:c r="F390" t="str">
        <x:v>P1</x:v>
      </x:c>
      <x:c r="G390" t="str">
        <x:v>À faire</x:v>
      </x:c>
      <x:c r="H390" t="str">
        <x:v>Non affecté</x:v>
      </x:c>
      <x:c r="I390" t="str">
        <x:v>Livrable explicite, tests positifs et négatifs ; aucune validation déduite de la seule présence de la fiche.</x:v>
      </x:c>
      <x:c r="J390" t="str"/>
    </x:row>
    <x:row r="391">
      <x:c r="A391" t="str">
        <x:v>EXT-MONDE-T039/rencontres</x:v>
      </x:c>
      <x:c r="B391" t="str">
        <x:v>EXT-MONDE-T039</x:v>
      </x:c>
      <x:c r="C391" t="str">
        <x:v>Égouts</x:v>
      </x:c>
      <x:c r="D391" t="str">
        <x:v>Galerie pluviale</x:v>
      </x:c>
      <x:c r="E391" t="str">
        <x:v>Ennemis et faune contextualisés</x:v>
      </x:c>
      <x:c r="F391" t="str">
        <x:v>P1</x:v>
      </x:c>
      <x:c r="G391" t="str">
        <x:v>À faire</x:v>
      </x:c>
      <x:c r="H391" t="str">
        <x:v>Non affecté</x:v>
      </x:c>
      <x:c r="I391" t="str">
        <x:v>Livrable explicite, tests positifs et négatifs ; aucune validation déduite de la seule présence de la fiche.</x:v>
      </x:c>
      <x:c r="J391" t="str"/>
    </x:row>
    <x:row r="392">
      <x:c r="A392" t="str">
        <x:v>EXT-MONDE-T039/services</x:v>
      </x:c>
      <x:c r="B392" t="str">
        <x:v>EXT-MONDE-T039</x:v>
      </x:c>
      <x:c r="C392" t="str">
        <x:v>Égouts</x:v>
      </x:c>
      <x:c r="D392" t="str">
        <x:v>Galerie pluviale</x:v>
      </x:c>
      <x:c r="E392" t="str">
        <x:v>Énergie, eau et interactions</x:v>
      </x:c>
      <x:c r="F392" t="str">
        <x:v>P1</x:v>
      </x:c>
      <x:c r="G392" t="str">
        <x:v>À faire</x:v>
      </x:c>
      <x:c r="H392" t="str">
        <x:v>Non affecté</x:v>
      </x:c>
      <x:c r="I392" t="str">
        <x:v>Livrable explicite, tests positifs et négatifs ; aucune validation déduite de la seule présence de la fiche.</x:v>
      </x:c>
      <x:c r="J392" t="str"/>
    </x:row>
    <x:row r="393">
      <x:c r="A393" t="str">
        <x:v>EXT-MONDE-T039/art</x:v>
      </x:c>
      <x:c r="B393" t="str">
        <x:v>EXT-MONDE-T039</x:v>
      </x:c>
      <x:c r="C393" t="str">
        <x:v>Égouts</x:v>
      </x:c>
      <x:c r="D393" t="str">
        <x:v>Galerie pluviale</x:v>
      </x:c>
      <x:c r="E393" t="str">
        <x:v>Sprites, proportions et animations</x:v>
      </x:c>
      <x:c r="F393" t="str">
        <x:v>P1</x:v>
      </x:c>
      <x:c r="G393" t="str">
        <x:v>À faire</x:v>
      </x:c>
      <x:c r="H393" t="str">
        <x:v>Non affecté</x:v>
      </x:c>
      <x:c r="I393" t="str">
        <x:v>Livrable explicite, tests positifs et négatifs ; aucune validation déduite de la seule présence de la fiche.</x:v>
      </x:c>
      <x:c r="J393" t="str"/>
    </x:row>
    <x:row r="394">
      <x:c r="A394" t="str">
        <x:v>EXT-MONDE-T039/sauvegarde</x:v>
      </x:c>
      <x:c r="B394" t="str">
        <x:v>EXT-MONDE-T039</x:v>
      </x:c>
      <x:c r="C394" t="str">
        <x:v>Égouts</x:v>
      </x:c>
      <x:c r="D394" t="str">
        <x:v>Galerie pluviale</x:v>
      </x:c>
      <x:c r="E394" t="str">
        <x:v>Identités, migration et reprise</x:v>
      </x:c>
      <x:c r="F394" t="str">
        <x:v>P1</x:v>
      </x:c>
      <x:c r="G394" t="str">
        <x:v>En cours</x:v>
      </x:c>
      <x:c r="H394" t="str">
        <x:v>Production Codex</x:v>
      </x:c>
      <x:c r="I394" t="str">
        <x:v>Livrable explicite, tests positifs et négatifs ; aucune validation déduite de la seule présence de la fiche.</x:v>
      </x:c>
      <x:c r="J394" t="str">
        <x:v>https://github.com/darknigthmare/deadwall-last-enclosure/blob/1b3b9c5ba232734b1bda3453b4e20a0481bcdd74/docs/codex/suivi-monde2026/INSPECTION_PHYSIQUE_2026.md</x:v>
      </x:c>
    </x:row>
    <x:row r="395">
      <x:c r="A395" t="str">
        <x:v>EXT-MONDE-T039/qa</x:v>
      </x:c>
      <x:c r="B395" t="str">
        <x:v>EXT-MONDE-T039</x:v>
      </x:c>
      <x:c r="C395" t="str">
        <x:v>Égouts</x:v>
      </x:c>
      <x:c r="D395" t="str">
        <x:v>Galerie pluviale</x:v>
      </x:c>
      <x:c r="E395" t="str">
        <x:v>Navigation et parcours jouables</x:v>
      </x:c>
      <x:c r="F395" t="str">
        <x:v>P1</x:v>
      </x:c>
      <x:c r="G395" t="str">
        <x:v>En cours</x:v>
      </x:c>
      <x:c r="H395" t="str">
        <x:v>Production Codex</x:v>
      </x:c>
      <x:c r="I395" t="str">
        <x:v>Livrable explicite, tests positifs et négatifs ; aucune validation déduite de la seule présence de la fiche.</x:v>
      </x:c>
      <x:c r="J395" t="str">
        <x:v>https://github.com/darknigthmare/deadwall-last-enclosure/blob/1b3b9c5ba232734b1bda3453b4e20a0481bcdd74/docs/codex/suivi-monde2026/INSPECTION_PHYSIQUE_2026.md</x:v>
      </x:c>
    </x:row>
    <x:row r="396">
      <x:c r="A396" t="str">
        <x:v>EXT-MONDE-T040/dimensions</x:v>
      </x:c>
      <x:c r="B396" t="str">
        <x:v>EXT-MONDE-T040</x:v>
      </x:c>
      <x:c r="C396" t="str">
        <x:v>Égouts</x:v>
      </x:c>
      <x:c r="D396" t="str">
        <x:v>Station souterraine de relevage</x:v>
      </x:c>
      <x:c r="E396" t="str">
        <x:v>Dimensions et plans de référence</x:v>
      </x:c>
      <x:c r="F396" t="str">
        <x:v>P0</x:v>
      </x:c>
      <x:c r="G396" t="str">
        <x:v>En cours</x:v>
      </x:c>
      <x:c r="H396" t="str">
        <x:v>Production Codex</x:v>
      </x:c>
      <x:c r="I396" t="str">
        <x:v>Sources publiques identifiées ; unités en mètres ; emprise au sol distincte de la hauteur.</x:v>
      </x:c>
      <x:c r="J396" t="str">
        <x:v>https://github.com/darknigthmare/deadwall-last-enclosure/blob/1b3b9c5ba232734b1bda3453b4e20a0481bcdd74/docs/codex/suivi-monde2026/HLM_ASSAINISSEMENT_2026.md</x:v>
      </x:c>
    </x:row>
    <x:row r="397">
      <x:c r="A397" t="str">
        <x:v>EXT-MONDE-T040/architecture</x:v>
      </x:c>
      <x:c r="B397" t="str">
        <x:v>EXT-MONDE-T040</x:v>
      </x:c>
      <x:c r="C397" t="str">
        <x:v>Égouts</x:v>
      </x:c>
      <x:c r="D397" t="str">
        <x:v>Station souterraine de relevage</x:v>
      </x:c>
      <x:c r="E397" t="str">
        <x:v>Pièces, étages, annexes</x:v>
      </x:c>
      <x:c r="F397" t="str">
        <x:v>P0</x:v>
      </x:c>
      <x:c r="G397" t="str">
        <x:v>En cours</x:v>
      </x:c>
      <x:c r="H397" t="str">
        <x:v>Production Codex</x:v>
      </x:c>
      <x:c r="I397" t="str">
        <x:v>Livrable explicite, tests positifs et négatifs ; aucune validation déduite de la seule présence de la fiche.</x:v>
      </x:c>
      <x:c r="J397" t="str">
        <x:v>https://github.com/darknigthmare/deadwall-last-enclosure/blob/1b3b9c5ba232734b1bda3453b4e20a0481bcdd74/docs/codex/suivi-monde2026/INSPECTION_PHYSIQUE_2026.md</x:v>
      </x:c>
    </x:row>
    <x:row r="398">
      <x:c r="A398" t="str">
        <x:v>EXT-MONDE-T040/seed</x:v>
      </x:c>
      <x:c r="B398" t="str">
        <x:v>EXT-MONDE-T040</x:v>
      </x:c>
      <x:c r="C398" t="str">
        <x:v>Égouts</x:v>
      </x:c>
      <x:c r="D398" t="str">
        <x:v>Station souterraine de relevage</x:v>
      </x:c>
      <x:c r="E398" t="str">
        <x:v>Implantation et réseaux</x:v>
      </x:c>
      <x:c r="F398" t="str">
        <x:v>P0</x:v>
      </x:c>
      <x:c r="G398" t="str">
        <x:v>À faire</x:v>
      </x:c>
      <x:c r="H398" t="str">
        <x:v>Non affecté</x:v>
      </x:c>
      <x:c r="I398" t="str">
        <x:v>Graphe dirigé vers exutoire ; jonctions explicites ; niveaux et accès de secours sans téléportation.</x:v>
      </x:c>
      <x:c r="J398" t="str"/>
    </x:row>
    <x:row r="399">
      <x:c r="A399" t="str">
        <x:v>EXT-MONDE-T040/props</x:v>
      </x:c>
      <x:c r="B399" t="str">
        <x:v>EXT-MONDE-T040</x:v>
      </x:c>
      <x:c r="C399" t="str">
        <x:v>Égouts</x:v>
      </x:c>
      <x:c r="D399" t="str">
        <x:v>Station souterraine de relevage</x:v>
      </x:c>
      <x:c r="E399" t="str">
        <x:v>Objets, décors et dégagements</x:v>
      </x:c>
      <x:c r="F399" t="str">
        <x:v>P1</x:v>
      </x:c>
      <x:c r="G399" t="str">
        <x:v>En cours</x:v>
      </x:c>
      <x:c r="H399" t="str">
        <x:v>Production Codex</x:v>
      </x:c>
      <x:c r="I399" t="str">
        <x:v>Livrable explicite, tests positifs et négatifs ; aucune validation déduite de la seule présence de la fiche.</x:v>
      </x:c>
      <x:c r="J399" t="str">
        <x:v>https://github.com/darknigthmare/deadwall-last-enclosure/blob/1b3b9c5ba232734b1bda3453b4e20a0481bcdd74/docs/codex/suivi-monde2026/INSPECTION_PHYSIQUE_2026.md</x:v>
      </x:c>
    </x:row>
    <x:row r="400">
      <x:c r="A400" t="str">
        <x:v>EXT-MONDE-T040/loot</x:v>
      </x:c>
      <x:c r="B400" t="str">
        <x:v>EXT-MONDE-T040</x:v>
      </x:c>
      <x:c r="C400" t="str">
        <x:v>Égouts</x:v>
      </x:c>
      <x:c r="D400" t="str">
        <x:v>Station souterraine de relevage</x:v>
      </x:c>
      <x:c r="E400" t="str">
        <x:v>Budget de butin persistant</x:v>
      </x:c>
      <x:c r="F400" t="str">
        <x:v>P1</x:v>
      </x:c>
      <x:c r="G400" t="str">
        <x:v>À faire</x:v>
      </x:c>
      <x:c r="H400" t="str">
        <x:v>Non affecté</x:v>
      </x:c>
      <x:c r="I400" t="str">
        <x:v>Livrable explicite, tests positifs et négatifs ; aucune validation déduite de la seule présence de la fiche.</x:v>
      </x:c>
      <x:c r="J400" t="str"/>
    </x:row>
    <x:row r="401">
      <x:c r="A401" t="str">
        <x:v>EXT-MONDE-T040/rencontres</x:v>
      </x:c>
      <x:c r="B401" t="str">
        <x:v>EXT-MONDE-T040</x:v>
      </x:c>
      <x:c r="C401" t="str">
        <x:v>Égouts</x:v>
      </x:c>
      <x:c r="D401" t="str">
        <x:v>Station souterraine de relevage</x:v>
      </x:c>
      <x:c r="E401" t="str">
        <x:v>Ennemis et faune contextualisés</x:v>
      </x:c>
      <x:c r="F401" t="str">
        <x:v>P1</x:v>
      </x:c>
      <x:c r="G401" t="str">
        <x:v>À faire</x:v>
      </x:c>
      <x:c r="H401" t="str">
        <x:v>Non affecté</x:v>
      </x:c>
      <x:c r="I401" t="str">
        <x:v>Livrable explicite, tests positifs et négatifs ; aucune validation déduite de la seule présence de la fiche.</x:v>
      </x:c>
      <x:c r="J401" t="str"/>
    </x:row>
    <x:row r="402">
      <x:c r="A402" t="str">
        <x:v>EXT-MONDE-T040/services</x:v>
      </x:c>
      <x:c r="B402" t="str">
        <x:v>EXT-MONDE-T040</x:v>
      </x:c>
      <x:c r="C402" t="str">
        <x:v>Égouts</x:v>
      </x:c>
      <x:c r="D402" t="str">
        <x:v>Station souterraine de relevage</x:v>
      </x:c>
      <x:c r="E402" t="str">
        <x:v>Énergie, eau et interactions</x:v>
      </x:c>
      <x:c r="F402" t="str">
        <x:v>P1</x:v>
      </x:c>
      <x:c r="G402" t="str">
        <x:v>À faire</x:v>
      </x:c>
      <x:c r="H402" t="str">
        <x:v>Non affecté</x:v>
      </x:c>
      <x:c r="I402" t="str">
        <x:v>Livrable explicite, tests positifs et négatifs ; aucune validation déduite de la seule présence de la fiche.</x:v>
      </x:c>
      <x:c r="J402" t="str"/>
    </x:row>
    <x:row r="403">
      <x:c r="A403" t="str">
        <x:v>EXT-MONDE-T040/art</x:v>
      </x:c>
      <x:c r="B403" t="str">
        <x:v>EXT-MONDE-T040</x:v>
      </x:c>
      <x:c r="C403" t="str">
        <x:v>Égouts</x:v>
      </x:c>
      <x:c r="D403" t="str">
        <x:v>Station souterraine de relevage</x:v>
      </x:c>
      <x:c r="E403" t="str">
        <x:v>Sprites, proportions et animations</x:v>
      </x:c>
      <x:c r="F403" t="str">
        <x:v>P1</x:v>
      </x:c>
      <x:c r="G403" t="str">
        <x:v>À faire</x:v>
      </x:c>
      <x:c r="H403" t="str">
        <x:v>Non affecté</x:v>
      </x:c>
      <x:c r="I403" t="str">
        <x:v>Livrable explicite, tests positifs et négatifs ; aucune validation déduite de la seule présence de la fiche.</x:v>
      </x:c>
      <x:c r="J403" t="str"/>
    </x:row>
    <x:row r="404">
      <x:c r="A404" t="str">
        <x:v>EXT-MONDE-T040/sauvegarde</x:v>
      </x:c>
      <x:c r="B404" t="str">
        <x:v>EXT-MONDE-T040</x:v>
      </x:c>
      <x:c r="C404" t="str">
        <x:v>Égouts</x:v>
      </x:c>
      <x:c r="D404" t="str">
        <x:v>Station souterraine de relevage</x:v>
      </x:c>
      <x:c r="E404" t="str">
        <x:v>Identités, migration et reprise</x:v>
      </x:c>
      <x:c r="F404" t="str">
        <x:v>P1</x:v>
      </x:c>
      <x:c r="G404" t="str">
        <x:v>En cours</x:v>
      </x:c>
      <x:c r="H404" t="str">
        <x:v>Production Codex</x:v>
      </x:c>
      <x:c r="I404" t="str">
        <x:v>Livrable explicite, tests positifs et négatifs ; aucune validation déduite de la seule présence de la fiche.</x:v>
      </x:c>
      <x:c r="J404" t="str">
        <x:v>https://github.com/darknigthmare/deadwall-last-enclosure/blob/1b3b9c5ba232734b1bda3453b4e20a0481bcdd74/docs/codex/suivi-monde2026/INSPECTION_PHYSIQUE_2026.md</x:v>
      </x:c>
    </x:row>
    <x:row r="405">
      <x:c r="A405" t="str">
        <x:v>EXT-MONDE-T040/qa</x:v>
      </x:c>
      <x:c r="B405" t="str">
        <x:v>EXT-MONDE-T040</x:v>
      </x:c>
      <x:c r="C405" t="str">
        <x:v>Égouts</x:v>
      </x:c>
      <x:c r="D405" t="str">
        <x:v>Station souterraine de relevage</x:v>
      </x:c>
      <x:c r="E405" t="str">
        <x:v>Navigation et parcours jouables</x:v>
      </x:c>
      <x:c r="F405" t="str">
        <x:v>P1</x:v>
      </x:c>
      <x:c r="G405" t="str">
        <x:v>En cours</x:v>
      </x:c>
      <x:c r="H405" t="str">
        <x:v>Production Codex</x:v>
      </x:c>
      <x:c r="I405" t="str">
        <x:v>Livrable explicite, tests positifs et négatifs ; aucune validation déduite de la seule présence de la fiche.</x:v>
      </x:c>
      <x:c r="J405" t="str">
        <x:v>https://github.com/darknigthmare/deadwall-last-enclosure/blob/1b3b9c5ba232734b1bda3453b4e20a0481bcdd74/docs/codex/suivi-monde2026/INSPECTION_PHYSIQUE_2026.md</x:v>
      </x:c>
    </x:row>
    <x:row r="406">
      <x:c r="A406" t="str">
        <x:v>EXT-MONDE-T041/dimensions</x:v>
      </x:c>
      <x:c r="B406" t="str">
        <x:v>EXT-MONDE-T041</x:v>
      </x:c>
      <x:c r="C406" t="str">
        <x:v>HLM visitables</x:v>
      </x:c>
      <x:c r="D406" t="str">
        <x:v>Barre HLM</x:v>
      </x:c>
      <x:c r="E406" t="str">
        <x:v>Dimensions et plans de référence</x:v>
      </x:c>
      <x:c r="F406" t="str">
        <x:v>P0</x:v>
      </x:c>
      <x:c r="G406" t="str">
        <x:v>En cours</x:v>
      </x:c>
      <x:c r="H406" t="str">
        <x:v>Production Codex</x:v>
      </x:c>
      <x:c r="I406" t="str">
        <x:v>Sources publiques identifiées ; unités en mètres ; emprise au sol distincte de la hauteur.</x:v>
      </x:c>
      <x:c r="J406" t="str">
        <x:v>https://github.com/darknigthmare/deadwall-last-enclosure/blob/1b3b9c5ba232734b1bda3453b4e20a0481bcdd74/docs/codex/suivi-monde2026/HLM_ASSAINISSEMENT_2026.md</x:v>
      </x:c>
    </x:row>
    <x:row r="407">
      <x:c r="A407" t="str">
        <x:v>EXT-MONDE-T041/architecture</x:v>
      </x:c>
      <x:c r="B407" t="str">
        <x:v>EXT-MONDE-T041</x:v>
      </x:c>
      <x:c r="C407" t="str">
        <x:v>HLM visitables</x:v>
      </x:c>
      <x:c r="D407" t="str">
        <x:v>Barre HLM</x:v>
      </x:c>
      <x:c r="E407" t="str">
        <x:v>Pièces, étages, annexes</x:v>
      </x:c>
      <x:c r="F407" t="str">
        <x:v>P0</x:v>
      </x:c>
      <x:c r="G407" t="str">
        <x:v>En cours</x:v>
      </x:c>
      <x:c r="H407" t="str">
        <x:v>Production Codex</x:v>
      </x:c>
      <x:c r="I407" t="str">
        <x:v>Livrable explicite, tests positifs et négatifs ; aucune validation déduite de la seule présence de la fiche.</x:v>
      </x:c>
      <x:c r="J407" t="str">
        <x:v>https://github.com/darknigthmare/deadwall-last-enclosure/blob/1b3b9c5ba232734b1bda3453b4e20a0481bcdd74/docs/codex/suivi-monde2026/INSPECTION_PHYSIQUE_2026.md</x:v>
      </x:c>
    </x:row>
    <x:row r="408">
      <x:c r="A408" t="str">
        <x:v>EXT-MONDE-T041/seed</x:v>
      </x:c>
      <x:c r="B408" t="str">
        <x:v>EXT-MONDE-T041</x:v>
      </x:c>
      <x:c r="C408" t="str">
        <x:v>HLM visitables</x:v>
      </x:c>
      <x:c r="D408" t="str">
        <x:v>Barre HLM</x:v>
      </x:c>
      <x:c r="E408" t="str">
        <x:v>Implantation et réseaux</x:v>
      </x:c>
      <x:c r="F408" t="str">
        <x:v>P0</x:v>
      </x:c>
      <x:c r="G408" t="str">
        <x:v>À faire</x:v>
      </x:c>
      <x:c r="H408" t="str">
        <x:v>Non affecté</x:v>
      </x:c>
      <x:c r="I408" t="str">
        <x:v>Logements répétés réellement ; portes vers circulation ; cages continues ; locaux techniques dédiés.</x:v>
      </x:c>
      <x:c r="J408" t="str"/>
    </x:row>
    <x:row r="409">
      <x:c r="A409" t="str">
        <x:v>EXT-MONDE-T041/props</x:v>
      </x:c>
      <x:c r="B409" t="str">
        <x:v>EXT-MONDE-T041</x:v>
      </x:c>
      <x:c r="C409" t="str">
        <x:v>HLM visitables</x:v>
      </x:c>
      <x:c r="D409" t="str">
        <x:v>Barre HLM</x:v>
      </x:c>
      <x:c r="E409" t="str">
        <x:v>Objets, décors et dégagements</x:v>
      </x:c>
      <x:c r="F409" t="str">
        <x:v>P1</x:v>
      </x:c>
      <x:c r="G409" t="str">
        <x:v>En cours</x:v>
      </x:c>
      <x:c r="H409" t="str">
        <x:v>Production Codex</x:v>
      </x:c>
      <x:c r="I409" t="str">
        <x:v>Livrable explicite, tests positifs et négatifs ; aucune validation déduite de la seule présence de la fiche.</x:v>
      </x:c>
      <x:c r="J409" t="str">
        <x:v>https://github.com/darknigthmare/deadwall-last-enclosure/blob/1b3b9c5ba232734b1bda3453b4e20a0481bcdd74/docs/codex/suivi-monde2026/INSPECTION_PHYSIQUE_2026.md</x:v>
      </x:c>
    </x:row>
    <x:row r="410">
      <x:c r="A410" t="str">
        <x:v>EXT-MONDE-T041/loot</x:v>
      </x:c>
      <x:c r="B410" t="str">
        <x:v>EXT-MONDE-T041</x:v>
      </x:c>
      <x:c r="C410" t="str">
        <x:v>HLM visitables</x:v>
      </x:c>
      <x:c r="D410" t="str">
        <x:v>Barre HLM</x:v>
      </x:c>
      <x:c r="E410" t="str">
        <x:v>Budget de butin persistant</x:v>
      </x:c>
      <x:c r="F410" t="str">
        <x:v>P1</x:v>
      </x:c>
      <x:c r="G410" t="str">
        <x:v>À faire</x:v>
      </x:c>
      <x:c r="H410" t="str">
        <x:v>Non affecté</x:v>
      </x:c>
      <x:c r="I410" t="str">
        <x:v>Livrable explicite, tests positifs et négatifs ; aucune validation déduite de la seule présence de la fiche.</x:v>
      </x:c>
      <x:c r="J410" t="str"/>
    </x:row>
    <x:row r="411">
      <x:c r="A411" t="str">
        <x:v>EXT-MONDE-T041/rencontres</x:v>
      </x:c>
      <x:c r="B411" t="str">
        <x:v>EXT-MONDE-T041</x:v>
      </x:c>
      <x:c r="C411" t="str">
        <x:v>HLM visitables</x:v>
      </x:c>
      <x:c r="D411" t="str">
        <x:v>Barre HLM</x:v>
      </x:c>
      <x:c r="E411" t="str">
        <x:v>Ennemis et faune contextualisés</x:v>
      </x:c>
      <x:c r="F411" t="str">
        <x:v>P1</x:v>
      </x:c>
      <x:c r="G411" t="str">
        <x:v>À faire</x:v>
      </x:c>
      <x:c r="H411" t="str">
        <x:v>Non affecté</x:v>
      </x:c>
      <x:c r="I411" t="str">
        <x:v>Livrable explicite, tests positifs et négatifs ; aucune validation déduite de la seule présence de la fiche.</x:v>
      </x:c>
      <x:c r="J411" t="str"/>
    </x:row>
    <x:row r="412">
      <x:c r="A412" t="str">
        <x:v>EXT-MONDE-T041/services</x:v>
      </x:c>
      <x:c r="B412" t="str">
        <x:v>EXT-MONDE-T041</x:v>
      </x:c>
      <x:c r="C412" t="str">
        <x:v>HLM visitables</x:v>
      </x:c>
      <x:c r="D412" t="str">
        <x:v>Barre HLM</x:v>
      </x:c>
      <x:c r="E412" t="str">
        <x:v>Énergie, eau et interactions</x:v>
      </x:c>
      <x:c r="F412" t="str">
        <x:v>P1</x:v>
      </x:c>
      <x:c r="G412" t="str">
        <x:v>À faire</x:v>
      </x:c>
      <x:c r="H412" t="str">
        <x:v>Non affecté</x:v>
      </x:c>
      <x:c r="I412" t="str">
        <x:v>Livrable explicite, tests positifs et négatifs ; aucune validation déduite de la seule présence de la fiche.</x:v>
      </x:c>
      <x:c r="J412" t="str"/>
    </x:row>
    <x:row r="413">
      <x:c r="A413" t="str">
        <x:v>EXT-MONDE-T041/art</x:v>
      </x:c>
      <x:c r="B413" t="str">
        <x:v>EXT-MONDE-T041</x:v>
      </x:c>
      <x:c r="C413" t="str">
        <x:v>HLM visitables</x:v>
      </x:c>
      <x:c r="D413" t="str">
        <x:v>Barre HLM</x:v>
      </x:c>
      <x:c r="E413" t="str">
        <x:v>Sprites, proportions et animations</x:v>
      </x:c>
      <x:c r="F413" t="str">
        <x:v>P1</x:v>
      </x:c>
      <x:c r="G413" t="str">
        <x:v>À faire</x:v>
      </x:c>
      <x:c r="H413" t="str">
        <x:v>Non affecté</x:v>
      </x:c>
      <x:c r="I413" t="str">
        <x:v>Livrable explicite, tests positifs et négatifs ; aucune validation déduite de la seule présence de la fiche.</x:v>
      </x:c>
      <x:c r="J413" t="str"/>
    </x:row>
    <x:row r="414">
      <x:c r="A414" t="str">
        <x:v>EXT-MONDE-T041/sauvegarde</x:v>
      </x:c>
      <x:c r="B414" t="str">
        <x:v>EXT-MONDE-T041</x:v>
      </x:c>
      <x:c r="C414" t="str">
        <x:v>HLM visitables</x:v>
      </x:c>
      <x:c r="D414" t="str">
        <x:v>Barre HLM</x:v>
      </x:c>
      <x:c r="E414" t="str">
        <x:v>Identités, migration et reprise</x:v>
      </x:c>
      <x:c r="F414" t="str">
        <x:v>P1</x:v>
      </x:c>
      <x:c r="G414" t="str">
        <x:v>En cours</x:v>
      </x:c>
      <x:c r="H414" t="str">
        <x:v>Production Codex</x:v>
      </x:c>
      <x:c r="I414" t="str">
        <x:v>Livrable explicite, tests positifs et négatifs ; aucune validation déduite de la seule présence de la fiche.</x:v>
      </x:c>
      <x:c r="J414" t="str">
        <x:v>https://github.com/darknigthmare/deadwall-last-enclosure/blob/1b3b9c5ba232734b1bda3453b4e20a0481bcdd74/docs/codex/suivi-monde2026/INSPECTION_PHYSIQUE_2026.md</x:v>
      </x:c>
    </x:row>
    <x:row r="415">
      <x:c r="A415" t="str">
        <x:v>EXT-MONDE-T041/qa</x:v>
      </x:c>
      <x:c r="B415" t="str">
        <x:v>EXT-MONDE-T041</x:v>
      </x:c>
      <x:c r="C415" t="str">
        <x:v>HLM visitables</x:v>
      </x:c>
      <x:c r="D415" t="str">
        <x:v>Barre HLM</x:v>
      </x:c>
      <x:c r="E415" t="str">
        <x:v>Navigation et parcours jouables</x:v>
      </x:c>
      <x:c r="F415" t="str">
        <x:v>P1</x:v>
      </x:c>
      <x:c r="G415" t="str">
        <x:v>En cours</x:v>
      </x:c>
      <x:c r="H415" t="str">
        <x:v>Production Codex</x:v>
      </x:c>
      <x:c r="I415" t="str">
        <x:v>Livrable explicite, tests positifs et négatifs ; aucune validation déduite de la seule présence de la fiche.</x:v>
      </x:c>
      <x:c r="J415" t="str">
        <x:v>https://github.com/darknigthmare/deadwall-last-enclosure/blob/1b3b9c5ba232734b1bda3453b4e20a0481bcdd74/docs/codex/suivi-monde2026/INSPECTION_PHYSIQUE_2026.md</x:v>
      </x:c>
    </x:row>
    <x:row r="416">
      <x:c r="A416" t="str">
        <x:v>EXT-MONDE-T042/dimensions</x:v>
      </x:c>
      <x:c r="B416" t="str">
        <x:v>EXT-MONDE-T042</x:v>
      </x:c>
      <x:c r="C416" t="str">
        <x:v>HLM visitables</x:v>
      </x:c>
      <x:c r="D416" t="str">
        <x:v>Tour HLM</x:v>
      </x:c>
      <x:c r="E416" t="str">
        <x:v>Dimensions et plans de référence</x:v>
      </x:c>
      <x:c r="F416" t="str">
        <x:v>P0</x:v>
      </x:c>
      <x:c r="G416" t="str">
        <x:v>En cours</x:v>
      </x:c>
      <x:c r="H416" t="str">
        <x:v>Production Codex</x:v>
      </x:c>
      <x:c r="I416" t="str">
        <x:v>Sources publiques identifiées ; unités en mètres ; emprise au sol distincte de la hauteur.</x:v>
      </x:c>
      <x:c r="J416" t="str">
        <x:v>https://github.com/darknigthmare/deadwall-last-enclosure/blob/1b3b9c5ba232734b1bda3453b4e20a0481bcdd74/docs/codex/suivi-monde2026/HLM_ASSAINISSEMENT_2026.md</x:v>
      </x:c>
    </x:row>
    <x:row r="417">
      <x:c r="A417" t="str">
        <x:v>EXT-MONDE-T042/architecture</x:v>
      </x:c>
      <x:c r="B417" t="str">
        <x:v>EXT-MONDE-T042</x:v>
      </x:c>
      <x:c r="C417" t="str">
        <x:v>HLM visitables</x:v>
      </x:c>
      <x:c r="D417" t="str">
        <x:v>Tour HLM</x:v>
      </x:c>
      <x:c r="E417" t="str">
        <x:v>Pièces, étages, annexes</x:v>
      </x:c>
      <x:c r="F417" t="str">
        <x:v>P0</x:v>
      </x:c>
      <x:c r="G417" t="str">
        <x:v>En cours</x:v>
      </x:c>
      <x:c r="H417" t="str">
        <x:v>Production Codex</x:v>
      </x:c>
      <x:c r="I417" t="str">
        <x:v>Livrable explicite, tests positifs et négatifs ; aucune validation déduite de la seule présence de la fiche.</x:v>
      </x:c>
      <x:c r="J417" t="str">
        <x:v>https://github.com/darknigthmare/deadwall-last-enclosure/blob/1b3b9c5ba232734b1bda3453b4e20a0481bcdd74/docs/codex/suivi-monde2026/INSPECTION_PHYSIQUE_2026.md</x:v>
      </x:c>
    </x:row>
    <x:row r="418">
      <x:c r="A418" t="str">
        <x:v>EXT-MONDE-T042/seed</x:v>
      </x:c>
      <x:c r="B418" t="str">
        <x:v>EXT-MONDE-T042</x:v>
      </x:c>
      <x:c r="C418" t="str">
        <x:v>HLM visitables</x:v>
      </x:c>
      <x:c r="D418" t="str">
        <x:v>Tour HLM</x:v>
      </x:c>
      <x:c r="E418" t="str">
        <x:v>Implantation et réseaux</x:v>
      </x:c>
      <x:c r="F418" t="str">
        <x:v>P0</x:v>
      </x:c>
      <x:c r="G418" t="str">
        <x:v>À faire</x:v>
      </x:c>
      <x:c r="H418" t="str">
        <x:v>Non affecté</x:v>
      </x:c>
      <x:c r="I418" t="str">
        <x:v>Logements répétés réellement ; portes vers circulation ; cages continues ; locaux techniques dédiés.</x:v>
      </x:c>
      <x:c r="J418" t="str"/>
    </x:row>
    <x:row r="419">
      <x:c r="A419" t="str">
        <x:v>EXT-MONDE-T042/props</x:v>
      </x:c>
      <x:c r="B419" t="str">
        <x:v>EXT-MONDE-T042</x:v>
      </x:c>
      <x:c r="C419" t="str">
        <x:v>HLM visitables</x:v>
      </x:c>
      <x:c r="D419" t="str">
        <x:v>Tour HLM</x:v>
      </x:c>
      <x:c r="E419" t="str">
        <x:v>Objets, décors et dégagements</x:v>
      </x:c>
      <x:c r="F419" t="str">
        <x:v>P1</x:v>
      </x:c>
      <x:c r="G419" t="str">
        <x:v>En cours</x:v>
      </x:c>
      <x:c r="H419" t="str">
        <x:v>Production Codex</x:v>
      </x:c>
      <x:c r="I419" t="str">
        <x:v>Livrable explicite, tests positifs et négatifs ; aucune validation déduite de la seule présence de la fiche.</x:v>
      </x:c>
      <x:c r="J419" t="str">
        <x:v>https://github.com/darknigthmare/deadwall-last-enclosure/blob/1b3b9c5ba232734b1bda3453b4e20a0481bcdd74/docs/codex/suivi-monde2026/INSPECTION_PHYSIQUE_2026.md</x:v>
      </x:c>
    </x:row>
    <x:row r="420">
      <x:c r="A420" t="str">
        <x:v>EXT-MONDE-T042/loot</x:v>
      </x:c>
      <x:c r="B420" t="str">
        <x:v>EXT-MONDE-T042</x:v>
      </x:c>
      <x:c r="C420" t="str">
        <x:v>HLM visitables</x:v>
      </x:c>
      <x:c r="D420" t="str">
        <x:v>Tour HLM</x:v>
      </x:c>
      <x:c r="E420" t="str">
        <x:v>Budget de butin persistant</x:v>
      </x:c>
      <x:c r="F420" t="str">
        <x:v>P1</x:v>
      </x:c>
      <x:c r="G420" t="str">
        <x:v>À faire</x:v>
      </x:c>
      <x:c r="H420" t="str">
        <x:v>Non affecté</x:v>
      </x:c>
      <x:c r="I420" t="str">
        <x:v>Livrable explicite, tests positifs et négatifs ; aucune validation déduite de la seule présence de la fiche.</x:v>
      </x:c>
      <x:c r="J420" t="str"/>
    </x:row>
    <x:row r="421">
      <x:c r="A421" t="str">
        <x:v>EXT-MONDE-T042/rencontres</x:v>
      </x:c>
      <x:c r="B421" t="str">
        <x:v>EXT-MONDE-T042</x:v>
      </x:c>
      <x:c r="C421" t="str">
        <x:v>HLM visitables</x:v>
      </x:c>
      <x:c r="D421" t="str">
        <x:v>Tour HLM</x:v>
      </x:c>
      <x:c r="E421" t="str">
        <x:v>Ennemis et faune contextualisés</x:v>
      </x:c>
      <x:c r="F421" t="str">
        <x:v>P1</x:v>
      </x:c>
      <x:c r="G421" t="str">
        <x:v>À faire</x:v>
      </x:c>
      <x:c r="H421" t="str">
        <x:v>Non affecté</x:v>
      </x:c>
      <x:c r="I421" t="str">
        <x:v>Livrable explicite, tests positifs et négatifs ; aucune validation déduite de la seule présence de la fiche.</x:v>
      </x:c>
      <x:c r="J421" t="str"/>
    </x:row>
    <x:row r="422">
      <x:c r="A422" t="str">
        <x:v>EXT-MONDE-T042/services</x:v>
      </x:c>
      <x:c r="B422" t="str">
        <x:v>EXT-MONDE-T042</x:v>
      </x:c>
      <x:c r="C422" t="str">
        <x:v>HLM visitables</x:v>
      </x:c>
      <x:c r="D422" t="str">
        <x:v>Tour HLM</x:v>
      </x:c>
      <x:c r="E422" t="str">
        <x:v>Énergie, eau et interactions</x:v>
      </x:c>
      <x:c r="F422" t="str">
        <x:v>P1</x:v>
      </x:c>
      <x:c r="G422" t="str">
        <x:v>À faire</x:v>
      </x:c>
      <x:c r="H422" t="str">
        <x:v>Non affecté</x:v>
      </x:c>
      <x:c r="I422" t="str">
        <x:v>Livrable explicite, tests positifs et négatifs ; aucune validation déduite de la seule présence de la fiche.</x:v>
      </x:c>
      <x:c r="J422" t="str"/>
    </x:row>
    <x:row r="423">
      <x:c r="A423" t="str">
        <x:v>EXT-MONDE-T042/art</x:v>
      </x:c>
      <x:c r="B423" t="str">
        <x:v>EXT-MONDE-T042</x:v>
      </x:c>
      <x:c r="C423" t="str">
        <x:v>HLM visitables</x:v>
      </x:c>
      <x:c r="D423" t="str">
        <x:v>Tour HLM</x:v>
      </x:c>
      <x:c r="E423" t="str">
        <x:v>Sprites, proportions et animations</x:v>
      </x:c>
      <x:c r="F423" t="str">
        <x:v>P1</x:v>
      </x:c>
      <x:c r="G423" t="str">
        <x:v>À faire</x:v>
      </x:c>
      <x:c r="H423" t="str">
        <x:v>Non affecté</x:v>
      </x:c>
      <x:c r="I423" t="str">
        <x:v>Livrable explicite, tests positifs et négatifs ; aucune validation déduite de la seule présence de la fiche.</x:v>
      </x:c>
      <x:c r="J423" t="str"/>
    </x:row>
    <x:row r="424">
      <x:c r="A424" t="str">
        <x:v>EXT-MONDE-T042/sauvegarde</x:v>
      </x:c>
      <x:c r="B424" t="str">
        <x:v>EXT-MONDE-T042</x:v>
      </x:c>
      <x:c r="C424" t="str">
        <x:v>HLM visitables</x:v>
      </x:c>
      <x:c r="D424" t="str">
        <x:v>Tour HLM</x:v>
      </x:c>
      <x:c r="E424" t="str">
        <x:v>Identités, migration et reprise</x:v>
      </x:c>
      <x:c r="F424" t="str">
        <x:v>P1</x:v>
      </x:c>
      <x:c r="G424" t="str">
        <x:v>En cours</x:v>
      </x:c>
      <x:c r="H424" t="str">
        <x:v>Production Codex</x:v>
      </x:c>
      <x:c r="I424" t="str">
        <x:v>Livrable explicite, tests positifs et négatifs ; aucune validation déduite de la seule présence de la fiche.</x:v>
      </x:c>
      <x:c r="J424" t="str">
        <x:v>https://github.com/darknigthmare/deadwall-last-enclosure/blob/1b3b9c5ba232734b1bda3453b4e20a0481bcdd74/docs/codex/suivi-monde2026/INSPECTION_PHYSIQUE_2026.md</x:v>
      </x:c>
    </x:row>
    <x:row r="425">
      <x:c r="A425" t="str">
        <x:v>EXT-MONDE-T042/qa</x:v>
      </x:c>
      <x:c r="B425" t="str">
        <x:v>EXT-MONDE-T042</x:v>
      </x:c>
      <x:c r="C425" t="str">
        <x:v>HLM visitables</x:v>
      </x:c>
      <x:c r="D425" t="str">
        <x:v>Tour HLM</x:v>
      </x:c>
      <x:c r="E425" t="str">
        <x:v>Navigation et parcours jouables</x:v>
      </x:c>
      <x:c r="F425" t="str">
        <x:v>P1</x:v>
      </x:c>
      <x:c r="G425" t="str">
        <x:v>En cours</x:v>
      </x:c>
      <x:c r="H425" t="str">
        <x:v>Production Codex</x:v>
      </x:c>
      <x:c r="I425" t="str">
        <x:v>Livrable explicite, tests positifs et négatifs ; aucune validation déduite de la seule présence de la fiche.</x:v>
      </x:c>
      <x:c r="J425" t="str">
        <x:v>https://github.com/darknigthmare/deadwall-last-enclosure/blob/1b3b9c5ba232734b1bda3453b4e20a0481bcdd74/docs/codex/suivi-monde2026/INSPECTION_PHYSIQUE_2026.md</x:v>
      </x:c>
    </x:row>
    <x:row r="426">
      <x:c r="A426" t="str">
        <x:v>EXT-MONDE-T043/dimensions</x:v>
      </x:c>
      <x:c r="B426" t="str">
        <x:v>EXT-MONDE-T043</x:v>
      </x:c>
      <x:c r="C426" t="str">
        <x:v>HLM visitables</x:v>
      </x:c>
      <x:c r="D426" t="str">
        <x:v>Résidence en cour</x:v>
      </x:c>
      <x:c r="E426" t="str">
        <x:v>Dimensions et plans de référence</x:v>
      </x:c>
      <x:c r="F426" t="str">
        <x:v>P0</x:v>
      </x:c>
      <x:c r="G426" t="str">
        <x:v>En cours</x:v>
      </x:c>
      <x:c r="H426" t="str">
        <x:v>Production Codex</x:v>
      </x:c>
      <x:c r="I426" t="str">
        <x:v>Sources publiques identifiées ; unités en mètres ; emprise au sol distincte de la hauteur.</x:v>
      </x:c>
      <x:c r="J426" t="str">
        <x:v>https://github.com/darknigthmare/deadwall-last-enclosure/blob/1b3b9c5ba232734b1bda3453b4e20a0481bcdd74/docs/codex/suivi-monde2026/HLM_ASSAINISSEMENT_2026.md</x:v>
      </x:c>
    </x:row>
    <x:row r="427">
      <x:c r="A427" t="str">
        <x:v>EXT-MONDE-T043/architecture</x:v>
      </x:c>
      <x:c r="B427" t="str">
        <x:v>EXT-MONDE-T043</x:v>
      </x:c>
      <x:c r="C427" t="str">
        <x:v>HLM visitables</x:v>
      </x:c>
      <x:c r="D427" t="str">
        <x:v>Résidence en cour</x:v>
      </x:c>
      <x:c r="E427" t="str">
        <x:v>Pièces, étages, annexes</x:v>
      </x:c>
      <x:c r="F427" t="str">
        <x:v>P0</x:v>
      </x:c>
      <x:c r="G427" t="str">
        <x:v>En cours</x:v>
      </x:c>
      <x:c r="H427" t="str">
        <x:v>Production Codex</x:v>
      </x:c>
      <x:c r="I427" t="str">
        <x:v>Livrable explicite, tests positifs et négatifs ; aucune validation déduite de la seule présence de la fiche.</x:v>
      </x:c>
      <x:c r="J427" t="str">
        <x:v>https://github.com/darknigthmare/deadwall-last-enclosure/blob/1b3b9c5ba232734b1bda3453b4e20a0481bcdd74/docs/codex/suivi-monde2026/INSPECTION_PHYSIQUE_2026.md</x:v>
      </x:c>
    </x:row>
    <x:row r="428">
      <x:c r="A428" t="str">
        <x:v>EXT-MONDE-T043/seed</x:v>
      </x:c>
      <x:c r="B428" t="str">
        <x:v>EXT-MONDE-T043</x:v>
      </x:c>
      <x:c r="C428" t="str">
        <x:v>HLM visitables</x:v>
      </x:c>
      <x:c r="D428" t="str">
        <x:v>Résidence en cour</x:v>
      </x:c>
      <x:c r="E428" t="str">
        <x:v>Implantation et réseaux</x:v>
      </x:c>
      <x:c r="F428" t="str">
        <x:v>P0</x:v>
      </x:c>
      <x:c r="G428" t="str">
        <x:v>À faire</x:v>
      </x:c>
      <x:c r="H428" t="str">
        <x:v>Non affecté</x:v>
      </x:c>
      <x:c r="I428" t="str">
        <x:v>Logements répétés réellement ; portes vers circulation ; cages continues ; locaux techniques dédiés.</x:v>
      </x:c>
      <x:c r="J428" t="str"/>
    </x:row>
    <x:row r="429">
      <x:c r="A429" t="str">
        <x:v>EXT-MONDE-T043/props</x:v>
      </x:c>
      <x:c r="B429" t="str">
        <x:v>EXT-MONDE-T043</x:v>
      </x:c>
      <x:c r="C429" t="str">
        <x:v>HLM visitables</x:v>
      </x:c>
      <x:c r="D429" t="str">
        <x:v>Résidence en cour</x:v>
      </x:c>
      <x:c r="E429" t="str">
        <x:v>Objets, décors et dégagements</x:v>
      </x:c>
      <x:c r="F429" t="str">
        <x:v>P1</x:v>
      </x:c>
      <x:c r="G429" t="str">
        <x:v>En cours</x:v>
      </x:c>
      <x:c r="H429" t="str">
        <x:v>Production Codex</x:v>
      </x:c>
      <x:c r="I429" t="str">
        <x:v>Livrable explicite, tests positifs et négatifs ; aucune validation déduite de la seule présence de la fiche.</x:v>
      </x:c>
      <x:c r="J429" t="str">
        <x:v>https://github.com/darknigthmare/deadwall-last-enclosure/blob/1b3b9c5ba232734b1bda3453b4e20a0481bcdd74/docs/codex/suivi-monde2026/INSPECTION_PHYSIQUE_2026.md</x:v>
      </x:c>
    </x:row>
    <x:row r="430">
      <x:c r="A430" t="str">
        <x:v>EXT-MONDE-T043/loot</x:v>
      </x:c>
      <x:c r="B430" t="str">
        <x:v>EXT-MONDE-T043</x:v>
      </x:c>
      <x:c r="C430" t="str">
        <x:v>HLM visitables</x:v>
      </x:c>
      <x:c r="D430" t="str">
        <x:v>Résidence en cour</x:v>
      </x:c>
      <x:c r="E430" t="str">
        <x:v>Budget de butin persistant</x:v>
      </x:c>
      <x:c r="F430" t="str">
        <x:v>P1</x:v>
      </x:c>
      <x:c r="G430" t="str">
        <x:v>À faire</x:v>
      </x:c>
      <x:c r="H430" t="str">
        <x:v>Non affecté</x:v>
      </x:c>
      <x:c r="I430" t="str">
        <x:v>Livrable explicite, tests positifs et négatifs ; aucune validation déduite de la seule présence de la fiche.</x:v>
      </x:c>
      <x:c r="J430" t="str"/>
    </x:row>
    <x:row r="431">
      <x:c r="A431" t="str">
        <x:v>EXT-MONDE-T043/rencontres</x:v>
      </x:c>
      <x:c r="B431" t="str">
        <x:v>EXT-MONDE-T043</x:v>
      </x:c>
      <x:c r="C431" t="str">
        <x:v>HLM visitables</x:v>
      </x:c>
      <x:c r="D431" t="str">
        <x:v>Résidence en cour</x:v>
      </x:c>
      <x:c r="E431" t="str">
        <x:v>Ennemis et faune contextualisés</x:v>
      </x:c>
      <x:c r="F431" t="str">
        <x:v>P1</x:v>
      </x:c>
      <x:c r="G431" t="str">
        <x:v>À faire</x:v>
      </x:c>
      <x:c r="H431" t="str">
        <x:v>Non affecté</x:v>
      </x:c>
      <x:c r="I431" t="str">
        <x:v>Livrable explicite, tests positifs et négatifs ; aucune validation déduite de la seule présence de la fiche.</x:v>
      </x:c>
      <x:c r="J431" t="str"/>
    </x:row>
    <x:row r="432">
      <x:c r="A432" t="str">
        <x:v>EXT-MONDE-T043/services</x:v>
      </x:c>
      <x:c r="B432" t="str">
        <x:v>EXT-MONDE-T043</x:v>
      </x:c>
      <x:c r="C432" t="str">
        <x:v>HLM visitables</x:v>
      </x:c>
      <x:c r="D432" t="str">
        <x:v>Résidence en cour</x:v>
      </x:c>
      <x:c r="E432" t="str">
        <x:v>Énergie, eau et interactions</x:v>
      </x:c>
      <x:c r="F432" t="str">
        <x:v>P1</x:v>
      </x:c>
      <x:c r="G432" t="str">
        <x:v>À faire</x:v>
      </x:c>
      <x:c r="H432" t="str">
        <x:v>Non affecté</x:v>
      </x:c>
      <x:c r="I432" t="str">
        <x:v>Livrable explicite, tests positifs et négatifs ; aucune validation déduite de la seule présence de la fiche.</x:v>
      </x:c>
      <x:c r="J432" t="str"/>
    </x:row>
    <x:row r="433">
      <x:c r="A433" t="str">
        <x:v>EXT-MONDE-T043/art</x:v>
      </x:c>
      <x:c r="B433" t="str">
        <x:v>EXT-MONDE-T043</x:v>
      </x:c>
      <x:c r="C433" t="str">
        <x:v>HLM visitables</x:v>
      </x:c>
      <x:c r="D433" t="str">
        <x:v>Résidence en cour</x:v>
      </x:c>
      <x:c r="E433" t="str">
        <x:v>Sprites, proportions et animations</x:v>
      </x:c>
      <x:c r="F433" t="str">
        <x:v>P1</x:v>
      </x:c>
      <x:c r="G433" t="str">
        <x:v>À faire</x:v>
      </x:c>
      <x:c r="H433" t="str">
        <x:v>Non affecté</x:v>
      </x:c>
      <x:c r="I433" t="str">
        <x:v>Livrable explicite, tests positifs et négatifs ; aucune validation déduite de la seule présence de la fiche.</x:v>
      </x:c>
      <x:c r="J433" t="str"/>
    </x:row>
    <x:row r="434">
      <x:c r="A434" t="str">
        <x:v>EXT-MONDE-T043/sauvegarde</x:v>
      </x:c>
      <x:c r="B434" t="str">
        <x:v>EXT-MONDE-T043</x:v>
      </x:c>
      <x:c r="C434" t="str">
        <x:v>HLM visitables</x:v>
      </x:c>
      <x:c r="D434" t="str">
        <x:v>Résidence en cour</x:v>
      </x:c>
      <x:c r="E434" t="str">
        <x:v>Identités, migration et reprise</x:v>
      </x:c>
      <x:c r="F434" t="str">
        <x:v>P1</x:v>
      </x:c>
      <x:c r="G434" t="str">
        <x:v>En cours</x:v>
      </x:c>
      <x:c r="H434" t="str">
        <x:v>Production Codex</x:v>
      </x:c>
      <x:c r="I434" t="str">
        <x:v>Livrable explicite, tests positifs et négatifs ; aucune validation déduite de la seule présence de la fiche.</x:v>
      </x:c>
      <x:c r="J434" t="str">
        <x:v>https://github.com/darknigthmare/deadwall-last-enclosure/blob/1b3b9c5ba232734b1bda3453b4e20a0481bcdd74/docs/codex/suivi-monde2026/INSPECTION_PHYSIQUE_2026.md</x:v>
      </x:c>
    </x:row>
    <x:row r="435">
      <x:c r="A435" t="str">
        <x:v>EXT-MONDE-T043/qa</x:v>
      </x:c>
      <x:c r="B435" t="str">
        <x:v>EXT-MONDE-T043</x:v>
      </x:c>
      <x:c r="C435" t="str">
        <x:v>HLM visitables</x:v>
      </x:c>
      <x:c r="D435" t="str">
        <x:v>Résidence en cour</x:v>
      </x:c>
      <x:c r="E435" t="str">
        <x:v>Navigation et parcours jouables</x:v>
      </x:c>
      <x:c r="F435" t="str">
        <x:v>P1</x:v>
      </x:c>
      <x:c r="G435" t="str">
        <x:v>En cours</x:v>
      </x:c>
      <x:c r="H435" t="str">
        <x:v>Production Codex</x:v>
      </x:c>
      <x:c r="I435" t="str">
        <x:v>Livrable explicite, tests positifs et négatifs ; aucune validation déduite de la seule présence de la fiche.</x:v>
      </x:c>
      <x:c r="J435" t="str">
        <x:v>https://github.com/darknigthmare/deadwall-last-enclosure/blob/1b3b9c5ba232734b1bda3453b4e20a0481bcdd74/docs/codex/suivi-monde2026/INSPECTION_PHYSIQUE_2026.md</x:v>
      </x:c>
    </x:row>
    <x:row r="436">
      <x:c r="A436" t="str">
        <x:v>EXT-MONDE-T044/dimensions</x:v>
      </x:c>
      <x:c r="B436" t="str">
        <x:v>EXT-MONDE-T044</x:v>
      </x:c>
      <x:c r="C436" t="str">
        <x:v>HLM visitables</x:v>
      </x:c>
      <x:c r="D436" t="str">
        <x:v>Ensemble HLM mixte</x:v>
      </x:c>
      <x:c r="E436" t="str">
        <x:v>Dimensions et plans de référence</x:v>
      </x:c>
      <x:c r="F436" t="str">
        <x:v>P0</x:v>
      </x:c>
      <x:c r="G436" t="str">
        <x:v>En cours</x:v>
      </x:c>
      <x:c r="H436" t="str">
        <x:v>Production Codex</x:v>
      </x:c>
      <x:c r="I436" t="str">
        <x:v>Sources publiques identifiées ; unités en mètres ; emprise au sol distincte de la hauteur.</x:v>
      </x:c>
      <x:c r="J436" t="str">
        <x:v>https://github.com/darknigthmare/deadwall-last-enclosure/blob/1b3b9c5ba232734b1bda3453b4e20a0481bcdd74/docs/codex/suivi-monde2026/HLM_ASSAINISSEMENT_2026.md</x:v>
      </x:c>
    </x:row>
    <x:row r="437">
      <x:c r="A437" t="str">
        <x:v>EXT-MONDE-T044/architecture</x:v>
      </x:c>
      <x:c r="B437" t="str">
        <x:v>EXT-MONDE-T044</x:v>
      </x:c>
      <x:c r="C437" t="str">
        <x:v>HLM visitables</x:v>
      </x:c>
      <x:c r="D437" t="str">
        <x:v>Ensemble HLM mixte</x:v>
      </x:c>
      <x:c r="E437" t="str">
        <x:v>Pièces, étages, annexes</x:v>
      </x:c>
      <x:c r="F437" t="str">
        <x:v>P0</x:v>
      </x:c>
      <x:c r="G437" t="str">
        <x:v>En cours</x:v>
      </x:c>
      <x:c r="H437" t="str">
        <x:v>Production Codex</x:v>
      </x:c>
      <x:c r="I437" t="str">
        <x:v>Livrable explicite, tests positifs et négatifs ; aucune validation déduite de la seule présence de la fiche.</x:v>
      </x:c>
      <x:c r="J437" t="str">
        <x:v>https://github.com/darknigthmare/deadwall-last-enclosure/blob/1b3b9c5ba232734b1bda3453b4e20a0481bcdd74/docs/codex/suivi-monde2026/INSPECTION_PHYSIQUE_2026.md</x:v>
      </x:c>
    </x:row>
    <x:row r="438">
      <x:c r="A438" t="str">
        <x:v>EXT-MONDE-T044/seed</x:v>
      </x:c>
      <x:c r="B438" t="str">
        <x:v>EXT-MONDE-T044</x:v>
      </x:c>
      <x:c r="C438" t="str">
        <x:v>HLM visitables</x:v>
      </x:c>
      <x:c r="D438" t="str">
        <x:v>Ensemble HLM mixte</x:v>
      </x:c>
      <x:c r="E438" t="str">
        <x:v>Implantation et réseaux</x:v>
      </x:c>
      <x:c r="F438" t="str">
        <x:v>P0</x:v>
      </x:c>
      <x:c r="G438" t="str">
        <x:v>À faire</x:v>
      </x:c>
      <x:c r="H438" t="str">
        <x:v>Non affecté</x:v>
      </x:c>
      <x:c r="I438" t="str">
        <x:v>Logements répétés réellement ; portes vers circulation ; cages continues ; locaux techniques dédiés.</x:v>
      </x:c>
      <x:c r="J438" t="str"/>
    </x:row>
    <x:row r="439">
      <x:c r="A439" t="str">
        <x:v>EXT-MONDE-T044/props</x:v>
      </x:c>
      <x:c r="B439" t="str">
        <x:v>EXT-MONDE-T044</x:v>
      </x:c>
      <x:c r="C439" t="str">
        <x:v>HLM visitables</x:v>
      </x:c>
      <x:c r="D439" t="str">
        <x:v>Ensemble HLM mixte</x:v>
      </x:c>
      <x:c r="E439" t="str">
        <x:v>Objets, décors et dégagements</x:v>
      </x:c>
      <x:c r="F439" t="str">
        <x:v>P1</x:v>
      </x:c>
      <x:c r="G439" t="str">
        <x:v>En cours</x:v>
      </x:c>
      <x:c r="H439" t="str">
        <x:v>Production Codex</x:v>
      </x:c>
      <x:c r="I439" t="str">
        <x:v>Livrable explicite, tests positifs et négatifs ; aucune validation déduite de la seule présence de la fiche.</x:v>
      </x:c>
      <x:c r="J439" t="str">
        <x:v>https://github.com/darknigthmare/deadwall-last-enclosure/blob/1b3b9c5ba232734b1bda3453b4e20a0481bcdd74/docs/codex/suivi-monde2026/INSPECTION_PHYSIQUE_2026.md</x:v>
      </x:c>
    </x:row>
    <x:row r="440">
      <x:c r="A440" t="str">
        <x:v>EXT-MONDE-T044/loot</x:v>
      </x:c>
      <x:c r="B440" t="str">
        <x:v>EXT-MONDE-T044</x:v>
      </x:c>
      <x:c r="C440" t="str">
        <x:v>HLM visitables</x:v>
      </x:c>
      <x:c r="D440" t="str">
        <x:v>Ensemble HLM mixte</x:v>
      </x:c>
      <x:c r="E440" t="str">
        <x:v>Budget de butin persistant</x:v>
      </x:c>
      <x:c r="F440" t="str">
        <x:v>P1</x:v>
      </x:c>
      <x:c r="G440" t="str">
        <x:v>À faire</x:v>
      </x:c>
      <x:c r="H440" t="str">
        <x:v>Non affecté</x:v>
      </x:c>
      <x:c r="I440" t="str">
        <x:v>Livrable explicite, tests positifs et négatifs ; aucune validation déduite de la seule présence de la fiche.</x:v>
      </x:c>
      <x:c r="J440" t="str"/>
    </x:row>
    <x:row r="441">
      <x:c r="A441" t="str">
        <x:v>EXT-MONDE-T044/rencontres</x:v>
      </x:c>
      <x:c r="B441" t="str">
        <x:v>EXT-MONDE-T044</x:v>
      </x:c>
      <x:c r="C441" t="str">
        <x:v>HLM visitables</x:v>
      </x:c>
      <x:c r="D441" t="str">
        <x:v>Ensemble HLM mixte</x:v>
      </x:c>
      <x:c r="E441" t="str">
        <x:v>Ennemis et faune contextualisés</x:v>
      </x:c>
      <x:c r="F441" t="str">
        <x:v>P1</x:v>
      </x:c>
      <x:c r="G441" t="str">
        <x:v>À faire</x:v>
      </x:c>
      <x:c r="H441" t="str">
        <x:v>Non affecté</x:v>
      </x:c>
      <x:c r="I441" t="str">
        <x:v>Livrable explicite, tests positifs et négatifs ; aucune validation déduite de la seule présence de la fiche.</x:v>
      </x:c>
      <x:c r="J441" t="str"/>
    </x:row>
    <x:row r="442">
      <x:c r="A442" t="str">
        <x:v>EXT-MONDE-T044/services</x:v>
      </x:c>
      <x:c r="B442" t="str">
        <x:v>EXT-MONDE-T044</x:v>
      </x:c>
      <x:c r="C442" t="str">
        <x:v>HLM visitables</x:v>
      </x:c>
      <x:c r="D442" t="str">
        <x:v>Ensemble HLM mixte</x:v>
      </x:c>
      <x:c r="E442" t="str">
        <x:v>Énergie, eau et interactions</x:v>
      </x:c>
      <x:c r="F442" t="str">
        <x:v>P1</x:v>
      </x:c>
      <x:c r="G442" t="str">
        <x:v>À faire</x:v>
      </x:c>
      <x:c r="H442" t="str">
        <x:v>Non affecté</x:v>
      </x:c>
      <x:c r="I442" t="str">
        <x:v>Livrable explicite, tests positifs et négatifs ; aucune validation déduite de la seule présence de la fiche.</x:v>
      </x:c>
      <x:c r="J442" t="str"/>
    </x:row>
    <x:row r="443">
      <x:c r="A443" t="str">
        <x:v>EXT-MONDE-T044/art</x:v>
      </x:c>
      <x:c r="B443" t="str">
        <x:v>EXT-MONDE-T044</x:v>
      </x:c>
      <x:c r="C443" t="str">
        <x:v>HLM visitables</x:v>
      </x:c>
      <x:c r="D443" t="str">
        <x:v>Ensemble HLM mixte</x:v>
      </x:c>
      <x:c r="E443" t="str">
        <x:v>Sprites, proportions et animations</x:v>
      </x:c>
      <x:c r="F443" t="str">
        <x:v>P1</x:v>
      </x:c>
      <x:c r="G443" t="str">
        <x:v>À faire</x:v>
      </x:c>
      <x:c r="H443" t="str">
        <x:v>Non affecté</x:v>
      </x:c>
      <x:c r="I443" t="str">
        <x:v>Livrable explicite, tests positifs et négatifs ; aucune validation déduite de la seule présence de la fiche.</x:v>
      </x:c>
      <x:c r="J443" t="str"/>
    </x:row>
    <x:row r="444">
      <x:c r="A444" t="str">
        <x:v>EXT-MONDE-T044/sauvegarde</x:v>
      </x:c>
      <x:c r="B444" t="str">
        <x:v>EXT-MONDE-T044</x:v>
      </x:c>
      <x:c r="C444" t="str">
        <x:v>HLM visitables</x:v>
      </x:c>
      <x:c r="D444" t="str">
        <x:v>Ensemble HLM mixte</x:v>
      </x:c>
      <x:c r="E444" t="str">
        <x:v>Identités, migration et reprise</x:v>
      </x:c>
      <x:c r="F444" t="str">
        <x:v>P1</x:v>
      </x:c>
      <x:c r="G444" t="str">
        <x:v>En cours</x:v>
      </x:c>
      <x:c r="H444" t="str">
        <x:v>Production Codex</x:v>
      </x:c>
      <x:c r="I444" t="str">
        <x:v>Livrable explicite, tests positifs et négatifs ; aucune validation déduite de la seule présence de la fiche.</x:v>
      </x:c>
      <x:c r="J444" t="str">
        <x:v>https://github.com/darknigthmare/deadwall-last-enclosure/blob/1b3b9c5ba232734b1bda3453b4e20a0481bcdd74/docs/codex/suivi-monde2026/INSPECTION_PHYSIQUE_2026.md</x:v>
      </x:c>
    </x:row>
    <x:row r="445">
      <x:c r="A445" t="str">
        <x:v>EXT-MONDE-T044/qa</x:v>
      </x:c>
      <x:c r="B445" t="str">
        <x:v>EXT-MONDE-T044</x:v>
      </x:c>
      <x:c r="C445" t="str">
        <x:v>HLM visitables</x:v>
      </x:c>
      <x:c r="D445" t="str">
        <x:v>Ensemble HLM mixte</x:v>
      </x:c>
      <x:c r="E445" t="str">
        <x:v>Navigation et parcours jouables</x:v>
      </x:c>
      <x:c r="F445" t="str">
        <x:v>P1</x:v>
      </x:c>
      <x:c r="G445" t="str">
        <x:v>En cours</x:v>
      </x:c>
      <x:c r="H445" t="str">
        <x:v>Production Codex</x:v>
      </x:c>
      <x:c r="I445" t="str">
        <x:v>Livrable explicite, tests positifs et négatifs ; aucune validation déduite de la seule présence de la fiche.</x:v>
      </x:c>
      <x:c r="J445" t="str">
        <x:v>https://github.com/darknigthmare/deadwall-last-enclosure/blob/1b3b9c5ba232734b1bda3453b4e20a0481bcdd74/docs/codex/suivi-monde2026/INSPECTION_PHYSIQUE_2026.md</x:v>
      </x:c>
    </x:row>
    <x:row r="446">
      <x:c r="A446" t="str">
        <x:v>EXT-MONDE-T045/dimensions</x:v>
      </x:c>
      <x:c r="B446" t="str">
        <x:v>EXT-MONDE-T045</x:v>
      </x:c>
      <x:c r="C446" t="str">
        <x:v>Trailer parks</x:v>
      </x:c>
      <x:c r="D446" t="str">
        <x:v>Parc résidentiel de mobil-homes</x:v>
      </x:c>
      <x:c r="E446" t="str">
        <x:v>Dimensions et plans de référence</x:v>
      </x:c>
      <x:c r="F446" t="str">
        <x:v>P0</x:v>
      </x:c>
      <x:c r="G446" t="str">
        <x:v>En cours</x:v>
      </x:c>
      <x:c r="H446" t="str">
        <x:v>Production Codex</x:v>
      </x:c>
      <x:c r="I446" t="str">
        <x:v>Sources publiques identifiées ; unités en mètres ; emprise au sol distincte de la hauteur.</x:v>
      </x:c>
      <x:c r="J446" t="str">
        <x:v>https://github.com/darknigthmare/deadwall-last-enclosure/blob/1b3b9c5ba232734b1bda3453b4e20a0481bcdd74/docs/codex/suivi-monde2026/RESIDENTIEL_2026.md</x:v>
      </x:c>
    </x:row>
    <x:row r="447">
      <x:c r="A447" t="str">
        <x:v>EXT-MONDE-T045/architecture</x:v>
      </x:c>
      <x:c r="B447" t="str">
        <x:v>EXT-MONDE-T045</x:v>
      </x:c>
      <x:c r="C447" t="str">
        <x:v>Trailer parks</x:v>
      </x:c>
      <x:c r="D447" t="str">
        <x:v>Parc résidentiel de mobil-homes</x:v>
      </x:c>
      <x:c r="E447" t="str">
        <x:v>Pièces, étages, annexes</x:v>
      </x:c>
      <x:c r="F447" t="str">
        <x:v>P0</x:v>
      </x:c>
      <x:c r="G447" t="str">
        <x:v>En cours</x:v>
      </x:c>
      <x:c r="H447" t="str">
        <x:v>Production Codex</x:v>
      </x:c>
      <x:c r="I447" t="str">
        <x:v>Livrable explicite, tests positifs et négatifs ; aucune validation déduite de la seule présence de la fiche.</x:v>
      </x:c>
      <x:c r="J447" t="str">
        <x:v>https://github.com/darknigthmare/deadwall-last-enclosure/blob/1b3b9c5ba232734b1bda3453b4e20a0481bcdd74/docs/codex/suivi-monde2026/INSPECTION_PHYSIQUE_2026.md</x:v>
      </x:c>
    </x:row>
    <x:row r="448">
      <x:c r="A448" t="str">
        <x:v>EXT-MONDE-T045/seed</x:v>
      </x:c>
      <x:c r="B448" t="str">
        <x:v>EXT-MONDE-T045</x:v>
      </x:c>
      <x:c r="C448" t="str">
        <x:v>Trailer parks</x:v>
      </x:c>
      <x:c r="D448" t="str">
        <x:v>Parc résidentiel de mobil-homes</x:v>
      </x:c>
      <x:c r="E448" t="str">
        <x:v>Implantation et réseaux</x:v>
      </x:c>
      <x:c r="F448" t="str">
        <x:v>P0</x:v>
      </x:c>
      <x:c r="G448" t="str">
        <x:v>En cours</x:v>
      </x:c>
      <x:c r="H448" t="str">
        <x:v>Production Codex</x:v>
      </x:c>
      <x:c r="I448" t="str">
        <x:v>Accès individuel des lots ; distances et dégagements vérifiés ; réseau interne raccordé à une entrée réelle.</x:v>
      </x:c>
      <x:c r="J448" t="str">
        <x:v>https://github.com/darknigthmare/deadwall-last-enclosure/blob/1b3b9c5ba232734b1bda3453b4e20a0481bcdd74/docs/codex/suivi-monde2026/CAMPAGNE_G11_2026.md</x:v>
      </x:c>
    </x:row>
    <x:row r="449">
      <x:c r="A449" t="str">
        <x:v>EXT-MONDE-T045/props</x:v>
      </x:c>
      <x:c r="B449" t="str">
        <x:v>EXT-MONDE-T045</x:v>
      </x:c>
      <x:c r="C449" t="str">
        <x:v>Trailer parks</x:v>
      </x:c>
      <x:c r="D449" t="str">
        <x:v>Parc résidentiel de mobil-homes</x:v>
      </x:c>
      <x:c r="E449" t="str">
        <x:v>Objets, décors et dégagements</x:v>
      </x:c>
      <x:c r="F449" t="str">
        <x:v>P1</x:v>
      </x:c>
      <x:c r="G449" t="str">
        <x:v>En cours</x:v>
      </x:c>
      <x:c r="H449" t="str">
        <x:v>Production Codex</x:v>
      </x:c>
      <x:c r="I449" t="str">
        <x:v>Livrable explicite, tests positifs et négatifs ; aucune validation déduite de la seule présence de la fiche.</x:v>
      </x:c>
      <x:c r="J449" t="str">
        <x:v>https://github.com/darknigthmare/deadwall-last-enclosure/blob/1b3b9c5ba232734b1bda3453b4e20a0481bcdd74/docs/codex/suivi-monde2026/INSPECTION_PHYSIQUE_2026.md</x:v>
      </x:c>
    </x:row>
    <x:row r="450">
      <x:c r="A450" t="str">
        <x:v>EXT-MONDE-T045/loot</x:v>
      </x:c>
      <x:c r="B450" t="str">
        <x:v>EXT-MONDE-T045</x:v>
      </x:c>
      <x:c r="C450" t="str">
        <x:v>Trailer parks</x:v>
      </x:c>
      <x:c r="D450" t="str">
        <x:v>Parc résidentiel de mobil-homes</x:v>
      </x:c>
      <x:c r="E450" t="str">
        <x:v>Budget de butin persistant</x:v>
      </x:c>
      <x:c r="F450" t="str">
        <x:v>P1</x:v>
      </x:c>
      <x:c r="G450" t="str">
        <x:v>En cours</x:v>
      </x:c>
      <x:c r="H450" t="str">
        <x:v>Production Codex</x:v>
      </x:c>
      <x:c r="I450" t="str">
        <x:v>Livrable explicite, tests positifs et négatifs ; aucune validation déduite de la seule présence de la fiche.</x:v>
      </x:c>
      <x:c r="J450" t="str">
        <x:v>https://github.com/darknigthmare/deadwall-last-enclosure/blob/1b3b9c5ba232734b1bda3453b4e20a0481bcdd74/docs/codex/suivi-monde2026/CAMPAGNE_G11_2026.md</x:v>
      </x:c>
    </x:row>
    <x:row r="451">
      <x:c r="A451" t="str">
        <x:v>EXT-MONDE-T045/rencontres</x:v>
      </x:c>
      <x:c r="B451" t="str">
        <x:v>EXT-MONDE-T045</x:v>
      </x:c>
      <x:c r="C451" t="str">
        <x:v>Trailer parks</x:v>
      </x:c>
      <x:c r="D451" t="str">
        <x:v>Parc résidentiel de mobil-homes</x:v>
      </x:c>
      <x:c r="E451" t="str">
        <x:v>Ennemis et faune contextualisés</x:v>
      </x:c>
      <x:c r="F451" t="str">
        <x:v>P1</x:v>
      </x:c>
      <x:c r="G451" t="str">
        <x:v>À faire</x:v>
      </x:c>
      <x:c r="H451" t="str">
        <x:v>Non affecté</x:v>
      </x:c>
      <x:c r="I451" t="str">
        <x:v>Livrable explicite, tests positifs et négatifs ; aucune validation déduite de la seule présence de la fiche.</x:v>
      </x:c>
      <x:c r="J451" t="str"/>
    </x:row>
    <x:row r="452">
      <x:c r="A452" t="str">
        <x:v>EXT-MONDE-T045/services</x:v>
      </x:c>
      <x:c r="B452" t="str">
        <x:v>EXT-MONDE-T045</x:v>
      </x:c>
      <x:c r="C452" t="str">
        <x:v>Trailer parks</x:v>
      </x:c>
      <x:c r="D452" t="str">
        <x:v>Parc résidentiel de mobil-homes</x:v>
      </x:c>
      <x:c r="E452" t="str">
        <x:v>Énergie, eau et interactions</x:v>
      </x:c>
      <x:c r="F452" t="str">
        <x:v>P1</x:v>
      </x:c>
      <x:c r="G452" t="str">
        <x:v>À faire</x:v>
      </x:c>
      <x:c r="H452" t="str">
        <x:v>Non affecté</x:v>
      </x:c>
      <x:c r="I452" t="str">
        <x:v>Livrable explicite, tests positifs et négatifs ; aucune validation déduite de la seule présence de la fiche.</x:v>
      </x:c>
      <x:c r="J452" t="str"/>
    </x:row>
    <x:row r="453">
      <x:c r="A453" t="str">
        <x:v>EXT-MONDE-T045/art</x:v>
      </x:c>
      <x:c r="B453" t="str">
        <x:v>EXT-MONDE-T045</x:v>
      </x:c>
      <x:c r="C453" t="str">
        <x:v>Trailer parks</x:v>
      </x:c>
      <x:c r="D453" t="str">
        <x:v>Parc résidentiel de mobil-homes</x:v>
      </x:c>
      <x:c r="E453" t="str">
        <x:v>Sprites, proportions et animations</x:v>
      </x:c>
      <x:c r="F453" t="str">
        <x:v>P1</x:v>
      </x:c>
      <x:c r="G453" t="str">
        <x:v>À faire</x:v>
      </x:c>
      <x:c r="H453" t="str">
        <x:v>Non affecté</x:v>
      </x:c>
      <x:c r="I453" t="str">
        <x:v>Livrable explicite, tests positifs et négatifs ; aucune validation déduite de la seule présence de la fiche.</x:v>
      </x:c>
      <x:c r="J453" t="str"/>
    </x:row>
    <x:row r="454">
      <x:c r="A454" t="str">
        <x:v>EXT-MONDE-T045/sauvegarde</x:v>
      </x:c>
      <x:c r="B454" t="str">
        <x:v>EXT-MONDE-T045</x:v>
      </x:c>
      <x:c r="C454" t="str">
        <x:v>Trailer parks</x:v>
      </x:c>
      <x:c r="D454" t="str">
        <x:v>Parc résidentiel de mobil-homes</x:v>
      </x:c>
      <x:c r="E454" t="str">
        <x:v>Identités, migration et reprise</x:v>
      </x:c>
      <x:c r="F454" t="str">
        <x:v>P1</x:v>
      </x:c>
      <x:c r="G454" t="str">
        <x:v>En cours</x:v>
      </x:c>
      <x:c r="H454" t="str">
        <x:v>Production Codex</x:v>
      </x:c>
      <x:c r="I454" t="str">
        <x:v>Livrable explicite, tests positifs et négatifs ; aucune validation déduite de la seule présence de la fiche.</x:v>
      </x:c>
      <x:c r="J454" t="str">
        <x:v>https://github.com/darknigthmare/deadwall-last-enclosure/blob/1b3b9c5ba232734b1bda3453b4e20a0481bcdd74/docs/codex/suivi-monde2026/INSPECTION_PHYSIQUE_2026.md</x:v>
      </x:c>
    </x:row>
    <x:row r="455">
      <x:c r="A455" t="str">
        <x:v>EXT-MONDE-T045/qa</x:v>
      </x:c>
      <x:c r="B455" t="str">
        <x:v>EXT-MONDE-T045</x:v>
      </x:c>
      <x:c r="C455" t="str">
        <x:v>Trailer parks</x:v>
      </x:c>
      <x:c r="D455" t="str">
        <x:v>Parc résidentiel de mobil-homes</x:v>
      </x:c>
      <x:c r="E455" t="str">
        <x:v>Navigation et parcours jouables</x:v>
      </x:c>
      <x:c r="F455" t="str">
        <x:v>P1</x:v>
      </x:c>
      <x:c r="G455" t="str">
        <x:v>En cours</x:v>
      </x:c>
      <x:c r="H455" t="str">
        <x:v>Production Codex</x:v>
      </x:c>
      <x:c r="I455" t="str">
        <x:v>Livrable explicite, tests positifs et négatifs ; aucune validation déduite de la seule présence de la fiche.</x:v>
      </x:c>
      <x:c r="J455" t="str">
        <x:v>https://github.com/darknigthmare/deadwall-last-enclosure/blob/1b3b9c5ba232734b1bda3453b4e20a0481bcdd74/docs/codex/suivi-monde2026/INSPECTION_PHYSIQUE_2026.md</x:v>
      </x:c>
    </x:row>
    <x:row r="456">
      <x:c r="A456" t="str">
        <x:v>EXT-MONDE-T046/dimensions</x:v>
      </x:c>
      <x:c r="B456" t="str">
        <x:v>EXT-MONDE-T046</x:v>
      </x:c>
      <x:c r="C456" t="str">
        <x:v>Trailer parks</x:v>
      </x:c>
      <x:c r="D456" t="str">
        <x:v>Camping caravanes</x:v>
      </x:c>
      <x:c r="E456" t="str">
        <x:v>Dimensions et plans de référence</x:v>
      </x:c>
      <x:c r="F456" t="str">
        <x:v>P0</x:v>
      </x:c>
      <x:c r="G456" t="str">
        <x:v>En cours</x:v>
      </x:c>
      <x:c r="H456" t="str">
        <x:v>Production Codex</x:v>
      </x:c>
      <x:c r="I456" t="str">
        <x:v>Sources publiques identifiées ; unités en mètres ; emprise au sol distincte de la hauteur.</x:v>
      </x:c>
      <x:c r="J456" t="str">
        <x:v>https://github.com/darknigthmare/deadwall-last-enclosure/blob/1b3b9c5ba232734b1bda3453b4e20a0481bcdd74/docs/codex/suivi-monde2026/RESIDENTIEL_2026.md</x:v>
      </x:c>
    </x:row>
    <x:row r="457">
      <x:c r="A457" t="str">
        <x:v>EXT-MONDE-T046/architecture</x:v>
      </x:c>
      <x:c r="B457" t="str">
        <x:v>EXT-MONDE-T046</x:v>
      </x:c>
      <x:c r="C457" t="str">
        <x:v>Trailer parks</x:v>
      </x:c>
      <x:c r="D457" t="str">
        <x:v>Camping caravanes</x:v>
      </x:c>
      <x:c r="E457" t="str">
        <x:v>Pièces, étages, annexes</x:v>
      </x:c>
      <x:c r="F457" t="str">
        <x:v>P0</x:v>
      </x:c>
      <x:c r="G457" t="str">
        <x:v>En cours</x:v>
      </x:c>
      <x:c r="H457" t="str">
        <x:v>Production Codex</x:v>
      </x:c>
      <x:c r="I457" t="str">
        <x:v>Livrable explicite, tests positifs et négatifs ; aucune validation déduite de la seule présence de la fiche.</x:v>
      </x:c>
      <x:c r="J457" t="str">
        <x:v>https://github.com/darknigthmare/deadwall-last-enclosure/blob/1b3b9c5ba232734b1bda3453b4e20a0481bcdd74/docs/codex/suivi-monde2026/INSPECTION_PHYSIQUE_2026.md</x:v>
      </x:c>
    </x:row>
    <x:row r="458">
      <x:c r="A458" t="str">
        <x:v>EXT-MONDE-T046/seed</x:v>
      </x:c>
      <x:c r="B458" t="str">
        <x:v>EXT-MONDE-T046</x:v>
      </x:c>
      <x:c r="C458" t="str">
        <x:v>Trailer parks</x:v>
      </x:c>
      <x:c r="D458" t="str">
        <x:v>Camping caravanes</x:v>
      </x:c>
      <x:c r="E458" t="str">
        <x:v>Implantation et réseaux</x:v>
      </x:c>
      <x:c r="F458" t="str">
        <x:v>P0</x:v>
      </x:c>
      <x:c r="G458" t="str">
        <x:v>En cours</x:v>
      </x:c>
      <x:c r="H458" t="str">
        <x:v>Production Codex</x:v>
      </x:c>
      <x:c r="I458" t="str">
        <x:v>Accès individuel des lots ; distances et dégagements vérifiés ; réseau interne raccordé à une entrée réelle.</x:v>
      </x:c>
      <x:c r="J458" t="str">
        <x:v>https://github.com/darknigthmare/deadwall-last-enclosure/blob/1b3b9c5ba232734b1bda3453b4e20a0481bcdd74/docs/codex/suivi-monde2026/CAMPAGNE_G11_2026.md</x:v>
      </x:c>
    </x:row>
    <x:row r="459">
      <x:c r="A459" t="str">
        <x:v>EXT-MONDE-T046/props</x:v>
      </x:c>
      <x:c r="B459" t="str">
        <x:v>EXT-MONDE-T046</x:v>
      </x:c>
      <x:c r="C459" t="str">
        <x:v>Trailer parks</x:v>
      </x:c>
      <x:c r="D459" t="str">
        <x:v>Camping caravanes</x:v>
      </x:c>
      <x:c r="E459" t="str">
        <x:v>Objets, décors et dégagements</x:v>
      </x:c>
      <x:c r="F459" t="str">
        <x:v>P1</x:v>
      </x:c>
      <x:c r="G459" t="str">
        <x:v>En cours</x:v>
      </x:c>
      <x:c r="H459" t="str">
        <x:v>Production Codex</x:v>
      </x:c>
      <x:c r="I459" t="str">
        <x:v>Livrable explicite, tests positifs et négatifs ; aucune validation déduite de la seule présence de la fiche.</x:v>
      </x:c>
      <x:c r="J459" t="str">
        <x:v>https://github.com/darknigthmare/deadwall-last-enclosure/blob/1b3b9c5ba232734b1bda3453b4e20a0481bcdd74/docs/codex/suivi-monde2026/INSPECTION_PHYSIQUE_2026.md</x:v>
      </x:c>
    </x:row>
    <x:row r="460">
      <x:c r="A460" t="str">
        <x:v>EXT-MONDE-T046/loot</x:v>
      </x:c>
      <x:c r="B460" t="str">
        <x:v>EXT-MONDE-T046</x:v>
      </x:c>
      <x:c r="C460" t="str">
        <x:v>Trailer parks</x:v>
      </x:c>
      <x:c r="D460" t="str">
        <x:v>Camping caravanes</x:v>
      </x:c>
      <x:c r="E460" t="str">
        <x:v>Budget de butin persistant</x:v>
      </x:c>
      <x:c r="F460" t="str">
        <x:v>P1</x:v>
      </x:c>
      <x:c r="G460" t="str">
        <x:v>En cours</x:v>
      </x:c>
      <x:c r="H460" t="str">
        <x:v>Production Codex</x:v>
      </x:c>
      <x:c r="I460" t="str">
        <x:v>Livrable explicite, tests positifs et négatifs ; aucune validation déduite de la seule présence de la fiche.</x:v>
      </x:c>
      <x:c r="J460" t="str">
        <x:v>https://github.com/darknigthmare/deadwall-last-enclosure/blob/1b3b9c5ba232734b1bda3453b4e20a0481bcdd74/docs/codex/suivi-monde2026/CAMPAGNE_G11_2026.md</x:v>
      </x:c>
    </x:row>
    <x:row r="461">
      <x:c r="A461" t="str">
        <x:v>EXT-MONDE-T046/rencontres</x:v>
      </x:c>
      <x:c r="B461" t="str">
        <x:v>EXT-MONDE-T046</x:v>
      </x:c>
      <x:c r="C461" t="str">
        <x:v>Trailer parks</x:v>
      </x:c>
      <x:c r="D461" t="str">
        <x:v>Camping caravanes</x:v>
      </x:c>
      <x:c r="E461" t="str">
        <x:v>Ennemis et faune contextualisés</x:v>
      </x:c>
      <x:c r="F461" t="str">
        <x:v>P1</x:v>
      </x:c>
      <x:c r="G461" t="str">
        <x:v>À faire</x:v>
      </x:c>
      <x:c r="H461" t="str">
        <x:v>Non affecté</x:v>
      </x:c>
      <x:c r="I461" t="str">
        <x:v>Livrable explicite, tests positifs et négatifs ; aucune validation déduite de la seule présence de la fiche.</x:v>
      </x:c>
      <x:c r="J461" t="str"/>
    </x:row>
    <x:row r="462">
      <x:c r="A462" t="str">
        <x:v>EXT-MONDE-T046/services</x:v>
      </x:c>
      <x:c r="B462" t="str">
        <x:v>EXT-MONDE-T046</x:v>
      </x:c>
      <x:c r="C462" t="str">
        <x:v>Trailer parks</x:v>
      </x:c>
      <x:c r="D462" t="str">
        <x:v>Camping caravanes</x:v>
      </x:c>
      <x:c r="E462" t="str">
        <x:v>Énergie, eau et interactions</x:v>
      </x:c>
      <x:c r="F462" t="str">
        <x:v>P1</x:v>
      </x:c>
      <x:c r="G462" t="str">
        <x:v>À faire</x:v>
      </x:c>
      <x:c r="H462" t="str">
        <x:v>Non affecté</x:v>
      </x:c>
      <x:c r="I462" t="str">
        <x:v>Livrable explicite, tests positifs et négatifs ; aucune validation déduite de la seule présence de la fiche.</x:v>
      </x:c>
      <x:c r="J462" t="str"/>
    </x:row>
    <x:row r="463">
      <x:c r="A463" t="str">
        <x:v>EXT-MONDE-T046/art</x:v>
      </x:c>
      <x:c r="B463" t="str">
        <x:v>EXT-MONDE-T046</x:v>
      </x:c>
      <x:c r="C463" t="str">
        <x:v>Trailer parks</x:v>
      </x:c>
      <x:c r="D463" t="str">
        <x:v>Camping caravanes</x:v>
      </x:c>
      <x:c r="E463" t="str">
        <x:v>Sprites, proportions et animations</x:v>
      </x:c>
      <x:c r="F463" t="str">
        <x:v>P1</x:v>
      </x:c>
      <x:c r="G463" t="str">
        <x:v>À faire</x:v>
      </x:c>
      <x:c r="H463" t="str">
        <x:v>Non affecté</x:v>
      </x:c>
      <x:c r="I463" t="str">
        <x:v>Livrable explicite, tests positifs et négatifs ; aucune validation déduite de la seule présence de la fiche.</x:v>
      </x:c>
      <x:c r="J463" t="str"/>
    </x:row>
    <x:row r="464">
      <x:c r="A464" t="str">
        <x:v>EXT-MONDE-T046/sauvegarde</x:v>
      </x:c>
      <x:c r="B464" t="str">
        <x:v>EXT-MONDE-T046</x:v>
      </x:c>
      <x:c r="C464" t="str">
        <x:v>Trailer parks</x:v>
      </x:c>
      <x:c r="D464" t="str">
        <x:v>Camping caravanes</x:v>
      </x:c>
      <x:c r="E464" t="str">
        <x:v>Identités, migration et reprise</x:v>
      </x:c>
      <x:c r="F464" t="str">
        <x:v>P1</x:v>
      </x:c>
      <x:c r="G464" t="str">
        <x:v>En cours</x:v>
      </x:c>
      <x:c r="H464" t="str">
        <x:v>Production Codex</x:v>
      </x:c>
      <x:c r="I464" t="str">
        <x:v>Livrable explicite, tests positifs et négatifs ; aucune validation déduite de la seule présence de la fiche.</x:v>
      </x:c>
      <x:c r="J464" t="str">
        <x:v>https://github.com/darknigthmare/deadwall-last-enclosure/blob/1b3b9c5ba232734b1bda3453b4e20a0481bcdd74/docs/codex/suivi-monde2026/INSPECTION_PHYSIQUE_2026.md</x:v>
      </x:c>
    </x:row>
    <x:row r="465">
      <x:c r="A465" t="str">
        <x:v>EXT-MONDE-T046/qa</x:v>
      </x:c>
      <x:c r="B465" t="str">
        <x:v>EXT-MONDE-T046</x:v>
      </x:c>
      <x:c r="C465" t="str">
        <x:v>Trailer parks</x:v>
      </x:c>
      <x:c r="D465" t="str">
        <x:v>Camping caravanes</x:v>
      </x:c>
      <x:c r="E465" t="str">
        <x:v>Navigation et parcours jouables</x:v>
      </x:c>
      <x:c r="F465" t="str">
        <x:v>P1</x:v>
      </x:c>
      <x:c r="G465" t="str">
        <x:v>En cours</x:v>
      </x:c>
      <x:c r="H465" t="str">
        <x:v>Production Codex</x:v>
      </x:c>
      <x:c r="I465" t="str">
        <x:v>Livrable explicite, tests positifs et négatifs ; aucune validation déduite de la seule présence de la fiche.</x:v>
      </x:c>
      <x:c r="J465" t="str">
        <x:v>https://github.com/darknigthmare/deadwall-last-enclosure/blob/1b3b9c5ba232734b1bda3453b4e20a0481bcdd74/docs/codex/suivi-monde2026/INSPECTION_PHYSIQUE_2026.md</x:v>
      </x:c>
    </x:row>
    <x:row r="466">
      <x:c r="A466" t="str">
        <x:v>EXT-MONDE-T047/dimensions</x:v>
      </x:c>
      <x:c r="B466" t="str">
        <x:v>EXT-MONDE-T047</x:v>
      </x:c>
      <x:c r="C466" t="str">
        <x:v>Trailer parks</x:v>
      </x:c>
      <x:c r="D466" t="str">
        <x:v>Camp de travailleurs</x:v>
      </x:c>
      <x:c r="E466" t="str">
        <x:v>Dimensions et plans de référence</x:v>
      </x:c>
      <x:c r="F466" t="str">
        <x:v>P0</x:v>
      </x:c>
      <x:c r="G466" t="str">
        <x:v>En cours</x:v>
      </x:c>
      <x:c r="H466" t="str">
        <x:v>Production Codex</x:v>
      </x:c>
      <x:c r="I466" t="str">
        <x:v>Sources publiques identifiées ; unités en mètres ; emprise au sol distincte de la hauteur.</x:v>
      </x:c>
      <x:c r="J466" t="str">
        <x:v>https://github.com/darknigthmare/deadwall-last-enclosure/blob/1b3b9c5ba232734b1bda3453b4e20a0481bcdd74/docs/codex/suivi-monde2026/RESIDENTIEL_2026.md</x:v>
      </x:c>
    </x:row>
    <x:row r="467">
      <x:c r="A467" t="str">
        <x:v>EXT-MONDE-T047/architecture</x:v>
      </x:c>
      <x:c r="B467" t="str">
        <x:v>EXT-MONDE-T047</x:v>
      </x:c>
      <x:c r="C467" t="str">
        <x:v>Trailer parks</x:v>
      </x:c>
      <x:c r="D467" t="str">
        <x:v>Camp de travailleurs</x:v>
      </x:c>
      <x:c r="E467" t="str">
        <x:v>Pièces, étages, annexes</x:v>
      </x:c>
      <x:c r="F467" t="str">
        <x:v>P0</x:v>
      </x:c>
      <x:c r="G467" t="str">
        <x:v>En cours</x:v>
      </x:c>
      <x:c r="H467" t="str">
        <x:v>Production Codex</x:v>
      </x:c>
      <x:c r="I467" t="str">
        <x:v>Livrable explicite, tests positifs et négatifs ; aucune validation déduite de la seule présence de la fiche.</x:v>
      </x:c>
      <x:c r="J467" t="str">
        <x:v>https://github.com/darknigthmare/deadwall-last-enclosure/blob/1b3b9c5ba232734b1bda3453b4e20a0481bcdd74/docs/codex/suivi-monde2026/INSPECTION_PHYSIQUE_2026.md</x:v>
      </x:c>
    </x:row>
    <x:row r="468">
      <x:c r="A468" t="str">
        <x:v>EXT-MONDE-T047/seed</x:v>
      </x:c>
      <x:c r="B468" t="str">
        <x:v>EXT-MONDE-T047</x:v>
      </x:c>
      <x:c r="C468" t="str">
        <x:v>Trailer parks</x:v>
      </x:c>
      <x:c r="D468" t="str">
        <x:v>Camp de travailleurs</x:v>
      </x:c>
      <x:c r="E468" t="str">
        <x:v>Implantation et réseaux</x:v>
      </x:c>
      <x:c r="F468" t="str">
        <x:v>P0</x:v>
      </x:c>
      <x:c r="G468" t="str">
        <x:v>En cours</x:v>
      </x:c>
      <x:c r="H468" t="str">
        <x:v>Production Codex</x:v>
      </x:c>
      <x:c r="I468" t="str">
        <x:v>Accès individuel des lots ; distances et dégagements vérifiés ; réseau interne raccordé à une entrée réelle.</x:v>
      </x:c>
      <x:c r="J468" t="str">
        <x:v>https://github.com/darknigthmare/deadwall-last-enclosure/blob/1b3b9c5ba232734b1bda3453b4e20a0481bcdd74/docs/codex/suivi-monde2026/CAMPAGNE_G11_2026.md</x:v>
      </x:c>
    </x:row>
    <x:row r="469">
      <x:c r="A469" t="str">
        <x:v>EXT-MONDE-T047/props</x:v>
      </x:c>
      <x:c r="B469" t="str">
        <x:v>EXT-MONDE-T047</x:v>
      </x:c>
      <x:c r="C469" t="str">
        <x:v>Trailer parks</x:v>
      </x:c>
      <x:c r="D469" t="str">
        <x:v>Camp de travailleurs</x:v>
      </x:c>
      <x:c r="E469" t="str">
        <x:v>Objets, décors et dégagements</x:v>
      </x:c>
      <x:c r="F469" t="str">
        <x:v>P1</x:v>
      </x:c>
      <x:c r="G469" t="str">
        <x:v>En cours</x:v>
      </x:c>
      <x:c r="H469" t="str">
        <x:v>Production Codex</x:v>
      </x:c>
      <x:c r="I469" t="str">
        <x:v>Livrable explicite, tests positifs et négatifs ; aucune validation déduite de la seule présence de la fiche.</x:v>
      </x:c>
      <x:c r="J469" t="str">
        <x:v>https://github.com/darknigthmare/deadwall-last-enclosure/blob/1b3b9c5ba232734b1bda3453b4e20a0481bcdd74/docs/codex/suivi-monde2026/INSPECTION_PHYSIQUE_2026.md</x:v>
      </x:c>
    </x:row>
    <x:row r="470">
      <x:c r="A470" t="str">
        <x:v>EXT-MONDE-T047/loot</x:v>
      </x:c>
      <x:c r="B470" t="str">
        <x:v>EXT-MONDE-T047</x:v>
      </x:c>
      <x:c r="C470" t="str">
        <x:v>Trailer parks</x:v>
      </x:c>
      <x:c r="D470" t="str">
        <x:v>Camp de travailleurs</x:v>
      </x:c>
      <x:c r="E470" t="str">
        <x:v>Budget de butin persistant</x:v>
      </x:c>
      <x:c r="F470" t="str">
        <x:v>P1</x:v>
      </x:c>
      <x:c r="G470" t="str">
        <x:v>En cours</x:v>
      </x:c>
      <x:c r="H470" t="str">
        <x:v>Production Codex</x:v>
      </x:c>
      <x:c r="I470" t="str">
        <x:v>Livrable explicite, tests positifs et négatifs ; aucune validation déduite de la seule présence de la fiche.</x:v>
      </x:c>
      <x:c r="J470" t="str">
        <x:v>https://github.com/darknigthmare/deadwall-last-enclosure/blob/1b3b9c5ba232734b1bda3453b4e20a0481bcdd74/docs/codex/suivi-monde2026/CAMPAGNE_G11_2026.md</x:v>
      </x:c>
    </x:row>
    <x:row r="471">
      <x:c r="A471" t="str">
        <x:v>EXT-MONDE-T047/rencontres</x:v>
      </x:c>
      <x:c r="B471" t="str">
        <x:v>EXT-MONDE-T047</x:v>
      </x:c>
      <x:c r="C471" t="str">
        <x:v>Trailer parks</x:v>
      </x:c>
      <x:c r="D471" t="str">
        <x:v>Camp de travailleurs</x:v>
      </x:c>
      <x:c r="E471" t="str">
        <x:v>Ennemis et faune contextualisés</x:v>
      </x:c>
      <x:c r="F471" t="str">
        <x:v>P1</x:v>
      </x:c>
      <x:c r="G471" t="str">
        <x:v>À faire</x:v>
      </x:c>
      <x:c r="H471" t="str">
        <x:v>Non affecté</x:v>
      </x:c>
      <x:c r="I471" t="str">
        <x:v>Livrable explicite, tests positifs et négatifs ; aucune validation déduite de la seule présence de la fiche.</x:v>
      </x:c>
      <x:c r="J471" t="str"/>
    </x:row>
    <x:row r="472">
      <x:c r="A472" t="str">
        <x:v>EXT-MONDE-T047/services</x:v>
      </x:c>
      <x:c r="B472" t="str">
        <x:v>EXT-MONDE-T047</x:v>
      </x:c>
      <x:c r="C472" t="str">
        <x:v>Trailer parks</x:v>
      </x:c>
      <x:c r="D472" t="str">
        <x:v>Camp de travailleurs</x:v>
      </x:c>
      <x:c r="E472" t="str">
        <x:v>Énergie, eau et interactions</x:v>
      </x:c>
      <x:c r="F472" t="str">
        <x:v>P1</x:v>
      </x:c>
      <x:c r="G472" t="str">
        <x:v>À faire</x:v>
      </x:c>
      <x:c r="H472" t="str">
        <x:v>Non affecté</x:v>
      </x:c>
      <x:c r="I472" t="str">
        <x:v>Livrable explicite, tests positifs et négatifs ; aucune validation déduite de la seule présence de la fiche.</x:v>
      </x:c>
      <x:c r="J472" t="str"/>
    </x:row>
    <x:row r="473">
      <x:c r="A473" t="str">
        <x:v>EXT-MONDE-T047/art</x:v>
      </x:c>
      <x:c r="B473" t="str">
        <x:v>EXT-MONDE-T047</x:v>
      </x:c>
      <x:c r="C473" t="str">
        <x:v>Trailer parks</x:v>
      </x:c>
      <x:c r="D473" t="str">
        <x:v>Camp de travailleurs</x:v>
      </x:c>
      <x:c r="E473" t="str">
        <x:v>Sprites, proportions et animations</x:v>
      </x:c>
      <x:c r="F473" t="str">
        <x:v>P1</x:v>
      </x:c>
      <x:c r="G473" t="str">
        <x:v>À faire</x:v>
      </x:c>
      <x:c r="H473" t="str">
        <x:v>Non affecté</x:v>
      </x:c>
      <x:c r="I473" t="str">
        <x:v>Livrable explicite, tests positifs et négatifs ; aucune validation déduite de la seule présence de la fiche.</x:v>
      </x:c>
      <x:c r="J473" t="str"/>
    </x:row>
    <x:row r="474">
      <x:c r="A474" t="str">
        <x:v>EXT-MONDE-T047/sauvegarde</x:v>
      </x:c>
      <x:c r="B474" t="str">
        <x:v>EXT-MONDE-T047</x:v>
      </x:c>
      <x:c r="C474" t="str">
        <x:v>Trailer parks</x:v>
      </x:c>
      <x:c r="D474" t="str">
        <x:v>Camp de travailleurs</x:v>
      </x:c>
      <x:c r="E474" t="str">
        <x:v>Identités, migration et reprise</x:v>
      </x:c>
      <x:c r="F474" t="str">
        <x:v>P1</x:v>
      </x:c>
      <x:c r="G474" t="str">
        <x:v>En cours</x:v>
      </x:c>
      <x:c r="H474" t="str">
        <x:v>Production Codex</x:v>
      </x:c>
      <x:c r="I474" t="str">
        <x:v>Livrable explicite, tests positifs et négatifs ; aucune validation déduite de la seule présence de la fiche.</x:v>
      </x:c>
      <x:c r="J474" t="str">
        <x:v>https://github.com/darknigthmare/deadwall-last-enclosure/blob/1b3b9c5ba232734b1bda3453b4e20a0481bcdd74/docs/codex/suivi-monde2026/INSPECTION_PHYSIQUE_2026.md</x:v>
      </x:c>
    </x:row>
    <x:row r="475">
      <x:c r="A475" t="str">
        <x:v>EXT-MONDE-T047/qa</x:v>
      </x:c>
      <x:c r="B475" t="str">
        <x:v>EXT-MONDE-T047</x:v>
      </x:c>
      <x:c r="C475" t="str">
        <x:v>Trailer parks</x:v>
      </x:c>
      <x:c r="D475" t="str">
        <x:v>Camp de travailleurs</x:v>
      </x:c>
      <x:c r="E475" t="str">
        <x:v>Navigation et parcours jouables</x:v>
      </x:c>
      <x:c r="F475" t="str">
        <x:v>P1</x:v>
      </x:c>
      <x:c r="G475" t="str">
        <x:v>En cours</x:v>
      </x:c>
      <x:c r="H475" t="str">
        <x:v>Production Codex</x:v>
      </x:c>
      <x:c r="I475" t="str">
        <x:v>Livrable explicite, tests positifs et négatifs ; aucune validation déduite de la seule présence de la fiche.</x:v>
      </x:c>
      <x:c r="J475" t="str">
        <x:v>https://github.com/darknigthmare/deadwall-last-enclosure/blob/1b3b9c5ba232734b1bda3453b4e20a0481bcdd74/docs/codex/suivi-monde2026/INSPECTION_PHYSIQUE_2026.md</x:v>
      </x:c>
    </x:row>
    <x:row r="476">
      <x:c r="A476" t="str">
        <x:v>EXT-MONDE-T048/dimensions</x:v>
      </x:c>
      <x:c r="B476" t="str">
        <x:v>EXT-MONDE-T048</x:v>
      </x:c>
      <x:c r="C476" t="str">
        <x:v>Trailer parks</x:v>
      </x:c>
      <x:c r="D476" t="str">
        <x:v>Parc de caravanes abandonné</x:v>
      </x:c>
      <x:c r="E476" t="str">
        <x:v>Dimensions et plans de référence</x:v>
      </x:c>
      <x:c r="F476" t="str">
        <x:v>P0</x:v>
      </x:c>
      <x:c r="G476" t="str">
        <x:v>En cours</x:v>
      </x:c>
      <x:c r="H476" t="str">
        <x:v>Production Codex</x:v>
      </x:c>
      <x:c r="I476" t="str">
        <x:v>Sources publiques identifiées ; unités en mètres ; emprise au sol distincte de la hauteur.</x:v>
      </x:c>
      <x:c r="J476" t="str">
        <x:v>https://github.com/darknigthmare/deadwall-last-enclosure/blob/1b3b9c5ba232734b1bda3453b4e20a0481bcdd74/docs/codex/suivi-monde2026/RESIDENTIEL_2026.md</x:v>
      </x:c>
    </x:row>
    <x:row r="477">
      <x:c r="A477" t="str">
        <x:v>EXT-MONDE-T048/architecture</x:v>
      </x:c>
      <x:c r="B477" t="str">
        <x:v>EXT-MONDE-T048</x:v>
      </x:c>
      <x:c r="C477" t="str">
        <x:v>Trailer parks</x:v>
      </x:c>
      <x:c r="D477" t="str">
        <x:v>Parc de caravanes abandonné</x:v>
      </x:c>
      <x:c r="E477" t="str">
        <x:v>Pièces, étages, annexes</x:v>
      </x:c>
      <x:c r="F477" t="str">
        <x:v>P0</x:v>
      </x:c>
      <x:c r="G477" t="str">
        <x:v>En cours</x:v>
      </x:c>
      <x:c r="H477" t="str">
        <x:v>Production Codex</x:v>
      </x:c>
      <x:c r="I477" t="str">
        <x:v>Livrable explicite, tests positifs et négatifs ; aucune validation déduite de la seule présence de la fiche.</x:v>
      </x:c>
      <x:c r="J477" t="str">
        <x:v>https://github.com/darknigthmare/deadwall-last-enclosure/blob/1b3b9c5ba232734b1bda3453b4e20a0481bcdd74/docs/codex/suivi-monde2026/INSPECTION_PHYSIQUE_2026.md</x:v>
      </x:c>
    </x:row>
    <x:row r="478">
      <x:c r="A478" t="str">
        <x:v>EXT-MONDE-T048/seed</x:v>
      </x:c>
      <x:c r="B478" t="str">
        <x:v>EXT-MONDE-T048</x:v>
      </x:c>
      <x:c r="C478" t="str">
        <x:v>Trailer parks</x:v>
      </x:c>
      <x:c r="D478" t="str">
        <x:v>Parc de caravanes abandonné</x:v>
      </x:c>
      <x:c r="E478" t="str">
        <x:v>Implantation et réseaux</x:v>
      </x:c>
      <x:c r="F478" t="str">
        <x:v>P0</x:v>
      </x:c>
      <x:c r="G478" t="str">
        <x:v>En cours</x:v>
      </x:c>
      <x:c r="H478" t="str">
        <x:v>Production Codex</x:v>
      </x:c>
      <x:c r="I478" t="str">
        <x:v>Accès individuel des lots ; distances et dégagements vérifiés ; réseau interne raccordé à une entrée réelle.</x:v>
      </x:c>
      <x:c r="J478" t="str">
        <x:v>https://github.com/darknigthmare/deadwall-last-enclosure/blob/1b3b9c5ba232734b1bda3453b4e20a0481bcdd74/docs/codex/suivi-monde2026/CAMPAGNE_G11_2026.md</x:v>
      </x:c>
    </x:row>
    <x:row r="479">
      <x:c r="A479" t="str">
        <x:v>EXT-MONDE-T048/props</x:v>
      </x:c>
      <x:c r="B479" t="str">
        <x:v>EXT-MONDE-T048</x:v>
      </x:c>
      <x:c r="C479" t="str">
        <x:v>Trailer parks</x:v>
      </x:c>
      <x:c r="D479" t="str">
        <x:v>Parc de caravanes abandonné</x:v>
      </x:c>
      <x:c r="E479" t="str">
        <x:v>Objets, décors et dégagements</x:v>
      </x:c>
      <x:c r="F479" t="str">
        <x:v>P1</x:v>
      </x:c>
      <x:c r="G479" t="str">
        <x:v>En cours</x:v>
      </x:c>
      <x:c r="H479" t="str">
        <x:v>Production Codex</x:v>
      </x:c>
      <x:c r="I479" t="str">
        <x:v>Livrable explicite, tests positifs et négatifs ; aucune validation déduite de la seule présence de la fiche.</x:v>
      </x:c>
      <x:c r="J479" t="str">
        <x:v>https://github.com/darknigthmare/deadwall-last-enclosure/blob/1b3b9c5ba232734b1bda3453b4e20a0481bcdd74/docs/codex/suivi-monde2026/INSPECTION_PHYSIQUE_2026.md</x:v>
      </x:c>
    </x:row>
    <x:row r="480">
      <x:c r="A480" t="str">
        <x:v>EXT-MONDE-T048/loot</x:v>
      </x:c>
      <x:c r="B480" t="str">
        <x:v>EXT-MONDE-T048</x:v>
      </x:c>
      <x:c r="C480" t="str">
        <x:v>Trailer parks</x:v>
      </x:c>
      <x:c r="D480" t="str">
        <x:v>Parc de caravanes abandonné</x:v>
      </x:c>
      <x:c r="E480" t="str">
        <x:v>Budget de butin persistant</x:v>
      </x:c>
      <x:c r="F480" t="str">
        <x:v>P1</x:v>
      </x:c>
      <x:c r="G480" t="str">
        <x:v>En cours</x:v>
      </x:c>
      <x:c r="H480" t="str">
        <x:v>Production Codex</x:v>
      </x:c>
      <x:c r="I480" t="str">
        <x:v>Livrable explicite, tests positifs et négatifs ; aucune validation déduite de la seule présence de la fiche.</x:v>
      </x:c>
      <x:c r="J480" t="str">
        <x:v>https://github.com/darknigthmare/deadwall-last-enclosure/blob/1b3b9c5ba232734b1bda3453b4e20a0481bcdd74/docs/codex/suivi-monde2026/CAMPAGNE_G11_2026.md</x:v>
      </x:c>
    </x:row>
    <x:row r="481">
      <x:c r="A481" t="str">
        <x:v>EXT-MONDE-T048/rencontres</x:v>
      </x:c>
      <x:c r="B481" t="str">
        <x:v>EXT-MONDE-T048</x:v>
      </x:c>
      <x:c r="C481" t="str">
        <x:v>Trailer parks</x:v>
      </x:c>
      <x:c r="D481" t="str">
        <x:v>Parc de caravanes abandonné</x:v>
      </x:c>
      <x:c r="E481" t="str">
        <x:v>Ennemis et faune contextualisés</x:v>
      </x:c>
      <x:c r="F481" t="str">
        <x:v>P1</x:v>
      </x:c>
      <x:c r="G481" t="str">
        <x:v>À faire</x:v>
      </x:c>
      <x:c r="H481" t="str">
        <x:v>Non affecté</x:v>
      </x:c>
      <x:c r="I481" t="str">
        <x:v>Livrable explicite, tests positifs et négatifs ; aucune validation déduite de la seule présence de la fiche.</x:v>
      </x:c>
      <x:c r="J481" t="str"/>
    </x:row>
    <x:row r="482">
      <x:c r="A482" t="str">
        <x:v>EXT-MONDE-T048/services</x:v>
      </x:c>
      <x:c r="B482" t="str">
        <x:v>EXT-MONDE-T048</x:v>
      </x:c>
      <x:c r="C482" t="str">
        <x:v>Trailer parks</x:v>
      </x:c>
      <x:c r="D482" t="str">
        <x:v>Parc de caravanes abandonné</x:v>
      </x:c>
      <x:c r="E482" t="str">
        <x:v>Énergie, eau et interactions</x:v>
      </x:c>
      <x:c r="F482" t="str">
        <x:v>P1</x:v>
      </x:c>
      <x:c r="G482" t="str">
        <x:v>À faire</x:v>
      </x:c>
      <x:c r="H482" t="str">
        <x:v>Non affecté</x:v>
      </x:c>
      <x:c r="I482" t="str">
        <x:v>Livrable explicite, tests positifs et négatifs ; aucune validation déduite de la seule présence de la fiche.</x:v>
      </x:c>
      <x:c r="J482" t="str"/>
    </x:row>
    <x:row r="483">
      <x:c r="A483" t="str">
        <x:v>EXT-MONDE-T048/art</x:v>
      </x:c>
      <x:c r="B483" t="str">
        <x:v>EXT-MONDE-T048</x:v>
      </x:c>
      <x:c r="C483" t="str">
        <x:v>Trailer parks</x:v>
      </x:c>
      <x:c r="D483" t="str">
        <x:v>Parc de caravanes abandonné</x:v>
      </x:c>
      <x:c r="E483" t="str">
        <x:v>Sprites, proportions et animations</x:v>
      </x:c>
      <x:c r="F483" t="str">
        <x:v>P1</x:v>
      </x:c>
      <x:c r="G483" t="str">
        <x:v>À faire</x:v>
      </x:c>
      <x:c r="H483" t="str">
        <x:v>Non affecté</x:v>
      </x:c>
      <x:c r="I483" t="str">
        <x:v>Livrable explicite, tests positifs et négatifs ; aucune validation déduite de la seule présence de la fiche.</x:v>
      </x:c>
      <x:c r="J483" t="str"/>
    </x:row>
    <x:row r="484">
      <x:c r="A484" t="str">
        <x:v>EXT-MONDE-T048/sauvegarde</x:v>
      </x:c>
      <x:c r="B484" t="str">
        <x:v>EXT-MONDE-T048</x:v>
      </x:c>
      <x:c r="C484" t="str">
        <x:v>Trailer parks</x:v>
      </x:c>
      <x:c r="D484" t="str">
        <x:v>Parc de caravanes abandonné</x:v>
      </x:c>
      <x:c r="E484" t="str">
        <x:v>Identités, migration et reprise</x:v>
      </x:c>
      <x:c r="F484" t="str">
        <x:v>P1</x:v>
      </x:c>
      <x:c r="G484" t="str">
        <x:v>En cours</x:v>
      </x:c>
      <x:c r="H484" t="str">
        <x:v>Production Codex</x:v>
      </x:c>
      <x:c r="I484" t="str">
        <x:v>Livrable explicite, tests positifs et négatifs ; aucune validation déduite de la seule présence de la fiche.</x:v>
      </x:c>
      <x:c r="J484" t="str">
        <x:v>https://github.com/darknigthmare/deadwall-last-enclosure/blob/1b3b9c5ba232734b1bda3453b4e20a0481bcdd74/docs/codex/suivi-monde2026/INSPECTION_PHYSIQUE_2026.md</x:v>
      </x:c>
    </x:row>
    <x:row r="485">
      <x:c r="A485" t="str">
        <x:v>EXT-MONDE-T048/qa</x:v>
      </x:c>
      <x:c r="B485" t="str">
        <x:v>EXT-MONDE-T048</x:v>
      </x:c>
      <x:c r="C485" t="str">
        <x:v>Trailer parks</x:v>
      </x:c>
      <x:c r="D485" t="str">
        <x:v>Parc de caravanes abandonné</x:v>
      </x:c>
      <x:c r="E485" t="str">
        <x:v>Navigation et parcours jouables</x:v>
      </x:c>
      <x:c r="F485" t="str">
        <x:v>P1</x:v>
      </x:c>
      <x:c r="G485" t="str">
        <x:v>En cours</x:v>
      </x:c>
      <x:c r="H485" t="str">
        <x:v>Production Codex</x:v>
      </x:c>
      <x:c r="I485" t="str">
        <x:v>Livrable explicite, tests positifs et négatifs ; aucune validation déduite de la seule présence de la fiche.</x:v>
      </x:c>
      <x:c r="J485" t="str">
        <x:v>https://github.com/darknigthmare/deadwall-last-enclosure/blob/1b3b9c5ba232734b1bda3453b4e20a0481bcdd74/docs/codex/suivi-monde2026/INSPECTION_PHYSIQUE_2026.md</x:v>
      </x:c>
    </x:row>
    <x:row r="486">
      <x:c r="A486" t="str">
        <x:v>EXT-MONDE-T049/dimensions</x:v>
      </x:c>
      <x:c r="B486" t="str">
        <x:v>EXT-MONDE-T049</x:v>
      </x:c>
      <x:c r="C486" t="str">
        <x:v>Parcs attractions</x:v>
      </x:c>
      <x:c r="D486" t="str">
        <x:v>Parc familial</x:v>
      </x:c>
      <x:c r="E486" t="str">
        <x:v>Dimensions et plans de référence</x:v>
      </x:c>
      <x:c r="F486" t="str">
        <x:v>P0</x:v>
      </x:c>
      <x:c r="G486" t="str">
        <x:v>En cours</x:v>
      </x:c>
      <x:c r="H486" t="str">
        <x:v>Production Codex</x:v>
      </x:c>
      <x:c r="I486" t="str">
        <x:v>Sources publiques identifiées ; unités en mètres ; emprise au sol distincte de la hauteur.</x:v>
      </x:c>
      <x:c r="J486" t="str">
        <x:v>https://github.com/darknigthmare/deadwall-last-enclosure/blob/1b3b9c5ba232734b1bda3453b4e20a0481bcdd74/docs/codex/suivi-monde2026/PARCS_SPORTS_2026.md</x:v>
      </x:c>
    </x:row>
    <x:row r="487">
      <x:c r="A487" t="str">
        <x:v>EXT-MONDE-T049/architecture</x:v>
      </x:c>
      <x:c r="B487" t="str">
        <x:v>EXT-MONDE-T049</x:v>
      </x:c>
      <x:c r="C487" t="str">
        <x:v>Parcs attractions</x:v>
      </x:c>
      <x:c r="D487" t="str">
        <x:v>Parc familial</x:v>
      </x:c>
      <x:c r="E487" t="str">
        <x:v>Pièces, étages, annexes</x:v>
      </x:c>
      <x:c r="F487" t="str">
        <x:v>P0</x:v>
      </x:c>
      <x:c r="G487" t="str">
        <x:v>En cours</x:v>
      </x:c>
      <x:c r="H487" t="str">
        <x:v>Production Codex</x:v>
      </x:c>
      <x:c r="I487" t="str">
        <x:v>Livrable explicite, tests positifs et négatifs ; aucune validation déduite de la seule présence de la fiche.</x:v>
      </x:c>
      <x:c r="J487" t="str">
        <x:v>https://github.com/darknigthmare/deadwall-last-enclosure/blob/1b3b9c5ba232734b1bda3453b4e20a0481bcdd74/docs/codex/suivi-monde2026/INSPECTION_PHYSIQUE_2026.md</x:v>
      </x:c>
    </x:row>
    <x:row r="488">
      <x:c r="A488" t="str">
        <x:v>EXT-MONDE-T049/seed</x:v>
      </x:c>
      <x:c r="B488" t="str">
        <x:v>EXT-MONDE-T049</x:v>
      </x:c>
      <x:c r="C488" t="str">
        <x:v>Parcs attractions</x:v>
      </x:c>
      <x:c r="D488" t="str">
        <x:v>Parc familial</x:v>
      </x:c>
      <x:c r="E488" t="str">
        <x:v>Implantation et réseaux</x:v>
      </x:c>
      <x:c r="F488" t="str">
        <x:v>P0</x:v>
      </x:c>
      <x:c r="G488" t="str">
        <x:v>À faire</x:v>
      </x:c>
      <x:c r="H488" t="str">
        <x:v>Non affecté</x:v>
      </x:c>
      <x:c r="I488" t="str">
        <x:v>Flux visiteurs/service séparés ; voies de retour ; attractions à l’échelle sans simple compression graphique.</x:v>
      </x:c>
      <x:c r="J488" t="str"/>
    </x:row>
    <x:row r="489">
      <x:c r="A489" t="str">
        <x:v>EXT-MONDE-T049/props</x:v>
      </x:c>
      <x:c r="B489" t="str">
        <x:v>EXT-MONDE-T049</x:v>
      </x:c>
      <x:c r="C489" t="str">
        <x:v>Parcs attractions</x:v>
      </x:c>
      <x:c r="D489" t="str">
        <x:v>Parc familial</x:v>
      </x:c>
      <x:c r="E489" t="str">
        <x:v>Objets, décors et dégagements</x:v>
      </x:c>
      <x:c r="F489" t="str">
        <x:v>P1</x:v>
      </x:c>
      <x:c r="G489" t="str">
        <x:v>En cours</x:v>
      </x:c>
      <x:c r="H489" t="str">
        <x:v>Production Codex</x:v>
      </x:c>
      <x:c r="I489" t="str">
        <x:v>Livrable explicite, tests positifs et négatifs ; aucune validation déduite de la seule présence de la fiche.</x:v>
      </x:c>
      <x:c r="J489" t="str">
        <x:v>https://github.com/darknigthmare/deadwall-last-enclosure/blob/1b3b9c5ba232734b1bda3453b4e20a0481bcdd74/docs/codex/suivi-monde2026/INSPECTION_PHYSIQUE_2026.md</x:v>
      </x:c>
    </x:row>
    <x:row r="490">
      <x:c r="A490" t="str">
        <x:v>EXT-MONDE-T049/loot</x:v>
      </x:c>
      <x:c r="B490" t="str">
        <x:v>EXT-MONDE-T049</x:v>
      </x:c>
      <x:c r="C490" t="str">
        <x:v>Parcs attractions</x:v>
      </x:c>
      <x:c r="D490" t="str">
        <x:v>Parc familial</x:v>
      </x:c>
      <x:c r="E490" t="str">
        <x:v>Budget de butin persistant</x:v>
      </x:c>
      <x:c r="F490" t="str">
        <x:v>P1</x:v>
      </x:c>
      <x:c r="G490" t="str">
        <x:v>À faire</x:v>
      </x:c>
      <x:c r="H490" t="str">
        <x:v>Non affecté</x:v>
      </x:c>
      <x:c r="I490" t="str">
        <x:v>Livrable explicite, tests positifs et négatifs ; aucune validation déduite de la seule présence de la fiche.</x:v>
      </x:c>
      <x:c r="J490" t="str"/>
    </x:row>
    <x:row r="491">
      <x:c r="A491" t="str">
        <x:v>EXT-MONDE-T049/rencontres</x:v>
      </x:c>
      <x:c r="B491" t="str">
        <x:v>EXT-MONDE-T049</x:v>
      </x:c>
      <x:c r="C491" t="str">
        <x:v>Parcs attractions</x:v>
      </x:c>
      <x:c r="D491" t="str">
        <x:v>Parc familial</x:v>
      </x:c>
      <x:c r="E491" t="str">
        <x:v>Ennemis et faune contextualisés</x:v>
      </x:c>
      <x:c r="F491" t="str">
        <x:v>P1</x:v>
      </x:c>
      <x:c r="G491" t="str">
        <x:v>À faire</x:v>
      </x:c>
      <x:c r="H491" t="str">
        <x:v>Non affecté</x:v>
      </x:c>
      <x:c r="I491" t="str">
        <x:v>Livrable explicite, tests positifs et négatifs ; aucune validation déduite de la seule présence de la fiche.</x:v>
      </x:c>
      <x:c r="J491" t="str"/>
    </x:row>
    <x:row r="492">
      <x:c r="A492" t="str">
        <x:v>EXT-MONDE-T049/services</x:v>
      </x:c>
      <x:c r="B492" t="str">
        <x:v>EXT-MONDE-T049</x:v>
      </x:c>
      <x:c r="C492" t="str">
        <x:v>Parcs attractions</x:v>
      </x:c>
      <x:c r="D492" t="str">
        <x:v>Parc familial</x:v>
      </x:c>
      <x:c r="E492" t="str">
        <x:v>Énergie, eau et interactions</x:v>
      </x:c>
      <x:c r="F492" t="str">
        <x:v>P1</x:v>
      </x:c>
      <x:c r="G492" t="str">
        <x:v>À faire</x:v>
      </x:c>
      <x:c r="H492" t="str">
        <x:v>Non affecté</x:v>
      </x:c>
      <x:c r="I492" t="str">
        <x:v>Livrable explicite, tests positifs et négatifs ; aucune validation déduite de la seule présence de la fiche.</x:v>
      </x:c>
      <x:c r="J492" t="str"/>
    </x:row>
    <x:row r="493">
      <x:c r="A493" t="str">
        <x:v>EXT-MONDE-T049/art</x:v>
      </x:c>
      <x:c r="B493" t="str">
        <x:v>EXT-MONDE-T049</x:v>
      </x:c>
      <x:c r="C493" t="str">
        <x:v>Parcs attractions</x:v>
      </x:c>
      <x:c r="D493" t="str">
        <x:v>Parc familial</x:v>
      </x:c>
      <x:c r="E493" t="str">
        <x:v>Sprites, proportions et animations</x:v>
      </x:c>
      <x:c r="F493" t="str">
        <x:v>P1</x:v>
      </x:c>
      <x:c r="G493" t="str">
        <x:v>À faire</x:v>
      </x:c>
      <x:c r="H493" t="str">
        <x:v>Non affecté</x:v>
      </x:c>
      <x:c r="I493" t="str">
        <x:v>Livrable explicite, tests positifs et négatifs ; aucune validation déduite de la seule présence de la fiche.</x:v>
      </x:c>
      <x:c r="J493" t="str"/>
    </x:row>
    <x:row r="494">
      <x:c r="A494" t="str">
        <x:v>EXT-MONDE-T049/sauvegarde</x:v>
      </x:c>
      <x:c r="B494" t="str">
        <x:v>EXT-MONDE-T049</x:v>
      </x:c>
      <x:c r="C494" t="str">
        <x:v>Parcs attractions</x:v>
      </x:c>
      <x:c r="D494" t="str">
        <x:v>Parc familial</x:v>
      </x:c>
      <x:c r="E494" t="str">
        <x:v>Identités, migration et reprise</x:v>
      </x:c>
      <x:c r="F494" t="str">
        <x:v>P1</x:v>
      </x:c>
      <x:c r="G494" t="str">
        <x:v>En cours</x:v>
      </x:c>
      <x:c r="H494" t="str">
        <x:v>Production Codex</x:v>
      </x:c>
      <x:c r="I494" t="str">
        <x:v>Livrable explicite, tests positifs et négatifs ; aucune validation déduite de la seule présence de la fiche.</x:v>
      </x:c>
      <x:c r="J494" t="str">
        <x:v>https://github.com/darknigthmare/deadwall-last-enclosure/blob/1b3b9c5ba232734b1bda3453b4e20a0481bcdd74/docs/codex/suivi-monde2026/INSPECTION_PHYSIQUE_2026.md</x:v>
      </x:c>
    </x:row>
    <x:row r="495">
      <x:c r="A495" t="str">
        <x:v>EXT-MONDE-T049/qa</x:v>
      </x:c>
      <x:c r="B495" t="str">
        <x:v>EXT-MONDE-T049</x:v>
      </x:c>
      <x:c r="C495" t="str">
        <x:v>Parcs attractions</x:v>
      </x:c>
      <x:c r="D495" t="str">
        <x:v>Parc familial</x:v>
      </x:c>
      <x:c r="E495" t="str">
        <x:v>Navigation et parcours jouables</x:v>
      </x:c>
      <x:c r="F495" t="str">
        <x:v>P1</x:v>
      </x:c>
      <x:c r="G495" t="str">
        <x:v>En cours</x:v>
      </x:c>
      <x:c r="H495" t="str">
        <x:v>Production Codex</x:v>
      </x:c>
      <x:c r="I495" t="str">
        <x:v>Livrable explicite, tests positifs et négatifs ; aucune validation déduite de la seule présence de la fiche.</x:v>
      </x:c>
      <x:c r="J495" t="str">
        <x:v>https://github.com/darknigthmare/deadwall-last-enclosure/blob/1b3b9c5ba232734b1bda3453b4e20a0481bcdd74/docs/codex/suivi-monde2026/INSPECTION_PHYSIQUE_2026.md</x:v>
      </x:c>
    </x:row>
    <x:row r="496">
      <x:c r="A496" t="str">
        <x:v>EXT-MONDE-T050/dimensions</x:v>
      </x:c>
      <x:c r="B496" t="str">
        <x:v>EXT-MONDE-T050</x:v>
      </x:c>
      <x:c r="C496" t="str">
        <x:v>Parcs attractions</x:v>
      </x:c>
      <x:c r="D496" t="str">
        <x:v>Parc à sensations</x:v>
      </x:c>
      <x:c r="E496" t="str">
        <x:v>Dimensions et plans de référence</x:v>
      </x:c>
      <x:c r="F496" t="str">
        <x:v>P0</x:v>
      </x:c>
      <x:c r="G496" t="str">
        <x:v>En cours</x:v>
      </x:c>
      <x:c r="H496" t="str">
        <x:v>Production Codex</x:v>
      </x:c>
      <x:c r="I496" t="str">
        <x:v>Sources publiques identifiées ; unités en mètres ; emprise au sol distincte de la hauteur.</x:v>
      </x:c>
      <x:c r="J496" t="str">
        <x:v>https://github.com/darknigthmare/deadwall-last-enclosure/blob/1b3b9c5ba232734b1bda3453b4e20a0481bcdd74/docs/codex/suivi-monde2026/PARCS_SPORTS_2026.md</x:v>
      </x:c>
    </x:row>
    <x:row r="497">
      <x:c r="A497" t="str">
        <x:v>EXT-MONDE-T050/architecture</x:v>
      </x:c>
      <x:c r="B497" t="str">
        <x:v>EXT-MONDE-T050</x:v>
      </x:c>
      <x:c r="C497" t="str">
        <x:v>Parcs attractions</x:v>
      </x:c>
      <x:c r="D497" t="str">
        <x:v>Parc à sensations</x:v>
      </x:c>
      <x:c r="E497" t="str">
        <x:v>Pièces, étages, annexes</x:v>
      </x:c>
      <x:c r="F497" t="str">
        <x:v>P0</x:v>
      </x:c>
      <x:c r="G497" t="str">
        <x:v>En cours</x:v>
      </x:c>
      <x:c r="H497" t="str">
        <x:v>Production Codex</x:v>
      </x:c>
      <x:c r="I497" t="str">
        <x:v>Livrable explicite, tests positifs et négatifs ; aucune validation déduite de la seule présence de la fiche.</x:v>
      </x:c>
      <x:c r="J497" t="str">
        <x:v>https://github.com/darknigthmare/deadwall-last-enclosure/blob/1b3b9c5ba232734b1bda3453b4e20a0481bcdd74/docs/codex/suivi-monde2026/INSPECTION_PHYSIQUE_2026.md</x:v>
      </x:c>
    </x:row>
    <x:row r="498">
      <x:c r="A498" t="str">
        <x:v>EXT-MONDE-T050/seed</x:v>
      </x:c>
      <x:c r="B498" t="str">
        <x:v>EXT-MONDE-T050</x:v>
      </x:c>
      <x:c r="C498" t="str">
        <x:v>Parcs attractions</x:v>
      </x:c>
      <x:c r="D498" t="str">
        <x:v>Parc à sensations</x:v>
      </x:c>
      <x:c r="E498" t="str">
        <x:v>Implantation et réseaux</x:v>
      </x:c>
      <x:c r="F498" t="str">
        <x:v>P0</x:v>
      </x:c>
      <x:c r="G498" t="str">
        <x:v>À faire</x:v>
      </x:c>
      <x:c r="H498" t="str">
        <x:v>Non affecté</x:v>
      </x:c>
      <x:c r="I498" t="str">
        <x:v>Flux visiteurs/service séparés ; voies de retour ; attractions à l’échelle sans simple compression graphique.</x:v>
      </x:c>
      <x:c r="J498" t="str"/>
    </x:row>
    <x:row r="499">
      <x:c r="A499" t="str">
        <x:v>EXT-MONDE-T050/props</x:v>
      </x:c>
      <x:c r="B499" t="str">
        <x:v>EXT-MONDE-T050</x:v>
      </x:c>
      <x:c r="C499" t="str">
        <x:v>Parcs attractions</x:v>
      </x:c>
      <x:c r="D499" t="str">
        <x:v>Parc à sensations</x:v>
      </x:c>
      <x:c r="E499" t="str">
        <x:v>Objets, décors et dégagements</x:v>
      </x:c>
      <x:c r="F499" t="str">
        <x:v>P1</x:v>
      </x:c>
      <x:c r="G499" t="str">
        <x:v>En cours</x:v>
      </x:c>
      <x:c r="H499" t="str">
        <x:v>Production Codex</x:v>
      </x:c>
      <x:c r="I499" t="str">
        <x:v>Livrable explicite, tests positifs et négatifs ; aucune validation déduite de la seule présence de la fiche.</x:v>
      </x:c>
      <x:c r="J499" t="str">
        <x:v>https://github.com/darknigthmare/deadwall-last-enclosure/blob/1b3b9c5ba232734b1bda3453b4e20a0481bcdd74/docs/codex/suivi-monde2026/INSPECTION_PHYSIQUE_2026.md</x:v>
      </x:c>
    </x:row>
    <x:row r="500">
      <x:c r="A500" t="str">
        <x:v>EXT-MONDE-T050/loot</x:v>
      </x:c>
      <x:c r="B500" t="str">
        <x:v>EXT-MONDE-T050</x:v>
      </x:c>
      <x:c r="C500" t="str">
        <x:v>Parcs attractions</x:v>
      </x:c>
      <x:c r="D500" t="str">
        <x:v>Parc à sensations</x:v>
      </x:c>
      <x:c r="E500" t="str">
        <x:v>Budget de butin persistant</x:v>
      </x:c>
      <x:c r="F500" t="str">
        <x:v>P1</x:v>
      </x:c>
      <x:c r="G500" t="str">
        <x:v>À faire</x:v>
      </x:c>
      <x:c r="H500" t="str">
        <x:v>Non affecté</x:v>
      </x:c>
      <x:c r="I500" t="str">
        <x:v>Livrable explicite, tests positifs et négatifs ; aucune validation déduite de la seule présence de la fiche.</x:v>
      </x:c>
      <x:c r="J500" t="str"/>
    </x:row>
    <x:row r="501">
      <x:c r="A501" t="str">
        <x:v>EXT-MONDE-T050/rencontres</x:v>
      </x:c>
      <x:c r="B501" t="str">
        <x:v>EXT-MONDE-T050</x:v>
      </x:c>
      <x:c r="C501" t="str">
        <x:v>Parcs attractions</x:v>
      </x:c>
      <x:c r="D501" t="str">
        <x:v>Parc à sensations</x:v>
      </x:c>
      <x:c r="E501" t="str">
        <x:v>Ennemis et faune contextualisés</x:v>
      </x:c>
      <x:c r="F501" t="str">
        <x:v>P1</x:v>
      </x:c>
      <x:c r="G501" t="str">
        <x:v>À faire</x:v>
      </x:c>
      <x:c r="H501" t="str">
        <x:v>Non affecté</x:v>
      </x:c>
      <x:c r="I501" t="str">
        <x:v>Livrable explicite, tests positifs et négatifs ; aucune validation déduite de la seule présence de la fiche.</x:v>
      </x:c>
      <x:c r="J501" t="str"/>
    </x:row>
    <x:row r="502">
      <x:c r="A502" t="str">
        <x:v>EXT-MONDE-T050/services</x:v>
      </x:c>
      <x:c r="B502" t="str">
        <x:v>EXT-MONDE-T050</x:v>
      </x:c>
      <x:c r="C502" t="str">
        <x:v>Parcs attractions</x:v>
      </x:c>
      <x:c r="D502" t="str">
        <x:v>Parc à sensations</x:v>
      </x:c>
      <x:c r="E502" t="str">
        <x:v>Énergie, eau et interactions</x:v>
      </x:c>
      <x:c r="F502" t="str">
        <x:v>P1</x:v>
      </x:c>
      <x:c r="G502" t="str">
        <x:v>À faire</x:v>
      </x:c>
      <x:c r="H502" t="str">
        <x:v>Non affecté</x:v>
      </x:c>
      <x:c r="I502" t="str">
        <x:v>Livrable explicite, tests positifs et négatifs ; aucune validation déduite de la seule présence de la fiche.</x:v>
      </x:c>
      <x:c r="J502" t="str"/>
    </x:row>
    <x:row r="503">
      <x:c r="A503" t="str">
        <x:v>EXT-MONDE-T050/art</x:v>
      </x:c>
      <x:c r="B503" t="str">
        <x:v>EXT-MONDE-T050</x:v>
      </x:c>
      <x:c r="C503" t="str">
        <x:v>Parcs attractions</x:v>
      </x:c>
      <x:c r="D503" t="str">
        <x:v>Parc à sensations</x:v>
      </x:c>
      <x:c r="E503" t="str">
        <x:v>Sprites, proportions et animations</x:v>
      </x:c>
      <x:c r="F503" t="str">
        <x:v>P1</x:v>
      </x:c>
      <x:c r="G503" t="str">
        <x:v>À faire</x:v>
      </x:c>
      <x:c r="H503" t="str">
        <x:v>Non affecté</x:v>
      </x:c>
      <x:c r="I503" t="str">
        <x:v>Livrable explicite, tests positifs et négatifs ; aucune validation déduite de la seule présence de la fiche.</x:v>
      </x:c>
      <x:c r="J503" t="str"/>
    </x:row>
    <x:row r="504">
      <x:c r="A504" t="str">
        <x:v>EXT-MONDE-T050/sauvegarde</x:v>
      </x:c>
      <x:c r="B504" t="str">
        <x:v>EXT-MONDE-T050</x:v>
      </x:c>
      <x:c r="C504" t="str">
        <x:v>Parcs attractions</x:v>
      </x:c>
      <x:c r="D504" t="str">
        <x:v>Parc à sensations</x:v>
      </x:c>
      <x:c r="E504" t="str">
        <x:v>Identités, migration et reprise</x:v>
      </x:c>
      <x:c r="F504" t="str">
        <x:v>P1</x:v>
      </x:c>
      <x:c r="G504" t="str">
        <x:v>En cours</x:v>
      </x:c>
      <x:c r="H504" t="str">
        <x:v>Production Codex</x:v>
      </x:c>
      <x:c r="I504" t="str">
        <x:v>Livrable explicite, tests positifs et négatifs ; aucune validation déduite de la seule présence de la fiche.</x:v>
      </x:c>
      <x:c r="J504" t="str">
        <x:v>https://github.com/darknigthmare/deadwall-last-enclosure/blob/1b3b9c5ba232734b1bda3453b4e20a0481bcdd74/docs/codex/suivi-monde2026/INSPECTION_PHYSIQUE_2026.md</x:v>
      </x:c>
    </x:row>
    <x:row r="505">
      <x:c r="A505" t="str">
        <x:v>EXT-MONDE-T050/qa</x:v>
      </x:c>
      <x:c r="B505" t="str">
        <x:v>EXT-MONDE-T050</x:v>
      </x:c>
      <x:c r="C505" t="str">
        <x:v>Parcs attractions</x:v>
      </x:c>
      <x:c r="D505" t="str">
        <x:v>Parc à sensations</x:v>
      </x:c>
      <x:c r="E505" t="str">
        <x:v>Navigation et parcours jouables</x:v>
      </x:c>
      <x:c r="F505" t="str">
        <x:v>P1</x:v>
      </x:c>
      <x:c r="G505" t="str">
        <x:v>En cours</x:v>
      </x:c>
      <x:c r="H505" t="str">
        <x:v>Production Codex</x:v>
      </x:c>
      <x:c r="I505" t="str">
        <x:v>Livrable explicite, tests positifs et négatifs ; aucune validation déduite de la seule présence de la fiche.</x:v>
      </x:c>
      <x:c r="J505" t="str">
        <x:v>https://github.com/darknigthmare/deadwall-last-enclosure/blob/1b3b9c5ba232734b1bda3453b4e20a0481bcdd74/docs/codex/suivi-monde2026/INSPECTION_PHYSIQUE_2026.md</x:v>
      </x:c>
    </x:row>
    <x:row r="506">
      <x:c r="A506" t="str">
        <x:v>EXT-MONDE-T051/dimensions</x:v>
      </x:c>
      <x:c r="B506" t="str">
        <x:v>EXT-MONDE-T051</x:v>
      </x:c>
      <x:c r="C506" t="str">
        <x:v>Parcs attractions</x:v>
      </x:c>
      <x:c r="D506" t="str">
        <x:v>Parc aquatique</x:v>
      </x:c>
      <x:c r="E506" t="str">
        <x:v>Dimensions et plans de référence</x:v>
      </x:c>
      <x:c r="F506" t="str">
        <x:v>P0</x:v>
      </x:c>
      <x:c r="G506" t="str">
        <x:v>En cours</x:v>
      </x:c>
      <x:c r="H506" t="str">
        <x:v>Production Codex</x:v>
      </x:c>
      <x:c r="I506" t="str">
        <x:v>Sources publiques identifiées ; unités en mètres ; emprise au sol distincte de la hauteur.</x:v>
      </x:c>
      <x:c r="J506" t="str">
        <x:v>https://github.com/darknigthmare/deadwall-last-enclosure/blob/1b3b9c5ba232734b1bda3453b4e20a0481bcdd74/docs/codex/suivi-monde2026/PARCS_SPORTS_2026.md</x:v>
      </x:c>
    </x:row>
    <x:row r="507">
      <x:c r="A507" t="str">
        <x:v>EXT-MONDE-T051/architecture</x:v>
      </x:c>
      <x:c r="B507" t="str">
        <x:v>EXT-MONDE-T051</x:v>
      </x:c>
      <x:c r="C507" t="str">
        <x:v>Parcs attractions</x:v>
      </x:c>
      <x:c r="D507" t="str">
        <x:v>Parc aquatique</x:v>
      </x:c>
      <x:c r="E507" t="str">
        <x:v>Pièces, étages, annexes</x:v>
      </x:c>
      <x:c r="F507" t="str">
        <x:v>P0</x:v>
      </x:c>
      <x:c r="G507" t="str">
        <x:v>En cours</x:v>
      </x:c>
      <x:c r="H507" t="str">
        <x:v>Production Codex</x:v>
      </x:c>
      <x:c r="I507" t="str">
        <x:v>Livrable explicite, tests positifs et négatifs ; aucune validation déduite de la seule présence de la fiche.</x:v>
      </x:c>
      <x:c r="J507" t="str">
        <x:v>https://github.com/darknigthmare/deadwall-last-enclosure/blob/1b3b9c5ba232734b1bda3453b4e20a0481bcdd74/docs/codex/suivi-monde2026/INSPECTION_PHYSIQUE_2026.md</x:v>
      </x:c>
    </x:row>
    <x:row r="508">
      <x:c r="A508" t="str">
        <x:v>EXT-MONDE-T051/seed</x:v>
      </x:c>
      <x:c r="B508" t="str">
        <x:v>EXT-MONDE-T051</x:v>
      </x:c>
      <x:c r="C508" t="str">
        <x:v>Parcs attractions</x:v>
      </x:c>
      <x:c r="D508" t="str">
        <x:v>Parc aquatique</x:v>
      </x:c>
      <x:c r="E508" t="str">
        <x:v>Implantation et réseaux</x:v>
      </x:c>
      <x:c r="F508" t="str">
        <x:v>P0</x:v>
      </x:c>
      <x:c r="G508" t="str">
        <x:v>À faire</x:v>
      </x:c>
      <x:c r="H508" t="str">
        <x:v>Non affecté</x:v>
      </x:c>
      <x:c r="I508" t="str">
        <x:v>Flux visiteurs/service séparés ; voies de retour ; attractions à l’échelle sans simple compression graphique.</x:v>
      </x:c>
      <x:c r="J508" t="str"/>
    </x:row>
    <x:row r="509">
      <x:c r="A509" t="str">
        <x:v>EXT-MONDE-T051/props</x:v>
      </x:c>
      <x:c r="B509" t="str">
        <x:v>EXT-MONDE-T051</x:v>
      </x:c>
      <x:c r="C509" t="str">
        <x:v>Parcs attractions</x:v>
      </x:c>
      <x:c r="D509" t="str">
        <x:v>Parc aquatique</x:v>
      </x:c>
      <x:c r="E509" t="str">
        <x:v>Objets, décors et dégagements</x:v>
      </x:c>
      <x:c r="F509" t="str">
        <x:v>P1</x:v>
      </x:c>
      <x:c r="G509" t="str">
        <x:v>En cours</x:v>
      </x:c>
      <x:c r="H509" t="str">
        <x:v>Production Codex</x:v>
      </x:c>
      <x:c r="I509" t="str">
        <x:v>Livrable explicite, tests positifs et négatifs ; aucune validation déduite de la seule présence de la fiche.</x:v>
      </x:c>
      <x:c r="J509" t="str">
        <x:v>https://github.com/darknigthmare/deadwall-last-enclosure/blob/1b3b9c5ba232734b1bda3453b4e20a0481bcdd74/docs/codex/suivi-monde2026/INSPECTION_PHYSIQUE_2026.md</x:v>
      </x:c>
    </x:row>
    <x:row r="510">
      <x:c r="A510" t="str">
        <x:v>EXT-MONDE-T051/loot</x:v>
      </x:c>
      <x:c r="B510" t="str">
        <x:v>EXT-MONDE-T051</x:v>
      </x:c>
      <x:c r="C510" t="str">
        <x:v>Parcs attractions</x:v>
      </x:c>
      <x:c r="D510" t="str">
        <x:v>Parc aquatique</x:v>
      </x:c>
      <x:c r="E510" t="str">
        <x:v>Budget de butin persistant</x:v>
      </x:c>
      <x:c r="F510" t="str">
        <x:v>P1</x:v>
      </x:c>
      <x:c r="G510" t="str">
        <x:v>À faire</x:v>
      </x:c>
      <x:c r="H510" t="str">
        <x:v>Non affecté</x:v>
      </x:c>
      <x:c r="I510" t="str">
        <x:v>Livrable explicite, tests positifs et négatifs ; aucune validation déduite de la seule présence de la fiche.</x:v>
      </x:c>
      <x:c r="J510" t="str"/>
    </x:row>
    <x:row r="511">
      <x:c r="A511" t="str">
        <x:v>EXT-MONDE-T051/rencontres</x:v>
      </x:c>
      <x:c r="B511" t="str">
        <x:v>EXT-MONDE-T051</x:v>
      </x:c>
      <x:c r="C511" t="str">
        <x:v>Parcs attractions</x:v>
      </x:c>
      <x:c r="D511" t="str">
        <x:v>Parc aquatique</x:v>
      </x:c>
      <x:c r="E511" t="str">
        <x:v>Ennemis et faune contextualisés</x:v>
      </x:c>
      <x:c r="F511" t="str">
        <x:v>P1</x:v>
      </x:c>
      <x:c r="G511" t="str">
        <x:v>À faire</x:v>
      </x:c>
      <x:c r="H511" t="str">
        <x:v>Non affecté</x:v>
      </x:c>
      <x:c r="I511" t="str">
        <x:v>Livrable explicite, tests positifs et négatifs ; aucune validation déduite de la seule présence de la fiche.</x:v>
      </x:c>
      <x:c r="J511" t="str"/>
    </x:row>
    <x:row r="512">
      <x:c r="A512" t="str">
        <x:v>EXT-MONDE-T051/services</x:v>
      </x:c>
      <x:c r="B512" t="str">
        <x:v>EXT-MONDE-T051</x:v>
      </x:c>
      <x:c r="C512" t="str">
        <x:v>Parcs attractions</x:v>
      </x:c>
      <x:c r="D512" t="str">
        <x:v>Parc aquatique</x:v>
      </x:c>
      <x:c r="E512" t="str">
        <x:v>Énergie, eau et interactions</x:v>
      </x:c>
      <x:c r="F512" t="str">
        <x:v>P1</x:v>
      </x:c>
      <x:c r="G512" t="str">
        <x:v>À faire</x:v>
      </x:c>
      <x:c r="H512" t="str">
        <x:v>Non affecté</x:v>
      </x:c>
      <x:c r="I512" t="str">
        <x:v>Livrable explicite, tests positifs et négatifs ; aucune validation déduite de la seule présence de la fiche.</x:v>
      </x:c>
      <x:c r="J512" t="str"/>
    </x:row>
    <x:row r="513">
      <x:c r="A513" t="str">
        <x:v>EXT-MONDE-T051/art</x:v>
      </x:c>
      <x:c r="B513" t="str">
        <x:v>EXT-MONDE-T051</x:v>
      </x:c>
      <x:c r="C513" t="str">
        <x:v>Parcs attractions</x:v>
      </x:c>
      <x:c r="D513" t="str">
        <x:v>Parc aquatique</x:v>
      </x:c>
      <x:c r="E513" t="str">
        <x:v>Sprites, proportions et animations</x:v>
      </x:c>
      <x:c r="F513" t="str">
        <x:v>P1</x:v>
      </x:c>
      <x:c r="G513" t="str">
        <x:v>À faire</x:v>
      </x:c>
      <x:c r="H513" t="str">
        <x:v>Non affecté</x:v>
      </x:c>
      <x:c r="I513" t="str">
        <x:v>Livrable explicite, tests positifs et négatifs ; aucune validation déduite de la seule présence de la fiche.</x:v>
      </x:c>
      <x:c r="J513" t="str"/>
    </x:row>
    <x:row r="514">
      <x:c r="A514" t="str">
        <x:v>EXT-MONDE-T051/sauvegarde</x:v>
      </x:c>
      <x:c r="B514" t="str">
        <x:v>EXT-MONDE-T051</x:v>
      </x:c>
      <x:c r="C514" t="str">
        <x:v>Parcs attractions</x:v>
      </x:c>
      <x:c r="D514" t="str">
        <x:v>Parc aquatique</x:v>
      </x:c>
      <x:c r="E514" t="str">
        <x:v>Identités, migration et reprise</x:v>
      </x:c>
      <x:c r="F514" t="str">
        <x:v>P1</x:v>
      </x:c>
      <x:c r="G514" t="str">
        <x:v>En cours</x:v>
      </x:c>
      <x:c r="H514" t="str">
        <x:v>Production Codex</x:v>
      </x:c>
      <x:c r="I514" t="str">
        <x:v>Livrable explicite, tests positifs et négatifs ; aucune validation déduite de la seule présence de la fiche.</x:v>
      </x:c>
      <x:c r="J514" t="str">
        <x:v>https://github.com/darknigthmare/deadwall-last-enclosure/blob/1b3b9c5ba232734b1bda3453b4e20a0481bcdd74/docs/codex/suivi-monde2026/INSPECTION_PHYSIQUE_2026.md</x:v>
      </x:c>
    </x:row>
    <x:row r="515">
      <x:c r="A515" t="str">
        <x:v>EXT-MONDE-T051/qa</x:v>
      </x:c>
      <x:c r="B515" t="str">
        <x:v>EXT-MONDE-T051</x:v>
      </x:c>
      <x:c r="C515" t="str">
        <x:v>Parcs attractions</x:v>
      </x:c>
      <x:c r="D515" t="str">
        <x:v>Parc aquatique</x:v>
      </x:c>
      <x:c r="E515" t="str">
        <x:v>Navigation et parcours jouables</x:v>
      </x:c>
      <x:c r="F515" t="str">
        <x:v>P1</x:v>
      </x:c>
      <x:c r="G515" t="str">
        <x:v>En cours</x:v>
      </x:c>
      <x:c r="H515" t="str">
        <x:v>Production Codex</x:v>
      </x:c>
      <x:c r="I515" t="str">
        <x:v>Livrable explicite, tests positifs et négatifs ; aucune validation déduite de la seule présence de la fiche.</x:v>
      </x:c>
      <x:c r="J515" t="str">
        <x:v>https://github.com/darknigthmare/deadwall-last-enclosure/blob/1b3b9c5ba232734b1bda3453b4e20a0481bcdd74/docs/codex/suivi-monde2026/INSPECTION_PHYSIQUE_2026.md</x:v>
      </x:c>
    </x:row>
    <x:row r="516">
      <x:c r="A516" t="str">
        <x:v>EXT-MONDE-T052/dimensions</x:v>
      </x:c>
      <x:c r="B516" t="str">
        <x:v>EXT-MONDE-T052</x:v>
      </x:c>
      <x:c r="C516" t="str">
        <x:v>Parcs attractions</x:v>
      </x:c>
      <x:c r="D516" t="str">
        <x:v>Parc thématique abandonné</x:v>
      </x:c>
      <x:c r="E516" t="str">
        <x:v>Dimensions et plans de référence</x:v>
      </x:c>
      <x:c r="F516" t="str">
        <x:v>P0</x:v>
      </x:c>
      <x:c r="G516" t="str">
        <x:v>En cours</x:v>
      </x:c>
      <x:c r="H516" t="str">
        <x:v>Production Codex</x:v>
      </x:c>
      <x:c r="I516" t="str">
        <x:v>Sources publiques identifiées ; unités en mètres ; emprise au sol distincte de la hauteur.</x:v>
      </x:c>
      <x:c r="J516" t="str">
        <x:v>https://github.com/darknigthmare/deadwall-last-enclosure/blob/1b3b9c5ba232734b1bda3453b4e20a0481bcdd74/docs/codex/suivi-monde2026/PARCS_SPORTS_2026.md</x:v>
      </x:c>
    </x:row>
    <x:row r="517">
      <x:c r="A517" t="str">
        <x:v>EXT-MONDE-T052/architecture</x:v>
      </x:c>
      <x:c r="B517" t="str">
        <x:v>EXT-MONDE-T052</x:v>
      </x:c>
      <x:c r="C517" t="str">
        <x:v>Parcs attractions</x:v>
      </x:c>
      <x:c r="D517" t="str">
        <x:v>Parc thématique abandonné</x:v>
      </x:c>
      <x:c r="E517" t="str">
        <x:v>Pièces, étages, annexes</x:v>
      </x:c>
      <x:c r="F517" t="str">
        <x:v>P0</x:v>
      </x:c>
      <x:c r="G517" t="str">
        <x:v>En cours</x:v>
      </x:c>
      <x:c r="H517" t="str">
        <x:v>Production Codex</x:v>
      </x:c>
      <x:c r="I517" t="str">
        <x:v>Livrable explicite, tests positifs et négatifs ; aucune validation déduite de la seule présence de la fiche.</x:v>
      </x:c>
      <x:c r="J517" t="str">
        <x:v>https://github.com/darknigthmare/deadwall-last-enclosure/blob/1b3b9c5ba232734b1bda3453b4e20a0481bcdd74/docs/codex/suivi-monde2026/INSPECTION_PHYSIQUE_2026.md</x:v>
      </x:c>
    </x:row>
    <x:row r="518">
      <x:c r="A518" t="str">
        <x:v>EXT-MONDE-T052/seed</x:v>
      </x:c>
      <x:c r="B518" t="str">
        <x:v>EXT-MONDE-T052</x:v>
      </x:c>
      <x:c r="C518" t="str">
        <x:v>Parcs attractions</x:v>
      </x:c>
      <x:c r="D518" t="str">
        <x:v>Parc thématique abandonné</x:v>
      </x:c>
      <x:c r="E518" t="str">
        <x:v>Implantation et réseaux</x:v>
      </x:c>
      <x:c r="F518" t="str">
        <x:v>P0</x:v>
      </x:c>
      <x:c r="G518" t="str">
        <x:v>À faire</x:v>
      </x:c>
      <x:c r="H518" t="str">
        <x:v>Non affecté</x:v>
      </x:c>
      <x:c r="I518" t="str">
        <x:v>Flux visiteurs/service séparés ; voies de retour ; attractions à l’échelle sans simple compression graphique.</x:v>
      </x:c>
      <x:c r="J518" t="str"/>
    </x:row>
    <x:row r="519">
      <x:c r="A519" t="str">
        <x:v>EXT-MONDE-T052/props</x:v>
      </x:c>
      <x:c r="B519" t="str">
        <x:v>EXT-MONDE-T052</x:v>
      </x:c>
      <x:c r="C519" t="str">
        <x:v>Parcs attractions</x:v>
      </x:c>
      <x:c r="D519" t="str">
        <x:v>Parc thématique abandonné</x:v>
      </x:c>
      <x:c r="E519" t="str">
        <x:v>Objets, décors et dégagements</x:v>
      </x:c>
      <x:c r="F519" t="str">
        <x:v>P1</x:v>
      </x:c>
      <x:c r="G519" t="str">
        <x:v>En cours</x:v>
      </x:c>
      <x:c r="H519" t="str">
        <x:v>Production Codex</x:v>
      </x:c>
      <x:c r="I519" t="str">
        <x:v>Livrable explicite, tests positifs et négatifs ; aucune validation déduite de la seule présence de la fiche.</x:v>
      </x:c>
      <x:c r="J519" t="str">
        <x:v>https://github.com/darknigthmare/deadwall-last-enclosure/blob/1b3b9c5ba232734b1bda3453b4e20a0481bcdd74/docs/codex/suivi-monde2026/INSPECTION_PHYSIQUE_2026.md</x:v>
      </x:c>
    </x:row>
    <x:row r="520">
      <x:c r="A520" t="str">
        <x:v>EXT-MONDE-T052/loot</x:v>
      </x:c>
      <x:c r="B520" t="str">
        <x:v>EXT-MONDE-T052</x:v>
      </x:c>
      <x:c r="C520" t="str">
        <x:v>Parcs attractions</x:v>
      </x:c>
      <x:c r="D520" t="str">
        <x:v>Parc thématique abandonné</x:v>
      </x:c>
      <x:c r="E520" t="str">
        <x:v>Budget de butin persistant</x:v>
      </x:c>
      <x:c r="F520" t="str">
        <x:v>P1</x:v>
      </x:c>
      <x:c r="G520" t="str">
        <x:v>À faire</x:v>
      </x:c>
      <x:c r="H520" t="str">
        <x:v>Non affecté</x:v>
      </x:c>
      <x:c r="I520" t="str">
        <x:v>Livrable explicite, tests positifs et négatifs ; aucune validation déduite de la seule présence de la fiche.</x:v>
      </x:c>
      <x:c r="J520" t="str"/>
    </x:row>
    <x:row r="521">
      <x:c r="A521" t="str">
        <x:v>EXT-MONDE-T052/rencontres</x:v>
      </x:c>
      <x:c r="B521" t="str">
        <x:v>EXT-MONDE-T052</x:v>
      </x:c>
      <x:c r="C521" t="str">
        <x:v>Parcs attractions</x:v>
      </x:c>
      <x:c r="D521" t="str">
        <x:v>Parc thématique abandonné</x:v>
      </x:c>
      <x:c r="E521" t="str">
        <x:v>Ennemis et faune contextualisés</x:v>
      </x:c>
      <x:c r="F521" t="str">
        <x:v>P1</x:v>
      </x:c>
      <x:c r="G521" t="str">
        <x:v>À faire</x:v>
      </x:c>
      <x:c r="H521" t="str">
        <x:v>Non affecté</x:v>
      </x:c>
      <x:c r="I521" t="str">
        <x:v>Livrable explicite, tests positifs et négatifs ; aucune validation déduite de la seule présence de la fiche.</x:v>
      </x:c>
      <x:c r="J521" t="str"/>
    </x:row>
    <x:row r="522">
      <x:c r="A522" t="str">
        <x:v>EXT-MONDE-T052/services</x:v>
      </x:c>
      <x:c r="B522" t="str">
        <x:v>EXT-MONDE-T052</x:v>
      </x:c>
      <x:c r="C522" t="str">
        <x:v>Parcs attractions</x:v>
      </x:c>
      <x:c r="D522" t="str">
        <x:v>Parc thématique abandonné</x:v>
      </x:c>
      <x:c r="E522" t="str">
        <x:v>Énergie, eau et interactions</x:v>
      </x:c>
      <x:c r="F522" t="str">
        <x:v>P1</x:v>
      </x:c>
      <x:c r="G522" t="str">
        <x:v>À faire</x:v>
      </x:c>
      <x:c r="H522" t="str">
        <x:v>Non affecté</x:v>
      </x:c>
      <x:c r="I522" t="str">
        <x:v>Livrable explicite, tests positifs et négatifs ; aucune validation déduite de la seule présence de la fiche.</x:v>
      </x:c>
      <x:c r="J522" t="str"/>
    </x:row>
    <x:row r="523">
      <x:c r="A523" t="str">
        <x:v>EXT-MONDE-T052/art</x:v>
      </x:c>
      <x:c r="B523" t="str">
        <x:v>EXT-MONDE-T052</x:v>
      </x:c>
      <x:c r="C523" t="str">
        <x:v>Parcs attractions</x:v>
      </x:c>
      <x:c r="D523" t="str">
        <x:v>Parc thématique abandonné</x:v>
      </x:c>
      <x:c r="E523" t="str">
        <x:v>Sprites, proportions et animations</x:v>
      </x:c>
      <x:c r="F523" t="str">
        <x:v>P1</x:v>
      </x:c>
      <x:c r="G523" t="str">
        <x:v>À faire</x:v>
      </x:c>
      <x:c r="H523" t="str">
        <x:v>Non affecté</x:v>
      </x:c>
      <x:c r="I523" t="str">
        <x:v>Livrable explicite, tests positifs et négatifs ; aucune validation déduite de la seule présence de la fiche.</x:v>
      </x:c>
      <x:c r="J523" t="str"/>
    </x:row>
    <x:row r="524">
      <x:c r="A524" t="str">
        <x:v>EXT-MONDE-T052/sauvegarde</x:v>
      </x:c>
      <x:c r="B524" t="str">
        <x:v>EXT-MONDE-T052</x:v>
      </x:c>
      <x:c r="C524" t="str">
        <x:v>Parcs attractions</x:v>
      </x:c>
      <x:c r="D524" t="str">
        <x:v>Parc thématique abandonné</x:v>
      </x:c>
      <x:c r="E524" t="str">
        <x:v>Identités, migration et reprise</x:v>
      </x:c>
      <x:c r="F524" t="str">
        <x:v>P1</x:v>
      </x:c>
      <x:c r="G524" t="str">
        <x:v>En cours</x:v>
      </x:c>
      <x:c r="H524" t="str">
        <x:v>Production Codex</x:v>
      </x:c>
      <x:c r="I524" t="str">
        <x:v>Livrable explicite, tests positifs et négatifs ; aucune validation déduite de la seule présence de la fiche.</x:v>
      </x:c>
      <x:c r="J524" t="str">
        <x:v>https://github.com/darknigthmare/deadwall-last-enclosure/blob/1b3b9c5ba232734b1bda3453b4e20a0481bcdd74/docs/codex/suivi-monde2026/INSPECTION_PHYSIQUE_2026.md</x:v>
      </x:c>
    </x:row>
    <x:row r="525">
      <x:c r="A525" t="str">
        <x:v>EXT-MONDE-T052/qa</x:v>
      </x:c>
      <x:c r="B525" t="str">
        <x:v>EXT-MONDE-T052</x:v>
      </x:c>
      <x:c r="C525" t="str">
        <x:v>Parcs attractions</x:v>
      </x:c>
      <x:c r="D525" t="str">
        <x:v>Parc thématique abandonné</x:v>
      </x:c>
      <x:c r="E525" t="str">
        <x:v>Navigation et parcours jouables</x:v>
      </x:c>
      <x:c r="F525" t="str">
        <x:v>P1</x:v>
      </x:c>
      <x:c r="G525" t="str">
        <x:v>En cours</x:v>
      </x:c>
      <x:c r="H525" t="str">
        <x:v>Production Codex</x:v>
      </x:c>
      <x:c r="I525" t="str">
        <x:v>Livrable explicite, tests positifs et négatifs ; aucune validation déduite de la seule présence de la fiche.</x:v>
      </x:c>
      <x:c r="J525" t="str">
        <x:v>https://github.com/darknigthmare/deadwall-last-enclosure/blob/1b3b9c5ba232734b1bda3453b4e20a0481bcdd74/docs/codex/suivi-monde2026/INSPECTION_PHYSIQUE_2026.md</x:v>
      </x:c>
    </x:row>
    <x:row r="526">
      <x:c r="A526" t="str">
        <x:v>EXT-MONDE-T053/dimensions</x:v>
      </x:c>
      <x:c r="B526" t="str">
        <x:v>EXT-MONDE-T053</x:v>
      </x:c>
      <x:c r="C526" t="str">
        <x:v>Usines</x:v>
      </x:c>
      <x:c r="D526" t="str">
        <x:v>Usine agroalimentaire</x:v>
      </x:c>
      <x:c r="E526" t="str">
        <x:v>Dimensions et plans de référence</x:v>
      </x:c>
      <x:c r="F526" t="str">
        <x:v>P0</x:v>
      </x:c>
      <x:c r="G526" t="str">
        <x:v>En cours</x:v>
      </x:c>
      <x:c r="H526" t="str">
        <x:v>Production Codex</x:v>
      </x:c>
      <x:c r="I526" t="str">
        <x:v>Sources publiques identifiées ; unités en mètres ; emprise au sol distincte de la hauteur.</x:v>
      </x:c>
      <x:c r="J526" t="str">
        <x:v>https://github.com/darknigthmare/deadwall-last-enclosure/blob/1b3b9c5ba232734b1bda3453b4e20a0481bcdd74/docs/codex/suivi-monde2026/INDUSTRIE_2026.md</x:v>
      </x:c>
    </x:row>
    <x:row r="527">
      <x:c r="A527" t="str">
        <x:v>EXT-MONDE-T053/architecture</x:v>
      </x:c>
      <x:c r="B527" t="str">
        <x:v>EXT-MONDE-T053</x:v>
      </x:c>
      <x:c r="C527" t="str">
        <x:v>Usines</x:v>
      </x:c>
      <x:c r="D527" t="str">
        <x:v>Usine agroalimentaire</x:v>
      </x:c>
      <x:c r="E527" t="str">
        <x:v>Pièces, étages, annexes</x:v>
      </x:c>
      <x:c r="F527" t="str">
        <x:v>P0</x:v>
      </x:c>
      <x:c r="G527" t="str">
        <x:v>En cours</x:v>
      </x:c>
      <x:c r="H527" t="str">
        <x:v>Production Codex</x:v>
      </x:c>
      <x:c r="I527" t="str">
        <x:v>Livrable explicite, tests positifs et négatifs ; aucune validation déduite de la seule présence de la fiche.</x:v>
      </x:c>
      <x:c r="J527" t="str">
        <x:v>https://github.com/darknigthmare/deadwall-last-enclosure/blob/1b3b9c5ba232734b1bda3453b4e20a0481bcdd74/docs/codex/suivi-monde2026/INSPECTION_PHYSIQUE_2026.md</x:v>
      </x:c>
    </x:row>
    <x:row r="528">
      <x:c r="A528" t="str">
        <x:v>EXT-MONDE-T053/seed</x:v>
      </x:c>
      <x:c r="B528" t="str">
        <x:v>EXT-MONDE-T053</x:v>
      </x:c>
      <x:c r="C528" t="str">
        <x:v>Usines</x:v>
      </x:c>
      <x:c r="D528" t="str">
        <x:v>Usine agroalimentaire</x:v>
      </x:c>
      <x:c r="E528" t="str">
        <x:v>Implantation et réseaux</x:v>
      </x:c>
      <x:c r="F528" t="str">
        <x:v>P0</x:v>
      </x:c>
      <x:c r="G528" t="str">
        <x:v>À faire</x:v>
      </x:c>
      <x:c r="H528" t="str">
        <x:v>Non affecté</x:v>
      </x:c>
      <x:c r="I528" t="str">
        <x:v>Processus logique entrée-sortie ; machines et maintenance dégagées ; aucune production gratuite.</x:v>
      </x:c>
      <x:c r="J528" t="str"/>
    </x:row>
    <x:row r="529">
      <x:c r="A529" t="str">
        <x:v>EXT-MONDE-T053/props</x:v>
      </x:c>
      <x:c r="B529" t="str">
        <x:v>EXT-MONDE-T053</x:v>
      </x:c>
      <x:c r="C529" t="str">
        <x:v>Usines</x:v>
      </x:c>
      <x:c r="D529" t="str">
        <x:v>Usine agroalimentaire</x:v>
      </x:c>
      <x:c r="E529" t="str">
        <x:v>Objets, décors et dégagements</x:v>
      </x:c>
      <x:c r="F529" t="str">
        <x:v>P1</x:v>
      </x:c>
      <x:c r="G529" t="str">
        <x:v>En cours</x:v>
      </x:c>
      <x:c r="H529" t="str">
        <x:v>Production Codex</x:v>
      </x:c>
      <x:c r="I529" t="str">
        <x:v>Livrable explicite, tests positifs et négatifs ; aucune validation déduite de la seule présence de la fiche.</x:v>
      </x:c>
      <x:c r="J529" t="str">
        <x:v>https://github.com/darknigthmare/deadwall-last-enclosure/blob/1b3b9c5ba232734b1bda3453b4e20a0481bcdd74/docs/codex/suivi-monde2026/INSPECTION_PHYSIQUE_2026.md</x:v>
      </x:c>
    </x:row>
    <x:row r="530">
      <x:c r="A530" t="str">
        <x:v>EXT-MONDE-T053/loot</x:v>
      </x:c>
      <x:c r="B530" t="str">
        <x:v>EXT-MONDE-T053</x:v>
      </x:c>
      <x:c r="C530" t="str">
        <x:v>Usines</x:v>
      </x:c>
      <x:c r="D530" t="str">
        <x:v>Usine agroalimentaire</x:v>
      </x:c>
      <x:c r="E530" t="str">
        <x:v>Budget de butin persistant</x:v>
      </x:c>
      <x:c r="F530" t="str">
        <x:v>P1</x:v>
      </x:c>
      <x:c r="G530" t="str">
        <x:v>À faire</x:v>
      </x:c>
      <x:c r="H530" t="str">
        <x:v>Non affecté</x:v>
      </x:c>
      <x:c r="I530" t="str">
        <x:v>Livrable explicite, tests positifs et négatifs ; aucune validation déduite de la seule présence de la fiche.</x:v>
      </x:c>
      <x:c r="J530" t="str"/>
    </x:row>
    <x:row r="531">
      <x:c r="A531" t="str">
        <x:v>EXT-MONDE-T053/rencontres</x:v>
      </x:c>
      <x:c r="B531" t="str">
        <x:v>EXT-MONDE-T053</x:v>
      </x:c>
      <x:c r="C531" t="str">
        <x:v>Usines</x:v>
      </x:c>
      <x:c r="D531" t="str">
        <x:v>Usine agroalimentaire</x:v>
      </x:c>
      <x:c r="E531" t="str">
        <x:v>Ennemis et faune contextualisés</x:v>
      </x:c>
      <x:c r="F531" t="str">
        <x:v>P1</x:v>
      </x:c>
      <x:c r="G531" t="str">
        <x:v>À faire</x:v>
      </x:c>
      <x:c r="H531" t="str">
        <x:v>Non affecté</x:v>
      </x:c>
      <x:c r="I531" t="str">
        <x:v>Livrable explicite, tests positifs et négatifs ; aucune validation déduite de la seule présence de la fiche.</x:v>
      </x:c>
      <x:c r="J531" t="str"/>
    </x:row>
    <x:row r="532">
      <x:c r="A532" t="str">
        <x:v>EXT-MONDE-T053/services</x:v>
      </x:c>
      <x:c r="B532" t="str">
        <x:v>EXT-MONDE-T053</x:v>
      </x:c>
      <x:c r="C532" t="str">
        <x:v>Usines</x:v>
      </x:c>
      <x:c r="D532" t="str">
        <x:v>Usine agroalimentaire</x:v>
      </x:c>
      <x:c r="E532" t="str">
        <x:v>Énergie, eau et interactions</x:v>
      </x:c>
      <x:c r="F532" t="str">
        <x:v>P1</x:v>
      </x:c>
      <x:c r="G532" t="str">
        <x:v>À faire</x:v>
      </x:c>
      <x:c r="H532" t="str">
        <x:v>Non affecté</x:v>
      </x:c>
      <x:c r="I532" t="str">
        <x:v>Livrable explicite, tests positifs et négatifs ; aucune validation déduite de la seule présence de la fiche.</x:v>
      </x:c>
      <x:c r="J532" t="str"/>
    </x:row>
    <x:row r="533">
      <x:c r="A533" t="str">
        <x:v>EXT-MONDE-T053/art</x:v>
      </x:c>
      <x:c r="B533" t="str">
        <x:v>EXT-MONDE-T053</x:v>
      </x:c>
      <x:c r="C533" t="str">
        <x:v>Usines</x:v>
      </x:c>
      <x:c r="D533" t="str">
        <x:v>Usine agroalimentaire</x:v>
      </x:c>
      <x:c r="E533" t="str">
        <x:v>Sprites, proportions et animations</x:v>
      </x:c>
      <x:c r="F533" t="str">
        <x:v>P1</x:v>
      </x:c>
      <x:c r="G533" t="str">
        <x:v>À faire</x:v>
      </x:c>
      <x:c r="H533" t="str">
        <x:v>Non affecté</x:v>
      </x:c>
      <x:c r="I533" t="str">
        <x:v>Livrable explicite, tests positifs et négatifs ; aucune validation déduite de la seule présence de la fiche.</x:v>
      </x:c>
      <x:c r="J533" t="str"/>
    </x:row>
    <x:row r="534">
      <x:c r="A534" t="str">
        <x:v>EXT-MONDE-T053/sauvegarde</x:v>
      </x:c>
      <x:c r="B534" t="str">
        <x:v>EXT-MONDE-T053</x:v>
      </x:c>
      <x:c r="C534" t="str">
        <x:v>Usines</x:v>
      </x:c>
      <x:c r="D534" t="str">
        <x:v>Usine agroalimentaire</x:v>
      </x:c>
      <x:c r="E534" t="str">
        <x:v>Identités, migration et reprise</x:v>
      </x:c>
      <x:c r="F534" t="str">
        <x:v>P1</x:v>
      </x:c>
      <x:c r="G534" t="str">
        <x:v>En cours</x:v>
      </x:c>
      <x:c r="H534" t="str">
        <x:v>Production Codex</x:v>
      </x:c>
      <x:c r="I534" t="str">
        <x:v>Livrable explicite, tests positifs et négatifs ; aucune validation déduite de la seule présence de la fiche.</x:v>
      </x:c>
      <x:c r="J534" t="str">
        <x:v>https://github.com/darknigthmare/deadwall-last-enclosure/blob/1b3b9c5ba232734b1bda3453b4e20a0481bcdd74/docs/codex/suivi-monde2026/INSPECTION_PHYSIQUE_2026.md</x:v>
      </x:c>
    </x:row>
    <x:row r="535">
      <x:c r="A535" t="str">
        <x:v>EXT-MONDE-T053/qa</x:v>
      </x:c>
      <x:c r="B535" t="str">
        <x:v>EXT-MONDE-T053</x:v>
      </x:c>
      <x:c r="C535" t="str">
        <x:v>Usines</x:v>
      </x:c>
      <x:c r="D535" t="str">
        <x:v>Usine agroalimentaire</x:v>
      </x:c>
      <x:c r="E535" t="str">
        <x:v>Navigation et parcours jouables</x:v>
      </x:c>
      <x:c r="F535" t="str">
        <x:v>P1</x:v>
      </x:c>
      <x:c r="G535" t="str">
        <x:v>En cours</x:v>
      </x:c>
      <x:c r="H535" t="str">
        <x:v>Production Codex</x:v>
      </x:c>
      <x:c r="I535" t="str">
        <x:v>Livrable explicite, tests positifs et négatifs ; aucune validation déduite de la seule présence de la fiche.</x:v>
      </x:c>
      <x:c r="J535" t="str">
        <x:v>https://github.com/darknigthmare/deadwall-last-enclosure/blob/1b3b9c5ba232734b1bda3453b4e20a0481bcdd74/docs/codex/suivi-monde2026/INSPECTION_PHYSIQUE_2026.md</x:v>
      </x:c>
    </x:row>
    <x:row r="536">
      <x:c r="A536" t="str">
        <x:v>EXT-MONDE-T054/dimensions</x:v>
      </x:c>
      <x:c r="B536" t="str">
        <x:v>EXT-MONDE-T054</x:v>
      </x:c>
      <x:c r="C536" t="str">
        <x:v>Usines</x:v>
      </x:c>
      <x:c r="D536" t="str">
        <x:v>Usine de mécanique</x:v>
      </x:c>
      <x:c r="E536" t="str">
        <x:v>Dimensions et plans de référence</x:v>
      </x:c>
      <x:c r="F536" t="str">
        <x:v>P0</x:v>
      </x:c>
      <x:c r="G536" t="str">
        <x:v>En cours</x:v>
      </x:c>
      <x:c r="H536" t="str">
        <x:v>Production Codex</x:v>
      </x:c>
      <x:c r="I536" t="str">
        <x:v>Sources publiques identifiées ; unités en mètres ; emprise au sol distincte de la hauteur.</x:v>
      </x:c>
      <x:c r="J536" t="str">
        <x:v>https://github.com/darknigthmare/deadwall-last-enclosure/blob/1b3b9c5ba232734b1bda3453b4e20a0481bcdd74/docs/codex/suivi-monde2026/INDUSTRIE_2026.md</x:v>
      </x:c>
    </x:row>
    <x:row r="537">
      <x:c r="A537" t="str">
        <x:v>EXT-MONDE-T054/architecture</x:v>
      </x:c>
      <x:c r="B537" t="str">
        <x:v>EXT-MONDE-T054</x:v>
      </x:c>
      <x:c r="C537" t="str">
        <x:v>Usines</x:v>
      </x:c>
      <x:c r="D537" t="str">
        <x:v>Usine de mécanique</x:v>
      </x:c>
      <x:c r="E537" t="str">
        <x:v>Pièces, étages, annexes</x:v>
      </x:c>
      <x:c r="F537" t="str">
        <x:v>P0</x:v>
      </x:c>
      <x:c r="G537" t="str">
        <x:v>En cours</x:v>
      </x:c>
      <x:c r="H537" t="str">
        <x:v>Production Codex</x:v>
      </x:c>
      <x:c r="I537" t="str">
        <x:v>Livrable explicite, tests positifs et négatifs ; aucune validation déduite de la seule présence de la fiche.</x:v>
      </x:c>
      <x:c r="J537" t="str">
        <x:v>https://github.com/darknigthmare/deadwall-last-enclosure/blob/1b3b9c5ba232734b1bda3453b4e20a0481bcdd74/docs/codex/suivi-monde2026/INSPECTION_PHYSIQUE_2026.md</x:v>
      </x:c>
    </x:row>
    <x:row r="538">
      <x:c r="A538" t="str">
        <x:v>EXT-MONDE-T054/seed</x:v>
      </x:c>
      <x:c r="B538" t="str">
        <x:v>EXT-MONDE-T054</x:v>
      </x:c>
      <x:c r="C538" t="str">
        <x:v>Usines</x:v>
      </x:c>
      <x:c r="D538" t="str">
        <x:v>Usine de mécanique</x:v>
      </x:c>
      <x:c r="E538" t="str">
        <x:v>Implantation et réseaux</x:v>
      </x:c>
      <x:c r="F538" t="str">
        <x:v>P0</x:v>
      </x:c>
      <x:c r="G538" t="str">
        <x:v>À faire</x:v>
      </x:c>
      <x:c r="H538" t="str">
        <x:v>Non affecté</x:v>
      </x:c>
      <x:c r="I538" t="str">
        <x:v>Processus logique entrée-sortie ; machines et maintenance dégagées ; aucune production gratuite.</x:v>
      </x:c>
      <x:c r="J538" t="str"/>
    </x:row>
    <x:row r="539">
      <x:c r="A539" t="str">
        <x:v>EXT-MONDE-T054/props</x:v>
      </x:c>
      <x:c r="B539" t="str">
        <x:v>EXT-MONDE-T054</x:v>
      </x:c>
      <x:c r="C539" t="str">
        <x:v>Usines</x:v>
      </x:c>
      <x:c r="D539" t="str">
        <x:v>Usine de mécanique</x:v>
      </x:c>
      <x:c r="E539" t="str">
        <x:v>Objets, décors et dégagements</x:v>
      </x:c>
      <x:c r="F539" t="str">
        <x:v>P1</x:v>
      </x:c>
      <x:c r="G539" t="str">
        <x:v>En cours</x:v>
      </x:c>
      <x:c r="H539" t="str">
        <x:v>Production Codex</x:v>
      </x:c>
      <x:c r="I539" t="str">
        <x:v>Livrable explicite, tests positifs et négatifs ; aucune validation déduite de la seule présence de la fiche.</x:v>
      </x:c>
      <x:c r="J539" t="str">
        <x:v>https://github.com/darknigthmare/deadwall-last-enclosure/blob/1b3b9c5ba232734b1bda3453b4e20a0481bcdd74/docs/codex/suivi-monde2026/INSPECTION_PHYSIQUE_2026.md</x:v>
      </x:c>
    </x:row>
    <x:row r="540">
      <x:c r="A540" t="str">
        <x:v>EXT-MONDE-T054/loot</x:v>
      </x:c>
      <x:c r="B540" t="str">
        <x:v>EXT-MONDE-T054</x:v>
      </x:c>
      <x:c r="C540" t="str">
        <x:v>Usines</x:v>
      </x:c>
      <x:c r="D540" t="str">
        <x:v>Usine de mécanique</x:v>
      </x:c>
      <x:c r="E540" t="str">
        <x:v>Budget de butin persistant</x:v>
      </x:c>
      <x:c r="F540" t="str">
        <x:v>P1</x:v>
      </x:c>
      <x:c r="G540" t="str">
        <x:v>À faire</x:v>
      </x:c>
      <x:c r="H540" t="str">
        <x:v>Non affecté</x:v>
      </x:c>
      <x:c r="I540" t="str">
        <x:v>Livrable explicite, tests positifs et négatifs ; aucune validation déduite de la seule présence de la fiche.</x:v>
      </x:c>
      <x:c r="J540" t="str"/>
    </x:row>
    <x:row r="541">
      <x:c r="A541" t="str">
        <x:v>EXT-MONDE-T054/rencontres</x:v>
      </x:c>
      <x:c r="B541" t="str">
        <x:v>EXT-MONDE-T054</x:v>
      </x:c>
      <x:c r="C541" t="str">
        <x:v>Usines</x:v>
      </x:c>
      <x:c r="D541" t="str">
        <x:v>Usine de mécanique</x:v>
      </x:c>
      <x:c r="E541" t="str">
        <x:v>Ennemis et faune contextualisés</x:v>
      </x:c>
      <x:c r="F541" t="str">
        <x:v>P1</x:v>
      </x:c>
      <x:c r="G541" t="str">
        <x:v>À faire</x:v>
      </x:c>
      <x:c r="H541" t="str">
        <x:v>Non affecté</x:v>
      </x:c>
      <x:c r="I541" t="str">
        <x:v>Livrable explicite, tests positifs et négatifs ; aucune validation déduite de la seule présence de la fiche.</x:v>
      </x:c>
      <x:c r="J541" t="str"/>
    </x:row>
    <x:row r="542">
      <x:c r="A542" t="str">
        <x:v>EXT-MONDE-T054/services</x:v>
      </x:c>
      <x:c r="B542" t="str">
        <x:v>EXT-MONDE-T054</x:v>
      </x:c>
      <x:c r="C542" t="str">
        <x:v>Usines</x:v>
      </x:c>
      <x:c r="D542" t="str">
        <x:v>Usine de mécanique</x:v>
      </x:c>
      <x:c r="E542" t="str">
        <x:v>Énergie, eau et interactions</x:v>
      </x:c>
      <x:c r="F542" t="str">
        <x:v>P1</x:v>
      </x:c>
      <x:c r="G542" t="str">
        <x:v>À faire</x:v>
      </x:c>
      <x:c r="H542" t="str">
        <x:v>Non affecté</x:v>
      </x:c>
      <x:c r="I542" t="str">
        <x:v>Livrable explicite, tests positifs et négatifs ; aucune validation déduite de la seule présence de la fiche.</x:v>
      </x:c>
      <x:c r="J542" t="str"/>
    </x:row>
    <x:row r="543">
      <x:c r="A543" t="str">
        <x:v>EXT-MONDE-T054/art</x:v>
      </x:c>
      <x:c r="B543" t="str">
        <x:v>EXT-MONDE-T054</x:v>
      </x:c>
      <x:c r="C543" t="str">
        <x:v>Usines</x:v>
      </x:c>
      <x:c r="D543" t="str">
        <x:v>Usine de mécanique</x:v>
      </x:c>
      <x:c r="E543" t="str">
        <x:v>Sprites, proportions et animations</x:v>
      </x:c>
      <x:c r="F543" t="str">
        <x:v>P1</x:v>
      </x:c>
      <x:c r="G543" t="str">
        <x:v>À faire</x:v>
      </x:c>
      <x:c r="H543" t="str">
        <x:v>Non affecté</x:v>
      </x:c>
      <x:c r="I543" t="str">
        <x:v>Livrable explicite, tests positifs et négatifs ; aucune validation déduite de la seule présence de la fiche.</x:v>
      </x:c>
      <x:c r="J543" t="str"/>
    </x:row>
    <x:row r="544">
      <x:c r="A544" t="str">
        <x:v>EXT-MONDE-T054/sauvegarde</x:v>
      </x:c>
      <x:c r="B544" t="str">
        <x:v>EXT-MONDE-T054</x:v>
      </x:c>
      <x:c r="C544" t="str">
        <x:v>Usines</x:v>
      </x:c>
      <x:c r="D544" t="str">
        <x:v>Usine de mécanique</x:v>
      </x:c>
      <x:c r="E544" t="str">
        <x:v>Identités, migration et reprise</x:v>
      </x:c>
      <x:c r="F544" t="str">
        <x:v>P1</x:v>
      </x:c>
      <x:c r="G544" t="str">
        <x:v>En cours</x:v>
      </x:c>
      <x:c r="H544" t="str">
        <x:v>Production Codex</x:v>
      </x:c>
      <x:c r="I544" t="str">
        <x:v>Livrable explicite, tests positifs et négatifs ; aucune validation déduite de la seule présence de la fiche.</x:v>
      </x:c>
      <x:c r="J544" t="str">
        <x:v>https://github.com/darknigthmare/deadwall-last-enclosure/blob/1b3b9c5ba232734b1bda3453b4e20a0481bcdd74/docs/codex/suivi-monde2026/INSPECTION_PHYSIQUE_2026.md</x:v>
      </x:c>
    </x:row>
    <x:row r="545">
      <x:c r="A545" t="str">
        <x:v>EXT-MONDE-T054/qa</x:v>
      </x:c>
      <x:c r="B545" t="str">
        <x:v>EXT-MONDE-T054</x:v>
      </x:c>
      <x:c r="C545" t="str">
        <x:v>Usines</x:v>
      </x:c>
      <x:c r="D545" t="str">
        <x:v>Usine de mécanique</x:v>
      </x:c>
      <x:c r="E545" t="str">
        <x:v>Navigation et parcours jouables</x:v>
      </x:c>
      <x:c r="F545" t="str">
        <x:v>P1</x:v>
      </x:c>
      <x:c r="G545" t="str">
        <x:v>En cours</x:v>
      </x:c>
      <x:c r="H545" t="str">
        <x:v>Production Codex</x:v>
      </x:c>
      <x:c r="I545" t="str">
        <x:v>Livrable explicite, tests positifs et négatifs ; aucune validation déduite de la seule présence de la fiche.</x:v>
      </x:c>
      <x:c r="J545" t="str">
        <x:v>https://github.com/darknigthmare/deadwall-last-enclosure/blob/1b3b9c5ba232734b1bda3453b4e20a0481bcdd74/docs/codex/suivi-monde2026/INSPECTION_PHYSIQUE_2026.md</x:v>
      </x:c>
    </x:row>
    <x:row r="546">
      <x:c r="A546" t="str">
        <x:v>EXT-MONDE-T055/dimensions</x:v>
      </x:c>
      <x:c r="B546" t="str">
        <x:v>EXT-MONDE-T055</x:v>
      </x:c>
      <x:c r="C546" t="str">
        <x:v>Usines</x:v>
      </x:c>
      <x:c r="D546" t="str">
        <x:v>Usine textile</x:v>
      </x:c>
      <x:c r="E546" t="str">
        <x:v>Dimensions et plans de référence</x:v>
      </x:c>
      <x:c r="F546" t="str">
        <x:v>P0</x:v>
      </x:c>
      <x:c r="G546" t="str">
        <x:v>En cours</x:v>
      </x:c>
      <x:c r="H546" t="str">
        <x:v>Production Codex</x:v>
      </x:c>
      <x:c r="I546" t="str">
        <x:v>Sources publiques identifiées ; unités en mètres ; emprise au sol distincte de la hauteur.</x:v>
      </x:c>
      <x:c r="J546" t="str">
        <x:v>https://github.com/darknigthmare/deadwall-last-enclosure/blob/1b3b9c5ba232734b1bda3453b4e20a0481bcdd74/docs/codex/suivi-monde2026/INDUSTRIE_2026.md</x:v>
      </x:c>
    </x:row>
    <x:row r="547">
      <x:c r="A547" t="str">
        <x:v>EXT-MONDE-T055/architecture</x:v>
      </x:c>
      <x:c r="B547" t="str">
        <x:v>EXT-MONDE-T055</x:v>
      </x:c>
      <x:c r="C547" t="str">
        <x:v>Usines</x:v>
      </x:c>
      <x:c r="D547" t="str">
        <x:v>Usine textile</x:v>
      </x:c>
      <x:c r="E547" t="str">
        <x:v>Pièces, étages, annexes</x:v>
      </x:c>
      <x:c r="F547" t="str">
        <x:v>P0</x:v>
      </x:c>
      <x:c r="G547" t="str">
        <x:v>En cours</x:v>
      </x:c>
      <x:c r="H547" t="str">
        <x:v>Production Codex</x:v>
      </x:c>
      <x:c r="I547" t="str">
        <x:v>Livrable explicite, tests positifs et négatifs ; aucune validation déduite de la seule présence de la fiche.</x:v>
      </x:c>
      <x:c r="J547" t="str">
        <x:v>https://github.com/darknigthmare/deadwall-last-enclosure/blob/1b3b9c5ba232734b1bda3453b4e20a0481bcdd74/docs/codex/suivi-monde2026/INSPECTION_PHYSIQUE_2026.md</x:v>
      </x:c>
    </x:row>
    <x:row r="548">
      <x:c r="A548" t="str">
        <x:v>EXT-MONDE-T055/seed</x:v>
      </x:c>
      <x:c r="B548" t="str">
        <x:v>EXT-MONDE-T055</x:v>
      </x:c>
      <x:c r="C548" t="str">
        <x:v>Usines</x:v>
      </x:c>
      <x:c r="D548" t="str">
        <x:v>Usine textile</x:v>
      </x:c>
      <x:c r="E548" t="str">
        <x:v>Implantation et réseaux</x:v>
      </x:c>
      <x:c r="F548" t="str">
        <x:v>P0</x:v>
      </x:c>
      <x:c r="G548" t="str">
        <x:v>À faire</x:v>
      </x:c>
      <x:c r="H548" t="str">
        <x:v>Non affecté</x:v>
      </x:c>
      <x:c r="I548" t="str">
        <x:v>Processus logique entrée-sortie ; machines et maintenance dégagées ; aucune production gratuite.</x:v>
      </x:c>
      <x:c r="J548" t="str"/>
    </x:row>
    <x:row r="549">
      <x:c r="A549" t="str">
        <x:v>EXT-MONDE-T055/props</x:v>
      </x:c>
      <x:c r="B549" t="str">
        <x:v>EXT-MONDE-T055</x:v>
      </x:c>
      <x:c r="C549" t="str">
        <x:v>Usines</x:v>
      </x:c>
      <x:c r="D549" t="str">
        <x:v>Usine textile</x:v>
      </x:c>
      <x:c r="E549" t="str">
        <x:v>Objets, décors et dégagements</x:v>
      </x:c>
      <x:c r="F549" t="str">
        <x:v>P1</x:v>
      </x:c>
      <x:c r="G549" t="str">
        <x:v>En cours</x:v>
      </x:c>
      <x:c r="H549" t="str">
        <x:v>Production Codex</x:v>
      </x:c>
      <x:c r="I549" t="str">
        <x:v>Livrable explicite, tests positifs et négatifs ; aucune validation déduite de la seule présence de la fiche.</x:v>
      </x:c>
      <x:c r="J549" t="str">
        <x:v>https://github.com/darknigthmare/deadwall-last-enclosure/blob/1b3b9c5ba232734b1bda3453b4e20a0481bcdd74/docs/codex/suivi-monde2026/INSPECTION_PHYSIQUE_2026.md</x:v>
      </x:c>
    </x:row>
    <x:row r="550">
      <x:c r="A550" t="str">
        <x:v>EXT-MONDE-T055/loot</x:v>
      </x:c>
      <x:c r="B550" t="str">
        <x:v>EXT-MONDE-T055</x:v>
      </x:c>
      <x:c r="C550" t="str">
        <x:v>Usines</x:v>
      </x:c>
      <x:c r="D550" t="str">
        <x:v>Usine textile</x:v>
      </x:c>
      <x:c r="E550" t="str">
        <x:v>Budget de butin persistant</x:v>
      </x:c>
      <x:c r="F550" t="str">
        <x:v>P1</x:v>
      </x:c>
      <x:c r="G550" t="str">
        <x:v>À faire</x:v>
      </x:c>
      <x:c r="H550" t="str">
        <x:v>Non affecté</x:v>
      </x:c>
      <x:c r="I550" t="str">
        <x:v>Livrable explicite, tests positifs et négatifs ; aucune validation déduite de la seule présence de la fiche.</x:v>
      </x:c>
      <x:c r="J550" t="str"/>
    </x:row>
    <x:row r="551">
      <x:c r="A551" t="str">
        <x:v>EXT-MONDE-T055/rencontres</x:v>
      </x:c>
      <x:c r="B551" t="str">
        <x:v>EXT-MONDE-T055</x:v>
      </x:c>
      <x:c r="C551" t="str">
        <x:v>Usines</x:v>
      </x:c>
      <x:c r="D551" t="str">
        <x:v>Usine textile</x:v>
      </x:c>
      <x:c r="E551" t="str">
        <x:v>Ennemis et faune contextualisés</x:v>
      </x:c>
      <x:c r="F551" t="str">
        <x:v>P1</x:v>
      </x:c>
      <x:c r="G551" t="str">
        <x:v>À faire</x:v>
      </x:c>
      <x:c r="H551" t="str">
        <x:v>Non affecté</x:v>
      </x:c>
      <x:c r="I551" t="str">
        <x:v>Livrable explicite, tests positifs et négatifs ; aucune validation déduite de la seule présence de la fiche.</x:v>
      </x:c>
      <x:c r="J551" t="str"/>
    </x:row>
    <x:row r="552">
      <x:c r="A552" t="str">
        <x:v>EXT-MONDE-T055/services</x:v>
      </x:c>
      <x:c r="B552" t="str">
        <x:v>EXT-MONDE-T055</x:v>
      </x:c>
      <x:c r="C552" t="str">
        <x:v>Usines</x:v>
      </x:c>
      <x:c r="D552" t="str">
        <x:v>Usine textile</x:v>
      </x:c>
      <x:c r="E552" t="str">
        <x:v>Énergie, eau et interactions</x:v>
      </x:c>
      <x:c r="F552" t="str">
        <x:v>P1</x:v>
      </x:c>
      <x:c r="G552" t="str">
        <x:v>À faire</x:v>
      </x:c>
      <x:c r="H552" t="str">
        <x:v>Non affecté</x:v>
      </x:c>
      <x:c r="I552" t="str">
        <x:v>Livrable explicite, tests positifs et négatifs ; aucune validation déduite de la seule présence de la fiche.</x:v>
      </x:c>
      <x:c r="J552" t="str"/>
    </x:row>
    <x:row r="553">
      <x:c r="A553" t="str">
        <x:v>EXT-MONDE-T055/art</x:v>
      </x:c>
      <x:c r="B553" t="str">
        <x:v>EXT-MONDE-T055</x:v>
      </x:c>
      <x:c r="C553" t="str">
        <x:v>Usines</x:v>
      </x:c>
      <x:c r="D553" t="str">
        <x:v>Usine textile</x:v>
      </x:c>
      <x:c r="E553" t="str">
        <x:v>Sprites, proportions et animations</x:v>
      </x:c>
      <x:c r="F553" t="str">
        <x:v>P1</x:v>
      </x:c>
      <x:c r="G553" t="str">
        <x:v>À faire</x:v>
      </x:c>
      <x:c r="H553" t="str">
        <x:v>Non affecté</x:v>
      </x:c>
      <x:c r="I553" t="str">
        <x:v>Livrable explicite, tests positifs et négatifs ; aucune validation déduite de la seule présence de la fiche.</x:v>
      </x:c>
      <x:c r="J553" t="str"/>
    </x:row>
    <x:row r="554">
      <x:c r="A554" t="str">
        <x:v>EXT-MONDE-T055/sauvegarde</x:v>
      </x:c>
      <x:c r="B554" t="str">
        <x:v>EXT-MONDE-T055</x:v>
      </x:c>
      <x:c r="C554" t="str">
        <x:v>Usines</x:v>
      </x:c>
      <x:c r="D554" t="str">
        <x:v>Usine textile</x:v>
      </x:c>
      <x:c r="E554" t="str">
        <x:v>Identités, migration et reprise</x:v>
      </x:c>
      <x:c r="F554" t="str">
        <x:v>P1</x:v>
      </x:c>
      <x:c r="G554" t="str">
        <x:v>En cours</x:v>
      </x:c>
      <x:c r="H554" t="str">
        <x:v>Production Codex</x:v>
      </x:c>
      <x:c r="I554" t="str">
        <x:v>Livrable explicite, tests positifs et négatifs ; aucune validation déduite de la seule présence de la fiche.</x:v>
      </x:c>
      <x:c r="J554" t="str">
        <x:v>https://github.com/darknigthmare/deadwall-last-enclosure/blob/1b3b9c5ba232734b1bda3453b4e20a0481bcdd74/docs/codex/suivi-monde2026/INSPECTION_PHYSIQUE_2026.md</x:v>
      </x:c>
    </x:row>
    <x:row r="555">
      <x:c r="A555" t="str">
        <x:v>EXT-MONDE-T055/qa</x:v>
      </x:c>
      <x:c r="B555" t="str">
        <x:v>EXT-MONDE-T055</x:v>
      </x:c>
      <x:c r="C555" t="str">
        <x:v>Usines</x:v>
      </x:c>
      <x:c r="D555" t="str">
        <x:v>Usine textile</x:v>
      </x:c>
      <x:c r="E555" t="str">
        <x:v>Navigation et parcours jouables</x:v>
      </x:c>
      <x:c r="F555" t="str">
        <x:v>P1</x:v>
      </x:c>
      <x:c r="G555" t="str">
        <x:v>En cours</x:v>
      </x:c>
      <x:c r="H555" t="str">
        <x:v>Production Codex</x:v>
      </x:c>
      <x:c r="I555" t="str">
        <x:v>Livrable explicite, tests positifs et négatifs ; aucune validation déduite de la seule présence de la fiche.</x:v>
      </x:c>
      <x:c r="J555" t="str">
        <x:v>https://github.com/darknigthmare/deadwall-last-enclosure/blob/1b3b9c5ba232734b1bda3453b4e20a0481bcdd74/docs/codex/suivi-monde2026/INSPECTION_PHYSIQUE_2026.md</x:v>
      </x:c>
    </x:row>
    <x:row r="556">
      <x:c r="A556" t="str">
        <x:v>EXT-MONDE-T056/dimensions</x:v>
      </x:c>
      <x:c r="B556" t="str">
        <x:v>EXT-MONDE-T056</x:v>
      </x:c>
      <x:c r="C556" t="str">
        <x:v>Usines</x:v>
      </x:c>
      <x:c r="D556" t="str">
        <x:v>Usine de matériaux</x:v>
      </x:c>
      <x:c r="E556" t="str">
        <x:v>Dimensions et plans de référence</x:v>
      </x:c>
      <x:c r="F556" t="str">
        <x:v>P0</x:v>
      </x:c>
      <x:c r="G556" t="str">
        <x:v>En cours</x:v>
      </x:c>
      <x:c r="H556" t="str">
        <x:v>Production Codex</x:v>
      </x:c>
      <x:c r="I556" t="str">
        <x:v>Sources publiques identifiées ; unités en mètres ; emprise au sol distincte de la hauteur.</x:v>
      </x:c>
      <x:c r="J556" t="str">
        <x:v>https://github.com/darknigthmare/deadwall-last-enclosure/blob/1b3b9c5ba232734b1bda3453b4e20a0481bcdd74/docs/codex/suivi-monde2026/INDUSTRIE_2026.md</x:v>
      </x:c>
    </x:row>
    <x:row r="557">
      <x:c r="A557" t="str">
        <x:v>EXT-MONDE-T056/architecture</x:v>
      </x:c>
      <x:c r="B557" t="str">
        <x:v>EXT-MONDE-T056</x:v>
      </x:c>
      <x:c r="C557" t="str">
        <x:v>Usines</x:v>
      </x:c>
      <x:c r="D557" t="str">
        <x:v>Usine de matériaux</x:v>
      </x:c>
      <x:c r="E557" t="str">
        <x:v>Pièces, étages, annexes</x:v>
      </x:c>
      <x:c r="F557" t="str">
        <x:v>P0</x:v>
      </x:c>
      <x:c r="G557" t="str">
        <x:v>En cours</x:v>
      </x:c>
      <x:c r="H557" t="str">
        <x:v>Production Codex</x:v>
      </x:c>
      <x:c r="I557" t="str">
        <x:v>Livrable explicite, tests positifs et négatifs ; aucune validation déduite de la seule présence de la fiche.</x:v>
      </x:c>
      <x:c r="J557" t="str">
        <x:v>https://github.com/darknigthmare/deadwall-last-enclosure/blob/1b3b9c5ba232734b1bda3453b4e20a0481bcdd74/docs/codex/suivi-monde2026/INSPECTION_PHYSIQUE_2026.md</x:v>
      </x:c>
    </x:row>
    <x:row r="558">
      <x:c r="A558" t="str">
        <x:v>EXT-MONDE-T056/seed</x:v>
      </x:c>
      <x:c r="B558" t="str">
        <x:v>EXT-MONDE-T056</x:v>
      </x:c>
      <x:c r="C558" t="str">
        <x:v>Usines</x:v>
      </x:c>
      <x:c r="D558" t="str">
        <x:v>Usine de matériaux</x:v>
      </x:c>
      <x:c r="E558" t="str">
        <x:v>Implantation et réseaux</x:v>
      </x:c>
      <x:c r="F558" t="str">
        <x:v>P0</x:v>
      </x:c>
      <x:c r="G558" t="str">
        <x:v>À faire</x:v>
      </x:c>
      <x:c r="H558" t="str">
        <x:v>Non affecté</x:v>
      </x:c>
      <x:c r="I558" t="str">
        <x:v>Processus logique entrée-sortie ; machines et maintenance dégagées ; aucune production gratuite.</x:v>
      </x:c>
      <x:c r="J558" t="str"/>
    </x:row>
    <x:row r="559">
      <x:c r="A559" t="str">
        <x:v>EXT-MONDE-T056/props</x:v>
      </x:c>
      <x:c r="B559" t="str">
        <x:v>EXT-MONDE-T056</x:v>
      </x:c>
      <x:c r="C559" t="str">
        <x:v>Usines</x:v>
      </x:c>
      <x:c r="D559" t="str">
        <x:v>Usine de matériaux</x:v>
      </x:c>
      <x:c r="E559" t="str">
        <x:v>Objets, décors et dégagements</x:v>
      </x:c>
      <x:c r="F559" t="str">
        <x:v>P1</x:v>
      </x:c>
      <x:c r="G559" t="str">
        <x:v>En cours</x:v>
      </x:c>
      <x:c r="H559" t="str">
        <x:v>Production Codex</x:v>
      </x:c>
      <x:c r="I559" t="str">
        <x:v>Livrable explicite, tests positifs et négatifs ; aucune validation déduite de la seule présence de la fiche.</x:v>
      </x:c>
      <x:c r="J559" t="str">
        <x:v>https://github.com/darknigthmare/deadwall-last-enclosure/blob/1b3b9c5ba232734b1bda3453b4e20a0481bcdd74/docs/codex/suivi-monde2026/INSPECTION_PHYSIQUE_2026.md</x:v>
      </x:c>
    </x:row>
    <x:row r="560">
      <x:c r="A560" t="str">
        <x:v>EXT-MONDE-T056/loot</x:v>
      </x:c>
      <x:c r="B560" t="str">
        <x:v>EXT-MONDE-T056</x:v>
      </x:c>
      <x:c r="C560" t="str">
        <x:v>Usines</x:v>
      </x:c>
      <x:c r="D560" t="str">
        <x:v>Usine de matériaux</x:v>
      </x:c>
      <x:c r="E560" t="str">
        <x:v>Budget de butin persistant</x:v>
      </x:c>
      <x:c r="F560" t="str">
        <x:v>P1</x:v>
      </x:c>
      <x:c r="G560" t="str">
        <x:v>À faire</x:v>
      </x:c>
      <x:c r="H560" t="str">
        <x:v>Non affecté</x:v>
      </x:c>
      <x:c r="I560" t="str">
        <x:v>Livrable explicite, tests positifs et négatifs ; aucune validation déduite de la seule présence de la fiche.</x:v>
      </x:c>
      <x:c r="J560" t="str"/>
    </x:row>
    <x:row r="561">
      <x:c r="A561" t="str">
        <x:v>EXT-MONDE-T056/rencontres</x:v>
      </x:c>
      <x:c r="B561" t="str">
        <x:v>EXT-MONDE-T056</x:v>
      </x:c>
      <x:c r="C561" t="str">
        <x:v>Usines</x:v>
      </x:c>
      <x:c r="D561" t="str">
        <x:v>Usine de matériaux</x:v>
      </x:c>
      <x:c r="E561" t="str">
        <x:v>Ennemis et faune contextualisés</x:v>
      </x:c>
      <x:c r="F561" t="str">
        <x:v>P1</x:v>
      </x:c>
      <x:c r="G561" t="str">
        <x:v>À faire</x:v>
      </x:c>
      <x:c r="H561" t="str">
        <x:v>Non affecté</x:v>
      </x:c>
      <x:c r="I561" t="str">
        <x:v>Livrable explicite, tests positifs et négatifs ; aucune validation déduite de la seule présence de la fiche.</x:v>
      </x:c>
      <x:c r="J561" t="str"/>
    </x:row>
    <x:row r="562">
      <x:c r="A562" t="str">
        <x:v>EXT-MONDE-T056/services</x:v>
      </x:c>
      <x:c r="B562" t="str">
        <x:v>EXT-MONDE-T056</x:v>
      </x:c>
      <x:c r="C562" t="str">
        <x:v>Usines</x:v>
      </x:c>
      <x:c r="D562" t="str">
        <x:v>Usine de matériaux</x:v>
      </x:c>
      <x:c r="E562" t="str">
        <x:v>Énergie, eau et interactions</x:v>
      </x:c>
      <x:c r="F562" t="str">
        <x:v>P1</x:v>
      </x:c>
      <x:c r="G562" t="str">
        <x:v>À faire</x:v>
      </x:c>
      <x:c r="H562" t="str">
        <x:v>Non affecté</x:v>
      </x:c>
      <x:c r="I562" t="str">
        <x:v>Livrable explicite, tests positifs et négatifs ; aucune validation déduite de la seule présence de la fiche.</x:v>
      </x:c>
      <x:c r="J562" t="str"/>
    </x:row>
    <x:row r="563">
      <x:c r="A563" t="str">
        <x:v>EXT-MONDE-T056/art</x:v>
      </x:c>
      <x:c r="B563" t="str">
        <x:v>EXT-MONDE-T056</x:v>
      </x:c>
      <x:c r="C563" t="str">
        <x:v>Usines</x:v>
      </x:c>
      <x:c r="D563" t="str">
        <x:v>Usine de matériaux</x:v>
      </x:c>
      <x:c r="E563" t="str">
        <x:v>Sprites, proportions et animations</x:v>
      </x:c>
      <x:c r="F563" t="str">
        <x:v>P1</x:v>
      </x:c>
      <x:c r="G563" t="str">
        <x:v>À faire</x:v>
      </x:c>
      <x:c r="H563" t="str">
        <x:v>Non affecté</x:v>
      </x:c>
      <x:c r="I563" t="str">
        <x:v>Livrable explicite, tests positifs et négatifs ; aucune validation déduite de la seule présence de la fiche.</x:v>
      </x:c>
      <x:c r="J563" t="str"/>
    </x:row>
    <x:row r="564">
      <x:c r="A564" t="str">
        <x:v>EXT-MONDE-T056/sauvegarde</x:v>
      </x:c>
      <x:c r="B564" t="str">
        <x:v>EXT-MONDE-T056</x:v>
      </x:c>
      <x:c r="C564" t="str">
        <x:v>Usines</x:v>
      </x:c>
      <x:c r="D564" t="str">
        <x:v>Usine de matériaux</x:v>
      </x:c>
      <x:c r="E564" t="str">
        <x:v>Identités, migration et reprise</x:v>
      </x:c>
      <x:c r="F564" t="str">
        <x:v>P1</x:v>
      </x:c>
      <x:c r="G564" t="str">
        <x:v>En cours</x:v>
      </x:c>
      <x:c r="H564" t="str">
        <x:v>Production Codex</x:v>
      </x:c>
      <x:c r="I564" t="str">
        <x:v>Livrable explicite, tests positifs et négatifs ; aucune validation déduite de la seule présence de la fiche.</x:v>
      </x:c>
      <x:c r="J564" t="str">
        <x:v>https://github.com/darknigthmare/deadwall-last-enclosure/blob/1b3b9c5ba232734b1bda3453b4e20a0481bcdd74/docs/codex/suivi-monde2026/INSPECTION_PHYSIQUE_2026.md</x:v>
      </x:c>
    </x:row>
    <x:row r="565">
      <x:c r="A565" t="str">
        <x:v>EXT-MONDE-T056/qa</x:v>
      </x:c>
      <x:c r="B565" t="str">
        <x:v>EXT-MONDE-T056</x:v>
      </x:c>
      <x:c r="C565" t="str">
        <x:v>Usines</x:v>
      </x:c>
      <x:c r="D565" t="str">
        <x:v>Usine de matériaux</x:v>
      </x:c>
      <x:c r="E565" t="str">
        <x:v>Navigation et parcours jouables</x:v>
      </x:c>
      <x:c r="F565" t="str">
        <x:v>P1</x:v>
      </x:c>
      <x:c r="G565" t="str">
        <x:v>En cours</x:v>
      </x:c>
      <x:c r="H565" t="str">
        <x:v>Production Codex</x:v>
      </x:c>
      <x:c r="I565" t="str">
        <x:v>Livrable explicite, tests positifs et négatifs ; aucune validation déduite de la seule présence de la fiche.</x:v>
      </x:c>
      <x:c r="J565" t="str">
        <x:v>https://github.com/darknigthmare/deadwall-last-enclosure/blob/1b3b9c5ba232734b1bda3453b4e20a0481bcdd74/docs/codex/suivi-monde2026/INSPECTION_PHYSIQUE_2026.md</x:v>
      </x:c>
    </x:row>
    <x:row r="566">
      <x:c r="A566" t="str">
        <x:v>EXT-MONDE-T057/dimensions</x:v>
      </x:c>
      <x:c r="B566" t="str">
        <x:v>EXT-MONDE-T057</x:v>
      </x:c>
      <x:c r="C566" t="str">
        <x:v>Énergie</x:v>
      </x:c>
      <x:c r="D566" t="str">
        <x:v>Centrale thermique</x:v>
      </x:c>
      <x:c r="E566" t="str">
        <x:v>Dimensions et plans de référence</x:v>
      </x:c>
      <x:c r="F566" t="str">
        <x:v>P0</x:v>
      </x:c>
      <x:c r="G566" t="str">
        <x:v>En cours</x:v>
      </x:c>
      <x:c r="H566" t="str">
        <x:v>Production Codex</x:v>
      </x:c>
      <x:c r="I566" t="str">
        <x:v>Sources publiques identifiées ; unités en mètres ; emprise au sol distincte de la hauteur.</x:v>
      </x:c>
      <x:c r="J566" t="str">
        <x:v>https://github.com/darknigthmare/deadwall-last-enclosure/blob/1b3b9c5ba232734b1bda3453b4e20a0481bcdd74/docs/codex/suivi-monde2026/EAU_ENERGIE_2026.md</x:v>
      </x:c>
    </x:row>
    <x:row r="567">
      <x:c r="A567" t="str">
        <x:v>EXT-MONDE-T057/architecture</x:v>
      </x:c>
      <x:c r="B567" t="str">
        <x:v>EXT-MONDE-T057</x:v>
      </x:c>
      <x:c r="C567" t="str">
        <x:v>Énergie</x:v>
      </x:c>
      <x:c r="D567" t="str">
        <x:v>Centrale thermique</x:v>
      </x:c>
      <x:c r="E567" t="str">
        <x:v>Pièces, étages, annexes</x:v>
      </x:c>
      <x:c r="F567" t="str">
        <x:v>P0</x:v>
      </x:c>
      <x:c r="G567" t="str">
        <x:v>En cours</x:v>
      </x:c>
      <x:c r="H567" t="str">
        <x:v>Production Codex</x:v>
      </x:c>
      <x:c r="I567" t="str">
        <x:v>Livrable explicite, tests positifs et négatifs ; aucune validation déduite de la seule présence de la fiche.</x:v>
      </x:c>
      <x:c r="J567" t="str">
        <x:v>https://github.com/darknigthmare/deadwall-last-enclosure/blob/1b3b9c5ba232734b1bda3453b4e20a0481bcdd74/docs/codex/suivi-monde2026/INSPECTION_PHYSIQUE_2026.md</x:v>
      </x:c>
    </x:row>
    <x:row r="568">
      <x:c r="A568" t="str">
        <x:v>EXT-MONDE-T057/seed</x:v>
      </x:c>
      <x:c r="B568" t="str">
        <x:v>EXT-MONDE-T057</x:v>
      </x:c>
      <x:c r="C568" t="str">
        <x:v>Énergie</x:v>
      </x:c>
      <x:c r="D568" t="str">
        <x:v>Centrale thermique</x:v>
      </x:c>
      <x:c r="E568" t="str">
        <x:v>Implantation et réseaux</x:v>
      </x:c>
      <x:c r="F568" t="str">
        <x:v>P0</x:v>
      </x:c>
      <x:c r="G568" t="str">
        <x:v>À faire</x:v>
      </x:c>
      <x:c r="H568" t="str">
        <x:v>Non affecté</x:v>
      </x:c>
      <x:c r="I568" t="str">
        <x:v>Chaîne production-distribution-consommateurs ; coupure sauvegardée ; pas de courant créé par un sprite.</x:v>
      </x:c>
      <x:c r="J568" t="str"/>
    </x:row>
    <x:row r="569">
      <x:c r="A569" t="str">
        <x:v>EXT-MONDE-T057/props</x:v>
      </x:c>
      <x:c r="B569" t="str">
        <x:v>EXT-MONDE-T057</x:v>
      </x:c>
      <x:c r="C569" t="str">
        <x:v>Énergie</x:v>
      </x:c>
      <x:c r="D569" t="str">
        <x:v>Centrale thermique</x:v>
      </x:c>
      <x:c r="E569" t="str">
        <x:v>Objets, décors et dégagements</x:v>
      </x:c>
      <x:c r="F569" t="str">
        <x:v>P1</x:v>
      </x:c>
      <x:c r="G569" t="str">
        <x:v>En cours</x:v>
      </x:c>
      <x:c r="H569" t="str">
        <x:v>Production Codex</x:v>
      </x:c>
      <x:c r="I569" t="str">
        <x:v>Livrable explicite, tests positifs et négatifs ; aucune validation déduite de la seule présence de la fiche.</x:v>
      </x:c>
      <x:c r="J569" t="str">
        <x:v>https://github.com/darknigthmare/deadwall-last-enclosure/blob/1b3b9c5ba232734b1bda3453b4e20a0481bcdd74/docs/codex/suivi-monde2026/INSPECTION_PHYSIQUE_2026.md</x:v>
      </x:c>
    </x:row>
    <x:row r="570">
      <x:c r="A570" t="str">
        <x:v>EXT-MONDE-T057/loot</x:v>
      </x:c>
      <x:c r="B570" t="str">
        <x:v>EXT-MONDE-T057</x:v>
      </x:c>
      <x:c r="C570" t="str">
        <x:v>Énergie</x:v>
      </x:c>
      <x:c r="D570" t="str">
        <x:v>Centrale thermique</x:v>
      </x:c>
      <x:c r="E570" t="str">
        <x:v>Budget de butin persistant</x:v>
      </x:c>
      <x:c r="F570" t="str">
        <x:v>P1</x:v>
      </x:c>
      <x:c r="G570" t="str">
        <x:v>À faire</x:v>
      </x:c>
      <x:c r="H570" t="str">
        <x:v>Non affecté</x:v>
      </x:c>
      <x:c r="I570" t="str">
        <x:v>Livrable explicite, tests positifs et négatifs ; aucune validation déduite de la seule présence de la fiche.</x:v>
      </x:c>
      <x:c r="J570" t="str"/>
    </x:row>
    <x:row r="571">
      <x:c r="A571" t="str">
        <x:v>EXT-MONDE-T057/rencontres</x:v>
      </x:c>
      <x:c r="B571" t="str">
        <x:v>EXT-MONDE-T057</x:v>
      </x:c>
      <x:c r="C571" t="str">
        <x:v>Énergie</x:v>
      </x:c>
      <x:c r="D571" t="str">
        <x:v>Centrale thermique</x:v>
      </x:c>
      <x:c r="E571" t="str">
        <x:v>Ennemis et faune contextualisés</x:v>
      </x:c>
      <x:c r="F571" t="str">
        <x:v>P1</x:v>
      </x:c>
      <x:c r="G571" t="str">
        <x:v>À faire</x:v>
      </x:c>
      <x:c r="H571" t="str">
        <x:v>Non affecté</x:v>
      </x:c>
      <x:c r="I571" t="str">
        <x:v>Livrable explicite, tests positifs et négatifs ; aucune validation déduite de la seule présence de la fiche.</x:v>
      </x:c>
      <x:c r="J571" t="str"/>
    </x:row>
    <x:row r="572">
      <x:c r="A572" t="str">
        <x:v>EXT-MONDE-T057/services</x:v>
      </x:c>
      <x:c r="B572" t="str">
        <x:v>EXT-MONDE-T057</x:v>
      </x:c>
      <x:c r="C572" t="str">
        <x:v>Énergie</x:v>
      </x:c>
      <x:c r="D572" t="str">
        <x:v>Centrale thermique</x:v>
      </x:c>
      <x:c r="E572" t="str">
        <x:v>Énergie, eau et interactions</x:v>
      </x:c>
      <x:c r="F572" t="str">
        <x:v>P1</x:v>
      </x:c>
      <x:c r="G572" t="str">
        <x:v>À faire</x:v>
      </x:c>
      <x:c r="H572" t="str">
        <x:v>Non affecté</x:v>
      </x:c>
      <x:c r="I572" t="str">
        <x:v>Livrable explicite, tests positifs et négatifs ; aucune validation déduite de la seule présence de la fiche.</x:v>
      </x:c>
      <x:c r="J572" t="str"/>
    </x:row>
    <x:row r="573">
      <x:c r="A573" t="str">
        <x:v>EXT-MONDE-T057/art</x:v>
      </x:c>
      <x:c r="B573" t="str">
        <x:v>EXT-MONDE-T057</x:v>
      </x:c>
      <x:c r="C573" t="str">
        <x:v>Énergie</x:v>
      </x:c>
      <x:c r="D573" t="str">
        <x:v>Centrale thermique</x:v>
      </x:c>
      <x:c r="E573" t="str">
        <x:v>Sprites, proportions et animations</x:v>
      </x:c>
      <x:c r="F573" t="str">
        <x:v>P1</x:v>
      </x:c>
      <x:c r="G573" t="str">
        <x:v>À faire</x:v>
      </x:c>
      <x:c r="H573" t="str">
        <x:v>Non affecté</x:v>
      </x:c>
      <x:c r="I573" t="str">
        <x:v>Livrable explicite, tests positifs et négatifs ; aucune validation déduite de la seule présence de la fiche.</x:v>
      </x:c>
      <x:c r="J573" t="str"/>
    </x:row>
    <x:row r="574">
      <x:c r="A574" t="str">
        <x:v>EXT-MONDE-T057/sauvegarde</x:v>
      </x:c>
      <x:c r="B574" t="str">
        <x:v>EXT-MONDE-T057</x:v>
      </x:c>
      <x:c r="C574" t="str">
        <x:v>Énergie</x:v>
      </x:c>
      <x:c r="D574" t="str">
        <x:v>Centrale thermique</x:v>
      </x:c>
      <x:c r="E574" t="str">
        <x:v>Identités, migration et reprise</x:v>
      </x:c>
      <x:c r="F574" t="str">
        <x:v>P1</x:v>
      </x:c>
      <x:c r="G574" t="str">
        <x:v>En cours</x:v>
      </x:c>
      <x:c r="H574" t="str">
        <x:v>Production Codex</x:v>
      </x:c>
      <x:c r="I574" t="str">
        <x:v>Livrable explicite, tests positifs et négatifs ; aucune validation déduite de la seule présence de la fiche.</x:v>
      </x:c>
      <x:c r="J574" t="str">
        <x:v>https://github.com/darknigthmare/deadwall-last-enclosure/blob/1b3b9c5ba232734b1bda3453b4e20a0481bcdd74/docs/codex/suivi-monde2026/INSPECTION_PHYSIQUE_2026.md</x:v>
      </x:c>
    </x:row>
    <x:row r="575">
      <x:c r="A575" t="str">
        <x:v>EXT-MONDE-T057/qa</x:v>
      </x:c>
      <x:c r="B575" t="str">
        <x:v>EXT-MONDE-T057</x:v>
      </x:c>
      <x:c r="C575" t="str">
        <x:v>Énergie</x:v>
      </x:c>
      <x:c r="D575" t="str">
        <x:v>Centrale thermique</x:v>
      </x:c>
      <x:c r="E575" t="str">
        <x:v>Navigation et parcours jouables</x:v>
      </x:c>
      <x:c r="F575" t="str">
        <x:v>P1</x:v>
      </x:c>
      <x:c r="G575" t="str">
        <x:v>En cours</x:v>
      </x:c>
      <x:c r="H575" t="str">
        <x:v>Production Codex</x:v>
      </x:c>
      <x:c r="I575" t="str">
        <x:v>Livrable explicite, tests positifs et négatifs ; aucune validation déduite de la seule présence de la fiche.</x:v>
      </x:c>
      <x:c r="J575" t="str">
        <x:v>https://github.com/darknigthmare/deadwall-last-enclosure/blob/1b3b9c5ba232734b1bda3453b4e20a0481bcdd74/docs/codex/suivi-monde2026/INSPECTION_PHYSIQUE_2026.md</x:v>
      </x:c>
    </x:row>
    <x:row r="576">
      <x:c r="A576" t="str">
        <x:v>EXT-MONDE-T058/dimensions</x:v>
      </x:c>
      <x:c r="B576" t="str">
        <x:v>EXT-MONDE-T058</x:v>
      </x:c>
      <x:c r="C576" t="str">
        <x:v>Énergie</x:v>
      </x:c>
      <x:c r="D576" t="str">
        <x:v>Centrale hydroélectrique</x:v>
      </x:c>
      <x:c r="E576" t="str">
        <x:v>Dimensions et plans de référence</x:v>
      </x:c>
      <x:c r="F576" t="str">
        <x:v>P0</x:v>
      </x:c>
      <x:c r="G576" t="str">
        <x:v>En cours</x:v>
      </x:c>
      <x:c r="H576" t="str">
        <x:v>Production Codex</x:v>
      </x:c>
      <x:c r="I576" t="str">
        <x:v>Sources publiques identifiées ; unités en mètres ; emprise au sol distincte de la hauteur.</x:v>
      </x:c>
      <x:c r="J576" t="str">
        <x:v>https://github.com/darknigthmare/deadwall-last-enclosure/blob/1b3b9c5ba232734b1bda3453b4e20a0481bcdd74/docs/codex/suivi-monde2026/EAU_ENERGIE_2026.md</x:v>
      </x:c>
    </x:row>
    <x:row r="577">
      <x:c r="A577" t="str">
        <x:v>EXT-MONDE-T058/architecture</x:v>
      </x:c>
      <x:c r="B577" t="str">
        <x:v>EXT-MONDE-T058</x:v>
      </x:c>
      <x:c r="C577" t="str">
        <x:v>Énergie</x:v>
      </x:c>
      <x:c r="D577" t="str">
        <x:v>Centrale hydroélectrique</x:v>
      </x:c>
      <x:c r="E577" t="str">
        <x:v>Pièces, étages, annexes</x:v>
      </x:c>
      <x:c r="F577" t="str">
        <x:v>P0</x:v>
      </x:c>
      <x:c r="G577" t="str">
        <x:v>En cours</x:v>
      </x:c>
      <x:c r="H577" t="str">
        <x:v>Production Codex</x:v>
      </x:c>
      <x:c r="I577" t="str">
        <x:v>Livrable explicite, tests positifs et négatifs ; aucune validation déduite de la seule présence de la fiche.</x:v>
      </x:c>
      <x:c r="J577" t="str">
        <x:v>https://github.com/darknigthmare/deadwall-last-enclosure/blob/1b3b9c5ba232734b1bda3453b4e20a0481bcdd74/docs/codex/suivi-monde2026/INSPECTION_PHYSIQUE_2026.md</x:v>
      </x:c>
    </x:row>
    <x:row r="578">
      <x:c r="A578" t="str">
        <x:v>EXT-MONDE-T058/seed</x:v>
      </x:c>
      <x:c r="B578" t="str">
        <x:v>EXT-MONDE-T058</x:v>
      </x:c>
      <x:c r="C578" t="str">
        <x:v>Énergie</x:v>
      </x:c>
      <x:c r="D578" t="str">
        <x:v>Centrale hydroélectrique</x:v>
      </x:c>
      <x:c r="E578" t="str">
        <x:v>Implantation et réseaux</x:v>
      </x:c>
      <x:c r="F578" t="str">
        <x:v>P0</x:v>
      </x:c>
      <x:c r="G578" t="str">
        <x:v>À faire</x:v>
      </x:c>
      <x:c r="H578" t="str">
        <x:v>Non affecté</x:v>
      </x:c>
      <x:c r="I578" t="str">
        <x:v>Chaîne production-distribution-consommateurs ; coupure sauvegardée ; pas de courant créé par un sprite.</x:v>
      </x:c>
      <x:c r="J578" t="str"/>
    </x:row>
    <x:row r="579">
      <x:c r="A579" t="str">
        <x:v>EXT-MONDE-T058/props</x:v>
      </x:c>
      <x:c r="B579" t="str">
        <x:v>EXT-MONDE-T058</x:v>
      </x:c>
      <x:c r="C579" t="str">
        <x:v>Énergie</x:v>
      </x:c>
      <x:c r="D579" t="str">
        <x:v>Centrale hydroélectrique</x:v>
      </x:c>
      <x:c r="E579" t="str">
        <x:v>Objets, décors et dégagements</x:v>
      </x:c>
      <x:c r="F579" t="str">
        <x:v>P1</x:v>
      </x:c>
      <x:c r="G579" t="str">
        <x:v>En cours</x:v>
      </x:c>
      <x:c r="H579" t="str">
        <x:v>Production Codex</x:v>
      </x:c>
      <x:c r="I579" t="str">
        <x:v>Livrable explicite, tests positifs et négatifs ; aucune validation déduite de la seule présence de la fiche.</x:v>
      </x:c>
      <x:c r="J579" t="str">
        <x:v>https://github.com/darknigthmare/deadwall-last-enclosure/blob/1b3b9c5ba232734b1bda3453b4e20a0481bcdd74/docs/codex/suivi-monde2026/INSPECTION_PHYSIQUE_2026.md</x:v>
      </x:c>
    </x:row>
    <x:row r="580">
      <x:c r="A580" t="str">
        <x:v>EXT-MONDE-T058/loot</x:v>
      </x:c>
      <x:c r="B580" t="str">
        <x:v>EXT-MONDE-T058</x:v>
      </x:c>
      <x:c r="C580" t="str">
        <x:v>Énergie</x:v>
      </x:c>
      <x:c r="D580" t="str">
        <x:v>Centrale hydroélectrique</x:v>
      </x:c>
      <x:c r="E580" t="str">
        <x:v>Budget de butin persistant</x:v>
      </x:c>
      <x:c r="F580" t="str">
        <x:v>P1</x:v>
      </x:c>
      <x:c r="G580" t="str">
        <x:v>À faire</x:v>
      </x:c>
      <x:c r="H580" t="str">
        <x:v>Non affecté</x:v>
      </x:c>
      <x:c r="I580" t="str">
        <x:v>Livrable explicite, tests positifs et négatifs ; aucune validation déduite de la seule présence de la fiche.</x:v>
      </x:c>
      <x:c r="J580" t="str"/>
    </x:row>
    <x:row r="581">
      <x:c r="A581" t="str">
        <x:v>EXT-MONDE-T058/rencontres</x:v>
      </x:c>
      <x:c r="B581" t="str">
        <x:v>EXT-MONDE-T058</x:v>
      </x:c>
      <x:c r="C581" t="str">
        <x:v>Énergie</x:v>
      </x:c>
      <x:c r="D581" t="str">
        <x:v>Centrale hydroélectrique</x:v>
      </x:c>
      <x:c r="E581" t="str">
        <x:v>Ennemis et faune contextualisés</x:v>
      </x:c>
      <x:c r="F581" t="str">
        <x:v>P1</x:v>
      </x:c>
      <x:c r="G581" t="str">
        <x:v>À faire</x:v>
      </x:c>
      <x:c r="H581" t="str">
        <x:v>Non affecté</x:v>
      </x:c>
      <x:c r="I581" t="str">
        <x:v>Livrable explicite, tests positifs et négatifs ; aucune validation déduite de la seule présence de la fiche.</x:v>
      </x:c>
      <x:c r="J581" t="str"/>
    </x:row>
    <x:row r="582">
      <x:c r="A582" t="str">
        <x:v>EXT-MONDE-T058/services</x:v>
      </x:c>
      <x:c r="B582" t="str">
        <x:v>EXT-MONDE-T058</x:v>
      </x:c>
      <x:c r="C582" t="str">
        <x:v>Énergie</x:v>
      </x:c>
      <x:c r="D582" t="str">
        <x:v>Centrale hydroélectrique</x:v>
      </x:c>
      <x:c r="E582" t="str">
        <x:v>Énergie, eau et interactions</x:v>
      </x:c>
      <x:c r="F582" t="str">
        <x:v>P1</x:v>
      </x:c>
      <x:c r="G582" t="str">
        <x:v>À faire</x:v>
      </x:c>
      <x:c r="H582" t="str">
        <x:v>Non affecté</x:v>
      </x:c>
      <x:c r="I582" t="str">
        <x:v>Livrable explicite, tests positifs et négatifs ; aucune validation déduite de la seule présence de la fiche.</x:v>
      </x:c>
      <x:c r="J582" t="str"/>
    </x:row>
    <x:row r="583">
      <x:c r="A583" t="str">
        <x:v>EXT-MONDE-T058/art</x:v>
      </x:c>
      <x:c r="B583" t="str">
        <x:v>EXT-MONDE-T058</x:v>
      </x:c>
      <x:c r="C583" t="str">
        <x:v>Énergie</x:v>
      </x:c>
      <x:c r="D583" t="str">
        <x:v>Centrale hydroélectrique</x:v>
      </x:c>
      <x:c r="E583" t="str">
        <x:v>Sprites, proportions et animations</x:v>
      </x:c>
      <x:c r="F583" t="str">
        <x:v>P1</x:v>
      </x:c>
      <x:c r="G583" t="str">
        <x:v>À faire</x:v>
      </x:c>
      <x:c r="H583" t="str">
        <x:v>Non affecté</x:v>
      </x:c>
      <x:c r="I583" t="str">
        <x:v>Livrable explicite, tests positifs et négatifs ; aucune validation déduite de la seule présence de la fiche.</x:v>
      </x:c>
      <x:c r="J583" t="str"/>
    </x:row>
    <x:row r="584">
      <x:c r="A584" t="str">
        <x:v>EXT-MONDE-T058/sauvegarde</x:v>
      </x:c>
      <x:c r="B584" t="str">
        <x:v>EXT-MONDE-T058</x:v>
      </x:c>
      <x:c r="C584" t="str">
        <x:v>Énergie</x:v>
      </x:c>
      <x:c r="D584" t="str">
        <x:v>Centrale hydroélectrique</x:v>
      </x:c>
      <x:c r="E584" t="str">
        <x:v>Identités, migration et reprise</x:v>
      </x:c>
      <x:c r="F584" t="str">
        <x:v>P1</x:v>
      </x:c>
      <x:c r="G584" t="str">
        <x:v>En cours</x:v>
      </x:c>
      <x:c r="H584" t="str">
        <x:v>Production Codex</x:v>
      </x:c>
      <x:c r="I584" t="str">
        <x:v>Livrable explicite, tests positifs et négatifs ; aucune validation déduite de la seule présence de la fiche.</x:v>
      </x:c>
      <x:c r="J584" t="str">
        <x:v>https://github.com/darknigthmare/deadwall-last-enclosure/blob/1b3b9c5ba232734b1bda3453b4e20a0481bcdd74/docs/codex/suivi-monde2026/INSPECTION_PHYSIQUE_2026.md</x:v>
      </x:c>
    </x:row>
    <x:row r="585">
      <x:c r="A585" t="str">
        <x:v>EXT-MONDE-T058/qa</x:v>
      </x:c>
      <x:c r="B585" t="str">
        <x:v>EXT-MONDE-T058</x:v>
      </x:c>
      <x:c r="C585" t="str">
        <x:v>Énergie</x:v>
      </x:c>
      <x:c r="D585" t="str">
        <x:v>Centrale hydroélectrique</x:v>
      </x:c>
      <x:c r="E585" t="str">
        <x:v>Navigation et parcours jouables</x:v>
      </x:c>
      <x:c r="F585" t="str">
        <x:v>P1</x:v>
      </x:c>
      <x:c r="G585" t="str">
        <x:v>En cours</x:v>
      </x:c>
      <x:c r="H585" t="str">
        <x:v>Production Codex</x:v>
      </x:c>
      <x:c r="I585" t="str">
        <x:v>Livrable explicite, tests positifs et négatifs ; aucune validation déduite de la seule présence de la fiche.</x:v>
      </x:c>
      <x:c r="J585" t="str">
        <x:v>https://github.com/darknigthmare/deadwall-last-enclosure/blob/1b3b9c5ba232734b1bda3453b4e20a0481bcdd74/docs/codex/suivi-monde2026/INSPECTION_PHYSIQUE_2026.md</x:v>
      </x:c>
    </x:row>
    <x:row r="586">
      <x:c r="A586" t="str">
        <x:v>EXT-MONDE-T059/dimensions</x:v>
      </x:c>
      <x:c r="B586" t="str">
        <x:v>EXT-MONDE-T059</x:v>
      </x:c>
      <x:c r="C586" t="str">
        <x:v>Énergie</x:v>
      </x:c>
      <x:c r="D586" t="str">
        <x:v>Poste électrique régional</x:v>
      </x:c>
      <x:c r="E586" t="str">
        <x:v>Dimensions et plans de référence</x:v>
      </x:c>
      <x:c r="F586" t="str">
        <x:v>P0</x:v>
      </x:c>
      <x:c r="G586" t="str">
        <x:v>En cours</x:v>
      </x:c>
      <x:c r="H586" t="str">
        <x:v>Production Codex</x:v>
      </x:c>
      <x:c r="I586" t="str">
        <x:v>Sources publiques identifiées ; unités en mètres ; emprise au sol distincte de la hauteur.</x:v>
      </x:c>
      <x:c r="J586" t="str">
        <x:v>https://github.com/darknigthmare/deadwall-last-enclosure/blob/1b3b9c5ba232734b1bda3453b4e20a0481bcdd74/docs/codex/suivi-monde2026/EAU_ENERGIE_2026.md</x:v>
      </x:c>
    </x:row>
    <x:row r="587">
      <x:c r="A587" t="str">
        <x:v>EXT-MONDE-T059/architecture</x:v>
      </x:c>
      <x:c r="B587" t="str">
        <x:v>EXT-MONDE-T059</x:v>
      </x:c>
      <x:c r="C587" t="str">
        <x:v>Énergie</x:v>
      </x:c>
      <x:c r="D587" t="str">
        <x:v>Poste électrique régional</x:v>
      </x:c>
      <x:c r="E587" t="str">
        <x:v>Pièces, étages, annexes</x:v>
      </x:c>
      <x:c r="F587" t="str">
        <x:v>P0</x:v>
      </x:c>
      <x:c r="G587" t="str">
        <x:v>En cours</x:v>
      </x:c>
      <x:c r="H587" t="str">
        <x:v>Production Codex</x:v>
      </x:c>
      <x:c r="I587" t="str">
        <x:v>Livrable explicite, tests positifs et négatifs ; aucune validation déduite de la seule présence de la fiche.</x:v>
      </x:c>
      <x:c r="J587" t="str">
        <x:v>https://github.com/darknigthmare/deadwall-last-enclosure/blob/1b3b9c5ba232734b1bda3453b4e20a0481bcdd74/docs/codex/suivi-monde2026/INSPECTION_PHYSIQUE_2026.md</x:v>
      </x:c>
    </x:row>
    <x:row r="588">
      <x:c r="A588" t="str">
        <x:v>EXT-MONDE-T059/seed</x:v>
      </x:c>
      <x:c r="B588" t="str">
        <x:v>EXT-MONDE-T059</x:v>
      </x:c>
      <x:c r="C588" t="str">
        <x:v>Énergie</x:v>
      </x:c>
      <x:c r="D588" t="str">
        <x:v>Poste électrique régional</x:v>
      </x:c>
      <x:c r="E588" t="str">
        <x:v>Implantation et réseaux</x:v>
      </x:c>
      <x:c r="F588" t="str">
        <x:v>P0</x:v>
      </x:c>
      <x:c r="G588" t="str">
        <x:v>À faire</x:v>
      </x:c>
      <x:c r="H588" t="str">
        <x:v>Non affecté</x:v>
      </x:c>
      <x:c r="I588" t="str">
        <x:v>Chaîne production-distribution-consommateurs ; coupure sauvegardée ; pas de courant créé par un sprite.</x:v>
      </x:c>
      <x:c r="J588" t="str"/>
    </x:row>
    <x:row r="589">
      <x:c r="A589" t="str">
        <x:v>EXT-MONDE-T059/props</x:v>
      </x:c>
      <x:c r="B589" t="str">
        <x:v>EXT-MONDE-T059</x:v>
      </x:c>
      <x:c r="C589" t="str">
        <x:v>Énergie</x:v>
      </x:c>
      <x:c r="D589" t="str">
        <x:v>Poste électrique régional</x:v>
      </x:c>
      <x:c r="E589" t="str">
        <x:v>Objets, décors et dégagements</x:v>
      </x:c>
      <x:c r="F589" t="str">
        <x:v>P1</x:v>
      </x:c>
      <x:c r="G589" t="str">
        <x:v>En cours</x:v>
      </x:c>
      <x:c r="H589" t="str">
        <x:v>Production Codex</x:v>
      </x:c>
      <x:c r="I589" t="str">
        <x:v>Livrable explicite, tests positifs et négatifs ; aucune validation déduite de la seule présence de la fiche.</x:v>
      </x:c>
      <x:c r="J589" t="str">
        <x:v>https://github.com/darknigthmare/deadwall-last-enclosure/blob/1b3b9c5ba232734b1bda3453b4e20a0481bcdd74/docs/codex/suivi-monde2026/INSPECTION_PHYSIQUE_2026.md</x:v>
      </x:c>
    </x:row>
    <x:row r="590">
      <x:c r="A590" t="str">
        <x:v>EXT-MONDE-T059/loot</x:v>
      </x:c>
      <x:c r="B590" t="str">
        <x:v>EXT-MONDE-T059</x:v>
      </x:c>
      <x:c r="C590" t="str">
        <x:v>Énergie</x:v>
      </x:c>
      <x:c r="D590" t="str">
        <x:v>Poste électrique régional</x:v>
      </x:c>
      <x:c r="E590" t="str">
        <x:v>Budget de butin persistant</x:v>
      </x:c>
      <x:c r="F590" t="str">
        <x:v>P1</x:v>
      </x:c>
      <x:c r="G590" t="str">
        <x:v>À faire</x:v>
      </x:c>
      <x:c r="H590" t="str">
        <x:v>Non affecté</x:v>
      </x:c>
      <x:c r="I590" t="str">
        <x:v>Livrable explicite, tests positifs et négatifs ; aucune validation déduite de la seule présence de la fiche.</x:v>
      </x:c>
      <x:c r="J590" t="str"/>
    </x:row>
    <x:row r="591">
      <x:c r="A591" t="str">
        <x:v>EXT-MONDE-T059/rencontres</x:v>
      </x:c>
      <x:c r="B591" t="str">
        <x:v>EXT-MONDE-T059</x:v>
      </x:c>
      <x:c r="C591" t="str">
        <x:v>Énergie</x:v>
      </x:c>
      <x:c r="D591" t="str">
        <x:v>Poste électrique régional</x:v>
      </x:c>
      <x:c r="E591" t="str">
        <x:v>Ennemis et faune contextualisés</x:v>
      </x:c>
      <x:c r="F591" t="str">
        <x:v>P1</x:v>
      </x:c>
      <x:c r="G591" t="str">
        <x:v>À faire</x:v>
      </x:c>
      <x:c r="H591" t="str">
        <x:v>Non affecté</x:v>
      </x:c>
      <x:c r="I591" t="str">
        <x:v>Livrable explicite, tests positifs et négatifs ; aucune validation déduite de la seule présence de la fiche.</x:v>
      </x:c>
      <x:c r="J591" t="str"/>
    </x:row>
    <x:row r="592">
      <x:c r="A592" t="str">
        <x:v>EXT-MONDE-T059/services</x:v>
      </x:c>
      <x:c r="B592" t="str">
        <x:v>EXT-MONDE-T059</x:v>
      </x:c>
      <x:c r="C592" t="str">
        <x:v>Énergie</x:v>
      </x:c>
      <x:c r="D592" t="str">
        <x:v>Poste électrique régional</x:v>
      </x:c>
      <x:c r="E592" t="str">
        <x:v>Énergie, eau et interactions</x:v>
      </x:c>
      <x:c r="F592" t="str">
        <x:v>P1</x:v>
      </x:c>
      <x:c r="G592" t="str">
        <x:v>À faire</x:v>
      </x:c>
      <x:c r="H592" t="str">
        <x:v>Non affecté</x:v>
      </x:c>
      <x:c r="I592" t="str">
        <x:v>Livrable explicite, tests positifs et négatifs ; aucune validation déduite de la seule présence de la fiche.</x:v>
      </x:c>
      <x:c r="J592" t="str"/>
    </x:row>
    <x:row r="593">
      <x:c r="A593" t="str">
        <x:v>EXT-MONDE-T059/art</x:v>
      </x:c>
      <x:c r="B593" t="str">
        <x:v>EXT-MONDE-T059</x:v>
      </x:c>
      <x:c r="C593" t="str">
        <x:v>Énergie</x:v>
      </x:c>
      <x:c r="D593" t="str">
        <x:v>Poste électrique régional</x:v>
      </x:c>
      <x:c r="E593" t="str">
        <x:v>Sprites, proportions et animations</x:v>
      </x:c>
      <x:c r="F593" t="str">
        <x:v>P1</x:v>
      </x:c>
      <x:c r="G593" t="str">
        <x:v>À faire</x:v>
      </x:c>
      <x:c r="H593" t="str">
        <x:v>Non affecté</x:v>
      </x:c>
      <x:c r="I593" t="str">
        <x:v>Livrable explicite, tests positifs et négatifs ; aucune validation déduite de la seule présence de la fiche.</x:v>
      </x:c>
      <x:c r="J593" t="str"/>
    </x:row>
    <x:row r="594">
      <x:c r="A594" t="str">
        <x:v>EXT-MONDE-T059/sauvegarde</x:v>
      </x:c>
      <x:c r="B594" t="str">
        <x:v>EXT-MONDE-T059</x:v>
      </x:c>
      <x:c r="C594" t="str">
        <x:v>Énergie</x:v>
      </x:c>
      <x:c r="D594" t="str">
        <x:v>Poste électrique régional</x:v>
      </x:c>
      <x:c r="E594" t="str">
        <x:v>Identités, migration et reprise</x:v>
      </x:c>
      <x:c r="F594" t="str">
        <x:v>P1</x:v>
      </x:c>
      <x:c r="G594" t="str">
        <x:v>En cours</x:v>
      </x:c>
      <x:c r="H594" t="str">
        <x:v>Production Codex</x:v>
      </x:c>
      <x:c r="I594" t="str">
        <x:v>Livrable explicite, tests positifs et négatifs ; aucune validation déduite de la seule présence de la fiche.</x:v>
      </x:c>
      <x:c r="J594" t="str">
        <x:v>https://github.com/darknigthmare/deadwall-last-enclosure/blob/1b3b9c5ba232734b1bda3453b4e20a0481bcdd74/docs/codex/suivi-monde2026/INSPECTION_PHYSIQUE_2026.md</x:v>
      </x:c>
    </x:row>
    <x:row r="595">
      <x:c r="A595" t="str">
        <x:v>EXT-MONDE-T059/qa</x:v>
      </x:c>
      <x:c r="B595" t="str">
        <x:v>EXT-MONDE-T059</x:v>
      </x:c>
      <x:c r="C595" t="str">
        <x:v>Énergie</x:v>
      </x:c>
      <x:c r="D595" t="str">
        <x:v>Poste électrique régional</x:v>
      </x:c>
      <x:c r="E595" t="str">
        <x:v>Navigation et parcours jouables</x:v>
      </x:c>
      <x:c r="F595" t="str">
        <x:v>P1</x:v>
      </x:c>
      <x:c r="G595" t="str">
        <x:v>En cours</x:v>
      </x:c>
      <x:c r="H595" t="str">
        <x:v>Production Codex</x:v>
      </x:c>
      <x:c r="I595" t="str">
        <x:v>Livrable explicite, tests positifs et négatifs ; aucune validation déduite de la seule présence de la fiche.</x:v>
      </x:c>
      <x:c r="J595" t="str">
        <x:v>https://github.com/darknigthmare/deadwall-last-enclosure/blob/1b3b9c5ba232734b1bda3453b4e20a0481bcdd74/docs/codex/suivi-monde2026/INSPECTION_PHYSIQUE_2026.md</x:v>
      </x:c>
    </x:row>
    <x:row r="596">
      <x:c r="A596" t="str">
        <x:v>EXT-MONDE-T060/dimensions</x:v>
      </x:c>
      <x:c r="B596" t="str">
        <x:v>EXT-MONDE-T060</x:v>
      </x:c>
      <x:c r="C596" t="str">
        <x:v>Énergie</x:v>
      </x:c>
      <x:c r="D596" t="str">
        <x:v>Champ d’éoliennes</x:v>
      </x:c>
      <x:c r="E596" t="str">
        <x:v>Dimensions et plans de référence</x:v>
      </x:c>
      <x:c r="F596" t="str">
        <x:v>P0</x:v>
      </x:c>
      <x:c r="G596" t="str">
        <x:v>Validé</x:v>
      </x:c>
      <x:c r="H596" t="str">
        <x:v>Production Codex</x:v>
      </x:c>
      <x:c r="I596" t="str">
        <x:v>Sources publiques identifiées ; unités en mètres ; emprise au sol distincte de la hauteur.</x:v>
      </x:c>
      <x:c r="J596" t="str">
        <x:v>https://github.com/darknigthmare/deadwall-last-enclosure/blob/1b3b9c5ba232734b1bda3453b4e20a0481bcdd74/docs/codex/suivi-monde2026/FONDATIONS_METRIQUES_2026.md#dimensions-auteur-validees</x:v>
      </x:c>
    </x:row>
    <x:row r="597">
      <x:c r="A597" t="str">
        <x:v>EXT-MONDE-T060/architecture</x:v>
      </x:c>
      <x:c r="B597" t="str">
        <x:v>EXT-MONDE-T060</x:v>
      </x:c>
      <x:c r="C597" t="str">
        <x:v>Énergie</x:v>
      </x:c>
      <x:c r="D597" t="str">
        <x:v>Champ d’éoliennes</x:v>
      </x:c>
      <x:c r="E597" t="str">
        <x:v>Pièces, étages, annexes</x:v>
      </x:c>
      <x:c r="F597" t="str">
        <x:v>P0</x:v>
      </x:c>
      <x:c r="G597" t="str">
        <x:v>En cours</x:v>
      </x:c>
      <x:c r="H597" t="str">
        <x:v>Production Codex</x:v>
      </x:c>
      <x:c r="I597" t="str">
        <x:v>Livrable explicite, tests positifs et négatifs ; aucune validation déduite de la seule présence de la fiche.</x:v>
      </x:c>
      <x:c r="J597" t="str">
        <x:v>https://github.com/darknigthmare/deadwall-last-enclosure/blob/1b3b9c5ba232734b1bda3453b4e20a0481bcdd74/docs/codex/suivi-monde2026/INSPECTION_PHYSIQUE_2026.md</x:v>
      </x:c>
    </x:row>
    <x:row r="598">
      <x:c r="A598" t="str">
        <x:v>EXT-MONDE-T060/seed</x:v>
      </x:c>
      <x:c r="B598" t="str">
        <x:v>EXT-MONDE-T060</x:v>
      </x:c>
      <x:c r="C598" t="str">
        <x:v>Énergie</x:v>
      </x:c>
      <x:c r="D598" t="str">
        <x:v>Champ d’éoliennes</x:v>
      </x:c>
      <x:c r="E598" t="str">
        <x:v>Implantation et réseaux</x:v>
      </x:c>
      <x:c r="F598" t="str">
        <x:v>P0</x:v>
      </x:c>
      <x:c r="G598" t="str">
        <x:v>À faire</x:v>
      </x:c>
      <x:c r="H598" t="str">
        <x:v>Non affecté</x:v>
      </x:c>
      <x:c r="I598" t="str">
        <x:v>Chaîne production-distribution-consommateurs ; coupure sauvegardée ; pas de courant créé par un sprite.</x:v>
      </x:c>
      <x:c r="J598" t="str"/>
    </x:row>
    <x:row r="599">
      <x:c r="A599" t="str">
        <x:v>EXT-MONDE-T060/props</x:v>
      </x:c>
      <x:c r="B599" t="str">
        <x:v>EXT-MONDE-T060</x:v>
      </x:c>
      <x:c r="C599" t="str">
        <x:v>Énergie</x:v>
      </x:c>
      <x:c r="D599" t="str">
        <x:v>Champ d’éoliennes</x:v>
      </x:c>
      <x:c r="E599" t="str">
        <x:v>Objets, décors et dégagements</x:v>
      </x:c>
      <x:c r="F599" t="str">
        <x:v>P1</x:v>
      </x:c>
      <x:c r="G599" t="str">
        <x:v>En cours</x:v>
      </x:c>
      <x:c r="H599" t="str">
        <x:v>Production Codex</x:v>
      </x:c>
      <x:c r="I599" t="str">
        <x:v>Livrable explicite, tests positifs et négatifs ; aucune validation déduite de la seule présence de la fiche.</x:v>
      </x:c>
      <x:c r="J599" t="str">
        <x:v>https://github.com/darknigthmare/deadwall-last-enclosure/blob/1b3b9c5ba232734b1bda3453b4e20a0481bcdd74/docs/codex/suivi-monde2026/INSPECTION_PHYSIQUE_2026.md</x:v>
      </x:c>
    </x:row>
    <x:row r="600">
      <x:c r="A600" t="str">
        <x:v>EXT-MONDE-T060/loot</x:v>
      </x:c>
      <x:c r="B600" t="str">
        <x:v>EXT-MONDE-T060</x:v>
      </x:c>
      <x:c r="C600" t="str">
        <x:v>Énergie</x:v>
      </x:c>
      <x:c r="D600" t="str">
        <x:v>Champ d’éoliennes</x:v>
      </x:c>
      <x:c r="E600" t="str">
        <x:v>Budget de butin persistant</x:v>
      </x:c>
      <x:c r="F600" t="str">
        <x:v>P1</x:v>
      </x:c>
      <x:c r="G600" t="str">
        <x:v>À faire</x:v>
      </x:c>
      <x:c r="H600" t="str">
        <x:v>Non affecté</x:v>
      </x:c>
      <x:c r="I600" t="str">
        <x:v>Livrable explicite, tests positifs et négatifs ; aucune validation déduite de la seule présence de la fiche.</x:v>
      </x:c>
      <x:c r="J600" t="str"/>
    </x:row>
    <x:row r="601">
      <x:c r="A601" t="str">
        <x:v>EXT-MONDE-T060/rencontres</x:v>
      </x:c>
      <x:c r="B601" t="str">
        <x:v>EXT-MONDE-T060</x:v>
      </x:c>
      <x:c r="C601" t="str">
        <x:v>Énergie</x:v>
      </x:c>
      <x:c r="D601" t="str">
        <x:v>Champ d’éoliennes</x:v>
      </x:c>
      <x:c r="E601" t="str">
        <x:v>Ennemis et faune contextualisés</x:v>
      </x:c>
      <x:c r="F601" t="str">
        <x:v>P1</x:v>
      </x:c>
      <x:c r="G601" t="str">
        <x:v>À faire</x:v>
      </x:c>
      <x:c r="H601" t="str">
        <x:v>Non affecté</x:v>
      </x:c>
      <x:c r="I601" t="str">
        <x:v>Livrable explicite, tests positifs et négatifs ; aucune validation déduite de la seule présence de la fiche.</x:v>
      </x:c>
      <x:c r="J601" t="str"/>
    </x:row>
    <x:row r="602">
      <x:c r="A602" t="str">
        <x:v>EXT-MONDE-T060/services</x:v>
      </x:c>
      <x:c r="B602" t="str">
        <x:v>EXT-MONDE-T060</x:v>
      </x:c>
      <x:c r="C602" t="str">
        <x:v>Énergie</x:v>
      </x:c>
      <x:c r="D602" t="str">
        <x:v>Champ d’éoliennes</x:v>
      </x:c>
      <x:c r="E602" t="str">
        <x:v>Énergie, eau et interactions</x:v>
      </x:c>
      <x:c r="F602" t="str">
        <x:v>P1</x:v>
      </x:c>
      <x:c r="G602" t="str">
        <x:v>À faire</x:v>
      </x:c>
      <x:c r="H602" t="str">
        <x:v>Non affecté</x:v>
      </x:c>
      <x:c r="I602" t="str">
        <x:v>Livrable explicite, tests positifs et négatifs ; aucune validation déduite de la seule présence de la fiche.</x:v>
      </x:c>
      <x:c r="J602" t="str"/>
    </x:row>
    <x:row r="603">
      <x:c r="A603" t="str">
        <x:v>EXT-MONDE-T060/art</x:v>
      </x:c>
      <x:c r="B603" t="str">
        <x:v>EXT-MONDE-T060</x:v>
      </x:c>
      <x:c r="C603" t="str">
        <x:v>Énergie</x:v>
      </x:c>
      <x:c r="D603" t="str">
        <x:v>Champ d’éoliennes</x:v>
      </x:c>
      <x:c r="E603" t="str">
        <x:v>Sprites, proportions et animations</x:v>
      </x:c>
      <x:c r="F603" t="str">
        <x:v>P1</x:v>
      </x:c>
      <x:c r="G603" t="str">
        <x:v>À faire</x:v>
      </x:c>
      <x:c r="H603" t="str">
        <x:v>Non affecté</x:v>
      </x:c>
      <x:c r="I603" t="str">
        <x:v>Livrable explicite, tests positifs et négatifs ; aucune validation déduite de la seule présence de la fiche.</x:v>
      </x:c>
      <x:c r="J603" t="str"/>
    </x:row>
    <x:row r="604">
      <x:c r="A604" t="str">
        <x:v>EXT-MONDE-T060/sauvegarde</x:v>
      </x:c>
      <x:c r="B604" t="str">
        <x:v>EXT-MONDE-T060</x:v>
      </x:c>
      <x:c r="C604" t="str">
        <x:v>Énergie</x:v>
      </x:c>
      <x:c r="D604" t="str">
        <x:v>Champ d’éoliennes</x:v>
      </x:c>
      <x:c r="E604" t="str">
        <x:v>Identités, migration et reprise</x:v>
      </x:c>
      <x:c r="F604" t="str">
        <x:v>P1</x:v>
      </x:c>
      <x:c r="G604" t="str">
        <x:v>En cours</x:v>
      </x:c>
      <x:c r="H604" t="str">
        <x:v>Production Codex</x:v>
      </x:c>
      <x:c r="I604" t="str">
        <x:v>Livrable explicite, tests positifs et négatifs ; aucune validation déduite de la seule présence de la fiche.</x:v>
      </x:c>
      <x:c r="J604" t="str">
        <x:v>https://github.com/darknigthmare/deadwall-last-enclosure/blob/1b3b9c5ba232734b1bda3453b4e20a0481bcdd74/docs/codex/suivi-monde2026/INSPECTION_PHYSIQUE_2026.md</x:v>
      </x:c>
    </x:row>
    <x:row r="605">
      <x:c r="A605" t="str">
        <x:v>EXT-MONDE-T060/qa</x:v>
      </x:c>
      <x:c r="B605" t="str">
        <x:v>EXT-MONDE-T060</x:v>
      </x:c>
      <x:c r="C605" t="str">
        <x:v>Énergie</x:v>
      </x:c>
      <x:c r="D605" t="str">
        <x:v>Champ d’éoliennes</x:v>
      </x:c>
      <x:c r="E605" t="str">
        <x:v>Navigation et parcours jouables</x:v>
      </x:c>
      <x:c r="F605" t="str">
        <x:v>P1</x:v>
      </x:c>
      <x:c r="G605" t="str">
        <x:v>En cours</x:v>
      </x:c>
      <x:c r="H605" t="str">
        <x:v>Production Codex</x:v>
      </x:c>
      <x:c r="I605" t="str">
        <x:v>Livrable explicite, tests positifs et négatifs ; aucune validation déduite de la seule présence de la fiche.</x:v>
      </x:c>
      <x:c r="J605" t="str">
        <x:v>https://github.com/darknigthmare/deadwall-last-enclosure/blob/1b3b9c5ba232734b1bda3453b4e20a0481bcdd74/docs/codex/suivi-monde2026/INSPECTION_PHYSIQUE_2026.md</x:v>
      </x:c>
    </x:row>
    <x:row r="606">
      <x:c r="A606" t="str">
        <x:v>EXT-MONDE-T061/dimensions</x:v>
      </x:c>
      <x:c r="B606" t="str">
        <x:v>EXT-MONDE-T061</x:v>
      </x:c>
      <x:c r="C606" t="str">
        <x:v>Épuration</x:v>
      </x:c>
      <x:c r="D606" t="str">
        <x:v>Station d’épuration urbaine</x:v>
      </x:c>
      <x:c r="E606" t="str">
        <x:v>Dimensions et plans de référence</x:v>
      </x:c>
      <x:c r="F606" t="str">
        <x:v>P0</x:v>
      </x:c>
      <x:c r="G606" t="str">
        <x:v>En cours</x:v>
      </x:c>
      <x:c r="H606" t="str">
        <x:v>Production Codex</x:v>
      </x:c>
      <x:c r="I606" t="str">
        <x:v>Sources publiques identifiées ; unités en mètres ; emprise au sol distincte de la hauteur.</x:v>
      </x:c>
      <x:c r="J606" t="str">
        <x:v>https://github.com/darknigthmare/deadwall-last-enclosure/blob/1b3b9c5ba232734b1bda3453b4e20a0481bcdd74/docs/codex/suivi-monde2026/EAU_ENERGIE_2026.md</x:v>
      </x:c>
    </x:row>
    <x:row r="607">
      <x:c r="A607" t="str">
        <x:v>EXT-MONDE-T061/architecture</x:v>
      </x:c>
      <x:c r="B607" t="str">
        <x:v>EXT-MONDE-T061</x:v>
      </x:c>
      <x:c r="C607" t="str">
        <x:v>Épuration</x:v>
      </x:c>
      <x:c r="D607" t="str">
        <x:v>Station d’épuration urbaine</x:v>
      </x:c>
      <x:c r="E607" t="str">
        <x:v>Pièces, étages, annexes</x:v>
      </x:c>
      <x:c r="F607" t="str">
        <x:v>P0</x:v>
      </x:c>
      <x:c r="G607" t="str">
        <x:v>En cours</x:v>
      </x:c>
      <x:c r="H607" t="str">
        <x:v>Production Codex</x:v>
      </x:c>
      <x:c r="I607" t="str">
        <x:v>Livrable explicite, tests positifs et négatifs ; aucune validation déduite de la seule présence de la fiche.</x:v>
      </x:c>
      <x:c r="J607" t="str">
        <x:v>https://github.com/darknigthmare/deadwall-last-enclosure/blob/1b3b9c5ba232734b1bda3453b4e20a0481bcdd74/docs/codex/suivi-monde2026/INSPECTION_PHYSIQUE_2026.md</x:v>
      </x:c>
    </x:row>
    <x:row r="608">
      <x:c r="A608" t="str">
        <x:v>EXT-MONDE-T061/seed</x:v>
      </x:c>
      <x:c r="B608" t="str">
        <x:v>EXT-MONDE-T061</x:v>
      </x:c>
      <x:c r="C608" t="str">
        <x:v>Épuration</x:v>
      </x:c>
      <x:c r="D608" t="str">
        <x:v>Station d’épuration urbaine</x:v>
      </x:c>
      <x:c r="E608" t="str">
        <x:v>Implantation et réseaux</x:v>
      </x:c>
      <x:c r="F608" t="str">
        <x:v>P0</x:v>
      </x:c>
      <x:c r="G608" t="str">
        <x:v>À faire</x:v>
      </x:c>
      <x:c r="H608" t="str">
        <x:v>Non affecté</x:v>
      </x:c>
      <x:c r="I608" t="str">
        <x:v>Eau potable et eaux usées séparées ; entrée et exutoire cohérents ; bassins non traversables.</x:v>
      </x:c>
      <x:c r="J608" t="str"/>
    </x:row>
    <x:row r="609">
      <x:c r="A609" t="str">
        <x:v>EXT-MONDE-T061/props</x:v>
      </x:c>
      <x:c r="B609" t="str">
        <x:v>EXT-MONDE-T061</x:v>
      </x:c>
      <x:c r="C609" t="str">
        <x:v>Épuration</x:v>
      </x:c>
      <x:c r="D609" t="str">
        <x:v>Station d’épuration urbaine</x:v>
      </x:c>
      <x:c r="E609" t="str">
        <x:v>Objets, décors et dégagements</x:v>
      </x:c>
      <x:c r="F609" t="str">
        <x:v>P1</x:v>
      </x:c>
      <x:c r="G609" t="str">
        <x:v>En cours</x:v>
      </x:c>
      <x:c r="H609" t="str">
        <x:v>Production Codex</x:v>
      </x:c>
      <x:c r="I609" t="str">
        <x:v>Livrable explicite, tests positifs et négatifs ; aucune validation déduite de la seule présence de la fiche.</x:v>
      </x:c>
      <x:c r="J609" t="str">
        <x:v>https://github.com/darknigthmare/deadwall-last-enclosure/blob/1b3b9c5ba232734b1bda3453b4e20a0481bcdd74/docs/codex/suivi-monde2026/INSPECTION_PHYSIQUE_2026.md</x:v>
      </x:c>
    </x:row>
    <x:row r="610">
      <x:c r="A610" t="str">
        <x:v>EXT-MONDE-T061/loot</x:v>
      </x:c>
      <x:c r="B610" t="str">
        <x:v>EXT-MONDE-T061</x:v>
      </x:c>
      <x:c r="C610" t="str">
        <x:v>Épuration</x:v>
      </x:c>
      <x:c r="D610" t="str">
        <x:v>Station d’épuration urbaine</x:v>
      </x:c>
      <x:c r="E610" t="str">
        <x:v>Budget de butin persistant</x:v>
      </x:c>
      <x:c r="F610" t="str">
        <x:v>P1</x:v>
      </x:c>
      <x:c r="G610" t="str">
        <x:v>À faire</x:v>
      </x:c>
      <x:c r="H610" t="str">
        <x:v>Non affecté</x:v>
      </x:c>
      <x:c r="I610" t="str">
        <x:v>Livrable explicite, tests positifs et négatifs ; aucune validation déduite de la seule présence de la fiche.</x:v>
      </x:c>
      <x:c r="J610" t="str"/>
    </x:row>
    <x:row r="611">
      <x:c r="A611" t="str">
        <x:v>EXT-MONDE-T061/rencontres</x:v>
      </x:c>
      <x:c r="B611" t="str">
        <x:v>EXT-MONDE-T061</x:v>
      </x:c>
      <x:c r="C611" t="str">
        <x:v>Épuration</x:v>
      </x:c>
      <x:c r="D611" t="str">
        <x:v>Station d’épuration urbaine</x:v>
      </x:c>
      <x:c r="E611" t="str">
        <x:v>Ennemis et faune contextualisés</x:v>
      </x:c>
      <x:c r="F611" t="str">
        <x:v>P1</x:v>
      </x:c>
      <x:c r="G611" t="str">
        <x:v>À faire</x:v>
      </x:c>
      <x:c r="H611" t="str">
        <x:v>Non affecté</x:v>
      </x:c>
      <x:c r="I611" t="str">
        <x:v>Livrable explicite, tests positifs et négatifs ; aucune validation déduite de la seule présence de la fiche.</x:v>
      </x:c>
      <x:c r="J611" t="str"/>
    </x:row>
    <x:row r="612">
      <x:c r="A612" t="str">
        <x:v>EXT-MONDE-T061/services</x:v>
      </x:c>
      <x:c r="B612" t="str">
        <x:v>EXT-MONDE-T061</x:v>
      </x:c>
      <x:c r="C612" t="str">
        <x:v>Épuration</x:v>
      </x:c>
      <x:c r="D612" t="str">
        <x:v>Station d’épuration urbaine</x:v>
      </x:c>
      <x:c r="E612" t="str">
        <x:v>Énergie, eau et interactions</x:v>
      </x:c>
      <x:c r="F612" t="str">
        <x:v>P1</x:v>
      </x:c>
      <x:c r="G612" t="str">
        <x:v>À faire</x:v>
      </x:c>
      <x:c r="H612" t="str">
        <x:v>Non affecté</x:v>
      </x:c>
      <x:c r="I612" t="str">
        <x:v>Livrable explicite, tests positifs et négatifs ; aucune validation déduite de la seule présence de la fiche.</x:v>
      </x:c>
      <x:c r="J612" t="str"/>
    </x:row>
    <x:row r="613">
      <x:c r="A613" t="str">
        <x:v>EXT-MONDE-T061/art</x:v>
      </x:c>
      <x:c r="B613" t="str">
        <x:v>EXT-MONDE-T061</x:v>
      </x:c>
      <x:c r="C613" t="str">
        <x:v>Épuration</x:v>
      </x:c>
      <x:c r="D613" t="str">
        <x:v>Station d’épuration urbaine</x:v>
      </x:c>
      <x:c r="E613" t="str">
        <x:v>Sprites, proportions et animations</x:v>
      </x:c>
      <x:c r="F613" t="str">
        <x:v>P1</x:v>
      </x:c>
      <x:c r="G613" t="str">
        <x:v>À faire</x:v>
      </x:c>
      <x:c r="H613" t="str">
        <x:v>Non affecté</x:v>
      </x:c>
      <x:c r="I613" t="str">
        <x:v>Livrable explicite, tests positifs et négatifs ; aucune validation déduite de la seule présence de la fiche.</x:v>
      </x:c>
      <x:c r="J613" t="str"/>
    </x:row>
    <x:row r="614">
      <x:c r="A614" t="str">
        <x:v>EXT-MONDE-T061/sauvegarde</x:v>
      </x:c>
      <x:c r="B614" t="str">
        <x:v>EXT-MONDE-T061</x:v>
      </x:c>
      <x:c r="C614" t="str">
        <x:v>Épuration</x:v>
      </x:c>
      <x:c r="D614" t="str">
        <x:v>Station d’épuration urbaine</x:v>
      </x:c>
      <x:c r="E614" t="str">
        <x:v>Identités, migration et reprise</x:v>
      </x:c>
      <x:c r="F614" t="str">
        <x:v>P1</x:v>
      </x:c>
      <x:c r="G614" t="str">
        <x:v>En cours</x:v>
      </x:c>
      <x:c r="H614" t="str">
        <x:v>Production Codex</x:v>
      </x:c>
      <x:c r="I614" t="str">
        <x:v>Livrable explicite, tests positifs et négatifs ; aucune validation déduite de la seule présence de la fiche.</x:v>
      </x:c>
      <x:c r="J614" t="str">
        <x:v>https://github.com/darknigthmare/deadwall-last-enclosure/blob/1b3b9c5ba232734b1bda3453b4e20a0481bcdd74/docs/codex/suivi-monde2026/INSPECTION_PHYSIQUE_2026.md</x:v>
      </x:c>
    </x:row>
    <x:row r="615">
      <x:c r="A615" t="str">
        <x:v>EXT-MONDE-T061/qa</x:v>
      </x:c>
      <x:c r="B615" t="str">
        <x:v>EXT-MONDE-T061</x:v>
      </x:c>
      <x:c r="C615" t="str">
        <x:v>Épuration</x:v>
      </x:c>
      <x:c r="D615" t="str">
        <x:v>Station d’épuration urbaine</x:v>
      </x:c>
      <x:c r="E615" t="str">
        <x:v>Navigation et parcours jouables</x:v>
      </x:c>
      <x:c r="F615" t="str">
        <x:v>P1</x:v>
      </x:c>
      <x:c r="G615" t="str">
        <x:v>En cours</x:v>
      </x:c>
      <x:c r="H615" t="str">
        <x:v>Production Codex</x:v>
      </x:c>
      <x:c r="I615" t="str">
        <x:v>Livrable explicite, tests positifs et négatifs ; aucune validation déduite de la seule présence de la fiche.</x:v>
      </x:c>
      <x:c r="J615" t="str">
        <x:v>https://github.com/darknigthmare/deadwall-last-enclosure/blob/1b3b9c5ba232734b1bda3453b4e20a0481bcdd74/docs/codex/suivi-monde2026/INSPECTION_PHYSIQUE_2026.md</x:v>
      </x:c>
    </x:row>
    <x:row r="616">
      <x:c r="A616" t="str">
        <x:v>EXT-MONDE-T062/dimensions</x:v>
      </x:c>
      <x:c r="B616" t="str">
        <x:v>EXT-MONDE-T062</x:v>
      </x:c>
      <x:c r="C616" t="str">
        <x:v>Épuration</x:v>
      </x:c>
      <x:c r="D616" t="str">
        <x:v>Station de lagunage</x:v>
      </x:c>
      <x:c r="E616" t="str">
        <x:v>Dimensions et plans de référence</x:v>
      </x:c>
      <x:c r="F616" t="str">
        <x:v>P0</x:v>
      </x:c>
      <x:c r="G616" t="str">
        <x:v>En cours</x:v>
      </x:c>
      <x:c r="H616" t="str">
        <x:v>Production Codex</x:v>
      </x:c>
      <x:c r="I616" t="str">
        <x:v>Sources publiques identifiées ; unités en mètres ; emprise au sol distincte de la hauteur.</x:v>
      </x:c>
      <x:c r="J616" t="str">
        <x:v>https://github.com/darknigthmare/deadwall-last-enclosure/blob/1b3b9c5ba232734b1bda3453b4e20a0481bcdd74/docs/codex/suivi-monde2026/EAU_ENERGIE_2026.md</x:v>
      </x:c>
    </x:row>
    <x:row r="617">
      <x:c r="A617" t="str">
        <x:v>EXT-MONDE-T062/architecture</x:v>
      </x:c>
      <x:c r="B617" t="str">
        <x:v>EXT-MONDE-T062</x:v>
      </x:c>
      <x:c r="C617" t="str">
        <x:v>Épuration</x:v>
      </x:c>
      <x:c r="D617" t="str">
        <x:v>Station de lagunage</x:v>
      </x:c>
      <x:c r="E617" t="str">
        <x:v>Pièces, étages, annexes</x:v>
      </x:c>
      <x:c r="F617" t="str">
        <x:v>P0</x:v>
      </x:c>
      <x:c r="G617" t="str">
        <x:v>En cours</x:v>
      </x:c>
      <x:c r="H617" t="str">
        <x:v>Production Codex</x:v>
      </x:c>
      <x:c r="I617" t="str">
        <x:v>Livrable explicite, tests positifs et négatifs ; aucune validation déduite de la seule présence de la fiche.</x:v>
      </x:c>
      <x:c r="J617" t="str">
        <x:v>https://github.com/darknigthmare/deadwall-last-enclosure/blob/1b3b9c5ba232734b1bda3453b4e20a0481bcdd74/docs/codex/suivi-monde2026/INSPECTION_PHYSIQUE_2026.md</x:v>
      </x:c>
    </x:row>
    <x:row r="618">
      <x:c r="A618" t="str">
        <x:v>EXT-MONDE-T062/seed</x:v>
      </x:c>
      <x:c r="B618" t="str">
        <x:v>EXT-MONDE-T062</x:v>
      </x:c>
      <x:c r="C618" t="str">
        <x:v>Épuration</x:v>
      </x:c>
      <x:c r="D618" t="str">
        <x:v>Station de lagunage</x:v>
      </x:c>
      <x:c r="E618" t="str">
        <x:v>Implantation et réseaux</x:v>
      </x:c>
      <x:c r="F618" t="str">
        <x:v>P0</x:v>
      </x:c>
      <x:c r="G618" t="str">
        <x:v>À faire</x:v>
      </x:c>
      <x:c r="H618" t="str">
        <x:v>Non affecté</x:v>
      </x:c>
      <x:c r="I618" t="str">
        <x:v>Eau potable et eaux usées séparées ; entrée et exutoire cohérents ; bassins non traversables.</x:v>
      </x:c>
      <x:c r="J618" t="str"/>
    </x:row>
    <x:row r="619">
      <x:c r="A619" t="str">
        <x:v>EXT-MONDE-T062/props</x:v>
      </x:c>
      <x:c r="B619" t="str">
        <x:v>EXT-MONDE-T062</x:v>
      </x:c>
      <x:c r="C619" t="str">
        <x:v>Épuration</x:v>
      </x:c>
      <x:c r="D619" t="str">
        <x:v>Station de lagunage</x:v>
      </x:c>
      <x:c r="E619" t="str">
        <x:v>Objets, décors et dégagements</x:v>
      </x:c>
      <x:c r="F619" t="str">
        <x:v>P1</x:v>
      </x:c>
      <x:c r="G619" t="str">
        <x:v>En cours</x:v>
      </x:c>
      <x:c r="H619" t="str">
        <x:v>Production Codex</x:v>
      </x:c>
      <x:c r="I619" t="str">
        <x:v>Livrable explicite, tests positifs et négatifs ; aucune validation déduite de la seule présence de la fiche.</x:v>
      </x:c>
      <x:c r="J619" t="str">
        <x:v>https://github.com/darknigthmare/deadwall-last-enclosure/blob/1b3b9c5ba232734b1bda3453b4e20a0481bcdd74/docs/codex/suivi-monde2026/INSPECTION_PHYSIQUE_2026.md</x:v>
      </x:c>
    </x:row>
    <x:row r="620">
      <x:c r="A620" t="str">
        <x:v>EXT-MONDE-T062/loot</x:v>
      </x:c>
      <x:c r="B620" t="str">
        <x:v>EXT-MONDE-T062</x:v>
      </x:c>
      <x:c r="C620" t="str">
        <x:v>Épuration</x:v>
      </x:c>
      <x:c r="D620" t="str">
        <x:v>Station de lagunage</x:v>
      </x:c>
      <x:c r="E620" t="str">
        <x:v>Budget de butin persistant</x:v>
      </x:c>
      <x:c r="F620" t="str">
        <x:v>P1</x:v>
      </x:c>
      <x:c r="G620" t="str">
        <x:v>À faire</x:v>
      </x:c>
      <x:c r="H620" t="str">
        <x:v>Non affecté</x:v>
      </x:c>
      <x:c r="I620" t="str">
        <x:v>Livrable explicite, tests positifs et négatifs ; aucune validation déduite de la seule présence de la fiche.</x:v>
      </x:c>
      <x:c r="J620" t="str"/>
    </x:row>
    <x:row r="621">
      <x:c r="A621" t="str">
        <x:v>EXT-MONDE-T062/rencontres</x:v>
      </x:c>
      <x:c r="B621" t="str">
        <x:v>EXT-MONDE-T062</x:v>
      </x:c>
      <x:c r="C621" t="str">
        <x:v>Épuration</x:v>
      </x:c>
      <x:c r="D621" t="str">
        <x:v>Station de lagunage</x:v>
      </x:c>
      <x:c r="E621" t="str">
        <x:v>Ennemis et faune contextualisés</x:v>
      </x:c>
      <x:c r="F621" t="str">
        <x:v>P1</x:v>
      </x:c>
      <x:c r="G621" t="str">
        <x:v>À faire</x:v>
      </x:c>
      <x:c r="H621" t="str">
        <x:v>Non affecté</x:v>
      </x:c>
      <x:c r="I621" t="str">
        <x:v>Livrable explicite, tests positifs et négatifs ; aucune validation déduite de la seule présence de la fiche.</x:v>
      </x:c>
      <x:c r="J621" t="str"/>
    </x:row>
    <x:row r="622">
      <x:c r="A622" t="str">
        <x:v>EXT-MONDE-T062/services</x:v>
      </x:c>
      <x:c r="B622" t="str">
        <x:v>EXT-MONDE-T062</x:v>
      </x:c>
      <x:c r="C622" t="str">
        <x:v>Épuration</x:v>
      </x:c>
      <x:c r="D622" t="str">
        <x:v>Station de lagunage</x:v>
      </x:c>
      <x:c r="E622" t="str">
        <x:v>Énergie, eau et interactions</x:v>
      </x:c>
      <x:c r="F622" t="str">
        <x:v>P1</x:v>
      </x:c>
      <x:c r="G622" t="str">
        <x:v>À faire</x:v>
      </x:c>
      <x:c r="H622" t="str">
        <x:v>Non affecté</x:v>
      </x:c>
      <x:c r="I622" t="str">
        <x:v>Livrable explicite, tests positifs et négatifs ; aucune validation déduite de la seule présence de la fiche.</x:v>
      </x:c>
      <x:c r="J622" t="str"/>
    </x:row>
    <x:row r="623">
      <x:c r="A623" t="str">
        <x:v>EXT-MONDE-T062/art</x:v>
      </x:c>
      <x:c r="B623" t="str">
        <x:v>EXT-MONDE-T062</x:v>
      </x:c>
      <x:c r="C623" t="str">
        <x:v>Épuration</x:v>
      </x:c>
      <x:c r="D623" t="str">
        <x:v>Station de lagunage</x:v>
      </x:c>
      <x:c r="E623" t="str">
        <x:v>Sprites, proportions et animations</x:v>
      </x:c>
      <x:c r="F623" t="str">
        <x:v>P1</x:v>
      </x:c>
      <x:c r="G623" t="str">
        <x:v>À faire</x:v>
      </x:c>
      <x:c r="H623" t="str">
        <x:v>Non affecté</x:v>
      </x:c>
      <x:c r="I623" t="str">
        <x:v>Livrable explicite, tests positifs et négatifs ; aucune validation déduite de la seule présence de la fiche.</x:v>
      </x:c>
      <x:c r="J623" t="str"/>
    </x:row>
    <x:row r="624">
      <x:c r="A624" t="str">
        <x:v>EXT-MONDE-T062/sauvegarde</x:v>
      </x:c>
      <x:c r="B624" t="str">
        <x:v>EXT-MONDE-T062</x:v>
      </x:c>
      <x:c r="C624" t="str">
        <x:v>Épuration</x:v>
      </x:c>
      <x:c r="D624" t="str">
        <x:v>Station de lagunage</x:v>
      </x:c>
      <x:c r="E624" t="str">
        <x:v>Identités, migration et reprise</x:v>
      </x:c>
      <x:c r="F624" t="str">
        <x:v>P1</x:v>
      </x:c>
      <x:c r="G624" t="str">
        <x:v>En cours</x:v>
      </x:c>
      <x:c r="H624" t="str">
        <x:v>Production Codex</x:v>
      </x:c>
      <x:c r="I624" t="str">
        <x:v>Livrable explicite, tests positifs et négatifs ; aucune validation déduite de la seule présence de la fiche.</x:v>
      </x:c>
      <x:c r="J624" t="str">
        <x:v>https://github.com/darknigthmare/deadwall-last-enclosure/blob/1b3b9c5ba232734b1bda3453b4e20a0481bcdd74/docs/codex/suivi-monde2026/INSPECTION_PHYSIQUE_2026.md</x:v>
      </x:c>
    </x:row>
    <x:row r="625">
      <x:c r="A625" t="str">
        <x:v>EXT-MONDE-T062/qa</x:v>
      </x:c>
      <x:c r="B625" t="str">
        <x:v>EXT-MONDE-T062</x:v>
      </x:c>
      <x:c r="C625" t="str">
        <x:v>Épuration</x:v>
      </x:c>
      <x:c r="D625" t="str">
        <x:v>Station de lagunage</x:v>
      </x:c>
      <x:c r="E625" t="str">
        <x:v>Navigation et parcours jouables</x:v>
      </x:c>
      <x:c r="F625" t="str">
        <x:v>P1</x:v>
      </x:c>
      <x:c r="G625" t="str">
        <x:v>En cours</x:v>
      </x:c>
      <x:c r="H625" t="str">
        <x:v>Production Codex</x:v>
      </x:c>
      <x:c r="I625" t="str">
        <x:v>Livrable explicite, tests positifs et négatifs ; aucune validation déduite de la seule présence de la fiche.</x:v>
      </x:c>
      <x:c r="J625" t="str">
        <x:v>https://github.com/darknigthmare/deadwall-last-enclosure/blob/1b3b9c5ba232734b1bda3453b4e20a0481bcdd74/docs/codex/suivi-monde2026/INSPECTION_PHYSIQUE_2026.md</x:v>
      </x:c>
    </x:row>
    <x:row r="626">
      <x:c r="A626" t="str">
        <x:v>EXT-MONDE-T063/dimensions</x:v>
      </x:c>
      <x:c r="B626" t="str">
        <x:v>EXT-MONDE-T063</x:v>
      </x:c>
      <x:c r="C626" t="str">
        <x:v>Épuration</x:v>
      </x:c>
      <x:c r="D626" t="str">
        <x:v>Traitement des eaux industrielles</x:v>
      </x:c>
      <x:c r="E626" t="str">
        <x:v>Dimensions et plans de référence</x:v>
      </x:c>
      <x:c r="F626" t="str">
        <x:v>P0</x:v>
      </x:c>
      <x:c r="G626" t="str">
        <x:v>En cours</x:v>
      </x:c>
      <x:c r="H626" t="str">
        <x:v>Production Codex</x:v>
      </x:c>
      <x:c r="I626" t="str">
        <x:v>Sources publiques identifiées ; unités en mètres ; emprise au sol distincte de la hauteur.</x:v>
      </x:c>
      <x:c r="J626" t="str">
        <x:v>https://github.com/darknigthmare/deadwall-last-enclosure/blob/1b3b9c5ba232734b1bda3453b4e20a0481bcdd74/docs/codex/suivi-monde2026/EAU_ENERGIE_2026.md</x:v>
      </x:c>
    </x:row>
    <x:row r="627">
      <x:c r="A627" t="str">
        <x:v>EXT-MONDE-T063/architecture</x:v>
      </x:c>
      <x:c r="B627" t="str">
        <x:v>EXT-MONDE-T063</x:v>
      </x:c>
      <x:c r="C627" t="str">
        <x:v>Épuration</x:v>
      </x:c>
      <x:c r="D627" t="str">
        <x:v>Traitement des eaux industrielles</x:v>
      </x:c>
      <x:c r="E627" t="str">
        <x:v>Pièces, étages, annexes</x:v>
      </x:c>
      <x:c r="F627" t="str">
        <x:v>P0</x:v>
      </x:c>
      <x:c r="G627" t="str">
        <x:v>En cours</x:v>
      </x:c>
      <x:c r="H627" t="str">
        <x:v>Production Codex</x:v>
      </x:c>
      <x:c r="I627" t="str">
        <x:v>Livrable explicite, tests positifs et négatifs ; aucune validation déduite de la seule présence de la fiche.</x:v>
      </x:c>
      <x:c r="J627" t="str">
        <x:v>https://github.com/darknigthmare/deadwall-last-enclosure/blob/1b3b9c5ba232734b1bda3453b4e20a0481bcdd74/docs/codex/suivi-monde2026/INSPECTION_PHYSIQUE_2026.md</x:v>
      </x:c>
    </x:row>
    <x:row r="628">
      <x:c r="A628" t="str">
        <x:v>EXT-MONDE-T063/seed</x:v>
      </x:c>
      <x:c r="B628" t="str">
        <x:v>EXT-MONDE-T063</x:v>
      </x:c>
      <x:c r="C628" t="str">
        <x:v>Épuration</x:v>
      </x:c>
      <x:c r="D628" t="str">
        <x:v>Traitement des eaux industrielles</x:v>
      </x:c>
      <x:c r="E628" t="str">
        <x:v>Implantation et réseaux</x:v>
      </x:c>
      <x:c r="F628" t="str">
        <x:v>P0</x:v>
      </x:c>
      <x:c r="G628" t="str">
        <x:v>À faire</x:v>
      </x:c>
      <x:c r="H628" t="str">
        <x:v>Non affecté</x:v>
      </x:c>
      <x:c r="I628" t="str">
        <x:v>Eau potable et eaux usées séparées ; entrée et exutoire cohérents ; bassins non traversables.</x:v>
      </x:c>
      <x:c r="J628" t="str"/>
    </x:row>
    <x:row r="629">
      <x:c r="A629" t="str">
        <x:v>EXT-MONDE-T063/props</x:v>
      </x:c>
      <x:c r="B629" t="str">
        <x:v>EXT-MONDE-T063</x:v>
      </x:c>
      <x:c r="C629" t="str">
        <x:v>Épuration</x:v>
      </x:c>
      <x:c r="D629" t="str">
        <x:v>Traitement des eaux industrielles</x:v>
      </x:c>
      <x:c r="E629" t="str">
        <x:v>Objets, décors et dégagements</x:v>
      </x:c>
      <x:c r="F629" t="str">
        <x:v>P1</x:v>
      </x:c>
      <x:c r="G629" t="str">
        <x:v>En cours</x:v>
      </x:c>
      <x:c r="H629" t="str">
        <x:v>Production Codex</x:v>
      </x:c>
      <x:c r="I629" t="str">
        <x:v>Livrable explicite, tests positifs et négatifs ; aucune validation déduite de la seule présence de la fiche.</x:v>
      </x:c>
      <x:c r="J629" t="str">
        <x:v>https://github.com/darknigthmare/deadwall-last-enclosure/blob/1b3b9c5ba232734b1bda3453b4e20a0481bcdd74/docs/codex/suivi-monde2026/INSPECTION_PHYSIQUE_2026.md</x:v>
      </x:c>
    </x:row>
    <x:row r="630">
      <x:c r="A630" t="str">
        <x:v>EXT-MONDE-T063/loot</x:v>
      </x:c>
      <x:c r="B630" t="str">
        <x:v>EXT-MONDE-T063</x:v>
      </x:c>
      <x:c r="C630" t="str">
        <x:v>Épuration</x:v>
      </x:c>
      <x:c r="D630" t="str">
        <x:v>Traitement des eaux industrielles</x:v>
      </x:c>
      <x:c r="E630" t="str">
        <x:v>Budget de butin persistant</x:v>
      </x:c>
      <x:c r="F630" t="str">
        <x:v>P1</x:v>
      </x:c>
      <x:c r="G630" t="str">
        <x:v>À faire</x:v>
      </x:c>
      <x:c r="H630" t="str">
        <x:v>Non affecté</x:v>
      </x:c>
      <x:c r="I630" t="str">
        <x:v>Livrable explicite, tests positifs et négatifs ; aucune validation déduite de la seule présence de la fiche.</x:v>
      </x:c>
      <x:c r="J630" t="str"/>
    </x:row>
    <x:row r="631">
      <x:c r="A631" t="str">
        <x:v>EXT-MONDE-T063/rencontres</x:v>
      </x:c>
      <x:c r="B631" t="str">
        <x:v>EXT-MONDE-T063</x:v>
      </x:c>
      <x:c r="C631" t="str">
        <x:v>Épuration</x:v>
      </x:c>
      <x:c r="D631" t="str">
        <x:v>Traitement des eaux industrielles</x:v>
      </x:c>
      <x:c r="E631" t="str">
        <x:v>Ennemis et faune contextualisés</x:v>
      </x:c>
      <x:c r="F631" t="str">
        <x:v>P1</x:v>
      </x:c>
      <x:c r="G631" t="str">
        <x:v>À faire</x:v>
      </x:c>
      <x:c r="H631" t="str">
        <x:v>Non affecté</x:v>
      </x:c>
      <x:c r="I631" t="str">
        <x:v>Livrable explicite, tests positifs et négatifs ; aucune validation déduite de la seule présence de la fiche.</x:v>
      </x:c>
      <x:c r="J631" t="str"/>
    </x:row>
    <x:row r="632">
      <x:c r="A632" t="str">
        <x:v>EXT-MONDE-T063/services</x:v>
      </x:c>
      <x:c r="B632" t="str">
        <x:v>EXT-MONDE-T063</x:v>
      </x:c>
      <x:c r="C632" t="str">
        <x:v>Épuration</x:v>
      </x:c>
      <x:c r="D632" t="str">
        <x:v>Traitement des eaux industrielles</x:v>
      </x:c>
      <x:c r="E632" t="str">
        <x:v>Énergie, eau et interactions</x:v>
      </x:c>
      <x:c r="F632" t="str">
        <x:v>P1</x:v>
      </x:c>
      <x:c r="G632" t="str">
        <x:v>À faire</x:v>
      </x:c>
      <x:c r="H632" t="str">
        <x:v>Non affecté</x:v>
      </x:c>
      <x:c r="I632" t="str">
        <x:v>Livrable explicite, tests positifs et négatifs ; aucune validation déduite de la seule présence de la fiche.</x:v>
      </x:c>
      <x:c r="J632" t="str"/>
    </x:row>
    <x:row r="633">
      <x:c r="A633" t="str">
        <x:v>EXT-MONDE-T063/art</x:v>
      </x:c>
      <x:c r="B633" t="str">
        <x:v>EXT-MONDE-T063</x:v>
      </x:c>
      <x:c r="C633" t="str">
        <x:v>Épuration</x:v>
      </x:c>
      <x:c r="D633" t="str">
        <x:v>Traitement des eaux industrielles</x:v>
      </x:c>
      <x:c r="E633" t="str">
        <x:v>Sprites, proportions et animations</x:v>
      </x:c>
      <x:c r="F633" t="str">
        <x:v>P1</x:v>
      </x:c>
      <x:c r="G633" t="str">
        <x:v>À faire</x:v>
      </x:c>
      <x:c r="H633" t="str">
        <x:v>Non affecté</x:v>
      </x:c>
      <x:c r="I633" t="str">
        <x:v>Livrable explicite, tests positifs et négatifs ; aucune validation déduite de la seule présence de la fiche.</x:v>
      </x:c>
      <x:c r="J633" t="str"/>
    </x:row>
    <x:row r="634">
      <x:c r="A634" t="str">
        <x:v>EXT-MONDE-T063/sauvegarde</x:v>
      </x:c>
      <x:c r="B634" t="str">
        <x:v>EXT-MONDE-T063</x:v>
      </x:c>
      <x:c r="C634" t="str">
        <x:v>Épuration</x:v>
      </x:c>
      <x:c r="D634" t="str">
        <x:v>Traitement des eaux industrielles</x:v>
      </x:c>
      <x:c r="E634" t="str">
        <x:v>Identités, migration et reprise</x:v>
      </x:c>
      <x:c r="F634" t="str">
        <x:v>P1</x:v>
      </x:c>
      <x:c r="G634" t="str">
        <x:v>En cours</x:v>
      </x:c>
      <x:c r="H634" t="str">
        <x:v>Production Codex</x:v>
      </x:c>
      <x:c r="I634" t="str">
        <x:v>Livrable explicite, tests positifs et négatifs ; aucune validation déduite de la seule présence de la fiche.</x:v>
      </x:c>
      <x:c r="J634" t="str">
        <x:v>https://github.com/darknigthmare/deadwall-last-enclosure/blob/1b3b9c5ba232734b1bda3453b4e20a0481bcdd74/docs/codex/suivi-monde2026/INSPECTION_PHYSIQUE_2026.md</x:v>
      </x:c>
    </x:row>
    <x:row r="635">
      <x:c r="A635" t="str">
        <x:v>EXT-MONDE-T063/qa</x:v>
      </x:c>
      <x:c r="B635" t="str">
        <x:v>EXT-MONDE-T063</x:v>
      </x:c>
      <x:c r="C635" t="str">
        <x:v>Épuration</x:v>
      </x:c>
      <x:c r="D635" t="str">
        <x:v>Traitement des eaux industrielles</x:v>
      </x:c>
      <x:c r="E635" t="str">
        <x:v>Navigation et parcours jouables</x:v>
      </x:c>
      <x:c r="F635" t="str">
        <x:v>P1</x:v>
      </x:c>
      <x:c r="G635" t="str">
        <x:v>En cours</x:v>
      </x:c>
      <x:c r="H635" t="str">
        <x:v>Production Codex</x:v>
      </x:c>
      <x:c r="I635" t="str">
        <x:v>Livrable explicite, tests positifs et négatifs ; aucune validation déduite de la seule présence de la fiche.</x:v>
      </x:c>
      <x:c r="J635" t="str">
        <x:v>https://github.com/darknigthmare/deadwall-last-enclosure/blob/1b3b9c5ba232734b1bda3453b4e20a0481bcdd74/docs/codex/suivi-monde2026/INSPECTION_PHYSIQUE_2026.md</x:v>
      </x:c>
    </x:row>
    <x:row r="636">
      <x:c r="A636" t="str">
        <x:v>EXT-MONDE-T064/dimensions</x:v>
      </x:c>
      <x:c r="B636" t="str">
        <x:v>EXT-MONDE-T064</x:v>
      </x:c>
      <x:c r="C636" t="str">
        <x:v>Épuration</x:v>
      </x:c>
      <x:c r="D636" t="str">
        <x:v>Usine de potabilisation</x:v>
      </x:c>
      <x:c r="E636" t="str">
        <x:v>Dimensions et plans de référence</x:v>
      </x:c>
      <x:c r="F636" t="str">
        <x:v>P0</x:v>
      </x:c>
      <x:c r="G636" t="str">
        <x:v>En cours</x:v>
      </x:c>
      <x:c r="H636" t="str">
        <x:v>Production Codex</x:v>
      </x:c>
      <x:c r="I636" t="str">
        <x:v>Sources publiques identifiées ; unités en mètres ; emprise au sol distincte de la hauteur.</x:v>
      </x:c>
      <x:c r="J636" t="str">
        <x:v>https://github.com/darknigthmare/deadwall-last-enclosure/blob/1b3b9c5ba232734b1bda3453b4e20a0481bcdd74/docs/codex/suivi-monde2026/EAU_ENERGIE_2026.md</x:v>
      </x:c>
    </x:row>
    <x:row r="637">
      <x:c r="A637" t="str">
        <x:v>EXT-MONDE-T064/architecture</x:v>
      </x:c>
      <x:c r="B637" t="str">
        <x:v>EXT-MONDE-T064</x:v>
      </x:c>
      <x:c r="C637" t="str">
        <x:v>Épuration</x:v>
      </x:c>
      <x:c r="D637" t="str">
        <x:v>Usine de potabilisation</x:v>
      </x:c>
      <x:c r="E637" t="str">
        <x:v>Pièces, étages, annexes</x:v>
      </x:c>
      <x:c r="F637" t="str">
        <x:v>P0</x:v>
      </x:c>
      <x:c r="G637" t="str">
        <x:v>En cours</x:v>
      </x:c>
      <x:c r="H637" t="str">
        <x:v>Production Codex</x:v>
      </x:c>
      <x:c r="I637" t="str">
        <x:v>Livrable explicite, tests positifs et négatifs ; aucune validation déduite de la seule présence de la fiche.</x:v>
      </x:c>
      <x:c r="J637" t="str">
        <x:v>https://github.com/darknigthmare/deadwall-last-enclosure/blob/1b3b9c5ba232734b1bda3453b4e20a0481bcdd74/docs/codex/suivi-monde2026/INSPECTION_PHYSIQUE_2026.md</x:v>
      </x:c>
    </x:row>
    <x:row r="638">
      <x:c r="A638" t="str">
        <x:v>EXT-MONDE-T064/seed</x:v>
      </x:c>
      <x:c r="B638" t="str">
        <x:v>EXT-MONDE-T064</x:v>
      </x:c>
      <x:c r="C638" t="str">
        <x:v>Épuration</x:v>
      </x:c>
      <x:c r="D638" t="str">
        <x:v>Usine de potabilisation</x:v>
      </x:c>
      <x:c r="E638" t="str">
        <x:v>Implantation et réseaux</x:v>
      </x:c>
      <x:c r="F638" t="str">
        <x:v>P0</x:v>
      </x:c>
      <x:c r="G638" t="str">
        <x:v>À faire</x:v>
      </x:c>
      <x:c r="H638" t="str">
        <x:v>Non affecté</x:v>
      </x:c>
      <x:c r="I638" t="str">
        <x:v>Eau potable et eaux usées séparées ; entrée et exutoire cohérents ; bassins non traversables.</x:v>
      </x:c>
      <x:c r="J638" t="str"/>
    </x:row>
    <x:row r="639">
      <x:c r="A639" t="str">
        <x:v>EXT-MONDE-T064/props</x:v>
      </x:c>
      <x:c r="B639" t="str">
        <x:v>EXT-MONDE-T064</x:v>
      </x:c>
      <x:c r="C639" t="str">
        <x:v>Épuration</x:v>
      </x:c>
      <x:c r="D639" t="str">
        <x:v>Usine de potabilisation</x:v>
      </x:c>
      <x:c r="E639" t="str">
        <x:v>Objets, décors et dégagements</x:v>
      </x:c>
      <x:c r="F639" t="str">
        <x:v>P1</x:v>
      </x:c>
      <x:c r="G639" t="str">
        <x:v>En cours</x:v>
      </x:c>
      <x:c r="H639" t="str">
        <x:v>Production Codex</x:v>
      </x:c>
      <x:c r="I639" t="str">
        <x:v>Livrable explicite, tests positifs et négatifs ; aucune validation déduite de la seule présence de la fiche.</x:v>
      </x:c>
      <x:c r="J639" t="str">
        <x:v>https://github.com/darknigthmare/deadwall-last-enclosure/blob/1b3b9c5ba232734b1bda3453b4e20a0481bcdd74/docs/codex/suivi-monde2026/INSPECTION_PHYSIQUE_2026.md</x:v>
      </x:c>
    </x:row>
    <x:row r="640">
      <x:c r="A640" t="str">
        <x:v>EXT-MONDE-T064/loot</x:v>
      </x:c>
      <x:c r="B640" t="str">
        <x:v>EXT-MONDE-T064</x:v>
      </x:c>
      <x:c r="C640" t="str">
        <x:v>Épuration</x:v>
      </x:c>
      <x:c r="D640" t="str">
        <x:v>Usine de potabilisation</x:v>
      </x:c>
      <x:c r="E640" t="str">
        <x:v>Budget de butin persistant</x:v>
      </x:c>
      <x:c r="F640" t="str">
        <x:v>P1</x:v>
      </x:c>
      <x:c r="G640" t="str">
        <x:v>À faire</x:v>
      </x:c>
      <x:c r="H640" t="str">
        <x:v>Non affecté</x:v>
      </x:c>
      <x:c r="I640" t="str">
        <x:v>Livrable explicite, tests positifs et négatifs ; aucune validation déduite de la seule présence de la fiche.</x:v>
      </x:c>
      <x:c r="J640" t="str"/>
    </x:row>
    <x:row r="641">
      <x:c r="A641" t="str">
        <x:v>EXT-MONDE-T064/rencontres</x:v>
      </x:c>
      <x:c r="B641" t="str">
        <x:v>EXT-MONDE-T064</x:v>
      </x:c>
      <x:c r="C641" t="str">
        <x:v>Épuration</x:v>
      </x:c>
      <x:c r="D641" t="str">
        <x:v>Usine de potabilisation</x:v>
      </x:c>
      <x:c r="E641" t="str">
        <x:v>Ennemis et faune contextualisés</x:v>
      </x:c>
      <x:c r="F641" t="str">
        <x:v>P1</x:v>
      </x:c>
      <x:c r="G641" t="str">
        <x:v>À faire</x:v>
      </x:c>
      <x:c r="H641" t="str">
        <x:v>Non affecté</x:v>
      </x:c>
      <x:c r="I641" t="str">
        <x:v>Livrable explicite, tests positifs et négatifs ; aucune validation déduite de la seule présence de la fiche.</x:v>
      </x:c>
      <x:c r="J641" t="str"/>
    </x:row>
    <x:row r="642">
      <x:c r="A642" t="str">
        <x:v>EXT-MONDE-T064/services</x:v>
      </x:c>
      <x:c r="B642" t="str">
        <x:v>EXT-MONDE-T064</x:v>
      </x:c>
      <x:c r="C642" t="str">
        <x:v>Épuration</x:v>
      </x:c>
      <x:c r="D642" t="str">
        <x:v>Usine de potabilisation</x:v>
      </x:c>
      <x:c r="E642" t="str">
        <x:v>Énergie, eau et interactions</x:v>
      </x:c>
      <x:c r="F642" t="str">
        <x:v>P1</x:v>
      </x:c>
      <x:c r="G642" t="str">
        <x:v>À faire</x:v>
      </x:c>
      <x:c r="H642" t="str">
        <x:v>Non affecté</x:v>
      </x:c>
      <x:c r="I642" t="str">
        <x:v>Livrable explicite, tests positifs et négatifs ; aucune validation déduite de la seule présence de la fiche.</x:v>
      </x:c>
      <x:c r="J642" t="str"/>
    </x:row>
    <x:row r="643">
      <x:c r="A643" t="str">
        <x:v>EXT-MONDE-T064/art</x:v>
      </x:c>
      <x:c r="B643" t="str">
        <x:v>EXT-MONDE-T064</x:v>
      </x:c>
      <x:c r="C643" t="str">
        <x:v>Épuration</x:v>
      </x:c>
      <x:c r="D643" t="str">
        <x:v>Usine de potabilisation</x:v>
      </x:c>
      <x:c r="E643" t="str">
        <x:v>Sprites, proportions et animations</x:v>
      </x:c>
      <x:c r="F643" t="str">
        <x:v>P1</x:v>
      </x:c>
      <x:c r="G643" t="str">
        <x:v>À faire</x:v>
      </x:c>
      <x:c r="H643" t="str">
        <x:v>Non affecté</x:v>
      </x:c>
      <x:c r="I643" t="str">
        <x:v>Livrable explicite, tests positifs et négatifs ; aucune validation déduite de la seule présence de la fiche.</x:v>
      </x:c>
      <x:c r="J643" t="str"/>
    </x:row>
    <x:row r="644">
      <x:c r="A644" t="str">
        <x:v>EXT-MONDE-T064/sauvegarde</x:v>
      </x:c>
      <x:c r="B644" t="str">
        <x:v>EXT-MONDE-T064</x:v>
      </x:c>
      <x:c r="C644" t="str">
        <x:v>Épuration</x:v>
      </x:c>
      <x:c r="D644" t="str">
        <x:v>Usine de potabilisation</x:v>
      </x:c>
      <x:c r="E644" t="str">
        <x:v>Identités, migration et reprise</x:v>
      </x:c>
      <x:c r="F644" t="str">
        <x:v>P1</x:v>
      </x:c>
      <x:c r="G644" t="str">
        <x:v>En cours</x:v>
      </x:c>
      <x:c r="H644" t="str">
        <x:v>Production Codex</x:v>
      </x:c>
      <x:c r="I644" t="str">
        <x:v>Livrable explicite, tests positifs et négatifs ; aucune validation déduite de la seule présence de la fiche.</x:v>
      </x:c>
      <x:c r="J644" t="str">
        <x:v>https://github.com/darknigthmare/deadwall-last-enclosure/blob/1b3b9c5ba232734b1bda3453b4e20a0481bcdd74/docs/codex/suivi-monde2026/INSPECTION_PHYSIQUE_2026.md</x:v>
      </x:c>
    </x:row>
    <x:row r="645">
      <x:c r="A645" t="str">
        <x:v>EXT-MONDE-T064/qa</x:v>
      </x:c>
      <x:c r="B645" t="str">
        <x:v>EXT-MONDE-T064</x:v>
      </x:c>
      <x:c r="C645" t="str">
        <x:v>Épuration</x:v>
      </x:c>
      <x:c r="D645" t="str">
        <x:v>Usine de potabilisation</x:v>
      </x:c>
      <x:c r="E645" t="str">
        <x:v>Navigation et parcours jouables</x:v>
      </x:c>
      <x:c r="F645" t="str">
        <x:v>P1</x:v>
      </x:c>
      <x:c r="G645" t="str">
        <x:v>En cours</x:v>
      </x:c>
      <x:c r="H645" t="str">
        <x:v>Production Codex</x:v>
      </x:c>
      <x:c r="I645" t="str">
        <x:v>Livrable explicite, tests positifs et négatifs ; aucune validation déduite de la seule présence de la fiche.</x:v>
      </x:c>
      <x:c r="J645" t="str">
        <x:v>https://github.com/darknigthmare/deadwall-last-enclosure/blob/1b3b9c5ba232734b1bda3453b4e20a0481bcdd74/docs/codex/suivi-monde2026/INSPECTION_PHYSIQUE_2026.md</x:v>
      </x:c>
    </x:row>
    <x:row r="646">
      <x:c r="A646" t="str">
        <x:v>EXT-MONDE-T065/dimensions</x:v>
      </x:c>
      <x:c r="B646" t="str">
        <x:v>EXT-MONDE-T065</x:v>
      </x:c>
      <x:c r="C646" t="str">
        <x:v>Stades</x:v>
      </x:c>
      <x:c r="D646" t="str">
        <x:v>Stade municipal</x:v>
      </x:c>
      <x:c r="E646" t="str">
        <x:v>Dimensions et plans de référence</x:v>
      </x:c>
      <x:c r="F646" t="str">
        <x:v>P0</x:v>
      </x:c>
      <x:c r="G646" t="str">
        <x:v>Validé</x:v>
      </x:c>
      <x:c r="H646" t="str">
        <x:v>Production Codex</x:v>
      </x:c>
      <x:c r="I646" t="str">
        <x:v>Sources publiques identifiées ; unités en mètres ; emprise au sol distincte de la hauteur.</x:v>
      </x:c>
      <x:c r="J646" t="str">
        <x:v>https://github.com/darknigthmare/deadwall-last-enclosure/blob/1b3b9c5ba232734b1bda3453b4e20a0481bcdd74/docs/codex/suivi-monde2026/FONDATIONS_METRIQUES_2026.md#dimensions-auteur-validees</x:v>
      </x:c>
    </x:row>
    <x:row r="647">
      <x:c r="A647" t="str">
        <x:v>EXT-MONDE-T065/architecture</x:v>
      </x:c>
      <x:c r="B647" t="str">
        <x:v>EXT-MONDE-T065</x:v>
      </x:c>
      <x:c r="C647" t="str">
        <x:v>Stades</x:v>
      </x:c>
      <x:c r="D647" t="str">
        <x:v>Stade municipal</x:v>
      </x:c>
      <x:c r="E647" t="str">
        <x:v>Pièces, étages, annexes</x:v>
      </x:c>
      <x:c r="F647" t="str">
        <x:v>P0</x:v>
      </x:c>
      <x:c r="G647" t="str">
        <x:v>En cours</x:v>
      </x:c>
      <x:c r="H647" t="str">
        <x:v>Production Codex</x:v>
      </x:c>
      <x:c r="I647" t="str">
        <x:v>Livrable explicite, tests positifs et négatifs ; aucune validation déduite de la seule présence de la fiche.</x:v>
      </x:c>
      <x:c r="J647" t="str">
        <x:v>https://github.com/darknigthmare/deadwall-last-enclosure/blob/1b3b9c5ba232734b1bda3453b4e20a0481bcdd74/docs/codex/suivi-monde2026/INSPECTION_PHYSIQUE_2026.md</x:v>
      </x:c>
    </x:row>
    <x:row r="648">
      <x:c r="A648" t="str">
        <x:v>EXT-MONDE-T065/seed</x:v>
      </x:c>
      <x:c r="B648" t="str">
        <x:v>EXT-MONDE-T065</x:v>
      </x:c>
      <x:c r="C648" t="str">
        <x:v>Stades</x:v>
      </x:c>
      <x:c r="D648" t="str">
        <x:v>Stade municipal</x:v>
      </x:c>
      <x:c r="E648" t="str">
        <x:v>Implantation et réseaux</x:v>
      </x:c>
      <x:c r="F648" t="str">
        <x:v>P0</x:v>
      </x:c>
      <x:c r="G648" t="str">
        <x:v>À faire</x:v>
      </x:c>
      <x:c r="H648" t="str">
        <x:v>Non affecté</x:v>
      </x:c>
      <x:c r="I648" t="str">
        <x:v>Anneaux de circulation et sorties ; gradins par niveau ; accès terrain distincts des locaux.</x:v>
      </x:c>
      <x:c r="J648" t="str"/>
    </x:row>
    <x:row r="649">
      <x:c r="A649" t="str">
        <x:v>EXT-MONDE-T065/props</x:v>
      </x:c>
      <x:c r="B649" t="str">
        <x:v>EXT-MONDE-T065</x:v>
      </x:c>
      <x:c r="C649" t="str">
        <x:v>Stades</x:v>
      </x:c>
      <x:c r="D649" t="str">
        <x:v>Stade municipal</x:v>
      </x:c>
      <x:c r="E649" t="str">
        <x:v>Objets, décors et dégagements</x:v>
      </x:c>
      <x:c r="F649" t="str">
        <x:v>P1</x:v>
      </x:c>
      <x:c r="G649" t="str">
        <x:v>En cours</x:v>
      </x:c>
      <x:c r="H649" t="str">
        <x:v>Production Codex</x:v>
      </x:c>
      <x:c r="I649" t="str">
        <x:v>Livrable explicite, tests positifs et négatifs ; aucune validation déduite de la seule présence de la fiche.</x:v>
      </x:c>
      <x:c r="J649" t="str">
        <x:v>https://github.com/darknigthmare/deadwall-last-enclosure/blob/1b3b9c5ba232734b1bda3453b4e20a0481bcdd74/docs/codex/suivi-monde2026/INSPECTION_PHYSIQUE_2026.md</x:v>
      </x:c>
    </x:row>
    <x:row r="650">
      <x:c r="A650" t="str">
        <x:v>EXT-MONDE-T065/loot</x:v>
      </x:c>
      <x:c r="B650" t="str">
        <x:v>EXT-MONDE-T065</x:v>
      </x:c>
      <x:c r="C650" t="str">
        <x:v>Stades</x:v>
      </x:c>
      <x:c r="D650" t="str">
        <x:v>Stade municipal</x:v>
      </x:c>
      <x:c r="E650" t="str">
        <x:v>Budget de butin persistant</x:v>
      </x:c>
      <x:c r="F650" t="str">
        <x:v>P1</x:v>
      </x:c>
      <x:c r="G650" t="str">
        <x:v>À faire</x:v>
      </x:c>
      <x:c r="H650" t="str">
        <x:v>Non affecté</x:v>
      </x:c>
      <x:c r="I650" t="str">
        <x:v>Livrable explicite, tests positifs et négatifs ; aucune validation déduite de la seule présence de la fiche.</x:v>
      </x:c>
      <x:c r="J650" t="str"/>
    </x:row>
    <x:row r="651">
      <x:c r="A651" t="str">
        <x:v>EXT-MONDE-T065/rencontres</x:v>
      </x:c>
      <x:c r="B651" t="str">
        <x:v>EXT-MONDE-T065</x:v>
      </x:c>
      <x:c r="C651" t="str">
        <x:v>Stades</x:v>
      </x:c>
      <x:c r="D651" t="str">
        <x:v>Stade municipal</x:v>
      </x:c>
      <x:c r="E651" t="str">
        <x:v>Ennemis et faune contextualisés</x:v>
      </x:c>
      <x:c r="F651" t="str">
        <x:v>P1</x:v>
      </x:c>
      <x:c r="G651" t="str">
        <x:v>À faire</x:v>
      </x:c>
      <x:c r="H651" t="str">
        <x:v>Non affecté</x:v>
      </x:c>
      <x:c r="I651" t="str">
        <x:v>Livrable explicite, tests positifs et négatifs ; aucune validation déduite de la seule présence de la fiche.</x:v>
      </x:c>
      <x:c r="J651" t="str"/>
    </x:row>
    <x:row r="652">
      <x:c r="A652" t="str">
        <x:v>EXT-MONDE-T065/services</x:v>
      </x:c>
      <x:c r="B652" t="str">
        <x:v>EXT-MONDE-T065</x:v>
      </x:c>
      <x:c r="C652" t="str">
        <x:v>Stades</x:v>
      </x:c>
      <x:c r="D652" t="str">
        <x:v>Stade municipal</x:v>
      </x:c>
      <x:c r="E652" t="str">
        <x:v>Énergie, eau et interactions</x:v>
      </x:c>
      <x:c r="F652" t="str">
        <x:v>P1</x:v>
      </x:c>
      <x:c r="G652" t="str">
        <x:v>À faire</x:v>
      </x:c>
      <x:c r="H652" t="str">
        <x:v>Non affecté</x:v>
      </x:c>
      <x:c r="I652" t="str">
        <x:v>Livrable explicite, tests positifs et négatifs ; aucune validation déduite de la seule présence de la fiche.</x:v>
      </x:c>
      <x:c r="J652" t="str"/>
    </x:row>
    <x:row r="653">
      <x:c r="A653" t="str">
        <x:v>EXT-MONDE-T065/art</x:v>
      </x:c>
      <x:c r="B653" t="str">
        <x:v>EXT-MONDE-T065</x:v>
      </x:c>
      <x:c r="C653" t="str">
        <x:v>Stades</x:v>
      </x:c>
      <x:c r="D653" t="str">
        <x:v>Stade municipal</x:v>
      </x:c>
      <x:c r="E653" t="str">
        <x:v>Sprites, proportions et animations</x:v>
      </x:c>
      <x:c r="F653" t="str">
        <x:v>P1</x:v>
      </x:c>
      <x:c r="G653" t="str">
        <x:v>À faire</x:v>
      </x:c>
      <x:c r="H653" t="str">
        <x:v>Non affecté</x:v>
      </x:c>
      <x:c r="I653" t="str">
        <x:v>Livrable explicite, tests positifs et négatifs ; aucune validation déduite de la seule présence de la fiche.</x:v>
      </x:c>
      <x:c r="J653" t="str"/>
    </x:row>
    <x:row r="654">
      <x:c r="A654" t="str">
        <x:v>EXT-MONDE-T065/sauvegarde</x:v>
      </x:c>
      <x:c r="B654" t="str">
        <x:v>EXT-MONDE-T065</x:v>
      </x:c>
      <x:c r="C654" t="str">
        <x:v>Stades</x:v>
      </x:c>
      <x:c r="D654" t="str">
        <x:v>Stade municipal</x:v>
      </x:c>
      <x:c r="E654" t="str">
        <x:v>Identités, migration et reprise</x:v>
      </x:c>
      <x:c r="F654" t="str">
        <x:v>P1</x:v>
      </x:c>
      <x:c r="G654" t="str">
        <x:v>En cours</x:v>
      </x:c>
      <x:c r="H654" t="str">
        <x:v>Production Codex</x:v>
      </x:c>
      <x:c r="I654" t="str">
        <x:v>Livrable explicite, tests positifs et négatifs ; aucune validation déduite de la seule présence de la fiche.</x:v>
      </x:c>
      <x:c r="J654" t="str">
        <x:v>https://github.com/darknigthmare/deadwall-last-enclosure/blob/1b3b9c5ba232734b1bda3453b4e20a0481bcdd74/docs/codex/suivi-monde2026/INSPECTION_PHYSIQUE_2026.md</x:v>
      </x:c>
    </x:row>
    <x:row r="655">
      <x:c r="A655" t="str">
        <x:v>EXT-MONDE-T065/qa</x:v>
      </x:c>
      <x:c r="B655" t="str">
        <x:v>EXT-MONDE-T065</x:v>
      </x:c>
      <x:c r="C655" t="str">
        <x:v>Stades</x:v>
      </x:c>
      <x:c r="D655" t="str">
        <x:v>Stade municipal</x:v>
      </x:c>
      <x:c r="E655" t="str">
        <x:v>Navigation et parcours jouables</x:v>
      </x:c>
      <x:c r="F655" t="str">
        <x:v>P1</x:v>
      </x:c>
      <x:c r="G655" t="str">
        <x:v>En cours</x:v>
      </x:c>
      <x:c r="H655" t="str">
        <x:v>Production Codex</x:v>
      </x:c>
      <x:c r="I655" t="str">
        <x:v>Livrable explicite, tests positifs et négatifs ; aucune validation déduite de la seule présence de la fiche.</x:v>
      </x:c>
      <x:c r="J655" t="str">
        <x:v>https://github.com/darknigthmare/deadwall-last-enclosure/blob/1b3b9c5ba232734b1bda3453b4e20a0481bcdd74/docs/codex/suivi-monde2026/INSPECTION_PHYSIQUE_2026.md</x:v>
      </x:c>
    </x:row>
    <x:row r="656">
      <x:c r="A656" t="str">
        <x:v>EXT-MONDE-T066/dimensions</x:v>
      </x:c>
      <x:c r="B656" t="str">
        <x:v>EXT-MONDE-T066</x:v>
      </x:c>
      <x:c r="C656" t="str">
        <x:v>Stades</x:v>
      </x:c>
      <x:c r="D656" t="str">
        <x:v>Grand stade couvert</x:v>
      </x:c>
      <x:c r="E656" t="str">
        <x:v>Dimensions et plans de référence</x:v>
      </x:c>
      <x:c r="F656" t="str">
        <x:v>P0</x:v>
      </x:c>
      <x:c r="G656" t="str">
        <x:v>Validé</x:v>
      </x:c>
      <x:c r="H656" t="str">
        <x:v>Production Codex</x:v>
      </x:c>
      <x:c r="I656" t="str">
        <x:v>Sources publiques identifiées ; unités en mètres ; emprise au sol distincte de la hauteur.</x:v>
      </x:c>
      <x:c r="J656" t="str">
        <x:v>https://github.com/darknigthmare/deadwall-last-enclosure/blob/1b3b9c5ba232734b1bda3453b4e20a0481bcdd74/docs/codex/suivi-monde2026/FONDATIONS_METRIQUES_2026.md#dimensions-auteur-validees</x:v>
      </x:c>
    </x:row>
    <x:row r="657">
      <x:c r="A657" t="str">
        <x:v>EXT-MONDE-T066/architecture</x:v>
      </x:c>
      <x:c r="B657" t="str">
        <x:v>EXT-MONDE-T066</x:v>
      </x:c>
      <x:c r="C657" t="str">
        <x:v>Stades</x:v>
      </x:c>
      <x:c r="D657" t="str">
        <x:v>Grand stade couvert</x:v>
      </x:c>
      <x:c r="E657" t="str">
        <x:v>Pièces, étages, annexes</x:v>
      </x:c>
      <x:c r="F657" t="str">
        <x:v>P0</x:v>
      </x:c>
      <x:c r="G657" t="str">
        <x:v>En cours</x:v>
      </x:c>
      <x:c r="H657" t="str">
        <x:v>Production Codex</x:v>
      </x:c>
      <x:c r="I657" t="str">
        <x:v>Livrable explicite, tests positifs et négatifs ; aucune validation déduite de la seule présence de la fiche.</x:v>
      </x:c>
      <x:c r="J657" t="str">
        <x:v>https://github.com/darknigthmare/deadwall-last-enclosure/blob/1b3b9c5ba232734b1bda3453b4e20a0481bcdd74/docs/codex/suivi-monde2026/INSPECTION_PHYSIQUE_2026.md</x:v>
      </x:c>
    </x:row>
    <x:row r="658">
      <x:c r="A658" t="str">
        <x:v>EXT-MONDE-T066/seed</x:v>
      </x:c>
      <x:c r="B658" t="str">
        <x:v>EXT-MONDE-T066</x:v>
      </x:c>
      <x:c r="C658" t="str">
        <x:v>Stades</x:v>
      </x:c>
      <x:c r="D658" t="str">
        <x:v>Grand stade couvert</x:v>
      </x:c>
      <x:c r="E658" t="str">
        <x:v>Implantation et réseaux</x:v>
      </x:c>
      <x:c r="F658" t="str">
        <x:v>P0</x:v>
      </x:c>
      <x:c r="G658" t="str">
        <x:v>À faire</x:v>
      </x:c>
      <x:c r="H658" t="str">
        <x:v>Non affecté</x:v>
      </x:c>
      <x:c r="I658" t="str">
        <x:v>Anneaux de circulation et sorties ; gradins par niveau ; accès terrain distincts des locaux.</x:v>
      </x:c>
      <x:c r="J658" t="str"/>
    </x:row>
    <x:row r="659">
      <x:c r="A659" t="str">
        <x:v>EXT-MONDE-T066/props</x:v>
      </x:c>
      <x:c r="B659" t="str">
        <x:v>EXT-MONDE-T066</x:v>
      </x:c>
      <x:c r="C659" t="str">
        <x:v>Stades</x:v>
      </x:c>
      <x:c r="D659" t="str">
        <x:v>Grand stade couvert</x:v>
      </x:c>
      <x:c r="E659" t="str">
        <x:v>Objets, décors et dégagements</x:v>
      </x:c>
      <x:c r="F659" t="str">
        <x:v>P1</x:v>
      </x:c>
      <x:c r="G659" t="str">
        <x:v>En cours</x:v>
      </x:c>
      <x:c r="H659" t="str">
        <x:v>Production Codex</x:v>
      </x:c>
      <x:c r="I659" t="str">
        <x:v>Livrable explicite, tests positifs et négatifs ; aucune validation déduite de la seule présence de la fiche.</x:v>
      </x:c>
      <x:c r="J659" t="str">
        <x:v>https://github.com/darknigthmare/deadwall-last-enclosure/blob/1b3b9c5ba232734b1bda3453b4e20a0481bcdd74/docs/codex/suivi-monde2026/INSPECTION_PHYSIQUE_2026.md</x:v>
      </x:c>
    </x:row>
    <x:row r="660">
      <x:c r="A660" t="str">
        <x:v>EXT-MONDE-T066/loot</x:v>
      </x:c>
      <x:c r="B660" t="str">
        <x:v>EXT-MONDE-T066</x:v>
      </x:c>
      <x:c r="C660" t="str">
        <x:v>Stades</x:v>
      </x:c>
      <x:c r="D660" t="str">
        <x:v>Grand stade couvert</x:v>
      </x:c>
      <x:c r="E660" t="str">
        <x:v>Budget de butin persistant</x:v>
      </x:c>
      <x:c r="F660" t="str">
        <x:v>P1</x:v>
      </x:c>
      <x:c r="G660" t="str">
        <x:v>À faire</x:v>
      </x:c>
      <x:c r="H660" t="str">
        <x:v>Non affecté</x:v>
      </x:c>
      <x:c r="I660" t="str">
        <x:v>Livrable explicite, tests positifs et négatifs ; aucune validation déduite de la seule présence de la fiche.</x:v>
      </x:c>
      <x:c r="J660" t="str"/>
    </x:row>
    <x:row r="661">
      <x:c r="A661" t="str">
        <x:v>EXT-MONDE-T066/rencontres</x:v>
      </x:c>
      <x:c r="B661" t="str">
        <x:v>EXT-MONDE-T066</x:v>
      </x:c>
      <x:c r="C661" t="str">
        <x:v>Stades</x:v>
      </x:c>
      <x:c r="D661" t="str">
        <x:v>Grand stade couvert</x:v>
      </x:c>
      <x:c r="E661" t="str">
        <x:v>Ennemis et faune contextualisés</x:v>
      </x:c>
      <x:c r="F661" t="str">
        <x:v>P1</x:v>
      </x:c>
      <x:c r="G661" t="str">
        <x:v>À faire</x:v>
      </x:c>
      <x:c r="H661" t="str">
        <x:v>Non affecté</x:v>
      </x:c>
      <x:c r="I661" t="str">
        <x:v>Livrable explicite, tests positifs et négatifs ; aucune validation déduite de la seule présence de la fiche.</x:v>
      </x:c>
      <x:c r="J661" t="str"/>
    </x:row>
    <x:row r="662">
      <x:c r="A662" t="str">
        <x:v>EXT-MONDE-T066/services</x:v>
      </x:c>
      <x:c r="B662" t="str">
        <x:v>EXT-MONDE-T066</x:v>
      </x:c>
      <x:c r="C662" t="str">
        <x:v>Stades</x:v>
      </x:c>
      <x:c r="D662" t="str">
        <x:v>Grand stade couvert</x:v>
      </x:c>
      <x:c r="E662" t="str">
        <x:v>Énergie, eau et interactions</x:v>
      </x:c>
      <x:c r="F662" t="str">
        <x:v>P1</x:v>
      </x:c>
      <x:c r="G662" t="str">
        <x:v>À faire</x:v>
      </x:c>
      <x:c r="H662" t="str">
        <x:v>Non affecté</x:v>
      </x:c>
      <x:c r="I662" t="str">
        <x:v>Livrable explicite, tests positifs et négatifs ; aucune validation déduite de la seule présence de la fiche.</x:v>
      </x:c>
      <x:c r="J662" t="str"/>
    </x:row>
    <x:row r="663">
      <x:c r="A663" t="str">
        <x:v>EXT-MONDE-T066/art</x:v>
      </x:c>
      <x:c r="B663" t="str">
        <x:v>EXT-MONDE-T066</x:v>
      </x:c>
      <x:c r="C663" t="str">
        <x:v>Stades</x:v>
      </x:c>
      <x:c r="D663" t="str">
        <x:v>Grand stade couvert</x:v>
      </x:c>
      <x:c r="E663" t="str">
        <x:v>Sprites, proportions et animations</x:v>
      </x:c>
      <x:c r="F663" t="str">
        <x:v>P1</x:v>
      </x:c>
      <x:c r="G663" t="str">
        <x:v>À faire</x:v>
      </x:c>
      <x:c r="H663" t="str">
        <x:v>Non affecté</x:v>
      </x:c>
      <x:c r="I663" t="str">
        <x:v>Livrable explicite, tests positifs et négatifs ; aucune validation déduite de la seule présence de la fiche.</x:v>
      </x:c>
      <x:c r="J663" t="str"/>
    </x:row>
    <x:row r="664">
      <x:c r="A664" t="str">
        <x:v>EXT-MONDE-T066/sauvegarde</x:v>
      </x:c>
      <x:c r="B664" t="str">
        <x:v>EXT-MONDE-T066</x:v>
      </x:c>
      <x:c r="C664" t="str">
        <x:v>Stades</x:v>
      </x:c>
      <x:c r="D664" t="str">
        <x:v>Grand stade couvert</x:v>
      </x:c>
      <x:c r="E664" t="str">
        <x:v>Identités, migration et reprise</x:v>
      </x:c>
      <x:c r="F664" t="str">
        <x:v>P1</x:v>
      </x:c>
      <x:c r="G664" t="str">
        <x:v>En cours</x:v>
      </x:c>
      <x:c r="H664" t="str">
        <x:v>Production Codex</x:v>
      </x:c>
      <x:c r="I664" t="str">
        <x:v>Livrable explicite, tests positifs et négatifs ; aucune validation déduite de la seule présence de la fiche.</x:v>
      </x:c>
      <x:c r="J664" t="str">
        <x:v>https://github.com/darknigthmare/deadwall-last-enclosure/blob/1b3b9c5ba232734b1bda3453b4e20a0481bcdd74/docs/codex/suivi-monde2026/INSPECTION_PHYSIQUE_2026.md</x:v>
      </x:c>
    </x:row>
    <x:row r="665">
      <x:c r="A665" t="str">
        <x:v>EXT-MONDE-T066/qa</x:v>
      </x:c>
      <x:c r="B665" t="str">
        <x:v>EXT-MONDE-T066</x:v>
      </x:c>
      <x:c r="C665" t="str">
        <x:v>Stades</x:v>
      </x:c>
      <x:c r="D665" t="str">
        <x:v>Grand stade couvert</x:v>
      </x:c>
      <x:c r="E665" t="str">
        <x:v>Navigation et parcours jouables</x:v>
      </x:c>
      <x:c r="F665" t="str">
        <x:v>P1</x:v>
      </x:c>
      <x:c r="G665" t="str">
        <x:v>En cours</x:v>
      </x:c>
      <x:c r="H665" t="str">
        <x:v>Production Codex</x:v>
      </x:c>
      <x:c r="I665" t="str">
        <x:v>Livrable explicite, tests positifs et négatifs ; aucune validation déduite de la seule présence de la fiche.</x:v>
      </x:c>
      <x:c r="J665" t="str">
        <x:v>https://github.com/darknigthmare/deadwall-last-enclosure/blob/1b3b9c5ba232734b1bda3453b4e20a0481bcdd74/docs/codex/suivi-monde2026/INSPECTION_PHYSIQUE_2026.md</x:v>
      </x:c>
    </x:row>
    <x:row r="666">
      <x:c r="A666" t="str">
        <x:v>EXT-MONDE-T067/dimensions</x:v>
      </x:c>
      <x:c r="B666" t="str">
        <x:v>EXT-MONDE-T067</x:v>
      </x:c>
      <x:c r="C666" t="str">
        <x:v>Stades</x:v>
      </x:c>
      <x:c r="D666" t="str">
        <x:v>Vélodrome</x:v>
      </x:c>
      <x:c r="E666" t="str">
        <x:v>Dimensions et plans de référence</x:v>
      </x:c>
      <x:c r="F666" t="str">
        <x:v>P0</x:v>
      </x:c>
      <x:c r="G666" t="str">
        <x:v>En cours</x:v>
      </x:c>
      <x:c r="H666" t="str">
        <x:v>Production Codex</x:v>
      </x:c>
      <x:c r="I666" t="str">
        <x:v>Sources publiques identifiées ; unités en mètres ; emprise au sol distincte de la hauteur.</x:v>
      </x:c>
      <x:c r="J666" t="str">
        <x:v>https://github.com/darknigthmare/deadwall-last-enclosure/blob/1b3b9c5ba232734b1bda3453b4e20a0481bcdd74/docs/codex/suivi-monde2026/PARCS_SPORTS_2026.md</x:v>
      </x:c>
    </x:row>
    <x:row r="667">
      <x:c r="A667" t="str">
        <x:v>EXT-MONDE-T067/architecture</x:v>
      </x:c>
      <x:c r="B667" t="str">
        <x:v>EXT-MONDE-T067</x:v>
      </x:c>
      <x:c r="C667" t="str">
        <x:v>Stades</x:v>
      </x:c>
      <x:c r="D667" t="str">
        <x:v>Vélodrome</x:v>
      </x:c>
      <x:c r="E667" t="str">
        <x:v>Pièces, étages, annexes</x:v>
      </x:c>
      <x:c r="F667" t="str">
        <x:v>P0</x:v>
      </x:c>
      <x:c r="G667" t="str">
        <x:v>En cours</x:v>
      </x:c>
      <x:c r="H667" t="str">
        <x:v>Production Codex</x:v>
      </x:c>
      <x:c r="I667" t="str">
        <x:v>Livrable explicite, tests positifs et négatifs ; aucune validation déduite de la seule présence de la fiche.</x:v>
      </x:c>
      <x:c r="J667" t="str">
        <x:v>https://github.com/darknigthmare/deadwall-last-enclosure/blob/1b3b9c5ba232734b1bda3453b4e20a0481bcdd74/docs/codex/suivi-monde2026/INSPECTION_PHYSIQUE_2026.md</x:v>
      </x:c>
    </x:row>
    <x:row r="668">
      <x:c r="A668" t="str">
        <x:v>EXT-MONDE-T067/seed</x:v>
      </x:c>
      <x:c r="B668" t="str">
        <x:v>EXT-MONDE-T067</x:v>
      </x:c>
      <x:c r="C668" t="str">
        <x:v>Stades</x:v>
      </x:c>
      <x:c r="D668" t="str">
        <x:v>Vélodrome</x:v>
      </x:c>
      <x:c r="E668" t="str">
        <x:v>Implantation et réseaux</x:v>
      </x:c>
      <x:c r="F668" t="str">
        <x:v>P0</x:v>
      </x:c>
      <x:c r="G668" t="str">
        <x:v>À faire</x:v>
      </x:c>
      <x:c r="H668" t="str">
        <x:v>Non affecté</x:v>
      </x:c>
      <x:c r="I668" t="str">
        <x:v>Anneaux de circulation et sorties ; gradins par niveau ; accès terrain distincts des locaux.</x:v>
      </x:c>
      <x:c r="J668" t="str"/>
    </x:row>
    <x:row r="669">
      <x:c r="A669" t="str">
        <x:v>EXT-MONDE-T067/props</x:v>
      </x:c>
      <x:c r="B669" t="str">
        <x:v>EXT-MONDE-T067</x:v>
      </x:c>
      <x:c r="C669" t="str">
        <x:v>Stades</x:v>
      </x:c>
      <x:c r="D669" t="str">
        <x:v>Vélodrome</x:v>
      </x:c>
      <x:c r="E669" t="str">
        <x:v>Objets, décors et dégagements</x:v>
      </x:c>
      <x:c r="F669" t="str">
        <x:v>P1</x:v>
      </x:c>
      <x:c r="G669" t="str">
        <x:v>En cours</x:v>
      </x:c>
      <x:c r="H669" t="str">
        <x:v>Production Codex</x:v>
      </x:c>
      <x:c r="I669" t="str">
        <x:v>Livrable explicite, tests positifs et négatifs ; aucune validation déduite de la seule présence de la fiche.</x:v>
      </x:c>
      <x:c r="J669" t="str">
        <x:v>https://github.com/darknigthmare/deadwall-last-enclosure/blob/1b3b9c5ba232734b1bda3453b4e20a0481bcdd74/docs/codex/suivi-monde2026/INSPECTION_PHYSIQUE_2026.md</x:v>
      </x:c>
    </x:row>
    <x:row r="670">
      <x:c r="A670" t="str">
        <x:v>EXT-MONDE-T067/loot</x:v>
      </x:c>
      <x:c r="B670" t="str">
        <x:v>EXT-MONDE-T067</x:v>
      </x:c>
      <x:c r="C670" t="str">
        <x:v>Stades</x:v>
      </x:c>
      <x:c r="D670" t="str">
        <x:v>Vélodrome</x:v>
      </x:c>
      <x:c r="E670" t="str">
        <x:v>Budget de butin persistant</x:v>
      </x:c>
      <x:c r="F670" t="str">
        <x:v>P1</x:v>
      </x:c>
      <x:c r="G670" t="str">
        <x:v>À faire</x:v>
      </x:c>
      <x:c r="H670" t="str">
        <x:v>Non affecté</x:v>
      </x:c>
      <x:c r="I670" t="str">
        <x:v>Livrable explicite, tests positifs et négatifs ; aucune validation déduite de la seule présence de la fiche.</x:v>
      </x:c>
      <x:c r="J670" t="str"/>
    </x:row>
    <x:row r="671">
      <x:c r="A671" t="str">
        <x:v>EXT-MONDE-T067/rencontres</x:v>
      </x:c>
      <x:c r="B671" t="str">
        <x:v>EXT-MONDE-T067</x:v>
      </x:c>
      <x:c r="C671" t="str">
        <x:v>Stades</x:v>
      </x:c>
      <x:c r="D671" t="str">
        <x:v>Vélodrome</x:v>
      </x:c>
      <x:c r="E671" t="str">
        <x:v>Ennemis et faune contextualisés</x:v>
      </x:c>
      <x:c r="F671" t="str">
        <x:v>P1</x:v>
      </x:c>
      <x:c r="G671" t="str">
        <x:v>À faire</x:v>
      </x:c>
      <x:c r="H671" t="str">
        <x:v>Non affecté</x:v>
      </x:c>
      <x:c r="I671" t="str">
        <x:v>Livrable explicite, tests positifs et négatifs ; aucune validation déduite de la seule présence de la fiche.</x:v>
      </x:c>
      <x:c r="J671" t="str"/>
    </x:row>
    <x:row r="672">
      <x:c r="A672" t="str">
        <x:v>EXT-MONDE-T067/services</x:v>
      </x:c>
      <x:c r="B672" t="str">
        <x:v>EXT-MONDE-T067</x:v>
      </x:c>
      <x:c r="C672" t="str">
        <x:v>Stades</x:v>
      </x:c>
      <x:c r="D672" t="str">
        <x:v>Vélodrome</x:v>
      </x:c>
      <x:c r="E672" t="str">
        <x:v>Énergie, eau et interactions</x:v>
      </x:c>
      <x:c r="F672" t="str">
        <x:v>P1</x:v>
      </x:c>
      <x:c r="G672" t="str">
        <x:v>À faire</x:v>
      </x:c>
      <x:c r="H672" t="str">
        <x:v>Non affecté</x:v>
      </x:c>
      <x:c r="I672" t="str">
        <x:v>Livrable explicite, tests positifs et négatifs ; aucune validation déduite de la seule présence de la fiche.</x:v>
      </x:c>
      <x:c r="J672" t="str"/>
    </x:row>
    <x:row r="673">
      <x:c r="A673" t="str">
        <x:v>EXT-MONDE-T067/art</x:v>
      </x:c>
      <x:c r="B673" t="str">
        <x:v>EXT-MONDE-T067</x:v>
      </x:c>
      <x:c r="C673" t="str">
        <x:v>Stades</x:v>
      </x:c>
      <x:c r="D673" t="str">
        <x:v>Vélodrome</x:v>
      </x:c>
      <x:c r="E673" t="str">
        <x:v>Sprites, proportions et animations</x:v>
      </x:c>
      <x:c r="F673" t="str">
        <x:v>P1</x:v>
      </x:c>
      <x:c r="G673" t="str">
        <x:v>À faire</x:v>
      </x:c>
      <x:c r="H673" t="str">
        <x:v>Non affecté</x:v>
      </x:c>
      <x:c r="I673" t="str">
        <x:v>Livrable explicite, tests positifs et négatifs ; aucune validation déduite de la seule présence de la fiche.</x:v>
      </x:c>
      <x:c r="J673" t="str"/>
    </x:row>
    <x:row r="674">
      <x:c r="A674" t="str">
        <x:v>EXT-MONDE-T067/sauvegarde</x:v>
      </x:c>
      <x:c r="B674" t="str">
        <x:v>EXT-MONDE-T067</x:v>
      </x:c>
      <x:c r="C674" t="str">
        <x:v>Stades</x:v>
      </x:c>
      <x:c r="D674" t="str">
        <x:v>Vélodrome</x:v>
      </x:c>
      <x:c r="E674" t="str">
        <x:v>Identités, migration et reprise</x:v>
      </x:c>
      <x:c r="F674" t="str">
        <x:v>P1</x:v>
      </x:c>
      <x:c r="G674" t="str">
        <x:v>En cours</x:v>
      </x:c>
      <x:c r="H674" t="str">
        <x:v>Production Codex</x:v>
      </x:c>
      <x:c r="I674" t="str">
        <x:v>Livrable explicite, tests positifs et négatifs ; aucune validation déduite de la seule présence de la fiche.</x:v>
      </x:c>
      <x:c r="J674" t="str">
        <x:v>https://github.com/darknigthmare/deadwall-last-enclosure/blob/1b3b9c5ba232734b1bda3453b4e20a0481bcdd74/docs/codex/suivi-monde2026/INSPECTION_PHYSIQUE_2026.md</x:v>
      </x:c>
    </x:row>
    <x:row r="675">
      <x:c r="A675" t="str">
        <x:v>EXT-MONDE-T067/qa</x:v>
      </x:c>
      <x:c r="B675" t="str">
        <x:v>EXT-MONDE-T067</x:v>
      </x:c>
      <x:c r="C675" t="str">
        <x:v>Stades</x:v>
      </x:c>
      <x:c r="D675" t="str">
        <x:v>Vélodrome</x:v>
      </x:c>
      <x:c r="E675" t="str">
        <x:v>Navigation et parcours jouables</x:v>
      </x:c>
      <x:c r="F675" t="str">
        <x:v>P1</x:v>
      </x:c>
      <x:c r="G675" t="str">
        <x:v>En cours</x:v>
      </x:c>
      <x:c r="H675" t="str">
        <x:v>Production Codex</x:v>
      </x:c>
      <x:c r="I675" t="str">
        <x:v>Livrable explicite, tests positifs et négatifs ; aucune validation déduite de la seule présence de la fiche.</x:v>
      </x:c>
      <x:c r="J675" t="str">
        <x:v>https://github.com/darknigthmare/deadwall-last-enclosure/blob/1b3b9c5ba232734b1bda3453b4e20a0481bcdd74/docs/codex/suivi-monde2026/INSPECTION_PHYSIQUE_2026.md</x:v>
      </x:c>
    </x:row>
    <x:row r="676">
      <x:c r="A676" t="str">
        <x:v>EXT-MONDE-T068/dimensions</x:v>
      </x:c>
      <x:c r="B676" t="str">
        <x:v>EXT-MONDE-T068</x:v>
      </x:c>
      <x:c r="C676" t="str">
        <x:v>Stades</x:v>
      </x:c>
      <x:c r="D676" t="str">
        <x:v>Complexe sportif</x:v>
      </x:c>
      <x:c r="E676" t="str">
        <x:v>Dimensions et plans de référence</x:v>
      </x:c>
      <x:c r="F676" t="str">
        <x:v>P0</x:v>
      </x:c>
      <x:c r="G676" t="str">
        <x:v>En cours</x:v>
      </x:c>
      <x:c r="H676" t="str">
        <x:v>Production Codex</x:v>
      </x:c>
      <x:c r="I676" t="str">
        <x:v>Sources publiques identifiées ; unités en mètres ; emprise au sol distincte de la hauteur.</x:v>
      </x:c>
      <x:c r="J676" t="str">
        <x:v>https://github.com/darknigthmare/deadwall-last-enclosure/blob/1b3b9c5ba232734b1bda3453b4e20a0481bcdd74/docs/codex/suivi-monde2026/PARCS_SPORTS_2026.md</x:v>
      </x:c>
    </x:row>
    <x:row r="677">
      <x:c r="A677" t="str">
        <x:v>EXT-MONDE-T068/architecture</x:v>
      </x:c>
      <x:c r="B677" t="str">
        <x:v>EXT-MONDE-T068</x:v>
      </x:c>
      <x:c r="C677" t="str">
        <x:v>Stades</x:v>
      </x:c>
      <x:c r="D677" t="str">
        <x:v>Complexe sportif</x:v>
      </x:c>
      <x:c r="E677" t="str">
        <x:v>Pièces, étages, annexes</x:v>
      </x:c>
      <x:c r="F677" t="str">
        <x:v>P0</x:v>
      </x:c>
      <x:c r="G677" t="str">
        <x:v>En cours</x:v>
      </x:c>
      <x:c r="H677" t="str">
        <x:v>Production Codex</x:v>
      </x:c>
      <x:c r="I677" t="str">
        <x:v>Livrable explicite, tests positifs et négatifs ; aucune validation déduite de la seule présence de la fiche.</x:v>
      </x:c>
      <x:c r="J677" t="str">
        <x:v>https://github.com/darknigthmare/deadwall-last-enclosure/blob/1b3b9c5ba232734b1bda3453b4e20a0481bcdd74/docs/codex/suivi-monde2026/INSPECTION_PHYSIQUE_2026.md</x:v>
      </x:c>
    </x:row>
    <x:row r="678">
      <x:c r="A678" t="str">
        <x:v>EXT-MONDE-T068/seed</x:v>
      </x:c>
      <x:c r="B678" t="str">
        <x:v>EXT-MONDE-T068</x:v>
      </x:c>
      <x:c r="C678" t="str">
        <x:v>Stades</x:v>
      </x:c>
      <x:c r="D678" t="str">
        <x:v>Complexe sportif</x:v>
      </x:c>
      <x:c r="E678" t="str">
        <x:v>Implantation et réseaux</x:v>
      </x:c>
      <x:c r="F678" t="str">
        <x:v>P0</x:v>
      </x:c>
      <x:c r="G678" t="str">
        <x:v>À faire</x:v>
      </x:c>
      <x:c r="H678" t="str">
        <x:v>Non affecté</x:v>
      </x:c>
      <x:c r="I678" t="str">
        <x:v>Anneaux de circulation et sorties ; gradins par niveau ; accès terrain distincts des locaux.</x:v>
      </x:c>
      <x:c r="J678" t="str"/>
    </x:row>
    <x:row r="679">
      <x:c r="A679" t="str">
        <x:v>EXT-MONDE-T068/props</x:v>
      </x:c>
      <x:c r="B679" t="str">
        <x:v>EXT-MONDE-T068</x:v>
      </x:c>
      <x:c r="C679" t="str">
        <x:v>Stades</x:v>
      </x:c>
      <x:c r="D679" t="str">
        <x:v>Complexe sportif</x:v>
      </x:c>
      <x:c r="E679" t="str">
        <x:v>Objets, décors et dégagements</x:v>
      </x:c>
      <x:c r="F679" t="str">
        <x:v>P1</x:v>
      </x:c>
      <x:c r="G679" t="str">
        <x:v>En cours</x:v>
      </x:c>
      <x:c r="H679" t="str">
        <x:v>Production Codex</x:v>
      </x:c>
      <x:c r="I679" t="str">
        <x:v>Livrable explicite, tests positifs et négatifs ; aucune validation déduite de la seule présence de la fiche.</x:v>
      </x:c>
      <x:c r="J679" t="str">
        <x:v>https://github.com/darknigthmare/deadwall-last-enclosure/blob/1b3b9c5ba232734b1bda3453b4e20a0481bcdd74/docs/codex/suivi-monde2026/INSPECTION_PHYSIQUE_2026.md</x:v>
      </x:c>
    </x:row>
    <x:row r="680">
      <x:c r="A680" t="str">
        <x:v>EXT-MONDE-T068/loot</x:v>
      </x:c>
      <x:c r="B680" t="str">
        <x:v>EXT-MONDE-T068</x:v>
      </x:c>
      <x:c r="C680" t="str">
        <x:v>Stades</x:v>
      </x:c>
      <x:c r="D680" t="str">
        <x:v>Complexe sportif</x:v>
      </x:c>
      <x:c r="E680" t="str">
        <x:v>Budget de butin persistant</x:v>
      </x:c>
      <x:c r="F680" t="str">
        <x:v>P1</x:v>
      </x:c>
      <x:c r="G680" t="str">
        <x:v>À faire</x:v>
      </x:c>
      <x:c r="H680" t="str">
        <x:v>Non affecté</x:v>
      </x:c>
      <x:c r="I680" t="str">
        <x:v>Livrable explicite, tests positifs et négatifs ; aucune validation déduite de la seule présence de la fiche.</x:v>
      </x:c>
      <x:c r="J680" t="str"/>
    </x:row>
    <x:row r="681">
      <x:c r="A681" t="str">
        <x:v>EXT-MONDE-T068/rencontres</x:v>
      </x:c>
      <x:c r="B681" t="str">
        <x:v>EXT-MONDE-T068</x:v>
      </x:c>
      <x:c r="C681" t="str">
        <x:v>Stades</x:v>
      </x:c>
      <x:c r="D681" t="str">
        <x:v>Complexe sportif</x:v>
      </x:c>
      <x:c r="E681" t="str">
        <x:v>Ennemis et faune contextualisés</x:v>
      </x:c>
      <x:c r="F681" t="str">
        <x:v>P1</x:v>
      </x:c>
      <x:c r="G681" t="str">
        <x:v>À faire</x:v>
      </x:c>
      <x:c r="H681" t="str">
        <x:v>Non affecté</x:v>
      </x:c>
      <x:c r="I681" t="str">
        <x:v>Livrable explicite, tests positifs et négatifs ; aucune validation déduite de la seule présence de la fiche.</x:v>
      </x:c>
      <x:c r="J681" t="str"/>
    </x:row>
    <x:row r="682">
      <x:c r="A682" t="str">
        <x:v>EXT-MONDE-T068/services</x:v>
      </x:c>
      <x:c r="B682" t="str">
        <x:v>EXT-MONDE-T068</x:v>
      </x:c>
      <x:c r="C682" t="str">
        <x:v>Stades</x:v>
      </x:c>
      <x:c r="D682" t="str">
        <x:v>Complexe sportif</x:v>
      </x:c>
      <x:c r="E682" t="str">
        <x:v>Énergie, eau et interactions</x:v>
      </x:c>
      <x:c r="F682" t="str">
        <x:v>P1</x:v>
      </x:c>
      <x:c r="G682" t="str">
        <x:v>À faire</x:v>
      </x:c>
      <x:c r="H682" t="str">
        <x:v>Non affecté</x:v>
      </x:c>
      <x:c r="I682" t="str">
        <x:v>Livrable explicite, tests positifs et négatifs ; aucune validation déduite de la seule présence de la fiche.</x:v>
      </x:c>
      <x:c r="J682" t="str"/>
    </x:row>
    <x:row r="683">
      <x:c r="A683" t="str">
        <x:v>EXT-MONDE-T068/art</x:v>
      </x:c>
      <x:c r="B683" t="str">
        <x:v>EXT-MONDE-T068</x:v>
      </x:c>
      <x:c r="C683" t="str">
        <x:v>Stades</x:v>
      </x:c>
      <x:c r="D683" t="str">
        <x:v>Complexe sportif</x:v>
      </x:c>
      <x:c r="E683" t="str">
        <x:v>Sprites, proportions et animations</x:v>
      </x:c>
      <x:c r="F683" t="str">
        <x:v>P1</x:v>
      </x:c>
      <x:c r="G683" t="str">
        <x:v>À faire</x:v>
      </x:c>
      <x:c r="H683" t="str">
        <x:v>Non affecté</x:v>
      </x:c>
      <x:c r="I683" t="str">
        <x:v>Livrable explicite, tests positifs et négatifs ; aucune validation déduite de la seule présence de la fiche.</x:v>
      </x:c>
      <x:c r="J683" t="str"/>
    </x:row>
    <x:row r="684">
      <x:c r="A684" t="str">
        <x:v>EXT-MONDE-T068/sauvegarde</x:v>
      </x:c>
      <x:c r="B684" t="str">
        <x:v>EXT-MONDE-T068</x:v>
      </x:c>
      <x:c r="C684" t="str">
        <x:v>Stades</x:v>
      </x:c>
      <x:c r="D684" t="str">
        <x:v>Complexe sportif</x:v>
      </x:c>
      <x:c r="E684" t="str">
        <x:v>Identités, migration et reprise</x:v>
      </x:c>
      <x:c r="F684" t="str">
        <x:v>P1</x:v>
      </x:c>
      <x:c r="G684" t="str">
        <x:v>En cours</x:v>
      </x:c>
      <x:c r="H684" t="str">
        <x:v>Production Codex</x:v>
      </x:c>
      <x:c r="I684" t="str">
        <x:v>Livrable explicite, tests positifs et négatifs ; aucune validation déduite de la seule présence de la fiche.</x:v>
      </x:c>
      <x:c r="J684" t="str">
        <x:v>https://github.com/darknigthmare/deadwall-last-enclosure/blob/1b3b9c5ba232734b1bda3453b4e20a0481bcdd74/docs/codex/suivi-monde2026/INSPECTION_PHYSIQUE_2026.md</x:v>
      </x:c>
    </x:row>
    <x:row r="685">
      <x:c r="A685" t="str">
        <x:v>EXT-MONDE-T068/qa</x:v>
      </x:c>
      <x:c r="B685" t="str">
        <x:v>EXT-MONDE-T068</x:v>
      </x:c>
      <x:c r="C685" t="str">
        <x:v>Stades</x:v>
      </x:c>
      <x:c r="D685" t="str">
        <x:v>Complexe sportif</x:v>
      </x:c>
      <x:c r="E685" t="str">
        <x:v>Navigation et parcours jouables</x:v>
      </x:c>
      <x:c r="F685" t="str">
        <x:v>P1</x:v>
      </x:c>
      <x:c r="G685" t="str">
        <x:v>En cours</x:v>
      </x:c>
      <x:c r="H685" t="str">
        <x:v>Production Codex</x:v>
      </x:c>
      <x:c r="I685" t="str">
        <x:v>Livrable explicite, tests positifs et négatifs ; aucune validation déduite de la seule présence de la fiche.</x:v>
      </x:c>
      <x:c r="J685" t="str">
        <x:v>https://github.com/darknigthmare/deadwall-last-enclosure/blob/1b3b9c5ba232734b1bda3453b4e20a0481bcdd74/docs/codex/suivi-monde2026/INSPECTION_PHYSIQUE_2026.md</x:v>
      </x:c>
    </x:row>
    <x:row r="686">
      <x:c r="A686" t="str">
        <x:v>EXT-MONDE-T069/dimensions</x:v>
      </x:c>
      <x:c r="B686" t="str">
        <x:v>EXT-MONDE-T069</x:v>
      </x:c>
      <x:c r="C686" t="str">
        <x:v>Aéroports</x:v>
      </x:c>
      <x:c r="D686" t="str">
        <x:v>Aérodrome régional</x:v>
      </x:c>
      <x:c r="E686" t="str">
        <x:v>Dimensions et plans de référence</x:v>
      </x:c>
      <x:c r="F686" t="str">
        <x:v>P0</x:v>
      </x:c>
      <x:c r="G686" t="str">
        <x:v>En cours</x:v>
      </x:c>
      <x:c r="H686" t="str">
        <x:v>Production Codex</x:v>
      </x:c>
      <x:c r="I686" t="str">
        <x:v>Sources publiques identifiées ; unités en mètres ; emprise au sol distincte de la hauteur.</x:v>
      </x:c>
      <x:c r="J686" t="str">
        <x:v>https://github.com/darknigthmare/deadwall-last-enclosure/blob/1b3b9c5ba232734b1bda3453b4e20a0481bcdd74/docs/codex/suivi-monde2026/AEROPORTS_RAIL_2026.md</x:v>
      </x:c>
    </x:row>
    <x:row r="687">
      <x:c r="A687" t="str">
        <x:v>EXT-MONDE-T069/architecture</x:v>
      </x:c>
      <x:c r="B687" t="str">
        <x:v>EXT-MONDE-T069</x:v>
      </x:c>
      <x:c r="C687" t="str">
        <x:v>Aéroports</x:v>
      </x:c>
      <x:c r="D687" t="str">
        <x:v>Aérodrome régional</x:v>
      </x:c>
      <x:c r="E687" t="str">
        <x:v>Pièces, étages, annexes</x:v>
      </x:c>
      <x:c r="F687" t="str">
        <x:v>P0</x:v>
      </x:c>
      <x:c r="G687" t="str">
        <x:v>En cours</x:v>
      </x:c>
      <x:c r="H687" t="str">
        <x:v>Production Codex</x:v>
      </x:c>
      <x:c r="I687" t="str">
        <x:v>Livrable explicite, tests positifs et négatifs ; aucune validation déduite de la seule présence de la fiche.</x:v>
      </x:c>
      <x:c r="J687" t="str">
        <x:v>https://github.com/darknigthmare/deadwall-last-enclosure/blob/1b3b9c5ba232734b1bda3453b4e20a0481bcdd74/docs/codex/suivi-monde2026/INSPECTION_PHYSIQUE_2026.md</x:v>
      </x:c>
    </x:row>
    <x:row r="688">
      <x:c r="A688" t="str">
        <x:v>EXT-MONDE-T069/seed</x:v>
      </x:c>
      <x:c r="B688" t="str">
        <x:v>EXT-MONDE-T069</x:v>
      </x:c>
      <x:c r="C688" t="str">
        <x:v>Aéroports</x:v>
      </x:c>
      <x:c r="D688" t="str">
        <x:v>Aérodrome régional</x:v>
      </x:c>
      <x:c r="E688" t="str">
        <x:v>Implantation et réseaux</x:v>
      </x:c>
      <x:c r="F688" t="str">
        <x:v>P0</x:v>
      </x:c>
      <x:c r="G688" t="str">
        <x:v>À faire</x:v>
      </x:c>
      <x:c r="H688" t="str">
        <x:v>Non affecté</x:v>
      </x:c>
      <x:c r="I688" t="str">
        <x:v>Continuité piste-taxiway-apron ; obstacles et bâtiments hors réserves ; grandes emprises non comprimées.</x:v>
      </x:c>
      <x:c r="J688" t="str"/>
    </x:row>
    <x:row r="689">
      <x:c r="A689" t="str">
        <x:v>EXT-MONDE-T069/props</x:v>
      </x:c>
      <x:c r="B689" t="str">
        <x:v>EXT-MONDE-T069</x:v>
      </x:c>
      <x:c r="C689" t="str">
        <x:v>Aéroports</x:v>
      </x:c>
      <x:c r="D689" t="str">
        <x:v>Aérodrome régional</x:v>
      </x:c>
      <x:c r="E689" t="str">
        <x:v>Objets, décors et dégagements</x:v>
      </x:c>
      <x:c r="F689" t="str">
        <x:v>P1</x:v>
      </x:c>
      <x:c r="G689" t="str">
        <x:v>En cours</x:v>
      </x:c>
      <x:c r="H689" t="str">
        <x:v>Production Codex</x:v>
      </x:c>
      <x:c r="I689" t="str">
        <x:v>Livrable explicite, tests positifs et négatifs ; aucune validation déduite de la seule présence de la fiche.</x:v>
      </x:c>
      <x:c r="J689" t="str">
        <x:v>https://github.com/darknigthmare/deadwall-last-enclosure/blob/1b3b9c5ba232734b1bda3453b4e20a0481bcdd74/docs/codex/suivi-monde2026/INSPECTION_PHYSIQUE_2026.md</x:v>
      </x:c>
    </x:row>
    <x:row r="690">
      <x:c r="A690" t="str">
        <x:v>EXT-MONDE-T069/loot</x:v>
      </x:c>
      <x:c r="B690" t="str">
        <x:v>EXT-MONDE-T069</x:v>
      </x:c>
      <x:c r="C690" t="str">
        <x:v>Aéroports</x:v>
      </x:c>
      <x:c r="D690" t="str">
        <x:v>Aérodrome régional</x:v>
      </x:c>
      <x:c r="E690" t="str">
        <x:v>Budget de butin persistant</x:v>
      </x:c>
      <x:c r="F690" t="str">
        <x:v>P1</x:v>
      </x:c>
      <x:c r="G690" t="str">
        <x:v>À faire</x:v>
      </x:c>
      <x:c r="H690" t="str">
        <x:v>Non affecté</x:v>
      </x:c>
      <x:c r="I690" t="str">
        <x:v>Livrable explicite, tests positifs et négatifs ; aucune validation déduite de la seule présence de la fiche.</x:v>
      </x:c>
      <x:c r="J690" t="str"/>
    </x:row>
    <x:row r="691">
      <x:c r="A691" t="str">
        <x:v>EXT-MONDE-T069/rencontres</x:v>
      </x:c>
      <x:c r="B691" t="str">
        <x:v>EXT-MONDE-T069</x:v>
      </x:c>
      <x:c r="C691" t="str">
        <x:v>Aéroports</x:v>
      </x:c>
      <x:c r="D691" t="str">
        <x:v>Aérodrome régional</x:v>
      </x:c>
      <x:c r="E691" t="str">
        <x:v>Ennemis et faune contextualisés</x:v>
      </x:c>
      <x:c r="F691" t="str">
        <x:v>P1</x:v>
      </x:c>
      <x:c r="G691" t="str">
        <x:v>À faire</x:v>
      </x:c>
      <x:c r="H691" t="str">
        <x:v>Non affecté</x:v>
      </x:c>
      <x:c r="I691" t="str">
        <x:v>Livrable explicite, tests positifs et négatifs ; aucune validation déduite de la seule présence de la fiche.</x:v>
      </x:c>
      <x:c r="J691" t="str"/>
    </x:row>
    <x:row r="692">
      <x:c r="A692" t="str">
        <x:v>EXT-MONDE-T069/services</x:v>
      </x:c>
      <x:c r="B692" t="str">
        <x:v>EXT-MONDE-T069</x:v>
      </x:c>
      <x:c r="C692" t="str">
        <x:v>Aéroports</x:v>
      </x:c>
      <x:c r="D692" t="str">
        <x:v>Aérodrome régional</x:v>
      </x:c>
      <x:c r="E692" t="str">
        <x:v>Énergie, eau et interactions</x:v>
      </x:c>
      <x:c r="F692" t="str">
        <x:v>P1</x:v>
      </x:c>
      <x:c r="G692" t="str">
        <x:v>À faire</x:v>
      </x:c>
      <x:c r="H692" t="str">
        <x:v>Non affecté</x:v>
      </x:c>
      <x:c r="I692" t="str">
        <x:v>Livrable explicite, tests positifs et négatifs ; aucune validation déduite de la seule présence de la fiche.</x:v>
      </x:c>
      <x:c r="J692" t="str"/>
    </x:row>
    <x:row r="693">
      <x:c r="A693" t="str">
        <x:v>EXT-MONDE-T069/art</x:v>
      </x:c>
      <x:c r="B693" t="str">
        <x:v>EXT-MONDE-T069</x:v>
      </x:c>
      <x:c r="C693" t="str">
        <x:v>Aéroports</x:v>
      </x:c>
      <x:c r="D693" t="str">
        <x:v>Aérodrome régional</x:v>
      </x:c>
      <x:c r="E693" t="str">
        <x:v>Sprites, proportions et animations</x:v>
      </x:c>
      <x:c r="F693" t="str">
        <x:v>P1</x:v>
      </x:c>
      <x:c r="G693" t="str">
        <x:v>À faire</x:v>
      </x:c>
      <x:c r="H693" t="str">
        <x:v>Non affecté</x:v>
      </x:c>
      <x:c r="I693" t="str">
        <x:v>Livrable explicite, tests positifs et négatifs ; aucune validation déduite de la seule présence de la fiche.</x:v>
      </x:c>
      <x:c r="J693" t="str"/>
    </x:row>
    <x:row r="694">
      <x:c r="A694" t="str">
        <x:v>EXT-MONDE-T069/sauvegarde</x:v>
      </x:c>
      <x:c r="B694" t="str">
        <x:v>EXT-MONDE-T069</x:v>
      </x:c>
      <x:c r="C694" t="str">
        <x:v>Aéroports</x:v>
      </x:c>
      <x:c r="D694" t="str">
        <x:v>Aérodrome régional</x:v>
      </x:c>
      <x:c r="E694" t="str">
        <x:v>Identités, migration et reprise</x:v>
      </x:c>
      <x:c r="F694" t="str">
        <x:v>P1</x:v>
      </x:c>
      <x:c r="G694" t="str">
        <x:v>En cours</x:v>
      </x:c>
      <x:c r="H694" t="str">
        <x:v>Production Codex</x:v>
      </x:c>
      <x:c r="I694" t="str">
        <x:v>Livrable explicite, tests positifs et négatifs ; aucune validation déduite de la seule présence de la fiche.</x:v>
      </x:c>
      <x:c r="J694" t="str">
        <x:v>https://github.com/darknigthmare/deadwall-last-enclosure/blob/1b3b9c5ba232734b1bda3453b4e20a0481bcdd74/docs/codex/suivi-monde2026/INSPECTION_PHYSIQUE_2026.md</x:v>
      </x:c>
    </x:row>
    <x:row r="695">
      <x:c r="A695" t="str">
        <x:v>EXT-MONDE-T069/qa</x:v>
      </x:c>
      <x:c r="B695" t="str">
        <x:v>EXT-MONDE-T069</x:v>
      </x:c>
      <x:c r="C695" t="str">
        <x:v>Aéroports</x:v>
      </x:c>
      <x:c r="D695" t="str">
        <x:v>Aérodrome régional</x:v>
      </x:c>
      <x:c r="E695" t="str">
        <x:v>Navigation et parcours jouables</x:v>
      </x:c>
      <x:c r="F695" t="str">
        <x:v>P1</x:v>
      </x:c>
      <x:c r="G695" t="str">
        <x:v>En cours</x:v>
      </x:c>
      <x:c r="H695" t="str">
        <x:v>Production Codex</x:v>
      </x:c>
      <x:c r="I695" t="str">
        <x:v>Livrable explicite, tests positifs et négatifs ; aucune validation déduite de la seule présence de la fiche.</x:v>
      </x:c>
      <x:c r="J695" t="str">
        <x:v>https://github.com/darknigthmare/deadwall-last-enclosure/blob/1b3b9c5ba232734b1bda3453b4e20a0481bcdd74/docs/codex/suivi-monde2026/INSPECTION_PHYSIQUE_2026.md</x:v>
      </x:c>
    </x:row>
    <x:row r="696">
      <x:c r="A696" t="str">
        <x:v>EXT-MONDE-T070/dimensions</x:v>
      </x:c>
      <x:c r="B696" t="str">
        <x:v>EXT-MONDE-T070</x:v>
      </x:c>
      <x:c r="C696" t="str">
        <x:v>Aéroports</x:v>
      </x:c>
      <x:c r="D696" t="str">
        <x:v>Aéroport international</x:v>
      </x:c>
      <x:c r="E696" t="str">
        <x:v>Dimensions et plans de référence</x:v>
      </x:c>
      <x:c r="F696" t="str">
        <x:v>P0</x:v>
      </x:c>
      <x:c r="G696" t="str">
        <x:v>En cours</x:v>
      </x:c>
      <x:c r="H696" t="str">
        <x:v>Production Codex</x:v>
      </x:c>
      <x:c r="I696" t="str">
        <x:v>Sources publiques identifiées ; unités en mètres ; emprise au sol distincte de la hauteur.</x:v>
      </x:c>
      <x:c r="J696" t="str">
        <x:v>https://github.com/darknigthmare/deadwall-last-enclosure/blob/1b3b9c5ba232734b1bda3453b4e20a0481bcdd74/docs/codex/suivi-monde2026/AEROPORTS_RAIL_2026.md</x:v>
      </x:c>
    </x:row>
    <x:row r="697">
      <x:c r="A697" t="str">
        <x:v>EXT-MONDE-T070/architecture</x:v>
      </x:c>
      <x:c r="B697" t="str">
        <x:v>EXT-MONDE-T070</x:v>
      </x:c>
      <x:c r="C697" t="str">
        <x:v>Aéroports</x:v>
      </x:c>
      <x:c r="D697" t="str">
        <x:v>Aéroport international</x:v>
      </x:c>
      <x:c r="E697" t="str">
        <x:v>Pièces, étages, annexes</x:v>
      </x:c>
      <x:c r="F697" t="str">
        <x:v>P0</x:v>
      </x:c>
      <x:c r="G697" t="str">
        <x:v>En cours</x:v>
      </x:c>
      <x:c r="H697" t="str">
        <x:v>Production Codex</x:v>
      </x:c>
      <x:c r="I697" t="str">
        <x:v>Livrable explicite, tests positifs et négatifs ; aucune validation déduite de la seule présence de la fiche.</x:v>
      </x:c>
      <x:c r="J697" t="str">
        <x:v>https://github.com/darknigthmare/deadwall-last-enclosure/blob/1b3b9c5ba232734b1bda3453b4e20a0481bcdd74/docs/codex/suivi-monde2026/INSPECTION_PHYSIQUE_2026.md</x:v>
      </x:c>
    </x:row>
    <x:row r="698">
      <x:c r="A698" t="str">
        <x:v>EXT-MONDE-T070/seed</x:v>
      </x:c>
      <x:c r="B698" t="str">
        <x:v>EXT-MONDE-T070</x:v>
      </x:c>
      <x:c r="C698" t="str">
        <x:v>Aéroports</x:v>
      </x:c>
      <x:c r="D698" t="str">
        <x:v>Aéroport international</x:v>
      </x:c>
      <x:c r="E698" t="str">
        <x:v>Implantation et réseaux</x:v>
      </x:c>
      <x:c r="F698" t="str">
        <x:v>P0</x:v>
      </x:c>
      <x:c r="G698" t="str">
        <x:v>À faire</x:v>
      </x:c>
      <x:c r="H698" t="str">
        <x:v>Non affecté</x:v>
      </x:c>
      <x:c r="I698" t="str">
        <x:v>Continuité piste-taxiway-apron ; obstacles et bâtiments hors réserves ; grandes emprises non comprimées.</x:v>
      </x:c>
      <x:c r="J698" t="str"/>
    </x:row>
    <x:row r="699">
      <x:c r="A699" t="str">
        <x:v>EXT-MONDE-T070/props</x:v>
      </x:c>
      <x:c r="B699" t="str">
        <x:v>EXT-MONDE-T070</x:v>
      </x:c>
      <x:c r="C699" t="str">
        <x:v>Aéroports</x:v>
      </x:c>
      <x:c r="D699" t="str">
        <x:v>Aéroport international</x:v>
      </x:c>
      <x:c r="E699" t="str">
        <x:v>Objets, décors et dégagements</x:v>
      </x:c>
      <x:c r="F699" t="str">
        <x:v>P1</x:v>
      </x:c>
      <x:c r="G699" t="str">
        <x:v>En cours</x:v>
      </x:c>
      <x:c r="H699" t="str">
        <x:v>Production Codex</x:v>
      </x:c>
      <x:c r="I699" t="str">
        <x:v>Livrable explicite, tests positifs et négatifs ; aucune validation déduite de la seule présence de la fiche.</x:v>
      </x:c>
      <x:c r="J699" t="str">
        <x:v>https://github.com/darknigthmare/deadwall-last-enclosure/blob/1b3b9c5ba232734b1bda3453b4e20a0481bcdd74/docs/codex/suivi-monde2026/INSPECTION_PHYSIQUE_2026.md</x:v>
      </x:c>
    </x:row>
    <x:row r="700">
      <x:c r="A700" t="str">
        <x:v>EXT-MONDE-T070/loot</x:v>
      </x:c>
      <x:c r="B700" t="str">
        <x:v>EXT-MONDE-T070</x:v>
      </x:c>
      <x:c r="C700" t="str">
        <x:v>Aéroports</x:v>
      </x:c>
      <x:c r="D700" t="str">
        <x:v>Aéroport international</x:v>
      </x:c>
      <x:c r="E700" t="str">
        <x:v>Budget de butin persistant</x:v>
      </x:c>
      <x:c r="F700" t="str">
        <x:v>P1</x:v>
      </x:c>
      <x:c r="G700" t="str">
        <x:v>À faire</x:v>
      </x:c>
      <x:c r="H700" t="str">
        <x:v>Non affecté</x:v>
      </x:c>
      <x:c r="I700" t="str">
        <x:v>Livrable explicite, tests positifs et négatifs ; aucune validation déduite de la seule présence de la fiche.</x:v>
      </x:c>
      <x:c r="J700" t="str"/>
    </x:row>
    <x:row r="701">
      <x:c r="A701" t="str">
        <x:v>EXT-MONDE-T070/rencontres</x:v>
      </x:c>
      <x:c r="B701" t="str">
        <x:v>EXT-MONDE-T070</x:v>
      </x:c>
      <x:c r="C701" t="str">
        <x:v>Aéroports</x:v>
      </x:c>
      <x:c r="D701" t="str">
        <x:v>Aéroport international</x:v>
      </x:c>
      <x:c r="E701" t="str">
        <x:v>Ennemis et faune contextualisés</x:v>
      </x:c>
      <x:c r="F701" t="str">
        <x:v>P1</x:v>
      </x:c>
      <x:c r="G701" t="str">
        <x:v>À faire</x:v>
      </x:c>
      <x:c r="H701" t="str">
        <x:v>Non affecté</x:v>
      </x:c>
      <x:c r="I701" t="str">
        <x:v>Livrable explicite, tests positifs et négatifs ; aucune validation déduite de la seule présence de la fiche.</x:v>
      </x:c>
      <x:c r="J701" t="str"/>
    </x:row>
    <x:row r="702">
      <x:c r="A702" t="str">
        <x:v>EXT-MONDE-T070/services</x:v>
      </x:c>
      <x:c r="B702" t="str">
        <x:v>EXT-MONDE-T070</x:v>
      </x:c>
      <x:c r="C702" t="str">
        <x:v>Aéroports</x:v>
      </x:c>
      <x:c r="D702" t="str">
        <x:v>Aéroport international</x:v>
      </x:c>
      <x:c r="E702" t="str">
        <x:v>Énergie, eau et interactions</x:v>
      </x:c>
      <x:c r="F702" t="str">
        <x:v>P1</x:v>
      </x:c>
      <x:c r="G702" t="str">
        <x:v>À faire</x:v>
      </x:c>
      <x:c r="H702" t="str">
        <x:v>Non affecté</x:v>
      </x:c>
      <x:c r="I702" t="str">
        <x:v>Livrable explicite, tests positifs et négatifs ; aucune validation déduite de la seule présence de la fiche.</x:v>
      </x:c>
      <x:c r="J702" t="str"/>
    </x:row>
    <x:row r="703">
      <x:c r="A703" t="str">
        <x:v>EXT-MONDE-T070/art</x:v>
      </x:c>
      <x:c r="B703" t="str">
        <x:v>EXT-MONDE-T070</x:v>
      </x:c>
      <x:c r="C703" t="str">
        <x:v>Aéroports</x:v>
      </x:c>
      <x:c r="D703" t="str">
        <x:v>Aéroport international</x:v>
      </x:c>
      <x:c r="E703" t="str">
        <x:v>Sprites, proportions et animations</x:v>
      </x:c>
      <x:c r="F703" t="str">
        <x:v>P1</x:v>
      </x:c>
      <x:c r="G703" t="str">
        <x:v>À faire</x:v>
      </x:c>
      <x:c r="H703" t="str">
        <x:v>Non affecté</x:v>
      </x:c>
      <x:c r="I703" t="str">
        <x:v>Livrable explicite, tests positifs et négatifs ; aucune validation déduite de la seule présence de la fiche.</x:v>
      </x:c>
      <x:c r="J703" t="str"/>
    </x:row>
    <x:row r="704">
      <x:c r="A704" t="str">
        <x:v>EXT-MONDE-T070/sauvegarde</x:v>
      </x:c>
      <x:c r="B704" t="str">
        <x:v>EXT-MONDE-T070</x:v>
      </x:c>
      <x:c r="C704" t="str">
        <x:v>Aéroports</x:v>
      </x:c>
      <x:c r="D704" t="str">
        <x:v>Aéroport international</x:v>
      </x:c>
      <x:c r="E704" t="str">
        <x:v>Identités, migration et reprise</x:v>
      </x:c>
      <x:c r="F704" t="str">
        <x:v>P1</x:v>
      </x:c>
      <x:c r="G704" t="str">
        <x:v>En cours</x:v>
      </x:c>
      <x:c r="H704" t="str">
        <x:v>Production Codex</x:v>
      </x:c>
      <x:c r="I704" t="str">
        <x:v>Livrable explicite, tests positifs et négatifs ; aucune validation déduite de la seule présence de la fiche.</x:v>
      </x:c>
      <x:c r="J704" t="str">
        <x:v>https://github.com/darknigthmare/deadwall-last-enclosure/blob/1b3b9c5ba232734b1bda3453b4e20a0481bcdd74/docs/codex/suivi-monde2026/INSPECTION_PHYSIQUE_2026.md</x:v>
      </x:c>
    </x:row>
    <x:row r="705">
      <x:c r="A705" t="str">
        <x:v>EXT-MONDE-T070/qa</x:v>
      </x:c>
      <x:c r="B705" t="str">
        <x:v>EXT-MONDE-T070</x:v>
      </x:c>
      <x:c r="C705" t="str">
        <x:v>Aéroports</x:v>
      </x:c>
      <x:c r="D705" t="str">
        <x:v>Aéroport international</x:v>
      </x:c>
      <x:c r="E705" t="str">
        <x:v>Navigation et parcours jouables</x:v>
      </x:c>
      <x:c r="F705" t="str">
        <x:v>P1</x:v>
      </x:c>
      <x:c r="G705" t="str">
        <x:v>En cours</x:v>
      </x:c>
      <x:c r="H705" t="str">
        <x:v>Production Codex</x:v>
      </x:c>
      <x:c r="I705" t="str">
        <x:v>Livrable explicite, tests positifs et négatifs ; aucune validation déduite de la seule présence de la fiche.</x:v>
      </x:c>
      <x:c r="J705" t="str">
        <x:v>https://github.com/darknigthmare/deadwall-last-enclosure/blob/1b3b9c5ba232734b1bda3453b4e20a0481bcdd74/docs/codex/suivi-monde2026/INSPECTION_PHYSIQUE_2026.md</x:v>
      </x:c>
    </x:row>
    <x:row r="706">
      <x:c r="A706" t="str">
        <x:v>EXT-MONDE-T071/dimensions</x:v>
      </x:c>
      <x:c r="B706" t="str">
        <x:v>EXT-MONDE-T071</x:v>
      </x:c>
      <x:c r="C706" t="str">
        <x:v>Aéroports</x:v>
      </x:c>
      <x:c r="D706" t="str">
        <x:v>Aéroport de fret</x:v>
      </x:c>
      <x:c r="E706" t="str">
        <x:v>Dimensions et plans de référence</x:v>
      </x:c>
      <x:c r="F706" t="str">
        <x:v>P0</x:v>
      </x:c>
      <x:c r="G706" t="str">
        <x:v>En cours</x:v>
      </x:c>
      <x:c r="H706" t="str">
        <x:v>Production Codex</x:v>
      </x:c>
      <x:c r="I706" t="str">
        <x:v>Sources publiques identifiées ; unités en mètres ; emprise au sol distincte de la hauteur.</x:v>
      </x:c>
      <x:c r="J706" t="str">
        <x:v>https://github.com/darknigthmare/deadwall-last-enclosure/blob/1b3b9c5ba232734b1bda3453b4e20a0481bcdd74/docs/codex/suivi-monde2026/AEROPORTS_RAIL_2026.md</x:v>
      </x:c>
    </x:row>
    <x:row r="707">
      <x:c r="A707" t="str">
        <x:v>EXT-MONDE-T071/architecture</x:v>
      </x:c>
      <x:c r="B707" t="str">
        <x:v>EXT-MONDE-T071</x:v>
      </x:c>
      <x:c r="C707" t="str">
        <x:v>Aéroports</x:v>
      </x:c>
      <x:c r="D707" t="str">
        <x:v>Aéroport de fret</x:v>
      </x:c>
      <x:c r="E707" t="str">
        <x:v>Pièces, étages, annexes</x:v>
      </x:c>
      <x:c r="F707" t="str">
        <x:v>P0</x:v>
      </x:c>
      <x:c r="G707" t="str">
        <x:v>En cours</x:v>
      </x:c>
      <x:c r="H707" t="str">
        <x:v>Production Codex</x:v>
      </x:c>
      <x:c r="I707" t="str">
        <x:v>Livrable explicite, tests positifs et négatifs ; aucune validation déduite de la seule présence de la fiche.</x:v>
      </x:c>
      <x:c r="J707" t="str">
        <x:v>https://github.com/darknigthmare/deadwall-last-enclosure/blob/1b3b9c5ba232734b1bda3453b4e20a0481bcdd74/docs/codex/suivi-monde2026/INSPECTION_PHYSIQUE_2026.md</x:v>
      </x:c>
    </x:row>
    <x:row r="708">
      <x:c r="A708" t="str">
        <x:v>EXT-MONDE-T071/seed</x:v>
      </x:c>
      <x:c r="B708" t="str">
        <x:v>EXT-MONDE-T071</x:v>
      </x:c>
      <x:c r="C708" t="str">
        <x:v>Aéroports</x:v>
      </x:c>
      <x:c r="D708" t="str">
        <x:v>Aéroport de fret</x:v>
      </x:c>
      <x:c r="E708" t="str">
        <x:v>Implantation et réseaux</x:v>
      </x:c>
      <x:c r="F708" t="str">
        <x:v>P0</x:v>
      </x:c>
      <x:c r="G708" t="str">
        <x:v>À faire</x:v>
      </x:c>
      <x:c r="H708" t="str">
        <x:v>Non affecté</x:v>
      </x:c>
      <x:c r="I708" t="str">
        <x:v>Continuité piste-taxiway-apron ; obstacles et bâtiments hors réserves ; grandes emprises non comprimées.</x:v>
      </x:c>
      <x:c r="J708" t="str"/>
    </x:row>
    <x:row r="709">
      <x:c r="A709" t="str">
        <x:v>EXT-MONDE-T071/props</x:v>
      </x:c>
      <x:c r="B709" t="str">
        <x:v>EXT-MONDE-T071</x:v>
      </x:c>
      <x:c r="C709" t="str">
        <x:v>Aéroports</x:v>
      </x:c>
      <x:c r="D709" t="str">
        <x:v>Aéroport de fret</x:v>
      </x:c>
      <x:c r="E709" t="str">
        <x:v>Objets, décors et dégagements</x:v>
      </x:c>
      <x:c r="F709" t="str">
        <x:v>P1</x:v>
      </x:c>
      <x:c r="G709" t="str">
        <x:v>En cours</x:v>
      </x:c>
      <x:c r="H709" t="str">
        <x:v>Production Codex</x:v>
      </x:c>
      <x:c r="I709" t="str">
        <x:v>Livrable explicite, tests positifs et négatifs ; aucune validation déduite de la seule présence de la fiche.</x:v>
      </x:c>
      <x:c r="J709" t="str">
        <x:v>https://github.com/darknigthmare/deadwall-last-enclosure/blob/1b3b9c5ba232734b1bda3453b4e20a0481bcdd74/docs/codex/suivi-monde2026/INSPECTION_PHYSIQUE_2026.md</x:v>
      </x:c>
    </x:row>
    <x:row r="710">
      <x:c r="A710" t="str">
        <x:v>EXT-MONDE-T071/loot</x:v>
      </x:c>
      <x:c r="B710" t="str">
        <x:v>EXT-MONDE-T071</x:v>
      </x:c>
      <x:c r="C710" t="str">
        <x:v>Aéroports</x:v>
      </x:c>
      <x:c r="D710" t="str">
        <x:v>Aéroport de fret</x:v>
      </x:c>
      <x:c r="E710" t="str">
        <x:v>Budget de butin persistant</x:v>
      </x:c>
      <x:c r="F710" t="str">
        <x:v>P1</x:v>
      </x:c>
      <x:c r="G710" t="str">
        <x:v>À faire</x:v>
      </x:c>
      <x:c r="H710" t="str">
        <x:v>Non affecté</x:v>
      </x:c>
      <x:c r="I710" t="str">
        <x:v>Livrable explicite, tests positifs et négatifs ; aucune validation déduite de la seule présence de la fiche.</x:v>
      </x:c>
      <x:c r="J710" t="str"/>
    </x:row>
    <x:row r="711">
      <x:c r="A711" t="str">
        <x:v>EXT-MONDE-T071/rencontres</x:v>
      </x:c>
      <x:c r="B711" t="str">
        <x:v>EXT-MONDE-T071</x:v>
      </x:c>
      <x:c r="C711" t="str">
        <x:v>Aéroports</x:v>
      </x:c>
      <x:c r="D711" t="str">
        <x:v>Aéroport de fret</x:v>
      </x:c>
      <x:c r="E711" t="str">
        <x:v>Ennemis et faune contextualisés</x:v>
      </x:c>
      <x:c r="F711" t="str">
        <x:v>P1</x:v>
      </x:c>
      <x:c r="G711" t="str">
        <x:v>À faire</x:v>
      </x:c>
      <x:c r="H711" t="str">
        <x:v>Non affecté</x:v>
      </x:c>
      <x:c r="I711" t="str">
        <x:v>Livrable explicite, tests positifs et négatifs ; aucune validation déduite de la seule présence de la fiche.</x:v>
      </x:c>
      <x:c r="J711" t="str"/>
    </x:row>
    <x:row r="712">
      <x:c r="A712" t="str">
        <x:v>EXT-MONDE-T071/services</x:v>
      </x:c>
      <x:c r="B712" t="str">
        <x:v>EXT-MONDE-T071</x:v>
      </x:c>
      <x:c r="C712" t="str">
        <x:v>Aéroports</x:v>
      </x:c>
      <x:c r="D712" t="str">
        <x:v>Aéroport de fret</x:v>
      </x:c>
      <x:c r="E712" t="str">
        <x:v>Énergie, eau et interactions</x:v>
      </x:c>
      <x:c r="F712" t="str">
        <x:v>P1</x:v>
      </x:c>
      <x:c r="G712" t="str">
        <x:v>À faire</x:v>
      </x:c>
      <x:c r="H712" t="str">
        <x:v>Non affecté</x:v>
      </x:c>
      <x:c r="I712" t="str">
        <x:v>Livrable explicite, tests positifs et négatifs ; aucune validation déduite de la seule présence de la fiche.</x:v>
      </x:c>
      <x:c r="J712" t="str"/>
    </x:row>
    <x:row r="713">
      <x:c r="A713" t="str">
        <x:v>EXT-MONDE-T071/art</x:v>
      </x:c>
      <x:c r="B713" t="str">
        <x:v>EXT-MONDE-T071</x:v>
      </x:c>
      <x:c r="C713" t="str">
        <x:v>Aéroports</x:v>
      </x:c>
      <x:c r="D713" t="str">
        <x:v>Aéroport de fret</x:v>
      </x:c>
      <x:c r="E713" t="str">
        <x:v>Sprites, proportions et animations</x:v>
      </x:c>
      <x:c r="F713" t="str">
        <x:v>P1</x:v>
      </x:c>
      <x:c r="G713" t="str">
        <x:v>À faire</x:v>
      </x:c>
      <x:c r="H713" t="str">
        <x:v>Non affecté</x:v>
      </x:c>
      <x:c r="I713" t="str">
        <x:v>Livrable explicite, tests positifs et négatifs ; aucune validation déduite de la seule présence de la fiche.</x:v>
      </x:c>
      <x:c r="J713" t="str"/>
    </x:row>
    <x:row r="714">
      <x:c r="A714" t="str">
        <x:v>EXT-MONDE-T071/sauvegarde</x:v>
      </x:c>
      <x:c r="B714" t="str">
        <x:v>EXT-MONDE-T071</x:v>
      </x:c>
      <x:c r="C714" t="str">
        <x:v>Aéroports</x:v>
      </x:c>
      <x:c r="D714" t="str">
        <x:v>Aéroport de fret</x:v>
      </x:c>
      <x:c r="E714" t="str">
        <x:v>Identités, migration et reprise</x:v>
      </x:c>
      <x:c r="F714" t="str">
        <x:v>P1</x:v>
      </x:c>
      <x:c r="G714" t="str">
        <x:v>En cours</x:v>
      </x:c>
      <x:c r="H714" t="str">
        <x:v>Production Codex</x:v>
      </x:c>
      <x:c r="I714" t="str">
        <x:v>Livrable explicite, tests positifs et négatifs ; aucune validation déduite de la seule présence de la fiche.</x:v>
      </x:c>
      <x:c r="J714" t="str">
        <x:v>https://github.com/darknigthmare/deadwall-last-enclosure/blob/1b3b9c5ba232734b1bda3453b4e20a0481bcdd74/docs/codex/suivi-monde2026/INSPECTION_PHYSIQUE_2026.md</x:v>
      </x:c>
    </x:row>
    <x:row r="715">
      <x:c r="A715" t="str">
        <x:v>EXT-MONDE-T071/qa</x:v>
      </x:c>
      <x:c r="B715" t="str">
        <x:v>EXT-MONDE-T071</x:v>
      </x:c>
      <x:c r="C715" t="str">
        <x:v>Aéroports</x:v>
      </x:c>
      <x:c r="D715" t="str">
        <x:v>Aéroport de fret</x:v>
      </x:c>
      <x:c r="E715" t="str">
        <x:v>Navigation et parcours jouables</x:v>
      </x:c>
      <x:c r="F715" t="str">
        <x:v>P1</x:v>
      </x:c>
      <x:c r="G715" t="str">
        <x:v>En cours</x:v>
      </x:c>
      <x:c r="H715" t="str">
        <x:v>Production Codex</x:v>
      </x:c>
      <x:c r="I715" t="str">
        <x:v>Livrable explicite, tests positifs et négatifs ; aucune validation déduite de la seule présence de la fiche.</x:v>
      </x:c>
      <x:c r="J715" t="str">
        <x:v>https://github.com/darknigthmare/deadwall-last-enclosure/blob/1b3b9c5ba232734b1bda3453b4e20a0481bcdd74/docs/codex/suivi-monde2026/INSPECTION_PHYSIQUE_2026.md</x:v>
      </x:c>
    </x:row>
    <x:row r="716">
      <x:c r="A716" t="str">
        <x:v>EXT-MONDE-T072/dimensions</x:v>
      </x:c>
      <x:c r="B716" t="str">
        <x:v>EXT-MONDE-T072</x:v>
      </x:c>
      <x:c r="C716" t="str">
        <x:v>Aéroports</x:v>
      </x:c>
      <x:c r="D716" t="str">
        <x:v>Aérodrome insulaire</x:v>
      </x:c>
      <x:c r="E716" t="str">
        <x:v>Dimensions et plans de référence</x:v>
      </x:c>
      <x:c r="F716" t="str">
        <x:v>P0</x:v>
      </x:c>
      <x:c r="G716" t="str">
        <x:v>En cours</x:v>
      </x:c>
      <x:c r="H716" t="str">
        <x:v>Production Codex</x:v>
      </x:c>
      <x:c r="I716" t="str">
        <x:v>Sources publiques identifiées ; unités en mètres ; emprise au sol distincte de la hauteur.</x:v>
      </x:c>
      <x:c r="J716" t="str">
        <x:v>https://github.com/darknigthmare/deadwall-last-enclosure/blob/1b3b9c5ba232734b1bda3453b4e20a0481bcdd74/docs/codex/suivi-monde2026/AEROPORTS_RAIL_2026.md</x:v>
      </x:c>
    </x:row>
    <x:row r="717">
      <x:c r="A717" t="str">
        <x:v>EXT-MONDE-T072/architecture</x:v>
      </x:c>
      <x:c r="B717" t="str">
        <x:v>EXT-MONDE-T072</x:v>
      </x:c>
      <x:c r="C717" t="str">
        <x:v>Aéroports</x:v>
      </x:c>
      <x:c r="D717" t="str">
        <x:v>Aérodrome insulaire</x:v>
      </x:c>
      <x:c r="E717" t="str">
        <x:v>Pièces, étages, annexes</x:v>
      </x:c>
      <x:c r="F717" t="str">
        <x:v>P0</x:v>
      </x:c>
      <x:c r="G717" t="str">
        <x:v>En cours</x:v>
      </x:c>
      <x:c r="H717" t="str">
        <x:v>Production Codex</x:v>
      </x:c>
      <x:c r="I717" t="str">
        <x:v>Livrable explicite, tests positifs et négatifs ; aucune validation déduite de la seule présence de la fiche.</x:v>
      </x:c>
      <x:c r="J717" t="str">
        <x:v>https://github.com/darknigthmare/deadwall-last-enclosure/blob/1b3b9c5ba232734b1bda3453b4e20a0481bcdd74/docs/codex/suivi-monde2026/INSPECTION_PHYSIQUE_2026.md</x:v>
      </x:c>
    </x:row>
    <x:row r="718">
      <x:c r="A718" t="str">
        <x:v>EXT-MONDE-T072/seed</x:v>
      </x:c>
      <x:c r="B718" t="str">
        <x:v>EXT-MONDE-T072</x:v>
      </x:c>
      <x:c r="C718" t="str">
        <x:v>Aéroports</x:v>
      </x:c>
      <x:c r="D718" t="str">
        <x:v>Aérodrome insulaire</x:v>
      </x:c>
      <x:c r="E718" t="str">
        <x:v>Implantation et réseaux</x:v>
      </x:c>
      <x:c r="F718" t="str">
        <x:v>P0</x:v>
      </x:c>
      <x:c r="G718" t="str">
        <x:v>À faire</x:v>
      </x:c>
      <x:c r="H718" t="str">
        <x:v>Non affecté</x:v>
      </x:c>
      <x:c r="I718" t="str">
        <x:v>Continuité piste-taxiway-apron ; obstacles et bâtiments hors réserves ; grandes emprises non comprimées.</x:v>
      </x:c>
      <x:c r="J718" t="str"/>
    </x:row>
    <x:row r="719">
      <x:c r="A719" t="str">
        <x:v>EXT-MONDE-T072/props</x:v>
      </x:c>
      <x:c r="B719" t="str">
        <x:v>EXT-MONDE-T072</x:v>
      </x:c>
      <x:c r="C719" t="str">
        <x:v>Aéroports</x:v>
      </x:c>
      <x:c r="D719" t="str">
        <x:v>Aérodrome insulaire</x:v>
      </x:c>
      <x:c r="E719" t="str">
        <x:v>Objets, décors et dégagements</x:v>
      </x:c>
      <x:c r="F719" t="str">
        <x:v>P1</x:v>
      </x:c>
      <x:c r="G719" t="str">
        <x:v>En cours</x:v>
      </x:c>
      <x:c r="H719" t="str">
        <x:v>Production Codex</x:v>
      </x:c>
      <x:c r="I719" t="str">
        <x:v>Livrable explicite, tests positifs et négatifs ; aucune validation déduite de la seule présence de la fiche.</x:v>
      </x:c>
      <x:c r="J719" t="str">
        <x:v>https://github.com/darknigthmare/deadwall-last-enclosure/blob/1b3b9c5ba232734b1bda3453b4e20a0481bcdd74/docs/codex/suivi-monde2026/INSPECTION_PHYSIQUE_2026.md</x:v>
      </x:c>
    </x:row>
    <x:row r="720">
      <x:c r="A720" t="str">
        <x:v>EXT-MONDE-T072/loot</x:v>
      </x:c>
      <x:c r="B720" t="str">
        <x:v>EXT-MONDE-T072</x:v>
      </x:c>
      <x:c r="C720" t="str">
        <x:v>Aéroports</x:v>
      </x:c>
      <x:c r="D720" t="str">
        <x:v>Aérodrome insulaire</x:v>
      </x:c>
      <x:c r="E720" t="str">
        <x:v>Budget de butin persistant</x:v>
      </x:c>
      <x:c r="F720" t="str">
        <x:v>P1</x:v>
      </x:c>
      <x:c r="G720" t="str">
        <x:v>À faire</x:v>
      </x:c>
      <x:c r="H720" t="str">
        <x:v>Non affecté</x:v>
      </x:c>
      <x:c r="I720" t="str">
        <x:v>Livrable explicite, tests positifs et négatifs ; aucune validation déduite de la seule présence de la fiche.</x:v>
      </x:c>
      <x:c r="J720" t="str"/>
    </x:row>
    <x:row r="721">
      <x:c r="A721" t="str">
        <x:v>EXT-MONDE-T072/rencontres</x:v>
      </x:c>
      <x:c r="B721" t="str">
        <x:v>EXT-MONDE-T072</x:v>
      </x:c>
      <x:c r="C721" t="str">
        <x:v>Aéroports</x:v>
      </x:c>
      <x:c r="D721" t="str">
        <x:v>Aérodrome insulaire</x:v>
      </x:c>
      <x:c r="E721" t="str">
        <x:v>Ennemis et faune contextualisés</x:v>
      </x:c>
      <x:c r="F721" t="str">
        <x:v>P1</x:v>
      </x:c>
      <x:c r="G721" t="str">
        <x:v>À faire</x:v>
      </x:c>
      <x:c r="H721" t="str">
        <x:v>Non affecté</x:v>
      </x:c>
      <x:c r="I721" t="str">
        <x:v>Livrable explicite, tests positifs et négatifs ; aucune validation déduite de la seule présence de la fiche.</x:v>
      </x:c>
      <x:c r="J721" t="str"/>
    </x:row>
    <x:row r="722">
      <x:c r="A722" t="str">
        <x:v>EXT-MONDE-T072/services</x:v>
      </x:c>
      <x:c r="B722" t="str">
        <x:v>EXT-MONDE-T072</x:v>
      </x:c>
      <x:c r="C722" t="str">
        <x:v>Aéroports</x:v>
      </x:c>
      <x:c r="D722" t="str">
        <x:v>Aérodrome insulaire</x:v>
      </x:c>
      <x:c r="E722" t="str">
        <x:v>Énergie, eau et interactions</x:v>
      </x:c>
      <x:c r="F722" t="str">
        <x:v>P1</x:v>
      </x:c>
      <x:c r="G722" t="str">
        <x:v>À faire</x:v>
      </x:c>
      <x:c r="H722" t="str">
        <x:v>Non affecté</x:v>
      </x:c>
      <x:c r="I722" t="str">
        <x:v>Livrable explicite, tests positifs et négatifs ; aucune validation déduite de la seule présence de la fiche.</x:v>
      </x:c>
      <x:c r="J722" t="str"/>
    </x:row>
    <x:row r="723">
      <x:c r="A723" t="str">
        <x:v>EXT-MONDE-T072/art</x:v>
      </x:c>
      <x:c r="B723" t="str">
        <x:v>EXT-MONDE-T072</x:v>
      </x:c>
      <x:c r="C723" t="str">
        <x:v>Aéroports</x:v>
      </x:c>
      <x:c r="D723" t="str">
        <x:v>Aérodrome insulaire</x:v>
      </x:c>
      <x:c r="E723" t="str">
        <x:v>Sprites, proportions et animations</x:v>
      </x:c>
      <x:c r="F723" t="str">
        <x:v>P1</x:v>
      </x:c>
      <x:c r="G723" t="str">
        <x:v>À faire</x:v>
      </x:c>
      <x:c r="H723" t="str">
        <x:v>Non affecté</x:v>
      </x:c>
      <x:c r="I723" t="str">
        <x:v>Livrable explicite, tests positifs et négatifs ; aucune validation déduite de la seule présence de la fiche.</x:v>
      </x:c>
      <x:c r="J723" t="str"/>
    </x:row>
    <x:row r="724">
      <x:c r="A724" t="str">
        <x:v>EXT-MONDE-T072/sauvegarde</x:v>
      </x:c>
      <x:c r="B724" t="str">
        <x:v>EXT-MONDE-T072</x:v>
      </x:c>
      <x:c r="C724" t="str">
        <x:v>Aéroports</x:v>
      </x:c>
      <x:c r="D724" t="str">
        <x:v>Aérodrome insulaire</x:v>
      </x:c>
      <x:c r="E724" t="str">
        <x:v>Identités, migration et reprise</x:v>
      </x:c>
      <x:c r="F724" t="str">
        <x:v>P1</x:v>
      </x:c>
      <x:c r="G724" t="str">
        <x:v>En cours</x:v>
      </x:c>
      <x:c r="H724" t="str">
        <x:v>Production Codex</x:v>
      </x:c>
      <x:c r="I724" t="str">
        <x:v>Livrable explicite, tests positifs et négatifs ; aucune validation déduite de la seule présence de la fiche.</x:v>
      </x:c>
      <x:c r="J724" t="str">
        <x:v>https://github.com/darknigthmare/deadwall-last-enclosure/blob/1b3b9c5ba232734b1bda3453b4e20a0481bcdd74/docs/codex/suivi-monde2026/INSPECTION_PHYSIQUE_2026.md</x:v>
      </x:c>
    </x:row>
    <x:row r="725">
      <x:c r="A725" t="str">
        <x:v>EXT-MONDE-T072/qa</x:v>
      </x:c>
      <x:c r="B725" t="str">
        <x:v>EXT-MONDE-T072</x:v>
      </x:c>
      <x:c r="C725" t="str">
        <x:v>Aéroports</x:v>
      </x:c>
      <x:c r="D725" t="str">
        <x:v>Aérodrome insulaire</x:v>
      </x:c>
      <x:c r="E725" t="str">
        <x:v>Navigation et parcours jouables</x:v>
      </x:c>
      <x:c r="F725" t="str">
        <x:v>P1</x:v>
      </x:c>
      <x:c r="G725" t="str">
        <x:v>En cours</x:v>
      </x:c>
      <x:c r="H725" t="str">
        <x:v>Production Codex</x:v>
      </x:c>
      <x:c r="I725" t="str">
        <x:v>Livrable explicite, tests positifs et négatifs ; aucune validation déduite de la seule présence de la fiche.</x:v>
      </x:c>
      <x:c r="J725" t="str">
        <x:v>https://github.com/darknigthmare/deadwall-last-enclosure/blob/1b3b9c5ba232734b1bda3453b4e20a0481bcdd74/docs/codex/suivi-monde2026/INSPECTION_PHYSIQUE_2026.md</x:v>
      </x:c>
    </x:row>
    <x:row r="726">
      <x:c r="A726" t="str">
        <x:v>EXT-MONDE-T073/dimensions</x:v>
      </x:c>
      <x:c r="B726" t="str">
        <x:v>EXT-MONDE-T073</x:v>
      </x:c>
      <x:c r="C726" t="str">
        <x:v>Ferroviaire</x:v>
      </x:c>
      <x:c r="D726" t="str">
        <x:v>Gare de passage</x:v>
      </x:c>
      <x:c r="E726" t="str">
        <x:v>Dimensions et plans de référence</x:v>
      </x:c>
      <x:c r="F726" t="str">
        <x:v>P0</x:v>
      </x:c>
      <x:c r="G726" t="str">
        <x:v>En cours</x:v>
      </x:c>
      <x:c r="H726" t="str">
        <x:v>Production Codex</x:v>
      </x:c>
      <x:c r="I726" t="str">
        <x:v>Sources publiques identifiées ; unités en mètres ; emprise au sol distincte de la hauteur.</x:v>
      </x:c>
      <x:c r="J726" t="str">
        <x:v>https://github.com/darknigthmare/deadwall-last-enclosure/blob/1b3b9c5ba232734b1bda3453b4e20a0481bcdd74/docs/codex/suivi-monde2026/AEROPORTS_RAIL_2026.md</x:v>
      </x:c>
    </x:row>
    <x:row r="727">
      <x:c r="A727" t="str">
        <x:v>EXT-MONDE-T073/architecture</x:v>
      </x:c>
      <x:c r="B727" t="str">
        <x:v>EXT-MONDE-T073</x:v>
      </x:c>
      <x:c r="C727" t="str">
        <x:v>Ferroviaire</x:v>
      </x:c>
      <x:c r="D727" t="str">
        <x:v>Gare de passage</x:v>
      </x:c>
      <x:c r="E727" t="str">
        <x:v>Pièces, étages, annexes</x:v>
      </x:c>
      <x:c r="F727" t="str">
        <x:v>P0</x:v>
      </x:c>
      <x:c r="G727" t="str">
        <x:v>En cours</x:v>
      </x:c>
      <x:c r="H727" t="str">
        <x:v>Production Codex</x:v>
      </x:c>
      <x:c r="I727" t="str">
        <x:v>Livrable explicite, tests positifs et négatifs ; aucune validation déduite de la seule présence de la fiche.</x:v>
      </x:c>
      <x:c r="J727" t="str">
        <x:v>https://github.com/darknigthmare/deadwall-last-enclosure/blob/1b3b9c5ba232734b1bda3453b4e20a0481bcdd74/docs/codex/suivi-monde2026/INSPECTION_PHYSIQUE_2026.md</x:v>
      </x:c>
    </x:row>
    <x:row r="728">
      <x:c r="A728" t="str">
        <x:v>EXT-MONDE-T073/seed</x:v>
      </x:c>
      <x:c r="B728" t="str">
        <x:v>EXT-MONDE-T073</x:v>
      </x:c>
      <x:c r="C728" t="str">
        <x:v>Ferroviaire</x:v>
      </x:c>
      <x:c r="D728" t="str">
        <x:v>Gare de passage</x:v>
      </x:c>
      <x:c r="E728" t="str">
        <x:v>Implantation et réseaux</x:v>
      </x:c>
      <x:c r="F728" t="str">
        <x:v>P0</x:v>
      </x:c>
      <x:c r="G728" t="str">
        <x:v>À faire</x:v>
      </x:c>
      <x:c r="H728" t="str">
        <x:v>Non affecté</x:v>
      </x:c>
      <x:c r="I728" t="str">
        <x:v>Chaque voie possède destination ou butoir ; aiguilles explicites ; niveau des croisements respecté.</x:v>
      </x:c>
      <x:c r="J728" t="str"/>
    </x:row>
    <x:row r="729">
      <x:c r="A729" t="str">
        <x:v>EXT-MONDE-T073/props</x:v>
      </x:c>
      <x:c r="B729" t="str">
        <x:v>EXT-MONDE-T073</x:v>
      </x:c>
      <x:c r="C729" t="str">
        <x:v>Ferroviaire</x:v>
      </x:c>
      <x:c r="D729" t="str">
        <x:v>Gare de passage</x:v>
      </x:c>
      <x:c r="E729" t="str">
        <x:v>Objets, décors et dégagements</x:v>
      </x:c>
      <x:c r="F729" t="str">
        <x:v>P1</x:v>
      </x:c>
      <x:c r="G729" t="str">
        <x:v>En cours</x:v>
      </x:c>
      <x:c r="H729" t="str">
        <x:v>Production Codex</x:v>
      </x:c>
      <x:c r="I729" t="str">
        <x:v>Livrable explicite, tests positifs et négatifs ; aucune validation déduite de la seule présence de la fiche.</x:v>
      </x:c>
      <x:c r="J729" t="str">
        <x:v>https://github.com/darknigthmare/deadwall-last-enclosure/blob/1b3b9c5ba232734b1bda3453b4e20a0481bcdd74/docs/codex/suivi-monde2026/INSPECTION_PHYSIQUE_2026.md</x:v>
      </x:c>
    </x:row>
    <x:row r="730">
      <x:c r="A730" t="str">
        <x:v>EXT-MONDE-T073/loot</x:v>
      </x:c>
      <x:c r="B730" t="str">
        <x:v>EXT-MONDE-T073</x:v>
      </x:c>
      <x:c r="C730" t="str">
        <x:v>Ferroviaire</x:v>
      </x:c>
      <x:c r="D730" t="str">
        <x:v>Gare de passage</x:v>
      </x:c>
      <x:c r="E730" t="str">
        <x:v>Budget de butin persistant</x:v>
      </x:c>
      <x:c r="F730" t="str">
        <x:v>P1</x:v>
      </x:c>
      <x:c r="G730" t="str">
        <x:v>À faire</x:v>
      </x:c>
      <x:c r="H730" t="str">
        <x:v>Non affecté</x:v>
      </x:c>
      <x:c r="I730" t="str">
        <x:v>Livrable explicite, tests positifs et négatifs ; aucune validation déduite de la seule présence de la fiche.</x:v>
      </x:c>
      <x:c r="J730" t="str"/>
    </x:row>
    <x:row r="731">
      <x:c r="A731" t="str">
        <x:v>EXT-MONDE-T073/rencontres</x:v>
      </x:c>
      <x:c r="B731" t="str">
        <x:v>EXT-MONDE-T073</x:v>
      </x:c>
      <x:c r="C731" t="str">
        <x:v>Ferroviaire</x:v>
      </x:c>
      <x:c r="D731" t="str">
        <x:v>Gare de passage</x:v>
      </x:c>
      <x:c r="E731" t="str">
        <x:v>Ennemis et faune contextualisés</x:v>
      </x:c>
      <x:c r="F731" t="str">
        <x:v>P1</x:v>
      </x:c>
      <x:c r="G731" t="str">
        <x:v>À faire</x:v>
      </x:c>
      <x:c r="H731" t="str">
        <x:v>Non affecté</x:v>
      </x:c>
      <x:c r="I731" t="str">
        <x:v>Livrable explicite, tests positifs et négatifs ; aucune validation déduite de la seule présence de la fiche.</x:v>
      </x:c>
      <x:c r="J731" t="str"/>
    </x:row>
    <x:row r="732">
      <x:c r="A732" t="str">
        <x:v>EXT-MONDE-T073/services</x:v>
      </x:c>
      <x:c r="B732" t="str">
        <x:v>EXT-MONDE-T073</x:v>
      </x:c>
      <x:c r="C732" t="str">
        <x:v>Ferroviaire</x:v>
      </x:c>
      <x:c r="D732" t="str">
        <x:v>Gare de passage</x:v>
      </x:c>
      <x:c r="E732" t="str">
        <x:v>Énergie, eau et interactions</x:v>
      </x:c>
      <x:c r="F732" t="str">
        <x:v>P1</x:v>
      </x:c>
      <x:c r="G732" t="str">
        <x:v>À faire</x:v>
      </x:c>
      <x:c r="H732" t="str">
        <x:v>Non affecté</x:v>
      </x:c>
      <x:c r="I732" t="str">
        <x:v>Livrable explicite, tests positifs et négatifs ; aucune validation déduite de la seule présence de la fiche.</x:v>
      </x:c>
      <x:c r="J732" t="str"/>
    </x:row>
    <x:row r="733">
      <x:c r="A733" t="str">
        <x:v>EXT-MONDE-T073/art</x:v>
      </x:c>
      <x:c r="B733" t="str">
        <x:v>EXT-MONDE-T073</x:v>
      </x:c>
      <x:c r="C733" t="str">
        <x:v>Ferroviaire</x:v>
      </x:c>
      <x:c r="D733" t="str">
        <x:v>Gare de passage</x:v>
      </x:c>
      <x:c r="E733" t="str">
        <x:v>Sprites, proportions et animations</x:v>
      </x:c>
      <x:c r="F733" t="str">
        <x:v>P1</x:v>
      </x:c>
      <x:c r="G733" t="str">
        <x:v>À faire</x:v>
      </x:c>
      <x:c r="H733" t="str">
        <x:v>Non affecté</x:v>
      </x:c>
      <x:c r="I733" t="str">
        <x:v>Livrable explicite, tests positifs et négatifs ; aucune validation déduite de la seule présence de la fiche.</x:v>
      </x:c>
      <x:c r="J733" t="str"/>
    </x:row>
    <x:row r="734">
      <x:c r="A734" t="str">
        <x:v>EXT-MONDE-T073/sauvegarde</x:v>
      </x:c>
      <x:c r="B734" t="str">
        <x:v>EXT-MONDE-T073</x:v>
      </x:c>
      <x:c r="C734" t="str">
        <x:v>Ferroviaire</x:v>
      </x:c>
      <x:c r="D734" t="str">
        <x:v>Gare de passage</x:v>
      </x:c>
      <x:c r="E734" t="str">
        <x:v>Identités, migration et reprise</x:v>
      </x:c>
      <x:c r="F734" t="str">
        <x:v>P1</x:v>
      </x:c>
      <x:c r="G734" t="str">
        <x:v>En cours</x:v>
      </x:c>
      <x:c r="H734" t="str">
        <x:v>Production Codex</x:v>
      </x:c>
      <x:c r="I734" t="str">
        <x:v>Livrable explicite, tests positifs et négatifs ; aucune validation déduite de la seule présence de la fiche.</x:v>
      </x:c>
      <x:c r="J734" t="str">
        <x:v>https://github.com/darknigthmare/deadwall-last-enclosure/blob/1b3b9c5ba232734b1bda3453b4e20a0481bcdd74/docs/codex/suivi-monde2026/INSPECTION_PHYSIQUE_2026.md</x:v>
      </x:c>
    </x:row>
    <x:row r="735">
      <x:c r="A735" t="str">
        <x:v>EXT-MONDE-T073/qa</x:v>
      </x:c>
      <x:c r="B735" t="str">
        <x:v>EXT-MONDE-T073</x:v>
      </x:c>
      <x:c r="C735" t="str">
        <x:v>Ferroviaire</x:v>
      </x:c>
      <x:c r="D735" t="str">
        <x:v>Gare de passage</x:v>
      </x:c>
      <x:c r="E735" t="str">
        <x:v>Navigation et parcours jouables</x:v>
      </x:c>
      <x:c r="F735" t="str">
        <x:v>P1</x:v>
      </x:c>
      <x:c r="G735" t="str">
        <x:v>En cours</x:v>
      </x:c>
      <x:c r="H735" t="str">
        <x:v>Production Codex</x:v>
      </x:c>
      <x:c r="I735" t="str">
        <x:v>Livrable explicite, tests positifs et négatifs ; aucune validation déduite de la seule présence de la fiche.</x:v>
      </x:c>
      <x:c r="J735" t="str">
        <x:v>https://github.com/darknigthmare/deadwall-last-enclosure/blob/1b3b9c5ba232734b1bda3453b4e20a0481bcdd74/docs/codex/suivi-monde2026/INSPECTION_PHYSIQUE_2026.md</x:v>
      </x:c>
    </x:row>
    <x:row r="736">
      <x:c r="A736" t="str">
        <x:v>EXT-MONDE-T074/dimensions</x:v>
      </x:c>
      <x:c r="B736" t="str">
        <x:v>EXT-MONDE-T074</x:v>
      </x:c>
      <x:c r="C736" t="str">
        <x:v>Ferroviaire</x:v>
      </x:c>
      <x:c r="D736" t="str">
        <x:v>Gare terminus</x:v>
      </x:c>
      <x:c r="E736" t="str">
        <x:v>Dimensions et plans de référence</x:v>
      </x:c>
      <x:c r="F736" t="str">
        <x:v>P0</x:v>
      </x:c>
      <x:c r="G736" t="str">
        <x:v>En cours</x:v>
      </x:c>
      <x:c r="H736" t="str">
        <x:v>Production Codex</x:v>
      </x:c>
      <x:c r="I736" t="str">
        <x:v>Sources publiques identifiées ; unités en mètres ; emprise au sol distincte de la hauteur.</x:v>
      </x:c>
      <x:c r="J736" t="str">
        <x:v>https://github.com/darknigthmare/deadwall-last-enclosure/blob/1b3b9c5ba232734b1bda3453b4e20a0481bcdd74/docs/codex/suivi-monde2026/AEROPORTS_RAIL_2026.md</x:v>
      </x:c>
    </x:row>
    <x:row r="737">
      <x:c r="A737" t="str">
        <x:v>EXT-MONDE-T074/architecture</x:v>
      </x:c>
      <x:c r="B737" t="str">
        <x:v>EXT-MONDE-T074</x:v>
      </x:c>
      <x:c r="C737" t="str">
        <x:v>Ferroviaire</x:v>
      </x:c>
      <x:c r="D737" t="str">
        <x:v>Gare terminus</x:v>
      </x:c>
      <x:c r="E737" t="str">
        <x:v>Pièces, étages, annexes</x:v>
      </x:c>
      <x:c r="F737" t="str">
        <x:v>P0</x:v>
      </x:c>
      <x:c r="G737" t="str">
        <x:v>En cours</x:v>
      </x:c>
      <x:c r="H737" t="str">
        <x:v>Production Codex</x:v>
      </x:c>
      <x:c r="I737" t="str">
        <x:v>Livrable explicite, tests positifs et négatifs ; aucune validation déduite de la seule présence de la fiche.</x:v>
      </x:c>
      <x:c r="J737" t="str">
        <x:v>https://github.com/darknigthmare/deadwall-last-enclosure/blob/1b3b9c5ba232734b1bda3453b4e20a0481bcdd74/docs/codex/suivi-monde2026/INSPECTION_PHYSIQUE_2026.md</x:v>
      </x:c>
    </x:row>
    <x:row r="738">
      <x:c r="A738" t="str">
        <x:v>EXT-MONDE-T074/seed</x:v>
      </x:c>
      <x:c r="B738" t="str">
        <x:v>EXT-MONDE-T074</x:v>
      </x:c>
      <x:c r="C738" t="str">
        <x:v>Ferroviaire</x:v>
      </x:c>
      <x:c r="D738" t="str">
        <x:v>Gare terminus</x:v>
      </x:c>
      <x:c r="E738" t="str">
        <x:v>Implantation et réseaux</x:v>
      </x:c>
      <x:c r="F738" t="str">
        <x:v>P0</x:v>
      </x:c>
      <x:c r="G738" t="str">
        <x:v>À faire</x:v>
      </x:c>
      <x:c r="H738" t="str">
        <x:v>Non affecté</x:v>
      </x:c>
      <x:c r="I738" t="str">
        <x:v>Chaque voie possède destination ou butoir ; aiguilles explicites ; niveau des croisements respecté.</x:v>
      </x:c>
      <x:c r="J738" t="str"/>
    </x:row>
    <x:row r="739">
      <x:c r="A739" t="str">
        <x:v>EXT-MONDE-T074/props</x:v>
      </x:c>
      <x:c r="B739" t="str">
        <x:v>EXT-MONDE-T074</x:v>
      </x:c>
      <x:c r="C739" t="str">
        <x:v>Ferroviaire</x:v>
      </x:c>
      <x:c r="D739" t="str">
        <x:v>Gare terminus</x:v>
      </x:c>
      <x:c r="E739" t="str">
        <x:v>Objets, décors et dégagements</x:v>
      </x:c>
      <x:c r="F739" t="str">
        <x:v>P1</x:v>
      </x:c>
      <x:c r="G739" t="str">
        <x:v>En cours</x:v>
      </x:c>
      <x:c r="H739" t="str">
        <x:v>Production Codex</x:v>
      </x:c>
      <x:c r="I739" t="str">
        <x:v>Livrable explicite, tests positifs et négatifs ; aucune validation déduite de la seule présence de la fiche.</x:v>
      </x:c>
      <x:c r="J739" t="str">
        <x:v>https://github.com/darknigthmare/deadwall-last-enclosure/blob/1b3b9c5ba232734b1bda3453b4e20a0481bcdd74/docs/codex/suivi-monde2026/INSPECTION_PHYSIQUE_2026.md</x:v>
      </x:c>
    </x:row>
    <x:row r="740">
      <x:c r="A740" t="str">
        <x:v>EXT-MONDE-T074/loot</x:v>
      </x:c>
      <x:c r="B740" t="str">
        <x:v>EXT-MONDE-T074</x:v>
      </x:c>
      <x:c r="C740" t="str">
        <x:v>Ferroviaire</x:v>
      </x:c>
      <x:c r="D740" t="str">
        <x:v>Gare terminus</x:v>
      </x:c>
      <x:c r="E740" t="str">
        <x:v>Budget de butin persistant</x:v>
      </x:c>
      <x:c r="F740" t="str">
        <x:v>P1</x:v>
      </x:c>
      <x:c r="G740" t="str">
        <x:v>À faire</x:v>
      </x:c>
      <x:c r="H740" t="str">
        <x:v>Non affecté</x:v>
      </x:c>
      <x:c r="I740" t="str">
        <x:v>Livrable explicite, tests positifs et négatifs ; aucune validation déduite de la seule présence de la fiche.</x:v>
      </x:c>
      <x:c r="J740" t="str"/>
    </x:row>
    <x:row r="741">
      <x:c r="A741" t="str">
        <x:v>EXT-MONDE-T074/rencontres</x:v>
      </x:c>
      <x:c r="B741" t="str">
        <x:v>EXT-MONDE-T074</x:v>
      </x:c>
      <x:c r="C741" t="str">
        <x:v>Ferroviaire</x:v>
      </x:c>
      <x:c r="D741" t="str">
        <x:v>Gare terminus</x:v>
      </x:c>
      <x:c r="E741" t="str">
        <x:v>Ennemis et faune contextualisés</x:v>
      </x:c>
      <x:c r="F741" t="str">
        <x:v>P1</x:v>
      </x:c>
      <x:c r="G741" t="str">
        <x:v>À faire</x:v>
      </x:c>
      <x:c r="H741" t="str">
        <x:v>Non affecté</x:v>
      </x:c>
      <x:c r="I741" t="str">
        <x:v>Livrable explicite, tests positifs et négatifs ; aucune validation déduite de la seule présence de la fiche.</x:v>
      </x:c>
      <x:c r="J741" t="str"/>
    </x:row>
    <x:row r="742">
      <x:c r="A742" t="str">
        <x:v>EXT-MONDE-T074/services</x:v>
      </x:c>
      <x:c r="B742" t="str">
        <x:v>EXT-MONDE-T074</x:v>
      </x:c>
      <x:c r="C742" t="str">
        <x:v>Ferroviaire</x:v>
      </x:c>
      <x:c r="D742" t="str">
        <x:v>Gare terminus</x:v>
      </x:c>
      <x:c r="E742" t="str">
        <x:v>Énergie, eau et interactions</x:v>
      </x:c>
      <x:c r="F742" t="str">
        <x:v>P1</x:v>
      </x:c>
      <x:c r="G742" t="str">
        <x:v>À faire</x:v>
      </x:c>
      <x:c r="H742" t="str">
        <x:v>Non affecté</x:v>
      </x:c>
      <x:c r="I742" t="str">
        <x:v>Livrable explicite, tests positifs et négatifs ; aucune validation déduite de la seule présence de la fiche.</x:v>
      </x:c>
      <x:c r="J742" t="str"/>
    </x:row>
    <x:row r="743">
      <x:c r="A743" t="str">
        <x:v>EXT-MONDE-T074/art</x:v>
      </x:c>
      <x:c r="B743" t="str">
        <x:v>EXT-MONDE-T074</x:v>
      </x:c>
      <x:c r="C743" t="str">
        <x:v>Ferroviaire</x:v>
      </x:c>
      <x:c r="D743" t="str">
        <x:v>Gare terminus</x:v>
      </x:c>
      <x:c r="E743" t="str">
        <x:v>Sprites, proportions et animations</x:v>
      </x:c>
      <x:c r="F743" t="str">
        <x:v>P1</x:v>
      </x:c>
      <x:c r="G743" t="str">
        <x:v>À faire</x:v>
      </x:c>
      <x:c r="H743" t="str">
        <x:v>Non affecté</x:v>
      </x:c>
      <x:c r="I743" t="str">
        <x:v>Livrable explicite, tests positifs et négatifs ; aucune validation déduite de la seule présence de la fiche.</x:v>
      </x:c>
      <x:c r="J743" t="str"/>
    </x:row>
    <x:row r="744">
      <x:c r="A744" t="str">
        <x:v>EXT-MONDE-T074/sauvegarde</x:v>
      </x:c>
      <x:c r="B744" t="str">
        <x:v>EXT-MONDE-T074</x:v>
      </x:c>
      <x:c r="C744" t="str">
        <x:v>Ferroviaire</x:v>
      </x:c>
      <x:c r="D744" t="str">
        <x:v>Gare terminus</x:v>
      </x:c>
      <x:c r="E744" t="str">
        <x:v>Identités, migration et reprise</x:v>
      </x:c>
      <x:c r="F744" t="str">
        <x:v>P1</x:v>
      </x:c>
      <x:c r="G744" t="str">
        <x:v>En cours</x:v>
      </x:c>
      <x:c r="H744" t="str">
        <x:v>Production Codex</x:v>
      </x:c>
      <x:c r="I744" t="str">
        <x:v>Livrable explicite, tests positifs et négatifs ; aucune validation déduite de la seule présence de la fiche.</x:v>
      </x:c>
      <x:c r="J744" t="str">
        <x:v>https://github.com/darknigthmare/deadwall-last-enclosure/blob/1b3b9c5ba232734b1bda3453b4e20a0481bcdd74/docs/codex/suivi-monde2026/INSPECTION_PHYSIQUE_2026.md</x:v>
      </x:c>
    </x:row>
    <x:row r="745">
      <x:c r="A745" t="str">
        <x:v>EXT-MONDE-T074/qa</x:v>
      </x:c>
      <x:c r="B745" t="str">
        <x:v>EXT-MONDE-T074</x:v>
      </x:c>
      <x:c r="C745" t="str">
        <x:v>Ferroviaire</x:v>
      </x:c>
      <x:c r="D745" t="str">
        <x:v>Gare terminus</x:v>
      </x:c>
      <x:c r="E745" t="str">
        <x:v>Navigation et parcours jouables</x:v>
      </x:c>
      <x:c r="F745" t="str">
        <x:v>P1</x:v>
      </x:c>
      <x:c r="G745" t="str">
        <x:v>En cours</x:v>
      </x:c>
      <x:c r="H745" t="str">
        <x:v>Production Codex</x:v>
      </x:c>
      <x:c r="I745" t="str">
        <x:v>Livrable explicite, tests positifs et négatifs ; aucune validation déduite de la seule présence de la fiche.</x:v>
      </x:c>
      <x:c r="J745" t="str">
        <x:v>https://github.com/darknigthmare/deadwall-last-enclosure/blob/1b3b9c5ba232734b1bda3453b4e20a0481bcdd74/docs/codex/suivi-monde2026/INSPECTION_PHYSIQUE_2026.md</x:v>
      </x:c>
    </x:row>
    <x:row r="746">
      <x:c r="A746" t="str">
        <x:v>EXT-MONDE-T075/dimensions</x:v>
      </x:c>
      <x:c r="B746" t="str">
        <x:v>EXT-MONDE-T075</x:v>
      </x:c>
      <x:c r="C746" t="str">
        <x:v>Ferroviaire</x:v>
      </x:c>
      <x:c r="D746" t="str">
        <x:v>Gare de triage</x:v>
      </x:c>
      <x:c r="E746" t="str">
        <x:v>Dimensions et plans de référence</x:v>
      </x:c>
      <x:c r="F746" t="str">
        <x:v>P0</x:v>
      </x:c>
      <x:c r="G746" t="str">
        <x:v>En cours</x:v>
      </x:c>
      <x:c r="H746" t="str">
        <x:v>Production Codex</x:v>
      </x:c>
      <x:c r="I746" t="str">
        <x:v>Sources publiques identifiées ; unités en mètres ; emprise au sol distincte de la hauteur.</x:v>
      </x:c>
      <x:c r="J746" t="str">
        <x:v>https://github.com/darknigthmare/deadwall-last-enclosure/blob/1b3b9c5ba232734b1bda3453b4e20a0481bcdd74/docs/codex/suivi-monde2026/AEROPORTS_RAIL_2026.md</x:v>
      </x:c>
    </x:row>
    <x:row r="747">
      <x:c r="A747" t="str">
        <x:v>EXT-MONDE-T075/architecture</x:v>
      </x:c>
      <x:c r="B747" t="str">
        <x:v>EXT-MONDE-T075</x:v>
      </x:c>
      <x:c r="C747" t="str">
        <x:v>Ferroviaire</x:v>
      </x:c>
      <x:c r="D747" t="str">
        <x:v>Gare de triage</x:v>
      </x:c>
      <x:c r="E747" t="str">
        <x:v>Pièces, étages, annexes</x:v>
      </x:c>
      <x:c r="F747" t="str">
        <x:v>P0</x:v>
      </x:c>
      <x:c r="G747" t="str">
        <x:v>En cours</x:v>
      </x:c>
      <x:c r="H747" t="str">
        <x:v>Production Codex</x:v>
      </x:c>
      <x:c r="I747" t="str">
        <x:v>Livrable explicite, tests positifs et négatifs ; aucune validation déduite de la seule présence de la fiche.</x:v>
      </x:c>
      <x:c r="J747" t="str">
        <x:v>https://github.com/darknigthmare/deadwall-last-enclosure/blob/1b3b9c5ba232734b1bda3453b4e20a0481bcdd74/docs/codex/suivi-monde2026/INSPECTION_PHYSIQUE_2026.md</x:v>
      </x:c>
    </x:row>
    <x:row r="748">
      <x:c r="A748" t="str">
        <x:v>EXT-MONDE-T075/seed</x:v>
      </x:c>
      <x:c r="B748" t="str">
        <x:v>EXT-MONDE-T075</x:v>
      </x:c>
      <x:c r="C748" t="str">
        <x:v>Ferroviaire</x:v>
      </x:c>
      <x:c r="D748" t="str">
        <x:v>Gare de triage</x:v>
      </x:c>
      <x:c r="E748" t="str">
        <x:v>Implantation et réseaux</x:v>
      </x:c>
      <x:c r="F748" t="str">
        <x:v>P0</x:v>
      </x:c>
      <x:c r="G748" t="str">
        <x:v>À faire</x:v>
      </x:c>
      <x:c r="H748" t="str">
        <x:v>Non affecté</x:v>
      </x:c>
      <x:c r="I748" t="str">
        <x:v>Chaque voie possède destination ou butoir ; aiguilles explicites ; niveau des croisements respecté.</x:v>
      </x:c>
      <x:c r="J748" t="str"/>
    </x:row>
    <x:row r="749">
      <x:c r="A749" t="str">
        <x:v>EXT-MONDE-T075/props</x:v>
      </x:c>
      <x:c r="B749" t="str">
        <x:v>EXT-MONDE-T075</x:v>
      </x:c>
      <x:c r="C749" t="str">
        <x:v>Ferroviaire</x:v>
      </x:c>
      <x:c r="D749" t="str">
        <x:v>Gare de triage</x:v>
      </x:c>
      <x:c r="E749" t="str">
        <x:v>Objets, décors et dégagements</x:v>
      </x:c>
      <x:c r="F749" t="str">
        <x:v>P1</x:v>
      </x:c>
      <x:c r="G749" t="str">
        <x:v>En cours</x:v>
      </x:c>
      <x:c r="H749" t="str">
        <x:v>Production Codex</x:v>
      </x:c>
      <x:c r="I749" t="str">
        <x:v>Livrable explicite, tests positifs et négatifs ; aucune validation déduite de la seule présence de la fiche.</x:v>
      </x:c>
      <x:c r="J749" t="str">
        <x:v>https://github.com/darknigthmare/deadwall-last-enclosure/blob/1b3b9c5ba232734b1bda3453b4e20a0481bcdd74/docs/codex/suivi-monde2026/INSPECTION_PHYSIQUE_2026.md</x:v>
      </x:c>
    </x:row>
    <x:row r="750">
      <x:c r="A750" t="str">
        <x:v>EXT-MONDE-T075/loot</x:v>
      </x:c>
      <x:c r="B750" t="str">
        <x:v>EXT-MONDE-T075</x:v>
      </x:c>
      <x:c r="C750" t="str">
        <x:v>Ferroviaire</x:v>
      </x:c>
      <x:c r="D750" t="str">
        <x:v>Gare de triage</x:v>
      </x:c>
      <x:c r="E750" t="str">
        <x:v>Budget de butin persistant</x:v>
      </x:c>
      <x:c r="F750" t="str">
        <x:v>P1</x:v>
      </x:c>
      <x:c r="G750" t="str">
        <x:v>À faire</x:v>
      </x:c>
      <x:c r="H750" t="str">
        <x:v>Non affecté</x:v>
      </x:c>
      <x:c r="I750" t="str">
        <x:v>Livrable explicite, tests positifs et négatifs ; aucune validation déduite de la seule présence de la fiche.</x:v>
      </x:c>
      <x:c r="J750" t="str"/>
    </x:row>
    <x:row r="751">
      <x:c r="A751" t="str">
        <x:v>EXT-MONDE-T075/rencontres</x:v>
      </x:c>
      <x:c r="B751" t="str">
        <x:v>EXT-MONDE-T075</x:v>
      </x:c>
      <x:c r="C751" t="str">
        <x:v>Ferroviaire</x:v>
      </x:c>
      <x:c r="D751" t="str">
        <x:v>Gare de triage</x:v>
      </x:c>
      <x:c r="E751" t="str">
        <x:v>Ennemis et faune contextualisés</x:v>
      </x:c>
      <x:c r="F751" t="str">
        <x:v>P1</x:v>
      </x:c>
      <x:c r="G751" t="str">
        <x:v>À faire</x:v>
      </x:c>
      <x:c r="H751" t="str">
        <x:v>Non affecté</x:v>
      </x:c>
      <x:c r="I751" t="str">
        <x:v>Livrable explicite, tests positifs et négatifs ; aucune validation déduite de la seule présence de la fiche.</x:v>
      </x:c>
      <x:c r="J751" t="str"/>
    </x:row>
    <x:row r="752">
      <x:c r="A752" t="str">
        <x:v>EXT-MONDE-T075/services</x:v>
      </x:c>
      <x:c r="B752" t="str">
        <x:v>EXT-MONDE-T075</x:v>
      </x:c>
      <x:c r="C752" t="str">
        <x:v>Ferroviaire</x:v>
      </x:c>
      <x:c r="D752" t="str">
        <x:v>Gare de triage</x:v>
      </x:c>
      <x:c r="E752" t="str">
        <x:v>Énergie, eau et interactions</x:v>
      </x:c>
      <x:c r="F752" t="str">
        <x:v>P1</x:v>
      </x:c>
      <x:c r="G752" t="str">
        <x:v>À faire</x:v>
      </x:c>
      <x:c r="H752" t="str">
        <x:v>Non affecté</x:v>
      </x:c>
      <x:c r="I752" t="str">
        <x:v>Livrable explicite, tests positifs et négatifs ; aucune validation déduite de la seule présence de la fiche.</x:v>
      </x:c>
      <x:c r="J752" t="str"/>
    </x:row>
    <x:row r="753">
      <x:c r="A753" t="str">
        <x:v>EXT-MONDE-T075/art</x:v>
      </x:c>
      <x:c r="B753" t="str">
        <x:v>EXT-MONDE-T075</x:v>
      </x:c>
      <x:c r="C753" t="str">
        <x:v>Ferroviaire</x:v>
      </x:c>
      <x:c r="D753" t="str">
        <x:v>Gare de triage</x:v>
      </x:c>
      <x:c r="E753" t="str">
        <x:v>Sprites, proportions et animations</x:v>
      </x:c>
      <x:c r="F753" t="str">
        <x:v>P1</x:v>
      </x:c>
      <x:c r="G753" t="str">
        <x:v>À faire</x:v>
      </x:c>
      <x:c r="H753" t="str">
        <x:v>Non affecté</x:v>
      </x:c>
      <x:c r="I753" t="str">
        <x:v>Livrable explicite, tests positifs et négatifs ; aucune validation déduite de la seule présence de la fiche.</x:v>
      </x:c>
      <x:c r="J753" t="str"/>
    </x:row>
    <x:row r="754">
      <x:c r="A754" t="str">
        <x:v>EXT-MONDE-T075/sauvegarde</x:v>
      </x:c>
      <x:c r="B754" t="str">
        <x:v>EXT-MONDE-T075</x:v>
      </x:c>
      <x:c r="C754" t="str">
        <x:v>Ferroviaire</x:v>
      </x:c>
      <x:c r="D754" t="str">
        <x:v>Gare de triage</x:v>
      </x:c>
      <x:c r="E754" t="str">
        <x:v>Identités, migration et reprise</x:v>
      </x:c>
      <x:c r="F754" t="str">
        <x:v>P1</x:v>
      </x:c>
      <x:c r="G754" t="str">
        <x:v>En cours</x:v>
      </x:c>
      <x:c r="H754" t="str">
        <x:v>Production Codex</x:v>
      </x:c>
      <x:c r="I754" t="str">
        <x:v>Livrable explicite, tests positifs et négatifs ; aucune validation déduite de la seule présence de la fiche.</x:v>
      </x:c>
      <x:c r="J754" t="str">
        <x:v>https://github.com/darknigthmare/deadwall-last-enclosure/blob/1b3b9c5ba232734b1bda3453b4e20a0481bcdd74/docs/codex/suivi-monde2026/INSPECTION_PHYSIQUE_2026.md</x:v>
      </x:c>
    </x:row>
    <x:row r="755">
      <x:c r="A755" t="str">
        <x:v>EXT-MONDE-T075/qa</x:v>
      </x:c>
      <x:c r="B755" t="str">
        <x:v>EXT-MONDE-T075</x:v>
      </x:c>
      <x:c r="C755" t="str">
        <x:v>Ferroviaire</x:v>
      </x:c>
      <x:c r="D755" t="str">
        <x:v>Gare de triage</x:v>
      </x:c>
      <x:c r="E755" t="str">
        <x:v>Navigation et parcours jouables</x:v>
      </x:c>
      <x:c r="F755" t="str">
        <x:v>P1</x:v>
      </x:c>
      <x:c r="G755" t="str">
        <x:v>En cours</x:v>
      </x:c>
      <x:c r="H755" t="str">
        <x:v>Production Codex</x:v>
      </x:c>
      <x:c r="I755" t="str">
        <x:v>Livrable explicite, tests positifs et négatifs ; aucune validation déduite de la seule présence de la fiche.</x:v>
      </x:c>
      <x:c r="J755" t="str">
        <x:v>https://github.com/darknigthmare/deadwall-last-enclosure/blob/1b3b9c5ba232734b1bda3453b4e20a0481bcdd74/docs/codex/suivi-monde2026/INSPECTION_PHYSIQUE_2026.md</x:v>
      </x:c>
    </x:row>
    <x:row r="756">
      <x:c r="A756" t="str">
        <x:v>EXT-MONDE-T076/dimensions</x:v>
      </x:c>
      <x:c r="B756" t="str">
        <x:v>EXT-MONDE-T076</x:v>
      </x:c>
      <x:c r="C756" t="str">
        <x:v>Ferroviaire</x:v>
      </x:c>
      <x:c r="D756" t="str">
        <x:v>Dépôt ferroviaire</x:v>
      </x:c>
      <x:c r="E756" t="str">
        <x:v>Dimensions et plans de référence</x:v>
      </x:c>
      <x:c r="F756" t="str">
        <x:v>P0</x:v>
      </x:c>
      <x:c r="G756" t="str">
        <x:v>En cours</x:v>
      </x:c>
      <x:c r="H756" t="str">
        <x:v>Production Codex</x:v>
      </x:c>
      <x:c r="I756" t="str">
        <x:v>Sources publiques identifiées ; unités en mètres ; emprise au sol distincte de la hauteur.</x:v>
      </x:c>
      <x:c r="J756" t="str">
        <x:v>https://github.com/darknigthmare/deadwall-last-enclosure/blob/1b3b9c5ba232734b1bda3453b4e20a0481bcdd74/docs/codex/suivi-monde2026/AEROPORTS_RAIL_2026.md</x:v>
      </x:c>
    </x:row>
    <x:row r="757">
      <x:c r="A757" t="str">
        <x:v>EXT-MONDE-T076/architecture</x:v>
      </x:c>
      <x:c r="B757" t="str">
        <x:v>EXT-MONDE-T076</x:v>
      </x:c>
      <x:c r="C757" t="str">
        <x:v>Ferroviaire</x:v>
      </x:c>
      <x:c r="D757" t="str">
        <x:v>Dépôt ferroviaire</x:v>
      </x:c>
      <x:c r="E757" t="str">
        <x:v>Pièces, étages, annexes</x:v>
      </x:c>
      <x:c r="F757" t="str">
        <x:v>P0</x:v>
      </x:c>
      <x:c r="G757" t="str">
        <x:v>En cours</x:v>
      </x:c>
      <x:c r="H757" t="str">
        <x:v>Production Codex</x:v>
      </x:c>
      <x:c r="I757" t="str">
        <x:v>Livrable explicite, tests positifs et négatifs ; aucune validation déduite de la seule présence de la fiche.</x:v>
      </x:c>
      <x:c r="J757" t="str">
        <x:v>https://github.com/darknigthmare/deadwall-last-enclosure/blob/1b3b9c5ba232734b1bda3453b4e20a0481bcdd74/docs/codex/suivi-monde2026/INSPECTION_PHYSIQUE_2026.md</x:v>
      </x:c>
    </x:row>
    <x:row r="758">
      <x:c r="A758" t="str">
        <x:v>EXT-MONDE-T076/seed</x:v>
      </x:c>
      <x:c r="B758" t="str">
        <x:v>EXT-MONDE-T076</x:v>
      </x:c>
      <x:c r="C758" t="str">
        <x:v>Ferroviaire</x:v>
      </x:c>
      <x:c r="D758" t="str">
        <x:v>Dépôt ferroviaire</x:v>
      </x:c>
      <x:c r="E758" t="str">
        <x:v>Implantation et réseaux</x:v>
      </x:c>
      <x:c r="F758" t="str">
        <x:v>P0</x:v>
      </x:c>
      <x:c r="G758" t="str">
        <x:v>À faire</x:v>
      </x:c>
      <x:c r="H758" t="str">
        <x:v>Non affecté</x:v>
      </x:c>
      <x:c r="I758" t="str">
        <x:v>Chaque voie possède destination ou butoir ; aiguilles explicites ; niveau des croisements respecté.</x:v>
      </x:c>
      <x:c r="J758" t="str"/>
    </x:row>
    <x:row r="759">
      <x:c r="A759" t="str">
        <x:v>EXT-MONDE-T076/props</x:v>
      </x:c>
      <x:c r="B759" t="str">
        <x:v>EXT-MONDE-T076</x:v>
      </x:c>
      <x:c r="C759" t="str">
        <x:v>Ferroviaire</x:v>
      </x:c>
      <x:c r="D759" t="str">
        <x:v>Dépôt ferroviaire</x:v>
      </x:c>
      <x:c r="E759" t="str">
        <x:v>Objets, décors et dégagements</x:v>
      </x:c>
      <x:c r="F759" t="str">
        <x:v>P1</x:v>
      </x:c>
      <x:c r="G759" t="str">
        <x:v>En cours</x:v>
      </x:c>
      <x:c r="H759" t="str">
        <x:v>Production Codex</x:v>
      </x:c>
      <x:c r="I759" t="str">
        <x:v>Livrable explicite, tests positifs et négatifs ; aucune validation déduite de la seule présence de la fiche.</x:v>
      </x:c>
      <x:c r="J759" t="str">
        <x:v>https://github.com/darknigthmare/deadwall-last-enclosure/blob/1b3b9c5ba232734b1bda3453b4e20a0481bcdd74/docs/codex/suivi-monde2026/INSPECTION_PHYSIQUE_2026.md</x:v>
      </x:c>
    </x:row>
    <x:row r="760">
      <x:c r="A760" t="str">
        <x:v>EXT-MONDE-T076/loot</x:v>
      </x:c>
      <x:c r="B760" t="str">
        <x:v>EXT-MONDE-T076</x:v>
      </x:c>
      <x:c r="C760" t="str">
        <x:v>Ferroviaire</x:v>
      </x:c>
      <x:c r="D760" t="str">
        <x:v>Dépôt ferroviaire</x:v>
      </x:c>
      <x:c r="E760" t="str">
        <x:v>Budget de butin persistant</x:v>
      </x:c>
      <x:c r="F760" t="str">
        <x:v>P1</x:v>
      </x:c>
      <x:c r="G760" t="str">
        <x:v>À faire</x:v>
      </x:c>
      <x:c r="H760" t="str">
        <x:v>Non affecté</x:v>
      </x:c>
      <x:c r="I760" t="str">
        <x:v>Livrable explicite, tests positifs et négatifs ; aucune validation déduite de la seule présence de la fiche.</x:v>
      </x:c>
      <x:c r="J760" t="str"/>
    </x:row>
    <x:row r="761">
      <x:c r="A761" t="str">
        <x:v>EXT-MONDE-T076/rencontres</x:v>
      </x:c>
      <x:c r="B761" t="str">
        <x:v>EXT-MONDE-T076</x:v>
      </x:c>
      <x:c r="C761" t="str">
        <x:v>Ferroviaire</x:v>
      </x:c>
      <x:c r="D761" t="str">
        <x:v>Dépôt ferroviaire</x:v>
      </x:c>
      <x:c r="E761" t="str">
        <x:v>Ennemis et faune contextualisés</x:v>
      </x:c>
      <x:c r="F761" t="str">
        <x:v>P1</x:v>
      </x:c>
      <x:c r="G761" t="str">
        <x:v>À faire</x:v>
      </x:c>
      <x:c r="H761" t="str">
        <x:v>Non affecté</x:v>
      </x:c>
      <x:c r="I761" t="str">
        <x:v>Livrable explicite, tests positifs et négatifs ; aucune validation déduite de la seule présence de la fiche.</x:v>
      </x:c>
      <x:c r="J761" t="str"/>
    </x:row>
    <x:row r="762">
      <x:c r="A762" t="str">
        <x:v>EXT-MONDE-T076/services</x:v>
      </x:c>
      <x:c r="B762" t="str">
        <x:v>EXT-MONDE-T076</x:v>
      </x:c>
      <x:c r="C762" t="str">
        <x:v>Ferroviaire</x:v>
      </x:c>
      <x:c r="D762" t="str">
        <x:v>Dépôt ferroviaire</x:v>
      </x:c>
      <x:c r="E762" t="str">
        <x:v>Énergie, eau et interactions</x:v>
      </x:c>
      <x:c r="F762" t="str">
        <x:v>P1</x:v>
      </x:c>
      <x:c r="G762" t="str">
        <x:v>À faire</x:v>
      </x:c>
      <x:c r="H762" t="str">
        <x:v>Non affecté</x:v>
      </x:c>
      <x:c r="I762" t="str">
        <x:v>Livrable explicite, tests positifs et négatifs ; aucune validation déduite de la seule présence de la fiche.</x:v>
      </x:c>
      <x:c r="J762" t="str"/>
    </x:row>
    <x:row r="763">
      <x:c r="A763" t="str">
        <x:v>EXT-MONDE-T076/art</x:v>
      </x:c>
      <x:c r="B763" t="str">
        <x:v>EXT-MONDE-T076</x:v>
      </x:c>
      <x:c r="C763" t="str">
        <x:v>Ferroviaire</x:v>
      </x:c>
      <x:c r="D763" t="str">
        <x:v>Dépôt ferroviaire</x:v>
      </x:c>
      <x:c r="E763" t="str">
        <x:v>Sprites, proportions et animations</x:v>
      </x:c>
      <x:c r="F763" t="str">
        <x:v>P1</x:v>
      </x:c>
      <x:c r="G763" t="str">
        <x:v>À faire</x:v>
      </x:c>
      <x:c r="H763" t="str">
        <x:v>Non affecté</x:v>
      </x:c>
      <x:c r="I763" t="str">
        <x:v>Livrable explicite, tests positifs et négatifs ; aucune validation déduite de la seule présence de la fiche.</x:v>
      </x:c>
      <x:c r="J763" t="str"/>
    </x:row>
    <x:row r="764">
      <x:c r="A764" t="str">
        <x:v>EXT-MONDE-T076/sauvegarde</x:v>
      </x:c>
      <x:c r="B764" t="str">
        <x:v>EXT-MONDE-T076</x:v>
      </x:c>
      <x:c r="C764" t="str">
        <x:v>Ferroviaire</x:v>
      </x:c>
      <x:c r="D764" t="str">
        <x:v>Dépôt ferroviaire</x:v>
      </x:c>
      <x:c r="E764" t="str">
        <x:v>Identités, migration et reprise</x:v>
      </x:c>
      <x:c r="F764" t="str">
        <x:v>P1</x:v>
      </x:c>
      <x:c r="G764" t="str">
        <x:v>En cours</x:v>
      </x:c>
      <x:c r="H764" t="str">
        <x:v>Production Codex</x:v>
      </x:c>
      <x:c r="I764" t="str">
        <x:v>Livrable explicite, tests positifs et négatifs ; aucune validation déduite de la seule présence de la fiche.</x:v>
      </x:c>
      <x:c r="J764" t="str">
        <x:v>https://github.com/darknigthmare/deadwall-last-enclosure/blob/1b3b9c5ba232734b1bda3453b4e20a0481bcdd74/docs/codex/suivi-monde2026/INSPECTION_PHYSIQUE_2026.md</x:v>
      </x:c>
    </x:row>
    <x:row r="765">
      <x:c r="A765" t="str">
        <x:v>EXT-MONDE-T076/qa</x:v>
      </x:c>
      <x:c r="B765" t="str">
        <x:v>EXT-MONDE-T076</x:v>
      </x:c>
      <x:c r="C765" t="str">
        <x:v>Ferroviaire</x:v>
      </x:c>
      <x:c r="D765" t="str">
        <x:v>Dépôt ferroviaire</x:v>
      </x:c>
      <x:c r="E765" t="str">
        <x:v>Navigation et parcours jouables</x:v>
      </x:c>
      <x:c r="F765" t="str">
        <x:v>P1</x:v>
      </x:c>
      <x:c r="G765" t="str">
        <x:v>En cours</x:v>
      </x:c>
      <x:c r="H765" t="str">
        <x:v>Production Codex</x:v>
      </x:c>
      <x:c r="I765" t="str">
        <x:v>Livrable explicite, tests positifs et négatifs ; aucune validation déduite de la seule présence de la fiche.</x:v>
      </x:c>
      <x:c r="J765" t="str">
        <x:v>https://github.com/darknigthmare/deadwall-last-enclosure/blob/1b3b9c5ba232734b1bda3453b4e20a0481bcdd74/docs/codex/suivi-monde2026/INSPECTION_PHYSIQUE_2026.md</x:v>
      </x:c>
    </x:row>
    <x:row r="766">
      <x:c r="A766" t="str">
        <x:v>EXT-MONDE-T077/dimensions</x:v>
      </x:c>
      <x:c r="B766" t="str">
        <x:v>EXT-MONDE-T077</x:v>
      </x:c>
      <x:c r="C766" t="str">
        <x:v>Îles</x:v>
      </x:c>
      <x:c r="D766" t="str">
        <x:v>Îlot de phare</x:v>
      </x:c>
      <x:c r="E766" t="str">
        <x:v>Dimensions et plans de référence</x:v>
      </x:c>
      <x:c r="F766" t="str">
        <x:v>P0</x:v>
      </x:c>
      <x:c r="G766" t="str">
        <x:v>En cours</x:v>
      </x:c>
      <x:c r="H766" t="str">
        <x:v>Production Codex</x:v>
      </x:c>
      <x:c r="I766" t="str">
        <x:v>Sources publiques identifiées ; unités en mètres ; emprise au sol distincte de la hauteur.</x:v>
      </x:c>
      <x:c r="J766" t="str">
        <x:v>https://github.com/darknigthmare/deadwall-last-enclosure/blob/1b3b9c5ba232734b1bda3453b4e20a0481bcdd74/docs/codex/suivi-monde2026/PORTS_ILES_2026.md</x:v>
      </x:c>
    </x:row>
    <x:row r="767">
      <x:c r="A767" t="str">
        <x:v>EXT-MONDE-T077/architecture</x:v>
      </x:c>
      <x:c r="B767" t="str">
        <x:v>EXT-MONDE-T077</x:v>
      </x:c>
      <x:c r="C767" t="str">
        <x:v>Îles</x:v>
      </x:c>
      <x:c r="D767" t="str">
        <x:v>Îlot de phare</x:v>
      </x:c>
      <x:c r="E767" t="str">
        <x:v>Pièces, étages, annexes</x:v>
      </x:c>
      <x:c r="F767" t="str">
        <x:v>P0</x:v>
      </x:c>
      <x:c r="G767" t="str">
        <x:v>En cours</x:v>
      </x:c>
      <x:c r="H767" t="str">
        <x:v>Production Codex</x:v>
      </x:c>
      <x:c r="I767" t="str">
        <x:v>Livrable explicite, tests positifs et négatifs ; aucune validation déduite de la seule présence de la fiche.</x:v>
      </x:c>
      <x:c r="J767" t="str">
        <x:v>https://github.com/darknigthmare/deadwall-last-enclosure/blob/1b3b9c5ba232734b1bda3453b4e20a0481bcdd74/docs/codex/suivi-monde2026/INSPECTION_PHYSIQUE_2026.md</x:v>
      </x:c>
    </x:row>
    <x:row r="768">
      <x:c r="A768" t="str">
        <x:v>EXT-MONDE-T077/seed</x:v>
      </x:c>
      <x:c r="B768" t="str">
        <x:v>EXT-MONDE-T077</x:v>
      </x:c>
      <x:c r="C768" t="str">
        <x:v>Îles</x:v>
      </x:c>
      <x:c r="D768" t="str">
        <x:v>Îlot de phare</x:v>
      </x:c>
      <x:c r="E768" t="str">
        <x:v>Implantation et réseaux</x:v>
      </x:c>
      <x:c r="F768" t="str">
        <x:v>P0</x:v>
      </x:c>
      <x:c r="G768" t="str">
        <x:v>À faire</x:v>
      </x:c>
      <x:c r="H768" t="str">
        <x:v>Non affecté</x:v>
      </x:c>
      <x:c r="I768" t="str">
        <x:v>Taille réelle de l’île et rivage avant bâtiments ; ressources et accès autonomes sans réseaux vers le vide.</x:v>
      </x:c>
      <x:c r="J768" t="str"/>
    </x:row>
    <x:row r="769">
      <x:c r="A769" t="str">
        <x:v>EXT-MONDE-T077/props</x:v>
      </x:c>
      <x:c r="B769" t="str">
        <x:v>EXT-MONDE-T077</x:v>
      </x:c>
      <x:c r="C769" t="str">
        <x:v>Îles</x:v>
      </x:c>
      <x:c r="D769" t="str">
        <x:v>Îlot de phare</x:v>
      </x:c>
      <x:c r="E769" t="str">
        <x:v>Objets, décors et dégagements</x:v>
      </x:c>
      <x:c r="F769" t="str">
        <x:v>P1</x:v>
      </x:c>
      <x:c r="G769" t="str">
        <x:v>En cours</x:v>
      </x:c>
      <x:c r="H769" t="str">
        <x:v>Production Codex</x:v>
      </x:c>
      <x:c r="I769" t="str">
        <x:v>Livrable explicite, tests positifs et négatifs ; aucune validation déduite de la seule présence de la fiche.</x:v>
      </x:c>
      <x:c r="J769" t="str">
        <x:v>https://github.com/darknigthmare/deadwall-last-enclosure/blob/1b3b9c5ba232734b1bda3453b4e20a0481bcdd74/docs/codex/suivi-monde2026/INSPECTION_PHYSIQUE_2026.md</x:v>
      </x:c>
    </x:row>
    <x:row r="770">
      <x:c r="A770" t="str">
        <x:v>EXT-MONDE-T077/loot</x:v>
      </x:c>
      <x:c r="B770" t="str">
        <x:v>EXT-MONDE-T077</x:v>
      </x:c>
      <x:c r="C770" t="str">
        <x:v>Îles</x:v>
      </x:c>
      <x:c r="D770" t="str">
        <x:v>Îlot de phare</x:v>
      </x:c>
      <x:c r="E770" t="str">
        <x:v>Budget de butin persistant</x:v>
      </x:c>
      <x:c r="F770" t="str">
        <x:v>P1</x:v>
      </x:c>
      <x:c r="G770" t="str">
        <x:v>À faire</x:v>
      </x:c>
      <x:c r="H770" t="str">
        <x:v>Non affecté</x:v>
      </x:c>
      <x:c r="I770" t="str">
        <x:v>Livrable explicite, tests positifs et négatifs ; aucune validation déduite de la seule présence de la fiche.</x:v>
      </x:c>
      <x:c r="J770" t="str"/>
    </x:row>
    <x:row r="771">
      <x:c r="A771" t="str">
        <x:v>EXT-MONDE-T077/rencontres</x:v>
      </x:c>
      <x:c r="B771" t="str">
        <x:v>EXT-MONDE-T077</x:v>
      </x:c>
      <x:c r="C771" t="str">
        <x:v>Îles</x:v>
      </x:c>
      <x:c r="D771" t="str">
        <x:v>Îlot de phare</x:v>
      </x:c>
      <x:c r="E771" t="str">
        <x:v>Ennemis et faune contextualisés</x:v>
      </x:c>
      <x:c r="F771" t="str">
        <x:v>P1</x:v>
      </x:c>
      <x:c r="G771" t="str">
        <x:v>À faire</x:v>
      </x:c>
      <x:c r="H771" t="str">
        <x:v>Non affecté</x:v>
      </x:c>
      <x:c r="I771" t="str">
        <x:v>Livrable explicite, tests positifs et négatifs ; aucune validation déduite de la seule présence de la fiche.</x:v>
      </x:c>
      <x:c r="J771" t="str"/>
    </x:row>
    <x:row r="772">
      <x:c r="A772" t="str">
        <x:v>EXT-MONDE-T077/services</x:v>
      </x:c>
      <x:c r="B772" t="str">
        <x:v>EXT-MONDE-T077</x:v>
      </x:c>
      <x:c r="C772" t="str">
        <x:v>Îles</x:v>
      </x:c>
      <x:c r="D772" t="str">
        <x:v>Îlot de phare</x:v>
      </x:c>
      <x:c r="E772" t="str">
        <x:v>Énergie, eau et interactions</x:v>
      </x:c>
      <x:c r="F772" t="str">
        <x:v>P1</x:v>
      </x:c>
      <x:c r="G772" t="str">
        <x:v>À faire</x:v>
      </x:c>
      <x:c r="H772" t="str">
        <x:v>Non affecté</x:v>
      </x:c>
      <x:c r="I772" t="str">
        <x:v>Livrable explicite, tests positifs et négatifs ; aucune validation déduite de la seule présence de la fiche.</x:v>
      </x:c>
      <x:c r="J772" t="str"/>
    </x:row>
    <x:row r="773">
      <x:c r="A773" t="str">
        <x:v>EXT-MONDE-T077/art</x:v>
      </x:c>
      <x:c r="B773" t="str">
        <x:v>EXT-MONDE-T077</x:v>
      </x:c>
      <x:c r="C773" t="str">
        <x:v>Îles</x:v>
      </x:c>
      <x:c r="D773" t="str">
        <x:v>Îlot de phare</x:v>
      </x:c>
      <x:c r="E773" t="str">
        <x:v>Sprites, proportions et animations</x:v>
      </x:c>
      <x:c r="F773" t="str">
        <x:v>P1</x:v>
      </x:c>
      <x:c r="G773" t="str">
        <x:v>À faire</x:v>
      </x:c>
      <x:c r="H773" t="str">
        <x:v>Non affecté</x:v>
      </x:c>
      <x:c r="I773" t="str">
        <x:v>Livrable explicite, tests positifs et négatifs ; aucune validation déduite de la seule présence de la fiche.</x:v>
      </x:c>
      <x:c r="J773" t="str"/>
    </x:row>
    <x:row r="774">
      <x:c r="A774" t="str">
        <x:v>EXT-MONDE-T077/sauvegarde</x:v>
      </x:c>
      <x:c r="B774" t="str">
        <x:v>EXT-MONDE-T077</x:v>
      </x:c>
      <x:c r="C774" t="str">
        <x:v>Îles</x:v>
      </x:c>
      <x:c r="D774" t="str">
        <x:v>Îlot de phare</x:v>
      </x:c>
      <x:c r="E774" t="str">
        <x:v>Identités, migration et reprise</x:v>
      </x:c>
      <x:c r="F774" t="str">
        <x:v>P1</x:v>
      </x:c>
      <x:c r="G774" t="str">
        <x:v>En cours</x:v>
      </x:c>
      <x:c r="H774" t="str">
        <x:v>Production Codex</x:v>
      </x:c>
      <x:c r="I774" t="str">
        <x:v>Livrable explicite, tests positifs et négatifs ; aucune validation déduite de la seule présence de la fiche.</x:v>
      </x:c>
      <x:c r="J774" t="str">
        <x:v>https://github.com/darknigthmare/deadwall-last-enclosure/blob/1b3b9c5ba232734b1bda3453b4e20a0481bcdd74/docs/codex/suivi-monde2026/INSPECTION_PHYSIQUE_2026.md</x:v>
      </x:c>
    </x:row>
    <x:row r="775">
      <x:c r="A775" t="str">
        <x:v>EXT-MONDE-T077/qa</x:v>
      </x:c>
      <x:c r="B775" t="str">
        <x:v>EXT-MONDE-T077</x:v>
      </x:c>
      <x:c r="C775" t="str">
        <x:v>Îles</x:v>
      </x:c>
      <x:c r="D775" t="str">
        <x:v>Îlot de phare</x:v>
      </x:c>
      <x:c r="E775" t="str">
        <x:v>Navigation et parcours jouables</x:v>
      </x:c>
      <x:c r="F775" t="str">
        <x:v>P1</x:v>
      </x:c>
      <x:c r="G775" t="str">
        <x:v>En cours</x:v>
      </x:c>
      <x:c r="H775" t="str">
        <x:v>Production Codex</x:v>
      </x:c>
      <x:c r="I775" t="str">
        <x:v>Livrable explicite, tests positifs et négatifs ; aucune validation déduite de la seule présence de la fiche.</x:v>
      </x:c>
      <x:c r="J775" t="str">
        <x:v>https://github.com/darknigthmare/deadwall-last-enclosure/blob/1b3b9c5ba232734b1bda3453b4e20a0481bcdd74/docs/codex/suivi-monde2026/INSPECTION_PHYSIQUE_2026.md</x:v>
      </x:c>
    </x:row>
    <x:row r="776">
      <x:c r="A776" t="str">
        <x:v>EXT-MONDE-T078/dimensions</x:v>
      </x:c>
      <x:c r="B776" t="str">
        <x:v>EXT-MONDE-T078</x:v>
      </x:c>
      <x:c r="C776" t="str">
        <x:v>Îles</x:v>
      </x:c>
      <x:c r="D776" t="str">
        <x:v>Île agricole habitée</x:v>
      </x:c>
      <x:c r="E776" t="str">
        <x:v>Dimensions et plans de référence</x:v>
      </x:c>
      <x:c r="F776" t="str">
        <x:v>P0</x:v>
      </x:c>
      <x:c r="G776" t="str">
        <x:v>En cours</x:v>
      </x:c>
      <x:c r="H776" t="str">
        <x:v>Production Codex</x:v>
      </x:c>
      <x:c r="I776" t="str">
        <x:v>Sources publiques identifiées ; unités en mètres ; emprise au sol distincte de la hauteur.</x:v>
      </x:c>
      <x:c r="J776" t="str">
        <x:v>https://github.com/darknigthmare/deadwall-last-enclosure/blob/1b3b9c5ba232734b1bda3453b4e20a0481bcdd74/docs/codex/suivi-monde2026/PORTS_ILES_2026.md</x:v>
      </x:c>
    </x:row>
    <x:row r="777">
      <x:c r="A777" t="str">
        <x:v>EXT-MONDE-T078/architecture</x:v>
      </x:c>
      <x:c r="B777" t="str">
        <x:v>EXT-MONDE-T078</x:v>
      </x:c>
      <x:c r="C777" t="str">
        <x:v>Îles</x:v>
      </x:c>
      <x:c r="D777" t="str">
        <x:v>Île agricole habitée</x:v>
      </x:c>
      <x:c r="E777" t="str">
        <x:v>Pièces, étages, annexes</x:v>
      </x:c>
      <x:c r="F777" t="str">
        <x:v>P0</x:v>
      </x:c>
      <x:c r="G777" t="str">
        <x:v>En cours</x:v>
      </x:c>
      <x:c r="H777" t="str">
        <x:v>Production Codex</x:v>
      </x:c>
      <x:c r="I777" t="str">
        <x:v>Livrable explicite, tests positifs et négatifs ; aucune validation déduite de la seule présence de la fiche.</x:v>
      </x:c>
      <x:c r="J777" t="str">
        <x:v>https://github.com/darknigthmare/deadwall-last-enclosure/blob/1b3b9c5ba232734b1bda3453b4e20a0481bcdd74/docs/codex/suivi-monde2026/INSPECTION_PHYSIQUE_2026.md</x:v>
      </x:c>
    </x:row>
    <x:row r="778">
      <x:c r="A778" t="str">
        <x:v>EXT-MONDE-T078/seed</x:v>
      </x:c>
      <x:c r="B778" t="str">
        <x:v>EXT-MONDE-T078</x:v>
      </x:c>
      <x:c r="C778" t="str">
        <x:v>Îles</x:v>
      </x:c>
      <x:c r="D778" t="str">
        <x:v>Île agricole habitée</x:v>
      </x:c>
      <x:c r="E778" t="str">
        <x:v>Implantation et réseaux</x:v>
      </x:c>
      <x:c r="F778" t="str">
        <x:v>P0</x:v>
      </x:c>
      <x:c r="G778" t="str">
        <x:v>À faire</x:v>
      </x:c>
      <x:c r="H778" t="str">
        <x:v>Non affecté</x:v>
      </x:c>
      <x:c r="I778" t="str">
        <x:v>Taille réelle de l’île et rivage avant bâtiments ; ressources et accès autonomes sans réseaux vers le vide.</x:v>
      </x:c>
      <x:c r="J778" t="str"/>
    </x:row>
    <x:row r="779">
      <x:c r="A779" t="str">
        <x:v>EXT-MONDE-T078/props</x:v>
      </x:c>
      <x:c r="B779" t="str">
        <x:v>EXT-MONDE-T078</x:v>
      </x:c>
      <x:c r="C779" t="str">
        <x:v>Îles</x:v>
      </x:c>
      <x:c r="D779" t="str">
        <x:v>Île agricole habitée</x:v>
      </x:c>
      <x:c r="E779" t="str">
        <x:v>Objets, décors et dégagements</x:v>
      </x:c>
      <x:c r="F779" t="str">
        <x:v>P1</x:v>
      </x:c>
      <x:c r="G779" t="str">
        <x:v>En cours</x:v>
      </x:c>
      <x:c r="H779" t="str">
        <x:v>Production Codex</x:v>
      </x:c>
      <x:c r="I779" t="str">
        <x:v>Livrable explicite, tests positifs et négatifs ; aucune validation déduite de la seule présence de la fiche.</x:v>
      </x:c>
      <x:c r="J779" t="str">
        <x:v>https://github.com/darknigthmare/deadwall-last-enclosure/blob/1b3b9c5ba232734b1bda3453b4e20a0481bcdd74/docs/codex/suivi-monde2026/INSPECTION_PHYSIQUE_2026.md</x:v>
      </x:c>
    </x:row>
    <x:row r="780">
      <x:c r="A780" t="str">
        <x:v>EXT-MONDE-T078/loot</x:v>
      </x:c>
      <x:c r="B780" t="str">
        <x:v>EXT-MONDE-T078</x:v>
      </x:c>
      <x:c r="C780" t="str">
        <x:v>Îles</x:v>
      </x:c>
      <x:c r="D780" t="str">
        <x:v>Île agricole habitée</x:v>
      </x:c>
      <x:c r="E780" t="str">
        <x:v>Budget de butin persistant</x:v>
      </x:c>
      <x:c r="F780" t="str">
        <x:v>P1</x:v>
      </x:c>
      <x:c r="G780" t="str">
        <x:v>À faire</x:v>
      </x:c>
      <x:c r="H780" t="str">
        <x:v>Non affecté</x:v>
      </x:c>
      <x:c r="I780" t="str">
        <x:v>Livrable explicite, tests positifs et négatifs ; aucune validation déduite de la seule présence de la fiche.</x:v>
      </x:c>
      <x:c r="J780" t="str"/>
    </x:row>
    <x:row r="781">
      <x:c r="A781" t="str">
        <x:v>EXT-MONDE-T078/rencontres</x:v>
      </x:c>
      <x:c r="B781" t="str">
        <x:v>EXT-MONDE-T078</x:v>
      </x:c>
      <x:c r="C781" t="str">
        <x:v>Îles</x:v>
      </x:c>
      <x:c r="D781" t="str">
        <x:v>Île agricole habitée</x:v>
      </x:c>
      <x:c r="E781" t="str">
        <x:v>Ennemis et faune contextualisés</x:v>
      </x:c>
      <x:c r="F781" t="str">
        <x:v>P1</x:v>
      </x:c>
      <x:c r="G781" t="str">
        <x:v>À faire</x:v>
      </x:c>
      <x:c r="H781" t="str">
        <x:v>Non affecté</x:v>
      </x:c>
      <x:c r="I781" t="str">
        <x:v>Livrable explicite, tests positifs et négatifs ; aucune validation déduite de la seule présence de la fiche.</x:v>
      </x:c>
      <x:c r="J781" t="str"/>
    </x:row>
    <x:row r="782">
      <x:c r="A782" t="str">
        <x:v>EXT-MONDE-T078/services</x:v>
      </x:c>
      <x:c r="B782" t="str">
        <x:v>EXT-MONDE-T078</x:v>
      </x:c>
      <x:c r="C782" t="str">
        <x:v>Îles</x:v>
      </x:c>
      <x:c r="D782" t="str">
        <x:v>Île agricole habitée</x:v>
      </x:c>
      <x:c r="E782" t="str">
        <x:v>Énergie, eau et interactions</x:v>
      </x:c>
      <x:c r="F782" t="str">
        <x:v>P1</x:v>
      </x:c>
      <x:c r="G782" t="str">
        <x:v>À faire</x:v>
      </x:c>
      <x:c r="H782" t="str">
        <x:v>Non affecté</x:v>
      </x:c>
      <x:c r="I782" t="str">
        <x:v>Livrable explicite, tests positifs et négatifs ; aucune validation déduite de la seule présence de la fiche.</x:v>
      </x:c>
      <x:c r="J782" t="str"/>
    </x:row>
    <x:row r="783">
      <x:c r="A783" t="str">
        <x:v>EXT-MONDE-T078/art</x:v>
      </x:c>
      <x:c r="B783" t="str">
        <x:v>EXT-MONDE-T078</x:v>
      </x:c>
      <x:c r="C783" t="str">
        <x:v>Îles</x:v>
      </x:c>
      <x:c r="D783" t="str">
        <x:v>Île agricole habitée</x:v>
      </x:c>
      <x:c r="E783" t="str">
        <x:v>Sprites, proportions et animations</x:v>
      </x:c>
      <x:c r="F783" t="str">
        <x:v>P1</x:v>
      </x:c>
      <x:c r="G783" t="str">
        <x:v>À faire</x:v>
      </x:c>
      <x:c r="H783" t="str">
        <x:v>Non affecté</x:v>
      </x:c>
      <x:c r="I783" t="str">
        <x:v>Livrable explicite, tests positifs et négatifs ; aucune validation déduite de la seule présence de la fiche.</x:v>
      </x:c>
      <x:c r="J783" t="str"/>
    </x:row>
    <x:row r="784">
      <x:c r="A784" t="str">
        <x:v>EXT-MONDE-T078/sauvegarde</x:v>
      </x:c>
      <x:c r="B784" t="str">
        <x:v>EXT-MONDE-T078</x:v>
      </x:c>
      <x:c r="C784" t="str">
        <x:v>Îles</x:v>
      </x:c>
      <x:c r="D784" t="str">
        <x:v>Île agricole habitée</x:v>
      </x:c>
      <x:c r="E784" t="str">
        <x:v>Identités, migration et reprise</x:v>
      </x:c>
      <x:c r="F784" t="str">
        <x:v>P1</x:v>
      </x:c>
      <x:c r="G784" t="str">
        <x:v>En cours</x:v>
      </x:c>
      <x:c r="H784" t="str">
        <x:v>Production Codex</x:v>
      </x:c>
      <x:c r="I784" t="str">
        <x:v>Livrable explicite, tests positifs et négatifs ; aucune validation déduite de la seule présence de la fiche.</x:v>
      </x:c>
      <x:c r="J784" t="str">
        <x:v>https://github.com/darknigthmare/deadwall-last-enclosure/blob/1b3b9c5ba232734b1bda3453b4e20a0481bcdd74/docs/codex/suivi-monde2026/INSPECTION_PHYSIQUE_2026.md</x:v>
      </x:c>
    </x:row>
    <x:row r="785">
      <x:c r="A785" t="str">
        <x:v>EXT-MONDE-T078/qa</x:v>
      </x:c>
      <x:c r="B785" t="str">
        <x:v>EXT-MONDE-T078</x:v>
      </x:c>
      <x:c r="C785" t="str">
        <x:v>Îles</x:v>
      </x:c>
      <x:c r="D785" t="str">
        <x:v>Île agricole habitée</x:v>
      </x:c>
      <x:c r="E785" t="str">
        <x:v>Navigation et parcours jouables</x:v>
      </x:c>
      <x:c r="F785" t="str">
        <x:v>P1</x:v>
      </x:c>
      <x:c r="G785" t="str">
        <x:v>En cours</x:v>
      </x:c>
      <x:c r="H785" t="str">
        <x:v>Production Codex</x:v>
      </x:c>
      <x:c r="I785" t="str">
        <x:v>Livrable explicite, tests positifs et négatifs ; aucune validation déduite de la seule présence de la fiche.</x:v>
      </x:c>
      <x:c r="J785" t="str">
        <x:v>https://github.com/darknigthmare/deadwall-last-enclosure/blob/1b3b9c5ba232734b1bda3453b4e20a0481bcdd74/docs/codex/suivi-monde2026/INSPECTION_PHYSIQUE_2026.md</x:v>
      </x:c>
    </x:row>
    <x:row r="786">
      <x:c r="A786" t="str">
        <x:v>EXT-MONDE-T079/dimensions</x:v>
      </x:c>
      <x:c r="B786" t="str">
        <x:v>EXT-MONDE-T079</x:v>
      </x:c>
      <x:c r="C786" t="str">
        <x:v>Îles</x:v>
      </x:c>
      <x:c r="D786" t="str">
        <x:v>Île portuaire industrielle</x:v>
      </x:c>
      <x:c r="E786" t="str">
        <x:v>Dimensions et plans de référence</x:v>
      </x:c>
      <x:c r="F786" t="str">
        <x:v>P0</x:v>
      </x:c>
      <x:c r="G786" t="str">
        <x:v>En cours</x:v>
      </x:c>
      <x:c r="H786" t="str">
        <x:v>Production Codex</x:v>
      </x:c>
      <x:c r="I786" t="str">
        <x:v>Sources publiques identifiées ; unités en mètres ; emprise au sol distincte de la hauteur.</x:v>
      </x:c>
      <x:c r="J786" t="str">
        <x:v>https://github.com/darknigthmare/deadwall-last-enclosure/blob/1b3b9c5ba232734b1bda3453b4e20a0481bcdd74/docs/codex/suivi-monde2026/PORTS_ILES_2026.md</x:v>
      </x:c>
    </x:row>
    <x:row r="787">
      <x:c r="A787" t="str">
        <x:v>EXT-MONDE-T079/architecture</x:v>
      </x:c>
      <x:c r="B787" t="str">
        <x:v>EXT-MONDE-T079</x:v>
      </x:c>
      <x:c r="C787" t="str">
        <x:v>Îles</x:v>
      </x:c>
      <x:c r="D787" t="str">
        <x:v>Île portuaire industrielle</x:v>
      </x:c>
      <x:c r="E787" t="str">
        <x:v>Pièces, étages, annexes</x:v>
      </x:c>
      <x:c r="F787" t="str">
        <x:v>P0</x:v>
      </x:c>
      <x:c r="G787" t="str">
        <x:v>En cours</x:v>
      </x:c>
      <x:c r="H787" t="str">
        <x:v>Production Codex</x:v>
      </x:c>
      <x:c r="I787" t="str">
        <x:v>Livrable explicite, tests positifs et négatifs ; aucune validation déduite de la seule présence de la fiche.</x:v>
      </x:c>
      <x:c r="J787" t="str">
        <x:v>https://github.com/darknigthmare/deadwall-last-enclosure/blob/1b3b9c5ba232734b1bda3453b4e20a0481bcdd74/docs/codex/suivi-monde2026/INSPECTION_PHYSIQUE_2026.md</x:v>
      </x:c>
    </x:row>
    <x:row r="788">
      <x:c r="A788" t="str">
        <x:v>EXT-MONDE-T079/seed</x:v>
      </x:c>
      <x:c r="B788" t="str">
        <x:v>EXT-MONDE-T079</x:v>
      </x:c>
      <x:c r="C788" t="str">
        <x:v>Îles</x:v>
      </x:c>
      <x:c r="D788" t="str">
        <x:v>Île portuaire industrielle</x:v>
      </x:c>
      <x:c r="E788" t="str">
        <x:v>Implantation et réseaux</x:v>
      </x:c>
      <x:c r="F788" t="str">
        <x:v>P0</x:v>
      </x:c>
      <x:c r="G788" t="str">
        <x:v>À faire</x:v>
      </x:c>
      <x:c r="H788" t="str">
        <x:v>Non affecté</x:v>
      </x:c>
      <x:c r="I788" t="str">
        <x:v>Taille réelle de l’île et rivage avant bâtiments ; ressources et accès autonomes sans réseaux vers le vide.</x:v>
      </x:c>
      <x:c r="J788" t="str"/>
    </x:row>
    <x:row r="789">
      <x:c r="A789" t="str">
        <x:v>EXT-MONDE-T079/props</x:v>
      </x:c>
      <x:c r="B789" t="str">
        <x:v>EXT-MONDE-T079</x:v>
      </x:c>
      <x:c r="C789" t="str">
        <x:v>Îles</x:v>
      </x:c>
      <x:c r="D789" t="str">
        <x:v>Île portuaire industrielle</x:v>
      </x:c>
      <x:c r="E789" t="str">
        <x:v>Objets, décors et dégagements</x:v>
      </x:c>
      <x:c r="F789" t="str">
        <x:v>P1</x:v>
      </x:c>
      <x:c r="G789" t="str">
        <x:v>En cours</x:v>
      </x:c>
      <x:c r="H789" t="str">
        <x:v>Production Codex</x:v>
      </x:c>
      <x:c r="I789" t="str">
        <x:v>Livrable explicite, tests positifs et négatifs ; aucune validation déduite de la seule présence de la fiche.</x:v>
      </x:c>
      <x:c r="J789" t="str">
        <x:v>https://github.com/darknigthmare/deadwall-last-enclosure/blob/1b3b9c5ba232734b1bda3453b4e20a0481bcdd74/docs/codex/suivi-monde2026/INSPECTION_PHYSIQUE_2026.md</x:v>
      </x:c>
    </x:row>
    <x:row r="790">
      <x:c r="A790" t="str">
        <x:v>EXT-MONDE-T079/loot</x:v>
      </x:c>
      <x:c r="B790" t="str">
        <x:v>EXT-MONDE-T079</x:v>
      </x:c>
      <x:c r="C790" t="str">
        <x:v>Îles</x:v>
      </x:c>
      <x:c r="D790" t="str">
        <x:v>Île portuaire industrielle</x:v>
      </x:c>
      <x:c r="E790" t="str">
        <x:v>Budget de butin persistant</x:v>
      </x:c>
      <x:c r="F790" t="str">
        <x:v>P1</x:v>
      </x:c>
      <x:c r="G790" t="str">
        <x:v>À faire</x:v>
      </x:c>
      <x:c r="H790" t="str">
        <x:v>Non affecté</x:v>
      </x:c>
      <x:c r="I790" t="str">
        <x:v>Livrable explicite, tests positifs et négatifs ; aucune validation déduite de la seule présence de la fiche.</x:v>
      </x:c>
      <x:c r="J790" t="str"/>
    </x:row>
    <x:row r="791">
      <x:c r="A791" t="str">
        <x:v>EXT-MONDE-T079/rencontres</x:v>
      </x:c>
      <x:c r="B791" t="str">
        <x:v>EXT-MONDE-T079</x:v>
      </x:c>
      <x:c r="C791" t="str">
        <x:v>Îles</x:v>
      </x:c>
      <x:c r="D791" t="str">
        <x:v>Île portuaire industrielle</x:v>
      </x:c>
      <x:c r="E791" t="str">
        <x:v>Ennemis et faune contextualisés</x:v>
      </x:c>
      <x:c r="F791" t="str">
        <x:v>P1</x:v>
      </x:c>
      <x:c r="G791" t="str">
        <x:v>À faire</x:v>
      </x:c>
      <x:c r="H791" t="str">
        <x:v>Non affecté</x:v>
      </x:c>
      <x:c r="I791" t="str">
        <x:v>Livrable explicite, tests positifs et négatifs ; aucune validation déduite de la seule présence de la fiche.</x:v>
      </x:c>
      <x:c r="J791" t="str"/>
    </x:row>
    <x:row r="792">
      <x:c r="A792" t="str">
        <x:v>EXT-MONDE-T079/services</x:v>
      </x:c>
      <x:c r="B792" t="str">
        <x:v>EXT-MONDE-T079</x:v>
      </x:c>
      <x:c r="C792" t="str">
        <x:v>Îles</x:v>
      </x:c>
      <x:c r="D792" t="str">
        <x:v>Île portuaire industrielle</x:v>
      </x:c>
      <x:c r="E792" t="str">
        <x:v>Énergie, eau et interactions</x:v>
      </x:c>
      <x:c r="F792" t="str">
        <x:v>P1</x:v>
      </x:c>
      <x:c r="G792" t="str">
        <x:v>À faire</x:v>
      </x:c>
      <x:c r="H792" t="str">
        <x:v>Non affecté</x:v>
      </x:c>
      <x:c r="I792" t="str">
        <x:v>Livrable explicite, tests positifs et négatifs ; aucune validation déduite de la seule présence de la fiche.</x:v>
      </x:c>
      <x:c r="J792" t="str"/>
    </x:row>
    <x:row r="793">
      <x:c r="A793" t="str">
        <x:v>EXT-MONDE-T079/art</x:v>
      </x:c>
      <x:c r="B793" t="str">
        <x:v>EXT-MONDE-T079</x:v>
      </x:c>
      <x:c r="C793" t="str">
        <x:v>Îles</x:v>
      </x:c>
      <x:c r="D793" t="str">
        <x:v>Île portuaire industrielle</x:v>
      </x:c>
      <x:c r="E793" t="str">
        <x:v>Sprites, proportions et animations</x:v>
      </x:c>
      <x:c r="F793" t="str">
        <x:v>P1</x:v>
      </x:c>
      <x:c r="G793" t="str">
        <x:v>À faire</x:v>
      </x:c>
      <x:c r="H793" t="str">
        <x:v>Non affecté</x:v>
      </x:c>
      <x:c r="I793" t="str">
        <x:v>Livrable explicite, tests positifs et négatifs ; aucune validation déduite de la seule présence de la fiche.</x:v>
      </x:c>
      <x:c r="J793" t="str"/>
    </x:row>
    <x:row r="794">
      <x:c r="A794" t="str">
        <x:v>EXT-MONDE-T079/sauvegarde</x:v>
      </x:c>
      <x:c r="B794" t="str">
        <x:v>EXT-MONDE-T079</x:v>
      </x:c>
      <x:c r="C794" t="str">
        <x:v>Îles</x:v>
      </x:c>
      <x:c r="D794" t="str">
        <x:v>Île portuaire industrielle</x:v>
      </x:c>
      <x:c r="E794" t="str">
        <x:v>Identités, migration et reprise</x:v>
      </x:c>
      <x:c r="F794" t="str">
        <x:v>P1</x:v>
      </x:c>
      <x:c r="G794" t="str">
        <x:v>En cours</x:v>
      </x:c>
      <x:c r="H794" t="str">
        <x:v>Production Codex</x:v>
      </x:c>
      <x:c r="I794" t="str">
        <x:v>Livrable explicite, tests positifs et négatifs ; aucune validation déduite de la seule présence de la fiche.</x:v>
      </x:c>
      <x:c r="J794" t="str">
        <x:v>https://github.com/darknigthmare/deadwall-last-enclosure/blob/1b3b9c5ba232734b1bda3453b4e20a0481bcdd74/docs/codex/suivi-monde2026/INSPECTION_PHYSIQUE_2026.md</x:v>
      </x:c>
    </x:row>
    <x:row r="795">
      <x:c r="A795" t="str">
        <x:v>EXT-MONDE-T079/qa</x:v>
      </x:c>
      <x:c r="B795" t="str">
        <x:v>EXT-MONDE-T079</x:v>
      </x:c>
      <x:c r="C795" t="str">
        <x:v>Îles</x:v>
      </x:c>
      <x:c r="D795" t="str">
        <x:v>Île portuaire industrielle</x:v>
      </x:c>
      <x:c r="E795" t="str">
        <x:v>Navigation et parcours jouables</x:v>
      </x:c>
      <x:c r="F795" t="str">
        <x:v>P1</x:v>
      </x:c>
      <x:c r="G795" t="str">
        <x:v>En cours</x:v>
      </x:c>
      <x:c r="H795" t="str">
        <x:v>Production Codex</x:v>
      </x:c>
      <x:c r="I795" t="str">
        <x:v>Livrable explicite, tests positifs et négatifs ; aucune validation déduite de la seule présence de la fiche.</x:v>
      </x:c>
      <x:c r="J795" t="str">
        <x:v>https://github.com/darknigthmare/deadwall-last-enclosure/blob/1b3b9c5ba232734b1bda3453b4e20a0481bcdd74/docs/codex/suivi-monde2026/INSPECTION_PHYSIQUE_2026.md</x:v>
      </x:c>
    </x:row>
    <x:row r="796">
      <x:c r="A796" t="str">
        <x:v>EXT-MONDE-T080/dimensions</x:v>
      </x:c>
      <x:c r="B796" t="str">
        <x:v>EXT-MONDE-T080</x:v>
      </x:c>
      <x:c r="C796" t="str">
        <x:v>Îles</x:v>
      </x:c>
      <x:c r="D796" t="str">
        <x:v>Grande île mixte</x:v>
      </x:c>
      <x:c r="E796" t="str">
        <x:v>Dimensions et plans de référence</x:v>
      </x:c>
      <x:c r="F796" t="str">
        <x:v>P0</x:v>
      </x:c>
      <x:c r="G796" t="str">
        <x:v>En cours</x:v>
      </x:c>
      <x:c r="H796" t="str">
        <x:v>Production Codex</x:v>
      </x:c>
      <x:c r="I796" t="str">
        <x:v>Sources publiques identifiées ; unités en mètres ; emprise au sol distincte de la hauteur.</x:v>
      </x:c>
      <x:c r="J796" t="str">
        <x:v>https://github.com/darknigthmare/deadwall-last-enclosure/blob/1b3b9c5ba232734b1bda3453b4e20a0481bcdd74/docs/codex/suivi-monde2026/PORTS_ILES_2026.md</x:v>
      </x:c>
    </x:row>
    <x:row r="797">
      <x:c r="A797" t="str">
        <x:v>EXT-MONDE-T080/architecture</x:v>
      </x:c>
      <x:c r="B797" t="str">
        <x:v>EXT-MONDE-T080</x:v>
      </x:c>
      <x:c r="C797" t="str">
        <x:v>Îles</x:v>
      </x:c>
      <x:c r="D797" t="str">
        <x:v>Grande île mixte</x:v>
      </x:c>
      <x:c r="E797" t="str">
        <x:v>Pièces, étages, annexes</x:v>
      </x:c>
      <x:c r="F797" t="str">
        <x:v>P0</x:v>
      </x:c>
      <x:c r="G797" t="str">
        <x:v>En cours</x:v>
      </x:c>
      <x:c r="H797" t="str">
        <x:v>Production Codex</x:v>
      </x:c>
      <x:c r="I797" t="str">
        <x:v>Livrable explicite, tests positifs et négatifs ; aucune validation déduite de la seule présence de la fiche.</x:v>
      </x:c>
      <x:c r="J797" t="str">
        <x:v>https://github.com/darknigthmare/deadwall-last-enclosure/blob/1b3b9c5ba232734b1bda3453b4e20a0481bcdd74/docs/codex/suivi-monde2026/INSPECTION_PHYSIQUE_2026.md</x:v>
      </x:c>
    </x:row>
    <x:row r="798">
      <x:c r="A798" t="str">
        <x:v>EXT-MONDE-T080/seed</x:v>
      </x:c>
      <x:c r="B798" t="str">
        <x:v>EXT-MONDE-T080</x:v>
      </x:c>
      <x:c r="C798" t="str">
        <x:v>Îles</x:v>
      </x:c>
      <x:c r="D798" t="str">
        <x:v>Grande île mixte</x:v>
      </x:c>
      <x:c r="E798" t="str">
        <x:v>Implantation et réseaux</x:v>
      </x:c>
      <x:c r="F798" t="str">
        <x:v>P0</x:v>
      </x:c>
      <x:c r="G798" t="str">
        <x:v>À faire</x:v>
      </x:c>
      <x:c r="H798" t="str">
        <x:v>Non affecté</x:v>
      </x:c>
      <x:c r="I798" t="str">
        <x:v>Taille réelle de l’île et rivage avant bâtiments ; ressources et accès autonomes sans réseaux vers le vide.</x:v>
      </x:c>
      <x:c r="J798" t="str"/>
    </x:row>
    <x:row r="799">
      <x:c r="A799" t="str">
        <x:v>EXT-MONDE-T080/props</x:v>
      </x:c>
      <x:c r="B799" t="str">
        <x:v>EXT-MONDE-T080</x:v>
      </x:c>
      <x:c r="C799" t="str">
        <x:v>Îles</x:v>
      </x:c>
      <x:c r="D799" t="str">
        <x:v>Grande île mixte</x:v>
      </x:c>
      <x:c r="E799" t="str">
        <x:v>Objets, décors et dégagements</x:v>
      </x:c>
      <x:c r="F799" t="str">
        <x:v>P1</x:v>
      </x:c>
      <x:c r="G799" t="str">
        <x:v>En cours</x:v>
      </x:c>
      <x:c r="H799" t="str">
        <x:v>Production Codex</x:v>
      </x:c>
      <x:c r="I799" t="str">
        <x:v>Livrable explicite, tests positifs et négatifs ; aucune validation déduite de la seule présence de la fiche.</x:v>
      </x:c>
      <x:c r="J799" t="str">
        <x:v>https://github.com/darknigthmare/deadwall-last-enclosure/blob/1b3b9c5ba232734b1bda3453b4e20a0481bcdd74/docs/codex/suivi-monde2026/INSPECTION_PHYSIQUE_2026.md</x:v>
      </x:c>
    </x:row>
    <x:row r="800">
      <x:c r="A800" t="str">
        <x:v>EXT-MONDE-T080/loot</x:v>
      </x:c>
      <x:c r="B800" t="str">
        <x:v>EXT-MONDE-T080</x:v>
      </x:c>
      <x:c r="C800" t="str">
        <x:v>Îles</x:v>
      </x:c>
      <x:c r="D800" t="str">
        <x:v>Grande île mixte</x:v>
      </x:c>
      <x:c r="E800" t="str">
        <x:v>Budget de butin persistant</x:v>
      </x:c>
      <x:c r="F800" t="str">
        <x:v>P1</x:v>
      </x:c>
      <x:c r="G800" t="str">
        <x:v>À faire</x:v>
      </x:c>
      <x:c r="H800" t="str">
        <x:v>Non affecté</x:v>
      </x:c>
      <x:c r="I800" t="str">
        <x:v>Livrable explicite, tests positifs et négatifs ; aucune validation déduite de la seule présence de la fiche.</x:v>
      </x:c>
      <x:c r="J800" t="str"/>
    </x:row>
    <x:row r="801">
      <x:c r="A801" t="str">
        <x:v>EXT-MONDE-T080/rencontres</x:v>
      </x:c>
      <x:c r="B801" t="str">
        <x:v>EXT-MONDE-T080</x:v>
      </x:c>
      <x:c r="C801" t="str">
        <x:v>Îles</x:v>
      </x:c>
      <x:c r="D801" t="str">
        <x:v>Grande île mixte</x:v>
      </x:c>
      <x:c r="E801" t="str">
        <x:v>Ennemis et faune contextualisés</x:v>
      </x:c>
      <x:c r="F801" t="str">
        <x:v>P1</x:v>
      </x:c>
      <x:c r="G801" t="str">
        <x:v>À faire</x:v>
      </x:c>
      <x:c r="H801" t="str">
        <x:v>Non affecté</x:v>
      </x:c>
      <x:c r="I801" t="str">
        <x:v>Livrable explicite, tests positifs et négatifs ; aucune validation déduite de la seule présence de la fiche.</x:v>
      </x:c>
      <x:c r="J801" t="str"/>
    </x:row>
    <x:row r="802">
      <x:c r="A802" t="str">
        <x:v>EXT-MONDE-T080/services</x:v>
      </x:c>
      <x:c r="B802" t="str">
        <x:v>EXT-MONDE-T080</x:v>
      </x:c>
      <x:c r="C802" t="str">
        <x:v>Îles</x:v>
      </x:c>
      <x:c r="D802" t="str">
        <x:v>Grande île mixte</x:v>
      </x:c>
      <x:c r="E802" t="str">
        <x:v>Énergie, eau et interactions</x:v>
      </x:c>
      <x:c r="F802" t="str">
        <x:v>P1</x:v>
      </x:c>
      <x:c r="G802" t="str">
        <x:v>À faire</x:v>
      </x:c>
      <x:c r="H802" t="str">
        <x:v>Non affecté</x:v>
      </x:c>
      <x:c r="I802" t="str">
        <x:v>Livrable explicite, tests positifs et négatifs ; aucune validation déduite de la seule présence de la fiche.</x:v>
      </x:c>
      <x:c r="J802" t="str"/>
    </x:row>
    <x:row r="803">
      <x:c r="A803" t="str">
        <x:v>EXT-MONDE-T080/art</x:v>
      </x:c>
      <x:c r="B803" t="str">
        <x:v>EXT-MONDE-T080</x:v>
      </x:c>
      <x:c r="C803" t="str">
        <x:v>Îles</x:v>
      </x:c>
      <x:c r="D803" t="str">
        <x:v>Grande île mixte</x:v>
      </x:c>
      <x:c r="E803" t="str">
        <x:v>Sprites, proportions et animations</x:v>
      </x:c>
      <x:c r="F803" t="str">
        <x:v>P1</x:v>
      </x:c>
      <x:c r="G803" t="str">
        <x:v>À faire</x:v>
      </x:c>
      <x:c r="H803" t="str">
        <x:v>Non affecté</x:v>
      </x:c>
      <x:c r="I803" t="str">
        <x:v>Livrable explicite, tests positifs et négatifs ; aucune validation déduite de la seule présence de la fiche.</x:v>
      </x:c>
      <x:c r="J803" t="str"/>
    </x:row>
    <x:row r="804">
      <x:c r="A804" t="str">
        <x:v>EXT-MONDE-T080/sauvegarde</x:v>
      </x:c>
      <x:c r="B804" t="str">
        <x:v>EXT-MONDE-T080</x:v>
      </x:c>
      <x:c r="C804" t="str">
        <x:v>Îles</x:v>
      </x:c>
      <x:c r="D804" t="str">
        <x:v>Grande île mixte</x:v>
      </x:c>
      <x:c r="E804" t="str">
        <x:v>Identités, migration et reprise</x:v>
      </x:c>
      <x:c r="F804" t="str">
        <x:v>P1</x:v>
      </x:c>
      <x:c r="G804" t="str">
        <x:v>En cours</x:v>
      </x:c>
      <x:c r="H804" t="str">
        <x:v>Production Codex</x:v>
      </x:c>
      <x:c r="I804" t="str">
        <x:v>Livrable explicite, tests positifs et négatifs ; aucune validation déduite de la seule présence de la fiche.</x:v>
      </x:c>
      <x:c r="J804" t="str">
        <x:v>https://github.com/darknigthmare/deadwall-last-enclosure/blob/1b3b9c5ba232734b1bda3453b4e20a0481bcdd74/docs/codex/suivi-monde2026/INSPECTION_PHYSIQUE_2026.md</x:v>
      </x:c>
    </x:row>
    <x:row r="805">
      <x:c r="A805" t="str">
        <x:v>EXT-MONDE-T080/qa</x:v>
      </x:c>
      <x:c r="B805" t="str">
        <x:v>EXT-MONDE-T080</x:v>
      </x:c>
      <x:c r="C805" t="str">
        <x:v>Îles</x:v>
      </x:c>
      <x:c r="D805" t="str">
        <x:v>Grande île mixte</x:v>
      </x:c>
      <x:c r="E805" t="str">
        <x:v>Navigation et parcours jouables</x:v>
      </x:c>
      <x:c r="F805" t="str">
        <x:v>P1</x:v>
      </x:c>
      <x:c r="G805" t="str">
        <x:v>En cours</x:v>
      </x:c>
      <x:c r="H805" t="str">
        <x:v>Production Codex</x:v>
      </x:c>
      <x:c r="I805" t="str">
        <x:v>Livrable explicite, tests positifs et négatifs ; aucune validation déduite de la seule présence de la fiche.</x:v>
      </x:c>
      <x:c r="J805" t="str">
        <x:v>https://github.com/darknigthmare/deadwall-last-enclosure/blob/1b3b9c5ba232734b1bda3453b4e20a0481bcdd74/docs/codex/suivi-monde2026/INSPECTION_PHYSIQUE_2026.md</x:v>
      </x:c>
    </x:row>
  </x:sheetData>
  <x:mergeCells>
    <x:mergeCell ref="A1:J1"/>
    <x:mergeCell ref="A2:J3"/>
  </x:mergeCells>
  <x:conditionalFormatting sqref="G6:G805">
    <x:cfRule type="expression" dxfId="3" priority="1">
      <x:formula>G6="Validé"</x:formula>
    </x:cfRule>
    <x:cfRule type="expression" dxfId="4" priority="2">
      <x:formula>G6="En cours"</x:formula>
    </x:cfRule>
  </x:conditionalFormatting>
  <x:dataValidations count="2">
    <x:dataValidation type="list" sqref="G6:G805">
      <x:formula1>"À faire,En cours,Bloqué,À vérifier,Validé"</x:formula1>
    </x:dataValidation>
    <x:dataValidation type="list" sqref="F6:F805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caf5ac4d8ab4e5e"/>
  </x:tableParts>
</x:worksheet>
</file>

<file path=xl/worksheets/sheet6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24" hidden="0" customWidth="1"/>
    <x:col min="3" max="3" width="72" hidden="0" customWidth="1"/>
    <x:col min="4" max="4" width="72" hidden="0" customWidth="1"/>
    <x:col min="5" max="5" width="15" hidden="0" customWidth="1"/>
  </x:cols>
  <x:sheetData>
    <x:row r="1" ht="32" customHeight="1">
      <x:c r="A1" s="3" t="str">
        <x:v>09  /  CONTRAINTES DE RÉCEPTION</x:v>
      </x:c>
      <x:c r="B1" s="3"/>
      <x:c r="C1" s="3"/>
      <x:c r="D1" s="3"/>
      <x:c r="E1" s="3"/>
    </x:row>
    <x:row r="2" ht="20" customHeight="1">
      <x:c r="A2" s="9" t="str">
        <x:v>Ces règles cadrent l’extension ; leur inscription ici ne signifie pas qu’elles sont toutes déjà raccordées au moteur.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ID</x:v>
      </x:c>
      <x:c r="B5" s="112" t="str">
        <x:v>Domaine</x:v>
      </x:c>
      <x:c r="C5" s="112" t="str">
        <x:v>Règle</x:v>
      </x:c>
      <x:c r="D5" s="112" t="str">
        <x:v>Preuve attendue</x:v>
      </x:c>
      <x:c r="E5" s="112" t="str">
        <x:v>Priorité</x:v>
      </x:c>
    </x:row>
    <x:row r="6" ht="34" customHeight="1">
      <x:c r="A6" s="16" t="str">
        <x:v>MET-01</x:v>
      </x:c>
      <x:c r="B6" s="16" t="str">
        <x:v>Échelle</x:v>
      </x:c>
      <x:c r="C6" s="16" t="str">
        <x:v>Dimensions en mètres ; emprise, hauteur et enveloppe visuelle distinctes.</x:v>
      </x:c>
      <x:c r="D6" s="16" t="str">
        <x:v>Contrat et rendu comparés au joueur dans quatre orientations.</x:v>
      </x:c>
      <x:c r="E6" s="16" t="str">
        <x:v>P0</x:v>
      </x:c>
    </x:row>
    <x:row r="7" ht="34" customHeight="1">
      <x:c r="A7" s="16" t="str">
        <x:v>MET-02</x:v>
      </x:c>
      <x:c r="B7" s="16" t="str">
        <x:v>Échelle</x:v>
      </x:c>
      <x:c r="C7" s="16" t="str">
        <x:v>Aucune dimension générique pour une référence non renseignée.</x:v>
      </x:c>
      <x:c r="D7" s="16" t="str">
        <x:v>Refus ou signalement explicite ; aucune conversion silencieuse.</x:v>
      </x:c>
      <x:c r="E7" s="16" t="str">
        <x:v>P0</x:v>
      </x:c>
    </x:row>
    <x:row r="8" ht="34" customHeight="1">
      <x:c r="A8" s="16" t="str">
        <x:v>MET-03</x:v>
      </x:c>
      <x:c r="B8" s="16" t="str">
        <x:v>Assemblages</x:v>
      </x:c>
      <x:c r="C8" s="16" t="str">
        <x:v>Enfants, clôtures, accessoires et stationnements dans leur réserve tournée.</x:v>
      </x:c>
      <x:c r="D8" s="16" t="str">
        <x:v>Contrôle des rectangles orientés et des espaces de service.</x:v>
      </x:c>
      <x:c r="E8" s="16" t="str">
        <x:v>P0</x:v>
      </x:c>
    </x:row>
    <x:row r="9" ht="34" customHeight="1">
      <x:c r="A9" s="16" t="str">
        <x:v>MET-04</x:v>
      </x:c>
      <x:c r="B9" s="16" t="str">
        <x:v>Assemblages</x:v>
      </x:c>
      <x:c r="C9" s="16" t="str">
        <x:v>Pas de compression d’un port, aéroport ou île dans une parcelle de maison.</x:v>
      </x:c>
      <x:c r="D9" s="16" t="str">
        <x:v>Réservation de plusieurs secteurs et coutures stables.</x:v>
      </x:c>
      <x:c r="E9" s="16" t="str">
        <x:v>P0</x:v>
      </x:c>
    </x:row>
    <x:row r="10" ht="34" customHeight="1">
      <x:c r="A10" s="16" t="str">
        <x:v>ROAD-01</x:v>
      </x:c>
      <x:c r="B10" s="16" t="str">
        <x:v>Routes</x:v>
      </x:c>
      <x:c r="C10" s="16" t="str">
        <x:v>Une desserte rejoint la première chaussée autorisée sans en traverser une autre.</x:v>
      </x:c>
      <x:c r="D10" s="16" t="str">
        <x:v>Test de largeur complète, accotements et extrémités.</x:v>
      </x:c>
      <x:c r="E10" s="16" t="str">
        <x:v>P0</x:v>
      </x:c>
    </x:row>
    <x:row r="11" ht="34" customHeight="1">
      <x:c r="A11" s="16" t="str">
        <x:v>ROAD-02</x:v>
      </x:c>
      <x:c r="B11" s="16" t="str">
        <x:v>Routes</x:v>
      </x:c>
      <x:c r="C11" s="16" t="str">
        <x:v>Autoroute vers voirie locale par transitions ou échangeur explicites.</x:v>
      </x:c>
      <x:c r="D11" s="16" t="str">
        <x:v>Graphe des catégories sans changement brutal non justifié.</x:v>
      </x:c>
      <x:c r="E11" s="16" t="str">
        <x:v>P0</x:v>
      </x:c>
    </x:row>
    <x:row r="12" ht="34" customHeight="1">
      <x:c r="A12" s="16" t="str">
        <x:v>ROAD-03</x:v>
      </x:c>
      <x:c r="B12" s="16" t="str">
        <x:v>Routes</x:v>
      </x:c>
      <x:c r="C12" s="16" t="str">
        <x:v>Réseau logique, surface visible et guidage partagent le même raccord.</x:v>
      </x:c>
      <x:c r="D12" s="16" t="str">
        <x:v>Comparaison géométrique et trajet aller-retour.</x:v>
      </x:c>
      <x:c r="E12" s="16" t="str">
        <x:v>P0</x:v>
      </x:c>
    </x:row>
    <x:row r="13" ht="34" customHeight="1">
      <x:c r="A13" s="16" t="str">
        <x:v>RAIL-01</x:v>
      </x:c>
      <x:c r="B13" s="16" t="str">
        <x:v>Rail</x:v>
      </x:c>
      <x:c r="C13" s="16" t="str">
        <x:v>Chaque voie possède une destination, un butoir ou une rupture justifiée.</x:v>
      </x:c>
      <x:c r="D13" s="16" t="str">
        <x:v>Tous les terminaux et degrés du graphe sont contrôlés.</x:v>
      </x:c>
      <x:c r="E13" s="16" t="str">
        <x:v>P0</x:v>
      </x:c>
    </x:row>
    <x:row r="14" ht="34" customHeight="1">
      <x:c r="A14" s="16" t="str">
        <x:v>RAIL-02</x:v>
      </x:c>
      <x:c r="B14" s="16" t="str">
        <x:v>Rail</x:v>
      </x:c>
      <x:c r="C14" s="16" t="str">
        <x:v>Aiguillage = nœud explicite ; croisement à un autre niveau ≠ jonction.</x:v>
      </x:c>
      <x:c r="D14" s="16" t="str">
        <x:v>Tests de changement de niveau et d’aiguilles fermées.</x:v>
      </x:c>
      <x:c r="E14" s="16" t="str">
        <x:v>P0</x:v>
      </x:c>
    </x:row>
    <x:row r="15" ht="34" customHeight="1">
      <x:c r="A15" s="16" t="str">
        <x:v>RAIL-03</x:v>
      </x:c>
      <x:c r="B15" s="16" t="str">
        <x:v>Rail</x:v>
      </x:c>
      <x:c r="C15" s="16" t="str">
        <x:v>Gare, quai, dépôt et triage raccordés au réseau de la même graine.</x:v>
      </x:c>
      <x:c r="D15" s="16" t="str">
        <x:v>Pas de décor ferroviaire crédité comme réseau fonctionnel.</x:v>
      </x:c>
      <x:c r="E15" s="16" t="str">
        <x:v>P0</x:v>
      </x:c>
    </x:row>
    <x:row r="16" ht="34" customHeight="1">
      <x:c r="A16" s="16" t="str">
        <x:v>LEVEL-01</x:v>
      </x:c>
      <x:c r="B16" s="16" t="str">
        <x:v>Niveaux</x:v>
      </x:c>
      <x:c r="C16" s="16" t="str">
        <x:v>Passer sous un pont sans être téléporté sur le tablier.</x:v>
      </x:c>
      <x:c r="D16" s="16" t="str">
        <x:v>Volumes par altitude et transitions explicites.</x:v>
      </x:c>
      <x:c r="E16" s="16" t="str">
        <x:v>P0</x:v>
      </x:c>
    </x:row>
    <x:row r="17" ht="34" customHeight="1">
      <x:c r="A17" s="16" t="str">
        <x:v>LEVEL-02</x:v>
      </x:c>
      <x:c r="B17" s="16" t="str">
        <x:v>Niveaux</x:v>
      </x:c>
      <x:c r="C17" s="16" t="str">
        <x:v>Escaliers, paliers, sous-sols et étages continus.</x:v>
      </x:c>
      <x:c r="D17" s="16" t="str">
        <x:v>Parcours du rayon réel du joueur dans les deux sens.</x:v>
      </x:c>
      <x:c r="E17" s="16" t="str">
        <x:v>P0</x:v>
      </x:c>
    </x:row>
    <x:row r="18" ht="34" customHeight="1">
      <x:c r="A18" s="16" t="str">
        <x:v>ROOM-01</x:v>
      </x:c>
      <x:c r="B18" s="16" t="str">
        <x:v>Intérieurs</x:v>
      </x:c>
      <x:c r="C18" s="16" t="str">
        <x:v>Chaque pièce prévue possède une entrée et un usage identifiable.</x:v>
      </x:c>
      <x:c r="D18" s="16" t="str">
        <x:v>Entrée → pièce → sortie, sans traverser un meuble.</x:v>
      </x:c>
      <x:c r="E18" s="16" t="str">
        <x:v>P0</x:v>
      </x:c>
    </x:row>
    <x:row r="19" ht="34" customHeight="1">
      <x:c r="A19" s="16" t="str">
        <x:v>ROOM-02</x:v>
      </x:c>
      <x:c r="B19" s="16" t="str">
        <x:v>Intérieurs</x:v>
      </x:c>
      <x:c r="C19" s="16" t="str">
        <x:v>Logements répétés et locaux de soutien réellement matérialisés.</x:v>
      </x:c>
      <x:c r="D19" s="16" t="str">
        <x:v>Comparaison de répétitions source/modèle et navigation.</x:v>
      </x:c>
      <x:c r="E19" s="16" t="str">
        <x:v>P0</x:v>
      </x:c>
    </x:row>
    <x:row r="20" ht="34" customHeight="1">
      <x:c r="A20" s="16" t="str">
        <x:v>SEA-01</x:v>
      </x:c>
      <x:c r="B20" s="16" t="str">
        <x:v>Mer</x:v>
      </x:c>
      <x:c r="C20" s="16" t="str">
        <x:v>Rive, côté terre/eau, profondeur et tirant d’eau compatibles.</x:v>
      </x:c>
      <x:c r="D20" s="16" t="str">
        <x:v>Refus d’un navire ou quai sans support adéquat.</x:v>
      </x:c>
      <x:c r="E20" s="16" t="str">
        <x:v>P0</x:v>
      </x:c>
    </x:row>
    <x:row r="21" ht="34" customHeight="1">
      <x:c r="A21" s="16" t="str">
        <x:v>SEA-02</x:v>
      </x:c>
      <x:c r="B21" s="16" t="str">
        <x:v>Mer</x:v>
      </x:c>
      <x:c r="C21" s="16" t="str">
        <x:v>Transfert quai/bateau comme interaction, pas marche sur eau.</x:v>
      </x:c>
      <x:c r="D21" s="16" t="str">
        <x:v>Mobilités distinctes et propriété de la surface.</x:v>
      </x:c>
      <x:c r="E21" s="16" t="str">
        <x:v>P0</x:v>
      </x:c>
    </x:row>
    <x:row r="22" ht="34" customHeight="1">
      <x:c r="A22" s="16" t="str">
        <x:v>ISL-01</x:v>
      </x:c>
      <x:c r="B22" s="16" t="str">
        <x:v>Îles</x:v>
      </x:c>
      <x:c r="C22" s="16" t="str">
        <x:v>Réseaux insulaires terminés ou reliés à un débarcadère/pont prévu.</x:v>
      </x:c>
      <x:c r="D22" s="16" t="str">
        <x:v>Aucune route ou canalisation prolongé dans le vide.</x:v>
      </x:c>
      <x:c r="E22" s="16" t="str">
        <x:v>P0</x:v>
      </x:c>
    </x:row>
    <x:row r="23" ht="34" customHeight="1">
      <x:c r="A23" s="16" t="str">
        <x:v>WATER-01</x:v>
      </x:c>
      <x:c r="B23" s="16" t="str">
        <x:v>Hydraulique</x:v>
      </x:c>
      <x:c r="C23" s="16" t="str">
        <x:v>Égouts et bassins connectés à un exutoire déclaré.</x:v>
      </x:c>
      <x:c r="D23" s="16" t="str">
        <x:v>Graphe orienté et compatibilité des niveaux.</x:v>
      </x:c>
      <x:c r="E23" s="16" t="str">
        <x:v>P0</x:v>
      </x:c>
    </x:row>
    <x:row r="24" ht="34" customHeight="1">
      <x:c r="A24" s="16" t="str">
        <x:v>POWER-01</x:v>
      </x:c>
      <x:c r="B24" s="16" t="str">
        <x:v>Électricité</x:v>
      </x:c>
      <x:c r="C24" s="16" t="str">
        <x:v>Sources, tableaux, câbles, consommateurs et coupures explicites.</x:v>
      </x:c>
      <x:c r="D24" s="16" t="str">
        <x:v>Capacité, carburant et états persistants ; aucune énergie gratuite.</x:v>
      </x:c>
      <x:c r="E24" s="16" t="str">
        <x:v>P1</x:v>
      </x:c>
    </x:row>
    <x:row r="25" ht="34" customHeight="1">
      <x:c r="A25" s="16" t="str">
        <x:v>LOOT-01</x:v>
      </x:c>
      <x:c r="B25" s="16" t="str">
        <x:v>Butin</x:v>
      </x:c>
      <x:c r="C25" s="16" t="str">
        <x:v>Un contenant = identité et budget finis persistants.</x:v>
      </x:c>
      <x:c r="D25" s="16" t="str">
        <x:v>Fouille → déchargement → recharge ne renouvelle rien.</x:v>
      </x:c>
      <x:c r="E25" s="16" t="str">
        <x:v>P0</x:v>
      </x:c>
    </x:row>
    <x:row r="26" ht="34" customHeight="1">
      <x:c r="A26" s="16" t="str">
        <x:v>SPAWN-01</x:v>
      </x:c>
      <x:c r="B26" s="16" t="str">
        <x:v>Rencontres</x:v>
      </x:c>
      <x:c r="C26" s="16" t="str">
        <x:v>Poids normalisés après filtrage par habitat, heure et accès.</x:v>
      </x:c>
      <x:c r="D26" s="16" t="str">
        <x:v>Aucun candidat non éligible ; distribution déterministe documentée.</x:v>
      </x:c>
      <x:c r="E26" s="16" t="str">
        <x:v>P1</x:v>
      </x:c>
    </x:row>
    <x:row r="27" ht="34" customHeight="1">
      <x:c r="A27" s="16" t="str">
        <x:v>SPAWN-02</x:v>
      </x:c>
      <x:c r="B27" s="16" t="str">
        <x:v>Rencontres</x:v>
      </x:c>
      <x:c r="C27" s="16" t="str">
        <x:v>Zombies abrités selon lumière ; pillards selon accès/logistique.</x:v>
      </x:c>
      <x:c r="D27" s="16" t="str">
        <x:v>Présence physique et visibilité, jamais uniquement un texte.</x:v>
      </x:c>
      <x:c r="E27" s="16" t="str">
        <x:v>P1</x:v>
      </x:c>
    </x:row>
    <x:row r="28" ht="34" customHeight="1">
      <x:c r="A28" s="16" t="str">
        <x:v>SPAWN-03</x:v>
      </x:c>
      <x:c r="B28" s="16" t="str">
        <x:v>Faune</x:v>
      </x:c>
      <x:c r="C28" s="16" t="str">
        <x:v>Espèces compatibles avec habitat, eau et mobilité.</x:v>
      </x:c>
      <x:c r="D28" s="16" t="str">
        <x:v>Pas d’animal marin à terre ni de renouvellement illimité.</x:v>
      </x:c>
      <x:c r="E28" s="16" t="str">
        <x:v>P1</x:v>
      </x:c>
    </x:row>
    <x:row r="29" ht="34" customHeight="1">
      <x:c r="A29" s="16" t="str">
        <x:v>TRAP-01</x:v>
      </x:c>
      <x:c r="B29" s="16" t="str">
        <x:v>Risques</x:v>
      </x:c>
      <x:c r="C29" s="16" t="str">
        <x:v>Piège de jeu détectable/désactivable ; aucune recette réelle.</x:v>
      </x:c>
      <x:c r="D29" s="16" t="str">
        <x:v>Interruption et reprise sans récompense gratuite.</x:v>
      </x:c>
      <x:c r="E29" s="16" t="str">
        <x:v>P1</x:v>
      </x:c>
    </x:row>
    <x:row r="30" ht="34" customHeight="1">
      <x:c r="A30" s="16" t="str">
        <x:v>TURRET-01</x:v>
      </x:c>
      <x:c r="B30" s="16" t="str">
        <x:v>Défense</x:v>
      </x:c>
      <x:c r="C30" s="16" t="str">
        <x:v>Tourelle avec énergie, stock, cible, portée et occlusion.</x:v>
      </x:c>
      <x:c r="D30" s="16" t="str">
        <x:v>État partagé entre rendu et dégâts autoritaires.</x:v>
      </x:c>
      <x:c r="E30" s="16" t="str">
        <x:v>P1</x:v>
      </x:c>
    </x:row>
    <x:row r="31" ht="34" customHeight="1">
      <x:c r="A31" s="16" t="str">
        <x:v>SEED-01</x:v>
      </x:c>
      <x:c r="B31" s="16" t="str">
        <x:v>Déterminisme</x:v>
      </x:c>
      <x:c r="C31" s="16" t="str">
        <x:v>Même graine, profil et révision = mêmes identifiants et connexions.</x:v>
      </x:c>
      <x:c r="D31" s="16" t="str">
        <x:v>Pas de générateur aléatoire de simulation consommé au dessin.</x:v>
      </x:c>
      <x:c r="E31" s="16" t="str">
        <x:v>P0</x:v>
      </x:c>
    </x:row>
    <x:row r="32" ht="34" customHeight="1">
      <x:c r="A32" s="16" t="str">
        <x:v>SEED-02</x:v>
      </x:c>
      <x:c r="B32" s="16" t="str">
        <x:v>Coutures</x:v>
      </x:c>
      <x:c r="C32" s="16" t="str">
        <x:v>Les bords de secteurs partagent les mêmes nœuds et réserves.</x:v>
      </x:c>
      <x:c r="D32" s="16" t="str">
        <x:v>Ordres de chargement inversés produisent les mêmes coutures.</x:v>
      </x:c>
      <x:c r="E32" s="16" t="str">
        <x:v>P0</x:v>
      </x:c>
    </x:row>
    <x:row r="33" ht="34" customHeight="1">
      <x:c r="A33" s="16" t="str">
        <x:v>SAVE-01</x:v>
      </x:c>
      <x:c r="B33" s="16" t="str">
        <x:v>Sauvegarde</x:v>
      </x:c>
      <x:c r="C33" s="16" t="str">
        <x:v>Une nouvelle géométrie ne recouvre pas une possession conservée.</x:v>
      </x:c>
      <x:c r="D33" s="16" t="str">
        <x:v>Migration volontaire et refus atomique en cas de conflit.</x:v>
      </x:c>
      <x:c r="E33" s="16" t="str">
        <x:v>P0</x:v>
      </x:c>
    </x:row>
    <x:row r="34" ht="34" customHeight="1">
      <x:c r="A34" s="16" t="str">
        <x:v>PERF-01</x:v>
      </x:c>
      <x:c r="B34" s="16" t="str">
        <x:v>Performance</x:v>
      </x:c>
      <x:c r="C34" s="16" t="str">
        <x:v>Budget de candidats, objets, caches et acteurs explicite.</x:v>
      </x:c>
      <x:c r="D34" s="16" t="str">
        <x:v>Mesures sur jeu réel séparées des scènes préparées.</x:v>
      </x:c>
      <x:c r="E34" s="16" t="str">
        <x:v>P1</x:v>
      </x:c>
    </x:row>
    <x:row r="35" ht="34" customHeight="1">
      <x:c r="A35" s="16" t="str">
        <x:v>QA-01</x:v>
      </x:c>
      <x:c r="B35" s="16" t="str">
        <x:v>Réception</x:v>
      </x:c>
      <x:c r="C35" s="16" t="str">
        <x:v>Une ligne validée doit posséder une preuve liée à sa révision.</x:v>
      </x:c>
      <x:c r="D35" s="16" t="str">
        <x:v>Aucune fiche ou test isolé ne suffit à certifier tout un lieu.</x:v>
      </x:c>
      <x:c r="E35" s="16" t="str">
        <x:v>P0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4f215eb8352142d0"/>
  </x:tableParts>
</x:worksheet>
</file>

<file path=xl/worksheets/sheet7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5" hidden="0" customWidth="1"/>
    <x:col min="2" max="2" width="22" hidden="0" customWidth="1"/>
    <x:col min="3" max="3" width="22" hidden="0" customWidth="1"/>
    <x:col min="4" max="4" width="28" hidden="0" customWidth="1"/>
  </x:cols>
  <x:sheetData>
    <x:row r="1" ht="32" customHeight="1">
      <x:c r="A1" s="3" t="str">
        <x:v>10  /  SYNTHÈSE DES FAMILLES</x:v>
      </x:c>
      <x:c r="B1" s="3"/>
      <x:c r="C1" s="3"/>
      <x:c r="D1" s="3"/>
    </x:row>
    <x:row r="2" ht="20" customHeight="1">
      <x:c r="A2" s="9" t="str">
        <x:v>Compteurs calculés sur le catalogue importé. Les parents sont les lignes non héritées ; ils ne représentent pas nécessairement des architectures uniques.</x:v>
      </x:c>
      <x:c r="B2" s="9"/>
      <x:c r="C2" s="9"/>
      <x:c r="D2" s="9"/>
    </x:row>
    <x:row r="3" ht="20" customHeight="1">
      <x:c r="A3" s="9"/>
      <x:c r="B3" s="9"/>
      <x:c r="C3" s="9"/>
      <x:c r="D3" s="9"/>
    </x:row>
    <x:row r="5" ht="34" customHeight="1">
      <x:c r="A5" s="112" t="str">
        <x:v>Famille</x:v>
      </x:c>
      <x:c r="B5" s="112" t="str">
        <x:v>Programmes</x:v>
      </x:c>
      <x:c r="C5" s="112" t="str">
        <x:v>Parents</x:v>
      </x:c>
      <x:c r="D5" s="112" t="str">
        <x:v>Compositions héritées</x:v>
      </x:c>
    </x:row>
    <x:row r="6" ht="34" customHeight="1">
      <x:c r="A6" s="16" t="str">
        <x:v>Abris et souterrains</x:v>
      </x:c>
      <x:c r="B6" s="16" t="n">
        <x:f>COUNTIF('Catalogue existant'!$D$6:$D$4005,A6)</x:f>
        <x:v>60</x:v>
      </x:c>
      <x:c r="C6" s="16" t="n">
        <x:f>COUNTIFS('Catalogue existant'!$D$6:$D$4005,A6,'Catalogue existant'!$C$6:$C$4005,"&lt;&gt;Composition héritée")</x:f>
        <x:v>20</x:v>
      </x:c>
      <x:c r="D6" s="16" t="n">
        <x:f>B6-C6</x:f>
        <x:v>40</x:v>
      </x:c>
    </x:row>
    <x:row r="7" ht="34" customHeight="1">
      <x:c r="A7" s="16" t="str">
        <x:v>Administration et communauté</x:v>
      </x:c>
      <x:c r="B7" s="16" t="n">
        <x:f>COUNTIF('Catalogue existant'!$D$6:$D$4005,A7)</x:f>
        <x:v>138</x:v>
      </x:c>
      <x:c r="C7" s="16" t="n">
        <x:f>COUNTIFS('Catalogue existant'!$D$6:$D$4005,A7,'Catalogue existant'!$C$6:$C$4005,"&lt;&gt;Composition héritée")</x:f>
        <x:v>98</x:v>
      </x:c>
      <x:c r="D7" s="16" t="n">
        <x:f>B7-C7</x:f>
        <x:v>40</x:v>
      </x:c>
    </x:row>
    <x:row r="8" ht="34" customHeight="1">
      <x:c r="A8" s="16" t="str">
        <x:v>Agriculture</x:v>
      </x:c>
      <x:c r="B8" s="16" t="n">
        <x:f>COUNTIF('Catalogue existant'!$D$6:$D$4005,A8)</x:f>
        <x:v>140</x:v>
      </x:c>
      <x:c r="C8" s="16" t="n">
        <x:f>COUNTIFS('Catalogue existant'!$D$6:$D$4005,A8,'Catalogue existant'!$C$6:$C$4005,"&lt;&gt;Composition héritée")</x:f>
        <x:v>100</x:v>
      </x:c>
      <x:c r="D8" s="16" t="n">
        <x:f>B8-C8</x:f>
        <x:v>40</x:v>
      </x:c>
    </x:row>
    <x:row r="9" ht="34" customHeight="1">
      <x:c r="A9" s="16" t="str">
        <x:v>Alimentation et restauration</x:v>
      </x:c>
      <x:c r="B9" s="16" t="n">
        <x:f>COUNTIF('Catalogue existant'!$D$6:$D$4005,A9)</x:f>
        <x:v>115</x:v>
      </x:c>
      <x:c r="C9" s="16" t="n">
        <x:f>COUNTIFS('Catalogue existant'!$D$6:$D$4005,A9,'Catalogue existant'!$C$6:$C$4005,"&lt;&gt;Composition héritée")</x:f>
        <x:v>75</x:v>
      </x:c>
      <x:c r="D9" s="16" t="n">
        <x:f>B9-C9</x:f>
        <x:v>40</x:v>
      </x:c>
    </x:row>
    <x:row r="10" ht="34" customHeight="1">
      <x:c r="A10" s="16" t="str">
        <x:v>Automobile et carburant</x:v>
      </x:c>
      <x:c r="B10" s="16" t="n">
        <x:f>COUNTIF('Catalogue existant'!$D$6:$D$4005,A10)</x:f>
        <x:v>73</x:v>
      </x:c>
      <x:c r="C10" s="16" t="n">
        <x:f>COUNTIFS('Catalogue existant'!$D$6:$D$4005,A10,'Catalogue existant'!$C$6:$C$4005,"&lt;&gt;Composition héritée")</x:f>
        <x:v>33</x:v>
      </x:c>
      <x:c r="D10" s="16" t="n">
        <x:f>B10-C10</x:f>
        <x:v>40</x:v>
      </x:c>
    </x:row>
    <x:row r="11" ht="34" customHeight="1">
      <x:c r="A11" s="16" t="str">
        <x:v>Commerces non alimentaires</x:v>
      </x:c>
      <x:c r="B11" s="16" t="n">
        <x:f>COUNTIF('Catalogue existant'!$D$6:$D$4005,A11)</x:f>
        <x:v>130</x:v>
      </x:c>
      <x:c r="C11" s="16" t="n">
        <x:f>COUNTIFS('Catalogue existant'!$D$6:$D$4005,A11,'Catalogue existant'!$C$6:$C$4005,"&lt;&gt;Composition héritée")</x:f>
        <x:v>90</x:v>
      </x:c>
      <x:c r="D11" s="16" t="n">
        <x:f>B11-C11</x:f>
        <x:v>40</x:v>
      </x:c>
    </x:row>
    <x:row r="12" ht="34" customHeight="1">
      <x:c r="A12" s="16" t="str">
        <x:v>Eau et réseaux</x:v>
      </x:c>
      <x:c r="B12" s="16" t="n">
        <x:f>COUNTIF('Catalogue existant'!$D$6:$D$4005,A12)</x:f>
        <x:v>60</x:v>
      </x:c>
      <x:c r="C12" s="16" t="n">
        <x:f>COUNTIFS('Catalogue existant'!$D$6:$D$4005,A12,'Catalogue existant'!$C$6:$C$4005,"&lt;&gt;Composition héritée")</x:f>
        <x:v>20</x:v>
      </x:c>
      <x:c r="D12" s="16" t="n">
        <x:f>B12-C12</x:f>
        <x:v>40</x:v>
      </x:c>
    </x:row>
    <x:row r="13" ht="34" customHeight="1">
      <x:c r="A13" s="16" t="str">
        <x:v>Entrepôts et réserves</x:v>
      </x:c>
      <x:c r="B13" s="16" t="n">
        <x:f>COUNTIF('Catalogue existant'!$D$6:$D$4005,A13)</x:f>
        <x:v>120</x:v>
      </x:c>
      <x:c r="C13" s="16" t="n">
        <x:f>COUNTIFS('Catalogue existant'!$D$6:$D$4005,A13,'Catalogue existant'!$C$6:$C$4005,"&lt;&gt;Composition héritée")</x:f>
        <x:v>80</x:v>
      </x:c>
      <x:c r="D13" s="16" t="n">
        <x:f>B13-C13</x:f>
        <x:v>40</x:v>
      </x:c>
    </x:row>
    <x:row r="14" ht="34" customHeight="1">
      <x:c r="A14" s="16" t="str">
        <x:v>Ferroviaire et transports collectifs</x:v>
      </x:c>
      <x:c r="B14" s="16" t="n">
        <x:f>COUNTIF('Catalogue existant'!$D$6:$D$4005,A14)</x:f>
        <x:v>60</x:v>
      </x:c>
      <x:c r="C14" s="16" t="n">
        <x:f>COUNTIFS('Catalogue existant'!$D$6:$D$4005,A14,'Catalogue existant'!$C$6:$C$4005,"&lt;&gt;Composition héritée")</x:f>
        <x:v>20</x:v>
      </x:c>
      <x:c r="D14" s="16" t="n">
        <x:f>B14-C14</x:f>
        <x:v>40</x:v>
      </x:c>
    </x:row>
    <x:row r="15" ht="34" customHeight="1">
      <x:c r="A15" s="16" t="str">
        <x:v>Forêts et filière bois</x:v>
      </x:c>
      <x:c r="B15" s="16" t="n">
        <x:f>COUNTIF('Catalogue existant'!$D$6:$D$4005,A15)</x:f>
        <x:v>60</x:v>
      </x:c>
      <x:c r="C15" s="16" t="n">
        <x:f>COUNTIFS('Catalogue existant'!$D$6:$D$4005,A15,'Catalogue existant'!$C$6:$C$4005,"&lt;&gt;Composition héritée")</x:f>
        <x:v>20</x:v>
      </x:c>
      <x:c r="D15" s="16" t="n">
        <x:f>B15-C15</x:f>
        <x:v>40</x:v>
      </x:c>
    </x:row>
    <x:row r="16" ht="34" customHeight="1">
      <x:c r="A16" s="16" t="str">
        <x:v>Habitat collectif</x:v>
      </x:c>
      <x:c r="B16" s="16" t="n">
        <x:f>COUNTIF('Catalogue existant'!$D$6:$D$4005,A16)</x:f>
        <x:v>110</x:v>
      </x:c>
      <x:c r="C16" s="16" t="n">
        <x:f>COUNTIFS('Catalogue existant'!$D$6:$D$4005,A16,'Catalogue existant'!$C$6:$C$4005,"&lt;&gt;Composition héritée")</x:f>
        <x:v>70</x:v>
      </x:c>
      <x:c r="D16" s="16" t="n">
        <x:f>B16-C16</x:f>
        <x:v>40</x:v>
      </x:c>
    </x:row>
    <x:row r="17" ht="34" customHeight="1">
      <x:c r="A17" s="16" t="str">
        <x:v>Habitat individuel</x:v>
      </x:c>
      <x:c r="B17" s="16" t="n">
        <x:f>COUNTIF('Catalogue existant'!$D$6:$D$4005,A17)</x:f>
        <x:v>100</x:v>
      </x:c>
      <x:c r="C17" s="16" t="n">
        <x:f>COUNTIFS('Catalogue existant'!$D$6:$D$4005,A17,'Catalogue existant'!$C$6:$C$4005,"&lt;&gt;Composition héritée")</x:f>
        <x:v>60</x:v>
      </x:c>
      <x:c r="D17" s="16" t="n">
        <x:f>B17-C17</x:f>
        <x:v>40</x:v>
      </x:c>
    </x:row>
    <x:row r="18" ht="34" customHeight="1">
      <x:c r="A18" s="16" t="str">
        <x:v>Hôtellerie et hébergement</x:v>
      </x:c>
      <x:c r="B18" s="16" t="n">
        <x:f>COUNTIF('Catalogue existant'!$D$6:$D$4005,A18)</x:f>
        <x:v>80</x:v>
      </x:c>
      <x:c r="C18" s="16" t="n">
        <x:f>COUNTIFS('Catalogue existant'!$D$6:$D$4005,A18,'Catalogue existant'!$C$6:$C$4005,"&lt;&gt;Composition héritée")</x:f>
        <x:v>40</x:v>
      </x:c>
      <x:c r="D18" s="16" t="n">
        <x:f>B18-C18</x:f>
        <x:v>40</x:v>
      </x:c>
    </x:row>
    <x:row r="19" ht="34" customHeight="1">
      <x:c r="A19" s="16" t="str">
        <x:v>Industrie et production</x:v>
      </x:c>
      <x:c r="B19" s="16" t="n">
        <x:f>COUNTIF('Catalogue existant'!$D$6:$D$4005,A19)</x:f>
        <x:v>179</x:v>
      </x:c>
      <x:c r="C19" s="16" t="n">
        <x:f>COUNTIFS('Catalogue existant'!$D$6:$D$4005,A19,'Catalogue existant'!$C$6:$C$4005,"&lt;&gt;Composition héritée")</x:f>
        <x:v>139</x:v>
      </x:c>
      <x:c r="D19" s="16" t="n">
        <x:f>B19-C19</x:f>
        <x:v>40</x:v>
      </x:c>
    </x:row>
    <x:row r="20" ht="34" customHeight="1">
      <x:c r="A20" s="16" t="str">
        <x:v>Loisirs et culture</x:v>
      </x:c>
      <x:c r="B20" s="16" t="n">
        <x:f>COUNTIF('Catalogue existant'!$D$6:$D$4005,A20)</x:f>
        <x:v>140</x:v>
      </x:c>
      <x:c r="C20" s="16" t="n">
        <x:f>COUNTIFS('Catalogue existant'!$D$6:$D$4005,A20,'Catalogue existant'!$C$6:$C$4005,"&lt;&gt;Composition héritée")</x:f>
        <x:v>100</x:v>
      </x:c>
      <x:c r="D20" s="16" t="n">
        <x:f>B20-C20</x:f>
        <x:v>40</x:v>
      </x:c>
    </x:row>
    <x:row r="21" ht="34" customHeight="1">
      <x:c r="A21" s="16" t="str">
        <x:v>Mines et matériaux</x:v>
      </x:c>
      <x:c r="B21" s="16" t="n">
        <x:f>COUNTIF('Catalogue existant'!$D$6:$D$4005,A21)</x:f>
        <x:v>60</x:v>
      </x:c>
      <x:c r="C21" s="16" t="n">
        <x:f>COUNTIFS('Catalogue existant'!$D$6:$D$4005,A21,'Catalogue existant'!$C$6:$C$4005,"&lt;&gt;Composition héritée")</x:f>
        <x:v>20</x:v>
      </x:c>
      <x:c r="D21" s="16" t="n">
        <x:f>B21-C21</x:f>
        <x:v>40</x:v>
      </x:c>
    </x:row>
    <x:row r="22" ht="34" customHeight="1">
      <x:c r="A22" s="16" t="str">
        <x:v>Ports et activités nautiques</x:v>
      </x:c>
      <x:c r="B22" s="16" t="n">
        <x:f>COUNTIF('Catalogue existant'!$D$6:$D$4005,A22)</x:f>
        <x:v>60</x:v>
      </x:c>
      <x:c r="C22" s="16" t="n">
        <x:f>COUNTIFS('Catalogue existant'!$D$6:$D$4005,A22,'Catalogue existant'!$C$6:$C$4005,"&lt;&gt;Composition héritée")</x:f>
        <x:v>20</x:v>
      </x:c>
      <x:c r="D22" s="16" t="n">
        <x:f>B22-C22</x:f>
        <x:v>40</x:v>
      </x:c>
    </x:row>
    <x:row r="23" ht="34" customHeight="1">
      <x:c r="A23" s="16" t="str">
        <x:v>Quartiers et agglomérations</x:v>
      </x:c>
      <x:c r="B23" s="16" t="n">
        <x:f>COUNTIF('Catalogue existant'!$D$6:$D$4005,A23)</x:f>
        <x:v>60</x:v>
      </x:c>
      <x:c r="C23" s="16" t="n">
        <x:f>COUNTIFS('Catalogue existant'!$D$6:$D$4005,A23,'Catalogue existant'!$C$6:$C$4005,"&lt;&gt;Composition héritée")</x:f>
        <x:v>20</x:v>
      </x:c>
      <x:c r="D23" s="16" t="n">
        <x:f>B23-C23</x:f>
        <x:v>40</x:v>
      </x:c>
    </x:row>
    <x:row r="24" ht="34" customHeight="1">
      <x:c r="A24" s="16" t="str">
        <x:v>Routes et ouvrages</x:v>
      </x:c>
      <x:c r="B24" s="16" t="n">
        <x:f>COUNTIF('Catalogue existant'!$D$6:$D$4005,A24)</x:f>
        <x:v>60</x:v>
      </x:c>
      <x:c r="C24" s="16" t="n">
        <x:f>COUNTIFS('Catalogue existant'!$D$6:$D$4005,A24,'Catalogue existant'!$C$6:$C$4005,"&lt;&gt;Composition héritée")</x:f>
        <x:v>20</x:v>
      </x:c>
      <x:c r="D24" s="16" t="n">
        <x:f>B24-C24</x:f>
        <x:v>40</x:v>
      </x:c>
    </x:row>
    <x:row r="25" ht="34" customHeight="1">
      <x:c r="A25" s="16" t="str">
        <x:v>Ruines et lieux dégradés visitables</x:v>
      </x:c>
      <x:c r="B25" s="16" t="n">
        <x:f>COUNTIF('Catalogue existant'!$D$6:$D$4005,A25)</x:f>
        <x:v>60</x:v>
      </x:c>
      <x:c r="C25" s="16" t="n">
        <x:f>COUNTIFS('Catalogue existant'!$D$6:$D$4005,A25,'Catalogue existant'!$C$6:$C$4005,"&lt;&gt;Composition héritée")</x:f>
        <x:v>20</x:v>
      </x:c>
      <x:c r="D25" s="16" t="n">
        <x:f>B25-C25</x:f>
        <x:v>40</x:v>
      </x:c>
    </x:row>
    <x:row r="26" ht="34" customHeight="1">
      <x:c r="A26" s="16" t="str">
        <x:v>Santé</x:v>
      </x:c>
      <x:c r="B26" s="16" t="n">
        <x:f>COUNTIF('Catalogue existant'!$D$6:$D$4005,A26)</x:f>
        <x:v>100</x:v>
      </x:c>
      <x:c r="C26" s="16" t="n">
        <x:f>COUNTIFS('Catalogue existant'!$D$6:$D$4005,A26,'Catalogue existant'!$C$6:$C$4005,"&lt;&gt;Composition héritée")</x:f>
        <x:v>60</x:v>
      </x:c>
      <x:c r="D26" s="16" t="n">
        <x:f>B26-C26</x:f>
        <x:v>40</x:v>
      </x:c>
    </x:row>
    <x:row r="27" ht="34" customHeight="1">
      <x:c r="A27" s="16" t="str">
        <x:v>Secours et protection civile</x:v>
      </x:c>
      <x:c r="B27" s="16" t="n">
        <x:f>COUNTIF('Catalogue existant'!$D$6:$D$4005,A27)</x:f>
        <x:v>120</x:v>
      </x:c>
      <x:c r="C27" s="16" t="n">
        <x:f>COUNTIFS('Catalogue existant'!$D$6:$D$4005,A27,'Catalogue existant'!$C$6:$C$4005,"&lt;&gt;Composition héritée")</x:f>
        <x:v>80</x:v>
      </x:c>
      <x:c r="D27" s="16" t="n">
        <x:f>B27-C27</x:f>
        <x:v>40</x:v>
      </x:c>
    </x:row>
    <x:row r="28" ht="34" customHeight="1">
      <x:c r="A28" s="16" t="str">
        <x:v>Services et petits ateliers</x:v>
      </x:c>
      <x:c r="B28" s="16" t="n">
        <x:f>COUNTIF('Catalogue existant'!$D$6:$D$4005,A28)</x:f>
        <x:v>174</x:v>
      </x:c>
      <x:c r="C28" s="16" t="n">
        <x:f>COUNTIFS('Catalogue existant'!$D$6:$D$4005,A28,'Catalogue existant'!$C$6:$C$4005,"&lt;&gt;Composition héritée")</x:f>
        <x:v>134</x:v>
      </x:c>
      <x:c r="D28" s="16" t="n">
        <x:f>B28-C28</x:f>
        <x:v>40</x:v>
      </x:c>
    </x:row>
    <x:row r="29" ht="34" customHeight="1">
      <x:c r="A29" s="16" t="str">
        <x:v>commerce</x:v>
      </x:c>
      <x:c r="B29" s="16" t="n">
        <x:f>COUNTIF('Catalogue existant'!$D$6:$D$4005,A29)</x:f>
        <x:v>192</x:v>
      </x:c>
      <x:c r="C29" s="16" t="n">
        <x:f>COUNTIFS('Catalogue existant'!$D$6:$D$4005,A29,'Catalogue existant'!$C$6:$C$4005,"&lt;&gt;Composition héritée")</x:f>
        <x:v>64</x:v>
      </x:c>
      <x:c r="D29" s="16" t="n">
        <x:f>B29-C29</x:f>
        <x:v>128</x:v>
      </x:c>
    </x:row>
    <x:row r="30" ht="34" customHeight="1">
      <x:c r="A30" s="16" t="str">
        <x:v>habitat</x:v>
      </x:c>
      <x:c r="B30" s="16" t="n">
        <x:f>COUNTIF('Catalogue existant'!$D$6:$D$4005,A30)</x:f>
        <x:v>192</x:v>
      </x:c>
      <x:c r="C30" s="16" t="n">
        <x:f>COUNTIFS('Catalogue existant'!$D$6:$D$4005,A30,'Catalogue existant'!$C$6:$C$4005,"&lt;&gt;Composition héritée")</x:f>
        <x:v>64</x:v>
      </x:c>
      <x:c r="D30" s="16" t="n">
        <x:f>B30-C30</x:f>
        <x:v>128</x:v>
      </x:c>
    </x:row>
    <x:row r="31" ht="34" customHeight="1">
      <x:c r="A31" s="16" t="str">
        <x:v>industrie</x:v>
      </x:c>
      <x:c r="B31" s="16" t="n">
        <x:f>COUNTIF('Catalogue existant'!$D$6:$D$4005,A31)</x:f>
        <x:v>192</x:v>
      </x:c>
      <x:c r="C31" s="16" t="n">
        <x:f>COUNTIFS('Catalogue existant'!$D$6:$D$4005,A31,'Catalogue existant'!$C$6:$C$4005,"&lt;&gt;Composition héritée")</x:f>
        <x:v>64</x:v>
      </x:c>
      <x:c r="D31" s="16" t="n">
        <x:f>B31-C31</x:f>
        <x:v>128</x:v>
      </x:c>
    </x:row>
    <x:row r="32" ht="34" customHeight="1">
      <x:c r="A32" s="16" t="str">
        <x:v>militaire</x:v>
      </x:c>
      <x:c r="B32" s="16" t="n">
        <x:f>COUNTIF('Catalogue existant'!$D$6:$D$4005,A32)</x:f>
        <x:v>192</x:v>
      </x:c>
      <x:c r="C32" s="16" t="n">
        <x:f>COUNTIFS('Catalogue existant'!$D$6:$D$4005,A32,'Catalogue existant'!$C$6:$C$4005,"&lt;&gt;Composition héritée")</x:f>
        <x:v>64</x:v>
      </x:c>
      <x:c r="D32" s="16" t="n">
        <x:f>B32-C32</x:f>
        <x:v>128</x:v>
      </x:c>
    </x:row>
    <x:row r="33" ht="34" customHeight="1">
      <x:c r="A33" s="16" t="str">
        <x:v>public</x:v>
      </x:c>
      <x:c r="B33" s="16" t="n">
        <x:f>COUNTIF('Catalogue existant'!$D$6:$D$4005,A33)</x:f>
        <x:v>192</x:v>
      </x:c>
      <x:c r="C33" s="16" t="n">
        <x:f>COUNTIFS('Catalogue existant'!$D$6:$D$4005,A33,'Catalogue existant'!$C$6:$C$4005,"&lt;&gt;Composition héritée")</x:f>
        <x:v>64</x:v>
      </x:c>
      <x:c r="D33" s="16" t="n">
        <x:f>B33-C33</x:f>
        <x:v>128</x:v>
      </x:c>
    </x:row>
    <x:row r="34" ht="34" customHeight="1">
      <x:c r="A34" s="16" t="str">
        <x:v>ruines</x:v>
      </x:c>
      <x:c r="B34" s="16" t="n">
        <x:f>COUNTIF('Catalogue existant'!$D$6:$D$4005,A34)</x:f>
        <x:v>168</x:v>
      </x:c>
      <x:c r="C34" s="16" t="n">
        <x:f>COUNTIFS('Catalogue existant'!$D$6:$D$4005,A34,'Catalogue existant'!$C$6:$C$4005,"&lt;&gt;Composition héritée")</x:f>
        <x:v>56</x:v>
      </x:c>
      <x:c r="D34" s="16" t="n">
        <x:f>B34-C34</x:f>
        <x:v>112</x:v>
      </x:c>
    </x:row>
    <x:row r="35" ht="34" customHeight="1">
      <x:c r="A35" s="16" t="str">
        <x:v>rural</x:v>
      </x:c>
      <x:c r="B35" s="16" t="n">
        <x:f>COUNTIF('Catalogue existant'!$D$6:$D$4005,A35)</x:f>
        <x:v>192</x:v>
      </x:c>
      <x:c r="C35" s="16" t="n">
        <x:f>COUNTIFS('Catalogue existant'!$D$6:$D$4005,A35,'Catalogue existant'!$C$6:$C$4005,"&lt;&gt;Composition héritée")</x:f>
        <x:v>64</x:v>
      </x:c>
      <x:c r="D35" s="16" t="n">
        <x:f>B35-C35</x:f>
        <x:v>128</x:v>
      </x:c>
    </x:row>
    <x:row r="36">
      <x:c r="A36" t="str">
        <x:v>transport</x:v>
      </x:c>
      <x:c r="B36" t="n">
        <x:f>COUNTIF('Catalogue existant'!$D$6:$D$4005,A36)</x:f>
        <x:v>180</x:v>
      </x:c>
      <x:c r="C36" t="n">
        <x:f>COUNTIFS('Catalogue existant'!$D$6:$D$4005,A36,'Catalogue existant'!$C$6:$C$4005,"&lt;&gt;Composition héritée")</x:f>
        <x:v>60</x:v>
      </x:c>
      <x:c r="D36" t="n">
        <x:f>B36-C36</x:f>
        <x:v>120</x:v>
      </x:c>
    </x:row>
    <x:row r="37">
      <x:c r="A37" t="str">
        <x:v>Éducation et connaissance</x:v>
      </x:c>
      <x:c r="B37" t="n">
        <x:f>COUNTIF('Catalogue existant'!$D$6:$D$4005,A37)</x:f>
        <x:v>130</x:v>
      </x:c>
      <x:c r="C37" t="n">
        <x:f>COUNTIFS('Catalogue existant'!$D$6:$D$4005,A37,'Catalogue existant'!$C$6:$C$4005,"&lt;&gt;Composition héritée")</x:f>
        <x:v>90</x:v>
      </x:c>
      <x:c r="D37" t="n">
        <x:f>B37-C37</x:f>
        <x:v>40</x:v>
      </x:c>
    </x:row>
    <x:row r="38">
      <x:c r="A38" t="str">
        <x:v>Énergie et communication</x:v>
      </x:c>
      <x:c r="B38" t="n">
        <x:f>COUNTIF('Catalogue existant'!$D$6:$D$4005,A38)</x:f>
        <x:v>111</x:v>
      </x:c>
      <x:c r="C38" t="n">
        <x:f>COUNTIFS('Catalogue existant'!$D$6:$D$4005,A38,'Catalogue existant'!$C$6:$C$4005,"&lt;&gt;Composition héritée")</x:f>
        <x:v>71</x:v>
      </x:c>
      <x:c r="D38" t="n">
        <x:f>B38-C38</x:f>
        <x:v>40</x:v>
      </x:c>
    </x:row>
  </x:sheetData>
  <x:mergeCells>
    <x:mergeCell ref="A1:D1"/>
    <x:mergeCell ref="A2:D3"/>
  </x:mergeCells>
  <x:pageMargins left="0.7" right="0.7" top="0.75" bottom="0.75" header="0.3" footer="0.3"/>
  <x:tableParts count="1">
    <x:tablePart xmlns:r="http://schemas.openxmlformats.org/officeDocument/2006/relationships" r:id="R8d0b139d9acd45ae"/>
  </x:tableParts>
</x:worksheet>
</file>

<file path=xl/worksheets/sheet8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35" hidden="0" customWidth="1"/>
    <x:col min="3" max="3" width="48" hidden="0" customWidth="1"/>
    <x:col min="4" max="4" width="75" hidden="0" customWidth="1"/>
    <x:col min="5" max="5" width="75" hidden="0" customWidth="1"/>
  </x:cols>
  <x:sheetData>
    <x:row r="1" ht="32" customHeight="1">
      <x:c r="A1" s="3" t="str">
        <x:v>11  /  PROVENANCE</x:v>
      </x:c>
      <x:c r="B1" s="3"/>
      <x:c r="C1" s="3"/>
      <x:c r="D1" s="3"/>
      <x:c r="E1" s="3"/>
    </x:row>
    <x:row r="2" ht="20" customHeight="1">
      <x:c r="A2" s="9" t="str">
        <x:v>Les URL de source sont conservées en texte dans le classeur. Les plans structurels de l’extension restent à rechercher et valider.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ID</x:v>
      </x:c>
      <x:c r="B5" s="112" t="str">
        <x:v>Objet</x:v>
      </x:c>
      <x:c r="C5" s="112" t="str">
        <x:v>Révision / fichier</x:v>
      </x:c>
      <x:c r="D5" s="112" t="str">
        <x:v>URL</x:v>
      </x:c>
      <x:c r="E5" s="112" t="str">
        <x:v>Portée</x:v>
      </x:c>
    </x:row>
    <x:row r="6" ht="34" customHeight="1">
      <x:c r="A6" s="16" t="str">
        <x:v>SRC-01</x:v>
      </x:c>
      <x:c r="B6" s="16" t="str">
        <x:v>Base main vérifiée</x:v>
      </x:c>
      <x:c r="C6" s="16" t="str">
        <x:v>6c6fbb6cf563bea6c89ade99c65f18c438481532</x:v>
      </x:c>
      <x:c r="D6" s="16" t="str">
        <x:v>https://github.com/darknigthmare/deadwall-last-enclosure/commit/6c6fbb6cf563bea6c89ade99c65f18c438481532</x:v>
      </x:c>
      <x:c r="E6" s="16" t="str">
        <x:v>Source du catalogue existant</x:v>
      </x:c>
    </x:row>
    <x:row r="7" ht="34" customHeight="1">
      <x:c r="A7" s="16" t="str">
        <x:v>SRC-02</x:v>
      </x:c>
      <x:c r="B7" s="16" t="str">
        <x:v>Archive récupérée</x:v>
      </x:c>
      <x:c r="C7" s="16" t="str">
        <x:v>f35a0ba38a0608cb94322e769d5c4fd1abdaa134</x:v>
      </x:c>
      <x:c r="D7" s="16" t="str">
        <x:v>https://github.com/darknigthmare/deadwall-last-enclosure/actions/runs/39561069434</x:v>
      </x:c>
      <x:c r="E7" s="16" t="str">
        <x:v>4 493 fichiers vérifiés par SHA256 ; une seule différence avec main : workflow d’archivage</x:v>
      </x:c>
    </x:row>
    <x:row r="8" ht="34" customHeight="1">
      <x:c r="A8" s="16" t="str">
        <x:v>SRC-03</x:v>
      </x:c>
      <x:c r="B8" s="16" t="str">
        <x:v>Source originale 3 000</x:v>
      </x:c>
      <x:c r="C8" s="16" t="str">
        <x:v>INDEX_3000.json</x:v>
      </x:c>
      <x:c r="D8" s="16" t="str">
        <x:v>https://github.com/darknigthmare/deadwall-last-enclosure/blob/6c6fbb6cf563bea6c89ade99c65f18c438481532/codex-3000/INDEX_3000.json</x:v>
      </x:c>
      <x:c r="E8" s="16" t="str">
        <x:v>Identifiants historiques et compositions</x:v>
      </x:c>
    </x:row>
    <x:row r="9" ht="34" customHeight="1">
      <x:c r="A9" s="16" t="str">
        <x:v>SRC-04</x:v>
      </x:c>
      <x:c r="B9" s="16" t="str">
        <x:v>Addendum 1 000</x:v>
      </x:c>
      <x:c r="C9" s="16" t="str">
        <x:v>INDEX_1000.json</x:v>
      </x:c>
      <x:c r="D9" s="16" t="str">
        <x:v>https://github.com/darknigthmare/deadwall-last-enclosure/blob/6c6fbb6cf563bea6c89ade99c65f18c438481532/codex-3000/addendum-1.58/INDEX_1000.json</x:v>
      </x:c>
      <x:c r="E9" s="16" t="str">
        <x:v>Parents indépendants 1.58</x:v>
      </x:c>
    </x:row>
    <x:row r="10" ht="34" customHeight="1">
      <x:c r="A10" s="16" t="str">
        <x:v>SRC-05</x:v>
      </x:c>
      <x:c r="B10" s="16" t="str">
        <x:v>Recettes exécutables</x:v>
      </x:c>
      <x:c r="C10" s="16" t="str">
        <x:v>codex3000-runtime.js</x:v>
      </x:c>
      <x:c r="D10" s="16" t="str">
        <x:v>https://github.com/darknigthmare/deadwall-last-enclosure/blob/6c6fbb6cf563bea6c89ade99c65f18c438481532/src/codex3000-runtime.js</x:v>
      </x:c>
      <x:c r="E10" s="16" t="str">
        <x:v>Extraction sans modification du moteur</x:v>
      </x:c>
    </x:row>
    <x:row r="11" ht="34" customHeight="1">
      <x:c r="A11" s="16" t="str">
        <x:v>SRC-06</x:v>
      </x:c>
      <x:c r="B11" s="16" t="str">
        <x:v>Couverture des sources</x:v>
      </x:c>
      <x:c r="C11" s="16" t="str">
        <x:v>codex-coverage167.js</x:v>
      </x:c>
      <x:c r="D11" s="16" t="str">
        <x:v>https://github.com/darknigthmare/deadwall-last-enclosure/blob/6c6fbb6cf563bea6c89ade99c65f18c438481532/src/codex-coverage167.js</x:v>
      </x:c>
      <x:c r="E11" s="16" t="str">
        <x:v>Dix axes ; pas qualification exhaustive</x:v>
      </x:c>
    </x:row>
    <x:row r="12" ht="34" customHeight="1">
      <x:c r="A12" s="16" t="str">
        <x:v>SRC-07</x:v>
      </x:c>
      <x:c r="B12" s="16" t="str">
        <x:v>Contextes G10</x:v>
      </x:c>
      <x:c r="C12" s="16" t="str">
        <x:v>codex-context160.js</x:v>
      </x:c>
      <x:c r="D12" s="16" t="str">
        <x:v>https://github.com/darknigthmare/deadwall-last-enclosure/blob/6c6fbb6cf563bea6c89ade99c65f18c438481532/src/codex-context160.js</x:v>
      </x:c>
      <x:c r="E12" s="16" t="str">
        <x:v>Disponibilité territoriale et adaptations</x:v>
      </x:c>
    </x:row>
    <x:row r="13" ht="34" customHeight="1">
      <x:c r="A13" s="16" t="str">
        <x:v>SRC-08</x:v>
      </x:c>
      <x:c r="B13" s="16" t="str">
        <x:v>Références métriques de l’extension</x:v>
      </x:c>
      <x:c r="C13" s="16" t="str">
        <x:v>Onglet Références métriques</x:v>
      </x:c>
      <x:c r="D13" s="16" t="str">
        <x:v>https://github.com/darknigthmare/deadwall-last-enclosure/blob/feat/codex-world-extension-20261021/docs/codex/suivi-monde2026/references-metriques2026.json</x:v>
      </x:c>
      <x:c r="E13" s="16" t="str">
        <x:v>Cotes sourcées séparées des choix auteur ; aucune architecture certifiée.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ea24f75a9d5045a0"/>
  </x:tableParts>
</x:worksheet>
</file>

<file path=xl/worksheets/sheet9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29" hidden="0" customWidth="1"/>
    <x:col min="2" max="2" width="33" hidden="0" customWidth="1"/>
    <x:col min="3" max="3" width="22" hidden="0" customWidth="1"/>
    <x:col min="4" max="4" width="55" hidden="0" customWidth="1"/>
    <x:col min="5" max="5" width="26" hidden="0" customWidth="1"/>
  </x:cols>
  <x:sheetData>
    <x:row r="1" ht="32" customHeight="1">
      <x:c r="A1" s="3" t="str">
        <x:v>12  /  PUBLICATION ET ÉCARTS DE LA LIVRAISON PRÉCÉDENTE</x:v>
      </x:c>
      <x:c r="B1" s="3"/>
      <x:c r="C1" s="3"/>
      <x:c r="D1" s="3"/>
      <x:c r="E1" s="3"/>
    </x:row>
    <x:row r="2" ht="20" customHeight="1">
      <x:c r="A2" s="9" t="str">
        <x:v>L’archive source initiale de Drive reste un instantané historique. Les contrôles ci-dessous décrivent le lot de reprise de la PR #19.</x:v>
      </x:c>
      <x:c r="B2" s="9"/>
      <x:c r="C2" s="9"/>
      <x:c r="D2" s="9"/>
      <x:c r="E2" s="9"/>
    </x:row>
    <x:row r="3" ht="20" customHeight="1">
      <x:c r="A3" s="9"/>
      <x:c r="B3" s="9"/>
      <x:c r="C3" s="9"/>
      <x:c r="D3" s="9"/>
      <x:c r="E3" s="9"/>
    </x:row>
    <x:row r="5" ht="34" customHeight="1">
      <x:c r="A5" s="112" t="str">
        <x:v>Contrôle</x:v>
      </x:c>
      <x:c r="B5" s="112" t="str">
        <x:v>Valeur</x:v>
      </x:c>
      <x:c r="C5" s="112" t="str">
        <x:v>Champ</x:v>
      </x:c>
      <x:c r="D5" s="112" t="str">
        <x:v>Détail</x:v>
      </x:c>
      <x:c r="E5" s="112" t="str">
        <x:v>État</x:v>
      </x:c>
    </x:row>
    <x:row r="6" ht="70" customHeight="1">
      <x:c r="A6" s="124" t="str">
        <x:v>Base vérifiée</x:v>
      </x:c>
      <x:c r="B6" s="124" t="str">
        <x:v>2026-10-25</x:v>
      </x:c>
      <x:c r="C6" s="124" t="str">
        <x:v>main</x:v>
      </x:c>
      <x:c r="D6" s="124" t="str">
        <x:v>11f2ace5ee3b39ea318373229d4d5378d14057db</x:v>
      </x:c>
      <x:c r="E6" s="124" t="str">
        <x:v>DEADWALL 1.71.0 conservé</x:v>
      </x:c>
    </x:row>
    <x:row r="7" ht="70" customHeight="1">
      <x:c r="A7" s="124" t="str">
        <x:v>Sources de cette reprise</x:v>
      </x:c>
      <x:c r="B7" s="124" t="str">
        <x:v>1b3b9c5ba232734b1bda3453b4e20a0481bcdd74</x:v>
      </x:c>
      <x:c r="C7" s="124" t="str">
        <x:v>PR #19</x:v>
      </x:c>
      <x:c r="D7" s="124" t="str">
        <x:v>https://github.com/darknigthmare/deadwall-last-enclosure/pull/19</x:v>
      </x:c>
      <x:c r="E7" s="124" t="str">
        <x:v>Sources de la reprise</x:v>
      </x:c>
    </x:row>
    <x:row r="8" ht="70" customHeight="1">
      <x:c r="A8" s="124" t="str">
        <x:v>Excel Drive</x:v>
      </x:c>
      <x:c r="B8" s="124" t="str">
        <x:v>Référence de publication</x:v>
      </x:c>
      <x:c r="C8" s="124" t="str">
        <x:v>ID</x:v>
      </x:c>
      <x:c r="D8" s="124" t="str">
        <x:v>1D4Agls6Q2BP1H8Oi9SRb1nOvg1Ff7p1X</x:v>
      </x:c>
      <x:c r="E8" s="124" t="str">
        <x:v>État et empreinte dans CLASSEUR_REFERENCE.json</x:v>
      </x:c>
    </x:row>
    <x:row r="9" ht="70" customHeight="1">
      <x:c r="A9" s="124" t="str">
        <x:v>XLSX dans GitHub</x:v>
      </x:c>
      <x:c r="B9" s="124" t="str">
        <x:v>Actualisé dans le dépôt</x:v>
      </x:c>
      <x:c r="C9" s="124" t="str">
        <x:v>Fichier XLSX</x:v>
      </x:c>
      <x:c r="D9" s="124" t="str">
        <x:v>docs/codex/suivi-monde2026/DEADWALL_CODEX_MONDE_SUIVI.xlsx</x:v>
      </x:c>
      <x:c r="E9" s="124" t="str">
        <x:v>Copie du dépôt actualisée ; le fichier Drive original reste intact, sans synchronisation distante revendiquée.</x:v>
      </x:c>
    </x:row>
    <x:row r="10" ht="70" customHeight="1">
      <x:c r="A10" s="124" t="str">
        <x:v>Validation ciblée</x:v>
      </x:c>
      <x:c r="B10" s="124" t="str">
        <x:v>4 000 / 4 000 inspections ; 200 / 200 modèles G11 ; 63 instances sur 8 graines</x:v>
      </x:c>
      <x:c r="C10" s="124" t="str">
        <x:v>Contrôles ciblés</x:v>
      </x:c>
      <x:c r="D10" s="124" t="str">
        <x:v>29 sources auteur contrôlées ; 162 460 pièces meublées, 588 378 équipements et 0 refus. Rapport G11 : 225 sources stables, 58 modèles distincts observés.</x:v>
      </x:c>
      <x:c r="E10" s="124" t="str">
        <x:v>Voir les preuves</x:v>
      </x:c>
    </x:row>
    <x:row r="11" ht="70" customHeight="1">
      <x:c r="A11" s="124" t="str">
        <x:v>Qualification globale</x:v>
      </x:c>
      <x:c r="B11" s="124" t="str">
        <x:v>Qualification du commit final distincte</x:v>
      </x:c>
      <x:c r="C11" s="124" t="str">
        <x:v>npm run check</x:v>
      </x:c>
      <x:c r="D11" s="124" t="str">
        <x:v>La CI complète qualifie séparément le commit livré. Le succès 1.71 de 5 838 tests reste lié au SHA 60092b5, sans attribution à cette nouvelle source.</x:v>
      </x:c>
      <x:c r="E11" s="124" t="str">
        <x:v>Voir la CI du commit final ; aucun succès déduit du catalogue</x:v>
      </x:c>
    </x:row>
    <x:row r="12" ht="70" customHeight="1">
      <x:c r="A12" s="124" t="str">
        <x:v>Variantes d’inspection promues</x:v>
      </x:c>
      <x:c r="B12" s="124" t="n">
        <x:v>0</x:v>
      </x:c>
      <x:c r="C12" s="124" t="str">
        <x:v>Validation globale</x:v>
      </x:c>
      <x:c r="D12" s="124" t="str">
        <x:v>200 adaptations G11 éligibles ; 63 instances observées sur 8 graines ; 0 promotion globale des variantes d’inspection.</x:v>
      </x:c>
      <x:c r="E12" s="124" t="str">
        <x:v>Qualification explicite</x:v>
      </x:c>
    </x:row>
    <x:row r="13" ht="70" customHeight="1">
      <x:c r="A13" s="124" t="str">
        <x:v>Production</x:v>
      </x:c>
      <x:c r="B13" s="124" t="str">
        <x:v>Nouvelle passe 1.72</x:v>
      </x:c>
      <x:c r="C13" s="124" t="str">
        <x:v>Fusion / déploiement</x:v>
      </x:c>
      <x:c r="D13" s="124" t="str">
        <x:v>Les sources S1a comprennent le correctif des points de récolte. Qualification du commit final, fusion et production restent suivies séparément dans la PR #19.</x:v>
      </x:c>
      <x:c r="E13" s="124" t="str">
        <x:v>Livraison 1.72 ; qualification complète et publication suivies dans la PR #19</x:v>
      </x:c>
    </x:row>
  </x:sheetData>
  <x:mergeCells>
    <x:mergeCell ref="A1:E1"/>
    <x:mergeCell ref="A2:E3"/>
  </x:mergeCells>
  <x:pageMargins left="0.7" right="0.7" top="0.75" bottom="0.75" header="0.3" footer="0.3"/>
  <x:tableParts count="1">
    <x:tablePart xmlns:r="http://schemas.openxmlformats.org/officeDocument/2006/relationships" r:id="R6faaf5d8236d4249"/>
  </x:tableParts>
</x:worksheet>
</file>

<file path=xl/worksheets/sheet10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100" hidden="0" customWidth="1"/>
  </x:cols>
  <x:sheetData>
    <x:row r="1" ht="32" customHeight="1">
      <x:c r="A1" s="3" t="str">
        <x:v>13  /  LIRE LES STATUTS</x:v>
      </x:c>
      <x:c r="B1" s="3"/>
    </x:row>
    <x:row r="2" ht="20" customHeight="1">
      <x:c r="A2" s="9" t="str">
        <x:v>Un compteur de fiches n’est pas un pourcentage de complétion du jeu.</x:v>
      </x:c>
      <x:c r="B2" s="9"/>
    </x:row>
    <x:row r="3" ht="20" customHeight="1">
      <x:c r="A3" s="9"/>
      <x:c r="B3" s="9"/>
    </x:row>
    <x:row r="5" ht="34" customHeight="1">
      <x:c r="A5" s="112" t="str">
        <x:v>Statut / convention</x:v>
      </x:c>
      <x:c r="B5" s="112" t="str">
        <x:v>Signification</x:v>
      </x:c>
    </x:row>
    <x:row r="6" ht="34" customHeight="1">
      <x:c r="A6" s="16" t="str">
        <x:v>Catalogue existant</x:v>
      </x:c>
      <x:c r="B6" s="16" t="str">
        <x:v>Source présente à la révision vérifiée ; aucune qualification artistique déduite.</x:v>
      </x:c>
    </x:row>
    <x:row r="7" ht="34" customHeight="1">
      <x:c r="A7" s="16" t="str">
        <x:v>À qualifier par lieu</x:v>
      </x:c>
      <x:c r="B7" s="16" t="str">
        <x:v>Présence dans le catalogue, pas preuve de navigation et d’interactions complètes.</x:v>
      </x:c>
    </x:row>
    <x:row r="8" ht="34" customHeight="1">
      <x:c r="A8" s="16" t="str">
        <x:v>À concevoir</x:v>
      </x:c>
      <x:c r="B8" s="16" t="str">
        <x:v>Cible prévue ; architecture, dimensions, objets et probabilités détaillés non produits.</x:v>
      </x:c>
    </x:row>
    <x:row r="9" ht="34" customHeight="1">
      <x:c r="A9" s="16" t="str">
        <x:v>À faire</x:v>
      </x:c>
      <x:c r="B9" s="16" t="str">
        <x:v>Aucun livrable terminé ni preuve de réception.</x:v>
      </x:c>
    </x:row>
    <x:row r="10" ht="34" customHeight="1">
      <x:c r="A10" s="16" t="str">
        <x:v>En cours</x:v>
      </x:c>
      <x:c r="B10" s="16" t="str">
        <x:v>Travail commencé mais critères de réception non tous satisfaits.</x:v>
      </x:c>
    </x:row>
    <x:row r="11" ht="34" customHeight="1">
      <x:c r="A11" s="16" t="str">
        <x:v>Bloqué</x:v>
      </x:c>
      <x:c r="B11" s="16" t="str">
        <x:v>Dépendance ou contradiction empêchant la réalisation.</x:v>
      </x:c>
    </x:row>
    <x:row r="12" ht="34" customHeight="1">
      <x:c r="A12" s="16" t="str">
        <x:v>À vérifier</x:v>
      </x:c>
      <x:c r="B12" s="16" t="str">
        <x:v>Livrable disponible, validation encore nécessaire.</x:v>
      </x:c>
    </x:row>
    <x:row r="13" ht="34" customHeight="1">
      <x:c r="A13" s="16" t="str">
        <x:v>Validé</x:v>
      </x:c>
      <x:c r="B13" s="16" t="str">
        <x:v>Critères satisfaits et preuve renseignée ; ne concerne que la tâche visée.</x:v>
      </x:c>
    </x:row>
    <x:row r="14" ht="34" customHeight="1">
      <x:c r="A14" s="16" t="str">
        <x:v>recipe</x:v>
      </x:c>
      <x:c r="B14" s="16" t="str">
        <x:v>Recette ou gabarit disponible ; implantation dépendant du terrain.</x:v>
      </x:c>
    </x:row>
    <x:row r="15" ht="34" customHeight="1">
      <x:c r="A15" s="16" t="str">
        <x:v>adapted</x:v>
      </x:c>
      <x:c r="B15" s="16" t="str">
        <x:v>Dimensions ou niveaux adaptés par le modèle.</x:v>
      </x:c>
    </x:row>
    <x:row r="16" ht="34" customHeight="1">
      <x:c r="A16" s="16" t="str">
        <x:v>described</x:v>
      </x:c>
      <x:c r="B16" s="16" t="str">
        <x:v>Prescription source présente ; pas nécessairement une interaction réelle.</x:v>
      </x:c>
    </x:row>
    <x:row r="17" ht="34" customHeight="1">
      <x:c r="A17" s="16" t="str">
        <x:v>kit</x:v>
      </x:c>
      <x:c r="B17" s="16" t="str">
        <x:v>Kit existant sans quantités auteur complètes.</x:v>
      </x:c>
    </x:row>
    <x:row r="18" ht="34" customHeight="1">
      <x:c r="A18" s="16" t="str">
        <x:v>proposed</x:v>
      </x:c>
      <x:c r="B18" s="16" t="str">
        <x:v>Options de composition, non garanties simultanément.</x:v>
      </x:c>
    </x:row>
    <x:row r="19" ht="34" customHeight="1">
      <x:c r="A19" s="16" t="str">
        <x:v>missing</x:v>
      </x:c>
      <x:c r="B19" s="16" t="str">
        <x:v>Information absente dans la source.</x:v>
      </x:c>
    </x:row>
    <x:row r="20" ht="34" customHeight="1">
      <x:c r="A20" s="16" t="str">
        <x:v>uninspected</x:v>
      </x:c>
      <x:c r="B20" s="16" t="str">
        <x:v>Modèle non inspecté par ce rapport.</x:v>
      </x:c>
    </x:row>
    <x:row r="21" ht="34" customHeight="1">
      <x:c r="A21" s="16" t="str">
        <x:v>partial</x:v>
      </x:c>
      <x:c r="B21" s="16" t="str">
        <x:v>Prescriptions incomplètes ou types non reconnus.</x:v>
      </x:c>
    </x:row>
    <x:row r="22" ht="34" customHeight="1">
      <x:c r="A22" s="16" t="str">
        <x:v>specialized</x:v>
      </x:c>
      <x:c r="B22" s="16" t="str">
        <x:v>Terrain ou système spécialisé requis.</x:v>
      </x:c>
    </x:row>
    <x:row r="23" ht="34" customHeight="1">
      <x:c r="A23" s="16" t="str">
        <x:v>Cellule numérique vide</x:v>
      </x:c>
      <x:c r="B23" s="16" t="str">
        <x:v>Valeur absente dans les sources ; jamais assimilée à zéro.</x:v>
      </x:c>
    </x:row>
    <x:row r="24" ht="34" customHeight="1">
      <x:c r="A24" s="16" t="str">
        <x:v>50 variantes cibles</x:v>
      </x:c>
      <x:c r="B24" s="16" t="str">
        <x:v>50 identifiants réservés pour le suivi, pas 50 modèles créés.</x:v>
      </x:c>
    </x:row>
    <x:row r="25" ht="60" customHeight="1">
      <x:c r="A25" s="118" t="str">
        <x:v>Gabarit métrique</x:v>
      </x:c>
      <x:c r="B25" s="118" t="str">
        <x:v>Dimensions et compositions auteur contrôlées ; architecture et intégration encore ouvertes.</x:v>
      </x:c>
    </x:row>
    <x:row r="26" ht="60" customHeight="1">
      <x:c r="A26" s="118" t="str">
        <x:v>Avant-projet maritime</x:v>
      </x:c>
      <x:c r="B26" s="118" t="str">
        <x:v>Compartimentage paramétrique testé. Coque exacte, hauteur réelle, contenu jouable et raccord au monde non validés.</x:v>
      </x:c>
    </x:row>
    <x:row r="27" ht="60" customHeight="1">
      <x:c r="A27" s="118" t="str">
        <x:v>Inspection physique</x:v>
      </x:c>
      <x:c r="B27" s="118" t="str">
        <x:v>Espaces décrits, murs, accès, niveaux et mobilier contrôlés en mode auteur ; volumes réservés et intégration en campagne encore ouverts.</x:v>
      </x:c>
    </x:row>
  </x:sheetData>
  <x:mergeCells>
    <x:mergeCell ref="A1:B1"/>
    <x:mergeCell ref="A2:B3"/>
  </x:mergeCells>
  <x:pageMargins left="0.7" right="0.7" top="0.75" bottom="0.75" header="0.3" footer="0.3"/>
  <x:tableParts count="1">
    <x:tablePart xmlns:r="http://schemas.openxmlformats.org/officeDocument/2006/relationships" r:id="Ra2ddfdcff8d54b80"/>
  </x:tableParts>
</x:worksheet>
</file>

<file path=xl/worksheets/sheet11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18" hidden="0" customWidth="1"/>
    <x:col min="2" max="2" width="35" hidden="0" customWidth="1"/>
    <x:col min="3" max="3" width="45" hidden="0" customWidth="1"/>
    <x:col min="4" max="4" width="15" hidden="0" customWidth="1"/>
    <x:col min="5" max="5" width="60" hidden="0" customWidth="1"/>
  </x:cols>
  <x:sheetData>
    <x:row r="1" ht="24" customHeight="1">
      <x:c r="A1" s="114" t="str">
        <x:v>RÉFÉRENCES MÉTRIQUES — SOURCE ≠ ARCHITECTURE JOUABLE</x:v>
      </x:c>
      <x:c r="B1" s="114"/>
      <x:c r="C1" s="114"/>
      <x:c r="D1" s="114"/>
      <x:c r="E1" s="114"/>
    </x:row>
    <x:row r="2" ht="24" customHeight="1">
      <x:c r="A2" s="114"/>
      <x:c r="B2" s="114"/>
      <x:c r="C2" s="114"/>
      <x:c r="D2" s="114"/>
      <x:c r="E2" s="114"/>
    </x:row>
    <x:row r="3">
      <x:c r="A3" s="115" t="str">
        <x:v>Cotes publiques et limites de preuve · 21 octobre 2026 · Les choix de conception ne sont pas des relevés complets.</x:v>
      </x:c>
      <x:c r="B3" s="115"/>
      <x:c r="C3" s="115"/>
      <x:c r="D3" s="115"/>
      <x:c r="E3" s="115"/>
    </x:row>
    <x:row r="5" ht="30" customHeight="1">
      <x:c r="A5" s="116" t="str">
        <x:v>ID source</x:v>
      </x:c>
      <x:c r="B5" s="116" t="str">
        <x:v>Référence</x:v>
      </x:c>
      <x:c r="C5" s="116" t="str">
        <x:v>URL primaire</x:v>
      </x:c>
      <x:c r="D5" s="116" t="str">
        <x:v>Consultation</x:v>
      </x:c>
      <x:c r="E5" s="116" t="str">
        <x:v>Portée / limites</x:v>
      </x:c>
    </x:row>
    <x:row r="6" ht="78" customHeight="1">
      <x:c r="A6" s="118" t="str">
        <x:v>FIFA53</x:v>
      </x:c>
      <x:c r="B6" s="118" t="str">
        <x:v>FIFA — Pitch dimensions and surrounding areas</x:v>
      </x:c>
      <x:c r="C6" s="118" t="str">
        <x:v>https://publications.fifa.com/de/football-stadiums-guidelines/technical-guideline/stadium-guidelines/pitch-dimensions-and-surrounding-areas/</x:v>
      </x:c>
      <x:c r="D6" s="118" t="str">
        <x:v>2026-10-21</x:v>
      </x:c>
      <x:c r="E6" s="118" t="str">
        <x:v>Terrain et marges indicatives ; aucune cote du bâtiment complet ni conformité réglementaire revendiquée.</x:v>
      </x:c>
    </x:row>
    <x:row r="7" ht="78" customHeight="1">
      <x:c r="A7" s="118" t="str">
        <x:v>VESTAS150</x:v>
      </x:c>
      <x:c r="B7" s="118" t="str">
        <x:v>Vestas V150-4.2 MW — technical specifications</x:v>
      </x:c>
      <x:c r="C7" s="118" t="str">
        <x:v>https://www.vestas.com/en/energy-solutions/onshore-wind-turbines/4-mw-platform/V150-4-2-MW</x:v>
      </x:c>
      <x:c r="D7" s="118" t="str">
        <x:v>2026-10-21</x:v>
      </x:c>
      <x:c r="E7" s="118" t="str">
        <x:v>Rotor, nacelle et options de hauteur de moyeu ; pas le plan d’un parc ni la fondation.</x:v>
      </x:c>
    </x:row>
    <x:row r="8" ht="78" customHeight="1">
      <x:c r="A8" s="118" t="str">
        <x:v>DAMEN5000</x:v>
      </x:c>
      <x:c r="B8" s="118" t="str">
        <x:v>Damen Combi Freighter 5000</x:v>
      </x:c>
      <x:c r="C8" s="118" t="str">
        <x:v>https://www.damen.com/vessels/cargo/multi-purpose-cargo-vessels/combi-freighter-5000</x:v>
      </x:c>
      <x:c r="D8" s="118" t="str">
        <x:v>2026-10-21</x:v>
      </x:c>
      <x:c r="E8" s="118" t="str">
        <x:v>Longueur, largeur, tirant d’eau et cale ; pas la hauteur totale ni les ponts complets.</x:v>
      </x:c>
    </x:row>
    <x:row r="9" ht="78" customHeight="1">
      <x:c r="A9" s="118" t="str">
        <x:v>SOCATRA</x:v>
      </x:c>
      <x:c r="B9" s="118" t="str">
        <x:v>Socatra — Alcyone</x:v>
      </x:c>
      <x:c r="C9" s="118" t="str">
        <x:v>https://socatra.com/flotte/alcyone/</x:v>
      </x:c>
      <x:c r="D9" s="118" t="str">
        <x:v>2026-10-21</x:v>
      </x:c>
      <x:c r="E9" s="118" t="str">
        <x:v>Longueur hors tout, largeur moulée, creux et tirant saisonnier ; creux différent de la hauteur totale.</x:v>
      </x:c>
    </x:row>
    <x:row r="10" ht="78" customHeight="1">
      <x:c r="A10" s="118" t="str">
        <x:v>LITTLEROCK</x:v>
      </x:c>
      <x:c r="B10" s="118" t="str">
        <x:v>Buffalo Naval Park — USS Little Rock CLG-4</x:v>
      </x:c>
      <x:c r="C10" s="118" t="str">
        <x:v>https://buffalonavalpark.org/exhibits/uss-little-rock/</x:v>
      </x:c>
      <x:c r="D10" s="118" t="str">
        <x:v>2026-10-21</x:v>
      </x:c>
      <x:c r="E10" s="118" t="str">
        <x:v>Dimensions de musée en pieds ; conversion exacte, hauteur totale inconnue.</x:v>
      </x:c>
    </x:row>
    <x:row r="11" ht="78" customHeight="1">
      <x:c r="A11" s="118" t="str">
        <x:v>TORSK</x:v>
      </x:c>
      <x:c r="B11" s="118" t="str">
        <x:v>US Naval History and Heritage Command — Torsk</x:v>
      </x:c>
      <x:c r="C11" s="118" t="str">
        <x:v>https://www.history.navy.mil/research/histories/ship-histories/danfs/t/torsk.html</x:v>
      </x:c>
      <x:c r="D11" s="118" t="str">
        <x:v>2026-10-21</x:v>
      </x:c>
      <x:c r="E11" s="118" t="str">
        <x:v>Dimensions historiques en pieds/pouces de la notice DANFS ; totalHeight non renseignée. Notice indexée consultée, ouverture directe expirée.</x:v>
      </x:c>
    </x:row>
    <x:row r="12" ht="78" customHeight="1">
      <x:c r="A12" s="118" t="str">
        <x:v>DAMENPSV</x:v>
      </x:c>
      <x:c r="B12" s="118" t="str">
        <x:v>Damen Platform Supply Vessel 3300 CD</x:v>
      </x:c>
      <x:c r="C12" s="118" t="str">
        <x:v>https://www.damen.com/vessels/offshore/platform-supply-vessels/platform-supply-vessel-3300-cd</x:v>
      </x:c>
      <x:c r="D12" s="118" t="str">
        <x:v>2026-10-21</x:v>
      </x:c>
      <x:c r="E12" s="118" t="str">
        <x:v>Longueur, largeur, creux moulé et tirant maximum ; pas un plan complet des locaux.</x:v>
      </x:c>
    </x:row>
  </x:sheetData>
  <x:mergeCells>
    <x:mergeCell ref="A1:E2"/>
    <x:mergeCell ref="A3:E3"/>
  </x:mergeCells>
  <x:pageMargins left="0.7" right="0.7" top="0.75" bottom="0.75" header="0.3" footer="0.3"/>
  <x:tableParts count="1">
    <x:tablePart xmlns:r="http://schemas.openxmlformats.org/officeDocument/2006/relationships" r:id="Rfcc9a18171684846"/>
  </x:tableParts>
</x:worksheet>
</file>

<file path=xl/worksheets/sheet1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3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  <x:col min="13" max="13" width="17" hidden="0" customWidth="1"/>
    <x:col min="14" max="14" width="17" hidden="0" customWidth="1"/>
  </x:cols>
  <x:sheetData>
    <x:row r="1" ht="26" customHeight="1">
      <x:c r="A1" s="203" t="str">
        <x:v>AVANCEMENT DES 80 TYPOLOGIES</x:v>
      </x:c>
      <x:c r="B1" s="203"/>
      <x:c r="C1" s="203"/>
      <x:c r="D1" s="203"/>
      <x:c r="E1" s="203"/>
      <x:c r="F1" s="203"/>
      <x:c r="G1" s="203"/>
      <x:c r="H1" s="203"/>
      <x:c r="I1" s="203"/>
      <x:c r="J1" s="203"/>
      <x:c r="K1" s="203"/>
      <x:c r="L1" s="203"/>
      <x:c r="M1" s="203"/>
      <x:c r="N1" s="203"/>
    </x:row>
    <x:row r="2" ht="26" customHeight="1">
      <x:c r="A2" s="203"/>
      <x:c r="B2" s="203"/>
      <x:c r="C2" s="203"/>
      <x:c r="D2" s="203"/>
      <x:c r="E2" s="203"/>
      <x:c r="F2" s="203"/>
      <x:c r="G2" s="203"/>
      <x:c r="H2" s="203"/>
      <x:c r="I2" s="203"/>
      <x:c r="J2" s="203"/>
      <x:c r="K2" s="203"/>
      <x:c r="L2" s="203"/>
      <x:c r="M2" s="203"/>
      <x:c r="N2" s="203"/>
    </x:row>
    <x:row r="3" ht="26" customHeight="1">
      <x:c r="A3" s="204" t="str">
        <x:v>Les étapes sont reliées aux 800 tâches. Un prototype inspectable ne termine pas automatiquement les étapes de campagne.</x:v>
      </x:c>
      <x:c r="B3" s="204"/>
      <x:c r="C3" s="204"/>
      <x:c r="D3" s="204"/>
      <x:c r="E3" s="204"/>
      <x:c r="F3" s="204"/>
      <x:c r="G3" s="204"/>
      <x:c r="H3" s="204"/>
      <x:c r="I3" s="204"/>
      <x:c r="J3" s="204"/>
      <x:c r="K3" s="204"/>
      <x:c r="L3" s="204"/>
      <x:c r="M3" s="204"/>
      <x:c r="N3" s="204"/>
    </x:row>
    <x:row r="4" ht="26" customHeight="1">
      <x:c r="A4" s="126"/>
      <x:c r="B4" s="126"/>
      <x:c r="C4" s="126"/>
      <x:c r="D4" s="126"/>
      <x:c r="E4" s="126"/>
      <x:c r="F4" s="126"/>
      <x:c r="G4" s="126"/>
      <x:c r="H4" s="126"/>
      <x:c r="I4" s="126"/>
      <x:c r="J4" s="126"/>
      <x:c r="K4" s="126"/>
      <x:c r="L4" s="126"/>
      <x:c r="M4" s="126"/>
      <x:c r="N4" s="126"/>
    </x:row>
    <x:row r="5" ht="38" customHeight="1">
      <x:c r="A5" s="206" t="str">
        <x:v>ID typologie</x:v>
      </x:c>
      <x:c r="B5" s="206" t="str">
        <x:v>Typologie</x:v>
      </x:c>
      <x:c r="C5" s="206" t="str">
        <x:v>Dimensions</x:v>
      </x:c>
      <x:c r="D5" s="206" t="str">
        <x:v>Architecture</x:v>
      </x:c>
      <x:c r="E5" s="206" t="str">
        <x:v>Seed</x:v>
      </x:c>
      <x:c r="F5" s="206" t="str">
        <x:v>Objets</x:v>
      </x:c>
      <x:c r="G5" s="206" t="str">
        <x:v>Butin</x:v>
      </x:c>
      <x:c r="H5" s="206" t="str">
        <x:v>Rencontres</x:v>
      </x:c>
      <x:c r="I5" s="206" t="str">
        <x:v>Services</x:v>
      </x:c>
      <x:c r="J5" s="206" t="str">
        <x:v>Graphismes</x:v>
      </x:c>
      <x:c r="K5" s="206" t="str">
        <x:v>Sauvegarde</x:v>
      </x:c>
      <x:c r="L5" s="206" t="str">
        <x:v>QA</x:v>
      </x:c>
      <x:c r="M5" s="206" t="str">
        <x:v>Validées</x:v>
      </x:c>
      <x:c r="N5" s="206" t="str">
        <x:v>Restantes</x:v>
      </x:c>
    </x:row>
    <x:row r="6" ht="34" customHeight="1">
      <x:c r="A6" s="207" t="str">
        <x:v>EXT-MONDE-T001</x:v>
      </x:c>
      <x:c r="B6" s="208" t="str">
        <x:v>Base nautique lacustre</x:v>
      </x:c>
      <x:c r="C6" s="207" t="str">
        <x:f>INDEX(Chantiers!$G$6:$G$805,MATCH($A6&amp;"/dimensions",Chantiers!$A$6:$A$805,0))</x:f>
        <x:v>En cours</x:v>
      </x:c>
      <x:c r="D6" s="207" t="str">
        <x:f>INDEX(Chantiers!$G$6:$G$805,MATCH($A6&amp;"/architecture",Chantiers!$A$6:$A$805,0))</x:f>
        <x:v>En cours</x:v>
      </x:c>
      <x:c r="E6" s="207" t="str">
        <x:f>INDEX(Chantiers!$G$6:$G$805,MATCH($A6&amp;"/seed",Chantiers!$A$6:$A$805,0))</x:f>
        <x:v>À faire</x:v>
      </x:c>
      <x:c r="F6" s="207" t="str">
        <x:f>INDEX(Chantiers!$G$6:$G$805,MATCH($A6&amp;"/props",Chantiers!$A$6:$A$805,0))</x:f>
        <x:v>En cours</x:v>
      </x:c>
      <x:c r="G6" s="207" t="str">
        <x:f>INDEX(Chantiers!$G$6:$G$805,MATCH($A6&amp;"/loot",Chantiers!$A$6:$A$805,0))</x:f>
        <x:v>À faire</x:v>
      </x:c>
      <x:c r="H6" s="207" t="str">
        <x:f>INDEX(Chantiers!$G$6:$G$805,MATCH($A6&amp;"/rencontres",Chantiers!$A$6:$A$805,0))</x:f>
        <x:v>À faire</x:v>
      </x:c>
      <x:c r="I6" s="207" t="str">
        <x:f>INDEX(Chantiers!$G$6:$G$805,MATCH($A6&amp;"/services",Chantiers!$A$6:$A$805,0))</x:f>
        <x:v>À faire</x:v>
      </x:c>
      <x:c r="J6" s="207" t="str">
        <x:f>INDEX(Chantiers!$G$6:$G$805,MATCH($A6&amp;"/art",Chantiers!$A$6:$A$805,0))</x:f>
        <x:v>À faire</x:v>
      </x:c>
      <x:c r="K6" s="207" t="str">
        <x:f>INDEX(Chantiers!$G$6:$G$805,MATCH($A6&amp;"/sauvegarde",Chantiers!$A$6:$A$805,0))</x:f>
        <x:v>En cours</x:v>
      </x:c>
      <x:c r="L6" s="207" t="str">
        <x:f>INDEX(Chantiers!$G$6:$G$805,MATCH($A6&amp;"/qa",Chantiers!$A$6:$A$805,0))</x:f>
        <x:v>En cours</x:v>
      </x:c>
      <x:c r="M6" s="207" t="n">
        <x:f>COUNTIF(C6:L6,"Validé")</x:f>
        <x:v>0</x:v>
      </x:c>
      <x:c r="N6" s="207" t="n">
        <x:f>COLUMNS(C6:L6)-M6</x:f>
        <x:v>10</x:v>
      </x:c>
    </x:row>
    <x:row r="7" ht="34" customHeight="1">
      <x:c r="A7" s="207" t="str">
        <x:v>EXT-MONDE-T002</x:v>
      </x:c>
      <x:c r="B7" s="208" t="str">
        <x:v>Village de pêche lacustre</x:v>
      </x:c>
      <x:c r="C7" s="207" t="str">
        <x:f>INDEX(Chantiers!$G$6:$G$805,MATCH($A7&amp;"/dimensions",Chantiers!$A$6:$A$805,0))</x:f>
        <x:v>En cours</x:v>
      </x:c>
      <x:c r="D7" s="207" t="str">
        <x:f>INDEX(Chantiers!$G$6:$G$805,MATCH($A7&amp;"/architecture",Chantiers!$A$6:$A$805,0))</x:f>
        <x:v>En cours</x:v>
      </x:c>
      <x:c r="E7" s="207" t="str">
        <x:f>INDEX(Chantiers!$G$6:$G$805,MATCH($A7&amp;"/seed",Chantiers!$A$6:$A$805,0))</x:f>
        <x:v>À faire</x:v>
      </x:c>
      <x:c r="F7" s="207" t="str">
        <x:f>INDEX(Chantiers!$G$6:$G$805,MATCH($A7&amp;"/props",Chantiers!$A$6:$A$805,0))</x:f>
        <x:v>En cours</x:v>
      </x:c>
      <x:c r="G7" s="207" t="str">
        <x:f>INDEX(Chantiers!$G$6:$G$805,MATCH($A7&amp;"/loot",Chantiers!$A$6:$A$805,0))</x:f>
        <x:v>À faire</x:v>
      </x:c>
      <x:c r="H7" s="207" t="str">
        <x:f>INDEX(Chantiers!$G$6:$G$805,MATCH($A7&amp;"/rencontres",Chantiers!$A$6:$A$805,0))</x:f>
        <x:v>À faire</x:v>
      </x:c>
      <x:c r="I7" s="207" t="str">
        <x:f>INDEX(Chantiers!$G$6:$G$805,MATCH($A7&amp;"/services",Chantiers!$A$6:$A$805,0))</x:f>
        <x:v>À faire</x:v>
      </x:c>
      <x:c r="J7" s="207" t="str">
        <x:f>INDEX(Chantiers!$G$6:$G$805,MATCH($A7&amp;"/art",Chantiers!$A$6:$A$805,0))</x:f>
        <x:v>À faire</x:v>
      </x:c>
      <x:c r="K7" s="207" t="str">
        <x:f>INDEX(Chantiers!$G$6:$G$805,MATCH($A7&amp;"/sauvegarde",Chantiers!$A$6:$A$805,0))</x:f>
        <x:v>En cours</x:v>
      </x:c>
      <x:c r="L7" s="207" t="str">
        <x:f>INDEX(Chantiers!$G$6:$G$805,MATCH($A7&amp;"/qa",Chantiers!$A$6:$A$805,0))</x:f>
        <x:v>En cours</x:v>
      </x:c>
      <x:c r="M7" s="207" t="n">
        <x:f>COUNTIF(C7:L7,"Validé")</x:f>
        <x:v>0</x:v>
      </x:c>
      <x:c r="N7" s="207" t="n">
        <x:f>COLUMNS(C7:L7)-M7</x:f>
        <x:v>10</x:v>
      </x:c>
    </x:row>
    <x:row r="8" ht="34" customHeight="1">
      <x:c r="A8" s="207" t="str">
        <x:v>EXT-MONDE-T003</x:v>
      </x:c>
      <x:c r="B8" s="208" t="str">
        <x:v>Station limnologique</x:v>
      </x:c>
      <x:c r="C8" s="207" t="str">
        <x:f>INDEX(Chantiers!$G$6:$G$805,MATCH($A8&amp;"/dimensions",Chantiers!$A$6:$A$805,0))</x:f>
        <x:v>En cours</x:v>
      </x:c>
      <x:c r="D8" s="207" t="str">
        <x:f>INDEX(Chantiers!$G$6:$G$805,MATCH($A8&amp;"/architecture",Chantiers!$A$6:$A$805,0))</x:f>
        <x:v>En cours</x:v>
      </x:c>
      <x:c r="E8" s="207" t="str">
        <x:f>INDEX(Chantiers!$G$6:$G$805,MATCH($A8&amp;"/seed",Chantiers!$A$6:$A$805,0))</x:f>
        <x:v>À faire</x:v>
      </x:c>
      <x:c r="F8" s="207" t="str">
        <x:f>INDEX(Chantiers!$G$6:$G$805,MATCH($A8&amp;"/props",Chantiers!$A$6:$A$805,0))</x:f>
        <x:v>En cours</x:v>
      </x:c>
      <x:c r="G8" s="207" t="str">
        <x:f>INDEX(Chantiers!$G$6:$G$805,MATCH($A8&amp;"/loot",Chantiers!$A$6:$A$805,0))</x:f>
        <x:v>À faire</x:v>
      </x:c>
      <x:c r="H8" s="207" t="str">
        <x:f>INDEX(Chantiers!$G$6:$G$805,MATCH($A8&amp;"/rencontres",Chantiers!$A$6:$A$805,0))</x:f>
        <x:v>À faire</x:v>
      </x:c>
      <x:c r="I8" s="207" t="str">
        <x:f>INDEX(Chantiers!$G$6:$G$805,MATCH($A8&amp;"/services",Chantiers!$A$6:$A$805,0))</x:f>
        <x:v>À faire</x:v>
      </x:c>
      <x:c r="J8" s="207" t="str">
        <x:f>INDEX(Chantiers!$G$6:$G$805,MATCH($A8&amp;"/art",Chantiers!$A$6:$A$805,0))</x:f>
        <x:v>À faire</x:v>
      </x:c>
      <x:c r="K8" s="207" t="str">
        <x:f>INDEX(Chantiers!$G$6:$G$805,MATCH($A8&amp;"/sauvegarde",Chantiers!$A$6:$A$805,0))</x:f>
        <x:v>En cours</x:v>
      </x:c>
      <x:c r="L8" s="207" t="str">
        <x:f>INDEX(Chantiers!$G$6:$G$805,MATCH($A8&amp;"/qa",Chantiers!$A$6:$A$805,0))</x:f>
        <x:v>En cours</x:v>
      </x:c>
      <x:c r="M8" s="207" t="n">
        <x:f>COUNTIF(C8:L8,"Validé")</x:f>
        <x:v>0</x:v>
      </x:c>
      <x:c r="N8" s="207" t="n">
        <x:f>COLUMNS(C8:L8)-M8</x:f>
        <x:v>10</x:v>
      </x:c>
    </x:row>
    <x:row r="9" ht="34" customHeight="1">
      <x:c r="A9" s="207" t="str">
        <x:v>EXT-MONDE-T004</x:v>
      </x:c>
      <x:c r="B9" s="208" t="str">
        <x:v>Camping de rive</x:v>
      </x:c>
      <x:c r="C9" s="207" t="str">
        <x:f>INDEX(Chantiers!$G$6:$G$805,MATCH($A9&amp;"/dimensions",Chantiers!$A$6:$A$805,0))</x:f>
        <x:v>En cours</x:v>
      </x:c>
      <x:c r="D9" s="207" t="str">
        <x:f>INDEX(Chantiers!$G$6:$G$805,MATCH($A9&amp;"/architecture",Chantiers!$A$6:$A$805,0))</x:f>
        <x:v>En cours</x:v>
      </x:c>
      <x:c r="E9" s="207" t="str">
        <x:f>INDEX(Chantiers!$G$6:$G$805,MATCH($A9&amp;"/seed",Chantiers!$A$6:$A$805,0))</x:f>
        <x:v>À faire</x:v>
      </x:c>
      <x:c r="F9" s="207" t="str">
        <x:f>INDEX(Chantiers!$G$6:$G$805,MATCH($A9&amp;"/props",Chantiers!$A$6:$A$805,0))</x:f>
        <x:v>En cours</x:v>
      </x:c>
      <x:c r="G9" s="207" t="str">
        <x:f>INDEX(Chantiers!$G$6:$G$805,MATCH($A9&amp;"/loot",Chantiers!$A$6:$A$805,0))</x:f>
        <x:v>À faire</x:v>
      </x:c>
      <x:c r="H9" s="207" t="str">
        <x:f>INDEX(Chantiers!$G$6:$G$805,MATCH($A9&amp;"/rencontres",Chantiers!$A$6:$A$805,0))</x:f>
        <x:v>À faire</x:v>
      </x:c>
      <x:c r="I9" s="207" t="str">
        <x:f>INDEX(Chantiers!$G$6:$G$805,MATCH($A9&amp;"/services",Chantiers!$A$6:$A$805,0))</x:f>
        <x:v>À faire</x:v>
      </x:c>
      <x:c r="J9" s="207" t="str">
        <x:f>INDEX(Chantiers!$G$6:$G$805,MATCH($A9&amp;"/art",Chantiers!$A$6:$A$805,0))</x:f>
        <x:v>À faire</x:v>
      </x:c>
      <x:c r="K9" s="207" t="str">
        <x:f>INDEX(Chantiers!$G$6:$G$805,MATCH($A9&amp;"/sauvegarde",Chantiers!$A$6:$A$805,0))</x:f>
        <x:v>En cours</x:v>
      </x:c>
      <x:c r="L9" s="207" t="str">
        <x:f>INDEX(Chantiers!$G$6:$G$805,MATCH($A9&amp;"/qa",Chantiers!$A$6:$A$805,0))</x:f>
        <x:v>En cours</x:v>
      </x:c>
      <x:c r="M9" s="207" t="n">
        <x:f>COUNTIF(C9:L9,"Validé")</x:f>
        <x:v>0</x:v>
      </x:c>
      <x:c r="N9" s="207" t="n">
        <x:f>COLUMNS(C9:L9)-M9</x:f>
        <x:v>10</x:v>
      </x:c>
    </x:row>
    <x:row r="10" ht="34" customHeight="1">
      <x:c r="A10" s="207" t="str">
        <x:v>EXT-MONDE-T005</x:v>
      </x:c>
      <x:c r="B10" s="208" t="str">
        <x:v>Cargo polyvalent</x:v>
      </x:c>
      <x:c r="C10" s="207" t="str">
        <x:f>INDEX(Chantiers!$G$6:$G$805,MATCH($A10&amp;"/dimensions",Chantiers!$A$6:$A$805,0))</x:f>
        <x:v>En cours</x:v>
      </x:c>
      <x:c r="D10" s="207" t="str">
        <x:f>INDEX(Chantiers!$G$6:$G$805,MATCH($A10&amp;"/architecture",Chantiers!$A$6:$A$805,0))</x:f>
        <x:v>En cours</x:v>
      </x:c>
      <x:c r="E10" s="207" t="str">
        <x:f>INDEX(Chantiers!$G$6:$G$805,MATCH($A10&amp;"/seed",Chantiers!$A$6:$A$805,0))</x:f>
        <x:v>À faire</x:v>
      </x:c>
      <x:c r="F10" s="207" t="str">
        <x:f>INDEX(Chantiers!$G$6:$G$805,MATCH($A10&amp;"/props",Chantiers!$A$6:$A$805,0))</x:f>
        <x:v>En cours</x:v>
      </x:c>
      <x:c r="G10" s="207" t="str">
        <x:f>INDEX(Chantiers!$G$6:$G$805,MATCH($A10&amp;"/loot",Chantiers!$A$6:$A$805,0))</x:f>
        <x:v>À faire</x:v>
      </x:c>
      <x:c r="H10" s="207" t="str">
        <x:f>INDEX(Chantiers!$G$6:$G$805,MATCH($A10&amp;"/rencontres",Chantiers!$A$6:$A$805,0))</x:f>
        <x:v>À faire</x:v>
      </x:c>
      <x:c r="I10" s="207" t="str">
        <x:f>INDEX(Chantiers!$G$6:$G$805,MATCH($A10&amp;"/services",Chantiers!$A$6:$A$805,0))</x:f>
        <x:v>À faire</x:v>
      </x:c>
      <x:c r="J10" s="207" t="str">
        <x:f>INDEX(Chantiers!$G$6:$G$805,MATCH($A10&amp;"/art",Chantiers!$A$6:$A$805,0))</x:f>
        <x:v>À faire</x:v>
      </x:c>
      <x:c r="K10" s="207" t="str">
        <x:f>INDEX(Chantiers!$G$6:$G$805,MATCH($A10&amp;"/sauvegarde",Chantiers!$A$6:$A$805,0))</x:f>
        <x:v>En cours</x:v>
      </x:c>
      <x:c r="L10" s="207" t="str">
        <x:f>INDEX(Chantiers!$G$6:$G$805,MATCH($A10&amp;"/qa",Chantiers!$A$6:$A$805,0))</x:f>
        <x:v>En cours</x:v>
      </x:c>
      <x:c r="M10" s="207" t="n">
        <x:f>COUNTIF(C10:L10,"Validé")</x:f>
        <x:v>0</x:v>
      </x:c>
      <x:c r="N10" s="207" t="n">
        <x:f>COLUMNS(C10:L10)-M10</x:f>
        <x:v>10</x:v>
      </x:c>
    </x:row>
    <x:row r="11" ht="34" customHeight="1">
      <x:c r="A11" s="207" t="str">
        <x:v>EXT-MONDE-T006</x:v>
      </x:c>
      <x:c r="B11" s="208" t="str">
        <x:v>Pétrolier océanique</x:v>
      </x:c>
      <x:c r="C11" s="207" t="str">
        <x:f>INDEX(Chantiers!$G$6:$G$805,MATCH($A11&amp;"/dimensions",Chantiers!$A$6:$A$805,0))</x:f>
        <x:v>En cours</x:v>
      </x:c>
      <x:c r="D11" s="207" t="str">
        <x:f>INDEX(Chantiers!$G$6:$G$805,MATCH($A11&amp;"/architecture",Chantiers!$A$6:$A$805,0))</x:f>
        <x:v>En cours</x:v>
      </x:c>
      <x:c r="E11" s="207" t="str">
        <x:f>INDEX(Chantiers!$G$6:$G$805,MATCH($A11&amp;"/seed",Chantiers!$A$6:$A$805,0))</x:f>
        <x:v>À faire</x:v>
      </x:c>
      <x:c r="F11" s="207" t="str">
        <x:f>INDEX(Chantiers!$G$6:$G$805,MATCH($A11&amp;"/props",Chantiers!$A$6:$A$805,0))</x:f>
        <x:v>En cours</x:v>
      </x:c>
      <x:c r="G11" s="207" t="str">
        <x:f>INDEX(Chantiers!$G$6:$G$805,MATCH($A11&amp;"/loot",Chantiers!$A$6:$A$805,0))</x:f>
        <x:v>À faire</x:v>
      </x:c>
      <x:c r="H11" s="207" t="str">
        <x:f>INDEX(Chantiers!$G$6:$G$805,MATCH($A11&amp;"/rencontres",Chantiers!$A$6:$A$805,0))</x:f>
        <x:v>À faire</x:v>
      </x:c>
      <x:c r="I11" s="207" t="str">
        <x:f>INDEX(Chantiers!$G$6:$G$805,MATCH($A11&amp;"/services",Chantiers!$A$6:$A$805,0))</x:f>
        <x:v>À faire</x:v>
      </x:c>
      <x:c r="J11" s="207" t="str">
        <x:f>INDEX(Chantiers!$G$6:$G$805,MATCH($A11&amp;"/art",Chantiers!$A$6:$A$805,0))</x:f>
        <x:v>À faire</x:v>
      </x:c>
      <x:c r="K11" s="207" t="str">
        <x:f>INDEX(Chantiers!$G$6:$G$805,MATCH($A11&amp;"/sauvegarde",Chantiers!$A$6:$A$805,0))</x:f>
        <x:v>En cours</x:v>
      </x:c>
      <x:c r="L11" s="207" t="str">
        <x:f>INDEX(Chantiers!$G$6:$G$805,MATCH($A11&amp;"/qa",Chantiers!$A$6:$A$805,0))</x:f>
        <x:v>En cours</x:v>
      </x:c>
      <x:c r="M11" s="207" t="n">
        <x:f>COUNTIF(C11:L11,"Validé")</x:f>
        <x:v>0</x:v>
      </x:c>
      <x:c r="N11" s="207" t="n">
        <x:f>COLUMNS(C11:L11)-M11</x:f>
        <x:v>10</x:v>
      </x:c>
    </x:row>
    <x:row r="12" ht="34" customHeight="1">
      <x:c r="A12" s="207" t="str">
        <x:v>EXT-MONDE-T007</x:v>
      </x:c>
      <x:c r="B12" s="208" t="str">
        <x:v>Croiseur militaire abandonné</x:v>
      </x:c>
      <x:c r="C12" s="207" t="str">
        <x:f>INDEX(Chantiers!$G$6:$G$805,MATCH($A12&amp;"/dimensions",Chantiers!$A$6:$A$805,0))</x:f>
        <x:v>En cours</x:v>
      </x:c>
      <x:c r="D12" s="207" t="str">
        <x:f>INDEX(Chantiers!$G$6:$G$805,MATCH($A12&amp;"/architecture",Chantiers!$A$6:$A$805,0))</x:f>
        <x:v>En cours</x:v>
      </x:c>
      <x:c r="E12" s="207" t="str">
        <x:f>INDEX(Chantiers!$G$6:$G$805,MATCH($A12&amp;"/seed",Chantiers!$A$6:$A$805,0))</x:f>
        <x:v>À faire</x:v>
      </x:c>
      <x:c r="F12" s="207" t="str">
        <x:f>INDEX(Chantiers!$G$6:$G$805,MATCH($A12&amp;"/props",Chantiers!$A$6:$A$805,0))</x:f>
        <x:v>En cours</x:v>
      </x:c>
      <x:c r="G12" s="207" t="str">
        <x:f>INDEX(Chantiers!$G$6:$G$805,MATCH($A12&amp;"/loot",Chantiers!$A$6:$A$805,0))</x:f>
        <x:v>À faire</x:v>
      </x:c>
      <x:c r="H12" s="207" t="str">
        <x:f>INDEX(Chantiers!$G$6:$G$805,MATCH($A12&amp;"/rencontres",Chantiers!$A$6:$A$805,0))</x:f>
        <x:v>À faire</x:v>
      </x:c>
      <x:c r="I12" s="207" t="str">
        <x:f>INDEX(Chantiers!$G$6:$G$805,MATCH($A12&amp;"/services",Chantiers!$A$6:$A$805,0))</x:f>
        <x:v>À faire</x:v>
      </x:c>
      <x:c r="J12" s="207" t="str">
        <x:f>INDEX(Chantiers!$G$6:$G$805,MATCH($A12&amp;"/art",Chantiers!$A$6:$A$805,0))</x:f>
        <x:v>À faire</x:v>
      </x:c>
      <x:c r="K12" s="207" t="str">
        <x:f>INDEX(Chantiers!$G$6:$G$805,MATCH($A12&amp;"/sauvegarde",Chantiers!$A$6:$A$805,0))</x:f>
        <x:v>En cours</x:v>
      </x:c>
      <x:c r="L12" s="207" t="str">
        <x:f>INDEX(Chantiers!$G$6:$G$805,MATCH($A12&amp;"/qa",Chantiers!$A$6:$A$805,0))</x:f>
        <x:v>En cours</x:v>
      </x:c>
      <x:c r="M12" s="207" t="n">
        <x:f>COUNTIF(C12:L12,"Validé")</x:f>
        <x:v>0</x:v>
      </x:c>
      <x:c r="N12" s="207" t="n">
        <x:f>COLUMNS(C12:L12)-M12</x:f>
        <x:v>10</x:v>
      </x:c>
    </x:row>
    <x:row r="13" ht="34" customHeight="1">
      <x:c r="A13" s="207" t="str">
        <x:v>EXT-MONDE-T008</x:v>
      </x:c>
      <x:c r="B13" s="208" t="str">
        <x:v>Sous-marin en surface</x:v>
      </x:c>
      <x:c r="C13" s="207" t="str">
        <x:f>INDEX(Chantiers!$G$6:$G$805,MATCH($A13&amp;"/dimensions",Chantiers!$A$6:$A$805,0))</x:f>
        <x:v>En cours</x:v>
      </x:c>
      <x:c r="D13" s="207" t="str">
        <x:f>INDEX(Chantiers!$G$6:$G$805,MATCH($A13&amp;"/architecture",Chantiers!$A$6:$A$805,0))</x:f>
        <x:v>En cours</x:v>
      </x:c>
      <x:c r="E13" s="207" t="str">
        <x:f>INDEX(Chantiers!$G$6:$G$805,MATCH($A13&amp;"/seed",Chantiers!$A$6:$A$805,0))</x:f>
        <x:v>À faire</x:v>
      </x:c>
      <x:c r="F13" s="207" t="str">
        <x:f>INDEX(Chantiers!$G$6:$G$805,MATCH($A13&amp;"/props",Chantiers!$A$6:$A$805,0))</x:f>
        <x:v>En cours</x:v>
      </x:c>
      <x:c r="G13" s="207" t="str">
        <x:f>INDEX(Chantiers!$G$6:$G$805,MATCH($A13&amp;"/loot",Chantiers!$A$6:$A$805,0))</x:f>
        <x:v>À faire</x:v>
      </x:c>
      <x:c r="H13" s="207" t="str">
        <x:f>INDEX(Chantiers!$G$6:$G$805,MATCH($A13&amp;"/rencontres",Chantiers!$A$6:$A$805,0))</x:f>
        <x:v>À faire</x:v>
      </x:c>
      <x:c r="I13" s="207" t="str">
        <x:f>INDEX(Chantiers!$G$6:$G$805,MATCH($A13&amp;"/services",Chantiers!$A$6:$A$805,0))</x:f>
        <x:v>À faire</x:v>
      </x:c>
      <x:c r="J13" s="207" t="str">
        <x:f>INDEX(Chantiers!$G$6:$G$805,MATCH($A13&amp;"/art",Chantiers!$A$6:$A$805,0))</x:f>
        <x:v>À faire</x:v>
      </x:c>
      <x:c r="K13" s="207" t="str">
        <x:f>INDEX(Chantiers!$G$6:$G$805,MATCH($A13&amp;"/sauvegarde",Chantiers!$A$6:$A$805,0))</x:f>
        <x:v>En cours</x:v>
      </x:c>
      <x:c r="L13" s="207" t="str">
        <x:f>INDEX(Chantiers!$G$6:$G$805,MATCH($A13&amp;"/qa",Chantiers!$A$6:$A$805,0))</x:f>
        <x:v>En cours</x:v>
      </x:c>
      <x:c r="M13" s="207" t="n">
        <x:f>COUNTIF(C13:L13,"Validé")</x:f>
        <x:v>0</x:v>
      </x:c>
      <x:c r="N13" s="207" t="n">
        <x:f>COLUMNS(C13:L13)-M13</x:f>
        <x:v>10</x:v>
      </x:c>
    </x:row>
    <x:row r="14" ht="34" customHeight="1">
      <x:c r="A14" s="207" t="str">
        <x:v>EXT-MONDE-T009</x:v>
      </x:c>
      <x:c r="B14" s="208" t="str">
        <x:v>Plateforme pétrolière fixe</x:v>
      </x:c>
      <x:c r="C14" s="207" t="str">
        <x:f>INDEX(Chantiers!$G$6:$G$805,MATCH($A14&amp;"/dimensions",Chantiers!$A$6:$A$805,0))</x:f>
        <x:v>En cours</x:v>
      </x:c>
      <x:c r="D14" s="207" t="str">
        <x:f>INDEX(Chantiers!$G$6:$G$805,MATCH($A14&amp;"/architecture",Chantiers!$A$6:$A$805,0))</x:f>
        <x:v>En cours</x:v>
      </x:c>
      <x:c r="E14" s="207" t="str">
        <x:f>INDEX(Chantiers!$G$6:$G$805,MATCH($A14&amp;"/seed",Chantiers!$A$6:$A$805,0))</x:f>
        <x:v>À faire</x:v>
      </x:c>
      <x:c r="F14" s="207" t="str">
        <x:f>INDEX(Chantiers!$G$6:$G$805,MATCH($A14&amp;"/props",Chantiers!$A$6:$A$805,0))</x:f>
        <x:v>En cours</x:v>
      </x:c>
      <x:c r="G14" s="207" t="str">
        <x:f>INDEX(Chantiers!$G$6:$G$805,MATCH($A14&amp;"/loot",Chantiers!$A$6:$A$805,0))</x:f>
        <x:v>À faire</x:v>
      </x:c>
      <x:c r="H14" s="207" t="str">
        <x:f>INDEX(Chantiers!$G$6:$G$805,MATCH($A14&amp;"/rencontres",Chantiers!$A$6:$A$805,0))</x:f>
        <x:v>À faire</x:v>
      </x:c>
      <x:c r="I14" s="207" t="str">
        <x:f>INDEX(Chantiers!$G$6:$G$805,MATCH($A14&amp;"/services",Chantiers!$A$6:$A$805,0))</x:f>
        <x:v>À faire</x:v>
      </x:c>
      <x:c r="J14" s="207" t="str">
        <x:f>INDEX(Chantiers!$G$6:$G$805,MATCH($A14&amp;"/art",Chantiers!$A$6:$A$805,0))</x:f>
        <x:v>À faire</x:v>
      </x:c>
      <x:c r="K14" s="207" t="str">
        <x:f>INDEX(Chantiers!$G$6:$G$805,MATCH($A14&amp;"/sauvegarde",Chantiers!$A$6:$A$805,0))</x:f>
        <x:v>En cours</x:v>
      </x:c>
      <x:c r="L14" s="207" t="str">
        <x:f>INDEX(Chantiers!$G$6:$G$805,MATCH($A14&amp;"/qa",Chantiers!$A$6:$A$805,0))</x:f>
        <x:v>En cours</x:v>
      </x:c>
      <x:c r="M14" s="207" t="n">
        <x:f>COUNTIF(C14:L14,"Validé")</x:f>
        <x:v>0</x:v>
      </x:c>
      <x:c r="N14" s="207" t="n">
        <x:f>COLUMNS(C14:L14)-M14</x:f>
        <x:v>10</x:v>
      </x:c>
    </x:row>
    <x:row r="15" ht="34" customHeight="1">
      <x:c r="A15" s="207" t="str">
        <x:v>EXT-MONDE-T010</x:v>
      </x:c>
      <x:c r="B15" s="208" t="str">
        <x:v>Plateforme semi-submersible</x:v>
      </x:c>
      <x:c r="C15" s="207" t="str">
        <x:f>INDEX(Chantiers!$G$6:$G$805,MATCH($A15&amp;"/dimensions",Chantiers!$A$6:$A$805,0))</x:f>
        <x:v>En cours</x:v>
      </x:c>
      <x:c r="D15" s="207" t="str">
        <x:f>INDEX(Chantiers!$G$6:$G$805,MATCH($A15&amp;"/architecture",Chantiers!$A$6:$A$805,0))</x:f>
        <x:v>En cours</x:v>
      </x:c>
      <x:c r="E15" s="207" t="str">
        <x:f>INDEX(Chantiers!$G$6:$G$805,MATCH($A15&amp;"/seed",Chantiers!$A$6:$A$805,0))</x:f>
        <x:v>À faire</x:v>
      </x:c>
      <x:c r="F15" s="207" t="str">
        <x:f>INDEX(Chantiers!$G$6:$G$805,MATCH($A15&amp;"/props",Chantiers!$A$6:$A$805,0))</x:f>
        <x:v>En cours</x:v>
      </x:c>
      <x:c r="G15" s="207" t="str">
        <x:f>INDEX(Chantiers!$G$6:$G$805,MATCH($A15&amp;"/loot",Chantiers!$A$6:$A$805,0))</x:f>
        <x:v>À faire</x:v>
      </x:c>
      <x:c r="H15" s="207" t="str">
        <x:f>INDEX(Chantiers!$G$6:$G$805,MATCH($A15&amp;"/rencontres",Chantiers!$A$6:$A$805,0))</x:f>
        <x:v>À faire</x:v>
      </x:c>
      <x:c r="I15" s="207" t="str">
        <x:f>INDEX(Chantiers!$G$6:$G$805,MATCH($A15&amp;"/services",Chantiers!$A$6:$A$805,0))</x:f>
        <x:v>À faire</x:v>
      </x:c>
      <x:c r="J15" s="207" t="str">
        <x:f>INDEX(Chantiers!$G$6:$G$805,MATCH($A15&amp;"/art",Chantiers!$A$6:$A$805,0))</x:f>
        <x:v>À faire</x:v>
      </x:c>
      <x:c r="K15" s="207" t="str">
        <x:f>INDEX(Chantiers!$G$6:$G$805,MATCH($A15&amp;"/sauvegarde",Chantiers!$A$6:$A$805,0))</x:f>
        <x:v>En cours</x:v>
      </x:c>
      <x:c r="L15" s="207" t="str">
        <x:f>INDEX(Chantiers!$G$6:$G$805,MATCH($A15&amp;"/qa",Chantiers!$A$6:$A$805,0))</x:f>
        <x:v>En cours</x:v>
      </x:c>
      <x:c r="M15" s="207" t="n">
        <x:f>COUNTIF(C15:L15,"Validé")</x:f>
        <x:v>0</x:v>
      </x:c>
      <x:c r="N15" s="207" t="n">
        <x:f>COLUMNS(C15:L15)-M15</x:f>
        <x:v>10</x:v>
      </x:c>
    </x:row>
    <x:row r="16" ht="34" customHeight="1">
      <x:c r="A16" s="207" t="str">
        <x:v>EXT-MONDE-T011</x:v>
      </x:c>
      <x:c r="B16" s="208" t="str">
        <x:v>Navire de soutien offshore</x:v>
      </x:c>
      <x:c r="C16" s="207" t="str">
        <x:f>INDEX(Chantiers!$G$6:$G$805,MATCH($A16&amp;"/dimensions",Chantiers!$A$6:$A$805,0))</x:f>
        <x:v>En cours</x:v>
      </x:c>
      <x:c r="D16" s="207" t="str">
        <x:f>INDEX(Chantiers!$G$6:$G$805,MATCH($A16&amp;"/architecture",Chantiers!$A$6:$A$805,0))</x:f>
        <x:v>En cours</x:v>
      </x:c>
      <x:c r="E16" s="207" t="str">
        <x:f>INDEX(Chantiers!$G$6:$G$805,MATCH($A16&amp;"/seed",Chantiers!$A$6:$A$805,0))</x:f>
        <x:v>À faire</x:v>
      </x:c>
      <x:c r="F16" s="207" t="str">
        <x:f>INDEX(Chantiers!$G$6:$G$805,MATCH($A16&amp;"/props",Chantiers!$A$6:$A$805,0))</x:f>
        <x:v>En cours</x:v>
      </x:c>
      <x:c r="G16" s="207" t="str">
        <x:f>INDEX(Chantiers!$G$6:$G$805,MATCH($A16&amp;"/loot",Chantiers!$A$6:$A$805,0))</x:f>
        <x:v>À faire</x:v>
      </x:c>
      <x:c r="H16" s="207" t="str">
        <x:f>INDEX(Chantiers!$G$6:$G$805,MATCH($A16&amp;"/rencontres",Chantiers!$A$6:$A$805,0))</x:f>
        <x:v>À faire</x:v>
      </x:c>
      <x:c r="I16" s="207" t="str">
        <x:f>INDEX(Chantiers!$G$6:$G$805,MATCH($A16&amp;"/services",Chantiers!$A$6:$A$805,0))</x:f>
        <x:v>À faire</x:v>
      </x:c>
      <x:c r="J16" s="207" t="str">
        <x:f>INDEX(Chantiers!$G$6:$G$805,MATCH($A16&amp;"/art",Chantiers!$A$6:$A$805,0))</x:f>
        <x:v>À faire</x:v>
      </x:c>
      <x:c r="K16" s="207" t="str">
        <x:f>INDEX(Chantiers!$G$6:$G$805,MATCH($A16&amp;"/sauvegarde",Chantiers!$A$6:$A$805,0))</x:f>
        <x:v>En cours</x:v>
      </x:c>
      <x:c r="L16" s="207" t="str">
        <x:f>INDEX(Chantiers!$G$6:$G$805,MATCH($A16&amp;"/qa",Chantiers!$A$6:$A$805,0))</x:f>
        <x:v>En cours</x:v>
      </x:c>
      <x:c r="M16" s="207" t="n">
        <x:f>COUNTIF(C16:L16,"Validé")</x:f>
        <x:v>0</x:v>
      </x:c>
      <x:c r="N16" s="207" t="n">
        <x:f>COLUMNS(C16:L16)-M16</x:f>
        <x:v>10</x:v>
      </x:c>
    </x:row>
    <x:row r="17" ht="34" customHeight="1">
      <x:c r="A17" s="207" t="str">
        <x:v>EXT-MONDE-T012</x:v>
      </x:c>
      <x:c r="B17" s="208" t="str">
        <x:v>Station scientifique marine</x:v>
      </x:c>
      <x:c r="C17" s="207" t="str">
        <x:f>INDEX(Chantiers!$G$6:$G$805,MATCH($A17&amp;"/dimensions",Chantiers!$A$6:$A$805,0))</x:f>
        <x:v>En cours</x:v>
      </x:c>
      <x:c r="D17" s="207" t="str">
        <x:f>INDEX(Chantiers!$G$6:$G$805,MATCH($A17&amp;"/architecture",Chantiers!$A$6:$A$805,0))</x:f>
        <x:v>En cours</x:v>
      </x:c>
      <x:c r="E17" s="207" t="str">
        <x:f>INDEX(Chantiers!$G$6:$G$805,MATCH($A17&amp;"/seed",Chantiers!$A$6:$A$805,0))</x:f>
        <x:v>À faire</x:v>
      </x:c>
      <x:c r="F17" s="207" t="str">
        <x:f>INDEX(Chantiers!$G$6:$G$805,MATCH($A17&amp;"/props",Chantiers!$A$6:$A$805,0))</x:f>
        <x:v>En cours</x:v>
      </x:c>
      <x:c r="G17" s="207" t="str">
        <x:f>INDEX(Chantiers!$G$6:$G$805,MATCH($A17&amp;"/loot",Chantiers!$A$6:$A$805,0))</x:f>
        <x:v>À faire</x:v>
      </x:c>
      <x:c r="H17" s="207" t="str">
        <x:f>INDEX(Chantiers!$G$6:$G$805,MATCH($A17&amp;"/rencontres",Chantiers!$A$6:$A$805,0))</x:f>
        <x:v>À faire</x:v>
      </x:c>
      <x:c r="I17" s="207" t="str">
        <x:f>INDEX(Chantiers!$G$6:$G$805,MATCH($A17&amp;"/services",Chantiers!$A$6:$A$805,0))</x:f>
        <x:v>À faire</x:v>
      </x:c>
      <x:c r="J17" s="207" t="str">
        <x:f>INDEX(Chantiers!$G$6:$G$805,MATCH($A17&amp;"/art",Chantiers!$A$6:$A$805,0))</x:f>
        <x:v>À faire</x:v>
      </x:c>
      <x:c r="K17" s="207" t="str">
        <x:f>INDEX(Chantiers!$G$6:$G$805,MATCH($A17&amp;"/sauvegarde",Chantiers!$A$6:$A$805,0))</x:f>
        <x:v>En cours</x:v>
      </x:c>
      <x:c r="L17" s="207" t="str">
        <x:f>INDEX(Chantiers!$G$6:$G$805,MATCH($A17&amp;"/qa",Chantiers!$A$6:$A$805,0))</x:f>
        <x:v>En cours</x:v>
      </x:c>
      <x:c r="M17" s="207" t="n">
        <x:f>COUNTIF(C17:L17,"Validé")</x:f>
        <x:v>0</x:v>
      </x:c>
      <x:c r="N17" s="207" t="n">
        <x:f>COLUMNS(C17:L17)-M17</x:f>
        <x:v>10</x:v>
      </x:c>
    </x:row>
    <x:row r="18" ht="34" customHeight="1">
      <x:c r="A18" s="207" t="str">
        <x:v>EXT-MONDE-T013</x:v>
      </x:c>
      <x:c r="B18" s="208" t="str">
        <x:v>Port de pêche</x:v>
      </x:c>
      <x:c r="C18" s="207" t="str">
        <x:f>INDEX(Chantiers!$G$6:$G$805,MATCH($A18&amp;"/dimensions",Chantiers!$A$6:$A$805,0))</x:f>
        <x:v>En cours</x:v>
      </x:c>
      <x:c r="D18" s="207" t="str">
        <x:f>INDEX(Chantiers!$G$6:$G$805,MATCH($A18&amp;"/architecture",Chantiers!$A$6:$A$805,0))</x:f>
        <x:v>En cours</x:v>
      </x:c>
      <x:c r="E18" s="207" t="str">
        <x:f>INDEX(Chantiers!$G$6:$G$805,MATCH($A18&amp;"/seed",Chantiers!$A$6:$A$805,0))</x:f>
        <x:v>À faire</x:v>
      </x:c>
      <x:c r="F18" s="207" t="str">
        <x:f>INDEX(Chantiers!$G$6:$G$805,MATCH($A18&amp;"/props",Chantiers!$A$6:$A$805,0))</x:f>
        <x:v>En cours</x:v>
      </x:c>
      <x:c r="G18" s="207" t="str">
        <x:f>INDEX(Chantiers!$G$6:$G$805,MATCH($A18&amp;"/loot",Chantiers!$A$6:$A$805,0))</x:f>
        <x:v>À faire</x:v>
      </x:c>
      <x:c r="H18" s="207" t="str">
        <x:f>INDEX(Chantiers!$G$6:$G$805,MATCH($A18&amp;"/rencontres",Chantiers!$A$6:$A$805,0))</x:f>
        <x:v>À faire</x:v>
      </x:c>
      <x:c r="I18" s="207" t="str">
        <x:f>INDEX(Chantiers!$G$6:$G$805,MATCH($A18&amp;"/services",Chantiers!$A$6:$A$805,0))</x:f>
        <x:v>À faire</x:v>
      </x:c>
      <x:c r="J18" s="207" t="str">
        <x:f>INDEX(Chantiers!$G$6:$G$805,MATCH($A18&amp;"/art",Chantiers!$A$6:$A$805,0))</x:f>
        <x:v>À faire</x:v>
      </x:c>
      <x:c r="K18" s="207" t="str">
        <x:f>INDEX(Chantiers!$G$6:$G$805,MATCH($A18&amp;"/sauvegarde",Chantiers!$A$6:$A$805,0))</x:f>
        <x:v>En cours</x:v>
      </x:c>
      <x:c r="L18" s="207" t="str">
        <x:f>INDEX(Chantiers!$G$6:$G$805,MATCH($A18&amp;"/qa",Chantiers!$A$6:$A$805,0))</x:f>
        <x:v>En cours</x:v>
      </x:c>
      <x:c r="M18" s="207" t="n">
        <x:f>COUNTIF(C18:L18,"Validé")</x:f>
        <x:v>0</x:v>
      </x:c>
      <x:c r="N18" s="207" t="n">
        <x:f>COLUMNS(C18:L18)-M18</x:f>
        <x:v>10</x:v>
      </x:c>
    </x:row>
    <x:row r="19" ht="34" customHeight="1">
      <x:c r="A19" s="207" t="str">
        <x:v>EXT-MONDE-T014</x:v>
      </x:c>
      <x:c r="B19" s="208" t="str">
        <x:v>Marina</x:v>
      </x:c>
      <x:c r="C19" s="207" t="str">
        <x:f>INDEX(Chantiers!$G$6:$G$805,MATCH($A19&amp;"/dimensions",Chantiers!$A$6:$A$805,0))</x:f>
        <x:v>En cours</x:v>
      </x:c>
      <x:c r="D19" s="207" t="str">
        <x:f>INDEX(Chantiers!$G$6:$G$805,MATCH($A19&amp;"/architecture",Chantiers!$A$6:$A$805,0))</x:f>
        <x:v>En cours</x:v>
      </x:c>
      <x:c r="E19" s="207" t="str">
        <x:f>INDEX(Chantiers!$G$6:$G$805,MATCH($A19&amp;"/seed",Chantiers!$A$6:$A$805,0))</x:f>
        <x:v>À faire</x:v>
      </x:c>
      <x:c r="F19" s="207" t="str">
        <x:f>INDEX(Chantiers!$G$6:$G$805,MATCH($A19&amp;"/props",Chantiers!$A$6:$A$805,0))</x:f>
        <x:v>En cours</x:v>
      </x:c>
      <x:c r="G19" s="207" t="str">
        <x:f>INDEX(Chantiers!$G$6:$G$805,MATCH($A19&amp;"/loot",Chantiers!$A$6:$A$805,0))</x:f>
        <x:v>À faire</x:v>
      </x:c>
      <x:c r="H19" s="207" t="str">
        <x:f>INDEX(Chantiers!$G$6:$G$805,MATCH($A19&amp;"/rencontres",Chantiers!$A$6:$A$805,0))</x:f>
        <x:v>À faire</x:v>
      </x:c>
      <x:c r="I19" s="207" t="str">
        <x:f>INDEX(Chantiers!$G$6:$G$805,MATCH($A19&amp;"/services",Chantiers!$A$6:$A$805,0))</x:f>
        <x:v>À faire</x:v>
      </x:c>
      <x:c r="J19" s="207" t="str">
        <x:f>INDEX(Chantiers!$G$6:$G$805,MATCH($A19&amp;"/art",Chantiers!$A$6:$A$805,0))</x:f>
        <x:v>À faire</x:v>
      </x:c>
      <x:c r="K19" s="207" t="str">
        <x:f>INDEX(Chantiers!$G$6:$G$805,MATCH($A19&amp;"/sauvegarde",Chantiers!$A$6:$A$805,0))</x:f>
        <x:v>En cours</x:v>
      </x:c>
      <x:c r="L19" s="207" t="str">
        <x:f>INDEX(Chantiers!$G$6:$G$805,MATCH($A19&amp;"/qa",Chantiers!$A$6:$A$805,0))</x:f>
        <x:v>En cours</x:v>
      </x:c>
      <x:c r="M19" s="207" t="n">
        <x:f>COUNTIF(C19:L19,"Validé")</x:f>
        <x:v>0</x:v>
      </x:c>
      <x:c r="N19" s="207" t="n">
        <x:f>COLUMNS(C19:L19)-M19</x:f>
        <x:v>10</x:v>
      </x:c>
    </x:row>
    <x:row r="20" ht="34" customHeight="1">
      <x:c r="A20" s="207" t="str">
        <x:v>EXT-MONDE-T015</x:v>
      </x:c>
      <x:c r="B20" s="208" t="str">
        <x:v>Terminal conteneurs</x:v>
      </x:c>
      <x:c r="C20" s="207" t="str">
        <x:f>INDEX(Chantiers!$G$6:$G$805,MATCH($A20&amp;"/dimensions",Chantiers!$A$6:$A$805,0))</x:f>
        <x:v>En cours</x:v>
      </x:c>
      <x:c r="D20" s="207" t="str">
        <x:f>INDEX(Chantiers!$G$6:$G$805,MATCH($A20&amp;"/architecture",Chantiers!$A$6:$A$805,0))</x:f>
        <x:v>En cours</x:v>
      </x:c>
      <x:c r="E20" s="207" t="str">
        <x:f>INDEX(Chantiers!$G$6:$G$805,MATCH($A20&amp;"/seed",Chantiers!$A$6:$A$805,0))</x:f>
        <x:v>À faire</x:v>
      </x:c>
      <x:c r="F20" s="207" t="str">
        <x:f>INDEX(Chantiers!$G$6:$G$805,MATCH($A20&amp;"/props",Chantiers!$A$6:$A$805,0))</x:f>
        <x:v>En cours</x:v>
      </x:c>
      <x:c r="G20" s="207" t="str">
        <x:f>INDEX(Chantiers!$G$6:$G$805,MATCH($A20&amp;"/loot",Chantiers!$A$6:$A$805,0))</x:f>
        <x:v>À faire</x:v>
      </x:c>
      <x:c r="H20" s="207" t="str">
        <x:f>INDEX(Chantiers!$G$6:$G$805,MATCH($A20&amp;"/rencontres",Chantiers!$A$6:$A$805,0))</x:f>
        <x:v>À faire</x:v>
      </x:c>
      <x:c r="I20" s="207" t="str">
        <x:f>INDEX(Chantiers!$G$6:$G$805,MATCH($A20&amp;"/services",Chantiers!$A$6:$A$805,0))</x:f>
        <x:v>À faire</x:v>
      </x:c>
      <x:c r="J20" s="207" t="str">
        <x:f>INDEX(Chantiers!$G$6:$G$805,MATCH($A20&amp;"/art",Chantiers!$A$6:$A$805,0))</x:f>
        <x:v>À faire</x:v>
      </x:c>
      <x:c r="K20" s="207" t="str">
        <x:f>INDEX(Chantiers!$G$6:$G$805,MATCH($A20&amp;"/sauvegarde",Chantiers!$A$6:$A$805,0))</x:f>
        <x:v>En cours</x:v>
      </x:c>
      <x:c r="L20" s="207" t="str">
        <x:f>INDEX(Chantiers!$G$6:$G$805,MATCH($A20&amp;"/qa",Chantiers!$A$6:$A$805,0))</x:f>
        <x:v>En cours</x:v>
      </x:c>
      <x:c r="M20" s="207" t="n">
        <x:f>COUNTIF(C20:L20,"Validé")</x:f>
        <x:v>0</x:v>
      </x:c>
      <x:c r="N20" s="207" t="n">
        <x:f>COLUMNS(C20:L20)-M20</x:f>
        <x:v>10</x:v>
      </x:c>
    </x:row>
    <x:row r="21" ht="34" customHeight="1">
      <x:c r="A21" s="207" t="str">
        <x:v>EXT-MONDE-T016</x:v>
      </x:c>
      <x:c r="B21" s="208" t="str">
        <x:v>Terminal ferry</x:v>
      </x:c>
      <x:c r="C21" s="207" t="str">
        <x:f>INDEX(Chantiers!$G$6:$G$805,MATCH($A21&amp;"/dimensions",Chantiers!$A$6:$A$805,0))</x:f>
        <x:v>En cours</x:v>
      </x:c>
      <x:c r="D21" s="207" t="str">
        <x:f>INDEX(Chantiers!$G$6:$G$805,MATCH($A21&amp;"/architecture",Chantiers!$A$6:$A$805,0))</x:f>
        <x:v>En cours</x:v>
      </x:c>
      <x:c r="E21" s="207" t="str">
        <x:f>INDEX(Chantiers!$G$6:$G$805,MATCH($A21&amp;"/seed",Chantiers!$A$6:$A$805,0))</x:f>
        <x:v>À faire</x:v>
      </x:c>
      <x:c r="F21" s="207" t="str">
        <x:f>INDEX(Chantiers!$G$6:$G$805,MATCH($A21&amp;"/props",Chantiers!$A$6:$A$805,0))</x:f>
        <x:v>En cours</x:v>
      </x:c>
      <x:c r="G21" s="207" t="str">
        <x:f>INDEX(Chantiers!$G$6:$G$805,MATCH($A21&amp;"/loot",Chantiers!$A$6:$A$805,0))</x:f>
        <x:v>À faire</x:v>
      </x:c>
      <x:c r="H21" s="207" t="str">
        <x:f>INDEX(Chantiers!$G$6:$G$805,MATCH($A21&amp;"/rencontres",Chantiers!$A$6:$A$805,0))</x:f>
        <x:v>À faire</x:v>
      </x:c>
      <x:c r="I21" s="207" t="str">
        <x:f>INDEX(Chantiers!$G$6:$G$805,MATCH($A21&amp;"/services",Chantiers!$A$6:$A$805,0))</x:f>
        <x:v>À faire</x:v>
      </x:c>
      <x:c r="J21" s="207" t="str">
        <x:f>INDEX(Chantiers!$G$6:$G$805,MATCH($A21&amp;"/art",Chantiers!$A$6:$A$805,0))</x:f>
        <x:v>À faire</x:v>
      </x:c>
      <x:c r="K21" s="207" t="str">
        <x:f>INDEX(Chantiers!$G$6:$G$805,MATCH($A21&amp;"/sauvegarde",Chantiers!$A$6:$A$805,0))</x:f>
        <x:v>En cours</x:v>
      </x:c>
      <x:c r="L21" s="207" t="str">
        <x:f>INDEX(Chantiers!$G$6:$G$805,MATCH($A21&amp;"/qa",Chantiers!$A$6:$A$805,0))</x:f>
        <x:v>En cours</x:v>
      </x:c>
      <x:c r="M21" s="207" t="n">
        <x:f>COUNTIF(C21:L21,"Validé")</x:f>
        <x:v>0</x:v>
      </x:c>
      <x:c r="N21" s="207" t="n">
        <x:f>COLUMNS(C21:L21)-M21</x:f>
        <x:v>10</x:v>
      </x:c>
    </x:row>
    <x:row r="22" ht="34" customHeight="1">
      <x:c r="A22" s="207" t="str">
        <x:v>EXT-MONDE-T017</x:v>
      </x:c>
      <x:c r="B22" s="208" t="str">
        <x:v>Phare et logements</x:v>
      </x:c>
      <x:c r="C22" s="207" t="str">
        <x:f>INDEX(Chantiers!$G$6:$G$805,MATCH($A22&amp;"/dimensions",Chantiers!$A$6:$A$805,0))</x:f>
        <x:v>En cours</x:v>
      </x:c>
      <x:c r="D22" s="207" t="str">
        <x:f>INDEX(Chantiers!$G$6:$G$805,MATCH($A22&amp;"/architecture",Chantiers!$A$6:$A$805,0))</x:f>
        <x:v>En cours</x:v>
      </x:c>
      <x:c r="E22" s="207" t="str">
        <x:f>INDEX(Chantiers!$G$6:$G$805,MATCH($A22&amp;"/seed",Chantiers!$A$6:$A$805,0))</x:f>
        <x:v>À faire</x:v>
      </x:c>
      <x:c r="F22" s="207" t="str">
        <x:f>INDEX(Chantiers!$G$6:$G$805,MATCH($A22&amp;"/props",Chantiers!$A$6:$A$805,0))</x:f>
        <x:v>En cours</x:v>
      </x:c>
      <x:c r="G22" s="207" t="str">
        <x:f>INDEX(Chantiers!$G$6:$G$805,MATCH($A22&amp;"/loot",Chantiers!$A$6:$A$805,0))</x:f>
        <x:v>À faire</x:v>
      </x:c>
      <x:c r="H22" s="207" t="str">
        <x:f>INDEX(Chantiers!$G$6:$G$805,MATCH($A22&amp;"/rencontres",Chantiers!$A$6:$A$805,0))</x:f>
        <x:v>À faire</x:v>
      </x:c>
      <x:c r="I22" s="207" t="str">
        <x:f>INDEX(Chantiers!$G$6:$G$805,MATCH($A22&amp;"/services",Chantiers!$A$6:$A$805,0))</x:f>
        <x:v>À faire</x:v>
      </x:c>
      <x:c r="J22" s="207" t="str">
        <x:f>INDEX(Chantiers!$G$6:$G$805,MATCH($A22&amp;"/art",Chantiers!$A$6:$A$805,0))</x:f>
        <x:v>À faire</x:v>
      </x:c>
      <x:c r="K22" s="207" t="str">
        <x:f>INDEX(Chantiers!$G$6:$G$805,MATCH($A22&amp;"/sauvegarde",Chantiers!$A$6:$A$805,0))</x:f>
        <x:v>En cours</x:v>
      </x:c>
      <x:c r="L22" s="207" t="str">
        <x:f>INDEX(Chantiers!$G$6:$G$805,MATCH($A22&amp;"/qa",Chantiers!$A$6:$A$805,0))</x:f>
        <x:v>En cours</x:v>
      </x:c>
      <x:c r="M22" s="207" t="n">
        <x:f>COUNTIF(C22:L22,"Validé")</x:f>
        <x:v>0</x:v>
      </x:c>
      <x:c r="N22" s="207" t="n">
        <x:f>COLUMNS(C22:L22)-M22</x:f>
        <x:v>10</x:v>
      </x:c>
    </x:row>
    <x:row r="23" ht="34" customHeight="1">
      <x:c r="A23" s="207" t="str">
        <x:v>EXT-MONDE-T018</x:v>
      </x:c>
      <x:c r="B23" s="208" t="str">
        <x:v>Fête foraine portuaire</x:v>
      </x:c>
      <x:c r="C23" s="207" t="str">
        <x:f>INDEX(Chantiers!$G$6:$G$805,MATCH($A23&amp;"/dimensions",Chantiers!$A$6:$A$805,0))</x:f>
        <x:v>En cours</x:v>
      </x:c>
      <x:c r="D23" s="207" t="str">
        <x:f>INDEX(Chantiers!$G$6:$G$805,MATCH($A23&amp;"/architecture",Chantiers!$A$6:$A$805,0))</x:f>
        <x:v>En cours</x:v>
      </x:c>
      <x:c r="E23" s="207" t="str">
        <x:f>INDEX(Chantiers!$G$6:$G$805,MATCH($A23&amp;"/seed",Chantiers!$A$6:$A$805,0))</x:f>
        <x:v>À faire</x:v>
      </x:c>
      <x:c r="F23" s="207" t="str">
        <x:f>INDEX(Chantiers!$G$6:$G$805,MATCH($A23&amp;"/props",Chantiers!$A$6:$A$805,0))</x:f>
        <x:v>En cours</x:v>
      </x:c>
      <x:c r="G23" s="207" t="str">
        <x:f>INDEX(Chantiers!$G$6:$G$805,MATCH($A23&amp;"/loot",Chantiers!$A$6:$A$805,0))</x:f>
        <x:v>À faire</x:v>
      </x:c>
      <x:c r="H23" s="207" t="str">
        <x:f>INDEX(Chantiers!$G$6:$G$805,MATCH($A23&amp;"/rencontres",Chantiers!$A$6:$A$805,0))</x:f>
        <x:v>À faire</x:v>
      </x:c>
      <x:c r="I23" s="207" t="str">
        <x:f>INDEX(Chantiers!$G$6:$G$805,MATCH($A23&amp;"/services",Chantiers!$A$6:$A$805,0))</x:f>
        <x:v>À faire</x:v>
      </x:c>
      <x:c r="J23" s="207" t="str">
        <x:f>INDEX(Chantiers!$G$6:$G$805,MATCH($A23&amp;"/art",Chantiers!$A$6:$A$805,0))</x:f>
        <x:v>À faire</x:v>
      </x:c>
      <x:c r="K23" s="207" t="str">
        <x:f>INDEX(Chantiers!$G$6:$G$805,MATCH($A23&amp;"/sauvegarde",Chantiers!$A$6:$A$805,0))</x:f>
        <x:v>En cours</x:v>
      </x:c>
      <x:c r="L23" s="207" t="str">
        <x:f>INDEX(Chantiers!$G$6:$G$805,MATCH($A23&amp;"/qa",Chantiers!$A$6:$A$805,0))</x:f>
        <x:v>En cours</x:v>
      </x:c>
      <x:c r="M23" s="207" t="n">
        <x:f>COUNTIF(C23:L23,"Validé")</x:f>
        <x:v>0</x:v>
      </x:c>
      <x:c r="N23" s="207" t="n">
        <x:f>COLUMNS(C23:L23)-M23</x:f>
        <x:v>10</x:v>
      </x:c>
    </x:row>
    <x:row r="24" ht="34" customHeight="1">
      <x:c r="A24" s="207" t="str">
        <x:v>EXT-MONDE-T019</x:v>
      </x:c>
      <x:c r="B24" s="208" t="str">
        <x:v>Chantier naval côtier</x:v>
      </x:c>
      <x:c r="C24" s="207" t="str">
        <x:f>INDEX(Chantiers!$G$6:$G$805,MATCH($A24&amp;"/dimensions",Chantiers!$A$6:$A$805,0))</x:f>
        <x:v>En cours</x:v>
      </x:c>
      <x:c r="D24" s="207" t="str">
        <x:f>INDEX(Chantiers!$G$6:$G$805,MATCH($A24&amp;"/architecture",Chantiers!$A$6:$A$805,0))</x:f>
        <x:v>En cours</x:v>
      </x:c>
      <x:c r="E24" s="207" t="str">
        <x:f>INDEX(Chantiers!$G$6:$G$805,MATCH($A24&amp;"/seed",Chantiers!$A$6:$A$805,0))</x:f>
        <x:v>À faire</x:v>
      </x:c>
      <x:c r="F24" s="207" t="str">
        <x:f>INDEX(Chantiers!$G$6:$G$805,MATCH($A24&amp;"/props",Chantiers!$A$6:$A$805,0))</x:f>
        <x:v>En cours</x:v>
      </x:c>
      <x:c r="G24" s="207" t="str">
        <x:f>INDEX(Chantiers!$G$6:$G$805,MATCH($A24&amp;"/loot",Chantiers!$A$6:$A$805,0))</x:f>
        <x:v>À faire</x:v>
      </x:c>
      <x:c r="H24" s="207" t="str">
        <x:f>INDEX(Chantiers!$G$6:$G$805,MATCH($A24&amp;"/rencontres",Chantiers!$A$6:$A$805,0))</x:f>
        <x:v>À faire</x:v>
      </x:c>
      <x:c r="I24" s="207" t="str">
        <x:f>INDEX(Chantiers!$G$6:$G$805,MATCH($A24&amp;"/services",Chantiers!$A$6:$A$805,0))</x:f>
        <x:v>À faire</x:v>
      </x:c>
      <x:c r="J24" s="207" t="str">
        <x:f>INDEX(Chantiers!$G$6:$G$805,MATCH($A24&amp;"/art",Chantiers!$A$6:$A$805,0))</x:f>
        <x:v>À faire</x:v>
      </x:c>
      <x:c r="K24" s="207" t="str">
        <x:f>INDEX(Chantiers!$G$6:$G$805,MATCH($A24&amp;"/sauvegarde",Chantiers!$A$6:$A$805,0))</x:f>
        <x:v>En cours</x:v>
      </x:c>
      <x:c r="L24" s="207" t="str">
        <x:f>INDEX(Chantiers!$G$6:$G$805,MATCH($A24&amp;"/qa",Chantiers!$A$6:$A$805,0))</x:f>
        <x:v>En cours</x:v>
      </x:c>
      <x:c r="M24" s="207" t="n">
        <x:f>COUNTIF(C24:L24,"Validé")</x:f>
        <x:v>0</x:v>
      </x:c>
      <x:c r="N24" s="207" t="n">
        <x:f>COLUMNS(C24:L24)-M24</x:f>
        <x:v>10</x:v>
      </x:c>
    </x:row>
    <x:row r="25" ht="34" customHeight="1">
      <x:c r="A25" s="207" t="str">
        <x:v>EXT-MONDE-T020</x:v>
      </x:c>
      <x:c r="B25" s="208" t="str">
        <x:v>Baie avec village côtier</x:v>
      </x:c>
      <x:c r="C25" s="207" t="str">
        <x:f>INDEX(Chantiers!$G$6:$G$805,MATCH($A25&amp;"/dimensions",Chantiers!$A$6:$A$805,0))</x:f>
        <x:v>En cours</x:v>
      </x:c>
      <x:c r="D25" s="207" t="str">
        <x:f>INDEX(Chantiers!$G$6:$G$805,MATCH($A25&amp;"/architecture",Chantiers!$A$6:$A$805,0))</x:f>
        <x:v>En cours</x:v>
      </x:c>
      <x:c r="E25" s="207" t="str">
        <x:f>INDEX(Chantiers!$G$6:$G$805,MATCH($A25&amp;"/seed",Chantiers!$A$6:$A$805,0))</x:f>
        <x:v>À faire</x:v>
      </x:c>
      <x:c r="F25" s="207" t="str">
        <x:f>INDEX(Chantiers!$G$6:$G$805,MATCH($A25&amp;"/props",Chantiers!$A$6:$A$805,0))</x:f>
        <x:v>En cours</x:v>
      </x:c>
      <x:c r="G25" s="207" t="str">
        <x:f>INDEX(Chantiers!$G$6:$G$805,MATCH($A25&amp;"/loot",Chantiers!$A$6:$A$805,0))</x:f>
        <x:v>À faire</x:v>
      </x:c>
      <x:c r="H25" s="207" t="str">
        <x:f>INDEX(Chantiers!$G$6:$G$805,MATCH($A25&amp;"/rencontres",Chantiers!$A$6:$A$805,0))</x:f>
        <x:v>À faire</x:v>
      </x:c>
      <x:c r="I25" s="207" t="str">
        <x:f>INDEX(Chantiers!$G$6:$G$805,MATCH($A25&amp;"/services",Chantiers!$A$6:$A$805,0))</x:f>
        <x:v>À faire</x:v>
      </x:c>
      <x:c r="J25" s="207" t="str">
        <x:f>INDEX(Chantiers!$G$6:$G$805,MATCH($A25&amp;"/art",Chantiers!$A$6:$A$805,0))</x:f>
        <x:v>À faire</x:v>
      </x:c>
      <x:c r="K25" s="207" t="str">
        <x:f>INDEX(Chantiers!$G$6:$G$805,MATCH($A25&amp;"/sauvegarde",Chantiers!$A$6:$A$805,0))</x:f>
        <x:v>En cours</x:v>
      </x:c>
      <x:c r="L25" s="207" t="str">
        <x:f>INDEX(Chantiers!$G$6:$G$805,MATCH($A25&amp;"/qa",Chantiers!$A$6:$A$805,0))</x:f>
        <x:v>En cours</x:v>
      </x:c>
      <x:c r="M25" s="207" t="n">
        <x:f>COUNTIF(C25:L25,"Validé")</x:f>
        <x:v>0</x:v>
      </x:c>
      <x:c r="N25" s="207" t="n">
        <x:f>COLUMNS(C25:L25)-M25</x:f>
        <x:v>10</x:v>
      </x:c>
    </x:row>
    <x:row r="26" ht="34" customHeight="1">
      <x:c r="A26" s="207" t="str">
        <x:v>EXT-MONDE-T021</x:v>
      </x:c>
      <x:c r="B26" s="208" t="str">
        <x:v>Ferme laitière</x:v>
      </x:c>
      <x:c r="C26" s="207" t="str">
        <x:f>INDEX(Chantiers!$G$6:$G$805,MATCH($A26&amp;"/dimensions",Chantiers!$A$6:$A$805,0))</x:f>
        <x:v>En cours</x:v>
      </x:c>
      <x:c r="D26" s="207" t="str">
        <x:f>INDEX(Chantiers!$G$6:$G$805,MATCH($A26&amp;"/architecture",Chantiers!$A$6:$A$805,0))</x:f>
        <x:v>En cours</x:v>
      </x:c>
      <x:c r="E26" s="207" t="str">
        <x:f>INDEX(Chantiers!$G$6:$G$805,MATCH($A26&amp;"/seed",Chantiers!$A$6:$A$805,0))</x:f>
        <x:v>À faire</x:v>
      </x:c>
      <x:c r="F26" s="207" t="str">
        <x:f>INDEX(Chantiers!$G$6:$G$805,MATCH($A26&amp;"/props",Chantiers!$A$6:$A$805,0))</x:f>
        <x:v>En cours</x:v>
      </x:c>
      <x:c r="G26" s="207" t="str">
        <x:f>INDEX(Chantiers!$G$6:$G$805,MATCH($A26&amp;"/loot",Chantiers!$A$6:$A$805,0))</x:f>
        <x:v>À faire</x:v>
      </x:c>
      <x:c r="H26" s="207" t="str">
        <x:f>INDEX(Chantiers!$G$6:$G$805,MATCH($A26&amp;"/rencontres",Chantiers!$A$6:$A$805,0))</x:f>
        <x:v>À faire</x:v>
      </x:c>
      <x:c r="I26" s="207" t="str">
        <x:f>INDEX(Chantiers!$G$6:$G$805,MATCH($A26&amp;"/services",Chantiers!$A$6:$A$805,0))</x:f>
        <x:v>À faire</x:v>
      </x:c>
      <x:c r="J26" s="207" t="str">
        <x:f>INDEX(Chantiers!$G$6:$G$805,MATCH($A26&amp;"/art",Chantiers!$A$6:$A$805,0))</x:f>
        <x:v>À faire</x:v>
      </x:c>
      <x:c r="K26" s="207" t="str">
        <x:f>INDEX(Chantiers!$G$6:$G$805,MATCH($A26&amp;"/sauvegarde",Chantiers!$A$6:$A$805,0))</x:f>
        <x:v>En cours</x:v>
      </x:c>
      <x:c r="L26" s="207" t="str">
        <x:f>INDEX(Chantiers!$G$6:$G$805,MATCH($A26&amp;"/qa",Chantiers!$A$6:$A$805,0))</x:f>
        <x:v>En cours</x:v>
      </x:c>
      <x:c r="M26" s="207" t="n">
        <x:f>COUNTIF(C26:L26,"Validé")</x:f>
        <x:v>0</x:v>
      </x:c>
      <x:c r="N26" s="207" t="n">
        <x:f>COLUMNS(C26:L26)-M26</x:f>
        <x:v>10</x:v>
      </x:c>
    </x:row>
    <x:row r="27" ht="34" customHeight="1">
      <x:c r="A27" s="207" t="str">
        <x:v>EXT-MONDE-T022</x:v>
      </x:c>
      <x:c r="B27" s="208" t="str">
        <x:v>Élevage ovin</x:v>
      </x:c>
      <x:c r="C27" s="207" t="str">
        <x:f>INDEX(Chantiers!$G$6:$G$805,MATCH($A27&amp;"/dimensions",Chantiers!$A$6:$A$805,0))</x:f>
        <x:v>En cours</x:v>
      </x:c>
      <x:c r="D27" s="207" t="str">
        <x:f>INDEX(Chantiers!$G$6:$G$805,MATCH($A27&amp;"/architecture",Chantiers!$A$6:$A$805,0))</x:f>
        <x:v>En cours</x:v>
      </x:c>
      <x:c r="E27" s="207" t="str">
        <x:f>INDEX(Chantiers!$G$6:$G$805,MATCH($A27&amp;"/seed",Chantiers!$A$6:$A$805,0))</x:f>
        <x:v>À faire</x:v>
      </x:c>
      <x:c r="F27" s="207" t="str">
        <x:f>INDEX(Chantiers!$G$6:$G$805,MATCH($A27&amp;"/props",Chantiers!$A$6:$A$805,0))</x:f>
        <x:v>En cours</x:v>
      </x:c>
      <x:c r="G27" s="207" t="str">
        <x:f>INDEX(Chantiers!$G$6:$G$805,MATCH($A27&amp;"/loot",Chantiers!$A$6:$A$805,0))</x:f>
        <x:v>À faire</x:v>
      </x:c>
      <x:c r="H27" s="207" t="str">
        <x:f>INDEX(Chantiers!$G$6:$G$805,MATCH($A27&amp;"/rencontres",Chantiers!$A$6:$A$805,0))</x:f>
        <x:v>À faire</x:v>
      </x:c>
      <x:c r="I27" s="207" t="str">
        <x:f>INDEX(Chantiers!$G$6:$G$805,MATCH($A27&amp;"/services",Chantiers!$A$6:$A$805,0))</x:f>
        <x:v>À faire</x:v>
      </x:c>
      <x:c r="J27" s="207" t="str">
        <x:f>INDEX(Chantiers!$G$6:$G$805,MATCH($A27&amp;"/art",Chantiers!$A$6:$A$805,0))</x:f>
        <x:v>À faire</x:v>
      </x:c>
      <x:c r="K27" s="207" t="str">
        <x:f>INDEX(Chantiers!$G$6:$G$805,MATCH($A27&amp;"/sauvegarde",Chantiers!$A$6:$A$805,0))</x:f>
        <x:v>En cours</x:v>
      </x:c>
      <x:c r="L27" s="207" t="str">
        <x:f>INDEX(Chantiers!$G$6:$G$805,MATCH($A27&amp;"/qa",Chantiers!$A$6:$A$805,0))</x:f>
        <x:v>En cours</x:v>
      </x:c>
      <x:c r="M27" s="207" t="n">
        <x:f>COUNTIF(C27:L27,"Validé")</x:f>
        <x:v>0</x:v>
      </x:c>
      <x:c r="N27" s="207" t="n">
        <x:f>COLUMNS(C27:L27)-M27</x:f>
        <x:v>10</x:v>
      </x:c>
    </x:row>
    <x:row r="28" ht="34" customHeight="1">
      <x:c r="A28" s="207" t="str">
        <x:v>EXT-MONDE-T023</x:v>
      </x:c>
      <x:c r="B28" s="208" t="str">
        <x:v>Ferme avicole</x:v>
      </x:c>
      <x:c r="C28" s="207" t="str">
        <x:f>INDEX(Chantiers!$G$6:$G$805,MATCH($A28&amp;"/dimensions",Chantiers!$A$6:$A$805,0))</x:f>
        <x:v>En cours</x:v>
      </x:c>
      <x:c r="D28" s="207" t="str">
        <x:f>INDEX(Chantiers!$G$6:$G$805,MATCH($A28&amp;"/architecture",Chantiers!$A$6:$A$805,0))</x:f>
        <x:v>En cours</x:v>
      </x:c>
      <x:c r="E28" s="207" t="str">
        <x:f>INDEX(Chantiers!$G$6:$G$805,MATCH($A28&amp;"/seed",Chantiers!$A$6:$A$805,0))</x:f>
        <x:v>À faire</x:v>
      </x:c>
      <x:c r="F28" s="207" t="str">
        <x:f>INDEX(Chantiers!$G$6:$G$805,MATCH($A28&amp;"/props",Chantiers!$A$6:$A$805,0))</x:f>
        <x:v>En cours</x:v>
      </x:c>
      <x:c r="G28" s="207" t="str">
        <x:f>INDEX(Chantiers!$G$6:$G$805,MATCH($A28&amp;"/loot",Chantiers!$A$6:$A$805,0))</x:f>
        <x:v>À faire</x:v>
      </x:c>
      <x:c r="H28" s="207" t="str">
        <x:f>INDEX(Chantiers!$G$6:$G$805,MATCH($A28&amp;"/rencontres",Chantiers!$A$6:$A$805,0))</x:f>
        <x:v>À faire</x:v>
      </x:c>
      <x:c r="I28" s="207" t="str">
        <x:f>INDEX(Chantiers!$G$6:$G$805,MATCH($A28&amp;"/services",Chantiers!$A$6:$A$805,0))</x:f>
        <x:v>À faire</x:v>
      </x:c>
      <x:c r="J28" s="207" t="str">
        <x:f>INDEX(Chantiers!$G$6:$G$805,MATCH($A28&amp;"/art",Chantiers!$A$6:$A$805,0))</x:f>
        <x:v>À faire</x:v>
      </x:c>
      <x:c r="K28" s="207" t="str">
        <x:f>INDEX(Chantiers!$G$6:$G$805,MATCH($A28&amp;"/sauvegarde",Chantiers!$A$6:$A$805,0))</x:f>
        <x:v>En cours</x:v>
      </x:c>
      <x:c r="L28" s="207" t="str">
        <x:f>INDEX(Chantiers!$G$6:$G$805,MATCH($A28&amp;"/qa",Chantiers!$A$6:$A$805,0))</x:f>
        <x:v>En cours</x:v>
      </x:c>
      <x:c r="M28" s="207" t="n">
        <x:f>COUNTIF(C28:L28,"Validé")</x:f>
        <x:v>0</x:v>
      </x:c>
      <x:c r="N28" s="207" t="n">
        <x:f>COLUMNS(C28:L28)-M28</x:f>
        <x:v>10</x:v>
      </x:c>
    </x:row>
    <x:row r="29" ht="34" customHeight="1">
      <x:c r="A29" s="207" t="str">
        <x:v>EXT-MONDE-T024</x:v>
      </x:c>
      <x:c r="B29" s="208" t="str">
        <x:v>Centre équestre rural</x:v>
      </x:c>
      <x:c r="C29" s="207" t="str">
        <x:f>INDEX(Chantiers!$G$6:$G$805,MATCH($A29&amp;"/dimensions",Chantiers!$A$6:$A$805,0))</x:f>
        <x:v>En cours</x:v>
      </x:c>
      <x:c r="D29" s="207" t="str">
        <x:f>INDEX(Chantiers!$G$6:$G$805,MATCH($A29&amp;"/architecture",Chantiers!$A$6:$A$805,0))</x:f>
        <x:v>En cours</x:v>
      </x:c>
      <x:c r="E29" s="207" t="str">
        <x:f>INDEX(Chantiers!$G$6:$G$805,MATCH($A29&amp;"/seed",Chantiers!$A$6:$A$805,0))</x:f>
        <x:v>À faire</x:v>
      </x:c>
      <x:c r="F29" s="207" t="str">
        <x:f>INDEX(Chantiers!$G$6:$G$805,MATCH($A29&amp;"/props",Chantiers!$A$6:$A$805,0))</x:f>
        <x:v>En cours</x:v>
      </x:c>
      <x:c r="G29" s="207" t="str">
        <x:f>INDEX(Chantiers!$G$6:$G$805,MATCH($A29&amp;"/loot",Chantiers!$A$6:$A$805,0))</x:f>
        <x:v>À faire</x:v>
      </x:c>
      <x:c r="H29" s="207" t="str">
        <x:f>INDEX(Chantiers!$G$6:$G$805,MATCH($A29&amp;"/rencontres",Chantiers!$A$6:$A$805,0))</x:f>
        <x:v>À faire</x:v>
      </x:c>
      <x:c r="I29" s="207" t="str">
        <x:f>INDEX(Chantiers!$G$6:$G$805,MATCH($A29&amp;"/services",Chantiers!$A$6:$A$805,0))</x:f>
        <x:v>À faire</x:v>
      </x:c>
      <x:c r="J29" s="207" t="str">
        <x:f>INDEX(Chantiers!$G$6:$G$805,MATCH($A29&amp;"/art",Chantiers!$A$6:$A$805,0))</x:f>
        <x:v>À faire</x:v>
      </x:c>
      <x:c r="K29" s="207" t="str">
        <x:f>INDEX(Chantiers!$G$6:$G$805,MATCH($A29&amp;"/sauvegarde",Chantiers!$A$6:$A$805,0))</x:f>
        <x:v>En cours</x:v>
      </x:c>
      <x:c r="L29" s="207" t="str">
        <x:f>INDEX(Chantiers!$G$6:$G$805,MATCH($A29&amp;"/qa",Chantiers!$A$6:$A$805,0))</x:f>
        <x:v>En cours</x:v>
      </x:c>
      <x:c r="M29" s="207" t="n">
        <x:f>COUNTIF(C29:L29,"Validé")</x:f>
        <x:v>0</x:v>
      </x:c>
      <x:c r="N29" s="207" t="n">
        <x:f>COLUMNS(C29:L29)-M29</x:f>
        <x:v>10</x:v>
      </x:c>
    </x:row>
    <x:row r="30" ht="34" customHeight="1">
      <x:c r="A30" s="207" t="str">
        <x:v>EXT-MONDE-T025</x:v>
      </x:c>
      <x:c r="B30" s="208" t="str">
        <x:v>Exploitation céréalière</x:v>
      </x:c>
      <x:c r="C30" s="207" t="str">
        <x:f>INDEX(Chantiers!$G$6:$G$805,MATCH($A30&amp;"/dimensions",Chantiers!$A$6:$A$805,0))</x:f>
        <x:v>En cours</x:v>
      </x:c>
      <x:c r="D30" s="207" t="str">
        <x:f>INDEX(Chantiers!$G$6:$G$805,MATCH($A30&amp;"/architecture",Chantiers!$A$6:$A$805,0))</x:f>
        <x:v>En cours</x:v>
      </x:c>
      <x:c r="E30" s="207" t="str">
        <x:f>INDEX(Chantiers!$G$6:$G$805,MATCH($A30&amp;"/seed",Chantiers!$A$6:$A$805,0))</x:f>
        <x:v>À faire</x:v>
      </x:c>
      <x:c r="F30" s="207" t="str">
        <x:f>INDEX(Chantiers!$G$6:$G$805,MATCH($A30&amp;"/props",Chantiers!$A$6:$A$805,0))</x:f>
        <x:v>En cours</x:v>
      </x:c>
      <x:c r="G30" s="207" t="str">
        <x:f>INDEX(Chantiers!$G$6:$G$805,MATCH($A30&amp;"/loot",Chantiers!$A$6:$A$805,0))</x:f>
        <x:v>À faire</x:v>
      </x:c>
      <x:c r="H30" s="207" t="str">
        <x:f>INDEX(Chantiers!$G$6:$G$805,MATCH($A30&amp;"/rencontres",Chantiers!$A$6:$A$805,0))</x:f>
        <x:v>À faire</x:v>
      </x:c>
      <x:c r="I30" s="207" t="str">
        <x:f>INDEX(Chantiers!$G$6:$G$805,MATCH($A30&amp;"/services",Chantiers!$A$6:$A$805,0))</x:f>
        <x:v>À faire</x:v>
      </x:c>
      <x:c r="J30" s="207" t="str">
        <x:f>INDEX(Chantiers!$G$6:$G$805,MATCH($A30&amp;"/art",Chantiers!$A$6:$A$805,0))</x:f>
        <x:v>À faire</x:v>
      </x:c>
      <x:c r="K30" s="207" t="str">
        <x:f>INDEX(Chantiers!$G$6:$G$805,MATCH($A30&amp;"/sauvegarde",Chantiers!$A$6:$A$805,0))</x:f>
        <x:v>En cours</x:v>
      </x:c>
      <x:c r="L30" s="207" t="str">
        <x:f>INDEX(Chantiers!$G$6:$G$805,MATCH($A30&amp;"/qa",Chantiers!$A$6:$A$805,0))</x:f>
        <x:v>En cours</x:v>
      </x:c>
      <x:c r="M30" s="207" t="n">
        <x:f>COUNTIF(C30:L30,"Validé")</x:f>
        <x:v>0</x:v>
      </x:c>
      <x:c r="N30" s="207" t="n">
        <x:f>COLUMNS(C30:L30)-M30</x:f>
        <x:v>10</x:v>
      </x:c>
    </x:row>
    <x:row r="31" ht="34" customHeight="1">
      <x:c r="A31" s="207" t="str">
        <x:v>EXT-MONDE-T026</x:v>
      </x:c>
      <x:c r="B31" s="208" t="str">
        <x:v>Domaine viticole</x:v>
      </x:c>
      <x:c r="C31" s="207" t="str">
        <x:f>INDEX(Chantiers!$G$6:$G$805,MATCH($A31&amp;"/dimensions",Chantiers!$A$6:$A$805,0))</x:f>
        <x:v>En cours</x:v>
      </x:c>
      <x:c r="D31" s="207" t="str">
        <x:f>INDEX(Chantiers!$G$6:$G$805,MATCH($A31&amp;"/architecture",Chantiers!$A$6:$A$805,0))</x:f>
        <x:v>En cours</x:v>
      </x:c>
      <x:c r="E31" s="207" t="str">
        <x:f>INDEX(Chantiers!$G$6:$G$805,MATCH($A31&amp;"/seed",Chantiers!$A$6:$A$805,0))</x:f>
        <x:v>À faire</x:v>
      </x:c>
      <x:c r="F31" s="207" t="str">
        <x:f>INDEX(Chantiers!$G$6:$G$805,MATCH($A31&amp;"/props",Chantiers!$A$6:$A$805,0))</x:f>
        <x:v>En cours</x:v>
      </x:c>
      <x:c r="G31" s="207" t="str">
        <x:f>INDEX(Chantiers!$G$6:$G$805,MATCH($A31&amp;"/loot",Chantiers!$A$6:$A$805,0))</x:f>
        <x:v>À faire</x:v>
      </x:c>
      <x:c r="H31" s="207" t="str">
        <x:f>INDEX(Chantiers!$G$6:$G$805,MATCH($A31&amp;"/rencontres",Chantiers!$A$6:$A$805,0))</x:f>
        <x:v>À faire</x:v>
      </x:c>
      <x:c r="I31" s="207" t="str">
        <x:f>INDEX(Chantiers!$G$6:$G$805,MATCH($A31&amp;"/services",Chantiers!$A$6:$A$805,0))</x:f>
        <x:v>À faire</x:v>
      </x:c>
      <x:c r="J31" s="207" t="str">
        <x:f>INDEX(Chantiers!$G$6:$G$805,MATCH($A31&amp;"/art",Chantiers!$A$6:$A$805,0))</x:f>
        <x:v>À faire</x:v>
      </x:c>
      <x:c r="K31" s="207" t="str">
        <x:f>INDEX(Chantiers!$G$6:$G$805,MATCH($A31&amp;"/sauvegarde",Chantiers!$A$6:$A$805,0))</x:f>
        <x:v>En cours</x:v>
      </x:c>
      <x:c r="L31" s="207" t="str">
        <x:f>INDEX(Chantiers!$G$6:$G$805,MATCH($A31&amp;"/qa",Chantiers!$A$6:$A$805,0))</x:f>
        <x:v>En cours</x:v>
      </x:c>
      <x:c r="M31" s="207" t="n">
        <x:f>COUNTIF(C31:L31,"Validé")</x:f>
        <x:v>0</x:v>
      </x:c>
      <x:c r="N31" s="207" t="n">
        <x:f>COLUMNS(C31:L31)-M31</x:f>
        <x:v>10</x:v>
      </x:c>
    </x:row>
    <x:row r="32" ht="34" customHeight="1">
      <x:c r="A32" s="207" t="str">
        <x:v>EXT-MONDE-T027</x:v>
      </x:c>
      <x:c r="B32" s="208" t="str">
        <x:v>Ferme maraîchère</x:v>
      </x:c>
      <x:c r="C32" s="207" t="str">
        <x:f>INDEX(Chantiers!$G$6:$G$805,MATCH($A32&amp;"/dimensions",Chantiers!$A$6:$A$805,0))</x:f>
        <x:v>En cours</x:v>
      </x:c>
      <x:c r="D32" s="207" t="str">
        <x:f>INDEX(Chantiers!$G$6:$G$805,MATCH($A32&amp;"/architecture",Chantiers!$A$6:$A$805,0))</x:f>
        <x:v>En cours</x:v>
      </x:c>
      <x:c r="E32" s="207" t="str">
        <x:f>INDEX(Chantiers!$G$6:$G$805,MATCH($A32&amp;"/seed",Chantiers!$A$6:$A$805,0))</x:f>
        <x:v>À faire</x:v>
      </x:c>
      <x:c r="F32" s="207" t="str">
        <x:f>INDEX(Chantiers!$G$6:$G$805,MATCH($A32&amp;"/props",Chantiers!$A$6:$A$805,0))</x:f>
        <x:v>En cours</x:v>
      </x:c>
      <x:c r="G32" s="207" t="str">
        <x:f>INDEX(Chantiers!$G$6:$G$805,MATCH($A32&amp;"/loot",Chantiers!$A$6:$A$805,0))</x:f>
        <x:v>À faire</x:v>
      </x:c>
      <x:c r="H32" s="207" t="str">
        <x:f>INDEX(Chantiers!$G$6:$G$805,MATCH($A32&amp;"/rencontres",Chantiers!$A$6:$A$805,0))</x:f>
        <x:v>À faire</x:v>
      </x:c>
      <x:c r="I32" s="207" t="str">
        <x:f>INDEX(Chantiers!$G$6:$G$805,MATCH($A32&amp;"/services",Chantiers!$A$6:$A$805,0))</x:f>
        <x:v>À faire</x:v>
      </x:c>
      <x:c r="J32" s="207" t="str">
        <x:f>INDEX(Chantiers!$G$6:$G$805,MATCH($A32&amp;"/art",Chantiers!$A$6:$A$805,0))</x:f>
        <x:v>À faire</x:v>
      </x:c>
      <x:c r="K32" s="207" t="str">
        <x:f>INDEX(Chantiers!$G$6:$G$805,MATCH($A32&amp;"/sauvegarde",Chantiers!$A$6:$A$805,0))</x:f>
        <x:v>En cours</x:v>
      </x:c>
      <x:c r="L32" s="207" t="str">
        <x:f>INDEX(Chantiers!$G$6:$G$805,MATCH($A32&amp;"/qa",Chantiers!$A$6:$A$805,0))</x:f>
        <x:v>En cours</x:v>
      </x:c>
      <x:c r="M32" s="207" t="n">
        <x:f>COUNTIF(C32:L32,"Validé")</x:f>
        <x:v>0</x:v>
      </x:c>
      <x:c r="N32" s="207" t="n">
        <x:f>COLUMNS(C32:L32)-M32</x:f>
        <x:v>10</x:v>
      </x:c>
    </x:row>
    <x:row r="33" ht="34" customHeight="1">
      <x:c r="A33" s="207" t="str">
        <x:v>EXT-MONDE-T028</x:v>
      </x:c>
      <x:c r="B33" s="208" t="str">
        <x:v>Verger avec conditionnement</x:v>
      </x:c>
      <x:c r="C33" s="207" t="str">
        <x:f>INDEX(Chantiers!$G$6:$G$805,MATCH($A33&amp;"/dimensions",Chantiers!$A$6:$A$805,0))</x:f>
        <x:v>En cours</x:v>
      </x:c>
      <x:c r="D33" s="207" t="str">
        <x:f>INDEX(Chantiers!$G$6:$G$805,MATCH($A33&amp;"/architecture",Chantiers!$A$6:$A$805,0))</x:f>
        <x:v>En cours</x:v>
      </x:c>
      <x:c r="E33" s="207" t="str">
        <x:f>INDEX(Chantiers!$G$6:$G$805,MATCH($A33&amp;"/seed",Chantiers!$A$6:$A$805,0))</x:f>
        <x:v>À faire</x:v>
      </x:c>
      <x:c r="F33" s="207" t="str">
        <x:f>INDEX(Chantiers!$G$6:$G$805,MATCH($A33&amp;"/props",Chantiers!$A$6:$A$805,0))</x:f>
        <x:v>En cours</x:v>
      </x:c>
      <x:c r="G33" s="207" t="str">
        <x:f>INDEX(Chantiers!$G$6:$G$805,MATCH($A33&amp;"/loot",Chantiers!$A$6:$A$805,0))</x:f>
        <x:v>À faire</x:v>
      </x:c>
      <x:c r="H33" s="207" t="str">
        <x:f>INDEX(Chantiers!$G$6:$G$805,MATCH($A33&amp;"/rencontres",Chantiers!$A$6:$A$805,0))</x:f>
        <x:v>À faire</x:v>
      </x:c>
      <x:c r="I33" s="207" t="str">
        <x:f>INDEX(Chantiers!$G$6:$G$805,MATCH($A33&amp;"/services",Chantiers!$A$6:$A$805,0))</x:f>
        <x:v>À faire</x:v>
      </x:c>
      <x:c r="J33" s="207" t="str">
        <x:f>INDEX(Chantiers!$G$6:$G$805,MATCH($A33&amp;"/art",Chantiers!$A$6:$A$805,0))</x:f>
        <x:v>À faire</x:v>
      </x:c>
      <x:c r="K33" s="207" t="str">
        <x:f>INDEX(Chantiers!$G$6:$G$805,MATCH($A33&amp;"/sauvegarde",Chantiers!$A$6:$A$805,0))</x:f>
        <x:v>En cours</x:v>
      </x:c>
      <x:c r="L33" s="207" t="str">
        <x:f>INDEX(Chantiers!$G$6:$G$805,MATCH($A33&amp;"/qa",Chantiers!$A$6:$A$805,0))</x:f>
        <x:v>En cours</x:v>
      </x:c>
      <x:c r="M33" s="207" t="n">
        <x:f>COUNTIF(C33:L33,"Validé")</x:f>
        <x:v>0</x:v>
      </x:c>
      <x:c r="N33" s="207" t="n">
        <x:f>COLUMNS(C33:L33)-M33</x:f>
        <x:v>10</x:v>
      </x:c>
    </x:row>
    <x:row r="34" ht="34" customHeight="1">
      <x:c r="A34" s="207" t="str">
        <x:v>EXT-MONDE-T029</x:v>
      </x:c>
      <x:c r="B34" s="208" t="str">
        <x:v>Pont routier à poutres</x:v>
      </x:c>
      <x:c r="C34" s="207" t="str">
        <x:f>INDEX(Chantiers!$G$6:$G$805,MATCH($A34&amp;"/dimensions",Chantiers!$A$6:$A$805,0))</x:f>
        <x:v>En cours</x:v>
      </x:c>
      <x:c r="D34" s="207" t="str">
        <x:f>INDEX(Chantiers!$G$6:$G$805,MATCH($A34&amp;"/architecture",Chantiers!$A$6:$A$805,0))</x:f>
        <x:v>En cours</x:v>
      </x:c>
      <x:c r="E34" s="207" t="str">
        <x:f>INDEX(Chantiers!$G$6:$G$805,MATCH($A34&amp;"/seed",Chantiers!$A$6:$A$805,0))</x:f>
        <x:v>À faire</x:v>
      </x:c>
      <x:c r="F34" s="207" t="str">
        <x:f>INDEX(Chantiers!$G$6:$G$805,MATCH($A34&amp;"/props",Chantiers!$A$6:$A$805,0))</x:f>
        <x:v>En cours</x:v>
      </x:c>
      <x:c r="G34" s="207" t="str">
        <x:f>INDEX(Chantiers!$G$6:$G$805,MATCH($A34&amp;"/loot",Chantiers!$A$6:$A$805,0))</x:f>
        <x:v>À faire</x:v>
      </x:c>
      <x:c r="H34" s="207" t="str">
        <x:f>INDEX(Chantiers!$G$6:$G$805,MATCH($A34&amp;"/rencontres",Chantiers!$A$6:$A$805,0))</x:f>
        <x:v>À faire</x:v>
      </x:c>
      <x:c r="I34" s="207" t="str">
        <x:f>INDEX(Chantiers!$G$6:$G$805,MATCH($A34&amp;"/services",Chantiers!$A$6:$A$805,0))</x:f>
        <x:v>À faire</x:v>
      </x:c>
      <x:c r="J34" s="207" t="str">
        <x:f>INDEX(Chantiers!$G$6:$G$805,MATCH($A34&amp;"/art",Chantiers!$A$6:$A$805,0))</x:f>
        <x:v>À faire</x:v>
      </x:c>
      <x:c r="K34" s="207" t="str">
        <x:f>INDEX(Chantiers!$G$6:$G$805,MATCH($A34&amp;"/sauvegarde",Chantiers!$A$6:$A$805,0))</x:f>
        <x:v>En cours</x:v>
      </x:c>
      <x:c r="L34" s="207" t="str">
        <x:f>INDEX(Chantiers!$G$6:$G$805,MATCH($A34&amp;"/qa",Chantiers!$A$6:$A$805,0))</x:f>
        <x:v>En cours</x:v>
      </x:c>
      <x:c r="M34" s="207" t="n">
        <x:f>COUNTIF(C34:L34,"Validé")</x:f>
        <x:v>0</x:v>
      </x:c>
      <x:c r="N34" s="207" t="n">
        <x:f>COLUMNS(C34:L34)-M34</x:f>
        <x:v>10</x:v>
      </x:c>
    </x:row>
    <x:row r="35" ht="34" customHeight="1">
      <x:c r="A35" s="207" t="str">
        <x:v>EXT-MONDE-T030</x:v>
      </x:c>
      <x:c r="B35" s="208" t="str">
        <x:v>Pont à arches</x:v>
      </x:c>
      <x:c r="C35" s="207" t="str">
        <x:f>INDEX(Chantiers!$G$6:$G$805,MATCH($A35&amp;"/dimensions",Chantiers!$A$6:$A$805,0))</x:f>
        <x:v>En cours</x:v>
      </x:c>
      <x:c r="D35" s="207" t="str">
        <x:f>INDEX(Chantiers!$G$6:$G$805,MATCH($A35&amp;"/architecture",Chantiers!$A$6:$A$805,0))</x:f>
        <x:v>En cours</x:v>
      </x:c>
      <x:c r="E35" s="207" t="str">
        <x:f>INDEX(Chantiers!$G$6:$G$805,MATCH($A35&amp;"/seed",Chantiers!$A$6:$A$805,0))</x:f>
        <x:v>À faire</x:v>
      </x:c>
      <x:c r="F35" s="207" t="str">
        <x:f>INDEX(Chantiers!$G$6:$G$805,MATCH($A35&amp;"/props",Chantiers!$A$6:$A$805,0))</x:f>
        <x:v>En cours</x:v>
      </x:c>
      <x:c r="G35" s="207" t="str">
        <x:f>INDEX(Chantiers!$G$6:$G$805,MATCH($A35&amp;"/loot",Chantiers!$A$6:$A$805,0))</x:f>
        <x:v>À faire</x:v>
      </x:c>
      <x:c r="H35" s="207" t="str">
        <x:f>INDEX(Chantiers!$G$6:$G$805,MATCH($A35&amp;"/rencontres",Chantiers!$A$6:$A$805,0))</x:f>
        <x:v>À faire</x:v>
      </x:c>
      <x:c r="I35" s="207" t="str">
        <x:f>INDEX(Chantiers!$G$6:$G$805,MATCH($A35&amp;"/services",Chantiers!$A$6:$A$805,0))</x:f>
        <x:v>À faire</x:v>
      </x:c>
      <x:c r="J35" s="207" t="str">
        <x:f>INDEX(Chantiers!$G$6:$G$805,MATCH($A35&amp;"/art",Chantiers!$A$6:$A$805,0))</x:f>
        <x:v>À faire</x:v>
      </x:c>
      <x:c r="K35" s="207" t="str">
        <x:f>INDEX(Chantiers!$G$6:$G$805,MATCH($A35&amp;"/sauvegarde",Chantiers!$A$6:$A$805,0))</x:f>
        <x:v>En cours</x:v>
      </x:c>
      <x:c r="L35" s="207" t="str">
        <x:f>INDEX(Chantiers!$G$6:$G$805,MATCH($A35&amp;"/qa",Chantiers!$A$6:$A$805,0))</x:f>
        <x:v>En cours</x:v>
      </x:c>
      <x:c r="M35" s="207" t="n">
        <x:f>COUNTIF(C35:L35,"Validé")</x:f>
        <x:v>0</x:v>
      </x:c>
      <x:c r="N35" s="207" t="n">
        <x:f>COLUMNS(C35:L35)-M35</x:f>
        <x:v>10</x:v>
      </x:c>
    </x:row>
    <x:row r="36" ht="34" customHeight="1">
      <x:c r="A36" s="207" t="str">
        <x:v>EXT-MONDE-T031</x:v>
      </x:c>
      <x:c r="B36" s="208" t="str">
        <x:v>Pont levant portuaire</x:v>
      </x:c>
      <x:c r="C36" s="207" t="str">
        <x:f>INDEX(Chantiers!$G$6:$G$805,MATCH($A36&amp;"/dimensions",Chantiers!$A$6:$A$805,0))</x:f>
        <x:v>En cours</x:v>
      </x:c>
      <x:c r="D36" s="207" t="str">
        <x:f>INDEX(Chantiers!$G$6:$G$805,MATCH($A36&amp;"/architecture",Chantiers!$A$6:$A$805,0))</x:f>
        <x:v>En cours</x:v>
      </x:c>
      <x:c r="E36" s="207" t="str">
        <x:f>INDEX(Chantiers!$G$6:$G$805,MATCH($A36&amp;"/seed",Chantiers!$A$6:$A$805,0))</x:f>
        <x:v>À faire</x:v>
      </x:c>
      <x:c r="F36" s="207" t="str">
        <x:f>INDEX(Chantiers!$G$6:$G$805,MATCH($A36&amp;"/props",Chantiers!$A$6:$A$805,0))</x:f>
        <x:v>En cours</x:v>
      </x:c>
      <x:c r="G36" s="207" t="str">
        <x:f>INDEX(Chantiers!$G$6:$G$805,MATCH($A36&amp;"/loot",Chantiers!$A$6:$A$805,0))</x:f>
        <x:v>À faire</x:v>
      </x:c>
      <x:c r="H36" s="207" t="str">
        <x:f>INDEX(Chantiers!$G$6:$G$805,MATCH($A36&amp;"/rencontres",Chantiers!$A$6:$A$805,0))</x:f>
        <x:v>À faire</x:v>
      </x:c>
      <x:c r="I36" s="207" t="str">
        <x:f>INDEX(Chantiers!$G$6:$G$805,MATCH($A36&amp;"/services",Chantiers!$A$6:$A$805,0))</x:f>
        <x:v>À faire</x:v>
      </x:c>
      <x:c r="J36" s="207" t="str">
        <x:f>INDEX(Chantiers!$G$6:$G$805,MATCH($A36&amp;"/art",Chantiers!$A$6:$A$805,0))</x:f>
        <x:v>À faire</x:v>
      </x:c>
      <x:c r="K36" s="207" t="str">
        <x:f>INDEX(Chantiers!$G$6:$G$805,MATCH($A36&amp;"/sauvegarde",Chantiers!$A$6:$A$805,0))</x:f>
        <x:v>En cours</x:v>
      </x:c>
      <x:c r="L36" s="207" t="str">
        <x:f>INDEX(Chantiers!$G$6:$G$805,MATCH($A36&amp;"/qa",Chantiers!$A$6:$A$805,0))</x:f>
        <x:v>En cours</x:v>
      </x:c>
      <x:c r="M36" s="207" t="n">
        <x:f>COUNTIF(C36:L36,"Validé")</x:f>
        <x:v>0</x:v>
      </x:c>
      <x:c r="N36" s="207" t="n">
        <x:f>COLUMNS(C36:L36)-M36</x:f>
        <x:v>10</x:v>
      </x:c>
    </x:row>
    <x:row r="37" ht="34" customHeight="1">
      <x:c r="A37" s="207" t="str">
        <x:v>EXT-MONDE-T032</x:v>
      </x:c>
      <x:c r="B37" s="208" t="str">
        <x:v>Viaduc ferroviaire</x:v>
      </x:c>
      <x:c r="C37" s="207" t="str">
        <x:f>INDEX(Chantiers!$G$6:$G$805,MATCH($A37&amp;"/dimensions",Chantiers!$A$6:$A$805,0))</x:f>
        <x:v>En cours</x:v>
      </x:c>
      <x:c r="D37" s="207" t="str">
        <x:f>INDEX(Chantiers!$G$6:$G$805,MATCH($A37&amp;"/architecture",Chantiers!$A$6:$A$805,0))</x:f>
        <x:v>En cours</x:v>
      </x:c>
      <x:c r="E37" s="207" t="str">
        <x:f>INDEX(Chantiers!$G$6:$G$805,MATCH($A37&amp;"/seed",Chantiers!$A$6:$A$805,0))</x:f>
        <x:v>À faire</x:v>
      </x:c>
      <x:c r="F37" s="207" t="str">
        <x:f>INDEX(Chantiers!$G$6:$G$805,MATCH($A37&amp;"/props",Chantiers!$A$6:$A$805,0))</x:f>
        <x:v>En cours</x:v>
      </x:c>
      <x:c r="G37" s="207" t="str">
        <x:f>INDEX(Chantiers!$G$6:$G$805,MATCH($A37&amp;"/loot",Chantiers!$A$6:$A$805,0))</x:f>
        <x:v>À faire</x:v>
      </x:c>
      <x:c r="H37" s="207" t="str">
        <x:f>INDEX(Chantiers!$G$6:$G$805,MATCH($A37&amp;"/rencontres",Chantiers!$A$6:$A$805,0))</x:f>
        <x:v>À faire</x:v>
      </x:c>
      <x:c r="I37" s="207" t="str">
        <x:f>INDEX(Chantiers!$G$6:$G$805,MATCH($A37&amp;"/services",Chantiers!$A$6:$A$805,0))</x:f>
        <x:v>À faire</x:v>
      </x:c>
      <x:c r="J37" s="207" t="str">
        <x:f>INDEX(Chantiers!$G$6:$G$805,MATCH($A37&amp;"/art",Chantiers!$A$6:$A$805,0))</x:f>
        <x:v>À faire</x:v>
      </x:c>
      <x:c r="K37" s="207" t="str">
        <x:f>INDEX(Chantiers!$G$6:$G$805,MATCH($A37&amp;"/sauvegarde",Chantiers!$A$6:$A$805,0))</x:f>
        <x:v>En cours</x:v>
      </x:c>
      <x:c r="L37" s="207" t="str">
        <x:f>INDEX(Chantiers!$G$6:$G$805,MATCH($A37&amp;"/qa",Chantiers!$A$6:$A$805,0))</x:f>
        <x:v>En cours</x:v>
      </x:c>
      <x:c r="M37" s="207" t="n">
        <x:f>COUNTIF(C37:L37,"Validé")</x:f>
        <x:v>0</x:v>
      </x:c>
      <x:c r="N37" s="207" t="n">
        <x:f>COLUMNS(C37:L37)-M37</x:f>
        <x:v>10</x:v>
      </x:c>
    </x:row>
    <x:row r="38" ht="34" customHeight="1">
      <x:c r="A38" s="207" t="str">
        <x:v>EXT-MONDE-T033</x:v>
      </x:c>
      <x:c r="B38" s="208" t="str">
        <x:v>Échangeur en losange</x:v>
      </x:c>
      <x:c r="C38" s="207" t="str">
        <x:f>INDEX(Chantiers!$G$6:$G$805,MATCH($A38&amp;"/dimensions",Chantiers!$A$6:$A$805,0))</x:f>
        <x:v>En cours</x:v>
      </x:c>
      <x:c r="D38" s="207" t="str">
        <x:f>INDEX(Chantiers!$G$6:$G$805,MATCH($A38&amp;"/architecture",Chantiers!$A$6:$A$805,0))</x:f>
        <x:v>En cours</x:v>
      </x:c>
      <x:c r="E38" s="207" t="str">
        <x:f>INDEX(Chantiers!$G$6:$G$805,MATCH($A38&amp;"/seed",Chantiers!$A$6:$A$805,0))</x:f>
        <x:v>À faire</x:v>
      </x:c>
      <x:c r="F38" s="207" t="str">
        <x:f>INDEX(Chantiers!$G$6:$G$805,MATCH($A38&amp;"/props",Chantiers!$A$6:$A$805,0))</x:f>
        <x:v>En cours</x:v>
      </x:c>
      <x:c r="G38" s="207" t="str">
        <x:f>INDEX(Chantiers!$G$6:$G$805,MATCH($A38&amp;"/loot",Chantiers!$A$6:$A$805,0))</x:f>
        <x:v>À faire</x:v>
      </x:c>
      <x:c r="H38" s="207" t="str">
        <x:f>INDEX(Chantiers!$G$6:$G$805,MATCH($A38&amp;"/rencontres",Chantiers!$A$6:$A$805,0))</x:f>
        <x:v>À faire</x:v>
      </x:c>
      <x:c r="I38" s="207" t="str">
        <x:f>INDEX(Chantiers!$G$6:$G$805,MATCH($A38&amp;"/services",Chantiers!$A$6:$A$805,0))</x:f>
        <x:v>À faire</x:v>
      </x:c>
      <x:c r="J38" s="207" t="str">
        <x:f>INDEX(Chantiers!$G$6:$G$805,MATCH($A38&amp;"/art",Chantiers!$A$6:$A$805,0))</x:f>
        <x:v>À faire</x:v>
      </x:c>
      <x:c r="K38" s="207" t="str">
        <x:f>INDEX(Chantiers!$G$6:$G$805,MATCH($A38&amp;"/sauvegarde",Chantiers!$A$6:$A$805,0))</x:f>
        <x:v>En cours</x:v>
      </x:c>
      <x:c r="L38" s="207" t="str">
        <x:f>INDEX(Chantiers!$G$6:$G$805,MATCH($A38&amp;"/qa",Chantiers!$A$6:$A$805,0))</x:f>
        <x:v>En cours</x:v>
      </x:c>
      <x:c r="M38" s="207" t="n">
        <x:f>COUNTIF(C38:L38,"Validé")</x:f>
        <x:v>0</x:v>
      </x:c>
      <x:c r="N38" s="207" t="n">
        <x:f>COLUMNS(C38:L38)-M38</x:f>
        <x:v>10</x:v>
      </x:c>
    </x:row>
    <x:row r="39" ht="34" customHeight="1">
      <x:c r="A39" s="207" t="str">
        <x:v>EXT-MONDE-T034</x:v>
      </x:c>
      <x:c r="B39" s="208" t="str">
        <x:v>Échangeur en trompette</x:v>
      </x:c>
      <x:c r="C39" s="207" t="str">
        <x:f>INDEX(Chantiers!$G$6:$G$805,MATCH($A39&amp;"/dimensions",Chantiers!$A$6:$A$805,0))</x:f>
        <x:v>En cours</x:v>
      </x:c>
      <x:c r="D39" s="207" t="str">
        <x:f>INDEX(Chantiers!$G$6:$G$805,MATCH($A39&amp;"/architecture",Chantiers!$A$6:$A$805,0))</x:f>
        <x:v>En cours</x:v>
      </x:c>
      <x:c r="E39" s="207" t="str">
        <x:f>INDEX(Chantiers!$G$6:$G$805,MATCH($A39&amp;"/seed",Chantiers!$A$6:$A$805,0))</x:f>
        <x:v>À faire</x:v>
      </x:c>
      <x:c r="F39" s="207" t="str">
        <x:f>INDEX(Chantiers!$G$6:$G$805,MATCH($A39&amp;"/props",Chantiers!$A$6:$A$805,0))</x:f>
        <x:v>En cours</x:v>
      </x:c>
      <x:c r="G39" s="207" t="str">
        <x:f>INDEX(Chantiers!$G$6:$G$805,MATCH($A39&amp;"/loot",Chantiers!$A$6:$A$805,0))</x:f>
        <x:v>À faire</x:v>
      </x:c>
      <x:c r="H39" s="207" t="str">
        <x:f>INDEX(Chantiers!$G$6:$G$805,MATCH($A39&amp;"/rencontres",Chantiers!$A$6:$A$805,0))</x:f>
        <x:v>À faire</x:v>
      </x:c>
      <x:c r="I39" s="207" t="str">
        <x:f>INDEX(Chantiers!$G$6:$G$805,MATCH($A39&amp;"/services",Chantiers!$A$6:$A$805,0))</x:f>
        <x:v>À faire</x:v>
      </x:c>
      <x:c r="J39" s="207" t="str">
        <x:f>INDEX(Chantiers!$G$6:$G$805,MATCH($A39&amp;"/art",Chantiers!$A$6:$A$805,0))</x:f>
        <x:v>À faire</x:v>
      </x:c>
      <x:c r="K39" s="207" t="str">
        <x:f>INDEX(Chantiers!$G$6:$G$805,MATCH($A39&amp;"/sauvegarde",Chantiers!$A$6:$A$805,0))</x:f>
        <x:v>En cours</x:v>
      </x:c>
      <x:c r="L39" s="207" t="str">
        <x:f>INDEX(Chantiers!$G$6:$G$805,MATCH($A39&amp;"/qa",Chantiers!$A$6:$A$805,0))</x:f>
        <x:v>En cours</x:v>
      </x:c>
      <x:c r="M39" s="207" t="n">
        <x:f>COUNTIF(C39:L39,"Validé")</x:f>
        <x:v>0</x:v>
      </x:c>
      <x:c r="N39" s="207" t="n">
        <x:f>COLUMNS(C39:L39)-M39</x:f>
        <x:v>10</x:v>
      </x:c>
    </x:row>
    <x:row r="40" ht="34" customHeight="1">
      <x:c r="A40" s="207" t="str">
        <x:v>EXT-MONDE-T035</x:v>
      </x:c>
      <x:c r="B40" s="208" t="str">
        <x:v>Trèfle autoroutier</x:v>
      </x:c>
      <x:c r="C40" s="207" t="str">
        <x:f>INDEX(Chantiers!$G$6:$G$805,MATCH($A40&amp;"/dimensions",Chantiers!$A$6:$A$805,0))</x:f>
        <x:v>En cours</x:v>
      </x:c>
      <x:c r="D40" s="207" t="str">
        <x:f>INDEX(Chantiers!$G$6:$G$805,MATCH($A40&amp;"/architecture",Chantiers!$A$6:$A$805,0))</x:f>
        <x:v>En cours</x:v>
      </x:c>
      <x:c r="E40" s="207" t="str">
        <x:f>INDEX(Chantiers!$G$6:$G$805,MATCH($A40&amp;"/seed",Chantiers!$A$6:$A$805,0))</x:f>
        <x:v>À faire</x:v>
      </x:c>
      <x:c r="F40" s="207" t="str">
        <x:f>INDEX(Chantiers!$G$6:$G$805,MATCH($A40&amp;"/props",Chantiers!$A$6:$A$805,0))</x:f>
        <x:v>En cours</x:v>
      </x:c>
      <x:c r="G40" s="207" t="str">
        <x:f>INDEX(Chantiers!$G$6:$G$805,MATCH($A40&amp;"/loot",Chantiers!$A$6:$A$805,0))</x:f>
        <x:v>À faire</x:v>
      </x:c>
      <x:c r="H40" s="207" t="str">
        <x:f>INDEX(Chantiers!$G$6:$G$805,MATCH($A40&amp;"/rencontres",Chantiers!$A$6:$A$805,0))</x:f>
        <x:v>À faire</x:v>
      </x:c>
      <x:c r="I40" s="207" t="str">
        <x:f>INDEX(Chantiers!$G$6:$G$805,MATCH($A40&amp;"/services",Chantiers!$A$6:$A$805,0))</x:f>
        <x:v>À faire</x:v>
      </x:c>
      <x:c r="J40" s="207" t="str">
        <x:f>INDEX(Chantiers!$G$6:$G$805,MATCH($A40&amp;"/art",Chantiers!$A$6:$A$805,0))</x:f>
        <x:v>À faire</x:v>
      </x:c>
      <x:c r="K40" s="207" t="str">
        <x:f>INDEX(Chantiers!$G$6:$G$805,MATCH($A40&amp;"/sauvegarde",Chantiers!$A$6:$A$805,0))</x:f>
        <x:v>En cours</x:v>
      </x:c>
      <x:c r="L40" s="207" t="str">
        <x:f>INDEX(Chantiers!$G$6:$G$805,MATCH($A40&amp;"/qa",Chantiers!$A$6:$A$805,0))</x:f>
        <x:v>En cours</x:v>
      </x:c>
      <x:c r="M40" s="207" t="n">
        <x:f>COUNTIF(C40:L40,"Validé")</x:f>
        <x:v>0</x:v>
      </x:c>
      <x:c r="N40" s="207" t="n">
        <x:f>COLUMNS(C40:L40)-M40</x:f>
        <x:v>10</x:v>
      </x:c>
    </x:row>
    <x:row r="41" ht="34" customHeight="1">
      <x:c r="A41" s="207" t="str">
        <x:v>EXT-MONDE-T036</x:v>
      </x:c>
      <x:c r="B41" s="208" t="str">
        <x:v>Échangeur directionnel</x:v>
      </x:c>
      <x:c r="C41" s="207" t="str">
        <x:f>INDEX(Chantiers!$G$6:$G$805,MATCH($A41&amp;"/dimensions",Chantiers!$A$6:$A$805,0))</x:f>
        <x:v>En cours</x:v>
      </x:c>
      <x:c r="D41" s="207" t="str">
        <x:f>INDEX(Chantiers!$G$6:$G$805,MATCH($A41&amp;"/architecture",Chantiers!$A$6:$A$805,0))</x:f>
        <x:v>En cours</x:v>
      </x:c>
      <x:c r="E41" s="207" t="str">
        <x:f>INDEX(Chantiers!$G$6:$G$805,MATCH($A41&amp;"/seed",Chantiers!$A$6:$A$805,0))</x:f>
        <x:v>À faire</x:v>
      </x:c>
      <x:c r="F41" s="207" t="str">
        <x:f>INDEX(Chantiers!$G$6:$G$805,MATCH($A41&amp;"/props",Chantiers!$A$6:$A$805,0))</x:f>
        <x:v>En cours</x:v>
      </x:c>
      <x:c r="G41" s="207" t="str">
        <x:f>INDEX(Chantiers!$G$6:$G$805,MATCH($A41&amp;"/loot",Chantiers!$A$6:$A$805,0))</x:f>
        <x:v>À faire</x:v>
      </x:c>
      <x:c r="H41" s="207" t="str">
        <x:f>INDEX(Chantiers!$G$6:$G$805,MATCH($A41&amp;"/rencontres",Chantiers!$A$6:$A$805,0))</x:f>
        <x:v>À faire</x:v>
      </x:c>
      <x:c r="I41" s="207" t="str">
        <x:f>INDEX(Chantiers!$G$6:$G$805,MATCH($A41&amp;"/services",Chantiers!$A$6:$A$805,0))</x:f>
        <x:v>À faire</x:v>
      </x:c>
      <x:c r="J41" s="207" t="str">
        <x:f>INDEX(Chantiers!$G$6:$G$805,MATCH($A41&amp;"/art",Chantiers!$A$6:$A$805,0))</x:f>
        <x:v>À faire</x:v>
      </x:c>
      <x:c r="K41" s="207" t="str">
        <x:f>INDEX(Chantiers!$G$6:$G$805,MATCH($A41&amp;"/sauvegarde",Chantiers!$A$6:$A$805,0))</x:f>
        <x:v>En cours</x:v>
      </x:c>
      <x:c r="L41" s="207" t="str">
        <x:f>INDEX(Chantiers!$G$6:$G$805,MATCH($A41&amp;"/qa",Chantiers!$A$6:$A$805,0))</x:f>
        <x:v>En cours</x:v>
      </x:c>
      <x:c r="M41" s="207" t="n">
        <x:f>COUNTIF(C41:L41,"Validé")</x:f>
        <x:v>0</x:v>
      </x:c>
      <x:c r="N41" s="207" t="n">
        <x:f>COLUMNS(C41:L41)-M41</x:f>
        <x:v>10</x:v>
      </x:c>
    </x:row>
    <x:row r="42" ht="34" customHeight="1">
      <x:c r="A42" s="207" t="str">
        <x:v>EXT-MONDE-T037</x:v>
      </x:c>
      <x:c r="B42" s="208" t="str">
        <x:v>Collecteur urbain</x:v>
      </x:c>
      <x:c r="C42" s="207" t="str">
        <x:f>INDEX(Chantiers!$G$6:$G$805,MATCH($A42&amp;"/dimensions",Chantiers!$A$6:$A$805,0))</x:f>
        <x:v>En cours</x:v>
      </x:c>
      <x:c r="D42" s="207" t="str">
        <x:f>INDEX(Chantiers!$G$6:$G$805,MATCH($A42&amp;"/architecture",Chantiers!$A$6:$A$805,0))</x:f>
        <x:v>En cours</x:v>
      </x:c>
      <x:c r="E42" s="207" t="str">
        <x:f>INDEX(Chantiers!$G$6:$G$805,MATCH($A42&amp;"/seed",Chantiers!$A$6:$A$805,0))</x:f>
        <x:v>À faire</x:v>
      </x:c>
      <x:c r="F42" s="207" t="str">
        <x:f>INDEX(Chantiers!$G$6:$G$805,MATCH($A42&amp;"/props",Chantiers!$A$6:$A$805,0))</x:f>
        <x:v>En cours</x:v>
      </x:c>
      <x:c r="G42" s="207" t="str">
        <x:f>INDEX(Chantiers!$G$6:$G$805,MATCH($A42&amp;"/loot",Chantiers!$A$6:$A$805,0))</x:f>
        <x:v>À faire</x:v>
      </x:c>
      <x:c r="H42" s="207" t="str">
        <x:f>INDEX(Chantiers!$G$6:$G$805,MATCH($A42&amp;"/rencontres",Chantiers!$A$6:$A$805,0))</x:f>
        <x:v>À faire</x:v>
      </x:c>
      <x:c r="I42" s="207" t="str">
        <x:f>INDEX(Chantiers!$G$6:$G$805,MATCH($A42&amp;"/services",Chantiers!$A$6:$A$805,0))</x:f>
        <x:v>À faire</x:v>
      </x:c>
      <x:c r="J42" s="207" t="str">
        <x:f>INDEX(Chantiers!$G$6:$G$805,MATCH($A42&amp;"/art",Chantiers!$A$6:$A$805,0))</x:f>
        <x:v>À faire</x:v>
      </x:c>
      <x:c r="K42" s="207" t="str">
        <x:f>INDEX(Chantiers!$G$6:$G$805,MATCH($A42&amp;"/sauvegarde",Chantiers!$A$6:$A$805,0))</x:f>
        <x:v>En cours</x:v>
      </x:c>
      <x:c r="L42" s="207" t="str">
        <x:f>INDEX(Chantiers!$G$6:$G$805,MATCH($A42&amp;"/qa",Chantiers!$A$6:$A$805,0))</x:f>
        <x:v>En cours</x:v>
      </x:c>
      <x:c r="M42" s="207" t="n">
        <x:f>COUNTIF(C42:L42,"Validé")</x:f>
        <x:v>0</x:v>
      </x:c>
      <x:c r="N42" s="207" t="n">
        <x:f>COLUMNS(C42:L42)-M42</x:f>
        <x:v>10</x:v>
      </x:c>
    </x:row>
    <x:row r="43" ht="34" customHeight="1">
      <x:c r="A43" s="207" t="str">
        <x:v>EXT-MONDE-T038</x:v>
      </x:c>
      <x:c r="B43" s="208" t="str">
        <x:v>Réseau unitaire ancien</x:v>
      </x:c>
      <x:c r="C43" s="207" t="str">
        <x:f>INDEX(Chantiers!$G$6:$G$805,MATCH($A43&amp;"/dimensions",Chantiers!$A$6:$A$805,0))</x:f>
        <x:v>En cours</x:v>
      </x:c>
      <x:c r="D43" s="207" t="str">
        <x:f>INDEX(Chantiers!$G$6:$G$805,MATCH($A43&amp;"/architecture",Chantiers!$A$6:$A$805,0))</x:f>
        <x:v>En cours</x:v>
      </x:c>
      <x:c r="E43" s="207" t="str">
        <x:f>INDEX(Chantiers!$G$6:$G$805,MATCH($A43&amp;"/seed",Chantiers!$A$6:$A$805,0))</x:f>
        <x:v>À faire</x:v>
      </x:c>
      <x:c r="F43" s="207" t="str">
        <x:f>INDEX(Chantiers!$G$6:$G$805,MATCH($A43&amp;"/props",Chantiers!$A$6:$A$805,0))</x:f>
        <x:v>En cours</x:v>
      </x:c>
      <x:c r="G43" s="207" t="str">
        <x:f>INDEX(Chantiers!$G$6:$G$805,MATCH($A43&amp;"/loot",Chantiers!$A$6:$A$805,0))</x:f>
        <x:v>À faire</x:v>
      </x:c>
      <x:c r="H43" s="207" t="str">
        <x:f>INDEX(Chantiers!$G$6:$G$805,MATCH($A43&amp;"/rencontres",Chantiers!$A$6:$A$805,0))</x:f>
        <x:v>À faire</x:v>
      </x:c>
      <x:c r="I43" s="207" t="str">
        <x:f>INDEX(Chantiers!$G$6:$G$805,MATCH($A43&amp;"/services",Chantiers!$A$6:$A$805,0))</x:f>
        <x:v>À faire</x:v>
      </x:c>
      <x:c r="J43" s="207" t="str">
        <x:f>INDEX(Chantiers!$G$6:$G$805,MATCH($A43&amp;"/art",Chantiers!$A$6:$A$805,0))</x:f>
        <x:v>À faire</x:v>
      </x:c>
      <x:c r="K43" s="207" t="str">
        <x:f>INDEX(Chantiers!$G$6:$G$805,MATCH($A43&amp;"/sauvegarde",Chantiers!$A$6:$A$805,0))</x:f>
        <x:v>En cours</x:v>
      </x:c>
      <x:c r="L43" s="207" t="str">
        <x:f>INDEX(Chantiers!$G$6:$G$805,MATCH($A43&amp;"/qa",Chantiers!$A$6:$A$805,0))</x:f>
        <x:v>En cours</x:v>
      </x:c>
      <x:c r="M43" s="207" t="n">
        <x:f>COUNTIF(C43:L43,"Validé")</x:f>
        <x:v>0</x:v>
      </x:c>
      <x:c r="N43" s="207" t="n">
        <x:f>COLUMNS(C43:L43)-M43</x:f>
        <x:v>10</x:v>
      </x:c>
    </x:row>
    <x:row r="44" ht="34" customHeight="1">
      <x:c r="A44" s="207" t="str">
        <x:v>EXT-MONDE-T039</x:v>
      </x:c>
      <x:c r="B44" s="208" t="str">
        <x:v>Galerie pluviale</x:v>
      </x:c>
      <x:c r="C44" s="207" t="str">
        <x:f>INDEX(Chantiers!$G$6:$G$805,MATCH($A44&amp;"/dimensions",Chantiers!$A$6:$A$805,0))</x:f>
        <x:v>En cours</x:v>
      </x:c>
      <x:c r="D44" s="207" t="str">
        <x:f>INDEX(Chantiers!$G$6:$G$805,MATCH($A44&amp;"/architecture",Chantiers!$A$6:$A$805,0))</x:f>
        <x:v>En cours</x:v>
      </x:c>
      <x:c r="E44" s="207" t="str">
        <x:f>INDEX(Chantiers!$G$6:$G$805,MATCH($A44&amp;"/seed",Chantiers!$A$6:$A$805,0))</x:f>
        <x:v>À faire</x:v>
      </x:c>
      <x:c r="F44" s="207" t="str">
        <x:f>INDEX(Chantiers!$G$6:$G$805,MATCH($A44&amp;"/props",Chantiers!$A$6:$A$805,0))</x:f>
        <x:v>En cours</x:v>
      </x:c>
      <x:c r="G44" s="207" t="str">
        <x:f>INDEX(Chantiers!$G$6:$G$805,MATCH($A44&amp;"/loot",Chantiers!$A$6:$A$805,0))</x:f>
        <x:v>À faire</x:v>
      </x:c>
      <x:c r="H44" s="207" t="str">
        <x:f>INDEX(Chantiers!$G$6:$G$805,MATCH($A44&amp;"/rencontres",Chantiers!$A$6:$A$805,0))</x:f>
        <x:v>À faire</x:v>
      </x:c>
      <x:c r="I44" s="207" t="str">
        <x:f>INDEX(Chantiers!$G$6:$G$805,MATCH($A44&amp;"/services",Chantiers!$A$6:$A$805,0))</x:f>
        <x:v>À faire</x:v>
      </x:c>
      <x:c r="J44" s="207" t="str">
        <x:f>INDEX(Chantiers!$G$6:$G$805,MATCH($A44&amp;"/art",Chantiers!$A$6:$A$805,0))</x:f>
        <x:v>À faire</x:v>
      </x:c>
      <x:c r="K44" s="207" t="str">
        <x:f>INDEX(Chantiers!$G$6:$G$805,MATCH($A44&amp;"/sauvegarde",Chantiers!$A$6:$A$805,0))</x:f>
        <x:v>En cours</x:v>
      </x:c>
      <x:c r="L44" s="207" t="str">
        <x:f>INDEX(Chantiers!$G$6:$G$805,MATCH($A44&amp;"/qa",Chantiers!$A$6:$A$805,0))</x:f>
        <x:v>En cours</x:v>
      </x:c>
      <x:c r="M44" s="207" t="n">
        <x:f>COUNTIF(C44:L44,"Validé")</x:f>
        <x:v>0</x:v>
      </x:c>
      <x:c r="N44" s="207" t="n">
        <x:f>COLUMNS(C44:L44)-M44</x:f>
        <x:v>10</x:v>
      </x:c>
    </x:row>
    <x:row r="45" ht="34" customHeight="1">
      <x:c r="A45" s="207" t="str">
        <x:v>EXT-MONDE-T040</x:v>
      </x:c>
      <x:c r="B45" s="208" t="str">
        <x:v>Station souterraine de relevage</x:v>
      </x:c>
      <x:c r="C45" s="207" t="str">
        <x:f>INDEX(Chantiers!$G$6:$G$805,MATCH($A45&amp;"/dimensions",Chantiers!$A$6:$A$805,0))</x:f>
        <x:v>En cours</x:v>
      </x:c>
      <x:c r="D45" s="207" t="str">
        <x:f>INDEX(Chantiers!$G$6:$G$805,MATCH($A45&amp;"/architecture",Chantiers!$A$6:$A$805,0))</x:f>
        <x:v>En cours</x:v>
      </x:c>
      <x:c r="E45" s="207" t="str">
        <x:f>INDEX(Chantiers!$G$6:$G$805,MATCH($A45&amp;"/seed",Chantiers!$A$6:$A$805,0))</x:f>
        <x:v>À faire</x:v>
      </x:c>
      <x:c r="F45" s="207" t="str">
        <x:f>INDEX(Chantiers!$G$6:$G$805,MATCH($A45&amp;"/props",Chantiers!$A$6:$A$805,0))</x:f>
        <x:v>En cours</x:v>
      </x:c>
      <x:c r="G45" s="207" t="str">
        <x:f>INDEX(Chantiers!$G$6:$G$805,MATCH($A45&amp;"/loot",Chantiers!$A$6:$A$805,0))</x:f>
        <x:v>À faire</x:v>
      </x:c>
      <x:c r="H45" s="207" t="str">
        <x:f>INDEX(Chantiers!$G$6:$G$805,MATCH($A45&amp;"/rencontres",Chantiers!$A$6:$A$805,0))</x:f>
        <x:v>À faire</x:v>
      </x:c>
      <x:c r="I45" s="207" t="str">
        <x:f>INDEX(Chantiers!$G$6:$G$805,MATCH($A45&amp;"/services",Chantiers!$A$6:$A$805,0))</x:f>
        <x:v>À faire</x:v>
      </x:c>
      <x:c r="J45" s="207" t="str">
        <x:f>INDEX(Chantiers!$G$6:$G$805,MATCH($A45&amp;"/art",Chantiers!$A$6:$A$805,0))</x:f>
        <x:v>À faire</x:v>
      </x:c>
      <x:c r="K45" s="207" t="str">
        <x:f>INDEX(Chantiers!$G$6:$G$805,MATCH($A45&amp;"/sauvegarde",Chantiers!$A$6:$A$805,0))</x:f>
        <x:v>En cours</x:v>
      </x:c>
      <x:c r="L45" s="207" t="str">
        <x:f>INDEX(Chantiers!$G$6:$G$805,MATCH($A45&amp;"/qa",Chantiers!$A$6:$A$805,0))</x:f>
        <x:v>En cours</x:v>
      </x:c>
      <x:c r="M45" s="207" t="n">
        <x:f>COUNTIF(C45:L45,"Validé")</x:f>
        <x:v>0</x:v>
      </x:c>
      <x:c r="N45" s="207" t="n">
        <x:f>COLUMNS(C45:L45)-M45</x:f>
        <x:v>10</x:v>
      </x:c>
    </x:row>
    <x:row r="46" ht="34" customHeight="1">
      <x:c r="A46" s="207" t="str">
        <x:v>EXT-MONDE-T041</x:v>
      </x:c>
      <x:c r="B46" s="208" t="str">
        <x:v>Barre HLM</x:v>
      </x:c>
      <x:c r="C46" s="207" t="str">
        <x:f>INDEX(Chantiers!$G$6:$G$805,MATCH($A46&amp;"/dimensions",Chantiers!$A$6:$A$805,0))</x:f>
        <x:v>En cours</x:v>
      </x:c>
      <x:c r="D46" s="207" t="str">
        <x:f>INDEX(Chantiers!$G$6:$G$805,MATCH($A46&amp;"/architecture",Chantiers!$A$6:$A$805,0))</x:f>
        <x:v>En cours</x:v>
      </x:c>
      <x:c r="E46" s="207" t="str">
        <x:f>INDEX(Chantiers!$G$6:$G$805,MATCH($A46&amp;"/seed",Chantiers!$A$6:$A$805,0))</x:f>
        <x:v>À faire</x:v>
      </x:c>
      <x:c r="F46" s="207" t="str">
        <x:f>INDEX(Chantiers!$G$6:$G$805,MATCH($A46&amp;"/props",Chantiers!$A$6:$A$805,0))</x:f>
        <x:v>En cours</x:v>
      </x:c>
      <x:c r="G46" s="207" t="str">
        <x:f>INDEX(Chantiers!$G$6:$G$805,MATCH($A46&amp;"/loot",Chantiers!$A$6:$A$805,0))</x:f>
        <x:v>À faire</x:v>
      </x:c>
      <x:c r="H46" s="207" t="str">
        <x:f>INDEX(Chantiers!$G$6:$G$805,MATCH($A46&amp;"/rencontres",Chantiers!$A$6:$A$805,0))</x:f>
        <x:v>À faire</x:v>
      </x:c>
      <x:c r="I46" s="207" t="str">
        <x:f>INDEX(Chantiers!$G$6:$G$805,MATCH($A46&amp;"/services",Chantiers!$A$6:$A$805,0))</x:f>
        <x:v>À faire</x:v>
      </x:c>
      <x:c r="J46" s="207" t="str">
        <x:f>INDEX(Chantiers!$G$6:$G$805,MATCH($A46&amp;"/art",Chantiers!$A$6:$A$805,0))</x:f>
        <x:v>À faire</x:v>
      </x:c>
      <x:c r="K46" s="207" t="str">
        <x:f>INDEX(Chantiers!$G$6:$G$805,MATCH($A46&amp;"/sauvegarde",Chantiers!$A$6:$A$805,0))</x:f>
        <x:v>En cours</x:v>
      </x:c>
      <x:c r="L46" s="207" t="str">
        <x:f>INDEX(Chantiers!$G$6:$G$805,MATCH($A46&amp;"/qa",Chantiers!$A$6:$A$805,0))</x:f>
        <x:v>En cours</x:v>
      </x:c>
      <x:c r="M46" s="207" t="n">
        <x:f>COUNTIF(C46:L46,"Validé")</x:f>
        <x:v>0</x:v>
      </x:c>
      <x:c r="N46" s="207" t="n">
        <x:f>COLUMNS(C46:L46)-M46</x:f>
        <x:v>10</x:v>
      </x:c>
    </x:row>
    <x:row r="47" ht="34" customHeight="1">
      <x:c r="A47" s="207" t="str">
        <x:v>EXT-MONDE-T042</x:v>
      </x:c>
      <x:c r="B47" s="208" t="str">
        <x:v>Tour HLM</x:v>
      </x:c>
      <x:c r="C47" s="207" t="str">
        <x:f>INDEX(Chantiers!$G$6:$G$805,MATCH($A47&amp;"/dimensions",Chantiers!$A$6:$A$805,0))</x:f>
        <x:v>En cours</x:v>
      </x:c>
      <x:c r="D47" s="207" t="str">
        <x:f>INDEX(Chantiers!$G$6:$G$805,MATCH($A47&amp;"/architecture",Chantiers!$A$6:$A$805,0))</x:f>
        <x:v>En cours</x:v>
      </x:c>
      <x:c r="E47" s="207" t="str">
        <x:f>INDEX(Chantiers!$G$6:$G$805,MATCH($A47&amp;"/seed",Chantiers!$A$6:$A$805,0))</x:f>
        <x:v>À faire</x:v>
      </x:c>
      <x:c r="F47" s="207" t="str">
        <x:f>INDEX(Chantiers!$G$6:$G$805,MATCH($A47&amp;"/props",Chantiers!$A$6:$A$805,0))</x:f>
        <x:v>En cours</x:v>
      </x:c>
      <x:c r="G47" s="207" t="str">
        <x:f>INDEX(Chantiers!$G$6:$G$805,MATCH($A47&amp;"/loot",Chantiers!$A$6:$A$805,0))</x:f>
        <x:v>À faire</x:v>
      </x:c>
      <x:c r="H47" s="207" t="str">
        <x:f>INDEX(Chantiers!$G$6:$G$805,MATCH($A47&amp;"/rencontres",Chantiers!$A$6:$A$805,0))</x:f>
        <x:v>À faire</x:v>
      </x:c>
      <x:c r="I47" s="207" t="str">
        <x:f>INDEX(Chantiers!$G$6:$G$805,MATCH($A47&amp;"/services",Chantiers!$A$6:$A$805,0))</x:f>
        <x:v>À faire</x:v>
      </x:c>
      <x:c r="J47" s="207" t="str">
        <x:f>INDEX(Chantiers!$G$6:$G$805,MATCH($A47&amp;"/art",Chantiers!$A$6:$A$805,0))</x:f>
        <x:v>À faire</x:v>
      </x:c>
      <x:c r="K47" s="207" t="str">
        <x:f>INDEX(Chantiers!$G$6:$G$805,MATCH($A47&amp;"/sauvegarde",Chantiers!$A$6:$A$805,0))</x:f>
        <x:v>En cours</x:v>
      </x:c>
      <x:c r="L47" s="207" t="str">
        <x:f>INDEX(Chantiers!$G$6:$G$805,MATCH($A47&amp;"/qa",Chantiers!$A$6:$A$805,0))</x:f>
        <x:v>En cours</x:v>
      </x:c>
      <x:c r="M47" s="207" t="n">
        <x:f>COUNTIF(C47:L47,"Validé")</x:f>
        <x:v>0</x:v>
      </x:c>
      <x:c r="N47" s="207" t="n">
        <x:f>COLUMNS(C47:L47)-M47</x:f>
        <x:v>10</x:v>
      </x:c>
    </x:row>
    <x:row r="48" ht="34" customHeight="1">
      <x:c r="A48" s="207" t="str">
        <x:v>EXT-MONDE-T043</x:v>
      </x:c>
      <x:c r="B48" s="208" t="str">
        <x:v>Résidence en cour</x:v>
      </x:c>
      <x:c r="C48" s="207" t="str">
        <x:f>INDEX(Chantiers!$G$6:$G$805,MATCH($A48&amp;"/dimensions",Chantiers!$A$6:$A$805,0))</x:f>
        <x:v>En cours</x:v>
      </x:c>
      <x:c r="D48" s="207" t="str">
        <x:f>INDEX(Chantiers!$G$6:$G$805,MATCH($A48&amp;"/architecture",Chantiers!$A$6:$A$805,0))</x:f>
        <x:v>En cours</x:v>
      </x:c>
      <x:c r="E48" s="207" t="str">
        <x:f>INDEX(Chantiers!$G$6:$G$805,MATCH($A48&amp;"/seed",Chantiers!$A$6:$A$805,0))</x:f>
        <x:v>À faire</x:v>
      </x:c>
      <x:c r="F48" s="207" t="str">
        <x:f>INDEX(Chantiers!$G$6:$G$805,MATCH($A48&amp;"/props",Chantiers!$A$6:$A$805,0))</x:f>
        <x:v>En cours</x:v>
      </x:c>
      <x:c r="G48" s="207" t="str">
        <x:f>INDEX(Chantiers!$G$6:$G$805,MATCH($A48&amp;"/loot",Chantiers!$A$6:$A$805,0))</x:f>
        <x:v>À faire</x:v>
      </x:c>
      <x:c r="H48" s="207" t="str">
        <x:f>INDEX(Chantiers!$G$6:$G$805,MATCH($A48&amp;"/rencontres",Chantiers!$A$6:$A$805,0))</x:f>
        <x:v>À faire</x:v>
      </x:c>
      <x:c r="I48" s="207" t="str">
        <x:f>INDEX(Chantiers!$G$6:$G$805,MATCH($A48&amp;"/services",Chantiers!$A$6:$A$805,0))</x:f>
        <x:v>À faire</x:v>
      </x:c>
      <x:c r="J48" s="207" t="str">
        <x:f>INDEX(Chantiers!$G$6:$G$805,MATCH($A48&amp;"/art",Chantiers!$A$6:$A$805,0))</x:f>
        <x:v>À faire</x:v>
      </x:c>
      <x:c r="K48" s="207" t="str">
        <x:f>INDEX(Chantiers!$G$6:$G$805,MATCH($A48&amp;"/sauvegarde",Chantiers!$A$6:$A$805,0))</x:f>
        <x:v>En cours</x:v>
      </x:c>
      <x:c r="L48" s="207" t="str">
        <x:f>INDEX(Chantiers!$G$6:$G$805,MATCH($A48&amp;"/qa",Chantiers!$A$6:$A$805,0))</x:f>
        <x:v>En cours</x:v>
      </x:c>
      <x:c r="M48" s="207" t="n">
        <x:f>COUNTIF(C48:L48,"Validé")</x:f>
        <x:v>0</x:v>
      </x:c>
      <x:c r="N48" s="207" t="n">
        <x:f>COLUMNS(C48:L48)-M48</x:f>
        <x:v>10</x:v>
      </x:c>
    </x:row>
    <x:row r="49" ht="34" customHeight="1">
      <x:c r="A49" s="207" t="str">
        <x:v>EXT-MONDE-T044</x:v>
      </x:c>
      <x:c r="B49" s="208" t="str">
        <x:v>Ensemble HLM mixte</x:v>
      </x:c>
      <x:c r="C49" s="207" t="str">
        <x:f>INDEX(Chantiers!$G$6:$G$805,MATCH($A49&amp;"/dimensions",Chantiers!$A$6:$A$805,0))</x:f>
        <x:v>En cours</x:v>
      </x:c>
      <x:c r="D49" s="207" t="str">
        <x:f>INDEX(Chantiers!$G$6:$G$805,MATCH($A49&amp;"/architecture",Chantiers!$A$6:$A$805,0))</x:f>
        <x:v>En cours</x:v>
      </x:c>
      <x:c r="E49" s="207" t="str">
        <x:f>INDEX(Chantiers!$G$6:$G$805,MATCH($A49&amp;"/seed",Chantiers!$A$6:$A$805,0))</x:f>
        <x:v>À faire</x:v>
      </x:c>
      <x:c r="F49" s="207" t="str">
        <x:f>INDEX(Chantiers!$G$6:$G$805,MATCH($A49&amp;"/props",Chantiers!$A$6:$A$805,0))</x:f>
        <x:v>En cours</x:v>
      </x:c>
      <x:c r="G49" s="207" t="str">
        <x:f>INDEX(Chantiers!$G$6:$G$805,MATCH($A49&amp;"/loot",Chantiers!$A$6:$A$805,0))</x:f>
        <x:v>À faire</x:v>
      </x:c>
      <x:c r="H49" s="207" t="str">
        <x:f>INDEX(Chantiers!$G$6:$G$805,MATCH($A49&amp;"/rencontres",Chantiers!$A$6:$A$805,0))</x:f>
        <x:v>À faire</x:v>
      </x:c>
      <x:c r="I49" s="207" t="str">
        <x:f>INDEX(Chantiers!$G$6:$G$805,MATCH($A49&amp;"/services",Chantiers!$A$6:$A$805,0))</x:f>
        <x:v>À faire</x:v>
      </x:c>
      <x:c r="J49" s="207" t="str">
        <x:f>INDEX(Chantiers!$G$6:$G$805,MATCH($A49&amp;"/art",Chantiers!$A$6:$A$805,0))</x:f>
        <x:v>À faire</x:v>
      </x:c>
      <x:c r="K49" s="207" t="str">
        <x:f>INDEX(Chantiers!$G$6:$G$805,MATCH($A49&amp;"/sauvegarde",Chantiers!$A$6:$A$805,0))</x:f>
        <x:v>En cours</x:v>
      </x:c>
      <x:c r="L49" s="207" t="str">
        <x:f>INDEX(Chantiers!$G$6:$G$805,MATCH($A49&amp;"/qa",Chantiers!$A$6:$A$805,0))</x:f>
        <x:v>En cours</x:v>
      </x:c>
      <x:c r="M49" s="207" t="n">
        <x:f>COUNTIF(C49:L49,"Validé")</x:f>
        <x:v>0</x:v>
      </x:c>
      <x:c r="N49" s="207" t="n">
        <x:f>COLUMNS(C49:L49)-M49</x:f>
        <x:v>10</x:v>
      </x:c>
    </x:row>
    <x:row r="50" ht="34" customHeight="1">
      <x:c r="A50" s="207" t="str">
        <x:v>EXT-MONDE-T045</x:v>
      </x:c>
      <x:c r="B50" s="208" t="str">
        <x:v>Parc résidentiel de mobil-homes</x:v>
      </x:c>
      <x:c r="C50" s="207" t="str">
        <x:f>INDEX(Chantiers!$G$6:$G$805,MATCH($A50&amp;"/dimensions",Chantiers!$A$6:$A$805,0))</x:f>
        <x:v>En cours</x:v>
      </x:c>
      <x:c r="D50" s="207" t="str">
        <x:f>INDEX(Chantiers!$G$6:$G$805,MATCH($A50&amp;"/architecture",Chantiers!$A$6:$A$805,0))</x:f>
        <x:v>En cours</x:v>
      </x:c>
      <x:c r="E50" s="207" t="str">
        <x:f>INDEX(Chantiers!$G$6:$G$805,MATCH($A50&amp;"/seed",Chantiers!$A$6:$A$805,0))</x:f>
        <x:v>En cours</x:v>
      </x:c>
      <x:c r="F50" s="207" t="str">
        <x:f>INDEX(Chantiers!$G$6:$G$805,MATCH($A50&amp;"/props",Chantiers!$A$6:$A$805,0))</x:f>
        <x:v>En cours</x:v>
      </x:c>
      <x:c r="G50" s="207" t="str">
        <x:f>INDEX(Chantiers!$G$6:$G$805,MATCH($A50&amp;"/loot",Chantiers!$A$6:$A$805,0))</x:f>
        <x:v>En cours</x:v>
      </x:c>
      <x:c r="H50" s="207" t="str">
        <x:f>INDEX(Chantiers!$G$6:$G$805,MATCH($A50&amp;"/rencontres",Chantiers!$A$6:$A$805,0))</x:f>
        <x:v>À faire</x:v>
      </x:c>
      <x:c r="I50" s="207" t="str">
        <x:f>INDEX(Chantiers!$G$6:$G$805,MATCH($A50&amp;"/services",Chantiers!$A$6:$A$805,0))</x:f>
        <x:v>À faire</x:v>
      </x:c>
      <x:c r="J50" s="207" t="str">
        <x:f>INDEX(Chantiers!$G$6:$G$805,MATCH($A50&amp;"/art",Chantiers!$A$6:$A$805,0))</x:f>
        <x:v>À faire</x:v>
      </x:c>
      <x:c r="K50" s="207" t="str">
        <x:f>INDEX(Chantiers!$G$6:$G$805,MATCH($A50&amp;"/sauvegarde",Chantiers!$A$6:$A$805,0))</x:f>
        <x:v>En cours</x:v>
      </x:c>
      <x:c r="L50" s="207" t="str">
        <x:f>INDEX(Chantiers!$G$6:$G$805,MATCH($A50&amp;"/qa",Chantiers!$A$6:$A$805,0))</x:f>
        <x:v>En cours</x:v>
      </x:c>
      <x:c r="M50" s="207" t="n">
        <x:f>COUNTIF(C50:L50,"Validé")</x:f>
        <x:v>0</x:v>
      </x:c>
      <x:c r="N50" s="207" t="n">
        <x:f>COLUMNS(C50:L50)-M50</x:f>
        <x:v>10</x:v>
      </x:c>
    </x:row>
    <x:row r="51" ht="34" customHeight="1">
      <x:c r="A51" s="207" t="str">
        <x:v>EXT-MONDE-T046</x:v>
      </x:c>
      <x:c r="B51" s="208" t="str">
        <x:v>Camping caravanes</x:v>
      </x:c>
      <x:c r="C51" s="207" t="str">
        <x:f>INDEX(Chantiers!$G$6:$G$805,MATCH($A51&amp;"/dimensions",Chantiers!$A$6:$A$805,0))</x:f>
        <x:v>En cours</x:v>
      </x:c>
      <x:c r="D51" s="207" t="str">
        <x:f>INDEX(Chantiers!$G$6:$G$805,MATCH($A51&amp;"/architecture",Chantiers!$A$6:$A$805,0))</x:f>
        <x:v>En cours</x:v>
      </x:c>
      <x:c r="E51" s="207" t="str">
        <x:f>INDEX(Chantiers!$G$6:$G$805,MATCH($A51&amp;"/seed",Chantiers!$A$6:$A$805,0))</x:f>
        <x:v>En cours</x:v>
      </x:c>
      <x:c r="F51" s="207" t="str">
        <x:f>INDEX(Chantiers!$G$6:$G$805,MATCH($A51&amp;"/props",Chantiers!$A$6:$A$805,0))</x:f>
        <x:v>En cours</x:v>
      </x:c>
      <x:c r="G51" s="207" t="str">
        <x:f>INDEX(Chantiers!$G$6:$G$805,MATCH($A51&amp;"/loot",Chantiers!$A$6:$A$805,0))</x:f>
        <x:v>En cours</x:v>
      </x:c>
      <x:c r="H51" s="207" t="str">
        <x:f>INDEX(Chantiers!$G$6:$G$805,MATCH($A51&amp;"/rencontres",Chantiers!$A$6:$A$805,0))</x:f>
        <x:v>À faire</x:v>
      </x:c>
      <x:c r="I51" s="207" t="str">
        <x:f>INDEX(Chantiers!$G$6:$G$805,MATCH($A51&amp;"/services",Chantiers!$A$6:$A$805,0))</x:f>
        <x:v>À faire</x:v>
      </x:c>
      <x:c r="J51" s="207" t="str">
        <x:f>INDEX(Chantiers!$G$6:$G$805,MATCH($A51&amp;"/art",Chantiers!$A$6:$A$805,0))</x:f>
        <x:v>À faire</x:v>
      </x:c>
      <x:c r="K51" s="207" t="str">
        <x:f>INDEX(Chantiers!$G$6:$G$805,MATCH($A51&amp;"/sauvegarde",Chantiers!$A$6:$A$805,0))</x:f>
        <x:v>En cours</x:v>
      </x:c>
      <x:c r="L51" s="207" t="str">
        <x:f>INDEX(Chantiers!$G$6:$G$805,MATCH($A51&amp;"/qa",Chantiers!$A$6:$A$805,0))</x:f>
        <x:v>En cours</x:v>
      </x:c>
      <x:c r="M51" s="207" t="n">
        <x:f>COUNTIF(C51:L51,"Validé")</x:f>
        <x:v>0</x:v>
      </x:c>
      <x:c r="N51" s="207" t="n">
        <x:f>COLUMNS(C51:L51)-M51</x:f>
        <x:v>10</x:v>
      </x:c>
    </x:row>
    <x:row r="52" ht="34" customHeight="1">
      <x:c r="A52" s="207" t="str">
        <x:v>EXT-MONDE-T047</x:v>
      </x:c>
      <x:c r="B52" s="208" t="str">
        <x:v>Camp de travailleurs</x:v>
      </x:c>
      <x:c r="C52" s="207" t="str">
        <x:f>INDEX(Chantiers!$G$6:$G$805,MATCH($A52&amp;"/dimensions",Chantiers!$A$6:$A$805,0))</x:f>
        <x:v>En cours</x:v>
      </x:c>
      <x:c r="D52" s="207" t="str">
        <x:f>INDEX(Chantiers!$G$6:$G$805,MATCH($A52&amp;"/architecture",Chantiers!$A$6:$A$805,0))</x:f>
        <x:v>En cours</x:v>
      </x:c>
      <x:c r="E52" s="207" t="str">
        <x:f>INDEX(Chantiers!$G$6:$G$805,MATCH($A52&amp;"/seed",Chantiers!$A$6:$A$805,0))</x:f>
        <x:v>En cours</x:v>
      </x:c>
      <x:c r="F52" s="207" t="str">
        <x:f>INDEX(Chantiers!$G$6:$G$805,MATCH($A52&amp;"/props",Chantiers!$A$6:$A$805,0))</x:f>
        <x:v>En cours</x:v>
      </x:c>
      <x:c r="G52" s="207" t="str">
        <x:f>INDEX(Chantiers!$G$6:$G$805,MATCH($A52&amp;"/loot",Chantiers!$A$6:$A$805,0))</x:f>
        <x:v>En cours</x:v>
      </x:c>
      <x:c r="H52" s="207" t="str">
        <x:f>INDEX(Chantiers!$G$6:$G$805,MATCH($A52&amp;"/rencontres",Chantiers!$A$6:$A$805,0))</x:f>
        <x:v>À faire</x:v>
      </x:c>
      <x:c r="I52" s="207" t="str">
        <x:f>INDEX(Chantiers!$G$6:$G$805,MATCH($A52&amp;"/services",Chantiers!$A$6:$A$805,0))</x:f>
        <x:v>À faire</x:v>
      </x:c>
      <x:c r="J52" s="207" t="str">
        <x:f>INDEX(Chantiers!$G$6:$G$805,MATCH($A52&amp;"/art",Chantiers!$A$6:$A$805,0))</x:f>
        <x:v>À faire</x:v>
      </x:c>
      <x:c r="K52" s="207" t="str">
        <x:f>INDEX(Chantiers!$G$6:$G$805,MATCH($A52&amp;"/sauvegarde",Chantiers!$A$6:$A$805,0))</x:f>
        <x:v>En cours</x:v>
      </x:c>
      <x:c r="L52" s="207" t="str">
        <x:f>INDEX(Chantiers!$G$6:$G$805,MATCH($A52&amp;"/qa",Chantiers!$A$6:$A$805,0))</x:f>
        <x:v>En cours</x:v>
      </x:c>
      <x:c r="M52" s="207" t="n">
        <x:f>COUNTIF(C52:L52,"Validé")</x:f>
        <x:v>0</x:v>
      </x:c>
      <x:c r="N52" s="207" t="n">
        <x:f>COLUMNS(C52:L52)-M52</x:f>
        <x:v>10</x:v>
      </x:c>
    </x:row>
    <x:row r="53" ht="34" customHeight="1">
      <x:c r="A53" s="207" t="str">
        <x:v>EXT-MONDE-T048</x:v>
      </x:c>
      <x:c r="B53" s="208" t="str">
        <x:v>Parc de caravanes abandonné</x:v>
      </x:c>
      <x:c r="C53" s="207" t="str">
        <x:f>INDEX(Chantiers!$G$6:$G$805,MATCH($A53&amp;"/dimensions",Chantiers!$A$6:$A$805,0))</x:f>
        <x:v>En cours</x:v>
      </x:c>
      <x:c r="D53" s="207" t="str">
        <x:f>INDEX(Chantiers!$G$6:$G$805,MATCH($A53&amp;"/architecture",Chantiers!$A$6:$A$805,0))</x:f>
        <x:v>En cours</x:v>
      </x:c>
      <x:c r="E53" s="207" t="str">
        <x:f>INDEX(Chantiers!$G$6:$G$805,MATCH($A53&amp;"/seed",Chantiers!$A$6:$A$805,0))</x:f>
        <x:v>En cours</x:v>
      </x:c>
      <x:c r="F53" s="207" t="str">
        <x:f>INDEX(Chantiers!$G$6:$G$805,MATCH($A53&amp;"/props",Chantiers!$A$6:$A$805,0))</x:f>
        <x:v>En cours</x:v>
      </x:c>
      <x:c r="G53" s="207" t="str">
        <x:f>INDEX(Chantiers!$G$6:$G$805,MATCH($A53&amp;"/loot",Chantiers!$A$6:$A$805,0))</x:f>
        <x:v>En cours</x:v>
      </x:c>
      <x:c r="H53" s="207" t="str">
        <x:f>INDEX(Chantiers!$G$6:$G$805,MATCH($A53&amp;"/rencontres",Chantiers!$A$6:$A$805,0))</x:f>
        <x:v>À faire</x:v>
      </x:c>
      <x:c r="I53" s="207" t="str">
        <x:f>INDEX(Chantiers!$G$6:$G$805,MATCH($A53&amp;"/services",Chantiers!$A$6:$A$805,0))</x:f>
        <x:v>À faire</x:v>
      </x:c>
      <x:c r="J53" s="207" t="str">
        <x:f>INDEX(Chantiers!$G$6:$G$805,MATCH($A53&amp;"/art",Chantiers!$A$6:$A$805,0))</x:f>
        <x:v>À faire</x:v>
      </x:c>
      <x:c r="K53" s="207" t="str">
        <x:f>INDEX(Chantiers!$G$6:$G$805,MATCH($A53&amp;"/sauvegarde",Chantiers!$A$6:$A$805,0))</x:f>
        <x:v>En cours</x:v>
      </x:c>
      <x:c r="L53" s="207" t="str">
        <x:f>INDEX(Chantiers!$G$6:$G$805,MATCH($A53&amp;"/qa",Chantiers!$A$6:$A$805,0))</x:f>
        <x:v>En cours</x:v>
      </x:c>
      <x:c r="M53" s="207" t="n">
        <x:f>COUNTIF(C53:L53,"Validé")</x:f>
        <x:v>0</x:v>
      </x:c>
      <x:c r="N53" s="207" t="n">
        <x:f>COLUMNS(C53:L53)-M53</x:f>
        <x:v>10</x:v>
      </x:c>
    </x:row>
    <x:row r="54" ht="34" customHeight="1">
      <x:c r="A54" s="207" t="str">
        <x:v>EXT-MONDE-T049</x:v>
      </x:c>
      <x:c r="B54" s="208" t="str">
        <x:v>Parc familial</x:v>
      </x:c>
      <x:c r="C54" s="207" t="str">
        <x:f>INDEX(Chantiers!$G$6:$G$805,MATCH($A54&amp;"/dimensions",Chantiers!$A$6:$A$805,0))</x:f>
        <x:v>En cours</x:v>
      </x:c>
      <x:c r="D54" s="207" t="str">
        <x:f>INDEX(Chantiers!$G$6:$G$805,MATCH($A54&amp;"/architecture",Chantiers!$A$6:$A$805,0))</x:f>
        <x:v>En cours</x:v>
      </x:c>
      <x:c r="E54" s="207" t="str">
        <x:f>INDEX(Chantiers!$G$6:$G$805,MATCH($A54&amp;"/seed",Chantiers!$A$6:$A$805,0))</x:f>
        <x:v>À faire</x:v>
      </x:c>
      <x:c r="F54" s="207" t="str">
        <x:f>INDEX(Chantiers!$G$6:$G$805,MATCH($A54&amp;"/props",Chantiers!$A$6:$A$805,0))</x:f>
        <x:v>En cours</x:v>
      </x:c>
      <x:c r="G54" s="207" t="str">
        <x:f>INDEX(Chantiers!$G$6:$G$805,MATCH($A54&amp;"/loot",Chantiers!$A$6:$A$805,0))</x:f>
        <x:v>À faire</x:v>
      </x:c>
      <x:c r="H54" s="207" t="str">
        <x:f>INDEX(Chantiers!$G$6:$G$805,MATCH($A54&amp;"/rencontres",Chantiers!$A$6:$A$805,0))</x:f>
        <x:v>À faire</x:v>
      </x:c>
      <x:c r="I54" s="207" t="str">
        <x:f>INDEX(Chantiers!$G$6:$G$805,MATCH($A54&amp;"/services",Chantiers!$A$6:$A$805,0))</x:f>
        <x:v>À faire</x:v>
      </x:c>
      <x:c r="J54" s="207" t="str">
        <x:f>INDEX(Chantiers!$G$6:$G$805,MATCH($A54&amp;"/art",Chantiers!$A$6:$A$805,0))</x:f>
        <x:v>À faire</x:v>
      </x:c>
      <x:c r="K54" s="207" t="str">
        <x:f>INDEX(Chantiers!$G$6:$G$805,MATCH($A54&amp;"/sauvegarde",Chantiers!$A$6:$A$805,0))</x:f>
        <x:v>En cours</x:v>
      </x:c>
      <x:c r="L54" s="207" t="str">
        <x:f>INDEX(Chantiers!$G$6:$G$805,MATCH($A54&amp;"/qa",Chantiers!$A$6:$A$805,0))</x:f>
        <x:v>En cours</x:v>
      </x:c>
      <x:c r="M54" s="207" t="n">
        <x:f>COUNTIF(C54:L54,"Validé")</x:f>
        <x:v>0</x:v>
      </x:c>
      <x:c r="N54" s="207" t="n">
        <x:f>COLUMNS(C54:L54)-M54</x:f>
        <x:v>10</x:v>
      </x:c>
    </x:row>
    <x:row r="55" ht="34" customHeight="1">
      <x:c r="A55" s="207" t="str">
        <x:v>EXT-MONDE-T050</x:v>
      </x:c>
      <x:c r="B55" s="208" t="str">
        <x:v>Parc à sensations</x:v>
      </x:c>
      <x:c r="C55" s="207" t="str">
        <x:f>INDEX(Chantiers!$G$6:$G$805,MATCH($A55&amp;"/dimensions",Chantiers!$A$6:$A$805,0))</x:f>
        <x:v>En cours</x:v>
      </x:c>
      <x:c r="D55" s="207" t="str">
        <x:f>INDEX(Chantiers!$G$6:$G$805,MATCH($A55&amp;"/architecture",Chantiers!$A$6:$A$805,0))</x:f>
        <x:v>En cours</x:v>
      </x:c>
      <x:c r="E55" s="207" t="str">
        <x:f>INDEX(Chantiers!$G$6:$G$805,MATCH($A55&amp;"/seed",Chantiers!$A$6:$A$805,0))</x:f>
        <x:v>À faire</x:v>
      </x:c>
      <x:c r="F55" s="207" t="str">
        <x:f>INDEX(Chantiers!$G$6:$G$805,MATCH($A55&amp;"/props",Chantiers!$A$6:$A$805,0))</x:f>
        <x:v>En cours</x:v>
      </x:c>
      <x:c r="G55" s="207" t="str">
        <x:f>INDEX(Chantiers!$G$6:$G$805,MATCH($A55&amp;"/loot",Chantiers!$A$6:$A$805,0))</x:f>
        <x:v>À faire</x:v>
      </x:c>
      <x:c r="H55" s="207" t="str">
        <x:f>INDEX(Chantiers!$G$6:$G$805,MATCH($A55&amp;"/rencontres",Chantiers!$A$6:$A$805,0))</x:f>
        <x:v>À faire</x:v>
      </x:c>
      <x:c r="I55" s="207" t="str">
        <x:f>INDEX(Chantiers!$G$6:$G$805,MATCH($A55&amp;"/services",Chantiers!$A$6:$A$805,0))</x:f>
        <x:v>À faire</x:v>
      </x:c>
      <x:c r="J55" s="207" t="str">
        <x:f>INDEX(Chantiers!$G$6:$G$805,MATCH($A55&amp;"/art",Chantiers!$A$6:$A$805,0))</x:f>
        <x:v>À faire</x:v>
      </x:c>
      <x:c r="K55" s="207" t="str">
        <x:f>INDEX(Chantiers!$G$6:$G$805,MATCH($A55&amp;"/sauvegarde",Chantiers!$A$6:$A$805,0))</x:f>
        <x:v>En cours</x:v>
      </x:c>
      <x:c r="L55" s="207" t="str">
        <x:f>INDEX(Chantiers!$G$6:$G$805,MATCH($A55&amp;"/qa",Chantiers!$A$6:$A$805,0))</x:f>
        <x:v>En cours</x:v>
      </x:c>
      <x:c r="M55" s="207" t="n">
        <x:f>COUNTIF(C55:L55,"Validé")</x:f>
        <x:v>0</x:v>
      </x:c>
      <x:c r="N55" s="207" t="n">
        <x:f>COLUMNS(C55:L55)-M55</x:f>
        <x:v>10</x:v>
      </x:c>
    </x:row>
    <x:row r="56" ht="34" customHeight="1">
      <x:c r="A56" s="207" t="str">
        <x:v>EXT-MONDE-T051</x:v>
      </x:c>
      <x:c r="B56" s="208" t="str">
        <x:v>Parc aquatique</x:v>
      </x:c>
      <x:c r="C56" s="207" t="str">
        <x:f>INDEX(Chantiers!$G$6:$G$805,MATCH($A56&amp;"/dimensions",Chantiers!$A$6:$A$805,0))</x:f>
        <x:v>En cours</x:v>
      </x:c>
      <x:c r="D56" s="207" t="str">
        <x:f>INDEX(Chantiers!$G$6:$G$805,MATCH($A56&amp;"/architecture",Chantiers!$A$6:$A$805,0))</x:f>
        <x:v>En cours</x:v>
      </x:c>
      <x:c r="E56" s="207" t="str">
        <x:f>INDEX(Chantiers!$G$6:$G$805,MATCH($A56&amp;"/seed",Chantiers!$A$6:$A$805,0))</x:f>
        <x:v>À faire</x:v>
      </x:c>
      <x:c r="F56" s="207" t="str">
        <x:f>INDEX(Chantiers!$G$6:$G$805,MATCH($A56&amp;"/props",Chantiers!$A$6:$A$805,0))</x:f>
        <x:v>En cours</x:v>
      </x:c>
      <x:c r="G56" s="207" t="str">
        <x:f>INDEX(Chantiers!$G$6:$G$805,MATCH($A56&amp;"/loot",Chantiers!$A$6:$A$805,0))</x:f>
        <x:v>À faire</x:v>
      </x:c>
      <x:c r="H56" s="207" t="str">
        <x:f>INDEX(Chantiers!$G$6:$G$805,MATCH($A56&amp;"/rencontres",Chantiers!$A$6:$A$805,0))</x:f>
        <x:v>À faire</x:v>
      </x:c>
      <x:c r="I56" s="207" t="str">
        <x:f>INDEX(Chantiers!$G$6:$G$805,MATCH($A56&amp;"/services",Chantiers!$A$6:$A$805,0))</x:f>
        <x:v>À faire</x:v>
      </x:c>
      <x:c r="J56" s="207" t="str">
        <x:f>INDEX(Chantiers!$G$6:$G$805,MATCH($A56&amp;"/art",Chantiers!$A$6:$A$805,0))</x:f>
        <x:v>À faire</x:v>
      </x:c>
      <x:c r="K56" s="207" t="str">
        <x:f>INDEX(Chantiers!$G$6:$G$805,MATCH($A56&amp;"/sauvegarde",Chantiers!$A$6:$A$805,0))</x:f>
        <x:v>En cours</x:v>
      </x:c>
      <x:c r="L56" s="207" t="str">
        <x:f>INDEX(Chantiers!$G$6:$G$805,MATCH($A56&amp;"/qa",Chantiers!$A$6:$A$805,0))</x:f>
        <x:v>En cours</x:v>
      </x:c>
      <x:c r="M56" s="207" t="n">
        <x:f>COUNTIF(C56:L56,"Validé")</x:f>
        <x:v>0</x:v>
      </x:c>
      <x:c r="N56" s="207" t="n">
        <x:f>COLUMNS(C56:L56)-M56</x:f>
        <x:v>10</x:v>
      </x:c>
    </x:row>
    <x:row r="57" ht="34" customHeight="1">
      <x:c r="A57" s="207" t="str">
        <x:v>EXT-MONDE-T052</x:v>
      </x:c>
      <x:c r="B57" s="208" t="str">
        <x:v>Parc thématique abandonné</x:v>
      </x:c>
      <x:c r="C57" s="207" t="str">
        <x:f>INDEX(Chantiers!$G$6:$G$805,MATCH($A57&amp;"/dimensions",Chantiers!$A$6:$A$805,0))</x:f>
        <x:v>En cours</x:v>
      </x:c>
      <x:c r="D57" s="207" t="str">
        <x:f>INDEX(Chantiers!$G$6:$G$805,MATCH($A57&amp;"/architecture",Chantiers!$A$6:$A$805,0))</x:f>
        <x:v>En cours</x:v>
      </x:c>
      <x:c r="E57" s="207" t="str">
        <x:f>INDEX(Chantiers!$G$6:$G$805,MATCH($A57&amp;"/seed",Chantiers!$A$6:$A$805,0))</x:f>
        <x:v>À faire</x:v>
      </x:c>
      <x:c r="F57" s="207" t="str">
        <x:f>INDEX(Chantiers!$G$6:$G$805,MATCH($A57&amp;"/props",Chantiers!$A$6:$A$805,0))</x:f>
        <x:v>En cours</x:v>
      </x:c>
      <x:c r="G57" s="207" t="str">
        <x:f>INDEX(Chantiers!$G$6:$G$805,MATCH($A57&amp;"/loot",Chantiers!$A$6:$A$805,0))</x:f>
        <x:v>À faire</x:v>
      </x:c>
      <x:c r="H57" s="207" t="str">
        <x:f>INDEX(Chantiers!$G$6:$G$805,MATCH($A57&amp;"/rencontres",Chantiers!$A$6:$A$805,0))</x:f>
        <x:v>À faire</x:v>
      </x:c>
      <x:c r="I57" s="207" t="str">
        <x:f>INDEX(Chantiers!$G$6:$G$805,MATCH($A57&amp;"/services",Chantiers!$A$6:$A$805,0))</x:f>
        <x:v>À faire</x:v>
      </x:c>
      <x:c r="J57" s="207" t="str">
        <x:f>INDEX(Chantiers!$G$6:$G$805,MATCH($A57&amp;"/art",Chantiers!$A$6:$A$805,0))</x:f>
        <x:v>À faire</x:v>
      </x:c>
      <x:c r="K57" s="207" t="str">
        <x:f>INDEX(Chantiers!$G$6:$G$805,MATCH($A57&amp;"/sauvegarde",Chantiers!$A$6:$A$805,0))</x:f>
        <x:v>En cours</x:v>
      </x:c>
      <x:c r="L57" s="207" t="str">
        <x:f>INDEX(Chantiers!$G$6:$G$805,MATCH($A57&amp;"/qa",Chantiers!$A$6:$A$805,0))</x:f>
        <x:v>En cours</x:v>
      </x:c>
      <x:c r="M57" s="207" t="n">
        <x:f>COUNTIF(C57:L57,"Validé")</x:f>
        <x:v>0</x:v>
      </x:c>
      <x:c r="N57" s="207" t="n">
        <x:f>COLUMNS(C57:L57)-M57</x:f>
        <x:v>10</x:v>
      </x:c>
    </x:row>
    <x:row r="58" ht="34" customHeight="1">
      <x:c r="A58" s="207" t="str">
        <x:v>EXT-MONDE-T053</x:v>
      </x:c>
      <x:c r="B58" s="208" t="str">
        <x:v>Usine agroalimentaire</x:v>
      </x:c>
      <x:c r="C58" s="207" t="str">
        <x:f>INDEX(Chantiers!$G$6:$G$805,MATCH($A58&amp;"/dimensions",Chantiers!$A$6:$A$805,0))</x:f>
        <x:v>En cours</x:v>
      </x:c>
      <x:c r="D58" s="207" t="str">
        <x:f>INDEX(Chantiers!$G$6:$G$805,MATCH($A58&amp;"/architecture",Chantiers!$A$6:$A$805,0))</x:f>
        <x:v>En cours</x:v>
      </x:c>
      <x:c r="E58" s="207" t="str">
        <x:f>INDEX(Chantiers!$G$6:$G$805,MATCH($A58&amp;"/seed",Chantiers!$A$6:$A$805,0))</x:f>
        <x:v>À faire</x:v>
      </x:c>
      <x:c r="F58" s="207" t="str">
        <x:f>INDEX(Chantiers!$G$6:$G$805,MATCH($A58&amp;"/props",Chantiers!$A$6:$A$805,0))</x:f>
        <x:v>En cours</x:v>
      </x:c>
      <x:c r="G58" s="207" t="str">
        <x:f>INDEX(Chantiers!$G$6:$G$805,MATCH($A58&amp;"/loot",Chantiers!$A$6:$A$805,0))</x:f>
        <x:v>À faire</x:v>
      </x:c>
      <x:c r="H58" s="207" t="str">
        <x:f>INDEX(Chantiers!$G$6:$G$805,MATCH($A58&amp;"/rencontres",Chantiers!$A$6:$A$805,0))</x:f>
        <x:v>À faire</x:v>
      </x:c>
      <x:c r="I58" s="207" t="str">
        <x:f>INDEX(Chantiers!$G$6:$G$805,MATCH($A58&amp;"/services",Chantiers!$A$6:$A$805,0))</x:f>
        <x:v>À faire</x:v>
      </x:c>
      <x:c r="J58" s="207" t="str">
        <x:f>INDEX(Chantiers!$G$6:$G$805,MATCH($A58&amp;"/art",Chantiers!$A$6:$A$805,0))</x:f>
        <x:v>À faire</x:v>
      </x:c>
      <x:c r="K58" s="207" t="str">
        <x:f>INDEX(Chantiers!$G$6:$G$805,MATCH($A58&amp;"/sauvegarde",Chantiers!$A$6:$A$805,0))</x:f>
        <x:v>En cours</x:v>
      </x:c>
      <x:c r="L58" s="207" t="str">
        <x:f>INDEX(Chantiers!$G$6:$G$805,MATCH($A58&amp;"/qa",Chantiers!$A$6:$A$805,0))</x:f>
        <x:v>En cours</x:v>
      </x:c>
      <x:c r="M58" s="207" t="n">
        <x:f>COUNTIF(C58:L58,"Validé")</x:f>
        <x:v>0</x:v>
      </x:c>
      <x:c r="N58" s="207" t="n">
        <x:f>COLUMNS(C58:L58)-M58</x:f>
        <x:v>10</x:v>
      </x:c>
    </x:row>
    <x:row r="59" ht="34" customHeight="1">
      <x:c r="A59" s="207" t="str">
        <x:v>EXT-MONDE-T054</x:v>
      </x:c>
      <x:c r="B59" s="208" t="str">
        <x:v>Usine de mécanique</x:v>
      </x:c>
      <x:c r="C59" s="207" t="str">
        <x:f>INDEX(Chantiers!$G$6:$G$805,MATCH($A59&amp;"/dimensions",Chantiers!$A$6:$A$805,0))</x:f>
        <x:v>En cours</x:v>
      </x:c>
      <x:c r="D59" s="207" t="str">
        <x:f>INDEX(Chantiers!$G$6:$G$805,MATCH($A59&amp;"/architecture",Chantiers!$A$6:$A$805,0))</x:f>
        <x:v>En cours</x:v>
      </x:c>
      <x:c r="E59" s="207" t="str">
        <x:f>INDEX(Chantiers!$G$6:$G$805,MATCH($A59&amp;"/seed",Chantiers!$A$6:$A$805,0))</x:f>
        <x:v>À faire</x:v>
      </x:c>
      <x:c r="F59" s="207" t="str">
        <x:f>INDEX(Chantiers!$G$6:$G$805,MATCH($A59&amp;"/props",Chantiers!$A$6:$A$805,0))</x:f>
        <x:v>En cours</x:v>
      </x:c>
      <x:c r="G59" s="207" t="str">
        <x:f>INDEX(Chantiers!$G$6:$G$805,MATCH($A59&amp;"/loot",Chantiers!$A$6:$A$805,0))</x:f>
        <x:v>À faire</x:v>
      </x:c>
      <x:c r="H59" s="207" t="str">
        <x:f>INDEX(Chantiers!$G$6:$G$805,MATCH($A59&amp;"/rencontres",Chantiers!$A$6:$A$805,0))</x:f>
        <x:v>À faire</x:v>
      </x:c>
      <x:c r="I59" s="207" t="str">
        <x:f>INDEX(Chantiers!$G$6:$G$805,MATCH($A59&amp;"/services",Chantiers!$A$6:$A$805,0))</x:f>
        <x:v>À faire</x:v>
      </x:c>
      <x:c r="J59" s="207" t="str">
        <x:f>INDEX(Chantiers!$G$6:$G$805,MATCH($A59&amp;"/art",Chantiers!$A$6:$A$805,0))</x:f>
        <x:v>À faire</x:v>
      </x:c>
      <x:c r="K59" s="207" t="str">
        <x:f>INDEX(Chantiers!$G$6:$G$805,MATCH($A59&amp;"/sauvegarde",Chantiers!$A$6:$A$805,0))</x:f>
        <x:v>En cours</x:v>
      </x:c>
      <x:c r="L59" s="207" t="str">
        <x:f>INDEX(Chantiers!$G$6:$G$805,MATCH($A59&amp;"/qa",Chantiers!$A$6:$A$805,0))</x:f>
        <x:v>En cours</x:v>
      </x:c>
      <x:c r="M59" s="207" t="n">
        <x:f>COUNTIF(C59:L59,"Validé")</x:f>
        <x:v>0</x:v>
      </x:c>
      <x:c r="N59" s="207" t="n">
        <x:f>COLUMNS(C59:L59)-M59</x:f>
        <x:v>10</x:v>
      </x:c>
    </x:row>
    <x:row r="60" ht="34" customHeight="1">
      <x:c r="A60" s="207" t="str">
        <x:v>EXT-MONDE-T055</x:v>
      </x:c>
      <x:c r="B60" s="208" t="str">
        <x:v>Usine textile</x:v>
      </x:c>
      <x:c r="C60" s="207" t="str">
        <x:f>INDEX(Chantiers!$G$6:$G$805,MATCH($A60&amp;"/dimensions",Chantiers!$A$6:$A$805,0))</x:f>
        <x:v>En cours</x:v>
      </x:c>
      <x:c r="D60" s="207" t="str">
        <x:f>INDEX(Chantiers!$G$6:$G$805,MATCH($A60&amp;"/architecture",Chantiers!$A$6:$A$805,0))</x:f>
        <x:v>En cours</x:v>
      </x:c>
      <x:c r="E60" s="207" t="str">
        <x:f>INDEX(Chantiers!$G$6:$G$805,MATCH($A60&amp;"/seed",Chantiers!$A$6:$A$805,0))</x:f>
        <x:v>À faire</x:v>
      </x:c>
      <x:c r="F60" s="207" t="str">
        <x:f>INDEX(Chantiers!$G$6:$G$805,MATCH($A60&amp;"/props",Chantiers!$A$6:$A$805,0))</x:f>
        <x:v>En cours</x:v>
      </x:c>
      <x:c r="G60" s="207" t="str">
        <x:f>INDEX(Chantiers!$G$6:$G$805,MATCH($A60&amp;"/loot",Chantiers!$A$6:$A$805,0))</x:f>
        <x:v>À faire</x:v>
      </x:c>
      <x:c r="H60" s="207" t="str">
        <x:f>INDEX(Chantiers!$G$6:$G$805,MATCH($A60&amp;"/rencontres",Chantiers!$A$6:$A$805,0))</x:f>
        <x:v>À faire</x:v>
      </x:c>
      <x:c r="I60" s="207" t="str">
        <x:f>INDEX(Chantiers!$G$6:$G$805,MATCH($A60&amp;"/services",Chantiers!$A$6:$A$805,0))</x:f>
        <x:v>À faire</x:v>
      </x:c>
      <x:c r="J60" s="207" t="str">
        <x:f>INDEX(Chantiers!$G$6:$G$805,MATCH($A60&amp;"/art",Chantiers!$A$6:$A$805,0))</x:f>
        <x:v>À faire</x:v>
      </x:c>
      <x:c r="K60" s="207" t="str">
        <x:f>INDEX(Chantiers!$G$6:$G$805,MATCH($A60&amp;"/sauvegarde",Chantiers!$A$6:$A$805,0))</x:f>
        <x:v>En cours</x:v>
      </x:c>
      <x:c r="L60" s="207" t="str">
        <x:f>INDEX(Chantiers!$G$6:$G$805,MATCH($A60&amp;"/qa",Chantiers!$A$6:$A$805,0))</x:f>
        <x:v>En cours</x:v>
      </x:c>
      <x:c r="M60" s="207" t="n">
        <x:f>COUNTIF(C60:L60,"Validé")</x:f>
        <x:v>0</x:v>
      </x:c>
      <x:c r="N60" s="207" t="n">
        <x:f>COLUMNS(C60:L60)-M60</x:f>
        <x:v>10</x:v>
      </x:c>
    </x:row>
    <x:row r="61" ht="34" customHeight="1">
      <x:c r="A61" s="207" t="str">
        <x:v>EXT-MONDE-T056</x:v>
      </x:c>
      <x:c r="B61" s="208" t="str">
        <x:v>Usine de matériaux</x:v>
      </x:c>
      <x:c r="C61" s="207" t="str">
        <x:f>INDEX(Chantiers!$G$6:$G$805,MATCH($A61&amp;"/dimensions",Chantiers!$A$6:$A$805,0))</x:f>
        <x:v>En cours</x:v>
      </x:c>
      <x:c r="D61" s="207" t="str">
        <x:f>INDEX(Chantiers!$G$6:$G$805,MATCH($A61&amp;"/architecture",Chantiers!$A$6:$A$805,0))</x:f>
        <x:v>En cours</x:v>
      </x:c>
      <x:c r="E61" s="207" t="str">
        <x:f>INDEX(Chantiers!$G$6:$G$805,MATCH($A61&amp;"/seed",Chantiers!$A$6:$A$805,0))</x:f>
        <x:v>À faire</x:v>
      </x:c>
      <x:c r="F61" s="207" t="str">
        <x:f>INDEX(Chantiers!$G$6:$G$805,MATCH($A61&amp;"/props",Chantiers!$A$6:$A$805,0))</x:f>
        <x:v>En cours</x:v>
      </x:c>
      <x:c r="G61" s="207" t="str">
        <x:f>INDEX(Chantiers!$G$6:$G$805,MATCH($A61&amp;"/loot",Chantiers!$A$6:$A$805,0))</x:f>
        <x:v>À faire</x:v>
      </x:c>
      <x:c r="H61" s="207" t="str">
        <x:f>INDEX(Chantiers!$G$6:$G$805,MATCH($A61&amp;"/rencontres",Chantiers!$A$6:$A$805,0))</x:f>
        <x:v>À faire</x:v>
      </x:c>
      <x:c r="I61" s="207" t="str">
        <x:f>INDEX(Chantiers!$G$6:$G$805,MATCH($A61&amp;"/services",Chantiers!$A$6:$A$805,0))</x:f>
        <x:v>À faire</x:v>
      </x:c>
      <x:c r="J61" s="207" t="str">
        <x:f>INDEX(Chantiers!$G$6:$G$805,MATCH($A61&amp;"/art",Chantiers!$A$6:$A$805,0))</x:f>
        <x:v>À faire</x:v>
      </x:c>
      <x:c r="K61" s="207" t="str">
        <x:f>INDEX(Chantiers!$G$6:$G$805,MATCH($A61&amp;"/sauvegarde",Chantiers!$A$6:$A$805,0))</x:f>
        <x:v>En cours</x:v>
      </x:c>
      <x:c r="L61" s="207" t="str">
        <x:f>INDEX(Chantiers!$G$6:$G$805,MATCH($A61&amp;"/qa",Chantiers!$A$6:$A$805,0))</x:f>
        <x:v>En cours</x:v>
      </x:c>
      <x:c r="M61" s="207" t="n">
        <x:f>COUNTIF(C61:L61,"Validé")</x:f>
        <x:v>0</x:v>
      </x:c>
      <x:c r="N61" s="207" t="n">
        <x:f>COLUMNS(C61:L61)-M61</x:f>
        <x:v>10</x:v>
      </x:c>
    </x:row>
    <x:row r="62" ht="34" customHeight="1">
      <x:c r="A62" s="207" t="str">
        <x:v>EXT-MONDE-T057</x:v>
      </x:c>
      <x:c r="B62" s="208" t="str">
        <x:v>Centrale thermique</x:v>
      </x:c>
      <x:c r="C62" s="207" t="str">
        <x:f>INDEX(Chantiers!$G$6:$G$805,MATCH($A62&amp;"/dimensions",Chantiers!$A$6:$A$805,0))</x:f>
        <x:v>En cours</x:v>
      </x:c>
      <x:c r="D62" s="207" t="str">
        <x:f>INDEX(Chantiers!$G$6:$G$805,MATCH($A62&amp;"/architecture",Chantiers!$A$6:$A$805,0))</x:f>
        <x:v>En cours</x:v>
      </x:c>
      <x:c r="E62" s="207" t="str">
        <x:f>INDEX(Chantiers!$G$6:$G$805,MATCH($A62&amp;"/seed",Chantiers!$A$6:$A$805,0))</x:f>
        <x:v>À faire</x:v>
      </x:c>
      <x:c r="F62" s="207" t="str">
        <x:f>INDEX(Chantiers!$G$6:$G$805,MATCH($A62&amp;"/props",Chantiers!$A$6:$A$805,0))</x:f>
        <x:v>En cours</x:v>
      </x:c>
      <x:c r="G62" s="207" t="str">
        <x:f>INDEX(Chantiers!$G$6:$G$805,MATCH($A62&amp;"/loot",Chantiers!$A$6:$A$805,0))</x:f>
        <x:v>À faire</x:v>
      </x:c>
      <x:c r="H62" s="207" t="str">
        <x:f>INDEX(Chantiers!$G$6:$G$805,MATCH($A62&amp;"/rencontres",Chantiers!$A$6:$A$805,0))</x:f>
        <x:v>À faire</x:v>
      </x:c>
      <x:c r="I62" s="207" t="str">
        <x:f>INDEX(Chantiers!$G$6:$G$805,MATCH($A62&amp;"/services",Chantiers!$A$6:$A$805,0))</x:f>
        <x:v>À faire</x:v>
      </x:c>
      <x:c r="J62" s="207" t="str">
        <x:f>INDEX(Chantiers!$G$6:$G$805,MATCH($A62&amp;"/art",Chantiers!$A$6:$A$805,0))</x:f>
        <x:v>À faire</x:v>
      </x:c>
      <x:c r="K62" s="207" t="str">
        <x:f>INDEX(Chantiers!$G$6:$G$805,MATCH($A62&amp;"/sauvegarde",Chantiers!$A$6:$A$805,0))</x:f>
        <x:v>En cours</x:v>
      </x:c>
      <x:c r="L62" s="207" t="str">
        <x:f>INDEX(Chantiers!$G$6:$G$805,MATCH($A62&amp;"/qa",Chantiers!$A$6:$A$805,0))</x:f>
        <x:v>En cours</x:v>
      </x:c>
      <x:c r="M62" s="207" t="n">
        <x:f>COUNTIF(C62:L62,"Validé")</x:f>
        <x:v>0</x:v>
      </x:c>
      <x:c r="N62" s="207" t="n">
        <x:f>COLUMNS(C62:L62)-M62</x:f>
        <x:v>10</x:v>
      </x:c>
    </x:row>
    <x:row r="63" ht="34" customHeight="1">
      <x:c r="A63" s="207" t="str">
        <x:v>EXT-MONDE-T058</x:v>
      </x:c>
      <x:c r="B63" s="208" t="str">
        <x:v>Centrale hydroélectrique</x:v>
      </x:c>
      <x:c r="C63" s="207" t="str">
        <x:f>INDEX(Chantiers!$G$6:$G$805,MATCH($A63&amp;"/dimensions",Chantiers!$A$6:$A$805,0))</x:f>
        <x:v>En cours</x:v>
      </x:c>
      <x:c r="D63" s="207" t="str">
        <x:f>INDEX(Chantiers!$G$6:$G$805,MATCH($A63&amp;"/architecture",Chantiers!$A$6:$A$805,0))</x:f>
        <x:v>En cours</x:v>
      </x:c>
      <x:c r="E63" s="207" t="str">
        <x:f>INDEX(Chantiers!$G$6:$G$805,MATCH($A63&amp;"/seed",Chantiers!$A$6:$A$805,0))</x:f>
        <x:v>À faire</x:v>
      </x:c>
      <x:c r="F63" s="207" t="str">
        <x:f>INDEX(Chantiers!$G$6:$G$805,MATCH($A63&amp;"/props",Chantiers!$A$6:$A$805,0))</x:f>
        <x:v>En cours</x:v>
      </x:c>
      <x:c r="G63" s="207" t="str">
        <x:f>INDEX(Chantiers!$G$6:$G$805,MATCH($A63&amp;"/loot",Chantiers!$A$6:$A$805,0))</x:f>
        <x:v>À faire</x:v>
      </x:c>
      <x:c r="H63" s="207" t="str">
        <x:f>INDEX(Chantiers!$G$6:$G$805,MATCH($A63&amp;"/rencontres",Chantiers!$A$6:$A$805,0))</x:f>
        <x:v>À faire</x:v>
      </x:c>
      <x:c r="I63" s="207" t="str">
        <x:f>INDEX(Chantiers!$G$6:$G$805,MATCH($A63&amp;"/services",Chantiers!$A$6:$A$805,0))</x:f>
        <x:v>À faire</x:v>
      </x:c>
      <x:c r="J63" s="207" t="str">
        <x:f>INDEX(Chantiers!$G$6:$G$805,MATCH($A63&amp;"/art",Chantiers!$A$6:$A$805,0))</x:f>
        <x:v>À faire</x:v>
      </x:c>
      <x:c r="K63" s="207" t="str">
        <x:f>INDEX(Chantiers!$G$6:$G$805,MATCH($A63&amp;"/sauvegarde",Chantiers!$A$6:$A$805,0))</x:f>
        <x:v>En cours</x:v>
      </x:c>
      <x:c r="L63" s="207" t="str">
        <x:f>INDEX(Chantiers!$G$6:$G$805,MATCH($A63&amp;"/qa",Chantiers!$A$6:$A$805,0))</x:f>
        <x:v>En cours</x:v>
      </x:c>
      <x:c r="M63" s="207" t="n">
        <x:f>COUNTIF(C63:L63,"Validé")</x:f>
        <x:v>0</x:v>
      </x:c>
      <x:c r="N63" s="207" t="n">
        <x:f>COLUMNS(C63:L63)-M63</x:f>
        <x:v>10</x:v>
      </x:c>
    </x:row>
    <x:row r="64" ht="34" customHeight="1">
      <x:c r="A64" s="207" t="str">
        <x:v>EXT-MONDE-T059</x:v>
      </x:c>
      <x:c r="B64" s="208" t="str">
        <x:v>Poste électrique régional</x:v>
      </x:c>
      <x:c r="C64" s="207" t="str">
        <x:f>INDEX(Chantiers!$G$6:$G$805,MATCH($A64&amp;"/dimensions",Chantiers!$A$6:$A$805,0))</x:f>
        <x:v>En cours</x:v>
      </x:c>
      <x:c r="D64" s="207" t="str">
        <x:f>INDEX(Chantiers!$G$6:$G$805,MATCH($A64&amp;"/architecture",Chantiers!$A$6:$A$805,0))</x:f>
        <x:v>En cours</x:v>
      </x:c>
      <x:c r="E64" s="207" t="str">
        <x:f>INDEX(Chantiers!$G$6:$G$805,MATCH($A64&amp;"/seed",Chantiers!$A$6:$A$805,0))</x:f>
        <x:v>À faire</x:v>
      </x:c>
      <x:c r="F64" s="207" t="str">
        <x:f>INDEX(Chantiers!$G$6:$G$805,MATCH($A64&amp;"/props",Chantiers!$A$6:$A$805,0))</x:f>
        <x:v>En cours</x:v>
      </x:c>
      <x:c r="G64" s="207" t="str">
        <x:f>INDEX(Chantiers!$G$6:$G$805,MATCH($A64&amp;"/loot",Chantiers!$A$6:$A$805,0))</x:f>
        <x:v>À faire</x:v>
      </x:c>
      <x:c r="H64" s="207" t="str">
        <x:f>INDEX(Chantiers!$G$6:$G$805,MATCH($A64&amp;"/rencontres",Chantiers!$A$6:$A$805,0))</x:f>
        <x:v>À faire</x:v>
      </x:c>
      <x:c r="I64" s="207" t="str">
        <x:f>INDEX(Chantiers!$G$6:$G$805,MATCH($A64&amp;"/services",Chantiers!$A$6:$A$805,0))</x:f>
        <x:v>À faire</x:v>
      </x:c>
      <x:c r="J64" s="207" t="str">
        <x:f>INDEX(Chantiers!$G$6:$G$805,MATCH($A64&amp;"/art",Chantiers!$A$6:$A$805,0))</x:f>
        <x:v>À faire</x:v>
      </x:c>
      <x:c r="K64" s="207" t="str">
        <x:f>INDEX(Chantiers!$G$6:$G$805,MATCH($A64&amp;"/sauvegarde",Chantiers!$A$6:$A$805,0))</x:f>
        <x:v>En cours</x:v>
      </x:c>
      <x:c r="L64" s="207" t="str">
        <x:f>INDEX(Chantiers!$G$6:$G$805,MATCH($A64&amp;"/qa",Chantiers!$A$6:$A$805,0))</x:f>
        <x:v>En cours</x:v>
      </x:c>
      <x:c r="M64" s="207" t="n">
        <x:f>COUNTIF(C64:L64,"Validé")</x:f>
        <x:v>0</x:v>
      </x:c>
      <x:c r="N64" s="207" t="n">
        <x:f>COLUMNS(C64:L64)-M64</x:f>
        <x:v>10</x:v>
      </x:c>
    </x:row>
    <x:row r="65" ht="34" customHeight="1">
      <x:c r="A65" s="207" t="str">
        <x:v>EXT-MONDE-T060</x:v>
      </x:c>
      <x:c r="B65" s="208" t="str">
        <x:v>Champ d’éoliennes</x:v>
      </x:c>
      <x:c r="C65" s="207" t="str">
        <x:f>INDEX(Chantiers!$G$6:$G$805,MATCH($A65&amp;"/dimensions",Chantiers!$A$6:$A$805,0))</x:f>
        <x:v>Validé</x:v>
      </x:c>
      <x:c r="D65" s="207" t="str">
        <x:f>INDEX(Chantiers!$G$6:$G$805,MATCH($A65&amp;"/architecture",Chantiers!$A$6:$A$805,0))</x:f>
        <x:v>En cours</x:v>
      </x:c>
      <x:c r="E65" s="207" t="str">
        <x:f>INDEX(Chantiers!$G$6:$G$805,MATCH($A65&amp;"/seed",Chantiers!$A$6:$A$805,0))</x:f>
        <x:v>À faire</x:v>
      </x:c>
      <x:c r="F65" s="207" t="str">
        <x:f>INDEX(Chantiers!$G$6:$G$805,MATCH($A65&amp;"/props",Chantiers!$A$6:$A$805,0))</x:f>
        <x:v>En cours</x:v>
      </x:c>
      <x:c r="G65" s="207" t="str">
        <x:f>INDEX(Chantiers!$G$6:$G$805,MATCH($A65&amp;"/loot",Chantiers!$A$6:$A$805,0))</x:f>
        <x:v>À faire</x:v>
      </x:c>
      <x:c r="H65" s="207" t="str">
        <x:f>INDEX(Chantiers!$G$6:$G$805,MATCH($A65&amp;"/rencontres",Chantiers!$A$6:$A$805,0))</x:f>
        <x:v>À faire</x:v>
      </x:c>
      <x:c r="I65" s="207" t="str">
        <x:f>INDEX(Chantiers!$G$6:$G$805,MATCH($A65&amp;"/services",Chantiers!$A$6:$A$805,0))</x:f>
        <x:v>À faire</x:v>
      </x:c>
      <x:c r="J65" s="207" t="str">
        <x:f>INDEX(Chantiers!$G$6:$G$805,MATCH($A65&amp;"/art",Chantiers!$A$6:$A$805,0))</x:f>
        <x:v>À faire</x:v>
      </x:c>
      <x:c r="K65" s="207" t="str">
        <x:f>INDEX(Chantiers!$G$6:$G$805,MATCH($A65&amp;"/sauvegarde",Chantiers!$A$6:$A$805,0))</x:f>
        <x:v>En cours</x:v>
      </x:c>
      <x:c r="L65" s="207" t="str">
        <x:f>INDEX(Chantiers!$G$6:$G$805,MATCH($A65&amp;"/qa",Chantiers!$A$6:$A$805,0))</x:f>
        <x:v>En cours</x:v>
      </x:c>
      <x:c r="M65" s="207" t="n">
        <x:f>COUNTIF(C65:L65,"Validé")</x:f>
        <x:v>1</x:v>
      </x:c>
      <x:c r="N65" s="207" t="n">
        <x:f>COLUMNS(C65:L65)-M65</x:f>
        <x:v>9</x:v>
      </x:c>
    </x:row>
    <x:row r="66" ht="34" customHeight="1">
      <x:c r="A66" s="207" t="str">
        <x:v>EXT-MONDE-T061</x:v>
      </x:c>
      <x:c r="B66" s="208" t="str">
        <x:v>Station d’épuration urbaine</x:v>
      </x:c>
      <x:c r="C66" s="207" t="str">
        <x:f>INDEX(Chantiers!$G$6:$G$805,MATCH($A66&amp;"/dimensions",Chantiers!$A$6:$A$805,0))</x:f>
        <x:v>En cours</x:v>
      </x:c>
      <x:c r="D66" s="207" t="str">
        <x:f>INDEX(Chantiers!$G$6:$G$805,MATCH($A66&amp;"/architecture",Chantiers!$A$6:$A$805,0))</x:f>
        <x:v>En cours</x:v>
      </x:c>
      <x:c r="E66" s="207" t="str">
        <x:f>INDEX(Chantiers!$G$6:$G$805,MATCH($A66&amp;"/seed",Chantiers!$A$6:$A$805,0))</x:f>
        <x:v>À faire</x:v>
      </x:c>
      <x:c r="F66" s="207" t="str">
        <x:f>INDEX(Chantiers!$G$6:$G$805,MATCH($A66&amp;"/props",Chantiers!$A$6:$A$805,0))</x:f>
        <x:v>En cours</x:v>
      </x:c>
      <x:c r="G66" s="207" t="str">
        <x:f>INDEX(Chantiers!$G$6:$G$805,MATCH($A66&amp;"/loot",Chantiers!$A$6:$A$805,0))</x:f>
        <x:v>À faire</x:v>
      </x:c>
      <x:c r="H66" s="207" t="str">
        <x:f>INDEX(Chantiers!$G$6:$G$805,MATCH($A66&amp;"/rencontres",Chantiers!$A$6:$A$805,0))</x:f>
        <x:v>À faire</x:v>
      </x:c>
      <x:c r="I66" s="207" t="str">
        <x:f>INDEX(Chantiers!$G$6:$G$805,MATCH($A66&amp;"/services",Chantiers!$A$6:$A$805,0))</x:f>
        <x:v>À faire</x:v>
      </x:c>
      <x:c r="J66" s="207" t="str">
        <x:f>INDEX(Chantiers!$G$6:$G$805,MATCH($A66&amp;"/art",Chantiers!$A$6:$A$805,0))</x:f>
        <x:v>À faire</x:v>
      </x:c>
      <x:c r="K66" s="207" t="str">
        <x:f>INDEX(Chantiers!$G$6:$G$805,MATCH($A66&amp;"/sauvegarde",Chantiers!$A$6:$A$805,0))</x:f>
        <x:v>En cours</x:v>
      </x:c>
      <x:c r="L66" s="207" t="str">
        <x:f>INDEX(Chantiers!$G$6:$G$805,MATCH($A66&amp;"/qa",Chantiers!$A$6:$A$805,0))</x:f>
        <x:v>En cours</x:v>
      </x:c>
      <x:c r="M66" s="207" t="n">
        <x:f>COUNTIF(C66:L66,"Validé")</x:f>
        <x:v>0</x:v>
      </x:c>
      <x:c r="N66" s="207" t="n">
        <x:f>COLUMNS(C66:L66)-M66</x:f>
        <x:v>10</x:v>
      </x:c>
    </x:row>
    <x:row r="67" ht="34" customHeight="1">
      <x:c r="A67" s="207" t="str">
        <x:v>EXT-MONDE-T062</x:v>
      </x:c>
      <x:c r="B67" s="208" t="str">
        <x:v>Station de lagunage</x:v>
      </x:c>
      <x:c r="C67" s="207" t="str">
        <x:f>INDEX(Chantiers!$G$6:$G$805,MATCH($A67&amp;"/dimensions",Chantiers!$A$6:$A$805,0))</x:f>
        <x:v>En cours</x:v>
      </x:c>
      <x:c r="D67" s="207" t="str">
        <x:f>INDEX(Chantiers!$G$6:$G$805,MATCH($A67&amp;"/architecture",Chantiers!$A$6:$A$805,0))</x:f>
        <x:v>En cours</x:v>
      </x:c>
      <x:c r="E67" s="207" t="str">
        <x:f>INDEX(Chantiers!$G$6:$G$805,MATCH($A67&amp;"/seed",Chantiers!$A$6:$A$805,0))</x:f>
        <x:v>À faire</x:v>
      </x:c>
      <x:c r="F67" s="207" t="str">
        <x:f>INDEX(Chantiers!$G$6:$G$805,MATCH($A67&amp;"/props",Chantiers!$A$6:$A$805,0))</x:f>
        <x:v>En cours</x:v>
      </x:c>
      <x:c r="G67" s="207" t="str">
        <x:f>INDEX(Chantiers!$G$6:$G$805,MATCH($A67&amp;"/loot",Chantiers!$A$6:$A$805,0))</x:f>
        <x:v>À faire</x:v>
      </x:c>
      <x:c r="H67" s="207" t="str">
        <x:f>INDEX(Chantiers!$G$6:$G$805,MATCH($A67&amp;"/rencontres",Chantiers!$A$6:$A$805,0))</x:f>
        <x:v>À faire</x:v>
      </x:c>
      <x:c r="I67" s="207" t="str">
        <x:f>INDEX(Chantiers!$G$6:$G$805,MATCH($A67&amp;"/services",Chantiers!$A$6:$A$805,0))</x:f>
        <x:v>À faire</x:v>
      </x:c>
      <x:c r="J67" s="207" t="str">
        <x:f>INDEX(Chantiers!$G$6:$G$805,MATCH($A67&amp;"/art",Chantiers!$A$6:$A$805,0))</x:f>
        <x:v>À faire</x:v>
      </x:c>
      <x:c r="K67" s="207" t="str">
        <x:f>INDEX(Chantiers!$G$6:$G$805,MATCH($A67&amp;"/sauvegarde",Chantiers!$A$6:$A$805,0))</x:f>
        <x:v>En cours</x:v>
      </x:c>
      <x:c r="L67" s="207" t="str">
        <x:f>INDEX(Chantiers!$G$6:$G$805,MATCH($A67&amp;"/qa",Chantiers!$A$6:$A$805,0))</x:f>
        <x:v>En cours</x:v>
      </x:c>
      <x:c r="M67" s="207" t="n">
        <x:f>COUNTIF(C67:L67,"Validé")</x:f>
        <x:v>0</x:v>
      </x:c>
      <x:c r="N67" s="207" t="n">
        <x:f>COLUMNS(C67:L67)-M67</x:f>
        <x:v>10</x:v>
      </x:c>
    </x:row>
    <x:row r="68" ht="34" customHeight="1">
      <x:c r="A68" s="207" t="str">
        <x:v>EXT-MONDE-T063</x:v>
      </x:c>
      <x:c r="B68" s="208" t="str">
        <x:v>Traitement des eaux industrielles</x:v>
      </x:c>
      <x:c r="C68" s="207" t="str">
        <x:f>INDEX(Chantiers!$G$6:$G$805,MATCH($A68&amp;"/dimensions",Chantiers!$A$6:$A$805,0))</x:f>
        <x:v>En cours</x:v>
      </x:c>
      <x:c r="D68" s="207" t="str">
        <x:f>INDEX(Chantiers!$G$6:$G$805,MATCH($A68&amp;"/architecture",Chantiers!$A$6:$A$805,0))</x:f>
        <x:v>En cours</x:v>
      </x:c>
      <x:c r="E68" s="207" t="str">
        <x:f>INDEX(Chantiers!$G$6:$G$805,MATCH($A68&amp;"/seed",Chantiers!$A$6:$A$805,0))</x:f>
        <x:v>À faire</x:v>
      </x:c>
      <x:c r="F68" s="207" t="str">
        <x:f>INDEX(Chantiers!$G$6:$G$805,MATCH($A68&amp;"/props",Chantiers!$A$6:$A$805,0))</x:f>
        <x:v>En cours</x:v>
      </x:c>
      <x:c r="G68" s="207" t="str">
        <x:f>INDEX(Chantiers!$G$6:$G$805,MATCH($A68&amp;"/loot",Chantiers!$A$6:$A$805,0))</x:f>
        <x:v>À faire</x:v>
      </x:c>
      <x:c r="H68" s="207" t="str">
        <x:f>INDEX(Chantiers!$G$6:$G$805,MATCH($A68&amp;"/rencontres",Chantiers!$A$6:$A$805,0))</x:f>
        <x:v>À faire</x:v>
      </x:c>
      <x:c r="I68" s="207" t="str">
        <x:f>INDEX(Chantiers!$G$6:$G$805,MATCH($A68&amp;"/services",Chantiers!$A$6:$A$805,0))</x:f>
        <x:v>À faire</x:v>
      </x:c>
      <x:c r="J68" s="207" t="str">
        <x:f>INDEX(Chantiers!$G$6:$G$805,MATCH($A68&amp;"/art",Chantiers!$A$6:$A$805,0))</x:f>
        <x:v>À faire</x:v>
      </x:c>
      <x:c r="K68" s="207" t="str">
        <x:f>INDEX(Chantiers!$G$6:$G$805,MATCH($A68&amp;"/sauvegarde",Chantiers!$A$6:$A$805,0))</x:f>
        <x:v>En cours</x:v>
      </x:c>
      <x:c r="L68" s="207" t="str">
        <x:f>INDEX(Chantiers!$G$6:$G$805,MATCH($A68&amp;"/qa",Chantiers!$A$6:$A$805,0))</x:f>
        <x:v>En cours</x:v>
      </x:c>
      <x:c r="M68" s="207" t="n">
        <x:f>COUNTIF(C68:L68,"Validé")</x:f>
        <x:v>0</x:v>
      </x:c>
      <x:c r="N68" s="207" t="n">
        <x:f>COLUMNS(C68:L68)-M68</x:f>
        <x:v>10</x:v>
      </x:c>
    </x:row>
    <x:row r="69" ht="34" customHeight="1">
      <x:c r="A69" s="207" t="str">
        <x:v>EXT-MONDE-T064</x:v>
      </x:c>
      <x:c r="B69" s="208" t="str">
        <x:v>Usine de potabilisation</x:v>
      </x:c>
      <x:c r="C69" s="207" t="str">
        <x:f>INDEX(Chantiers!$G$6:$G$805,MATCH($A69&amp;"/dimensions",Chantiers!$A$6:$A$805,0))</x:f>
        <x:v>En cours</x:v>
      </x:c>
      <x:c r="D69" s="207" t="str">
        <x:f>INDEX(Chantiers!$G$6:$G$805,MATCH($A69&amp;"/architecture",Chantiers!$A$6:$A$805,0))</x:f>
        <x:v>En cours</x:v>
      </x:c>
      <x:c r="E69" s="207" t="str">
        <x:f>INDEX(Chantiers!$G$6:$G$805,MATCH($A69&amp;"/seed",Chantiers!$A$6:$A$805,0))</x:f>
        <x:v>À faire</x:v>
      </x:c>
      <x:c r="F69" s="207" t="str">
        <x:f>INDEX(Chantiers!$G$6:$G$805,MATCH($A69&amp;"/props",Chantiers!$A$6:$A$805,0))</x:f>
        <x:v>En cours</x:v>
      </x:c>
      <x:c r="G69" s="207" t="str">
        <x:f>INDEX(Chantiers!$G$6:$G$805,MATCH($A69&amp;"/loot",Chantiers!$A$6:$A$805,0))</x:f>
        <x:v>À faire</x:v>
      </x:c>
      <x:c r="H69" s="207" t="str">
        <x:f>INDEX(Chantiers!$G$6:$G$805,MATCH($A69&amp;"/rencontres",Chantiers!$A$6:$A$805,0))</x:f>
        <x:v>À faire</x:v>
      </x:c>
      <x:c r="I69" s="207" t="str">
        <x:f>INDEX(Chantiers!$G$6:$G$805,MATCH($A69&amp;"/services",Chantiers!$A$6:$A$805,0))</x:f>
        <x:v>À faire</x:v>
      </x:c>
      <x:c r="J69" s="207" t="str">
        <x:f>INDEX(Chantiers!$G$6:$G$805,MATCH($A69&amp;"/art",Chantiers!$A$6:$A$805,0))</x:f>
        <x:v>À faire</x:v>
      </x:c>
      <x:c r="K69" s="207" t="str">
        <x:f>INDEX(Chantiers!$G$6:$G$805,MATCH($A69&amp;"/sauvegarde",Chantiers!$A$6:$A$805,0))</x:f>
        <x:v>En cours</x:v>
      </x:c>
      <x:c r="L69" s="207" t="str">
        <x:f>INDEX(Chantiers!$G$6:$G$805,MATCH($A69&amp;"/qa",Chantiers!$A$6:$A$805,0))</x:f>
        <x:v>En cours</x:v>
      </x:c>
      <x:c r="M69" s="207" t="n">
        <x:f>COUNTIF(C69:L69,"Validé")</x:f>
        <x:v>0</x:v>
      </x:c>
      <x:c r="N69" s="207" t="n">
        <x:f>COLUMNS(C69:L69)-M69</x:f>
        <x:v>10</x:v>
      </x:c>
    </x:row>
    <x:row r="70" ht="34" customHeight="1">
      <x:c r="A70" s="207" t="str">
        <x:v>EXT-MONDE-T065</x:v>
      </x:c>
      <x:c r="B70" s="208" t="str">
        <x:v>Stade municipal</x:v>
      </x:c>
      <x:c r="C70" s="207" t="str">
        <x:f>INDEX(Chantiers!$G$6:$G$805,MATCH($A70&amp;"/dimensions",Chantiers!$A$6:$A$805,0))</x:f>
        <x:v>Validé</x:v>
      </x:c>
      <x:c r="D70" s="207" t="str">
        <x:f>INDEX(Chantiers!$G$6:$G$805,MATCH($A70&amp;"/architecture",Chantiers!$A$6:$A$805,0))</x:f>
        <x:v>En cours</x:v>
      </x:c>
      <x:c r="E70" s="207" t="str">
        <x:f>INDEX(Chantiers!$G$6:$G$805,MATCH($A70&amp;"/seed",Chantiers!$A$6:$A$805,0))</x:f>
        <x:v>À faire</x:v>
      </x:c>
      <x:c r="F70" s="207" t="str">
        <x:f>INDEX(Chantiers!$G$6:$G$805,MATCH($A70&amp;"/props",Chantiers!$A$6:$A$805,0))</x:f>
        <x:v>En cours</x:v>
      </x:c>
      <x:c r="G70" s="207" t="str">
        <x:f>INDEX(Chantiers!$G$6:$G$805,MATCH($A70&amp;"/loot",Chantiers!$A$6:$A$805,0))</x:f>
        <x:v>À faire</x:v>
      </x:c>
      <x:c r="H70" s="207" t="str">
        <x:f>INDEX(Chantiers!$G$6:$G$805,MATCH($A70&amp;"/rencontres",Chantiers!$A$6:$A$805,0))</x:f>
        <x:v>À faire</x:v>
      </x:c>
      <x:c r="I70" s="207" t="str">
        <x:f>INDEX(Chantiers!$G$6:$G$805,MATCH($A70&amp;"/services",Chantiers!$A$6:$A$805,0))</x:f>
        <x:v>À faire</x:v>
      </x:c>
      <x:c r="J70" s="207" t="str">
        <x:f>INDEX(Chantiers!$G$6:$G$805,MATCH($A70&amp;"/art",Chantiers!$A$6:$A$805,0))</x:f>
        <x:v>À faire</x:v>
      </x:c>
      <x:c r="K70" s="207" t="str">
        <x:f>INDEX(Chantiers!$G$6:$G$805,MATCH($A70&amp;"/sauvegarde",Chantiers!$A$6:$A$805,0))</x:f>
        <x:v>En cours</x:v>
      </x:c>
      <x:c r="L70" s="207" t="str">
        <x:f>INDEX(Chantiers!$G$6:$G$805,MATCH($A70&amp;"/qa",Chantiers!$A$6:$A$805,0))</x:f>
        <x:v>En cours</x:v>
      </x:c>
      <x:c r="M70" s="207" t="n">
        <x:f>COUNTIF(C70:L70,"Validé")</x:f>
        <x:v>1</x:v>
      </x:c>
      <x:c r="N70" s="207" t="n">
        <x:f>COLUMNS(C70:L70)-M70</x:f>
        <x:v>9</x:v>
      </x:c>
    </x:row>
    <x:row r="71" ht="34" customHeight="1">
      <x:c r="A71" s="207" t="str">
        <x:v>EXT-MONDE-T066</x:v>
      </x:c>
      <x:c r="B71" s="208" t="str">
        <x:v>Grand stade couvert</x:v>
      </x:c>
      <x:c r="C71" s="207" t="str">
        <x:f>INDEX(Chantiers!$G$6:$G$805,MATCH($A71&amp;"/dimensions",Chantiers!$A$6:$A$805,0))</x:f>
        <x:v>Validé</x:v>
      </x:c>
      <x:c r="D71" s="207" t="str">
        <x:f>INDEX(Chantiers!$G$6:$G$805,MATCH($A71&amp;"/architecture",Chantiers!$A$6:$A$805,0))</x:f>
        <x:v>En cours</x:v>
      </x:c>
      <x:c r="E71" s="207" t="str">
        <x:f>INDEX(Chantiers!$G$6:$G$805,MATCH($A71&amp;"/seed",Chantiers!$A$6:$A$805,0))</x:f>
        <x:v>À faire</x:v>
      </x:c>
      <x:c r="F71" s="207" t="str">
        <x:f>INDEX(Chantiers!$G$6:$G$805,MATCH($A71&amp;"/props",Chantiers!$A$6:$A$805,0))</x:f>
        <x:v>En cours</x:v>
      </x:c>
      <x:c r="G71" s="207" t="str">
        <x:f>INDEX(Chantiers!$G$6:$G$805,MATCH($A71&amp;"/loot",Chantiers!$A$6:$A$805,0))</x:f>
        <x:v>À faire</x:v>
      </x:c>
      <x:c r="H71" s="207" t="str">
        <x:f>INDEX(Chantiers!$G$6:$G$805,MATCH($A71&amp;"/rencontres",Chantiers!$A$6:$A$805,0))</x:f>
        <x:v>À faire</x:v>
      </x:c>
      <x:c r="I71" s="207" t="str">
        <x:f>INDEX(Chantiers!$G$6:$G$805,MATCH($A71&amp;"/services",Chantiers!$A$6:$A$805,0))</x:f>
        <x:v>À faire</x:v>
      </x:c>
      <x:c r="J71" s="207" t="str">
        <x:f>INDEX(Chantiers!$G$6:$G$805,MATCH($A71&amp;"/art",Chantiers!$A$6:$A$805,0))</x:f>
        <x:v>À faire</x:v>
      </x:c>
      <x:c r="K71" s="207" t="str">
        <x:f>INDEX(Chantiers!$G$6:$G$805,MATCH($A71&amp;"/sauvegarde",Chantiers!$A$6:$A$805,0))</x:f>
        <x:v>En cours</x:v>
      </x:c>
      <x:c r="L71" s="207" t="str">
        <x:f>INDEX(Chantiers!$G$6:$G$805,MATCH($A71&amp;"/qa",Chantiers!$A$6:$A$805,0))</x:f>
        <x:v>En cours</x:v>
      </x:c>
      <x:c r="M71" s="207" t="n">
        <x:f>COUNTIF(C71:L71,"Validé")</x:f>
        <x:v>1</x:v>
      </x:c>
      <x:c r="N71" s="207" t="n">
        <x:f>COLUMNS(C71:L71)-M71</x:f>
        <x:v>9</x:v>
      </x:c>
    </x:row>
    <x:row r="72" ht="34" customHeight="1">
      <x:c r="A72" s="207" t="str">
        <x:v>EXT-MONDE-T067</x:v>
      </x:c>
      <x:c r="B72" s="208" t="str">
        <x:v>Vélodrome</x:v>
      </x:c>
      <x:c r="C72" s="207" t="str">
        <x:f>INDEX(Chantiers!$G$6:$G$805,MATCH($A72&amp;"/dimensions",Chantiers!$A$6:$A$805,0))</x:f>
        <x:v>En cours</x:v>
      </x:c>
      <x:c r="D72" s="207" t="str">
        <x:f>INDEX(Chantiers!$G$6:$G$805,MATCH($A72&amp;"/architecture",Chantiers!$A$6:$A$805,0))</x:f>
        <x:v>En cours</x:v>
      </x:c>
      <x:c r="E72" s="207" t="str">
        <x:f>INDEX(Chantiers!$G$6:$G$805,MATCH($A72&amp;"/seed",Chantiers!$A$6:$A$805,0))</x:f>
        <x:v>À faire</x:v>
      </x:c>
      <x:c r="F72" s="207" t="str">
        <x:f>INDEX(Chantiers!$G$6:$G$805,MATCH($A72&amp;"/props",Chantiers!$A$6:$A$805,0))</x:f>
        <x:v>En cours</x:v>
      </x:c>
      <x:c r="G72" s="207" t="str">
        <x:f>INDEX(Chantiers!$G$6:$G$805,MATCH($A72&amp;"/loot",Chantiers!$A$6:$A$805,0))</x:f>
        <x:v>À faire</x:v>
      </x:c>
      <x:c r="H72" s="207" t="str">
        <x:f>INDEX(Chantiers!$G$6:$G$805,MATCH($A72&amp;"/rencontres",Chantiers!$A$6:$A$805,0))</x:f>
        <x:v>À faire</x:v>
      </x:c>
      <x:c r="I72" s="207" t="str">
        <x:f>INDEX(Chantiers!$G$6:$G$805,MATCH($A72&amp;"/services",Chantiers!$A$6:$A$805,0))</x:f>
        <x:v>À faire</x:v>
      </x:c>
      <x:c r="J72" s="207" t="str">
        <x:f>INDEX(Chantiers!$G$6:$G$805,MATCH($A72&amp;"/art",Chantiers!$A$6:$A$805,0))</x:f>
        <x:v>À faire</x:v>
      </x:c>
      <x:c r="K72" s="207" t="str">
        <x:f>INDEX(Chantiers!$G$6:$G$805,MATCH($A72&amp;"/sauvegarde",Chantiers!$A$6:$A$805,0))</x:f>
        <x:v>En cours</x:v>
      </x:c>
      <x:c r="L72" s="207" t="str">
        <x:f>INDEX(Chantiers!$G$6:$G$805,MATCH($A72&amp;"/qa",Chantiers!$A$6:$A$805,0))</x:f>
        <x:v>En cours</x:v>
      </x:c>
      <x:c r="M72" s="207" t="n">
        <x:f>COUNTIF(C72:L72,"Validé")</x:f>
        <x:v>0</x:v>
      </x:c>
      <x:c r="N72" s="207" t="n">
        <x:f>COLUMNS(C72:L72)-M72</x:f>
        <x:v>10</x:v>
      </x:c>
    </x:row>
    <x:row r="73" ht="34" customHeight="1">
      <x:c r="A73" s="207" t="str">
        <x:v>EXT-MONDE-T068</x:v>
      </x:c>
      <x:c r="B73" s="208" t="str">
        <x:v>Complexe sportif</x:v>
      </x:c>
      <x:c r="C73" s="207" t="str">
        <x:f>INDEX(Chantiers!$G$6:$G$805,MATCH($A73&amp;"/dimensions",Chantiers!$A$6:$A$805,0))</x:f>
        <x:v>En cours</x:v>
      </x:c>
      <x:c r="D73" s="207" t="str">
        <x:f>INDEX(Chantiers!$G$6:$G$805,MATCH($A73&amp;"/architecture",Chantiers!$A$6:$A$805,0))</x:f>
        <x:v>En cours</x:v>
      </x:c>
      <x:c r="E73" s="207" t="str">
        <x:f>INDEX(Chantiers!$G$6:$G$805,MATCH($A73&amp;"/seed",Chantiers!$A$6:$A$805,0))</x:f>
        <x:v>À faire</x:v>
      </x:c>
      <x:c r="F73" s="207" t="str">
        <x:f>INDEX(Chantiers!$G$6:$G$805,MATCH($A73&amp;"/props",Chantiers!$A$6:$A$805,0))</x:f>
        <x:v>En cours</x:v>
      </x:c>
      <x:c r="G73" s="207" t="str">
        <x:f>INDEX(Chantiers!$G$6:$G$805,MATCH($A73&amp;"/loot",Chantiers!$A$6:$A$805,0))</x:f>
        <x:v>À faire</x:v>
      </x:c>
      <x:c r="H73" s="207" t="str">
        <x:f>INDEX(Chantiers!$G$6:$G$805,MATCH($A73&amp;"/rencontres",Chantiers!$A$6:$A$805,0))</x:f>
        <x:v>À faire</x:v>
      </x:c>
      <x:c r="I73" s="207" t="str">
        <x:f>INDEX(Chantiers!$G$6:$G$805,MATCH($A73&amp;"/services",Chantiers!$A$6:$A$805,0))</x:f>
        <x:v>À faire</x:v>
      </x:c>
      <x:c r="J73" s="207" t="str">
        <x:f>INDEX(Chantiers!$G$6:$G$805,MATCH($A73&amp;"/art",Chantiers!$A$6:$A$805,0))</x:f>
        <x:v>À faire</x:v>
      </x:c>
      <x:c r="K73" s="207" t="str">
        <x:f>INDEX(Chantiers!$G$6:$G$805,MATCH($A73&amp;"/sauvegarde",Chantiers!$A$6:$A$805,0))</x:f>
        <x:v>En cours</x:v>
      </x:c>
      <x:c r="L73" s="207" t="str">
        <x:f>INDEX(Chantiers!$G$6:$G$805,MATCH($A73&amp;"/qa",Chantiers!$A$6:$A$805,0))</x:f>
        <x:v>En cours</x:v>
      </x:c>
      <x:c r="M73" s="207" t="n">
        <x:f>COUNTIF(C73:L73,"Validé")</x:f>
        <x:v>0</x:v>
      </x:c>
      <x:c r="N73" s="207" t="n">
        <x:f>COLUMNS(C73:L73)-M73</x:f>
        <x:v>10</x:v>
      </x:c>
    </x:row>
    <x:row r="74" ht="34" customHeight="1">
      <x:c r="A74" s="207" t="str">
        <x:v>EXT-MONDE-T069</x:v>
      </x:c>
      <x:c r="B74" s="208" t="str">
        <x:v>Aérodrome régional</x:v>
      </x:c>
      <x:c r="C74" s="207" t="str">
        <x:f>INDEX(Chantiers!$G$6:$G$805,MATCH($A74&amp;"/dimensions",Chantiers!$A$6:$A$805,0))</x:f>
        <x:v>En cours</x:v>
      </x:c>
      <x:c r="D74" s="207" t="str">
        <x:f>INDEX(Chantiers!$G$6:$G$805,MATCH($A74&amp;"/architecture",Chantiers!$A$6:$A$805,0))</x:f>
        <x:v>En cours</x:v>
      </x:c>
      <x:c r="E74" s="207" t="str">
        <x:f>INDEX(Chantiers!$G$6:$G$805,MATCH($A74&amp;"/seed",Chantiers!$A$6:$A$805,0))</x:f>
        <x:v>À faire</x:v>
      </x:c>
      <x:c r="F74" s="207" t="str">
        <x:f>INDEX(Chantiers!$G$6:$G$805,MATCH($A74&amp;"/props",Chantiers!$A$6:$A$805,0))</x:f>
        <x:v>En cours</x:v>
      </x:c>
      <x:c r="G74" s="207" t="str">
        <x:f>INDEX(Chantiers!$G$6:$G$805,MATCH($A74&amp;"/loot",Chantiers!$A$6:$A$805,0))</x:f>
        <x:v>À faire</x:v>
      </x:c>
      <x:c r="H74" s="207" t="str">
        <x:f>INDEX(Chantiers!$G$6:$G$805,MATCH($A74&amp;"/rencontres",Chantiers!$A$6:$A$805,0))</x:f>
        <x:v>À faire</x:v>
      </x:c>
      <x:c r="I74" s="207" t="str">
        <x:f>INDEX(Chantiers!$G$6:$G$805,MATCH($A74&amp;"/services",Chantiers!$A$6:$A$805,0))</x:f>
        <x:v>À faire</x:v>
      </x:c>
      <x:c r="J74" s="207" t="str">
        <x:f>INDEX(Chantiers!$G$6:$G$805,MATCH($A74&amp;"/art",Chantiers!$A$6:$A$805,0))</x:f>
        <x:v>À faire</x:v>
      </x:c>
      <x:c r="K74" s="207" t="str">
        <x:f>INDEX(Chantiers!$G$6:$G$805,MATCH($A74&amp;"/sauvegarde",Chantiers!$A$6:$A$805,0))</x:f>
        <x:v>En cours</x:v>
      </x:c>
      <x:c r="L74" s="207" t="str">
        <x:f>INDEX(Chantiers!$G$6:$G$805,MATCH($A74&amp;"/qa",Chantiers!$A$6:$A$805,0))</x:f>
        <x:v>En cours</x:v>
      </x:c>
      <x:c r="M74" s="207" t="n">
        <x:f>COUNTIF(C74:L74,"Validé")</x:f>
        <x:v>0</x:v>
      </x:c>
      <x:c r="N74" s="207" t="n">
        <x:f>COLUMNS(C74:L74)-M74</x:f>
        <x:v>10</x:v>
      </x:c>
    </x:row>
    <x:row r="75" ht="34" customHeight="1">
      <x:c r="A75" s="207" t="str">
        <x:v>EXT-MONDE-T070</x:v>
      </x:c>
      <x:c r="B75" s="208" t="str">
        <x:v>Aéroport international</x:v>
      </x:c>
      <x:c r="C75" s="207" t="str">
        <x:f>INDEX(Chantiers!$G$6:$G$805,MATCH($A75&amp;"/dimensions",Chantiers!$A$6:$A$805,0))</x:f>
        <x:v>En cours</x:v>
      </x:c>
      <x:c r="D75" s="207" t="str">
        <x:f>INDEX(Chantiers!$G$6:$G$805,MATCH($A75&amp;"/architecture",Chantiers!$A$6:$A$805,0))</x:f>
        <x:v>En cours</x:v>
      </x:c>
      <x:c r="E75" s="207" t="str">
        <x:f>INDEX(Chantiers!$G$6:$G$805,MATCH($A75&amp;"/seed",Chantiers!$A$6:$A$805,0))</x:f>
        <x:v>À faire</x:v>
      </x:c>
      <x:c r="F75" s="207" t="str">
        <x:f>INDEX(Chantiers!$G$6:$G$805,MATCH($A75&amp;"/props",Chantiers!$A$6:$A$805,0))</x:f>
        <x:v>En cours</x:v>
      </x:c>
      <x:c r="G75" s="207" t="str">
        <x:f>INDEX(Chantiers!$G$6:$G$805,MATCH($A75&amp;"/loot",Chantiers!$A$6:$A$805,0))</x:f>
        <x:v>À faire</x:v>
      </x:c>
      <x:c r="H75" s="207" t="str">
        <x:f>INDEX(Chantiers!$G$6:$G$805,MATCH($A75&amp;"/rencontres",Chantiers!$A$6:$A$805,0))</x:f>
        <x:v>À faire</x:v>
      </x:c>
      <x:c r="I75" s="207" t="str">
        <x:f>INDEX(Chantiers!$G$6:$G$805,MATCH($A75&amp;"/services",Chantiers!$A$6:$A$805,0))</x:f>
        <x:v>À faire</x:v>
      </x:c>
      <x:c r="J75" s="207" t="str">
        <x:f>INDEX(Chantiers!$G$6:$G$805,MATCH($A75&amp;"/art",Chantiers!$A$6:$A$805,0))</x:f>
        <x:v>À faire</x:v>
      </x:c>
      <x:c r="K75" s="207" t="str">
        <x:f>INDEX(Chantiers!$G$6:$G$805,MATCH($A75&amp;"/sauvegarde",Chantiers!$A$6:$A$805,0))</x:f>
        <x:v>En cours</x:v>
      </x:c>
      <x:c r="L75" s="207" t="str">
        <x:f>INDEX(Chantiers!$G$6:$G$805,MATCH($A75&amp;"/qa",Chantiers!$A$6:$A$805,0))</x:f>
        <x:v>En cours</x:v>
      </x:c>
      <x:c r="M75" s="207" t="n">
        <x:f>COUNTIF(C75:L75,"Validé")</x:f>
        <x:v>0</x:v>
      </x:c>
      <x:c r="N75" s="207" t="n">
        <x:f>COLUMNS(C75:L75)-M75</x:f>
        <x:v>10</x:v>
      </x:c>
    </x:row>
    <x:row r="76" ht="34" customHeight="1">
      <x:c r="A76" s="207" t="str">
        <x:v>EXT-MONDE-T071</x:v>
      </x:c>
      <x:c r="B76" s="208" t="str">
        <x:v>Aéroport de fret</x:v>
      </x:c>
      <x:c r="C76" s="207" t="str">
        <x:f>INDEX(Chantiers!$G$6:$G$805,MATCH($A76&amp;"/dimensions",Chantiers!$A$6:$A$805,0))</x:f>
        <x:v>En cours</x:v>
      </x:c>
      <x:c r="D76" s="207" t="str">
        <x:f>INDEX(Chantiers!$G$6:$G$805,MATCH($A76&amp;"/architecture",Chantiers!$A$6:$A$805,0))</x:f>
        <x:v>En cours</x:v>
      </x:c>
      <x:c r="E76" s="207" t="str">
        <x:f>INDEX(Chantiers!$G$6:$G$805,MATCH($A76&amp;"/seed",Chantiers!$A$6:$A$805,0))</x:f>
        <x:v>À faire</x:v>
      </x:c>
      <x:c r="F76" s="207" t="str">
        <x:f>INDEX(Chantiers!$G$6:$G$805,MATCH($A76&amp;"/props",Chantiers!$A$6:$A$805,0))</x:f>
        <x:v>En cours</x:v>
      </x:c>
      <x:c r="G76" s="207" t="str">
        <x:f>INDEX(Chantiers!$G$6:$G$805,MATCH($A76&amp;"/loot",Chantiers!$A$6:$A$805,0))</x:f>
        <x:v>À faire</x:v>
      </x:c>
      <x:c r="H76" s="207" t="str">
        <x:f>INDEX(Chantiers!$G$6:$G$805,MATCH($A76&amp;"/rencontres",Chantiers!$A$6:$A$805,0))</x:f>
        <x:v>À faire</x:v>
      </x:c>
      <x:c r="I76" s="207" t="str">
        <x:f>INDEX(Chantiers!$G$6:$G$805,MATCH($A76&amp;"/services",Chantiers!$A$6:$A$805,0))</x:f>
        <x:v>À faire</x:v>
      </x:c>
      <x:c r="J76" s="207" t="str">
        <x:f>INDEX(Chantiers!$G$6:$G$805,MATCH($A76&amp;"/art",Chantiers!$A$6:$A$805,0))</x:f>
        <x:v>À faire</x:v>
      </x:c>
      <x:c r="K76" s="207" t="str">
        <x:f>INDEX(Chantiers!$G$6:$G$805,MATCH($A76&amp;"/sauvegarde",Chantiers!$A$6:$A$805,0))</x:f>
        <x:v>En cours</x:v>
      </x:c>
      <x:c r="L76" s="207" t="str">
        <x:f>INDEX(Chantiers!$G$6:$G$805,MATCH($A76&amp;"/qa",Chantiers!$A$6:$A$805,0))</x:f>
        <x:v>En cours</x:v>
      </x:c>
      <x:c r="M76" s="207" t="n">
        <x:f>COUNTIF(C76:L76,"Validé")</x:f>
        <x:v>0</x:v>
      </x:c>
      <x:c r="N76" s="207" t="n">
        <x:f>COLUMNS(C76:L76)-M76</x:f>
        <x:v>10</x:v>
      </x:c>
    </x:row>
    <x:row r="77" ht="34" customHeight="1">
      <x:c r="A77" s="207" t="str">
        <x:v>EXT-MONDE-T072</x:v>
      </x:c>
      <x:c r="B77" s="208" t="str">
        <x:v>Aérodrome insulaire</x:v>
      </x:c>
      <x:c r="C77" s="207" t="str">
        <x:f>INDEX(Chantiers!$G$6:$G$805,MATCH($A77&amp;"/dimensions",Chantiers!$A$6:$A$805,0))</x:f>
        <x:v>En cours</x:v>
      </x:c>
      <x:c r="D77" s="207" t="str">
        <x:f>INDEX(Chantiers!$G$6:$G$805,MATCH($A77&amp;"/architecture",Chantiers!$A$6:$A$805,0))</x:f>
        <x:v>En cours</x:v>
      </x:c>
      <x:c r="E77" s="207" t="str">
        <x:f>INDEX(Chantiers!$G$6:$G$805,MATCH($A77&amp;"/seed",Chantiers!$A$6:$A$805,0))</x:f>
        <x:v>À faire</x:v>
      </x:c>
      <x:c r="F77" s="207" t="str">
        <x:f>INDEX(Chantiers!$G$6:$G$805,MATCH($A77&amp;"/props",Chantiers!$A$6:$A$805,0))</x:f>
        <x:v>En cours</x:v>
      </x:c>
      <x:c r="G77" s="207" t="str">
        <x:f>INDEX(Chantiers!$G$6:$G$805,MATCH($A77&amp;"/loot",Chantiers!$A$6:$A$805,0))</x:f>
        <x:v>À faire</x:v>
      </x:c>
      <x:c r="H77" s="207" t="str">
        <x:f>INDEX(Chantiers!$G$6:$G$805,MATCH($A77&amp;"/rencontres",Chantiers!$A$6:$A$805,0))</x:f>
        <x:v>À faire</x:v>
      </x:c>
      <x:c r="I77" s="207" t="str">
        <x:f>INDEX(Chantiers!$G$6:$G$805,MATCH($A77&amp;"/services",Chantiers!$A$6:$A$805,0))</x:f>
        <x:v>À faire</x:v>
      </x:c>
      <x:c r="J77" s="207" t="str">
        <x:f>INDEX(Chantiers!$G$6:$G$805,MATCH($A77&amp;"/art",Chantiers!$A$6:$A$805,0))</x:f>
        <x:v>À faire</x:v>
      </x:c>
      <x:c r="K77" s="207" t="str">
        <x:f>INDEX(Chantiers!$G$6:$G$805,MATCH($A77&amp;"/sauvegarde",Chantiers!$A$6:$A$805,0))</x:f>
        <x:v>En cours</x:v>
      </x:c>
      <x:c r="L77" s="207" t="str">
        <x:f>INDEX(Chantiers!$G$6:$G$805,MATCH($A77&amp;"/qa",Chantiers!$A$6:$A$805,0))</x:f>
        <x:v>En cours</x:v>
      </x:c>
      <x:c r="M77" s="207" t="n">
        <x:f>COUNTIF(C77:L77,"Validé")</x:f>
        <x:v>0</x:v>
      </x:c>
      <x:c r="N77" s="207" t="n">
        <x:f>COLUMNS(C77:L77)-M77</x:f>
        <x:v>10</x:v>
      </x:c>
    </x:row>
    <x:row r="78" ht="34" customHeight="1">
      <x:c r="A78" s="207" t="str">
        <x:v>EXT-MONDE-T073</x:v>
      </x:c>
      <x:c r="B78" s="208" t="str">
        <x:v>Gare de passage</x:v>
      </x:c>
      <x:c r="C78" s="207" t="str">
        <x:f>INDEX(Chantiers!$G$6:$G$805,MATCH($A78&amp;"/dimensions",Chantiers!$A$6:$A$805,0))</x:f>
        <x:v>En cours</x:v>
      </x:c>
      <x:c r="D78" s="207" t="str">
        <x:f>INDEX(Chantiers!$G$6:$G$805,MATCH($A78&amp;"/architecture",Chantiers!$A$6:$A$805,0))</x:f>
        <x:v>En cours</x:v>
      </x:c>
      <x:c r="E78" s="207" t="str">
        <x:f>INDEX(Chantiers!$G$6:$G$805,MATCH($A78&amp;"/seed",Chantiers!$A$6:$A$805,0))</x:f>
        <x:v>À faire</x:v>
      </x:c>
      <x:c r="F78" s="207" t="str">
        <x:f>INDEX(Chantiers!$G$6:$G$805,MATCH($A78&amp;"/props",Chantiers!$A$6:$A$805,0))</x:f>
        <x:v>En cours</x:v>
      </x:c>
      <x:c r="G78" s="207" t="str">
        <x:f>INDEX(Chantiers!$G$6:$G$805,MATCH($A78&amp;"/loot",Chantiers!$A$6:$A$805,0))</x:f>
        <x:v>À faire</x:v>
      </x:c>
      <x:c r="H78" s="207" t="str">
        <x:f>INDEX(Chantiers!$G$6:$G$805,MATCH($A78&amp;"/rencontres",Chantiers!$A$6:$A$805,0))</x:f>
        <x:v>À faire</x:v>
      </x:c>
      <x:c r="I78" s="207" t="str">
        <x:f>INDEX(Chantiers!$G$6:$G$805,MATCH($A78&amp;"/services",Chantiers!$A$6:$A$805,0))</x:f>
        <x:v>À faire</x:v>
      </x:c>
      <x:c r="J78" s="207" t="str">
        <x:f>INDEX(Chantiers!$G$6:$G$805,MATCH($A78&amp;"/art",Chantiers!$A$6:$A$805,0))</x:f>
        <x:v>À faire</x:v>
      </x:c>
      <x:c r="K78" s="207" t="str">
        <x:f>INDEX(Chantiers!$G$6:$G$805,MATCH($A78&amp;"/sauvegarde",Chantiers!$A$6:$A$805,0))</x:f>
        <x:v>En cours</x:v>
      </x:c>
      <x:c r="L78" s="207" t="str">
        <x:f>INDEX(Chantiers!$G$6:$G$805,MATCH($A78&amp;"/qa",Chantiers!$A$6:$A$805,0))</x:f>
        <x:v>En cours</x:v>
      </x:c>
      <x:c r="M78" s="207" t="n">
        <x:f>COUNTIF(C78:L78,"Validé")</x:f>
        <x:v>0</x:v>
      </x:c>
      <x:c r="N78" s="207" t="n">
        <x:f>COLUMNS(C78:L78)-M78</x:f>
        <x:v>10</x:v>
      </x:c>
    </x:row>
    <x:row r="79" ht="34" customHeight="1">
      <x:c r="A79" s="207" t="str">
        <x:v>EXT-MONDE-T074</x:v>
      </x:c>
      <x:c r="B79" s="208" t="str">
        <x:v>Gare terminus</x:v>
      </x:c>
      <x:c r="C79" s="207" t="str">
        <x:f>INDEX(Chantiers!$G$6:$G$805,MATCH($A79&amp;"/dimensions",Chantiers!$A$6:$A$805,0))</x:f>
        <x:v>En cours</x:v>
      </x:c>
      <x:c r="D79" s="207" t="str">
        <x:f>INDEX(Chantiers!$G$6:$G$805,MATCH($A79&amp;"/architecture",Chantiers!$A$6:$A$805,0))</x:f>
        <x:v>En cours</x:v>
      </x:c>
      <x:c r="E79" s="207" t="str">
        <x:f>INDEX(Chantiers!$G$6:$G$805,MATCH($A79&amp;"/seed",Chantiers!$A$6:$A$805,0))</x:f>
        <x:v>À faire</x:v>
      </x:c>
      <x:c r="F79" s="207" t="str">
        <x:f>INDEX(Chantiers!$G$6:$G$805,MATCH($A79&amp;"/props",Chantiers!$A$6:$A$805,0))</x:f>
        <x:v>En cours</x:v>
      </x:c>
      <x:c r="G79" s="207" t="str">
        <x:f>INDEX(Chantiers!$G$6:$G$805,MATCH($A79&amp;"/loot",Chantiers!$A$6:$A$805,0))</x:f>
        <x:v>À faire</x:v>
      </x:c>
      <x:c r="H79" s="207" t="str">
        <x:f>INDEX(Chantiers!$G$6:$G$805,MATCH($A79&amp;"/rencontres",Chantiers!$A$6:$A$805,0))</x:f>
        <x:v>À faire</x:v>
      </x:c>
      <x:c r="I79" s="207" t="str">
        <x:f>INDEX(Chantiers!$G$6:$G$805,MATCH($A79&amp;"/services",Chantiers!$A$6:$A$805,0))</x:f>
        <x:v>À faire</x:v>
      </x:c>
      <x:c r="J79" s="207" t="str">
        <x:f>INDEX(Chantiers!$G$6:$G$805,MATCH($A79&amp;"/art",Chantiers!$A$6:$A$805,0))</x:f>
        <x:v>À faire</x:v>
      </x:c>
      <x:c r="K79" s="207" t="str">
        <x:f>INDEX(Chantiers!$G$6:$G$805,MATCH($A79&amp;"/sauvegarde",Chantiers!$A$6:$A$805,0))</x:f>
        <x:v>En cours</x:v>
      </x:c>
      <x:c r="L79" s="207" t="str">
        <x:f>INDEX(Chantiers!$G$6:$G$805,MATCH($A79&amp;"/qa",Chantiers!$A$6:$A$805,0))</x:f>
        <x:v>En cours</x:v>
      </x:c>
      <x:c r="M79" s="207" t="n">
        <x:f>COUNTIF(C79:L79,"Validé")</x:f>
        <x:v>0</x:v>
      </x:c>
      <x:c r="N79" s="207" t="n">
        <x:f>COLUMNS(C79:L79)-M79</x:f>
        <x:v>10</x:v>
      </x:c>
    </x:row>
    <x:row r="80" ht="34" customHeight="1">
      <x:c r="A80" s="207" t="str">
        <x:v>EXT-MONDE-T075</x:v>
      </x:c>
      <x:c r="B80" s="208" t="str">
        <x:v>Gare de triage</x:v>
      </x:c>
      <x:c r="C80" s="207" t="str">
        <x:f>INDEX(Chantiers!$G$6:$G$805,MATCH($A80&amp;"/dimensions",Chantiers!$A$6:$A$805,0))</x:f>
        <x:v>En cours</x:v>
      </x:c>
      <x:c r="D80" s="207" t="str">
        <x:f>INDEX(Chantiers!$G$6:$G$805,MATCH($A80&amp;"/architecture",Chantiers!$A$6:$A$805,0))</x:f>
        <x:v>En cours</x:v>
      </x:c>
      <x:c r="E80" s="207" t="str">
        <x:f>INDEX(Chantiers!$G$6:$G$805,MATCH($A80&amp;"/seed",Chantiers!$A$6:$A$805,0))</x:f>
        <x:v>À faire</x:v>
      </x:c>
      <x:c r="F80" s="207" t="str">
        <x:f>INDEX(Chantiers!$G$6:$G$805,MATCH($A80&amp;"/props",Chantiers!$A$6:$A$805,0))</x:f>
        <x:v>En cours</x:v>
      </x:c>
      <x:c r="G80" s="207" t="str">
        <x:f>INDEX(Chantiers!$G$6:$G$805,MATCH($A80&amp;"/loot",Chantiers!$A$6:$A$805,0))</x:f>
        <x:v>À faire</x:v>
      </x:c>
      <x:c r="H80" s="207" t="str">
        <x:f>INDEX(Chantiers!$G$6:$G$805,MATCH($A80&amp;"/rencontres",Chantiers!$A$6:$A$805,0))</x:f>
        <x:v>À faire</x:v>
      </x:c>
      <x:c r="I80" s="207" t="str">
        <x:f>INDEX(Chantiers!$G$6:$G$805,MATCH($A80&amp;"/services",Chantiers!$A$6:$A$805,0))</x:f>
        <x:v>À faire</x:v>
      </x:c>
      <x:c r="J80" s="207" t="str">
        <x:f>INDEX(Chantiers!$G$6:$G$805,MATCH($A80&amp;"/art",Chantiers!$A$6:$A$805,0))</x:f>
        <x:v>À faire</x:v>
      </x:c>
      <x:c r="K80" s="207" t="str">
        <x:f>INDEX(Chantiers!$G$6:$G$805,MATCH($A80&amp;"/sauvegarde",Chantiers!$A$6:$A$805,0))</x:f>
        <x:v>En cours</x:v>
      </x:c>
      <x:c r="L80" s="207" t="str">
        <x:f>INDEX(Chantiers!$G$6:$G$805,MATCH($A80&amp;"/qa",Chantiers!$A$6:$A$805,0))</x:f>
        <x:v>En cours</x:v>
      </x:c>
      <x:c r="M80" s="207" t="n">
        <x:f>COUNTIF(C80:L80,"Validé")</x:f>
        <x:v>0</x:v>
      </x:c>
      <x:c r="N80" s="207" t="n">
        <x:f>COLUMNS(C80:L80)-M80</x:f>
        <x:v>10</x:v>
      </x:c>
    </x:row>
    <x:row r="81" ht="34" customHeight="1">
      <x:c r="A81" s="207" t="str">
        <x:v>EXT-MONDE-T076</x:v>
      </x:c>
      <x:c r="B81" s="208" t="str">
        <x:v>Dépôt ferroviaire</x:v>
      </x:c>
      <x:c r="C81" s="207" t="str">
        <x:f>INDEX(Chantiers!$G$6:$G$805,MATCH($A81&amp;"/dimensions",Chantiers!$A$6:$A$805,0))</x:f>
        <x:v>En cours</x:v>
      </x:c>
      <x:c r="D81" s="207" t="str">
        <x:f>INDEX(Chantiers!$G$6:$G$805,MATCH($A81&amp;"/architecture",Chantiers!$A$6:$A$805,0))</x:f>
        <x:v>En cours</x:v>
      </x:c>
      <x:c r="E81" s="207" t="str">
        <x:f>INDEX(Chantiers!$G$6:$G$805,MATCH($A81&amp;"/seed",Chantiers!$A$6:$A$805,0))</x:f>
        <x:v>À faire</x:v>
      </x:c>
      <x:c r="F81" s="207" t="str">
        <x:f>INDEX(Chantiers!$G$6:$G$805,MATCH($A81&amp;"/props",Chantiers!$A$6:$A$805,0))</x:f>
        <x:v>En cours</x:v>
      </x:c>
      <x:c r="G81" s="207" t="str">
        <x:f>INDEX(Chantiers!$G$6:$G$805,MATCH($A81&amp;"/loot",Chantiers!$A$6:$A$805,0))</x:f>
        <x:v>À faire</x:v>
      </x:c>
      <x:c r="H81" s="207" t="str">
        <x:f>INDEX(Chantiers!$G$6:$G$805,MATCH($A81&amp;"/rencontres",Chantiers!$A$6:$A$805,0))</x:f>
        <x:v>À faire</x:v>
      </x:c>
      <x:c r="I81" s="207" t="str">
        <x:f>INDEX(Chantiers!$G$6:$G$805,MATCH($A81&amp;"/services",Chantiers!$A$6:$A$805,0))</x:f>
        <x:v>À faire</x:v>
      </x:c>
      <x:c r="J81" s="207" t="str">
        <x:f>INDEX(Chantiers!$G$6:$G$805,MATCH($A81&amp;"/art",Chantiers!$A$6:$A$805,0))</x:f>
        <x:v>À faire</x:v>
      </x:c>
      <x:c r="K81" s="207" t="str">
        <x:f>INDEX(Chantiers!$G$6:$G$805,MATCH($A81&amp;"/sauvegarde",Chantiers!$A$6:$A$805,0))</x:f>
        <x:v>En cours</x:v>
      </x:c>
      <x:c r="L81" s="207" t="str">
        <x:f>INDEX(Chantiers!$G$6:$G$805,MATCH($A81&amp;"/qa",Chantiers!$A$6:$A$805,0))</x:f>
        <x:v>En cours</x:v>
      </x:c>
      <x:c r="M81" s="207" t="n">
        <x:f>COUNTIF(C81:L81,"Validé")</x:f>
        <x:v>0</x:v>
      </x:c>
      <x:c r="N81" s="207" t="n">
        <x:f>COLUMNS(C81:L81)-M81</x:f>
        <x:v>10</x:v>
      </x:c>
    </x:row>
    <x:row r="82" ht="34" customHeight="1">
      <x:c r="A82" s="207" t="str">
        <x:v>EXT-MONDE-T077</x:v>
      </x:c>
      <x:c r="B82" s="208" t="str">
        <x:v>Îlot de phare</x:v>
      </x:c>
      <x:c r="C82" s="207" t="str">
        <x:f>INDEX(Chantiers!$G$6:$G$805,MATCH($A82&amp;"/dimensions",Chantiers!$A$6:$A$805,0))</x:f>
        <x:v>En cours</x:v>
      </x:c>
      <x:c r="D82" s="207" t="str">
        <x:f>INDEX(Chantiers!$G$6:$G$805,MATCH($A82&amp;"/architecture",Chantiers!$A$6:$A$805,0))</x:f>
        <x:v>En cours</x:v>
      </x:c>
      <x:c r="E82" s="207" t="str">
        <x:f>INDEX(Chantiers!$G$6:$G$805,MATCH($A82&amp;"/seed",Chantiers!$A$6:$A$805,0))</x:f>
        <x:v>À faire</x:v>
      </x:c>
      <x:c r="F82" s="207" t="str">
        <x:f>INDEX(Chantiers!$G$6:$G$805,MATCH($A82&amp;"/props",Chantiers!$A$6:$A$805,0))</x:f>
        <x:v>En cours</x:v>
      </x:c>
      <x:c r="G82" s="207" t="str">
        <x:f>INDEX(Chantiers!$G$6:$G$805,MATCH($A82&amp;"/loot",Chantiers!$A$6:$A$805,0))</x:f>
        <x:v>À faire</x:v>
      </x:c>
      <x:c r="H82" s="207" t="str">
        <x:f>INDEX(Chantiers!$G$6:$G$805,MATCH($A82&amp;"/rencontres",Chantiers!$A$6:$A$805,0))</x:f>
        <x:v>À faire</x:v>
      </x:c>
      <x:c r="I82" s="207" t="str">
        <x:f>INDEX(Chantiers!$G$6:$G$805,MATCH($A82&amp;"/services",Chantiers!$A$6:$A$805,0))</x:f>
        <x:v>À faire</x:v>
      </x:c>
      <x:c r="J82" s="207" t="str">
        <x:f>INDEX(Chantiers!$G$6:$G$805,MATCH($A82&amp;"/art",Chantiers!$A$6:$A$805,0))</x:f>
        <x:v>À faire</x:v>
      </x:c>
      <x:c r="K82" s="207" t="str">
        <x:f>INDEX(Chantiers!$G$6:$G$805,MATCH($A82&amp;"/sauvegarde",Chantiers!$A$6:$A$805,0))</x:f>
        <x:v>En cours</x:v>
      </x:c>
      <x:c r="L82" s="207" t="str">
        <x:f>INDEX(Chantiers!$G$6:$G$805,MATCH($A82&amp;"/qa",Chantiers!$A$6:$A$805,0))</x:f>
        <x:v>En cours</x:v>
      </x:c>
      <x:c r="M82" s="207" t="n">
        <x:f>COUNTIF(C82:L82,"Validé")</x:f>
        <x:v>0</x:v>
      </x:c>
      <x:c r="N82" s="207" t="n">
        <x:f>COLUMNS(C82:L82)-M82</x:f>
        <x:v>10</x:v>
      </x:c>
    </x:row>
    <x:row r="83" ht="34" customHeight="1">
      <x:c r="A83" s="207" t="str">
        <x:v>EXT-MONDE-T078</x:v>
      </x:c>
      <x:c r="B83" s="208" t="str">
        <x:v>Île agricole habitée</x:v>
      </x:c>
      <x:c r="C83" s="207" t="str">
        <x:f>INDEX(Chantiers!$G$6:$G$805,MATCH($A83&amp;"/dimensions",Chantiers!$A$6:$A$805,0))</x:f>
        <x:v>En cours</x:v>
      </x:c>
      <x:c r="D83" s="207" t="str">
        <x:f>INDEX(Chantiers!$G$6:$G$805,MATCH($A83&amp;"/architecture",Chantiers!$A$6:$A$805,0))</x:f>
        <x:v>En cours</x:v>
      </x:c>
      <x:c r="E83" s="207" t="str">
        <x:f>INDEX(Chantiers!$G$6:$G$805,MATCH($A83&amp;"/seed",Chantiers!$A$6:$A$805,0))</x:f>
        <x:v>À faire</x:v>
      </x:c>
      <x:c r="F83" s="207" t="str">
        <x:f>INDEX(Chantiers!$G$6:$G$805,MATCH($A83&amp;"/props",Chantiers!$A$6:$A$805,0))</x:f>
        <x:v>En cours</x:v>
      </x:c>
      <x:c r="G83" s="207" t="str">
        <x:f>INDEX(Chantiers!$G$6:$G$805,MATCH($A83&amp;"/loot",Chantiers!$A$6:$A$805,0))</x:f>
        <x:v>À faire</x:v>
      </x:c>
      <x:c r="H83" s="207" t="str">
        <x:f>INDEX(Chantiers!$G$6:$G$805,MATCH($A83&amp;"/rencontres",Chantiers!$A$6:$A$805,0))</x:f>
        <x:v>À faire</x:v>
      </x:c>
      <x:c r="I83" s="207" t="str">
        <x:f>INDEX(Chantiers!$G$6:$G$805,MATCH($A83&amp;"/services",Chantiers!$A$6:$A$805,0))</x:f>
        <x:v>À faire</x:v>
      </x:c>
      <x:c r="J83" s="207" t="str">
        <x:f>INDEX(Chantiers!$G$6:$G$805,MATCH($A83&amp;"/art",Chantiers!$A$6:$A$805,0))</x:f>
        <x:v>À faire</x:v>
      </x:c>
      <x:c r="K83" s="207" t="str">
        <x:f>INDEX(Chantiers!$G$6:$G$805,MATCH($A83&amp;"/sauvegarde",Chantiers!$A$6:$A$805,0))</x:f>
        <x:v>En cours</x:v>
      </x:c>
      <x:c r="L83" s="207" t="str">
        <x:f>INDEX(Chantiers!$G$6:$G$805,MATCH($A83&amp;"/qa",Chantiers!$A$6:$A$805,0))</x:f>
        <x:v>En cours</x:v>
      </x:c>
      <x:c r="M83" s="207" t="n">
        <x:f>COUNTIF(C83:L83,"Validé")</x:f>
        <x:v>0</x:v>
      </x:c>
      <x:c r="N83" s="207" t="n">
        <x:f>COLUMNS(C83:L83)-M83</x:f>
        <x:v>10</x:v>
      </x:c>
    </x:row>
    <x:row r="84" ht="34" customHeight="1">
      <x:c r="A84" s="207" t="str">
        <x:v>EXT-MONDE-T079</x:v>
      </x:c>
      <x:c r="B84" s="208" t="str">
        <x:v>Île portuaire industrielle</x:v>
      </x:c>
      <x:c r="C84" s="207" t="str">
        <x:f>INDEX(Chantiers!$G$6:$G$805,MATCH($A84&amp;"/dimensions",Chantiers!$A$6:$A$805,0))</x:f>
        <x:v>En cours</x:v>
      </x:c>
      <x:c r="D84" s="207" t="str">
        <x:f>INDEX(Chantiers!$G$6:$G$805,MATCH($A84&amp;"/architecture",Chantiers!$A$6:$A$805,0))</x:f>
        <x:v>En cours</x:v>
      </x:c>
      <x:c r="E84" s="207" t="str">
        <x:f>INDEX(Chantiers!$G$6:$G$805,MATCH($A84&amp;"/seed",Chantiers!$A$6:$A$805,0))</x:f>
        <x:v>À faire</x:v>
      </x:c>
      <x:c r="F84" s="207" t="str">
        <x:f>INDEX(Chantiers!$G$6:$G$805,MATCH($A84&amp;"/props",Chantiers!$A$6:$A$805,0))</x:f>
        <x:v>En cours</x:v>
      </x:c>
      <x:c r="G84" s="207" t="str">
        <x:f>INDEX(Chantiers!$G$6:$G$805,MATCH($A84&amp;"/loot",Chantiers!$A$6:$A$805,0))</x:f>
        <x:v>À faire</x:v>
      </x:c>
      <x:c r="H84" s="207" t="str">
        <x:f>INDEX(Chantiers!$G$6:$G$805,MATCH($A84&amp;"/rencontres",Chantiers!$A$6:$A$805,0))</x:f>
        <x:v>À faire</x:v>
      </x:c>
      <x:c r="I84" s="207" t="str">
        <x:f>INDEX(Chantiers!$G$6:$G$805,MATCH($A84&amp;"/services",Chantiers!$A$6:$A$805,0))</x:f>
        <x:v>À faire</x:v>
      </x:c>
      <x:c r="J84" s="207" t="str">
        <x:f>INDEX(Chantiers!$G$6:$G$805,MATCH($A84&amp;"/art",Chantiers!$A$6:$A$805,0))</x:f>
        <x:v>À faire</x:v>
      </x:c>
      <x:c r="K84" s="207" t="str">
        <x:f>INDEX(Chantiers!$G$6:$G$805,MATCH($A84&amp;"/sauvegarde",Chantiers!$A$6:$A$805,0))</x:f>
        <x:v>En cours</x:v>
      </x:c>
      <x:c r="L84" s="207" t="str">
        <x:f>INDEX(Chantiers!$G$6:$G$805,MATCH($A84&amp;"/qa",Chantiers!$A$6:$A$805,0))</x:f>
        <x:v>En cours</x:v>
      </x:c>
      <x:c r="M84" s="207" t="n">
        <x:f>COUNTIF(C84:L84,"Validé")</x:f>
        <x:v>0</x:v>
      </x:c>
      <x:c r="N84" s="207" t="n">
        <x:f>COLUMNS(C84:L84)-M84</x:f>
        <x:v>10</x:v>
      </x:c>
    </x:row>
    <x:row r="85" ht="34" customHeight="1">
      <x:c r="A85" s="207" t="str">
        <x:v>EXT-MONDE-T080</x:v>
      </x:c>
      <x:c r="B85" s="208" t="str">
        <x:v>Grande île mixte</x:v>
      </x:c>
      <x:c r="C85" s="207" t="str">
        <x:f>INDEX(Chantiers!$G$6:$G$805,MATCH($A85&amp;"/dimensions",Chantiers!$A$6:$A$805,0))</x:f>
        <x:v>En cours</x:v>
      </x:c>
      <x:c r="D85" s="207" t="str">
        <x:f>INDEX(Chantiers!$G$6:$G$805,MATCH($A85&amp;"/architecture",Chantiers!$A$6:$A$805,0))</x:f>
        <x:v>En cours</x:v>
      </x:c>
      <x:c r="E85" s="207" t="str">
        <x:f>INDEX(Chantiers!$G$6:$G$805,MATCH($A85&amp;"/seed",Chantiers!$A$6:$A$805,0))</x:f>
        <x:v>À faire</x:v>
      </x:c>
      <x:c r="F85" s="207" t="str">
        <x:f>INDEX(Chantiers!$G$6:$G$805,MATCH($A85&amp;"/props",Chantiers!$A$6:$A$805,0))</x:f>
        <x:v>En cours</x:v>
      </x:c>
      <x:c r="G85" s="207" t="str">
        <x:f>INDEX(Chantiers!$G$6:$G$805,MATCH($A85&amp;"/loot",Chantiers!$A$6:$A$805,0))</x:f>
        <x:v>À faire</x:v>
      </x:c>
      <x:c r="H85" s="207" t="str">
        <x:f>INDEX(Chantiers!$G$6:$G$805,MATCH($A85&amp;"/rencontres",Chantiers!$A$6:$A$805,0))</x:f>
        <x:v>À faire</x:v>
      </x:c>
      <x:c r="I85" s="207" t="str">
        <x:f>INDEX(Chantiers!$G$6:$G$805,MATCH($A85&amp;"/services",Chantiers!$A$6:$A$805,0))</x:f>
        <x:v>À faire</x:v>
      </x:c>
      <x:c r="J85" s="207" t="str">
        <x:f>INDEX(Chantiers!$G$6:$G$805,MATCH($A85&amp;"/art",Chantiers!$A$6:$A$805,0))</x:f>
        <x:v>À faire</x:v>
      </x:c>
      <x:c r="K85" s="207" t="str">
        <x:f>INDEX(Chantiers!$G$6:$G$805,MATCH($A85&amp;"/sauvegarde",Chantiers!$A$6:$A$805,0))</x:f>
        <x:v>En cours</x:v>
      </x:c>
      <x:c r="L85" s="207" t="str">
        <x:f>INDEX(Chantiers!$G$6:$G$805,MATCH($A85&amp;"/qa",Chantiers!$A$6:$A$805,0))</x:f>
        <x:v>En cours</x:v>
      </x:c>
      <x:c r="M85" s="207" t="n">
        <x:f>COUNTIF(C85:L85,"Validé")</x:f>
        <x:v>0</x:v>
      </x:c>
      <x:c r="N85" s="207" t="n">
        <x:f>COLUMNS(C85:L85)-M85</x:f>
        <x:v>10</x:v>
      </x:c>
    </x:row>
    <x:row r="86" ht="30" customHeight="1">
      <x:c r="A86" s="209" t="str">
        <x:v>TOTAL DES ÉTAPES VALIDÉES ET RESTANTES</x:v>
      </x:c>
      <x:c r="B86" s="209"/>
      <x:c r="C86" s="209"/>
      <x:c r="D86" s="209"/>
      <x:c r="E86" s="209"/>
      <x:c r="F86" s="209"/>
      <x:c r="G86" s="209"/>
      <x:c r="H86" s="209"/>
      <x:c r="I86" s="209"/>
      <x:c r="J86" s="209"/>
      <x:c r="K86" s="209"/>
      <x:c r="L86" s="209"/>
      <x:c r="M86" s="209" t="n">
        <x:f>SUM(M6:M85)</x:f>
        <x:v>3</x:v>
      </x:c>
      <x:c r="N86" s="209" t="n">
        <x:f>SUM(N6:N85)</x:f>
        <x:v>797</x:v>
      </x:c>
    </x:row>
  </x:sheetData>
  <x:mergeCells>
    <x:mergeCell ref="A1:N2"/>
    <x:mergeCell ref="A3:N3"/>
    <x:mergeCell ref="A86:L86"/>
  </x:mergeCells>
  <x:conditionalFormatting sqref="C6:L85">
    <x:cfRule type="containsText" dxfId="19" priority="1" operator="containsText" text="En cours"/>
    <x:cfRule type="containsText" dxfId="20" priority="2" operator="containsText" text="Validé"/>
  </x:conditionalFormatting>
  <x:pageMargins left="0.7" right="0.7" top="0.75" bottom="0.75" header="0.3" footer="0.3"/>
  <x:tableParts count="1">
    <x:tablePart xmlns:r="http://schemas.openxmlformats.org/officeDocument/2006/relationships" r:id="R420aaaa14fcb45fa"/>
  </x:tableParts>
</x:worksheet>
</file>

<file path=xl/worksheets/sheet1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35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17" hidden="0" customWidth="1"/>
    <x:col min="12" max="12" width="17" hidden="0" customWidth="1"/>
  </x:cols>
  <x:sheetData>
    <x:row r="1" ht="26" customHeight="1">
      <x:c r="A1" s="203" t="str">
        <x:v>INSPECTION PHYSIQUE — 4 000 PLANS</x:v>
      </x:c>
      <x:c r="B1" s="203"/>
      <x:c r="C1" s="203"/>
      <x:c r="D1" s="203"/>
      <x:c r="E1" s="203"/>
      <x:c r="F1" s="203"/>
      <x:c r="G1" s="203"/>
      <x:c r="H1" s="203"/>
      <x:c r="I1" s="203"/>
      <x:c r="J1" s="203"/>
      <x:c r="K1" s="203"/>
      <x:c r="L1" s="203"/>
    </x:row>
    <x:row r="2" ht="26" customHeight="1">
      <x:c r="A2" s="203"/>
      <x:c r="B2" s="203"/>
      <x:c r="C2" s="203"/>
      <x:c r="D2" s="203"/>
      <x:c r="E2" s="203"/>
      <x:c r="F2" s="203"/>
      <x:c r="G2" s="203"/>
      <x:c r="H2" s="203"/>
      <x:c r="I2" s="203"/>
      <x:c r="J2" s="203"/>
      <x:c r="K2" s="203"/>
      <x:c r="L2" s="203"/>
    </x:row>
    <x:row r="3" ht="26" customHeight="1">
      <x:c r="A3" s="204" t="str">
        <x:v>Les contrôles portent sur les espaces décrits et le mobilier du mode auteur. Les étapes de campagne restent ouvertes.</x:v>
      </x:c>
      <x:c r="B3" s="204"/>
      <x:c r="C3" s="204"/>
      <x:c r="D3" s="204"/>
      <x:c r="E3" s="204"/>
      <x:c r="F3" s="204"/>
      <x:c r="G3" s="204"/>
      <x:c r="H3" s="204"/>
      <x:c r="I3" s="204"/>
      <x:c r="J3" s="204"/>
      <x:c r="K3" s="204"/>
      <x:c r="L3" s="204"/>
    </x:row>
    <x:row r="4" ht="26" customHeight="1">
      <x:c r="A4" s="126"/>
      <x:c r="B4" s="126"/>
      <x:c r="C4" s="126"/>
      <x:c r="D4" s="126"/>
      <x:c r="E4" s="126"/>
      <x:c r="F4" s="126"/>
      <x:c r="G4" s="126"/>
      <x:c r="H4" s="126"/>
      <x:c r="I4" s="126"/>
      <x:c r="J4" s="126"/>
      <x:c r="K4" s="126"/>
      <x:c r="L4" s="126"/>
    </x:row>
    <x:row r="5" ht="38" customHeight="1">
      <x:c r="A5" s="206" t="str">
        <x:v>ID typologie</x:v>
      </x:c>
      <x:c r="B5" s="206" t="str">
        <x:v>Typologie</x:v>
      </x:c>
      <x:c r="C5" s="206" t="str">
        <x:v>Plans inspectés</x:v>
      </x:c>
      <x:c r="D5" s="206" t="str">
        <x:v>Pièces</x:v>
      </x:c>
      <x:c r="E5" s="206" t="str">
        <x:v>Pièces meublées</x:v>
      </x:c>
      <x:c r="F5" s="206" t="str">
        <x:v>Objets posés</x:v>
      </x:c>
      <x:c r="G5" s="206" t="str">
        <x:v>Poses refusées</x:v>
      </x:c>
      <x:c r="H5" s="206" t="str">
        <x:v>Segments de mur</x:v>
      </x:c>
      <x:c r="I5" s="206" t="str">
        <x:v>Transitions</x:v>
      </x:c>
      <x:c r="J5" s="206" t="str">
        <x:v>Niveaux cumulés</x:v>
      </x:c>
      <x:c r="K5" s="206" t="str">
        <x:v>Contrôles réussis</x:v>
      </x:c>
      <x:c r="L5" s="206" t="str">
        <x:v>Jouables en campagne</x:v>
      </x:c>
    </x:row>
    <x:row r="6" ht="34" customHeight="1">
      <x:c r="A6" s="207" t="str">
        <x:v>EXT-MONDE-T001</x:v>
      </x:c>
      <x:c r="B6" s="208" t="str">
        <x:v>Base nautique lacustre</x:v>
      </x:c>
      <x:c r="C6" s="210" t="n">
        <x:v>50</x:v>
      </x:c>
      <x:c r="D6" s="210" t="n">
        <x:v>1300</x:v>
      </x:c>
      <x:c r="E6" s="210" t="n">
        <x:v>1300</x:v>
      </x:c>
      <x:c r="F6" s="210" t="n">
        <x:v>4700</x:v>
      </x:c>
      <x:c r="G6" s="210" t="n">
        <x:v>0</x:v>
      </x:c>
      <x:c r="H6" s="210" t="n">
        <x:v>9900</x:v>
      </x:c>
      <x:c r="I6" s="210" t="n">
        <x:v>0</x:v>
      </x:c>
      <x:c r="J6" s="210" t="n">
        <x:v>50</x:v>
      </x:c>
      <x:c r="K6" s="210" t="n">
        <x:v>50</x:v>
      </x:c>
      <x:c r="L6" s="210" t="n">
        <x:v>0</x:v>
      </x:c>
    </x:row>
    <x:row r="7" ht="34" customHeight="1">
      <x:c r="A7" s="207" t="str">
        <x:v>EXT-MONDE-T002</x:v>
      </x:c>
      <x:c r="B7" s="208" t="str">
        <x:v>Village de pêche lacustre</x:v>
      </x:c>
      <x:c r="C7" s="210" t="n">
        <x:v>50</x:v>
      </x:c>
      <x:c r="D7" s="210" t="n">
        <x:v>1200</x:v>
      </x:c>
      <x:c r="E7" s="210" t="n">
        <x:v>1200</x:v>
      </x:c>
      <x:c r="F7" s="210" t="n">
        <x:v>4350</x:v>
      </x:c>
      <x:c r="G7" s="210" t="n">
        <x:v>0</x:v>
      </x:c>
      <x:c r="H7" s="210" t="n">
        <x:v>9300</x:v>
      </x:c>
      <x:c r="I7" s="210" t="n">
        <x:v>0</x:v>
      </x:c>
      <x:c r="J7" s="210" t="n">
        <x:v>50</x:v>
      </x:c>
      <x:c r="K7" s="210" t="n">
        <x:v>50</x:v>
      </x:c>
      <x:c r="L7" s="210" t="n">
        <x:v>0</x:v>
      </x:c>
    </x:row>
    <x:row r="8" ht="34" customHeight="1">
      <x:c r="A8" s="207" t="str">
        <x:v>EXT-MONDE-T003</x:v>
      </x:c>
      <x:c r="B8" s="208" t="str">
        <x:v>Station limnologique</x:v>
      </x:c>
      <x:c r="C8" s="210" t="n">
        <x:v>50</x:v>
      </x:c>
      <x:c r="D8" s="210" t="n">
        <x:v>1200</x:v>
      </x:c>
      <x:c r="E8" s="210" t="n">
        <x:v>1200</x:v>
      </x:c>
      <x:c r="F8" s="210" t="n">
        <x:v>4350</x:v>
      </x:c>
      <x:c r="G8" s="210" t="n">
        <x:v>0</x:v>
      </x:c>
      <x:c r="H8" s="210" t="n">
        <x:v>9300</x:v>
      </x:c>
      <x:c r="I8" s="210" t="n">
        <x:v>0</x:v>
      </x:c>
      <x:c r="J8" s="210" t="n">
        <x:v>50</x:v>
      </x:c>
      <x:c r="K8" s="210" t="n">
        <x:v>50</x:v>
      </x:c>
      <x:c r="L8" s="210" t="n">
        <x:v>0</x:v>
      </x:c>
    </x:row>
    <x:row r="9" ht="34" customHeight="1">
      <x:c r="A9" s="207" t="str">
        <x:v>EXT-MONDE-T004</x:v>
      </x:c>
      <x:c r="B9" s="208" t="str">
        <x:v>Camping de rive</x:v>
      </x:c>
      <x:c r="C9" s="210" t="n">
        <x:v>50</x:v>
      </x:c>
      <x:c r="D9" s="210" t="n">
        <x:v>1300</x:v>
      </x:c>
      <x:c r="E9" s="210" t="n">
        <x:v>1300</x:v>
      </x:c>
      <x:c r="F9" s="210" t="n">
        <x:v>4700</x:v>
      </x:c>
      <x:c r="G9" s="210" t="n">
        <x:v>0</x:v>
      </x:c>
      <x:c r="H9" s="210" t="n">
        <x:v>9900</x:v>
      </x:c>
      <x:c r="I9" s="210" t="n">
        <x:v>0</x:v>
      </x:c>
      <x:c r="J9" s="210" t="n">
        <x:v>50</x:v>
      </x:c>
      <x:c r="K9" s="210" t="n">
        <x:v>50</x:v>
      </x:c>
      <x:c r="L9" s="210" t="n">
        <x:v>0</x:v>
      </x:c>
    </x:row>
    <x:row r="10" ht="34" customHeight="1">
      <x:c r="A10" s="207" t="str">
        <x:v>EXT-MONDE-T005</x:v>
      </x:c>
      <x:c r="B10" s="208" t="str">
        <x:v>Cargo polyvalent</x:v>
      </x:c>
      <x:c r="C10" s="210" t="n">
        <x:v>50</x:v>
      </x:c>
      <x:c r="D10" s="210" t="n">
        <x:v>1680</x:v>
      </x:c>
      <x:c r="E10" s="210" t="n">
        <x:v>1680</x:v>
      </x:c>
      <x:c r="F10" s="210" t="n">
        <x:v>5958</x:v>
      </x:c>
      <x:c r="G10" s="210" t="n">
        <x:v>0</x:v>
      </x:c>
      <x:c r="H10" s="210" t="n">
        <x:v>11280</x:v>
      </x:c>
      <x:c r="I10" s="210" t="n">
        <x:v>250</x:v>
      </x:c>
      <x:c r="J10" s="210" t="n">
        <x:v>300</x:v>
      </x:c>
      <x:c r="K10" s="210" t="n">
        <x:v>50</x:v>
      </x:c>
      <x:c r="L10" s="210" t="n">
        <x:v>0</x:v>
      </x:c>
    </x:row>
    <x:row r="11" ht="34" customHeight="1">
      <x:c r="A11" s="207" t="str">
        <x:v>EXT-MONDE-T006</x:v>
      </x:c>
      <x:c r="B11" s="208" t="str">
        <x:v>Pétrolier océanique</x:v>
      </x:c>
      <x:c r="C11" s="210" t="n">
        <x:v>50</x:v>
      </x:c>
      <x:c r="D11" s="210" t="n">
        <x:v>2800</x:v>
      </x:c>
      <x:c r="E11" s="210" t="n">
        <x:v>2800</x:v>
      </x:c>
      <x:c r="F11" s="210" t="n">
        <x:v>10015</x:v>
      </x:c>
      <x:c r="G11" s="210" t="n">
        <x:v>0</x:v>
      </x:c>
      <x:c r="H11" s="210" t="n">
        <x:v>18200</x:v>
      </x:c>
      <x:c r="I11" s="210" t="n">
        <x:v>300</x:v>
      </x:c>
      <x:c r="J11" s="210" t="n">
        <x:v>350</x:v>
      </x:c>
      <x:c r="K11" s="210" t="n">
        <x:v>50</x:v>
      </x:c>
      <x:c r="L11" s="210" t="n">
        <x:v>0</x:v>
      </x:c>
    </x:row>
    <x:row r="12" ht="34" customHeight="1">
      <x:c r="A12" s="207" t="str">
        <x:v>EXT-MONDE-T007</x:v>
      </x:c>
      <x:c r="B12" s="208" t="str">
        <x:v>Croiseur militaire abandonné</x:v>
      </x:c>
      <x:c r="C12" s="210" t="n">
        <x:v>50</x:v>
      </x:c>
      <x:c r="D12" s="210" t="n">
        <x:v>1600</x:v>
      </x:c>
      <x:c r="E12" s="210" t="n">
        <x:v>1600</x:v>
      </x:c>
      <x:c r="F12" s="210" t="n">
        <x:v>5815</x:v>
      </x:c>
      <x:c r="G12" s="210" t="n">
        <x:v>0</x:v>
      </x:c>
      <x:c r="H12" s="210" t="n">
        <x:v>10400</x:v>
      </x:c>
      <x:c r="I12" s="210" t="n">
        <x:v>150</x:v>
      </x:c>
      <x:c r="J12" s="210" t="n">
        <x:v>200</x:v>
      </x:c>
      <x:c r="K12" s="210" t="n">
        <x:v>50</x:v>
      </x:c>
      <x:c r="L12" s="210" t="n">
        <x:v>0</x:v>
      </x:c>
    </x:row>
    <x:row r="13" ht="34" customHeight="1">
      <x:c r="A13" s="207" t="str">
        <x:v>EXT-MONDE-T008</x:v>
      </x:c>
      <x:c r="B13" s="208" t="str">
        <x:v>Sous-marin en surface</x:v>
      </x:c>
      <x:c r="C13" s="210" t="n">
        <x:v>50</x:v>
      </x:c>
      <x:c r="D13" s="210" t="n">
        <x:v>600</x:v>
      </x:c>
      <x:c r="E13" s="210" t="n">
        <x:v>600</x:v>
      </x:c>
      <x:c r="F13" s="210" t="n">
        <x:v>2103</x:v>
      </x:c>
      <x:c r="G13" s="210" t="n">
        <x:v>0</x:v>
      </x:c>
      <x:c r="H13" s="210" t="n">
        <x:v>3800</x:v>
      </x:c>
      <x:c r="I13" s="210" t="n">
        <x:v>50</x:v>
      </x:c>
      <x:c r="J13" s="210" t="n">
        <x:v>100</x:v>
      </x:c>
      <x:c r="K13" s="210" t="n">
        <x:v>50</x:v>
      </x:c>
      <x:c r="L13" s="210" t="n">
        <x:v>0</x:v>
      </x:c>
    </x:row>
    <x:row r="14" ht="34" customHeight="1">
      <x:c r="A14" s="207" t="str">
        <x:v>EXT-MONDE-T009</x:v>
      </x:c>
      <x:c r="B14" s="208" t="str">
        <x:v>Plateforme pétrolière fixe</x:v>
      </x:c>
      <x:c r="C14" s="210" t="n">
        <x:v>50</x:v>
      </x:c>
      <x:c r="D14" s="210" t="n">
        <x:v>1700</x:v>
      </x:c>
      <x:c r="E14" s="210" t="n">
        <x:v>1700</x:v>
      </x:c>
      <x:c r="F14" s="210" t="n">
        <x:v>6350</x:v>
      </x:c>
      <x:c r="G14" s="210" t="n">
        <x:v>0</x:v>
      </x:c>
      <x:c r="H14" s="210" t="n">
        <x:v>13000</x:v>
      </x:c>
      <x:c r="I14" s="210" t="n">
        <x:v>0</x:v>
      </x:c>
      <x:c r="J14" s="210" t="n">
        <x:v>50</x:v>
      </x:c>
      <x:c r="K14" s="210" t="n">
        <x:v>50</x:v>
      </x:c>
      <x:c r="L14" s="210" t="n">
        <x:v>0</x:v>
      </x:c>
    </x:row>
    <x:row r="15" ht="34" customHeight="1">
      <x:c r="A15" s="207" t="str">
        <x:v>EXT-MONDE-T010</x:v>
      </x:c>
      <x:c r="B15" s="208" t="str">
        <x:v>Plateforme semi-submersible</x:v>
      </x:c>
      <x:c r="C15" s="210" t="n">
        <x:v>50</x:v>
      </x:c>
      <x:c r="D15" s="210" t="n">
        <x:v>1700</x:v>
      </x:c>
      <x:c r="E15" s="210" t="n">
        <x:v>1700</x:v>
      </x:c>
      <x:c r="F15" s="210" t="n">
        <x:v>6200</x:v>
      </x:c>
      <x:c r="G15" s="210" t="n">
        <x:v>0</x:v>
      </x:c>
      <x:c r="H15" s="210" t="n">
        <x:v>13000</x:v>
      </x:c>
      <x:c r="I15" s="210" t="n">
        <x:v>0</x:v>
      </x:c>
      <x:c r="J15" s="210" t="n">
        <x:v>50</x:v>
      </x:c>
      <x:c r="K15" s="210" t="n">
        <x:v>50</x:v>
      </x:c>
      <x:c r="L15" s="210" t="n">
        <x:v>0</x:v>
      </x:c>
    </x:row>
    <x:row r="16" ht="34" customHeight="1">
      <x:c r="A16" s="207" t="str">
        <x:v>EXT-MONDE-T011</x:v>
      </x:c>
      <x:c r="B16" s="208" t="str">
        <x:v>Navire de soutien offshore</x:v>
      </x:c>
      <x:c r="C16" s="210" t="n">
        <x:v>50</x:v>
      </x:c>
      <x:c r="D16" s="210" t="n">
        <x:v>1600</x:v>
      </x:c>
      <x:c r="E16" s="210" t="n">
        <x:v>1600</x:v>
      </x:c>
      <x:c r="F16" s="210" t="n">
        <x:v>5602</x:v>
      </x:c>
      <x:c r="G16" s="210" t="n">
        <x:v>0</x:v>
      </x:c>
      <x:c r="H16" s="210" t="n">
        <x:v>10400</x:v>
      </x:c>
      <x:c r="I16" s="210" t="n">
        <x:v>150</x:v>
      </x:c>
      <x:c r="J16" s="210" t="n">
        <x:v>200</x:v>
      </x:c>
      <x:c r="K16" s="210" t="n">
        <x:v>50</x:v>
      </x:c>
      <x:c r="L16" s="210" t="n">
        <x:v>0</x:v>
      </x:c>
    </x:row>
    <x:row r="17" ht="34" customHeight="1">
      <x:c r="A17" s="207" t="str">
        <x:v>EXT-MONDE-T012</x:v>
      </x:c>
      <x:c r="B17" s="208" t="str">
        <x:v>Station scientifique marine</x:v>
      </x:c>
      <x:c r="C17" s="210" t="n">
        <x:v>50</x:v>
      </x:c>
      <x:c r="D17" s="210" t="n">
        <x:v>1700</x:v>
      </x:c>
      <x:c r="E17" s="210" t="n">
        <x:v>1700</x:v>
      </x:c>
      <x:c r="F17" s="210" t="n">
        <x:v>6450</x:v>
      </x:c>
      <x:c r="G17" s="210" t="n">
        <x:v>0</x:v>
      </x:c>
      <x:c r="H17" s="210" t="n">
        <x:v>13000</x:v>
      </x:c>
      <x:c r="I17" s="210" t="n">
        <x:v>0</x:v>
      </x:c>
      <x:c r="J17" s="210" t="n">
        <x:v>50</x:v>
      </x:c>
      <x:c r="K17" s="210" t="n">
        <x:v>50</x:v>
      </x:c>
      <x:c r="L17" s="210" t="n">
        <x:v>0</x:v>
      </x:c>
    </x:row>
    <x:row r="18" ht="34" customHeight="1">
      <x:c r="A18" s="207" t="str">
        <x:v>EXT-MONDE-T013</x:v>
      </x:c>
      <x:c r="B18" s="208" t="str">
        <x:v>Port de pêche</x:v>
      </x:c>
      <x:c r="C18" s="210" t="n">
        <x:v>50</x:v>
      </x:c>
      <x:c r="D18" s="210" t="n">
        <x:v>1600</x:v>
      </x:c>
      <x:c r="E18" s="210" t="n">
        <x:v>1600</x:v>
      </x:c>
      <x:c r="F18" s="210" t="n">
        <x:v>5950</x:v>
      </x:c>
      <x:c r="G18" s="210" t="n">
        <x:v>0</x:v>
      </x:c>
      <x:c r="H18" s="210" t="n">
        <x:v>12400</x:v>
      </x:c>
      <x:c r="I18" s="210" t="n">
        <x:v>0</x:v>
      </x:c>
      <x:c r="J18" s="210" t="n">
        <x:v>50</x:v>
      </x:c>
      <x:c r="K18" s="210" t="n">
        <x:v>50</x:v>
      </x:c>
      <x:c r="L18" s="210" t="n">
        <x:v>0</x:v>
      </x:c>
    </x:row>
    <x:row r="19" ht="34" customHeight="1">
      <x:c r="A19" s="207" t="str">
        <x:v>EXT-MONDE-T014</x:v>
      </x:c>
      <x:c r="B19" s="208" t="str">
        <x:v>Marina</x:v>
      </x:c>
      <x:c r="C19" s="210" t="n">
        <x:v>50</x:v>
      </x:c>
      <x:c r="D19" s="210" t="n">
        <x:v>1600</x:v>
      </x:c>
      <x:c r="E19" s="210" t="n">
        <x:v>1600</x:v>
      </x:c>
      <x:c r="F19" s="210" t="n">
        <x:v>6000</x:v>
      </x:c>
      <x:c r="G19" s="210" t="n">
        <x:v>0</x:v>
      </x:c>
      <x:c r="H19" s="210" t="n">
        <x:v>12400</x:v>
      </x:c>
      <x:c r="I19" s="210" t="n">
        <x:v>0</x:v>
      </x:c>
      <x:c r="J19" s="210" t="n">
        <x:v>50</x:v>
      </x:c>
      <x:c r="K19" s="210" t="n">
        <x:v>50</x:v>
      </x:c>
      <x:c r="L19" s="210" t="n">
        <x:v>0</x:v>
      </x:c>
    </x:row>
    <x:row r="20" ht="34" customHeight="1">
      <x:c r="A20" s="207" t="str">
        <x:v>EXT-MONDE-T015</x:v>
      </x:c>
      <x:c r="B20" s="208" t="str">
        <x:v>Terminal conteneurs</x:v>
      </x:c>
      <x:c r="C20" s="210" t="n">
        <x:v>50</x:v>
      </x:c>
      <x:c r="D20" s="210" t="n">
        <x:v>1600</x:v>
      </x:c>
      <x:c r="E20" s="210" t="n">
        <x:v>1600</x:v>
      </x:c>
      <x:c r="F20" s="210" t="n">
        <x:v>5950</x:v>
      </x:c>
      <x:c r="G20" s="210" t="n">
        <x:v>0</x:v>
      </x:c>
      <x:c r="H20" s="210" t="n">
        <x:v>12400</x:v>
      </x:c>
      <x:c r="I20" s="210" t="n">
        <x:v>0</x:v>
      </x:c>
      <x:c r="J20" s="210" t="n">
        <x:v>50</x:v>
      </x:c>
      <x:c r="K20" s="210" t="n">
        <x:v>50</x:v>
      </x:c>
      <x:c r="L20" s="210" t="n">
        <x:v>0</x:v>
      </x:c>
    </x:row>
    <x:row r="21" ht="34" customHeight="1">
      <x:c r="A21" s="207" t="str">
        <x:v>EXT-MONDE-T016</x:v>
      </x:c>
      <x:c r="B21" s="208" t="str">
        <x:v>Terminal ferry</x:v>
      </x:c>
      <x:c r="C21" s="210" t="n">
        <x:v>50</x:v>
      </x:c>
      <x:c r="D21" s="210" t="n">
        <x:v>1600</x:v>
      </x:c>
      <x:c r="E21" s="210" t="n">
        <x:v>1600</x:v>
      </x:c>
      <x:c r="F21" s="210" t="n">
        <x:v>6100</x:v>
      </x:c>
      <x:c r="G21" s="210" t="n">
        <x:v>0</x:v>
      </x:c>
      <x:c r="H21" s="210" t="n">
        <x:v>12400</x:v>
      </x:c>
      <x:c r="I21" s="210" t="n">
        <x:v>0</x:v>
      </x:c>
      <x:c r="J21" s="210" t="n">
        <x:v>50</x:v>
      </x:c>
      <x:c r="K21" s="210" t="n">
        <x:v>50</x:v>
      </x:c>
      <x:c r="L21" s="210" t="n">
        <x:v>0</x:v>
      </x:c>
    </x:row>
    <x:row r="22" ht="34" customHeight="1">
      <x:c r="A22" s="207" t="str">
        <x:v>EXT-MONDE-T017</x:v>
      </x:c>
      <x:c r="B22" s="208" t="str">
        <x:v>Phare et logements</x:v>
      </x:c>
      <x:c r="C22" s="210" t="n">
        <x:v>50</x:v>
      </x:c>
      <x:c r="D22" s="210" t="n">
        <x:v>1600</x:v>
      </x:c>
      <x:c r="E22" s="210" t="n">
        <x:v>1600</x:v>
      </x:c>
      <x:c r="F22" s="210" t="n">
        <x:v>5750</x:v>
      </x:c>
      <x:c r="G22" s="210" t="n">
        <x:v>0</x:v>
      </x:c>
      <x:c r="H22" s="210" t="n">
        <x:v>12400</x:v>
      </x:c>
      <x:c r="I22" s="210" t="n">
        <x:v>0</x:v>
      </x:c>
      <x:c r="J22" s="210" t="n">
        <x:v>50</x:v>
      </x:c>
      <x:c r="K22" s="210" t="n">
        <x:v>50</x:v>
      </x:c>
      <x:c r="L22" s="210" t="n">
        <x:v>0</x:v>
      </x:c>
    </x:row>
    <x:row r="23" ht="34" customHeight="1">
      <x:c r="A23" s="207" t="str">
        <x:v>EXT-MONDE-T018</x:v>
      </x:c>
      <x:c r="B23" s="208" t="str">
        <x:v>Fête foraine portuaire</x:v>
      </x:c>
      <x:c r="C23" s="210" t="n">
        <x:v>50</x:v>
      </x:c>
      <x:c r="D23" s="210" t="n">
        <x:v>1600</x:v>
      </x:c>
      <x:c r="E23" s="210" t="n">
        <x:v>1600</x:v>
      </x:c>
      <x:c r="F23" s="210" t="n">
        <x:v>6000</x:v>
      </x:c>
      <x:c r="G23" s="210" t="n">
        <x:v>0</x:v>
      </x:c>
      <x:c r="H23" s="210" t="n">
        <x:v>12400</x:v>
      </x:c>
      <x:c r="I23" s="210" t="n">
        <x:v>0</x:v>
      </x:c>
      <x:c r="J23" s="210" t="n">
        <x:v>50</x:v>
      </x:c>
      <x:c r="K23" s="210" t="n">
        <x:v>50</x:v>
      </x:c>
      <x:c r="L23" s="210" t="n">
        <x:v>0</x:v>
      </x:c>
    </x:row>
    <x:row r="24" ht="34" customHeight="1">
      <x:c r="A24" s="207" t="str">
        <x:v>EXT-MONDE-T019</x:v>
      </x:c>
      <x:c r="B24" s="208" t="str">
        <x:v>Chantier naval côtier</x:v>
      </x:c>
      <x:c r="C24" s="210" t="n">
        <x:v>50</x:v>
      </x:c>
      <x:c r="D24" s="210" t="n">
        <x:v>1600</x:v>
      </x:c>
      <x:c r="E24" s="210" t="n">
        <x:v>1600</x:v>
      </x:c>
      <x:c r="F24" s="210" t="n">
        <x:v>6050</x:v>
      </x:c>
      <x:c r="G24" s="210" t="n">
        <x:v>0</x:v>
      </x:c>
      <x:c r="H24" s="210" t="n">
        <x:v>12400</x:v>
      </x:c>
      <x:c r="I24" s="210" t="n">
        <x:v>0</x:v>
      </x:c>
      <x:c r="J24" s="210" t="n">
        <x:v>50</x:v>
      </x:c>
      <x:c r="K24" s="210" t="n">
        <x:v>50</x:v>
      </x:c>
      <x:c r="L24" s="210" t="n">
        <x:v>0</x:v>
      </x:c>
    </x:row>
    <x:row r="25" ht="34" customHeight="1">
      <x:c r="A25" s="207" t="str">
        <x:v>EXT-MONDE-T020</x:v>
      </x:c>
      <x:c r="B25" s="208" t="str">
        <x:v>Baie avec village côtier</x:v>
      </x:c>
      <x:c r="C25" s="210" t="n">
        <x:v>50</x:v>
      </x:c>
      <x:c r="D25" s="210" t="n">
        <x:v>1600</x:v>
      </x:c>
      <x:c r="E25" s="210" t="n">
        <x:v>1600</x:v>
      </x:c>
      <x:c r="F25" s="210" t="n">
        <x:v>6000</x:v>
      </x:c>
      <x:c r="G25" s="210" t="n">
        <x:v>0</x:v>
      </x:c>
      <x:c r="H25" s="210" t="n">
        <x:v>12400</x:v>
      </x:c>
      <x:c r="I25" s="210" t="n">
        <x:v>0</x:v>
      </x:c>
      <x:c r="J25" s="210" t="n">
        <x:v>50</x:v>
      </x:c>
      <x:c r="K25" s="210" t="n">
        <x:v>50</x:v>
      </x:c>
      <x:c r="L25" s="210" t="n">
        <x:v>0</x:v>
      </x:c>
    </x:row>
    <x:row r="26" ht="34" customHeight="1">
      <x:c r="A26" s="207" t="str">
        <x:v>EXT-MONDE-T021</x:v>
      </x:c>
      <x:c r="B26" s="208" t="str">
        <x:v>Ferme laitière</x:v>
      </x:c>
      <x:c r="C26" s="210" t="n">
        <x:v>50</x:v>
      </x:c>
      <x:c r="D26" s="210" t="n">
        <x:v>1400</x:v>
      </x:c>
      <x:c r="E26" s="210" t="n">
        <x:v>1400</x:v>
      </x:c>
      <x:c r="F26" s="210" t="n">
        <x:v>4950</x:v>
      </x:c>
      <x:c r="G26" s="210" t="n">
        <x:v>0</x:v>
      </x:c>
      <x:c r="H26" s="210" t="n">
        <x:v>10500</x:v>
      </x:c>
      <x:c r="I26" s="210" t="n">
        <x:v>0</x:v>
      </x:c>
      <x:c r="J26" s="210" t="n">
        <x:v>50</x:v>
      </x:c>
      <x:c r="K26" s="210" t="n">
        <x:v>50</x:v>
      </x:c>
      <x:c r="L26" s="210" t="n">
        <x:v>0</x:v>
      </x:c>
    </x:row>
    <x:row r="27" ht="34" customHeight="1">
      <x:c r="A27" s="207" t="str">
        <x:v>EXT-MONDE-T022</x:v>
      </x:c>
      <x:c r="B27" s="208" t="str">
        <x:v>Élevage ovin</x:v>
      </x:c>
      <x:c r="C27" s="210" t="n">
        <x:v>50</x:v>
      </x:c>
      <x:c r="D27" s="210" t="n">
        <x:v>1400</x:v>
      </x:c>
      <x:c r="E27" s="210" t="n">
        <x:v>1400</x:v>
      </x:c>
      <x:c r="F27" s="210" t="n">
        <x:v>5100</x:v>
      </x:c>
      <x:c r="G27" s="210" t="n">
        <x:v>0</x:v>
      </x:c>
      <x:c r="H27" s="210" t="n">
        <x:v>10500</x:v>
      </x:c>
      <x:c r="I27" s="210" t="n">
        <x:v>0</x:v>
      </x:c>
      <x:c r="J27" s="210" t="n">
        <x:v>50</x:v>
      </x:c>
      <x:c r="K27" s="210" t="n">
        <x:v>50</x:v>
      </x:c>
      <x:c r="L27" s="210" t="n">
        <x:v>0</x:v>
      </x:c>
    </x:row>
    <x:row r="28" ht="34" customHeight="1">
      <x:c r="A28" s="207" t="str">
        <x:v>EXT-MONDE-T023</x:v>
      </x:c>
      <x:c r="B28" s="208" t="str">
        <x:v>Ferme avicole</x:v>
      </x:c>
      <x:c r="C28" s="210" t="n">
        <x:v>50</x:v>
      </x:c>
      <x:c r="D28" s="210" t="n">
        <x:v>1400</x:v>
      </x:c>
      <x:c r="E28" s="210" t="n">
        <x:v>1400</x:v>
      </x:c>
      <x:c r="F28" s="210" t="n">
        <x:v>5050</x:v>
      </x:c>
      <x:c r="G28" s="210" t="n">
        <x:v>0</x:v>
      </x:c>
      <x:c r="H28" s="210" t="n">
        <x:v>10500</x:v>
      </x:c>
      <x:c r="I28" s="210" t="n">
        <x:v>0</x:v>
      </x:c>
      <x:c r="J28" s="210" t="n">
        <x:v>50</x:v>
      </x:c>
      <x:c r="K28" s="210" t="n">
        <x:v>50</x:v>
      </x:c>
      <x:c r="L28" s="210" t="n">
        <x:v>0</x:v>
      </x:c>
    </x:row>
    <x:row r="29" ht="34" customHeight="1">
      <x:c r="A29" s="207" t="str">
        <x:v>EXT-MONDE-T024</x:v>
      </x:c>
      <x:c r="B29" s="208" t="str">
        <x:v>Centre équestre rural</x:v>
      </x:c>
      <x:c r="C29" s="210" t="n">
        <x:v>50</x:v>
      </x:c>
      <x:c r="D29" s="210" t="n">
        <x:v>1400</x:v>
      </x:c>
      <x:c r="E29" s="210" t="n">
        <x:v>1400</x:v>
      </x:c>
      <x:c r="F29" s="210" t="n">
        <x:v>5100</x:v>
      </x:c>
      <x:c r="G29" s="210" t="n">
        <x:v>0</x:v>
      </x:c>
      <x:c r="H29" s="210" t="n">
        <x:v>10500</x:v>
      </x:c>
      <x:c r="I29" s="210" t="n">
        <x:v>0</x:v>
      </x:c>
      <x:c r="J29" s="210" t="n">
        <x:v>50</x:v>
      </x:c>
      <x:c r="K29" s="210" t="n">
        <x:v>50</x:v>
      </x:c>
      <x:c r="L29" s="210" t="n">
        <x:v>0</x:v>
      </x:c>
    </x:row>
    <x:row r="30" ht="34" customHeight="1">
      <x:c r="A30" s="207" t="str">
        <x:v>EXT-MONDE-T025</x:v>
      </x:c>
      <x:c r="B30" s="208" t="str">
        <x:v>Exploitation céréalière</x:v>
      </x:c>
      <x:c r="C30" s="210" t="n">
        <x:v>50</x:v>
      </x:c>
      <x:c r="D30" s="210" t="n">
        <x:v>1300</x:v>
      </x:c>
      <x:c r="E30" s="210" t="n">
        <x:v>1300</x:v>
      </x:c>
      <x:c r="F30" s="210" t="n">
        <x:v>4850</x:v>
      </x:c>
      <x:c r="G30" s="210" t="n">
        <x:v>0</x:v>
      </x:c>
      <x:c r="H30" s="210" t="n">
        <x:v>9900</x:v>
      </x:c>
      <x:c r="I30" s="210" t="n">
        <x:v>0</x:v>
      </x:c>
      <x:c r="J30" s="210" t="n">
        <x:v>50</x:v>
      </x:c>
      <x:c r="K30" s="210" t="n">
        <x:v>50</x:v>
      </x:c>
      <x:c r="L30" s="210" t="n">
        <x:v>0</x:v>
      </x:c>
    </x:row>
    <x:row r="31" ht="34" customHeight="1">
      <x:c r="A31" s="207" t="str">
        <x:v>EXT-MONDE-T026</x:v>
      </x:c>
      <x:c r="B31" s="208" t="str">
        <x:v>Domaine viticole</x:v>
      </x:c>
      <x:c r="C31" s="210" t="n">
        <x:v>50</x:v>
      </x:c>
      <x:c r="D31" s="210" t="n">
        <x:v>1300</x:v>
      </x:c>
      <x:c r="E31" s="210" t="n">
        <x:v>1300</x:v>
      </x:c>
      <x:c r="F31" s="210" t="n">
        <x:v>4700</x:v>
      </x:c>
      <x:c r="G31" s="210" t="n">
        <x:v>0</x:v>
      </x:c>
      <x:c r="H31" s="210" t="n">
        <x:v>9900</x:v>
      </x:c>
      <x:c r="I31" s="210" t="n">
        <x:v>0</x:v>
      </x:c>
      <x:c r="J31" s="210" t="n">
        <x:v>50</x:v>
      </x:c>
      <x:c r="K31" s="210" t="n">
        <x:v>50</x:v>
      </x:c>
      <x:c r="L31" s="210" t="n">
        <x:v>0</x:v>
      </x:c>
    </x:row>
    <x:row r="32" ht="34" customHeight="1">
      <x:c r="A32" s="207" t="str">
        <x:v>EXT-MONDE-T027</x:v>
      </x:c>
      <x:c r="B32" s="208" t="str">
        <x:v>Ferme maraîchère</x:v>
      </x:c>
      <x:c r="C32" s="210" t="n">
        <x:v>50</x:v>
      </x:c>
      <x:c r="D32" s="210" t="n">
        <x:v>1400</x:v>
      </x:c>
      <x:c r="E32" s="210" t="n">
        <x:v>1400</x:v>
      </x:c>
      <x:c r="F32" s="210" t="n">
        <x:v>5200</x:v>
      </x:c>
      <x:c r="G32" s="210" t="n">
        <x:v>0</x:v>
      </x:c>
      <x:c r="H32" s="210" t="n">
        <x:v>10500</x:v>
      </x:c>
      <x:c r="I32" s="210" t="n">
        <x:v>0</x:v>
      </x:c>
      <x:c r="J32" s="210" t="n">
        <x:v>50</x:v>
      </x:c>
      <x:c r="K32" s="210" t="n">
        <x:v>50</x:v>
      </x:c>
      <x:c r="L32" s="210" t="n">
        <x:v>0</x:v>
      </x:c>
    </x:row>
    <x:row r="33" ht="34" customHeight="1">
      <x:c r="A33" s="207" t="str">
        <x:v>EXT-MONDE-T028</x:v>
      </x:c>
      <x:c r="B33" s="208" t="str">
        <x:v>Verger avec conditionnement</x:v>
      </x:c>
      <x:c r="C33" s="210" t="n">
        <x:v>50</x:v>
      </x:c>
      <x:c r="D33" s="210" t="n">
        <x:v>1300</x:v>
      </x:c>
      <x:c r="E33" s="210" t="n">
        <x:v>1300</x:v>
      </x:c>
      <x:c r="F33" s="210" t="n">
        <x:v>4800</x:v>
      </x:c>
      <x:c r="G33" s="210" t="n">
        <x:v>0</x:v>
      </x:c>
      <x:c r="H33" s="210" t="n">
        <x:v>9900</x:v>
      </x:c>
      <x:c r="I33" s="210" t="n">
        <x:v>0</x:v>
      </x:c>
      <x:c r="J33" s="210" t="n">
        <x:v>50</x:v>
      </x:c>
      <x:c r="K33" s="210" t="n">
        <x:v>50</x:v>
      </x:c>
      <x:c r="L33" s="210" t="n">
        <x:v>0</x:v>
      </x:c>
    </x:row>
    <x:row r="34" ht="34" customHeight="1">
      <x:c r="A34" s="207" t="str">
        <x:v>EXT-MONDE-T029</x:v>
      </x:c>
      <x:c r="B34" s="208" t="str">
        <x:v>Pont routier à poutres</x:v>
      </x:c>
      <x:c r="C34" s="210" t="n">
        <x:v>50</x:v>
      </x:c>
      <x:c r="D34" s="210" t="n">
        <x:v>1700</x:v>
      </x:c>
      <x:c r="E34" s="210" t="n">
        <x:v>1700</x:v>
      </x:c>
      <x:c r="F34" s="210" t="n">
        <x:v>6250</x:v>
      </x:c>
      <x:c r="G34" s="210" t="n">
        <x:v>0</x:v>
      </x:c>
      <x:c r="H34" s="210" t="n">
        <x:v>13000</x:v>
      </x:c>
      <x:c r="I34" s="210" t="n">
        <x:v>0</x:v>
      </x:c>
      <x:c r="J34" s="210" t="n">
        <x:v>50</x:v>
      </x:c>
      <x:c r="K34" s="210" t="n">
        <x:v>50</x:v>
      </x:c>
      <x:c r="L34" s="210" t="n">
        <x:v>0</x:v>
      </x:c>
    </x:row>
    <x:row r="35" ht="34" customHeight="1">
      <x:c r="A35" s="207" t="str">
        <x:v>EXT-MONDE-T030</x:v>
      </x:c>
      <x:c r="B35" s="208" t="str">
        <x:v>Pont à arches</x:v>
      </x:c>
      <x:c r="C35" s="210" t="n">
        <x:v>50</x:v>
      </x:c>
      <x:c r="D35" s="210" t="n">
        <x:v>1700</x:v>
      </x:c>
      <x:c r="E35" s="210" t="n">
        <x:v>1700</x:v>
      </x:c>
      <x:c r="F35" s="210" t="n">
        <x:v>6250</x:v>
      </x:c>
      <x:c r="G35" s="210" t="n">
        <x:v>0</x:v>
      </x:c>
      <x:c r="H35" s="210" t="n">
        <x:v>13000</x:v>
      </x:c>
      <x:c r="I35" s="210" t="n">
        <x:v>0</x:v>
      </x:c>
      <x:c r="J35" s="210" t="n">
        <x:v>50</x:v>
      </x:c>
      <x:c r="K35" s="210" t="n">
        <x:v>50</x:v>
      </x:c>
      <x:c r="L35" s="210" t="n">
        <x:v>0</x:v>
      </x:c>
    </x:row>
    <x:row r="36" ht="34" customHeight="1">
      <x:c r="A36" s="207" t="str">
        <x:v>EXT-MONDE-T031</x:v>
      </x:c>
      <x:c r="B36" s="208" t="str">
        <x:v>Pont levant portuaire</x:v>
      </x:c>
      <x:c r="C36" s="210" t="n">
        <x:v>50</x:v>
      </x:c>
      <x:c r="D36" s="210" t="n">
        <x:v>1700</x:v>
      </x:c>
      <x:c r="E36" s="210" t="n">
        <x:v>1700</x:v>
      </x:c>
      <x:c r="F36" s="210" t="n">
        <x:v>6250</x:v>
      </x:c>
      <x:c r="G36" s="210" t="n">
        <x:v>0</x:v>
      </x:c>
      <x:c r="H36" s="210" t="n">
        <x:v>13000</x:v>
      </x:c>
      <x:c r="I36" s="210" t="n">
        <x:v>0</x:v>
      </x:c>
      <x:c r="J36" s="210" t="n">
        <x:v>50</x:v>
      </x:c>
      <x:c r="K36" s="210" t="n">
        <x:v>50</x:v>
      </x:c>
      <x:c r="L36" s="210" t="n">
        <x:v>0</x:v>
      </x:c>
    </x:row>
    <x:row r="37" ht="34" customHeight="1">
      <x:c r="A37" s="207" t="str">
        <x:v>EXT-MONDE-T032</x:v>
      </x:c>
      <x:c r="B37" s="208" t="str">
        <x:v>Viaduc ferroviaire</x:v>
      </x:c>
      <x:c r="C37" s="210" t="n">
        <x:v>50</x:v>
      </x:c>
      <x:c r="D37" s="210" t="n">
        <x:v>1700</x:v>
      </x:c>
      <x:c r="E37" s="210" t="n">
        <x:v>1700</x:v>
      </x:c>
      <x:c r="F37" s="210" t="n">
        <x:v>6250</x:v>
      </x:c>
      <x:c r="G37" s="210" t="n">
        <x:v>0</x:v>
      </x:c>
      <x:c r="H37" s="210" t="n">
        <x:v>13000</x:v>
      </x:c>
      <x:c r="I37" s="210" t="n">
        <x:v>0</x:v>
      </x:c>
      <x:c r="J37" s="210" t="n">
        <x:v>50</x:v>
      </x:c>
      <x:c r="K37" s="210" t="n">
        <x:v>50</x:v>
      </x:c>
      <x:c r="L37" s="210" t="n">
        <x:v>0</x:v>
      </x:c>
    </x:row>
    <x:row r="38" ht="34" customHeight="1">
      <x:c r="A38" s="207" t="str">
        <x:v>EXT-MONDE-T033</x:v>
      </x:c>
      <x:c r="B38" s="208" t="str">
        <x:v>Échangeur en losange</x:v>
      </x:c>
      <x:c r="C38" s="210" t="n">
        <x:v>50</x:v>
      </x:c>
      <x:c r="D38" s="210" t="n">
        <x:v>1700</x:v>
      </x:c>
      <x:c r="E38" s="210" t="n">
        <x:v>1700</x:v>
      </x:c>
      <x:c r="F38" s="210" t="n">
        <x:v>6250</x:v>
      </x:c>
      <x:c r="G38" s="210" t="n">
        <x:v>0</x:v>
      </x:c>
      <x:c r="H38" s="210" t="n">
        <x:v>13000</x:v>
      </x:c>
      <x:c r="I38" s="210" t="n">
        <x:v>0</x:v>
      </x:c>
      <x:c r="J38" s="210" t="n">
        <x:v>50</x:v>
      </x:c>
      <x:c r="K38" s="210" t="n">
        <x:v>50</x:v>
      </x:c>
      <x:c r="L38" s="210" t="n">
        <x:v>0</x:v>
      </x:c>
    </x:row>
    <x:row r="39" ht="34" customHeight="1">
      <x:c r="A39" s="207" t="str">
        <x:v>EXT-MONDE-T034</x:v>
      </x:c>
      <x:c r="B39" s="208" t="str">
        <x:v>Échangeur en trompette</x:v>
      </x:c>
      <x:c r="C39" s="210" t="n">
        <x:v>50</x:v>
      </x:c>
      <x:c r="D39" s="210" t="n">
        <x:v>1700</x:v>
      </x:c>
      <x:c r="E39" s="210" t="n">
        <x:v>1700</x:v>
      </x:c>
      <x:c r="F39" s="210" t="n">
        <x:v>6250</x:v>
      </x:c>
      <x:c r="G39" s="210" t="n">
        <x:v>0</x:v>
      </x:c>
      <x:c r="H39" s="210" t="n">
        <x:v>13000</x:v>
      </x:c>
      <x:c r="I39" s="210" t="n">
        <x:v>0</x:v>
      </x:c>
      <x:c r="J39" s="210" t="n">
        <x:v>50</x:v>
      </x:c>
      <x:c r="K39" s="210" t="n">
        <x:v>50</x:v>
      </x:c>
      <x:c r="L39" s="210" t="n">
        <x:v>0</x:v>
      </x:c>
    </x:row>
    <x:row r="40" ht="34" customHeight="1">
      <x:c r="A40" s="207" t="str">
        <x:v>EXT-MONDE-T035</x:v>
      </x:c>
      <x:c r="B40" s="208" t="str">
        <x:v>Trèfle autoroutier</x:v>
      </x:c>
      <x:c r="C40" s="210" t="n">
        <x:v>50</x:v>
      </x:c>
      <x:c r="D40" s="210" t="n">
        <x:v>1700</x:v>
      </x:c>
      <x:c r="E40" s="210" t="n">
        <x:v>1700</x:v>
      </x:c>
      <x:c r="F40" s="210" t="n">
        <x:v>6250</x:v>
      </x:c>
      <x:c r="G40" s="210" t="n">
        <x:v>0</x:v>
      </x:c>
      <x:c r="H40" s="210" t="n">
        <x:v>13000</x:v>
      </x:c>
      <x:c r="I40" s="210" t="n">
        <x:v>0</x:v>
      </x:c>
      <x:c r="J40" s="210" t="n">
        <x:v>50</x:v>
      </x:c>
      <x:c r="K40" s="210" t="n">
        <x:v>50</x:v>
      </x:c>
      <x:c r="L40" s="210" t="n">
        <x:v>0</x:v>
      </x:c>
    </x:row>
    <x:row r="41" ht="34" customHeight="1">
      <x:c r="A41" s="207" t="str">
        <x:v>EXT-MONDE-T036</x:v>
      </x:c>
      <x:c r="B41" s="208" t="str">
        <x:v>Échangeur directionnel</x:v>
      </x:c>
      <x:c r="C41" s="210" t="n">
        <x:v>50</x:v>
      </x:c>
      <x:c r="D41" s="210" t="n">
        <x:v>1700</x:v>
      </x:c>
      <x:c r="E41" s="210" t="n">
        <x:v>1700</x:v>
      </x:c>
      <x:c r="F41" s="210" t="n">
        <x:v>6250</x:v>
      </x:c>
      <x:c r="G41" s="210" t="n">
        <x:v>0</x:v>
      </x:c>
      <x:c r="H41" s="210" t="n">
        <x:v>13000</x:v>
      </x:c>
      <x:c r="I41" s="210" t="n">
        <x:v>0</x:v>
      </x:c>
      <x:c r="J41" s="210" t="n">
        <x:v>50</x:v>
      </x:c>
      <x:c r="K41" s="210" t="n">
        <x:v>50</x:v>
      </x:c>
      <x:c r="L41" s="210" t="n">
        <x:v>0</x:v>
      </x:c>
    </x:row>
    <x:row r="42" ht="34" customHeight="1">
      <x:c r="A42" s="207" t="str">
        <x:v>EXT-MONDE-T037</x:v>
      </x:c>
      <x:c r="B42" s="208" t="str">
        <x:v>Collecteur urbain</x:v>
      </x:c>
      <x:c r="C42" s="210" t="n">
        <x:v>50</x:v>
      </x:c>
      <x:c r="D42" s="210" t="n">
        <x:v>700</x:v>
      </x:c>
      <x:c r="E42" s="210" t="n">
        <x:v>700</x:v>
      </x:c>
      <x:c r="F42" s="210" t="n">
        <x:v>2600</x:v>
      </x:c>
      <x:c r="G42" s="210" t="n">
        <x:v>0</x:v>
      </x:c>
      <x:c r="H42" s="210" t="n">
        <x:v>6300</x:v>
      </x:c>
      <x:c r="I42" s="210" t="n">
        <x:v>100</x:v>
      </x:c>
      <x:c r="J42" s="210" t="n">
        <x:v>100</x:v>
      </x:c>
      <x:c r="K42" s="210" t="n">
        <x:v>50</x:v>
      </x:c>
      <x:c r="L42" s="210" t="n">
        <x:v>0</x:v>
      </x:c>
    </x:row>
    <x:row r="43" ht="34" customHeight="1">
      <x:c r="A43" s="207" t="str">
        <x:v>EXT-MONDE-T038</x:v>
      </x:c>
      <x:c r="B43" s="208" t="str">
        <x:v>Réseau unitaire ancien</x:v>
      </x:c>
      <x:c r="C43" s="210" t="n">
        <x:v>50</x:v>
      </x:c>
      <x:c r="D43" s="210" t="n">
        <x:v>1200</x:v>
      </x:c>
      <x:c r="E43" s="210" t="n">
        <x:v>1200</x:v>
      </x:c>
      <x:c r="F43" s="210" t="n">
        <x:v>4450</x:v>
      </x:c>
      <x:c r="G43" s="210" t="n">
        <x:v>0</x:v>
      </x:c>
      <x:c r="H43" s="210" t="n">
        <x:v>10350</x:v>
      </x:c>
      <x:c r="I43" s="210" t="n">
        <x:v>200</x:v>
      </x:c>
      <x:c r="J43" s="210" t="n">
        <x:v>150</x:v>
      </x:c>
      <x:c r="K43" s="210" t="n">
        <x:v>50</x:v>
      </x:c>
      <x:c r="L43" s="210" t="n">
        <x:v>0</x:v>
      </x:c>
    </x:row>
    <x:row r="44" ht="34" customHeight="1">
      <x:c r="A44" s="207" t="str">
        <x:v>EXT-MONDE-T039</x:v>
      </x:c>
      <x:c r="B44" s="208" t="str">
        <x:v>Galerie pluviale</x:v>
      </x:c>
      <x:c r="C44" s="210" t="n">
        <x:v>50</x:v>
      </x:c>
      <x:c r="D44" s="210" t="n">
        <x:v>600</x:v>
      </x:c>
      <x:c r="E44" s="210" t="n">
        <x:v>600</x:v>
      </x:c>
      <x:c r="F44" s="210" t="n">
        <x:v>2200</x:v>
      </x:c>
      <x:c r="G44" s="210" t="n">
        <x:v>0</x:v>
      </x:c>
      <x:c r="H44" s="210" t="n">
        <x:v>5700</x:v>
      </x:c>
      <x:c r="I44" s="210" t="n">
        <x:v>100</x:v>
      </x:c>
      <x:c r="J44" s="210" t="n">
        <x:v>100</x:v>
      </x:c>
      <x:c r="K44" s="210" t="n">
        <x:v>50</x:v>
      </x:c>
      <x:c r="L44" s="210" t="n">
        <x:v>0</x:v>
      </x:c>
    </x:row>
    <x:row r="45" ht="34" customHeight="1">
      <x:c r="A45" s="207" t="str">
        <x:v>EXT-MONDE-T040</x:v>
      </x:c>
      <x:c r="B45" s="208" t="str">
        <x:v>Station souterraine de relevage</x:v>
      </x:c>
      <x:c r="C45" s="210" t="n">
        <x:v>50</x:v>
      </x:c>
      <x:c r="D45" s="210" t="n">
        <x:v>1300</x:v>
      </x:c>
      <x:c r="E45" s="210" t="n">
        <x:v>1300</x:v>
      </x:c>
      <x:c r="F45" s="210" t="n">
        <x:v>4750</x:v>
      </x:c>
      <x:c r="G45" s="210" t="n">
        <x:v>0</x:v>
      </x:c>
      <x:c r="H45" s="210" t="n">
        <x:v>12000</x:v>
      </x:c>
      <x:c r="I45" s="210" t="n">
        <x:v>300</x:v>
      </x:c>
      <x:c r="J45" s="210" t="n">
        <x:v>200</x:v>
      </x:c>
      <x:c r="K45" s="210" t="n">
        <x:v>50</x:v>
      </x:c>
      <x:c r="L45" s="210" t="n">
        <x:v>0</x:v>
      </x:c>
    </x:row>
    <x:row r="46" ht="34" customHeight="1">
      <x:c r="A46" s="207" t="str">
        <x:v>EXT-MONDE-T041</x:v>
      </x:c>
      <x:c r="B46" s="208" t="str">
        <x:v>Barre HLM</x:v>
      </x:c>
      <x:c r="C46" s="210" t="n">
        <x:v>50</x:v>
      </x:c>
      <x:c r="D46" s="210" t="n">
        <x:v>7600</x:v>
      </x:c>
      <x:c r="E46" s="210" t="n">
        <x:v>7600</x:v>
      </x:c>
      <x:c r="F46" s="210" t="n">
        <x:v>26600</x:v>
      </x:c>
      <x:c r="G46" s="210" t="n">
        <x:v>0</x:v>
      </x:c>
      <x:c r="H46" s="210" t="n">
        <x:v>56800</x:v>
      </x:c>
      <x:c r="I46" s="210" t="n">
        <x:v>250</x:v>
      </x:c>
      <x:c r="J46" s="210" t="n">
        <x:v>300</x:v>
      </x:c>
      <x:c r="K46" s="210" t="n">
        <x:v>50</x:v>
      </x:c>
      <x:c r="L46" s="210" t="n">
        <x:v>0</x:v>
      </x:c>
    </x:row>
    <x:row r="47" ht="34" customHeight="1">
      <x:c r="A47" s="207" t="str">
        <x:v>EXT-MONDE-T042</x:v>
      </x:c>
      <x:c r="B47" s="208" t="str">
        <x:v>Tour HLM</x:v>
      </x:c>
      <x:c r="C47" s="210" t="n">
        <x:v>50</x:v>
      </x:c>
      <x:c r="D47" s="210" t="n">
        <x:v>10900</x:v>
      </x:c>
      <x:c r="E47" s="210" t="n">
        <x:v>10900</x:v>
      </x:c>
      <x:c r="F47" s="210" t="n">
        <x:v>38150</x:v>
      </x:c>
      <x:c r="G47" s="210" t="n">
        <x:v>0</x:v>
      </x:c>
      <x:c r="H47" s="210" t="n">
        <x:v>81850</x:v>
      </x:c>
      <x:c r="I47" s="210" t="n">
        <x:v>450</x:v>
      </x:c>
      <x:c r="J47" s="210" t="n">
        <x:v>500</x:v>
      </x:c>
      <x:c r="K47" s="210" t="n">
        <x:v>50</x:v>
      </x:c>
      <x:c r="L47" s="210" t="n">
        <x:v>0</x:v>
      </x:c>
    </x:row>
    <x:row r="48" ht="34" customHeight="1">
      <x:c r="A48" s="207" t="str">
        <x:v>EXT-MONDE-T043</x:v>
      </x:c>
      <x:c r="B48" s="208" t="str">
        <x:v>Résidence en cour</x:v>
      </x:c>
      <x:c r="C48" s="210" t="n">
        <x:v>50</x:v>
      </x:c>
      <x:c r="D48" s="210" t="n">
        <x:v>12250</x:v>
      </x:c>
      <x:c r="E48" s="210" t="n">
        <x:v>12250</x:v>
      </x:c>
      <x:c r="F48" s="210" t="n">
        <x:v>42875</x:v>
      </x:c>
      <x:c r="G48" s="210" t="n">
        <x:v>0</x:v>
      </x:c>
      <x:c r="H48" s="210" t="n">
        <x:v>92750</x:v>
      </x:c>
      <x:c r="I48" s="210" t="n">
        <x:v>500</x:v>
      </x:c>
      <x:c r="J48" s="210" t="n">
        <x:v>290</x:v>
      </x:c>
      <x:c r="K48" s="210" t="n">
        <x:v>50</x:v>
      </x:c>
      <x:c r="L48" s="210" t="n">
        <x:v>0</x:v>
      </x:c>
    </x:row>
    <x:row r="49" ht="34" customHeight="1">
      <x:c r="A49" s="207" t="str">
        <x:v>EXT-MONDE-T044</x:v>
      </x:c>
      <x:c r="B49" s="208" t="str">
        <x:v>Ensemble HLM mixte</x:v>
      </x:c>
      <x:c r="C49" s="210" t="n">
        <x:v>50</x:v>
      </x:c>
      <x:c r="D49" s="210" t="n">
        <x:v>14320</x:v>
      </x:c>
      <x:c r="E49" s="210" t="n">
        <x:v>14320</x:v>
      </x:c>
      <x:c r="F49" s="210" t="n">
        <x:v>50170</x:v>
      </x:c>
      <x:c r="G49" s="210" t="n">
        <x:v>0</x:v>
      </x:c>
      <x:c r="H49" s="210" t="n">
        <x:v>107970</x:v>
      </x:c>
      <x:c r="I49" s="210" t="n">
        <x:v>580</x:v>
      </x:c>
      <x:c r="J49" s="210" t="n">
        <x:v>390</x:v>
      </x:c>
      <x:c r="K49" s="210" t="n">
        <x:v>50</x:v>
      </x:c>
      <x:c r="L49" s="210" t="n">
        <x:v>0</x:v>
      </x:c>
    </x:row>
    <x:row r="50" ht="34" customHeight="1">
      <x:c r="A50" s="207" t="str">
        <x:v>EXT-MONDE-T045</x:v>
      </x:c>
      <x:c r="B50" s="208" t="str">
        <x:v>Parc résidentiel de mobil-homes</x:v>
      </x:c>
      <x:c r="C50" s="210" t="n">
        <x:v>50</x:v>
      </x:c>
      <x:c r="D50" s="210" t="n">
        <x:v>2460</x:v>
      </x:c>
      <x:c r="E50" s="210" t="n">
        <x:v>2460</x:v>
      </x:c>
      <x:c r="F50" s="210" t="n">
        <x:v>8970</x:v>
      </x:c>
      <x:c r="G50" s="210" t="n">
        <x:v>0</x:v>
      </x:c>
      <x:c r="H50" s="210" t="n">
        <x:v>17980</x:v>
      </x:c>
      <x:c r="I50" s="210" t="n">
        <x:v>0</x:v>
      </x:c>
      <x:c r="J50" s="210" t="n">
        <x:v>50</x:v>
      </x:c>
      <x:c r="K50" s="210" t="n">
        <x:v>50</x:v>
      </x:c>
      <x:c r="L50" s="210" t="n">
        <x:v>0</x:v>
      </x:c>
    </x:row>
    <x:row r="51" ht="34" customHeight="1">
      <x:c r="A51" s="207" t="str">
        <x:v>EXT-MONDE-T046</x:v>
      </x:c>
      <x:c r="B51" s="208" t="str">
        <x:v>Camping caravanes</x:v>
      </x:c>
      <x:c r="C51" s="210" t="n">
        <x:v>50</x:v>
      </x:c>
      <x:c r="D51" s="210" t="n">
        <x:v>900</x:v>
      </x:c>
      <x:c r="E51" s="210" t="n">
        <x:v>900</x:v>
      </x:c>
      <x:c r="F51" s="210" t="n">
        <x:v>3300</x:v>
      </x:c>
      <x:c r="G51" s="210" t="n">
        <x:v>0</x:v>
      </x:c>
      <x:c r="H51" s="210" t="n">
        <x:v>6800</x:v>
      </x:c>
      <x:c r="I51" s="210" t="n">
        <x:v>0</x:v>
      </x:c>
      <x:c r="J51" s="210" t="n">
        <x:v>50</x:v>
      </x:c>
      <x:c r="K51" s="210" t="n">
        <x:v>50</x:v>
      </x:c>
      <x:c r="L51" s="210" t="n">
        <x:v>0</x:v>
      </x:c>
    </x:row>
    <x:row r="52" ht="34" customHeight="1">
      <x:c r="A52" s="207" t="str">
        <x:v>EXT-MONDE-T047</x:v>
      </x:c>
      <x:c r="B52" s="208" t="str">
        <x:v>Camp de travailleurs</x:v>
      </x:c>
      <x:c r="C52" s="210" t="n">
        <x:v>50</x:v>
      </x:c>
      <x:c r="D52" s="210" t="n">
        <x:v>2560</x:v>
      </x:c>
      <x:c r="E52" s="210" t="n">
        <x:v>2560</x:v>
      </x:c>
      <x:c r="F52" s="210" t="n">
        <x:v>8440</x:v>
      </x:c>
      <x:c r="G52" s="210" t="n">
        <x:v>0</x:v>
      </x:c>
      <x:c r="H52" s="210" t="n">
        <x:v>18580</x:v>
      </x:c>
      <x:c r="I52" s="210" t="n">
        <x:v>0</x:v>
      </x:c>
      <x:c r="J52" s="210" t="n">
        <x:v>50</x:v>
      </x:c>
      <x:c r="K52" s="210" t="n">
        <x:v>50</x:v>
      </x:c>
      <x:c r="L52" s="210" t="n">
        <x:v>0</x:v>
      </x:c>
    </x:row>
    <x:row r="53" ht="34" customHeight="1">
      <x:c r="A53" s="207" t="str">
        <x:v>EXT-MONDE-T048</x:v>
      </x:c>
      <x:c r="B53" s="208" t="str">
        <x:v>Parc de caravanes abandonné</x:v>
      </x:c>
      <x:c r="C53" s="210" t="n">
        <x:v>50</x:v>
      </x:c>
      <x:c r="D53" s="210" t="n">
        <x:v>1290</x:v>
      </x:c>
      <x:c r="E53" s="210" t="n">
        <x:v>1290</x:v>
      </x:c>
      <x:c r="F53" s="210" t="n">
        <x:v>4730</x:v>
      </x:c>
      <x:c r="G53" s="210" t="n">
        <x:v>0</x:v>
      </x:c>
      <x:c r="H53" s="210" t="n">
        <x:v>9595</x:v>
      </x:c>
      <x:c r="I53" s="210" t="n">
        <x:v>0</x:v>
      </x:c>
      <x:c r="J53" s="210" t="n">
        <x:v>50</x:v>
      </x:c>
      <x:c r="K53" s="210" t="n">
        <x:v>50</x:v>
      </x:c>
      <x:c r="L53" s="210" t="n">
        <x:v>0</x:v>
      </x:c>
    </x:row>
    <x:row r="54" ht="34" customHeight="1">
      <x:c r="A54" s="207" t="str">
        <x:v>EXT-MONDE-T049</x:v>
      </x:c>
      <x:c r="B54" s="208" t="str">
        <x:v>Parc familial</x:v>
      </x:c>
      <x:c r="C54" s="210" t="n">
        <x:v>50</x:v>
      </x:c>
      <x:c r="D54" s="210" t="n">
        <x:v>1600</x:v>
      </x:c>
      <x:c r="E54" s="210" t="n">
        <x:v>1600</x:v>
      </x:c>
      <x:c r="F54" s="210" t="n">
        <x:v>6000</x:v>
      </x:c>
      <x:c r="G54" s="210" t="n">
        <x:v>0</x:v>
      </x:c>
      <x:c r="H54" s="210" t="n">
        <x:v>12400</x:v>
      </x:c>
      <x:c r="I54" s="210" t="n">
        <x:v>0</x:v>
      </x:c>
      <x:c r="J54" s="210" t="n">
        <x:v>50</x:v>
      </x:c>
      <x:c r="K54" s="210" t="n">
        <x:v>50</x:v>
      </x:c>
      <x:c r="L54" s="210" t="n">
        <x:v>0</x:v>
      </x:c>
    </x:row>
    <x:row r="55" ht="34" customHeight="1">
      <x:c r="A55" s="207" t="str">
        <x:v>EXT-MONDE-T050</x:v>
      </x:c>
      <x:c r="B55" s="208" t="str">
        <x:v>Parc à sensations</x:v>
      </x:c>
      <x:c r="C55" s="210" t="n">
        <x:v>50</x:v>
      </x:c>
      <x:c r="D55" s="210" t="n">
        <x:v>1600</x:v>
      </x:c>
      <x:c r="E55" s="210" t="n">
        <x:v>1600</x:v>
      </x:c>
      <x:c r="F55" s="210" t="n">
        <x:v>6000</x:v>
      </x:c>
      <x:c r="G55" s="210" t="n">
        <x:v>0</x:v>
      </x:c>
      <x:c r="H55" s="210" t="n">
        <x:v>12400</x:v>
      </x:c>
      <x:c r="I55" s="210" t="n">
        <x:v>0</x:v>
      </x:c>
      <x:c r="J55" s="210" t="n">
        <x:v>50</x:v>
      </x:c>
      <x:c r="K55" s="210" t="n">
        <x:v>50</x:v>
      </x:c>
      <x:c r="L55" s="210" t="n">
        <x:v>0</x:v>
      </x:c>
    </x:row>
    <x:row r="56" ht="34" customHeight="1">
      <x:c r="A56" s="207" t="str">
        <x:v>EXT-MONDE-T051</x:v>
      </x:c>
      <x:c r="B56" s="208" t="str">
        <x:v>Parc aquatique</x:v>
      </x:c>
      <x:c r="C56" s="210" t="n">
        <x:v>50</x:v>
      </x:c>
      <x:c r="D56" s="210" t="n">
        <x:v>1600</x:v>
      </x:c>
      <x:c r="E56" s="210" t="n">
        <x:v>1600</x:v>
      </x:c>
      <x:c r="F56" s="210" t="n">
        <x:v>6050</x:v>
      </x:c>
      <x:c r="G56" s="210" t="n">
        <x:v>0</x:v>
      </x:c>
      <x:c r="H56" s="210" t="n">
        <x:v>12400</x:v>
      </x:c>
      <x:c r="I56" s="210" t="n">
        <x:v>0</x:v>
      </x:c>
      <x:c r="J56" s="210" t="n">
        <x:v>50</x:v>
      </x:c>
      <x:c r="K56" s="210" t="n">
        <x:v>50</x:v>
      </x:c>
      <x:c r="L56" s="210" t="n">
        <x:v>0</x:v>
      </x:c>
    </x:row>
    <x:row r="57" ht="34" customHeight="1">
      <x:c r="A57" s="207" t="str">
        <x:v>EXT-MONDE-T052</x:v>
      </x:c>
      <x:c r="B57" s="208" t="str">
        <x:v>Parc thématique abandonné</x:v>
      </x:c>
      <x:c r="C57" s="210" t="n">
        <x:v>50</x:v>
      </x:c>
      <x:c r="D57" s="210" t="n">
        <x:v>1600</x:v>
      </x:c>
      <x:c r="E57" s="210" t="n">
        <x:v>1600</x:v>
      </x:c>
      <x:c r="F57" s="210" t="n">
        <x:v>6000</x:v>
      </x:c>
      <x:c r="G57" s="210" t="n">
        <x:v>0</x:v>
      </x:c>
      <x:c r="H57" s="210" t="n">
        <x:v>12400</x:v>
      </x:c>
      <x:c r="I57" s="210" t="n">
        <x:v>0</x:v>
      </x:c>
      <x:c r="J57" s="210" t="n">
        <x:v>50</x:v>
      </x:c>
      <x:c r="K57" s="210" t="n">
        <x:v>50</x:v>
      </x:c>
      <x:c r="L57" s="210" t="n">
        <x:v>0</x:v>
      </x:c>
    </x:row>
    <x:row r="58" ht="34" customHeight="1">
      <x:c r="A58" s="207" t="str">
        <x:v>EXT-MONDE-T053</x:v>
      </x:c>
      <x:c r="B58" s="208" t="str">
        <x:v>Usine agroalimentaire</x:v>
      </x:c>
      <x:c r="C58" s="210" t="n">
        <x:v>50</x:v>
      </x:c>
      <x:c r="D58" s="210" t="n">
        <x:v>1900</x:v>
      </x:c>
      <x:c r="E58" s="210" t="n">
        <x:v>1900</x:v>
      </x:c>
      <x:c r="F58" s="210" t="n">
        <x:v>6850</x:v>
      </x:c>
      <x:c r="G58" s="210" t="n">
        <x:v>0</x:v>
      </x:c>
      <x:c r="H58" s="210" t="n">
        <x:v>14550</x:v>
      </x:c>
      <x:c r="I58" s="210" t="n">
        <x:v>0</x:v>
      </x:c>
      <x:c r="J58" s="210" t="n">
        <x:v>50</x:v>
      </x:c>
      <x:c r="K58" s="210" t="n">
        <x:v>50</x:v>
      </x:c>
      <x:c r="L58" s="210" t="n">
        <x:v>0</x:v>
      </x:c>
    </x:row>
    <x:row r="59" ht="34" customHeight="1">
      <x:c r="A59" s="207" t="str">
        <x:v>EXT-MONDE-T054</x:v>
      </x:c>
      <x:c r="B59" s="208" t="str">
        <x:v>Usine de mécanique</x:v>
      </x:c>
      <x:c r="C59" s="210" t="n">
        <x:v>50</x:v>
      </x:c>
      <x:c r="D59" s="210" t="n">
        <x:v>2000</x:v>
      </x:c>
      <x:c r="E59" s="210" t="n">
        <x:v>2000</x:v>
      </x:c>
      <x:c r="F59" s="210" t="n">
        <x:v>7500</x:v>
      </x:c>
      <x:c r="G59" s="210" t="n">
        <x:v>0</x:v>
      </x:c>
      <x:c r="H59" s="210" t="n">
        <x:v>15150</x:v>
      </x:c>
      <x:c r="I59" s="210" t="n">
        <x:v>0</x:v>
      </x:c>
      <x:c r="J59" s="210" t="n">
        <x:v>50</x:v>
      </x:c>
      <x:c r="K59" s="210" t="n">
        <x:v>50</x:v>
      </x:c>
      <x:c r="L59" s="210" t="n">
        <x:v>0</x:v>
      </x:c>
    </x:row>
    <x:row r="60" ht="34" customHeight="1">
      <x:c r="A60" s="207" t="str">
        <x:v>EXT-MONDE-T055</x:v>
      </x:c>
      <x:c r="B60" s="208" t="str">
        <x:v>Usine textile</x:v>
      </x:c>
      <x:c r="C60" s="210" t="n">
        <x:v>50</x:v>
      </x:c>
      <x:c r="D60" s="210" t="n">
        <x:v>2000</x:v>
      </x:c>
      <x:c r="E60" s="210" t="n">
        <x:v>2000</x:v>
      </x:c>
      <x:c r="F60" s="210" t="n">
        <x:v>7350</x:v>
      </x:c>
      <x:c r="G60" s="210" t="n">
        <x:v>0</x:v>
      </x:c>
      <x:c r="H60" s="210" t="n">
        <x:v>15150</x:v>
      </x:c>
      <x:c r="I60" s="210" t="n">
        <x:v>0</x:v>
      </x:c>
      <x:c r="J60" s="210" t="n">
        <x:v>50</x:v>
      </x:c>
      <x:c r="K60" s="210" t="n">
        <x:v>50</x:v>
      </x:c>
      <x:c r="L60" s="210" t="n">
        <x:v>0</x:v>
      </x:c>
    </x:row>
    <x:row r="61" ht="34" customHeight="1">
      <x:c r="A61" s="207" t="str">
        <x:v>EXT-MONDE-T056</x:v>
      </x:c>
      <x:c r="B61" s="208" t="str">
        <x:v>Usine de matériaux</x:v>
      </x:c>
      <x:c r="C61" s="210" t="n">
        <x:v>50</x:v>
      </x:c>
      <x:c r="D61" s="210" t="n">
        <x:v>2000</x:v>
      </x:c>
      <x:c r="E61" s="210" t="n">
        <x:v>2000</x:v>
      </x:c>
      <x:c r="F61" s="210" t="n">
        <x:v>7350</x:v>
      </x:c>
      <x:c r="G61" s="210" t="n">
        <x:v>0</x:v>
      </x:c>
      <x:c r="H61" s="210" t="n">
        <x:v>15150</x:v>
      </x:c>
      <x:c r="I61" s="210" t="n">
        <x:v>0</x:v>
      </x:c>
      <x:c r="J61" s="210" t="n">
        <x:v>50</x:v>
      </x:c>
      <x:c r="K61" s="210" t="n">
        <x:v>50</x:v>
      </x:c>
      <x:c r="L61" s="210" t="n">
        <x:v>0</x:v>
      </x:c>
    </x:row>
    <x:row r="62" ht="34" customHeight="1">
      <x:c r="A62" s="207" t="str">
        <x:v>EXT-MONDE-T057</x:v>
      </x:c>
      <x:c r="B62" s="208" t="str">
        <x:v>Centrale thermique</x:v>
      </x:c>
      <x:c r="C62" s="210" t="n">
        <x:v>50</x:v>
      </x:c>
      <x:c r="D62" s="210" t="n">
        <x:v>1100</x:v>
      </x:c>
      <x:c r="E62" s="210" t="n">
        <x:v>1100</x:v>
      </x:c>
      <x:c r="F62" s="210" t="n">
        <x:v>4000</x:v>
      </x:c>
      <x:c r="G62" s="210" t="n">
        <x:v>0</x:v>
      </x:c>
      <x:c r="H62" s="210" t="n">
        <x:v>8350</x:v>
      </x:c>
      <x:c r="I62" s="210" t="n">
        <x:v>0</x:v>
      </x:c>
      <x:c r="J62" s="210" t="n">
        <x:v>50</x:v>
      </x:c>
      <x:c r="K62" s="210" t="n">
        <x:v>50</x:v>
      </x:c>
      <x:c r="L62" s="210" t="n">
        <x:v>0</x:v>
      </x:c>
    </x:row>
    <x:row r="63" ht="34" customHeight="1">
      <x:c r="A63" s="207" t="str">
        <x:v>EXT-MONDE-T058</x:v>
      </x:c>
      <x:c r="B63" s="208" t="str">
        <x:v>Centrale hydroélectrique</x:v>
      </x:c>
      <x:c r="C63" s="210" t="n">
        <x:v>50</x:v>
      </x:c>
      <x:c r="D63" s="210" t="n">
        <x:v>1100</x:v>
      </x:c>
      <x:c r="E63" s="210" t="n">
        <x:v>1100</x:v>
      </x:c>
      <x:c r="F63" s="210" t="n">
        <x:v>4000</x:v>
      </x:c>
      <x:c r="G63" s="210" t="n">
        <x:v>0</x:v>
      </x:c>
      <x:c r="H63" s="210" t="n">
        <x:v>8350</x:v>
      </x:c>
      <x:c r="I63" s="210" t="n">
        <x:v>0</x:v>
      </x:c>
      <x:c r="J63" s="210" t="n">
        <x:v>50</x:v>
      </x:c>
      <x:c r="K63" s="210" t="n">
        <x:v>50</x:v>
      </x:c>
      <x:c r="L63" s="210" t="n">
        <x:v>0</x:v>
      </x:c>
    </x:row>
    <x:row r="64" ht="34" customHeight="1">
      <x:c r="A64" s="207" t="str">
        <x:v>EXT-MONDE-T059</x:v>
      </x:c>
      <x:c r="B64" s="208" t="str">
        <x:v>Poste électrique régional</x:v>
      </x:c>
      <x:c r="C64" s="210" t="n">
        <x:v>50</x:v>
      </x:c>
      <x:c r="D64" s="210" t="n">
        <x:v>1100</x:v>
      </x:c>
      <x:c r="E64" s="210" t="n">
        <x:v>1100</x:v>
      </x:c>
      <x:c r="F64" s="210" t="n">
        <x:v>3950</x:v>
      </x:c>
      <x:c r="G64" s="210" t="n">
        <x:v>0</x:v>
      </x:c>
      <x:c r="H64" s="210" t="n">
        <x:v>8350</x:v>
      </x:c>
      <x:c r="I64" s="210" t="n">
        <x:v>0</x:v>
      </x:c>
      <x:c r="J64" s="210" t="n">
        <x:v>50</x:v>
      </x:c>
      <x:c r="K64" s="210" t="n">
        <x:v>50</x:v>
      </x:c>
      <x:c r="L64" s="210" t="n">
        <x:v>0</x:v>
      </x:c>
    </x:row>
    <x:row r="65" ht="34" customHeight="1">
      <x:c r="A65" s="207" t="str">
        <x:v>EXT-MONDE-T060</x:v>
      </x:c>
      <x:c r="B65" s="208" t="str">
        <x:v>Champ d’éoliennes</x:v>
      </x:c>
      <x:c r="C65" s="210" t="n">
        <x:v>50</x:v>
      </x:c>
      <x:c r="D65" s="210" t="n">
        <x:v>600</x:v>
      </x:c>
      <x:c r="E65" s="210" t="n">
        <x:v>600</x:v>
      </x:c>
      <x:c r="F65" s="210" t="n">
        <x:v>2200</x:v>
      </x:c>
      <x:c r="G65" s="210" t="n">
        <x:v>0</x:v>
      </x:c>
      <x:c r="H65" s="210" t="n">
        <x:v>4650</x:v>
      </x:c>
      <x:c r="I65" s="210" t="n">
        <x:v>0</x:v>
      </x:c>
      <x:c r="J65" s="210" t="n">
        <x:v>50</x:v>
      </x:c>
      <x:c r="K65" s="210" t="n">
        <x:v>50</x:v>
      </x:c>
      <x:c r="L65" s="210" t="n">
        <x:v>0</x:v>
      </x:c>
    </x:row>
    <x:row r="66" ht="34" customHeight="1">
      <x:c r="A66" s="207" t="str">
        <x:v>EXT-MONDE-T061</x:v>
      </x:c>
      <x:c r="B66" s="208" t="str">
        <x:v>Station d’épuration urbaine</x:v>
      </x:c>
      <x:c r="C66" s="210" t="n">
        <x:v>50</x:v>
      </x:c>
      <x:c r="D66" s="210" t="n">
        <x:v>1100</x:v>
      </x:c>
      <x:c r="E66" s="210" t="n">
        <x:v>1100</x:v>
      </x:c>
      <x:c r="F66" s="210" t="n">
        <x:v>4050</x:v>
      </x:c>
      <x:c r="G66" s="210" t="n">
        <x:v>0</x:v>
      </x:c>
      <x:c r="H66" s="210" t="n">
        <x:v>8350</x:v>
      </x:c>
      <x:c r="I66" s="210" t="n">
        <x:v>0</x:v>
      </x:c>
      <x:c r="J66" s="210" t="n">
        <x:v>50</x:v>
      </x:c>
      <x:c r="K66" s="210" t="n">
        <x:v>50</x:v>
      </x:c>
      <x:c r="L66" s="210" t="n">
        <x:v>0</x:v>
      </x:c>
    </x:row>
    <x:row r="67" ht="34" customHeight="1">
      <x:c r="A67" s="207" t="str">
        <x:v>EXT-MONDE-T062</x:v>
      </x:c>
      <x:c r="B67" s="208" t="str">
        <x:v>Station de lagunage</x:v>
      </x:c>
      <x:c r="C67" s="210" t="n">
        <x:v>50</x:v>
      </x:c>
      <x:c r="D67" s="210" t="n">
        <x:v>1100</x:v>
      </x:c>
      <x:c r="E67" s="210" t="n">
        <x:v>1100</x:v>
      </x:c>
      <x:c r="F67" s="210" t="n">
        <x:v>4000</x:v>
      </x:c>
      <x:c r="G67" s="210" t="n">
        <x:v>0</x:v>
      </x:c>
      <x:c r="H67" s="210" t="n">
        <x:v>8350</x:v>
      </x:c>
      <x:c r="I67" s="210" t="n">
        <x:v>0</x:v>
      </x:c>
      <x:c r="J67" s="210" t="n">
        <x:v>50</x:v>
      </x:c>
      <x:c r="K67" s="210" t="n">
        <x:v>50</x:v>
      </x:c>
      <x:c r="L67" s="210" t="n">
        <x:v>0</x:v>
      </x:c>
    </x:row>
    <x:row r="68" ht="34" customHeight="1">
      <x:c r="A68" s="207" t="str">
        <x:v>EXT-MONDE-T063</x:v>
      </x:c>
      <x:c r="B68" s="208" t="str">
        <x:v>Traitement des eaux industrielles</x:v>
      </x:c>
      <x:c r="C68" s="210" t="n">
        <x:v>50</x:v>
      </x:c>
      <x:c r="D68" s="210" t="n">
        <x:v>1100</x:v>
      </x:c>
      <x:c r="E68" s="210" t="n">
        <x:v>1100</x:v>
      </x:c>
      <x:c r="F68" s="210" t="n">
        <x:v>4050</x:v>
      </x:c>
      <x:c r="G68" s="210" t="n">
        <x:v>0</x:v>
      </x:c>
      <x:c r="H68" s="210" t="n">
        <x:v>8350</x:v>
      </x:c>
      <x:c r="I68" s="210" t="n">
        <x:v>0</x:v>
      </x:c>
      <x:c r="J68" s="210" t="n">
        <x:v>50</x:v>
      </x:c>
      <x:c r="K68" s="210" t="n">
        <x:v>50</x:v>
      </x:c>
      <x:c r="L68" s="210" t="n">
        <x:v>0</x:v>
      </x:c>
    </x:row>
    <x:row r="69" ht="34" customHeight="1">
      <x:c r="A69" s="207" t="str">
        <x:v>EXT-MONDE-T064</x:v>
      </x:c>
      <x:c r="B69" s="208" t="str">
        <x:v>Usine de potabilisation</x:v>
      </x:c>
      <x:c r="C69" s="210" t="n">
        <x:v>50</x:v>
      </x:c>
      <x:c r="D69" s="210" t="n">
        <x:v>1100</x:v>
      </x:c>
      <x:c r="E69" s="210" t="n">
        <x:v>1100</x:v>
      </x:c>
      <x:c r="F69" s="210" t="n">
        <x:v>4050</x:v>
      </x:c>
      <x:c r="G69" s="210" t="n">
        <x:v>0</x:v>
      </x:c>
      <x:c r="H69" s="210" t="n">
        <x:v>8350</x:v>
      </x:c>
      <x:c r="I69" s="210" t="n">
        <x:v>0</x:v>
      </x:c>
      <x:c r="J69" s="210" t="n">
        <x:v>50</x:v>
      </x:c>
      <x:c r="K69" s="210" t="n">
        <x:v>50</x:v>
      </x:c>
      <x:c r="L69" s="210" t="n">
        <x:v>0</x:v>
      </x:c>
    </x:row>
    <x:row r="70" ht="34" customHeight="1">
      <x:c r="A70" s="207" t="str">
        <x:v>EXT-MONDE-T065</x:v>
      </x:c>
      <x:c r="B70" s="208" t="str">
        <x:v>Stade municipal</x:v>
      </x:c>
      <x:c r="C70" s="210" t="n">
        <x:v>50</x:v>
      </x:c>
      <x:c r="D70" s="210" t="n">
        <x:v>2000</x:v>
      </x:c>
      <x:c r="E70" s="210" t="n">
        <x:v>2000</x:v>
      </x:c>
      <x:c r="F70" s="210" t="n">
        <x:v>7250</x:v>
      </x:c>
      <x:c r="G70" s="210" t="n">
        <x:v>0</x:v>
      </x:c>
      <x:c r="H70" s="210" t="n">
        <x:v>15500</x:v>
      </x:c>
      <x:c r="I70" s="210" t="n">
        <x:v>0</x:v>
      </x:c>
      <x:c r="J70" s="210" t="n">
        <x:v>50</x:v>
      </x:c>
      <x:c r="K70" s="210" t="n">
        <x:v>50</x:v>
      </x:c>
      <x:c r="L70" s="210" t="n">
        <x:v>0</x:v>
      </x:c>
    </x:row>
    <x:row r="71" ht="34" customHeight="1">
      <x:c r="A71" s="207" t="str">
        <x:v>EXT-MONDE-T066</x:v>
      </x:c>
      <x:c r="B71" s="208" t="str">
        <x:v>Grand stade couvert</x:v>
      </x:c>
      <x:c r="C71" s="210" t="n">
        <x:v>50</x:v>
      </x:c>
      <x:c r="D71" s="210" t="n">
        <x:v>2000</x:v>
      </x:c>
      <x:c r="E71" s="210" t="n">
        <x:v>2000</x:v>
      </x:c>
      <x:c r="F71" s="210" t="n">
        <x:v>7250</x:v>
      </x:c>
      <x:c r="G71" s="210" t="n">
        <x:v>0</x:v>
      </x:c>
      <x:c r="H71" s="210" t="n">
        <x:v>15500</x:v>
      </x:c>
      <x:c r="I71" s="210" t="n">
        <x:v>0</x:v>
      </x:c>
      <x:c r="J71" s="210" t="n">
        <x:v>50</x:v>
      </x:c>
      <x:c r="K71" s="210" t="n">
        <x:v>50</x:v>
      </x:c>
      <x:c r="L71" s="210" t="n">
        <x:v>0</x:v>
      </x:c>
    </x:row>
    <x:row r="72" ht="34" customHeight="1">
      <x:c r="A72" s="207" t="str">
        <x:v>EXT-MONDE-T067</x:v>
      </x:c>
      <x:c r="B72" s="208" t="str">
        <x:v>Vélodrome</x:v>
      </x:c>
      <x:c r="C72" s="210" t="n">
        <x:v>50</x:v>
      </x:c>
      <x:c r="D72" s="210" t="n">
        <x:v>1600</x:v>
      </x:c>
      <x:c r="E72" s="210" t="n">
        <x:v>1600</x:v>
      </x:c>
      <x:c r="F72" s="210" t="n">
        <x:v>5900</x:v>
      </x:c>
      <x:c r="G72" s="210" t="n">
        <x:v>0</x:v>
      </x:c>
      <x:c r="H72" s="210" t="n">
        <x:v>12400</x:v>
      </x:c>
      <x:c r="I72" s="210" t="n">
        <x:v>0</x:v>
      </x:c>
      <x:c r="J72" s="210" t="n">
        <x:v>50</x:v>
      </x:c>
      <x:c r="K72" s="210" t="n">
        <x:v>50</x:v>
      </x:c>
      <x:c r="L72" s="210" t="n">
        <x:v>0</x:v>
      </x:c>
    </x:row>
    <x:row r="73" ht="34" customHeight="1">
      <x:c r="A73" s="207" t="str">
        <x:v>EXT-MONDE-T068</x:v>
      </x:c>
      <x:c r="B73" s="208" t="str">
        <x:v>Complexe sportif</x:v>
      </x:c>
      <x:c r="C73" s="210" t="n">
        <x:v>50</x:v>
      </x:c>
      <x:c r="D73" s="210" t="n">
        <x:v>1600</x:v>
      </x:c>
      <x:c r="E73" s="210" t="n">
        <x:v>1600</x:v>
      </x:c>
      <x:c r="F73" s="210" t="n">
        <x:v>5800</x:v>
      </x:c>
      <x:c r="G73" s="210" t="n">
        <x:v>0</x:v>
      </x:c>
      <x:c r="H73" s="210" t="n">
        <x:v>12400</x:v>
      </x:c>
      <x:c r="I73" s="210" t="n">
        <x:v>0</x:v>
      </x:c>
      <x:c r="J73" s="210" t="n">
        <x:v>50</x:v>
      </x:c>
      <x:c r="K73" s="210" t="n">
        <x:v>50</x:v>
      </x:c>
      <x:c r="L73" s="210" t="n">
        <x:v>0</x:v>
      </x:c>
    </x:row>
    <x:row r="74" ht="34" customHeight="1">
      <x:c r="A74" s="207" t="str">
        <x:v>EXT-MONDE-T069</x:v>
      </x:c>
      <x:c r="B74" s="208" t="str">
        <x:v>Aérodrome régional</x:v>
      </x:c>
      <x:c r="C74" s="210" t="n">
        <x:v>50</x:v>
      </x:c>
      <x:c r="D74" s="210" t="n">
        <x:v>1800</x:v>
      </x:c>
      <x:c r="E74" s="210" t="n">
        <x:v>1800</x:v>
      </x:c>
      <x:c r="F74" s="210" t="n">
        <x:v>6650</x:v>
      </x:c>
      <x:c r="G74" s="210" t="n">
        <x:v>0</x:v>
      </x:c>
      <x:c r="H74" s="210" t="n">
        <x:v>13250</x:v>
      </x:c>
      <x:c r="I74" s="210" t="n">
        <x:v>0</x:v>
      </x:c>
      <x:c r="J74" s="210" t="n">
        <x:v>50</x:v>
      </x:c>
      <x:c r="K74" s="210" t="n">
        <x:v>50</x:v>
      </x:c>
      <x:c r="L74" s="210" t="n">
        <x:v>0</x:v>
      </x:c>
    </x:row>
    <x:row r="75" ht="34" customHeight="1">
      <x:c r="A75" s="207" t="str">
        <x:v>EXT-MONDE-T070</x:v>
      </x:c>
      <x:c r="B75" s="208" t="str">
        <x:v>Aéroport international</x:v>
      </x:c>
      <x:c r="C75" s="210" t="n">
        <x:v>50</x:v>
      </x:c>
      <x:c r="D75" s="210" t="n">
        <x:v>1800</x:v>
      </x:c>
      <x:c r="E75" s="210" t="n">
        <x:v>1800</x:v>
      </x:c>
      <x:c r="F75" s="210" t="n">
        <x:v>6650</x:v>
      </x:c>
      <x:c r="G75" s="210" t="n">
        <x:v>0</x:v>
      </x:c>
      <x:c r="H75" s="210" t="n">
        <x:v>13250</x:v>
      </x:c>
      <x:c r="I75" s="210" t="n">
        <x:v>0</x:v>
      </x:c>
      <x:c r="J75" s="210" t="n">
        <x:v>50</x:v>
      </x:c>
      <x:c r="K75" s="210" t="n">
        <x:v>50</x:v>
      </x:c>
      <x:c r="L75" s="210" t="n">
        <x:v>0</x:v>
      </x:c>
    </x:row>
    <x:row r="76" ht="34" customHeight="1">
      <x:c r="A76" s="207" t="str">
        <x:v>EXT-MONDE-T071</x:v>
      </x:c>
      <x:c r="B76" s="208" t="str">
        <x:v>Aéroport de fret</x:v>
      </x:c>
      <x:c r="C76" s="210" t="n">
        <x:v>50</x:v>
      </x:c>
      <x:c r="D76" s="210" t="n">
        <x:v>1800</x:v>
      </x:c>
      <x:c r="E76" s="210" t="n">
        <x:v>1800</x:v>
      </x:c>
      <x:c r="F76" s="210" t="n">
        <x:v>6650</x:v>
      </x:c>
      <x:c r="G76" s="210" t="n">
        <x:v>0</x:v>
      </x:c>
      <x:c r="H76" s="210" t="n">
        <x:v>13250</x:v>
      </x:c>
      <x:c r="I76" s="210" t="n">
        <x:v>0</x:v>
      </x:c>
      <x:c r="J76" s="210" t="n">
        <x:v>50</x:v>
      </x:c>
      <x:c r="K76" s="210" t="n">
        <x:v>50</x:v>
      </x:c>
      <x:c r="L76" s="210" t="n">
        <x:v>0</x:v>
      </x:c>
    </x:row>
    <x:row r="77" ht="34" customHeight="1">
      <x:c r="A77" s="207" t="str">
        <x:v>EXT-MONDE-T072</x:v>
      </x:c>
      <x:c r="B77" s="208" t="str">
        <x:v>Aérodrome insulaire</x:v>
      </x:c>
      <x:c r="C77" s="210" t="n">
        <x:v>50</x:v>
      </x:c>
      <x:c r="D77" s="210" t="n">
        <x:v>1800</x:v>
      </x:c>
      <x:c r="E77" s="210" t="n">
        <x:v>1800</x:v>
      </x:c>
      <x:c r="F77" s="210" t="n">
        <x:v>6650</x:v>
      </x:c>
      <x:c r="G77" s="210" t="n">
        <x:v>0</x:v>
      </x:c>
      <x:c r="H77" s="210" t="n">
        <x:v>13250</x:v>
      </x:c>
      <x:c r="I77" s="210" t="n">
        <x:v>0</x:v>
      </x:c>
      <x:c r="J77" s="210" t="n">
        <x:v>50</x:v>
      </x:c>
      <x:c r="K77" s="210" t="n">
        <x:v>50</x:v>
      </x:c>
      <x:c r="L77" s="210" t="n">
        <x:v>0</x:v>
      </x:c>
    </x:row>
    <x:row r="78" ht="34" customHeight="1">
      <x:c r="A78" s="207" t="str">
        <x:v>EXT-MONDE-T073</x:v>
      </x:c>
      <x:c r="B78" s="208" t="str">
        <x:v>Gare de passage</x:v>
      </x:c>
      <x:c r="C78" s="210" t="n">
        <x:v>50</x:v>
      </x:c>
      <x:c r="D78" s="210" t="n">
        <x:v>1800</x:v>
      </x:c>
      <x:c r="E78" s="210" t="n">
        <x:v>1800</x:v>
      </x:c>
      <x:c r="F78" s="210" t="n">
        <x:v>6600</x:v>
      </x:c>
      <x:c r="G78" s="210" t="n">
        <x:v>0</x:v>
      </x:c>
      <x:c r="H78" s="210" t="n">
        <x:v>13250</x:v>
      </x:c>
      <x:c r="I78" s="210" t="n">
        <x:v>0</x:v>
      </x:c>
      <x:c r="J78" s="210" t="n">
        <x:v>50</x:v>
      </x:c>
      <x:c r="K78" s="210" t="n">
        <x:v>50</x:v>
      </x:c>
      <x:c r="L78" s="210" t="n">
        <x:v>0</x:v>
      </x:c>
    </x:row>
    <x:row r="79" ht="34" customHeight="1">
      <x:c r="A79" s="207" t="str">
        <x:v>EXT-MONDE-T074</x:v>
      </x:c>
      <x:c r="B79" s="208" t="str">
        <x:v>Gare terminus</x:v>
      </x:c>
      <x:c r="C79" s="210" t="n">
        <x:v>50</x:v>
      </x:c>
      <x:c r="D79" s="210" t="n">
        <x:v>1800</x:v>
      </x:c>
      <x:c r="E79" s="210" t="n">
        <x:v>1800</x:v>
      </x:c>
      <x:c r="F79" s="210" t="n">
        <x:v>6600</x:v>
      </x:c>
      <x:c r="G79" s="210" t="n">
        <x:v>0</x:v>
      </x:c>
      <x:c r="H79" s="210" t="n">
        <x:v>13250</x:v>
      </x:c>
      <x:c r="I79" s="210" t="n">
        <x:v>0</x:v>
      </x:c>
      <x:c r="J79" s="210" t="n">
        <x:v>50</x:v>
      </x:c>
      <x:c r="K79" s="210" t="n">
        <x:v>50</x:v>
      </x:c>
      <x:c r="L79" s="210" t="n">
        <x:v>0</x:v>
      </x:c>
    </x:row>
    <x:row r="80" ht="34" customHeight="1">
      <x:c r="A80" s="207" t="str">
        <x:v>EXT-MONDE-T075</x:v>
      </x:c>
      <x:c r="B80" s="208" t="str">
        <x:v>Gare de triage</x:v>
      </x:c>
      <x:c r="C80" s="210" t="n">
        <x:v>50</x:v>
      </x:c>
      <x:c r="D80" s="210" t="n">
        <x:v>1800</x:v>
      </x:c>
      <x:c r="E80" s="210" t="n">
        <x:v>1800</x:v>
      </x:c>
      <x:c r="F80" s="210" t="n">
        <x:v>6600</x:v>
      </x:c>
      <x:c r="G80" s="210" t="n">
        <x:v>0</x:v>
      </x:c>
      <x:c r="H80" s="210" t="n">
        <x:v>13250</x:v>
      </x:c>
      <x:c r="I80" s="210" t="n">
        <x:v>0</x:v>
      </x:c>
      <x:c r="J80" s="210" t="n">
        <x:v>50</x:v>
      </x:c>
      <x:c r="K80" s="210" t="n">
        <x:v>50</x:v>
      </x:c>
      <x:c r="L80" s="210" t="n">
        <x:v>0</x:v>
      </x:c>
    </x:row>
    <x:row r="81" ht="34" customHeight="1">
      <x:c r="A81" s="207" t="str">
        <x:v>EXT-MONDE-T076</x:v>
      </x:c>
      <x:c r="B81" s="208" t="str">
        <x:v>Dépôt ferroviaire</x:v>
      </x:c>
      <x:c r="C81" s="210" t="n">
        <x:v>50</x:v>
      </x:c>
      <x:c r="D81" s="210" t="n">
        <x:v>1800</x:v>
      </x:c>
      <x:c r="E81" s="210" t="n">
        <x:v>1800</x:v>
      </x:c>
      <x:c r="F81" s="210" t="n">
        <x:v>6600</x:v>
      </x:c>
      <x:c r="G81" s="210" t="n">
        <x:v>0</x:v>
      </x:c>
      <x:c r="H81" s="210" t="n">
        <x:v>13250</x:v>
      </x:c>
      <x:c r="I81" s="210" t="n">
        <x:v>0</x:v>
      </x:c>
      <x:c r="J81" s="210" t="n">
        <x:v>50</x:v>
      </x:c>
      <x:c r="K81" s="210" t="n">
        <x:v>50</x:v>
      </x:c>
      <x:c r="L81" s="210" t="n">
        <x:v>0</x:v>
      </x:c>
    </x:row>
    <x:row r="82" ht="34" customHeight="1">
      <x:c r="A82" s="207" t="str">
        <x:v>EXT-MONDE-T077</x:v>
      </x:c>
      <x:c r="B82" s="208" t="str">
        <x:v>Îlot de phare</x:v>
      </x:c>
      <x:c r="C82" s="210" t="n">
        <x:v>50</x:v>
      </x:c>
      <x:c r="D82" s="210" t="n">
        <x:v>1600</x:v>
      </x:c>
      <x:c r="E82" s="210" t="n">
        <x:v>1600</x:v>
      </x:c>
      <x:c r="F82" s="210" t="n">
        <x:v>6050</x:v>
      </x:c>
      <x:c r="G82" s="210" t="n">
        <x:v>0</x:v>
      </x:c>
      <x:c r="H82" s="210" t="n">
        <x:v>12400</x:v>
      </x:c>
      <x:c r="I82" s="210" t="n">
        <x:v>0</x:v>
      </x:c>
      <x:c r="J82" s="210" t="n">
        <x:v>50</x:v>
      </x:c>
      <x:c r="K82" s="210" t="n">
        <x:v>50</x:v>
      </x:c>
      <x:c r="L82" s="210" t="n">
        <x:v>0</x:v>
      </x:c>
    </x:row>
    <x:row r="83" ht="34" customHeight="1">
      <x:c r="A83" s="207" t="str">
        <x:v>EXT-MONDE-T078</x:v>
      </x:c>
      <x:c r="B83" s="208" t="str">
        <x:v>Île agricole habitée</x:v>
      </x:c>
      <x:c r="C83" s="210" t="n">
        <x:v>50</x:v>
      </x:c>
      <x:c r="D83" s="210" t="n">
        <x:v>1600</x:v>
      </x:c>
      <x:c r="E83" s="210" t="n">
        <x:v>1600</x:v>
      </x:c>
      <x:c r="F83" s="210" t="n">
        <x:v>6100</x:v>
      </x:c>
      <x:c r="G83" s="210" t="n">
        <x:v>0</x:v>
      </x:c>
      <x:c r="H83" s="210" t="n">
        <x:v>12400</x:v>
      </x:c>
      <x:c r="I83" s="210" t="n">
        <x:v>0</x:v>
      </x:c>
      <x:c r="J83" s="210" t="n">
        <x:v>50</x:v>
      </x:c>
      <x:c r="K83" s="210" t="n">
        <x:v>50</x:v>
      </x:c>
      <x:c r="L83" s="210" t="n">
        <x:v>0</x:v>
      </x:c>
    </x:row>
    <x:row r="84" ht="34" customHeight="1">
      <x:c r="A84" s="207" t="str">
        <x:v>EXT-MONDE-T079</x:v>
      </x:c>
      <x:c r="B84" s="208" t="str">
        <x:v>Île portuaire industrielle</x:v>
      </x:c>
      <x:c r="C84" s="210" t="n">
        <x:v>50</x:v>
      </x:c>
      <x:c r="D84" s="210" t="n">
        <x:v>1700</x:v>
      </x:c>
      <x:c r="E84" s="210" t="n">
        <x:v>1700</x:v>
      </x:c>
      <x:c r="F84" s="210" t="n">
        <x:v>6350</x:v>
      </x:c>
      <x:c r="G84" s="210" t="n">
        <x:v>0</x:v>
      </x:c>
      <x:c r="H84" s="210" t="n">
        <x:v>13000</x:v>
      </x:c>
      <x:c r="I84" s="210" t="n">
        <x:v>0</x:v>
      </x:c>
      <x:c r="J84" s="210" t="n">
        <x:v>50</x:v>
      </x:c>
      <x:c r="K84" s="210" t="n">
        <x:v>50</x:v>
      </x:c>
      <x:c r="L84" s="210" t="n">
        <x:v>0</x:v>
      </x:c>
    </x:row>
    <x:row r="85" ht="34" customHeight="1">
      <x:c r="A85" s="207" t="str">
        <x:v>EXT-MONDE-T080</x:v>
      </x:c>
      <x:c r="B85" s="208" t="str">
        <x:v>Grande île mixte</x:v>
      </x:c>
      <x:c r="C85" s="210" t="n">
        <x:v>50</x:v>
      </x:c>
      <x:c r="D85" s="210" t="n">
        <x:v>1600</x:v>
      </x:c>
      <x:c r="E85" s="210" t="n">
        <x:v>1600</x:v>
      </x:c>
      <x:c r="F85" s="210" t="n">
        <x:v>5900</x:v>
      </x:c>
      <x:c r="G85" s="210" t="n">
        <x:v>0</x:v>
      </x:c>
      <x:c r="H85" s="210" t="n">
        <x:v>12400</x:v>
      </x:c>
      <x:c r="I85" s="210" t="n">
        <x:v>0</x:v>
      </x:c>
      <x:c r="J85" s="210" t="n">
        <x:v>50</x:v>
      </x:c>
      <x:c r="K85" s="210" t="n">
        <x:v>50</x:v>
      </x:c>
      <x:c r="L85" s="210" t="n">
        <x:v>0</x:v>
      </x:c>
    </x:row>
    <x:row r="86" ht="30" customHeight="1">
      <x:c r="A86" s="209" t="str">
        <x:v>TOTAL DU RAPPORT</x:v>
      </x:c>
      <x:c r="B86" s="209"/>
      <x:c r="C86" s="212" t="n">
        <x:f>SUM(C6:C85)</x:f>
        <x:v>4000</x:v>
      </x:c>
      <x:c r="D86" s="212" t="n">
        <x:f>SUM(D6:D85)</x:f>
        <x:v>162460</x:v>
      </x:c>
      <x:c r="E86" s="212" t="n">
        <x:f>SUM(E6:E85)</x:f>
        <x:v>162460</x:v>
      </x:c>
      <x:c r="F86" s="212" t="n">
        <x:f>SUM(F6:F85)</x:f>
        <x:v>588378</x:v>
      </x:c>
      <x:c r="G86" s="212" t="n">
        <x:f>SUM(G6:G85)</x:f>
        <x:v>0</x:v>
      </x:c>
      <x:c r="H86" s="212" t="n">
        <x:f>SUM(H6:H85)</x:f>
        <x:v>1228255</x:v>
      </x:c>
      <x:c r="I86" s="212" t="n">
        <x:f>SUM(I6:I85)</x:f>
        <x:v>3380</x:v>
      </x:c>
      <x:c r="J86" s="212" t="n">
        <x:f>SUM(J6:J85)</x:f>
        <x:v>6530</x:v>
      </x:c>
      <x:c r="K86" s="212" t="n">
        <x:f>SUM(K6:K85)</x:f>
        <x:v>4000</x:v>
      </x:c>
      <x:c r="L86" s="212" t="n">
        <x:f>SUM(L6:L85)</x:f>
        <x:v>0</x:v>
      </x:c>
    </x:row>
    <x:row r="88" ht="30" customHeight="1">
      <x:c r="A88" s="214" t="str">
        <x:v>PÉRIMÈTRE ET TRAVAUX RESTANTS</x:v>
      </x:c>
      <x:c r="B88" s="214"/>
      <x:c r="C88" s="214"/>
      <x:c r="D88" s="214"/>
      <x:c r="E88" s="214"/>
      <x:c r="F88" s="214"/>
      <x:c r="G88" s="214"/>
      <x:c r="H88" s="214"/>
      <x:c r="I88" s="214"/>
      <x:c r="J88" s="214"/>
      <x:c r="K88" s="214"/>
      <x:c r="L88" s="214"/>
    </x:row>
    <x:row r="89" ht="22" customHeight="1">
      <x:c r="A89" s="215" t="str">
        <x:v>Les poses refusées restent visibles dans ce suivi. Les volumes réservés non construits, le raccord au monde, le butin, les rencontres et les services de campagne restent à terminer.</x:v>
      </x:c>
      <x:c r="B89" s="215"/>
      <x:c r="C89" s="215"/>
      <x:c r="D89" s="215"/>
      <x:c r="E89" s="215"/>
      <x:c r="F89" s="215"/>
      <x:c r="G89" s="215"/>
      <x:c r="H89" s="215"/>
      <x:c r="I89" s="215"/>
      <x:c r="J89" s="215"/>
      <x:c r="K89" s="215"/>
      <x:c r="L89" s="215"/>
    </x:row>
    <x:row r="90" ht="22" customHeight="1">
      <x:c r="A90" s="215"/>
      <x:c r="B90" s="215"/>
      <x:c r="C90" s="215"/>
      <x:c r="D90" s="215"/>
      <x:c r="E90" s="215"/>
      <x:c r="F90" s="215"/>
      <x:c r="G90" s="215"/>
      <x:c r="H90" s="215"/>
      <x:c r="I90" s="215"/>
      <x:c r="J90" s="215"/>
      <x:c r="K90" s="215"/>
      <x:c r="L90" s="215"/>
    </x:row>
    <x:row r="92" ht="28" customHeight="1">
      <x:c r="A92" s="139" t="str">
        <x:v>Rapport détaillé</x:v>
      </x:c>
      <x:c r="B92" s="139"/>
      <x:c r="C92" s="143" t="str">
        <x:v>https://github.com/darknigthmare/deadwall-last-enclosure/blob/1b3b9c5ba232734b1bda3453b4e20a0481bcdd74/docs/codex/suivi-monde2026/inspection-20261023.json</x:v>
      </x:c>
      <x:c r="D92" s="143"/>
      <x:c r="E92" s="143"/>
      <x:c r="F92" s="143"/>
      <x:c r="G92" s="143"/>
      <x:c r="H92" s="143"/>
      <x:c r="I92" s="143"/>
      <x:c r="J92" s="143"/>
      <x:c r="K92" s="143"/>
      <x:c r="L92" s="143"/>
    </x:row>
    <x:row r="93" ht="28" customHeight="1">
      <x:c r="A93" s="139" t="str">
        <x:v>Critères et limites</x:v>
      </x:c>
      <x:c r="B93" s="139"/>
      <x:c r="C93" s="143" t="str">
        <x:v>https://github.com/darknigthmare/deadwall-last-enclosure/blob/1b3b9c5ba232734b1bda3453b4e20a0481bcdd74/docs/codex/suivi-monde2026/INSPECTION_PHYSIQUE_2026.md</x:v>
      </x:c>
      <x:c r="D93" s="143"/>
      <x:c r="E93" s="143"/>
      <x:c r="F93" s="143"/>
      <x:c r="G93" s="143"/>
      <x:c r="H93" s="143"/>
      <x:c r="I93" s="143"/>
      <x:c r="J93" s="143"/>
      <x:c r="K93" s="143"/>
      <x:c r="L93" s="143"/>
    </x:row>
    <x:row r="94" ht="28" customHeight="1">
      <x:c r="A94" s="139" t="str">
        <x:v>Empreinte des plans</x:v>
      </x:c>
      <x:c r="B94" s="139"/>
      <x:c r="C94" s="139" t="str">
        <x:v>aaa29ca45da71facea8379614897d858847af783bf08676572e4fd310008080c</x:v>
      </x:c>
      <x:c r="D94" s="139"/>
      <x:c r="E94" s="139"/>
      <x:c r="F94" s="139"/>
      <x:c r="G94" s="139"/>
      <x:c r="H94" s="139"/>
      <x:c r="I94" s="139"/>
      <x:c r="J94" s="139"/>
      <x:c r="K94" s="139"/>
      <x:c r="L94" s="139"/>
    </x:row>
    <x:row r="95" ht="28" customHeight="1">
      <x:c r="A95" s="139" t="str">
        <x:v>Provenance</x:v>
      </x:c>
      <x:c r="B95" s="139"/>
      <x:c r="C95" s="139" t="str">
        <x:v>29 fichiers contrôlés par taille et SHA-256 avant export.</x:v>
      </x:c>
      <x:c r="D95" s="139"/>
      <x:c r="E95" s="139"/>
      <x:c r="F95" s="139"/>
      <x:c r="G95" s="139"/>
      <x:c r="H95" s="139"/>
      <x:c r="I95" s="139"/>
      <x:c r="J95" s="139"/>
      <x:c r="K95" s="139"/>
      <x:c r="L95" s="139"/>
    </x:row>
    <x:row r="96" ht="28" customHeight="1">
      <x:c r="A96" s="139" t="str">
        <x:v>Stocks / services</x:v>
      </x:c>
      <x:c r="B96" s="139"/>
      <x:c r="C96" s="139" t="str">
        <x:v>Conteneurs de butin créés : 0. Services de campagne raccordés : 0.</x:v>
      </x:c>
      <x:c r="D96" s="139"/>
      <x:c r="E96" s="139"/>
      <x:c r="F96" s="139"/>
      <x:c r="G96" s="139"/>
      <x:c r="H96" s="139"/>
      <x:c r="I96" s="139"/>
      <x:c r="J96" s="139"/>
      <x:c r="K96" s="139"/>
      <x:c r="L96" s="139"/>
    </x:row>
    <x:row r="97" ht="28" customHeight="1">
      <x:c r="A97" s="139" t="str">
        <x:v>Empreinte du rapport</x:v>
      </x:c>
      <x:c r="B97" s="139"/>
      <x:c r="C97" s="139" t="str">
        <x:v>622ffce8ec60d265938006e0ab441178e0367880c3cde0be20bdaed6792f206f</x:v>
      </x:c>
      <x:c r="D97" s="139"/>
      <x:c r="E97" s="139"/>
      <x:c r="F97" s="139"/>
      <x:c r="G97" s="139"/>
      <x:c r="H97" s="139"/>
      <x:c r="I97" s="139"/>
      <x:c r="J97" s="139"/>
      <x:c r="K97" s="139"/>
      <x:c r="L97" s="139"/>
    </x:row>
  </x:sheetData>
  <x:mergeCells>
    <x:mergeCell ref="A1:L2"/>
    <x:mergeCell ref="A3:L3"/>
    <x:mergeCell ref="A86:B86"/>
    <x:mergeCell ref="A88:L88"/>
    <x:mergeCell ref="A89:L90"/>
    <x:mergeCell ref="A92:B92"/>
    <x:mergeCell ref="C92:L92"/>
    <x:mergeCell ref="A93:B93"/>
    <x:mergeCell ref="C93:L93"/>
    <x:mergeCell ref="A94:B94"/>
    <x:mergeCell ref="C94:L94"/>
    <x:mergeCell ref="A95:B95"/>
    <x:mergeCell ref="C95:L95"/>
    <x:mergeCell ref="A96:B96"/>
    <x:mergeCell ref="C96:L96"/>
    <x:mergeCell ref="A97:B97"/>
    <x:mergeCell ref="C97:L97"/>
  </x:mergeCells>
  <x:pageMargins left="0.7" right="0.7" top="0.75" bottom="0.75" header="0.3" footer="0.3"/>
  <x:tableParts count="1">
    <x:tablePart xmlns:r="http://schemas.openxmlformats.org/officeDocument/2006/relationships" r:id="R49ce7f760be44d85"/>
  </x:tableParts>
</x:worksheet>
</file>

<file path=xl/worksheets/sheet1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4" hidden="0" customWidth="1"/>
    <x:col min="2" max="2" width="35" hidden="0" customWidth="1"/>
    <x:col min="3" max="3" width="17" hidden="0" customWidth="1"/>
    <x:col min="4" max="4" width="28" hidden="0" customWidth="1"/>
    <x:col min="5" max="5" width="17" hidden="0" customWidth="1"/>
    <x:col min="6" max="6" width="17" hidden="0" customWidth="1"/>
    <x:col min="7" max="7" width="17" hidden="0" customWidth="1"/>
    <x:col min="8" max="8" width="17" hidden="0" customWidth="1"/>
    <x:col min="9" max="9" width="17" hidden="0" customWidth="1"/>
    <x:col min="10" max="10" width="17" hidden="0" customWidth="1"/>
    <x:col min="11" max="11" width="36" hidden="0" customWidth="1"/>
    <x:col min="12" max="12" width="36" hidden="0" customWidth="1"/>
  </x:cols>
  <x:sheetData>
    <x:row r="1" ht="26" customHeight="1">
      <x:c r="A1" s="203" t="str">
        <x:v>CAMPAGNE G11 — MODÈLES ET IMPLANTATIONS TÉMOINS</x:v>
      </x:c>
      <x:c r="B1" s="203"/>
      <x:c r="C1" s="203"/>
      <x:c r="D1" s="203"/>
      <x:c r="E1" s="203"/>
      <x:c r="F1" s="203"/>
      <x:c r="G1" s="203"/>
      <x:c r="H1" s="203"/>
      <x:c r="I1" s="203"/>
      <x:c r="J1" s="203"/>
      <x:c r="K1" s="203"/>
      <x:c r="L1" s="203"/>
    </x:row>
    <x:row r="2" ht="26" customHeight="1">
      <x:c r="A2" s="203"/>
      <x:c r="B2" s="203"/>
      <x:c r="C2" s="203"/>
      <x:c r="D2" s="203"/>
      <x:c r="E2" s="203"/>
      <x:c r="F2" s="203"/>
      <x:c r="G2" s="203"/>
      <x:c r="H2" s="203"/>
      <x:c r="I2" s="203"/>
      <x:c r="J2" s="203"/>
      <x:c r="K2" s="203"/>
      <x:c r="L2" s="203"/>
    </x:row>
    <x:row r="3" ht="26" customHeight="1">
      <x:c r="A3" s="204" t="str">
        <x:v>Les modèles éligibles restent distincts des sites réellement admis dans chaque graine. Les statuts d’inspection ne sont pas promus.</x:v>
      </x:c>
      <x:c r="B3" s="204"/>
      <x:c r="C3" s="204"/>
      <x:c r="D3" s="204"/>
      <x:c r="E3" s="204"/>
      <x:c r="F3" s="204"/>
      <x:c r="G3" s="204"/>
      <x:c r="H3" s="204"/>
      <x:c r="I3" s="204"/>
      <x:c r="J3" s="204"/>
      <x:c r="K3" s="204"/>
      <x:c r="L3" s="204"/>
    </x:row>
    <x:row r="4" ht="26" customHeight="1">
      <x:c r="A4" s="126"/>
      <x:c r="B4" s="126"/>
      <x:c r="C4" s="126"/>
      <x:c r="D4" s="126"/>
      <x:c r="E4" s="126"/>
      <x:c r="F4" s="126"/>
      <x:c r="G4" s="126"/>
      <x:c r="H4" s="126"/>
      <x:c r="I4" s="126"/>
      <x:c r="J4" s="126"/>
      <x:c r="K4" s="126"/>
      <x:c r="L4" s="126"/>
    </x:row>
    <x:row r="5" ht="38" customHeight="1">
      <x:c r="A5" s="206" t="str">
        <x:v>ID plan auteur</x:v>
      </x:c>
      <x:c r="B5" s="206" t="str">
        <x:v>Typologie</x:v>
      </x:c>
      <x:c r="C5" s="206" t="str">
        <x:v>Variante</x:v>
      </x:c>
      <x:c r="D5" s="206" t="str">
        <x:v>Alias G11</x:v>
      </x:c>
      <x:c r="E5" s="206" t="str">
        <x:v>Éligible G11</x:v>
      </x:c>
      <x:c r="F5" s="206" t="str">
        <x:v>Plan</x:v>
      </x:c>
      <x:c r="G5" s="206" t="str">
        <x:v>Objets</x:v>
      </x:c>
      <x:c r="H5" s="206" t="str">
        <x:v>Butin fini</x:v>
      </x:c>
      <x:c r="I5" s="206" t="str">
        <x:v>Portes</x:v>
      </x:c>
      <x:c r="J5" s="206" t="str">
        <x:v>Instances témoins</x:v>
      </x:c>
      <x:c r="K5" s="206" t="str">
        <x:v>Graines témoins</x:v>
      </x:c>
      <x:c r="L5" s="206" t="str">
        <x:v>Preuve par variante</x:v>
      </x:c>
    </x:row>
    <x:row r="6" ht="64" customHeight="1">
      <x:c r="A6" s="208" t="str">
        <x:v>EXT-MONDE-T045-V01</x:v>
      </x:c>
      <x:c r="B6" s="208" t="str">
        <x:v>Parc résidentiel de mobil-homes</x:v>
      </x:c>
      <x:c r="C6" s="219" t="n">
        <x:v>1</x:v>
      </x:c>
      <x:c r="D6" s="208" t="str">
        <x:v>campaign205-045-01</x:v>
      </x:c>
      <x:c r="E6" s="220" t="str">
        <x:v>Oui</x:v>
      </x:c>
      <x:c r="F6" s="220" t="str">
        <x:v>Oui</x:v>
      </x:c>
      <x:c r="G6" s="220" t="str">
        <x:v>Oui</x:v>
      </x:c>
      <x:c r="H6" s="220" t="str">
        <x:v>Oui</x:v>
      </x:c>
      <x:c r="I6" s="220" t="str">
        <x:v>Oui</x:v>
      </x:c>
      <x:c r="J6" s="219" t="n">
        <x:v>0</x:v>
      </x:c>
      <x:c r="K6" s="208" t="str">
        <x:v>Aucun témoin pour cette variante</x:v>
      </x:c>
      <x:c r="L6" s="208" t="str">
        <x:v>https://github.com/darknigthmare/deadwall-last-enclosure/blob/1b3b9c5ba232734b1bda3453b4e20a0481bcdd74/docs/codex/suivi-monde2026/campagne205-eligibilite.json</x:v>
      </x:c>
    </x:row>
    <x:row r="7" ht="64" customHeight="1">
      <x:c r="A7" s="208" t="str">
        <x:v>EXT-MONDE-T045-V02</x:v>
      </x:c>
      <x:c r="B7" s="208" t="str">
        <x:v>Parc résidentiel de mobil-homes</x:v>
      </x:c>
      <x:c r="C7" s="219" t="n">
        <x:v>2</x:v>
      </x:c>
      <x:c r="D7" s="208" t="str">
        <x:v>campaign205-045-02</x:v>
      </x:c>
      <x:c r="E7" s="220" t="str">
        <x:v>Oui</x:v>
      </x:c>
      <x:c r="F7" s="220" t="str">
        <x:v>Oui</x:v>
      </x:c>
      <x:c r="G7" s="220" t="str">
        <x:v>Oui</x:v>
      </x:c>
      <x:c r="H7" s="220" t="str">
        <x:v>Oui</x:v>
      </x:c>
      <x:c r="I7" s="220" t="str">
        <x:v>Oui</x:v>
      </x:c>
      <x:c r="J7" s="219" t="n">
        <x:v>0</x:v>
      </x:c>
      <x:c r="K7" s="208" t="str">
        <x:v>Aucun témoin pour cette variante</x:v>
      </x:c>
      <x:c r="L7" s="208" t="str">
        <x:v>https://github.com/darknigthmare/deadwall-last-enclosure/blob/1b3b9c5ba232734b1bda3453b4e20a0481bcdd74/docs/codex/suivi-monde2026/campagne205-eligibilite.json</x:v>
      </x:c>
    </x:row>
    <x:row r="8" ht="64" customHeight="1">
      <x:c r="A8" s="208" t="str">
        <x:v>EXT-MONDE-T045-V03</x:v>
      </x:c>
      <x:c r="B8" s="208" t="str">
        <x:v>Parc résidentiel de mobil-homes</x:v>
      </x:c>
      <x:c r="C8" s="219" t="n">
        <x:v>3</x:v>
      </x:c>
      <x:c r="D8" s="208" t="str">
        <x:v>campaign205-045-03</x:v>
      </x:c>
      <x:c r="E8" s="220" t="str">
        <x:v>Oui</x:v>
      </x:c>
      <x:c r="F8" s="220" t="str">
        <x:v>Oui</x:v>
      </x:c>
      <x:c r="G8" s="220" t="str">
        <x:v>Oui</x:v>
      </x:c>
      <x:c r="H8" s="220" t="str">
        <x:v>Oui</x:v>
      </x:c>
      <x:c r="I8" s="220" t="str">
        <x:v>Oui</x:v>
      </x:c>
      <x:c r="J8" s="219" t="n">
        <x:v>1</x:v>
      </x:c>
      <x:c r="K8" s="208" t="str">
        <x:v>0</x:v>
      </x:c>
      <x:c r="L8" s="208" t="str">
        <x:v>https://github.com/darknigthmare/deadwall-last-enclosure/blob/1b3b9c5ba232734b1bda3453b4e20a0481bcdd74/docs/codex/suivi-monde2026/campagne205-eligibilite.json</x:v>
      </x:c>
    </x:row>
    <x:row r="9" ht="64" customHeight="1">
      <x:c r="A9" s="208" t="str">
        <x:v>EXT-MONDE-T045-V04</x:v>
      </x:c>
      <x:c r="B9" s="208" t="str">
        <x:v>Parc résidentiel de mobil-homes</x:v>
      </x:c>
      <x:c r="C9" s="219" t="n">
        <x:v>4</x:v>
      </x:c>
      <x:c r="D9" s="208" t="str">
        <x:v>campaign205-045-04</x:v>
      </x:c>
      <x:c r="E9" s="220" t="str">
        <x:v>Oui</x:v>
      </x:c>
      <x:c r="F9" s="220" t="str">
        <x:v>Oui</x:v>
      </x:c>
      <x:c r="G9" s="220" t="str">
        <x:v>Oui</x:v>
      </x:c>
      <x:c r="H9" s="220" t="str">
        <x:v>Oui</x:v>
      </x:c>
      <x:c r="I9" s="220" t="str">
        <x:v>Oui</x:v>
      </x:c>
      <x:c r="J9" s="219" t="n">
        <x:v>2</x:v>
      </x:c>
      <x:c r="K9" s="208" t="str">
        <x:v>1947648717, 4294967295</x:v>
      </x:c>
      <x:c r="L9" s="208" t="str">
        <x:v>https://github.com/darknigthmare/deadwall-last-enclosure/blob/1b3b9c5ba232734b1bda3453b4e20a0481bcdd74/docs/codex/suivi-monde2026/campagne205-eligibilite.json</x:v>
      </x:c>
    </x:row>
    <x:row r="10" ht="64" customHeight="1">
      <x:c r="A10" s="208" t="str">
        <x:v>EXT-MONDE-T045-V05</x:v>
      </x:c>
      <x:c r="B10" s="208" t="str">
        <x:v>Parc résidentiel de mobil-homes</x:v>
      </x:c>
      <x:c r="C10" s="219" t="n">
        <x:v>5</x:v>
      </x:c>
      <x:c r="D10" s="208" t="str">
        <x:v>campaign205-045-05</x:v>
      </x:c>
      <x:c r="E10" s="220" t="str">
        <x:v>Oui</x:v>
      </x:c>
      <x:c r="F10" s="220" t="str">
        <x:v>Oui</x:v>
      </x:c>
      <x:c r="G10" s="220" t="str">
        <x:v>Oui</x:v>
      </x:c>
      <x:c r="H10" s="220" t="str">
        <x:v>Oui</x:v>
      </x:c>
      <x:c r="I10" s="220" t="str">
        <x:v>Oui</x:v>
      </x:c>
      <x:c r="J10" s="219" t="n">
        <x:v>0</x:v>
      </x:c>
      <x:c r="K10" s="208" t="str">
        <x:v>Aucun témoin pour cette variante</x:v>
      </x:c>
      <x:c r="L10" s="208" t="str">
        <x:v>https://github.com/darknigthmare/deadwall-last-enclosure/blob/1b3b9c5ba232734b1bda3453b4e20a0481bcdd74/docs/codex/suivi-monde2026/campagne205-eligibilite.json</x:v>
      </x:c>
    </x:row>
    <x:row r="11" ht="64" customHeight="1">
      <x:c r="A11" s="208" t="str">
        <x:v>EXT-MONDE-T045-V06</x:v>
      </x:c>
      <x:c r="B11" s="208" t="str">
        <x:v>Parc résidentiel de mobil-homes</x:v>
      </x:c>
      <x:c r="C11" s="219" t="n">
        <x:v>6</x:v>
      </x:c>
      <x:c r="D11" s="208" t="str">
        <x:v>campaign205-045-06</x:v>
      </x:c>
      <x:c r="E11" s="220" t="str">
        <x:v>Oui</x:v>
      </x:c>
      <x:c r="F11" s="220" t="str">
        <x:v>Oui</x:v>
      </x:c>
      <x:c r="G11" s="220" t="str">
        <x:v>Oui</x:v>
      </x:c>
      <x:c r="H11" s="220" t="str">
        <x:v>Oui</x:v>
      </x:c>
      <x:c r="I11" s="220" t="str">
        <x:v>Oui</x:v>
      </x:c>
      <x:c r="J11" s="219" t="n">
        <x:v>0</x:v>
      </x:c>
      <x:c r="K11" s="208" t="str">
        <x:v>Aucun témoin pour cette variante</x:v>
      </x:c>
      <x:c r="L11" s="208" t="str">
        <x:v>https://github.com/darknigthmare/deadwall-last-enclosure/blob/1b3b9c5ba232734b1bda3453b4e20a0481bcdd74/docs/codex/suivi-monde2026/campagne205-eligibilite.json</x:v>
      </x:c>
    </x:row>
    <x:row r="12" ht="64" customHeight="1">
      <x:c r="A12" s="208" t="str">
        <x:v>EXT-MONDE-T045-V07</x:v>
      </x:c>
      <x:c r="B12" s="208" t="str">
        <x:v>Parc résidentiel de mobil-homes</x:v>
      </x:c>
      <x:c r="C12" s="219" t="n">
        <x:v>7</x:v>
      </x:c>
      <x:c r="D12" s="208" t="str">
        <x:v>campaign205-045-07</x:v>
      </x:c>
      <x:c r="E12" s="220" t="str">
        <x:v>Oui</x:v>
      </x:c>
      <x:c r="F12" s="220" t="str">
        <x:v>Oui</x:v>
      </x:c>
      <x:c r="G12" s="220" t="str">
        <x:v>Oui</x:v>
      </x:c>
      <x:c r="H12" s="220" t="str">
        <x:v>Oui</x:v>
      </x:c>
      <x:c r="I12" s="220" t="str">
        <x:v>Oui</x:v>
      </x:c>
      <x:c r="J12" s="219" t="n">
        <x:v>0</x:v>
      </x:c>
      <x:c r="K12" s="208" t="str">
        <x:v>Aucun témoin pour cette variante</x:v>
      </x:c>
      <x:c r="L12" s="208" t="str">
        <x:v>https://github.com/darknigthmare/deadwall-last-enclosure/blob/1b3b9c5ba232734b1bda3453b4e20a0481bcdd74/docs/codex/suivi-monde2026/campagne205-eligibilite.json</x:v>
      </x:c>
    </x:row>
    <x:row r="13" ht="64" customHeight="1">
      <x:c r="A13" s="208" t="str">
        <x:v>EXT-MONDE-T045-V08</x:v>
      </x:c>
      <x:c r="B13" s="208" t="str">
        <x:v>Parc résidentiel de mobil-homes</x:v>
      </x:c>
      <x:c r="C13" s="219" t="n">
        <x:v>8</x:v>
      </x:c>
      <x:c r="D13" s="208" t="str">
        <x:v>campaign205-045-08</x:v>
      </x:c>
      <x:c r="E13" s="220" t="str">
        <x:v>Oui</x:v>
      </x:c>
      <x:c r="F13" s="220" t="str">
        <x:v>Oui</x:v>
      </x:c>
      <x:c r="G13" s="220" t="str">
        <x:v>Oui</x:v>
      </x:c>
      <x:c r="H13" s="220" t="str">
        <x:v>Oui</x:v>
      </x:c>
      <x:c r="I13" s="220" t="str">
        <x:v>Oui</x:v>
      </x:c>
      <x:c r="J13" s="219" t="n">
        <x:v>0</x:v>
      </x:c>
      <x:c r="K13" s="208" t="str">
        <x:v>Aucun témoin pour cette variante</x:v>
      </x:c>
      <x:c r="L13" s="208" t="str">
        <x:v>https://github.com/darknigthmare/deadwall-last-enclosure/blob/1b3b9c5ba232734b1bda3453b4e20a0481bcdd74/docs/codex/suivi-monde2026/campagne205-eligibilite.json</x:v>
      </x:c>
    </x:row>
    <x:row r="14" ht="64" customHeight="1">
      <x:c r="A14" s="208" t="str">
        <x:v>EXT-MONDE-T045-V09</x:v>
      </x:c>
      <x:c r="B14" s="208" t="str">
        <x:v>Parc résidentiel de mobil-homes</x:v>
      </x:c>
      <x:c r="C14" s="219" t="n">
        <x:v>9</x:v>
      </x:c>
      <x:c r="D14" s="208" t="str">
        <x:v>campaign205-045-09</x:v>
      </x:c>
      <x:c r="E14" s="220" t="str">
        <x:v>Oui</x:v>
      </x:c>
      <x:c r="F14" s="220" t="str">
        <x:v>Oui</x:v>
      </x:c>
      <x:c r="G14" s="220" t="str">
        <x:v>Oui</x:v>
      </x:c>
      <x:c r="H14" s="220" t="str">
        <x:v>Oui</x:v>
      </x:c>
      <x:c r="I14" s="220" t="str">
        <x:v>Oui</x:v>
      </x:c>
      <x:c r="J14" s="219" t="n">
        <x:v>0</x:v>
      </x:c>
      <x:c r="K14" s="208" t="str">
        <x:v>Aucun témoin pour cette variante</x:v>
      </x:c>
      <x:c r="L14" s="208" t="str">
        <x:v>https://github.com/darknigthmare/deadwall-last-enclosure/blob/1b3b9c5ba232734b1bda3453b4e20a0481bcdd74/docs/codex/suivi-monde2026/campagne205-eligibilite.json</x:v>
      </x:c>
    </x:row>
    <x:row r="15" ht="64" customHeight="1">
      <x:c r="A15" s="208" t="str">
        <x:v>EXT-MONDE-T045-V10</x:v>
      </x:c>
      <x:c r="B15" s="208" t="str">
        <x:v>Parc résidentiel de mobil-homes</x:v>
      </x:c>
      <x:c r="C15" s="219" t="n">
        <x:v>10</x:v>
      </x:c>
      <x:c r="D15" s="208" t="str">
        <x:v>campaign205-045-10</x:v>
      </x:c>
      <x:c r="E15" s="220" t="str">
        <x:v>Oui</x:v>
      </x:c>
      <x:c r="F15" s="220" t="str">
        <x:v>Oui</x:v>
      </x:c>
      <x:c r="G15" s="220" t="str">
        <x:v>Oui</x:v>
      </x:c>
      <x:c r="H15" s="220" t="str">
        <x:v>Oui</x:v>
      </x:c>
      <x:c r="I15" s="220" t="str">
        <x:v>Oui</x:v>
      </x:c>
      <x:c r="J15" s="219" t="n">
        <x:v>0</x:v>
      </x:c>
      <x:c r="K15" s="208" t="str">
        <x:v>Aucun témoin pour cette variante</x:v>
      </x:c>
      <x:c r="L15" s="208" t="str">
        <x:v>https://github.com/darknigthmare/deadwall-last-enclosure/blob/1b3b9c5ba232734b1bda3453b4e20a0481bcdd74/docs/codex/suivi-monde2026/campagne205-eligibilite.json</x:v>
      </x:c>
    </x:row>
    <x:row r="16" ht="64" customHeight="1">
      <x:c r="A16" s="208" t="str">
        <x:v>EXT-MONDE-T045-V11</x:v>
      </x:c>
      <x:c r="B16" s="208" t="str">
        <x:v>Parc résidentiel de mobil-homes</x:v>
      </x:c>
      <x:c r="C16" s="219" t="n">
        <x:v>11</x:v>
      </x:c>
      <x:c r="D16" s="208" t="str">
        <x:v>campaign205-045-11</x:v>
      </x:c>
      <x:c r="E16" s="220" t="str">
        <x:v>Oui</x:v>
      </x:c>
      <x:c r="F16" s="220" t="str">
        <x:v>Oui</x:v>
      </x:c>
      <x:c r="G16" s="220" t="str">
        <x:v>Oui</x:v>
      </x:c>
      <x:c r="H16" s="220" t="str">
        <x:v>Oui</x:v>
      </x:c>
      <x:c r="I16" s="220" t="str">
        <x:v>Oui</x:v>
      </x:c>
      <x:c r="J16" s="219" t="n">
        <x:v>1</x:v>
      </x:c>
      <x:c r="K16" s="208" t="str">
        <x:v>4294967295</x:v>
      </x:c>
      <x:c r="L16" s="208" t="str">
        <x:v>https://github.com/darknigthmare/deadwall-last-enclosure/blob/1b3b9c5ba232734b1bda3453b4e20a0481bcdd74/docs/codex/suivi-monde2026/campagne205-eligibilite.json</x:v>
      </x:c>
    </x:row>
    <x:row r="17" ht="64" customHeight="1">
      <x:c r="A17" s="208" t="str">
        <x:v>EXT-MONDE-T045-V12</x:v>
      </x:c>
      <x:c r="B17" s="208" t="str">
        <x:v>Parc résidentiel de mobil-homes</x:v>
      </x:c>
      <x:c r="C17" s="219" t="n">
        <x:v>12</x:v>
      </x:c>
      <x:c r="D17" s="208" t="str">
        <x:v>campaign205-045-12</x:v>
      </x:c>
      <x:c r="E17" s="220" t="str">
        <x:v>Oui</x:v>
      </x:c>
      <x:c r="F17" s="220" t="str">
        <x:v>Oui</x:v>
      </x:c>
      <x:c r="G17" s="220" t="str">
        <x:v>Oui</x:v>
      </x:c>
      <x:c r="H17" s="220" t="str">
        <x:v>Oui</x:v>
      </x:c>
      <x:c r="I17" s="220" t="str">
        <x:v>Oui</x:v>
      </x:c>
      <x:c r="J17" s="219" t="n">
        <x:v>0</x:v>
      </x:c>
      <x:c r="K17" s="208" t="str">
        <x:v>Aucun témoin pour cette variante</x:v>
      </x:c>
      <x:c r="L17" s="208" t="str">
        <x:v>https://github.com/darknigthmare/deadwall-last-enclosure/blob/1b3b9c5ba232734b1bda3453b4e20a0481bcdd74/docs/codex/suivi-monde2026/campagne205-eligibilite.json</x:v>
      </x:c>
    </x:row>
    <x:row r="18" ht="64" customHeight="1">
      <x:c r="A18" s="208" t="str">
        <x:v>EXT-MONDE-T045-V13</x:v>
      </x:c>
      <x:c r="B18" s="208" t="str">
        <x:v>Parc résidentiel de mobil-homes</x:v>
      </x:c>
      <x:c r="C18" s="219" t="n">
        <x:v>13</x:v>
      </x:c>
      <x:c r="D18" s="208" t="str">
        <x:v>campaign205-045-13</x:v>
      </x:c>
      <x:c r="E18" s="220" t="str">
        <x:v>Oui</x:v>
      </x:c>
      <x:c r="F18" s="220" t="str">
        <x:v>Oui</x:v>
      </x:c>
      <x:c r="G18" s="220" t="str">
        <x:v>Oui</x:v>
      </x:c>
      <x:c r="H18" s="220" t="str">
        <x:v>Oui</x:v>
      </x:c>
      <x:c r="I18" s="220" t="str">
        <x:v>Oui</x:v>
      </x:c>
      <x:c r="J18" s="219" t="n">
        <x:v>0</x:v>
      </x:c>
      <x:c r="K18" s="208" t="str">
        <x:v>Aucun témoin pour cette variante</x:v>
      </x:c>
      <x:c r="L18" s="208" t="str">
        <x:v>https://github.com/darknigthmare/deadwall-last-enclosure/blob/1b3b9c5ba232734b1bda3453b4e20a0481bcdd74/docs/codex/suivi-monde2026/campagne205-eligibilite.json</x:v>
      </x:c>
    </x:row>
    <x:row r="19" ht="64" customHeight="1">
      <x:c r="A19" s="208" t="str">
        <x:v>EXT-MONDE-T045-V14</x:v>
      </x:c>
      <x:c r="B19" s="208" t="str">
        <x:v>Parc résidentiel de mobil-homes</x:v>
      </x:c>
      <x:c r="C19" s="219" t="n">
        <x:v>14</x:v>
      </x:c>
      <x:c r="D19" s="208" t="str">
        <x:v>campaign205-045-14</x:v>
      </x:c>
      <x:c r="E19" s="220" t="str">
        <x:v>Oui</x:v>
      </x:c>
      <x:c r="F19" s="220" t="str">
        <x:v>Oui</x:v>
      </x:c>
      <x:c r="G19" s="220" t="str">
        <x:v>Oui</x:v>
      </x:c>
      <x:c r="H19" s="220" t="str">
        <x:v>Oui</x:v>
      </x:c>
      <x:c r="I19" s="220" t="str">
        <x:v>Oui</x:v>
      </x:c>
      <x:c r="J19" s="219" t="n">
        <x:v>1</x:v>
      </x:c>
      <x:c r="K19" s="208" t="str">
        <x:v>84329</x:v>
      </x:c>
      <x:c r="L19" s="208" t="str">
        <x:v>https://github.com/darknigthmare/deadwall-last-enclosure/blob/1b3b9c5ba232734b1bda3453b4e20a0481bcdd74/docs/codex/suivi-monde2026/campagne205-eligibilite.json</x:v>
      </x:c>
    </x:row>
    <x:row r="20" ht="64" customHeight="1">
      <x:c r="A20" s="208" t="str">
        <x:v>EXT-MONDE-T045-V15</x:v>
      </x:c>
      <x:c r="B20" s="208" t="str">
        <x:v>Parc résidentiel de mobil-homes</x:v>
      </x:c>
      <x:c r="C20" s="219" t="n">
        <x:v>15</x:v>
      </x:c>
      <x:c r="D20" s="208" t="str">
        <x:v>campaign205-045-15</x:v>
      </x:c>
      <x:c r="E20" s="220" t="str">
        <x:v>Oui</x:v>
      </x:c>
      <x:c r="F20" s="220" t="str">
        <x:v>Oui</x:v>
      </x:c>
      <x:c r="G20" s="220" t="str">
        <x:v>Oui</x:v>
      </x:c>
      <x:c r="H20" s="220" t="str">
        <x:v>Oui</x:v>
      </x:c>
      <x:c r="I20" s="220" t="str">
        <x:v>Oui</x:v>
      </x:c>
      <x:c r="J20" s="219" t="n">
        <x:v>0</x:v>
      </x:c>
      <x:c r="K20" s="208" t="str">
        <x:v>Aucun témoin pour cette variante</x:v>
      </x:c>
      <x:c r="L20" s="208" t="str">
        <x:v>https://github.com/darknigthmare/deadwall-last-enclosure/blob/1b3b9c5ba232734b1bda3453b4e20a0481bcdd74/docs/codex/suivi-monde2026/campagne205-eligibilite.json</x:v>
      </x:c>
    </x:row>
    <x:row r="21" ht="64" customHeight="1">
      <x:c r="A21" s="208" t="str">
        <x:v>EXT-MONDE-T045-V16</x:v>
      </x:c>
      <x:c r="B21" s="208" t="str">
        <x:v>Parc résidentiel de mobil-homes</x:v>
      </x:c>
      <x:c r="C21" s="219" t="n">
        <x:v>16</x:v>
      </x:c>
      <x:c r="D21" s="208" t="str">
        <x:v>campaign205-045-16</x:v>
      </x:c>
      <x:c r="E21" s="220" t="str">
        <x:v>Oui</x:v>
      </x:c>
      <x:c r="F21" s="220" t="str">
        <x:v>Oui</x:v>
      </x:c>
      <x:c r="G21" s="220" t="str">
        <x:v>Oui</x:v>
      </x:c>
      <x:c r="H21" s="220" t="str">
        <x:v>Oui</x:v>
      </x:c>
      <x:c r="I21" s="220" t="str">
        <x:v>Oui</x:v>
      </x:c>
      <x:c r="J21" s="219" t="n">
        <x:v>0</x:v>
      </x:c>
      <x:c r="K21" s="208" t="str">
        <x:v>Aucun témoin pour cette variante</x:v>
      </x:c>
      <x:c r="L21" s="208" t="str">
        <x:v>https://github.com/darknigthmare/deadwall-last-enclosure/blob/1b3b9c5ba232734b1bda3453b4e20a0481bcdd74/docs/codex/suivi-monde2026/campagne205-eligibilite.json</x:v>
      </x:c>
    </x:row>
    <x:row r="22" ht="64" customHeight="1">
      <x:c r="A22" s="208" t="str">
        <x:v>EXT-MONDE-T045-V17</x:v>
      </x:c>
      <x:c r="B22" s="208" t="str">
        <x:v>Parc résidentiel de mobil-homes</x:v>
      </x:c>
      <x:c r="C22" s="219" t="n">
        <x:v>17</x:v>
      </x:c>
      <x:c r="D22" s="208" t="str">
        <x:v>campaign205-045-17</x:v>
      </x:c>
      <x:c r="E22" s="220" t="str">
        <x:v>Oui</x:v>
      </x:c>
      <x:c r="F22" s="220" t="str">
        <x:v>Oui</x:v>
      </x:c>
      <x:c r="G22" s="220" t="str">
        <x:v>Oui</x:v>
      </x:c>
      <x:c r="H22" s="220" t="str">
        <x:v>Oui</x:v>
      </x:c>
      <x:c r="I22" s="220" t="str">
        <x:v>Oui</x:v>
      </x:c>
      <x:c r="J22" s="219" t="n">
        <x:v>0</x:v>
      </x:c>
      <x:c r="K22" s="208" t="str">
        <x:v>Aucun témoin pour cette variante</x:v>
      </x:c>
      <x:c r="L22" s="208" t="str">
        <x:v>https://github.com/darknigthmare/deadwall-last-enclosure/blob/1b3b9c5ba232734b1bda3453b4e20a0481bcdd74/docs/codex/suivi-monde2026/campagne205-eligibilite.json</x:v>
      </x:c>
    </x:row>
    <x:row r="23" ht="64" customHeight="1">
      <x:c r="A23" s="208" t="str">
        <x:v>EXT-MONDE-T045-V18</x:v>
      </x:c>
      <x:c r="B23" s="208" t="str">
        <x:v>Parc résidentiel de mobil-homes</x:v>
      </x:c>
      <x:c r="C23" s="219" t="n">
        <x:v>18</x:v>
      </x:c>
      <x:c r="D23" s="208" t="str">
        <x:v>campaign205-045-18</x:v>
      </x:c>
      <x:c r="E23" s="220" t="str">
        <x:v>Oui</x:v>
      </x:c>
      <x:c r="F23" s="220" t="str">
        <x:v>Oui</x:v>
      </x:c>
      <x:c r="G23" s="220" t="str">
        <x:v>Oui</x:v>
      </x:c>
      <x:c r="H23" s="220" t="str">
        <x:v>Oui</x:v>
      </x:c>
      <x:c r="I23" s="220" t="str">
        <x:v>Oui</x:v>
      </x:c>
      <x:c r="J23" s="219" t="n">
        <x:v>0</x:v>
      </x:c>
      <x:c r="K23" s="208" t="str">
        <x:v>Aucun témoin pour cette variante</x:v>
      </x:c>
      <x:c r="L23" s="208" t="str">
        <x:v>https://github.com/darknigthmare/deadwall-last-enclosure/blob/1b3b9c5ba232734b1bda3453b4e20a0481bcdd74/docs/codex/suivi-monde2026/campagne205-eligibilite.json</x:v>
      </x:c>
    </x:row>
    <x:row r="24" ht="64" customHeight="1">
      <x:c r="A24" s="208" t="str">
        <x:v>EXT-MONDE-T045-V19</x:v>
      </x:c>
      <x:c r="B24" s="208" t="str">
        <x:v>Parc résidentiel de mobil-homes</x:v>
      </x:c>
      <x:c r="C24" s="219" t="n">
        <x:v>19</x:v>
      </x:c>
      <x:c r="D24" s="208" t="str">
        <x:v>campaign205-045-19</x:v>
      </x:c>
      <x:c r="E24" s="220" t="str">
        <x:v>Oui</x:v>
      </x:c>
      <x:c r="F24" s="220" t="str">
        <x:v>Oui</x:v>
      </x:c>
      <x:c r="G24" s="220" t="str">
        <x:v>Oui</x:v>
      </x:c>
      <x:c r="H24" s="220" t="str">
        <x:v>Oui</x:v>
      </x:c>
      <x:c r="I24" s="220" t="str">
        <x:v>Oui</x:v>
      </x:c>
      <x:c r="J24" s="219" t="n">
        <x:v>0</x:v>
      </x:c>
      <x:c r="K24" s="208" t="str">
        <x:v>Aucun témoin pour cette variante</x:v>
      </x:c>
      <x:c r="L24" s="208" t="str">
        <x:v>https://github.com/darknigthmare/deadwall-last-enclosure/blob/1b3b9c5ba232734b1bda3453b4e20a0481bcdd74/docs/codex/suivi-monde2026/campagne205-eligibilite.json</x:v>
      </x:c>
    </x:row>
    <x:row r="25" ht="64" customHeight="1">
      <x:c r="A25" s="208" t="str">
        <x:v>EXT-MONDE-T045-V20</x:v>
      </x:c>
      <x:c r="B25" s="208" t="str">
        <x:v>Parc résidentiel de mobil-homes</x:v>
      </x:c>
      <x:c r="C25" s="219" t="n">
        <x:v>20</x:v>
      </x:c>
      <x:c r="D25" s="208" t="str">
        <x:v>campaign205-045-20</x:v>
      </x:c>
      <x:c r="E25" s="220" t="str">
        <x:v>Oui</x:v>
      </x:c>
      <x:c r="F25" s="220" t="str">
        <x:v>Oui</x:v>
      </x:c>
      <x:c r="G25" s="220" t="str">
        <x:v>Oui</x:v>
      </x:c>
      <x:c r="H25" s="220" t="str">
        <x:v>Oui</x:v>
      </x:c>
      <x:c r="I25" s="220" t="str">
        <x:v>Oui</x:v>
      </x:c>
      <x:c r="J25" s="219" t="n">
        <x:v>0</x:v>
      </x:c>
      <x:c r="K25" s="208" t="str">
        <x:v>Aucun témoin pour cette variante</x:v>
      </x:c>
      <x:c r="L25" s="208" t="str">
        <x:v>https://github.com/darknigthmare/deadwall-last-enclosure/blob/1b3b9c5ba232734b1bda3453b4e20a0481bcdd74/docs/codex/suivi-monde2026/campagne205-eligibilite.json</x:v>
      </x:c>
    </x:row>
    <x:row r="26" ht="64" customHeight="1">
      <x:c r="A26" s="208" t="str">
        <x:v>EXT-MONDE-T045-V21</x:v>
      </x:c>
      <x:c r="B26" s="208" t="str">
        <x:v>Parc résidentiel de mobil-homes</x:v>
      </x:c>
      <x:c r="C26" s="219" t="n">
        <x:v>21</x:v>
      </x:c>
      <x:c r="D26" s="208" t="str">
        <x:v>campaign205-045-21</x:v>
      </x:c>
      <x:c r="E26" s="220" t="str">
        <x:v>Oui</x:v>
      </x:c>
      <x:c r="F26" s="220" t="str">
        <x:v>Oui</x:v>
      </x:c>
      <x:c r="G26" s="220" t="str">
        <x:v>Oui</x:v>
      </x:c>
      <x:c r="H26" s="220" t="str">
        <x:v>Oui</x:v>
      </x:c>
      <x:c r="I26" s="220" t="str">
        <x:v>Oui</x:v>
      </x:c>
      <x:c r="J26" s="219" t="n">
        <x:v>0</x:v>
      </x:c>
      <x:c r="K26" s="208" t="str">
        <x:v>Aucun témoin pour cette variante</x:v>
      </x:c>
      <x:c r="L26" s="208" t="str">
        <x:v>https://github.com/darknigthmare/deadwall-last-enclosure/blob/1b3b9c5ba232734b1bda3453b4e20a0481bcdd74/docs/codex/suivi-monde2026/campagne205-eligibilite.json</x:v>
      </x:c>
    </x:row>
    <x:row r="27" ht="64" customHeight="1">
      <x:c r="A27" s="208" t="str">
        <x:v>EXT-MONDE-T045-V22</x:v>
      </x:c>
      <x:c r="B27" s="208" t="str">
        <x:v>Parc résidentiel de mobil-homes</x:v>
      </x:c>
      <x:c r="C27" s="219" t="n">
        <x:v>22</x:v>
      </x:c>
      <x:c r="D27" s="208" t="str">
        <x:v>campaign205-045-22</x:v>
      </x:c>
      <x:c r="E27" s="220" t="str">
        <x:v>Oui</x:v>
      </x:c>
      <x:c r="F27" s="220" t="str">
        <x:v>Oui</x:v>
      </x:c>
      <x:c r="G27" s="220" t="str">
        <x:v>Oui</x:v>
      </x:c>
      <x:c r="H27" s="220" t="str">
        <x:v>Oui</x:v>
      </x:c>
      <x:c r="I27" s="220" t="str">
        <x:v>Oui</x:v>
      </x:c>
      <x:c r="J27" s="219" t="n">
        <x:v>1</x:v>
      </x:c>
      <x:c r="K27" s="208" t="str">
        <x:v>1</x:v>
      </x:c>
      <x:c r="L27" s="208" t="str">
        <x:v>https://github.com/darknigthmare/deadwall-last-enclosure/blob/1b3b9c5ba232734b1bda3453b4e20a0481bcdd74/docs/codex/suivi-monde2026/campagne205-eligibilite.json</x:v>
      </x:c>
    </x:row>
    <x:row r="28" ht="64" customHeight="1">
      <x:c r="A28" s="208" t="str">
        <x:v>EXT-MONDE-T045-V23</x:v>
      </x:c>
      <x:c r="B28" s="208" t="str">
        <x:v>Parc résidentiel de mobil-homes</x:v>
      </x:c>
      <x:c r="C28" s="219" t="n">
        <x:v>23</x:v>
      </x:c>
      <x:c r="D28" s="208" t="str">
        <x:v>campaign205-045-23</x:v>
      </x:c>
      <x:c r="E28" s="220" t="str">
        <x:v>Oui</x:v>
      </x:c>
      <x:c r="F28" s="220" t="str">
        <x:v>Oui</x:v>
      </x:c>
      <x:c r="G28" s="220" t="str">
        <x:v>Oui</x:v>
      </x:c>
      <x:c r="H28" s="220" t="str">
        <x:v>Oui</x:v>
      </x:c>
      <x:c r="I28" s="220" t="str">
        <x:v>Oui</x:v>
      </x:c>
      <x:c r="J28" s="219" t="n">
        <x:v>0</x:v>
      </x:c>
      <x:c r="K28" s="208" t="str">
        <x:v>Aucun témoin pour cette variante</x:v>
      </x:c>
      <x:c r="L28" s="208" t="str">
        <x:v>https://github.com/darknigthmare/deadwall-last-enclosure/blob/1b3b9c5ba232734b1bda3453b4e20a0481bcdd74/docs/codex/suivi-monde2026/campagne205-eligibilite.json</x:v>
      </x:c>
    </x:row>
    <x:row r="29" ht="64" customHeight="1">
      <x:c r="A29" s="208" t="str">
        <x:v>EXT-MONDE-T045-V24</x:v>
      </x:c>
      <x:c r="B29" s="208" t="str">
        <x:v>Parc résidentiel de mobil-homes</x:v>
      </x:c>
      <x:c r="C29" s="219" t="n">
        <x:v>24</x:v>
      </x:c>
      <x:c r="D29" s="208" t="str">
        <x:v>campaign205-045-24</x:v>
      </x:c>
      <x:c r="E29" s="220" t="str">
        <x:v>Oui</x:v>
      </x:c>
      <x:c r="F29" s="220" t="str">
        <x:v>Oui</x:v>
      </x:c>
      <x:c r="G29" s="220" t="str">
        <x:v>Oui</x:v>
      </x:c>
      <x:c r="H29" s="220" t="str">
        <x:v>Oui</x:v>
      </x:c>
      <x:c r="I29" s="220" t="str">
        <x:v>Oui</x:v>
      </x:c>
      <x:c r="J29" s="219" t="n">
        <x:v>0</x:v>
      </x:c>
      <x:c r="K29" s="208" t="str">
        <x:v>Aucun témoin pour cette variante</x:v>
      </x:c>
      <x:c r="L29" s="208" t="str">
        <x:v>https://github.com/darknigthmare/deadwall-last-enclosure/blob/1b3b9c5ba232734b1bda3453b4e20a0481bcdd74/docs/codex/suivi-monde2026/campagne205-eligibilite.json</x:v>
      </x:c>
    </x:row>
    <x:row r="30" ht="64" customHeight="1">
      <x:c r="A30" s="208" t="str">
        <x:v>EXT-MONDE-T045-V25</x:v>
      </x:c>
      <x:c r="B30" s="208" t="str">
        <x:v>Parc résidentiel de mobil-homes</x:v>
      </x:c>
      <x:c r="C30" s="219" t="n">
        <x:v>25</x:v>
      </x:c>
      <x:c r="D30" s="208" t="str">
        <x:v>campaign205-045-25</x:v>
      </x:c>
      <x:c r="E30" s="220" t="str">
        <x:v>Oui</x:v>
      </x:c>
      <x:c r="F30" s="220" t="str">
        <x:v>Oui</x:v>
      </x:c>
      <x:c r="G30" s="220" t="str">
        <x:v>Oui</x:v>
      </x:c>
      <x:c r="H30" s="220" t="str">
        <x:v>Oui</x:v>
      </x:c>
      <x:c r="I30" s="220" t="str">
        <x:v>Oui</x:v>
      </x:c>
      <x:c r="J30" s="219" t="n">
        <x:v>1</x:v>
      </x:c>
      <x:c r="K30" s="208" t="str">
        <x:v>967313470</x:v>
      </x:c>
      <x:c r="L30" s="208" t="str">
        <x:v>https://github.com/darknigthmare/deadwall-last-enclosure/blob/1b3b9c5ba232734b1bda3453b4e20a0481bcdd74/docs/codex/suivi-monde2026/campagne205-eligibilite.json</x:v>
      </x:c>
    </x:row>
    <x:row r="31" ht="64" customHeight="1">
      <x:c r="A31" s="208" t="str">
        <x:v>EXT-MONDE-T045-V26</x:v>
      </x:c>
      <x:c r="B31" s="208" t="str">
        <x:v>Parc résidentiel de mobil-homes</x:v>
      </x:c>
      <x:c r="C31" s="219" t="n">
        <x:v>26</x:v>
      </x:c>
      <x:c r="D31" s="208" t="str">
        <x:v>campaign205-045-26</x:v>
      </x:c>
      <x:c r="E31" s="220" t="str">
        <x:v>Oui</x:v>
      </x:c>
      <x:c r="F31" s="220" t="str">
        <x:v>Oui</x:v>
      </x:c>
      <x:c r="G31" s="220" t="str">
        <x:v>Oui</x:v>
      </x:c>
      <x:c r="H31" s="220" t="str">
        <x:v>Oui</x:v>
      </x:c>
      <x:c r="I31" s="220" t="str">
        <x:v>Oui</x:v>
      </x:c>
      <x:c r="J31" s="219" t="n">
        <x:v>0</x:v>
      </x:c>
      <x:c r="K31" s="208" t="str">
        <x:v>Aucun témoin pour cette variante</x:v>
      </x:c>
      <x:c r="L31" s="208" t="str">
        <x:v>https://github.com/darknigthmare/deadwall-last-enclosure/blob/1b3b9c5ba232734b1bda3453b4e20a0481bcdd74/docs/codex/suivi-monde2026/campagne205-eligibilite.json</x:v>
      </x:c>
    </x:row>
    <x:row r="32" ht="64" customHeight="1">
      <x:c r="A32" s="208" t="str">
        <x:v>EXT-MONDE-T045-V27</x:v>
      </x:c>
      <x:c r="B32" s="208" t="str">
        <x:v>Parc résidentiel de mobil-homes</x:v>
      </x:c>
      <x:c r="C32" s="219" t="n">
        <x:v>27</x:v>
      </x:c>
      <x:c r="D32" s="208" t="str">
        <x:v>campaign205-045-27</x:v>
      </x:c>
      <x:c r="E32" s="220" t="str">
        <x:v>Oui</x:v>
      </x:c>
      <x:c r="F32" s="220" t="str">
        <x:v>Oui</x:v>
      </x:c>
      <x:c r="G32" s="220" t="str">
        <x:v>Oui</x:v>
      </x:c>
      <x:c r="H32" s="220" t="str">
        <x:v>Oui</x:v>
      </x:c>
      <x:c r="I32" s="220" t="str">
        <x:v>Oui</x:v>
      </x:c>
      <x:c r="J32" s="219" t="n">
        <x:v>1</x:v>
      </x:c>
      <x:c r="K32" s="208" t="str">
        <x:v>0</x:v>
      </x:c>
      <x:c r="L32" s="208" t="str">
        <x:v>https://github.com/darknigthmare/deadwall-last-enclosure/blob/1b3b9c5ba232734b1bda3453b4e20a0481bcdd74/docs/codex/suivi-monde2026/campagne205-eligibilite.json</x:v>
      </x:c>
    </x:row>
    <x:row r="33" ht="64" customHeight="1">
      <x:c r="A33" s="208" t="str">
        <x:v>EXT-MONDE-T045-V28</x:v>
      </x:c>
      <x:c r="B33" s="208" t="str">
        <x:v>Parc résidentiel de mobil-homes</x:v>
      </x:c>
      <x:c r="C33" s="219" t="n">
        <x:v>28</x:v>
      </x:c>
      <x:c r="D33" s="208" t="str">
        <x:v>campaign205-045-28</x:v>
      </x:c>
      <x:c r="E33" s="220" t="str">
        <x:v>Oui</x:v>
      </x:c>
      <x:c r="F33" s="220" t="str">
        <x:v>Oui</x:v>
      </x:c>
      <x:c r="G33" s="220" t="str">
        <x:v>Oui</x:v>
      </x:c>
      <x:c r="H33" s="220" t="str">
        <x:v>Oui</x:v>
      </x:c>
      <x:c r="I33" s="220" t="str">
        <x:v>Oui</x:v>
      </x:c>
      <x:c r="J33" s="219" t="n">
        <x:v>0</x:v>
      </x:c>
      <x:c r="K33" s="208" t="str">
        <x:v>Aucun témoin pour cette variante</x:v>
      </x:c>
      <x:c r="L33" s="208" t="str">
        <x:v>https://github.com/darknigthmare/deadwall-last-enclosure/blob/1b3b9c5ba232734b1bda3453b4e20a0481bcdd74/docs/codex/suivi-monde2026/campagne205-eligibilite.json</x:v>
      </x:c>
    </x:row>
    <x:row r="34" ht="64" customHeight="1">
      <x:c r="A34" s="208" t="str">
        <x:v>EXT-MONDE-T045-V29</x:v>
      </x:c>
      <x:c r="B34" s="208" t="str">
        <x:v>Parc résidentiel de mobil-homes</x:v>
      </x:c>
      <x:c r="C34" s="219" t="n">
        <x:v>29</x:v>
      </x:c>
      <x:c r="D34" s="208" t="str">
        <x:v>campaign205-045-29</x:v>
      </x:c>
      <x:c r="E34" s="220" t="str">
        <x:v>Oui</x:v>
      </x:c>
      <x:c r="F34" s="220" t="str">
        <x:v>Oui</x:v>
      </x:c>
      <x:c r="G34" s="220" t="str">
        <x:v>Oui</x:v>
      </x:c>
      <x:c r="H34" s="220" t="str">
        <x:v>Oui</x:v>
      </x:c>
      <x:c r="I34" s="220" t="str">
        <x:v>Oui</x:v>
      </x:c>
      <x:c r="J34" s="219" t="n">
        <x:v>1</x:v>
      </x:c>
      <x:c r="K34" s="208" t="str">
        <x:v>17117</x:v>
      </x:c>
      <x:c r="L34" s="208" t="str">
        <x:v>https://github.com/darknigthmare/deadwall-last-enclosure/blob/1b3b9c5ba232734b1bda3453b4e20a0481bcdd74/docs/codex/suivi-monde2026/campagne205-eligibilite.json</x:v>
      </x:c>
    </x:row>
    <x:row r="35" ht="64" customHeight="1">
      <x:c r="A35" s="208" t="str">
        <x:v>EXT-MONDE-T045-V30</x:v>
      </x:c>
      <x:c r="B35" s="208" t="str">
        <x:v>Parc résidentiel de mobil-homes</x:v>
      </x:c>
      <x:c r="C35" s="219" t="n">
        <x:v>30</x:v>
      </x:c>
      <x:c r="D35" s="208" t="str">
        <x:v>campaign205-045-30</x:v>
      </x:c>
      <x:c r="E35" s="220" t="str">
        <x:v>Oui</x:v>
      </x:c>
      <x:c r="F35" s="220" t="str">
        <x:v>Oui</x:v>
      </x:c>
      <x:c r="G35" s="220" t="str">
        <x:v>Oui</x:v>
      </x:c>
      <x:c r="H35" s="220" t="str">
        <x:v>Oui</x:v>
      </x:c>
      <x:c r="I35" s="220" t="str">
        <x:v>Oui</x:v>
      </x:c>
      <x:c r="J35" s="219" t="n">
        <x:v>0</x:v>
      </x:c>
      <x:c r="K35" s="208" t="str">
        <x:v>Aucun témoin pour cette variante</x:v>
      </x:c>
      <x:c r="L35" s="208" t="str">
        <x:v>https://github.com/darknigthmare/deadwall-last-enclosure/blob/1b3b9c5ba232734b1bda3453b4e20a0481bcdd74/docs/codex/suivi-monde2026/campagne205-eligibilite.json</x:v>
      </x:c>
    </x:row>
    <x:row r="36" ht="64" customHeight="1">
      <x:c r="A36" s="208" t="str">
        <x:v>EXT-MONDE-T045-V31</x:v>
      </x:c>
      <x:c r="B36" s="208" t="str">
        <x:v>Parc résidentiel de mobil-homes</x:v>
      </x:c>
      <x:c r="C36" s="219" t="n">
        <x:v>31</x:v>
      </x:c>
      <x:c r="D36" s="208" t="str">
        <x:v>campaign205-045-31</x:v>
      </x:c>
      <x:c r="E36" s="220" t="str">
        <x:v>Oui</x:v>
      </x:c>
      <x:c r="F36" s="220" t="str">
        <x:v>Oui</x:v>
      </x:c>
      <x:c r="G36" s="220" t="str">
        <x:v>Oui</x:v>
      </x:c>
      <x:c r="H36" s="220" t="str">
        <x:v>Oui</x:v>
      </x:c>
      <x:c r="I36" s="220" t="str">
        <x:v>Oui</x:v>
      </x:c>
      <x:c r="J36" s="219" t="n">
        <x:v>0</x:v>
      </x:c>
      <x:c r="K36" s="208" t="str">
        <x:v>Aucun témoin pour cette variante</x:v>
      </x:c>
      <x:c r="L36" s="208" t="str">
        <x:v>https://github.com/darknigthmare/deadwall-last-enclosure/blob/1b3b9c5ba232734b1bda3453b4e20a0481bcdd74/docs/codex/suivi-monde2026/campagne205-eligibilite.json</x:v>
      </x:c>
    </x:row>
    <x:row r="37" ht="64" customHeight="1">
      <x:c r="A37" s="208" t="str">
        <x:v>EXT-MONDE-T045-V32</x:v>
      </x:c>
      <x:c r="B37" s="208" t="str">
        <x:v>Parc résidentiel de mobil-homes</x:v>
      </x:c>
      <x:c r="C37" s="219" t="n">
        <x:v>32</x:v>
      </x:c>
      <x:c r="D37" s="208" t="str">
        <x:v>campaign205-045-32</x:v>
      </x:c>
      <x:c r="E37" s="220" t="str">
        <x:v>Oui</x:v>
      </x:c>
      <x:c r="F37" s="220" t="str">
        <x:v>Oui</x:v>
      </x:c>
      <x:c r="G37" s="220" t="str">
        <x:v>Oui</x:v>
      </x:c>
      <x:c r="H37" s="220" t="str">
        <x:v>Oui</x:v>
      </x:c>
      <x:c r="I37" s="220" t="str">
        <x:v>Oui</x:v>
      </x:c>
      <x:c r="J37" s="219" t="n">
        <x:v>0</x:v>
      </x:c>
      <x:c r="K37" s="208" t="str">
        <x:v>Aucun témoin pour cette variante</x:v>
      </x:c>
      <x:c r="L37" s="208" t="str">
        <x:v>https://github.com/darknigthmare/deadwall-last-enclosure/blob/1b3b9c5ba232734b1bda3453b4e20a0481bcdd74/docs/codex/suivi-monde2026/campagne205-eligibilite.json</x:v>
      </x:c>
    </x:row>
    <x:row r="38" ht="64" customHeight="1">
      <x:c r="A38" s="208" t="str">
        <x:v>EXT-MONDE-T045-V33</x:v>
      </x:c>
      <x:c r="B38" s="208" t="str">
        <x:v>Parc résidentiel de mobil-homes</x:v>
      </x:c>
      <x:c r="C38" s="219" t="n">
        <x:v>33</x:v>
      </x:c>
      <x:c r="D38" s="208" t="str">
        <x:v>campaign205-045-33</x:v>
      </x:c>
      <x:c r="E38" s="220" t="str">
        <x:v>Oui</x:v>
      </x:c>
      <x:c r="F38" s="220" t="str">
        <x:v>Oui</x:v>
      </x:c>
      <x:c r="G38" s="220" t="str">
        <x:v>Oui</x:v>
      </x:c>
      <x:c r="H38" s="220" t="str">
        <x:v>Oui</x:v>
      </x:c>
      <x:c r="I38" s="220" t="str">
        <x:v>Oui</x:v>
      </x:c>
      <x:c r="J38" s="219" t="n">
        <x:v>0</x:v>
      </x:c>
      <x:c r="K38" s="208" t="str">
        <x:v>Aucun témoin pour cette variante</x:v>
      </x:c>
      <x:c r="L38" s="208" t="str">
        <x:v>https://github.com/darknigthmare/deadwall-last-enclosure/blob/1b3b9c5ba232734b1bda3453b4e20a0481bcdd74/docs/codex/suivi-monde2026/campagne205-eligibilite.json</x:v>
      </x:c>
    </x:row>
    <x:row r="39" ht="64" customHeight="1">
      <x:c r="A39" s="208" t="str">
        <x:v>EXT-MONDE-T045-V34</x:v>
      </x:c>
      <x:c r="B39" s="208" t="str">
        <x:v>Parc résidentiel de mobil-homes</x:v>
      </x:c>
      <x:c r="C39" s="219" t="n">
        <x:v>34</x:v>
      </x:c>
      <x:c r="D39" s="208" t="str">
        <x:v>campaign205-045-34</x:v>
      </x:c>
      <x:c r="E39" s="220" t="str">
        <x:v>Oui</x:v>
      </x:c>
      <x:c r="F39" s="220" t="str">
        <x:v>Oui</x:v>
      </x:c>
      <x:c r="G39" s="220" t="str">
        <x:v>Oui</x:v>
      </x:c>
      <x:c r="H39" s="220" t="str">
        <x:v>Oui</x:v>
      </x:c>
      <x:c r="I39" s="220" t="str">
        <x:v>Oui</x:v>
      </x:c>
      <x:c r="J39" s="219" t="n">
        <x:v>0</x:v>
      </x:c>
      <x:c r="K39" s="208" t="str">
        <x:v>Aucun témoin pour cette variante</x:v>
      </x:c>
      <x:c r="L39" s="208" t="str">
        <x:v>https://github.com/darknigthmare/deadwall-last-enclosure/blob/1b3b9c5ba232734b1bda3453b4e20a0481bcdd74/docs/codex/suivi-monde2026/campagne205-eligibilite.json</x:v>
      </x:c>
    </x:row>
    <x:row r="40" ht="64" customHeight="1">
      <x:c r="A40" s="208" t="str">
        <x:v>EXT-MONDE-T045-V35</x:v>
      </x:c>
      <x:c r="B40" s="208" t="str">
        <x:v>Parc résidentiel de mobil-homes</x:v>
      </x:c>
      <x:c r="C40" s="219" t="n">
        <x:v>35</x:v>
      </x:c>
      <x:c r="D40" s="208" t="str">
        <x:v>campaign205-045-35</x:v>
      </x:c>
      <x:c r="E40" s="220" t="str">
        <x:v>Oui</x:v>
      </x:c>
      <x:c r="F40" s="220" t="str">
        <x:v>Oui</x:v>
      </x:c>
      <x:c r="G40" s="220" t="str">
        <x:v>Oui</x:v>
      </x:c>
      <x:c r="H40" s="220" t="str">
        <x:v>Oui</x:v>
      </x:c>
      <x:c r="I40" s="220" t="str">
        <x:v>Oui</x:v>
      </x:c>
      <x:c r="J40" s="219" t="n">
        <x:v>1</x:v>
      </x:c>
      <x:c r="K40" s="208" t="str">
        <x:v>42</x:v>
      </x:c>
      <x:c r="L40" s="208" t="str">
        <x:v>https://github.com/darknigthmare/deadwall-last-enclosure/blob/1b3b9c5ba232734b1bda3453b4e20a0481bcdd74/docs/codex/suivi-monde2026/campagne205-eligibilite.json</x:v>
      </x:c>
    </x:row>
    <x:row r="41" ht="64" customHeight="1">
      <x:c r="A41" s="208" t="str">
        <x:v>EXT-MONDE-T045-V36</x:v>
      </x:c>
      <x:c r="B41" s="208" t="str">
        <x:v>Parc résidentiel de mobil-homes</x:v>
      </x:c>
      <x:c r="C41" s="219" t="n">
        <x:v>36</x:v>
      </x:c>
      <x:c r="D41" s="208" t="str">
        <x:v>campaign205-045-36</x:v>
      </x:c>
      <x:c r="E41" s="220" t="str">
        <x:v>Oui</x:v>
      </x:c>
      <x:c r="F41" s="220" t="str">
        <x:v>Oui</x:v>
      </x:c>
      <x:c r="G41" s="220" t="str">
        <x:v>Oui</x:v>
      </x:c>
      <x:c r="H41" s="220" t="str">
        <x:v>Oui</x:v>
      </x:c>
      <x:c r="I41" s="220" t="str">
        <x:v>Oui</x:v>
      </x:c>
      <x:c r="J41" s="219" t="n">
        <x:v>0</x:v>
      </x:c>
      <x:c r="K41" s="208" t="str">
        <x:v>Aucun témoin pour cette variante</x:v>
      </x:c>
      <x:c r="L41" s="208" t="str">
        <x:v>https://github.com/darknigthmare/deadwall-last-enclosure/blob/1b3b9c5ba232734b1bda3453b4e20a0481bcdd74/docs/codex/suivi-monde2026/campagne205-eligibilite.json</x:v>
      </x:c>
    </x:row>
    <x:row r="42" ht="64" customHeight="1">
      <x:c r="A42" s="208" t="str">
        <x:v>EXT-MONDE-T045-V37</x:v>
      </x:c>
      <x:c r="B42" s="208" t="str">
        <x:v>Parc résidentiel de mobil-homes</x:v>
      </x:c>
      <x:c r="C42" s="219" t="n">
        <x:v>37</x:v>
      </x:c>
      <x:c r="D42" s="208" t="str">
        <x:v>campaign205-045-37</x:v>
      </x:c>
      <x:c r="E42" s="220" t="str">
        <x:v>Oui</x:v>
      </x:c>
      <x:c r="F42" s="220" t="str">
        <x:v>Oui</x:v>
      </x:c>
      <x:c r="G42" s="220" t="str">
        <x:v>Oui</x:v>
      </x:c>
      <x:c r="H42" s="220" t="str">
        <x:v>Oui</x:v>
      </x:c>
      <x:c r="I42" s="220" t="str">
        <x:v>Oui</x:v>
      </x:c>
      <x:c r="J42" s="219" t="n">
        <x:v>1</x:v>
      </x:c>
      <x:c r="K42" s="208" t="str">
        <x:v>84329</x:v>
      </x:c>
      <x:c r="L42" s="208" t="str">
        <x:v>https://github.com/darknigthmare/deadwall-last-enclosure/blob/1b3b9c5ba232734b1bda3453b4e20a0481bcdd74/docs/codex/suivi-monde2026/campagne205-eligibilite.json</x:v>
      </x:c>
    </x:row>
    <x:row r="43" ht="64" customHeight="1">
      <x:c r="A43" s="208" t="str">
        <x:v>EXT-MONDE-T045-V38</x:v>
      </x:c>
      <x:c r="B43" s="208" t="str">
        <x:v>Parc résidentiel de mobil-homes</x:v>
      </x:c>
      <x:c r="C43" s="219" t="n">
        <x:v>38</x:v>
      </x:c>
      <x:c r="D43" s="208" t="str">
        <x:v>campaign205-045-38</x:v>
      </x:c>
      <x:c r="E43" s="220" t="str">
        <x:v>Oui</x:v>
      </x:c>
      <x:c r="F43" s="220" t="str">
        <x:v>Oui</x:v>
      </x:c>
      <x:c r="G43" s="220" t="str">
        <x:v>Oui</x:v>
      </x:c>
      <x:c r="H43" s="220" t="str">
        <x:v>Oui</x:v>
      </x:c>
      <x:c r="I43" s="220" t="str">
        <x:v>Oui</x:v>
      </x:c>
      <x:c r="J43" s="219" t="n">
        <x:v>0</x:v>
      </x:c>
      <x:c r="K43" s="208" t="str">
        <x:v>Aucun témoin pour cette variante</x:v>
      </x:c>
      <x:c r="L43" s="208" t="str">
        <x:v>https://github.com/darknigthmare/deadwall-last-enclosure/blob/1b3b9c5ba232734b1bda3453b4e20a0481bcdd74/docs/codex/suivi-monde2026/campagne205-eligibilite.json</x:v>
      </x:c>
    </x:row>
    <x:row r="44" ht="64" customHeight="1">
      <x:c r="A44" s="208" t="str">
        <x:v>EXT-MONDE-T045-V39</x:v>
      </x:c>
      <x:c r="B44" s="208" t="str">
        <x:v>Parc résidentiel de mobil-homes</x:v>
      </x:c>
      <x:c r="C44" s="219" t="n">
        <x:v>39</x:v>
      </x:c>
      <x:c r="D44" s="208" t="str">
        <x:v>campaign205-045-39</x:v>
      </x:c>
      <x:c r="E44" s="220" t="str">
        <x:v>Oui</x:v>
      </x:c>
      <x:c r="F44" s="220" t="str">
        <x:v>Oui</x:v>
      </x:c>
      <x:c r="G44" s="220" t="str">
        <x:v>Oui</x:v>
      </x:c>
      <x:c r="H44" s="220" t="str">
        <x:v>Oui</x:v>
      </x:c>
      <x:c r="I44" s="220" t="str">
        <x:v>Oui</x:v>
      </x:c>
      <x:c r="J44" s="219" t="n">
        <x:v>0</x:v>
      </x:c>
      <x:c r="K44" s="208" t="str">
        <x:v>Aucun témoin pour cette variante</x:v>
      </x:c>
      <x:c r="L44" s="208" t="str">
        <x:v>https://github.com/darknigthmare/deadwall-last-enclosure/blob/1b3b9c5ba232734b1bda3453b4e20a0481bcdd74/docs/codex/suivi-monde2026/campagne205-eligibilite.json</x:v>
      </x:c>
    </x:row>
    <x:row r="45" ht="64" customHeight="1">
      <x:c r="A45" s="208" t="str">
        <x:v>EXT-MONDE-T045-V40</x:v>
      </x:c>
      <x:c r="B45" s="208" t="str">
        <x:v>Parc résidentiel de mobil-homes</x:v>
      </x:c>
      <x:c r="C45" s="219" t="n">
        <x:v>40</x:v>
      </x:c>
      <x:c r="D45" s="208" t="str">
        <x:v>campaign205-045-40</x:v>
      </x:c>
      <x:c r="E45" s="220" t="str">
        <x:v>Oui</x:v>
      </x:c>
      <x:c r="F45" s="220" t="str">
        <x:v>Oui</x:v>
      </x:c>
      <x:c r="G45" s="220" t="str">
        <x:v>Oui</x:v>
      </x:c>
      <x:c r="H45" s="220" t="str">
        <x:v>Oui</x:v>
      </x:c>
      <x:c r="I45" s="220" t="str">
        <x:v>Oui</x:v>
      </x:c>
      <x:c r="J45" s="219" t="n">
        <x:v>0</x:v>
      </x:c>
      <x:c r="K45" s="208" t="str">
        <x:v>Aucun témoin pour cette variante</x:v>
      </x:c>
      <x:c r="L45" s="208" t="str">
        <x:v>https://github.com/darknigthmare/deadwall-last-enclosure/blob/1b3b9c5ba232734b1bda3453b4e20a0481bcdd74/docs/codex/suivi-monde2026/campagne205-eligibilite.json</x:v>
      </x:c>
    </x:row>
    <x:row r="46" ht="64" customHeight="1">
      <x:c r="A46" s="208" t="str">
        <x:v>EXT-MONDE-T045-V41</x:v>
      </x:c>
      <x:c r="B46" s="208" t="str">
        <x:v>Parc résidentiel de mobil-homes</x:v>
      </x:c>
      <x:c r="C46" s="219" t="n">
        <x:v>41</x:v>
      </x:c>
      <x:c r="D46" s="208" t="str">
        <x:v>campaign205-045-41</x:v>
      </x:c>
      <x:c r="E46" s="220" t="str">
        <x:v>Oui</x:v>
      </x:c>
      <x:c r="F46" s="220" t="str">
        <x:v>Oui</x:v>
      </x:c>
      <x:c r="G46" s="220" t="str">
        <x:v>Oui</x:v>
      </x:c>
      <x:c r="H46" s="220" t="str">
        <x:v>Oui</x:v>
      </x:c>
      <x:c r="I46" s="220" t="str">
        <x:v>Oui</x:v>
      </x:c>
      <x:c r="J46" s="219" t="n">
        <x:v>0</x:v>
      </x:c>
      <x:c r="K46" s="208" t="str">
        <x:v>Aucun témoin pour cette variante</x:v>
      </x:c>
      <x:c r="L46" s="208" t="str">
        <x:v>https://github.com/darknigthmare/deadwall-last-enclosure/blob/1b3b9c5ba232734b1bda3453b4e20a0481bcdd74/docs/codex/suivi-monde2026/campagne205-eligibilite.json</x:v>
      </x:c>
    </x:row>
    <x:row r="47" ht="64" customHeight="1">
      <x:c r="A47" s="208" t="str">
        <x:v>EXT-MONDE-T045-V42</x:v>
      </x:c>
      <x:c r="B47" s="208" t="str">
        <x:v>Parc résidentiel de mobil-homes</x:v>
      </x:c>
      <x:c r="C47" s="219" t="n">
        <x:v>42</x:v>
      </x:c>
      <x:c r="D47" s="208" t="str">
        <x:v>campaign205-045-42</x:v>
      </x:c>
      <x:c r="E47" s="220" t="str">
        <x:v>Oui</x:v>
      </x:c>
      <x:c r="F47" s="220" t="str">
        <x:v>Oui</x:v>
      </x:c>
      <x:c r="G47" s="220" t="str">
        <x:v>Oui</x:v>
      </x:c>
      <x:c r="H47" s="220" t="str">
        <x:v>Oui</x:v>
      </x:c>
      <x:c r="I47" s="220" t="str">
        <x:v>Oui</x:v>
      </x:c>
      <x:c r="J47" s="219" t="n">
        <x:v>2</x:v>
      </x:c>
      <x:c r="K47" s="208" t="str">
        <x:v>17117, 967313470</x:v>
      </x:c>
      <x:c r="L47" s="208" t="str">
        <x:v>https://github.com/darknigthmare/deadwall-last-enclosure/blob/1b3b9c5ba232734b1bda3453b4e20a0481bcdd74/docs/codex/suivi-monde2026/campagne205-eligibilite.json</x:v>
      </x:c>
    </x:row>
    <x:row r="48" ht="64" customHeight="1">
      <x:c r="A48" s="208" t="str">
        <x:v>EXT-MONDE-T045-V43</x:v>
      </x:c>
      <x:c r="B48" s="208" t="str">
        <x:v>Parc résidentiel de mobil-homes</x:v>
      </x:c>
      <x:c r="C48" s="219" t="n">
        <x:v>43</x:v>
      </x:c>
      <x:c r="D48" s="208" t="str">
        <x:v>campaign205-045-43</x:v>
      </x:c>
      <x:c r="E48" s="220" t="str">
        <x:v>Oui</x:v>
      </x:c>
      <x:c r="F48" s="220" t="str">
        <x:v>Oui</x:v>
      </x:c>
      <x:c r="G48" s="220" t="str">
        <x:v>Oui</x:v>
      </x:c>
      <x:c r="H48" s="220" t="str">
        <x:v>Oui</x:v>
      </x:c>
      <x:c r="I48" s="220" t="str">
        <x:v>Oui</x:v>
      </x:c>
      <x:c r="J48" s="219" t="n">
        <x:v>0</x:v>
      </x:c>
      <x:c r="K48" s="208" t="str">
        <x:v>Aucun témoin pour cette variante</x:v>
      </x:c>
      <x:c r="L48" s="208" t="str">
        <x:v>https://github.com/darknigthmare/deadwall-last-enclosure/blob/1b3b9c5ba232734b1bda3453b4e20a0481bcdd74/docs/codex/suivi-monde2026/campagne205-eligibilite.json</x:v>
      </x:c>
    </x:row>
    <x:row r="49" ht="64" customHeight="1">
      <x:c r="A49" s="208" t="str">
        <x:v>EXT-MONDE-T045-V44</x:v>
      </x:c>
      <x:c r="B49" s="208" t="str">
        <x:v>Parc résidentiel de mobil-homes</x:v>
      </x:c>
      <x:c r="C49" s="219" t="n">
        <x:v>44</x:v>
      </x:c>
      <x:c r="D49" s="208" t="str">
        <x:v>campaign205-045-44</x:v>
      </x:c>
      <x:c r="E49" s="220" t="str">
        <x:v>Oui</x:v>
      </x:c>
      <x:c r="F49" s="220" t="str">
        <x:v>Oui</x:v>
      </x:c>
      <x:c r="G49" s="220" t="str">
        <x:v>Oui</x:v>
      </x:c>
      <x:c r="H49" s="220" t="str">
        <x:v>Oui</x:v>
      </x:c>
      <x:c r="I49" s="220" t="str">
        <x:v>Oui</x:v>
      </x:c>
      <x:c r="J49" s="219" t="n">
        <x:v>1</x:v>
      </x:c>
      <x:c r="K49" s="208" t="str">
        <x:v>1947648717</x:v>
      </x:c>
      <x:c r="L49" s="208" t="str">
        <x:v>https://github.com/darknigthmare/deadwall-last-enclosure/blob/1b3b9c5ba232734b1bda3453b4e20a0481bcdd74/docs/codex/suivi-monde2026/campagne205-eligibilite.json</x:v>
      </x:c>
    </x:row>
    <x:row r="50" ht="64" customHeight="1">
      <x:c r="A50" s="208" t="str">
        <x:v>EXT-MONDE-T045-V45</x:v>
      </x:c>
      <x:c r="B50" s="208" t="str">
        <x:v>Parc résidentiel de mobil-homes</x:v>
      </x:c>
      <x:c r="C50" s="219" t="n">
        <x:v>45</x:v>
      </x:c>
      <x:c r="D50" s="208" t="str">
        <x:v>campaign205-045-45</x:v>
      </x:c>
      <x:c r="E50" s="220" t="str">
        <x:v>Oui</x:v>
      </x:c>
      <x:c r="F50" s="220" t="str">
        <x:v>Oui</x:v>
      </x:c>
      <x:c r="G50" s="220" t="str">
        <x:v>Oui</x:v>
      </x:c>
      <x:c r="H50" s="220" t="str">
        <x:v>Oui</x:v>
      </x:c>
      <x:c r="I50" s="220" t="str">
        <x:v>Oui</x:v>
      </x:c>
      <x:c r="J50" s="219" t="n">
        <x:v>0</x:v>
      </x:c>
      <x:c r="K50" s="208" t="str">
        <x:v>Aucun témoin pour cette variante</x:v>
      </x:c>
      <x:c r="L50" s="208" t="str">
        <x:v>https://github.com/darknigthmare/deadwall-last-enclosure/blob/1b3b9c5ba232734b1bda3453b4e20a0481bcdd74/docs/codex/suivi-monde2026/campagne205-eligibilite.json</x:v>
      </x:c>
    </x:row>
    <x:row r="51" ht="64" customHeight="1">
      <x:c r="A51" s="208" t="str">
        <x:v>EXT-MONDE-T045-V46</x:v>
      </x:c>
      <x:c r="B51" s="208" t="str">
        <x:v>Parc résidentiel de mobil-homes</x:v>
      </x:c>
      <x:c r="C51" s="219" t="n">
        <x:v>46</x:v>
      </x:c>
      <x:c r="D51" s="208" t="str">
        <x:v>campaign205-045-46</x:v>
      </x:c>
      <x:c r="E51" s="220" t="str">
        <x:v>Oui</x:v>
      </x:c>
      <x:c r="F51" s="220" t="str">
        <x:v>Oui</x:v>
      </x:c>
      <x:c r="G51" s="220" t="str">
        <x:v>Oui</x:v>
      </x:c>
      <x:c r="H51" s="220" t="str">
        <x:v>Oui</x:v>
      </x:c>
      <x:c r="I51" s="220" t="str">
        <x:v>Oui</x:v>
      </x:c>
      <x:c r="J51" s="219" t="n">
        <x:v>0</x:v>
      </x:c>
      <x:c r="K51" s="208" t="str">
        <x:v>Aucun témoin pour cette variante</x:v>
      </x:c>
      <x:c r="L51" s="208" t="str">
        <x:v>https://github.com/darknigthmare/deadwall-last-enclosure/blob/1b3b9c5ba232734b1bda3453b4e20a0481bcdd74/docs/codex/suivi-monde2026/campagne205-eligibilite.json</x:v>
      </x:c>
    </x:row>
    <x:row r="52" ht="64" customHeight="1">
      <x:c r="A52" s="208" t="str">
        <x:v>EXT-MONDE-T045-V47</x:v>
      </x:c>
      <x:c r="B52" s="208" t="str">
        <x:v>Parc résidentiel de mobil-homes</x:v>
      </x:c>
      <x:c r="C52" s="219" t="n">
        <x:v>47</x:v>
      </x:c>
      <x:c r="D52" s="208" t="str">
        <x:v>campaign205-045-47</x:v>
      </x:c>
      <x:c r="E52" s="220" t="str">
        <x:v>Oui</x:v>
      </x:c>
      <x:c r="F52" s="220" t="str">
        <x:v>Oui</x:v>
      </x:c>
      <x:c r="G52" s="220" t="str">
        <x:v>Oui</x:v>
      </x:c>
      <x:c r="H52" s="220" t="str">
        <x:v>Oui</x:v>
      </x:c>
      <x:c r="I52" s="220" t="str">
        <x:v>Oui</x:v>
      </x:c>
      <x:c r="J52" s="219" t="n">
        <x:v>1</x:v>
      </x:c>
      <x:c r="K52" s="208" t="str">
        <x:v>42</x:v>
      </x:c>
      <x:c r="L52" s="208" t="str">
        <x:v>https://github.com/darknigthmare/deadwall-last-enclosure/blob/1b3b9c5ba232734b1bda3453b4e20a0481bcdd74/docs/codex/suivi-monde2026/campagne205-eligibilite.json</x:v>
      </x:c>
    </x:row>
    <x:row r="53" ht="64" customHeight="1">
      <x:c r="A53" s="208" t="str">
        <x:v>EXT-MONDE-T045-V48</x:v>
      </x:c>
      <x:c r="B53" s="208" t="str">
        <x:v>Parc résidentiel de mobil-homes</x:v>
      </x:c>
      <x:c r="C53" s="219" t="n">
        <x:v>48</x:v>
      </x:c>
      <x:c r="D53" s="208" t="str">
        <x:v>campaign205-045-48</x:v>
      </x:c>
      <x:c r="E53" s="220" t="str">
        <x:v>Oui</x:v>
      </x:c>
      <x:c r="F53" s="220" t="str">
        <x:v>Oui</x:v>
      </x:c>
      <x:c r="G53" s="220" t="str">
        <x:v>Oui</x:v>
      </x:c>
      <x:c r="H53" s="220" t="str">
        <x:v>Oui</x:v>
      </x:c>
      <x:c r="I53" s="220" t="str">
        <x:v>Oui</x:v>
      </x:c>
      <x:c r="J53" s="219" t="n">
        <x:v>1</x:v>
      </x:c>
      <x:c r="K53" s="208" t="str">
        <x:v>1</x:v>
      </x:c>
      <x:c r="L53" s="208" t="str">
        <x:v>https://github.com/darknigthmare/deadwall-last-enclosure/blob/1b3b9c5ba232734b1bda3453b4e20a0481bcdd74/docs/codex/suivi-monde2026/campagne205-eligibilite.json</x:v>
      </x:c>
    </x:row>
    <x:row r="54" ht="64" customHeight="1">
      <x:c r="A54" s="208" t="str">
        <x:v>EXT-MONDE-T045-V49</x:v>
      </x:c>
      <x:c r="B54" s="208" t="str">
        <x:v>Parc résidentiel de mobil-homes</x:v>
      </x:c>
      <x:c r="C54" s="219" t="n">
        <x:v>49</x:v>
      </x:c>
      <x:c r="D54" s="208" t="str">
        <x:v>campaign205-045-49</x:v>
      </x:c>
      <x:c r="E54" s="220" t="str">
        <x:v>Oui</x:v>
      </x:c>
      <x:c r="F54" s="220" t="str">
        <x:v>Oui</x:v>
      </x:c>
      <x:c r="G54" s="220" t="str">
        <x:v>Oui</x:v>
      </x:c>
      <x:c r="H54" s="220" t="str">
        <x:v>Oui</x:v>
      </x:c>
      <x:c r="I54" s="220" t="str">
        <x:v>Oui</x:v>
      </x:c>
      <x:c r="J54" s="219" t="n">
        <x:v>0</x:v>
      </x:c>
      <x:c r="K54" s="208" t="str">
        <x:v>Aucun témoin pour cette variante</x:v>
      </x:c>
      <x:c r="L54" s="208" t="str">
        <x:v>https://github.com/darknigthmare/deadwall-last-enclosure/blob/1b3b9c5ba232734b1bda3453b4e20a0481bcdd74/docs/codex/suivi-monde2026/campagne205-eligibilite.json</x:v>
      </x:c>
    </x:row>
    <x:row r="55" ht="64" customHeight="1">
      <x:c r="A55" s="208" t="str">
        <x:v>EXT-MONDE-T045-V50</x:v>
      </x:c>
      <x:c r="B55" s="208" t="str">
        <x:v>Parc résidentiel de mobil-homes</x:v>
      </x:c>
      <x:c r="C55" s="219" t="n">
        <x:v>50</x:v>
      </x:c>
      <x:c r="D55" s="208" t="str">
        <x:v>campaign205-045-50</x:v>
      </x:c>
      <x:c r="E55" s="220" t="str">
        <x:v>Oui</x:v>
      </x:c>
      <x:c r="F55" s="220" t="str">
        <x:v>Oui</x:v>
      </x:c>
      <x:c r="G55" s="220" t="str">
        <x:v>Oui</x:v>
      </x:c>
      <x:c r="H55" s="220" t="str">
        <x:v>Oui</x:v>
      </x:c>
      <x:c r="I55" s="220" t="str">
        <x:v>Oui</x:v>
      </x:c>
      <x:c r="J55" s="219" t="n">
        <x:v>0</x:v>
      </x:c>
      <x:c r="K55" s="208" t="str">
        <x:v>Aucun témoin pour cette variante</x:v>
      </x:c>
      <x:c r="L55" s="208" t="str">
        <x:v>https://github.com/darknigthmare/deadwall-last-enclosure/blob/1b3b9c5ba232734b1bda3453b4e20a0481bcdd74/docs/codex/suivi-monde2026/campagne205-eligibilite.json</x:v>
      </x:c>
    </x:row>
    <x:row r="56" ht="64" customHeight="1">
      <x:c r="A56" s="208" t="str">
        <x:v>EXT-MONDE-T046-V01</x:v>
      </x:c>
      <x:c r="B56" s="208" t="str">
        <x:v>Camping caravanes</x:v>
      </x:c>
      <x:c r="C56" s="219" t="n">
        <x:v>1</x:v>
      </x:c>
      <x:c r="D56" s="208" t="str">
        <x:v>campaign205-046-01</x:v>
      </x:c>
      <x:c r="E56" s="220" t="str">
        <x:v>Oui</x:v>
      </x:c>
      <x:c r="F56" s="220" t="str">
        <x:v>Oui</x:v>
      </x:c>
      <x:c r="G56" s="220" t="str">
        <x:v>Oui</x:v>
      </x:c>
      <x:c r="H56" s="220" t="str">
        <x:v>Oui</x:v>
      </x:c>
      <x:c r="I56" s="220" t="str">
        <x:v>Oui</x:v>
      </x:c>
      <x:c r="J56" s="219" t="n">
        <x:v>0</x:v>
      </x:c>
      <x:c r="K56" s="208" t="str">
        <x:v>Aucun témoin pour cette variante</x:v>
      </x:c>
      <x:c r="L56" s="208" t="str">
        <x:v>https://github.com/darknigthmare/deadwall-last-enclosure/blob/1b3b9c5ba232734b1bda3453b4e20a0481bcdd74/docs/codex/suivi-monde2026/campagne205-eligibilite.json</x:v>
      </x:c>
    </x:row>
    <x:row r="57" ht="64" customHeight="1">
      <x:c r="A57" s="208" t="str">
        <x:v>EXT-MONDE-T046-V02</x:v>
      </x:c>
      <x:c r="B57" s="208" t="str">
        <x:v>Camping caravanes</x:v>
      </x:c>
      <x:c r="C57" s="219" t="n">
        <x:v>2</x:v>
      </x:c>
      <x:c r="D57" s="208" t="str">
        <x:v>campaign205-046-02</x:v>
      </x:c>
      <x:c r="E57" s="220" t="str">
        <x:v>Oui</x:v>
      </x:c>
      <x:c r="F57" s="220" t="str">
        <x:v>Oui</x:v>
      </x:c>
      <x:c r="G57" s="220" t="str">
        <x:v>Oui</x:v>
      </x:c>
      <x:c r="H57" s="220" t="str">
        <x:v>Oui</x:v>
      </x:c>
      <x:c r="I57" s="220" t="str">
        <x:v>Oui</x:v>
      </x:c>
      <x:c r="J57" s="219" t="n">
        <x:v>1</x:v>
      </x:c>
      <x:c r="K57" s="208" t="str">
        <x:v>4294967295</x:v>
      </x:c>
      <x:c r="L57" s="208" t="str">
        <x:v>https://github.com/darknigthmare/deadwall-last-enclosure/blob/1b3b9c5ba232734b1bda3453b4e20a0481bcdd74/docs/codex/suivi-monde2026/campagne205-eligibilite.json</x:v>
      </x:c>
    </x:row>
    <x:row r="58" ht="64" customHeight="1">
      <x:c r="A58" s="208" t="str">
        <x:v>EXT-MONDE-T046-V03</x:v>
      </x:c>
      <x:c r="B58" s="208" t="str">
        <x:v>Camping caravanes</x:v>
      </x:c>
      <x:c r="C58" s="219" t="n">
        <x:v>3</x:v>
      </x:c>
      <x:c r="D58" s="208" t="str">
        <x:v>campaign205-046-03</x:v>
      </x:c>
      <x:c r="E58" s="220" t="str">
        <x:v>Oui</x:v>
      </x:c>
      <x:c r="F58" s="220" t="str">
        <x:v>Oui</x:v>
      </x:c>
      <x:c r="G58" s="220" t="str">
        <x:v>Oui</x:v>
      </x:c>
      <x:c r="H58" s="220" t="str">
        <x:v>Oui</x:v>
      </x:c>
      <x:c r="I58" s="220" t="str">
        <x:v>Oui</x:v>
      </x:c>
      <x:c r="J58" s="219" t="n">
        <x:v>0</x:v>
      </x:c>
      <x:c r="K58" s="208" t="str">
        <x:v>Aucun témoin pour cette variante</x:v>
      </x:c>
      <x:c r="L58" s="208" t="str">
        <x:v>https://github.com/darknigthmare/deadwall-last-enclosure/blob/1b3b9c5ba232734b1bda3453b4e20a0481bcdd74/docs/codex/suivi-monde2026/campagne205-eligibilite.json</x:v>
      </x:c>
    </x:row>
    <x:row r="59" ht="64" customHeight="1">
      <x:c r="A59" s="208" t="str">
        <x:v>EXT-MONDE-T046-V04</x:v>
      </x:c>
      <x:c r="B59" s="208" t="str">
        <x:v>Camping caravanes</x:v>
      </x:c>
      <x:c r="C59" s="219" t="n">
        <x:v>4</x:v>
      </x:c>
      <x:c r="D59" s="208" t="str">
        <x:v>campaign205-046-04</x:v>
      </x:c>
      <x:c r="E59" s="220" t="str">
        <x:v>Oui</x:v>
      </x:c>
      <x:c r="F59" s="220" t="str">
        <x:v>Oui</x:v>
      </x:c>
      <x:c r="G59" s="220" t="str">
        <x:v>Oui</x:v>
      </x:c>
      <x:c r="H59" s="220" t="str">
        <x:v>Oui</x:v>
      </x:c>
      <x:c r="I59" s="220" t="str">
        <x:v>Oui</x:v>
      </x:c>
      <x:c r="J59" s="219" t="n">
        <x:v>1</x:v>
      </x:c>
      <x:c r="K59" s="208" t="str">
        <x:v>17117</x:v>
      </x:c>
      <x:c r="L59" s="208" t="str">
        <x:v>https://github.com/darknigthmare/deadwall-last-enclosure/blob/1b3b9c5ba232734b1bda3453b4e20a0481bcdd74/docs/codex/suivi-monde2026/campagne205-eligibilite.json</x:v>
      </x:c>
    </x:row>
    <x:row r="60" ht="64" customHeight="1">
      <x:c r="A60" s="208" t="str">
        <x:v>EXT-MONDE-T046-V05</x:v>
      </x:c>
      <x:c r="B60" s="208" t="str">
        <x:v>Camping caravanes</x:v>
      </x:c>
      <x:c r="C60" s="219" t="n">
        <x:v>5</x:v>
      </x:c>
      <x:c r="D60" s="208" t="str">
        <x:v>campaign205-046-05</x:v>
      </x:c>
      <x:c r="E60" s="220" t="str">
        <x:v>Oui</x:v>
      </x:c>
      <x:c r="F60" s="220" t="str">
        <x:v>Oui</x:v>
      </x:c>
      <x:c r="G60" s="220" t="str">
        <x:v>Oui</x:v>
      </x:c>
      <x:c r="H60" s="220" t="str">
        <x:v>Oui</x:v>
      </x:c>
      <x:c r="I60" s="220" t="str">
        <x:v>Oui</x:v>
      </x:c>
      <x:c r="J60" s="219" t="n">
        <x:v>0</x:v>
      </x:c>
      <x:c r="K60" s="208" t="str">
        <x:v>Aucun témoin pour cette variante</x:v>
      </x:c>
      <x:c r="L60" s="208" t="str">
        <x:v>https://github.com/darknigthmare/deadwall-last-enclosure/blob/1b3b9c5ba232734b1bda3453b4e20a0481bcdd74/docs/codex/suivi-monde2026/campagne205-eligibilite.json</x:v>
      </x:c>
    </x:row>
    <x:row r="61" ht="64" customHeight="1">
      <x:c r="A61" s="208" t="str">
        <x:v>EXT-MONDE-T046-V06</x:v>
      </x:c>
      <x:c r="B61" s="208" t="str">
        <x:v>Camping caravanes</x:v>
      </x:c>
      <x:c r="C61" s="219" t="n">
        <x:v>6</x:v>
      </x:c>
      <x:c r="D61" s="208" t="str">
        <x:v>campaign205-046-06</x:v>
      </x:c>
      <x:c r="E61" s="220" t="str">
        <x:v>Oui</x:v>
      </x:c>
      <x:c r="F61" s="220" t="str">
        <x:v>Oui</x:v>
      </x:c>
      <x:c r="G61" s="220" t="str">
        <x:v>Oui</x:v>
      </x:c>
      <x:c r="H61" s="220" t="str">
        <x:v>Oui</x:v>
      </x:c>
      <x:c r="I61" s="220" t="str">
        <x:v>Oui</x:v>
      </x:c>
      <x:c r="J61" s="219" t="n">
        <x:v>0</x:v>
      </x:c>
      <x:c r="K61" s="208" t="str">
        <x:v>Aucun témoin pour cette variante</x:v>
      </x:c>
      <x:c r="L61" s="208" t="str">
        <x:v>https://github.com/darknigthmare/deadwall-last-enclosure/blob/1b3b9c5ba232734b1bda3453b4e20a0481bcdd74/docs/codex/suivi-monde2026/campagne205-eligibilite.json</x:v>
      </x:c>
    </x:row>
    <x:row r="62" ht="64" customHeight="1">
      <x:c r="A62" s="208" t="str">
        <x:v>EXT-MONDE-T046-V07</x:v>
      </x:c>
      <x:c r="B62" s="208" t="str">
        <x:v>Camping caravanes</x:v>
      </x:c>
      <x:c r="C62" s="219" t="n">
        <x:v>7</x:v>
      </x:c>
      <x:c r="D62" s="208" t="str">
        <x:v>campaign205-046-07</x:v>
      </x:c>
      <x:c r="E62" s="220" t="str">
        <x:v>Oui</x:v>
      </x:c>
      <x:c r="F62" s="220" t="str">
        <x:v>Oui</x:v>
      </x:c>
      <x:c r="G62" s="220" t="str">
        <x:v>Oui</x:v>
      </x:c>
      <x:c r="H62" s="220" t="str">
        <x:v>Oui</x:v>
      </x:c>
      <x:c r="I62" s="220" t="str">
        <x:v>Oui</x:v>
      </x:c>
      <x:c r="J62" s="219" t="n">
        <x:v>1</x:v>
      </x:c>
      <x:c r="K62" s="208" t="str">
        <x:v>1</x:v>
      </x:c>
      <x:c r="L62" s="208" t="str">
        <x:v>https://github.com/darknigthmare/deadwall-last-enclosure/blob/1b3b9c5ba232734b1bda3453b4e20a0481bcdd74/docs/codex/suivi-monde2026/campagne205-eligibilite.json</x:v>
      </x:c>
    </x:row>
    <x:row r="63" ht="64" customHeight="1">
      <x:c r="A63" s="208" t="str">
        <x:v>EXT-MONDE-T046-V08</x:v>
      </x:c>
      <x:c r="B63" s="208" t="str">
        <x:v>Camping caravanes</x:v>
      </x:c>
      <x:c r="C63" s="219" t="n">
        <x:v>8</x:v>
      </x:c>
      <x:c r="D63" s="208" t="str">
        <x:v>campaign205-046-08</x:v>
      </x:c>
      <x:c r="E63" s="220" t="str">
        <x:v>Oui</x:v>
      </x:c>
      <x:c r="F63" s="220" t="str">
        <x:v>Oui</x:v>
      </x:c>
      <x:c r="G63" s="220" t="str">
        <x:v>Oui</x:v>
      </x:c>
      <x:c r="H63" s="220" t="str">
        <x:v>Oui</x:v>
      </x:c>
      <x:c r="I63" s="220" t="str">
        <x:v>Oui</x:v>
      </x:c>
      <x:c r="J63" s="219" t="n">
        <x:v>1</x:v>
      </x:c>
      <x:c r="K63" s="208" t="str">
        <x:v>42</x:v>
      </x:c>
      <x:c r="L63" s="208" t="str">
        <x:v>https://github.com/darknigthmare/deadwall-last-enclosure/blob/1b3b9c5ba232734b1bda3453b4e20a0481bcdd74/docs/codex/suivi-monde2026/campagne205-eligibilite.json</x:v>
      </x:c>
    </x:row>
    <x:row r="64" ht="64" customHeight="1">
      <x:c r="A64" s="208" t="str">
        <x:v>EXT-MONDE-T046-V09</x:v>
      </x:c>
      <x:c r="B64" s="208" t="str">
        <x:v>Camping caravanes</x:v>
      </x:c>
      <x:c r="C64" s="219" t="n">
        <x:v>9</x:v>
      </x:c>
      <x:c r="D64" s="208" t="str">
        <x:v>campaign205-046-09</x:v>
      </x:c>
      <x:c r="E64" s="220" t="str">
        <x:v>Oui</x:v>
      </x:c>
      <x:c r="F64" s="220" t="str">
        <x:v>Oui</x:v>
      </x:c>
      <x:c r="G64" s="220" t="str">
        <x:v>Oui</x:v>
      </x:c>
      <x:c r="H64" s="220" t="str">
        <x:v>Oui</x:v>
      </x:c>
      <x:c r="I64" s="220" t="str">
        <x:v>Oui</x:v>
      </x:c>
      <x:c r="J64" s="219" t="n">
        <x:v>0</x:v>
      </x:c>
      <x:c r="K64" s="208" t="str">
        <x:v>Aucun témoin pour cette variante</x:v>
      </x:c>
      <x:c r="L64" s="208" t="str">
        <x:v>https://github.com/darknigthmare/deadwall-last-enclosure/blob/1b3b9c5ba232734b1bda3453b4e20a0481bcdd74/docs/codex/suivi-monde2026/campagne205-eligibilite.json</x:v>
      </x:c>
    </x:row>
    <x:row r="65" ht="64" customHeight="1">
      <x:c r="A65" s="208" t="str">
        <x:v>EXT-MONDE-T046-V10</x:v>
      </x:c>
      <x:c r="B65" s="208" t="str">
        <x:v>Camping caravanes</x:v>
      </x:c>
      <x:c r="C65" s="219" t="n">
        <x:v>10</x:v>
      </x:c>
      <x:c r="D65" s="208" t="str">
        <x:v>campaign205-046-10</x:v>
      </x:c>
      <x:c r="E65" s="220" t="str">
        <x:v>Oui</x:v>
      </x:c>
      <x:c r="F65" s="220" t="str">
        <x:v>Oui</x:v>
      </x:c>
      <x:c r="G65" s="220" t="str">
        <x:v>Oui</x:v>
      </x:c>
      <x:c r="H65" s="220" t="str">
        <x:v>Oui</x:v>
      </x:c>
      <x:c r="I65" s="220" t="str">
        <x:v>Oui</x:v>
      </x:c>
      <x:c r="J65" s="219" t="n">
        <x:v>0</x:v>
      </x:c>
      <x:c r="K65" s="208" t="str">
        <x:v>Aucun témoin pour cette variante</x:v>
      </x:c>
      <x:c r="L65" s="208" t="str">
        <x:v>https://github.com/darknigthmare/deadwall-last-enclosure/blob/1b3b9c5ba232734b1bda3453b4e20a0481bcdd74/docs/codex/suivi-monde2026/campagne205-eligibilite.json</x:v>
      </x:c>
    </x:row>
    <x:row r="66" ht="64" customHeight="1">
      <x:c r="A66" s="208" t="str">
        <x:v>EXT-MONDE-T046-V11</x:v>
      </x:c>
      <x:c r="B66" s="208" t="str">
        <x:v>Camping caravanes</x:v>
      </x:c>
      <x:c r="C66" s="219" t="n">
        <x:v>11</x:v>
      </x:c>
      <x:c r="D66" s="208" t="str">
        <x:v>campaign205-046-11</x:v>
      </x:c>
      <x:c r="E66" s="220" t="str">
        <x:v>Oui</x:v>
      </x:c>
      <x:c r="F66" s="220" t="str">
        <x:v>Oui</x:v>
      </x:c>
      <x:c r="G66" s="220" t="str">
        <x:v>Oui</x:v>
      </x:c>
      <x:c r="H66" s="220" t="str">
        <x:v>Oui</x:v>
      </x:c>
      <x:c r="I66" s="220" t="str">
        <x:v>Oui</x:v>
      </x:c>
      <x:c r="J66" s="219" t="n">
        <x:v>0</x:v>
      </x:c>
      <x:c r="K66" s="208" t="str">
        <x:v>Aucun témoin pour cette variante</x:v>
      </x:c>
      <x:c r="L66" s="208" t="str">
        <x:v>https://github.com/darknigthmare/deadwall-last-enclosure/blob/1b3b9c5ba232734b1bda3453b4e20a0481bcdd74/docs/codex/suivi-monde2026/campagne205-eligibilite.json</x:v>
      </x:c>
    </x:row>
    <x:row r="67" ht="64" customHeight="1">
      <x:c r="A67" s="208" t="str">
        <x:v>EXT-MONDE-T046-V12</x:v>
      </x:c>
      <x:c r="B67" s="208" t="str">
        <x:v>Camping caravanes</x:v>
      </x:c>
      <x:c r="C67" s="219" t="n">
        <x:v>12</x:v>
      </x:c>
      <x:c r="D67" s="208" t="str">
        <x:v>campaign205-046-12</x:v>
      </x:c>
      <x:c r="E67" s="220" t="str">
        <x:v>Oui</x:v>
      </x:c>
      <x:c r="F67" s="220" t="str">
        <x:v>Oui</x:v>
      </x:c>
      <x:c r="G67" s="220" t="str">
        <x:v>Oui</x:v>
      </x:c>
      <x:c r="H67" s="220" t="str">
        <x:v>Oui</x:v>
      </x:c>
      <x:c r="I67" s="220" t="str">
        <x:v>Oui</x:v>
      </x:c>
      <x:c r="J67" s="219" t="n">
        <x:v>1</x:v>
      </x:c>
      <x:c r="K67" s="208" t="str">
        <x:v>0</x:v>
      </x:c>
      <x:c r="L67" s="208" t="str">
        <x:v>https://github.com/darknigthmare/deadwall-last-enclosure/blob/1b3b9c5ba232734b1bda3453b4e20a0481bcdd74/docs/codex/suivi-monde2026/campagne205-eligibilite.json</x:v>
      </x:c>
    </x:row>
    <x:row r="68" ht="64" customHeight="1">
      <x:c r="A68" s="208" t="str">
        <x:v>EXT-MONDE-T046-V13</x:v>
      </x:c>
      <x:c r="B68" s="208" t="str">
        <x:v>Camping caravanes</x:v>
      </x:c>
      <x:c r="C68" s="219" t="n">
        <x:v>13</x:v>
      </x:c>
      <x:c r="D68" s="208" t="str">
        <x:v>campaign205-046-13</x:v>
      </x:c>
      <x:c r="E68" s="220" t="str">
        <x:v>Oui</x:v>
      </x:c>
      <x:c r="F68" s="220" t="str">
        <x:v>Oui</x:v>
      </x:c>
      <x:c r="G68" s="220" t="str">
        <x:v>Oui</x:v>
      </x:c>
      <x:c r="H68" s="220" t="str">
        <x:v>Oui</x:v>
      </x:c>
      <x:c r="I68" s="220" t="str">
        <x:v>Oui</x:v>
      </x:c>
      <x:c r="J68" s="219" t="n">
        <x:v>0</x:v>
      </x:c>
      <x:c r="K68" s="208" t="str">
        <x:v>Aucun témoin pour cette variante</x:v>
      </x:c>
      <x:c r="L68" s="208" t="str">
        <x:v>https://github.com/darknigthmare/deadwall-last-enclosure/blob/1b3b9c5ba232734b1bda3453b4e20a0481bcdd74/docs/codex/suivi-monde2026/campagne205-eligibilite.json</x:v>
      </x:c>
    </x:row>
    <x:row r="69" ht="64" customHeight="1">
      <x:c r="A69" s="208" t="str">
        <x:v>EXT-MONDE-T046-V14</x:v>
      </x:c>
      <x:c r="B69" s="208" t="str">
        <x:v>Camping caravanes</x:v>
      </x:c>
      <x:c r="C69" s="219" t="n">
        <x:v>14</x:v>
      </x:c>
      <x:c r="D69" s="208" t="str">
        <x:v>campaign205-046-14</x:v>
      </x:c>
      <x:c r="E69" s="220" t="str">
        <x:v>Oui</x:v>
      </x:c>
      <x:c r="F69" s="220" t="str">
        <x:v>Oui</x:v>
      </x:c>
      <x:c r="G69" s="220" t="str">
        <x:v>Oui</x:v>
      </x:c>
      <x:c r="H69" s="220" t="str">
        <x:v>Oui</x:v>
      </x:c>
      <x:c r="I69" s="220" t="str">
        <x:v>Oui</x:v>
      </x:c>
      <x:c r="J69" s="219" t="n">
        <x:v>0</x:v>
      </x:c>
      <x:c r="K69" s="208" t="str">
        <x:v>Aucun témoin pour cette variante</x:v>
      </x:c>
      <x:c r="L69" s="208" t="str">
        <x:v>https://github.com/darknigthmare/deadwall-last-enclosure/blob/1b3b9c5ba232734b1bda3453b4e20a0481bcdd74/docs/codex/suivi-monde2026/campagne205-eligibilite.json</x:v>
      </x:c>
    </x:row>
    <x:row r="70" ht="64" customHeight="1">
      <x:c r="A70" s="208" t="str">
        <x:v>EXT-MONDE-T046-V15</x:v>
      </x:c>
      <x:c r="B70" s="208" t="str">
        <x:v>Camping caravanes</x:v>
      </x:c>
      <x:c r="C70" s="219" t="n">
        <x:v>15</x:v>
      </x:c>
      <x:c r="D70" s="208" t="str">
        <x:v>campaign205-046-15</x:v>
      </x:c>
      <x:c r="E70" s="220" t="str">
        <x:v>Oui</x:v>
      </x:c>
      <x:c r="F70" s="220" t="str">
        <x:v>Oui</x:v>
      </x:c>
      <x:c r="G70" s="220" t="str">
        <x:v>Oui</x:v>
      </x:c>
      <x:c r="H70" s="220" t="str">
        <x:v>Oui</x:v>
      </x:c>
      <x:c r="I70" s="220" t="str">
        <x:v>Oui</x:v>
      </x:c>
      <x:c r="J70" s="219" t="n">
        <x:v>0</x:v>
      </x:c>
      <x:c r="K70" s="208" t="str">
        <x:v>Aucun témoin pour cette variante</x:v>
      </x:c>
      <x:c r="L70" s="208" t="str">
        <x:v>https://github.com/darknigthmare/deadwall-last-enclosure/blob/1b3b9c5ba232734b1bda3453b4e20a0481bcdd74/docs/codex/suivi-monde2026/campagne205-eligibilite.json</x:v>
      </x:c>
    </x:row>
    <x:row r="71" ht="64" customHeight="1">
      <x:c r="A71" s="208" t="str">
        <x:v>EXT-MONDE-T046-V16</x:v>
      </x:c>
      <x:c r="B71" s="208" t="str">
        <x:v>Camping caravanes</x:v>
      </x:c>
      <x:c r="C71" s="219" t="n">
        <x:v>16</x:v>
      </x:c>
      <x:c r="D71" s="208" t="str">
        <x:v>campaign205-046-16</x:v>
      </x:c>
      <x:c r="E71" s="220" t="str">
        <x:v>Oui</x:v>
      </x:c>
      <x:c r="F71" s="220" t="str">
        <x:v>Oui</x:v>
      </x:c>
      <x:c r="G71" s="220" t="str">
        <x:v>Oui</x:v>
      </x:c>
      <x:c r="H71" s="220" t="str">
        <x:v>Oui</x:v>
      </x:c>
      <x:c r="I71" s="220" t="str">
        <x:v>Oui</x:v>
      </x:c>
      <x:c r="J71" s="219" t="n">
        <x:v>1</x:v>
      </x:c>
      <x:c r="K71" s="208" t="str">
        <x:v>84329</x:v>
      </x:c>
      <x:c r="L71" s="208" t="str">
        <x:v>https://github.com/darknigthmare/deadwall-last-enclosure/blob/1b3b9c5ba232734b1bda3453b4e20a0481bcdd74/docs/codex/suivi-monde2026/campagne205-eligibilite.json</x:v>
      </x:c>
    </x:row>
    <x:row r="72" ht="64" customHeight="1">
      <x:c r="A72" s="208" t="str">
        <x:v>EXT-MONDE-T046-V17</x:v>
      </x:c>
      <x:c r="B72" s="208" t="str">
        <x:v>Camping caravanes</x:v>
      </x:c>
      <x:c r="C72" s="219" t="n">
        <x:v>17</x:v>
      </x:c>
      <x:c r="D72" s="208" t="str">
        <x:v>campaign205-046-17</x:v>
      </x:c>
      <x:c r="E72" s="220" t="str">
        <x:v>Oui</x:v>
      </x:c>
      <x:c r="F72" s="220" t="str">
        <x:v>Oui</x:v>
      </x:c>
      <x:c r="G72" s="220" t="str">
        <x:v>Oui</x:v>
      </x:c>
      <x:c r="H72" s="220" t="str">
        <x:v>Oui</x:v>
      </x:c>
      <x:c r="I72" s="220" t="str">
        <x:v>Oui</x:v>
      </x:c>
      <x:c r="J72" s="219" t="n">
        <x:v>1</x:v>
      </x:c>
      <x:c r="K72" s="208" t="str">
        <x:v>84329</x:v>
      </x:c>
      <x:c r="L72" s="208" t="str">
        <x:v>https://github.com/darknigthmare/deadwall-last-enclosure/blob/1b3b9c5ba232734b1bda3453b4e20a0481bcdd74/docs/codex/suivi-monde2026/campagne205-eligibilite.json</x:v>
      </x:c>
    </x:row>
    <x:row r="73" ht="64" customHeight="1">
      <x:c r="A73" s="208" t="str">
        <x:v>EXT-MONDE-T046-V18</x:v>
      </x:c>
      <x:c r="B73" s="208" t="str">
        <x:v>Camping caravanes</x:v>
      </x:c>
      <x:c r="C73" s="219" t="n">
        <x:v>18</x:v>
      </x:c>
      <x:c r="D73" s="208" t="str">
        <x:v>campaign205-046-18</x:v>
      </x:c>
      <x:c r="E73" s="220" t="str">
        <x:v>Oui</x:v>
      </x:c>
      <x:c r="F73" s="220" t="str">
        <x:v>Oui</x:v>
      </x:c>
      <x:c r="G73" s="220" t="str">
        <x:v>Oui</x:v>
      </x:c>
      <x:c r="H73" s="220" t="str">
        <x:v>Oui</x:v>
      </x:c>
      <x:c r="I73" s="220" t="str">
        <x:v>Oui</x:v>
      </x:c>
      <x:c r="J73" s="219" t="n">
        <x:v>0</x:v>
      </x:c>
      <x:c r="K73" s="208" t="str">
        <x:v>Aucun témoin pour cette variante</x:v>
      </x:c>
      <x:c r="L73" s="208" t="str">
        <x:v>https://github.com/darknigthmare/deadwall-last-enclosure/blob/1b3b9c5ba232734b1bda3453b4e20a0481bcdd74/docs/codex/suivi-monde2026/campagne205-eligibilite.json</x:v>
      </x:c>
    </x:row>
    <x:row r="74" ht="64" customHeight="1">
      <x:c r="A74" s="208" t="str">
        <x:v>EXT-MONDE-T046-V19</x:v>
      </x:c>
      <x:c r="B74" s="208" t="str">
        <x:v>Camping caravanes</x:v>
      </x:c>
      <x:c r="C74" s="219" t="n">
        <x:v>19</x:v>
      </x:c>
      <x:c r="D74" s="208" t="str">
        <x:v>campaign205-046-19</x:v>
      </x:c>
      <x:c r="E74" s="220" t="str">
        <x:v>Oui</x:v>
      </x:c>
      <x:c r="F74" s="220" t="str">
        <x:v>Oui</x:v>
      </x:c>
      <x:c r="G74" s="220" t="str">
        <x:v>Oui</x:v>
      </x:c>
      <x:c r="H74" s="220" t="str">
        <x:v>Oui</x:v>
      </x:c>
      <x:c r="I74" s="220" t="str">
        <x:v>Oui</x:v>
      </x:c>
      <x:c r="J74" s="219" t="n">
        <x:v>1</x:v>
      </x:c>
      <x:c r="K74" s="208" t="str">
        <x:v>967313470</x:v>
      </x:c>
      <x:c r="L74" s="208" t="str">
        <x:v>https://github.com/darknigthmare/deadwall-last-enclosure/blob/1b3b9c5ba232734b1bda3453b4e20a0481bcdd74/docs/codex/suivi-monde2026/campagne205-eligibilite.json</x:v>
      </x:c>
    </x:row>
    <x:row r="75" ht="64" customHeight="1">
      <x:c r="A75" s="208" t="str">
        <x:v>EXT-MONDE-T046-V20</x:v>
      </x:c>
      <x:c r="B75" s="208" t="str">
        <x:v>Camping caravanes</x:v>
      </x:c>
      <x:c r="C75" s="219" t="n">
        <x:v>20</x:v>
      </x:c>
      <x:c r="D75" s="208" t="str">
        <x:v>campaign205-046-20</x:v>
      </x:c>
      <x:c r="E75" s="220" t="str">
        <x:v>Oui</x:v>
      </x:c>
      <x:c r="F75" s="220" t="str">
        <x:v>Oui</x:v>
      </x:c>
      <x:c r="G75" s="220" t="str">
        <x:v>Oui</x:v>
      </x:c>
      <x:c r="H75" s="220" t="str">
        <x:v>Oui</x:v>
      </x:c>
      <x:c r="I75" s="220" t="str">
        <x:v>Oui</x:v>
      </x:c>
      <x:c r="J75" s="219" t="n">
        <x:v>1</x:v>
      </x:c>
      <x:c r="K75" s="208" t="str">
        <x:v>1947648717</x:v>
      </x:c>
      <x:c r="L75" s="208" t="str">
        <x:v>https://github.com/darknigthmare/deadwall-last-enclosure/blob/1b3b9c5ba232734b1bda3453b4e20a0481bcdd74/docs/codex/suivi-monde2026/campagne205-eligibilite.json</x:v>
      </x:c>
    </x:row>
    <x:row r="76" ht="64" customHeight="1">
      <x:c r="A76" s="208" t="str">
        <x:v>EXT-MONDE-T046-V21</x:v>
      </x:c>
      <x:c r="B76" s="208" t="str">
        <x:v>Camping caravanes</x:v>
      </x:c>
      <x:c r="C76" s="219" t="n">
        <x:v>21</x:v>
      </x:c>
      <x:c r="D76" s="208" t="str">
        <x:v>campaign205-046-21</x:v>
      </x:c>
      <x:c r="E76" s="220" t="str">
        <x:v>Oui</x:v>
      </x:c>
      <x:c r="F76" s="220" t="str">
        <x:v>Oui</x:v>
      </x:c>
      <x:c r="G76" s="220" t="str">
        <x:v>Oui</x:v>
      </x:c>
      <x:c r="H76" s="220" t="str">
        <x:v>Oui</x:v>
      </x:c>
      <x:c r="I76" s="220" t="str">
        <x:v>Oui</x:v>
      </x:c>
      <x:c r="J76" s="219" t="n">
        <x:v>0</x:v>
      </x:c>
      <x:c r="K76" s="208" t="str">
        <x:v>Aucun témoin pour cette variante</x:v>
      </x:c>
      <x:c r="L76" s="208" t="str">
        <x:v>https://github.com/darknigthmare/deadwall-last-enclosure/blob/1b3b9c5ba232734b1bda3453b4e20a0481bcdd74/docs/codex/suivi-monde2026/campagne205-eligibilite.json</x:v>
      </x:c>
    </x:row>
    <x:row r="77" ht="64" customHeight="1">
      <x:c r="A77" s="208" t="str">
        <x:v>EXT-MONDE-T046-V22</x:v>
      </x:c>
      <x:c r="B77" s="208" t="str">
        <x:v>Camping caravanes</x:v>
      </x:c>
      <x:c r="C77" s="219" t="n">
        <x:v>22</x:v>
      </x:c>
      <x:c r="D77" s="208" t="str">
        <x:v>campaign205-046-22</x:v>
      </x:c>
      <x:c r="E77" s="220" t="str">
        <x:v>Oui</x:v>
      </x:c>
      <x:c r="F77" s="220" t="str">
        <x:v>Oui</x:v>
      </x:c>
      <x:c r="G77" s="220" t="str">
        <x:v>Oui</x:v>
      </x:c>
      <x:c r="H77" s="220" t="str">
        <x:v>Oui</x:v>
      </x:c>
      <x:c r="I77" s="220" t="str">
        <x:v>Oui</x:v>
      </x:c>
      <x:c r="J77" s="219" t="n">
        <x:v>0</x:v>
      </x:c>
      <x:c r="K77" s="208" t="str">
        <x:v>Aucun témoin pour cette variante</x:v>
      </x:c>
      <x:c r="L77" s="208" t="str">
        <x:v>https://github.com/darknigthmare/deadwall-last-enclosure/blob/1b3b9c5ba232734b1bda3453b4e20a0481bcdd74/docs/codex/suivi-monde2026/campagne205-eligibilite.json</x:v>
      </x:c>
    </x:row>
    <x:row r="78" ht="64" customHeight="1">
      <x:c r="A78" s="208" t="str">
        <x:v>EXT-MONDE-T046-V23</x:v>
      </x:c>
      <x:c r="B78" s="208" t="str">
        <x:v>Camping caravanes</x:v>
      </x:c>
      <x:c r="C78" s="219" t="n">
        <x:v>23</x:v>
      </x:c>
      <x:c r="D78" s="208" t="str">
        <x:v>campaign205-046-23</x:v>
      </x:c>
      <x:c r="E78" s="220" t="str">
        <x:v>Oui</x:v>
      </x:c>
      <x:c r="F78" s="220" t="str">
        <x:v>Oui</x:v>
      </x:c>
      <x:c r="G78" s="220" t="str">
        <x:v>Oui</x:v>
      </x:c>
      <x:c r="H78" s="220" t="str">
        <x:v>Oui</x:v>
      </x:c>
      <x:c r="I78" s="220" t="str">
        <x:v>Oui</x:v>
      </x:c>
      <x:c r="J78" s="219" t="n">
        <x:v>0</x:v>
      </x:c>
      <x:c r="K78" s="208" t="str">
        <x:v>Aucun témoin pour cette variante</x:v>
      </x:c>
      <x:c r="L78" s="208" t="str">
        <x:v>https://github.com/darknigthmare/deadwall-last-enclosure/blob/1b3b9c5ba232734b1bda3453b4e20a0481bcdd74/docs/codex/suivi-monde2026/campagne205-eligibilite.json</x:v>
      </x:c>
    </x:row>
    <x:row r="79" ht="64" customHeight="1">
      <x:c r="A79" s="208" t="str">
        <x:v>EXT-MONDE-T046-V24</x:v>
      </x:c>
      <x:c r="B79" s="208" t="str">
        <x:v>Camping caravanes</x:v>
      </x:c>
      <x:c r="C79" s="219" t="n">
        <x:v>24</x:v>
      </x:c>
      <x:c r="D79" s="208" t="str">
        <x:v>campaign205-046-24</x:v>
      </x:c>
      <x:c r="E79" s="220" t="str">
        <x:v>Oui</x:v>
      </x:c>
      <x:c r="F79" s="220" t="str">
        <x:v>Oui</x:v>
      </x:c>
      <x:c r="G79" s="220" t="str">
        <x:v>Oui</x:v>
      </x:c>
      <x:c r="H79" s="220" t="str">
        <x:v>Oui</x:v>
      </x:c>
      <x:c r="I79" s="220" t="str">
        <x:v>Oui</x:v>
      </x:c>
      <x:c r="J79" s="219" t="n">
        <x:v>0</x:v>
      </x:c>
      <x:c r="K79" s="208" t="str">
        <x:v>Aucun témoin pour cette variante</x:v>
      </x:c>
      <x:c r="L79" s="208" t="str">
        <x:v>https://github.com/darknigthmare/deadwall-last-enclosure/blob/1b3b9c5ba232734b1bda3453b4e20a0481bcdd74/docs/codex/suivi-monde2026/campagne205-eligibilite.json</x:v>
      </x:c>
    </x:row>
    <x:row r="80" ht="64" customHeight="1">
      <x:c r="A80" s="208" t="str">
        <x:v>EXT-MONDE-T046-V25</x:v>
      </x:c>
      <x:c r="B80" s="208" t="str">
        <x:v>Camping caravanes</x:v>
      </x:c>
      <x:c r="C80" s="219" t="n">
        <x:v>25</x:v>
      </x:c>
      <x:c r="D80" s="208" t="str">
        <x:v>campaign205-046-25</x:v>
      </x:c>
      <x:c r="E80" s="220" t="str">
        <x:v>Oui</x:v>
      </x:c>
      <x:c r="F80" s="220" t="str">
        <x:v>Oui</x:v>
      </x:c>
      <x:c r="G80" s="220" t="str">
        <x:v>Oui</x:v>
      </x:c>
      <x:c r="H80" s="220" t="str">
        <x:v>Oui</x:v>
      </x:c>
      <x:c r="I80" s="220" t="str">
        <x:v>Oui</x:v>
      </x:c>
      <x:c r="J80" s="219" t="n">
        <x:v>0</x:v>
      </x:c>
      <x:c r="K80" s="208" t="str">
        <x:v>Aucun témoin pour cette variante</x:v>
      </x:c>
      <x:c r="L80" s="208" t="str">
        <x:v>https://github.com/darknigthmare/deadwall-last-enclosure/blob/1b3b9c5ba232734b1bda3453b4e20a0481bcdd74/docs/codex/suivi-monde2026/campagne205-eligibilite.json</x:v>
      </x:c>
    </x:row>
    <x:row r="81" ht="64" customHeight="1">
      <x:c r="A81" s="208" t="str">
        <x:v>EXT-MONDE-T046-V26</x:v>
      </x:c>
      <x:c r="B81" s="208" t="str">
        <x:v>Camping caravanes</x:v>
      </x:c>
      <x:c r="C81" s="219" t="n">
        <x:v>26</x:v>
      </x:c>
      <x:c r="D81" s="208" t="str">
        <x:v>campaign205-046-26</x:v>
      </x:c>
      <x:c r="E81" s="220" t="str">
        <x:v>Oui</x:v>
      </x:c>
      <x:c r="F81" s="220" t="str">
        <x:v>Oui</x:v>
      </x:c>
      <x:c r="G81" s="220" t="str">
        <x:v>Oui</x:v>
      </x:c>
      <x:c r="H81" s="220" t="str">
        <x:v>Oui</x:v>
      </x:c>
      <x:c r="I81" s="220" t="str">
        <x:v>Oui</x:v>
      </x:c>
      <x:c r="J81" s="219" t="n">
        <x:v>1</x:v>
      </x:c>
      <x:c r="K81" s="208" t="str">
        <x:v>1947648717</x:v>
      </x:c>
      <x:c r="L81" s="208" t="str">
        <x:v>https://github.com/darknigthmare/deadwall-last-enclosure/blob/1b3b9c5ba232734b1bda3453b4e20a0481bcdd74/docs/codex/suivi-monde2026/campagne205-eligibilite.json</x:v>
      </x:c>
    </x:row>
    <x:row r="82" ht="64" customHeight="1">
      <x:c r="A82" s="208" t="str">
        <x:v>EXT-MONDE-T046-V27</x:v>
      </x:c>
      <x:c r="B82" s="208" t="str">
        <x:v>Camping caravanes</x:v>
      </x:c>
      <x:c r="C82" s="219" t="n">
        <x:v>27</x:v>
      </x:c>
      <x:c r="D82" s="208" t="str">
        <x:v>campaign205-046-27</x:v>
      </x:c>
      <x:c r="E82" s="220" t="str">
        <x:v>Oui</x:v>
      </x:c>
      <x:c r="F82" s="220" t="str">
        <x:v>Oui</x:v>
      </x:c>
      <x:c r="G82" s="220" t="str">
        <x:v>Oui</x:v>
      </x:c>
      <x:c r="H82" s="220" t="str">
        <x:v>Oui</x:v>
      </x:c>
      <x:c r="I82" s="220" t="str">
        <x:v>Oui</x:v>
      </x:c>
      <x:c r="J82" s="219" t="n">
        <x:v>0</x:v>
      </x:c>
      <x:c r="K82" s="208" t="str">
        <x:v>Aucun témoin pour cette variante</x:v>
      </x:c>
      <x:c r="L82" s="208" t="str">
        <x:v>https://github.com/darknigthmare/deadwall-last-enclosure/blob/1b3b9c5ba232734b1bda3453b4e20a0481bcdd74/docs/codex/suivi-monde2026/campagne205-eligibilite.json</x:v>
      </x:c>
    </x:row>
    <x:row r="83" ht="64" customHeight="1">
      <x:c r="A83" s="208" t="str">
        <x:v>EXT-MONDE-T046-V28</x:v>
      </x:c>
      <x:c r="B83" s="208" t="str">
        <x:v>Camping caravanes</x:v>
      </x:c>
      <x:c r="C83" s="219" t="n">
        <x:v>28</x:v>
      </x:c>
      <x:c r="D83" s="208" t="str">
        <x:v>campaign205-046-28</x:v>
      </x:c>
      <x:c r="E83" s="220" t="str">
        <x:v>Oui</x:v>
      </x:c>
      <x:c r="F83" s="220" t="str">
        <x:v>Oui</x:v>
      </x:c>
      <x:c r="G83" s="220" t="str">
        <x:v>Oui</x:v>
      </x:c>
      <x:c r="H83" s="220" t="str">
        <x:v>Oui</x:v>
      </x:c>
      <x:c r="I83" s="220" t="str">
        <x:v>Oui</x:v>
      </x:c>
      <x:c r="J83" s="219" t="n">
        <x:v>0</x:v>
      </x:c>
      <x:c r="K83" s="208" t="str">
        <x:v>Aucun témoin pour cette variante</x:v>
      </x:c>
      <x:c r="L83" s="208" t="str">
        <x:v>https://github.com/darknigthmare/deadwall-last-enclosure/blob/1b3b9c5ba232734b1bda3453b4e20a0481bcdd74/docs/codex/suivi-monde2026/campagne205-eligibilite.json</x:v>
      </x:c>
    </x:row>
    <x:row r="84" ht="64" customHeight="1">
      <x:c r="A84" s="208" t="str">
        <x:v>EXT-MONDE-T046-V29</x:v>
      </x:c>
      <x:c r="B84" s="208" t="str">
        <x:v>Camping caravanes</x:v>
      </x:c>
      <x:c r="C84" s="219" t="n">
        <x:v>29</x:v>
      </x:c>
      <x:c r="D84" s="208" t="str">
        <x:v>campaign205-046-29</x:v>
      </x:c>
      <x:c r="E84" s="220" t="str">
        <x:v>Oui</x:v>
      </x:c>
      <x:c r="F84" s="220" t="str">
        <x:v>Oui</x:v>
      </x:c>
      <x:c r="G84" s="220" t="str">
        <x:v>Oui</x:v>
      </x:c>
      <x:c r="H84" s="220" t="str">
        <x:v>Oui</x:v>
      </x:c>
      <x:c r="I84" s="220" t="str">
        <x:v>Oui</x:v>
      </x:c>
      <x:c r="J84" s="219" t="n">
        <x:v>0</x:v>
      </x:c>
      <x:c r="K84" s="208" t="str">
        <x:v>Aucun témoin pour cette variante</x:v>
      </x:c>
      <x:c r="L84" s="208" t="str">
        <x:v>https://github.com/darknigthmare/deadwall-last-enclosure/blob/1b3b9c5ba232734b1bda3453b4e20a0481bcdd74/docs/codex/suivi-monde2026/campagne205-eligibilite.json</x:v>
      </x:c>
    </x:row>
    <x:row r="85" ht="64" customHeight="1">
      <x:c r="A85" s="208" t="str">
        <x:v>EXT-MONDE-T046-V30</x:v>
      </x:c>
      <x:c r="B85" s="208" t="str">
        <x:v>Camping caravanes</x:v>
      </x:c>
      <x:c r="C85" s="219" t="n">
        <x:v>30</x:v>
      </x:c>
      <x:c r="D85" s="208" t="str">
        <x:v>campaign205-046-30</x:v>
      </x:c>
      <x:c r="E85" s="220" t="str">
        <x:v>Oui</x:v>
      </x:c>
      <x:c r="F85" s="220" t="str">
        <x:v>Oui</x:v>
      </x:c>
      <x:c r="G85" s="220" t="str">
        <x:v>Oui</x:v>
      </x:c>
      <x:c r="H85" s="220" t="str">
        <x:v>Oui</x:v>
      </x:c>
      <x:c r="I85" s="220" t="str">
        <x:v>Oui</x:v>
      </x:c>
      <x:c r="J85" s="219" t="n">
        <x:v>0</x:v>
      </x:c>
      <x:c r="K85" s="208" t="str">
        <x:v>Aucun témoin pour cette variante</x:v>
      </x:c>
      <x:c r="L85" s="208" t="str">
        <x:v>https://github.com/darknigthmare/deadwall-last-enclosure/blob/1b3b9c5ba232734b1bda3453b4e20a0481bcdd74/docs/codex/suivi-monde2026/campagne205-eligibilite.json</x:v>
      </x:c>
    </x:row>
    <x:row r="86" ht="64" customHeight="1">
      <x:c r="A86" s="208" t="str">
        <x:v>EXT-MONDE-T046-V31</x:v>
      </x:c>
      <x:c r="B86" s="208" t="str">
        <x:v>Camping caravanes</x:v>
      </x:c>
      <x:c r="C86" s="219" t="n">
        <x:v>31</x:v>
      </x:c>
      <x:c r="D86" s="208" t="str">
        <x:v>campaign205-046-31</x:v>
      </x:c>
      <x:c r="E86" s="220" t="str">
        <x:v>Oui</x:v>
      </x:c>
      <x:c r="F86" s="220" t="str">
        <x:v>Oui</x:v>
      </x:c>
      <x:c r="G86" s="220" t="str">
        <x:v>Oui</x:v>
      </x:c>
      <x:c r="H86" s="220" t="str">
        <x:v>Oui</x:v>
      </x:c>
      <x:c r="I86" s="220" t="str">
        <x:v>Oui</x:v>
      </x:c>
      <x:c r="J86" s="219" t="n">
        <x:v>1</x:v>
      </x:c>
      <x:c r="K86" s="208" t="str">
        <x:v>17117</x:v>
      </x:c>
      <x:c r="L86" s="208" t="str">
        <x:v>https://github.com/darknigthmare/deadwall-last-enclosure/blob/1b3b9c5ba232734b1bda3453b4e20a0481bcdd74/docs/codex/suivi-monde2026/campagne205-eligibilite.json</x:v>
      </x:c>
    </x:row>
    <x:row r="87" ht="64" customHeight="1">
      <x:c r="A87" s="208" t="str">
        <x:v>EXT-MONDE-T046-V32</x:v>
      </x:c>
      <x:c r="B87" s="208" t="str">
        <x:v>Camping caravanes</x:v>
      </x:c>
      <x:c r="C87" s="219" t="n">
        <x:v>32</x:v>
      </x:c>
      <x:c r="D87" s="208" t="str">
        <x:v>campaign205-046-32</x:v>
      </x:c>
      <x:c r="E87" s="220" t="str">
        <x:v>Oui</x:v>
      </x:c>
      <x:c r="F87" s="220" t="str">
        <x:v>Oui</x:v>
      </x:c>
      <x:c r="G87" s="220" t="str">
        <x:v>Oui</x:v>
      </x:c>
      <x:c r="H87" s="220" t="str">
        <x:v>Oui</x:v>
      </x:c>
      <x:c r="I87" s="220" t="str">
        <x:v>Oui</x:v>
      </x:c>
      <x:c r="J87" s="219" t="n">
        <x:v>0</x:v>
      </x:c>
      <x:c r="K87" s="208" t="str">
        <x:v>Aucun témoin pour cette variante</x:v>
      </x:c>
      <x:c r="L87" s="208" t="str">
        <x:v>https://github.com/darknigthmare/deadwall-last-enclosure/blob/1b3b9c5ba232734b1bda3453b4e20a0481bcdd74/docs/codex/suivi-monde2026/campagne205-eligibilite.json</x:v>
      </x:c>
    </x:row>
    <x:row r="88" ht="64" customHeight="1">
      <x:c r="A88" s="208" t="str">
        <x:v>EXT-MONDE-T046-V33</x:v>
      </x:c>
      <x:c r="B88" s="208" t="str">
        <x:v>Camping caravanes</x:v>
      </x:c>
      <x:c r="C88" s="219" t="n">
        <x:v>33</x:v>
      </x:c>
      <x:c r="D88" s="208" t="str">
        <x:v>campaign205-046-33</x:v>
      </x:c>
      <x:c r="E88" s="220" t="str">
        <x:v>Oui</x:v>
      </x:c>
      <x:c r="F88" s="220" t="str">
        <x:v>Oui</x:v>
      </x:c>
      <x:c r="G88" s="220" t="str">
        <x:v>Oui</x:v>
      </x:c>
      <x:c r="H88" s="220" t="str">
        <x:v>Oui</x:v>
      </x:c>
      <x:c r="I88" s="220" t="str">
        <x:v>Oui</x:v>
      </x:c>
      <x:c r="J88" s="219" t="n">
        <x:v>0</x:v>
      </x:c>
      <x:c r="K88" s="208" t="str">
        <x:v>Aucun témoin pour cette variante</x:v>
      </x:c>
      <x:c r="L88" s="208" t="str">
        <x:v>https://github.com/darknigthmare/deadwall-last-enclosure/blob/1b3b9c5ba232734b1bda3453b4e20a0481bcdd74/docs/codex/suivi-monde2026/campagne205-eligibilite.json</x:v>
      </x:c>
    </x:row>
    <x:row r="89" ht="64" customHeight="1">
      <x:c r="A89" s="208" t="str">
        <x:v>EXT-MONDE-T046-V34</x:v>
      </x:c>
      <x:c r="B89" s="208" t="str">
        <x:v>Camping caravanes</x:v>
      </x:c>
      <x:c r="C89" s="219" t="n">
        <x:v>34</x:v>
      </x:c>
      <x:c r="D89" s="208" t="str">
        <x:v>campaign205-046-34</x:v>
      </x:c>
      <x:c r="E89" s="220" t="str">
        <x:v>Oui</x:v>
      </x:c>
      <x:c r="F89" s="220" t="str">
        <x:v>Oui</x:v>
      </x:c>
      <x:c r="G89" s="220" t="str">
        <x:v>Oui</x:v>
      </x:c>
      <x:c r="H89" s="220" t="str">
        <x:v>Oui</x:v>
      </x:c>
      <x:c r="I89" s="220" t="str">
        <x:v>Oui</x:v>
      </x:c>
      <x:c r="J89" s="219" t="n">
        <x:v>2</x:v>
      </x:c>
      <x:c r="K89" s="208" t="str">
        <x:v>1, 42</x:v>
      </x:c>
      <x:c r="L89" s="208" t="str">
        <x:v>https://github.com/darknigthmare/deadwall-last-enclosure/blob/1b3b9c5ba232734b1bda3453b4e20a0481bcdd74/docs/codex/suivi-monde2026/campagne205-eligibilite.json</x:v>
      </x:c>
    </x:row>
    <x:row r="90" ht="64" customHeight="1">
      <x:c r="A90" s="208" t="str">
        <x:v>EXT-MONDE-T046-V35</x:v>
      </x:c>
      <x:c r="B90" s="208" t="str">
        <x:v>Camping caravanes</x:v>
      </x:c>
      <x:c r="C90" s="219" t="n">
        <x:v>35</x:v>
      </x:c>
      <x:c r="D90" s="208" t="str">
        <x:v>campaign205-046-35</x:v>
      </x:c>
      <x:c r="E90" s="220" t="str">
        <x:v>Oui</x:v>
      </x:c>
      <x:c r="F90" s="220" t="str">
        <x:v>Oui</x:v>
      </x:c>
      <x:c r="G90" s="220" t="str">
        <x:v>Oui</x:v>
      </x:c>
      <x:c r="H90" s="220" t="str">
        <x:v>Oui</x:v>
      </x:c>
      <x:c r="I90" s="220" t="str">
        <x:v>Oui</x:v>
      </x:c>
      <x:c r="J90" s="219" t="n">
        <x:v>0</x:v>
      </x:c>
      <x:c r="K90" s="208" t="str">
        <x:v>Aucun témoin pour cette variante</x:v>
      </x:c>
      <x:c r="L90" s="208" t="str">
        <x:v>https://github.com/darknigthmare/deadwall-last-enclosure/blob/1b3b9c5ba232734b1bda3453b4e20a0481bcdd74/docs/codex/suivi-monde2026/campagne205-eligibilite.json</x:v>
      </x:c>
    </x:row>
    <x:row r="91" ht="64" customHeight="1">
      <x:c r="A91" s="208" t="str">
        <x:v>EXT-MONDE-T046-V36</x:v>
      </x:c>
      <x:c r="B91" s="208" t="str">
        <x:v>Camping caravanes</x:v>
      </x:c>
      <x:c r="C91" s="219" t="n">
        <x:v>36</x:v>
      </x:c>
      <x:c r="D91" s="208" t="str">
        <x:v>campaign205-046-36</x:v>
      </x:c>
      <x:c r="E91" s="220" t="str">
        <x:v>Oui</x:v>
      </x:c>
      <x:c r="F91" s="220" t="str">
        <x:v>Oui</x:v>
      </x:c>
      <x:c r="G91" s="220" t="str">
        <x:v>Oui</x:v>
      </x:c>
      <x:c r="H91" s="220" t="str">
        <x:v>Oui</x:v>
      </x:c>
      <x:c r="I91" s="220" t="str">
        <x:v>Oui</x:v>
      </x:c>
      <x:c r="J91" s="219" t="n">
        <x:v>0</x:v>
      </x:c>
      <x:c r="K91" s="208" t="str">
        <x:v>Aucun témoin pour cette variante</x:v>
      </x:c>
      <x:c r="L91" s="208" t="str">
        <x:v>https://github.com/darknigthmare/deadwall-last-enclosure/blob/1b3b9c5ba232734b1bda3453b4e20a0481bcdd74/docs/codex/suivi-monde2026/campagne205-eligibilite.json</x:v>
      </x:c>
    </x:row>
    <x:row r="92" ht="64" customHeight="1">
      <x:c r="A92" s="208" t="str">
        <x:v>EXT-MONDE-T046-V37</x:v>
      </x:c>
      <x:c r="B92" s="208" t="str">
        <x:v>Camping caravanes</x:v>
      </x:c>
      <x:c r="C92" s="219" t="n">
        <x:v>37</x:v>
      </x:c>
      <x:c r="D92" s="208" t="str">
        <x:v>campaign205-046-37</x:v>
      </x:c>
      <x:c r="E92" s="220" t="str">
        <x:v>Oui</x:v>
      </x:c>
      <x:c r="F92" s="220" t="str">
        <x:v>Oui</x:v>
      </x:c>
      <x:c r="G92" s="220" t="str">
        <x:v>Oui</x:v>
      </x:c>
      <x:c r="H92" s="220" t="str">
        <x:v>Oui</x:v>
      </x:c>
      <x:c r="I92" s="220" t="str">
        <x:v>Oui</x:v>
      </x:c>
      <x:c r="J92" s="219" t="n">
        <x:v>0</x:v>
      </x:c>
      <x:c r="K92" s="208" t="str">
        <x:v>Aucun témoin pour cette variante</x:v>
      </x:c>
      <x:c r="L92" s="208" t="str">
        <x:v>https://github.com/darknigthmare/deadwall-last-enclosure/blob/1b3b9c5ba232734b1bda3453b4e20a0481bcdd74/docs/codex/suivi-monde2026/campagne205-eligibilite.json</x:v>
      </x:c>
    </x:row>
    <x:row r="93" ht="64" customHeight="1">
      <x:c r="A93" s="208" t="str">
        <x:v>EXT-MONDE-T046-V38</x:v>
      </x:c>
      <x:c r="B93" s="208" t="str">
        <x:v>Camping caravanes</x:v>
      </x:c>
      <x:c r="C93" s="219" t="n">
        <x:v>38</x:v>
      </x:c>
      <x:c r="D93" s="208" t="str">
        <x:v>campaign205-046-38</x:v>
      </x:c>
      <x:c r="E93" s="220" t="str">
        <x:v>Oui</x:v>
      </x:c>
      <x:c r="F93" s="220" t="str">
        <x:v>Oui</x:v>
      </x:c>
      <x:c r="G93" s="220" t="str">
        <x:v>Oui</x:v>
      </x:c>
      <x:c r="H93" s="220" t="str">
        <x:v>Oui</x:v>
      </x:c>
      <x:c r="I93" s="220" t="str">
        <x:v>Oui</x:v>
      </x:c>
      <x:c r="J93" s="219" t="n">
        <x:v>0</x:v>
      </x:c>
      <x:c r="K93" s="208" t="str">
        <x:v>Aucun témoin pour cette variante</x:v>
      </x:c>
      <x:c r="L93" s="208" t="str">
        <x:v>https://github.com/darknigthmare/deadwall-last-enclosure/blob/1b3b9c5ba232734b1bda3453b4e20a0481bcdd74/docs/codex/suivi-monde2026/campagne205-eligibilite.json</x:v>
      </x:c>
    </x:row>
    <x:row r="94" ht="64" customHeight="1">
      <x:c r="A94" s="208" t="str">
        <x:v>EXT-MONDE-T046-V39</x:v>
      </x:c>
      <x:c r="B94" s="208" t="str">
        <x:v>Camping caravanes</x:v>
      </x:c>
      <x:c r="C94" s="219" t="n">
        <x:v>39</x:v>
      </x:c>
      <x:c r="D94" s="208" t="str">
        <x:v>campaign205-046-39</x:v>
      </x:c>
      <x:c r="E94" s="220" t="str">
        <x:v>Oui</x:v>
      </x:c>
      <x:c r="F94" s="220" t="str">
        <x:v>Oui</x:v>
      </x:c>
      <x:c r="G94" s="220" t="str">
        <x:v>Oui</x:v>
      </x:c>
      <x:c r="H94" s="220" t="str">
        <x:v>Oui</x:v>
      </x:c>
      <x:c r="I94" s="220" t="str">
        <x:v>Oui</x:v>
      </x:c>
      <x:c r="J94" s="219" t="n">
        <x:v>1</x:v>
      </x:c>
      <x:c r="K94" s="208" t="str">
        <x:v>4294967295</x:v>
      </x:c>
      <x:c r="L94" s="208" t="str">
        <x:v>https://github.com/darknigthmare/deadwall-last-enclosure/blob/1b3b9c5ba232734b1bda3453b4e20a0481bcdd74/docs/codex/suivi-monde2026/campagne205-eligibilite.json</x:v>
      </x:c>
    </x:row>
    <x:row r="95" ht="64" customHeight="1">
      <x:c r="A95" s="208" t="str">
        <x:v>EXT-MONDE-T046-V40</x:v>
      </x:c>
      <x:c r="B95" s="208" t="str">
        <x:v>Camping caravanes</x:v>
      </x:c>
      <x:c r="C95" s="219" t="n">
        <x:v>40</x:v>
      </x:c>
      <x:c r="D95" s="208" t="str">
        <x:v>campaign205-046-40</x:v>
      </x:c>
      <x:c r="E95" s="220" t="str">
        <x:v>Oui</x:v>
      </x:c>
      <x:c r="F95" s="220" t="str">
        <x:v>Oui</x:v>
      </x:c>
      <x:c r="G95" s="220" t="str">
        <x:v>Oui</x:v>
      </x:c>
      <x:c r="H95" s="220" t="str">
        <x:v>Oui</x:v>
      </x:c>
      <x:c r="I95" s="220" t="str">
        <x:v>Oui</x:v>
      </x:c>
      <x:c r="J95" s="219" t="n">
        <x:v>0</x:v>
      </x:c>
      <x:c r="K95" s="208" t="str">
        <x:v>Aucun témoin pour cette variante</x:v>
      </x:c>
      <x:c r="L95" s="208" t="str">
        <x:v>https://github.com/darknigthmare/deadwall-last-enclosure/blob/1b3b9c5ba232734b1bda3453b4e20a0481bcdd74/docs/codex/suivi-monde2026/campagne205-eligibilite.json</x:v>
      </x:c>
    </x:row>
    <x:row r="96" ht="64" customHeight="1">
      <x:c r="A96" s="208" t="str">
        <x:v>EXT-MONDE-T046-V41</x:v>
      </x:c>
      <x:c r="B96" s="208" t="str">
        <x:v>Camping caravanes</x:v>
      </x:c>
      <x:c r="C96" s="219" t="n">
        <x:v>41</x:v>
      </x:c>
      <x:c r="D96" s="208" t="str">
        <x:v>campaign205-046-41</x:v>
      </x:c>
      <x:c r="E96" s="220" t="str">
        <x:v>Oui</x:v>
      </x:c>
      <x:c r="F96" s="220" t="str">
        <x:v>Oui</x:v>
      </x:c>
      <x:c r="G96" s="220" t="str">
        <x:v>Oui</x:v>
      </x:c>
      <x:c r="H96" s="220" t="str">
        <x:v>Oui</x:v>
      </x:c>
      <x:c r="I96" s="220" t="str">
        <x:v>Oui</x:v>
      </x:c>
      <x:c r="J96" s="219" t="n">
        <x:v>0</x:v>
      </x:c>
      <x:c r="K96" s="208" t="str">
        <x:v>Aucun témoin pour cette variante</x:v>
      </x:c>
      <x:c r="L96" s="208" t="str">
        <x:v>https://github.com/darknigthmare/deadwall-last-enclosure/blob/1b3b9c5ba232734b1bda3453b4e20a0481bcdd74/docs/codex/suivi-monde2026/campagne205-eligibilite.json</x:v>
      </x:c>
    </x:row>
    <x:row r="97" ht="64" customHeight="1">
      <x:c r="A97" s="208" t="str">
        <x:v>EXT-MONDE-T046-V42</x:v>
      </x:c>
      <x:c r="B97" s="208" t="str">
        <x:v>Camping caravanes</x:v>
      </x:c>
      <x:c r="C97" s="219" t="n">
        <x:v>42</x:v>
      </x:c>
      <x:c r="D97" s="208" t="str">
        <x:v>campaign205-046-42</x:v>
      </x:c>
      <x:c r="E97" s="220" t="str">
        <x:v>Oui</x:v>
      </x:c>
      <x:c r="F97" s="220" t="str">
        <x:v>Oui</x:v>
      </x:c>
      <x:c r="G97" s="220" t="str">
        <x:v>Oui</x:v>
      </x:c>
      <x:c r="H97" s="220" t="str">
        <x:v>Oui</x:v>
      </x:c>
      <x:c r="I97" s="220" t="str">
        <x:v>Oui</x:v>
      </x:c>
      <x:c r="J97" s="219" t="n">
        <x:v>0</x:v>
      </x:c>
      <x:c r="K97" s="208" t="str">
        <x:v>Aucun témoin pour cette variante</x:v>
      </x:c>
      <x:c r="L97" s="208" t="str">
        <x:v>https://github.com/darknigthmare/deadwall-last-enclosure/blob/1b3b9c5ba232734b1bda3453b4e20a0481bcdd74/docs/codex/suivi-monde2026/campagne205-eligibilite.json</x:v>
      </x:c>
    </x:row>
    <x:row r="98" ht="64" customHeight="1">
      <x:c r="A98" s="208" t="str">
        <x:v>EXT-MONDE-T046-V43</x:v>
      </x:c>
      <x:c r="B98" s="208" t="str">
        <x:v>Camping caravanes</x:v>
      </x:c>
      <x:c r="C98" s="219" t="n">
        <x:v>43</x:v>
      </x:c>
      <x:c r="D98" s="208" t="str">
        <x:v>campaign205-046-43</x:v>
      </x:c>
      <x:c r="E98" s="220" t="str">
        <x:v>Oui</x:v>
      </x:c>
      <x:c r="F98" s="220" t="str">
        <x:v>Oui</x:v>
      </x:c>
      <x:c r="G98" s="220" t="str">
        <x:v>Oui</x:v>
      </x:c>
      <x:c r="H98" s="220" t="str">
        <x:v>Oui</x:v>
      </x:c>
      <x:c r="I98" s="220" t="str">
        <x:v>Oui</x:v>
      </x:c>
      <x:c r="J98" s="219" t="n">
        <x:v>0</x:v>
      </x:c>
      <x:c r="K98" s="208" t="str">
        <x:v>Aucun témoin pour cette variante</x:v>
      </x:c>
      <x:c r="L98" s="208" t="str">
        <x:v>https://github.com/darknigthmare/deadwall-last-enclosure/blob/1b3b9c5ba232734b1bda3453b4e20a0481bcdd74/docs/codex/suivi-monde2026/campagne205-eligibilite.json</x:v>
      </x:c>
    </x:row>
    <x:row r="99" ht="64" customHeight="1">
      <x:c r="A99" s="208" t="str">
        <x:v>EXT-MONDE-T046-V44</x:v>
      </x:c>
      <x:c r="B99" s="208" t="str">
        <x:v>Camping caravanes</x:v>
      </x:c>
      <x:c r="C99" s="219" t="n">
        <x:v>44</x:v>
      </x:c>
      <x:c r="D99" s="208" t="str">
        <x:v>campaign205-046-44</x:v>
      </x:c>
      <x:c r="E99" s="220" t="str">
        <x:v>Oui</x:v>
      </x:c>
      <x:c r="F99" s="220" t="str">
        <x:v>Oui</x:v>
      </x:c>
      <x:c r="G99" s="220" t="str">
        <x:v>Oui</x:v>
      </x:c>
      <x:c r="H99" s="220" t="str">
        <x:v>Oui</x:v>
      </x:c>
      <x:c r="I99" s="220" t="str">
        <x:v>Oui</x:v>
      </x:c>
      <x:c r="J99" s="219" t="n">
        <x:v>0</x:v>
      </x:c>
      <x:c r="K99" s="208" t="str">
        <x:v>Aucun témoin pour cette variante</x:v>
      </x:c>
      <x:c r="L99" s="208" t="str">
        <x:v>https://github.com/darknigthmare/deadwall-last-enclosure/blob/1b3b9c5ba232734b1bda3453b4e20a0481bcdd74/docs/codex/suivi-monde2026/campagne205-eligibilite.json</x:v>
      </x:c>
    </x:row>
    <x:row r="100" ht="64" customHeight="1">
      <x:c r="A100" s="208" t="str">
        <x:v>EXT-MONDE-T046-V45</x:v>
      </x:c>
      <x:c r="B100" s="208" t="str">
        <x:v>Camping caravanes</x:v>
      </x:c>
      <x:c r="C100" s="219" t="n">
        <x:v>45</x:v>
      </x:c>
      <x:c r="D100" s="208" t="str">
        <x:v>campaign205-046-45</x:v>
      </x:c>
      <x:c r="E100" s="220" t="str">
        <x:v>Oui</x:v>
      </x:c>
      <x:c r="F100" s="220" t="str">
        <x:v>Oui</x:v>
      </x:c>
      <x:c r="G100" s="220" t="str">
        <x:v>Oui</x:v>
      </x:c>
      <x:c r="H100" s="220" t="str">
        <x:v>Oui</x:v>
      </x:c>
      <x:c r="I100" s="220" t="str">
        <x:v>Oui</x:v>
      </x:c>
      <x:c r="J100" s="219" t="n">
        <x:v>0</x:v>
      </x:c>
      <x:c r="K100" s="208" t="str">
        <x:v>Aucun témoin pour cette variante</x:v>
      </x:c>
      <x:c r="L100" s="208" t="str">
        <x:v>https://github.com/darknigthmare/deadwall-last-enclosure/blob/1b3b9c5ba232734b1bda3453b4e20a0481bcdd74/docs/codex/suivi-monde2026/campagne205-eligibilite.json</x:v>
      </x:c>
    </x:row>
    <x:row r="101" ht="64" customHeight="1">
      <x:c r="A101" s="208" t="str">
        <x:v>EXT-MONDE-T046-V46</x:v>
      </x:c>
      <x:c r="B101" s="208" t="str">
        <x:v>Camping caravanes</x:v>
      </x:c>
      <x:c r="C101" s="219" t="n">
        <x:v>46</x:v>
      </x:c>
      <x:c r="D101" s="208" t="str">
        <x:v>campaign205-046-46</x:v>
      </x:c>
      <x:c r="E101" s="220" t="str">
        <x:v>Oui</x:v>
      </x:c>
      <x:c r="F101" s="220" t="str">
        <x:v>Oui</x:v>
      </x:c>
      <x:c r="G101" s="220" t="str">
        <x:v>Oui</x:v>
      </x:c>
      <x:c r="H101" s="220" t="str">
        <x:v>Oui</x:v>
      </x:c>
      <x:c r="I101" s="220" t="str">
        <x:v>Oui</x:v>
      </x:c>
      <x:c r="J101" s="219" t="n">
        <x:v>0</x:v>
      </x:c>
      <x:c r="K101" s="208" t="str">
        <x:v>Aucun témoin pour cette variante</x:v>
      </x:c>
      <x:c r="L101" s="208" t="str">
        <x:v>https://github.com/darknigthmare/deadwall-last-enclosure/blob/1b3b9c5ba232734b1bda3453b4e20a0481bcdd74/docs/codex/suivi-monde2026/campagne205-eligibilite.json</x:v>
      </x:c>
    </x:row>
    <x:row r="102" ht="64" customHeight="1">
      <x:c r="A102" s="208" t="str">
        <x:v>EXT-MONDE-T046-V47</x:v>
      </x:c>
      <x:c r="B102" s="208" t="str">
        <x:v>Camping caravanes</x:v>
      </x:c>
      <x:c r="C102" s="219" t="n">
        <x:v>47</x:v>
      </x:c>
      <x:c r="D102" s="208" t="str">
        <x:v>campaign205-046-47</x:v>
      </x:c>
      <x:c r="E102" s="220" t="str">
        <x:v>Oui</x:v>
      </x:c>
      <x:c r="F102" s="220" t="str">
        <x:v>Oui</x:v>
      </x:c>
      <x:c r="G102" s="220" t="str">
        <x:v>Oui</x:v>
      </x:c>
      <x:c r="H102" s="220" t="str">
        <x:v>Oui</x:v>
      </x:c>
      <x:c r="I102" s="220" t="str">
        <x:v>Oui</x:v>
      </x:c>
      <x:c r="J102" s="219" t="n">
        <x:v>1</x:v>
      </x:c>
      <x:c r="K102" s="208" t="str">
        <x:v>0</x:v>
      </x:c>
      <x:c r="L102" s="208" t="str">
        <x:v>https://github.com/darknigthmare/deadwall-last-enclosure/blob/1b3b9c5ba232734b1bda3453b4e20a0481bcdd74/docs/codex/suivi-monde2026/campagne205-eligibilite.json</x:v>
      </x:c>
    </x:row>
    <x:row r="103" ht="64" customHeight="1">
      <x:c r="A103" s="208" t="str">
        <x:v>EXT-MONDE-T046-V48</x:v>
      </x:c>
      <x:c r="B103" s="208" t="str">
        <x:v>Camping caravanes</x:v>
      </x:c>
      <x:c r="C103" s="219" t="n">
        <x:v>48</x:v>
      </x:c>
      <x:c r="D103" s="208" t="str">
        <x:v>campaign205-046-48</x:v>
      </x:c>
      <x:c r="E103" s="220" t="str">
        <x:v>Oui</x:v>
      </x:c>
      <x:c r="F103" s="220" t="str">
        <x:v>Oui</x:v>
      </x:c>
      <x:c r="G103" s="220" t="str">
        <x:v>Oui</x:v>
      </x:c>
      <x:c r="H103" s="220" t="str">
        <x:v>Oui</x:v>
      </x:c>
      <x:c r="I103" s="220" t="str">
        <x:v>Oui</x:v>
      </x:c>
      <x:c r="J103" s="219" t="n">
        <x:v>0</x:v>
      </x:c>
      <x:c r="K103" s="208" t="str">
        <x:v>Aucun témoin pour cette variante</x:v>
      </x:c>
      <x:c r="L103" s="208" t="str">
        <x:v>https://github.com/darknigthmare/deadwall-last-enclosure/blob/1b3b9c5ba232734b1bda3453b4e20a0481bcdd74/docs/codex/suivi-monde2026/campagne205-eligibilite.json</x:v>
      </x:c>
    </x:row>
    <x:row r="104" ht="64" customHeight="1">
      <x:c r="A104" s="208" t="str">
        <x:v>EXT-MONDE-T046-V49</x:v>
      </x:c>
      <x:c r="B104" s="208" t="str">
        <x:v>Camping caravanes</x:v>
      </x:c>
      <x:c r="C104" s="219" t="n">
        <x:v>49</x:v>
      </x:c>
      <x:c r="D104" s="208" t="str">
        <x:v>campaign205-046-49</x:v>
      </x:c>
      <x:c r="E104" s="220" t="str">
        <x:v>Oui</x:v>
      </x:c>
      <x:c r="F104" s="220" t="str">
        <x:v>Oui</x:v>
      </x:c>
      <x:c r="G104" s="220" t="str">
        <x:v>Oui</x:v>
      </x:c>
      <x:c r="H104" s="220" t="str">
        <x:v>Oui</x:v>
      </x:c>
      <x:c r="I104" s="220" t="str">
        <x:v>Oui</x:v>
      </x:c>
      <x:c r="J104" s="219" t="n">
        <x:v>0</x:v>
      </x:c>
      <x:c r="K104" s="208" t="str">
        <x:v>Aucun témoin pour cette variante</x:v>
      </x:c>
      <x:c r="L104" s="208" t="str">
        <x:v>https://github.com/darknigthmare/deadwall-last-enclosure/blob/1b3b9c5ba232734b1bda3453b4e20a0481bcdd74/docs/codex/suivi-monde2026/campagne205-eligibilite.json</x:v>
      </x:c>
    </x:row>
    <x:row r="105" ht="64" customHeight="1">
      <x:c r="A105" s="208" t="str">
        <x:v>EXT-MONDE-T046-V50</x:v>
      </x:c>
      <x:c r="B105" s="208" t="str">
        <x:v>Camping caravanes</x:v>
      </x:c>
      <x:c r="C105" s="219" t="n">
        <x:v>50</x:v>
      </x:c>
      <x:c r="D105" s="208" t="str">
        <x:v>campaign205-046-50</x:v>
      </x:c>
      <x:c r="E105" s="220" t="str">
        <x:v>Oui</x:v>
      </x:c>
      <x:c r="F105" s="220" t="str">
        <x:v>Oui</x:v>
      </x:c>
      <x:c r="G105" s="220" t="str">
        <x:v>Oui</x:v>
      </x:c>
      <x:c r="H105" s="220" t="str">
        <x:v>Oui</x:v>
      </x:c>
      <x:c r="I105" s="220" t="str">
        <x:v>Oui</x:v>
      </x:c>
      <x:c r="J105" s="219" t="n">
        <x:v>0</x:v>
      </x:c>
      <x:c r="K105" s="208" t="str">
        <x:v>Aucun témoin pour cette variante</x:v>
      </x:c>
      <x:c r="L105" s="208" t="str">
        <x:v>https://github.com/darknigthmare/deadwall-last-enclosure/blob/1b3b9c5ba232734b1bda3453b4e20a0481bcdd74/docs/codex/suivi-monde2026/campagne205-eligibilite.json</x:v>
      </x:c>
    </x:row>
    <x:row r="106" ht="64" customHeight="1">
      <x:c r="A106" s="208" t="str">
        <x:v>EXT-MONDE-T047-V01</x:v>
      </x:c>
      <x:c r="B106" s="208" t="str">
        <x:v>Camp de travailleurs</x:v>
      </x:c>
      <x:c r="C106" s="219" t="n">
        <x:v>1</x:v>
      </x:c>
      <x:c r="D106" s="208" t="str">
        <x:v>campaign205-047-01</x:v>
      </x:c>
      <x:c r="E106" s="220" t="str">
        <x:v>Oui</x:v>
      </x:c>
      <x:c r="F106" s="220" t="str">
        <x:v>Oui</x:v>
      </x:c>
      <x:c r="G106" s="220" t="str">
        <x:v>Oui</x:v>
      </x:c>
      <x:c r="H106" s="220" t="str">
        <x:v>Oui</x:v>
      </x:c>
      <x:c r="I106" s="220" t="str">
        <x:v>Oui</x:v>
      </x:c>
      <x:c r="J106" s="219" t="n">
        <x:v>0</x:v>
      </x:c>
      <x:c r="K106" s="208" t="str">
        <x:v>Aucun témoin pour cette variante</x:v>
      </x:c>
      <x:c r="L106" s="208" t="str">
        <x:v>https://github.com/darknigthmare/deadwall-last-enclosure/blob/1b3b9c5ba232734b1bda3453b4e20a0481bcdd74/docs/codex/suivi-monde2026/campagne205-eligibilite.json</x:v>
      </x:c>
    </x:row>
    <x:row r="107" ht="64" customHeight="1">
      <x:c r="A107" s="208" t="str">
        <x:v>EXT-MONDE-T047-V02</x:v>
      </x:c>
      <x:c r="B107" s="208" t="str">
        <x:v>Camp de travailleurs</x:v>
      </x:c>
      <x:c r="C107" s="219" t="n">
        <x:v>2</x:v>
      </x:c>
      <x:c r="D107" s="208" t="str">
        <x:v>campaign205-047-02</x:v>
      </x:c>
      <x:c r="E107" s="220" t="str">
        <x:v>Oui</x:v>
      </x:c>
      <x:c r="F107" s="220" t="str">
        <x:v>Oui</x:v>
      </x:c>
      <x:c r="G107" s="220" t="str">
        <x:v>Oui</x:v>
      </x:c>
      <x:c r="H107" s="220" t="str">
        <x:v>Oui</x:v>
      </x:c>
      <x:c r="I107" s="220" t="str">
        <x:v>Oui</x:v>
      </x:c>
      <x:c r="J107" s="219" t="n">
        <x:v>0</x:v>
      </x:c>
      <x:c r="K107" s="208" t="str">
        <x:v>Aucun témoin pour cette variante</x:v>
      </x:c>
      <x:c r="L107" s="208" t="str">
        <x:v>https://github.com/darknigthmare/deadwall-last-enclosure/blob/1b3b9c5ba232734b1bda3453b4e20a0481bcdd74/docs/codex/suivi-monde2026/campagne205-eligibilite.json</x:v>
      </x:c>
    </x:row>
    <x:row r="108" ht="64" customHeight="1">
      <x:c r="A108" s="208" t="str">
        <x:v>EXT-MONDE-T047-V03</x:v>
      </x:c>
      <x:c r="B108" s="208" t="str">
        <x:v>Camp de travailleurs</x:v>
      </x:c>
      <x:c r="C108" s="219" t="n">
        <x:v>3</x:v>
      </x:c>
      <x:c r="D108" s="208" t="str">
        <x:v>campaign205-047-03</x:v>
      </x:c>
      <x:c r="E108" s="220" t="str">
        <x:v>Oui</x:v>
      </x:c>
      <x:c r="F108" s="220" t="str">
        <x:v>Oui</x:v>
      </x:c>
      <x:c r="G108" s="220" t="str">
        <x:v>Oui</x:v>
      </x:c>
      <x:c r="H108" s="220" t="str">
        <x:v>Oui</x:v>
      </x:c>
      <x:c r="I108" s="220" t="str">
        <x:v>Oui</x:v>
      </x:c>
      <x:c r="J108" s="219" t="n">
        <x:v>0</x:v>
      </x:c>
      <x:c r="K108" s="208" t="str">
        <x:v>Aucun témoin pour cette variante</x:v>
      </x:c>
      <x:c r="L108" s="208" t="str">
        <x:v>https://github.com/darknigthmare/deadwall-last-enclosure/blob/1b3b9c5ba232734b1bda3453b4e20a0481bcdd74/docs/codex/suivi-monde2026/campagne205-eligibilite.json</x:v>
      </x:c>
    </x:row>
    <x:row r="109" ht="64" customHeight="1">
      <x:c r="A109" s="208" t="str">
        <x:v>EXT-MONDE-T047-V04</x:v>
      </x:c>
      <x:c r="B109" s="208" t="str">
        <x:v>Camp de travailleurs</x:v>
      </x:c>
      <x:c r="C109" s="219" t="n">
        <x:v>4</x:v>
      </x:c>
      <x:c r="D109" s="208" t="str">
        <x:v>campaign205-047-04</x:v>
      </x:c>
      <x:c r="E109" s="220" t="str">
        <x:v>Oui</x:v>
      </x:c>
      <x:c r="F109" s="220" t="str">
        <x:v>Oui</x:v>
      </x:c>
      <x:c r="G109" s="220" t="str">
        <x:v>Oui</x:v>
      </x:c>
      <x:c r="H109" s="220" t="str">
        <x:v>Oui</x:v>
      </x:c>
      <x:c r="I109" s="220" t="str">
        <x:v>Oui</x:v>
      </x:c>
      <x:c r="J109" s="219" t="n">
        <x:v>1</x:v>
      </x:c>
      <x:c r="K109" s="208" t="str">
        <x:v>84329</x:v>
      </x:c>
      <x:c r="L109" s="208" t="str">
        <x:v>https://github.com/darknigthmare/deadwall-last-enclosure/blob/1b3b9c5ba232734b1bda3453b4e20a0481bcdd74/docs/codex/suivi-monde2026/campagne205-eligibilite.json</x:v>
      </x:c>
    </x:row>
    <x:row r="110" ht="64" customHeight="1">
      <x:c r="A110" s="208" t="str">
        <x:v>EXT-MONDE-T047-V05</x:v>
      </x:c>
      <x:c r="B110" s="208" t="str">
        <x:v>Camp de travailleurs</x:v>
      </x:c>
      <x:c r="C110" s="219" t="n">
        <x:v>5</x:v>
      </x:c>
      <x:c r="D110" s="208" t="str">
        <x:v>campaign205-047-05</x:v>
      </x:c>
      <x:c r="E110" s="220" t="str">
        <x:v>Oui</x:v>
      </x:c>
      <x:c r="F110" s="220" t="str">
        <x:v>Oui</x:v>
      </x:c>
      <x:c r="G110" s="220" t="str">
        <x:v>Oui</x:v>
      </x:c>
      <x:c r="H110" s="220" t="str">
        <x:v>Oui</x:v>
      </x:c>
      <x:c r="I110" s="220" t="str">
        <x:v>Oui</x:v>
      </x:c>
      <x:c r="J110" s="219" t="n">
        <x:v>1</x:v>
      </x:c>
      <x:c r="K110" s="208" t="str">
        <x:v>4294967295</x:v>
      </x:c>
      <x:c r="L110" s="208" t="str">
        <x:v>https://github.com/darknigthmare/deadwall-last-enclosure/blob/1b3b9c5ba232734b1bda3453b4e20a0481bcdd74/docs/codex/suivi-monde2026/campagne205-eligibilite.json</x:v>
      </x:c>
    </x:row>
    <x:row r="111" ht="64" customHeight="1">
      <x:c r="A111" s="208" t="str">
        <x:v>EXT-MONDE-T047-V06</x:v>
      </x:c>
      <x:c r="B111" s="208" t="str">
        <x:v>Camp de travailleurs</x:v>
      </x:c>
      <x:c r="C111" s="219" t="n">
        <x:v>6</x:v>
      </x:c>
      <x:c r="D111" s="208" t="str">
        <x:v>campaign205-047-06</x:v>
      </x:c>
      <x:c r="E111" s="220" t="str">
        <x:v>Oui</x:v>
      </x:c>
      <x:c r="F111" s="220" t="str">
        <x:v>Oui</x:v>
      </x:c>
      <x:c r="G111" s="220" t="str">
        <x:v>Oui</x:v>
      </x:c>
      <x:c r="H111" s="220" t="str">
        <x:v>Oui</x:v>
      </x:c>
      <x:c r="I111" s="220" t="str">
        <x:v>Oui</x:v>
      </x:c>
      <x:c r="J111" s="219" t="n">
        <x:v>1</x:v>
      </x:c>
      <x:c r="K111" s="208" t="str">
        <x:v>1</x:v>
      </x:c>
      <x:c r="L111" s="208" t="str">
        <x:v>https://github.com/darknigthmare/deadwall-last-enclosure/blob/1b3b9c5ba232734b1bda3453b4e20a0481bcdd74/docs/codex/suivi-monde2026/campagne205-eligibilite.json</x:v>
      </x:c>
    </x:row>
    <x:row r="112" ht="64" customHeight="1">
      <x:c r="A112" s="208" t="str">
        <x:v>EXT-MONDE-T047-V07</x:v>
      </x:c>
      <x:c r="B112" s="208" t="str">
        <x:v>Camp de travailleurs</x:v>
      </x:c>
      <x:c r="C112" s="219" t="n">
        <x:v>7</x:v>
      </x:c>
      <x:c r="D112" s="208" t="str">
        <x:v>campaign205-047-07</x:v>
      </x:c>
      <x:c r="E112" s="220" t="str">
        <x:v>Oui</x:v>
      </x:c>
      <x:c r="F112" s="220" t="str">
        <x:v>Oui</x:v>
      </x:c>
      <x:c r="G112" s="220" t="str">
        <x:v>Oui</x:v>
      </x:c>
      <x:c r="H112" s="220" t="str">
        <x:v>Oui</x:v>
      </x:c>
      <x:c r="I112" s="220" t="str">
        <x:v>Oui</x:v>
      </x:c>
      <x:c r="J112" s="219" t="n">
        <x:v>1</x:v>
      </x:c>
      <x:c r="K112" s="208" t="str">
        <x:v>42</x:v>
      </x:c>
      <x:c r="L112" s="208" t="str">
        <x:v>https://github.com/darknigthmare/deadwall-last-enclosure/blob/1b3b9c5ba232734b1bda3453b4e20a0481bcdd74/docs/codex/suivi-monde2026/campagne205-eligibilite.json</x:v>
      </x:c>
    </x:row>
    <x:row r="113" ht="64" customHeight="1">
      <x:c r="A113" s="208" t="str">
        <x:v>EXT-MONDE-T047-V08</x:v>
      </x:c>
      <x:c r="B113" s="208" t="str">
        <x:v>Camp de travailleurs</x:v>
      </x:c>
      <x:c r="C113" s="219" t="n">
        <x:v>8</x:v>
      </x:c>
      <x:c r="D113" s="208" t="str">
        <x:v>campaign205-047-08</x:v>
      </x:c>
      <x:c r="E113" s="220" t="str">
        <x:v>Oui</x:v>
      </x:c>
      <x:c r="F113" s="220" t="str">
        <x:v>Oui</x:v>
      </x:c>
      <x:c r="G113" s="220" t="str">
        <x:v>Oui</x:v>
      </x:c>
      <x:c r="H113" s="220" t="str">
        <x:v>Oui</x:v>
      </x:c>
      <x:c r="I113" s="220" t="str">
        <x:v>Oui</x:v>
      </x:c>
      <x:c r="J113" s="219" t="n">
        <x:v>0</x:v>
      </x:c>
      <x:c r="K113" s="208" t="str">
        <x:v>Aucun témoin pour cette variante</x:v>
      </x:c>
      <x:c r="L113" s="208" t="str">
        <x:v>https://github.com/darknigthmare/deadwall-last-enclosure/blob/1b3b9c5ba232734b1bda3453b4e20a0481bcdd74/docs/codex/suivi-monde2026/campagne205-eligibilite.json</x:v>
      </x:c>
    </x:row>
    <x:row r="114" ht="64" customHeight="1">
      <x:c r="A114" s="208" t="str">
        <x:v>EXT-MONDE-T047-V09</x:v>
      </x:c>
      <x:c r="B114" s="208" t="str">
        <x:v>Camp de travailleurs</x:v>
      </x:c>
      <x:c r="C114" s="219" t="n">
        <x:v>9</x:v>
      </x:c>
      <x:c r="D114" s="208" t="str">
        <x:v>campaign205-047-09</x:v>
      </x:c>
      <x:c r="E114" s="220" t="str">
        <x:v>Oui</x:v>
      </x:c>
      <x:c r="F114" s="220" t="str">
        <x:v>Oui</x:v>
      </x:c>
      <x:c r="G114" s="220" t="str">
        <x:v>Oui</x:v>
      </x:c>
      <x:c r="H114" s="220" t="str">
        <x:v>Oui</x:v>
      </x:c>
      <x:c r="I114" s="220" t="str">
        <x:v>Oui</x:v>
      </x:c>
      <x:c r="J114" s="219" t="n">
        <x:v>1</x:v>
      </x:c>
      <x:c r="K114" s="208" t="str">
        <x:v>17117</x:v>
      </x:c>
      <x:c r="L114" s="208" t="str">
        <x:v>https://github.com/darknigthmare/deadwall-last-enclosure/blob/1b3b9c5ba232734b1bda3453b4e20a0481bcdd74/docs/codex/suivi-monde2026/campagne205-eligibilite.json</x:v>
      </x:c>
    </x:row>
    <x:row r="115" ht="64" customHeight="1">
      <x:c r="A115" s="208" t="str">
        <x:v>EXT-MONDE-T047-V10</x:v>
      </x:c>
      <x:c r="B115" s="208" t="str">
        <x:v>Camp de travailleurs</x:v>
      </x:c>
      <x:c r="C115" s="219" t="n">
        <x:v>10</x:v>
      </x:c>
      <x:c r="D115" s="208" t="str">
        <x:v>campaign205-047-10</x:v>
      </x:c>
      <x:c r="E115" s="220" t="str">
        <x:v>Oui</x:v>
      </x:c>
      <x:c r="F115" s="220" t="str">
        <x:v>Oui</x:v>
      </x:c>
      <x:c r="G115" s="220" t="str">
        <x:v>Oui</x:v>
      </x:c>
      <x:c r="H115" s="220" t="str">
        <x:v>Oui</x:v>
      </x:c>
      <x:c r="I115" s="220" t="str">
        <x:v>Oui</x:v>
      </x:c>
      <x:c r="J115" s="219" t="n">
        <x:v>2</x:v>
      </x:c>
      <x:c r="K115" s="208" t="str">
        <x:v>967313470, 4294967295</x:v>
      </x:c>
      <x:c r="L115" s="208" t="str">
        <x:v>https://github.com/darknigthmare/deadwall-last-enclosure/blob/1b3b9c5ba232734b1bda3453b4e20a0481bcdd74/docs/codex/suivi-monde2026/campagne205-eligibilite.json</x:v>
      </x:c>
    </x:row>
    <x:row r="116" ht="64" customHeight="1">
      <x:c r="A116" s="208" t="str">
        <x:v>EXT-MONDE-T047-V11</x:v>
      </x:c>
      <x:c r="B116" s="208" t="str">
        <x:v>Camp de travailleurs</x:v>
      </x:c>
      <x:c r="C116" s="219" t="n">
        <x:v>11</x:v>
      </x:c>
      <x:c r="D116" s="208" t="str">
        <x:v>campaign205-047-11</x:v>
      </x:c>
      <x:c r="E116" s="220" t="str">
        <x:v>Oui</x:v>
      </x:c>
      <x:c r="F116" s="220" t="str">
        <x:v>Oui</x:v>
      </x:c>
      <x:c r="G116" s="220" t="str">
        <x:v>Oui</x:v>
      </x:c>
      <x:c r="H116" s="220" t="str">
        <x:v>Oui</x:v>
      </x:c>
      <x:c r="I116" s="220" t="str">
        <x:v>Oui</x:v>
      </x:c>
      <x:c r="J116" s="219" t="n">
        <x:v>1</x:v>
      </x:c>
      <x:c r="K116" s="208" t="str">
        <x:v>17117</x:v>
      </x:c>
      <x:c r="L116" s="208" t="str">
        <x:v>https://github.com/darknigthmare/deadwall-last-enclosure/blob/1b3b9c5ba232734b1bda3453b4e20a0481bcdd74/docs/codex/suivi-monde2026/campagne205-eligibilite.json</x:v>
      </x:c>
    </x:row>
    <x:row r="117" ht="64" customHeight="1">
      <x:c r="A117" s="208" t="str">
        <x:v>EXT-MONDE-T047-V12</x:v>
      </x:c>
      <x:c r="B117" s="208" t="str">
        <x:v>Camp de travailleurs</x:v>
      </x:c>
      <x:c r="C117" s="219" t="n">
        <x:v>12</x:v>
      </x:c>
      <x:c r="D117" s="208" t="str">
        <x:v>campaign205-047-12</x:v>
      </x:c>
      <x:c r="E117" s="220" t="str">
        <x:v>Oui</x:v>
      </x:c>
      <x:c r="F117" s="220" t="str">
        <x:v>Oui</x:v>
      </x:c>
      <x:c r="G117" s="220" t="str">
        <x:v>Oui</x:v>
      </x:c>
      <x:c r="H117" s="220" t="str">
        <x:v>Oui</x:v>
      </x:c>
      <x:c r="I117" s="220" t="str">
        <x:v>Oui</x:v>
      </x:c>
      <x:c r="J117" s="219" t="n">
        <x:v>0</x:v>
      </x:c>
      <x:c r="K117" s="208" t="str">
        <x:v>Aucun témoin pour cette variante</x:v>
      </x:c>
      <x:c r="L117" s="208" t="str">
        <x:v>https://github.com/darknigthmare/deadwall-last-enclosure/blob/1b3b9c5ba232734b1bda3453b4e20a0481bcdd74/docs/codex/suivi-monde2026/campagne205-eligibilite.json</x:v>
      </x:c>
    </x:row>
    <x:row r="118" ht="64" customHeight="1">
      <x:c r="A118" s="208" t="str">
        <x:v>EXT-MONDE-T047-V13</x:v>
      </x:c>
      <x:c r="B118" s="208" t="str">
        <x:v>Camp de travailleurs</x:v>
      </x:c>
      <x:c r="C118" s="219" t="n">
        <x:v>13</x:v>
      </x:c>
      <x:c r="D118" s="208" t="str">
        <x:v>campaign205-047-13</x:v>
      </x:c>
      <x:c r="E118" s="220" t="str">
        <x:v>Oui</x:v>
      </x:c>
      <x:c r="F118" s="220" t="str">
        <x:v>Oui</x:v>
      </x:c>
      <x:c r="G118" s="220" t="str">
        <x:v>Oui</x:v>
      </x:c>
      <x:c r="H118" s="220" t="str">
        <x:v>Oui</x:v>
      </x:c>
      <x:c r="I118" s="220" t="str">
        <x:v>Oui</x:v>
      </x:c>
      <x:c r="J118" s="219" t="n">
        <x:v>1</x:v>
      </x:c>
      <x:c r="K118" s="208" t="str">
        <x:v>0</x:v>
      </x:c>
      <x:c r="L118" s="208" t="str">
        <x:v>https://github.com/darknigthmare/deadwall-last-enclosure/blob/1b3b9c5ba232734b1bda3453b4e20a0481bcdd74/docs/codex/suivi-monde2026/campagne205-eligibilite.json</x:v>
      </x:c>
    </x:row>
    <x:row r="119" ht="64" customHeight="1">
      <x:c r="A119" s="208" t="str">
        <x:v>EXT-MONDE-T047-V14</x:v>
      </x:c>
      <x:c r="B119" s="208" t="str">
        <x:v>Camp de travailleurs</x:v>
      </x:c>
      <x:c r="C119" s="219" t="n">
        <x:v>14</x:v>
      </x:c>
      <x:c r="D119" s="208" t="str">
        <x:v>campaign205-047-14</x:v>
      </x:c>
      <x:c r="E119" s="220" t="str">
        <x:v>Oui</x:v>
      </x:c>
      <x:c r="F119" s="220" t="str">
        <x:v>Oui</x:v>
      </x:c>
      <x:c r="G119" s="220" t="str">
        <x:v>Oui</x:v>
      </x:c>
      <x:c r="H119" s="220" t="str">
        <x:v>Oui</x:v>
      </x:c>
      <x:c r="I119" s="220" t="str">
        <x:v>Oui</x:v>
      </x:c>
      <x:c r="J119" s="219" t="n">
        <x:v>0</x:v>
      </x:c>
      <x:c r="K119" s="208" t="str">
        <x:v>Aucun témoin pour cette variante</x:v>
      </x:c>
      <x:c r="L119" s="208" t="str">
        <x:v>https://github.com/darknigthmare/deadwall-last-enclosure/blob/1b3b9c5ba232734b1bda3453b4e20a0481bcdd74/docs/codex/suivi-monde2026/campagne205-eligibilite.json</x:v>
      </x:c>
    </x:row>
    <x:row r="120" ht="64" customHeight="1">
      <x:c r="A120" s="208" t="str">
        <x:v>EXT-MONDE-T047-V15</x:v>
      </x:c>
      <x:c r="B120" s="208" t="str">
        <x:v>Camp de travailleurs</x:v>
      </x:c>
      <x:c r="C120" s="219" t="n">
        <x:v>15</x:v>
      </x:c>
      <x:c r="D120" s="208" t="str">
        <x:v>campaign205-047-15</x:v>
      </x:c>
      <x:c r="E120" s="220" t="str">
        <x:v>Oui</x:v>
      </x:c>
      <x:c r="F120" s="220" t="str">
        <x:v>Oui</x:v>
      </x:c>
      <x:c r="G120" s="220" t="str">
        <x:v>Oui</x:v>
      </x:c>
      <x:c r="H120" s="220" t="str">
        <x:v>Oui</x:v>
      </x:c>
      <x:c r="I120" s="220" t="str">
        <x:v>Oui</x:v>
      </x:c>
      <x:c r="J120" s="219" t="n">
        <x:v>1</x:v>
      </x:c>
      <x:c r="K120" s="208" t="str">
        <x:v>1947648717</x:v>
      </x:c>
      <x:c r="L120" s="208" t="str">
        <x:v>https://github.com/darknigthmare/deadwall-last-enclosure/blob/1b3b9c5ba232734b1bda3453b4e20a0481bcdd74/docs/codex/suivi-monde2026/campagne205-eligibilite.json</x:v>
      </x:c>
    </x:row>
    <x:row r="121" ht="64" customHeight="1">
      <x:c r="A121" s="208" t="str">
        <x:v>EXT-MONDE-T047-V16</x:v>
      </x:c>
      <x:c r="B121" s="208" t="str">
        <x:v>Camp de travailleurs</x:v>
      </x:c>
      <x:c r="C121" s="219" t="n">
        <x:v>16</x:v>
      </x:c>
      <x:c r="D121" s="208" t="str">
        <x:v>campaign205-047-16</x:v>
      </x:c>
      <x:c r="E121" s="220" t="str">
        <x:v>Oui</x:v>
      </x:c>
      <x:c r="F121" s="220" t="str">
        <x:v>Oui</x:v>
      </x:c>
      <x:c r="G121" s="220" t="str">
        <x:v>Oui</x:v>
      </x:c>
      <x:c r="H121" s="220" t="str">
        <x:v>Oui</x:v>
      </x:c>
      <x:c r="I121" s="220" t="str">
        <x:v>Oui</x:v>
      </x:c>
      <x:c r="J121" s="219" t="n">
        <x:v>0</x:v>
      </x:c>
      <x:c r="K121" s="208" t="str">
        <x:v>Aucun témoin pour cette variante</x:v>
      </x:c>
      <x:c r="L121" s="208" t="str">
        <x:v>https://github.com/darknigthmare/deadwall-last-enclosure/blob/1b3b9c5ba232734b1bda3453b4e20a0481bcdd74/docs/codex/suivi-monde2026/campagne205-eligibilite.json</x:v>
      </x:c>
    </x:row>
    <x:row r="122" ht="64" customHeight="1">
      <x:c r="A122" s="208" t="str">
        <x:v>EXT-MONDE-T047-V17</x:v>
      </x:c>
      <x:c r="B122" s="208" t="str">
        <x:v>Camp de travailleurs</x:v>
      </x:c>
      <x:c r="C122" s="219" t="n">
        <x:v>17</x:v>
      </x:c>
      <x:c r="D122" s="208" t="str">
        <x:v>campaign205-047-17</x:v>
      </x:c>
      <x:c r="E122" s="220" t="str">
        <x:v>Oui</x:v>
      </x:c>
      <x:c r="F122" s="220" t="str">
        <x:v>Oui</x:v>
      </x:c>
      <x:c r="G122" s="220" t="str">
        <x:v>Oui</x:v>
      </x:c>
      <x:c r="H122" s="220" t="str">
        <x:v>Oui</x:v>
      </x:c>
      <x:c r="I122" s="220" t="str">
        <x:v>Oui</x:v>
      </x:c>
      <x:c r="J122" s="219" t="n">
        <x:v>1</x:v>
      </x:c>
      <x:c r="K122" s="208" t="str">
        <x:v>42</x:v>
      </x:c>
      <x:c r="L122" s="208" t="str">
        <x:v>https://github.com/darknigthmare/deadwall-last-enclosure/blob/1b3b9c5ba232734b1bda3453b4e20a0481bcdd74/docs/codex/suivi-monde2026/campagne205-eligibilite.json</x:v>
      </x:c>
    </x:row>
    <x:row r="123" ht="64" customHeight="1">
      <x:c r="A123" s="208" t="str">
        <x:v>EXT-MONDE-T047-V18</x:v>
      </x:c>
      <x:c r="B123" s="208" t="str">
        <x:v>Camp de travailleurs</x:v>
      </x:c>
      <x:c r="C123" s="219" t="n">
        <x:v>18</x:v>
      </x:c>
      <x:c r="D123" s="208" t="str">
        <x:v>campaign205-047-18</x:v>
      </x:c>
      <x:c r="E123" s="220" t="str">
        <x:v>Oui</x:v>
      </x:c>
      <x:c r="F123" s="220" t="str">
        <x:v>Oui</x:v>
      </x:c>
      <x:c r="G123" s="220" t="str">
        <x:v>Oui</x:v>
      </x:c>
      <x:c r="H123" s="220" t="str">
        <x:v>Oui</x:v>
      </x:c>
      <x:c r="I123" s="220" t="str">
        <x:v>Oui</x:v>
      </x:c>
      <x:c r="J123" s="219" t="n">
        <x:v>0</x:v>
      </x:c>
      <x:c r="K123" s="208" t="str">
        <x:v>Aucun témoin pour cette variante</x:v>
      </x:c>
      <x:c r="L123" s="208" t="str">
        <x:v>https://github.com/darknigthmare/deadwall-last-enclosure/blob/1b3b9c5ba232734b1bda3453b4e20a0481bcdd74/docs/codex/suivi-monde2026/campagne205-eligibilite.json</x:v>
      </x:c>
    </x:row>
    <x:row r="124" ht="64" customHeight="1">
      <x:c r="A124" s="208" t="str">
        <x:v>EXT-MONDE-T047-V19</x:v>
      </x:c>
      <x:c r="B124" s="208" t="str">
        <x:v>Camp de travailleurs</x:v>
      </x:c>
      <x:c r="C124" s="219" t="n">
        <x:v>19</x:v>
      </x:c>
      <x:c r="D124" s="208" t="str">
        <x:v>campaign205-047-19</x:v>
      </x:c>
      <x:c r="E124" s="220" t="str">
        <x:v>Oui</x:v>
      </x:c>
      <x:c r="F124" s="220" t="str">
        <x:v>Oui</x:v>
      </x:c>
      <x:c r="G124" s="220" t="str">
        <x:v>Oui</x:v>
      </x:c>
      <x:c r="H124" s="220" t="str">
        <x:v>Oui</x:v>
      </x:c>
      <x:c r="I124" s="220" t="str">
        <x:v>Oui</x:v>
      </x:c>
      <x:c r="J124" s="219" t="n">
        <x:v>0</x:v>
      </x:c>
      <x:c r="K124" s="208" t="str">
        <x:v>Aucun témoin pour cette variante</x:v>
      </x:c>
      <x:c r="L124" s="208" t="str">
        <x:v>https://github.com/darknigthmare/deadwall-last-enclosure/blob/1b3b9c5ba232734b1bda3453b4e20a0481bcdd74/docs/codex/suivi-monde2026/campagne205-eligibilite.json</x:v>
      </x:c>
    </x:row>
    <x:row r="125" ht="64" customHeight="1">
      <x:c r="A125" s="208" t="str">
        <x:v>EXT-MONDE-T047-V20</x:v>
      </x:c>
      <x:c r="B125" s="208" t="str">
        <x:v>Camp de travailleurs</x:v>
      </x:c>
      <x:c r="C125" s="219" t="n">
        <x:v>20</x:v>
      </x:c>
      <x:c r="D125" s="208" t="str">
        <x:v>campaign205-047-20</x:v>
      </x:c>
      <x:c r="E125" s="220" t="str">
        <x:v>Oui</x:v>
      </x:c>
      <x:c r="F125" s="220" t="str">
        <x:v>Oui</x:v>
      </x:c>
      <x:c r="G125" s="220" t="str">
        <x:v>Oui</x:v>
      </x:c>
      <x:c r="H125" s="220" t="str">
        <x:v>Oui</x:v>
      </x:c>
      <x:c r="I125" s="220" t="str">
        <x:v>Oui</x:v>
      </x:c>
      <x:c r="J125" s="219" t="n">
        <x:v>0</x:v>
      </x:c>
      <x:c r="K125" s="208" t="str">
        <x:v>Aucun témoin pour cette variante</x:v>
      </x:c>
      <x:c r="L125" s="208" t="str">
        <x:v>https://github.com/darknigthmare/deadwall-last-enclosure/blob/1b3b9c5ba232734b1bda3453b4e20a0481bcdd74/docs/codex/suivi-monde2026/campagne205-eligibilite.json</x:v>
      </x:c>
    </x:row>
    <x:row r="126" ht="64" customHeight="1">
      <x:c r="A126" s="208" t="str">
        <x:v>EXT-MONDE-T047-V21</x:v>
      </x:c>
      <x:c r="B126" s="208" t="str">
        <x:v>Camp de travailleurs</x:v>
      </x:c>
      <x:c r="C126" s="219" t="n">
        <x:v>21</x:v>
      </x:c>
      <x:c r="D126" s="208" t="str">
        <x:v>campaign205-047-21</x:v>
      </x:c>
      <x:c r="E126" s="220" t="str">
        <x:v>Oui</x:v>
      </x:c>
      <x:c r="F126" s="220" t="str">
        <x:v>Oui</x:v>
      </x:c>
      <x:c r="G126" s="220" t="str">
        <x:v>Oui</x:v>
      </x:c>
      <x:c r="H126" s="220" t="str">
        <x:v>Oui</x:v>
      </x:c>
      <x:c r="I126" s="220" t="str">
        <x:v>Oui</x:v>
      </x:c>
      <x:c r="J126" s="219" t="n">
        <x:v>0</x:v>
      </x:c>
      <x:c r="K126" s="208" t="str">
        <x:v>Aucun témoin pour cette variante</x:v>
      </x:c>
      <x:c r="L126" s="208" t="str">
        <x:v>https://github.com/darknigthmare/deadwall-last-enclosure/blob/1b3b9c5ba232734b1bda3453b4e20a0481bcdd74/docs/codex/suivi-monde2026/campagne205-eligibilite.json</x:v>
      </x:c>
    </x:row>
    <x:row r="127" ht="64" customHeight="1">
      <x:c r="A127" s="208" t="str">
        <x:v>EXT-MONDE-T047-V22</x:v>
      </x:c>
      <x:c r="B127" s="208" t="str">
        <x:v>Camp de travailleurs</x:v>
      </x:c>
      <x:c r="C127" s="219" t="n">
        <x:v>22</x:v>
      </x:c>
      <x:c r="D127" s="208" t="str">
        <x:v>campaign205-047-22</x:v>
      </x:c>
      <x:c r="E127" s="220" t="str">
        <x:v>Oui</x:v>
      </x:c>
      <x:c r="F127" s="220" t="str">
        <x:v>Oui</x:v>
      </x:c>
      <x:c r="G127" s="220" t="str">
        <x:v>Oui</x:v>
      </x:c>
      <x:c r="H127" s="220" t="str">
        <x:v>Oui</x:v>
      </x:c>
      <x:c r="I127" s="220" t="str">
        <x:v>Oui</x:v>
      </x:c>
      <x:c r="J127" s="219" t="n">
        <x:v>0</x:v>
      </x:c>
      <x:c r="K127" s="208" t="str">
        <x:v>Aucun témoin pour cette variante</x:v>
      </x:c>
      <x:c r="L127" s="208" t="str">
        <x:v>https://github.com/darknigthmare/deadwall-last-enclosure/blob/1b3b9c5ba232734b1bda3453b4e20a0481bcdd74/docs/codex/suivi-monde2026/campagne205-eligibilite.json</x:v>
      </x:c>
    </x:row>
    <x:row r="128" ht="64" customHeight="1">
      <x:c r="A128" s="208" t="str">
        <x:v>EXT-MONDE-T047-V23</x:v>
      </x:c>
      <x:c r="B128" s="208" t="str">
        <x:v>Camp de travailleurs</x:v>
      </x:c>
      <x:c r="C128" s="219" t="n">
        <x:v>23</x:v>
      </x:c>
      <x:c r="D128" s="208" t="str">
        <x:v>campaign205-047-23</x:v>
      </x:c>
      <x:c r="E128" s="220" t="str">
        <x:v>Oui</x:v>
      </x:c>
      <x:c r="F128" s="220" t="str">
        <x:v>Oui</x:v>
      </x:c>
      <x:c r="G128" s="220" t="str">
        <x:v>Oui</x:v>
      </x:c>
      <x:c r="H128" s="220" t="str">
        <x:v>Oui</x:v>
      </x:c>
      <x:c r="I128" s="220" t="str">
        <x:v>Oui</x:v>
      </x:c>
      <x:c r="J128" s="219" t="n">
        <x:v>0</x:v>
      </x:c>
      <x:c r="K128" s="208" t="str">
        <x:v>Aucun témoin pour cette variante</x:v>
      </x:c>
      <x:c r="L128" s="208" t="str">
        <x:v>https://github.com/darknigthmare/deadwall-last-enclosure/blob/1b3b9c5ba232734b1bda3453b4e20a0481bcdd74/docs/codex/suivi-monde2026/campagne205-eligibilite.json</x:v>
      </x:c>
    </x:row>
    <x:row r="129" ht="64" customHeight="1">
      <x:c r="A129" s="208" t="str">
        <x:v>EXT-MONDE-T047-V24</x:v>
      </x:c>
      <x:c r="B129" s="208" t="str">
        <x:v>Camp de travailleurs</x:v>
      </x:c>
      <x:c r="C129" s="219" t="n">
        <x:v>24</x:v>
      </x:c>
      <x:c r="D129" s="208" t="str">
        <x:v>campaign205-047-24</x:v>
      </x:c>
      <x:c r="E129" s="220" t="str">
        <x:v>Oui</x:v>
      </x:c>
      <x:c r="F129" s="220" t="str">
        <x:v>Oui</x:v>
      </x:c>
      <x:c r="G129" s="220" t="str">
        <x:v>Oui</x:v>
      </x:c>
      <x:c r="H129" s="220" t="str">
        <x:v>Oui</x:v>
      </x:c>
      <x:c r="I129" s="220" t="str">
        <x:v>Oui</x:v>
      </x:c>
      <x:c r="J129" s="219" t="n">
        <x:v>0</x:v>
      </x:c>
      <x:c r="K129" s="208" t="str">
        <x:v>Aucun témoin pour cette variante</x:v>
      </x:c>
      <x:c r="L129" s="208" t="str">
        <x:v>https://github.com/darknigthmare/deadwall-last-enclosure/blob/1b3b9c5ba232734b1bda3453b4e20a0481bcdd74/docs/codex/suivi-monde2026/campagne205-eligibilite.json</x:v>
      </x:c>
    </x:row>
    <x:row r="130" ht="64" customHeight="1">
      <x:c r="A130" s="208" t="str">
        <x:v>EXT-MONDE-T047-V25</x:v>
      </x:c>
      <x:c r="B130" s="208" t="str">
        <x:v>Camp de travailleurs</x:v>
      </x:c>
      <x:c r="C130" s="219" t="n">
        <x:v>25</x:v>
      </x:c>
      <x:c r="D130" s="208" t="str">
        <x:v>campaign205-047-25</x:v>
      </x:c>
      <x:c r="E130" s="220" t="str">
        <x:v>Oui</x:v>
      </x:c>
      <x:c r="F130" s="220" t="str">
        <x:v>Oui</x:v>
      </x:c>
      <x:c r="G130" s="220" t="str">
        <x:v>Oui</x:v>
      </x:c>
      <x:c r="H130" s="220" t="str">
        <x:v>Oui</x:v>
      </x:c>
      <x:c r="I130" s="220" t="str">
        <x:v>Oui</x:v>
      </x:c>
      <x:c r="J130" s="219" t="n">
        <x:v>0</x:v>
      </x:c>
      <x:c r="K130" s="208" t="str">
        <x:v>Aucun témoin pour cette variante</x:v>
      </x:c>
      <x:c r="L130" s="208" t="str">
        <x:v>https://github.com/darknigthmare/deadwall-last-enclosure/blob/1b3b9c5ba232734b1bda3453b4e20a0481bcdd74/docs/codex/suivi-monde2026/campagne205-eligibilite.json</x:v>
      </x:c>
    </x:row>
    <x:row r="131" ht="64" customHeight="1">
      <x:c r="A131" s="208" t="str">
        <x:v>EXT-MONDE-T047-V26</x:v>
      </x:c>
      <x:c r="B131" s="208" t="str">
        <x:v>Camp de travailleurs</x:v>
      </x:c>
      <x:c r="C131" s="219" t="n">
        <x:v>26</x:v>
      </x:c>
      <x:c r="D131" s="208" t="str">
        <x:v>campaign205-047-26</x:v>
      </x:c>
      <x:c r="E131" s="220" t="str">
        <x:v>Oui</x:v>
      </x:c>
      <x:c r="F131" s="220" t="str">
        <x:v>Oui</x:v>
      </x:c>
      <x:c r="G131" s="220" t="str">
        <x:v>Oui</x:v>
      </x:c>
      <x:c r="H131" s="220" t="str">
        <x:v>Oui</x:v>
      </x:c>
      <x:c r="I131" s="220" t="str">
        <x:v>Oui</x:v>
      </x:c>
      <x:c r="J131" s="219" t="n">
        <x:v>0</x:v>
      </x:c>
      <x:c r="K131" s="208" t="str">
        <x:v>Aucun témoin pour cette variante</x:v>
      </x:c>
      <x:c r="L131" s="208" t="str">
        <x:v>https://github.com/darknigthmare/deadwall-last-enclosure/blob/1b3b9c5ba232734b1bda3453b4e20a0481bcdd74/docs/codex/suivi-monde2026/campagne205-eligibilite.json</x:v>
      </x:c>
    </x:row>
    <x:row r="132" ht="64" customHeight="1">
      <x:c r="A132" s="208" t="str">
        <x:v>EXT-MONDE-T047-V27</x:v>
      </x:c>
      <x:c r="B132" s="208" t="str">
        <x:v>Camp de travailleurs</x:v>
      </x:c>
      <x:c r="C132" s="219" t="n">
        <x:v>27</x:v>
      </x:c>
      <x:c r="D132" s="208" t="str">
        <x:v>campaign205-047-27</x:v>
      </x:c>
      <x:c r="E132" s="220" t="str">
        <x:v>Oui</x:v>
      </x:c>
      <x:c r="F132" s="220" t="str">
        <x:v>Oui</x:v>
      </x:c>
      <x:c r="G132" s="220" t="str">
        <x:v>Oui</x:v>
      </x:c>
      <x:c r="H132" s="220" t="str">
        <x:v>Oui</x:v>
      </x:c>
      <x:c r="I132" s="220" t="str">
        <x:v>Oui</x:v>
      </x:c>
      <x:c r="J132" s="219" t="n">
        <x:v>1</x:v>
      </x:c>
      <x:c r="K132" s="208" t="str">
        <x:v>84329</x:v>
      </x:c>
      <x:c r="L132" s="208" t="str">
        <x:v>https://github.com/darknigthmare/deadwall-last-enclosure/blob/1b3b9c5ba232734b1bda3453b4e20a0481bcdd74/docs/codex/suivi-monde2026/campagne205-eligibilite.json</x:v>
      </x:c>
    </x:row>
    <x:row r="133" ht="64" customHeight="1">
      <x:c r="A133" s="208" t="str">
        <x:v>EXT-MONDE-T047-V28</x:v>
      </x:c>
      <x:c r="B133" s="208" t="str">
        <x:v>Camp de travailleurs</x:v>
      </x:c>
      <x:c r="C133" s="219" t="n">
        <x:v>28</x:v>
      </x:c>
      <x:c r="D133" s="208" t="str">
        <x:v>campaign205-047-28</x:v>
      </x:c>
      <x:c r="E133" s="220" t="str">
        <x:v>Oui</x:v>
      </x:c>
      <x:c r="F133" s="220" t="str">
        <x:v>Oui</x:v>
      </x:c>
      <x:c r="G133" s="220" t="str">
        <x:v>Oui</x:v>
      </x:c>
      <x:c r="H133" s="220" t="str">
        <x:v>Oui</x:v>
      </x:c>
      <x:c r="I133" s="220" t="str">
        <x:v>Oui</x:v>
      </x:c>
      <x:c r="J133" s="219" t="n">
        <x:v>0</x:v>
      </x:c>
      <x:c r="K133" s="208" t="str">
        <x:v>Aucun témoin pour cette variante</x:v>
      </x:c>
      <x:c r="L133" s="208" t="str">
        <x:v>https://github.com/darknigthmare/deadwall-last-enclosure/blob/1b3b9c5ba232734b1bda3453b4e20a0481bcdd74/docs/codex/suivi-monde2026/campagne205-eligibilite.json</x:v>
      </x:c>
    </x:row>
    <x:row r="134" ht="64" customHeight="1">
      <x:c r="A134" s="208" t="str">
        <x:v>EXT-MONDE-T047-V29</x:v>
      </x:c>
      <x:c r="B134" s="208" t="str">
        <x:v>Camp de travailleurs</x:v>
      </x:c>
      <x:c r="C134" s="219" t="n">
        <x:v>29</x:v>
      </x:c>
      <x:c r="D134" s="208" t="str">
        <x:v>campaign205-047-29</x:v>
      </x:c>
      <x:c r="E134" s="220" t="str">
        <x:v>Oui</x:v>
      </x:c>
      <x:c r="F134" s="220" t="str">
        <x:v>Oui</x:v>
      </x:c>
      <x:c r="G134" s="220" t="str">
        <x:v>Oui</x:v>
      </x:c>
      <x:c r="H134" s="220" t="str">
        <x:v>Oui</x:v>
      </x:c>
      <x:c r="I134" s="220" t="str">
        <x:v>Oui</x:v>
      </x:c>
      <x:c r="J134" s="219" t="n">
        <x:v>1</x:v>
      </x:c>
      <x:c r="K134" s="208" t="str">
        <x:v>1</x:v>
      </x:c>
      <x:c r="L134" s="208" t="str">
        <x:v>https://github.com/darknigthmare/deadwall-last-enclosure/blob/1b3b9c5ba232734b1bda3453b4e20a0481bcdd74/docs/codex/suivi-monde2026/campagne205-eligibilite.json</x:v>
      </x:c>
    </x:row>
    <x:row r="135" ht="64" customHeight="1">
      <x:c r="A135" s="208" t="str">
        <x:v>EXT-MONDE-T047-V30</x:v>
      </x:c>
      <x:c r="B135" s="208" t="str">
        <x:v>Camp de travailleurs</x:v>
      </x:c>
      <x:c r="C135" s="219" t="n">
        <x:v>30</x:v>
      </x:c>
      <x:c r="D135" s="208" t="str">
        <x:v>campaign205-047-30</x:v>
      </x:c>
      <x:c r="E135" s="220" t="str">
        <x:v>Oui</x:v>
      </x:c>
      <x:c r="F135" s="220" t="str">
        <x:v>Oui</x:v>
      </x:c>
      <x:c r="G135" s="220" t="str">
        <x:v>Oui</x:v>
      </x:c>
      <x:c r="H135" s="220" t="str">
        <x:v>Oui</x:v>
      </x:c>
      <x:c r="I135" s="220" t="str">
        <x:v>Oui</x:v>
      </x:c>
      <x:c r="J135" s="219" t="n">
        <x:v>0</x:v>
      </x:c>
      <x:c r="K135" s="208" t="str">
        <x:v>Aucun témoin pour cette variante</x:v>
      </x:c>
      <x:c r="L135" s="208" t="str">
        <x:v>https://github.com/darknigthmare/deadwall-last-enclosure/blob/1b3b9c5ba232734b1bda3453b4e20a0481bcdd74/docs/codex/suivi-monde2026/campagne205-eligibilite.json</x:v>
      </x:c>
    </x:row>
    <x:row r="136" ht="64" customHeight="1">
      <x:c r="A136" s="208" t="str">
        <x:v>EXT-MONDE-T047-V31</x:v>
      </x:c>
      <x:c r="B136" s="208" t="str">
        <x:v>Camp de travailleurs</x:v>
      </x:c>
      <x:c r="C136" s="219" t="n">
        <x:v>31</x:v>
      </x:c>
      <x:c r="D136" s="208" t="str">
        <x:v>campaign205-047-31</x:v>
      </x:c>
      <x:c r="E136" s="220" t="str">
        <x:v>Oui</x:v>
      </x:c>
      <x:c r="F136" s="220" t="str">
        <x:v>Oui</x:v>
      </x:c>
      <x:c r="G136" s="220" t="str">
        <x:v>Oui</x:v>
      </x:c>
      <x:c r="H136" s="220" t="str">
        <x:v>Oui</x:v>
      </x:c>
      <x:c r="I136" s="220" t="str">
        <x:v>Oui</x:v>
      </x:c>
      <x:c r="J136" s="219" t="n">
        <x:v>0</x:v>
      </x:c>
      <x:c r="K136" s="208" t="str">
        <x:v>Aucun témoin pour cette variante</x:v>
      </x:c>
      <x:c r="L136" s="208" t="str">
        <x:v>https://github.com/darknigthmare/deadwall-last-enclosure/blob/1b3b9c5ba232734b1bda3453b4e20a0481bcdd74/docs/codex/suivi-monde2026/campagne205-eligibilite.json</x:v>
      </x:c>
    </x:row>
    <x:row r="137" ht="64" customHeight="1">
      <x:c r="A137" s="208" t="str">
        <x:v>EXT-MONDE-T047-V32</x:v>
      </x:c>
      <x:c r="B137" s="208" t="str">
        <x:v>Camp de travailleurs</x:v>
      </x:c>
      <x:c r="C137" s="219" t="n">
        <x:v>32</x:v>
      </x:c>
      <x:c r="D137" s="208" t="str">
        <x:v>campaign205-047-32</x:v>
      </x:c>
      <x:c r="E137" s="220" t="str">
        <x:v>Oui</x:v>
      </x:c>
      <x:c r="F137" s="220" t="str">
        <x:v>Oui</x:v>
      </x:c>
      <x:c r="G137" s="220" t="str">
        <x:v>Oui</x:v>
      </x:c>
      <x:c r="H137" s="220" t="str">
        <x:v>Oui</x:v>
      </x:c>
      <x:c r="I137" s="220" t="str">
        <x:v>Oui</x:v>
      </x:c>
      <x:c r="J137" s="219" t="n">
        <x:v>0</x:v>
      </x:c>
      <x:c r="K137" s="208" t="str">
        <x:v>Aucun témoin pour cette variante</x:v>
      </x:c>
      <x:c r="L137" s="208" t="str">
        <x:v>https://github.com/darknigthmare/deadwall-last-enclosure/blob/1b3b9c5ba232734b1bda3453b4e20a0481bcdd74/docs/codex/suivi-monde2026/campagne205-eligibilite.json</x:v>
      </x:c>
    </x:row>
    <x:row r="138" ht="64" customHeight="1">
      <x:c r="A138" s="208" t="str">
        <x:v>EXT-MONDE-T047-V33</x:v>
      </x:c>
      <x:c r="B138" s="208" t="str">
        <x:v>Camp de travailleurs</x:v>
      </x:c>
      <x:c r="C138" s="219" t="n">
        <x:v>33</x:v>
      </x:c>
      <x:c r="D138" s="208" t="str">
        <x:v>campaign205-047-33</x:v>
      </x:c>
      <x:c r="E138" s="220" t="str">
        <x:v>Oui</x:v>
      </x:c>
      <x:c r="F138" s="220" t="str">
        <x:v>Oui</x:v>
      </x:c>
      <x:c r="G138" s="220" t="str">
        <x:v>Oui</x:v>
      </x:c>
      <x:c r="H138" s="220" t="str">
        <x:v>Oui</x:v>
      </x:c>
      <x:c r="I138" s="220" t="str">
        <x:v>Oui</x:v>
      </x:c>
      <x:c r="J138" s="219" t="n">
        <x:v>0</x:v>
      </x:c>
      <x:c r="K138" s="208" t="str">
        <x:v>Aucun témoin pour cette variante</x:v>
      </x:c>
      <x:c r="L138" s="208" t="str">
        <x:v>https://github.com/darknigthmare/deadwall-last-enclosure/blob/1b3b9c5ba232734b1bda3453b4e20a0481bcdd74/docs/codex/suivi-monde2026/campagne205-eligibilite.json</x:v>
      </x:c>
    </x:row>
    <x:row r="139" ht="64" customHeight="1">
      <x:c r="A139" s="208" t="str">
        <x:v>EXT-MONDE-T047-V34</x:v>
      </x:c>
      <x:c r="B139" s="208" t="str">
        <x:v>Camp de travailleurs</x:v>
      </x:c>
      <x:c r="C139" s="219" t="n">
        <x:v>34</x:v>
      </x:c>
      <x:c r="D139" s="208" t="str">
        <x:v>campaign205-047-34</x:v>
      </x:c>
      <x:c r="E139" s="220" t="str">
        <x:v>Oui</x:v>
      </x:c>
      <x:c r="F139" s="220" t="str">
        <x:v>Oui</x:v>
      </x:c>
      <x:c r="G139" s="220" t="str">
        <x:v>Oui</x:v>
      </x:c>
      <x:c r="H139" s="220" t="str">
        <x:v>Oui</x:v>
      </x:c>
      <x:c r="I139" s="220" t="str">
        <x:v>Oui</x:v>
      </x:c>
      <x:c r="J139" s="219" t="n">
        <x:v>0</x:v>
      </x:c>
      <x:c r="K139" s="208" t="str">
        <x:v>Aucun témoin pour cette variante</x:v>
      </x:c>
      <x:c r="L139" s="208" t="str">
        <x:v>https://github.com/darknigthmare/deadwall-last-enclosure/blob/1b3b9c5ba232734b1bda3453b4e20a0481bcdd74/docs/codex/suivi-monde2026/campagne205-eligibilite.json</x:v>
      </x:c>
    </x:row>
    <x:row r="140" ht="64" customHeight="1">
      <x:c r="A140" s="208" t="str">
        <x:v>EXT-MONDE-T047-V35</x:v>
      </x:c>
      <x:c r="B140" s="208" t="str">
        <x:v>Camp de travailleurs</x:v>
      </x:c>
      <x:c r="C140" s="219" t="n">
        <x:v>35</x:v>
      </x:c>
      <x:c r="D140" s="208" t="str">
        <x:v>campaign205-047-35</x:v>
      </x:c>
      <x:c r="E140" s="220" t="str">
        <x:v>Oui</x:v>
      </x:c>
      <x:c r="F140" s="220" t="str">
        <x:v>Oui</x:v>
      </x:c>
      <x:c r="G140" s="220" t="str">
        <x:v>Oui</x:v>
      </x:c>
      <x:c r="H140" s="220" t="str">
        <x:v>Oui</x:v>
      </x:c>
      <x:c r="I140" s="220" t="str">
        <x:v>Oui</x:v>
      </x:c>
      <x:c r="J140" s="219" t="n">
        <x:v>0</x:v>
      </x:c>
      <x:c r="K140" s="208" t="str">
        <x:v>Aucun témoin pour cette variante</x:v>
      </x:c>
      <x:c r="L140" s="208" t="str">
        <x:v>https://github.com/darknigthmare/deadwall-last-enclosure/blob/1b3b9c5ba232734b1bda3453b4e20a0481bcdd74/docs/codex/suivi-monde2026/campagne205-eligibilite.json</x:v>
      </x:c>
    </x:row>
    <x:row r="141" ht="64" customHeight="1">
      <x:c r="A141" s="208" t="str">
        <x:v>EXT-MONDE-T047-V36</x:v>
      </x:c>
      <x:c r="B141" s="208" t="str">
        <x:v>Camp de travailleurs</x:v>
      </x:c>
      <x:c r="C141" s="219" t="n">
        <x:v>36</x:v>
      </x:c>
      <x:c r="D141" s="208" t="str">
        <x:v>campaign205-047-36</x:v>
      </x:c>
      <x:c r="E141" s="220" t="str">
        <x:v>Oui</x:v>
      </x:c>
      <x:c r="F141" s="220" t="str">
        <x:v>Oui</x:v>
      </x:c>
      <x:c r="G141" s="220" t="str">
        <x:v>Oui</x:v>
      </x:c>
      <x:c r="H141" s="220" t="str">
        <x:v>Oui</x:v>
      </x:c>
      <x:c r="I141" s="220" t="str">
        <x:v>Oui</x:v>
      </x:c>
      <x:c r="J141" s="219" t="n">
        <x:v>0</x:v>
      </x:c>
      <x:c r="K141" s="208" t="str">
        <x:v>Aucun témoin pour cette variante</x:v>
      </x:c>
      <x:c r="L141" s="208" t="str">
        <x:v>https://github.com/darknigthmare/deadwall-last-enclosure/blob/1b3b9c5ba232734b1bda3453b4e20a0481bcdd74/docs/codex/suivi-monde2026/campagne205-eligibilite.json</x:v>
      </x:c>
    </x:row>
    <x:row r="142" ht="64" customHeight="1">
      <x:c r="A142" s="208" t="str">
        <x:v>EXT-MONDE-T047-V37</x:v>
      </x:c>
      <x:c r="B142" s="208" t="str">
        <x:v>Camp de travailleurs</x:v>
      </x:c>
      <x:c r="C142" s="219" t="n">
        <x:v>37</x:v>
      </x:c>
      <x:c r="D142" s="208" t="str">
        <x:v>campaign205-047-37</x:v>
      </x:c>
      <x:c r="E142" s="220" t="str">
        <x:v>Oui</x:v>
      </x:c>
      <x:c r="F142" s="220" t="str">
        <x:v>Oui</x:v>
      </x:c>
      <x:c r="G142" s="220" t="str">
        <x:v>Oui</x:v>
      </x:c>
      <x:c r="H142" s="220" t="str">
        <x:v>Oui</x:v>
      </x:c>
      <x:c r="I142" s="220" t="str">
        <x:v>Oui</x:v>
      </x:c>
      <x:c r="J142" s="219" t="n">
        <x:v>0</x:v>
      </x:c>
      <x:c r="K142" s="208" t="str">
        <x:v>Aucun témoin pour cette variante</x:v>
      </x:c>
      <x:c r="L142" s="208" t="str">
        <x:v>https://github.com/darknigthmare/deadwall-last-enclosure/blob/1b3b9c5ba232734b1bda3453b4e20a0481bcdd74/docs/codex/suivi-monde2026/campagne205-eligibilite.json</x:v>
      </x:c>
    </x:row>
    <x:row r="143" ht="64" customHeight="1">
      <x:c r="A143" s="208" t="str">
        <x:v>EXT-MONDE-T047-V38</x:v>
      </x:c>
      <x:c r="B143" s="208" t="str">
        <x:v>Camp de travailleurs</x:v>
      </x:c>
      <x:c r="C143" s="219" t="n">
        <x:v>38</x:v>
      </x:c>
      <x:c r="D143" s="208" t="str">
        <x:v>campaign205-047-38</x:v>
      </x:c>
      <x:c r="E143" s="220" t="str">
        <x:v>Oui</x:v>
      </x:c>
      <x:c r="F143" s="220" t="str">
        <x:v>Oui</x:v>
      </x:c>
      <x:c r="G143" s="220" t="str">
        <x:v>Oui</x:v>
      </x:c>
      <x:c r="H143" s="220" t="str">
        <x:v>Oui</x:v>
      </x:c>
      <x:c r="I143" s="220" t="str">
        <x:v>Oui</x:v>
      </x:c>
      <x:c r="J143" s="219" t="n">
        <x:v>1</x:v>
      </x:c>
      <x:c r="K143" s="208" t="str">
        <x:v>967313470</x:v>
      </x:c>
      <x:c r="L143" s="208" t="str">
        <x:v>https://github.com/darknigthmare/deadwall-last-enclosure/blob/1b3b9c5ba232734b1bda3453b4e20a0481bcdd74/docs/codex/suivi-monde2026/campagne205-eligibilite.json</x:v>
      </x:c>
    </x:row>
    <x:row r="144" ht="64" customHeight="1">
      <x:c r="A144" s="208" t="str">
        <x:v>EXT-MONDE-T047-V39</x:v>
      </x:c>
      <x:c r="B144" s="208" t="str">
        <x:v>Camp de travailleurs</x:v>
      </x:c>
      <x:c r="C144" s="219" t="n">
        <x:v>39</x:v>
      </x:c>
      <x:c r="D144" s="208" t="str">
        <x:v>campaign205-047-39</x:v>
      </x:c>
      <x:c r="E144" s="220" t="str">
        <x:v>Oui</x:v>
      </x:c>
      <x:c r="F144" s="220" t="str">
        <x:v>Oui</x:v>
      </x:c>
      <x:c r="G144" s="220" t="str">
        <x:v>Oui</x:v>
      </x:c>
      <x:c r="H144" s="220" t="str">
        <x:v>Oui</x:v>
      </x:c>
      <x:c r="I144" s="220" t="str">
        <x:v>Oui</x:v>
      </x:c>
      <x:c r="J144" s="219" t="n">
        <x:v>0</x:v>
      </x:c>
      <x:c r="K144" s="208" t="str">
        <x:v>Aucun témoin pour cette variante</x:v>
      </x:c>
      <x:c r="L144" s="208" t="str">
        <x:v>https://github.com/darknigthmare/deadwall-last-enclosure/blob/1b3b9c5ba232734b1bda3453b4e20a0481bcdd74/docs/codex/suivi-monde2026/campagne205-eligibilite.json</x:v>
      </x:c>
    </x:row>
    <x:row r="145" ht="64" customHeight="1">
      <x:c r="A145" s="208" t="str">
        <x:v>EXT-MONDE-T047-V40</x:v>
      </x:c>
      <x:c r="B145" s="208" t="str">
        <x:v>Camp de travailleurs</x:v>
      </x:c>
      <x:c r="C145" s="219" t="n">
        <x:v>40</x:v>
      </x:c>
      <x:c r="D145" s="208" t="str">
        <x:v>campaign205-047-40</x:v>
      </x:c>
      <x:c r="E145" s="220" t="str">
        <x:v>Oui</x:v>
      </x:c>
      <x:c r="F145" s="220" t="str">
        <x:v>Oui</x:v>
      </x:c>
      <x:c r="G145" s="220" t="str">
        <x:v>Oui</x:v>
      </x:c>
      <x:c r="H145" s="220" t="str">
        <x:v>Oui</x:v>
      </x:c>
      <x:c r="I145" s="220" t="str">
        <x:v>Oui</x:v>
      </x:c>
      <x:c r="J145" s="219" t="n">
        <x:v>1</x:v>
      </x:c>
      <x:c r="K145" s="208" t="str">
        <x:v>0</x:v>
      </x:c>
      <x:c r="L145" s="208" t="str">
        <x:v>https://github.com/darknigthmare/deadwall-last-enclosure/blob/1b3b9c5ba232734b1bda3453b4e20a0481bcdd74/docs/codex/suivi-monde2026/campagne205-eligibilite.json</x:v>
      </x:c>
    </x:row>
    <x:row r="146" ht="64" customHeight="1">
      <x:c r="A146" s="208" t="str">
        <x:v>EXT-MONDE-T047-V41</x:v>
      </x:c>
      <x:c r="B146" s="208" t="str">
        <x:v>Camp de travailleurs</x:v>
      </x:c>
      <x:c r="C146" s="219" t="n">
        <x:v>41</x:v>
      </x:c>
      <x:c r="D146" s="208" t="str">
        <x:v>campaign205-047-41</x:v>
      </x:c>
      <x:c r="E146" s="220" t="str">
        <x:v>Oui</x:v>
      </x:c>
      <x:c r="F146" s="220" t="str">
        <x:v>Oui</x:v>
      </x:c>
      <x:c r="G146" s="220" t="str">
        <x:v>Oui</x:v>
      </x:c>
      <x:c r="H146" s="220" t="str">
        <x:v>Oui</x:v>
      </x:c>
      <x:c r="I146" s="220" t="str">
        <x:v>Oui</x:v>
      </x:c>
      <x:c r="J146" s="219" t="n">
        <x:v>0</x:v>
      </x:c>
      <x:c r="K146" s="208" t="str">
        <x:v>Aucun témoin pour cette variante</x:v>
      </x:c>
      <x:c r="L146" s="208" t="str">
        <x:v>https://github.com/darknigthmare/deadwall-last-enclosure/blob/1b3b9c5ba232734b1bda3453b4e20a0481bcdd74/docs/codex/suivi-monde2026/campagne205-eligibilite.json</x:v>
      </x:c>
    </x:row>
    <x:row r="147" ht="64" customHeight="1">
      <x:c r="A147" s="208" t="str">
        <x:v>EXT-MONDE-T047-V42</x:v>
      </x:c>
      <x:c r="B147" s="208" t="str">
        <x:v>Camp de travailleurs</x:v>
      </x:c>
      <x:c r="C147" s="219" t="n">
        <x:v>42</x:v>
      </x:c>
      <x:c r="D147" s="208" t="str">
        <x:v>campaign205-047-42</x:v>
      </x:c>
      <x:c r="E147" s="220" t="str">
        <x:v>Oui</x:v>
      </x:c>
      <x:c r="F147" s="220" t="str">
        <x:v>Oui</x:v>
      </x:c>
      <x:c r="G147" s="220" t="str">
        <x:v>Oui</x:v>
      </x:c>
      <x:c r="H147" s="220" t="str">
        <x:v>Oui</x:v>
      </x:c>
      <x:c r="I147" s="220" t="str">
        <x:v>Oui</x:v>
      </x:c>
      <x:c r="J147" s="219" t="n">
        <x:v>0</x:v>
      </x:c>
      <x:c r="K147" s="208" t="str">
        <x:v>Aucun témoin pour cette variante</x:v>
      </x:c>
      <x:c r="L147" s="208" t="str">
        <x:v>https://github.com/darknigthmare/deadwall-last-enclosure/blob/1b3b9c5ba232734b1bda3453b4e20a0481bcdd74/docs/codex/suivi-monde2026/campagne205-eligibilite.json</x:v>
      </x:c>
    </x:row>
    <x:row r="148" ht="64" customHeight="1">
      <x:c r="A148" s="208" t="str">
        <x:v>EXT-MONDE-T047-V43</x:v>
      </x:c>
      <x:c r="B148" s="208" t="str">
        <x:v>Camp de travailleurs</x:v>
      </x:c>
      <x:c r="C148" s="219" t="n">
        <x:v>43</x:v>
      </x:c>
      <x:c r="D148" s="208" t="str">
        <x:v>campaign205-047-43</x:v>
      </x:c>
      <x:c r="E148" s="220" t="str">
        <x:v>Oui</x:v>
      </x:c>
      <x:c r="F148" s="220" t="str">
        <x:v>Oui</x:v>
      </x:c>
      <x:c r="G148" s="220" t="str">
        <x:v>Oui</x:v>
      </x:c>
      <x:c r="H148" s="220" t="str">
        <x:v>Oui</x:v>
      </x:c>
      <x:c r="I148" s="220" t="str">
        <x:v>Oui</x:v>
      </x:c>
      <x:c r="J148" s="219" t="n">
        <x:v>0</x:v>
      </x:c>
      <x:c r="K148" s="208" t="str">
        <x:v>Aucun témoin pour cette variante</x:v>
      </x:c>
      <x:c r="L148" s="208" t="str">
        <x:v>https://github.com/darknigthmare/deadwall-last-enclosure/blob/1b3b9c5ba232734b1bda3453b4e20a0481bcdd74/docs/codex/suivi-monde2026/campagne205-eligibilite.json</x:v>
      </x:c>
    </x:row>
    <x:row r="149" ht="64" customHeight="1">
      <x:c r="A149" s="208" t="str">
        <x:v>EXT-MONDE-T047-V44</x:v>
      </x:c>
      <x:c r="B149" s="208" t="str">
        <x:v>Camp de travailleurs</x:v>
      </x:c>
      <x:c r="C149" s="219" t="n">
        <x:v>44</x:v>
      </x:c>
      <x:c r="D149" s="208" t="str">
        <x:v>campaign205-047-44</x:v>
      </x:c>
      <x:c r="E149" s="220" t="str">
        <x:v>Oui</x:v>
      </x:c>
      <x:c r="F149" s="220" t="str">
        <x:v>Oui</x:v>
      </x:c>
      <x:c r="G149" s="220" t="str">
        <x:v>Oui</x:v>
      </x:c>
      <x:c r="H149" s="220" t="str">
        <x:v>Oui</x:v>
      </x:c>
      <x:c r="I149" s="220" t="str">
        <x:v>Oui</x:v>
      </x:c>
      <x:c r="J149" s="219" t="n">
        <x:v>0</x:v>
      </x:c>
      <x:c r="K149" s="208" t="str">
        <x:v>Aucun témoin pour cette variante</x:v>
      </x:c>
      <x:c r="L149" s="208" t="str">
        <x:v>https://github.com/darknigthmare/deadwall-last-enclosure/blob/1b3b9c5ba232734b1bda3453b4e20a0481bcdd74/docs/codex/suivi-monde2026/campagne205-eligibilite.json</x:v>
      </x:c>
    </x:row>
    <x:row r="150" ht="64" customHeight="1">
      <x:c r="A150" s="208" t="str">
        <x:v>EXT-MONDE-T047-V45</x:v>
      </x:c>
      <x:c r="B150" s="208" t="str">
        <x:v>Camp de travailleurs</x:v>
      </x:c>
      <x:c r="C150" s="219" t="n">
        <x:v>45</x:v>
      </x:c>
      <x:c r="D150" s="208" t="str">
        <x:v>campaign205-047-45</x:v>
      </x:c>
      <x:c r="E150" s="220" t="str">
        <x:v>Oui</x:v>
      </x:c>
      <x:c r="F150" s="220" t="str">
        <x:v>Oui</x:v>
      </x:c>
      <x:c r="G150" s="220" t="str">
        <x:v>Oui</x:v>
      </x:c>
      <x:c r="H150" s="220" t="str">
        <x:v>Oui</x:v>
      </x:c>
      <x:c r="I150" s="220" t="str">
        <x:v>Oui</x:v>
      </x:c>
      <x:c r="J150" s="219" t="n">
        <x:v>0</x:v>
      </x:c>
      <x:c r="K150" s="208" t="str">
        <x:v>Aucun témoin pour cette variante</x:v>
      </x:c>
      <x:c r="L150" s="208" t="str">
        <x:v>https://github.com/darknigthmare/deadwall-last-enclosure/blob/1b3b9c5ba232734b1bda3453b4e20a0481bcdd74/docs/codex/suivi-monde2026/campagne205-eligibilite.json</x:v>
      </x:c>
    </x:row>
    <x:row r="151" ht="64" customHeight="1">
      <x:c r="A151" s="208" t="str">
        <x:v>EXT-MONDE-T047-V46</x:v>
      </x:c>
      <x:c r="B151" s="208" t="str">
        <x:v>Camp de travailleurs</x:v>
      </x:c>
      <x:c r="C151" s="219" t="n">
        <x:v>46</x:v>
      </x:c>
      <x:c r="D151" s="208" t="str">
        <x:v>campaign205-047-46</x:v>
      </x:c>
      <x:c r="E151" s="220" t="str">
        <x:v>Oui</x:v>
      </x:c>
      <x:c r="F151" s="220" t="str">
        <x:v>Oui</x:v>
      </x:c>
      <x:c r="G151" s="220" t="str">
        <x:v>Oui</x:v>
      </x:c>
      <x:c r="H151" s="220" t="str">
        <x:v>Oui</x:v>
      </x:c>
      <x:c r="I151" s="220" t="str">
        <x:v>Oui</x:v>
      </x:c>
      <x:c r="J151" s="219" t="n">
        <x:v>0</x:v>
      </x:c>
      <x:c r="K151" s="208" t="str">
        <x:v>Aucun témoin pour cette variante</x:v>
      </x:c>
      <x:c r="L151" s="208" t="str">
        <x:v>https://github.com/darknigthmare/deadwall-last-enclosure/blob/1b3b9c5ba232734b1bda3453b4e20a0481bcdd74/docs/codex/suivi-monde2026/campagne205-eligibilite.json</x:v>
      </x:c>
    </x:row>
    <x:row r="152" ht="64" customHeight="1">
      <x:c r="A152" s="208" t="str">
        <x:v>EXT-MONDE-T047-V47</x:v>
      </x:c>
      <x:c r="B152" s="208" t="str">
        <x:v>Camp de travailleurs</x:v>
      </x:c>
      <x:c r="C152" s="219" t="n">
        <x:v>47</x:v>
      </x:c>
      <x:c r="D152" s="208" t="str">
        <x:v>campaign205-047-47</x:v>
      </x:c>
      <x:c r="E152" s="220" t="str">
        <x:v>Oui</x:v>
      </x:c>
      <x:c r="F152" s="220" t="str">
        <x:v>Oui</x:v>
      </x:c>
      <x:c r="G152" s="220" t="str">
        <x:v>Oui</x:v>
      </x:c>
      <x:c r="H152" s="220" t="str">
        <x:v>Oui</x:v>
      </x:c>
      <x:c r="I152" s="220" t="str">
        <x:v>Oui</x:v>
      </x:c>
      <x:c r="J152" s="219" t="n">
        <x:v>1</x:v>
      </x:c>
      <x:c r="K152" s="208" t="str">
        <x:v>1947648717</x:v>
      </x:c>
      <x:c r="L152" s="208" t="str">
        <x:v>https://github.com/darknigthmare/deadwall-last-enclosure/blob/1b3b9c5ba232734b1bda3453b4e20a0481bcdd74/docs/codex/suivi-monde2026/campagne205-eligibilite.json</x:v>
      </x:c>
    </x:row>
    <x:row r="153" ht="64" customHeight="1">
      <x:c r="A153" s="208" t="str">
        <x:v>EXT-MONDE-T047-V48</x:v>
      </x:c>
      <x:c r="B153" s="208" t="str">
        <x:v>Camp de travailleurs</x:v>
      </x:c>
      <x:c r="C153" s="219" t="n">
        <x:v>48</x:v>
      </x:c>
      <x:c r="D153" s="208" t="str">
        <x:v>campaign205-047-48</x:v>
      </x:c>
      <x:c r="E153" s="220" t="str">
        <x:v>Oui</x:v>
      </x:c>
      <x:c r="F153" s="220" t="str">
        <x:v>Oui</x:v>
      </x:c>
      <x:c r="G153" s="220" t="str">
        <x:v>Oui</x:v>
      </x:c>
      <x:c r="H153" s="220" t="str">
        <x:v>Oui</x:v>
      </x:c>
      <x:c r="I153" s="220" t="str">
        <x:v>Oui</x:v>
      </x:c>
      <x:c r="J153" s="219" t="n">
        <x:v>0</x:v>
      </x:c>
      <x:c r="K153" s="208" t="str">
        <x:v>Aucun témoin pour cette variante</x:v>
      </x:c>
      <x:c r="L153" s="208" t="str">
        <x:v>https://github.com/darknigthmare/deadwall-last-enclosure/blob/1b3b9c5ba232734b1bda3453b4e20a0481bcdd74/docs/codex/suivi-monde2026/campagne205-eligibilite.json</x:v>
      </x:c>
    </x:row>
    <x:row r="154" ht="64" customHeight="1">
      <x:c r="A154" s="208" t="str">
        <x:v>EXT-MONDE-T047-V49</x:v>
      </x:c>
      <x:c r="B154" s="208" t="str">
        <x:v>Camp de travailleurs</x:v>
      </x:c>
      <x:c r="C154" s="219" t="n">
        <x:v>49</x:v>
      </x:c>
      <x:c r="D154" s="208" t="str">
        <x:v>campaign205-047-49</x:v>
      </x:c>
      <x:c r="E154" s="220" t="str">
        <x:v>Oui</x:v>
      </x:c>
      <x:c r="F154" s="220" t="str">
        <x:v>Oui</x:v>
      </x:c>
      <x:c r="G154" s="220" t="str">
        <x:v>Oui</x:v>
      </x:c>
      <x:c r="H154" s="220" t="str">
        <x:v>Oui</x:v>
      </x:c>
      <x:c r="I154" s="220" t="str">
        <x:v>Oui</x:v>
      </x:c>
      <x:c r="J154" s="219" t="n">
        <x:v>0</x:v>
      </x:c>
      <x:c r="K154" s="208" t="str">
        <x:v>Aucun témoin pour cette variante</x:v>
      </x:c>
      <x:c r="L154" s="208" t="str">
        <x:v>https://github.com/darknigthmare/deadwall-last-enclosure/blob/1b3b9c5ba232734b1bda3453b4e20a0481bcdd74/docs/codex/suivi-monde2026/campagne205-eligibilite.json</x:v>
      </x:c>
    </x:row>
    <x:row r="155" ht="64" customHeight="1">
      <x:c r="A155" s="208" t="str">
        <x:v>EXT-MONDE-T047-V50</x:v>
      </x:c>
      <x:c r="B155" s="208" t="str">
        <x:v>Camp de travailleurs</x:v>
      </x:c>
      <x:c r="C155" s="219" t="n">
        <x:v>50</x:v>
      </x:c>
      <x:c r="D155" s="208" t="str">
        <x:v>campaign205-047-50</x:v>
      </x:c>
      <x:c r="E155" s="220" t="str">
        <x:v>Oui</x:v>
      </x:c>
      <x:c r="F155" s="220" t="str">
        <x:v>Oui</x:v>
      </x:c>
      <x:c r="G155" s="220" t="str">
        <x:v>Oui</x:v>
      </x:c>
      <x:c r="H155" s="220" t="str">
        <x:v>Oui</x:v>
      </x:c>
      <x:c r="I155" s="220" t="str">
        <x:v>Oui</x:v>
      </x:c>
      <x:c r="J155" s="219" t="n">
        <x:v>0</x:v>
      </x:c>
      <x:c r="K155" s="208" t="str">
        <x:v>Aucun témoin pour cette variante</x:v>
      </x:c>
      <x:c r="L155" s="208" t="str">
        <x:v>https://github.com/darknigthmare/deadwall-last-enclosure/blob/1b3b9c5ba232734b1bda3453b4e20a0481bcdd74/docs/codex/suivi-monde2026/campagne205-eligibilite.json</x:v>
      </x:c>
    </x:row>
    <x:row r="156" ht="64" customHeight="1">
      <x:c r="A156" s="208" t="str">
        <x:v>EXT-MONDE-T048-V01</x:v>
      </x:c>
      <x:c r="B156" s="208" t="str">
        <x:v>Parc de caravanes abandonné</x:v>
      </x:c>
      <x:c r="C156" s="219" t="n">
        <x:v>1</x:v>
      </x:c>
      <x:c r="D156" s="208" t="str">
        <x:v>campaign205-048-01</x:v>
      </x:c>
      <x:c r="E156" s="220" t="str">
        <x:v>Oui</x:v>
      </x:c>
      <x:c r="F156" s="220" t="str">
        <x:v>Oui</x:v>
      </x:c>
      <x:c r="G156" s="220" t="str">
        <x:v>Oui</x:v>
      </x:c>
      <x:c r="H156" s="220" t="str">
        <x:v>Oui</x:v>
      </x:c>
      <x:c r="I156" s="220" t="str">
        <x:v>Oui</x:v>
      </x:c>
      <x:c r="J156" s="219" t="n">
        <x:v>0</x:v>
      </x:c>
      <x:c r="K156" s="208" t="str">
        <x:v>Aucun témoin pour cette variante</x:v>
      </x:c>
      <x:c r="L156" s="208" t="str">
        <x:v>https://github.com/darknigthmare/deadwall-last-enclosure/blob/1b3b9c5ba232734b1bda3453b4e20a0481bcdd74/docs/codex/suivi-monde2026/campagne205-eligibilite.json</x:v>
      </x:c>
    </x:row>
    <x:row r="157" ht="64" customHeight="1">
      <x:c r="A157" s="208" t="str">
        <x:v>EXT-MONDE-T048-V02</x:v>
      </x:c>
      <x:c r="B157" s="208" t="str">
        <x:v>Parc de caravanes abandonné</x:v>
      </x:c>
      <x:c r="C157" s="219" t="n">
        <x:v>2</x:v>
      </x:c>
      <x:c r="D157" s="208" t="str">
        <x:v>campaign205-048-02</x:v>
      </x:c>
      <x:c r="E157" s="220" t="str">
        <x:v>Oui</x:v>
      </x:c>
      <x:c r="F157" s="220" t="str">
        <x:v>Oui</x:v>
      </x:c>
      <x:c r="G157" s="220" t="str">
        <x:v>Oui</x:v>
      </x:c>
      <x:c r="H157" s="220" t="str">
        <x:v>Oui</x:v>
      </x:c>
      <x:c r="I157" s="220" t="str">
        <x:v>Oui</x:v>
      </x:c>
      <x:c r="J157" s="219" t="n">
        <x:v>0</x:v>
      </x:c>
      <x:c r="K157" s="208" t="str">
        <x:v>Aucun témoin pour cette variante</x:v>
      </x:c>
      <x:c r="L157" s="208" t="str">
        <x:v>https://github.com/darknigthmare/deadwall-last-enclosure/blob/1b3b9c5ba232734b1bda3453b4e20a0481bcdd74/docs/codex/suivi-monde2026/campagne205-eligibilite.json</x:v>
      </x:c>
    </x:row>
    <x:row r="158" ht="64" customHeight="1">
      <x:c r="A158" s="208" t="str">
        <x:v>EXT-MONDE-T048-V03</x:v>
      </x:c>
      <x:c r="B158" s="208" t="str">
        <x:v>Parc de caravanes abandonné</x:v>
      </x:c>
      <x:c r="C158" s="219" t="n">
        <x:v>3</x:v>
      </x:c>
      <x:c r="D158" s="208" t="str">
        <x:v>campaign205-048-03</x:v>
      </x:c>
      <x:c r="E158" s="220" t="str">
        <x:v>Oui</x:v>
      </x:c>
      <x:c r="F158" s="220" t="str">
        <x:v>Oui</x:v>
      </x:c>
      <x:c r="G158" s="220" t="str">
        <x:v>Oui</x:v>
      </x:c>
      <x:c r="H158" s="220" t="str">
        <x:v>Oui</x:v>
      </x:c>
      <x:c r="I158" s="220" t="str">
        <x:v>Oui</x:v>
      </x:c>
      <x:c r="J158" s="219" t="n">
        <x:v>0</x:v>
      </x:c>
      <x:c r="K158" s="208" t="str">
        <x:v>Aucun témoin pour cette variante</x:v>
      </x:c>
      <x:c r="L158" s="208" t="str">
        <x:v>https://github.com/darknigthmare/deadwall-last-enclosure/blob/1b3b9c5ba232734b1bda3453b4e20a0481bcdd74/docs/codex/suivi-monde2026/campagne205-eligibilite.json</x:v>
      </x:c>
    </x:row>
    <x:row r="159" ht="64" customHeight="1">
      <x:c r="A159" s="208" t="str">
        <x:v>EXT-MONDE-T048-V04</x:v>
      </x:c>
      <x:c r="B159" s="208" t="str">
        <x:v>Parc de caravanes abandonné</x:v>
      </x:c>
      <x:c r="C159" s="219" t="n">
        <x:v>4</x:v>
      </x:c>
      <x:c r="D159" s="208" t="str">
        <x:v>campaign205-048-04</x:v>
      </x:c>
      <x:c r="E159" s="220" t="str">
        <x:v>Oui</x:v>
      </x:c>
      <x:c r="F159" s="220" t="str">
        <x:v>Oui</x:v>
      </x:c>
      <x:c r="G159" s="220" t="str">
        <x:v>Oui</x:v>
      </x:c>
      <x:c r="H159" s="220" t="str">
        <x:v>Oui</x:v>
      </x:c>
      <x:c r="I159" s="220" t="str">
        <x:v>Oui</x:v>
      </x:c>
      <x:c r="J159" s="219" t="n">
        <x:v>0</x:v>
      </x:c>
      <x:c r="K159" s="208" t="str">
        <x:v>Aucun témoin pour cette variante</x:v>
      </x:c>
      <x:c r="L159" s="208" t="str">
        <x:v>https://github.com/darknigthmare/deadwall-last-enclosure/blob/1b3b9c5ba232734b1bda3453b4e20a0481bcdd74/docs/codex/suivi-monde2026/campagne205-eligibilite.json</x:v>
      </x:c>
    </x:row>
    <x:row r="160" ht="64" customHeight="1">
      <x:c r="A160" s="208" t="str">
        <x:v>EXT-MONDE-T048-V05</x:v>
      </x:c>
      <x:c r="B160" s="208" t="str">
        <x:v>Parc de caravanes abandonné</x:v>
      </x:c>
      <x:c r="C160" s="219" t="n">
        <x:v>5</x:v>
      </x:c>
      <x:c r="D160" s="208" t="str">
        <x:v>campaign205-048-05</x:v>
      </x:c>
      <x:c r="E160" s="220" t="str">
        <x:v>Oui</x:v>
      </x:c>
      <x:c r="F160" s="220" t="str">
        <x:v>Oui</x:v>
      </x:c>
      <x:c r="G160" s="220" t="str">
        <x:v>Oui</x:v>
      </x:c>
      <x:c r="H160" s="220" t="str">
        <x:v>Oui</x:v>
      </x:c>
      <x:c r="I160" s="220" t="str">
        <x:v>Oui</x:v>
      </x:c>
      <x:c r="J160" s="219" t="n">
        <x:v>1</x:v>
      </x:c>
      <x:c r="K160" s="208" t="str">
        <x:v>4294967295</x:v>
      </x:c>
      <x:c r="L160" s="208" t="str">
        <x:v>https://github.com/darknigthmare/deadwall-last-enclosure/blob/1b3b9c5ba232734b1bda3453b4e20a0481bcdd74/docs/codex/suivi-monde2026/campagne205-eligibilite.json</x:v>
      </x:c>
    </x:row>
    <x:row r="161" ht="64" customHeight="1">
      <x:c r="A161" s="208" t="str">
        <x:v>EXT-MONDE-T048-V06</x:v>
      </x:c>
      <x:c r="B161" s="208" t="str">
        <x:v>Parc de caravanes abandonné</x:v>
      </x:c>
      <x:c r="C161" s="219" t="n">
        <x:v>6</x:v>
      </x:c>
      <x:c r="D161" s="208" t="str">
        <x:v>campaign205-048-06</x:v>
      </x:c>
      <x:c r="E161" s="220" t="str">
        <x:v>Oui</x:v>
      </x:c>
      <x:c r="F161" s="220" t="str">
        <x:v>Oui</x:v>
      </x:c>
      <x:c r="G161" s="220" t="str">
        <x:v>Oui</x:v>
      </x:c>
      <x:c r="H161" s="220" t="str">
        <x:v>Oui</x:v>
      </x:c>
      <x:c r="I161" s="220" t="str">
        <x:v>Oui</x:v>
      </x:c>
      <x:c r="J161" s="219" t="n">
        <x:v>1</x:v>
      </x:c>
      <x:c r="K161" s="208" t="str">
        <x:v>84329</x:v>
      </x:c>
      <x:c r="L161" s="208" t="str">
        <x:v>https://github.com/darknigthmare/deadwall-last-enclosure/blob/1b3b9c5ba232734b1bda3453b4e20a0481bcdd74/docs/codex/suivi-monde2026/campagne205-eligibilite.json</x:v>
      </x:c>
    </x:row>
    <x:row r="162" ht="64" customHeight="1">
      <x:c r="A162" s="208" t="str">
        <x:v>EXT-MONDE-T048-V07</x:v>
      </x:c>
      <x:c r="B162" s="208" t="str">
        <x:v>Parc de caravanes abandonné</x:v>
      </x:c>
      <x:c r="C162" s="219" t="n">
        <x:v>7</x:v>
      </x:c>
      <x:c r="D162" s="208" t="str">
        <x:v>campaign205-048-07</x:v>
      </x:c>
      <x:c r="E162" s="220" t="str">
        <x:v>Oui</x:v>
      </x:c>
      <x:c r="F162" s="220" t="str">
        <x:v>Oui</x:v>
      </x:c>
      <x:c r="G162" s="220" t="str">
        <x:v>Oui</x:v>
      </x:c>
      <x:c r="H162" s="220" t="str">
        <x:v>Oui</x:v>
      </x:c>
      <x:c r="I162" s="220" t="str">
        <x:v>Oui</x:v>
      </x:c>
      <x:c r="J162" s="219" t="n">
        <x:v>0</x:v>
      </x:c>
      <x:c r="K162" s="208" t="str">
        <x:v>Aucun témoin pour cette variante</x:v>
      </x:c>
      <x:c r="L162" s="208" t="str">
        <x:v>https://github.com/darknigthmare/deadwall-last-enclosure/blob/1b3b9c5ba232734b1bda3453b4e20a0481bcdd74/docs/codex/suivi-monde2026/campagne205-eligibilite.json</x:v>
      </x:c>
    </x:row>
    <x:row r="163" ht="64" customHeight="1">
      <x:c r="A163" s="208" t="str">
        <x:v>EXT-MONDE-T048-V08</x:v>
      </x:c>
      <x:c r="B163" s="208" t="str">
        <x:v>Parc de caravanes abandonné</x:v>
      </x:c>
      <x:c r="C163" s="219" t="n">
        <x:v>8</x:v>
      </x:c>
      <x:c r="D163" s="208" t="str">
        <x:v>campaign205-048-08</x:v>
      </x:c>
      <x:c r="E163" s="220" t="str">
        <x:v>Oui</x:v>
      </x:c>
      <x:c r="F163" s="220" t="str">
        <x:v>Oui</x:v>
      </x:c>
      <x:c r="G163" s="220" t="str">
        <x:v>Oui</x:v>
      </x:c>
      <x:c r="H163" s="220" t="str">
        <x:v>Oui</x:v>
      </x:c>
      <x:c r="I163" s="220" t="str">
        <x:v>Oui</x:v>
      </x:c>
      <x:c r="J163" s="219" t="n">
        <x:v>0</x:v>
      </x:c>
      <x:c r="K163" s="208" t="str">
        <x:v>Aucun témoin pour cette variante</x:v>
      </x:c>
      <x:c r="L163" s="208" t="str">
        <x:v>https://github.com/darknigthmare/deadwall-last-enclosure/blob/1b3b9c5ba232734b1bda3453b4e20a0481bcdd74/docs/codex/suivi-monde2026/campagne205-eligibilite.json</x:v>
      </x:c>
    </x:row>
    <x:row r="164" ht="64" customHeight="1">
      <x:c r="A164" s="208" t="str">
        <x:v>EXT-MONDE-T048-V09</x:v>
      </x:c>
      <x:c r="B164" s="208" t="str">
        <x:v>Parc de caravanes abandonné</x:v>
      </x:c>
      <x:c r="C164" s="219" t="n">
        <x:v>9</x:v>
      </x:c>
      <x:c r="D164" s="208" t="str">
        <x:v>campaign205-048-09</x:v>
      </x:c>
      <x:c r="E164" s="220" t="str">
        <x:v>Oui</x:v>
      </x:c>
      <x:c r="F164" s="220" t="str">
        <x:v>Oui</x:v>
      </x:c>
      <x:c r="G164" s="220" t="str">
        <x:v>Oui</x:v>
      </x:c>
      <x:c r="H164" s="220" t="str">
        <x:v>Oui</x:v>
      </x:c>
      <x:c r="I164" s="220" t="str">
        <x:v>Oui</x:v>
      </x:c>
      <x:c r="J164" s="219" t="n">
        <x:v>1</x:v>
      </x:c>
      <x:c r="K164" s="208" t="str">
        <x:v>42</x:v>
      </x:c>
      <x:c r="L164" s="208" t="str">
        <x:v>https://github.com/darknigthmare/deadwall-last-enclosure/blob/1b3b9c5ba232734b1bda3453b4e20a0481bcdd74/docs/codex/suivi-monde2026/campagne205-eligibilite.json</x:v>
      </x:c>
    </x:row>
    <x:row r="165" ht="64" customHeight="1">
      <x:c r="A165" s="208" t="str">
        <x:v>EXT-MONDE-T048-V10</x:v>
      </x:c>
      <x:c r="B165" s="208" t="str">
        <x:v>Parc de caravanes abandonné</x:v>
      </x:c>
      <x:c r="C165" s="219" t="n">
        <x:v>10</x:v>
      </x:c>
      <x:c r="D165" s="208" t="str">
        <x:v>campaign205-048-10</x:v>
      </x:c>
      <x:c r="E165" s="220" t="str">
        <x:v>Oui</x:v>
      </x:c>
      <x:c r="F165" s="220" t="str">
        <x:v>Oui</x:v>
      </x:c>
      <x:c r="G165" s="220" t="str">
        <x:v>Oui</x:v>
      </x:c>
      <x:c r="H165" s="220" t="str">
        <x:v>Oui</x:v>
      </x:c>
      <x:c r="I165" s="220" t="str">
        <x:v>Oui</x:v>
      </x:c>
      <x:c r="J165" s="219" t="n">
        <x:v>0</x:v>
      </x:c>
      <x:c r="K165" s="208" t="str">
        <x:v>Aucun témoin pour cette variante</x:v>
      </x:c>
      <x:c r="L165" s="208" t="str">
        <x:v>https://github.com/darknigthmare/deadwall-last-enclosure/blob/1b3b9c5ba232734b1bda3453b4e20a0481bcdd74/docs/codex/suivi-monde2026/campagne205-eligibilite.json</x:v>
      </x:c>
    </x:row>
    <x:row r="166" ht="64" customHeight="1">
      <x:c r="A166" s="208" t="str">
        <x:v>EXT-MONDE-T048-V11</x:v>
      </x:c>
      <x:c r="B166" s="208" t="str">
        <x:v>Parc de caravanes abandonné</x:v>
      </x:c>
      <x:c r="C166" s="219" t="n">
        <x:v>11</x:v>
      </x:c>
      <x:c r="D166" s="208" t="str">
        <x:v>campaign205-048-11</x:v>
      </x:c>
      <x:c r="E166" s="220" t="str">
        <x:v>Oui</x:v>
      </x:c>
      <x:c r="F166" s="220" t="str">
        <x:v>Oui</x:v>
      </x:c>
      <x:c r="G166" s="220" t="str">
        <x:v>Oui</x:v>
      </x:c>
      <x:c r="H166" s="220" t="str">
        <x:v>Oui</x:v>
      </x:c>
      <x:c r="I166" s="220" t="str">
        <x:v>Oui</x:v>
      </x:c>
      <x:c r="J166" s="219" t="n">
        <x:v>0</x:v>
      </x:c>
      <x:c r="K166" s="208" t="str">
        <x:v>Aucun témoin pour cette variante</x:v>
      </x:c>
      <x:c r="L166" s="208" t="str">
        <x:v>https://github.com/darknigthmare/deadwall-last-enclosure/blob/1b3b9c5ba232734b1bda3453b4e20a0481bcdd74/docs/codex/suivi-monde2026/campagne205-eligibilite.json</x:v>
      </x:c>
    </x:row>
    <x:row r="167" ht="64" customHeight="1">
      <x:c r="A167" s="208" t="str">
        <x:v>EXT-MONDE-T048-V12</x:v>
      </x:c>
      <x:c r="B167" s="208" t="str">
        <x:v>Parc de caravanes abandonné</x:v>
      </x:c>
      <x:c r="C167" s="219" t="n">
        <x:v>12</x:v>
      </x:c>
      <x:c r="D167" s="208" t="str">
        <x:v>campaign205-048-12</x:v>
      </x:c>
      <x:c r="E167" s="220" t="str">
        <x:v>Oui</x:v>
      </x:c>
      <x:c r="F167" s="220" t="str">
        <x:v>Oui</x:v>
      </x:c>
      <x:c r="G167" s="220" t="str">
        <x:v>Oui</x:v>
      </x:c>
      <x:c r="H167" s="220" t="str">
        <x:v>Oui</x:v>
      </x:c>
      <x:c r="I167" s="220" t="str">
        <x:v>Oui</x:v>
      </x:c>
      <x:c r="J167" s="219" t="n">
        <x:v>0</x:v>
      </x:c>
      <x:c r="K167" s="208" t="str">
        <x:v>Aucun témoin pour cette variante</x:v>
      </x:c>
      <x:c r="L167" s="208" t="str">
        <x:v>https://github.com/darknigthmare/deadwall-last-enclosure/blob/1b3b9c5ba232734b1bda3453b4e20a0481bcdd74/docs/codex/suivi-monde2026/campagne205-eligibilite.json</x:v>
      </x:c>
    </x:row>
    <x:row r="168" ht="64" customHeight="1">
      <x:c r="A168" s="208" t="str">
        <x:v>EXT-MONDE-T048-V13</x:v>
      </x:c>
      <x:c r="B168" s="208" t="str">
        <x:v>Parc de caravanes abandonné</x:v>
      </x:c>
      <x:c r="C168" s="219" t="n">
        <x:v>13</x:v>
      </x:c>
      <x:c r="D168" s="208" t="str">
        <x:v>campaign205-048-13</x:v>
      </x:c>
      <x:c r="E168" s="220" t="str">
        <x:v>Oui</x:v>
      </x:c>
      <x:c r="F168" s="220" t="str">
        <x:v>Oui</x:v>
      </x:c>
      <x:c r="G168" s="220" t="str">
        <x:v>Oui</x:v>
      </x:c>
      <x:c r="H168" s="220" t="str">
        <x:v>Oui</x:v>
      </x:c>
      <x:c r="I168" s="220" t="str">
        <x:v>Oui</x:v>
      </x:c>
      <x:c r="J168" s="219" t="n">
        <x:v>1</x:v>
      </x:c>
      <x:c r="K168" s="208" t="str">
        <x:v>1</x:v>
      </x:c>
      <x:c r="L168" s="208" t="str">
        <x:v>https://github.com/darknigthmare/deadwall-last-enclosure/blob/1b3b9c5ba232734b1bda3453b4e20a0481bcdd74/docs/codex/suivi-monde2026/campagne205-eligibilite.json</x:v>
      </x:c>
    </x:row>
    <x:row r="169" ht="64" customHeight="1">
      <x:c r="A169" s="208" t="str">
        <x:v>EXT-MONDE-T048-V14</x:v>
      </x:c>
      <x:c r="B169" s="208" t="str">
        <x:v>Parc de caravanes abandonné</x:v>
      </x:c>
      <x:c r="C169" s="219" t="n">
        <x:v>14</x:v>
      </x:c>
      <x:c r="D169" s="208" t="str">
        <x:v>campaign205-048-14</x:v>
      </x:c>
      <x:c r="E169" s="220" t="str">
        <x:v>Oui</x:v>
      </x:c>
      <x:c r="F169" s="220" t="str">
        <x:v>Oui</x:v>
      </x:c>
      <x:c r="G169" s="220" t="str">
        <x:v>Oui</x:v>
      </x:c>
      <x:c r="H169" s="220" t="str">
        <x:v>Oui</x:v>
      </x:c>
      <x:c r="I169" s="220" t="str">
        <x:v>Oui</x:v>
      </x:c>
      <x:c r="J169" s="219" t="n">
        <x:v>1</x:v>
      </x:c>
      <x:c r="K169" s="208" t="str">
        <x:v>0</x:v>
      </x:c>
      <x:c r="L169" s="208" t="str">
        <x:v>https://github.com/darknigthmare/deadwall-last-enclosure/blob/1b3b9c5ba232734b1bda3453b4e20a0481bcdd74/docs/codex/suivi-monde2026/campagne205-eligibilite.json</x:v>
      </x:c>
    </x:row>
    <x:row r="170" ht="64" customHeight="1">
      <x:c r="A170" s="208" t="str">
        <x:v>EXT-MONDE-T048-V15</x:v>
      </x:c>
      <x:c r="B170" s="208" t="str">
        <x:v>Parc de caravanes abandonné</x:v>
      </x:c>
      <x:c r="C170" s="219" t="n">
        <x:v>15</x:v>
      </x:c>
      <x:c r="D170" s="208" t="str">
        <x:v>campaign205-048-15</x:v>
      </x:c>
      <x:c r="E170" s="220" t="str">
        <x:v>Oui</x:v>
      </x:c>
      <x:c r="F170" s="220" t="str">
        <x:v>Oui</x:v>
      </x:c>
      <x:c r="G170" s="220" t="str">
        <x:v>Oui</x:v>
      </x:c>
      <x:c r="H170" s="220" t="str">
        <x:v>Oui</x:v>
      </x:c>
      <x:c r="I170" s="220" t="str">
        <x:v>Oui</x:v>
      </x:c>
      <x:c r="J170" s="219" t="n">
        <x:v>0</x:v>
      </x:c>
      <x:c r="K170" s="208" t="str">
        <x:v>Aucun témoin pour cette variante</x:v>
      </x:c>
      <x:c r="L170" s="208" t="str">
        <x:v>https://github.com/darknigthmare/deadwall-last-enclosure/blob/1b3b9c5ba232734b1bda3453b4e20a0481bcdd74/docs/codex/suivi-monde2026/campagne205-eligibilite.json</x:v>
      </x:c>
    </x:row>
    <x:row r="171" ht="64" customHeight="1">
      <x:c r="A171" s="208" t="str">
        <x:v>EXT-MONDE-T048-V16</x:v>
      </x:c>
      <x:c r="B171" s="208" t="str">
        <x:v>Parc de caravanes abandonné</x:v>
      </x:c>
      <x:c r="C171" s="219" t="n">
        <x:v>16</x:v>
      </x:c>
      <x:c r="D171" s="208" t="str">
        <x:v>campaign205-048-16</x:v>
      </x:c>
      <x:c r="E171" s="220" t="str">
        <x:v>Oui</x:v>
      </x:c>
      <x:c r="F171" s="220" t="str">
        <x:v>Oui</x:v>
      </x:c>
      <x:c r="G171" s="220" t="str">
        <x:v>Oui</x:v>
      </x:c>
      <x:c r="H171" s="220" t="str">
        <x:v>Oui</x:v>
      </x:c>
      <x:c r="I171" s="220" t="str">
        <x:v>Oui</x:v>
      </x:c>
      <x:c r="J171" s="219" t="n">
        <x:v>2</x:v>
      </x:c>
      <x:c r="K171" s="208" t="str">
        <x:v>0, 1947648717</x:v>
      </x:c>
      <x:c r="L171" s="208" t="str">
        <x:v>https://github.com/darknigthmare/deadwall-last-enclosure/blob/1b3b9c5ba232734b1bda3453b4e20a0481bcdd74/docs/codex/suivi-monde2026/campagne205-eligibilite.json</x:v>
      </x:c>
    </x:row>
    <x:row r="172" ht="64" customHeight="1">
      <x:c r="A172" s="208" t="str">
        <x:v>EXT-MONDE-T048-V17</x:v>
      </x:c>
      <x:c r="B172" s="208" t="str">
        <x:v>Parc de caravanes abandonné</x:v>
      </x:c>
      <x:c r="C172" s="219" t="n">
        <x:v>17</x:v>
      </x:c>
      <x:c r="D172" s="208" t="str">
        <x:v>campaign205-048-17</x:v>
      </x:c>
      <x:c r="E172" s="220" t="str">
        <x:v>Oui</x:v>
      </x:c>
      <x:c r="F172" s="220" t="str">
        <x:v>Oui</x:v>
      </x:c>
      <x:c r="G172" s="220" t="str">
        <x:v>Oui</x:v>
      </x:c>
      <x:c r="H172" s="220" t="str">
        <x:v>Oui</x:v>
      </x:c>
      <x:c r="I172" s="220" t="str">
        <x:v>Oui</x:v>
      </x:c>
      <x:c r="J172" s="219" t="n">
        <x:v>0</x:v>
      </x:c>
      <x:c r="K172" s="208" t="str">
        <x:v>Aucun témoin pour cette variante</x:v>
      </x:c>
      <x:c r="L172" s="208" t="str">
        <x:v>https://github.com/darknigthmare/deadwall-last-enclosure/blob/1b3b9c5ba232734b1bda3453b4e20a0481bcdd74/docs/codex/suivi-monde2026/campagne205-eligibilite.json</x:v>
      </x:c>
    </x:row>
    <x:row r="173" ht="64" customHeight="1">
      <x:c r="A173" s="208" t="str">
        <x:v>EXT-MONDE-T048-V18</x:v>
      </x:c>
      <x:c r="B173" s="208" t="str">
        <x:v>Parc de caravanes abandonné</x:v>
      </x:c>
      <x:c r="C173" s="219" t="n">
        <x:v>18</x:v>
      </x:c>
      <x:c r="D173" s="208" t="str">
        <x:v>campaign205-048-18</x:v>
      </x:c>
      <x:c r="E173" s="220" t="str">
        <x:v>Oui</x:v>
      </x:c>
      <x:c r="F173" s="220" t="str">
        <x:v>Oui</x:v>
      </x:c>
      <x:c r="G173" s="220" t="str">
        <x:v>Oui</x:v>
      </x:c>
      <x:c r="H173" s="220" t="str">
        <x:v>Oui</x:v>
      </x:c>
      <x:c r="I173" s="220" t="str">
        <x:v>Oui</x:v>
      </x:c>
      <x:c r="J173" s="219" t="n">
        <x:v>0</x:v>
      </x:c>
      <x:c r="K173" s="208" t="str">
        <x:v>Aucun témoin pour cette variante</x:v>
      </x:c>
      <x:c r="L173" s="208" t="str">
        <x:v>https://github.com/darknigthmare/deadwall-last-enclosure/blob/1b3b9c5ba232734b1bda3453b4e20a0481bcdd74/docs/codex/suivi-monde2026/campagne205-eligibilite.json</x:v>
      </x:c>
    </x:row>
    <x:row r="174" ht="64" customHeight="1">
      <x:c r="A174" s="208" t="str">
        <x:v>EXT-MONDE-T048-V19</x:v>
      </x:c>
      <x:c r="B174" s="208" t="str">
        <x:v>Parc de caravanes abandonné</x:v>
      </x:c>
      <x:c r="C174" s="219" t="n">
        <x:v>19</x:v>
      </x:c>
      <x:c r="D174" s="208" t="str">
        <x:v>campaign205-048-19</x:v>
      </x:c>
      <x:c r="E174" s="220" t="str">
        <x:v>Oui</x:v>
      </x:c>
      <x:c r="F174" s="220" t="str">
        <x:v>Oui</x:v>
      </x:c>
      <x:c r="G174" s="220" t="str">
        <x:v>Oui</x:v>
      </x:c>
      <x:c r="H174" s="220" t="str">
        <x:v>Oui</x:v>
      </x:c>
      <x:c r="I174" s="220" t="str">
        <x:v>Oui</x:v>
      </x:c>
      <x:c r="J174" s="219" t="n">
        <x:v>1</x:v>
      </x:c>
      <x:c r="K174" s="208" t="str">
        <x:v>1</x:v>
      </x:c>
      <x:c r="L174" s="208" t="str">
        <x:v>https://github.com/darknigthmare/deadwall-last-enclosure/blob/1b3b9c5ba232734b1bda3453b4e20a0481bcdd74/docs/codex/suivi-monde2026/campagne205-eligibilite.json</x:v>
      </x:c>
    </x:row>
    <x:row r="175" ht="64" customHeight="1">
      <x:c r="A175" s="208" t="str">
        <x:v>EXT-MONDE-T048-V20</x:v>
      </x:c>
      <x:c r="B175" s="208" t="str">
        <x:v>Parc de caravanes abandonné</x:v>
      </x:c>
      <x:c r="C175" s="219" t="n">
        <x:v>20</x:v>
      </x:c>
      <x:c r="D175" s="208" t="str">
        <x:v>campaign205-048-20</x:v>
      </x:c>
      <x:c r="E175" s="220" t="str">
        <x:v>Oui</x:v>
      </x:c>
      <x:c r="F175" s="220" t="str">
        <x:v>Oui</x:v>
      </x:c>
      <x:c r="G175" s="220" t="str">
        <x:v>Oui</x:v>
      </x:c>
      <x:c r="H175" s="220" t="str">
        <x:v>Oui</x:v>
      </x:c>
      <x:c r="I175" s="220" t="str">
        <x:v>Oui</x:v>
      </x:c>
      <x:c r="J175" s="219" t="n">
        <x:v>0</x:v>
      </x:c>
      <x:c r="K175" s="208" t="str">
        <x:v>Aucun témoin pour cette variante</x:v>
      </x:c>
      <x:c r="L175" s="208" t="str">
        <x:v>https://github.com/darknigthmare/deadwall-last-enclosure/blob/1b3b9c5ba232734b1bda3453b4e20a0481bcdd74/docs/codex/suivi-monde2026/campagne205-eligibilite.json</x:v>
      </x:c>
    </x:row>
    <x:row r="176" ht="64" customHeight="1">
      <x:c r="A176" s="208" t="str">
        <x:v>EXT-MONDE-T048-V21</x:v>
      </x:c>
      <x:c r="B176" s="208" t="str">
        <x:v>Parc de caravanes abandonné</x:v>
      </x:c>
      <x:c r="C176" s="219" t="n">
        <x:v>21</x:v>
      </x:c>
      <x:c r="D176" s="208" t="str">
        <x:v>campaign205-048-21</x:v>
      </x:c>
      <x:c r="E176" s="220" t="str">
        <x:v>Oui</x:v>
      </x:c>
      <x:c r="F176" s="220" t="str">
        <x:v>Oui</x:v>
      </x:c>
      <x:c r="G176" s="220" t="str">
        <x:v>Oui</x:v>
      </x:c>
      <x:c r="H176" s="220" t="str">
        <x:v>Oui</x:v>
      </x:c>
      <x:c r="I176" s="220" t="str">
        <x:v>Oui</x:v>
      </x:c>
      <x:c r="J176" s="219" t="n">
        <x:v>0</x:v>
      </x:c>
      <x:c r="K176" s="208" t="str">
        <x:v>Aucun témoin pour cette variante</x:v>
      </x:c>
      <x:c r="L176" s="208" t="str">
        <x:v>https://github.com/darknigthmare/deadwall-last-enclosure/blob/1b3b9c5ba232734b1bda3453b4e20a0481bcdd74/docs/codex/suivi-monde2026/campagne205-eligibilite.json</x:v>
      </x:c>
    </x:row>
    <x:row r="177" ht="64" customHeight="1">
      <x:c r="A177" s="208" t="str">
        <x:v>EXT-MONDE-T048-V22</x:v>
      </x:c>
      <x:c r="B177" s="208" t="str">
        <x:v>Parc de caravanes abandonné</x:v>
      </x:c>
      <x:c r="C177" s="219" t="n">
        <x:v>22</x:v>
      </x:c>
      <x:c r="D177" s="208" t="str">
        <x:v>campaign205-048-22</x:v>
      </x:c>
      <x:c r="E177" s="220" t="str">
        <x:v>Oui</x:v>
      </x:c>
      <x:c r="F177" s="220" t="str">
        <x:v>Oui</x:v>
      </x:c>
      <x:c r="G177" s="220" t="str">
        <x:v>Oui</x:v>
      </x:c>
      <x:c r="H177" s="220" t="str">
        <x:v>Oui</x:v>
      </x:c>
      <x:c r="I177" s="220" t="str">
        <x:v>Oui</x:v>
      </x:c>
      <x:c r="J177" s="219" t="n">
        <x:v>0</x:v>
      </x:c>
      <x:c r="K177" s="208" t="str">
        <x:v>Aucun témoin pour cette variante</x:v>
      </x:c>
      <x:c r="L177" s="208" t="str">
        <x:v>https://github.com/darknigthmare/deadwall-last-enclosure/blob/1b3b9c5ba232734b1bda3453b4e20a0481bcdd74/docs/codex/suivi-monde2026/campagne205-eligibilite.json</x:v>
      </x:c>
    </x:row>
    <x:row r="178" ht="64" customHeight="1">
      <x:c r="A178" s="208" t="str">
        <x:v>EXT-MONDE-T048-V23</x:v>
      </x:c>
      <x:c r="B178" s="208" t="str">
        <x:v>Parc de caravanes abandonné</x:v>
      </x:c>
      <x:c r="C178" s="219" t="n">
        <x:v>23</x:v>
      </x:c>
      <x:c r="D178" s="208" t="str">
        <x:v>campaign205-048-23</x:v>
      </x:c>
      <x:c r="E178" s="220" t="str">
        <x:v>Oui</x:v>
      </x:c>
      <x:c r="F178" s="220" t="str">
        <x:v>Oui</x:v>
      </x:c>
      <x:c r="G178" s="220" t="str">
        <x:v>Oui</x:v>
      </x:c>
      <x:c r="H178" s="220" t="str">
        <x:v>Oui</x:v>
      </x:c>
      <x:c r="I178" s="220" t="str">
        <x:v>Oui</x:v>
      </x:c>
      <x:c r="J178" s="219" t="n">
        <x:v>0</x:v>
      </x:c>
      <x:c r="K178" s="208" t="str">
        <x:v>Aucun témoin pour cette variante</x:v>
      </x:c>
      <x:c r="L178" s="208" t="str">
        <x:v>https://github.com/darknigthmare/deadwall-last-enclosure/blob/1b3b9c5ba232734b1bda3453b4e20a0481bcdd74/docs/codex/suivi-monde2026/campagne205-eligibilite.json</x:v>
      </x:c>
    </x:row>
    <x:row r="179" ht="64" customHeight="1">
      <x:c r="A179" s="208" t="str">
        <x:v>EXT-MONDE-T048-V24</x:v>
      </x:c>
      <x:c r="B179" s="208" t="str">
        <x:v>Parc de caravanes abandonné</x:v>
      </x:c>
      <x:c r="C179" s="219" t="n">
        <x:v>24</x:v>
      </x:c>
      <x:c r="D179" s="208" t="str">
        <x:v>campaign205-048-24</x:v>
      </x:c>
      <x:c r="E179" s="220" t="str">
        <x:v>Oui</x:v>
      </x:c>
      <x:c r="F179" s="220" t="str">
        <x:v>Oui</x:v>
      </x:c>
      <x:c r="G179" s="220" t="str">
        <x:v>Oui</x:v>
      </x:c>
      <x:c r="H179" s="220" t="str">
        <x:v>Oui</x:v>
      </x:c>
      <x:c r="I179" s="220" t="str">
        <x:v>Oui</x:v>
      </x:c>
      <x:c r="J179" s="219" t="n">
        <x:v>0</x:v>
      </x:c>
      <x:c r="K179" s="208" t="str">
        <x:v>Aucun témoin pour cette variante</x:v>
      </x:c>
      <x:c r="L179" s="208" t="str">
        <x:v>https://github.com/darknigthmare/deadwall-last-enclosure/blob/1b3b9c5ba232734b1bda3453b4e20a0481bcdd74/docs/codex/suivi-monde2026/campagne205-eligibilite.json</x:v>
      </x:c>
    </x:row>
    <x:row r="180" ht="64" customHeight="1">
      <x:c r="A180" s="208" t="str">
        <x:v>EXT-MONDE-T048-V25</x:v>
      </x:c>
      <x:c r="B180" s="208" t="str">
        <x:v>Parc de caravanes abandonné</x:v>
      </x:c>
      <x:c r="C180" s="219" t="n">
        <x:v>25</x:v>
      </x:c>
      <x:c r="D180" s="208" t="str">
        <x:v>campaign205-048-25</x:v>
      </x:c>
      <x:c r="E180" s="220" t="str">
        <x:v>Oui</x:v>
      </x:c>
      <x:c r="F180" s="220" t="str">
        <x:v>Oui</x:v>
      </x:c>
      <x:c r="G180" s="220" t="str">
        <x:v>Oui</x:v>
      </x:c>
      <x:c r="H180" s="220" t="str">
        <x:v>Oui</x:v>
      </x:c>
      <x:c r="I180" s="220" t="str">
        <x:v>Oui</x:v>
      </x:c>
      <x:c r="J180" s="219" t="n">
        <x:v>0</x:v>
      </x:c>
      <x:c r="K180" s="208" t="str">
        <x:v>Aucun témoin pour cette variante</x:v>
      </x:c>
      <x:c r="L180" s="208" t="str">
        <x:v>https://github.com/darknigthmare/deadwall-last-enclosure/blob/1b3b9c5ba232734b1bda3453b4e20a0481bcdd74/docs/codex/suivi-monde2026/campagne205-eligibilite.json</x:v>
      </x:c>
    </x:row>
    <x:row r="181" ht="64" customHeight="1">
      <x:c r="A181" s="208" t="str">
        <x:v>EXT-MONDE-T048-V26</x:v>
      </x:c>
      <x:c r="B181" s="208" t="str">
        <x:v>Parc de caravanes abandonné</x:v>
      </x:c>
      <x:c r="C181" s="219" t="n">
        <x:v>26</x:v>
      </x:c>
      <x:c r="D181" s="208" t="str">
        <x:v>campaign205-048-26</x:v>
      </x:c>
      <x:c r="E181" s="220" t="str">
        <x:v>Oui</x:v>
      </x:c>
      <x:c r="F181" s="220" t="str">
        <x:v>Oui</x:v>
      </x:c>
      <x:c r="G181" s="220" t="str">
        <x:v>Oui</x:v>
      </x:c>
      <x:c r="H181" s="220" t="str">
        <x:v>Oui</x:v>
      </x:c>
      <x:c r="I181" s="220" t="str">
        <x:v>Oui</x:v>
      </x:c>
      <x:c r="J181" s="219" t="n">
        <x:v>0</x:v>
      </x:c>
      <x:c r="K181" s="208" t="str">
        <x:v>Aucun témoin pour cette variante</x:v>
      </x:c>
      <x:c r="L181" s="208" t="str">
        <x:v>https://github.com/darknigthmare/deadwall-last-enclosure/blob/1b3b9c5ba232734b1bda3453b4e20a0481bcdd74/docs/codex/suivi-monde2026/campagne205-eligibilite.json</x:v>
      </x:c>
    </x:row>
    <x:row r="182" ht="64" customHeight="1">
      <x:c r="A182" s="208" t="str">
        <x:v>EXT-MONDE-T048-V27</x:v>
      </x:c>
      <x:c r="B182" s="208" t="str">
        <x:v>Parc de caravanes abandonné</x:v>
      </x:c>
      <x:c r="C182" s="219" t="n">
        <x:v>27</x:v>
      </x:c>
      <x:c r="D182" s="208" t="str">
        <x:v>campaign205-048-27</x:v>
      </x:c>
      <x:c r="E182" s="220" t="str">
        <x:v>Oui</x:v>
      </x:c>
      <x:c r="F182" s="220" t="str">
        <x:v>Oui</x:v>
      </x:c>
      <x:c r="G182" s="220" t="str">
        <x:v>Oui</x:v>
      </x:c>
      <x:c r="H182" s="220" t="str">
        <x:v>Oui</x:v>
      </x:c>
      <x:c r="I182" s="220" t="str">
        <x:v>Oui</x:v>
      </x:c>
      <x:c r="J182" s="219" t="n">
        <x:v>0</x:v>
      </x:c>
      <x:c r="K182" s="208" t="str">
        <x:v>Aucun témoin pour cette variante</x:v>
      </x:c>
      <x:c r="L182" s="208" t="str">
        <x:v>https://github.com/darknigthmare/deadwall-last-enclosure/blob/1b3b9c5ba232734b1bda3453b4e20a0481bcdd74/docs/codex/suivi-monde2026/campagne205-eligibilite.json</x:v>
      </x:c>
    </x:row>
    <x:row r="183" ht="64" customHeight="1">
      <x:c r="A183" s="208" t="str">
        <x:v>EXT-MONDE-T048-V28</x:v>
      </x:c>
      <x:c r="B183" s="208" t="str">
        <x:v>Parc de caravanes abandonné</x:v>
      </x:c>
      <x:c r="C183" s="219" t="n">
        <x:v>28</x:v>
      </x:c>
      <x:c r="D183" s="208" t="str">
        <x:v>campaign205-048-28</x:v>
      </x:c>
      <x:c r="E183" s="220" t="str">
        <x:v>Oui</x:v>
      </x:c>
      <x:c r="F183" s="220" t="str">
        <x:v>Oui</x:v>
      </x:c>
      <x:c r="G183" s="220" t="str">
        <x:v>Oui</x:v>
      </x:c>
      <x:c r="H183" s="220" t="str">
        <x:v>Oui</x:v>
      </x:c>
      <x:c r="I183" s="220" t="str">
        <x:v>Oui</x:v>
      </x:c>
      <x:c r="J183" s="219" t="n">
        <x:v>0</x:v>
      </x:c>
      <x:c r="K183" s="208" t="str">
        <x:v>Aucun témoin pour cette variante</x:v>
      </x:c>
      <x:c r="L183" s="208" t="str">
        <x:v>https://github.com/darknigthmare/deadwall-last-enclosure/blob/1b3b9c5ba232734b1bda3453b4e20a0481bcdd74/docs/codex/suivi-monde2026/campagne205-eligibilite.json</x:v>
      </x:c>
    </x:row>
    <x:row r="184" ht="64" customHeight="1">
      <x:c r="A184" s="208" t="str">
        <x:v>EXT-MONDE-T048-V29</x:v>
      </x:c>
      <x:c r="B184" s="208" t="str">
        <x:v>Parc de caravanes abandonné</x:v>
      </x:c>
      <x:c r="C184" s="219" t="n">
        <x:v>29</x:v>
      </x:c>
      <x:c r="D184" s="208" t="str">
        <x:v>campaign205-048-29</x:v>
      </x:c>
      <x:c r="E184" s="220" t="str">
        <x:v>Oui</x:v>
      </x:c>
      <x:c r="F184" s="220" t="str">
        <x:v>Oui</x:v>
      </x:c>
      <x:c r="G184" s="220" t="str">
        <x:v>Oui</x:v>
      </x:c>
      <x:c r="H184" s="220" t="str">
        <x:v>Oui</x:v>
      </x:c>
      <x:c r="I184" s="220" t="str">
        <x:v>Oui</x:v>
      </x:c>
      <x:c r="J184" s="219" t="n">
        <x:v>1</x:v>
      </x:c>
      <x:c r="K184" s="208" t="str">
        <x:v>42</x:v>
      </x:c>
      <x:c r="L184" s="208" t="str">
        <x:v>https://github.com/darknigthmare/deadwall-last-enclosure/blob/1b3b9c5ba232734b1bda3453b4e20a0481bcdd74/docs/codex/suivi-monde2026/campagne205-eligibilite.json</x:v>
      </x:c>
    </x:row>
    <x:row r="185" ht="64" customHeight="1">
      <x:c r="A185" s="208" t="str">
        <x:v>EXT-MONDE-T048-V30</x:v>
      </x:c>
      <x:c r="B185" s="208" t="str">
        <x:v>Parc de caravanes abandonné</x:v>
      </x:c>
      <x:c r="C185" s="219" t="n">
        <x:v>30</x:v>
      </x:c>
      <x:c r="D185" s="208" t="str">
        <x:v>campaign205-048-30</x:v>
      </x:c>
      <x:c r="E185" s="220" t="str">
        <x:v>Oui</x:v>
      </x:c>
      <x:c r="F185" s="220" t="str">
        <x:v>Oui</x:v>
      </x:c>
      <x:c r="G185" s="220" t="str">
        <x:v>Oui</x:v>
      </x:c>
      <x:c r="H185" s="220" t="str">
        <x:v>Oui</x:v>
      </x:c>
      <x:c r="I185" s="220" t="str">
        <x:v>Oui</x:v>
      </x:c>
      <x:c r="J185" s="219" t="n">
        <x:v>0</x:v>
      </x:c>
      <x:c r="K185" s="208" t="str">
        <x:v>Aucun témoin pour cette variante</x:v>
      </x:c>
      <x:c r="L185" s="208" t="str">
        <x:v>https://github.com/darknigthmare/deadwall-last-enclosure/blob/1b3b9c5ba232734b1bda3453b4e20a0481bcdd74/docs/codex/suivi-monde2026/campagne205-eligibilite.json</x:v>
      </x:c>
    </x:row>
    <x:row r="186" ht="64" customHeight="1">
      <x:c r="A186" s="208" t="str">
        <x:v>EXT-MONDE-T048-V31</x:v>
      </x:c>
      <x:c r="B186" s="208" t="str">
        <x:v>Parc de caravanes abandonné</x:v>
      </x:c>
      <x:c r="C186" s="219" t="n">
        <x:v>31</x:v>
      </x:c>
      <x:c r="D186" s="208" t="str">
        <x:v>campaign205-048-31</x:v>
      </x:c>
      <x:c r="E186" s="220" t="str">
        <x:v>Oui</x:v>
      </x:c>
      <x:c r="F186" s="220" t="str">
        <x:v>Oui</x:v>
      </x:c>
      <x:c r="G186" s="220" t="str">
        <x:v>Oui</x:v>
      </x:c>
      <x:c r="H186" s="220" t="str">
        <x:v>Oui</x:v>
      </x:c>
      <x:c r="I186" s="220" t="str">
        <x:v>Oui</x:v>
      </x:c>
      <x:c r="J186" s="219" t="n">
        <x:v>0</x:v>
      </x:c>
      <x:c r="K186" s="208" t="str">
        <x:v>Aucun témoin pour cette variante</x:v>
      </x:c>
      <x:c r="L186" s="208" t="str">
        <x:v>https://github.com/darknigthmare/deadwall-last-enclosure/blob/1b3b9c5ba232734b1bda3453b4e20a0481bcdd74/docs/codex/suivi-monde2026/campagne205-eligibilite.json</x:v>
      </x:c>
    </x:row>
    <x:row r="187" ht="64" customHeight="1">
      <x:c r="A187" s="208" t="str">
        <x:v>EXT-MONDE-T048-V32</x:v>
      </x:c>
      <x:c r="B187" s="208" t="str">
        <x:v>Parc de caravanes abandonné</x:v>
      </x:c>
      <x:c r="C187" s="219" t="n">
        <x:v>32</x:v>
      </x:c>
      <x:c r="D187" s="208" t="str">
        <x:v>campaign205-048-32</x:v>
      </x:c>
      <x:c r="E187" s="220" t="str">
        <x:v>Oui</x:v>
      </x:c>
      <x:c r="F187" s="220" t="str">
        <x:v>Oui</x:v>
      </x:c>
      <x:c r="G187" s="220" t="str">
        <x:v>Oui</x:v>
      </x:c>
      <x:c r="H187" s="220" t="str">
        <x:v>Oui</x:v>
      </x:c>
      <x:c r="I187" s="220" t="str">
        <x:v>Oui</x:v>
      </x:c>
      <x:c r="J187" s="219" t="n">
        <x:v>0</x:v>
      </x:c>
      <x:c r="K187" s="208" t="str">
        <x:v>Aucun témoin pour cette variante</x:v>
      </x:c>
      <x:c r="L187" s="208" t="str">
        <x:v>https://github.com/darknigthmare/deadwall-last-enclosure/blob/1b3b9c5ba232734b1bda3453b4e20a0481bcdd74/docs/codex/suivi-monde2026/campagne205-eligibilite.json</x:v>
      </x:c>
    </x:row>
    <x:row r="188" ht="64" customHeight="1">
      <x:c r="A188" s="208" t="str">
        <x:v>EXT-MONDE-T048-V33</x:v>
      </x:c>
      <x:c r="B188" s="208" t="str">
        <x:v>Parc de caravanes abandonné</x:v>
      </x:c>
      <x:c r="C188" s="219" t="n">
        <x:v>33</x:v>
      </x:c>
      <x:c r="D188" s="208" t="str">
        <x:v>campaign205-048-33</x:v>
      </x:c>
      <x:c r="E188" s="220" t="str">
        <x:v>Oui</x:v>
      </x:c>
      <x:c r="F188" s="220" t="str">
        <x:v>Oui</x:v>
      </x:c>
      <x:c r="G188" s="220" t="str">
        <x:v>Oui</x:v>
      </x:c>
      <x:c r="H188" s="220" t="str">
        <x:v>Oui</x:v>
      </x:c>
      <x:c r="I188" s="220" t="str">
        <x:v>Oui</x:v>
      </x:c>
      <x:c r="J188" s="219" t="n">
        <x:v>0</x:v>
      </x:c>
      <x:c r="K188" s="208" t="str">
        <x:v>Aucun témoin pour cette variante</x:v>
      </x:c>
      <x:c r="L188" s="208" t="str">
        <x:v>https://github.com/darknigthmare/deadwall-last-enclosure/blob/1b3b9c5ba232734b1bda3453b4e20a0481bcdd74/docs/codex/suivi-monde2026/campagne205-eligibilite.json</x:v>
      </x:c>
    </x:row>
    <x:row r="189" ht="64" customHeight="1">
      <x:c r="A189" s="208" t="str">
        <x:v>EXT-MONDE-T048-V34</x:v>
      </x:c>
      <x:c r="B189" s="208" t="str">
        <x:v>Parc de caravanes abandonné</x:v>
      </x:c>
      <x:c r="C189" s="219" t="n">
        <x:v>34</x:v>
      </x:c>
      <x:c r="D189" s="208" t="str">
        <x:v>campaign205-048-34</x:v>
      </x:c>
      <x:c r="E189" s="220" t="str">
        <x:v>Oui</x:v>
      </x:c>
      <x:c r="F189" s="220" t="str">
        <x:v>Oui</x:v>
      </x:c>
      <x:c r="G189" s="220" t="str">
        <x:v>Oui</x:v>
      </x:c>
      <x:c r="H189" s="220" t="str">
        <x:v>Oui</x:v>
      </x:c>
      <x:c r="I189" s="220" t="str">
        <x:v>Oui</x:v>
      </x:c>
      <x:c r="J189" s="219" t="n">
        <x:v>1</x:v>
      </x:c>
      <x:c r="K189" s="208" t="str">
        <x:v>17117</x:v>
      </x:c>
      <x:c r="L189" s="208" t="str">
        <x:v>https://github.com/darknigthmare/deadwall-last-enclosure/blob/1b3b9c5ba232734b1bda3453b4e20a0481bcdd74/docs/codex/suivi-monde2026/campagne205-eligibilite.json</x:v>
      </x:c>
    </x:row>
    <x:row r="190" ht="64" customHeight="1">
      <x:c r="A190" s="208" t="str">
        <x:v>EXT-MONDE-T048-V35</x:v>
      </x:c>
      <x:c r="B190" s="208" t="str">
        <x:v>Parc de caravanes abandonné</x:v>
      </x:c>
      <x:c r="C190" s="219" t="n">
        <x:v>35</x:v>
      </x:c>
      <x:c r="D190" s="208" t="str">
        <x:v>campaign205-048-35</x:v>
      </x:c>
      <x:c r="E190" s="220" t="str">
        <x:v>Oui</x:v>
      </x:c>
      <x:c r="F190" s="220" t="str">
        <x:v>Oui</x:v>
      </x:c>
      <x:c r="G190" s="220" t="str">
        <x:v>Oui</x:v>
      </x:c>
      <x:c r="H190" s="220" t="str">
        <x:v>Oui</x:v>
      </x:c>
      <x:c r="I190" s="220" t="str">
        <x:v>Oui</x:v>
      </x:c>
      <x:c r="J190" s="219" t="n">
        <x:v>0</x:v>
      </x:c>
      <x:c r="K190" s="208" t="str">
        <x:v>Aucun témoin pour cette variante</x:v>
      </x:c>
      <x:c r="L190" s="208" t="str">
        <x:v>https://github.com/darknigthmare/deadwall-last-enclosure/blob/1b3b9c5ba232734b1bda3453b4e20a0481bcdd74/docs/codex/suivi-monde2026/campagne205-eligibilite.json</x:v>
      </x:c>
    </x:row>
    <x:row r="191" ht="64" customHeight="1">
      <x:c r="A191" s="208" t="str">
        <x:v>EXT-MONDE-T048-V36</x:v>
      </x:c>
      <x:c r="B191" s="208" t="str">
        <x:v>Parc de caravanes abandonné</x:v>
      </x:c>
      <x:c r="C191" s="219" t="n">
        <x:v>36</x:v>
      </x:c>
      <x:c r="D191" s="208" t="str">
        <x:v>campaign205-048-36</x:v>
      </x:c>
      <x:c r="E191" s="220" t="str">
        <x:v>Oui</x:v>
      </x:c>
      <x:c r="F191" s="220" t="str">
        <x:v>Oui</x:v>
      </x:c>
      <x:c r="G191" s="220" t="str">
        <x:v>Oui</x:v>
      </x:c>
      <x:c r="H191" s="220" t="str">
        <x:v>Oui</x:v>
      </x:c>
      <x:c r="I191" s="220" t="str">
        <x:v>Oui</x:v>
      </x:c>
      <x:c r="J191" s="219" t="n">
        <x:v>0</x:v>
      </x:c>
      <x:c r="K191" s="208" t="str">
        <x:v>Aucun témoin pour cette variante</x:v>
      </x:c>
      <x:c r="L191" s="208" t="str">
        <x:v>https://github.com/darknigthmare/deadwall-last-enclosure/blob/1b3b9c5ba232734b1bda3453b4e20a0481bcdd74/docs/codex/suivi-monde2026/campagne205-eligibilite.json</x:v>
      </x:c>
    </x:row>
    <x:row r="192" ht="64" customHeight="1">
      <x:c r="A192" s="208" t="str">
        <x:v>EXT-MONDE-T048-V37</x:v>
      </x:c>
      <x:c r="B192" s="208" t="str">
        <x:v>Parc de caravanes abandonné</x:v>
      </x:c>
      <x:c r="C192" s="219" t="n">
        <x:v>37</x:v>
      </x:c>
      <x:c r="D192" s="208" t="str">
        <x:v>campaign205-048-37</x:v>
      </x:c>
      <x:c r="E192" s="220" t="str">
        <x:v>Oui</x:v>
      </x:c>
      <x:c r="F192" s="220" t="str">
        <x:v>Oui</x:v>
      </x:c>
      <x:c r="G192" s="220" t="str">
        <x:v>Oui</x:v>
      </x:c>
      <x:c r="H192" s="220" t="str">
        <x:v>Oui</x:v>
      </x:c>
      <x:c r="I192" s="220" t="str">
        <x:v>Oui</x:v>
      </x:c>
      <x:c r="J192" s="219" t="n">
        <x:v>0</x:v>
      </x:c>
      <x:c r="K192" s="208" t="str">
        <x:v>Aucun témoin pour cette variante</x:v>
      </x:c>
      <x:c r="L192" s="208" t="str">
        <x:v>https://github.com/darknigthmare/deadwall-last-enclosure/blob/1b3b9c5ba232734b1bda3453b4e20a0481bcdd74/docs/codex/suivi-monde2026/campagne205-eligibilite.json</x:v>
      </x:c>
    </x:row>
    <x:row r="193" ht="64" customHeight="1">
      <x:c r="A193" s="208" t="str">
        <x:v>EXT-MONDE-T048-V38</x:v>
      </x:c>
      <x:c r="B193" s="208" t="str">
        <x:v>Parc de caravanes abandonné</x:v>
      </x:c>
      <x:c r="C193" s="219" t="n">
        <x:v>38</x:v>
      </x:c>
      <x:c r="D193" s="208" t="str">
        <x:v>campaign205-048-38</x:v>
      </x:c>
      <x:c r="E193" s="220" t="str">
        <x:v>Oui</x:v>
      </x:c>
      <x:c r="F193" s="220" t="str">
        <x:v>Oui</x:v>
      </x:c>
      <x:c r="G193" s="220" t="str">
        <x:v>Oui</x:v>
      </x:c>
      <x:c r="H193" s="220" t="str">
        <x:v>Oui</x:v>
      </x:c>
      <x:c r="I193" s="220" t="str">
        <x:v>Oui</x:v>
      </x:c>
      <x:c r="J193" s="219" t="n">
        <x:v>0</x:v>
      </x:c>
      <x:c r="K193" s="208" t="str">
        <x:v>Aucun témoin pour cette variante</x:v>
      </x:c>
      <x:c r="L193" s="208" t="str">
        <x:v>https://github.com/darknigthmare/deadwall-last-enclosure/blob/1b3b9c5ba232734b1bda3453b4e20a0481bcdd74/docs/codex/suivi-monde2026/campagne205-eligibilite.json</x:v>
      </x:c>
    </x:row>
    <x:row r="194" ht="64" customHeight="1">
      <x:c r="A194" s="208" t="str">
        <x:v>EXT-MONDE-T048-V39</x:v>
      </x:c>
      <x:c r="B194" s="208" t="str">
        <x:v>Parc de caravanes abandonné</x:v>
      </x:c>
      <x:c r="C194" s="219" t="n">
        <x:v>39</x:v>
      </x:c>
      <x:c r="D194" s="208" t="str">
        <x:v>campaign205-048-39</x:v>
      </x:c>
      <x:c r="E194" s="220" t="str">
        <x:v>Oui</x:v>
      </x:c>
      <x:c r="F194" s="220" t="str">
        <x:v>Oui</x:v>
      </x:c>
      <x:c r="G194" s="220" t="str">
        <x:v>Oui</x:v>
      </x:c>
      <x:c r="H194" s="220" t="str">
        <x:v>Oui</x:v>
      </x:c>
      <x:c r="I194" s="220" t="str">
        <x:v>Oui</x:v>
      </x:c>
      <x:c r="J194" s="219" t="n">
        <x:v>1</x:v>
      </x:c>
      <x:c r="K194" s="208" t="str">
        <x:v>4294967295</x:v>
      </x:c>
      <x:c r="L194" s="208" t="str">
        <x:v>https://github.com/darknigthmare/deadwall-last-enclosure/blob/1b3b9c5ba232734b1bda3453b4e20a0481bcdd74/docs/codex/suivi-monde2026/campagne205-eligibilite.json</x:v>
      </x:c>
    </x:row>
    <x:row r="195" ht="64" customHeight="1">
      <x:c r="A195" s="208" t="str">
        <x:v>EXT-MONDE-T048-V40</x:v>
      </x:c>
      <x:c r="B195" s="208" t="str">
        <x:v>Parc de caravanes abandonné</x:v>
      </x:c>
      <x:c r="C195" s="219" t="n">
        <x:v>40</x:v>
      </x:c>
      <x:c r="D195" s="208" t="str">
        <x:v>campaign205-048-40</x:v>
      </x:c>
      <x:c r="E195" s="220" t="str">
        <x:v>Oui</x:v>
      </x:c>
      <x:c r="F195" s="220" t="str">
        <x:v>Oui</x:v>
      </x:c>
      <x:c r="G195" s="220" t="str">
        <x:v>Oui</x:v>
      </x:c>
      <x:c r="H195" s="220" t="str">
        <x:v>Oui</x:v>
      </x:c>
      <x:c r="I195" s="220" t="str">
        <x:v>Oui</x:v>
      </x:c>
      <x:c r="J195" s="219" t="n">
        <x:v>1</x:v>
      </x:c>
      <x:c r="K195" s="208" t="str">
        <x:v>1947648717</x:v>
      </x:c>
      <x:c r="L195" s="208" t="str">
        <x:v>https://github.com/darknigthmare/deadwall-last-enclosure/blob/1b3b9c5ba232734b1bda3453b4e20a0481bcdd74/docs/codex/suivi-monde2026/campagne205-eligibilite.json</x:v>
      </x:c>
    </x:row>
    <x:row r="196" ht="64" customHeight="1">
      <x:c r="A196" s="208" t="str">
        <x:v>EXT-MONDE-T048-V41</x:v>
      </x:c>
      <x:c r="B196" s="208" t="str">
        <x:v>Parc de caravanes abandonné</x:v>
      </x:c>
      <x:c r="C196" s="219" t="n">
        <x:v>41</x:v>
      </x:c>
      <x:c r="D196" s="208" t="str">
        <x:v>campaign205-048-41</x:v>
      </x:c>
      <x:c r="E196" s="220" t="str">
        <x:v>Oui</x:v>
      </x:c>
      <x:c r="F196" s="220" t="str">
        <x:v>Oui</x:v>
      </x:c>
      <x:c r="G196" s="220" t="str">
        <x:v>Oui</x:v>
      </x:c>
      <x:c r="H196" s="220" t="str">
        <x:v>Oui</x:v>
      </x:c>
      <x:c r="I196" s="220" t="str">
        <x:v>Oui</x:v>
      </x:c>
      <x:c r="J196" s="219" t="n">
        <x:v>0</x:v>
      </x:c>
      <x:c r="K196" s="208" t="str">
        <x:v>Aucun témoin pour cette variante</x:v>
      </x:c>
      <x:c r="L196" s="208" t="str">
        <x:v>https://github.com/darknigthmare/deadwall-last-enclosure/blob/1b3b9c5ba232734b1bda3453b4e20a0481bcdd74/docs/codex/suivi-monde2026/campagne205-eligibilite.json</x:v>
      </x:c>
    </x:row>
    <x:row r="197" ht="64" customHeight="1">
      <x:c r="A197" s="208" t="str">
        <x:v>EXT-MONDE-T048-V42</x:v>
      </x:c>
      <x:c r="B197" s="208" t="str">
        <x:v>Parc de caravanes abandonné</x:v>
      </x:c>
      <x:c r="C197" s="219" t="n">
        <x:v>42</x:v>
      </x:c>
      <x:c r="D197" s="208" t="str">
        <x:v>campaign205-048-42</x:v>
      </x:c>
      <x:c r="E197" s="220" t="str">
        <x:v>Oui</x:v>
      </x:c>
      <x:c r="F197" s="220" t="str">
        <x:v>Oui</x:v>
      </x:c>
      <x:c r="G197" s="220" t="str">
        <x:v>Oui</x:v>
      </x:c>
      <x:c r="H197" s="220" t="str">
        <x:v>Oui</x:v>
      </x:c>
      <x:c r="I197" s="220" t="str">
        <x:v>Oui</x:v>
      </x:c>
      <x:c r="J197" s="219" t="n">
        <x:v>0</x:v>
      </x:c>
      <x:c r="K197" s="208" t="str">
        <x:v>Aucun témoin pour cette variante</x:v>
      </x:c>
      <x:c r="L197" s="208" t="str">
        <x:v>https://github.com/darknigthmare/deadwall-last-enclosure/blob/1b3b9c5ba232734b1bda3453b4e20a0481bcdd74/docs/codex/suivi-monde2026/campagne205-eligibilite.json</x:v>
      </x:c>
    </x:row>
    <x:row r="198" ht="64" customHeight="1">
      <x:c r="A198" s="208" t="str">
        <x:v>EXT-MONDE-T048-V43</x:v>
      </x:c>
      <x:c r="B198" s="208" t="str">
        <x:v>Parc de caravanes abandonné</x:v>
      </x:c>
      <x:c r="C198" s="219" t="n">
        <x:v>43</x:v>
      </x:c>
      <x:c r="D198" s="208" t="str">
        <x:v>campaign205-048-43</x:v>
      </x:c>
      <x:c r="E198" s="220" t="str">
        <x:v>Oui</x:v>
      </x:c>
      <x:c r="F198" s="220" t="str">
        <x:v>Oui</x:v>
      </x:c>
      <x:c r="G198" s="220" t="str">
        <x:v>Oui</x:v>
      </x:c>
      <x:c r="H198" s="220" t="str">
        <x:v>Oui</x:v>
      </x:c>
      <x:c r="I198" s="220" t="str">
        <x:v>Oui</x:v>
      </x:c>
      <x:c r="J198" s="219" t="n">
        <x:v>1</x:v>
      </x:c>
      <x:c r="K198" s="208" t="str">
        <x:v>967313470</x:v>
      </x:c>
      <x:c r="L198" s="208" t="str">
        <x:v>https://github.com/darknigthmare/deadwall-last-enclosure/blob/1b3b9c5ba232734b1bda3453b4e20a0481bcdd74/docs/codex/suivi-monde2026/campagne205-eligibilite.json</x:v>
      </x:c>
    </x:row>
    <x:row r="199" ht="64" customHeight="1">
      <x:c r="A199" s="208" t="str">
        <x:v>EXT-MONDE-T048-V44</x:v>
      </x:c>
      <x:c r="B199" s="208" t="str">
        <x:v>Parc de caravanes abandonné</x:v>
      </x:c>
      <x:c r="C199" s="219" t="n">
        <x:v>44</x:v>
      </x:c>
      <x:c r="D199" s="208" t="str">
        <x:v>campaign205-048-44</x:v>
      </x:c>
      <x:c r="E199" s="220" t="str">
        <x:v>Oui</x:v>
      </x:c>
      <x:c r="F199" s="220" t="str">
        <x:v>Oui</x:v>
      </x:c>
      <x:c r="G199" s="220" t="str">
        <x:v>Oui</x:v>
      </x:c>
      <x:c r="H199" s="220" t="str">
        <x:v>Oui</x:v>
      </x:c>
      <x:c r="I199" s="220" t="str">
        <x:v>Oui</x:v>
      </x:c>
      <x:c r="J199" s="219" t="n">
        <x:v>0</x:v>
      </x:c>
      <x:c r="K199" s="208" t="str">
        <x:v>Aucun témoin pour cette variante</x:v>
      </x:c>
      <x:c r="L199" s="208" t="str">
        <x:v>https://github.com/darknigthmare/deadwall-last-enclosure/blob/1b3b9c5ba232734b1bda3453b4e20a0481bcdd74/docs/codex/suivi-monde2026/campagne205-eligibilite.json</x:v>
      </x:c>
    </x:row>
    <x:row r="200" ht="64" customHeight="1">
      <x:c r="A200" s="208" t="str">
        <x:v>EXT-MONDE-T048-V45</x:v>
      </x:c>
      <x:c r="B200" s="208" t="str">
        <x:v>Parc de caravanes abandonné</x:v>
      </x:c>
      <x:c r="C200" s="219" t="n">
        <x:v>45</x:v>
      </x:c>
      <x:c r="D200" s="208" t="str">
        <x:v>campaign205-048-45</x:v>
      </x:c>
      <x:c r="E200" s="220" t="str">
        <x:v>Oui</x:v>
      </x:c>
      <x:c r="F200" s="220" t="str">
        <x:v>Oui</x:v>
      </x:c>
      <x:c r="G200" s="220" t="str">
        <x:v>Oui</x:v>
      </x:c>
      <x:c r="H200" s="220" t="str">
        <x:v>Oui</x:v>
      </x:c>
      <x:c r="I200" s="220" t="str">
        <x:v>Oui</x:v>
      </x:c>
      <x:c r="J200" s="219" t="n">
        <x:v>1</x:v>
      </x:c>
      <x:c r="K200" s="208" t="str">
        <x:v>84329</x:v>
      </x:c>
      <x:c r="L200" s="208" t="str">
        <x:v>https://github.com/darknigthmare/deadwall-last-enclosure/blob/1b3b9c5ba232734b1bda3453b4e20a0481bcdd74/docs/codex/suivi-monde2026/campagne205-eligibilite.json</x:v>
      </x:c>
    </x:row>
    <x:row r="201" ht="64" customHeight="1">
      <x:c r="A201" s="208" t="str">
        <x:v>EXT-MONDE-T048-V46</x:v>
      </x:c>
      <x:c r="B201" s="208" t="str">
        <x:v>Parc de caravanes abandonné</x:v>
      </x:c>
      <x:c r="C201" s="219" t="n">
        <x:v>46</x:v>
      </x:c>
      <x:c r="D201" s="208" t="str">
        <x:v>campaign205-048-46</x:v>
      </x:c>
      <x:c r="E201" s="220" t="str">
        <x:v>Oui</x:v>
      </x:c>
      <x:c r="F201" s="220" t="str">
        <x:v>Oui</x:v>
      </x:c>
      <x:c r="G201" s="220" t="str">
        <x:v>Oui</x:v>
      </x:c>
      <x:c r="H201" s="220" t="str">
        <x:v>Oui</x:v>
      </x:c>
      <x:c r="I201" s="220" t="str">
        <x:v>Oui</x:v>
      </x:c>
      <x:c r="J201" s="219" t="n">
        <x:v>1</x:v>
      </x:c>
      <x:c r="K201" s="208" t="str">
        <x:v>17117</x:v>
      </x:c>
      <x:c r="L201" s="208" t="str">
        <x:v>https://github.com/darknigthmare/deadwall-last-enclosure/blob/1b3b9c5ba232734b1bda3453b4e20a0481bcdd74/docs/codex/suivi-monde2026/campagne205-eligibilite.json</x:v>
      </x:c>
    </x:row>
    <x:row r="202" ht="64" customHeight="1">
      <x:c r="A202" s="208" t="str">
        <x:v>EXT-MONDE-T048-V47</x:v>
      </x:c>
      <x:c r="B202" s="208" t="str">
        <x:v>Parc de caravanes abandonné</x:v>
      </x:c>
      <x:c r="C202" s="219" t="n">
        <x:v>47</x:v>
      </x:c>
      <x:c r="D202" s="208" t="str">
        <x:v>campaign205-048-47</x:v>
      </x:c>
      <x:c r="E202" s="220" t="str">
        <x:v>Oui</x:v>
      </x:c>
      <x:c r="F202" s="220" t="str">
        <x:v>Oui</x:v>
      </x:c>
      <x:c r="G202" s="220" t="str">
        <x:v>Oui</x:v>
      </x:c>
      <x:c r="H202" s="220" t="str">
        <x:v>Oui</x:v>
      </x:c>
      <x:c r="I202" s="220" t="str">
        <x:v>Oui</x:v>
      </x:c>
      <x:c r="J202" s="219" t="n">
        <x:v>0</x:v>
      </x:c>
      <x:c r="K202" s="208" t="str">
        <x:v>Aucun témoin pour cette variante</x:v>
      </x:c>
      <x:c r="L202" s="208" t="str">
        <x:v>https://github.com/darknigthmare/deadwall-last-enclosure/blob/1b3b9c5ba232734b1bda3453b4e20a0481bcdd74/docs/codex/suivi-monde2026/campagne205-eligibilite.json</x:v>
      </x:c>
    </x:row>
    <x:row r="203" ht="64" customHeight="1">
      <x:c r="A203" s="208" t="str">
        <x:v>EXT-MONDE-T048-V48</x:v>
      </x:c>
      <x:c r="B203" s="208" t="str">
        <x:v>Parc de caravanes abandonné</x:v>
      </x:c>
      <x:c r="C203" s="219" t="n">
        <x:v>48</x:v>
      </x:c>
      <x:c r="D203" s="208" t="str">
        <x:v>campaign205-048-48</x:v>
      </x:c>
      <x:c r="E203" s="220" t="str">
        <x:v>Oui</x:v>
      </x:c>
      <x:c r="F203" s="220" t="str">
        <x:v>Oui</x:v>
      </x:c>
      <x:c r="G203" s="220" t="str">
        <x:v>Oui</x:v>
      </x:c>
      <x:c r="H203" s="220" t="str">
        <x:v>Oui</x:v>
      </x:c>
      <x:c r="I203" s="220" t="str">
        <x:v>Oui</x:v>
      </x:c>
      <x:c r="J203" s="219" t="n">
        <x:v>1</x:v>
      </x:c>
      <x:c r="K203" s="208" t="str">
        <x:v>967313470</x:v>
      </x:c>
      <x:c r="L203" s="208" t="str">
        <x:v>https://github.com/darknigthmare/deadwall-last-enclosure/blob/1b3b9c5ba232734b1bda3453b4e20a0481bcdd74/docs/codex/suivi-monde2026/campagne205-eligibilite.json</x:v>
      </x:c>
    </x:row>
    <x:row r="204" ht="64" customHeight="1">
      <x:c r="A204" s="208" t="str">
        <x:v>EXT-MONDE-T048-V49</x:v>
      </x:c>
      <x:c r="B204" s="208" t="str">
        <x:v>Parc de caravanes abandonné</x:v>
      </x:c>
      <x:c r="C204" s="219" t="n">
        <x:v>49</x:v>
      </x:c>
      <x:c r="D204" s="208" t="str">
        <x:v>campaign205-048-49</x:v>
      </x:c>
      <x:c r="E204" s="220" t="str">
        <x:v>Oui</x:v>
      </x:c>
      <x:c r="F204" s="220" t="str">
        <x:v>Oui</x:v>
      </x:c>
      <x:c r="G204" s="220" t="str">
        <x:v>Oui</x:v>
      </x:c>
      <x:c r="H204" s="220" t="str">
        <x:v>Oui</x:v>
      </x:c>
      <x:c r="I204" s="220" t="str">
        <x:v>Oui</x:v>
      </x:c>
      <x:c r="J204" s="219" t="n">
        <x:v>0</x:v>
      </x:c>
      <x:c r="K204" s="208" t="str">
        <x:v>Aucun témoin pour cette variante</x:v>
      </x:c>
      <x:c r="L204" s="208" t="str">
        <x:v>https://github.com/darknigthmare/deadwall-last-enclosure/blob/1b3b9c5ba232734b1bda3453b4e20a0481bcdd74/docs/codex/suivi-monde2026/campagne205-eligibilite.json</x:v>
      </x:c>
    </x:row>
    <x:row r="205" ht="64" customHeight="1">
      <x:c r="A205" s="208" t="str">
        <x:v>EXT-MONDE-T048-V50</x:v>
      </x:c>
      <x:c r="B205" s="208" t="str">
        <x:v>Parc de caravanes abandonné</x:v>
      </x:c>
      <x:c r="C205" s="219" t="n">
        <x:v>50</x:v>
      </x:c>
      <x:c r="D205" s="208" t="str">
        <x:v>campaign205-048-50</x:v>
      </x:c>
      <x:c r="E205" s="220" t="str">
        <x:v>Oui</x:v>
      </x:c>
      <x:c r="F205" s="220" t="str">
        <x:v>Oui</x:v>
      </x:c>
      <x:c r="G205" s="220" t="str">
        <x:v>Oui</x:v>
      </x:c>
      <x:c r="H205" s="220" t="str">
        <x:v>Oui</x:v>
      </x:c>
      <x:c r="I205" s="220" t="str">
        <x:v>Oui</x:v>
      </x:c>
      <x:c r="J205" s="219" t="n">
        <x:v>0</x:v>
      </x:c>
      <x:c r="K205" s="208" t="str">
        <x:v>Aucun témoin pour cette variante</x:v>
      </x:c>
      <x:c r="L205" s="208" t="str">
        <x:v>https://github.com/darknigthmare/deadwall-last-enclosure/blob/1b3b9c5ba232734b1bda3453b4e20a0481bcdd74/docs/codex/suivi-monde2026/campagne205-eligibilite.json</x:v>
      </x:c>
    </x:row>
    <x:row r="206" ht="30" customHeight="1">
      <x:c r="A206" s="209" t="str">
        <x:v>TOTAL AUDITÉ</x:v>
      </x:c>
      <x:c r="B206" s="209"/>
      <x:c r="C206" s="209" t="n">
        <x:f>COUNTIF(E6:E205,"Oui")</x:f>
        <x:v>200</x:v>
      </x:c>
      <x:c r="D206" s="209"/>
      <x:c r="E206" s="209"/>
      <x:c r="F206" s="209" t="n">
        <x:f>COUNTIF(F6:F205,"Oui")</x:f>
        <x:v>200</x:v>
      </x:c>
      <x:c r="G206" s="209" t="n">
        <x:f>COUNTIF(G6:G205,"Oui")</x:f>
        <x:v>200</x:v>
      </x:c>
      <x:c r="H206" s="209" t="n">
        <x:f>COUNTIF(H6:H205,"Oui")</x:f>
        <x:v>200</x:v>
      </x:c>
      <x:c r="I206" s="209" t="n">
        <x:f>COUNTIF(I6:I205,"Oui")</x:f>
        <x:v>200</x:v>
      </x:c>
      <x:c r="J206" s="209" t="n">
        <x:f>SUM(J6:J205)</x:f>
        <x:v>63</x:v>
      </x:c>
      <x:c r="K206" s="209"/>
      <x:c r="L206" s="209"/>
    </x:row>
    <x:row r="208" ht="34" customHeight="1">
      <x:c r="A208" s="138" t="str">
        <x:v>ÉLIGIBILITÉ DES MODÈLES ET ADMISSION AU MONDE RESTENT DISTINCTES</x:v>
      </x:c>
      <x:c r="B208" s="138"/>
      <x:c r="C208" s="138"/>
      <x:c r="D208" s="138"/>
      <x:c r="E208" s="138"/>
      <x:c r="F208" s="138"/>
      <x:c r="G208" s="138"/>
      <x:c r="H208" s="138"/>
      <x:c r="I208" s="138"/>
      <x:c r="J208" s="138"/>
      <x:c r="K208" s="138"/>
      <x:c r="L208" s="138"/>
    </x:row>
    <x:row r="209" ht="34" customHeight="1">
      <x:c r="A209" s="138" t="str">
        <x:v>Aucun site garanti par graine ; admission bornée à 8 sites, au plus 2 par type. Les compteurs ci-dessus portent seulement sur les témoins du rapport.</x:v>
      </x:c>
      <x:c r="B209" s="138"/>
      <x:c r="C209" s="138"/>
      <x:c r="D209" s="138"/>
      <x:c r="E209" s="138"/>
      <x:c r="F209" s="138"/>
      <x:c r="G209" s="138"/>
      <x:c r="H209" s="138"/>
      <x:c r="I209" s="138"/>
      <x:c r="J209" s="138"/>
      <x:c r="K209" s="138"/>
      <x:c r="L209" s="138"/>
    </x:row>
    <x:row r="211" ht="34" customHeight="1">
      <x:c r="A211" s="138" t="str">
        <x:v>Graines réellement auditées</x:v>
      </x:c>
      <x:c r="B211" s="138"/>
      <x:c r="C211" s="138"/>
      <x:c r="D211" s="138"/>
      <x:c r="E211" s="138" t="n">
        <x:v>8</x:v>
      </x:c>
      <x:c r="F211" s="138"/>
      <x:c r="G211" s="138"/>
      <x:c r="H211" s="138"/>
      <x:c r="I211" s="138" t="str">
        <x:v>0, 1, 42, 17117, 84329, 967313470, 1947648717, 4294967295</x:v>
      </x:c>
      <x:c r="J211" s="138"/>
      <x:c r="K211" s="138"/>
      <x:c r="L211" s="138"/>
    </x:row>
    <x:row r="212" ht="34" customHeight="1">
      <x:c r="A212" s="138" t="str">
        <x:v>Rapport par variante</x:v>
      </x:c>
      <x:c r="B212" s="138"/>
      <x:c r="C212" s="138"/>
      <x:c r="D212" s="138"/>
      <x:c r="E212" s="138" t="str">
        <x:v>https://github.com/darknigthmare/deadwall-last-enclosure/blob/1b3b9c5ba232734b1bda3453b4e20a0481bcdd74/docs/codex/suivi-monde2026/campagne205-eligibilite.json</x:v>
      </x:c>
      <x:c r="F212" s="138"/>
      <x:c r="G212" s="138"/>
      <x:c r="H212" s="138"/>
      <x:c r="I212" s="138"/>
      <x:c r="J212" s="138"/>
      <x:c r="K212" s="138"/>
      <x:c r="L212" s="138"/>
    </x:row>
    <x:row r="213" ht="34" customHeight="1">
      <x:c r="A213" s="138" t="str">
        <x:v>SHA256 du rapport</x:v>
      </x:c>
      <x:c r="B213" s="138"/>
      <x:c r="C213" s="138"/>
      <x:c r="D213" s="138"/>
      <x:c r="E213" s="138" t="str">
        <x:v>b38c4540708fc9b216cfda5ed99ee9a8052bdb0e58671386d0a5d76008d45088</x:v>
      </x:c>
      <x:c r="F213" s="138"/>
      <x:c r="G213" s="138"/>
      <x:c r="H213" s="138"/>
      <x:c r="I213" s="138"/>
      <x:c r="J213" s="138"/>
      <x:c r="K213" s="138"/>
      <x:c r="L213" s="138"/>
    </x:row>
    <x:row r="214" ht="34" customHeight="1">
      <x:c r="A214" s="138" t="str">
        <x:v>Portée</x:v>
      </x:c>
      <x:c r="B214" s="138"/>
      <x:c r="C214" s="138"/>
      <x:c r="D214" s="138"/>
      <x:c r="E214" s="138" t="str">
        <x:v>Éligibilité de modèles ; aucun nombre de lieux garanti par graine.</x:v>
      </x:c>
      <x:c r="F214" s="138"/>
      <x:c r="G214" s="138"/>
      <x:c r="H214" s="138"/>
      <x:c r="I214" s="138"/>
      <x:c r="J214" s="138"/>
      <x:c r="K214" s="138"/>
      <x:c r="L214" s="138"/>
    </x:row>
    <x:row r="215" ht="34" customHeight="1">
      <x:c r="A215" s="138" t="str">
        <x:v>Fonctionnement et limites</x:v>
      </x:c>
      <x:c r="B215" s="138"/>
      <x:c r="C215" s="138"/>
      <x:c r="D215" s="138"/>
      <x:c r="E215" s="138" t="str">
        <x:v>https://github.com/darknigthmare/deadwall-last-enclosure/blob/1b3b9c5ba232734b1bda3453b4e20a0481bcdd74/docs/codex/suivi-monde2026/CAMPAGNE_G11_2026.md</x:v>
      </x:c>
      <x:c r="F215" s="138"/>
      <x:c r="G215" s="138"/>
      <x:c r="H215" s="138"/>
      <x:c r="I215" s="138"/>
      <x:c r="J215" s="138"/>
      <x:c r="K215" s="138"/>
      <x:c r="L215" s="138"/>
    </x:row>
  </x:sheetData>
  <x:mergeCells>
    <x:mergeCell ref="A1:L2"/>
    <x:mergeCell ref="A3:L3"/>
    <x:mergeCell ref="A206:B206"/>
    <x:mergeCell ref="A208:L208"/>
    <x:mergeCell ref="A209:L209"/>
    <x:mergeCell ref="A211:D211"/>
    <x:mergeCell ref="E211:H211"/>
    <x:mergeCell ref="I211:L211"/>
    <x:mergeCell ref="A212:D212"/>
    <x:mergeCell ref="E212:L212"/>
    <x:mergeCell ref="A213:D213"/>
    <x:mergeCell ref="E213:L213"/>
    <x:mergeCell ref="A214:D214"/>
    <x:mergeCell ref="E214:L214"/>
    <x:mergeCell ref="A215:D215"/>
    <x:mergeCell ref="E215:L215"/>
  </x:mergeCells>
  <x:pageMargins left="0.7" right="0.7" top="0.75" bottom="0.75" header="0.3" footer="0.3"/>
  <x:tableParts count="1">
    <x:tablePart xmlns:r="http://schemas.openxmlformats.org/officeDocument/2006/relationships" r:id="R4b50238a4f7a4062"/>
  </x:tableParts>
</x:worksheet>
</file>